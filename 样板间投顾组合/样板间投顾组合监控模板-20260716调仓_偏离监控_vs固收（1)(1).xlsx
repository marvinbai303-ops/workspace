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tabRatio="779" activeTab="2"/>
  </bookViews>
  <sheets>
    <sheet name="实盘持仓初始配置" sheetId="1" r:id="rId1"/>
    <sheet name="偏离度监控" sheetId="13" r:id="rId2"/>
    <sheet name="vs固收+对比（模拟数据）" sheetId="14" r:id="rId3"/>
    <sheet name="vs固收+对比（实盘数据）" sheetId="15" r:id="rId4"/>
    <sheet name="恒生净值" sheetId="16" r:id="rId5"/>
    <sheet name="实盘净值数据(iFinD公式)" sheetId="2" r:id="rId6"/>
    <sheet name="实盘组合净值" sheetId="3" r:id="rId7"/>
    <sheet name="分期持仓明细" sheetId="4" r:id="rId8"/>
    <sheet name="看板-产业趋势" sheetId="5" r:id="rId9"/>
    <sheet name="看板-产业趋势基石" sheetId="6" r:id="rId10"/>
    <sheet name="看板-产业趋势2号" sheetId="7" r:id="rId11"/>
    <sheet name="看板-10-90" sheetId="8" r:id="rId12"/>
    <sheet name="看板-10-90基石" sheetId="9" r:id="rId13"/>
    <sheet name="看板-30-70" sheetId="10" r:id="rId14"/>
    <sheet name="说明" sheetId="11" r:id="rId15"/>
  </sheets>
  <externalReferences>
    <externalReference r:id="rId16"/>
    <externalReference r:id="rId17"/>
  </externalReferences>
  <definedNames>
    <definedName name="_ChartDates" localSheetId="11">实盘组合净值!$A$8:INDEX(实盘组合净值!$A$8:$A$1000,MATCH(9.99999999999999E+307,实盘组合净值!$A$8:$A$1000))</definedName>
    <definedName name="_ChartDates" localSheetId="12">实盘组合净值!$A$5:INDEX(实盘组合净值!$A$5:$A$1000,MATCH(9.99999999999999E+307,实盘组合净值!$A$5:$A$1000))</definedName>
    <definedName name="_ChartDates" localSheetId="13">实盘组合净值!$A$8:INDEX(实盘组合净值!$A$8:$A$1000,MATCH(9.99999999999999E+307,实盘组合净值!$A$8:$A$1000))</definedName>
    <definedName name="_ChartDates" localSheetId="8">实盘组合净值!$A$6:INDEX(实盘组合净值!$A$6:$A$1000,MATCH(9.99999999999999E+307,实盘组合净值!$A$6:$A$1000))</definedName>
    <definedName name="_ChartDates" localSheetId="10">实盘组合净值!$A$7:INDEX(实盘组合净值!$A$7:$A$1000,MATCH(9.99999999999999E+307,实盘组合净值!$A$7:$A$1000))</definedName>
    <definedName name="_ChartDates" localSheetId="9">实盘组合净值!$A$5:INDEX(实盘组合净值!$A$5:$A$1000,MATCH(9.99999999999999E+307,实盘组合净值!$A$5:$A$1000))</definedName>
    <definedName name="_ChartValues" localSheetId="11">实盘组合净值!$K$8:INDEX(实盘组合净值!$K$8:$K$1000,MATCH(9.99999999999999E+307,实盘组合净值!$A$8:$A$1000))</definedName>
    <definedName name="_ChartValues" localSheetId="12">实盘组合净值!$N$5:INDEX(实盘组合净值!$N$5:$N$1000,MATCH(9.99999999999999E+307,实盘组合净值!$A$5:$A$1000))</definedName>
    <definedName name="_ChartValues" localSheetId="13">实盘组合净值!$Q$8:INDEX(实盘组合净值!$Q$8:$Q$1000,MATCH(9.99999999999999E+307,实盘组合净值!$A$8:$A$1000))</definedName>
    <definedName name="_ChartValues" localSheetId="8">实盘组合净值!$B$6:INDEX(实盘组合净值!$B$6:$B$1000,MATCH(9.99999999999999E+307,实盘组合净值!$A$6:$A$1000))</definedName>
    <definedName name="_ChartValues" localSheetId="10">实盘组合净值!$H$7:INDEX(实盘组合净值!$H$7:$H$1000,MATCH(9.99999999999999E+307,实盘组合净值!$A$7:$A$1000))</definedName>
    <definedName name="_ChartValues" localSheetId="9">实盘组合净值!$E$5:INDEX(实盘组合净值!$E$5:$E$1000,MATCH(9.99999999999999E+307,实盘组合净值!$A$5:$A$1000))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2" l="1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I8" i="15" l="1"/>
  <c r="I23" i="15" s="1"/>
  <c r="B81" i="13"/>
  <c r="F1" i="15"/>
  <c r="G1" i="15"/>
  <c r="H1" i="15"/>
  <c r="G2" i="15"/>
  <c r="E2" i="15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38" i="15"/>
  <c r="C23" i="15"/>
  <c r="I22" i="15"/>
  <c r="I37" i="15" s="1"/>
  <c r="H22" i="15"/>
  <c r="H37" i="15" s="1"/>
  <c r="G22" i="15"/>
  <c r="G37" i="15" s="1"/>
  <c r="F22" i="15"/>
  <c r="F37" i="15" s="1"/>
  <c r="E22" i="15"/>
  <c r="E37" i="15" s="1"/>
  <c r="D22" i="15"/>
  <c r="C22" i="15"/>
  <c r="C37" i="15" s="1"/>
  <c r="B22" i="15"/>
  <c r="B37" i="15" s="1"/>
  <c r="A22" i="15"/>
  <c r="A37" i="15" s="1"/>
  <c r="E4" i="15"/>
  <c r="E3" i="15"/>
  <c r="E1" i="15" s="1"/>
  <c r="E22" i="14"/>
  <c r="E37" i="14" s="1"/>
  <c r="E3" i="14"/>
  <c r="E4" i="14"/>
  <c r="Y60" i="2"/>
  <c r="Y68" i="2"/>
  <c r="Y61" i="2"/>
  <c r="Y62" i="2"/>
  <c r="Y66" i="2"/>
  <c r="Y63" i="2"/>
  <c r="Y65" i="2"/>
  <c r="Y64" i="2"/>
  <c r="Y67" i="2"/>
  <c r="E9" i="15"/>
  <c r="G11" i="15"/>
  <c r="E45" i="15"/>
  <c r="E11" i="15"/>
  <c r="E26" i="14"/>
  <c r="G27" i="15"/>
  <c r="G43" i="15"/>
  <c r="E30" i="14"/>
  <c r="E32" i="14"/>
  <c r="G25" i="15"/>
  <c r="E15" i="14"/>
  <c r="G33" i="15"/>
  <c r="E17" i="15"/>
  <c r="E10" i="14"/>
  <c r="E24" i="15"/>
  <c r="G13" i="15"/>
  <c r="E41" i="14"/>
  <c r="E16" i="15"/>
  <c r="E9" i="14"/>
  <c r="E26" i="15"/>
  <c r="E42" i="15"/>
  <c r="G14" i="15"/>
  <c r="E12" i="14"/>
  <c r="G28" i="15"/>
  <c r="E29" i="14"/>
  <c r="E30" i="15"/>
  <c r="G39" i="15"/>
  <c r="G31" i="15"/>
  <c r="E15" i="15"/>
  <c r="G29" i="15"/>
  <c r="E43" i="14"/>
  <c r="E44" i="14"/>
  <c r="G15" i="15"/>
  <c r="E39" i="14"/>
  <c r="E16" i="14"/>
  <c r="E27" i="15"/>
  <c r="E14" i="14"/>
  <c r="G41" i="15"/>
  <c r="E17" i="14"/>
  <c r="G24" i="15"/>
  <c r="E18" i="15"/>
  <c r="E48" i="15"/>
  <c r="G45" i="15"/>
  <c r="E44" i="15"/>
  <c r="E40" i="15"/>
  <c r="G17" i="15"/>
  <c r="E47" i="14"/>
  <c r="G26" i="15"/>
  <c r="E13" i="15"/>
  <c r="G46" i="15"/>
  <c r="E47" i="15"/>
  <c r="E40" i="14"/>
  <c r="E43" i="15"/>
  <c r="E33" i="15"/>
  <c r="G10" i="15"/>
  <c r="G40" i="15"/>
  <c r="E41" i="15"/>
  <c r="G18" i="15"/>
  <c r="E39" i="15"/>
  <c r="G16" i="15"/>
  <c r="G47" i="15"/>
  <c r="E10" i="15"/>
  <c r="E48" i="14"/>
  <c r="E12" i="15"/>
  <c r="E31" i="14"/>
  <c r="E28" i="14"/>
  <c r="G12" i="15"/>
  <c r="E25" i="14"/>
  <c r="E25" i="15"/>
  <c r="G30" i="15"/>
  <c r="E42" i="14"/>
  <c r="E46" i="14"/>
  <c r="E13" i="14"/>
  <c r="E14" i="15"/>
  <c r="E31" i="15"/>
  <c r="G42" i="15"/>
  <c r="E11" i="14"/>
  <c r="E27" i="14"/>
  <c r="E24" i="14"/>
  <c r="E45" i="14"/>
  <c r="E29" i="15"/>
  <c r="E18" i="14"/>
  <c r="G9" i="15"/>
  <c r="E32" i="15"/>
  <c r="E28" i="15"/>
  <c r="G48" i="15"/>
  <c r="G44" i="15"/>
  <c r="E46" i="15"/>
  <c r="E33" i="14"/>
  <c r="G32" i="15"/>
  <c r="I38" i="15" l="1"/>
  <c r="C38" i="14"/>
  <c r="I22" i="14"/>
  <c r="I37" i="14" s="1"/>
  <c r="C23" i="14"/>
  <c r="B22" i="14"/>
  <c r="B37" i="14" s="1"/>
  <c r="C22" i="14"/>
  <c r="C37" i="14" s="1"/>
  <c r="D22" i="14"/>
  <c r="F22" i="14"/>
  <c r="F37" i="14" s="1"/>
  <c r="G22" i="14"/>
  <c r="G37" i="14" s="1"/>
  <c r="H22" i="14"/>
  <c r="H37" i="14" s="1"/>
  <c r="A22" i="14"/>
  <c r="A37" i="14" s="1"/>
  <c r="M88" i="13"/>
  <c r="N88" i="13"/>
  <c r="O88" i="13"/>
  <c r="P88" i="13"/>
  <c r="Q88" i="13"/>
  <c r="R88" i="13"/>
  <c r="M89" i="13"/>
  <c r="N89" i="13"/>
  <c r="O89" i="13"/>
  <c r="P89" i="13"/>
  <c r="Q89" i="13"/>
  <c r="R89" i="13"/>
  <c r="M90" i="13"/>
  <c r="N90" i="13"/>
  <c r="O90" i="13"/>
  <c r="P90" i="13"/>
  <c r="Q90" i="13"/>
  <c r="R90" i="13"/>
  <c r="M91" i="13"/>
  <c r="N91" i="13"/>
  <c r="O91" i="13"/>
  <c r="P91" i="13"/>
  <c r="Q91" i="13"/>
  <c r="R91" i="13"/>
  <c r="M92" i="13"/>
  <c r="N92" i="13"/>
  <c r="O92" i="13"/>
  <c r="P92" i="13"/>
  <c r="Q92" i="13"/>
  <c r="R92" i="13"/>
  <c r="M93" i="13"/>
  <c r="N93" i="13"/>
  <c r="O93" i="13"/>
  <c r="P93" i="13"/>
  <c r="Q93" i="13"/>
  <c r="R93" i="13"/>
  <c r="M94" i="13"/>
  <c r="N94" i="13"/>
  <c r="O94" i="13"/>
  <c r="P94" i="13"/>
  <c r="Q94" i="13"/>
  <c r="R94" i="13"/>
  <c r="M95" i="13"/>
  <c r="N95" i="13"/>
  <c r="O95" i="13"/>
  <c r="P95" i="13"/>
  <c r="Q95" i="13"/>
  <c r="R95" i="13"/>
  <c r="M96" i="13"/>
  <c r="N96" i="13"/>
  <c r="O96" i="13"/>
  <c r="P96" i="13"/>
  <c r="Q96" i="13"/>
  <c r="R96" i="13"/>
  <c r="M97" i="13"/>
  <c r="N97" i="13"/>
  <c r="O97" i="13"/>
  <c r="P97" i="13"/>
  <c r="Q97" i="13"/>
  <c r="R97" i="13"/>
  <c r="M98" i="13"/>
  <c r="N98" i="13"/>
  <c r="O98" i="13"/>
  <c r="P98" i="13"/>
  <c r="Q98" i="13"/>
  <c r="R98" i="13"/>
  <c r="M99" i="13"/>
  <c r="N99" i="13"/>
  <c r="O99" i="13"/>
  <c r="P99" i="13"/>
  <c r="Q99" i="13"/>
  <c r="R99" i="13"/>
  <c r="M100" i="13"/>
  <c r="N100" i="13"/>
  <c r="O100" i="13"/>
  <c r="P100" i="13"/>
  <c r="Q100" i="13"/>
  <c r="R100" i="13"/>
  <c r="M101" i="13"/>
  <c r="N101" i="13"/>
  <c r="O101" i="13"/>
  <c r="P101" i="13"/>
  <c r="Q101" i="13"/>
  <c r="R101" i="13"/>
  <c r="M102" i="13"/>
  <c r="N102" i="13"/>
  <c r="O102" i="13"/>
  <c r="P102" i="13"/>
  <c r="Q102" i="13"/>
  <c r="R102" i="13"/>
  <c r="M103" i="13"/>
  <c r="N103" i="13"/>
  <c r="O103" i="13"/>
  <c r="P103" i="13"/>
  <c r="Q103" i="13"/>
  <c r="R103" i="13"/>
  <c r="M104" i="13"/>
  <c r="N104" i="13"/>
  <c r="O104" i="13"/>
  <c r="P104" i="13"/>
  <c r="Q104" i="13"/>
  <c r="R104" i="13"/>
  <c r="M105" i="13"/>
  <c r="N105" i="13"/>
  <c r="O105" i="13"/>
  <c r="P105" i="13"/>
  <c r="Q105" i="13"/>
  <c r="R105" i="13"/>
  <c r="M106" i="13"/>
  <c r="N106" i="13"/>
  <c r="O106" i="13"/>
  <c r="P106" i="13"/>
  <c r="Q106" i="13"/>
  <c r="R106" i="13"/>
  <c r="M107" i="13"/>
  <c r="N107" i="13"/>
  <c r="O107" i="13"/>
  <c r="P107" i="13"/>
  <c r="Q107" i="13"/>
  <c r="R107" i="13"/>
  <c r="M108" i="13"/>
  <c r="N108" i="13"/>
  <c r="O108" i="13"/>
  <c r="P108" i="13"/>
  <c r="Q108" i="13"/>
  <c r="R108" i="13"/>
  <c r="M109" i="13"/>
  <c r="N109" i="13"/>
  <c r="O109" i="13"/>
  <c r="P109" i="13"/>
  <c r="Q109" i="13"/>
  <c r="R109" i="13"/>
  <c r="M110" i="13"/>
  <c r="N110" i="13"/>
  <c r="O110" i="13"/>
  <c r="P110" i="13"/>
  <c r="Q110" i="13"/>
  <c r="R110" i="13"/>
  <c r="M111" i="13"/>
  <c r="N111" i="13"/>
  <c r="O111" i="13"/>
  <c r="P111" i="13"/>
  <c r="Q111" i="13"/>
  <c r="R111" i="13"/>
  <c r="M112" i="13"/>
  <c r="N112" i="13"/>
  <c r="O112" i="13"/>
  <c r="P112" i="13"/>
  <c r="Q112" i="13"/>
  <c r="R112" i="13"/>
  <c r="M113" i="13"/>
  <c r="N113" i="13"/>
  <c r="O113" i="13"/>
  <c r="P113" i="13"/>
  <c r="Q113" i="13"/>
  <c r="R113" i="13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R263" i="13"/>
  <c r="Q263" i="13"/>
  <c r="P263" i="13"/>
  <c r="O263" i="13"/>
  <c r="N263" i="13"/>
  <c r="M263" i="13"/>
  <c r="R262" i="13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R259" i="13"/>
  <c r="Q259" i="13"/>
  <c r="P259" i="13"/>
  <c r="O259" i="13"/>
  <c r="N259" i="13"/>
  <c r="M259" i="13"/>
  <c r="R258" i="13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R255" i="13"/>
  <c r="Q255" i="13"/>
  <c r="P255" i="13"/>
  <c r="O255" i="13"/>
  <c r="N255" i="13"/>
  <c r="M255" i="13"/>
  <c r="R254" i="13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R251" i="13"/>
  <c r="Q251" i="13"/>
  <c r="P251" i="13"/>
  <c r="O251" i="13"/>
  <c r="N251" i="13"/>
  <c r="M251" i="13"/>
  <c r="R250" i="13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R247" i="13"/>
  <c r="Q247" i="13"/>
  <c r="P247" i="13"/>
  <c r="O247" i="13"/>
  <c r="N247" i="13"/>
  <c r="M247" i="13"/>
  <c r="R246" i="13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R243" i="13"/>
  <c r="Q243" i="13"/>
  <c r="P243" i="13"/>
  <c r="O243" i="13"/>
  <c r="N243" i="13"/>
  <c r="M243" i="13"/>
  <c r="R242" i="13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R239" i="13"/>
  <c r="Q239" i="13"/>
  <c r="P239" i="13"/>
  <c r="O239" i="13"/>
  <c r="N239" i="13"/>
  <c r="M239" i="13"/>
  <c r="R238" i="13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R235" i="13"/>
  <c r="Q235" i="13"/>
  <c r="P235" i="13"/>
  <c r="O235" i="13"/>
  <c r="N235" i="13"/>
  <c r="M235" i="13"/>
  <c r="R234" i="13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R231" i="13"/>
  <c r="Q231" i="13"/>
  <c r="P231" i="13"/>
  <c r="O231" i="13"/>
  <c r="N231" i="13"/>
  <c r="M231" i="13"/>
  <c r="R230" i="13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R227" i="13"/>
  <c r="Q227" i="13"/>
  <c r="P227" i="13"/>
  <c r="O227" i="13"/>
  <c r="N227" i="13"/>
  <c r="M227" i="13"/>
  <c r="R226" i="13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R223" i="13"/>
  <c r="Q223" i="13"/>
  <c r="P223" i="13"/>
  <c r="O223" i="13"/>
  <c r="N223" i="13"/>
  <c r="M223" i="13"/>
  <c r="R222" i="13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R219" i="13"/>
  <c r="Q219" i="13"/>
  <c r="P219" i="13"/>
  <c r="O219" i="13"/>
  <c r="N219" i="13"/>
  <c r="M219" i="13"/>
  <c r="R218" i="13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R215" i="13"/>
  <c r="Q215" i="13"/>
  <c r="P215" i="13"/>
  <c r="O215" i="13"/>
  <c r="N215" i="13"/>
  <c r="M215" i="13"/>
  <c r="R214" i="13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R211" i="13"/>
  <c r="Q211" i="13"/>
  <c r="P211" i="13"/>
  <c r="O211" i="13"/>
  <c r="N211" i="13"/>
  <c r="M211" i="13"/>
  <c r="R210" i="13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R207" i="13"/>
  <c r="Q207" i="13"/>
  <c r="P207" i="13"/>
  <c r="O207" i="13"/>
  <c r="N207" i="13"/>
  <c r="M207" i="13"/>
  <c r="R206" i="13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R203" i="13"/>
  <c r="Q203" i="13"/>
  <c r="P203" i="13"/>
  <c r="O203" i="13"/>
  <c r="N203" i="13"/>
  <c r="M203" i="13"/>
  <c r="R202" i="13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R199" i="13"/>
  <c r="Q199" i="13"/>
  <c r="P199" i="13"/>
  <c r="O199" i="13"/>
  <c r="N199" i="13"/>
  <c r="M199" i="13"/>
  <c r="R198" i="13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R195" i="13"/>
  <c r="Q195" i="13"/>
  <c r="P195" i="13"/>
  <c r="O195" i="13"/>
  <c r="N195" i="13"/>
  <c r="M195" i="13"/>
  <c r="R194" i="13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R191" i="13"/>
  <c r="Q191" i="13"/>
  <c r="P191" i="13"/>
  <c r="O191" i="13"/>
  <c r="N191" i="13"/>
  <c r="M191" i="13"/>
  <c r="R190" i="13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R187" i="13"/>
  <c r="Q187" i="13"/>
  <c r="P187" i="13"/>
  <c r="O187" i="13"/>
  <c r="N187" i="13"/>
  <c r="M187" i="13"/>
  <c r="R186" i="13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R183" i="13"/>
  <c r="Q183" i="13"/>
  <c r="P183" i="13"/>
  <c r="O183" i="13"/>
  <c r="N183" i="13"/>
  <c r="M183" i="13"/>
  <c r="R182" i="13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R179" i="13"/>
  <c r="Q179" i="13"/>
  <c r="P179" i="13"/>
  <c r="O179" i="13"/>
  <c r="N179" i="13"/>
  <c r="M179" i="13"/>
  <c r="R178" i="13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R175" i="13"/>
  <c r="Q175" i="13"/>
  <c r="P175" i="13"/>
  <c r="O175" i="13"/>
  <c r="N175" i="13"/>
  <c r="M175" i="13"/>
  <c r="R174" i="13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R171" i="13"/>
  <c r="Q171" i="13"/>
  <c r="P171" i="13"/>
  <c r="O171" i="13"/>
  <c r="N171" i="13"/>
  <c r="M171" i="13"/>
  <c r="R170" i="13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R167" i="13"/>
  <c r="Q167" i="13"/>
  <c r="P167" i="13"/>
  <c r="O167" i="13"/>
  <c r="N167" i="13"/>
  <c r="M167" i="13"/>
  <c r="R166" i="13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R163" i="13"/>
  <c r="Q163" i="13"/>
  <c r="P163" i="13"/>
  <c r="O163" i="13"/>
  <c r="N163" i="13"/>
  <c r="M163" i="13"/>
  <c r="R162" i="13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R159" i="13"/>
  <c r="Q159" i="13"/>
  <c r="P159" i="13"/>
  <c r="O159" i="13"/>
  <c r="N159" i="13"/>
  <c r="M159" i="13"/>
  <c r="R158" i="13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R155" i="13"/>
  <c r="Q155" i="13"/>
  <c r="P155" i="13"/>
  <c r="O155" i="13"/>
  <c r="N155" i="13"/>
  <c r="M155" i="13"/>
  <c r="R154" i="13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R151" i="13"/>
  <c r="Q151" i="13"/>
  <c r="P151" i="13"/>
  <c r="O151" i="13"/>
  <c r="N151" i="13"/>
  <c r="M151" i="13"/>
  <c r="R150" i="13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R147" i="13"/>
  <c r="Q147" i="13"/>
  <c r="P147" i="13"/>
  <c r="O147" i="13"/>
  <c r="N147" i="13"/>
  <c r="M147" i="13"/>
  <c r="R146" i="13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R143" i="13"/>
  <c r="Q143" i="13"/>
  <c r="P143" i="13"/>
  <c r="O143" i="13"/>
  <c r="N143" i="13"/>
  <c r="M143" i="13"/>
  <c r="R142" i="13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R139" i="13"/>
  <c r="Q139" i="13"/>
  <c r="P139" i="13"/>
  <c r="O139" i="13"/>
  <c r="N139" i="13"/>
  <c r="M139" i="13"/>
  <c r="R138" i="13"/>
  <c r="Q138" i="13"/>
  <c r="P138" i="13"/>
  <c r="O138" i="13"/>
  <c r="N138" i="13"/>
  <c r="M138" i="13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R135" i="13"/>
  <c r="Q135" i="13"/>
  <c r="P135" i="13"/>
  <c r="O135" i="13"/>
  <c r="N135" i="13"/>
  <c r="M135" i="13"/>
  <c r="R134" i="13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R131" i="13"/>
  <c r="Q131" i="13"/>
  <c r="P131" i="13"/>
  <c r="O131" i="13"/>
  <c r="N131" i="13"/>
  <c r="M131" i="13"/>
  <c r="R130" i="13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R127" i="13"/>
  <c r="Q127" i="13"/>
  <c r="P127" i="13"/>
  <c r="O127" i="13"/>
  <c r="N127" i="13"/>
  <c r="M127" i="13"/>
  <c r="R126" i="13"/>
  <c r="Q126" i="13"/>
  <c r="P126" i="13"/>
  <c r="O126" i="13"/>
  <c r="N126" i="13"/>
  <c r="M126" i="13"/>
  <c r="R125" i="13"/>
  <c r="Q125" i="13"/>
  <c r="P125" i="13"/>
  <c r="O125" i="13"/>
  <c r="N125" i="13"/>
  <c r="M125" i="13"/>
  <c r="R124" i="13"/>
  <c r="Q124" i="13"/>
  <c r="P124" i="13"/>
  <c r="O124" i="13"/>
  <c r="N124" i="13"/>
  <c r="M124" i="13"/>
  <c r="R123" i="13"/>
  <c r="Q123" i="13"/>
  <c r="P123" i="13"/>
  <c r="O123" i="13"/>
  <c r="N123" i="13"/>
  <c r="M123" i="13"/>
  <c r="R122" i="13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Q120" i="13"/>
  <c r="P120" i="13"/>
  <c r="O120" i="13"/>
  <c r="N120" i="13"/>
  <c r="M120" i="13"/>
  <c r="R119" i="13"/>
  <c r="Q119" i="13"/>
  <c r="P119" i="13"/>
  <c r="O119" i="13"/>
  <c r="N119" i="13"/>
  <c r="M119" i="13"/>
  <c r="R118" i="13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R115" i="13"/>
  <c r="Q115" i="13"/>
  <c r="P115" i="13"/>
  <c r="O115" i="13"/>
  <c r="N115" i="13"/>
  <c r="M115" i="13"/>
  <c r="R114" i="13"/>
  <c r="Q114" i="13"/>
  <c r="P114" i="13"/>
  <c r="O114" i="13"/>
  <c r="N114" i="13"/>
  <c r="M114" i="13"/>
  <c r="R87" i="13"/>
  <c r="Q87" i="13"/>
  <c r="P87" i="13"/>
  <c r="O87" i="13"/>
  <c r="N87" i="13"/>
  <c r="M87" i="13"/>
  <c r="R86" i="13"/>
  <c r="Q86" i="13"/>
  <c r="P86" i="13"/>
  <c r="O86" i="13"/>
  <c r="N86" i="13"/>
  <c r="M86" i="13"/>
  <c r="E37" i="13"/>
  <c r="E36" i="13"/>
  <c r="E35" i="13"/>
  <c r="B3" i="10"/>
  <c r="B3" i="9"/>
  <c r="B3" i="8"/>
  <c r="B3" i="7"/>
  <c r="B3" i="6"/>
  <c r="B3" i="5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W61" i="2"/>
  <c r="W62" i="2"/>
  <c r="W68" i="2"/>
  <c r="W63" i="2"/>
  <c r="W67" i="2"/>
  <c r="W64" i="2"/>
  <c r="W65" i="2"/>
  <c r="W66" i="2"/>
  <c r="O61" i="2"/>
  <c r="O62" i="2"/>
  <c r="O63" i="2"/>
  <c r="O64" i="2"/>
  <c r="O67" i="2"/>
  <c r="O68" i="2"/>
  <c r="O65" i="2"/>
  <c r="O66" i="2"/>
  <c r="G61" i="2"/>
  <c r="G62" i="2"/>
  <c r="G67" i="2"/>
  <c r="G63" i="2"/>
  <c r="G64" i="2"/>
  <c r="G65" i="2"/>
  <c r="G68" i="2"/>
  <c r="G66" i="2"/>
  <c r="M67" i="2"/>
  <c r="M68" i="2"/>
  <c r="M61" i="2"/>
  <c r="M65" i="2"/>
  <c r="M62" i="2"/>
  <c r="M66" i="2"/>
  <c r="M63" i="2"/>
  <c r="M64" i="2"/>
  <c r="V67" i="2"/>
  <c r="V68" i="2"/>
  <c r="V61" i="2"/>
  <c r="V62" i="2"/>
  <c r="V63" i="2"/>
  <c r="V64" i="2"/>
  <c r="V66" i="2"/>
  <c r="V65" i="2"/>
  <c r="N68" i="2"/>
  <c r="N66" i="2"/>
  <c r="N67" i="2"/>
  <c r="N61" i="2"/>
  <c r="N62" i="2"/>
  <c r="N63" i="2"/>
  <c r="N64" i="2"/>
  <c r="N65" i="2"/>
  <c r="F68" i="2"/>
  <c r="F61" i="2"/>
  <c r="F62" i="2"/>
  <c r="F67" i="2"/>
  <c r="F63" i="2"/>
  <c r="F66" i="2"/>
  <c r="F64" i="2"/>
  <c r="F65" i="2"/>
  <c r="E67" i="2"/>
  <c r="E68" i="2"/>
  <c r="E65" i="2"/>
  <c r="E61" i="2"/>
  <c r="E62" i="2"/>
  <c r="E63" i="2"/>
  <c r="E66" i="2"/>
  <c r="E64" i="2"/>
  <c r="B64" i="2"/>
  <c r="B65" i="2"/>
  <c r="B66" i="2"/>
  <c r="B62" i="2"/>
  <c r="B63" i="2"/>
  <c r="B67" i="2"/>
  <c r="B68" i="2"/>
  <c r="B61" i="2"/>
  <c r="U65" i="2"/>
  <c r="U67" i="2"/>
  <c r="U68" i="2"/>
  <c r="U66" i="2"/>
  <c r="U61" i="2"/>
  <c r="U62" i="2"/>
  <c r="U63" i="2"/>
  <c r="U64" i="2"/>
  <c r="T65" i="2"/>
  <c r="T66" i="2"/>
  <c r="T67" i="2"/>
  <c r="T68" i="2"/>
  <c r="T61" i="2"/>
  <c r="T62" i="2"/>
  <c r="T64" i="2"/>
  <c r="T63" i="2"/>
  <c r="L66" i="2"/>
  <c r="L64" i="2"/>
  <c r="L67" i="2"/>
  <c r="L68" i="2"/>
  <c r="L65" i="2"/>
  <c r="L61" i="2"/>
  <c r="L62" i="2"/>
  <c r="L63" i="2"/>
  <c r="D66" i="2"/>
  <c r="D65" i="2"/>
  <c r="D67" i="2"/>
  <c r="D68" i="2"/>
  <c r="D61" i="2"/>
  <c r="D64" i="2"/>
  <c r="D62" i="2"/>
  <c r="D63" i="2"/>
  <c r="K65" i="2"/>
  <c r="K66" i="2"/>
  <c r="K67" i="2"/>
  <c r="K63" i="2"/>
  <c r="K68" i="2"/>
  <c r="K64" i="2"/>
  <c r="K61" i="2"/>
  <c r="K62" i="2"/>
  <c r="S63" i="2"/>
  <c r="S65" i="2"/>
  <c r="S66" i="2"/>
  <c r="S64" i="2"/>
  <c r="S67" i="2"/>
  <c r="S68" i="2"/>
  <c r="S61" i="2"/>
  <c r="S62" i="2"/>
  <c r="C64" i="2"/>
  <c r="C65" i="2"/>
  <c r="C66" i="2"/>
  <c r="C63" i="2"/>
  <c r="C67" i="2"/>
  <c r="C68" i="2"/>
  <c r="C61" i="2"/>
  <c r="C62" i="2"/>
  <c r="J64" i="2"/>
  <c r="J65" i="2"/>
  <c r="J66" i="2"/>
  <c r="J63" i="2"/>
  <c r="J67" i="2"/>
  <c r="J68" i="2"/>
  <c r="J62" i="2"/>
  <c r="J61" i="2"/>
  <c r="Q62" i="2"/>
  <c r="Q63" i="2"/>
  <c r="Q61" i="2"/>
  <c r="Q64" i="2"/>
  <c r="Q65" i="2"/>
  <c r="Q66" i="2"/>
  <c r="Q67" i="2"/>
  <c r="Q68" i="2"/>
  <c r="I61" i="2"/>
  <c r="I63" i="2"/>
  <c r="I64" i="2"/>
  <c r="I65" i="2"/>
  <c r="I66" i="2"/>
  <c r="I67" i="2"/>
  <c r="I62" i="2"/>
  <c r="I68" i="2"/>
  <c r="X62" i="2"/>
  <c r="X63" i="2"/>
  <c r="X68" i="2"/>
  <c r="X64" i="2"/>
  <c r="X65" i="2"/>
  <c r="X61" i="2"/>
  <c r="X66" i="2"/>
  <c r="X67" i="2"/>
  <c r="P62" i="2"/>
  <c r="P63" i="2"/>
  <c r="P61" i="2"/>
  <c r="P64" i="2"/>
  <c r="P65" i="2"/>
  <c r="P66" i="2"/>
  <c r="P68" i="2"/>
  <c r="P67" i="2"/>
  <c r="H68" i="2"/>
  <c r="H62" i="2"/>
  <c r="H61" i="2"/>
  <c r="H63" i="2"/>
  <c r="H64" i="2"/>
  <c r="H65" i="2"/>
  <c r="H66" i="2"/>
  <c r="H67" i="2"/>
  <c r="R64" i="2"/>
  <c r="R65" i="2"/>
  <c r="R66" i="2"/>
  <c r="R67" i="2"/>
  <c r="R62" i="2"/>
  <c r="R68" i="2"/>
  <c r="R63" i="2"/>
  <c r="R61" i="2"/>
  <c r="A4" i="2"/>
  <c r="X60" i="2"/>
  <c r="P60" i="2"/>
  <c r="H60" i="2"/>
  <c r="X59" i="2"/>
  <c r="P59" i="2"/>
  <c r="H59" i="2"/>
  <c r="X58" i="2"/>
  <c r="P58" i="2"/>
  <c r="H58" i="2"/>
  <c r="X57" i="2"/>
  <c r="P57" i="2"/>
  <c r="H57" i="2"/>
  <c r="X56" i="2"/>
  <c r="P56" i="2"/>
  <c r="H56" i="2"/>
  <c r="I56" i="2"/>
  <c r="W60" i="2"/>
  <c r="O60" i="2"/>
  <c r="G60" i="2"/>
  <c r="W59" i="2"/>
  <c r="O59" i="2"/>
  <c r="G59" i="2"/>
  <c r="W58" i="2"/>
  <c r="O58" i="2"/>
  <c r="G58" i="2"/>
  <c r="W57" i="2"/>
  <c r="O57" i="2"/>
  <c r="G57" i="2"/>
  <c r="W56" i="2"/>
  <c r="O56" i="2"/>
  <c r="G56" i="2"/>
  <c r="V60" i="2"/>
  <c r="N60" i="2"/>
  <c r="F60" i="2"/>
  <c r="V59" i="2"/>
  <c r="N59" i="2"/>
  <c r="F59" i="2"/>
  <c r="V58" i="2"/>
  <c r="N58" i="2"/>
  <c r="F58" i="2"/>
  <c r="V57" i="2"/>
  <c r="N57" i="2"/>
  <c r="F57" i="2"/>
  <c r="V56" i="2"/>
  <c r="N56" i="2"/>
  <c r="F56" i="2"/>
  <c r="Y58" i="2"/>
  <c r="U60" i="2"/>
  <c r="M60" i="2"/>
  <c r="E60" i="2"/>
  <c r="U59" i="2"/>
  <c r="M59" i="2"/>
  <c r="E59" i="2"/>
  <c r="U58" i="2"/>
  <c r="M58" i="2"/>
  <c r="E58" i="2"/>
  <c r="U57" i="2"/>
  <c r="M57" i="2"/>
  <c r="E57" i="2"/>
  <c r="U56" i="2"/>
  <c r="M56" i="2"/>
  <c r="E56" i="2"/>
  <c r="I57" i="2"/>
  <c r="T60" i="2"/>
  <c r="L60" i="2"/>
  <c r="D60" i="2"/>
  <c r="T59" i="2"/>
  <c r="L59" i="2"/>
  <c r="D59" i="2"/>
  <c r="T58" i="2"/>
  <c r="L58" i="2"/>
  <c r="D58" i="2"/>
  <c r="T57" i="2"/>
  <c r="L57" i="2"/>
  <c r="D57" i="2"/>
  <c r="T56" i="2"/>
  <c r="L56" i="2"/>
  <c r="D56" i="2"/>
  <c r="B58" i="2"/>
  <c r="R56" i="2"/>
  <c r="I60" i="2"/>
  <c r="Q59" i="2"/>
  <c r="Q58" i="2"/>
  <c r="Y56" i="2"/>
  <c r="S60" i="2"/>
  <c r="K60" i="2"/>
  <c r="C60" i="2"/>
  <c r="S59" i="2"/>
  <c r="K59" i="2"/>
  <c r="C59" i="2"/>
  <c r="S58" i="2"/>
  <c r="K58" i="2"/>
  <c r="C58" i="2"/>
  <c r="S57" i="2"/>
  <c r="K57" i="2"/>
  <c r="C57" i="2"/>
  <c r="S56" i="2"/>
  <c r="K56" i="2"/>
  <c r="C56" i="2"/>
  <c r="R57" i="2"/>
  <c r="J56" i="2"/>
  <c r="Y59" i="2"/>
  <c r="I59" i="2"/>
  <c r="Y57" i="2"/>
  <c r="Q56" i="2"/>
  <c r="R60" i="2"/>
  <c r="J60" i="2"/>
  <c r="B60" i="2"/>
  <c r="R59" i="2"/>
  <c r="J59" i="2"/>
  <c r="B59" i="2"/>
  <c r="R58" i="2"/>
  <c r="J58" i="2"/>
  <c r="J57" i="2"/>
  <c r="B57" i="2"/>
  <c r="B56" i="2"/>
  <c r="Q57" i="2"/>
  <c r="Q60" i="2"/>
  <c r="I58" i="2"/>
  <c r="H55" i="2"/>
  <c r="M55" i="2"/>
  <c r="C55" i="2"/>
  <c r="K54" i="2"/>
  <c r="Q47" i="2"/>
  <c r="B49" i="2"/>
  <c r="R52" i="2"/>
  <c r="X50" i="2"/>
  <c r="J46" i="2"/>
  <c r="R47" i="2"/>
  <c r="O52" i="2"/>
  <c r="M54" i="2"/>
  <c r="N46" i="2"/>
  <c r="H46" i="2"/>
  <c r="E43" i="2"/>
  <c r="G50" i="2"/>
  <c r="W54" i="2"/>
  <c r="P48" i="2"/>
  <c r="E50" i="2"/>
  <c r="Y51" i="2"/>
  <c r="I54" i="2"/>
  <c r="L52" i="2"/>
  <c r="B46" i="2"/>
  <c r="B43" i="2"/>
  <c r="O47" i="2"/>
  <c r="K46" i="2"/>
  <c r="W46" i="2"/>
  <c r="J53" i="2"/>
  <c r="U52" i="2"/>
  <c r="F43" i="2"/>
  <c r="L47" i="2"/>
  <c r="S53" i="2"/>
  <c r="E48" i="2"/>
  <c r="Y46" i="2"/>
  <c r="P54" i="2"/>
  <c r="W55" i="2"/>
  <c r="E55" i="2"/>
  <c r="R55" i="2"/>
  <c r="C53" i="2"/>
  <c r="S51" i="2"/>
  <c r="T48" i="2"/>
  <c r="S48" i="2"/>
  <c r="F51" i="2"/>
  <c r="Y48" i="2"/>
  <c r="V51" i="2"/>
  <c r="W44" i="2"/>
  <c r="Y54" i="2"/>
  <c r="D43" i="2"/>
  <c r="B51" i="2"/>
  <c r="O45" i="2"/>
  <c r="R50" i="2"/>
  <c r="R54" i="2"/>
  <c r="F46" i="2"/>
  <c r="M45" i="2"/>
  <c r="M43" i="2"/>
  <c r="F50" i="2"/>
  <c r="V52" i="2"/>
  <c r="K43" i="2"/>
  <c r="D45" i="2"/>
  <c r="S45" i="2"/>
  <c r="O46" i="2"/>
  <c r="E47" i="2"/>
  <c r="N49" i="2"/>
  <c r="T51" i="2"/>
  <c r="F44" i="2"/>
  <c r="Q53" i="2"/>
  <c r="C43" i="2"/>
  <c r="W47" i="2"/>
  <c r="N45" i="2"/>
  <c r="N54" i="2"/>
  <c r="P51" i="2"/>
  <c r="X46" i="2"/>
  <c r="F47" i="2"/>
  <c r="L46" i="2"/>
  <c r="O55" i="2"/>
  <c r="T55" i="2"/>
  <c r="B55" i="2"/>
  <c r="U51" i="2"/>
  <c r="D51" i="2"/>
  <c r="W52" i="2"/>
  <c r="I53" i="2"/>
  <c r="G46" i="2"/>
  <c r="W49" i="2"/>
  <c r="D50" i="2"/>
  <c r="J48" i="2"/>
  <c r="H50" i="2"/>
  <c r="U50" i="2"/>
  <c r="V44" i="2"/>
  <c r="X44" i="2"/>
  <c r="Q45" i="2"/>
  <c r="Q54" i="2"/>
  <c r="I47" i="2"/>
  <c r="S46" i="2"/>
  <c r="L49" i="2"/>
  <c r="F45" i="2"/>
  <c r="M53" i="2"/>
  <c r="V50" i="2"/>
  <c r="Y52" i="2"/>
  <c r="Q49" i="2"/>
  <c r="M51" i="2"/>
  <c r="V47" i="2"/>
  <c r="M46" i="2"/>
  <c r="G51" i="2"/>
  <c r="I44" i="2"/>
  <c r="I48" i="2"/>
  <c r="X54" i="2"/>
  <c r="U53" i="2"/>
  <c r="W43" i="2"/>
  <c r="S54" i="2"/>
  <c r="E45" i="2"/>
  <c r="G55" i="2"/>
  <c r="L55" i="2"/>
  <c r="I55" i="2"/>
  <c r="V46" i="2"/>
  <c r="V48" i="2"/>
  <c r="B44" i="2"/>
  <c r="Q43" i="2"/>
  <c r="G49" i="2"/>
  <c r="H48" i="2"/>
  <c r="D53" i="2"/>
  <c r="U48" i="2"/>
  <c r="Y49" i="2"/>
  <c r="T43" i="2"/>
  <c r="U44" i="2"/>
  <c r="J43" i="2"/>
  <c r="R48" i="2"/>
  <c r="B45" i="2"/>
  <c r="K47" i="2"/>
  <c r="M50" i="2"/>
  <c r="Q48" i="2"/>
  <c r="O43" i="2"/>
  <c r="E49" i="2"/>
  <c r="X47" i="2"/>
  <c r="U46" i="2"/>
  <c r="F52" i="2"/>
  <c r="M47" i="2"/>
  <c r="W53" i="2"/>
  <c r="J49" i="2"/>
  <c r="P52" i="2"/>
  <c r="L43" i="2"/>
  <c r="E52" i="2"/>
  <c r="V54" i="2"/>
  <c r="F49" i="2"/>
  <c r="C51" i="2"/>
  <c r="L53" i="2"/>
  <c r="P44" i="2"/>
  <c r="B47" i="2"/>
  <c r="H45" i="2"/>
  <c r="U45" i="2"/>
  <c r="C44" i="2"/>
  <c r="G52" i="2"/>
  <c r="T49" i="2"/>
  <c r="X49" i="2"/>
  <c r="U49" i="2"/>
  <c r="C46" i="2"/>
  <c r="D48" i="2"/>
  <c r="U55" i="2"/>
  <c r="D55" i="2"/>
  <c r="Q55" i="2"/>
  <c r="J47" i="2"/>
  <c r="H49" i="2"/>
  <c r="K51" i="2"/>
  <c r="T45" i="2"/>
  <c r="M44" i="2"/>
  <c r="P45" i="2"/>
  <c r="V43" i="2"/>
  <c r="K52" i="2"/>
  <c r="W51" i="2"/>
  <c r="T52" i="2"/>
  <c r="S52" i="2"/>
  <c r="C52" i="2"/>
  <c r="H43" i="2"/>
  <c r="G44" i="2"/>
  <c r="O53" i="2"/>
  <c r="J50" i="2"/>
  <c r="C49" i="2"/>
  <c r="X43" i="2"/>
  <c r="W50" i="2"/>
  <c r="S44" i="2"/>
  <c r="I45" i="2"/>
  <c r="Y43" i="2"/>
  <c r="G54" i="2"/>
  <c r="L48" i="2"/>
  <c r="D49" i="2"/>
  <c r="Q44" i="2"/>
  <c r="Y45" i="2"/>
  <c r="B52" i="2"/>
  <c r="D54" i="2"/>
  <c r="R49" i="2"/>
  <c r="V53" i="2"/>
  <c r="C48" i="2"/>
  <c r="K44" i="2"/>
  <c r="E46" i="2"/>
  <c r="T53" i="2"/>
  <c r="D46" i="2"/>
  <c r="O54" i="2"/>
  <c r="D44" i="2"/>
  <c r="X53" i="2"/>
  <c r="U47" i="2"/>
  <c r="R45" i="2"/>
  <c r="N53" i="2"/>
  <c r="V55" i="2"/>
  <c r="J55" i="2"/>
  <c r="Y55" i="2"/>
  <c r="J45" i="2"/>
  <c r="V45" i="2"/>
  <c r="Q46" i="2"/>
  <c r="E54" i="2"/>
  <c r="G45" i="2"/>
  <c r="X48" i="2"/>
  <c r="I43" i="2"/>
  <c r="P47" i="2"/>
  <c r="B48" i="2"/>
  <c r="P43" i="2"/>
  <c r="Y53" i="2"/>
  <c r="E44" i="2"/>
  <c r="C47" i="2"/>
  <c r="T44" i="2"/>
  <c r="K45" i="2"/>
  <c r="K53" i="2"/>
  <c r="S47" i="2"/>
  <c r="L51" i="2"/>
  <c r="K50" i="2"/>
  <c r="N44" i="2"/>
  <c r="U43" i="2"/>
  <c r="T47" i="2"/>
  <c r="L54" i="2"/>
  <c r="M48" i="2"/>
  <c r="E53" i="2"/>
  <c r="T46" i="2"/>
  <c r="N48" i="2"/>
  <c r="W48" i="2"/>
  <c r="H53" i="2"/>
  <c r="J44" i="2"/>
  <c r="Q52" i="2"/>
  <c r="N43" i="2"/>
  <c r="Y44" i="2"/>
  <c r="H52" i="2"/>
  <c r="L44" i="2"/>
  <c r="F53" i="2"/>
  <c r="O50" i="2"/>
  <c r="L50" i="2"/>
  <c r="B54" i="2"/>
  <c r="X52" i="2"/>
  <c r="F48" i="2"/>
  <c r="K48" i="2"/>
  <c r="R53" i="2"/>
  <c r="S50" i="2"/>
  <c r="X55" i="2"/>
  <c r="N55" i="2"/>
  <c r="S55" i="2"/>
  <c r="H54" i="2"/>
  <c r="H51" i="2"/>
  <c r="H47" i="2"/>
  <c r="J51" i="2"/>
  <c r="U54" i="2"/>
  <c r="R51" i="2"/>
  <c r="B50" i="2"/>
  <c r="G47" i="2"/>
  <c r="S43" i="2"/>
  <c r="W45" i="2"/>
  <c r="O44" i="2"/>
  <c r="N50" i="2"/>
  <c r="R46" i="2"/>
  <c r="G43" i="2"/>
  <c r="Q50" i="2"/>
  <c r="B53" i="2"/>
  <c r="H44" i="2"/>
  <c r="P50" i="2"/>
  <c r="D47" i="2"/>
  <c r="O49" i="2"/>
  <c r="R43" i="2"/>
  <c r="T50" i="2"/>
  <c r="N51" i="2"/>
  <c r="P55" i="2"/>
  <c r="F55" i="2"/>
  <c r="K55" i="2"/>
  <c r="F54" i="2"/>
  <c r="Q51" i="2"/>
  <c r="V49" i="2"/>
  <c r="I46" i="2"/>
  <c r="C54" i="2"/>
  <c r="K49" i="2"/>
  <c r="I50" i="2"/>
  <c r="M49" i="2"/>
  <c r="J54" i="2"/>
  <c r="E51" i="2"/>
  <c r="G48" i="2"/>
  <c r="I52" i="2"/>
  <c r="I49" i="2"/>
  <c r="X45" i="2"/>
  <c r="P46" i="2"/>
  <c r="O51" i="2"/>
  <c r="I51" i="2"/>
  <c r="T54" i="2"/>
  <c r="Y47" i="2"/>
  <c r="G53" i="2"/>
  <c r="O48" i="2"/>
  <c r="P49" i="2"/>
  <c r="M52" i="2"/>
  <c r="N52" i="2"/>
  <c r="D52" i="2"/>
  <c r="X51" i="2"/>
  <c r="S49" i="2"/>
  <c r="C45" i="2"/>
  <c r="Y50" i="2"/>
  <c r="R44" i="2"/>
  <c r="L45" i="2"/>
  <c r="J52" i="2"/>
  <c r="P53" i="2"/>
  <c r="N47" i="2"/>
  <c r="C50" i="2"/>
  <c r="B82" i="13" l="1"/>
  <c r="G1" i="14"/>
  <c r="F1" i="14"/>
  <c r="H82" i="13"/>
  <c r="H83" i="13" s="1"/>
  <c r="J82" i="13"/>
  <c r="J83" i="13" s="1"/>
  <c r="L82" i="13"/>
  <c r="L84" i="13" s="1"/>
  <c r="G82" i="13"/>
  <c r="G84" i="13" s="1"/>
  <c r="Z10" i="4"/>
  <c r="Z5" i="4"/>
  <c r="Z6" i="4"/>
  <c r="I82" i="13"/>
  <c r="K82" i="13"/>
  <c r="Z7" i="4"/>
  <c r="Z8" i="4"/>
  <c r="Z12" i="4"/>
  <c r="A1" i="16"/>
  <c r="H33" i="13" l="1"/>
  <c r="E40" i="13"/>
  <c r="G5" i="13"/>
  <c r="B2" i="13"/>
  <c r="G83" i="13"/>
  <c r="H84" i="13"/>
  <c r="J84" i="13"/>
  <c r="L83" i="13"/>
  <c r="I84" i="13"/>
  <c r="I83" i="13"/>
  <c r="E44" i="13"/>
  <c r="H37" i="13"/>
  <c r="K84" i="13"/>
  <c r="K83" i="13"/>
  <c r="F5" i="14" l="1"/>
  <c r="H5" i="14" s="1"/>
  <c r="F5" i="15"/>
  <c r="F2" i="15" s="1"/>
  <c r="E42" i="13"/>
  <c r="H35" i="13"/>
  <c r="E43" i="13"/>
  <c r="H36" i="13"/>
  <c r="H5" i="15" l="1"/>
  <c r="H2" i="15" s="1"/>
  <c r="G38" i="15" l="1"/>
  <c r="G23" i="15"/>
  <c r="G8" i="15"/>
  <c r="H38" i="15" l="1"/>
  <c r="H23" i="15"/>
  <c r="H8" i="15"/>
  <c r="E38" i="15"/>
  <c r="E23" i="15"/>
  <c r="E8" i="15"/>
  <c r="F8" i="15"/>
  <c r="F38" i="15"/>
  <c r="F23" i="15"/>
  <c r="U8" i="2"/>
  <c r="X29" i="2"/>
  <c r="N10" i="2"/>
  <c r="N35" i="2"/>
  <c r="G29" i="14"/>
  <c r="E17" i="2"/>
  <c r="D34" i="2"/>
  <c r="M23" i="2"/>
  <c r="S14" i="2"/>
  <c r="S29" i="2"/>
  <c r="O31" i="2"/>
  <c r="M13" i="2"/>
  <c r="W41" i="2"/>
  <c r="P25" i="2"/>
  <c r="F10" i="15"/>
  <c r="H17" i="14"/>
  <c r="E16" i="2"/>
  <c r="V29" i="2"/>
  <c r="C8" i="2"/>
  <c r="F41" i="14"/>
  <c r="G18" i="14"/>
  <c r="M7" i="2"/>
  <c r="J13" i="2"/>
  <c r="E30" i="2"/>
  <c r="T14" i="2"/>
  <c r="M16" i="2"/>
  <c r="F11" i="2"/>
  <c r="T36" i="2"/>
  <c r="B6" i="2"/>
  <c r="L8" i="2"/>
  <c r="H44" i="14"/>
  <c r="L35" i="2"/>
  <c r="V35" i="2"/>
  <c r="F13" i="2"/>
  <c r="L24" i="2"/>
  <c r="T34" i="2"/>
  <c r="T41" i="2"/>
  <c r="M33" i="2"/>
  <c r="Y38" i="2"/>
  <c r="T18" i="2"/>
  <c r="F23" i="2"/>
  <c r="P19" i="2"/>
  <c r="K31" i="2"/>
  <c r="E36" i="2"/>
  <c r="D36" i="2"/>
  <c r="N9" i="2"/>
  <c r="I35" i="2"/>
  <c r="T20" i="2"/>
  <c r="O32" i="2"/>
  <c r="W26" i="2"/>
  <c r="C34" i="2"/>
  <c r="G44" i="14"/>
  <c r="M12" i="2"/>
  <c r="O7" i="2"/>
  <c r="K24" i="2"/>
  <c r="U11" i="2"/>
  <c r="K9" i="2"/>
  <c r="V34" i="2"/>
  <c r="L14" i="2"/>
  <c r="W13" i="2"/>
  <c r="C15" i="2"/>
  <c r="P13" i="2"/>
  <c r="H16" i="14"/>
  <c r="P41" i="2"/>
  <c r="I16" i="2"/>
  <c r="L42" i="2"/>
  <c r="H11" i="2"/>
  <c r="I15" i="2"/>
  <c r="H28" i="14"/>
  <c r="U12" i="2"/>
  <c r="C39" i="2"/>
  <c r="N36" i="2"/>
  <c r="Y41" i="2"/>
  <c r="N12" i="2"/>
  <c r="O30" i="2"/>
  <c r="V20" i="2"/>
  <c r="B17" i="2"/>
  <c r="N20" i="2"/>
  <c r="R32" i="2"/>
  <c r="P29" i="2"/>
  <c r="D18" i="2"/>
  <c r="I21" i="2"/>
  <c r="X22" i="2"/>
  <c r="G39" i="14"/>
  <c r="X30" i="2"/>
  <c r="X34" i="2"/>
  <c r="U28" i="2"/>
  <c r="S15" i="2"/>
  <c r="C21" i="2"/>
  <c r="E31" i="2"/>
  <c r="G11" i="14"/>
  <c r="G10" i="14"/>
  <c r="R5" i="2"/>
  <c r="G16" i="2"/>
  <c r="C42" i="2"/>
  <c r="G31" i="14"/>
  <c r="G9" i="14"/>
  <c r="G18" i="2"/>
  <c r="J12" i="2"/>
  <c r="J24" i="2"/>
  <c r="J23" i="2"/>
  <c r="T15" i="2"/>
  <c r="J41" i="2"/>
  <c r="X23" i="2"/>
  <c r="X28" i="2"/>
  <c r="F13" i="15"/>
  <c r="V12" i="2"/>
  <c r="Y5" i="2"/>
  <c r="N14" i="2"/>
  <c r="W22" i="2"/>
  <c r="H44" i="15"/>
  <c r="I48" i="14"/>
  <c r="H41" i="15"/>
  <c r="E6" i="2"/>
  <c r="I14" i="14"/>
  <c r="F16" i="14"/>
  <c r="H11" i="15"/>
  <c r="P15" i="2"/>
  <c r="H27" i="15"/>
  <c r="V33" i="2"/>
  <c r="F18" i="15"/>
  <c r="F18" i="2"/>
  <c r="I12" i="14"/>
  <c r="D37" i="2"/>
  <c r="F7" i="2"/>
  <c r="N40" i="2"/>
  <c r="K26" i="2"/>
  <c r="W27" i="2"/>
  <c r="P21" i="2"/>
  <c r="G17" i="2"/>
  <c r="H33" i="2"/>
  <c r="X32" i="2"/>
  <c r="N15" i="2"/>
  <c r="S18" i="2"/>
  <c r="F27" i="15"/>
  <c r="H43" i="14"/>
  <c r="Y33" i="2"/>
  <c r="S33" i="2"/>
  <c r="H31" i="14"/>
  <c r="H6" i="2"/>
  <c r="C17" i="2"/>
  <c r="S42" i="2"/>
  <c r="S30" i="2"/>
  <c r="D19" i="2"/>
  <c r="D25" i="2"/>
  <c r="G46" i="14"/>
  <c r="U29" i="2"/>
  <c r="K41" i="2"/>
  <c r="O38" i="2"/>
  <c r="S37" i="2"/>
  <c r="I33" i="14"/>
  <c r="I47" i="15"/>
  <c r="K22" i="2"/>
  <c r="E14" i="2"/>
  <c r="U34" i="2"/>
  <c r="R42" i="2"/>
  <c r="Y19" i="2"/>
  <c r="N11" i="2"/>
  <c r="M26" i="2"/>
  <c r="R38" i="2"/>
  <c r="V25" i="2"/>
  <c r="X14" i="2"/>
  <c r="W23" i="2"/>
  <c r="U38" i="2"/>
  <c r="G17" i="14"/>
  <c r="Y8" i="2"/>
  <c r="I13" i="2"/>
  <c r="I13" i="14"/>
  <c r="P39" i="2"/>
  <c r="X35" i="2"/>
  <c r="N16" i="2"/>
  <c r="D5" i="2"/>
  <c r="G38" i="2"/>
  <c r="V7" i="2"/>
  <c r="Y35" i="2"/>
  <c r="Q41" i="2"/>
  <c r="F37" i="2"/>
  <c r="K35" i="2"/>
  <c r="U21" i="2"/>
  <c r="M27" i="2"/>
  <c r="D24" i="2"/>
  <c r="E29" i="2"/>
  <c r="F40" i="14"/>
  <c r="Y13" i="2"/>
  <c r="C7" i="2"/>
  <c r="W30" i="2"/>
  <c r="V9" i="2"/>
  <c r="G11" i="2"/>
  <c r="N8" i="2"/>
  <c r="B15" i="2"/>
  <c r="J40" i="2"/>
  <c r="B35" i="2"/>
  <c r="U10" i="2"/>
  <c r="C20" i="2"/>
  <c r="U24" i="2"/>
  <c r="P8" i="2"/>
  <c r="M36" i="2"/>
  <c r="F28" i="2"/>
  <c r="I24" i="15"/>
  <c r="N34" i="2"/>
  <c r="L41" i="2"/>
  <c r="M35" i="2"/>
  <c r="P40" i="2"/>
  <c r="T16" i="2"/>
  <c r="P16" i="2"/>
  <c r="M28" i="2"/>
  <c r="K7" i="2"/>
  <c r="J16" i="2"/>
  <c r="G15" i="2"/>
  <c r="J27" i="2"/>
  <c r="P36" i="2"/>
  <c r="Y27" i="2"/>
  <c r="R29" i="2"/>
  <c r="D11" i="2"/>
  <c r="T33" i="2"/>
  <c r="M37" i="2"/>
  <c r="S24" i="2"/>
  <c r="M9" i="2"/>
  <c r="T9" i="2"/>
  <c r="E13" i="2"/>
  <c r="J9" i="2"/>
  <c r="I37" i="2"/>
  <c r="R41" i="2"/>
  <c r="J7" i="2"/>
  <c r="T23" i="2"/>
  <c r="I45" i="14"/>
  <c r="F14" i="15"/>
  <c r="P6" i="2"/>
  <c r="C14" i="2"/>
  <c r="K20" i="2"/>
  <c r="I27" i="15"/>
  <c r="H9" i="15"/>
  <c r="I39" i="15"/>
  <c r="D35" i="2"/>
  <c r="W16" i="2"/>
  <c r="S35" i="2"/>
  <c r="I31" i="2"/>
  <c r="F15" i="14"/>
  <c r="R28" i="2"/>
  <c r="H36" i="2"/>
  <c r="V16" i="2"/>
  <c r="M22" i="2"/>
  <c r="U13" i="2"/>
  <c r="H39" i="15"/>
  <c r="Y21" i="2"/>
  <c r="E10" i="2"/>
  <c r="S39" i="2"/>
  <c r="I43" i="15"/>
  <c r="Y20" i="2"/>
  <c r="C25" i="2"/>
  <c r="C23" i="2"/>
  <c r="X19" i="2"/>
  <c r="F39" i="2"/>
  <c r="B29" i="2"/>
  <c r="W15" i="2"/>
  <c r="I23" i="2"/>
  <c r="D42" i="2"/>
  <c r="N31" i="2"/>
  <c r="R17" i="2"/>
  <c r="M24" i="2"/>
  <c r="B41" i="2"/>
  <c r="F24" i="15"/>
  <c r="L31" i="2"/>
  <c r="W34" i="2"/>
  <c r="Q24" i="2"/>
  <c r="L18" i="2"/>
  <c r="J5" i="2"/>
  <c r="D17" i="2"/>
  <c r="U41" i="2"/>
  <c r="W14" i="2"/>
  <c r="X9" i="2"/>
  <c r="R35" i="2"/>
  <c r="U33" i="2"/>
  <c r="F22" i="2"/>
  <c r="K29" i="2"/>
  <c r="V32" i="2"/>
  <c r="P24" i="2"/>
  <c r="F12" i="14"/>
  <c r="J42" i="2"/>
  <c r="T17" i="2"/>
  <c r="W25" i="2"/>
  <c r="U37" i="2"/>
  <c r="T39" i="2"/>
  <c r="N6" i="2"/>
  <c r="W19" i="2"/>
  <c r="L26" i="2"/>
  <c r="G36" i="2"/>
  <c r="G42" i="14"/>
  <c r="H10" i="2"/>
  <c r="B31" i="2"/>
  <c r="L32" i="2"/>
  <c r="R15" i="2"/>
  <c r="B19" i="2"/>
  <c r="H12" i="14"/>
  <c r="H37" i="2"/>
  <c r="Y24" i="2"/>
  <c r="J37" i="2"/>
  <c r="K6" i="2"/>
  <c r="R31" i="2"/>
  <c r="W6" i="2"/>
  <c r="H40" i="2"/>
  <c r="T12" i="2"/>
  <c r="I24" i="14"/>
  <c r="P11" i="2"/>
  <c r="F31" i="15"/>
  <c r="C29" i="2"/>
  <c r="I46" i="14"/>
  <c r="N5" i="2"/>
  <c r="F30" i="15"/>
  <c r="G25" i="2"/>
  <c r="I20" i="2"/>
  <c r="H31" i="2"/>
  <c r="G26" i="14"/>
  <c r="B14" i="2"/>
  <c r="W9" i="2"/>
  <c r="K11" i="2"/>
  <c r="P31" i="2"/>
  <c r="H22" i="2"/>
  <c r="X17" i="2"/>
  <c r="O26" i="2"/>
  <c r="Q16" i="2"/>
  <c r="R20" i="2"/>
  <c r="Q28" i="2"/>
  <c r="S12" i="2"/>
  <c r="I29" i="14"/>
  <c r="T11" i="2"/>
  <c r="K18" i="2"/>
  <c r="C37" i="2"/>
  <c r="D12" i="2"/>
  <c r="L28" i="2"/>
  <c r="G22" i="2"/>
  <c r="X8" i="2"/>
  <c r="U39" i="2"/>
  <c r="X16" i="2"/>
  <c r="C33" i="2"/>
  <c r="R40" i="2"/>
  <c r="X5" i="2"/>
  <c r="N26" i="2"/>
  <c r="E41" i="2"/>
  <c r="Q42" i="2"/>
  <c r="Y15" i="2"/>
  <c r="J19" i="2"/>
  <c r="V18" i="2"/>
  <c r="L22" i="2"/>
  <c r="B13" i="2"/>
  <c r="Y28" i="2"/>
  <c r="O28" i="2"/>
  <c r="X18" i="2"/>
  <c r="J31" i="2"/>
  <c r="I29" i="15"/>
  <c r="Y42" i="2"/>
  <c r="I48" i="15"/>
  <c r="H41" i="14"/>
  <c r="U9" i="2"/>
  <c r="W35" i="2"/>
  <c r="I12" i="15"/>
  <c r="F47" i="14"/>
  <c r="H46" i="15"/>
  <c r="N39" i="2"/>
  <c r="H16" i="15"/>
  <c r="J25" i="2"/>
  <c r="S20" i="2"/>
  <c r="I10" i="2"/>
  <c r="S16" i="2"/>
  <c r="M40" i="2"/>
  <c r="Q39" i="2"/>
  <c r="Q26" i="2"/>
  <c r="Y37" i="2"/>
  <c r="K15" i="2"/>
  <c r="T35" i="2"/>
  <c r="F35" i="2"/>
  <c r="T30" i="2"/>
  <c r="W12" i="2"/>
  <c r="O27" i="2"/>
  <c r="N28" i="2"/>
  <c r="B27" i="2"/>
  <c r="P10" i="2"/>
  <c r="G43" i="14"/>
  <c r="V36" i="2"/>
  <c r="F40" i="2"/>
  <c r="S6" i="2"/>
  <c r="O34" i="2"/>
  <c r="T21" i="2"/>
  <c r="R34" i="2"/>
  <c r="R10" i="2"/>
  <c r="E19" i="2"/>
  <c r="G31" i="2"/>
  <c r="H20" i="2"/>
  <c r="W37" i="2"/>
  <c r="Q31" i="2"/>
  <c r="R24" i="2"/>
  <c r="K23" i="2"/>
  <c r="R8" i="2"/>
  <c r="K14" i="2"/>
  <c r="G9" i="2"/>
  <c r="J32" i="2"/>
  <c r="H30" i="2"/>
  <c r="J11" i="2"/>
  <c r="T29" i="2"/>
  <c r="P27" i="2"/>
  <c r="P28" i="2"/>
  <c r="D38" i="2"/>
  <c r="F30" i="2"/>
  <c r="H25" i="14"/>
  <c r="T25" i="2"/>
  <c r="H32" i="14"/>
  <c r="L39" i="2"/>
  <c r="F44" i="14"/>
  <c r="N24" i="2"/>
  <c r="P38" i="2"/>
  <c r="I5" i="2"/>
  <c r="F32" i="2"/>
  <c r="V38" i="2"/>
  <c r="S5" i="2"/>
  <c r="S40" i="2"/>
  <c r="F40" i="15"/>
  <c r="U31" i="2"/>
  <c r="Q11" i="2"/>
  <c r="E23" i="2"/>
  <c r="E33" i="2"/>
  <c r="X21" i="2"/>
  <c r="Y18" i="2"/>
  <c r="P37" i="2"/>
  <c r="Q25" i="2"/>
  <c r="I6" i="2"/>
  <c r="L6" i="2"/>
  <c r="E11" i="2"/>
  <c r="H13" i="2"/>
  <c r="N33" i="2"/>
  <c r="H8" i="2"/>
  <c r="H42" i="2"/>
  <c r="G14" i="14"/>
  <c r="J6" i="2"/>
  <c r="U40" i="2"/>
  <c r="Y30" i="2"/>
  <c r="Q30" i="2"/>
  <c r="L19" i="2"/>
  <c r="R12" i="2"/>
  <c r="I41" i="2"/>
  <c r="F17" i="15"/>
  <c r="K25" i="2"/>
  <c r="G48" i="14"/>
  <c r="O42" i="2"/>
  <c r="W10" i="2"/>
  <c r="K8" i="2"/>
  <c r="O9" i="2"/>
  <c r="O39" i="2"/>
  <c r="C10" i="2"/>
  <c r="E38" i="2"/>
  <c r="M11" i="2"/>
  <c r="R30" i="2"/>
  <c r="P42" i="2"/>
  <c r="G24" i="14"/>
  <c r="E39" i="2"/>
  <c r="N29" i="2"/>
  <c r="L40" i="2"/>
  <c r="X26" i="2"/>
  <c r="Q14" i="2"/>
  <c r="F6" i="2"/>
  <c r="S9" i="2"/>
  <c r="H24" i="14"/>
  <c r="U19" i="2"/>
  <c r="F33" i="15"/>
  <c r="O8" i="2"/>
  <c r="F45" i="15"/>
  <c r="I7" i="2"/>
  <c r="C5" i="2"/>
  <c r="H29" i="2"/>
  <c r="R14" i="2"/>
  <c r="H35" i="2"/>
  <c r="F16" i="15"/>
  <c r="F11" i="14"/>
  <c r="H33" i="15"/>
  <c r="C26" i="2"/>
  <c r="D22" i="2"/>
  <c r="C27" i="2"/>
  <c r="I9" i="2"/>
  <c r="S34" i="2"/>
  <c r="H33" i="14"/>
  <c r="I41" i="15"/>
  <c r="S8" i="2"/>
  <c r="G13" i="14"/>
  <c r="F12" i="2"/>
  <c r="Y6" i="2"/>
  <c r="O15" i="2"/>
  <c r="Q33" i="2"/>
  <c r="H16" i="2"/>
  <c r="W8" i="2"/>
  <c r="R6" i="2"/>
  <c r="Y17" i="2"/>
  <c r="R19" i="2"/>
  <c r="B11" i="2"/>
  <c r="I26" i="2"/>
  <c r="P5" i="2"/>
  <c r="S38" i="2"/>
  <c r="L36" i="2"/>
  <c r="H14" i="2"/>
  <c r="T24" i="2"/>
  <c r="H48" i="14"/>
  <c r="U7" i="2"/>
  <c r="H15" i="2"/>
  <c r="G32" i="2"/>
  <c r="M19" i="2"/>
  <c r="J33" i="2"/>
  <c r="X36" i="2"/>
  <c r="X37" i="2"/>
  <c r="I33" i="2"/>
  <c r="K33" i="2"/>
  <c r="B10" i="2"/>
  <c r="N18" i="2"/>
  <c r="Y11" i="2"/>
  <c r="S27" i="2"/>
  <c r="X33" i="2"/>
  <c r="H41" i="2"/>
  <c r="F9" i="15"/>
  <c r="C30" i="2"/>
  <c r="B40" i="2"/>
  <c r="N13" i="2"/>
  <c r="I34" i="2"/>
  <c r="R36" i="2"/>
  <c r="I28" i="14"/>
  <c r="F24" i="2"/>
  <c r="H46" i="14"/>
  <c r="B5" i="2"/>
  <c r="U16" i="2"/>
  <c r="N42" i="2"/>
  <c r="L34" i="2"/>
  <c r="G30" i="14"/>
  <c r="H25" i="2"/>
  <c r="N37" i="2"/>
  <c r="I18" i="15"/>
  <c r="T22" i="2"/>
  <c r="G14" i="2"/>
  <c r="F5" i="2"/>
  <c r="V5" i="2"/>
  <c r="L17" i="2"/>
  <c r="B9" i="2"/>
  <c r="Y32" i="2"/>
  <c r="Q13" i="2"/>
  <c r="F17" i="2"/>
  <c r="S19" i="2"/>
  <c r="D9" i="2"/>
  <c r="Q15" i="2"/>
  <c r="V26" i="2"/>
  <c r="B7" i="2"/>
  <c r="F10" i="14"/>
  <c r="T37" i="2"/>
  <c r="S41" i="2"/>
  <c r="O37" i="2"/>
  <c r="V27" i="2"/>
  <c r="I27" i="2"/>
  <c r="Q37" i="2"/>
  <c r="K19" i="2"/>
  <c r="Q23" i="2"/>
  <c r="Q18" i="2"/>
  <c r="D28" i="2"/>
  <c r="Q40" i="2"/>
  <c r="O10" i="2"/>
  <c r="R21" i="2"/>
  <c r="Q34" i="2"/>
  <c r="U22" i="2"/>
  <c r="H11" i="14"/>
  <c r="C36" i="2"/>
  <c r="F26" i="2"/>
  <c r="Q17" i="2"/>
  <c r="E12" i="2"/>
  <c r="J8" i="2"/>
  <c r="V42" i="2"/>
  <c r="Y10" i="2"/>
  <c r="F48" i="14"/>
  <c r="W28" i="2"/>
  <c r="F43" i="14"/>
  <c r="E22" i="2"/>
  <c r="I25" i="14"/>
  <c r="D20" i="2"/>
  <c r="N27" i="2"/>
  <c r="I17" i="2"/>
  <c r="C41" i="2"/>
  <c r="G7" i="2"/>
  <c r="L20" i="2"/>
  <c r="S31" i="2"/>
  <c r="W5" i="2"/>
  <c r="R16" i="2"/>
  <c r="X31" i="2"/>
  <c r="V30" i="2"/>
  <c r="K17" i="2"/>
  <c r="J21" i="2"/>
  <c r="O17" i="2"/>
  <c r="I39" i="14"/>
  <c r="K34" i="2"/>
  <c r="J28" i="2"/>
  <c r="F42" i="14"/>
  <c r="B24" i="2"/>
  <c r="H10" i="15"/>
  <c r="H29" i="15"/>
  <c r="C32" i="2"/>
  <c r="D7" i="2"/>
  <c r="V8" i="2"/>
  <c r="T5" i="2"/>
  <c r="I10" i="15"/>
  <c r="F18" i="14"/>
  <c r="X42" i="2"/>
  <c r="O6" i="2"/>
  <c r="C28" i="2"/>
  <c r="K37" i="2"/>
  <c r="E27" i="2"/>
  <c r="Q27" i="2"/>
  <c r="H27" i="2"/>
  <c r="P35" i="2"/>
  <c r="U25" i="2"/>
  <c r="T31" i="2"/>
  <c r="T19" i="2"/>
  <c r="L13" i="2"/>
  <c r="J38" i="2"/>
  <c r="I36" i="2"/>
  <c r="L30" i="2"/>
  <c r="L11" i="2"/>
  <c r="D30" i="2"/>
  <c r="E21" i="2"/>
  <c r="I17" i="15"/>
  <c r="X10" i="2"/>
  <c r="V13" i="2"/>
  <c r="C35" i="2"/>
  <c r="D39" i="2"/>
  <c r="X6" i="2"/>
  <c r="W24" i="2"/>
  <c r="Y29" i="2"/>
  <c r="V11" i="2"/>
  <c r="B12" i="2"/>
  <c r="M41" i="2"/>
  <c r="I28" i="2"/>
  <c r="M30" i="2"/>
  <c r="S28" i="2"/>
  <c r="K39" i="2"/>
  <c r="V40" i="2"/>
  <c r="I18" i="14"/>
  <c r="B32" i="2"/>
  <c r="F29" i="2"/>
  <c r="M6" i="2"/>
  <c r="I24" i="2"/>
  <c r="I46" i="15"/>
  <c r="Y25" i="2"/>
  <c r="E42" i="2"/>
  <c r="M15" i="2"/>
  <c r="E25" i="2"/>
  <c r="G27" i="14"/>
  <c r="T40" i="2"/>
  <c r="D10" i="2"/>
  <c r="G16" i="14"/>
  <c r="M38" i="2"/>
  <c r="B18" i="2"/>
  <c r="I11" i="15"/>
  <c r="I15" i="15"/>
  <c r="M20" i="2"/>
  <c r="G12" i="2"/>
  <c r="I19" i="2"/>
  <c r="K32" i="2"/>
  <c r="P22" i="2"/>
  <c r="H12" i="2"/>
  <c r="N7" i="2"/>
  <c r="N32" i="2"/>
  <c r="G47" i="14"/>
  <c r="U15" i="2"/>
  <c r="Q21" i="2"/>
  <c r="J15" i="2"/>
  <c r="E9" i="2"/>
  <c r="I26" i="15"/>
  <c r="I26" i="14"/>
  <c r="H23" i="2"/>
  <c r="G21" i="2"/>
  <c r="S10" i="2"/>
  <c r="N23" i="2"/>
  <c r="H5" i="2"/>
  <c r="D27" i="2"/>
  <c r="N30" i="2"/>
  <c r="P20" i="2"/>
  <c r="S32" i="2"/>
  <c r="E8" i="2"/>
  <c r="S11" i="2"/>
  <c r="U18" i="2"/>
  <c r="G33" i="2"/>
  <c r="F25" i="2"/>
  <c r="F27" i="14"/>
  <c r="I11" i="14"/>
  <c r="M8" i="2"/>
  <c r="F27" i="2"/>
  <c r="Q6" i="2"/>
  <c r="O19" i="2"/>
  <c r="G45" i="14"/>
  <c r="B21" i="2"/>
  <c r="G6" i="2"/>
  <c r="Q22" i="2"/>
  <c r="G29" i="2"/>
  <c r="O24" i="2"/>
  <c r="O29" i="2"/>
  <c r="Q32" i="2"/>
  <c r="S17" i="2"/>
  <c r="H15" i="14"/>
  <c r="G13" i="2"/>
  <c r="O16" i="2"/>
  <c r="G27" i="2"/>
  <c r="G28" i="2"/>
  <c r="P14" i="2"/>
  <c r="G41" i="14"/>
  <c r="X41" i="2"/>
  <c r="V6" i="2"/>
  <c r="Y7" i="2"/>
  <c r="B36" i="2"/>
  <c r="H38" i="2"/>
  <c r="F45" i="14"/>
  <c r="F43" i="15"/>
  <c r="W39" i="2"/>
  <c r="U26" i="2"/>
  <c r="E24" i="2"/>
  <c r="H45" i="14"/>
  <c r="H47" i="15"/>
  <c r="E26" i="2"/>
  <c r="W29" i="2"/>
  <c r="V28" i="2"/>
  <c r="F33" i="2"/>
  <c r="F30" i="14"/>
  <c r="B37" i="2"/>
  <c r="V10" i="2"/>
  <c r="F47" i="15"/>
  <c r="C31" i="2"/>
  <c r="R9" i="2"/>
  <c r="I42" i="14"/>
  <c r="C18" i="2"/>
  <c r="H26" i="14"/>
  <c r="H42" i="15"/>
  <c r="W31" i="2"/>
  <c r="F31" i="2"/>
  <c r="N25" i="2"/>
  <c r="M14" i="2"/>
  <c r="G33" i="14"/>
  <c r="W32" i="2"/>
  <c r="C13" i="2"/>
  <c r="O33" i="2"/>
  <c r="H32" i="2"/>
  <c r="U42" i="2"/>
  <c r="H34" i="2"/>
  <c r="F31" i="14"/>
  <c r="I18" i="2"/>
  <c r="H10" i="14"/>
  <c r="V23" i="2"/>
  <c r="H14" i="14"/>
  <c r="U36" i="2"/>
  <c r="I11" i="2"/>
  <c r="R11" i="2"/>
  <c r="T28" i="2"/>
  <c r="G40" i="2"/>
  <c r="B22" i="2"/>
  <c r="V39" i="2"/>
  <c r="O40" i="2"/>
  <c r="R7" i="2"/>
  <c r="P30" i="2"/>
  <c r="U20" i="2"/>
  <c r="F41" i="15"/>
  <c r="P9" i="2"/>
  <c r="I17" i="14"/>
  <c r="M32" i="2"/>
  <c r="I28" i="15"/>
  <c r="X25" i="2"/>
  <c r="I29" i="2"/>
  <c r="G19" i="2"/>
  <c r="I41" i="14"/>
  <c r="R13" i="2"/>
  <c r="G35" i="2"/>
  <c r="K13" i="2"/>
  <c r="U35" i="2"/>
  <c r="L9" i="2"/>
  <c r="L21" i="2"/>
  <c r="O35" i="2"/>
  <c r="F21" i="2"/>
  <c r="R27" i="2"/>
  <c r="W21" i="2"/>
  <c r="T32" i="2"/>
  <c r="I31" i="14"/>
  <c r="H39" i="14"/>
  <c r="Y31" i="2"/>
  <c r="M31" i="2"/>
  <c r="E18" i="2"/>
  <c r="B26" i="2"/>
  <c r="B30" i="2"/>
  <c r="G24" i="2"/>
  <c r="D6" i="2"/>
  <c r="M18" i="2"/>
  <c r="H24" i="2"/>
  <c r="L23" i="2"/>
  <c r="M25" i="2"/>
  <c r="D33" i="2"/>
  <c r="D26" i="2"/>
  <c r="Q5" i="2"/>
  <c r="I14" i="15"/>
  <c r="X7" i="2"/>
  <c r="E37" i="2"/>
  <c r="Q8" i="2"/>
  <c r="Q10" i="2"/>
  <c r="S25" i="2"/>
  <c r="X13" i="2"/>
  <c r="G41" i="2"/>
  <c r="O22" i="2"/>
  <c r="J39" i="2"/>
  <c r="F15" i="2"/>
  <c r="S13" i="2"/>
  <c r="N19" i="2"/>
  <c r="O5" i="2"/>
  <c r="J18" i="2"/>
  <c r="N17" i="2"/>
  <c r="F28" i="14"/>
  <c r="D23" i="2"/>
  <c r="B16" i="2"/>
  <c r="B34" i="2"/>
  <c r="Q12" i="2"/>
  <c r="G37" i="2"/>
  <c r="V22" i="2"/>
  <c r="B42" i="2"/>
  <c r="P26" i="2"/>
  <c r="U14" i="2"/>
  <c r="I42" i="2"/>
  <c r="V19" i="2"/>
  <c r="O25" i="2"/>
  <c r="Y40" i="2"/>
  <c r="V24" i="2"/>
  <c r="O18" i="2"/>
  <c r="H28" i="2"/>
  <c r="G23" i="2"/>
  <c r="I14" i="2"/>
  <c r="S26" i="2"/>
  <c r="K40" i="2"/>
  <c r="I32" i="2"/>
  <c r="E32" i="2"/>
  <c r="G34" i="2"/>
  <c r="I25" i="2"/>
  <c r="W17" i="2"/>
  <c r="C6" i="2"/>
  <c r="I30" i="14"/>
  <c r="K16" i="2"/>
  <c r="K42" i="2"/>
  <c r="R26" i="2"/>
  <c r="E28" i="2"/>
  <c r="F24" i="14"/>
  <c r="Y23" i="2"/>
  <c r="B20" i="2"/>
  <c r="F14" i="14"/>
  <c r="K30" i="2"/>
  <c r="G15" i="14"/>
  <c r="E20" i="2"/>
  <c r="F29" i="14"/>
  <c r="G42" i="2"/>
  <c r="Y34" i="2"/>
  <c r="S22" i="2"/>
  <c r="X27" i="2"/>
  <c r="O12" i="2"/>
  <c r="F42" i="2"/>
  <c r="X24" i="2"/>
  <c r="I40" i="2"/>
  <c r="E5" i="2"/>
  <c r="Y12" i="2"/>
  <c r="D14" i="2"/>
  <c r="B39" i="2"/>
  <c r="F8" i="2"/>
  <c r="H13" i="14"/>
  <c r="T10" i="2"/>
  <c r="I38" i="2"/>
  <c r="J20" i="2"/>
  <c r="V21" i="2"/>
  <c r="H30" i="14"/>
  <c r="I16" i="14"/>
  <c r="G5" i="2"/>
  <c r="H15" i="15"/>
  <c r="J36" i="2"/>
  <c r="P34" i="2"/>
  <c r="F36" i="2"/>
  <c r="H32" i="15"/>
  <c r="Y16" i="2"/>
  <c r="P7" i="2"/>
  <c r="J26" i="2"/>
  <c r="H29" i="14"/>
  <c r="F42" i="15"/>
  <c r="M21" i="2"/>
  <c r="F14" i="2"/>
  <c r="U30" i="2"/>
  <c r="D21" i="2"/>
  <c r="I30" i="2"/>
  <c r="B33" i="2"/>
  <c r="M39" i="2"/>
  <c r="K21" i="2"/>
  <c r="F39" i="14"/>
  <c r="Q36" i="2"/>
  <c r="I13" i="15"/>
  <c r="G32" i="14"/>
  <c r="D13" i="2"/>
  <c r="K28" i="2"/>
  <c r="C22" i="2"/>
  <c r="T42" i="2"/>
  <c r="S7" i="2"/>
  <c r="X40" i="2"/>
  <c r="G20" i="2"/>
  <c r="Q20" i="2"/>
  <c r="G30" i="2"/>
  <c r="G39" i="2"/>
  <c r="H26" i="15"/>
  <c r="H21" i="2"/>
  <c r="F29" i="15"/>
  <c r="V37" i="2"/>
  <c r="Q7" i="2"/>
  <c r="I43" i="14"/>
  <c r="Y9" i="2"/>
  <c r="D16" i="2"/>
  <c r="V15" i="2"/>
  <c r="I15" i="14"/>
  <c r="I40" i="14"/>
  <c r="G40" i="14"/>
  <c r="F38" i="2"/>
  <c r="I16" i="15"/>
  <c r="W33" i="2"/>
  <c r="K27" i="2"/>
  <c r="K5" i="2"/>
  <c r="I32" i="14"/>
  <c r="S21" i="2"/>
  <c r="R22" i="2"/>
  <c r="C11" i="2"/>
  <c r="P17" i="2"/>
  <c r="H7" i="2"/>
  <c r="J34" i="2"/>
  <c r="K10" i="2"/>
  <c r="G8" i="2"/>
  <c r="J29" i="2"/>
  <c r="K38" i="2"/>
  <c r="I10" i="14"/>
  <c r="M10" i="2"/>
  <c r="U17" i="2"/>
  <c r="U23" i="2"/>
  <c r="L15" i="2"/>
  <c r="O36" i="2"/>
  <c r="T6" i="2"/>
  <c r="W42" i="2"/>
  <c r="J35" i="2"/>
  <c r="G10" i="2"/>
  <c r="R23" i="2"/>
  <c r="I32" i="15"/>
  <c r="Q29" i="2"/>
  <c r="N41" i="2"/>
  <c r="F10" i="2"/>
  <c r="X38" i="2"/>
  <c r="F46" i="14"/>
  <c r="M17" i="2"/>
  <c r="E7" i="2"/>
  <c r="H27" i="14"/>
  <c r="Y36" i="2"/>
  <c r="C40" i="2"/>
  <c r="I42" i="15"/>
  <c r="H40" i="15"/>
  <c r="F12" i="15"/>
  <c r="T7" i="2"/>
  <c r="F33" i="14"/>
  <c r="T38" i="2"/>
  <c r="L7" i="2"/>
  <c r="F17" i="14"/>
  <c r="H17" i="15"/>
  <c r="D29" i="2"/>
  <c r="I25" i="15"/>
  <c r="H40" i="14"/>
  <c r="L38" i="2"/>
  <c r="X12" i="2"/>
  <c r="H26" i="2"/>
  <c r="P18" i="2"/>
  <c r="K36" i="2"/>
  <c r="O11" i="2"/>
  <c r="J22" i="2"/>
  <c r="V17" i="2"/>
  <c r="Y26" i="2"/>
  <c r="F20" i="2"/>
  <c r="T27" i="2"/>
  <c r="G12" i="14"/>
  <c r="F16" i="2"/>
  <c r="I12" i="2"/>
  <c r="U5" i="2"/>
  <c r="H19" i="2"/>
  <c r="F26" i="15"/>
  <c r="X39" i="2"/>
  <c r="L10" i="2"/>
  <c r="O13" i="2"/>
  <c r="P12" i="2"/>
  <c r="M29" i="2"/>
  <c r="I47" i="14"/>
  <c r="B23" i="2"/>
  <c r="J10" i="2"/>
  <c r="B8" i="2"/>
  <c r="I33" i="15"/>
  <c r="I40" i="15"/>
  <c r="H30" i="15"/>
  <c r="C12" i="2"/>
  <c r="R25" i="2"/>
  <c r="J14" i="2"/>
  <c r="O41" i="2"/>
  <c r="S36" i="2"/>
  <c r="X11" i="2"/>
  <c r="I39" i="2"/>
  <c r="F9" i="2"/>
  <c r="C9" i="2"/>
  <c r="R39" i="2"/>
  <c r="I27" i="14"/>
  <c r="C24" i="2"/>
  <c r="L12" i="2"/>
  <c r="H9" i="2"/>
  <c r="F32" i="14"/>
  <c r="R18" i="2"/>
  <c r="B25" i="2"/>
  <c r="V41" i="2"/>
  <c r="X15" i="2"/>
  <c r="L25" i="2"/>
  <c r="D8" i="2"/>
  <c r="C16" i="2"/>
  <c r="X20" i="2"/>
  <c r="J17" i="2"/>
  <c r="H17" i="2"/>
  <c r="T13" i="2"/>
  <c r="F28" i="15"/>
  <c r="H31" i="15"/>
  <c r="I9" i="15"/>
  <c r="M34" i="2"/>
  <c r="H18" i="2"/>
  <c r="F15" i="15"/>
  <c r="H28" i="15"/>
  <c r="H42" i="14"/>
  <c r="H45" i="15"/>
  <c r="W20" i="2"/>
  <c r="G28" i="14"/>
  <c r="I31" i="15"/>
  <c r="N38" i="2"/>
  <c r="H39" i="2"/>
  <c r="F44" i="15"/>
  <c r="L33" i="2"/>
  <c r="Q9" i="2"/>
  <c r="U27" i="2"/>
  <c r="M42" i="2"/>
  <c r="K12" i="2"/>
  <c r="M5" i="2"/>
  <c r="L27" i="2"/>
  <c r="W7" i="2"/>
  <c r="L5" i="2"/>
  <c r="D31" i="2"/>
  <c r="F11" i="15"/>
  <c r="I44" i="14"/>
  <c r="N21" i="2"/>
  <c r="O20" i="2"/>
  <c r="I45" i="15"/>
  <c r="H47" i="14"/>
  <c r="H14" i="15"/>
  <c r="I30" i="15"/>
  <c r="D41" i="2"/>
  <c r="H9" i="14"/>
  <c r="H48" i="15"/>
  <c r="E35" i="2"/>
  <c r="W40" i="2"/>
  <c r="C19" i="2"/>
  <c r="W36" i="2"/>
  <c r="P23" i="2"/>
  <c r="F34" i="2"/>
  <c r="L29" i="2"/>
  <c r="F41" i="2"/>
  <c r="Y22" i="2"/>
  <c r="F19" i="2"/>
  <c r="T26" i="2"/>
  <c r="I44" i="15"/>
  <c r="F46" i="15"/>
  <c r="S23" i="2"/>
  <c r="C38" i="2"/>
  <c r="R37" i="2"/>
  <c r="J30" i="2"/>
  <c r="H43" i="15"/>
  <c r="H25" i="15"/>
  <c r="L16" i="2"/>
  <c r="F25" i="14"/>
  <c r="Y39" i="2"/>
  <c r="P32" i="2"/>
  <c r="O23" i="2"/>
  <c r="D32" i="2"/>
  <c r="O21" i="2"/>
  <c r="Q38" i="2"/>
  <c r="I22" i="2"/>
  <c r="G25" i="14"/>
  <c r="E34" i="2"/>
  <c r="H24" i="15"/>
  <c r="H13" i="15"/>
  <c r="Y14" i="2"/>
  <c r="O14" i="2"/>
  <c r="W11" i="2"/>
  <c r="F25" i="15"/>
  <c r="F9" i="14"/>
  <c r="F48" i="15"/>
  <c r="F39" i="15"/>
  <c r="L37" i="2"/>
  <c r="Q19" i="2"/>
  <c r="P33" i="2"/>
  <c r="V31" i="2"/>
  <c r="W38" i="2"/>
  <c r="U32" i="2"/>
  <c r="T8" i="2"/>
  <c r="I8" i="2"/>
  <c r="B28" i="2"/>
  <c r="G26" i="2"/>
  <c r="E40" i="2"/>
  <c r="H12" i="15"/>
  <c r="E15" i="2"/>
  <c r="I9" i="14"/>
  <c r="U6" i="2"/>
  <c r="B38" i="2"/>
  <c r="N22" i="2"/>
  <c r="F26" i="14"/>
  <c r="H18" i="14"/>
  <c r="W18" i="2"/>
  <c r="F32" i="15"/>
  <c r="D15" i="2"/>
  <c r="R33" i="2"/>
  <c r="H18" i="15"/>
  <c r="D40" i="2"/>
  <c r="V14" i="2"/>
  <c r="Q35" i="2"/>
  <c r="F13" i="14"/>
  <c r="K85" i="13" l="1"/>
  <c r="J85" i="13"/>
  <c r="J63" i="13" s="1"/>
  <c r="P63" i="13" s="1"/>
  <c r="L85" i="13"/>
  <c r="E8" i="3"/>
  <c r="N8" i="3"/>
  <c r="B8" i="3"/>
  <c r="H8" i="3"/>
  <c r="I8" i="3"/>
  <c r="H85" i="13"/>
  <c r="H59" i="13" s="1"/>
  <c r="N59" i="13" s="1"/>
  <c r="E20" i="3"/>
  <c r="I85" i="13"/>
  <c r="I59" i="13" s="1"/>
  <c r="O59" i="13" s="1"/>
  <c r="G85" i="13"/>
  <c r="G72" i="13" s="1"/>
  <c r="M72" i="13" s="1"/>
  <c r="B20" i="3"/>
  <c r="AB19" i="4"/>
  <c r="H28" i="3" s="1"/>
  <c r="AB18" i="4"/>
  <c r="E28" i="3" s="1"/>
  <c r="H20" i="3"/>
  <c r="AB17" i="4"/>
  <c r="B30" i="3" s="1"/>
  <c r="H16" i="3"/>
  <c r="E16" i="3"/>
  <c r="B16" i="3"/>
  <c r="H18" i="3"/>
  <c r="E18" i="3"/>
  <c r="B18" i="3"/>
  <c r="C19" i="3" s="1"/>
  <c r="B12" i="3"/>
  <c r="C13" i="3" s="1"/>
  <c r="N12" i="3"/>
  <c r="K12" i="3"/>
  <c r="L13" i="3" s="1"/>
  <c r="H12" i="3"/>
  <c r="I13" i="3" s="1"/>
  <c r="Q12" i="3"/>
  <c r="R13" i="3" s="1"/>
  <c r="E12" i="3"/>
  <c r="N7" i="3"/>
  <c r="E7" i="3"/>
  <c r="F8" i="3" s="1"/>
  <c r="Q7" i="3"/>
  <c r="R8" i="3" s="1"/>
  <c r="K7" i="3"/>
  <c r="B7" i="3"/>
  <c r="C7" i="3"/>
  <c r="R9" i="3"/>
  <c r="B9" i="3"/>
  <c r="N9" i="3"/>
  <c r="L9" i="3"/>
  <c r="E9" i="3"/>
  <c r="K9" i="3"/>
  <c r="L10" i="3" s="1"/>
  <c r="Q9" i="3"/>
  <c r="H9" i="3"/>
  <c r="I10" i="3" s="1"/>
  <c r="H5" i="3"/>
  <c r="I6" i="3" s="1"/>
  <c r="Q5" i="3"/>
  <c r="B5" i="3"/>
  <c r="K5" i="3"/>
  <c r="M5" i="3" s="1"/>
  <c r="N10" i="3"/>
  <c r="H10" i="3"/>
  <c r="I11" i="3" s="1"/>
  <c r="B10" i="3"/>
  <c r="K10" i="3"/>
  <c r="L11" i="3" s="1"/>
  <c r="E10" i="3"/>
  <c r="F11" i="3" s="1"/>
  <c r="Q10" i="3"/>
  <c r="R11" i="3" s="1"/>
  <c r="N11" i="3"/>
  <c r="O12" i="3" s="1"/>
  <c r="Q11" i="3"/>
  <c r="R12" i="3" s="1"/>
  <c r="K11" i="3"/>
  <c r="L12" i="3" s="1"/>
  <c r="B11" i="3"/>
  <c r="H11" i="3"/>
  <c r="E11" i="3"/>
  <c r="AB11" i="4"/>
  <c r="X11" i="4" s="1"/>
  <c r="E13" i="3"/>
  <c r="K13" i="3"/>
  <c r="H13" i="3"/>
  <c r="AB13" i="4"/>
  <c r="O13" i="4" s="1"/>
  <c r="B13" i="3"/>
  <c r="AB9" i="4"/>
  <c r="E9" i="4" s="1"/>
  <c r="Q13" i="3"/>
  <c r="N13" i="3"/>
  <c r="H14" i="3"/>
  <c r="B14" i="3"/>
  <c r="C15" i="3" s="1"/>
  <c r="E14" i="3"/>
  <c r="F15" i="3" s="1"/>
  <c r="B19" i="3"/>
  <c r="C20" i="3" s="1"/>
  <c r="E19" i="3"/>
  <c r="H19" i="3"/>
  <c r="B15" i="3"/>
  <c r="C16" i="3" s="1"/>
  <c r="E15" i="3"/>
  <c r="H15" i="3"/>
  <c r="I16" i="3" s="1"/>
  <c r="B17" i="3"/>
  <c r="H17" i="3"/>
  <c r="I18" i="3" s="1"/>
  <c r="E17" i="3"/>
  <c r="F18" i="3" s="1"/>
  <c r="F6" i="3"/>
  <c r="N6" i="3"/>
  <c r="E6" i="3"/>
  <c r="F7" i="3" s="1"/>
  <c r="K6" i="3"/>
  <c r="L7" i="3" s="1"/>
  <c r="O6" i="3"/>
  <c r="H6" i="3"/>
  <c r="Q6" i="3"/>
  <c r="S6" i="3" s="1"/>
  <c r="B22" i="3"/>
  <c r="C9" i="4"/>
  <c r="J9" i="4"/>
  <c r="B27" i="3"/>
  <c r="V9" i="4"/>
  <c r="Q9" i="4"/>
  <c r="C10" i="3"/>
  <c r="G59" i="13"/>
  <c r="M59" i="13" s="1"/>
  <c r="G70" i="13"/>
  <c r="M70" i="13" s="1"/>
  <c r="G67" i="13"/>
  <c r="G55" i="13"/>
  <c r="G75" i="13"/>
  <c r="M75" i="13" s="1"/>
  <c r="G58" i="13"/>
  <c r="M58" i="13" s="1"/>
  <c r="G69" i="13"/>
  <c r="M69" i="13" s="1"/>
  <c r="G57" i="13"/>
  <c r="M57" i="13" s="1"/>
  <c r="G71" i="13"/>
  <c r="G63" i="13"/>
  <c r="M63" i="13" s="1"/>
  <c r="G60" i="13"/>
  <c r="M60" i="13" s="1"/>
  <c r="G61" i="13"/>
  <c r="F12" i="3"/>
  <c r="I20" i="3"/>
  <c r="I15" i="3"/>
  <c r="F16" i="3"/>
  <c r="I61" i="13"/>
  <c r="O61" i="13" s="1"/>
  <c r="I64" i="13"/>
  <c r="O64" i="13" s="1"/>
  <c r="I65" i="13"/>
  <c r="O65" i="13" s="1"/>
  <c r="I54" i="13"/>
  <c r="I74" i="13"/>
  <c r="O74" i="13" s="1"/>
  <c r="I62" i="13"/>
  <c r="J55" i="13"/>
  <c r="J65" i="13"/>
  <c r="P65" i="13" s="1"/>
  <c r="J74" i="13"/>
  <c r="J62" i="13"/>
  <c r="J73" i="13"/>
  <c r="P73" i="13" s="1"/>
  <c r="J66" i="13"/>
  <c r="J68" i="13"/>
  <c r="P68" i="13" s="1"/>
  <c r="J75" i="13"/>
  <c r="J53" i="13"/>
  <c r="J76" i="13"/>
  <c r="J59" i="13"/>
  <c r="P59" i="13" s="1"/>
  <c r="J57" i="13"/>
  <c r="J69" i="13"/>
  <c r="J67" i="13"/>
  <c r="P67" i="13" s="1"/>
  <c r="J58" i="13"/>
  <c r="P58" i="13" s="1"/>
  <c r="J70" i="13"/>
  <c r="J64" i="13"/>
  <c r="J56" i="13"/>
  <c r="J60" i="13"/>
  <c r="J72" i="13"/>
  <c r="J54" i="13"/>
  <c r="O11" i="4"/>
  <c r="I12" i="3"/>
  <c r="C11" i="3"/>
  <c r="O7" i="3"/>
  <c r="P6" i="3"/>
  <c r="C17" i="3"/>
  <c r="H64" i="13"/>
  <c r="N64" i="13" s="1"/>
  <c r="H69" i="13"/>
  <c r="N69" i="13" s="1"/>
  <c r="H68" i="13"/>
  <c r="H56" i="13"/>
  <c r="N56" i="13" s="1"/>
  <c r="H75" i="13"/>
  <c r="N75" i="13" s="1"/>
  <c r="H57" i="13"/>
  <c r="N57" i="13" s="1"/>
  <c r="H70" i="13"/>
  <c r="N70" i="13" s="1"/>
  <c r="H62" i="13"/>
  <c r="N62" i="13" s="1"/>
  <c r="H73" i="13"/>
  <c r="N73" i="13" s="1"/>
  <c r="H76" i="13"/>
  <c r="H53" i="13"/>
  <c r="H74" i="13"/>
  <c r="N74" i="13" s="1"/>
  <c r="K76" i="13"/>
  <c r="K63" i="13"/>
  <c r="K60" i="13"/>
  <c r="Q60" i="13" s="1"/>
  <c r="K55" i="13"/>
  <c r="K58" i="13"/>
  <c r="Q58" i="13" s="1"/>
  <c r="K53" i="13"/>
  <c r="K57" i="13"/>
  <c r="Q57" i="13" s="1"/>
  <c r="K70" i="13"/>
  <c r="Q70" i="13" s="1"/>
  <c r="K66" i="13"/>
  <c r="Q66" i="13" s="1"/>
  <c r="K56" i="13"/>
  <c r="K65" i="13"/>
  <c r="K64" i="13"/>
  <c r="Q64" i="13" s="1"/>
  <c r="K72" i="13"/>
  <c r="Q72" i="13" s="1"/>
  <c r="K54" i="13"/>
  <c r="Q54" i="13" s="1"/>
  <c r="K68" i="13"/>
  <c r="K69" i="13"/>
  <c r="Q69" i="13" s="1"/>
  <c r="K71" i="13"/>
  <c r="K75" i="13"/>
  <c r="K67" i="13"/>
  <c r="K62" i="13"/>
  <c r="Q62" i="13" s="1"/>
  <c r="K61" i="13"/>
  <c r="K59" i="13"/>
  <c r="Q59" i="13" s="1"/>
  <c r="K74" i="13"/>
  <c r="Q74" i="13" s="1"/>
  <c r="K73" i="13"/>
  <c r="C9" i="3"/>
  <c r="O13" i="3"/>
  <c r="F19" i="3"/>
  <c r="R10" i="3"/>
  <c r="C8" i="3"/>
  <c r="D7" i="3"/>
  <c r="F17" i="3"/>
  <c r="O9" i="4"/>
  <c r="B46" i="3"/>
  <c r="B44" i="3"/>
  <c r="B43" i="3"/>
  <c r="B45" i="3"/>
  <c r="B52" i="3"/>
  <c r="B37" i="3"/>
  <c r="O9" i="3"/>
  <c r="C12" i="3"/>
  <c r="I19" i="3"/>
  <c r="I17" i="3"/>
  <c r="B11" i="4"/>
  <c r="C14" i="3"/>
  <c r="U11" i="4"/>
  <c r="F9" i="3"/>
  <c r="F13" i="3"/>
  <c r="L6" i="3"/>
  <c r="E49" i="3"/>
  <c r="E54" i="3"/>
  <c r="E50" i="3"/>
  <c r="U9" i="4"/>
  <c r="T9" i="4"/>
  <c r="J6" i="3"/>
  <c r="I7" i="3"/>
  <c r="S5" i="3"/>
  <c r="R6" i="3"/>
  <c r="M7" i="3"/>
  <c r="L8" i="3"/>
  <c r="S9" i="4"/>
  <c r="C18" i="3"/>
  <c r="B34" i="3"/>
  <c r="G9" i="4"/>
  <c r="B9" i="4"/>
  <c r="I14" i="3"/>
  <c r="H52" i="3"/>
  <c r="H49" i="3"/>
  <c r="T11" i="4"/>
  <c r="F20" i="3"/>
  <c r="S11" i="4"/>
  <c r="G11" i="4"/>
  <c r="B24" i="3"/>
  <c r="L76" i="13"/>
  <c r="L70" i="13"/>
  <c r="L63" i="13"/>
  <c r="R63" i="13" s="1"/>
  <c r="L53" i="13"/>
  <c r="L59" i="13"/>
  <c r="R59" i="13" s="1"/>
  <c r="L71" i="13"/>
  <c r="R71" i="13" s="1"/>
  <c r="L62" i="13"/>
  <c r="L75" i="13"/>
  <c r="L61" i="13"/>
  <c r="R61" i="13" s="1"/>
  <c r="L68" i="13"/>
  <c r="R68" i="13" s="1"/>
  <c r="L69" i="13"/>
  <c r="L56" i="13"/>
  <c r="L66" i="13"/>
  <c r="L65" i="13"/>
  <c r="R65" i="13" s="1"/>
  <c r="L72" i="13"/>
  <c r="L67" i="13"/>
  <c r="R67" i="13" s="1"/>
  <c r="L55" i="13"/>
  <c r="L74" i="13"/>
  <c r="L60" i="13"/>
  <c r="L54" i="13"/>
  <c r="R54" i="13" s="1"/>
  <c r="L58" i="13"/>
  <c r="R58" i="13" s="1"/>
  <c r="L64" i="13"/>
  <c r="L73" i="13"/>
  <c r="R73" i="13" s="1"/>
  <c r="L57" i="13"/>
  <c r="X9" i="4" l="1"/>
  <c r="J13" i="4"/>
  <c r="T13" i="4"/>
  <c r="D9" i="4"/>
  <c r="E27" i="3"/>
  <c r="E24" i="3"/>
  <c r="H55" i="3"/>
  <c r="R11" i="4"/>
  <c r="J8" i="3"/>
  <c r="Y9" i="4"/>
  <c r="L9" i="4"/>
  <c r="J10" i="3"/>
  <c r="E33" i="3"/>
  <c r="E45" i="3"/>
  <c r="P12" i="3"/>
  <c r="G9" i="3"/>
  <c r="E38" i="3"/>
  <c r="E43" i="3"/>
  <c r="B55" i="3"/>
  <c r="E41" i="3"/>
  <c r="E29" i="3"/>
  <c r="E37" i="3"/>
  <c r="E48" i="3"/>
  <c r="R7" i="3"/>
  <c r="E25" i="3"/>
  <c r="E22" i="3"/>
  <c r="E42" i="3"/>
  <c r="F42" i="3" s="1"/>
  <c r="E47" i="3"/>
  <c r="E44" i="3"/>
  <c r="E55" i="3"/>
  <c r="E40" i="3"/>
  <c r="F41" i="3" s="1"/>
  <c r="G8" i="3"/>
  <c r="E53" i="3"/>
  <c r="E51" i="3"/>
  <c r="E35" i="3"/>
  <c r="E31" i="3"/>
  <c r="E52" i="3"/>
  <c r="E46" i="3"/>
  <c r="U13" i="4"/>
  <c r="G12" i="3"/>
  <c r="S9" i="3"/>
  <c r="F10" i="3"/>
  <c r="M11" i="3"/>
  <c r="O11" i="3"/>
  <c r="X13" i="4"/>
  <c r="S7" i="3"/>
  <c r="S8" i="3"/>
  <c r="G11" i="3"/>
  <c r="N11" i="4"/>
  <c r="F11" i="4"/>
  <c r="D17" i="3"/>
  <c r="M8" i="3"/>
  <c r="M9" i="3"/>
  <c r="B53" i="3"/>
  <c r="B49" i="3"/>
  <c r="H55" i="13"/>
  <c r="H66" i="13"/>
  <c r="N66" i="13" s="1"/>
  <c r="H65" i="13"/>
  <c r="N65" i="13" s="1"/>
  <c r="D16" i="3"/>
  <c r="I69" i="13"/>
  <c r="I73" i="13"/>
  <c r="O73" i="13" s="1"/>
  <c r="I60" i="13"/>
  <c r="G6" i="3"/>
  <c r="G64" i="13"/>
  <c r="M64" i="13" s="1"/>
  <c r="G65" i="13"/>
  <c r="M65" i="13" s="1"/>
  <c r="G66" i="13"/>
  <c r="M66" i="13" s="1"/>
  <c r="J5" i="3"/>
  <c r="I9" i="4"/>
  <c r="K9" i="4"/>
  <c r="B29" i="3"/>
  <c r="C30" i="3" s="1"/>
  <c r="B31" i="3"/>
  <c r="B35" i="3"/>
  <c r="G13" i="3"/>
  <c r="B54" i="3"/>
  <c r="B50" i="3"/>
  <c r="H72" i="13"/>
  <c r="N72" i="13" s="1"/>
  <c r="H71" i="13"/>
  <c r="H63" i="13"/>
  <c r="N63" i="13" s="1"/>
  <c r="I68" i="13"/>
  <c r="O68" i="13" s="1"/>
  <c r="I67" i="13"/>
  <c r="O67" i="13" s="1"/>
  <c r="I71" i="13"/>
  <c r="O71" i="13" s="1"/>
  <c r="M10" i="3"/>
  <c r="G74" i="13"/>
  <c r="M74" i="13" s="1"/>
  <c r="G76" i="13"/>
  <c r="G62" i="13"/>
  <c r="M62" i="13" s="1"/>
  <c r="P9" i="4"/>
  <c r="B41" i="3"/>
  <c r="B40" i="3"/>
  <c r="B33" i="3"/>
  <c r="B48" i="3"/>
  <c r="B51" i="3"/>
  <c r="C52" i="3" s="1"/>
  <c r="H58" i="13"/>
  <c r="N58" i="13" s="1"/>
  <c r="H54" i="13"/>
  <c r="H67" i="13"/>
  <c r="J71" i="13"/>
  <c r="P71" i="13" s="1"/>
  <c r="J61" i="13"/>
  <c r="P61" i="13" s="1"/>
  <c r="I63" i="13"/>
  <c r="O63" i="13" s="1"/>
  <c r="I56" i="13"/>
  <c r="O56" i="13" s="1"/>
  <c r="I53" i="13"/>
  <c r="O53" i="13" s="1"/>
  <c r="G54" i="13"/>
  <c r="G73" i="13"/>
  <c r="M73" i="13" s="1"/>
  <c r="G53" i="13"/>
  <c r="M6" i="3"/>
  <c r="H9" i="4"/>
  <c r="B36" i="3"/>
  <c r="C37" i="3" s="1"/>
  <c r="R9" i="4"/>
  <c r="B39" i="3"/>
  <c r="C40" i="3" s="1"/>
  <c r="M9" i="4"/>
  <c r="J7" i="3"/>
  <c r="B47" i="3"/>
  <c r="C48" i="3" s="1"/>
  <c r="B23" i="3"/>
  <c r="H60" i="13"/>
  <c r="N60" i="13" s="1"/>
  <c r="H61" i="13"/>
  <c r="N76" i="13" s="1"/>
  <c r="I55" i="13"/>
  <c r="O55" i="13" s="1"/>
  <c r="I58" i="13"/>
  <c r="O58" i="13" s="1"/>
  <c r="I76" i="13"/>
  <c r="E11" i="4"/>
  <c r="G56" i="13"/>
  <c r="M56" i="13" s="1"/>
  <c r="G68" i="13"/>
  <c r="W9" i="4"/>
  <c r="B21" i="3"/>
  <c r="C21" i="3" s="1"/>
  <c r="F9" i="4"/>
  <c r="B26" i="3"/>
  <c r="C27" i="3" s="1"/>
  <c r="I66" i="13"/>
  <c r="O66" i="13" s="1"/>
  <c r="I70" i="13"/>
  <c r="I72" i="13"/>
  <c r="B28" i="3"/>
  <c r="C29" i="3" s="1"/>
  <c r="N9" i="4"/>
  <c r="I75" i="13"/>
  <c r="O75" i="13" s="1"/>
  <c r="I57" i="13"/>
  <c r="O57" i="13" s="1"/>
  <c r="B25" i="3"/>
  <c r="B38" i="3"/>
  <c r="C39" i="3" s="1"/>
  <c r="B32" i="3"/>
  <c r="R13" i="4"/>
  <c r="S13" i="4"/>
  <c r="I13" i="4"/>
  <c r="G13" i="4"/>
  <c r="H13" i="4"/>
  <c r="F13" i="4"/>
  <c r="E13" i="4"/>
  <c r="B13" i="4"/>
  <c r="Y13" i="4"/>
  <c r="W13" i="4"/>
  <c r="P13" i="4"/>
  <c r="Q13" i="4"/>
  <c r="M13" i="4"/>
  <c r="J14" i="3"/>
  <c r="G20" i="3"/>
  <c r="L13" i="4"/>
  <c r="G10" i="3"/>
  <c r="B42" i="3"/>
  <c r="C43" i="3" s="1"/>
  <c r="B58" i="3"/>
  <c r="B59" i="3"/>
  <c r="B56" i="3"/>
  <c r="B57" i="3"/>
  <c r="E21" i="3"/>
  <c r="F21" i="3" s="1"/>
  <c r="E57" i="3"/>
  <c r="E59" i="3"/>
  <c r="E56" i="3"/>
  <c r="F56" i="3" s="1"/>
  <c r="E58" i="3"/>
  <c r="H36" i="3"/>
  <c r="H59" i="3"/>
  <c r="H58" i="3"/>
  <c r="H57" i="3"/>
  <c r="H56" i="3"/>
  <c r="I56" i="3" s="1"/>
  <c r="J11" i="3"/>
  <c r="C13" i="4"/>
  <c r="K13" i="4"/>
  <c r="D18" i="3"/>
  <c r="P9" i="3"/>
  <c r="P10" i="3"/>
  <c r="D6" i="3"/>
  <c r="H48" i="3"/>
  <c r="I49" i="3" s="1"/>
  <c r="H45" i="3"/>
  <c r="J18" i="3"/>
  <c r="S13" i="3"/>
  <c r="D9" i="3"/>
  <c r="H23" i="3"/>
  <c r="H32" i="3"/>
  <c r="F14" i="3"/>
  <c r="O10" i="3"/>
  <c r="D12" i="3"/>
  <c r="I9" i="3"/>
  <c r="P7" i="3"/>
  <c r="J12" i="3"/>
  <c r="J15" i="3"/>
  <c r="D19" i="3"/>
  <c r="H37" i="3"/>
  <c r="H42" i="3"/>
  <c r="I43" i="3" s="1"/>
  <c r="H21" i="3"/>
  <c r="I21" i="3" s="1"/>
  <c r="H31" i="3"/>
  <c r="H29" i="3"/>
  <c r="K11" i="4"/>
  <c r="H51" i="3"/>
  <c r="H50" i="3"/>
  <c r="J16" i="3"/>
  <c r="M13" i="3"/>
  <c r="H54" i="3"/>
  <c r="H39" i="3"/>
  <c r="S10" i="3"/>
  <c r="S11" i="3"/>
  <c r="D15" i="3"/>
  <c r="D10" i="3"/>
  <c r="O8" i="3"/>
  <c r="S12" i="3"/>
  <c r="H27" i="3"/>
  <c r="H30" i="3"/>
  <c r="I31" i="3" s="1"/>
  <c r="M11" i="4"/>
  <c r="L11" i="4"/>
  <c r="H33" i="3"/>
  <c r="G19" i="3"/>
  <c r="H44" i="3"/>
  <c r="J13" i="3"/>
  <c r="G17" i="3"/>
  <c r="D11" i="3"/>
  <c r="J19" i="3"/>
  <c r="D14" i="3"/>
  <c r="P11" i="4"/>
  <c r="E23" i="3"/>
  <c r="E39" i="3"/>
  <c r="E32" i="3"/>
  <c r="F32" i="3" s="1"/>
  <c r="H34" i="3"/>
  <c r="I34" i="3" s="1"/>
  <c r="H22" i="3"/>
  <c r="I23" i="3" s="1"/>
  <c r="V13" i="4"/>
  <c r="J9" i="3"/>
  <c r="M12" i="3"/>
  <c r="P13" i="3"/>
  <c r="P11" i="3"/>
  <c r="W11" i="4"/>
  <c r="H11" i="4"/>
  <c r="E30" i="3"/>
  <c r="F31" i="3" s="1"/>
  <c r="D11" i="4"/>
  <c r="H35" i="3"/>
  <c r="I11" i="4"/>
  <c r="J11" i="4"/>
  <c r="V11" i="4"/>
  <c r="H38" i="3"/>
  <c r="H53" i="3"/>
  <c r="I54" i="3" s="1"/>
  <c r="G14" i="3"/>
  <c r="H43" i="3"/>
  <c r="J17" i="3"/>
  <c r="G15" i="3"/>
  <c r="G7" i="3"/>
  <c r="E36" i="3"/>
  <c r="F37" i="3" s="1"/>
  <c r="E34" i="3"/>
  <c r="H26" i="3"/>
  <c r="I27" i="3" s="1"/>
  <c r="H41" i="3"/>
  <c r="G18" i="3"/>
  <c r="D8" i="3"/>
  <c r="C6" i="3"/>
  <c r="H25" i="3"/>
  <c r="J20" i="3"/>
  <c r="P8" i="3"/>
  <c r="D20" i="3"/>
  <c r="D5" i="3"/>
  <c r="H47" i="3"/>
  <c r="H46" i="3"/>
  <c r="I47" i="3" s="1"/>
  <c r="D13" i="3"/>
  <c r="G16" i="3"/>
  <c r="Y11" i="4"/>
  <c r="H24" i="3"/>
  <c r="I24" i="3" s="1"/>
  <c r="E26" i="3"/>
  <c r="H40" i="3"/>
  <c r="Q11" i="4"/>
  <c r="N13" i="4"/>
  <c r="C11" i="4"/>
  <c r="D13" i="4"/>
  <c r="I28" i="3"/>
  <c r="C31" i="3"/>
  <c r="F29" i="3"/>
  <c r="D22" i="3"/>
  <c r="F28" i="3"/>
  <c r="N55" i="13"/>
  <c r="F25" i="3"/>
  <c r="Q61" i="13"/>
  <c r="P70" i="13"/>
  <c r="Q73" i="13"/>
  <c r="R75" i="13"/>
  <c r="P57" i="13"/>
  <c r="R66" i="13"/>
  <c r="F45" i="3"/>
  <c r="F46" i="3"/>
  <c r="P64" i="13"/>
  <c r="P53" i="13"/>
  <c r="F35" i="13"/>
  <c r="G35" i="13" s="1"/>
  <c r="R56" i="13"/>
  <c r="C44" i="13"/>
  <c r="R53" i="13"/>
  <c r="L77" i="13"/>
  <c r="F37" i="13"/>
  <c r="G37" i="13" s="1"/>
  <c r="F55" i="3"/>
  <c r="D43" i="13"/>
  <c r="C36" i="13"/>
  <c r="D36" i="13" s="1"/>
  <c r="B43" i="13"/>
  <c r="Q55" i="13"/>
  <c r="R69" i="13"/>
  <c r="F44" i="3"/>
  <c r="C51" i="3"/>
  <c r="Q67" i="13"/>
  <c r="Q65" i="13"/>
  <c r="N53" i="13"/>
  <c r="P55" i="13"/>
  <c r="B42" i="13"/>
  <c r="R60" i="13"/>
  <c r="R74" i="13"/>
  <c r="R70" i="13"/>
  <c r="I48" i="3"/>
  <c r="C49" i="3"/>
  <c r="Q75" i="13"/>
  <c r="Q56" i="13"/>
  <c r="C43" i="13"/>
  <c r="Q63" i="13"/>
  <c r="R55" i="13"/>
  <c r="D44" i="13"/>
  <c r="B44" i="13"/>
  <c r="C37" i="13"/>
  <c r="D37" i="13" s="1"/>
  <c r="R76" i="13"/>
  <c r="C35" i="3"/>
  <c r="F51" i="3"/>
  <c r="F50" i="3"/>
  <c r="Q71" i="13"/>
  <c r="Q76" i="13"/>
  <c r="P54" i="13"/>
  <c r="P69" i="13"/>
  <c r="R57" i="13"/>
  <c r="I53" i="3"/>
  <c r="C46" i="3"/>
  <c r="P66" i="13"/>
  <c r="R72" i="13"/>
  <c r="R62" i="13"/>
  <c r="I52" i="3"/>
  <c r="G53" i="3"/>
  <c r="F54" i="3"/>
  <c r="F52" i="3"/>
  <c r="C44" i="3"/>
  <c r="Q68" i="13"/>
  <c r="P60" i="13"/>
  <c r="R64" i="13"/>
  <c r="C34" i="3"/>
  <c r="I55" i="3"/>
  <c r="F53" i="3"/>
  <c r="F47" i="3"/>
  <c r="C45" i="3"/>
  <c r="Q53" i="13"/>
  <c r="F36" i="13"/>
  <c r="G36" i="13" s="1"/>
  <c r="K77" i="13"/>
  <c r="N54" i="13"/>
  <c r="P56" i="13"/>
  <c r="P62" i="13"/>
  <c r="F38" i="3" l="1"/>
  <c r="C38" i="3"/>
  <c r="D21" i="3"/>
  <c r="N61" i="13"/>
  <c r="C36" i="3"/>
  <c r="M71" i="13"/>
  <c r="C33" i="3"/>
  <c r="I51" i="3"/>
  <c r="C22" i="3"/>
  <c r="I40" i="3"/>
  <c r="M68" i="13"/>
  <c r="D24" i="3"/>
  <c r="C41" i="3"/>
  <c r="F48" i="3"/>
  <c r="I35" i="3"/>
  <c r="C42" i="13"/>
  <c r="D23" i="3"/>
  <c r="C24" i="3"/>
  <c r="C23" i="3"/>
  <c r="D25" i="3"/>
  <c r="E3" i="6"/>
  <c r="C28" i="3"/>
  <c r="F49" i="3"/>
  <c r="P72" i="13"/>
  <c r="D42" i="13"/>
  <c r="J22" i="3"/>
  <c r="C35" i="13"/>
  <c r="D35" i="13" s="1"/>
  <c r="P75" i="13"/>
  <c r="D27" i="3"/>
  <c r="F40" i="3"/>
  <c r="J77" i="13"/>
  <c r="E3" i="5"/>
  <c r="G25" i="3"/>
  <c r="D38" i="3"/>
  <c r="C50" i="3"/>
  <c r="C56" i="3"/>
  <c r="P76" i="13"/>
  <c r="C14" i="6"/>
  <c r="J21" i="3"/>
  <c r="P74" i="13"/>
  <c r="C55" i="3"/>
  <c r="G22" i="3"/>
  <c r="C25" i="3"/>
  <c r="F43" i="3"/>
  <c r="D53" i="3"/>
  <c r="I30" i="3"/>
  <c r="D37" i="3"/>
  <c r="C26" i="3"/>
  <c r="D28" i="3"/>
  <c r="O76" i="13"/>
  <c r="O54" i="13"/>
  <c r="I22" i="3"/>
  <c r="I46" i="3"/>
  <c r="Z13" i="4"/>
  <c r="O72" i="13"/>
  <c r="M61" i="13"/>
  <c r="D12" i="13" s="1"/>
  <c r="N67" i="13"/>
  <c r="Z9" i="4"/>
  <c r="O60" i="13"/>
  <c r="D12" i="5"/>
  <c r="M76" i="13"/>
  <c r="D51" i="3"/>
  <c r="O70" i="13"/>
  <c r="F35" i="3"/>
  <c r="I38" i="3"/>
  <c r="D36" i="3"/>
  <c r="D15" i="5"/>
  <c r="I45" i="3"/>
  <c r="D52" i="3"/>
  <c r="C7" i="5"/>
  <c r="C13" i="6"/>
  <c r="K14" i="3"/>
  <c r="M17" i="3" s="1"/>
  <c r="C47" i="3"/>
  <c r="Q17" i="3"/>
  <c r="D41" i="3"/>
  <c r="M54" i="13"/>
  <c r="K17" i="3"/>
  <c r="C54" i="3"/>
  <c r="C11" i="6"/>
  <c r="K16" i="3"/>
  <c r="L17" i="3" s="1"/>
  <c r="J25" i="3"/>
  <c r="D15" i="6"/>
  <c r="G77" i="13"/>
  <c r="D47" i="3"/>
  <c r="M55" i="13"/>
  <c r="N68" i="13"/>
  <c r="D50" i="3"/>
  <c r="K15" i="3"/>
  <c r="L16" i="3" s="1"/>
  <c r="D40" i="3"/>
  <c r="M67" i="13"/>
  <c r="C53" i="3"/>
  <c r="D30" i="3"/>
  <c r="D13" i="5"/>
  <c r="D43" i="3"/>
  <c r="D48" i="3"/>
  <c r="C7" i="6"/>
  <c r="AB14" i="4"/>
  <c r="K20" i="3" s="1"/>
  <c r="M53" i="13"/>
  <c r="E7" i="13" s="1"/>
  <c r="C12" i="5"/>
  <c r="D14" i="5"/>
  <c r="J33" i="3"/>
  <c r="D54" i="3"/>
  <c r="B7" i="6"/>
  <c r="D29" i="3"/>
  <c r="B7" i="5"/>
  <c r="J23" i="3"/>
  <c r="O62" i="13"/>
  <c r="D45" i="3"/>
  <c r="D32" i="3"/>
  <c r="I77" i="13"/>
  <c r="C15" i="6"/>
  <c r="H77" i="13"/>
  <c r="C12" i="6"/>
  <c r="I39" i="3"/>
  <c r="D35" i="3"/>
  <c r="C14" i="5"/>
  <c r="I44" i="3"/>
  <c r="G21" i="3"/>
  <c r="C15" i="5"/>
  <c r="G47" i="3"/>
  <c r="F33" i="3"/>
  <c r="D34" i="3"/>
  <c r="C13" i="5"/>
  <c r="D44" i="3"/>
  <c r="D33" i="3"/>
  <c r="J52" i="3"/>
  <c r="D13" i="6"/>
  <c r="D39" i="3"/>
  <c r="J31" i="3"/>
  <c r="N71" i="13"/>
  <c r="D49" i="3"/>
  <c r="D31" i="3"/>
  <c r="Q14" i="3"/>
  <c r="D14" i="6"/>
  <c r="D12" i="6"/>
  <c r="D42" i="3"/>
  <c r="C32" i="3"/>
  <c r="D46" i="3"/>
  <c r="F34" i="3"/>
  <c r="D55" i="3"/>
  <c r="I29" i="3"/>
  <c r="I36" i="3"/>
  <c r="C11" i="5"/>
  <c r="I41" i="3"/>
  <c r="Q15" i="3"/>
  <c r="Q16" i="3"/>
  <c r="O69" i="13"/>
  <c r="D26" i="3"/>
  <c r="G24" i="3"/>
  <c r="I37" i="3"/>
  <c r="F39" i="3"/>
  <c r="J47" i="3"/>
  <c r="D59" i="3"/>
  <c r="AB16" i="4"/>
  <c r="G54" i="3"/>
  <c r="J24" i="3"/>
  <c r="G59" i="3"/>
  <c r="C42" i="3"/>
  <c r="N15" i="3"/>
  <c r="J43" i="3"/>
  <c r="J32" i="3"/>
  <c r="J59" i="3"/>
  <c r="F22" i="3"/>
  <c r="I57" i="3"/>
  <c r="J56" i="3"/>
  <c r="J57" i="3"/>
  <c r="I58" i="3"/>
  <c r="I59" i="3"/>
  <c r="J58" i="3"/>
  <c r="F59" i="3"/>
  <c r="G58" i="3"/>
  <c r="G56" i="3"/>
  <c r="F57" i="3"/>
  <c r="G57" i="3"/>
  <c r="F58" i="3"/>
  <c r="D57" i="3"/>
  <c r="C58" i="3"/>
  <c r="D56" i="3"/>
  <c r="C57" i="3"/>
  <c r="C59" i="3"/>
  <c r="D58" i="3"/>
  <c r="G52" i="3"/>
  <c r="G44" i="3"/>
  <c r="G43" i="3"/>
  <c r="G33" i="3"/>
  <c r="D12" i="7"/>
  <c r="I32" i="3"/>
  <c r="J50" i="3"/>
  <c r="I26" i="3"/>
  <c r="N16" i="3"/>
  <c r="J44" i="3"/>
  <c r="C14" i="7"/>
  <c r="N14" i="3"/>
  <c r="P14" i="3" s="1"/>
  <c r="F36" i="3"/>
  <c r="D14" i="7"/>
  <c r="C7" i="7"/>
  <c r="G40" i="3"/>
  <c r="N17" i="3"/>
  <c r="D15" i="7"/>
  <c r="G30" i="3"/>
  <c r="J55" i="3"/>
  <c r="J39" i="3"/>
  <c r="J45" i="3"/>
  <c r="J35" i="3"/>
  <c r="I50" i="3"/>
  <c r="AB15" i="4"/>
  <c r="AB21" i="4" s="1"/>
  <c r="Z11" i="4"/>
  <c r="J53" i="3"/>
  <c r="G36" i="3"/>
  <c r="B7" i="7"/>
  <c r="G35" i="3"/>
  <c r="C12" i="7"/>
  <c r="J29" i="3"/>
  <c r="J27" i="3"/>
  <c r="I33" i="3"/>
  <c r="J54" i="3"/>
  <c r="J49" i="3"/>
  <c r="J41" i="3"/>
  <c r="E3" i="7"/>
  <c r="J42" i="3"/>
  <c r="G49" i="3"/>
  <c r="G38" i="3"/>
  <c r="G48" i="3"/>
  <c r="G34" i="3"/>
  <c r="D13" i="7"/>
  <c r="J34" i="3"/>
  <c r="J51" i="3"/>
  <c r="J26" i="3"/>
  <c r="J48" i="3"/>
  <c r="J37" i="3"/>
  <c r="J38" i="3"/>
  <c r="J28" i="3"/>
  <c r="F24" i="3"/>
  <c r="F23" i="3"/>
  <c r="G28" i="3"/>
  <c r="G46" i="3"/>
  <c r="J30" i="3"/>
  <c r="G51" i="3"/>
  <c r="I25" i="3"/>
  <c r="J36" i="3"/>
  <c r="G50" i="3"/>
  <c r="J40" i="3"/>
  <c r="G37" i="3"/>
  <c r="C15" i="7"/>
  <c r="C13" i="7"/>
  <c r="G45" i="3"/>
  <c r="G55" i="3"/>
  <c r="G26" i="3"/>
  <c r="G23" i="3"/>
  <c r="F30" i="3"/>
  <c r="G41" i="3"/>
  <c r="G42" i="3"/>
  <c r="J46" i="3"/>
  <c r="G39" i="3"/>
  <c r="G29" i="3"/>
  <c r="C11" i="7"/>
  <c r="I42" i="3"/>
  <c r="F26" i="3"/>
  <c r="F27" i="3"/>
  <c r="G32" i="3"/>
  <c r="G27" i="3"/>
  <c r="G31" i="3"/>
  <c r="E25" i="13"/>
  <c r="B26" i="13"/>
  <c r="D25" i="13"/>
  <c r="C24" i="13"/>
  <c r="D26" i="13"/>
  <c r="B23" i="13"/>
  <c r="B25" i="13"/>
  <c r="E24" i="13"/>
  <c r="E26" i="13"/>
  <c r="E23" i="13"/>
  <c r="E29" i="13"/>
  <c r="C23" i="13"/>
  <c r="D23" i="13"/>
  <c r="C26" i="13"/>
  <c r="B24" i="13"/>
  <c r="D24" i="13"/>
  <c r="C25" i="13"/>
  <c r="C30" i="13"/>
  <c r="Q19" i="3"/>
  <c r="AB22" i="4"/>
  <c r="Q24" i="3"/>
  <c r="Q21" i="3"/>
  <c r="Q22" i="3"/>
  <c r="Q23" i="3"/>
  <c r="Q18" i="3"/>
  <c r="Q20" i="3"/>
  <c r="E8" i="13"/>
  <c r="D7" i="13"/>
  <c r="D8" i="13"/>
  <c r="B7" i="13"/>
  <c r="C8" i="13"/>
  <c r="C7" i="13"/>
  <c r="B10" i="13"/>
  <c r="B11" i="13"/>
  <c r="E11" i="13"/>
  <c r="E13" i="13"/>
  <c r="E9" i="13"/>
  <c r="C11" i="13"/>
  <c r="D9" i="13"/>
  <c r="C9" i="13"/>
  <c r="D10" i="13"/>
  <c r="D14" i="13"/>
  <c r="C10" i="13"/>
  <c r="C13" i="13"/>
  <c r="B12" i="13"/>
  <c r="C14" i="13"/>
  <c r="E12" i="13"/>
  <c r="B9" i="13"/>
  <c r="B8" i="13"/>
  <c r="C16" i="13"/>
  <c r="D16" i="13"/>
  <c r="E16" i="13"/>
  <c r="B15" i="13"/>
  <c r="C15" i="13"/>
  <c r="E15" i="13"/>
  <c r="C17" i="13"/>
  <c r="B16" i="13"/>
  <c r="D20" i="13"/>
  <c r="B17" i="13"/>
  <c r="E17" i="13"/>
  <c r="D17" i="13"/>
  <c r="D15" i="13"/>
  <c r="R16" i="3"/>
  <c r="R17" i="3"/>
  <c r="S14" i="3"/>
  <c r="R14" i="3"/>
  <c r="L15" i="3" l="1"/>
  <c r="M16" i="3"/>
  <c r="L14" i="3"/>
  <c r="D11" i="13"/>
  <c r="C12" i="13"/>
  <c r="E14" i="13"/>
  <c r="M14" i="3"/>
  <c r="B13" i="13"/>
  <c r="B14" i="13"/>
  <c r="M15" i="3"/>
  <c r="E10" i="13"/>
  <c r="D13" i="13"/>
  <c r="E21" i="13"/>
  <c r="D7" i="5"/>
  <c r="C21" i="13"/>
  <c r="P15" i="3"/>
  <c r="E22" i="13"/>
  <c r="D19" i="13"/>
  <c r="K19" i="3"/>
  <c r="B18" i="13"/>
  <c r="AB20" i="4"/>
  <c r="K59" i="3" s="1"/>
  <c r="C18" i="13"/>
  <c r="K18" i="3"/>
  <c r="L18" i="3" s="1"/>
  <c r="C20" i="13"/>
  <c r="C22" i="13"/>
  <c r="E18" i="13"/>
  <c r="K24" i="3"/>
  <c r="E19" i="13"/>
  <c r="D18" i="13"/>
  <c r="F18" i="13" s="1"/>
  <c r="D22" i="13"/>
  <c r="B30" i="13"/>
  <c r="F7" i="5"/>
  <c r="G7" i="5"/>
  <c r="D21" i="13"/>
  <c r="C27" i="13"/>
  <c r="S15" i="3"/>
  <c r="D27" i="13"/>
  <c r="O16" i="3"/>
  <c r="E20" i="13"/>
  <c r="B29" i="13"/>
  <c r="B20" i="13"/>
  <c r="C19" i="13"/>
  <c r="B22" i="13"/>
  <c r="G22" i="13" s="1"/>
  <c r="B21" i="13"/>
  <c r="G21" i="13" s="1"/>
  <c r="B27" i="13"/>
  <c r="G27" i="13" s="1"/>
  <c r="C28" i="13"/>
  <c r="B28" i="13"/>
  <c r="A28" i="13" s="1"/>
  <c r="B19" i="13"/>
  <c r="E28" i="13"/>
  <c r="D29" i="13"/>
  <c r="N18" i="3"/>
  <c r="O18" i="3" s="1"/>
  <c r="D30" i="13"/>
  <c r="C29" i="13"/>
  <c r="N21" i="3"/>
  <c r="E27" i="13"/>
  <c r="E30" i="13"/>
  <c r="D28" i="13"/>
  <c r="P16" i="3"/>
  <c r="G11" i="5"/>
  <c r="D11" i="5"/>
  <c r="G12" i="5"/>
  <c r="O17" i="3"/>
  <c r="N23" i="3"/>
  <c r="O15" i="3"/>
  <c r="K23" i="3"/>
  <c r="O14" i="3"/>
  <c r="G7" i="7"/>
  <c r="G13" i="5"/>
  <c r="P17" i="3"/>
  <c r="K21" i="3"/>
  <c r="R15" i="3"/>
  <c r="G15" i="5"/>
  <c r="K22" i="3"/>
  <c r="S17" i="3"/>
  <c r="S16" i="3"/>
  <c r="D11" i="7"/>
  <c r="G13" i="7"/>
  <c r="G16" i="7"/>
  <c r="N22" i="3"/>
  <c r="N20" i="3"/>
  <c r="G16" i="5"/>
  <c r="E7" i="5"/>
  <c r="G16" i="6"/>
  <c r="N19" i="3"/>
  <c r="P23" i="3" s="1"/>
  <c r="G14" i="5"/>
  <c r="N24" i="3"/>
  <c r="G12" i="6"/>
  <c r="G11" i="6"/>
  <c r="G14" i="6"/>
  <c r="E7" i="6"/>
  <c r="G11" i="7"/>
  <c r="D7" i="6"/>
  <c r="F7" i="7"/>
  <c r="N55" i="3"/>
  <c r="N59" i="3"/>
  <c r="N57" i="3"/>
  <c r="N56" i="3"/>
  <c r="N58" i="3"/>
  <c r="K58" i="3"/>
  <c r="Q55" i="3"/>
  <c r="Q57" i="3"/>
  <c r="Q58" i="3"/>
  <c r="Q56" i="3"/>
  <c r="R56" i="3" s="1"/>
  <c r="Q59" i="3"/>
  <c r="D7" i="7"/>
  <c r="G13" i="6"/>
  <c r="G15" i="6"/>
  <c r="G12" i="7"/>
  <c r="E7" i="7"/>
  <c r="F7" i="6"/>
  <c r="D11" i="6"/>
  <c r="G7" i="6"/>
  <c r="G15" i="7"/>
  <c r="G14" i="7"/>
  <c r="O56" i="3"/>
  <c r="O23" i="3"/>
  <c r="G19" i="13"/>
  <c r="F19" i="13"/>
  <c r="A19" i="13"/>
  <c r="F17" i="13"/>
  <c r="A17" i="13"/>
  <c r="G17" i="13"/>
  <c r="G14" i="13"/>
  <c r="F14" i="13"/>
  <c r="A14" i="13"/>
  <c r="M24" i="3"/>
  <c r="Q54" i="3"/>
  <c r="Q45" i="3"/>
  <c r="Q37" i="3"/>
  <c r="Q28" i="3"/>
  <c r="Q25" i="3"/>
  <c r="R25" i="3" s="1"/>
  <c r="Q27" i="3"/>
  <c r="Q48" i="3"/>
  <c r="Q47" i="3"/>
  <c r="Q53" i="3"/>
  <c r="Q43" i="3"/>
  <c r="Q34" i="3"/>
  <c r="Q35" i="3"/>
  <c r="Q32" i="3"/>
  <c r="Q40" i="3"/>
  <c r="Q33" i="3"/>
  <c r="Q30" i="3"/>
  <c r="Q42" i="3"/>
  <c r="Q38" i="3"/>
  <c r="Q44" i="3"/>
  <c r="Q50" i="3"/>
  <c r="Q31" i="3"/>
  <c r="Q46" i="3"/>
  <c r="Q52" i="3"/>
  <c r="Q29" i="3"/>
  <c r="Q49" i="3"/>
  <c r="Q51" i="3"/>
  <c r="Q41" i="3"/>
  <c r="Q36" i="3"/>
  <c r="Q26" i="3"/>
  <c r="Q39" i="3"/>
  <c r="A24" i="13"/>
  <c r="G24" i="13"/>
  <c r="F24" i="13"/>
  <c r="M18" i="3"/>
  <c r="L19" i="3"/>
  <c r="P22" i="3"/>
  <c r="A10" i="13"/>
  <c r="G10" i="13"/>
  <c r="F10" i="13"/>
  <c r="M21" i="3"/>
  <c r="L22" i="3"/>
  <c r="S19" i="3"/>
  <c r="R20" i="3"/>
  <c r="P18" i="3"/>
  <c r="A12" i="13"/>
  <c r="F12" i="13"/>
  <c r="G12" i="13"/>
  <c r="A16" i="13"/>
  <c r="G16" i="13"/>
  <c r="F16" i="13"/>
  <c r="L23" i="3"/>
  <c r="M22" i="3"/>
  <c r="R21" i="3"/>
  <c r="S20" i="3"/>
  <c r="O22" i="3"/>
  <c r="A18" i="13"/>
  <c r="G18" i="13"/>
  <c r="A15" i="13"/>
  <c r="F15" i="13"/>
  <c r="G15" i="13"/>
  <c r="A9" i="13"/>
  <c r="G9" i="13"/>
  <c r="F9" i="13"/>
  <c r="F13" i="13"/>
  <c r="K34" i="3"/>
  <c r="K47" i="3"/>
  <c r="K29" i="3"/>
  <c r="K43" i="3"/>
  <c r="S18" i="3"/>
  <c r="R19" i="3"/>
  <c r="R18" i="3"/>
  <c r="F25" i="13"/>
  <c r="G25" i="13"/>
  <c r="A25" i="13"/>
  <c r="S24" i="3"/>
  <c r="P20" i="3"/>
  <c r="O21" i="3"/>
  <c r="O20" i="3"/>
  <c r="L21" i="3"/>
  <c r="M20" i="3"/>
  <c r="S23" i="3"/>
  <c r="R24" i="3"/>
  <c r="G23" i="13"/>
  <c r="F23" i="13"/>
  <c r="A23" i="13"/>
  <c r="A26" i="13"/>
  <c r="F26" i="13"/>
  <c r="G26" i="13"/>
  <c r="G13" i="13"/>
  <c r="A13" i="13"/>
  <c r="P24" i="3"/>
  <c r="F20" i="13"/>
  <c r="A20" i="13"/>
  <c r="G20" i="13"/>
  <c r="A22" i="13"/>
  <c r="A21" i="13"/>
  <c r="F21" i="13"/>
  <c r="A11" i="13"/>
  <c r="G11" i="13"/>
  <c r="F11" i="13"/>
  <c r="A7" i="13"/>
  <c r="F7" i="13"/>
  <c r="G7" i="13"/>
  <c r="L20" i="3"/>
  <c r="M19" i="3"/>
  <c r="R23" i="3"/>
  <c r="S22" i="3"/>
  <c r="F29" i="13"/>
  <c r="G29" i="13"/>
  <c r="A29" i="13"/>
  <c r="A30" i="13"/>
  <c r="G30" i="13"/>
  <c r="F30" i="13"/>
  <c r="N51" i="3"/>
  <c r="N46" i="3"/>
  <c r="N40" i="3"/>
  <c r="N28" i="3"/>
  <c r="N41" i="3"/>
  <c r="N45" i="3"/>
  <c r="N29" i="3"/>
  <c r="N30" i="3"/>
  <c r="N27" i="3"/>
  <c r="N53" i="3"/>
  <c r="N25" i="3"/>
  <c r="N42" i="3"/>
  <c r="N35" i="3"/>
  <c r="N52" i="3"/>
  <c r="N31" i="3"/>
  <c r="N33" i="3"/>
  <c r="N48" i="3"/>
  <c r="N26" i="3"/>
  <c r="N47" i="3"/>
  <c r="N37" i="3"/>
  <c r="N43" i="3"/>
  <c r="N44" i="3"/>
  <c r="N38" i="3"/>
  <c r="N50" i="3"/>
  <c r="N39" i="3"/>
  <c r="N36" i="3"/>
  <c r="N32" i="3"/>
  <c r="N49" i="3"/>
  <c r="N34" i="3"/>
  <c r="N54" i="3"/>
  <c r="A8" i="13"/>
  <c r="G8" i="13"/>
  <c r="F8" i="13"/>
  <c r="L24" i="3"/>
  <c r="M23" i="3"/>
  <c r="S21" i="3"/>
  <c r="R22" i="3"/>
  <c r="G28" i="13"/>
  <c r="F28" i="13"/>
  <c r="K48" i="3" l="1"/>
  <c r="K38" i="3"/>
  <c r="K26" i="3"/>
  <c r="K27" i="3"/>
  <c r="K44" i="3"/>
  <c r="K57" i="3"/>
  <c r="K46" i="3"/>
  <c r="L47" i="3" s="1"/>
  <c r="K41" i="3"/>
  <c r="K49" i="3"/>
  <c r="K54" i="3"/>
  <c r="K56" i="3"/>
  <c r="K37" i="3"/>
  <c r="K45" i="3"/>
  <c r="K55" i="3"/>
  <c r="K33" i="3"/>
  <c r="M34" i="3" s="1"/>
  <c r="K35" i="3"/>
  <c r="K40" i="3"/>
  <c r="K32" i="3"/>
  <c r="K51" i="3"/>
  <c r="K52" i="3"/>
  <c r="K50" i="3"/>
  <c r="K31" i="3"/>
  <c r="K42" i="3"/>
  <c r="M44" i="3" s="1"/>
  <c r="K36" i="3"/>
  <c r="K30" i="3"/>
  <c r="K28" i="3"/>
  <c r="K25" i="3"/>
  <c r="K53" i="3"/>
  <c r="K39" i="3"/>
  <c r="O24" i="3"/>
  <c r="P19" i="3"/>
  <c r="F27" i="13"/>
  <c r="P21" i="3"/>
  <c r="F22" i="13"/>
  <c r="O19" i="3"/>
  <c r="A27" i="13"/>
  <c r="L56" i="3"/>
  <c r="S59" i="3"/>
  <c r="P59" i="3"/>
  <c r="S56" i="3"/>
  <c r="R57" i="3"/>
  <c r="R59" i="3"/>
  <c r="S58" i="3"/>
  <c r="R58" i="3"/>
  <c r="S57" i="3"/>
  <c r="L58" i="3"/>
  <c r="L59" i="3"/>
  <c r="L57" i="3"/>
  <c r="O59" i="3"/>
  <c r="P58" i="3"/>
  <c r="O57" i="3"/>
  <c r="P56" i="3"/>
  <c r="P57" i="3"/>
  <c r="O58" i="3"/>
  <c r="P55" i="3"/>
  <c r="S55" i="3"/>
  <c r="G2" i="14"/>
  <c r="O35" i="3"/>
  <c r="P34" i="3"/>
  <c r="O44" i="3"/>
  <c r="P43" i="3"/>
  <c r="H1" i="14"/>
  <c r="P35" i="3"/>
  <c r="P41" i="3"/>
  <c r="O42" i="3"/>
  <c r="L37" i="3"/>
  <c r="M30" i="3"/>
  <c r="L31" i="3"/>
  <c r="M28" i="3"/>
  <c r="L29" i="3"/>
  <c r="R40" i="3"/>
  <c r="S39" i="3"/>
  <c r="R47" i="3"/>
  <c r="S46" i="3"/>
  <c r="R41" i="3"/>
  <c r="S40" i="3"/>
  <c r="S27" i="3"/>
  <c r="R28" i="3"/>
  <c r="O50" i="3"/>
  <c r="P49" i="3"/>
  <c r="P37" i="3"/>
  <c r="O38" i="3"/>
  <c r="P42" i="3"/>
  <c r="O43" i="3"/>
  <c r="P28" i="3"/>
  <c r="O29" i="3"/>
  <c r="M25" i="3"/>
  <c r="L26" i="3"/>
  <c r="L49" i="3"/>
  <c r="L54" i="3"/>
  <c r="L40" i="3"/>
  <c r="R27" i="3"/>
  <c r="S26" i="3"/>
  <c r="S31" i="3"/>
  <c r="R32" i="3"/>
  <c r="C11" i="10"/>
  <c r="C15" i="10"/>
  <c r="R33" i="3"/>
  <c r="D12" i="10"/>
  <c r="E3" i="10"/>
  <c r="D13" i="10"/>
  <c r="C12" i="10"/>
  <c r="C7" i="10"/>
  <c r="D15" i="10"/>
  <c r="B7" i="10"/>
  <c r="C14" i="10"/>
  <c r="S32" i="3"/>
  <c r="D14" i="10"/>
  <c r="C13" i="10"/>
  <c r="S25" i="3"/>
  <c r="R26" i="3"/>
  <c r="B7" i="9"/>
  <c r="P32" i="3"/>
  <c r="C11" i="9"/>
  <c r="C14" i="9"/>
  <c r="C13" i="9"/>
  <c r="D14" i="9"/>
  <c r="C7" i="9"/>
  <c r="D13" i="9"/>
  <c r="E3" i="9"/>
  <c r="D12" i="9"/>
  <c r="C12" i="9"/>
  <c r="O33" i="3"/>
  <c r="C15" i="9"/>
  <c r="D15" i="9"/>
  <c r="O48" i="3"/>
  <c r="P47" i="3"/>
  <c r="O25" i="3"/>
  <c r="O26" i="3"/>
  <c r="P25" i="3"/>
  <c r="O41" i="3"/>
  <c r="P40" i="3"/>
  <c r="M38" i="3"/>
  <c r="L39" i="3"/>
  <c r="M26" i="3"/>
  <c r="L27" i="3"/>
  <c r="L28" i="3"/>
  <c r="M27" i="3"/>
  <c r="L45" i="3"/>
  <c r="R37" i="3"/>
  <c r="S36" i="3"/>
  <c r="R51" i="3"/>
  <c r="S50" i="3"/>
  <c r="R36" i="3"/>
  <c r="S35" i="3"/>
  <c r="S28" i="3"/>
  <c r="R29" i="3"/>
  <c r="O36" i="3"/>
  <c r="O37" i="3"/>
  <c r="P36" i="3"/>
  <c r="O27" i="3"/>
  <c r="P26" i="3"/>
  <c r="F2" i="14"/>
  <c r="O54" i="3"/>
  <c r="P53" i="3"/>
  <c r="P46" i="3"/>
  <c r="O47" i="3"/>
  <c r="L44" i="3"/>
  <c r="M29" i="3"/>
  <c r="L30" i="3"/>
  <c r="L48" i="3"/>
  <c r="L35" i="3"/>
  <c r="R42" i="3"/>
  <c r="S41" i="3"/>
  <c r="R45" i="3"/>
  <c r="S44" i="3"/>
  <c r="R35" i="3"/>
  <c r="S34" i="3"/>
  <c r="R38" i="3"/>
  <c r="S37" i="3"/>
  <c r="O49" i="3"/>
  <c r="P48" i="3"/>
  <c r="O28" i="3"/>
  <c r="P27" i="3"/>
  <c r="O52" i="3"/>
  <c r="P51" i="3"/>
  <c r="L50" i="3"/>
  <c r="L55" i="3"/>
  <c r="M54" i="3"/>
  <c r="R52" i="3"/>
  <c r="S51" i="3"/>
  <c r="S38" i="3"/>
  <c r="R39" i="3"/>
  <c r="S43" i="3"/>
  <c r="R44" i="3"/>
  <c r="S45" i="3"/>
  <c r="R46" i="3"/>
  <c r="O40" i="3"/>
  <c r="P39" i="3"/>
  <c r="E2" i="14"/>
  <c r="O51" i="3"/>
  <c r="P50" i="3"/>
  <c r="P33" i="3"/>
  <c r="O34" i="3"/>
  <c r="P30" i="3"/>
  <c r="O31" i="3"/>
  <c r="L38" i="3"/>
  <c r="R50" i="3"/>
  <c r="S49" i="3"/>
  <c r="S42" i="3"/>
  <c r="R43" i="3"/>
  <c r="R54" i="3"/>
  <c r="S53" i="3"/>
  <c r="R55" i="3"/>
  <c r="S54" i="3"/>
  <c r="O39" i="3"/>
  <c r="P38" i="3"/>
  <c r="O32" i="3"/>
  <c r="P31" i="3"/>
  <c r="P29" i="3"/>
  <c r="O30" i="3"/>
  <c r="L36" i="3"/>
  <c r="L41" i="3"/>
  <c r="M40" i="3"/>
  <c r="C13" i="8"/>
  <c r="L33" i="3"/>
  <c r="M32" i="3"/>
  <c r="R30" i="3"/>
  <c r="S29" i="3"/>
  <c r="R31" i="3"/>
  <c r="S30" i="3"/>
  <c r="S47" i="3"/>
  <c r="R48" i="3"/>
  <c r="L25" i="3"/>
  <c r="H2" i="14"/>
  <c r="O55" i="3"/>
  <c r="P54" i="3"/>
  <c r="O45" i="3"/>
  <c r="P44" i="3"/>
  <c r="P52" i="3"/>
  <c r="O53" i="3"/>
  <c r="E1" i="14"/>
  <c r="O46" i="3"/>
  <c r="P45" i="3"/>
  <c r="M51" i="3"/>
  <c r="L52" i="3"/>
  <c r="L53" i="3"/>
  <c r="L51" i="3"/>
  <c r="L32" i="3"/>
  <c r="M31" i="3"/>
  <c r="S52" i="3"/>
  <c r="R53" i="3"/>
  <c r="R34" i="3"/>
  <c r="S33" i="3"/>
  <c r="S48" i="3"/>
  <c r="R49" i="3"/>
  <c r="M46" i="3" l="1"/>
  <c r="M47" i="3"/>
  <c r="L43" i="3"/>
  <c r="M57" i="3"/>
  <c r="B7" i="8"/>
  <c r="C7" i="8"/>
  <c r="L46" i="3"/>
  <c r="M39" i="3"/>
  <c r="M42" i="3"/>
  <c r="D12" i="8"/>
  <c r="D13" i="8"/>
  <c r="M35" i="3"/>
  <c r="M45" i="3"/>
  <c r="M49" i="3"/>
  <c r="M59" i="3"/>
  <c r="M50" i="3"/>
  <c r="C11" i="8"/>
  <c r="E3" i="8"/>
  <c r="M33" i="3"/>
  <c r="G12" i="8" s="1"/>
  <c r="M53" i="3"/>
  <c r="M55" i="3"/>
  <c r="M56" i="3"/>
  <c r="L34" i="3"/>
  <c r="M41" i="3"/>
  <c r="M52" i="3"/>
  <c r="C14" i="8"/>
  <c r="L42" i="3"/>
  <c r="E7" i="8" s="1"/>
  <c r="M48" i="3"/>
  <c r="M36" i="3"/>
  <c r="M58" i="3"/>
  <c r="C15" i="8"/>
  <c r="M43" i="3"/>
  <c r="D14" i="8"/>
  <c r="C12" i="8"/>
  <c r="D15" i="8"/>
  <c r="M37" i="3"/>
  <c r="G14" i="10"/>
  <c r="G12" i="9"/>
  <c r="F7" i="9"/>
  <c r="I8" i="14" s="1"/>
  <c r="G11" i="10"/>
  <c r="G12" i="10"/>
  <c r="G11" i="9"/>
  <c r="E7" i="10"/>
  <c r="G16" i="9"/>
  <c r="D7" i="10"/>
  <c r="F7" i="10"/>
  <c r="G15" i="10"/>
  <c r="G16" i="8"/>
  <c r="G13" i="10"/>
  <c r="E7" i="9"/>
  <c r="G38" i="14"/>
  <c r="G23" i="14"/>
  <c r="G8" i="14"/>
  <c r="D7" i="9"/>
  <c r="G16" i="10"/>
  <c r="G7" i="9"/>
  <c r="G7" i="10"/>
  <c r="G14" i="9"/>
  <c r="F38" i="14"/>
  <c r="F23" i="14"/>
  <c r="F8" i="14"/>
  <c r="D11" i="9"/>
  <c r="D11" i="10"/>
  <c r="G13" i="9"/>
  <c r="E23" i="14"/>
  <c r="E38" i="14"/>
  <c r="E8" i="14"/>
  <c r="G15" i="9"/>
  <c r="H38" i="14"/>
  <c r="H8" i="14"/>
  <c r="H23" i="14"/>
  <c r="G13" i="8" l="1"/>
  <c r="G11" i="8"/>
  <c r="D7" i="8"/>
  <c r="G15" i="8"/>
  <c r="G14" i="8"/>
  <c r="F7" i="8"/>
  <c r="G7" i="8"/>
  <c r="I38" i="14"/>
  <c r="D11" i="8"/>
  <c r="I23" i="14"/>
</calcChain>
</file>

<file path=xl/sharedStrings.xml><?xml version="1.0" encoding="utf-8"?>
<sst xmlns="http://schemas.openxmlformats.org/spreadsheetml/2006/main" count="1241" uniqueCount="469">
  <si>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</si>
  <si>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</si>
  <si>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</si>
  <si>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</si>
  <si>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</si>
  <si>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</si>
  <si>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</si>
  <si>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</si>
  <si>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</si>
  <si>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</si>
  <si>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</si>
  <si>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</si>
  <si>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</si>
  <si>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</si>
  <si>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</si>
  <si>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</si>
  <si>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</si>
  <si>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</si>
  <si>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</si>
  <si>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</si>
  <si>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</si>
  <si>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</si>
  <si>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</si>
  <si>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</si>
  <si>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</si>
  <si>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</si>
  <si>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</si>
  <si>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</si>
  <si>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</si>
  <si>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</si>
  <si>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</si>
  <si>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</si>
  <si>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</si>
  <si>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</si>
  <si>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</si>
  <si>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</si>
  <si>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</si>
  <si>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</si>
  <si>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</si>
  <si>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</si>
  <si>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</si>
  <si>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</si>
  <si>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</si>
  <si>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</si>
  <si>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</si>
  <si>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</si>
  <si>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</si>
  <si>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</si>
  <si>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</si>
  <si>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</si>
  <si>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</si>
  <si>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</si>
  <si>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</si>
  <si>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</si>
  <si>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</si>
  <si>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</si>
  <si>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</si>
  <si>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</si>
  <si>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</si>
  <si>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</si>
  <si>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</si>
  <si>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</si>
  <si>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</si>
  <si>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宋体"/>
        <family val="3"/>
      </rPr>
      <t>组合净值</t>
    </r>
    <r>
      <rPr>
        <b/>
        <sz val="15"/>
        <color rgb="FFFFFFFF"/>
        <rFont val="Arial"/>
        <family val="2"/>
      </rPr>
      <t/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</si>
  <si>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</si>
  <si>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</si>
  <si>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</si>
  <si>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</si>
  <si>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</si>
  <si>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</si>
  <si>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</si>
  <si>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</si>
  <si>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</si>
  <si>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</si>
  <si>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</si>
  <si>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</si>
  <si>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</si>
  <si>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</si>
  <si>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</si>
  <si>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</si>
  <si>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</si>
  <si>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</si>
  <si>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</si>
  <si>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</si>
  <si>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</si>
  <si>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</si>
  <si>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</si>
  <si>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</si>
  <si>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</si>
  <si>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</si>
  <si>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</si>
  <si>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</si>
  <si>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</si>
  <si>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</si>
  <si>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</si>
  <si>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</si>
  <si>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</si>
  <si>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</si>
  <si>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</si>
  <si>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</si>
  <si>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</si>
  <si>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</si>
  <si>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</si>
  <si>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</si>
  <si>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</si>
  <si>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</si>
  <si>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</si>
  <si>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</si>
  <si>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</si>
  <si>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</si>
  <si>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</si>
  <si>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</si>
  <si>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</si>
  <si>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</si>
  <si>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</si>
  <si>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</si>
  <si>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</si>
  <si>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</si>
  <si>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</si>
  <si>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</si>
  <si>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</si>
  <si>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</si>
  <si>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</si>
  <si>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</si>
  <si>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</si>
  <si>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</si>
  <si>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</si>
  <si>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</si>
  <si>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</si>
  <si>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</si>
  <si>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</si>
  <si>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</si>
  <si>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</si>
  <si>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</si>
  <si>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</si>
  <si>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</si>
  <si>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</si>
  <si>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</si>
  <si>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</si>
  <si>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</si>
  <si>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</si>
  <si>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</si>
  <si>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</si>
  <si>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</si>
  <si>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</si>
  <si>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</si>
  <si>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</si>
  <si>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</si>
  <si>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</si>
  <si>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</si>
  <si>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</si>
  <si>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</si>
  <si>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</si>
  <si>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</si>
  <si>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</si>
  <si>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</si>
  <si>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</si>
  <si>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</si>
  <si>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</si>
  <si>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</si>
  <si>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</si>
  <si>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</si>
  <si>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</si>
  <si>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</si>
  <si>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</si>
  <si>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</si>
  <si>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</si>
  <si>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</si>
  <si>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</si>
  <si>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</si>
  <si>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</si>
  <si>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</si>
  <si>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</si>
  <si>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</si>
  <si>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</si>
  <si>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</si>
  <si>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</si>
  <si>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</si>
  <si>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</si>
  <si>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</si>
  <si>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</si>
  <si>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</si>
  <si>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</si>
  <si>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</si>
  <si>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</si>
  <si>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</si>
  <si>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</si>
  <si>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</si>
  <si>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</si>
  <si>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</si>
  <si>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</si>
  <si>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</si>
  <si>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</si>
  <si>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</si>
  <si>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</rPr>
      <t>)</t>
    </r>
  </si>
  <si>
    <t>样板间投顾组合 · 偏离度监控</t>
  </si>
  <si>
    <t>净值截止日</t>
  </si>
  <si>
    <t>权重口径</t>
  </si>
  <si>
    <t>上一完整交易日（避免当日净值更新不同步）</t>
  </si>
  <si>
    <t>配比预警阈值</t>
  </si>
  <si>
    <t>主动基金上限</t>
  </si>
  <si>
    <t>三个产业趋势组合展示全部最新持仓；10-90（含基石）及30-70的结构偏离按目标配比监控。红色表示超过约束或预警阈值。</t>
  </si>
  <si>
    <t>数据截止日</t>
  </si>
  <si>
    <t>组合</t>
  </si>
  <si>
    <t>基金类型</t>
  </si>
  <si>
    <t>当前权重</t>
  </si>
  <si>
    <t>是否超限</t>
  </si>
  <si>
    <t>调仓生效日</t>
  </si>
  <si>
    <t>约束口径：仅“主动”基金适用单只20%上限；主题指数、指增、货币、债券及保障基金不纳入该上限。超限基金整行标红。</t>
  </si>
  <si>
    <t>增值目标</t>
  </si>
  <si>
    <t>增值当前</t>
  </si>
  <si>
    <t>偏离度</t>
  </si>
  <si>
    <t>生息目标</t>
  </si>
  <si>
    <t>生息当前</t>
  </si>
  <si>
    <t>10-90</t>
  </si>
  <si>
    <t>10-90基石</t>
  </si>
  <si>
    <t>30-70</t>
  </si>
  <si>
    <t>生息含债券、货币及保障类基金；默认预警阈值为±2个百分点，可在J2直接修改。偏离度=当前配比−目标配比。</t>
  </si>
  <si>
    <t>3. 增值部分内部产业趋势 / 指增当前配比</t>
  </si>
  <si>
    <t>产业趋势当前权重</t>
  </si>
  <si>
    <t>指增部分当前权重</t>
  </si>
  <si>
    <t>增值部分总权重</t>
  </si>
  <si>
    <t>产业趋势与指增的当前权重均以“增值部分总权重”为分母。</t>
  </si>
  <si>
    <t>核验：原模板8月10日当日行仅货币基金先更新，最大混频差为0.00044个百分点；改用2026-08-07完整净值后，与系统导出最大残差降至0.00010个百分点（约0.01bp，仅为6位小数舍入）。</t>
  </si>
  <si>
    <t>分类映射与自动计算明细（维护区）</t>
  </si>
  <si>
    <t>分类参考《增值_生息+产业趋势_指增.xlsx》；A/C份额继承同一基金分类。000917、009993及部分C份额为现持仓补充映射。</t>
  </si>
  <si>
    <t>大类</t>
  </si>
  <si>
    <t>增值细分</t>
  </si>
  <si>
    <t>管理方式</t>
  </si>
  <si>
    <t>分类依据</t>
  </si>
  <si>
    <t>产业趋势</t>
  </si>
  <si>
    <t>产业趋势基石</t>
  </si>
  <si>
    <t>产业趋势2号</t>
  </si>
  <si>
    <t>华安黄金ETF联接A</t>
  </si>
  <si>
    <t>生息</t>
  </si>
  <si>
    <t>-</t>
  </si>
  <si>
    <t>保障</t>
  </si>
  <si>
    <t>债券&amp;保障池子（保障）</t>
  </si>
  <si>
    <t>嘉实快线货币A</t>
  </si>
  <si>
    <t>货币</t>
  </si>
  <si>
    <t>现持仓补充</t>
  </si>
  <si>
    <t>宏利复兴混合A</t>
  </si>
  <si>
    <t>增值</t>
  </si>
  <si>
    <t>主动</t>
  </si>
  <si>
    <t>产业趋势产品池</t>
  </si>
  <si>
    <t>博道沪深300增强A</t>
  </si>
  <si>
    <t>指增</t>
  </si>
  <si>
    <t>宽基&amp;指增池</t>
  </si>
  <si>
    <t>博道沪深300指增C</t>
  </si>
  <si>
    <t>同基金A/C</t>
  </si>
  <si>
    <t>国泰通信设备ETF联接A</t>
  </si>
  <si>
    <t>指数</t>
  </si>
  <si>
    <t>国泰通信设备C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</si>
  <si>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</si>
  <si>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</si>
  <si>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</si>
  <si>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</si>
  <si>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</si>
  <si>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</si>
  <si>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</si>
  <si>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</si>
  <si>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</si>
  <si>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</si>
  <si>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</si>
  <si>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</si>
  <si>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</si>
  <si>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</si>
  <si>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</si>
  <si>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债券</t>
  </si>
  <si>
    <t>债券&amp;保障池子（生息）</t>
  </si>
  <si>
    <t>自动计算参数（公式区）</t>
  </si>
  <si>
    <t>最新完整净值行(相对A5)</t>
  </si>
  <si>
    <t>最新完整净值日期</t>
  </si>
  <si>
    <t>最新阶段行</t>
  </si>
  <si>
    <t>阶段标签</t>
  </si>
  <si>
    <t>归一化因子</t>
  </si>
  <si>
    <t>最近完整快照（2026-08-07，由模板净值和分期持仓重算；非系统导入）</t>
  </si>
  <si>
    <t>1. 产业趋势组合详细持仓及集中度风险</t>
    <phoneticPr fontId="35" type="noConversion"/>
  </si>
  <si>
    <t>2. 组合内部增值 / 生息配比偏离（10-90/30-70）</t>
    <phoneticPr fontId="35" type="noConversion"/>
  </si>
  <si>
    <t>序号</t>
  </si>
  <si>
    <t>产品/基金名称</t>
  </si>
  <si>
    <t>003504.OF</t>
  </si>
  <si>
    <t>000143.OF</t>
  </si>
  <si>
    <t>000385.OF</t>
  </si>
  <si>
    <t>002065.OF</t>
  </si>
  <si>
    <t>002969.OF</t>
  </si>
  <si>
    <t>014088.OF</t>
  </si>
  <si>
    <t>001751.OF</t>
  </si>
  <si>
    <t>014846.OF</t>
  </si>
  <si>
    <t>000171.OF</t>
  </si>
  <si>
    <t>202101.OF</t>
  </si>
  <si>
    <t>470010.OF</t>
  </si>
  <si>
    <t>000406.OF</t>
  </si>
  <si>
    <t>018595.OF</t>
  </si>
  <si>
    <t>020218.OF</t>
  </si>
  <si>
    <t>009355.OF</t>
  </si>
  <si>
    <t>024057.OF</t>
  </si>
  <si>
    <t>011168.OF</t>
  </si>
  <si>
    <t>嘉实睿享安久双利18个月持有期债券</t>
  </si>
  <si>
    <t>014738.OF</t>
  </si>
  <si>
    <t>006307.OF</t>
  </si>
  <si>
    <t>003458.OF</t>
  </si>
  <si>
    <t>110027.OF</t>
  </si>
  <si>
    <t>005221.OF</t>
  </si>
  <si>
    <t>160718.OF</t>
  </si>
  <si>
    <t>数据源：同花顺 iFinD；基金净值明细覆盖 2026-06-18 至 2026-08-10。</t>
  </si>
  <si>
    <t>景顺长城景颐丰利债券</t>
  </si>
  <si>
    <t>鹏华双债加利债券</t>
  </si>
  <si>
    <t>景顺长城景颐双利债券</t>
  </si>
  <si>
    <t>景顺长城景盛双息收益债券</t>
  </si>
  <si>
    <t>易方达丰和债券</t>
  </si>
  <si>
    <t>永赢稳健增强债券</t>
  </si>
  <si>
    <t>华商信用增强债券</t>
  </si>
  <si>
    <t>博时恒乐债券</t>
  </si>
  <si>
    <t>易方达裕丰回报债券</t>
  </si>
  <si>
    <t>南方宝元债券</t>
  </si>
  <si>
    <t>上线以来</t>
    <phoneticPr fontId="35" type="noConversion"/>
  </si>
  <si>
    <t>汇添富多元收益债券</t>
  </si>
  <si>
    <t>汇添富双利增强债券</t>
  </si>
  <si>
    <t>华商利欣回报债券</t>
  </si>
  <si>
    <t>万家锦利债券发起式</t>
  </si>
  <si>
    <t>宏利泰和稳健养老目标一年持有期混合(FOF)</t>
  </si>
  <si>
    <t>宏利鼎森稳健3个月持有期混合(FOF)</t>
  </si>
  <si>
    <t>广发恒祥债券</t>
  </si>
  <si>
    <t>嘉实养老目标日期2040五年持有期混合(FOF)</t>
  </si>
  <si>
    <t>嘉实稳宏债券</t>
  </si>
  <si>
    <t>易方达安心回报债券</t>
  </si>
  <si>
    <t>宏利全能优选混合(FOF)</t>
  </si>
  <si>
    <t>嘉实多利收益债券</t>
  </si>
  <si>
    <t>最大回撤按页首“上线以来”起止日计算；日期参数需选择净值明细中存在的日期，否则相应收益率留空。</t>
    <phoneticPr fontId="35" type="noConversion"/>
  </si>
  <si>
    <t>说明：基金收益率按复权单位净值计算；1090净值通过公式直接链接实盘净值数据</t>
    <phoneticPr fontId="35" type="noConversion"/>
  </si>
  <si>
    <t>26Q2规模（亿元）</t>
    <phoneticPr fontId="35" type="noConversion"/>
  </si>
  <si>
    <t>最大回撤（上线以来）</t>
    <phoneticPr fontId="35" type="noConversion"/>
  </si>
  <si>
    <t>公募固收+Q2规模增长前十基金表现</t>
    <phoneticPr fontId="35" type="noConversion"/>
  </si>
  <si>
    <t>公司公募固收+保有前十基金表现（2026Q2）</t>
    <phoneticPr fontId="35" type="noConversion"/>
  </si>
  <si>
    <t>公募固收+规模前十（2026Q2）基金表现</t>
    <phoneticPr fontId="35" type="noConversion"/>
  </si>
  <si>
    <t>6/22-7/30</t>
    <phoneticPr fontId="35" type="noConversion"/>
  </si>
  <si>
    <t>7.31至今</t>
    <phoneticPr fontId="35" type="noConversion"/>
  </si>
  <si>
    <t>10/90基石投顾组合</t>
    <phoneticPr fontId="35" type="noConversion"/>
  </si>
  <si>
    <t>公司固收加保有前十（万元）</t>
    <phoneticPr fontId="35" type="noConversion"/>
  </si>
  <si>
    <t>上周</t>
    <phoneticPr fontId="35" type="noConversion"/>
  </si>
  <si>
    <t>1090基石</t>
    <phoneticPr fontId="35" type="noConversion"/>
  </si>
  <si>
    <t>指标名称</t>
  </si>
  <si>
    <t>本周</t>
  </si>
  <si>
    <t>本月</t>
  </si>
  <si>
    <t>本季度</t>
  </si>
  <si>
    <t>本年</t>
  </si>
  <si>
    <t>近1周</t>
  </si>
  <si>
    <t>近1月</t>
  </si>
  <si>
    <t>近3月</t>
  </si>
  <si>
    <t>近6月</t>
  </si>
  <si>
    <t>近1年</t>
  </si>
  <si>
    <t>近3年</t>
  </si>
  <si>
    <t>近5年</t>
  </si>
  <si>
    <t>成立至今</t>
  </si>
  <si>
    <t>选择区间</t>
  </si>
  <si>
    <t>累计收益率</t>
  </si>
  <si>
    <t>-0.030252%</t>
  </si>
  <si>
    <t>1.799740%</t>
  </si>
  <si>
    <t>-0.804632%</t>
  </si>
  <si>
    <t>-0.535747%</t>
  </si>
  <si>
    <t>-0.387552%</t>
  </si>
  <si>
    <t>1.335983%</t>
  </si>
  <si>
    <t>基准收益率</t>
  </si>
  <si>
    <t>-0.028625%</t>
  </si>
  <si>
    <t>0.963579%</t>
  </si>
  <si>
    <t>-0.045171%</t>
  </si>
  <si>
    <t>0.236847%</t>
  </si>
  <si>
    <t>-0.218682%</t>
  </si>
  <si>
    <t>0.933315%</t>
  </si>
  <si>
    <t>年化收益率</t>
  </si>
  <si>
    <t>-10.455690%</t>
  </si>
  <si>
    <t>31.163777%</t>
  </si>
  <si>
    <t>-5.220241%</t>
  </si>
  <si>
    <t>-2.842259%</t>
  </si>
  <si>
    <t>-18.329155%</t>
  </si>
  <si>
    <t>16.912980%</t>
  </si>
  <si>
    <t>基准年化收益率</t>
  </si>
  <si>
    <t>-9.922182%</t>
  </si>
  <si>
    <t>15.701421%</t>
  </si>
  <si>
    <t>-0.299392%</t>
  </si>
  <si>
    <t>1.277906%</t>
  </si>
  <si>
    <t>-10.787738%</t>
  </si>
  <si>
    <t>11.558700%</t>
  </si>
  <si>
    <t>回撤率</t>
  </si>
  <si>
    <t>-0.472383%</t>
  </si>
  <si>
    <t>-0.771982%</t>
  </si>
  <si>
    <t>-2.886915%</t>
  </si>
  <si>
    <t>-1.157256%</t>
  </si>
  <si>
    <t>区间最大涨幅</t>
  </si>
  <si>
    <t>0.000000%</t>
  </si>
  <si>
    <t>2.282907%</t>
  </si>
  <si>
    <t>0.271066%</t>
  </si>
  <si>
    <t>1.816949%</t>
  </si>
  <si>
    <t>回撤最长修复时间</t>
  </si>
  <si>
    <t>3*</t>
  </si>
  <si>
    <t>4</t>
  </si>
  <si>
    <t>55*</t>
  </si>
  <si>
    <t>5</t>
  </si>
  <si>
    <t>6*</t>
  </si>
  <si>
    <t>10</t>
  </si>
  <si>
    <t>最大回撤修复时间</t>
  </si>
  <si>
    <t>未修复</t>
  </si>
  <si>
    <t>7</t>
  </si>
  <si>
    <t>基准回撤率</t>
  </si>
  <si>
    <t>-0.252567%</t>
  </si>
  <si>
    <t>基准最大回撤</t>
  </si>
  <si>
    <t>-0.444646%</t>
  </si>
  <si>
    <t>-1.357488%</t>
  </si>
  <si>
    <t>-0.470584%</t>
  </si>
  <si>
    <t>波动率</t>
  </si>
  <si>
    <t>--</t>
  </si>
  <si>
    <t>0.321241%</t>
  </si>
  <si>
    <t>0.383270%</t>
  </si>
  <si>
    <t>0.357635%</t>
  </si>
  <si>
    <t>0.397820%</t>
  </si>
  <si>
    <t>0.357248%</t>
  </si>
  <si>
    <t>基准波动率</t>
  </si>
  <si>
    <t>0.184951%</t>
  </si>
  <si>
    <t>0.220195%</t>
  </si>
  <si>
    <t>0.217573%</t>
  </si>
  <si>
    <t>0.233125%</t>
  </si>
  <si>
    <t>0.198592%</t>
  </si>
  <si>
    <t>5.099549%</t>
  </si>
  <si>
    <t>6.084215%</t>
  </si>
  <si>
    <t>5.677277%</t>
  </si>
  <si>
    <t>6.315191%</t>
  </si>
  <si>
    <t>5.671142%</t>
  </si>
  <si>
    <t>基准年化波动率</t>
  </si>
  <si>
    <t>2.935999%</t>
  </si>
  <si>
    <t>3.495492%</t>
  </si>
  <si>
    <t>3.453859%</t>
  </si>
  <si>
    <t>3.700744%</t>
  </si>
  <si>
    <t>3.152554%</t>
  </si>
  <si>
    <t>5.91628799</t>
  </si>
  <si>
    <t>-1.10453702</t>
  </si>
  <si>
    <t>-0.76484890</t>
  </si>
  <si>
    <t>-3.13991383</t>
  </si>
  <si>
    <t>2.76570661</t>
  </si>
  <si>
    <t>基准夏普比率</t>
  </si>
  <si>
    <t>4.90073388</t>
  </si>
  <si>
    <t>-0.51477497</t>
  </si>
  <si>
    <t>-0.06430301</t>
  </si>
  <si>
    <t>-3.32034300</t>
  </si>
  <si>
    <t>3.13216255</t>
  </si>
  <si>
    <t>-34561.950050%</t>
  </si>
  <si>
    <t>4036.851361%</t>
  </si>
  <si>
    <t>-180.824209%</t>
  </si>
  <si>
    <t>-98.453165%</t>
  </si>
  <si>
    <t>-2374.297336%</t>
  </si>
  <si>
    <t>1461.472250%</t>
  </si>
  <si>
    <t>赫斯特指数</t>
  </si>
  <si>
    <t>索提诺比率</t>
  </si>
  <si>
    <t>1819.659538%</t>
  </si>
  <si>
    <t>-307.872701%</t>
  </si>
  <si>
    <t>-272.716134%</t>
  </si>
  <si>
    <t>-1620.500417%</t>
  </si>
  <si>
    <t>963.037161%</t>
  </si>
  <si>
    <t>信息比率</t>
  </si>
  <si>
    <t>835.383163%</t>
  </si>
  <si>
    <t>-163.663076%</t>
  </si>
  <si>
    <t>-149.296442%</t>
  </si>
  <si>
    <t>-286.027835%</t>
  </si>
  <si>
    <t>249.670288%</t>
  </si>
  <si>
    <t>周转换手率</t>
  </si>
  <si>
    <t>6.601800%</t>
  </si>
  <si>
    <t>季度正收益</t>
  </si>
  <si>
    <t>50.000000%</t>
  </si>
  <si>
    <t>粘系统最新净值序列与绩效表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</si>
</sst>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%;[Red]\(0.00%\);\-"/>
    <numFmt numFmtId="187" formatCode="0.00%;\(0.00%\);\-"/>
    <numFmt numFmtId="188" formatCode="0.000000"/>
    <numFmt numFmtId="189" formatCode="0.00_);[Red]\(0.00\)"/>
    <numFmt numFmtId="190" formatCode="_ * #,##0_ ;_ * \-#,##0_ ;_ * &quot;-&quot;??_ ;_ @_ "/>
    <numFmt numFmtId="191" formatCode="yyyy/mm/dd"/>
  </numFmts>
  <fonts count="70">
    <font>
      <sz val="10"/>
      <name val="Linux Libertine G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</font>
    <font>
      <b/>
      <sz val="15"/>
      <color rgb="FFFFFFFF"/>
      <name val="Linux Libertine G"/>
    </font>
    <font>
      <b/>
      <sz val="15"/>
      <color rgb="FFFFFFFF"/>
      <name val="Arial"/>
      <family val="2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</font>
    <font>
      <i/>
      <sz val="9"/>
      <color rgb="FF595959"/>
      <name val="Arial"/>
      <family val="2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</font>
    <font>
      <b/>
      <sz val="11"/>
      <color rgb="FFFFFFFF"/>
      <name val="Arial"/>
      <family val="2"/>
    </font>
    <font>
      <sz val="10"/>
      <color rgb="FF000000"/>
      <name val="Linux Libertine G"/>
    </font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b/>
      <sz val="17"/>
      <color rgb="FFFFFFFF"/>
      <name val="Linux Libertine G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Linux Libertine G"/>
    </font>
    <font>
      <b/>
      <sz val="17"/>
      <color rgb="FFFFFFFF"/>
      <name val="Arial"/>
      <family val="2"/>
    </font>
    <font>
      <b/>
      <sz val="18"/>
      <color rgb="FF1F3864"/>
      <name val="Linux Libertine G"/>
    </font>
    <font>
      <b/>
      <sz val="18"/>
      <color rgb="FF1F3864"/>
      <name val="Arial"/>
      <family val="2"/>
    </font>
    <font>
      <b/>
      <sz val="12"/>
      <color rgb="FF1F3864"/>
      <name val="Linux Libertine G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9"/>
      <color rgb="FF0000FF"/>
      <name val="Arial"/>
      <family val="2"/>
    </font>
    <font>
      <i/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sz val="8"/>
      <color rgb="FF595959"/>
      <name val="微软雅黑"/>
      <family val="2"/>
      <charset val="134"/>
    </font>
    <font>
      <b/>
      <sz val="8"/>
      <color rgb="FF1F3864"/>
      <name val="微软雅黑"/>
      <family val="2"/>
      <charset val="134"/>
    </font>
    <font>
      <sz val="7"/>
      <color rgb="FF000000"/>
      <name val="微软雅黑"/>
      <family val="2"/>
      <charset val="134"/>
    </font>
    <font>
      <b/>
      <sz val="15"/>
      <color rgb="FFFFFFFF"/>
      <name val="Linux Libertine G"/>
      <family val="2"/>
    </font>
    <font>
      <b/>
      <sz val="10"/>
      <color rgb="FF000000"/>
      <name val="Linux Libertine G"/>
      <family val="2"/>
    </font>
    <font>
      <i/>
      <sz val="9"/>
      <color rgb="FF595959"/>
      <name val="Linux Libertine G"/>
      <family val="2"/>
    </font>
    <font>
      <b/>
      <sz val="15"/>
      <color rgb="FFFFFFFF"/>
      <name val="宋体"/>
      <family val="3"/>
    </font>
    <font>
      <b/>
      <sz val="11"/>
      <color rgb="FFFFFFFF"/>
      <name val="Linux Libertine G"/>
      <family val="2"/>
    </font>
    <font>
      <sz val="10"/>
      <name val="Linux Libertine G"/>
      <family val="2"/>
    </font>
    <font>
      <sz val="11"/>
      <color theme="1"/>
      <name val="Linux Libertine G"/>
      <family val="2"/>
    </font>
    <font>
      <sz val="11"/>
      <color theme="1"/>
      <name val="宋体"/>
      <family val="2"/>
    </font>
    <font>
      <b/>
      <sz val="16"/>
      <color rgb="FF000000"/>
      <name val="Linux Libertine G"/>
      <family val="2"/>
    </font>
    <font>
      <b/>
      <sz val="16"/>
      <color rgb="FF000000"/>
      <name val="微软雅黑"/>
      <family val="2"/>
    </font>
    <font>
      <b/>
      <sz val="17"/>
      <color rgb="FFFFFFFF"/>
      <name val="Linux Libertine G"/>
      <family val="2"/>
    </font>
    <font>
      <b/>
      <sz val="18"/>
      <color rgb="FF1F3864"/>
      <name val="Linux Libertine G"/>
      <family val="2"/>
    </font>
    <font>
      <sz val="10"/>
      <color rgb="FF000000"/>
      <name val="Linux Libertine G"/>
      <family val="2"/>
    </font>
    <font>
      <sz val="10"/>
      <color rgb="FF000000"/>
      <name val="微软雅黑"/>
      <family val="2"/>
    </font>
    <font>
      <sz val="10"/>
      <name val="Linux Libertine G"/>
    </font>
    <font>
      <b/>
      <sz val="11"/>
      <color rgb="FFFFFFF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 style="thin">
        <color rgb="FF355E84"/>
      </bottom>
      <diagonal/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thin">
        <color rgb="FFD9E2F3"/>
      </right>
      <top style="thin">
        <color rgb="FFB4C6E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 style="thin">
        <color rgb="FF355E84"/>
      </bottom>
      <diagonal/>
    </border>
    <border>
      <left/>
      <right/>
      <top style="thin">
        <color theme="4"/>
      </top>
      <bottom style="thin">
        <color rgb="FFA6A6A6"/>
      </bottom>
      <diagonal/>
    </border>
    <border>
      <left style="thin">
        <color rgb="FFD9E2F3"/>
      </left>
      <right/>
      <top style="thin">
        <color rgb="FFA6A6A6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B4C6E7"/>
      </bottom>
      <diagonal/>
    </border>
    <border>
      <left style="thin">
        <color rgb="FF355E84"/>
      </left>
      <right style="thin">
        <color rgb="FF355E8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rgb="FFA6A6A6"/>
      </bottom>
      <diagonal/>
    </border>
  </borders>
  <cellStyleXfs count="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  <xf numFmtId="9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</cellStyleXfs>
  <cellXfs count="143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/>
    <xf numFmtId="182" fontId="15" fillId="0" borderId="0" xfId="5" applyNumberFormat="1" applyFo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/>
    <xf numFmtId="184" fontId="20" fillId="0" borderId="0" xfId="5" applyNumberFormat="1" applyFont="1"/>
    <xf numFmtId="0" fontId="20" fillId="0" borderId="0" xfId="0" applyFont="1"/>
    <xf numFmtId="0" fontId="15" fillId="0" borderId="0" xfId="5" applyFont="1"/>
    <xf numFmtId="10" fontId="21" fillId="0" borderId="0" xfId="0" applyNumberFormat="1" applyFont="1"/>
    <xf numFmtId="185" fontId="15" fillId="0" borderId="0" xfId="5" applyNumberFormat="1" applyFont="1"/>
    <xf numFmtId="0" fontId="22" fillId="0" borderId="0" xfId="5" applyFont="1"/>
    <xf numFmtId="0" fontId="21" fillId="0" borderId="0" xfId="0" applyFont="1"/>
    <xf numFmtId="181" fontId="3" fillId="0" borderId="0" xfId="5" applyNumberForma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29" fillId="0" borderId="0" xfId="5" applyFont="1"/>
    <xf numFmtId="0" fontId="31" fillId="0" borderId="0" xfId="5" applyFont="1"/>
    <xf numFmtId="0" fontId="3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/>
    <xf numFmtId="0" fontId="10" fillId="6" borderId="2" xfId="5" applyFont="1" applyFill="1" applyBorder="1"/>
    <xf numFmtId="0" fontId="37" fillId="8" borderId="2" xfId="0" applyFont="1" applyFill="1" applyBorder="1" applyAlignment="1">
      <alignment horizontal="center" vertical="center"/>
    </xf>
    <xf numFmtId="181" fontId="37" fillId="8" borderId="2" xfId="0" applyNumberFormat="1" applyFont="1" applyFill="1" applyBorder="1" applyAlignment="1">
      <alignment horizontal="center" vertical="center"/>
    </xf>
    <xf numFmtId="186" fontId="38" fillId="9" borderId="2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181" fontId="37" fillId="11" borderId="2" xfId="0" applyNumberFormat="1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vertical="center"/>
    </xf>
    <xf numFmtId="181" fontId="42" fillId="0" borderId="2" xfId="0" applyNumberFormat="1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86" fontId="42" fillId="0" borderId="2" xfId="0" applyNumberFormat="1" applyFont="1" applyBorder="1" applyAlignment="1">
      <alignment horizontal="right" vertical="center"/>
    </xf>
    <xf numFmtId="181" fontId="42" fillId="0" borderId="2" xfId="0" applyNumberFormat="1" applyFont="1" applyBorder="1" applyAlignment="1">
      <alignment horizontal="center" vertical="center"/>
    </xf>
    <xf numFmtId="187" fontId="42" fillId="0" borderId="2" xfId="0" applyNumberFormat="1" applyFont="1" applyBorder="1" applyAlignment="1">
      <alignment horizontal="right" vertical="center"/>
    </xf>
    <xf numFmtId="0" fontId="37" fillId="11" borderId="2" xfId="0" applyFont="1" applyFill="1" applyBorder="1" applyAlignment="1">
      <alignment vertical="center"/>
    </xf>
    <xf numFmtId="186" fontId="37" fillId="11" borderId="2" xfId="0" applyNumberFormat="1" applyFont="1" applyFill="1" applyBorder="1" applyAlignment="1">
      <alignment horizontal="right" vertical="center"/>
    </xf>
    <xf numFmtId="1" fontId="42" fillId="0" borderId="2" xfId="0" applyNumberFormat="1" applyFont="1" applyBorder="1" applyAlignment="1">
      <alignment vertical="center"/>
    </xf>
    <xf numFmtId="188" fontId="42" fillId="0" borderId="2" xfId="0" applyNumberFormat="1" applyFont="1" applyBorder="1" applyAlignment="1">
      <alignment vertical="center"/>
    </xf>
    <xf numFmtId="0" fontId="45" fillId="8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62" fillId="14" borderId="4" xfId="0" applyFont="1" applyFill="1" applyBorder="1" applyAlignment="1">
      <alignment horizontal="center" vertical="center" wrapText="1"/>
    </xf>
    <xf numFmtId="0" fontId="63" fillId="15" borderId="5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left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4" fillId="16" borderId="7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/>
    </xf>
    <xf numFmtId="0" fontId="64" fillId="16" borderId="9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left" vertical="center"/>
    </xf>
    <xf numFmtId="0" fontId="64" fillId="16" borderId="11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left" vertical="center"/>
    </xf>
    <xf numFmtId="0" fontId="62" fillId="14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62" fillId="14" borderId="22" xfId="0" applyFont="1" applyFill="1" applyBorder="1" applyAlignment="1">
      <alignment horizontal="center" vertical="center" wrapText="1"/>
    </xf>
    <xf numFmtId="189" fontId="0" fillId="0" borderId="0" xfId="0" applyNumberFormat="1"/>
    <xf numFmtId="0" fontId="63" fillId="1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3" fillId="15" borderId="18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16" borderId="19" xfId="0" applyFont="1" applyFill="1" applyBorder="1" applyAlignment="1">
      <alignment horizontal="center" vertical="center"/>
    </xf>
    <xf numFmtId="0" fontId="64" fillId="16" borderId="20" xfId="0" applyFont="1" applyFill="1" applyBorder="1" applyAlignment="1">
      <alignment horizontal="center" vertical="center"/>
    </xf>
    <xf numFmtId="0" fontId="62" fillId="14" borderId="4" xfId="0" applyFont="1" applyFill="1" applyBorder="1" applyAlignment="1">
      <alignment horizontal="left" vertical="center"/>
    </xf>
    <xf numFmtId="0" fontId="62" fillId="13" borderId="15" xfId="0" applyFont="1" applyFill="1" applyBorder="1" applyAlignment="1">
      <alignment vertical="center"/>
    </xf>
    <xf numFmtId="0" fontId="62" fillId="13" borderId="0" xfId="0" applyFont="1" applyFill="1" applyAlignment="1">
      <alignment vertical="center"/>
    </xf>
    <xf numFmtId="0" fontId="62" fillId="14" borderId="22" xfId="0" applyFont="1" applyFill="1" applyBorder="1" applyAlignment="1">
      <alignment horizontal="left" vertical="center"/>
    </xf>
    <xf numFmtId="190" fontId="64" fillId="0" borderId="8" xfId="8" applyNumberFormat="1" applyFont="1" applyBorder="1" applyAlignment="1">
      <alignment vertical="center"/>
    </xf>
    <xf numFmtId="190" fontId="64" fillId="16" borderId="8" xfId="8" applyNumberFormat="1" applyFont="1" applyFill="1" applyBorder="1" applyAlignment="1">
      <alignment vertical="center"/>
    </xf>
    <xf numFmtId="190" fontId="64" fillId="16" borderId="10" xfId="8" applyNumberFormat="1" applyFont="1" applyFill="1" applyBorder="1" applyAlignment="1">
      <alignment vertical="center"/>
    </xf>
    <xf numFmtId="10" fontId="66" fillId="15" borderId="0" xfId="0" applyNumberFormat="1" applyFont="1" applyFill="1" applyAlignment="1">
      <alignment horizontal="center" vertical="center"/>
    </xf>
    <xf numFmtId="10" fontId="67" fillId="0" borderId="0" xfId="7" applyNumberFormat="1" applyFont="1" applyBorder="1" applyAlignment="1">
      <alignment horizontal="center" vertical="center"/>
    </xf>
    <xf numFmtId="10" fontId="68" fillId="16" borderId="0" xfId="0" applyNumberFormat="1" applyFont="1" applyFill="1" applyAlignment="1">
      <alignment horizontal="center" vertical="center"/>
    </xf>
    <xf numFmtId="10" fontId="68" fillId="0" borderId="13" xfId="7" applyNumberFormat="1" applyFont="1" applyBorder="1" applyAlignment="1">
      <alignment horizontal="right" vertical="center"/>
    </xf>
    <xf numFmtId="10" fontId="68" fillId="16" borderId="17" xfId="0" applyNumberFormat="1" applyFont="1" applyFill="1" applyBorder="1" applyAlignment="1">
      <alignment horizontal="right" vertical="center"/>
    </xf>
    <xf numFmtId="10" fontId="66" fillId="15" borderId="13" xfId="0" applyNumberFormat="1" applyFont="1" applyFill="1" applyBorder="1" applyAlignment="1">
      <alignment horizontal="center" vertical="center"/>
    </xf>
    <xf numFmtId="10" fontId="66" fillId="15" borderId="21" xfId="0" applyNumberFormat="1" applyFont="1" applyFill="1" applyBorder="1" applyAlignment="1">
      <alignment horizontal="center" vertical="center"/>
    </xf>
    <xf numFmtId="10" fontId="68" fillId="0" borderId="13" xfId="7" applyNumberFormat="1" applyFont="1" applyBorder="1" applyAlignment="1">
      <alignment horizontal="center" vertical="center"/>
    </xf>
    <xf numFmtId="10" fontId="68" fillId="0" borderId="14" xfId="7" applyNumberFormat="1" applyFont="1" applyBorder="1" applyAlignment="1">
      <alignment horizontal="center" vertical="center"/>
    </xf>
    <xf numFmtId="10" fontId="68" fillId="16" borderId="13" xfId="0" applyNumberFormat="1" applyFont="1" applyFill="1" applyBorder="1" applyAlignment="1">
      <alignment horizontal="center" vertical="center"/>
    </xf>
    <xf numFmtId="10" fontId="68" fillId="16" borderId="14" xfId="0" applyNumberFormat="1" applyFont="1" applyFill="1" applyBorder="1" applyAlignment="1">
      <alignment horizontal="center" vertical="center"/>
    </xf>
    <xf numFmtId="10" fontId="68" fillId="16" borderId="17" xfId="0" applyNumberFormat="1" applyFont="1" applyFill="1" applyBorder="1" applyAlignment="1">
      <alignment horizontal="center" vertical="center"/>
    </xf>
    <xf numFmtId="10" fontId="68" fillId="16" borderId="23" xfId="0" applyNumberFormat="1" applyFont="1" applyFill="1" applyBorder="1" applyAlignment="1">
      <alignment horizontal="center" vertical="center"/>
    </xf>
    <xf numFmtId="10" fontId="66" fillId="15" borderId="13" xfId="0" applyNumberFormat="1" applyFont="1" applyFill="1" applyBorder="1" applyAlignment="1">
      <alignment vertical="center"/>
    </xf>
    <xf numFmtId="10" fontId="68" fillId="0" borderId="13" xfId="7" applyNumberFormat="1" applyFont="1" applyBorder="1" applyAlignment="1">
      <alignment vertical="center"/>
    </xf>
    <xf numFmtId="10" fontId="68" fillId="16" borderId="13" xfId="0" applyNumberFormat="1" applyFont="1" applyFill="1" applyBorder="1" applyAlignment="1">
      <alignment vertical="center"/>
    </xf>
    <xf numFmtId="14" fontId="0" fillId="18" borderId="0" xfId="0" applyNumberFormat="1" applyFill="1"/>
    <xf numFmtId="14" fontId="0" fillId="0" borderId="0" xfId="0" applyNumberFormat="1" applyAlignment="1">
      <alignment horizontal="center"/>
    </xf>
    <xf numFmtId="14" fontId="0" fillId="18" borderId="0" xfId="0" applyNumberFormat="1" applyFill="1" applyAlignment="1">
      <alignment horizontal="center"/>
    </xf>
    <xf numFmtId="0" fontId="67" fillId="0" borderId="0" xfId="0" applyFont="1"/>
    <xf numFmtId="0" fontId="0" fillId="0" borderId="0" xfId="0" applyNumberFormat="1"/>
    <xf numFmtId="191" fontId="0" fillId="0" borderId="0" xfId="0" applyNumberFormat="1"/>
    <xf numFmtId="0" fontId="69" fillId="18" borderId="0" xfId="0" applyFont="1" applyFill="1"/>
    <xf numFmtId="10" fontId="0" fillId="18" borderId="0" xfId="0" applyNumberFormat="1" applyFill="1" applyAlignment="1">
      <alignment horizontal="left" indent="3"/>
    </xf>
    <xf numFmtId="0" fontId="4" fillId="2" borderId="1" xfId="5" applyFont="1" applyFill="1" applyBorder="1" applyAlignment="1">
      <alignment horizontal="center"/>
    </xf>
    <xf numFmtId="0" fontId="40" fillId="10" borderId="0" xfId="0" applyFont="1" applyFill="1" applyAlignment="1">
      <alignment horizontal="left" vertical="center"/>
    </xf>
    <xf numFmtId="0" fontId="43" fillId="8" borderId="0" xfId="0" applyFont="1" applyFill="1"/>
    <xf numFmtId="0" fontId="40" fillId="10" borderId="1" xfId="0" applyFont="1" applyFill="1" applyBorder="1" applyAlignment="1">
      <alignment horizontal="left" vertical="center"/>
    </xf>
    <xf numFmtId="0" fontId="40" fillId="10" borderId="3" xfId="0" applyFont="1" applyFill="1" applyBorder="1" applyAlignment="1">
      <alignment horizontal="left" vertical="center"/>
    </xf>
    <xf numFmtId="0" fontId="44" fillId="9" borderId="0" xfId="0" applyFont="1" applyFill="1" applyAlignment="1">
      <alignment vertical="center" wrapText="1"/>
    </xf>
    <xf numFmtId="0" fontId="36" fillId="7" borderId="0" xfId="0" applyFont="1" applyFill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3" fillId="8" borderId="0" xfId="0" applyFont="1" applyFill="1" applyAlignment="1">
      <alignment wrapText="1"/>
    </xf>
    <xf numFmtId="0" fontId="65" fillId="17" borderId="0" xfId="0" applyFont="1" applyFill="1" applyAlignment="1">
      <alignment horizontal="left" vertical="center" wrapText="1"/>
    </xf>
    <xf numFmtId="0" fontId="62" fillId="13" borderId="15" xfId="0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/>
    </xf>
    <xf numFmtId="0" fontId="4" fillId="2" borderId="0" xfId="5" applyFont="1" applyFill="1" applyAlignment="1">
      <alignment horizontal="center" vertical="center"/>
    </xf>
    <xf numFmtId="0" fontId="23" fillId="2" borderId="0" xfId="5" applyFont="1" applyFill="1" applyAlignment="1">
      <alignment horizontal="center" vertical="center" wrapText="1"/>
    </xf>
    <xf numFmtId="0" fontId="13" fillId="0" borderId="0" xfId="5" applyFont="1"/>
    <xf numFmtId="0" fontId="7" fillId="0" borderId="0" xfId="5" applyFont="1" applyAlignment="1">
      <alignment horizontal="right"/>
    </xf>
    <xf numFmtId="0" fontId="17" fillId="3" borderId="0" xfId="5" applyFont="1" applyFill="1" applyAlignment="1">
      <alignment horizontal="left" vertical="center"/>
    </xf>
    <xf numFmtId="0" fontId="26" fillId="0" borderId="2" xfId="5" applyFont="1" applyBorder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19" fillId="0" borderId="0" xfId="5" applyFont="1" applyAlignment="1">
      <alignment vertical="center" wrapText="1"/>
    </xf>
    <xf numFmtId="0" fontId="34" fillId="0" borderId="0" xfId="5" applyFont="1" applyAlignment="1">
      <alignment vertical="center" wrapText="1"/>
    </xf>
  </cellXfs>
  <cellStyles count="9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千位分隔" xfId="8" builtinId="3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微软雅黑"/>
        <scheme val="none"/>
      </font>
      <fill>
        <patternFill patternType="solid">
          <fgColor rgb="FF000000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54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46258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46265</c:v>
                </c:pt>
                <c:pt idx="51">
                  <c:v>46266</c:v>
                </c:pt>
                <c:pt idx="52">
                  <c:v>46267</c:v>
                </c:pt>
                <c:pt idx="53">
                  <c:v>46268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0.87902436130755246</c:v>
                </c:pt>
                <c:pt idx="42">
                  <c:v>0.81673011277623475</c:v>
                </c:pt>
                <c:pt idx="43">
                  <c:v>0.82583566974225264</c:v>
                </c:pt>
                <c:pt idx="44">
                  <c:v>0.83068821536380733</c:v>
                </c:pt>
                <c:pt idx="45">
                  <c:v>0.81091217806369975</c:v>
                </c:pt>
                <c:pt idx="46">
                  <c:v>0.80387297499360533</c:v>
                </c:pt>
                <c:pt idx="47">
                  <c:v>0.81172592191144455</c:v>
                </c:pt>
                <c:pt idx="48">
                  <c:v>0.84253183479133931</c:v>
                </c:pt>
                <c:pt idx="49">
                  <c:v>0.82529512213198775</c:v>
                </c:pt>
                <c:pt idx="50">
                  <c:v>0.82921309797789811</c:v>
                </c:pt>
                <c:pt idx="51">
                  <c:v>0.80431702740255684</c:v>
                </c:pt>
                <c:pt idx="52">
                  <c:v>0.79223521178555889</c:v>
                </c:pt>
                <c:pt idx="53">
                  <c:v>0.78846776908562322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7686688"/>
        <c:axId val="-877507024"/>
      </c:lineChart>
      <c:dateAx>
        <c:axId val="-887686688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877507024"/>
        <c:crosses val="autoZero"/>
        <c:auto val="1"/>
        <c:lblOffset val="100"/>
        <c:baseTimeUnit val="days"/>
        <c:majorTimeUnit val="days"/>
      </c:dateAx>
      <c:valAx>
        <c:axId val="-87750702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876866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0.89952242814841865</c:v>
                </c:pt>
                <c:pt idx="43">
                  <c:v>0.83570045037146312</c:v>
                </c:pt>
                <c:pt idx="44">
                  <c:v>0.8450321202494574</c:v>
                </c:pt>
                <c:pt idx="45">
                  <c:v>0.85004474222692461</c:v>
                </c:pt>
                <c:pt idx="46">
                  <c:v>0.82976181971860674</c:v>
                </c:pt>
                <c:pt idx="47">
                  <c:v>0.822580041822354</c:v>
                </c:pt>
                <c:pt idx="48">
                  <c:v>0.83058903659412076</c:v>
                </c:pt>
                <c:pt idx="49">
                  <c:v>0.86217768714604248</c:v>
                </c:pt>
                <c:pt idx="50">
                  <c:v>0.84453319404594596</c:v>
                </c:pt>
                <c:pt idx="51">
                  <c:v>0.84858335858677658</c:v>
                </c:pt>
                <c:pt idx="52">
                  <c:v>0.82310644044768921</c:v>
                </c:pt>
                <c:pt idx="53">
                  <c:v>0.81072712133576563</c:v>
                </c:pt>
                <c:pt idx="54">
                  <c:v>0.80688850106442223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149648"/>
        <c:axId val="-203461904"/>
      </c:lineChart>
      <c:dateAx>
        <c:axId val="-20414964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203461904"/>
        <c:crosses val="autoZero"/>
        <c:auto val="1"/>
        <c:lblOffset val="100"/>
        <c:baseTimeUnit val="days"/>
        <c:majorTimeUnit val="days"/>
      </c:dateAx>
      <c:valAx>
        <c:axId val="-203461904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-2041496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53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  <c:pt idx="41">
                  <c:v>46253</c:v>
                </c:pt>
                <c:pt idx="42">
                  <c:v>46254</c:v>
                </c:pt>
                <c:pt idx="43">
                  <c:v>46255</c:v>
                </c:pt>
                <c:pt idx="44">
                  <c:v>46258</c:v>
                </c:pt>
                <c:pt idx="45">
                  <c:v>46259</c:v>
                </c:pt>
                <c:pt idx="46">
                  <c:v>46260</c:v>
                </c:pt>
                <c:pt idx="47">
                  <c:v>46261</c:v>
                </c:pt>
                <c:pt idx="48">
                  <c:v>46262</c:v>
                </c:pt>
                <c:pt idx="49">
                  <c:v>46265</c:v>
                </c:pt>
                <c:pt idx="50">
                  <c:v>46266</c:v>
                </c:pt>
                <c:pt idx="51">
                  <c:v>46267</c:v>
                </c:pt>
                <c:pt idx="52">
                  <c:v>46268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0.9042710753133324</c:v>
                </c:pt>
                <c:pt idx="41">
                  <c:v>0.83953438942791037</c:v>
                </c:pt>
                <c:pt idx="42">
                  <c:v>0.845698974359399</c:v>
                </c:pt>
                <c:pt idx="43">
                  <c:v>0.85225365760008931</c:v>
                </c:pt>
                <c:pt idx="44">
                  <c:v>0.83142419341260654</c:v>
                </c:pt>
                <c:pt idx="45">
                  <c:v>0.82257588327730524</c:v>
                </c:pt>
                <c:pt idx="46">
                  <c:v>0.83243030315140709</c:v>
                </c:pt>
                <c:pt idx="47">
                  <c:v>0.86188107725695751</c:v>
                </c:pt>
                <c:pt idx="48">
                  <c:v>0.84381856004176514</c:v>
                </c:pt>
                <c:pt idx="49">
                  <c:v>0.85026427200012245</c:v>
                </c:pt>
                <c:pt idx="50">
                  <c:v>0.8251553271521076</c:v>
                </c:pt>
                <c:pt idx="51">
                  <c:v>0.81178658007148585</c:v>
                </c:pt>
                <c:pt idx="52">
                  <c:v>0.8064983248125529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7197568"/>
        <c:axId val="-1786632464"/>
      </c:lineChart>
      <c:dateAx>
        <c:axId val="-887197568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32464"/>
        <c:crosses val="autoZero"/>
        <c:auto val="1"/>
        <c:lblOffset val="100"/>
        <c:baseTimeUnit val="days"/>
        <c:majorTimeUnit val="days"/>
      </c:dateAx>
      <c:valAx>
        <c:axId val="-178663246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871975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0.99978136728927813</c:v>
                </c:pt>
                <c:pt idx="40">
                  <c:v>0.99214513915581581</c:v>
                </c:pt>
                <c:pt idx="41">
                  <c:v>0.99403509454319372</c:v>
                </c:pt>
                <c:pt idx="42">
                  <c:v>0.99539134647786609</c:v>
                </c:pt>
                <c:pt idx="43">
                  <c:v>0.99512807000945391</c:v>
                </c:pt>
                <c:pt idx="44">
                  <c:v>0.99427738526118392</c:v>
                </c:pt>
                <c:pt idx="45">
                  <c:v>0.99489475437294561</c:v>
                </c:pt>
                <c:pt idx="46">
                  <c:v>0.99675913946805039</c:v>
                </c:pt>
                <c:pt idx="47">
                  <c:v>0.99544472257449301</c:v>
                </c:pt>
                <c:pt idx="48">
                  <c:v>0.99467191549696121</c:v>
                </c:pt>
                <c:pt idx="49">
                  <c:v>0.9929234386719451</c:v>
                </c:pt>
                <c:pt idx="50">
                  <c:v>0.98997513143231231</c:v>
                </c:pt>
                <c:pt idx="51">
                  <c:v>0.99136541199745853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27568"/>
        <c:axId val="-1786629200"/>
      </c:lineChart>
      <c:dateAx>
        <c:axId val="-1786627568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29200"/>
        <c:crosses val="autoZero"/>
        <c:auto val="1"/>
        <c:lblOffset val="100"/>
        <c:baseTimeUnit val="days"/>
        <c:majorTimeUnit val="days"/>
      </c:dateAx>
      <c:valAx>
        <c:axId val="-178662920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275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0.99950584672572562</c:v>
                </c:pt>
                <c:pt idx="43">
                  <c:v>0.99178991023315655</c:v>
                </c:pt>
                <c:pt idx="44">
                  <c:v>0.99384685157613673</c:v>
                </c:pt>
                <c:pt idx="45">
                  <c:v>0.99508534181085639</c:v>
                </c:pt>
                <c:pt idx="46">
                  <c:v>0.9947842173581124</c:v>
                </c:pt>
                <c:pt idx="47">
                  <c:v>0.99402797023660394</c:v>
                </c:pt>
                <c:pt idx="48">
                  <c:v>0.99457091931146535</c:v>
                </c:pt>
                <c:pt idx="49">
                  <c:v>0.99667352594592551</c:v>
                </c:pt>
                <c:pt idx="50">
                  <c:v>0.99534449010760007</c:v>
                </c:pt>
                <c:pt idx="51">
                  <c:v>0.99454579473662941</c:v>
                </c:pt>
                <c:pt idx="52">
                  <c:v>0.99272451228945513</c:v>
                </c:pt>
                <c:pt idx="53">
                  <c:v>0.98986420962271293</c:v>
                </c:pt>
                <c:pt idx="54">
                  <c:v>0.99128882275518337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18864"/>
        <c:axId val="-1786634096"/>
      </c:lineChart>
      <c:dateAx>
        <c:axId val="-1786618864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34096"/>
        <c:crosses val="autoZero"/>
        <c:auto val="1"/>
        <c:lblOffset val="100"/>
        <c:baseTimeUnit val="days"/>
        <c:majorTimeUnit val="days"/>
      </c:dateAx>
      <c:valAx>
        <c:axId val="-178663409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188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0.98234070097590909</c:v>
                </c:pt>
                <c:pt idx="40">
                  <c:v>0.96178627410995754</c:v>
                </c:pt>
                <c:pt idx="41">
                  <c:v>0.96654590706912602</c:v>
                </c:pt>
                <c:pt idx="42">
                  <c:v>0.96996762115645929</c:v>
                </c:pt>
                <c:pt idx="43">
                  <c:v>0.96680658683041598</c:v>
                </c:pt>
                <c:pt idx="44">
                  <c:v>0.96469905375962695</c:v>
                </c:pt>
                <c:pt idx="45">
                  <c:v>0.96704981847960669</c:v>
                </c:pt>
                <c:pt idx="46">
                  <c:v>0.97444448491427305</c:v>
                </c:pt>
                <c:pt idx="47">
                  <c:v>0.9706880520372988</c:v>
                </c:pt>
                <c:pt idx="48">
                  <c:v>0.96984713116383037</c:v>
                </c:pt>
                <c:pt idx="49">
                  <c:v>0.96365593560167917</c:v>
                </c:pt>
                <c:pt idx="50">
                  <c:v>0.95663921437228283</c:v>
                </c:pt>
                <c:pt idx="51">
                  <c:v>0.95835822684860839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25392"/>
        <c:axId val="-1786624848"/>
      </c:lineChart>
      <c:dateAx>
        <c:axId val="-178662539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24848"/>
        <c:crosses val="autoZero"/>
        <c:auto val="1"/>
        <c:lblOffset val="100"/>
        <c:baseTimeUnit val="days"/>
        <c:majorTimeUnit val="days"/>
      </c:dateAx>
      <c:valAx>
        <c:axId val="-17866248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253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941154</xdr:colOff>
      <xdr:row>7</xdr:row>
      <xdr:rowOff>55052</xdr:rowOff>
    </xdr:from>
    <xdr:ext cx="6417141" cy="1280543"/>
    <xdr:sp macro="" textlink="">
      <xdr:nvSpPr>
        <xdr:cNvPr id="2" name="矩形 1"/>
        <xdr:cNvSpPr/>
      </xdr:nvSpPr>
      <xdr:spPr>
        <a:xfrm rot="20843636">
          <a:off x="1499954" y="1693352"/>
          <a:ext cx="6417141" cy="128054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  <xdr:oneCellAnchor>
    <xdr:from>
      <xdr:col>2</xdr:col>
      <xdr:colOff>63500</xdr:colOff>
      <xdr:row>23</xdr:row>
      <xdr:rowOff>133351</xdr:rowOff>
    </xdr:from>
    <xdr:ext cx="6417141" cy="1280543"/>
    <xdr:sp macro="" textlink="">
      <xdr:nvSpPr>
        <xdr:cNvPr id="3" name="矩形 2"/>
        <xdr:cNvSpPr/>
      </xdr:nvSpPr>
      <xdr:spPr>
        <a:xfrm rot="20843636">
          <a:off x="1739900" y="5556251"/>
          <a:ext cx="6417141" cy="128054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1069700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ixin/Downloads/1090&#36134;&#25143;&#25237;&#39038;&#32452;&#21512;-&#25968;&#25454;&#35270;&#22270;-2026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90账户投顾组合-数据视图-20260825"/>
    </sheetNames>
    <sheetDataSet>
      <sheetData sheetId="0">
        <row r="3">
          <cell r="B3" t="str">
            <v>1.00000000</v>
          </cell>
        </row>
        <row r="4">
          <cell r="B4" t="str">
            <v>1.00141431</v>
          </cell>
        </row>
        <row r="5">
          <cell r="B5" t="str">
            <v>0.99948240</v>
          </cell>
        </row>
        <row r="6">
          <cell r="B6" t="str">
            <v>1.00138192</v>
          </cell>
        </row>
        <row r="7">
          <cell r="B7" t="str">
            <v>1.00327268</v>
          </cell>
        </row>
        <row r="8">
          <cell r="B8" t="str">
            <v>1.00086493</v>
          </cell>
        </row>
        <row r="9">
          <cell r="B9" t="str">
            <v>0.99528176</v>
          </cell>
        </row>
        <row r="10">
          <cell r="B10" t="str">
            <v>0.99645158</v>
          </cell>
        </row>
        <row r="11">
          <cell r="B11" t="str">
            <v>0.99563225</v>
          </cell>
        </row>
        <row r="12">
          <cell r="B12" t="str">
            <v>0.99480363</v>
          </cell>
        </row>
        <row r="13">
          <cell r="B13" t="str">
            <v>0.99491291</v>
          </cell>
        </row>
        <row r="14">
          <cell r="B14" t="str">
            <v>0.99993265</v>
          </cell>
        </row>
        <row r="15">
          <cell r="B15" t="str">
            <v>0.99608736</v>
          </cell>
        </row>
        <row r="16">
          <cell r="B16" t="str">
            <v>0.99082824</v>
          </cell>
        </row>
        <row r="17">
          <cell r="B17" t="str">
            <v>0.99325571</v>
          </cell>
        </row>
        <row r="18">
          <cell r="B18" t="str">
            <v>0.99062576</v>
          </cell>
        </row>
        <row r="19">
          <cell r="B19" t="str">
            <v>0.98667073</v>
          </cell>
        </row>
        <row r="20">
          <cell r="B20" t="str">
            <v>0.98008903</v>
          </cell>
        </row>
        <row r="21">
          <cell r="B21" t="str">
            <v>0.97683759</v>
          </cell>
        </row>
        <row r="22">
          <cell r="B22" t="str">
            <v>0.98586080</v>
          </cell>
        </row>
        <row r="23">
          <cell r="B23" t="str">
            <v>0.98570780</v>
          </cell>
        </row>
        <row r="24">
          <cell r="B24" t="str">
            <v>0.98438731</v>
          </cell>
        </row>
        <row r="25">
          <cell r="B25" t="str">
            <v>0.98336003</v>
          </cell>
        </row>
        <row r="26">
          <cell r="B26" t="str">
            <v>0.98687417</v>
          </cell>
        </row>
        <row r="27">
          <cell r="B27" t="str">
            <v>0.98060895</v>
          </cell>
        </row>
        <row r="28">
          <cell r="B28" t="str">
            <v>0.98017950</v>
          </cell>
        </row>
        <row r="29">
          <cell r="B29" t="str">
            <v>0.97603230</v>
          </cell>
        </row>
        <row r="30">
          <cell r="B30" t="str">
            <v>0.97918283</v>
          </cell>
        </row>
        <row r="31">
          <cell r="B31" t="str">
            <v>0.97636941</v>
          </cell>
        </row>
        <row r="32">
          <cell r="B32" t="str">
            <v>0.98084157</v>
          </cell>
        </row>
        <row r="33">
          <cell r="B33" t="str">
            <v>0.98566565</v>
          </cell>
        </row>
        <row r="34">
          <cell r="B34" t="str">
            <v>0.98799038</v>
          </cell>
        </row>
        <row r="35">
          <cell r="B35" t="str">
            <v>0.99109277</v>
          </cell>
        </row>
        <row r="36">
          <cell r="B36" t="str">
            <v>0.99331943</v>
          </cell>
        </row>
        <row r="37">
          <cell r="B37" t="str">
            <v>0.99195087</v>
          </cell>
        </row>
        <row r="38">
          <cell r="B38" t="str">
            <v>0.99435477</v>
          </cell>
        </row>
        <row r="39">
          <cell r="B39" t="str">
            <v>0.99365888</v>
          </cell>
        </row>
        <row r="40">
          <cell r="B40" t="str">
            <v>0.99402653</v>
          </cell>
        </row>
        <row r="41">
          <cell r="B41" t="str">
            <v>0.99886999</v>
          </cell>
        </row>
        <row r="42">
          <cell r="B42" t="str">
            <v>0.99969241</v>
          </cell>
        </row>
        <row r="43">
          <cell r="B43" t="str">
            <v>0.99205678</v>
          </cell>
        </row>
        <row r="44">
          <cell r="B44" t="str">
            <v>0.99394669</v>
          </cell>
        </row>
        <row r="45">
          <cell r="B45" t="str">
            <v>0.99530294</v>
          </cell>
        </row>
        <row r="46">
          <cell r="B46" t="str">
            <v>0.99503994</v>
          </cell>
        </row>
      </sheetData>
    </sheetDataSet>
  </externalBook>
</externalLink>
</file>

<file path=xl/tables/table1.xml><?xml version="1.0" encoding="utf-8"?>
<table xmlns="http://schemas.openxmlformats.org/spreadsheetml/2006/main" id="3" name="表3" displayName="表3" ref="A7:I18" totalsRowShown="0" headerRowDxfId="34" dataDxfId="32" headerRowBorderDxfId="33" tableBorderDxfId="31">
  <autoFilter ref="A7:I18"/>
  <tableColumns count="9">
    <tableColumn id="1" name="序号" dataDxfId="30"/>
    <tableColumn id="2" name="基金代码" dataDxfId="29"/>
    <tableColumn id="3" name="产品/基金名称" dataDxfId="28"/>
    <tableColumn id="4" name="26Q2规模（亿元）" dataDxfId="27"/>
    <tableColumn id="9" name="上周" dataDxfId="26"/>
    <tableColumn id="5" name="上线以来" dataDxfId="25"/>
    <tableColumn id="6" name="6/22-7/30" dataDxfId="24"/>
    <tableColumn id="7" name="7.31至今" dataDxfId="23"/>
    <tableColumn id="8" name="最大回撤（上线以来）" dataDxfId="2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表3_2" displayName="表3_2" ref="A7:I18" totalsRowShown="0" headerRowDxfId="12" dataDxfId="10" headerRowBorderDxfId="11" tableBorderDxfId="9">
  <autoFilter ref="A7:I18"/>
  <tableColumns count="9">
    <tableColumn id="1" name="序号" dataDxfId="8"/>
    <tableColumn id="2" name="基金代码" dataDxfId="7"/>
    <tableColumn id="3" name="产品/基金名称" dataDxfId="6"/>
    <tableColumn id="4" name="26Q2规模（亿元）" dataDxfId="5"/>
    <tableColumn id="9" name="上周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F27" sqref="F27"/>
    </sheetView>
  </sheetViews>
  <sheetFormatPr defaultColWidth="9.453125" defaultRowHeight="12.5"/>
  <cols>
    <col min="1" max="1" width="17.453125" customWidth="1"/>
    <col min="2" max="24" width="12.1796875" customWidth="1"/>
    <col min="25" max="26" width="9.81640625" customWidth="1"/>
    <col min="27" max="27" width="13.1796875" customWidth="1"/>
  </cols>
  <sheetData>
    <row r="1" spans="1:27" ht="18.75" customHeight="1">
      <c r="A1" s="121" t="s">
        <v>0</v>
      </c>
      <c r="B1" s="121"/>
      <c r="C1" s="121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1" spans="1:27" ht="14.25" customHeight="1">
      <c r="A11" s="10" t="s">
        <v>58</v>
      </c>
    </row>
  </sheetData>
  <mergeCells count="1">
    <mergeCell ref="A1:C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281"/>
  <sheetViews>
    <sheetView showGridLines="0" topLeftCell="A52" workbookViewId="0">
      <selection activeCell="B82" sqref="B82"/>
    </sheetView>
  </sheetViews>
  <sheetFormatPr defaultRowHeight="12.5"/>
  <cols>
    <col min="1" max="1" width="18" customWidth="1"/>
    <col min="2" max="2" width="17" customWidth="1"/>
    <col min="3" max="3" width="29" customWidth="1"/>
    <col min="4" max="5" width="14" customWidth="1"/>
    <col min="6" max="6" width="15" customWidth="1"/>
    <col min="7" max="7" width="13" customWidth="1"/>
    <col min="8" max="10" width="15" customWidth="1"/>
    <col min="11" max="12" width="14" customWidth="1"/>
    <col min="13" max="18" width="0.1796875" customWidth="1"/>
  </cols>
  <sheetData>
    <row r="1" spans="1:12" ht="28" customHeight="1">
      <c r="A1" s="127" t="s">
        <v>195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24" customHeight="1">
      <c r="A2" s="46" t="s">
        <v>196</v>
      </c>
      <c r="B2" s="47">
        <f ca="1">$B$82</f>
        <v>46280</v>
      </c>
      <c r="C2" s="46" t="s">
        <v>197</v>
      </c>
      <c r="D2" s="128" t="s">
        <v>198</v>
      </c>
      <c r="E2" s="128"/>
      <c r="F2" s="128"/>
      <c r="G2" s="128"/>
      <c r="H2" s="128"/>
      <c r="I2" s="46" t="s">
        <v>199</v>
      </c>
      <c r="J2" s="48">
        <v>0.02</v>
      </c>
      <c r="K2" s="46" t="s">
        <v>200</v>
      </c>
      <c r="L2" s="48">
        <v>0.2</v>
      </c>
    </row>
    <row r="3" spans="1:12" ht="28" customHeight="1">
      <c r="A3" s="129" t="s">
        <v>201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5" spans="1:12" ht="21" customHeight="1">
      <c r="A5" s="122" t="s">
        <v>277</v>
      </c>
      <c r="B5" s="122"/>
      <c r="C5" s="122"/>
      <c r="D5" s="122"/>
      <c r="E5" s="122"/>
      <c r="F5" s="49" t="s">
        <v>202</v>
      </c>
      <c r="G5" s="50">
        <f ca="1">$B$82</f>
        <v>46280</v>
      </c>
    </row>
    <row r="6" spans="1:12" ht="28" customHeight="1">
      <c r="A6" s="51" t="s">
        <v>203</v>
      </c>
      <c r="B6" s="51" t="s">
        <v>28</v>
      </c>
      <c r="C6" s="51" t="s">
        <v>1</v>
      </c>
      <c r="D6" s="51" t="s">
        <v>204</v>
      </c>
      <c r="E6" s="51" t="s">
        <v>205</v>
      </c>
      <c r="F6" s="51" t="s">
        <v>206</v>
      </c>
      <c r="G6" s="51" t="s">
        <v>207</v>
      </c>
    </row>
    <row r="7" spans="1:12" ht="13.5">
      <c r="A7" s="46" t="str">
        <f t="shared" ref="A7:A14" ca="1" si="0">IF(B7&lt;&gt;"","产业趋势","")</f>
        <v>产业趋势</v>
      </c>
      <c r="B7" s="54" t="str">
        <f ca="1">IFERROR(INDEX($A$53:$A$76,MATCH(1,M$53:M$76,0)),"")</f>
        <v>000917.OF</v>
      </c>
      <c r="C7" s="54" t="str">
        <f ca="1">IFERROR(INDEX($B$53:$B$76,MATCH(1,M$53:M$76,0)),"")</f>
        <v>嘉实快线货币A</v>
      </c>
      <c r="D7" s="54" t="str">
        <f ca="1">IFERROR(INDEX($E$53:$E$76,MATCH(1,M$53:M$76,0)),"")</f>
        <v>货币</v>
      </c>
      <c r="E7" s="55">
        <f ca="1">IFERROR(INDEX(G$53:G$76,MATCH(1,M$53:M$76,0)),"")</f>
        <v>5.5345911422943352E-2</v>
      </c>
      <c r="F7" s="54" t="str">
        <f t="shared" ref="F7:F30" ca="1" si="1">IF(B7="","",IF(D7&lt;&gt;"主动","不适用",IF(E7&gt;$L$2,"超限","正常")))</f>
        <v>不适用</v>
      </c>
      <c r="G7" s="56">
        <f t="shared" ref="G7:G14" ca="1" si="2">IF(B7&lt;&gt;"",G$84,"")</f>
        <v>46213</v>
      </c>
    </row>
    <row r="8" spans="1:12" ht="13.5">
      <c r="A8" s="46" t="str">
        <f t="shared" ca="1" si="0"/>
        <v>产业趋势</v>
      </c>
      <c r="B8" s="54" t="str">
        <f ca="1">IFERROR(INDEX($A$53:$A$76,MATCH(2,M$53:M$76,0)),"")</f>
        <v>001170.OF</v>
      </c>
      <c r="C8" s="54" t="str">
        <f ca="1">IFERROR(INDEX($B$53:$B$76,MATCH(2,M$53:M$76,0)),"")</f>
        <v>宏利复兴混合A</v>
      </c>
      <c r="D8" s="54" t="str">
        <f ca="1">IFERROR(INDEX($E$53:$E$76,MATCH(2,M$53:M$76,0)),"")</f>
        <v>主动</v>
      </c>
      <c r="E8" s="55">
        <f ca="1">IFERROR(INDEX(G$53:G$76,MATCH(2,M$53:M$76,0)),"")</f>
        <v>0.16994285975066784</v>
      </c>
      <c r="F8" s="54" t="str">
        <f t="shared" ca="1" si="1"/>
        <v>正常</v>
      </c>
      <c r="G8" s="56">
        <f t="shared" ca="1" si="2"/>
        <v>46213</v>
      </c>
    </row>
    <row r="9" spans="1:12" ht="13.5">
      <c r="A9" s="46" t="str">
        <f t="shared" ca="1" si="0"/>
        <v>产业趋势</v>
      </c>
      <c r="B9" s="54" t="str">
        <f ca="1">IFERROR(INDEX($A$53:$A$76,MATCH(3,M$53:M$76,0)),"")</f>
        <v>013840.OF</v>
      </c>
      <c r="C9" s="54" t="str">
        <f ca="1">IFERROR(INDEX($B$53:$B$76,MATCH(3,M$53:M$76,0)),"")</f>
        <v>银华集成电路混合A</v>
      </c>
      <c r="D9" s="54" t="str">
        <f ca="1">IFERROR(INDEX($E$53:$E$76,MATCH(3,M$53:M$76,0)),"")</f>
        <v>主动</v>
      </c>
      <c r="E9" s="55">
        <f ca="1">IFERROR(INDEX(G$53:G$76,MATCH(3,M$53:M$76,0)),"")</f>
        <v>0.2270099824397086</v>
      </c>
      <c r="F9" s="54" t="str">
        <f t="shared" ca="1" si="1"/>
        <v>超限</v>
      </c>
      <c r="G9" s="56">
        <f t="shared" ca="1" si="2"/>
        <v>46213</v>
      </c>
    </row>
    <row r="10" spans="1:12" ht="13.5">
      <c r="A10" s="46" t="str">
        <f t="shared" ca="1" si="0"/>
        <v>产业趋势</v>
      </c>
      <c r="B10" s="54" t="str">
        <f ca="1">IFERROR(INDEX($A$53:$A$76,MATCH(4,M$53:M$76,0)),"")</f>
        <v>016370.OF</v>
      </c>
      <c r="C10" s="54" t="str">
        <f ca="1">IFERROR(INDEX($B$53:$B$76,MATCH(4,M$53:M$76,0)),"")</f>
        <v>信澳业绩驱动A</v>
      </c>
      <c r="D10" s="54" t="str">
        <f ca="1">IFERROR(INDEX($E$53:$E$76,MATCH(4,M$53:M$76,0)),"")</f>
        <v>主动</v>
      </c>
      <c r="E10" s="55">
        <f ca="1">IFERROR(INDEX(G$53:G$76,MATCH(4,M$53:M$76,0)),"")</f>
        <v>0.1805074041313765</v>
      </c>
      <c r="F10" s="54" t="str">
        <f t="shared" ca="1" si="1"/>
        <v>正常</v>
      </c>
      <c r="G10" s="56">
        <f t="shared" ca="1" si="2"/>
        <v>46213</v>
      </c>
    </row>
    <row r="11" spans="1:12" ht="13.5">
      <c r="A11" s="46" t="str">
        <f t="shared" ca="1" si="0"/>
        <v>产业趋势</v>
      </c>
      <c r="B11" s="54" t="str">
        <f ca="1">IFERROR(INDEX($A$53:$A$76,MATCH(5,M$53:M$76,0)),"")</f>
        <v>017488.OF</v>
      </c>
      <c r="C11" s="54" t="str">
        <f ca="1">IFERROR(INDEX($B$53:$B$76,MATCH(5,M$53:M$76,0)),"")</f>
        <v>嘉实信息产业A</v>
      </c>
      <c r="D11" s="54" t="str">
        <f ca="1">IFERROR(INDEX($E$53:$E$76,MATCH(5,M$53:M$76,0)),"")</f>
        <v>主动</v>
      </c>
      <c r="E11" s="55">
        <f ca="1">IFERROR(INDEX(G$53:G$76,MATCH(5,M$53:M$76,0)),"")</f>
        <v>0.18044786753991893</v>
      </c>
      <c r="F11" s="54" t="str">
        <f t="shared" ca="1" si="1"/>
        <v>正常</v>
      </c>
      <c r="G11" s="56">
        <f t="shared" ca="1" si="2"/>
        <v>46213</v>
      </c>
    </row>
    <row r="12" spans="1:12" ht="13.5">
      <c r="A12" s="46" t="str">
        <f t="shared" ca="1" si="0"/>
        <v>产业趋势</v>
      </c>
      <c r="B12" s="54" t="str">
        <f ca="1">IFERROR(INDEX($A$53:$A$76,MATCH(6,M$53:M$76,0)),"")</f>
        <v>019632.OF</v>
      </c>
      <c r="C12" s="54" t="str">
        <f ca="1">IFERROR(INDEX($B$53:$B$76,MATCH(6,M$53:M$76,0)),"")</f>
        <v>国泰半导体材料设备ETF联接A</v>
      </c>
      <c r="D12" s="54" t="str">
        <f ca="1">IFERROR(INDEX($E$53:$E$76,MATCH(6,M$53:M$76,0)),"")</f>
        <v>指数</v>
      </c>
      <c r="E12" s="55">
        <f ca="1">IFERROR(INDEX(G$53:G$76,MATCH(6,M$53:M$76,0)),"")</f>
        <v>0.12189610871514973</v>
      </c>
      <c r="F12" s="54" t="str">
        <f t="shared" ca="1" si="1"/>
        <v>不适用</v>
      </c>
      <c r="G12" s="56">
        <f t="shared" ca="1" si="2"/>
        <v>46213</v>
      </c>
    </row>
    <row r="13" spans="1:12" ht="13.5">
      <c r="A13" s="46" t="str">
        <f t="shared" ca="1" si="0"/>
        <v>产业趋势</v>
      </c>
      <c r="B13" s="54" t="str">
        <f ca="1">IFERROR(INDEX($A$53:$A$76,MATCH(7,M$53:M$76,0)),"")</f>
        <v>162214.OF</v>
      </c>
      <c r="C13" s="54" t="str">
        <f ca="1">IFERROR(INDEX($B$53:$B$76,MATCH(7,M$53:M$76,0)),"")</f>
        <v>宏利领先中小盘混合</v>
      </c>
      <c r="D13" s="54" t="str">
        <f ca="1">IFERROR(INDEX($E$53:$E$76,MATCH(7,M$53:M$76,0)),"")</f>
        <v>主动</v>
      </c>
      <c r="E13" s="55">
        <f ca="1">IFERROR(INDEX(G$53:G$76,MATCH(7,M$53:M$76,0)),"")</f>
        <v>6.4849866000235096E-2</v>
      </c>
      <c r="F13" s="54" t="str">
        <f t="shared" ca="1" si="1"/>
        <v>正常</v>
      </c>
      <c r="G13" s="56">
        <f t="shared" ca="1" si="2"/>
        <v>46213</v>
      </c>
    </row>
    <row r="14" spans="1:12" ht="13.5">
      <c r="A14" s="46" t="str">
        <f t="shared" ca="1" si="0"/>
        <v/>
      </c>
      <c r="B14" s="54" t="str">
        <f ca="1">IFERROR(INDEX($A$53:$A$76,MATCH(8,M$53:M$76,0)),"")</f>
        <v/>
      </c>
      <c r="C14" s="54" t="str">
        <f ca="1">IFERROR(INDEX($B$53:$B$76,MATCH(8,M$53:M$76,0)),"")</f>
        <v/>
      </c>
      <c r="D14" s="54" t="str">
        <f ca="1">IFERROR(INDEX($E$53:$E$76,MATCH(8,M$53:M$76,0)),"")</f>
        <v/>
      </c>
      <c r="E14" s="55" t="str">
        <f ca="1">IFERROR(INDEX(G$53:G$76,MATCH(8,M$53:M$76,0)),"")</f>
        <v/>
      </c>
      <c r="F14" s="54" t="str">
        <f t="shared" ca="1" si="1"/>
        <v/>
      </c>
      <c r="G14" s="56" t="str">
        <f t="shared" ca="1" si="2"/>
        <v/>
      </c>
    </row>
    <row r="15" spans="1:12" ht="13.5">
      <c r="A15" s="46" t="str">
        <f t="shared" ref="A15:A22" ca="1" si="3">IF(B15&lt;&gt;"","产业趋势基石","")</f>
        <v>产业趋势基石</v>
      </c>
      <c r="B15" s="54" t="str">
        <f ca="1">IFERROR(INDEX($A$53:$A$76,MATCH(1,N$53:N$76,0)),"")</f>
        <v>000917.OF</v>
      </c>
      <c r="C15" s="54" t="str">
        <f ca="1">IFERROR(INDEX($B$53:$B$76,MATCH(1,N$53:N$76,0)),"")</f>
        <v>嘉实快线货币A</v>
      </c>
      <c r="D15" s="54" t="str">
        <f ca="1">IFERROR(INDEX($E$53:$E$76,MATCH(1,N$53:N$76,0)),"")</f>
        <v>货币</v>
      </c>
      <c r="E15" s="55">
        <f ca="1">IFERROR(INDEX(H$53:H$76,MATCH(1,N$53:N$76,0)),"")</f>
        <v>5.4112297090900235E-2</v>
      </c>
      <c r="F15" s="54" t="str">
        <f t="shared" ca="1" si="1"/>
        <v>不适用</v>
      </c>
      <c r="G15" s="56">
        <f t="shared" ref="G15:G22" ca="1" si="4">IF(B15&lt;&gt;"",H$84,"")</f>
        <v>46213</v>
      </c>
    </row>
    <row r="16" spans="1:12" ht="13.5">
      <c r="A16" s="46" t="str">
        <f t="shared" ca="1" si="3"/>
        <v>产业趋势基石</v>
      </c>
      <c r="B16" s="54" t="str">
        <f ca="1">IFERROR(INDEX($A$53:$A$76,MATCH(2,N$53:N$76,0)),"")</f>
        <v>001170.OF</v>
      </c>
      <c r="C16" s="54" t="str">
        <f ca="1">IFERROR(INDEX($B$53:$B$76,MATCH(2,N$53:N$76,0)),"")</f>
        <v>宏利复兴混合A</v>
      </c>
      <c r="D16" s="54" t="str">
        <f ca="1">IFERROR(INDEX($E$53:$E$76,MATCH(2,N$53:N$76,0)),"")</f>
        <v>主动</v>
      </c>
      <c r="E16" s="55">
        <f ca="1">IFERROR(INDEX(H$53:H$76,MATCH(2,N$53:N$76,0)),"")</f>
        <v>0.17151717633507901</v>
      </c>
      <c r="F16" s="54" t="str">
        <f t="shared" ca="1" si="1"/>
        <v>正常</v>
      </c>
      <c r="G16" s="56">
        <f t="shared" ca="1" si="4"/>
        <v>46213</v>
      </c>
    </row>
    <row r="17" spans="1:7" ht="13.5">
      <c r="A17" s="46" t="str">
        <f t="shared" ca="1" si="3"/>
        <v>产业趋势基石</v>
      </c>
      <c r="B17" s="54" t="str">
        <f ca="1">IFERROR(INDEX($A$53:$A$76,MATCH(3,N$53:N$76,0)),"")</f>
        <v>013840.OF</v>
      </c>
      <c r="C17" s="54" t="str">
        <f ca="1">IFERROR(INDEX($B$53:$B$76,MATCH(3,N$53:N$76,0)),"")</f>
        <v>银华集成电路混合A</v>
      </c>
      <c r="D17" s="54" t="str">
        <f ca="1">IFERROR(INDEX($E$53:$E$76,MATCH(3,N$53:N$76,0)),"")</f>
        <v>主动</v>
      </c>
      <c r="E17" s="55">
        <f ca="1">IFERROR(INDEX(H$53:H$76,MATCH(3,N$53:N$76,0)),"")</f>
        <v>0.22538930520198139</v>
      </c>
      <c r="F17" s="54" t="str">
        <f t="shared" ca="1" si="1"/>
        <v>超限</v>
      </c>
      <c r="G17" s="56">
        <f t="shared" ca="1" si="4"/>
        <v>46213</v>
      </c>
    </row>
    <row r="18" spans="1:7" ht="13.5">
      <c r="A18" s="46" t="str">
        <f t="shared" ca="1" si="3"/>
        <v>产业趋势基石</v>
      </c>
      <c r="B18" s="54" t="str">
        <f ca="1">IFERROR(INDEX($A$53:$A$76,MATCH(4,N$53:N$76,0)),"")</f>
        <v>016370.OF</v>
      </c>
      <c r="C18" s="54" t="str">
        <f ca="1">IFERROR(INDEX($B$53:$B$76,MATCH(4,N$53:N$76,0)),"")</f>
        <v>信澳业绩驱动A</v>
      </c>
      <c r="D18" s="54" t="str">
        <f ca="1">IFERROR(INDEX($E$53:$E$76,MATCH(4,N$53:N$76,0)),"")</f>
        <v>主动</v>
      </c>
      <c r="E18" s="55">
        <f ca="1">IFERROR(INDEX(H$53:H$76,MATCH(4,N$53:N$76,0)),"")</f>
        <v>0.18037435142894928</v>
      </c>
      <c r="F18" s="54" t="str">
        <f t="shared" ca="1" si="1"/>
        <v>正常</v>
      </c>
      <c r="G18" s="56">
        <f t="shared" ca="1" si="4"/>
        <v>46213</v>
      </c>
    </row>
    <row r="19" spans="1:7" ht="13.5">
      <c r="A19" s="46" t="str">
        <f t="shared" ca="1" si="3"/>
        <v>产业趋势基石</v>
      </c>
      <c r="B19" s="54" t="str">
        <f ca="1">IFERROR(INDEX($A$53:$A$76,MATCH(5,N$53:N$76,0)),"")</f>
        <v>017488.OF</v>
      </c>
      <c r="C19" s="54" t="str">
        <f ca="1">IFERROR(INDEX($B$53:$B$76,MATCH(5,N$53:N$76,0)),"")</f>
        <v>嘉实信息产业A</v>
      </c>
      <c r="D19" s="54" t="str">
        <f ca="1">IFERROR(INDEX($E$53:$E$76,MATCH(5,N$53:N$76,0)),"")</f>
        <v>主动</v>
      </c>
      <c r="E19" s="55">
        <f ca="1">IFERROR(INDEX(H$53:H$76,MATCH(5,N$53:N$76,0)),"")</f>
        <v>0.18127089826726672</v>
      </c>
      <c r="F19" s="54" t="str">
        <f t="shared" ca="1" si="1"/>
        <v>正常</v>
      </c>
      <c r="G19" s="56">
        <f t="shared" ca="1" si="4"/>
        <v>46213</v>
      </c>
    </row>
    <row r="20" spans="1:7" ht="13.5">
      <c r="A20" s="46" t="str">
        <f t="shared" ca="1" si="3"/>
        <v>产业趋势基石</v>
      </c>
      <c r="B20" s="54" t="str">
        <f ca="1">IFERROR(INDEX($A$53:$A$76,MATCH(6,N$53:N$76,0)),"")</f>
        <v>019632.OF</v>
      </c>
      <c r="C20" s="54" t="str">
        <f ca="1">IFERROR(INDEX($B$53:$B$76,MATCH(6,N$53:N$76,0)),"")</f>
        <v>国泰半导体材料设备ETF联接A</v>
      </c>
      <c r="D20" s="54" t="str">
        <f ca="1">IFERROR(INDEX($E$53:$E$76,MATCH(6,N$53:N$76,0)),"")</f>
        <v>指数</v>
      </c>
      <c r="E20" s="55">
        <f ca="1">IFERROR(INDEX(H$53:H$76,MATCH(6,N$53:N$76,0)),"")</f>
        <v>0.12248347828449958</v>
      </c>
      <c r="F20" s="54" t="str">
        <f t="shared" ca="1" si="1"/>
        <v>不适用</v>
      </c>
      <c r="G20" s="56">
        <f t="shared" ca="1" si="4"/>
        <v>46213</v>
      </c>
    </row>
    <row r="21" spans="1:7" ht="13.5">
      <c r="A21" s="46" t="str">
        <f t="shared" ca="1" si="3"/>
        <v>产业趋势基石</v>
      </c>
      <c r="B21" s="54" t="str">
        <f ca="1">IFERROR(INDEX($A$53:$A$76,MATCH(7,N$53:N$76,0)),"")</f>
        <v>162214.OF</v>
      </c>
      <c r="C21" s="54" t="str">
        <f ca="1">IFERROR(INDEX($B$53:$B$76,MATCH(7,N$53:N$76,0)),"")</f>
        <v>宏利领先中小盘混合</v>
      </c>
      <c r="D21" s="54" t="str">
        <f ca="1">IFERROR(INDEX($E$53:$E$76,MATCH(7,N$53:N$76,0)),"")</f>
        <v>主动</v>
      </c>
      <c r="E21" s="55">
        <f ca="1">IFERROR(INDEX(H$53:H$76,MATCH(7,N$53:N$76,0)),"")</f>
        <v>6.4852493391323804E-2</v>
      </c>
      <c r="F21" s="54" t="str">
        <f t="shared" ca="1" si="1"/>
        <v>正常</v>
      </c>
      <c r="G21" s="56">
        <f t="shared" ca="1" si="4"/>
        <v>46213</v>
      </c>
    </row>
    <row r="22" spans="1:7" ht="13.5">
      <c r="A22" s="46" t="str">
        <f t="shared" ca="1" si="3"/>
        <v/>
      </c>
      <c r="B22" s="54" t="str">
        <f ca="1">IFERROR(INDEX($A$53:$A$76,MATCH(8,N$53:N$76,0)),"")</f>
        <v/>
      </c>
      <c r="C22" s="54" t="str">
        <f ca="1">IFERROR(INDEX($B$53:$B$76,MATCH(8,N$53:N$76,0)),"")</f>
        <v/>
      </c>
      <c r="D22" s="54" t="str">
        <f ca="1">IFERROR(INDEX($E$53:$E$76,MATCH(8,N$53:N$76,0)),"")</f>
        <v/>
      </c>
      <c r="E22" s="55" t="str">
        <f ca="1">IFERROR(INDEX(H$53:H$76,MATCH(8,N$53:N$76,0)),"")</f>
        <v/>
      </c>
      <c r="F22" s="54" t="str">
        <f t="shared" ca="1" si="1"/>
        <v/>
      </c>
      <c r="G22" s="56" t="str">
        <f t="shared" ca="1" si="4"/>
        <v/>
      </c>
    </row>
    <row r="23" spans="1:7" ht="13.5">
      <c r="A23" s="46" t="str">
        <f t="shared" ref="A23:A30" ca="1" si="5">IF(B23&lt;&gt;"","产业趋势2号","")</f>
        <v>产业趋势2号</v>
      </c>
      <c r="B23" s="54" t="str">
        <f ca="1">IFERROR(INDEX($A$53:$A$76,MATCH(1,O$53:O$76,0)),"")</f>
        <v>000917.OF</v>
      </c>
      <c r="C23" s="54" t="str">
        <f ca="1">IFERROR(INDEX($B$53:$B$76,MATCH(1,O$53:O$76,0)),"")</f>
        <v>嘉实快线货币A</v>
      </c>
      <c r="D23" s="54" t="str">
        <f ca="1">IFERROR(INDEX($E$53:$E$76,MATCH(1,O$53:O$76,0)),"")</f>
        <v>货币</v>
      </c>
      <c r="E23" s="55">
        <f ca="1">IFERROR(INDEX(I$53:I$76,MATCH(1,O$53:O$76,0)),"")</f>
        <v>5.37850988625641E-2</v>
      </c>
      <c r="F23" s="54" t="str">
        <f t="shared" ca="1" si="1"/>
        <v>不适用</v>
      </c>
      <c r="G23" s="56">
        <f t="shared" ref="G23:G30" ca="1" si="6">IF(B23&lt;&gt;"",I$84,"")</f>
        <v>46213</v>
      </c>
    </row>
    <row r="24" spans="1:7" ht="13.5">
      <c r="A24" s="46" t="str">
        <f t="shared" ca="1" si="5"/>
        <v>产业趋势2号</v>
      </c>
      <c r="B24" s="54" t="str">
        <f ca="1">IFERROR(INDEX($A$53:$A$76,MATCH(2,O$53:O$76,0)),"")</f>
        <v>009993.OF</v>
      </c>
      <c r="C24" s="54" t="str">
        <f ca="1">IFERROR(INDEX($B$53:$B$76,MATCH(2,O$53:O$76,0)),"")</f>
        <v>嘉实前沿科技创新</v>
      </c>
      <c r="D24" s="54" t="str">
        <f ca="1">IFERROR(INDEX($E$53:$E$76,MATCH(2,O$53:O$76,0)),"")</f>
        <v>主动</v>
      </c>
      <c r="E24" s="55">
        <f ca="1">IFERROR(INDEX(I$53:I$76,MATCH(2,O$53:O$76,0)),"")</f>
        <v>0.18323180732682925</v>
      </c>
      <c r="F24" s="54" t="str">
        <f t="shared" ca="1" si="1"/>
        <v>正常</v>
      </c>
      <c r="G24" s="56">
        <f t="shared" ca="1" si="6"/>
        <v>46213</v>
      </c>
    </row>
    <row r="25" spans="1:7" ht="13.5">
      <c r="A25" s="46" t="str">
        <f t="shared" ca="1" si="5"/>
        <v>产业趋势2号</v>
      </c>
      <c r="B25" s="54" t="str">
        <f ca="1">IFERROR(INDEX($A$53:$A$76,MATCH(3,O$53:O$76,0)),"")</f>
        <v>013841.OF</v>
      </c>
      <c r="C25" s="54" t="str">
        <f ca="1">IFERROR(INDEX($B$53:$B$76,MATCH(3,O$53:O$76,0)),"")</f>
        <v>银华集成电路混合C</v>
      </c>
      <c r="D25" s="54" t="str">
        <f ca="1">IFERROR(INDEX($E$53:$E$76,MATCH(3,O$53:O$76,0)),"")</f>
        <v>主动</v>
      </c>
      <c r="E25" s="55">
        <f ca="1">IFERROR(INDEX(I$53:I$76,MATCH(3,O$53:O$76,0)),"")</f>
        <v>0.22124738215675729</v>
      </c>
      <c r="F25" s="54" t="str">
        <f t="shared" ca="1" si="1"/>
        <v>超限</v>
      </c>
      <c r="G25" s="56">
        <f t="shared" ca="1" si="6"/>
        <v>46213</v>
      </c>
    </row>
    <row r="26" spans="1:7" ht="13.5">
      <c r="A26" s="46" t="str">
        <f t="shared" ca="1" si="5"/>
        <v>产业趋势2号</v>
      </c>
      <c r="B26" s="54" t="str">
        <f ca="1">IFERROR(INDEX($A$53:$A$76,MATCH(4,O$53:O$76,0)),"")</f>
        <v>017489.OF</v>
      </c>
      <c r="C26" s="54" t="str">
        <f ca="1">IFERROR(INDEX($B$53:$B$76,MATCH(4,O$53:O$76,0)),"")</f>
        <v>嘉实信息产业C</v>
      </c>
      <c r="D26" s="54" t="str">
        <f ca="1">IFERROR(INDEX($E$53:$E$76,MATCH(4,O$53:O$76,0)),"")</f>
        <v>主动</v>
      </c>
      <c r="E26" s="55">
        <f ca="1">IFERROR(INDEX(I$53:I$76,MATCH(4,O$53:O$76,0)),"")</f>
        <v>0.18121513335675279</v>
      </c>
      <c r="F26" s="54" t="str">
        <f t="shared" ca="1" si="1"/>
        <v>正常</v>
      </c>
      <c r="G26" s="56">
        <f t="shared" ca="1" si="6"/>
        <v>46213</v>
      </c>
    </row>
    <row r="27" spans="1:7" ht="13.5">
      <c r="A27" s="46" t="str">
        <f t="shared" ca="1" si="5"/>
        <v>产业趋势2号</v>
      </c>
      <c r="B27" s="54" t="str">
        <f ca="1">IFERROR(INDEX($A$53:$A$76,MATCH(5,O$53:O$76,0)),"")</f>
        <v>017612.OF</v>
      </c>
      <c r="C27" s="54" t="str">
        <f ca="1">IFERROR(INDEX($B$53:$B$76,MATCH(5,O$53:O$76,0)),"")</f>
        <v>宏利复兴伟业C</v>
      </c>
      <c r="D27" s="54" t="str">
        <f ca="1">IFERROR(INDEX($E$53:$E$76,MATCH(5,O$53:O$76,0)),"")</f>
        <v>主动</v>
      </c>
      <c r="E27" s="55">
        <f ca="1">IFERROR(INDEX(I$53:I$76,MATCH(5,O$53:O$76,0)),"")</f>
        <v>0.17412307047797329</v>
      </c>
      <c r="F27" s="54" t="str">
        <f t="shared" ca="1" si="1"/>
        <v>正常</v>
      </c>
      <c r="G27" s="56">
        <f t="shared" ca="1" si="6"/>
        <v>46213</v>
      </c>
    </row>
    <row r="28" spans="1:7" ht="13.5">
      <c r="A28" s="46" t="str">
        <f t="shared" ca="1" si="5"/>
        <v>产业趋势2号</v>
      </c>
      <c r="B28" s="54" t="str">
        <f ca="1">IFERROR(INDEX($A$53:$A$76,MATCH(6,O$53:O$76,0)),"")</f>
        <v>019633.OF</v>
      </c>
      <c r="C28" s="54" t="str">
        <f ca="1">IFERROR(INDEX($B$53:$B$76,MATCH(6,O$53:O$76,0)),"")</f>
        <v>国泰半导体材料设备C</v>
      </c>
      <c r="D28" s="54" t="str">
        <f ca="1">IFERROR(INDEX($E$53:$E$76,MATCH(6,O$53:O$76,0)),"")</f>
        <v>指数</v>
      </c>
      <c r="E28" s="55">
        <f ca="1">IFERROR(INDEX(I$53:I$76,MATCH(6,O$53:O$76,0)),"")</f>
        <v>0.11969924937918189</v>
      </c>
      <c r="F28" s="54" t="str">
        <f t="shared" ca="1" si="1"/>
        <v>不适用</v>
      </c>
      <c r="G28" s="56">
        <f t="shared" ca="1" si="6"/>
        <v>46213</v>
      </c>
    </row>
    <row r="29" spans="1:7" ht="13.5">
      <c r="A29" s="46" t="str">
        <f t="shared" ca="1" si="5"/>
        <v>产业趋势2号</v>
      </c>
      <c r="B29" s="54" t="str">
        <f ca="1">IFERROR(INDEX($A$53:$A$76,MATCH(7,O$53:O$76,0)),"")</f>
        <v>162214.OF</v>
      </c>
      <c r="C29" s="54" t="str">
        <f ca="1">IFERROR(INDEX($B$53:$B$76,MATCH(7,O$53:O$76,0)),"")</f>
        <v>宏利领先中小盘混合</v>
      </c>
      <c r="D29" s="54" t="str">
        <f ca="1">IFERROR(INDEX($E$53:$E$76,MATCH(7,O$53:O$76,0)),"")</f>
        <v>主动</v>
      </c>
      <c r="E29" s="55">
        <f ca="1">IFERROR(INDEX(I$53:I$76,MATCH(7,O$53:O$76,0)),"")</f>
        <v>6.6698258439941552E-2</v>
      </c>
      <c r="F29" s="54" t="str">
        <f t="shared" ca="1" si="1"/>
        <v>正常</v>
      </c>
      <c r="G29" s="56">
        <f t="shared" ca="1" si="6"/>
        <v>46213</v>
      </c>
    </row>
    <row r="30" spans="1:7" ht="13.5">
      <c r="A30" s="46" t="str">
        <f t="shared" ca="1" si="5"/>
        <v/>
      </c>
      <c r="B30" s="54" t="str">
        <f ca="1">IFERROR(INDEX($A$53:$A$76,MATCH(8,O$53:O$76,0)),"")</f>
        <v/>
      </c>
      <c r="C30" s="54" t="str">
        <f ca="1">IFERROR(INDEX($B$53:$B$76,MATCH(8,O$53:O$76,0)),"")</f>
        <v/>
      </c>
      <c r="D30" s="54" t="str">
        <f ca="1">IFERROR(INDEX($E$53:$E$76,MATCH(8,O$53:O$76,0)),"")</f>
        <v/>
      </c>
      <c r="E30" s="55" t="str">
        <f ca="1">IFERROR(INDEX(I$53:I$76,MATCH(8,O$53:O$76,0)),"")</f>
        <v/>
      </c>
      <c r="F30" s="54" t="str">
        <f t="shared" ca="1" si="1"/>
        <v/>
      </c>
      <c r="G30" s="56" t="str">
        <f t="shared" ca="1" si="6"/>
        <v/>
      </c>
    </row>
    <row r="31" spans="1:7" ht="13">
      <c r="A31" s="130" t="s">
        <v>208</v>
      </c>
      <c r="B31" s="130"/>
      <c r="C31" s="130"/>
      <c r="D31" s="130"/>
      <c r="E31" s="130"/>
      <c r="F31" s="130"/>
      <c r="G31" s="130"/>
    </row>
    <row r="33" spans="1:8" ht="21" customHeight="1">
      <c r="A33" s="122" t="s">
        <v>278</v>
      </c>
      <c r="B33" s="122"/>
      <c r="C33" s="122"/>
      <c r="D33" s="122"/>
      <c r="E33" s="122"/>
      <c r="F33" s="122"/>
      <c r="G33" s="49" t="s">
        <v>202</v>
      </c>
      <c r="H33" s="50">
        <f ca="1">$B$82</f>
        <v>46280</v>
      </c>
    </row>
    <row r="34" spans="1:8" ht="28" customHeight="1">
      <c r="A34" s="51" t="s">
        <v>203</v>
      </c>
      <c r="B34" s="51" t="s">
        <v>209</v>
      </c>
      <c r="C34" s="51" t="s">
        <v>210</v>
      </c>
      <c r="D34" s="51" t="s">
        <v>211</v>
      </c>
      <c r="E34" s="51" t="s">
        <v>212</v>
      </c>
      <c r="F34" s="51" t="s">
        <v>213</v>
      </c>
      <c r="G34" s="51" t="s">
        <v>211</v>
      </c>
      <c r="H34" s="51" t="s">
        <v>207</v>
      </c>
    </row>
    <row r="35" spans="1:8" ht="13">
      <c r="A35" s="54" t="s">
        <v>214</v>
      </c>
      <c r="B35" s="55">
        <v>0.1</v>
      </c>
      <c r="C35" s="55">
        <f ca="1">SUMIF($C$53:$C$76,"增值",J$53:J$76)</f>
        <v>0.1010570634232847</v>
      </c>
      <c r="D35" s="57">
        <f ca="1">C35-B35</f>
        <v>1.0570634232846959E-3</v>
      </c>
      <c r="E35" s="55">
        <f>1-B35</f>
        <v>0.9</v>
      </c>
      <c r="F35" s="55">
        <f ca="1">SUMIF($C$53:$C$76,"生息",J$53:J$76)</f>
        <v>0.89894293657671531</v>
      </c>
      <c r="G35" s="57">
        <f ca="1">F35-E35</f>
        <v>-1.0570634232847098E-3</v>
      </c>
      <c r="H35" s="56">
        <f>J$84</f>
        <v>46220</v>
      </c>
    </row>
    <row r="36" spans="1:8" ht="13">
      <c r="A36" s="54" t="s">
        <v>215</v>
      </c>
      <c r="B36" s="55">
        <v>0.1</v>
      </c>
      <c r="C36" s="55">
        <f ca="1">SUMIF($C$53:$C$76,"增值",K$53:K$76)</f>
        <v>0.10364140848099349</v>
      </c>
      <c r="D36" s="57">
        <f ca="1">C36-B36</f>
        <v>3.6414084809934799E-3</v>
      </c>
      <c r="E36" s="55">
        <f>1-B36</f>
        <v>0.9</v>
      </c>
      <c r="F36" s="55">
        <f ca="1">SUMIF($C$53:$C$76,"生息",K$53:K$76)</f>
        <v>0.89635859151900643</v>
      </c>
      <c r="G36" s="57">
        <f ca="1">F36-E36</f>
        <v>-3.6414084809935909E-3</v>
      </c>
      <c r="H36" s="56">
        <f>K$84</f>
        <v>46220</v>
      </c>
    </row>
    <row r="37" spans="1:8" ht="13">
      <c r="A37" s="54" t="s">
        <v>216</v>
      </c>
      <c r="B37" s="55">
        <v>0.3</v>
      </c>
      <c r="C37" s="55">
        <f ca="1">SUMIF($C$53:$C$76,"增值",L$53:L$76)</f>
        <v>0.30680310894221036</v>
      </c>
      <c r="D37" s="57">
        <f ca="1">C37-B37</f>
        <v>6.8031089422103674E-3</v>
      </c>
      <c r="E37" s="55">
        <f>1-B37</f>
        <v>0.7</v>
      </c>
      <c r="F37" s="55">
        <f ca="1">SUMIF($C$53:$C$76,"生息",L$53:L$76)</f>
        <v>0.6931968910577897</v>
      </c>
      <c r="G37" s="57">
        <f ca="1">F37-E37</f>
        <v>-6.8031089422102564E-3</v>
      </c>
      <c r="H37" s="56">
        <f>L$84</f>
        <v>46220</v>
      </c>
    </row>
    <row r="38" spans="1:8" ht="13">
      <c r="A38" s="123" t="s">
        <v>217</v>
      </c>
      <c r="B38" s="123"/>
      <c r="C38" s="123"/>
      <c r="D38" s="123"/>
      <c r="E38" s="123"/>
      <c r="F38" s="123"/>
      <c r="G38" s="123"/>
      <c r="H38" s="123"/>
    </row>
    <row r="40" spans="1:8" ht="21" customHeight="1">
      <c r="A40" s="122" t="s">
        <v>218</v>
      </c>
      <c r="B40" s="122"/>
      <c r="C40" s="122"/>
      <c r="D40" s="49" t="s">
        <v>202</v>
      </c>
      <c r="E40" s="50">
        <f ca="1">$B$82</f>
        <v>46280</v>
      </c>
    </row>
    <row r="41" spans="1:8" ht="28" customHeight="1">
      <c r="A41" s="51" t="s">
        <v>203</v>
      </c>
      <c r="B41" s="51" t="s">
        <v>219</v>
      </c>
      <c r="C41" s="51" t="s">
        <v>220</v>
      </c>
      <c r="D41" s="51" t="s">
        <v>221</v>
      </c>
      <c r="E41" s="51" t="s">
        <v>207</v>
      </c>
    </row>
    <row r="42" spans="1:8" ht="13">
      <c r="A42" s="54" t="s">
        <v>214</v>
      </c>
      <c r="B42" s="55">
        <f ca="1">IFERROR(SUMIF($D$53:$D$76,"产业趋势",J$53:J$76)/SUMIF($C$53:$C$76,"增值",J$53:J$76),0)</f>
        <v>0.49958385116761272</v>
      </c>
      <c r="C42" s="55">
        <f ca="1">IFERROR(SUMIF($D$53:$D$76,"指增",J$53:J$76)/SUMIF($C$53:$C$76,"增值",J$53:J$76),0)</f>
        <v>0.50041614883238716</v>
      </c>
      <c r="D42" s="55">
        <f ca="1">SUMIF($C$53:$C$76,"增值",J$53:J$76)</f>
        <v>0.1010570634232847</v>
      </c>
      <c r="E42" s="56">
        <f>J$84</f>
        <v>46220</v>
      </c>
    </row>
    <row r="43" spans="1:8" ht="13">
      <c r="A43" s="54" t="s">
        <v>215</v>
      </c>
      <c r="B43" s="55">
        <f ca="1">IFERROR(SUMIF($D$53:$D$76,"产业趋势",K$53:K$76)/SUMIF($C$53:$C$76,"增值",K$53:K$76),0)</f>
        <v>0.50785175112645298</v>
      </c>
      <c r="C43" s="55">
        <f ca="1">IFERROR(SUMIF($D$53:$D$76,"指增",K$53:K$76)/SUMIF($C$53:$C$76,"增值",K$53:K$76),0)</f>
        <v>0.49214824887354691</v>
      </c>
      <c r="D43" s="55">
        <f ca="1">SUMIF($C$53:$C$76,"增值",K$53:K$76)</f>
        <v>0.10364140848099349</v>
      </c>
      <c r="E43" s="56">
        <f>K$84</f>
        <v>46220</v>
      </c>
    </row>
    <row r="44" spans="1:8" ht="13">
      <c r="A44" s="54" t="s">
        <v>216</v>
      </c>
      <c r="B44" s="55">
        <f ca="1">IFERROR(SUMIF($D$53:$D$76,"产业趋势",L$53:L$76)/SUMIF($C$53:$C$76,"增值",L$53:L$76),0)</f>
        <v>0.5034184456899905</v>
      </c>
      <c r="C44" s="55">
        <f ca="1">IFERROR(SUMIF($D$53:$D$76,"指增",L$53:L$76)/SUMIF($C$53:$C$76,"增值",L$53:L$76),0)</f>
        <v>0.49658155431000944</v>
      </c>
      <c r="D44" s="55">
        <f ca="1">SUMIF($C$53:$C$76,"增值",L$53:L$76)</f>
        <v>0.30680310894221036</v>
      </c>
      <c r="E44" s="56">
        <f>L$84</f>
        <v>46220</v>
      </c>
    </row>
    <row r="45" spans="1:8" ht="13">
      <c r="A45" s="123" t="s">
        <v>222</v>
      </c>
      <c r="B45" s="123"/>
      <c r="C45" s="123"/>
      <c r="D45" s="123"/>
      <c r="E45" s="123"/>
    </row>
    <row r="47" spans="1:8" ht="34" customHeight="1">
      <c r="A47" s="126" t="s">
        <v>223</v>
      </c>
      <c r="B47" s="126"/>
      <c r="C47" s="126"/>
      <c r="D47" s="126"/>
      <c r="E47" s="126"/>
      <c r="F47" s="126"/>
      <c r="G47" s="126"/>
      <c r="H47" s="126"/>
    </row>
    <row r="50" spans="1:18" ht="21" customHeight="1">
      <c r="A50" s="122" t="s">
        <v>224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</row>
    <row r="51" spans="1:18" ht="24" customHeight="1">
      <c r="A51" s="123" t="s">
        <v>225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</row>
    <row r="52" spans="1:18" ht="28" customHeight="1">
      <c r="A52" s="51" t="s">
        <v>28</v>
      </c>
      <c r="B52" s="51" t="s">
        <v>1</v>
      </c>
      <c r="C52" s="51" t="s">
        <v>226</v>
      </c>
      <c r="D52" s="51" t="s">
        <v>227</v>
      </c>
      <c r="E52" s="51" t="s">
        <v>228</v>
      </c>
      <c r="F52" s="51" t="s">
        <v>229</v>
      </c>
      <c r="G52" s="51" t="s">
        <v>230</v>
      </c>
      <c r="H52" s="51" t="s">
        <v>231</v>
      </c>
      <c r="I52" s="51" t="s">
        <v>232</v>
      </c>
      <c r="J52" s="51" t="s">
        <v>214</v>
      </c>
      <c r="K52" s="51" t="s">
        <v>215</v>
      </c>
      <c r="L52" s="51" t="s">
        <v>216</v>
      </c>
    </row>
    <row r="53" spans="1:18" ht="13">
      <c r="A53" s="54" t="s">
        <v>29</v>
      </c>
      <c r="B53" s="52" t="s">
        <v>233</v>
      </c>
      <c r="C53" s="54" t="s">
        <v>234</v>
      </c>
      <c r="D53" s="54" t="s">
        <v>235</v>
      </c>
      <c r="E53" s="54" t="s">
        <v>236</v>
      </c>
      <c r="F53" s="54" t="s">
        <v>237</v>
      </c>
      <c r="G53" s="55">
        <f ca="1">IFERROR(INDEX(分期持仓明细!$B$5:$Y$200,G$82-4,MATCH(LEFT($A53,6),分期持仓明细!$B$3:$Y$3,0))*INDEX('实盘净值数据(iFinD公式)'!$B$5:$Y$1000,$B$81,MATCH($A53,'实盘净值数据(iFinD公式)'!$B$3:$Y$3,0))/INDEX('实盘净值数据(iFinD公式)'!$B$5:$Y$1000,MATCH(G$84,'实盘净值数据(iFinD公式)'!$A$5:$A$1000,0),MATCH($A53,'实盘净值数据(iFinD公式)'!$B$3:$Y$3,0))/G$85,G89)</f>
        <v>0</v>
      </c>
      <c r="H53" s="55">
        <f ca="1">IFERROR(INDEX(分期持仓明细!$B$5:$Y$200,H$82-4,MATCH(LEFT($A53,6),分期持仓明细!$B$3:$Y$3,0))*INDEX('实盘净值数据(iFinD公式)'!$B$5:$Y$1000,$B$81,MATCH($A53,'实盘净值数据(iFinD公式)'!$B$3:$Y$3,0))/INDEX('实盘净值数据(iFinD公式)'!$B$5:$Y$1000,MATCH(H$84,'实盘净值数据(iFinD公式)'!$A$5:$A$1000,0),MATCH($A53,'实盘净值数据(iFinD公式)'!$B$3:$Y$3,0))/H$85,H89)</f>
        <v>0</v>
      </c>
      <c r="I53" s="55">
        <f ca="1">IFERROR(INDEX(分期持仓明细!$B$5:$Y$200,I$82-4,MATCH(LEFT($A53,6),分期持仓明细!$B$3:$Y$3,0))*INDEX('实盘净值数据(iFinD公式)'!$B$5:$Y$1000,$B$81,MATCH($A53,'实盘净值数据(iFinD公式)'!$B$3:$Y$3,0))/INDEX('实盘净值数据(iFinD公式)'!$B$5:$Y$1000,MATCH(I$84,'实盘净值数据(iFinD公式)'!$A$5:$A$1000,0),MATCH($A53,'实盘净值数据(iFinD公式)'!$B$3:$Y$3,0))/I$85,I89)</f>
        <v>0</v>
      </c>
      <c r="J53" s="55">
        <f ca="1">IFERROR(INDEX(分期持仓明细!$B$5:$Y$200,J$82-4,MATCH(LEFT($A53,6),分期持仓明细!$B$3:$Y$3,0))*INDEX('实盘净值数据(iFinD公式)'!$B$5:$Y$1000,$B$81,MATCH($A53,'实盘净值数据(iFinD公式)'!$B$3:$Y$3,0))/INDEX('实盘净值数据(iFinD公式)'!$B$5:$Y$1000,MATCH(J$84,'实盘净值数据(iFinD公式)'!$A$5:$A$1000,0),MATCH($A53,'实盘净值数据(iFinD公式)'!$B$3:$Y$3,0))/J$85,J89)</f>
        <v>5.40701112398526E-2</v>
      </c>
      <c r="K53" s="55">
        <f ca="1">IFERROR(INDEX(分期持仓明细!$B$5:$Y$200,K$82-4,MATCH(LEFT($A53,6),分期持仓明细!$B$3:$Y$3,0))*INDEX('实盘净值数据(iFinD公式)'!$B$5:$Y$1000,$B$81,MATCH($A53,'实盘净值数据(iFinD公式)'!$B$3:$Y$3,0))/INDEX('实盘净值数据(iFinD公式)'!$B$5:$Y$1000,MATCH(K$84,'实盘净值数据(iFinD公式)'!$A$5:$A$1000,0),MATCH($A53,'实盘净值数据(iFinD公式)'!$B$3:$Y$3,0))/K$85,K89)</f>
        <v>5.1649536666582119E-2</v>
      </c>
      <c r="L53" s="55">
        <f ca="1">IFERROR(INDEX(分期持仓明细!$B$5:$Y$200,L$82-4,MATCH(LEFT($A53,6),分期持仓明细!$B$3:$Y$3,0))*INDEX('实盘净值数据(iFinD公式)'!$B$5:$Y$1000,$B$81,MATCH($A53,'实盘净值数据(iFinD公式)'!$B$3:$Y$3,0))/INDEX('实盘净值数据(iFinD公式)'!$B$5:$Y$1000,MATCH(L$84,'实盘净值数据(iFinD公式)'!$A$5:$A$1000,0),MATCH($A53,'实盘净值数据(iFinD公式)'!$B$3:$Y$3,0))/L$85,L89)</f>
        <v>0.10859683574171497</v>
      </c>
      <c r="M53" t="str">
        <f ca="1">IF(G53&gt;0,COUNTIF(G$53:G53,"&gt;0"),"")</f>
        <v/>
      </c>
      <c r="N53" t="str">
        <f ca="1">IF(H53&gt;0,COUNTIF(H$53:H53,"&gt;0"),"")</f>
        <v/>
      </c>
      <c r="O53" t="str">
        <f ca="1">IF(I53&gt;0,COUNTIF(I$53:I53,"&gt;0"),"")</f>
        <v/>
      </c>
      <c r="P53">
        <f ca="1">IF(J53&gt;0,COUNTIF(J$53:J53,"&gt;0"),"")</f>
        <v>1</v>
      </c>
      <c r="Q53">
        <f ca="1">IF(K53&gt;0,COUNTIF(K$53:K53,"&gt;0"),"")</f>
        <v>1</v>
      </c>
      <c r="R53">
        <f ca="1">IF(L53&gt;0,COUNTIF(L$53:L53,"&gt;0"),"")</f>
        <v>1</v>
      </c>
    </row>
    <row r="54" spans="1:18" ht="13">
      <c r="A54" s="54" t="s">
        <v>30</v>
      </c>
      <c r="B54" s="52" t="s">
        <v>238</v>
      </c>
      <c r="C54" s="54" t="s">
        <v>234</v>
      </c>
      <c r="D54" s="54" t="s">
        <v>235</v>
      </c>
      <c r="E54" s="54" t="s">
        <v>239</v>
      </c>
      <c r="F54" s="54" t="s">
        <v>240</v>
      </c>
      <c r="G54" s="55">
        <f ca="1">IFERROR(INDEX(分期持仓明细!$B$5:$Y$200,G$82-4,MATCH(LEFT($A54,6),分期持仓明细!$B$3:$Y$3,0))*INDEX('实盘净值数据(iFinD公式)'!$B$5:$Y$1000,$B$81,MATCH($A54,'实盘净值数据(iFinD公式)'!$B$3:$Y$3,0))/INDEX('实盘净值数据(iFinD公式)'!$B$5:$Y$1000,MATCH(G$84,'实盘净值数据(iFinD公式)'!$A$5:$A$1000,0),MATCH($A54,'实盘净值数据(iFinD公式)'!$B$3:$Y$3,0))/G$85,G90)</f>
        <v>5.5345911422943352E-2</v>
      </c>
      <c r="H54" s="55">
        <f ca="1">IFERROR(INDEX(分期持仓明细!$B$5:$Y$200,H$82-4,MATCH(LEFT($A54,6),分期持仓明细!$B$3:$Y$3,0))*INDEX('实盘净值数据(iFinD公式)'!$B$5:$Y$1000,$B$81,MATCH($A54,'实盘净值数据(iFinD公式)'!$B$3:$Y$3,0))/INDEX('实盘净值数据(iFinD公式)'!$B$5:$Y$1000,MATCH(H$84,'实盘净值数据(iFinD公式)'!$A$5:$A$1000,0),MATCH($A54,'实盘净值数据(iFinD公式)'!$B$3:$Y$3,0))/H$85,H90)</f>
        <v>5.4112297090900235E-2</v>
      </c>
      <c r="I54" s="55">
        <f ca="1">IFERROR(INDEX(分期持仓明细!$B$5:$Y$200,I$82-4,MATCH(LEFT($A54,6),分期持仓明细!$B$3:$Y$3,0))*INDEX('实盘净值数据(iFinD公式)'!$B$5:$Y$1000,$B$81,MATCH($A54,'实盘净值数据(iFinD公式)'!$B$3:$Y$3,0))/INDEX('实盘净值数据(iFinD公式)'!$B$5:$Y$1000,MATCH(I$84,'实盘净值数据(iFinD公式)'!$A$5:$A$1000,0),MATCH($A54,'实盘净值数据(iFinD公式)'!$B$3:$Y$3,0))/I$85,I90)</f>
        <v>5.37850988625641E-2</v>
      </c>
      <c r="J54" s="55">
        <f ca="1">IFERROR(INDEX(分期持仓明细!$B$5:$Y$200,J$82-4,MATCH(LEFT($A54,6),分期持仓明细!$B$3:$Y$3,0))*INDEX('实盘净值数据(iFinD公式)'!$B$5:$Y$1000,$B$81,MATCH($A54,'实盘净值数据(iFinD公式)'!$B$3:$Y$3,0))/INDEX('实盘净值数据(iFinD公式)'!$B$5:$Y$1000,MATCH(J$84,'实盘净值数据(iFinD公式)'!$A$5:$A$1000,0),MATCH($A54,'实盘净值数据(iFinD公式)'!$B$3:$Y$3,0))/J$85,J90)</f>
        <v>4.4054102416560645E-2</v>
      </c>
      <c r="K54" s="55">
        <f ca="1">IFERROR(INDEX(分期持仓明细!$B$5:$Y$200,K$82-4,MATCH(LEFT($A54,6),分期持仓明细!$B$3:$Y$3,0))*INDEX('实盘净值数据(iFinD公式)'!$B$5:$Y$1000,$B$81,MATCH($A54,'实盘净值数据(iFinD公式)'!$B$3:$Y$3,0))/INDEX('实盘净值数据(iFinD公式)'!$B$5:$Y$1000,MATCH(K$84,'实盘净值数据(iFinD公式)'!$A$5:$A$1000,0),MATCH($A54,'实盘净值数据(iFinD公式)'!$B$3:$Y$3,0))/K$85,K90)</f>
        <v>4.4020291843461484E-2</v>
      </c>
      <c r="L54" s="55">
        <f ca="1">IFERROR(INDEX(分期持仓明细!$B$5:$Y$200,L$82-4,MATCH(LEFT($A54,6),分期持仓明细!$B$3:$Y$3,0))*INDEX('实盘净值数据(iFinD公式)'!$B$5:$Y$1000,$B$81,MATCH($A54,'实盘净值数据(iFinD公式)'!$B$3:$Y$3,0))/INDEX('实盘净值数据(iFinD公式)'!$B$5:$Y$1000,MATCH(L$84,'实盘净值数据(iFinD公式)'!$A$5:$A$1000,0),MATCH($A54,'实盘净值数据(iFinD公式)'!$B$3:$Y$3,0))/L$85,L90)</f>
        <v>8.6266051336805982E-2</v>
      </c>
      <c r="M54">
        <f ca="1">IF(G54&gt;0,COUNTIF(G$53:G54,"&gt;0"),"")</f>
        <v>1</v>
      </c>
      <c r="N54">
        <f ca="1">IF(H54&gt;0,COUNTIF(H$53:H54,"&gt;0"),"")</f>
        <v>1</v>
      </c>
      <c r="O54">
        <f ca="1">IF(I54&gt;0,COUNTIF(I$53:I54,"&gt;0"),"")</f>
        <v>1</v>
      </c>
      <c r="P54">
        <f ca="1">IF(J54&gt;0,COUNTIF(J$53:J54,"&gt;0"),"")</f>
        <v>2</v>
      </c>
      <c r="Q54">
        <f ca="1">IF(K54&gt;0,COUNTIF(K$53:K54,"&gt;0"),"")</f>
        <v>2</v>
      </c>
      <c r="R54">
        <f ca="1">IF(L54&gt;0,COUNTIF(L$53:L54,"&gt;0"),"")</f>
        <v>2</v>
      </c>
    </row>
    <row r="55" spans="1:18" ht="13">
      <c r="A55" s="54" t="s">
        <v>31</v>
      </c>
      <c r="B55" s="52" t="s">
        <v>241</v>
      </c>
      <c r="C55" s="54" t="s">
        <v>242</v>
      </c>
      <c r="D55" s="54" t="s">
        <v>230</v>
      </c>
      <c r="E55" s="54" t="s">
        <v>243</v>
      </c>
      <c r="F55" s="54" t="s">
        <v>244</v>
      </c>
      <c r="G55" s="55">
        <f ca="1">IFERROR(INDEX(分期持仓明细!$B$5:$Y$200,G$82-4,MATCH(LEFT($A55,6),分期持仓明细!$B$3:$Y$3,0))*INDEX('实盘净值数据(iFinD公式)'!$B$5:$Y$1000,$B$81,MATCH($A55,'实盘净值数据(iFinD公式)'!$B$3:$Y$3,0))/INDEX('实盘净值数据(iFinD公式)'!$B$5:$Y$1000,MATCH(G$84,'实盘净值数据(iFinD公式)'!$A$5:$A$1000,0),MATCH($A55,'实盘净值数据(iFinD公式)'!$B$3:$Y$3,0))/G$85,G91)</f>
        <v>0.16994285975066784</v>
      </c>
      <c r="H55" s="55">
        <f ca="1">IFERROR(INDEX(分期持仓明细!$B$5:$Y$200,H$82-4,MATCH(LEFT($A55,6),分期持仓明细!$B$3:$Y$3,0))*INDEX('实盘净值数据(iFinD公式)'!$B$5:$Y$1000,$B$81,MATCH($A55,'实盘净值数据(iFinD公式)'!$B$3:$Y$3,0))/INDEX('实盘净值数据(iFinD公式)'!$B$5:$Y$1000,MATCH(H$84,'实盘净值数据(iFinD公式)'!$A$5:$A$1000,0),MATCH($A55,'实盘净值数据(iFinD公式)'!$B$3:$Y$3,0))/H$85,H91)</f>
        <v>0.17151717633507901</v>
      </c>
      <c r="I55" s="55">
        <f ca="1">IFERROR(INDEX(分期持仓明细!$B$5:$Y$200,I$82-4,MATCH(LEFT($A55,6),分期持仓明细!$B$3:$Y$3,0))*INDEX('实盘净值数据(iFinD公式)'!$B$5:$Y$1000,$B$81,MATCH($A55,'实盘净值数据(iFinD公式)'!$B$3:$Y$3,0))/INDEX('实盘净值数据(iFinD公式)'!$B$5:$Y$1000,MATCH(I$84,'实盘净值数据(iFinD公式)'!$A$5:$A$1000,0),MATCH($A55,'实盘净值数据(iFinD公式)'!$B$3:$Y$3,0))/I$85,I91)</f>
        <v>0</v>
      </c>
      <c r="J55" s="55">
        <f ca="1">IFERROR(INDEX(分期持仓明细!$B$5:$Y$200,J$82-4,MATCH(LEFT($A55,6),分期持仓明细!$B$3:$Y$3,0))*INDEX('实盘净值数据(iFinD公式)'!$B$5:$Y$1000,$B$81,MATCH($A55,'实盘净值数据(iFinD公式)'!$B$3:$Y$3,0))/INDEX('实盘净值数据(iFinD公式)'!$B$5:$Y$1000,MATCH(J$84,'实盘净值数据(iFinD公式)'!$A$5:$A$1000,0),MATCH($A55,'实盘净值数据(iFinD公式)'!$B$3:$Y$3,0))/J$85,J91)</f>
        <v>0</v>
      </c>
      <c r="K55" s="55">
        <f ca="1">IFERROR(INDEX(分期持仓明细!$B$5:$Y$200,K$82-4,MATCH(LEFT($A55,6),分期持仓明细!$B$3:$Y$3,0))*INDEX('实盘净值数据(iFinD公式)'!$B$5:$Y$1000,$B$81,MATCH($A55,'实盘净值数据(iFinD公式)'!$B$3:$Y$3,0))/INDEX('实盘净值数据(iFinD公式)'!$B$5:$Y$1000,MATCH(K$84,'实盘净值数据(iFinD公式)'!$A$5:$A$1000,0),MATCH($A55,'实盘净值数据(iFinD公式)'!$B$3:$Y$3,0))/K$85,K91)</f>
        <v>8.6825412642505505E-3</v>
      </c>
      <c r="L55" s="55">
        <f ca="1">IFERROR(INDEX(分期持仓明细!$B$5:$Y$200,L$82-4,MATCH(LEFT($A55,6),分期持仓明细!$B$3:$Y$3,0))*INDEX('实盘净值数据(iFinD公式)'!$B$5:$Y$1000,$B$81,MATCH($A55,'实盘净值数据(iFinD公式)'!$B$3:$Y$3,0))/INDEX('实盘净值数据(iFinD公式)'!$B$5:$Y$1000,MATCH(L$84,'实盘净值数据(iFinD公式)'!$A$5:$A$1000,0),MATCH($A55,'实盘净值数据(iFinD公式)'!$B$3:$Y$3,0))/L$85,L91)</f>
        <v>0</v>
      </c>
      <c r="M55">
        <f ca="1">IF(G55&gt;0,COUNTIF(G$53:G55,"&gt;0"),"")</f>
        <v>2</v>
      </c>
      <c r="N55">
        <f ca="1">IF(H55&gt;0,COUNTIF(H$53:H55,"&gt;0"),"")</f>
        <v>2</v>
      </c>
      <c r="O55" t="str">
        <f ca="1">IF(I55&gt;0,COUNTIF(I$53:I55,"&gt;0"),"")</f>
        <v/>
      </c>
      <c r="P55" t="str">
        <f ca="1">IF(J55&gt;0,COUNTIF(J$53:J55,"&gt;0"),"")</f>
        <v/>
      </c>
      <c r="Q55">
        <f ca="1">IF(K55&gt;0,COUNTIF(K$53:K55,"&gt;0"),"")</f>
        <v>3</v>
      </c>
      <c r="R55" t="str">
        <f ca="1">IF(L55&gt;0,COUNTIF(L$53:L55,"&gt;0"),"")</f>
        <v/>
      </c>
    </row>
    <row r="56" spans="1:18" ht="13">
      <c r="A56" s="54" t="s">
        <v>32</v>
      </c>
      <c r="B56" s="52" t="s">
        <v>245</v>
      </c>
      <c r="C56" s="54" t="s">
        <v>242</v>
      </c>
      <c r="D56" s="54" t="s">
        <v>246</v>
      </c>
      <c r="E56" s="54" t="s">
        <v>246</v>
      </c>
      <c r="F56" s="54" t="s">
        <v>247</v>
      </c>
      <c r="G56" s="55">
        <f ca="1">IFERROR(INDEX(分期持仓明细!$B$5:$Y$200,G$82-4,MATCH(LEFT($A56,6),分期持仓明细!$B$3:$Y$3,0))*INDEX('实盘净值数据(iFinD公式)'!$B$5:$Y$1000,$B$81,MATCH($A56,'实盘净值数据(iFinD公式)'!$B$3:$Y$3,0))/INDEX('实盘净值数据(iFinD公式)'!$B$5:$Y$1000,MATCH(G$84,'实盘净值数据(iFinD公式)'!$A$5:$A$1000,0),MATCH($A56,'实盘净值数据(iFinD公式)'!$B$3:$Y$3,0))/G$85,G92)</f>
        <v>0</v>
      </c>
      <c r="H56" s="55">
        <f ca="1">IFERROR(INDEX(分期持仓明细!$B$5:$Y$200,H$82-4,MATCH(LEFT($A56,6),分期持仓明细!$B$3:$Y$3,0))*INDEX('实盘净值数据(iFinD公式)'!$B$5:$Y$1000,$B$81,MATCH($A56,'实盘净值数据(iFinD公式)'!$B$3:$Y$3,0))/INDEX('实盘净值数据(iFinD公式)'!$B$5:$Y$1000,MATCH(H$84,'实盘净值数据(iFinD公式)'!$A$5:$A$1000,0),MATCH($A56,'实盘净值数据(iFinD公式)'!$B$3:$Y$3,0))/H$85,H92)</f>
        <v>0</v>
      </c>
      <c r="I56" s="55">
        <f ca="1">IFERROR(INDEX(分期持仓明细!$B$5:$Y$200,I$82-4,MATCH(LEFT($A56,6),分期持仓明细!$B$3:$Y$3,0))*INDEX('实盘净值数据(iFinD公式)'!$B$5:$Y$1000,$B$81,MATCH($A56,'实盘净值数据(iFinD公式)'!$B$3:$Y$3,0))/INDEX('实盘净值数据(iFinD公式)'!$B$5:$Y$1000,MATCH(I$84,'实盘净值数据(iFinD公式)'!$A$5:$A$1000,0),MATCH($A56,'实盘净值数据(iFinD公式)'!$B$3:$Y$3,0))/I$85,I92)</f>
        <v>0</v>
      </c>
      <c r="J56" s="55">
        <f ca="1">IFERROR(INDEX(分期持仓明细!$B$5:$Y$200,J$82-4,MATCH(LEFT($A56,6),分期持仓明细!$B$3:$Y$3,0))*INDEX('实盘净值数据(iFinD公式)'!$B$5:$Y$1000,$B$81,MATCH($A56,'实盘净值数据(iFinD公式)'!$B$3:$Y$3,0))/INDEX('实盘净值数据(iFinD公式)'!$B$5:$Y$1000,MATCH(J$84,'实盘净值数据(iFinD公式)'!$A$5:$A$1000,0),MATCH($A56,'实盘净值数据(iFinD公式)'!$B$3:$Y$3,0))/J$85,J92)</f>
        <v>0</v>
      </c>
      <c r="K56" s="55">
        <f ca="1">IFERROR(INDEX(分期持仓明细!$B$5:$Y$200,K$82-4,MATCH(LEFT($A56,6),分期持仓明细!$B$3:$Y$3,0))*INDEX('实盘净值数据(iFinD公式)'!$B$5:$Y$1000,$B$81,MATCH($A56,'实盘净值数据(iFinD公式)'!$B$3:$Y$3,0))/INDEX('实盘净值数据(iFinD公式)'!$B$5:$Y$1000,MATCH(K$84,'实盘净值数据(iFinD公式)'!$A$5:$A$1000,0),MATCH($A56,'实盘净值数据(iFinD公式)'!$B$3:$Y$3,0))/K$85,K92)</f>
        <v>1.2673981530972407E-2</v>
      </c>
      <c r="L56" s="55">
        <f ca="1">IFERROR(INDEX(分期持仓明细!$B$5:$Y$200,L$82-4,MATCH(LEFT($A56,6),分期持仓明细!$B$3:$Y$3,0))*INDEX('实盘净值数据(iFinD公式)'!$B$5:$Y$1000,$B$81,MATCH($A56,'实盘净值数据(iFinD公式)'!$B$3:$Y$3,0))/INDEX('实盘净值数据(iFinD公式)'!$B$5:$Y$1000,MATCH(L$84,'实盘净值数据(iFinD公式)'!$A$5:$A$1000,0),MATCH($A56,'实盘净值数据(iFinD公式)'!$B$3:$Y$3,0))/L$85,L92)</f>
        <v>0</v>
      </c>
      <c r="M56" t="str">
        <f ca="1">IF(G56&gt;0,COUNTIF(G$53:G56,"&gt;0"),"")</f>
        <v/>
      </c>
      <c r="N56" t="str">
        <f ca="1">IF(H56&gt;0,COUNTIF(H$53:H56,"&gt;0"),"")</f>
        <v/>
      </c>
      <c r="O56" t="str">
        <f ca="1">IF(I56&gt;0,COUNTIF(I$53:I56,"&gt;0"),"")</f>
        <v/>
      </c>
      <c r="P56" t="str">
        <f ca="1">IF(J56&gt;0,COUNTIF(J$53:J56,"&gt;0"),"")</f>
        <v/>
      </c>
      <c r="Q56">
        <f ca="1">IF(K56&gt;0,COUNTIF(K$53:K56,"&gt;0"),"")</f>
        <v>4</v>
      </c>
      <c r="R56" t="str">
        <f ca="1">IF(L56&gt;0,COUNTIF(L$53:L56,"&gt;0"),"")</f>
        <v/>
      </c>
    </row>
    <row r="57" spans="1:18" ht="13">
      <c r="A57" s="54" t="s">
        <v>33</v>
      </c>
      <c r="B57" s="52" t="s">
        <v>248</v>
      </c>
      <c r="C57" s="54" t="s">
        <v>242</v>
      </c>
      <c r="D57" s="54" t="s">
        <v>246</v>
      </c>
      <c r="E57" s="54" t="s">
        <v>246</v>
      </c>
      <c r="F57" s="54" t="s">
        <v>249</v>
      </c>
      <c r="G57" s="55">
        <f ca="1">IFERROR(INDEX(分期持仓明细!$B$5:$Y$200,G$82-4,MATCH(LEFT($A57,6),分期持仓明细!$B$3:$Y$3,0))*INDEX('实盘净值数据(iFinD公式)'!$B$5:$Y$1000,$B$81,MATCH($A57,'实盘净值数据(iFinD公式)'!$B$3:$Y$3,0))/INDEX('实盘净值数据(iFinD公式)'!$B$5:$Y$1000,MATCH(G$84,'实盘净值数据(iFinD公式)'!$A$5:$A$1000,0),MATCH($A57,'实盘净值数据(iFinD公式)'!$B$3:$Y$3,0))/G$85,G93)</f>
        <v>0</v>
      </c>
      <c r="H57" s="55">
        <f ca="1">IFERROR(INDEX(分期持仓明细!$B$5:$Y$200,H$82-4,MATCH(LEFT($A57,6),分期持仓明细!$B$3:$Y$3,0))*INDEX('实盘净值数据(iFinD公式)'!$B$5:$Y$1000,$B$81,MATCH($A57,'实盘净值数据(iFinD公式)'!$B$3:$Y$3,0))/INDEX('实盘净值数据(iFinD公式)'!$B$5:$Y$1000,MATCH(H$84,'实盘净值数据(iFinD公式)'!$A$5:$A$1000,0),MATCH($A57,'实盘净值数据(iFinD公式)'!$B$3:$Y$3,0))/H$85,H93)</f>
        <v>0</v>
      </c>
      <c r="I57" s="55">
        <f ca="1">IFERROR(INDEX(分期持仓明细!$B$5:$Y$200,I$82-4,MATCH(LEFT($A57,6),分期持仓明细!$B$3:$Y$3,0))*INDEX('实盘净值数据(iFinD公式)'!$B$5:$Y$1000,$B$81,MATCH($A57,'实盘净值数据(iFinD公式)'!$B$3:$Y$3,0))/INDEX('实盘净值数据(iFinD公式)'!$B$5:$Y$1000,MATCH(I$84,'实盘净值数据(iFinD公式)'!$A$5:$A$1000,0),MATCH($A57,'实盘净值数据(iFinD公式)'!$B$3:$Y$3,0))/I$85,I93)</f>
        <v>0</v>
      </c>
      <c r="J57" s="55">
        <f ca="1">IFERROR(INDEX(分期持仓明细!$B$5:$Y$200,J$82-4,MATCH(LEFT($A57,6),分期持仓明细!$B$3:$Y$3,0))*INDEX('实盘净值数据(iFinD公式)'!$B$5:$Y$1000,$B$81,MATCH($A57,'实盘净值数据(iFinD公式)'!$B$3:$Y$3,0))/INDEX('实盘净值数据(iFinD公式)'!$B$5:$Y$1000,MATCH(J$84,'实盘净值数据(iFinD公式)'!$A$5:$A$1000,0),MATCH($A57,'实盘净值数据(iFinD公式)'!$B$3:$Y$3,0))/J$85,J93)</f>
        <v>1.2645746339487578E-2</v>
      </c>
      <c r="K57" s="55">
        <f ca="1">IFERROR(INDEX(分期持仓明细!$B$5:$Y$200,K$82-4,MATCH(LEFT($A57,6),分期持仓明细!$B$3:$Y$3,0))*INDEX('实盘净值数据(iFinD公式)'!$B$5:$Y$1000,$B$81,MATCH($A57,'实盘净值数据(iFinD公式)'!$B$3:$Y$3,0))/INDEX('实盘净值数据(iFinD公式)'!$B$5:$Y$1000,MATCH(K$84,'实盘净值数据(iFinD公式)'!$A$5:$A$1000,0),MATCH($A57,'实盘净值数据(iFinD公式)'!$B$3:$Y$3,0))/K$85,K93)</f>
        <v>0</v>
      </c>
      <c r="L57" s="55">
        <f ca="1">IFERROR(INDEX(分期持仓明细!$B$5:$Y$200,L$82-4,MATCH(LEFT($A57,6),分期持仓明细!$B$3:$Y$3,0))*INDEX('实盘净值数据(iFinD公式)'!$B$5:$Y$1000,$B$81,MATCH($A57,'实盘净值数据(iFinD公式)'!$B$3:$Y$3,0))/INDEX('实盘净值数据(iFinD公式)'!$B$5:$Y$1000,MATCH(L$84,'实盘净值数据(iFinD公式)'!$A$5:$A$1000,0),MATCH($A57,'实盘净值数据(iFinD公式)'!$B$3:$Y$3,0))/L$85,L93)</f>
        <v>3.8096505546791906E-2</v>
      </c>
      <c r="M57" t="str">
        <f ca="1">IF(G57&gt;0,COUNTIF(G$53:G57,"&gt;0"),"")</f>
        <v/>
      </c>
      <c r="N57" t="str">
        <f ca="1">IF(H57&gt;0,COUNTIF(H$53:H57,"&gt;0"),"")</f>
        <v/>
      </c>
      <c r="O57" t="str">
        <f ca="1">IF(I57&gt;0,COUNTIF(I$53:I57,"&gt;0"),"")</f>
        <v/>
      </c>
      <c r="P57">
        <f ca="1">IF(J57&gt;0,COUNTIF(J$53:J57,"&gt;0"),"")</f>
        <v>3</v>
      </c>
      <c r="Q57" t="str">
        <f ca="1">IF(K57&gt;0,COUNTIF(K$53:K57,"&gt;0"),"")</f>
        <v/>
      </c>
      <c r="R57">
        <f ca="1">IF(L57&gt;0,COUNTIF(L$53:L57,"&gt;0"),"")</f>
        <v>3</v>
      </c>
    </row>
    <row r="58" spans="1:18" ht="13">
      <c r="A58" s="54" t="s">
        <v>34</v>
      </c>
      <c r="B58" s="52" t="s">
        <v>250</v>
      </c>
      <c r="C58" s="54" t="s">
        <v>242</v>
      </c>
      <c r="D58" s="54" t="s">
        <v>230</v>
      </c>
      <c r="E58" s="54" t="s">
        <v>251</v>
      </c>
      <c r="F58" s="54" t="s">
        <v>244</v>
      </c>
      <c r="G58" s="55">
        <f ca="1">IFERROR(INDEX(分期持仓明细!$B$5:$Y$200,G$82-4,MATCH(LEFT($A58,6),分期持仓明细!$B$3:$Y$3,0))*INDEX('实盘净值数据(iFinD公式)'!$B$5:$Y$1000,$B$81,MATCH($A58,'实盘净值数据(iFinD公式)'!$B$3:$Y$3,0))/INDEX('实盘净值数据(iFinD公式)'!$B$5:$Y$1000,MATCH(G$84,'实盘净值数据(iFinD公式)'!$A$5:$A$1000,0),MATCH($A58,'实盘净值数据(iFinD公式)'!$B$3:$Y$3,0))/G$85,G94)</f>
        <v>0</v>
      </c>
      <c r="H58" s="55">
        <f ca="1">IFERROR(INDEX(分期持仓明细!$B$5:$Y$200,H$82-4,MATCH(LEFT($A58,6),分期持仓明细!$B$3:$Y$3,0))*INDEX('实盘净值数据(iFinD公式)'!$B$5:$Y$1000,$B$81,MATCH($A58,'实盘净值数据(iFinD公式)'!$B$3:$Y$3,0))/INDEX('实盘净值数据(iFinD公式)'!$B$5:$Y$1000,MATCH(H$84,'实盘净值数据(iFinD公式)'!$A$5:$A$1000,0),MATCH($A58,'实盘净值数据(iFinD公式)'!$B$3:$Y$3,0))/H$85,H94)</f>
        <v>0</v>
      </c>
      <c r="I58" s="55">
        <f ca="1">IFERROR(INDEX(分期持仓明细!$B$5:$Y$200,I$82-4,MATCH(LEFT($A58,6),分期持仓明细!$B$3:$Y$3,0))*INDEX('实盘净值数据(iFinD公式)'!$B$5:$Y$1000,$B$81,MATCH($A58,'实盘净值数据(iFinD公式)'!$B$3:$Y$3,0))/INDEX('实盘净值数据(iFinD公式)'!$B$5:$Y$1000,MATCH(I$84,'实盘净值数据(iFinD公式)'!$A$5:$A$1000,0),MATCH($A58,'实盘净值数据(iFinD公式)'!$B$3:$Y$3,0))/I$85,I94)</f>
        <v>0</v>
      </c>
      <c r="J58" s="55">
        <f ca="1">IFERROR(INDEX(分期持仓明细!$B$5:$Y$200,J$82-4,MATCH(LEFT($A58,6),分期持仓明细!$B$3:$Y$3,0))*INDEX('实盘净值数据(iFinD公式)'!$B$5:$Y$1000,$B$81,MATCH($A58,'实盘净值数据(iFinD公式)'!$B$3:$Y$3,0))/INDEX('实盘净值数据(iFinD公式)'!$B$5:$Y$1000,MATCH(J$84,'实盘净值数据(iFinD公式)'!$A$5:$A$1000,0),MATCH($A58,'实盘净值数据(iFinD公式)'!$B$3:$Y$3,0))/J$85,J94)</f>
        <v>0</v>
      </c>
      <c r="K58" s="55">
        <f ca="1">IFERROR(INDEX(分期持仓明细!$B$5:$Y$200,K$82-4,MATCH(LEFT($A58,6),分期持仓明细!$B$3:$Y$3,0))*INDEX('实盘净值数据(iFinD公式)'!$B$5:$Y$1000,$B$81,MATCH($A58,'实盘净值数据(iFinD公式)'!$B$3:$Y$3,0))/INDEX('实盘净值数据(iFinD公式)'!$B$5:$Y$1000,MATCH(K$84,'实盘净值数据(iFinD公式)'!$A$5:$A$1000,0),MATCH($A58,'实盘净值数据(iFinD公式)'!$B$3:$Y$3,0))/K$85,K94)</f>
        <v>0</v>
      </c>
      <c r="L58" s="55">
        <f ca="1">IFERROR(INDEX(分期持仓明细!$B$5:$Y$200,L$82-4,MATCH(LEFT($A58,6),分期持仓明细!$B$3:$Y$3,0))*INDEX('实盘净值数据(iFinD公式)'!$B$5:$Y$1000,$B$81,MATCH($A58,'实盘净值数据(iFinD公式)'!$B$3:$Y$3,0))/INDEX('实盘净值数据(iFinD公式)'!$B$5:$Y$1000,MATCH(L$84,'实盘净值数据(iFinD公式)'!$A$5:$A$1000,0),MATCH($A58,'实盘净值数据(iFinD公式)'!$B$3:$Y$3,0))/L$85,L94)</f>
        <v>0</v>
      </c>
      <c r="M58" t="str">
        <f ca="1">IF(G58&gt;0,COUNTIF(G$53:G58,"&gt;0"),"")</f>
        <v/>
      </c>
      <c r="N58" t="str">
        <f ca="1">IF(H58&gt;0,COUNTIF(H$53:H58,"&gt;0"),"")</f>
        <v/>
      </c>
      <c r="O58" t="str">
        <f ca="1">IF(I58&gt;0,COUNTIF(I$53:I58,"&gt;0"),"")</f>
        <v/>
      </c>
      <c r="P58" t="str">
        <f ca="1">IF(J58&gt;0,COUNTIF(J$53:J58,"&gt;0"),"")</f>
        <v/>
      </c>
      <c r="Q58" t="str">
        <f ca="1">IF(K58&gt;0,COUNTIF(K$53:K58,"&gt;0"),"")</f>
        <v/>
      </c>
      <c r="R58" t="str">
        <f ca="1">IF(L58&gt;0,COUNTIF(L$53:L58,"&gt;0"),"")</f>
        <v/>
      </c>
    </row>
    <row r="59" spans="1:18" ht="13">
      <c r="A59" s="54" t="s">
        <v>35</v>
      </c>
      <c r="B59" s="52" t="s">
        <v>252</v>
      </c>
      <c r="C59" s="54" t="s">
        <v>242</v>
      </c>
      <c r="D59" s="54" t="s">
        <v>230</v>
      </c>
      <c r="E59" s="54" t="s">
        <v>251</v>
      </c>
      <c r="F59" s="54" t="s">
        <v>249</v>
      </c>
      <c r="G59" s="55">
        <f ca="1">IFERROR(INDEX(分期持仓明细!$B$5:$Y$200,G$82-4,MATCH(LEFT($A59,6),分期持仓明细!$B$3:$Y$3,0))*INDEX('实盘净值数据(iFinD公式)'!$B$5:$Y$1000,$B$81,MATCH($A59,'实盘净值数据(iFinD公式)'!$B$3:$Y$3,0))/INDEX('实盘净值数据(iFinD公式)'!$B$5:$Y$1000,MATCH(G$84,'实盘净值数据(iFinD公式)'!$A$5:$A$1000,0),MATCH($A59,'实盘净值数据(iFinD公式)'!$B$3:$Y$3,0))/G$85,G95)</f>
        <v>0</v>
      </c>
      <c r="H59" s="55">
        <f ca="1">IFERROR(INDEX(分期持仓明细!$B$5:$Y$200,H$82-4,MATCH(LEFT($A59,6),分期持仓明细!$B$3:$Y$3,0))*INDEX('实盘净值数据(iFinD公式)'!$B$5:$Y$1000,$B$81,MATCH($A59,'实盘净值数据(iFinD公式)'!$B$3:$Y$3,0))/INDEX('实盘净值数据(iFinD公式)'!$B$5:$Y$1000,MATCH(H$84,'实盘净值数据(iFinD公式)'!$A$5:$A$1000,0),MATCH($A59,'实盘净值数据(iFinD公式)'!$B$3:$Y$3,0))/H$85,H95)</f>
        <v>0</v>
      </c>
      <c r="I59" s="55">
        <f ca="1">IFERROR(INDEX(分期持仓明细!$B$5:$Y$200,I$82-4,MATCH(LEFT($A59,6),分期持仓明细!$B$3:$Y$3,0))*INDEX('实盘净值数据(iFinD公式)'!$B$5:$Y$1000,$B$81,MATCH($A59,'实盘净值数据(iFinD公式)'!$B$3:$Y$3,0))/INDEX('实盘净值数据(iFinD公式)'!$B$5:$Y$1000,MATCH(I$84,'实盘净值数据(iFinD公式)'!$A$5:$A$1000,0),MATCH($A59,'实盘净值数据(iFinD公式)'!$B$3:$Y$3,0))/I$85,I95)</f>
        <v>0</v>
      </c>
      <c r="J59" s="55">
        <f ca="1">IFERROR(INDEX(分期持仓明细!$B$5:$Y$200,J$82-4,MATCH(LEFT($A59,6),分期持仓明细!$B$3:$Y$3,0))*INDEX('实盘净值数据(iFinD公式)'!$B$5:$Y$1000,$B$81,MATCH($A59,'实盘净值数据(iFinD公式)'!$B$3:$Y$3,0))/INDEX('实盘净值数据(iFinD公式)'!$B$5:$Y$1000,MATCH(J$84,'实盘净值数据(iFinD公式)'!$A$5:$A$1000,0),MATCH($A59,'实盘净值数据(iFinD公式)'!$B$3:$Y$3,0))/J$85,J95)</f>
        <v>0</v>
      </c>
      <c r="K59" s="55">
        <f ca="1">IFERROR(INDEX(分期持仓明细!$B$5:$Y$200,K$82-4,MATCH(LEFT($A59,6),分期持仓明细!$B$3:$Y$3,0))*INDEX('实盘净值数据(iFinD公式)'!$B$5:$Y$1000,$B$81,MATCH($A59,'实盘净值数据(iFinD公式)'!$B$3:$Y$3,0))/INDEX('实盘净值数据(iFinD公式)'!$B$5:$Y$1000,MATCH(K$84,'实盘净值数据(iFinD公式)'!$A$5:$A$1000,0),MATCH($A59,'实盘净值数据(iFinD公式)'!$B$3:$Y$3,0))/K$85,K95)</f>
        <v>0</v>
      </c>
      <c r="L59" s="55">
        <f ca="1">IFERROR(INDEX(分期持仓明细!$B$5:$Y$200,L$82-4,MATCH(LEFT($A59,6),分期持仓明细!$B$3:$Y$3,0))*INDEX('实盘净值数据(iFinD公式)'!$B$5:$Y$1000,$B$81,MATCH($A59,'实盘净值数据(iFinD公式)'!$B$3:$Y$3,0))/INDEX('实盘净值数据(iFinD公式)'!$B$5:$Y$1000,MATCH(L$84,'实盘净值数据(iFinD公式)'!$A$5:$A$1000,0),MATCH($A59,'实盘净值数据(iFinD公式)'!$B$3:$Y$3,0))/L$85,L95)</f>
        <v>0</v>
      </c>
      <c r="M59" t="str">
        <f ca="1">IF(G59&gt;0,COUNTIF(G$53:G59,"&gt;0"),"")</f>
        <v/>
      </c>
      <c r="N59" t="str">
        <f ca="1">IF(H59&gt;0,COUNTIF(H$53:H59,"&gt;0"),"")</f>
        <v/>
      </c>
      <c r="O59" t="str">
        <f ca="1">IF(I59&gt;0,COUNTIF(I$53:I59,"&gt;0"),"")</f>
        <v/>
      </c>
      <c r="P59" t="str">
        <f ca="1">IF(J59&gt;0,COUNTIF(J$53:J59,"&gt;0"),"")</f>
        <v/>
      </c>
      <c r="Q59" t="str">
        <f ca="1">IF(K59&gt;0,COUNTIF(K$53:K59,"&gt;0"),"")</f>
        <v/>
      </c>
      <c r="R59" t="str">
        <f ca="1">IF(L59&gt;0,COUNTIF(L$53:L59,"&gt;0"),"")</f>
        <v/>
      </c>
    </row>
    <row r="60" spans="1:18" ht="13">
      <c r="A60" s="54" t="s">
        <v>36</v>
      </c>
      <c r="B60" s="52" t="s">
        <v>9</v>
      </c>
      <c r="C60" s="54" t="s">
        <v>242</v>
      </c>
      <c r="D60" s="54" t="s">
        <v>230</v>
      </c>
      <c r="E60" s="54" t="s">
        <v>243</v>
      </c>
      <c r="F60" s="54" t="s">
        <v>240</v>
      </c>
      <c r="G60" s="55">
        <f ca="1">IFERROR(INDEX(分期持仓明细!$B$5:$Y$200,G$82-4,MATCH(LEFT($A60,6),分期持仓明细!$B$3:$Y$3,0))*INDEX('实盘净值数据(iFinD公式)'!$B$5:$Y$1000,$B$81,MATCH($A60,'实盘净值数据(iFinD公式)'!$B$3:$Y$3,0))/INDEX('实盘净值数据(iFinD公式)'!$B$5:$Y$1000,MATCH(G$84,'实盘净值数据(iFinD公式)'!$A$5:$A$1000,0),MATCH($A60,'实盘净值数据(iFinD公式)'!$B$3:$Y$3,0))/G$85,G96)</f>
        <v>0</v>
      </c>
      <c r="H60" s="55">
        <f ca="1">IFERROR(INDEX(分期持仓明细!$B$5:$Y$200,H$82-4,MATCH(LEFT($A60,6),分期持仓明细!$B$3:$Y$3,0))*INDEX('实盘净值数据(iFinD公式)'!$B$5:$Y$1000,$B$81,MATCH($A60,'实盘净值数据(iFinD公式)'!$B$3:$Y$3,0))/INDEX('实盘净值数据(iFinD公式)'!$B$5:$Y$1000,MATCH(H$84,'实盘净值数据(iFinD公式)'!$A$5:$A$1000,0),MATCH($A60,'实盘净值数据(iFinD公式)'!$B$3:$Y$3,0))/H$85,H96)</f>
        <v>0</v>
      </c>
      <c r="I60" s="55">
        <f ca="1">IFERROR(INDEX(分期持仓明细!$B$5:$Y$200,I$82-4,MATCH(LEFT($A60,6),分期持仓明细!$B$3:$Y$3,0))*INDEX('实盘净值数据(iFinD公式)'!$B$5:$Y$1000,$B$81,MATCH($A60,'实盘净值数据(iFinD公式)'!$B$3:$Y$3,0))/INDEX('实盘净值数据(iFinD公式)'!$B$5:$Y$1000,MATCH(I$84,'实盘净值数据(iFinD公式)'!$A$5:$A$1000,0),MATCH($A60,'实盘净值数据(iFinD公式)'!$B$3:$Y$3,0))/I$85,I96)</f>
        <v>0.18323180732682925</v>
      </c>
      <c r="J60" s="55">
        <f ca="1">IFERROR(INDEX(分期持仓明细!$B$5:$Y$200,J$82-4,MATCH(LEFT($A60,6),分期持仓明细!$B$3:$Y$3,0))*INDEX('实盘净值数据(iFinD公式)'!$B$5:$Y$1000,$B$81,MATCH($A60,'实盘净值数据(iFinD公式)'!$B$3:$Y$3,0))/INDEX('实盘净值数据(iFinD公式)'!$B$5:$Y$1000,MATCH(J$84,'实盘净值数据(iFinD公式)'!$A$5:$A$1000,0),MATCH($A60,'实盘净值数据(iFinD公式)'!$B$3:$Y$3,0))/J$85,J96)</f>
        <v>9.0505353081878296E-3</v>
      </c>
      <c r="K60" s="55">
        <f ca="1">IFERROR(INDEX(分期持仓明细!$B$5:$Y$200,K$82-4,MATCH(LEFT($A60,6),分期持仓明细!$B$3:$Y$3,0))*INDEX('实盘净值数据(iFinD公式)'!$B$5:$Y$1000,$B$81,MATCH($A60,'实盘净值数据(iFinD公式)'!$B$3:$Y$3,0))/INDEX('实盘净值数据(iFinD公式)'!$B$5:$Y$1000,MATCH(K$84,'实盘净值数据(iFinD公式)'!$A$5:$A$1000,0),MATCH($A60,'实盘净值数据(iFinD公式)'!$B$3:$Y$3,0))/K$85,K96)</f>
        <v>0</v>
      </c>
      <c r="L60" s="55">
        <f ca="1">IFERROR(INDEX(分期持仓明细!$B$5:$Y$200,L$82-4,MATCH(LEFT($A60,6),分期持仓明细!$B$3:$Y$3,0))*INDEX('实盘净值数据(iFinD公式)'!$B$5:$Y$1000,$B$81,MATCH($A60,'实盘净值数据(iFinD公式)'!$B$3:$Y$3,0))/INDEX('实盘净值数据(iFinD公式)'!$B$5:$Y$1000,MATCH(L$84,'实盘净值数据(iFinD公式)'!$A$5:$A$1000,0),MATCH($A60,'实盘净值数据(iFinD公式)'!$B$3:$Y$3,0))/L$85,L96)</f>
        <v>2.7266269614164042E-2</v>
      </c>
      <c r="M60" t="str">
        <f ca="1">IF(G60&gt;0,COUNTIF(G$53:G60,"&gt;0"),"")</f>
        <v/>
      </c>
      <c r="N60" t="str">
        <f ca="1">IF(H60&gt;0,COUNTIF(H$53:H60,"&gt;0"),"")</f>
        <v/>
      </c>
      <c r="O60">
        <f ca="1">IF(I60&gt;0,COUNTIF(I$53:I60,"&gt;0"),"")</f>
        <v>2</v>
      </c>
      <c r="P60">
        <f ca="1">IF(J60&gt;0,COUNTIF(J$53:J60,"&gt;0"),"")</f>
        <v>4</v>
      </c>
      <c r="Q60" t="str">
        <f ca="1">IF(K60&gt;0,COUNTIF(K$53:K60,"&gt;0"),"")</f>
        <v/>
      </c>
      <c r="R60">
        <f ca="1">IF(L60&gt;0,COUNTIF(L$53:L60,"&gt;0"),"")</f>
        <v>4</v>
      </c>
    </row>
    <row r="61" spans="1:18" ht="13">
      <c r="A61" s="54" t="s">
        <v>37</v>
      </c>
      <c r="B61" s="52" t="s">
        <v>253</v>
      </c>
      <c r="C61" s="54" t="s">
        <v>242</v>
      </c>
      <c r="D61" s="54" t="s">
        <v>230</v>
      </c>
      <c r="E61" s="54" t="s">
        <v>243</v>
      </c>
      <c r="F61" s="54" t="s">
        <v>244</v>
      </c>
      <c r="G61" s="55">
        <f ca="1">IFERROR(INDEX(分期持仓明细!$B$5:$Y$200,G$82-4,MATCH(LEFT($A61,6),分期持仓明细!$B$3:$Y$3,0))*INDEX('实盘净值数据(iFinD公式)'!$B$5:$Y$1000,$B$81,MATCH($A61,'实盘净值数据(iFinD公式)'!$B$3:$Y$3,0))/INDEX('实盘净值数据(iFinD公式)'!$B$5:$Y$1000,MATCH(G$84,'实盘净值数据(iFinD公式)'!$A$5:$A$1000,0),MATCH($A61,'实盘净值数据(iFinD公式)'!$B$3:$Y$3,0))/G$85,G97)</f>
        <v>0.2270099824397086</v>
      </c>
      <c r="H61" s="55">
        <f ca="1">IFERROR(INDEX(分期持仓明细!$B$5:$Y$200,H$82-4,MATCH(LEFT($A61,6),分期持仓明细!$B$3:$Y$3,0))*INDEX('实盘净值数据(iFinD公式)'!$B$5:$Y$1000,$B$81,MATCH($A61,'实盘净值数据(iFinD公式)'!$B$3:$Y$3,0))/INDEX('实盘净值数据(iFinD公式)'!$B$5:$Y$1000,MATCH(H$84,'实盘净值数据(iFinD公式)'!$A$5:$A$1000,0),MATCH($A61,'实盘净值数据(iFinD公式)'!$B$3:$Y$3,0))/H$85,H97)</f>
        <v>0.22538930520198139</v>
      </c>
      <c r="I61" s="55">
        <f ca="1">IFERROR(INDEX(分期持仓明细!$B$5:$Y$200,I$82-4,MATCH(LEFT($A61,6),分期持仓明细!$B$3:$Y$3,0))*INDEX('实盘净值数据(iFinD公式)'!$B$5:$Y$1000,$B$81,MATCH($A61,'实盘净值数据(iFinD公式)'!$B$3:$Y$3,0))/INDEX('实盘净值数据(iFinD公式)'!$B$5:$Y$1000,MATCH(I$84,'实盘净值数据(iFinD公式)'!$A$5:$A$1000,0),MATCH($A61,'实盘净值数据(iFinD公式)'!$B$3:$Y$3,0))/I$85,I97)</f>
        <v>0</v>
      </c>
      <c r="J61" s="55">
        <f ca="1">IFERROR(INDEX(分期持仓明细!$B$5:$Y$200,J$82-4,MATCH(LEFT($A61,6),分期持仓明细!$B$3:$Y$3,0))*INDEX('实盘净值数据(iFinD公式)'!$B$5:$Y$1000,$B$81,MATCH($A61,'实盘净值数据(iFinD公式)'!$B$3:$Y$3,0))/INDEX('实盘净值数据(iFinD公式)'!$B$5:$Y$1000,MATCH(J$84,'实盘净值数据(iFinD公式)'!$A$5:$A$1000,0),MATCH($A61,'实盘净值数据(iFinD公式)'!$B$3:$Y$3,0))/J$85,J97)</f>
        <v>0</v>
      </c>
      <c r="K61" s="55">
        <f ca="1">IFERROR(INDEX(分期持仓明细!$B$5:$Y$200,K$82-4,MATCH(LEFT($A61,6),分期持仓明细!$B$3:$Y$3,0))*INDEX('实盘净值数据(iFinD公式)'!$B$5:$Y$1000,$B$81,MATCH($A61,'实盘净值数据(iFinD公式)'!$B$3:$Y$3,0))/INDEX('实盘净值数据(iFinD公式)'!$B$5:$Y$1000,MATCH(K$84,'实盘净值数据(iFinD公式)'!$A$5:$A$1000,0),MATCH($A61,'实盘净值数据(iFinD公式)'!$B$3:$Y$3,0))/K$85,K97)</f>
        <v>1.1101545952234853E-2</v>
      </c>
      <c r="L61" s="55">
        <f ca="1">IFERROR(INDEX(分期持仓明细!$B$5:$Y$200,L$82-4,MATCH(LEFT($A61,6),分期持仓明细!$B$3:$Y$3,0))*INDEX('实盘净值数据(iFinD公式)'!$B$5:$Y$1000,$B$81,MATCH($A61,'实盘净值数据(iFinD公式)'!$B$3:$Y$3,0))/INDEX('实盘净值数据(iFinD公式)'!$B$5:$Y$1000,MATCH(L$84,'实盘净值数据(iFinD公式)'!$A$5:$A$1000,0),MATCH($A61,'实盘净值数据(iFinD公式)'!$B$3:$Y$3,0))/L$85,L97)</f>
        <v>0</v>
      </c>
      <c r="M61">
        <f ca="1">IF(G61&gt;0,COUNTIF(G$53:G61,"&gt;0"),"")</f>
        <v>3</v>
      </c>
      <c r="N61">
        <f ca="1">IF(H61&gt;0,COUNTIF(H$53:H61,"&gt;0"),"")</f>
        <v>3</v>
      </c>
      <c r="O61" t="str">
        <f ca="1">IF(I61&gt;0,COUNTIF(I$53:I61,"&gt;0"),"")</f>
        <v/>
      </c>
      <c r="P61" t="str">
        <f ca="1">IF(J61&gt;0,COUNTIF(J$53:J61,"&gt;0"),"")</f>
        <v/>
      </c>
      <c r="Q61">
        <f ca="1">IF(K61&gt;0,COUNTIF(K$53:K61,"&gt;0"),"")</f>
        <v>5</v>
      </c>
      <c r="R61" t="str">
        <f ca="1">IF(L61&gt;0,COUNTIF(L$53:L61,"&gt;0"),"")</f>
        <v/>
      </c>
    </row>
    <row r="62" spans="1:18" ht="13">
      <c r="A62" s="54" t="s">
        <v>38</v>
      </c>
      <c r="B62" s="52" t="s">
        <v>254</v>
      </c>
      <c r="C62" s="54" t="s">
        <v>242</v>
      </c>
      <c r="D62" s="54" t="s">
        <v>230</v>
      </c>
      <c r="E62" s="54" t="s">
        <v>243</v>
      </c>
      <c r="F62" s="54" t="s">
        <v>249</v>
      </c>
      <c r="G62" s="55">
        <f ca="1">IFERROR(INDEX(分期持仓明细!$B$5:$Y$200,G$82-4,MATCH(LEFT($A62,6),分期持仓明细!$B$3:$Y$3,0))*INDEX('实盘净值数据(iFinD公式)'!$B$5:$Y$1000,$B$81,MATCH($A62,'实盘净值数据(iFinD公式)'!$B$3:$Y$3,0))/INDEX('实盘净值数据(iFinD公式)'!$B$5:$Y$1000,MATCH(G$84,'实盘净值数据(iFinD公式)'!$A$5:$A$1000,0),MATCH($A62,'实盘净值数据(iFinD公式)'!$B$3:$Y$3,0))/G$85,G98)</f>
        <v>0</v>
      </c>
      <c r="H62" s="55">
        <f ca="1">IFERROR(INDEX(分期持仓明细!$B$5:$Y$200,H$82-4,MATCH(LEFT($A62,6),分期持仓明细!$B$3:$Y$3,0))*INDEX('实盘净值数据(iFinD公式)'!$B$5:$Y$1000,$B$81,MATCH($A62,'实盘净值数据(iFinD公式)'!$B$3:$Y$3,0))/INDEX('实盘净值数据(iFinD公式)'!$B$5:$Y$1000,MATCH(H$84,'实盘净值数据(iFinD公式)'!$A$5:$A$1000,0),MATCH($A62,'实盘净值数据(iFinD公式)'!$B$3:$Y$3,0))/H$85,H98)</f>
        <v>0</v>
      </c>
      <c r="I62" s="55">
        <f ca="1">IFERROR(INDEX(分期持仓明细!$B$5:$Y$200,I$82-4,MATCH(LEFT($A62,6),分期持仓明细!$B$3:$Y$3,0))*INDEX('实盘净值数据(iFinD公式)'!$B$5:$Y$1000,$B$81,MATCH($A62,'实盘净值数据(iFinD公式)'!$B$3:$Y$3,0))/INDEX('实盘净值数据(iFinD公式)'!$B$5:$Y$1000,MATCH(I$84,'实盘净值数据(iFinD公式)'!$A$5:$A$1000,0),MATCH($A62,'实盘净值数据(iFinD公式)'!$B$3:$Y$3,0))/I$85,I98)</f>
        <v>0.22124738215675729</v>
      </c>
      <c r="J62" s="55">
        <f ca="1">IFERROR(INDEX(分期持仓明细!$B$5:$Y$200,J$82-4,MATCH(LEFT($A62,6),分期持仓明细!$B$3:$Y$3,0))*INDEX('实盘净值数据(iFinD公式)'!$B$5:$Y$1000,$B$81,MATCH($A62,'实盘净值数据(iFinD公式)'!$B$3:$Y$3,0))/INDEX('实盘净值数据(iFinD公式)'!$B$5:$Y$1000,MATCH(J$84,'实盘净值数据(iFinD公式)'!$A$5:$A$1000,0),MATCH($A62,'实盘净值数据(iFinD公式)'!$B$3:$Y$3,0))/J$85,J98)</f>
        <v>1.0028902313980468E-2</v>
      </c>
      <c r="K62" s="55">
        <f ca="1">IFERROR(INDEX(分期持仓明细!$B$5:$Y$200,K$82-4,MATCH(LEFT($A62,6),分期持仓明细!$B$3:$Y$3,0))*INDEX('实盘净值数据(iFinD公式)'!$B$5:$Y$1000,$B$81,MATCH($A62,'实盘净值数据(iFinD公式)'!$B$3:$Y$3,0))/INDEX('实盘净值数据(iFinD公式)'!$B$5:$Y$1000,MATCH(K$84,'实盘净值数据(iFinD公式)'!$A$5:$A$1000,0),MATCH($A62,'实盘净值数据(iFinD公式)'!$B$3:$Y$3,0))/K$85,K98)</f>
        <v>0</v>
      </c>
      <c r="L62" s="55">
        <f ca="1">IFERROR(INDEX(分期持仓明细!$B$5:$Y$200,L$82-4,MATCH(LEFT($A62,6),分期持仓明细!$B$3:$Y$3,0))*INDEX('实盘净值数据(iFinD公式)'!$B$5:$Y$1000,$B$81,MATCH($A62,'实盘净值数据(iFinD公式)'!$B$3:$Y$3,0))/INDEX('实盘净值数据(iFinD公式)'!$B$5:$Y$1000,MATCH(L$84,'实盘净值数据(iFinD公式)'!$A$5:$A$1000,0),MATCH($A62,'实盘净值数据(iFinD公式)'!$B$3:$Y$3,0))/L$85,L98)</f>
        <v>3.0212746903243208E-2</v>
      </c>
      <c r="M62" t="str">
        <f ca="1">IF(G62&gt;0,COUNTIF(G$53:G62,"&gt;0"),"")</f>
        <v/>
      </c>
      <c r="N62" t="str">
        <f ca="1">IF(H62&gt;0,COUNTIF(H$53:H62,"&gt;0"),"")</f>
        <v/>
      </c>
      <c r="O62">
        <f ca="1">IF(I62&gt;0,COUNTIF(I$53:I62,"&gt;0"),"")</f>
        <v>3</v>
      </c>
      <c r="P62">
        <f ca="1">IF(J62&gt;0,COUNTIF(J$53:J62,"&gt;0"),"")</f>
        <v>5</v>
      </c>
      <c r="Q62" t="str">
        <f ca="1">IF(K62&gt;0,COUNTIF(K$53:K62,"&gt;0"),"")</f>
        <v/>
      </c>
      <c r="R62">
        <f ca="1">IF(L62&gt;0,COUNTIF(L$53:L62,"&gt;0"),"")</f>
        <v>5</v>
      </c>
    </row>
    <row r="63" spans="1:18" ht="13">
      <c r="A63" s="54" t="s">
        <v>39</v>
      </c>
      <c r="B63" s="52" t="s">
        <v>255</v>
      </c>
      <c r="C63" s="54" t="s">
        <v>242</v>
      </c>
      <c r="D63" s="54" t="s">
        <v>246</v>
      </c>
      <c r="E63" s="54" t="s">
        <v>246</v>
      </c>
      <c r="F63" s="54" t="s">
        <v>247</v>
      </c>
      <c r="G63" s="55">
        <f ca="1">IFERROR(INDEX(分期持仓明细!$B$5:$Y$200,G$82-4,MATCH(LEFT($A63,6),分期持仓明细!$B$3:$Y$3,0))*INDEX('实盘净值数据(iFinD公式)'!$B$5:$Y$1000,$B$81,MATCH($A63,'实盘净值数据(iFinD公式)'!$B$3:$Y$3,0))/INDEX('实盘净值数据(iFinD公式)'!$B$5:$Y$1000,MATCH(G$84,'实盘净值数据(iFinD公式)'!$A$5:$A$1000,0),MATCH($A63,'实盘净值数据(iFinD公式)'!$B$3:$Y$3,0))/G$85,G99)</f>
        <v>0</v>
      </c>
      <c r="H63" s="55">
        <f ca="1">IFERROR(INDEX(分期持仓明细!$B$5:$Y$200,H$82-4,MATCH(LEFT($A63,6),分期持仓明细!$B$3:$Y$3,0))*INDEX('实盘净值数据(iFinD公式)'!$B$5:$Y$1000,$B$81,MATCH($A63,'实盘净值数据(iFinD公式)'!$B$3:$Y$3,0))/INDEX('实盘净值数据(iFinD公式)'!$B$5:$Y$1000,MATCH(H$84,'实盘净值数据(iFinD公式)'!$A$5:$A$1000,0),MATCH($A63,'实盘净值数据(iFinD公式)'!$B$3:$Y$3,0))/H$85,H99)</f>
        <v>0</v>
      </c>
      <c r="I63" s="55">
        <f ca="1">IFERROR(INDEX(分期持仓明细!$B$5:$Y$200,I$82-4,MATCH(LEFT($A63,6),分期持仓明细!$B$3:$Y$3,0))*INDEX('实盘净值数据(iFinD公式)'!$B$5:$Y$1000,$B$81,MATCH($A63,'实盘净值数据(iFinD公式)'!$B$3:$Y$3,0))/INDEX('实盘净值数据(iFinD公式)'!$B$5:$Y$1000,MATCH(I$84,'实盘净值数据(iFinD公式)'!$A$5:$A$1000,0),MATCH($A63,'实盘净值数据(iFinD公式)'!$B$3:$Y$3,0))/I$85,I99)</f>
        <v>0</v>
      </c>
      <c r="J63" s="55">
        <f ca="1">IFERROR(INDEX(分期持仓明细!$B$5:$Y$200,J$82-4,MATCH(LEFT($A63,6),分期持仓明细!$B$3:$Y$3,0))*INDEX('实盘净值数据(iFinD公式)'!$B$5:$Y$1000,$B$81,MATCH($A63,'实盘净值数据(iFinD公式)'!$B$3:$Y$3,0))/INDEX('实盘净值数据(iFinD公式)'!$B$5:$Y$1000,MATCH(J$84,'实盘净值数据(iFinD公式)'!$A$5:$A$1000,0),MATCH($A63,'实盘净值数据(iFinD公式)'!$B$3:$Y$3,0))/J$85,J99)</f>
        <v>0</v>
      </c>
      <c r="K63" s="55">
        <f ca="1">IFERROR(INDEX(分期持仓明细!$B$5:$Y$200,K$82-4,MATCH(LEFT($A63,6),分期持仓明细!$B$3:$Y$3,0))*INDEX('实盘净值数据(iFinD公式)'!$B$5:$Y$1000,$B$81,MATCH($A63,'实盘净值数据(iFinD公式)'!$B$3:$Y$3,0))/INDEX('实盘净值数据(iFinD公式)'!$B$5:$Y$1000,MATCH(K$84,'实盘净值数据(iFinD公式)'!$A$5:$A$1000,0),MATCH($A63,'实盘净值数据(iFinD公式)'!$B$3:$Y$3,0))/K$85,K99)</f>
        <v>1.273107316894671E-2</v>
      </c>
      <c r="L63" s="55">
        <f ca="1">IFERROR(INDEX(分期持仓明细!$B$5:$Y$200,L$82-4,MATCH(LEFT($A63,6),分期持仓明细!$B$3:$Y$3,0))*INDEX('实盘净值数据(iFinD公式)'!$B$5:$Y$1000,$B$81,MATCH($A63,'实盘净值数据(iFinD公式)'!$B$3:$Y$3,0))/INDEX('实盘净值数据(iFinD公式)'!$B$5:$Y$1000,MATCH(L$84,'实盘净值数据(iFinD公式)'!$A$5:$A$1000,0),MATCH($A63,'实盘净值数据(iFinD公式)'!$B$3:$Y$3,0))/L$85,L99)</f>
        <v>0</v>
      </c>
      <c r="M63" t="str">
        <f ca="1">IF(G63&gt;0,COUNTIF(G$53:G63,"&gt;0"),"")</f>
        <v/>
      </c>
      <c r="N63" t="str">
        <f ca="1">IF(H63&gt;0,COUNTIF(H$53:H63,"&gt;0"),"")</f>
        <v/>
      </c>
      <c r="O63" t="str">
        <f ca="1">IF(I63&gt;0,COUNTIF(I$53:I63,"&gt;0"),"")</f>
        <v/>
      </c>
      <c r="P63" t="str">
        <f ca="1">IF(J63&gt;0,COUNTIF(J$53:J63,"&gt;0"),"")</f>
        <v/>
      </c>
      <c r="Q63">
        <f ca="1">IF(K63&gt;0,COUNTIF(K$53:K63,"&gt;0"),"")</f>
        <v>6</v>
      </c>
      <c r="R63" t="str">
        <f ca="1">IF(L63&gt;0,COUNTIF(L$53:L63,"&gt;0"),"")</f>
        <v/>
      </c>
    </row>
    <row r="64" spans="1:18" ht="13">
      <c r="A64" s="54" t="s">
        <v>40</v>
      </c>
      <c r="B64" s="52" t="s">
        <v>256</v>
      </c>
      <c r="C64" s="54" t="s">
        <v>242</v>
      </c>
      <c r="D64" s="54" t="s">
        <v>246</v>
      </c>
      <c r="E64" s="54" t="s">
        <v>246</v>
      </c>
      <c r="F64" s="54" t="s">
        <v>249</v>
      </c>
      <c r="G64" s="55">
        <f ca="1">IFERROR(INDEX(分期持仓明细!$B$5:$Y$200,G$82-4,MATCH(LEFT($A64,6),分期持仓明细!$B$3:$Y$3,0))*INDEX('实盘净值数据(iFinD公式)'!$B$5:$Y$1000,$B$81,MATCH($A64,'实盘净值数据(iFinD公式)'!$B$3:$Y$3,0))/INDEX('实盘净值数据(iFinD公式)'!$B$5:$Y$1000,MATCH(G$84,'实盘净值数据(iFinD公式)'!$A$5:$A$1000,0),MATCH($A64,'实盘净值数据(iFinD公式)'!$B$3:$Y$3,0))/G$85,G100)</f>
        <v>0</v>
      </c>
      <c r="H64" s="55">
        <f ca="1">IFERROR(INDEX(分期持仓明细!$B$5:$Y$200,H$82-4,MATCH(LEFT($A64,6),分期持仓明细!$B$3:$Y$3,0))*INDEX('实盘净值数据(iFinD公式)'!$B$5:$Y$1000,$B$81,MATCH($A64,'实盘净值数据(iFinD公式)'!$B$3:$Y$3,0))/INDEX('实盘净值数据(iFinD公式)'!$B$5:$Y$1000,MATCH(H$84,'实盘净值数据(iFinD公式)'!$A$5:$A$1000,0),MATCH($A64,'实盘净值数据(iFinD公式)'!$B$3:$Y$3,0))/H$85,H100)</f>
        <v>0</v>
      </c>
      <c r="I64" s="55">
        <f ca="1">IFERROR(INDEX(分期持仓明细!$B$5:$Y$200,I$82-4,MATCH(LEFT($A64,6),分期持仓明细!$B$3:$Y$3,0))*INDEX('实盘净值数据(iFinD公式)'!$B$5:$Y$1000,$B$81,MATCH($A64,'实盘净值数据(iFinD公式)'!$B$3:$Y$3,0))/INDEX('实盘净值数据(iFinD公式)'!$B$5:$Y$1000,MATCH(I$84,'实盘净值数据(iFinD公式)'!$A$5:$A$1000,0),MATCH($A64,'实盘净值数据(iFinD公式)'!$B$3:$Y$3,0))/I$85,I100)</f>
        <v>0</v>
      </c>
      <c r="J64" s="55">
        <f ca="1">IFERROR(INDEX(分期持仓明细!$B$5:$Y$200,J$82-4,MATCH(LEFT($A64,6),分期持仓明细!$B$3:$Y$3,0))*INDEX('实盘净值数据(iFinD公式)'!$B$5:$Y$1000,$B$81,MATCH($A64,'实盘净值数据(iFinD公式)'!$B$3:$Y$3,0))/INDEX('实盘净值数据(iFinD公式)'!$B$5:$Y$1000,MATCH(J$84,'实盘净值数据(iFinD公式)'!$A$5:$A$1000,0),MATCH($A64,'实盘净值数据(iFinD公式)'!$B$3:$Y$3,0))/J$85,J100)</f>
        <v>1.2572776241142817E-2</v>
      </c>
      <c r="K64" s="55">
        <f ca="1">IFERROR(INDEX(分期持仓明细!$B$5:$Y$200,K$82-4,MATCH(LEFT($A64,6),分期持仓明细!$B$3:$Y$3,0))*INDEX('实盘净值数据(iFinD公式)'!$B$5:$Y$1000,$B$81,MATCH($A64,'实盘净值数据(iFinD公式)'!$B$3:$Y$3,0))/INDEX('实盘净值数据(iFinD公式)'!$B$5:$Y$1000,MATCH(K$84,'实盘净值数据(iFinD公式)'!$A$5:$A$1000,0),MATCH($A64,'实盘净值数据(iFinD公式)'!$B$3:$Y$3,0))/K$85,K100)</f>
        <v>0</v>
      </c>
      <c r="L64" s="55">
        <f ca="1">IFERROR(INDEX(分期持仓明细!$B$5:$Y$200,L$82-4,MATCH(LEFT($A64,6),分期持仓明细!$B$3:$Y$3,0))*INDEX('实盘净值数据(iFinD公式)'!$B$5:$Y$1000,$B$81,MATCH($A64,'实盘净值数据(iFinD公式)'!$B$3:$Y$3,0))/INDEX('实盘净值数据(iFinD公式)'!$B$5:$Y$1000,MATCH(L$84,'实盘净值数据(iFinD公式)'!$A$5:$A$1000,0),MATCH($A64,'实盘净值数据(iFinD公式)'!$B$3:$Y$3,0))/L$85,L100)</f>
        <v>3.7879306882100464E-2</v>
      </c>
      <c r="M64" t="str">
        <f ca="1">IF(G64&gt;0,COUNTIF(G$53:G64,"&gt;0"),"")</f>
        <v/>
      </c>
      <c r="N64" t="str">
        <f ca="1">IF(H64&gt;0,COUNTIF(H$53:H64,"&gt;0"),"")</f>
        <v/>
      </c>
      <c r="O64" t="str">
        <f ca="1">IF(I64&gt;0,COUNTIF(I$53:I64,"&gt;0"),"")</f>
        <v/>
      </c>
      <c r="P64">
        <f ca="1">IF(J64&gt;0,COUNTIF(J$53:J64,"&gt;0"),"")</f>
        <v>6</v>
      </c>
      <c r="Q64" t="str">
        <f ca="1">IF(K64&gt;0,COUNTIF(K$53:K64,"&gt;0"),"")</f>
        <v/>
      </c>
      <c r="R64">
        <f ca="1">IF(L64&gt;0,COUNTIF(L$53:L64,"&gt;0"),"")</f>
        <v>6</v>
      </c>
    </row>
    <row r="65" spans="1:18" ht="13">
      <c r="A65" s="54" t="s">
        <v>41</v>
      </c>
      <c r="B65" s="52" t="s">
        <v>257</v>
      </c>
      <c r="C65" s="54" t="s">
        <v>242</v>
      </c>
      <c r="D65" s="54" t="s">
        <v>246</v>
      </c>
      <c r="E65" s="54" t="s">
        <v>246</v>
      </c>
      <c r="F65" s="54" t="s">
        <v>247</v>
      </c>
      <c r="G65" s="55">
        <f ca="1">IFERROR(INDEX(分期持仓明细!$B$5:$Y$200,G$82-4,MATCH(LEFT($A65,6),分期持仓明细!$B$3:$Y$3,0))*INDEX('实盘净值数据(iFinD公式)'!$B$5:$Y$1000,$B$81,MATCH($A65,'实盘净值数据(iFinD公式)'!$B$3:$Y$3,0))/INDEX('实盘净值数据(iFinD公式)'!$B$5:$Y$1000,MATCH(G$84,'实盘净值数据(iFinD公式)'!$A$5:$A$1000,0),MATCH($A65,'实盘净值数据(iFinD公式)'!$B$3:$Y$3,0))/G$85,G101)</f>
        <v>0</v>
      </c>
      <c r="H65" s="55">
        <f ca="1">IFERROR(INDEX(分期持仓明细!$B$5:$Y$200,H$82-4,MATCH(LEFT($A65,6),分期持仓明细!$B$3:$Y$3,0))*INDEX('实盘净值数据(iFinD公式)'!$B$5:$Y$1000,$B$81,MATCH($A65,'实盘净值数据(iFinD公式)'!$B$3:$Y$3,0))/INDEX('实盘净值数据(iFinD公式)'!$B$5:$Y$1000,MATCH(H$84,'实盘净值数据(iFinD公式)'!$A$5:$A$1000,0),MATCH($A65,'实盘净值数据(iFinD公式)'!$B$3:$Y$3,0))/H$85,H101)</f>
        <v>0</v>
      </c>
      <c r="I65" s="55">
        <f ca="1">IFERROR(INDEX(分期持仓明细!$B$5:$Y$200,I$82-4,MATCH(LEFT($A65,6),分期持仓明细!$B$3:$Y$3,0))*INDEX('实盘净值数据(iFinD公式)'!$B$5:$Y$1000,$B$81,MATCH($A65,'实盘净值数据(iFinD公式)'!$B$3:$Y$3,0))/INDEX('实盘净值数据(iFinD公式)'!$B$5:$Y$1000,MATCH(I$84,'实盘净值数据(iFinD公式)'!$A$5:$A$1000,0),MATCH($A65,'实盘净值数据(iFinD公式)'!$B$3:$Y$3,0))/I$85,I101)</f>
        <v>0</v>
      </c>
      <c r="J65" s="55">
        <f ca="1">IFERROR(INDEX(分期持仓明细!$B$5:$Y$200,J$82-4,MATCH(LEFT($A65,6),分期持仓明细!$B$3:$Y$3,0))*INDEX('实盘净值数据(iFinD公式)'!$B$5:$Y$1000,$B$81,MATCH($A65,'实盘净值数据(iFinD公式)'!$B$3:$Y$3,0))/INDEX('实盘净值数据(iFinD公式)'!$B$5:$Y$1000,MATCH(J$84,'实盘净值数据(iFinD公式)'!$A$5:$A$1000,0),MATCH($A65,'实盘净值数据(iFinD公式)'!$B$3:$Y$3,0))/J$85,J101)</f>
        <v>0</v>
      </c>
      <c r="K65" s="55">
        <f ca="1">IFERROR(INDEX(分期持仓明细!$B$5:$Y$200,K$82-4,MATCH(LEFT($A65,6),分期持仓明细!$B$3:$Y$3,0))*INDEX('实盘净值数据(iFinD公式)'!$B$5:$Y$1000,$B$81,MATCH($A65,'实盘净值数据(iFinD公式)'!$B$3:$Y$3,0))/INDEX('实盘净值数据(iFinD公式)'!$B$5:$Y$1000,MATCH(K$84,'实盘净值数据(iFinD公式)'!$A$5:$A$1000,0),MATCH($A65,'实盘净值数据(iFinD公式)'!$B$3:$Y$3,0))/K$85,K101)</f>
        <v>1.2836814195768804E-2</v>
      </c>
      <c r="L65" s="55">
        <f ca="1">IFERROR(INDEX(分期持仓明细!$B$5:$Y$200,L$82-4,MATCH(LEFT($A65,6),分期持仓明细!$B$3:$Y$3,0))*INDEX('实盘净值数据(iFinD公式)'!$B$5:$Y$1000,$B$81,MATCH($A65,'实盘净值数据(iFinD公式)'!$B$3:$Y$3,0))/INDEX('实盘净值数据(iFinD公式)'!$B$5:$Y$1000,MATCH(L$84,'实盘净值数据(iFinD公式)'!$A$5:$A$1000,0),MATCH($A65,'实盘净值数据(iFinD公式)'!$B$3:$Y$3,0))/L$85,L101)</f>
        <v>0</v>
      </c>
      <c r="M65" t="str">
        <f ca="1">IF(G65&gt;0,COUNTIF(G$53:G65,"&gt;0"),"")</f>
        <v/>
      </c>
      <c r="N65" t="str">
        <f ca="1">IF(H65&gt;0,COUNTIF(H$53:H65,"&gt;0"),"")</f>
        <v/>
      </c>
      <c r="O65" t="str">
        <f ca="1">IF(I65&gt;0,COUNTIF(I$53:I65,"&gt;0"),"")</f>
        <v/>
      </c>
      <c r="P65" t="str">
        <f ca="1">IF(J65&gt;0,COUNTIF(J$53:J65,"&gt;0"),"")</f>
        <v/>
      </c>
      <c r="Q65">
        <f ca="1">IF(K65&gt;0,COUNTIF(K$53:K65,"&gt;0"),"")</f>
        <v>7</v>
      </c>
      <c r="R65" t="str">
        <f ca="1">IF(L65&gt;0,COUNTIF(L$53:L65,"&gt;0"),"")</f>
        <v/>
      </c>
    </row>
    <row r="66" spans="1:18" ht="13">
      <c r="A66" s="54" t="s">
        <v>42</v>
      </c>
      <c r="B66" s="52" t="s">
        <v>258</v>
      </c>
      <c r="C66" s="54" t="s">
        <v>242</v>
      </c>
      <c r="D66" s="54" t="s">
        <v>246</v>
      </c>
      <c r="E66" s="54" t="s">
        <v>246</v>
      </c>
      <c r="F66" s="54" t="s">
        <v>249</v>
      </c>
      <c r="G66" s="55">
        <f ca="1">IFERROR(INDEX(分期持仓明细!$B$5:$Y$200,G$82-4,MATCH(LEFT($A66,6),分期持仓明细!$B$3:$Y$3,0))*INDEX('实盘净值数据(iFinD公式)'!$B$5:$Y$1000,$B$81,MATCH($A66,'实盘净值数据(iFinD公式)'!$B$3:$Y$3,0))/INDEX('实盘净值数据(iFinD公式)'!$B$5:$Y$1000,MATCH(G$84,'实盘净值数据(iFinD公式)'!$A$5:$A$1000,0),MATCH($A66,'实盘净值数据(iFinD公式)'!$B$3:$Y$3,0))/G$85,G102)</f>
        <v>0</v>
      </c>
      <c r="H66" s="55">
        <f ca="1">IFERROR(INDEX(分期持仓明细!$B$5:$Y$200,H$82-4,MATCH(LEFT($A66,6),分期持仓明细!$B$3:$Y$3,0))*INDEX('实盘净值数据(iFinD公式)'!$B$5:$Y$1000,$B$81,MATCH($A66,'实盘净值数据(iFinD公式)'!$B$3:$Y$3,0))/INDEX('实盘净值数据(iFinD公式)'!$B$5:$Y$1000,MATCH(H$84,'实盘净值数据(iFinD公式)'!$A$5:$A$1000,0),MATCH($A66,'实盘净值数据(iFinD公式)'!$B$3:$Y$3,0))/H$85,H102)</f>
        <v>0</v>
      </c>
      <c r="I66" s="55">
        <f ca="1">IFERROR(INDEX(分期持仓明细!$B$5:$Y$200,I$82-4,MATCH(LEFT($A66,6),分期持仓明细!$B$3:$Y$3,0))*INDEX('实盘净值数据(iFinD公式)'!$B$5:$Y$1000,$B$81,MATCH($A66,'实盘净值数据(iFinD公式)'!$B$3:$Y$3,0))/INDEX('实盘净值数据(iFinD公式)'!$B$5:$Y$1000,MATCH(I$84,'实盘净值数据(iFinD公式)'!$A$5:$A$1000,0),MATCH($A66,'实盘净值数据(iFinD公式)'!$B$3:$Y$3,0))/I$85,I102)</f>
        <v>0</v>
      </c>
      <c r="J66" s="55">
        <f ca="1">IFERROR(INDEX(分期持仓明细!$B$5:$Y$200,J$82-4,MATCH(LEFT($A66,6),分期持仓明细!$B$3:$Y$3,0))*INDEX('实盘净值数据(iFinD公式)'!$B$5:$Y$1000,$B$81,MATCH($A66,'实盘净值数据(iFinD公式)'!$B$3:$Y$3,0))/INDEX('实盘净值数据(iFinD公式)'!$B$5:$Y$1000,MATCH(J$84,'实盘净值数据(iFinD公式)'!$A$5:$A$1000,0),MATCH($A66,'实盘净值数据(iFinD公式)'!$B$3:$Y$3,0))/J$85,J102)</f>
        <v>1.2555709915825294E-2</v>
      </c>
      <c r="K66" s="55">
        <f ca="1">IFERROR(INDEX(分期持仓明细!$B$5:$Y$200,K$82-4,MATCH(LEFT($A66,6),分期持仓明细!$B$3:$Y$3,0))*INDEX('实盘净值数据(iFinD公式)'!$B$5:$Y$1000,$B$81,MATCH($A66,'实盘净值数据(iFinD公式)'!$B$3:$Y$3,0))/INDEX('实盘净值数据(iFinD公式)'!$B$5:$Y$1000,MATCH(K$84,'实盘净值数据(iFinD公式)'!$A$5:$A$1000,0),MATCH($A66,'实盘净值数据(iFinD公式)'!$B$3:$Y$3,0))/K$85,K102)</f>
        <v>0</v>
      </c>
      <c r="L66" s="55">
        <f ca="1">IFERROR(INDEX(分期持仓明细!$B$5:$Y$200,L$82-4,MATCH(LEFT($A66,6),分期持仓明细!$B$3:$Y$3,0))*INDEX('实盘净值数据(iFinD公式)'!$B$5:$Y$1000,$B$81,MATCH($A66,'实盘净值数据(iFinD公式)'!$B$3:$Y$3,0))/INDEX('实盘净值数据(iFinD公式)'!$B$5:$Y$1000,MATCH(L$84,'实盘净值数据(iFinD公式)'!$A$5:$A$1000,0),MATCH($A66,'实盘净值数据(iFinD公式)'!$B$3:$Y$3,0))/L$85,L102)</f>
        <v>3.7825086869073751E-2</v>
      </c>
      <c r="M66" t="str">
        <f ca="1">IF(G66&gt;0,COUNTIF(G$53:G66,"&gt;0"),"")</f>
        <v/>
      </c>
      <c r="N66" t="str">
        <f ca="1">IF(H66&gt;0,COUNTIF(H$53:H66,"&gt;0"),"")</f>
        <v/>
      </c>
      <c r="O66" t="str">
        <f ca="1">IF(I66&gt;0,COUNTIF(I$53:I66,"&gt;0"),"")</f>
        <v/>
      </c>
      <c r="P66">
        <f ca="1">IF(J66&gt;0,COUNTIF(J$53:J66,"&gt;0"),"")</f>
        <v>7</v>
      </c>
      <c r="Q66" t="str">
        <f ca="1">IF(K66&gt;0,COUNTIF(K$53:K66,"&gt;0"),"")</f>
        <v/>
      </c>
      <c r="R66">
        <f ca="1">IF(L66&gt;0,COUNTIF(L$53:L66,"&gt;0"),"")</f>
        <v>7</v>
      </c>
    </row>
    <row r="67" spans="1:18" ht="13">
      <c r="A67" s="54" t="s">
        <v>43</v>
      </c>
      <c r="B67" s="52" t="s">
        <v>259</v>
      </c>
      <c r="C67" s="54" t="s">
        <v>242</v>
      </c>
      <c r="D67" s="54" t="s">
        <v>230</v>
      </c>
      <c r="E67" s="54" t="s">
        <v>243</v>
      </c>
      <c r="F67" s="54" t="s">
        <v>244</v>
      </c>
      <c r="G67" s="55">
        <f ca="1">IFERROR(INDEX(分期持仓明细!$B$5:$Y$200,G$82-4,MATCH(LEFT($A67,6),分期持仓明细!$B$3:$Y$3,0))*INDEX('实盘净值数据(iFinD公式)'!$B$5:$Y$1000,$B$81,MATCH($A67,'实盘净值数据(iFinD公式)'!$B$3:$Y$3,0))/INDEX('实盘净值数据(iFinD公式)'!$B$5:$Y$1000,MATCH(G$84,'实盘净值数据(iFinD公式)'!$A$5:$A$1000,0),MATCH($A67,'实盘净值数据(iFinD公式)'!$B$3:$Y$3,0))/G$85,G103)</f>
        <v>0.1805074041313765</v>
      </c>
      <c r="H67" s="55">
        <f ca="1">IFERROR(INDEX(分期持仓明细!$B$5:$Y$200,H$82-4,MATCH(LEFT($A67,6),分期持仓明细!$B$3:$Y$3,0))*INDEX('实盘净值数据(iFinD公式)'!$B$5:$Y$1000,$B$81,MATCH($A67,'实盘净值数据(iFinD公式)'!$B$3:$Y$3,0))/INDEX('实盘净值数据(iFinD公式)'!$B$5:$Y$1000,MATCH(H$84,'实盘净值数据(iFinD公式)'!$A$5:$A$1000,0),MATCH($A67,'实盘净值数据(iFinD公式)'!$B$3:$Y$3,0))/H$85,H103)</f>
        <v>0.18037435142894928</v>
      </c>
      <c r="I67" s="55">
        <f ca="1">IFERROR(INDEX(分期持仓明细!$B$5:$Y$200,I$82-4,MATCH(LEFT($A67,6),分期持仓明细!$B$3:$Y$3,0))*INDEX('实盘净值数据(iFinD公式)'!$B$5:$Y$1000,$B$81,MATCH($A67,'实盘净值数据(iFinD公式)'!$B$3:$Y$3,0))/INDEX('实盘净值数据(iFinD公式)'!$B$5:$Y$1000,MATCH(I$84,'实盘净值数据(iFinD公式)'!$A$5:$A$1000,0),MATCH($A67,'实盘净值数据(iFinD公式)'!$B$3:$Y$3,0))/I$85,I103)</f>
        <v>0</v>
      </c>
      <c r="J67" s="55">
        <f ca="1">IFERROR(INDEX(分期持仓明细!$B$5:$Y$200,J$82-4,MATCH(LEFT($A67,6),分期持仓明细!$B$3:$Y$3,0))*INDEX('实盘净值数据(iFinD公式)'!$B$5:$Y$1000,$B$81,MATCH($A67,'实盘净值数据(iFinD公式)'!$B$3:$Y$3,0))/INDEX('实盘净值数据(iFinD公式)'!$B$5:$Y$1000,MATCH(J$84,'实盘净值数据(iFinD公式)'!$A$5:$A$1000,0),MATCH($A67,'实盘净值数据(iFinD公式)'!$B$3:$Y$3,0))/J$85,J103)</f>
        <v>0</v>
      </c>
      <c r="K67" s="55">
        <f ca="1">IFERROR(INDEX(分期持仓明细!$B$5:$Y$200,K$82-4,MATCH(LEFT($A67,6),分期持仓明细!$B$3:$Y$3,0))*INDEX('实盘净值数据(iFinD公式)'!$B$5:$Y$1000,$B$81,MATCH($A67,'实盘净值数据(iFinD公式)'!$B$3:$Y$3,0))/INDEX('实盘净值数据(iFinD公式)'!$B$5:$Y$1000,MATCH(K$84,'实盘净值数据(iFinD公式)'!$A$5:$A$1000,0),MATCH($A67,'实盘净值数据(iFinD公式)'!$B$3:$Y$3,0))/K$85,K103)</f>
        <v>9.380440293221274E-3</v>
      </c>
      <c r="L67" s="55">
        <f ca="1">IFERROR(INDEX(分期持仓明细!$B$5:$Y$200,L$82-4,MATCH(LEFT($A67,6),分期持仓明细!$B$3:$Y$3,0))*INDEX('实盘净值数据(iFinD公式)'!$B$5:$Y$1000,$B$81,MATCH($A67,'实盘净值数据(iFinD公式)'!$B$3:$Y$3,0))/INDEX('实盘净值数据(iFinD公式)'!$B$5:$Y$1000,MATCH(L$84,'实盘净值数据(iFinD公式)'!$A$5:$A$1000,0),MATCH($A67,'实盘净值数据(iFinD公式)'!$B$3:$Y$3,0))/L$85,L103)</f>
        <v>0</v>
      </c>
      <c r="M67">
        <f ca="1">IF(G67&gt;0,COUNTIF(G$53:G67,"&gt;0"),"")</f>
        <v>4</v>
      </c>
      <c r="N67">
        <f ca="1">IF(H67&gt;0,COUNTIF(H$53:H67,"&gt;0"),"")</f>
        <v>4</v>
      </c>
      <c r="O67" t="str">
        <f ca="1">IF(I67&gt;0,COUNTIF(I$53:I67,"&gt;0"),"")</f>
        <v/>
      </c>
      <c r="P67" t="str">
        <f ca="1">IF(J67&gt;0,COUNTIF(J$53:J67,"&gt;0"),"")</f>
        <v/>
      </c>
      <c r="Q67">
        <f ca="1">IF(K67&gt;0,COUNTIF(K$53:K67,"&gt;0"),"")</f>
        <v>8</v>
      </c>
      <c r="R67" t="str">
        <f ca="1">IF(L67&gt;0,COUNTIF(L$53:L67,"&gt;0"),"")</f>
        <v/>
      </c>
    </row>
    <row r="68" spans="1:18" ht="13">
      <c r="A68" s="54" t="s">
        <v>44</v>
      </c>
      <c r="B68" s="52" t="s">
        <v>260</v>
      </c>
      <c r="C68" s="54" t="s">
        <v>242</v>
      </c>
      <c r="D68" s="54" t="s">
        <v>230</v>
      </c>
      <c r="E68" s="54" t="s">
        <v>243</v>
      </c>
      <c r="F68" s="54" t="s">
        <v>244</v>
      </c>
      <c r="G68" s="55">
        <f ca="1">IFERROR(INDEX(分期持仓明细!$B$5:$Y$200,G$82-4,MATCH(LEFT($A68,6),分期持仓明细!$B$3:$Y$3,0))*INDEX('实盘净值数据(iFinD公式)'!$B$5:$Y$1000,$B$81,MATCH($A68,'实盘净值数据(iFinD公式)'!$B$3:$Y$3,0))/INDEX('实盘净值数据(iFinD公式)'!$B$5:$Y$1000,MATCH(G$84,'实盘净值数据(iFinD公式)'!$A$5:$A$1000,0),MATCH($A68,'实盘净值数据(iFinD公式)'!$B$3:$Y$3,0))/G$85,G104)</f>
        <v>0.18044786753991893</v>
      </c>
      <c r="H68" s="55">
        <f ca="1">IFERROR(INDEX(分期持仓明细!$B$5:$Y$200,H$82-4,MATCH(LEFT($A68,6),分期持仓明细!$B$3:$Y$3,0))*INDEX('实盘净值数据(iFinD公式)'!$B$5:$Y$1000,$B$81,MATCH($A68,'实盘净值数据(iFinD公式)'!$B$3:$Y$3,0))/INDEX('实盘净值数据(iFinD公式)'!$B$5:$Y$1000,MATCH(H$84,'实盘净值数据(iFinD公式)'!$A$5:$A$1000,0),MATCH($A68,'实盘净值数据(iFinD公式)'!$B$3:$Y$3,0))/H$85,H104)</f>
        <v>0.18127089826726672</v>
      </c>
      <c r="I68" s="55">
        <f ca="1">IFERROR(INDEX(分期持仓明细!$B$5:$Y$200,I$82-4,MATCH(LEFT($A68,6),分期持仓明细!$B$3:$Y$3,0))*INDEX('实盘净值数据(iFinD公式)'!$B$5:$Y$1000,$B$81,MATCH($A68,'实盘净值数据(iFinD公式)'!$B$3:$Y$3,0))/INDEX('实盘净值数据(iFinD公式)'!$B$5:$Y$1000,MATCH(I$84,'实盘净值数据(iFinD公式)'!$A$5:$A$1000,0),MATCH($A68,'实盘净值数据(iFinD公式)'!$B$3:$Y$3,0))/I$85,I104)</f>
        <v>0</v>
      </c>
      <c r="J68" s="55">
        <f ca="1">IFERROR(INDEX(分期持仓明细!$B$5:$Y$200,J$82-4,MATCH(LEFT($A68,6),分期持仓明细!$B$3:$Y$3,0))*INDEX('实盘净值数据(iFinD公式)'!$B$5:$Y$1000,$B$81,MATCH($A68,'实盘净值数据(iFinD公式)'!$B$3:$Y$3,0))/INDEX('实盘净值数据(iFinD公式)'!$B$5:$Y$1000,MATCH(J$84,'实盘净值数据(iFinD公式)'!$A$5:$A$1000,0),MATCH($A68,'实盘净值数据(iFinD公式)'!$B$3:$Y$3,0))/J$85,J104)</f>
        <v>0</v>
      </c>
      <c r="K68" s="55">
        <f ca="1">IFERROR(INDEX(分期持仓明细!$B$5:$Y$200,K$82-4,MATCH(LEFT($A68,6),分期持仓明细!$B$3:$Y$3,0))*INDEX('实盘净值数据(iFinD公式)'!$B$5:$Y$1000,$B$81,MATCH($A68,'实盘净值数据(iFinD公式)'!$B$3:$Y$3,0))/INDEX('实盘净值数据(iFinD公式)'!$B$5:$Y$1000,MATCH(K$84,'实盘净值数据(iFinD公式)'!$A$5:$A$1000,0),MATCH($A68,'实盘净值数据(iFinD公式)'!$B$3:$Y$3,0))/K$85,K104)</f>
        <v>9.2473376179770042E-3</v>
      </c>
      <c r="L68" s="55">
        <f ca="1">IFERROR(INDEX(分期持仓明细!$B$5:$Y$200,L$82-4,MATCH(LEFT($A68,6),分期持仓明细!$B$3:$Y$3,0))*INDEX('实盘净值数据(iFinD公式)'!$B$5:$Y$1000,$B$81,MATCH($A68,'实盘净值数据(iFinD公式)'!$B$3:$Y$3,0))/INDEX('实盘净值数据(iFinD公式)'!$B$5:$Y$1000,MATCH(L$84,'实盘净值数据(iFinD公式)'!$A$5:$A$1000,0),MATCH($A68,'实盘净值数据(iFinD公式)'!$B$3:$Y$3,0))/L$85,L104)</f>
        <v>0</v>
      </c>
      <c r="M68">
        <f ca="1">IF(G68&gt;0,COUNTIF(G$53:G68,"&gt;0"),"")</f>
        <v>5</v>
      </c>
      <c r="N68">
        <f ca="1">IF(H68&gt;0,COUNTIF(H$53:H68,"&gt;0"),"")</f>
        <v>5</v>
      </c>
      <c r="O68" t="str">
        <f ca="1">IF(I68&gt;0,COUNTIF(I$53:I68,"&gt;0"),"")</f>
        <v/>
      </c>
      <c r="P68" t="str">
        <f ca="1">IF(J68&gt;0,COUNTIF(J$53:J68,"&gt;0"),"")</f>
        <v/>
      </c>
      <c r="Q68">
        <f ca="1">IF(K68&gt;0,COUNTIF(K$53:K68,"&gt;0"),"")</f>
        <v>9</v>
      </c>
      <c r="R68" t="str">
        <f ca="1">IF(L68&gt;0,COUNTIF(L$53:L68,"&gt;0"),"")</f>
        <v/>
      </c>
    </row>
    <row r="69" spans="1:18" ht="13">
      <c r="A69" s="54" t="s">
        <v>45</v>
      </c>
      <c r="B69" s="52" t="s">
        <v>261</v>
      </c>
      <c r="C69" s="54" t="s">
        <v>242</v>
      </c>
      <c r="D69" s="54" t="s">
        <v>230</v>
      </c>
      <c r="E69" s="54" t="s">
        <v>243</v>
      </c>
      <c r="F69" s="54" t="s">
        <v>249</v>
      </c>
      <c r="G69" s="55">
        <f ca="1">IFERROR(INDEX(分期持仓明细!$B$5:$Y$200,G$82-4,MATCH(LEFT($A69,6),分期持仓明细!$B$3:$Y$3,0))*INDEX('实盘净值数据(iFinD公式)'!$B$5:$Y$1000,$B$81,MATCH($A69,'实盘净值数据(iFinD公式)'!$B$3:$Y$3,0))/INDEX('实盘净值数据(iFinD公式)'!$B$5:$Y$1000,MATCH(G$84,'实盘净值数据(iFinD公式)'!$A$5:$A$1000,0),MATCH($A69,'实盘净值数据(iFinD公式)'!$B$3:$Y$3,0))/G$85,G105)</f>
        <v>0</v>
      </c>
      <c r="H69" s="55">
        <f ca="1">IFERROR(INDEX(分期持仓明细!$B$5:$Y$200,H$82-4,MATCH(LEFT($A69,6),分期持仓明细!$B$3:$Y$3,0))*INDEX('实盘净值数据(iFinD公式)'!$B$5:$Y$1000,$B$81,MATCH($A69,'实盘净值数据(iFinD公式)'!$B$3:$Y$3,0))/INDEX('实盘净值数据(iFinD公式)'!$B$5:$Y$1000,MATCH(H$84,'实盘净值数据(iFinD公式)'!$A$5:$A$1000,0),MATCH($A69,'实盘净值数据(iFinD公式)'!$B$3:$Y$3,0))/H$85,H105)</f>
        <v>0</v>
      </c>
      <c r="I69" s="55">
        <f ca="1">IFERROR(INDEX(分期持仓明细!$B$5:$Y$200,I$82-4,MATCH(LEFT($A69,6),分期持仓明细!$B$3:$Y$3,0))*INDEX('实盘净值数据(iFinD公式)'!$B$5:$Y$1000,$B$81,MATCH($A69,'实盘净值数据(iFinD公式)'!$B$3:$Y$3,0))/INDEX('实盘净值数据(iFinD公式)'!$B$5:$Y$1000,MATCH(I$84,'实盘净值数据(iFinD公式)'!$A$5:$A$1000,0),MATCH($A69,'实盘净值数据(iFinD公式)'!$B$3:$Y$3,0))/I$85,I105)</f>
        <v>0.18121513335675279</v>
      </c>
      <c r="J69" s="55">
        <f ca="1">IFERROR(INDEX(分期持仓明细!$B$5:$Y$200,J$82-4,MATCH(LEFT($A69,6),分期持仓明细!$B$3:$Y$3,0))*INDEX('实盘净值数据(iFinD公式)'!$B$5:$Y$1000,$B$81,MATCH($A69,'实盘净值数据(iFinD公式)'!$B$3:$Y$3,0))/INDEX('实盘净值数据(iFinD公式)'!$B$5:$Y$1000,MATCH(J$84,'实盘净值数据(iFinD公式)'!$A$5:$A$1000,0),MATCH($A69,'实盘净值数据(iFinD公式)'!$B$3:$Y$3,0))/J$85,J105)</f>
        <v>8.9803248201949272E-3</v>
      </c>
      <c r="K69" s="55">
        <f ca="1">IFERROR(INDEX(分期持仓明细!$B$5:$Y$200,K$82-4,MATCH(LEFT($A69,6),分期持仓明细!$B$3:$Y$3,0))*INDEX('实盘净值数据(iFinD公式)'!$B$5:$Y$1000,$B$81,MATCH($A69,'实盘净值数据(iFinD公式)'!$B$3:$Y$3,0))/INDEX('实盘净值数据(iFinD公式)'!$B$5:$Y$1000,MATCH(K$84,'实盘净值数据(iFinD公式)'!$A$5:$A$1000,0),MATCH($A69,'实盘净值数据(iFinD公式)'!$B$3:$Y$3,0))/K$85,K105)</f>
        <v>0</v>
      </c>
      <c r="L69" s="55">
        <f ca="1">IFERROR(INDEX(分期持仓明细!$B$5:$Y$200,L$82-4,MATCH(LEFT($A69,6),分期持仓明细!$B$3:$Y$3,0))*INDEX('实盘净值数据(iFinD公式)'!$B$5:$Y$1000,$B$81,MATCH($A69,'实盘净值数据(iFinD公式)'!$B$3:$Y$3,0))/INDEX('实盘净值数据(iFinD公式)'!$B$5:$Y$1000,MATCH(L$84,'实盘净值数据(iFinD公式)'!$A$5:$A$1000,0),MATCH($A69,'实盘净值数据(iFinD公式)'!$B$3:$Y$3,0))/L$85,L105)</f>
        <v>2.7055468773766456E-2</v>
      </c>
      <c r="M69" t="str">
        <f ca="1">IF(G69&gt;0,COUNTIF(G$53:G69,"&gt;0"),"")</f>
        <v/>
      </c>
      <c r="N69" t="str">
        <f ca="1">IF(H69&gt;0,COUNTIF(H$53:H69,"&gt;0"),"")</f>
        <v/>
      </c>
      <c r="O69">
        <f ca="1">IF(I69&gt;0,COUNTIF(I$53:I69,"&gt;0"),"")</f>
        <v>4</v>
      </c>
      <c r="P69">
        <f ca="1">IF(J69&gt;0,COUNTIF(J$53:J69,"&gt;0"),"")</f>
        <v>8</v>
      </c>
      <c r="Q69" t="str">
        <f ca="1">IF(K69&gt;0,COUNTIF(K$53:K69,"&gt;0"),"")</f>
        <v/>
      </c>
      <c r="R69">
        <f ca="1">IF(L69&gt;0,COUNTIF(L$53:L69,"&gt;0"),"")</f>
        <v>8</v>
      </c>
    </row>
    <row r="70" spans="1:18" ht="13">
      <c r="A70" s="54" t="s">
        <v>46</v>
      </c>
      <c r="B70" s="52" t="s">
        <v>262</v>
      </c>
      <c r="C70" s="54" t="s">
        <v>242</v>
      </c>
      <c r="D70" s="54" t="s">
        <v>230</v>
      </c>
      <c r="E70" s="54" t="s">
        <v>243</v>
      </c>
      <c r="F70" s="54" t="s">
        <v>249</v>
      </c>
      <c r="G70" s="55">
        <f ca="1">IFERROR(INDEX(分期持仓明细!$B$5:$Y$200,G$82-4,MATCH(LEFT($A70,6),分期持仓明细!$B$3:$Y$3,0))*INDEX('实盘净值数据(iFinD公式)'!$B$5:$Y$1000,$B$81,MATCH($A70,'实盘净值数据(iFinD公式)'!$B$3:$Y$3,0))/INDEX('实盘净值数据(iFinD公式)'!$B$5:$Y$1000,MATCH(G$84,'实盘净值数据(iFinD公式)'!$A$5:$A$1000,0),MATCH($A70,'实盘净值数据(iFinD公式)'!$B$3:$Y$3,0))/G$85,G106)</f>
        <v>0</v>
      </c>
      <c r="H70" s="55">
        <f ca="1">IFERROR(INDEX(分期持仓明细!$B$5:$Y$200,H$82-4,MATCH(LEFT($A70,6),分期持仓明细!$B$3:$Y$3,0))*INDEX('实盘净值数据(iFinD公式)'!$B$5:$Y$1000,$B$81,MATCH($A70,'实盘净值数据(iFinD公式)'!$B$3:$Y$3,0))/INDEX('实盘净值数据(iFinD公式)'!$B$5:$Y$1000,MATCH(H$84,'实盘净值数据(iFinD公式)'!$A$5:$A$1000,0),MATCH($A70,'实盘净值数据(iFinD公式)'!$B$3:$Y$3,0))/H$85,H106)</f>
        <v>0</v>
      </c>
      <c r="I70" s="55">
        <f ca="1">IFERROR(INDEX(分期持仓明细!$B$5:$Y$200,I$82-4,MATCH(LEFT($A70,6),分期持仓明细!$B$3:$Y$3,0))*INDEX('实盘净值数据(iFinD公式)'!$B$5:$Y$1000,$B$81,MATCH($A70,'实盘净值数据(iFinD公式)'!$B$3:$Y$3,0))/INDEX('实盘净值数据(iFinD公式)'!$B$5:$Y$1000,MATCH(I$84,'实盘净值数据(iFinD公式)'!$A$5:$A$1000,0),MATCH($A70,'实盘净值数据(iFinD公式)'!$B$3:$Y$3,0))/I$85,I106)</f>
        <v>0.17412307047797329</v>
      </c>
      <c r="J70" s="55">
        <f ca="1">IFERROR(INDEX(分期持仓明细!$B$5:$Y$200,J$82-4,MATCH(LEFT($A70,6),分期持仓明细!$B$3:$Y$3,0))*INDEX('实盘净值数据(iFinD公式)'!$B$5:$Y$1000,$B$81,MATCH($A70,'实盘净值数据(iFinD公式)'!$B$3:$Y$3,0))/INDEX('实盘净值数据(iFinD公式)'!$B$5:$Y$1000,MATCH(J$84,'实盘净值数据(iFinD公式)'!$A$5:$A$1000,0),MATCH($A70,'实盘净值数据(iFinD公式)'!$B$3:$Y$3,0))/J$85,J106)</f>
        <v>8.6017626312721793E-3</v>
      </c>
      <c r="K70" s="55">
        <f ca="1">IFERROR(INDEX(分期持仓明细!$B$5:$Y$200,K$82-4,MATCH(LEFT($A70,6),分期持仓明细!$B$3:$Y$3,0))*INDEX('实盘净值数据(iFinD公式)'!$B$5:$Y$1000,$B$81,MATCH($A70,'实盘净值数据(iFinD公式)'!$B$3:$Y$3,0))/INDEX('实盘净值数据(iFinD公式)'!$B$5:$Y$1000,MATCH(K$84,'实盘净值数据(iFinD公式)'!$A$5:$A$1000,0),MATCH($A70,'实盘净值数据(iFinD公式)'!$B$3:$Y$3,0))/K$85,K106)</f>
        <v>0</v>
      </c>
      <c r="L70" s="55">
        <f ca="1">IFERROR(INDEX(分期持仓明细!$B$5:$Y$200,L$82-4,MATCH(LEFT($A70,6),分期持仓明细!$B$3:$Y$3,0))*INDEX('实盘净值数据(iFinD公式)'!$B$5:$Y$1000,$B$81,MATCH($A70,'实盘净值数据(iFinD公式)'!$B$3:$Y$3,0))/INDEX('实盘净值数据(iFinD公式)'!$B$5:$Y$1000,MATCH(L$84,'实盘净值数据(iFinD公式)'!$A$5:$A$1000,0),MATCH($A70,'实盘净值数据(iFinD公式)'!$B$3:$Y$3,0))/L$85,L106)</f>
        <v>2.5915815726491757E-2</v>
      </c>
      <c r="M70" t="str">
        <f ca="1">IF(G70&gt;0,COUNTIF(G$53:G70,"&gt;0"),"")</f>
        <v/>
      </c>
      <c r="N70" t="str">
        <f ca="1">IF(H70&gt;0,COUNTIF(H$53:H70,"&gt;0"),"")</f>
        <v/>
      </c>
      <c r="O70">
        <f ca="1">IF(I70&gt;0,COUNTIF(I$53:I70,"&gt;0"),"")</f>
        <v>5</v>
      </c>
      <c r="P70">
        <f ca="1">IF(J70&gt;0,COUNTIF(J$53:J70,"&gt;0"),"")</f>
        <v>9</v>
      </c>
      <c r="Q70" t="str">
        <f ca="1">IF(K70&gt;0,COUNTIF(K$53:K70,"&gt;0"),"")</f>
        <v/>
      </c>
      <c r="R70">
        <f ca="1">IF(L70&gt;0,COUNTIF(L$53:L70,"&gt;0"),"")</f>
        <v>9</v>
      </c>
    </row>
    <row r="71" spans="1:18" ht="13">
      <c r="A71" s="54" t="s">
        <v>47</v>
      </c>
      <c r="B71" s="52" t="s">
        <v>263</v>
      </c>
      <c r="C71" s="54" t="s">
        <v>242</v>
      </c>
      <c r="D71" s="54" t="s">
        <v>230</v>
      </c>
      <c r="E71" s="54" t="s">
        <v>251</v>
      </c>
      <c r="F71" s="54" t="s">
        <v>244</v>
      </c>
      <c r="G71" s="55">
        <f ca="1">IFERROR(INDEX(分期持仓明细!$B$5:$Y$200,G$82-4,MATCH(LEFT($A71,6),分期持仓明细!$B$3:$Y$3,0))*INDEX('实盘净值数据(iFinD公式)'!$B$5:$Y$1000,$B$81,MATCH($A71,'实盘净值数据(iFinD公式)'!$B$3:$Y$3,0))/INDEX('实盘净值数据(iFinD公式)'!$B$5:$Y$1000,MATCH(G$84,'实盘净值数据(iFinD公式)'!$A$5:$A$1000,0),MATCH($A71,'实盘净值数据(iFinD公式)'!$B$3:$Y$3,0))/G$85,G107)</f>
        <v>0.12189610871514973</v>
      </c>
      <c r="H71" s="55">
        <f ca="1">IFERROR(INDEX(分期持仓明细!$B$5:$Y$200,H$82-4,MATCH(LEFT($A71,6),分期持仓明细!$B$3:$Y$3,0))*INDEX('实盘净值数据(iFinD公式)'!$B$5:$Y$1000,$B$81,MATCH($A71,'实盘净值数据(iFinD公式)'!$B$3:$Y$3,0))/INDEX('实盘净值数据(iFinD公式)'!$B$5:$Y$1000,MATCH(H$84,'实盘净值数据(iFinD公式)'!$A$5:$A$1000,0),MATCH($A71,'实盘净值数据(iFinD公式)'!$B$3:$Y$3,0))/H$85,H107)</f>
        <v>0.12248347828449958</v>
      </c>
      <c r="I71" s="55">
        <f ca="1">IFERROR(INDEX(分期持仓明细!$B$5:$Y$200,I$82-4,MATCH(LEFT($A71,6),分期持仓明细!$B$3:$Y$3,0))*INDEX('实盘净值数据(iFinD公式)'!$B$5:$Y$1000,$B$81,MATCH($A71,'实盘净值数据(iFinD公式)'!$B$3:$Y$3,0))/INDEX('实盘净值数据(iFinD公式)'!$B$5:$Y$1000,MATCH(I$84,'实盘净值数据(iFinD公式)'!$A$5:$A$1000,0),MATCH($A71,'实盘净值数据(iFinD公式)'!$B$3:$Y$3,0))/I$85,I107)</f>
        <v>0</v>
      </c>
      <c r="J71" s="55">
        <f ca="1">IFERROR(INDEX(分期持仓明细!$B$5:$Y$200,J$82-4,MATCH(LEFT($A71,6),分期持仓明细!$B$3:$Y$3,0))*INDEX('实盘净值数据(iFinD公式)'!$B$5:$Y$1000,$B$81,MATCH($A71,'实盘净值数据(iFinD公式)'!$B$3:$Y$3,0))/INDEX('实盘净值数据(iFinD公式)'!$B$5:$Y$1000,MATCH(J$84,'实盘净值数据(iFinD公式)'!$A$5:$A$1000,0),MATCH($A71,'实盘净值数据(iFinD公式)'!$B$3:$Y$3,0))/J$85,J107)</f>
        <v>0</v>
      </c>
      <c r="K71" s="55">
        <f ca="1">IFERROR(INDEX(分期持仓明细!$B$5:$Y$200,K$82-4,MATCH(LEFT($A71,6),分期持仓明细!$B$3:$Y$3,0))*INDEX('实盘净值数据(iFinD公式)'!$B$5:$Y$1000,$B$81,MATCH($A71,'实盘净值数据(iFinD公式)'!$B$3:$Y$3,0))/INDEX('实盘净值数据(iFinD公式)'!$B$5:$Y$1000,MATCH(K$84,'实盘净值数据(iFinD公式)'!$A$5:$A$1000,0),MATCH($A71,'实盘净值数据(iFinD公式)'!$B$3:$Y$3,0))/K$85,K107)</f>
        <v>5.3527653719658685E-3</v>
      </c>
      <c r="L71" s="55">
        <f ca="1">IFERROR(INDEX(分期持仓明细!$B$5:$Y$200,L$82-4,MATCH(LEFT($A71,6),分期持仓明细!$B$3:$Y$3,0))*INDEX('实盘净值数据(iFinD公式)'!$B$5:$Y$1000,$B$81,MATCH($A71,'实盘净值数据(iFinD公式)'!$B$3:$Y$3,0))/INDEX('实盘净值数据(iFinD公式)'!$B$5:$Y$1000,MATCH(L$84,'实盘净值数据(iFinD公式)'!$A$5:$A$1000,0),MATCH($A71,'实盘净值数据(iFinD公式)'!$B$3:$Y$3,0))/L$85,L107)</f>
        <v>0</v>
      </c>
      <c r="M71">
        <f ca="1">IF(G71&gt;0,COUNTIF(G$53:G71,"&gt;0"),"")</f>
        <v>6</v>
      </c>
      <c r="N71">
        <f ca="1">IF(H71&gt;0,COUNTIF(H$53:H71,"&gt;0"),"")</f>
        <v>6</v>
      </c>
      <c r="O71" t="str">
        <f ca="1">IF(I71&gt;0,COUNTIF(I$53:I71,"&gt;0"),"")</f>
        <v/>
      </c>
      <c r="P71" t="str">
        <f ca="1">IF(J71&gt;0,COUNTIF(J$53:J71,"&gt;0"),"")</f>
        <v/>
      </c>
      <c r="Q71">
        <f ca="1">IF(K71&gt;0,COUNTIF(K$53:K71,"&gt;0"),"")</f>
        <v>10</v>
      </c>
      <c r="R71" t="str">
        <f ca="1">IF(L71&gt;0,COUNTIF(L$53:L71,"&gt;0"),"")</f>
        <v/>
      </c>
    </row>
    <row r="72" spans="1:18" ht="13">
      <c r="A72" s="54" t="s">
        <v>48</v>
      </c>
      <c r="B72" s="52" t="s">
        <v>264</v>
      </c>
      <c r="C72" s="54" t="s">
        <v>242</v>
      </c>
      <c r="D72" s="54" t="s">
        <v>230</v>
      </c>
      <c r="E72" s="54" t="s">
        <v>251</v>
      </c>
      <c r="F72" s="54" t="s">
        <v>249</v>
      </c>
      <c r="G72" s="55">
        <f ca="1">IFERROR(INDEX(分期持仓明细!$B$5:$Y$200,G$82-4,MATCH(LEFT($A72,6),分期持仓明细!$B$3:$Y$3,0))*INDEX('实盘净值数据(iFinD公式)'!$B$5:$Y$1000,$B$81,MATCH($A72,'实盘净值数据(iFinD公式)'!$B$3:$Y$3,0))/INDEX('实盘净值数据(iFinD公式)'!$B$5:$Y$1000,MATCH(G$84,'实盘净值数据(iFinD公式)'!$A$5:$A$1000,0),MATCH($A72,'实盘净值数据(iFinD公式)'!$B$3:$Y$3,0))/G$85,G108)</f>
        <v>0</v>
      </c>
      <c r="H72" s="55">
        <f ca="1">IFERROR(INDEX(分期持仓明细!$B$5:$Y$200,H$82-4,MATCH(LEFT($A72,6),分期持仓明细!$B$3:$Y$3,0))*INDEX('实盘净值数据(iFinD公式)'!$B$5:$Y$1000,$B$81,MATCH($A72,'实盘净值数据(iFinD公式)'!$B$3:$Y$3,0))/INDEX('实盘净值数据(iFinD公式)'!$B$5:$Y$1000,MATCH(H$84,'实盘净值数据(iFinD公式)'!$A$5:$A$1000,0),MATCH($A72,'实盘净值数据(iFinD公式)'!$B$3:$Y$3,0))/H$85,H108)</f>
        <v>0</v>
      </c>
      <c r="I72" s="55">
        <f ca="1">IFERROR(INDEX(分期持仓明细!$B$5:$Y$200,I$82-4,MATCH(LEFT($A72,6),分期持仓明细!$B$3:$Y$3,0))*INDEX('实盘净值数据(iFinD公式)'!$B$5:$Y$1000,$B$81,MATCH($A72,'实盘净值数据(iFinD公式)'!$B$3:$Y$3,0))/INDEX('实盘净值数据(iFinD公式)'!$B$5:$Y$1000,MATCH(I$84,'实盘净值数据(iFinD公式)'!$A$5:$A$1000,0),MATCH($A72,'实盘净值数据(iFinD公式)'!$B$3:$Y$3,0))/I$85,I108)</f>
        <v>0.11969924937918189</v>
      </c>
      <c r="J72" s="55">
        <f ca="1">IFERROR(INDEX(分期持仓明细!$B$5:$Y$200,J$82-4,MATCH(LEFT($A72,6),分期持仓明细!$B$3:$Y$3,0))*INDEX('实盘净值数据(iFinD公式)'!$B$5:$Y$1000,$B$81,MATCH($A72,'实盘净值数据(iFinD公式)'!$B$3:$Y$3,0))/INDEX('实盘净值数据(iFinD公式)'!$B$5:$Y$1000,MATCH(J$84,'实盘净值数据(iFinD公式)'!$A$5:$A$1000,0),MATCH($A72,'实盘净值数据(iFinD公式)'!$B$3:$Y$3,0))/J$85,J108)</f>
        <v>4.9542169079007554E-3</v>
      </c>
      <c r="K72" s="55">
        <f ca="1">IFERROR(INDEX(分期持仓明细!$B$5:$Y$200,K$82-4,MATCH(LEFT($A72,6),分期持仓明细!$B$3:$Y$3,0))*INDEX('实盘净值数据(iFinD公式)'!$B$5:$Y$1000,$B$81,MATCH($A72,'实盘净值数据(iFinD公式)'!$B$3:$Y$3,0))/INDEX('实盘净值数据(iFinD公式)'!$B$5:$Y$1000,MATCH(K$84,'实盘净值数据(iFinD公式)'!$A$5:$A$1000,0),MATCH($A72,'实盘净值数据(iFinD公式)'!$B$3:$Y$3,0))/K$85,K108)</f>
        <v>0</v>
      </c>
      <c r="L72" s="55">
        <f ca="1">IFERROR(INDEX(分期持仓明细!$B$5:$Y$200,L$82-4,MATCH(LEFT($A72,6),分期持仓明细!$B$3:$Y$3,0))*INDEX('实盘净值数据(iFinD公式)'!$B$5:$Y$1000,$B$81,MATCH($A72,'实盘净值数据(iFinD公式)'!$B$3:$Y$3,0))/INDEX('实盘净值数据(iFinD公式)'!$B$5:$Y$1000,MATCH(L$84,'实盘净值数据(iFinD公式)'!$A$5:$A$1000,0),MATCH($A72,'实盘净值数据(iFinD公式)'!$B$3:$Y$3,0))/L$85,L108)</f>
        <v>1.4925470484583508E-2</v>
      </c>
      <c r="M72" t="str">
        <f ca="1">IF(G72&gt;0,COUNTIF(G$53:G72,"&gt;0"),"")</f>
        <v/>
      </c>
      <c r="N72" t="str">
        <f ca="1">IF(H72&gt;0,COUNTIF(H$53:H72,"&gt;0"),"")</f>
        <v/>
      </c>
      <c r="O72">
        <f ca="1">IF(I72&gt;0,COUNTIF(I$53:I72,"&gt;0"),"")</f>
        <v>6</v>
      </c>
      <c r="P72">
        <f ca="1">IF(J72&gt;0,COUNTIF(J$53:J72,"&gt;0"),"")</f>
        <v>10</v>
      </c>
      <c r="Q72" t="str">
        <f ca="1">IF(K72&gt;0,COUNTIF(K$53:K72,"&gt;0"),"")</f>
        <v/>
      </c>
      <c r="R72">
        <f ca="1">IF(L72&gt;0,COUNTIF(L$53:L72,"&gt;0"),"")</f>
        <v>10</v>
      </c>
    </row>
    <row r="73" spans="1:18" ht="13">
      <c r="A73" s="54" t="s">
        <v>49</v>
      </c>
      <c r="B73" s="52" t="s">
        <v>265</v>
      </c>
      <c r="C73" s="54" t="s">
        <v>242</v>
      </c>
      <c r="D73" s="54" t="s">
        <v>246</v>
      </c>
      <c r="E73" s="54" t="s">
        <v>246</v>
      </c>
      <c r="F73" s="54" t="s">
        <v>247</v>
      </c>
      <c r="G73" s="55">
        <f ca="1">IFERROR(INDEX(分期持仓明细!$B$5:$Y$200,G$82-4,MATCH(LEFT($A73,6),分期持仓明细!$B$3:$Y$3,0))*INDEX('实盘净值数据(iFinD公式)'!$B$5:$Y$1000,$B$81,MATCH($A73,'实盘净值数据(iFinD公式)'!$B$3:$Y$3,0))/INDEX('实盘净值数据(iFinD公式)'!$B$5:$Y$1000,MATCH(G$84,'实盘净值数据(iFinD公式)'!$A$5:$A$1000,0),MATCH($A73,'实盘净值数据(iFinD公式)'!$B$3:$Y$3,0))/G$85,G109)</f>
        <v>0</v>
      </c>
      <c r="H73" s="55">
        <f ca="1">IFERROR(INDEX(分期持仓明细!$B$5:$Y$200,H$82-4,MATCH(LEFT($A73,6),分期持仓明细!$B$3:$Y$3,0))*INDEX('实盘净值数据(iFinD公式)'!$B$5:$Y$1000,$B$81,MATCH($A73,'实盘净值数据(iFinD公式)'!$B$3:$Y$3,0))/INDEX('实盘净值数据(iFinD公式)'!$B$5:$Y$1000,MATCH(H$84,'实盘净值数据(iFinD公式)'!$A$5:$A$1000,0),MATCH($A73,'实盘净值数据(iFinD公式)'!$B$3:$Y$3,0))/H$85,H109)</f>
        <v>0</v>
      </c>
      <c r="I73" s="55">
        <f ca="1">IFERROR(INDEX(分期持仓明细!$B$5:$Y$200,I$82-4,MATCH(LEFT($A73,6),分期持仓明细!$B$3:$Y$3,0))*INDEX('实盘净值数据(iFinD公式)'!$B$5:$Y$1000,$B$81,MATCH($A73,'实盘净值数据(iFinD公式)'!$B$3:$Y$3,0))/INDEX('实盘净值数据(iFinD公式)'!$B$5:$Y$1000,MATCH(I$84,'实盘净值数据(iFinD公式)'!$A$5:$A$1000,0),MATCH($A73,'实盘净值数据(iFinD公式)'!$B$3:$Y$3,0))/I$85,I109)</f>
        <v>0</v>
      </c>
      <c r="J73" s="55">
        <f ca="1">IFERROR(INDEX(分期持仓明细!$B$5:$Y$200,J$82-4,MATCH(LEFT($A73,6),分期持仓明细!$B$3:$Y$3,0))*INDEX('实盘净值数据(iFinD公式)'!$B$5:$Y$1000,$B$81,MATCH($A73,'实盘净值数据(iFinD公式)'!$B$3:$Y$3,0))/INDEX('实盘净值数据(iFinD公式)'!$B$5:$Y$1000,MATCH(J$84,'实盘净值数据(iFinD公式)'!$A$5:$A$1000,0),MATCH($A73,'实盘净值数据(iFinD公式)'!$B$3:$Y$3,0))/J$85,J109)</f>
        <v>0</v>
      </c>
      <c r="K73" s="55">
        <f ca="1">IFERROR(INDEX(分期持仓明细!$B$5:$Y$200,K$82-4,MATCH(LEFT($A73,6),分期持仓明细!$B$3:$Y$3,0))*INDEX('实盘净值数据(iFinD公式)'!$B$5:$Y$1000,$B$81,MATCH($A73,'实盘净值数据(iFinD公式)'!$B$3:$Y$3,0))/INDEX('实盘净值数据(iFinD公式)'!$B$5:$Y$1000,MATCH(K$84,'实盘净值数据(iFinD公式)'!$A$5:$A$1000,0),MATCH($A73,'实盘净值数据(iFinD公式)'!$B$3:$Y$3,0))/K$85,K109)</f>
        <v>1.2765068799020993E-2</v>
      </c>
      <c r="L73" s="55">
        <f ca="1">IFERROR(INDEX(分期持仓明细!$B$5:$Y$200,L$82-4,MATCH(LEFT($A73,6),分期持仓明细!$B$3:$Y$3,0))*INDEX('实盘净值数据(iFinD公式)'!$B$5:$Y$1000,$B$81,MATCH($A73,'实盘净值数据(iFinD公式)'!$B$3:$Y$3,0))/INDEX('实盘净值数据(iFinD公式)'!$B$5:$Y$1000,MATCH(L$84,'实盘净值数据(iFinD公式)'!$A$5:$A$1000,0),MATCH($A73,'实盘净值数据(iFinD公式)'!$B$3:$Y$3,0))/L$85,L109)</f>
        <v>0</v>
      </c>
      <c r="M73" t="str">
        <f ca="1">IF(G73&gt;0,COUNTIF(G$53:G73,"&gt;0"),"")</f>
        <v/>
      </c>
      <c r="N73" t="str">
        <f ca="1">IF(H73&gt;0,COUNTIF(H$53:H73,"&gt;0"),"")</f>
        <v/>
      </c>
      <c r="O73" t="str">
        <f ca="1">IF(I73&gt;0,COUNTIF(I$53:I73,"&gt;0"),"")</f>
        <v/>
      </c>
      <c r="P73" t="str">
        <f ca="1">IF(J73&gt;0,COUNTIF(J$53:J73,"&gt;0"),"")</f>
        <v/>
      </c>
      <c r="Q73">
        <f ca="1">IF(K73&gt;0,COUNTIF(K$53:K73,"&gt;0"),"")</f>
        <v>11</v>
      </c>
      <c r="R73" t="str">
        <f ca="1">IF(L73&gt;0,COUNTIF(L$53:L73,"&gt;0"),"")</f>
        <v/>
      </c>
    </row>
    <row r="74" spans="1:18" ht="13">
      <c r="A74" s="54" t="s">
        <v>50</v>
      </c>
      <c r="B74" s="52" t="s">
        <v>266</v>
      </c>
      <c r="C74" s="54" t="s">
        <v>242</v>
      </c>
      <c r="D74" s="54" t="s">
        <v>246</v>
      </c>
      <c r="E74" s="54" t="s">
        <v>246</v>
      </c>
      <c r="F74" s="54" t="s">
        <v>249</v>
      </c>
      <c r="G74" s="55">
        <f ca="1">IFERROR(INDEX(分期持仓明细!$B$5:$Y$200,G$82-4,MATCH(LEFT($A74,6),分期持仓明细!$B$3:$Y$3,0))*INDEX('实盘净值数据(iFinD公式)'!$B$5:$Y$1000,$B$81,MATCH($A74,'实盘净值数据(iFinD公式)'!$B$3:$Y$3,0))/INDEX('实盘净值数据(iFinD公式)'!$B$5:$Y$1000,MATCH(G$84,'实盘净值数据(iFinD公式)'!$A$5:$A$1000,0),MATCH($A74,'实盘净值数据(iFinD公式)'!$B$3:$Y$3,0))/G$85,G110)</f>
        <v>0</v>
      </c>
      <c r="H74" s="55">
        <f ca="1">IFERROR(INDEX(分期持仓明细!$B$5:$Y$200,H$82-4,MATCH(LEFT($A74,6),分期持仓明细!$B$3:$Y$3,0))*INDEX('实盘净值数据(iFinD公式)'!$B$5:$Y$1000,$B$81,MATCH($A74,'实盘净值数据(iFinD公式)'!$B$3:$Y$3,0))/INDEX('实盘净值数据(iFinD公式)'!$B$5:$Y$1000,MATCH(H$84,'实盘净值数据(iFinD公式)'!$A$5:$A$1000,0),MATCH($A74,'实盘净值数据(iFinD公式)'!$B$3:$Y$3,0))/H$85,H110)</f>
        <v>0</v>
      </c>
      <c r="I74" s="55">
        <f ca="1">IFERROR(INDEX(分期持仓明细!$B$5:$Y$200,I$82-4,MATCH(LEFT($A74,6),分期持仓明细!$B$3:$Y$3,0))*INDEX('实盘净值数据(iFinD公式)'!$B$5:$Y$1000,$B$81,MATCH($A74,'实盘净值数据(iFinD公式)'!$B$3:$Y$3,0))/INDEX('实盘净值数据(iFinD公式)'!$B$5:$Y$1000,MATCH(I$84,'实盘净值数据(iFinD公式)'!$A$5:$A$1000,0),MATCH($A74,'实盘净值数据(iFinD公式)'!$B$3:$Y$3,0))/I$85,I110)</f>
        <v>0</v>
      </c>
      <c r="J74" s="55">
        <f ca="1">IFERROR(INDEX(分期持仓明细!$B$5:$Y$200,J$82-4,MATCH(LEFT($A74,6),分期持仓明细!$B$3:$Y$3,0))*INDEX('实盘净值数据(iFinD公式)'!$B$5:$Y$1000,$B$81,MATCH($A74,'实盘净值数据(iFinD公式)'!$B$3:$Y$3,0))/INDEX('实盘净值数据(iFinD公式)'!$B$5:$Y$1000,MATCH(J$84,'实盘净值数据(iFinD公式)'!$A$5:$A$1000,0),MATCH($A74,'实盘净值数据(iFinD公式)'!$B$3:$Y$3,0))/J$85,J110)</f>
        <v>1.2796353994134741E-2</v>
      </c>
      <c r="K74" s="55">
        <f ca="1">IFERROR(INDEX(分期持仓明细!$B$5:$Y$200,K$82-4,MATCH(LEFT($A74,6),分期持仓明细!$B$3:$Y$3,0))*INDEX('实盘净值数据(iFinD公式)'!$B$5:$Y$1000,$B$81,MATCH($A74,'实盘净值数据(iFinD公式)'!$B$3:$Y$3,0))/INDEX('实盘净值数据(iFinD公式)'!$B$5:$Y$1000,MATCH(K$84,'实盘净值数据(iFinD公式)'!$A$5:$A$1000,0),MATCH($A74,'实盘净值数据(iFinD公式)'!$B$3:$Y$3,0))/K$85,K110)</f>
        <v>0</v>
      </c>
      <c r="L74" s="55">
        <f ca="1">IFERROR(INDEX(分期持仓明细!$B$5:$Y$200,L$82-4,MATCH(LEFT($A74,6),分期持仓明细!$B$3:$Y$3,0))*INDEX('实盘净值数据(iFinD公式)'!$B$5:$Y$1000,$B$81,MATCH($A74,'实盘净值数据(iFinD公式)'!$B$3:$Y$3,0))/INDEX('实盘净值数据(iFinD公式)'!$B$5:$Y$1000,MATCH(L$84,'实盘净值数据(iFinD公式)'!$A$5:$A$1000,0),MATCH($A74,'实盘净值数据(iFinD公式)'!$B$3:$Y$3,0))/L$85,L110)</f>
        <v>3.8551865407699858E-2</v>
      </c>
      <c r="M74" t="str">
        <f ca="1">IF(G74&gt;0,COUNTIF(G$53:G74,"&gt;0"),"")</f>
        <v/>
      </c>
      <c r="N74" t="str">
        <f ca="1">IF(H74&gt;0,COUNTIF(H$53:H74,"&gt;0"),"")</f>
        <v/>
      </c>
      <c r="O74" t="str">
        <f ca="1">IF(I74&gt;0,COUNTIF(I$53:I74,"&gt;0"),"")</f>
        <v/>
      </c>
      <c r="P74">
        <f ca="1">IF(J74&gt;0,COUNTIF(J$53:J74,"&gt;0"),"")</f>
        <v>11</v>
      </c>
      <c r="Q74" t="str">
        <f ca="1">IF(K74&gt;0,COUNTIF(K$53:K74,"&gt;0"),"")</f>
        <v/>
      </c>
      <c r="R74">
        <f ca="1">IF(L74&gt;0,COUNTIF(L$53:L74,"&gt;0"),"")</f>
        <v>11</v>
      </c>
    </row>
    <row r="75" spans="1:18" ht="13">
      <c r="A75" s="54" t="s">
        <v>51</v>
      </c>
      <c r="B75" s="52" t="s">
        <v>267</v>
      </c>
      <c r="C75" s="54" t="s">
        <v>234</v>
      </c>
      <c r="D75" s="54" t="s">
        <v>235</v>
      </c>
      <c r="E75" s="54" t="s">
        <v>268</v>
      </c>
      <c r="F75" s="54" t="s">
        <v>269</v>
      </c>
      <c r="G75" s="55">
        <f ca="1">IFERROR(INDEX(分期持仓明细!$B$5:$Y$200,G$82-4,MATCH(LEFT($A75,6),分期持仓明细!$B$3:$Y$3,0))*INDEX('实盘净值数据(iFinD公式)'!$B$5:$Y$1000,$B$81,MATCH($A75,'实盘净值数据(iFinD公式)'!$B$3:$Y$3,0))/INDEX('实盘净值数据(iFinD公式)'!$B$5:$Y$1000,MATCH(G$84,'实盘净值数据(iFinD公式)'!$A$5:$A$1000,0),MATCH($A75,'实盘净值数据(iFinD公式)'!$B$3:$Y$3,0))/G$85,G111)</f>
        <v>0</v>
      </c>
      <c r="H75" s="55">
        <f ca="1">IFERROR(INDEX(分期持仓明细!$B$5:$Y$200,H$82-4,MATCH(LEFT($A75,6),分期持仓明细!$B$3:$Y$3,0))*INDEX('实盘净值数据(iFinD公式)'!$B$5:$Y$1000,$B$81,MATCH($A75,'实盘净值数据(iFinD公式)'!$B$3:$Y$3,0))/INDEX('实盘净值数据(iFinD公式)'!$B$5:$Y$1000,MATCH(H$84,'实盘净值数据(iFinD公式)'!$A$5:$A$1000,0),MATCH($A75,'实盘净值数据(iFinD公式)'!$B$3:$Y$3,0))/H$85,H111)</f>
        <v>0</v>
      </c>
      <c r="I75" s="55">
        <f ca="1">IFERROR(INDEX(分期持仓明细!$B$5:$Y$200,I$82-4,MATCH(LEFT($A75,6),分期持仓明细!$B$3:$Y$3,0))*INDEX('实盘净值数据(iFinD公式)'!$B$5:$Y$1000,$B$81,MATCH($A75,'实盘净值数据(iFinD公式)'!$B$3:$Y$3,0))/INDEX('实盘净值数据(iFinD公式)'!$B$5:$Y$1000,MATCH(I$84,'实盘净值数据(iFinD公式)'!$A$5:$A$1000,0),MATCH($A75,'实盘净值数据(iFinD公式)'!$B$3:$Y$3,0))/I$85,I111)</f>
        <v>0</v>
      </c>
      <c r="J75" s="55">
        <f ca="1">IFERROR(INDEX(分期持仓明细!$B$5:$Y$200,J$82-4,MATCH(LEFT($A75,6),分期持仓明细!$B$3:$Y$3,0))*INDEX('实盘净值数据(iFinD公式)'!$B$5:$Y$1000,$B$81,MATCH($A75,'实盘净值数据(iFinD公式)'!$B$3:$Y$3,0))/INDEX('实盘净值数据(iFinD公式)'!$B$5:$Y$1000,MATCH(J$84,'实盘净值数据(iFinD公式)'!$A$5:$A$1000,0),MATCH($A75,'实盘净值数据(iFinD公式)'!$B$3:$Y$3,0))/J$85,J111)</f>
        <v>0.8008187229203021</v>
      </c>
      <c r="K75" s="55">
        <f ca="1">IFERROR(INDEX(分期持仓明细!$B$5:$Y$200,K$82-4,MATCH(LEFT($A75,6),分期持仓明细!$B$3:$Y$3,0))*INDEX('实盘净值数据(iFinD公式)'!$B$5:$Y$1000,$B$81,MATCH($A75,'实盘净值数据(iFinD公式)'!$B$3:$Y$3,0))/INDEX('实盘净值数据(iFinD公式)'!$B$5:$Y$1000,MATCH(K$84,'实盘净值数据(iFinD公式)'!$A$5:$A$1000,0),MATCH($A75,'实盘净值数据(iFinD公式)'!$B$3:$Y$3,0))/K$85,K111)</f>
        <v>0.80068876300896286</v>
      </c>
      <c r="L75" s="55">
        <f ca="1">IFERROR(INDEX(分期持仓明细!$B$5:$Y$200,L$82-4,MATCH(LEFT($A75,6),分期持仓明细!$B$3:$Y$3,0))*INDEX('实盘净值数据(iFinD公式)'!$B$5:$Y$1000,$B$81,MATCH($A75,'实盘净值数据(iFinD公式)'!$B$3:$Y$3,0))/INDEX('实盘净值数据(iFinD公式)'!$B$5:$Y$1000,MATCH(L$84,'实盘净值数据(iFinD公式)'!$A$5:$A$1000,0),MATCH($A75,'实盘净值数据(iFinD公式)'!$B$3:$Y$3,0))/L$85,L111)</f>
        <v>0.4983340039792688</v>
      </c>
      <c r="M75" t="str">
        <f ca="1">IF(G75&gt;0,COUNTIF(G$53:G75,"&gt;0"),"")</f>
        <v/>
      </c>
      <c r="N75" t="str">
        <f ca="1">IF(H75&gt;0,COUNTIF(H$53:H75,"&gt;0"),"")</f>
        <v/>
      </c>
      <c r="O75" t="str">
        <f ca="1">IF(I75&gt;0,COUNTIF(I$53:I75,"&gt;0"),"")</f>
        <v/>
      </c>
      <c r="P75">
        <f ca="1">IF(J75&gt;0,COUNTIF(J$53:J75,"&gt;0"),"")</f>
        <v>12</v>
      </c>
      <c r="Q75">
        <f ca="1">IF(K75&gt;0,COUNTIF(K$53:K75,"&gt;0"),"")</f>
        <v>12</v>
      </c>
      <c r="R75">
        <f ca="1">IF(L75&gt;0,COUNTIF(L$53:L75,"&gt;0"),"")</f>
        <v>12</v>
      </c>
    </row>
    <row r="76" spans="1:18" ht="13">
      <c r="A76" s="54" t="s">
        <v>61</v>
      </c>
      <c r="B76" s="52" t="s">
        <v>62</v>
      </c>
      <c r="C76" s="54" t="s">
        <v>242</v>
      </c>
      <c r="D76" s="54" t="s">
        <v>230</v>
      </c>
      <c r="E76" s="54" t="s">
        <v>243</v>
      </c>
      <c r="F76" s="54" t="s">
        <v>244</v>
      </c>
      <c r="G76" s="55">
        <f ca="1">IFERROR(INDEX(分期持仓明细!$B$5:$Y$200,G$82-4,MATCH(LEFT($A76,6),分期持仓明细!$B$3:$Y$3,0))*INDEX('实盘净值数据(iFinD公式)'!$B$5:$Y$1000,$B$81,MATCH($A76,'实盘净值数据(iFinD公式)'!$B$3:$Y$3,0))/INDEX('实盘净值数据(iFinD公式)'!$B$5:$Y$1000,MATCH(G$84,'实盘净值数据(iFinD公式)'!$A$5:$A$1000,0),MATCH($A76,'实盘净值数据(iFinD公式)'!$B$3:$Y$3,0))/G$85,G112)</f>
        <v>6.4849866000235096E-2</v>
      </c>
      <c r="H76" s="55">
        <f ca="1">IFERROR(INDEX(分期持仓明细!$B$5:$Y$200,H$82-4,MATCH(LEFT($A76,6),分期持仓明细!$B$3:$Y$3,0))*INDEX('实盘净值数据(iFinD公式)'!$B$5:$Y$1000,$B$81,MATCH($A76,'实盘净值数据(iFinD公式)'!$B$3:$Y$3,0))/INDEX('实盘净值数据(iFinD公式)'!$B$5:$Y$1000,MATCH(H$84,'实盘净值数据(iFinD公式)'!$A$5:$A$1000,0),MATCH($A76,'实盘净值数据(iFinD公式)'!$B$3:$Y$3,0))/H$85,H112)</f>
        <v>6.4852493391323804E-2</v>
      </c>
      <c r="I76" s="55">
        <f ca="1">IFERROR(INDEX(分期持仓明细!$B$5:$Y$200,I$82-4,MATCH(LEFT($A76,6),分期持仓明细!$B$3:$Y$3,0))*INDEX('实盘净值数据(iFinD公式)'!$B$5:$Y$1000,$B$81,MATCH($A76,'实盘净值数据(iFinD公式)'!$B$3:$Y$3,0))/INDEX('实盘净值数据(iFinD公式)'!$B$5:$Y$1000,MATCH(I$84,'实盘净值数据(iFinD公式)'!$A$5:$A$1000,0),MATCH($A76,'实盘净值数据(iFinD公式)'!$B$3:$Y$3,0))/I$85,I112)</f>
        <v>6.6698258439941552E-2</v>
      </c>
      <c r="J76" s="55">
        <f ca="1">IFERROR(INDEX(分期持仓明细!$B$5:$Y$200,J$82-4,MATCH(LEFT($A76,6),分期持仓明细!$B$3:$Y$3,0))*INDEX('实盘净值数据(iFinD公式)'!$B$5:$Y$1000,$B$81,MATCH($A76,'实盘净值数据(iFinD公式)'!$B$3:$Y$3,0))/INDEX('实盘净值数据(iFinD公式)'!$B$5:$Y$1000,MATCH(J$84,'实盘净值数据(iFinD公式)'!$A$5:$A$1000,0),MATCH($A76,'实盘净值数据(iFinD公式)'!$B$3:$Y$3,0))/J$85,J112)</f>
        <v>8.870734951158107E-3</v>
      </c>
      <c r="K76" s="55">
        <f ca="1">IFERROR(INDEX(分期持仓明细!$B$5:$Y$200,K$82-4,MATCH(LEFT($A76,6),分期持仓明细!$B$3:$Y$3,0))*INDEX('实盘净值数据(iFinD公式)'!$B$5:$Y$1000,$B$81,MATCH($A76,'实盘净值数据(iFinD公式)'!$B$3:$Y$3,0))/INDEX('实盘净值数据(iFinD公式)'!$B$5:$Y$1000,MATCH(K$84,'实盘净值数据(iFinD公式)'!$A$5:$A$1000,0),MATCH($A76,'实盘净值数据(iFinD公式)'!$B$3:$Y$3,0))/K$85,K112)</f>
        <v>8.869840286635006E-3</v>
      </c>
      <c r="L76" s="55">
        <f ca="1">IFERROR(INDEX(分期持仓明细!$B$5:$Y$200,L$82-4,MATCH(LEFT($A76,6),分期持仓明细!$B$3:$Y$3,0))*INDEX('实盘净值数据(iFinD公式)'!$B$5:$Y$1000,$B$81,MATCH($A76,'实盘净值数据(iFinD公式)'!$B$3:$Y$3,0))/INDEX('实盘净值数据(iFinD公式)'!$B$5:$Y$1000,MATCH(L$84,'实盘净值数据(iFinD公式)'!$A$5:$A$1000,0),MATCH($A76,'实盘净值数据(iFinD公式)'!$B$3:$Y$3,0))/L$85,L112)</f>
        <v>2.9074572734295392E-2</v>
      </c>
      <c r="M76">
        <f ca="1">IF(G76&gt;0,COUNTIF(G$53:G76,"&gt;0"),"")</f>
        <v>7</v>
      </c>
      <c r="N76">
        <f ca="1">IF(H76&gt;0,COUNTIF(H$53:H76,"&gt;0"),"")</f>
        <v>7</v>
      </c>
      <c r="O76">
        <f ca="1">IF(I76&gt;0,COUNTIF(I$53:I76,"&gt;0"),"")</f>
        <v>7</v>
      </c>
      <c r="P76">
        <f ca="1">IF(J76&gt;0,COUNTIF(J$53:J76,"&gt;0"),"")</f>
        <v>13</v>
      </c>
      <c r="Q76">
        <f ca="1">IF(K76&gt;0,COUNTIF(K$53:K76,"&gt;0"),"")</f>
        <v>13</v>
      </c>
      <c r="R76">
        <f ca="1">IF(L76&gt;0,COUNTIF(L$53:L76,"&gt;0"),"")</f>
        <v>13</v>
      </c>
    </row>
    <row r="77" spans="1:18" ht="13.5">
      <c r="A77" s="58" t="s">
        <v>25</v>
      </c>
      <c r="B77" s="58"/>
      <c r="C77" s="58"/>
      <c r="D77" s="58"/>
      <c r="E77" s="58"/>
      <c r="F77" s="58"/>
      <c r="G77" s="59">
        <f t="shared" ref="G77:L77" ca="1" si="7">SUM(G53:G76)</f>
        <v>1</v>
      </c>
      <c r="H77" s="59">
        <f t="shared" ca="1" si="7"/>
        <v>1</v>
      </c>
      <c r="I77" s="59">
        <f t="shared" ca="1" si="7"/>
        <v>1</v>
      </c>
      <c r="J77" s="59">
        <f t="shared" ca="1" si="7"/>
        <v>1</v>
      </c>
      <c r="K77" s="59">
        <f t="shared" ca="1" si="7"/>
        <v>0.99999999999999978</v>
      </c>
      <c r="L77" s="59">
        <f t="shared" ca="1" si="7"/>
        <v>1</v>
      </c>
    </row>
    <row r="80" spans="1:18" ht="21" customHeight="1">
      <c r="A80" s="122" t="s">
        <v>270</v>
      </c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</row>
    <row r="81" spans="1:18" ht="28" customHeight="1">
      <c r="A81" s="52" t="s">
        <v>271</v>
      </c>
      <c r="B81" s="60">
        <f ca="1">IFERROR(MATCH(TODAY()-1,'实盘净值数据(iFinD公式)'!$A$5:$A$1000,1),0)</f>
        <v>63</v>
      </c>
      <c r="G81" s="51" t="s">
        <v>230</v>
      </c>
      <c r="H81" s="51" t="s">
        <v>231</v>
      </c>
      <c r="I81" s="51" t="s">
        <v>232</v>
      </c>
      <c r="J81" s="51" t="s">
        <v>214</v>
      </c>
      <c r="K81" s="51" t="s">
        <v>215</v>
      </c>
      <c r="L81" s="51" t="s">
        <v>216</v>
      </c>
    </row>
    <row r="82" spans="1:18" ht="13">
      <c r="A82" s="52" t="s">
        <v>272</v>
      </c>
      <c r="B82" s="53">
        <f ca="1">IF($B$81=0,"",INDEX('实盘净值数据(iFinD公式)'!$A$5:$A$1000,$B$81))</f>
        <v>46280</v>
      </c>
      <c r="F82" s="62" t="s">
        <v>273</v>
      </c>
      <c r="G82" s="52">
        <f t="shared" ref="G82:L82" si="8">IFERROR(MAX(M$86:M$281),0)</f>
        <v>17</v>
      </c>
      <c r="H82" s="52">
        <f t="shared" si="8"/>
        <v>18</v>
      </c>
      <c r="I82" s="52">
        <f t="shared" si="8"/>
        <v>19</v>
      </c>
      <c r="J82" s="52">
        <f t="shared" si="8"/>
        <v>20</v>
      </c>
      <c r="K82" s="52">
        <f t="shared" si="8"/>
        <v>21</v>
      </c>
      <c r="L82" s="52">
        <f t="shared" si="8"/>
        <v>22</v>
      </c>
    </row>
    <row r="83" spans="1:18" ht="32.15" customHeight="1">
      <c r="A83" s="52"/>
      <c r="B83" s="52"/>
      <c r="F83" s="62" t="s">
        <v>274</v>
      </c>
      <c r="G83" s="63" t="str">
        <f>IF(G$82=0,"",INDEX(分期持仓明细!$A$5:$A$200,G$82-4))</f>
        <v>产业趋势 · P1(7/10调仓后)</v>
      </c>
      <c r="H83" s="63" t="str">
        <f>IF(H$82=0,"",INDEX(分期持仓明细!$A$5:$A$200,H$82-4))</f>
        <v>产业趋势基石 · P1(7/10调仓后)</v>
      </c>
      <c r="I83" s="63" t="str">
        <f>IF(I$82=0,"",INDEX(分期持仓明细!$A$5:$A$200,I$82-4))</f>
        <v>产业趋势2号 · P1(7/10调仓后)</v>
      </c>
      <c r="J83" s="63" t="str">
        <f>IF(J$82=0,"",INDEX(分期持仓明细!$A$5:$A$200,J$82-4))</f>
        <v>10-90 · P3(7/17调仓后)</v>
      </c>
      <c r="K83" s="63" t="str">
        <f>IF(K$82=0,"",INDEX(分期持仓明细!$A$5:$A$200,K$82-4))</f>
        <v>10-90基石 · P3(7/17调仓后)</v>
      </c>
      <c r="L83" s="63" t="str">
        <f>IF(L$82=0,"",INDEX(分期持仓明细!$A$5:$A$200,L$82-4))</f>
        <v>30-70 · P3(7/17调仓后)</v>
      </c>
    </row>
    <row r="84" spans="1:18" ht="13">
      <c r="A84" s="52"/>
      <c r="B84" s="52"/>
      <c r="F84" s="62" t="s">
        <v>98</v>
      </c>
      <c r="G84" s="53">
        <f>IF(G$82=0,"",INDEX(分期持仓明细!$AA$5:$AA$200,G$82-4))</f>
        <v>46213</v>
      </c>
      <c r="H84" s="53">
        <f>IF(H$82=0,"",INDEX(分期持仓明细!$AA$5:$AA$200,H$82-4))</f>
        <v>46213</v>
      </c>
      <c r="I84" s="53">
        <f>IF(I$82=0,"",INDEX(分期持仓明细!$AA$5:$AA$200,I$82-4))</f>
        <v>46213</v>
      </c>
      <c r="J84" s="53">
        <f>IF(J$82=0,"",INDEX(分期持仓明细!$AA$5:$AA$200,J$82-4))</f>
        <v>46220</v>
      </c>
      <c r="K84" s="53">
        <f>IF(K$82=0,"",INDEX(分期持仓明细!$AA$5:$AA$200,K$82-4))</f>
        <v>46220</v>
      </c>
      <c r="L84" s="53">
        <f>IF(L$82=0,"",INDEX(分期持仓明细!$AA$5:$AA$200,L$82-4))</f>
        <v>46220</v>
      </c>
    </row>
    <row r="85" spans="1:18" ht="13">
      <c r="A85" s="52"/>
      <c r="B85" s="52"/>
      <c r="F85" s="62" t="s">
        <v>275</v>
      </c>
      <c r="G85" s="61">
        <f ca="1">IFERROR(SUMPRODUCT(INDEX(分期持仓明细!$B$5:$Y$200,G$82-4,0),INDEX('实盘净值数据(iFinD公式)'!$B$5:$Y$1000,$B$81,0)/INDEX('实盘净值数据(iFinD公式)'!$B$5:$Y$1000,MATCH(G$84,'实盘净值数据(iFinD公式)'!$A$5:$A$1000,0),0)),0)</f>
        <v>0.83894596880701722</v>
      </c>
      <c r="H85" s="61">
        <f ca="1">IFERROR(SUMPRODUCT(INDEX(分期持仓明细!$B$5:$Y$200,H$82-4,0),INDEX('实盘净值数据(iFinD公式)'!$B$5:$Y$1000,$B$81,0)/INDEX('实盘净值数据(iFinD公式)'!$B$5:$Y$1000,MATCH(H$84,'实盘净值数据(iFinD公式)'!$A$5:$A$1000,0),0)),0)</f>
        <v>0.83890541462862833</v>
      </c>
      <c r="I85" s="61">
        <f ca="1">IFERROR(SUMPRODUCT(INDEX(分期持仓明细!$B$5:$Y$200,I$82-4,0),INDEX('实盘净值数据(iFinD公式)'!$B$5:$Y$1000,$B$81,0)/INDEX('实盘净值数据(iFinD公式)'!$B$5:$Y$1000,MATCH(I$84,'实盘净值数据(iFinD公式)'!$A$5:$A$1000,0),0)),0)</f>
        <v>0.81568750575285687</v>
      </c>
      <c r="J85" s="61">
        <f ca="1">IFERROR(SUMPRODUCT(INDEX(分期持仓明细!$B$5:$Y$200,J$82-4,0),INDEX('实盘净值数据(iFinD公式)'!$B$5:$Y$1000,$B$81,0)/INDEX('实盘净值数据(iFinD公式)'!$B$5:$Y$1000,MATCH(J$84,'实盘净值数据(iFinD公式)'!$A$5:$A$1000,0),0)),0)</f>
        <v>1.0100136068938357</v>
      </c>
      <c r="K85" s="61">
        <f ca="1">IFERROR(SUMPRODUCT(INDEX(分期持仓明细!$B$5:$Y$200,K$82-4,0),INDEX('实盘净值数据(iFinD公式)'!$B$5:$Y$1000,$B$81,0)/INDEX('实盘净值数据(iFinD公式)'!$B$5:$Y$1000,MATCH(K$84,'实盘净值数据(iFinD公式)'!$A$5:$A$1000,0),0)),0)</f>
        <v>1.0112218524783252</v>
      </c>
      <c r="L85" s="61">
        <f ca="1">IFERROR(SUMPRODUCT(INDEX(分期持仓明细!$B$5:$Y$200,L$82-4,0),INDEX('实盘净值数据(iFinD公式)'!$B$5:$Y$1000,$B$81,0)/INDEX('实盘净值数据(iFinD公式)'!$B$5:$Y$1000,MATCH(L$84,'实盘净值数据(iFinD公式)'!$A$5:$A$1000,0),0)),0)</f>
        <v>1.0125674529284692</v>
      </c>
    </row>
    <row r="86" spans="1:18">
      <c r="M86">
        <f>IF(LEFT(分期持仓明细!$A$5,LEN(G$81)+2)=G$81&amp;" ·",ROW(分期持仓明细!$A$5),0)</f>
        <v>5</v>
      </c>
      <c r="N86">
        <f>IF(LEFT(分期持仓明细!$A$5,LEN(H$81)+2)=H$81&amp;" ·",ROW(分期持仓明细!$A$5),0)</f>
        <v>0</v>
      </c>
      <c r="O86">
        <f>IF(LEFT(分期持仓明细!$A$5,LEN(I$81)+2)=I$81&amp;" ·",ROW(分期持仓明细!$A$5),0)</f>
        <v>0</v>
      </c>
      <c r="P86">
        <f>IF(LEFT(分期持仓明细!$A$5,LEN(J$81)+2)=J$81&amp;" ·",ROW(分期持仓明细!$A$5),0)</f>
        <v>0</v>
      </c>
      <c r="Q86">
        <f>IF(LEFT(分期持仓明细!$A$5,LEN(K$81)+2)=K$81&amp;" ·",ROW(分期持仓明细!$A$5),0)</f>
        <v>0</v>
      </c>
      <c r="R86">
        <f>IF(LEFT(分期持仓明细!$A$5,LEN(L$81)+2)=L$81&amp;" ·",ROW(分期持仓明细!$A$5),0)</f>
        <v>0</v>
      </c>
    </row>
    <row r="87" spans="1:18">
      <c r="M87">
        <f>IF(LEFT(分期持仓明细!$A$6,LEN(G$81)+2)=G$81&amp;" ·",ROW(分期持仓明细!$A$6),0)</f>
        <v>0</v>
      </c>
      <c r="N87">
        <f>IF(LEFT(分期持仓明细!$A$6,LEN(H$81)+2)=H$81&amp;" ·",ROW(分期持仓明细!$A$6),0)</f>
        <v>6</v>
      </c>
      <c r="O87">
        <f>IF(LEFT(分期持仓明细!$A$6,LEN(I$81)+2)=I$81&amp;" ·",ROW(分期持仓明细!$A$6),0)</f>
        <v>0</v>
      </c>
      <c r="P87">
        <f>IF(LEFT(分期持仓明细!$A$6,LEN(J$81)+2)=J$81&amp;" ·",ROW(分期持仓明细!$A$6),0)</f>
        <v>0</v>
      </c>
      <c r="Q87">
        <f>IF(LEFT(分期持仓明细!$A$6,LEN(K$81)+2)=K$81&amp;" ·",ROW(分期持仓明细!$A$6),0)</f>
        <v>0</v>
      </c>
      <c r="R87">
        <f>IF(LEFT(分期持仓明细!$A$6,LEN(L$81)+2)=L$81&amp;" ·",ROW(分期持仓明细!$A$6),0)</f>
        <v>0</v>
      </c>
    </row>
    <row r="88" spans="1:18" ht="14.5">
      <c r="A88" s="124" t="s">
        <v>276</v>
      </c>
      <c r="B88" s="124"/>
      <c r="C88" s="124"/>
      <c r="D88" s="124"/>
      <c r="E88" s="124"/>
      <c r="F88" s="125"/>
      <c r="G88" s="51" t="s">
        <v>230</v>
      </c>
      <c r="H88" s="51" t="s">
        <v>231</v>
      </c>
      <c r="I88" s="51" t="s">
        <v>232</v>
      </c>
      <c r="J88" s="51" t="s">
        <v>214</v>
      </c>
      <c r="K88" s="51" t="s">
        <v>215</v>
      </c>
      <c r="L88" s="51" t="s">
        <v>216</v>
      </c>
      <c r="M88">
        <f>IF(LEFT(分期持仓明细!$A$7,LEN(G$81)+2)=G$81&amp;" ·",ROW(分期持仓明细!$A$7),0)</f>
        <v>0</v>
      </c>
      <c r="N88">
        <f>IF(LEFT(分期持仓明细!$A$7,LEN(H$81)+2)=H$81&amp;" ·",ROW(分期持仓明细!$A$7),0)</f>
        <v>0</v>
      </c>
      <c r="O88">
        <f>IF(LEFT(分期持仓明细!$A$7,LEN(I$81)+2)=I$81&amp;" ·",ROW(分期持仓明细!$A$7),0)</f>
        <v>7</v>
      </c>
      <c r="P88">
        <f>IF(LEFT(分期持仓明细!$A$7,LEN(J$81)+2)=J$81&amp;" ·",ROW(分期持仓明细!$A$7),0)</f>
        <v>0</v>
      </c>
      <c r="Q88">
        <f>IF(LEFT(分期持仓明细!$A$7,LEN(K$81)+2)=K$81&amp;" ·",ROW(分期持仓明细!$A$7),0)</f>
        <v>0</v>
      </c>
      <c r="R88">
        <f>IF(LEFT(分期持仓明细!$A$7,LEN(L$81)+2)=L$81&amp;" ·",ROW(分期持仓明细!$A$7),0)</f>
        <v>0</v>
      </c>
    </row>
    <row r="89" spans="1:18" ht="13">
      <c r="A89" s="54" t="s">
        <v>29</v>
      </c>
      <c r="B89" s="52" t="s">
        <v>233</v>
      </c>
      <c r="C89" s="54" t="s">
        <v>234</v>
      </c>
      <c r="D89" s="54" t="s">
        <v>235</v>
      </c>
      <c r="E89" s="54" t="s">
        <v>236</v>
      </c>
      <c r="F89" s="54" t="s">
        <v>237</v>
      </c>
      <c r="G89" s="55">
        <v>0</v>
      </c>
      <c r="H89" s="55">
        <v>0</v>
      </c>
      <c r="I89" s="55">
        <v>0</v>
      </c>
      <c r="J89" s="55">
        <v>5.4143474472245108E-2</v>
      </c>
      <c r="K89" s="55">
        <v>5.1794493820263125E-2</v>
      </c>
      <c r="L89" s="55">
        <v>0.10785060309605504</v>
      </c>
      <c r="M89">
        <f>IF(LEFT(分期持仓明细!$A$8,LEN(G$81)+2)=G$81&amp;" ·",ROW(分期持仓明细!$A$8),0)</f>
        <v>0</v>
      </c>
      <c r="N89">
        <f>IF(LEFT(分期持仓明细!$A$8,LEN(H$81)+2)=H$81&amp;" ·",ROW(分期持仓明细!$A$8),0)</f>
        <v>0</v>
      </c>
      <c r="O89">
        <f>IF(LEFT(分期持仓明细!$A$8,LEN(I$81)+2)=I$81&amp;" ·",ROW(分期持仓明细!$A$8),0)</f>
        <v>0</v>
      </c>
      <c r="P89">
        <f>IF(LEFT(分期持仓明细!$A$8,LEN(J$81)+2)=J$81&amp;" ·",ROW(分期持仓明细!$A$8),0)</f>
        <v>8</v>
      </c>
      <c r="Q89">
        <f>IF(LEFT(分期持仓明细!$A$8,LEN(K$81)+2)=K$81&amp;" ·",ROW(分期持仓明细!$A$8),0)</f>
        <v>0</v>
      </c>
      <c r="R89">
        <f>IF(LEFT(分期持仓明细!$A$8,LEN(L$81)+2)=L$81&amp;" ·",ROW(分期持仓明细!$A$8),0)</f>
        <v>0</v>
      </c>
    </row>
    <row r="90" spans="1:18" ht="13">
      <c r="A90" s="54" t="s">
        <v>30</v>
      </c>
      <c r="B90" s="52" t="s">
        <v>238</v>
      </c>
      <c r="C90" s="54" t="s">
        <v>234</v>
      </c>
      <c r="D90" s="54" t="s">
        <v>235</v>
      </c>
      <c r="E90" s="54" t="s">
        <v>239</v>
      </c>
      <c r="F90" s="54" t="s">
        <v>240</v>
      </c>
      <c r="G90" s="55">
        <v>5.4338345878986755E-2</v>
      </c>
      <c r="H90" s="55">
        <v>5.3133033237809359E-2</v>
      </c>
      <c r="I90" s="55">
        <v>5.1280127993777687E-2</v>
      </c>
      <c r="J90" s="55">
        <v>4.3923928891400975E-2</v>
      </c>
      <c r="K90" s="55">
        <v>4.395376124085798E-2</v>
      </c>
      <c r="L90" s="55">
        <v>8.5304372068088219E-2</v>
      </c>
      <c r="M90">
        <f>IF(LEFT(分期持仓明细!$A$9,LEN(G$81)+2)=G$81&amp;" ·",ROW(分期持仓明细!$A$9),0)</f>
        <v>0</v>
      </c>
      <c r="N90">
        <f>IF(LEFT(分期持仓明细!$A$9,LEN(H$81)+2)=H$81&amp;" ·",ROW(分期持仓明细!$A$9),0)</f>
        <v>0</v>
      </c>
      <c r="O90">
        <f>IF(LEFT(分期持仓明细!$A$9,LEN(I$81)+2)=I$81&amp;" ·",ROW(分期持仓明细!$A$9),0)</f>
        <v>0</v>
      </c>
      <c r="P90">
        <f>IF(LEFT(分期持仓明细!$A$9,LEN(J$81)+2)=J$81&amp;" ·",ROW(分期持仓明细!$A$9),0)</f>
        <v>9</v>
      </c>
      <c r="Q90">
        <f>IF(LEFT(分期持仓明细!$A$9,LEN(K$81)+2)=K$81&amp;" ·",ROW(分期持仓明细!$A$9),0)</f>
        <v>0</v>
      </c>
      <c r="R90">
        <f>IF(LEFT(分期持仓明细!$A$9,LEN(L$81)+2)=L$81&amp;" ·",ROW(分期持仓明细!$A$9),0)</f>
        <v>0</v>
      </c>
    </row>
    <row r="91" spans="1:18" ht="13">
      <c r="A91" s="54" t="s">
        <v>31</v>
      </c>
      <c r="B91" s="52" t="s">
        <v>241</v>
      </c>
      <c r="C91" s="54" t="s">
        <v>242</v>
      </c>
      <c r="D91" s="54" t="s">
        <v>230</v>
      </c>
      <c r="E91" s="54" t="s">
        <v>243</v>
      </c>
      <c r="F91" s="54" t="s">
        <v>244</v>
      </c>
      <c r="G91" s="55">
        <v>0.1681479854041161</v>
      </c>
      <c r="H91" s="55">
        <v>0.16972434194387825</v>
      </c>
      <c r="I91" s="55">
        <v>0</v>
      </c>
      <c r="J91" s="55">
        <v>0</v>
      </c>
      <c r="K91" s="55">
        <v>8.7369099448945005E-3</v>
      </c>
      <c r="L91" s="55">
        <v>0</v>
      </c>
      <c r="M91">
        <f>IF(LEFT(分期持仓明细!$A$10,LEN(G$81)+2)=G$81&amp;" ·",ROW(分期持仓明细!$A$10),0)</f>
        <v>0</v>
      </c>
      <c r="N91">
        <f>IF(LEFT(分期持仓明细!$A$10,LEN(H$81)+2)=H$81&amp;" ·",ROW(分期持仓明细!$A$10),0)</f>
        <v>0</v>
      </c>
      <c r="O91">
        <f>IF(LEFT(分期持仓明细!$A$10,LEN(I$81)+2)=I$81&amp;" ·",ROW(分期持仓明细!$A$10),0)</f>
        <v>0</v>
      </c>
      <c r="P91">
        <f>IF(LEFT(分期持仓明细!$A$10,LEN(J$81)+2)=J$81&amp;" ·",ROW(分期持仓明细!$A$10),0)</f>
        <v>0</v>
      </c>
      <c r="Q91">
        <f>IF(LEFT(分期持仓明细!$A$10,LEN(K$81)+2)=K$81&amp;" ·",ROW(分期持仓明细!$A$10),0)</f>
        <v>10</v>
      </c>
      <c r="R91">
        <f>IF(LEFT(分期持仓明细!$A$10,LEN(L$81)+2)=L$81&amp;" ·",ROW(分期持仓明细!$A$10),0)</f>
        <v>0</v>
      </c>
    </row>
    <row r="92" spans="1:18" ht="13">
      <c r="A92" s="54" t="s">
        <v>32</v>
      </c>
      <c r="B92" s="52" t="s">
        <v>245</v>
      </c>
      <c r="C92" s="54" t="s">
        <v>242</v>
      </c>
      <c r="D92" s="54" t="s">
        <v>246</v>
      </c>
      <c r="E92" s="54" t="s">
        <v>246</v>
      </c>
      <c r="F92" s="54" t="s">
        <v>247</v>
      </c>
      <c r="G92" s="55">
        <v>0</v>
      </c>
      <c r="H92" s="55">
        <v>0</v>
      </c>
      <c r="I92" s="55">
        <v>0</v>
      </c>
      <c r="J92" s="55">
        <v>0</v>
      </c>
      <c r="K92" s="55">
        <v>1.28975499557758E-2</v>
      </c>
      <c r="L92" s="55">
        <v>0</v>
      </c>
      <c r="M92">
        <f>IF(LEFT(分期持仓明细!$A$11,LEN(G$81)+2)=G$81&amp;" ·",ROW(分期持仓明细!$A$11),0)</f>
        <v>0</v>
      </c>
      <c r="N92">
        <f>IF(LEFT(分期持仓明细!$A$11,LEN(H$81)+2)=H$81&amp;" ·",ROW(分期持仓明细!$A$11),0)</f>
        <v>0</v>
      </c>
      <c r="O92">
        <f>IF(LEFT(分期持仓明细!$A$11,LEN(I$81)+2)=I$81&amp;" ·",ROW(分期持仓明细!$A$11),0)</f>
        <v>0</v>
      </c>
      <c r="P92">
        <f>IF(LEFT(分期持仓明细!$A$11,LEN(J$81)+2)=J$81&amp;" ·",ROW(分期持仓明细!$A$11),0)</f>
        <v>0</v>
      </c>
      <c r="Q92">
        <f>IF(LEFT(分期持仓明细!$A$11,LEN(K$81)+2)=K$81&amp;" ·",ROW(分期持仓明细!$A$11),0)</f>
        <v>11</v>
      </c>
      <c r="R92">
        <f>IF(LEFT(分期持仓明细!$A$11,LEN(L$81)+2)=L$81&amp;" ·",ROW(分期持仓明细!$A$11),0)</f>
        <v>0</v>
      </c>
    </row>
    <row r="93" spans="1:18" ht="13">
      <c r="A93" s="54" t="s">
        <v>33</v>
      </c>
      <c r="B93" s="52" t="s">
        <v>248</v>
      </c>
      <c r="C93" s="54" t="s">
        <v>242</v>
      </c>
      <c r="D93" s="54" t="s">
        <v>246</v>
      </c>
      <c r="E93" s="54" t="s">
        <v>246</v>
      </c>
      <c r="F93" s="54" t="s">
        <v>249</v>
      </c>
      <c r="G93" s="55">
        <v>0</v>
      </c>
      <c r="H93" s="55">
        <v>0</v>
      </c>
      <c r="I93" s="55">
        <v>0</v>
      </c>
      <c r="J93" s="55">
        <v>1.2855558252454736E-2</v>
      </c>
      <c r="K93" s="55">
        <v>0</v>
      </c>
      <c r="L93" s="55">
        <v>3.8410341115140779E-2</v>
      </c>
      <c r="M93">
        <f>IF(LEFT(分期持仓明细!$A$12,LEN(G$81)+2)=G$81&amp;" ·",ROW(分期持仓明细!$A$12),0)</f>
        <v>0</v>
      </c>
      <c r="N93">
        <f>IF(LEFT(分期持仓明细!$A$12,LEN(H$81)+2)=H$81&amp;" ·",ROW(分期持仓明细!$A$12),0)</f>
        <v>0</v>
      </c>
      <c r="O93">
        <f>IF(LEFT(分期持仓明细!$A$12,LEN(I$81)+2)=I$81&amp;" ·",ROW(分期持仓明细!$A$12),0)</f>
        <v>0</v>
      </c>
      <c r="P93">
        <f>IF(LEFT(分期持仓明细!$A$12,LEN(J$81)+2)=J$81&amp;" ·",ROW(分期持仓明细!$A$12),0)</f>
        <v>0</v>
      </c>
      <c r="Q93">
        <f>IF(LEFT(分期持仓明细!$A$12,LEN(K$81)+2)=K$81&amp;" ·",ROW(分期持仓明细!$A$12),0)</f>
        <v>0</v>
      </c>
      <c r="R93">
        <f>IF(LEFT(分期持仓明细!$A$12,LEN(L$81)+2)=L$81&amp;" ·",ROW(分期持仓明细!$A$12),0)</f>
        <v>12</v>
      </c>
    </row>
    <row r="94" spans="1:18" ht="13">
      <c r="A94" s="54" t="s">
        <v>34</v>
      </c>
      <c r="B94" s="52" t="s">
        <v>250</v>
      </c>
      <c r="C94" s="54" t="s">
        <v>242</v>
      </c>
      <c r="D94" s="54" t="s">
        <v>230</v>
      </c>
      <c r="E94" s="54" t="s">
        <v>251</v>
      </c>
      <c r="F94" s="54" t="s">
        <v>244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>
        <f>IF(LEFT(分期持仓明细!$A$13,LEN(G$81)+2)=G$81&amp;" ·",ROW(分期持仓明细!$A$13),0)</f>
        <v>0</v>
      </c>
      <c r="N94">
        <f>IF(LEFT(分期持仓明细!$A$13,LEN(H$81)+2)=H$81&amp;" ·",ROW(分期持仓明细!$A$13),0)</f>
        <v>0</v>
      </c>
      <c r="O94">
        <f>IF(LEFT(分期持仓明细!$A$13,LEN(I$81)+2)=I$81&amp;" ·",ROW(分期持仓明细!$A$13),0)</f>
        <v>0</v>
      </c>
      <c r="P94">
        <f>IF(LEFT(分期持仓明细!$A$13,LEN(J$81)+2)=J$81&amp;" ·",ROW(分期持仓明细!$A$13),0)</f>
        <v>0</v>
      </c>
      <c r="Q94">
        <f>IF(LEFT(分期持仓明细!$A$13,LEN(K$81)+2)=K$81&amp;" ·",ROW(分期持仓明细!$A$13),0)</f>
        <v>0</v>
      </c>
      <c r="R94">
        <f>IF(LEFT(分期持仓明细!$A$13,LEN(L$81)+2)=L$81&amp;" ·",ROW(分期持仓明细!$A$13),0)</f>
        <v>13</v>
      </c>
    </row>
    <row r="95" spans="1:18" ht="13">
      <c r="A95" s="54" t="s">
        <v>35</v>
      </c>
      <c r="B95" s="52" t="s">
        <v>252</v>
      </c>
      <c r="C95" s="54" t="s">
        <v>242</v>
      </c>
      <c r="D95" s="54" t="s">
        <v>230</v>
      </c>
      <c r="E95" s="54" t="s">
        <v>251</v>
      </c>
      <c r="F95" s="54" t="s">
        <v>249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>
        <f>IF(LEFT(分期持仓明细!$A$14,LEN(G$81)+2)=G$81&amp;" ·",ROW(分期持仓明细!$A$14),0)</f>
        <v>0</v>
      </c>
      <c r="N95">
        <f>IF(LEFT(分期持仓明细!$A$14,LEN(H$81)+2)=H$81&amp;" ·",ROW(分期持仓明细!$A$14),0)</f>
        <v>0</v>
      </c>
      <c r="O95">
        <f>IF(LEFT(分期持仓明细!$A$14,LEN(I$81)+2)=I$81&amp;" ·",ROW(分期持仓明细!$A$14),0)</f>
        <v>0</v>
      </c>
      <c r="P95">
        <f>IF(LEFT(分期持仓明细!$A$14,LEN(J$81)+2)=J$81&amp;" ·",ROW(分期持仓明细!$A$14),0)</f>
        <v>14</v>
      </c>
      <c r="Q95">
        <f>IF(LEFT(分期持仓明细!$A$14,LEN(K$81)+2)=K$81&amp;" ·",ROW(分期持仓明细!$A$14),0)</f>
        <v>0</v>
      </c>
      <c r="R95">
        <f>IF(LEFT(分期持仓明细!$A$14,LEN(L$81)+2)=L$81&amp;" ·",ROW(分期持仓明细!$A$14),0)</f>
        <v>0</v>
      </c>
    </row>
    <row r="96" spans="1:18" ht="13">
      <c r="A96" s="54" t="s">
        <v>36</v>
      </c>
      <c r="B96" s="52" t="s">
        <v>9</v>
      </c>
      <c r="C96" s="54" t="s">
        <v>242</v>
      </c>
      <c r="D96" s="54" t="s">
        <v>230</v>
      </c>
      <c r="E96" s="54" t="s">
        <v>243</v>
      </c>
      <c r="F96" s="54" t="s">
        <v>240</v>
      </c>
      <c r="G96" s="55">
        <v>0</v>
      </c>
      <c r="H96" s="55">
        <v>0</v>
      </c>
      <c r="I96" s="55">
        <v>0.18643460253095584</v>
      </c>
      <c r="J96" s="55">
        <v>9.6300294724422451E-3</v>
      </c>
      <c r="K96" s="55">
        <v>0</v>
      </c>
      <c r="L96" s="55">
        <v>2.8773694107794432E-2</v>
      </c>
      <c r="M96">
        <f>IF(LEFT(分期持仓明细!$A$15,LEN(G$81)+2)=G$81&amp;" ·",ROW(分期持仓明细!$A$15),0)</f>
        <v>0</v>
      </c>
      <c r="N96">
        <f>IF(LEFT(分期持仓明细!$A$15,LEN(H$81)+2)=H$81&amp;" ·",ROW(分期持仓明细!$A$15),0)</f>
        <v>0</v>
      </c>
      <c r="O96">
        <f>IF(LEFT(分期持仓明细!$A$15,LEN(I$81)+2)=I$81&amp;" ·",ROW(分期持仓明细!$A$15),0)</f>
        <v>0</v>
      </c>
      <c r="P96">
        <f>IF(LEFT(分期持仓明细!$A$15,LEN(J$81)+2)=J$81&amp;" ·",ROW(分期持仓明细!$A$15),0)</f>
        <v>0</v>
      </c>
      <c r="Q96">
        <f>IF(LEFT(分期持仓明细!$A$15,LEN(K$81)+2)=K$81&amp;" ·",ROW(分期持仓明细!$A$15),0)</f>
        <v>15</v>
      </c>
      <c r="R96">
        <f>IF(LEFT(分期持仓明细!$A$15,LEN(L$81)+2)=L$81&amp;" ·",ROW(分期持仓明细!$A$15),0)</f>
        <v>0</v>
      </c>
    </row>
    <row r="97" spans="1:18" ht="13">
      <c r="A97" s="54" t="s">
        <v>37</v>
      </c>
      <c r="B97" s="52" t="s">
        <v>253</v>
      </c>
      <c r="C97" s="54" t="s">
        <v>242</v>
      </c>
      <c r="D97" s="54" t="s">
        <v>230</v>
      </c>
      <c r="E97" s="54" t="s">
        <v>243</v>
      </c>
      <c r="F97" s="54" t="s">
        <v>244</v>
      </c>
      <c r="G97" s="55">
        <v>0.24648996572257403</v>
      </c>
      <c r="H97" s="55">
        <v>0.24475713621132436</v>
      </c>
      <c r="I97" s="55">
        <v>0</v>
      </c>
      <c r="J97" s="55">
        <v>0</v>
      </c>
      <c r="K97" s="55">
        <v>1.2259140073502661E-2</v>
      </c>
      <c r="L97" s="55">
        <v>0</v>
      </c>
      <c r="M97">
        <f>IF(LEFT(分期持仓明细!$A$16,LEN(G$81)+2)=G$81&amp;" ·",ROW(分期持仓明细!$A$16),0)</f>
        <v>0</v>
      </c>
      <c r="N97">
        <f>IF(LEFT(分期持仓明细!$A$16,LEN(H$81)+2)=H$81&amp;" ·",ROW(分期持仓明细!$A$16),0)</f>
        <v>0</v>
      </c>
      <c r="O97">
        <f>IF(LEFT(分期持仓明细!$A$16,LEN(I$81)+2)=I$81&amp;" ·",ROW(分期持仓明细!$A$16),0)</f>
        <v>0</v>
      </c>
      <c r="P97">
        <f>IF(LEFT(分期持仓明细!$A$16,LEN(J$81)+2)=J$81&amp;" ·",ROW(分期持仓明细!$A$16),0)</f>
        <v>0</v>
      </c>
      <c r="Q97">
        <f>IF(LEFT(分期持仓明细!$A$16,LEN(K$81)+2)=K$81&amp;" ·",ROW(分期持仓明细!$A$16),0)</f>
        <v>0</v>
      </c>
      <c r="R97">
        <f>IF(LEFT(分期持仓明细!$A$16,LEN(L$81)+2)=L$81&amp;" ·",ROW(分期持仓明细!$A$16),0)</f>
        <v>16</v>
      </c>
    </row>
    <row r="98" spans="1:18" ht="13">
      <c r="A98" s="54" t="s">
        <v>38</v>
      </c>
      <c r="B98" s="52" t="s">
        <v>254</v>
      </c>
      <c r="C98" s="54" t="s">
        <v>242</v>
      </c>
      <c r="D98" s="54" t="s">
        <v>230</v>
      </c>
      <c r="E98" s="54" t="s">
        <v>243</v>
      </c>
      <c r="F98" s="54" t="s">
        <v>249</v>
      </c>
      <c r="G98" s="55">
        <v>0</v>
      </c>
      <c r="H98" s="55">
        <v>0</v>
      </c>
      <c r="I98" s="55">
        <v>0.23333425378822176</v>
      </c>
      <c r="J98" s="55">
        <v>1.1060670436649926E-2</v>
      </c>
      <c r="K98" s="55">
        <v>0</v>
      </c>
      <c r="L98" s="55">
        <v>3.3047210898090498E-2</v>
      </c>
      <c r="M98">
        <f>IF(LEFT(分期持仓明细!$A$17,LEN(G$81)+2)=G$81&amp;" ·",ROW(分期持仓明细!$A$17),0)</f>
        <v>17</v>
      </c>
      <c r="N98">
        <f>IF(LEFT(分期持仓明细!$A$17,LEN(H$81)+2)=H$81&amp;" ·",ROW(分期持仓明细!$A$17),0)</f>
        <v>0</v>
      </c>
      <c r="O98">
        <f>IF(LEFT(分期持仓明细!$A$17,LEN(I$81)+2)=I$81&amp;" ·",ROW(分期持仓明细!$A$17),0)</f>
        <v>0</v>
      </c>
      <c r="P98">
        <f>IF(LEFT(分期持仓明细!$A$17,LEN(J$81)+2)=J$81&amp;" ·",ROW(分期持仓明细!$A$17),0)</f>
        <v>0</v>
      </c>
      <c r="Q98">
        <f>IF(LEFT(分期持仓明细!$A$17,LEN(K$81)+2)=K$81&amp;" ·",ROW(分期持仓明细!$A$17),0)</f>
        <v>0</v>
      </c>
      <c r="R98">
        <f>IF(LEFT(分期持仓明细!$A$17,LEN(L$81)+2)=L$81&amp;" ·",ROW(分期持仓明细!$A$17),0)</f>
        <v>0</v>
      </c>
    </row>
    <row r="99" spans="1:18" ht="13">
      <c r="A99" s="54" t="s">
        <v>39</v>
      </c>
      <c r="B99" s="52" t="s">
        <v>255</v>
      </c>
      <c r="C99" s="54" t="s">
        <v>242</v>
      </c>
      <c r="D99" s="54" t="s">
        <v>246</v>
      </c>
      <c r="E99" s="54" t="s">
        <v>246</v>
      </c>
      <c r="F99" s="54" t="s">
        <v>247</v>
      </c>
      <c r="G99" s="55">
        <v>0</v>
      </c>
      <c r="H99" s="55">
        <v>0</v>
      </c>
      <c r="I99" s="55">
        <v>0</v>
      </c>
      <c r="J99" s="55">
        <v>0</v>
      </c>
      <c r="K99" s="55">
        <v>1.305811206863005E-2</v>
      </c>
      <c r="L99" s="55">
        <v>0</v>
      </c>
      <c r="M99">
        <f>IF(LEFT(分期持仓明细!$A$18,LEN(G$81)+2)=G$81&amp;" ·",ROW(分期持仓明细!$A$18),0)</f>
        <v>0</v>
      </c>
      <c r="N99">
        <f>IF(LEFT(分期持仓明细!$A$18,LEN(H$81)+2)=H$81&amp;" ·",ROW(分期持仓明细!$A$18),0)</f>
        <v>18</v>
      </c>
      <c r="O99">
        <f>IF(LEFT(分期持仓明细!$A$18,LEN(I$81)+2)=I$81&amp;" ·",ROW(分期持仓明细!$A$18),0)</f>
        <v>0</v>
      </c>
      <c r="P99">
        <f>IF(LEFT(分期持仓明细!$A$18,LEN(J$81)+2)=J$81&amp;" ·",ROW(分期持仓明细!$A$18),0)</f>
        <v>0</v>
      </c>
      <c r="Q99">
        <f>IF(LEFT(分期持仓明细!$A$18,LEN(K$81)+2)=K$81&amp;" ·",ROW(分期持仓明细!$A$18),0)</f>
        <v>0</v>
      </c>
      <c r="R99">
        <f>IF(LEFT(分期持仓明细!$A$18,LEN(L$81)+2)=L$81&amp;" ·",ROW(分期持仓明细!$A$18),0)</f>
        <v>0</v>
      </c>
    </row>
    <row r="100" spans="1:18" ht="13">
      <c r="A100" s="54" t="s">
        <v>40</v>
      </c>
      <c r="B100" s="52" t="s">
        <v>256</v>
      </c>
      <c r="C100" s="54" t="s">
        <v>242</v>
      </c>
      <c r="D100" s="54" t="s">
        <v>246</v>
      </c>
      <c r="E100" s="54" t="s">
        <v>246</v>
      </c>
      <c r="F100" s="54" t="s">
        <v>249</v>
      </c>
      <c r="G100" s="55">
        <v>0</v>
      </c>
      <c r="H100" s="55">
        <v>0</v>
      </c>
      <c r="I100" s="55">
        <v>0</v>
      </c>
      <c r="J100" s="55">
        <v>1.2881708223882951E-2</v>
      </c>
      <c r="K100" s="55">
        <v>0</v>
      </c>
      <c r="L100" s="55">
        <v>3.8491146166847352E-2</v>
      </c>
      <c r="M100">
        <f>IF(LEFT(分期持仓明细!$A$19,LEN(G$81)+2)=G$81&amp;" ·",ROW(分期持仓明细!$A$19),0)</f>
        <v>0</v>
      </c>
      <c r="N100">
        <f>IF(LEFT(分期持仓明细!$A$19,LEN(H$81)+2)=H$81&amp;" ·",ROW(分期持仓明细!$A$19),0)</f>
        <v>0</v>
      </c>
      <c r="O100">
        <f>IF(LEFT(分期持仓明细!$A$19,LEN(I$81)+2)=I$81&amp;" ·",ROW(分期持仓明细!$A$19),0)</f>
        <v>19</v>
      </c>
      <c r="P100">
        <f>IF(LEFT(分期持仓明细!$A$19,LEN(J$81)+2)=J$81&amp;" ·",ROW(分期持仓明细!$A$19),0)</f>
        <v>0</v>
      </c>
      <c r="Q100">
        <f>IF(LEFT(分期持仓明细!$A$19,LEN(K$81)+2)=K$81&amp;" ·",ROW(分期持仓明细!$A$19),0)</f>
        <v>0</v>
      </c>
      <c r="R100">
        <f>IF(LEFT(分期持仓明细!$A$19,LEN(L$81)+2)=L$81&amp;" ·",ROW(分期持仓明细!$A$19),0)</f>
        <v>0</v>
      </c>
    </row>
    <row r="101" spans="1:18" ht="13">
      <c r="A101" s="54" t="s">
        <v>41</v>
      </c>
      <c r="B101" s="52" t="s">
        <v>257</v>
      </c>
      <c r="C101" s="54" t="s">
        <v>242</v>
      </c>
      <c r="D101" s="54" t="s">
        <v>246</v>
      </c>
      <c r="E101" s="54" t="s">
        <v>246</v>
      </c>
      <c r="F101" s="54" t="s">
        <v>247</v>
      </c>
      <c r="G101" s="55">
        <v>0</v>
      </c>
      <c r="H101" s="55">
        <v>0</v>
      </c>
      <c r="I101" s="55">
        <v>0</v>
      </c>
      <c r="J101" s="55">
        <v>0</v>
      </c>
      <c r="K101" s="55">
        <v>1.3311355660962931E-2</v>
      </c>
      <c r="L101" s="55">
        <v>0</v>
      </c>
      <c r="M101">
        <f>IF(LEFT(分期持仓明细!$A$20,LEN(G$81)+2)=G$81&amp;" ·",ROW(分期持仓明细!$A$20),0)</f>
        <v>0</v>
      </c>
      <c r="N101">
        <f>IF(LEFT(分期持仓明细!$A$20,LEN(H$81)+2)=H$81&amp;" ·",ROW(分期持仓明细!$A$20),0)</f>
        <v>0</v>
      </c>
      <c r="O101">
        <f>IF(LEFT(分期持仓明细!$A$20,LEN(I$81)+2)=I$81&amp;" ·",ROW(分期持仓明细!$A$20),0)</f>
        <v>0</v>
      </c>
      <c r="P101">
        <f>IF(LEFT(分期持仓明细!$A$20,LEN(J$81)+2)=J$81&amp;" ·",ROW(分期持仓明细!$A$20),0)</f>
        <v>20</v>
      </c>
      <c r="Q101">
        <f>IF(LEFT(分期持仓明细!$A$20,LEN(K$81)+2)=K$81&amp;" ·",ROW(分期持仓明细!$A$20),0)</f>
        <v>0</v>
      </c>
      <c r="R101">
        <f>IF(LEFT(分期持仓明细!$A$20,LEN(L$81)+2)=L$81&amp;" ·",ROW(分期持仓明细!$A$20),0)</f>
        <v>0</v>
      </c>
    </row>
    <row r="102" spans="1:18" ht="13">
      <c r="A102" s="54" t="s">
        <v>42</v>
      </c>
      <c r="B102" s="52" t="s">
        <v>258</v>
      </c>
      <c r="C102" s="54" t="s">
        <v>242</v>
      </c>
      <c r="D102" s="54" t="s">
        <v>246</v>
      </c>
      <c r="E102" s="54" t="s">
        <v>246</v>
      </c>
      <c r="F102" s="54" t="s">
        <v>249</v>
      </c>
      <c r="G102" s="55">
        <v>0</v>
      </c>
      <c r="H102" s="55">
        <v>0</v>
      </c>
      <c r="I102" s="55">
        <v>0</v>
      </c>
      <c r="J102" s="55">
        <v>1.300899943471813E-2</v>
      </c>
      <c r="K102" s="55">
        <v>0</v>
      </c>
      <c r="L102" s="55">
        <v>3.886861841160838E-2</v>
      </c>
      <c r="M102">
        <f>IF(LEFT(分期持仓明细!$A$21,LEN(G$81)+2)=G$81&amp;" ·",ROW(分期持仓明细!$A$21),0)</f>
        <v>0</v>
      </c>
      <c r="N102">
        <f>IF(LEFT(分期持仓明细!$A$21,LEN(H$81)+2)=H$81&amp;" ·",ROW(分期持仓明细!$A$21),0)</f>
        <v>0</v>
      </c>
      <c r="O102">
        <f>IF(LEFT(分期持仓明细!$A$21,LEN(I$81)+2)=I$81&amp;" ·",ROW(分期持仓明细!$A$21),0)</f>
        <v>0</v>
      </c>
      <c r="P102">
        <f>IF(LEFT(分期持仓明细!$A$21,LEN(J$81)+2)=J$81&amp;" ·",ROW(分期持仓明细!$A$21),0)</f>
        <v>0</v>
      </c>
      <c r="Q102">
        <f>IF(LEFT(分期持仓明细!$A$21,LEN(K$81)+2)=K$81&amp;" ·",ROW(分期持仓明细!$A$21),0)</f>
        <v>21</v>
      </c>
      <c r="R102">
        <f>IF(LEFT(分期持仓明细!$A$21,LEN(L$81)+2)=L$81&amp;" ·",ROW(分期持仓明细!$A$21),0)</f>
        <v>0</v>
      </c>
    </row>
    <row r="103" spans="1:18" ht="13">
      <c r="A103" s="54" t="s">
        <v>43</v>
      </c>
      <c r="B103" s="52" t="s">
        <v>259</v>
      </c>
      <c r="C103" s="54" t="s">
        <v>242</v>
      </c>
      <c r="D103" s="54" t="s">
        <v>230</v>
      </c>
      <c r="E103" s="54" t="s">
        <v>243</v>
      </c>
      <c r="F103" s="54" t="s">
        <v>244</v>
      </c>
      <c r="G103" s="55">
        <v>0.15912488007417924</v>
      </c>
      <c r="H103" s="55">
        <v>0.15902507905426536</v>
      </c>
      <c r="I103" s="55">
        <v>0</v>
      </c>
      <c r="J103" s="55">
        <v>0</v>
      </c>
      <c r="K103" s="55">
        <v>8.4098558006694794E-3</v>
      </c>
      <c r="L103" s="55">
        <v>0</v>
      </c>
      <c r="M103">
        <f>IF(LEFT(分期持仓明细!$A$22,LEN(G$81)+2)=G$81&amp;" ·",ROW(分期持仓明细!$A$22),0)</f>
        <v>0</v>
      </c>
      <c r="N103">
        <f>IF(LEFT(分期持仓明细!$A$22,LEN(H$81)+2)=H$81&amp;" ·",ROW(分期持仓明细!$A$22),0)</f>
        <v>0</v>
      </c>
      <c r="O103">
        <f>IF(LEFT(分期持仓明细!$A$22,LEN(I$81)+2)=I$81&amp;" ·",ROW(分期持仓明细!$A$22),0)</f>
        <v>0</v>
      </c>
      <c r="P103">
        <f>IF(LEFT(分期持仓明细!$A$22,LEN(J$81)+2)=J$81&amp;" ·",ROW(分期持仓明细!$A$22),0)</f>
        <v>0</v>
      </c>
      <c r="Q103">
        <f>IF(LEFT(分期持仓明细!$A$22,LEN(K$81)+2)=K$81&amp;" ·",ROW(分期持仓明细!$A$22),0)</f>
        <v>0</v>
      </c>
      <c r="R103">
        <f>IF(LEFT(分期持仓明细!$A$22,LEN(L$81)+2)=L$81&amp;" ·",ROW(分期持仓明细!$A$22),0)</f>
        <v>22</v>
      </c>
    </row>
    <row r="104" spans="1:18" ht="13">
      <c r="A104" s="54" t="s">
        <v>44</v>
      </c>
      <c r="B104" s="52" t="s">
        <v>260</v>
      </c>
      <c r="C104" s="54" t="s">
        <v>242</v>
      </c>
      <c r="D104" s="54" t="s">
        <v>230</v>
      </c>
      <c r="E104" s="54" t="s">
        <v>243</v>
      </c>
      <c r="F104" s="54" t="s">
        <v>244</v>
      </c>
      <c r="G104" s="55">
        <v>0.17230499151577977</v>
      </c>
      <c r="H104" s="55">
        <v>0.17310992190249347</v>
      </c>
      <c r="I104" s="55">
        <v>0</v>
      </c>
      <c r="J104" s="55">
        <v>0</v>
      </c>
      <c r="K104" s="55">
        <v>8.980180698834838E-3</v>
      </c>
      <c r="L104" s="55">
        <v>0</v>
      </c>
      <c r="M104">
        <f>IF(LEFT(分期持仓明细!$A$23,LEN(G$81)+2)=G$81&amp;" ·",ROW(分期持仓明细!$A$23),0)</f>
        <v>0</v>
      </c>
      <c r="N104">
        <f>IF(LEFT(分期持仓明细!$A$23,LEN(H$81)+2)=H$81&amp;" ·",ROW(分期持仓明细!$A$23),0)</f>
        <v>0</v>
      </c>
      <c r="O104">
        <f>IF(LEFT(分期持仓明细!$A$23,LEN(I$81)+2)=I$81&amp;" ·",ROW(分期持仓明细!$A$23),0)</f>
        <v>0</v>
      </c>
      <c r="P104">
        <f>IF(LEFT(分期持仓明细!$A$23,LEN(J$81)+2)=J$81&amp;" ·",ROW(分期持仓明细!$A$23),0)</f>
        <v>0</v>
      </c>
      <c r="Q104">
        <f>IF(LEFT(分期持仓明细!$A$23,LEN(K$81)+2)=K$81&amp;" ·",ROW(分期持仓明细!$A$23),0)</f>
        <v>0</v>
      </c>
      <c r="R104">
        <f>IF(LEFT(分期持仓明细!$A$23,LEN(L$81)+2)=L$81&amp;" ·",ROW(分期持仓明细!$A$23),0)</f>
        <v>0</v>
      </c>
    </row>
    <row r="105" spans="1:18" ht="13">
      <c r="A105" s="54" t="s">
        <v>45</v>
      </c>
      <c r="B105" s="52" t="s">
        <v>261</v>
      </c>
      <c r="C105" s="54" t="s">
        <v>242</v>
      </c>
      <c r="D105" s="54" t="s">
        <v>230</v>
      </c>
      <c r="E105" s="54" t="s">
        <v>243</v>
      </c>
      <c r="F105" s="54" t="s">
        <v>249</v>
      </c>
      <c r="G105" s="55">
        <v>0</v>
      </c>
      <c r="H105" s="55">
        <v>0</v>
      </c>
      <c r="I105" s="55">
        <v>0.16814227790813516</v>
      </c>
      <c r="J105" s="55">
        <v>8.7136919526273112E-3</v>
      </c>
      <c r="K105" s="55">
        <v>0</v>
      </c>
      <c r="L105" s="55">
        <v>2.6036449968919718E-2</v>
      </c>
      <c r="M105">
        <f>IF(LEFT(分期持仓明细!$A$24,LEN(G$81)+2)=G$81&amp;" ·",ROW(分期持仓明细!$A$24),0)</f>
        <v>0</v>
      </c>
      <c r="N105">
        <f>IF(LEFT(分期持仓明细!$A$24,LEN(H$81)+2)=H$81&amp;" ·",ROW(分期持仓明细!$A$24),0)</f>
        <v>0</v>
      </c>
      <c r="O105">
        <f>IF(LEFT(分期持仓明细!$A$24,LEN(I$81)+2)=I$81&amp;" ·",ROW(分期持仓明细!$A$24),0)</f>
        <v>0</v>
      </c>
      <c r="P105">
        <f>IF(LEFT(分期持仓明细!$A$24,LEN(J$81)+2)=J$81&amp;" ·",ROW(分期持仓明细!$A$24),0)</f>
        <v>0</v>
      </c>
      <c r="Q105">
        <f>IF(LEFT(分期持仓明细!$A$24,LEN(K$81)+2)=K$81&amp;" ·",ROW(分期持仓明细!$A$24),0)</f>
        <v>0</v>
      </c>
      <c r="R105">
        <f>IF(LEFT(分期持仓明细!$A$24,LEN(L$81)+2)=L$81&amp;" ·",ROW(分期持仓明细!$A$24),0)</f>
        <v>0</v>
      </c>
    </row>
    <row r="106" spans="1:18" ht="13">
      <c r="A106" s="54" t="s">
        <v>46</v>
      </c>
      <c r="B106" s="52" t="s">
        <v>262</v>
      </c>
      <c r="C106" s="54" t="s">
        <v>242</v>
      </c>
      <c r="D106" s="54" t="s">
        <v>230</v>
      </c>
      <c r="E106" s="54" t="s">
        <v>243</v>
      </c>
      <c r="F106" s="54" t="s">
        <v>249</v>
      </c>
      <c r="G106" s="55">
        <v>0</v>
      </c>
      <c r="H106" s="55">
        <v>0</v>
      </c>
      <c r="I106" s="55">
        <v>0.16735538109816184</v>
      </c>
      <c r="J106" s="55">
        <v>8.6456671485469483E-3</v>
      </c>
      <c r="K106" s="55">
        <v>0</v>
      </c>
      <c r="L106" s="55">
        <v>2.5834049605666629E-2</v>
      </c>
      <c r="M106">
        <f>IF(LEFT(分期持仓明细!$A$25,LEN(G$81)+2)=G$81&amp;" ·",ROW(分期持仓明细!$A$25),0)</f>
        <v>0</v>
      </c>
      <c r="N106">
        <f>IF(LEFT(分期持仓明细!$A$25,LEN(H$81)+2)=H$81&amp;" ·",ROW(分期持仓明细!$A$25),0)</f>
        <v>0</v>
      </c>
      <c r="O106">
        <f>IF(LEFT(分期持仓明细!$A$25,LEN(I$81)+2)=I$81&amp;" ·",ROW(分期持仓明细!$A$25),0)</f>
        <v>0</v>
      </c>
      <c r="P106">
        <f>IF(LEFT(分期持仓明细!$A$25,LEN(J$81)+2)=J$81&amp;" ·",ROW(分期持仓明细!$A$25),0)</f>
        <v>0</v>
      </c>
      <c r="Q106">
        <f>IF(LEFT(分期持仓明细!$A$25,LEN(K$81)+2)=K$81&amp;" ·",ROW(分期持仓明细!$A$25),0)</f>
        <v>0</v>
      </c>
      <c r="R106">
        <f>IF(LEFT(分期持仓明细!$A$25,LEN(L$81)+2)=L$81&amp;" ·",ROW(分期持仓明细!$A$25),0)</f>
        <v>0</v>
      </c>
    </row>
    <row r="107" spans="1:18" ht="13">
      <c r="A107" s="54" t="s">
        <v>47</v>
      </c>
      <c r="B107" s="52" t="s">
        <v>263</v>
      </c>
      <c r="C107" s="54" t="s">
        <v>242</v>
      </c>
      <c r="D107" s="54" t="s">
        <v>230</v>
      </c>
      <c r="E107" s="54" t="s">
        <v>251</v>
      </c>
      <c r="F107" s="54" t="s">
        <v>244</v>
      </c>
      <c r="G107" s="55">
        <v>0.13112866075668961</v>
      </c>
      <c r="H107" s="55">
        <v>0.1317750117897416</v>
      </c>
      <c r="I107" s="55">
        <v>0</v>
      </c>
      <c r="J107" s="55">
        <v>0</v>
      </c>
      <c r="K107" s="55">
        <v>5.8560968181895854E-3</v>
      </c>
      <c r="L107" s="55">
        <v>0</v>
      </c>
      <c r="M107">
        <f>IF(LEFT(分期持仓明细!$A$26,LEN(G$81)+2)=G$81&amp;" ·",ROW(分期持仓明细!$A$26),0)</f>
        <v>0</v>
      </c>
      <c r="N107">
        <f>IF(LEFT(分期持仓明细!$A$26,LEN(H$81)+2)=H$81&amp;" ·",ROW(分期持仓明细!$A$26),0)</f>
        <v>0</v>
      </c>
      <c r="O107">
        <f>IF(LEFT(分期持仓明细!$A$26,LEN(I$81)+2)=I$81&amp;" ·",ROW(分期持仓明细!$A$26),0)</f>
        <v>0</v>
      </c>
      <c r="P107">
        <f>IF(LEFT(分期持仓明细!$A$26,LEN(J$81)+2)=J$81&amp;" ·",ROW(分期持仓明细!$A$26),0)</f>
        <v>0</v>
      </c>
      <c r="Q107">
        <f>IF(LEFT(分期持仓明细!$A$26,LEN(K$81)+2)=K$81&amp;" ·",ROW(分期持仓明细!$A$26),0)</f>
        <v>0</v>
      </c>
      <c r="R107">
        <f>IF(LEFT(分期持仓明细!$A$26,LEN(L$81)+2)=L$81&amp;" ·",ROW(分期持仓明细!$A$26),0)</f>
        <v>0</v>
      </c>
    </row>
    <row r="108" spans="1:18" ht="13">
      <c r="A108" s="54" t="s">
        <v>48</v>
      </c>
      <c r="B108" s="52" t="s">
        <v>264</v>
      </c>
      <c r="C108" s="54" t="s">
        <v>242</v>
      </c>
      <c r="D108" s="54" t="s">
        <v>230</v>
      </c>
      <c r="E108" s="54" t="s">
        <v>251</v>
      </c>
      <c r="F108" s="54" t="s">
        <v>249</v>
      </c>
      <c r="G108" s="55">
        <v>0</v>
      </c>
      <c r="H108" s="55">
        <v>0</v>
      </c>
      <c r="I108" s="55">
        <v>0.12507142493000778</v>
      </c>
      <c r="J108" s="55">
        <v>5.4133908101450853E-3</v>
      </c>
      <c r="K108" s="55">
        <v>0</v>
      </c>
      <c r="L108" s="55">
        <v>1.6174800858502231E-2</v>
      </c>
      <c r="M108">
        <f>IF(LEFT(分期持仓明细!$A$27,LEN(G$81)+2)=G$81&amp;" ·",ROW(分期持仓明细!$A$27),0)</f>
        <v>0</v>
      </c>
      <c r="N108">
        <f>IF(LEFT(分期持仓明细!$A$27,LEN(H$81)+2)=H$81&amp;" ·",ROW(分期持仓明细!$A$27),0)</f>
        <v>0</v>
      </c>
      <c r="O108">
        <f>IF(LEFT(分期持仓明细!$A$27,LEN(I$81)+2)=I$81&amp;" ·",ROW(分期持仓明细!$A$27),0)</f>
        <v>0</v>
      </c>
      <c r="P108">
        <f>IF(LEFT(分期持仓明细!$A$27,LEN(J$81)+2)=J$81&amp;" ·",ROW(分期持仓明细!$A$27),0)</f>
        <v>0</v>
      </c>
      <c r="Q108">
        <f>IF(LEFT(分期持仓明细!$A$27,LEN(K$81)+2)=K$81&amp;" ·",ROW(分期持仓明细!$A$27),0)</f>
        <v>0</v>
      </c>
      <c r="R108">
        <f>IF(LEFT(分期持仓明细!$A$27,LEN(L$81)+2)=L$81&amp;" ·",ROW(分期持仓明细!$A$27),0)</f>
        <v>0</v>
      </c>
    </row>
    <row r="109" spans="1:18" ht="13">
      <c r="A109" s="54" t="s">
        <v>49</v>
      </c>
      <c r="B109" s="52" t="s">
        <v>265</v>
      </c>
      <c r="C109" s="54" t="s">
        <v>242</v>
      </c>
      <c r="D109" s="54" t="s">
        <v>246</v>
      </c>
      <c r="E109" s="54" t="s">
        <v>246</v>
      </c>
      <c r="F109" s="54" t="s">
        <v>247</v>
      </c>
      <c r="G109" s="55">
        <v>0</v>
      </c>
      <c r="H109" s="55">
        <v>0</v>
      </c>
      <c r="I109" s="55">
        <v>0</v>
      </c>
      <c r="J109" s="55">
        <v>0</v>
      </c>
      <c r="K109" s="55">
        <v>1.2743977694171382E-2</v>
      </c>
      <c r="L109" s="55">
        <v>0</v>
      </c>
      <c r="M109">
        <f>IF(LEFT(分期持仓明细!$A$28,LEN(G$81)+2)=G$81&amp;" ·",ROW(分期持仓明细!$A$28),0)</f>
        <v>0</v>
      </c>
      <c r="N109">
        <f>IF(LEFT(分期持仓明细!$A$28,LEN(H$81)+2)=H$81&amp;" ·",ROW(分期持仓明细!$A$28),0)</f>
        <v>0</v>
      </c>
      <c r="O109">
        <f>IF(LEFT(分期持仓明细!$A$28,LEN(I$81)+2)=I$81&amp;" ·",ROW(分期持仓明细!$A$28),0)</f>
        <v>0</v>
      </c>
      <c r="P109">
        <f>IF(LEFT(分期持仓明细!$A$28,LEN(J$81)+2)=J$81&amp;" ·",ROW(分期持仓明细!$A$28),0)</f>
        <v>0</v>
      </c>
      <c r="Q109">
        <f>IF(LEFT(分期持仓明细!$A$28,LEN(K$81)+2)=K$81&amp;" ·",ROW(分期持仓明细!$A$28),0)</f>
        <v>0</v>
      </c>
      <c r="R109">
        <f>IF(LEFT(分期持仓明细!$A$28,LEN(L$81)+2)=L$81&amp;" ·",ROW(分期持仓明细!$A$28),0)</f>
        <v>0</v>
      </c>
    </row>
    <row r="110" spans="1:18" ht="13">
      <c r="A110" s="54" t="s">
        <v>50</v>
      </c>
      <c r="B110" s="52" t="s">
        <v>266</v>
      </c>
      <c r="C110" s="54" t="s">
        <v>242</v>
      </c>
      <c r="D110" s="54" t="s">
        <v>246</v>
      </c>
      <c r="E110" s="54" t="s">
        <v>246</v>
      </c>
      <c r="F110" s="54" t="s">
        <v>249</v>
      </c>
      <c r="G110" s="55">
        <v>0</v>
      </c>
      <c r="H110" s="55">
        <v>0</v>
      </c>
      <c r="I110" s="55">
        <v>0</v>
      </c>
      <c r="J110" s="55">
        <v>1.2762048562637551E-2</v>
      </c>
      <c r="K110" s="55">
        <v>0</v>
      </c>
      <c r="L110" s="55">
        <v>3.8132571431769798E-2</v>
      </c>
      <c r="M110">
        <f>IF(LEFT(分期持仓明细!$A$29,LEN(G$81)+2)=G$81&amp;" ·",ROW(分期持仓明细!$A$29),0)</f>
        <v>0</v>
      </c>
      <c r="N110">
        <f>IF(LEFT(分期持仓明细!$A$29,LEN(H$81)+2)=H$81&amp;" ·",ROW(分期持仓明细!$A$29),0)</f>
        <v>0</v>
      </c>
      <c r="O110">
        <f>IF(LEFT(分期持仓明细!$A$29,LEN(I$81)+2)=I$81&amp;" ·",ROW(分期持仓明细!$A$29),0)</f>
        <v>0</v>
      </c>
      <c r="P110">
        <f>IF(LEFT(分期持仓明细!$A$29,LEN(J$81)+2)=J$81&amp;" ·",ROW(分期持仓明细!$A$29),0)</f>
        <v>0</v>
      </c>
      <c r="Q110">
        <f>IF(LEFT(分期持仓明细!$A$29,LEN(K$81)+2)=K$81&amp;" ·",ROW(分期持仓明细!$A$29),0)</f>
        <v>0</v>
      </c>
      <c r="R110">
        <f>IF(LEFT(分期持仓明细!$A$29,LEN(L$81)+2)=L$81&amp;" ·",ROW(分期持仓明细!$A$29),0)</f>
        <v>0</v>
      </c>
    </row>
    <row r="111" spans="1:18" ht="13">
      <c r="A111" s="54" t="s">
        <v>51</v>
      </c>
      <c r="B111" s="52" t="s">
        <v>267</v>
      </c>
      <c r="C111" s="54" t="s">
        <v>234</v>
      </c>
      <c r="D111" s="54" t="s">
        <v>235</v>
      </c>
      <c r="E111" s="54" t="s">
        <v>268</v>
      </c>
      <c r="F111" s="54" t="s">
        <v>269</v>
      </c>
      <c r="G111" s="55">
        <v>0</v>
      </c>
      <c r="H111" s="55">
        <v>0</v>
      </c>
      <c r="I111" s="55">
        <v>0</v>
      </c>
      <c r="J111" s="55">
        <v>0.79745009544564527</v>
      </c>
      <c r="K111" s="55">
        <v>0.79847502055174235</v>
      </c>
      <c r="L111" s="55">
        <v>0.49216006002582735</v>
      </c>
      <c r="M111">
        <f>IF(LEFT(分期持仓明细!$A$30,LEN(G$81)+2)=G$81&amp;" ·",ROW(分期持仓明细!$A$30),0)</f>
        <v>0</v>
      </c>
      <c r="N111">
        <f>IF(LEFT(分期持仓明细!$A$30,LEN(H$81)+2)=H$81&amp;" ·",ROW(分期持仓明细!$A$30),0)</f>
        <v>0</v>
      </c>
      <c r="O111">
        <f>IF(LEFT(分期持仓明细!$A$30,LEN(I$81)+2)=I$81&amp;" ·",ROW(分期持仓明细!$A$30),0)</f>
        <v>0</v>
      </c>
      <c r="P111">
        <f>IF(LEFT(分期持仓明细!$A$30,LEN(J$81)+2)=J$81&amp;" ·",ROW(分期持仓明细!$A$30),0)</f>
        <v>0</v>
      </c>
      <c r="Q111">
        <f>IF(LEFT(分期持仓明细!$A$30,LEN(K$81)+2)=K$81&amp;" ·",ROW(分期持仓明细!$A$30),0)</f>
        <v>0</v>
      </c>
      <c r="R111">
        <f>IF(LEFT(分期持仓明细!$A$30,LEN(L$81)+2)=L$81&amp;" ·",ROW(分期持仓明细!$A$30),0)</f>
        <v>0</v>
      </c>
    </row>
    <row r="112" spans="1:18" ht="13">
      <c r="A112" s="54" t="s">
        <v>61</v>
      </c>
      <c r="B112" s="52" t="s">
        <v>62</v>
      </c>
      <c r="C112" s="54" t="s">
        <v>242</v>
      </c>
      <c r="D112" s="54" t="s">
        <v>230</v>
      </c>
      <c r="E112" s="54" t="s">
        <v>243</v>
      </c>
      <c r="F112" s="54" t="s">
        <v>244</v>
      </c>
      <c r="G112" s="55">
        <v>6.8465170647674434E-2</v>
      </c>
      <c r="H112" s="55">
        <v>6.8475475860487661E-2</v>
      </c>
      <c r="I112" s="55">
        <v>6.8381931750740005E-2</v>
      </c>
      <c r="J112" s="55">
        <v>9.5107368966037675E-3</v>
      </c>
      <c r="K112" s="55">
        <v>9.5235456715052746E-3</v>
      </c>
      <c r="L112" s="55">
        <v>3.0916082245689688E-2</v>
      </c>
      <c r="M112">
        <f>IF(LEFT(分期持仓明细!$A$31,LEN(G$81)+2)=G$81&amp;" ·",ROW(分期持仓明细!$A$31),0)</f>
        <v>0</v>
      </c>
      <c r="N112">
        <f>IF(LEFT(分期持仓明细!$A$31,LEN(H$81)+2)=H$81&amp;" ·",ROW(分期持仓明细!$A$31),0)</f>
        <v>0</v>
      </c>
      <c r="O112">
        <f>IF(LEFT(分期持仓明细!$A$31,LEN(I$81)+2)=I$81&amp;" ·",ROW(分期持仓明细!$A$31),0)</f>
        <v>0</v>
      </c>
      <c r="P112">
        <f>IF(LEFT(分期持仓明细!$A$31,LEN(J$81)+2)=J$81&amp;" ·",ROW(分期持仓明细!$A$31),0)</f>
        <v>0</v>
      </c>
      <c r="Q112">
        <f>IF(LEFT(分期持仓明细!$A$31,LEN(K$81)+2)=K$81&amp;" ·",ROW(分期持仓明细!$A$31),0)</f>
        <v>0</v>
      </c>
      <c r="R112">
        <f>IF(LEFT(分期持仓明细!$A$31,LEN(L$81)+2)=L$81&amp;" ·",ROW(分期持仓明细!$A$31),0)</f>
        <v>0</v>
      </c>
    </row>
    <row r="113" spans="13:18">
      <c r="M113">
        <f>IF(LEFT(分期持仓明细!$A$32,LEN(G$81)+2)=G$81&amp;" ·",ROW(分期持仓明细!$A$32),0)</f>
        <v>0</v>
      </c>
      <c r="N113">
        <f>IF(LEFT(分期持仓明细!$A$32,LEN(H$81)+2)=H$81&amp;" ·",ROW(分期持仓明细!$A$32),0)</f>
        <v>0</v>
      </c>
      <c r="O113">
        <f>IF(LEFT(分期持仓明细!$A$32,LEN(I$81)+2)=I$81&amp;" ·",ROW(分期持仓明细!$A$32),0)</f>
        <v>0</v>
      </c>
      <c r="P113">
        <f>IF(LEFT(分期持仓明细!$A$32,LEN(J$81)+2)=J$81&amp;" ·",ROW(分期持仓明细!$A$32),0)</f>
        <v>0</v>
      </c>
      <c r="Q113">
        <f>IF(LEFT(分期持仓明细!$A$32,LEN(K$81)+2)=K$81&amp;" ·",ROW(分期持仓明细!$A$32),0)</f>
        <v>0</v>
      </c>
      <c r="R113">
        <f>IF(LEFT(分期持仓明细!$A$32,LEN(L$81)+2)=L$81&amp;" ·",ROW(分期持仓明细!$A$32),0)</f>
        <v>0</v>
      </c>
    </row>
    <row r="114" spans="13:18">
      <c r="M114">
        <f>IF(LEFT(分期持仓明细!$A$33,LEN(G$81)+2)=G$81&amp;" ·",ROW(分期持仓明细!$A$33),0)</f>
        <v>0</v>
      </c>
      <c r="N114">
        <f>IF(LEFT(分期持仓明细!$A$33,LEN(H$81)+2)=H$81&amp;" ·",ROW(分期持仓明细!$A$33),0)</f>
        <v>0</v>
      </c>
      <c r="O114">
        <f>IF(LEFT(分期持仓明细!$A$33,LEN(I$81)+2)=I$81&amp;" ·",ROW(分期持仓明细!$A$33),0)</f>
        <v>0</v>
      </c>
      <c r="P114">
        <f>IF(LEFT(分期持仓明细!$A$33,LEN(J$81)+2)=J$81&amp;" ·",ROW(分期持仓明细!$A$33),0)</f>
        <v>0</v>
      </c>
      <c r="Q114">
        <f>IF(LEFT(分期持仓明细!$A$33,LEN(K$81)+2)=K$81&amp;" ·",ROW(分期持仓明细!$A$33),0)</f>
        <v>0</v>
      </c>
      <c r="R114">
        <f>IF(LEFT(分期持仓明细!$A$33,LEN(L$81)+2)=L$81&amp;" ·",ROW(分期持仓明细!$A$33),0)</f>
        <v>0</v>
      </c>
    </row>
    <row r="115" spans="13:18">
      <c r="M115">
        <f>IF(LEFT(分期持仓明细!$A$34,LEN(G$81)+2)=G$81&amp;" ·",ROW(分期持仓明细!$A$34),0)</f>
        <v>0</v>
      </c>
      <c r="N115">
        <f>IF(LEFT(分期持仓明细!$A$34,LEN(H$81)+2)=H$81&amp;" ·",ROW(分期持仓明细!$A$34),0)</f>
        <v>0</v>
      </c>
      <c r="O115">
        <f>IF(LEFT(分期持仓明细!$A$34,LEN(I$81)+2)=I$81&amp;" ·",ROW(分期持仓明细!$A$34),0)</f>
        <v>0</v>
      </c>
      <c r="P115">
        <f>IF(LEFT(分期持仓明细!$A$34,LEN(J$81)+2)=J$81&amp;" ·",ROW(分期持仓明细!$A$34),0)</f>
        <v>0</v>
      </c>
      <c r="Q115">
        <f>IF(LEFT(分期持仓明细!$A$34,LEN(K$81)+2)=K$81&amp;" ·",ROW(分期持仓明细!$A$34),0)</f>
        <v>0</v>
      </c>
      <c r="R115">
        <f>IF(LEFT(分期持仓明细!$A$34,LEN(L$81)+2)=L$81&amp;" ·",ROW(分期持仓明细!$A$34),0)</f>
        <v>0</v>
      </c>
    </row>
    <row r="116" spans="13:18">
      <c r="M116">
        <f>IF(LEFT(分期持仓明细!$A$35,LEN(G$81)+2)=G$81&amp;" ·",ROW(分期持仓明细!$A$35),0)</f>
        <v>0</v>
      </c>
      <c r="N116">
        <f>IF(LEFT(分期持仓明细!$A$35,LEN(H$81)+2)=H$81&amp;" ·",ROW(分期持仓明细!$A$35),0)</f>
        <v>0</v>
      </c>
      <c r="O116">
        <f>IF(LEFT(分期持仓明细!$A$35,LEN(I$81)+2)=I$81&amp;" ·",ROW(分期持仓明细!$A$35),0)</f>
        <v>0</v>
      </c>
      <c r="P116">
        <f>IF(LEFT(分期持仓明细!$A$35,LEN(J$81)+2)=J$81&amp;" ·",ROW(分期持仓明细!$A$35),0)</f>
        <v>0</v>
      </c>
      <c r="Q116">
        <f>IF(LEFT(分期持仓明细!$A$35,LEN(K$81)+2)=K$81&amp;" ·",ROW(分期持仓明细!$A$35),0)</f>
        <v>0</v>
      </c>
      <c r="R116">
        <f>IF(LEFT(分期持仓明细!$A$35,LEN(L$81)+2)=L$81&amp;" ·",ROW(分期持仓明细!$A$35),0)</f>
        <v>0</v>
      </c>
    </row>
    <row r="117" spans="13:18">
      <c r="M117">
        <f>IF(LEFT(分期持仓明细!$A$36,LEN(G$81)+2)=G$81&amp;" ·",ROW(分期持仓明细!$A$36),0)</f>
        <v>0</v>
      </c>
      <c r="N117">
        <f>IF(LEFT(分期持仓明细!$A$36,LEN(H$81)+2)=H$81&amp;" ·",ROW(分期持仓明细!$A$36),0)</f>
        <v>0</v>
      </c>
      <c r="O117">
        <f>IF(LEFT(分期持仓明细!$A$36,LEN(I$81)+2)=I$81&amp;" ·",ROW(分期持仓明细!$A$36),0)</f>
        <v>0</v>
      </c>
      <c r="P117">
        <f>IF(LEFT(分期持仓明细!$A$36,LEN(J$81)+2)=J$81&amp;" ·",ROW(分期持仓明细!$A$36),0)</f>
        <v>0</v>
      </c>
      <c r="Q117">
        <f>IF(LEFT(分期持仓明细!$A$36,LEN(K$81)+2)=K$81&amp;" ·",ROW(分期持仓明细!$A$36),0)</f>
        <v>0</v>
      </c>
      <c r="R117">
        <f>IF(LEFT(分期持仓明细!$A$36,LEN(L$81)+2)=L$81&amp;" ·",ROW(分期持仓明细!$A$36),0)</f>
        <v>0</v>
      </c>
    </row>
    <row r="118" spans="13:18">
      <c r="M118">
        <f>IF(LEFT(分期持仓明细!$A$37,LEN(G$81)+2)=G$81&amp;" ·",ROW(分期持仓明细!$A$37),0)</f>
        <v>0</v>
      </c>
      <c r="N118">
        <f>IF(LEFT(分期持仓明细!$A$37,LEN(H$81)+2)=H$81&amp;" ·",ROW(分期持仓明细!$A$37),0)</f>
        <v>0</v>
      </c>
      <c r="O118">
        <f>IF(LEFT(分期持仓明细!$A$37,LEN(I$81)+2)=I$81&amp;" ·",ROW(分期持仓明细!$A$37),0)</f>
        <v>0</v>
      </c>
      <c r="P118">
        <f>IF(LEFT(分期持仓明细!$A$37,LEN(J$81)+2)=J$81&amp;" ·",ROW(分期持仓明细!$A$37),0)</f>
        <v>0</v>
      </c>
      <c r="Q118">
        <f>IF(LEFT(分期持仓明细!$A$37,LEN(K$81)+2)=K$81&amp;" ·",ROW(分期持仓明细!$A$37),0)</f>
        <v>0</v>
      </c>
      <c r="R118">
        <f>IF(LEFT(分期持仓明细!$A$37,LEN(L$81)+2)=L$81&amp;" ·",ROW(分期持仓明细!$A$37),0)</f>
        <v>0</v>
      </c>
    </row>
    <row r="119" spans="13:18">
      <c r="M119">
        <f>IF(LEFT(分期持仓明细!$A$38,LEN(G$81)+2)=G$81&amp;" ·",ROW(分期持仓明细!$A$38),0)</f>
        <v>0</v>
      </c>
      <c r="N119">
        <f>IF(LEFT(分期持仓明细!$A$38,LEN(H$81)+2)=H$81&amp;" ·",ROW(分期持仓明细!$A$38),0)</f>
        <v>0</v>
      </c>
      <c r="O119">
        <f>IF(LEFT(分期持仓明细!$A$38,LEN(I$81)+2)=I$81&amp;" ·",ROW(分期持仓明细!$A$38),0)</f>
        <v>0</v>
      </c>
      <c r="P119">
        <f>IF(LEFT(分期持仓明细!$A$38,LEN(J$81)+2)=J$81&amp;" ·",ROW(分期持仓明细!$A$38),0)</f>
        <v>0</v>
      </c>
      <c r="Q119">
        <f>IF(LEFT(分期持仓明细!$A$38,LEN(K$81)+2)=K$81&amp;" ·",ROW(分期持仓明细!$A$38),0)</f>
        <v>0</v>
      </c>
      <c r="R119">
        <f>IF(LEFT(分期持仓明细!$A$38,LEN(L$81)+2)=L$81&amp;" ·",ROW(分期持仓明细!$A$38),0)</f>
        <v>0</v>
      </c>
    </row>
    <row r="120" spans="13:18">
      <c r="M120">
        <f>IF(LEFT(分期持仓明细!$A$39,LEN(G$81)+2)=G$81&amp;" ·",ROW(分期持仓明细!$A$39),0)</f>
        <v>0</v>
      </c>
      <c r="N120">
        <f>IF(LEFT(分期持仓明细!$A$39,LEN(H$81)+2)=H$81&amp;" ·",ROW(分期持仓明细!$A$39),0)</f>
        <v>0</v>
      </c>
      <c r="O120">
        <f>IF(LEFT(分期持仓明细!$A$39,LEN(I$81)+2)=I$81&amp;" ·",ROW(分期持仓明细!$A$39),0)</f>
        <v>0</v>
      </c>
      <c r="P120">
        <f>IF(LEFT(分期持仓明细!$A$39,LEN(J$81)+2)=J$81&amp;" ·",ROW(分期持仓明细!$A$39),0)</f>
        <v>0</v>
      </c>
      <c r="Q120">
        <f>IF(LEFT(分期持仓明细!$A$39,LEN(K$81)+2)=K$81&amp;" ·",ROW(分期持仓明细!$A$39),0)</f>
        <v>0</v>
      </c>
      <c r="R120">
        <f>IF(LEFT(分期持仓明细!$A$39,LEN(L$81)+2)=L$81&amp;" ·",ROW(分期持仓明细!$A$39),0)</f>
        <v>0</v>
      </c>
    </row>
    <row r="121" spans="13:18">
      <c r="M121">
        <f>IF(LEFT(分期持仓明细!$A$40,LEN(G$81)+2)=G$81&amp;" ·",ROW(分期持仓明细!$A$40),0)</f>
        <v>0</v>
      </c>
      <c r="N121">
        <f>IF(LEFT(分期持仓明细!$A$40,LEN(H$81)+2)=H$81&amp;" ·",ROW(分期持仓明细!$A$40),0)</f>
        <v>0</v>
      </c>
      <c r="O121">
        <f>IF(LEFT(分期持仓明细!$A$40,LEN(I$81)+2)=I$81&amp;" ·",ROW(分期持仓明细!$A$40),0)</f>
        <v>0</v>
      </c>
      <c r="P121">
        <f>IF(LEFT(分期持仓明细!$A$40,LEN(J$81)+2)=J$81&amp;" ·",ROW(分期持仓明细!$A$40),0)</f>
        <v>0</v>
      </c>
      <c r="Q121">
        <f>IF(LEFT(分期持仓明细!$A$40,LEN(K$81)+2)=K$81&amp;" ·",ROW(分期持仓明细!$A$40),0)</f>
        <v>0</v>
      </c>
      <c r="R121">
        <f>IF(LEFT(分期持仓明细!$A$40,LEN(L$81)+2)=L$81&amp;" ·",ROW(分期持仓明细!$A$40),0)</f>
        <v>0</v>
      </c>
    </row>
    <row r="122" spans="13:18">
      <c r="M122">
        <f>IF(LEFT(分期持仓明细!$A$41,LEN(G$81)+2)=G$81&amp;" ·",ROW(分期持仓明细!$A$41),0)</f>
        <v>0</v>
      </c>
      <c r="N122">
        <f>IF(LEFT(分期持仓明细!$A$41,LEN(H$81)+2)=H$81&amp;" ·",ROW(分期持仓明细!$A$41),0)</f>
        <v>0</v>
      </c>
      <c r="O122">
        <f>IF(LEFT(分期持仓明细!$A$41,LEN(I$81)+2)=I$81&amp;" ·",ROW(分期持仓明细!$A$41),0)</f>
        <v>0</v>
      </c>
      <c r="P122">
        <f>IF(LEFT(分期持仓明细!$A$41,LEN(J$81)+2)=J$81&amp;" ·",ROW(分期持仓明细!$A$41),0)</f>
        <v>0</v>
      </c>
      <c r="Q122">
        <f>IF(LEFT(分期持仓明细!$A$41,LEN(K$81)+2)=K$81&amp;" ·",ROW(分期持仓明细!$A$41),0)</f>
        <v>0</v>
      </c>
      <c r="R122">
        <f>IF(LEFT(分期持仓明细!$A$41,LEN(L$81)+2)=L$81&amp;" ·",ROW(分期持仓明细!$A$41),0)</f>
        <v>0</v>
      </c>
    </row>
    <row r="123" spans="13:18">
      <c r="M123">
        <f>IF(LEFT(分期持仓明细!$A$42,LEN(G$81)+2)=G$81&amp;" ·",ROW(分期持仓明细!$A$42),0)</f>
        <v>0</v>
      </c>
      <c r="N123">
        <f>IF(LEFT(分期持仓明细!$A$42,LEN(H$81)+2)=H$81&amp;" ·",ROW(分期持仓明细!$A$42),0)</f>
        <v>0</v>
      </c>
      <c r="O123">
        <f>IF(LEFT(分期持仓明细!$A$42,LEN(I$81)+2)=I$81&amp;" ·",ROW(分期持仓明细!$A$42),0)</f>
        <v>0</v>
      </c>
      <c r="P123">
        <f>IF(LEFT(分期持仓明细!$A$42,LEN(J$81)+2)=J$81&amp;" ·",ROW(分期持仓明细!$A$42),0)</f>
        <v>0</v>
      </c>
      <c r="Q123">
        <f>IF(LEFT(分期持仓明细!$A$42,LEN(K$81)+2)=K$81&amp;" ·",ROW(分期持仓明细!$A$42),0)</f>
        <v>0</v>
      </c>
      <c r="R123">
        <f>IF(LEFT(分期持仓明细!$A$42,LEN(L$81)+2)=L$81&amp;" ·",ROW(分期持仓明细!$A$42),0)</f>
        <v>0</v>
      </c>
    </row>
    <row r="124" spans="13:18">
      <c r="M124">
        <f>IF(LEFT(分期持仓明细!$A$43,LEN(G$81)+2)=G$81&amp;" ·",ROW(分期持仓明细!$A$43),0)</f>
        <v>0</v>
      </c>
      <c r="N124">
        <f>IF(LEFT(分期持仓明细!$A$43,LEN(H$81)+2)=H$81&amp;" ·",ROW(分期持仓明细!$A$43),0)</f>
        <v>0</v>
      </c>
      <c r="O124">
        <f>IF(LEFT(分期持仓明细!$A$43,LEN(I$81)+2)=I$81&amp;" ·",ROW(分期持仓明细!$A$43),0)</f>
        <v>0</v>
      </c>
      <c r="P124">
        <f>IF(LEFT(分期持仓明细!$A$43,LEN(J$81)+2)=J$81&amp;" ·",ROW(分期持仓明细!$A$43),0)</f>
        <v>0</v>
      </c>
      <c r="Q124">
        <f>IF(LEFT(分期持仓明细!$A$43,LEN(K$81)+2)=K$81&amp;" ·",ROW(分期持仓明细!$A$43),0)</f>
        <v>0</v>
      </c>
      <c r="R124">
        <f>IF(LEFT(分期持仓明细!$A$43,LEN(L$81)+2)=L$81&amp;" ·",ROW(分期持仓明细!$A$43),0)</f>
        <v>0</v>
      </c>
    </row>
    <row r="125" spans="13:18">
      <c r="M125">
        <f>IF(LEFT(分期持仓明细!$A$44,LEN(G$81)+2)=G$81&amp;" ·",ROW(分期持仓明细!$A$44),0)</f>
        <v>0</v>
      </c>
      <c r="N125">
        <f>IF(LEFT(分期持仓明细!$A$44,LEN(H$81)+2)=H$81&amp;" ·",ROW(分期持仓明细!$A$44),0)</f>
        <v>0</v>
      </c>
      <c r="O125">
        <f>IF(LEFT(分期持仓明细!$A$44,LEN(I$81)+2)=I$81&amp;" ·",ROW(分期持仓明细!$A$44),0)</f>
        <v>0</v>
      </c>
      <c r="P125">
        <f>IF(LEFT(分期持仓明细!$A$44,LEN(J$81)+2)=J$81&amp;" ·",ROW(分期持仓明细!$A$44),0)</f>
        <v>0</v>
      </c>
      <c r="Q125">
        <f>IF(LEFT(分期持仓明细!$A$44,LEN(K$81)+2)=K$81&amp;" ·",ROW(分期持仓明细!$A$44),0)</f>
        <v>0</v>
      </c>
      <c r="R125">
        <f>IF(LEFT(分期持仓明细!$A$44,LEN(L$81)+2)=L$81&amp;" ·",ROW(分期持仓明细!$A$44),0)</f>
        <v>0</v>
      </c>
    </row>
    <row r="126" spans="13:18">
      <c r="M126">
        <f>IF(LEFT(分期持仓明细!$A$45,LEN(G$81)+2)=G$81&amp;" ·",ROW(分期持仓明细!$A$45),0)</f>
        <v>0</v>
      </c>
      <c r="N126">
        <f>IF(LEFT(分期持仓明细!$A$45,LEN(H$81)+2)=H$81&amp;" ·",ROW(分期持仓明细!$A$45),0)</f>
        <v>0</v>
      </c>
      <c r="O126">
        <f>IF(LEFT(分期持仓明细!$A$45,LEN(I$81)+2)=I$81&amp;" ·",ROW(分期持仓明细!$A$45),0)</f>
        <v>0</v>
      </c>
      <c r="P126">
        <f>IF(LEFT(分期持仓明细!$A$45,LEN(J$81)+2)=J$81&amp;" ·",ROW(分期持仓明细!$A$45),0)</f>
        <v>0</v>
      </c>
      <c r="Q126">
        <f>IF(LEFT(分期持仓明细!$A$45,LEN(K$81)+2)=K$81&amp;" ·",ROW(分期持仓明细!$A$45),0)</f>
        <v>0</v>
      </c>
      <c r="R126">
        <f>IF(LEFT(分期持仓明细!$A$45,LEN(L$81)+2)=L$81&amp;" ·",ROW(分期持仓明细!$A$45),0)</f>
        <v>0</v>
      </c>
    </row>
    <row r="127" spans="13:18">
      <c r="M127">
        <f>IF(LEFT(分期持仓明细!$A$46,LEN(G$81)+2)=G$81&amp;" ·",ROW(分期持仓明细!$A$46),0)</f>
        <v>0</v>
      </c>
      <c r="N127">
        <f>IF(LEFT(分期持仓明细!$A$46,LEN(H$81)+2)=H$81&amp;" ·",ROW(分期持仓明细!$A$46),0)</f>
        <v>0</v>
      </c>
      <c r="O127">
        <f>IF(LEFT(分期持仓明细!$A$46,LEN(I$81)+2)=I$81&amp;" ·",ROW(分期持仓明细!$A$46),0)</f>
        <v>0</v>
      </c>
      <c r="P127">
        <f>IF(LEFT(分期持仓明细!$A$46,LEN(J$81)+2)=J$81&amp;" ·",ROW(分期持仓明细!$A$46),0)</f>
        <v>0</v>
      </c>
      <c r="Q127">
        <f>IF(LEFT(分期持仓明细!$A$46,LEN(K$81)+2)=K$81&amp;" ·",ROW(分期持仓明细!$A$46),0)</f>
        <v>0</v>
      </c>
      <c r="R127">
        <f>IF(LEFT(分期持仓明细!$A$46,LEN(L$81)+2)=L$81&amp;" ·",ROW(分期持仓明细!$A$46),0)</f>
        <v>0</v>
      </c>
    </row>
    <row r="128" spans="13:18">
      <c r="M128">
        <f>IF(LEFT(分期持仓明细!$A$47,LEN(G$81)+2)=G$81&amp;" ·",ROW(分期持仓明细!$A$47),0)</f>
        <v>0</v>
      </c>
      <c r="N128">
        <f>IF(LEFT(分期持仓明细!$A$47,LEN(H$81)+2)=H$81&amp;" ·",ROW(分期持仓明细!$A$47),0)</f>
        <v>0</v>
      </c>
      <c r="O128">
        <f>IF(LEFT(分期持仓明细!$A$47,LEN(I$81)+2)=I$81&amp;" ·",ROW(分期持仓明细!$A$47),0)</f>
        <v>0</v>
      </c>
      <c r="P128">
        <f>IF(LEFT(分期持仓明细!$A$47,LEN(J$81)+2)=J$81&amp;" ·",ROW(分期持仓明细!$A$47),0)</f>
        <v>0</v>
      </c>
      <c r="Q128">
        <f>IF(LEFT(分期持仓明细!$A$47,LEN(K$81)+2)=K$81&amp;" ·",ROW(分期持仓明细!$A$47),0)</f>
        <v>0</v>
      </c>
      <c r="R128">
        <f>IF(LEFT(分期持仓明细!$A$47,LEN(L$81)+2)=L$81&amp;" ·",ROW(分期持仓明细!$A$47),0)</f>
        <v>0</v>
      </c>
    </row>
    <row r="129" spans="13:18">
      <c r="M129">
        <f>IF(LEFT(分期持仓明细!$A$48,LEN(G$81)+2)=G$81&amp;" ·",ROW(分期持仓明细!$A$48),0)</f>
        <v>0</v>
      </c>
      <c r="N129">
        <f>IF(LEFT(分期持仓明细!$A$48,LEN(H$81)+2)=H$81&amp;" ·",ROW(分期持仓明细!$A$48),0)</f>
        <v>0</v>
      </c>
      <c r="O129">
        <f>IF(LEFT(分期持仓明细!$A$48,LEN(I$81)+2)=I$81&amp;" ·",ROW(分期持仓明细!$A$48),0)</f>
        <v>0</v>
      </c>
      <c r="P129">
        <f>IF(LEFT(分期持仓明细!$A$48,LEN(J$81)+2)=J$81&amp;" ·",ROW(分期持仓明细!$A$48),0)</f>
        <v>0</v>
      </c>
      <c r="Q129">
        <f>IF(LEFT(分期持仓明细!$A$48,LEN(K$81)+2)=K$81&amp;" ·",ROW(分期持仓明细!$A$48),0)</f>
        <v>0</v>
      </c>
      <c r="R129">
        <f>IF(LEFT(分期持仓明细!$A$48,LEN(L$81)+2)=L$81&amp;" ·",ROW(分期持仓明细!$A$48),0)</f>
        <v>0</v>
      </c>
    </row>
    <row r="130" spans="13:18">
      <c r="M130">
        <f>IF(LEFT(分期持仓明细!$A$49,LEN(G$81)+2)=G$81&amp;" ·",ROW(分期持仓明细!$A$49),0)</f>
        <v>0</v>
      </c>
      <c r="N130">
        <f>IF(LEFT(分期持仓明细!$A$49,LEN(H$81)+2)=H$81&amp;" ·",ROW(分期持仓明细!$A$49),0)</f>
        <v>0</v>
      </c>
      <c r="O130">
        <f>IF(LEFT(分期持仓明细!$A$49,LEN(I$81)+2)=I$81&amp;" ·",ROW(分期持仓明细!$A$49),0)</f>
        <v>0</v>
      </c>
      <c r="P130">
        <f>IF(LEFT(分期持仓明细!$A$49,LEN(J$81)+2)=J$81&amp;" ·",ROW(分期持仓明细!$A$49),0)</f>
        <v>0</v>
      </c>
      <c r="Q130">
        <f>IF(LEFT(分期持仓明细!$A$49,LEN(K$81)+2)=K$81&amp;" ·",ROW(分期持仓明细!$A$49),0)</f>
        <v>0</v>
      </c>
      <c r="R130">
        <f>IF(LEFT(分期持仓明细!$A$49,LEN(L$81)+2)=L$81&amp;" ·",ROW(分期持仓明细!$A$49),0)</f>
        <v>0</v>
      </c>
    </row>
    <row r="131" spans="13:18">
      <c r="M131">
        <f>IF(LEFT(分期持仓明细!$A$50,LEN(G$81)+2)=G$81&amp;" ·",ROW(分期持仓明细!$A$50),0)</f>
        <v>0</v>
      </c>
      <c r="N131">
        <f>IF(LEFT(分期持仓明细!$A$50,LEN(H$81)+2)=H$81&amp;" ·",ROW(分期持仓明细!$A$50),0)</f>
        <v>0</v>
      </c>
      <c r="O131">
        <f>IF(LEFT(分期持仓明细!$A$50,LEN(I$81)+2)=I$81&amp;" ·",ROW(分期持仓明细!$A$50),0)</f>
        <v>0</v>
      </c>
      <c r="P131">
        <f>IF(LEFT(分期持仓明细!$A$50,LEN(J$81)+2)=J$81&amp;" ·",ROW(分期持仓明细!$A$50),0)</f>
        <v>0</v>
      </c>
      <c r="Q131">
        <f>IF(LEFT(分期持仓明细!$A$50,LEN(K$81)+2)=K$81&amp;" ·",ROW(分期持仓明细!$A$50),0)</f>
        <v>0</v>
      </c>
      <c r="R131">
        <f>IF(LEFT(分期持仓明细!$A$50,LEN(L$81)+2)=L$81&amp;" ·",ROW(分期持仓明细!$A$50),0)</f>
        <v>0</v>
      </c>
    </row>
    <row r="132" spans="13:18">
      <c r="M132">
        <f>IF(LEFT(分期持仓明细!$A$51,LEN(G$81)+2)=G$81&amp;" ·",ROW(分期持仓明细!$A$51),0)</f>
        <v>0</v>
      </c>
      <c r="N132">
        <f>IF(LEFT(分期持仓明细!$A$51,LEN(H$81)+2)=H$81&amp;" ·",ROW(分期持仓明细!$A$51),0)</f>
        <v>0</v>
      </c>
      <c r="O132">
        <f>IF(LEFT(分期持仓明细!$A$51,LEN(I$81)+2)=I$81&amp;" ·",ROW(分期持仓明细!$A$51),0)</f>
        <v>0</v>
      </c>
      <c r="P132">
        <f>IF(LEFT(分期持仓明细!$A$51,LEN(J$81)+2)=J$81&amp;" ·",ROW(分期持仓明细!$A$51),0)</f>
        <v>0</v>
      </c>
      <c r="Q132">
        <f>IF(LEFT(分期持仓明细!$A$51,LEN(K$81)+2)=K$81&amp;" ·",ROW(分期持仓明细!$A$51),0)</f>
        <v>0</v>
      </c>
      <c r="R132">
        <f>IF(LEFT(分期持仓明细!$A$51,LEN(L$81)+2)=L$81&amp;" ·",ROW(分期持仓明细!$A$51),0)</f>
        <v>0</v>
      </c>
    </row>
    <row r="133" spans="13:18">
      <c r="M133">
        <f>IF(LEFT(分期持仓明细!$A$52,LEN(G$81)+2)=G$81&amp;" ·",ROW(分期持仓明细!$A$52),0)</f>
        <v>0</v>
      </c>
      <c r="N133">
        <f>IF(LEFT(分期持仓明细!$A$52,LEN(H$81)+2)=H$81&amp;" ·",ROW(分期持仓明细!$A$52),0)</f>
        <v>0</v>
      </c>
      <c r="O133">
        <f>IF(LEFT(分期持仓明细!$A$52,LEN(I$81)+2)=I$81&amp;" ·",ROW(分期持仓明细!$A$52),0)</f>
        <v>0</v>
      </c>
      <c r="P133">
        <f>IF(LEFT(分期持仓明细!$A$52,LEN(J$81)+2)=J$81&amp;" ·",ROW(分期持仓明细!$A$52),0)</f>
        <v>0</v>
      </c>
      <c r="Q133">
        <f>IF(LEFT(分期持仓明细!$A$52,LEN(K$81)+2)=K$81&amp;" ·",ROW(分期持仓明细!$A$52),0)</f>
        <v>0</v>
      </c>
      <c r="R133">
        <f>IF(LEFT(分期持仓明细!$A$52,LEN(L$81)+2)=L$81&amp;" ·",ROW(分期持仓明细!$A$52),0)</f>
        <v>0</v>
      </c>
    </row>
    <row r="134" spans="13:18">
      <c r="M134">
        <f>IF(LEFT(分期持仓明细!$A$53,LEN(G$81)+2)=G$81&amp;" ·",ROW(分期持仓明细!$A$53),0)</f>
        <v>0</v>
      </c>
      <c r="N134">
        <f>IF(LEFT(分期持仓明细!$A$53,LEN(H$81)+2)=H$81&amp;" ·",ROW(分期持仓明细!$A$53),0)</f>
        <v>0</v>
      </c>
      <c r="O134">
        <f>IF(LEFT(分期持仓明细!$A$53,LEN(I$81)+2)=I$81&amp;" ·",ROW(分期持仓明细!$A$53),0)</f>
        <v>0</v>
      </c>
      <c r="P134">
        <f>IF(LEFT(分期持仓明细!$A$53,LEN(J$81)+2)=J$81&amp;" ·",ROW(分期持仓明细!$A$53),0)</f>
        <v>0</v>
      </c>
      <c r="Q134">
        <f>IF(LEFT(分期持仓明细!$A$53,LEN(K$81)+2)=K$81&amp;" ·",ROW(分期持仓明细!$A$53),0)</f>
        <v>0</v>
      </c>
      <c r="R134">
        <f>IF(LEFT(分期持仓明细!$A$53,LEN(L$81)+2)=L$81&amp;" ·",ROW(分期持仓明细!$A$53),0)</f>
        <v>0</v>
      </c>
    </row>
    <row r="135" spans="13:18">
      <c r="M135">
        <f>IF(LEFT(分期持仓明细!$A$54,LEN(G$81)+2)=G$81&amp;" ·",ROW(分期持仓明细!$A$54),0)</f>
        <v>0</v>
      </c>
      <c r="N135">
        <f>IF(LEFT(分期持仓明细!$A$54,LEN(H$81)+2)=H$81&amp;" ·",ROW(分期持仓明细!$A$54),0)</f>
        <v>0</v>
      </c>
      <c r="O135">
        <f>IF(LEFT(分期持仓明细!$A$54,LEN(I$81)+2)=I$81&amp;" ·",ROW(分期持仓明细!$A$54),0)</f>
        <v>0</v>
      </c>
      <c r="P135">
        <f>IF(LEFT(分期持仓明细!$A$54,LEN(J$81)+2)=J$81&amp;" ·",ROW(分期持仓明细!$A$54),0)</f>
        <v>0</v>
      </c>
      <c r="Q135">
        <f>IF(LEFT(分期持仓明细!$A$54,LEN(K$81)+2)=K$81&amp;" ·",ROW(分期持仓明细!$A$54),0)</f>
        <v>0</v>
      </c>
      <c r="R135">
        <f>IF(LEFT(分期持仓明细!$A$54,LEN(L$81)+2)=L$81&amp;" ·",ROW(分期持仓明细!$A$54),0)</f>
        <v>0</v>
      </c>
    </row>
    <row r="136" spans="13:18">
      <c r="M136">
        <f>IF(LEFT(分期持仓明细!$A$55,LEN(G$81)+2)=G$81&amp;" ·",ROW(分期持仓明细!$A$55),0)</f>
        <v>0</v>
      </c>
      <c r="N136">
        <f>IF(LEFT(分期持仓明细!$A$55,LEN(H$81)+2)=H$81&amp;" ·",ROW(分期持仓明细!$A$55),0)</f>
        <v>0</v>
      </c>
      <c r="O136">
        <f>IF(LEFT(分期持仓明细!$A$55,LEN(I$81)+2)=I$81&amp;" ·",ROW(分期持仓明细!$A$55),0)</f>
        <v>0</v>
      </c>
      <c r="P136">
        <f>IF(LEFT(分期持仓明细!$A$55,LEN(J$81)+2)=J$81&amp;" ·",ROW(分期持仓明细!$A$55),0)</f>
        <v>0</v>
      </c>
      <c r="Q136">
        <f>IF(LEFT(分期持仓明细!$A$55,LEN(K$81)+2)=K$81&amp;" ·",ROW(分期持仓明细!$A$55),0)</f>
        <v>0</v>
      </c>
      <c r="R136">
        <f>IF(LEFT(分期持仓明细!$A$55,LEN(L$81)+2)=L$81&amp;" ·",ROW(分期持仓明细!$A$55),0)</f>
        <v>0</v>
      </c>
    </row>
    <row r="137" spans="13:18">
      <c r="M137">
        <f>IF(LEFT(分期持仓明细!$A$56,LEN(G$81)+2)=G$81&amp;" ·",ROW(分期持仓明细!$A$56),0)</f>
        <v>0</v>
      </c>
      <c r="N137">
        <f>IF(LEFT(分期持仓明细!$A$56,LEN(H$81)+2)=H$81&amp;" ·",ROW(分期持仓明细!$A$56),0)</f>
        <v>0</v>
      </c>
      <c r="O137">
        <f>IF(LEFT(分期持仓明细!$A$56,LEN(I$81)+2)=I$81&amp;" ·",ROW(分期持仓明细!$A$56),0)</f>
        <v>0</v>
      </c>
      <c r="P137">
        <f>IF(LEFT(分期持仓明细!$A$56,LEN(J$81)+2)=J$81&amp;" ·",ROW(分期持仓明细!$A$56),0)</f>
        <v>0</v>
      </c>
      <c r="Q137">
        <f>IF(LEFT(分期持仓明细!$A$56,LEN(K$81)+2)=K$81&amp;" ·",ROW(分期持仓明细!$A$56),0)</f>
        <v>0</v>
      </c>
      <c r="R137">
        <f>IF(LEFT(分期持仓明细!$A$56,LEN(L$81)+2)=L$81&amp;" ·",ROW(分期持仓明细!$A$56),0)</f>
        <v>0</v>
      </c>
    </row>
    <row r="138" spans="13:18">
      <c r="M138">
        <f>IF(LEFT(分期持仓明细!$A$57,LEN(G$81)+2)=G$81&amp;" ·",ROW(分期持仓明细!$A$57),0)</f>
        <v>0</v>
      </c>
      <c r="N138">
        <f>IF(LEFT(分期持仓明细!$A$57,LEN(H$81)+2)=H$81&amp;" ·",ROW(分期持仓明细!$A$57),0)</f>
        <v>0</v>
      </c>
      <c r="O138">
        <f>IF(LEFT(分期持仓明细!$A$57,LEN(I$81)+2)=I$81&amp;" ·",ROW(分期持仓明细!$A$57),0)</f>
        <v>0</v>
      </c>
      <c r="P138">
        <f>IF(LEFT(分期持仓明细!$A$57,LEN(J$81)+2)=J$81&amp;" ·",ROW(分期持仓明细!$A$57),0)</f>
        <v>0</v>
      </c>
      <c r="Q138">
        <f>IF(LEFT(分期持仓明细!$A$57,LEN(K$81)+2)=K$81&amp;" ·",ROW(分期持仓明细!$A$57),0)</f>
        <v>0</v>
      </c>
      <c r="R138">
        <f>IF(LEFT(分期持仓明细!$A$57,LEN(L$81)+2)=L$81&amp;" ·",ROW(分期持仓明细!$A$57),0)</f>
        <v>0</v>
      </c>
    </row>
    <row r="139" spans="13:18">
      <c r="M139">
        <f>IF(LEFT(分期持仓明细!$A$58,LEN(G$81)+2)=G$81&amp;" ·",ROW(分期持仓明细!$A$58),0)</f>
        <v>0</v>
      </c>
      <c r="N139">
        <f>IF(LEFT(分期持仓明细!$A$58,LEN(H$81)+2)=H$81&amp;" ·",ROW(分期持仓明细!$A$58),0)</f>
        <v>0</v>
      </c>
      <c r="O139">
        <f>IF(LEFT(分期持仓明细!$A$58,LEN(I$81)+2)=I$81&amp;" ·",ROW(分期持仓明细!$A$58),0)</f>
        <v>0</v>
      </c>
      <c r="P139">
        <f>IF(LEFT(分期持仓明细!$A$58,LEN(J$81)+2)=J$81&amp;" ·",ROW(分期持仓明细!$A$58),0)</f>
        <v>0</v>
      </c>
      <c r="Q139">
        <f>IF(LEFT(分期持仓明细!$A$58,LEN(K$81)+2)=K$81&amp;" ·",ROW(分期持仓明细!$A$58),0)</f>
        <v>0</v>
      </c>
      <c r="R139">
        <f>IF(LEFT(分期持仓明细!$A$58,LEN(L$81)+2)=L$81&amp;" ·",ROW(分期持仓明细!$A$58),0)</f>
        <v>0</v>
      </c>
    </row>
    <row r="140" spans="13:18">
      <c r="M140">
        <f>IF(LEFT(分期持仓明细!$A$59,LEN(G$81)+2)=G$81&amp;" ·",ROW(分期持仓明细!$A$59),0)</f>
        <v>0</v>
      </c>
      <c r="N140">
        <f>IF(LEFT(分期持仓明细!$A$59,LEN(H$81)+2)=H$81&amp;" ·",ROW(分期持仓明细!$A$59),0)</f>
        <v>0</v>
      </c>
      <c r="O140">
        <f>IF(LEFT(分期持仓明细!$A$59,LEN(I$81)+2)=I$81&amp;" ·",ROW(分期持仓明细!$A$59),0)</f>
        <v>0</v>
      </c>
      <c r="P140">
        <f>IF(LEFT(分期持仓明细!$A$59,LEN(J$81)+2)=J$81&amp;" ·",ROW(分期持仓明细!$A$59),0)</f>
        <v>0</v>
      </c>
      <c r="Q140">
        <f>IF(LEFT(分期持仓明细!$A$59,LEN(K$81)+2)=K$81&amp;" ·",ROW(分期持仓明细!$A$59),0)</f>
        <v>0</v>
      </c>
      <c r="R140">
        <f>IF(LEFT(分期持仓明细!$A$59,LEN(L$81)+2)=L$81&amp;" ·",ROW(分期持仓明细!$A$59),0)</f>
        <v>0</v>
      </c>
    </row>
    <row r="141" spans="13:18">
      <c r="M141">
        <f>IF(LEFT(分期持仓明细!$A$60,LEN(G$81)+2)=G$81&amp;" ·",ROW(分期持仓明细!$A$60),0)</f>
        <v>0</v>
      </c>
      <c r="N141">
        <f>IF(LEFT(分期持仓明细!$A$60,LEN(H$81)+2)=H$81&amp;" ·",ROW(分期持仓明细!$A$60),0)</f>
        <v>0</v>
      </c>
      <c r="O141">
        <f>IF(LEFT(分期持仓明细!$A$60,LEN(I$81)+2)=I$81&amp;" ·",ROW(分期持仓明细!$A$60),0)</f>
        <v>0</v>
      </c>
      <c r="P141">
        <f>IF(LEFT(分期持仓明细!$A$60,LEN(J$81)+2)=J$81&amp;" ·",ROW(分期持仓明细!$A$60),0)</f>
        <v>0</v>
      </c>
      <c r="Q141">
        <f>IF(LEFT(分期持仓明细!$A$60,LEN(K$81)+2)=K$81&amp;" ·",ROW(分期持仓明细!$A$60),0)</f>
        <v>0</v>
      </c>
      <c r="R141">
        <f>IF(LEFT(分期持仓明细!$A$60,LEN(L$81)+2)=L$81&amp;" ·",ROW(分期持仓明细!$A$60),0)</f>
        <v>0</v>
      </c>
    </row>
    <row r="142" spans="13:18">
      <c r="M142">
        <f>IF(LEFT(分期持仓明细!$A$61,LEN(G$81)+2)=G$81&amp;" ·",ROW(分期持仓明细!$A$61),0)</f>
        <v>0</v>
      </c>
      <c r="N142">
        <f>IF(LEFT(分期持仓明细!$A$61,LEN(H$81)+2)=H$81&amp;" ·",ROW(分期持仓明细!$A$61),0)</f>
        <v>0</v>
      </c>
      <c r="O142">
        <f>IF(LEFT(分期持仓明细!$A$61,LEN(I$81)+2)=I$81&amp;" ·",ROW(分期持仓明细!$A$61),0)</f>
        <v>0</v>
      </c>
      <c r="P142">
        <f>IF(LEFT(分期持仓明细!$A$61,LEN(J$81)+2)=J$81&amp;" ·",ROW(分期持仓明细!$A$61),0)</f>
        <v>0</v>
      </c>
      <c r="Q142">
        <f>IF(LEFT(分期持仓明细!$A$61,LEN(K$81)+2)=K$81&amp;" ·",ROW(分期持仓明细!$A$61),0)</f>
        <v>0</v>
      </c>
      <c r="R142">
        <f>IF(LEFT(分期持仓明细!$A$61,LEN(L$81)+2)=L$81&amp;" ·",ROW(分期持仓明细!$A$61),0)</f>
        <v>0</v>
      </c>
    </row>
    <row r="143" spans="13:18">
      <c r="M143">
        <f>IF(LEFT(分期持仓明细!$A$62,LEN(G$81)+2)=G$81&amp;" ·",ROW(分期持仓明细!$A$62),0)</f>
        <v>0</v>
      </c>
      <c r="N143">
        <f>IF(LEFT(分期持仓明细!$A$62,LEN(H$81)+2)=H$81&amp;" ·",ROW(分期持仓明细!$A$62),0)</f>
        <v>0</v>
      </c>
      <c r="O143">
        <f>IF(LEFT(分期持仓明细!$A$62,LEN(I$81)+2)=I$81&amp;" ·",ROW(分期持仓明细!$A$62),0)</f>
        <v>0</v>
      </c>
      <c r="P143">
        <f>IF(LEFT(分期持仓明细!$A$62,LEN(J$81)+2)=J$81&amp;" ·",ROW(分期持仓明细!$A$62),0)</f>
        <v>0</v>
      </c>
      <c r="Q143">
        <f>IF(LEFT(分期持仓明细!$A$62,LEN(K$81)+2)=K$81&amp;" ·",ROW(分期持仓明细!$A$62),0)</f>
        <v>0</v>
      </c>
      <c r="R143">
        <f>IF(LEFT(分期持仓明细!$A$62,LEN(L$81)+2)=L$81&amp;" ·",ROW(分期持仓明细!$A$62),0)</f>
        <v>0</v>
      </c>
    </row>
    <row r="144" spans="13:18">
      <c r="M144">
        <f>IF(LEFT(分期持仓明细!$A$63,LEN(G$81)+2)=G$81&amp;" ·",ROW(分期持仓明细!$A$63),0)</f>
        <v>0</v>
      </c>
      <c r="N144">
        <f>IF(LEFT(分期持仓明细!$A$63,LEN(H$81)+2)=H$81&amp;" ·",ROW(分期持仓明细!$A$63),0)</f>
        <v>0</v>
      </c>
      <c r="O144">
        <f>IF(LEFT(分期持仓明细!$A$63,LEN(I$81)+2)=I$81&amp;" ·",ROW(分期持仓明细!$A$63),0)</f>
        <v>0</v>
      </c>
      <c r="P144">
        <f>IF(LEFT(分期持仓明细!$A$63,LEN(J$81)+2)=J$81&amp;" ·",ROW(分期持仓明细!$A$63),0)</f>
        <v>0</v>
      </c>
      <c r="Q144">
        <f>IF(LEFT(分期持仓明细!$A$63,LEN(K$81)+2)=K$81&amp;" ·",ROW(分期持仓明细!$A$63),0)</f>
        <v>0</v>
      </c>
      <c r="R144">
        <f>IF(LEFT(分期持仓明细!$A$63,LEN(L$81)+2)=L$81&amp;" ·",ROW(分期持仓明细!$A$63),0)</f>
        <v>0</v>
      </c>
    </row>
    <row r="145" spans="13:18">
      <c r="M145">
        <f>IF(LEFT(分期持仓明细!$A$64,LEN(G$81)+2)=G$81&amp;" ·",ROW(分期持仓明细!$A$64),0)</f>
        <v>0</v>
      </c>
      <c r="N145">
        <f>IF(LEFT(分期持仓明细!$A$64,LEN(H$81)+2)=H$81&amp;" ·",ROW(分期持仓明细!$A$64),0)</f>
        <v>0</v>
      </c>
      <c r="O145">
        <f>IF(LEFT(分期持仓明细!$A$64,LEN(I$81)+2)=I$81&amp;" ·",ROW(分期持仓明细!$A$64),0)</f>
        <v>0</v>
      </c>
      <c r="P145">
        <f>IF(LEFT(分期持仓明细!$A$64,LEN(J$81)+2)=J$81&amp;" ·",ROW(分期持仓明细!$A$64),0)</f>
        <v>0</v>
      </c>
      <c r="Q145">
        <f>IF(LEFT(分期持仓明细!$A$64,LEN(K$81)+2)=K$81&amp;" ·",ROW(分期持仓明细!$A$64),0)</f>
        <v>0</v>
      </c>
      <c r="R145">
        <f>IF(LEFT(分期持仓明细!$A$64,LEN(L$81)+2)=L$81&amp;" ·",ROW(分期持仓明细!$A$64),0)</f>
        <v>0</v>
      </c>
    </row>
    <row r="146" spans="13:18">
      <c r="M146">
        <f>IF(LEFT(分期持仓明细!$A$65,LEN(G$81)+2)=G$81&amp;" ·",ROW(分期持仓明细!$A$65),0)</f>
        <v>0</v>
      </c>
      <c r="N146">
        <f>IF(LEFT(分期持仓明细!$A$65,LEN(H$81)+2)=H$81&amp;" ·",ROW(分期持仓明细!$A$65),0)</f>
        <v>0</v>
      </c>
      <c r="O146">
        <f>IF(LEFT(分期持仓明细!$A$65,LEN(I$81)+2)=I$81&amp;" ·",ROW(分期持仓明细!$A$65),0)</f>
        <v>0</v>
      </c>
      <c r="P146">
        <f>IF(LEFT(分期持仓明细!$A$65,LEN(J$81)+2)=J$81&amp;" ·",ROW(分期持仓明细!$A$65),0)</f>
        <v>0</v>
      </c>
      <c r="Q146">
        <f>IF(LEFT(分期持仓明细!$A$65,LEN(K$81)+2)=K$81&amp;" ·",ROW(分期持仓明细!$A$65),0)</f>
        <v>0</v>
      </c>
      <c r="R146">
        <f>IF(LEFT(分期持仓明细!$A$65,LEN(L$81)+2)=L$81&amp;" ·",ROW(分期持仓明细!$A$65),0)</f>
        <v>0</v>
      </c>
    </row>
    <row r="147" spans="13:18">
      <c r="M147">
        <f>IF(LEFT(分期持仓明细!$A$66,LEN(G$81)+2)=G$81&amp;" ·",ROW(分期持仓明细!$A$66),0)</f>
        <v>0</v>
      </c>
      <c r="N147">
        <f>IF(LEFT(分期持仓明细!$A$66,LEN(H$81)+2)=H$81&amp;" ·",ROW(分期持仓明细!$A$66),0)</f>
        <v>0</v>
      </c>
      <c r="O147">
        <f>IF(LEFT(分期持仓明细!$A$66,LEN(I$81)+2)=I$81&amp;" ·",ROW(分期持仓明细!$A$66),0)</f>
        <v>0</v>
      </c>
      <c r="P147">
        <f>IF(LEFT(分期持仓明细!$A$66,LEN(J$81)+2)=J$81&amp;" ·",ROW(分期持仓明细!$A$66),0)</f>
        <v>0</v>
      </c>
      <c r="Q147">
        <f>IF(LEFT(分期持仓明细!$A$66,LEN(K$81)+2)=K$81&amp;" ·",ROW(分期持仓明细!$A$66),0)</f>
        <v>0</v>
      </c>
      <c r="R147">
        <f>IF(LEFT(分期持仓明细!$A$66,LEN(L$81)+2)=L$81&amp;" ·",ROW(分期持仓明细!$A$66),0)</f>
        <v>0</v>
      </c>
    </row>
    <row r="148" spans="13:18">
      <c r="M148">
        <f>IF(LEFT(分期持仓明细!$A$67,LEN(G$81)+2)=G$81&amp;" ·",ROW(分期持仓明细!$A$67),0)</f>
        <v>0</v>
      </c>
      <c r="N148">
        <f>IF(LEFT(分期持仓明细!$A$67,LEN(H$81)+2)=H$81&amp;" ·",ROW(分期持仓明细!$A$67),0)</f>
        <v>0</v>
      </c>
      <c r="O148">
        <f>IF(LEFT(分期持仓明细!$A$67,LEN(I$81)+2)=I$81&amp;" ·",ROW(分期持仓明细!$A$67),0)</f>
        <v>0</v>
      </c>
      <c r="P148">
        <f>IF(LEFT(分期持仓明细!$A$67,LEN(J$81)+2)=J$81&amp;" ·",ROW(分期持仓明细!$A$67),0)</f>
        <v>0</v>
      </c>
      <c r="Q148">
        <f>IF(LEFT(分期持仓明细!$A$67,LEN(K$81)+2)=K$81&amp;" ·",ROW(分期持仓明细!$A$67),0)</f>
        <v>0</v>
      </c>
      <c r="R148">
        <f>IF(LEFT(分期持仓明细!$A$67,LEN(L$81)+2)=L$81&amp;" ·",ROW(分期持仓明细!$A$67),0)</f>
        <v>0</v>
      </c>
    </row>
    <row r="149" spans="13:18">
      <c r="M149">
        <f>IF(LEFT(分期持仓明细!$A$68,LEN(G$81)+2)=G$81&amp;" ·",ROW(分期持仓明细!$A$68),0)</f>
        <v>0</v>
      </c>
      <c r="N149">
        <f>IF(LEFT(分期持仓明细!$A$68,LEN(H$81)+2)=H$81&amp;" ·",ROW(分期持仓明细!$A$68),0)</f>
        <v>0</v>
      </c>
      <c r="O149">
        <f>IF(LEFT(分期持仓明细!$A$68,LEN(I$81)+2)=I$81&amp;" ·",ROW(分期持仓明细!$A$68),0)</f>
        <v>0</v>
      </c>
      <c r="P149">
        <f>IF(LEFT(分期持仓明细!$A$68,LEN(J$81)+2)=J$81&amp;" ·",ROW(分期持仓明细!$A$68),0)</f>
        <v>0</v>
      </c>
      <c r="Q149">
        <f>IF(LEFT(分期持仓明细!$A$68,LEN(K$81)+2)=K$81&amp;" ·",ROW(分期持仓明细!$A$68),0)</f>
        <v>0</v>
      </c>
      <c r="R149">
        <f>IF(LEFT(分期持仓明细!$A$68,LEN(L$81)+2)=L$81&amp;" ·",ROW(分期持仓明细!$A$68),0)</f>
        <v>0</v>
      </c>
    </row>
    <row r="150" spans="13:18">
      <c r="M150">
        <f>IF(LEFT(分期持仓明细!$A$69,LEN(G$81)+2)=G$81&amp;" ·",ROW(分期持仓明细!$A$69),0)</f>
        <v>0</v>
      </c>
      <c r="N150">
        <f>IF(LEFT(分期持仓明细!$A$69,LEN(H$81)+2)=H$81&amp;" ·",ROW(分期持仓明细!$A$69),0)</f>
        <v>0</v>
      </c>
      <c r="O150">
        <f>IF(LEFT(分期持仓明细!$A$69,LEN(I$81)+2)=I$81&amp;" ·",ROW(分期持仓明细!$A$69),0)</f>
        <v>0</v>
      </c>
      <c r="P150">
        <f>IF(LEFT(分期持仓明细!$A$69,LEN(J$81)+2)=J$81&amp;" ·",ROW(分期持仓明细!$A$69),0)</f>
        <v>0</v>
      </c>
      <c r="Q150">
        <f>IF(LEFT(分期持仓明细!$A$69,LEN(K$81)+2)=K$81&amp;" ·",ROW(分期持仓明细!$A$69),0)</f>
        <v>0</v>
      </c>
      <c r="R150">
        <f>IF(LEFT(分期持仓明细!$A$69,LEN(L$81)+2)=L$81&amp;" ·",ROW(分期持仓明细!$A$69),0)</f>
        <v>0</v>
      </c>
    </row>
    <row r="151" spans="13:18">
      <c r="M151">
        <f>IF(LEFT(分期持仓明细!$A$70,LEN(G$81)+2)=G$81&amp;" ·",ROW(分期持仓明细!$A$70),0)</f>
        <v>0</v>
      </c>
      <c r="N151">
        <f>IF(LEFT(分期持仓明细!$A$70,LEN(H$81)+2)=H$81&amp;" ·",ROW(分期持仓明细!$A$70),0)</f>
        <v>0</v>
      </c>
      <c r="O151">
        <f>IF(LEFT(分期持仓明细!$A$70,LEN(I$81)+2)=I$81&amp;" ·",ROW(分期持仓明细!$A$70),0)</f>
        <v>0</v>
      </c>
      <c r="P151">
        <f>IF(LEFT(分期持仓明细!$A$70,LEN(J$81)+2)=J$81&amp;" ·",ROW(分期持仓明细!$A$70),0)</f>
        <v>0</v>
      </c>
      <c r="Q151">
        <f>IF(LEFT(分期持仓明细!$A$70,LEN(K$81)+2)=K$81&amp;" ·",ROW(分期持仓明细!$A$70),0)</f>
        <v>0</v>
      </c>
      <c r="R151">
        <f>IF(LEFT(分期持仓明细!$A$70,LEN(L$81)+2)=L$81&amp;" ·",ROW(分期持仓明细!$A$70),0)</f>
        <v>0</v>
      </c>
    </row>
    <row r="152" spans="13:18">
      <c r="M152">
        <f>IF(LEFT(分期持仓明细!$A$71,LEN(G$81)+2)=G$81&amp;" ·",ROW(分期持仓明细!$A$71),0)</f>
        <v>0</v>
      </c>
      <c r="N152">
        <f>IF(LEFT(分期持仓明细!$A$71,LEN(H$81)+2)=H$81&amp;" ·",ROW(分期持仓明细!$A$71),0)</f>
        <v>0</v>
      </c>
      <c r="O152">
        <f>IF(LEFT(分期持仓明细!$A$71,LEN(I$81)+2)=I$81&amp;" ·",ROW(分期持仓明细!$A$71),0)</f>
        <v>0</v>
      </c>
      <c r="P152">
        <f>IF(LEFT(分期持仓明细!$A$71,LEN(J$81)+2)=J$81&amp;" ·",ROW(分期持仓明细!$A$71),0)</f>
        <v>0</v>
      </c>
      <c r="Q152">
        <f>IF(LEFT(分期持仓明细!$A$71,LEN(K$81)+2)=K$81&amp;" ·",ROW(分期持仓明细!$A$71),0)</f>
        <v>0</v>
      </c>
      <c r="R152">
        <f>IF(LEFT(分期持仓明细!$A$71,LEN(L$81)+2)=L$81&amp;" ·",ROW(分期持仓明细!$A$71),0)</f>
        <v>0</v>
      </c>
    </row>
    <row r="153" spans="13:18">
      <c r="M153">
        <f>IF(LEFT(分期持仓明细!$A$72,LEN(G$81)+2)=G$81&amp;" ·",ROW(分期持仓明细!$A$72),0)</f>
        <v>0</v>
      </c>
      <c r="N153">
        <f>IF(LEFT(分期持仓明细!$A$72,LEN(H$81)+2)=H$81&amp;" ·",ROW(分期持仓明细!$A$72),0)</f>
        <v>0</v>
      </c>
      <c r="O153">
        <f>IF(LEFT(分期持仓明细!$A$72,LEN(I$81)+2)=I$81&amp;" ·",ROW(分期持仓明细!$A$72),0)</f>
        <v>0</v>
      </c>
      <c r="P153">
        <f>IF(LEFT(分期持仓明细!$A$72,LEN(J$81)+2)=J$81&amp;" ·",ROW(分期持仓明细!$A$72),0)</f>
        <v>0</v>
      </c>
      <c r="Q153">
        <f>IF(LEFT(分期持仓明细!$A$72,LEN(K$81)+2)=K$81&amp;" ·",ROW(分期持仓明细!$A$72),0)</f>
        <v>0</v>
      </c>
      <c r="R153">
        <f>IF(LEFT(分期持仓明细!$A$72,LEN(L$81)+2)=L$81&amp;" ·",ROW(分期持仓明细!$A$72),0)</f>
        <v>0</v>
      </c>
    </row>
    <row r="154" spans="13:18">
      <c r="M154">
        <f>IF(LEFT(分期持仓明细!$A$73,LEN(G$81)+2)=G$81&amp;" ·",ROW(分期持仓明细!$A$73),0)</f>
        <v>0</v>
      </c>
      <c r="N154">
        <f>IF(LEFT(分期持仓明细!$A$73,LEN(H$81)+2)=H$81&amp;" ·",ROW(分期持仓明细!$A$73),0)</f>
        <v>0</v>
      </c>
      <c r="O154">
        <f>IF(LEFT(分期持仓明细!$A$73,LEN(I$81)+2)=I$81&amp;" ·",ROW(分期持仓明细!$A$73),0)</f>
        <v>0</v>
      </c>
      <c r="P154">
        <f>IF(LEFT(分期持仓明细!$A$73,LEN(J$81)+2)=J$81&amp;" ·",ROW(分期持仓明细!$A$73),0)</f>
        <v>0</v>
      </c>
      <c r="Q154">
        <f>IF(LEFT(分期持仓明细!$A$73,LEN(K$81)+2)=K$81&amp;" ·",ROW(分期持仓明细!$A$73),0)</f>
        <v>0</v>
      </c>
      <c r="R154">
        <f>IF(LEFT(分期持仓明细!$A$73,LEN(L$81)+2)=L$81&amp;" ·",ROW(分期持仓明细!$A$73),0)</f>
        <v>0</v>
      </c>
    </row>
    <row r="155" spans="13:18">
      <c r="M155">
        <f>IF(LEFT(分期持仓明细!$A$74,LEN(G$81)+2)=G$81&amp;" ·",ROW(分期持仓明细!$A$74),0)</f>
        <v>0</v>
      </c>
      <c r="N155">
        <f>IF(LEFT(分期持仓明细!$A$74,LEN(H$81)+2)=H$81&amp;" ·",ROW(分期持仓明细!$A$74),0)</f>
        <v>0</v>
      </c>
      <c r="O155">
        <f>IF(LEFT(分期持仓明细!$A$74,LEN(I$81)+2)=I$81&amp;" ·",ROW(分期持仓明细!$A$74),0)</f>
        <v>0</v>
      </c>
      <c r="P155">
        <f>IF(LEFT(分期持仓明细!$A$74,LEN(J$81)+2)=J$81&amp;" ·",ROW(分期持仓明细!$A$74),0)</f>
        <v>0</v>
      </c>
      <c r="Q155">
        <f>IF(LEFT(分期持仓明细!$A$74,LEN(K$81)+2)=K$81&amp;" ·",ROW(分期持仓明细!$A$74),0)</f>
        <v>0</v>
      </c>
      <c r="R155">
        <f>IF(LEFT(分期持仓明细!$A$74,LEN(L$81)+2)=L$81&amp;" ·",ROW(分期持仓明细!$A$74),0)</f>
        <v>0</v>
      </c>
    </row>
    <row r="156" spans="13:18">
      <c r="M156">
        <f>IF(LEFT(分期持仓明细!$A$75,LEN(G$81)+2)=G$81&amp;" ·",ROW(分期持仓明细!$A$75),0)</f>
        <v>0</v>
      </c>
      <c r="N156">
        <f>IF(LEFT(分期持仓明细!$A$75,LEN(H$81)+2)=H$81&amp;" ·",ROW(分期持仓明细!$A$75),0)</f>
        <v>0</v>
      </c>
      <c r="O156">
        <f>IF(LEFT(分期持仓明细!$A$75,LEN(I$81)+2)=I$81&amp;" ·",ROW(分期持仓明细!$A$75),0)</f>
        <v>0</v>
      </c>
      <c r="P156">
        <f>IF(LEFT(分期持仓明细!$A$75,LEN(J$81)+2)=J$81&amp;" ·",ROW(分期持仓明细!$A$75),0)</f>
        <v>0</v>
      </c>
      <c r="Q156">
        <f>IF(LEFT(分期持仓明细!$A$75,LEN(K$81)+2)=K$81&amp;" ·",ROW(分期持仓明细!$A$75),0)</f>
        <v>0</v>
      </c>
      <c r="R156">
        <f>IF(LEFT(分期持仓明细!$A$75,LEN(L$81)+2)=L$81&amp;" ·",ROW(分期持仓明细!$A$75),0)</f>
        <v>0</v>
      </c>
    </row>
    <row r="157" spans="13:18">
      <c r="M157">
        <f>IF(LEFT(分期持仓明细!$A$76,LEN(G$81)+2)=G$81&amp;" ·",ROW(分期持仓明细!$A$76),0)</f>
        <v>0</v>
      </c>
      <c r="N157">
        <f>IF(LEFT(分期持仓明细!$A$76,LEN(H$81)+2)=H$81&amp;" ·",ROW(分期持仓明细!$A$76),0)</f>
        <v>0</v>
      </c>
      <c r="O157">
        <f>IF(LEFT(分期持仓明细!$A$76,LEN(I$81)+2)=I$81&amp;" ·",ROW(分期持仓明细!$A$76),0)</f>
        <v>0</v>
      </c>
      <c r="P157">
        <f>IF(LEFT(分期持仓明细!$A$76,LEN(J$81)+2)=J$81&amp;" ·",ROW(分期持仓明细!$A$76),0)</f>
        <v>0</v>
      </c>
      <c r="Q157">
        <f>IF(LEFT(分期持仓明细!$A$76,LEN(K$81)+2)=K$81&amp;" ·",ROW(分期持仓明细!$A$76),0)</f>
        <v>0</v>
      </c>
      <c r="R157">
        <f>IF(LEFT(分期持仓明细!$A$76,LEN(L$81)+2)=L$81&amp;" ·",ROW(分期持仓明细!$A$76),0)</f>
        <v>0</v>
      </c>
    </row>
    <row r="158" spans="13:18">
      <c r="M158">
        <f>IF(LEFT(分期持仓明细!$A$77,LEN(G$81)+2)=G$81&amp;" ·",ROW(分期持仓明细!$A$77),0)</f>
        <v>0</v>
      </c>
      <c r="N158">
        <f>IF(LEFT(分期持仓明细!$A$77,LEN(H$81)+2)=H$81&amp;" ·",ROW(分期持仓明细!$A$77),0)</f>
        <v>0</v>
      </c>
      <c r="O158">
        <f>IF(LEFT(分期持仓明细!$A$77,LEN(I$81)+2)=I$81&amp;" ·",ROW(分期持仓明细!$A$77),0)</f>
        <v>0</v>
      </c>
      <c r="P158">
        <f>IF(LEFT(分期持仓明细!$A$77,LEN(J$81)+2)=J$81&amp;" ·",ROW(分期持仓明细!$A$77),0)</f>
        <v>0</v>
      </c>
      <c r="Q158">
        <f>IF(LEFT(分期持仓明细!$A$77,LEN(K$81)+2)=K$81&amp;" ·",ROW(分期持仓明细!$A$77),0)</f>
        <v>0</v>
      </c>
      <c r="R158">
        <f>IF(LEFT(分期持仓明细!$A$77,LEN(L$81)+2)=L$81&amp;" ·",ROW(分期持仓明细!$A$77),0)</f>
        <v>0</v>
      </c>
    </row>
    <row r="159" spans="13:18">
      <c r="M159">
        <f>IF(LEFT(分期持仓明细!$A$78,LEN(G$81)+2)=G$81&amp;" ·",ROW(分期持仓明细!$A$78),0)</f>
        <v>0</v>
      </c>
      <c r="N159">
        <f>IF(LEFT(分期持仓明细!$A$78,LEN(H$81)+2)=H$81&amp;" ·",ROW(分期持仓明细!$A$78),0)</f>
        <v>0</v>
      </c>
      <c r="O159">
        <f>IF(LEFT(分期持仓明细!$A$78,LEN(I$81)+2)=I$81&amp;" ·",ROW(分期持仓明细!$A$78),0)</f>
        <v>0</v>
      </c>
      <c r="P159">
        <f>IF(LEFT(分期持仓明细!$A$78,LEN(J$81)+2)=J$81&amp;" ·",ROW(分期持仓明细!$A$78),0)</f>
        <v>0</v>
      </c>
      <c r="Q159">
        <f>IF(LEFT(分期持仓明细!$A$78,LEN(K$81)+2)=K$81&amp;" ·",ROW(分期持仓明细!$A$78),0)</f>
        <v>0</v>
      </c>
      <c r="R159">
        <f>IF(LEFT(分期持仓明细!$A$78,LEN(L$81)+2)=L$81&amp;" ·",ROW(分期持仓明细!$A$78),0)</f>
        <v>0</v>
      </c>
    </row>
    <row r="160" spans="13:18">
      <c r="M160">
        <f>IF(LEFT(分期持仓明细!$A$79,LEN(G$81)+2)=G$81&amp;" ·",ROW(分期持仓明细!$A$79),0)</f>
        <v>0</v>
      </c>
      <c r="N160">
        <f>IF(LEFT(分期持仓明细!$A$79,LEN(H$81)+2)=H$81&amp;" ·",ROW(分期持仓明细!$A$79),0)</f>
        <v>0</v>
      </c>
      <c r="O160">
        <f>IF(LEFT(分期持仓明细!$A$79,LEN(I$81)+2)=I$81&amp;" ·",ROW(分期持仓明细!$A$79),0)</f>
        <v>0</v>
      </c>
      <c r="P160">
        <f>IF(LEFT(分期持仓明细!$A$79,LEN(J$81)+2)=J$81&amp;" ·",ROW(分期持仓明细!$A$79),0)</f>
        <v>0</v>
      </c>
      <c r="Q160">
        <f>IF(LEFT(分期持仓明细!$A$79,LEN(K$81)+2)=K$81&amp;" ·",ROW(分期持仓明细!$A$79),0)</f>
        <v>0</v>
      </c>
      <c r="R160">
        <f>IF(LEFT(分期持仓明细!$A$79,LEN(L$81)+2)=L$81&amp;" ·",ROW(分期持仓明细!$A$79),0)</f>
        <v>0</v>
      </c>
    </row>
    <row r="161" spans="13:18">
      <c r="M161">
        <f>IF(LEFT(分期持仓明细!$A$80,LEN(G$81)+2)=G$81&amp;" ·",ROW(分期持仓明细!$A$80),0)</f>
        <v>0</v>
      </c>
      <c r="N161">
        <f>IF(LEFT(分期持仓明细!$A$80,LEN(H$81)+2)=H$81&amp;" ·",ROW(分期持仓明细!$A$80),0)</f>
        <v>0</v>
      </c>
      <c r="O161">
        <f>IF(LEFT(分期持仓明细!$A$80,LEN(I$81)+2)=I$81&amp;" ·",ROW(分期持仓明细!$A$80),0)</f>
        <v>0</v>
      </c>
      <c r="P161">
        <f>IF(LEFT(分期持仓明细!$A$80,LEN(J$81)+2)=J$81&amp;" ·",ROW(分期持仓明细!$A$80),0)</f>
        <v>0</v>
      </c>
      <c r="Q161">
        <f>IF(LEFT(分期持仓明细!$A$80,LEN(K$81)+2)=K$81&amp;" ·",ROW(分期持仓明细!$A$80),0)</f>
        <v>0</v>
      </c>
      <c r="R161">
        <f>IF(LEFT(分期持仓明细!$A$80,LEN(L$81)+2)=L$81&amp;" ·",ROW(分期持仓明细!$A$80),0)</f>
        <v>0</v>
      </c>
    </row>
    <row r="162" spans="13:18">
      <c r="M162">
        <f>IF(LEFT(分期持仓明细!$A$81,LEN(G$81)+2)=G$81&amp;" ·",ROW(分期持仓明细!$A$81),0)</f>
        <v>0</v>
      </c>
      <c r="N162">
        <f>IF(LEFT(分期持仓明细!$A$81,LEN(H$81)+2)=H$81&amp;" ·",ROW(分期持仓明细!$A$81),0)</f>
        <v>0</v>
      </c>
      <c r="O162">
        <f>IF(LEFT(分期持仓明细!$A$81,LEN(I$81)+2)=I$81&amp;" ·",ROW(分期持仓明细!$A$81),0)</f>
        <v>0</v>
      </c>
      <c r="P162">
        <f>IF(LEFT(分期持仓明细!$A$81,LEN(J$81)+2)=J$81&amp;" ·",ROW(分期持仓明细!$A$81),0)</f>
        <v>0</v>
      </c>
      <c r="Q162">
        <f>IF(LEFT(分期持仓明细!$A$81,LEN(K$81)+2)=K$81&amp;" ·",ROW(分期持仓明细!$A$81),0)</f>
        <v>0</v>
      </c>
      <c r="R162">
        <f>IF(LEFT(分期持仓明细!$A$81,LEN(L$81)+2)=L$81&amp;" ·",ROW(分期持仓明细!$A$81),0)</f>
        <v>0</v>
      </c>
    </row>
    <row r="163" spans="13:18">
      <c r="M163">
        <f>IF(LEFT(分期持仓明细!$A$82,LEN(G$81)+2)=G$81&amp;" ·",ROW(分期持仓明细!$A$82),0)</f>
        <v>0</v>
      </c>
      <c r="N163">
        <f>IF(LEFT(分期持仓明细!$A$82,LEN(H$81)+2)=H$81&amp;" ·",ROW(分期持仓明细!$A$82),0)</f>
        <v>0</v>
      </c>
      <c r="O163">
        <f>IF(LEFT(分期持仓明细!$A$82,LEN(I$81)+2)=I$81&amp;" ·",ROW(分期持仓明细!$A$82),0)</f>
        <v>0</v>
      </c>
      <c r="P163">
        <f>IF(LEFT(分期持仓明细!$A$82,LEN(J$81)+2)=J$81&amp;" ·",ROW(分期持仓明细!$A$82),0)</f>
        <v>0</v>
      </c>
      <c r="Q163">
        <f>IF(LEFT(分期持仓明细!$A$82,LEN(K$81)+2)=K$81&amp;" ·",ROW(分期持仓明细!$A$82),0)</f>
        <v>0</v>
      </c>
      <c r="R163">
        <f>IF(LEFT(分期持仓明细!$A$82,LEN(L$81)+2)=L$81&amp;" ·",ROW(分期持仓明细!$A$82),0)</f>
        <v>0</v>
      </c>
    </row>
    <row r="164" spans="13:18">
      <c r="M164">
        <f>IF(LEFT(分期持仓明细!$A$83,LEN(G$81)+2)=G$81&amp;" ·",ROW(分期持仓明细!$A$83),0)</f>
        <v>0</v>
      </c>
      <c r="N164">
        <f>IF(LEFT(分期持仓明细!$A$83,LEN(H$81)+2)=H$81&amp;" ·",ROW(分期持仓明细!$A$83),0)</f>
        <v>0</v>
      </c>
      <c r="O164">
        <f>IF(LEFT(分期持仓明细!$A$83,LEN(I$81)+2)=I$81&amp;" ·",ROW(分期持仓明细!$A$83),0)</f>
        <v>0</v>
      </c>
      <c r="P164">
        <f>IF(LEFT(分期持仓明细!$A$83,LEN(J$81)+2)=J$81&amp;" ·",ROW(分期持仓明细!$A$83),0)</f>
        <v>0</v>
      </c>
      <c r="Q164">
        <f>IF(LEFT(分期持仓明细!$A$83,LEN(K$81)+2)=K$81&amp;" ·",ROW(分期持仓明细!$A$83),0)</f>
        <v>0</v>
      </c>
      <c r="R164">
        <f>IF(LEFT(分期持仓明细!$A$83,LEN(L$81)+2)=L$81&amp;" ·",ROW(分期持仓明细!$A$83),0)</f>
        <v>0</v>
      </c>
    </row>
    <row r="165" spans="13:18">
      <c r="M165">
        <f>IF(LEFT(分期持仓明细!$A$84,LEN(G$81)+2)=G$81&amp;" ·",ROW(分期持仓明细!$A$84),0)</f>
        <v>0</v>
      </c>
      <c r="N165">
        <f>IF(LEFT(分期持仓明细!$A$84,LEN(H$81)+2)=H$81&amp;" ·",ROW(分期持仓明细!$A$84),0)</f>
        <v>0</v>
      </c>
      <c r="O165">
        <f>IF(LEFT(分期持仓明细!$A$84,LEN(I$81)+2)=I$81&amp;" ·",ROW(分期持仓明细!$A$84),0)</f>
        <v>0</v>
      </c>
      <c r="P165">
        <f>IF(LEFT(分期持仓明细!$A$84,LEN(J$81)+2)=J$81&amp;" ·",ROW(分期持仓明细!$A$84),0)</f>
        <v>0</v>
      </c>
      <c r="Q165">
        <f>IF(LEFT(分期持仓明细!$A$84,LEN(K$81)+2)=K$81&amp;" ·",ROW(分期持仓明细!$A$84),0)</f>
        <v>0</v>
      </c>
      <c r="R165">
        <f>IF(LEFT(分期持仓明细!$A$84,LEN(L$81)+2)=L$81&amp;" ·",ROW(分期持仓明细!$A$84),0)</f>
        <v>0</v>
      </c>
    </row>
    <row r="166" spans="13:18">
      <c r="M166">
        <f>IF(LEFT(分期持仓明细!$A$85,LEN(G$81)+2)=G$81&amp;" ·",ROW(分期持仓明细!$A$85),0)</f>
        <v>0</v>
      </c>
      <c r="N166">
        <f>IF(LEFT(分期持仓明细!$A$85,LEN(H$81)+2)=H$81&amp;" ·",ROW(分期持仓明细!$A$85),0)</f>
        <v>0</v>
      </c>
      <c r="O166">
        <f>IF(LEFT(分期持仓明细!$A$85,LEN(I$81)+2)=I$81&amp;" ·",ROW(分期持仓明细!$A$85),0)</f>
        <v>0</v>
      </c>
      <c r="P166">
        <f>IF(LEFT(分期持仓明细!$A$85,LEN(J$81)+2)=J$81&amp;" ·",ROW(分期持仓明细!$A$85),0)</f>
        <v>0</v>
      </c>
      <c r="Q166">
        <f>IF(LEFT(分期持仓明细!$A$85,LEN(K$81)+2)=K$81&amp;" ·",ROW(分期持仓明细!$A$85),0)</f>
        <v>0</v>
      </c>
      <c r="R166">
        <f>IF(LEFT(分期持仓明细!$A$85,LEN(L$81)+2)=L$81&amp;" ·",ROW(分期持仓明细!$A$85),0)</f>
        <v>0</v>
      </c>
    </row>
    <row r="167" spans="13:18">
      <c r="M167">
        <f>IF(LEFT(分期持仓明细!$A$86,LEN(G$81)+2)=G$81&amp;" ·",ROW(分期持仓明细!$A$86),0)</f>
        <v>0</v>
      </c>
      <c r="N167">
        <f>IF(LEFT(分期持仓明细!$A$86,LEN(H$81)+2)=H$81&amp;" ·",ROW(分期持仓明细!$A$86),0)</f>
        <v>0</v>
      </c>
      <c r="O167">
        <f>IF(LEFT(分期持仓明细!$A$86,LEN(I$81)+2)=I$81&amp;" ·",ROW(分期持仓明细!$A$86),0)</f>
        <v>0</v>
      </c>
      <c r="P167">
        <f>IF(LEFT(分期持仓明细!$A$86,LEN(J$81)+2)=J$81&amp;" ·",ROW(分期持仓明细!$A$86),0)</f>
        <v>0</v>
      </c>
      <c r="Q167">
        <f>IF(LEFT(分期持仓明细!$A$86,LEN(K$81)+2)=K$81&amp;" ·",ROW(分期持仓明细!$A$86),0)</f>
        <v>0</v>
      </c>
      <c r="R167">
        <f>IF(LEFT(分期持仓明细!$A$86,LEN(L$81)+2)=L$81&amp;" ·",ROW(分期持仓明细!$A$86),0)</f>
        <v>0</v>
      </c>
    </row>
    <row r="168" spans="13:18">
      <c r="M168">
        <f>IF(LEFT(分期持仓明细!$A$87,LEN(G$81)+2)=G$81&amp;" ·",ROW(分期持仓明细!$A$87),0)</f>
        <v>0</v>
      </c>
      <c r="N168">
        <f>IF(LEFT(分期持仓明细!$A$87,LEN(H$81)+2)=H$81&amp;" ·",ROW(分期持仓明细!$A$87),0)</f>
        <v>0</v>
      </c>
      <c r="O168">
        <f>IF(LEFT(分期持仓明细!$A$87,LEN(I$81)+2)=I$81&amp;" ·",ROW(分期持仓明细!$A$87),0)</f>
        <v>0</v>
      </c>
      <c r="P168">
        <f>IF(LEFT(分期持仓明细!$A$87,LEN(J$81)+2)=J$81&amp;" ·",ROW(分期持仓明细!$A$87),0)</f>
        <v>0</v>
      </c>
      <c r="Q168">
        <f>IF(LEFT(分期持仓明细!$A$87,LEN(K$81)+2)=K$81&amp;" ·",ROW(分期持仓明细!$A$87),0)</f>
        <v>0</v>
      </c>
      <c r="R168">
        <f>IF(LEFT(分期持仓明细!$A$87,LEN(L$81)+2)=L$81&amp;" ·",ROW(分期持仓明细!$A$87),0)</f>
        <v>0</v>
      </c>
    </row>
    <row r="169" spans="13:18">
      <c r="M169">
        <f>IF(LEFT(分期持仓明细!$A$88,LEN(G$81)+2)=G$81&amp;" ·",ROW(分期持仓明细!$A$88),0)</f>
        <v>0</v>
      </c>
      <c r="N169">
        <f>IF(LEFT(分期持仓明细!$A$88,LEN(H$81)+2)=H$81&amp;" ·",ROW(分期持仓明细!$A$88),0)</f>
        <v>0</v>
      </c>
      <c r="O169">
        <f>IF(LEFT(分期持仓明细!$A$88,LEN(I$81)+2)=I$81&amp;" ·",ROW(分期持仓明细!$A$88),0)</f>
        <v>0</v>
      </c>
      <c r="P169">
        <f>IF(LEFT(分期持仓明细!$A$88,LEN(J$81)+2)=J$81&amp;" ·",ROW(分期持仓明细!$A$88),0)</f>
        <v>0</v>
      </c>
      <c r="Q169">
        <f>IF(LEFT(分期持仓明细!$A$88,LEN(K$81)+2)=K$81&amp;" ·",ROW(分期持仓明细!$A$88),0)</f>
        <v>0</v>
      </c>
      <c r="R169">
        <f>IF(LEFT(分期持仓明细!$A$88,LEN(L$81)+2)=L$81&amp;" ·",ROW(分期持仓明细!$A$88),0)</f>
        <v>0</v>
      </c>
    </row>
    <row r="170" spans="13:18">
      <c r="M170">
        <f>IF(LEFT(分期持仓明细!$A$89,LEN(G$81)+2)=G$81&amp;" ·",ROW(分期持仓明细!$A$89),0)</f>
        <v>0</v>
      </c>
      <c r="N170">
        <f>IF(LEFT(分期持仓明细!$A$89,LEN(H$81)+2)=H$81&amp;" ·",ROW(分期持仓明细!$A$89),0)</f>
        <v>0</v>
      </c>
      <c r="O170">
        <f>IF(LEFT(分期持仓明细!$A$89,LEN(I$81)+2)=I$81&amp;" ·",ROW(分期持仓明细!$A$89),0)</f>
        <v>0</v>
      </c>
      <c r="P170">
        <f>IF(LEFT(分期持仓明细!$A$89,LEN(J$81)+2)=J$81&amp;" ·",ROW(分期持仓明细!$A$89),0)</f>
        <v>0</v>
      </c>
      <c r="Q170">
        <f>IF(LEFT(分期持仓明细!$A$89,LEN(K$81)+2)=K$81&amp;" ·",ROW(分期持仓明细!$A$89),0)</f>
        <v>0</v>
      </c>
      <c r="R170">
        <f>IF(LEFT(分期持仓明细!$A$89,LEN(L$81)+2)=L$81&amp;" ·",ROW(分期持仓明细!$A$89),0)</f>
        <v>0</v>
      </c>
    </row>
    <row r="171" spans="13:18">
      <c r="M171">
        <f>IF(LEFT(分期持仓明细!$A$90,LEN(G$81)+2)=G$81&amp;" ·",ROW(分期持仓明细!$A$90),0)</f>
        <v>0</v>
      </c>
      <c r="N171">
        <f>IF(LEFT(分期持仓明细!$A$90,LEN(H$81)+2)=H$81&amp;" ·",ROW(分期持仓明细!$A$90),0)</f>
        <v>0</v>
      </c>
      <c r="O171">
        <f>IF(LEFT(分期持仓明细!$A$90,LEN(I$81)+2)=I$81&amp;" ·",ROW(分期持仓明细!$A$90),0)</f>
        <v>0</v>
      </c>
      <c r="P171">
        <f>IF(LEFT(分期持仓明细!$A$90,LEN(J$81)+2)=J$81&amp;" ·",ROW(分期持仓明细!$A$90),0)</f>
        <v>0</v>
      </c>
      <c r="Q171">
        <f>IF(LEFT(分期持仓明细!$A$90,LEN(K$81)+2)=K$81&amp;" ·",ROW(分期持仓明细!$A$90),0)</f>
        <v>0</v>
      </c>
      <c r="R171">
        <f>IF(LEFT(分期持仓明细!$A$90,LEN(L$81)+2)=L$81&amp;" ·",ROW(分期持仓明细!$A$90),0)</f>
        <v>0</v>
      </c>
    </row>
    <row r="172" spans="13:18">
      <c r="M172">
        <f>IF(LEFT(分期持仓明细!$A$91,LEN(G$81)+2)=G$81&amp;" ·",ROW(分期持仓明细!$A$91),0)</f>
        <v>0</v>
      </c>
      <c r="N172">
        <f>IF(LEFT(分期持仓明细!$A$91,LEN(H$81)+2)=H$81&amp;" ·",ROW(分期持仓明细!$A$91),0)</f>
        <v>0</v>
      </c>
      <c r="O172">
        <f>IF(LEFT(分期持仓明细!$A$91,LEN(I$81)+2)=I$81&amp;" ·",ROW(分期持仓明细!$A$91),0)</f>
        <v>0</v>
      </c>
      <c r="P172">
        <f>IF(LEFT(分期持仓明细!$A$91,LEN(J$81)+2)=J$81&amp;" ·",ROW(分期持仓明细!$A$91),0)</f>
        <v>0</v>
      </c>
      <c r="Q172">
        <f>IF(LEFT(分期持仓明细!$A$91,LEN(K$81)+2)=K$81&amp;" ·",ROW(分期持仓明细!$A$91),0)</f>
        <v>0</v>
      </c>
      <c r="R172">
        <f>IF(LEFT(分期持仓明细!$A$91,LEN(L$81)+2)=L$81&amp;" ·",ROW(分期持仓明细!$A$91),0)</f>
        <v>0</v>
      </c>
    </row>
    <row r="173" spans="13:18">
      <c r="M173">
        <f>IF(LEFT(分期持仓明细!$A$92,LEN(G$81)+2)=G$81&amp;" ·",ROW(分期持仓明细!$A$92),0)</f>
        <v>0</v>
      </c>
      <c r="N173">
        <f>IF(LEFT(分期持仓明细!$A$92,LEN(H$81)+2)=H$81&amp;" ·",ROW(分期持仓明细!$A$92),0)</f>
        <v>0</v>
      </c>
      <c r="O173">
        <f>IF(LEFT(分期持仓明细!$A$92,LEN(I$81)+2)=I$81&amp;" ·",ROW(分期持仓明细!$A$92),0)</f>
        <v>0</v>
      </c>
      <c r="P173">
        <f>IF(LEFT(分期持仓明细!$A$92,LEN(J$81)+2)=J$81&amp;" ·",ROW(分期持仓明细!$A$92),0)</f>
        <v>0</v>
      </c>
      <c r="Q173">
        <f>IF(LEFT(分期持仓明细!$A$92,LEN(K$81)+2)=K$81&amp;" ·",ROW(分期持仓明细!$A$92),0)</f>
        <v>0</v>
      </c>
      <c r="R173">
        <f>IF(LEFT(分期持仓明细!$A$92,LEN(L$81)+2)=L$81&amp;" ·",ROW(分期持仓明细!$A$92),0)</f>
        <v>0</v>
      </c>
    </row>
    <row r="174" spans="13:18">
      <c r="M174">
        <f>IF(LEFT(分期持仓明细!$A$93,LEN(G$81)+2)=G$81&amp;" ·",ROW(分期持仓明细!$A$93),0)</f>
        <v>0</v>
      </c>
      <c r="N174">
        <f>IF(LEFT(分期持仓明细!$A$93,LEN(H$81)+2)=H$81&amp;" ·",ROW(分期持仓明细!$A$93),0)</f>
        <v>0</v>
      </c>
      <c r="O174">
        <f>IF(LEFT(分期持仓明细!$A$93,LEN(I$81)+2)=I$81&amp;" ·",ROW(分期持仓明细!$A$93),0)</f>
        <v>0</v>
      </c>
      <c r="P174">
        <f>IF(LEFT(分期持仓明细!$A$93,LEN(J$81)+2)=J$81&amp;" ·",ROW(分期持仓明细!$A$93),0)</f>
        <v>0</v>
      </c>
      <c r="Q174">
        <f>IF(LEFT(分期持仓明细!$A$93,LEN(K$81)+2)=K$81&amp;" ·",ROW(分期持仓明细!$A$93),0)</f>
        <v>0</v>
      </c>
      <c r="R174">
        <f>IF(LEFT(分期持仓明细!$A$93,LEN(L$81)+2)=L$81&amp;" ·",ROW(分期持仓明细!$A$93),0)</f>
        <v>0</v>
      </c>
    </row>
    <row r="175" spans="13:18">
      <c r="M175">
        <f>IF(LEFT(分期持仓明细!$A$94,LEN(G$81)+2)=G$81&amp;" ·",ROW(分期持仓明细!$A$94),0)</f>
        <v>0</v>
      </c>
      <c r="N175">
        <f>IF(LEFT(分期持仓明细!$A$94,LEN(H$81)+2)=H$81&amp;" ·",ROW(分期持仓明细!$A$94),0)</f>
        <v>0</v>
      </c>
      <c r="O175">
        <f>IF(LEFT(分期持仓明细!$A$94,LEN(I$81)+2)=I$81&amp;" ·",ROW(分期持仓明细!$A$94),0)</f>
        <v>0</v>
      </c>
      <c r="P175">
        <f>IF(LEFT(分期持仓明细!$A$94,LEN(J$81)+2)=J$81&amp;" ·",ROW(分期持仓明细!$A$94),0)</f>
        <v>0</v>
      </c>
      <c r="Q175">
        <f>IF(LEFT(分期持仓明细!$A$94,LEN(K$81)+2)=K$81&amp;" ·",ROW(分期持仓明细!$A$94),0)</f>
        <v>0</v>
      </c>
      <c r="R175">
        <f>IF(LEFT(分期持仓明细!$A$94,LEN(L$81)+2)=L$81&amp;" ·",ROW(分期持仓明细!$A$94),0)</f>
        <v>0</v>
      </c>
    </row>
    <row r="176" spans="13:18">
      <c r="M176">
        <f>IF(LEFT(分期持仓明细!$A$95,LEN(G$81)+2)=G$81&amp;" ·",ROW(分期持仓明细!$A$95),0)</f>
        <v>0</v>
      </c>
      <c r="N176">
        <f>IF(LEFT(分期持仓明细!$A$95,LEN(H$81)+2)=H$81&amp;" ·",ROW(分期持仓明细!$A$95),0)</f>
        <v>0</v>
      </c>
      <c r="O176">
        <f>IF(LEFT(分期持仓明细!$A$95,LEN(I$81)+2)=I$81&amp;" ·",ROW(分期持仓明细!$A$95),0)</f>
        <v>0</v>
      </c>
      <c r="P176">
        <f>IF(LEFT(分期持仓明细!$A$95,LEN(J$81)+2)=J$81&amp;" ·",ROW(分期持仓明细!$A$95),0)</f>
        <v>0</v>
      </c>
      <c r="Q176">
        <f>IF(LEFT(分期持仓明细!$A$95,LEN(K$81)+2)=K$81&amp;" ·",ROW(分期持仓明细!$A$95),0)</f>
        <v>0</v>
      </c>
      <c r="R176">
        <f>IF(LEFT(分期持仓明细!$A$95,LEN(L$81)+2)=L$81&amp;" ·",ROW(分期持仓明细!$A$95),0)</f>
        <v>0</v>
      </c>
    </row>
    <row r="177" spans="13:18">
      <c r="M177">
        <f>IF(LEFT(分期持仓明细!$A$96,LEN(G$81)+2)=G$81&amp;" ·",ROW(分期持仓明细!$A$96),0)</f>
        <v>0</v>
      </c>
      <c r="N177">
        <f>IF(LEFT(分期持仓明细!$A$96,LEN(H$81)+2)=H$81&amp;" ·",ROW(分期持仓明细!$A$96),0)</f>
        <v>0</v>
      </c>
      <c r="O177">
        <f>IF(LEFT(分期持仓明细!$A$96,LEN(I$81)+2)=I$81&amp;" ·",ROW(分期持仓明细!$A$96),0)</f>
        <v>0</v>
      </c>
      <c r="P177">
        <f>IF(LEFT(分期持仓明细!$A$96,LEN(J$81)+2)=J$81&amp;" ·",ROW(分期持仓明细!$A$96),0)</f>
        <v>0</v>
      </c>
      <c r="Q177">
        <f>IF(LEFT(分期持仓明细!$A$96,LEN(K$81)+2)=K$81&amp;" ·",ROW(分期持仓明细!$A$96),0)</f>
        <v>0</v>
      </c>
      <c r="R177">
        <f>IF(LEFT(分期持仓明细!$A$96,LEN(L$81)+2)=L$81&amp;" ·",ROW(分期持仓明细!$A$96),0)</f>
        <v>0</v>
      </c>
    </row>
    <row r="178" spans="13:18">
      <c r="M178">
        <f>IF(LEFT(分期持仓明细!$A$97,LEN(G$81)+2)=G$81&amp;" ·",ROW(分期持仓明细!$A$97),0)</f>
        <v>0</v>
      </c>
      <c r="N178">
        <f>IF(LEFT(分期持仓明细!$A$97,LEN(H$81)+2)=H$81&amp;" ·",ROW(分期持仓明细!$A$97),0)</f>
        <v>0</v>
      </c>
      <c r="O178">
        <f>IF(LEFT(分期持仓明细!$A$97,LEN(I$81)+2)=I$81&amp;" ·",ROW(分期持仓明细!$A$97),0)</f>
        <v>0</v>
      </c>
      <c r="P178">
        <f>IF(LEFT(分期持仓明细!$A$97,LEN(J$81)+2)=J$81&amp;" ·",ROW(分期持仓明细!$A$97),0)</f>
        <v>0</v>
      </c>
      <c r="Q178">
        <f>IF(LEFT(分期持仓明细!$A$97,LEN(K$81)+2)=K$81&amp;" ·",ROW(分期持仓明细!$A$97),0)</f>
        <v>0</v>
      </c>
      <c r="R178">
        <f>IF(LEFT(分期持仓明细!$A$97,LEN(L$81)+2)=L$81&amp;" ·",ROW(分期持仓明细!$A$97),0)</f>
        <v>0</v>
      </c>
    </row>
    <row r="179" spans="13:18">
      <c r="M179">
        <f>IF(LEFT(分期持仓明细!$A$98,LEN(G$81)+2)=G$81&amp;" ·",ROW(分期持仓明细!$A$98),0)</f>
        <v>0</v>
      </c>
      <c r="N179">
        <f>IF(LEFT(分期持仓明细!$A$98,LEN(H$81)+2)=H$81&amp;" ·",ROW(分期持仓明细!$A$98),0)</f>
        <v>0</v>
      </c>
      <c r="O179">
        <f>IF(LEFT(分期持仓明细!$A$98,LEN(I$81)+2)=I$81&amp;" ·",ROW(分期持仓明细!$A$98),0)</f>
        <v>0</v>
      </c>
      <c r="P179">
        <f>IF(LEFT(分期持仓明细!$A$98,LEN(J$81)+2)=J$81&amp;" ·",ROW(分期持仓明细!$A$98),0)</f>
        <v>0</v>
      </c>
      <c r="Q179">
        <f>IF(LEFT(分期持仓明细!$A$98,LEN(K$81)+2)=K$81&amp;" ·",ROW(分期持仓明细!$A$98),0)</f>
        <v>0</v>
      </c>
      <c r="R179">
        <f>IF(LEFT(分期持仓明细!$A$98,LEN(L$81)+2)=L$81&amp;" ·",ROW(分期持仓明细!$A$98),0)</f>
        <v>0</v>
      </c>
    </row>
    <row r="180" spans="13:18">
      <c r="M180">
        <f>IF(LEFT(分期持仓明细!$A$99,LEN(G$81)+2)=G$81&amp;" ·",ROW(分期持仓明细!$A$99),0)</f>
        <v>0</v>
      </c>
      <c r="N180">
        <f>IF(LEFT(分期持仓明细!$A$99,LEN(H$81)+2)=H$81&amp;" ·",ROW(分期持仓明细!$A$99),0)</f>
        <v>0</v>
      </c>
      <c r="O180">
        <f>IF(LEFT(分期持仓明细!$A$99,LEN(I$81)+2)=I$81&amp;" ·",ROW(分期持仓明细!$A$99),0)</f>
        <v>0</v>
      </c>
      <c r="P180">
        <f>IF(LEFT(分期持仓明细!$A$99,LEN(J$81)+2)=J$81&amp;" ·",ROW(分期持仓明细!$A$99),0)</f>
        <v>0</v>
      </c>
      <c r="Q180">
        <f>IF(LEFT(分期持仓明细!$A$99,LEN(K$81)+2)=K$81&amp;" ·",ROW(分期持仓明细!$A$99),0)</f>
        <v>0</v>
      </c>
      <c r="R180">
        <f>IF(LEFT(分期持仓明细!$A$99,LEN(L$81)+2)=L$81&amp;" ·",ROW(分期持仓明细!$A$99),0)</f>
        <v>0</v>
      </c>
    </row>
    <row r="181" spans="13:18">
      <c r="M181">
        <f>IF(LEFT(分期持仓明细!$A$100,LEN(G$81)+2)=G$81&amp;" ·",ROW(分期持仓明细!$A$100),0)</f>
        <v>0</v>
      </c>
      <c r="N181">
        <f>IF(LEFT(分期持仓明细!$A$100,LEN(H$81)+2)=H$81&amp;" ·",ROW(分期持仓明细!$A$100),0)</f>
        <v>0</v>
      </c>
      <c r="O181">
        <f>IF(LEFT(分期持仓明细!$A$100,LEN(I$81)+2)=I$81&amp;" ·",ROW(分期持仓明细!$A$100),0)</f>
        <v>0</v>
      </c>
      <c r="P181">
        <f>IF(LEFT(分期持仓明细!$A$100,LEN(J$81)+2)=J$81&amp;" ·",ROW(分期持仓明细!$A$100),0)</f>
        <v>0</v>
      </c>
      <c r="Q181">
        <f>IF(LEFT(分期持仓明细!$A$100,LEN(K$81)+2)=K$81&amp;" ·",ROW(分期持仓明细!$A$100),0)</f>
        <v>0</v>
      </c>
      <c r="R181">
        <f>IF(LEFT(分期持仓明细!$A$100,LEN(L$81)+2)=L$81&amp;" ·",ROW(分期持仓明细!$A$100),0)</f>
        <v>0</v>
      </c>
    </row>
    <row r="182" spans="13:18">
      <c r="M182">
        <f>IF(LEFT(分期持仓明细!$A$101,LEN(G$81)+2)=G$81&amp;" ·",ROW(分期持仓明细!$A$101),0)</f>
        <v>0</v>
      </c>
      <c r="N182">
        <f>IF(LEFT(分期持仓明细!$A$101,LEN(H$81)+2)=H$81&amp;" ·",ROW(分期持仓明细!$A$101),0)</f>
        <v>0</v>
      </c>
      <c r="O182">
        <f>IF(LEFT(分期持仓明细!$A$101,LEN(I$81)+2)=I$81&amp;" ·",ROW(分期持仓明细!$A$101),0)</f>
        <v>0</v>
      </c>
      <c r="P182">
        <f>IF(LEFT(分期持仓明细!$A$101,LEN(J$81)+2)=J$81&amp;" ·",ROW(分期持仓明细!$A$101),0)</f>
        <v>0</v>
      </c>
      <c r="Q182">
        <f>IF(LEFT(分期持仓明细!$A$101,LEN(K$81)+2)=K$81&amp;" ·",ROW(分期持仓明细!$A$101),0)</f>
        <v>0</v>
      </c>
      <c r="R182">
        <f>IF(LEFT(分期持仓明细!$A$101,LEN(L$81)+2)=L$81&amp;" ·",ROW(分期持仓明细!$A$101),0)</f>
        <v>0</v>
      </c>
    </row>
    <row r="183" spans="13:18">
      <c r="M183">
        <f>IF(LEFT(分期持仓明细!$A$102,LEN(G$81)+2)=G$81&amp;" ·",ROW(分期持仓明细!$A$102),0)</f>
        <v>0</v>
      </c>
      <c r="N183">
        <f>IF(LEFT(分期持仓明细!$A$102,LEN(H$81)+2)=H$81&amp;" ·",ROW(分期持仓明细!$A$102),0)</f>
        <v>0</v>
      </c>
      <c r="O183">
        <f>IF(LEFT(分期持仓明细!$A$102,LEN(I$81)+2)=I$81&amp;" ·",ROW(分期持仓明细!$A$102),0)</f>
        <v>0</v>
      </c>
      <c r="P183">
        <f>IF(LEFT(分期持仓明细!$A$102,LEN(J$81)+2)=J$81&amp;" ·",ROW(分期持仓明细!$A$102),0)</f>
        <v>0</v>
      </c>
      <c r="Q183">
        <f>IF(LEFT(分期持仓明细!$A$102,LEN(K$81)+2)=K$81&amp;" ·",ROW(分期持仓明细!$A$102),0)</f>
        <v>0</v>
      </c>
      <c r="R183">
        <f>IF(LEFT(分期持仓明细!$A$102,LEN(L$81)+2)=L$81&amp;" ·",ROW(分期持仓明细!$A$102),0)</f>
        <v>0</v>
      </c>
    </row>
    <row r="184" spans="13:18">
      <c r="M184">
        <f>IF(LEFT(分期持仓明细!$A$103,LEN(G$81)+2)=G$81&amp;" ·",ROW(分期持仓明细!$A$103),0)</f>
        <v>0</v>
      </c>
      <c r="N184">
        <f>IF(LEFT(分期持仓明细!$A$103,LEN(H$81)+2)=H$81&amp;" ·",ROW(分期持仓明细!$A$103),0)</f>
        <v>0</v>
      </c>
      <c r="O184">
        <f>IF(LEFT(分期持仓明细!$A$103,LEN(I$81)+2)=I$81&amp;" ·",ROW(分期持仓明细!$A$103),0)</f>
        <v>0</v>
      </c>
      <c r="P184">
        <f>IF(LEFT(分期持仓明细!$A$103,LEN(J$81)+2)=J$81&amp;" ·",ROW(分期持仓明细!$A$103),0)</f>
        <v>0</v>
      </c>
      <c r="Q184">
        <f>IF(LEFT(分期持仓明细!$A$103,LEN(K$81)+2)=K$81&amp;" ·",ROW(分期持仓明细!$A$103),0)</f>
        <v>0</v>
      </c>
      <c r="R184">
        <f>IF(LEFT(分期持仓明细!$A$103,LEN(L$81)+2)=L$81&amp;" ·",ROW(分期持仓明细!$A$103),0)</f>
        <v>0</v>
      </c>
    </row>
    <row r="185" spans="13:18">
      <c r="M185">
        <f>IF(LEFT(分期持仓明细!$A$104,LEN(G$81)+2)=G$81&amp;" ·",ROW(分期持仓明细!$A$104),0)</f>
        <v>0</v>
      </c>
      <c r="N185">
        <f>IF(LEFT(分期持仓明细!$A$104,LEN(H$81)+2)=H$81&amp;" ·",ROW(分期持仓明细!$A$104),0)</f>
        <v>0</v>
      </c>
      <c r="O185">
        <f>IF(LEFT(分期持仓明细!$A$104,LEN(I$81)+2)=I$81&amp;" ·",ROW(分期持仓明细!$A$104),0)</f>
        <v>0</v>
      </c>
      <c r="P185">
        <f>IF(LEFT(分期持仓明细!$A$104,LEN(J$81)+2)=J$81&amp;" ·",ROW(分期持仓明细!$A$104),0)</f>
        <v>0</v>
      </c>
      <c r="Q185">
        <f>IF(LEFT(分期持仓明细!$A$104,LEN(K$81)+2)=K$81&amp;" ·",ROW(分期持仓明细!$A$104),0)</f>
        <v>0</v>
      </c>
      <c r="R185">
        <f>IF(LEFT(分期持仓明细!$A$104,LEN(L$81)+2)=L$81&amp;" ·",ROW(分期持仓明细!$A$104),0)</f>
        <v>0</v>
      </c>
    </row>
    <row r="186" spans="13:18">
      <c r="M186">
        <f>IF(LEFT(分期持仓明细!$A$105,LEN(G$81)+2)=G$81&amp;" ·",ROW(分期持仓明细!$A$105),0)</f>
        <v>0</v>
      </c>
      <c r="N186">
        <f>IF(LEFT(分期持仓明细!$A$105,LEN(H$81)+2)=H$81&amp;" ·",ROW(分期持仓明细!$A$105),0)</f>
        <v>0</v>
      </c>
      <c r="O186">
        <f>IF(LEFT(分期持仓明细!$A$105,LEN(I$81)+2)=I$81&amp;" ·",ROW(分期持仓明细!$A$105),0)</f>
        <v>0</v>
      </c>
      <c r="P186">
        <f>IF(LEFT(分期持仓明细!$A$105,LEN(J$81)+2)=J$81&amp;" ·",ROW(分期持仓明细!$A$105),0)</f>
        <v>0</v>
      </c>
      <c r="Q186">
        <f>IF(LEFT(分期持仓明细!$A$105,LEN(K$81)+2)=K$81&amp;" ·",ROW(分期持仓明细!$A$105),0)</f>
        <v>0</v>
      </c>
      <c r="R186">
        <f>IF(LEFT(分期持仓明细!$A$105,LEN(L$81)+2)=L$81&amp;" ·",ROW(分期持仓明细!$A$105),0)</f>
        <v>0</v>
      </c>
    </row>
    <row r="187" spans="13:18">
      <c r="M187">
        <f>IF(LEFT(分期持仓明细!$A$106,LEN(G$81)+2)=G$81&amp;" ·",ROW(分期持仓明细!$A$106),0)</f>
        <v>0</v>
      </c>
      <c r="N187">
        <f>IF(LEFT(分期持仓明细!$A$106,LEN(H$81)+2)=H$81&amp;" ·",ROW(分期持仓明细!$A$106),0)</f>
        <v>0</v>
      </c>
      <c r="O187">
        <f>IF(LEFT(分期持仓明细!$A$106,LEN(I$81)+2)=I$81&amp;" ·",ROW(分期持仓明细!$A$106),0)</f>
        <v>0</v>
      </c>
      <c r="P187">
        <f>IF(LEFT(分期持仓明细!$A$106,LEN(J$81)+2)=J$81&amp;" ·",ROW(分期持仓明细!$A$106),0)</f>
        <v>0</v>
      </c>
      <c r="Q187">
        <f>IF(LEFT(分期持仓明细!$A$106,LEN(K$81)+2)=K$81&amp;" ·",ROW(分期持仓明细!$A$106),0)</f>
        <v>0</v>
      </c>
      <c r="R187">
        <f>IF(LEFT(分期持仓明细!$A$106,LEN(L$81)+2)=L$81&amp;" ·",ROW(分期持仓明细!$A$106),0)</f>
        <v>0</v>
      </c>
    </row>
    <row r="188" spans="13:18">
      <c r="M188">
        <f>IF(LEFT(分期持仓明细!$A$107,LEN(G$81)+2)=G$81&amp;" ·",ROW(分期持仓明细!$A$107),0)</f>
        <v>0</v>
      </c>
      <c r="N188">
        <f>IF(LEFT(分期持仓明细!$A$107,LEN(H$81)+2)=H$81&amp;" ·",ROW(分期持仓明细!$A$107),0)</f>
        <v>0</v>
      </c>
      <c r="O188">
        <f>IF(LEFT(分期持仓明细!$A$107,LEN(I$81)+2)=I$81&amp;" ·",ROW(分期持仓明细!$A$107),0)</f>
        <v>0</v>
      </c>
      <c r="P188">
        <f>IF(LEFT(分期持仓明细!$A$107,LEN(J$81)+2)=J$81&amp;" ·",ROW(分期持仓明细!$A$107),0)</f>
        <v>0</v>
      </c>
      <c r="Q188">
        <f>IF(LEFT(分期持仓明细!$A$107,LEN(K$81)+2)=K$81&amp;" ·",ROW(分期持仓明细!$A$107),0)</f>
        <v>0</v>
      </c>
      <c r="R188">
        <f>IF(LEFT(分期持仓明细!$A$107,LEN(L$81)+2)=L$81&amp;" ·",ROW(分期持仓明细!$A$107),0)</f>
        <v>0</v>
      </c>
    </row>
    <row r="189" spans="13:18">
      <c r="M189">
        <f>IF(LEFT(分期持仓明细!$A$108,LEN(G$81)+2)=G$81&amp;" ·",ROW(分期持仓明细!$A$108),0)</f>
        <v>0</v>
      </c>
      <c r="N189">
        <f>IF(LEFT(分期持仓明细!$A$108,LEN(H$81)+2)=H$81&amp;" ·",ROW(分期持仓明细!$A$108),0)</f>
        <v>0</v>
      </c>
      <c r="O189">
        <f>IF(LEFT(分期持仓明细!$A$108,LEN(I$81)+2)=I$81&amp;" ·",ROW(分期持仓明细!$A$108),0)</f>
        <v>0</v>
      </c>
      <c r="P189">
        <f>IF(LEFT(分期持仓明细!$A$108,LEN(J$81)+2)=J$81&amp;" ·",ROW(分期持仓明细!$A$108),0)</f>
        <v>0</v>
      </c>
      <c r="Q189">
        <f>IF(LEFT(分期持仓明细!$A$108,LEN(K$81)+2)=K$81&amp;" ·",ROW(分期持仓明细!$A$108),0)</f>
        <v>0</v>
      </c>
      <c r="R189">
        <f>IF(LEFT(分期持仓明细!$A$108,LEN(L$81)+2)=L$81&amp;" ·",ROW(分期持仓明细!$A$108),0)</f>
        <v>0</v>
      </c>
    </row>
    <row r="190" spans="13:18">
      <c r="M190">
        <f>IF(LEFT(分期持仓明细!$A$109,LEN(G$81)+2)=G$81&amp;" ·",ROW(分期持仓明细!$A$109),0)</f>
        <v>0</v>
      </c>
      <c r="N190">
        <f>IF(LEFT(分期持仓明细!$A$109,LEN(H$81)+2)=H$81&amp;" ·",ROW(分期持仓明细!$A$109),0)</f>
        <v>0</v>
      </c>
      <c r="O190">
        <f>IF(LEFT(分期持仓明细!$A$109,LEN(I$81)+2)=I$81&amp;" ·",ROW(分期持仓明细!$A$109),0)</f>
        <v>0</v>
      </c>
      <c r="P190">
        <f>IF(LEFT(分期持仓明细!$A$109,LEN(J$81)+2)=J$81&amp;" ·",ROW(分期持仓明细!$A$109),0)</f>
        <v>0</v>
      </c>
      <c r="Q190">
        <f>IF(LEFT(分期持仓明细!$A$109,LEN(K$81)+2)=K$81&amp;" ·",ROW(分期持仓明细!$A$109),0)</f>
        <v>0</v>
      </c>
      <c r="R190">
        <f>IF(LEFT(分期持仓明细!$A$109,LEN(L$81)+2)=L$81&amp;" ·",ROW(分期持仓明细!$A$109),0)</f>
        <v>0</v>
      </c>
    </row>
    <row r="191" spans="13:18">
      <c r="M191">
        <f>IF(LEFT(分期持仓明细!$A$110,LEN(G$81)+2)=G$81&amp;" ·",ROW(分期持仓明细!$A$110),0)</f>
        <v>0</v>
      </c>
      <c r="N191">
        <f>IF(LEFT(分期持仓明细!$A$110,LEN(H$81)+2)=H$81&amp;" ·",ROW(分期持仓明细!$A$110),0)</f>
        <v>0</v>
      </c>
      <c r="O191">
        <f>IF(LEFT(分期持仓明细!$A$110,LEN(I$81)+2)=I$81&amp;" ·",ROW(分期持仓明细!$A$110),0)</f>
        <v>0</v>
      </c>
      <c r="P191">
        <f>IF(LEFT(分期持仓明细!$A$110,LEN(J$81)+2)=J$81&amp;" ·",ROW(分期持仓明细!$A$110),0)</f>
        <v>0</v>
      </c>
      <c r="Q191">
        <f>IF(LEFT(分期持仓明细!$A$110,LEN(K$81)+2)=K$81&amp;" ·",ROW(分期持仓明细!$A$110),0)</f>
        <v>0</v>
      </c>
      <c r="R191">
        <f>IF(LEFT(分期持仓明细!$A$110,LEN(L$81)+2)=L$81&amp;" ·",ROW(分期持仓明细!$A$110),0)</f>
        <v>0</v>
      </c>
    </row>
    <row r="192" spans="13:18">
      <c r="M192">
        <f>IF(LEFT(分期持仓明细!$A$111,LEN(G$81)+2)=G$81&amp;" ·",ROW(分期持仓明细!$A$111),0)</f>
        <v>0</v>
      </c>
      <c r="N192">
        <f>IF(LEFT(分期持仓明细!$A$111,LEN(H$81)+2)=H$81&amp;" ·",ROW(分期持仓明细!$A$111),0)</f>
        <v>0</v>
      </c>
      <c r="O192">
        <f>IF(LEFT(分期持仓明细!$A$111,LEN(I$81)+2)=I$81&amp;" ·",ROW(分期持仓明细!$A$111),0)</f>
        <v>0</v>
      </c>
      <c r="P192">
        <f>IF(LEFT(分期持仓明细!$A$111,LEN(J$81)+2)=J$81&amp;" ·",ROW(分期持仓明细!$A$111),0)</f>
        <v>0</v>
      </c>
      <c r="Q192">
        <f>IF(LEFT(分期持仓明细!$A$111,LEN(K$81)+2)=K$81&amp;" ·",ROW(分期持仓明细!$A$111),0)</f>
        <v>0</v>
      </c>
      <c r="R192">
        <f>IF(LEFT(分期持仓明细!$A$111,LEN(L$81)+2)=L$81&amp;" ·",ROW(分期持仓明细!$A$111),0)</f>
        <v>0</v>
      </c>
    </row>
    <row r="193" spans="13:18">
      <c r="M193">
        <f>IF(LEFT(分期持仓明细!$A$112,LEN(G$81)+2)=G$81&amp;" ·",ROW(分期持仓明细!$A$112),0)</f>
        <v>0</v>
      </c>
      <c r="N193">
        <f>IF(LEFT(分期持仓明细!$A$112,LEN(H$81)+2)=H$81&amp;" ·",ROW(分期持仓明细!$A$112),0)</f>
        <v>0</v>
      </c>
      <c r="O193">
        <f>IF(LEFT(分期持仓明细!$A$112,LEN(I$81)+2)=I$81&amp;" ·",ROW(分期持仓明细!$A$112),0)</f>
        <v>0</v>
      </c>
      <c r="P193">
        <f>IF(LEFT(分期持仓明细!$A$112,LEN(J$81)+2)=J$81&amp;" ·",ROW(分期持仓明细!$A$112),0)</f>
        <v>0</v>
      </c>
      <c r="Q193">
        <f>IF(LEFT(分期持仓明细!$A$112,LEN(K$81)+2)=K$81&amp;" ·",ROW(分期持仓明细!$A$112),0)</f>
        <v>0</v>
      </c>
      <c r="R193">
        <f>IF(LEFT(分期持仓明细!$A$112,LEN(L$81)+2)=L$81&amp;" ·",ROW(分期持仓明细!$A$112),0)</f>
        <v>0</v>
      </c>
    </row>
    <row r="194" spans="13:18">
      <c r="M194">
        <f>IF(LEFT(分期持仓明细!$A$113,LEN(G$81)+2)=G$81&amp;" ·",ROW(分期持仓明细!$A$113),0)</f>
        <v>0</v>
      </c>
      <c r="N194">
        <f>IF(LEFT(分期持仓明细!$A$113,LEN(H$81)+2)=H$81&amp;" ·",ROW(分期持仓明细!$A$113),0)</f>
        <v>0</v>
      </c>
      <c r="O194">
        <f>IF(LEFT(分期持仓明细!$A$113,LEN(I$81)+2)=I$81&amp;" ·",ROW(分期持仓明细!$A$113),0)</f>
        <v>0</v>
      </c>
      <c r="P194">
        <f>IF(LEFT(分期持仓明细!$A$113,LEN(J$81)+2)=J$81&amp;" ·",ROW(分期持仓明细!$A$113),0)</f>
        <v>0</v>
      </c>
      <c r="Q194">
        <f>IF(LEFT(分期持仓明细!$A$113,LEN(K$81)+2)=K$81&amp;" ·",ROW(分期持仓明细!$A$113),0)</f>
        <v>0</v>
      </c>
      <c r="R194">
        <f>IF(LEFT(分期持仓明细!$A$113,LEN(L$81)+2)=L$81&amp;" ·",ROW(分期持仓明细!$A$113),0)</f>
        <v>0</v>
      </c>
    </row>
    <row r="195" spans="13:18">
      <c r="M195">
        <f>IF(LEFT(分期持仓明细!$A$114,LEN(G$81)+2)=G$81&amp;" ·",ROW(分期持仓明细!$A$114),0)</f>
        <v>0</v>
      </c>
      <c r="N195">
        <f>IF(LEFT(分期持仓明细!$A$114,LEN(H$81)+2)=H$81&amp;" ·",ROW(分期持仓明细!$A$114),0)</f>
        <v>0</v>
      </c>
      <c r="O195">
        <f>IF(LEFT(分期持仓明细!$A$114,LEN(I$81)+2)=I$81&amp;" ·",ROW(分期持仓明细!$A$114),0)</f>
        <v>0</v>
      </c>
      <c r="P195">
        <f>IF(LEFT(分期持仓明细!$A$114,LEN(J$81)+2)=J$81&amp;" ·",ROW(分期持仓明细!$A$114),0)</f>
        <v>0</v>
      </c>
      <c r="Q195">
        <f>IF(LEFT(分期持仓明细!$A$114,LEN(K$81)+2)=K$81&amp;" ·",ROW(分期持仓明细!$A$114),0)</f>
        <v>0</v>
      </c>
      <c r="R195">
        <f>IF(LEFT(分期持仓明细!$A$114,LEN(L$81)+2)=L$81&amp;" ·",ROW(分期持仓明细!$A$114),0)</f>
        <v>0</v>
      </c>
    </row>
    <row r="196" spans="13:18">
      <c r="M196">
        <f>IF(LEFT(分期持仓明细!$A$115,LEN(G$81)+2)=G$81&amp;" ·",ROW(分期持仓明细!$A$115),0)</f>
        <v>0</v>
      </c>
      <c r="N196">
        <f>IF(LEFT(分期持仓明细!$A$115,LEN(H$81)+2)=H$81&amp;" ·",ROW(分期持仓明细!$A$115),0)</f>
        <v>0</v>
      </c>
      <c r="O196">
        <f>IF(LEFT(分期持仓明细!$A$115,LEN(I$81)+2)=I$81&amp;" ·",ROW(分期持仓明细!$A$115),0)</f>
        <v>0</v>
      </c>
      <c r="P196">
        <f>IF(LEFT(分期持仓明细!$A$115,LEN(J$81)+2)=J$81&amp;" ·",ROW(分期持仓明细!$A$115),0)</f>
        <v>0</v>
      </c>
      <c r="Q196">
        <f>IF(LEFT(分期持仓明细!$A$115,LEN(K$81)+2)=K$81&amp;" ·",ROW(分期持仓明细!$A$115),0)</f>
        <v>0</v>
      </c>
      <c r="R196">
        <f>IF(LEFT(分期持仓明细!$A$115,LEN(L$81)+2)=L$81&amp;" ·",ROW(分期持仓明细!$A$115),0)</f>
        <v>0</v>
      </c>
    </row>
    <row r="197" spans="13:18">
      <c r="M197">
        <f>IF(LEFT(分期持仓明细!$A$116,LEN(G$81)+2)=G$81&amp;" ·",ROW(分期持仓明细!$A$116),0)</f>
        <v>0</v>
      </c>
      <c r="N197">
        <f>IF(LEFT(分期持仓明细!$A$116,LEN(H$81)+2)=H$81&amp;" ·",ROW(分期持仓明细!$A$116),0)</f>
        <v>0</v>
      </c>
      <c r="O197">
        <f>IF(LEFT(分期持仓明细!$A$116,LEN(I$81)+2)=I$81&amp;" ·",ROW(分期持仓明细!$A$116),0)</f>
        <v>0</v>
      </c>
      <c r="P197">
        <f>IF(LEFT(分期持仓明细!$A$116,LEN(J$81)+2)=J$81&amp;" ·",ROW(分期持仓明细!$A$116),0)</f>
        <v>0</v>
      </c>
      <c r="Q197">
        <f>IF(LEFT(分期持仓明细!$A$116,LEN(K$81)+2)=K$81&amp;" ·",ROW(分期持仓明细!$A$116),0)</f>
        <v>0</v>
      </c>
      <c r="R197">
        <f>IF(LEFT(分期持仓明细!$A$116,LEN(L$81)+2)=L$81&amp;" ·",ROW(分期持仓明细!$A$116),0)</f>
        <v>0</v>
      </c>
    </row>
    <row r="198" spans="13:18">
      <c r="M198">
        <f>IF(LEFT(分期持仓明细!$A$117,LEN(G$81)+2)=G$81&amp;" ·",ROW(分期持仓明细!$A$117),0)</f>
        <v>0</v>
      </c>
      <c r="N198">
        <f>IF(LEFT(分期持仓明细!$A$117,LEN(H$81)+2)=H$81&amp;" ·",ROW(分期持仓明细!$A$117),0)</f>
        <v>0</v>
      </c>
      <c r="O198">
        <f>IF(LEFT(分期持仓明细!$A$117,LEN(I$81)+2)=I$81&amp;" ·",ROW(分期持仓明细!$A$117),0)</f>
        <v>0</v>
      </c>
      <c r="P198">
        <f>IF(LEFT(分期持仓明细!$A$117,LEN(J$81)+2)=J$81&amp;" ·",ROW(分期持仓明细!$A$117),0)</f>
        <v>0</v>
      </c>
      <c r="Q198">
        <f>IF(LEFT(分期持仓明细!$A$117,LEN(K$81)+2)=K$81&amp;" ·",ROW(分期持仓明细!$A$117),0)</f>
        <v>0</v>
      </c>
      <c r="R198">
        <f>IF(LEFT(分期持仓明细!$A$117,LEN(L$81)+2)=L$81&amp;" ·",ROW(分期持仓明细!$A$117),0)</f>
        <v>0</v>
      </c>
    </row>
    <row r="199" spans="13:18">
      <c r="M199">
        <f>IF(LEFT(分期持仓明细!$A$118,LEN(G$81)+2)=G$81&amp;" ·",ROW(分期持仓明细!$A$118),0)</f>
        <v>0</v>
      </c>
      <c r="N199">
        <f>IF(LEFT(分期持仓明细!$A$118,LEN(H$81)+2)=H$81&amp;" ·",ROW(分期持仓明细!$A$118),0)</f>
        <v>0</v>
      </c>
      <c r="O199">
        <f>IF(LEFT(分期持仓明细!$A$118,LEN(I$81)+2)=I$81&amp;" ·",ROW(分期持仓明细!$A$118),0)</f>
        <v>0</v>
      </c>
      <c r="P199">
        <f>IF(LEFT(分期持仓明细!$A$118,LEN(J$81)+2)=J$81&amp;" ·",ROW(分期持仓明细!$A$118),0)</f>
        <v>0</v>
      </c>
      <c r="Q199">
        <f>IF(LEFT(分期持仓明细!$A$118,LEN(K$81)+2)=K$81&amp;" ·",ROW(分期持仓明细!$A$118),0)</f>
        <v>0</v>
      </c>
      <c r="R199">
        <f>IF(LEFT(分期持仓明细!$A$118,LEN(L$81)+2)=L$81&amp;" ·",ROW(分期持仓明细!$A$118),0)</f>
        <v>0</v>
      </c>
    </row>
    <row r="200" spans="13:18">
      <c r="M200">
        <f>IF(LEFT(分期持仓明细!$A$119,LEN(G$81)+2)=G$81&amp;" ·",ROW(分期持仓明细!$A$119),0)</f>
        <v>0</v>
      </c>
      <c r="N200">
        <f>IF(LEFT(分期持仓明细!$A$119,LEN(H$81)+2)=H$81&amp;" ·",ROW(分期持仓明细!$A$119),0)</f>
        <v>0</v>
      </c>
      <c r="O200">
        <f>IF(LEFT(分期持仓明细!$A$119,LEN(I$81)+2)=I$81&amp;" ·",ROW(分期持仓明细!$A$119),0)</f>
        <v>0</v>
      </c>
      <c r="P200">
        <f>IF(LEFT(分期持仓明细!$A$119,LEN(J$81)+2)=J$81&amp;" ·",ROW(分期持仓明细!$A$119),0)</f>
        <v>0</v>
      </c>
      <c r="Q200">
        <f>IF(LEFT(分期持仓明细!$A$119,LEN(K$81)+2)=K$81&amp;" ·",ROW(分期持仓明细!$A$119),0)</f>
        <v>0</v>
      </c>
      <c r="R200">
        <f>IF(LEFT(分期持仓明细!$A$119,LEN(L$81)+2)=L$81&amp;" ·",ROW(分期持仓明细!$A$119),0)</f>
        <v>0</v>
      </c>
    </row>
    <row r="201" spans="13:18">
      <c r="M201">
        <f>IF(LEFT(分期持仓明细!$A$120,LEN(G$81)+2)=G$81&amp;" ·",ROW(分期持仓明细!$A$120),0)</f>
        <v>0</v>
      </c>
      <c r="N201">
        <f>IF(LEFT(分期持仓明细!$A$120,LEN(H$81)+2)=H$81&amp;" ·",ROW(分期持仓明细!$A$120),0)</f>
        <v>0</v>
      </c>
      <c r="O201">
        <f>IF(LEFT(分期持仓明细!$A$120,LEN(I$81)+2)=I$81&amp;" ·",ROW(分期持仓明细!$A$120),0)</f>
        <v>0</v>
      </c>
      <c r="P201">
        <f>IF(LEFT(分期持仓明细!$A$120,LEN(J$81)+2)=J$81&amp;" ·",ROW(分期持仓明细!$A$120),0)</f>
        <v>0</v>
      </c>
      <c r="Q201">
        <f>IF(LEFT(分期持仓明细!$A$120,LEN(K$81)+2)=K$81&amp;" ·",ROW(分期持仓明细!$A$120),0)</f>
        <v>0</v>
      </c>
      <c r="R201">
        <f>IF(LEFT(分期持仓明细!$A$120,LEN(L$81)+2)=L$81&amp;" ·",ROW(分期持仓明细!$A$120),0)</f>
        <v>0</v>
      </c>
    </row>
    <row r="202" spans="13:18">
      <c r="M202">
        <f>IF(LEFT(分期持仓明细!$A$121,LEN(G$81)+2)=G$81&amp;" ·",ROW(分期持仓明细!$A$121),0)</f>
        <v>0</v>
      </c>
      <c r="N202">
        <f>IF(LEFT(分期持仓明细!$A$121,LEN(H$81)+2)=H$81&amp;" ·",ROW(分期持仓明细!$A$121),0)</f>
        <v>0</v>
      </c>
      <c r="O202">
        <f>IF(LEFT(分期持仓明细!$A$121,LEN(I$81)+2)=I$81&amp;" ·",ROW(分期持仓明细!$A$121),0)</f>
        <v>0</v>
      </c>
      <c r="P202">
        <f>IF(LEFT(分期持仓明细!$A$121,LEN(J$81)+2)=J$81&amp;" ·",ROW(分期持仓明细!$A$121),0)</f>
        <v>0</v>
      </c>
      <c r="Q202">
        <f>IF(LEFT(分期持仓明细!$A$121,LEN(K$81)+2)=K$81&amp;" ·",ROW(分期持仓明细!$A$121),0)</f>
        <v>0</v>
      </c>
      <c r="R202">
        <f>IF(LEFT(分期持仓明细!$A$121,LEN(L$81)+2)=L$81&amp;" ·",ROW(分期持仓明细!$A$121),0)</f>
        <v>0</v>
      </c>
    </row>
    <row r="203" spans="13:18">
      <c r="M203">
        <f>IF(LEFT(分期持仓明细!$A$122,LEN(G$81)+2)=G$81&amp;" ·",ROW(分期持仓明细!$A$122),0)</f>
        <v>0</v>
      </c>
      <c r="N203">
        <f>IF(LEFT(分期持仓明细!$A$122,LEN(H$81)+2)=H$81&amp;" ·",ROW(分期持仓明细!$A$122),0)</f>
        <v>0</v>
      </c>
      <c r="O203">
        <f>IF(LEFT(分期持仓明细!$A$122,LEN(I$81)+2)=I$81&amp;" ·",ROW(分期持仓明细!$A$122),0)</f>
        <v>0</v>
      </c>
      <c r="P203">
        <f>IF(LEFT(分期持仓明细!$A$122,LEN(J$81)+2)=J$81&amp;" ·",ROW(分期持仓明细!$A$122),0)</f>
        <v>0</v>
      </c>
      <c r="Q203">
        <f>IF(LEFT(分期持仓明细!$A$122,LEN(K$81)+2)=K$81&amp;" ·",ROW(分期持仓明细!$A$122),0)</f>
        <v>0</v>
      </c>
      <c r="R203">
        <f>IF(LEFT(分期持仓明细!$A$122,LEN(L$81)+2)=L$81&amp;" ·",ROW(分期持仓明细!$A$122),0)</f>
        <v>0</v>
      </c>
    </row>
    <row r="204" spans="13:18">
      <c r="M204">
        <f>IF(LEFT(分期持仓明细!$A$123,LEN(G$81)+2)=G$81&amp;" ·",ROW(分期持仓明细!$A$123),0)</f>
        <v>0</v>
      </c>
      <c r="N204">
        <f>IF(LEFT(分期持仓明细!$A$123,LEN(H$81)+2)=H$81&amp;" ·",ROW(分期持仓明细!$A$123),0)</f>
        <v>0</v>
      </c>
      <c r="O204">
        <f>IF(LEFT(分期持仓明细!$A$123,LEN(I$81)+2)=I$81&amp;" ·",ROW(分期持仓明细!$A$123),0)</f>
        <v>0</v>
      </c>
      <c r="P204">
        <f>IF(LEFT(分期持仓明细!$A$123,LEN(J$81)+2)=J$81&amp;" ·",ROW(分期持仓明细!$A$123),0)</f>
        <v>0</v>
      </c>
      <c r="Q204">
        <f>IF(LEFT(分期持仓明细!$A$123,LEN(K$81)+2)=K$81&amp;" ·",ROW(分期持仓明细!$A$123),0)</f>
        <v>0</v>
      </c>
      <c r="R204">
        <f>IF(LEFT(分期持仓明细!$A$123,LEN(L$81)+2)=L$81&amp;" ·",ROW(分期持仓明细!$A$123),0)</f>
        <v>0</v>
      </c>
    </row>
    <row r="205" spans="13:18">
      <c r="M205">
        <f>IF(LEFT(分期持仓明细!$A$124,LEN(G$81)+2)=G$81&amp;" ·",ROW(分期持仓明细!$A$124),0)</f>
        <v>0</v>
      </c>
      <c r="N205">
        <f>IF(LEFT(分期持仓明细!$A$124,LEN(H$81)+2)=H$81&amp;" ·",ROW(分期持仓明细!$A$124),0)</f>
        <v>0</v>
      </c>
      <c r="O205">
        <f>IF(LEFT(分期持仓明细!$A$124,LEN(I$81)+2)=I$81&amp;" ·",ROW(分期持仓明细!$A$124),0)</f>
        <v>0</v>
      </c>
      <c r="P205">
        <f>IF(LEFT(分期持仓明细!$A$124,LEN(J$81)+2)=J$81&amp;" ·",ROW(分期持仓明细!$A$124),0)</f>
        <v>0</v>
      </c>
      <c r="Q205">
        <f>IF(LEFT(分期持仓明细!$A$124,LEN(K$81)+2)=K$81&amp;" ·",ROW(分期持仓明细!$A$124),0)</f>
        <v>0</v>
      </c>
      <c r="R205">
        <f>IF(LEFT(分期持仓明细!$A$124,LEN(L$81)+2)=L$81&amp;" ·",ROW(分期持仓明细!$A$124),0)</f>
        <v>0</v>
      </c>
    </row>
    <row r="206" spans="13:18">
      <c r="M206">
        <f>IF(LEFT(分期持仓明细!$A$125,LEN(G$81)+2)=G$81&amp;" ·",ROW(分期持仓明细!$A$125),0)</f>
        <v>0</v>
      </c>
      <c r="N206">
        <f>IF(LEFT(分期持仓明细!$A$125,LEN(H$81)+2)=H$81&amp;" ·",ROW(分期持仓明细!$A$125),0)</f>
        <v>0</v>
      </c>
      <c r="O206">
        <f>IF(LEFT(分期持仓明细!$A$125,LEN(I$81)+2)=I$81&amp;" ·",ROW(分期持仓明细!$A$125),0)</f>
        <v>0</v>
      </c>
      <c r="P206">
        <f>IF(LEFT(分期持仓明细!$A$125,LEN(J$81)+2)=J$81&amp;" ·",ROW(分期持仓明细!$A$125),0)</f>
        <v>0</v>
      </c>
      <c r="Q206">
        <f>IF(LEFT(分期持仓明细!$A$125,LEN(K$81)+2)=K$81&amp;" ·",ROW(分期持仓明细!$A$125),0)</f>
        <v>0</v>
      </c>
      <c r="R206">
        <f>IF(LEFT(分期持仓明细!$A$125,LEN(L$81)+2)=L$81&amp;" ·",ROW(分期持仓明细!$A$125),0)</f>
        <v>0</v>
      </c>
    </row>
    <row r="207" spans="13:18">
      <c r="M207">
        <f>IF(LEFT(分期持仓明细!$A$126,LEN(G$81)+2)=G$81&amp;" ·",ROW(分期持仓明细!$A$126),0)</f>
        <v>0</v>
      </c>
      <c r="N207">
        <f>IF(LEFT(分期持仓明细!$A$126,LEN(H$81)+2)=H$81&amp;" ·",ROW(分期持仓明细!$A$126),0)</f>
        <v>0</v>
      </c>
      <c r="O207">
        <f>IF(LEFT(分期持仓明细!$A$126,LEN(I$81)+2)=I$81&amp;" ·",ROW(分期持仓明细!$A$126),0)</f>
        <v>0</v>
      </c>
      <c r="P207">
        <f>IF(LEFT(分期持仓明细!$A$126,LEN(J$81)+2)=J$81&amp;" ·",ROW(分期持仓明细!$A$126),0)</f>
        <v>0</v>
      </c>
      <c r="Q207">
        <f>IF(LEFT(分期持仓明细!$A$126,LEN(K$81)+2)=K$81&amp;" ·",ROW(分期持仓明细!$A$126),0)</f>
        <v>0</v>
      </c>
      <c r="R207">
        <f>IF(LEFT(分期持仓明细!$A$126,LEN(L$81)+2)=L$81&amp;" ·",ROW(分期持仓明细!$A$126),0)</f>
        <v>0</v>
      </c>
    </row>
    <row r="208" spans="13:18">
      <c r="M208">
        <f>IF(LEFT(分期持仓明细!$A$127,LEN(G$81)+2)=G$81&amp;" ·",ROW(分期持仓明细!$A$127),0)</f>
        <v>0</v>
      </c>
      <c r="N208">
        <f>IF(LEFT(分期持仓明细!$A$127,LEN(H$81)+2)=H$81&amp;" ·",ROW(分期持仓明细!$A$127),0)</f>
        <v>0</v>
      </c>
      <c r="O208">
        <f>IF(LEFT(分期持仓明细!$A$127,LEN(I$81)+2)=I$81&amp;" ·",ROW(分期持仓明细!$A$127),0)</f>
        <v>0</v>
      </c>
      <c r="P208">
        <f>IF(LEFT(分期持仓明细!$A$127,LEN(J$81)+2)=J$81&amp;" ·",ROW(分期持仓明细!$A$127),0)</f>
        <v>0</v>
      </c>
      <c r="Q208">
        <f>IF(LEFT(分期持仓明细!$A$127,LEN(K$81)+2)=K$81&amp;" ·",ROW(分期持仓明细!$A$127),0)</f>
        <v>0</v>
      </c>
      <c r="R208">
        <f>IF(LEFT(分期持仓明细!$A$127,LEN(L$81)+2)=L$81&amp;" ·",ROW(分期持仓明细!$A$127),0)</f>
        <v>0</v>
      </c>
    </row>
    <row r="209" spans="13:18">
      <c r="M209">
        <f>IF(LEFT(分期持仓明细!$A$128,LEN(G$81)+2)=G$81&amp;" ·",ROW(分期持仓明细!$A$128),0)</f>
        <v>0</v>
      </c>
      <c r="N209">
        <f>IF(LEFT(分期持仓明细!$A$128,LEN(H$81)+2)=H$81&amp;" ·",ROW(分期持仓明细!$A$128),0)</f>
        <v>0</v>
      </c>
      <c r="O209">
        <f>IF(LEFT(分期持仓明细!$A$128,LEN(I$81)+2)=I$81&amp;" ·",ROW(分期持仓明细!$A$128),0)</f>
        <v>0</v>
      </c>
      <c r="P209">
        <f>IF(LEFT(分期持仓明细!$A$128,LEN(J$81)+2)=J$81&amp;" ·",ROW(分期持仓明细!$A$128),0)</f>
        <v>0</v>
      </c>
      <c r="Q209">
        <f>IF(LEFT(分期持仓明细!$A$128,LEN(K$81)+2)=K$81&amp;" ·",ROW(分期持仓明细!$A$128),0)</f>
        <v>0</v>
      </c>
      <c r="R209">
        <f>IF(LEFT(分期持仓明细!$A$128,LEN(L$81)+2)=L$81&amp;" ·",ROW(分期持仓明细!$A$128),0)</f>
        <v>0</v>
      </c>
    </row>
    <row r="210" spans="13:18">
      <c r="M210">
        <f>IF(LEFT(分期持仓明细!$A$129,LEN(G$81)+2)=G$81&amp;" ·",ROW(分期持仓明细!$A$129),0)</f>
        <v>0</v>
      </c>
      <c r="N210">
        <f>IF(LEFT(分期持仓明细!$A$129,LEN(H$81)+2)=H$81&amp;" ·",ROW(分期持仓明细!$A$129),0)</f>
        <v>0</v>
      </c>
      <c r="O210">
        <f>IF(LEFT(分期持仓明细!$A$129,LEN(I$81)+2)=I$81&amp;" ·",ROW(分期持仓明细!$A$129),0)</f>
        <v>0</v>
      </c>
      <c r="P210">
        <f>IF(LEFT(分期持仓明细!$A$129,LEN(J$81)+2)=J$81&amp;" ·",ROW(分期持仓明细!$A$129),0)</f>
        <v>0</v>
      </c>
      <c r="Q210">
        <f>IF(LEFT(分期持仓明细!$A$129,LEN(K$81)+2)=K$81&amp;" ·",ROW(分期持仓明细!$A$129),0)</f>
        <v>0</v>
      </c>
      <c r="R210">
        <f>IF(LEFT(分期持仓明细!$A$129,LEN(L$81)+2)=L$81&amp;" ·",ROW(分期持仓明细!$A$129),0)</f>
        <v>0</v>
      </c>
    </row>
    <row r="211" spans="13:18">
      <c r="M211">
        <f>IF(LEFT(分期持仓明细!$A$130,LEN(G$81)+2)=G$81&amp;" ·",ROW(分期持仓明细!$A$130),0)</f>
        <v>0</v>
      </c>
      <c r="N211">
        <f>IF(LEFT(分期持仓明细!$A$130,LEN(H$81)+2)=H$81&amp;" ·",ROW(分期持仓明细!$A$130),0)</f>
        <v>0</v>
      </c>
      <c r="O211">
        <f>IF(LEFT(分期持仓明细!$A$130,LEN(I$81)+2)=I$81&amp;" ·",ROW(分期持仓明细!$A$130),0)</f>
        <v>0</v>
      </c>
      <c r="P211">
        <f>IF(LEFT(分期持仓明细!$A$130,LEN(J$81)+2)=J$81&amp;" ·",ROW(分期持仓明细!$A$130),0)</f>
        <v>0</v>
      </c>
      <c r="Q211">
        <f>IF(LEFT(分期持仓明细!$A$130,LEN(K$81)+2)=K$81&amp;" ·",ROW(分期持仓明细!$A$130),0)</f>
        <v>0</v>
      </c>
      <c r="R211">
        <f>IF(LEFT(分期持仓明细!$A$130,LEN(L$81)+2)=L$81&amp;" ·",ROW(分期持仓明细!$A$130),0)</f>
        <v>0</v>
      </c>
    </row>
    <row r="212" spans="13:18">
      <c r="M212">
        <f>IF(LEFT(分期持仓明细!$A$131,LEN(G$81)+2)=G$81&amp;" ·",ROW(分期持仓明细!$A$131),0)</f>
        <v>0</v>
      </c>
      <c r="N212">
        <f>IF(LEFT(分期持仓明细!$A$131,LEN(H$81)+2)=H$81&amp;" ·",ROW(分期持仓明细!$A$131),0)</f>
        <v>0</v>
      </c>
      <c r="O212">
        <f>IF(LEFT(分期持仓明细!$A$131,LEN(I$81)+2)=I$81&amp;" ·",ROW(分期持仓明细!$A$131),0)</f>
        <v>0</v>
      </c>
      <c r="P212">
        <f>IF(LEFT(分期持仓明细!$A$131,LEN(J$81)+2)=J$81&amp;" ·",ROW(分期持仓明细!$A$131),0)</f>
        <v>0</v>
      </c>
      <c r="Q212">
        <f>IF(LEFT(分期持仓明细!$A$131,LEN(K$81)+2)=K$81&amp;" ·",ROW(分期持仓明细!$A$131),0)</f>
        <v>0</v>
      </c>
      <c r="R212">
        <f>IF(LEFT(分期持仓明细!$A$131,LEN(L$81)+2)=L$81&amp;" ·",ROW(分期持仓明细!$A$131),0)</f>
        <v>0</v>
      </c>
    </row>
    <row r="213" spans="13:18">
      <c r="M213">
        <f>IF(LEFT(分期持仓明细!$A$132,LEN(G$81)+2)=G$81&amp;" ·",ROW(分期持仓明细!$A$132),0)</f>
        <v>0</v>
      </c>
      <c r="N213">
        <f>IF(LEFT(分期持仓明细!$A$132,LEN(H$81)+2)=H$81&amp;" ·",ROW(分期持仓明细!$A$132),0)</f>
        <v>0</v>
      </c>
      <c r="O213">
        <f>IF(LEFT(分期持仓明细!$A$132,LEN(I$81)+2)=I$81&amp;" ·",ROW(分期持仓明细!$A$132),0)</f>
        <v>0</v>
      </c>
      <c r="P213">
        <f>IF(LEFT(分期持仓明细!$A$132,LEN(J$81)+2)=J$81&amp;" ·",ROW(分期持仓明细!$A$132),0)</f>
        <v>0</v>
      </c>
      <c r="Q213">
        <f>IF(LEFT(分期持仓明细!$A$132,LEN(K$81)+2)=K$81&amp;" ·",ROW(分期持仓明细!$A$132),0)</f>
        <v>0</v>
      </c>
      <c r="R213">
        <f>IF(LEFT(分期持仓明细!$A$132,LEN(L$81)+2)=L$81&amp;" ·",ROW(分期持仓明细!$A$132),0)</f>
        <v>0</v>
      </c>
    </row>
    <row r="214" spans="13:18">
      <c r="M214">
        <f>IF(LEFT(分期持仓明细!$A$133,LEN(G$81)+2)=G$81&amp;" ·",ROW(分期持仓明细!$A$133),0)</f>
        <v>0</v>
      </c>
      <c r="N214">
        <f>IF(LEFT(分期持仓明细!$A$133,LEN(H$81)+2)=H$81&amp;" ·",ROW(分期持仓明细!$A$133),0)</f>
        <v>0</v>
      </c>
      <c r="O214">
        <f>IF(LEFT(分期持仓明细!$A$133,LEN(I$81)+2)=I$81&amp;" ·",ROW(分期持仓明细!$A$133),0)</f>
        <v>0</v>
      </c>
      <c r="P214">
        <f>IF(LEFT(分期持仓明细!$A$133,LEN(J$81)+2)=J$81&amp;" ·",ROW(分期持仓明细!$A$133),0)</f>
        <v>0</v>
      </c>
      <c r="Q214">
        <f>IF(LEFT(分期持仓明细!$A$133,LEN(K$81)+2)=K$81&amp;" ·",ROW(分期持仓明细!$A$133),0)</f>
        <v>0</v>
      </c>
      <c r="R214">
        <f>IF(LEFT(分期持仓明细!$A$133,LEN(L$81)+2)=L$81&amp;" ·",ROW(分期持仓明细!$A$133),0)</f>
        <v>0</v>
      </c>
    </row>
    <row r="215" spans="13:18">
      <c r="M215">
        <f>IF(LEFT(分期持仓明细!$A$134,LEN(G$81)+2)=G$81&amp;" ·",ROW(分期持仓明细!$A$134),0)</f>
        <v>0</v>
      </c>
      <c r="N215">
        <f>IF(LEFT(分期持仓明细!$A$134,LEN(H$81)+2)=H$81&amp;" ·",ROW(分期持仓明细!$A$134),0)</f>
        <v>0</v>
      </c>
      <c r="O215">
        <f>IF(LEFT(分期持仓明细!$A$134,LEN(I$81)+2)=I$81&amp;" ·",ROW(分期持仓明细!$A$134),0)</f>
        <v>0</v>
      </c>
      <c r="P215">
        <f>IF(LEFT(分期持仓明细!$A$134,LEN(J$81)+2)=J$81&amp;" ·",ROW(分期持仓明细!$A$134),0)</f>
        <v>0</v>
      </c>
      <c r="Q215">
        <f>IF(LEFT(分期持仓明细!$A$134,LEN(K$81)+2)=K$81&amp;" ·",ROW(分期持仓明细!$A$134),0)</f>
        <v>0</v>
      </c>
      <c r="R215">
        <f>IF(LEFT(分期持仓明细!$A$134,LEN(L$81)+2)=L$81&amp;" ·",ROW(分期持仓明细!$A$134),0)</f>
        <v>0</v>
      </c>
    </row>
    <row r="216" spans="13:18">
      <c r="M216">
        <f>IF(LEFT(分期持仓明细!$A$135,LEN(G$81)+2)=G$81&amp;" ·",ROW(分期持仓明细!$A$135),0)</f>
        <v>0</v>
      </c>
      <c r="N216">
        <f>IF(LEFT(分期持仓明细!$A$135,LEN(H$81)+2)=H$81&amp;" ·",ROW(分期持仓明细!$A$135),0)</f>
        <v>0</v>
      </c>
      <c r="O216">
        <f>IF(LEFT(分期持仓明细!$A$135,LEN(I$81)+2)=I$81&amp;" ·",ROW(分期持仓明细!$A$135),0)</f>
        <v>0</v>
      </c>
      <c r="P216">
        <f>IF(LEFT(分期持仓明细!$A$135,LEN(J$81)+2)=J$81&amp;" ·",ROW(分期持仓明细!$A$135),0)</f>
        <v>0</v>
      </c>
      <c r="Q216">
        <f>IF(LEFT(分期持仓明细!$A$135,LEN(K$81)+2)=K$81&amp;" ·",ROW(分期持仓明细!$A$135),0)</f>
        <v>0</v>
      </c>
      <c r="R216">
        <f>IF(LEFT(分期持仓明细!$A$135,LEN(L$81)+2)=L$81&amp;" ·",ROW(分期持仓明细!$A$135),0)</f>
        <v>0</v>
      </c>
    </row>
    <row r="217" spans="13:18">
      <c r="M217">
        <f>IF(LEFT(分期持仓明细!$A$136,LEN(G$81)+2)=G$81&amp;" ·",ROW(分期持仓明细!$A$136),0)</f>
        <v>0</v>
      </c>
      <c r="N217">
        <f>IF(LEFT(分期持仓明细!$A$136,LEN(H$81)+2)=H$81&amp;" ·",ROW(分期持仓明细!$A$136),0)</f>
        <v>0</v>
      </c>
      <c r="O217">
        <f>IF(LEFT(分期持仓明细!$A$136,LEN(I$81)+2)=I$81&amp;" ·",ROW(分期持仓明细!$A$136),0)</f>
        <v>0</v>
      </c>
      <c r="P217">
        <f>IF(LEFT(分期持仓明细!$A$136,LEN(J$81)+2)=J$81&amp;" ·",ROW(分期持仓明细!$A$136),0)</f>
        <v>0</v>
      </c>
      <c r="Q217">
        <f>IF(LEFT(分期持仓明细!$A$136,LEN(K$81)+2)=K$81&amp;" ·",ROW(分期持仓明细!$A$136),0)</f>
        <v>0</v>
      </c>
      <c r="R217">
        <f>IF(LEFT(分期持仓明细!$A$136,LEN(L$81)+2)=L$81&amp;" ·",ROW(分期持仓明细!$A$136),0)</f>
        <v>0</v>
      </c>
    </row>
    <row r="218" spans="13:18">
      <c r="M218">
        <f>IF(LEFT(分期持仓明细!$A$137,LEN(G$81)+2)=G$81&amp;" ·",ROW(分期持仓明细!$A$137),0)</f>
        <v>0</v>
      </c>
      <c r="N218">
        <f>IF(LEFT(分期持仓明细!$A$137,LEN(H$81)+2)=H$81&amp;" ·",ROW(分期持仓明细!$A$137),0)</f>
        <v>0</v>
      </c>
      <c r="O218">
        <f>IF(LEFT(分期持仓明细!$A$137,LEN(I$81)+2)=I$81&amp;" ·",ROW(分期持仓明细!$A$137),0)</f>
        <v>0</v>
      </c>
      <c r="P218">
        <f>IF(LEFT(分期持仓明细!$A$137,LEN(J$81)+2)=J$81&amp;" ·",ROW(分期持仓明细!$A$137),0)</f>
        <v>0</v>
      </c>
      <c r="Q218">
        <f>IF(LEFT(分期持仓明细!$A$137,LEN(K$81)+2)=K$81&amp;" ·",ROW(分期持仓明细!$A$137),0)</f>
        <v>0</v>
      </c>
      <c r="R218">
        <f>IF(LEFT(分期持仓明细!$A$137,LEN(L$81)+2)=L$81&amp;" ·",ROW(分期持仓明细!$A$137),0)</f>
        <v>0</v>
      </c>
    </row>
    <row r="219" spans="13:18">
      <c r="M219">
        <f>IF(LEFT(分期持仓明细!$A$138,LEN(G$81)+2)=G$81&amp;" ·",ROW(分期持仓明细!$A$138),0)</f>
        <v>0</v>
      </c>
      <c r="N219">
        <f>IF(LEFT(分期持仓明细!$A$138,LEN(H$81)+2)=H$81&amp;" ·",ROW(分期持仓明细!$A$138),0)</f>
        <v>0</v>
      </c>
      <c r="O219">
        <f>IF(LEFT(分期持仓明细!$A$138,LEN(I$81)+2)=I$81&amp;" ·",ROW(分期持仓明细!$A$138),0)</f>
        <v>0</v>
      </c>
      <c r="P219">
        <f>IF(LEFT(分期持仓明细!$A$138,LEN(J$81)+2)=J$81&amp;" ·",ROW(分期持仓明细!$A$138),0)</f>
        <v>0</v>
      </c>
      <c r="Q219">
        <f>IF(LEFT(分期持仓明细!$A$138,LEN(K$81)+2)=K$81&amp;" ·",ROW(分期持仓明细!$A$138),0)</f>
        <v>0</v>
      </c>
      <c r="R219">
        <f>IF(LEFT(分期持仓明细!$A$138,LEN(L$81)+2)=L$81&amp;" ·",ROW(分期持仓明细!$A$138),0)</f>
        <v>0</v>
      </c>
    </row>
    <row r="220" spans="13:18">
      <c r="M220">
        <f>IF(LEFT(分期持仓明细!$A$139,LEN(G$81)+2)=G$81&amp;" ·",ROW(分期持仓明细!$A$139),0)</f>
        <v>0</v>
      </c>
      <c r="N220">
        <f>IF(LEFT(分期持仓明细!$A$139,LEN(H$81)+2)=H$81&amp;" ·",ROW(分期持仓明细!$A$139),0)</f>
        <v>0</v>
      </c>
      <c r="O220">
        <f>IF(LEFT(分期持仓明细!$A$139,LEN(I$81)+2)=I$81&amp;" ·",ROW(分期持仓明细!$A$139),0)</f>
        <v>0</v>
      </c>
      <c r="P220">
        <f>IF(LEFT(分期持仓明细!$A$139,LEN(J$81)+2)=J$81&amp;" ·",ROW(分期持仓明细!$A$139),0)</f>
        <v>0</v>
      </c>
      <c r="Q220">
        <f>IF(LEFT(分期持仓明细!$A$139,LEN(K$81)+2)=K$81&amp;" ·",ROW(分期持仓明细!$A$139),0)</f>
        <v>0</v>
      </c>
      <c r="R220">
        <f>IF(LEFT(分期持仓明细!$A$139,LEN(L$81)+2)=L$81&amp;" ·",ROW(分期持仓明细!$A$139),0)</f>
        <v>0</v>
      </c>
    </row>
    <row r="221" spans="13:18">
      <c r="M221">
        <f>IF(LEFT(分期持仓明细!$A$140,LEN(G$81)+2)=G$81&amp;" ·",ROW(分期持仓明细!$A$140),0)</f>
        <v>0</v>
      </c>
      <c r="N221">
        <f>IF(LEFT(分期持仓明细!$A$140,LEN(H$81)+2)=H$81&amp;" ·",ROW(分期持仓明细!$A$140),0)</f>
        <v>0</v>
      </c>
      <c r="O221">
        <f>IF(LEFT(分期持仓明细!$A$140,LEN(I$81)+2)=I$81&amp;" ·",ROW(分期持仓明细!$A$140),0)</f>
        <v>0</v>
      </c>
      <c r="P221">
        <f>IF(LEFT(分期持仓明细!$A$140,LEN(J$81)+2)=J$81&amp;" ·",ROW(分期持仓明细!$A$140),0)</f>
        <v>0</v>
      </c>
      <c r="Q221">
        <f>IF(LEFT(分期持仓明细!$A$140,LEN(K$81)+2)=K$81&amp;" ·",ROW(分期持仓明细!$A$140),0)</f>
        <v>0</v>
      </c>
      <c r="R221">
        <f>IF(LEFT(分期持仓明细!$A$140,LEN(L$81)+2)=L$81&amp;" ·",ROW(分期持仓明细!$A$140),0)</f>
        <v>0</v>
      </c>
    </row>
    <row r="222" spans="13:18">
      <c r="M222">
        <f>IF(LEFT(分期持仓明细!$A$141,LEN(G$81)+2)=G$81&amp;" ·",ROW(分期持仓明细!$A$141),0)</f>
        <v>0</v>
      </c>
      <c r="N222">
        <f>IF(LEFT(分期持仓明细!$A$141,LEN(H$81)+2)=H$81&amp;" ·",ROW(分期持仓明细!$A$141),0)</f>
        <v>0</v>
      </c>
      <c r="O222">
        <f>IF(LEFT(分期持仓明细!$A$141,LEN(I$81)+2)=I$81&amp;" ·",ROW(分期持仓明细!$A$141),0)</f>
        <v>0</v>
      </c>
      <c r="P222">
        <f>IF(LEFT(分期持仓明细!$A$141,LEN(J$81)+2)=J$81&amp;" ·",ROW(分期持仓明细!$A$141),0)</f>
        <v>0</v>
      </c>
      <c r="Q222">
        <f>IF(LEFT(分期持仓明细!$A$141,LEN(K$81)+2)=K$81&amp;" ·",ROW(分期持仓明细!$A$141),0)</f>
        <v>0</v>
      </c>
      <c r="R222">
        <f>IF(LEFT(分期持仓明细!$A$141,LEN(L$81)+2)=L$81&amp;" ·",ROW(分期持仓明细!$A$141),0)</f>
        <v>0</v>
      </c>
    </row>
    <row r="223" spans="13:18">
      <c r="M223">
        <f>IF(LEFT(分期持仓明细!$A$142,LEN(G$81)+2)=G$81&amp;" ·",ROW(分期持仓明细!$A$142),0)</f>
        <v>0</v>
      </c>
      <c r="N223">
        <f>IF(LEFT(分期持仓明细!$A$142,LEN(H$81)+2)=H$81&amp;" ·",ROW(分期持仓明细!$A$142),0)</f>
        <v>0</v>
      </c>
      <c r="O223">
        <f>IF(LEFT(分期持仓明细!$A$142,LEN(I$81)+2)=I$81&amp;" ·",ROW(分期持仓明细!$A$142),0)</f>
        <v>0</v>
      </c>
      <c r="P223">
        <f>IF(LEFT(分期持仓明细!$A$142,LEN(J$81)+2)=J$81&amp;" ·",ROW(分期持仓明细!$A$142),0)</f>
        <v>0</v>
      </c>
      <c r="Q223">
        <f>IF(LEFT(分期持仓明细!$A$142,LEN(K$81)+2)=K$81&amp;" ·",ROW(分期持仓明细!$A$142),0)</f>
        <v>0</v>
      </c>
      <c r="R223">
        <f>IF(LEFT(分期持仓明细!$A$142,LEN(L$81)+2)=L$81&amp;" ·",ROW(分期持仓明细!$A$142),0)</f>
        <v>0</v>
      </c>
    </row>
    <row r="224" spans="13:18">
      <c r="M224">
        <f>IF(LEFT(分期持仓明细!$A$143,LEN(G$81)+2)=G$81&amp;" ·",ROW(分期持仓明细!$A$143),0)</f>
        <v>0</v>
      </c>
      <c r="N224">
        <f>IF(LEFT(分期持仓明细!$A$143,LEN(H$81)+2)=H$81&amp;" ·",ROW(分期持仓明细!$A$143),0)</f>
        <v>0</v>
      </c>
      <c r="O224">
        <f>IF(LEFT(分期持仓明细!$A$143,LEN(I$81)+2)=I$81&amp;" ·",ROW(分期持仓明细!$A$143),0)</f>
        <v>0</v>
      </c>
      <c r="P224">
        <f>IF(LEFT(分期持仓明细!$A$143,LEN(J$81)+2)=J$81&amp;" ·",ROW(分期持仓明细!$A$143),0)</f>
        <v>0</v>
      </c>
      <c r="Q224">
        <f>IF(LEFT(分期持仓明细!$A$143,LEN(K$81)+2)=K$81&amp;" ·",ROW(分期持仓明细!$A$143),0)</f>
        <v>0</v>
      </c>
      <c r="R224">
        <f>IF(LEFT(分期持仓明细!$A$143,LEN(L$81)+2)=L$81&amp;" ·",ROW(分期持仓明细!$A$143),0)</f>
        <v>0</v>
      </c>
    </row>
    <row r="225" spans="13:18">
      <c r="M225">
        <f>IF(LEFT(分期持仓明细!$A$144,LEN(G$81)+2)=G$81&amp;" ·",ROW(分期持仓明细!$A$144),0)</f>
        <v>0</v>
      </c>
      <c r="N225">
        <f>IF(LEFT(分期持仓明细!$A$144,LEN(H$81)+2)=H$81&amp;" ·",ROW(分期持仓明细!$A$144),0)</f>
        <v>0</v>
      </c>
      <c r="O225">
        <f>IF(LEFT(分期持仓明细!$A$144,LEN(I$81)+2)=I$81&amp;" ·",ROW(分期持仓明细!$A$144),0)</f>
        <v>0</v>
      </c>
      <c r="P225">
        <f>IF(LEFT(分期持仓明细!$A$144,LEN(J$81)+2)=J$81&amp;" ·",ROW(分期持仓明细!$A$144),0)</f>
        <v>0</v>
      </c>
      <c r="Q225">
        <f>IF(LEFT(分期持仓明细!$A$144,LEN(K$81)+2)=K$81&amp;" ·",ROW(分期持仓明细!$A$144),0)</f>
        <v>0</v>
      </c>
      <c r="R225">
        <f>IF(LEFT(分期持仓明细!$A$144,LEN(L$81)+2)=L$81&amp;" ·",ROW(分期持仓明细!$A$144),0)</f>
        <v>0</v>
      </c>
    </row>
    <row r="226" spans="13:18">
      <c r="M226">
        <f>IF(LEFT(分期持仓明细!$A$145,LEN(G$81)+2)=G$81&amp;" ·",ROW(分期持仓明细!$A$145),0)</f>
        <v>0</v>
      </c>
      <c r="N226">
        <f>IF(LEFT(分期持仓明细!$A$145,LEN(H$81)+2)=H$81&amp;" ·",ROW(分期持仓明细!$A$145),0)</f>
        <v>0</v>
      </c>
      <c r="O226">
        <f>IF(LEFT(分期持仓明细!$A$145,LEN(I$81)+2)=I$81&amp;" ·",ROW(分期持仓明细!$A$145),0)</f>
        <v>0</v>
      </c>
      <c r="P226">
        <f>IF(LEFT(分期持仓明细!$A$145,LEN(J$81)+2)=J$81&amp;" ·",ROW(分期持仓明细!$A$145),0)</f>
        <v>0</v>
      </c>
      <c r="Q226">
        <f>IF(LEFT(分期持仓明细!$A$145,LEN(K$81)+2)=K$81&amp;" ·",ROW(分期持仓明细!$A$145),0)</f>
        <v>0</v>
      </c>
      <c r="R226">
        <f>IF(LEFT(分期持仓明细!$A$145,LEN(L$81)+2)=L$81&amp;" ·",ROW(分期持仓明细!$A$145),0)</f>
        <v>0</v>
      </c>
    </row>
    <row r="227" spans="13:18">
      <c r="M227">
        <f>IF(LEFT(分期持仓明细!$A$146,LEN(G$81)+2)=G$81&amp;" ·",ROW(分期持仓明细!$A$146),0)</f>
        <v>0</v>
      </c>
      <c r="N227">
        <f>IF(LEFT(分期持仓明细!$A$146,LEN(H$81)+2)=H$81&amp;" ·",ROW(分期持仓明细!$A$146),0)</f>
        <v>0</v>
      </c>
      <c r="O227">
        <f>IF(LEFT(分期持仓明细!$A$146,LEN(I$81)+2)=I$81&amp;" ·",ROW(分期持仓明细!$A$146),0)</f>
        <v>0</v>
      </c>
      <c r="P227">
        <f>IF(LEFT(分期持仓明细!$A$146,LEN(J$81)+2)=J$81&amp;" ·",ROW(分期持仓明细!$A$146),0)</f>
        <v>0</v>
      </c>
      <c r="Q227">
        <f>IF(LEFT(分期持仓明细!$A$146,LEN(K$81)+2)=K$81&amp;" ·",ROW(分期持仓明细!$A$146),0)</f>
        <v>0</v>
      </c>
      <c r="R227">
        <f>IF(LEFT(分期持仓明细!$A$146,LEN(L$81)+2)=L$81&amp;" ·",ROW(分期持仓明细!$A$146),0)</f>
        <v>0</v>
      </c>
    </row>
    <row r="228" spans="13:18">
      <c r="M228">
        <f>IF(LEFT(分期持仓明细!$A$147,LEN(G$81)+2)=G$81&amp;" ·",ROW(分期持仓明细!$A$147),0)</f>
        <v>0</v>
      </c>
      <c r="N228">
        <f>IF(LEFT(分期持仓明细!$A$147,LEN(H$81)+2)=H$81&amp;" ·",ROW(分期持仓明细!$A$147),0)</f>
        <v>0</v>
      </c>
      <c r="O228">
        <f>IF(LEFT(分期持仓明细!$A$147,LEN(I$81)+2)=I$81&amp;" ·",ROW(分期持仓明细!$A$147),0)</f>
        <v>0</v>
      </c>
      <c r="P228">
        <f>IF(LEFT(分期持仓明细!$A$147,LEN(J$81)+2)=J$81&amp;" ·",ROW(分期持仓明细!$A$147),0)</f>
        <v>0</v>
      </c>
      <c r="Q228">
        <f>IF(LEFT(分期持仓明细!$A$147,LEN(K$81)+2)=K$81&amp;" ·",ROW(分期持仓明细!$A$147),0)</f>
        <v>0</v>
      </c>
      <c r="R228">
        <f>IF(LEFT(分期持仓明细!$A$147,LEN(L$81)+2)=L$81&amp;" ·",ROW(分期持仓明细!$A$147),0)</f>
        <v>0</v>
      </c>
    </row>
    <row r="229" spans="13:18">
      <c r="M229">
        <f>IF(LEFT(分期持仓明细!$A$148,LEN(G$81)+2)=G$81&amp;" ·",ROW(分期持仓明细!$A$148),0)</f>
        <v>0</v>
      </c>
      <c r="N229">
        <f>IF(LEFT(分期持仓明细!$A$148,LEN(H$81)+2)=H$81&amp;" ·",ROW(分期持仓明细!$A$148),0)</f>
        <v>0</v>
      </c>
      <c r="O229">
        <f>IF(LEFT(分期持仓明细!$A$148,LEN(I$81)+2)=I$81&amp;" ·",ROW(分期持仓明细!$A$148),0)</f>
        <v>0</v>
      </c>
      <c r="P229">
        <f>IF(LEFT(分期持仓明细!$A$148,LEN(J$81)+2)=J$81&amp;" ·",ROW(分期持仓明细!$A$148),0)</f>
        <v>0</v>
      </c>
      <c r="Q229">
        <f>IF(LEFT(分期持仓明细!$A$148,LEN(K$81)+2)=K$81&amp;" ·",ROW(分期持仓明细!$A$148),0)</f>
        <v>0</v>
      </c>
      <c r="R229">
        <f>IF(LEFT(分期持仓明细!$A$148,LEN(L$81)+2)=L$81&amp;" ·",ROW(分期持仓明细!$A$148),0)</f>
        <v>0</v>
      </c>
    </row>
    <row r="230" spans="13:18">
      <c r="M230">
        <f>IF(LEFT(分期持仓明细!$A$149,LEN(G$81)+2)=G$81&amp;" ·",ROW(分期持仓明细!$A$149),0)</f>
        <v>0</v>
      </c>
      <c r="N230">
        <f>IF(LEFT(分期持仓明细!$A$149,LEN(H$81)+2)=H$81&amp;" ·",ROW(分期持仓明细!$A$149),0)</f>
        <v>0</v>
      </c>
      <c r="O230">
        <f>IF(LEFT(分期持仓明细!$A$149,LEN(I$81)+2)=I$81&amp;" ·",ROW(分期持仓明细!$A$149),0)</f>
        <v>0</v>
      </c>
      <c r="P230">
        <f>IF(LEFT(分期持仓明细!$A$149,LEN(J$81)+2)=J$81&amp;" ·",ROW(分期持仓明细!$A$149),0)</f>
        <v>0</v>
      </c>
      <c r="Q230">
        <f>IF(LEFT(分期持仓明细!$A$149,LEN(K$81)+2)=K$81&amp;" ·",ROW(分期持仓明细!$A$149),0)</f>
        <v>0</v>
      </c>
      <c r="R230">
        <f>IF(LEFT(分期持仓明细!$A$149,LEN(L$81)+2)=L$81&amp;" ·",ROW(分期持仓明细!$A$149),0)</f>
        <v>0</v>
      </c>
    </row>
    <row r="231" spans="13:18">
      <c r="M231">
        <f>IF(LEFT(分期持仓明细!$A$150,LEN(G$81)+2)=G$81&amp;" ·",ROW(分期持仓明细!$A$150),0)</f>
        <v>0</v>
      </c>
      <c r="N231">
        <f>IF(LEFT(分期持仓明细!$A$150,LEN(H$81)+2)=H$81&amp;" ·",ROW(分期持仓明细!$A$150),0)</f>
        <v>0</v>
      </c>
      <c r="O231">
        <f>IF(LEFT(分期持仓明细!$A$150,LEN(I$81)+2)=I$81&amp;" ·",ROW(分期持仓明细!$A$150),0)</f>
        <v>0</v>
      </c>
      <c r="P231">
        <f>IF(LEFT(分期持仓明细!$A$150,LEN(J$81)+2)=J$81&amp;" ·",ROW(分期持仓明细!$A$150),0)</f>
        <v>0</v>
      </c>
      <c r="Q231">
        <f>IF(LEFT(分期持仓明细!$A$150,LEN(K$81)+2)=K$81&amp;" ·",ROW(分期持仓明细!$A$150),0)</f>
        <v>0</v>
      </c>
      <c r="R231">
        <f>IF(LEFT(分期持仓明细!$A$150,LEN(L$81)+2)=L$81&amp;" ·",ROW(分期持仓明细!$A$150),0)</f>
        <v>0</v>
      </c>
    </row>
    <row r="232" spans="13:18">
      <c r="M232">
        <f>IF(LEFT(分期持仓明细!$A$151,LEN(G$81)+2)=G$81&amp;" ·",ROW(分期持仓明细!$A$151),0)</f>
        <v>0</v>
      </c>
      <c r="N232">
        <f>IF(LEFT(分期持仓明细!$A$151,LEN(H$81)+2)=H$81&amp;" ·",ROW(分期持仓明细!$A$151),0)</f>
        <v>0</v>
      </c>
      <c r="O232">
        <f>IF(LEFT(分期持仓明细!$A$151,LEN(I$81)+2)=I$81&amp;" ·",ROW(分期持仓明细!$A$151),0)</f>
        <v>0</v>
      </c>
      <c r="P232">
        <f>IF(LEFT(分期持仓明细!$A$151,LEN(J$81)+2)=J$81&amp;" ·",ROW(分期持仓明细!$A$151),0)</f>
        <v>0</v>
      </c>
      <c r="Q232">
        <f>IF(LEFT(分期持仓明细!$A$151,LEN(K$81)+2)=K$81&amp;" ·",ROW(分期持仓明细!$A$151),0)</f>
        <v>0</v>
      </c>
      <c r="R232">
        <f>IF(LEFT(分期持仓明细!$A$151,LEN(L$81)+2)=L$81&amp;" ·",ROW(分期持仓明细!$A$151),0)</f>
        <v>0</v>
      </c>
    </row>
    <row r="233" spans="13:18">
      <c r="M233">
        <f>IF(LEFT(分期持仓明细!$A$152,LEN(G$81)+2)=G$81&amp;" ·",ROW(分期持仓明细!$A$152),0)</f>
        <v>0</v>
      </c>
      <c r="N233">
        <f>IF(LEFT(分期持仓明细!$A$152,LEN(H$81)+2)=H$81&amp;" ·",ROW(分期持仓明细!$A$152),0)</f>
        <v>0</v>
      </c>
      <c r="O233">
        <f>IF(LEFT(分期持仓明细!$A$152,LEN(I$81)+2)=I$81&amp;" ·",ROW(分期持仓明细!$A$152),0)</f>
        <v>0</v>
      </c>
      <c r="P233">
        <f>IF(LEFT(分期持仓明细!$A$152,LEN(J$81)+2)=J$81&amp;" ·",ROW(分期持仓明细!$A$152),0)</f>
        <v>0</v>
      </c>
      <c r="Q233">
        <f>IF(LEFT(分期持仓明细!$A$152,LEN(K$81)+2)=K$81&amp;" ·",ROW(分期持仓明细!$A$152),0)</f>
        <v>0</v>
      </c>
      <c r="R233">
        <f>IF(LEFT(分期持仓明细!$A$152,LEN(L$81)+2)=L$81&amp;" ·",ROW(分期持仓明细!$A$152),0)</f>
        <v>0</v>
      </c>
    </row>
    <row r="234" spans="13:18">
      <c r="M234">
        <f>IF(LEFT(分期持仓明细!$A$153,LEN(G$81)+2)=G$81&amp;" ·",ROW(分期持仓明细!$A$153),0)</f>
        <v>0</v>
      </c>
      <c r="N234">
        <f>IF(LEFT(分期持仓明细!$A$153,LEN(H$81)+2)=H$81&amp;" ·",ROW(分期持仓明细!$A$153),0)</f>
        <v>0</v>
      </c>
      <c r="O234">
        <f>IF(LEFT(分期持仓明细!$A$153,LEN(I$81)+2)=I$81&amp;" ·",ROW(分期持仓明细!$A$153),0)</f>
        <v>0</v>
      </c>
      <c r="P234">
        <f>IF(LEFT(分期持仓明细!$A$153,LEN(J$81)+2)=J$81&amp;" ·",ROW(分期持仓明细!$A$153),0)</f>
        <v>0</v>
      </c>
      <c r="Q234">
        <f>IF(LEFT(分期持仓明细!$A$153,LEN(K$81)+2)=K$81&amp;" ·",ROW(分期持仓明细!$A$153),0)</f>
        <v>0</v>
      </c>
      <c r="R234">
        <f>IF(LEFT(分期持仓明细!$A$153,LEN(L$81)+2)=L$81&amp;" ·",ROW(分期持仓明细!$A$153),0)</f>
        <v>0</v>
      </c>
    </row>
    <row r="235" spans="13:18">
      <c r="M235">
        <f>IF(LEFT(分期持仓明细!$A$154,LEN(G$81)+2)=G$81&amp;" ·",ROW(分期持仓明细!$A$154),0)</f>
        <v>0</v>
      </c>
      <c r="N235">
        <f>IF(LEFT(分期持仓明细!$A$154,LEN(H$81)+2)=H$81&amp;" ·",ROW(分期持仓明细!$A$154),0)</f>
        <v>0</v>
      </c>
      <c r="O235">
        <f>IF(LEFT(分期持仓明细!$A$154,LEN(I$81)+2)=I$81&amp;" ·",ROW(分期持仓明细!$A$154),0)</f>
        <v>0</v>
      </c>
      <c r="P235">
        <f>IF(LEFT(分期持仓明细!$A$154,LEN(J$81)+2)=J$81&amp;" ·",ROW(分期持仓明细!$A$154),0)</f>
        <v>0</v>
      </c>
      <c r="Q235">
        <f>IF(LEFT(分期持仓明细!$A$154,LEN(K$81)+2)=K$81&amp;" ·",ROW(分期持仓明细!$A$154),0)</f>
        <v>0</v>
      </c>
      <c r="R235">
        <f>IF(LEFT(分期持仓明细!$A$154,LEN(L$81)+2)=L$81&amp;" ·",ROW(分期持仓明细!$A$154),0)</f>
        <v>0</v>
      </c>
    </row>
    <row r="236" spans="13:18">
      <c r="M236">
        <f>IF(LEFT(分期持仓明细!$A$155,LEN(G$81)+2)=G$81&amp;" ·",ROW(分期持仓明细!$A$155),0)</f>
        <v>0</v>
      </c>
      <c r="N236">
        <f>IF(LEFT(分期持仓明细!$A$155,LEN(H$81)+2)=H$81&amp;" ·",ROW(分期持仓明细!$A$155),0)</f>
        <v>0</v>
      </c>
      <c r="O236">
        <f>IF(LEFT(分期持仓明细!$A$155,LEN(I$81)+2)=I$81&amp;" ·",ROW(分期持仓明细!$A$155),0)</f>
        <v>0</v>
      </c>
      <c r="P236">
        <f>IF(LEFT(分期持仓明细!$A$155,LEN(J$81)+2)=J$81&amp;" ·",ROW(分期持仓明细!$A$155),0)</f>
        <v>0</v>
      </c>
      <c r="Q236">
        <f>IF(LEFT(分期持仓明细!$A$155,LEN(K$81)+2)=K$81&amp;" ·",ROW(分期持仓明细!$A$155),0)</f>
        <v>0</v>
      </c>
      <c r="R236">
        <f>IF(LEFT(分期持仓明细!$A$155,LEN(L$81)+2)=L$81&amp;" ·",ROW(分期持仓明细!$A$155),0)</f>
        <v>0</v>
      </c>
    </row>
    <row r="237" spans="13:18">
      <c r="M237">
        <f>IF(LEFT(分期持仓明细!$A$156,LEN(G$81)+2)=G$81&amp;" ·",ROW(分期持仓明细!$A$156),0)</f>
        <v>0</v>
      </c>
      <c r="N237">
        <f>IF(LEFT(分期持仓明细!$A$156,LEN(H$81)+2)=H$81&amp;" ·",ROW(分期持仓明细!$A$156),0)</f>
        <v>0</v>
      </c>
      <c r="O237">
        <f>IF(LEFT(分期持仓明细!$A$156,LEN(I$81)+2)=I$81&amp;" ·",ROW(分期持仓明细!$A$156),0)</f>
        <v>0</v>
      </c>
      <c r="P237">
        <f>IF(LEFT(分期持仓明细!$A$156,LEN(J$81)+2)=J$81&amp;" ·",ROW(分期持仓明细!$A$156),0)</f>
        <v>0</v>
      </c>
      <c r="Q237">
        <f>IF(LEFT(分期持仓明细!$A$156,LEN(K$81)+2)=K$81&amp;" ·",ROW(分期持仓明细!$A$156),0)</f>
        <v>0</v>
      </c>
      <c r="R237">
        <f>IF(LEFT(分期持仓明细!$A$156,LEN(L$81)+2)=L$81&amp;" ·",ROW(分期持仓明细!$A$156),0)</f>
        <v>0</v>
      </c>
    </row>
    <row r="238" spans="13:18">
      <c r="M238">
        <f>IF(LEFT(分期持仓明细!$A$157,LEN(G$81)+2)=G$81&amp;" ·",ROW(分期持仓明细!$A$157),0)</f>
        <v>0</v>
      </c>
      <c r="N238">
        <f>IF(LEFT(分期持仓明细!$A$157,LEN(H$81)+2)=H$81&amp;" ·",ROW(分期持仓明细!$A$157),0)</f>
        <v>0</v>
      </c>
      <c r="O238">
        <f>IF(LEFT(分期持仓明细!$A$157,LEN(I$81)+2)=I$81&amp;" ·",ROW(分期持仓明细!$A$157),0)</f>
        <v>0</v>
      </c>
      <c r="P238">
        <f>IF(LEFT(分期持仓明细!$A$157,LEN(J$81)+2)=J$81&amp;" ·",ROW(分期持仓明细!$A$157),0)</f>
        <v>0</v>
      </c>
      <c r="Q238">
        <f>IF(LEFT(分期持仓明细!$A$157,LEN(K$81)+2)=K$81&amp;" ·",ROW(分期持仓明细!$A$157),0)</f>
        <v>0</v>
      </c>
      <c r="R238">
        <f>IF(LEFT(分期持仓明细!$A$157,LEN(L$81)+2)=L$81&amp;" ·",ROW(分期持仓明细!$A$157),0)</f>
        <v>0</v>
      </c>
    </row>
    <row r="239" spans="13:18">
      <c r="M239">
        <f>IF(LEFT(分期持仓明细!$A$158,LEN(G$81)+2)=G$81&amp;" ·",ROW(分期持仓明细!$A$158),0)</f>
        <v>0</v>
      </c>
      <c r="N239">
        <f>IF(LEFT(分期持仓明细!$A$158,LEN(H$81)+2)=H$81&amp;" ·",ROW(分期持仓明细!$A$158),0)</f>
        <v>0</v>
      </c>
      <c r="O239">
        <f>IF(LEFT(分期持仓明细!$A$158,LEN(I$81)+2)=I$81&amp;" ·",ROW(分期持仓明细!$A$158),0)</f>
        <v>0</v>
      </c>
      <c r="P239">
        <f>IF(LEFT(分期持仓明细!$A$158,LEN(J$81)+2)=J$81&amp;" ·",ROW(分期持仓明细!$A$158),0)</f>
        <v>0</v>
      </c>
      <c r="Q239">
        <f>IF(LEFT(分期持仓明细!$A$158,LEN(K$81)+2)=K$81&amp;" ·",ROW(分期持仓明细!$A$158),0)</f>
        <v>0</v>
      </c>
      <c r="R239">
        <f>IF(LEFT(分期持仓明细!$A$158,LEN(L$81)+2)=L$81&amp;" ·",ROW(分期持仓明细!$A$158),0)</f>
        <v>0</v>
      </c>
    </row>
    <row r="240" spans="13:18">
      <c r="M240">
        <f>IF(LEFT(分期持仓明细!$A$159,LEN(G$81)+2)=G$81&amp;" ·",ROW(分期持仓明细!$A$159),0)</f>
        <v>0</v>
      </c>
      <c r="N240">
        <f>IF(LEFT(分期持仓明细!$A$159,LEN(H$81)+2)=H$81&amp;" ·",ROW(分期持仓明细!$A$159),0)</f>
        <v>0</v>
      </c>
      <c r="O240">
        <f>IF(LEFT(分期持仓明细!$A$159,LEN(I$81)+2)=I$81&amp;" ·",ROW(分期持仓明细!$A$159),0)</f>
        <v>0</v>
      </c>
      <c r="P240">
        <f>IF(LEFT(分期持仓明细!$A$159,LEN(J$81)+2)=J$81&amp;" ·",ROW(分期持仓明细!$A$159),0)</f>
        <v>0</v>
      </c>
      <c r="Q240">
        <f>IF(LEFT(分期持仓明细!$A$159,LEN(K$81)+2)=K$81&amp;" ·",ROW(分期持仓明细!$A$159),0)</f>
        <v>0</v>
      </c>
      <c r="R240">
        <f>IF(LEFT(分期持仓明细!$A$159,LEN(L$81)+2)=L$81&amp;" ·",ROW(分期持仓明细!$A$159),0)</f>
        <v>0</v>
      </c>
    </row>
    <row r="241" spans="13:18">
      <c r="M241">
        <f>IF(LEFT(分期持仓明细!$A$160,LEN(G$81)+2)=G$81&amp;" ·",ROW(分期持仓明细!$A$160),0)</f>
        <v>0</v>
      </c>
      <c r="N241">
        <f>IF(LEFT(分期持仓明细!$A$160,LEN(H$81)+2)=H$81&amp;" ·",ROW(分期持仓明细!$A$160),0)</f>
        <v>0</v>
      </c>
      <c r="O241">
        <f>IF(LEFT(分期持仓明细!$A$160,LEN(I$81)+2)=I$81&amp;" ·",ROW(分期持仓明细!$A$160),0)</f>
        <v>0</v>
      </c>
      <c r="P241">
        <f>IF(LEFT(分期持仓明细!$A$160,LEN(J$81)+2)=J$81&amp;" ·",ROW(分期持仓明细!$A$160),0)</f>
        <v>0</v>
      </c>
      <c r="Q241">
        <f>IF(LEFT(分期持仓明细!$A$160,LEN(K$81)+2)=K$81&amp;" ·",ROW(分期持仓明细!$A$160),0)</f>
        <v>0</v>
      </c>
      <c r="R241">
        <f>IF(LEFT(分期持仓明细!$A$160,LEN(L$81)+2)=L$81&amp;" ·",ROW(分期持仓明细!$A$160),0)</f>
        <v>0</v>
      </c>
    </row>
    <row r="242" spans="13:18">
      <c r="M242">
        <f>IF(LEFT(分期持仓明细!$A$161,LEN(G$81)+2)=G$81&amp;" ·",ROW(分期持仓明细!$A$161),0)</f>
        <v>0</v>
      </c>
      <c r="N242">
        <f>IF(LEFT(分期持仓明细!$A$161,LEN(H$81)+2)=H$81&amp;" ·",ROW(分期持仓明细!$A$161),0)</f>
        <v>0</v>
      </c>
      <c r="O242">
        <f>IF(LEFT(分期持仓明细!$A$161,LEN(I$81)+2)=I$81&amp;" ·",ROW(分期持仓明细!$A$161),0)</f>
        <v>0</v>
      </c>
      <c r="P242">
        <f>IF(LEFT(分期持仓明细!$A$161,LEN(J$81)+2)=J$81&amp;" ·",ROW(分期持仓明细!$A$161),0)</f>
        <v>0</v>
      </c>
      <c r="Q242">
        <f>IF(LEFT(分期持仓明细!$A$161,LEN(K$81)+2)=K$81&amp;" ·",ROW(分期持仓明细!$A$161),0)</f>
        <v>0</v>
      </c>
      <c r="R242">
        <f>IF(LEFT(分期持仓明细!$A$161,LEN(L$81)+2)=L$81&amp;" ·",ROW(分期持仓明细!$A$161),0)</f>
        <v>0</v>
      </c>
    </row>
    <row r="243" spans="13:18">
      <c r="M243">
        <f>IF(LEFT(分期持仓明细!$A$162,LEN(G$81)+2)=G$81&amp;" ·",ROW(分期持仓明细!$A$162),0)</f>
        <v>0</v>
      </c>
      <c r="N243">
        <f>IF(LEFT(分期持仓明细!$A$162,LEN(H$81)+2)=H$81&amp;" ·",ROW(分期持仓明细!$A$162),0)</f>
        <v>0</v>
      </c>
      <c r="O243">
        <f>IF(LEFT(分期持仓明细!$A$162,LEN(I$81)+2)=I$81&amp;" ·",ROW(分期持仓明细!$A$162),0)</f>
        <v>0</v>
      </c>
      <c r="P243">
        <f>IF(LEFT(分期持仓明细!$A$162,LEN(J$81)+2)=J$81&amp;" ·",ROW(分期持仓明细!$A$162),0)</f>
        <v>0</v>
      </c>
      <c r="Q243">
        <f>IF(LEFT(分期持仓明细!$A$162,LEN(K$81)+2)=K$81&amp;" ·",ROW(分期持仓明细!$A$162),0)</f>
        <v>0</v>
      </c>
      <c r="R243">
        <f>IF(LEFT(分期持仓明细!$A$162,LEN(L$81)+2)=L$81&amp;" ·",ROW(分期持仓明细!$A$162),0)</f>
        <v>0</v>
      </c>
    </row>
    <row r="244" spans="13:18">
      <c r="M244">
        <f>IF(LEFT(分期持仓明细!$A$163,LEN(G$81)+2)=G$81&amp;" ·",ROW(分期持仓明细!$A$163),0)</f>
        <v>0</v>
      </c>
      <c r="N244">
        <f>IF(LEFT(分期持仓明细!$A$163,LEN(H$81)+2)=H$81&amp;" ·",ROW(分期持仓明细!$A$163),0)</f>
        <v>0</v>
      </c>
      <c r="O244">
        <f>IF(LEFT(分期持仓明细!$A$163,LEN(I$81)+2)=I$81&amp;" ·",ROW(分期持仓明细!$A$163),0)</f>
        <v>0</v>
      </c>
      <c r="P244">
        <f>IF(LEFT(分期持仓明细!$A$163,LEN(J$81)+2)=J$81&amp;" ·",ROW(分期持仓明细!$A$163),0)</f>
        <v>0</v>
      </c>
      <c r="Q244">
        <f>IF(LEFT(分期持仓明细!$A$163,LEN(K$81)+2)=K$81&amp;" ·",ROW(分期持仓明细!$A$163),0)</f>
        <v>0</v>
      </c>
      <c r="R244">
        <f>IF(LEFT(分期持仓明细!$A$163,LEN(L$81)+2)=L$81&amp;" ·",ROW(分期持仓明细!$A$163),0)</f>
        <v>0</v>
      </c>
    </row>
    <row r="245" spans="13:18">
      <c r="M245">
        <f>IF(LEFT(分期持仓明细!$A$164,LEN(G$81)+2)=G$81&amp;" ·",ROW(分期持仓明细!$A$164),0)</f>
        <v>0</v>
      </c>
      <c r="N245">
        <f>IF(LEFT(分期持仓明细!$A$164,LEN(H$81)+2)=H$81&amp;" ·",ROW(分期持仓明细!$A$164),0)</f>
        <v>0</v>
      </c>
      <c r="O245">
        <f>IF(LEFT(分期持仓明细!$A$164,LEN(I$81)+2)=I$81&amp;" ·",ROW(分期持仓明细!$A$164),0)</f>
        <v>0</v>
      </c>
      <c r="P245">
        <f>IF(LEFT(分期持仓明细!$A$164,LEN(J$81)+2)=J$81&amp;" ·",ROW(分期持仓明细!$A$164),0)</f>
        <v>0</v>
      </c>
      <c r="Q245">
        <f>IF(LEFT(分期持仓明细!$A$164,LEN(K$81)+2)=K$81&amp;" ·",ROW(分期持仓明细!$A$164),0)</f>
        <v>0</v>
      </c>
      <c r="R245">
        <f>IF(LEFT(分期持仓明细!$A$164,LEN(L$81)+2)=L$81&amp;" ·",ROW(分期持仓明细!$A$164),0)</f>
        <v>0</v>
      </c>
    </row>
    <row r="246" spans="13:18">
      <c r="M246">
        <f>IF(LEFT(分期持仓明细!$A$165,LEN(G$81)+2)=G$81&amp;" ·",ROW(分期持仓明细!$A$165),0)</f>
        <v>0</v>
      </c>
      <c r="N246">
        <f>IF(LEFT(分期持仓明细!$A$165,LEN(H$81)+2)=H$81&amp;" ·",ROW(分期持仓明细!$A$165),0)</f>
        <v>0</v>
      </c>
      <c r="O246">
        <f>IF(LEFT(分期持仓明细!$A$165,LEN(I$81)+2)=I$81&amp;" ·",ROW(分期持仓明细!$A$165),0)</f>
        <v>0</v>
      </c>
      <c r="P246">
        <f>IF(LEFT(分期持仓明细!$A$165,LEN(J$81)+2)=J$81&amp;" ·",ROW(分期持仓明细!$A$165),0)</f>
        <v>0</v>
      </c>
      <c r="Q246">
        <f>IF(LEFT(分期持仓明细!$A$165,LEN(K$81)+2)=K$81&amp;" ·",ROW(分期持仓明细!$A$165),0)</f>
        <v>0</v>
      </c>
      <c r="R246">
        <f>IF(LEFT(分期持仓明细!$A$165,LEN(L$81)+2)=L$81&amp;" ·",ROW(分期持仓明细!$A$165),0)</f>
        <v>0</v>
      </c>
    </row>
    <row r="247" spans="13:18">
      <c r="M247">
        <f>IF(LEFT(分期持仓明细!$A$166,LEN(G$81)+2)=G$81&amp;" ·",ROW(分期持仓明细!$A$166),0)</f>
        <v>0</v>
      </c>
      <c r="N247">
        <f>IF(LEFT(分期持仓明细!$A$166,LEN(H$81)+2)=H$81&amp;" ·",ROW(分期持仓明细!$A$166),0)</f>
        <v>0</v>
      </c>
      <c r="O247">
        <f>IF(LEFT(分期持仓明细!$A$166,LEN(I$81)+2)=I$81&amp;" ·",ROW(分期持仓明细!$A$166),0)</f>
        <v>0</v>
      </c>
      <c r="P247">
        <f>IF(LEFT(分期持仓明细!$A$166,LEN(J$81)+2)=J$81&amp;" ·",ROW(分期持仓明细!$A$166),0)</f>
        <v>0</v>
      </c>
      <c r="Q247">
        <f>IF(LEFT(分期持仓明细!$A$166,LEN(K$81)+2)=K$81&amp;" ·",ROW(分期持仓明细!$A$166),0)</f>
        <v>0</v>
      </c>
      <c r="R247">
        <f>IF(LEFT(分期持仓明细!$A$166,LEN(L$81)+2)=L$81&amp;" ·",ROW(分期持仓明细!$A$166),0)</f>
        <v>0</v>
      </c>
    </row>
    <row r="248" spans="13:18">
      <c r="M248">
        <f>IF(LEFT(分期持仓明细!$A$167,LEN(G$81)+2)=G$81&amp;" ·",ROW(分期持仓明细!$A$167),0)</f>
        <v>0</v>
      </c>
      <c r="N248">
        <f>IF(LEFT(分期持仓明细!$A$167,LEN(H$81)+2)=H$81&amp;" ·",ROW(分期持仓明细!$A$167),0)</f>
        <v>0</v>
      </c>
      <c r="O248">
        <f>IF(LEFT(分期持仓明细!$A$167,LEN(I$81)+2)=I$81&amp;" ·",ROW(分期持仓明细!$A$167),0)</f>
        <v>0</v>
      </c>
      <c r="P248">
        <f>IF(LEFT(分期持仓明细!$A$167,LEN(J$81)+2)=J$81&amp;" ·",ROW(分期持仓明细!$A$167),0)</f>
        <v>0</v>
      </c>
      <c r="Q248">
        <f>IF(LEFT(分期持仓明细!$A$167,LEN(K$81)+2)=K$81&amp;" ·",ROW(分期持仓明细!$A$167),0)</f>
        <v>0</v>
      </c>
      <c r="R248">
        <f>IF(LEFT(分期持仓明细!$A$167,LEN(L$81)+2)=L$81&amp;" ·",ROW(分期持仓明细!$A$167),0)</f>
        <v>0</v>
      </c>
    </row>
    <row r="249" spans="13:18">
      <c r="M249">
        <f>IF(LEFT(分期持仓明细!$A$168,LEN(G$81)+2)=G$81&amp;" ·",ROW(分期持仓明细!$A$168),0)</f>
        <v>0</v>
      </c>
      <c r="N249">
        <f>IF(LEFT(分期持仓明细!$A$168,LEN(H$81)+2)=H$81&amp;" ·",ROW(分期持仓明细!$A$168),0)</f>
        <v>0</v>
      </c>
      <c r="O249">
        <f>IF(LEFT(分期持仓明细!$A$168,LEN(I$81)+2)=I$81&amp;" ·",ROW(分期持仓明细!$A$168),0)</f>
        <v>0</v>
      </c>
      <c r="P249">
        <f>IF(LEFT(分期持仓明细!$A$168,LEN(J$81)+2)=J$81&amp;" ·",ROW(分期持仓明细!$A$168),0)</f>
        <v>0</v>
      </c>
      <c r="Q249">
        <f>IF(LEFT(分期持仓明细!$A$168,LEN(K$81)+2)=K$81&amp;" ·",ROW(分期持仓明细!$A$168),0)</f>
        <v>0</v>
      </c>
      <c r="R249">
        <f>IF(LEFT(分期持仓明细!$A$168,LEN(L$81)+2)=L$81&amp;" ·",ROW(分期持仓明细!$A$168),0)</f>
        <v>0</v>
      </c>
    </row>
    <row r="250" spans="13:18">
      <c r="M250">
        <f>IF(LEFT(分期持仓明细!$A$169,LEN(G$81)+2)=G$81&amp;" ·",ROW(分期持仓明细!$A$169),0)</f>
        <v>0</v>
      </c>
      <c r="N250">
        <f>IF(LEFT(分期持仓明细!$A$169,LEN(H$81)+2)=H$81&amp;" ·",ROW(分期持仓明细!$A$169),0)</f>
        <v>0</v>
      </c>
      <c r="O250">
        <f>IF(LEFT(分期持仓明细!$A$169,LEN(I$81)+2)=I$81&amp;" ·",ROW(分期持仓明细!$A$169),0)</f>
        <v>0</v>
      </c>
      <c r="P250">
        <f>IF(LEFT(分期持仓明细!$A$169,LEN(J$81)+2)=J$81&amp;" ·",ROW(分期持仓明细!$A$169),0)</f>
        <v>0</v>
      </c>
      <c r="Q250">
        <f>IF(LEFT(分期持仓明细!$A$169,LEN(K$81)+2)=K$81&amp;" ·",ROW(分期持仓明细!$A$169),0)</f>
        <v>0</v>
      </c>
      <c r="R250">
        <f>IF(LEFT(分期持仓明细!$A$169,LEN(L$81)+2)=L$81&amp;" ·",ROW(分期持仓明细!$A$169),0)</f>
        <v>0</v>
      </c>
    </row>
    <row r="251" spans="13:18">
      <c r="M251">
        <f>IF(LEFT(分期持仓明细!$A$170,LEN(G$81)+2)=G$81&amp;" ·",ROW(分期持仓明细!$A$170),0)</f>
        <v>0</v>
      </c>
      <c r="N251">
        <f>IF(LEFT(分期持仓明细!$A$170,LEN(H$81)+2)=H$81&amp;" ·",ROW(分期持仓明细!$A$170),0)</f>
        <v>0</v>
      </c>
      <c r="O251">
        <f>IF(LEFT(分期持仓明细!$A$170,LEN(I$81)+2)=I$81&amp;" ·",ROW(分期持仓明细!$A$170),0)</f>
        <v>0</v>
      </c>
      <c r="P251">
        <f>IF(LEFT(分期持仓明细!$A$170,LEN(J$81)+2)=J$81&amp;" ·",ROW(分期持仓明细!$A$170),0)</f>
        <v>0</v>
      </c>
      <c r="Q251">
        <f>IF(LEFT(分期持仓明细!$A$170,LEN(K$81)+2)=K$81&amp;" ·",ROW(分期持仓明细!$A$170),0)</f>
        <v>0</v>
      </c>
      <c r="R251">
        <f>IF(LEFT(分期持仓明细!$A$170,LEN(L$81)+2)=L$81&amp;" ·",ROW(分期持仓明细!$A$170),0)</f>
        <v>0</v>
      </c>
    </row>
    <row r="252" spans="13:18">
      <c r="M252">
        <f>IF(LEFT(分期持仓明细!$A$171,LEN(G$81)+2)=G$81&amp;" ·",ROW(分期持仓明细!$A$171),0)</f>
        <v>0</v>
      </c>
      <c r="N252">
        <f>IF(LEFT(分期持仓明细!$A$171,LEN(H$81)+2)=H$81&amp;" ·",ROW(分期持仓明细!$A$171),0)</f>
        <v>0</v>
      </c>
      <c r="O252">
        <f>IF(LEFT(分期持仓明细!$A$171,LEN(I$81)+2)=I$81&amp;" ·",ROW(分期持仓明细!$A$171),0)</f>
        <v>0</v>
      </c>
      <c r="P252">
        <f>IF(LEFT(分期持仓明细!$A$171,LEN(J$81)+2)=J$81&amp;" ·",ROW(分期持仓明细!$A$171),0)</f>
        <v>0</v>
      </c>
      <c r="Q252">
        <f>IF(LEFT(分期持仓明细!$A$171,LEN(K$81)+2)=K$81&amp;" ·",ROW(分期持仓明细!$A$171),0)</f>
        <v>0</v>
      </c>
      <c r="R252">
        <f>IF(LEFT(分期持仓明细!$A$171,LEN(L$81)+2)=L$81&amp;" ·",ROW(分期持仓明细!$A$171),0)</f>
        <v>0</v>
      </c>
    </row>
    <row r="253" spans="13:18">
      <c r="M253">
        <f>IF(LEFT(分期持仓明细!$A$172,LEN(G$81)+2)=G$81&amp;" ·",ROW(分期持仓明细!$A$172),0)</f>
        <v>0</v>
      </c>
      <c r="N253">
        <f>IF(LEFT(分期持仓明细!$A$172,LEN(H$81)+2)=H$81&amp;" ·",ROW(分期持仓明细!$A$172),0)</f>
        <v>0</v>
      </c>
      <c r="O253">
        <f>IF(LEFT(分期持仓明细!$A$172,LEN(I$81)+2)=I$81&amp;" ·",ROW(分期持仓明细!$A$172),0)</f>
        <v>0</v>
      </c>
      <c r="P253">
        <f>IF(LEFT(分期持仓明细!$A$172,LEN(J$81)+2)=J$81&amp;" ·",ROW(分期持仓明细!$A$172),0)</f>
        <v>0</v>
      </c>
      <c r="Q253">
        <f>IF(LEFT(分期持仓明细!$A$172,LEN(K$81)+2)=K$81&amp;" ·",ROW(分期持仓明细!$A$172),0)</f>
        <v>0</v>
      </c>
      <c r="R253">
        <f>IF(LEFT(分期持仓明细!$A$172,LEN(L$81)+2)=L$81&amp;" ·",ROW(分期持仓明细!$A$172),0)</f>
        <v>0</v>
      </c>
    </row>
    <row r="254" spans="13:18">
      <c r="M254">
        <f>IF(LEFT(分期持仓明细!$A$173,LEN(G$81)+2)=G$81&amp;" ·",ROW(分期持仓明细!$A$173),0)</f>
        <v>0</v>
      </c>
      <c r="N254">
        <f>IF(LEFT(分期持仓明细!$A$173,LEN(H$81)+2)=H$81&amp;" ·",ROW(分期持仓明细!$A$173),0)</f>
        <v>0</v>
      </c>
      <c r="O254">
        <f>IF(LEFT(分期持仓明细!$A$173,LEN(I$81)+2)=I$81&amp;" ·",ROW(分期持仓明细!$A$173),0)</f>
        <v>0</v>
      </c>
      <c r="P254">
        <f>IF(LEFT(分期持仓明细!$A$173,LEN(J$81)+2)=J$81&amp;" ·",ROW(分期持仓明细!$A$173),0)</f>
        <v>0</v>
      </c>
      <c r="Q254">
        <f>IF(LEFT(分期持仓明细!$A$173,LEN(K$81)+2)=K$81&amp;" ·",ROW(分期持仓明细!$A$173),0)</f>
        <v>0</v>
      </c>
      <c r="R254">
        <f>IF(LEFT(分期持仓明细!$A$173,LEN(L$81)+2)=L$81&amp;" ·",ROW(分期持仓明细!$A$173),0)</f>
        <v>0</v>
      </c>
    </row>
    <row r="255" spans="13:18">
      <c r="M255">
        <f>IF(LEFT(分期持仓明细!$A$174,LEN(G$81)+2)=G$81&amp;" ·",ROW(分期持仓明细!$A$174),0)</f>
        <v>0</v>
      </c>
      <c r="N255">
        <f>IF(LEFT(分期持仓明细!$A$174,LEN(H$81)+2)=H$81&amp;" ·",ROW(分期持仓明细!$A$174),0)</f>
        <v>0</v>
      </c>
      <c r="O255">
        <f>IF(LEFT(分期持仓明细!$A$174,LEN(I$81)+2)=I$81&amp;" ·",ROW(分期持仓明细!$A$174),0)</f>
        <v>0</v>
      </c>
      <c r="P255">
        <f>IF(LEFT(分期持仓明细!$A$174,LEN(J$81)+2)=J$81&amp;" ·",ROW(分期持仓明细!$A$174),0)</f>
        <v>0</v>
      </c>
      <c r="Q255">
        <f>IF(LEFT(分期持仓明细!$A$174,LEN(K$81)+2)=K$81&amp;" ·",ROW(分期持仓明细!$A$174),0)</f>
        <v>0</v>
      </c>
      <c r="R255">
        <f>IF(LEFT(分期持仓明细!$A$174,LEN(L$81)+2)=L$81&amp;" ·",ROW(分期持仓明细!$A$174),0)</f>
        <v>0</v>
      </c>
    </row>
    <row r="256" spans="13:18">
      <c r="M256">
        <f>IF(LEFT(分期持仓明细!$A$175,LEN(G$81)+2)=G$81&amp;" ·",ROW(分期持仓明细!$A$175),0)</f>
        <v>0</v>
      </c>
      <c r="N256">
        <f>IF(LEFT(分期持仓明细!$A$175,LEN(H$81)+2)=H$81&amp;" ·",ROW(分期持仓明细!$A$175),0)</f>
        <v>0</v>
      </c>
      <c r="O256">
        <f>IF(LEFT(分期持仓明细!$A$175,LEN(I$81)+2)=I$81&amp;" ·",ROW(分期持仓明细!$A$175),0)</f>
        <v>0</v>
      </c>
      <c r="P256">
        <f>IF(LEFT(分期持仓明细!$A$175,LEN(J$81)+2)=J$81&amp;" ·",ROW(分期持仓明细!$A$175),0)</f>
        <v>0</v>
      </c>
      <c r="Q256">
        <f>IF(LEFT(分期持仓明细!$A$175,LEN(K$81)+2)=K$81&amp;" ·",ROW(分期持仓明细!$A$175),0)</f>
        <v>0</v>
      </c>
      <c r="R256">
        <f>IF(LEFT(分期持仓明细!$A$175,LEN(L$81)+2)=L$81&amp;" ·",ROW(分期持仓明细!$A$175),0)</f>
        <v>0</v>
      </c>
    </row>
    <row r="257" spans="13:18">
      <c r="M257">
        <f>IF(LEFT(分期持仓明细!$A$176,LEN(G$81)+2)=G$81&amp;" ·",ROW(分期持仓明细!$A$176),0)</f>
        <v>0</v>
      </c>
      <c r="N257">
        <f>IF(LEFT(分期持仓明细!$A$176,LEN(H$81)+2)=H$81&amp;" ·",ROW(分期持仓明细!$A$176),0)</f>
        <v>0</v>
      </c>
      <c r="O257">
        <f>IF(LEFT(分期持仓明细!$A$176,LEN(I$81)+2)=I$81&amp;" ·",ROW(分期持仓明细!$A$176),0)</f>
        <v>0</v>
      </c>
      <c r="P257">
        <f>IF(LEFT(分期持仓明细!$A$176,LEN(J$81)+2)=J$81&amp;" ·",ROW(分期持仓明细!$A$176),0)</f>
        <v>0</v>
      </c>
      <c r="Q257">
        <f>IF(LEFT(分期持仓明细!$A$176,LEN(K$81)+2)=K$81&amp;" ·",ROW(分期持仓明细!$A$176),0)</f>
        <v>0</v>
      </c>
      <c r="R257">
        <f>IF(LEFT(分期持仓明细!$A$176,LEN(L$81)+2)=L$81&amp;" ·",ROW(分期持仓明细!$A$176),0)</f>
        <v>0</v>
      </c>
    </row>
    <row r="258" spans="13:18">
      <c r="M258">
        <f>IF(LEFT(分期持仓明细!$A$177,LEN(G$81)+2)=G$81&amp;" ·",ROW(分期持仓明细!$A$177),0)</f>
        <v>0</v>
      </c>
      <c r="N258">
        <f>IF(LEFT(分期持仓明细!$A$177,LEN(H$81)+2)=H$81&amp;" ·",ROW(分期持仓明细!$A$177),0)</f>
        <v>0</v>
      </c>
      <c r="O258">
        <f>IF(LEFT(分期持仓明细!$A$177,LEN(I$81)+2)=I$81&amp;" ·",ROW(分期持仓明细!$A$177),0)</f>
        <v>0</v>
      </c>
      <c r="P258">
        <f>IF(LEFT(分期持仓明细!$A$177,LEN(J$81)+2)=J$81&amp;" ·",ROW(分期持仓明细!$A$177),0)</f>
        <v>0</v>
      </c>
      <c r="Q258">
        <f>IF(LEFT(分期持仓明细!$A$177,LEN(K$81)+2)=K$81&amp;" ·",ROW(分期持仓明细!$A$177),0)</f>
        <v>0</v>
      </c>
      <c r="R258">
        <f>IF(LEFT(分期持仓明细!$A$177,LEN(L$81)+2)=L$81&amp;" ·",ROW(分期持仓明细!$A$177),0)</f>
        <v>0</v>
      </c>
    </row>
    <row r="259" spans="13:18">
      <c r="M259">
        <f>IF(LEFT(分期持仓明细!$A$178,LEN(G$81)+2)=G$81&amp;" ·",ROW(分期持仓明细!$A$178),0)</f>
        <v>0</v>
      </c>
      <c r="N259">
        <f>IF(LEFT(分期持仓明细!$A$178,LEN(H$81)+2)=H$81&amp;" ·",ROW(分期持仓明细!$A$178),0)</f>
        <v>0</v>
      </c>
      <c r="O259">
        <f>IF(LEFT(分期持仓明细!$A$178,LEN(I$81)+2)=I$81&amp;" ·",ROW(分期持仓明细!$A$178),0)</f>
        <v>0</v>
      </c>
      <c r="P259">
        <f>IF(LEFT(分期持仓明细!$A$178,LEN(J$81)+2)=J$81&amp;" ·",ROW(分期持仓明细!$A$178),0)</f>
        <v>0</v>
      </c>
      <c r="Q259">
        <f>IF(LEFT(分期持仓明细!$A$178,LEN(K$81)+2)=K$81&amp;" ·",ROW(分期持仓明细!$A$178),0)</f>
        <v>0</v>
      </c>
      <c r="R259">
        <f>IF(LEFT(分期持仓明细!$A$178,LEN(L$81)+2)=L$81&amp;" ·",ROW(分期持仓明细!$A$178),0)</f>
        <v>0</v>
      </c>
    </row>
    <row r="260" spans="13:18">
      <c r="M260">
        <f>IF(LEFT(分期持仓明细!$A$179,LEN(G$81)+2)=G$81&amp;" ·",ROW(分期持仓明细!$A$179),0)</f>
        <v>0</v>
      </c>
      <c r="N260">
        <f>IF(LEFT(分期持仓明细!$A$179,LEN(H$81)+2)=H$81&amp;" ·",ROW(分期持仓明细!$A$179),0)</f>
        <v>0</v>
      </c>
      <c r="O260">
        <f>IF(LEFT(分期持仓明细!$A$179,LEN(I$81)+2)=I$81&amp;" ·",ROW(分期持仓明细!$A$179),0)</f>
        <v>0</v>
      </c>
      <c r="P260">
        <f>IF(LEFT(分期持仓明细!$A$179,LEN(J$81)+2)=J$81&amp;" ·",ROW(分期持仓明细!$A$179),0)</f>
        <v>0</v>
      </c>
      <c r="Q260">
        <f>IF(LEFT(分期持仓明细!$A$179,LEN(K$81)+2)=K$81&amp;" ·",ROW(分期持仓明细!$A$179),0)</f>
        <v>0</v>
      </c>
      <c r="R260">
        <f>IF(LEFT(分期持仓明细!$A$179,LEN(L$81)+2)=L$81&amp;" ·",ROW(分期持仓明细!$A$179),0)</f>
        <v>0</v>
      </c>
    </row>
    <row r="261" spans="13:18">
      <c r="M261">
        <f>IF(LEFT(分期持仓明细!$A$180,LEN(G$81)+2)=G$81&amp;" ·",ROW(分期持仓明细!$A$180),0)</f>
        <v>0</v>
      </c>
      <c r="N261">
        <f>IF(LEFT(分期持仓明细!$A$180,LEN(H$81)+2)=H$81&amp;" ·",ROW(分期持仓明细!$A$180),0)</f>
        <v>0</v>
      </c>
      <c r="O261">
        <f>IF(LEFT(分期持仓明细!$A$180,LEN(I$81)+2)=I$81&amp;" ·",ROW(分期持仓明细!$A$180),0)</f>
        <v>0</v>
      </c>
      <c r="P261">
        <f>IF(LEFT(分期持仓明细!$A$180,LEN(J$81)+2)=J$81&amp;" ·",ROW(分期持仓明细!$A$180),0)</f>
        <v>0</v>
      </c>
      <c r="Q261">
        <f>IF(LEFT(分期持仓明细!$A$180,LEN(K$81)+2)=K$81&amp;" ·",ROW(分期持仓明细!$A$180),0)</f>
        <v>0</v>
      </c>
      <c r="R261">
        <f>IF(LEFT(分期持仓明细!$A$180,LEN(L$81)+2)=L$81&amp;" ·",ROW(分期持仓明细!$A$180),0)</f>
        <v>0</v>
      </c>
    </row>
    <row r="262" spans="13:18">
      <c r="M262">
        <f>IF(LEFT(分期持仓明细!$A$181,LEN(G$81)+2)=G$81&amp;" ·",ROW(分期持仓明细!$A$181),0)</f>
        <v>0</v>
      </c>
      <c r="N262">
        <f>IF(LEFT(分期持仓明细!$A$181,LEN(H$81)+2)=H$81&amp;" ·",ROW(分期持仓明细!$A$181),0)</f>
        <v>0</v>
      </c>
      <c r="O262">
        <f>IF(LEFT(分期持仓明细!$A$181,LEN(I$81)+2)=I$81&amp;" ·",ROW(分期持仓明细!$A$181),0)</f>
        <v>0</v>
      </c>
      <c r="P262">
        <f>IF(LEFT(分期持仓明细!$A$181,LEN(J$81)+2)=J$81&amp;" ·",ROW(分期持仓明细!$A$181),0)</f>
        <v>0</v>
      </c>
      <c r="Q262">
        <f>IF(LEFT(分期持仓明细!$A$181,LEN(K$81)+2)=K$81&amp;" ·",ROW(分期持仓明细!$A$181),0)</f>
        <v>0</v>
      </c>
      <c r="R262">
        <f>IF(LEFT(分期持仓明细!$A$181,LEN(L$81)+2)=L$81&amp;" ·",ROW(分期持仓明细!$A$181),0)</f>
        <v>0</v>
      </c>
    </row>
    <row r="263" spans="13:18">
      <c r="M263">
        <f>IF(LEFT(分期持仓明细!$A$182,LEN(G$81)+2)=G$81&amp;" ·",ROW(分期持仓明细!$A$182),0)</f>
        <v>0</v>
      </c>
      <c r="N263">
        <f>IF(LEFT(分期持仓明细!$A$182,LEN(H$81)+2)=H$81&amp;" ·",ROW(分期持仓明细!$A$182),0)</f>
        <v>0</v>
      </c>
      <c r="O263">
        <f>IF(LEFT(分期持仓明细!$A$182,LEN(I$81)+2)=I$81&amp;" ·",ROW(分期持仓明细!$A$182),0)</f>
        <v>0</v>
      </c>
      <c r="P263">
        <f>IF(LEFT(分期持仓明细!$A$182,LEN(J$81)+2)=J$81&amp;" ·",ROW(分期持仓明细!$A$182),0)</f>
        <v>0</v>
      </c>
      <c r="Q263">
        <f>IF(LEFT(分期持仓明细!$A$182,LEN(K$81)+2)=K$81&amp;" ·",ROW(分期持仓明细!$A$182),0)</f>
        <v>0</v>
      </c>
      <c r="R263">
        <f>IF(LEFT(分期持仓明细!$A$182,LEN(L$81)+2)=L$81&amp;" ·",ROW(分期持仓明细!$A$182),0)</f>
        <v>0</v>
      </c>
    </row>
    <row r="264" spans="13:18">
      <c r="M264">
        <f>IF(LEFT(分期持仓明细!$A$183,LEN(G$81)+2)=G$81&amp;" ·",ROW(分期持仓明细!$A$183),0)</f>
        <v>0</v>
      </c>
      <c r="N264">
        <f>IF(LEFT(分期持仓明细!$A$183,LEN(H$81)+2)=H$81&amp;" ·",ROW(分期持仓明细!$A$183),0)</f>
        <v>0</v>
      </c>
      <c r="O264">
        <f>IF(LEFT(分期持仓明细!$A$183,LEN(I$81)+2)=I$81&amp;" ·",ROW(分期持仓明细!$A$183),0)</f>
        <v>0</v>
      </c>
      <c r="P264">
        <f>IF(LEFT(分期持仓明细!$A$183,LEN(J$81)+2)=J$81&amp;" ·",ROW(分期持仓明细!$A$183),0)</f>
        <v>0</v>
      </c>
      <c r="Q264">
        <f>IF(LEFT(分期持仓明细!$A$183,LEN(K$81)+2)=K$81&amp;" ·",ROW(分期持仓明细!$A$183),0)</f>
        <v>0</v>
      </c>
      <c r="R264">
        <f>IF(LEFT(分期持仓明细!$A$183,LEN(L$81)+2)=L$81&amp;" ·",ROW(分期持仓明细!$A$183),0)</f>
        <v>0</v>
      </c>
    </row>
    <row r="265" spans="13:18">
      <c r="M265">
        <f>IF(LEFT(分期持仓明细!$A$184,LEN(G$81)+2)=G$81&amp;" ·",ROW(分期持仓明细!$A$184),0)</f>
        <v>0</v>
      </c>
      <c r="N265">
        <f>IF(LEFT(分期持仓明细!$A$184,LEN(H$81)+2)=H$81&amp;" ·",ROW(分期持仓明细!$A$184),0)</f>
        <v>0</v>
      </c>
      <c r="O265">
        <f>IF(LEFT(分期持仓明细!$A$184,LEN(I$81)+2)=I$81&amp;" ·",ROW(分期持仓明细!$A$184),0)</f>
        <v>0</v>
      </c>
      <c r="P265">
        <f>IF(LEFT(分期持仓明细!$A$184,LEN(J$81)+2)=J$81&amp;" ·",ROW(分期持仓明细!$A$184),0)</f>
        <v>0</v>
      </c>
      <c r="Q265">
        <f>IF(LEFT(分期持仓明细!$A$184,LEN(K$81)+2)=K$81&amp;" ·",ROW(分期持仓明细!$A$184),0)</f>
        <v>0</v>
      </c>
      <c r="R265">
        <f>IF(LEFT(分期持仓明细!$A$184,LEN(L$81)+2)=L$81&amp;" ·",ROW(分期持仓明细!$A$184),0)</f>
        <v>0</v>
      </c>
    </row>
    <row r="266" spans="13:18">
      <c r="M266">
        <f>IF(LEFT(分期持仓明细!$A$185,LEN(G$81)+2)=G$81&amp;" ·",ROW(分期持仓明细!$A$185),0)</f>
        <v>0</v>
      </c>
      <c r="N266">
        <f>IF(LEFT(分期持仓明细!$A$185,LEN(H$81)+2)=H$81&amp;" ·",ROW(分期持仓明细!$A$185),0)</f>
        <v>0</v>
      </c>
      <c r="O266">
        <f>IF(LEFT(分期持仓明细!$A$185,LEN(I$81)+2)=I$81&amp;" ·",ROW(分期持仓明细!$A$185),0)</f>
        <v>0</v>
      </c>
      <c r="P266">
        <f>IF(LEFT(分期持仓明细!$A$185,LEN(J$81)+2)=J$81&amp;" ·",ROW(分期持仓明细!$A$185),0)</f>
        <v>0</v>
      </c>
      <c r="Q266">
        <f>IF(LEFT(分期持仓明细!$A$185,LEN(K$81)+2)=K$81&amp;" ·",ROW(分期持仓明细!$A$185),0)</f>
        <v>0</v>
      </c>
      <c r="R266">
        <f>IF(LEFT(分期持仓明细!$A$185,LEN(L$81)+2)=L$81&amp;" ·",ROW(分期持仓明细!$A$185),0)</f>
        <v>0</v>
      </c>
    </row>
    <row r="267" spans="13:18">
      <c r="M267">
        <f>IF(LEFT(分期持仓明细!$A$186,LEN(G$81)+2)=G$81&amp;" ·",ROW(分期持仓明细!$A$186),0)</f>
        <v>0</v>
      </c>
      <c r="N267">
        <f>IF(LEFT(分期持仓明细!$A$186,LEN(H$81)+2)=H$81&amp;" ·",ROW(分期持仓明细!$A$186),0)</f>
        <v>0</v>
      </c>
      <c r="O267">
        <f>IF(LEFT(分期持仓明细!$A$186,LEN(I$81)+2)=I$81&amp;" ·",ROW(分期持仓明细!$A$186),0)</f>
        <v>0</v>
      </c>
      <c r="P267">
        <f>IF(LEFT(分期持仓明细!$A$186,LEN(J$81)+2)=J$81&amp;" ·",ROW(分期持仓明细!$A$186),0)</f>
        <v>0</v>
      </c>
      <c r="Q267">
        <f>IF(LEFT(分期持仓明细!$A$186,LEN(K$81)+2)=K$81&amp;" ·",ROW(分期持仓明细!$A$186),0)</f>
        <v>0</v>
      </c>
      <c r="R267">
        <f>IF(LEFT(分期持仓明细!$A$186,LEN(L$81)+2)=L$81&amp;" ·",ROW(分期持仓明细!$A$186),0)</f>
        <v>0</v>
      </c>
    </row>
    <row r="268" spans="13:18">
      <c r="M268">
        <f>IF(LEFT(分期持仓明细!$A$187,LEN(G$81)+2)=G$81&amp;" ·",ROW(分期持仓明细!$A$187),0)</f>
        <v>0</v>
      </c>
      <c r="N268">
        <f>IF(LEFT(分期持仓明细!$A$187,LEN(H$81)+2)=H$81&amp;" ·",ROW(分期持仓明细!$A$187),0)</f>
        <v>0</v>
      </c>
      <c r="O268">
        <f>IF(LEFT(分期持仓明细!$A$187,LEN(I$81)+2)=I$81&amp;" ·",ROW(分期持仓明细!$A$187),0)</f>
        <v>0</v>
      </c>
      <c r="P268">
        <f>IF(LEFT(分期持仓明细!$A$187,LEN(J$81)+2)=J$81&amp;" ·",ROW(分期持仓明细!$A$187),0)</f>
        <v>0</v>
      </c>
      <c r="Q268">
        <f>IF(LEFT(分期持仓明细!$A$187,LEN(K$81)+2)=K$81&amp;" ·",ROW(分期持仓明细!$A$187),0)</f>
        <v>0</v>
      </c>
      <c r="R268">
        <f>IF(LEFT(分期持仓明细!$A$187,LEN(L$81)+2)=L$81&amp;" ·",ROW(分期持仓明细!$A$187),0)</f>
        <v>0</v>
      </c>
    </row>
    <row r="269" spans="13:18">
      <c r="M269">
        <f>IF(LEFT(分期持仓明细!$A$188,LEN(G$81)+2)=G$81&amp;" ·",ROW(分期持仓明细!$A$188),0)</f>
        <v>0</v>
      </c>
      <c r="N269">
        <f>IF(LEFT(分期持仓明细!$A$188,LEN(H$81)+2)=H$81&amp;" ·",ROW(分期持仓明细!$A$188),0)</f>
        <v>0</v>
      </c>
      <c r="O269">
        <f>IF(LEFT(分期持仓明细!$A$188,LEN(I$81)+2)=I$81&amp;" ·",ROW(分期持仓明细!$A$188),0)</f>
        <v>0</v>
      </c>
      <c r="P269">
        <f>IF(LEFT(分期持仓明细!$A$188,LEN(J$81)+2)=J$81&amp;" ·",ROW(分期持仓明细!$A$188),0)</f>
        <v>0</v>
      </c>
      <c r="Q269">
        <f>IF(LEFT(分期持仓明细!$A$188,LEN(K$81)+2)=K$81&amp;" ·",ROW(分期持仓明细!$A$188),0)</f>
        <v>0</v>
      </c>
      <c r="R269">
        <f>IF(LEFT(分期持仓明细!$A$188,LEN(L$81)+2)=L$81&amp;" ·",ROW(分期持仓明细!$A$188),0)</f>
        <v>0</v>
      </c>
    </row>
    <row r="270" spans="13:18">
      <c r="M270">
        <f>IF(LEFT(分期持仓明细!$A$189,LEN(G$81)+2)=G$81&amp;" ·",ROW(分期持仓明细!$A$189),0)</f>
        <v>0</v>
      </c>
      <c r="N270">
        <f>IF(LEFT(分期持仓明细!$A$189,LEN(H$81)+2)=H$81&amp;" ·",ROW(分期持仓明细!$A$189),0)</f>
        <v>0</v>
      </c>
      <c r="O270">
        <f>IF(LEFT(分期持仓明细!$A$189,LEN(I$81)+2)=I$81&amp;" ·",ROW(分期持仓明细!$A$189),0)</f>
        <v>0</v>
      </c>
      <c r="P270">
        <f>IF(LEFT(分期持仓明细!$A$189,LEN(J$81)+2)=J$81&amp;" ·",ROW(分期持仓明细!$A$189),0)</f>
        <v>0</v>
      </c>
      <c r="Q270">
        <f>IF(LEFT(分期持仓明细!$A$189,LEN(K$81)+2)=K$81&amp;" ·",ROW(分期持仓明细!$A$189),0)</f>
        <v>0</v>
      </c>
      <c r="R270">
        <f>IF(LEFT(分期持仓明细!$A$189,LEN(L$81)+2)=L$81&amp;" ·",ROW(分期持仓明细!$A$189),0)</f>
        <v>0</v>
      </c>
    </row>
    <row r="271" spans="13:18">
      <c r="M271">
        <f>IF(LEFT(分期持仓明细!$A$190,LEN(G$81)+2)=G$81&amp;" ·",ROW(分期持仓明细!$A$190),0)</f>
        <v>0</v>
      </c>
      <c r="N271">
        <f>IF(LEFT(分期持仓明细!$A$190,LEN(H$81)+2)=H$81&amp;" ·",ROW(分期持仓明细!$A$190),0)</f>
        <v>0</v>
      </c>
      <c r="O271">
        <f>IF(LEFT(分期持仓明细!$A$190,LEN(I$81)+2)=I$81&amp;" ·",ROW(分期持仓明细!$A$190),0)</f>
        <v>0</v>
      </c>
      <c r="P271">
        <f>IF(LEFT(分期持仓明细!$A$190,LEN(J$81)+2)=J$81&amp;" ·",ROW(分期持仓明细!$A$190),0)</f>
        <v>0</v>
      </c>
      <c r="Q271">
        <f>IF(LEFT(分期持仓明细!$A$190,LEN(K$81)+2)=K$81&amp;" ·",ROW(分期持仓明细!$A$190),0)</f>
        <v>0</v>
      </c>
      <c r="R271">
        <f>IF(LEFT(分期持仓明细!$A$190,LEN(L$81)+2)=L$81&amp;" ·",ROW(分期持仓明细!$A$190),0)</f>
        <v>0</v>
      </c>
    </row>
    <row r="272" spans="13:18">
      <c r="M272">
        <f>IF(LEFT(分期持仓明细!$A$191,LEN(G$81)+2)=G$81&amp;" ·",ROW(分期持仓明细!$A$191),0)</f>
        <v>0</v>
      </c>
      <c r="N272">
        <f>IF(LEFT(分期持仓明细!$A$191,LEN(H$81)+2)=H$81&amp;" ·",ROW(分期持仓明细!$A$191),0)</f>
        <v>0</v>
      </c>
      <c r="O272">
        <f>IF(LEFT(分期持仓明细!$A$191,LEN(I$81)+2)=I$81&amp;" ·",ROW(分期持仓明细!$A$191),0)</f>
        <v>0</v>
      </c>
      <c r="P272">
        <f>IF(LEFT(分期持仓明细!$A$191,LEN(J$81)+2)=J$81&amp;" ·",ROW(分期持仓明细!$A$191),0)</f>
        <v>0</v>
      </c>
      <c r="Q272">
        <f>IF(LEFT(分期持仓明细!$A$191,LEN(K$81)+2)=K$81&amp;" ·",ROW(分期持仓明细!$A$191),0)</f>
        <v>0</v>
      </c>
      <c r="R272">
        <f>IF(LEFT(分期持仓明细!$A$191,LEN(L$81)+2)=L$81&amp;" ·",ROW(分期持仓明细!$A$191),0)</f>
        <v>0</v>
      </c>
    </row>
    <row r="273" spans="13:18">
      <c r="M273">
        <f>IF(LEFT(分期持仓明细!$A$192,LEN(G$81)+2)=G$81&amp;" ·",ROW(分期持仓明细!$A$192),0)</f>
        <v>0</v>
      </c>
      <c r="N273">
        <f>IF(LEFT(分期持仓明细!$A$192,LEN(H$81)+2)=H$81&amp;" ·",ROW(分期持仓明细!$A$192),0)</f>
        <v>0</v>
      </c>
      <c r="O273">
        <f>IF(LEFT(分期持仓明细!$A$192,LEN(I$81)+2)=I$81&amp;" ·",ROW(分期持仓明细!$A$192),0)</f>
        <v>0</v>
      </c>
      <c r="P273">
        <f>IF(LEFT(分期持仓明细!$A$192,LEN(J$81)+2)=J$81&amp;" ·",ROW(分期持仓明细!$A$192),0)</f>
        <v>0</v>
      </c>
      <c r="Q273">
        <f>IF(LEFT(分期持仓明细!$A$192,LEN(K$81)+2)=K$81&amp;" ·",ROW(分期持仓明细!$A$192),0)</f>
        <v>0</v>
      </c>
      <c r="R273">
        <f>IF(LEFT(分期持仓明细!$A$192,LEN(L$81)+2)=L$81&amp;" ·",ROW(分期持仓明细!$A$192),0)</f>
        <v>0</v>
      </c>
    </row>
    <row r="274" spans="13:18">
      <c r="M274">
        <f>IF(LEFT(分期持仓明细!$A$193,LEN(G$81)+2)=G$81&amp;" ·",ROW(分期持仓明细!$A$193),0)</f>
        <v>0</v>
      </c>
      <c r="N274">
        <f>IF(LEFT(分期持仓明细!$A$193,LEN(H$81)+2)=H$81&amp;" ·",ROW(分期持仓明细!$A$193),0)</f>
        <v>0</v>
      </c>
      <c r="O274">
        <f>IF(LEFT(分期持仓明细!$A$193,LEN(I$81)+2)=I$81&amp;" ·",ROW(分期持仓明细!$A$193),0)</f>
        <v>0</v>
      </c>
      <c r="P274">
        <f>IF(LEFT(分期持仓明细!$A$193,LEN(J$81)+2)=J$81&amp;" ·",ROW(分期持仓明细!$A$193),0)</f>
        <v>0</v>
      </c>
      <c r="Q274">
        <f>IF(LEFT(分期持仓明细!$A$193,LEN(K$81)+2)=K$81&amp;" ·",ROW(分期持仓明细!$A$193),0)</f>
        <v>0</v>
      </c>
      <c r="R274">
        <f>IF(LEFT(分期持仓明细!$A$193,LEN(L$81)+2)=L$81&amp;" ·",ROW(分期持仓明细!$A$193),0)</f>
        <v>0</v>
      </c>
    </row>
    <row r="275" spans="13:18">
      <c r="M275">
        <f>IF(LEFT(分期持仓明细!$A$194,LEN(G$81)+2)=G$81&amp;" ·",ROW(分期持仓明细!$A$194),0)</f>
        <v>0</v>
      </c>
      <c r="N275">
        <f>IF(LEFT(分期持仓明细!$A$194,LEN(H$81)+2)=H$81&amp;" ·",ROW(分期持仓明细!$A$194),0)</f>
        <v>0</v>
      </c>
      <c r="O275">
        <f>IF(LEFT(分期持仓明细!$A$194,LEN(I$81)+2)=I$81&amp;" ·",ROW(分期持仓明细!$A$194),0)</f>
        <v>0</v>
      </c>
      <c r="P275">
        <f>IF(LEFT(分期持仓明细!$A$194,LEN(J$81)+2)=J$81&amp;" ·",ROW(分期持仓明细!$A$194),0)</f>
        <v>0</v>
      </c>
      <c r="Q275">
        <f>IF(LEFT(分期持仓明细!$A$194,LEN(K$81)+2)=K$81&amp;" ·",ROW(分期持仓明细!$A$194),0)</f>
        <v>0</v>
      </c>
      <c r="R275">
        <f>IF(LEFT(分期持仓明细!$A$194,LEN(L$81)+2)=L$81&amp;" ·",ROW(分期持仓明细!$A$194),0)</f>
        <v>0</v>
      </c>
    </row>
    <row r="276" spans="13:18">
      <c r="M276">
        <f>IF(LEFT(分期持仓明细!$A$195,LEN(G$81)+2)=G$81&amp;" ·",ROW(分期持仓明细!$A$195),0)</f>
        <v>0</v>
      </c>
      <c r="N276">
        <f>IF(LEFT(分期持仓明细!$A$195,LEN(H$81)+2)=H$81&amp;" ·",ROW(分期持仓明细!$A$195),0)</f>
        <v>0</v>
      </c>
      <c r="O276">
        <f>IF(LEFT(分期持仓明细!$A$195,LEN(I$81)+2)=I$81&amp;" ·",ROW(分期持仓明细!$A$195),0)</f>
        <v>0</v>
      </c>
      <c r="P276">
        <f>IF(LEFT(分期持仓明细!$A$195,LEN(J$81)+2)=J$81&amp;" ·",ROW(分期持仓明细!$A$195),0)</f>
        <v>0</v>
      </c>
      <c r="Q276">
        <f>IF(LEFT(分期持仓明细!$A$195,LEN(K$81)+2)=K$81&amp;" ·",ROW(分期持仓明细!$A$195),0)</f>
        <v>0</v>
      </c>
      <c r="R276">
        <f>IF(LEFT(分期持仓明细!$A$195,LEN(L$81)+2)=L$81&amp;" ·",ROW(分期持仓明细!$A$195),0)</f>
        <v>0</v>
      </c>
    </row>
    <row r="277" spans="13:18">
      <c r="M277">
        <f>IF(LEFT(分期持仓明细!$A$196,LEN(G$81)+2)=G$81&amp;" ·",ROW(分期持仓明细!$A$196),0)</f>
        <v>0</v>
      </c>
      <c r="N277">
        <f>IF(LEFT(分期持仓明细!$A$196,LEN(H$81)+2)=H$81&amp;" ·",ROW(分期持仓明细!$A$196),0)</f>
        <v>0</v>
      </c>
      <c r="O277">
        <f>IF(LEFT(分期持仓明细!$A$196,LEN(I$81)+2)=I$81&amp;" ·",ROW(分期持仓明细!$A$196),0)</f>
        <v>0</v>
      </c>
      <c r="P277">
        <f>IF(LEFT(分期持仓明细!$A$196,LEN(J$81)+2)=J$81&amp;" ·",ROW(分期持仓明细!$A$196),0)</f>
        <v>0</v>
      </c>
      <c r="Q277">
        <f>IF(LEFT(分期持仓明细!$A$196,LEN(K$81)+2)=K$81&amp;" ·",ROW(分期持仓明细!$A$196),0)</f>
        <v>0</v>
      </c>
      <c r="R277">
        <f>IF(LEFT(分期持仓明细!$A$196,LEN(L$81)+2)=L$81&amp;" ·",ROW(分期持仓明细!$A$196),0)</f>
        <v>0</v>
      </c>
    </row>
    <row r="278" spans="13:18">
      <c r="M278">
        <f>IF(LEFT(分期持仓明细!$A$197,LEN(G$81)+2)=G$81&amp;" ·",ROW(分期持仓明细!$A$197),0)</f>
        <v>0</v>
      </c>
      <c r="N278">
        <f>IF(LEFT(分期持仓明细!$A$197,LEN(H$81)+2)=H$81&amp;" ·",ROW(分期持仓明细!$A$197),0)</f>
        <v>0</v>
      </c>
      <c r="O278">
        <f>IF(LEFT(分期持仓明细!$A$197,LEN(I$81)+2)=I$81&amp;" ·",ROW(分期持仓明细!$A$197),0)</f>
        <v>0</v>
      </c>
      <c r="P278">
        <f>IF(LEFT(分期持仓明细!$A$197,LEN(J$81)+2)=J$81&amp;" ·",ROW(分期持仓明细!$A$197),0)</f>
        <v>0</v>
      </c>
      <c r="Q278">
        <f>IF(LEFT(分期持仓明细!$A$197,LEN(K$81)+2)=K$81&amp;" ·",ROW(分期持仓明细!$A$197),0)</f>
        <v>0</v>
      </c>
      <c r="R278">
        <f>IF(LEFT(分期持仓明细!$A$197,LEN(L$81)+2)=L$81&amp;" ·",ROW(分期持仓明细!$A$197),0)</f>
        <v>0</v>
      </c>
    </row>
    <row r="279" spans="13:18">
      <c r="M279">
        <f>IF(LEFT(分期持仓明细!$A$198,LEN(G$81)+2)=G$81&amp;" ·",ROW(分期持仓明细!$A$198),0)</f>
        <v>0</v>
      </c>
      <c r="N279">
        <f>IF(LEFT(分期持仓明细!$A$198,LEN(H$81)+2)=H$81&amp;" ·",ROW(分期持仓明细!$A$198),0)</f>
        <v>0</v>
      </c>
      <c r="O279">
        <f>IF(LEFT(分期持仓明细!$A$198,LEN(I$81)+2)=I$81&amp;" ·",ROW(分期持仓明细!$A$198),0)</f>
        <v>0</v>
      </c>
      <c r="P279">
        <f>IF(LEFT(分期持仓明细!$A$198,LEN(J$81)+2)=J$81&amp;" ·",ROW(分期持仓明细!$A$198),0)</f>
        <v>0</v>
      </c>
      <c r="Q279">
        <f>IF(LEFT(分期持仓明细!$A$198,LEN(K$81)+2)=K$81&amp;" ·",ROW(分期持仓明细!$A$198),0)</f>
        <v>0</v>
      </c>
      <c r="R279">
        <f>IF(LEFT(分期持仓明细!$A$198,LEN(L$81)+2)=L$81&amp;" ·",ROW(分期持仓明细!$A$198),0)</f>
        <v>0</v>
      </c>
    </row>
    <row r="280" spans="13:18">
      <c r="M280">
        <f>IF(LEFT(分期持仓明细!$A$199,LEN(G$81)+2)=G$81&amp;" ·",ROW(分期持仓明细!$A$199),0)</f>
        <v>0</v>
      </c>
      <c r="N280">
        <f>IF(LEFT(分期持仓明细!$A$199,LEN(H$81)+2)=H$81&amp;" ·",ROW(分期持仓明细!$A$199),0)</f>
        <v>0</v>
      </c>
      <c r="O280">
        <f>IF(LEFT(分期持仓明细!$A$199,LEN(I$81)+2)=I$81&amp;" ·",ROW(分期持仓明细!$A$199),0)</f>
        <v>0</v>
      </c>
      <c r="P280">
        <f>IF(LEFT(分期持仓明细!$A$199,LEN(J$81)+2)=J$81&amp;" ·",ROW(分期持仓明细!$A$199),0)</f>
        <v>0</v>
      </c>
      <c r="Q280">
        <f>IF(LEFT(分期持仓明细!$A$199,LEN(K$81)+2)=K$81&amp;" ·",ROW(分期持仓明细!$A$199),0)</f>
        <v>0</v>
      </c>
      <c r="R280">
        <f>IF(LEFT(分期持仓明细!$A$199,LEN(L$81)+2)=L$81&amp;" ·",ROW(分期持仓明细!$A$199),0)</f>
        <v>0</v>
      </c>
    </row>
    <row r="281" spans="13:18">
      <c r="M281">
        <f>IF(LEFT(分期持仓明细!$A$200,LEN(G$81)+2)=G$81&amp;" ·",ROW(分期持仓明细!$A$200),0)</f>
        <v>0</v>
      </c>
      <c r="N281">
        <f>IF(LEFT(分期持仓明细!$A$200,LEN(H$81)+2)=H$81&amp;" ·",ROW(分期持仓明细!$A$200),0)</f>
        <v>0</v>
      </c>
      <c r="O281">
        <f>IF(LEFT(分期持仓明细!$A$200,LEN(I$81)+2)=I$81&amp;" ·",ROW(分期持仓明细!$A$200),0)</f>
        <v>0</v>
      </c>
      <c r="P281">
        <f>IF(LEFT(分期持仓明细!$A$200,LEN(J$81)+2)=J$81&amp;" ·",ROW(分期持仓明细!$A$200),0)</f>
        <v>0</v>
      </c>
      <c r="Q281">
        <f>IF(LEFT(分期持仓明细!$A$200,LEN(K$81)+2)=K$81&amp;" ·",ROW(分期持仓明细!$A$200),0)</f>
        <v>0</v>
      </c>
      <c r="R281">
        <f>IF(LEFT(分期持仓明细!$A$200,LEN(L$81)+2)=L$81&amp;" ·",ROW(分期持仓明细!$A$200),0)</f>
        <v>0</v>
      </c>
    </row>
  </sheetData>
  <mergeCells count="14">
    <mergeCell ref="A1:L1"/>
    <mergeCell ref="D2:H2"/>
    <mergeCell ref="A3:L3"/>
    <mergeCell ref="A5:E5"/>
    <mergeCell ref="A31:G31"/>
    <mergeCell ref="A50:L50"/>
    <mergeCell ref="A51:L51"/>
    <mergeCell ref="A80:L80"/>
    <mergeCell ref="A88:F88"/>
    <mergeCell ref="A33:F33"/>
    <mergeCell ref="A38:H38"/>
    <mergeCell ref="A40:C40"/>
    <mergeCell ref="A45:E45"/>
    <mergeCell ref="A47:H47"/>
  </mergeCells>
  <phoneticPr fontId="35" type="noConversion"/>
  <conditionalFormatting sqref="A7:G30">
    <cfRule type="expression" dxfId="47" priority="1">
      <formula>AND($D7="主动",$E7&gt;$L$2)</formula>
    </cfRule>
  </conditionalFormatting>
  <conditionalFormatting sqref="D35:D37">
    <cfRule type="expression" dxfId="46" priority="3">
      <formula>ABS(D35)&gt;$J$2</formula>
    </cfRule>
  </conditionalFormatting>
  <conditionalFormatting sqref="F7:F30">
    <cfRule type="containsText" dxfId="45" priority="2" operator="containsText" text="正常"/>
  </conditionalFormatting>
  <conditionalFormatting sqref="G35:G37">
    <cfRule type="expression" dxfId="44" priority="4">
      <formula>ABS(G35)&gt;$J$2</formula>
    </cfRule>
  </conditionalFormatting>
  <dataValidations count="3">
    <dataValidation type="list" sqref="C53:C76">
      <formula1>"增值,生息"</formula1>
    </dataValidation>
    <dataValidation type="list" sqref="D53:D76">
      <formula1>"产业趋势,指增,-"</formula1>
    </dataValidation>
    <dataValidation type="list" sqref="E53:E76">
      <formula1>"主动,指数,指增,货币,债券,保障"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abSelected="1" workbookViewId="0">
      <selection activeCell="E31" sqref="E31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VLOOKUP(E3,实盘组合净值!$A:$P,14)</f>
        <v>0.99372212189107401</v>
      </c>
      <c r="F1" s="83">
        <f>VLOOKUP(F3,实盘组合净值!$A:$P,14)</f>
        <v>1</v>
      </c>
      <c r="G1" s="83">
        <f>VLOOKUP(G3,实盘组合净值!$A:$P,14)</f>
        <v>1</v>
      </c>
      <c r="H1" s="83">
        <f>VLOOKUP(H3,实盘组合净值!$A:$P,14)</f>
        <v>0.97719837247619623</v>
      </c>
    </row>
    <row r="2" spans="1:9">
      <c r="E2" s="83">
        <f>VLOOKUP(E5,实盘组合净值!$A:$P,14)</f>
        <v>0.99508534181085639</v>
      </c>
      <c r="F2" s="83">
        <f ca="1">VLOOKUP(F5,实盘组合净值!$A:$P,14)</f>
        <v>0.99128882275518337</v>
      </c>
      <c r="G2" s="83">
        <f>VLOOKUP(G5,实盘组合净值!$A:$P,14)</f>
        <v>0.97390321005734459</v>
      </c>
      <c r="H2" s="83">
        <f ca="1">VLOOKUP(H5,实盘组合净值!$A:$P,14)</f>
        <v>0.99128882275518337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46280</v>
      </c>
      <c r="G5" s="81">
        <v>46233</v>
      </c>
      <c r="H5" s="81">
        <f ca="1">F5</f>
        <v>46280</v>
      </c>
    </row>
    <row r="6" spans="1:9" ht="33.65" customHeight="1">
      <c r="A6" s="91"/>
      <c r="B6" s="91"/>
      <c r="C6" s="132" t="s">
        <v>335</v>
      </c>
      <c r="D6" s="132"/>
      <c r="E6" s="132"/>
      <c r="F6" s="132"/>
      <c r="G6" s="132"/>
      <c r="H6" s="132"/>
      <c r="I6" s="132"/>
    </row>
    <row r="7" spans="1:9" ht="33">
      <c r="A7" s="80" t="s">
        <v>279</v>
      </c>
      <c r="B7" s="80" t="s">
        <v>28</v>
      </c>
      <c r="C7" s="80" t="s">
        <v>280</v>
      </c>
      <c r="D7" s="80" t="s">
        <v>331</v>
      </c>
      <c r="E7" s="82" t="s">
        <v>340</v>
      </c>
      <c r="F7" s="82" t="s">
        <v>316</v>
      </c>
      <c r="G7" s="82" t="s">
        <v>336</v>
      </c>
      <c r="H7" s="82" t="s">
        <v>337</v>
      </c>
      <c r="I7" s="93" t="s">
        <v>332</v>
      </c>
    </row>
    <row r="8" spans="1:9" ht="16.5">
      <c r="A8" s="65" t="s">
        <v>203</v>
      </c>
      <c r="B8" s="66"/>
      <c r="C8" s="67" t="s">
        <v>338</v>
      </c>
      <c r="D8" s="86"/>
      <c r="E8" s="97">
        <f>E$2/E$1-1</f>
        <v>1.3718321145836931E-3</v>
      </c>
      <c r="F8" s="97">
        <f ca="1">F$2/F$1-1</f>
        <v>-8.7111772448166258E-3</v>
      </c>
      <c r="G8" s="97">
        <f>G$2/G$1-1</f>
        <v>-2.6096789942655407E-2</v>
      </c>
      <c r="H8" s="97">
        <f ca="1">H$2/H$1-1</f>
        <v>1.4419232241742685E-2</v>
      </c>
      <c r="I8" s="97">
        <f>'看板-10-90基石'!$F$7</f>
        <v>-2.8729069309879618E-2</v>
      </c>
    </row>
    <row r="9" spans="1:9" ht="16.5">
      <c r="A9" s="68">
        <v>1</v>
      </c>
      <c r="B9" s="69" t="s">
        <v>281</v>
      </c>
      <c r="C9" s="70" t="s">
        <v>306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-5.5824817514819998E-2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9.4899170095127001E-3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282</v>
      </c>
      <c r="C10" s="73" t="s">
        <v>307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-3.3482044274318001E-2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1.23062687715E-2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283</v>
      </c>
      <c r="C11" s="70" t="s">
        <v>308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-1.2585212370233001E-2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-5.3078558451879001E-4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284</v>
      </c>
      <c r="C12" s="73" t="s">
        <v>309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2.0750199545974998E-2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2.3510971840681998E-3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285</v>
      </c>
      <c r="C13" s="70" t="s">
        <v>310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-2.7175501120489002E-2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2.1791173089728999E-2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286</v>
      </c>
      <c r="C14" s="73" t="s">
        <v>311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-3.6440813711356997E-2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-2.1564236543085997E-3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287</v>
      </c>
      <c r="C15" s="70" t="s">
        <v>312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-1.6553067185978002E-2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3.9761431411531002E-3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288</v>
      </c>
      <c r="C16" s="73" t="s">
        <v>313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-1.7577348297786E-2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-2.1005009513798E-3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289</v>
      </c>
      <c r="C17" s="70" t="s">
        <v>314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-4.0417633431292004E-2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2.8612996870815998E-3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290</v>
      </c>
      <c r="C18" s="79" t="s">
        <v>315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-9.0595935235826004E-3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-8.7181254252849012E-3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32" t="s">
        <v>333</v>
      </c>
      <c r="D21" s="132"/>
      <c r="E21" s="132"/>
      <c r="F21" s="132"/>
      <c r="G21" s="132"/>
      <c r="H21" s="132"/>
      <c r="I21" s="132"/>
    </row>
    <row r="22" spans="1:9" ht="36" customHeight="1">
      <c r="A22" s="64" t="str">
        <f>表3[[#Headers],[序号]]</f>
        <v>序号</v>
      </c>
      <c r="B22" s="64" t="str">
        <f>表3[[#Headers],[基金代码]]</f>
        <v>基金代码</v>
      </c>
      <c r="C22" s="64" t="str">
        <f>表3[[#Headers],[产品/基金名称]]</f>
        <v>产品/基金名称</v>
      </c>
      <c r="D22" s="64" t="str">
        <f>表3[[#Headers],[26Q2规模（亿元）]]</f>
        <v>26Q2规模（亿元）</v>
      </c>
      <c r="E22" s="64" t="str">
        <f>表3[[#Headers],[上周]]</f>
        <v>上周</v>
      </c>
      <c r="F22" s="64" t="str">
        <f>表3[[#Headers],[上线以来]]</f>
        <v>上线以来</v>
      </c>
      <c r="G22" s="64" t="str">
        <f>表3[[#Headers],[6/22-7/30]]</f>
        <v>6/22-7/30</v>
      </c>
      <c r="H22" s="64" t="str">
        <f>表3[[#Headers],[7.31至今]]</f>
        <v>7.31至今</v>
      </c>
      <c r="I22" s="90" t="str">
        <f>表3[[#Headers],[最大回撤（上线以来）]]</f>
        <v>最大回撤（上线以来）</v>
      </c>
    </row>
    <row r="23" spans="1:9" ht="16.5">
      <c r="A23" s="65" t="s">
        <v>203</v>
      </c>
      <c r="B23" s="66"/>
      <c r="C23" s="67" t="str">
        <f>C8</f>
        <v>10/90基石投顾组合</v>
      </c>
      <c r="D23" s="66"/>
      <c r="E23" s="102">
        <f>E$2/E$1-1</f>
        <v>1.3718321145836931E-3</v>
      </c>
      <c r="F23" s="102">
        <f ca="1">F$2/F$1-1</f>
        <v>-8.7111772448166258E-3</v>
      </c>
      <c r="G23" s="102">
        <f t="shared" ref="G23:H23" si="0">G$2/G$1-1</f>
        <v>-2.6096789942655407E-2</v>
      </c>
      <c r="H23" s="102">
        <f t="shared" ca="1" si="0"/>
        <v>1.4419232241742685E-2</v>
      </c>
      <c r="I23" s="103">
        <f>'看板-10-90基石'!$F$7</f>
        <v>-2.8729069309879618E-2</v>
      </c>
    </row>
    <row r="24" spans="1:9" ht="16.5">
      <c r="A24" s="68">
        <v>1</v>
      </c>
      <c r="B24" s="69" t="s">
        <v>281</v>
      </c>
      <c r="C24" s="70" t="s">
        <v>306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-5.5824817514819998E-2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9.4899170095127001E-3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285</v>
      </c>
      <c r="C25" s="73" t="s">
        <v>310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-2.7175501120489002E-2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2.1791173089728999E-2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291</v>
      </c>
      <c r="C26" s="70" t="s">
        <v>317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-5.3498206070496004E-2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-6.3227282024243001E-3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282</v>
      </c>
      <c r="C27" s="73" t="s">
        <v>307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-3.3482044274318001E-2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1.23062687715E-2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292</v>
      </c>
      <c r="C28" s="70" t="s">
        <v>318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-2.6144734927046002E-2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1.330127003775E-2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289</v>
      </c>
      <c r="C29" s="73" t="s">
        <v>314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-4.0417633431292004E-2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2.8612996870815998E-3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293</v>
      </c>
      <c r="C30" s="70" t="s">
        <v>319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-3.486529318542E-3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1.2397359523425999E-2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287</v>
      </c>
      <c r="C31" s="73" t="s">
        <v>312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-1.6553067185978002E-2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3.9761431411531002E-3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294</v>
      </c>
      <c r="C32" s="70" t="s">
        <v>320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-4.4244195486280002E-2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-8.4932903006614991E-5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288</v>
      </c>
      <c r="C33" s="76" t="s">
        <v>313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-1.7577348297786E-2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-2.1005009513798E-3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32" t="s">
        <v>334</v>
      </c>
      <c r="D36" s="132"/>
      <c r="E36" s="132"/>
      <c r="F36" s="132"/>
      <c r="G36" s="132"/>
      <c r="H36" s="132"/>
      <c r="I36" s="132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339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203</v>
      </c>
      <c r="B38" s="66"/>
      <c r="C38" s="67" t="str">
        <f>C8</f>
        <v>10/90基石投顾组合</v>
      </c>
      <c r="D38" s="84"/>
      <c r="E38" s="110">
        <f>E$2/E$1-1</f>
        <v>1.3718321145836931E-3</v>
      </c>
      <c r="F38" s="110">
        <f ca="1">F$2/F$1-1</f>
        <v>-8.7111772448166258E-3</v>
      </c>
      <c r="G38" s="102">
        <f t="shared" ref="G38:H38" si="2">G$2/G$1-1</f>
        <v>-2.6096789942655407E-2</v>
      </c>
      <c r="H38" s="102">
        <f t="shared" ca="1" si="2"/>
        <v>1.4419232241742685E-2</v>
      </c>
      <c r="I38" s="103">
        <f>'看板-10-90基石'!$F$7</f>
        <v>-2.8729069309879618E-2</v>
      </c>
    </row>
    <row r="39" spans="1:9" ht="16.5">
      <c r="A39" s="68">
        <v>1</v>
      </c>
      <c r="B39" s="69" t="s">
        <v>295</v>
      </c>
      <c r="C39" s="70" t="s">
        <v>321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-1.1066054127942999E-2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3.5290924323659999E-3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296</v>
      </c>
      <c r="C40" s="73" t="s">
        <v>322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-1.3775460001969001E-3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8.1454256481572999E-3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297</v>
      </c>
      <c r="C41" s="70" t="s">
        <v>298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-2.6790063321968E-2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-2.1641418345263001E-3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285</v>
      </c>
      <c r="C42" s="73" t="s">
        <v>310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-2.7175501120489002E-2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2.1791173089728999E-2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299</v>
      </c>
      <c r="C43" s="70" t="s">
        <v>323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-4.2895211897188999E-2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-1.1892083777068001E-2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300</v>
      </c>
      <c r="C44" s="73" t="s">
        <v>324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-5.8161865569272997E-2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2.6860492940895001E-2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301</v>
      </c>
      <c r="C45" s="70" t="s">
        <v>325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-0.10439560439559999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8.3797311737247009E-3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302</v>
      </c>
      <c r="C46" s="73" t="s">
        <v>326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-4.727257434624E-2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-8.5346638739693011E-3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303</v>
      </c>
      <c r="C47" s="70" t="s">
        <v>327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1.5911501742688001E-3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2.5786879029200001E-3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304</v>
      </c>
      <c r="C48" s="76" t="s">
        <v>328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-4.4870583788014E-2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1.6180904571330999E-2</v>
      </c>
      <c r="I48" s="109">
        <f ca="1">-[1]!thsiFinD("ths_max_retrace_rate_all_fund",$B48,F$3,F$5)/100</f>
        <v>-7.9686479412252001E-2</v>
      </c>
    </row>
    <row r="50" spans="1:9" ht="16.5">
      <c r="A50" s="131" t="s">
        <v>330</v>
      </c>
      <c r="B50" s="131"/>
      <c r="C50" s="131"/>
      <c r="D50" s="131"/>
      <c r="E50" s="131"/>
      <c r="F50" s="131"/>
      <c r="G50" s="131"/>
      <c r="H50" s="131"/>
      <c r="I50" s="131"/>
    </row>
    <row r="51" spans="1:9" ht="16.5">
      <c r="A51" s="131" t="s">
        <v>329</v>
      </c>
      <c r="B51" s="131"/>
      <c r="C51" s="131"/>
      <c r="D51" s="131"/>
      <c r="E51" s="131"/>
      <c r="F51" s="131"/>
      <c r="G51" s="131"/>
      <c r="H51" s="131"/>
      <c r="I51" s="131"/>
    </row>
    <row r="52" spans="1:9" ht="16.5">
      <c r="A52" s="131" t="s">
        <v>305</v>
      </c>
      <c r="B52" s="131"/>
      <c r="C52" s="131"/>
      <c r="D52" s="131"/>
      <c r="E52" s="131"/>
      <c r="F52" s="131"/>
      <c r="G52" s="131"/>
      <c r="H52" s="131"/>
      <c r="I52" s="131"/>
    </row>
  </sheetData>
  <mergeCells count="6">
    <mergeCell ref="A52:I52"/>
    <mergeCell ref="A50:I50"/>
    <mergeCell ref="A51:I51"/>
    <mergeCell ref="C6:I6"/>
    <mergeCell ref="C21:I21"/>
    <mergeCell ref="C36:I36"/>
  </mergeCells>
  <phoneticPr fontId="35" type="noConversion"/>
  <conditionalFormatting sqref="E8:I8">
    <cfRule type="cellIs" dxfId="43" priority="10" operator="greaterThan">
      <formula>0</formula>
    </cfRule>
    <cfRule type="cellIs" dxfId="42" priority="11" operator="lessThan">
      <formula>0</formula>
    </cfRule>
  </conditionalFormatting>
  <conditionalFormatting sqref="E9:I18">
    <cfRule type="cellIs" dxfId="41" priority="7" operator="greaterThan">
      <formula>0</formula>
    </cfRule>
  </conditionalFormatting>
  <conditionalFormatting sqref="E23:I23">
    <cfRule type="cellIs" dxfId="40" priority="5" operator="greaterThan">
      <formula>0</formula>
    </cfRule>
    <cfRule type="cellIs" dxfId="39" priority="6" operator="lessThan">
      <formula>0</formula>
    </cfRule>
  </conditionalFormatting>
  <conditionalFormatting sqref="E24:I33">
    <cfRule type="cellIs" dxfId="38" priority="4" operator="greaterThan">
      <formula>0</formula>
    </cfRule>
  </conditionalFormatting>
  <conditionalFormatting sqref="E38:I38">
    <cfRule type="cellIs" dxfId="37" priority="2" operator="greaterThan">
      <formula>0</formula>
    </cfRule>
    <cfRule type="cellIs" dxfId="36" priority="3" operator="lessThan">
      <formula>0</formula>
    </cfRule>
  </conditionalFormatting>
  <conditionalFormatting sqref="E39:I48">
    <cfRule type="cellIs" dxfId="35" priority="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opLeftCell="A7" workbookViewId="0">
      <selection activeCell="I32" sqref="I32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VLOOKUP(E3,恒生净值!$A:$C,2)</f>
        <v>0.99358009999999997</v>
      </c>
      <c r="F1" s="83">
        <f>VLOOKUP(F3,恒生净值!$A:$C,2)</f>
        <v>1</v>
      </c>
      <c r="G1" s="83">
        <f>VLOOKUP(G3,恒生净值!$A:$C,2)</f>
        <v>1</v>
      </c>
      <c r="H1" s="83">
        <f>VLOOKUP(H3,恒生净值!$A:$C,2)</f>
        <v>0.97705801999999997</v>
      </c>
    </row>
    <row r="2" spans="1:9">
      <c r="E2" s="83">
        <f>VLOOKUP(E5,恒生净值!$A:$C,2)</f>
        <v>0.99494351999999997</v>
      </c>
      <c r="F2" s="83">
        <f ca="1">VLOOKUP(F5,恒生净值!$A:$C,2)</f>
        <v>0</v>
      </c>
      <c r="G2" s="83">
        <f>VLOOKUP(G5,恒生净值!$A:$C,2)</f>
        <v>0.97376326000000002</v>
      </c>
      <c r="H2" s="83">
        <f ca="1">VLOOKUP(H5,恒生净值!$A:$C,2)</f>
        <v>0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46280</v>
      </c>
      <c r="G5" s="81">
        <v>46233</v>
      </c>
      <c r="H5" s="81">
        <f ca="1">F5</f>
        <v>46280</v>
      </c>
    </row>
    <row r="6" spans="1:9" ht="33.65" customHeight="1">
      <c r="A6" s="91"/>
      <c r="B6" s="91"/>
      <c r="C6" s="132" t="s">
        <v>335</v>
      </c>
      <c r="D6" s="132"/>
      <c r="E6" s="132"/>
      <c r="F6" s="132"/>
      <c r="G6" s="132"/>
      <c r="H6" s="132"/>
      <c r="I6" s="132"/>
    </row>
    <row r="7" spans="1:9" ht="33">
      <c r="A7" s="80" t="s">
        <v>279</v>
      </c>
      <c r="B7" s="80" t="s">
        <v>28</v>
      </c>
      <c r="C7" s="80" t="s">
        <v>280</v>
      </c>
      <c r="D7" s="80" t="s">
        <v>331</v>
      </c>
      <c r="E7" s="82" t="s">
        <v>340</v>
      </c>
      <c r="F7" s="82" t="s">
        <v>316</v>
      </c>
      <c r="G7" s="82" t="s">
        <v>336</v>
      </c>
      <c r="H7" s="82" t="s">
        <v>337</v>
      </c>
      <c r="I7" s="93" t="s">
        <v>332</v>
      </c>
    </row>
    <row r="8" spans="1:9" ht="16.5">
      <c r="A8" s="65" t="s">
        <v>203</v>
      </c>
      <c r="B8" s="66"/>
      <c r="C8" s="67" t="s">
        <v>338</v>
      </c>
      <c r="D8" s="86"/>
      <c r="E8" s="97">
        <f>E$2/E$1-1</f>
        <v>1.3722295766591674E-3</v>
      </c>
      <c r="F8" s="97">
        <f ca="1">F$2/F$1-1</f>
        <v>-1</v>
      </c>
      <c r="G8" s="97">
        <f>G$2/G$1-1</f>
        <v>-2.6236739999999981E-2</v>
      </c>
      <c r="H8" s="97">
        <f ca="1">H$2/H$1-1</f>
        <v>-1</v>
      </c>
      <c r="I8" s="97">
        <f>恒生净值!S25</f>
        <v>-2.8899999999999999E-2</v>
      </c>
    </row>
    <row r="9" spans="1:9" ht="16.5">
      <c r="A9" s="68">
        <v>1</v>
      </c>
      <c r="B9" s="69" t="s">
        <v>281</v>
      </c>
      <c r="C9" s="70" t="s">
        <v>306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-5.5824817514819998E-2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9.4899170095127001E-3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282</v>
      </c>
      <c r="C10" s="73" t="s">
        <v>307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-3.3482044274318001E-2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1.23062687715E-2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283</v>
      </c>
      <c r="C11" s="70" t="s">
        <v>308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-1.2585212370233001E-2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-5.3078558451879001E-4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284</v>
      </c>
      <c r="C12" s="73" t="s">
        <v>309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2.0750199545974998E-2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2.3510971840681998E-3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285</v>
      </c>
      <c r="C13" s="70" t="s">
        <v>310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-2.7175501120489002E-2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2.1791173089728999E-2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286</v>
      </c>
      <c r="C14" s="73" t="s">
        <v>311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-3.6440813711356997E-2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-2.1564236543085997E-3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287</v>
      </c>
      <c r="C15" s="70" t="s">
        <v>312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-1.6553067185978002E-2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3.9761431411531002E-3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288</v>
      </c>
      <c r="C16" s="73" t="s">
        <v>313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-1.7577348297786E-2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-2.1005009513798E-3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289</v>
      </c>
      <c r="C17" s="70" t="s">
        <v>314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-4.0417633431292004E-2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2.8612996870815998E-3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290</v>
      </c>
      <c r="C18" s="79" t="s">
        <v>315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-9.0595935235826004E-3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-8.7181254252849012E-3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32" t="s">
        <v>333</v>
      </c>
      <c r="D21" s="132"/>
      <c r="E21" s="132"/>
      <c r="F21" s="132"/>
      <c r="G21" s="132"/>
      <c r="H21" s="132"/>
      <c r="I21" s="132"/>
    </row>
    <row r="22" spans="1:9" ht="36" customHeight="1">
      <c r="A22" s="64" t="str">
        <f>表3_2[[#Headers],[序号]]</f>
        <v>序号</v>
      </c>
      <c r="B22" s="64" t="str">
        <f>表3_2[[#Headers],[基金代码]]</f>
        <v>基金代码</v>
      </c>
      <c r="C22" s="64" t="str">
        <f>表3_2[[#Headers],[产品/基金名称]]</f>
        <v>产品/基金名称</v>
      </c>
      <c r="D22" s="64" t="str">
        <f>表3_2[[#Headers],[26Q2规模（亿元）]]</f>
        <v>26Q2规模（亿元）</v>
      </c>
      <c r="E22" s="64" t="str">
        <f>表3_2[[#Headers],[上周]]</f>
        <v>上周</v>
      </c>
      <c r="F22" s="64" t="str">
        <f>表3_2[[#Headers],[上线以来]]</f>
        <v>上线以来</v>
      </c>
      <c r="G22" s="64" t="str">
        <f>表3_2[[#Headers],[6/22-7/30]]</f>
        <v>6/22-7/30</v>
      </c>
      <c r="H22" s="64" t="str">
        <f>表3_2[[#Headers],[7.31至今]]</f>
        <v>7.31至今</v>
      </c>
      <c r="I22" s="90" t="str">
        <f>表3_2[[#Headers],[最大回撤（上线以来）]]</f>
        <v>最大回撤（上线以来）</v>
      </c>
    </row>
    <row r="23" spans="1:9" ht="16.5">
      <c r="A23" s="65" t="s">
        <v>203</v>
      </c>
      <c r="B23" s="66"/>
      <c r="C23" s="67" t="str">
        <f>C8</f>
        <v>10/90基石投顾组合</v>
      </c>
      <c r="D23" s="66"/>
      <c r="E23" s="102">
        <f>E$2/E$1-1</f>
        <v>1.3722295766591674E-3</v>
      </c>
      <c r="F23" s="102">
        <f ca="1">F$2/F$1-1</f>
        <v>-1</v>
      </c>
      <c r="G23" s="102">
        <f t="shared" ref="G23:H23" si="0">G$2/G$1-1</f>
        <v>-2.6236739999999981E-2</v>
      </c>
      <c r="H23" s="102">
        <f t="shared" ca="1" si="0"/>
        <v>-1</v>
      </c>
      <c r="I23" s="103">
        <f>I8</f>
        <v>-2.8899999999999999E-2</v>
      </c>
    </row>
    <row r="24" spans="1:9" ht="16.5">
      <c r="A24" s="68">
        <v>1</v>
      </c>
      <c r="B24" s="69" t="s">
        <v>281</v>
      </c>
      <c r="C24" s="70" t="s">
        <v>306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-5.5824817514819998E-2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9.4899170095127001E-3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285</v>
      </c>
      <c r="C25" s="73" t="s">
        <v>310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-2.7175501120489002E-2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2.1791173089728999E-2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291</v>
      </c>
      <c r="C26" s="70" t="s">
        <v>317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-5.3498206070496004E-2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-6.3227282024243001E-3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282</v>
      </c>
      <c r="C27" s="73" t="s">
        <v>307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-3.3482044274318001E-2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1.23062687715E-2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292</v>
      </c>
      <c r="C28" s="70" t="s">
        <v>318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-2.6144734927046002E-2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1.330127003775E-2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289</v>
      </c>
      <c r="C29" s="73" t="s">
        <v>314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-4.0417633431292004E-2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2.8612996870815998E-3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293</v>
      </c>
      <c r="C30" s="70" t="s">
        <v>319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-3.486529318542E-3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1.2397359523425999E-2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287</v>
      </c>
      <c r="C31" s="73" t="s">
        <v>312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-1.6553067185978002E-2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3.9761431411531002E-3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294</v>
      </c>
      <c r="C32" s="70" t="s">
        <v>320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-4.4244195486280002E-2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-8.4932903006614991E-5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288</v>
      </c>
      <c r="C33" s="76" t="s">
        <v>313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-1.7577348297786E-2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-2.1005009513798E-3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32" t="s">
        <v>334</v>
      </c>
      <c r="D36" s="132"/>
      <c r="E36" s="132"/>
      <c r="F36" s="132"/>
      <c r="G36" s="132"/>
      <c r="H36" s="132"/>
      <c r="I36" s="132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339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203</v>
      </c>
      <c r="B38" s="66"/>
      <c r="C38" s="67" t="str">
        <f>C8</f>
        <v>10/90基石投顾组合</v>
      </c>
      <c r="D38" s="84"/>
      <c r="E38" s="110">
        <f>E$2/E$1-1</f>
        <v>1.3722295766591674E-3</v>
      </c>
      <c r="F38" s="110">
        <f ca="1">F$2/F$1-1</f>
        <v>-1</v>
      </c>
      <c r="G38" s="102">
        <f t="shared" ref="G38:H38" si="2">G$2/G$1-1</f>
        <v>-2.6236739999999981E-2</v>
      </c>
      <c r="H38" s="102">
        <f t="shared" ca="1" si="2"/>
        <v>-1</v>
      </c>
      <c r="I38" s="103">
        <f>I8</f>
        <v>-2.8899999999999999E-2</v>
      </c>
    </row>
    <row r="39" spans="1:9" ht="16.5">
      <c r="A39" s="68">
        <v>1</v>
      </c>
      <c r="B39" s="69" t="s">
        <v>295</v>
      </c>
      <c r="C39" s="70" t="s">
        <v>321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-1.1066054127942999E-2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3.5290924323659999E-3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296</v>
      </c>
      <c r="C40" s="73" t="s">
        <v>322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-1.3775460001969001E-3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8.1454256481572999E-3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297</v>
      </c>
      <c r="C41" s="70" t="s">
        <v>298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-2.6790063321968E-2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-2.1641418345263001E-3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285</v>
      </c>
      <c r="C42" s="73" t="s">
        <v>310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-2.7175501120489002E-2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2.1791173089728999E-2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299</v>
      </c>
      <c r="C43" s="70" t="s">
        <v>323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-4.2895211897188999E-2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-1.1892083777068001E-2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300</v>
      </c>
      <c r="C44" s="73" t="s">
        <v>324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-5.8161865569272997E-2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2.6860492940895001E-2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301</v>
      </c>
      <c r="C45" s="70" t="s">
        <v>325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-0.10439560439559999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8.3797311737247009E-3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302</v>
      </c>
      <c r="C46" s="73" t="s">
        <v>326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-4.727257434624E-2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-8.5346638739693011E-3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303</v>
      </c>
      <c r="C47" s="70" t="s">
        <v>327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1.5911501742688001E-3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2.5786879029200001E-3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304</v>
      </c>
      <c r="C48" s="76" t="s">
        <v>328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-4.4870583788014E-2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1.6180904571330999E-2</v>
      </c>
      <c r="I48" s="109">
        <f ca="1">-[1]!thsiFinD("ths_max_retrace_rate_all_fund",$B48,F$3,F$5)/100</f>
        <v>-7.9686479412252001E-2</v>
      </c>
    </row>
    <row r="50" spans="1:9" ht="16.5">
      <c r="A50" s="131" t="s">
        <v>330</v>
      </c>
      <c r="B50" s="131"/>
      <c r="C50" s="131"/>
      <c r="D50" s="131"/>
      <c r="E50" s="131"/>
      <c r="F50" s="131"/>
      <c r="G50" s="131"/>
      <c r="H50" s="131"/>
      <c r="I50" s="131"/>
    </row>
    <row r="51" spans="1:9" ht="16.5">
      <c r="A51" s="131" t="s">
        <v>329</v>
      </c>
      <c r="B51" s="131"/>
      <c r="C51" s="131"/>
      <c r="D51" s="131"/>
      <c r="E51" s="131"/>
      <c r="F51" s="131"/>
      <c r="G51" s="131"/>
      <c r="H51" s="131"/>
      <c r="I51" s="131"/>
    </row>
    <row r="52" spans="1:9" ht="16.5">
      <c r="A52" s="131" t="s">
        <v>305</v>
      </c>
      <c r="B52" s="131"/>
      <c r="C52" s="131"/>
      <c r="D52" s="131"/>
      <c r="E52" s="131"/>
      <c r="F52" s="131"/>
      <c r="G52" s="131"/>
      <c r="H52" s="131"/>
      <c r="I52" s="131"/>
    </row>
  </sheetData>
  <mergeCells count="6">
    <mergeCell ref="A52:I52"/>
    <mergeCell ref="C6:I6"/>
    <mergeCell ref="C21:I21"/>
    <mergeCell ref="C36:I36"/>
    <mergeCell ref="A50:I50"/>
    <mergeCell ref="A51:I51"/>
  </mergeCells>
  <phoneticPr fontId="35" type="noConversion"/>
  <conditionalFormatting sqref="E8:I8">
    <cfRule type="cellIs" dxfId="21" priority="8" operator="greaterThan">
      <formula>0</formula>
    </cfRule>
    <cfRule type="cellIs" dxfId="20" priority="9" operator="lessThan">
      <formula>0</formula>
    </cfRule>
  </conditionalFormatting>
  <conditionalFormatting sqref="E9:I18">
    <cfRule type="cellIs" dxfId="19" priority="7" operator="greaterThan">
      <formula>0</formula>
    </cfRule>
  </conditionalFormatting>
  <conditionalFormatting sqref="E23:I23">
    <cfRule type="cellIs" dxfId="18" priority="5" operator="greaterThan">
      <formula>0</formula>
    </cfRule>
    <cfRule type="cellIs" dxfId="17" priority="6" operator="lessThan">
      <formula>0</formula>
    </cfRule>
  </conditionalFormatting>
  <conditionalFormatting sqref="E24:I33">
    <cfRule type="cellIs" dxfId="16" priority="4" operator="greaterThan">
      <formula>0</formula>
    </cfRule>
  </conditionalFormatting>
  <conditionalFormatting sqref="E38:I38">
    <cfRule type="cellIs" dxfId="15" priority="2" operator="greaterThan">
      <formula>0</formula>
    </cfRule>
    <cfRule type="cellIs" dxfId="14" priority="3" operator="lessThan">
      <formula>0</formula>
    </cfRule>
  </conditionalFormatting>
  <conditionalFormatting sqref="E39:I48">
    <cfRule type="cellIs" dxfId="13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topLeftCell="A10" workbookViewId="0">
      <selection activeCell="B47" sqref="B47:C50"/>
    </sheetView>
  </sheetViews>
  <sheetFormatPr defaultRowHeight="12.5"/>
  <cols>
    <col min="1" max="1" width="10.6328125" bestFit="1" customWidth="1"/>
    <col min="19" max="19" width="12.1796875" bestFit="1" customWidth="1"/>
  </cols>
  <sheetData>
    <row r="1" spans="1:7" ht="14.5">
      <c r="A1" t="str">
        <f ca="1">[1]!HX_AutoDate(1,"2026-06-18",偏离度监控!B82,-1,-1,0,1,0,0,0,"SSE",63,0)</f>
        <v>日期</v>
      </c>
      <c r="B1" s="116" t="s">
        <v>341</v>
      </c>
      <c r="C1" s="116">
        <v>1090</v>
      </c>
    </row>
    <row r="2" spans="1:7">
      <c r="A2" s="118">
        <v>46191</v>
      </c>
      <c r="B2">
        <v>1</v>
      </c>
    </row>
    <row r="3" spans="1:7">
      <c r="A3" s="118">
        <v>46195</v>
      </c>
      <c r="B3">
        <v>1.00089571</v>
      </c>
    </row>
    <row r="4" spans="1:7">
      <c r="A4" s="118">
        <v>46196</v>
      </c>
      <c r="B4">
        <v>0.99782280999999995</v>
      </c>
    </row>
    <row r="5" spans="1:7" ht="13">
      <c r="A5" s="118">
        <v>46197</v>
      </c>
      <c r="B5">
        <v>0.99977079999999996</v>
      </c>
      <c r="C5" t="str">
        <f>'[2]1090账户投顾组合-数据视图-20260825'!B3</f>
        <v>1.00000000</v>
      </c>
      <c r="G5" s="119" t="s">
        <v>468</v>
      </c>
    </row>
    <row r="6" spans="1:7">
      <c r="A6" s="118">
        <v>46198</v>
      </c>
      <c r="B6">
        <v>1.00127827</v>
      </c>
      <c r="C6" t="str">
        <f>'[2]1090账户投顾组合-数据视图-20260825'!B4</f>
        <v>1.00141431</v>
      </c>
    </row>
    <row r="7" spans="1:7">
      <c r="A7" s="118">
        <v>46199</v>
      </c>
      <c r="B7">
        <v>0.99893008999999999</v>
      </c>
      <c r="C7" t="str">
        <f>'[2]1090账户投顾组合-数据视图-20260825'!B5</f>
        <v>0.99948240</v>
      </c>
    </row>
    <row r="8" spans="1:7">
      <c r="A8" s="118">
        <v>46202</v>
      </c>
      <c r="B8">
        <v>1.00052151</v>
      </c>
      <c r="C8" t="str">
        <f>'[2]1090账户投顾组合-数据视图-20260825'!B6</f>
        <v>1.00138192</v>
      </c>
    </row>
    <row r="9" spans="1:7">
      <c r="A9" s="118">
        <v>46203</v>
      </c>
      <c r="B9">
        <v>1.00271066</v>
      </c>
      <c r="C9" t="str">
        <f>'[2]1090账户投顾组合-数据视图-20260825'!B7</f>
        <v>1.00327268</v>
      </c>
    </row>
    <row r="10" spans="1:7">
      <c r="A10" s="118">
        <v>46204</v>
      </c>
      <c r="B10">
        <v>0.99998487999999996</v>
      </c>
      <c r="C10" t="str">
        <f>'[2]1090账户投顾组合-数据视图-20260825'!B8</f>
        <v>1.00086493</v>
      </c>
    </row>
    <row r="11" spans="1:7">
      <c r="A11" s="118">
        <v>46205</v>
      </c>
      <c r="B11">
        <v>0.99402933000000004</v>
      </c>
      <c r="C11" t="str">
        <f>'[2]1090账户投顾组合-数据视图-20260825'!B9</f>
        <v>0.99528176</v>
      </c>
    </row>
    <row r="12" spans="1:7">
      <c r="A12" s="118">
        <v>46206</v>
      </c>
      <c r="B12">
        <v>0.99491236999999999</v>
      </c>
      <c r="C12" t="str">
        <f>'[2]1090账户投顾组合-数据视图-20260825'!B10</f>
        <v>0.99645158</v>
      </c>
    </row>
    <row r="13" spans="1:7">
      <c r="A13" s="118">
        <v>46209</v>
      </c>
      <c r="B13">
        <v>0.99396983999999999</v>
      </c>
      <c r="C13" t="str">
        <f>'[2]1090账户投顾组合-数据视图-20260825'!B11</f>
        <v>0.99563225</v>
      </c>
    </row>
    <row r="14" spans="1:7">
      <c r="A14" s="118">
        <v>46210</v>
      </c>
      <c r="B14">
        <v>0.99336488999999994</v>
      </c>
      <c r="C14" t="str">
        <f>'[2]1090账户投顾组合-数据视图-20260825'!B12</f>
        <v>0.99480363</v>
      </c>
    </row>
    <row r="15" spans="1:7">
      <c r="A15" s="118">
        <v>46211</v>
      </c>
      <c r="B15">
        <v>0.99351509000000005</v>
      </c>
      <c r="C15" t="str">
        <f>'[2]1090账户投顾组合-数据视图-20260825'!B13</f>
        <v>0.99491291</v>
      </c>
    </row>
    <row r="16" spans="1:7">
      <c r="A16" s="118">
        <v>46212</v>
      </c>
      <c r="B16">
        <v>0.99860981999999998</v>
      </c>
      <c r="C16" t="str">
        <f>'[2]1090账户投顾组合-数据视图-20260825'!B14</f>
        <v>0.99993265</v>
      </c>
    </row>
    <row r="17" spans="1:20">
      <c r="A17" s="118">
        <v>46213</v>
      </c>
      <c r="B17">
        <v>0.99488465999999998</v>
      </c>
      <c r="C17" t="str">
        <f>'[2]1090账户投顾组合-数据视图-20260825'!B15</f>
        <v>0.99608736</v>
      </c>
    </row>
    <row r="18" spans="1:20">
      <c r="A18" s="118">
        <v>46216</v>
      </c>
      <c r="B18">
        <v>0.98970133999999998</v>
      </c>
      <c r="C18" t="str">
        <f>'[2]1090账户投顾组合-数据视图-20260825'!B16</f>
        <v>0.99082824</v>
      </c>
    </row>
    <row r="19" spans="1:20">
      <c r="A19" s="118">
        <v>46217</v>
      </c>
      <c r="B19">
        <v>0.99245271000000002</v>
      </c>
      <c r="C19" t="str">
        <f>'[2]1090账户投顾组合-数据视图-20260825'!B17</f>
        <v>0.99325571</v>
      </c>
      <c r="G19" s="117" t="s">
        <v>342</v>
      </c>
      <c r="H19" s="117" t="s">
        <v>343</v>
      </c>
      <c r="I19" s="117" t="s">
        <v>344</v>
      </c>
      <c r="J19" s="117" t="s">
        <v>345</v>
      </c>
      <c r="K19" s="117" t="s">
        <v>346</v>
      </c>
      <c r="L19" s="117" t="s">
        <v>347</v>
      </c>
      <c r="M19" s="117" t="s">
        <v>348</v>
      </c>
      <c r="N19" s="117" t="s">
        <v>349</v>
      </c>
      <c r="O19" s="117" t="s">
        <v>350</v>
      </c>
      <c r="P19" s="117" t="s">
        <v>351</v>
      </c>
      <c r="Q19" s="117" t="s">
        <v>352</v>
      </c>
      <c r="R19" s="117" t="s">
        <v>353</v>
      </c>
      <c r="S19" s="117" t="s">
        <v>354</v>
      </c>
      <c r="T19" s="117" t="s">
        <v>355</v>
      </c>
    </row>
    <row r="20" spans="1:20">
      <c r="A20" s="118">
        <v>46218</v>
      </c>
      <c r="B20">
        <v>0.99005834000000004</v>
      </c>
      <c r="C20" t="str">
        <f>'[2]1090账户投顾组合-数据视图-20260825'!B18</f>
        <v>0.99062576</v>
      </c>
      <c r="G20" s="117" t="s">
        <v>356</v>
      </c>
      <c r="H20" s="117" t="s">
        <v>357</v>
      </c>
      <c r="I20" s="117" t="s">
        <v>358</v>
      </c>
      <c r="J20" s="117" t="s">
        <v>359</v>
      </c>
      <c r="K20" s="117" t="s">
        <v>360</v>
      </c>
      <c r="L20" s="117" t="s">
        <v>361</v>
      </c>
      <c r="M20" s="117" t="s">
        <v>362</v>
      </c>
      <c r="N20" s="117" t="s">
        <v>360</v>
      </c>
      <c r="O20" s="117" t="s">
        <v>360</v>
      </c>
      <c r="P20" s="117" t="s">
        <v>360</v>
      </c>
      <c r="Q20" s="117" t="s">
        <v>360</v>
      </c>
      <c r="R20" s="117" t="s">
        <v>360</v>
      </c>
      <c r="S20" s="117" t="s">
        <v>360</v>
      </c>
      <c r="T20" s="117" t="s">
        <v>360</v>
      </c>
    </row>
    <row r="21" spans="1:20">
      <c r="A21" s="118">
        <v>46219</v>
      </c>
      <c r="B21">
        <v>0.98597555999999997</v>
      </c>
      <c r="C21" t="str">
        <f>'[2]1090账户投顾组合-数据视图-20260825'!B19</f>
        <v>0.98667073</v>
      </c>
      <c r="G21" s="117" t="s">
        <v>363</v>
      </c>
      <c r="H21" s="117" t="s">
        <v>364</v>
      </c>
      <c r="I21" s="117" t="s">
        <v>365</v>
      </c>
      <c r="J21" s="117" t="s">
        <v>366</v>
      </c>
      <c r="K21" s="117" t="s">
        <v>367</v>
      </c>
      <c r="L21" s="117" t="s">
        <v>368</v>
      </c>
      <c r="M21" s="117" t="s">
        <v>369</v>
      </c>
      <c r="N21" s="117" t="s">
        <v>367</v>
      </c>
      <c r="O21" s="117" t="s">
        <v>367</v>
      </c>
      <c r="P21" s="117" t="s">
        <v>367</v>
      </c>
      <c r="Q21" s="117" t="s">
        <v>367</v>
      </c>
      <c r="R21" s="117" t="s">
        <v>367</v>
      </c>
      <c r="S21" s="117" t="s">
        <v>367</v>
      </c>
      <c r="T21" s="117" t="s">
        <v>367</v>
      </c>
    </row>
    <row r="22" spans="1:20">
      <c r="A22" s="118">
        <v>46220</v>
      </c>
      <c r="B22">
        <v>0.97886371999999999</v>
      </c>
      <c r="C22" t="str">
        <f>'[2]1090账户投顾组合-数据视图-20260825'!B20</f>
        <v>0.98008903</v>
      </c>
      <c r="G22" s="117" t="s">
        <v>370</v>
      </c>
      <c r="H22" s="117" t="s">
        <v>371</v>
      </c>
      <c r="I22" s="117" t="s">
        <v>372</v>
      </c>
      <c r="J22" s="117" t="s">
        <v>373</v>
      </c>
      <c r="K22" s="117" t="s">
        <v>374</v>
      </c>
      <c r="L22" s="117" t="s">
        <v>375</v>
      </c>
      <c r="M22" s="117" t="s">
        <v>376</v>
      </c>
      <c r="N22" s="117" t="s">
        <v>374</v>
      </c>
      <c r="O22" s="117" t="s">
        <v>374</v>
      </c>
      <c r="P22" s="117" t="s">
        <v>374</v>
      </c>
      <c r="Q22" s="117" t="s">
        <v>374</v>
      </c>
      <c r="R22" s="117" t="s">
        <v>374</v>
      </c>
      <c r="S22" s="117" t="s">
        <v>374</v>
      </c>
      <c r="T22" s="117" t="s">
        <v>374</v>
      </c>
    </row>
    <row r="23" spans="1:20">
      <c r="A23" s="118">
        <v>46223</v>
      </c>
      <c r="B23">
        <v>0.97537549999999995</v>
      </c>
      <c r="C23" t="str">
        <f>'[2]1090账户投顾组合-数据视图-20260825'!B21</f>
        <v>0.97683759</v>
      </c>
      <c r="G23" s="117" t="s">
        <v>377</v>
      </c>
      <c r="H23" s="117" t="s">
        <v>378</v>
      </c>
      <c r="I23" s="117" t="s">
        <v>379</v>
      </c>
      <c r="J23" s="117" t="s">
        <v>380</v>
      </c>
      <c r="K23" s="117" t="s">
        <v>381</v>
      </c>
      <c r="L23" s="117" t="s">
        <v>382</v>
      </c>
      <c r="M23" s="117" t="s">
        <v>383</v>
      </c>
      <c r="N23" s="117" t="s">
        <v>381</v>
      </c>
      <c r="O23" s="117" t="s">
        <v>381</v>
      </c>
      <c r="P23" s="117" t="s">
        <v>381</v>
      </c>
      <c r="Q23" s="117" t="s">
        <v>381</v>
      </c>
      <c r="R23" s="117" t="s">
        <v>381</v>
      </c>
      <c r="S23" s="117" t="s">
        <v>381</v>
      </c>
      <c r="T23" s="117" t="s">
        <v>381</v>
      </c>
    </row>
    <row r="24" spans="1:20">
      <c r="A24" s="118">
        <v>46224</v>
      </c>
      <c r="B24">
        <v>0.98437008000000004</v>
      </c>
      <c r="C24" t="str">
        <f>'[2]1090账户投顾组合-数据视图-20260825'!B22</f>
        <v>0.98586080</v>
      </c>
      <c r="G24" s="117" t="s">
        <v>384</v>
      </c>
      <c r="H24" s="117" t="s">
        <v>357</v>
      </c>
      <c r="I24" s="117" t="s">
        <v>385</v>
      </c>
      <c r="J24" s="117" t="s">
        <v>359</v>
      </c>
      <c r="K24" s="117" t="s">
        <v>359</v>
      </c>
      <c r="L24" s="117" t="s">
        <v>385</v>
      </c>
      <c r="M24" s="117" t="s">
        <v>385</v>
      </c>
      <c r="N24" s="117" t="s">
        <v>359</v>
      </c>
      <c r="O24" s="117" t="s">
        <v>359</v>
      </c>
      <c r="P24" s="117" t="s">
        <v>359</v>
      </c>
      <c r="Q24" s="117" t="s">
        <v>359</v>
      </c>
      <c r="R24" s="117" t="s">
        <v>359</v>
      </c>
      <c r="S24" s="117" t="s">
        <v>359</v>
      </c>
      <c r="T24" s="117" t="s">
        <v>359</v>
      </c>
    </row>
    <row r="25" spans="1:20">
      <c r="A25" s="118">
        <v>46225</v>
      </c>
      <c r="B25">
        <v>0.98402323999999997</v>
      </c>
      <c r="C25" t="str">
        <f>'[2]1090账户投顾组合-数据视图-20260825'!B23</f>
        <v>0.98570780</v>
      </c>
      <c r="G25" s="117" t="s">
        <v>148</v>
      </c>
      <c r="H25" s="117" t="s">
        <v>357</v>
      </c>
      <c r="I25" s="117" t="s">
        <v>386</v>
      </c>
      <c r="J25" s="117" t="s">
        <v>387</v>
      </c>
      <c r="K25" s="117" t="s">
        <v>387</v>
      </c>
      <c r="L25" s="117" t="s">
        <v>386</v>
      </c>
      <c r="M25" s="117" t="s">
        <v>388</v>
      </c>
      <c r="N25" s="117" t="s">
        <v>387</v>
      </c>
      <c r="O25" s="117" t="s">
        <v>387</v>
      </c>
      <c r="P25" s="117" t="s">
        <v>387</v>
      </c>
      <c r="Q25" s="117" t="s">
        <v>387</v>
      </c>
      <c r="R25" s="117" t="s">
        <v>387</v>
      </c>
      <c r="S25" s="120">
        <v>-2.8899999999999999E-2</v>
      </c>
      <c r="T25" s="117" t="s">
        <v>387</v>
      </c>
    </row>
    <row r="26" spans="1:20">
      <c r="A26" s="118">
        <v>46226</v>
      </c>
      <c r="B26">
        <v>0.98279921000000003</v>
      </c>
      <c r="C26" t="str">
        <f>'[2]1090账户投顾组合-数据视图-20260825'!B24</f>
        <v>0.98438731</v>
      </c>
      <c r="G26" s="117" t="s">
        <v>389</v>
      </c>
      <c r="H26" s="117" t="s">
        <v>390</v>
      </c>
      <c r="I26" s="117" t="s">
        <v>391</v>
      </c>
      <c r="J26" s="117" t="s">
        <v>390</v>
      </c>
      <c r="K26" s="117" t="s">
        <v>392</v>
      </c>
      <c r="L26" s="117" t="s">
        <v>390</v>
      </c>
      <c r="M26" s="117" t="s">
        <v>393</v>
      </c>
      <c r="N26" s="117" t="s">
        <v>392</v>
      </c>
      <c r="O26" s="117" t="s">
        <v>392</v>
      </c>
      <c r="P26" s="117" t="s">
        <v>392</v>
      </c>
      <c r="Q26" s="117" t="s">
        <v>392</v>
      </c>
      <c r="R26" s="117" t="s">
        <v>392</v>
      </c>
      <c r="S26" s="117" t="s">
        <v>392</v>
      </c>
      <c r="T26" s="117" t="s">
        <v>392</v>
      </c>
    </row>
    <row r="27" spans="1:20">
      <c r="A27" s="118">
        <v>46227</v>
      </c>
      <c r="B27">
        <v>0.98152945999999996</v>
      </c>
      <c r="C27" t="str">
        <f>'[2]1090账户投顾组合-数据视图-20260825'!B25</f>
        <v>0.98336003</v>
      </c>
      <c r="G27" s="117" t="s">
        <v>394</v>
      </c>
      <c r="H27" s="117" t="s">
        <v>395</v>
      </c>
      <c r="I27" s="117" t="s">
        <v>396</v>
      </c>
      <c r="J27" s="117" t="s">
        <v>397</v>
      </c>
      <c r="K27" s="117" t="s">
        <v>398</v>
      </c>
      <c r="L27" s="117" t="s">
        <v>399</v>
      </c>
      <c r="M27" s="117" t="s">
        <v>400</v>
      </c>
      <c r="N27" s="117" t="s">
        <v>398</v>
      </c>
      <c r="O27" s="117" t="s">
        <v>398</v>
      </c>
      <c r="P27" s="117" t="s">
        <v>398</v>
      </c>
      <c r="Q27" s="117" t="s">
        <v>398</v>
      </c>
      <c r="R27" s="117" t="s">
        <v>398</v>
      </c>
      <c r="S27" s="117" t="s">
        <v>398</v>
      </c>
      <c r="T27" s="117" t="s">
        <v>398</v>
      </c>
    </row>
    <row r="28" spans="1:20">
      <c r="A28" s="118">
        <v>46230</v>
      </c>
      <c r="B28">
        <v>0.98516413000000003</v>
      </c>
      <c r="C28" t="str">
        <f>'[2]1090账户投顾组合-数据视图-20260825'!B26</f>
        <v>0.98687417</v>
      </c>
      <c r="G28" s="117" t="s">
        <v>401</v>
      </c>
      <c r="H28" s="117" t="s">
        <v>402</v>
      </c>
      <c r="I28" s="117" t="s">
        <v>402</v>
      </c>
      <c r="J28" s="117" t="s">
        <v>402</v>
      </c>
      <c r="K28" s="117" t="s">
        <v>402</v>
      </c>
      <c r="L28" s="117" t="s">
        <v>402</v>
      </c>
      <c r="M28" s="117" t="s">
        <v>403</v>
      </c>
      <c r="N28" s="117" t="s">
        <v>402</v>
      </c>
      <c r="O28" s="117" t="s">
        <v>402</v>
      </c>
      <c r="P28" s="117" t="s">
        <v>402</v>
      </c>
      <c r="Q28" s="117" t="s">
        <v>402</v>
      </c>
      <c r="R28" s="117" t="s">
        <v>402</v>
      </c>
      <c r="S28" s="117" t="s">
        <v>402</v>
      </c>
      <c r="T28" s="117" t="s">
        <v>402</v>
      </c>
    </row>
    <row r="29" spans="1:20">
      <c r="A29" s="118">
        <v>46231</v>
      </c>
      <c r="B29">
        <v>0.97865577000000004</v>
      </c>
      <c r="C29" t="str">
        <f>'[2]1090账户投顾组合-数据视图-20260825'!B27</f>
        <v>0.98060895</v>
      </c>
      <c r="G29" s="117" t="s">
        <v>404</v>
      </c>
      <c r="H29" s="117" t="s">
        <v>364</v>
      </c>
      <c r="I29" s="117" t="s">
        <v>405</v>
      </c>
      <c r="J29" s="117" t="s">
        <v>405</v>
      </c>
      <c r="K29" s="117" t="s">
        <v>405</v>
      </c>
      <c r="L29" s="117" t="s">
        <v>405</v>
      </c>
      <c r="M29" s="117" t="s">
        <v>405</v>
      </c>
      <c r="N29" s="117" t="s">
        <v>405</v>
      </c>
      <c r="O29" s="117" t="s">
        <v>405</v>
      </c>
      <c r="P29" s="117" t="s">
        <v>405</v>
      </c>
      <c r="Q29" s="117" t="s">
        <v>405</v>
      </c>
      <c r="R29" s="117" t="s">
        <v>405</v>
      </c>
      <c r="S29" s="117" t="s">
        <v>405</v>
      </c>
      <c r="T29" s="117" t="s">
        <v>405</v>
      </c>
    </row>
    <row r="30" spans="1:20">
      <c r="A30" s="118">
        <v>46232</v>
      </c>
      <c r="B30">
        <v>0.97811842999999998</v>
      </c>
      <c r="C30" t="str">
        <f>'[2]1090账户投顾组合-数据视图-20260825'!B28</f>
        <v>0.98017950</v>
      </c>
      <c r="G30" s="117" t="s">
        <v>406</v>
      </c>
      <c r="H30" s="117" t="s">
        <v>364</v>
      </c>
      <c r="I30" s="117" t="s">
        <v>407</v>
      </c>
      <c r="J30" s="117" t="s">
        <v>408</v>
      </c>
      <c r="K30" s="117" t="s">
        <v>408</v>
      </c>
      <c r="L30" s="117" t="s">
        <v>407</v>
      </c>
      <c r="M30" s="117" t="s">
        <v>409</v>
      </c>
      <c r="N30" s="117" t="s">
        <v>408</v>
      </c>
      <c r="O30" s="117" t="s">
        <v>408</v>
      </c>
      <c r="P30" s="117" t="s">
        <v>408</v>
      </c>
      <c r="Q30" s="117" t="s">
        <v>408</v>
      </c>
      <c r="R30" s="117" t="s">
        <v>408</v>
      </c>
      <c r="S30" s="117" t="s">
        <v>408</v>
      </c>
      <c r="T30" s="117" t="s">
        <v>408</v>
      </c>
    </row>
    <row r="31" spans="1:20">
      <c r="A31" s="118">
        <v>46233</v>
      </c>
      <c r="B31">
        <v>0.97376326000000002</v>
      </c>
      <c r="C31" t="str">
        <f>'[2]1090账户投顾组合-数据视图-20260825'!B29</f>
        <v>0.97603230</v>
      </c>
      <c r="G31" s="117" t="s">
        <v>410</v>
      </c>
      <c r="H31" s="117" t="s">
        <v>411</v>
      </c>
      <c r="I31" s="117" t="s">
        <v>412</v>
      </c>
      <c r="J31" s="117" t="s">
        <v>413</v>
      </c>
      <c r="K31" s="117" t="s">
        <v>414</v>
      </c>
      <c r="L31" s="117" t="s">
        <v>415</v>
      </c>
      <c r="M31" s="117" t="s">
        <v>416</v>
      </c>
      <c r="N31" s="117" t="s">
        <v>414</v>
      </c>
      <c r="O31" s="117" t="s">
        <v>414</v>
      </c>
      <c r="P31" s="117" t="s">
        <v>414</v>
      </c>
      <c r="Q31" s="117" t="s">
        <v>414</v>
      </c>
      <c r="R31" s="117" t="s">
        <v>414</v>
      </c>
      <c r="S31" s="117" t="s">
        <v>414</v>
      </c>
      <c r="T31" s="117" t="s">
        <v>414</v>
      </c>
    </row>
    <row r="32" spans="1:20">
      <c r="A32" s="118">
        <v>46234</v>
      </c>
      <c r="B32">
        <v>0.97705801999999997</v>
      </c>
      <c r="C32" t="str">
        <f>'[2]1090账户投顾组合-数据视图-20260825'!B30</f>
        <v>0.97918283</v>
      </c>
      <c r="G32" s="117" t="s">
        <v>417</v>
      </c>
      <c r="H32" s="117" t="s">
        <v>411</v>
      </c>
      <c r="I32" s="117" t="s">
        <v>418</v>
      </c>
      <c r="J32" s="117" t="s">
        <v>419</v>
      </c>
      <c r="K32" s="117" t="s">
        <v>420</v>
      </c>
      <c r="L32" s="117" t="s">
        <v>421</v>
      </c>
      <c r="M32" s="117" t="s">
        <v>422</v>
      </c>
      <c r="N32" s="117" t="s">
        <v>420</v>
      </c>
      <c r="O32" s="117" t="s">
        <v>420</v>
      </c>
      <c r="P32" s="117" t="s">
        <v>420</v>
      </c>
      <c r="Q32" s="117" t="s">
        <v>420</v>
      </c>
      <c r="R32" s="117" t="s">
        <v>420</v>
      </c>
      <c r="S32" s="117" t="s">
        <v>420</v>
      </c>
      <c r="T32" s="117" t="s">
        <v>420</v>
      </c>
    </row>
    <row r="33" spans="1:20">
      <c r="A33" s="118">
        <v>46237</v>
      </c>
      <c r="B33">
        <v>0.97469598999999996</v>
      </c>
      <c r="C33" t="str">
        <f>'[2]1090账户投顾组合-数据视图-20260825'!B31</f>
        <v>0.97636941</v>
      </c>
      <c r="G33" s="117" t="s">
        <v>147</v>
      </c>
      <c r="H33" s="117" t="s">
        <v>411</v>
      </c>
      <c r="I33" s="117" t="s">
        <v>423</v>
      </c>
      <c r="J33" s="117" t="s">
        <v>424</v>
      </c>
      <c r="K33" s="117" t="s">
        <v>425</v>
      </c>
      <c r="L33" s="117" t="s">
        <v>426</v>
      </c>
      <c r="M33" s="117" t="s">
        <v>427</v>
      </c>
      <c r="N33" s="117" t="s">
        <v>425</v>
      </c>
      <c r="O33" s="117" t="s">
        <v>425</v>
      </c>
      <c r="P33" s="117" t="s">
        <v>425</v>
      </c>
      <c r="Q33" s="117" t="s">
        <v>425</v>
      </c>
      <c r="R33" s="117" t="s">
        <v>425</v>
      </c>
      <c r="S33" s="117" t="s">
        <v>425</v>
      </c>
      <c r="T33" s="117" t="s">
        <v>425</v>
      </c>
    </row>
    <row r="34" spans="1:20">
      <c r="A34" s="118">
        <v>46238</v>
      </c>
      <c r="B34">
        <v>0.97954496999999996</v>
      </c>
      <c r="C34" t="str">
        <f>'[2]1090账户投顾组合-数据视图-20260825'!B32</f>
        <v>0.98084157</v>
      </c>
      <c r="G34" s="117" t="s">
        <v>428</v>
      </c>
      <c r="H34" s="117" t="s">
        <v>411</v>
      </c>
      <c r="I34" s="117" t="s">
        <v>429</v>
      </c>
      <c r="J34" s="117" t="s">
        <v>430</v>
      </c>
      <c r="K34" s="117" t="s">
        <v>431</v>
      </c>
      <c r="L34" s="117" t="s">
        <v>432</v>
      </c>
      <c r="M34" s="117" t="s">
        <v>433</v>
      </c>
      <c r="N34" s="117" t="s">
        <v>431</v>
      </c>
      <c r="O34" s="117" t="s">
        <v>431</v>
      </c>
      <c r="P34" s="117" t="s">
        <v>431</v>
      </c>
      <c r="Q34" s="117" t="s">
        <v>431</v>
      </c>
      <c r="R34" s="117" t="s">
        <v>431</v>
      </c>
      <c r="S34" s="117" t="s">
        <v>431</v>
      </c>
      <c r="T34" s="117" t="s">
        <v>431</v>
      </c>
    </row>
    <row r="35" spans="1:20">
      <c r="A35" s="118">
        <v>46239</v>
      </c>
      <c r="B35">
        <v>0.98421563999999995</v>
      </c>
      <c r="C35" t="str">
        <f>'[2]1090账户投顾组合-数据视图-20260825'!B33</f>
        <v>0.98566565</v>
      </c>
      <c r="G35" s="117" t="s">
        <v>149</v>
      </c>
      <c r="H35" s="117" t="s">
        <v>411</v>
      </c>
      <c r="I35" s="117" t="s">
        <v>434</v>
      </c>
      <c r="J35" s="117" t="s">
        <v>435</v>
      </c>
      <c r="K35" s="117" t="s">
        <v>436</v>
      </c>
      <c r="L35" s="117" t="s">
        <v>437</v>
      </c>
      <c r="M35" s="117" t="s">
        <v>438</v>
      </c>
      <c r="N35" s="117" t="s">
        <v>436</v>
      </c>
      <c r="O35" s="117" t="s">
        <v>436</v>
      </c>
      <c r="P35" s="117" t="s">
        <v>436</v>
      </c>
      <c r="Q35" s="117" t="s">
        <v>436</v>
      </c>
      <c r="R35" s="117" t="s">
        <v>436</v>
      </c>
      <c r="S35" s="117" t="s">
        <v>436</v>
      </c>
      <c r="T35" s="117" t="s">
        <v>436</v>
      </c>
    </row>
    <row r="36" spans="1:20">
      <c r="A36" s="118">
        <v>46240</v>
      </c>
      <c r="B36">
        <v>0.98658983</v>
      </c>
      <c r="C36" t="str">
        <f>'[2]1090账户投顾组合-数据视图-20260825'!B34</f>
        <v>0.98799038</v>
      </c>
      <c r="G36" s="117" t="s">
        <v>439</v>
      </c>
      <c r="H36" s="117" t="s">
        <v>411</v>
      </c>
      <c r="I36" s="117" t="s">
        <v>440</v>
      </c>
      <c r="J36" s="117" t="s">
        <v>441</v>
      </c>
      <c r="K36" s="117" t="s">
        <v>442</v>
      </c>
      <c r="L36" s="117" t="s">
        <v>443</v>
      </c>
      <c r="M36" s="117" t="s">
        <v>444</v>
      </c>
      <c r="N36" s="117" t="s">
        <v>442</v>
      </c>
      <c r="O36" s="117" t="s">
        <v>442</v>
      </c>
      <c r="P36" s="117" t="s">
        <v>442</v>
      </c>
      <c r="Q36" s="117" t="s">
        <v>442</v>
      </c>
      <c r="R36" s="117" t="s">
        <v>442</v>
      </c>
      <c r="S36" s="117" t="s">
        <v>442</v>
      </c>
      <c r="T36" s="117" t="s">
        <v>442</v>
      </c>
    </row>
    <row r="37" spans="1:20">
      <c r="A37" s="118">
        <v>46241</v>
      </c>
      <c r="B37">
        <v>0.98977590000000004</v>
      </c>
      <c r="C37" t="str">
        <f>'[2]1090账户投顾组合-数据视图-20260825'!B35</f>
        <v>0.99109277</v>
      </c>
      <c r="G37" s="117" t="s">
        <v>162</v>
      </c>
      <c r="H37" s="117" t="s">
        <v>445</v>
      </c>
      <c r="I37" s="117" t="s">
        <v>446</v>
      </c>
      <c r="J37" s="117" t="s">
        <v>447</v>
      </c>
      <c r="K37" s="117" t="s">
        <v>448</v>
      </c>
      <c r="L37" s="117" t="s">
        <v>449</v>
      </c>
      <c r="M37" s="117" t="s">
        <v>450</v>
      </c>
      <c r="N37" s="117" t="s">
        <v>448</v>
      </c>
      <c r="O37" s="117" t="s">
        <v>448</v>
      </c>
      <c r="P37" s="117" t="s">
        <v>448</v>
      </c>
      <c r="Q37" s="117" t="s">
        <v>448</v>
      </c>
      <c r="R37" s="117" t="s">
        <v>448</v>
      </c>
      <c r="S37" s="117" t="s">
        <v>448</v>
      </c>
      <c r="T37" s="117" t="s">
        <v>448</v>
      </c>
    </row>
    <row r="38" spans="1:20">
      <c r="A38" s="118">
        <v>46244</v>
      </c>
      <c r="B38">
        <v>0.99185254</v>
      </c>
      <c r="C38" t="str">
        <f>'[2]1090账户投顾组合-数据视图-20260825'!B36</f>
        <v>0.99331943</v>
      </c>
      <c r="G38" s="117" t="s">
        <v>451</v>
      </c>
      <c r="H38" s="117" t="s">
        <v>411</v>
      </c>
      <c r="I38" s="117" t="s">
        <v>411</v>
      </c>
      <c r="J38" s="117" t="s">
        <v>411</v>
      </c>
      <c r="K38" s="117" t="s">
        <v>411</v>
      </c>
      <c r="L38" s="117" t="s">
        <v>411</v>
      </c>
      <c r="M38" s="117" t="s">
        <v>411</v>
      </c>
      <c r="N38" s="117" t="s">
        <v>411</v>
      </c>
      <c r="O38" s="117" t="s">
        <v>411</v>
      </c>
      <c r="P38" s="117" t="s">
        <v>411</v>
      </c>
      <c r="Q38" s="117" t="s">
        <v>411</v>
      </c>
      <c r="R38" s="117" t="s">
        <v>411</v>
      </c>
      <c r="S38" s="117" t="s">
        <v>411</v>
      </c>
      <c r="T38" s="117" t="s">
        <v>411</v>
      </c>
    </row>
    <row r="39" spans="1:20">
      <c r="A39" s="118">
        <v>46245</v>
      </c>
      <c r="B39">
        <v>0.99059755999999999</v>
      </c>
      <c r="C39" t="str">
        <f>'[2]1090账户投顾组合-数据视图-20260825'!B37</f>
        <v>0.99195087</v>
      </c>
      <c r="G39" s="117" t="s">
        <v>452</v>
      </c>
      <c r="H39" s="117" t="s">
        <v>411</v>
      </c>
      <c r="I39" s="117" t="s">
        <v>453</v>
      </c>
      <c r="J39" s="117" t="s">
        <v>454</v>
      </c>
      <c r="K39" s="117" t="s">
        <v>455</v>
      </c>
      <c r="L39" s="117" t="s">
        <v>456</v>
      </c>
      <c r="M39" s="117" t="s">
        <v>457</v>
      </c>
      <c r="N39" s="117" t="s">
        <v>455</v>
      </c>
      <c r="O39" s="117" t="s">
        <v>455</v>
      </c>
      <c r="P39" s="117" t="s">
        <v>455</v>
      </c>
      <c r="Q39" s="117" t="s">
        <v>455</v>
      </c>
      <c r="R39" s="117" t="s">
        <v>455</v>
      </c>
      <c r="S39" s="117" t="s">
        <v>455</v>
      </c>
      <c r="T39" s="117" t="s">
        <v>455</v>
      </c>
    </row>
    <row r="40" spans="1:20">
      <c r="A40" s="118">
        <v>46246</v>
      </c>
      <c r="B40">
        <v>0.99333243999999998</v>
      </c>
      <c r="C40" t="str">
        <f>'[2]1090账户投顾组合-数据视图-20260825'!B38</f>
        <v>0.99435477</v>
      </c>
      <c r="G40" s="117" t="s">
        <v>458</v>
      </c>
      <c r="H40" s="117" t="s">
        <v>411</v>
      </c>
      <c r="I40" s="117" t="s">
        <v>459</v>
      </c>
      <c r="J40" s="117" t="s">
        <v>460</v>
      </c>
      <c r="K40" s="117" t="s">
        <v>461</v>
      </c>
      <c r="L40" s="117" t="s">
        <v>462</v>
      </c>
      <c r="M40" s="117" t="s">
        <v>463</v>
      </c>
      <c r="N40" s="117" t="s">
        <v>461</v>
      </c>
      <c r="O40" s="117" t="s">
        <v>461</v>
      </c>
      <c r="P40" s="117" t="s">
        <v>461</v>
      </c>
      <c r="Q40" s="117" t="s">
        <v>461</v>
      </c>
      <c r="R40" s="117" t="s">
        <v>461</v>
      </c>
      <c r="S40" s="117" t="s">
        <v>461</v>
      </c>
      <c r="T40" s="117" t="s">
        <v>461</v>
      </c>
    </row>
    <row r="41" spans="1:20">
      <c r="A41" s="118">
        <v>46247</v>
      </c>
      <c r="B41">
        <v>0.99285562999999999</v>
      </c>
      <c r="C41" t="str">
        <f>'[2]1090账户投顾组合-数据视图-20260825'!B39</f>
        <v>0.99365888</v>
      </c>
      <c r="G41" s="117" t="s">
        <v>464</v>
      </c>
      <c r="H41" s="117" t="s">
        <v>390</v>
      </c>
      <c r="I41" s="117" t="s">
        <v>390</v>
      </c>
      <c r="J41" s="117" t="s">
        <v>465</v>
      </c>
      <c r="K41" s="117" t="s">
        <v>465</v>
      </c>
      <c r="L41" s="117" t="s">
        <v>390</v>
      </c>
      <c r="M41" s="117" t="s">
        <v>390</v>
      </c>
      <c r="N41" s="117" t="s">
        <v>465</v>
      </c>
      <c r="O41" s="117" t="s">
        <v>465</v>
      </c>
      <c r="P41" s="117" t="s">
        <v>465</v>
      </c>
      <c r="Q41" s="117" t="s">
        <v>465</v>
      </c>
      <c r="R41" s="117" t="s">
        <v>465</v>
      </c>
      <c r="S41" s="117" t="s">
        <v>465</v>
      </c>
      <c r="T41" s="117" t="s">
        <v>465</v>
      </c>
    </row>
    <row r="42" spans="1:20">
      <c r="A42" s="118">
        <v>46248</v>
      </c>
      <c r="B42">
        <v>0.99358009999999997</v>
      </c>
      <c r="C42" t="str">
        <f>'[2]1090账户投顾组合-数据视图-20260825'!B40</f>
        <v>0.99402653</v>
      </c>
      <c r="G42" s="117" t="s">
        <v>466</v>
      </c>
      <c r="H42" s="117" t="s">
        <v>411</v>
      </c>
      <c r="I42" s="117" t="s">
        <v>411</v>
      </c>
      <c r="J42" s="117" t="s">
        <v>390</v>
      </c>
      <c r="K42" s="117" t="s">
        <v>467</v>
      </c>
      <c r="L42" s="117" t="s">
        <v>411</v>
      </c>
      <c r="M42" s="117" t="s">
        <v>411</v>
      </c>
      <c r="N42" s="117" t="s">
        <v>467</v>
      </c>
      <c r="O42" s="117" t="s">
        <v>467</v>
      </c>
      <c r="P42" s="117" t="s">
        <v>467</v>
      </c>
      <c r="Q42" s="117" t="s">
        <v>467</v>
      </c>
      <c r="R42" s="117" t="s">
        <v>467</v>
      </c>
      <c r="S42" s="117" t="s">
        <v>467</v>
      </c>
      <c r="T42" s="117" t="s">
        <v>467</v>
      </c>
    </row>
    <row r="43" spans="1:20">
      <c r="A43" s="118">
        <v>46251</v>
      </c>
      <c r="B43">
        <v>0.99851228000000003</v>
      </c>
      <c r="C43" t="str">
        <f>'[2]1090账户投顾组合-数据视图-20260825'!B41</f>
        <v>0.99886999</v>
      </c>
    </row>
    <row r="44" spans="1:20">
      <c r="A44" s="118">
        <v>46252</v>
      </c>
      <c r="B44">
        <v>0.99936334999999998</v>
      </c>
      <c r="C44" t="str">
        <f>'[2]1090账户投顾组合-数据视图-20260825'!B42</f>
        <v>0.99969241</v>
      </c>
    </row>
    <row r="45" spans="1:20">
      <c r="A45" s="118">
        <v>46253</v>
      </c>
      <c r="B45">
        <v>0.99164843999999996</v>
      </c>
      <c r="C45" t="str">
        <f>'[2]1090账户投顾组合-数据视图-20260825'!B43</f>
        <v>0.99205678</v>
      </c>
    </row>
    <row r="46" spans="1:20">
      <c r="A46" s="118">
        <v>46254</v>
      </c>
      <c r="B46">
        <v>0.99370515000000004</v>
      </c>
      <c r="C46" t="str">
        <f>'[2]1090账户投顾组合-数据视图-20260825'!B44</f>
        <v>0.99394669</v>
      </c>
    </row>
    <row r="47" spans="1:20">
      <c r="A47" s="118">
        <v>46255</v>
      </c>
      <c r="B47">
        <v>0.99494351999999997</v>
      </c>
      <c r="C47" t="str">
        <f>'[2]1090账户投顾组合-数据视图-20260825'!B45</f>
        <v>0.99530294</v>
      </c>
    </row>
    <row r="48" spans="1:20">
      <c r="A48" s="118">
        <v>46258</v>
      </c>
      <c r="B48">
        <v>0.99464253000000002</v>
      </c>
      <c r="C48" t="str">
        <f>'[2]1090账户投顾组合-数据视图-20260825'!B46</f>
        <v>0.99503994</v>
      </c>
    </row>
    <row r="49" spans="1:1">
      <c r="A49" s="118">
        <v>46259</v>
      </c>
    </row>
    <row r="50" spans="1:1">
      <c r="A50" s="118">
        <v>46260</v>
      </c>
    </row>
    <row r="51" spans="1:1">
      <c r="A51" s="118">
        <v>46261</v>
      </c>
    </row>
    <row r="52" spans="1:1">
      <c r="A52" s="118">
        <v>46262</v>
      </c>
    </row>
    <row r="53" spans="1:1">
      <c r="A53" s="118">
        <v>46265</v>
      </c>
    </row>
    <row r="54" spans="1:1">
      <c r="A54" s="118">
        <v>46266</v>
      </c>
    </row>
    <row r="55" spans="1:1">
      <c r="A55" s="118">
        <v>46267</v>
      </c>
    </row>
    <row r="56" spans="1:1">
      <c r="A56" s="118">
        <v>46268</v>
      </c>
    </row>
    <row r="57" spans="1:1">
      <c r="A57" s="118">
        <v>46269</v>
      </c>
    </row>
    <row r="58" spans="1:1">
      <c r="A58" s="118">
        <v>46272</v>
      </c>
    </row>
    <row r="59" spans="1:1">
      <c r="A59" s="118">
        <v>46273</v>
      </c>
    </row>
    <row r="60" spans="1:1">
      <c r="A60" s="118">
        <v>46274</v>
      </c>
    </row>
    <row r="61" spans="1:1">
      <c r="A61" s="118">
        <v>46275</v>
      </c>
    </row>
    <row r="62" spans="1:1">
      <c r="A62" s="118">
        <v>46276</v>
      </c>
    </row>
    <row r="63" spans="1:1">
      <c r="A63" s="118">
        <v>46279</v>
      </c>
    </row>
    <row r="64" spans="1:1">
      <c r="A64" s="118">
        <v>46280</v>
      </c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3"/>
  <sheetViews>
    <sheetView showGridLines="0" workbookViewId="0">
      <selection activeCell="A133" sqref="A133"/>
    </sheetView>
  </sheetViews>
  <sheetFormatPr defaultColWidth="9.453125" defaultRowHeight="12.5"/>
  <cols>
    <col min="1" max="1" width="13.1796875" customWidth="1"/>
  </cols>
  <sheetData>
    <row r="1" spans="1:25" ht="19.5" customHeight="1">
      <c r="A1" s="133" t="s">
        <v>59</v>
      </c>
      <c r="B1" s="133"/>
      <c r="C1" s="133"/>
      <c r="D1" s="133"/>
    </row>
    <row r="2" spans="1:25" ht="14">
      <c r="A2" s="11">
        <f ca="1">TODAY()</f>
        <v>46281</v>
      </c>
    </row>
    <row r="3" spans="1:25" ht="24.75" customHeight="1">
      <c r="A3" s="1" t="s">
        <v>60</v>
      </c>
      <c r="B3" s="12" t="str">
        <f>实盘持仓初始配置!B3</f>
        <v>000216.OF</v>
      </c>
      <c r="C3" s="12" t="str">
        <f>实盘持仓初始配置!C3</f>
        <v>000917.OF</v>
      </c>
      <c r="D3" s="12" t="str">
        <f>实盘持仓初始配置!D3</f>
        <v>001170.OF</v>
      </c>
      <c r="E3" s="12" t="str">
        <f>实盘持仓初始配置!E3</f>
        <v>007044.OF</v>
      </c>
      <c r="F3" s="12" t="str">
        <f>实盘持仓初始配置!F3</f>
        <v>007045.OF</v>
      </c>
      <c r="G3" s="12" t="str">
        <f>实盘持仓初始配置!G3</f>
        <v>007817.OF</v>
      </c>
      <c r="H3" s="12" t="str">
        <f>实盘持仓初始配置!H3</f>
        <v>007818.OF</v>
      </c>
      <c r="I3" s="12" t="str">
        <f>实盘持仓初始配置!I3</f>
        <v>009993.OF</v>
      </c>
      <c r="J3" s="12" t="str">
        <f>实盘持仓初始配置!J3</f>
        <v>013840.OF</v>
      </c>
      <c r="K3" s="12" t="str">
        <f>实盘持仓初始配置!K3</f>
        <v>013841.OF</v>
      </c>
      <c r="L3" s="12" t="str">
        <f>实盘持仓初始配置!L3</f>
        <v>014201.OF</v>
      </c>
      <c r="M3" s="12" t="str">
        <f>实盘持仓初始配置!M3</f>
        <v>014202.OF</v>
      </c>
      <c r="N3" s="12" t="str">
        <f>实盘持仓初始配置!N3</f>
        <v>015453.OF</v>
      </c>
      <c r="O3" s="12" t="str">
        <f>实盘持仓初始配置!O3</f>
        <v>015454.OF</v>
      </c>
      <c r="P3" s="12" t="str">
        <f>实盘持仓初始配置!P3</f>
        <v>016370.OF</v>
      </c>
      <c r="Q3" s="12" t="str">
        <f>实盘持仓初始配置!Q3</f>
        <v>017488.OF</v>
      </c>
      <c r="R3" s="12" t="str">
        <f>实盘持仓初始配置!R3</f>
        <v>017489.OF</v>
      </c>
      <c r="S3" s="12" t="str">
        <f>实盘持仓初始配置!S3</f>
        <v>017612.OF</v>
      </c>
      <c r="T3" s="12" t="str">
        <f>实盘持仓初始配置!T3</f>
        <v>019632.OF</v>
      </c>
      <c r="U3" s="12" t="str">
        <f>实盘持仓初始配置!U3</f>
        <v>019633.OF</v>
      </c>
      <c r="V3" s="12" t="str">
        <f>实盘持仓初始配置!V3</f>
        <v>019923.OF</v>
      </c>
      <c r="W3" s="12" t="str">
        <f>实盘持仓初始配置!W3</f>
        <v>019924.OF</v>
      </c>
      <c r="X3" s="12" t="str">
        <f>实盘持仓初始配置!X3</f>
        <v>161119.OF</v>
      </c>
      <c r="Y3" s="12" t="s">
        <v>61</v>
      </c>
    </row>
    <row r="4" spans="1:25" ht="51.75" customHeight="1">
      <c r="A4" s="1" t="str">
        <f ca="1">[1]!HX_AutoDate(1,"2026-06-18",A2,-1,-1,0,0,0,0,0,"SSE",64,0)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</row>
    <row r="5" spans="1:25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</row>
    <row r="6" spans="1:25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</row>
    <row r="7" spans="1:25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</row>
    <row r="8" spans="1:25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</row>
    <row r="9" spans="1:25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</row>
    <row r="10" spans="1:25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</row>
    <row r="11" spans="1:25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</row>
    <row r="12" spans="1:25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</row>
    <row r="13" spans="1:25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</row>
    <row r="14" spans="1:25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</row>
    <row r="15" spans="1:25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</row>
    <row r="16" spans="1:25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</row>
    <row r="17" spans="1:25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</row>
    <row r="18" spans="1:25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</row>
    <row r="19" spans="1:25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</row>
    <row r="20" spans="1:25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</row>
    <row r="21" spans="1:25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</row>
    <row r="22" spans="1:25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</row>
    <row r="23" spans="1:25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</row>
    <row r="24" spans="1:25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</row>
    <row r="25" spans="1:25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</row>
    <row r="26" spans="1:25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</row>
    <row r="27" spans="1:25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</row>
    <row r="28" spans="1:25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</row>
    <row r="29" spans="1:25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</row>
    <row r="30" spans="1:25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</row>
    <row r="31" spans="1:25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</row>
    <row r="32" spans="1:25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</row>
    <row r="33" spans="1:25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</row>
    <row r="34" spans="1:25">
      <c r="A34" s="8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</row>
    <row r="35" spans="1:25">
      <c r="A35" s="8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</row>
    <row r="36" spans="1:25">
      <c r="A36" s="8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</row>
    <row r="37" spans="1:25">
      <c r="A37" s="8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</row>
    <row r="38" spans="1:25">
      <c r="A38" s="8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</row>
    <row r="39" spans="1:25">
      <c r="A39" s="8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</row>
    <row r="40" spans="1:25">
      <c r="A40" s="8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</row>
    <row r="41" spans="1:25">
      <c r="A41" s="8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</row>
    <row r="42" spans="1:25">
      <c r="A42" s="8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</row>
    <row r="43" spans="1:25">
      <c r="A43" s="8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</row>
    <row r="44" spans="1:25">
      <c r="A44" s="8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</row>
    <row r="45" spans="1:25">
      <c r="A45" s="8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</row>
    <row r="46" spans="1:25">
      <c r="A46" s="8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</row>
    <row r="47" spans="1:25">
      <c r="A47" s="8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</row>
    <row r="48" spans="1:25">
      <c r="A48" s="8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</row>
    <row r="49" spans="1:25">
      <c r="A49" s="8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</row>
    <row r="50" spans="1:25">
      <c r="A50" s="8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</row>
    <row r="51" spans="1:25">
      <c r="A51" s="8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</row>
    <row r="52" spans="1:25">
      <c r="A52" s="8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</row>
    <row r="53" spans="1:25">
      <c r="A53" s="8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</row>
    <row r="54" spans="1:25">
      <c r="A54" s="8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</row>
    <row r="55" spans="1:25">
      <c r="A55" s="8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</row>
    <row r="56" spans="1:25">
      <c r="A56" s="8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</row>
    <row r="57" spans="1:25">
      <c r="A57" s="8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</row>
    <row r="58" spans="1:25">
      <c r="A58" s="8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</row>
    <row r="59" spans="1:25">
      <c r="A59" s="8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</row>
    <row r="60" spans="1:25">
      <c r="A60" s="8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</row>
    <row r="61" spans="1:25">
      <c r="A61" s="8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</row>
    <row r="62" spans="1:25">
      <c r="A62" s="8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</row>
    <row r="63" spans="1:25">
      <c r="A63" s="8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</row>
    <row r="64" spans="1:25">
      <c r="A64" s="8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</row>
    <row r="65" spans="1:25">
      <c r="A65" s="8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</row>
    <row r="66" spans="1:25">
      <c r="A66" s="8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</row>
    <row r="67" spans="1:25">
      <c r="A67" s="8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</row>
    <row r="68" spans="1:25">
      <c r="A68" s="8">
        <v>46281</v>
      </c>
      <c r="B68" s="13">
        <f>IF($A68="","",[1]!thsiFinD("ths_adjustment_nv_fund",B$3,$A68))</f>
        <v>3.2103000000000002</v>
      </c>
      <c r="C68" s="13">
        <f>IF($A68="","",[1]!thsiFinD("ths_adjustment_nv_fund",C$3,$A68))</f>
        <v>1.3212497268000001</v>
      </c>
      <c r="D68" s="13">
        <f>IF($A68="","",[1]!thsiFinD("ths_adjustment_nv_fund",D$3,$A68))</f>
        <v>4.4770000000000003</v>
      </c>
      <c r="E68" s="13">
        <f>IF($A68="","",[1]!thsiFinD("ths_adjustment_nv_fund",E$3,$A68))</f>
        <v>1.8591</v>
      </c>
      <c r="F68" s="13">
        <f>IF($A68="","",[1]!thsiFinD("ths_adjustment_nv_fund",F$3,$A68))</f>
        <v>1.8050999999999999</v>
      </c>
      <c r="G68" s="13">
        <f>IF($A68="","",[1]!thsiFinD("ths_adjustment_nv_fund",G$3,$A68))</f>
        <v>3.7189999999999999</v>
      </c>
      <c r="H68" s="13">
        <f>IF($A68="","",[1]!thsiFinD("ths_adjustment_nv_fund",H$3,$A68))</f>
        <v>3.6379000000000001</v>
      </c>
      <c r="I68" s="13">
        <f>IF($A68="","",[1]!thsiFinD("ths_adjustment_nv_fund",I$3,$A68))</f>
        <v>2.2629999999999999</v>
      </c>
      <c r="J68" s="13">
        <f>IF($A68="","",[1]!thsiFinD("ths_adjustment_nv_fund",J$3,$A68))</f>
        <v>2.9068999999999998</v>
      </c>
      <c r="K68" s="13">
        <f>IF($A68="","",[1]!thsiFinD("ths_adjustment_nv_fund",K$3,$A68))</f>
        <v>2.8793000000000002</v>
      </c>
      <c r="L68" s="13">
        <f>IF($A68="","",[1]!thsiFinD("ths_adjustment_nv_fund",L$3,$A68))</f>
        <v>1.4976</v>
      </c>
      <c r="M68" s="13">
        <f>IF($A68="","",[1]!thsiFinD("ths_adjustment_nv_fund",M$3,$A68))</f>
        <v>1.4766999999999999</v>
      </c>
      <c r="N68" s="13">
        <f>IF($A68="","",[1]!thsiFinD("ths_adjustment_nv_fund",N$3,$A68))</f>
        <v>1.4816</v>
      </c>
      <c r="O68" s="13">
        <f>IF($A68="","",[1]!thsiFinD("ths_adjustment_nv_fund",O$3,$A68))</f>
        <v>1.4435</v>
      </c>
      <c r="P68" s="13">
        <f>IF($A68="","",[1]!thsiFinD("ths_adjustment_nv_fund",P$3,$A68))</f>
        <v>2.8351000000000002</v>
      </c>
      <c r="Q68" s="13">
        <f>IF($A68="","",[1]!thsiFinD("ths_adjustment_nv_fund",Q$3,$A68))</f>
        <v>3.4377</v>
      </c>
      <c r="R68" s="13">
        <f>IF($A68="","",[1]!thsiFinD("ths_adjustment_nv_fund",R$3,$A68))</f>
        <v>3.3620999999999999</v>
      </c>
      <c r="S68" s="13">
        <f>IF($A68="","",[1]!thsiFinD("ths_adjustment_nv_fund",S$3,$A68))</f>
        <v>4.4279999999999999</v>
      </c>
      <c r="T68" s="13">
        <f>IF($A68="","",[1]!thsiFinD("ths_adjustment_nv_fund",T$3,$A68))</f>
        <v>2.6859999999999999</v>
      </c>
      <c r="U68" s="13">
        <f>IF($A68="","",[1]!thsiFinD("ths_adjustment_nv_fund",U$3,$A68))</f>
        <v>2.6709000000000001</v>
      </c>
      <c r="V68" s="13">
        <f>IF($A68="","",[1]!thsiFinD("ths_adjustment_nv_fund",V$3,$A68))</f>
        <v>1.8773</v>
      </c>
      <c r="W68" s="13">
        <f>IF($A68="","",[1]!thsiFinD("ths_adjustment_nv_fund",W$3,$A68))</f>
        <v>1.8574999999999999</v>
      </c>
      <c r="X68" s="13">
        <f>IF($A68="","",[1]!thsiFinD("ths_adjustment_nv_fund",X$3,$A68))</f>
        <v>1.8031999999999999</v>
      </c>
      <c r="Y68" s="13">
        <f>IF($A68="","",[1]!thsiFinD("ths_adjustment_nv_fund",Y$3,$A68))</f>
        <v>2.3130000000000002</v>
      </c>
    </row>
    <row r="69" spans="1:25">
      <c r="A69" s="8"/>
      <c r="B69" s="13" t="str">
        <f>IF($A69="","",[1]!thsiFinD("ths_adjustment_nv_fund",B$3,$A69))</f>
        <v/>
      </c>
      <c r="C69" s="13" t="str">
        <f>IF($A69="","",[1]!thsiFinD("ths_adjustment_nv_fund",C$3,$A69))</f>
        <v/>
      </c>
      <c r="D69" s="13" t="str">
        <f>IF($A69="","",[1]!thsiFinD("ths_adjustment_nv_fund",D$3,$A69))</f>
        <v/>
      </c>
      <c r="E69" s="13" t="str">
        <f>IF($A69="","",[1]!thsiFinD("ths_adjustment_nv_fund",E$3,$A69))</f>
        <v/>
      </c>
      <c r="F69" s="13" t="str">
        <f>IF($A69="","",[1]!thsiFinD("ths_adjustment_nv_fund",F$3,$A69))</f>
        <v/>
      </c>
      <c r="G69" s="13" t="str">
        <f>IF($A69="","",[1]!thsiFinD("ths_adjustment_nv_fund",G$3,$A69))</f>
        <v/>
      </c>
      <c r="H69" s="13" t="str">
        <f>IF($A69="","",[1]!thsiFinD("ths_adjustment_nv_fund",H$3,$A69))</f>
        <v/>
      </c>
      <c r="I69" s="13" t="str">
        <f>IF($A69="","",[1]!thsiFinD("ths_adjustment_nv_fund",I$3,$A69))</f>
        <v/>
      </c>
      <c r="J69" s="13" t="str">
        <f>IF($A69="","",[1]!thsiFinD("ths_adjustment_nv_fund",J$3,$A69))</f>
        <v/>
      </c>
      <c r="K69" s="13" t="str">
        <f>IF($A69="","",[1]!thsiFinD("ths_adjustment_nv_fund",K$3,$A69))</f>
        <v/>
      </c>
      <c r="L69" s="13" t="str">
        <f>IF($A69="","",[1]!thsiFinD("ths_adjustment_nv_fund",L$3,$A69))</f>
        <v/>
      </c>
      <c r="M69" s="13" t="str">
        <f>IF($A69="","",[1]!thsiFinD("ths_adjustment_nv_fund",M$3,$A69))</f>
        <v/>
      </c>
      <c r="N69" s="13" t="str">
        <f>IF($A69="","",[1]!thsiFinD("ths_adjustment_nv_fund",N$3,$A69))</f>
        <v/>
      </c>
      <c r="O69" s="13" t="str">
        <f>IF($A69="","",[1]!thsiFinD("ths_adjustment_nv_fund",O$3,$A69))</f>
        <v/>
      </c>
      <c r="P69" s="13" t="str">
        <f>IF($A69="","",[1]!thsiFinD("ths_adjustment_nv_fund",P$3,$A69))</f>
        <v/>
      </c>
      <c r="Q69" s="13" t="str">
        <f>IF($A69="","",[1]!thsiFinD("ths_adjustment_nv_fund",Q$3,$A69))</f>
        <v/>
      </c>
      <c r="R69" s="13" t="str">
        <f>IF($A69="","",[1]!thsiFinD("ths_adjustment_nv_fund",R$3,$A69))</f>
        <v/>
      </c>
      <c r="S69" s="13" t="str">
        <f>IF($A69="","",[1]!thsiFinD("ths_adjustment_nv_fund",S$3,$A69))</f>
        <v/>
      </c>
      <c r="T69" s="13" t="str">
        <f>IF($A69="","",[1]!thsiFinD("ths_adjustment_nv_fund",T$3,$A69))</f>
        <v/>
      </c>
      <c r="U69" s="13" t="str">
        <f>IF($A69="","",[1]!thsiFinD("ths_adjustment_nv_fund",U$3,$A69))</f>
        <v/>
      </c>
      <c r="V69" s="13" t="str">
        <f>IF($A69="","",[1]!thsiFinD("ths_adjustment_nv_fund",V$3,$A69))</f>
        <v/>
      </c>
      <c r="W69" s="13" t="str">
        <f>IF($A69="","",[1]!thsiFinD("ths_adjustment_nv_fund",W$3,$A69))</f>
        <v/>
      </c>
      <c r="X69" s="13" t="str">
        <f>IF($A69="","",[1]!thsiFinD("ths_adjustment_nv_fund",X$3,$A69))</f>
        <v/>
      </c>
      <c r="Y69" s="13" t="str">
        <f>IF($A69="","",[1]!thsiFinD("ths_adjustment_nv_fund",Y$3,$A69))</f>
        <v/>
      </c>
    </row>
    <row r="70" spans="1:25">
      <c r="A70" s="8"/>
      <c r="B70" s="13" t="str">
        <f>IF($A70="","",[1]!thsiFinD("ths_adjustment_nv_fund",B$3,$A70))</f>
        <v/>
      </c>
      <c r="C70" s="13" t="str">
        <f>IF($A70="","",[1]!thsiFinD("ths_adjustment_nv_fund",C$3,$A70))</f>
        <v/>
      </c>
      <c r="D70" s="13" t="str">
        <f>IF($A70="","",[1]!thsiFinD("ths_adjustment_nv_fund",D$3,$A70))</f>
        <v/>
      </c>
      <c r="E70" s="13" t="str">
        <f>IF($A70="","",[1]!thsiFinD("ths_adjustment_nv_fund",E$3,$A70))</f>
        <v/>
      </c>
      <c r="F70" s="13" t="str">
        <f>IF($A70="","",[1]!thsiFinD("ths_adjustment_nv_fund",F$3,$A70))</f>
        <v/>
      </c>
      <c r="G70" s="13" t="str">
        <f>IF($A70="","",[1]!thsiFinD("ths_adjustment_nv_fund",G$3,$A70))</f>
        <v/>
      </c>
      <c r="H70" s="13" t="str">
        <f>IF($A70="","",[1]!thsiFinD("ths_adjustment_nv_fund",H$3,$A70))</f>
        <v/>
      </c>
      <c r="I70" s="13" t="str">
        <f>IF($A70="","",[1]!thsiFinD("ths_adjustment_nv_fund",I$3,$A70))</f>
        <v/>
      </c>
      <c r="J70" s="13" t="str">
        <f>IF($A70="","",[1]!thsiFinD("ths_adjustment_nv_fund",J$3,$A70))</f>
        <v/>
      </c>
      <c r="K70" s="13" t="str">
        <f>IF($A70="","",[1]!thsiFinD("ths_adjustment_nv_fund",K$3,$A70))</f>
        <v/>
      </c>
      <c r="L70" s="13" t="str">
        <f>IF($A70="","",[1]!thsiFinD("ths_adjustment_nv_fund",L$3,$A70))</f>
        <v/>
      </c>
      <c r="M70" s="13" t="str">
        <f>IF($A70="","",[1]!thsiFinD("ths_adjustment_nv_fund",M$3,$A70))</f>
        <v/>
      </c>
      <c r="N70" s="13" t="str">
        <f>IF($A70="","",[1]!thsiFinD("ths_adjustment_nv_fund",N$3,$A70))</f>
        <v/>
      </c>
      <c r="O70" s="13" t="str">
        <f>IF($A70="","",[1]!thsiFinD("ths_adjustment_nv_fund",O$3,$A70))</f>
        <v/>
      </c>
      <c r="P70" s="13" t="str">
        <f>IF($A70="","",[1]!thsiFinD("ths_adjustment_nv_fund",P$3,$A70))</f>
        <v/>
      </c>
      <c r="Q70" s="13" t="str">
        <f>IF($A70="","",[1]!thsiFinD("ths_adjustment_nv_fund",Q$3,$A70))</f>
        <v/>
      </c>
      <c r="R70" s="13" t="str">
        <f>IF($A70="","",[1]!thsiFinD("ths_adjustment_nv_fund",R$3,$A70))</f>
        <v/>
      </c>
      <c r="S70" s="13" t="str">
        <f>IF($A70="","",[1]!thsiFinD("ths_adjustment_nv_fund",S$3,$A70))</f>
        <v/>
      </c>
      <c r="T70" s="13" t="str">
        <f>IF($A70="","",[1]!thsiFinD("ths_adjustment_nv_fund",T$3,$A70))</f>
        <v/>
      </c>
      <c r="U70" s="13" t="str">
        <f>IF($A70="","",[1]!thsiFinD("ths_adjustment_nv_fund",U$3,$A70))</f>
        <v/>
      </c>
      <c r="V70" s="13" t="str">
        <f>IF($A70="","",[1]!thsiFinD("ths_adjustment_nv_fund",V$3,$A70))</f>
        <v/>
      </c>
      <c r="W70" s="13" t="str">
        <f>IF($A70="","",[1]!thsiFinD("ths_adjustment_nv_fund",W$3,$A70))</f>
        <v/>
      </c>
      <c r="X70" s="13" t="str">
        <f>IF($A70="","",[1]!thsiFinD("ths_adjustment_nv_fund",X$3,$A70))</f>
        <v/>
      </c>
      <c r="Y70" s="13" t="str">
        <f>IF($A70="","",[1]!thsiFinD("ths_adjustment_nv_fund",Y$3,$A70))</f>
        <v/>
      </c>
    </row>
    <row r="71" spans="1:25">
      <c r="A71" s="8"/>
      <c r="B71" s="13" t="str">
        <f>IF($A71="","",[1]!thsiFinD("ths_adjustment_nv_fund",B$3,$A71))</f>
        <v/>
      </c>
      <c r="C71" s="13" t="str">
        <f>IF($A71="","",[1]!thsiFinD("ths_adjustment_nv_fund",C$3,$A71))</f>
        <v/>
      </c>
      <c r="D71" s="13" t="str">
        <f>IF($A71="","",[1]!thsiFinD("ths_adjustment_nv_fund",D$3,$A71))</f>
        <v/>
      </c>
      <c r="E71" s="13" t="str">
        <f>IF($A71="","",[1]!thsiFinD("ths_adjustment_nv_fund",E$3,$A71))</f>
        <v/>
      </c>
      <c r="F71" s="13" t="str">
        <f>IF($A71="","",[1]!thsiFinD("ths_adjustment_nv_fund",F$3,$A71))</f>
        <v/>
      </c>
      <c r="G71" s="13" t="str">
        <f>IF($A71="","",[1]!thsiFinD("ths_adjustment_nv_fund",G$3,$A71))</f>
        <v/>
      </c>
      <c r="H71" s="13" t="str">
        <f>IF($A71="","",[1]!thsiFinD("ths_adjustment_nv_fund",H$3,$A71))</f>
        <v/>
      </c>
      <c r="I71" s="13" t="str">
        <f>IF($A71="","",[1]!thsiFinD("ths_adjustment_nv_fund",I$3,$A71))</f>
        <v/>
      </c>
      <c r="J71" s="13" t="str">
        <f>IF($A71="","",[1]!thsiFinD("ths_adjustment_nv_fund",J$3,$A71))</f>
        <v/>
      </c>
      <c r="K71" s="13" t="str">
        <f>IF($A71="","",[1]!thsiFinD("ths_adjustment_nv_fund",K$3,$A71))</f>
        <v/>
      </c>
      <c r="L71" s="13" t="str">
        <f>IF($A71="","",[1]!thsiFinD("ths_adjustment_nv_fund",L$3,$A71))</f>
        <v/>
      </c>
      <c r="M71" s="13" t="str">
        <f>IF($A71="","",[1]!thsiFinD("ths_adjustment_nv_fund",M$3,$A71))</f>
        <v/>
      </c>
      <c r="N71" s="13" t="str">
        <f>IF($A71="","",[1]!thsiFinD("ths_adjustment_nv_fund",N$3,$A71))</f>
        <v/>
      </c>
      <c r="O71" s="13" t="str">
        <f>IF($A71="","",[1]!thsiFinD("ths_adjustment_nv_fund",O$3,$A71))</f>
        <v/>
      </c>
      <c r="P71" s="13" t="str">
        <f>IF($A71="","",[1]!thsiFinD("ths_adjustment_nv_fund",P$3,$A71))</f>
        <v/>
      </c>
      <c r="Q71" s="13" t="str">
        <f>IF($A71="","",[1]!thsiFinD("ths_adjustment_nv_fund",Q$3,$A71))</f>
        <v/>
      </c>
      <c r="R71" s="13" t="str">
        <f>IF($A71="","",[1]!thsiFinD("ths_adjustment_nv_fund",R$3,$A71))</f>
        <v/>
      </c>
      <c r="S71" s="13" t="str">
        <f>IF($A71="","",[1]!thsiFinD("ths_adjustment_nv_fund",S$3,$A71))</f>
        <v/>
      </c>
      <c r="T71" s="13" t="str">
        <f>IF($A71="","",[1]!thsiFinD("ths_adjustment_nv_fund",T$3,$A71))</f>
        <v/>
      </c>
      <c r="U71" s="13" t="str">
        <f>IF($A71="","",[1]!thsiFinD("ths_adjustment_nv_fund",U$3,$A71))</f>
        <v/>
      </c>
      <c r="V71" s="13" t="str">
        <f>IF($A71="","",[1]!thsiFinD("ths_adjustment_nv_fund",V$3,$A71))</f>
        <v/>
      </c>
      <c r="W71" s="13" t="str">
        <f>IF($A71="","",[1]!thsiFinD("ths_adjustment_nv_fund",W$3,$A71))</f>
        <v/>
      </c>
      <c r="X71" s="13" t="str">
        <f>IF($A71="","",[1]!thsiFinD("ths_adjustment_nv_fund",X$3,$A71))</f>
        <v/>
      </c>
      <c r="Y71" s="13" t="str">
        <f>IF($A71="","",[1]!thsiFinD("ths_adjustment_nv_fund",Y$3,$A71))</f>
        <v/>
      </c>
    </row>
    <row r="72" spans="1:25">
      <c r="A72" s="8"/>
      <c r="B72" s="13" t="str">
        <f>IF($A72="","",[1]!thsiFinD("ths_adjustment_nv_fund",B$3,$A72))</f>
        <v/>
      </c>
      <c r="C72" s="13" t="str">
        <f>IF($A72="","",[1]!thsiFinD("ths_adjustment_nv_fund",C$3,$A72))</f>
        <v/>
      </c>
      <c r="D72" s="13" t="str">
        <f>IF($A72="","",[1]!thsiFinD("ths_adjustment_nv_fund",D$3,$A72))</f>
        <v/>
      </c>
      <c r="E72" s="13" t="str">
        <f>IF($A72="","",[1]!thsiFinD("ths_adjustment_nv_fund",E$3,$A72))</f>
        <v/>
      </c>
      <c r="F72" s="13" t="str">
        <f>IF($A72="","",[1]!thsiFinD("ths_adjustment_nv_fund",F$3,$A72))</f>
        <v/>
      </c>
      <c r="G72" s="13" t="str">
        <f>IF($A72="","",[1]!thsiFinD("ths_adjustment_nv_fund",G$3,$A72))</f>
        <v/>
      </c>
      <c r="H72" s="13" t="str">
        <f>IF($A72="","",[1]!thsiFinD("ths_adjustment_nv_fund",H$3,$A72))</f>
        <v/>
      </c>
      <c r="I72" s="13" t="str">
        <f>IF($A72="","",[1]!thsiFinD("ths_adjustment_nv_fund",I$3,$A72))</f>
        <v/>
      </c>
      <c r="J72" s="13" t="str">
        <f>IF($A72="","",[1]!thsiFinD("ths_adjustment_nv_fund",J$3,$A72))</f>
        <v/>
      </c>
      <c r="K72" s="13" t="str">
        <f>IF($A72="","",[1]!thsiFinD("ths_adjustment_nv_fund",K$3,$A72))</f>
        <v/>
      </c>
      <c r="L72" s="13" t="str">
        <f>IF($A72="","",[1]!thsiFinD("ths_adjustment_nv_fund",L$3,$A72))</f>
        <v/>
      </c>
      <c r="M72" s="13" t="str">
        <f>IF($A72="","",[1]!thsiFinD("ths_adjustment_nv_fund",M$3,$A72))</f>
        <v/>
      </c>
      <c r="N72" s="13" t="str">
        <f>IF($A72="","",[1]!thsiFinD("ths_adjustment_nv_fund",N$3,$A72))</f>
        <v/>
      </c>
      <c r="O72" s="13" t="str">
        <f>IF($A72="","",[1]!thsiFinD("ths_adjustment_nv_fund",O$3,$A72))</f>
        <v/>
      </c>
      <c r="P72" s="13" t="str">
        <f>IF($A72="","",[1]!thsiFinD("ths_adjustment_nv_fund",P$3,$A72))</f>
        <v/>
      </c>
      <c r="Q72" s="13" t="str">
        <f>IF($A72="","",[1]!thsiFinD("ths_adjustment_nv_fund",Q$3,$A72))</f>
        <v/>
      </c>
      <c r="R72" s="13" t="str">
        <f>IF($A72="","",[1]!thsiFinD("ths_adjustment_nv_fund",R$3,$A72))</f>
        <v/>
      </c>
      <c r="S72" s="13" t="str">
        <f>IF($A72="","",[1]!thsiFinD("ths_adjustment_nv_fund",S$3,$A72))</f>
        <v/>
      </c>
      <c r="T72" s="13" t="str">
        <f>IF($A72="","",[1]!thsiFinD("ths_adjustment_nv_fund",T$3,$A72))</f>
        <v/>
      </c>
      <c r="U72" s="13" t="str">
        <f>IF($A72="","",[1]!thsiFinD("ths_adjustment_nv_fund",U$3,$A72))</f>
        <v/>
      </c>
      <c r="V72" s="13" t="str">
        <f>IF($A72="","",[1]!thsiFinD("ths_adjustment_nv_fund",V$3,$A72))</f>
        <v/>
      </c>
      <c r="W72" s="13" t="str">
        <f>IF($A72="","",[1]!thsiFinD("ths_adjustment_nv_fund",W$3,$A72))</f>
        <v/>
      </c>
      <c r="X72" s="13" t="str">
        <f>IF($A72="","",[1]!thsiFinD("ths_adjustment_nv_fund",X$3,$A72))</f>
        <v/>
      </c>
      <c r="Y72" s="13" t="str">
        <f>IF($A72="","",[1]!thsiFinD("ths_adjustment_nv_fund",Y$3,$A72))</f>
        <v/>
      </c>
    </row>
    <row r="73" spans="1:25">
      <c r="A73" s="8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</row>
    <row r="74" spans="1:25">
      <c r="A74" s="8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</row>
    <row r="75" spans="1:25">
      <c r="A75" s="8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</row>
    <row r="76" spans="1:25">
      <c r="A76" s="8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</row>
    <row r="77" spans="1:25">
      <c r="A77" s="8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</row>
    <row r="78" spans="1:25">
      <c r="A78" s="8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</row>
    <row r="79" spans="1:25">
      <c r="A79" s="8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</row>
    <row r="80" spans="1:25">
      <c r="A80" s="8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</row>
    <row r="81" spans="1:25">
      <c r="A81" s="8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</row>
    <row r="82" spans="1:25">
      <c r="A82" s="8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</row>
    <row r="83" spans="1:25">
      <c r="A83" s="8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</row>
    <row r="84" spans="1:25">
      <c r="A84" s="8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</row>
    <row r="85" spans="1:25">
      <c r="A85" s="8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</row>
    <row r="86" spans="1:25">
      <c r="A86" s="8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</row>
    <row r="87" spans="1:25">
      <c r="A87" s="8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</row>
    <row r="88" spans="1:25">
      <c r="A88" s="8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</row>
    <row r="89" spans="1:25">
      <c r="A89" s="8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</row>
    <row r="90" spans="1:25">
      <c r="A90" s="8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</row>
    <row r="91" spans="1:25">
      <c r="A91" s="8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</row>
    <row r="92" spans="1:25">
      <c r="A92" s="8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</row>
    <row r="93" spans="1:25">
      <c r="A93" s="8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</row>
    <row r="94" spans="1:25">
      <c r="A94" s="8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</row>
    <row r="95" spans="1:25">
      <c r="A95" s="8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</row>
    <row r="96" spans="1:25">
      <c r="A96" s="8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</row>
    <row r="97" spans="1:25">
      <c r="A97" s="8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</row>
    <row r="98" spans="1:25">
      <c r="A98" s="8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</row>
    <row r="99" spans="1:25">
      <c r="A99" s="8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</row>
    <row r="100" spans="1:25">
      <c r="A100" s="8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</row>
    <row r="101" spans="1:25">
      <c r="A101" s="8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</row>
    <row r="102" spans="1:25">
      <c r="A102" s="8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</row>
    <row r="103" spans="1:25">
      <c r="A103" s="8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</row>
    <row r="104" spans="1:25">
      <c r="A104" s="8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</row>
    <row r="105" spans="1:25">
      <c r="A105" s="8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</row>
    <row r="106" spans="1:25">
      <c r="A106" s="8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</row>
    <row r="107" spans="1:25">
      <c r="A107" s="8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</row>
    <row r="108" spans="1:25">
      <c r="A108" s="8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</row>
    <row r="109" spans="1:25">
      <c r="A109" s="8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</row>
    <row r="110" spans="1:25">
      <c r="A110" s="8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</row>
    <row r="111" spans="1:25">
      <c r="A111" s="8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</row>
    <row r="112" spans="1:25">
      <c r="A112" s="8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</row>
    <row r="113" spans="1:25">
      <c r="A113" s="8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</row>
    <row r="114" spans="1:25">
      <c r="A114" s="8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</row>
    <row r="115" spans="1:25">
      <c r="A115" s="8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</row>
    <row r="116" spans="1:25">
      <c r="A116" s="8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</row>
    <row r="117" spans="1:25">
      <c r="A117" s="8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</row>
    <row r="118" spans="1:25">
      <c r="A118" s="8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</row>
    <row r="119" spans="1:25">
      <c r="A119" s="8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</row>
    <row r="120" spans="1:25">
      <c r="A120" s="8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</row>
    <row r="121" spans="1:25">
      <c r="A121" s="8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</row>
    <row r="122" spans="1:25">
      <c r="A122" s="8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</row>
    <row r="123" spans="1:25">
      <c r="A123" s="8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</row>
    <row r="124" spans="1:25">
      <c r="A124" s="8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</row>
    <row r="125" spans="1:25">
      <c r="A125" s="8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</row>
    <row r="126" spans="1:25">
      <c r="A126" s="8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</row>
    <row r="127" spans="1:25">
      <c r="A127" s="8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</row>
    <row r="128" spans="1:25">
      <c r="A128" s="8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</row>
    <row r="129" spans="1:25">
      <c r="A129" s="8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</row>
    <row r="130" spans="1:25">
      <c r="A130" s="8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</row>
    <row r="131" spans="1:25">
      <c r="A131" s="8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</row>
    <row r="132" spans="1:25">
      <c r="A132" s="8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</row>
    <row r="133" spans="1:25">
      <c r="A133" s="8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</row>
  </sheetData>
  <mergeCells count="1">
    <mergeCell ref="A1:D1"/>
  </mergeCells>
  <phoneticPr fontId="3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workbookViewId="0">
      <pane ySplit="4" topLeftCell="A38" activePane="bottomLeft" state="frozen"/>
      <selection pane="bottomLeft" activeCell="A56" sqref="A56"/>
    </sheetView>
  </sheetViews>
  <sheetFormatPr defaultColWidth="9.453125" defaultRowHeight="12.5"/>
  <cols>
    <col min="1" max="1" width="13.1796875" customWidth="1"/>
    <col min="22" max="22" width="14.81640625" customWidth="1"/>
  </cols>
  <sheetData>
    <row r="1" spans="1:22" ht="18.75" customHeight="1">
      <c r="A1" s="134" t="s">
        <v>63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22" ht="13.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</row>
    <row r="5" spans="1:22" ht="14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初始配置!$B$4:$X$4,'实盘净值数据(iFinD公式)'!$B5:$X5/'实盘净值数据(iFinD公式)'!$B$6:$X$6)*(1-实盘持仓初始配置!$Z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初始配置!$B$6:$X$6,'实盘净值数据(iFinD公式)'!$B5:$X5/'实盘净值数据(iFinD公式)'!$B$7:$X$7)*(1-实盘持仓初始配置!$Z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初始配置!$B$7:$X$7,'实盘净值数据(iFinD公式)'!$B5:$X5/'实盘净值数据(iFinD公式)'!$B$8:$X$8)*(1-实盘持仓初始配置!$Z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初始配置!$B$9:$X$9,'实盘净值数据(iFinD公式)'!$B5:$X5/'实盘净值数据(iFinD公式)'!$B$8:$X$8)*(1-实盘持仓初始配置!$Z$9)^(('实盘净值数据(iFinD公式)'!$A5-'实盘净值数据(iFinD公式)'!$A$8)/365))</f>
        <v/>
      </c>
      <c r="R5" s="16"/>
      <c r="S5" s="16" t="str">
        <f>IF(Q5="","",Q5/MAX(Q$5:Q5)-1)</f>
        <v/>
      </c>
      <c r="U5" s="17"/>
    </row>
    <row r="6" spans="1:22" ht="14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初始配置!$B$4:$X$4,'实盘净值数据(iFinD公式)'!$B5:$X5/'实盘净值数据(iFinD公式)'!$B$6:$X$6,'实盘净值数据(iFinD公式)'!$B6:$X6/'实盘净值数据(iFinD公式)'!$B5:$X5)/SUMPRODUCT(实盘持仓初始配置!$B$4:$X$4,'实盘净值数据(iFinD公式)'!$B5:$X5/'实盘净值数据(iFinD公式)'!$B$6:$X$6))*(1-实盘持仓初始配置!$Z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初始配置!$B$5:$X$5,'实盘净值数据(iFinD公式)'!$B6:$X6/'实盘净值数据(iFinD公式)'!$B$5:$X$5)*(1-实盘持仓初始配置!$Z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初始配置!$B$5:$X$5,'实盘净值数据(iFinD公式)'!$B5:$X5/'实盘净值数据(iFinD公式)'!$B$5:$X$5,'实盘净值数据(iFinD公式)'!$B6:$X6/'实盘净值数据(iFinD公式)'!$B5:$X5)/SUMPRODUCT(实盘持仓初始配置!$B$5:$X$5,'实盘净值数据(iFinD公式)'!$B5:$X5/'实盘净值数据(iFinD公式)'!$B$5:$X$5))*(1-实盘持仓初始配置!$Z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初始配置!$B$6:$X$6,'实盘净值数据(iFinD公式)'!$B6:$X6/'实盘净值数据(iFinD公式)'!$B$7:$X$7)*(1-实盘持仓初始配置!$Z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初始配置!$B$6:$X$6,'实盘净值数据(iFinD公式)'!$B5:$X5/'实盘净值数据(iFinD公式)'!$B$7:$X$7,'实盘净值数据(iFinD公式)'!$B6:$X6/'实盘净值数据(iFinD公式)'!$B5:$X5)/SUMPRODUCT(实盘持仓初始配置!$B$6:$X$6,'实盘净值数据(iFinD公式)'!$B5:$X5/'实盘净值数据(iFinD公式)'!$B$7:$X$7))*(1-实盘持仓初始配置!$Z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初始配置!$B$7:$X$7,'实盘净值数据(iFinD公式)'!$B6:$X6/'实盘净值数据(iFinD公式)'!$B$8:$X$8)*(1-实盘持仓初始配置!$Z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初始配置!$B$7:$X$7,'实盘净值数据(iFinD公式)'!$B5:$X5/'实盘净值数据(iFinD公式)'!$B$8:$X$8,'实盘净值数据(iFinD公式)'!$B6:$X6/'实盘净值数据(iFinD公式)'!$B5:$X5)/SUMPRODUCT(实盘持仓初始配置!$B$7:$X$7,'实盘净值数据(iFinD公式)'!$B5:$X5/'实盘净值数据(iFinD公式)'!$B$8:$X$8))*(1-实盘持仓初始配置!$Z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初始配置!$B$8:$X$8,'实盘净值数据(iFinD公式)'!$B6:$X6/'实盘净值数据(iFinD公式)'!$B$5:$X$5)*(1-实盘持仓初始配置!$Z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初始配置!$B$8:$X$8,'实盘净值数据(iFinD公式)'!$B5:$X5/'实盘净值数据(iFinD公式)'!$B$5:$X$5,'实盘净值数据(iFinD公式)'!$B6:$X6/'实盘净值数据(iFinD公式)'!$B5:$X5)/SUMPRODUCT(实盘持仓初始配置!$B$8:$X$8,'实盘净值数据(iFinD公式)'!$B5:$X5/'实盘净值数据(iFinD公式)'!$B$5:$X$5))*(1-实盘持仓初始配置!$Z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初始配置!$B$9:$X$9,'实盘净值数据(iFinD公式)'!$B6:$X6/'实盘净值数据(iFinD公式)'!$B$8:$X$8)*(1-实盘持仓初始配置!$Z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初始配置!$B$9:$X$9,'实盘净值数据(iFinD公式)'!$B5:$X5/'实盘净值数据(iFinD公式)'!$B$8:$X$8,'实盘净值数据(iFinD公式)'!$B6:$X6/'实盘净值数据(iFinD公式)'!$B5:$X5)/SUMPRODUCT(实盘持仓初始配置!$B$9:$X$9,'实盘净值数据(iFinD公式)'!$B5:$X5/'实盘净值数据(iFinD公式)'!$B$8:$X$8))*(1-实盘持仓初始配置!$Z$9)^(('实盘净值数据(iFinD公式)'!$A6-'实盘净值数据(iFinD公式)'!$A5)/365)-1)</f>
        <v/>
      </c>
      <c r="S6" s="16" t="str">
        <f>IF(Q6="","",Q6/MAX(Q$5:Q6)-1)</f>
        <v/>
      </c>
      <c r="U6" s="17"/>
      <c r="V6" s="18"/>
    </row>
    <row r="7" spans="1:22" ht="14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初始配置!$B$4:$X$4,'实盘净值数据(iFinD公式)'!$B7:$X7/'实盘净值数据(iFinD公式)'!$B$6:$X$6)*(1-实盘持仓初始配置!$Z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初始配置!$B$4:$X$4,'实盘净值数据(iFinD公式)'!$B6:$X6/'实盘净值数据(iFinD公式)'!$B$6:$X$6,'实盘净值数据(iFinD公式)'!$B7:$X7/'实盘净值数据(iFinD公式)'!$B6:$X6)/SUMPRODUCT(实盘持仓初始配置!$B$4:$X$4,'实盘净值数据(iFinD公式)'!$B6:$X6/'实盘净值数据(iFinD公式)'!$B$6:$X$6))*(1-实盘持仓初始配置!$Z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初始配置!$B$5:$X$5,'实盘净值数据(iFinD公式)'!$B7:$X7/'实盘净值数据(iFinD公式)'!$B$5:$X$5)*(1-实盘持仓初始配置!$Z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初始配置!$B$5:$X$5,'实盘净值数据(iFinD公式)'!$B6:$X6/'实盘净值数据(iFinD公式)'!$B$5:$X$5,'实盘净值数据(iFinD公式)'!$B7:$X7/'实盘净值数据(iFinD公式)'!$B6:$X6)/SUMPRODUCT(实盘持仓初始配置!$B$5:$X$5,'实盘净值数据(iFinD公式)'!$B6:$X6/'实盘净值数据(iFinD公式)'!$B$5:$X$5))*(1-实盘持仓初始配置!$Z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初始配置!$B$6:$X$6,'实盘净值数据(iFinD公式)'!$B6:$X6/'实盘净值数据(iFinD公式)'!$B$7:$X$7,'实盘净值数据(iFinD公式)'!$B7:$X7/'实盘净值数据(iFinD公式)'!$B6:$X6)/SUMPRODUCT(实盘持仓初始配置!$B$6:$X$6,'实盘净值数据(iFinD公式)'!$B6:$X6/'实盘净值数据(iFinD公式)'!$B$7:$X$7))*(1-实盘持仓初始配置!$Z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初始配置!$B$7:$X$7,'实盘净值数据(iFinD公式)'!$B7:$X7/'实盘净值数据(iFinD公式)'!$B$8:$X$8)*(1-实盘持仓初始配置!$Z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初始配置!$B$7:$X$7,'实盘净值数据(iFinD公式)'!$B6:$X6/'实盘净值数据(iFinD公式)'!$B$8:$X$8,'实盘净值数据(iFinD公式)'!$B7:$X7/'实盘净值数据(iFinD公式)'!$B6:$X6)/SUMPRODUCT(实盘持仓初始配置!$B$7:$X$7,'实盘净值数据(iFinD公式)'!$B6:$X6/'实盘净值数据(iFinD公式)'!$B$8:$X$8))*(1-实盘持仓初始配置!$Z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初始配置!$B$8:$X$8,'实盘净值数据(iFinD公式)'!$B7:$X7/'实盘净值数据(iFinD公式)'!$B$5:$X$5)*(1-实盘持仓初始配置!$Z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初始配置!$B$8:$X$8,'实盘净值数据(iFinD公式)'!$B6:$X6/'实盘净值数据(iFinD公式)'!$B$5:$X$5,'实盘净值数据(iFinD公式)'!$B7:$X7/'实盘净值数据(iFinD公式)'!$B6:$X6)/SUMPRODUCT(实盘持仓初始配置!$B$8:$X$8,'实盘净值数据(iFinD公式)'!$B6:$X6/'实盘净值数据(iFinD公式)'!$B$5:$X$5))*(1-实盘持仓初始配置!$Z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初始配置!$B$9:$X$9,'实盘净值数据(iFinD公式)'!$B7:$X7/'实盘净值数据(iFinD公式)'!$B$8:$X$8)*(1-实盘持仓初始配置!$Z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初始配置!$B$9:$X$9,'实盘净值数据(iFinD公式)'!$B6:$X6/'实盘净值数据(iFinD公式)'!$B$8:$X$8,'实盘净值数据(iFinD公式)'!$B7:$X7/'实盘净值数据(iFinD公式)'!$B6:$X6)/SUMPRODUCT(实盘持仓初始配置!$B$9:$X$9,'实盘净值数据(iFinD公式)'!$B6:$X6/'实盘净值数据(iFinD公式)'!$B$8:$X$8))*(1-实盘持仓初始配置!$Z$9)^(('实盘净值数据(iFinD公式)'!$A7-'实盘净值数据(iFinD公式)'!$A6)/365)-1)</f>
        <v/>
      </c>
      <c r="S7" s="16" t="str">
        <f>IF(Q7="","",Q7/MAX(Q$5:Q7)-1)</f>
        <v/>
      </c>
      <c r="U7" s="17"/>
      <c r="V7" s="18"/>
    </row>
    <row r="8" spans="1:22" ht="14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初始配置!$B$4:$X$4,'实盘净值数据(iFinD公式)'!$B8:$X8/'实盘净值数据(iFinD公式)'!$B$6:$X$6)*(1-实盘持仓初始配置!$Z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初始配置!$B$4:$X$4,'实盘净值数据(iFinD公式)'!$B7:$X7/'实盘净值数据(iFinD公式)'!$B$6:$X$6,'实盘净值数据(iFinD公式)'!$B8:$X8/'实盘净值数据(iFinD公式)'!$B7:$X7)/SUMPRODUCT(实盘持仓初始配置!$B$4:$X$4,'实盘净值数据(iFinD公式)'!$B7:$X7/'实盘净值数据(iFinD公式)'!$B$6:$X$6))*(1-实盘持仓初始配置!$Z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初始配置!$B$5:$X$5,'实盘净值数据(iFinD公式)'!$B8:$X8/'实盘净值数据(iFinD公式)'!$B$5:$X$5)*(1-实盘持仓初始配置!$Z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初始配置!$B$5:$X$5,'实盘净值数据(iFinD公式)'!$B7:$X7/'实盘净值数据(iFinD公式)'!$B$5:$X$5,'实盘净值数据(iFinD公式)'!$B8:$X8/'实盘净值数据(iFinD公式)'!$B7:$X7)/SUMPRODUCT(实盘持仓初始配置!$B$5:$X$5,'实盘净值数据(iFinD公式)'!$B7:$X7/'实盘净值数据(iFinD公式)'!$B$5:$X$5))*(1-实盘持仓初始配置!$Z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初始配置!$B$6:$X$6,'实盘净值数据(iFinD公式)'!$B8:$X8/'实盘净值数据(iFinD公式)'!$B$7:$X$7)*(1-实盘持仓初始配置!$Z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初始配置!$B$6:$X$6,'实盘净值数据(iFinD公式)'!$B7:$X7/'实盘净值数据(iFinD公式)'!$B$7:$X$7,'实盘净值数据(iFinD公式)'!$B8:$X8/'实盘净值数据(iFinD公式)'!$B7:$X7)/SUMPRODUCT(实盘持仓初始配置!$B$6:$X$6,'实盘净值数据(iFinD公式)'!$B7:$X7/'实盘净值数据(iFinD公式)'!$B$7:$X$7))*(1-实盘持仓初始配置!$Z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初始配置!$B$7:$X$7,'实盘净值数据(iFinD公式)'!$B7:$X7/'实盘净值数据(iFinD公式)'!$B$8:$X$8,'实盘净值数据(iFinD公式)'!$B8:$X8/'实盘净值数据(iFinD公式)'!$B7:$X7)/SUMPRODUCT(实盘持仓初始配置!$B$7:$X$7,'实盘净值数据(iFinD公式)'!$B7:$X7/'实盘净值数据(iFinD公式)'!$B$8:$X$8))*(1-实盘持仓初始配置!$Z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初始配置!$B$8:$X$8,'实盘净值数据(iFinD公式)'!$B8:$X8/'实盘净值数据(iFinD公式)'!$B$5:$X$5)*(1-实盘持仓初始配置!$Z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初始配置!$B$8:$X$8,'实盘净值数据(iFinD公式)'!$B7:$X7/'实盘净值数据(iFinD公式)'!$B$5:$X$5,'实盘净值数据(iFinD公式)'!$B8:$X8/'实盘净值数据(iFinD公式)'!$B7:$X7)/SUMPRODUCT(实盘持仓初始配置!$B$8:$X$8,'实盘净值数据(iFinD公式)'!$B7:$X7/'实盘净值数据(iFinD公式)'!$B$5:$X$5))*(1-实盘持仓初始配置!$Z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初始配置!$B$9:$X$9,'实盘净值数据(iFinD公式)'!$B7:$X7/'实盘净值数据(iFinD公式)'!$B$8:$X$8,'实盘净值数据(iFinD公式)'!$B8:$X8/'实盘净值数据(iFinD公式)'!$B7:$X7)/SUMPRODUCT(实盘持仓初始配置!$B$9:$X$9,'实盘净值数据(iFinD公式)'!$B7:$X7/'实盘净值数据(iFinD公式)'!$B$8:$X$8))*(1-实盘持仓初始配置!$Z$9)^(('实盘净值数据(iFinD公式)'!$A8-'实盘净值数据(iFinD公式)'!$A7)/365)-1)</f>
        <v/>
      </c>
      <c r="S8" s="16">
        <f>IF(Q8="","",Q8/MAX(Q$5:Q8)-1)</f>
        <v>0</v>
      </c>
      <c r="U8" s="17"/>
      <c r="V8" s="18"/>
    </row>
    <row r="9" spans="1:22" ht="14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初始配置!$B$4:$X$4,'实盘净值数据(iFinD公式)'!$B9:$X9/'实盘净值数据(iFinD公式)'!$B$6:$X$6)*(1-实盘持仓初始配置!$Z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初始配置!$B$4:$X$4,'实盘净值数据(iFinD公式)'!$B8:$X8/'实盘净值数据(iFinD公式)'!$B$6:$X$6,'实盘净值数据(iFinD公式)'!$B9:$X9/'实盘净值数据(iFinD公式)'!$B8:$X8)/SUMPRODUCT(实盘持仓初始配置!$B$4:$X$4,'实盘净值数据(iFinD公式)'!$B8:$X8/'实盘净值数据(iFinD公式)'!$B$6:$X$6))*(1-实盘持仓初始配置!$Z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初始配置!$B$5:$X$5,'实盘净值数据(iFinD公式)'!$B9:$X9/'实盘净值数据(iFinD公式)'!$B$5:$X$5)*(1-实盘持仓初始配置!$Z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初始配置!$B$5:$X$5,'实盘净值数据(iFinD公式)'!$B8:$X8/'实盘净值数据(iFinD公式)'!$B$5:$X$5,'实盘净值数据(iFinD公式)'!$B9:$X9/'实盘净值数据(iFinD公式)'!$B8:$X8)/SUMPRODUCT(实盘持仓初始配置!$B$5:$X$5,'实盘净值数据(iFinD公式)'!$B8:$X8/'实盘净值数据(iFinD公式)'!$B$5:$X$5))*(1-实盘持仓初始配置!$Z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初始配置!$B$6:$X$6,'实盘净值数据(iFinD公式)'!$B9:$X9/'实盘净值数据(iFinD公式)'!$B$7:$X$7)*(1-实盘持仓初始配置!$Z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初始配置!$B$6:$X$6,'实盘净值数据(iFinD公式)'!$B8:$X8/'实盘净值数据(iFinD公式)'!$B$7:$X$7,'实盘净值数据(iFinD公式)'!$B9:$X9/'实盘净值数据(iFinD公式)'!$B8:$X8)/SUMPRODUCT(实盘持仓初始配置!$B$6:$X$6,'实盘净值数据(iFinD公式)'!$B8:$X8/'实盘净值数据(iFinD公式)'!$B$7:$X$7))*(1-实盘持仓初始配置!$Z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初始配置!$B$7:$X$7,'实盘净值数据(iFinD公式)'!$B9:$X9/'实盘净值数据(iFinD公式)'!$B$8:$X$8)*(1-实盘持仓初始配置!$Z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初始配置!$B$7:$X$7,'实盘净值数据(iFinD公式)'!$B8:$X8/'实盘净值数据(iFinD公式)'!$B$8:$X$8,'实盘净值数据(iFinD公式)'!$B9:$X9/'实盘净值数据(iFinD公式)'!$B8:$X8)/SUMPRODUCT(实盘持仓初始配置!$B$7:$X$7,'实盘净值数据(iFinD公式)'!$B8:$X8/'实盘净值数据(iFinD公式)'!$B$8:$X$8))*(1-实盘持仓初始配置!$Z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初始配置!$B$8:$X$8,'实盘净值数据(iFinD公式)'!$B9:$X9/'实盘净值数据(iFinD公式)'!$B$5:$X$5)*(1-实盘持仓初始配置!$Z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初始配置!$B$8:$X$8,'实盘净值数据(iFinD公式)'!$B8:$X8/'实盘净值数据(iFinD公式)'!$B$5:$X$5,'实盘净值数据(iFinD公式)'!$B9:$X9/'实盘净值数据(iFinD公式)'!$B8:$X8)/SUMPRODUCT(实盘持仓初始配置!$B$8:$X$8,'实盘净值数据(iFinD公式)'!$B8:$X8/'实盘净值数据(iFinD公式)'!$B$5:$X$5))*(1-实盘持仓初始配置!$Z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初始配置!$B$9:$X$9,'实盘净值数据(iFinD公式)'!$B9:$X9/'实盘净值数据(iFinD公式)'!$B$8:$X$8)*(1-实盘持仓初始配置!$Z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初始配置!$B$9:$X$9,'实盘净值数据(iFinD公式)'!$B8:$X8/'实盘净值数据(iFinD公式)'!$B$8:$X$8,'实盘净值数据(iFinD公式)'!$B9:$X9/'实盘净值数据(iFinD公式)'!$B8:$X8)/SUMPRODUCT(实盘持仓初始配置!$B$9:$X$9,'实盘净值数据(iFinD公式)'!$B8:$X8/'实盘净值数据(iFinD公式)'!$B$8:$X$8))*(1-实盘持仓初始配置!$Z$9)^(('实盘净值数据(iFinD公式)'!$A9-'实盘净值数据(iFinD公式)'!$A8)/365)-1)</f>
        <v>3.973208229428149E-3</v>
      </c>
      <c r="S9" s="16">
        <f>IF(Q9="","",Q9/MAX(Q$5:Q9)-1)</f>
        <v>0</v>
      </c>
      <c r="U9" s="17"/>
      <c r="V9" s="18"/>
    </row>
    <row r="10" spans="1:22" ht="14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初始配置!$B$4:$X$4,'实盘净值数据(iFinD公式)'!$B10:$X10/'实盘净值数据(iFinD公式)'!$B$6:$X$6)*(1-实盘持仓初始配置!$Z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初始配置!$B$4:$X$4,'实盘净值数据(iFinD公式)'!$B9:$X9/'实盘净值数据(iFinD公式)'!$B$6:$X$6,'实盘净值数据(iFinD公式)'!$B10:$X10/'实盘净值数据(iFinD公式)'!$B9:$X9)/SUMPRODUCT(实盘持仓初始配置!$B$4:$X$4,'实盘净值数据(iFinD公式)'!$B9:$X9/'实盘净值数据(iFinD公式)'!$B$6:$X$6))*(1-实盘持仓初始配置!$Z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初始配置!$B$5:$X$5,'实盘净值数据(iFinD公式)'!$B10:$X10/'实盘净值数据(iFinD公式)'!$B$5:$X$5)*(1-实盘持仓初始配置!$Z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初始配置!$B$5:$X$5,'实盘净值数据(iFinD公式)'!$B9:$X9/'实盘净值数据(iFinD公式)'!$B$5:$X$5,'实盘净值数据(iFinD公式)'!$B10:$X10/'实盘净值数据(iFinD公式)'!$B9:$X9)/SUMPRODUCT(实盘持仓初始配置!$B$5:$X$5,'实盘净值数据(iFinD公式)'!$B9:$X9/'实盘净值数据(iFinD公式)'!$B$5:$X$5))*(1-实盘持仓初始配置!$Z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初始配置!$B$6:$X$6,'实盘净值数据(iFinD公式)'!$B10:$X10/'实盘净值数据(iFinD公式)'!$B$7:$X$7)*(1-实盘持仓初始配置!$Z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初始配置!$B$6:$X$6,'实盘净值数据(iFinD公式)'!$B9:$X9/'实盘净值数据(iFinD公式)'!$B$7:$X$7,'实盘净值数据(iFinD公式)'!$B10:$X10/'实盘净值数据(iFinD公式)'!$B9:$X9)/SUMPRODUCT(实盘持仓初始配置!$B$6:$X$6,'实盘净值数据(iFinD公式)'!$B9:$X9/'实盘净值数据(iFinD公式)'!$B$7:$X$7))*(1-实盘持仓初始配置!$Z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初始配置!$B$7:$X$7,'实盘净值数据(iFinD公式)'!$B10:$X10/'实盘净值数据(iFinD公式)'!$B$8:$X$8)*(1-实盘持仓初始配置!$Z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初始配置!$B$7:$X$7,'实盘净值数据(iFinD公式)'!$B9:$X9/'实盘净值数据(iFinD公式)'!$B$8:$X$8,'实盘净值数据(iFinD公式)'!$B10:$X10/'实盘净值数据(iFinD公式)'!$B9:$X9)/SUMPRODUCT(实盘持仓初始配置!$B$7:$X$7,'实盘净值数据(iFinD公式)'!$B9:$X9/'实盘净值数据(iFinD公式)'!$B$8:$X$8))*(1-实盘持仓初始配置!$Z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初始配置!$B$8:$X$8,'实盘净值数据(iFinD公式)'!$B10:$X10/'实盘净值数据(iFinD公式)'!$B$5:$X$5)*(1-实盘持仓初始配置!$Z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初始配置!$B$8:$X$8,'实盘净值数据(iFinD公式)'!$B9:$X9/'实盘净值数据(iFinD公式)'!$B$5:$X$5,'实盘净值数据(iFinD公式)'!$B10:$X10/'实盘净值数据(iFinD公式)'!$B9:$X9)/SUMPRODUCT(实盘持仓初始配置!$B$8:$X$8,'实盘净值数据(iFinD公式)'!$B9:$X9/'实盘净值数据(iFinD公式)'!$B$5:$X$5))*(1-实盘持仓初始配置!$Z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初始配置!$B$9:$X$9,'实盘净值数据(iFinD公式)'!$B10:$X10/'实盘净值数据(iFinD公式)'!$B$8:$X$8)*(1-实盘持仓初始配置!$Z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初始配置!$B$9:$X$9,'实盘净值数据(iFinD公式)'!$B9:$X9/'实盘净值数据(iFinD公式)'!$B$8:$X$8,'实盘净值数据(iFinD公式)'!$B10:$X10/'实盘净值数据(iFinD公式)'!$B9:$X9)/SUMPRODUCT(实盘持仓初始配置!$B$9:$X$9,'实盘净值数据(iFinD公式)'!$B9:$X9/'实盘净值数据(iFinD公式)'!$B$8:$X$8))*(1-实盘持仓初始配置!$Z$9)^(('实盘净值数据(iFinD公式)'!$A10-'实盘净值数据(iFinD公式)'!$A9)/365)-1)</f>
        <v>-6.7383921468430197E-3</v>
      </c>
      <c r="S10" s="16">
        <f>IF(Q10="","",Q10/MAX(Q$5:Q10)-1)</f>
        <v>-6.7383921468430197E-3</v>
      </c>
      <c r="U10" s="17"/>
      <c r="V10" s="18"/>
    </row>
    <row r="11" spans="1:22" ht="14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初始配置!$B$4:$X$4,'实盘净值数据(iFinD公式)'!$B11:$X11/'实盘净值数据(iFinD公式)'!$B$6:$X$6)*(1-实盘持仓初始配置!$Z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初始配置!$B$4:$X$4,'实盘净值数据(iFinD公式)'!$B10:$X10/'实盘净值数据(iFinD公式)'!$B$6:$X$6,'实盘净值数据(iFinD公式)'!$B11:$X11/'实盘净值数据(iFinD公式)'!$B10:$X10)/SUMPRODUCT(实盘持仓初始配置!$B$4:$X$4,'实盘净值数据(iFinD公式)'!$B10:$X10/'实盘净值数据(iFinD公式)'!$B$6:$X$6))*(1-实盘持仓初始配置!$Z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初始配置!$B$5:$X$5,'实盘净值数据(iFinD公式)'!$B11:$X11/'实盘净值数据(iFinD公式)'!$B$5:$X$5)*(1-实盘持仓初始配置!$Z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初始配置!$B$5:$X$5,'实盘净值数据(iFinD公式)'!$B10:$X10/'实盘净值数据(iFinD公式)'!$B$5:$X$5,'实盘净值数据(iFinD公式)'!$B11:$X11/'实盘净值数据(iFinD公式)'!$B10:$X10)/SUMPRODUCT(实盘持仓初始配置!$B$5:$X$5,'实盘净值数据(iFinD公式)'!$B10:$X10/'实盘净值数据(iFinD公式)'!$B$5:$X$5))*(1-实盘持仓初始配置!$Z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初始配置!$B$6:$X$6,'实盘净值数据(iFinD公式)'!$B11:$X11/'实盘净值数据(iFinD公式)'!$B$7:$X$7)*(1-实盘持仓初始配置!$Z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初始配置!$B$6:$X$6,'实盘净值数据(iFinD公式)'!$B10:$X10/'实盘净值数据(iFinD公式)'!$B$7:$X$7,'实盘净值数据(iFinD公式)'!$B11:$X11/'实盘净值数据(iFinD公式)'!$B10:$X10)/SUMPRODUCT(实盘持仓初始配置!$B$6:$X$6,'实盘净值数据(iFinD公式)'!$B10:$X10/'实盘净值数据(iFinD公式)'!$B$7:$X$7))*(1-实盘持仓初始配置!$Z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初始配置!$B$7:$X$7,'实盘净值数据(iFinD公式)'!$B11:$X11/'实盘净值数据(iFinD公式)'!$B$8:$X$8)*(1-实盘持仓初始配置!$Z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初始配置!$B$7:$X$7,'实盘净值数据(iFinD公式)'!$B10:$X10/'实盘净值数据(iFinD公式)'!$B$8:$X$8,'实盘净值数据(iFinD公式)'!$B11:$X11/'实盘净值数据(iFinD公式)'!$B10:$X10)/SUMPRODUCT(实盘持仓初始配置!$B$7:$X$7,'实盘净值数据(iFinD公式)'!$B10:$X10/'实盘净值数据(iFinD公式)'!$B$8:$X$8))*(1-实盘持仓初始配置!$Z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初始配置!$B$8:$X$8,'实盘净值数据(iFinD公式)'!$B11:$X11/'实盘净值数据(iFinD公式)'!$B$5:$X$5)*(1-实盘持仓初始配置!$Z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初始配置!$B$8:$X$8,'实盘净值数据(iFinD公式)'!$B10:$X10/'实盘净值数据(iFinD公式)'!$B$5:$X$5,'实盘净值数据(iFinD公式)'!$B11:$X11/'实盘净值数据(iFinD公式)'!$B10:$X10)/SUMPRODUCT(实盘持仓初始配置!$B$8:$X$8,'实盘净值数据(iFinD公式)'!$B10:$X10/'实盘净值数据(iFinD公式)'!$B$5:$X$5))*(1-实盘持仓初始配置!$Z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初始配置!$B$9:$X$9,'实盘净值数据(iFinD公式)'!$B11:$X11/'实盘净值数据(iFinD公式)'!$B$8:$X$8)*(1-实盘持仓初始配置!$Z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初始配置!$B$9:$X$9,'实盘净值数据(iFinD公式)'!$B10:$X10/'实盘净值数据(iFinD公式)'!$B$8:$X$8,'实盘净值数据(iFinD公式)'!$B11:$X11/'实盘净值数据(iFinD公式)'!$B10:$X10)/SUMPRODUCT(实盘持仓初始配置!$B$9:$X$9,'实盘净值数据(iFinD公式)'!$B10:$X10/'实盘净值数据(iFinD公式)'!$B$8:$X$8))*(1-实盘持仓初始配置!$Z$9)^(('实盘净值数据(iFinD公式)'!$A11-'实盘净值数据(iFinD公式)'!$A10)/365)-1)</f>
        <v>3.7831246572348487E-3</v>
      </c>
      <c r="S11" s="16">
        <f>IF(Q11="","",Q11/MAX(Q$5:Q11)-1)</f>
        <v>-2.9807596670892167E-3</v>
      </c>
      <c r="U11" s="17"/>
      <c r="V11" s="18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初始配置!$B$4:$X$4,'实盘净值数据(iFinD公式)'!$B12:$X12/'实盘净值数据(iFinD公式)'!$B$6:$X$6)*(1-实盘持仓初始配置!$Z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初始配置!$B$4:$X$4,'实盘净值数据(iFinD公式)'!$B11:$X11/'实盘净值数据(iFinD公式)'!$B$6:$X$6,'实盘净值数据(iFinD公式)'!$B12:$X12/'实盘净值数据(iFinD公式)'!$B11:$X11)/SUMPRODUCT(实盘持仓初始配置!$B$4:$X$4,'实盘净值数据(iFinD公式)'!$B11:$X11/'实盘净值数据(iFinD公式)'!$B$6:$X$6))*(1-实盘持仓初始配置!$Z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初始配置!$B$5:$X$5,'实盘净值数据(iFinD公式)'!$B12:$X12/'实盘净值数据(iFinD公式)'!$B$5:$X$5)*(1-实盘持仓初始配置!$Z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初始配置!$B$5:$X$5,'实盘净值数据(iFinD公式)'!$B11:$X11/'实盘净值数据(iFinD公式)'!$B$5:$X$5,'实盘净值数据(iFinD公式)'!$B12:$X12/'实盘净值数据(iFinD公式)'!$B11:$X11)/SUMPRODUCT(实盘持仓初始配置!$B$5:$X$5,'实盘净值数据(iFinD公式)'!$B11:$X11/'实盘净值数据(iFinD公式)'!$B$5:$X$5))*(1-实盘持仓初始配置!$Z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初始配置!$B$6:$X$6,'实盘净值数据(iFinD公式)'!$B12:$X12/'实盘净值数据(iFinD公式)'!$B$7:$X$7)*(1-实盘持仓初始配置!$Z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初始配置!$B$6:$X$6,'实盘净值数据(iFinD公式)'!$B11:$X11/'实盘净值数据(iFinD公式)'!$B$7:$X$7,'实盘净值数据(iFinD公式)'!$B12:$X12/'实盘净值数据(iFinD公式)'!$B11:$X11)/SUMPRODUCT(实盘持仓初始配置!$B$6:$X$6,'实盘净值数据(iFinD公式)'!$B11:$X11/'实盘净值数据(iFinD公式)'!$B$7:$X$7))*(1-实盘持仓初始配置!$Z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初始配置!$B$7:$X$7,'实盘净值数据(iFinD公式)'!$B12:$X12/'实盘净值数据(iFinD公式)'!$B$8:$X$8)*(1-实盘持仓初始配置!$Z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初始配置!$B$7:$X$7,'实盘净值数据(iFinD公式)'!$B11:$X11/'实盘净值数据(iFinD公式)'!$B$8:$X$8,'实盘净值数据(iFinD公式)'!$B12:$X12/'实盘净值数据(iFinD公式)'!$B11:$X11)/SUMPRODUCT(实盘持仓初始配置!$B$7:$X$7,'实盘净值数据(iFinD公式)'!$B11:$X11/'实盘净值数据(iFinD公式)'!$B$8:$X$8))*(1-实盘持仓初始配置!$Z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初始配置!$B$8:$X$8,'实盘净值数据(iFinD公式)'!$B12:$X12/'实盘净值数据(iFinD公式)'!$B$5:$X$5)*(1-实盘持仓初始配置!$Z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初始配置!$B$8:$X$8,'实盘净值数据(iFinD公式)'!$B11:$X11/'实盘净值数据(iFinD公式)'!$B$5:$X$5,'实盘净值数据(iFinD公式)'!$B12:$X12/'实盘净值数据(iFinD公式)'!$B11:$X11)/SUMPRODUCT(实盘持仓初始配置!$B$8:$X$8,'实盘净值数据(iFinD公式)'!$B11:$X11/'实盘净值数据(iFinD公式)'!$B$5:$X$5))*(1-实盘持仓初始配置!$Z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初始配置!$B$9:$X$9,'实盘净值数据(iFinD公式)'!$B12:$X12/'实盘净值数据(iFinD公式)'!$B$8:$X$8)*(1-实盘持仓初始配置!$Z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初始配置!$B$9:$X$9,'实盘净值数据(iFinD公式)'!$B11:$X11/'实盘净值数据(iFinD公式)'!$B$8:$X$8,'实盘净值数据(iFinD公式)'!$B12:$X12/'实盘净值数据(iFinD公式)'!$B11:$X11)/SUMPRODUCT(实盘持仓初始配置!$B$9:$X$9,'实盘净值数据(iFinD公式)'!$B11:$X11/'实盘净值数据(iFinD公式)'!$B$8:$X$8))*(1-实盘持仓初始配置!$Z$9)^(('实盘净值数据(iFinD公式)'!$A12-'实盘净值数据(iFinD公式)'!$A11)/365)-1)</f>
        <v>7.7736428807049229E-3</v>
      </c>
      <c r="S12" s="16">
        <f>IF(Q12="","",Q12/MAX(Q$5:Q12)-1)</f>
        <v>0</v>
      </c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初始配置!$B$4:$X$4,'实盘净值数据(iFinD公式)'!$B13:$X13/'实盘净值数据(iFinD公式)'!$B$6:$X$6)*(1-实盘持仓初始配置!$Z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初始配置!$B$4:$X$4,'实盘净值数据(iFinD公式)'!$B12:$X12/'实盘净值数据(iFinD公式)'!$B$6:$X$6,'实盘净值数据(iFinD公式)'!$B13:$X13/'实盘净值数据(iFinD公式)'!$B12:$X12)/SUMPRODUCT(实盘持仓初始配置!$B$4:$X$4,'实盘净值数据(iFinD公式)'!$B12:$X12/'实盘净值数据(iFinD公式)'!$B$6:$X$6))*(1-实盘持仓初始配置!$Z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初始配置!$B$5:$X$5,'实盘净值数据(iFinD公式)'!$B13:$X13/'实盘净值数据(iFinD公式)'!$B$5:$X$5)*(1-实盘持仓初始配置!$Z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初始配置!$B$5:$X$5,'实盘净值数据(iFinD公式)'!$B12:$X12/'实盘净值数据(iFinD公式)'!$B$5:$X$5,'实盘净值数据(iFinD公式)'!$B13:$X13/'实盘净值数据(iFinD公式)'!$B12:$X12)/SUMPRODUCT(实盘持仓初始配置!$B$5:$X$5,'实盘净值数据(iFinD公式)'!$B12:$X12/'实盘净值数据(iFinD公式)'!$B$5:$X$5))*(1-实盘持仓初始配置!$Z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初始配置!$B$6:$X$6,'实盘净值数据(iFinD公式)'!$B13:$X13/'实盘净值数据(iFinD公式)'!$B$7:$X$7)*(1-实盘持仓初始配置!$Z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初始配置!$B$6:$X$6,'实盘净值数据(iFinD公式)'!$B12:$X12/'实盘净值数据(iFinD公式)'!$B$7:$X$7,'实盘净值数据(iFinD公式)'!$B13:$X13/'实盘净值数据(iFinD公式)'!$B12:$X12)/SUMPRODUCT(实盘持仓初始配置!$B$6:$X$6,'实盘净值数据(iFinD公式)'!$B12:$X12/'实盘净值数据(iFinD公式)'!$B$7:$X$7))*(1-实盘持仓初始配置!$Z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初始配置!$B$7:$X$7,'实盘净值数据(iFinD公式)'!$B13:$X13/'实盘净值数据(iFinD公式)'!$B$8:$X$8)*(1-实盘持仓初始配置!$Z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初始配置!$B$7:$X$7,'实盘净值数据(iFinD公式)'!$B12:$X12/'实盘净值数据(iFinD公式)'!$B$8:$X$8,'实盘净值数据(iFinD公式)'!$B13:$X13/'实盘净值数据(iFinD公式)'!$B12:$X12)/SUMPRODUCT(实盘持仓初始配置!$B$7:$X$7,'实盘净值数据(iFinD公式)'!$B12:$X12/'实盘净值数据(iFinD公式)'!$B$8:$X$8))*(1-实盘持仓初始配置!$Z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初始配置!$B$8:$X$8,'实盘净值数据(iFinD公式)'!$B13:$X13/'实盘净值数据(iFinD公式)'!$B$5:$X$5)*(1-实盘持仓初始配置!$Z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初始配置!$B$8:$X$8,'实盘净值数据(iFinD公式)'!$B12:$X12/'实盘净值数据(iFinD公式)'!$B$5:$X$5,'实盘净值数据(iFinD公式)'!$B13:$X13/'实盘净值数据(iFinD公式)'!$B12:$X12)/SUMPRODUCT(实盘持仓初始配置!$B$8:$X$8,'实盘净值数据(iFinD公式)'!$B12:$X12/'实盘净值数据(iFinD公式)'!$B$5:$X$5))*(1-实盘持仓初始配置!$Z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初始配置!$B$9:$X$9,'实盘净值数据(iFinD公式)'!$B13:$X13/'实盘净值数据(iFinD公式)'!$B$8:$X$8)*(1-实盘持仓初始配置!$Z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初始配置!$B$9:$X$9,'实盘净值数据(iFinD公式)'!$B12:$X12/'实盘净值数据(iFinD公式)'!$B$8:$X$8,'实盘净值数据(iFinD公式)'!$B13:$X13/'实盘净值数据(iFinD公式)'!$B12:$X12)/SUMPRODUCT(实盘持仓初始配置!$B$9:$X$9,'实盘净值数据(iFinD公式)'!$B12:$X12/'实盘净值数据(iFinD公式)'!$B$8:$X$8))*(1-实盘持仓初始配置!$Z$9)^(('实盘净值数据(iFinD公式)'!$A13-'实盘净值数据(iFinD公式)'!$A12)/365)-1)</f>
        <v>-4.8042294589777379E-3</v>
      </c>
      <c r="S13" s="16">
        <f>IF(Q13="","",Q13/MAX(Q$5:Q13)-1)</f>
        <v>-4.8042294589777379E-3</v>
      </c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初始配置!$B$4:$X$4,'实盘净值数据(iFinD公式)'!$B14:$X14/'实盘净值数据(iFinD公式)'!$B$6:$X$6)*(1-实盘持仓初始配置!$Z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初始配置!$B$4:$X$4,'实盘净值数据(iFinD公式)'!$B13:$X13/'实盘净值数据(iFinD公式)'!$B$6:$X$6,'实盘净值数据(iFinD公式)'!$B14:$X14/'实盘净值数据(iFinD公式)'!$B13:$X13)/SUMPRODUCT(实盘持仓初始配置!$B$4:$X$4,'实盘净值数据(iFinD公式)'!$B13:$X13/'实盘净值数据(iFinD公式)'!$B$6:$X$6))*(1-实盘持仓初始配置!$Z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初始配置!$B$5:$X$5,'实盘净值数据(iFinD公式)'!$B14:$X14/'实盘净值数据(iFinD公式)'!$B$5:$X$5)*(1-实盘持仓初始配置!$Z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初始配置!$B$5:$X$5,'实盘净值数据(iFinD公式)'!$B13:$X13/'实盘净值数据(iFinD公式)'!$B$5:$X$5,'实盘净值数据(iFinD公式)'!$B14:$X14/'实盘净值数据(iFinD公式)'!$B13:$X13)/SUMPRODUCT(实盘持仓初始配置!$B$5:$X$5,'实盘净值数据(iFinD公式)'!$B13:$X13/'实盘净值数据(iFinD公式)'!$B$5:$X$5))*(1-实盘持仓初始配置!$Z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初始配置!$B$6:$X$6,'实盘净值数据(iFinD公式)'!$B14:$X14/'实盘净值数据(iFinD公式)'!$B$7:$X$7)*(1-实盘持仓初始配置!$Z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初始配置!$B$6:$X$6,'实盘净值数据(iFinD公式)'!$B13:$X13/'实盘净值数据(iFinD公式)'!$B$7:$X$7,'实盘净值数据(iFinD公式)'!$B14:$X14/'实盘净值数据(iFinD公式)'!$B13:$X13)/SUMPRODUCT(实盘持仓初始配置!$B$6:$X$6,'实盘净值数据(iFinD公式)'!$B13:$X13/'实盘净值数据(iFinD公式)'!$B$7:$X$7))*(1-实盘持仓初始配置!$Z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初始配置!$Z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初始配置!$Z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初始配置!$Z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初始配置!$B$4:$X$4,'实盘净值数据(iFinD公式)'!$B15:$X15/'实盘净值数据(iFinD公式)'!$B$6:$X$6)*(1-实盘持仓初始配置!$Z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初始配置!$B$4:$X$4,'实盘净值数据(iFinD公式)'!$B14:$X14/'实盘净值数据(iFinD公式)'!$B$6:$X$6,'实盘净值数据(iFinD公式)'!$B15:$X15/'实盘净值数据(iFinD公式)'!$B14:$X14)/SUMPRODUCT(实盘持仓初始配置!$B$4:$X$4,'实盘净值数据(iFinD公式)'!$B14:$X14/'实盘净值数据(iFinD公式)'!$B$6:$X$6))*(1-实盘持仓初始配置!$Z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初始配置!$B$5:$X$5,'实盘净值数据(iFinD公式)'!$B15:$X15/'实盘净值数据(iFinD公式)'!$B$5:$X$5)*(1-实盘持仓初始配置!$Z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初始配置!$B$5:$X$5,'实盘净值数据(iFinD公式)'!$B14:$X14/'实盘净值数据(iFinD公式)'!$B$5:$X$5,'实盘净值数据(iFinD公式)'!$B15:$X15/'实盘净值数据(iFinD公式)'!$B14:$X14)/SUMPRODUCT(实盘持仓初始配置!$B$5:$X$5,'实盘净值数据(iFinD公式)'!$B14:$X14/'实盘净值数据(iFinD公式)'!$B$5:$X$5))*(1-实盘持仓初始配置!$Z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初始配置!$B$6:$X$6,'实盘净值数据(iFinD公式)'!$B15:$X15/'实盘净值数据(iFinD公式)'!$B$7:$X$7)*(1-实盘持仓初始配置!$Z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初始配置!$B$6:$X$6,'实盘净值数据(iFinD公式)'!$B14:$X14/'实盘净值数据(iFinD公式)'!$B$7:$X$7,'实盘净值数据(iFinD公式)'!$B15:$X15/'实盘净值数据(iFinD公式)'!$B14:$X14)/SUMPRODUCT(实盘持仓初始配置!$B$6:$X$6,'实盘净值数据(iFinD公式)'!$B14:$X14/'实盘净值数据(iFinD公式)'!$B$7:$X$7))*(1-实盘持仓初始配置!$Z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初始配置!$Z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初始配置!$Z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初始配置!$Z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初始配置!$B$4:$X$4,'实盘净值数据(iFinD公式)'!$B16:$X16/'实盘净值数据(iFinD公式)'!$B$6:$X$6)*(1-实盘持仓初始配置!$Z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初始配置!$B$4:$X$4,'实盘净值数据(iFinD公式)'!$B15:$X15/'实盘净值数据(iFinD公式)'!$B$6:$X$6,'实盘净值数据(iFinD公式)'!$B16:$X16/'实盘净值数据(iFinD公式)'!$B15:$X15)/SUMPRODUCT(实盘持仓初始配置!$B$4:$X$4,'实盘净值数据(iFinD公式)'!$B15:$X15/'实盘净值数据(iFinD公式)'!$B$6:$X$6))*(1-实盘持仓初始配置!$Z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初始配置!$B$5:$X$5,'实盘净值数据(iFinD公式)'!$B16:$X16/'实盘净值数据(iFinD公式)'!$B$5:$X$5)*(1-实盘持仓初始配置!$Z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初始配置!$B$5:$X$5,'实盘净值数据(iFinD公式)'!$B15:$X15/'实盘净值数据(iFinD公式)'!$B$5:$X$5,'实盘净值数据(iFinD公式)'!$B16:$X16/'实盘净值数据(iFinD公式)'!$B15:$X15)/SUMPRODUCT(实盘持仓初始配置!$B$5:$X$5,'实盘净值数据(iFinD公式)'!$B15:$X15/'实盘净值数据(iFinD公式)'!$B$5:$X$5))*(1-实盘持仓初始配置!$Z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初始配置!$B$6:$X$6,'实盘净值数据(iFinD公式)'!$B16:$X16/'实盘净值数据(iFinD公式)'!$B$7:$X$7)*(1-实盘持仓初始配置!$Z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初始配置!$B$6:$X$6,'实盘净值数据(iFinD公式)'!$B15:$X15/'实盘净值数据(iFinD公式)'!$B$7:$X$7,'实盘净值数据(iFinD公式)'!$B16:$X16/'实盘净值数据(iFinD公式)'!$B15:$X15)/SUMPRODUCT(实盘持仓初始配置!$B$6:$X$6,'实盘净值数据(iFinD公式)'!$B15:$X15/'实盘净值数据(iFinD公式)'!$B$7:$X$7))*(1-实盘持仓初始配置!$Z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初始配置!$Z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初始配置!$Z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初始配置!$Z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</row>
    <row r="17" spans="1:19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初始配置!$B$4:$X$4,'实盘净值数据(iFinD公式)'!$B17:$X17/'实盘净值数据(iFinD公式)'!$B$6:$X$6)*(1-实盘持仓初始配置!$Z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初始配置!$B$4:$X$4,'实盘净值数据(iFinD公式)'!$B16:$X16/'实盘净值数据(iFinD公式)'!$B$6:$X$6,'实盘净值数据(iFinD公式)'!$B17:$X17/'实盘净值数据(iFinD公式)'!$B16:$X16)/SUMPRODUCT(实盘持仓初始配置!$B$4:$X$4,'实盘净值数据(iFinD公式)'!$B16:$X16/'实盘净值数据(iFinD公式)'!$B$6:$X$6))*(1-实盘持仓初始配置!$Z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初始配置!$B$5:$X$5,'实盘净值数据(iFinD公式)'!$B17:$X17/'实盘净值数据(iFinD公式)'!$B$5:$X$5)*(1-实盘持仓初始配置!$Z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初始配置!$B$5:$X$5,'实盘净值数据(iFinD公式)'!$B16:$X16/'实盘净值数据(iFinD公式)'!$B$5:$X$5,'实盘净值数据(iFinD公式)'!$B17:$X17/'实盘净值数据(iFinD公式)'!$B16:$X16)/SUMPRODUCT(实盘持仓初始配置!$B$5:$X$5,'实盘净值数据(iFinD公式)'!$B16:$X16/'实盘净值数据(iFinD公式)'!$B$5:$X$5))*(1-实盘持仓初始配置!$Z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初始配置!$B$6:$X$6,'实盘净值数据(iFinD公式)'!$B17:$X17/'实盘净值数据(iFinD公式)'!$B$7:$X$7)*(1-实盘持仓初始配置!$Z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初始配置!$B$6:$X$6,'实盘净值数据(iFinD公式)'!$B16:$X16/'实盘净值数据(iFinD公式)'!$B$7:$X$7,'实盘净值数据(iFinD公式)'!$B17:$X17/'实盘净值数据(iFinD公式)'!$B16:$X16)/SUMPRODUCT(实盘持仓初始配置!$B$6:$X$6,'实盘净值数据(iFinD公式)'!$B16:$X16/'实盘净值数据(iFinD公式)'!$B$7:$X$7))*(1-实盘持仓初始配置!$Z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初始配置!$Z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初始配置!$Z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初始配置!$Z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</row>
    <row r="18" spans="1:19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初始配置!$B$4:$X$4,'实盘净值数据(iFinD公式)'!$B18:$X18/'实盘净值数据(iFinD公式)'!$B$6:$X$6)*(1-实盘持仓初始配置!$Z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初始配置!$B$4:$X$4,'实盘净值数据(iFinD公式)'!$B17:$X17/'实盘净值数据(iFinD公式)'!$B$6:$X$6,'实盘净值数据(iFinD公式)'!$B18:$X18/'实盘净值数据(iFinD公式)'!$B17:$X17)/SUMPRODUCT(实盘持仓初始配置!$B$4:$X$4,'实盘净值数据(iFinD公式)'!$B17:$X17/'实盘净值数据(iFinD公式)'!$B$6:$X$6))*(1-实盘持仓初始配置!$Z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初始配置!$B$5:$X$5,'实盘净值数据(iFinD公式)'!$B18:$X18/'实盘净值数据(iFinD公式)'!$B$5:$X$5)*(1-实盘持仓初始配置!$Z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初始配置!$B$5:$X$5,'实盘净值数据(iFinD公式)'!$B17:$X17/'实盘净值数据(iFinD公式)'!$B$5:$X$5,'实盘净值数据(iFinD公式)'!$B18:$X18/'实盘净值数据(iFinD公式)'!$B17:$X17)/SUMPRODUCT(实盘持仓初始配置!$B$5:$X$5,'实盘净值数据(iFinD公式)'!$B17:$X17/'实盘净值数据(iFinD公式)'!$B$5:$X$5))*(1-实盘持仓初始配置!$Z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初始配置!$B$6:$X$6,'实盘净值数据(iFinD公式)'!$B18:$X18/'实盘净值数据(iFinD公式)'!$B$7:$X$7)*(1-实盘持仓初始配置!$Z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初始配置!$B$6:$X$6,'实盘净值数据(iFinD公式)'!$B17:$X17/'实盘净值数据(iFinD公式)'!$B$7:$X$7,'实盘净值数据(iFinD公式)'!$B18:$X18/'实盘净值数据(iFinD公式)'!$B17:$X17)/SUMPRODUCT(实盘持仓初始配置!$B$6:$X$6,'实盘净值数据(iFinD公式)'!$B17:$X17/'实盘净值数据(iFinD公式)'!$B$7:$X$7))*(1-实盘持仓初始配置!$Z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初始配置!$Z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初始配置!$Z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初始配置!$Z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</row>
    <row r="19" spans="1:19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初始配置!$B$4:$X$4,'实盘净值数据(iFinD公式)'!$B19:$X19/'实盘净值数据(iFinD公式)'!$B$6:$X$6)*(1-实盘持仓初始配置!$Z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初始配置!$B$4:$X$4,'实盘净值数据(iFinD公式)'!$B18:$X18/'实盘净值数据(iFinD公式)'!$B$6:$X$6,'实盘净值数据(iFinD公式)'!$B19:$X19/'实盘净值数据(iFinD公式)'!$B18:$X18)/SUMPRODUCT(实盘持仓初始配置!$B$4:$X$4,'实盘净值数据(iFinD公式)'!$B18:$X18/'实盘净值数据(iFinD公式)'!$B$6:$X$6))*(1-实盘持仓初始配置!$Z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初始配置!$B$5:$X$5,'实盘净值数据(iFinD公式)'!$B19:$X19/'实盘净值数据(iFinD公式)'!$B$5:$X$5)*(1-实盘持仓初始配置!$Z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初始配置!$B$5:$X$5,'实盘净值数据(iFinD公式)'!$B18:$X18/'实盘净值数据(iFinD公式)'!$B$5:$X$5,'实盘净值数据(iFinD公式)'!$B19:$X19/'实盘净值数据(iFinD公式)'!$B18:$X18)/SUMPRODUCT(实盘持仓初始配置!$B$5:$X$5,'实盘净值数据(iFinD公式)'!$B18:$X18/'实盘净值数据(iFinD公式)'!$B$5:$X$5))*(1-实盘持仓初始配置!$Z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初始配置!$B$6:$X$6,'实盘净值数据(iFinD公式)'!$B19:$X19/'实盘净值数据(iFinD公式)'!$B$7:$X$7)*(1-实盘持仓初始配置!$Z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初始配置!$B$6:$X$6,'实盘净值数据(iFinD公式)'!$B18:$X18/'实盘净值数据(iFinD公式)'!$B$7:$X$7,'实盘净值数据(iFinD公式)'!$B19:$X19/'实盘净值数据(iFinD公式)'!$B18:$X18)/SUMPRODUCT(实盘持仓初始配置!$B$6:$X$6,'实盘净值数据(iFinD公式)'!$B18:$X18/'实盘净值数据(iFinD公式)'!$B$7:$X$7))*(1-实盘持仓初始配置!$Z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初始配置!$Z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初始配置!$Z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初始配置!$Z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</row>
    <row r="20" spans="1:19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初始配置!$B$4:$X$4,'实盘净值数据(iFinD公式)'!$B20:$X20/'实盘净值数据(iFinD公式)'!$B$6:$X$6)*(1-实盘持仓初始配置!$Z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初始配置!$B$4:$X$4,'实盘净值数据(iFinD公式)'!$B19:$X19/'实盘净值数据(iFinD公式)'!$B$6:$X$6,'实盘净值数据(iFinD公式)'!$B20:$X20/'实盘净值数据(iFinD公式)'!$B19:$X19)/SUMPRODUCT(实盘持仓初始配置!$B$4:$X$4,'实盘净值数据(iFinD公式)'!$B19:$X19/'实盘净值数据(iFinD公式)'!$B$6:$X$6))*(1-实盘持仓初始配置!$Z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初始配置!$B$5:$X$5,'实盘净值数据(iFinD公式)'!$B20:$X20/'实盘净值数据(iFinD公式)'!$B$5:$X$5)*(1-实盘持仓初始配置!$Z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初始配置!$B$5:$X$5,'实盘净值数据(iFinD公式)'!$B19:$X19/'实盘净值数据(iFinD公式)'!$B$5:$X$5,'实盘净值数据(iFinD公式)'!$B20:$X20/'实盘净值数据(iFinD公式)'!$B19:$X19)/SUMPRODUCT(实盘持仓初始配置!$B$5:$X$5,'实盘净值数据(iFinD公式)'!$B19:$X19/'实盘净值数据(iFinD公式)'!$B$5:$X$5))*(1-实盘持仓初始配置!$Z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初始配置!$B$6:$X$6,'实盘净值数据(iFinD公式)'!$B20:$X20/'实盘净值数据(iFinD公式)'!$B$7:$X$7)*(1-实盘持仓初始配置!$Z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初始配置!$B$6:$X$6,'实盘净值数据(iFinD公式)'!$B19:$X19/'实盘净值数据(iFinD公式)'!$B$7:$X$7,'实盘净值数据(iFinD公式)'!$B20:$X20/'实盘净值数据(iFinD公式)'!$B19:$X19)/SUMPRODUCT(实盘持仓初始配置!$B$6:$X$6,'实盘净值数据(iFinD公式)'!$B19:$X19/'实盘净值数据(iFinD公式)'!$B$7:$X$7))*(1-实盘持仓初始配置!$Z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初始配置!$Z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初始配置!$Z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初始配置!$Z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</row>
    <row r="21" spans="1:19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初始配置!$Z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初始配置!$Z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初始配置!$Z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初始配置!$Z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初始配置!$Z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初始配置!$Z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</row>
    <row r="22" spans="1:19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初始配置!$Z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初始配置!$Z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初始配置!$Z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初始配置!$Z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初始配置!$Z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初始配置!$Z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</row>
    <row r="23" spans="1:19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初始配置!$Z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初始配置!$Z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初始配置!$Z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初始配置!$Z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初始配置!$Z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初始配置!$Z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</row>
    <row r="24" spans="1:19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初始配置!$Z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初始配置!$Z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初始配置!$Z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初始配置!$Z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初始配置!$Z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初始配置!$Z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</row>
    <row r="25" spans="1:19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初始配置!$Z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初始配置!$Z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初始配置!$Z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初始配置!$Z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初始配置!$Z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初始配置!$Z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</row>
    <row r="26" spans="1:19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初始配置!$Z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初始配置!$Z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初始配置!$Z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初始配置!$Z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初始配置!$Z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初始配置!$Z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</row>
    <row r="27" spans="1:19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初始配置!$Z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初始配置!$Z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初始配置!$Z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初始配置!$Z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初始配置!$Z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初始配置!$Z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</row>
    <row r="28" spans="1:19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初始配置!$Z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初始配置!$Z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初始配置!$Z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初始配置!$Z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初始配置!$Z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初始配置!$Z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</row>
    <row r="29" spans="1:19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初始配置!$Z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初始配置!$Z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初始配置!$Z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初始配置!$Z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初始配置!$Z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初始配置!$Z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</row>
    <row r="30" spans="1:19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初始配置!$Z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初始配置!$Z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初始配置!$Z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初始配置!$Z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初始配置!$Z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初始配置!$Z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</row>
    <row r="31" spans="1:19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初始配置!$Z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初始配置!$Z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初始配置!$Z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初始配置!$Z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初始配置!$Z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初始配置!$Z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</row>
    <row r="32" spans="1:19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初始配置!$Z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初始配置!$Z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初始配置!$Z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初始配置!$Z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初始配置!$Z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初始配置!$Z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</row>
    <row r="33" spans="1:19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初始配置!$Z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初始配置!$Z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初始配置!$Z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初始配置!$Z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初始配置!$Z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初始配置!$Z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</row>
    <row r="34" spans="1:19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初始配置!$Z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初始配置!$Z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初始配置!$Z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初始配置!$Z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初始配置!$Z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初始配置!$Z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</row>
    <row r="35" spans="1:19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初始配置!$Z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初始配置!$Z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初始配置!$Z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初始配置!$Z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初始配置!$Z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初始配置!$Z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</row>
    <row r="36" spans="1:19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初始配置!$Z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初始配置!$Z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初始配置!$Z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初始配置!$Z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初始配置!$Z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初始配置!$Z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</row>
    <row r="37" spans="1:19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初始配置!$Z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初始配置!$Z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初始配置!$Z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初始配置!$Z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初始配置!$Z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初始配置!$Z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</row>
    <row r="38" spans="1:19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初始配置!$Z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初始配置!$Z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初始配置!$Z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初始配置!$Z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初始配置!$Z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初始配置!$Z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</row>
    <row r="39" spans="1:19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初始配置!$Z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初始配置!$Z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初始配置!$Z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初始配置!$Z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初始配置!$Z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初始配置!$Z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</row>
    <row r="40" spans="1:19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初始配置!$Z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初始配置!$Z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初始配置!$Z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初始配置!$Z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初始配置!$Z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初始配置!$Z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</row>
    <row r="41" spans="1:19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初始配置!$Z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初始配置!$Z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初始配置!$Z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初始配置!$Z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初始配置!$Z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初始配置!$Z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</row>
    <row r="42" spans="1:19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初始配置!$Z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初始配置!$Z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初始配置!$Z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初始配置!$Z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初始配置!$Z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初始配置!$Z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</row>
    <row r="43" spans="1:19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初始配置!$Z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初始配置!$Z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初始配置!$Z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初始配置!$Z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初始配置!$Z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初始配置!$Z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</row>
    <row r="44" spans="1:19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初始配置!$Z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初始配置!$Z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初始配置!$Z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初始配置!$Z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初始配置!$Z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初始配置!$Z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</row>
    <row r="45" spans="1:19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初始配置!$Z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初始配置!$Z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初始配置!$Z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初始配置!$Z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初始配置!$Z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初始配置!$Z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</row>
    <row r="46" spans="1:19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初始配置!$Z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初始配置!$Z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初始配置!$Z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初始配置!$Z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初始配置!$Z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初始配置!$Z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</row>
    <row r="47" spans="1:19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初始配置!$Z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初始配置!$Z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初始配置!$Z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初始配置!$Z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初始配置!$Z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初始配置!$Z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</row>
    <row r="48" spans="1:19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初始配置!$Z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初始配置!$Z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初始配置!$Z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初始配置!$Z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初始配置!$Z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初始配置!$Z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</row>
    <row r="49" spans="1:19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初始配置!$Z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初始配置!$Z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初始配置!$Z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初始配置!$Z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初始配置!$Z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初始配置!$Z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</row>
    <row r="50" spans="1:19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初始配置!$Z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初始配置!$Z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初始配置!$Z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初始配置!$Z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初始配置!$Z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初始配置!$Z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</row>
    <row r="51" spans="1:19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初始配置!$Z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初始配置!$Z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初始配置!$Z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初始配置!$Z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初始配置!$Z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初始配置!$Z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</row>
    <row r="52" spans="1:19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初始配置!$Z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初始配置!$Z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初始配置!$Z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初始配置!$Z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初始配置!$Z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初始配置!$Z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</row>
    <row r="53" spans="1:19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初始配置!$Z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初始配置!$Z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初始配置!$Z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初始配置!$Z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初始配置!$Z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初始配置!$Z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</row>
    <row r="54" spans="1:19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初始配置!$Z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初始配置!$Z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初始配置!$Z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初始配置!$Z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初始配置!$Z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初始配置!$Z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</row>
    <row r="55" spans="1:19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初始配置!$Z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初始配置!$Z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初始配置!$Z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初始配置!$Z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初始配置!$Z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初始配置!$Z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</row>
    <row r="56" spans="1:19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初始配置!$Z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初始配置!$Z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初始配置!$Z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初始配置!$Z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初始配置!$Z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初始配置!$Z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</row>
    <row r="57" spans="1:19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初始配置!$Z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初始配置!$Z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初始配置!$Z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初始配置!$Z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初始配置!$Z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初始配置!$Z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</row>
    <row r="58" spans="1:19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初始配置!$Z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初始配置!$Z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初始配置!$Z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初始配置!$Z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初始配置!$Z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初始配置!$Z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</row>
    <row r="59" spans="1:19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初始配置!$Z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初始配置!$Z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初始配置!$Z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初始配置!$Z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初始配置!$Z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初始配置!$Z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</row>
    <row r="61" spans="1:19" ht="14.25" customHeight="1">
      <c r="A61" s="10" t="s">
        <v>74</v>
      </c>
    </row>
  </sheetData>
  <mergeCells count="1">
    <mergeCell ref="A1:J2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showGridLines="0" workbookViewId="0">
      <selection activeCell="G42" sqref="G42"/>
    </sheetView>
  </sheetViews>
  <sheetFormatPr defaultColWidth="9.453125" defaultRowHeight="12.5"/>
  <cols>
    <col min="1" max="1" width="37.45312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</cols>
  <sheetData>
    <row r="1" spans="1:28">
      <c r="A1" t="s">
        <v>75</v>
      </c>
    </row>
    <row r="2" spans="1:28" ht="14.5">
      <c r="A2" t="s">
        <v>1</v>
      </c>
      <c r="B2" s="19" t="s">
        <v>76</v>
      </c>
      <c r="C2" s="19" t="s">
        <v>77</v>
      </c>
      <c r="D2" s="19" t="s">
        <v>78</v>
      </c>
      <c r="E2" s="19" t="s">
        <v>79</v>
      </c>
      <c r="F2" s="19" t="s">
        <v>80</v>
      </c>
      <c r="G2" s="19" t="s">
        <v>81</v>
      </c>
      <c r="H2" s="19" t="s">
        <v>82</v>
      </c>
      <c r="I2" t="s">
        <v>9</v>
      </c>
      <c r="J2" s="19" t="s">
        <v>83</v>
      </c>
      <c r="K2" s="19" t="s">
        <v>84</v>
      </c>
      <c r="L2" s="19" t="s">
        <v>85</v>
      </c>
      <c r="M2" s="19" t="s">
        <v>86</v>
      </c>
      <c r="N2" s="19" t="s">
        <v>87</v>
      </c>
      <c r="O2" s="19" t="s">
        <v>88</v>
      </c>
      <c r="P2" s="19" t="s">
        <v>89</v>
      </c>
      <c r="Q2" s="19" t="s">
        <v>90</v>
      </c>
      <c r="R2" s="19" t="s">
        <v>91</v>
      </c>
      <c r="S2" s="19" t="s">
        <v>92</v>
      </c>
      <c r="T2" s="19" t="s">
        <v>93</v>
      </c>
      <c r="U2" s="19" t="s">
        <v>94</v>
      </c>
      <c r="V2" s="19" t="s">
        <v>95</v>
      </c>
      <c r="W2" s="19" t="s">
        <v>96</v>
      </c>
      <c r="X2" s="19" t="s">
        <v>97</v>
      </c>
      <c r="Y2" t="s">
        <v>62</v>
      </c>
      <c r="Z2" t="s">
        <v>25</v>
      </c>
      <c r="AA2" t="s">
        <v>98</v>
      </c>
      <c r="AB2" s="19" t="s">
        <v>99</v>
      </c>
    </row>
    <row r="3" spans="1:28" ht="14">
      <c r="A3" t="s">
        <v>28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  <c r="J3" s="20" t="s">
        <v>108</v>
      </c>
      <c r="K3" s="20" t="s">
        <v>109</v>
      </c>
      <c r="L3" s="20" t="s">
        <v>110</v>
      </c>
      <c r="M3" s="20" t="s">
        <v>111</v>
      </c>
      <c r="N3" s="20" t="s">
        <v>112</v>
      </c>
      <c r="O3" s="20" t="s">
        <v>113</v>
      </c>
      <c r="P3" s="20" t="s">
        <v>114</v>
      </c>
      <c r="Q3" s="20" t="s">
        <v>115</v>
      </c>
      <c r="R3" s="20" t="s">
        <v>116</v>
      </c>
      <c r="S3" s="20" t="s">
        <v>117</v>
      </c>
      <c r="T3" s="20" t="s">
        <v>118</v>
      </c>
      <c r="U3" s="20" t="s">
        <v>119</v>
      </c>
      <c r="V3" s="20" t="s">
        <v>120</v>
      </c>
      <c r="W3" s="20" t="s">
        <v>121</v>
      </c>
      <c r="X3" s="20" t="s">
        <v>122</v>
      </c>
      <c r="Y3" s="20" t="s">
        <v>123</v>
      </c>
    </row>
    <row r="5" spans="1:28" ht="14.5">
      <c r="A5" s="19" t="s">
        <v>124</v>
      </c>
      <c r="B5" s="21">
        <f>实盘持仓初始配置!B4</f>
        <v>0</v>
      </c>
      <c r="C5" s="21">
        <f>实盘持仓初始配置!C4</f>
        <v>0.02</v>
      </c>
      <c r="D5" s="21">
        <f>实盘持仓初始配置!D4</f>
        <v>0.19</v>
      </c>
      <c r="E5" s="21">
        <f>实盘持仓初始配置!E4</f>
        <v>0</v>
      </c>
      <c r="F5" s="21">
        <f>实盘持仓初始配置!F4</f>
        <v>0</v>
      </c>
      <c r="G5" s="21">
        <f>实盘持仓初始配置!G4</f>
        <v>0.11</v>
      </c>
      <c r="H5" s="21">
        <f>实盘持仓初始配置!H4</f>
        <v>0</v>
      </c>
      <c r="I5" s="21">
        <f>实盘持仓初始配置!I4</f>
        <v>0</v>
      </c>
      <c r="J5" s="21">
        <f>实盘持仓初始配置!J4</f>
        <v>0.19</v>
      </c>
      <c r="K5" s="21">
        <f>实盘持仓初始配置!K4</f>
        <v>0</v>
      </c>
      <c r="L5" s="21">
        <f>实盘持仓初始配置!L4</f>
        <v>0</v>
      </c>
      <c r="M5" s="21">
        <f>实盘持仓初始配置!M4</f>
        <v>0</v>
      </c>
      <c r="N5" s="21">
        <f>实盘持仓初始配置!N4</f>
        <v>0</v>
      </c>
      <c r="O5" s="21">
        <f>实盘持仓初始配置!O4</f>
        <v>0</v>
      </c>
      <c r="P5" s="21">
        <f>实盘持仓初始配置!P4</f>
        <v>0.19</v>
      </c>
      <c r="Q5" s="21">
        <f>实盘持仓初始配置!Q4</f>
        <v>0.19</v>
      </c>
      <c r="R5" s="21">
        <f>实盘持仓初始配置!R4</f>
        <v>0</v>
      </c>
      <c r="S5" s="21">
        <f>实盘持仓初始配置!S4</f>
        <v>0</v>
      </c>
      <c r="T5" s="21">
        <f>实盘持仓初始配置!T4</f>
        <v>0.11</v>
      </c>
      <c r="U5" s="21">
        <f>实盘持仓初始配置!U4</f>
        <v>0</v>
      </c>
      <c r="V5" s="21">
        <f>实盘持仓初始配置!V4</f>
        <v>0</v>
      </c>
      <c r="W5" s="21">
        <f>实盘持仓初始配置!W4</f>
        <v>0</v>
      </c>
      <c r="X5" s="21">
        <f>实盘持仓初始配置!X4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28" ht="14.5">
      <c r="A6" s="19" t="s">
        <v>125</v>
      </c>
      <c r="B6" s="21">
        <f>实盘持仓初始配置!B5</f>
        <v>0</v>
      </c>
      <c r="C6" s="21">
        <f>实盘持仓初始配置!C5</f>
        <v>0.02</v>
      </c>
      <c r="D6" s="21">
        <f>实盘持仓初始配置!D5</f>
        <v>0.19</v>
      </c>
      <c r="E6" s="21">
        <f>实盘持仓初始配置!E5</f>
        <v>0</v>
      </c>
      <c r="F6" s="21">
        <f>实盘持仓初始配置!F5</f>
        <v>0</v>
      </c>
      <c r="G6" s="21">
        <f>实盘持仓初始配置!G5</f>
        <v>0.11</v>
      </c>
      <c r="H6" s="21">
        <f>实盘持仓初始配置!H5</f>
        <v>0</v>
      </c>
      <c r="I6" s="21">
        <f>实盘持仓初始配置!I5</f>
        <v>0</v>
      </c>
      <c r="J6" s="21">
        <f>实盘持仓初始配置!J5</f>
        <v>0.19</v>
      </c>
      <c r="K6" s="21">
        <f>实盘持仓初始配置!K5</f>
        <v>0</v>
      </c>
      <c r="L6" s="21">
        <f>实盘持仓初始配置!L5</f>
        <v>0</v>
      </c>
      <c r="M6" s="21">
        <f>实盘持仓初始配置!M5</f>
        <v>0</v>
      </c>
      <c r="N6" s="21">
        <f>实盘持仓初始配置!N5</f>
        <v>0</v>
      </c>
      <c r="O6" s="21">
        <f>实盘持仓初始配置!O5</f>
        <v>0</v>
      </c>
      <c r="P6" s="21">
        <f>实盘持仓初始配置!P5</f>
        <v>0.19</v>
      </c>
      <c r="Q6" s="21">
        <f>实盘持仓初始配置!Q5</f>
        <v>0.19</v>
      </c>
      <c r="R6" s="21">
        <f>实盘持仓初始配置!R5</f>
        <v>0</v>
      </c>
      <c r="S6" s="21">
        <f>实盘持仓初始配置!S5</f>
        <v>0</v>
      </c>
      <c r="T6" s="21">
        <f>实盘持仓初始配置!T5</f>
        <v>0.11</v>
      </c>
      <c r="U6" s="21">
        <f>实盘持仓初始配置!U5</f>
        <v>0</v>
      </c>
      <c r="V6" s="21">
        <f>实盘持仓初始配置!V5</f>
        <v>0</v>
      </c>
      <c r="W6" s="21">
        <f>实盘持仓初始配置!W5</f>
        <v>0</v>
      </c>
      <c r="X6" s="21">
        <f>实盘持仓初始配置!X5</f>
        <v>0</v>
      </c>
      <c r="Y6">
        <v>0</v>
      </c>
      <c r="Z6">
        <f t="shared" si="0"/>
        <v>0.99999999999999989</v>
      </c>
      <c r="AA6" s="22">
        <v>46191</v>
      </c>
    </row>
    <row r="7" spans="1:28" ht="14.5">
      <c r="A7" s="19" t="s">
        <v>126</v>
      </c>
      <c r="B7" s="21">
        <f>实盘持仓初始配置!B6</f>
        <v>0</v>
      </c>
      <c r="C7" s="21">
        <f>实盘持仓初始配置!C6</f>
        <v>0.02</v>
      </c>
      <c r="D7" s="21">
        <f>实盘持仓初始配置!D6</f>
        <v>0</v>
      </c>
      <c r="E7" s="21">
        <f>实盘持仓初始配置!E6</f>
        <v>0</v>
      </c>
      <c r="F7" s="21">
        <f>实盘持仓初始配置!F6</f>
        <v>0</v>
      </c>
      <c r="G7" s="21">
        <f>实盘持仓初始配置!G6</f>
        <v>0</v>
      </c>
      <c r="H7" s="21">
        <f>实盘持仓初始配置!H6</f>
        <v>0.11</v>
      </c>
      <c r="I7" s="21">
        <f>实盘持仓初始配置!I6</f>
        <v>0.19</v>
      </c>
      <c r="J7" s="21">
        <f>实盘持仓初始配置!J6</f>
        <v>0</v>
      </c>
      <c r="K7" s="21">
        <f>实盘持仓初始配置!K6</f>
        <v>0.19</v>
      </c>
      <c r="L7" s="21">
        <f>实盘持仓初始配置!L6</f>
        <v>0</v>
      </c>
      <c r="M7" s="21">
        <f>实盘持仓初始配置!M6</f>
        <v>0</v>
      </c>
      <c r="N7" s="21">
        <f>实盘持仓初始配置!N6</f>
        <v>0</v>
      </c>
      <c r="O7" s="21">
        <f>实盘持仓初始配置!O6</f>
        <v>0</v>
      </c>
      <c r="P7" s="21">
        <f>实盘持仓初始配置!P6</f>
        <v>0</v>
      </c>
      <c r="Q7" s="21">
        <f>实盘持仓初始配置!Q6</f>
        <v>0</v>
      </c>
      <c r="R7" s="21">
        <f>实盘持仓初始配置!R6</f>
        <v>0.19</v>
      </c>
      <c r="S7" s="21">
        <f>实盘持仓初始配置!S6</f>
        <v>0.19</v>
      </c>
      <c r="T7" s="21">
        <f>实盘持仓初始配置!T6</f>
        <v>0</v>
      </c>
      <c r="U7" s="21">
        <f>实盘持仓初始配置!U6</f>
        <v>0.11</v>
      </c>
      <c r="V7" s="21">
        <f>实盘持仓初始配置!V6</f>
        <v>0</v>
      </c>
      <c r="W7" s="21">
        <f>实盘持仓初始配置!W6</f>
        <v>0</v>
      </c>
      <c r="X7" s="21">
        <f>实盘持仓初始配置!X6</f>
        <v>0</v>
      </c>
      <c r="Y7">
        <v>0</v>
      </c>
      <c r="Z7">
        <f t="shared" si="0"/>
        <v>0.99999999999999989</v>
      </c>
      <c r="AA7" s="22">
        <v>46196</v>
      </c>
    </row>
    <row r="8" spans="1:28" ht="14.5">
      <c r="A8" s="23" t="s">
        <v>127</v>
      </c>
      <c r="B8" s="21">
        <f>实盘持仓初始配置!B7</f>
        <v>0.05</v>
      </c>
      <c r="C8" s="21">
        <f>实盘持仓初始配置!C7</f>
        <v>0.02</v>
      </c>
      <c r="D8" s="21">
        <f>实盘持仓初始配置!D7</f>
        <v>0</v>
      </c>
      <c r="E8" s="21">
        <f>实盘持仓初始配置!E7</f>
        <v>0</v>
      </c>
      <c r="F8" s="21">
        <f>实盘持仓初始配置!F7</f>
        <v>1.2500000000000001E-2</v>
      </c>
      <c r="G8" s="21">
        <f>实盘持仓初始配置!G7</f>
        <v>0</v>
      </c>
      <c r="H8" s="21">
        <f>实盘持仓初始配置!H7</f>
        <v>5.0000000000000001E-3</v>
      </c>
      <c r="I8" s="21">
        <f>实盘持仓初始配置!I7</f>
        <v>0.01</v>
      </c>
      <c r="J8" s="21">
        <f>实盘持仓初始配置!J7</f>
        <v>0</v>
      </c>
      <c r="K8" s="21">
        <f>实盘持仓初始配置!K7</f>
        <v>0.01</v>
      </c>
      <c r="L8" s="21">
        <f>实盘持仓初始配置!L7</f>
        <v>0</v>
      </c>
      <c r="M8" s="21">
        <f>实盘持仓初始配置!M7</f>
        <v>1.2500000000000001E-2</v>
      </c>
      <c r="N8" s="21">
        <f>实盘持仓初始配置!N7</f>
        <v>0</v>
      </c>
      <c r="O8" s="21">
        <f>实盘持仓初始配置!O7</f>
        <v>1.2500000000000001E-2</v>
      </c>
      <c r="P8" s="21">
        <f>实盘持仓初始配置!P7</f>
        <v>0</v>
      </c>
      <c r="Q8" s="21">
        <f>实盘持仓初始配置!Q7</f>
        <v>0</v>
      </c>
      <c r="R8" s="21">
        <f>实盘持仓初始配置!R7</f>
        <v>0.01</v>
      </c>
      <c r="S8" s="21">
        <f>实盘持仓初始配置!S7</f>
        <v>0.01</v>
      </c>
      <c r="T8" s="21">
        <f>实盘持仓初始配置!T7</f>
        <v>0</v>
      </c>
      <c r="U8" s="21">
        <f>实盘持仓初始配置!U7</f>
        <v>5.0000000000000001E-3</v>
      </c>
      <c r="V8" s="21">
        <f>实盘持仓初始配置!V7</f>
        <v>0</v>
      </c>
      <c r="W8" s="21">
        <f>实盘持仓初始配置!W7</f>
        <v>1.2500000000000001E-2</v>
      </c>
      <c r="X8" s="21">
        <f>实盘持仓初始配置!X7</f>
        <v>0.83</v>
      </c>
      <c r="Y8">
        <v>0</v>
      </c>
      <c r="Z8">
        <f t="shared" si="0"/>
        <v>1</v>
      </c>
      <c r="AA8" s="22">
        <v>46197</v>
      </c>
    </row>
    <row r="9" spans="1:28" ht="14.5">
      <c r="A9" s="23" t="s">
        <v>128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2">
        <v>46204</v>
      </c>
      <c r="AB9">
        <f>SUMPRODUCT($B$8:$Y$8,'实盘净值数据(iFinD公式)'!$B$13:$Y$13/'实盘净值数据(iFinD公式)'!$B$8:$Y$8)</f>
        <v>1.0010183937865633</v>
      </c>
    </row>
    <row r="10" spans="1:28" ht="14.5">
      <c r="A10" s="23" t="s">
        <v>129</v>
      </c>
      <c r="B10" s="21">
        <f>实盘持仓初始配置!B8</f>
        <v>0.05</v>
      </c>
      <c r="C10" s="21">
        <f>实盘持仓初始配置!C8</f>
        <v>0.02</v>
      </c>
      <c r="D10" s="21">
        <f>实盘持仓初始配置!D8</f>
        <v>0.01</v>
      </c>
      <c r="E10" s="21">
        <f>实盘持仓初始配置!E8</f>
        <v>1.2500000000000001E-2</v>
      </c>
      <c r="F10" s="21">
        <f>实盘持仓初始配置!F8</f>
        <v>0</v>
      </c>
      <c r="G10" s="21">
        <f>实盘持仓初始配置!G8</f>
        <v>5.0000000000000001E-3</v>
      </c>
      <c r="H10" s="21">
        <f>实盘持仓初始配置!H8</f>
        <v>0</v>
      </c>
      <c r="I10" s="21">
        <f>实盘持仓初始配置!I8</f>
        <v>0</v>
      </c>
      <c r="J10" s="21">
        <f>实盘持仓初始配置!J8</f>
        <v>0.01</v>
      </c>
      <c r="K10" s="21">
        <f>实盘持仓初始配置!K8</f>
        <v>0</v>
      </c>
      <c r="L10" s="21">
        <f>实盘持仓初始配置!L8</f>
        <v>1.2500000000000001E-2</v>
      </c>
      <c r="M10" s="21">
        <f>实盘持仓初始配置!M8</f>
        <v>0</v>
      </c>
      <c r="N10" s="21">
        <f>实盘持仓初始配置!N8</f>
        <v>1.2500000000000001E-2</v>
      </c>
      <c r="O10" s="21">
        <f>实盘持仓初始配置!O8</f>
        <v>0</v>
      </c>
      <c r="P10" s="21">
        <f>实盘持仓初始配置!P8</f>
        <v>0.01</v>
      </c>
      <c r="Q10" s="21">
        <f>实盘持仓初始配置!Q8</f>
        <v>0.01</v>
      </c>
      <c r="R10" s="21">
        <f>实盘持仓初始配置!R8</f>
        <v>0</v>
      </c>
      <c r="S10" s="21">
        <f>实盘持仓初始配置!S8</f>
        <v>0</v>
      </c>
      <c r="T10" s="21">
        <f>实盘持仓初始配置!T8</f>
        <v>5.0000000000000001E-3</v>
      </c>
      <c r="U10" s="21">
        <f>实盘持仓初始配置!U8</f>
        <v>0</v>
      </c>
      <c r="V10" s="21">
        <f>实盘持仓初始配置!V8</f>
        <v>1.2500000000000001E-2</v>
      </c>
      <c r="W10" s="21">
        <f>实盘持仓初始配置!W8</f>
        <v>0</v>
      </c>
      <c r="X10" s="21">
        <f>实盘持仓初始配置!X8</f>
        <v>0.83</v>
      </c>
      <c r="Y10">
        <v>0</v>
      </c>
      <c r="Z10">
        <f t="shared" si="0"/>
        <v>1</v>
      </c>
      <c r="AA10" s="22">
        <v>46191</v>
      </c>
    </row>
    <row r="11" spans="1:28" ht="14.5">
      <c r="A11" s="23" t="s">
        <v>130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SUMPRODUCT($B$10:$Y$10,'实盘净值数据(iFinD公式)'!$B$13:$Y$13/'实盘净值数据(iFinD公式)'!$B$5:$Y$5)</f>
        <v>1.0001629093509814</v>
      </c>
    </row>
    <row r="12" spans="1:28" ht="14.5">
      <c r="A12" s="23" t="s">
        <v>131</v>
      </c>
      <c r="B12" s="21">
        <f>实盘持仓初始配置!B9</f>
        <v>0.1</v>
      </c>
      <c r="C12" s="21">
        <f>实盘持仓初始配置!C9</f>
        <v>0.02</v>
      </c>
      <c r="D12" s="21">
        <f>实盘持仓初始配置!D9</f>
        <v>0</v>
      </c>
      <c r="E12" s="21">
        <f>实盘持仓初始配置!E9</f>
        <v>0</v>
      </c>
      <c r="F12" s="21">
        <f>实盘持仓初始配置!F9</f>
        <v>3.7499999999999999E-2</v>
      </c>
      <c r="G12" s="21">
        <f>实盘持仓初始配置!G9</f>
        <v>0</v>
      </c>
      <c r="H12" s="21">
        <f>实盘持仓初始配置!H9</f>
        <v>1.4999999999999999E-2</v>
      </c>
      <c r="I12" s="21">
        <f>实盘持仓初始配置!I9</f>
        <v>0.03</v>
      </c>
      <c r="J12" s="21">
        <f>实盘持仓初始配置!J9</f>
        <v>0</v>
      </c>
      <c r="K12" s="21">
        <f>实盘持仓初始配置!K9</f>
        <v>0.03</v>
      </c>
      <c r="L12" s="21">
        <f>实盘持仓初始配置!L9</f>
        <v>0</v>
      </c>
      <c r="M12" s="21">
        <f>实盘持仓初始配置!M9</f>
        <v>3.7499999999999999E-2</v>
      </c>
      <c r="N12" s="21">
        <f>实盘持仓初始配置!N9</f>
        <v>0</v>
      </c>
      <c r="O12" s="21">
        <f>实盘持仓初始配置!O9</f>
        <v>3.7499999999999999E-2</v>
      </c>
      <c r="P12" s="21">
        <f>实盘持仓初始配置!P9</f>
        <v>0</v>
      </c>
      <c r="Q12" s="21">
        <f>实盘持仓初始配置!Q9</f>
        <v>0</v>
      </c>
      <c r="R12" s="21">
        <f>实盘持仓初始配置!R9</f>
        <v>0.03</v>
      </c>
      <c r="S12" s="21">
        <f>实盘持仓初始配置!S9</f>
        <v>0.03</v>
      </c>
      <c r="T12" s="21">
        <f>实盘持仓初始配置!T9</f>
        <v>0</v>
      </c>
      <c r="U12" s="21">
        <f>实盘持仓初始配置!U9</f>
        <v>1.4999999999999999E-2</v>
      </c>
      <c r="V12" s="21">
        <f>实盘持仓初始配置!V9</f>
        <v>0</v>
      </c>
      <c r="W12" s="21">
        <f>实盘持仓初始配置!W9</f>
        <v>3.7499999999999999E-2</v>
      </c>
      <c r="X12" s="21">
        <f>实盘持仓初始配置!X9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28" ht="14.5">
      <c r="A13" s="23" t="s">
        <v>132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SUMPRODUCT($B$12:$Y$12,'实盘净值数据(iFinD公式)'!$B$13:$Y$13/'实盘净值数据(iFinD公式)'!$B$8:$Y$8)</f>
        <v>1.0041480100695226</v>
      </c>
    </row>
    <row r="14" spans="1:28" ht="14.5">
      <c r="A14" s="23" t="s">
        <v>133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$AB$9*SUMPRODUCT($B$9:$Y$9,'实盘净值数据(iFinD公式)'!$B$17:$Y$17/'实盘净值数据(iFinD公式)'!$B$13:$Y$13)</f>
        <v>0.99518059435920936</v>
      </c>
    </row>
    <row r="15" spans="1:28" ht="14.5">
      <c r="A15" s="23" t="s">
        <v>134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$AB$11*SUMPRODUCT($B$11:$Y$11,'实盘净值数据(iFinD公式)'!$B$17:$Y$17/'实盘净值数据(iFinD公式)'!$B$13:$Y$13)</f>
        <v>0.99376731247498307</v>
      </c>
    </row>
    <row r="16" spans="1:28" ht="14.5">
      <c r="A16" s="23" t="s">
        <v>135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$AB$13*SUMPRODUCT($B$13:$Y$13,'实盘净值数据(iFinD公式)'!$B$17:$Y$17/'实盘净值数据(iFinD公式)'!$B$13:$Y$13)</f>
        <v>0.9844764004850477</v>
      </c>
    </row>
    <row r="17" spans="1:28" ht="14.5">
      <c r="A17" s="19" t="s">
        <v>136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SUMPRODUCT($B$5:$Y$5,'实盘净值数据(iFinD公式)'!$B$20:$Y$20/'实盘净值数据(iFinD公式)'!$B$6:$Y$6)</f>
        <v>0.95250384230903973</v>
      </c>
    </row>
    <row r="18" spans="1:28" ht="14.5">
      <c r="A18" s="19" t="s">
        <v>137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SUMPRODUCT($B$6:$Y$6,'实盘净值数据(iFinD公式)'!$B$20:$Y$20/'实盘净值数据(iFinD公式)'!$B$5:$Y$5)</f>
        <v>0.97445109575393596</v>
      </c>
    </row>
    <row r="19" spans="1:28" ht="14.5">
      <c r="A19" s="19" t="s">
        <v>138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SUMPRODUCT($B$7:$Y$7,'实盘净值数据(iFinD公式)'!$B$20:$Y$20/'实盘净值数据(iFinD公式)'!$B$7:$Y$7)</f>
        <v>0.99413981381289751</v>
      </c>
    </row>
    <row r="20" spans="1:28" ht="14">
      <c r="A20" s="24" t="s">
        <v>139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$AB$14*SUMPRODUCT($B$14:$Y$14,'实盘净值数据(iFinD公式)'!$B$25:$Y$25/'实盘净值数据(iFinD公式)'!$B$17:$Y$17)</f>
        <v>0.98067586640145799</v>
      </c>
    </row>
    <row r="21" spans="1:28" ht="14">
      <c r="A21" s="24" t="s">
        <v>140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$AB$15*SUMPRODUCT($B$15:$Y$15,'实盘净值数据(iFinD公式)'!$B$25:$Y$25/'实盘净值数据(iFinD公式)'!$B$17:$Y$17)</f>
        <v>0.97939475400002896</v>
      </c>
    </row>
    <row r="22" spans="1:28" ht="14">
      <c r="A22" s="24" t="s">
        <v>141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$AB$16*SUMPRODUCT($B$16:$Y$16,'实盘净值数据(iFinD公式)'!$B$25:$Y$25/'实盘净值数据(iFinD公式)'!$B$17:$Y$17)</f>
        <v>0.94281725126693205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/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2.453125" customWidth="1"/>
    <col min="5" max="5" width="17.453125" customWidth="1"/>
    <col min="6" max="6" width="19.26953125" customWidth="1"/>
    <col min="7" max="7" width="15.453125" customWidth="1"/>
    <col min="8" max="8" width="2.1796875" customWidth="1"/>
  </cols>
  <sheetData>
    <row r="2" spans="2:7" ht="20.25" customHeight="1">
      <c r="B2" s="135" t="s">
        <v>142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"&amp;TEXT(实盘持仓初始配置!$Z$4,"0.0%")&amp;"（折每日计入净值）"</f>
        <v>买入持有 · 已扣年化费率 1.5%（折每日计入净值）</v>
      </c>
      <c r="C3" s="136"/>
      <c r="D3" s="136"/>
      <c r="E3" s="137" t="str">
        <f>"净值日期："&amp;TEXT(LOOKUP(2,1/(实盘组合净值!$B$5:$B$59&lt;&gt;""),实盘组合净值!$A$5:$A$59),"yyyy-mm-dd")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LOOKUP(2,1/(实盘组合净值!$B$5:$B$59&lt;&gt;""),实盘组合净值!$B$5:$B$59)</f>
        <v>0.78846776908562322</v>
      </c>
      <c r="C7" s="28">
        <f>(LOOKUP(2,1/(实盘组合净值!$B$5:$B$59&lt;&gt;""),实盘组合净值!$B$5:$B$59))/1-1</f>
        <v>-0.21153223091437678</v>
      </c>
      <c r="D7" s="28">
        <f>(LOOKUP(2,1/(实盘组合净值!$B$5:$B$59&lt;&gt;""),实盘组合净值!$B$5:$B$59)/1)^(说明!$C$17/MAX(COUNT(实盘组合净值!$C$5:$C$59),1))-1</f>
        <v>-0.6621595881742699</v>
      </c>
      <c r="E7" s="29">
        <f>STDEV(实盘组合净值!$C$5:$C$59)*SQRT(说明!$C$17)</f>
        <v>0.63066873840642534</v>
      </c>
      <c r="F7" s="28">
        <f>MIN(实盘组合净值!$D$5:$D$59)</f>
        <v>-0.35221690385915061</v>
      </c>
      <c r="G7" s="30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-1.0499324730244528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IFERROR((LOOKUP(2,1/(实盘组合净值!$B$5:$B$59&lt;&gt;""),实盘组合净值!$B$5:$B$59))/(1)-1,"")</f>
        <v>-0.21153223091437678</v>
      </c>
      <c r="D11" s="32">
        <f>IFERROR((LOOKUP(2,1/(实盘组合净值!$B$5:$B$59&lt;&gt;""),实盘组合净值!$B$5:$B$59)/(1))^(说明!$C$17/COUNT(实盘组合净值!$C$5:$C$59))-1,"")</f>
        <v>-0.6621595881742699</v>
      </c>
      <c r="E11" s="139" t="s">
        <v>148</v>
      </c>
      <c r="F11" s="139"/>
      <c r="G11" s="32">
        <f>MIN(实盘组合净值!$D$5:$D$59)</f>
        <v>-0.35221690385915061</v>
      </c>
    </row>
    <row r="12" spans="2:7" ht="22.5" customHeight="1">
      <c r="B12" s="33" t="s">
        <v>156</v>
      </c>
      <c r="C12" s="32">
        <f>IFERROR((LOOKUP(2,1/(实盘组合净值!$B$5:$B$59&lt;&gt;""),实盘组合净值!$B$5:$B$59))/(IFERROR(LOOKUP(DATE(2026,1,1),实盘组合净值!$A$5:$A$59,实盘组合净值!$B$5:$B$59),1))-1,"")</f>
        <v>-0.21153223091437678</v>
      </c>
      <c r="D12" s="32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-0.64856148277859282</v>
      </c>
      <c r="E12" s="139" t="s">
        <v>157</v>
      </c>
      <c r="F12" s="139"/>
      <c r="G12" s="34">
        <f>IFERROR((LOOKUP(2,1/(实盘组合净值!$B$5:$B$59&lt;&gt;""),ROW(实盘组合净值!$B$5:$B$59)))-(LOOKUP(2,1/(实盘组合净值!$D$5:$D$59=0),ROW(实盘组合净值!$D$5:$D$59))),"")</f>
        <v>47</v>
      </c>
    </row>
    <row r="13" spans="2:7" ht="22.5" customHeight="1">
      <c r="B13" s="31" t="s">
        <v>158</v>
      </c>
      <c r="C13" s="32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-0.21153223091437678</v>
      </c>
      <c r="D13" s="32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-0.64856148277859282</v>
      </c>
      <c r="E13" s="139" t="s">
        <v>159</v>
      </c>
      <c r="F13" s="139"/>
      <c r="G13" s="35">
        <f>COUNTIF(实盘组合净值!$C$5:$C$59,"&gt;0")/MAX(COUNT(实盘组合净值!$C$5:$C$59),1)</f>
        <v>0.47169811320754718</v>
      </c>
    </row>
    <row r="14" spans="2:7" ht="22.5" customHeight="1">
      <c r="B14" s="31" t="s">
        <v>160</v>
      </c>
      <c r="C14" s="32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-0.21153223091437678</v>
      </c>
      <c r="D14" s="32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-0.64856148277859282</v>
      </c>
      <c r="E14" s="139" t="s">
        <v>147</v>
      </c>
      <c r="F14" s="139"/>
      <c r="G14" s="32">
        <f>STDEV(实盘组合净值!$C$5:$C$59)*SQRT(说明!$C$17)</f>
        <v>0.63066873840642534</v>
      </c>
    </row>
    <row r="15" spans="2:7" ht="22.5" customHeight="1">
      <c r="B15" s="31" t="s">
        <v>161</v>
      </c>
      <c r="C15" s="32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-0.21153223091437678</v>
      </c>
      <c r="D15" s="32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-0.64856148277859282</v>
      </c>
      <c r="E15" s="139" t="s">
        <v>149</v>
      </c>
      <c r="F15" s="139"/>
      <c r="G15" s="36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-1.0499324730244528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IFERROR(((LOOKUP(2,1/(实盘组合净值!$B$5:$B$59&lt;&gt;""),实盘组合净值!$B$5:$B$59)/1)^(说明!$C$17/MAX(COUNT(实盘组合净值!$C$5:$C$59),1))-1)/ABS(MIN(实盘组合净值!$D$5:$D$59)),"")</f>
        <v>-1.8799767442140241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32" sqref="L32"/>
    </sheetView>
  </sheetViews>
  <sheetFormatPr defaultColWidth="9.453125" defaultRowHeight="12.5"/>
  <cols>
    <col min="1" max="1" width="2.1796875" customWidth="1"/>
    <col min="2" max="2" width="15.453125" customWidth="1"/>
    <col min="3" max="3" width="19.453125" customWidth="1"/>
    <col min="4" max="4" width="21.453125" customWidth="1"/>
    <col min="5" max="5" width="17.453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135" t="s">
        <v>165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"&amp;TEXT(实盘持仓初始配置!$Z$5,"0.0%")&amp;"（折每日计入净值）"</f>
        <v>买入持有 · 已扣年化费率 1.2%（折每日计入净值）</v>
      </c>
      <c r="C3" s="136"/>
      <c r="D3" s="136"/>
      <c r="E3" s="137" t="str">
        <f>"净值日期："&amp;TEXT(LOOKUP(2,1/(实盘组合净值!$E$5:$E$59&lt;&gt;""),实盘组合净值!$A$5:$A$59),"yyyy-mm-dd")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LOOKUP(2,1/(实盘组合净值!$E$5:$E$59&lt;&gt;""),实盘组合净值!$E$5:$E$59)</f>
        <v>0.80688850106442223</v>
      </c>
      <c r="C7" s="28">
        <f>(LOOKUP(2,1/(实盘组合净值!$E$5:$E$59&lt;&gt;""),实盘组合净值!$E$5:$E$59))/1-1</f>
        <v>-0.19311149893557777</v>
      </c>
      <c r="D7" s="28">
        <f>(LOOKUP(2,1/(实盘组合净值!$E$5:$E$59&lt;&gt;""),实盘组合净值!$E$5:$E$59)/1)^(说明!$C$17/MAX(COUNT(实盘组合净值!$F$5:$F$59),1))-1</f>
        <v>-0.61771562795931834</v>
      </c>
      <c r="E7" s="29">
        <f>STDEV(实盘组合净值!$F$5:$F$59)*SQRT(说明!$C$17)</f>
        <v>0.62785810470974879</v>
      </c>
      <c r="F7" s="28">
        <f>MIN(实盘组合净值!$G$5:$G$59)</f>
        <v>-0.35236862163912863</v>
      </c>
      <c r="G7" s="30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-0.9838459093315054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IFERROR((LOOKUP(2,1/(实盘组合净值!$E$5:$E$59&lt;&gt;""),实盘组合净值!$E$5:$E$59))/(1)-1,"")</f>
        <v>-0.19311149893557777</v>
      </c>
      <c r="D11" s="32">
        <f>IFERROR((LOOKUP(2,1/(实盘组合净值!$E$5:$E$59&lt;&gt;""),实盘组合净值!$E$5:$E$59)/(1))^(说明!$C$17/COUNT(实盘组合净值!$F$5:$F$59))-1,"")</f>
        <v>-0.61771562795931834</v>
      </c>
      <c r="E11" s="139" t="s">
        <v>148</v>
      </c>
      <c r="F11" s="139"/>
      <c r="G11" s="32">
        <f>MIN(实盘组合净值!$G$5:$G$59)</f>
        <v>-0.35236862163912863</v>
      </c>
    </row>
    <row r="12" spans="2:7" ht="22.5" customHeight="1">
      <c r="B12" s="33" t="s">
        <v>156</v>
      </c>
      <c r="C12" s="32">
        <f>IFERROR((LOOKUP(2,1/(实盘组合净值!$E$5:$E$59&lt;&gt;""),实盘组合净值!$E$5:$E$59))/(IFERROR(LOOKUP(DATE(2026,1,1),实盘组合净值!$A$5:$A$59,实盘组合净值!$E$5:$E$59),1))-1,"")</f>
        <v>-0.19311149893557777</v>
      </c>
      <c r="D12" s="32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-0.61097320420256052</v>
      </c>
      <c r="E12" s="139" t="s">
        <v>157</v>
      </c>
      <c r="F12" s="139"/>
      <c r="G12" s="34">
        <f>IFERROR((LOOKUP(2,1/(实盘组合净值!$E$5:$E$59&lt;&gt;""),ROW(实盘组合净值!$E$5:$E$59)))-(LOOKUP(2,1/(实盘组合净值!$G$5:$G$59=0),ROW(实盘组合净值!$G$5:$G$59))),"")</f>
        <v>47</v>
      </c>
    </row>
    <row r="13" spans="2:7" ht="22.5" customHeight="1">
      <c r="B13" s="31" t="s">
        <v>158</v>
      </c>
      <c r="C13" s="32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-0.19311149893557777</v>
      </c>
      <c r="D13" s="32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-0.61097320420256052</v>
      </c>
      <c r="E13" s="139" t="s">
        <v>159</v>
      </c>
      <c r="F13" s="139"/>
      <c r="G13" s="35">
        <f>COUNTIF(实盘组合净值!$F$5:$F$59,"&gt;0")/MAX(COUNT(实盘组合净值!$F$5:$F$59),1)</f>
        <v>0.48148148148148145</v>
      </c>
    </row>
    <row r="14" spans="2:7" ht="22.5" customHeight="1">
      <c r="B14" s="31" t="s">
        <v>160</v>
      </c>
      <c r="C14" s="32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-0.19311149893557777</v>
      </c>
      <c r="D14" s="32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-0.61097320420256052</v>
      </c>
      <c r="E14" s="139" t="s">
        <v>147</v>
      </c>
      <c r="F14" s="139"/>
      <c r="G14" s="32">
        <f>STDEV(实盘组合净值!$F$5:$F$59)*SQRT(说明!$C$17)</f>
        <v>0.62785810470974879</v>
      </c>
    </row>
    <row r="15" spans="2:7" ht="22.5" customHeight="1">
      <c r="B15" s="31" t="s">
        <v>161</v>
      </c>
      <c r="C15" s="32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-0.19311149893557777</v>
      </c>
      <c r="D15" s="32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-0.61097320420256052</v>
      </c>
      <c r="E15" s="139" t="s">
        <v>149</v>
      </c>
      <c r="F15" s="139"/>
      <c r="G15" s="36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-0.9838459093315054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IFERROR(((LOOKUP(2,1/(实盘组合净值!$E$5:$E$59&lt;&gt;""),实盘组合净值!$E$5:$E$59)/1)^(说明!$C$17/MAX(COUNT(实盘组合净值!$F$5:$F$59),1))-1)/ABS(MIN(实盘组合净值!$G$5:$G$59)),"")</f>
        <v>-1.7530381254887661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4" workbookViewId="0">
      <selection activeCell="J27" sqref="J2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7.26953125" customWidth="1"/>
    <col min="5" max="5" width="17.453125" customWidth="1"/>
    <col min="6" max="6" width="19.26953125" customWidth="1"/>
    <col min="7" max="7" width="19.1796875" customWidth="1"/>
    <col min="8" max="8" width="2.1796875" customWidth="1"/>
  </cols>
  <sheetData>
    <row r="2" spans="2:7" ht="20.25" customHeight="1">
      <c r="B2" s="135" t="s">
        <v>166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"&amp;TEXT(实盘持仓初始配置!$Z$6,"0.0%")&amp;"（折每日计入净值）"</f>
        <v>买入持有 · 已扣年化费率 1.5%（折每日计入净值）</v>
      </c>
      <c r="C3" s="136"/>
      <c r="D3" s="136"/>
      <c r="E3" s="137" t="str">
        <f>"净值日期："&amp;TEXT(LOOKUP(2,1/(实盘组合净值!$H$5:$H$59&lt;&gt;""),实盘组合净值!$A$5:$A$59),"yyyy-mm-dd")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LOOKUP(2,1/(实盘组合净值!$H$5:$H$59&lt;&gt;""),实盘组合净值!$H$5:$H$59)</f>
        <v>0.8064983248125529</v>
      </c>
      <c r="C7" s="28">
        <f>(LOOKUP(2,1/(实盘组合净值!$H$5:$H$59&lt;&gt;""),实盘组合净值!$H$5:$H$59))/1-1</f>
        <v>-0.1935016751874471</v>
      </c>
      <c r="D7" s="28">
        <f>(LOOKUP(2,1/(实盘组合净值!$H$5:$H$59&lt;&gt;""),实盘组合净值!$H$5:$H$59)/1)^(说明!$C$17/MAX(COUNT(实盘组合净值!$I$5:$I$59),1))-1</f>
        <v>-0.6324241954943427</v>
      </c>
      <c r="E7" s="29">
        <f>STDEV(实盘组合净值!$I$5:$I$59)*SQRT(说明!$C$17)</f>
        <v>0.62239605126478137</v>
      </c>
      <c r="F7" s="28">
        <f>MIN(实盘组合净值!$J$5:$J$59)</f>
        <v>-0.34135059378539634</v>
      </c>
      <c r="G7" s="30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-1.0161121591455842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IFERROR((LOOKUP(2,1/(实盘组合净值!$H$5:$H$59&lt;&gt;""),实盘组合净值!$H$5:$H$59))/(1)-1,"")</f>
        <v>-0.1935016751874471</v>
      </c>
      <c r="D11" s="32">
        <f>IFERROR((LOOKUP(2,1/(实盘组合净值!$H$5:$H$59&lt;&gt;""),实盘组合净值!$H$5:$H$59)/(1))^(说明!$C$17/COUNT(实盘组合净值!$I$5:$I$59))-1,"")</f>
        <v>-0.6324241954943427</v>
      </c>
      <c r="E11" s="139" t="s">
        <v>148</v>
      </c>
      <c r="F11" s="139"/>
      <c r="G11" s="32">
        <f>MIN(实盘组合净值!$J$5:$J$59)</f>
        <v>-0.34135059378539634</v>
      </c>
    </row>
    <row r="12" spans="2:7" ht="22.5" customHeight="1">
      <c r="B12" s="33" t="s">
        <v>156</v>
      </c>
      <c r="C12" s="32">
        <f>IFERROR((LOOKUP(2,1/(实盘组合净值!$H$5:$H$59&lt;&gt;""),实盘组合净值!$H$5:$H$59))/(IFERROR(LOOKUP(DATE(2026,1,1),实盘组合净值!$A$5:$A$59,实盘组合净值!$H$5:$H$59),1))-1,"")</f>
        <v>-0.1935016751874471</v>
      </c>
      <c r="D12" s="32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-0.61180023651887694</v>
      </c>
      <c r="E12" s="139" t="s">
        <v>157</v>
      </c>
      <c r="F12" s="139"/>
      <c r="G12" s="34">
        <f>IFERROR((LOOKUP(2,1/(实盘组合净值!$H$5:$H$59&lt;&gt;""),ROW(实盘组合净值!$H$5:$H$59)))-(LOOKUP(2,1/(实盘组合净值!$J$5:$J$59=0),ROW(实盘组合净值!$J$5:$J$59))),"")</f>
        <v>47</v>
      </c>
    </row>
    <row r="13" spans="2:7" ht="22.5" customHeight="1">
      <c r="B13" s="31" t="s">
        <v>158</v>
      </c>
      <c r="C13" s="32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-0.1935016751874471</v>
      </c>
      <c r="D13" s="32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-0.61180023651887694</v>
      </c>
      <c r="E13" s="139" t="s">
        <v>159</v>
      </c>
      <c r="F13" s="139"/>
      <c r="G13" s="35">
        <f>COUNTIF(实盘组合净值!$I$5:$I$59,"&gt;0")/MAX(COUNT(实盘组合净值!$I$5:$I$59),1)</f>
        <v>0.5</v>
      </c>
    </row>
    <row r="14" spans="2:7" ht="22.5" customHeight="1">
      <c r="B14" s="31" t="s">
        <v>160</v>
      </c>
      <c r="C14" s="32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-0.1935016751874471</v>
      </c>
      <c r="D14" s="32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-0.61180023651887694</v>
      </c>
      <c r="E14" s="139" t="s">
        <v>147</v>
      </c>
      <c r="F14" s="139"/>
      <c r="G14" s="32">
        <f>STDEV(实盘组合净值!$I$5:$I$59)*SQRT(说明!$C$17)</f>
        <v>0.62239605126478137</v>
      </c>
    </row>
    <row r="15" spans="2:7" ht="22.5" customHeight="1">
      <c r="B15" s="31" t="s">
        <v>161</v>
      </c>
      <c r="C15" s="32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-0.1935016751874471</v>
      </c>
      <c r="D15" s="32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-0.61180023651887694</v>
      </c>
      <c r="E15" s="139" t="s">
        <v>149</v>
      </c>
      <c r="F15" s="139"/>
      <c r="G15" s="36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-1.0161121591455842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IFERROR(((LOOKUP(2,1/(实盘组合净值!$H$5:$H$59&lt;&gt;""),实盘组合净值!$H$5:$H$59)/1)^(说明!$C$17/MAX(COUNT(实盘组合净值!$I$5:$I$59),1))-1)/ABS(MIN(实盘组合净值!$J$5:$J$59)),"")</f>
        <v>-1.8527115728175396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C7" sqref="C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8.81640625" customWidth="1"/>
    <col min="5" max="5" width="21.26953125" customWidth="1"/>
    <col min="6" max="6" width="16.453125" customWidth="1"/>
    <col min="7" max="7" width="19.453125" customWidth="1"/>
    <col min="8" max="8" width="2.1796875" customWidth="1"/>
  </cols>
  <sheetData>
    <row r="2" spans="2:7" ht="20.25" customHeight="1">
      <c r="B2" s="135" t="s">
        <v>167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"&amp;TEXT(实盘持仓初始配置!$Z$7,"0.0%")&amp;"（折每日计入净值）"</f>
        <v>买入持有 · 已扣年化费率 0.8%（折每日计入净值）</v>
      </c>
      <c r="C3" s="136"/>
      <c r="D3" s="136"/>
      <c r="E3" s="137" t="str">
        <f>"净值日期："&amp;TEXT(LOOKUP(2,1/(实盘组合净值!$K$5:$K$59&lt;&gt;""),实盘组合净值!$A$5:$A$59),"yyyy-mm-dd")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LOOKUP(2,1/(实盘组合净值!$K$5:$K$59&lt;&gt;""),实盘组合净值!$K$5:$K$59)</f>
        <v>0.99136541199745853</v>
      </c>
      <c r="C7" s="28">
        <f>(LOOKUP(2,1/(实盘组合净值!$K$5:$K$59&lt;&gt;""),实盘组合净值!$K$5:$K$59))/1-1</f>
        <v>-8.6345880025414656E-3</v>
      </c>
      <c r="D7" s="28">
        <f>(LOOKUP(2,1/(实盘组合净值!$K$5:$K$59&lt;&gt;""),实盘组合净值!$K$5:$K$59)/1)^(说明!$C$17/MAX(COUNT(实盘组合净值!$L$5:$L$59),1))-1</f>
        <v>-4.0314717984634485E-2</v>
      </c>
      <c r="E7" s="29">
        <f>STDEV(实盘组合净值!$L$5:$L$59)*SQRT(说明!$C$17)</f>
        <v>5.2244459411277491E-2</v>
      </c>
      <c r="F7" s="28">
        <f>MIN(实盘组合净值!$M$5:$M$59)</f>
        <v>-2.7061955764950518E-2</v>
      </c>
      <c r="G7" s="30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-0.77165537626238978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IFERROR((LOOKUP(2,1/(实盘组合净值!$K$5:$K$59&lt;&gt;""),实盘组合净值!$K$5:$K$59))/(1)-1,"")</f>
        <v>-8.6345880025414656E-3</v>
      </c>
      <c r="D11" s="32">
        <f>IFERROR((LOOKUP(2,1/(实盘组合净值!$K$5:$K$59&lt;&gt;""),实盘组合净值!$K$5:$K$59)/(1))^(说明!$C$17/COUNT(实盘组合净值!$L$5:$L$59))-1,"")</f>
        <v>-4.0314717984634485E-2</v>
      </c>
      <c r="E11" s="139" t="s">
        <v>148</v>
      </c>
      <c r="F11" s="139"/>
      <c r="G11" s="32">
        <f>MIN(实盘组合净值!$M$5:$M$59)</f>
        <v>-2.7061955764950518E-2</v>
      </c>
    </row>
    <row r="12" spans="2:7" ht="22.5" customHeight="1">
      <c r="B12" s="33" t="s">
        <v>156</v>
      </c>
      <c r="C12" s="32">
        <f>IFERROR((LOOKUP(2,1/(实盘组合净值!$K$5:$K$59&lt;&gt;""),实盘组合净值!$K$5:$K$59))/(IFERROR(LOOKUP(DATE(2026,1,1),实盘组合净值!$A$5:$A$59,实盘组合净值!$K$5:$K$59),1))-1,"")</f>
        <v>-8.6345880025414656E-3</v>
      </c>
      <c r="D12" s="32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-3.7438348142243782E-2</v>
      </c>
      <c r="E12" s="139" t="s">
        <v>157</v>
      </c>
      <c r="F12" s="139"/>
      <c r="G12" s="34">
        <f>IFERROR((LOOKUP(2,1/(实盘组合净值!$K$5:$K$59&lt;&gt;""),ROW(实盘组合净值!$K$5:$K$59)))-(LOOKUP(2,1/(实盘组合净值!$M$5:$M$59=0),ROW(实盘组合净值!$M$5:$M$59))),"")</f>
        <v>47</v>
      </c>
    </row>
    <row r="13" spans="2:7" ht="22.5" customHeight="1">
      <c r="B13" s="31" t="s">
        <v>158</v>
      </c>
      <c r="C13" s="32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-8.6345880025414656E-3</v>
      </c>
      <c r="D13" s="32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-3.7438348142243782E-2</v>
      </c>
      <c r="E13" s="139" t="s">
        <v>159</v>
      </c>
      <c r="F13" s="139"/>
      <c r="G13" s="35">
        <f>COUNTIF(实盘组合净值!$L$5:$L$59,"&gt;0")/MAX(COUNT(实盘组合净值!$L$5:$L$59),1)</f>
        <v>0.47058823529411764</v>
      </c>
    </row>
    <row r="14" spans="2:7" ht="22.5" customHeight="1">
      <c r="B14" s="31" t="s">
        <v>160</v>
      </c>
      <c r="C14" s="32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-8.6345880025414656E-3</v>
      </c>
      <c r="D14" s="32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-3.7438348142243782E-2</v>
      </c>
      <c r="E14" s="139" t="s">
        <v>147</v>
      </c>
      <c r="F14" s="139"/>
      <c r="G14" s="32">
        <f>STDEV(实盘组合净值!$L$5:$L$59)*SQRT(说明!$C$17)</f>
        <v>5.2244459411277491E-2</v>
      </c>
    </row>
    <row r="15" spans="2:7" ht="22.5" customHeight="1">
      <c r="B15" s="31" t="s">
        <v>161</v>
      </c>
      <c r="C15" s="32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-8.6345880025414656E-3</v>
      </c>
      <c r="D15" s="32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-3.7438348142243782E-2</v>
      </c>
      <c r="E15" s="139" t="s">
        <v>149</v>
      </c>
      <c r="F15" s="139"/>
      <c r="G15" s="36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-0.77165537626238978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IFERROR(((LOOKUP(2,1/(实盘组合净值!$K$5:$K$59&lt;&gt;""),实盘组合净值!$K$5:$K$59)/1)^(说明!$C$17/MAX(COUNT(实盘组合净值!$L$5:$L$59),1))-1)/ABS(MIN(实盘组合净值!$M$5:$M$59)),"")</f>
        <v>-1.4897193068672581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4" workbookViewId="0">
      <selection activeCell="B18" sqref="B18:G18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0.1796875" customWidth="1"/>
    <col min="5" max="5" width="17.453125" customWidth="1"/>
    <col min="6" max="6" width="16.453125" customWidth="1"/>
    <col min="7" max="7" width="19.1796875" customWidth="1"/>
    <col min="8" max="8" width="2.1796875" customWidth="1"/>
  </cols>
  <sheetData>
    <row r="2" spans="2:7" ht="20.25" customHeight="1">
      <c r="B2" s="135" t="s">
        <v>168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"&amp;TEXT(实盘持仓初始配置!$Z$8,"0.0%")&amp;"（折每日计入净值）"</f>
        <v>买入持有 · 已扣年化费率 0.5%（折每日计入净值）</v>
      </c>
      <c r="C3" s="136"/>
      <c r="D3" s="136"/>
      <c r="E3" s="137" t="str">
        <f>"净值日期："&amp;TEXT(LOOKUP(2,1/(实盘组合净值!$N$5:$N$59&lt;&gt;""),实盘组合净值!$A$5:$A$59),"yyyy-mm-dd")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LOOKUP(2,1/(实盘组合净值!$N$5:$N$59&lt;&gt;""),实盘组合净值!$N$5:$N$59)</f>
        <v>0.99128882275518337</v>
      </c>
      <c r="C7" s="28">
        <f>(LOOKUP(2,1/(实盘组合净值!$N$5:$N$59&lt;&gt;""),实盘组合净值!$N$5:$N$59))/1-1</f>
        <v>-8.7111772448166258E-3</v>
      </c>
      <c r="D7" s="28">
        <f>(LOOKUP(2,1/(实盘组合净值!$N$5:$N$59&lt;&gt;""),实盘组合净值!$N$5:$N$59)/1)^(说明!$C$17/MAX(COUNT(实盘组合净值!$O$5:$O$59),1))-1</f>
        <v>-3.845124808824385E-2</v>
      </c>
      <c r="E7" s="29">
        <f>STDEV(实盘组合净值!$O$5:$O$59)*SQRT(说明!$C$17)</f>
        <v>5.2668190952529018E-2</v>
      </c>
      <c r="F7" s="28">
        <f>MIN(实盘组合净值!$P$5:$P$59)</f>
        <v>-2.8729069309879618E-2</v>
      </c>
      <c r="G7" s="30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-0.7300658593514403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IFERROR((LOOKUP(2,1/(实盘组合净值!$N$5:$N$59&lt;&gt;""),实盘组合净值!$N$5:$N$59))/(1)-1,"")</f>
        <v>-8.7111772448166258E-3</v>
      </c>
      <c r="D11" s="32">
        <f>IFERROR((LOOKUP(2,1/(实盘组合净值!$N$5:$N$59&lt;&gt;""),实盘组合净值!$N$5:$N$59)/(1))^(说明!$C$17/COUNT(实盘组合净值!$O$5:$O$59))-1,"")</f>
        <v>-3.845124808824385E-2</v>
      </c>
      <c r="E11" s="139" t="s">
        <v>148</v>
      </c>
      <c r="F11" s="139"/>
      <c r="G11" s="32">
        <f>MIN(实盘组合净值!$P$5:$P$59)</f>
        <v>-2.8729069309879618E-2</v>
      </c>
    </row>
    <row r="12" spans="2:7" ht="22.5" customHeight="1">
      <c r="B12" s="33" t="s">
        <v>156</v>
      </c>
      <c r="C12" s="32">
        <f>IFERROR((LOOKUP(2,1/(实盘组合净值!$N$5:$N$59&lt;&gt;""),实盘组合净值!$N$5:$N$59))/(IFERROR(LOOKUP(DATE(2026,1,1),实盘组合净值!$A$5:$A$59,实盘组合净值!$N$5:$N$59),1))-1,"")</f>
        <v>-8.7111772448166258E-3</v>
      </c>
      <c r="D12" s="32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-3.7765506638773871E-2</v>
      </c>
      <c r="E12" s="139" t="s">
        <v>157</v>
      </c>
      <c r="F12" s="139"/>
      <c r="G12" s="34">
        <f>IFERROR((LOOKUP(2,1/(实盘组合净值!$N$5:$N$59&lt;&gt;""),ROW(实盘组合净值!$N$5:$N$59)))-(LOOKUP(2,1/(实盘组合净值!$P$5:$P$59=0),ROW(实盘组合净值!$P$5:$P$59))),"")</f>
        <v>47</v>
      </c>
    </row>
    <row r="13" spans="2:7" ht="22.5" customHeight="1">
      <c r="B13" s="31" t="s">
        <v>158</v>
      </c>
      <c r="C13" s="32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-8.7111772448166258E-3</v>
      </c>
      <c r="D13" s="32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-3.7765506638773871E-2</v>
      </c>
      <c r="E13" s="139" t="s">
        <v>159</v>
      </c>
      <c r="F13" s="139"/>
      <c r="G13" s="35">
        <f>COUNTIF(实盘组合净值!$O$5:$O$59,"&gt;0")/MAX(COUNT(实盘组合净值!$O$5:$O$59),1)</f>
        <v>0.48148148148148145</v>
      </c>
    </row>
    <row r="14" spans="2:7" ht="22.5" customHeight="1">
      <c r="B14" s="31" t="s">
        <v>160</v>
      </c>
      <c r="C14" s="32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-8.7111772448166258E-3</v>
      </c>
      <c r="D14" s="32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-3.7765506638773871E-2</v>
      </c>
      <c r="E14" s="139" t="s">
        <v>147</v>
      </c>
      <c r="F14" s="139"/>
      <c r="G14" s="32">
        <f>STDEV(实盘组合净值!$O$5:$O$59)*SQRT(说明!$C$17)</f>
        <v>5.2668190952529018E-2</v>
      </c>
    </row>
    <row r="15" spans="2:7" ht="22.5" customHeight="1">
      <c r="B15" s="31" t="s">
        <v>161</v>
      </c>
      <c r="C15" s="32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-8.7111772448166258E-3</v>
      </c>
      <c r="D15" s="32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-3.7765506638773871E-2</v>
      </c>
      <c r="E15" s="139" t="s">
        <v>149</v>
      </c>
      <c r="F15" s="139"/>
      <c r="G15" s="36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-0.7300658593514403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IFERROR(((LOOKUP(2,1/(实盘组合净值!$N$5:$N$59&lt;&gt;""),实盘组合净值!$N$5:$N$59)/1)^(说明!$C$17/MAX(COUNT(实盘组合净值!$O$5:$O$59),1))-1)/ABS(MIN(实盘组合净值!$P$5:$P$59)),"")</f>
        <v>-1.3384091100723852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/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35" t="s">
        <v>169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"&amp;TEXT(实盘持仓初始配置!$Z$9,"0.0%")&amp;"（折每日计入净值）"</f>
        <v>买入持有 · 已扣年化费率 1.2%（折每日计入净值）</v>
      </c>
      <c r="C3" s="136"/>
      <c r="D3" s="136"/>
      <c r="E3" s="137" t="str">
        <f>"净值日期："&amp;TEXT(LOOKUP(2,1/(实盘组合净值!$Q$5:$Q$59&lt;&gt;""),实盘组合净值!$A$5:$A$59),"yyyy-mm-dd")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LOOKUP(2,1/(实盘组合净值!$Q$5:$Q$59&lt;&gt;""),实盘组合净值!$Q$5:$Q$59)</f>
        <v>0.95835822684860839</v>
      </c>
      <c r="C7" s="28">
        <f>(LOOKUP(2,1/(实盘组合净值!$Q$5:$Q$59&lt;&gt;""),实盘组合净值!$Q$5:$Q$59))/1-1</f>
        <v>-4.1641773151391615E-2</v>
      </c>
      <c r="D7" s="28">
        <f>(LOOKUP(2,1/(实盘组合净值!$Q$5:$Q$59&lt;&gt;""),实盘组合净值!$Q$5:$Q$59)/1)^(说明!$C$17/MAX(COUNT(实盘组合净值!$R$5:$R$59),1))-1</f>
        <v>-0.18276311940047463</v>
      </c>
      <c r="E7" s="29">
        <f>STDEV(实盘组合净值!$R$5:$R$59)*SQRT(说明!$C$17)</f>
        <v>0.1509954351874401</v>
      </c>
      <c r="F7" s="28">
        <f>MIN(实盘组合净值!$S$5:$S$59)</f>
        <v>-8.3940733765942466E-2</v>
      </c>
      <c r="G7" s="30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-1.210388374811459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IFERROR((LOOKUP(2,1/(实盘组合净值!$Q$5:$Q$59&lt;&gt;""),实盘组合净值!$Q$5:$Q$59))/(1)-1,"")</f>
        <v>-4.1641773151391615E-2</v>
      </c>
      <c r="D11" s="32">
        <f>IFERROR((LOOKUP(2,1/(实盘组合净值!$Q$5:$Q$59&lt;&gt;""),实盘组合净值!$Q$5:$Q$59)/(1))^(说明!$C$17/COUNT(实盘组合净值!$R$5:$R$59))-1,"")</f>
        <v>-0.18276311940047463</v>
      </c>
      <c r="E11" s="139" t="s">
        <v>148</v>
      </c>
      <c r="F11" s="139"/>
      <c r="G11" s="32">
        <f>MIN(实盘组合净值!$S$5:$S$59)</f>
        <v>-8.3940733765942466E-2</v>
      </c>
    </row>
    <row r="12" spans="2:7" ht="22.5" customHeight="1">
      <c r="B12" s="33" t="s">
        <v>156</v>
      </c>
      <c r="C12" s="32">
        <f>IFERROR((LOOKUP(2,1/(实盘组合净值!$Q$5:$Q$59&lt;&gt;""),实盘组合净值!$Q$5:$Q$59))/(IFERROR(LOOKUP(DATE(2026,1,1),实盘组合净值!$A$5:$A$59,实盘组合净值!$Q$5:$Q$59),1))-1,"")</f>
        <v>-4.1641773151391615E-2</v>
      </c>
      <c r="D12" s="32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-0.17067902151076653</v>
      </c>
      <c r="E12" s="139" t="s">
        <v>157</v>
      </c>
      <c r="F12" s="139"/>
      <c r="G12" s="34">
        <f>IFERROR((LOOKUP(2,1/(实盘组合净值!$Q$5:$Q$59&lt;&gt;""),ROW(实盘组合净值!$Q$5:$Q$59)))-(LOOKUP(2,1/(实盘组合净值!$S$5:$S$59=0),ROW(实盘组合净值!$S$5:$S$59))),"")</f>
        <v>47</v>
      </c>
    </row>
    <row r="13" spans="2:7" ht="22.5" customHeight="1">
      <c r="B13" s="31" t="s">
        <v>158</v>
      </c>
      <c r="C13" s="32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-4.1641773151391615E-2</v>
      </c>
      <c r="D13" s="32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-0.17067902151076653</v>
      </c>
      <c r="E13" s="139" t="s">
        <v>159</v>
      </c>
      <c r="F13" s="139"/>
      <c r="G13" s="35">
        <f>COUNTIF(实盘组合净值!$R$5:$R$59,"&gt;0")/MAX(COUNT(实盘组合净值!$R$5:$R$59),1)</f>
        <v>0.45098039215686275</v>
      </c>
    </row>
    <row r="14" spans="2:7" ht="22.5" customHeight="1">
      <c r="B14" s="31" t="s">
        <v>160</v>
      </c>
      <c r="C14" s="32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-4.1641773151391615E-2</v>
      </c>
      <c r="D14" s="32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-0.17067902151076653</v>
      </c>
      <c r="E14" s="139" t="s">
        <v>147</v>
      </c>
      <c r="F14" s="139"/>
      <c r="G14" s="32">
        <f>STDEV(实盘组合净值!$R$5:$R$59)*SQRT(说明!$C$17)</f>
        <v>0.1509954351874401</v>
      </c>
    </row>
    <row r="15" spans="2:7" ht="22.5" customHeight="1">
      <c r="B15" s="31" t="s">
        <v>161</v>
      </c>
      <c r="C15" s="32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-4.1641773151391615E-2</v>
      </c>
      <c r="D15" s="32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-0.17067902151076653</v>
      </c>
      <c r="E15" s="139" t="s">
        <v>149</v>
      </c>
      <c r="F15" s="139"/>
      <c r="G15" s="36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-1.210388374811459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IFERROR(((LOOKUP(2,1/(实盘组合净值!$Q$5:$Q$59&lt;&gt;""),实盘组合净值!$Q$5:$Q$59)/1)^(说明!$C$17/MAX(COUNT(实盘组合净值!$R$5:$R$59),1))-1)/ABS(MIN(实盘组合净值!$S$5:$S$59)),"")</f>
        <v>-2.1772876075885303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/>
  </sheetViews>
  <sheetFormatPr defaultColWidth="9.453125" defaultRowHeight="12.5"/>
  <cols>
    <col min="1" max="1" width="2.1796875" customWidth="1"/>
    <col min="2" max="2" width="28.453125" customWidth="1"/>
    <col min="3" max="8" width="16.453125" customWidth="1"/>
  </cols>
  <sheetData>
    <row r="2" spans="2:8" ht="22.5" customHeight="1">
      <c r="B2" s="38" t="s">
        <v>170</v>
      </c>
    </row>
    <row r="3" spans="2:8" ht="14.25" customHeight="1">
      <c r="B3" s="10" t="s">
        <v>171</v>
      </c>
    </row>
    <row r="5" spans="2:8" ht="15" customHeight="1">
      <c r="B5" s="39" t="s">
        <v>172</v>
      </c>
    </row>
    <row r="6" spans="2:8" ht="16.5" customHeight="1">
      <c r="B6" s="40" t="s">
        <v>173</v>
      </c>
      <c r="C6" s="141" t="s">
        <v>174</v>
      </c>
      <c r="D6" s="141"/>
      <c r="E6" s="141"/>
      <c r="F6" s="141"/>
      <c r="G6" s="141"/>
      <c r="H6" s="141"/>
    </row>
    <row r="7" spans="2:8" ht="25.5" customHeight="1">
      <c r="B7" s="40" t="s">
        <v>175</v>
      </c>
      <c r="C7" s="141" t="s">
        <v>176</v>
      </c>
      <c r="D7" s="141"/>
      <c r="E7" s="141"/>
      <c r="F7" s="141"/>
      <c r="G7" s="141"/>
      <c r="H7" s="141"/>
    </row>
    <row r="8" spans="2:8" ht="16.5" customHeight="1">
      <c r="B8" s="40" t="s">
        <v>177</v>
      </c>
      <c r="C8" s="141" t="s">
        <v>178</v>
      </c>
      <c r="D8" s="141"/>
      <c r="E8" s="141"/>
      <c r="F8" s="141"/>
      <c r="G8" s="141"/>
      <c r="H8" s="141"/>
    </row>
    <row r="9" spans="2:8" ht="27.75" customHeight="1">
      <c r="B9" s="40" t="s">
        <v>179</v>
      </c>
      <c r="C9" s="142" t="s">
        <v>180</v>
      </c>
      <c r="D9" s="142"/>
      <c r="E9" s="142"/>
      <c r="F9" s="142"/>
      <c r="G9" s="142"/>
      <c r="H9" s="142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181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182</v>
      </c>
      <c r="C12" s="141" t="s">
        <v>183</v>
      </c>
      <c r="D12" s="141"/>
      <c r="E12" s="141"/>
      <c r="F12" s="141"/>
      <c r="G12" s="141"/>
      <c r="H12" s="141"/>
    </row>
    <row r="13" spans="2:8" ht="16.5" customHeight="1">
      <c r="B13" s="43" t="s">
        <v>184</v>
      </c>
      <c r="C13" s="141" t="s">
        <v>185</v>
      </c>
      <c r="D13" s="141"/>
      <c r="E13" s="141"/>
      <c r="F13" s="141"/>
      <c r="G13" s="141"/>
      <c r="H13" s="141"/>
    </row>
    <row r="14" spans="2:8" ht="16.5" customHeight="1">
      <c r="B14" s="40" t="s">
        <v>186</v>
      </c>
      <c r="C14" s="141" t="s">
        <v>187</v>
      </c>
      <c r="D14" s="141"/>
      <c r="E14" s="141"/>
      <c r="F14" s="141"/>
      <c r="G14" s="141"/>
      <c r="H14" s="141"/>
    </row>
    <row r="15" spans="2:8" ht="14.25" customHeight="1">
      <c r="B15" s="40" t="s">
        <v>188</v>
      </c>
      <c r="C15" s="41" t="s">
        <v>189</v>
      </c>
    </row>
    <row r="16" spans="2:8" ht="13">
      <c r="B16" s="40" t="s">
        <v>190</v>
      </c>
      <c r="C16" s="44">
        <v>0</v>
      </c>
    </row>
    <row r="17" spans="2:3" ht="13">
      <c r="B17" s="40" t="s">
        <v>191</v>
      </c>
      <c r="C17" s="45">
        <v>242</v>
      </c>
    </row>
    <row r="18" spans="2:3" ht="14.25" customHeight="1">
      <c r="B18" s="40" t="s">
        <v>192</v>
      </c>
      <c r="C18" s="41" t="s">
        <v>193</v>
      </c>
    </row>
    <row r="19" spans="2:3" ht="14.25" customHeight="1">
      <c r="B19" s="10" t="s">
        <v>194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实盘持仓初始配置</vt:lpstr>
      <vt:lpstr>偏离度监控</vt:lpstr>
      <vt:lpstr>vs固收+对比（模拟数据）</vt:lpstr>
      <vt:lpstr>vs固收+对比（实盘数据）</vt:lpstr>
      <vt:lpstr>恒生净值</vt:lpstr>
      <vt:lpstr>实盘净值数据(iFinD公式)</vt:lpstr>
      <vt:lpstr>实盘组合净值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2026-08-10T08:54:35Z</dcterms:created>
  <dcterms:modified xsi:type="dcterms:W3CDTF">2026-09-16T06:14:27Z</dcterms:modified>
</cp:coreProperties>
</file>