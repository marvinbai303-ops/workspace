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  <sheet name="持仓权重预警" sheetId="11" r:id="rId11"/>
  </sheets>
  <externalReferences>
    <externalReference r:id="rId12"/>
  </externalReferences>
  <calcPr calcId="152511"/>
</workbook>
</file>

<file path=xl/calcChain.xml><?xml version="1.0" encoding="utf-8"?>
<calcChain xmlns="http://schemas.openxmlformats.org/spreadsheetml/2006/main">
  <c r="C34" i="11" l="1"/>
  <c r="C33" i="11"/>
  <c r="C32" i="11"/>
  <c r="C31" i="11"/>
  <c r="C30" i="11"/>
  <c r="C29" i="11"/>
  <c r="C28" i="11"/>
  <c r="C23" i="11"/>
  <c r="C22" i="11"/>
  <c r="C21" i="11"/>
  <c r="C20" i="11"/>
  <c r="C19" i="11"/>
  <c r="C18" i="11"/>
  <c r="C17" i="11"/>
  <c r="C12" i="11"/>
  <c r="C11" i="11"/>
  <c r="C10" i="11"/>
  <c r="C9" i="11"/>
  <c r="C8" i="11"/>
  <c r="C7" i="11"/>
  <c r="C6" i="11"/>
  <c r="B3" i="9"/>
  <c r="B3" i="8"/>
  <c r="B3" i="7"/>
  <c r="B3" i="6"/>
  <c r="B3" i="5"/>
  <c r="B3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K59" i="3" s="1"/>
  <c r="M59" i="3" s="1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Q58" i="3" s="1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K57" i="3" s="1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K53" i="3" s="1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H52" i="3" s="1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E51" i="3" s="1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K49" i="3" s="1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K44" i="3" s="1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E42" i="3" s="1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N41" i="3" s="1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N40" i="3" s="1"/>
  <c r="P40" i="3" s="1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37" i="3" s="1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E36" i="3" s="1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E35" i="3" s="1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4" i="3" s="1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H33" i="3" s="1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8" i="3" s="1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K26" i="3" s="1"/>
  <c r="M26" i="3" s="1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E25" i="3" s="1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4" i="3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B22" i="3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E21" i="3" s="1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H20" i="3" s="1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K19" i="3" s="1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8" i="3" s="1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7" i="3" s="1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6" i="3" s="1"/>
  <c r="S16" i="3" s="1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E15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V14" i="2"/>
  <c r="N14" i="2"/>
  <c r="F14" i="2"/>
  <c r="U14" i="2"/>
  <c r="M14" i="2"/>
  <c r="E14" i="2"/>
  <c r="T14" i="2"/>
  <c r="L14" i="2"/>
  <c r="D14" i="2"/>
  <c r="S14" i="2"/>
  <c r="K14" i="2"/>
  <c r="C14" i="2"/>
  <c r="R14" i="2"/>
  <c r="J14" i="2"/>
  <c r="B14" i="2"/>
  <c r="Q14" i="2"/>
  <c r="I14" i="2"/>
  <c r="X14" i="2"/>
  <c r="P14" i="2"/>
  <c r="H14" i="2"/>
  <c r="O14" i="2"/>
  <c r="W14" i="2"/>
  <c r="G14" i="2"/>
  <c r="T8" i="2"/>
  <c r="R13" i="2"/>
  <c r="S12" i="2"/>
  <c r="S11" i="2"/>
  <c r="O13" i="2"/>
  <c r="F11" i="2"/>
  <c r="H8" i="2"/>
  <c r="F9" i="2"/>
  <c r="F12" i="2"/>
  <c r="W8" i="2"/>
  <c r="D13" i="2"/>
  <c r="C5" i="2"/>
  <c r="R12" i="2"/>
  <c r="I8" i="2"/>
  <c r="E12" i="2"/>
  <c r="T7" i="2"/>
  <c r="R11" i="2"/>
  <c r="M11" i="2"/>
  <c r="W11" i="2"/>
  <c r="X10" i="2"/>
  <c r="R6" i="2"/>
  <c r="Q9" i="2"/>
  <c r="X13" i="2"/>
  <c r="F13" i="2"/>
  <c r="G6" i="2"/>
  <c r="E8" i="2"/>
  <c r="C11" i="2"/>
  <c r="W12" i="2"/>
  <c r="V13" i="2"/>
  <c r="P12" i="2"/>
  <c r="D8" i="2"/>
  <c r="K12" i="2"/>
  <c r="N7" i="2"/>
  <c r="U12" i="2"/>
  <c r="T9" i="2"/>
  <c r="F7" i="2"/>
  <c r="D11" i="2"/>
  <c r="N8" i="2"/>
  <c r="M10" i="2"/>
  <c r="T10" i="2"/>
  <c r="O11" i="2"/>
  <c r="E11" i="2"/>
  <c r="N10" i="2"/>
  <c r="J5" i="2"/>
  <c r="H10" i="2"/>
  <c r="G7" i="2"/>
  <c r="G8" i="2"/>
  <c r="V7" i="2"/>
  <c r="G5" i="2"/>
  <c r="I9" i="2"/>
  <c r="M9" i="2"/>
  <c r="I6" i="2"/>
  <c r="U5" i="2"/>
  <c r="F10" i="2"/>
  <c r="O10" i="2"/>
  <c r="N12" i="2"/>
  <c r="I11" i="2"/>
  <c r="W10" i="2"/>
  <c r="O5" i="2"/>
  <c r="W7" i="2"/>
  <c r="L11" i="2"/>
  <c r="H9" i="2"/>
  <c r="X12" i="2"/>
  <c r="P11" i="2"/>
  <c r="K10" i="2"/>
  <c r="H6" i="2"/>
  <c r="U13" i="2"/>
  <c r="J7" i="2"/>
  <c r="I5" i="2"/>
  <c r="V8" i="2"/>
  <c r="G13" i="2"/>
  <c r="C10" i="2"/>
  <c r="L6" i="2"/>
  <c r="T12" i="2"/>
  <c r="D9" i="2"/>
  <c r="P8" i="2"/>
  <c r="S6" i="2"/>
  <c r="U9" i="2"/>
  <c r="U10" i="2"/>
  <c r="N5" i="2"/>
  <c r="K7" i="2"/>
  <c r="S10" i="2"/>
  <c r="F5" i="2"/>
  <c r="W13" i="2"/>
  <c r="P9" i="2"/>
  <c r="K9" i="2"/>
  <c r="P10" i="2"/>
  <c r="Q11" i="2"/>
  <c r="W5" i="2"/>
  <c r="Q5" i="2"/>
  <c r="Q6" i="2"/>
  <c r="V10" i="2"/>
  <c r="L12" i="2"/>
  <c r="E9" i="2"/>
  <c r="D12" i="2"/>
  <c r="V6" i="2"/>
  <c r="N6" i="2"/>
  <c r="M7" i="2"/>
  <c r="E7" i="2"/>
  <c r="J12" i="2"/>
  <c r="O7" i="2"/>
  <c r="V11" i="2"/>
  <c r="R7" i="2"/>
  <c r="V12" i="2"/>
  <c r="X6" i="2"/>
  <c r="L10" i="2"/>
  <c r="O9" i="2"/>
  <c r="S13" i="2"/>
  <c r="X7" i="2"/>
  <c r="H5" i="2"/>
  <c r="R8" i="2"/>
  <c r="B7" i="2"/>
  <c r="I10" i="2"/>
  <c r="X9" i="2"/>
  <c r="J10" i="2"/>
  <c r="B13" i="2"/>
  <c r="Q13" i="2"/>
  <c r="B9" i="2"/>
  <c r="R10" i="2"/>
  <c r="W9" i="2"/>
  <c r="F6" i="2"/>
  <c r="C8" i="2"/>
  <c r="G10" i="2"/>
  <c r="D10" i="2"/>
  <c r="C9" i="2"/>
  <c r="K8" i="2"/>
  <c r="M6" i="2"/>
  <c r="C12" i="2"/>
  <c r="O12" i="2"/>
  <c r="J13" i="2"/>
  <c r="B8" i="2"/>
  <c r="B10" i="2"/>
  <c r="G9" i="2"/>
  <c r="I12" i="2"/>
  <c r="C7" i="2"/>
  <c r="P5" i="2"/>
  <c r="F8" i="2"/>
  <c r="L8" i="2"/>
  <c r="I7" i="2"/>
  <c r="G12" i="2"/>
  <c r="U7" i="2"/>
  <c r="C6" i="2"/>
  <c r="J8" i="2"/>
  <c r="M12" i="2"/>
  <c r="P6" i="2"/>
  <c r="L5" i="2"/>
  <c r="K6" i="2"/>
  <c r="H11" i="2"/>
  <c r="T6" i="2"/>
  <c r="S9" i="2"/>
  <c r="G11" i="2"/>
  <c r="M8" i="2"/>
  <c r="X5" i="2"/>
  <c r="K11" i="2"/>
  <c r="K5" i="2"/>
  <c r="L9" i="2"/>
  <c r="O8" i="2"/>
  <c r="D5" i="2"/>
  <c r="D6" i="2"/>
  <c r="N13" i="2"/>
  <c r="Q7" i="2"/>
  <c r="D7" i="2"/>
  <c r="V5" i="2"/>
  <c r="T5" i="2"/>
  <c r="J6" i="2"/>
  <c r="P7" i="2"/>
  <c r="B12" i="2"/>
  <c r="Q10" i="2"/>
  <c r="P13" i="2"/>
  <c r="N11" i="2"/>
  <c r="U8" i="2"/>
  <c r="J9" i="2"/>
  <c r="S7" i="2"/>
  <c r="E13" i="2"/>
  <c r="B6" i="2"/>
  <c r="R5" i="2"/>
  <c r="B11" i="2"/>
  <c r="L13" i="2"/>
  <c r="E6" i="2"/>
  <c r="W6" i="2"/>
  <c r="O6" i="2"/>
  <c r="X8" i="2"/>
  <c r="U6" i="2"/>
  <c r="I13" i="2"/>
  <c r="K13" i="2"/>
  <c r="S8" i="2"/>
  <c r="M5" i="2"/>
  <c r="T13" i="2"/>
  <c r="X11" i="2"/>
  <c r="V9" i="2"/>
  <c r="Q12" i="2"/>
  <c r="L7" i="2"/>
  <c r="T11" i="2"/>
  <c r="M13" i="2"/>
  <c r="N9" i="2"/>
  <c r="U11" i="2"/>
  <c r="J11" i="2"/>
  <c r="S5" i="2"/>
  <c r="E10" i="2"/>
  <c r="C13" i="2"/>
  <c r="H13" i="2"/>
  <c r="B5" i="2"/>
  <c r="Q8" i="2"/>
  <c r="E5" i="2"/>
  <c r="H12" i="2"/>
  <c r="R9" i="2"/>
  <c r="H7" i="2"/>
  <c r="N14" i="3" l="1"/>
  <c r="C35" i="11"/>
  <c r="O19" i="3"/>
  <c r="F22" i="3"/>
  <c r="L54" i="3"/>
  <c r="K29" i="3"/>
  <c r="H14" i="3"/>
  <c r="I15" i="3" s="1"/>
  <c r="Q18" i="3"/>
  <c r="R19" i="3" s="1"/>
  <c r="C24" i="11"/>
  <c r="C13" i="11"/>
  <c r="H18" i="3"/>
  <c r="I19" i="3" s="1"/>
  <c r="R18" i="3"/>
  <c r="B16" i="3"/>
  <c r="B52" i="3"/>
  <c r="Q33" i="3"/>
  <c r="R34" i="3" s="1"/>
  <c r="H17" i="3"/>
  <c r="J17" i="3" s="1"/>
  <c r="E22" i="3"/>
  <c r="F23" i="3" s="1"/>
  <c r="E28" i="3"/>
  <c r="F29" i="3" s="1"/>
  <c r="I21" i="3"/>
  <c r="L20" i="3"/>
  <c r="N22" i="3"/>
  <c r="K34" i="3"/>
  <c r="N8" i="3"/>
  <c r="E8" i="3"/>
  <c r="B8" i="3"/>
  <c r="I8" i="3"/>
  <c r="H8" i="3"/>
  <c r="Q7" i="3"/>
  <c r="N7" i="3"/>
  <c r="E7" i="3"/>
  <c r="C7" i="3"/>
  <c r="K7" i="3"/>
  <c r="B7" i="3"/>
  <c r="K6" i="3"/>
  <c r="Q6" i="3"/>
  <c r="H6" i="3"/>
  <c r="O6" i="3"/>
  <c r="N6" i="3"/>
  <c r="F6" i="3"/>
  <c r="E6" i="3"/>
  <c r="E9" i="3"/>
  <c r="L9" i="3"/>
  <c r="K9" i="3"/>
  <c r="R9" i="3"/>
  <c r="B9" i="3"/>
  <c r="Q9" i="3"/>
  <c r="H9" i="3"/>
  <c r="N9" i="3"/>
  <c r="G1" i="11"/>
  <c r="H5" i="3"/>
  <c r="Q5" i="3"/>
  <c r="B5" i="3"/>
  <c r="K5" i="3"/>
  <c r="K12" i="3"/>
  <c r="B12" i="3"/>
  <c r="Q12" i="3"/>
  <c r="H12" i="3"/>
  <c r="E12" i="3"/>
  <c r="N12" i="3"/>
  <c r="N11" i="3"/>
  <c r="O12" i="3" s="1"/>
  <c r="E11" i="3"/>
  <c r="K11" i="3"/>
  <c r="B11" i="3"/>
  <c r="H11" i="3"/>
  <c r="Q11" i="3"/>
  <c r="B10" i="3"/>
  <c r="Q10" i="3"/>
  <c r="H10" i="3"/>
  <c r="N10" i="3"/>
  <c r="O11" i="3" s="1"/>
  <c r="E10" i="3"/>
  <c r="K10" i="3"/>
  <c r="L11" i="3" s="1"/>
  <c r="F16" i="3"/>
  <c r="G15" i="3"/>
  <c r="Q13" i="3"/>
  <c r="H13" i="3"/>
  <c r="N13" i="3"/>
  <c r="E13" i="3"/>
  <c r="B13" i="3"/>
  <c r="P29" i="3"/>
  <c r="O30" i="3"/>
  <c r="C38" i="3"/>
  <c r="D37" i="3"/>
  <c r="L35" i="3"/>
  <c r="M34" i="3"/>
  <c r="S28" i="3"/>
  <c r="R29" i="3"/>
  <c r="I53" i="3"/>
  <c r="J52" i="3"/>
  <c r="O23" i="3"/>
  <c r="P22" i="3"/>
  <c r="D52" i="3"/>
  <c r="C53" i="3"/>
  <c r="G51" i="3"/>
  <c r="F52" i="3"/>
  <c r="R17" i="3"/>
  <c r="G35" i="3"/>
  <c r="F36" i="3"/>
  <c r="F37" i="3"/>
  <c r="G36" i="3"/>
  <c r="M44" i="3"/>
  <c r="L45" i="3"/>
  <c r="R35" i="3"/>
  <c r="S34" i="3"/>
  <c r="G42" i="3"/>
  <c r="F43" i="3"/>
  <c r="R59" i="3"/>
  <c r="S58" i="3"/>
  <c r="M53" i="3"/>
  <c r="F26" i="3"/>
  <c r="G25" i="3"/>
  <c r="J33" i="3"/>
  <c r="I34" i="3"/>
  <c r="O42" i="3"/>
  <c r="P41" i="3"/>
  <c r="M49" i="3"/>
  <c r="L50" i="3"/>
  <c r="M57" i="3"/>
  <c r="L58" i="3"/>
  <c r="K13" i="3"/>
  <c r="J18" i="3"/>
  <c r="M29" i="3"/>
  <c r="L30" i="3"/>
  <c r="S24" i="3"/>
  <c r="R25" i="3"/>
  <c r="C17" i="3"/>
  <c r="D16" i="3"/>
  <c r="H31" i="3"/>
  <c r="Q31" i="3"/>
  <c r="E31" i="3"/>
  <c r="B31" i="3"/>
  <c r="N31" i="3"/>
  <c r="K31" i="3"/>
  <c r="K39" i="3"/>
  <c r="H39" i="3"/>
  <c r="E39" i="3"/>
  <c r="N39" i="3"/>
  <c r="B39" i="3"/>
  <c r="Q39" i="3"/>
  <c r="K47" i="3"/>
  <c r="H47" i="3"/>
  <c r="B47" i="3"/>
  <c r="N47" i="3"/>
  <c r="Q47" i="3"/>
  <c r="E47" i="3"/>
  <c r="K55" i="3"/>
  <c r="H55" i="3"/>
  <c r="N55" i="3"/>
  <c r="Q55" i="3"/>
  <c r="B55" i="3"/>
  <c r="E55" i="3"/>
  <c r="O41" i="3"/>
  <c r="K15" i="3"/>
  <c r="B15" i="3"/>
  <c r="Q15" i="3"/>
  <c r="H15" i="3"/>
  <c r="N15" i="3"/>
  <c r="K23" i="3"/>
  <c r="B23" i="3"/>
  <c r="Q23" i="3"/>
  <c r="H23" i="3"/>
  <c r="N23" i="3"/>
  <c r="E23" i="3"/>
  <c r="O15" i="3"/>
  <c r="C23" i="3"/>
  <c r="L27" i="3"/>
  <c r="E32" i="3"/>
  <c r="K32" i="3"/>
  <c r="B32" i="3"/>
  <c r="Q32" i="3"/>
  <c r="H32" i="3"/>
  <c r="H40" i="3"/>
  <c r="E40" i="3"/>
  <c r="Q40" i="3"/>
  <c r="H48" i="3"/>
  <c r="E48" i="3"/>
  <c r="B48" i="3"/>
  <c r="K48" i="3"/>
  <c r="Q48" i="3"/>
  <c r="H56" i="3"/>
  <c r="E56" i="3"/>
  <c r="K56" i="3"/>
  <c r="N56" i="3"/>
  <c r="B56" i="3"/>
  <c r="P18" i="3"/>
  <c r="E20" i="3"/>
  <c r="N20" i="3"/>
  <c r="N21" i="3"/>
  <c r="D22" i="3"/>
  <c r="B24" i="3"/>
  <c r="K24" i="3"/>
  <c r="B25" i="3"/>
  <c r="N33" i="3"/>
  <c r="E30" i="3"/>
  <c r="B30" i="3"/>
  <c r="Q30" i="3"/>
  <c r="N38" i="3"/>
  <c r="K38" i="3"/>
  <c r="E38" i="3"/>
  <c r="N46" i="3"/>
  <c r="K46" i="3"/>
  <c r="H46" i="3"/>
  <c r="Q46" i="3"/>
  <c r="E46" i="3"/>
  <c r="N54" i="3"/>
  <c r="K54" i="3"/>
  <c r="Q54" i="3"/>
  <c r="H54" i="3"/>
  <c r="B54" i="3"/>
  <c r="Q14" i="3"/>
  <c r="K16" i="3"/>
  <c r="S17" i="3"/>
  <c r="H19" i="3"/>
  <c r="Q19" i="3"/>
  <c r="Q20" i="3"/>
  <c r="G21" i="3"/>
  <c r="E24" i="3"/>
  <c r="N24" i="3"/>
  <c r="N25" i="3"/>
  <c r="Q42" i="3"/>
  <c r="Q56" i="3"/>
  <c r="H29" i="3"/>
  <c r="E29" i="3"/>
  <c r="Q37" i="3"/>
  <c r="N37" i="3"/>
  <c r="H37" i="3"/>
  <c r="Q45" i="3"/>
  <c r="N45" i="3"/>
  <c r="H45" i="3"/>
  <c r="E45" i="3"/>
  <c r="Q53" i="3"/>
  <c r="N53" i="3"/>
  <c r="H53" i="3"/>
  <c r="E53" i="3"/>
  <c r="B53" i="3"/>
  <c r="B14" i="3"/>
  <c r="B17" i="3"/>
  <c r="K17" i="3"/>
  <c r="H21" i="3"/>
  <c r="Q21" i="3"/>
  <c r="H26" i="3"/>
  <c r="B29" i="3"/>
  <c r="E33" i="3"/>
  <c r="Q38" i="3"/>
  <c r="B46" i="3"/>
  <c r="K28" i="3"/>
  <c r="H28" i="3"/>
  <c r="Q36" i="3"/>
  <c r="B36" i="3"/>
  <c r="H36" i="3"/>
  <c r="Q44" i="3"/>
  <c r="E44" i="3"/>
  <c r="N44" i="3"/>
  <c r="B44" i="3"/>
  <c r="Q52" i="3"/>
  <c r="K52" i="3"/>
  <c r="E52" i="3"/>
  <c r="K14" i="3"/>
  <c r="E16" i="3"/>
  <c r="N16" i="3"/>
  <c r="B18" i="3"/>
  <c r="K18" i="3"/>
  <c r="J20" i="3"/>
  <c r="H22" i="3"/>
  <c r="Q22" i="3"/>
  <c r="Q29" i="3"/>
  <c r="H30" i="3"/>
  <c r="N32" i="3"/>
  <c r="B34" i="3"/>
  <c r="E37" i="3"/>
  <c r="B38" i="3"/>
  <c r="B40" i="3"/>
  <c r="B45" i="3"/>
  <c r="N48" i="3"/>
  <c r="N52" i="3"/>
  <c r="N27" i="3"/>
  <c r="K27" i="3"/>
  <c r="B27" i="3"/>
  <c r="K35" i="3"/>
  <c r="H35" i="3"/>
  <c r="Q35" i="3"/>
  <c r="Q43" i="3"/>
  <c r="N43" i="3"/>
  <c r="B43" i="3"/>
  <c r="K43" i="3"/>
  <c r="K51" i="3"/>
  <c r="H51" i="3"/>
  <c r="Q51" i="3"/>
  <c r="B51" i="3"/>
  <c r="B59" i="3"/>
  <c r="D59" i="3" s="1"/>
  <c r="H59" i="3"/>
  <c r="J59" i="3" s="1"/>
  <c r="Q59" i="3"/>
  <c r="S59" i="3" s="1"/>
  <c r="E59" i="3"/>
  <c r="G59" i="3" s="1"/>
  <c r="N59" i="3"/>
  <c r="P59" i="3" s="1"/>
  <c r="B19" i="3"/>
  <c r="B20" i="3"/>
  <c r="K20" i="3"/>
  <c r="H24" i="3"/>
  <c r="E27" i="3"/>
  <c r="Q27" i="3"/>
  <c r="K30" i="3"/>
  <c r="N35" i="3"/>
  <c r="K36" i="3"/>
  <c r="E43" i="3"/>
  <c r="E54" i="3"/>
  <c r="Q26" i="3"/>
  <c r="N26" i="3"/>
  <c r="E26" i="3"/>
  <c r="N34" i="3"/>
  <c r="E34" i="3"/>
  <c r="B42" i="3"/>
  <c r="N42" i="3"/>
  <c r="K42" i="3"/>
  <c r="B50" i="3"/>
  <c r="Q50" i="3"/>
  <c r="E50" i="3"/>
  <c r="N50" i="3"/>
  <c r="K50" i="3"/>
  <c r="B58" i="3"/>
  <c r="E58" i="3"/>
  <c r="N58" i="3"/>
  <c r="K58" i="3"/>
  <c r="H58" i="3"/>
  <c r="E14" i="3"/>
  <c r="E17" i="3"/>
  <c r="N17" i="3"/>
  <c r="M19" i="3"/>
  <c r="B21" i="3"/>
  <c r="K21" i="3"/>
  <c r="K22" i="3"/>
  <c r="N36" i="3"/>
  <c r="K37" i="3"/>
  <c r="H43" i="3"/>
  <c r="H44" i="3"/>
  <c r="H50" i="3"/>
  <c r="N51" i="3"/>
  <c r="Q25" i="3"/>
  <c r="H25" i="3"/>
  <c r="B33" i="3"/>
  <c r="K33" i="3"/>
  <c r="E41" i="3"/>
  <c r="B41" i="3"/>
  <c r="H41" i="3"/>
  <c r="Q41" i="3"/>
  <c r="E49" i="3"/>
  <c r="B49" i="3"/>
  <c r="Q49" i="3"/>
  <c r="N49" i="3"/>
  <c r="H49" i="3"/>
  <c r="E57" i="3"/>
  <c r="B57" i="3"/>
  <c r="H57" i="3"/>
  <c r="Q57" i="3"/>
  <c r="N57" i="3"/>
  <c r="H16" i="3"/>
  <c r="E18" i="3"/>
  <c r="E19" i="3"/>
  <c r="N19" i="3"/>
  <c r="K25" i="3"/>
  <c r="B26" i="3"/>
  <c r="H27" i="3"/>
  <c r="B28" i="3"/>
  <c r="N28" i="3"/>
  <c r="N30" i="3"/>
  <c r="H34" i="3"/>
  <c r="B35" i="3"/>
  <c r="H38" i="3"/>
  <c r="K40" i="3"/>
  <c r="K41" i="3"/>
  <c r="H42" i="3"/>
  <c r="K45" i="3"/>
  <c r="P14" i="3" l="1"/>
  <c r="I18" i="3"/>
  <c r="S18" i="3"/>
  <c r="G28" i="3"/>
  <c r="J14" i="3"/>
  <c r="S33" i="3"/>
  <c r="P12" i="3"/>
  <c r="G22" i="3"/>
  <c r="C12" i="3"/>
  <c r="D11" i="3"/>
  <c r="R10" i="3"/>
  <c r="S9" i="3"/>
  <c r="P10" i="3"/>
  <c r="D9" i="3"/>
  <c r="C10" i="3"/>
  <c r="O8" i="3"/>
  <c r="P7" i="3"/>
  <c r="J34" i="3"/>
  <c r="I35" i="3"/>
  <c r="G19" i="3"/>
  <c r="F20" i="3"/>
  <c r="J49" i="3"/>
  <c r="I50" i="3"/>
  <c r="G41" i="3"/>
  <c r="F42" i="3"/>
  <c r="I44" i="3"/>
  <c r="J43" i="3"/>
  <c r="F18" i="3"/>
  <c r="G17" i="3"/>
  <c r="O43" i="3"/>
  <c r="P42" i="3"/>
  <c r="S51" i="3"/>
  <c r="R52" i="3"/>
  <c r="I36" i="3"/>
  <c r="J35" i="3"/>
  <c r="J22" i="3"/>
  <c r="I23" i="3"/>
  <c r="S36" i="3"/>
  <c r="R37" i="3"/>
  <c r="S45" i="3"/>
  <c r="R46" i="3"/>
  <c r="L17" i="3"/>
  <c r="M16" i="3"/>
  <c r="C31" i="3"/>
  <c r="D30" i="3"/>
  <c r="F11" i="3"/>
  <c r="G10" i="3"/>
  <c r="F8" i="3"/>
  <c r="G7" i="3"/>
  <c r="M45" i="3"/>
  <c r="L46" i="3"/>
  <c r="P28" i="3"/>
  <c r="O29" i="3"/>
  <c r="I17" i="3"/>
  <c r="J16" i="3"/>
  <c r="R50" i="3"/>
  <c r="S49" i="3"/>
  <c r="C34" i="3"/>
  <c r="D33" i="3"/>
  <c r="O37" i="3"/>
  <c r="P36" i="3"/>
  <c r="L51" i="3"/>
  <c r="M50" i="3"/>
  <c r="G34" i="3"/>
  <c r="F35" i="3"/>
  <c r="O36" i="3"/>
  <c r="P35" i="3"/>
  <c r="L52" i="3"/>
  <c r="M51" i="3"/>
  <c r="C28" i="3"/>
  <c r="D27" i="3"/>
  <c r="F38" i="3"/>
  <c r="G37" i="3"/>
  <c r="M18" i="3"/>
  <c r="L19" i="3"/>
  <c r="D44" i="3"/>
  <c r="C45" i="3"/>
  <c r="L29" i="3"/>
  <c r="M28" i="3"/>
  <c r="L18" i="3"/>
  <c r="M17" i="3"/>
  <c r="I54" i="3"/>
  <c r="J53" i="3"/>
  <c r="O38" i="3"/>
  <c r="P37" i="3"/>
  <c r="F25" i="3"/>
  <c r="G24" i="3"/>
  <c r="C55" i="3"/>
  <c r="D54" i="3"/>
  <c r="M46" i="3"/>
  <c r="L47" i="3"/>
  <c r="O34" i="3"/>
  <c r="P33" i="3"/>
  <c r="D48" i="3"/>
  <c r="C49" i="3"/>
  <c r="C12" i="4"/>
  <c r="C7" i="4"/>
  <c r="D14" i="4"/>
  <c r="B7" i="4"/>
  <c r="C11" i="4"/>
  <c r="C13" i="4"/>
  <c r="D13" i="4"/>
  <c r="D12" i="4"/>
  <c r="C14" i="4"/>
  <c r="E3" i="4"/>
  <c r="D32" i="3"/>
  <c r="C15" i="4"/>
  <c r="D15" i="4"/>
  <c r="C33" i="3"/>
  <c r="G23" i="3"/>
  <c r="F24" i="3"/>
  <c r="S15" i="3"/>
  <c r="R16" i="3"/>
  <c r="S55" i="3"/>
  <c r="R56" i="3"/>
  <c r="J47" i="3"/>
  <c r="I48" i="3"/>
  <c r="L32" i="3"/>
  <c r="M31" i="3"/>
  <c r="L14" i="3"/>
  <c r="M13" i="3"/>
  <c r="F14" i="3"/>
  <c r="G13" i="3"/>
  <c r="J10" i="3"/>
  <c r="I11" i="3"/>
  <c r="P11" i="3"/>
  <c r="C6" i="3"/>
  <c r="D5" i="3"/>
  <c r="D6" i="3"/>
  <c r="I7" i="3"/>
  <c r="J6" i="3"/>
  <c r="R8" i="3"/>
  <c r="S7" i="3"/>
  <c r="D12" i="3"/>
  <c r="C13" i="3"/>
  <c r="O31" i="3"/>
  <c r="P30" i="3"/>
  <c r="F19" i="3"/>
  <c r="G18" i="3"/>
  <c r="M33" i="3"/>
  <c r="L34" i="3"/>
  <c r="C59" i="3"/>
  <c r="D58" i="3"/>
  <c r="C20" i="3"/>
  <c r="D19" i="3"/>
  <c r="O7" i="3"/>
  <c r="P6" i="3"/>
  <c r="G11" i="3"/>
  <c r="F12" i="3"/>
  <c r="M8" i="3"/>
  <c r="M5" i="3"/>
  <c r="L6" i="3"/>
  <c r="J42" i="3"/>
  <c r="I43" i="3"/>
  <c r="C29" i="3"/>
  <c r="D28" i="3"/>
  <c r="O58" i="3"/>
  <c r="P57" i="3"/>
  <c r="D49" i="3"/>
  <c r="C50" i="3"/>
  <c r="I26" i="3"/>
  <c r="J25" i="3"/>
  <c r="L23" i="3"/>
  <c r="M22" i="3"/>
  <c r="O51" i="3"/>
  <c r="P50" i="3"/>
  <c r="O35" i="3"/>
  <c r="P34" i="3"/>
  <c r="L31" i="3"/>
  <c r="M30" i="3"/>
  <c r="L44" i="3"/>
  <c r="M43" i="3"/>
  <c r="L28" i="3"/>
  <c r="M27" i="3"/>
  <c r="D34" i="3"/>
  <c r="C35" i="3"/>
  <c r="C19" i="3"/>
  <c r="D18" i="3"/>
  <c r="O45" i="3"/>
  <c r="P44" i="3"/>
  <c r="C47" i="3"/>
  <c r="D46" i="3"/>
  <c r="C18" i="3"/>
  <c r="D17" i="3"/>
  <c r="P53" i="3"/>
  <c r="O54" i="3"/>
  <c r="S37" i="3"/>
  <c r="R38" i="3"/>
  <c r="J54" i="3"/>
  <c r="I55" i="3"/>
  <c r="P46" i="3"/>
  <c r="O47" i="3"/>
  <c r="D25" i="3"/>
  <c r="C26" i="3"/>
  <c r="C57" i="3"/>
  <c r="D56" i="3"/>
  <c r="G48" i="3"/>
  <c r="F49" i="3"/>
  <c r="C15" i="7"/>
  <c r="D12" i="7"/>
  <c r="C12" i="7"/>
  <c r="C7" i="7"/>
  <c r="D14" i="7"/>
  <c r="B7" i="7"/>
  <c r="C14" i="7"/>
  <c r="E3" i="7"/>
  <c r="C11" i="7"/>
  <c r="M32" i="3"/>
  <c r="D13" i="7"/>
  <c r="C13" i="7"/>
  <c r="D15" i="7"/>
  <c r="L33" i="3"/>
  <c r="O24" i="3"/>
  <c r="P23" i="3"/>
  <c r="C16" i="3"/>
  <c r="D15" i="3"/>
  <c r="P55" i="3"/>
  <c r="O56" i="3"/>
  <c r="M47" i="3"/>
  <c r="L48" i="3"/>
  <c r="P31" i="3"/>
  <c r="O32" i="3"/>
  <c r="P13" i="3"/>
  <c r="O14" i="3"/>
  <c r="M41" i="3"/>
  <c r="L42" i="3"/>
  <c r="J27" i="3"/>
  <c r="I28" i="3"/>
  <c r="R58" i="3"/>
  <c r="S57" i="3"/>
  <c r="G49" i="3"/>
  <c r="F50" i="3"/>
  <c r="S25" i="3"/>
  <c r="R26" i="3"/>
  <c r="M21" i="3"/>
  <c r="L22" i="3"/>
  <c r="G50" i="3"/>
  <c r="F51" i="3"/>
  <c r="F27" i="3"/>
  <c r="G26" i="3"/>
  <c r="S27" i="3"/>
  <c r="R28" i="3"/>
  <c r="D43" i="3"/>
  <c r="C44" i="3"/>
  <c r="O28" i="3"/>
  <c r="P27" i="3"/>
  <c r="C15" i="8"/>
  <c r="D12" i="8"/>
  <c r="C12" i="8"/>
  <c r="C7" i="8"/>
  <c r="D14" i="8"/>
  <c r="B7" i="8"/>
  <c r="C14" i="8"/>
  <c r="E3" i="8"/>
  <c r="C11" i="8"/>
  <c r="D13" i="8"/>
  <c r="C13" i="8"/>
  <c r="D15" i="8"/>
  <c r="O33" i="3"/>
  <c r="P32" i="3"/>
  <c r="O17" i="3"/>
  <c r="P16" i="3"/>
  <c r="F45" i="3"/>
  <c r="G44" i="3"/>
  <c r="S38" i="3"/>
  <c r="R39" i="3"/>
  <c r="C15" i="3"/>
  <c r="D14" i="3"/>
  <c r="S53" i="3"/>
  <c r="R54" i="3"/>
  <c r="G29" i="3"/>
  <c r="F30" i="3"/>
  <c r="R21" i="3"/>
  <c r="S20" i="3"/>
  <c r="S54" i="3"/>
  <c r="R55" i="3"/>
  <c r="F39" i="3"/>
  <c r="G38" i="3"/>
  <c r="L25" i="3"/>
  <c r="M24" i="3"/>
  <c r="P56" i="3"/>
  <c r="O57" i="3"/>
  <c r="J48" i="3"/>
  <c r="I49" i="3"/>
  <c r="C15" i="5"/>
  <c r="D12" i="5"/>
  <c r="C12" i="5"/>
  <c r="C7" i="5"/>
  <c r="D14" i="5"/>
  <c r="B7" i="5"/>
  <c r="C14" i="5"/>
  <c r="C11" i="5"/>
  <c r="C13" i="5"/>
  <c r="E3" i="5"/>
  <c r="F33" i="3"/>
  <c r="G32" i="3"/>
  <c r="D15" i="5"/>
  <c r="D13" i="5"/>
  <c r="I24" i="3"/>
  <c r="J23" i="3"/>
  <c r="L16" i="3"/>
  <c r="M15" i="3"/>
  <c r="I56" i="3"/>
  <c r="J55" i="3"/>
  <c r="S39" i="3"/>
  <c r="R40" i="3"/>
  <c r="C32" i="3"/>
  <c r="D31" i="3"/>
  <c r="I14" i="3"/>
  <c r="J13" i="3"/>
  <c r="R11" i="3"/>
  <c r="S10" i="3"/>
  <c r="O13" i="3"/>
  <c r="R6" i="3"/>
  <c r="S5" i="3"/>
  <c r="S8" i="3"/>
  <c r="M9" i="3"/>
  <c r="L10" i="3"/>
  <c r="S6" i="3"/>
  <c r="R7" i="3"/>
  <c r="I9" i="3"/>
  <c r="J8" i="3"/>
  <c r="M10" i="3"/>
  <c r="L13" i="3"/>
  <c r="M12" i="3"/>
  <c r="M40" i="3"/>
  <c r="L41" i="3"/>
  <c r="C27" i="3"/>
  <c r="D26" i="3"/>
  <c r="J57" i="3"/>
  <c r="I58" i="3"/>
  <c r="R42" i="3"/>
  <c r="S41" i="3"/>
  <c r="O52" i="3"/>
  <c r="P51" i="3"/>
  <c r="C22" i="3"/>
  <c r="D21" i="3"/>
  <c r="J58" i="3"/>
  <c r="I59" i="3"/>
  <c r="R51" i="3"/>
  <c r="S50" i="3"/>
  <c r="O27" i="3"/>
  <c r="P26" i="3"/>
  <c r="G27" i="3"/>
  <c r="F28" i="3"/>
  <c r="O44" i="3"/>
  <c r="P43" i="3"/>
  <c r="P52" i="3"/>
  <c r="O53" i="3"/>
  <c r="I31" i="3"/>
  <c r="J30" i="3"/>
  <c r="F17" i="3"/>
  <c r="G16" i="3"/>
  <c r="S44" i="3"/>
  <c r="R45" i="3"/>
  <c r="F34" i="3"/>
  <c r="G33" i="3"/>
  <c r="F46" i="3"/>
  <c r="G45" i="3"/>
  <c r="I30" i="3"/>
  <c r="J29" i="3"/>
  <c r="S19" i="3"/>
  <c r="R20" i="3"/>
  <c r="M54" i="3"/>
  <c r="L55" i="3"/>
  <c r="L39" i="3"/>
  <c r="M38" i="3"/>
  <c r="D24" i="3"/>
  <c r="C25" i="3"/>
  <c r="M56" i="3"/>
  <c r="L57" i="3"/>
  <c r="R41" i="3"/>
  <c r="S40" i="3"/>
  <c r="R24" i="3"/>
  <c r="S23" i="3"/>
  <c r="M55" i="3"/>
  <c r="L56" i="3"/>
  <c r="D39" i="3"/>
  <c r="C40" i="3"/>
  <c r="G31" i="3"/>
  <c r="F32" i="3"/>
  <c r="R14" i="3"/>
  <c r="S13" i="3"/>
  <c r="L7" i="3"/>
  <c r="M6" i="3"/>
  <c r="G58" i="3"/>
  <c r="F59" i="3"/>
  <c r="G43" i="3"/>
  <c r="F44" i="3"/>
  <c r="C21" i="3"/>
  <c r="D20" i="3"/>
  <c r="D40" i="3"/>
  <c r="C41" i="3"/>
  <c r="L53" i="3"/>
  <c r="M52" i="3"/>
  <c r="R22" i="3"/>
  <c r="S21" i="3"/>
  <c r="C54" i="3"/>
  <c r="D53" i="3"/>
  <c r="P25" i="3"/>
  <c r="O26" i="3"/>
  <c r="S46" i="3"/>
  <c r="R47" i="3"/>
  <c r="P20" i="3"/>
  <c r="O21" i="3"/>
  <c r="R49" i="3"/>
  <c r="S48" i="3"/>
  <c r="C15" i="6"/>
  <c r="D12" i="6"/>
  <c r="C12" i="6"/>
  <c r="C7" i="6"/>
  <c r="D14" i="6"/>
  <c r="B7" i="6"/>
  <c r="C14" i="6"/>
  <c r="E3" i="6"/>
  <c r="C11" i="6"/>
  <c r="D13" i="6"/>
  <c r="C13" i="6"/>
  <c r="D15" i="6"/>
  <c r="I33" i="3"/>
  <c r="J32" i="3"/>
  <c r="O16" i="3"/>
  <c r="P15" i="3"/>
  <c r="G55" i="3"/>
  <c r="F56" i="3"/>
  <c r="P47" i="3"/>
  <c r="O48" i="3"/>
  <c r="I40" i="3"/>
  <c r="J39" i="3"/>
  <c r="L12" i="3"/>
  <c r="M11" i="3"/>
  <c r="F13" i="3"/>
  <c r="G12" i="3"/>
  <c r="I6" i="3"/>
  <c r="J7" i="3"/>
  <c r="J5" i="3"/>
  <c r="J38" i="3"/>
  <c r="I39" i="3"/>
  <c r="L26" i="3"/>
  <c r="M25" i="3"/>
  <c r="D57" i="3"/>
  <c r="C58" i="3"/>
  <c r="J41" i="3"/>
  <c r="I42" i="3"/>
  <c r="J50" i="3"/>
  <c r="I51" i="3"/>
  <c r="L59" i="3"/>
  <c r="M58" i="3"/>
  <c r="D50" i="3"/>
  <c r="C51" i="3"/>
  <c r="R27" i="3"/>
  <c r="S26" i="3"/>
  <c r="I25" i="3"/>
  <c r="J24" i="3"/>
  <c r="R44" i="3"/>
  <c r="S43" i="3"/>
  <c r="P48" i="3"/>
  <c r="O49" i="3"/>
  <c r="R30" i="3"/>
  <c r="S29" i="3"/>
  <c r="M14" i="3"/>
  <c r="L15" i="3"/>
  <c r="I37" i="3"/>
  <c r="J36" i="3"/>
  <c r="D29" i="3"/>
  <c r="C30" i="3"/>
  <c r="J45" i="3"/>
  <c r="I46" i="3"/>
  <c r="R57" i="3"/>
  <c r="S56" i="3"/>
  <c r="J19" i="3"/>
  <c r="I20" i="3"/>
  <c r="O55" i="3"/>
  <c r="P54" i="3"/>
  <c r="P38" i="3"/>
  <c r="O39" i="3"/>
  <c r="G56" i="3"/>
  <c r="F57" i="3"/>
  <c r="G40" i="3"/>
  <c r="F41" i="3"/>
  <c r="C24" i="3"/>
  <c r="D23" i="3"/>
  <c r="G47" i="3"/>
  <c r="F48" i="3"/>
  <c r="P39" i="3"/>
  <c r="O40" i="3"/>
  <c r="R32" i="3"/>
  <c r="S31" i="3"/>
  <c r="R12" i="3"/>
  <c r="S11" i="3"/>
  <c r="I13" i="3"/>
  <c r="J12" i="3"/>
  <c r="G4" i="11"/>
  <c r="D34" i="11" s="1"/>
  <c r="G3" i="11"/>
  <c r="D21" i="11" s="1"/>
  <c r="G2" i="11"/>
  <c r="D9" i="11" s="1"/>
  <c r="B2" i="11"/>
  <c r="F10" i="3"/>
  <c r="G9" i="3"/>
  <c r="C8" i="3"/>
  <c r="D7" i="3"/>
  <c r="C9" i="3"/>
  <c r="D8" i="3"/>
  <c r="I10" i="3"/>
  <c r="J9" i="3"/>
  <c r="O50" i="3"/>
  <c r="P49" i="3"/>
  <c r="M37" i="3"/>
  <c r="L38" i="3"/>
  <c r="F15" i="3"/>
  <c r="G14" i="3"/>
  <c r="D42" i="3"/>
  <c r="C43" i="3"/>
  <c r="M36" i="3"/>
  <c r="L37" i="3"/>
  <c r="I52" i="3"/>
  <c r="J51" i="3"/>
  <c r="L36" i="3"/>
  <c r="M35" i="3"/>
  <c r="C39" i="3"/>
  <c r="D38" i="3"/>
  <c r="R53" i="3"/>
  <c r="S52" i="3"/>
  <c r="I29" i="3"/>
  <c r="J28" i="3"/>
  <c r="I22" i="3"/>
  <c r="J21" i="3"/>
  <c r="F54" i="3"/>
  <c r="G53" i="3"/>
  <c r="J37" i="3"/>
  <c r="I38" i="3"/>
  <c r="P24" i="3"/>
  <c r="O25" i="3"/>
  <c r="R15" i="3"/>
  <c r="S14" i="3"/>
  <c r="J46" i="3"/>
  <c r="I47" i="3"/>
  <c r="F31" i="3"/>
  <c r="G30" i="3"/>
  <c r="G20" i="3"/>
  <c r="F21" i="3"/>
  <c r="M48" i="3"/>
  <c r="L49" i="3"/>
  <c r="C15" i="9"/>
  <c r="D12" i="9"/>
  <c r="C12" i="9"/>
  <c r="C7" i="9"/>
  <c r="D14" i="9"/>
  <c r="B7" i="9"/>
  <c r="C14" i="9"/>
  <c r="E3" i="9"/>
  <c r="C11" i="9"/>
  <c r="R33" i="3"/>
  <c r="D13" i="9"/>
  <c r="C13" i="9"/>
  <c r="D15" i="9"/>
  <c r="S32" i="3"/>
  <c r="J15" i="3"/>
  <c r="I16" i="3"/>
  <c r="C56" i="3"/>
  <c r="D55" i="3"/>
  <c r="D47" i="3"/>
  <c r="C48" i="3"/>
  <c r="M39" i="3"/>
  <c r="L40" i="3"/>
  <c r="C14" i="3"/>
  <c r="D13" i="3"/>
  <c r="C11" i="3"/>
  <c r="D10" i="3"/>
  <c r="D35" i="3"/>
  <c r="C36" i="3"/>
  <c r="O20" i="3"/>
  <c r="P19" i="3"/>
  <c r="G57" i="3"/>
  <c r="F58" i="3"/>
  <c r="D41" i="3"/>
  <c r="C42" i="3"/>
  <c r="I45" i="3"/>
  <c r="J44" i="3"/>
  <c r="O18" i="3"/>
  <c r="P17" i="3"/>
  <c r="O59" i="3"/>
  <c r="P58" i="3"/>
  <c r="L43" i="3"/>
  <c r="M42" i="3"/>
  <c r="F55" i="3"/>
  <c r="G54" i="3"/>
  <c r="L21" i="3"/>
  <c r="M20" i="3"/>
  <c r="D51" i="3"/>
  <c r="C52" i="3"/>
  <c r="R36" i="3"/>
  <c r="S35" i="3"/>
  <c r="C46" i="3"/>
  <c r="D45" i="3"/>
  <c r="R23" i="3"/>
  <c r="S22" i="3"/>
  <c r="F53" i="3"/>
  <c r="G52" i="3"/>
  <c r="D36" i="3"/>
  <c r="C37" i="3"/>
  <c r="J26" i="3"/>
  <c r="I27" i="3"/>
  <c r="P45" i="3"/>
  <c r="O46" i="3"/>
  <c r="S42" i="3"/>
  <c r="R43" i="3"/>
  <c r="G46" i="3"/>
  <c r="F47" i="3"/>
  <c r="S30" i="3"/>
  <c r="R31" i="3"/>
  <c r="O22" i="3"/>
  <c r="P21" i="3"/>
  <c r="J56" i="3"/>
  <c r="I57" i="3"/>
  <c r="J40" i="3"/>
  <c r="I41" i="3"/>
  <c r="L24" i="3"/>
  <c r="M23" i="3"/>
  <c r="S47" i="3"/>
  <c r="R48" i="3"/>
  <c r="G39" i="3"/>
  <c r="F40" i="3"/>
  <c r="J31" i="3"/>
  <c r="I32" i="3"/>
  <c r="I12" i="3"/>
  <c r="J11" i="3"/>
  <c r="S12" i="3"/>
  <c r="R13" i="3"/>
  <c r="O10" i="3"/>
  <c r="P9" i="3"/>
  <c r="F7" i="3"/>
  <c r="G6" i="3"/>
  <c r="L8" i="3"/>
  <c r="M7" i="3"/>
  <c r="F9" i="3"/>
  <c r="G8" i="3"/>
  <c r="P8" i="3"/>
  <c r="O9" i="3"/>
  <c r="D11" i="5" l="1"/>
  <c r="D7" i="9"/>
  <c r="G14" i="8"/>
  <c r="D7" i="8"/>
  <c r="G15" i="6"/>
  <c r="G14" i="5"/>
  <c r="E7" i="5"/>
  <c r="E7" i="8"/>
  <c r="D7" i="4"/>
  <c r="D11" i="6"/>
  <c r="G15" i="9"/>
  <c r="G15" i="7"/>
  <c r="G13" i="8"/>
  <c r="G12" i="8"/>
  <c r="G7" i="7"/>
  <c r="G12" i="5"/>
  <c r="D11" i="4"/>
  <c r="G7" i="9"/>
  <c r="G16" i="6"/>
  <c r="G16" i="9"/>
  <c r="D11" i="11"/>
  <c r="D6" i="11"/>
  <c r="D18" i="11"/>
  <c r="D19" i="11"/>
  <c r="D31" i="11"/>
  <c r="D7" i="6"/>
  <c r="G7" i="5"/>
  <c r="D11" i="8"/>
  <c r="G16" i="4"/>
  <c r="D20" i="11"/>
  <c r="G7" i="4"/>
  <c r="D11" i="9"/>
  <c r="D10" i="11"/>
  <c r="D22" i="11"/>
  <c r="D23" i="11"/>
  <c r="G11" i="6"/>
  <c r="F7" i="6"/>
  <c r="G12" i="6"/>
  <c r="G11" i="9"/>
  <c r="F7" i="9"/>
  <c r="G12" i="9"/>
  <c r="G16" i="7"/>
  <c r="G11" i="8"/>
  <c r="F7" i="8"/>
  <c r="D32" i="11"/>
  <c r="D12" i="11"/>
  <c r="D17" i="11"/>
  <c r="D29" i="11"/>
  <c r="D30" i="11"/>
  <c r="G14" i="9"/>
  <c r="G13" i="9"/>
  <c r="E7" i="9"/>
  <c r="G15" i="5"/>
  <c r="G15" i="8"/>
  <c r="D28" i="11"/>
  <c r="G13" i="5"/>
  <c r="G11" i="5"/>
  <c r="F7" i="5"/>
  <c r="D33" i="11"/>
  <c r="G14" i="6"/>
  <c r="G13" i="6"/>
  <c r="E7" i="6"/>
  <c r="G16" i="5"/>
  <c r="D7" i="5"/>
  <c r="G7" i="8"/>
  <c r="D7" i="7"/>
  <c r="G14" i="7"/>
  <c r="G13" i="7"/>
  <c r="E7" i="7"/>
  <c r="G11" i="4"/>
  <c r="F7" i="4"/>
  <c r="G12" i="4"/>
  <c r="G16" i="8"/>
  <c r="D11" i="7"/>
  <c r="G11" i="7"/>
  <c r="F7" i="7"/>
  <c r="G12" i="7"/>
  <c r="G14" i="4"/>
  <c r="G13" i="4"/>
  <c r="E7" i="4"/>
  <c r="G15" i="4"/>
  <c r="G7" i="6"/>
  <c r="D7" i="11"/>
  <c r="D8" i="11"/>
  <c r="D35" i="11" l="1"/>
  <c r="D24" i="11"/>
  <c r="D13" i="11"/>
</calcChain>
</file>

<file path=xl/sharedStrings.xml><?xml version="1.0" encoding="utf-8"?>
<sst xmlns="http://schemas.openxmlformats.org/spreadsheetml/2006/main" count="369" uniqueCount="139">
  <si>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</si>
  <si>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</si>
  <si>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</si>
  <si>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</si>
  <si>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</si>
  <si>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</si>
  <si>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</si>
  <si>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</si>
  <si>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</si>
  <si>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</si>
  <si>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</si>
  <si>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</si>
  <si>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</si>
  <si>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</si>
  <si>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</si>
  <si>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</si>
  <si>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</si>
  <si>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</si>
  <si>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</si>
  <si>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</si>
  <si>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</si>
  <si>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</si>
  <si>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</si>
  <si>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</si>
  <si>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</si>
  <si>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</si>
  <si>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</si>
  <si>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</si>
  <si>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</si>
  <si>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</si>
  <si>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</si>
  <si>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</si>
  <si>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</si>
  <si>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</si>
  <si>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</si>
  <si>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</si>
  <si>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</si>
  <si>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</si>
  <si>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</si>
  <si>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</si>
  <si>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</si>
  <si>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</si>
  <si>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</si>
  <si>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</si>
  <si>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</si>
  <si>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</si>
  <si>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</si>
  <si>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</si>
  <si>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</si>
  <si>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</si>
  <si>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</si>
  <si>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</si>
  <si>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</si>
  <si>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</si>
  <si>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</si>
  <si>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</si>
  <si>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</si>
  <si>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</si>
  <si>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</si>
  <si>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</si>
  <si>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</si>
  <si>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</si>
  <si>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</si>
  <si>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</si>
  <si>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</si>
  <si>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</si>
  <si>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</si>
  <si>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</si>
  <si>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</si>
  <si>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</si>
  <si>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</si>
  <si>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</si>
  <si>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</si>
  <si>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</si>
  <si>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</si>
  <si>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</si>
  <si>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</si>
  <si>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</si>
  <si>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</si>
  <si>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</si>
  <si>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</si>
  <si>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</si>
  <si>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</si>
  <si>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</si>
  <si>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</si>
  <si>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</si>
  <si>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</si>
  <si>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</si>
  <si>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</si>
  <si>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</si>
  <si>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</si>
  <si>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</si>
  <si>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</si>
  <si>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</si>
  <si>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</si>
  <si>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</si>
  <si>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</si>
  <si>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</si>
  <si>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</si>
  <si>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</si>
  <si>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</si>
  <si>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</si>
  <si>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</si>
  <si>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</si>
  <si>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</si>
  <si>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</si>
  <si>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</si>
  <si>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</si>
  <si>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</si>
  <si>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</si>
  <si>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</si>
  <si>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</si>
  <si>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</si>
  <si>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</si>
  <si>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</si>
  <si>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</si>
  <si>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</si>
  <si>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</si>
  <si>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</si>
  <si>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</si>
  <si>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</si>
  <si>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</si>
  <si>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</si>
  <si>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</si>
  <si>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</si>
  <si>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</si>
  <si>
    <t>三个产业趋势组合 · 动态持仓权重监控（单只权重超过20%自动标红预警）</t>
  </si>
  <si>
    <t>末行序号(自动)</t>
  </si>
  <si>
    <t>截止净值日期：</t>
  </si>
  <si>
    <t>产业趋势毛净值</t>
  </si>
  <si>
    <t>基石毛净值</t>
  </si>
  <si>
    <t>2号毛净值</t>
  </si>
  <si>
    <t>初始权重</t>
  </si>
  <si>
    <t>动态权重(截止前一交易日)</t>
  </si>
  <si>
    <t>国泰半导体ETF联接A</t>
  </si>
  <si>
    <t>国泰通信ETF联接A</t>
  </si>
  <si>
    <t>产业趋势基石组合（起始日 2026-06-18）</t>
  </si>
  <si>
    <t>产业趋势2号组合（起始日 2026-06-23）</t>
  </si>
  <si>
    <t>国泰半导体C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</si>
</sst>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yyyy\-mm\-dd"/>
    <numFmt numFmtId="178" formatCode="0.0000"/>
    <numFmt numFmtId="179" formatCode="0.00000000%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177" fontId="22" fillId="0" borderId="0" xfId="0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179" fontId="0" fillId="0" borderId="0" xfId="0" applyNumberFormat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9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1.0416241954764149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3984"/>
        <c:axId val="-2068623648"/>
      </c:lineChart>
      <c:dateAx>
        <c:axId val="-2068633984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3648"/>
        <c:crosses val="autoZero"/>
        <c:auto val="1"/>
        <c:lblOffset val="100"/>
        <c:baseTimeUnit val="days"/>
      </c:dateAx>
      <c:valAx>
        <c:axId val="-20686236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39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0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1.0657190781765671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23104"/>
        <c:axId val="-2068625824"/>
      </c:lineChart>
      <c:dateAx>
        <c:axId val="-2068623104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5824"/>
        <c:crosses val="autoZero"/>
        <c:auto val="1"/>
        <c:lblOffset val="100"/>
        <c:baseTimeUnit val="days"/>
      </c:dateAx>
      <c:valAx>
        <c:axId val="-206862582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2310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8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1.083572619485683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3440"/>
        <c:axId val="-2068632352"/>
      </c:lineChart>
      <c:dateAx>
        <c:axId val="-2068633440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2068632352"/>
        <c:crosses val="autoZero"/>
        <c:auto val="1"/>
        <c:lblOffset val="100"/>
        <c:baseTimeUnit val="days"/>
      </c:dateAx>
      <c:valAx>
        <c:axId val="-206863235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344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7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1.0008421824131881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0720"/>
        <c:axId val="-2068629632"/>
      </c:lineChart>
      <c:dateAx>
        <c:axId val="-206863072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9632"/>
        <c:crosses val="autoZero"/>
        <c:auto val="1"/>
        <c:lblOffset val="100"/>
        <c:baseTimeUnit val="days"/>
      </c:dateAx>
      <c:valAx>
        <c:axId val="-206862963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072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10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0.99997063463570157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6160"/>
        <c:axId val="-2068631808"/>
      </c:lineChart>
      <c:dateAx>
        <c:axId val="-20686361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2068631808"/>
        <c:crosses val="autoZero"/>
        <c:auto val="1"/>
        <c:lblOffset val="100"/>
        <c:baseTimeUnit val="days"/>
      </c:dateAx>
      <c:valAx>
        <c:axId val="-206863180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61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7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1.0038823431169936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68635616"/>
        <c:axId val="-2068628000"/>
      </c:lineChart>
      <c:dateAx>
        <c:axId val="-2068635616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2068628000"/>
        <c:crosses val="autoZero"/>
        <c:auto val="1"/>
        <c:lblOffset val="100"/>
        <c:baseTimeUnit val="days"/>
      </c:dateAx>
      <c:valAx>
        <c:axId val="-206862800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20686356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tabSelected="1" workbookViewId="0">
      <selection activeCell="D24" sqref="D24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45" t="s">
        <v>0</v>
      </c>
      <c r="B1" s="46"/>
      <c r="C1" s="46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J31" sqref="J31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47" t="s">
        <v>59</v>
      </c>
      <c r="B1" s="48"/>
      <c r="C1" s="48"/>
      <c r="D1" s="48"/>
    </row>
    <row r="2" spans="1:24" x14ac:dyDescent="0.25">
      <c r="A2" s="9">
        <f ca="1">TODAY()</f>
        <v>46205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[1]!HX_AutoDate(1,"2026-06-18",A2,-1,-1,0,0,0,0,0,"SSE",10,0)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</row>
    <row r="12" spans="1:24" x14ac:dyDescent="0.25">
      <c r="A12" s="31">
        <v>46203</v>
      </c>
      <c r="B12" s="32">
        <f>IF($A12="","",[1]!thsiFinD("ths_adjustment_nv_fund",B$3,$A12))</f>
        <v>3.0428999999999999</v>
      </c>
      <c r="C12" s="32">
        <f>IF($A12="","",[1]!thsiFinD("ths_adjustment_nv_fund",C$3,$A12))</f>
        <v>1.3178317665999999</v>
      </c>
      <c r="D12" s="32">
        <f>IF($A12="","",[1]!thsiFinD("ths_adjustment_nv_fund",D$3,$A12))</f>
        <v>6.024</v>
      </c>
      <c r="E12" s="32">
        <f>IF($A12="","",[1]!thsiFinD("ths_adjustment_nv_fund",E$3,$A12))</f>
        <v>2.0032000000000001</v>
      </c>
      <c r="F12" s="32">
        <f>IF($A12="","",[1]!thsiFinD("ths_adjustment_nv_fund",F$3,$A12))</f>
        <v>1.9466000000000001</v>
      </c>
      <c r="G12" s="32">
        <f>IF($A12="","",[1]!thsiFinD("ths_adjustment_nv_fund",G$3,$A12))</f>
        <v>4.9737</v>
      </c>
      <c r="H12" s="32">
        <f>IF($A12="","",[1]!thsiFinD("ths_adjustment_nv_fund",H$3,$A12))</f>
        <v>4.8684000000000003</v>
      </c>
      <c r="I12" s="32">
        <f>IF($A12="","",[1]!thsiFinD("ths_adjustment_nv_fund",I$3,$A12))</f>
        <v>3.2498999999999998</v>
      </c>
      <c r="J12" s="32">
        <f>IF($A12="","",[1]!thsiFinD("ths_adjustment_nv_fund",J$3,$A12))</f>
        <v>4.0259</v>
      </c>
      <c r="K12" s="32">
        <f>IF($A12="","",[1]!thsiFinD("ths_adjustment_nv_fund",K$3,$A12))</f>
        <v>3.9891999999999999</v>
      </c>
      <c r="L12" s="32">
        <f>IF($A12="","",[1]!thsiFinD("ths_adjustment_nv_fund",L$3,$A12))</f>
        <v>1.7173</v>
      </c>
      <c r="M12" s="32">
        <f>IF($A12="","",[1]!thsiFinD("ths_adjustment_nv_fund",M$3,$A12))</f>
        <v>1.6944999999999999</v>
      </c>
      <c r="N12" s="32">
        <f>IF($A12="","",[1]!thsiFinD("ths_adjustment_nv_fund",N$3,$A12))</f>
        <v>1.6697</v>
      </c>
      <c r="O12" s="32">
        <f>IF($A12="","",[1]!thsiFinD("ths_adjustment_nv_fund",O$3,$A12))</f>
        <v>1.6287</v>
      </c>
      <c r="P12" s="32">
        <f>IF($A12="","",[1]!thsiFinD("ths_adjustment_nv_fund",P$3,$A12))</f>
        <v>3.6819999999999999</v>
      </c>
      <c r="Q12" s="32">
        <f>IF($A12="","",[1]!thsiFinD("ths_adjustment_nv_fund",Q$3,$A12))</f>
        <v>4.5731000000000002</v>
      </c>
      <c r="R12" s="32">
        <f>IF($A12="","",[1]!thsiFinD("ths_adjustment_nv_fund",R$3,$A12))</f>
        <v>4.4781000000000004</v>
      </c>
      <c r="S12" s="32">
        <f>IF($A12="","",[1]!thsiFinD("ths_adjustment_nv_fund",S$3,$A12))</f>
        <v>5.9619999999999997</v>
      </c>
      <c r="T12" s="32">
        <f>IF($A12="","",[1]!thsiFinD("ths_adjustment_nv_fund",T$3,$A12))</f>
        <v>3.8033999999999999</v>
      </c>
      <c r="U12" s="32">
        <f>IF($A12="","",[1]!thsiFinD("ths_adjustment_nv_fund",U$3,$A12))</f>
        <v>3.7835999999999999</v>
      </c>
      <c r="V12" s="32">
        <f>IF($A12="","",[1]!thsiFinD("ths_adjustment_nv_fund",V$3,$A12))</f>
        <v>2.1004</v>
      </c>
      <c r="W12" s="32">
        <f>IF($A12="","",[1]!thsiFinD("ths_adjustment_nv_fund",W$3,$A12))</f>
        <v>2.08</v>
      </c>
      <c r="X12" s="32">
        <f>IF($A12="","",[1]!thsiFinD("ths_adjustment_nv_fund",X$3,$A12))</f>
        <v>1.7882</v>
      </c>
    </row>
    <row r="13" spans="1:24" x14ac:dyDescent="0.25">
      <c r="A13" s="31">
        <v>46204</v>
      </c>
      <c r="B13" s="32">
        <f>IF($A13="","",[1]!thsiFinD("ths_adjustment_nv_fund",B$3,$A13))</f>
        <v>3.0102000000000002</v>
      </c>
      <c r="C13" s="32">
        <f>IF($A13="","",[1]!thsiFinD("ths_adjustment_nv_fund",C$3,$A13))</f>
        <v>1.3178766124000001</v>
      </c>
      <c r="D13" s="32">
        <f>IF($A13="","",[1]!thsiFinD("ths_adjustment_nv_fund",D$3,$A13))</f>
        <v>5.7770000000000001</v>
      </c>
      <c r="E13" s="32">
        <f>IF($A13="","",[1]!thsiFinD("ths_adjustment_nv_fund",E$3,$A13))</f>
        <v>1.9953000000000001</v>
      </c>
      <c r="F13" s="32">
        <f>IF($A13="","",[1]!thsiFinD("ths_adjustment_nv_fund",F$3,$A13))</f>
        <v>1.9389000000000001</v>
      </c>
      <c r="G13" s="32">
        <f>IF($A13="","",[1]!thsiFinD("ths_adjustment_nv_fund",G$3,$A13))</f>
        <v>4.7699999999999996</v>
      </c>
      <c r="H13" s="32">
        <f>IF($A13="","",[1]!thsiFinD("ths_adjustment_nv_fund",H$3,$A13))</f>
        <v>4.6688999999999998</v>
      </c>
      <c r="I13" s="32">
        <f>IF($A13="","",[1]!thsiFinD("ths_adjustment_nv_fund",I$3,$A13))</f>
        <v>3.1869000000000001</v>
      </c>
      <c r="J13" s="32">
        <f>IF($A13="","",[1]!thsiFinD("ths_adjustment_nv_fund",J$3,$A13))</f>
        <v>3.9714999999999998</v>
      </c>
      <c r="K13" s="32">
        <f>IF($A13="","",[1]!thsiFinD("ths_adjustment_nv_fund",K$3,$A13))</f>
        <v>3.9352999999999998</v>
      </c>
      <c r="L13" s="32">
        <f>IF($A13="","",[1]!thsiFinD("ths_adjustment_nv_fund",L$3,$A13))</f>
        <v>1.7427999999999999</v>
      </c>
      <c r="M13" s="32">
        <f>IF($A13="","",[1]!thsiFinD("ths_adjustment_nv_fund",M$3,$A13))</f>
        <v>1.7196</v>
      </c>
      <c r="N13" s="32">
        <f>IF($A13="","",[1]!thsiFinD("ths_adjustment_nv_fund",N$3,$A13))</f>
        <v>1.6754</v>
      </c>
      <c r="O13" s="32">
        <f>IF($A13="","",[1]!thsiFinD("ths_adjustment_nv_fund",O$3,$A13))</f>
        <v>1.6342000000000001</v>
      </c>
      <c r="P13" s="32">
        <f>IF($A13="","",[1]!thsiFinD("ths_adjustment_nv_fund",P$3,$A13))</f>
        <v>3.4897</v>
      </c>
      <c r="Q13" s="32">
        <f>IF($A13="","",[1]!thsiFinD("ths_adjustment_nv_fund",Q$3,$A13))</f>
        <v>4.3589000000000002</v>
      </c>
      <c r="R13" s="32">
        <f>IF($A13="","",[1]!thsiFinD("ths_adjustment_nv_fund",R$3,$A13))</f>
        <v>4.2683</v>
      </c>
      <c r="S13" s="32">
        <f>IF($A13="","",[1]!thsiFinD("ths_adjustment_nv_fund",S$3,$A13))</f>
        <v>5.718</v>
      </c>
      <c r="T13" s="32">
        <f>IF($A13="","",[1]!thsiFinD("ths_adjustment_nv_fund",T$3,$A13))</f>
        <v>3.8296000000000001</v>
      </c>
      <c r="U13" s="32">
        <f>IF($A13="","",[1]!thsiFinD("ths_adjustment_nv_fund",U$3,$A13))</f>
        <v>3.8096999999999999</v>
      </c>
      <c r="V13" s="32">
        <f>IF($A13="","",[1]!thsiFinD("ths_adjustment_nv_fund",V$3,$A13))</f>
        <v>2.1280000000000001</v>
      </c>
      <c r="W13" s="32">
        <f>IF($A13="","",[1]!thsiFinD("ths_adjustment_nv_fund",W$3,$A13))</f>
        <v>2.1073</v>
      </c>
      <c r="X13" s="32">
        <f>IF($A13="","",[1]!thsiFinD("ths_adjustment_nv_fund",X$3,$A13))</f>
        <v>1.7865</v>
      </c>
    </row>
    <row r="14" spans="1:24" x14ac:dyDescent="0.25">
      <c r="A14" s="31">
        <v>46205</v>
      </c>
      <c r="B14" s="32">
        <f>IF($A14="","",[1]!thsiFinD("ths_adjustment_nv_fund",B$3,$A14))</f>
        <v>3.0102000000000002</v>
      </c>
      <c r="C14" s="32">
        <f>IF($A14="","",[1]!thsiFinD("ths_adjustment_nv_fund",C$3,$A14))</f>
        <v>1.3178766124000001</v>
      </c>
      <c r="D14" s="32">
        <f>IF($A14="","",[1]!thsiFinD("ths_adjustment_nv_fund",D$3,$A14))</f>
        <v>5.7770000000000001</v>
      </c>
      <c r="E14" s="32">
        <f>IF($A14="","",[1]!thsiFinD("ths_adjustment_nv_fund",E$3,$A14))</f>
        <v>1.9953000000000001</v>
      </c>
      <c r="F14" s="32">
        <f>IF($A14="","",[1]!thsiFinD("ths_adjustment_nv_fund",F$3,$A14))</f>
        <v>1.9389000000000001</v>
      </c>
      <c r="G14" s="32">
        <f>IF($A14="","",[1]!thsiFinD("ths_adjustment_nv_fund",G$3,$A14))</f>
        <v>4.7699999999999996</v>
      </c>
      <c r="H14" s="32">
        <f>IF($A14="","",[1]!thsiFinD("ths_adjustment_nv_fund",H$3,$A14))</f>
        <v>4.6688999999999998</v>
      </c>
      <c r="I14" s="32">
        <f>IF($A14="","",[1]!thsiFinD("ths_adjustment_nv_fund",I$3,$A14))</f>
        <v>3.1869000000000001</v>
      </c>
      <c r="J14" s="32">
        <f>IF($A14="","",[1]!thsiFinD("ths_adjustment_nv_fund",J$3,$A14))</f>
        <v>3.9714999999999998</v>
      </c>
      <c r="K14" s="32">
        <f>IF($A14="","",[1]!thsiFinD("ths_adjustment_nv_fund",K$3,$A14))</f>
        <v>3.9352999999999998</v>
      </c>
      <c r="L14" s="32">
        <f>IF($A14="","",[1]!thsiFinD("ths_adjustment_nv_fund",L$3,$A14))</f>
        <v>1.7427999999999999</v>
      </c>
      <c r="M14" s="32">
        <f>IF($A14="","",[1]!thsiFinD("ths_adjustment_nv_fund",M$3,$A14))</f>
        <v>1.7196</v>
      </c>
      <c r="N14" s="32">
        <f>IF($A14="","",[1]!thsiFinD("ths_adjustment_nv_fund",N$3,$A14))</f>
        <v>1.6754</v>
      </c>
      <c r="O14" s="32">
        <f>IF($A14="","",[1]!thsiFinD("ths_adjustment_nv_fund",O$3,$A14))</f>
        <v>1.6342000000000001</v>
      </c>
      <c r="P14" s="32">
        <f>IF($A14="","",[1]!thsiFinD("ths_adjustment_nv_fund",P$3,$A14))</f>
        <v>3.4897</v>
      </c>
      <c r="Q14" s="32">
        <f>IF($A14="","",[1]!thsiFinD("ths_adjustment_nv_fund",Q$3,$A14))</f>
        <v>4.3589000000000002</v>
      </c>
      <c r="R14" s="32">
        <f>IF($A14="","",[1]!thsiFinD("ths_adjustment_nv_fund",R$3,$A14))</f>
        <v>4.2683</v>
      </c>
      <c r="S14" s="32">
        <f>IF($A14="","",[1]!thsiFinD("ths_adjustment_nv_fund",S$3,$A14))</f>
        <v>5.718</v>
      </c>
      <c r="T14" s="32">
        <f>IF($A14="","",[1]!thsiFinD("ths_adjustment_nv_fund",T$3,$A14))</f>
        <v>3.8296000000000001</v>
      </c>
      <c r="U14" s="32">
        <f>IF($A14="","",[1]!thsiFinD("ths_adjustment_nv_fund",U$3,$A14))</f>
        <v>3.8096999999999999</v>
      </c>
      <c r="V14" s="32">
        <f>IF($A14="","",[1]!thsiFinD("ths_adjustment_nv_fund",V$3,$A14))</f>
        <v>2.1280000000000001</v>
      </c>
      <c r="W14" s="32">
        <f>IF($A14="","",[1]!thsiFinD("ths_adjustment_nv_fund",W$3,$A14))</f>
        <v>2.1073</v>
      </c>
      <c r="X14" s="32">
        <f>IF($A14="","",[1]!thsiFinD("ths_adjustment_nv_fund",X$3,$A14))</f>
        <v>1.7865</v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workbookViewId="0">
      <selection activeCell="J31" sqref="J31"/>
    </sheetView>
  </sheetViews>
  <sheetFormatPr defaultRowHeight="14" x14ac:dyDescent="0.25"/>
  <cols>
    <col min="1" max="1" width="12" style="27" customWidth="1"/>
    <col min="22" max="22" width="13.54296875" bestFit="1" customWidth="1"/>
  </cols>
  <sheetData>
    <row r="1" spans="1:22" ht="19" customHeight="1" x14ac:dyDescent="0.25">
      <c r="A1" s="49" t="s">
        <v>61</v>
      </c>
      <c r="B1" s="48"/>
      <c r="C1" s="48"/>
      <c r="D1" s="48"/>
      <c r="E1" s="48"/>
      <c r="F1" s="48"/>
      <c r="G1" s="48"/>
      <c r="H1" s="48"/>
      <c r="I1" s="48"/>
      <c r="J1" s="48"/>
    </row>
    <row r="2" spans="1:22" ht="14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</row>
    <row r="3" spans="1:22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22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22" x14ac:dyDescent="0.25">
      <c r="A5" s="33">
        <f>IF('实盘净值数据(iFinD公式)'!A5="","",'实盘净值数据(iFinD公式)'!A5)</f>
        <v>46191</v>
      </c>
      <c r="B5" s="3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/>
      <c r="J5" s="7" t="str">
        <f>IF(H5="","",H5/MAX(H$5:H5)-1)</f>
        <v/>
      </c>
      <c r="K5" s="3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/>
      <c r="S5" s="7" t="str">
        <f>IF(Q5="","",Q5/MAX(Q$5:Q5)-1)</f>
        <v/>
      </c>
      <c r="U5" s="43"/>
    </row>
    <row r="6" spans="1:22" x14ac:dyDescent="0.25">
      <c r="A6" s="33">
        <f>IF('实盘净值数据(iFinD公式)'!A6="","",'实盘净值数据(iFinD公式)'!A6)</f>
        <v>46195</v>
      </c>
      <c r="B6" s="32">
        <v>1</v>
      </c>
      <c r="C6" s="7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7">
        <f>IF(E6="","",E6/MAX(E$5:E6)-1)</f>
        <v>0</v>
      </c>
      <c r="H6" s="3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 t="str">
        <f>IF(H6="","",H6/MAX(H$5:H6)-1)</f>
        <v/>
      </c>
      <c r="K6" s="3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7">
        <f>IF(N6="","",N6/MAX(N$5:N6)-1)</f>
        <v>0</v>
      </c>
      <c r="Q6" s="3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 t="str">
        <f>IF(Q6="","",Q6/MAX(Q$5:Q6)-1)</f>
        <v/>
      </c>
      <c r="U6" s="43"/>
      <c r="V6" s="44"/>
    </row>
    <row r="7" spans="1:22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7">
        <f>IF(B7="","",B7/MAX(B$5:B7)-1)</f>
        <v>-1.9576811882263123E-2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7">
        <f>IF(E7="","",E7/MAX(E$5:E7)-1)</f>
        <v>-1.9639287031092634E-2</v>
      </c>
      <c r="H7" s="32">
        <v>1</v>
      </c>
      <c r="I7" s="7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>0</v>
      </c>
      <c r="K7" s="3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7">
        <f>IF(N7="","",N7/MAX(N$5:N7)-1)</f>
        <v>-3.0701438246731882E-3</v>
      </c>
      <c r="Q7" s="3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 t="str">
        <f>IF(Q7="","",Q7/MAX(Q$5:Q7)-1)</f>
        <v/>
      </c>
      <c r="U7" s="43"/>
      <c r="V7" s="44"/>
    </row>
    <row r="8" spans="1:22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7">
        <f>IF(H8="","",H8/MAX(H$5:H8)-1)</f>
        <v>0</v>
      </c>
      <c r="K8" s="32">
        <v>1</v>
      </c>
      <c r="L8" s="7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7">
        <f>IF(N8="","",N8/MAX(N$5:N8)-1)</f>
        <v>-1.123956258613501E-3</v>
      </c>
      <c r="Q8" s="32">
        <v>1</v>
      </c>
      <c r="R8" s="7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>0</v>
      </c>
      <c r="U8" s="43"/>
      <c r="V8" s="44"/>
    </row>
    <row r="9" spans="1:22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7">
        <f>IF(Q9="","",Q9/MAX(Q$5:Q9)-1)</f>
        <v>0</v>
      </c>
      <c r="U9" s="43"/>
      <c r="V9" s="44"/>
    </row>
    <row r="10" spans="1:22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7">
        <f>IF(B10="","",B10/MAX(B$5:B10)-1)</f>
        <v>-2.8584129290150528E-2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7">
        <f>IF(E10="","",E10/MAX(E$5:E10)-1)</f>
        <v>-2.8678714678834427E-2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7">
        <f>IF(H10="","",H10/MAX(H$5:H10)-1)</f>
        <v>-2.1843224420047047E-2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7">
        <f>IF(K10="","",K10/MAX(K$5:K10)-1)</f>
        <v>-1.9292327668095632E-3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7">
        <f>IF(N10="","",N10/MAX(N$5:N10)-1)</f>
        <v>-2.3451843484806334E-3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7">
        <f>IF(Q10="","",Q10/MAX(Q$5:Q10)-1)</f>
        <v>-6.7383921468432417E-3</v>
      </c>
      <c r="U10" s="43"/>
      <c r="V10" s="44"/>
    </row>
    <row r="11" spans="1:22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7">
        <f>IF(B11="","",B11/MAX(B$5:B11)-1)</f>
        <v>-1.906200466530128E-2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7">
        <f>IF(E11="","",E11/MAX(E$5:E11)-1)</f>
        <v>-1.9261833577678411E-2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7">
        <f>IF(H11="","",H11/MAX(H$5:H11)-1)</f>
        <v>-5.2115522572828699E-3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7">
        <f>IF(K11="","",K11/MAX(K$5:K11)-1)</f>
        <v>-3.2787890697050237E-5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7">
        <f>IF(N11="","",N11/MAX(N$5:N11)-1)</f>
        <v>-7.5596622946594305E-4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7">
        <f>IF(Q11="","",Q11/MAX(Q$5:Q11)-1)</f>
        <v>-2.9807596670892167E-3</v>
      </c>
      <c r="U11" s="43"/>
      <c r="V11" s="44"/>
    </row>
    <row r="12" spans="1:22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7">
        <f>IF(B12="","",B12/MAX(B$5:B12)-1)</f>
        <v>0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7">
        <f>IF(E12="","",E12/MAX(E$5:E12)-1)</f>
        <v>0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7">
        <f>IF(H12="","",H12/MAX(H$5:H12)-1)</f>
        <v>0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7">
        <f>IF(K12="","",K12/MAX(K$5:K12)-1)</f>
        <v>0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7">
        <f>IF(N12="","",N12/MAX(N$5:N12)-1)</f>
        <v>0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7">
        <f>IF(Q12="","",Q12/MAX(Q$5:Q12)-1)</f>
        <v>0</v>
      </c>
    </row>
    <row r="13" spans="1:22" x14ac:dyDescent="0.25">
      <c r="A13" s="33">
        <f>IF('实盘净值数据(iFinD公式)'!A13="","",'实盘净值数据(iFinD公式)'!A13)</f>
        <v>46204</v>
      </c>
      <c r="B13" s="3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7">
        <f>IF(B13="","",B13/MAX(B$5:B13)-1)</f>
        <v>-3.0870027483991924E-2</v>
      </c>
      <c r="E13" s="3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7">
        <f>IF(E13="","",E13/MAX(E$5:E13)-1)</f>
        <v>-3.0900612830832785E-2</v>
      </c>
      <c r="H13" s="3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7">
        <f>IF(H13="","",H13/MAX(H$5:H13)-1)</f>
        <v>-2.5266743143412707E-2</v>
      </c>
      <c r="K13" s="3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7">
        <f>IF(K13="","",K13/MAX(K$5:K13)-1)</f>
        <v>-2.3999339248744755E-3</v>
      </c>
      <c r="N13" s="3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7">
        <f>IF(N13="","",N13/MAX(N$5:N13)-1)</f>
        <v>-2.7184045698386283E-3</v>
      </c>
      <c r="Q13" s="3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7">
        <f>IF(Q13="","",Q13/MAX(Q$5:Q13)-1)</f>
        <v>-4.8042294589777379E-3</v>
      </c>
    </row>
    <row r="14" spans="1:22" x14ac:dyDescent="0.25">
      <c r="A14" s="33">
        <f>IF('实盘净值数据(iFinD公式)'!A14="","",'实盘净值数据(iFinD公式)'!A14)</f>
        <v>46205</v>
      </c>
      <c r="B14" s="3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1.0416241954764149</v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-4.1406369609475746E-5</v>
      </c>
      <c r="D14" s="7">
        <f>IF(B14="","",B14/MAX(B$5:B14)-1)</f>
        <v>-3.0910155637833614E-2</v>
      </c>
      <c r="E14" s="3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1.0657190781765671</v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-3.3075018034955939E-5</v>
      </c>
      <c r="G14" s="7">
        <f>IF(E14="","",E14/MAX(E$5:E14)-1)</f>
        <v>-3.0932665810540994E-2</v>
      </c>
      <c r="H14" s="3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1.083572619485683</v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-4.1406369609475746E-5</v>
      </c>
      <c r="J14" s="7">
        <f>IF(H14="","",H14/MAX(H$5:H14)-1)</f>
        <v>-2.5307103308916834E-2</v>
      </c>
      <c r="K14" s="3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  <v>1.0008421824131881</v>
      </c>
      <c r="L14" s="7">
        <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f>
        <v>-2.2005707726369117E-5</v>
      </c>
      <c r="M14" s="7">
        <f>IF(K14="","",K14/MAX(K$5:K14)-1)</f>
        <v>-2.4218868203562671E-3</v>
      </c>
      <c r="N14" s="3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  <v>0.99997063463570157</v>
      </c>
      <c r="O14" s="7">
        <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f>
        <v>-1.3732897000240385E-5</v>
      </c>
      <c r="P14" s="7">
        <f>IF(N14="","",N14/MAX(N$5:N14)-1)</f>
        <v>-2.7321001352688112E-3</v>
      </c>
      <c r="Q14" s="3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  <v>1.0038823431169936</v>
      </c>
      <c r="R14" s="7">
        <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f>
        <v>-3.3075018034955939E-5</v>
      </c>
      <c r="S14" s="7">
        <f>IF(Q14="","",Q14/MAX(Q$5:Q14)-1)</f>
        <v>-4.8371455770367389E-3</v>
      </c>
    </row>
    <row r="15" spans="1:22" x14ac:dyDescent="0.25">
      <c r="A15" s="33" t="str">
        <f>IF('实盘净值数据(iFinD公式)'!A15="","",'实盘净值数据(iFinD公式)'!A15)</f>
        <v/>
      </c>
      <c r="B15" s="32" t="str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/>
      </c>
      <c r="C15" s="7" t="str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/>
      </c>
      <c r="D15" s="7" t="str">
        <f>IF(B15="","",B15/MAX(B$5:B15)-1)</f>
        <v/>
      </c>
      <c r="E15" s="32" t="str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/>
      </c>
      <c r="F15" s="7" t="str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/>
      </c>
      <c r="G15" s="7" t="str">
        <f>IF(E15="","",E15/MAX(E$5:E15)-1)</f>
        <v/>
      </c>
      <c r="H15" s="32" t="str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/>
      </c>
      <c r="I15" s="7" t="str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/>
      </c>
      <c r="J15" s="7" t="str">
        <f>IF(H15="","",H15/MAX(H$5:H15)-1)</f>
        <v/>
      </c>
      <c r="K15" s="32" t="str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  <v/>
      </c>
      <c r="L15" s="7" t="str">
        <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f>
        <v/>
      </c>
      <c r="M15" s="7" t="str">
        <f>IF(K15="","",K15/MAX(K$5:K15)-1)</f>
        <v/>
      </c>
      <c r="N15" s="32" t="str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  <v/>
      </c>
      <c r="O15" s="7" t="str">
        <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f>
        <v/>
      </c>
      <c r="P15" s="7" t="str">
        <f>IF(N15="","",N15/MAX(N$5:N15)-1)</f>
        <v/>
      </c>
      <c r="Q15" s="32" t="str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  <v/>
      </c>
      <c r="R15" s="7" t="str">
        <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f>
        <v/>
      </c>
      <c r="S15" s="7" t="str">
        <f>IF(Q15="","",Q15/MAX(Q$5:Q15)-1)</f>
        <v/>
      </c>
    </row>
    <row r="16" spans="1:22" x14ac:dyDescent="0.25">
      <c r="A16" s="33" t="str">
        <f>IF('实盘净值数据(iFinD公式)'!A16="","",'实盘净值数据(iFinD公式)'!A16)</f>
        <v/>
      </c>
      <c r="B16" s="32" t="str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/>
      </c>
      <c r="C16" s="7" t="str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/>
      </c>
      <c r="D16" s="7" t="str">
        <f>IF(B16="","",B16/MAX(B$5:B16)-1)</f>
        <v/>
      </c>
      <c r="E16" s="32" t="str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/>
      </c>
      <c r="F16" s="7" t="str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/>
      </c>
      <c r="G16" s="7" t="str">
        <f>IF(E16="","",E16/MAX(E$5:E16)-1)</f>
        <v/>
      </c>
      <c r="H16" s="32" t="str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/>
      </c>
      <c r="I16" s="7" t="str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/>
      </c>
      <c r="J16" s="7" t="str">
        <f>IF(H16="","",H16/MAX(H$5:H16)-1)</f>
        <v/>
      </c>
      <c r="K16" s="32" t="str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  <v/>
      </c>
      <c r="L16" s="7" t="str">
        <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f>
        <v/>
      </c>
      <c r="M16" s="7" t="str">
        <f>IF(K16="","",K16/MAX(K$5:K16)-1)</f>
        <v/>
      </c>
      <c r="N16" s="32" t="str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  <v/>
      </c>
      <c r="O16" s="7" t="str">
        <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f>
        <v/>
      </c>
      <c r="P16" s="7" t="str">
        <f>IF(N16="","",N16/MAX(N$5:N16)-1)</f>
        <v/>
      </c>
      <c r="Q16" s="32" t="str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  <v/>
      </c>
      <c r="R16" s="7" t="str">
        <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f>
        <v/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 t="str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/>
      </c>
      <c r="C17" s="7" t="str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/>
      </c>
      <c r="D17" s="7" t="str">
        <f>IF(B17="","",B17/MAX(B$5:B17)-1)</f>
        <v/>
      </c>
      <c r="E17" s="32" t="str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/>
      </c>
      <c r="F17" s="7" t="str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/>
      </c>
      <c r="G17" s="7" t="str">
        <f>IF(E17="","",E17/MAX(E$5:E17)-1)</f>
        <v/>
      </c>
      <c r="H17" s="32" t="str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/>
      </c>
      <c r="I17" s="7" t="str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/>
      </c>
      <c r="J17" s="7" t="str">
        <f>IF(H17="","",H17/MAX(H$5:H17)-1)</f>
        <v/>
      </c>
      <c r="K17" s="32" t="str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  <v/>
      </c>
      <c r="L17" s="7" t="str">
        <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f>
        <v/>
      </c>
      <c r="M17" s="7" t="str">
        <f>IF(K17="","",K17/MAX(K$5:K17)-1)</f>
        <v/>
      </c>
      <c r="N17" s="32" t="str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  <v/>
      </c>
      <c r="O17" s="7" t="str">
        <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f>
        <v/>
      </c>
      <c r="P17" s="7" t="str">
        <f>IF(N17="","",N17/MAX(N$5:N17)-1)</f>
        <v/>
      </c>
      <c r="Q17" s="32" t="str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  <v/>
      </c>
      <c r="R17" s="7" t="str">
        <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f>
        <v/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 t="str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/>
      </c>
      <c r="C18" s="7" t="str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/>
      </c>
      <c r="D18" s="7" t="str">
        <f>IF(B18="","",B18/MAX(B$5:B18)-1)</f>
        <v/>
      </c>
      <c r="E18" s="32" t="str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/>
      </c>
      <c r="F18" s="7" t="str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/>
      </c>
      <c r="G18" s="7" t="str">
        <f>IF(E18="","",E18/MAX(E$5:E18)-1)</f>
        <v/>
      </c>
      <c r="H18" s="32" t="str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/>
      </c>
      <c r="I18" s="7" t="str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/>
      </c>
      <c r="J18" s="7" t="str">
        <f>IF(H18="","",H18/MAX(H$5:H18)-1)</f>
        <v/>
      </c>
      <c r="K18" s="32" t="str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  <v/>
      </c>
      <c r="L18" s="7" t="str">
        <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f>
        <v/>
      </c>
      <c r="M18" s="7" t="str">
        <f>IF(K18="","",K18/MAX(K$5:K18)-1)</f>
        <v/>
      </c>
      <c r="N18" s="32" t="str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  <v/>
      </c>
      <c r="O18" s="7" t="str">
        <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f>
        <v/>
      </c>
      <c r="P18" s="7" t="str">
        <f>IF(N18="","",N18/MAX(N$5:N18)-1)</f>
        <v/>
      </c>
      <c r="Q18" s="32" t="str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  <v/>
      </c>
      <c r="R18" s="7" t="str">
        <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f>
        <v/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 t="str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7" t="str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7" t="str">
        <f>IF(B19="","",B19/MAX(B$5:B19)-1)</f>
        <v/>
      </c>
      <c r="E19" s="32" t="str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7" t="str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7" t="str">
        <f>IF(E19="","",E19/MAX(E$5:E19)-1)</f>
        <v/>
      </c>
      <c r="H19" s="32" t="str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7" t="str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7" t="str">
        <f>IF(H19="","",H19/MAX(H$5:H19)-1)</f>
        <v/>
      </c>
      <c r="K19" s="32" t="str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  <v/>
      </c>
      <c r="L19" s="7" t="str">
        <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f>
        <v/>
      </c>
      <c r="M19" s="7" t="str">
        <f>IF(K19="","",K19/MAX(K$5:K19)-1)</f>
        <v/>
      </c>
      <c r="N19" s="32" t="str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  <v/>
      </c>
      <c r="O19" s="7" t="str">
        <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f>
        <v/>
      </c>
      <c r="P19" s="7" t="str">
        <f>IF(N19="","",N19/MAX(N$5:N19)-1)</f>
        <v/>
      </c>
      <c r="Q19" s="32" t="str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  <v/>
      </c>
      <c r="R19" s="7" t="str">
        <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f>
        <v/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 t="str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7" t="str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7" t="str">
        <f>IF(B20="","",B20/MAX(B$5:B20)-1)</f>
        <v/>
      </c>
      <c r="E20" s="32" t="str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7" t="str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7" t="str">
        <f>IF(E20="","",E20/MAX(E$5:E20)-1)</f>
        <v/>
      </c>
      <c r="H20" s="32" t="str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7" t="str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7" t="str">
        <f>IF(H20="","",H20/MAX(H$5:H20)-1)</f>
        <v/>
      </c>
      <c r="K20" s="32" t="str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  <v/>
      </c>
      <c r="L20" s="7" t="str">
        <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f>
        <v/>
      </c>
      <c r="M20" s="7" t="str">
        <f>IF(K20="","",K20/MAX(K$5:K20)-1)</f>
        <v/>
      </c>
      <c r="N20" s="32" t="str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  <v/>
      </c>
      <c r="O20" s="7" t="str">
        <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f>
        <v/>
      </c>
      <c r="P20" s="7" t="str">
        <f>IF(N20="","",N20/MAX(N$5:N20)-1)</f>
        <v/>
      </c>
      <c r="Q20" s="32" t="str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  <v/>
      </c>
      <c r="R20" s="7" t="str">
        <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f>
        <v/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 t="str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7" t="str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7" t="str">
        <f>IF(B21="","",B21/MAX(B$5:B21)-1)</f>
        <v/>
      </c>
      <c r="E21" s="32" t="str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7" t="str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7" t="str">
        <f>IF(E21="","",E21/MAX(E$5:E21)-1)</f>
        <v/>
      </c>
      <c r="H21" s="32" t="str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7" t="str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7" t="str">
        <f>IF(H21="","",H21/MAX(H$5:H21)-1)</f>
        <v/>
      </c>
      <c r="K21" s="32" t="str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  <v/>
      </c>
      <c r="L21" s="7" t="str">
        <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f>
        <v/>
      </c>
      <c r="M21" s="7" t="str">
        <f>IF(K21="","",K21/MAX(K$5:K21)-1)</f>
        <v/>
      </c>
      <c r="N21" s="32" t="str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  <v/>
      </c>
      <c r="O21" s="7" t="str">
        <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f>
        <v/>
      </c>
      <c r="P21" s="7" t="str">
        <f>IF(N21="","",N21/MAX(N$5:N21)-1)</f>
        <v/>
      </c>
      <c r="Q21" s="32" t="str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  <v/>
      </c>
      <c r="R21" s="7" t="str">
        <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f>
        <v/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 t="str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7" t="str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7" t="str">
        <f>IF(B22="","",B22/MAX(B$5:B22)-1)</f>
        <v/>
      </c>
      <c r="E22" s="32" t="str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7" t="str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7" t="str">
        <f>IF(E22="","",E22/MAX(E$5:E22)-1)</f>
        <v/>
      </c>
      <c r="H22" s="32" t="str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7" t="str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7" t="str">
        <f>IF(H22="","",H22/MAX(H$5:H22)-1)</f>
        <v/>
      </c>
      <c r="K22" s="32" t="str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  <v/>
      </c>
      <c r="L22" s="7" t="str">
        <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f>
        <v/>
      </c>
      <c r="M22" s="7" t="str">
        <f>IF(K22="","",K22/MAX(K$5:K22)-1)</f>
        <v/>
      </c>
      <c r="N22" s="32" t="str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  <v/>
      </c>
      <c r="O22" s="7" t="str">
        <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f>
        <v/>
      </c>
      <c r="P22" s="7" t="str">
        <f>IF(N22="","",N22/MAX(N$5:N22)-1)</f>
        <v/>
      </c>
      <c r="Q22" s="32" t="str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  <v/>
      </c>
      <c r="R22" s="7" t="str">
        <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f>
        <v/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 t="str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7" t="str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7" t="str">
        <f>IF(B23="","",B23/MAX(B$5:B23)-1)</f>
        <v/>
      </c>
      <c r="E23" s="32" t="str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7" t="str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7" t="str">
        <f>IF(E23="","",E23/MAX(E$5:E23)-1)</f>
        <v/>
      </c>
      <c r="H23" s="32" t="str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7" t="str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7" t="str">
        <f>IF(H23="","",H23/MAX(H$5:H23)-1)</f>
        <v/>
      </c>
      <c r="K23" s="32" t="str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  <v/>
      </c>
      <c r="L23" s="7" t="str">
        <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f>
        <v/>
      </c>
      <c r="M23" s="7" t="str">
        <f>IF(K23="","",K23/MAX(K$5:K23)-1)</f>
        <v/>
      </c>
      <c r="N23" s="32" t="str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  <v/>
      </c>
      <c r="O23" s="7" t="str">
        <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f>
        <v/>
      </c>
      <c r="P23" s="7" t="str">
        <f>IF(N23="","",N23/MAX(N$5:N23)-1)</f>
        <v/>
      </c>
      <c r="Q23" s="32" t="str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  <v/>
      </c>
      <c r="R23" s="7" t="str">
        <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f>
        <v/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 t="str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7" t="str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7" t="str">
        <f>IF(B24="","",B24/MAX(B$5:B24)-1)</f>
        <v/>
      </c>
      <c r="E24" s="32" t="str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7" t="str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7" t="str">
        <f>IF(E24="","",E24/MAX(E$5:E24)-1)</f>
        <v/>
      </c>
      <c r="H24" s="32" t="str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7" t="str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7" t="str">
        <f>IF(H24="","",H24/MAX(H$5:H24)-1)</f>
        <v/>
      </c>
      <c r="K24" s="32" t="str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  <v/>
      </c>
      <c r="L24" s="7" t="str">
        <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f>
        <v/>
      </c>
      <c r="M24" s="7" t="str">
        <f>IF(K24="","",K24/MAX(K$5:K24)-1)</f>
        <v/>
      </c>
      <c r="N24" s="32" t="str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  <v/>
      </c>
      <c r="O24" s="7" t="str">
        <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f>
        <v/>
      </c>
      <c r="P24" s="7" t="str">
        <f>IF(N24="","",N24/MAX(N$5:N24)-1)</f>
        <v/>
      </c>
      <c r="Q24" s="32" t="str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  <v/>
      </c>
      <c r="R24" s="7" t="str">
        <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f>
        <v/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 t="str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7" t="str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7" t="str">
        <f>IF(B25="","",B25/MAX(B$5:B25)-1)</f>
        <v/>
      </c>
      <c r="E25" s="32" t="str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7" t="str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7" t="str">
        <f>IF(E25="","",E25/MAX(E$5:E25)-1)</f>
        <v/>
      </c>
      <c r="H25" s="32" t="str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7" t="str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7" t="str">
        <f>IF(H25="","",H25/MAX(H$5:H25)-1)</f>
        <v/>
      </c>
      <c r="K25" s="32" t="str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  <v/>
      </c>
      <c r="L25" s="7" t="str">
        <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f>
        <v/>
      </c>
      <c r="M25" s="7" t="str">
        <f>IF(K25="","",K25/MAX(K$5:K25)-1)</f>
        <v/>
      </c>
      <c r="N25" s="32" t="str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  <v/>
      </c>
      <c r="O25" s="7" t="str">
        <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f>
        <v/>
      </c>
      <c r="P25" s="7" t="str">
        <f>IF(N25="","",N25/MAX(N$5:N25)-1)</f>
        <v/>
      </c>
      <c r="Q25" s="32" t="str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  <v/>
      </c>
      <c r="R25" s="7" t="str">
        <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f>
        <v/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 t="str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7" t="str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7" t="str">
        <f>IF(B26="","",B26/MAX(B$5:B26)-1)</f>
        <v/>
      </c>
      <c r="E26" s="32" t="str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7" t="str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7" t="str">
        <f>IF(E26="","",E26/MAX(E$5:E26)-1)</f>
        <v/>
      </c>
      <c r="H26" s="32" t="str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7" t="str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7" t="str">
        <f>IF(H26="","",H26/MAX(H$5:H26)-1)</f>
        <v/>
      </c>
      <c r="K26" s="32" t="str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  <v/>
      </c>
      <c r="L26" s="7" t="str">
        <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f>
        <v/>
      </c>
      <c r="M26" s="7" t="str">
        <f>IF(K26="","",K26/MAX(K$5:K26)-1)</f>
        <v/>
      </c>
      <c r="N26" s="32" t="str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  <v/>
      </c>
      <c r="O26" s="7" t="str">
        <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f>
        <v/>
      </c>
      <c r="P26" s="7" t="str">
        <f>IF(N26="","",N26/MAX(N$5:N26)-1)</f>
        <v/>
      </c>
      <c r="Q26" s="32" t="str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  <v/>
      </c>
      <c r="R26" s="7" t="str">
        <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f>
        <v/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 t="str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7" t="str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7" t="str">
        <f>IF(B27="","",B27/MAX(B$5:B27)-1)</f>
        <v/>
      </c>
      <c r="E27" s="32" t="str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7" t="str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7" t="str">
        <f>IF(E27="","",E27/MAX(E$5:E27)-1)</f>
        <v/>
      </c>
      <c r="H27" s="32" t="str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7" t="str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7" t="str">
        <f>IF(H27="","",H27/MAX(H$5:H27)-1)</f>
        <v/>
      </c>
      <c r="K27" s="32" t="str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  <v/>
      </c>
      <c r="L27" s="7" t="str">
        <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f>
        <v/>
      </c>
      <c r="M27" s="7" t="str">
        <f>IF(K27="","",K27/MAX(K$5:K27)-1)</f>
        <v/>
      </c>
      <c r="N27" s="32" t="str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  <v/>
      </c>
      <c r="O27" s="7" t="str">
        <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f>
        <v/>
      </c>
      <c r="P27" s="7" t="str">
        <f>IF(N27="","",N27/MAX(N$5:N27)-1)</f>
        <v/>
      </c>
      <c r="Q27" s="32" t="str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  <v/>
      </c>
      <c r="R27" s="7" t="str">
        <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f>
        <v/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 t="str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7" t="str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7" t="str">
        <f>IF(B28="","",B28/MAX(B$5:B28)-1)</f>
        <v/>
      </c>
      <c r="E28" s="32" t="str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7" t="str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7" t="str">
        <f>IF(E28="","",E28/MAX(E$5:E28)-1)</f>
        <v/>
      </c>
      <c r="H28" s="32" t="str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7" t="str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7" t="str">
        <f>IF(H28="","",H28/MAX(H$5:H28)-1)</f>
        <v/>
      </c>
      <c r="K28" s="32" t="str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  <v/>
      </c>
      <c r="L28" s="7" t="str">
        <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f>
        <v/>
      </c>
      <c r="M28" s="7" t="str">
        <f>IF(K28="","",K28/MAX(K$5:K28)-1)</f>
        <v/>
      </c>
      <c r="N28" s="32" t="str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  <v/>
      </c>
      <c r="O28" s="7" t="str">
        <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f>
        <v/>
      </c>
      <c r="P28" s="7" t="str">
        <f>IF(N28="","",N28/MAX(N$5:N28)-1)</f>
        <v/>
      </c>
      <c r="Q28" s="32" t="str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  <v/>
      </c>
      <c r="R28" s="7" t="str">
        <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f>
        <v/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 t="str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7" t="str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7" t="str">
        <f>IF(B29="","",B29/MAX(B$5:B29)-1)</f>
        <v/>
      </c>
      <c r="E29" s="32" t="str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7" t="str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7" t="str">
        <f>IF(E29="","",E29/MAX(E$5:E29)-1)</f>
        <v/>
      </c>
      <c r="H29" s="32" t="str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7" t="str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7" t="str">
        <f>IF(H29="","",H29/MAX(H$5:H29)-1)</f>
        <v/>
      </c>
      <c r="K29" s="32" t="str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  <v/>
      </c>
      <c r="L29" s="7" t="str">
        <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f>
        <v/>
      </c>
      <c r="M29" s="7" t="str">
        <f>IF(K29="","",K29/MAX(K$5:K29)-1)</f>
        <v/>
      </c>
      <c r="N29" s="32" t="str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  <v/>
      </c>
      <c r="O29" s="7" t="str">
        <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f>
        <v/>
      </c>
      <c r="P29" s="7" t="str">
        <f>IF(N29="","",N29/MAX(N$5:N29)-1)</f>
        <v/>
      </c>
      <c r="Q29" s="32" t="str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  <v/>
      </c>
      <c r="R29" s="7" t="str">
        <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f>
        <v/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 t="str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7" t="str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7" t="str">
        <f>IF(B30="","",B30/MAX(B$5:B30)-1)</f>
        <v/>
      </c>
      <c r="E30" s="32" t="str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7" t="str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7" t="str">
        <f>IF(E30="","",E30/MAX(E$5:E30)-1)</f>
        <v/>
      </c>
      <c r="H30" s="32" t="str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7" t="str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7" t="str">
        <f>IF(H30="","",H30/MAX(H$5:H30)-1)</f>
        <v/>
      </c>
      <c r="K30" s="32" t="str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  <v/>
      </c>
      <c r="L30" s="7" t="str">
        <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f>
        <v/>
      </c>
      <c r="M30" s="7" t="str">
        <f>IF(K30="","",K30/MAX(K$5:K30)-1)</f>
        <v/>
      </c>
      <c r="N30" s="32" t="str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  <v/>
      </c>
      <c r="O30" s="7" t="str">
        <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f>
        <v/>
      </c>
      <c r="P30" s="7" t="str">
        <f>IF(N30="","",N30/MAX(N$5:N30)-1)</f>
        <v/>
      </c>
      <c r="Q30" s="32" t="str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  <v/>
      </c>
      <c r="R30" s="7" t="str">
        <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f>
        <v/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 t="str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7" t="str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7" t="str">
        <f>IF(B31="","",B31/MAX(B$5:B31)-1)</f>
        <v/>
      </c>
      <c r="E31" s="32" t="str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7" t="str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7" t="str">
        <f>IF(E31="","",E31/MAX(E$5:E31)-1)</f>
        <v/>
      </c>
      <c r="H31" s="32" t="str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7" t="str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7" t="str">
        <f>IF(H31="","",H31/MAX(H$5:H31)-1)</f>
        <v/>
      </c>
      <c r="K31" s="32" t="str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  <v/>
      </c>
      <c r="L31" s="7" t="str">
        <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f>
        <v/>
      </c>
      <c r="M31" s="7" t="str">
        <f>IF(K31="","",K31/MAX(K$5:K31)-1)</f>
        <v/>
      </c>
      <c r="N31" s="32" t="str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  <v/>
      </c>
      <c r="O31" s="7" t="str">
        <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f>
        <v/>
      </c>
      <c r="P31" s="7" t="str">
        <f>IF(N31="","",N31/MAX(N$5:N31)-1)</f>
        <v/>
      </c>
      <c r="Q31" s="32" t="str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  <v/>
      </c>
      <c r="R31" s="7" t="str">
        <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f>
        <v/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 t="str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7" t="str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7" t="str">
        <f>IF(B32="","",B32/MAX(B$5:B32)-1)</f>
        <v/>
      </c>
      <c r="E32" s="32" t="str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7" t="str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7" t="str">
        <f>IF(E32="","",E32/MAX(E$5:E32)-1)</f>
        <v/>
      </c>
      <c r="H32" s="32" t="str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7" t="str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7" t="str">
        <f>IF(H32="","",H32/MAX(H$5:H32)-1)</f>
        <v/>
      </c>
      <c r="K32" s="32" t="str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  <v/>
      </c>
      <c r="L32" s="7" t="str">
        <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f>
        <v/>
      </c>
      <c r="M32" s="7" t="str">
        <f>IF(K32="","",K32/MAX(K$5:K32)-1)</f>
        <v/>
      </c>
      <c r="N32" s="32" t="str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  <v/>
      </c>
      <c r="O32" s="7" t="str">
        <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f>
        <v/>
      </c>
      <c r="P32" s="7" t="str">
        <f>IF(N32="","",N32/MAX(N$5:N32)-1)</f>
        <v/>
      </c>
      <c r="Q32" s="32" t="str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  <v/>
      </c>
      <c r="R32" s="7" t="str">
        <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f>
        <v/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 t="str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7" t="str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7" t="str">
        <f>IF(B33="","",B33/MAX(B$5:B33)-1)</f>
        <v/>
      </c>
      <c r="E33" s="32" t="str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7" t="str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7" t="str">
        <f>IF(E33="","",E33/MAX(E$5:E33)-1)</f>
        <v/>
      </c>
      <c r="H33" s="32" t="str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7" t="str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7" t="str">
        <f>IF(H33="","",H33/MAX(H$5:H33)-1)</f>
        <v/>
      </c>
      <c r="K33" s="32" t="str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  <v/>
      </c>
      <c r="L33" s="7" t="str">
        <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f>
        <v/>
      </c>
      <c r="M33" s="7" t="str">
        <f>IF(K33="","",K33/MAX(K$5:K33)-1)</f>
        <v/>
      </c>
      <c r="N33" s="32" t="str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  <v/>
      </c>
      <c r="O33" s="7" t="str">
        <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f>
        <v/>
      </c>
      <c r="P33" s="7" t="str">
        <f>IF(N33="","",N33/MAX(N$5:N33)-1)</f>
        <v/>
      </c>
      <c r="Q33" s="32" t="str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  <v/>
      </c>
      <c r="R33" s="7" t="str">
        <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f>
        <v/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 t="str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7" t="str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7" t="str">
        <f>IF(B34="","",B34/MAX(B$5:B34)-1)</f>
        <v/>
      </c>
      <c r="E34" s="32" t="str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7" t="str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7" t="str">
        <f>IF(E34="","",E34/MAX(E$5:E34)-1)</f>
        <v/>
      </c>
      <c r="H34" s="32" t="str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7" t="str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7" t="str">
        <f>IF(H34="","",H34/MAX(H$5:H34)-1)</f>
        <v/>
      </c>
      <c r="K34" s="32" t="str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  <v/>
      </c>
      <c r="L34" s="7" t="str">
        <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f>
        <v/>
      </c>
      <c r="M34" s="7" t="str">
        <f>IF(K34="","",K34/MAX(K$5:K34)-1)</f>
        <v/>
      </c>
      <c r="N34" s="32" t="str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  <v/>
      </c>
      <c r="O34" s="7" t="str">
        <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f>
        <v/>
      </c>
      <c r="P34" s="7" t="str">
        <f>IF(N34="","",N34/MAX(N$5:N34)-1)</f>
        <v/>
      </c>
      <c r="Q34" s="32" t="str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  <v/>
      </c>
      <c r="R34" s="7" t="str">
        <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f>
        <v/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 t="str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7" t="str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7" t="str">
        <f>IF(B35="","",B35/MAX(B$5:B35)-1)</f>
        <v/>
      </c>
      <c r="E35" s="32" t="str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7" t="str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7" t="str">
        <f>IF(E35="","",E35/MAX(E$5:E35)-1)</f>
        <v/>
      </c>
      <c r="H35" s="32" t="str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7" t="str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7" t="str">
        <f>IF(H35="","",H35/MAX(H$5:H35)-1)</f>
        <v/>
      </c>
      <c r="K35" s="32" t="str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  <v/>
      </c>
      <c r="L35" s="7" t="str">
        <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f>
        <v/>
      </c>
      <c r="M35" s="7" t="str">
        <f>IF(K35="","",K35/MAX(K$5:K35)-1)</f>
        <v/>
      </c>
      <c r="N35" s="32" t="str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  <v/>
      </c>
      <c r="O35" s="7" t="str">
        <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f>
        <v/>
      </c>
      <c r="P35" s="7" t="str">
        <f>IF(N35="","",N35/MAX(N$5:N35)-1)</f>
        <v/>
      </c>
      <c r="Q35" s="32" t="str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  <v/>
      </c>
      <c r="R35" s="7" t="str">
        <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f>
        <v/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 t="str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7" t="str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7" t="str">
        <f>IF(B36="","",B36/MAX(B$5:B36)-1)</f>
        <v/>
      </c>
      <c r="E36" s="32" t="str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7" t="str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7" t="str">
        <f>IF(E36="","",E36/MAX(E$5:E36)-1)</f>
        <v/>
      </c>
      <c r="H36" s="32" t="str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7" t="str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7" t="str">
        <f>IF(H36="","",H36/MAX(H$5:H36)-1)</f>
        <v/>
      </c>
      <c r="K36" s="32" t="str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  <v/>
      </c>
      <c r="L36" s="7" t="str">
        <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f>
        <v/>
      </c>
      <c r="M36" s="7" t="str">
        <f>IF(K36="","",K36/MAX(K$5:K36)-1)</f>
        <v/>
      </c>
      <c r="N36" s="32" t="str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  <v/>
      </c>
      <c r="O36" s="7" t="str">
        <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f>
        <v/>
      </c>
      <c r="P36" s="7" t="str">
        <f>IF(N36="","",N36/MAX(N$5:N36)-1)</f>
        <v/>
      </c>
      <c r="Q36" s="32" t="str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  <v/>
      </c>
      <c r="R36" s="7" t="str">
        <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f>
        <v/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 t="str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7" t="str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7" t="str">
        <f>IF(B37="","",B37/MAX(B$5:B37)-1)</f>
        <v/>
      </c>
      <c r="E37" s="32" t="str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7" t="str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7" t="str">
        <f>IF(E37="","",E37/MAX(E$5:E37)-1)</f>
        <v/>
      </c>
      <c r="H37" s="32" t="str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7" t="str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7" t="str">
        <f>IF(H37="","",H37/MAX(H$5:H37)-1)</f>
        <v/>
      </c>
      <c r="K37" s="32" t="str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  <v/>
      </c>
      <c r="L37" s="7" t="str">
        <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f>
        <v/>
      </c>
      <c r="M37" s="7" t="str">
        <f>IF(K37="","",K37/MAX(K$5:K37)-1)</f>
        <v/>
      </c>
      <c r="N37" s="32" t="str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  <v/>
      </c>
      <c r="O37" s="7" t="str">
        <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f>
        <v/>
      </c>
      <c r="P37" s="7" t="str">
        <f>IF(N37="","",N37/MAX(N$5:N37)-1)</f>
        <v/>
      </c>
      <c r="Q37" s="32" t="str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  <v/>
      </c>
      <c r="R37" s="7" t="str">
        <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f>
        <v/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 t="str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7" t="str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7" t="str">
        <f>IF(B38="","",B38/MAX(B$5:B38)-1)</f>
        <v/>
      </c>
      <c r="E38" s="32" t="str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7" t="str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7" t="str">
        <f>IF(E38="","",E38/MAX(E$5:E38)-1)</f>
        <v/>
      </c>
      <c r="H38" s="32" t="str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7" t="str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7" t="str">
        <f>IF(H38="","",H38/MAX(H$5:H38)-1)</f>
        <v/>
      </c>
      <c r="K38" s="32" t="str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  <v/>
      </c>
      <c r="L38" s="7" t="str">
        <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f>
        <v/>
      </c>
      <c r="M38" s="7" t="str">
        <f>IF(K38="","",K38/MAX(K$5:K38)-1)</f>
        <v/>
      </c>
      <c r="N38" s="32" t="str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  <v/>
      </c>
      <c r="O38" s="7" t="str">
        <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f>
        <v/>
      </c>
      <c r="P38" s="7" t="str">
        <f>IF(N38="","",N38/MAX(N$5:N38)-1)</f>
        <v/>
      </c>
      <c r="Q38" s="32" t="str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  <v/>
      </c>
      <c r="R38" s="7" t="str">
        <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f>
        <v/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 t="str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7" t="str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7" t="str">
        <f>IF(B39="","",B39/MAX(B$5:B39)-1)</f>
        <v/>
      </c>
      <c r="E39" s="32" t="str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7" t="str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7" t="str">
        <f>IF(E39="","",E39/MAX(E$5:E39)-1)</f>
        <v/>
      </c>
      <c r="H39" s="32" t="str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7" t="str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7" t="str">
        <f>IF(H39="","",H39/MAX(H$5:H39)-1)</f>
        <v/>
      </c>
      <c r="K39" s="32" t="str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  <v/>
      </c>
      <c r="L39" s="7" t="str">
        <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f>
        <v/>
      </c>
      <c r="M39" s="7" t="str">
        <f>IF(K39="","",K39/MAX(K$5:K39)-1)</f>
        <v/>
      </c>
      <c r="N39" s="32" t="str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  <v/>
      </c>
      <c r="O39" s="7" t="str">
        <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f>
        <v/>
      </c>
      <c r="P39" s="7" t="str">
        <f>IF(N39="","",N39/MAX(N$5:N39)-1)</f>
        <v/>
      </c>
      <c r="Q39" s="32" t="str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  <v/>
      </c>
      <c r="R39" s="7" t="str">
        <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f>
        <v/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 t="str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7" t="str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7" t="str">
        <f>IF(B40="","",B40/MAX(B$5:B40)-1)</f>
        <v/>
      </c>
      <c r="E40" s="32" t="str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7" t="str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7" t="str">
        <f>IF(E40="","",E40/MAX(E$5:E40)-1)</f>
        <v/>
      </c>
      <c r="H40" s="32" t="str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7" t="str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7" t="str">
        <f>IF(H40="","",H40/MAX(H$5:H40)-1)</f>
        <v/>
      </c>
      <c r="K40" s="32" t="str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  <v/>
      </c>
      <c r="L40" s="7" t="str">
        <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f>
        <v/>
      </c>
      <c r="M40" s="7" t="str">
        <f>IF(K40="","",K40/MAX(K$5:K40)-1)</f>
        <v/>
      </c>
      <c r="N40" s="32" t="str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  <v/>
      </c>
      <c r="O40" s="7" t="str">
        <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f>
        <v/>
      </c>
      <c r="P40" s="7" t="str">
        <f>IF(N40="","",N40/MAX(N$5:N40)-1)</f>
        <v/>
      </c>
      <c r="Q40" s="32" t="str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  <v/>
      </c>
      <c r="R40" s="7" t="str">
        <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f>
        <v/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 t="str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7" t="str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7" t="str">
        <f>IF(B41="","",B41/MAX(B$5:B41)-1)</f>
        <v/>
      </c>
      <c r="E41" s="32" t="str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7" t="str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7" t="str">
        <f>IF(E41="","",E41/MAX(E$5:E41)-1)</f>
        <v/>
      </c>
      <c r="H41" s="32" t="str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7" t="str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7" t="str">
        <f>IF(H41="","",H41/MAX(H$5:H41)-1)</f>
        <v/>
      </c>
      <c r="K41" s="32" t="str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  <v/>
      </c>
      <c r="L41" s="7" t="str">
        <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f>
        <v/>
      </c>
      <c r="M41" s="7" t="str">
        <f>IF(K41="","",K41/MAX(K$5:K41)-1)</f>
        <v/>
      </c>
      <c r="N41" s="32" t="str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  <v/>
      </c>
      <c r="O41" s="7" t="str">
        <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f>
        <v/>
      </c>
      <c r="P41" s="7" t="str">
        <f>IF(N41="","",N41/MAX(N$5:N41)-1)</f>
        <v/>
      </c>
      <c r="Q41" s="32" t="str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  <v/>
      </c>
      <c r="R41" s="7" t="str">
        <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f>
        <v/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 t="str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7" t="str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7" t="str">
        <f>IF(B42="","",B42/MAX(B$5:B42)-1)</f>
        <v/>
      </c>
      <c r="E42" s="32" t="str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7" t="str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7" t="str">
        <f>IF(E42="","",E42/MAX(E$5:E42)-1)</f>
        <v/>
      </c>
      <c r="H42" s="32" t="str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7" t="str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7" t="str">
        <f>IF(H42="","",H42/MAX(H$5:H42)-1)</f>
        <v/>
      </c>
      <c r="K42" s="32" t="str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  <v/>
      </c>
      <c r="L42" s="7" t="str">
        <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f>
        <v/>
      </c>
      <c r="M42" s="7" t="str">
        <f>IF(K42="","",K42/MAX(K$5:K42)-1)</f>
        <v/>
      </c>
      <c r="N42" s="32" t="str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  <v/>
      </c>
      <c r="O42" s="7" t="str">
        <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f>
        <v/>
      </c>
      <c r="P42" s="7" t="str">
        <f>IF(N42="","",N42/MAX(N$5:N42)-1)</f>
        <v/>
      </c>
      <c r="Q42" s="32" t="str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  <v/>
      </c>
      <c r="R42" s="7" t="str">
        <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f>
        <v/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7" t="str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7" t="str">
        <f>IF(B43="","",B43/MAX(B$5:B43)-1)</f>
        <v/>
      </c>
      <c r="E43" s="3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7" t="str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7" t="str">
        <f>IF(E43="","",E43/MAX(E$5:E43)-1)</f>
        <v/>
      </c>
      <c r="H43" s="3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7" t="str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7" t="str">
        <f>IF(H43="","",H43/MAX(H$5:H43)-1)</f>
        <v/>
      </c>
      <c r="K43" s="32" t="str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  <v/>
      </c>
      <c r="L43" s="7" t="str">
        <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f>
        <v/>
      </c>
      <c r="M43" s="7" t="str">
        <f>IF(K43="","",K43/MAX(K$5:K43)-1)</f>
        <v/>
      </c>
      <c r="N43" s="32" t="str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  <v/>
      </c>
      <c r="O43" s="7" t="str">
        <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f>
        <v/>
      </c>
      <c r="P43" s="7" t="str">
        <f>IF(N43="","",N43/MAX(N$5:N43)-1)</f>
        <v/>
      </c>
      <c r="Q43" s="32" t="str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  <v/>
      </c>
      <c r="R43" s="7" t="str">
        <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f>
        <v/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7" t="str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7" t="str">
        <f>IF(B44="","",B44/MAX(B$5:B44)-1)</f>
        <v/>
      </c>
      <c r="E44" s="3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7" t="str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7" t="str">
        <f>IF(E44="","",E44/MAX(E$5:E44)-1)</f>
        <v/>
      </c>
      <c r="H44" s="3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7" t="str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7" t="str">
        <f>IF(H44="","",H44/MAX(H$5:H44)-1)</f>
        <v/>
      </c>
      <c r="K44" s="32" t="str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  <v/>
      </c>
      <c r="L44" s="7" t="str">
        <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f>
        <v/>
      </c>
      <c r="M44" s="7" t="str">
        <f>IF(K44="","",K44/MAX(K$5:K44)-1)</f>
        <v/>
      </c>
      <c r="N44" s="32" t="str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  <v/>
      </c>
      <c r="O44" s="7" t="str">
        <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f>
        <v/>
      </c>
      <c r="P44" s="7" t="str">
        <f>IF(N44="","",N44/MAX(N$5:N44)-1)</f>
        <v/>
      </c>
      <c r="Q44" s="32" t="str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  <v/>
      </c>
      <c r="R44" s="7" t="str">
        <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f>
        <v/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7" t="str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7" t="str">
        <f>IF(B45="","",B45/MAX(B$5:B45)-1)</f>
        <v/>
      </c>
      <c r="E45" s="3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7" t="str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7" t="str">
        <f>IF(E45="","",E45/MAX(E$5:E45)-1)</f>
        <v/>
      </c>
      <c r="H45" s="3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7" t="str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7" t="str">
        <f>IF(H45="","",H45/MAX(H$5:H45)-1)</f>
        <v/>
      </c>
      <c r="K45" s="32" t="str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  <v/>
      </c>
      <c r="L45" s="7" t="str">
        <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f>
        <v/>
      </c>
      <c r="M45" s="7" t="str">
        <f>IF(K45="","",K45/MAX(K$5:K45)-1)</f>
        <v/>
      </c>
      <c r="N45" s="32" t="str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  <v/>
      </c>
      <c r="O45" s="7" t="str">
        <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f>
        <v/>
      </c>
      <c r="P45" s="7" t="str">
        <f>IF(N45="","",N45/MAX(N$5:N45)-1)</f>
        <v/>
      </c>
      <c r="Q45" s="32" t="str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  <v/>
      </c>
      <c r="R45" s="7" t="str">
        <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f>
        <v/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7" t="str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7" t="str">
        <f>IF(B46="","",B46/MAX(B$5:B46)-1)</f>
        <v/>
      </c>
      <c r="E46" s="3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7" t="str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7" t="str">
        <f>IF(E46="","",E46/MAX(E$5:E46)-1)</f>
        <v/>
      </c>
      <c r="H46" s="3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7" t="str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7" t="str">
        <f>IF(H46="","",H46/MAX(H$5:H46)-1)</f>
        <v/>
      </c>
      <c r="K46" s="32" t="str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  <v/>
      </c>
      <c r="L46" s="7" t="str">
        <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f>
        <v/>
      </c>
      <c r="M46" s="7" t="str">
        <f>IF(K46="","",K46/MAX(K$5:K46)-1)</f>
        <v/>
      </c>
      <c r="N46" s="32" t="str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  <v/>
      </c>
      <c r="O46" s="7" t="str">
        <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f>
        <v/>
      </c>
      <c r="P46" s="7" t="str">
        <f>IF(N46="","",N46/MAX(N$5:N46)-1)</f>
        <v/>
      </c>
      <c r="Q46" s="32" t="str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  <v/>
      </c>
      <c r="R46" s="7" t="str">
        <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f>
        <v/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7" t="str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7" t="str">
        <f>IF(B47="","",B47/MAX(B$5:B47)-1)</f>
        <v/>
      </c>
      <c r="E47" s="3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7" t="str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7" t="str">
        <f>IF(E47="","",E47/MAX(E$5:E47)-1)</f>
        <v/>
      </c>
      <c r="H47" s="3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7" t="str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7" t="str">
        <f>IF(H47="","",H47/MAX(H$5:H47)-1)</f>
        <v/>
      </c>
      <c r="K47" s="32" t="str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  <v/>
      </c>
      <c r="L47" s="7" t="str">
        <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f>
        <v/>
      </c>
      <c r="M47" s="7" t="str">
        <f>IF(K47="","",K47/MAX(K$5:K47)-1)</f>
        <v/>
      </c>
      <c r="N47" s="32" t="str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  <v/>
      </c>
      <c r="O47" s="7" t="str">
        <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f>
        <v/>
      </c>
      <c r="P47" s="7" t="str">
        <f>IF(N47="","",N47/MAX(N$5:N47)-1)</f>
        <v/>
      </c>
      <c r="Q47" s="32" t="str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  <v/>
      </c>
      <c r="R47" s="7" t="str">
        <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f>
        <v/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7" t="str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7" t="str">
        <f>IF(B48="","",B48/MAX(B$5:B48)-1)</f>
        <v/>
      </c>
      <c r="E48" s="3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7" t="str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7" t="str">
        <f>IF(E48="","",E48/MAX(E$5:E48)-1)</f>
        <v/>
      </c>
      <c r="H48" s="3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7" t="str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7" t="str">
        <f>IF(H48="","",H48/MAX(H$5:H48)-1)</f>
        <v/>
      </c>
      <c r="K48" s="32" t="str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  <v/>
      </c>
      <c r="L48" s="7" t="str">
        <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f>
        <v/>
      </c>
      <c r="M48" s="7" t="str">
        <f>IF(K48="","",K48/MAX(K$5:K48)-1)</f>
        <v/>
      </c>
      <c r="N48" s="32" t="str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  <v/>
      </c>
      <c r="O48" s="7" t="str">
        <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f>
        <v/>
      </c>
      <c r="P48" s="7" t="str">
        <f>IF(N48="","",N48/MAX(N$5:N48)-1)</f>
        <v/>
      </c>
      <c r="Q48" s="32" t="str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  <v/>
      </c>
      <c r="R48" s="7" t="str">
        <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f>
        <v/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7" t="str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7" t="str">
        <f>IF(B49="","",B49/MAX(B$5:B49)-1)</f>
        <v/>
      </c>
      <c r="E49" s="3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7" t="str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7" t="str">
        <f>IF(E49="","",E49/MAX(E$5:E49)-1)</f>
        <v/>
      </c>
      <c r="H49" s="3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7" t="str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7" t="str">
        <f>IF(H49="","",H49/MAX(H$5:H49)-1)</f>
        <v/>
      </c>
      <c r="K49" s="32" t="str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  <v/>
      </c>
      <c r="L49" s="7" t="str">
        <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f>
        <v/>
      </c>
      <c r="M49" s="7" t="str">
        <f>IF(K49="","",K49/MAX(K$5:K49)-1)</f>
        <v/>
      </c>
      <c r="N49" s="32" t="str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  <v/>
      </c>
      <c r="O49" s="7" t="str">
        <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f>
        <v/>
      </c>
      <c r="P49" s="7" t="str">
        <f>IF(N49="","",N49/MAX(N$5:N49)-1)</f>
        <v/>
      </c>
      <c r="Q49" s="32" t="str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  <v/>
      </c>
      <c r="R49" s="7" t="str">
        <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f>
        <v/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7" t="str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7" t="str">
        <f>IF(B50="","",B50/MAX(B$5:B50)-1)</f>
        <v/>
      </c>
      <c r="E50" s="3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7" t="str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7" t="str">
        <f>IF(E50="","",E50/MAX(E$5:E50)-1)</f>
        <v/>
      </c>
      <c r="H50" s="3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7" t="str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7" t="str">
        <f>IF(H50="","",H50/MAX(H$5:H50)-1)</f>
        <v/>
      </c>
      <c r="K50" s="32" t="str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  <v/>
      </c>
      <c r="L50" s="7" t="str">
        <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f>
        <v/>
      </c>
      <c r="M50" s="7" t="str">
        <f>IF(K50="","",K50/MAX(K$5:K50)-1)</f>
        <v/>
      </c>
      <c r="N50" s="32" t="str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  <v/>
      </c>
      <c r="O50" s="7" t="str">
        <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f>
        <v/>
      </c>
      <c r="P50" s="7" t="str">
        <f>IF(N50="","",N50/MAX(N$5:N50)-1)</f>
        <v/>
      </c>
      <c r="Q50" s="32" t="str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  <v/>
      </c>
      <c r="R50" s="7" t="str">
        <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f>
        <v/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7" t="str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7" t="str">
        <f>IF(B51="","",B51/MAX(B$5:B51)-1)</f>
        <v/>
      </c>
      <c r="E51" s="3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7" t="str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7" t="str">
        <f>IF(E51="","",E51/MAX(E$5:E51)-1)</f>
        <v/>
      </c>
      <c r="H51" s="3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7" t="str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7" t="str">
        <f>IF(H51="","",H51/MAX(H$5:H51)-1)</f>
        <v/>
      </c>
      <c r="K51" s="32" t="str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  <v/>
      </c>
      <c r="L51" s="7" t="str">
        <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f>
        <v/>
      </c>
      <c r="M51" s="7" t="str">
        <f>IF(K51="","",K51/MAX(K$5:K51)-1)</f>
        <v/>
      </c>
      <c r="N51" s="32" t="str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  <v/>
      </c>
      <c r="O51" s="7" t="str">
        <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f>
        <v/>
      </c>
      <c r="P51" s="7" t="str">
        <f>IF(N51="","",N51/MAX(N$5:N51)-1)</f>
        <v/>
      </c>
      <c r="Q51" s="32" t="str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  <v/>
      </c>
      <c r="R51" s="7" t="str">
        <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f>
        <v/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7" t="str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7" t="str">
        <f>IF(B52="","",B52/MAX(B$5:B52)-1)</f>
        <v/>
      </c>
      <c r="E52" s="3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7" t="str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7" t="str">
        <f>IF(E52="","",E52/MAX(E$5:E52)-1)</f>
        <v/>
      </c>
      <c r="H52" s="3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7" t="str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7" t="str">
        <f>IF(H52="","",H52/MAX(H$5:H52)-1)</f>
        <v/>
      </c>
      <c r="K52" s="32" t="str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  <v/>
      </c>
      <c r="L52" s="7" t="str">
        <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f>
        <v/>
      </c>
      <c r="M52" s="7" t="str">
        <f>IF(K52="","",K52/MAX(K$5:K52)-1)</f>
        <v/>
      </c>
      <c r="N52" s="32" t="str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  <v/>
      </c>
      <c r="O52" s="7" t="str">
        <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f>
        <v/>
      </c>
      <c r="P52" s="7" t="str">
        <f>IF(N52="","",N52/MAX(N$5:N52)-1)</f>
        <v/>
      </c>
      <c r="Q52" s="32" t="str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  <v/>
      </c>
      <c r="R52" s="7" t="str">
        <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f>
        <v/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7" t="str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7" t="str">
        <f>IF(B53="","",B53/MAX(B$5:B53)-1)</f>
        <v/>
      </c>
      <c r="E53" s="3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7" t="str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7" t="str">
        <f>IF(E53="","",E53/MAX(E$5:E53)-1)</f>
        <v/>
      </c>
      <c r="H53" s="3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7" t="str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7" t="str">
        <f>IF(H53="","",H53/MAX(H$5:H53)-1)</f>
        <v/>
      </c>
      <c r="K53" s="32" t="str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  <v/>
      </c>
      <c r="L53" s="7" t="str">
        <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f>
        <v/>
      </c>
      <c r="M53" s="7" t="str">
        <f>IF(K53="","",K53/MAX(K$5:K53)-1)</f>
        <v/>
      </c>
      <c r="N53" s="32" t="str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  <v/>
      </c>
      <c r="O53" s="7" t="str">
        <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f>
        <v/>
      </c>
      <c r="P53" s="7" t="str">
        <f>IF(N53="","",N53/MAX(N$5:N53)-1)</f>
        <v/>
      </c>
      <c r="Q53" s="32" t="str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  <v/>
      </c>
      <c r="R53" s="7" t="str">
        <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f>
        <v/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7" t="str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7" t="str">
        <f>IF(B54="","",B54/MAX(B$5:B54)-1)</f>
        <v/>
      </c>
      <c r="E54" s="3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7" t="str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7" t="str">
        <f>IF(E54="","",E54/MAX(E$5:E54)-1)</f>
        <v/>
      </c>
      <c r="H54" s="3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7" t="str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7" t="str">
        <f>IF(H54="","",H54/MAX(H$5:H54)-1)</f>
        <v/>
      </c>
      <c r="K54" s="32" t="str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  <v/>
      </c>
      <c r="L54" s="7" t="str">
        <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f>
        <v/>
      </c>
      <c r="M54" s="7" t="str">
        <f>IF(K54="","",K54/MAX(K$5:K54)-1)</f>
        <v/>
      </c>
      <c r="N54" s="32" t="str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  <v/>
      </c>
      <c r="O54" s="7" t="str">
        <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f>
        <v/>
      </c>
      <c r="P54" s="7" t="str">
        <f>IF(N54="","",N54/MAX(N$5:N54)-1)</f>
        <v/>
      </c>
      <c r="Q54" s="32" t="str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  <v/>
      </c>
      <c r="R54" s="7" t="str">
        <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f>
        <v/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7" t="str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7" t="str">
        <f>IF(B55="","",B55/MAX(B$5:B55)-1)</f>
        <v/>
      </c>
      <c r="E55" s="3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7" t="str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7" t="str">
        <f>IF(E55="","",E55/MAX(E$5:E55)-1)</f>
        <v/>
      </c>
      <c r="H55" s="3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7" t="str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7" t="str">
        <f>IF(H55="","",H55/MAX(H$5:H55)-1)</f>
        <v/>
      </c>
      <c r="K55" s="32" t="str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  <v/>
      </c>
      <c r="L55" s="7" t="str">
        <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f>
        <v/>
      </c>
      <c r="M55" s="7" t="str">
        <f>IF(K55="","",K55/MAX(K$5:K55)-1)</f>
        <v/>
      </c>
      <c r="N55" s="32" t="str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  <v/>
      </c>
      <c r="O55" s="7" t="str">
        <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f>
        <v/>
      </c>
      <c r="P55" s="7" t="str">
        <f>IF(N55="","",N55/MAX(N$5:N55)-1)</f>
        <v/>
      </c>
      <c r="Q55" s="32" t="str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  <v/>
      </c>
      <c r="R55" s="7" t="str">
        <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f>
        <v/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7" t="str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7" t="str">
        <f>IF(B56="","",B56/MAX(B$5:B56)-1)</f>
        <v/>
      </c>
      <c r="E56" s="3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7" t="str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7" t="str">
        <f>IF(E56="","",E56/MAX(E$5:E56)-1)</f>
        <v/>
      </c>
      <c r="H56" s="3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7" t="str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7" t="str">
        <f>IF(H56="","",H56/MAX(H$5:H56)-1)</f>
        <v/>
      </c>
      <c r="K56" s="32" t="str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  <v/>
      </c>
      <c r="L56" s="7" t="str">
        <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f>
        <v/>
      </c>
      <c r="M56" s="7" t="str">
        <f>IF(K56="","",K56/MAX(K$5:K56)-1)</f>
        <v/>
      </c>
      <c r="N56" s="32" t="str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  <v/>
      </c>
      <c r="O56" s="7" t="str">
        <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f>
        <v/>
      </c>
      <c r="P56" s="7" t="str">
        <f>IF(N56="","",N56/MAX(N$5:N56)-1)</f>
        <v/>
      </c>
      <c r="Q56" s="32" t="str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  <v/>
      </c>
      <c r="R56" s="7" t="str">
        <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f>
        <v/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7" t="str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7" t="str">
        <f>IF(B57="","",B57/MAX(B$5:B57)-1)</f>
        <v/>
      </c>
      <c r="E57" s="3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7" t="str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7" t="str">
        <f>IF(E57="","",E57/MAX(E$5:E57)-1)</f>
        <v/>
      </c>
      <c r="H57" s="3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7" t="str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7" t="str">
        <f>IF(H57="","",H57/MAX(H$5:H57)-1)</f>
        <v/>
      </c>
      <c r="K57" s="32" t="str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  <v/>
      </c>
      <c r="L57" s="7" t="str">
        <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f>
        <v/>
      </c>
      <c r="M57" s="7" t="str">
        <f>IF(K57="","",K57/MAX(K$5:K57)-1)</f>
        <v/>
      </c>
      <c r="N57" s="32" t="str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  <v/>
      </c>
      <c r="O57" s="7" t="str">
        <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f>
        <v/>
      </c>
      <c r="P57" s="7" t="str">
        <f>IF(N57="","",N57/MAX(N$5:N57)-1)</f>
        <v/>
      </c>
      <c r="Q57" s="32" t="str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  <v/>
      </c>
      <c r="R57" s="7" t="str">
        <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f>
        <v/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7" t="str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7" t="str">
        <f>IF(B58="","",B58/MAX(B$5:B58)-1)</f>
        <v/>
      </c>
      <c r="E58" s="3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7" t="str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7" t="str">
        <f>IF(E58="","",E58/MAX(E$5:E58)-1)</f>
        <v/>
      </c>
      <c r="H58" s="3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7" t="str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7" t="str">
        <f>IF(H58="","",H58/MAX(H$5:H58)-1)</f>
        <v/>
      </c>
      <c r="K58" s="32" t="str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  <v/>
      </c>
      <c r="L58" s="7" t="str">
        <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f>
        <v/>
      </c>
      <c r="M58" s="7" t="str">
        <f>IF(K58="","",K58/MAX(K$5:K58)-1)</f>
        <v/>
      </c>
      <c r="N58" s="32" t="str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  <v/>
      </c>
      <c r="O58" s="7" t="str">
        <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f>
        <v/>
      </c>
      <c r="P58" s="7" t="str">
        <f>IF(N58="","",N58/MAX(N$5:N58)-1)</f>
        <v/>
      </c>
      <c r="Q58" s="32" t="str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  <v/>
      </c>
      <c r="R58" s="7" t="str">
        <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f>
        <v/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7" t="str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7" t="str">
        <f>IF(B59="","",B59/MAX(B$5:B59)-1)</f>
        <v/>
      </c>
      <c r="E59" s="3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7" t="str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7" t="str">
        <f>IF(E59="","",E59/MAX(E$5:E59)-1)</f>
        <v/>
      </c>
      <c r="H59" s="3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7" t="str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7" t="str">
        <f>IF(H59="","",H59/MAX(H$5:H59)-1)</f>
        <v/>
      </c>
      <c r="K59" s="32" t="str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  <v/>
      </c>
      <c r="L59" s="7" t="str">
        <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f>
        <v/>
      </c>
      <c r="M59" s="7" t="str">
        <f>IF(K59="","",K59/MAX(K$5:K59)-1)</f>
        <v/>
      </c>
      <c r="N59" s="32" t="str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  <v/>
      </c>
      <c r="O59" s="7" t="str">
        <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f>
        <v/>
      </c>
      <c r="P59" s="7" t="str">
        <f>IF(N59="","",N59/MAX(N$5:N59)-1)</f>
        <v/>
      </c>
      <c r="Q59" s="32" t="str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  <v/>
      </c>
      <c r="R59" s="7" t="str">
        <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f>
        <v/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52" t="s">
        <v>73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"&amp;TEXT(实盘持仓配置!$Z$4,"0.0%")&amp;"（折每日计入净值）"</f>
        <v>买入持有 · 已扣年化费率 1.5%（折每日计入净值）</v>
      </c>
      <c r="C3" s="48"/>
      <c r="D3" s="48"/>
      <c r="E3" s="51" t="str">
        <f>"净值日期："&amp;TEXT(LOOKUP(2,1/(实盘组合净值!$B$5:$B$59&lt;&gt;""),实盘组合净值!$A$5:$A$59),"yyyy-mm-dd")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1.0416241954764149</v>
      </c>
      <c r="C7" s="19">
        <f>(LOOKUP(2,1/(实盘组合净值!$B$5:$B$59&lt;&gt;""),实盘组合净值!$B$5:$B$59))/1-1</f>
        <v>4.1624195476414938E-2</v>
      </c>
      <c r="D7" s="19">
        <f>(LOOKUP(2,1/(实盘组合净值!$B$5:$B$59&lt;&gt;""),实盘组合净值!$B$5:$B$59)/1)^(说明!$C$17/MAX(COUNT(实盘组合净值!$C$5:$C$59),1))-1</f>
        <v>2.4336778484036188</v>
      </c>
      <c r="E7" s="20">
        <f>STDEV(实盘组合净值!$C$5:$C$59)*SQRT(说明!$C$17)</f>
        <v>0.46864983114550662</v>
      </c>
      <c r="F7" s="19">
        <f>MIN(实盘组合净值!$D$5:$D$59)</f>
        <v>-3.0910155637833614E-2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5.1929557777820028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4.1624195476414938E-2</v>
      </c>
      <c r="D11" s="15">
        <f>IFERROR((LOOKUP(2,1/(实盘组合净值!$B$5:$B$59&lt;&gt;""),实盘组合净值!$B$5:$B$59)/(1))^(说明!$C$17/COUNT(实盘组合净值!$C$5:$C$59))-1,"")</f>
        <v>2.4336778484036188</v>
      </c>
      <c r="E11" s="53" t="s">
        <v>79</v>
      </c>
      <c r="F11" s="54"/>
      <c r="G11" s="15">
        <f>MIN(实盘组合净值!$D$5:$D$59)</f>
        <v>-3.0910155637833614E-2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4.1624195476414938E-2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1.6829194713374549</v>
      </c>
      <c r="E12" s="53" t="s">
        <v>88</v>
      </c>
      <c r="F12" s="54"/>
      <c r="G12" s="16">
        <f>IFERROR((LOOKUP(2,1/(实盘组合净值!$B$5:$B$59&lt;&gt;""),ROW(实盘组合净值!$B$5:$B$59)))-(LOOKUP(2,1/(实盘组合净值!$D$5:$D$59=0),ROW(实盘组合净值!$D$5:$D$59))),"")</f>
        <v>2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4.1624195476414938E-2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1.6829194713374549</v>
      </c>
      <c r="E13" s="53" t="s">
        <v>90</v>
      </c>
      <c r="F13" s="54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4.1624195476414938E-2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1.6829194713374549</v>
      </c>
      <c r="E14" s="53" t="s">
        <v>78</v>
      </c>
      <c r="F14" s="54"/>
      <c r="G14" s="15">
        <f>STDEV(实盘组合净值!$C$5:$C$59)*SQRT(说明!$C$17)</f>
        <v>0.46864983114550662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4.1624195476414938E-2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1.6829194713374549</v>
      </c>
      <c r="E15" s="53" t="s">
        <v>80</v>
      </c>
      <c r="F15" s="54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5.1929557777820028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IFERROR(((LOOKUP(2,1/(实盘组合净值!$B$5:$B$59&lt;&gt;""),实盘组合净值!$B$5:$B$59)/1)^(说明!$C$17/MAX(COUNT(实盘组合净值!$C$5:$C$59),1))-1)/ABS(MIN(实盘组合净值!$D$5:$D$59)),"")</f>
        <v>78.73392411602191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2" sqref="J2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52" t="s">
        <v>96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"&amp;TEXT(实盘持仓配置!$Z$5,"0.0%")&amp;"（折每日计入净值）"</f>
        <v>买入持有 · 已扣年化费率 1.2%（折每日计入净值）</v>
      </c>
      <c r="C3" s="48"/>
      <c r="D3" s="48"/>
      <c r="E3" s="51" t="str">
        <f>"净值日期："&amp;TEXT(LOOKUP(2,1/(实盘组合净值!$E$5:$E$59&lt;&gt;""),实盘组合净值!$A$5:$A$59),"yyyy-mm-dd")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1.0657190781765671</v>
      </c>
      <c r="C7" s="19">
        <f>(LOOKUP(2,1/(实盘组合净值!$E$5:$E$59&lt;&gt;""),实盘组合净值!$E$5:$E$59))/1-1</f>
        <v>6.5719078176567081E-2</v>
      </c>
      <c r="D7" s="19">
        <f>(LOOKUP(2,1/(实盘组合净值!$E$5:$E$59&lt;&gt;""),实盘组合净值!$E$5:$E$59)/1)^(说明!$C$17/MAX(COUNT(实盘组合净值!$F$5:$F$59),1))-1</f>
        <v>4.5371026737484117</v>
      </c>
      <c r="E7" s="20">
        <f>STDEV(实盘组合净值!$F$5:$F$59)*SQRT(说明!$C$17)</f>
        <v>0.44852531779057303</v>
      </c>
      <c r="F7" s="19">
        <f>MIN(实盘组合净值!$G$5:$G$59)</f>
        <v>-3.0932665810540994E-2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10.115599931121148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6.5719078176567081E-2</v>
      </c>
      <c r="D11" s="15">
        <f>IFERROR((LOOKUP(2,1/(实盘组合净值!$E$5:$E$59&lt;&gt;""),实盘组合净值!$E$5:$E$59)/(1))^(说明!$C$17/COUNT(实盘组合净值!$F$5:$F$59))-1,"")</f>
        <v>4.5371026737484117</v>
      </c>
      <c r="E11" s="53" t="s">
        <v>79</v>
      </c>
      <c r="F11" s="54"/>
      <c r="G11" s="15">
        <f>MIN(实盘组合净值!$G$5:$G$59)</f>
        <v>-3.0932665810540994E-2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6.5719078176567081E-2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3.6661029759810653</v>
      </c>
      <c r="E12" s="53" t="s">
        <v>88</v>
      </c>
      <c r="F12" s="54"/>
      <c r="G12" s="16">
        <f>IFERROR((LOOKUP(2,1/(实盘组合净值!$E$5:$E$59&lt;&gt;""),ROW(实盘组合净值!$E$5:$E$59)))-(LOOKUP(2,1/(实盘组合净值!$G$5:$G$59=0),ROW(实盘组合净值!$G$5:$G$59))),"")</f>
        <v>2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6.5719078176567081E-2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3.6661029759810653</v>
      </c>
      <c r="E13" s="53" t="s">
        <v>90</v>
      </c>
      <c r="F13" s="54"/>
      <c r="G13" s="35">
        <f>COUNTIF(实盘组合净值!$F$5:$F$59,"&gt;0")/MAX(COUNT(实盘组合净值!$F$5:$F$59),1)</f>
        <v>0.55555555555555558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6.5719078176567081E-2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3.6661029759810653</v>
      </c>
      <c r="E14" s="53" t="s">
        <v>78</v>
      </c>
      <c r="F14" s="54"/>
      <c r="G14" s="15">
        <f>STDEV(实盘组合净值!$F$5:$F$59)*SQRT(说明!$C$17)</f>
        <v>0.44852531779057303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6.5719078176567081E-2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3.6661029759810653</v>
      </c>
      <c r="E15" s="53" t="s">
        <v>80</v>
      </c>
      <c r="F15" s="54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10.115599931121148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IFERROR(((LOOKUP(2,1/(实盘组合净值!$E$5:$E$59&lt;&gt;""),实盘组合净值!$E$5:$E$59)/1)^(说明!$C$17/MAX(COUNT(实盘组合净值!$F$5:$F$59),1))-1)/ABS(MIN(实盘组合净值!$G$5:$G$59)),"")</f>
        <v>146.67674301134088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19" sqref="L19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52" t="s">
        <v>97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"&amp;TEXT(实盘持仓配置!$Z$6,"0.0%")&amp;"（折每日计入净值）"</f>
        <v>买入持有 · 已扣年化费率 1.5%（折每日计入净值）</v>
      </c>
      <c r="C3" s="48"/>
      <c r="D3" s="48"/>
      <c r="E3" s="51" t="str">
        <f>"净值日期："&amp;TEXT(LOOKUP(2,1/(实盘组合净值!$H$5:$H$59&lt;&gt;""),实盘组合净值!$A$5:$A$59),"yyyy-mm-dd")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1.083572619485683</v>
      </c>
      <c r="C7" s="19">
        <f>(LOOKUP(2,1/(实盘组合净值!$H$5:$H$59&lt;&gt;""),实盘组合净值!$H$5:$H$59))/1-1</f>
        <v>8.3572619485682953E-2</v>
      </c>
      <c r="D7" s="19">
        <f>(LOOKUP(2,1/(实盘组合净值!$H$5:$H$59&lt;&gt;""),实盘组合净值!$H$5:$H$59)/1)^(说明!$C$17/MAX(COUNT(实盘组合净值!$I$5:$I$59),1))-1</f>
        <v>15.035836974713298</v>
      </c>
      <c r="E7" s="20">
        <f>STDEV(实盘组合净值!$I$5:$I$59)*SQRT(说明!$C$17)</f>
        <v>0.43623565268271813</v>
      </c>
      <c r="F7" s="19">
        <f>MIN(实盘组合净值!$J$5:$J$59)</f>
        <v>-2.5307103308916834E-2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34.467235500462699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8.3572619485682953E-2</v>
      </c>
      <c r="D11" s="15">
        <f>IFERROR((LOOKUP(2,1/(实盘组合净值!$H$5:$H$59&lt;&gt;""),实盘组合净值!$H$5:$H$59)/(1))^(说明!$C$17/COUNT(实盘组合净值!$I$5:$I$59))-1,"")</f>
        <v>15.035836974713298</v>
      </c>
      <c r="E11" s="53" t="s">
        <v>79</v>
      </c>
      <c r="F11" s="54"/>
      <c r="G11" s="15">
        <f>MIN(实盘组合净值!$J$5:$J$59)</f>
        <v>-2.5307103308916834E-2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8.3572619485682953E-2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5.9753201058451149</v>
      </c>
      <c r="E12" s="53" t="s">
        <v>88</v>
      </c>
      <c r="F12" s="54"/>
      <c r="G12" s="16">
        <f>IFERROR((LOOKUP(2,1/(实盘组合净值!$H$5:$H$59&lt;&gt;""),ROW(实盘组合净值!$H$5:$H$59)))-(LOOKUP(2,1/(实盘组合净值!$J$5:$J$59=0),ROW(实盘组合净值!$J$5:$J$59))),"")</f>
        <v>2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8.3572619485682953E-2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5.9753201058451149</v>
      </c>
      <c r="E13" s="53" t="s">
        <v>90</v>
      </c>
      <c r="F13" s="54"/>
      <c r="G13" s="35">
        <f>COUNTIF(实盘组合净值!$I$5:$I$59,"&gt;0")/MAX(COUNT(实盘组合净值!$I$5:$I$59),1)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8.3572619485682953E-2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5.9753201058451149</v>
      </c>
      <c r="E14" s="53" t="s">
        <v>78</v>
      </c>
      <c r="F14" s="54"/>
      <c r="G14" s="15">
        <f>STDEV(实盘组合净值!$I$5:$I$59)*SQRT(说明!$C$17)</f>
        <v>0.43623565268271813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8.3572619485682953E-2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5.9753201058451149</v>
      </c>
      <c r="E15" s="53" t="s">
        <v>80</v>
      </c>
      <c r="F15" s="54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34.467235500462699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IFERROR(((LOOKUP(2,1/(实盘组合净值!$H$5:$H$59&lt;&gt;""),实盘组合净值!$H$5:$H$59)/1)^(说明!$C$17/MAX(COUNT(实盘组合净值!$I$5:$I$59),1))-1)/ABS(MIN(实盘组合净值!$J$5:$J$59)),"")</f>
        <v>594.13504545245587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4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52" t="s">
        <v>98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"&amp;TEXT(实盘持仓配置!$Z$7,"0.0%")&amp;"（折每日计入净值）"</f>
        <v>买入持有 · 已扣年化费率 0.8%（折每日计入净值）</v>
      </c>
      <c r="C3" s="48"/>
      <c r="D3" s="48"/>
      <c r="E3" s="51" t="str">
        <f>"净值日期："&amp;TEXT(LOOKUP(2,1/(实盘组合净值!$K$5:$K$59&lt;&gt;""),实盘组合净值!$A$5:$A$59),"yyyy-mm-dd")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1.0008421824131881</v>
      </c>
      <c r="C7" s="19">
        <f>(LOOKUP(2,1/(实盘组合净值!$K$5:$K$59&lt;&gt;""),实盘组合净值!$K$5:$K$59))/1-1</f>
        <v>8.4218241318811948E-4</v>
      </c>
      <c r="D7" s="19">
        <f>(LOOKUP(2,1/(实盘组合净值!$K$5:$K$59&lt;&gt;""),实盘组合净值!$K$5:$K$59)/1)^(说明!$C$17/MAX(COUNT(实盘组合净值!$L$5:$L$59),1))-1</f>
        <v>3.4536735938311747E-2</v>
      </c>
      <c r="E7" s="20">
        <f>STDEV(实盘组合净值!$L$5:$L$59)*SQRT(说明!$C$17)</f>
        <v>2.9952632191608861E-2</v>
      </c>
      <c r="F7" s="19">
        <f>MIN(实盘组合净值!$M$5:$M$59)</f>
        <v>-2.4218868203562671E-3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1.1530451052641413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8.4218241318811948E-4</v>
      </c>
      <c r="D11" s="15">
        <f>IFERROR((LOOKUP(2,1/(实盘组合净值!$K$5:$K$59&lt;&gt;""),实盘组合净值!$K$5:$K$59)/(1))^(说明!$C$17/COUNT(实盘组合净值!$L$5:$L$59))-1,"")</f>
        <v>3.4536735938311747E-2</v>
      </c>
      <c r="E11" s="53" t="s">
        <v>79</v>
      </c>
      <c r="F11" s="54"/>
      <c r="G11" s="15">
        <f>MIN(实盘组合净值!$M$5:$M$59)</f>
        <v>-2.4218868203562671E-3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8.4218241318811948E-4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2.0581167435048453E-2</v>
      </c>
      <c r="E12" s="53" t="s">
        <v>88</v>
      </c>
      <c r="F12" s="54"/>
      <c r="G12" s="16">
        <f>IFERROR((LOOKUP(2,1/(实盘组合净值!$K$5:$K$59&lt;&gt;""),ROW(实盘组合净值!$K$5:$K$59)))-(LOOKUP(2,1/(实盘组合净值!$M$5:$M$59=0),ROW(实盘组合净值!$M$5:$M$59))),"")</f>
        <v>2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8.4218241318811948E-4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2.0581167435048453E-2</v>
      </c>
      <c r="E13" s="53" t="s">
        <v>90</v>
      </c>
      <c r="F13" s="54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8.4218241318811948E-4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2.0581167435048453E-2</v>
      </c>
      <c r="E14" s="53" t="s">
        <v>78</v>
      </c>
      <c r="F14" s="54"/>
      <c r="G14" s="15">
        <f>STDEV(实盘组合净值!$L$5:$L$59)*SQRT(说明!$C$17)</f>
        <v>2.9952632191608861E-2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8.4218241318811948E-4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2.0581167435048453E-2</v>
      </c>
      <c r="E15" s="53" t="s">
        <v>80</v>
      </c>
      <c r="F15" s="54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1.1530451052641413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IFERROR(((LOOKUP(2,1/(实盘组合净值!$K$5:$K$59&lt;&gt;""),实盘组合净值!$K$5:$K$59)/1)^(说明!$C$17/MAX(COUNT(实盘组合净值!$L$5:$L$59),1))-1)/ABS(MIN(实盘组合净值!$M$5:$M$59)),"")</f>
        <v>14.260260078227473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M21" sqref="M21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52" t="s">
        <v>99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"&amp;TEXT(实盘持仓配置!$Z$8,"0.0%")&amp;"（折每日计入净值）"</f>
        <v>买入持有 · 已扣年化费率 0.5%（折每日计入净值）</v>
      </c>
      <c r="C3" s="48"/>
      <c r="D3" s="48"/>
      <c r="E3" s="51" t="str">
        <f>"净值日期："&amp;TEXT(LOOKUP(2,1/(实盘组合净值!$N$5:$N$59&lt;&gt;""),实盘组合净值!$A$5:$A$59),"yyyy-mm-dd")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0.99997063463570157</v>
      </c>
      <c r="C7" s="19">
        <f>(LOOKUP(2,1/(实盘组合净值!$N$5:$N$59&lt;&gt;""),实盘组合净值!$N$5:$N$59))/1-1</f>
        <v>-2.9365364298428176E-5</v>
      </c>
      <c r="D7" s="19">
        <f>(LOOKUP(2,1/(实盘组合净值!$N$5:$N$59&lt;&gt;""),实盘组合净值!$N$5:$N$59)/1)^(说明!$C$17/MAX(COUNT(实盘组合净值!$O$5:$O$59),1))-1</f>
        <v>-7.8930194871329462E-4</v>
      </c>
      <c r="E7" s="20">
        <f>STDEV(实盘组合净值!$O$5:$O$59)*SQRT(说明!$C$17)</f>
        <v>3.3240446164269556E-2</v>
      </c>
      <c r="F7" s="19">
        <f>MIN(实盘组合净值!$P$5:$P$59)</f>
        <v>-3.0701438246731882E-3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-2.3745227269594295E-2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-2.9365364298428176E-5</v>
      </c>
      <c r="D11" s="15">
        <f>IFERROR((LOOKUP(2,1/(实盘组合净值!$N$5:$N$59&lt;&gt;""),实盘组合净值!$N$5:$N$59)/(1))^(说明!$C$17/COUNT(实盘组合净值!$O$5:$O$59))-1,"")</f>
        <v>-7.8930194871329462E-4</v>
      </c>
      <c r="E11" s="53" t="s">
        <v>79</v>
      </c>
      <c r="F11" s="54"/>
      <c r="G11" s="15">
        <f>MIN(实盘组合净值!$P$5:$P$59)</f>
        <v>-3.0701438246731882E-3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-2.9365364298428176E-5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-7.1039979684939247E-4</v>
      </c>
      <c r="E12" s="53" t="s">
        <v>88</v>
      </c>
      <c r="F12" s="54"/>
      <c r="G12" s="16">
        <f>IFERROR((LOOKUP(2,1/(实盘组合净值!$N$5:$N$59&lt;&gt;""),ROW(实盘组合净值!$N$5:$N$59)))-(LOOKUP(2,1/(实盘组合净值!$P$5:$P$59=0),ROW(实盘组合净值!$P$5:$P$59))),"")</f>
        <v>2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-2.9365364298428176E-5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-7.1039979684939247E-4</v>
      </c>
      <c r="E13" s="53" t="s">
        <v>90</v>
      </c>
      <c r="F13" s="54"/>
      <c r="G13" s="35">
        <f>COUNTIF(实盘组合净值!$O$5:$O$59,"&gt;0")/MAX(COUNT(实盘组合净值!$O$5:$O$59),1)</f>
        <v>0.55555555555555558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-2.9365364298428176E-5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-7.1039979684939247E-4</v>
      </c>
      <c r="E14" s="53" t="s">
        <v>78</v>
      </c>
      <c r="F14" s="54"/>
      <c r="G14" s="15">
        <f>STDEV(实盘组合净值!$O$5:$O$59)*SQRT(说明!$C$17)</f>
        <v>3.3240446164269556E-2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-2.9365364298428176E-5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-7.1039979684939247E-4</v>
      </c>
      <c r="E15" s="53" t="s">
        <v>80</v>
      </c>
      <c r="F15" s="54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-2.3745227269594295E-2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IFERROR(((LOOKUP(2,1/(实盘组合净值!$N$5:$N$59&lt;&gt;""),实盘组合净值!$N$5:$N$59)/1)^(说明!$C$17/MAX(COUNT(实盘组合净值!$O$5:$O$59),1))-1)/ABS(MIN(实盘组合净值!$P$5:$P$59)),"")</f>
        <v>-0.25708956771668978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17" sqref="J17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52" t="s">
        <v>100</v>
      </c>
      <c r="C2" s="48"/>
      <c r="D2" s="48"/>
      <c r="E2" s="48"/>
      <c r="F2" s="48"/>
      <c r="G2" s="48"/>
    </row>
    <row r="3" spans="2:7" ht="14.5" customHeight="1" x14ac:dyDescent="0.3">
      <c r="B3" s="55" t="str">
        <f>"买入持有 · 已扣年化费率 "&amp;TEXT(实盘持仓配置!$Z$9,"0.0%")&amp;"（折每日计入净值）"</f>
        <v>买入持有 · 已扣年化费率 1.2%（折每日计入净值）</v>
      </c>
      <c r="C3" s="48"/>
      <c r="D3" s="48"/>
      <c r="E3" s="51" t="str">
        <f>"净值日期："&amp;TEXT(LOOKUP(2,1/(实盘组合净值!$Q$5:$Q$59&lt;&gt;""),实盘组合净值!$A$5:$A$59),"yyyy-mm-dd")</f>
        <v>净值日期：2026-07-02</v>
      </c>
      <c r="F3" s="48"/>
      <c r="G3" s="48"/>
    </row>
    <row r="5" spans="2:7" x14ac:dyDescent="0.25">
      <c r="B5" s="50" t="s">
        <v>74</v>
      </c>
      <c r="C5" s="48"/>
      <c r="D5" s="48"/>
      <c r="E5" s="48"/>
      <c r="F5" s="48"/>
      <c r="G5" s="48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1.0038823431169936</v>
      </c>
      <c r="C7" s="19">
        <f>(LOOKUP(2,1/(实盘组合净值!$Q$5:$Q$59&lt;&gt;""),实盘组合净值!$Q$5:$Q$59))/1-1</f>
        <v>3.8823431169936473E-3</v>
      </c>
      <c r="D7" s="19">
        <f>(LOOKUP(2,1/(实盘组合净值!$Q$5:$Q$59&lt;&gt;""),实盘组合净值!$Q$5:$Q$59)/1)^(说明!$C$17/MAX(COUNT(实盘组合净值!$R$5:$R$59),1))-1</f>
        <v>0.16915896809249609</v>
      </c>
      <c r="E7" s="20">
        <f>STDEV(实盘组合净值!$R$5:$R$59)*SQRT(说明!$C$17)</f>
        <v>8.700701809925887E-2</v>
      </c>
      <c r="F7" s="19">
        <f>MIN(实盘组合净值!$S$5:$S$59)</f>
        <v>-6.7383921468432417E-3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1.9441991208056006</v>
      </c>
    </row>
    <row r="9" spans="2:7" x14ac:dyDescent="0.25">
      <c r="B9" s="50" t="s">
        <v>81</v>
      </c>
      <c r="C9" s="48"/>
      <c r="D9" s="48"/>
      <c r="E9" s="50" t="s">
        <v>82</v>
      </c>
      <c r="F9" s="48"/>
      <c r="G9" s="48"/>
    </row>
    <row r="10" spans="2:7" x14ac:dyDescent="0.25">
      <c r="B10" s="25" t="s">
        <v>83</v>
      </c>
      <c r="C10" s="25" t="s">
        <v>76</v>
      </c>
      <c r="D10" s="25" t="s">
        <v>77</v>
      </c>
      <c r="E10" s="56" t="s">
        <v>84</v>
      </c>
      <c r="F10" s="54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3.8823431169936473E-3</v>
      </c>
      <c r="D11" s="15">
        <f>IFERROR((LOOKUP(2,1/(实盘组合净值!$Q$5:$Q$59&lt;&gt;""),实盘组合净值!$Q$5:$Q$59)/(1))^(说明!$C$17/COUNT(实盘组合净值!$R$5:$R$59))-1,"")</f>
        <v>0.16915896809249609</v>
      </c>
      <c r="E11" s="53" t="s">
        <v>79</v>
      </c>
      <c r="F11" s="54"/>
      <c r="G11" s="15">
        <f>MIN(实盘组合净值!$S$5:$S$59)</f>
        <v>-6.7383921468432417E-3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3.8823431169936473E-3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9.8307980243772963E-2</v>
      </c>
      <c r="E12" s="53" t="s">
        <v>88</v>
      </c>
      <c r="F12" s="54"/>
      <c r="G12" s="16">
        <f>IFERROR((LOOKUP(2,1/(实盘组合净值!$Q$5:$Q$59&lt;&gt;""),ROW(实盘组合净值!$Q$5:$Q$59)))-(LOOKUP(2,1/(实盘组合净值!$S$5:$S$59=0),ROW(实盘组合净值!$S$5:$S$59))),"")</f>
        <v>2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3.8823431169936473E-3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9.8307980243772963E-2</v>
      </c>
      <c r="E13" s="53" t="s">
        <v>90</v>
      </c>
      <c r="F13" s="54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3.8823431169936473E-3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9.8307980243772963E-2</v>
      </c>
      <c r="E14" s="53" t="s">
        <v>78</v>
      </c>
      <c r="F14" s="54"/>
      <c r="G14" s="15">
        <f>STDEV(实盘组合净值!$R$5:$R$59)*SQRT(说明!$C$17)</f>
        <v>8.700701809925887E-2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3.8823431169936473E-3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9.8307980243772963E-2</v>
      </c>
      <c r="E15" s="53" t="s">
        <v>80</v>
      </c>
      <c r="F15" s="54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1.9441991208056006</v>
      </c>
    </row>
    <row r="16" spans="2:7" ht="22.5" customHeight="1" x14ac:dyDescent="0.5">
      <c r="B16" s="18"/>
      <c r="C16" s="18"/>
      <c r="D16" s="18"/>
      <c r="E16" s="53" t="s">
        <v>93</v>
      </c>
      <c r="F16" s="54"/>
      <c r="G16" s="17">
        <f>IFERROR(((LOOKUP(2,1/(实盘组合净值!$Q$5:$Q$59&lt;&gt;""),实盘组合净值!$Q$5:$Q$59)/1)^(说明!$C$17/MAX(COUNT(实盘组合净值!$R$5:$R$59),1))-1)/ABS(MIN(实盘组合净值!$S$5:$S$59)),"")</f>
        <v>25.103758345637779</v>
      </c>
    </row>
    <row r="18" spans="2:7" x14ac:dyDescent="0.25">
      <c r="B18" s="50" t="s">
        <v>94</v>
      </c>
      <c r="C18" s="48"/>
      <c r="D18" s="48"/>
      <c r="E18" s="48"/>
      <c r="F18" s="48"/>
      <c r="G18" s="48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57" t="s">
        <v>105</v>
      </c>
      <c r="D6" s="48"/>
      <c r="E6" s="48"/>
      <c r="F6" s="48"/>
      <c r="G6" s="48"/>
      <c r="H6" s="48"/>
    </row>
    <row r="7" spans="2:8" ht="25.5" customHeight="1" x14ac:dyDescent="0.25">
      <c r="B7" s="12" t="s">
        <v>106</v>
      </c>
      <c r="C7" s="57" t="s">
        <v>107</v>
      </c>
      <c r="D7" s="48"/>
      <c r="E7" s="48"/>
      <c r="F7" s="48"/>
      <c r="G7" s="48"/>
      <c r="H7" s="48"/>
    </row>
    <row r="8" spans="2:8" ht="16.5" customHeight="1" x14ac:dyDescent="0.25">
      <c r="B8" s="12" t="s">
        <v>108</v>
      </c>
      <c r="C8" s="57" t="s">
        <v>109</v>
      </c>
      <c r="D8" s="48"/>
      <c r="E8" s="48"/>
      <c r="F8" s="48"/>
      <c r="G8" s="48"/>
      <c r="H8" s="48"/>
    </row>
    <row r="9" spans="2:8" ht="28" customHeight="1" x14ac:dyDescent="0.25">
      <c r="B9" s="12" t="s">
        <v>110</v>
      </c>
      <c r="C9" s="57" t="s">
        <v>111</v>
      </c>
      <c r="D9" s="48"/>
      <c r="E9" s="48"/>
      <c r="F9" s="48"/>
      <c r="G9" s="48"/>
      <c r="H9" s="48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57" t="s">
        <v>114</v>
      </c>
      <c r="D12" s="48"/>
      <c r="E12" s="48"/>
      <c r="F12" s="48"/>
      <c r="G12" s="48"/>
      <c r="H12" s="48"/>
    </row>
    <row r="13" spans="2:8" ht="16.5" customHeight="1" x14ac:dyDescent="0.25">
      <c r="B13" s="12" t="s">
        <v>115</v>
      </c>
      <c r="C13" s="57" t="s">
        <v>116</v>
      </c>
      <c r="D13" s="48"/>
      <c r="E13" s="48"/>
      <c r="F13" s="48"/>
      <c r="G13" s="48"/>
      <c r="H13" s="48"/>
    </row>
    <row r="14" spans="2:8" ht="16.5" customHeight="1" x14ac:dyDescent="0.25">
      <c r="B14" s="12" t="s">
        <v>117</v>
      </c>
      <c r="C14" s="57" t="s">
        <v>118</v>
      </c>
      <c r="D14" s="48"/>
      <c r="E14" s="48"/>
      <c r="F14" s="48"/>
      <c r="G14" s="48"/>
      <c r="H14" s="48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selection activeCell="G17" sqref="G17"/>
    </sheetView>
  </sheetViews>
  <sheetFormatPr defaultRowHeight="14" x14ac:dyDescent="0.25"/>
  <cols>
    <col min="1" max="1" width="22" customWidth="1"/>
    <col min="2" max="2" width="13" customWidth="1"/>
    <col min="3" max="4" width="17" customWidth="1"/>
    <col min="6" max="6" width="16" customWidth="1"/>
    <col min="7" max="7" width="12" customWidth="1"/>
  </cols>
  <sheetData>
    <row r="1" spans="1:7" x14ac:dyDescent="0.25">
      <c r="A1" s="37" t="s">
        <v>126</v>
      </c>
      <c r="F1" s="42" t="s">
        <v>127</v>
      </c>
      <c r="G1">
        <f>COUNT('实盘净值数据(iFinD公式)'!$B$5:$B$60)</f>
        <v>10</v>
      </c>
    </row>
    <row r="2" spans="1:7" x14ac:dyDescent="0.25">
      <c r="A2" s="37" t="s">
        <v>128</v>
      </c>
      <c r="B2" s="41">
        <f>INDEX('实盘净值数据(iFinD公式)'!$A$5:$A$60,$G$1)</f>
        <v>46205</v>
      </c>
      <c r="F2" s="42" t="s">
        <v>129</v>
      </c>
      <c r="G2">
        <f>SUMPRODUCT(实盘持仓配置!$B$4:$X$4,INDEX('实盘净值数据(iFinD公式)'!$B$5:$X$60,$G$1,0)/'实盘净值数据(iFinD公式)'!$B$6:$X$6)</f>
        <v>1.0420555924788439</v>
      </c>
    </row>
    <row r="3" spans="1:7" x14ac:dyDescent="0.25">
      <c r="F3" s="42" t="s">
        <v>130</v>
      </c>
      <c r="G3">
        <f>SUMPRODUCT(实盘持仓配置!$B$5:$X$5,INDEX('实盘净值数据(iFinD公式)'!$B$5:$X$60,$G$1,0)/'实盘净值数据(iFinD公式)'!$B$5:$X$5)</f>
        <v>1.0662126821007143</v>
      </c>
    </row>
    <row r="4" spans="1:7" x14ac:dyDescent="0.25">
      <c r="F4" s="42" t="s">
        <v>131</v>
      </c>
      <c r="G4">
        <f>SUMPRODUCT(实盘持仓配置!$B$6:$X$6,INDEX('实盘净值数据(iFinD公式)'!$B$5:$X$60,$G$1,0)/'实盘净值数据(iFinD公式)'!$B$7:$X$7)</f>
        <v>1.0839765043735312</v>
      </c>
    </row>
    <row r="5" spans="1:7" x14ac:dyDescent="0.25">
      <c r="A5" s="38" t="s">
        <v>1</v>
      </c>
      <c r="B5" s="38" t="s">
        <v>28</v>
      </c>
      <c r="C5" s="38" t="s">
        <v>132</v>
      </c>
      <c r="D5" s="38" t="s">
        <v>133</v>
      </c>
    </row>
    <row r="6" spans="1:7" x14ac:dyDescent="0.25">
      <c r="A6" t="s">
        <v>134</v>
      </c>
      <c r="B6" s="42" t="s">
        <v>47</v>
      </c>
      <c r="C6" s="39">
        <f>实盘持仓配置!T$4</f>
        <v>0.11</v>
      </c>
      <c r="D6" s="39">
        <f>实盘持仓配置!T$4*INDEX('实盘净值数据(iFinD公式)'!T$5:T$60,$G$1)/'实盘净值数据(iFinD公式)'!T$6/$G$2</f>
        <v>0.13144788446046951</v>
      </c>
    </row>
    <row r="7" spans="1:7" x14ac:dyDescent="0.25">
      <c r="A7" t="s">
        <v>135</v>
      </c>
      <c r="B7" s="42" t="s">
        <v>34</v>
      </c>
      <c r="C7" s="39">
        <f>实盘持仓配置!G$4</f>
        <v>0.11</v>
      </c>
      <c r="D7" s="39">
        <f>实盘持仓配置!G$4*INDEX('实盘净值数据(iFinD公式)'!G$5:G$60,$G$1)/'实盘净值数据(iFinD公式)'!G$6/$G$2</f>
        <v>9.8496508256612353E-2</v>
      </c>
    </row>
    <row r="8" spans="1:7" x14ac:dyDescent="0.25">
      <c r="A8" t="s">
        <v>4</v>
      </c>
      <c r="B8" s="42" t="s">
        <v>31</v>
      </c>
      <c r="C8" s="39">
        <f>实盘持仓配置!D$4</f>
        <v>0.19</v>
      </c>
      <c r="D8" s="39">
        <f>实盘持仓配置!D$4*INDEX('实盘净值数据(iFinD公式)'!D$5:D$60,$G$1)/'实盘净值数据(iFinD公式)'!D$6/$G$2</f>
        <v>0.16829070440903987</v>
      </c>
    </row>
    <row r="9" spans="1:7" x14ac:dyDescent="0.25">
      <c r="A9" t="s">
        <v>17</v>
      </c>
      <c r="B9" s="42" t="s">
        <v>44</v>
      </c>
      <c r="C9" s="39">
        <f>实盘持仓配置!Q$4</f>
        <v>0.19</v>
      </c>
      <c r="D9" s="39">
        <f>实盘持仓配置!Q$4*INDEX('实盘净值数据(iFinD公式)'!Q$5:Q$60,$G$1)/'实盘净值数据(iFinD公式)'!Q$6/$G$2</f>
        <v>0.17630920159664171</v>
      </c>
    </row>
    <row r="10" spans="1:7" x14ac:dyDescent="0.25">
      <c r="A10" t="s">
        <v>16</v>
      </c>
      <c r="B10" s="42" t="s">
        <v>43</v>
      </c>
      <c r="C10" s="39">
        <f>实盘持仓配置!P$4</f>
        <v>0.19</v>
      </c>
      <c r="D10" s="39">
        <f>实盘持仓配置!P$4*INDEX('实盘净值数据(iFinD公式)'!P$5:P$60,$G$1)/'实盘净值数据(iFinD公式)'!P$6/$G$2</f>
        <v>0.17098885078122392</v>
      </c>
    </row>
    <row r="11" spans="1:7" x14ac:dyDescent="0.25">
      <c r="A11" t="s">
        <v>10</v>
      </c>
      <c r="B11" s="42" t="s">
        <v>37</v>
      </c>
      <c r="C11" s="39">
        <f>实盘持仓配置!J$4</f>
        <v>0.19</v>
      </c>
      <c r="D11" s="39">
        <f>实盘持仓配置!J$4*INDEX('实盘净值数据(iFinD公式)'!J$5:J$60,$G$1)/'实盘净值数据(iFinD公式)'!J$6/$G$2</f>
        <v>0.23526795282678789</v>
      </c>
    </row>
    <row r="12" spans="1:7" x14ac:dyDescent="0.25">
      <c r="A12" t="s">
        <v>3</v>
      </c>
      <c r="B12" s="42" t="s">
        <v>30</v>
      </c>
      <c r="C12" s="39">
        <f>实盘持仓配置!C$4</f>
        <v>0.02</v>
      </c>
      <c r="D12" s="39">
        <f>实盘持仓配置!C$4*INDEX('实盘净值数据(iFinD公式)'!C$5:C$60,$G$1)/'实盘净值数据(iFinD公式)'!C$6/$G$2</f>
        <v>1.9198897669224724E-2</v>
      </c>
    </row>
    <row r="13" spans="1:7" x14ac:dyDescent="0.25">
      <c r="A13" s="37" t="s">
        <v>25</v>
      </c>
      <c r="C13" s="40">
        <f>SUM(C6:C12)</f>
        <v>1</v>
      </c>
      <c r="D13" s="40">
        <f>SUM(D6:D12)</f>
        <v>1</v>
      </c>
    </row>
    <row r="15" spans="1:7" x14ac:dyDescent="0.25">
      <c r="A15" s="37" t="s">
        <v>136</v>
      </c>
    </row>
    <row r="16" spans="1:7" x14ac:dyDescent="0.25">
      <c r="A16" s="38" t="s">
        <v>1</v>
      </c>
      <c r="B16" s="38" t="s">
        <v>28</v>
      </c>
      <c r="C16" s="38" t="s">
        <v>132</v>
      </c>
      <c r="D16" s="38" t="s">
        <v>133</v>
      </c>
    </row>
    <row r="17" spans="1:4" x14ac:dyDescent="0.25">
      <c r="A17" t="s">
        <v>134</v>
      </c>
      <c r="B17" s="42" t="s">
        <v>47</v>
      </c>
      <c r="C17" s="39">
        <f>实盘持仓配置!T$5</f>
        <v>0.11</v>
      </c>
      <c r="D17" s="39">
        <f>实盘持仓配置!T$5*INDEX('实盘净值数据(iFinD公式)'!T$5:T$60,$G$1)/'实盘净值数据(iFinD公式)'!T$5/$G$3</f>
        <v>0.13205951496495466</v>
      </c>
    </row>
    <row r="18" spans="1:4" x14ac:dyDescent="0.25">
      <c r="A18" t="s">
        <v>135</v>
      </c>
      <c r="B18" s="42" t="s">
        <v>34</v>
      </c>
      <c r="C18" s="39">
        <f>实盘持仓配置!G$5</f>
        <v>0.11</v>
      </c>
      <c r="D18" s="39">
        <f>实盘持仓配置!G$5*INDEX('实盘净值数据(iFinD公式)'!G$5:G$60,$G$1)/'实盘净值数据(iFinD公式)'!G$5/$G$3</f>
        <v>9.7884773669621852E-2</v>
      </c>
    </row>
    <row r="19" spans="1:4" x14ac:dyDescent="0.25">
      <c r="A19" t="s">
        <v>4</v>
      </c>
      <c r="B19" s="42" t="s">
        <v>31</v>
      </c>
      <c r="C19" s="39">
        <f>实盘持仓配置!D$5</f>
        <v>0.19</v>
      </c>
      <c r="D19" s="39">
        <f>实盘持仓配置!D$5*INDEX('实盘净值数据(iFinD公式)'!D$5:D$60,$G$1)/'实盘净值数据(iFinD公式)'!D$5/$G$3</f>
        <v>0.16982287639198876</v>
      </c>
    </row>
    <row r="20" spans="1:4" x14ac:dyDescent="0.25">
      <c r="A20" t="s">
        <v>17</v>
      </c>
      <c r="B20" s="42" t="s">
        <v>44</v>
      </c>
      <c r="C20" s="39">
        <f>实盘持仓配置!Q$5</f>
        <v>0.19</v>
      </c>
      <c r="D20" s="39">
        <f>实盘持仓配置!Q$5*INDEX('实盘净值数据(iFinD公式)'!Q$5:Q$60,$G$1)/'实盘净值数据(iFinD公式)'!Q$5/$G$3</f>
        <v>0.17708363569005378</v>
      </c>
    </row>
    <row r="21" spans="1:4" x14ac:dyDescent="0.25">
      <c r="A21" t="s">
        <v>16</v>
      </c>
      <c r="B21" s="42" t="s">
        <v>43</v>
      </c>
      <c r="C21" s="39">
        <f>实盘持仓配置!P$5</f>
        <v>0.19</v>
      </c>
      <c r="D21" s="39">
        <f>实盘持仓配置!P$5*INDEX('实盘净值数据(iFinD公式)'!P$5:P$60,$G$1)/'实盘净值数据(iFinD公式)'!P$5/$G$3</f>
        <v>0.17083332944635007</v>
      </c>
    </row>
    <row r="22" spans="1:4" x14ac:dyDescent="0.25">
      <c r="A22" t="s">
        <v>10</v>
      </c>
      <c r="B22" s="42" t="s">
        <v>37</v>
      </c>
      <c r="C22" s="39">
        <f>实盘持仓配置!J$5</f>
        <v>0.19</v>
      </c>
      <c r="D22" s="39">
        <f>实盘持仓配置!J$5*INDEX('实盘净值数据(iFinD公式)'!J$5:J$60,$G$1)/'实盘净值数据(iFinD公式)'!J$5/$G$3</f>
        <v>0.23354936889578023</v>
      </c>
    </row>
    <row r="23" spans="1:4" x14ac:dyDescent="0.25">
      <c r="A23" t="s">
        <v>3</v>
      </c>
      <c r="B23" s="42" t="s">
        <v>30</v>
      </c>
      <c r="C23" s="39">
        <f>实盘持仓配置!C$5</f>
        <v>0.02</v>
      </c>
      <c r="D23" s="39">
        <f>实盘持仓配置!C$5*INDEX('实盘净值数据(iFinD公式)'!C$5:C$60,$G$1)/'实盘净值数据(iFinD公式)'!C$5/$G$3</f>
        <v>1.8766500941250604E-2</v>
      </c>
    </row>
    <row r="24" spans="1:4" x14ac:dyDescent="0.25">
      <c r="A24" s="37" t="s">
        <v>25</v>
      </c>
      <c r="C24" s="40">
        <f>SUM(C17:C23)</f>
        <v>1</v>
      </c>
      <c r="D24" s="40">
        <f>SUM(D17:D23)</f>
        <v>1</v>
      </c>
    </row>
    <row r="26" spans="1:4" x14ac:dyDescent="0.25">
      <c r="A26" s="37" t="s">
        <v>137</v>
      </c>
    </row>
    <row r="27" spans="1:4" x14ac:dyDescent="0.25">
      <c r="A27" s="38" t="s">
        <v>1</v>
      </c>
      <c r="B27" s="38" t="s">
        <v>28</v>
      </c>
      <c r="C27" s="38" t="s">
        <v>132</v>
      </c>
      <c r="D27" s="38" t="s">
        <v>133</v>
      </c>
    </row>
    <row r="28" spans="1:4" x14ac:dyDescent="0.25">
      <c r="A28" t="s">
        <v>138</v>
      </c>
      <c r="B28" s="42" t="s">
        <v>48</v>
      </c>
      <c r="C28" s="39">
        <f>实盘持仓配置!U$6</f>
        <v>0.11</v>
      </c>
      <c r="D28" s="39">
        <f>实盘持仓配置!U$6*INDEX('实盘净值数据(iFinD公式)'!U$5:U$60,$G$1)/'实盘净值数据(iFinD公式)'!U$7/$G$4</f>
        <v>0.12639407362414457</v>
      </c>
    </row>
    <row r="29" spans="1:4" x14ac:dyDescent="0.25">
      <c r="A29" t="s">
        <v>8</v>
      </c>
      <c r="B29" s="42" t="s">
        <v>35</v>
      </c>
      <c r="C29" s="39">
        <f>实盘持仓配置!H$6</f>
        <v>0.11</v>
      </c>
      <c r="D29" s="39">
        <f>实盘持仓配置!H$6*INDEX('实盘净值数据(iFinD公式)'!H$5:H$60,$G$1)/'实盘净值数据(iFinD公式)'!H$7/$G$4</f>
        <v>9.7455906433107781E-2</v>
      </c>
    </row>
    <row r="30" spans="1:4" x14ac:dyDescent="0.25">
      <c r="A30" t="s">
        <v>19</v>
      </c>
      <c r="B30" s="42" t="s">
        <v>46</v>
      </c>
      <c r="C30" s="39">
        <f>实盘持仓配置!S$6</f>
        <v>0.19</v>
      </c>
      <c r="D30" s="39">
        <f>实盘持仓配置!S$6*INDEX('实盘净值数据(iFinD公式)'!S$5:S$60,$G$1)/'实盘净值数据(iFinD公式)'!S$7/$G$4</f>
        <v>0.16887181063461465</v>
      </c>
    </row>
    <row r="31" spans="1:4" x14ac:dyDescent="0.25">
      <c r="A31" t="s">
        <v>18</v>
      </c>
      <c r="B31" s="42" t="s">
        <v>45</v>
      </c>
      <c r="C31" s="39">
        <f>实盘持仓配置!R$6</f>
        <v>0.19</v>
      </c>
      <c r="D31" s="39">
        <f>实盘持仓配置!R$6*INDEX('实盘净值数据(iFinD公式)'!R$5:R$60,$G$1)/'实盘净值数据(iFinD公式)'!R$7/$G$4</f>
        <v>0.17350819358930036</v>
      </c>
    </row>
    <row r="32" spans="1:4" x14ac:dyDescent="0.25">
      <c r="A32" t="s">
        <v>9</v>
      </c>
      <c r="B32" s="42" t="s">
        <v>36</v>
      </c>
      <c r="C32" s="39">
        <f>实盘持仓配置!I$6</f>
        <v>0.19</v>
      </c>
      <c r="D32" s="39">
        <f>实盘持仓配置!I$6*INDEX('实盘净值数据(iFinD公式)'!I$5:I$60,$G$1)/'实盘净值数据(iFinD公式)'!I$7/$G$4</f>
        <v>0.19080529821233369</v>
      </c>
    </row>
    <row r="33" spans="1:4" x14ac:dyDescent="0.25">
      <c r="A33" t="s">
        <v>11</v>
      </c>
      <c r="B33" s="42" t="s">
        <v>38</v>
      </c>
      <c r="C33" s="39">
        <f>实盘持仓配置!K$6</f>
        <v>0.19</v>
      </c>
      <c r="D33" s="39">
        <f>实盘持仓配置!K$6*INDEX('实盘净值数据(iFinD公式)'!K$5:K$60,$G$1)/'实盘净值数据(iFinD公式)'!K$7/$G$4</f>
        <v>0.22450903402372438</v>
      </c>
    </row>
    <row r="34" spans="1:4" x14ac:dyDescent="0.25">
      <c r="A34" t="s">
        <v>3</v>
      </c>
      <c r="B34" s="42" t="s">
        <v>30</v>
      </c>
      <c r="C34" s="39">
        <f>实盘持仓配置!C$6</f>
        <v>0.02</v>
      </c>
      <c r="D34" s="39">
        <f>实盘持仓配置!C$6*INDEX('实盘净值数据(iFinD公式)'!C$5:C$60,$G$1)/'实盘净值数据(iFinD公式)'!C$7/$G$4</f>
        <v>1.8455683482774658E-2</v>
      </c>
    </row>
    <row r="35" spans="1:4" x14ac:dyDescent="0.25">
      <c r="A35" s="37" t="s">
        <v>25</v>
      </c>
      <c r="C35" s="40">
        <f>SUM(C28:C34)</f>
        <v>1</v>
      </c>
      <c r="D35" s="40">
        <f>SUM(D28:D34)</f>
        <v>1</v>
      </c>
    </row>
  </sheetData>
  <phoneticPr fontId="12" type="noConversion"/>
  <conditionalFormatting sqref="D6:D12 D17:D23 D28:D34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2026-07-02T04:23:03Z</dcterms:modified>
</cp:coreProperties>
</file>