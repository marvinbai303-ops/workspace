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25600" windowHeight="11620" activeTab="1"/>
  </bookViews>
  <sheets>
    <sheet name="模拟" sheetId="1" r:id="rId1"/>
    <sheet name="实盘" sheetId="2" r:id="rId2"/>
  </sheets>
  <externalReferences>
    <externalReference r:id="rId3"/>
    <externalReference r:id="rId4"/>
  </externalReferences>
  <definedNames>
    <definedName name="chtB">OFFSET([1]组合净值!$B$6,0,0,COUNT([1]组合净值!$B$6:$B$2000),1)</definedName>
    <definedName name="chtDate">OFFSET([1]组合净值!$A$6,0,0,COUNT([1]组合净值!$B$6:$B$2000),1)</definedName>
    <definedName name="chtE">OFFSET([1]组合净值!$E$6,0,0,COUNT([1]组合净值!$E$6:$E$2000),1)</definedName>
    <definedName name="chtH">OFFSET([1]组合净值!$H$6,0,0,COUNT([1]组合净值!$H$6:$H$2000),1)</definedName>
    <definedName name="chtK">OFFSET([1]组合净值!$K$6,0,0,COUNT([1]组合净值!$K$6:$K$2000),1)</definedName>
  </definedNames>
  <calcPr calcId="152511"/>
</workbook>
</file>

<file path=xl/calcChain.xml><?xml version="1.0" encoding="utf-8"?>
<calcChain xmlns="http://schemas.openxmlformats.org/spreadsheetml/2006/main">
  <c r="C46" i="2" l="1"/>
  <c r="C51" i="2"/>
  <c r="C13" i="2"/>
  <c r="C54" i="2"/>
  <c r="C44" i="2"/>
  <c r="C3" i="2"/>
  <c r="C47" i="2"/>
  <c r="C17" i="2"/>
  <c r="C4" i="2"/>
  <c r="C55" i="2"/>
  <c r="C16" i="2"/>
  <c r="C5" i="2"/>
  <c r="C48" i="2"/>
  <c r="C12" i="2"/>
  <c r="C6" i="2"/>
  <c r="C45" i="2"/>
  <c r="C56" i="2"/>
  <c r="C11" i="2"/>
  <c r="C7" i="2"/>
  <c r="C53" i="2"/>
  <c r="C49" i="2"/>
  <c r="C15" i="2"/>
  <c r="C8" i="2"/>
  <c r="C52" i="2"/>
  <c r="C50" i="2"/>
  <c r="C14" i="2"/>
  <c r="C2" i="2"/>
</calcChain>
</file>

<file path=xl/sharedStrings.xml><?xml version="1.0" encoding="utf-8"?>
<sst xmlns="http://schemas.openxmlformats.org/spreadsheetml/2006/main" count="237" uniqueCount="67">
  <si>
    <t>基金代码</t>
  </si>
  <si>
    <t>基金简称</t>
  </si>
  <si>
    <t>持仓占比</t>
  </si>
  <si>
    <t>增值-
产业趋势</t>
  </si>
  <si>
    <t>019632.OF</t>
  </si>
  <si>
    <t>国泰中证半导体材料设备主题ETF发起式联接A</t>
  </si>
  <si>
    <t>007817.OF</t>
  </si>
  <si>
    <t>国泰中证全指通信设备ETF发起式联接A</t>
  </si>
  <si>
    <t>001170.OF</t>
  </si>
  <si>
    <t>宏利复兴伟业</t>
  </si>
  <si>
    <t>016370.OF</t>
  </si>
  <si>
    <t>信澳业绩驱动A</t>
  </si>
  <si>
    <t>017488.OF</t>
  </si>
  <si>
    <t>嘉实信息产业A</t>
  </si>
  <si>
    <t>013840.OF</t>
  </si>
  <si>
    <t>银华集成电路混合A</t>
  </si>
  <si>
    <t>000917.OF</t>
  </si>
  <si>
    <t>嘉实快线货币A</t>
  </si>
  <si>
    <t>证券代码</t>
  </si>
  <si>
    <t>名称</t>
  </si>
  <si>
    <t>持仓权重</t>
  </si>
  <si>
    <t>10/90账户组合</t>
  </si>
  <si>
    <t>015453.OF</t>
  </si>
  <si>
    <t>中欧中证500指数增强A</t>
  </si>
  <si>
    <t>161119.OF</t>
  </si>
  <si>
    <t>易方达中债新综指(LOF)A</t>
  </si>
  <si>
    <t>019923.OF</t>
  </si>
  <si>
    <t>华泰柏瑞中证2000指数增强A</t>
  </si>
  <si>
    <t>007044.OF</t>
  </si>
  <si>
    <t>博道沪深300增强A</t>
  </si>
  <si>
    <t>014201.OF</t>
  </si>
  <si>
    <t>天弘中证1000指数增强A</t>
  </si>
  <si>
    <t>嘉实信息产业股票发起式A</t>
  </si>
  <si>
    <t>000216.OF</t>
  </si>
  <si>
    <t>华安黄金ETF联接A</t>
  </si>
  <si>
    <t>国泰中证半导体材料设备主题ETF发起联接A</t>
  </si>
  <si>
    <t>宏利复兴混合A</t>
  </si>
  <si>
    <t>国泰中证全指通信设备ETF联接A</t>
  </si>
  <si>
    <t>信澳业绩驱动混合A</t>
  </si>
  <si>
    <t>20/80账户组合</t>
  </si>
  <si>
    <t>30/70账户组合</t>
  </si>
  <si>
    <t>019633.OF</t>
  </si>
  <si>
    <t>国泰中证半导体材料设备C</t>
  </si>
  <si>
    <t>007818.OF</t>
  </si>
  <si>
    <t>国泰中证全指通信设备C</t>
  </si>
  <si>
    <t>017612.OF</t>
  </si>
  <si>
    <t>宏利复兴伟业C</t>
  </si>
  <si>
    <t>017489.OF</t>
  </si>
  <si>
    <t>嘉实信息产业C</t>
  </si>
  <si>
    <t>013841.OF</t>
  </si>
  <si>
    <t>银华集成电路混合C</t>
  </si>
  <si>
    <t>增值-
产业趋势2号</t>
  </si>
  <si>
    <t>009993.OF</t>
  </si>
  <si>
    <t>嘉实前沿科技创新</t>
  </si>
  <si>
    <t>015454.OF</t>
  </si>
  <si>
    <t>014202.OF</t>
  </si>
  <si>
    <t>019924.OF</t>
  </si>
  <si>
    <t>007045.OF</t>
  </si>
  <si>
    <t>中欧中证500指数增强C</t>
  </si>
  <si>
    <t>天弘中证1000指数增强C</t>
  </si>
  <si>
    <t>华泰柏瑞中证2000指数增强C</t>
  </si>
  <si>
    <t>博道沪深300指数增强C</t>
  </si>
  <si>
    <t>增值-
产业趋势基石组合</t>
    <phoneticPr fontId="1" type="noConversion"/>
  </si>
  <si>
    <t>费率</t>
  </si>
  <si>
    <t>费率</t>
    <phoneticPr fontId="1" type="noConversion"/>
  </si>
  <si>
    <t>10/90账户基石组合</t>
    <phoneticPr fontId="1" type="noConversion"/>
  </si>
  <si>
    <t>净值起始日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</si>
</sst>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1"/>
      <color indexed="8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14" fontId="0" fillId="0" borderId="0" xfId="0" applyNumberForma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79;&#26495;&#38388;&#25237;&#39038;&#32452;&#21512;&#30417;&#25511;&#27169;&#26495;20260610-&#36153;&#2151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仓配置"/>
      <sheetName val="净值数据(iFinD公式)"/>
      <sheetName val="组合净值"/>
      <sheetName val="看板-10-90"/>
      <sheetName val="看板-20-80"/>
      <sheetName val="看板-30-70"/>
      <sheetName val="看板-增值"/>
      <sheetName val="说明"/>
      <sheetName val="Sheet1"/>
    </sheetNames>
    <sheetDataSet>
      <sheetData sheetId="0"/>
      <sheetData sheetId="1"/>
      <sheetData sheetId="2">
        <row r="6">
          <cell r="A6">
            <v>46171</v>
          </cell>
          <cell r="B6">
            <v>1</v>
          </cell>
          <cell r="E6">
            <v>1</v>
          </cell>
          <cell r="H6">
            <v>0.99999999999999989</v>
          </cell>
          <cell r="K6">
            <v>1</v>
          </cell>
        </row>
        <row r="7">
          <cell r="B7">
            <v>0.99753843589693059</v>
          </cell>
          <cell r="E7">
            <v>0.99445917151756158</v>
          </cell>
          <cell r="H7">
            <v>0.99117021059087895</v>
          </cell>
          <cell r="K7">
            <v>0.97019306393175619</v>
          </cell>
        </row>
        <row r="8">
          <cell r="B8">
            <v>1.000604267390971</v>
          </cell>
          <cell r="E8">
            <v>1.000253227835868</v>
          </cell>
          <cell r="H8">
            <v>0.99998634835421008</v>
          </cell>
          <cell r="K8">
            <v>0.99767722006570769</v>
          </cell>
        </row>
        <row r="9">
          <cell r="B9">
            <v>1.0022119390376589</v>
          </cell>
          <cell r="E9">
            <v>1.0045363752715226</v>
          </cell>
          <cell r="H9">
            <v>1.0062811975664674</v>
          </cell>
          <cell r="K9">
            <v>1.0241852574536607</v>
          </cell>
        </row>
        <row r="10">
          <cell r="B10">
            <v>1.0029474997566357</v>
          </cell>
          <cell r="E10">
            <v>1.0053503557017218</v>
          </cell>
          <cell r="H10">
            <v>1.0072270864460962</v>
          </cell>
          <cell r="K10">
            <v>1.0257314143066039</v>
          </cell>
        </row>
        <row r="11">
          <cell r="B11">
            <v>0.99990224587128262</v>
          </cell>
          <cell r="E11">
            <v>0.99986286734883845</v>
          </cell>
          <cell r="H11">
            <v>0.99932307469373083</v>
          </cell>
          <cell r="K11">
            <v>1.0008384314793941</v>
          </cell>
        </row>
        <row r="12">
          <cell r="B12">
            <v>0.99478542793768721</v>
          </cell>
          <cell r="E12">
            <v>0.99171673303116903</v>
          </cell>
          <cell r="H12">
            <v>0.9865216229046907</v>
          </cell>
          <cell r="K12">
            <v>0.97024052120235849</v>
          </cell>
        </row>
        <row r="13">
          <cell r="B13">
            <v>0.99820405248651101</v>
          </cell>
          <cell r="E13">
            <v>0.99906419000547331</v>
          </cell>
          <cell r="H13">
            <v>0.99802681724562903</v>
          </cell>
          <cell r="K13">
            <v>1.0089456803861414</v>
          </cell>
        </row>
        <row r="14">
          <cell r="B14">
            <v>0.99396351969048269</v>
          </cell>
          <cell r="E14">
            <v>0.9929304738104735</v>
          </cell>
          <cell r="H14">
            <v>0.98856188875038165</v>
          </cell>
          <cell r="K14">
            <v>0.98925963530311445</v>
          </cell>
        </row>
        <row r="15">
          <cell r="B15">
            <v>0.9924252766139835</v>
          </cell>
          <cell r="E15">
            <v>0.99144841508841552</v>
          </cell>
          <cell r="H15">
            <v>0.98617026193247392</v>
          </cell>
          <cell r="K15">
            <v>0.98934760259361265</v>
          </cell>
        </row>
        <row r="16">
          <cell r="B16">
            <v>0.99376943914972826</v>
          </cell>
          <cell r="E16">
            <v>0.99300838359803378</v>
          </cell>
          <cell r="H16">
            <v>0.98852673323645512</v>
          </cell>
          <cell r="K16">
            <v>0.99221199847589214</v>
          </cell>
        </row>
        <row r="17">
          <cell r="B17">
            <v>1.0008529030142144</v>
          </cell>
          <cell r="E17">
            <v>1.0053564327812197</v>
          </cell>
          <cell r="H17">
            <v>1.0076315570647867</v>
          </cell>
          <cell r="K17">
            <v>1.045342274451875</v>
          </cell>
        </row>
        <row r="18">
          <cell r="B18">
            <v>1.0008321725800022</v>
          </cell>
          <cell r="E18">
            <v>1.0053146808804339</v>
          </cell>
          <cell r="H18">
            <v>1.0075812909060959</v>
          </cell>
          <cell r="K18">
            <v>1.0452769916783695</v>
          </cell>
        </row>
        <row r="19">
          <cell r="B19" t="str">
            <v/>
          </cell>
          <cell r="E19" t="str">
            <v/>
          </cell>
          <cell r="H19" t="str">
            <v/>
          </cell>
          <cell r="K19" t="str">
            <v/>
          </cell>
        </row>
        <row r="20">
          <cell r="B20" t="str">
            <v/>
          </cell>
          <cell r="E20" t="str">
            <v/>
          </cell>
          <cell r="H20" t="str">
            <v/>
          </cell>
          <cell r="K20" t="str">
            <v/>
          </cell>
        </row>
        <row r="21">
          <cell r="B21" t="str">
            <v/>
          </cell>
          <cell r="E21" t="str">
            <v/>
          </cell>
          <cell r="H21" t="str">
            <v/>
          </cell>
          <cell r="K21" t="str">
            <v/>
          </cell>
        </row>
        <row r="22">
          <cell r="B22" t="str">
            <v/>
          </cell>
          <cell r="E22" t="str">
            <v/>
          </cell>
          <cell r="H22" t="str">
            <v/>
          </cell>
          <cell r="K22" t="str">
            <v/>
          </cell>
        </row>
        <row r="23">
          <cell r="B23" t="str">
            <v/>
          </cell>
          <cell r="E23" t="str">
            <v/>
          </cell>
          <cell r="H23" t="str">
            <v/>
          </cell>
          <cell r="K23" t="str">
            <v/>
          </cell>
        </row>
        <row r="24">
          <cell r="B24" t="str">
            <v/>
          </cell>
          <cell r="E24" t="str">
            <v/>
          </cell>
          <cell r="H24" t="str">
            <v/>
          </cell>
          <cell r="K24" t="str">
            <v/>
          </cell>
        </row>
        <row r="25">
          <cell r="B25" t="str">
            <v/>
          </cell>
          <cell r="E25" t="str">
            <v/>
          </cell>
          <cell r="H25" t="str">
            <v/>
          </cell>
          <cell r="K25" t="str">
            <v/>
          </cell>
        </row>
        <row r="26">
          <cell r="B26" t="str">
            <v/>
          </cell>
          <cell r="E26" t="str">
            <v/>
          </cell>
          <cell r="H26" t="str">
            <v/>
          </cell>
          <cell r="K26" t="str">
            <v/>
          </cell>
        </row>
        <row r="27">
          <cell r="B27" t="str">
            <v/>
          </cell>
          <cell r="E27" t="str">
            <v/>
          </cell>
          <cell r="H27" t="str">
            <v/>
          </cell>
          <cell r="K27" t="str">
            <v/>
          </cell>
        </row>
        <row r="28">
          <cell r="B28" t="str">
            <v/>
          </cell>
          <cell r="E28" t="str">
            <v/>
          </cell>
          <cell r="H28" t="str">
            <v/>
          </cell>
          <cell r="K28" t="str">
            <v/>
          </cell>
        </row>
        <row r="29">
          <cell r="B29" t="str">
            <v/>
          </cell>
          <cell r="E29" t="str">
            <v/>
          </cell>
          <cell r="H29" t="str">
            <v/>
          </cell>
          <cell r="K29" t="str">
            <v/>
          </cell>
        </row>
        <row r="30">
          <cell r="B30" t="str">
            <v/>
          </cell>
          <cell r="E30" t="str">
            <v/>
          </cell>
          <cell r="H30" t="str">
            <v/>
          </cell>
          <cell r="K30" t="str">
            <v/>
          </cell>
        </row>
        <row r="31">
          <cell r="B31" t="str">
            <v/>
          </cell>
          <cell r="E31" t="str">
            <v/>
          </cell>
          <cell r="H31" t="str">
            <v/>
          </cell>
          <cell r="K31" t="str">
            <v/>
          </cell>
        </row>
        <row r="32">
          <cell r="B32" t="str">
            <v/>
          </cell>
          <cell r="E32" t="str">
            <v/>
          </cell>
          <cell r="H32" t="str">
            <v/>
          </cell>
          <cell r="K32" t="str">
            <v/>
          </cell>
        </row>
        <row r="33">
          <cell r="B33" t="str">
            <v/>
          </cell>
          <cell r="E33" t="str">
            <v/>
          </cell>
          <cell r="H33" t="str">
            <v/>
          </cell>
          <cell r="K33" t="str">
            <v/>
          </cell>
        </row>
        <row r="34">
          <cell r="B34" t="str">
            <v/>
          </cell>
          <cell r="E34" t="str">
            <v/>
          </cell>
          <cell r="H34" t="str">
            <v/>
          </cell>
          <cell r="K34" t="str">
            <v/>
          </cell>
        </row>
        <row r="35">
          <cell r="B35" t="str">
            <v/>
          </cell>
          <cell r="E35" t="str">
            <v/>
          </cell>
          <cell r="H35" t="str">
            <v/>
          </cell>
          <cell r="K35" t="str">
            <v/>
          </cell>
        </row>
        <row r="36">
          <cell r="B36" t="str">
            <v/>
          </cell>
          <cell r="E36" t="str">
            <v/>
          </cell>
          <cell r="H36" t="str">
            <v/>
          </cell>
          <cell r="K36" t="str">
            <v/>
          </cell>
        </row>
        <row r="37">
          <cell r="B37" t="str">
            <v/>
          </cell>
          <cell r="E37" t="str">
            <v/>
          </cell>
          <cell r="H37" t="str">
            <v/>
          </cell>
          <cell r="K37" t="str">
            <v/>
          </cell>
        </row>
        <row r="38">
          <cell r="B38" t="str">
            <v/>
          </cell>
          <cell r="E38" t="str">
            <v/>
          </cell>
          <cell r="H38" t="str">
            <v/>
          </cell>
          <cell r="K38" t="str">
            <v/>
          </cell>
        </row>
        <row r="39">
          <cell r="B39" t="str">
            <v/>
          </cell>
          <cell r="E39" t="str">
            <v/>
          </cell>
          <cell r="H39" t="str">
            <v/>
          </cell>
          <cell r="K39" t="str">
            <v/>
          </cell>
        </row>
        <row r="40">
          <cell r="B40" t="str">
            <v/>
          </cell>
          <cell r="E40" t="str">
            <v/>
          </cell>
          <cell r="H40" t="str">
            <v/>
          </cell>
          <cell r="K40" t="str">
            <v/>
          </cell>
        </row>
        <row r="41">
          <cell r="B41" t="str">
            <v/>
          </cell>
          <cell r="E41" t="str">
            <v/>
          </cell>
          <cell r="H41" t="str">
            <v/>
          </cell>
          <cell r="K41" t="str">
            <v/>
          </cell>
        </row>
        <row r="42">
          <cell r="B42" t="str">
            <v/>
          </cell>
          <cell r="E42" t="str">
            <v/>
          </cell>
          <cell r="H42" t="str">
            <v/>
          </cell>
          <cell r="K42" t="str">
            <v/>
          </cell>
        </row>
        <row r="43">
          <cell r="B43" t="str">
            <v/>
          </cell>
          <cell r="E43" t="str">
            <v/>
          </cell>
          <cell r="H43" t="str">
            <v/>
          </cell>
          <cell r="K43" t="str">
            <v/>
          </cell>
        </row>
        <row r="44">
          <cell r="B44" t="str">
            <v/>
          </cell>
          <cell r="E44" t="str">
            <v/>
          </cell>
          <cell r="H44" t="str">
            <v/>
          </cell>
          <cell r="K44" t="str">
            <v/>
          </cell>
        </row>
        <row r="45">
          <cell r="B45" t="str">
            <v/>
          </cell>
          <cell r="E45" t="str">
            <v/>
          </cell>
          <cell r="H45" t="str">
            <v/>
          </cell>
          <cell r="K45" t="str">
            <v/>
          </cell>
        </row>
        <row r="46">
          <cell r="B46" t="str">
            <v/>
          </cell>
          <cell r="E46" t="str">
            <v/>
          </cell>
          <cell r="H46" t="str">
            <v/>
          </cell>
          <cell r="K46" t="str">
            <v/>
          </cell>
        </row>
        <row r="47">
          <cell r="B47" t="str">
            <v/>
          </cell>
          <cell r="E47" t="str">
            <v/>
          </cell>
          <cell r="H47" t="str">
            <v/>
          </cell>
          <cell r="K47" t="str">
            <v/>
          </cell>
        </row>
        <row r="48">
          <cell r="B48" t="str">
            <v/>
          </cell>
          <cell r="E48" t="str">
            <v/>
          </cell>
          <cell r="H48" t="str">
            <v/>
          </cell>
          <cell r="K48" t="str">
            <v/>
          </cell>
        </row>
        <row r="49">
          <cell r="B49" t="str">
            <v/>
          </cell>
          <cell r="E49" t="str">
            <v/>
          </cell>
          <cell r="H49" t="str">
            <v/>
          </cell>
          <cell r="K49" t="str">
            <v/>
          </cell>
        </row>
        <row r="50">
          <cell r="B50" t="str">
            <v/>
          </cell>
          <cell r="E50" t="str">
            <v/>
          </cell>
          <cell r="H50" t="str">
            <v/>
          </cell>
          <cell r="K50" t="str">
            <v/>
          </cell>
        </row>
        <row r="51">
          <cell r="B51" t="str">
            <v/>
          </cell>
          <cell r="E51" t="str">
            <v/>
          </cell>
          <cell r="H51" t="str">
            <v/>
          </cell>
          <cell r="K51" t="str">
            <v/>
          </cell>
        </row>
        <row r="52">
          <cell r="B52" t="str">
            <v/>
          </cell>
          <cell r="E52" t="str">
            <v/>
          </cell>
          <cell r="H52" t="str">
            <v/>
          </cell>
          <cell r="K52" t="str">
            <v/>
          </cell>
        </row>
        <row r="53">
          <cell r="B53" t="str">
            <v/>
          </cell>
          <cell r="E53" t="str">
            <v/>
          </cell>
          <cell r="H53" t="str">
            <v/>
          </cell>
          <cell r="K53" t="str">
            <v/>
          </cell>
        </row>
        <row r="54">
          <cell r="B54" t="str">
            <v/>
          </cell>
          <cell r="E54" t="str">
            <v/>
          </cell>
          <cell r="H54" t="str">
            <v/>
          </cell>
          <cell r="K54" t="str">
            <v/>
          </cell>
        </row>
        <row r="55">
          <cell r="B55" t="str">
            <v/>
          </cell>
          <cell r="E55" t="str">
            <v/>
          </cell>
          <cell r="H55" t="str">
            <v/>
          </cell>
          <cell r="K55" t="str">
            <v/>
          </cell>
        </row>
        <row r="56">
          <cell r="B56" t="str">
            <v/>
          </cell>
          <cell r="E56" t="str">
            <v/>
          </cell>
          <cell r="H56" t="str">
            <v/>
          </cell>
          <cell r="K56" t="str">
            <v/>
          </cell>
        </row>
        <row r="57">
          <cell r="B57" t="str">
            <v/>
          </cell>
          <cell r="E57" t="str">
            <v/>
          </cell>
          <cell r="H57" t="str">
            <v/>
          </cell>
          <cell r="K57" t="str">
            <v/>
          </cell>
        </row>
        <row r="58">
          <cell r="B58" t="str">
            <v/>
          </cell>
          <cell r="E58" t="str">
            <v/>
          </cell>
          <cell r="H58" t="str">
            <v/>
          </cell>
          <cell r="K58" t="str">
            <v/>
          </cell>
        </row>
        <row r="59">
          <cell r="B59" t="str">
            <v/>
          </cell>
          <cell r="E59" t="str">
            <v/>
          </cell>
          <cell r="H59" t="str">
            <v/>
          </cell>
          <cell r="K59" t="str">
            <v/>
          </cell>
        </row>
        <row r="60">
          <cell r="B60" t="str">
            <v/>
          </cell>
          <cell r="E60" t="str">
            <v/>
          </cell>
          <cell r="H60" t="str">
            <v/>
          </cell>
          <cell r="K60" t="str">
            <v/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7"/>
  <sheetViews>
    <sheetView workbookViewId="0">
      <selection activeCell="B45" sqref="B45:D57"/>
    </sheetView>
  </sheetViews>
  <sheetFormatPr defaultRowHeight="14" x14ac:dyDescent="0.25"/>
  <cols>
    <col min="3" max="3" width="22.6328125" customWidth="1"/>
    <col min="7" max="7" width="10.7265625" customWidth="1"/>
    <col min="8" max="8" width="17.36328125" customWidth="1"/>
    <col min="12" max="12" width="11.08984375" customWidth="1"/>
    <col min="13" max="13" width="19.36328125" customWidth="1"/>
  </cols>
  <sheetData>
    <row r="2" spans="1:6" x14ac:dyDescent="0.25">
      <c r="B2" s="1" t="s">
        <v>0</v>
      </c>
      <c r="C2" s="1" t="s">
        <v>1</v>
      </c>
      <c r="D2" s="1" t="s">
        <v>2</v>
      </c>
    </row>
    <row r="3" spans="1:6" ht="26" customHeight="1" x14ac:dyDescent="0.25">
      <c r="A3" s="6" t="s">
        <v>3</v>
      </c>
      <c r="B3" s="2" t="s">
        <v>4</v>
      </c>
      <c r="C3" s="3" t="s">
        <v>5</v>
      </c>
      <c r="D3" s="4">
        <v>0.11</v>
      </c>
    </row>
    <row r="4" spans="1:6" ht="26" customHeight="1" x14ac:dyDescent="0.25">
      <c r="A4" s="7"/>
      <c r="B4" s="2" t="s">
        <v>6</v>
      </c>
      <c r="C4" s="3" t="s">
        <v>7</v>
      </c>
      <c r="D4" s="4">
        <v>0.11</v>
      </c>
    </row>
    <row r="5" spans="1:6" ht="26" customHeight="1" x14ac:dyDescent="0.25">
      <c r="A5" s="7"/>
      <c r="B5" s="2" t="s">
        <v>8</v>
      </c>
      <c r="C5" s="3" t="s">
        <v>9</v>
      </c>
      <c r="D5" s="4">
        <v>0.19</v>
      </c>
    </row>
    <row r="6" spans="1:6" ht="26" customHeight="1" x14ac:dyDescent="0.25">
      <c r="A6" s="7"/>
      <c r="B6" s="2" t="s">
        <v>10</v>
      </c>
      <c r="C6" s="3" t="s">
        <v>11</v>
      </c>
      <c r="D6" s="4">
        <v>0.19</v>
      </c>
    </row>
    <row r="7" spans="1:6" ht="26" customHeight="1" x14ac:dyDescent="0.25">
      <c r="A7" s="7"/>
      <c r="B7" s="2" t="s">
        <v>12</v>
      </c>
      <c r="C7" s="3" t="s">
        <v>13</v>
      </c>
      <c r="D7" s="4">
        <v>0.19</v>
      </c>
    </row>
    <row r="8" spans="1:6" ht="26" customHeight="1" x14ac:dyDescent="0.25">
      <c r="A8" s="7"/>
      <c r="B8" s="2" t="s">
        <v>14</v>
      </c>
      <c r="C8" s="3" t="s">
        <v>15</v>
      </c>
      <c r="D8" s="4">
        <v>0.19</v>
      </c>
    </row>
    <row r="9" spans="1:6" ht="26" customHeight="1" x14ac:dyDescent="0.25">
      <c r="A9" s="7"/>
      <c r="B9" s="2" t="s">
        <v>16</v>
      </c>
      <c r="C9" s="3" t="s">
        <v>17</v>
      </c>
      <c r="D9" s="4">
        <v>0.02</v>
      </c>
    </row>
    <row r="12" spans="1:6" x14ac:dyDescent="0.25">
      <c r="B12" s="1" t="s">
        <v>18</v>
      </c>
      <c r="C12" s="1" t="s">
        <v>19</v>
      </c>
      <c r="D12" s="1" t="s">
        <v>20</v>
      </c>
    </row>
    <row r="13" spans="1:6" ht="26" customHeight="1" x14ac:dyDescent="0.25">
      <c r="A13" s="6" t="s">
        <v>21</v>
      </c>
      <c r="B13" s="2" t="s">
        <v>16</v>
      </c>
      <c r="C13" s="3" t="s">
        <v>17</v>
      </c>
      <c r="D13" s="4">
        <v>0.02</v>
      </c>
      <c r="E13" s="4"/>
      <c r="F13" s="4"/>
    </row>
    <row r="14" spans="1:6" ht="26" customHeight="1" x14ac:dyDescent="0.25">
      <c r="A14" s="7"/>
      <c r="B14" s="2" t="s">
        <v>22</v>
      </c>
      <c r="C14" s="3" t="s">
        <v>23</v>
      </c>
      <c r="D14" s="4">
        <v>1.2500000000000001E-2</v>
      </c>
    </row>
    <row r="15" spans="1:6" ht="26" customHeight="1" x14ac:dyDescent="0.25">
      <c r="A15" s="7"/>
      <c r="B15" s="2" t="s">
        <v>24</v>
      </c>
      <c r="C15" s="3" t="s">
        <v>25</v>
      </c>
      <c r="D15" s="4">
        <v>0.83</v>
      </c>
    </row>
    <row r="16" spans="1:6" ht="26" customHeight="1" x14ac:dyDescent="0.25">
      <c r="A16" s="7"/>
      <c r="B16" s="2" t="s">
        <v>26</v>
      </c>
      <c r="C16" s="3" t="s">
        <v>27</v>
      </c>
      <c r="D16" s="4">
        <v>1.2500000000000001E-2</v>
      </c>
    </row>
    <row r="17" spans="1:4" ht="26" customHeight="1" x14ac:dyDescent="0.25">
      <c r="A17" s="7"/>
      <c r="B17" s="2" t="s">
        <v>28</v>
      </c>
      <c r="C17" s="3" t="s">
        <v>29</v>
      </c>
      <c r="D17" s="4">
        <v>1.2500000000000001E-2</v>
      </c>
    </row>
    <row r="18" spans="1:4" ht="26" customHeight="1" x14ac:dyDescent="0.25">
      <c r="A18" s="7"/>
      <c r="B18" s="2" t="s">
        <v>30</v>
      </c>
      <c r="C18" s="3" t="s">
        <v>31</v>
      </c>
      <c r="D18" s="4">
        <v>1.2500000000000001E-2</v>
      </c>
    </row>
    <row r="19" spans="1:4" ht="26" customHeight="1" x14ac:dyDescent="0.25">
      <c r="A19" s="7"/>
      <c r="B19" s="2" t="s">
        <v>12</v>
      </c>
      <c r="C19" s="3" t="s">
        <v>32</v>
      </c>
      <c r="D19" s="4">
        <v>0.01</v>
      </c>
    </row>
    <row r="20" spans="1:4" ht="26" customHeight="1" x14ac:dyDescent="0.25">
      <c r="A20" s="7"/>
      <c r="B20" s="2" t="s">
        <v>33</v>
      </c>
      <c r="C20" s="3" t="s">
        <v>34</v>
      </c>
      <c r="D20" s="4">
        <v>0.05</v>
      </c>
    </row>
    <row r="21" spans="1:4" ht="26" customHeight="1" x14ac:dyDescent="0.25">
      <c r="A21" s="7"/>
      <c r="B21" s="2" t="s">
        <v>4</v>
      </c>
      <c r="C21" s="3" t="s">
        <v>35</v>
      </c>
      <c r="D21" s="4">
        <v>5.0000000000000001E-3</v>
      </c>
    </row>
    <row r="22" spans="1:4" ht="26" customHeight="1" x14ac:dyDescent="0.25">
      <c r="A22" s="7"/>
      <c r="B22" s="2" t="s">
        <v>14</v>
      </c>
      <c r="C22" s="3" t="s">
        <v>15</v>
      </c>
      <c r="D22" s="4">
        <v>0.01</v>
      </c>
    </row>
    <row r="23" spans="1:4" ht="26" customHeight="1" x14ac:dyDescent="0.25">
      <c r="A23" s="7"/>
      <c r="B23" s="2" t="s">
        <v>8</v>
      </c>
      <c r="C23" s="3" t="s">
        <v>36</v>
      </c>
      <c r="D23" s="4">
        <v>0.01</v>
      </c>
    </row>
    <row r="24" spans="1:4" ht="26" customHeight="1" x14ac:dyDescent="0.25">
      <c r="A24" s="7"/>
      <c r="B24" s="2" t="s">
        <v>6</v>
      </c>
      <c r="C24" s="3" t="s">
        <v>37</v>
      </c>
      <c r="D24" s="4">
        <v>5.0000000000000001E-3</v>
      </c>
    </row>
    <row r="25" spans="1:4" ht="26" customHeight="1" x14ac:dyDescent="0.25">
      <c r="A25" s="7"/>
      <c r="B25" s="2" t="s">
        <v>10</v>
      </c>
      <c r="C25" s="3" t="s">
        <v>38</v>
      </c>
      <c r="D25" s="4">
        <v>0.01</v>
      </c>
    </row>
    <row r="28" spans="1:4" x14ac:dyDescent="0.25">
      <c r="B28" s="1" t="s">
        <v>18</v>
      </c>
      <c r="C28" s="1" t="s">
        <v>19</v>
      </c>
      <c r="D28" s="1" t="s">
        <v>20</v>
      </c>
    </row>
    <row r="29" spans="1:4" ht="26" customHeight="1" x14ac:dyDescent="0.25">
      <c r="A29" s="6" t="s">
        <v>39</v>
      </c>
      <c r="B29" s="2" t="s">
        <v>16</v>
      </c>
      <c r="C29" s="3" t="s">
        <v>17</v>
      </c>
      <c r="D29" s="4">
        <v>0.02</v>
      </c>
    </row>
    <row r="30" spans="1:4" ht="26" customHeight="1" x14ac:dyDescent="0.25">
      <c r="A30" s="7"/>
      <c r="B30" s="2" t="s">
        <v>22</v>
      </c>
      <c r="C30" s="3" t="s">
        <v>23</v>
      </c>
      <c r="D30" s="4">
        <v>2.5000000000000001E-2</v>
      </c>
    </row>
    <row r="31" spans="1:4" ht="26" customHeight="1" x14ac:dyDescent="0.25">
      <c r="A31" s="7"/>
      <c r="B31" s="2" t="s">
        <v>24</v>
      </c>
      <c r="C31" s="3" t="s">
        <v>25</v>
      </c>
      <c r="D31" s="4">
        <v>0.73</v>
      </c>
    </row>
    <row r="32" spans="1:4" ht="26" customHeight="1" x14ac:dyDescent="0.25">
      <c r="A32" s="7"/>
      <c r="B32" s="2" t="s">
        <v>26</v>
      </c>
      <c r="C32" s="3" t="s">
        <v>27</v>
      </c>
      <c r="D32" s="4">
        <v>2.5000000000000001E-2</v>
      </c>
    </row>
    <row r="33" spans="1:4" ht="26" customHeight="1" x14ac:dyDescent="0.25">
      <c r="A33" s="7"/>
      <c r="B33" s="2" t="s">
        <v>28</v>
      </c>
      <c r="C33" s="3" t="s">
        <v>29</v>
      </c>
      <c r="D33" s="4">
        <v>2.5000000000000001E-2</v>
      </c>
    </row>
    <row r="34" spans="1:4" ht="26" customHeight="1" x14ac:dyDescent="0.25">
      <c r="A34" s="7"/>
      <c r="B34" s="2" t="s">
        <v>30</v>
      </c>
      <c r="C34" s="3" t="s">
        <v>31</v>
      </c>
      <c r="D34" s="4">
        <v>2.5000000000000001E-2</v>
      </c>
    </row>
    <row r="35" spans="1:4" ht="26" customHeight="1" x14ac:dyDescent="0.25">
      <c r="A35" s="7"/>
      <c r="B35" s="2" t="s">
        <v>12</v>
      </c>
      <c r="C35" s="3" t="s">
        <v>32</v>
      </c>
      <c r="D35" s="4">
        <v>0.02</v>
      </c>
    </row>
    <row r="36" spans="1:4" ht="26" customHeight="1" x14ac:dyDescent="0.25">
      <c r="A36" s="7"/>
      <c r="B36" s="2" t="s">
        <v>33</v>
      </c>
      <c r="C36" s="3" t="s">
        <v>34</v>
      </c>
      <c r="D36" s="4">
        <v>0.05</v>
      </c>
    </row>
    <row r="37" spans="1:4" ht="26" customHeight="1" x14ac:dyDescent="0.25">
      <c r="A37" s="7"/>
      <c r="B37" s="2" t="s">
        <v>4</v>
      </c>
      <c r="C37" s="3" t="s">
        <v>35</v>
      </c>
      <c r="D37" s="4">
        <v>0.01</v>
      </c>
    </row>
    <row r="38" spans="1:4" ht="26" customHeight="1" x14ac:dyDescent="0.25">
      <c r="A38" s="7"/>
      <c r="B38" s="2" t="s">
        <v>14</v>
      </c>
      <c r="C38" s="3" t="s">
        <v>15</v>
      </c>
      <c r="D38" s="4">
        <v>0.02</v>
      </c>
    </row>
    <row r="39" spans="1:4" ht="26" customHeight="1" x14ac:dyDescent="0.25">
      <c r="A39" s="7"/>
      <c r="B39" s="2" t="s">
        <v>8</v>
      </c>
      <c r="C39" s="3" t="s">
        <v>36</v>
      </c>
      <c r="D39" s="4">
        <v>0.02</v>
      </c>
    </row>
    <row r="40" spans="1:4" ht="26" customHeight="1" x14ac:dyDescent="0.25">
      <c r="A40" s="7"/>
      <c r="B40" s="2" t="s">
        <v>6</v>
      </c>
      <c r="C40" s="3" t="s">
        <v>37</v>
      </c>
      <c r="D40" s="4">
        <v>0.01</v>
      </c>
    </row>
    <row r="41" spans="1:4" ht="26" customHeight="1" x14ac:dyDescent="0.25">
      <c r="A41" s="7"/>
      <c r="B41" s="2" t="s">
        <v>10</v>
      </c>
      <c r="C41" s="3" t="s">
        <v>38</v>
      </c>
      <c r="D41" s="4">
        <v>0.02</v>
      </c>
    </row>
    <row r="44" spans="1:4" x14ac:dyDescent="0.25">
      <c r="B44" s="1" t="s">
        <v>18</v>
      </c>
      <c r="C44" s="1" t="s">
        <v>19</v>
      </c>
      <c r="D44" s="1" t="s">
        <v>20</v>
      </c>
    </row>
    <row r="45" spans="1:4" ht="26" customHeight="1" x14ac:dyDescent="0.25">
      <c r="A45" s="6" t="s">
        <v>40</v>
      </c>
      <c r="B45" s="2" t="s">
        <v>16</v>
      </c>
      <c r="C45" s="3" t="s">
        <v>17</v>
      </c>
      <c r="D45" s="4">
        <v>0.02</v>
      </c>
    </row>
    <row r="46" spans="1:4" ht="26" customHeight="1" x14ac:dyDescent="0.25">
      <c r="A46" s="7"/>
      <c r="B46" s="2" t="s">
        <v>22</v>
      </c>
      <c r="C46" s="3" t="s">
        <v>23</v>
      </c>
      <c r="D46" s="4">
        <v>3.7500000000000012E-2</v>
      </c>
    </row>
    <row r="47" spans="1:4" ht="26" customHeight="1" x14ac:dyDescent="0.25">
      <c r="A47" s="7"/>
      <c r="B47" s="2" t="s">
        <v>24</v>
      </c>
      <c r="C47" s="3" t="s">
        <v>25</v>
      </c>
      <c r="D47" s="4">
        <v>0.57999999999999996</v>
      </c>
    </row>
    <row r="48" spans="1:4" ht="26" customHeight="1" x14ac:dyDescent="0.25">
      <c r="A48" s="7"/>
      <c r="B48" s="2" t="s">
        <v>26</v>
      </c>
      <c r="C48" s="3" t="s">
        <v>27</v>
      </c>
      <c r="D48" s="4">
        <v>3.7500000000000012E-2</v>
      </c>
    </row>
    <row r="49" spans="1:4" ht="26" customHeight="1" x14ac:dyDescent="0.25">
      <c r="A49" s="7"/>
      <c r="B49" s="2" t="s">
        <v>28</v>
      </c>
      <c r="C49" s="3" t="s">
        <v>29</v>
      </c>
      <c r="D49" s="4">
        <v>3.7500000000000012E-2</v>
      </c>
    </row>
    <row r="50" spans="1:4" ht="26" customHeight="1" x14ac:dyDescent="0.25">
      <c r="A50" s="7"/>
      <c r="B50" s="2" t="s">
        <v>30</v>
      </c>
      <c r="C50" s="3" t="s">
        <v>31</v>
      </c>
      <c r="D50" s="4">
        <v>3.7500000000000012E-2</v>
      </c>
    </row>
    <row r="51" spans="1:4" ht="26" customHeight="1" x14ac:dyDescent="0.25">
      <c r="A51" s="7"/>
      <c r="B51" s="2" t="s">
        <v>12</v>
      </c>
      <c r="C51" s="3" t="s">
        <v>32</v>
      </c>
      <c r="D51" s="4">
        <v>0.03</v>
      </c>
    </row>
    <row r="52" spans="1:4" ht="26" customHeight="1" x14ac:dyDescent="0.25">
      <c r="A52" s="7"/>
      <c r="B52" s="2" t="s">
        <v>33</v>
      </c>
      <c r="C52" s="3" t="s">
        <v>34</v>
      </c>
      <c r="D52" s="4">
        <v>0.1</v>
      </c>
    </row>
    <row r="53" spans="1:4" ht="26" customHeight="1" x14ac:dyDescent="0.25">
      <c r="A53" s="7"/>
      <c r="B53" s="2" t="s">
        <v>4</v>
      </c>
      <c r="C53" s="3" t="s">
        <v>35</v>
      </c>
      <c r="D53" s="4">
        <v>1.4999999999999999E-2</v>
      </c>
    </row>
    <row r="54" spans="1:4" ht="26" customHeight="1" x14ac:dyDescent="0.25">
      <c r="A54" s="7"/>
      <c r="B54" s="2" t="s">
        <v>14</v>
      </c>
      <c r="C54" s="3" t="s">
        <v>15</v>
      </c>
      <c r="D54" s="4">
        <v>0.03</v>
      </c>
    </row>
    <row r="55" spans="1:4" ht="26" customHeight="1" x14ac:dyDescent="0.25">
      <c r="A55" s="7"/>
      <c r="B55" s="2" t="s">
        <v>8</v>
      </c>
      <c r="C55" s="3" t="s">
        <v>36</v>
      </c>
      <c r="D55" s="4">
        <v>0.03</v>
      </c>
    </row>
    <row r="56" spans="1:4" ht="26" customHeight="1" x14ac:dyDescent="0.25">
      <c r="A56" s="7"/>
      <c r="B56" s="2" t="s">
        <v>6</v>
      </c>
      <c r="C56" s="3" t="s">
        <v>37</v>
      </c>
      <c r="D56" s="4">
        <v>1.4999999999999999E-2</v>
      </c>
    </row>
    <row r="57" spans="1:4" ht="26" customHeight="1" x14ac:dyDescent="0.25">
      <c r="A57" s="7"/>
      <c r="B57" s="2" t="s">
        <v>10</v>
      </c>
      <c r="C57" s="3" t="s">
        <v>38</v>
      </c>
      <c r="D57" s="4">
        <v>0.03</v>
      </c>
    </row>
  </sheetData>
  <mergeCells count="4">
    <mergeCell ref="A29:A41"/>
    <mergeCell ref="A45:A57"/>
    <mergeCell ref="A3:A9"/>
    <mergeCell ref="A13:A25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topLeftCell="A46" workbookViewId="0">
      <selection activeCell="K59" sqref="K59"/>
    </sheetView>
  </sheetViews>
  <sheetFormatPr defaultRowHeight="14" x14ac:dyDescent="0.25"/>
  <cols>
    <col min="3" max="3" width="24.1796875" customWidth="1"/>
    <col min="6" max="6" width="11.36328125" bestFit="1" customWidth="1"/>
    <col min="7" max="7" width="10.26953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</row>
    <row r="2" spans="1:7" ht="26" customHeight="1" x14ac:dyDescent="0.25">
      <c r="A2" s="6" t="s">
        <v>3</v>
      </c>
      <c r="B2" s="2" t="s">
        <v>16</v>
      </c>
      <c r="C2" s="3" t="str">
        <f>[2]!thsiFinD("ths_fund_short_name_fund",B2)</f>
        <v>嘉实快线货币A</v>
      </c>
      <c r="D2" s="4">
        <v>0.02</v>
      </c>
    </row>
    <row r="3" spans="1:7" ht="26" customHeight="1" x14ac:dyDescent="0.25">
      <c r="A3" s="7"/>
      <c r="B3" s="2" t="s">
        <v>8</v>
      </c>
      <c r="C3" s="3" t="str">
        <f>[2]!thsiFinD("ths_fund_short_name_fund",B3)</f>
        <v>宏利复兴伟业混合A</v>
      </c>
      <c r="D3" s="4">
        <v>0.19</v>
      </c>
      <c r="F3" t="s">
        <v>66</v>
      </c>
      <c r="G3" s="8">
        <v>46195</v>
      </c>
    </row>
    <row r="4" spans="1:7" ht="26" customHeight="1" x14ac:dyDescent="0.25">
      <c r="A4" s="7"/>
      <c r="B4" s="2" t="s">
        <v>6</v>
      </c>
      <c r="C4" s="3" t="str">
        <f>[2]!thsiFinD("ths_fund_short_name_fund",B4)</f>
        <v>国泰中证全指通信设备ETF发起式联接A</v>
      </c>
      <c r="D4" s="4">
        <v>0.11</v>
      </c>
      <c r="F4" t="s">
        <v>64</v>
      </c>
      <c r="G4" s="5">
        <v>1.4999999999999999E-2</v>
      </c>
    </row>
    <row r="5" spans="1:7" ht="26" customHeight="1" x14ac:dyDescent="0.25">
      <c r="A5" s="7"/>
      <c r="B5" s="2" t="s">
        <v>14</v>
      </c>
      <c r="C5" s="3" t="str">
        <f>[2]!thsiFinD("ths_fund_short_name_fund",B5)</f>
        <v>银华集成电路混合A</v>
      </c>
      <c r="D5" s="4">
        <v>0.19</v>
      </c>
    </row>
    <row r="6" spans="1:7" ht="26" customHeight="1" x14ac:dyDescent="0.25">
      <c r="A6" s="7"/>
      <c r="B6" s="2" t="s">
        <v>10</v>
      </c>
      <c r="C6" s="3" t="str">
        <f>[2]!thsiFinD("ths_fund_short_name_fund",B6)</f>
        <v>信澳业绩驱动混合A</v>
      </c>
      <c r="D6" s="4">
        <v>0.19</v>
      </c>
    </row>
    <row r="7" spans="1:7" ht="26" customHeight="1" x14ac:dyDescent="0.25">
      <c r="A7" s="7"/>
      <c r="B7" s="2" t="s">
        <v>12</v>
      </c>
      <c r="C7" s="3" t="str">
        <f>[2]!thsiFinD("ths_fund_short_name_fund",B7)</f>
        <v>嘉实信息产业股票发起式A</v>
      </c>
      <c r="D7" s="4">
        <v>0.19</v>
      </c>
    </row>
    <row r="8" spans="1:7" ht="26" customHeight="1" x14ac:dyDescent="0.25">
      <c r="A8" s="7"/>
      <c r="B8" s="2" t="s">
        <v>4</v>
      </c>
      <c r="C8" s="3" t="str">
        <f>[2]!thsiFinD("ths_fund_short_name_fund",B8)</f>
        <v>国泰中证半导体材料设备主题ETF发起式联接A</v>
      </c>
      <c r="D8" s="4">
        <v>0.11</v>
      </c>
    </row>
    <row r="10" spans="1:7" x14ac:dyDescent="0.25">
      <c r="B10" s="1" t="s">
        <v>0</v>
      </c>
      <c r="C10" s="1" t="s">
        <v>1</v>
      </c>
      <c r="D10" s="1" t="s">
        <v>2</v>
      </c>
    </row>
    <row r="11" spans="1:7" ht="26" customHeight="1" x14ac:dyDescent="0.25">
      <c r="A11" s="6" t="s">
        <v>62</v>
      </c>
      <c r="B11" s="2" t="s">
        <v>16</v>
      </c>
      <c r="C11" s="3" t="str">
        <f>[2]!thsiFinD("ths_fund_short_name_fund",B11)</f>
        <v>嘉实快线货币A</v>
      </c>
      <c r="D11" s="4">
        <v>0.02</v>
      </c>
    </row>
    <row r="12" spans="1:7" ht="26" customHeight="1" x14ac:dyDescent="0.25">
      <c r="A12" s="7"/>
      <c r="B12" s="2" t="s">
        <v>8</v>
      </c>
      <c r="C12" s="3" t="str">
        <f>[2]!thsiFinD("ths_fund_short_name_fund",B12)</f>
        <v>宏利复兴伟业混合A</v>
      </c>
      <c r="D12" s="4">
        <v>0.19</v>
      </c>
      <c r="F12" t="s">
        <v>66</v>
      </c>
      <c r="G12" s="8">
        <v>46191</v>
      </c>
    </row>
    <row r="13" spans="1:7" ht="26" customHeight="1" x14ac:dyDescent="0.25">
      <c r="A13" s="7"/>
      <c r="B13" s="2" t="s">
        <v>6</v>
      </c>
      <c r="C13" s="3" t="str">
        <f>[2]!thsiFinD("ths_fund_short_name_fund",B13)</f>
        <v>国泰中证全指通信设备ETF发起式联接A</v>
      </c>
      <c r="D13" s="4">
        <v>0.11</v>
      </c>
      <c r="F13" t="s">
        <v>64</v>
      </c>
      <c r="G13" s="5">
        <v>1.2E-2</v>
      </c>
    </row>
    <row r="14" spans="1:7" ht="26" customHeight="1" x14ac:dyDescent="0.25">
      <c r="A14" s="7"/>
      <c r="B14" s="2" t="s">
        <v>14</v>
      </c>
      <c r="C14" s="3" t="str">
        <f>[2]!thsiFinD("ths_fund_short_name_fund",B14)</f>
        <v>银华集成电路混合A</v>
      </c>
      <c r="D14" s="4">
        <v>0.19</v>
      </c>
    </row>
    <row r="15" spans="1:7" ht="26" customHeight="1" x14ac:dyDescent="0.25">
      <c r="A15" s="7"/>
      <c r="B15" s="2" t="s">
        <v>10</v>
      </c>
      <c r="C15" s="3" t="str">
        <f>[2]!thsiFinD("ths_fund_short_name_fund",B15)</f>
        <v>信澳业绩驱动混合A</v>
      </c>
      <c r="D15" s="4">
        <v>0.19</v>
      </c>
    </row>
    <row r="16" spans="1:7" ht="26" customHeight="1" x14ac:dyDescent="0.25">
      <c r="A16" s="7"/>
      <c r="B16" s="2" t="s">
        <v>12</v>
      </c>
      <c r="C16" s="3" t="str">
        <f>[2]!thsiFinD("ths_fund_short_name_fund",B16)</f>
        <v>嘉实信息产业股票发起式A</v>
      </c>
      <c r="D16" s="4">
        <v>0.19</v>
      </c>
    </row>
    <row r="17" spans="1:7" ht="26" customHeight="1" x14ac:dyDescent="0.25">
      <c r="A17" s="7"/>
      <c r="B17" s="2" t="s">
        <v>4</v>
      </c>
      <c r="C17" s="3" t="str">
        <f>[2]!thsiFinD("ths_fund_short_name_fund",B17)</f>
        <v>国泰中证半导体材料设备主题ETF发起式联接A</v>
      </c>
      <c r="D17" s="4">
        <v>0.11</v>
      </c>
    </row>
    <row r="19" spans="1:7" x14ac:dyDescent="0.25">
      <c r="B19" s="1" t="s">
        <v>0</v>
      </c>
      <c r="C19" s="1" t="s">
        <v>1</v>
      </c>
      <c r="D19" s="1" t="s">
        <v>2</v>
      </c>
    </row>
    <row r="20" spans="1:7" ht="26" customHeight="1" x14ac:dyDescent="0.25">
      <c r="A20" s="6" t="s">
        <v>51</v>
      </c>
      <c r="B20" s="2" t="s">
        <v>45</v>
      </c>
      <c r="C20" s="3" t="s">
        <v>46</v>
      </c>
      <c r="D20" s="4">
        <v>0.19</v>
      </c>
    </row>
    <row r="21" spans="1:7" ht="26" customHeight="1" x14ac:dyDescent="0.25">
      <c r="A21" s="7"/>
      <c r="B21" s="2" t="s">
        <v>52</v>
      </c>
      <c r="C21" s="3" t="s">
        <v>53</v>
      </c>
      <c r="D21" s="4">
        <v>0.19</v>
      </c>
      <c r="F21" t="s">
        <v>66</v>
      </c>
      <c r="G21" s="8">
        <v>46196</v>
      </c>
    </row>
    <row r="22" spans="1:7" ht="26" customHeight="1" x14ac:dyDescent="0.25">
      <c r="A22" s="7"/>
      <c r="B22" s="2" t="s">
        <v>47</v>
      </c>
      <c r="C22" s="3" t="s">
        <v>48</v>
      </c>
      <c r="D22" s="4">
        <v>0.19</v>
      </c>
      <c r="F22" t="s">
        <v>64</v>
      </c>
      <c r="G22" s="5">
        <v>1.4999999999999999E-2</v>
      </c>
    </row>
    <row r="23" spans="1:7" ht="26" customHeight="1" x14ac:dyDescent="0.25">
      <c r="A23" s="7"/>
      <c r="B23" s="2" t="s">
        <v>43</v>
      </c>
      <c r="C23" s="3" t="s">
        <v>44</v>
      </c>
      <c r="D23" s="4">
        <v>0.11</v>
      </c>
    </row>
    <row r="24" spans="1:7" ht="26" customHeight="1" x14ac:dyDescent="0.25">
      <c r="A24" s="7"/>
      <c r="B24" s="2" t="s">
        <v>49</v>
      </c>
      <c r="C24" s="3" t="s">
        <v>50</v>
      </c>
      <c r="D24" s="4">
        <v>0.19</v>
      </c>
    </row>
    <row r="25" spans="1:7" ht="26" customHeight="1" x14ac:dyDescent="0.25">
      <c r="A25" s="7"/>
      <c r="B25" s="2" t="s">
        <v>41</v>
      </c>
      <c r="C25" s="3" t="s">
        <v>42</v>
      </c>
      <c r="D25" s="4">
        <v>0.11</v>
      </c>
    </row>
    <row r="26" spans="1:7" ht="26" customHeight="1" x14ac:dyDescent="0.25">
      <c r="A26" s="7"/>
      <c r="B26" s="2" t="s">
        <v>16</v>
      </c>
      <c r="C26" s="3" t="s">
        <v>17</v>
      </c>
      <c r="D26" s="4">
        <v>0.02</v>
      </c>
    </row>
    <row r="28" spans="1:7" x14ac:dyDescent="0.25">
      <c r="B28" s="1" t="s">
        <v>18</v>
      </c>
      <c r="C28" s="1" t="s">
        <v>19</v>
      </c>
      <c r="D28" s="1" t="s">
        <v>20</v>
      </c>
    </row>
    <row r="29" spans="1:7" ht="26" customHeight="1" x14ac:dyDescent="0.25">
      <c r="A29" s="6" t="s">
        <v>21</v>
      </c>
      <c r="B29" s="2" t="s">
        <v>24</v>
      </c>
      <c r="C29" s="3" t="s">
        <v>25</v>
      </c>
      <c r="D29" s="4">
        <v>0.83</v>
      </c>
      <c r="E29" s="4"/>
      <c r="F29" s="4"/>
    </row>
    <row r="30" spans="1:7" ht="26" customHeight="1" x14ac:dyDescent="0.25">
      <c r="A30" s="7"/>
      <c r="B30" s="2" t="s">
        <v>16</v>
      </c>
      <c r="C30" s="3" t="s">
        <v>17</v>
      </c>
      <c r="D30" s="4">
        <v>0.02</v>
      </c>
    </row>
    <row r="31" spans="1:7" ht="26" customHeight="1" x14ac:dyDescent="0.25">
      <c r="A31" s="7"/>
      <c r="B31" s="2" t="s">
        <v>33</v>
      </c>
      <c r="C31" s="3" t="s">
        <v>34</v>
      </c>
      <c r="D31" s="4">
        <v>0.05</v>
      </c>
      <c r="F31" t="s">
        <v>66</v>
      </c>
      <c r="G31" s="8">
        <v>46197</v>
      </c>
    </row>
    <row r="32" spans="1:7" ht="26" customHeight="1" x14ac:dyDescent="0.25">
      <c r="A32" s="7"/>
      <c r="B32" s="2" t="s">
        <v>45</v>
      </c>
      <c r="C32" s="3" t="s">
        <v>46</v>
      </c>
      <c r="D32" s="4">
        <v>0.01</v>
      </c>
      <c r="F32" t="s">
        <v>63</v>
      </c>
      <c r="G32" s="5">
        <v>8.0000000000000002E-3</v>
      </c>
    </row>
    <row r="33" spans="1:7" ht="26" customHeight="1" x14ac:dyDescent="0.25">
      <c r="A33" s="7"/>
      <c r="B33" s="2" t="s">
        <v>52</v>
      </c>
      <c r="C33" s="3" t="s">
        <v>53</v>
      </c>
      <c r="D33" s="4">
        <v>0.01</v>
      </c>
    </row>
    <row r="34" spans="1:7" ht="26" customHeight="1" x14ac:dyDescent="0.25">
      <c r="A34" s="7"/>
      <c r="B34" s="2" t="s">
        <v>47</v>
      </c>
      <c r="C34" s="3" t="s">
        <v>48</v>
      </c>
      <c r="D34" s="4">
        <v>0.01</v>
      </c>
    </row>
    <row r="35" spans="1:7" ht="26" customHeight="1" x14ac:dyDescent="0.25">
      <c r="A35" s="7"/>
      <c r="B35" s="2" t="s">
        <v>43</v>
      </c>
      <c r="C35" s="3" t="s">
        <v>44</v>
      </c>
      <c r="D35" s="4">
        <v>5.0000000000000001E-3</v>
      </c>
    </row>
    <row r="36" spans="1:7" ht="26" customHeight="1" x14ac:dyDescent="0.25">
      <c r="A36" s="7"/>
      <c r="B36" s="2" t="s">
        <v>49</v>
      </c>
      <c r="C36" s="3" t="s">
        <v>50</v>
      </c>
      <c r="D36" s="4">
        <v>0.01</v>
      </c>
    </row>
    <row r="37" spans="1:7" ht="26" customHeight="1" x14ac:dyDescent="0.25">
      <c r="A37" s="7"/>
      <c r="B37" s="2" t="s">
        <v>41</v>
      </c>
      <c r="C37" s="3" t="s">
        <v>42</v>
      </c>
      <c r="D37" s="4">
        <v>5.0000000000000001E-3</v>
      </c>
    </row>
    <row r="38" spans="1:7" ht="26" customHeight="1" x14ac:dyDescent="0.25">
      <c r="A38" s="7"/>
      <c r="B38" s="2" t="s">
        <v>54</v>
      </c>
      <c r="C38" s="3" t="s">
        <v>58</v>
      </c>
      <c r="D38" s="4">
        <v>1.2500000000000001E-2</v>
      </c>
    </row>
    <row r="39" spans="1:7" ht="26" customHeight="1" x14ac:dyDescent="0.25">
      <c r="A39" s="7"/>
      <c r="B39" s="2" t="s">
        <v>55</v>
      </c>
      <c r="C39" s="3" t="s">
        <v>59</v>
      </c>
      <c r="D39" s="4">
        <v>1.2500000000000001E-2</v>
      </c>
    </row>
    <row r="40" spans="1:7" ht="26" customHeight="1" x14ac:dyDescent="0.25">
      <c r="A40" s="7"/>
      <c r="B40" s="2" t="s">
        <v>56</v>
      </c>
      <c r="C40" s="3" t="s">
        <v>60</v>
      </c>
      <c r="D40" s="4">
        <v>1.2500000000000001E-2</v>
      </c>
    </row>
    <row r="41" spans="1:7" ht="26" customHeight="1" x14ac:dyDescent="0.25">
      <c r="A41" s="7"/>
      <c r="B41" s="2" t="s">
        <v>57</v>
      </c>
      <c r="C41" s="3" t="s">
        <v>61</v>
      </c>
      <c r="D41" s="4">
        <v>1.2500000000000001E-2</v>
      </c>
    </row>
    <row r="43" spans="1:7" x14ac:dyDescent="0.25">
      <c r="B43" s="1" t="s">
        <v>18</v>
      </c>
      <c r="C43" s="1" t="s">
        <v>19</v>
      </c>
      <c r="D43" s="1" t="s">
        <v>20</v>
      </c>
    </row>
    <row r="44" spans="1:7" ht="26" customHeight="1" x14ac:dyDescent="0.25">
      <c r="A44" s="6" t="s">
        <v>65</v>
      </c>
      <c r="B44" s="2" t="s">
        <v>33</v>
      </c>
      <c r="C44" s="3" t="str">
        <f>[2]!thsiFinD("ths_fund_short_name_fund",B44)</f>
        <v>华安易富黄金ETF联接A</v>
      </c>
      <c r="D44" s="4">
        <v>0.05</v>
      </c>
      <c r="E44" s="4"/>
      <c r="F44" s="4"/>
    </row>
    <row r="45" spans="1:7" ht="26" customHeight="1" x14ac:dyDescent="0.25">
      <c r="A45" s="7"/>
      <c r="B45" s="2" t="s">
        <v>16</v>
      </c>
      <c r="C45" s="3" t="str">
        <f>[2]!thsiFinD("ths_fund_short_name_fund",B45)</f>
        <v>嘉实快线货币A</v>
      </c>
      <c r="D45" s="4">
        <v>0.02</v>
      </c>
    </row>
    <row r="46" spans="1:7" ht="26" customHeight="1" x14ac:dyDescent="0.25">
      <c r="A46" s="7"/>
      <c r="B46" s="2" t="s">
        <v>8</v>
      </c>
      <c r="C46" s="3" t="str">
        <f>[2]!thsiFinD("ths_fund_short_name_fund",B46)</f>
        <v>宏利复兴伟业混合A</v>
      </c>
      <c r="D46" s="4">
        <v>0.01</v>
      </c>
      <c r="F46" t="s">
        <v>66</v>
      </c>
      <c r="G46" s="8">
        <v>46191</v>
      </c>
    </row>
    <row r="47" spans="1:7" ht="26" customHeight="1" x14ac:dyDescent="0.25">
      <c r="A47" s="7"/>
      <c r="B47" s="2" t="s">
        <v>28</v>
      </c>
      <c r="C47" s="3" t="str">
        <f>[2]!thsiFinD("ths_fund_short_name_fund",B47)</f>
        <v>博道沪深300指数增强A</v>
      </c>
      <c r="D47" s="4">
        <v>1.2500000000000001E-2</v>
      </c>
      <c r="F47" t="s">
        <v>63</v>
      </c>
      <c r="G47" s="5">
        <v>5.0000000000000001E-3</v>
      </c>
    </row>
    <row r="48" spans="1:7" ht="26" customHeight="1" x14ac:dyDescent="0.25">
      <c r="A48" s="7"/>
      <c r="B48" s="2" t="s">
        <v>6</v>
      </c>
      <c r="C48" s="3" t="str">
        <f>[2]!thsiFinD("ths_fund_short_name_fund",B48)</f>
        <v>国泰中证全指通信设备ETF发起式联接A</v>
      </c>
      <c r="D48" s="4">
        <v>5.0000000000000001E-3</v>
      </c>
    </row>
    <row r="49" spans="1:7" ht="26" customHeight="1" x14ac:dyDescent="0.25">
      <c r="A49" s="7"/>
      <c r="B49" s="2" t="s">
        <v>14</v>
      </c>
      <c r="C49" s="3" t="str">
        <f>[2]!thsiFinD("ths_fund_short_name_fund",B49)</f>
        <v>银华集成电路混合A</v>
      </c>
      <c r="D49" s="4">
        <v>0.01</v>
      </c>
    </row>
    <row r="50" spans="1:7" ht="26" customHeight="1" x14ac:dyDescent="0.25">
      <c r="A50" s="7"/>
      <c r="B50" s="2" t="s">
        <v>30</v>
      </c>
      <c r="C50" s="3" t="str">
        <f>[2]!thsiFinD("ths_fund_short_name_fund",B50)</f>
        <v>天弘中证1000指数增强A</v>
      </c>
      <c r="D50" s="4">
        <v>1.2500000000000001E-2</v>
      </c>
    </row>
    <row r="51" spans="1:7" ht="26" customHeight="1" x14ac:dyDescent="0.25">
      <c r="A51" s="7"/>
      <c r="B51" s="2" t="s">
        <v>22</v>
      </c>
      <c r="C51" s="3" t="str">
        <f>[2]!thsiFinD("ths_fund_short_name_fund",B51)</f>
        <v>中欧中证500指数增强A</v>
      </c>
      <c r="D51" s="4">
        <v>1.2500000000000001E-2</v>
      </c>
    </row>
    <row r="52" spans="1:7" ht="26" customHeight="1" x14ac:dyDescent="0.25">
      <c r="A52" s="7"/>
      <c r="B52" s="2" t="s">
        <v>10</v>
      </c>
      <c r="C52" s="3" t="str">
        <f>[2]!thsiFinD("ths_fund_short_name_fund",B52)</f>
        <v>信澳业绩驱动混合A</v>
      </c>
      <c r="D52" s="4">
        <v>0.01</v>
      </c>
    </row>
    <row r="53" spans="1:7" ht="26" customHeight="1" x14ac:dyDescent="0.25">
      <c r="A53" s="7"/>
      <c r="B53" s="2" t="s">
        <v>12</v>
      </c>
      <c r="C53" s="3" t="str">
        <f>[2]!thsiFinD("ths_fund_short_name_fund",B53)</f>
        <v>嘉实信息产业股票发起式A</v>
      </c>
      <c r="D53" s="4">
        <v>0.01</v>
      </c>
    </row>
    <row r="54" spans="1:7" ht="26" customHeight="1" x14ac:dyDescent="0.25">
      <c r="A54" s="7"/>
      <c r="B54" s="2" t="s">
        <v>4</v>
      </c>
      <c r="C54" s="3" t="str">
        <f>[2]!thsiFinD("ths_fund_short_name_fund",B54)</f>
        <v>国泰中证半导体材料设备主题ETF发起式联接A</v>
      </c>
      <c r="D54" s="4">
        <v>5.0000000000000001E-3</v>
      </c>
    </row>
    <row r="55" spans="1:7" ht="26" customHeight="1" x14ac:dyDescent="0.25">
      <c r="A55" s="7"/>
      <c r="B55" s="2" t="s">
        <v>26</v>
      </c>
      <c r="C55" s="3" t="str">
        <f>[2]!thsiFinD("ths_fund_short_name_fund",B55)</f>
        <v>华泰柏瑞中证2000指数增强A</v>
      </c>
      <c r="D55" s="4">
        <v>1.2500000000000001E-2</v>
      </c>
    </row>
    <row r="56" spans="1:7" ht="26" customHeight="1" x14ac:dyDescent="0.25">
      <c r="A56" s="7"/>
      <c r="B56" s="2" t="s">
        <v>24</v>
      </c>
      <c r="C56" s="3" t="str">
        <f>[2]!thsiFinD("ths_fund_short_name_fund",B56)</f>
        <v>易方达中债新综合债券指数发起式(LOF)A</v>
      </c>
      <c r="D56" s="4">
        <v>0.83</v>
      </c>
    </row>
    <row r="58" spans="1:7" x14ac:dyDescent="0.25">
      <c r="B58" s="1" t="s">
        <v>18</v>
      </c>
      <c r="C58" s="1" t="s">
        <v>19</v>
      </c>
      <c r="D58" s="1" t="s">
        <v>20</v>
      </c>
    </row>
    <row r="59" spans="1:7" ht="26" customHeight="1" x14ac:dyDescent="0.25">
      <c r="A59" s="6" t="s">
        <v>40</v>
      </c>
      <c r="B59" s="2" t="s">
        <v>24</v>
      </c>
      <c r="C59" s="3" t="s">
        <v>25</v>
      </c>
      <c r="D59" s="4">
        <v>0.57999999999999996</v>
      </c>
    </row>
    <row r="60" spans="1:7" ht="26" customHeight="1" x14ac:dyDescent="0.25">
      <c r="A60" s="7"/>
      <c r="B60" s="2" t="s">
        <v>16</v>
      </c>
      <c r="C60" s="3" t="s">
        <v>17</v>
      </c>
      <c r="D60" s="4">
        <v>0.02</v>
      </c>
    </row>
    <row r="61" spans="1:7" ht="26" customHeight="1" x14ac:dyDescent="0.25">
      <c r="A61" s="7"/>
      <c r="B61" s="2" t="s">
        <v>33</v>
      </c>
      <c r="C61" s="3" t="s">
        <v>34</v>
      </c>
      <c r="D61" s="4">
        <v>0.1</v>
      </c>
      <c r="F61" t="s">
        <v>66</v>
      </c>
      <c r="G61" s="8">
        <v>46197</v>
      </c>
    </row>
    <row r="62" spans="1:7" ht="26" customHeight="1" x14ac:dyDescent="0.25">
      <c r="A62" s="7"/>
      <c r="B62" s="2" t="s">
        <v>45</v>
      </c>
      <c r="C62" s="3" t="s">
        <v>46</v>
      </c>
      <c r="D62" s="4">
        <v>0.03</v>
      </c>
      <c r="F62" t="s">
        <v>63</v>
      </c>
      <c r="G62" s="5">
        <v>1.2E-2</v>
      </c>
    </row>
    <row r="63" spans="1:7" ht="26" customHeight="1" x14ac:dyDescent="0.25">
      <c r="A63" s="7"/>
      <c r="B63" s="2" t="s">
        <v>52</v>
      </c>
      <c r="C63" s="3" t="s">
        <v>53</v>
      </c>
      <c r="D63" s="4">
        <v>0.03</v>
      </c>
    </row>
    <row r="64" spans="1:7" ht="26" customHeight="1" x14ac:dyDescent="0.25">
      <c r="A64" s="7"/>
      <c r="B64" s="2" t="s">
        <v>47</v>
      </c>
      <c r="C64" s="3" t="s">
        <v>48</v>
      </c>
      <c r="D64" s="4">
        <v>0.03</v>
      </c>
    </row>
    <row r="65" spans="1:4" ht="26" customHeight="1" x14ac:dyDescent="0.25">
      <c r="A65" s="7"/>
      <c r="B65" s="2" t="s">
        <v>43</v>
      </c>
      <c r="C65" s="3" t="s">
        <v>44</v>
      </c>
      <c r="D65" s="4">
        <v>1.4999999999999999E-2</v>
      </c>
    </row>
    <row r="66" spans="1:4" ht="26" customHeight="1" x14ac:dyDescent="0.25">
      <c r="A66" s="7"/>
      <c r="B66" s="2" t="s">
        <v>49</v>
      </c>
      <c r="C66" s="3" t="s">
        <v>50</v>
      </c>
      <c r="D66" s="4">
        <v>0.03</v>
      </c>
    </row>
    <row r="67" spans="1:4" ht="26" customHeight="1" x14ac:dyDescent="0.25">
      <c r="A67" s="7"/>
      <c r="B67" s="2" t="s">
        <v>41</v>
      </c>
      <c r="C67" s="3" t="s">
        <v>42</v>
      </c>
      <c r="D67" s="4">
        <v>1.4999999999999999E-2</v>
      </c>
    </row>
    <row r="68" spans="1:4" ht="26" customHeight="1" x14ac:dyDescent="0.25">
      <c r="A68" s="7"/>
      <c r="B68" s="2" t="s">
        <v>54</v>
      </c>
      <c r="C68" s="3" t="s">
        <v>58</v>
      </c>
      <c r="D68" s="4">
        <v>3.7500000000000006E-2</v>
      </c>
    </row>
    <row r="69" spans="1:4" ht="26" customHeight="1" x14ac:dyDescent="0.25">
      <c r="A69" s="7"/>
      <c r="B69" s="2" t="s">
        <v>55</v>
      </c>
      <c r="C69" s="3" t="s">
        <v>59</v>
      </c>
      <c r="D69" s="4">
        <v>3.7500000000000006E-2</v>
      </c>
    </row>
    <row r="70" spans="1:4" ht="26" customHeight="1" x14ac:dyDescent="0.25">
      <c r="A70" s="7"/>
      <c r="B70" s="2" t="s">
        <v>56</v>
      </c>
      <c r="C70" s="3" t="s">
        <v>60</v>
      </c>
      <c r="D70" s="4">
        <v>3.7500000000000006E-2</v>
      </c>
    </row>
    <row r="71" spans="1:4" ht="26" customHeight="1" x14ac:dyDescent="0.25">
      <c r="A71" s="7"/>
      <c r="B71" s="2" t="s">
        <v>57</v>
      </c>
      <c r="C71" s="3" t="s">
        <v>61</v>
      </c>
      <c r="D71" s="4">
        <v>3.7500000000000006E-2</v>
      </c>
    </row>
  </sheetData>
  <mergeCells count="6">
    <mergeCell ref="A29:A41"/>
    <mergeCell ref="A20:A26"/>
    <mergeCell ref="A2:A8"/>
    <mergeCell ref="A59:A71"/>
    <mergeCell ref="A11:A17"/>
    <mergeCell ref="A44:A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模拟</vt:lpstr>
      <vt:lpstr>实盘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2026-06-16T00:44:18Z</dcterms:created>
  <dcterms:modified xsi:type="dcterms:W3CDTF">2026-06-25T05:05:23Z</dcterms:modified>
</cp:coreProperties>
</file>