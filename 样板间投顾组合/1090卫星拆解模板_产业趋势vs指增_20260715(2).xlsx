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ixin\样板间投顾+增值组合\"/>
    </mc:Choice>
  </mc:AlternateContent>
  <bookViews>
    <workbookView xWindow="0" yWindow="0" windowWidth="4090" windowHeight="5890" tabRatio="745" activeTab="2"/>
  </bookViews>
  <sheets>
    <sheet name="①配置与权重" sheetId="1" r:id="rId1"/>
    <sheet name="②净值-iFinD" sheetId="2" r:id="rId2"/>
    <sheet name="③组合计算" sheetId="3" r:id="rId3"/>
    <sheet name="④看板与走势图" sheetId="4" r:id="rId4"/>
  </sheets>
  <externalReferences>
    <externalReference r:id="rId5"/>
  </externalReferences>
  <calcPr calcId="152511"/>
</workbook>
</file>

<file path=xl/calcChain.xml><?xml version="1.0" encoding="utf-8"?>
<calcChain xmlns="http://schemas.openxmlformats.org/spreadsheetml/2006/main">
  <c r="F22" i="3" l="1"/>
  <c r="K22" i="3"/>
  <c r="V12" i="3"/>
  <c r="R12" i="3"/>
  <c r="O22" i="3" l="1"/>
  <c r="N22" i="3"/>
  <c r="O21" i="3"/>
  <c r="N21" i="3"/>
  <c r="O20" i="3"/>
  <c r="N20" i="3"/>
  <c r="O19" i="3"/>
  <c r="N19" i="3"/>
  <c r="O18" i="3"/>
  <c r="N18" i="3"/>
  <c r="O17" i="3"/>
  <c r="N17" i="3"/>
  <c r="O16" i="3"/>
  <c r="N16" i="3"/>
  <c r="O15" i="3"/>
  <c r="N15" i="3"/>
  <c r="O14" i="3"/>
  <c r="N14" i="3"/>
  <c r="O13" i="3"/>
  <c r="N13" i="3"/>
  <c r="O12" i="3"/>
  <c r="N12" i="3"/>
  <c r="O11" i="3"/>
  <c r="N11" i="3"/>
  <c r="O10" i="3"/>
  <c r="N10" i="3"/>
  <c r="O9" i="3"/>
  <c r="N9" i="3"/>
  <c r="O8" i="3"/>
  <c r="N8" i="3"/>
  <c r="O7" i="3"/>
  <c r="N7" i="3"/>
  <c r="O6" i="3"/>
  <c r="N6" i="3"/>
  <c r="O5" i="3"/>
  <c r="N5" i="3"/>
  <c r="A22" i="2"/>
  <c r="A21" i="2"/>
  <c r="A20" i="2"/>
  <c r="A20" i="3" s="1"/>
  <c r="Y20" i="3" s="1"/>
  <c r="A19" i="2"/>
  <c r="A18" i="2"/>
  <c r="A18" i="3" s="1"/>
  <c r="Y18" i="3" s="1"/>
  <c r="A17" i="2"/>
  <c r="A16" i="2"/>
  <c r="A15" i="2"/>
  <c r="A14" i="2"/>
  <c r="A13" i="2"/>
  <c r="A12" i="2"/>
  <c r="A12" i="3" s="1"/>
  <c r="Y12" i="3" s="1"/>
  <c r="A11" i="2"/>
  <c r="A10" i="2"/>
  <c r="A10" i="3" s="1"/>
  <c r="Y10" i="3" s="1"/>
  <c r="A9" i="2"/>
  <c r="A8" i="2"/>
  <c r="A7" i="2"/>
  <c r="A6" i="2"/>
  <c r="A5" i="2"/>
  <c r="L3" i="2"/>
  <c r="L3" i="3" s="1"/>
  <c r="K3" i="2"/>
  <c r="K3" i="3" s="1"/>
  <c r="J3" i="2"/>
  <c r="J3" i="3" s="1"/>
  <c r="I3" i="2"/>
  <c r="I3" i="3" s="1"/>
  <c r="H3" i="2"/>
  <c r="H3" i="3" s="1"/>
  <c r="G3" i="2"/>
  <c r="G3" i="3" s="1"/>
  <c r="F3" i="2"/>
  <c r="F3" i="3" s="1"/>
  <c r="E3" i="2"/>
  <c r="E3" i="3" s="1"/>
  <c r="D3" i="2"/>
  <c r="D3" i="3" s="1"/>
  <c r="C3" i="2"/>
  <c r="C3" i="3" s="1"/>
  <c r="B3" i="2"/>
  <c r="B3" i="3" s="1"/>
  <c r="B2" i="2"/>
  <c r="E9" i="1"/>
  <c r="F9" i="1"/>
  <c r="K12" i="2"/>
  <c r="K8" i="2"/>
  <c r="I19" i="2"/>
  <c r="L9" i="1"/>
  <c r="B9" i="1"/>
  <c r="E20" i="2"/>
  <c r="K14" i="2"/>
  <c r="I11" i="2"/>
  <c r="D9" i="1"/>
  <c r="I21" i="2"/>
  <c r="E16" i="2"/>
  <c r="E22" i="2"/>
  <c r="I7" i="2"/>
  <c r="G9" i="1"/>
  <c r="K9" i="1"/>
  <c r="I17" i="2"/>
  <c r="E12" i="2"/>
  <c r="E18" i="2"/>
  <c r="I15" i="2"/>
  <c r="C9" i="1"/>
  <c r="I13" i="2"/>
  <c r="E8" i="2"/>
  <c r="E14" i="2"/>
  <c r="K16" i="2"/>
  <c r="J9" i="1"/>
  <c r="I9" i="2"/>
  <c r="K6" i="2"/>
  <c r="E10" i="2"/>
  <c r="K22" i="2"/>
  <c r="I9" i="1"/>
  <c r="I5" i="2"/>
  <c r="K20" i="2"/>
  <c r="E6" i="2"/>
  <c r="H9" i="1"/>
  <c r="G13" i="1" l="1"/>
  <c r="G4" i="2"/>
  <c r="G4" i="3" s="1"/>
  <c r="B13" i="1"/>
  <c r="B4" i="2"/>
  <c r="B4" i="3" s="1"/>
  <c r="F13" i="1"/>
  <c r="F4" i="2"/>
  <c r="F4" i="3" s="1"/>
  <c r="H13" i="1"/>
  <c r="H4" i="2"/>
  <c r="H4" i="3" s="1"/>
  <c r="I13" i="1"/>
  <c r="I4" i="2"/>
  <c r="I4" i="3" s="1"/>
  <c r="J13" i="1"/>
  <c r="J4" i="2"/>
  <c r="J4" i="3" s="1"/>
  <c r="C4" i="2"/>
  <c r="C4" i="3" s="1"/>
  <c r="C13" i="1"/>
  <c r="K4" i="2"/>
  <c r="K4" i="3" s="1"/>
  <c r="K13" i="1"/>
  <c r="D4" i="2"/>
  <c r="D4" i="3" s="1"/>
  <c r="D13" i="1"/>
  <c r="L4" i="2"/>
  <c r="L4" i="3" s="1"/>
  <c r="L13" i="1"/>
  <c r="E13" i="1"/>
  <c r="E4" i="2"/>
  <c r="E4" i="3" s="1"/>
  <c r="A15" i="3"/>
  <c r="Y15" i="3" s="1"/>
  <c r="A7" i="3"/>
  <c r="Y7" i="3" s="1"/>
  <c r="A11" i="3"/>
  <c r="Y11" i="3" s="1"/>
  <c r="A19" i="3"/>
  <c r="Y19" i="3" s="1"/>
  <c r="A5" i="3"/>
  <c r="Y5" i="3" s="1"/>
  <c r="A9" i="3"/>
  <c r="Y9" i="3" s="1"/>
  <c r="A13" i="3"/>
  <c r="Y13" i="3" s="1"/>
  <c r="A17" i="3"/>
  <c r="Y17" i="3" s="1"/>
  <c r="A21" i="3"/>
  <c r="Y21" i="3" s="1"/>
  <c r="A6" i="3"/>
  <c r="Y6" i="3" s="1"/>
  <c r="A14" i="3"/>
  <c r="Y14" i="3" s="1"/>
  <c r="A22" i="3"/>
  <c r="Y22" i="3" s="1"/>
  <c r="A8" i="3"/>
  <c r="Y8" i="3" s="1"/>
  <c r="A16" i="3"/>
  <c r="Y16" i="3" s="1"/>
  <c r="L11" i="2"/>
  <c r="F21" i="2"/>
  <c r="I20" i="2"/>
  <c r="D6" i="2"/>
  <c r="J10" i="2"/>
  <c r="G7" i="2"/>
  <c r="K9" i="2"/>
  <c r="G18" i="2"/>
  <c r="G5" i="2"/>
  <c r="D16" i="2"/>
  <c r="C14" i="2"/>
  <c r="G11" i="2"/>
  <c r="K21" i="2"/>
  <c r="D20" i="2"/>
  <c r="B11" i="2"/>
  <c r="C21" i="2"/>
  <c r="J14" i="2"/>
  <c r="G12" i="2"/>
  <c r="H11" i="2"/>
  <c r="J21" i="2"/>
  <c r="B16" i="2"/>
  <c r="F14" i="2"/>
  <c r="H21" i="2"/>
  <c r="D14" i="2"/>
  <c r="J18" i="2"/>
  <c r="F13" i="2"/>
  <c r="B5" i="2"/>
  <c r="G6" i="2"/>
  <c r="I18" i="2"/>
  <c r="F19" i="2"/>
  <c r="B19" i="2"/>
  <c r="L12" i="2"/>
  <c r="B18" i="2"/>
  <c r="D22" i="2"/>
  <c r="K10" i="2"/>
  <c r="D11" i="2"/>
  <c r="H13" i="2"/>
  <c r="C12" i="2"/>
  <c r="C9" i="2"/>
  <c r="F22" i="2"/>
  <c r="H14" i="2"/>
  <c r="D19" i="2"/>
  <c r="L16" i="2"/>
  <c r="J8" i="2"/>
  <c r="E5" i="2"/>
  <c r="D18" i="2"/>
  <c r="C18" i="2"/>
  <c r="J16" i="2"/>
  <c r="L5" i="2"/>
  <c r="L18" i="2"/>
  <c r="K18" i="2"/>
  <c r="J19" i="2"/>
  <c r="H12" i="2"/>
  <c r="G22" i="2"/>
  <c r="G8" i="2"/>
  <c r="B9" i="2"/>
  <c r="K19" i="2"/>
  <c r="C8" i="2"/>
  <c r="K5" i="2"/>
  <c r="L20" i="2"/>
  <c r="C10" i="2"/>
  <c r="F18" i="2"/>
  <c r="K11" i="2"/>
  <c r="E19" i="2"/>
  <c r="D15" i="2"/>
  <c r="K15" i="2"/>
  <c r="E13" i="2"/>
  <c r="G20" i="2"/>
  <c r="B14" i="2"/>
  <c r="F5" i="2"/>
  <c r="F8" i="2"/>
  <c r="C20" i="2"/>
  <c r="G9" i="2"/>
  <c r="F10" i="2"/>
  <c r="G19" i="2"/>
  <c r="B12" i="2"/>
  <c r="F9" i="2"/>
  <c r="F12" i="2"/>
  <c r="H5" i="2"/>
  <c r="J9" i="2"/>
  <c r="G15" i="2"/>
  <c r="E9" i="2"/>
  <c r="J22" i="2"/>
  <c r="L9" i="2"/>
  <c r="F16" i="2"/>
  <c r="C22" i="2"/>
  <c r="G16" i="2"/>
  <c r="L6" i="2"/>
  <c r="H19" i="2"/>
  <c r="F7" i="2"/>
  <c r="E7" i="2"/>
  <c r="G17" i="2"/>
  <c r="C16" i="2"/>
  <c r="B20" i="2"/>
  <c r="D5" i="2"/>
  <c r="G10" i="2"/>
  <c r="D10" i="2"/>
  <c r="E15" i="2"/>
  <c r="G13" i="2"/>
  <c r="G14" i="2"/>
  <c r="B13" i="2"/>
  <c r="H8" i="2"/>
  <c r="F20" i="2"/>
  <c r="C5" i="2"/>
  <c r="L21" i="2"/>
  <c r="H7" i="2"/>
  <c r="J17" i="2"/>
  <c r="I10" i="2"/>
  <c r="B21" i="2"/>
  <c r="L13" i="2"/>
  <c r="I12" i="2"/>
  <c r="J15" i="2"/>
  <c r="D13" i="2"/>
  <c r="H16" i="2"/>
  <c r="H9" i="2"/>
  <c r="B15" i="2"/>
  <c r="K13" i="2"/>
  <c r="H18" i="2"/>
  <c r="C13" i="2"/>
  <c r="C15" i="2"/>
  <c r="D7" i="2"/>
  <c r="I14" i="2"/>
  <c r="K7" i="2"/>
  <c r="I16" i="2"/>
  <c r="J11" i="2"/>
  <c r="C19" i="2"/>
  <c r="H15" i="2"/>
  <c r="J13" i="2"/>
  <c r="H6" i="2"/>
  <c r="C17" i="2"/>
  <c r="I6" i="2"/>
  <c r="H10" i="2"/>
  <c r="D9" i="2"/>
  <c r="L14" i="2"/>
  <c r="C11" i="2"/>
  <c r="D21" i="2"/>
  <c r="J12" i="2"/>
  <c r="F17" i="2"/>
  <c r="B6" i="2"/>
  <c r="E17" i="2"/>
  <c r="D17" i="2"/>
  <c r="L17" i="2"/>
  <c r="F15" i="2"/>
  <c r="H20" i="2"/>
  <c r="C6" i="2"/>
  <c r="J7" i="2"/>
  <c r="K17" i="2"/>
  <c r="H22" i="2"/>
  <c r="E21" i="2"/>
  <c r="I22" i="2"/>
  <c r="L15" i="2"/>
  <c r="J5" i="2"/>
  <c r="L22" i="2"/>
  <c r="L19" i="2"/>
  <c r="D8" i="2"/>
  <c r="J20" i="2"/>
  <c r="L7" i="2"/>
  <c r="B17" i="2"/>
  <c r="B22" i="2"/>
  <c r="F11" i="2"/>
  <c r="H17" i="2"/>
  <c r="J6" i="2"/>
  <c r="D12" i="2"/>
  <c r="E11" i="2"/>
  <c r="G21" i="2"/>
  <c r="B8" i="2"/>
  <c r="C7" i="2"/>
  <c r="B10" i="2"/>
  <c r="B7" i="2"/>
  <c r="I8" i="2"/>
  <c r="F6" i="2"/>
  <c r="L8" i="2"/>
  <c r="L10" i="2"/>
  <c r="G22" i="3" l="1"/>
  <c r="C8" i="3"/>
  <c r="F14" i="3"/>
  <c r="C7" i="3"/>
  <c r="F15" i="3"/>
  <c r="C13" i="3"/>
  <c r="E9" i="3"/>
  <c r="E10" i="3"/>
  <c r="J19" i="3"/>
  <c r="K18" i="3"/>
  <c r="C6" i="3"/>
  <c r="B16" i="3"/>
  <c r="B8" i="3"/>
  <c r="I16" i="3"/>
  <c r="I17" i="3"/>
  <c r="H18" i="3"/>
  <c r="G10" i="3"/>
  <c r="F12" i="3"/>
  <c r="L18" i="3"/>
  <c r="L10" i="3"/>
  <c r="J21" i="3"/>
  <c r="G21" i="3"/>
  <c r="L17" i="3"/>
  <c r="K13" i="3"/>
  <c r="K14" i="3"/>
  <c r="B9" i="3"/>
  <c r="F9" i="3"/>
  <c r="C19" i="3"/>
  <c r="H11" i="3"/>
  <c r="E11" i="3"/>
  <c r="E12" i="3"/>
  <c r="K7" i="3"/>
  <c r="K8" i="3"/>
  <c r="B15" i="3"/>
  <c r="G15" i="3"/>
  <c r="B12" i="3"/>
  <c r="J16" i="3"/>
  <c r="I18" i="3"/>
  <c r="I19" i="3"/>
  <c r="G12" i="3"/>
  <c r="D12" i="3"/>
  <c r="D17" i="3"/>
  <c r="H9" i="3"/>
  <c r="G19" i="3"/>
  <c r="C18" i="3"/>
  <c r="J22" i="3"/>
  <c r="J14" i="3"/>
  <c r="J6" i="3"/>
  <c r="I14" i="3"/>
  <c r="I15" i="3"/>
  <c r="H16" i="3"/>
  <c r="G8" i="3"/>
  <c r="F10" i="3"/>
  <c r="D18" i="3"/>
  <c r="D10" i="3"/>
  <c r="C21" i="3"/>
  <c r="H17" i="3"/>
  <c r="E17" i="3"/>
  <c r="E18" i="3"/>
  <c r="D13" i="3"/>
  <c r="J9" i="3"/>
  <c r="G9" i="3"/>
  <c r="E6" i="3"/>
  <c r="K19" i="3"/>
  <c r="K20" i="3"/>
  <c r="B11" i="3"/>
  <c r="F11" i="3"/>
  <c r="D7" i="3"/>
  <c r="J15" i="3"/>
  <c r="B20" i="3"/>
  <c r="C20" i="3"/>
  <c r="J8" i="3"/>
  <c r="H20" i="3"/>
  <c r="D20" i="3"/>
  <c r="B22" i="3"/>
  <c r="B6" i="3"/>
  <c r="I12" i="3"/>
  <c r="I13" i="3"/>
  <c r="F8" i="3"/>
  <c r="L16" i="3"/>
  <c r="L8" i="3"/>
  <c r="K21" i="3"/>
  <c r="B17" i="3"/>
  <c r="F17" i="3"/>
  <c r="L13" i="3"/>
  <c r="D19" i="3"/>
  <c r="J11" i="3"/>
  <c r="G11" i="3"/>
  <c r="L7" i="3"/>
  <c r="C15" i="3"/>
  <c r="B21" i="3"/>
  <c r="C16" i="3"/>
  <c r="B14" i="3"/>
  <c r="H14" i="3"/>
  <c r="G6" i="3"/>
  <c r="C14" i="3"/>
  <c r="J20" i="3"/>
  <c r="J12" i="3"/>
  <c r="I10" i="3"/>
  <c r="I11" i="3"/>
  <c r="H12" i="3"/>
  <c r="G20" i="3"/>
  <c r="F6" i="3"/>
  <c r="D16" i="3"/>
  <c r="D8" i="3"/>
  <c r="D21" i="3"/>
  <c r="J17" i="3"/>
  <c r="G17" i="3"/>
  <c r="E13" i="3"/>
  <c r="E14" i="3"/>
  <c r="C9" i="3"/>
  <c r="L19" i="3"/>
  <c r="C11" i="3"/>
  <c r="H7" i="3"/>
  <c r="E7" i="3"/>
  <c r="E8" i="3"/>
  <c r="K15" i="3"/>
  <c r="K16" i="3"/>
  <c r="C12" i="3"/>
  <c r="I8" i="3"/>
  <c r="I9" i="3"/>
  <c r="G18" i="3"/>
  <c r="L22" i="3"/>
  <c r="L14" i="3"/>
  <c r="L21" i="3"/>
  <c r="F7" i="3"/>
  <c r="D15" i="3"/>
  <c r="H13" i="3"/>
  <c r="F13" i="3"/>
  <c r="K9" i="3"/>
  <c r="D9" i="3"/>
  <c r="H19" i="3"/>
  <c r="E19" i="3"/>
  <c r="E20" i="3"/>
  <c r="D11" i="3"/>
  <c r="B7" i="3"/>
  <c r="G7" i="3"/>
  <c r="L15" i="3"/>
  <c r="H10" i="3"/>
  <c r="F20" i="3"/>
  <c r="L6" i="3"/>
  <c r="K11" i="3"/>
  <c r="K12" i="3"/>
  <c r="K10" i="3"/>
  <c r="J18" i="3"/>
  <c r="J10" i="3"/>
  <c r="I22" i="3"/>
  <c r="I6" i="3"/>
  <c r="I7" i="3"/>
  <c r="H8" i="3"/>
  <c r="G16" i="3"/>
  <c r="F18" i="3"/>
  <c r="D22" i="3"/>
  <c r="D14" i="3"/>
  <c r="D6" i="3"/>
  <c r="E21" i="3"/>
  <c r="E22" i="3"/>
  <c r="C17" i="3"/>
  <c r="B13" i="3"/>
  <c r="C22" i="3"/>
  <c r="C10" i="3"/>
  <c r="B18" i="3"/>
  <c r="B10" i="3"/>
  <c r="I20" i="3"/>
  <c r="I21" i="3"/>
  <c r="H22" i="3"/>
  <c r="H6" i="3"/>
  <c r="G14" i="3"/>
  <c r="F16" i="3"/>
  <c r="L20" i="3"/>
  <c r="L12" i="3"/>
  <c r="H21" i="3"/>
  <c r="F21" i="3"/>
  <c r="K17" i="3"/>
  <c r="J13" i="3"/>
  <c r="G13" i="3"/>
  <c r="L9" i="3"/>
  <c r="K6" i="3"/>
  <c r="B19" i="3"/>
  <c r="F19" i="3"/>
  <c r="L11" i="3"/>
  <c r="J7" i="3"/>
  <c r="H15" i="3"/>
  <c r="E15" i="3"/>
  <c r="E16" i="3"/>
  <c r="U22" i="3" l="1"/>
  <c r="D16" i="4" s="1"/>
  <c r="U18" i="3"/>
  <c r="U20" i="3"/>
  <c r="U6" i="3"/>
  <c r="Q14" i="3"/>
  <c r="U19" i="3"/>
  <c r="Q18" i="3"/>
  <c r="Q10" i="3"/>
  <c r="U11" i="3"/>
  <c r="U8" i="3"/>
  <c r="U16" i="3"/>
  <c r="Q21" i="3"/>
  <c r="Q7" i="3"/>
  <c r="Q13" i="3"/>
  <c r="Q11" i="3"/>
  <c r="U15" i="3"/>
  <c r="Q15" i="3"/>
  <c r="Q9" i="3"/>
  <c r="U14" i="3"/>
  <c r="U10" i="3"/>
  <c r="Q22" i="3"/>
  <c r="U21" i="3"/>
  <c r="U7" i="3"/>
  <c r="U17" i="3"/>
  <c r="Q19" i="3"/>
  <c r="U13" i="3"/>
  <c r="Q17" i="3"/>
  <c r="Q8" i="3"/>
  <c r="U9" i="3"/>
  <c r="Q6" i="3"/>
  <c r="Q12" i="3"/>
  <c r="Q16" i="3"/>
  <c r="Q20" i="3"/>
  <c r="V6" i="3"/>
  <c r="U12" i="3"/>
  <c r="D15" i="4" l="1"/>
  <c r="D14" i="4"/>
  <c r="D10" i="4"/>
  <c r="C16" i="4"/>
  <c r="C15" i="4"/>
  <c r="C14" i="4"/>
  <c r="C10" i="4"/>
  <c r="R6" i="3"/>
  <c r="W6" i="3"/>
  <c r="V7" i="3"/>
  <c r="V8" i="3" l="1"/>
  <c r="W7" i="3"/>
  <c r="R7" i="3"/>
  <c r="S6" i="3"/>
  <c r="V9" i="3" l="1"/>
  <c r="W8" i="3"/>
  <c r="R8" i="3"/>
  <c r="S7" i="3"/>
  <c r="S8" i="3" l="1"/>
  <c r="R9" i="3"/>
  <c r="W9" i="3"/>
  <c r="V10" i="3"/>
  <c r="V11" i="3" l="1"/>
  <c r="W10" i="3"/>
  <c r="R10" i="3"/>
  <c r="S9" i="3"/>
  <c r="S10" i="3" l="1"/>
  <c r="R11" i="3"/>
  <c r="W11" i="3"/>
  <c r="W12" i="3" l="1"/>
  <c r="V13" i="3"/>
  <c r="S11" i="3"/>
  <c r="W13" i="3" l="1"/>
  <c r="V14" i="3"/>
  <c r="R13" i="3"/>
  <c r="S12" i="3"/>
  <c r="W14" i="3" l="1"/>
  <c r="V15" i="3"/>
  <c r="V16" i="3" s="1"/>
  <c r="S13" i="3"/>
  <c r="R14" i="3"/>
  <c r="W15" i="3" l="1"/>
  <c r="R15" i="3"/>
  <c r="R16" i="3" s="1"/>
  <c r="S14" i="3"/>
  <c r="S15" i="3" l="1"/>
  <c r="V17" i="3"/>
  <c r="W16" i="3"/>
  <c r="V18" i="3" l="1"/>
  <c r="W17" i="3"/>
  <c r="R17" i="3"/>
  <c r="S16" i="3"/>
  <c r="R18" i="3" l="1"/>
  <c r="S17" i="3"/>
  <c r="V19" i="3"/>
  <c r="W18" i="3"/>
  <c r="W19" i="3" l="1"/>
  <c r="V20" i="3"/>
  <c r="S18" i="3"/>
  <c r="R19" i="3"/>
  <c r="S19" i="3" l="1"/>
  <c r="R20" i="3"/>
  <c r="W20" i="3"/>
  <c r="V21" i="3"/>
  <c r="V22" i="3" l="1"/>
  <c r="W21" i="3"/>
  <c r="D8" i="4"/>
  <c r="R21" i="3"/>
  <c r="S20" i="3"/>
  <c r="D11" i="4"/>
  <c r="D7" i="4"/>
  <c r="S21" i="3" l="1"/>
  <c r="R22" i="3"/>
  <c r="C9" i="4" s="1"/>
  <c r="C7" i="4"/>
  <c r="W22" i="3"/>
  <c r="D12" i="4" s="1"/>
  <c r="D9" i="4"/>
  <c r="D6" i="4"/>
  <c r="D5" i="4"/>
  <c r="D13" i="4"/>
  <c r="S22" i="3" l="1"/>
  <c r="C12" i="4" s="1"/>
  <c r="C13" i="4"/>
  <c r="C6" i="4"/>
  <c r="C8" i="4"/>
  <c r="C5" i="4"/>
  <c r="C11" i="4"/>
</calcChain>
</file>

<file path=xl/sharedStrings.xml><?xml version="1.0" encoding="utf-8"?>
<sst xmlns="http://schemas.openxmlformats.org/spreadsheetml/2006/main" count="69" uniqueCount="56">
  <si>
    <t>1090 账户 · 卫星(10部分)拆解 — 产业趋势 vs 指增 · 配置与每日权重</t>
  </si>
  <si>
    <t>口径：取 1090 账户「10部分」11 只权益基金的每日实际持仓权重，按【产业趋势 / 指增】分两组、组内归一化到 100%，用前一日权重×当日 iFinD 复权净值收益逐日累乘成净值（买入持有，起点=1，费前）。橙色单元格可手改；净值数据源=同花顺 iFinD 复权单位净值。</t>
  </si>
  <si>
    <t>建仓基准日</t>
  </si>
  <si>
    <t>无风险利率(年化)</t>
  </si>
  <si>
    <t>年化交易日数</t>
  </si>
  <si>
    <t>初始资金(万元)</t>
  </si>
  <si>
    <t>基金定义</t>
  </si>
  <si>
    <t>序号</t>
  </si>
  <si>
    <t>基金代码</t>
  </si>
  <si>
    <t>019632</t>
  </si>
  <si>
    <t>007817</t>
  </si>
  <si>
    <t>001170</t>
  </si>
  <si>
    <t>017488</t>
  </si>
  <si>
    <t>016370</t>
  </si>
  <si>
    <t>013840</t>
  </si>
  <si>
    <t>162214</t>
  </si>
  <si>
    <t>007044</t>
  </si>
  <si>
    <t>015453</t>
  </si>
  <si>
    <t>014201</t>
  </si>
  <si>
    <t>019923</t>
  </si>
  <si>
    <t>基金简称(iFinD)</t>
  </si>
  <si>
    <t>所属组合</t>
  </si>
  <si>
    <t>产业趋势</t>
  </si>
  <si>
    <t>指增</t>
  </si>
  <si>
    <t>每日持仓权重矩阵（占 1090 账户净值比例；宏利领先中小盘 07-02 调入，之前=0）</t>
  </si>
  <si>
    <t>日期＼基金</t>
  </si>
  <si>
    <t>复权单位净值 · iFinD 自动刷新（打开后按 iFinD 加载项刷新）</t>
  </si>
  <si>
    <t>最后刷新：</t>
  </si>
  <si>
    <t>基金简称</t>
  </si>
  <si>
    <t>组合计算 · 组内权重归一化 + 前一日权重×当日净值收益 逐日累乘（买入持有，起点=1）</t>
  </si>
  <si>
    <t>日收益＼日期</t>
  </si>
  <si>
    <t>产业·权重和</t>
  </si>
  <si>
    <t>指增·权重和</t>
  </si>
  <si>
    <t>产业·日涨跌</t>
  </si>
  <si>
    <t>产业·净值</t>
  </si>
  <si>
    <t>产业·回撤</t>
  </si>
  <si>
    <t>指增·日涨跌</t>
  </si>
  <si>
    <t>指增·净值</t>
  </si>
  <si>
    <t>指增·回撤</t>
  </si>
  <si>
    <t>日期标签</t>
  </si>
  <si>
    <t>1090 卫星拆解看板 · 产业趋势 vs 指增（成立以来 2026-06-18 起，费前）</t>
  </si>
  <si>
    <t>净值=组内权重归一化、买入持有、起点=1。带 * 指标为年化外推，样本仅 18 个交易日，仅作参考。</t>
  </si>
  <si>
    <t>绩效指标</t>
  </si>
  <si>
    <t>最新净值</t>
  </si>
  <si>
    <t>成立以来累计收益</t>
  </si>
  <si>
    <t>期末资金(万元)</t>
  </si>
  <si>
    <t>累计盈亏(万元)</t>
  </si>
  <si>
    <t>年化收益 *</t>
  </si>
  <si>
    <t>年化波动率 *</t>
  </si>
  <si>
    <t>夏普比率 *</t>
  </si>
  <si>
    <t>最大回撤</t>
  </si>
  <si>
    <t>卡玛比率 *</t>
  </si>
  <si>
    <t>区间最好单日</t>
  </si>
  <si>
    <t>区间最差单日</t>
  </si>
  <si>
    <t>上涨天数占比</t>
  </si>
  <si>
    <t>* 年化取①参数：年化交易日数=250、无风险利率见①!E4；样本过短，年化/夏普/卡玛仅供参考。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</si>
</sst>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76" formatCode="0.0%"/>
    <numFmt numFmtId="177" formatCode="yyyy\-mm\-dd"/>
    <numFmt numFmtId="178" formatCode="0.0000"/>
    <numFmt numFmtId="179" formatCode="0.000%"/>
    <numFmt numFmtId="180" formatCode="mm\-dd"/>
    <numFmt numFmtId="181" formatCode="0.0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3"/>
      <color rgb="FF1F3864"/>
      <name val="微软雅黑"/>
      <family val="2"/>
      <charset val="134"/>
    </font>
    <font>
      <sz val="8"/>
      <color rgb="FF808080"/>
      <name val="微软雅黑"/>
      <family val="2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sz val="10"/>
      <name val="Consolas"/>
      <family val="3"/>
    </font>
    <font>
      <b/>
      <sz val="10"/>
      <color rgb="FFFFFFFF"/>
      <name val="微软雅黑"/>
      <family val="2"/>
      <charset val="134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C55A11"/>
      </patternFill>
    </fill>
    <fill>
      <patternFill patternType="solid">
        <fgColor rgb="FFD6E0F0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2E5496"/>
      </patternFill>
    </fill>
    <fill>
      <patternFill patternType="solid">
        <fgColor rgb="FF7F7F7F"/>
      </patternFill>
    </fill>
    <fill>
      <patternFill patternType="solid">
        <fgColor rgb="FF54823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/>
    <xf numFmtId="0" fontId="2" fillId="0" borderId="0" xfId="0" applyFont="1"/>
    <xf numFmtId="0" fontId="4" fillId="0" borderId="0" xfId="0" applyFont="1"/>
    <xf numFmtId="0" fontId="4" fillId="7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wrapText="1"/>
    </xf>
    <xf numFmtId="0" fontId="5" fillId="8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wrapText="1"/>
    </xf>
    <xf numFmtId="0" fontId="3" fillId="0" borderId="0" xfId="0" applyFont="1"/>
    <xf numFmtId="177" fontId="3" fillId="0" borderId="0" xfId="0" applyNumberFormat="1" applyFont="1"/>
    <xf numFmtId="0" fontId="7" fillId="2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center" wrapText="1"/>
    </xf>
    <xf numFmtId="0" fontId="7" fillId="10" borderId="1" xfId="0" applyFont="1" applyFill="1" applyBorder="1" applyAlignment="1">
      <alignment horizontal="center" wrapText="1"/>
    </xf>
    <xf numFmtId="0" fontId="4" fillId="6" borderId="1" xfId="0" applyFont="1" applyFill="1" applyBorder="1" applyAlignment="1">
      <alignment horizontal="center" vertical="center"/>
    </xf>
    <xf numFmtId="177" fontId="5" fillId="3" borderId="1" xfId="0" applyNumberFormat="1" applyFont="1" applyFill="1" applyBorder="1" applyAlignment="1">
      <alignment horizontal="center" vertical="center"/>
    </xf>
    <xf numFmtId="176" fontId="5" fillId="3" borderId="1" xfId="0" applyNumberFormat="1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80" fontId="5" fillId="0" borderId="1" xfId="0" applyNumberFormat="1" applyFont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10" fontId="5" fillId="4" borderId="1" xfId="0" applyNumberFormat="1" applyFont="1" applyFill="1" applyBorder="1" applyAlignment="1">
      <alignment horizontal="center" vertical="center"/>
    </xf>
    <xf numFmtId="178" fontId="5" fillId="4" borderId="1" xfId="0" applyNumberFormat="1" applyFont="1" applyFill="1" applyBorder="1" applyAlignment="1">
      <alignment horizontal="center" vertical="center"/>
    </xf>
    <xf numFmtId="10" fontId="5" fillId="8" borderId="1" xfId="0" applyNumberFormat="1" applyFont="1" applyFill="1" applyBorder="1" applyAlignment="1">
      <alignment horizontal="center" vertical="center"/>
    </xf>
    <xf numFmtId="178" fontId="5" fillId="8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181" fontId="5" fillId="4" borderId="1" xfId="0" applyNumberFormat="1" applyFont="1" applyFill="1" applyBorder="1" applyAlignment="1">
      <alignment horizontal="center" vertical="center"/>
    </xf>
    <xf numFmtId="181" fontId="5" fillId="8" borderId="1" xfId="0" applyNumberFormat="1" applyFont="1" applyFill="1" applyBorder="1" applyAlignment="1">
      <alignment horizontal="center" vertical="center"/>
    </xf>
    <xf numFmtId="2" fontId="5" fillId="4" borderId="1" xfId="0" applyNumberFormat="1" applyFont="1" applyFill="1" applyBorder="1" applyAlignment="1">
      <alignment horizontal="center" vertical="center"/>
    </xf>
    <xf numFmtId="2" fontId="5" fillId="8" borderId="1" xfId="0" applyNumberFormat="1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176" fontId="5" fillId="8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top" wrapText="1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产业趋势 </a:t>
            </a:r>
            <a:r>
              <a:rPr lang="en-US"/>
              <a:t>vs </a:t>
            </a:r>
            <a:r>
              <a:rPr lang="zh-CN" altLang="en-US"/>
              <a:t>指增 </a:t>
            </a:r>
            <a:r>
              <a:rPr lang="en-US" altLang="zh-CN"/>
              <a:t>· </a:t>
            </a:r>
            <a:r>
              <a:rPr lang="zh-CN" altLang="en-US"/>
              <a:t>净值走势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产业趋势</c:v>
          </c:tx>
          <c:spPr>
            <a:ln w="22000">
              <a:prstDash val="solid"/>
            </a:ln>
          </c:spPr>
          <c:marker>
            <c:symbol val="none"/>
          </c:marker>
          <c:cat>
            <c:strRef>
              <c:f>③组合计算!$Y$5:$Y$22</c:f>
              <c:strCache>
                <c:ptCount val="18"/>
                <c:pt idx="0">
                  <c:v>06-18</c:v>
                </c:pt>
                <c:pt idx="1">
                  <c:v>06-22</c:v>
                </c:pt>
                <c:pt idx="2">
                  <c:v>06-23</c:v>
                </c:pt>
                <c:pt idx="3">
                  <c:v>06-24</c:v>
                </c:pt>
                <c:pt idx="4">
                  <c:v>06-25</c:v>
                </c:pt>
                <c:pt idx="5">
                  <c:v>06-26</c:v>
                </c:pt>
                <c:pt idx="6">
                  <c:v>06-29</c:v>
                </c:pt>
                <c:pt idx="7">
                  <c:v>06-30</c:v>
                </c:pt>
                <c:pt idx="8">
                  <c:v>07-01</c:v>
                </c:pt>
                <c:pt idx="9">
                  <c:v>07-02</c:v>
                </c:pt>
                <c:pt idx="10">
                  <c:v>07-03</c:v>
                </c:pt>
                <c:pt idx="11">
                  <c:v>07-06</c:v>
                </c:pt>
                <c:pt idx="12">
                  <c:v>07-07</c:v>
                </c:pt>
                <c:pt idx="13">
                  <c:v>07-08</c:v>
                </c:pt>
                <c:pt idx="14">
                  <c:v>07-09</c:v>
                </c:pt>
                <c:pt idx="15">
                  <c:v>07-10</c:v>
                </c:pt>
                <c:pt idx="16">
                  <c:v>07-13</c:v>
                </c:pt>
                <c:pt idx="17">
                  <c:v>07-14</c:v>
                </c:pt>
              </c:strCache>
            </c:strRef>
          </c:cat>
          <c:val>
            <c:numRef>
              <c:f>③组合计算!$R$5:$R$22</c:f>
              <c:numCache>
                <c:formatCode>0.0000</c:formatCode>
                <c:ptCount val="18"/>
                <c:pt idx="0">
                  <c:v>1</c:v>
                </c:pt>
                <c:pt idx="1">
                  <c:v>1.0241037534180182</c:v>
                </c:pt>
                <c:pt idx="2">
                  <c:v>1.0034390221918126</c:v>
                </c:pt>
                <c:pt idx="3">
                  <c:v>1.0407066544237271</c:v>
                </c:pt>
                <c:pt idx="4">
                  <c:v>1.0758309992125201</c:v>
                </c:pt>
                <c:pt idx="5">
                  <c:v>1.0438695815104782</c:v>
                </c:pt>
                <c:pt idx="6">
                  <c:v>1.0535596587336231</c:v>
                </c:pt>
                <c:pt idx="7">
                  <c:v>1.1013209799745234</c:v>
                </c:pt>
                <c:pt idx="8">
                  <c:v>1.0660732240236772</c:v>
                </c:pt>
                <c:pt idx="9">
                  <c:v>0.97052276960591355</c:v>
                </c:pt>
                <c:pt idx="10">
                  <c:v>0.96289005978251729</c:v>
                </c:pt>
                <c:pt idx="11">
                  <c:v>0.94721985946765952</c:v>
                </c:pt>
                <c:pt idx="12">
                  <c:v>0.95553600458467502</c:v>
                </c:pt>
                <c:pt idx="13">
                  <c:v>0.96578057843757925</c:v>
                </c:pt>
                <c:pt idx="14">
                  <c:v>1.0344275836337449</c:v>
                </c:pt>
                <c:pt idx="15">
                  <c:v>0.98229160384368297</c:v>
                </c:pt>
                <c:pt idx="16">
                  <c:v>0.94462725979973217</c:v>
                </c:pt>
                <c:pt idx="17">
                  <c:v>0.97611184779374327</c:v>
                </c:pt>
              </c:numCache>
            </c:numRef>
          </c:val>
          <c:smooth val="0"/>
        </c:ser>
        <c:ser>
          <c:idx val="1"/>
          <c:order val="1"/>
          <c:tx>
            <c:v>指增</c:v>
          </c:tx>
          <c:spPr>
            <a:ln w="22000">
              <a:prstDash val="solid"/>
            </a:ln>
          </c:spPr>
          <c:marker>
            <c:symbol val="none"/>
          </c:marker>
          <c:cat>
            <c:strRef>
              <c:f>③组合计算!$Y$5:$Y$22</c:f>
              <c:strCache>
                <c:ptCount val="18"/>
                <c:pt idx="0">
                  <c:v>06-18</c:v>
                </c:pt>
                <c:pt idx="1">
                  <c:v>06-22</c:v>
                </c:pt>
                <c:pt idx="2">
                  <c:v>06-23</c:v>
                </c:pt>
                <c:pt idx="3">
                  <c:v>06-24</c:v>
                </c:pt>
                <c:pt idx="4">
                  <c:v>06-25</c:v>
                </c:pt>
                <c:pt idx="5">
                  <c:v>06-26</c:v>
                </c:pt>
                <c:pt idx="6">
                  <c:v>06-29</c:v>
                </c:pt>
                <c:pt idx="7">
                  <c:v>06-30</c:v>
                </c:pt>
                <c:pt idx="8">
                  <c:v>07-01</c:v>
                </c:pt>
                <c:pt idx="9">
                  <c:v>07-02</c:v>
                </c:pt>
                <c:pt idx="10">
                  <c:v>07-03</c:v>
                </c:pt>
                <c:pt idx="11">
                  <c:v>07-06</c:v>
                </c:pt>
                <c:pt idx="12">
                  <c:v>07-07</c:v>
                </c:pt>
                <c:pt idx="13">
                  <c:v>07-08</c:v>
                </c:pt>
                <c:pt idx="14">
                  <c:v>07-09</c:v>
                </c:pt>
                <c:pt idx="15">
                  <c:v>07-10</c:v>
                </c:pt>
                <c:pt idx="16">
                  <c:v>07-13</c:v>
                </c:pt>
                <c:pt idx="17">
                  <c:v>07-14</c:v>
                </c:pt>
              </c:strCache>
            </c:strRef>
          </c:cat>
          <c:val>
            <c:numRef>
              <c:f>③组合计算!$V$5:$V$22</c:f>
              <c:numCache>
                <c:formatCode>0.0000</c:formatCode>
                <c:ptCount val="18"/>
                <c:pt idx="0">
                  <c:v>1</c:v>
                </c:pt>
                <c:pt idx="1">
                  <c:v>1.0164513014320427</c:v>
                </c:pt>
                <c:pt idx="2">
                  <c:v>0.99937402705980749</c:v>
                </c:pt>
                <c:pt idx="3">
                  <c:v>1.0076824206928874</c:v>
                </c:pt>
                <c:pt idx="4">
                  <c:v>1.0116995112873954</c:v>
                </c:pt>
                <c:pt idx="5">
                  <c:v>0.98339936422251473</c:v>
                </c:pt>
                <c:pt idx="6">
                  <c:v>0.98667337933111676</c:v>
                </c:pt>
                <c:pt idx="7">
                  <c:v>1.005960863628877</c:v>
                </c:pt>
                <c:pt idx="8">
                  <c:v>1.0128177113183681</c:v>
                </c:pt>
                <c:pt idx="9">
                  <c:v>0.98795252392962862</c:v>
                </c:pt>
                <c:pt idx="10">
                  <c:v>0.99349596102673898</c:v>
                </c:pt>
                <c:pt idx="11">
                  <c:v>0.98541939833753922</c:v>
                </c:pt>
                <c:pt idx="12">
                  <c:v>0.96716862052596131</c:v>
                </c:pt>
                <c:pt idx="13">
                  <c:v>0.9510077472884727</c:v>
                </c:pt>
                <c:pt idx="14">
                  <c:v>0.97166079785312753</c:v>
                </c:pt>
                <c:pt idx="15">
                  <c:v>0.95959688887905825</c:v>
                </c:pt>
                <c:pt idx="16">
                  <c:v>0.91856529330984893</c:v>
                </c:pt>
                <c:pt idx="17">
                  <c:v>0.93959478012823627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327379104"/>
        <c:axId val="-1327380736"/>
      </c:lineChart>
      <c:catAx>
        <c:axId val="-1327379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-1327380736"/>
        <c:crosses val="autoZero"/>
        <c:auto val="1"/>
        <c:lblAlgn val="ctr"/>
        <c:lblOffset val="100"/>
        <c:noMultiLvlLbl val="1"/>
      </c:catAx>
      <c:valAx>
        <c:axId val="-13273807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净值</a:t>
                </a:r>
              </a:p>
            </c:rich>
          </c:tx>
          <c:layout/>
          <c:overlay val="1"/>
        </c:title>
        <c:numFmt formatCode="0.000" sourceLinked="0"/>
        <c:majorTickMark val="none"/>
        <c:minorTickMark val="none"/>
        <c:tickLblPos val="nextTo"/>
        <c:crossAx val="-1327379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83333333333333"/>
          <c:y val="0.68536461988304098"/>
          <c:w val="0.12347222222222222"/>
          <c:h val="0.1343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546100</xdr:colOff>
      <xdr:row>2</xdr:row>
      <xdr:rowOff>88900</xdr:rowOff>
    </xdr:from>
    <xdr:ext cx="7200000" cy="342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FinD/Ths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ThsFunc"/>
    </sheetNames>
    <definedNames>
      <definedName name="thsiFinD"/>
    </defined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workbookViewId="0">
      <pane xSplit="1" ySplit="13" topLeftCell="B14" activePane="bottomRight" state="frozen"/>
      <selection pane="topRight"/>
      <selection pane="bottomLeft"/>
      <selection pane="bottomRight" activeCell="B29" sqref="B29:L31"/>
    </sheetView>
  </sheetViews>
  <sheetFormatPr defaultRowHeight="14" x14ac:dyDescent="0.25"/>
  <cols>
    <col min="1" max="1" width="11" style="1" customWidth="1"/>
    <col min="2" max="2" width="10.453125" style="1" customWidth="1"/>
    <col min="3" max="3" width="15.26953125" style="1" bestFit="1" customWidth="1"/>
    <col min="4" max="12" width="10.453125" style="1" customWidth="1"/>
  </cols>
  <sheetData>
    <row r="1" spans="1:12" ht="18" x14ac:dyDescent="0.45">
      <c r="A1" s="2" t="s">
        <v>0</v>
      </c>
    </row>
    <row r="2" spans="1:12" ht="42" customHeight="1" x14ac:dyDescent="0.25">
      <c r="A2" s="40" t="s">
        <v>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4" spans="1:12" ht="14.5" x14ac:dyDescent="0.25">
      <c r="B4" s="13" t="s">
        <v>2</v>
      </c>
      <c r="C4" s="14">
        <v>46191</v>
      </c>
      <c r="D4" s="13" t="s">
        <v>3</v>
      </c>
      <c r="E4" s="15">
        <v>0</v>
      </c>
      <c r="F4" s="13" t="s">
        <v>4</v>
      </c>
      <c r="G4" s="16">
        <v>250</v>
      </c>
      <c r="H4" s="13" t="s">
        <v>5</v>
      </c>
      <c r="I4" s="16">
        <v>1000</v>
      </c>
    </row>
    <row r="6" spans="1:12" ht="15.5" x14ac:dyDescent="0.4">
      <c r="A6" s="3" t="s">
        <v>6</v>
      </c>
    </row>
    <row r="7" spans="1:12" ht="14.5" x14ac:dyDescent="0.25">
      <c r="A7" s="4" t="s">
        <v>7</v>
      </c>
      <c r="B7" s="17">
        <v>1</v>
      </c>
      <c r="C7" s="17">
        <v>2</v>
      </c>
      <c r="D7" s="17">
        <v>3</v>
      </c>
      <c r="E7" s="17">
        <v>4</v>
      </c>
      <c r="F7" s="17">
        <v>5</v>
      </c>
      <c r="G7" s="17">
        <v>6</v>
      </c>
      <c r="H7" s="17">
        <v>7</v>
      </c>
      <c r="I7" s="18">
        <v>8</v>
      </c>
      <c r="J7" s="18">
        <v>9</v>
      </c>
      <c r="K7" s="18">
        <v>10</v>
      </c>
      <c r="L7" s="18">
        <v>11</v>
      </c>
    </row>
    <row r="8" spans="1:12" ht="14.5" x14ac:dyDescent="0.25">
      <c r="A8" s="4" t="s">
        <v>8</v>
      </c>
      <c r="B8" s="19" t="s">
        <v>9</v>
      </c>
      <c r="C8" s="19" t="s">
        <v>10</v>
      </c>
      <c r="D8" s="19" t="s">
        <v>11</v>
      </c>
      <c r="E8" s="19" t="s">
        <v>12</v>
      </c>
      <c r="F8" s="19" t="s">
        <v>13</v>
      </c>
      <c r="G8" s="19" t="s">
        <v>14</v>
      </c>
      <c r="H8" s="19" t="s">
        <v>15</v>
      </c>
      <c r="I8" s="19" t="s">
        <v>16</v>
      </c>
      <c r="J8" s="19" t="s">
        <v>17</v>
      </c>
      <c r="K8" s="19" t="s">
        <v>18</v>
      </c>
      <c r="L8" s="19" t="s">
        <v>19</v>
      </c>
    </row>
    <row r="9" spans="1:12" ht="30" customHeight="1" x14ac:dyDescent="0.4">
      <c r="A9" s="4" t="s">
        <v>20</v>
      </c>
      <c r="B9" s="5" t="str">
        <f>IF(B8="","",[1]!thsiFinD("ths_fund_official_short_name_fund",B8))</f>
        <v>国泰中证半导体材料设备主题ETF发起联接A</v>
      </c>
      <c r="C9" s="5" t="str">
        <f>IF(C8="","",[1]!thsiFinD("ths_fund_official_short_name_fund",C8))</f>
        <v>国泰中证全指通信设备ETF联接A</v>
      </c>
      <c r="D9" s="5" t="str">
        <f>IF(D8="","",[1]!thsiFinD("ths_fund_official_short_name_fund",D8))</f>
        <v>宏利复兴混合A</v>
      </c>
      <c r="E9" s="5" t="str">
        <f>IF(E8="","",[1]!thsiFinD("ths_fund_official_short_name_fund",E8))</f>
        <v>嘉实信息产业股票发起式A</v>
      </c>
      <c r="F9" s="5" t="str">
        <f>IF(F8="","",[1]!thsiFinD("ths_fund_official_short_name_fund",F8))</f>
        <v>信澳业绩驱动混合A</v>
      </c>
      <c r="G9" s="5" t="str">
        <f>IF(G8="","",[1]!thsiFinD("ths_fund_official_short_name_fund",G8))</f>
        <v>银华集成电路混合A</v>
      </c>
      <c r="H9" s="5" t="str">
        <f>IF(H8="","",[1]!thsiFinD("ths_fund_official_short_name_fund",H8))</f>
        <v>宏利领先中小盘混合</v>
      </c>
      <c r="I9" s="6" t="str">
        <f>IF(I8="","",[1]!thsiFinD("ths_fund_official_short_name_fund",I8))</f>
        <v>博道沪深300增强A</v>
      </c>
      <c r="J9" s="6" t="str">
        <f>IF(J8="","",[1]!thsiFinD("ths_fund_official_short_name_fund",J8))</f>
        <v>中欧中证500指数增强A</v>
      </c>
      <c r="K9" s="6" t="str">
        <f>IF(K8="","",[1]!thsiFinD("ths_fund_official_short_name_fund",K8))</f>
        <v>天弘中证1000指数增强A</v>
      </c>
      <c r="L9" s="6" t="str">
        <f>IF(L8="","",[1]!thsiFinD("ths_fund_official_short_name_fund",L8))</f>
        <v>华泰柏瑞中证2000指数增强A</v>
      </c>
    </row>
    <row r="10" spans="1:12" ht="14.5" x14ac:dyDescent="0.25">
      <c r="A10" s="4" t="s">
        <v>21</v>
      </c>
      <c r="B10" s="20" t="s">
        <v>22</v>
      </c>
      <c r="C10" s="20" t="s">
        <v>22</v>
      </c>
      <c r="D10" s="20" t="s">
        <v>22</v>
      </c>
      <c r="E10" s="20" t="s">
        <v>22</v>
      </c>
      <c r="F10" s="20" t="s">
        <v>22</v>
      </c>
      <c r="G10" s="20" t="s">
        <v>22</v>
      </c>
      <c r="H10" s="20" t="s">
        <v>22</v>
      </c>
      <c r="I10" s="21" t="s">
        <v>23</v>
      </c>
      <c r="J10" s="21" t="s">
        <v>23</v>
      </c>
      <c r="K10" s="21" t="s">
        <v>23</v>
      </c>
      <c r="L10" s="21" t="s">
        <v>23</v>
      </c>
    </row>
    <row r="12" spans="1:12" ht="15.5" x14ac:dyDescent="0.4">
      <c r="A12" s="3" t="s">
        <v>24</v>
      </c>
    </row>
    <row r="13" spans="1:12" ht="30" customHeight="1" x14ac:dyDescent="0.4">
      <c r="A13" s="22" t="s">
        <v>25</v>
      </c>
      <c r="B13" s="7" t="str">
        <f t="shared" ref="B13:L13" si="0">B9</f>
        <v>国泰中证半导体材料设备主题ETF发起联接A</v>
      </c>
      <c r="C13" s="7" t="str">
        <f t="shared" si="0"/>
        <v>国泰中证全指通信设备ETF联接A</v>
      </c>
      <c r="D13" s="7" t="str">
        <f t="shared" si="0"/>
        <v>宏利复兴混合A</v>
      </c>
      <c r="E13" s="7" t="str">
        <f t="shared" si="0"/>
        <v>嘉实信息产业股票发起式A</v>
      </c>
      <c r="F13" s="7" t="str">
        <f t="shared" si="0"/>
        <v>信澳业绩驱动混合A</v>
      </c>
      <c r="G13" s="7" t="str">
        <f t="shared" si="0"/>
        <v>银华集成电路混合A</v>
      </c>
      <c r="H13" s="7" t="str">
        <f t="shared" si="0"/>
        <v>宏利领先中小盘混合</v>
      </c>
      <c r="I13" s="7" t="str">
        <f t="shared" si="0"/>
        <v>博道沪深300增强A</v>
      </c>
      <c r="J13" s="7" t="str">
        <f t="shared" si="0"/>
        <v>中欧中证500指数增强A</v>
      </c>
      <c r="K13" s="7" t="str">
        <f t="shared" si="0"/>
        <v>天弘中证1000指数增强A</v>
      </c>
      <c r="L13" s="7" t="str">
        <f t="shared" si="0"/>
        <v>华泰柏瑞中证2000指数增强A</v>
      </c>
    </row>
    <row r="14" spans="1:12" ht="14.5" x14ac:dyDescent="0.25">
      <c r="A14" s="23">
        <v>46191</v>
      </c>
      <c r="B14" s="24">
        <v>5.0000000000000001E-3</v>
      </c>
      <c r="C14" s="24">
        <v>5.0000000000000001E-3</v>
      </c>
      <c r="D14" s="24">
        <v>0.01</v>
      </c>
      <c r="E14" s="24">
        <v>0.01</v>
      </c>
      <c r="F14" s="24">
        <v>0.01</v>
      </c>
      <c r="G14" s="24">
        <v>0.01</v>
      </c>
      <c r="H14" s="24">
        <v>0</v>
      </c>
      <c r="I14" s="24">
        <v>1.2500000000000001E-2</v>
      </c>
      <c r="J14" s="24">
        <v>1.2500000000000001E-2</v>
      </c>
      <c r="K14" s="24">
        <v>1.2500000000000001E-2</v>
      </c>
      <c r="L14" s="24">
        <v>1.2500000000000001E-2</v>
      </c>
    </row>
    <row r="15" spans="1:12" ht="14.5" x14ac:dyDescent="0.25">
      <c r="A15" s="23">
        <v>46195</v>
      </c>
      <c r="B15" s="24">
        <v>5.1349999999999998E-3</v>
      </c>
      <c r="C15" s="24">
        <v>5.0790000000000002E-3</v>
      </c>
      <c r="D15" s="24">
        <v>1.0315E-2</v>
      </c>
      <c r="E15" s="24">
        <v>1.0267E-2</v>
      </c>
      <c r="F15" s="24">
        <v>1.0213E-2</v>
      </c>
      <c r="G15" s="24">
        <v>1.0147E-2</v>
      </c>
      <c r="H15" s="24">
        <v>0</v>
      </c>
      <c r="I15" s="24">
        <v>1.2765E-2</v>
      </c>
      <c r="J15" s="24">
        <v>1.2789999999999999E-2</v>
      </c>
      <c r="K15" s="24">
        <v>1.2723999999999999E-2</v>
      </c>
      <c r="L15" s="24">
        <v>1.2494999999999999E-2</v>
      </c>
    </row>
    <row r="16" spans="1:12" ht="14.5" x14ac:dyDescent="0.25">
      <c r="A16" s="23">
        <v>46196</v>
      </c>
      <c r="B16" s="24">
        <v>5.1489999999999999E-3</v>
      </c>
      <c r="C16" s="24">
        <v>4.9500000000000004E-3</v>
      </c>
      <c r="D16" s="24">
        <v>9.9120000000000007E-3</v>
      </c>
      <c r="E16" s="24">
        <v>1.0059E-2</v>
      </c>
      <c r="F16" s="24">
        <v>9.9550000000000003E-3</v>
      </c>
      <c r="G16" s="24">
        <v>1.0253E-2</v>
      </c>
      <c r="H16" s="24">
        <v>0</v>
      </c>
      <c r="I16" s="24">
        <v>1.2484E-2</v>
      </c>
      <c r="J16" s="24">
        <v>1.2614E-2</v>
      </c>
      <c r="K16" s="24">
        <v>1.2514000000000001E-2</v>
      </c>
      <c r="L16" s="24">
        <v>1.2462000000000001E-2</v>
      </c>
    </row>
    <row r="17" spans="1:12" ht="14.5" x14ac:dyDescent="0.25">
      <c r="A17" s="23">
        <v>46197</v>
      </c>
      <c r="B17" s="24">
        <v>5.4000000000000003E-3</v>
      </c>
      <c r="C17" s="24">
        <v>5.0150000000000004E-3</v>
      </c>
      <c r="D17" s="24">
        <v>1.0085999999999999E-2</v>
      </c>
      <c r="E17" s="24">
        <v>1.0285000000000001E-2</v>
      </c>
      <c r="F17" s="24">
        <v>1.0189999999999999E-2</v>
      </c>
      <c r="G17" s="24">
        <v>1.1067E-2</v>
      </c>
      <c r="H17" s="24">
        <v>0</v>
      </c>
      <c r="I17" s="24">
        <v>1.2519000000000001E-2</v>
      </c>
      <c r="J17" s="24">
        <v>1.2766E-2</v>
      </c>
      <c r="K17" s="24">
        <v>1.2648E-2</v>
      </c>
      <c r="L17" s="24">
        <v>1.2459E-2</v>
      </c>
    </row>
    <row r="18" spans="1:12" ht="14.5" x14ac:dyDescent="0.25">
      <c r="A18" s="23">
        <v>46198</v>
      </c>
      <c r="B18" s="24">
        <v>5.5420000000000001E-3</v>
      </c>
      <c r="C18" s="24">
        <v>5.1590000000000004E-3</v>
      </c>
      <c r="D18" s="24">
        <v>1.0397999999999999E-2</v>
      </c>
      <c r="E18" s="24">
        <v>1.0675E-2</v>
      </c>
      <c r="F18" s="24">
        <v>1.0541E-2</v>
      </c>
      <c r="G18" s="24">
        <v>1.1403E-2</v>
      </c>
      <c r="H18" s="24">
        <v>0</v>
      </c>
      <c r="I18" s="24">
        <v>1.2671999999999999E-2</v>
      </c>
      <c r="J18" s="24">
        <v>1.2839E-2</v>
      </c>
      <c r="K18" s="24">
        <v>1.2681E-2</v>
      </c>
      <c r="L18" s="24">
        <v>1.2323000000000001E-2</v>
      </c>
    </row>
    <row r="19" spans="1:12" ht="14.5" x14ac:dyDescent="0.25">
      <c r="A19" s="23">
        <v>46199</v>
      </c>
      <c r="B19" s="24">
        <v>5.7429999999999998E-3</v>
      </c>
      <c r="C19" s="24">
        <v>4.8469999999999997E-3</v>
      </c>
      <c r="D19" s="24">
        <v>9.8910000000000005E-3</v>
      </c>
      <c r="E19" s="24">
        <v>1.0076999999999999E-2</v>
      </c>
      <c r="F19" s="24">
        <v>9.8910000000000005E-3</v>
      </c>
      <c r="G19" s="24">
        <v>1.1795999999999999E-2</v>
      </c>
      <c r="H19" s="24">
        <v>0</v>
      </c>
      <c r="I19" s="24">
        <v>1.2331999999999999E-2</v>
      </c>
      <c r="J19" s="24">
        <v>1.2507000000000001E-2</v>
      </c>
      <c r="K19" s="24">
        <v>1.2363000000000001E-2</v>
      </c>
      <c r="L19" s="24">
        <v>1.2014E-2</v>
      </c>
    </row>
    <row r="20" spans="1:12" ht="14.5" x14ac:dyDescent="0.25">
      <c r="A20" s="23">
        <v>46202</v>
      </c>
      <c r="B20" s="24">
        <v>6.1799999999999997E-3</v>
      </c>
      <c r="C20" s="24">
        <v>4.7299999999999998E-3</v>
      </c>
      <c r="D20" s="24">
        <v>9.5530000000000007E-3</v>
      </c>
      <c r="E20" s="24">
        <v>9.8759999999999994E-3</v>
      </c>
      <c r="F20" s="24">
        <v>9.5890000000000003E-3</v>
      </c>
      <c r="G20" s="24">
        <v>1.2716E-2</v>
      </c>
      <c r="H20" s="24">
        <v>0</v>
      </c>
      <c r="I20" s="24">
        <v>1.2433E-2</v>
      </c>
      <c r="J20" s="24">
        <v>1.2599000000000001E-2</v>
      </c>
      <c r="K20" s="24">
        <v>1.2354E-2</v>
      </c>
      <c r="L20" s="24">
        <v>1.1913999999999999E-2</v>
      </c>
    </row>
    <row r="21" spans="1:12" ht="14.5" x14ac:dyDescent="0.25">
      <c r="A21" s="23">
        <v>46203</v>
      </c>
      <c r="B21" s="24">
        <v>6.3379999999999999E-3</v>
      </c>
      <c r="C21" s="24">
        <v>4.9319999999999998E-3</v>
      </c>
      <c r="D21" s="24">
        <v>9.9089999999999994E-3</v>
      </c>
      <c r="E21" s="24">
        <v>1.0396000000000001E-2</v>
      </c>
      <c r="F21" s="24">
        <v>1.0085999999999999E-2</v>
      </c>
      <c r="G21" s="24">
        <v>1.3247E-2</v>
      </c>
      <c r="H21" s="24">
        <v>0</v>
      </c>
      <c r="I21" s="24">
        <v>1.2544E-2</v>
      </c>
      <c r="J21" s="24">
        <v>1.2787E-2</v>
      </c>
      <c r="K21" s="24">
        <v>1.2581E-2</v>
      </c>
      <c r="L21" s="24">
        <v>1.2241999999999999E-2</v>
      </c>
    </row>
    <row r="22" spans="1:12" ht="14.5" x14ac:dyDescent="0.25">
      <c r="A22" s="23">
        <v>46204</v>
      </c>
      <c r="B22" s="24">
        <v>6.3990000000000002E-3</v>
      </c>
      <c r="C22" s="24">
        <v>4.7429999999999998E-3</v>
      </c>
      <c r="D22" s="24">
        <v>9.528E-3</v>
      </c>
      <c r="E22" s="24">
        <v>9.9360000000000004E-3</v>
      </c>
      <c r="F22" s="24">
        <v>9.5849999999999998E-3</v>
      </c>
      <c r="G22" s="24">
        <v>1.3103999999999999E-2</v>
      </c>
      <c r="H22" s="24">
        <v>0</v>
      </c>
      <c r="I22" s="24">
        <v>1.2529E-2</v>
      </c>
      <c r="J22" s="24">
        <v>1.2866000000000001E-2</v>
      </c>
      <c r="K22" s="24">
        <v>1.2801999999999999E-2</v>
      </c>
      <c r="L22" s="24">
        <v>1.2435999999999999E-2</v>
      </c>
    </row>
    <row r="23" spans="1:12" ht="14.5" x14ac:dyDescent="0.25">
      <c r="A23" s="23">
        <v>46205</v>
      </c>
      <c r="B23" s="24">
        <v>5.8199999999999997E-3</v>
      </c>
      <c r="C23" s="24">
        <v>4.5820000000000001E-3</v>
      </c>
      <c r="D23" s="24">
        <v>9.2540000000000001E-3</v>
      </c>
      <c r="E23" s="24">
        <v>9.5219999999999992E-3</v>
      </c>
      <c r="F23" s="24">
        <v>9.1559999999999992E-3</v>
      </c>
      <c r="G23" s="24">
        <v>1.1955E-2</v>
      </c>
      <c r="H23" s="24">
        <v>9.1970000000000003E-3</v>
      </c>
      <c r="I23" s="24">
        <v>1.2232E-2</v>
      </c>
      <c r="J23" s="24">
        <v>1.2468999999999999E-2</v>
      </c>
      <c r="K23" s="24">
        <v>1.2388E-2</v>
      </c>
      <c r="L23" s="24">
        <v>1.2125E-2</v>
      </c>
    </row>
    <row r="24" spans="1:12" ht="14.5" x14ac:dyDescent="0.25">
      <c r="A24" s="23">
        <v>46206</v>
      </c>
      <c r="B24" s="24">
        <v>5.6410000000000002E-3</v>
      </c>
      <c r="C24" s="24">
        <v>4.5760000000000002E-3</v>
      </c>
      <c r="D24" s="24">
        <v>9.3179999999999999E-3</v>
      </c>
      <c r="E24" s="24">
        <v>9.5139999999999999E-3</v>
      </c>
      <c r="F24" s="24">
        <v>9.1149999999999998E-3</v>
      </c>
      <c r="G24" s="24">
        <v>1.1731999999999999E-2</v>
      </c>
      <c r="H24" s="24">
        <v>9.0709999999999992E-3</v>
      </c>
      <c r="I24" s="24">
        <v>1.2305999999999999E-2</v>
      </c>
      <c r="J24" s="24">
        <v>1.2567E-2</v>
      </c>
      <c r="K24" s="24">
        <v>1.2413E-2</v>
      </c>
      <c r="L24" s="24">
        <v>1.2158E-2</v>
      </c>
    </row>
    <row r="25" spans="1:12" ht="14.5" x14ac:dyDescent="0.25">
      <c r="A25" s="23">
        <v>46209</v>
      </c>
      <c r="B25" s="24">
        <v>5.594E-3</v>
      </c>
      <c r="C25" s="24">
        <v>4.4250000000000001E-3</v>
      </c>
      <c r="D25" s="24">
        <v>9.0310000000000008E-3</v>
      </c>
      <c r="E25" s="24">
        <v>9.2540000000000001E-3</v>
      </c>
      <c r="F25" s="24">
        <v>8.7600000000000004E-3</v>
      </c>
      <c r="G25" s="24">
        <v>1.1856E-2</v>
      </c>
      <c r="H25" s="24">
        <v>9.1400000000000006E-3</v>
      </c>
      <c r="I25" s="24">
        <v>1.2304000000000001E-2</v>
      </c>
      <c r="J25" s="24">
        <v>1.2506E-2</v>
      </c>
      <c r="K25" s="24">
        <v>1.2255E-2</v>
      </c>
      <c r="L25" s="24">
        <v>1.2022E-2</v>
      </c>
    </row>
    <row r="26" spans="1:12" ht="14.5" x14ac:dyDescent="0.25">
      <c r="A26" s="23">
        <v>46210</v>
      </c>
      <c r="B26" s="24">
        <v>5.6800000000000002E-3</v>
      </c>
      <c r="C26" s="24">
        <v>4.4279999999999996E-3</v>
      </c>
      <c r="D26" s="24">
        <v>9.0819999999999998E-3</v>
      </c>
      <c r="E26" s="24">
        <v>9.2700000000000005E-3</v>
      </c>
      <c r="F26" s="24">
        <v>8.8050000000000003E-3</v>
      </c>
      <c r="G26" s="24">
        <v>1.2022E-2</v>
      </c>
      <c r="H26" s="24">
        <v>9.3179999999999999E-3</v>
      </c>
      <c r="I26" s="24">
        <v>1.2160000000000001E-2</v>
      </c>
      <c r="J26" s="24">
        <v>1.2305E-2</v>
      </c>
      <c r="K26" s="24">
        <v>1.2017E-2</v>
      </c>
      <c r="L26" s="24">
        <v>1.1724E-2</v>
      </c>
    </row>
    <row r="27" spans="1:12" ht="14.5" x14ac:dyDescent="0.25">
      <c r="A27" s="23">
        <v>46211</v>
      </c>
      <c r="B27" s="24">
        <v>5.6690000000000004E-3</v>
      </c>
      <c r="C27" s="24">
        <v>4.4019999999999997E-3</v>
      </c>
      <c r="D27" s="24">
        <v>8.8299999999999993E-3</v>
      </c>
      <c r="E27" s="24">
        <v>9.2490000000000003E-3</v>
      </c>
      <c r="F27" s="24">
        <v>8.6619999999999996E-3</v>
      </c>
      <c r="G27" s="24">
        <v>1.2361E-2</v>
      </c>
      <c r="H27" s="24">
        <v>9.4929999999999997E-3</v>
      </c>
      <c r="I27" s="24">
        <v>1.2215999999999999E-2</v>
      </c>
      <c r="J27" s="24">
        <v>1.2331999999999999E-2</v>
      </c>
      <c r="K27" s="24">
        <v>1.1963E-2</v>
      </c>
      <c r="L27" s="24">
        <v>1.1745999999999999E-2</v>
      </c>
    </row>
    <row r="28" spans="1:12" ht="14.5" x14ac:dyDescent="0.25">
      <c r="A28" s="23">
        <v>46212</v>
      </c>
      <c r="B28" s="24">
        <v>6.1760000000000001E-3</v>
      </c>
      <c r="C28" s="24">
        <v>4.6350000000000002E-3</v>
      </c>
      <c r="D28" s="24">
        <v>9.2669999999999992E-3</v>
      </c>
      <c r="E28" s="24">
        <v>9.7730000000000004E-3</v>
      </c>
      <c r="F28" s="24">
        <v>9.2540000000000001E-3</v>
      </c>
      <c r="G28" s="24">
        <v>1.32E-2</v>
      </c>
      <c r="H28" s="24">
        <v>1.0208E-2</v>
      </c>
      <c r="I28" s="24">
        <v>1.247E-2</v>
      </c>
      <c r="J28" s="24">
        <v>1.2588E-2</v>
      </c>
      <c r="K28" s="24">
        <v>1.2128E-2</v>
      </c>
      <c r="L28" s="24">
        <v>1.1868E-2</v>
      </c>
    </row>
    <row r="29" spans="1:12" ht="14.5" x14ac:dyDescent="0.25">
      <c r="A29" s="23">
        <v>46213</v>
      </c>
      <c r="B29" s="24">
        <v>5.8190000000000004E-3</v>
      </c>
      <c r="C29" s="24">
        <v>4.5180000000000003E-3</v>
      </c>
      <c r="D29" s="24">
        <v>8.8590000000000006E-3</v>
      </c>
      <c r="E29" s="24">
        <v>9.3810000000000004E-3</v>
      </c>
      <c r="F29" s="24">
        <v>8.8719999999999997E-3</v>
      </c>
      <c r="G29" s="24">
        <v>1.2473E-2</v>
      </c>
      <c r="H29" s="24">
        <v>9.6609999999999994E-3</v>
      </c>
      <c r="I29" s="24">
        <v>1.2255E-2</v>
      </c>
      <c r="J29" s="24">
        <v>1.2444E-2</v>
      </c>
      <c r="K29" s="24">
        <v>1.206E-2</v>
      </c>
      <c r="L29" s="24">
        <v>1.1866E-2</v>
      </c>
    </row>
    <row r="30" spans="1:12" ht="14.5" x14ac:dyDescent="0.25">
      <c r="A30" s="23">
        <v>46216</v>
      </c>
      <c r="B30" s="24">
        <v>5.5929999999999999E-3</v>
      </c>
      <c r="C30" s="24">
        <v>4.3350000000000003E-3</v>
      </c>
      <c r="D30" s="24">
        <v>8.5050000000000004E-3</v>
      </c>
      <c r="E30" s="24">
        <v>9.1170000000000001E-3</v>
      </c>
      <c r="F30" s="24">
        <v>8.5079999999999999E-3</v>
      </c>
      <c r="G30" s="24">
        <v>1.2158E-2</v>
      </c>
      <c r="H30" s="24">
        <v>9.3819999999999997E-3</v>
      </c>
      <c r="I30" s="24">
        <v>1.2011000000000001E-2</v>
      </c>
      <c r="J30" s="24">
        <v>1.197E-2</v>
      </c>
      <c r="K30" s="24">
        <v>1.1516999999999999E-2</v>
      </c>
      <c r="L30" s="24">
        <v>1.129E-2</v>
      </c>
    </row>
    <row r="31" spans="1:12" ht="14.5" x14ac:dyDescent="0.25">
      <c r="A31" s="23">
        <v>46217</v>
      </c>
      <c r="B31" s="24">
        <v>5.5459999999999997E-3</v>
      </c>
      <c r="C31" s="24">
        <v>4.5339999999999998E-3</v>
      </c>
      <c r="D31" s="24">
        <v>9.1160000000000008E-3</v>
      </c>
      <c r="E31" s="24">
        <v>9.5499999999999995E-3</v>
      </c>
      <c r="F31" s="24">
        <v>9.1389999999999996E-3</v>
      </c>
      <c r="G31" s="24">
        <v>1.2085E-2</v>
      </c>
      <c r="H31" s="24">
        <v>9.3810000000000004E-3</v>
      </c>
      <c r="I31" s="24">
        <v>1.2303E-2</v>
      </c>
      <c r="J31" s="24">
        <v>1.2201999999999999E-2</v>
      </c>
      <c r="K31" s="24">
        <v>1.1738E-2</v>
      </c>
      <c r="L31" s="24">
        <v>1.1483E-2</v>
      </c>
    </row>
  </sheetData>
  <mergeCells count="1">
    <mergeCell ref="A2:L2"/>
  </mergeCells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workbookViewId="0">
      <pane xSplit="1" ySplit="4" topLeftCell="B5" activePane="bottomRight" state="frozen"/>
      <selection pane="topRight"/>
      <selection pane="bottomLeft"/>
      <selection pane="bottomRight" activeCell="B23" sqref="B23"/>
    </sheetView>
  </sheetViews>
  <sheetFormatPr defaultRowHeight="14" x14ac:dyDescent="0.25"/>
  <cols>
    <col min="1" max="1" width="11" style="1" customWidth="1"/>
    <col min="2" max="12" width="10.453125" style="1" customWidth="1"/>
  </cols>
  <sheetData>
    <row r="1" spans="1:12" ht="18" x14ac:dyDescent="0.45">
      <c r="A1" s="2" t="s">
        <v>26</v>
      </c>
    </row>
    <row r="2" spans="1:12" ht="14.5" x14ac:dyDescent="0.3">
      <c r="A2" s="8" t="s">
        <v>27</v>
      </c>
      <c r="B2" s="9">
        <f ca="1">TODAY()</f>
        <v>46220</v>
      </c>
    </row>
    <row r="3" spans="1:12" ht="14.5" x14ac:dyDescent="0.25">
      <c r="A3" s="10" t="s">
        <v>8</v>
      </c>
      <c r="B3" s="22" t="str">
        <f>①配置与权重!B8</f>
        <v>019632</v>
      </c>
      <c r="C3" s="22" t="str">
        <f>①配置与权重!C8</f>
        <v>007817</v>
      </c>
      <c r="D3" s="22" t="str">
        <f>①配置与权重!D8</f>
        <v>001170</v>
      </c>
      <c r="E3" s="22" t="str">
        <f>①配置与权重!E8</f>
        <v>017488</v>
      </c>
      <c r="F3" s="22" t="str">
        <f>①配置与权重!F8</f>
        <v>016370</v>
      </c>
      <c r="G3" s="22" t="str">
        <f>①配置与权重!G8</f>
        <v>013840</v>
      </c>
      <c r="H3" s="22" t="str">
        <f>①配置与权重!H8</f>
        <v>162214</v>
      </c>
      <c r="I3" s="22" t="str">
        <f>①配置与权重!I8</f>
        <v>007044</v>
      </c>
      <c r="J3" s="22" t="str">
        <f>①配置与权重!J8</f>
        <v>015453</v>
      </c>
      <c r="K3" s="22" t="str">
        <f>①配置与权重!K8</f>
        <v>014201</v>
      </c>
      <c r="L3" s="22" t="str">
        <f>①配置与权重!L8</f>
        <v>019923</v>
      </c>
    </row>
    <row r="4" spans="1:12" ht="30" customHeight="1" x14ac:dyDescent="0.4">
      <c r="A4" s="10" t="s">
        <v>28</v>
      </c>
      <c r="B4" s="7" t="str">
        <f>①配置与权重!B9</f>
        <v>国泰中证半导体材料设备主题ETF发起联接A</v>
      </c>
      <c r="C4" s="7" t="str">
        <f>①配置与权重!C9</f>
        <v>国泰中证全指通信设备ETF联接A</v>
      </c>
      <c r="D4" s="7" t="str">
        <f>①配置与权重!D9</f>
        <v>宏利复兴混合A</v>
      </c>
      <c r="E4" s="7" t="str">
        <f>①配置与权重!E9</f>
        <v>嘉实信息产业股票发起式A</v>
      </c>
      <c r="F4" s="7" t="str">
        <f>①配置与权重!F9</f>
        <v>信澳业绩驱动混合A</v>
      </c>
      <c r="G4" s="7" t="str">
        <f>①配置与权重!G9</f>
        <v>银华集成电路混合A</v>
      </c>
      <c r="H4" s="7" t="str">
        <f>①配置与权重!H9</f>
        <v>宏利领先中小盘混合</v>
      </c>
      <c r="I4" s="7" t="str">
        <f>①配置与权重!I9</f>
        <v>博道沪深300增强A</v>
      </c>
      <c r="J4" s="7" t="str">
        <f>①配置与权重!J9</f>
        <v>中欧中证500指数增强A</v>
      </c>
      <c r="K4" s="7" t="str">
        <f>①配置与权重!K9</f>
        <v>天弘中证1000指数增强A</v>
      </c>
      <c r="L4" s="7" t="str">
        <f>①配置与权重!L9</f>
        <v>华泰柏瑞中证2000指数增强A</v>
      </c>
    </row>
    <row r="5" spans="1:12" ht="14.5" x14ac:dyDescent="0.25">
      <c r="A5" s="23">
        <f>①配置与权重!A14</f>
        <v>46191</v>
      </c>
      <c r="B5" s="25">
        <f>IF($A5="","",[1]!thsiFinD("ths_adjustment_nv_fund",B$3,$A5))</f>
        <v>2.9918</v>
      </c>
      <c r="C5" s="25">
        <f>IF($A5="","",[1]!thsiFinD("ths_adjustment_nv_fund",C$3,$A5))</f>
        <v>5.0274999999999999</v>
      </c>
      <c r="D5" s="25">
        <f>IF($A5="","",[1]!thsiFinD("ths_adjustment_nv_fund",D$3,$A5))</f>
        <v>6.0620000000000003</v>
      </c>
      <c r="E5" s="25">
        <f>IF($A5="","",[1]!thsiFinD("ths_adjustment_nv_fund",E$3,$A5))</f>
        <v>4.3864000000000001</v>
      </c>
      <c r="F5" s="25">
        <f>IF($A5="","",[1]!thsiFinD("ths_adjustment_nv_fund",F$3,$A5))</f>
        <v>3.6402000000000001</v>
      </c>
      <c r="G5" s="25">
        <f>IF($A5="","",[1]!thsiFinD("ths_adjustment_nv_fund",G$3,$A5))</f>
        <v>3.0303</v>
      </c>
      <c r="H5" s="25">
        <f>IF($A5="","",[1]!thsiFinD("ths_adjustment_nv_fund",H$3,$A5))</f>
        <v>2.39</v>
      </c>
      <c r="I5" s="25">
        <f>IF($A5="","",[1]!thsiFinD("ths_adjustment_nv_fund",I$3,$A5))</f>
        <v>1.9903999999999999</v>
      </c>
      <c r="J5" s="25">
        <f>IF($A5="","",[1]!thsiFinD("ths_adjustment_nv_fund",J$3,$A5))</f>
        <v>1.6274999999999999</v>
      </c>
      <c r="K5" s="25">
        <f>IF($A5="","",[1]!thsiFinD("ths_adjustment_nv_fund",K$3,$A5))</f>
        <v>1.7014</v>
      </c>
      <c r="L5" s="25">
        <f>IF($A5="","",[1]!thsiFinD("ths_adjustment_nv_fund",L$3,$A5))</f>
        <v>2.1385999999999998</v>
      </c>
    </row>
    <row r="6" spans="1:12" ht="14.5" x14ac:dyDescent="0.25">
      <c r="A6" s="23">
        <f>①配置与权重!A15</f>
        <v>46195</v>
      </c>
      <c r="B6" s="25">
        <f>IF($A6="","",[1]!thsiFinD("ths_adjustment_nv_fund",B$3,$A6))</f>
        <v>3.0754000000000001</v>
      </c>
      <c r="C6" s="25">
        <f>IF($A6="","",[1]!thsiFinD("ths_adjustment_nv_fund",C$3,$A6))</f>
        <v>5.1120999999999999</v>
      </c>
      <c r="D6" s="25">
        <f>IF($A6="","",[1]!thsiFinD("ths_adjustment_nv_fund",D$3,$A6))</f>
        <v>6.2590000000000003</v>
      </c>
      <c r="E6" s="25">
        <f>IF($A6="","",[1]!thsiFinD("ths_adjustment_nv_fund",E$3,$A6))</f>
        <v>4.5077999999999996</v>
      </c>
      <c r="F6" s="25">
        <f>IF($A6="","",[1]!thsiFinD("ths_adjustment_nv_fund",F$3,$A6))</f>
        <v>3.7212000000000001</v>
      </c>
      <c r="G6" s="25">
        <f>IF($A6="","",[1]!thsiFinD("ths_adjustment_nv_fund",G$3,$A6))</f>
        <v>3.0779000000000001</v>
      </c>
      <c r="H6" s="25">
        <f>IF($A6="","",[1]!thsiFinD("ths_adjustment_nv_fund",H$3,$A6))</f>
        <v>2.4279999999999999</v>
      </c>
      <c r="I6" s="25">
        <f>IF($A6="","",[1]!thsiFinD("ths_adjustment_nv_fund",I$3,$A6))</f>
        <v>2.0345</v>
      </c>
      <c r="J6" s="25">
        <f>IF($A6="","",[1]!thsiFinD("ths_adjustment_nv_fund",J$3,$A6))</f>
        <v>1.6669</v>
      </c>
      <c r="K6" s="25">
        <f>IF($A6="","",[1]!thsiFinD("ths_adjustment_nv_fund",K$3,$A6))</f>
        <v>1.7336</v>
      </c>
      <c r="L6" s="25">
        <f>IF($A6="","",[1]!thsiFinD("ths_adjustment_nv_fund",L$3,$A6))</f>
        <v>2.1396999999999999</v>
      </c>
    </row>
    <row r="7" spans="1:12" ht="14.5" x14ac:dyDescent="0.25">
      <c r="A7" s="23">
        <f>①配置与权重!A16</f>
        <v>46196</v>
      </c>
      <c r="B7" s="25">
        <f>IF($A7="","",[1]!thsiFinD("ths_adjustment_nv_fund",B$3,$A7))</f>
        <v>3.0746000000000002</v>
      </c>
      <c r="C7" s="25">
        <f>IF($A7="","",[1]!thsiFinD("ths_adjustment_nv_fund",C$3,$A7))</f>
        <v>4.9664999999999999</v>
      </c>
      <c r="D7" s="25">
        <f>IF($A7="","",[1]!thsiFinD("ths_adjustment_nv_fund",D$3,$A7))</f>
        <v>5.9960000000000004</v>
      </c>
      <c r="E7" s="25">
        <f>IF($A7="","",[1]!thsiFinD("ths_adjustment_nv_fund",E$3,$A7))</f>
        <v>4.4028</v>
      </c>
      <c r="F7" s="25">
        <f>IF($A7="","",[1]!thsiFinD("ths_adjustment_nv_fund",F$3,$A7))</f>
        <v>3.6162000000000001</v>
      </c>
      <c r="G7" s="25">
        <f>IF($A7="","",[1]!thsiFinD("ths_adjustment_nv_fund",G$3,$A7))</f>
        <v>3.1004999999999998</v>
      </c>
      <c r="H7" s="25">
        <f>IF($A7="","",[1]!thsiFinD("ths_adjustment_nv_fund",H$3,$A7))</f>
        <v>2.4580000000000002</v>
      </c>
      <c r="I7" s="25">
        <f>IF($A7="","",[1]!thsiFinD("ths_adjustment_nv_fund",I$3,$A7))</f>
        <v>1.9837</v>
      </c>
      <c r="J7" s="25">
        <f>IF($A7="","",[1]!thsiFinD("ths_adjustment_nv_fund",J$3,$A7))</f>
        <v>1.6389</v>
      </c>
      <c r="K7" s="25">
        <f>IF($A7="","",[1]!thsiFinD("ths_adjustment_nv_fund",K$3,$A7))</f>
        <v>1.6997</v>
      </c>
      <c r="L7" s="25">
        <f>IF($A7="","",[1]!thsiFinD("ths_adjustment_nv_fund",L$3,$A7))</f>
        <v>2.1276000000000002</v>
      </c>
    </row>
    <row r="8" spans="1:12" ht="14.5" x14ac:dyDescent="0.25">
      <c r="A8" s="23">
        <f>①配置与权重!A17</f>
        <v>46197</v>
      </c>
      <c r="B8" s="25">
        <f>IF($A8="","",[1]!thsiFinD("ths_adjustment_nv_fund",B$3,$A8))</f>
        <v>3.2309000000000001</v>
      </c>
      <c r="C8" s="25">
        <f>IF($A8="","",[1]!thsiFinD("ths_adjustment_nv_fund",C$3,$A8))</f>
        <v>5.0423</v>
      </c>
      <c r="D8" s="25">
        <f>IF($A8="","",[1]!thsiFinD("ths_adjustment_nv_fund",D$3,$A8))</f>
        <v>6.1130000000000004</v>
      </c>
      <c r="E8" s="25">
        <f>IF($A8="","",[1]!thsiFinD("ths_adjustment_nv_fund",E$3,$A8))</f>
        <v>4.5109000000000004</v>
      </c>
      <c r="F8" s="25">
        <f>IF($A8="","",[1]!thsiFinD("ths_adjustment_nv_fund",F$3,$A8))</f>
        <v>3.7086999999999999</v>
      </c>
      <c r="G8" s="25">
        <f>IF($A8="","",[1]!thsiFinD("ths_adjustment_nv_fund",G$3,$A8))</f>
        <v>3.3530000000000002</v>
      </c>
      <c r="H8" s="25">
        <f>IF($A8="","",[1]!thsiFinD("ths_adjustment_nv_fund",H$3,$A8))</f>
        <v>2.633</v>
      </c>
      <c r="I8" s="25">
        <f>IF($A8="","",[1]!thsiFinD("ths_adjustment_nv_fund",I$3,$A8))</f>
        <v>1.9931000000000001</v>
      </c>
      <c r="J8" s="25">
        <f>IF($A8="","",[1]!thsiFinD("ths_adjustment_nv_fund",J$3,$A8))</f>
        <v>1.6618999999999999</v>
      </c>
      <c r="K8" s="25">
        <f>IF($A8="","",[1]!thsiFinD("ths_adjustment_nv_fund",K$3,$A8))</f>
        <v>1.7213000000000001</v>
      </c>
      <c r="L8" s="25">
        <f>IF($A8="","",[1]!thsiFinD("ths_adjustment_nv_fund",L$3,$A8))</f>
        <v>2.1312000000000002</v>
      </c>
    </row>
    <row r="9" spans="1:12" ht="14.5" x14ac:dyDescent="0.25">
      <c r="A9" s="23">
        <f>①配置与权重!A18</f>
        <v>46198</v>
      </c>
      <c r="B9" s="25">
        <f>IF($A9="","",[1]!thsiFinD("ths_adjustment_nv_fund",B$3,$A9))</f>
        <v>3.3209</v>
      </c>
      <c r="C9" s="25">
        <f>IF($A9="","",[1]!thsiFinD("ths_adjustment_nv_fund",C$3,$A9))</f>
        <v>5.1944999999999997</v>
      </c>
      <c r="D9" s="25">
        <f>IF($A9="","",[1]!thsiFinD("ths_adjustment_nv_fund",D$3,$A9))</f>
        <v>6.3120000000000003</v>
      </c>
      <c r="E9" s="25">
        <f>IF($A9="","",[1]!thsiFinD("ths_adjustment_nv_fund",E$3,$A9))</f>
        <v>4.6886000000000001</v>
      </c>
      <c r="F9" s="25">
        <f>IF($A9="","",[1]!thsiFinD("ths_adjustment_nv_fund",F$3,$A9))</f>
        <v>3.8424</v>
      </c>
      <c r="G9" s="25">
        <f>IF($A9="","",[1]!thsiFinD("ths_adjustment_nv_fund",G$3,$A9))</f>
        <v>3.4601999999999999</v>
      </c>
      <c r="H9" s="25">
        <f>IF($A9="","",[1]!thsiFinD("ths_adjustment_nv_fund",H$3,$A9))</f>
        <v>2.6920000000000002</v>
      </c>
      <c r="I9" s="25">
        <f>IF($A9="","",[1]!thsiFinD("ths_adjustment_nv_fund",I$3,$A9))</f>
        <v>2.0205000000000002</v>
      </c>
      <c r="J9" s="25">
        <f>IF($A9="","",[1]!thsiFinD("ths_adjustment_nv_fund",J$3,$A9))</f>
        <v>1.6739999999999999</v>
      </c>
      <c r="K9" s="25">
        <f>IF($A9="","",[1]!thsiFinD("ths_adjustment_nv_fund",K$3,$A9))</f>
        <v>1.7283999999999999</v>
      </c>
      <c r="L9" s="25">
        <f>IF($A9="","",[1]!thsiFinD("ths_adjustment_nv_fund",L$3,$A9))</f>
        <v>2.1113</v>
      </c>
    </row>
    <row r="10" spans="1:12" ht="14.5" x14ac:dyDescent="0.25">
      <c r="A10" s="23">
        <f>①配置与权重!A19</f>
        <v>46199</v>
      </c>
      <c r="B10" s="25">
        <f>IF($A10="","",[1]!thsiFinD("ths_adjustment_nv_fund",B$3,$A10))</f>
        <v>3.4331</v>
      </c>
      <c r="C10" s="25">
        <f>IF($A10="","",[1]!thsiFinD("ths_adjustment_nv_fund",C$3,$A10))</f>
        <v>4.8685</v>
      </c>
      <c r="D10" s="25">
        <f>IF($A10="","",[1]!thsiFinD("ths_adjustment_nv_fund",D$3,$A10))</f>
        <v>5.99</v>
      </c>
      <c r="E10" s="25">
        <f>IF($A10="","",[1]!thsiFinD("ths_adjustment_nv_fund",E$3,$A10))</f>
        <v>4.4157999999999999</v>
      </c>
      <c r="F10" s="25">
        <f>IF($A10="","",[1]!thsiFinD("ths_adjustment_nv_fund",F$3,$A10))</f>
        <v>3.5971000000000002</v>
      </c>
      <c r="G10" s="25">
        <f>IF($A10="","",[1]!thsiFinD("ths_adjustment_nv_fund",G$3,$A10))</f>
        <v>3.5710000000000002</v>
      </c>
      <c r="H10" s="25">
        <f>IF($A10="","",[1]!thsiFinD("ths_adjustment_nv_fund",H$3,$A10))</f>
        <v>2.7669999999999999</v>
      </c>
      <c r="I10" s="25">
        <f>IF($A10="","",[1]!thsiFinD("ths_adjustment_nv_fund",I$3,$A10))</f>
        <v>1.9618</v>
      </c>
      <c r="J10" s="25">
        <f>IF($A10="","",[1]!thsiFinD("ths_adjustment_nv_fund",J$3,$A10))</f>
        <v>1.6269</v>
      </c>
      <c r="K10" s="25">
        <f>IF($A10="","",[1]!thsiFinD("ths_adjustment_nv_fund",K$3,$A10))</f>
        <v>1.6812</v>
      </c>
      <c r="L10" s="25">
        <f>IF($A10="","",[1]!thsiFinD("ths_adjustment_nv_fund",L$3,$A10))</f>
        <v>2.0535000000000001</v>
      </c>
    </row>
    <row r="11" spans="1:12" ht="14.5" x14ac:dyDescent="0.25">
      <c r="A11" s="23">
        <f>①配置与权重!A20</f>
        <v>46202</v>
      </c>
      <c r="B11" s="25">
        <f>IF($A11="","",[1]!thsiFinD("ths_adjustment_nv_fund",B$3,$A11))</f>
        <v>3.7000999999999999</v>
      </c>
      <c r="C11" s="25">
        <f>IF($A11="","",[1]!thsiFinD("ths_adjustment_nv_fund",C$3,$A11))</f>
        <v>4.7591999999999999</v>
      </c>
      <c r="D11" s="25">
        <f>IF($A11="","",[1]!thsiFinD("ths_adjustment_nv_fund",D$3,$A11))</f>
        <v>5.7949999999999999</v>
      </c>
      <c r="E11" s="25">
        <f>IF($A11="","",[1]!thsiFinD("ths_adjustment_nv_fund",E$3,$A11))</f>
        <v>4.3342999999999998</v>
      </c>
      <c r="F11" s="25">
        <f>IF($A11="","",[1]!thsiFinD("ths_adjustment_nv_fund",F$3,$A11))</f>
        <v>3.4931000000000001</v>
      </c>
      <c r="G11" s="25">
        <f>IF($A11="","",[1]!thsiFinD("ths_adjustment_nv_fund",G$3,$A11))</f>
        <v>3.8559000000000001</v>
      </c>
      <c r="H11" s="25">
        <f>IF($A11="","",[1]!thsiFinD("ths_adjustment_nv_fund",H$3,$A11))</f>
        <v>2.968</v>
      </c>
      <c r="I11" s="25">
        <f>IF($A11="","",[1]!thsiFinD("ths_adjustment_nv_fund",I$3,$A11))</f>
        <v>1.9811000000000001</v>
      </c>
      <c r="J11" s="25">
        <f>IF($A11="","",[1]!thsiFinD("ths_adjustment_nv_fund",J$3,$A11))</f>
        <v>1.6415</v>
      </c>
      <c r="K11" s="25">
        <f>IF($A11="","",[1]!thsiFinD("ths_adjustment_nv_fund",K$3,$A11))</f>
        <v>1.6827000000000001</v>
      </c>
      <c r="L11" s="25">
        <f>IF($A11="","",[1]!thsiFinD("ths_adjustment_nv_fund",L$3,$A11))</f>
        <v>2.0396999999999998</v>
      </c>
    </row>
    <row r="12" spans="1:12" ht="14.5" x14ac:dyDescent="0.25">
      <c r="A12" s="23">
        <f>①配置与权重!A21</f>
        <v>46203</v>
      </c>
      <c r="B12" s="25">
        <f>IF($A12="","",[1]!thsiFinD("ths_adjustment_nv_fund",B$3,$A12))</f>
        <v>3.8033999999999999</v>
      </c>
      <c r="C12" s="25">
        <f>IF($A12="","",[1]!thsiFinD("ths_adjustment_nv_fund",C$3,$A12))</f>
        <v>4.9737</v>
      </c>
      <c r="D12" s="25">
        <f>IF($A12="","",[1]!thsiFinD("ths_adjustment_nv_fund",D$3,$A12))</f>
        <v>6.024</v>
      </c>
      <c r="E12" s="25">
        <f>IF($A12="","",[1]!thsiFinD("ths_adjustment_nv_fund",E$3,$A12))</f>
        <v>4.5731000000000002</v>
      </c>
      <c r="F12" s="25">
        <f>IF($A12="","",[1]!thsiFinD("ths_adjustment_nv_fund",F$3,$A12))</f>
        <v>3.6819999999999999</v>
      </c>
      <c r="G12" s="25">
        <f>IF($A12="","",[1]!thsiFinD("ths_adjustment_nv_fund",G$3,$A12))</f>
        <v>4.0259</v>
      </c>
      <c r="H12" s="25">
        <f>IF($A12="","",[1]!thsiFinD("ths_adjustment_nv_fund",H$3,$A12))</f>
        <v>3.0870000000000002</v>
      </c>
      <c r="I12" s="25">
        <f>IF($A12="","",[1]!thsiFinD("ths_adjustment_nv_fund",I$3,$A12))</f>
        <v>2.0032000000000001</v>
      </c>
      <c r="J12" s="25">
        <f>IF($A12="","",[1]!thsiFinD("ths_adjustment_nv_fund",J$3,$A12))</f>
        <v>1.6697</v>
      </c>
      <c r="K12" s="25">
        <f>IF($A12="","",[1]!thsiFinD("ths_adjustment_nv_fund",K$3,$A12))</f>
        <v>1.7173</v>
      </c>
      <c r="L12" s="25">
        <f>IF($A12="","",[1]!thsiFinD("ths_adjustment_nv_fund",L$3,$A12))</f>
        <v>2.1004</v>
      </c>
    </row>
    <row r="13" spans="1:12" ht="14.5" x14ac:dyDescent="0.25">
      <c r="A13" s="23">
        <f>①配置与权重!A22</f>
        <v>46204</v>
      </c>
      <c r="B13" s="25">
        <f>IF($A13="","",[1]!thsiFinD("ths_adjustment_nv_fund",B$3,$A13))</f>
        <v>3.8296000000000001</v>
      </c>
      <c r="C13" s="25">
        <f>IF($A13="","",[1]!thsiFinD("ths_adjustment_nv_fund",C$3,$A13))</f>
        <v>4.7699999999999996</v>
      </c>
      <c r="D13" s="25">
        <f>IF($A13="","",[1]!thsiFinD("ths_adjustment_nv_fund",D$3,$A13))</f>
        <v>5.7770000000000001</v>
      </c>
      <c r="E13" s="25">
        <f>IF($A13="","",[1]!thsiFinD("ths_adjustment_nv_fund",E$3,$A13))</f>
        <v>4.3589000000000002</v>
      </c>
      <c r="F13" s="25">
        <f>IF($A13="","",[1]!thsiFinD("ths_adjustment_nv_fund",F$3,$A13))</f>
        <v>3.4897</v>
      </c>
      <c r="G13" s="25">
        <f>IF($A13="","",[1]!thsiFinD("ths_adjustment_nv_fund",G$3,$A13))</f>
        <v>3.9714999999999998</v>
      </c>
      <c r="H13" s="25">
        <f>IF($A13="","",[1]!thsiFinD("ths_adjustment_nv_fund",H$3,$A13))</f>
        <v>3.0369999999999999</v>
      </c>
      <c r="I13" s="25">
        <f>IF($A13="","",[1]!thsiFinD("ths_adjustment_nv_fund",I$3,$A13))</f>
        <v>1.9953000000000001</v>
      </c>
      <c r="J13" s="25">
        <f>IF($A13="","",[1]!thsiFinD("ths_adjustment_nv_fund",J$3,$A13))</f>
        <v>1.6754</v>
      </c>
      <c r="K13" s="25">
        <f>IF($A13="","",[1]!thsiFinD("ths_adjustment_nv_fund",K$3,$A13))</f>
        <v>1.7427999999999999</v>
      </c>
      <c r="L13" s="25">
        <f>IF($A13="","",[1]!thsiFinD("ths_adjustment_nv_fund",L$3,$A13))</f>
        <v>2.1280000000000001</v>
      </c>
    </row>
    <row r="14" spans="1:12" ht="14.5" x14ac:dyDescent="0.25">
      <c r="A14" s="23">
        <f>①配置与权重!A23</f>
        <v>46205</v>
      </c>
      <c r="B14" s="25">
        <f>IF($A14="","",[1]!thsiFinD("ths_adjustment_nv_fund",B$3,$A14))</f>
        <v>3.4958999999999998</v>
      </c>
      <c r="C14" s="25">
        <f>IF($A14="","",[1]!thsiFinD("ths_adjustment_nv_fund",C$3,$A14))</f>
        <v>4.4048999999999996</v>
      </c>
      <c r="D14" s="25">
        <f>IF($A14="","",[1]!thsiFinD("ths_adjustment_nv_fund",D$3,$A14))</f>
        <v>5.3630000000000004</v>
      </c>
      <c r="E14" s="25">
        <f>IF($A14="","",[1]!thsiFinD("ths_adjustment_nv_fund",E$3,$A14))</f>
        <v>3.9685999999999999</v>
      </c>
      <c r="F14" s="25">
        <f>IF($A14="","",[1]!thsiFinD("ths_adjustment_nv_fund",F$3,$A14))</f>
        <v>3.149</v>
      </c>
      <c r="G14" s="25">
        <f>IF($A14="","",[1]!thsiFinD("ths_adjustment_nv_fund",G$3,$A14))</f>
        <v>3.5630000000000002</v>
      </c>
      <c r="H14" s="25">
        <f>IF($A14="","",[1]!thsiFinD("ths_adjustment_nv_fund",H$3,$A14))</f>
        <v>2.7770000000000001</v>
      </c>
      <c r="I14" s="25">
        <f>IF($A14="","",[1]!thsiFinD("ths_adjustment_nv_fund",I$3,$A14))</f>
        <v>1.9340999999999999</v>
      </c>
      <c r="J14" s="25">
        <f>IF($A14="","",[1]!thsiFinD("ths_adjustment_nv_fund",J$3,$A14))</f>
        <v>1.6240000000000001</v>
      </c>
      <c r="K14" s="25">
        <f>IF($A14="","",[1]!thsiFinD("ths_adjustment_nv_fund",K$3,$A14))</f>
        <v>1.7058</v>
      </c>
      <c r="L14" s="25">
        <f>IF($A14="","",[1]!thsiFinD("ths_adjustment_nv_fund",L$3,$A14))</f>
        <v>2.0951</v>
      </c>
    </row>
    <row r="15" spans="1:12" ht="14.5" x14ac:dyDescent="0.25">
      <c r="A15" s="23">
        <f>①配置与权重!A24</f>
        <v>46206</v>
      </c>
      <c r="B15" s="25">
        <f>IF($A15="","",[1]!thsiFinD("ths_adjustment_nv_fund",B$3,$A15))</f>
        <v>3.3914</v>
      </c>
      <c r="C15" s="25">
        <f>IF($A15="","",[1]!thsiFinD("ths_adjustment_nv_fund",C$3,$A15))</f>
        <v>4.4032999999999998</v>
      </c>
      <c r="D15" s="25">
        <f>IF($A15="","",[1]!thsiFinD("ths_adjustment_nv_fund",D$3,$A15))</f>
        <v>5.4050000000000002</v>
      </c>
      <c r="E15" s="25">
        <f>IF($A15="","",[1]!thsiFinD("ths_adjustment_nv_fund",E$3,$A15))</f>
        <v>3.9687999999999999</v>
      </c>
      <c r="F15" s="25">
        <f>IF($A15="","",[1]!thsiFinD("ths_adjustment_nv_fund",F$3,$A15))</f>
        <v>3.1377000000000002</v>
      </c>
      <c r="G15" s="25">
        <f>IF($A15="","",[1]!thsiFinD("ths_adjustment_nv_fund",G$3,$A15))</f>
        <v>3.4994999999999998</v>
      </c>
      <c r="H15" s="25">
        <f>IF($A15="","",[1]!thsiFinD("ths_adjustment_nv_fund",H$3,$A15))</f>
        <v>2.7410000000000001</v>
      </c>
      <c r="I15" s="25">
        <f>IF($A15="","",[1]!thsiFinD("ths_adjustment_nv_fund",I$3,$A15))</f>
        <v>1.9475</v>
      </c>
      <c r="J15" s="25">
        <f>IF($A15="","",[1]!thsiFinD("ths_adjustment_nv_fund",J$3,$A15))</f>
        <v>1.6383000000000001</v>
      </c>
      <c r="K15" s="25">
        <f>IF($A15="","",[1]!thsiFinD("ths_adjustment_nv_fund",K$3,$A15))</f>
        <v>1.7109000000000001</v>
      </c>
      <c r="L15" s="25">
        <f>IF($A15="","",[1]!thsiFinD("ths_adjustment_nv_fund",L$3,$A15))</f>
        <v>2.1027999999999998</v>
      </c>
    </row>
    <row r="16" spans="1:12" ht="14.5" x14ac:dyDescent="0.25">
      <c r="A16" s="23">
        <f>①配置与权重!A25</f>
        <v>46209</v>
      </c>
      <c r="B16" s="25">
        <f>IF($A16="","",[1]!thsiFinD("ths_adjustment_nv_fund",B$3,$A16))</f>
        <v>3.3597000000000001</v>
      </c>
      <c r="C16" s="25">
        <f>IF($A16="","",[1]!thsiFinD("ths_adjustment_nv_fund",C$3,$A16))</f>
        <v>4.2538999999999998</v>
      </c>
      <c r="D16" s="25">
        <f>IF($A16="","",[1]!thsiFinD("ths_adjustment_nv_fund",D$3,$A16))</f>
        <v>5.234</v>
      </c>
      <c r="E16" s="25">
        <f>IF($A16="","",[1]!thsiFinD("ths_adjustment_nv_fund",E$3,$A16))</f>
        <v>3.8572000000000002</v>
      </c>
      <c r="F16" s="25">
        <f>IF($A16="","",[1]!thsiFinD("ths_adjustment_nv_fund",F$3,$A16))</f>
        <v>3.0129000000000001</v>
      </c>
      <c r="G16" s="25">
        <f>IF($A16="","",[1]!thsiFinD("ths_adjustment_nv_fund",G$3,$A16))</f>
        <v>3.5333999999999999</v>
      </c>
      <c r="H16" s="25">
        <f>IF($A16="","",[1]!thsiFinD("ths_adjustment_nv_fund",H$3,$A16))</f>
        <v>2.7589999999999999</v>
      </c>
      <c r="I16" s="25">
        <f>IF($A16="","",[1]!thsiFinD("ths_adjustment_nv_fund",I$3,$A16))</f>
        <v>1.9455</v>
      </c>
      <c r="J16" s="25">
        <f>IF($A16="","",[1]!thsiFinD("ths_adjustment_nv_fund",J$3,$A16))</f>
        <v>1.6289</v>
      </c>
      <c r="K16" s="25">
        <f>IF($A16="","",[1]!thsiFinD("ths_adjustment_nv_fund",K$3,$A16))</f>
        <v>1.6875</v>
      </c>
      <c r="L16" s="25">
        <f>IF($A16="","",[1]!thsiFinD("ths_adjustment_nv_fund",L$3,$A16))</f>
        <v>2.0773000000000001</v>
      </c>
    </row>
    <row r="17" spans="1:12" ht="14.5" x14ac:dyDescent="0.25">
      <c r="A17" s="23">
        <f>①配置与权重!A26</f>
        <v>46210</v>
      </c>
      <c r="B17" s="25">
        <f>IF($A17="","",[1]!thsiFinD("ths_adjustment_nv_fund",B$3,$A17))</f>
        <v>3.4097</v>
      </c>
      <c r="C17" s="25">
        <f>IF($A17="","",[1]!thsiFinD("ths_adjustment_nv_fund",C$3,$A17))</f>
        <v>4.2548000000000004</v>
      </c>
      <c r="D17" s="25">
        <f>IF($A17="","",[1]!thsiFinD("ths_adjustment_nv_fund",D$3,$A17))</f>
        <v>5.26</v>
      </c>
      <c r="E17" s="25">
        <f>IF($A17="","",[1]!thsiFinD("ths_adjustment_nv_fund",E$3,$A17))</f>
        <v>3.8613</v>
      </c>
      <c r="F17" s="25">
        <f>IF($A17="","",[1]!thsiFinD("ths_adjustment_nv_fund",F$3,$A17))</f>
        <v>3.0265</v>
      </c>
      <c r="G17" s="25">
        <f>IF($A17="","",[1]!thsiFinD("ths_adjustment_nv_fund",G$3,$A17))</f>
        <v>3.5808</v>
      </c>
      <c r="H17" s="25">
        <f>IF($A17="","",[1]!thsiFinD("ths_adjustment_nv_fund",H$3,$A17))</f>
        <v>2.8109999999999999</v>
      </c>
      <c r="I17" s="25">
        <f>IF($A17="","",[1]!thsiFinD("ths_adjustment_nv_fund",I$3,$A17))</f>
        <v>1.9216</v>
      </c>
      <c r="J17" s="25">
        <f>IF($A17="","",[1]!thsiFinD("ths_adjustment_nv_fund",J$3,$A17))</f>
        <v>1.6016999999999999</v>
      </c>
      <c r="K17" s="25">
        <f>IF($A17="","",[1]!thsiFinD("ths_adjustment_nv_fund",K$3,$A17))</f>
        <v>1.6537999999999999</v>
      </c>
      <c r="L17" s="25">
        <f>IF($A17="","",[1]!thsiFinD("ths_adjustment_nv_fund",L$3,$A17))</f>
        <v>2.0247000000000002</v>
      </c>
    </row>
    <row r="18" spans="1:12" ht="14.5" x14ac:dyDescent="0.25">
      <c r="A18" s="23">
        <f>①配置与权重!A27</f>
        <v>46211</v>
      </c>
      <c r="B18" s="25">
        <f>IF($A18="","",[1]!thsiFinD("ths_adjustment_nv_fund",B$3,$A18))</f>
        <v>3.4561000000000002</v>
      </c>
      <c r="C18" s="25">
        <f>IF($A18="","",[1]!thsiFinD("ths_adjustment_nv_fund",C$3,$A18))</f>
        <v>4.2332999999999998</v>
      </c>
      <c r="D18" s="25">
        <f>IF($A18="","",[1]!thsiFinD("ths_adjustment_nv_fund",D$3,$A18))</f>
        <v>5.1440000000000001</v>
      </c>
      <c r="E18" s="25">
        <f>IF($A18="","",[1]!thsiFinD("ths_adjustment_nv_fund",E$3,$A18))</f>
        <v>3.8597000000000001</v>
      </c>
      <c r="F18" s="25">
        <f>IF($A18="","",[1]!thsiFinD("ths_adjustment_nv_fund",F$3,$A18))</f>
        <v>2.9929999999999999</v>
      </c>
      <c r="G18" s="25">
        <f>IF($A18="","",[1]!thsiFinD("ths_adjustment_nv_fund",G$3,$A18))</f>
        <v>3.7338</v>
      </c>
      <c r="H18" s="25">
        <f>IF($A18="","",[1]!thsiFinD("ths_adjustment_nv_fund",H$3,$A18))</f>
        <v>2.92</v>
      </c>
      <c r="I18" s="25">
        <f>IF($A18="","",[1]!thsiFinD("ths_adjustment_nv_fund",I$3,$A18))</f>
        <v>1.9080999999999999</v>
      </c>
      <c r="J18" s="25">
        <f>IF($A18="","",[1]!thsiFinD("ths_adjustment_nv_fund",J$3,$A18))</f>
        <v>1.5797000000000001</v>
      </c>
      <c r="K18" s="25">
        <f>IF($A18="","",[1]!thsiFinD("ths_adjustment_nv_fund",K$3,$A18))</f>
        <v>1.6147</v>
      </c>
      <c r="L18" s="25">
        <f>IF($A18="","",[1]!thsiFinD("ths_adjustment_nv_fund",L$3,$A18))</f>
        <v>1.9785999999999999</v>
      </c>
    </row>
    <row r="19" spans="1:12" ht="14.5" x14ac:dyDescent="0.25">
      <c r="A19" s="23">
        <f>①配置与权重!A28</f>
        <v>46212</v>
      </c>
      <c r="B19" s="25">
        <f>IF($A19="","",[1]!thsiFinD("ths_adjustment_nv_fund",B$3,$A19))</f>
        <v>3.7847</v>
      </c>
      <c r="C19" s="25">
        <f>IF($A19="","",[1]!thsiFinD("ths_adjustment_nv_fund",C$3,$A19))</f>
        <v>4.4805999999999999</v>
      </c>
      <c r="D19" s="25">
        <f>IF($A19="","",[1]!thsiFinD("ths_adjustment_nv_fund",D$3,$A19))</f>
        <v>5.4260000000000002</v>
      </c>
      <c r="E19" s="25">
        <f>IF($A19="","",[1]!thsiFinD("ths_adjustment_nv_fund",E$3,$A19))</f>
        <v>4.0995999999999997</v>
      </c>
      <c r="F19" s="25">
        <f>IF($A19="","",[1]!thsiFinD("ths_adjustment_nv_fund",F$3,$A19))</f>
        <v>3.2141999999999999</v>
      </c>
      <c r="G19" s="25">
        <f>IF($A19="","",[1]!thsiFinD("ths_adjustment_nv_fund",G$3,$A19))</f>
        <v>4.0079000000000002</v>
      </c>
      <c r="H19" s="25">
        <f>IF($A19="","",[1]!thsiFinD("ths_adjustment_nv_fund",H$3,$A19))</f>
        <v>3.1560000000000001</v>
      </c>
      <c r="I19" s="25">
        <f>IF($A19="","",[1]!thsiFinD("ths_adjustment_nv_fund",I$3,$A19))</f>
        <v>1.9578</v>
      </c>
      <c r="J19" s="25">
        <f>IF($A19="","",[1]!thsiFinD("ths_adjustment_nv_fund",J$3,$A19))</f>
        <v>1.6208</v>
      </c>
      <c r="K19" s="25">
        <f>IF($A19="","",[1]!thsiFinD("ths_adjustment_nv_fund",K$3,$A19))</f>
        <v>1.6453</v>
      </c>
      <c r="L19" s="25">
        <f>IF($A19="","",[1]!thsiFinD("ths_adjustment_nv_fund",L$3,$A19))</f>
        <v>2.0093000000000001</v>
      </c>
    </row>
    <row r="20" spans="1:12" ht="14.5" x14ac:dyDescent="0.25">
      <c r="A20" s="23">
        <f>①配置与权重!A29</f>
        <v>46213</v>
      </c>
      <c r="B20" s="25">
        <f>IF($A20="","",[1]!thsiFinD("ths_adjustment_nv_fund",B$3,$A20))</f>
        <v>3.5526</v>
      </c>
      <c r="C20" s="25">
        <f>IF($A20="","",[1]!thsiFinD("ths_adjustment_nv_fund",C$3,$A20))</f>
        <v>4.3510999999999997</v>
      </c>
      <c r="D20" s="25">
        <f>IF($A20="","",[1]!thsiFinD("ths_adjustment_nv_fund",D$3,$A20))</f>
        <v>5.1680000000000001</v>
      </c>
      <c r="E20" s="25">
        <f>IF($A20="","",[1]!thsiFinD("ths_adjustment_nv_fund",E$3,$A20))</f>
        <v>3.9205999999999999</v>
      </c>
      <c r="F20" s="25">
        <f>IF($A20="","",[1]!thsiFinD("ths_adjustment_nv_fund",F$3,$A20))</f>
        <v>3.0699000000000001</v>
      </c>
      <c r="G20" s="25">
        <f>IF($A20="","",[1]!thsiFinD("ths_adjustment_nv_fund",G$3,$A20))</f>
        <v>3.7732000000000001</v>
      </c>
      <c r="H20" s="25">
        <f>IF($A20="","",[1]!thsiFinD("ths_adjustment_nv_fund",H$3,$A20))</f>
        <v>2.976</v>
      </c>
      <c r="I20" s="25">
        <f>IF($A20="","",[1]!thsiFinD("ths_adjustment_nv_fund",I$3,$A20))</f>
        <v>1.917</v>
      </c>
      <c r="J20" s="25">
        <f>IF($A20="","",[1]!thsiFinD("ths_adjustment_nv_fund",J$3,$A20))</f>
        <v>1.5962000000000001</v>
      </c>
      <c r="K20" s="25">
        <f>IF($A20="","",[1]!thsiFinD("ths_adjustment_nv_fund",K$3,$A20))</f>
        <v>1.6301000000000001</v>
      </c>
      <c r="L20" s="25">
        <f>IF($A20="","",[1]!thsiFinD("ths_adjustment_nv_fund",L$3,$A20))</f>
        <v>2.0015000000000001</v>
      </c>
    </row>
    <row r="21" spans="1:12" ht="14.5" x14ac:dyDescent="0.25">
      <c r="A21" s="23">
        <f>①配置与权重!A30</f>
        <v>46216</v>
      </c>
      <c r="B21" s="25">
        <f>IF($A21="","",[1]!thsiFinD("ths_adjustment_nv_fund",B$3,$A21))</f>
        <v>3.3969</v>
      </c>
      <c r="C21" s="25">
        <f>IF($A21="","",[1]!thsiFinD("ths_adjustment_nv_fund",C$3,$A21))</f>
        <v>4.1528</v>
      </c>
      <c r="D21" s="25">
        <f>IF($A21="","",[1]!thsiFinD("ths_adjustment_nv_fund",D$3,$A21))</f>
        <v>4.9359999999999999</v>
      </c>
      <c r="E21" s="25">
        <f>IF($A21="","",[1]!thsiFinD("ths_adjustment_nv_fund",E$3,$A21))</f>
        <v>3.7904</v>
      </c>
      <c r="F21" s="25">
        <f>IF($A21="","",[1]!thsiFinD("ths_adjustment_nv_fund",F$3,$A21))</f>
        <v>2.9287000000000001</v>
      </c>
      <c r="G21" s="25">
        <f>IF($A21="","",[1]!thsiFinD("ths_adjustment_nv_fund",G$3,$A21))</f>
        <v>3.6587000000000001</v>
      </c>
      <c r="H21" s="25">
        <f>IF($A21="","",[1]!thsiFinD("ths_adjustment_nv_fund",H$3,$A21))</f>
        <v>2.875</v>
      </c>
      <c r="I21" s="25">
        <f>IF($A21="","",[1]!thsiFinD("ths_adjustment_nv_fund",I$3,$A21))</f>
        <v>1.869</v>
      </c>
      <c r="J21" s="25">
        <f>IF($A21="","",[1]!thsiFinD("ths_adjustment_nv_fund",J$3,$A21))</f>
        <v>1.5275000000000001</v>
      </c>
      <c r="K21" s="25">
        <f>IF($A21="","",[1]!thsiFinD("ths_adjustment_nv_fund",K$3,$A21))</f>
        <v>1.5486</v>
      </c>
      <c r="L21" s="25">
        <f>IF($A21="","",[1]!thsiFinD("ths_adjustment_nv_fund",L$3,$A21))</f>
        <v>1.8946000000000001</v>
      </c>
    </row>
    <row r="22" spans="1:12" ht="14.5" x14ac:dyDescent="0.25">
      <c r="A22" s="23">
        <f>①配置与权重!A31</f>
        <v>46217</v>
      </c>
      <c r="B22" s="25">
        <f>IF($A22="","",[1]!thsiFinD("ths_adjustment_nv_fund",B$3,$A22))</f>
        <v>3.3774000000000002</v>
      </c>
      <c r="C22" s="25">
        <f>IF($A22="","",[1]!thsiFinD("ths_adjustment_nv_fund",C$3,$A22))</f>
        <v>4.3559000000000001</v>
      </c>
      <c r="D22" s="25">
        <f>IF($A22="","",[1]!thsiFinD("ths_adjustment_nv_fund",D$3,$A22))</f>
        <v>5.3049999999999997</v>
      </c>
      <c r="E22" s="25">
        <f>IF($A22="","",[1]!thsiFinD("ths_adjustment_nv_fund",E$3,$A22))</f>
        <v>3.9815</v>
      </c>
      <c r="F22" s="25">
        <f>IF($A22="","",[1]!thsiFinD("ths_adjustment_nv_fund",F$3,$A22))</f>
        <v>3.1547999999999998</v>
      </c>
      <c r="G22" s="25">
        <f>IF($A22="","",[1]!thsiFinD("ths_adjustment_nv_fund",G$3,$A22))</f>
        <v>3.6471</v>
      </c>
      <c r="H22" s="25">
        <f>IF($A22="","",[1]!thsiFinD("ths_adjustment_nv_fund",H$3,$A22))</f>
        <v>2.883</v>
      </c>
      <c r="I22" s="25">
        <f>IF($A22="","",[1]!thsiFinD("ths_adjustment_nv_fund",I$3,$A22))</f>
        <v>1.9198</v>
      </c>
      <c r="J22" s="25">
        <f>IF($A22="","",[1]!thsiFinD("ths_adjustment_nv_fund",J$3,$A22))</f>
        <v>1.5615000000000001</v>
      </c>
      <c r="K22" s="25">
        <f>IF($A22="","",[1]!thsiFinD("ths_adjustment_nv_fund",K$3,$A22))</f>
        <v>1.5827</v>
      </c>
      <c r="L22" s="25">
        <f>IF($A22="","",[1]!thsiFinD("ths_adjustment_nv_fund",L$3,$A22))</f>
        <v>1.9322999999999999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2"/>
  <sheetViews>
    <sheetView tabSelected="1" workbookViewId="0">
      <pane xSplit="1" ySplit="4" topLeftCell="B5" activePane="bottomRight" state="frozen"/>
      <selection pane="topRight"/>
      <selection pane="bottomLeft"/>
      <selection pane="bottomRight" activeCell="B22" sqref="B22"/>
    </sheetView>
  </sheetViews>
  <sheetFormatPr defaultRowHeight="14" x14ac:dyDescent="0.25"/>
  <cols>
    <col min="1" max="1" width="8" style="1" customWidth="1"/>
    <col min="2" max="12" width="8.453125" style="1" customWidth="1"/>
    <col min="13" max="13" width="2" style="1" customWidth="1"/>
    <col min="14" max="15" width="11" style="1" customWidth="1"/>
    <col min="16" max="16" width="2" style="1" customWidth="1"/>
    <col min="17" max="19" width="11" style="1" customWidth="1"/>
    <col min="20" max="20" width="2" style="1" customWidth="1"/>
    <col min="21" max="23" width="11" style="1" customWidth="1"/>
    <col min="24" max="24" width="2" style="1" customWidth="1"/>
  </cols>
  <sheetData>
    <row r="1" spans="1:25" ht="18" x14ac:dyDescent="0.45">
      <c r="A1" s="2" t="s">
        <v>29</v>
      </c>
    </row>
    <row r="3" spans="1:25" ht="28" customHeight="1" x14ac:dyDescent="0.4">
      <c r="A3" s="7" t="s">
        <v>30</v>
      </c>
      <c r="B3" s="22" t="str">
        <f>'②净值-iFinD'!B3</f>
        <v>019632</v>
      </c>
      <c r="C3" s="22" t="str">
        <f>'②净值-iFinD'!C3</f>
        <v>007817</v>
      </c>
      <c r="D3" s="22" t="str">
        <f>'②净值-iFinD'!D3</f>
        <v>001170</v>
      </c>
      <c r="E3" s="22" t="str">
        <f>'②净值-iFinD'!E3</f>
        <v>017488</v>
      </c>
      <c r="F3" s="22" t="str">
        <f>'②净值-iFinD'!F3</f>
        <v>016370</v>
      </c>
      <c r="G3" s="22" t="str">
        <f>'②净值-iFinD'!G3</f>
        <v>013840</v>
      </c>
      <c r="H3" s="22" t="str">
        <f>'②净值-iFinD'!H3</f>
        <v>162214</v>
      </c>
      <c r="I3" s="22" t="str">
        <f>'②净值-iFinD'!I3</f>
        <v>007044</v>
      </c>
      <c r="J3" s="22" t="str">
        <f>'②净值-iFinD'!J3</f>
        <v>015453</v>
      </c>
      <c r="K3" s="22" t="str">
        <f>'②净值-iFinD'!K3</f>
        <v>014201</v>
      </c>
      <c r="L3" s="22" t="str">
        <f>'②净值-iFinD'!L3</f>
        <v>019923</v>
      </c>
      <c r="N3" s="11" t="s">
        <v>31</v>
      </c>
      <c r="O3" s="11" t="s">
        <v>32</v>
      </c>
      <c r="Q3" s="11" t="s">
        <v>33</v>
      </c>
      <c r="R3" s="11" t="s">
        <v>34</v>
      </c>
      <c r="S3" s="11" t="s">
        <v>35</v>
      </c>
      <c r="U3" s="11" t="s">
        <v>36</v>
      </c>
      <c r="V3" s="11" t="s">
        <v>37</v>
      </c>
      <c r="W3" s="11" t="s">
        <v>38</v>
      </c>
      <c r="Y3" s="12" t="s">
        <v>39</v>
      </c>
    </row>
    <row r="4" spans="1:25" ht="28" customHeight="1" x14ac:dyDescent="0.4">
      <c r="A4" s="22" t="s">
        <v>30</v>
      </c>
      <c r="B4" s="7" t="str">
        <f>'②净值-iFinD'!B4</f>
        <v>国泰中证半导体材料设备主题ETF发起联接A</v>
      </c>
      <c r="C4" s="7" t="str">
        <f>'②净值-iFinD'!C4</f>
        <v>国泰中证全指通信设备ETF联接A</v>
      </c>
      <c r="D4" s="7" t="str">
        <f>'②净值-iFinD'!D4</f>
        <v>宏利复兴混合A</v>
      </c>
      <c r="E4" s="7" t="str">
        <f>'②净值-iFinD'!E4</f>
        <v>嘉实信息产业股票发起式A</v>
      </c>
      <c r="F4" s="7" t="str">
        <f>'②净值-iFinD'!F4</f>
        <v>信澳业绩驱动混合A</v>
      </c>
      <c r="G4" s="7" t="str">
        <f>'②净值-iFinD'!G4</f>
        <v>银华集成电路混合A</v>
      </c>
      <c r="H4" s="7" t="str">
        <f>'②净值-iFinD'!H4</f>
        <v>宏利领先中小盘混合</v>
      </c>
      <c r="I4" s="7" t="str">
        <f>'②净值-iFinD'!I4</f>
        <v>博道沪深300增强A</v>
      </c>
      <c r="J4" s="7" t="str">
        <f>'②净值-iFinD'!J4</f>
        <v>中欧中证500指数增强A</v>
      </c>
      <c r="K4" s="7" t="str">
        <f>'②净值-iFinD'!K4</f>
        <v>天弘中证1000指数增强A</v>
      </c>
      <c r="L4" s="7" t="str">
        <f>'②净值-iFinD'!L4</f>
        <v>华泰柏瑞中证2000指数增强A</v>
      </c>
    </row>
    <row r="5" spans="1:25" ht="14.5" x14ac:dyDescent="0.25">
      <c r="A5" s="23">
        <f>'②净值-iFinD'!A5</f>
        <v>46191</v>
      </c>
      <c r="B5" s="26">
        <v>0</v>
      </c>
      <c r="C5" s="26">
        <v>0</v>
      </c>
      <c r="D5" s="26">
        <v>0</v>
      </c>
      <c r="E5" s="26">
        <v>0</v>
      </c>
      <c r="F5" s="26">
        <v>0</v>
      </c>
      <c r="G5" s="26">
        <v>0</v>
      </c>
      <c r="H5" s="26">
        <v>0</v>
      </c>
      <c r="I5" s="26">
        <v>0</v>
      </c>
      <c r="J5" s="26">
        <v>0</v>
      </c>
      <c r="K5" s="26">
        <v>0</v>
      </c>
      <c r="L5" s="26">
        <v>0</v>
      </c>
      <c r="N5" s="26">
        <f>SUM(①配置与权重!B14:H14)</f>
        <v>0.05</v>
      </c>
      <c r="O5" s="26">
        <f>SUM(①配置与权重!I14:L14)</f>
        <v>0.05</v>
      </c>
      <c r="Q5" s="27">
        <v>0</v>
      </c>
      <c r="R5" s="28">
        <v>1</v>
      </c>
      <c r="S5" s="27">
        <v>0</v>
      </c>
      <c r="U5" s="29">
        <v>0</v>
      </c>
      <c r="V5" s="30">
        <v>1</v>
      </c>
      <c r="W5" s="29">
        <v>0</v>
      </c>
      <c r="Y5" s="31" t="str">
        <f t="shared" ref="Y5:Y22" si="0">TEXT(A5,"mm-dd")</f>
        <v>06-18</v>
      </c>
    </row>
    <row r="6" spans="1:25" ht="14.5" x14ac:dyDescent="0.25">
      <c r="A6" s="23">
        <f>'②净值-iFinD'!A6</f>
        <v>46195</v>
      </c>
      <c r="B6" s="26">
        <f>IFERROR('②净值-iFinD'!B6/'②净值-iFinD'!B5-1,"")</f>
        <v>2.7943044321144583E-2</v>
      </c>
      <c r="C6" s="26">
        <f>IFERROR('②净值-iFinD'!C6/'②净值-iFinD'!C5-1,"")</f>
        <v>1.6827449030333064E-2</v>
      </c>
      <c r="D6" s="26">
        <f>IFERROR('②净值-iFinD'!D6/'②净值-iFinD'!D5-1,"")</f>
        <v>3.2497525569119112E-2</v>
      </c>
      <c r="E6" s="26">
        <f>IFERROR('②净值-iFinD'!E6/'②净值-iFinD'!E5-1,"")</f>
        <v>2.7676454495713987E-2</v>
      </c>
      <c r="F6" s="26">
        <f>IFERROR('②净值-iFinD'!F6/'②净值-iFinD'!F5-1,"")</f>
        <v>2.2251524641503151E-2</v>
      </c>
      <c r="G6" s="26">
        <f>IFERROR('②净值-iFinD'!G6/'②净值-iFinD'!G5-1,"")</f>
        <v>1.5708015708015832E-2</v>
      </c>
      <c r="H6" s="26">
        <f>IFERROR('②净值-iFinD'!H6/'②净值-iFinD'!H5-1,"")</f>
        <v>1.5899581589958078E-2</v>
      </c>
      <c r="I6" s="26">
        <f>IFERROR('②净值-iFinD'!I6/'②净值-iFinD'!I5-1,"")</f>
        <v>2.2156350482315235E-2</v>
      </c>
      <c r="J6" s="26">
        <f>IFERROR('②净值-iFinD'!J6/'②净值-iFinD'!J5-1,"")</f>
        <v>2.4208909370199816E-2</v>
      </c>
      <c r="K6" s="26">
        <f>IFERROR('②净值-iFinD'!K6/'②净值-iFinD'!K5-1,"")</f>
        <v>1.8925590690020089E-2</v>
      </c>
      <c r="L6" s="26">
        <f>IFERROR('②净值-iFinD'!L6/'②净值-iFinD'!L5-1,"")</f>
        <v>5.1435518563547333E-4</v>
      </c>
      <c r="N6" s="26">
        <f>SUM(①配置与权重!B15:H15)</f>
        <v>5.1155999999999993E-2</v>
      </c>
      <c r="O6" s="26">
        <f>SUM(①配置与权重!I15:L15)</f>
        <v>5.0774E-2</v>
      </c>
      <c r="Q6" s="27">
        <f>IFERROR(SUMPRODUCT(①配置与权重!B14:H14,B6:H6)/N5,0)</f>
        <v>2.4103753418018181E-2</v>
      </c>
      <c r="R6" s="28">
        <f t="shared" ref="R6:R22" si="1">R5*(1+Q6)</f>
        <v>1.0241037534180182</v>
      </c>
      <c r="S6" s="27">
        <f>R6/MAX(R$5:R6)-1</f>
        <v>0</v>
      </c>
      <c r="U6" s="29">
        <f>IFERROR(SUMPRODUCT(①配置与权重!I14:L14,I6:L6)/O5,0)</f>
        <v>1.6451301432042653E-2</v>
      </c>
      <c r="V6" s="30">
        <f t="shared" ref="V6:V22" si="2">V5*(1+U6)</f>
        <v>1.0164513014320427</v>
      </c>
      <c r="W6" s="29">
        <f>V6/MAX(V$5:V6)-1</f>
        <v>0</v>
      </c>
      <c r="Y6" s="31" t="str">
        <f t="shared" si="0"/>
        <v>06-22</v>
      </c>
    </row>
    <row r="7" spans="1:25" ht="14.5" x14ac:dyDescent="0.25">
      <c r="A7" s="23">
        <f>'②净值-iFinD'!A7</f>
        <v>46196</v>
      </c>
      <c r="B7" s="26">
        <f>IFERROR('②净值-iFinD'!B7/'②净值-iFinD'!B6-1,"")</f>
        <v>-2.6012876373804339E-4</v>
      </c>
      <c r="C7" s="26">
        <f>IFERROR('②净值-iFinD'!C7/'②净值-iFinD'!C6-1,"")</f>
        <v>-2.8481445981103692E-2</v>
      </c>
      <c r="D7" s="26">
        <f>IFERROR('②净值-iFinD'!D7/'②净值-iFinD'!D6-1,"")</f>
        <v>-4.2019491931618469E-2</v>
      </c>
      <c r="E7" s="26">
        <f>IFERROR('②净值-iFinD'!E7/'②净值-iFinD'!E6-1,"")</f>
        <v>-2.3292958871289682E-2</v>
      </c>
      <c r="F7" s="26">
        <f>IFERROR('②净值-iFinD'!F7/'②净值-iFinD'!F6-1,"")</f>
        <v>-2.8216704288939076E-2</v>
      </c>
      <c r="G7" s="26">
        <f>IFERROR('②净值-iFinD'!G7/'②净值-iFinD'!G6-1,"")</f>
        <v>7.3426687026867388E-3</v>
      </c>
      <c r="H7" s="26">
        <f>IFERROR('②净值-iFinD'!H7/'②净值-iFinD'!H6-1,"")</f>
        <v>1.2355848434925987E-2</v>
      </c>
      <c r="I7" s="26">
        <f>IFERROR('②净值-iFinD'!I7/'②净值-iFinD'!I6-1,"")</f>
        <v>-2.4969279921356557E-2</v>
      </c>
      <c r="J7" s="26">
        <f>IFERROR('②净值-iFinD'!J7/'②净值-iFinD'!J6-1,"")</f>
        <v>-1.6797648329233916E-2</v>
      </c>
      <c r="K7" s="26">
        <f>IFERROR('②净值-iFinD'!K7/'②净值-iFinD'!K6-1,"")</f>
        <v>-1.955468389478543E-2</v>
      </c>
      <c r="L7" s="26">
        <f>IFERROR('②净值-iFinD'!L7/'②净值-iFinD'!L6-1,"")</f>
        <v>-5.654998364256536E-3</v>
      </c>
      <c r="N7" s="26">
        <f>SUM(①配置与权重!B16:H16)</f>
        <v>5.0277999999999996E-2</v>
      </c>
      <c r="O7" s="26">
        <f>SUM(①配置与权重!I16:L16)</f>
        <v>5.0074000000000007E-2</v>
      </c>
      <c r="Q7" s="27">
        <f>IFERROR(SUMPRODUCT(①配置与权重!B15:H15,B7:H7)/N6,0)</f>
        <v>-2.0178357082703279E-2</v>
      </c>
      <c r="R7" s="28">
        <f t="shared" si="1"/>
        <v>1.0034390221918126</v>
      </c>
      <c r="S7" s="27">
        <f>R7/MAX(R$5:R7)-1</f>
        <v>-2.0178357082703435E-2</v>
      </c>
      <c r="U7" s="29">
        <f>IFERROR(SUMPRODUCT(①配置与权重!I15:L15,I7:L7)/O6,0)</f>
        <v>-1.6800878062899389E-2</v>
      </c>
      <c r="V7" s="30">
        <f t="shared" si="2"/>
        <v>0.99937402705980749</v>
      </c>
      <c r="W7" s="29">
        <f>V7/MAX(V$5:V7)-1</f>
        <v>-1.6800878062899427E-2</v>
      </c>
      <c r="Y7" s="31" t="str">
        <f t="shared" si="0"/>
        <v>06-23</v>
      </c>
    </row>
    <row r="8" spans="1:25" ht="14.5" x14ac:dyDescent="0.25">
      <c r="A8" s="23">
        <f>'②净值-iFinD'!A8</f>
        <v>46197</v>
      </c>
      <c r="B8" s="26">
        <f>IFERROR('②净值-iFinD'!B8/'②净值-iFinD'!B7-1,"")</f>
        <v>5.0835881090222967E-2</v>
      </c>
      <c r="C8" s="26">
        <f>IFERROR('②净值-iFinD'!C8/'②净值-iFinD'!C7-1,"")</f>
        <v>1.5262257122722334E-2</v>
      </c>
      <c r="D8" s="26">
        <f>IFERROR('②净值-iFinD'!D8/'②净值-iFinD'!D7-1,"")</f>
        <v>1.9513008672448207E-2</v>
      </c>
      <c r="E8" s="26">
        <f>IFERROR('②净值-iFinD'!E8/'②净值-iFinD'!E7-1,"")</f>
        <v>2.4552557463432434E-2</v>
      </c>
      <c r="F8" s="26">
        <f>IFERROR('②净值-iFinD'!F8/'②净值-iFinD'!F7-1,"")</f>
        <v>2.557933742602736E-2</v>
      </c>
      <c r="G8" s="26">
        <f>IFERROR('②净值-iFinD'!G8/'②净值-iFinD'!G7-1,"")</f>
        <v>8.1438477664892872E-2</v>
      </c>
      <c r="H8" s="26">
        <f>IFERROR('②净值-iFinD'!H8/'②净值-iFinD'!H7-1,"")</f>
        <v>7.1196094385679309E-2</v>
      </c>
      <c r="I8" s="26">
        <f>IFERROR('②净值-iFinD'!I8/'②净值-iFinD'!I7-1,"")</f>
        <v>4.738619750970452E-3</v>
      </c>
      <c r="J8" s="26">
        <f>IFERROR('②净值-iFinD'!J8/'②净值-iFinD'!J7-1,"")</f>
        <v>1.4033803160656388E-2</v>
      </c>
      <c r="K8" s="26">
        <f>IFERROR('②净值-iFinD'!K8/'②净值-iFinD'!K7-1,"")</f>
        <v>1.2708124963228817E-2</v>
      </c>
      <c r="L8" s="26">
        <f>IFERROR('②净值-iFinD'!L8/'②净值-iFinD'!L7-1,"")</f>
        <v>1.6920473773265332E-3</v>
      </c>
      <c r="N8" s="26">
        <f>SUM(①配置与权重!B17:H17)</f>
        <v>5.2042999999999999E-2</v>
      </c>
      <c r="O8" s="26">
        <f>SUM(①配置与权重!I17:L17)</f>
        <v>5.0391999999999999E-2</v>
      </c>
      <c r="Q8" s="27">
        <f>IFERROR(SUMPRODUCT(①配置与权重!B16:H16,B8:H8)/N7,0)</f>
        <v>3.7139907266622696E-2</v>
      </c>
      <c r="R8" s="28">
        <f t="shared" si="1"/>
        <v>1.0407066544237271</v>
      </c>
      <c r="S8" s="27">
        <f>R8/MAX(R$5:R8)-1</f>
        <v>0</v>
      </c>
      <c r="U8" s="29">
        <f>IFERROR(SUMPRODUCT(①配置与权重!I16:L16,I8:L8)/O7,0)</f>
        <v>8.3135977202884424E-3</v>
      </c>
      <c r="V8" s="30">
        <f t="shared" si="2"/>
        <v>1.0076824206928874</v>
      </c>
      <c r="W8" s="29">
        <f>V8/MAX(V$5:V8)-1</f>
        <v>-8.6269560841735204E-3</v>
      </c>
      <c r="Y8" s="31" t="str">
        <f t="shared" si="0"/>
        <v>06-24</v>
      </c>
    </row>
    <row r="9" spans="1:25" ht="14.5" x14ac:dyDescent="0.25">
      <c r="A9" s="23">
        <f>'②净值-iFinD'!A9</f>
        <v>46198</v>
      </c>
      <c r="B9" s="26">
        <f>IFERROR('②净值-iFinD'!B9/'②净值-iFinD'!B8-1,"")</f>
        <v>2.7856015351759522E-2</v>
      </c>
      <c r="C9" s="26">
        <f>IFERROR('②净值-iFinD'!C9/'②净值-iFinD'!C8-1,"")</f>
        <v>3.0184637962834326E-2</v>
      </c>
      <c r="D9" s="26">
        <f>IFERROR('②净值-iFinD'!D9/'②净值-iFinD'!D8-1,"")</f>
        <v>3.2553574349746484E-2</v>
      </c>
      <c r="E9" s="26">
        <f>IFERROR('②净值-iFinD'!E9/'②净值-iFinD'!E8-1,"")</f>
        <v>3.9393469152497307E-2</v>
      </c>
      <c r="F9" s="26">
        <f>IFERROR('②净值-iFinD'!F9/'②净值-iFinD'!F8-1,"")</f>
        <v>3.6050368053495818E-2</v>
      </c>
      <c r="G9" s="26">
        <f>IFERROR('②净值-iFinD'!G9/'②净值-iFinD'!G8-1,"")</f>
        <v>3.1971368923352061E-2</v>
      </c>
      <c r="H9" s="26">
        <f>IFERROR('②净值-iFinD'!H9/'②净值-iFinD'!H8-1,"")</f>
        <v>2.2407899734143699E-2</v>
      </c>
      <c r="I9" s="26">
        <f>IFERROR('②净值-iFinD'!I9/'②净值-iFinD'!I8-1,"")</f>
        <v>1.374742862876932E-2</v>
      </c>
      <c r="J9" s="26">
        <f>IFERROR('②净值-iFinD'!J9/'②净值-iFinD'!J8-1,"")</f>
        <v>7.2808231542211832E-3</v>
      </c>
      <c r="K9" s="26">
        <f>IFERROR('②净值-iFinD'!K9/'②净值-iFinD'!K8-1,"")</f>
        <v>4.1247894033578092E-3</v>
      </c>
      <c r="L9" s="26">
        <f>IFERROR('②净值-iFinD'!L9/'②净值-iFinD'!L8-1,"")</f>
        <v>-9.3374624624625868E-3</v>
      </c>
      <c r="N9" s="26">
        <f>SUM(①配置与权重!B18:H18)</f>
        <v>5.3718000000000002E-2</v>
      </c>
      <c r="O9" s="26">
        <f>SUM(①配置与权重!I18:L18)</f>
        <v>5.0514999999999997E-2</v>
      </c>
      <c r="Q9" s="27">
        <f>IFERROR(SUMPRODUCT(①配置与权重!B17:H17,B9:H9)/N8,0)</f>
        <v>3.3750475832445344E-2</v>
      </c>
      <c r="R9" s="28">
        <f t="shared" si="1"/>
        <v>1.0758309992125201</v>
      </c>
      <c r="S9" s="27">
        <f>R9/MAX(R$5:R9)-1</f>
        <v>0</v>
      </c>
      <c r="U9" s="29">
        <f>IFERROR(SUMPRODUCT(①配置与权重!I17:L17,I9:L9)/O8,0)</f>
        <v>3.9864648941141242E-3</v>
      </c>
      <c r="V9" s="30">
        <f t="shared" si="2"/>
        <v>1.0116995112873954</v>
      </c>
      <c r="W9" s="29">
        <f>V9/MAX(V$5:V9)-1</f>
        <v>-4.6748822476321283E-3</v>
      </c>
      <c r="Y9" s="31" t="str">
        <f t="shared" si="0"/>
        <v>06-25</v>
      </c>
    </row>
    <row r="10" spans="1:25" ht="14.5" x14ac:dyDescent="0.25">
      <c r="A10" s="23">
        <f>'②净值-iFinD'!A10</f>
        <v>46199</v>
      </c>
      <c r="B10" s="26">
        <f>IFERROR('②净值-iFinD'!B10/'②净值-iFinD'!B9-1,"")</f>
        <v>3.3786021861543558E-2</v>
      </c>
      <c r="C10" s="26">
        <f>IFERROR('②净值-iFinD'!C10/'②净值-iFinD'!C9-1,"")</f>
        <v>-6.2758687072865471E-2</v>
      </c>
      <c r="D10" s="26">
        <f>IFERROR('②净值-iFinD'!D10/'②净值-iFinD'!D9-1,"")</f>
        <v>-5.1013941698352383E-2</v>
      </c>
      <c r="E10" s="26">
        <f>IFERROR('②净值-iFinD'!E10/'②净值-iFinD'!E9-1,"")</f>
        <v>-5.8183679563195922E-2</v>
      </c>
      <c r="F10" s="26">
        <f>IFERROR('②净值-iFinD'!F10/'②净值-iFinD'!F9-1,"")</f>
        <v>-6.3840308140745372E-2</v>
      </c>
      <c r="G10" s="26">
        <f>IFERROR('②净值-iFinD'!G10/'②净值-iFinD'!G9-1,"")</f>
        <v>3.2021270446795036E-2</v>
      </c>
      <c r="H10" s="26">
        <f>IFERROR('②净值-iFinD'!H10/'②净值-iFinD'!H9-1,"")</f>
        <v>2.786032689450213E-2</v>
      </c>
      <c r="I10" s="26">
        <f>IFERROR('②净值-iFinD'!I10/'②净值-iFinD'!I9-1,"")</f>
        <v>-2.9052214798317322E-2</v>
      </c>
      <c r="J10" s="26">
        <f>IFERROR('②净值-iFinD'!J10/'②净值-iFinD'!J9-1,"")</f>
        <v>-2.8136200716845861E-2</v>
      </c>
      <c r="K10" s="26">
        <f>IFERROR('②净值-iFinD'!K10/'②净值-iFinD'!K9-1,"")</f>
        <v>-2.7308493404304524E-2</v>
      </c>
      <c r="L10" s="26">
        <f>IFERROR('②净值-iFinD'!L10/'②净值-iFinD'!L9-1,"")</f>
        <v>-2.7376497892293794E-2</v>
      </c>
      <c r="N10" s="26">
        <f>SUM(①配置与权重!B19:H19)</f>
        <v>5.2245E-2</v>
      </c>
      <c r="O10" s="26">
        <f>SUM(①配置与权重!I19:L19)</f>
        <v>4.9215999999999996E-2</v>
      </c>
      <c r="Q10" s="27">
        <f>IFERROR(SUMPRODUCT(①配置与权重!B18:H18,B10:H10)/N9,0)</f>
        <v>-2.9708585944666892E-2</v>
      </c>
      <c r="R10" s="28">
        <f t="shared" si="1"/>
        <v>1.0438695815104782</v>
      </c>
      <c r="S10" s="27">
        <f>R10/MAX(R$5:R10)-1</f>
        <v>-2.9708585944666854E-2</v>
      </c>
      <c r="U10" s="29">
        <f>IFERROR(SUMPRODUCT(①配置与权重!I18:L18,I10:L10)/O9,0)</f>
        <v>-2.7972878062250486E-2</v>
      </c>
      <c r="V10" s="30">
        <f t="shared" si="2"/>
        <v>0.98339936422251473</v>
      </c>
      <c r="W10" s="29">
        <f>V10/MAX(V$5:V10)-1</f>
        <v>-3.2516990398814172E-2</v>
      </c>
      <c r="Y10" s="31" t="str">
        <f t="shared" si="0"/>
        <v>06-26</v>
      </c>
    </row>
    <row r="11" spans="1:25" ht="14.5" x14ac:dyDescent="0.25">
      <c r="A11" s="23">
        <f>'②净值-iFinD'!A11</f>
        <v>46202</v>
      </c>
      <c r="B11" s="26">
        <f>IFERROR('②净值-iFinD'!B11/'②净值-iFinD'!B10-1,"")</f>
        <v>7.7772275785733092E-2</v>
      </c>
      <c r="C11" s="26">
        <f>IFERROR('②净值-iFinD'!C11/'②净值-iFinD'!C10-1,"")</f>
        <v>-2.2450446749512243E-2</v>
      </c>
      <c r="D11" s="26">
        <f>IFERROR('②净值-iFinD'!D11/'②净值-iFinD'!D10-1,"")</f>
        <v>-3.255425709515869E-2</v>
      </c>
      <c r="E11" s="26">
        <f>IFERROR('②净值-iFinD'!E11/'②净值-iFinD'!E10-1,"")</f>
        <v>-1.8456451832057685E-2</v>
      </c>
      <c r="F11" s="26">
        <f>IFERROR('②净值-iFinD'!F11/'②净值-iFinD'!F10-1,"")</f>
        <v>-2.8912179255511372E-2</v>
      </c>
      <c r="G11" s="26">
        <f>IFERROR('②净值-iFinD'!G11/'②净值-iFinD'!G10-1,"")</f>
        <v>7.9781573788854532E-2</v>
      </c>
      <c r="H11" s="26">
        <f>IFERROR('②净值-iFinD'!H11/'②净值-iFinD'!H10-1,"")</f>
        <v>7.264185037947235E-2</v>
      </c>
      <c r="I11" s="26">
        <f>IFERROR('②净值-iFinD'!I11/'②净值-iFinD'!I10-1,"")</f>
        <v>9.8379039657456868E-3</v>
      </c>
      <c r="J11" s="26">
        <f>IFERROR('②净值-iFinD'!J11/'②净值-iFinD'!J10-1,"")</f>
        <v>8.9741225643862332E-3</v>
      </c>
      <c r="K11" s="26">
        <f>IFERROR('②净值-iFinD'!K11/'②净值-iFinD'!K10-1,"")</f>
        <v>8.9221984296927737E-4</v>
      </c>
      <c r="L11" s="26">
        <f>IFERROR('②净值-iFinD'!L11/'②净值-iFinD'!L10-1,"")</f>
        <v>-6.7202337472609397E-3</v>
      </c>
      <c r="N11" s="26">
        <f>SUM(①配置与权重!B20:H20)</f>
        <v>5.2644000000000003E-2</v>
      </c>
      <c r="O11" s="26">
        <f>SUM(①配置与权重!I20:L20)</f>
        <v>4.9300000000000004E-2</v>
      </c>
      <c r="Q11" s="27">
        <f>IFERROR(SUMPRODUCT(①配置与权重!B19:H19,B11:H11)/N10,0)</f>
        <v>9.282842794521665E-3</v>
      </c>
      <c r="R11" s="28">
        <f t="shared" si="1"/>
        <v>1.0535596587336231</v>
      </c>
      <c r="S11" s="27">
        <f>R11/MAX(R$5:R11)-1</f>
        <v>-2.0701523283117029E-2</v>
      </c>
      <c r="U11" s="29">
        <f>IFERROR(SUMPRODUCT(①配置与权重!I19:L19,I11:L11)/O10,0)</f>
        <v>3.3292833285393101E-3</v>
      </c>
      <c r="V11" s="30">
        <f t="shared" si="2"/>
        <v>0.98667337933111676</v>
      </c>
      <c r="W11" s="29">
        <f>V11/MAX(V$5:V11)-1</f>
        <v>-2.929596534430412E-2</v>
      </c>
      <c r="Y11" s="31" t="str">
        <f t="shared" si="0"/>
        <v>06-29</v>
      </c>
    </row>
    <row r="12" spans="1:25" ht="14.5" x14ac:dyDescent="0.25">
      <c r="A12" s="23">
        <f>'②净值-iFinD'!A12</f>
        <v>46203</v>
      </c>
      <c r="B12" s="26">
        <f>IFERROR('②净值-iFinD'!B12/'②净值-iFinD'!B11-1,"")</f>
        <v>2.7918164373935905E-2</v>
      </c>
      <c r="C12" s="26">
        <f>IFERROR('②净值-iFinD'!C12/'②净值-iFinD'!C11-1,"")</f>
        <v>4.5070600100857394E-2</v>
      </c>
      <c r="D12" s="26">
        <f>IFERROR('②净值-iFinD'!D12/'②净值-iFinD'!D11-1,"")</f>
        <v>3.951682484900787E-2</v>
      </c>
      <c r="E12" s="26">
        <f>IFERROR('②净值-iFinD'!E12/'②净值-iFinD'!E11-1,"")</f>
        <v>5.5095401794984289E-2</v>
      </c>
      <c r="F12" s="26">
        <f>IFERROR('②净值-iFinD'!F12/'②净值-iFinD'!F11-1,"")</f>
        <v>5.4078039563711267E-2</v>
      </c>
      <c r="G12" s="26">
        <f>IFERROR('②净值-iFinD'!G12/'②净值-iFinD'!G11-1,"")</f>
        <v>4.4088280297725602E-2</v>
      </c>
      <c r="H12" s="26">
        <f>IFERROR('②净值-iFinD'!H12/'②净值-iFinD'!H11-1,"")</f>
        <v>4.0094339622641639E-2</v>
      </c>
      <c r="I12" s="26">
        <f>IFERROR('②净值-iFinD'!I12/'②净值-iFinD'!I11-1,"")</f>
        <v>1.1155418706779052E-2</v>
      </c>
      <c r="J12" s="26">
        <f>IFERROR('②净值-iFinD'!J12/'②净值-iFinD'!J11-1,"")</f>
        <v>1.7179409077063612E-2</v>
      </c>
      <c r="K12" s="26">
        <f>IFERROR('②净值-iFinD'!K12/'②净值-iFinD'!K11-1,"")</f>
        <v>2.0562191715695066E-2</v>
      </c>
      <c r="L12" s="26">
        <f>IFERROR('②净值-iFinD'!L12/'②净值-iFinD'!L11-1,"")</f>
        <v>2.9759278325244054E-2</v>
      </c>
      <c r="N12" s="26">
        <f>SUM(①配置与权重!B21:H21)</f>
        <v>5.4907999999999998E-2</v>
      </c>
      <c r="O12" s="26">
        <f>SUM(①配置与权重!I21:L21)</f>
        <v>5.0154000000000004E-2</v>
      </c>
      <c r="Q12" s="27">
        <f>IFERROR(SUMPRODUCT(①配置与权重!B20:H20,B12:H12)/N11,0)</f>
        <v>4.5333285917865708E-2</v>
      </c>
      <c r="R12" s="28">
        <f>R11*(1+Q12)</f>
        <v>1.1013209799745234</v>
      </c>
      <c r="S12" s="27">
        <f>R12/MAX(R$5:R12)-1</f>
        <v>0</v>
      </c>
      <c r="U12" s="29">
        <f>IFERROR(SUMPRODUCT(①配置与权重!I20:L20,I12:L12)/O11,0)</f>
        <v>1.9547992985110806E-2</v>
      </c>
      <c r="V12" s="30">
        <f>V11*(1+U12)</f>
        <v>1.005960863628877</v>
      </c>
      <c r="W12" s="29">
        <f>V12/MAX(V$5:V12)-1</f>
        <v>-1.0320649684235739E-2</v>
      </c>
      <c r="Y12" s="31" t="str">
        <f t="shared" si="0"/>
        <v>06-30</v>
      </c>
    </row>
    <row r="13" spans="1:25" ht="14.5" x14ac:dyDescent="0.25">
      <c r="A13" s="23">
        <f>'②净值-iFinD'!A13</f>
        <v>46204</v>
      </c>
      <c r="B13" s="26">
        <f>IFERROR('②净值-iFinD'!B13/'②净值-iFinD'!B12-1,"")</f>
        <v>6.8885733817112271E-3</v>
      </c>
      <c r="C13" s="26">
        <f>IFERROR('②净值-iFinD'!C13/'②净值-iFinD'!C12-1,"")</f>
        <v>-4.0955425538331758E-2</v>
      </c>
      <c r="D13" s="26">
        <f>IFERROR('②净值-iFinD'!D13/'②净值-iFinD'!D12-1,"")</f>
        <v>-4.1002656042496644E-2</v>
      </c>
      <c r="E13" s="26">
        <f>IFERROR('②净值-iFinD'!E13/'②净值-iFinD'!E12-1,"")</f>
        <v>-4.6839124445124725E-2</v>
      </c>
      <c r="F13" s="26">
        <f>IFERROR('②净值-iFinD'!F13/'②净值-iFinD'!F12-1,"")</f>
        <v>-5.2227050516023832E-2</v>
      </c>
      <c r="G13" s="26">
        <f>IFERROR('②净值-iFinD'!G13/'②净值-iFinD'!G12-1,"")</f>
        <v>-1.3512506520281242E-2</v>
      </c>
      <c r="H13" s="26">
        <f>IFERROR('②净值-iFinD'!H13/'②净值-iFinD'!H12-1,"")</f>
        <v>-1.6196954972465316E-2</v>
      </c>
      <c r="I13" s="26">
        <f>IFERROR('②净值-iFinD'!I13/'②净值-iFinD'!I12-1,"")</f>
        <v>-3.9436900958466081E-3</v>
      </c>
      <c r="J13" s="26">
        <f>IFERROR('②净值-iFinD'!J13/'②净值-iFinD'!J12-1,"")</f>
        <v>3.4137869078276761E-3</v>
      </c>
      <c r="K13" s="26">
        <f>IFERROR('②净值-iFinD'!K13/'②净值-iFinD'!K12-1,"")</f>
        <v>1.4848890700518202E-2</v>
      </c>
      <c r="L13" s="26">
        <f>IFERROR('②净值-iFinD'!L13/'②净值-iFinD'!L12-1,"")</f>
        <v>1.3140354218244221E-2</v>
      </c>
      <c r="N13" s="26">
        <f>SUM(①配置与权重!B22:H22)</f>
        <v>5.3295000000000002E-2</v>
      </c>
      <c r="O13" s="26">
        <f>SUM(①配置与权重!I22:L22)</f>
        <v>5.0632999999999997E-2</v>
      </c>
      <c r="Q13" s="27">
        <f>IFERROR(SUMPRODUCT(①配置与权重!B21:H21,B13:H13)/N12,0)</f>
        <v>-3.2004980011968463E-2</v>
      </c>
      <c r="R13" s="28">
        <f t="shared" si="1"/>
        <v>1.0660732240236772</v>
      </c>
      <c r="S13" s="27">
        <f>R13/MAX(R$5:R13)-1</f>
        <v>-3.2004980011968498E-2</v>
      </c>
      <c r="U13" s="29">
        <f>IFERROR(SUMPRODUCT(①配置与权重!I21:L21,I13:L13)/O12,0)</f>
        <v>6.8162171486034588E-3</v>
      </c>
      <c r="V13" s="30">
        <f t="shared" si="2"/>
        <v>1.0128177113183681</v>
      </c>
      <c r="W13" s="29">
        <f>V13/MAX(V$5:V13)-1</f>
        <v>-3.5747803249948085E-3</v>
      </c>
      <c r="Y13" s="31" t="str">
        <f t="shared" si="0"/>
        <v>07-01</v>
      </c>
    </row>
    <row r="14" spans="1:25" ht="14.5" x14ac:dyDescent="0.25">
      <c r="A14" s="23">
        <f>'②净值-iFinD'!A14</f>
        <v>46205</v>
      </c>
      <c r="B14" s="26">
        <f>IFERROR('②净值-iFinD'!B14/'②净值-iFinD'!B13-1,"")</f>
        <v>-8.713703781073745E-2</v>
      </c>
      <c r="C14" s="26">
        <f>IFERROR('②净值-iFinD'!C14/'②净值-iFinD'!C13-1,"")</f>
        <v>-7.654088050314467E-2</v>
      </c>
      <c r="D14" s="26">
        <f>IFERROR('②净值-iFinD'!D14/'②净值-iFinD'!D13-1,"")</f>
        <v>-7.1663493162541059E-2</v>
      </c>
      <c r="E14" s="26">
        <f>IFERROR('②净值-iFinD'!E14/'②净值-iFinD'!E13-1,"")</f>
        <v>-8.9540939227786942E-2</v>
      </c>
      <c r="F14" s="26">
        <f>IFERROR('②净值-iFinD'!F14/'②净值-iFinD'!F13-1,"")</f>
        <v>-9.7630168782416815E-2</v>
      </c>
      <c r="G14" s="26">
        <f>IFERROR('②净值-iFinD'!G14/'②净值-iFinD'!G13-1,"")</f>
        <v>-0.10285786226866411</v>
      </c>
      <c r="H14" s="26">
        <f>IFERROR('②净值-iFinD'!H14/'②净值-iFinD'!H13-1,"")</f>
        <v>-8.5610800131708853E-2</v>
      </c>
      <c r="I14" s="26">
        <f>IFERROR('②净值-iFinD'!I14/'②净值-iFinD'!I13-1,"")</f>
        <v>-3.0672079386558471E-2</v>
      </c>
      <c r="J14" s="26">
        <f>IFERROR('②净值-iFinD'!J14/'②净值-iFinD'!J13-1,"")</f>
        <v>-3.0679240778321515E-2</v>
      </c>
      <c r="K14" s="26">
        <f>IFERROR('②净值-iFinD'!K14/'②净值-iFinD'!K13-1,"")</f>
        <v>-2.1230204268992359E-2</v>
      </c>
      <c r="L14" s="26">
        <f>IFERROR('②净值-iFinD'!L14/'②净值-iFinD'!L13-1,"")</f>
        <v>-1.5460526315789536E-2</v>
      </c>
      <c r="N14" s="26">
        <f>SUM(①配置与权重!B23:H23)</f>
        <v>5.9485999999999997E-2</v>
      </c>
      <c r="O14" s="26">
        <f>SUM(①配置与权重!I23:L23)</f>
        <v>4.9213999999999994E-2</v>
      </c>
      <c r="Q14" s="27">
        <f>IFERROR(SUMPRODUCT(①配置与权重!B22:H22,B14:H14)/N13,0)</f>
        <v>-8.9628416007980966E-2</v>
      </c>
      <c r="R14" s="28">
        <f t="shared" si="1"/>
        <v>0.97052276960591355</v>
      </c>
      <c r="S14" s="27">
        <f>R14/MAX(R$5:R14)-1</f>
        <v>-0.11876484035710966</v>
      </c>
      <c r="U14" s="29">
        <f>IFERROR(SUMPRODUCT(①配置与权重!I22:L22,I14:L14)/O13,0)</f>
        <v>-2.4550506088971118E-2</v>
      </c>
      <c r="V14" s="30">
        <f t="shared" si="2"/>
        <v>0.98795252392962862</v>
      </c>
      <c r="W14" s="29">
        <f>V14/MAX(V$5:V14)-1</f>
        <v>-2.8037523747830417E-2</v>
      </c>
      <c r="Y14" s="31" t="str">
        <f t="shared" si="0"/>
        <v>07-02</v>
      </c>
    </row>
    <row r="15" spans="1:25" ht="14.5" x14ac:dyDescent="0.25">
      <c r="A15" s="23">
        <f>'②净值-iFinD'!A15</f>
        <v>46206</v>
      </c>
      <c r="B15" s="26">
        <f>IFERROR('②净值-iFinD'!B15/'②净值-iFinD'!B14-1,"")</f>
        <v>-2.9892159386710082E-2</v>
      </c>
      <c r="C15" s="26">
        <f>IFERROR('②净值-iFinD'!C15/'②净值-iFinD'!C14-1,"")</f>
        <v>-3.6323185543363223E-4</v>
      </c>
      <c r="D15" s="26">
        <f>IFERROR('②净值-iFinD'!D15/'②净值-iFinD'!D14-1,"")</f>
        <v>7.8314376281931608E-3</v>
      </c>
      <c r="E15" s="26">
        <f>IFERROR('②净值-iFinD'!E15/'②净值-iFinD'!E14-1,"")</f>
        <v>5.0395605503128493E-5</v>
      </c>
      <c r="F15" s="26">
        <f>IFERROR('②净值-iFinD'!F15/'②净值-iFinD'!F14-1,"")</f>
        <v>-3.5884407748490998E-3</v>
      </c>
      <c r="G15" s="26">
        <f>IFERROR('②净值-iFinD'!G15/'②净值-iFinD'!G14-1,"")</f>
        <v>-1.7822060061745804E-2</v>
      </c>
      <c r="H15" s="26">
        <f>IFERROR('②净值-iFinD'!H15/'②净值-iFinD'!H14-1,"")</f>
        <v>-1.2963629816348576E-2</v>
      </c>
      <c r="I15" s="26">
        <f>IFERROR('②净值-iFinD'!I15/'②净值-iFinD'!I14-1,"")</f>
        <v>6.9282870585802847E-3</v>
      </c>
      <c r="J15" s="26">
        <f>IFERROR('②净值-iFinD'!J15/'②净值-iFinD'!J14-1,"")</f>
        <v>8.8054187192116995E-3</v>
      </c>
      <c r="K15" s="26">
        <f>IFERROR('②净值-iFinD'!K15/'②净值-iFinD'!K14-1,"")</f>
        <v>2.9897995075625072E-3</v>
      </c>
      <c r="L15" s="26">
        <f>IFERROR('②净值-iFinD'!L15/'②净值-iFinD'!L14-1,"")</f>
        <v>3.6752422318742095E-3</v>
      </c>
      <c r="N15" s="26">
        <f>SUM(①配置与权重!B24:H24)</f>
        <v>5.8966999999999992E-2</v>
      </c>
      <c r="O15" s="26">
        <f>SUM(①配置与权重!I24:L24)</f>
        <v>4.9444000000000002E-2</v>
      </c>
      <c r="Q15" s="27">
        <f>IFERROR(SUMPRODUCT(①配置与权重!B23:H23,B15:H15)/N14,0)</f>
        <v>-7.8645345193658431E-3</v>
      </c>
      <c r="R15" s="28">
        <f t="shared" si="1"/>
        <v>0.96289005978251729</v>
      </c>
      <c r="S15" s="27">
        <f>R15/MAX(R$5:R15)-1</f>
        <v>-0.12569534468980004</v>
      </c>
      <c r="U15" s="29">
        <f>IFERROR(SUMPRODUCT(①配置与权重!I23:L23,I15:L15)/O14,0)</f>
        <v>5.6110359180632317E-3</v>
      </c>
      <c r="V15" s="30">
        <f t="shared" si="2"/>
        <v>0.99349596102673898</v>
      </c>
      <c r="W15" s="29">
        <f>V15/MAX(V$5:V15)-1</f>
        <v>-2.258380738256982E-2</v>
      </c>
      <c r="Y15" s="31" t="str">
        <f t="shared" si="0"/>
        <v>07-03</v>
      </c>
    </row>
    <row r="16" spans="1:25" ht="14.5" x14ac:dyDescent="0.25">
      <c r="A16" s="23">
        <f>'②净值-iFinD'!A16</f>
        <v>46209</v>
      </c>
      <c r="B16" s="26">
        <f>IFERROR('②净值-iFinD'!B16/'②净值-iFinD'!B15-1,"")</f>
        <v>-9.3471722592439743E-3</v>
      </c>
      <c r="C16" s="26">
        <f>IFERROR('②净值-iFinD'!C16/'②净值-iFinD'!C15-1,"")</f>
        <v>-3.3929098630572474E-2</v>
      </c>
      <c r="D16" s="26">
        <f>IFERROR('②净值-iFinD'!D16/'②净值-iFinD'!D15-1,"")</f>
        <v>-3.1637372802960306E-2</v>
      </c>
      <c r="E16" s="26">
        <f>IFERROR('②净值-iFinD'!E16/'②净值-iFinD'!E15-1,"")</f>
        <v>-2.811933078008455E-2</v>
      </c>
      <c r="F16" s="26">
        <f>IFERROR('②净值-iFinD'!F16/'②净值-iFinD'!F15-1,"")</f>
        <v>-3.9774357013098727E-2</v>
      </c>
      <c r="G16" s="26">
        <f>IFERROR('②净值-iFinD'!G16/'②净值-iFinD'!G15-1,"")</f>
        <v>9.6870981568795145E-3</v>
      </c>
      <c r="H16" s="26">
        <f>IFERROR('②净值-iFinD'!H16/'②净值-iFinD'!H15-1,"")</f>
        <v>6.5669463699378205E-3</v>
      </c>
      <c r="I16" s="26">
        <f>IFERROR('②净值-iFinD'!I16/'②净值-iFinD'!I15-1,"")</f>
        <v>-1.0269576379974277E-3</v>
      </c>
      <c r="J16" s="26">
        <f>IFERROR('②净值-iFinD'!J16/'②净值-iFinD'!J15-1,"")</f>
        <v>-5.7376548861625132E-3</v>
      </c>
      <c r="K16" s="26">
        <f>IFERROR('②净值-iFinD'!K16/'②净值-iFinD'!K15-1,"")</f>
        <v>-1.367701209889538E-2</v>
      </c>
      <c r="L16" s="26">
        <f>IFERROR('②净值-iFinD'!L16/'②净值-iFinD'!L15-1,"")</f>
        <v>-1.2126688225223337E-2</v>
      </c>
      <c r="N16" s="26">
        <f>SUM(①配置与权重!B25:H25)</f>
        <v>5.806E-2</v>
      </c>
      <c r="O16" s="26">
        <f>SUM(①配置与权重!I25:L25)</f>
        <v>4.9086999999999999E-2</v>
      </c>
      <c r="Q16" s="27">
        <f>IFERROR(SUMPRODUCT(①配置与权重!B24:H24,B16:H16)/N15,0)</f>
        <v>-1.6274132395132566E-2</v>
      </c>
      <c r="R16" s="28">
        <f>R15*(1+Q16)</f>
        <v>0.94721985946765952</v>
      </c>
      <c r="S16" s="27">
        <f>R16/MAX(R$5:R16)-1</f>
        <v>-0.13992389440399899</v>
      </c>
      <c r="U16" s="29">
        <f>IFERROR(SUMPRODUCT(①配置与权重!I24:L24,I16:L16)/O15,0)</f>
        <v>-8.1294368633899831E-3</v>
      </c>
      <c r="V16" s="30">
        <f>V15*(1+U16)</f>
        <v>0.98541939833753922</v>
      </c>
      <c r="W16" s="29">
        <f>V16/MAX(V$5:V16)-1</f>
        <v>-3.0529650609708137E-2</v>
      </c>
      <c r="Y16" s="31" t="str">
        <f t="shared" si="0"/>
        <v>07-06</v>
      </c>
    </row>
    <row r="17" spans="1:25" ht="14.5" x14ac:dyDescent="0.25">
      <c r="A17" s="23">
        <f>'②净值-iFinD'!A17</f>
        <v>46210</v>
      </c>
      <c r="B17" s="26">
        <f>IFERROR('②净值-iFinD'!B17/'②净值-iFinD'!B16-1,"")</f>
        <v>1.488228115605561E-2</v>
      </c>
      <c r="C17" s="26">
        <f>IFERROR('②净值-iFinD'!C17/'②净值-iFinD'!C16-1,"")</f>
        <v>2.1157055878151532E-4</v>
      </c>
      <c r="D17" s="26">
        <f>IFERROR('②净值-iFinD'!D17/'②净值-iFinD'!D16-1,"")</f>
        <v>4.9675200611387638E-3</v>
      </c>
      <c r="E17" s="26">
        <f>IFERROR('②净值-iFinD'!E17/'②净值-iFinD'!E16-1,"")</f>
        <v>1.0629472155967434E-3</v>
      </c>
      <c r="F17" s="26">
        <f>IFERROR('②净值-iFinD'!F17/'②净值-iFinD'!F16-1,"")</f>
        <v>4.5139234624447244E-3</v>
      </c>
      <c r="G17" s="26">
        <f>IFERROR('②净值-iFinD'!G17/'②净值-iFinD'!G16-1,"")</f>
        <v>1.3414841229410834E-2</v>
      </c>
      <c r="H17" s="26">
        <f>IFERROR('②净值-iFinD'!H17/'②净值-iFinD'!H16-1,"")</f>
        <v>1.8847408481333927E-2</v>
      </c>
      <c r="I17" s="26">
        <f>IFERROR('②净值-iFinD'!I17/'②净值-iFinD'!I16-1,"")</f>
        <v>-1.2284759701876147E-2</v>
      </c>
      <c r="J17" s="26">
        <f>IFERROR('②净值-iFinD'!J17/'②净值-iFinD'!J16-1,"")</f>
        <v>-1.6698385413469241E-2</v>
      </c>
      <c r="K17" s="26">
        <f>IFERROR('②净值-iFinD'!K17/'②净值-iFinD'!K16-1,"")</f>
        <v>-1.9970370370370416E-2</v>
      </c>
      <c r="L17" s="26">
        <f>IFERROR('②净值-iFinD'!L17/'②净值-iFinD'!L16-1,"")</f>
        <v>-2.5321330573340406E-2</v>
      </c>
      <c r="N17" s="26">
        <f>SUM(①配置与权重!B26:H26)</f>
        <v>5.8604999999999997E-2</v>
      </c>
      <c r="O17" s="26">
        <f>SUM(①配置与权重!I26:L26)</f>
        <v>4.8205999999999999E-2</v>
      </c>
      <c r="Q17" s="27">
        <f>IFERROR(SUMPRODUCT(①配置与权重!B25:H25,B17:H17)/N16,0)</f>
        <v>8.7795299411154385E-3</v>
      </c>
      <c r="R17" s="28">
        <f t="shared" si="1"/>
        <v>0.95553600458467502</v>
      </c>
      <c r="S17" s="27">
        <f>R17/MAX(R$5:R17)-1</f>
        <v>-0.13237283048328086</v>
      </c>
      <c r="U17" s="29">
        <f>IFERROR(SUMPRODUCT(①配置与权重!I25:L25,I17:L17)/O16,0)</f>
        <v>-1.8520822547605644E-2</v>
      </c>
      <c r="V17" s="30">
        <f t="shared" si="2"/>
        <v>0.96716862052596131</v>
      </c>
      <c r="W17" s="29">
        <f>V17/MAX(V$5:V17)-1</f>
        <v>-4.8485038915931034E-2</v>
      </c>
      <c r="Y17" s="31" t="str">
        <f t="shared" si="0"/>
        <v>07-07</v>
      </c>
    </row>
    <row r="18" spans="1:25" ht="14.5" x14ac:dyDescent="0.25">
      <c r="A18" s="23">
        <f>'②净值-iFinD'!A18</f>
        <v>46211</v>
      </c>
      <c r="B18" s="26">
        <f>IFERROR('②净值-iFinD'!B18/'②净值-iFinD'!B17-1,"")</f>
        <v>1.3608235328621321E-2</v>
      </c>
      <c r="C18" s="26">
        <f>IFERROR('②净值-iFinD'!C18/'②净值-iFinD'!C17-1,"")</f>
        <v>-5.0531164802106732E-3</v>
      </c>
      <c r="D18" s="26">
        <f>IFERROR('②净值-iFinD'!D18/'②净值-iFinD'!D17-1,"")</f>
        <v>-2.205323193916342E-2</v>
      </c>
      <c r="E18" s="26">
        <f>IFERROR('②净值-iFinD'!E18/'②净值-iFinD'!E17-1,"")</f>
        <v>-4.1436821795759471E-4</v>
      </c>
      <c r="F18" s="26">
        <f>IFERROR('②净值-iFinD'!F18/'②净值-iFinD'!F17-1,"")</f>
        <v>-1.1068891458780761E-2</v>
      </c>
      <c r="G18" s="26">
        <f>IFERROR('②净值-iFinD'!G18/'②净值-iFinD'!G17-1,"")</f>
        <v>4.2727882037533416E-2</v>
      </c>
      <c r="H18" s="26">
        <f>IFERROR('②净值-iFinD'!H18/'②净值-iFinD'!H17-1,"")</f>
        <v>3.8776236214870252E-2</v>
      </c>
      <c r="I18" s="26">
        <f>IFERROR('②净值-iFinD'!I18/'②净值-iFinD'!I17-1,"")</f>
        <v>-7.0253955037469229E-3</v>
      </c>
      <c r="J18" s="26">
        <f>IFERROR('②净值-iFinD'!J18/'②净值-iFinD'!J17-1,"")</f>
        <v>-1.3735406130985672E-2</v>
      </c>
      <c r="K18" s="26">
        <f>IFERROR('②净值-iFinD'!K18/'②净值-iFinD'!K17-1,"")</f>
        <v>-2.3642520256379251E-2</v>
      </c>
      <c r="L18" s="26">
        <f>IFERROR('②净值-iFinD'!L18/'②净值-iFinD'!L17-1,"")</f>
        <v>-2.2768805255099611E-2</v>
      </c>
      <c r="N18" s="26">
        <f>SUM(①配置与权重!B27:H27)</f>
        <v>5.8665999999999996E-2</v>
      </c>
      <c r="O18" s="26">
        <f>SUM(①配置与权重!I27:L27)</f>
        <v>4.8257000000000001E-2</v>
      </c>
      <c r="Q18" s="27">
        <f>IFERROR(SUMPRODUCT(①配置与权重!B26:H26,B18:H18)/N17,0)</f>
        <v>1.0721285020920917E-2</v>
      </c>
      <c r="R18" s="28">
        <f t="shared" si="1"/>
        <v>0.96578057843757925</v>
      </c>
      <c r="S18" s="27">
        <f>R18/MAX(R$5:R18)-1</f>
        <v>-0.12307075230699738</v>
      </c>
      <c r="U18" s="29">
        <f>IFERROR(SUMPRODUCT(①配置与权重!I26:L26,I18:L18)/O17,0)</f>
        <v>-1.6709468126354366E-2</v>
      </c>
      <c r="V18" s="30">
        <f t="shared" si="2"/>
        <v>0.9510077472884727</v>
      </c>
      <c r="W18" s="29">
        <f>V18/MAX(V$5:V18)-1</f>
        <v>-6.4384347829914534E-2</v>
      </c>
      <c r="Y18" s="31" t="str">
        <f t="shared" si="0"/>
        <v>07-08</v>
      </c>
    </row>
    <row r="19" spans="1:25" ht="14.5" x14ac:dyDescent="0.25">
      <c r="A19" s="23">
        <f>'②净值-iFinD'!A19</f>
        <v>46212</v>
      </c>
      <c r="B19" s="26">
        <f>IFERROR('②净值-iFinD'!B19/'②净值-iFinD'!B18-1,"")</f>
        <v>9.5078267411243811E-2</v>
      </c>
      <c r="C19" s="26">
        <f>IFERROR('②净值-iFinD'!C19/'②净值-iFinD'!C18-1,"")</f>
        <v>5.8417782817187458E-2</v>
      </c>
      <c r="D19" s="26">
        <f>IFERROR('②净值-iFinD'!D19/'②净值-iFinD'!D18-1,"")</f>
        <v>5.4821150855365541E-2</v>
      </c>
      <c r="E19" s="26">
        <f>IFERROR('②净值-iFinD'!E19/'②净值-iFinD'!E18-1,"")</f>
        <v>6.2155089773816563E-2</v>
      </c>
      <c r="F19" s="26">
        <f>IFERROR('②净值-iFinD'!F19/'②净值-iFinD'!F18-1,"")</f>
        <v>7.390578015369198E-2</v>
      </c>
      <c r="G19" s="26">
        <f>IFERROR('②净值-iFinD'!G19/'②净值-iFinD'!G18-1,"")</f>
        <v>7.3410466548824216E-2</v>
      </c>
      <c r="H19" s="26">
        <f>IFERROR('②净值-iFinD'!H19/'②净值-iFinD'!H18-1,"")</f>
        <v>8.0821917808219235E-2</v>
      </c>
      <c r="I19" s="26">
        <f>IFERROR('②净值-iFinD'!I19/'②净值-iFinD'!I18-1,"")</f>
        <v>2.6046852890309724E-2</v>
      </c>
      <c r="J19" s="26">
        <f>IFERROR('②净值-iFinD'!J19/'②净值-iFinD'!J18-1,"")</f>
        <v>2.6017598278154086E-2</v>
      </c>
      <c r="K19" s="26">
        <f>IFERROR('②净值-iFinD'!K19/'②净值-iFinD'!K18-1,"")</f>
        <v>1.8950888709976965E-2</v>
      </c>
      <c r="L19" s="26">
        <f>IFERROR('②净值-iFinD'!L19/'②净值-iFinD'!L18-1,"")</f>
        <v>1.5516021429293536E-2</v>
      </c>
      <c r="N19" s="26">
        <f>SUM(①配置与权重!B28:H28)</f>
        <v>6.2512999999999999E-2</v>
      </c>
      <c r="O19" s="26">
        <f>SUM(①配置与权重!I28:L28)</f>
        <v>4.9054E-2</v>
      </c>
      <c r="Q19" s="27">
        <f>IFERROR(SUMPRODUCT(①配置与权重!B27:H27,B19:H19)/N18,0)</f>
        <v>7.1079297646698764E-2</v>
      </c>
      <c r="R19" s="28">
        <f t="shared" si="1"/>
        <v>1.0344275836337449</v>
      </c>
      <c r="S19" s="27">
        <f>R19/MAX(R$5:R19)-1</f>
        <v>-6.0739237295130755E-2</v>
      </c>
      <c r="U19" s="29">
        <f>IFERROR(SUMPRODUCT(①配置与权重!I27:L27,I19:L19)/O18,0)</f>
        <v>2.1717016105853162E-2</v>
      </c>
      <c r="V19" s="30">
        <f t="shared" si="2"/>
        <v>0.97166079785312753</v>
      </c>
      <c r="W19" s="29">
        <f>V19/MAX(V$5:V19)-1</f>
        <v>-4.4065567642848524E-2</v>
      </c>
      <c r="Y19" s="31" t="str">
        <f t="shared" si="0"/>
        <v>07-09</v>
      </c>
    </row>
    <row r="20" spans="1:25" ht="14.5" x14ac:dyDescent="0.25">
      <c r="A20" s="23">
        <f>'②净值-iFinD'!A20</f>
        <v>46213</v>
      </c>
      <c r="B20" s="26">
        <f>IFERROR('②净值-iFinD'!B20/'②净值-iFinD'!B19-1,"")</f>
        <v>-6.1325864665627394E-2</v>
      </c>
      <c r="C20" s="26">
        <f>IFERROR('②净值-iFinD'!C20/'②净值-iFinD'!C19-1,"")</f>
        <v>-2.8902379145650192E-2</v>
      </c>
      <c r="D20" s="26">
        <f>IFERROR('②净值-iFinD'!D20/'②净值-iFinD'!D19-1,"")</f>
        <v>-4.7548838923700654E-2</v>
      </c>
      <c r="E20" s="26">
        <f>IFERROR('②净值-iFinD'!E20/'②净值-iFinD'!E19-1,"")</f>
        <v>-4.366279637037751E-2</v>
      </c>
      <c r="F20" s="26">
        <f>IFERROR('②净值-iFinD'!F20/'②净值-iFinD'!F19-1,"")</f>
        <v>-4.4894530520813825E-2</v>
      </c>
      <c r="G20" s="26">
        <f>IFERROR('②净值-iFinD'!G20/'②净值-iFinD'!G19-1,"")</f>
        <v>-5.8559345293046294E-2</v>
      </c>
      <c r="H20" s="26">
        <f>IFERROR('②净值-iFinD'!H20/'②净值-iFinD'!H19-1,"")</f>
        <v>-5.7034220532319435E-2</v>
      </c>
      <c r="I20" s="26">
        <f>IFERROR('②净值-iFinD'!I20/'②净值-iFinD'!I19-1,"")</f>
        <v>-2.0839718050873368E-2</v>
      </c>
      <c r="J20" s="26">
        <f>IFERROR('②净值-iFinD'!J20/'②净值-iFinD'!J19-1,"")</f>
        <v>-1.5177690029614999E-2</v>
      </c>
      <c r="K20" s="26">
        <f>IFERROR('②净值-iFinD'!K20/'②净值-iFinD'!K19-1,"")</f>
        <v>-9.2384367592535099E-3</v>
      </c>
      <c r="L20" s="26">
        <f>IFERROR('②净值-iFinD'!L20/'②净值-iFinD'!L19-1,"")</f>
        <v>-3.8819489374408711E-3</v>
      </c>
      <c r="N20" s="26">
        <f>SUM(①配置与权重!B29:H29)</f>
        <v>5.9582999999999997E-2</v>
      </c>
      <c r="O20" s="26">
        <f>SUM(①配置与权重!I29:L29)</f>
        <v>4.8625000000000002E-2</v>
      </c>
      <c r="Q20" s="27">
        <f>IFERROR(SUMPRODUCT(①配置与权重!B28:H28,B20:H20)/N19,0)</f>
        <v>-5.0400801965197244E-2</v>
      </c>
      <c r="R20" s="28">
        <f t="shared" si="1"/>
        <v>0.98229160384368297</v>
      </c>
      <c r="S20" s="27">
        <f>R20/MAX(R$5:R20)-1</f>
        <v>-0.10807873298989901</v>
      </c>
      <c r="U20" s="29">
        <f>IFERROR(SUMPRODUCT(①配置与权重!I28:L28,I20:L20)/O19,0)</f>
        <v>-1.241576175628816E-2</v>
      </c>
      <c r="V20" s="30">
        <f t="shared" si="2"/>
        <v>0.95959688887905825</v>
      </c>
      <c r="W20" s="29">
        <f>V20/MAX(V$5:V20)-1</f>
        <v>-5.5934221809627482E-2</v>
      </c>
      <c r="Y20" s="31" t="str">
        <f t="shared" si="0"/>
        <v>07-10</v>
      </c>
    </row>
    <row r="21" spans="1:25" ht="14.5" x14ac:dyDescent="0.25">
      <c r="A21" s="23">
        <f>'②净值-iFinD'!A21</f>
        <v>46216</v>
      </c>
      <c r="B21" s="26">
        <f>IFERROR('②净值-iFinD'!B21/'②净值-iFinD'!B20-1,"")</f>
        <v>-4.3827056240499873E-2</v>
      </c>
      <c r="C21" s="26">
        <f>IFERROR('②净值-iFinD'!C21/'②净值-iFinD'!C20-1,"")</f>
        <v>-4.5574682264254984E-2</v>
      </c>
      <c r="D21" s="26">
        <f>IFERROR('②净值-iFinD'!D21/'②净值-iFinD'!D20-1,"")</f>
        <v>-4.4891640866873139E-2</v>
      </c>
      <c r="E21" s="26">
        <f>IFERROR('②净值-iFinD'!E21/'②净值-iFinD'!E20-1,"")</f>
        <v>-3.3209202673060267E-2</v>
      </c>
      <c r="F21" s="26">
        <f>IFERROR('②净值-iFinD'!F21/'②净值-iFinD'!F20-1,"")</f>
        <v>-4.5994983549952795E-2</v>
      </c>
      <c r="G21" s="26">
        <f>IFERROR('②净值-iFinD'!G21/'②净值-iFinD'!G20-1,"")</f>
        <v>-3.0345595250715562E-2</v>
      </c>
      <c r="H21" s="26">
        <f>IFERROR('②净值-iFinD'!H21/'②净值-iFinD'!H20-1,"")</f>
        <v>-3.393817204301075E-2</v>
      </c>
      <c r="I21" s="26">
        <f>IFERROR('②净值-iFinD'!I21/'②净值-iFinD'!I20-1,"")</f>
        <v>-2.5039123630672955E-2</v>
      </c>
      <c r="J21" s="26">
        <f>IFERROR('②净值-iFinD'!J21/'②净值-iFinD'!J20-1,"")</f>
        <v>-4.3039719333416881E-2</v>
      </c>
      <c r="K21" s="26">
        <f>IFERROR('②净值-iFinD'!K21/'②净值-iFinD'!K20-1,"")</f>
        <v>-4.999693270351524E-2</v>
      </c>
      <c r="L21" s="26">
        <f>IFERROR('②净值-iFinD'!L21/'②净值-iFinD'!L20-1,"")</f>
        <v>-5.3409942543092725E-2</v>
      </c>
      <c r="N21" s="26">
        <f>SUM(①配置与权重!B30:H30)</f>
        <v>5.7598000000000003E-2</v>
      </c>
      <c r="O21" s="26">
        <f>SUM(①配置与权重!I30:L30)</f>
        <v>4.6788000000000003E-2</v>
      </c>
      <c r="Q21" s="27">
        <f>IFERROR(SUMPRODUCT(①配置与权重!B29:H29,B21:H21)/N20,0)</f>
        <v>-3.8343343154488084E-2</v>
      </c>
      <c r="R21" s="28">
        <f t="shared" si="1"/>
        <v>0.94462725979973217</v>
      </c>
      <c r="S21" s="27">
        <f>R21/MAX(R$5:R21)-1</f>
        <v>-0.14227797619765314</v>
      </c>
      <c r="U21" s="29">
        <f>IFERROR(SUMPRODUCT(①配置与权重!I29:L29,I21:L21)/O20,0)</f>
        <v>-4.2759200289967485E-2</v>
      </c>
      <c r="V21" s="30">
        <f t="shared" si="2"/>
        <v>0.91856529330984893</v>
      </c>
      <c r="W21" s="29">
        <f>V21/MAX(V$5:V21)-1</f>
        <v>-9.6301719506173611E-2</v>
      </c>
      <c r="Y21" s="31" t="str">
        <f t="shared" si="0"/>
        <v>07-13</v>
      </c>
    </row>
    <row r="22" spans="1:25" ht="14.5" x14ac:dyDescent="0.25">
      <c r="A22" s="23">
        <f>'②净值-iFinD'!A22</f>
        <v>46217</v>
      </c>
      <c r="B22" s="26">
        <f>IFERROR('②净值-iFinD'!B22/'②净值-iFinD'!B21-1,"")</f>
        <v>-5.7405281285878296E-3</v>
      </c>
      <c r="C22" s="26">
        <f>IFERROR('②净值-iFinD'!C22/'②净值-iFinD'!C21-1,"")</f>
        <v>4.8906761702947499E-2</v>
      </c>
      <c r="D22" s="26">
        <f>IFERROR('②净值-iFinD'!D22/'②净值-iFinD'!D21-1,"")</f>
        <v>7.4756888168557412E-2</v>
      </c>
      <c r="E22" s="26">
        <f>IFERROR('②净值-iFinD'!E22/'②净值-iFinD'!E21-1,"")</f>
        <v>5.0416842549598995E-2</v>
      </c>
      <c r="F22" s="26">
        <f>IFERROR('②净值-iFinD'!F22/'②净值-iFinD'!F21-1,"")</f>
        <v>7.7201488715129551E-2</v>
      </c>
      <c r="G22" s="26">
        <f>IFERROR('②净值-iFinD'!G22/'②净值-iFinD'!G21-1,"")</f>
        <v>-3.1705250498811344E-3</v>
      </c>
      <c r="H22" s="26">
        <f>IFERROR('②净值-iFinD'!H22/'②净值-iFinD'!H21-1,"")</f>
        <v>2.7826086956521667E-3</v>
      </c>
      <c r="I22" s="26">
        <f>IFERROR('②净值-iFinD'!I22/'②净值-iFinD'!I21-1,"")</f>
        <v>2.7180310326377688E-2</v>
      </c>
      <c r="J22" s="26">
        <f>IFERROR('②净值-iFinD'!J22/'②净值-iFinD'!J21-1,"")</f>
        <v>2.2258592471358529E-2</v>
      </c>
      <c r="K22" s="26">
        <f>IFERROR('②净值-iFinD'!K22/'②净值-iFinD'!K21-1,"")</f>
        <v>2.2019888931938514E-2</v>
      </c>
      <c r="L22" s="26">
        <f>IFERROR('②净值-iFinD'!L22/'②净值-iFinD'!L21-1,"")</f>
        <v>1.9898659347619363E-2</v>
      </c>
      <c r="N22" s="26">
        <f>SUM(①配置与权重!B31:H31)</f>
        <v>5.9350999999999994E-2</v>
      </c>
      <c r="O22" s="26">
        <f>SUM(①配置与权重!I31:L31)</f>
        <v>4.7725999999999998E-2</v>
      </c>
      <c r="Q22" s="27">
        <f>IFERROR(SUMPRODUCT(①配置与权重!B30:H30,B22:H22)/N21,0)</f>
        <v>3.3330170887389092E-2</v>
      </c>
      <c r="R22" s="28">
        <f t="shared" si="1"/>
        <v>0.97611184779374327</v>
      </c>
      <c r="S22" s="27">
        <f>R22/MAX(R$5:R22)-1</f>
        <v>-0.11368995457044373</v>
      </c>
      <c r="U22" s="29">
        <f>IFERROR(SUMPRODUCT(①配置与权重!I30:L30,I22:L22)/O21,0)</f>
        <v>2.289383996058909E-2</v>
      </c>
      <c r="V22" s="30">
        <f t="shared" si="2"/>
        <v>0.93959478012823627</v>
      </c>
      <c r="W22" s="29">
        <f>V22/MAX(V$5:V22)-1</f>
        <v>-7.5612595699888319E-2</v>
      </c>
      <c r="Y22" s="31" t="str">
        <f t="shared" si="0"/>
        <v>07-14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C5" sqref="C5"/>
    </sheetView>
  </sheetViews>
  <sheetFormatPr defaultRowHeight="14" x14ac:dyDescent="0.25"/>
  <cols>
    <col min="2" max="2" width="16" style="1" customWidth="1"/>
    <col min="3" max="4" width="12" style="1" customWidth="1"/>
  </cols>
  <sheetData>
    <row r="1" spans="2:4" ht="18" x14ac:dyDescent="0.45">
      <c r="B1" s="2" t="s">
        <v>40</v>
      </c>
    </row>
    <row r="2" spans="2:4" ht="14.5" x14ac:dyDescent="0.3">
      <c r="B2" s="8" t="s">
        <v>41</v>
      </c>
    </row>
    <row r="4" spans="2:4" ht="14.5" x14ac:dyDescent="0.25">
      <c r="B4" s="22" t="s">
        <v>42</v>
      </c>
      <c r="C4" s="32" t="s">
        <v>22</v>
      </c>
      <c r="D4" s="33" t="s">
        <v>23</v>
      </c>
    </row>
    <row r="5" spans="2:4" ht="14.5" x14ac:dyDescent="0.25">
      <c r="B5" s="4" t="s">
        <v>43</v>
      </c>
      <c r="C5" s="28">
        <f>LOOKUP(2,1/(③组合计算!$R$5:$R$22&lt;&gt;""),③组合计算!$R$5:$R$22)</f>
        <v>0.97611184779374327</v>
      </c>
      <c r="D5" s="30">
        <f>LOOKUP(2,1/(③组合计算!$V$5:$V$22&lt;&gt;""),③组合计算!$V$5:$V$22)</f>
        <v>0.93959478012823627</v>
      </c>
    </row>
    <row r="6" spans="2:4" ht="14.5" x14ac:dyDescent="0.25">
      <c r="B6" s="4" t="s">
        <v>44</v>
      </c>
      <c r="C6" s="27">
        <f>LOOKUP(2,1/(③组合计算!$R$5:$R$22&lt;&gt;""),③组合计算!$R$5:$R$22)-1</f>
        <v>-2.388815220625673E-2</v>
      </c>
      <c r="D6" s="29">
        <f>LOOKUP(2,1/(③组合计算!$V$5:$V$22&lt;&gt;""),③组合计算!$V$5:$V$22)-1</f>
        <v>-6.0405219871763727E-2</v>
      </c>
    </row>
    <row r="7" spans="2:4" ht="14.5" x14ac:dyDescent="0.25">
      <c r="B7" s="4" t="s">
        <v>45</v>
      </c>
      <c r="C7" s="34">
        <f>①配置与权重!$I$4*LOOKUP(2,1/(③组合计算!$R$5:$R$22&lt;&gt;""),③组合计算!$R$5:$R$22)</f>
        <v>976.11184779374332</v>
      </c>
      <c r="D7" s="35">
        <f>①配置与权重!$I$4*LOOKUP(2,1/(③组合计算!$V$5:$V$22&lt;&gt;""),③组合计算!$V$5:$V$22)</f>
        <v>939.59478012823627</v>
      </c>
    </row>
    <row r="8" spans="2:4" ht="14.5" x14ac:dyDescent="0.25">
      <c r="B8" s="4" t="s">
        <v>46</v>
      </c>
      <c r="C8" s="34">
        <f>①配置与权重!$I$4*(LOOKUP(2,1/(③组合计算!$R$5:$R$22&lt;&gt;""),③组合计算!$R$5:$R$22)-1)</f>
        <v>-23.888152206256731</v>
      </c>
      <c r="D8" s="35">
        <f>①配置与权重!$I$4*(LOOKUP(2,1/(③组合计算!$V$5:$V$22&lt;&gt;""),③组合计算!$V$5:$V$22)-1)</f>
        <v>-60.405219871763727</v>
      </c>
    </row>
    <row r="9" spans="2:4" ht="14.5" x14ac:dyDescent="0.25">
      <c r="B9" s="4" t="s">
        <v>47</v>
      </c>
      <c r="C9" s="27">
        <f>LOOKUP(2,1/(③组合计算!$R$5:$R$22&lt;&gt;""),③组合计算!$R$5:$R$22)^(①配置与权重!$G$4/MAX(COUNT(③组合计算!$Q$6:$Q$22),1))-1</f>
        <v>-0.29921932026517661</v>
      </c>
      <c r="D9" s="29">
        <f>LOOKUP(2,1/(③组合计算!$V$5:$V$22&lt;&gt;""),③组合计算!$V$5:$V$22)^(①配置与权重!$G$4/MAX(COUNT(③组合计算!$U$6:$U$22),1))-1</f>
        <v>-0.59999301090625956</v>
      </c>
    </row>
    <row r="10" spans="2:4" ht="14.5" x14ac:dyDescent="0.25">
      <c r="B10" s="4" t="s">
        <v>48</v>
      </c>
      <c r="C10" s="27">
        <f>STDEV(③组合计算!$Q$6:$Q$22)*SQRT(①配置与权重!$G$4)</f>
        <v>0.64072043948665203</v>
      </c>
      <c r="D10" s="29">
        <f>STDEV(③组合计算!$U$6:$U$22)*SQRT(①配置与权重!$G$4)</f>
        <v>0.30502959844649791</v>
      </c>
    </row>
    <row r="11" spans="2:4" ht="14.5" x14ac:dyDescent="0.25">
      <c r="B11" s="4" t="s">
        <v>49</v>
      </c>
      <c r="C11" s="36">
        <f>IFERROR((LOOKUP(2,1/(③组合计算!$R$5:$R$22&lt;&gt;""),③组合计算!$R$5:$R$22)^(①配置与权重!$G$4/MAX(COUNT(③组合计算!$Q$6:$Q$22),1))-1-①配置与权重!$E$4)/(STDEV(③组合计算!$Q$6:$Q$22)*SQRT(①配置与权重!$G$4)),"")</f>
        <v>-0.46700448717526855</v>
      </c>
      <c r="D11" s="37">
        <f>IFERROR((LOOKUP(2,1/(③组合计算!$V$5:$V$22&lt;&gt;""),③组合计算!$V$5:$V$22)^(①配置与权重!$G$4/MAX(COUNT(③组合计算!$U$6:$U$22),1))-1-①配置与权重!$E$4)/(STDEV(③组合计算!$U$6:$U$22)*SQRT(①配置与权重!$G$4)),"")</f>
        <v>-1.9669993140403328</v>
      </c>
    </row>
    <row r="12" spans="2:4" ht="14.5" x14ac:dyDescent="0.25">
      <c r="B12" s="4" t="s">
        <v>50</v>
      </c>
      <c r="C12" s="27">
        <f>MIN(③组合计算!$S$5:$S$22)</f>
        <v>-0.14227797619765314</v>
      </c>
      <c r="D12" s="29">
        <f>MIN(③组合计算!$W$5:$W$22)</f>
        <v>-9.6301719506173611E-2</v>
      </c>
    </row>
    <row r="13" spans="2:4" ht="14.5" x14ac:dyDescent="0.25">
      <c r="B13" s="4" t="s">
        <v>51</v>
      </c>
      <c r="C13" s="36">
        <f>IFERROR((LOOKUP(2,1/(③组合计算!$R$5:$R$22&lt;&gt;""),③组合计算!$R$5:$R$22)^(①配置与权重!$G$4/MAX(COUNT(③组合计算!$Q$6:$Q$22),1))-1)/ABS(MIN(③组合计算!$S$5:$S$22)),"")</f>
        <v>-2.1030614031893449</v>
      </c>
      <c r="D13" s="37">
        <f>IFERROR((LOOKUP(2,1/(③组合计算!$V$5:$V$22&lt;&gt;""),③组合计算!$V$5:$V$22)^(①配置与权重!$G$4/MAX(COUNT(③组合计算!$U$6:$U$22),1))-1)/ABS(MIN(③组合计算!$W$5:$W$22)),"")</f>
        <v>-6.2303457714251493</v>
      </c>
    </row>
    <row r="14" spans="2:4" ht="14.5" x14ac:dyDescent="0.25">
      <c r="B14" s="4" t="s">
        <v>52</v>
      </c>
      <c r="C14" s="27">
        <f>MAX(③组合计算!$Q$6:$Q$22)</f>
        <v>7.1079297646698764E-2</v>
      </c>
      <c r="D14" s="29">
        <f>MAX(③组合计算!$U$6:$U$22)</f>
        <v>2.289383996058909E-2</v>
      </c>
    </row>
    <row r="15" spans="2:4" ht="14.5" x14ac:dyDescent="0.25">
      <c r="B15" s="4" t="s">
        <v>53</v>
      </c>
      <c r="C15" s="27">
        <f>MIN(③组合计算!$Q$6:$Q$22)</f>
        <v>-8.9628416007980966E-2</v>
      </c>
      <c r="D15" s="29">
        <f>MIN(③组合计算!$U$6:$U$22)</f>
        <v>-4.2759200289967485E-2</v>
      </c>
    </row>
    <row r="16" spans="2:4" ht="14.5" x14ac:dyDescent="0.25">
      <c r="B16" s="4" t="s">
        <v>54</v>
      </c>
      <c r="C16" s="38">
        <f>COUNTIF(③组合计算!$Q$6:$Q$22,"&gt;0")/COUNT(③组合计算!$Q$6:$Q$22)</f>
        <v>0.52941176470588236</v>
      </c>
      <c r="D16" s="39">
        <f>COUNTIF(③组合计算!$U$6:$U$22,"&gt;0")/COUNT(③组合计算!$U$6:$U$22)</f>
        <v>0.52941176470588236</v>
      </c>
    </row>
    <row r="17" spans="2:2" ht="14.5" x14ac:dyDescent="0.3">
      <c r="B17" s="8" t="s">
        <v>55</v>
      </c>
    </row>
  </sheetData>
  <phoneticPr fontId="1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①配置与权重</vt:lpstr>
      <vt:lpstr>②净值-iFinD</vt:lpstr>
      <vt:lpstr>③组合计算</vt:lpstr>
      <vt:lpstr>④看板与走势图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白昕</dc:creator>
  <cp:lastModifiedBy>白昕</cp:lastModifiedBy>
  <dcterms:created xsi:type="dcterms:W3CDTF">2026-06-08T07:39:45Z</dcterms:created>
  <dcterms:modified xsi:type="dcterms:W3CDTF">2026-07-17T02:52:40Z</dcterms:modified>
</cp:coreProperties>
</file>