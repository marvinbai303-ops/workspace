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25600" windowHeight="11620"/>
  </bookViews>
  <sheets>
    <sheet name="Sheet1" sheetId="1" r:id="rId1"/>
  </sheets>
  <externalReferences>
    <externalReference r:id="rId2"/>
  </externalReferenc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2" i="1" l="1"/>
  <c r="C71" i="1"/>
  <c r="C52" i="1" l="1"/>
  <c r="C51" i="1"/>
  <c r="C32" i="1"/>
  <c r="C31" i="1"/>
  <c r="C13" i="1"/>
  <c r="C12" i="1"/>
</calcChain>
</file>

<file path=xl/sharedStrings.xml><?xml version="1.0" encoding="utf-8"?>
<sst xmlns="http://schemas.openxmlformats.org/spreadsheetml/2006/main" count="169" uniqueCount="39">
  <si>
    <t>基金简称</t>
  </si>
  <si>
    <t>初始配比</t>
  </si>
  <si>
    <t>001170.OF</t>
  </si>
  <si>
    <t>宏利复兴伟业</t>
  </si>
  <si>
    <t>016370.OF</t>
  </si>
  <si>
    <t>信澳业绩驱动A</t>
  </si>
  <si>
    <t>017488.OF</t>
  </si>
  <si>
    <t>嘉实信息产业A</t>
  </si>
  <si>
    <t>013840.OF</t>
  </si>
  <si>
    <t>银华集成电路混合A</t>
  </si>
  <si>
    <t>015453.OF</t>
  </si>
  <si>
    <t>中欧中证500指数增强A</t>
  </si>
  <si>
    <t>014201.OF</t>
  </si>
  <si>
    <t>天弘中证1000指数增强A</t>
  </si>
  <si>
    <t>019923.OF</t>
  </si>
  <si>
    <t>华泰柏瑞中证2000指数增强A</t>
  </si>
  <si>
    <t>007044.OF</t>
  </si>
  <si>
    <t>博道沪深300指数增强A</t>
  </si>
  <si>
    <t>932381.CSI</t>
  </si>
  <si>
    <t>科创创业50等权指数</t>
  </si>
  <si>
    <t>000906.SH</t>
  </si>
  <si>
    <t>中证800</t>
  </si>
  <si>
    <t>000300.SH</t>
  </si>
  <si>
    <t>沪深300</t>
  </si>
  <si>
    <t>000905.SH</t>
  </si>
  <si>
    <t>中证500</t>
  </si>
  <si>
    <t>000852.SH</t>
  </si>
  <si>
    <t>中证1000</t>
  </si>
  <si>
    <t>932000.CSI</t>
  </si>
  <si>
    <t>中证2000</t>
  </si>
  <si>
    <t>161119.OF</t>
    <phoneticPr fontId="4" type="noConversion"/>
  </si>
  <si>
    <t>000216.OF</t>
    <phoneticPr fontId="4" type="noConversion"/>
  </si>
  <si>
    <t>投顾样板间组合（10-90）</t>
    <phoneticPr fontId="4" type="noConversion"/>
  </si>
  <si>
    <t>投顾样板间组合10-90</t>
    <phoneticPr fontId="4" type="noConversion"/>
  </si>
  <si>
    <t>投顾样板间组合（20-80）</t>
    <phoneticPr fontId="4" type="noConversion"/>
  </si>
  <si>
    <t>投顾样板间组合20-80</t>
    <phoneticPr fontId="4" type="noConversion"/>
  </si>
  <si>
    <t>投顾样板间组合（30-70）</t>
    <phoneticPr fontId="4" type="noConversion"/>
  </si>
  <si>
    <t>投顾样板间组合30-70</t>
    <phoneticPr fontId="4" type="noConversion"/>
  </si>
  <si>
    <t>增值组合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</si>
</sst>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b/>
      <sz val="10"/>
      <color rgb="FF000000"/>
      <name val="华文中宋"/>
      <family val="3"/>
      <charset val="134"/>
    </font>
    <font>
      <sz val="10"/>
      <color rgb="FF000000"/>
      <name val="华文中宋"/>
      <family val="3"/>
      <charset val="134"/>
    </font>
    <font>
      <sz val="10"/>
      <color rgb="FF000000"/>
      <name val="等线"/>
      <family val="3"/>
      <charset val="134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10" fontId="1" fillId="3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10" fontId="1" fillId="5" borderId="0" xfId="0" applyNumberFormat="1" applyFont="1" applyFill="1" applyAlignment="1">
      <alignment horizontal="center" vertical="center" wrapText="1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8"/>
  <sheetViews>
    <sheetView tabSelected="1" topLeftCell="A64" workbookViewId="0">
      <selection activeCell="H20" sqref="H20"/>
    </sheetView>
  </sheetViews>
  <sheetFormatPr defaultRowHeight="14" x14ac:dyDescent="0.25"/>
  <cols>
    <col min="2" max="2" width="16.08984375" customWidth="1"/>
    <col min="3" max="3" width="24.90625" customWidth="1"/>
  </cols>
  <sheetData>
    <row r="3" spans="1:5" ht="28.5" thickBot="1" x14ac:dyDescent="0.3">
      <c r="B3" s="1" t="s">
        <v>32</v>
      </c>
      <c r="C3" s="2" t="s">
        <v>0</v>
      </c>
      <c r="D3" s="2" t="s">
        <v>1</v>
      </c>
    </row>
    <row r="4" spans="1:5" x14ac:dyDescent="0.25">
      <c r="A4" s="20" t="s">
        <v>33</v>
      </c>
      <c r="B4" s="3" t="s">
        <v>2</v>
      </c>
      <c r="C4" s="4" t="s">
        <v>3</v>
      </c>
      <c r="D4" s="5">
        <v>1.4999999999999999E-2</v>
      </c>
      <c r="E4" s="5"/>
    </row>
    <row r="5" spans="1:5" x14ac:dyDescent="0.25">
      <c r="A5" s="20"/>
      <c r="B5" s="3" t="s">
        <v>4</v>
      </c>
      <c r="C5" s="4" t="s">
        <v>5</v>
      </c>
      <c r="D5" s="5">
        <v>1.4999999999999999E-2</v>
      </c>
      <c r="E5" s="5"/>
    </row>
    <row r="6" spans="1:5" x14ac:dyDescent="0.25">
      <c r="A6" s="20"/>
      <c r="B6" s="3" t="s">
        <v>6</v>
      </c>
      <c r="C6" s="4" t="s">
        <v>7</v>
      </c>
      <c r="D6" s="5">
        <v>1.0000000000000002E-2</v>
      </c>
      <c r="E6" s="5"/>
    </row>
    <row r="7" spans="1:5" x14ac:dyDescent="0.25">
      <c r="A7" s="20"/>
      <c r="B7" s="3" t="s">
        <v>8</v>
      </c>
      <c r="C7" s="4" t="s">
        <v>9</v>
      </c>
      <c r="D7" s="5">
        <v>1.0000000000000002E-2</v>
      </c>
      <c r="E7" s="5"/>
    </row>
    <row r="8" spans="1:5" x14ac:dyDescent="0.25">
      <c r="A8" s="20"/>
      <c r="B8" s="6" t="s">
        <v>10</v>
      </c>
      <c r="C8" s="7" t="s">
        <v>11</v>
      </c>
      <c r="D8" s="8">
        <v>1.2500000000000001E-2</v>
      </c>
      <c r="E8" s="8"/>
    </row>
    <row r="9" spans="1:5" x14ac:dyDescent="0.25">
      <c r="A9" s="20"/>
      <c r="B9" s="6" t="s">
        <v>12</v>
      </c>
      <c r="C9" s="7" t="s">
        <v>13</v>
      </c>
      <c r="D9" s="8">
        <v>1.2500000000000001E-2</v>
      </c>
      <c r="E9" s="8"/>
    </row>
    <row r="10" spans="1:5" x14ac:dyDescent="0.25">
      <c r="A10" s="20"/>
      <c r="B10" s="6" t="s">
        <v>14</v>
      </c>
      <c r="C10" s="7" t="s">
        <v>15</v>
      </c>
      <c r="D10" s="8">
        <v>1.2500000000000001E-2</v>
      </c>
      <c r="E10" s="8"/>
    </row>
    <row r="11" spans="1:5" x14ac:dyDescent="0.25">
      <c r="A11" s="20"/>
      <c r="B11" s="6" t="s">
        <v>16</v>
      </c>
      <c r="C11" s="7" t="s">
        <v>17</v>
      </c>
      <c r="D11" s="8">
        <v>1.2500000000000001E-2</v>
      </c>
      <c r="E11" s="8"/>
    </row>
    <row r="12" spans="1:5" s="19" customFormat="1" x14ac:dyDescent="0.25">
      <c r="A12" s="20"/>
      <c r="B12" s="15" t="s">
        <v>30</v>
      </c>
      <c r="C12" s="16" t="str">
        <f ca="1">[1]!thsiFinD("ths_fund_official_short_name_fund",B12)</f>
        <v>易方达中债新综指(LOF)A</v>
      </c>
      <c r="D12" s="17">
        <v>0.85</v>
      </c>
      <c r="E12" s="18"/>
    </row>
    <row r="13" spans="1:5" s="19" customFormat="1" x14ac:dyDescent="0.25">
      <c r="A13" s="20"/>
      <c r="B13" s="15" t="s">
        <v>31</v>
      </c>
      <c r="C13" s="16" t="str">
        <f ca="1">[1]!thsiFinD("ths_fund_official_short_name_fund",B13)</f>
        <v>华安黄金ETF联接A</v>
      </c>
      <c r="D13" s="17">
        <v>0.05</v>
      </c>
      <c r="E13" s="18"/>
    </row>
    <row r="14" spans="1:5" ht="28" customHeight="1" x14ac:dyDescent="0.25">
      <c r="A14" s="20"/>
      <c r="B14" s="9" t="s">
        <v>18</v>
      </c>
      <c r="C14" s="10" t="s">
        <v>19</v>
      </c>
      <c r="D14" s="11"/>
    </row>
    <row r="15" spans="1:5" x14ac:dyDescent="0.25">
      <c r="A15" s="20"/>
      <c r="B15" s="9" t="s">
        <v>20</v>
      </c>
      <c r="C15" s="10" t="s">
        <v>21</v>
      </c>
      <c r="D15" s="11"/>
    </row>
    <row r="16" spans="1:5" x14ac:dyDescent="0.25">
      <c r="A16" s="20"/>
      <c r="B16" s="12" t="s">
        <v>22</v>
      </c>
      <c r="C16" s="13" t="s">
        <v>23</v>
      </c>
      <c r="D16" s="14"/>
    </row>
    <row r="17" spans="1:5" x14ac:dyDescent="0.25">
      <c r="A17" s="20"/>
      <c r="B17" s="12" t="s">
        <v>24</v>
      </c>
      <c r="C17" s="13" t="s">
        <v>25</v>
      </c>
      <c r="D17" s="14"/>
    </row>
    <row r="18" spans="1:5" x14ac:dyDescent="0.25">
      <c r="A18" s="20"/>
      <c r="B18" s="12" t="s">
        <v>26</v>
      </c>
      <c r="C18" s="13" t="s">
        <v>27</v>
      </c>
      <c r="D18" s="14"/>
    </row>
    <row r="19" spans="1:5" x14ac:dyDescent="0.25">
      <c r="A19" s="20"/>
      <c r="B19" s="12" t="s">
        <v>28</v>
      </c>
      <c r="C19" s="13" t="s">
        <v>29</v>
      </c>
      <c r="D19" s="14"/>
    </row>
    <row r="22" spans="1:5" ht="28.5" thickBot="1" x14ac:dyDescent="0.3">
      <c r="B22" s="1" t="s">
        <v>34</v>
      </c>
      <c r="C22" s="2" t="s">
        <v>0</v>
      </c>
      <c r="D22" s="2" t="s">
        <v>1</v>
      </c>
    </row>
    <row r="23" spans="1:5" x14ac:dyDescent="0.25">
      <c r="A23" s="20" t="s">
        <v>35</v>
      </c>
      <c r="B23" s="3" t="s">
        <v>2</v>
      </c>
      <c r="C23" s="4" t="s">
        <v>3</v>
      </c>
      <c r="D23" s="5">
        <v>0.03</v>
      </c>
      <c r="E23" s="5"/>
    </row>
    <row r="24" spans="1:5" x14ac:dyDescent="0.25">
      <c r="A24" s="20"/>
      <c r="B24" s="3" t="s">
        <v>4</v>
      </c>
      <c r="C24" s="4" t="s">
        <v>5</v>
      </c>
      <c r="D24" s="5">
        <v>0.03</v>
      </c>
      <c r="E24" s="5"/>
    </row>
    <row r="25" spans="1:5" x14ac:dyDescent="0.25">
      <c r="A25" s="20"/>
      <c r="B25" s="3" t="s">
        <v>6</v>
      </c>
      <c r="C25" s="4" t="s">
        <v>7</v>
      </c>
      <c r="D25" s="5">
        <v>2.0000000000000004E-2</v>
      </c>
      <c r="E25" s="5"/>
    </row>
    <row r="26" spans="1:5" x14ac:dyDescent="0.25">
      <c r="A26" s="20"/>
      <c r="B26" s="3" t="s">
        <v>8</v>
      </c>
      <c r="C26" s="4" t="s">
        <v>9</v>
      </c>
      <c r="D26" s="5">
        <v>2.0000000000000004E-2</v>
      </c>
      <c r="E26" s="5"/>
    </row>
    <row r="27" spans="1:5" x14ac:dyDescent="0.25">
      <c r="A27" s="20"/>
      <c r="B27" s="6" t="s">
        <v>10</v>
      </c>
      <c r="C27" s="7" t="s">
        <v>11</v>
      </c>
      <c r="D27" s="8">
        <v>2.5000000000000001E-2</v>
      </c>
      <c r="E27" s="8"/>
    </row>
    <row r="28" spans="1:5" x14ac:dyDescent="0.25">
      <c r="A28" s="20"/>
      <c r="B28" s="6" t="s">
        <v>12</v>
      </c>
      <c r="C28" s="7" t="s">
        <v>13</v>
      </c>
      <c r="D28" s="8">
        <v>2.5000000000000001E-2</v>
      </c>
      <c r="E28" s="8"/>
    </row>
    <row r="29" spans="1:5" x14ac:dyDescent="0.25">
      <c r="A29" s="20"/>
      <c r="B29" s="6" t="s">
        <v>14</v>
      </c>
      <c r="C29" s="7" t="s">
        <v>15</v>
      </c>
      <c r="D29" s="8">
        <v>2.5000000000000001E-2</v>
      </c>
      <c r="E29" s="8"/>
    </row>
    <row r="30" spans="1:5" x14ac:dyDescent="0.25">
      <c r="A30" s="20"/>
      <c r="B30" s="6" t="s">
        <v>16</v>
      </c>
      <c r="C30" s="7" t="s">
        <v>17</v>
      </c>
      <c r="D30" s="8">
        <v>2.5000000000000001E-2</v>
      </c>
      <c r="E30" s="8"/>
    </row>
    <row r="31" spans="1:5" x14ac:dyDescent="0.25">
      <c r="A31" s="20"/>
      <c r="B31" s="15" t="s">
        <v>30</v>
      </c>
      <c r="C31" s="16" t="str">
        <f ca="1">[1]!thsiFinD("ths_fund_official_short_name_fund",B31)</f>
        <v>易方达中债新综指(LOF)A</v>
      </c>
      <c r="D31" s="17">
        <v>0.75</v>
      </c>
      <c r="E31" s="18"/>
    </row>
    <row r="32" spans="1:5" x14ac:dyDescent="0.25">
      <c r="A32" s="20"/>
      <c r="B32" s="15" t="s">
        <v>31</v>
      </c>
      <c r="C32" s="16" t="str">
        <f ca="1">[1]!thsiFinD("ths_fund_official_short_name_fund",B32)</f>
        <v>华安黄金ETF联接A</v>
      </c>
      <c r="D32" s="17">
        <v>0.05</v>
      </c>
      <c r="E32" s="18"/>
    </row>
    <row r="33" spans="1:5" x14ac:dyDescent="0.25">
      <c r="A33" s="20"/>
      <c r="B33" s="9" t="s">
        <v>18</v>
      </c>
      <c r="C33" s="10" t="s">
        <v>19</v>
      </c>
      <c r="D33" s="11"/>
    </row>
    <row r="34" spans="1:5" x14ac:dyDescent="0.25">
      <c r="A34" s="20"/>
      <c r="B34" s="9" t="s">
        <v>20</v>
      </c>
      <c r="C34" s="10" t="s">
        <v>21</v>
      </c>
      <c r="D34" s="11"/>
    </row>
    <row r="35" spans="1:5" x14ac:dyDescent="0.25">
      <c r="A35" s="20"/>
      <c r="B35" s="12" t="s">
        <v>22</v>
      </c>
      <c r="C35" s="13" t="s">
        <v>23</v>
      </c>
      <c r="D35" s="14"/>
    </row>
    <row r="36" spans="1:5" x14ac:dyDescent="0.25">
      <c r="A36" s="20"/>
      <c r="B36" s="12" t="s">
        <v>24</v>
      </c>
      <c r="C36" s="13" t="s">
        <v>25</v>
      </c>
      <c r="D36" s="14"/>
    </row>
    <row r="37" spans="1:5" x14ac:dyDescent="0.25">
      <c r="A37" s="20"/>
      <c r="B37" s="12" t="s">
        <v>26</v>
      </c>
      <c r="C37" s="13" t="s">
        <v>27</v>
      </c>
      <c r="D37" s="14"/>
    </row>
    <row r="38" spans="1:5" x14ac:dyDescent="0.25">
      <c r="A38" s="20"/>
      <c r="B38" s="12" t="s">
        <v>28</v>
      </c>
      <c r="C38" s="13" t="s">
        <v>29</v>
      </c>
      <c r="D38" s="14"/>
    </row>
    <row r="42" spans="1:5" ht="28.5" thickBot="1" x14ac:dyDescent="0.3">
      <c r="B42" s="1" t="s">
        <v>36</v>
      </c>
      <c r="C42" s="2" t="s">
        <v>0</v>
      </c>
      <c r="D42" s="2" t="s">
        <v>1</v>
      </c>
    </row>
    <row r="43" spans="1:5" x14ac:dyDescent="0.25">
      <c r="A43" s="20" t="s">
        <v>37</v>
      </c>
      <c r="B43" s="3" t="s">
        <v>2</v>
      </c>
      <c r="C43" s="4" t="s">
        <v>3</v>
      </c>
      <c r="D43" s="5">
        <v>4.4999999999999998E-2</v>
      </c>
      <c r="E43" s="5"/>
    </row>
    <row r="44" spans="1:5" x14ac:dyDescent="0.25">
      <c r="A44" s="20"/>
      <c r="B44" s="3" t="s">
        <v>4</v>
      </c>
      <c r="C44" s="4" t="s">
        <v>5</v>
      </c>
      <c r="D44" s="5">
        <v>4.4999999999999998E-2</v>
      </c>
      <c r="E44" s="5"/>
    </row>
    <row r="45" spans="1:5" x14ac:dyDescent="0.25">
      <c r="A45" s="20"/>
      <c r="B45" s="3" t="s">
        <v>6</v>
      </c>
      <c r="C45" s="4" t="s">
        <v>7</v>
      </c>
      <c r="D45" s="5">
        <v>0.03</v>
      </c>
      <c r="E45" s="5"/>
    </row>
    <row r="46" spans="1:5" x14ac:dyDescent="0.25">
      <c r="A46" s="20"/>
      <c r="B46" s="3" t="s">
        <v>8</v>
      </c>
      <c r="C46" s="4" t="s">
        <v>9</v>
      </c>
      <c r="D46" s="5">
        <v>0.03</v>
      </c>
      <c r="E46" s="5"/>
    </row>
    <row r="47" spans="1:5" x14ac:dyDescent="0.25">
      <c r="A47" s="20"/>
      <c r="B47" s="6" t="s">
        <v>10</v>
      </c>
      <c r="C47" s="7" t="s">
        <v>11</v>
      </c>
      <c r="D47" s="8">
        <v>3.7499999999999999E-2</v>
      </c>
      <c r="E47" s="8"/>
    </row>
    <row r="48" spans="1:5" x14ac:dyDescent="0.25">
      <c r="A48" s="20"/>
      <c r="B48" s="6" t="s">
        <v>12</v>
      </c>
      <c r="C48" s="7" t="s">
        <v>13</v>
      </c>
      <c r="D48" s="8">
        <v>3.7499999999999999E-2</v>
      </c>
      <c r="E48" s="8"/>
    </row>
    <row r="49" spans="1:5" x14ac:dyDescent="0.25">
      <c r="A49" s="20"/>
      <c r="B49" s="6" t="s">
        <v>14</v>
      </c>
      <c r="C49" s="7" t="s">
        <v>15</v>
      </c>
      <c r="D49" s="8">
        <v>3.7499999999999999E-2</v>
      </c>
      <c r="E49" s="8"/>
    </row>
    <row r="50" spans="1:5" x14ac:dyDescent="0.25">
      <c r="A50" s="20"/>
      <c r="B50" s="6" t="s">
        <v>16</v>
      </c>
      <c r="C50" s="7" t="s">
        <v>17</v>
      </c>
      <c r="D50" s="8">
        <v>3.7499999999999999E-2</v>
      </c>
      <c r="E50" s="8"/>
    </row>
    <row r="51" spans="1:5" x14ac:dyDescent="0.25">
      <c r="A51" s="20"/>
      <c r="B51" s="15" t="s">
        <v>30</v>
      </c>
      <c r="C51" s="16" t="str">
        <f ca="1">[1]!thsiFinD("ths_fund_official_short_name_fund",B51)</f>
        <v>易方达中债新综指(LOF)A</v>
      </c>
      <c r="D51" s="17">
        <v>0.6</v>
      </c>
      <c r="E51" s="18"/>
    </row>
    <row r="52" spans="1:5" x14ac:dyDescent="0.25">
      <c r="A52" s="20"/>
      <c r="B52" s="15" t="s">
        <v>31</v>
      </c>
      <c r="C52" s="16" t="str">
        <f ca="1">[1]!thsiFinD("ths_fund_official_short_name_fund",B52)</f>
        <v>华安黄金ETF联接A</v>
      </c>
      <c r="D52" s="17">
        <v>0.1</v>
      </c>
      <c r="E52" s="18"/>
    </row>
    <row r="53" spans="1:5" x14ac:dyDescent="0.25">
      <c r="A53" s="20"/>
      <c r="B53" s="9" t="s">
        <v>18</v>
      </c>
      <c r="C53" s="10" t="s">
        <v>19</v>
      </c>
      <c r="D53" s="11"/>
    </row>
    <row r="54" spans="1:5" x14ac:dyDescent="0.25">
      <c r="A54" s="20"/>
      <c r="B54" s="9" t="s">
        <v>20</v>
      </c>
      <c r="C54" s="10" t="s">
        <v>21</v>
      </c>
      <c r="D54" s="11"/>
    </row>
    <row r="55" spans="1:5" x14ac:dyDescent="0.25">
      <c r="A55" s="20"/>
      <c r="B55" s="12" t="s">
        <v>22</v>
      </c>
      <c r="C55" s="13" t="s">
        <v>23</v>
      </c>
      <c r="D55" s="14"/>
    </row>
    <row r="56" spans="1:5" x14ac:dyDescent="0.25">
      <c r="A56" s="20"/>
      <c r="B56" s="12" t="s">
        <v>24</v>
      </c>
      <c r="C56" s="13" t="s">
        <v>25</v>
      </c>
      <c r="D56" s="14"/>
    </row>
    <row r="57" spans="1:5" x14ac:dyDescent="0.25">
      <c r="A57" s="20"/>
      <c r="B57" s="12" t="s">
        <v>26</v>
      </c>
      <c r="C57" s="13" t="s">
        <v>27</v>
      </c>
      <c r="D57" s="14"/>
    </row>
    <row r="58" spans="1:5" x14ac:dyDescent="0.25">
      <c r="A58" s="20"/>
      <c r="B58" s="12" t="s">
        <v>28</v>
      </c>
      <c r="C58" s="13" t="s">
        <v>29</v>
      </c>
      <c r="D58" s="14"/>
    </row>
    <row r="62" spans="1:5" ht="28.5" thickBot="1" x14ac:dyDescent="0.3">
      <c r="B62" s="1" t="s">
        <v>36</v>
      </c>
      <c r="C62" s="2" t="s">
        <v>0</v>
      </c>
      <c r="D62" s="2" t="s">
        <v>1</v>
      </c>
    </row>
    <row r="63" spans="1:5" x14ac:dyDescent="0.25">
      <c r="A63" s="20" t="s">
        <v>37</v>
      </c>
      <c r="B63" s="3" t="s">
        <v>2</v>
      </c>
      <c r="C63" s="4" t="s">
        <v>3</v>
      </c>
      <c r="D63" s="5">
        <v>4.4999999999999998E-2</v>
      </c>
    </row>
    <row r="64" spans="1:5" x14ac:dyDescent="0.25">
      <c r="A64" s="20"/>
      <c r="B64" s="3" t="s">
        <v>4</v>
      </c>
      <c r="C64" s="4" t="s">
        <v>5</v>
      </c>
      <c r="D64" s="5">
        <v>4.4999999999999998E-2</v>
      </c>
    </row>
    <row r="65" spans="1:4" x14ac:dyDescent="0.25">
      <c r="A65" s="20"/>
      <c r="B65" s="3" t="s">
        <v>6</v>
      </c>
      <c r="C65" s="4" t="s">
        <v>7</v>
      </c>
      <c r="D65" s="5">
        <v>0.03</v>
      </c>
    </row>
    <row r="66" spans="1:4" x14ac:dyDescent="0.25">
      <c r="A66" s="20"/>
      <c r="B66" s="3" t="s">
        <v>8</v>
      </c>
      <c r="C66" s="4" t="s">
        <v>9</v>
      </c>
      <c r="D66" s="5">
        <v>0.03</v>
      </c>
    </row>
    <row r="67" spans="1:4" x14ac:dyDescent="0.25">
      <c r="A67" s="20"/>
      <c r="B67" s="6" t="s">
        <v>10</v>
      </c>
      <c r="C67" s="7" t="s">
        <v>11</v>
      </c>
      <c r="D67" s="8">
        <v>3.7499999999999999E-2</v>
      </c>
    </row>
    <row r="68" spans="1:4" x14ac:dyDescent="0.25">
      <c r="A68" s="20"/>
      <c r="B68" s="6" t="s">
        <v>12</v>
      </c>
      <c r="C68" s="7" t="s">
        <v>13</v>
      </c>
      <c r="D68" s="8">
        <v>3.7499999999999999E-2</v>
      </c>
    </row>
    <row r="69" spans="1:4" x14ac:dyDescent="0.25">
      <c r="A69" s="20"/>
      <c r="B69" s="6" t="s">
        <v>14</v>
      </c>
      <c r="C69" s="7" t="s">
        <v>15</v>
      </c>
      <c r="D69" s="8">
        <v>3.7499999999999999E-2</v>
      </c>
    </row>
    <row r="70" spans="1:4" x14ac:dyDescent="0.25">
      <c r="A70" s="20"/>
      <c r="B70" s="6" t="s">
        <v>16</v>
      </c>
      <c r="C70" s="7" t="s">
        <v>17</v>
      </c>
      <c r="D70" s="8">
        <v>3.7499999999999999E-2</v>
      </c>
    </row>
    <row r="71" spans="1:4" x14ac:dyDescent="0.25">
      <c r="A71" s="20"/>
      <c r="B71" s="15" t="s">
        <v>30</v>
      </c>
      <c r="C71" s="16" t="str">
        <f ca="1">[1]!thsiFinD("ths_fund_official_short_name_fund",B71)</f>
        <v>易方达中债新综指(LOF)A</v>
      </c>
      <c r="D71" s="17">
        <v>0.6</v>
      </c>
    </row>
    <row r="72" spans="1:4" x14ac:dyDescent="0.25">
      <c r="A72" s="20"/>
      <c r="B72" s="15" t="s">
        <v>31</v>
      </c>
      <c r="C72" s="16" t="str">
        <f ca="1">[1]!thsiFinD("ths_fund_official_short_name_fund",B72)</f>
        <v>华安黄金ETF联接A</v>
      </c>
      <c r="D72" s="17">
        <v>0.1</v>
      </c>
    </row>
    <row r="73" spans="1:4" x14ac:dyDescent="0.25">
      <c r="A73" s="20"/>
      <c r="B73" s="9" t="s">
        <v>18</v>
      </c>
      <c r="C73" s="10" t="s">
        <v>19</v>
      </c>
      <c r="D73" s="11"/>
    </row>
    <row r="74" spans="1:4" x14ac:dyDescent="0.25">
      <c r="A74" s="20"/>
      <c r="B74" s="9" t="s">
        <v>20</v>
      </c>
      <c r="C74" s="10" t="s">
        <v>21</v>
      </c>
      <c r="D74" s="11"/>
    </row>
    <row r="75" spans="1:4" x14ac:dyDescent="0.25">
      <c r="A75" s="20"/>
      <c r="B75" s="12" t="s">
        <v>22</v>
      </c>
      <c r="C75" s="13" t="s">
        <v>23</v>
      </c>
      <c r="D75" s="14"/>
    </row>
    <row r="76" spans="1:4" x14ac:dyDescent="0.25">
      <c r="A76" s="20"/>
      <c r="B76" s="12" t="s">
        <v>24</v>
      </c>
      <c r="C76" s="13" t="s">
        <v>25</v>
      </c>
      <c r="D76" s="14"/>
    </row>
    <row r="77" spans="1:4" x14ac:dyDescent="0.25">
      <c r="A77" s="20"/>
      <c r="B77" s="12" t="s">
        <v>26</v>
      </c>
      <c r="C77" s="13" t="s">
        <v>27</v>
      </c>
      <c r="D77" s="14"/>
    </row>
    <row r="78" spans="1:4" x14ac:dyDescent="0.25">
      <c r="A78" s="20"/>
      <c r="B78" s="12" t="s">
        <v>28</v>
      </c>
      <c r="C78" s="13" t="s">
        <v>29</v>
      </c>
      <c r="D78" s="14"/>
    </row>
    <row r="83" spans="1:4" ht="14.5" thickBot="1" x14ac:dyDescent="0.3">
      <c r="B83" s="1">
        <v>46177</v>
      </c>
      <c r="C83" s="2" t="s">
        <v>0</v>
      </c>
      <c r="D83" s="2" t="s">
        <v>1</v>
      </c>
    </row>
    <row r="84" spans="1:4" x14ac:dyDescent="0.25">
      <c r="A84" s="20" t="s">
        <v>38</v>
      </c>
      <c r="B84" s="3" t="s">
        <v>2</v>
      </c>
      <c r="C84" s="4" t="s">
        <v>3</v>
      </c>
      <c r="D84" s="5">
        <v>0.15</v>
      </c>
    </row>
    <row r="85" spans="1:4" x14ac:dyDescent="0.25">
      <c r="A85" s="20"/>
      <c r="B85" s="3" t="s">
        <v>4</v>
      </c>
      <c r="C85" s="4" t="s">
        <v>5</v>
      </c>
      <c r="D85" s="5">
        <v>0.15</v>
      </c>
    </row>
    <row r="86" spans="1:4" x14ac:dyDescent="0.25">
      <c r="A86" s="20"/>
      <c r="B86" s="3" t="s">
        <v>6</v>
      </c>
      <c r="C86" s="4" t="s">
        <v>7</v>
      </c>
      <c r="D86" s="5">
        <v>0.1</v>
      </c>
    </row>
    <row r="87" spans="1:4" x14ac:dyDescent="0.25">
      <c r="A87" s="20"/>
      <c r="B87" s="3" t="s">
        <v>8</v>
      </c>
      <c r="C87" s="4" t="s">
        <v>9</v>
      </c>
      <c r="D87" s="5">
        <v>0.1</v>
      </c>
    </row>
    <row r="88" spans="1:4" x14ac:dyDescent="0.25">
      <c r="A88" s="20"/>
      <c r="B88" s="6" t="s">
        <v>10</v>
      </c>
      <c r="C88" s="7" t="s">
        <v>11</v>
      </c>
      <c r="D88" s="8">
        <v>0.125</v>
      </c>
    </row>
    <row r="89" spans="1:4" x14ac:dyDescent="0.25">
      <c r="A89" s="20"/>
      <c r="B89" s="6" t="s">
        <v>12</v>
      </c>
      <c r="C89" s="7" t="s">
        <v>13</v>
      </c>
      <c r="D89" s="8">
        <v>0.125</v>
      </c>
    </row>
    <row r="90" spans="1:4" x14ac:dyDescent="0.25">
      <c r="A90" s="20"/>
      <c r="B90" s="6" t="s">
        <v>14</v>
      </c>
      <c r="C90" s="7" t="s">
        <v>15</v>
      </c>
      <c r="D90" s="8">
        <v>0.125</v>
      </c>
    </row>
    <row r="91" spans="1:4" x14ac:dyDescent="0.25">
      <c r="A91" s="20"/>
      <c r="B91" s="6" t="s">
        <v>16</v>
      </c>
      <c r="C91" s="7" t="s">
        <v>17</v>
      </c>
      <c r="D91" s="8">
        <v>0.125</v>
      </c>
    </row>
    <row r="92" spans="1:4" x14ac:dyDescent="0.25">
      <c r="A92" s="20"/>
      <c r="B92" s="9" t="s">
        <v>18</v>
      </c>
      <c r="C92" s="10" t="s">
        <v>19</v>
      </c>
      <c r="D92" s="11"/>
    </row>
    <row r="93" spans="1:4" x14ac:dyDescent="0.25">
      <c r="A93" s="20"/>
      <c r="B93" s="9" t="s">
        <v>20</v>
      </c>
      <c r="C93" s="10" t="s">
        <v>21</v>
      </c>
      <c r="D93" s="11"/>
    </row>
    <row r="94" spans="1:4" x14ac:dyDescent="0.25">
      <c r="A94" s="20"/>
      <c r="B94" s="12" t="s">
        <v>22</v>
      </c>
      <c r="C94" s="13" t="s">
        <v>23</v>
      </c>
      <c r="D94" s="14"/>
    </row>
    <row r="95" spans="1:4" x14ac:dyDescent="0.25">
      <c r="A95" s="20"/>
      <c r="B95" s="12" t="s">
        <v>24</v>
      </c>
      <c r="C95" s="13" t="s">
        <v>25</v>
      </c>
      <c r="D95" s="14"/>
    </row>
    <row r="96" spans="1:4" x14ac:dyDescent="0.25">
      <c r="A96" s="20"/>
      <c r="B96" s="12" t="s">
        <v>26</v>
      </c>
      <c r="C96" s="13" t="s">
        <v>27</v>
      </c>
      <c r="D96" s="14"/>
    </row>
    <row r="97" spans="1:4" x14ac:dyDescent="0.25">
      <c r="A97" s="20"/>
      <c r="B97" s="12" t="s">
        <v>28</v>
      </c>
      <c r="C97" s="13" t="s">
        <v>29</v>
      </c>
      <c r="D97" s="14"/>
    </row>
    <row r="98" spans="1:4" x14ac:dyDescent="0.25">
      <c r="A98" s="20"/>
      <c r="B98" s="12" t="s">
        <v>28</v>
      </c>
      <c r="C98" s="13" t="s">
        <v>29</v>
      </c>
      <c r="D98" s="14"/>
    </row>
  </sheetData>
  <mergeCells count="5">
    <mergeCell ref="A4:A19"/>
    <mergeCell ref="A23:A38"/>
    <mergeCell ref="A43:A58"/>
    <mergeCell ref="A63:A78"/>
    <mergeCell ref="A84:A98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2026-06-08T01:15:29Z</dcterms:created>
  <dcterms:modified xsi:type="dcterms:W3CDTF">2026-06-08T07:33:44Z</dcterms:modified>
</cp:coreProperties>
</file>