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4090" windowHeight="5890" tabRatio="600" firstSheet="0" activeTab="8" autoFilterDateGrouping="1"/>
  </bookViews>
  <sheets>
    <sheet xmlns:r="http://schemas.openxmlformats.org/officeDocument/2006/relationships" name="持仓配置" sheetId="1" state="visible" r:id="rId1"/>
    <sheet xmlns:r="http://schemas.openxmlformats.org/officeDocument/2006/relationships" name="净值数据(iFinD公式)" sheetId="2" state="visible" r:id="rId2"/>
    <sheet xmlns:r="http://schemas.openxmlformats.org/officeDocument/2006/relationships" name="组合净值（模拟）" sheetId="3" state="visible" r:id="rId3"/>
    <sheet xmlns:r="http://schemas.openxmlformats.org/officeDocument/2006/relationships" name="看板-10-90" sheetId="4" state="visible" r:id="rId4"/>
    <sheet xmlns:r="http://schemas.openxmlformats.org/officeDocument/2006/relationships" name="看板-20-80" sheetId="5" state="visible" r:id="rId5"/>
    <sheet xmlns:r="http://schemas.openxmlformats.org/officeDocument/2006/relationships" name="看板-30-70" sheetId="6" state="visible" r:id="rId6"/>
    <sheet xmlns:r="http://schemas.openxmlformats.org/officeDocument/2006/relationships" name="看板-增值" sheetId="7" state="visible" r:id="rId7"/>
    <sheet xmlns:r="http://schemas.openxmlformats.org/officeDocument/2006/relationships" name="说明" sheetId="8" state="visible" r:id="rId8"/>
    <sheet xmlns:r="http://schemas.openxmlformats.org/officeDocument/2006/relationships" name="vs招行" sheetId="9" state="visible" r:id="rId9"/>
    <sheet xmlns:r="http://schemas.openxmlformats.org/officeDocument/2006/relationships" name="vs固收+" sheetId="10" state="visible" r:id="rId10"/>
    <sheet xmlns:r="http://schemas.openxmlformats.org/officeDocument/2006/relationships" name="1090实盘净值" sheetId="11" state="visible" r:id="rId11"/>
    <sheet xmlns:r="http://schemas.openxmlformats.org/officeDocument/2006/relationships" name="实盘持仓配置" sheetId="12" state="visible" r:id="rId12"/>
    <sheet xmlns:r="http://schemas.openxmlformats.org/officeDocument/2006/relationships" name="实盘净值数据(iFinD公式)" sheetId="13" state="visible" r:id="rId13"/>
    <sheet xmlns:r="http://schemas.openxmlformats.org/officeDocument/2006/relationships" name="实盘组合净值" sheetId="14" state="visible" r:id="rId14"/>
  </sheets>
  <externalReferences>
    <externalReference xmlns:r="http://schemas.openxmlformats.org/officeDocument/2006/relationships" r:id="rId15"/>
  </externalReferences>
  <definedNames>
    <definedName name="chtB">OFFSET('组合净值（模拟）'!$B$6,0,0,COUNT('组合净值（模拟）'!$B$6:$B$2000),1)</definedName>
    <definedName name="chtDate">OFFSET('组合净值（模拟）'!$A$6,0,0,COUNT('组合净值（模拟）'!$B$6:$B$2000),1)</definedName>
    <definedName name="chtE">OFFSET('组合净值（模拟）'!$E$6,0,0,COUNT('组合净值（模拟）'!$E$6:$E$2000),1)</definedName>
    <definedName name="chtH">OFFSET('组合净值（模拟）'!$H$6,0,0,COUNT('组合净值（模拟）'!$H$6:$H$2000),1)</definedName>
    <definedName name="chtK">OFFSET('组合净值（模拟）'!$K$6,0,0,COUNT('组合净值（模拟）'!$K$6:$K$2000),1)</definedName>
    <definedName name="_xlnm.Print_Area" localSheetId="3">'看板-10-90'!$A$1:$H$36</definedName>
    <definedName name="_xlnm.Print_Area" localSheetId="4">'看板-20-80'!$A$1:$H$36</definedName>
    <definedName name="_xlnm.Print_Area" localSheetId="5">'看板-30-70'!$A$1:$H$36</definedName>
    <definedName name="_xlnm.Print_Area" localSheetId="6">'看板-增值'!$A$1:$H$36</definedName>
  </definedNames>
  <calcPr calcId="152511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\-mm\-dd"/>
    <numFmt numFmtId="166" formatCode="0.0000"/>
    <numFmt numFmtId="167" formatCode="0.00000000%"/>
  </numFmts>
  <fonts count="40">
    <font>
      <name val="宋体"/>
      <family val="2"/>
      <color theme="1"/>
      <sz val="11"/>
      <scheme val="minor"/>
    </font>
    <font>
      <name val="Arial"/>
      <family val="2"/>
      <b val="1"/>
      <color rgb="FF1F3864"/>
      <sz val="18"/>
    </font>
    <font>
      <name val="Arial"/>
      <family val="2"/>
      <i val="1"/>
      <color rgb="FF595959"/>
      <sz val="9"/>
    </font>
    <font>
      <name val="Arial"/>
      <family val="2"/>
      <b val="1"/>
      <color rgb="FF1F3864"/>
      <sz val="12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Arial"/>
      <family val="2"/>
      <b val="1"/>
      <color rgb="FFFFFFFF"/>
      <sz val="15"/>
    </font>
    <font>
      <name val="Arial"/>
      <family val="2"/>
      <b val="1"/>
      <color rgb="FFFFFFFF"/>
      <sz val="10"/>
    </font>
    <font>
      <name val="Arial"/>
      <family val="2"/>
      <b val="1"/>
      <color rgb="FF1F3864"/>
      <sz val="10"/>
    </font>
    <font>
      <name val="Arial"/>
      <family val="2"/>
      <color rgb="FF00610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7"/>
    </font>
    <font>
      <name val="宋体"/>
      <charset val="134"/>
      <family val="3"/>
      <sz val="9"/>
      <scheme val="minor"/>
    </font>
    <font>
      <name val="Arial"/>
      <family val="2"/>
      <i val="1"/>
      <color rgb="FF595959"/>
      <sz val="9"/>
    </font>
    <font>
      <name val="微软雅黑"/>
      <charset val="134"/>
      <family val="2"/>
      <color rgb="FF000000"/>
      <sz val="10"/>
    </font>
    <font>
      <name val="微软雅黑"/>
      <charset val="134"/>
      <family val="2"/>
      <color theme="1"/>
      <sz val="11"/>
    </font>
    <font>
      <name val="微软雅黑"/>
      <charset val="134"/>
      <family val="2"/>
      <b val="1"/>
      <color rgb="FF000000"/>
      <sz val="16"/>
    </font>
    <font>
      <name val="微软雅黑"/>
      <charset val="134"/>
      <family val="2"/>
      <color rgb="FF000000"/>
      <sz val="16"/>
    </font>
    <font>
      <name val="微软雅黑"/>
      <charset val="134"/>
      <family val="2"/>
      <color theme="1"/>
      <sz val="16"/>
    </font>
    <font>
      <name val="微软雅黑"/>
      <charset val="134"/>
      <family val="2"/>
      <b val="1"/>
      <color rgb="FF1F3864"/>
      <sz val="20"/>
    </font>
    <font>
      <name val="微软雅黑"/>
      <charset val="134"/>
      <family val="2"/>
      <b val="1"/>
      <color rgb="FFC00000"/>
      <sz val="20"/>
    </font>
    <font>
      <name val="Arial"/>
      <family val="2"/>
      <b val="1"/>
      <color rgb="FF0000FF"/>
      <sz val="10"/>
    </font>
    <font>
      <name val="宋体"/>
      <family val="2"/>
      <color theme="1"/>
      <sz val="11"/>
      <scheme val="minor"/>
    </font>
    <font>
      <name val="微软雅黑"/>
      <charset val="134"/>
      <family val="2"/>
      <b val="1"/>
      <color theme="0"/>
      <sz val="11"/>
    </font>
    <font>
      <name val="微软雅黑"/>
      <charset val="134"/>
      <family val="2"/>
      <b val="1"/>
      <color theme="1"/>
      <sz val="12"/>
    </font>
    <font>
      <name val="微软雅黑"/>
      <charset val="134"/>
      <family val="2"/>
      <b val="1"/>
      <color rgb="FFFF0000"/>
      <sz val="12"/>
    </font>
    <font>
      <name val="微软雅黑"/>
      <charset val="134"/>
      <family val="2"/>
      <b val="1"/>
      <color rgb="FF00B050"/>
      <sz val="12"/>
    </font>
    <font>
      <name val="微软雅黑"/>
      <charset val="134"/>
      <family val="2"/>
      <color rgb="FF00B050"/>
      <sz val="11"/>
    </font>
    <font>
      <name val="微软雅黑"/>
      <charset val="134"/>
      <family val="2"/>
      <sz val="11"/>
    </font>
    <font>
      <name val="微软雅黑"/>
      <charset val="134"/>
      <family val="2"/>
      <color theme="1"/>
      <sz val="12"/>
    </font>
    <font>
      <name val="微软雅黑"/>
      <charset val="134"/>
      <family val="2"/>
      <color rgb="FF808080"/>
      <sz val="9"/>
    </font>
    <font>
      <name val="微软雅黑"/>
      <charset val="134"/>
      <family val="2"/>
      <b val="1"/>
      <sz val="10"/>
    </font>
    <font>
      <name val="微软雅黑"/>
      <charset val="134"/>
      <family val="2"/>
      <sz val="10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color theme="1"/>
      <sz val="12"/>
    </font>
    <font>
      <name val="微软雅黑"/>
      <charset val="134"/>
      <family val="2"/>
      <color theme="1"/>
      <sz val="11"/>
    </font>
    <font>
      <name val="微软雅黑"/>
      <charset val="134"/>
      <family val="2"/>
      <b val="1"/>
      <color rgb="FFFF0000"/>
      <sz val="12"/>
    </font>
    <font>
      <name val="微软雅黑"/>
      <charset val="134"/>
      <family val="2"/>
      <b val="1"/>
      <color rgb="FF00B050"/>
      <sz val="12"/>
    </font>
    <font>
      <name val="微软雅黑"/>
      <charset val="134"/>
      <family val="2"/>
      <color rgb="FF00B050"/>
      <sz val="11"/>
    </font>
  </fonts>
  <fills count="1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9E1F2"/>
      </patternFill>
    </fill>
    <fill>
      <patternFill patternType="solid">
        <fgColor rgb="FFF2F4F8"/>
      </patternFill>
    </fill>
    <fill>
      <patternFill patternType="solid">
        <fgColor rgb="FFFFF2CC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FFFF00"/>
        <bgColor indexed="64"/>
      </patternFill>
    </fill>
    <fill>
      <patternFill patternType="solid">
        <fgColor rgb="FFFFFF00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</fills>
  <borders count="2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 style="thin">
        <color theme="9" tint="0.3999755851924192"/>
      </left>
      <right/>
      <top style="thin">
        <color theme="9" tint="0.3999755851924192"/>
      </top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theme="9" tint="0.3999755851924192"/>
      </left>
      <right/>
      <top/>
      <bottom/>
      <diagonal/>
    </border>
    <border>
      <left style="thin">
        <color theme="9" tint="0.3999755851924192"/>
      </left>
      <right/>
      <top/>
      <bottom style="thin">
        <color theme="9" tint="0.3999755851924192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/>
      <diagonal/>
    </border>
    <border>
      <left/>
      <right style="thin">
        <color theme="9" tint="0.3999755851924192"/>
      </right>
      <top style="thin">
        <color theme="9" tint="0.3999755851924192"/>
      </top>
      <bottom/>
      <diagonal/>
    </border>
    <border>
      <left/>
      <right/>
      <top style="thin">
        <color theme="9" tint="0.3999755851924192"/>
      </top>
      <bottom/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2">
    <xf numFmtId="0" fontId="23" fillId="0" borderId="0"/>
    <xf numFmtId="9" fontId="23" fillId="0" borderId="0" applyAlignment="1">
      <alignment vertical="center"/>
    </xf>
  </cellStyleXfs>
  <cellXfs count="191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6" borderId="1" applyAlignment="1" pivotButton="0" quotePrefix="0" xfId="0">
      <alignment horizontal="center" vertical="center" wrapText="1"/>
    </xf>
    <xf numFmtId="10" fontId="5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4" fontId="0" fillId="0" borderId="0" pivotButton="0" quotePrefix="0" xfId="0"/>
    <xf numFmtId="0" fontId="14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10" fontId="18" fillId="0" borderId="1" applyAlignment="1" pivotButton="0" quotePrefix="0" xfId="0">
      <alignment horizontal="center" vertical="center" wrapText="1"/>
    </xf>
    <xf numFmtId="1" fontId="18" fillId="0" borderId="1" applyAlignment="1" pivotButton="0" quotePrefix="0" xfId="0">
      <alignment horizontal="center" vertical="center" wrapText="1"/>
    </xf>
    <xf numFmtId="2" fontId="18" fillId="0" borderId="1" applyAlignment="1" pivotButton="0" quotePrefix="0" xfId="0">
      <alignment horizontal="center" vertical="center" wrapText="1"/>
    </xf>
    <xf numFmtId="0" fontId="19" fillId="0" borderId="0" pivotButton="0" quotePrefix="0" xfId="0"/>
    <xf numFmtId="10" fontId="21" fillId="0" borderId="1" applyAlignment="1" pivotButton="0" quotePrefix="0" xfId="0">
      <alignment horizontal="center" vertical="center" wrapText="1"/>
    </xf>
    <xf numFmtId="10" fontId="20" fillId="0" borderId="1" applyAlignment="1" pivotButton="0" quotePrefix="0" xfId="0">
      <alignment horizontal="center" vertical="center" wrapText="1"/>
    </xf>
    <xf numFmtId="2" fontId="20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15" fillId="0" borderId="0" applyAlignment="1" pivotButton="0" quotePrefix="0" xfId="0">
      <alignment vertical="center"/>
    </xf>
    <xf numFmtId="0" fontId="17" fillId="0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10" fontId="0" fillId="0" borderId="0" pivotButton="0" quotePrefix="0" xfId="1"/>
    <xf numFmtId="0" fontId="24" fillId="8" borderId="7" pivotButton="0" quotePrefix="0" xfId="0"/>
    <xf numFmtId="0" fontId="16" fillId="9" borderId="7" pivotButton="0" quotePrefix="0" xfId="0"/>
    <xf numFmtId="10" fontId="16" fillId="9" borderId="7" applyAlignment="1" pivotButton="0" quotePrefix="0" xfId="1">
      <alignment horizontal="center" vertical="center"/>
    </xf>
    <xf numFmtId="0" fontId="16" fillId="0" borderId="7" pivotButton="0" quotePrefix="0" xfId="0"/>
    <xf numFmtId="10" fontId="16" fillId="0" borderId="7" applyAlignment="1" pivotButton="0" quotePrefix="0" xfId="1">
      <alignment horizontal="center" vertical="center"/>
    </xf>
    <xf numFmtId="0" fontId="16" fillId="0" borderId="5" pivotButton="0" quotePrefix="0" xfId="0"/>
    <xf numFmtId="10" fontId="16" fillId="0" borderId="5" applyAlignment="1" pivotButton="0" quotePrefix="0" xfId="1">
      <alignment horizontal="center" vertical="center"/>
    </xf>
    <xf numFmtId="0" fontId="25" fillId="9" borderId="6" applyAlignment="1" pivotButton="0" quotePrefix="0" xfId="0">
      <alignment horizontal="center" vertical="center"/>
    </xf>
    <xf numFmtId="0" fontId="25" fillId="9" borderId="7" pivotButton="0" quotePrefix="0" xfId="0"/>
    <xf numFmtId="0" fontId="25" fillId="9" borderId="7" applyAlignment="1" pivotButton="0" quotePrefix="0" xfId="0">
      <alignment horizontal="center" vertical="center"/>
    </xf>
    <xf numFmtId="10" fontId="26" fillId="9" borderId="7" applyAlignment="1" pivotButton="0" quotePrefix="0" xfId="1">
      <alignment horizontal="center" vertical="center"/>
    </xf>
    <xf numFmtId="0" fontId="24" fillId="8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left" vertical="center"/>
    </xf>
    <xf numFmtId="0" fontId="16" fillId="9" borderId="7" applyAlignment="1" pivotButton="0" quotePrefix="0" xfId="0">
      <alignment horizontal="left" vertical="center"/>
    </xf>
    <xf numFmtId="0" fontId="16" fillId="0" borderId="5" applyAlignment="1" pivotButton="0" quotePrefix="0" xfId="0">
      <alignment horizontal="left" vertical="center"/>
    </xf>
    <xf numFmtId="10" fontId="27" fillId="9" borderId="7" applyAlignment="1" pivotButton="0" quotePrefix="0" xfId="1">
      <alignment horizontal="center" vertical="center"/>
    </xf>
    <xf numFmtId="10" fontId="29" fillId="0" borderId="7" applyAlignment="1" pivotButton="0" quotePrefix="0" xfId="1">
      <alignment horizontal="center" vertical="center"/>
    </xf>
    <xf numFmtId="14" fontId="0" fillId="10" borderId="0" pivotButton="0" quotePrefix="0" xfId="0"/>
    <xf numFmtId="0" fontId="4" fillId="5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left" vertical="center"/>
    </xf>
    <xf numFmtId="10" fontId="6" fillId="0" borderId="4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center" vertical="center" wrapText="1"/>
    </xf>
    <xf numFmtId="10" fontId="5" fillId="0" borderId="4" applyAlignment="1" pivotButton="0" quotePrefix="0" xfId="0">
      <alignment horizontal="center" vertical="center" wrapText="1"/>
    </xf>
    <xf numFmtId="10" fontId="0" fillId="0" borderId="0" pivotButton="0" quotePrefix="0" xfId="0"/>
    <xf numFmtId="9" fontId="25" fillId="9" borderId="7" applyAlignment="1" pivotButton="0" quotePrefix="0" xfId="0">
      <alignment horizontal="center" vertical="center"/>
    </xf>
    <xf numFmtId="0" fontId="0" fillId="0" borderId="0" pivotButton="0" quotePrefix="0" xfId="0"/>
    <xf numFmtId="0" fontId="11" fillId="4" borderId="4" applyAlignment="1" pivotButton="0" quotePrefix="0" xfId="0">
      <alignment horizontal="center" vertical="center" wrapText="1"/>
    </xf>
    <xf numFmtId="0" fontId="2" fillId="0" borderId="0" pivotButton="0" quotePrefix="0" xfId="0"/>
    <xf numFmtId="0" fontId="8" fillId="4" borderId="4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4" fontId="22" fillId="7" borderId="4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2" fillId="0" borderId="0" pivotButton="0" quotePrefix="0" xfId="0"/>
    <xf numFmtId="165" fontId="10" fillId="6" borderId="1" applyAlignment="1" pivotButton="0" quotePrefix="0" xfId="0">
      <alignment horizontal="center" vertical="center" wrapText="1"/>
    </xf>
    <xf numFmtId="166" fontId="20" fillId="0" borderId="1" applyAlignment="1" pivotButton="0" quotePrefix="0" xfId="0">
      <alignment horizontal="center" vertical="center" wrapText="1"/>
    </xf>
    <xf numFmtId="164" fontId="18" fillId="0" borderId="1" applyAlignment="1" pivotButton="0" quotePrefix="0" xfId="0">
      <alignment horizontal="center" vertical="center" wrapText="1"/>
    </xf>
    <xf numFmtId="164" fontId="6" fillId="2" borderId="1" pivotButton="0" quotePrefix="0" xfId="0"/>
    <xf numFmtId="10" fontId="24" fillId="8" borderId="15" applyAlignment="1" pivotButton="0" quotePrefix="0" xfId="0">
      <alignment vertical="center"/>
    </xf>
    <xf numFmtId="0" fontId="24" fillId="8" borderId="13" applyAlignment="1" pivotButton="0" quotePrefix="0" xfId="0">
      <alignment vertical="center"/>
    </xf>
    <xf numFmtId="0" fontId="24" fillId="8" borderId="14" applyAlignment="1" pivotButton="0" quotePrefix="0" xfId="0">
      <alignment vertical="center"/>
    </xf>
    <xf numFmtId="10" fontId="27" fillId="9" borderId="15" applyAlignment="1" pivotButton="0" quotePrefix="0" xfId="0">
      <alignment horizontal="center" vertical="center"/>
    </xf>
    <xf numFmtId="10" fontId="25" fillId="9" borderId="13" applyAlignment="1" pivotButton="0" quotePrefix="0" xfId="0">
      <alignment horizontal="center" vertical="center"/>
    </xf>
    <xf numFmtId="2" fontId="25" fillId="9" borderId="13" applyAlignment="1" pivotButton="0" quotePrefix="0" xfId="0">
      <alignment horizontal="center" vertical="center"/>
    </xf>
    <xf numFmtId="2" fontId="25" fillId="9" borderId="14" applyAlignment="1" pivotButton="0" quotePrefix="0" xfId="0">
      <alignment horizontal="center" vertical="center"/>
    </xf>
    <xf numFmtId="10" fontId="28" fillId="0" borderId="15" applyAlignment="1" pivotButton="0" quotePrefix="0" xfId="1">
      <alignment horizontal="center" vertical="center"/>
    </xf>
    <xf numFmtId="10" fontId="16" fillId="0" borderId="13" applyAlignment="1" pivotButton="0" quotePrefix="0" xfId="0">
      <alignment horizontal="center" vertical="center"/>
    </xf>
    <xf numFmtId="2" fontId="16" fillId="0" borderId="13" applyAlignment="1" pivotButton="0" quotePrefix="0" xfId="0">
      <alignment horizontal="center" vertical="center"/>
    </xf>
    <xf numFmtId="2" fontId="16" fillId="0" borderId="14" applyAlignment="1" pivotButton="0" quotePrefix="0" xfId="0">
      <alignment horizontal="center" vertical="center"/>
    </xf>
    <xf numFmtId="10" fontId="28" fillId="9" borderId="15" applyAlignment="1" pivotButton="0" quotePrefix="0" xfId="1">
      <alignment horizontal="center" vertical="center"/>
    </xf>
    <xf numFmtId="10" fontId="16" fillId="9" borderId="13" applyAlignment="1" pivotButton="0" quotePrefix="0" xfId="0">
      <alignment horizontal="center" vertical="center"/>
    </xf>
    <xf numFmtId="2" fontId="16" fillId="9" borderId="13" applyAlignment="1" pivotButton="0" quotePrefix="0" xfId="0">
      <alignment horizontal="center" vertical="center"/>
    </xf>
    <xf numFmtId="2" fontId="16" fillId="9" borderId="14" applyAlignment="1" pivotButton="0" quotePrefix="0" xfId="0">
      <alignment horizontal="center" vertical="center"/>
    </xf>
    <xf numFmtId="10" fontId="28" fillId="0" borderId="18" applyAlignment="1" pivotButton="0" quotePrefix="0" xfId="1">
      <alignment horizontal="center" vertical="center"/>
    </xf>
    <xf numFmtId="10" fontId="16" fillId="0" borderId="16" applyAlignment="1" pivotButton="0" quotePrefix="0" xfId="0">
      <alignment horizontal="center" vertical="center"/>
    </xf>
    <xf numFmtId="2" fontId="16" fillId="0" borderId="16" applyAlignment="1" pivotButton="0" quotePrefix="0" xfId="0">
      <alignment horizontal="center" vertical="center"/>
    </xf>
    <xf numFmtId="2" fontId="16" fillId="0" borderId="17" applyAlignment="1" pivotButton="0" quotePrefix="0" xfId="0">
      <alignment horizontal="center" vertical="center"/>
    </xf>
    <xf numFmtId="0" fontId="31" fillId="0" borderId="0" pivotButton="0" quotePrefix="0" xfId="0"/>
    <xf numFmtId="165" fontId="0" fillId="0" borderId="0" pivotButton="0" quotePrefix="0" xfId="0"/>
    <xf numFmtId="0" fontId="32" fillId="0" borderId="0" applyAlignment="1" pivotButton="0" quotePrefix="0" xfId="0">
      <alignment horizontal="right"/>
    </xf>
    <xf numFmtId="0" fontId="33" fillId="11" borderId="0" pivotButton="0" quotePrefix="0" xfId="0"/>
    <xf numFmtId="0" fontId="34" fillId="12" borderId="19" applyAlignment="1" pivotButton="0" quotePrefix="0" xfId="0">
      <alignment horizontal="center" vertical="center"/>
    </xf>
    <xf numFmtId="0" fontId="34" fillId="12" borderId="20" applyAlignment="1" pivotButton="0" quotePrefix="0" xfId="0">
      <alignment horizontal="center" vertical="center"/>
    </xf>
    <xf numFmtId="0" fontId="34" fillId="12" borderId="21" applyAlignment="1" pivotButton="0" quotePrefix="0" xfId="0">
      <alignment horizontal="center" vertical="center"/>
    </xf>
    <xf numFmtId="10" fontId="35" fillId="13" borderId="24" pivotButton="0" quotePrefix="0" xfId="0"/>
    <xf numFmtId="10" fontId="36" fillId="13" borderId="24" pivotButton="0" quotePrefix="0" xfId="0"/>
    <xf numFmtId="10" fontId="36" fillId="0" borderId="24" pivotButton="0" quotePrefix="0" xfId="0"/>
    <xf numFmtId="10" fontId="36" fillId="13" borderId="21" pivotButton="0" quotePrefix="0" xfId="0"/>
    <xf numFmtId="164" fontId="4" fillId="6" borderId="4" applyAlignment="1" pivotButton="0" quotePrefix="0" xfId="0">
      <alignment horizontal="center" vertical="center" wrapText="1"/>
    </xf>
    <xf numFmtId="165" fontId="6" fillId="6" borderId="4" applyAlignment="1" pivotButton="0" quotePrefix="0" xfId="0">
      <alignment horizontal="center" vertical="center" wrapText="1"/>
    </xf>
    <xf numFmtId="166" fontId="5" fillId="0" borderId="4" applyAlignment="1" pivotButton="0" quotePrefix="0" xfId="0">
      <alignment horizontal="center" vertical="center" wrapText="1"/>
    </xf>
    <xf numFmtId="165" fontId="10" fillId="6" borderId="4" applyAlignment="1" pivotButton="0" quotePrefix="0" xfId="0">
      <alignment horizontal="center" vertical="center" wrapText="1"/>
    </xf>
    <xf numFmtId="167" fontId="0" fillId="0" borderId="0" pivotButton="0" quotePrefix="0" xfId="0"/>
    <xf numFmtId="0" fontId="24" fillId="8" borderId="6" applyAlignment="1" pivotButton="0" quotePrefix="0" xfId="0">
      <alignment horizontal="center" vertical="center"/>
    </xf>
    <xf numFmtId="0" fontId="34" fillId="12" borderId="20" applyAlignment="1" pivotButton="0" quotePrefix="0" xfId="0">
      <alignment horizontal="center" vertical="center" wrapText="1"/>
    </xf>
    <xf numFmtId="0" fontId="35" fillId="13" borderId="26" applyAlignment="1" pivotButton="0" quotePrefix="0" xfId="0">
      <alignment horizontal="center" vertical="center"/>
    </xf>
    <xf numFmtId="10" fontId="35" fillId="13" borderId="23" applyAlignment="1" pivotButton="0" quotePrefix="0" xfId="0">
      <alignment horizontal="center" vertical="center"/>
    </xf>
    <xf numFmtId="0" fontId="36" fillId="13" borderId="23" applyAlignment="1" pivotButton="0" quotePrefix="0" xfId="0">
      <alignment horizontal="center" vertical="center"/>
    </xf>
    <xf numFmtId="0" fontId="35" fillId="13" borderId="23" applyAlignment="1" pivotButton="0" quotePrefix="0" xfId="0">
      <alignment horizontal="center" vertical="center"/>
    </xf>
    <xf numFmtId="10" fontId="37" fillId="13" borderId="23" applyAlignment="1" pivotButton="0" quotePrefix="0" xfId="0">
      <alignment horizontal="center" vertical="center"/>
    </xf>
    <xf numFmtId="10" fontId="38" fillId="13" borderId="23" applyAlignment="1" pivotButton="0" quotePrefix="0" xfId="0">
      <alignment horizontal="center" vertical="center"/>
    </xf>
    <xf numFmtId="2" fontId="35" fillId="13" borderId="23" applyAlignment="1" pivotButton="0" quotePrefix="0" xfId="0">
      <alignment horizontal="center" vertical="center"/>
    </xf>
    <xf numFmtId="10" fontId="36" fillId="13" borderId="23" applyAlignment="1" pivotButton="0" quotePrefix="0" xfId="0">
      <alignment horizontal="center" vertical="center"/>
    </xf>
    <xf numFmtId="10" fontId="39" fillId="13" borderId="23" applyAlignment="1" pivotButton="0" quotePrefix="0" xfId="0">
      <alignment horizontal="center" vertical="center"/>
    </xf>
    <xf numFmtId="10" fontId="36" fillId="0" borderId="23" applyAlignment="1" pivotButton="0" quotePrefix="0" xfId="0">
      <alignment horizontal="center" vertical="center"/>
    </xf>
    <xf numFmtId="0" fontId="36" fillId="0" borderId="23" applyAlignment="1" pivotButton="0" quotePrefix="0" xfId="0">
      <alignment horizontal="center" vertical="center"/>
    </xf>
    <xf numFmtId="10" fontId="39" fillId="0" borderId="23" applyAlignment="1" pivotButton="0" quotePrefix="0" xfId="0">
      <alignment horizontal="center" vertical="center"/>
    </xf>
    <xf numFmtId="10" fontId="36" fillId="13" borderId="20" applyAlignment="1" pivotButton="0" quotePrefix="0" xfId="0">
      <alignment horizontal="center" vertical="center"/>
    </xf>
    <xf numFmtId="0" fontId="36" fillId="13" borderId="20" applyAlignment="1" pivotButton="0" quotePrefix="0" xfId="0">
      <alignment horizontal="center" vertical="center"/>
    </xf>
    <xf numFmtId="10" fontId="39" fillId="13" borderId="20" applyAlignment="1" pivotButton="0" quotePrefix="0" xfId="0">
      <alignment horizontal="center" vertical="center"/>
    </xf>
    <xf numFmtId="10" fontId="29" fillId="13" borderId="23" applyAlignment="1" pivotButton="0" quotePrefix="0" xfId="0">
      <alignment horizontal="center" vertical="center"/>
    </xf>
    <xf numFmtId="2" fontId="29" fillId="13" borderId="23" applyAlignment="1" pivotButton="0" quotePrefix="0" xfId="0">
      <alignment horizontal="center" vertical="center"/>
    </xf>
    <xf numFmtId="10" fontId="29" fillId="0" borderId="23" applyAlignment="1" pivotButton="0" quotePrefix="0" xfId="0">
      <alignment horizontal="center" vertical="center"/>
    </xf>
    <xf numFmtId="2" fontId="29" fillId="0" borderId="23" applyAlignment="1" pivotButton="0" quotePrefix="0" xfId="0">
      <alignment horizontal="center" vertical="center"/>
    </xf>
    <xf numFmtId="10" fontId="29" fillId="13" borderId="20" applyAlignment="1" pivotButton="0" quotePrefix="0" xfId="0">
      <alignment horizontal="center" vertical="center"/>
    </xf>
    <xf numFmtId="2" fontId="29" fillId="13" borderId="20" applyAlignment="1" pivotButton="0" quotePrefix="0" xfId="0">
      <alignment horizontal="center" vertical="center"/>
    </xf>
    <xf numFmtId="0" fontId="0" fillId="0" borderId="0" pivotButton="0" quotePrefix="0" xfId="0"/>
    <xf numFmtId="10" fontId="27" fillId="13" borderId="23" applyAlignment="1" pivotButton="0" quotePrefix="0" xfId="0">
      <alignment horizontal="center" vertical="center"/>
    </xf>
    <xf numFmtId="4" fontId="29" fillId="13" borderId="23" applyAlignment="1" pivotButton="0" quotePrefix="0" xfId="0">
      <alignment horizontal="center" vertical="center"/>
    </xf>
    <xf numFmtId="4" fontId="29" fillId="13" borderId="20" applyAlignment="1" pivotButton="0" quotePrefix="0" xfId="0">
      <alignment horizontal="center" vertical="center"/>
    </xf>
    <xf numFmtId="4" fontId="29" fillId="0" borderId="23" applyAlignment="1" pivotButton="0" quotePrefix="0" xfId="0">
      <alignment horizontal="center" vertical="center"/>
    </xf>
    <xf numFmtId="14" fontId="0" fillId="0" borderId="0" pivotButton="0" quotePrefix="0" xfId="0"/>
    <xf numFmtId="0" fontId="16" fillId="0" borderId="23" applyAlignment="1" pivotButton="0" quotePrefix="0" xfId="0">
      <alignment horizontal="center" vertical="center"/>
    </xf>
    <xf numFmtId="0" fontId="7" fillId="3" borderId="0" pivotButton="0" quotePrefix="0" xfId="0"/>
    <xf numFmtId="0" fontId="0" fillId="0" borderId="0" pivotButton="0" quotePrefix="0" xfId="0"/>
    <xf numFmtId="0" fontId="11" fillId="4" borderId="4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11" fillId="4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/>
    </xf>
    <xf numFmtId="0" fontId="12" fillId="3" borderId="0" applyAlignment="1" pivotButton="0" quotePrefix="0" xfId="0">
      <alignment horizontal="center" vertical="center" wrapText="1"/>
    </xf>
    <xf numFmtId="0" fontId="17" fillId="0" borderId="4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4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 wrapText="1"/>
    </xf>
    <xf numFmtId="0" fontId="16" fillId="0" borderId="8" applyAlignment="1" pivotButton="0" quotePrefix="0" xfId="0">
      <alignment horizontal="center" vertical="center" wrapText="1"/>
    </xf>
    <xf numFmtId="0" fontId="0" fillId="0" borderId="8" pivotButton="0" quotePrefix="0" xfId="0"/>
    <xf numFmtId="0" fontId="16" fillId="0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16" fillId="0" borderId="7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center" vertical="center" wrapText="1"/>
    </xf>
    <xf numFmtId="0" fontId="0" fillId="0" borderId="11" pivotButton="0" quotePrefix="0" xfId="0"/>
    <xf numFmtId="0" fontId="36" fillId="0" borderId="22" applyAlignment="1" pivotButton="0" quotePrefix="0" xfId="0">
      <alignment horizontal="center" vertical="center"/>
    </xf>
    <xf numFmtId="0" fontId="36" fillId="0" borderId="25" applyAlignment="1" pivotButton="0" quotePrefix="0" xfId="0">
      <alignment horizontal="center" vertical="center"/>
    </xf>
    <xf numFmtId="0" fontId="33" fillId="0" borderId="23" applyAlignment="1" pivotButton="0" quotePrefix="0" xfId="0">
      <alignment horizontal="left" vertical="top"/>
    </xf>
    <xf numFmtId="0" fontId="33" fillId="0" borderId="0" applyAlignment="1" pivotButton="0" quotePrefix="0" xfId="0">
      <alignment horizontal="left" vertical="top"/>
    </xf>
    <xf numFmtId="0" fontId="7" fillId="3" borderId="10" applyAlignment="1" pivotButton="0" quotePrefix="0" xfId="0">
      <alignment horizontal="center"/>
    </xf>
    <xf numFmtId="0" fontId="0" fillId="0" borderId="10" pivotButton="0" quotePrefix="0" xfId="0"/>
    <xf numFmtId="0" fontId="7" fillId="3" borderId="0" applyAlignment="1" pivotButton="0" quotePrefix="0" xfId="0">
      <alignment horizontal="center"/>
    </xf>
    <xf numFmtId="0" fontId="7" fillId="3" borderId="0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 wrapText="1"/>
    </xf>
    <xf numFmtId="164" fontId="22" fillId="7" borderId="4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2" fillId="0" borderId="0" pivotButton="0" quotePrefix="0" xfId="0"/>
    <xf numFmtId="165" fontId="10" fillId="6" borderId="1" applyAlignment="1" pivotButton="0" quotePrefix="0" xfId="0">
      <alignment horizontal="center" vertical="center" wrapText="1"/>
    </xf>
    <xf numFmtId="166" fontId="20" fillId="0" borderId="1" applyAlignment="1" pivotButton="0" quotePrefix="0" xfId="0">
      <alignment horizontal="center" vertical="center" wrapText="1"/>
    </xf>
    <xf numFmtId="164" fontId="18" fillId="0" borderId="1" applyAlignment="1" pivotButton="0" quotePrefix="0" xfId="0">
      <alignment horizontal="center" vertical="center" wrapText="1"/>
    </xf>
    <xf numFmtId="164" fontId="6" fillId="2" borderId="1" pivotButton="0" quotePrefix="0" xfId="0"/>
    <xf numFmtId="0" fontId="30" fillId="0" borderId="18" applyAlignment="1" pivotButton="0" quotePrefix="0" xfId="0">
      <alignment horizontal="center" vertical="center" wrapText="1"/>
    </xf>
    <xf numFmtId="0" fontId="16" fillId="0" borderId="15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5" pivotButton="0" quotePrefix="0" xfId="0"/>
    <xf numFmtId="0" fontId="0" fillId="0" borderId="23" pivotButton="0" quotePrefix="0" xfId="0"/>
    <xf numFmtId="164" fontId="4" fillId="6" borderId="4" applyAlignment="1" pivotButton="0" quotePrefix="0" xfId="0">
      <alignment horizontal="center" vertical="center" wrapText="1"/>
    </xf>
    <xf numFmtId="165" fontId="6" fillId="6" borderId="4" applyAlignment="1" pivotButton="0" quotePrefix="0" xfId="0">
      <alignment horizontal="center" vertical="center" wrapText="1"/>
    </xf>
    <xf numFmtId="166" fontId="5" fillId="0" borderId="4" applyAlignment="1" pivotButton="0" quotePrefix="0" xfId="0">
      <alignment horizontal="center" vertical="center" wrapText="1"/>
    </xf>
    <xf numFmtId="165" fontId="10" fillId="6" borderId="4" applyAlignment="1" pivotButton="0" quotePrefix="0" xfId="0">
      <alignment horizontal="center" vertical="center" wrapText="1"/>
    </xf>
    <xf numFmtId="167" fontId="0" fillId="0" borderId="0" pivotButton="0" quotePrefix="0" xfId="0"/>
    <xf numFmtId="166" fontId="25" fillId="9" borderId="13" applyAlignment="1" pivotButton="0" quotePrefix="0" xfId="0">
      <alignment horizontal="center" vertical="center"/>
    </xf>
    <xf numFmtId="166" fontId="16" fillId="0" borderId="13" applyAlignment="1" pivotButton="0" quotePrefix="0" xfId="0">
      <alignment horizontal="center" vertical="center"/>
    </xf>
    <xf numFmtId="166" fontId="16" fillId="9" borderId="13" applyAlignment="1" pivotButton="0" quotePrefix="0" xfId="0">
      <alignment horizontal="center" vertical="center"/>
    </xf>
    <xf numFmtId="166" fontId="16" fillId="0" borderId="16" applyAlignment="1" pivotButton="0" quotePrefix="0" xfId="0">
      <alignment horizontal="center" vertical="center"/>
    </xf>
    <xf numFmtId="166" fontId="35" fillId="13" borderId="23" applyAlignment="1" pivotButton="0" quotePrefix="0" xfId="0">
      <alignment horizontal="center" vertical="center"/>
    </xf>
    <xf numFmtId="166" fontId="29" fillId="0" borderId="23" applyAlignment="1" pivotButton="0" quotePrefix="0" xfId="0">
      <alignment horizontal="center" vertical="center"/>
    </xf>
    <xf numFmtId="166" fontId="29" fillId="13" borderId="23" applyAlignment="1" pivotButton="0" quotePrefix="0" xfId="0">
      <alignment horizontal="center" vertical="center"/>
    </xf>
    <xf numFmtId="166" fontId="29" fillId="13" borderId="20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dxfs count="35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externalLink" Target="/xl/externalLinks/externalLink1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 altLang="zh-CN"/>
              <a:t xml:space="preserve">10-90 </a:t>
            </a:r>
            <a:r>
              <a:rPr lang="zh-CN" altLang="en-US"/>
              <a:t>组合净值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'组合净值（模拟）'!$B$5</f>
              <strCache>
                <ptCount val="1"/>
                <pt idx="0">
                  <v>净值</v>
                </pt>
              </strCache>
            </strRef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'组合净值（模拟）'!$A$6:$A$60</f>
              <strCache>
                <ptCount val="27"/>
                <pt idx="0">
                  <v>2026-05-29</v>
                </pt>
                <pt idx="1">
                  <v>2026-06-01</v>
                </pt>
                <pt idx="2">
                  <v>2026-06-02</v>
                </pt>
                <pt idx="3">
                  <v>2026-06-03</v>
                </pt>
                <pt idx="4">
                  <v>2026-06-04</v>
                </pt>
                <pt idx="5">
                  <v>2026-06-05</v>
                </pt>
                <pt idx="6">
                  <v>2026-06-08</v>
                </pt>
                <pt idx="7">
                  <v>2026-06-09</v>
                </pt>
                <pt idx="8">
                  <v>2026-06-10</v>
                </pt>
                <pt idx="9">
                  <v>2026-06-11</v>
                </pt>
                <pt idx="10">
                  <v>2026-06-12</v>
                </pt>
                <pt idx="11">
                  <v>2026-06-15</v>
                </pt>
                <pt idx="12">
                  <v>2026-06-16</v>
                </pt>
                <pt idx="13">
                  <v>2026-06-17</v>
                </pt>
                <pt idx="14">
                  <v>2026-06-18</v>
                </pt>
                <pt idx="15">
                  <v>2026-06-22</v>
                </pt>
                <pt idx="16">
                  <v>2026-06-23</v>
                </pt>
                <pt idx="17">
                  <v>2026-06-24</v>
                </pt>
                <pt idx="18">
                  <v>2026-06-25</v>
                </pt>
                <pt idx="19">
                  <v>2026-06-26</v>
                </pt>
                <pt idx="20">
                  <v>2026-06-29</v>
                </pt>
                <pt idx="21">
                  <v>2026-06-30</v>
                </pt>
                <pt idx="22">
                  <v>2026-07-01</v>
                </pt>
                <pt idx="23">
                  <v>2026-07-02</v>
                </pt>
                <pt idx="24">
                  <v>2026-07-03</v>
                </pt>
                <pt idx="25">
                  <v>2026-07-06</v>
                </pt>
                <pt idx="26">
                  <v>2026-07-07</v>
                </pt>
              </strCache>
            </strRef>
          </cat>
          <val>
            <numRef>
              <f>'组合净值（模拟）'!$B$6:$B$60</f>
              <numCache>
                <formatCode>0.0000</formatCode>
                <ptCount val="55"/>
                <pt idx="0">
                  <v>1</v>
                </pt>
                <pt idx="1">
                  <v>0.9976564333717223</v>
                </pt>
                <pt idx="2">
                  <v>1.000487398823284</v>
                </pt>
                <pt idx="3">
                  <v>1.001914939222252</v>
                </pt>
                <pt idx="4">
                  <v>1.002765309597788</v>
                </pt>
                <pt idx="5">
                  <v>0.9997837010295942</v>
                </pt>
                <pt idx="6">
                  <v>0.9946380371656298</v>
                </pt>
                <pt idx="7">
                  <v>0.9981093007678385</v>
                </pt>
                <pt idx="8">
                  <v>0.9941673666828222</v>
                </pt>
                <pt idx="9">
                  <v>0.9928327129363539</v>
                </pt>
                <pt idx="10">
                  <v>0.9940625828983296</v>
                </pt>
                <pt idx="11">
                  <v>1.000824205922376</v>
                </pt>
                <pt idx="12">
                  <v>1.003561999938411</v>
                </pt>
                <pt idx="13">
                  <v>1.006235000526085</v>
                </pt>
                <pt idx="14">
                  <v>1.008127636310635</v>
                </pt>
                <pt idx="15">
                  <v>1.009360077397692</v>
                </pt>
                <pt idx="16">
                  <v>1.006104369874212</v>
                </pt>
                <pt idx="17">
                  <v>1.008395750453211</v>
                </pt>
                <pt idx="18">
                  <v>1.010256779247478</v>
                </pt>
                <pt idx="19">
                  <v>1.007573467300625</v>
                </pt>
                <pt idx="20">
                  <v>1.009271569726589</v>
                </pt>
                <pt idx="21">
                  <v>1.011913533401304</v>
                </pt>
                <pt idx="22">
                  <v>1.008926457646311</v>
                </pt>
                <pt idx="23">
                  <v>1.003031008820247</v>
                </pt>
                <pt idx="24">
                  <v>1.003898142673376</v>
                </pt>
                <pt idx="25">
                  <v>1.002779790113922</v>
                </pt>
                <pt idx="26">
                  <v>1.002030788124494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800155072"/>
        <axId val="-800150720"/>
      </lineChart>
      <dateAx>
        <axId val="-800155072"/>
        <scaling>
          <orientation val="minMax"/>
          <min val="46171"/>
        </scaling>
        <delete val="0"/>
        <axPos val="b"/>
        <numFmt formatCode="mm\-dd" sourceLinked="0"/>
        <majorTickMark val="out"/>
        <minorTickMark val="none"/>
        <tickLblPos val="nextTo"/>
        <crossAx val="-800150720"/>
        <crosses val="autoZero"/>
        <lblOffset val="100"/>
        <baseTimeUnit val="days"/>
      </dateAx>
      <valAx>
        <axId val="-800150720"/>
        <scaling>
          <orientation val="minMax"/>
        </scaling>
        <delete val="0"/>
        <axPos val="l"/>
        <numFmt formatCode="0.0000" sourceLinked="0"/>
        <majorTickMark val="none"/>
        <minorTickMark val="none"/>
        <tickLblPos val="nextTo"/>
        <crossAx val="-800155072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 altLang="zh-CN"/>
              <a:t xml:space="preserve">20-80 </a:t>
            </a:r>
            <a:r>
              <a:rPr lang="zh-CN" altLang="en-US"/>
              <a:t>组合净值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'组合净值（模拟）'!$E$5</f>
              <strCache>
                <ptCount val="1"/>
                <pt idx="0">
                  <v>净值</v>
                </pt>
              </strCache>
            </strRef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'组合净值（模拟）'!$A$6:$A$60</f>
              <strCache>
                <ptCount val="27"/>
                <pt idx="0">
                  <v>2026-05-29</v>
                </pt>
                <pt idx="1">
                  <v>2026-06-01</v>
                </pt>
                <pt idx="2">
                  <v>2026-06-02</v>
                </pt>
                <pt idx="3">
                  <v>2026-06-03</v>
                </pt>
                <pt idx="4">
                  <v>2026-06-04</v>
                </pt>
                <pt idx="5">
                  <v>2026-06-05</v>
                </pt>
                <pt idx="6">
                  <v>2026-06-08</v>
                </pt>
                <pt idx="7">
                  <v>2026-06-09</v>
                </pt>
                <pt idx="8">
                  <v>2026-06-10</v>
                </pt>
                <pt idx="9">
                  <v>2026-06-11</v>
                </pt>
                <pt idx="10">
                  <v>2026-06-12</v>
                </pt>
                <pt idx="11">
                  <v>2026-06-15</v>
                </pt>
                <pt idx="12">
                  <v>2026-06-16</v>
                </pt>
                <pt idx="13">
                  <v>2026-06-17</v>
                </pt>
                <pt idx="14">
                  <v>2026-06-18</v>
                </pt>
                <pt idx="15">
                  <v>2026-06-22</v>
                </pt>
                <pt idx="16">
                  <v>2026-06-23</v>
                </pt>
                <pt idx="17">
                  <v>2026-06-24</v>
                </pt>
                <pt idx="18">
                  <v>2026-06-25</v>
                </pt>
                <pt idx="19">
                  <v>2026-06-26</v>
                </pt>
                <pt idx="20">
                  <v>2026-06-29</v>
                </pt>
                <pt idx="21">
                  <v>2026-06-30</v>
                </pt>
                <pt idx="22">
                  <v>2026-07-01</v>
                </pt>
                <pt idx="23">
                  <v>2026-07-02</v>
                </pt>
                <pt idx="24">
                  <v>2026-07-03</v>
                </pt>
                <pt idx="25">
                  <v>2026-07-06</v>
                </pt>
                <pt idx="26">
                  <v>2026-07-07</v>
                </pt>
              </strCache>
            </strRef>
          </cat>
          <val>
            <numRef>
              <f>'组合净值（模拟）'!$E$6:$E$60</f>
              <numCache>
                <formatCode>0.0000</formatCode>
                <ptCount val="55"/>
                <pt idx="0">
                  <v>1</v>
                </pt>
                <pt idx="1">
                  <v>0.9947098447657654</v>
                </pt>
                <pt idx="2">
                  <v>1.00003455435005</v>
                </pt>
                <pt idx="3">
                  <v>1.003948967812899</v>
                </pt>
                <pt idx="4">
                  <v>1.005004136734627</v>
                </pt>
                <pt idx="5">
                  <v>0.9996309314594227</v>
                </pt>
                <pt idx="6">
                  <v>0.9914160277538232</v>
                </pt>
                <pt idx="7">
                  <v>0.9988534899483106</v>
                </pt>
                <pt idx="8">
                  <v>0.9932982617944643</v>
                </pt>
                <pt idx="9">
                  <v>0.9922102409981508</v>
                </pt>
                <pt idx="10">
                  <v>0.9935521976660073</v>
                </pt>
                <pt idx="11">
                  <v>1.005261385185954</v>
                </pt>
                <pt idx="12">
                  <v>1.009721698876314</v>
                </pt>
                <pt idx="13">
                  <v>1.014503638966643</v>
                </pt>
                <pt idx="14">
                  <v>1.018187495360822</v>
                </pt>
                <pt idx="15">
                  <v>1.021658449007022</v>
                </pt>
                <pt idx="16">
                  <v>1.016325364764451</v>
                </pt>
                <pt idx="17">
                  <v>1.021215050545337</v>
                </pt>
                <pt idx="18">
                  <v>1.025246072600737</v>
                </pt>
                <pt idx="19">
                  <v>1.019196873753478</v>
                </pt>
                <pt idx="20">
                  <v>1.021521450523414</v>
                </pt>
                <pt idx="21">
                  <v>1.028012711514811</v>
                </pt>
                <pt idx="22">
                  <v>1.02340287267461</v>
                </pt>
                <pt idx="23">
                  <v>1.010595767905783</v>
                </pt>
                <pt idx="24">
                  <v>1.011337489774602</v>
                </pt>
                <pt idx="25">
                  <v>1.008565067702338</v>
                </pt>
                <pt idx="26">
                  <v>1.007233519514822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800148000"/>
        <axId val="-800145280"/>
      </lineChart>
      <dateAx>
        <axId val="-800148000"/>
        <scaling>
          <orientation val="minMax"/>
          <min val="46171"/>
        </scaling>
        <delete val="0"/>
        <axPos val="b"/>
        <numFmt formatCode="mm\-dd" sourceLinked="0"/>
        <majorTickMark val="out"/>
        <minorTickMark val="none"/>
        <tickLblPos val="nextTo"/>
        <crossAx val="-800145280"/>
        <crosses val="autoZero"/>
        <lblOffset val="100"/>
        <baseTimeUnit val="days"/>
      </dateAx>
      <valAx>
        <axId val="-800145280"/>
        <scaling>
          <orientation val="minMax"/>
        </scaling>
        <delete val="0"/>
        <axPos val="l"/>
        <numFmt formatCode="0.0000" sourceLinked="0"/>
        <majorTickMark val="none"/>
        <minorTickMark val="none"/>
        <tickLblPos val="nextTo"/>
        <crossAx val="-80014800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 altLang="zh-CN"/>
              <a:t xml:space="preserve">30-70 </a:t>
            </a:r>
            <a:r>
              <a:rPr lang="zh-CN" altLang="en-US"/>
              <a:t>组合净值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'组合净值（模拟）'!$H$5</f>
              <strCache>
                <ptCount val="1"/>
                <pt idx="0">
                  <v>净值</v>
                </pt>
              </strCache>
            </strRef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'组合净值（模拟）'!$A$6:$A$60</f>
              <strCache>
                <ptCount val="27"/>
                <pt idx="0">
                  <v>2026-05-29</v>
                </pt>
                <pt idx="1">
                  <v>2026-06-01</v>
                </pt>
                <pt idx="2">
                  <v>2026-06-02</v>
                </pt>
                <pt idx="3">
                  <v>2026-06-03</v>
                </pt>
                <pt idx="4">
                  <v>2026-06-04</v>
                </pt>
                <pt idx="5">
                  <v>2026-06-05</v>
                </pt>
                <pt idx="6">
                  <v>2026-06-08</v>
                </pt>
                <pt idx="7">
                  <v>2026-06-09</v>
                </pt>
                <pt idx="8">
                  <v>2026-06-10</v>
                </pt>
                <pt idx="9">
                  <v>2026-06-11</v>
                </pt>
                <pt idx="10">
                  <v>2026-06-12</v>
                </pt>
                <pt idx="11">
                  <v>2026-06-15</v>
                </pt>
                <pt idx="12">
                  <v>2026-06-16</v>
                </pt>
                <pt idx="13">
                  <v>2026-06-17</v>
                </pt>
                <pt idx="14">
                  <v>2026-06-18</v>
                </pt>
                <pt idx="15">
                  <v>2026-06-22</v>
                </pt>
                <pt idx="16">
                  <v>2026-06-23</v>
                </pt>
                <pt idx="17">
                  <v>2026-06-24</v>
                </pt>
                <pt idx="18">
                  <v>2026-06-25</v>
                </pt>
                <pt idx="19">
                  <v>2026-06-26</v>
                </pt>
                <pt idx="20">
                  <v>2026-06-29</v>
                </pt>
                <pt idx="21">
                  <v>2026-06-30</v>
                </pt>
                <pt idx="22">
                  <v>2026-07-01</v>
                </pt>
                <pt idx="23">
                  <v>2026-07-02</v>
                </pt>
                <pt idx="24">
                  <v>2026-07-03</v>
                </pt>
                <pt idx="25">
                  <v>2026-07-06</v>
                </pt>
                <pt idx="26">
                  <v>2026-07-07</v>
                </pt>
              </strCache>
            </strRef>
          </cat>
          <val>
            <numRef>
              <f>'组合净值（模拟）'!$H$6:$H$60</f>
              <numCache>
                <formatCode>0.0000</formatCode>
                <ptCount val="55"/>
                <pt idx="0">
                  <v>1</v>
                </pt>
                <pt idx="1">
                  <v>0.9915531591415271</v>
                </pt>
                <pt idx="2">
                  <v>0.9996650723458659</v>
                </pt>
                <pt idx="3">
                  <v>1.005402187892459</v>
                </pt>
                <pt idx="4">
                  <v>1.006715242615339</v>
                </pt>
                <pt idx="5">
                  <v>0.9989757521869215</v>
                </pt>
                <pt idx="6">
                  <v>0.9860651971857312</v>
                </pt>
                <pt idx="7">
                  <v>0.9976973698824561</v>
                </pt>
                <pt idx="8">
                  <v>0.9890903985697475</v>
                </pt>
                <pt idx="9">
                  <v>0.9872828421831397</v>
                </pt>
                <pt idx="10">
                  <v>0.9893171865465281</v>
                </pt>
                <pt idx="11">
                  <v>1.007465764651737</v>
                </pt>
                <pt idx="12">
                  <v>1.013796086262936</v>
                </pt>
                <pt idx="13">
                  <v>1.020602515828986</v>
                </pt>
                <pt idx="14">
                  <v>1.025914584825665</v>
                </pt>
                <pt idx="15">
                  <v>1.030516196186218</v>
                </pt>
                <pt idx="16">
                  <v>1.022378961000866</v>
                </pt>
                <pt idx="17">
                  <v>1.029624048304554</v>
                </pt>
                <pt idx="18">
                  <v>1.034812631228929</v>
                </pt>
                <pt idx="19">
                  <v>1.025819175805315</v>
                </pt>
                <pt idx="20">
                  <v>1.028918036046905</v>
                </pt>
                <pt idx="21">
                  <v>1.038881847070371</v>
                </pt>
                <pt idx="22">
                  <v>1.032230228610842</v>
                </pt>
                <pt idx="23">
                  <v>1.013435081473239</v>
                </pt>
                <pt idx="24">
                  <v>1.015273513391797</v>
                </pt>
                <pt idx="25">
                  <v>1.010681224696625</v>
                </pt>
                <pt idx="26">
                  <v>1.00850304247335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800144192"/>
        <axId val="-800143648"/>
      </lineChart>
      <dateAx>
        <axId val="-800144192"/>
        <scaling>
          <orientation val="minMax"/>
          <min val="46171"/>
        </scaling>
        <delete val="0"/>
        <axPos val="b"/>
        <numFmt formatCode="mm\-dd" sourceLinked="0"/>
        <majorTickMark val="out"/>
        <minorTickMark val="none"/>
        <tickLblPos val="nextTo"/>
        <crossAx val="-800143648"/>
        <crosses val="autoZero"/>
        <lblOffset val="100"/>
        <baseTimeUnit val="days"/>
      </dateAx>
      <valAx>
        <axId val="-800143648"/>
        <scaling>
          <orientation val="minMax"/>
        </scaling>
        <delete val="0"/>
        <axPos val="l"/>
        <numFmt formatCode="0.0000" sourceLinked="0"/>
        <majorTickMark val="none"/>
        <minorTickMark val="none"/>
        <tickLblPos val="nextTo"/>
        <crossAx val="-800144192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zh-CN" altLang="en-US"/>
              <a:t>产业趋势</a:t>
            </a:r>
            <a:r>
              <a:rPr lang="en-US" altLang="zh-CN" baseline="0"/>
              <a:t> </a:t>
            </a:r>
            <a:r>
              <a:rPr lang="zh-CN" altLang="en-US"/>
              <a:t>组合净值</a:t>
            </a:r>
          </a:p>
        </rich>
      </tx>
      <overlay val="1"/>
    </title>
    <plotArea>
      <layout>
        <manualLayout>
          <layoutTarget val="inner"/>
          <xMode val="edge"/>
          <yMode val="edge"/>
          <wMode val="factor"/>
          <hMode val="factor"/>
          <x val="0.07176403508771929"/>
          <y val="0.04192875816993465"/>
          <w val="0.8985283625730994"/>
          <h val="0.7627915032679738"/>
        </manualLayout>
      </layout>
      <lineChart>
        <grouping val="standard"/>
        <varyColors val="1"/>
        <ser>
          <idx val="0"/>
          <order val="0"/>
          <tx>
            <strRef>
              <f>'组合净值（模拟）'!$K$5</f>
              <strCache>
                <ptCount val="1"/>
                <pt idx="0">
                  <v>净值</v>
                </pt>
              </strCache>
            </strRef>
          </tx>
          <spPr>
            <a:ln xmlns:a="http://schemas.openxmlformats.org/drawingml/2006/main" w="22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'组合净值（模拟）'!$A$6:$A$60</f>
              <strCache>
                <ptCount val="27"/>
                <pt idx="0">
                  <v>2026-05-29</v>
                </pt>
                <pt idx="1">
                  <v>2026-06-01</v>
                </pt>
                <pt idx="2">
                  <v>2026-06-02</v>
                </pt>
                <pt idx="3">
                  <v>2026-06-03</v>
                </pt>
                <pt idx="4">
                  <v>2026-06-04</v>
                </pt>
                <pt idx="5">
                  <v>2026-06-05</v>
                </pt>
                <pt idx="6">
                  <v>2026-06-08</v>
                </pt>
                <pt idx="7">
                  <v>2026-06-09</v>
                </pt>
                <pt idx="8">
                  <v>2026-06-10</v>
                </pt>
                <pt idx="9">
                  <v>2026-06-11</v>
                </pt>
                <pt idx="10">
                  <v>2026-06-12</v>
                </pt>
                <pt idx="11">
                  <v>2026-06-15</v>
                </pt>
                <pt idx="12">
                  <v>2026-06-16</v>
                </pt>
                <pt idx="13">
                  <v>2026-06-17</v>
                </pt>
                <pt idx="14">
                  <v>2026-06-18</v>
                </pt>
                <pt idx="15">
                  <v>2026-06-22</v>
                </pt>
                <pt idx="16">
                  <v>2026-06-23</v>
                </pt>
                <pt idx="17">
                  <v>2026-06-24</v>
                </pt>
                <pt idx="18">
                  <v>2026-06-25</v>
                </pt>
                <pt idx="19">
                  <v>2026-06-26</v>
                </pt>
                <pt idx="20">
                  <v>2026-06-29</v>
                </pt>
                <pt idx="21">
                  <v>2026-06-30</v>
                </pt>
                <pt idx="22">
                  <v>2026-07-01</v>
                </pt>
                <pt idx="23">
                  <v>2026-07-02</v>
                </pt>
                <pt idx="24">
                  <v>2026-07-03</v>
                </pt>
                <pt idx="25">
                  <v>2026-07-06</v>
                </pt>
                <pt idx="26">
                  <v>2026-07-07</v>
                </pt>
              </strCache>
            </strRef>
          </cat>
          <val>
            <numRef>
              <f>'组合净值（模拟）'!$K$6:$K$60</f>
              <numCache>
                <formatCode>0.0000</formatCode>
                <ptCount val="55"/>
                <pt idx="0">
                  <v>1</v>
                </pt>
                <pt idx="1">
                  <v>0.9494554691573441</v>
                </pt>
                <pt idx="2">
                  <v>0.9953800623537085</v>
                </pt>
                <pt idx="3">
                  <v>1.038478269507039</v>
                </pt>
                <pt idx="4">
                  <v>1.048004461910618</v>
                </pt>
                <pt idx="5">
                  <v>1.01100772037247</v>
                </pt>
                <pt idx="6">
                  <v>0.9797861927600895</v>
                </pt>
                <pt idx="7">
                  <v>1.034542041088464</v>
                </pt>
                <pt idx="8">
                  <v>1.013407115783981</v>
                </pt>
                <pt idx="9">
                  <v>1.02108512183405</v>
                </pt>
                <pt idx="10">
                  <v>1.014786427544542</v>
                </pt>
                <pt idx="11">
                  <v>1.080866424208026</v>
                </pt>
                <pt idx="12">
                  <v>1.106105238093649</v>
                </pt>
                <pt idx="13">
                  <v>1.141348634419019</v>
                </pt>
                <pt idx="14">
                  <v>1.171976606184103</v>
                </pt>
                <pt idx="15">
                  <v>1.199772852162796</v>
                </pt>
                <pt idx="16">
                  <v>1.175995360079176</v>
                </pt>
                <pt idx="17">
                  <v>1.218687190929546</v>
                </pt>
                <pt idx="18">
                  <v>1.258814834957642</v>
                </pt>
                <pt idx="19">
                  <v>1.223037643306828</v>
                </pt>
                <pt idx="20">
                  <v>1.235209626458186</v>
                </pt>
                <pt idx="21">
                  <v>1.289549215265519</v>
                </pt>
                <pt idx="22">
                  <v>1.249937038744344</v>
                </pt>
                <pt idx="23">
                  <v>1.140146233003369</v>
                </pt>
                <pt idx="24">
                  <v>1.131622541544664</v>
                </pt>
                <pt idx="25">
                  <v>1.109183054233496</v>
                </pt>
                <pt idx="26">
                  <v>1.116898272602605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800143104"/>
        <axId val="-800142560"/>
      </lineChart>
      <dateAx>
        <axId val="-800143104"/>
        <scaling>
          <orientation val="minMax"/>
          <min val="46171"/>
        </scaling>
        <delete val="0"/>
        <axPos val="b"/>
        <numFmt formatCode="mm\-dd" sourceLinked="0"/>
        <majorTickMark val="out"/>
        <minorTickMark val="none"/>
        <tickLblPos val="nextTo"/>
        <crossAx val="-800142560"/>
        <crosses val="autoZero"/>
        <lblOffset val="100"/>
        <baseTimeUnit val="days"/>
      </dateAx>
      <valAx>
        <axId val="-800142560"/>
        <scaling>
          <orientation val="minMax"/>
          <min val="0.9"/>
        </scaling>
        <delete val="0"/>
        <axPos val="l"/>
        <numFmt formatCode="0.0000" sourceLinked="0"/>
        <majorTickMark val="none"/>
        <minorTickMark val="none"/>
        <tickLblPos val="nextTo"/>
        <crossAx val="-800143104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8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18</row>
      <rowOff>0</rowOff>
    </from>
    <ext cx="6840000" cy="34036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18</row>
      <rowOff>0</rowOff>
    </from>
    <ext cx="68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18</row>
      <rowOff>0</rowOff>
    </from>
    <ext cx="68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iFinD/ThsFunc.xla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HX_AutoDate"/>
      <definedName name="thsiFin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"/>
  <sheetViews>
    <sheetView showGridLines="0" workbookViewId="0">
      <selection activeCell="B11" sqref="B11"/>
    </sheetView>
  </sheetViews>
  <sheetFormatPr baseColWidth="8" defaultRowHeight="14"/>
  <cols>
    <col width="14" customWidth="1" style="136" min="1" max="1"/>
    <col width="13" customWidth="1" style="136" min="2" max="11"/>
    <col width="10" customWidth="1" style="136" min="15" max="15"/>
    <col width="12" customWidth="1" style="136" min="16" max="16"/>
  </cols>
  <sheetData>
    <row r="1" ht="19" customHeight="1" s="136">
      <c r="A1" s="135" t="inlineStr">
        <is>
          <t>持仓配置（初始权重）</t>
        </is>
      </c>
    </row>
    <row r="2" ht="26" customHeight="1" s="136">
      <c r="A2" s="27" t="inlineStr">
        <is>
          <t>基金简称</t>
        </is>
      </c>
      <c r="B2" s="3" t="inlineStr">
        <is>
          <t>宏利复兴混合A</t>
        </is>
      </c>
      <c r="C2" s="3" t="inlineStr">
        <is>
          <t>信澳业绩驱动A</t>
        </is>
      </c>
      <c r="D2" s="3" t="inlineStr">
        <is>
          <t>嘉实信息产业A</t>
        </is>
      </c>
      <c r="E2" s="3" t="inlineStr">
        <is>
          <t>银华集成电路混合A</t>
        </is>
      </c>
      <c r="F2" s="3" t="inlineStr">
        <is>
          <t>中欧中证500指增A</t>
        </is>
      </c>
      <c r="G2" s="3" t="inlineStr">
        <is>
          <t>天弘中证1000指增A</t>
        </is>
      </c>
      <c r="H2" s="3" t="inlineStr">
        <is>
          <t>华泰柏瑞中证2000指增A</t>
        </is>
      </c>
      <c r="I2" s="3" t="inlineStr">
        <is>
          <t>博道沪深300指增A</t>
        </is>
      </c>
      <c r="J2" s="3" t="inlineStr">
        <is>
          <t>易方达中债新综指LOFA</t>
        </is>
      </c>
      <c r="K2" s="3" t="inlineStr">
        <is>
          <t>华安黄金ETF联接A</t>
        </is>
      </c>
      <c r="L2" s="3" t="inlineStr">
        <is>
          <t>国泰半导体材料设备ETF联接A</t>
        </is>
      </c>
      <c r="M2" s="3" t="inlineStr">
        <is>
          <t>国泰通信设备ETF联接A</t>
        </is>
      </c>
      <c r="N2" s="3" t="inlineStr">
        <is>
          <t>嘉实快线货币A</t>
        </is>
      </c>
      <c r="O2" s="27" t="inlineStr">
        <is>
          <t>合计</t>
        </is>
      </c>
      <c r="P2" s="27" t="inlineStr">
        <is>
          <t>年化费率(年)</t>
        </is>
      </c>
    </row>
    <row r="3" ht="25" customHeight="1" s="136">
      <c r="A3" s="27" t="inlineStr">
        <is>
          <t>基金代码</t>
        </is>
      </c>
      <c r="B3" s="4" t="inlineStr">
        <is>
          <t>001170.OF</t>
        </is>
      </c>
      <c r="C3" s="4" t="inlineStr">
        <is>
          <t>016370.OF</t>
        </is>
      </c>
      <c r="D3" s="4" t="inlineStr">
        <is>
          <t>017488.OF</t>
        </is>
      </c>
      <c r="E3" s="4" t="inlineStr">
        <is>
          <t>013840.OF</t>
        </is>
      </c>
      <c r="F3" s="4" t="inlineStr">
        <is>
          <t>015453.OF</t>
        </is>
      </c>
      <c r="G3" s="4" t="inlineStr">
        <is>
          <t>014201.OF</t>
        </is>
      </c>
      <c r="H3" s="4" t="inlineStr">
        <is>
          <t>019923.OF</t>
        </is>
      </c>
      <c r="I3" s="4" t="inlineStr">
        <is>
          <t>007044.OF</t>
        </is>
      </c>
      <c r="J3" s="4" t="inlineStr">
        <is>
          <t>161119.OF</t>
        </is>
      </c>
      <c r="K3" s="4" t="inlineStr">
        <is>
          <t>000216.OF</t>
        </is>
      </c>
      <c r="L3" s="4" t="inlineStr">
        <is>
          <t>019632.OF</t>
        </is>
      </c>
      <c r="M3" s="4" t="inlineStr">
        <is>
          <t>007817.OF</t>
        </is>
      </c>
      <c r="N3" s="4" t="inlineStr">
        <is>
          <t>000917.OF</t>
        </is>
      </c>
      <c r="O3" s="4" t="n"/>
      <c r="P3" s="4" t="n"/>
    </row>
    <row r="4">
      <c r="A4" s="5" t="inlineStr">
        <is>
          <t>10-90 权重</t>
        </is>
      </c>
      <c r="B4" s="6" t="n">
        <v>0.01</v>
      </c>
      <c r="C4" s="6" t="n">
        <v>0.01</v>
      </c>
      <c r="D4" s="6" t="n">
        <v>0.01</v>
      </c>
      <c r="E4" s="6" t="n">
        <v>0.01</v>
      </c>
      <c r="F4" s="6" t="n">
        <v>0.0125</v>
      </c>
      <c r="G4" s="6" t="n">
        <v>0.0125</v>
      </c>
      <c r="H4" s="6" t="n">
        <v>0.0125</v>
      </c>
      <c r="I4" s="6" t="n">
        <v>0.0125</v>
      </c>
      <c r="J4" s="6" t="n">
        <v>0.83</v>
      </c>
      <c r="K4" s="6" t="n">
        <v>0.05</v>
      </c>
      <c r="L4" s="6" t="n">
        <v>0.005</v>
      </c>
      <c r="M4" s="6" t="n">
        <v>0.005</v>
      </c>
      <c r="N4" s="6" t="n">
        <v>0.02</v>
      </c>
      <c r="O4" s="162">
        <f>SUM(B4:N4)</f>
        <v/>
      </c>
      <c r="P4" s="163" t="n">
        <v>0.005</v>
      </c>
    </row>
    <row r="5">
      <c r="A5" s="5" t="inlineStr">
        <is>
          <t>20-80 权重</t>
        </is>
      </c>
      <c r="B5" s="6" t="n">
        <v>0.02</v>
      </c>
      <c r="C5" s="6" t="n">
        <v>0.02</v>
      </c>
      <c r="D5" s="6" t="n">
        <v>0.02</v>
      </c>
      <c r="E5" s="6" t="n">
        <v>0.02</v>
      </c>
      <c r="F5" s="6" t="n">
        <v>0.025</v>
      </c>
      <c r="G5" s="6" t="n">
        <v>0.025</v>
      </c>
      <c r="H5" s="6" t="n">
        <v>0.025</v>
      </c>
      <c r="I5" s="6" t="n">
        <v>0.025</v>
      </c>
      <c r="J5" s="6" t="n">
        <v>0.73</v>
      </c>
      <c r="K5" s="6" t="n">
        <v>0.05</v>
      </c>
      <c r="L5" s="6" t="n">
        <v>0.01</v>
      </c>
      <c r="M5" s="6" t="n">
        <v>0.01</v>
      </c>
      <c r="N5" s="6" t="n">
        <v>0.02</v>
      </c>
      <c r="O5" s="162">
        <f>SUM(B5:N5)</f>
        <v/>
      </c>
      <c r="P5" s="163" t="n">
        <v>0.01</v>
      </c>
    </row>
    <row r="6">
      <c r="A6" s="5" t="inlineStr">
        <is>
          <t>30-70 权重</t>
        </is>
      </c>
      <c r="B6" s="6" t="n">
        <v>0.03</v>
      </c>
      <c r="C6" s="6" t="n">
        <v>0.03</v>
      </c>
      <c r="D6" s="6" t="n">
        <v>0.03</v>
      </c>
      <c r="E6" s="6" t="n">
        <v>0.03</v>
      </c>
      <c r="F6" s="6" t="n">
        <v>0.0375</v>
      </c>
      <c r="G6" s="6" t="n">
        <v>0.0375</v>
      </c>
      <c r="H6" s="6" t="n">
        <v>0.0375</v>
      </c>
      <c r="I6" s="6" t="n">
        <v>0.0375</v>
      </c>
      <c r="J6" s="6" t="n">
        <v>0.58</v>
      </c>
      <c r="K6" s="6" t="n">
        <v>0.1</v>
      </c>
      <c r="L6" s="6" t="n">
        <v>0.015</v>
      </c>
      <c r="M6" s="6" t="n">
        <v>0.015</v>
      </c>
      <c r="N6" s="6" t="n">
        <v>0.02</v>
      </c>
      <c r="O6" s="162">
        <f>SUM(B6:N6)</f>
        <v/>
      </c>
      <c r="P6" s="163" t="n">
        <v>0.012</v>
      </c>
    </row>
    <row r="7">
      <c r="A7" s="5" t="inlineStr">
        <is>
          <t>增值 权重</t>
        </is>
      </c>
      <c r="B7" s="6" t="n">
        <v>0.19</v>
      </c>
      <c r="C7" s="6" t="n">
        <v>0.19</v>
      </c>
      <c r="D7" s="6" t="n">
        <v>0.19</v>
      </c>
      <c r="E7" s="6" t="n">
        <v>0.19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0.11</v>
      </c>
      <c r="M7" s="6" t="n">
        <v>0.11</v>
      </c>
      <c r="N7" s="6" t="n">
        <v>0.02</v>
      </c>
      <c r="O7" s="162">
        <f>SUM(B7:N7)</f>
        <v/>
      </c>
      <c r="P7" s="163" t="n">
        <v>0.012</v>
      </c>
    </row>
    <row r="8" ht="14.5" customHeight="1" s="136">
      <c r="A8" s="7" t="inlineStr">
        <is>
          <t>基准指数(参考，不计入组合)</t>
        </is>
      </c>
    </row>
    <row r="9">
      <c r="A9" s="2" t="inlineStr">
        <is>
          <t>科创创业50等权</t>
        </is>
      </c>
      <c r="B9" s="2" t="inlineStr">
        <is>
          <t>932381.CSI</t>
        </is>
      </c>
    </row>
    <row r="10">
      <c r="A10" s="2" t="inlineStr">
        <is>
          <t>中证800</t>
        </is>
      </c>
      <c r="B10" s="2" t="inlineStr">
        <is>
          <t>000906.SH</t>
        </is>
      </c>
    </row>
    <row r="11">
      <c r="A11" s="2" t="inlineStr">
        <is>
          <t>沪深300</t>
        </is>
      </c>
      <c r="B11" s="2" t="inlineStr">
        <is>
          <t>000300.SH</t>
        </is>
      </c>
    </row>
    <row r="12">
      <c r="A12" s="2" t="inlineStr">
        <is>
          <t>中证500</t>
        </is>
      </c>
      <c r="B12" s="2" t="inlineStr">
        <is>
          <t>000905.SH</t>
        </is>
      </c>
    </row>
    <row r="13">
      <c r="A13" s="2" t="inlineStr">
        <is>
          <t>中证1000</t>
        </is>
      </c>
      <c r="B13" s="2" t="inlineStr">
        <is>
          <t>000852.SH</t>
        </is>
      </c>
    </row>
    <row r="14">
      <c r="A14" s="2" t="inlineStr">
        <is>
          <t>中证2000</t>
        </is>
      </c>
      <c r="B14" s="2" t="inlineStr">
        <is>
          <t>932000.CSI</t>
        </is>
      </c>
    </row>
    <row r="16" ht="14.5" customHeight="1" s="136">
      <c r="A16" s="144" t="inlineStr">
        <is>
          <t>权重为蓝色输入；P列为各组合年化费率(蓝色输入，已折每日扣减)。下游净值与看板自动重算。</t>
        </is>
      </c>
    </row>
  </sheetData>
  <mergeCells count="1">
    <mergeCell ref="A1:L1"/>
  </mergeCell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1"/>
  <sheetViews>
    <sheetView showGridLines="0" workbookViewId="0">
      <selection activeCell="C26" sqref="C26"/>
    </sheetView>
  </sheetViews>
  <sheetFormatPr baseColWidth="8" defaultRowHeight="14"/>
  <cols>
    <col width="13" customWidth="1" style="136" min="1" max="11"/>
  </cols>
  <sheetData>
    <row r="1" ht="19" customHeight="1" s="136">
      <c r="A1" s="135" t="inlineStr">
        <is>
          <t>净值数据 · iFinD 实时拉取（复权单位净值）</t>
        </is>
      </c>
    </row>
    <row r="2">
      <c r="A2" s="133">
        <f>TODAY()-1</f>
        <v/>
      </c>
    </row>
    <row r="3" ht="25" customHeight="1" s="136">
      <c r="A3" s="27" t="inlineStr">
        <is>
          <t>基金代码→</t>
        </is>
      </c>
      <c r="B3" s="8">
        <f>持仓配置!B3</f>
        <v/>
      </c>
      <c r="C3" s="8">
        <f>持仓配置!C3</f>
        <v/>
      </c>
      <c r="D3" s="8">
        <f>持仓配置!D3</f>
        <v/>
      </c>
      <c r="E3" s="8">
        <f>持仓配置!E3</f>
        <v/>
      </c>
      <c r="F3" s="8">
        <f>持仓配置!F3</f>
        <v/>
      </c>
      <c r="G3" s="8">
        <f>持仓配置!G3</f>
        <v/>
      </c>
      <c r="H3" s="8">
        <f>持仓配置!H3</f>
        <v/>
      </c>
      <c r="I3" s="8">
        <f>持仓配置!I3</f>
        <v/>
      </c>
      <c r="J3" s="8">
        <f>持仓配置!J3</f>
        <v/>
      </c>
      <c r="K3" s="8">
        <f>持仓配置!K3</f>
        <v/>
      </c>
      <c r="L3" s="8">
        <f>持仓配置!L3</f>
        <v/>
      </c>
      <c r="M3" s="8">
        <f>持仓配置!M3</f>
        <v/>
      </c>
      <c r="N3" s="8">
        <f>持仓配置!N3</f>
        <v/>
      </c>
    </row>
    <row r="4" ht="26" customHeight="1" s="136">
      <c r="A4" s="27">
        <f>[1]!HX_AutoDate(1,"2026-05-29",A2,-1,-1,0,0,0,0,0,"SSE",27,0)</f>
        <v/>
      </c>
      <c r="B4" s="3" t="inlineStr">
        <is>
          <t>宏利复兴混合A</t>
        </is>
      </c>
      <c r="C4" s="3" t="inlineStr">
        <is>
          <t>信澳业绩驱动A</t>
        </is>
      </c>
      <c r="D4" s="3" t="inlineStr">
        <is>
          <t>嘉实信息产业A</t>
        </is>
      </c>
      <c r="E4" s="3" t="inlineStr">
        <is>
          <t>银华集成电路混合A</t>
        </is>
      </c>
      <c r="F4" s="3" t="inlineStr">
        <is>
          <t>中欧中证500指增A</t>
        </is>
      </c>
      <c r="G4" s="3" t="inlineStr">
        <is>
          <t>天弘中证1000指增A</t>
        </is>
      </c>
      <c r="H4" s="3" t="inlineStr">
        <is>
          <t>华泰柏瑞中证2000指增A</t>
        </is>
      </c>
      <c r="I4" s="3" t="inlineStr">
        <is>
          <t>博道沪深300指增A</t>
        </is>
      </c>
      <c r="J4" s="3" t="inlineStr">
        <is>
          <t>易方达中债新综指LOFA</t>
        </is>
      </c>
      <c r="K4" s="3" t="inlineStr">
        <is>
          <t>华安黄金ETF联接A</t>
        </is>
      </c>
      <c r="L4" s="3" t="inlineStr">
        <is>
          <t>国泰半导体材料设备ETF联接A</t>
        </is>
      </c>
      <c r="M4" s="3" t="inlineStr">
        <is>
          <t>国泰通信设备ETF联接A</t>
        </is>
      </c>
      <c r="N4" s="3" t="inlineStr">
        <is>
          <t>嘉实快线货币A</t>
        </is>
      </c>
    </row>
    <row r="5">
      <c r="A5" s="164" t="n">
        <v>46171</v>
      </c>
      <c r="B5" s="165">
        <f>IF($A5="","",[1]!thsiFinD("ths_adjustment_nv_fund",B$3,$A5))</f>
        <v/>
      </c>
      <c r="C5" s="165">
        <f>IF($A5="","",[1]!thsiFinD("ths_adjustment_nv_fund",C$3,$A5))</f>
        <v/>
      </c>
      <c r="D5" s="165">
        <f>IF($A5="","",[1]!thsiFinD("ths_adjustment_nv_fund",D$3,$A5))</f>
        <v/>
      </c>
      <c r="E5" s="165">
        <f>IF($A5="","",[1]!thsiFinD("ths_adjustment_nv_fund",E$3,$A5))</f>
        <v/>
      </c>
      <c r="F5" s="165">
        <f>IF($A5="","",[1]!thsiFinD("ths_adjustment_nv_fund",F$3,$A5))</f>
        <v/>
      </c>
      <c r="G5" s="165">
        <f>IF($A5="","",[1]!thsiFinD("ths_adjustment_nv_fund",G$3,$A5))</f>
        <v/>
      </c>
      <c r="H5" s="165">
        <f>IF($A5="","",[1]!thsiFinD("ths_adjustment_nv_fund",H$3,$A5))</f>
        <v/>
      </c>
      <c r="I5" s="165">
        <f>IF($A5="","",[1]!thsiFinD("ths_adjustment_nv_fund",I$3,$A5))</f>
        <v/>
      </c>
      <c r="J5" s="165">
        <f>IF($A5="","",[1]!thsiFinD("ths_adjustment_nv_fund",J$3,$A5))</f>
        <v/>
      </c>
      <c r="K5" s="165">
        <f>IF($A5="","",[1]!thsiFinD("ths_adjustment_nv_fund",K$3,$A5))</f>
        <v/>
      </c>
      <c r="L5" s="165">
        <f>IF($A5="","",[1]!thsiFinD("ths_adjustment_nv_fund",L$3,$A5))</f>
        <v/>
      </c>
      <c r="M5" s="165">
        <f>IF($A5="","",[1]!thsiFinD("ths_adjustment_nv_fund",M$3,$A5))</f>
        <v/>
      </c>
      <c r="N5" s="165">
        <f>IF($A5="","",[1]!thsiFinD("ths_adjustment_nv_fund",N$3,$A5))</f>
        <v/>
      </c>
    </row>
    <row r="6">
      <c r="A6" s="164" t="n">
        <v>46174</v>
      </c>
      <c r="B6" s="165">
        <f>IF($A6="","",[1]!thsiFinD("ths_adjustment_nv_fund",B$3,$A6))</f>
        <v/>
      </c>
      <c r="C6" s="165">
        <f>IF($A6="","",[1]!thsiFinD("ths_adjustment_nv_fund",C$3,$A6))</f>
        <v/>
      </c>
      <c r="D6" s="165">
        <f>IF($A6="","",[1]!thsiFinD("ths_adjustment_nv_fund",D$3,$A6))</f>
        <v/>
      </c>
      <c r="E6" s="165">
        <f>IF($A6="","",[1]!thsiFinD("ths_adjustment_nv_fund",E$3,$A6))</f>
        <v/>
      </c>
      <c r="F6" s="165">
        <f>IF($A6="","",[1]!thsiFinD("ths_adjustment_nv_fund",F$3,$A6))</f>
        <v/>
      </c>
      <c r="G6" s="165">
        <f>IF($A6="","",[1]!thsiFinD("ths_adjustment_nv_fund",G$3,$A6))</f>
        <v/>
      </c>
      <c r="H6" s="165">
        <f>IF($A6="","",[1]!thsiFinD("ths_adjustment_nv_fund",H$3,$A6))</f>
        <v/>
      </c>
      <c r="I6" s="165">
        <f>IF($A6="","",[1]!thsiFinD("ths_adjustment_nv_fund",I$3,$A6))</f>
        <v/>
      </c>
      <c r="J6" s="165">
        <f>IF($A6="","",[1]!thsiFinD("ths_adjustment_nv_fund",J$3,$A6))</f>
        <v/>
      </c>
      <c r="K6" s="165">
        <f>IF($A6="","",[1]!thsiFinD("ths_adjustment_nv_fund",K$3,$A6))</f>
        <v/>
      </c>
      <c r="L6" s="165">
        <f>IF($A6="","",[1]!thsiFinD("ths_adjustment_nv_fund",L$3,$A6))</f>
        <v/>
      </c>
      <c r="M6" s="165">
        <f>IF($A6="","",[1]!thsiFinD("ths_adjustment_nv_fund",M$3,$A6))</f>
        <v/>
      </c>
      <c r="N6" s="165">
        <f>IF($A6="","",[1]!thsiFinD("ths_adjustment_nv_fund",N$3,$A6))</f>
        <v/>
      </c>
    </row>
    <row r="7">
      <c r="A7" s="164" t="n">
        <v>46175</v>
      </c>
      <c r="B7" s="165">
        <f>IF($A7="","",[1]!thsiFinD("ths_adjustment_nv_fund",B$3,$A7))</f>
        <v/>
      </c>
      <c r="C7" s="165">
        <f>IF($A7="","",[1]!thsiFinD("ths_adjustment_nv_fund",C$3,$A7))</f>
        <v/>
      </c>
      <c r="D7" s="165">
        <f>IF($A7="","",[1]!thsiFinD("ths_adjustment_nv_fund",D$3,$A7))</f>
        <v/>
      </c>
      <c r="E7" s="165">
        <f>IF($A7="","",[1]!thsiFinD("ths_adjustment_nv_fund",E$3,$A7))</f>
        <v/>
      </c>
      <c r="F7" s="165">
        <f>IF($A7="","",[1]!thsiFinD("ths_adjustment_nv_fund",F$3,$A7))</f>
        <v/>
      </c>
      <c r="G7" s="165">
        <f>IF($A7="","",[1]!thsiFinD("ths_adjustment_nv_fund",G$3,$A7))</f>
        <v/>
      </c>
      <c r="H7" s="165">
        <f>IF($A7="","",[1]!thsiFinD("ths_adjustment_nv_fund",H$3,$A7))</f>
        <v/>
      </c>
      <c r="I7" s="165">
        <f>IF($A7="","",[1]!thsiFinD("ths_adjustment_nv_fund",I$3,$A7))</f>
        <v/>
      </c>
      <c r="J7" s="165">
        <f>IF($A7="","",[1]!thsiFinD("ths_adjustment_nv_fund",J$3,$A7))</f>
        <v/>
      </c>
      <c r="K7" s="165">
        <f>IF($A7="","",[1]!thsiFinD("ths_adjustment_nv_fund",K$3,$A7))</f>
        <v/>
      </c>
      <c r="L7" s="165">
        <f>IF($A7="","",[1]!thsiFinD("ths_adjustment_nv_fund",L$3,$A7))</f>
        <v/>
      </c>
      <c r="M7" s="165">
        <f>IF($A7="","",[1]!thsiFinD("ths_adjustment_nv_fund",M$3,$A7))</f>
        <v/>
      </c>
      <c r="N7" s="165">
        <f>IF($A7="","",[1]!thsiFinD("ths_adjustment_nv_fund",N$3,$A7))</f>
        <v/>
      </c>
    </row>
    <row r="8">
      <c r="A8" s="164" t="n">
        <v>46176</v>
      </c>
      <c r="B8" s="165">
        <f>IF($A8="","",[1]!thsiFinD("ths_adjustment_nv_fund",B$3,$A8))</f>
        <v/>
      </c>
      <c r="C8" s="165">
        <f>IF($A8="","",[1]!thsiFinD("ths_adjustment_nv_fund",C$3,$A8))</f>
        <v/>
      </c>
      <c r="D8" s="165">
        <f>IF($A8="","",[1]!thsiFinD("ths_adjustment_nv_fund",D$3,$A8))</f>
        <v/>
      </c>
      <c r="E8" s="165">
        <f>IF($A8="","",[1]!thsiFinD("ths_adjustment_nv_fund",E$3,$A8))</f>
        <v/>
      </c>
      <c r="F8" s="165">
        <f>IF($A8="","",[1]!thsiFinD("ths_adjustment_nv_fund",F$3,$A8))</f>
        <v/>
      </c>
      <c r="G8" s="165">
        <f>IF($A8="","",[1]!thsiFinD("ths_adjustment_nv_fund",G$3,$A8))</f>
        <v/>
      </c>
      <c r="H8" s="165">
        <f>IF($A8="","",[1]!thsiFinD("ths_adjustment_nv_fund",H$3,$A8))</f>
        <v/>
      </c>
      <c r="I8" s="165">
        <f>IF($A8="","",[1]!thsiFinD("ths_adjustment_nv_fund",I$3,$A8))</f>
        <v/>
      </c>
      <c r="J8" s="165">
        <f>IF($A8="","",[1]!thsiFinD("ths_adjustment_nv_fund",J$3,$A8))</f>
        <v/>
      </c>
      <c r="K8" s="165">
        <f>IF($A8="","",[1]!thsiFinD("ths_adjustment_nv_fund",K$3,$A8))</f>
        <v/>
      </c>
      <c r="L8" s="165">
        <f>IF($A8="","",[1]!thsiFinD("ths_adjustment_nv_fund",L$3,$A8))</f>
        <v/>
      </c>
      <c r="M8" s="165">
        <f>IF($A8="","",[1]!thsiFinD("ths_adjustment_nv_fund",M$3,$A8))</f>
        <v/>
      </c>
      <c r="N8" s="165">
        <f>IF($A8="","",[1]!thsiFinD("ths_adjustment_nv_fund",N$3,$A8))</f>
        <v/>
      </c>
    </row>
    <row r="9">
      <c r="A9" s="164" t="n">
        <v>46177</v>
      </c>
      <c r="B9" s="165">
        <f>IF($A9="","",[1]!thsiFinD("ths_adjustment_nv_fund",B$3,$A9))</f>
        <v/>
      </c>
      <c r="C9" s="165">
        <f>IF($A9="","",[1]!thsiFinD("ths_adjustment_nv_fund",C$3,$A9))</f>
        <v/>
      </c>
      <c r="D9" s="165">
        <f>IF($A9="","",[1]!thsiFinD("ths_adjustment_nv_fund",D$3,$A9))</f>
        <v/>
      </c>
      <c r="E9" s="165">
        <f>IF($A9="","",[1]!thsiFinD("ths_adjustment_nv_fund",E$3,$A9))</f>
        <v/>
      </c>
      <c r="F9" s="165">
        <f>IF($A9="","",[1]!thsiFinD("ths_adjustment_nv_fund",F$3,$A9))</f>
        <v/>
      </c>
      <c r="G9" s="165">
        <f>IF($A9="","",[1]!thsiFinD("ths_adjustment_nv_fund",G$3,$A9))</f>
        <v/>
      </c>
      <c r="H9" s="165">
        <f>IF($A9="","",[1]!thsiFinD("ths_adjustment_nv_fund",H$3,$A9))</f>
        <v/>
      </c>
      <c r="I9" s="165">
        <f>IF($A9="","",[1]!thsiFinD("ths_adjustment_nv_fund",I$3,$A9))</f>
        <v/>
      </c>
      <c r="J9" s="165">
        <f>IF($A9="","",[1]!thsiFinD("ths_adjustment_nv_fund",J$3,$A9))</f>
        <v/>
      </c>
      <c r="K9" s="165">
        <f>IF($A9="","",[1]!thsiFinD("ths_adjustment_nv_fund",K$3,$A9))</f>
        <v/>
      </c>
      <c r="L9" s="165">
        <f>IF($A9="","",[1]!thsiFinD("ths_adjustment_nv_fund",L$3,$A9))</f>
        <v/>
      </c>
      <c r="M9" s="165">
        <f>IF($A9="","",[1]!thsiFinD("ths_adjustment_nv_fund",M$3,$A9))</f>
        <v/>
      </c>
      <c r="N9" s="165">
        <f>IF($A9="","",[1]!thsiFinD("ths_adjustment_nv_fund",N$3,$A9))</f>
        <v/>
      </c>
    </row>
    <row r="10">
      <c r="A10" s="164" t="n">
        <v>46178</v>
      </c>
      <c r="B10" s="165">
        <f>IF($A10="","",[1]!thsiFinD("ths_adjustment_nv_fund",B$3,$A10))</f>
        <v/>
      </c>
      <c r="C10" s="165">
        <f>IF($A10="","",[1]!thsiFinD("ths_adjustment_nv_fund",C$3,$A10))</f>
        <v/>
      </c>
      <c r="D10" s="165">
        <f>IF($A10="","",[1]!thsiFinD("ths_adjustment_nv_fund",D$3,$A10))</f>
        <v/>
      </c>
      <c r="E10" s="165">
        <f>IF($A10="","",[1]!thsiFinD("ths_adjustment_nv_fund",E$3,$A10))</f>
        <v/>
      </c>
      <c r="F10" s="165">
        <f>IF($A10="","",[1]!thsiFinD("ths_adjustment_nv_fund",F$3,$A10))</f>
        <v/>
      </c>
      <c r="G10" s="165">
        <f>IF($A10="","",[1]!thsiFinD("ths_adjustment_nv_fund",G$3,$A10))</f>
        <v/>
      </c>
      <c r="H10" s="165">
        <f>IF($A10="","",[1]!thsiFinD("ths_adjustment_nv_fund",H$3,$A10))</f>
        <v/>
      </c>
      <c r="I10" s="165">
        <f>IF($A10="","",[1]!thsiFinD("ths_adjustment_nv_fund",I$3,$A10))</f>
        <v/>
      </c>
      <c r="J10" s="165">
        <f>IF($A10="","",[1]!thsiFinD("ths_adjustment_nv_fund",J$3,$A10))</f>
        <v/>
      </c>
      <c r="K10" s="165">
        <f>IF($A10="","",[1]!thsiFinD("ths_adjustment_nv_fund",K$3,$A10))</f>
        <v/>
      </c>
      <c r="L10" s="165">
        <f>IF($A10="","",[1]!thsiFinD("ths_adjustment_nv_fund",L$3,$A10))</f>
        <v/>
      </c>
      <c r="M10" s="165">
        <f>IF($A10="","",[1]!thsiFinD("ths_adjustment_nv_fund",M$3,$A10))</f>
        <v/>
      </c>
      <c r="N10" s="165">
        <f>IF($A10="","",[1]!thsiFinD("ths_adjustment_nv_fund",N$3,$A10))</f>
        <v/>
      </c>
    </row>
    <row r="11">
      <c r="A11" s="166" t="n">
        <v>46181</v>
      </c>
      <c r="B11" s="165">
        <f>IF($A11="","",[1]!thsiFinD("ths_adjustment_nv_fund",B$3,$A11))</f>
        <v/>
      </c>
      <c r="C11" s="165">
        <f>IF($A11="","",[1]!thsiFinD("ths_adjustment_nv_fund",C$3,$A11))</f>
        <v/>
      </c>
      <c r="D11" s="165">
        <f>IF($A11="","",[1]!thsiFinD("ths_adjustment_nv_fund",D$3,$A11))</f>
        <v/>
      </c>
      <c r="E11" s="165">
        <f>IF($A11="","",[1]!thsiFinD("ths_adjustment_nv_fund",E$3,$A11))</f>
        <v/>
      </c>
      <c r="F11" s="165">
        <f>IF($A11="","",[1]!thsiFinD("ths_adjustment_nv_fund",F$3,$A11))</f>
        <v/>
      </c>
      <c r="G11" s="165">
        <f>IF($A11="","",[1]!thsiFinD("ths_adjustment_nv_fund",G$3,$A11))</f>
        <v/>
      </c>
      <c r="H11" s="165">
        <f>IF($A11="","",[1]!thsiFinD("ths_adjustment_nv_fund",H$3,$A11))</f>
        <v/>
      </c>
      <c r="I11" s="165">
        <f>IF($A11="","",[1]!thsiFinD("ths_adjustment_nv_fund",I$3,$A11))</f>
        <v/>
      </c>
      <c r="J11" s="165">
        <f>IF($A11="","",[1]!thsiFinD("ths_adjustment_nv_fund",J$3,$A11))</f>
        <v/>
      </c>
      <c r="K11" s="165">
        <f>IF($A11="","",[1]!thsiFinD("ths_adjustment_nv_fund",K$3,$A11))</f>
        <v/>
      </c>
      <c r="L11" s="165">
        <f>IF($A11="","",[1]!thsiFinD("ths_adjustment_nv_fund",L$3,$A11))</f>
        <v/>
      </c>
      <c r="M11" s="165">
        <f>IF($A11="","",[1]!thsiFinD("ths_adjustment_nv_fund",M$3,$A11))</f>
        <v/>
      </c>
      <c r="N11" s="165">
        <f>IF($A11="","",[1]!thsiFinD("ths_adjustment_nv_fund",N$3,$A11))</f>
        <v/>
      </c>
    </row>
    <row r="12">
      <c r="A12" s="166" t="n">
        <v>46182</v>
      </c>
      <c r="B12" s="165">
        <f>IF($A12="","",[1]!thsiFinD("ths_adjustment_nv_fund",B$3,$A12))</f>
        <v/>
      </c>
      <c r="C12" s="165">
        <f>IF($A12="","",[1]!thsiFinD("ths_adjustment_nv_fund",C$3,$A12))</f>
        <v/>
      </c>
      <c r="D12" s="165">
        <f>IF($A12="","",[1]!thsiFinD("ths_adjustment_nv_fund",D$3,$A12))</f>
        <v/>
      </c>
      <c r="E12" s="165">
        <f>IF($A12="","",[1]!thsiFinD("ths_adjustment_nv_fund",E$3,$A12))</f>
        <v/>
      </c>
      <c r="F12" s="165">
        <f>IF($A12="","",[1]!thsiFinD("ths_adjustment_nv_fund",F$3,$A12))</f>
        <v/>
      </c>
      <c r="G12" s="165">
        <f>IF($A12="","",[1]!thsiFinD("ths_adjustment_nv_fund",G$3,$A12))</f>
        <v/>
      </c>
      <c r="H12" s="165">
        <f>IF($A12="","",[1]!thsiFinD("ths_adjustment_nv_fund",H$3,$A12))</f>
        <v/>
      </c>
      <c r="I12" s="165">
        <f>IF($A12="","",[1]!thsiFinD("ths_adjustment_nv_fund",I$3,$A12))</f>
        <v/>
      </c>
      <c r="J12" s="165">
        <f>IF($A12="","",[1]!thsiFinD("ths_adjustment_nv_fund",J$3,$A12))</f>
        <v/>
      </c>
      <c r="K12" s="165">
        <f>IF($A12="","",[1]!thsiFinD("ths_adjustment_nv_fund",K$3,$A12))</f>
        <v/>
      </c>
      <c r="L12" s="165">
        <f>IF($A12="","",[1]!thsiFinD("ths_adjustment_nv_fund",L$3,$A12))</f>
        <v/>
      </c>
      <c r="M12" s="165">
        <f>IF($A12="","",[1]!thsiFinD("ths_adjustment_nv_fund",M$3,$A12))</f>
        <v/>
      </c>
      <c r="N12" s="165">
        <f>IF($A12="","",[1]!thsiFinD("ths_adjustment_nv_fund",N$3,$A12))</f>
        <v/>
      </c>
    </row>
    <row r="13">
      <c r="A13" s="166" t="n">
        <v>46183</v>
      </c>
      <c r="B13" s="165">
        <f>IF($A13="","",[1]!thsiFinD("ths_adjustment_nv_fund",B$3,$A13))</f>
        <v/>
      </c>
      <c r="C13" s="165">
        <f>IF($A13="","",[1]!thsiFinD("ths_adjustment_nv_fund",C$3,$A13))</f>
        <v/>
      </c>
      <c r="D13" s="165">
        <f>IF($A13="","",[1]!thsiFinD("ths_adjustment_nv_fund",D$3,$A13))</f>
        <v/>
      </c>
      <c r="E13" s="165">
        <f>IF($A13="","",[1]!thsiFinD("ths_adjustment_nv_fund",E$3,$A13))</f>
        <v/>
      </c>
      <c r="F13" s="165">
        <f>IF($A13="","",[1]!thsiFinD("ths_adjustment_nv_fund",F$3,$A13))</f>
        <v/>
      </c>
      <c r="G13" s="165">
        <f>IF($A13="","",[1]!thsiFinD("ths_adjustment_nv_fund",G$3,$A13))</f>
        <v/>
      </c>
      <c r="H13" s="165">
        <f>IF($A13="","",[1]!thsiFinD("ths_adjustment_nv_fund",H$3,$A13))</f>
        <v/>
      </c>
      <c r="I13" s="165">
        <f>IF($A13="","",[1]!thsiFinD("ths_adjustment_nv_fund",I$3,$A13))</f>
        <v/>
      </c>
      <c r="J13" s="165">
        <f>IF($A13="","",[1]!thsiFinD("ths_adjustment_nv_fund",J$3,$A13))</f>
        <v/>
      </c>
      <c r="K13" s="165">
        <f>IF($A13="","",[1]!thsiFinD("ths_adjustment_nv_fund",K$3,$A13))</f>
        <v/>
      </c>
      <c r="L13" s="165">
        <f>IF($A13="","",[1]!thsiFinD("ths_adjustment_nv_fund",L$3,$A13))</f>
        <v/>
      </c>
      <c r="M13" s="165">
        <f>IF($A13="","",[1]!thsiFinD("ths_adjustment_nv_fund",M$3,$A13))</f>
        <v/>
      </c>
      <c r="N13" s="165">
        <f>IF($A13="","",[1]!thsiFinD("ths_adjustment_nv_fund",N$3,$A13))</f>
        <v/>
      </c>
    </row>
    <row r="14">
      <c r="A14" s="166" t="n">
        <v>46184</v>
      </c>
      <c r="B14" s="165">
        <f>IF($A14="","",[1]!thsiFinD("ths_adjustment_nv_fund",B$3,$A14))</f>
        <v/>
      </c>
      <c r="C14" s="165">
        <f>IF($A14="","",[1]!thsiFinD("ths_adjustment_nv_fund",C$3,$A14))</f>
        <v/>
      </c>
      <c r="D14" s="165">
        <f>IF($A14="","",[1]!thsiFinD("ths_adjustment_nv_fund",D$3,$A14))</f>
        <v/>
      </c>
      <c r="E14" s="165">
        <f>IF($A14="","",[1]!thsiFinD("ths_adjustment_nv_fund",E$3,$A14))</f>
        <v/>
      </c>
      <c r="F14" s="165">
        <f>IF($A14="","",[1]!thsiFinD("ths_adjustment_nv_fund",F$3,$A14))</f>
        <v/>
      </c>
      <c r="G14" s="165">
        <f>IF($A14="","",[1]!thsiFinD("ths_adjustment_nv_fund",G$3,$A14))</f>
        <v/>
      </c>
      <c r="H14" s="165">
        <f>IF($A14="","",[1]!thsiFinD("ths_adjustment_nv_fund",H$3,$A14))</f>
        <v/>
      </c>
      <c r="I14" s="165">
        <f>IF($A14="","",[1]!thsiFinD("ths_adjustment_nv_fund",I$3,$A14))</f>
        <v/>
      </c>
      <c r="J14" s="165">
        <f>IF($A14="","",[1]!thsiFinD("ths_adjustment_nv_fund",J$3,$A14))</f>
        <v/>
      </c>
      <c r="K14" s="165">
        <f>IF($A14="","",[1]!thsiFinD("ths_adjustment_nv_fund",K$3,$A14))</f>
        <v/>
      </c>
      <c r="L14" s="165">
        <f>IF($A14="","",[1]!thsiFinD("ths_adjustment_nv_fund",L$3,$A14))</f>
        <v/>
      </c>
      <c r="M14" s="165">
        <f>IF($A14="","",[1]!thsiFinD("ths_adjustment_nv_fund",M$3,$A14))</f>
        <v/>
      </c>
      <c r="N14" s="165">
        <f>IF($A14="","",[1]!thsiFinD("ths_adjustment_nv_fund",N$3,$A14))</f>
        <v/>
      </c>
    </row>
    <row r="15">
      <c r="A15" s="166" t="n">
        <v>46185</v>
      </c>
      <c r="B15" s="165">
        <f>IF($A15="","",[1]!thsiFinD("ths_adjustment_nv_fund",B$3,$A15))</f>
        <v/>
      </c>
      <c r="C15" s="165">
        <f>IF($A15="","",[1]!thsiFinD("ths_adjustment_nv_fund",C$3,$A15))</f>
        <v/>
      </c>
      <c r="D15" s="165">
        <f>IF($A15="","",[1]!thsiFinD("ths_adjustment_nv_fund",D$3,$A15))</f>
        <v/>
      </c>
      <c r="E15" s="165">
        <f>IF($A15="","",[1]!thsiFinD("ths_adjustment_nv_fund",E$3,$A15))</f>
        <v/>
      </c>
      <c r="F15" s="165">
        <f>IF($A15="","",[1]!thsiFinD("ths_adjustment_nv_fund",F$3,$A15))</f>
        <v/>
      </c>
      <c r="G15" s="165">
        <f>IF($A15="","",[1]!thsiFinD("ths_adjustment_nv_fund",G$3,$A15))</f>
        <v/>
      </c>
      <c r="H15" s="165">
        <f>IF($A15="","",[1]!thsiFinD("ths_adjustment_nv_fund",H$3,$A15))</f>
        <v/>
      </c>
      <c r="I15" s="165">
        <f>IF($A15="","",[1]!thsiFinD("ths_adjustment_nv_fund",I$3,$A15))</f>
        <v/>
      </c>
      <c r="J15" s="165">
        <f>IF($A15="","",[1]!thsiFinD("ths_adjustment_nv_fund",J$3,$A15))</f>
        <v/>
      </c>
      <c r="K15" s="165">
        <f>IF($A15="","",[1]!thsiFinD("ths_adjustment_nv_fund",K$3,$A15))</f>
        <v/>
      </c>
      <c r="L15" s="165">
        <f>IF($A15="","",[1]!thsiFinD("ths_adjustment_nv_fund",L$3,$A15))</f>
        <v/>
      </c>
      <c r="M15" s="165">
        <f>IF($A15="","",[1]!thsiFinD("ths_adjustment_nv_fund",M$3,$A15))</f>
        <v/>
      </c>
      <c r="N15" s="165">
        <f>IF($A15="","",[1]!thsiFinD("ths_adjustment_nv_fund",N$3,$A15))</f>
        <v/>
      </c>
    </row>
    <row r="16">
      <c r="A16" s="166" t="n">
        <v>46188</v>
      </c>
      <c r="B16" s="165">
        <f>IF($A16="","",[1]!thsiFinD("ths_adjustment_nv_fund",B$3,$A16))</f>
        <v/>
      </c>
      <c r="C16" s="165">
        <f>IF($A16="","",[1]!thsiFinD("ths_adjustment_nv_fund",C$3,$A16))</f>
        <v/>
      </c>
      <c r="D16" s="165">
        <f>IF($A16="","",[1]!thsiFinD("ths_adjustment_nv_fund",D$3,$A16))</f>
        <v/>
      </c>
      <c r="E16" s="165">
        <f>IF($A16="","",[1]!thsiFinD("ths_adjustment_nv_fund",E$3,$A16))</f>
        <v/>
      </c>
      <c r="F16" s="165">
        <f>IF($A16="","",[1]!thsiFinD("ths_adjustment_nv_fund",F$3,$A16))</f>
        <v/>
      </c>
      <c r="G16" s="165">
        <f>IF($A16="","",[1]!thsiFinD("ths_adjustment_nv_fund",G$3,$A16))</f>
        <v/>
      </c>
      <c r="H16" s="165">
        <f>IF($A16="","",[1]!thsiFinD("ths_adjustment_nv_fund",H$3,$A16))</f>
        <v/>
      </c>
      <c r="I16" s="165">
        <f>IF($A16="","",[1]!thsiFinD("ths_adjustment_nv_fund",I$3,$A16))</f>
        <v/>
      </c>
      <c r="J16" s="165">
        <f>IF($A16="","",[1]!thsiFinD("ths_adjustment_nv_fund",J$3,$A16))</f>
        <v/>
      </c>
      <c r="K16" s="165">
        <f>IF($A16="","",[1]!thsiFinD("ths_adjustment_nv_fund",K$3,$A16))</f>
        <v/>
      </c>
      <c r="L16" s="165">
        <f>IF($A16="","",[1]!thsiFinD("ths_adjustment_nv_fund",L$3,$A16))</f>
        <v/>
      </c>
      <c r="M16" s="165">
        <f>IF($A16="","",[1]!thsiFinD("ths_adjustment_nv_fund",M$3,$A16))</f>
        <v/>
      </c>
      <c r="N16" s="165">
        <f>IF($A16="","",[1]!thsiFinD("ths_adjustment_nv_fund",N$3,$A16))</f>
        <v/>
      </c>
    </row>
    <row r="17">
      <c r="A17" s="166" t="n">
        <v>46189</v>
      </c>
      <c r="B17" s="165">
        <f>IF($A17="","",[1]!thsiFinD("ths_adjustment_nv_fund",B$3,$A17))</f>
        <v/>
      </c>
      <c r="C17" s="165">
        <f>IF($A17="","",[1]!thsiFinD("ths_adjustment_nv_fund",C$3,$A17))</f>
        <v/>
      </c>
      <c r="D17" s="165">
        <f>IF($A17="","",[1]!thsiFinD("ths_adjustment_nv_fund",D$3,$A17))</f>
        <v/>
      </c>
      <c r="E17" s="165">
        <f>IF($A17="","",[1]!thsiFinD("ths_adjustment_nv_fund",E$3,$A17))</f>
        <v/>
      </c>
      <c r="F17" s="165">
        <f>IF($A17="","",[1]!thsiFinD("ths_adjustment_nv_fund",F$3,$A17))</f>
        <v/>
      </c>
      <c r="G17" s="165">
        <f>IF($A17="","",[1]!thsiFinD("ths_adjustment_nv_fund",G$3,$A17))</f>
        <v/>
      </c>
      <c r="H17" s="165">
        <f>IF($A17="","",[1]!thsiFinD("ths_adjustment_nv_fund",H$3,$A17))</f>
        <v/>
      </c>
      <c r="I17" s="165">
        <f>IF($A17="","",[1]!thsiFinD("ths_adjustment_nv_fund",I$3,$A17))</f>
        <v/>
      </c>
      <c r="J17" s="165">
        <f>IF($A17="","",[1]!thsiFinD("ths_adjustment_nv_fund",J$3,$A17))</f>
        <v/>
      </c>
      <c r="K17" s="165">
        <f>IF($A17="","",[1]!thsiFinD("ths_adjustment_nv_fund",K$3,$A17))</f>
        <v/>
      </c>
      <c r="L17" s="165">
        <f>IF($A17="","",[1]!thsiFinD("ths_adjustment_nv_fund",L$3,$A17))</f>
        <v/>
      </c>
      <c r="M17" s="165">
        <f>IF($A17="","",[1]!thsiFinD("ths_adjustment_nv_fund",M$3,$A17))</f>
        <v/>
      </c>
      <c r="N17" s="165">
        <f>IF($A17="","",[1]!thsiFinD("ths_adjustment_nv_fund",N$3,$A17))</f>
        <v/>
      </c>
    </row>
    <row r="18">
      <c r="A18" s="166" t="n">
        <v>46190</v>
      </c>
      <c r="B18" s="165">
        <f>IF($A18="","",[1]!thsiFinD("ths_adjustment_nv_fund",B$3,$A18))</f>
        <v/>
      </c>
      <c r="C18" s="165">
        <f>IF($A18="","",[1]!thsiFinD("ths_adjustment_nv_fund",C$3,$A18))</f>
        <v/>
      </c>
      <c r="D18" s="165">
        <f>IF($A18="","",[1]!thsiFinD("ths_adjustment_nv_fund",D$3,$A18))</f>
        <v/>
      </c>
      <c r="E18" s="165">
        <f>IF($A18="","",[1]!thsiFinD("ths_adjustment_nv_fund",E$3,$A18))</f>
        <v/>
      </c>
      <c r="F18" s="165">
        <f>IF($A18="","",[1]!thsiFinD("ths_adjustment_nv_fund",F$3,$A18))</f>
        <v/>
      </c>
      <c r="G18" s="165">
        <f>IF($A18="","",[1]!thsiFinD("ths_adjustment_nv_fund",G$3,$A18))</f>
        <v/>
      </c>
      <c r="H18" s="165">
        <f>IF($A18="","",[1]!thsiFinD("ths_adjustment_nv_fund",H$3,$A18))</f>
        <v/>
      </c>
      <c r="I18" s="165">
        <f>IF($A18="","",[1]!thsiFinD("ths_adjustment_nv_fund",I$3,$A18))</f>
        <v/>
      </c>
      <c r="J18" s="165">
        <f>IF($A18="","",[1]!thsiFinD("ths_adjustment_nv_fund",J$3,$A18))</f>
        <v/>
      </c>
      <c r="K18" s="165">
        <f>IF($A18="","",[1]!thsiFinD("ths_adjustment_nv_fund",K$3,$A18))</f>
        <v/>
      </c>
      <c r="L18" s="165">
        <f>IF($A18="","",[1]!thsiFinD("ths_adjustment_nv_fund",L$3,$A18))</f>
        <v/>
      </c>
      <c r="M18" s="165">
        <f>IF($A18="","",[1]!thsiFinD("ths_adjustment_nv_fund",M$3,$A18))</f>
        <v/>
      </c>
      <c r="N18" s="165">
        <f>IF($A18="","",[1]!thsiFinD("ths_adjustment_nv_fund",N$3,$A18))</f>
        <v/>
      </c>
    </row>
    <row r="19">
      <c r="A19" s="166" t="n">
        <v>46191</v>
      </c>
      <c r="B19" s="165">
        <f>IF($A19="","",[1]!thsiFinD("ths_adjustment_nv_fund",B$3,$A19))</f>
        <v/>
      </c>
      <c r="C19" s="165">
        <f>IF($A19="","",[1]!thsiFinD("ths_adjustment_nv_fund",C$3,$A19))</f>
        <v/>
      </c>
      <c r="D19" s="165">
        <f>IF($A19="","",[1]!thsiFinD("ths_adjustment_nv_fund",D$3,$A19))</f>
        <v/>
      </c>
      <c r="E19" s="165">
        <f>IF($A19="","",[1]!thsiFinD("ths_adjustment_nv_fund",E$3,$A19))</f>
        <v/>
      </c>
      <c r="F19" s="165">
        <f>IF($A19="","",[1]!thsiFinD("ths_adjustment_nv_fund",F$3,$A19))</f>
        <v/>
      </c>
      <c r="G19" s="165">
        <f>IF($A19="","",[1]!thsiFinD("ths_adjustment_nv_fund",G$3,$A19))</f>
        <v/>
      </c>
      <c r="H19" s="165">
        <f>IF($A19="","",[1]!thsiFinD("ths_adjustment_nv_fund",H$3,$A19))</f>
        <v/>
      </c>
      <c r="I19" s="165">
        <f>IF($A19="","",[1]!thsiFinD("ths_adjustment_nv_fund",I$3,$A19))</f>
        <v/>
      </c>
      <c r="J19" s="165">
        <f>IF($A19="","",[1]!thsiFinD("ths_adjustment_nv_fund",J$3,$A19))</f>
        <v/>
      </c>
      <c r="K19" s="165">
        <f>IF($A19="","",[1]!thsiFinD("ths_adjustment_nv_fund",K$3,$A19))</f>
        <v/>
      </c>
      <c r="L19" s="165">
        <f>IF($A19="","",[1]!thsiFinD("ths_adjustment_nv_fund",L$3,$A19))</f>
        <v/>
      </c>
      <c r="M19" s="165">
        <f>IF($A19="","",[1]!thsiFinD("ths_adjustment_nv_fund",M$3,$A19))</f>
        <v/>
      </c>
      <c r="N19" s="165">
        <f>IF($A19="","",[1]!thsiFinD("ths_adjustment_nv_fund",N$3,$A19))</f>
        <v/>
      </c>
    </row>
    <row r="20">
      <c r="A20" s="166" t="n">
        <v>46195</v>
      </c>
      <c r="B20" s="165">
        <f>IF($A20="","",[1]!thsiFinD("ths_adjustment_nv_fund",B$3,$A20))</f>
        <v/>
      </c>
      <c r="C20" s="165">
        <f>IF($A20="","",[1]!thsiFinD("ths_adjustment_nv_fund",C$3,$A20))</f>
        <v/>
      </c>
      <c r="D20" s="165">
        <f>IF($A20="","",[1]!thsiFinD("ths_adjustment_nv_fund",D$3,$A20))</f>
        <v/>
      </c>
      <c r="E20" s="165">
        <f>IF($A20="","",[1]!thsiFinD("ths_adjustment_nv_fund",E$3,$A20))</f>
        <v/>
      </c>
      <c r="F20" s="165">
        <f>IF($A20="","",[1]!thsiFinD("ths_adjustment_nv_fund",F$3,$A20))</f>
        <v/>
      </c>
      <c r="G20" s="165">
        <f>IF($A20="","",[1]!thsiFinD("ths_adjustment_nv_fund",G$3,$A20))</f>
        <v/>
      </c>
      <c r="H20" s="165">
        <f>IF($A20="","",[1]!thsiFinD("ths_adjustment_nv_fund",H$3,$A20))</f>
        <v/>
      </c>
      <c r="I20" s="165">
        <f>IF($A20="","",[1]!thsiFinD("ths_adjustment_nv_fund",I$3,$A20))</f>
        <v/>
      </c>
      <c r="J20" s="165">
        <f>IF($A20="","",[1]!thsiFinD("ths_adjustment_nv_fund",J$3,$A20))</f>
        <v/>
      </c>
      <c r="K20" s="165">
        <f>IF($A20="","",[1]!thsiFinD("ths_adjustment_nv_fund",K$3,$A20))</f>
        <v/>
      </c>
      <c r="L20" s="165">
        <f>IF($A20="","",[1]!thsiFinD("ths_adjustment_nv_fund",L$3,$A20))</f>
        <v/>
      </c>
      <c r="M20" s="165">
        <f>IF($A20="","",[1]!thsiFinD("ths_adjustment_nv_fund",M$3,$A20))</f>
        <v/>
      </c>
      <c r="N20" s="165">
        <f>IF($A20="","",[1]!thsiFinD("ths_adjustment_nv_fund",N$3,$A20))</f>
        <v/>
      </c>
    </row>
    <row r="21">
      <c r="A21" s="166" t="n">
        <v>46196</v>
      </c>
      <c r="B21" s="165">
        <f>IF($A21="","",[1]!thsiFinD("ths_adjustment_nv_fund",B$3,$A21))</f>
        <v/>
      </c>
      <c r="C21" s="165">
        <f>IF($A21="","",[1]!thsiFinD("ths_adjustment_nv_fund",C$3,$A21))</f>
        <v/>
      </c>
      <c r="D21" s="165">
        <f>IF($A21="","",[1]!thsiFinD("ths_adjustment_nv_fund",D$3,$A21))</f>
        <v/>
      </c>
      <c r="E21" s="165">
        <f>IF($A21="","",[1]!thsiFinD("ths_adjustment_nv_fund",E$3,$A21))</f>
        <v/>
      </c>
      <c r="F21" s="165">
        <f>IF($A21="","",[1]!thsiFinD("ths_adjustment_nv_fund",F$3,$A21))</f>
        <v/>
      </c>
      <c r="G21" s="165">
        <f>IF($A21="","",[1]!thsiFinD("ths_adjustment_nv_fund",G$3,$A21))</f>
        <v/>
      </c>
      <c r="H21" s="165">
        <f>IF($A21="","",[1]!thsiFinD("ths_adjustment_nv_fund",H$3,$A21))</f>
        <v/>
      </c>
      <c r="I21" s="165">
        <f>IF($A21="","",[1]!thsiFinD("ths_adjustment_nv_fund",I$3,$A21))</f>
        <v/>
      </c>
      <c r="J21" s="165">
        <f>IF($A21="","",[1]!thsiFinD("ths_adjustment_nv_fund",J$3,$A21))</f>
        <v/>
      </c>
      <c r="K21" s="165">
        <f>IF($A21="","",[1]!thsiFinD("ths_adjustment_nv_fund",K$3,$A21))</f>
        <v/>
      </c>
      <c r="L21" s="165">
        <f>IF($A21="","",[1]!thsiFinD("ths_adjustment_nv_fund",L$3,$A21))</f>
        <v/>
      </c>
      <c r="M21" s="165">
        <f>IF($A21="","",[1]!thsiFinD("ths_adjustment_nv_fund",M$3,$A21))</f>
        <v/>
      </c>
      <c r="N21" s="165">
        <f>IF($A21="","",[1]!thsiFinD("ths_adjustment_nv_fund",N$3,$A21))</f>
        <v/>
      </c>
    </row>
    <row r="22">
      <c r="A22" s="166" t="n">
        <v>46197</v>
      </c>
      <c r="B22" s="165">
        <f>IF($A22="","",[1]!thsiFinD("ths_adjustment_nv_fund",B$3,$A22))</f>
        <v/>
      </c>
      <c r="C22" s="165">
        <f>IF($A22="","",[1]!thsiFinD("ths_adjustment_nv_fund",C$3,$A22))</f>
        <v/>
      </c>
      <c r="D22" s="165">
        <f>IF($A22="","",[1]!thsiFinD("ths_adjustment_nv_fund",D$3,$A22))</f>
        <v/>
      </c>
      <c r="E22" s="165">
        <f>IF($A22="","",[1]!thsiFinD("ths_adjustment_nv_fund",E$3,$A22))</f>
        <v/>
      </c>
      <c r="F22" s="165">
        <f>IF($A22="","",[1]!thsiFinD("ths_adjustment_nv_fund",F$3,$A22))</f>
        <v/>
      </c>
      <c r="G22" s="165">
        <f>IF($A22="","",[1]!thsiFinD("ths_adjustment_nv_fund",G$3,$A22))</f>
        <v/>
      </c>
      <c r="H22" s="165">
        <f>IF($A22="","",[1]!thsiFinD("ths_adjustment_nv_fund",H$3,$A22))</f>
        <v/>
      </c>
      <c r="I22" s="165">
        <f>IF($A22="","",[1]!thsiFinD("ths_adjustment_nv_fund",I$3,$A22))</f>
        <v/>
      </c>
      <c r="J22" s="165">
        <f>IF($A22="","",[1]!thsiFinD("ths_adjustment_nv_fund",J$3,$A22))</f>
        <v/>
      </c>
      <c r="K22" s="165">
        <f>IF($A22="","",[1]!thsiFinD("ths_adjustment_nv_fund",K$3,$A22))</f>
        <v/>
      </c>
      <c r="L22" s="165">
        <f>IF($A22="","",[1]!thsiFinD("ths_adjustment_nv_fund",L$3,$A22))</f>
        <v/>
      </c>
      <c r="M22" s="165">
        <f>IF($A22="","",[1]!thsiFinD("ths_adjustment_nv_fund",M$3,$A22))</f>
        <v/>
      </c>
      <c r="N22" s="165">
        <f>IF($A22="","",[1]!thsiFinD("ths_adjustment_nv_fund",N$3,$A22))</f>
        <v/>
      </c>
    </row>
    <row r="23">
      <c r="A23" s="166" t="n">
        <v>46198</v>
      </c>
      <c r="B23" s="165">
        <f>IF($A23="","",[1]!thsiFinD("ths_adjustment_nv_fund",B$3,$A23))</f>
        <v/>
      </c>
      <c r="C23" s="165">
        <f>IF($A23="","",[1]!thsiFinD("ths_adjustment_nv_fund",C$3,$A23))</f>
        <v/>
      </c>
      <c r="D23" s="165">
        <f>IF($A23="","",[1]!thsiFinD("ths_adjustment_nv_fund",D$3,$A23))</f>
        <v/>
      </c>
      <c r="E23" s="165">
        <f>IF($A23="","",[1]!thsiFinD("ths_adjustment_nv_fund",E$3,$A23))</f>
        <v/>
      </c>
      <c r="F23" s="165">
        <f>IF($A23="","",[1]!thsiFinD("ths_adjustment_nv_fund",F$3,$A23))</f>
        <v/>
      </c>
      <c r="G23" s="165">
        <f>IF($A23="","",[1]!thsiFinD("ths_adjustment_nv_fund",G$3,$A23))</f>
        <v/>
      </c>
      <c r="H23" s="165">
        <f>IF($A23="","",[1]!thsiFinD("ths_adjustment_nv_fund",H$3,$A23))</f>
        <v/>
      </c>
      <c r="I23" s="165">
        <f>IF($A23="","",[1]!thsiFinD("ths_adjustment_nv_fund",I$3,$A23))</f>
        <v/>
      </c>
      <c r="J23" s="165">
        <f>IF($A23="","",[1]!thsiFinD("ths_adjustment_nv_fund",J$3,$A23))</f>
        <v/>
      </c>
      <c r="K23" s="165">
        <f>IF($A23="","",[1]!thsiFinD("ths_adjustment_nv_fund",K$3,$A23))</f>
        <v/>
      </c>
      <c r="L23" s="165">
        <f>IF($A23="","",[1]!thsiFinD("ths_adjustment_nv_fund",L$3,$A23))</f>
        <v/>
      </c>
      <c r="M23" s="165">
        <f>IF($A23="","",[1]!thsiFinD("ths_adjustment_nv_fund",M$3,$A23))</f>
        <v/>
      </c>
      <c r="N23" s="165">
        <f>IF($A23="","",[1]!thsiFinD("ths_adjustment_nv_fund",N$3,$A23))</f>
        <v/>
      </c>
    </row>
    <row r="24">
      <c r="A24" s="166" t="n">
        <v>46199</v>
      </c>
      <c r="B24" s="165">
        <f>IF($A24="","",[1]!thsiFinD("ths_adjustment_nv_fund",B$3,$A24))</f>
        <v/>
      </c>
      <c r="C24" s="165">
        <f>IF($A24="","",[1]!thsiFinD("ths_adjustment_nv_fund",C$3,$A24))</f>
        <v/>
      </c>
      <c r="D24" s="165">
        <f>IF($A24="","",[1]!thsiFinD("ths_adjustment_nv_fund",D$3,$A24))</f>
        <v/>
      </c>
      <c r="E24" s="165">
        <f>IF($A24="","",[1]!thsiFinD("ths_adjustment_nv_fund",E$3,$A24))</f>
        <v/>
      </c>
      <c r="F24" s="165">
        <f>IF($A24="","",[1]!thsiFinD("ths_adjustment_nv_fund",F$3,$A24))</f>
        <v/>
      </c>
      <c r="G24" s="165">
        <f>IF($A24="","",[1]!thsiFinD("ths_adjustment_nv_fund",G$3,$A24))</f>
        <v/>
      </c>
      <c r="H24" s="165">
        <f>IF($A24="","",[1]!thsiFinD("ths_adjustment_nv_fund",H$3,$A24))</f>
        <v/>
      </c>
      <c r="I24" s="165">
        <f>IF($A24="","",[1]!thsiFinD("ths_adjustment_nv_fund",I$3,$A24))</f>
        <v/>
      </c>
      <c r="J24" s="165">
        <f>IF($A24="","",[1]!thsiFinD("ths_adjustment_nv_fund",J$3,$A24))</f>
        <v/>
      </c>
      <c r="K24" s="165">
        <f>IF($A24="","",[1]!thsiFinD("ths_adjustment_nv_fund",K$3,$A24))</f>
        <v/>
      </c>
      <c r="L24" s="165">
        <f>IF($A24="","",[1]!thsiFinD("ths_adjustment_nv_fund",L$3,$A24))</f>
        <v/>
      </c>
      <c r="M24" s="165">
        <f>IF($A24="","",[1]!thsiFinD("ths_adjustment_nv_fund",M$3,$A24))</f>
        <v/>
      </c>
      <c r="N24" s="165">
        <f>IF($A24="","",[1]!thsiFinD("ths_adjustment_nv_fund",N$3,$A24))</f>
        <v/>
      </c>
    </row>
    <row r="25">
      <c r="A25" s="166" t="n">
        <v>46202</v>
      </c>
      <c r="B25" s="165">
        <f>IF($A25="","",[1]!thsiFinD("ths_adjustment_nv_fund",B$3,$A25))</f>
        <v/>
      </c>
      <c r="C25" s="165">
        <f>IF($A25="","",[1]!thsiFinD("ths_adjustment_nv_fund",C$3,$A25))</f>
        <v/>
      </c>
      <c r="D25" s="165">
        <f>IF($A25="","",[1]!thsiFinD("ths_adjustment_nv_fund",D$3,$A25))</f>
        <v/>
      </c>
      <c r="E25" s="165">
        <f>IF($A25="","",[1]!thsiFinD("ths_adjustment_nv_fund",E$3,$A25))</f>
        <v/>
      </c>
      <c r="F25" s="165">
        <f>IF($A25="","",[1]!thsiFinD("ths_adjustment_nv_fund",F$3,$A25))</f>
        <v/>
      </c>
      <c r="G25" s="165">
        <f>IF($A25="","",[1]!thsiFinD("ths_adjustment_nv_fund",G$3,$A25))</f>
        <v/>
      </c>
      <c r="H25" s="165">
        <f>IF($A25="","",[1]!thsiFinD("ths_adjustment_nv_fund",H$3,$A25))</f>
        <v/>
      </c>
      <c r="I25" s="165">
        <f>IF($A25="","",[1]!thsiFinD("ths_adjustment_nv_fund",I$3,$A25))</f>
        <v/>
      </c>
      <c r="J25" s="165">
        <f>IF($A25="","",[1]!thsiFinD("ths_adjustment_nv_fund",J$3,$A25))</f>
        <v/>
      </c>
      <c r="K25" s="165">
        <f>IF($A25="","",[1]!thsiFinD("ths_adjustment_nv_fund",K$3,$A25))</f>
        <v/>
      </c>
      <c r="L25" s="165">
        <f>IF($A25="","",[1]!thsiFinD("ths_adjustment_nv_fund",L$3,$A25))</f>
        <v/>
      </c>
      <c r="M25" s="165">
        <f>IF($A25="","",[1]!thsiFinD("ths_adjustment_nv_fund",M$3,$A25))</f>
        <v/>
      </c>
      <c r="N25" s="165">
        <f>IF($A25="","",[1]!thsiFinD("ths_adjustment_nv_fund",N$3,$A25))</f>
        <v/>
      </c>
    </row>
    <row r="26">
      <c r="A26" s="166" t="n">
        <v>46203</v>
      </c>
      <c r="B26" s="165">
        <f>IF($A26="","",[1]!thsiFinD("ths_adjustment_nv_fund",B$3,$A26))</f>
        <v/>
      </c>
      <c r="C26" s="165">
        <f>IF($A26="","",[1]!thsiFinD("ths_adjustment_nv_fund",C$3,$A26))</f>
        <v/>
      </c>
      <c r="D26" s="165">
        <f>IF($A26="","",[1]!thsiFinD("ths_adjustment_nv_fund",D$3,$A26))</f>
        <v/>
      </c>
      <c r="E26" s="165">
        <f>IF($A26="","",[1]!thsiFinD("ths_adjustment_nv_fund",E$3,$A26))</f>
        <v/>
      </c>
      <c r="F26" s="165">
        <f>IF($A26="","",[1]!thsiFinD("ths_adjustment_nv_fund",F$3,$A26))</f>
        <v/>
      </c>
      <c r="G26" s="165">
        <f>IF($A26="","",[1]!thsiFinD("ths_adjustment_nv_fund",G$3,$A26))</f>
        <v/>
      </c>
      <c r="H26" s="165">
        <f>IF($A26="","",[1]!thsiFinD("ths_adjustment_nv_fund",H$3,$A26))</f>
        <v/>
      </c>
      <c r="I26" s="165">
        <f>IF($A26="","",[1]!thsiFinD("ths_adjustment_nv_fund",I$3,$A26))</f>
        <v/>
      </c>
      <c r="J26" s="165">
        <f>IF($A26="","",[1]!thsiFinD("ths_adjustment_nv_fund",J$3,$A26))</f>
        <v/>
      </c>
      <c r="K26" s="165">
        <f>IF($A26="","",[1]!thsiFinD("ths_adjustment_nv_fund",K$3,$A26))</f>
        <v/>
      </c>
      <c r="L26" s="165">
        <f>IF($A26="","",[1]!thsiFinD("ths_adjustment_nv_fund",L$3,$A26))</f>
        <v/>
      </c>
      <c r="M26" s="165">
        <f>IF($A26="","",[1]!thsiFinD("ths_adjustment_nv_fund",M$3,$A26))</f>
        <v/>
      </c>
      <c r="N26" s="165">
        <f>IF($A26="","",[1]!thsiFinD("ths_adjustment_nv_fund",N$3,$A26))</f>
        <v/>
      </c>
    </row>
    <row r="27">
      <c r="A27" s="166" t="n">
        <v>46204</v>
      </c>
      <c r="B27" s="165">
        <f>IF($A27="","",[1]!thsiFinD("ths_adjustment_nv_fund",B$3,$A27))</f>
        <v/>
      </c>
      <c r="C27" s="165">
        <f>IF($A27="","",[1]!thsiFinD("ths_adjustment_nv_fund",C$3,$A27))</f>
        <v/>
      </c>
      <c r="D27" s="165">
        <f>IF($A27="","",[1]!thsiFinD("ths_adjustment_nv_fund",D$3,$A27))</f>
        <v/>
      </c>
      <c r="E27" s="165">
        <f>IF($A27="","",[1]!thsiFinD("ths_adjustment_nv_fund",E$3,$A27))</f>
        <v/>
      </c>
      <c r="F27" s="165">
        <f>IF($A27="","",[1]!thsiFinD("ths_adjustment_nv_fund",F$3,$A27))</f>
        <v/>
      </c>
      <c r="G27" s="165">
        <f>IF($A27="","",[1]!thsiFinD("ths_adjustment_nv_fund",G$3,$A27))</f>
        <v/>
      </c>
      <c r="H27" s="165">
        <f>IF($A27="","",[1]!thsiFinD("ths_adjustment_nv_fund",H$3,$A27))</f>
        <v/>
      </c>
      <c r="I27" s="165">
        <f>IF($A27="","",[1]!thsiFinD("ths_adjustment_nv_fund",I$3,$A27))</f>
        <v/>
      </c>
      <c r="J27" s="165">
        <f>IF($A27="","",[1]!thsiFinD("ths_adjustment_nv_fund",J$3,$A27))</f>
        <v/>
      </c>
      <c r="K27" s="165">
        <f>IF($A27="","",[1]!thsiFinD("ths_adjustment_nv_fund",K$3,$A27))</f>
        <v/>
      </c>
      <c r="L27" s="165">
        <f>IF($A27="","",[1]!thsiFinD("ths_adjustment_nv_fund",L$3,$A27))</f>
        <v/>
      </c>
      <c r="M27" s="165">
        <f>IF($A27="","",[1]!thsiFinD("ths_adjustment_nv_fund",M$3,$A27))</f>
        <v/>
      </c>
      <c r="N27" s="165">
        <f>IF($A27="","",[1]!thsiFinD("ths_adjustment_nv_fund",N$3,$A27))</f>
        <v/>
      </c>
    </row>
    <row r="28">
      <c r="A28" s="166" t="n">
        <v>46205</v>
      </c>
      <c r="B28" s="165">
        <f>IF($A28="","",[1]!thsiFinD("ths_adjustment_nv_fund",B$3,$A28))</f>
        <v/>
      </c>
      <c r="C28" s="165">
        <f>IF($A28="","",[1]!thsiFinD("ths_adjustment_nv_fund",C$3,$A28))</f>
        <v/>
      </c>
      <c r="D28" s="165">
        <f>IF($A28="","",[1]!thsiFinD("ths_adjustment_nv_fund",D$3,$A28))</f>
        <v/>
      </c>
      <c r="E28" s="165">
        <f>IF($A28="","",[1]!thsiFinD("ths_adjustment_nv_fund",E$3,$A28))</f>
        <v/>
      </c>
      <c r="F28" s="165">
        <f>IF($A28="","",[1]!thsiFinD("ths_adjustment_nv_fund",F$3,$A28))</f>
        <v/>
      </c>
      <c r="G28" s="165">
        <f>IF($A28="","",[1]!thsiFinD("ths_adjustment_nv_fund",G$3,$A28))</f>
        <v/>
      </c>
      <c r="H28" s="165">
        <f>IF($A28="","",[1]!thsiFinD("ths_adjustment_nv_fund",H$3,$A28))</f>
        <v/>
      </c>
      <c r="I28" s="165">
        <f>IF($A28="","",[1]!thsiFinD("ths_adjustment_nv_fund",I$3,$A28))</f>
        <v/>
      </c>
      <c r="J28" s="165">
        <f>IF($A28="","",[1]!thsiFinD("ths_adjustment_nv_fund",J$3,$A28))</f>
        <v/>
      </c>
      <c r="K28" s="165">
        <f>IF($A28="","",[1]!thsiFinD("ths_adjustment_nv_fund",K$3,$A28))</f>
        <v/>
      </c>
      <c r="L28" s="165">
        <f>IF($A28="","",[1]!thsiFinD("ths_adjustment_nv_fund",L$3,$A28))</f>
        <v/>
      </c>
      <c r="M28" s="165">
        <f>IF($A28="","",[1]!thsiFinD("ths_adjustment_nv_fund",M$3,$A28))</f>
        <v/>
      </c>
      <c r="N28" s="165">
        <f>IF($A28="","",[1]!thsiFinD("ths_adjustment_nv_fund",N$3,$A28))</f>
        <v/>
      </c>
    </row>
    <row r="29">
      <c r="A29" s="166" t="n">
        <v>46206</v>
      </c>
      <c r="B29" s="165">
        <f>IF($A29="","",[1]!thsiFinD("ths_adjustment_nv_fund",B$3,$A29))</f>
        <v/>
      </c>
      <c r="C29" s="165">
        <f>IF($A29="","",[1]!thsiFinD("ths_adjustment_nv_fund",C$3,$A29))</f>
        <v/>
      </c>
      <c r="D29" s="165">
        <f>IF($A29="","",[1]!thsiFinD("ths_adjustment_nv_fund",D$3,$A29))</f>
        <v/>
      </c>
      <c r="E29" s="165">
        <f>IF($A29="","",[1]!thsiFinD("ths_adjustment_nv_fund",E$3,$A29))</f>
        <v/>
      </c>
      <c r="F29" s="165">
        <f>IF($A29="","",[1]!thsiFinD("ths_adjustment_nv_fund",F$3,$A29))</f>
        <v/>
      </c>
      <c r="G29" s="165">
        <f>IF($A29="","",[1]!thsiFinD("ths_adjustment_nv_fund",G$3,$A29))</f>
        <v/>
      </c>
      <c r="H29" s="165">
        <f>IF($A29="","",[1]!thsiFinD("ths_adjustment_nv_fund",H$3,$A29))</f>
        <v/>
      </c>
      <c r="I29" s="165">
        <f>IF($A29="","",[1]!thsiFinD("ths_adjustment_nv_fund",I$3,$A29))</f>
        <v/>
      </c>
      <c r="J29" s="165">
        <f>IF($A29="","",[1]!thsiFinD("ths_adjustment_nv_fund",J$3,$A29))</f>
        <v/>
      </c>
      <c r="K29" s="165">
        <f>IF($A29="","",[1]!thsiFinD("ths_adjustment_nv_fund",K$3,$A29))</f>
        <v/>
      </c>
      <c r="L29" s="165">
        <f>IF($A29="","",[1]!thsiFinD("ths_adjustment_nv_fund",L$3,$A29))</f>
        <v/>
      </c>
      <c r="M29" s="165">
        <f>IF($A29="","",[1]!thsiFinD("ths_adjustment_nv_fund",M$3,$A29))</f>
        <v/>
      </c>
      <c r="N29" s="165">
        <f>IF($A29="","",[1]!thsiFinD("ths_adjustment_nv_fund",N$3,$A29))</f>
        <v/>
      </c>
    </row>
    <row r="30">
      <c r="A30" s="166" t="n">
        <v>46209</v>
      </c>
      <c r="B30" s="165">
        <f>IF($A30="","",[1]!thsiFinD("ths_adjustment_nv_fund",B$3,$A30))</f>
        <v/>
      </c>
      <c r="C30" s="165">
        <f>IF($A30="","",[1]!thsiFinD("ths_adjustment_nv_fund",C$3,$A30))</f>
        <v/>
      </c>
      <c r="D30" s="165">
        <f>IF($A30="","",[1]!thsiFinD("ths_adjustment_nv_fund",D$3,$A30))</f>
        <v/>
      </c>
      <c r="E30" s="165">
        <f>IF($A30="","",[1]!thsiFinD("ths_adjustment_nv_fund",E$3,$A30))</f>
        <v/>
      </c>
      <c r="F30" s="165">
        <f>IF($A30="","",[1]!thsiFinD("ths_adjustment_nv_fund",F$3,$A30))</f>
        <v/>
      </c>
      <c r="G30" s="165">
        <f>IF($A30="","",[1]!thsiFinD("ths_adjustment_nv_fund",G$3,$A30))</f>
        <v/>
      </c>
      <c r="H30" s="165">
        <f>IF($A30="","",[1]!thsiFinD("ths_adjustment_nv_fund",H$3,$A30))</f>
        <v/>
      </c>
      <c r="I30" s="165">
        <f>IF($A30="","",[1]!thsiFinD("ths_adjustment_nv_fund",I$3,$A30))</f>
        <v/>
      </c>
      <c r="J30" s="165">
        <f>IF($A30="","",[1]!thsiFinD("ths_adjustment_nv_fund",J$3,$A30))</f>
        <v/>
      </c>
      <c r="K30" s="165">
        <f>IF($A30="","",[1]!thsiFinD("ths_adjustment_nv_fund",K$3,$A30))</f>
        <v/>
      </c>
      <c r="L30" s="165">
        <f>IF($A30="","",[1]!thsiFinD("ths_adjustment_nv_fund",L$3,$A30))</f>
        <v/>
      </c>
      <c r="M30" s="165">
        <f>IF($A30="","",[1]!thsiFinD("ths_adjustment_nv_fund",M$3,$A30))</f>
        <v/>
      </c>
      <c r="N30" s="165">
        <f>IF($A30="","",[1]!thsiFinD("ths_adjustment_nv_fund",N$3,$A30))</f>
        <v/>
      </c>
    </row>
    <row r="31">
      <c r="A31" s="166" t="n">
        <v>46210</v>
      </c>
      <c r="B31" s="165">
        <f>IF($A31="","",[1]!thsiFinD("ths_adjustment_nv_fund",B$3,$A31))</f>
        <v/>
      </c>
      <c r="C31" s="165">
        <f>IF($A31="","",[1]!thsiFinD("ths_adjustment_nv_fund",C$3,$A31))</f>
        <v/>
      </c>
      <c r="D31" s="165">
        <f>IF($A31="","",[1]!thsiFinD("ths_adjustment_nv_fund",D$3,$A31))</f>
        <v/>
      </c>
      <c r="E31" s="165">
        <f>IF($A31="","",[1]!thsiFinD("ths_adjustment_nv_fund",E$3,$A31))</f>
        <v/>
      </c>
      <c r="F31" s="165">
        <f>IF($A31="","",[1]!thsiFinD("ths_adjustment_nv_fund",F$3,$A31))</f>
        <v/>
      </c>
      <c r="G31" s="165">
        <f>IF($A31="","",[1]!thsiFinD("ths_adjustment_nv_fund",G$3,$A31))</f>
        <v/>
      </c>
      <c r="H31" s="165">
        <f>IF($A31="","",[1]!thsiFinD("ths_adjustment_nv_fund",H$3,$A31))</f>
        <v/>
      </c>
      <c r="I31" s="165">
        <f>IF($A31="","",[1]!thsiFinD("ths_adjustment_nv_fund",I$3,$A31))</f>
        <v/>
      </c>
      <c r="J31" s="165">
        <f>IF($A31="","",[1]!thsiFinD("ths_adjustment_nv_fund",J$3,$A31))</f>
        <v/>
      </c>
      <c r="K31" s="165">
        <f>IF($A31="","",[1]!thsiFinD("ths_adjustment_nv_fund",K$3,$A31))</f>
        <v/>
      </c>
      <c r="L31" s="165">
        <f>IF($A31="","",[1]!thsiFinD("ths_adjustment_nv_fund",L$3,$A31))</f>
        <v/>
      </c>
      <c r="M31" s="165">
        <f>IF($A31="","",[1]!thsiFinD("ths_adjustment_nv_fund",M$3,$A31))</f>
        <v/>
      </c>
      <c r="N31" s="165">
        <f>IF($A31="","",[1]!thsiFinD("ths_adjustment_nv_fund",N$3,$A31))</f>
        <v/>
      </c>
    </row>
    <row r="32">
      <c r="A32" s="166" t="n"/>
      <c r="B32" s="165">
        <f>IF($A32="","",[1]!thsiFinD("ths_adjustment_nv_fund",B$3,$A32))</f>
        <v/>
      </c>
      <c r="C32" s="165">
        <f>IF($A32="","",[1]!thsiFinD("ths_adjustment_nv_fund",C$3,$A32))</f>
        <v/>
      </c>
      <c r="D32" s="165">
        <f>IF($A32="","",[1]!thsiFinD("ths_adjustment_nv_fund",D$3,$A32))</f>
        <v/>
      </c>
      <c r="E32" s="165">
        <f>IF($A32="","",[1]!thsiFinD("ths_adjustment_nv_fund",E$3,$A32))</f>
        <v/>
      </c>
      <c r="F32" s="165">
        <f>IF($A32="","",[1]!thsiFinD("ths_adjustment_nv_fund",F$3,$A32))</f>
        <v/>
      </c>
      <c r="G32" s="165">
        <f>IF($A32="","",[1]!thsiFinD("ths_adjustment_nv_fund",G$3,$A32))</f>
        <v/>
      </c>
      <c r="H32" s="165">
        <f>IF($A32="","",[1]!thsiFinD("ths_adjustment_nv_fund",H$3,$A32))</f>
        <v/>
      </c>
      <c r="I32" s="165">
        <f>IF($A32="","",[1]!thsiFinD("ths_adjustment_nv_fund",I$3,$A32))</f>
        <v/>
      </c>
      <c r="J32" s="165">
        <f>IF($A32="","",[1]!thsiFinD("ths_adjustment_nv_fund",J$3,$A32))</f>
        <v/>
      </c>
      <c r="K32" s="165">
        <f>IF($A32="","",[1]!thsiFinD("ths_adjustment_nv_fund",K$3,$A32))</f>
        <v/>
      </c>
      <c r="L32" s="165">
        <f>IF($A32="","",[1]!thsiFinD("ths_adjustment_nv_fund",L$3,$A32))</f>
        <v/>
      </c>
      <c r="M32" s="165">
        <f>IF($A32="","",[1]!thsiFinD("ths_adjustment_nv_fund",M$3,$A32))</f>
        <v/>
      </c>
      <c r="N32" s="165">
        <f>IF($A32="","",[1]!thsiFinD("ths_adjustment_nv_fund",N$3,$A32))</f>
        <v/>
      </c>
    </row>
    <row r="33">
      <c r="A33" s="166" t="n"/>
      <c r="B33" s="165">
        <f>IF($A33="","",[1]!thsiFinD("ths_adjustment_nv_fund",B$3,$A33))</f>
        <v/>
      </c>
      <c r="C33" s="165">
        <f>IF($A33="","",[1]!thsiFinD("ths_adjustment_nv_fund",C$3,$A33))</f>
        <v/>
      </c>
      <c r="D33" s="165">
        <f>IF($A33="","",[1]!thsiFinD("ths_adjustment_nv_fund",D$3,$A33))</f>
        <v/>
      </c>
      <c r="E33" s="165">
        <f>IF($A33="","",[1]!thsiFinD("ths_adjustment_nv_fund",E$3,$A33))</f>
        <v/>
      </c>
      <c r="F33" s="165">
        <f>IF($A33="","",[1]!thsiFinD("ths_adjustment_nv_fund",F$3,$A33))</f>
        <v/>
      </c>
      <c r="G33" s="165">
        <f>IF($A33="","",[1]!thsiFinD("ths_adjustment_nv_fund",G$3,$A33))</f>
        <v/>
      </c>
      <c r="H33" s="165">
        <f>IF($A33="","",[1]!thsiFinD("ths_adjustment_nv_fund",H$3,$A33))</f>
        <v/>
      </c>
      <c r="I33" s="165">
        <f>IF($A33="","",[1]!thsiFinD("ths_adjustment_nv_fund",I$3,$A33))</f>
        <v/>
      </c>
      <c r="J33" s="165">
        <f>IF($A33="","",[1]!thsiFinD("ths_adjustment_nv_fund",J$3,$A33))</f>
        <v/>
      </c>
      <c r="K33" s="165">
        <f>IF($A33="","",[1]!thsiFinD("ths_adjustment_nv_fund",K$3,$A33))</f>
        <v/>
      </c>
      <c r="L33" s="165">
        <f>IF($A33="","",[1]!thsiFinD("ths_adjustment_nv_fund",L$3,$A33))</f>
        <v/>
      </c>
      <c r="M33" s="165">
        <f>IF($A33="","",[1]!thsiFinD("ths_adjustment_nv_fund",M$3,$A33))</f>
        <v/>
      </c>
      <c r="N33" s="165">
        <f>IF($A33="","",[1]!thsiFinD("ths_adjustment_nv_fund",N$3,$A33))</f>
        <v/>
      </c>
    </row>
    <row r="34">
      <c r="A34" s="166" t="n"/>
      <c r="B34" s="165">
        <f>IF($A34="","",[1]!thsiFinD("ths_adjustment_nv_fund",B$3,$A34))</f>
        <v/>
      </c>
      <c r="C34" s="165">
        <f>IF($A34="","",[1]!thsiFinD("ths_adjustment_nv_fund",C$3,$A34))</f>
        <v/>
      </c>
      <c r="D34" s="165">
        <f>IF($A34="","",[1]!thsiFinD("ths_adjustment_nv_fund",D$3,$A34))</f>
        <v/>
      </c>
      <c r="E34" s="165">
        <f>IF($A34="","",[1]!thsiFinD("ths_adjustment_nv_fund",E$3,$A34))</f>
        <v/>
      </c>
      <c r="F34" s="165">
        <f>IF($A34="","",[1]!thsiFinD("ths_adjustment_nv_fund",F$3,$A34))</f>
        <v/>
      </c>
      <c r="G34" s="165">
        <f>IF($A34="","",[1]!thsiFinD("ths_adjustment_nv_fund",G$3,$A34))</f>
        <v/>
      </c>
      <c r="H34" s="165">
        <f>IF($A34="","",[1]!thsiFinD("ths_adjustment_nv_fund",H$3,$A34))</f>
        <v/>
      </c>
      <c r="I34" s="165">
        <f>IF($A34="","",[1]!thsiFinD("ths_adjustment_nv_fund",I$3,$A34))</f>
        <v/>
      </c>
      <c r="J34" s="165">
        <f>IF($A34="","",[1]!thsiFinD("ths_adjustment_nv_fund",J$3,$A34))</f>
        <v/>
      </c>
      <c r="K34" s="165">
        <f>IF($A34="","",[1]!thsiFinD("ths_adjustment_nv_fund",K$3,$A34))</f>
        <v/>
      </c>
      <c r="L34" s="165">
        <f>IF($A34="","",[1]!thsiFinD("ths_adjustment_nv_fund",L$3,$A34))</f>
        <v/>
      </c>
      <c r="M34" s="165">
        <f>IF($A34="","",[1]!thsiFinD("ths_adjustment_nv_fund",M$3,$A34))</f>
        <v/>
      </c>
      <c r="N34" s="165">
        <f>IF($A34="","",[1]!thsiFinD("ths_adjustment_nv_fund",N$3,$A34))</f>
        <v/>
      </c>
    </row>
    <row r="35">
      <c r="A35" s="166" t="n"/>
      <c r="B35" s="165">
        <f>IF($A35="","",[1]!thsiFinD("ths_adjustment_nv_fund",B$3,$A35))</f>
        <v/>
      </c>
      <c r="C35" s="165">
        <f>IF($A35="","",[1]!thsiFinD("ths_adjustment_nv_fund",C$3,$A35))</f>
        <v/>
      </c>
      <c r="D35" s="165">
        <f>IF($A35="","",[1]!thsiFinD("ths_adjustment_nv_fund",D$3,$A35))</f>
        <v/>
      </c>
      <c r="E35" s="165">
        <f>IF($A35="","",[1]!thsiFinD("ths_adjustment_nv_fund",E$3,$A35))</f>
        <v/>
      </c>
      <c r="F35" s="165">
        <f>IF($A35="","",[1]!thsiFinD("ths_adjustment_nv_fund",F$3,$A35))</f>
        <v/>
      </c>
      <c r="G35" s="165">
        <f>IF($A35="","",[1]!thsiFinD("ths_adjustment_nv_fund",G$3,$A35))</f>
        <v/>
      </c>
      <c r="H35" s="165">
        <f>IF($A35="","",[1]!thsiFinD("ths_adjustment_nv_fund",H$3,$A35))</f>
        <v/>
      </c>
      <c r="I35" s="165">
        <f>IF($A35="","",[1]!thsiFinD("ths_adjustment_nv_fund",I$3,$A35))</f>
        <v/>
      </c>
      <c r="J35" s="165">
        <f>IF($A35="","",[1]!thsiFinD("ths_adjustment_nv_fund",J$3,$A35))</f>
        <v/>
      </c>
      <c r="K35" s="165">
        <f>IF($A35="","",[1]!thsiFinD("ths_adjustment_nv_fund",K$3,$A35))</f>
        <v/>
      </c>
      <c r="L35" s="165">
        <f>IF($A35="","",[1]!thsiFinD("ths_adjustment_nv_fund",L$3,$A35))</f>
        <v/>
      </c>
      <c r="M35" s="165">
        <f>IF($A35="","",[1]!thsiFinD("ths_adjustment_nv_fund",M$3,$A35))</f>
        <v/>
      </c>
      <c r="N35" s="165">
        <f>IF($A35="","",[1]!thsiFinD("ths_adjustment_nv_fund",N$3,$A35))</f>
        <v/>
      </c>
    </row>
    <row r="36">
      <c r="A36" s="166" t="n"/>
      <c r="B36" s="165">
        <f>IF($A36="","",[1]!thsiFinD("ths_adjustment_nv_fund",B$3,$A36))</f>
        <v/>
      </c>
      <c r="C36" s="165">
        <f>IF($A36="","",[1]!thsiFinD("ths_adjustment_nv_fund",C$3,$A36))</f>
        <v/>
      </c>
      <c r="D36" s="165">
        <f>IF($A36="","",[1]!thsiFinD("ths_adjustment_nv_fund",D$3,$A36))</f>
        <v/>
      </c>
      <c r="E36" s="165">
        <f>IF($A36="","",[1]!thsiFinD("ths_adjustment_nv_fund",E$3,$A36))</f>
        <v/>
      </c>
      <c r="F36" s="165">
        <f>IF($A36="","",[1]!thsiFinD("ths_adjustment_nv_fund",F$3,$A36))</f>
        <v/>
      </c>
      <c r="G36" s="165">
        <f>IF($A36="","",[1]!thsiFinD("ths_adjustment_nv_fund",G$3,$A36))</f>
        <v/>
      </c>
      <c r="H36" s="165">
        <f>IF($A36="","",[1]!thsiFinD("ths_adjustment_nv_fund",H$3,$A36))</f>
        <v/>
      </c>
      <c r="I36" s="165">
        <f>IF($A36="","",[1]!thsiFinD("ths_adjustment_nv_fund",I$3,$A36))</f>
        <v/>
      </c>
      <c r="J36" s="165">
        <f>IF($A36="","",[1]!thsiFinD("ths_adjustment_nv_fund",J$3,$A36))</f>
        <v/>
      </c>
      <c r="K36" s="165">
        <f>IF($A36="","",[1]!thsiFinD("ths_adjustment_nv_fund",K$3,$A36))</f>
        <v/>
      </c>
      <c r="L36" s="165">
        <f>IF($A36="","",[1]!thsiFinD("ths_adjustment_nv_fund",L$3,$A36))</f>
        <v/>
      </c>
      <c r="M36" s="165">
        <f>IF($A36="","",[1]!thsiFinD("ths_adjustment_nv_fund",M$3,$A36))</f>
        <v/>
      </c>
      <c r="N36" s="165">
        <f>IF($A36="","",[1]!thsiFinD("ths_adjustment_nv_fund",N$3,$A36))</f>
        <v/>
      </c>
    </row>
    <row r="37">
      <c r="A37" s="166" t="n"/>
      <c r="B37" s="165">
        <f>IF($A37="","",[1]!thsiFinD("ths_adjustment_nv_fund",B$3,$A37))</f>
        <v/>
      </c>
      <c r="C37" s="165">
        <f>IF($A37="","",[1]!thsiFinD("ths_adjustment_nv_fund",C$3,$A37))</f>
        <v/>
      </c>
      <c r="D37" s="165">
        <f>IF($A37="","",[1]!thsiFinD("ths_adjustment_nv_fund",D$3,$A37))</f>
        <v/>
      </c>
      <c r="E37" s="165">
        <f>IF($A37="","",[1]!thsiFinD("ths_adjustment_nv_fund",E$3,$A37))</f>
        <v/>
      </c>
      <c r="F37" s="165">
        <f>IF($A37="","",[1]!thsiFinD("ths_adjustment_nv_fund",F$3,$A37))</f>
        <v/>
      </c>
      <c r="G37" s="165">
        <f>IF($A37="","",[1]!thsiFinD("ths_adjustment_nv_fund",G$3,$A37))</f>
        <v/>
      </c>
      <c r="H37" s="165">
        <f>IF($A37="","",[1]!thsiFinD("ths_adjustment_nv_fund",H$3,$A37))</f>
        <v/>
      </c>
      <c r="I37" s="165">
        <f>IF($A37="","",[1]!thsiFinD("ths_adjustment_nv_fund",I$3,$A37))</f>
        <v/>
      </c>
      <c r="J37" s="165">
        <f>IF($A37="","",[1]!thsiFinD("ths_adjustment_nv_fund",J$3,$A37))</f>
        <v/>
      </c>
      <c r="K37" s="165">
        <f>IF($A37="","",[1]!thsiFinD("ths_adjustment_nv_fund",K$3,$A37))</f>
        <v/>
      </c>
      <c r="L37" s="165">
        <f>IF($A37="","",[1]!thsiFinD("ths_adjustment_nv_fund",L$3,$A37))</f>
        <v/>
      </c>
      <c r="M37" s="165">
        <f>IF($A37="","",[1]!thsiFinD("ths_adjustment_nv_fund",M$3,$A37))</f>
        <v/>
      </c>
      <c r="N37" s="165">
        <f>IF($A37="","",[1]!thsiFinD("ths_adjustment_nv_fund",N$3,$A37))</f>
        <v/>
      </c>
    </row>
    <row r="38">
      <c r="A38" s="166" t="n"/>
      <c r="B38" s="165">
        <f>IF($A38="","",[1]!thsiFinD("ths_adjustment_nv_fund",B$3,$A38))</f>
        <v/>
      </c>
      <c r="C38" s="165">
        <f>IF($A38="","",[1]!thsiFinD("ths_adjustment_nv_fund",C$3,$A38))</f>
        <v/>
      </c>
      <c r="D38" s="165">
        <f>IF($A38="","",[1]!thsiFinD("ths_adjustment_nv_fund",D$3,$A38))</f>
        <v/>
      </c>
      <c r="E38" s="165">
        <f>IF($A38="","",[1]!thsiFinD("ths_adjustment_nv_fund",E$3,$A38))</f>
        <v/>
      </c>
      <c r="F38" s="165">
        <f>IF($A38="","",[1]!thsiFinD("ths_adjustment_nv_fund",F$3,$A38))</f>
        <v/>
      </c>
      <c r="G38" s="165">
        <f>IF($A38="","",[1]!thsiFinD("ths_adjustment_nv_fund",G$3,$A38))</f>
        <v/>
      </c>
      <c r="H38" s="165">
        <f>IF($A38="","",[1]!thsiFinD("ths_adjustment_nv_fund",H$3,$A38))</f>
        <v/>
      </c>
      <c r="I38" s="165">
        <f>IF($A38="","",[1]!thsiFinD("ths_adjustment_nv_fund",I$3,$A38))</f>
        <v/>
      </c>
      <c r="J38" s="165">
        <f>IF($A38="","",[1]!thsiFinD("ths_adjustment_nv_fund",J$3,$A38))</f>
        <v/>
      </c>
      <c r="K38" s="165">
        <f>IF($A38="","",[1]!thsiFinD("ths_adjustment_nv_fund",K$3,$A38))</f>
        <v/>
      </c>
      <c r="L38" s="165">
        <f>IF($A38="","",[1]!thsiFinD("ths_adjustment_nv_fund",L$3,$A38))</f>
        <v/>
      </c>
      <c r="M38" s="165">
        <f>IF($A38="","",[1]!thsiFinD("ths_adjustment_nv_fund",M$3,$A38))</f>
        <v/>
      </c>
      <c r="N38" s="165">
        <f>IF($A38="","",[1]!thsiFinD("ths_adjustment_nv_fund",N$3,$A38))</f>
        <v/>
      </c>
    </row>
    <row r="39">
      <c r="A39" s="166" t="n"/>
      <c r="B39" s="165">
        <f>IF($A39="","",[1]!thsiFinD("ths_adjustment_nv_fund",B$3,$A39))</f>
        <v/>
      </c>
      <c r="C39" s="165">
        <f>IF($A39="","",[1]!thsiFinD("ths_adjustment_nv_fund",C$3,$A39))</f>
        <v/>
      </c>
      <c r="D39" s="165">
        <f>IF($A39="","",[1]!thsiFinD("ths_adjustment_nv_fund",D$3,$A39))</f>
        <v/>
      </c>
      <c r="E39" s="165">
        <f>IF($A39="","",[1]!thsiFinD("ths_adjustment_nv_fund",E$3,$A39))</f>
        <v/>
      </c>
      <c r="F39" s="165">
        <f>IF($A39="","",[1]!thsiFinD("ths_adjustment_nv_fund",F$3,$A39))</f>
        <v/>
      </c>
      <c r="G39" s="165">
        <f>IF($A39="","",[1]!thsiFinD("ths_adjustment_nv_fund",G$3,$A39))</f>
        <v/>
      </c>
      <c r="H39" s="165">
        <f>IF($A39="","",[1]!thsiFinD("ths_adjustment_nv_fund",H$3,$A39))</f>
        <v/>
      </c>
      <c r="I39" s="165">
        <f>IF($A39="","",[1]!thsiFinD("ths_adjustment_nv_fund",I$3,$A39))</f>
        <v/>
      </c>
      <c r="J39" s="165">
        <f>IF($A39="","",[1]!thsiFinD("ths_adjustment_nv_fund",J$3,$A39))</f>
        <v/>
      </c>
      <c r="K39" s="165">
        <f>IF($A39="","",[1]!thsiFinD("ths_adjustment_nv_fund",K$3,$A39))</f>
        <v/>
      </c>
      <c r="L39" s="165">
        <f>IF($A39="","",[1]!thsiFinD("ths_adjustment_nv_fund",L$3,$A39))</f>
        <v/>
      </c>
      <c r="M39" s="165">
        <f>IF($A39="","",[1]!thsiFinD("ths_adjustment_nv_fund",M$3,$A39))</f>
        <v/>
      </c>
      <c r="N39" s="165">
        <f>IF($A39="","",[1]!thsiFinD("ths_adjustment_nv_fund",N$3,$A39))</f>
        <v/>
      </c>
    </row>
    <row r="40">
      <c r="A40" s="166" t="n"/>
      <c r="B40" s="165">
        <f>IF($A40="","",[1]!thsiFinD("ths_adjustment_nv_fund",B$3,$A40))</f>
        <v/>
      </c>
      <c r="C40" s="165">
        <f>IF($A40="","",[1]!thsiFinD("ths_adjustment_nv_fund",C$3,$A40))</f>
        <v/>
      </c>
      <c r="D40" s="165">
        <f>IF($A40="","",[1]!thsiFinD("ths_adjustment_nv_fund",D$3,$A40))</f>
        <v/>
      </c>
      <c r="E40" s="165">
        <f>IF($A40="","",[1]!thsiFinD("ths_adjustment_nv_fund",E$3,$A40))</f>
        <v/>
      </c>
      <c r="F40" s="165">
        <f>IF($A40="","",[1]!thsiFinD("ths_adjustment_nv_fund",F$3,$A40))</f>
        <v/>
      </c>
      <c r="G40" s="165">
        <f>IF($A40="","",[1]!thsiFinD("ths_adjustment_nv_fund",G$3,$A40))</f>
        <v/>
      </c>
      <c r="H40" s="165">
        <f>IF($A40="","",[1]!thsiFinD("ths_adjustment_nv_fund",H$3,$A40))</f>
        <v/>
      </c>
      <c r="I40" s="165">
        <f>IF($A40="","",[1]!thsiFinD("ths_adjustment_nv_fund",I$3,$A40))</f>
        <v/>
      </c>
      <c r="J40" s="165">
        <f>IF($A40="","",[1]!thsiFinD("ths_adjustment_nv_fund",J$3,$A40))</f>
        <v/>
      </c>
      <c r="K40" s="165">
        <f>IF($A40="","",[1]!thsiFinD("ths_adjustment_nv_fund",K$3,$A40))</f>
        <v/>
      </c>
      <c r="L40" s="165">
        <f>IF($A40="","",[1]!thsiFinD("ths_adjustment_nv_fund",L$3,$A40))</f>
        <v/>
      </c>
      <c r="M40" s="165">
        <f>IF($A40="","",[1]!thsiFinD("ths_adjustment_nv_fund",M$3,$A40))</f>
        <v/>
      </c>
      <c r="N40" s="165">
        <f>IF($A40="","",[1]!thsiFinD("ths_adjustment_nv_fund",N$3,$A40))</f>
        <v/>
      </c>
    </row>
    <row r="41">
      <c r="A41" s="166" t="n"/>
      <c r="B41" s="165">
        <f>IF($A41="","",[1]!thsiFinD("ths_adjustment_nv_fund",B$3,$A41))</f>
        <v/>
      </c>
      <c r="C41" s="165">
        <f>IF($A41="","",[1]!thsiFinD("ths_adjustment_nv_fund",C$3,$A41))</f>
        <v/>
      </c>
      <c r="D41" s="165">
        <f>IF($A41="","",[1]!thsiFinD("ths_adjustment_nv_fund",D$3,$A41))</f>
        <v/>
      </c>
      <c r="E41" s="165">
        <f>IF($A41="","",[1]!thsiFinD("ths_adjustment_nv_fund",E$3,$A41))</f>
        <v/>
      </c>
      <c r="F41" s="165">
        <f>IF($A41="","",[1]!thsiFinD("ths_adjustment_nv_fund",F$3,$A41))</f>
        <v/>
      </c>
      <c r="G41" s="165">
        <f>IF($A41="","",[1]!thsiFinD("ths_adjustment_nv_fund",G$3,$A41))</f>
        <v/>
      </c>
      <c r="H41" s="165">
        <f>IF($A41="","",[1]!thsiFinD("ths_adjustment_nv_fund",H$3,$A41))</f>
        <v/>
      </c>
      <c r="I41" s="165">
        <f>IF($A41="","",[1]!thsiFinD("ths_adjustment_nv_fund",I$3,$A41))</f>
        <v/>
      </c>
      <c r="J41" s="165">
        <f>IF($A41="","",[1]!thsiFinD("ths_adjustment_nv_fund",J$3,$A41))</f>
        <v/>
      </c>
      <c r="K41" s="165">
        <f>IF($A41="","",[1]!thsiFinD("ths_adjustment_nv_fund",K$3,$A41))</f>
        <v/>
      </c>
      <c r="L41" s="165">
        <f>IF($A41="","",[1]!thsiFinD("ths_adjustment_nv_fund",L$3,$A41))</f>
        <v/>
      </c>
      <c r="M41" s="165">
        <f>IF($A41="","",[1]!thsiFinD("ths_adjustment_nv_fund",M$3,$A41))</f>
        <v/>
      </c>
      <c r="N41" s="165">
        <f>IF($A41="","",[1]!thsiFinD("ths_adjustment_nv_fund",N$3,$A41))</f>
        <v/>
      </c>
    </row>
    <row r="42">
      <c r="A42" s="166" t="n"/>
      <c r="B42" s="165">
        <f>IF($A42="","",[1]!thsiFinD("ths_adjustment_nv_fund",B$3,$A42))</f>
        <v/>
      </c>
      <c r="C42" s="165">
        <f>IF($A42="","",[1]!thsiFinD("ths_adjustment_nv_fund",C$3,$A42))</f>
        <v/>
      </c>
      <c r="D42" s="165">
        <f>IF($A42="","",[1]!thsiFinD("ths_adjustment_nv_fund",D$3,$A42))</f>
        <v/>
      </c>
      <c r="E42" s="165">
        <f>IF($A42="","",[1]!thsiFinD("ths_adjustment_nv_fund",E$3,$A42))</f>
        <v/>
      </c>
      <c r="F42" s="165">
        <f>IF($A42="","",[1]!thsiFinD("ths_adjustment_nv_fund",F$3,$A42))</f>
        <v/>
      </c>
      <c r="G42" s="165">
        <f>IF($A42="","",[1]!thsiFinD("ths_adjustment_nv_fund",G$3,$A42))</f>
        <v/>
      </c>
      <c r="H42" s="165">
        <f>IF($A42="","",[1]!thsiFinD("ths_adjustment_nv_fund",H$3,$A42))</f>
        <v/>
      </c>
      <c r="I42" s="165">
        <f>IF($A42="","",[1]!thsiFinD("ths_adjustment_nv_fund",I$3,$A42))</f>
        <v/>
      </c>
      <c r="J42" s="165">
        <f>IF($A42="","",[1]!thsiFinD("ths_adjustment_nv_fund",J$3,$A42))</f>
        <v/>
      </c>
      <c r="K42" s="165">
        <f>IF($A42="","",[1]!thsiFinD("ths_adjustment_nv_fund",K$3,$A42))</f>
        <v/>
      </c>
      <c r="L42" s="165">
        <f>IF($A42="","",[1]!thsiFinD("ths_adjustment_nv_fund",L$3,$A42))</f>
        <v/>
      </c>
      <c r="M42" s="165">
        <f>IF($A42="","",[1]!thsiFinD("ths_adjustment_nv_fund",M$3,$A42))</f>
        <v/>
      </c>
      <c r="N42" s="165">
        <f>IF($A42="","",[1]!thsiFinD("ths_adjustment_nv_fund",N$3,$A42))</f>
        <v/>
      </c>
    </row>
    <row r="43">
      <c r="A43" s="166" t="n"/>
      <c r="B43" s="165">
        <f>IF($A43="","",[1]!thsiFinD("ths_adjustment_nv_fund",B$3,$A43))</f>
        <v/>
      </c>
      <c r="C43" s="165">
        <f>IF($A43="","",[1]!thsiFinD("ths_adjustment_nv_fund",C$3,$A43))</f>
        <v/>
      </c>
      <c r="D43" s="165">
        <f>IF($A43="","",[1]!thsiFinD("ths_adjustment_nv_fund",D$3,$A43))</f>
        <v/>
      </c>
      <c r="E43" s="165">
        <f>IF($A43="","",[1]!thsiFinD("ths_adjustment_nv_fund",E$3,$A43))</f>
        <v/>
      </c>
      <c r="F43" s="165">
        <f>IF($A43="","",[1]!thsiFinD("ths_adjustment_nv_fund",F$3,$A43))</f>
        <v/>
      </c>
      <c r="G43" s="165">
        <f>IF($A43="","",[1]!thsiFinD("ths_adjustment_nv_fund",G$3,$A43))</f>
        <v/>
      </c>
      <c r="H43" s="165">
        <f>IF($A43="","",[1]!thsiFinD("ths_adjustment_nv_fund",H$3,$A43))</f>
        <v/>
      </c>
      <c r="I43" s="165">
        <f>IF($A43="","",[1]!thsiFinD("ths_adjustment_nv_fund",I$3,$A43))</f>
        <v/>
      </c>
      <c r="J43" s="165">
        <f>IF($A43="","",[1]!thsiFinD("ths_adjustment_nv_fund",J$3,$A43))</f>
        <v/>
      </c>
      <c r="K43" s="165">
        <f>IF($A43="","",[1]!thsiFinD("ths_adjustment_nv_fund",K$3,$A43))</f>
        <v/>
      </c>
      <c r="L43" s="165">
        <f>IF($A43="","",[1]!thsiFinD("ths_adjustment_nv_fund",L$3,$A43))</f>
        <v/>
      </c>
      <c r="M43" s="165">
        <f>IF($A43="","",[1]!thsiFinD("ths_adjustment_nv_fund",M$3,$A43))</f>
        <v/>
      </c>
      <c r="N43" s="165">
        <f>IF($A43="","",[1]!thsiFinD("ths_adjustment_nv_fund",N$3,$A43))</f>
        <v/>
      </c>
    </row>
    <row r="44">
      <c r="A44" s="166" t="n"/>
      <c r="B44" s="165">
        <f>IF($A44="","",[1]!thsiFinD("ths_adjustment_nv_fund",B$3,$A44))</f>
        <v/>
      </c>
      <c r="C44" s="165">
        <f>IF($A44="","",[1]!thsiFinD("ths_adjustment_nv_fund",C$3,$A44))</f>
        <v/>
      </c>
      <c r="D44" s="165">
        <f>IF($A44="","",[1]!thsiFinD("ths_adjustment_nv_fund",D$3,$A44))</f>
        <v/>
      </c>
      <c r="E44" s="165">
        <f>IF($A44="","",[1]!thsiFinD("ths_adjustment_nv_fund",E$3,$A44))</f>
        <v/>
      </c>
      <c r="F44" s="165">
        <f>IF($A44="","",[1]!thsiFinD("ths_adjustment_nv_fund",F$3,$A44))</f>
        <v/>
      </c>
      <c r="G44" s="165">
        <f>IF($A44="","",[1]!thsiFinD("ths_adjustment_nv_fund",G$3,$A44))</f>
        <v/>
      </c>
      <c r="H44" s="165">
        <f>IF($A44="","",[1]!thsiFinD("ths_adjustment_nv_fund",H$3,$A44))</f>
        <v/>
      </c>
      <c r="I44" s="165">
        <f>IF($A44="","",[1]!thsiFinD("ths_adjustment_nv_fund",I$3,$A44))</f>
        <v/>
      </c>
      <c r="J44" s="165">
        <f>IF($A44="","",[1]!thsiFinD("ths_adjustment_nv_fund",J$3,$A44))</f>
        <v/>
      </c>
      <c r="K44" s="165">
        <f>IF($A44="","",[1]!thsiFinD("ths_adjustment_nv_fund",K$3,$A44))</f>
        <v/>
      </c>
      <c r="L44" s="165">
        <f>IF($A44="","",[1]!thsiFinD("ths_adjustment_nv_fund",L$3,$A44))</f>
        <v/>
      </c>
      <c r="M44" s="165">
        <f>IF($A44="","",[1]!thsiFinD("ths_adjustment_nv_fund",M$3,$A44))</f>
        <v/>
      </c>
      <c r="N44" s="165">
        <f>IF($A44="","",[1]!thsiFinD("ths_adjustment_nv_fund",N$3,$A44))</f>
        <v/>
      </c>
    </row>
    <row r="45">
      <c r="A45" s="166" t="n"/>
      <c r="B45" s="165">
        <f>IF($A45="","",[1]!thsiFinD("ths_adjustment_nv_fund",B$3,$A45))</f>
        <v/>
      </c>
      <c r="C45" s="165">
        <f>IF($A45="","",[1]!thsiFinD("ths_adjustment_nv_fund",C$3,$A45))</f>
        <v/>
      </c>
      <c r="D45" s="165">
        <f>IF($A45="","",[1]!thsiFinD("ths_adjustment_nv_fund",D$3,$A45))</f>
        <v/>
      </c>
      <c r="E45" s="165">
        <f>IF($A45="","",[1]!thsiFinD("ths_adjustment_nv_fund",E$3,$A45))</f>
        <v/>
      </c>
      <c r="F45" s="165">
        <f>IF($A45="","",[1]!thsiFinD("ths_adjustment_nv_fund",F$3,$A45))</f>
        <v/>
      </c>
      <c r="G45" s="165">
        <f>IF($A45="","",[1]!thsiFinD("ths_adjustment_nv_fund",G$3,$A45))</f>
        <v/>
      </c>
      <c r="H45" s="165">
        <f>IF($A45="","",[1]!thsiFinD("ths_adjustment_nv_fund",H$3,$A45))</f>
        <v/>
      </c>
      <c r="I45" s="165">
        <f>IF($A45="","",[1]!thsiFinD("ths_adjustment_nv_fund",I$3,$A45))</f>
        <v/>
      </c>
      <c r="J45" s="165">
        <f>IF($A45="","",[1]!thsiFinD("ths_adjustment_nv_fund",J$3,$A45))</f>
        <v/>
      </c>
      <c r="K45" s="165">
        <f>IF($A45="","",[1]!thsiFinD("ths_adjustment_nv_fund",K$3,$A45))</f>
        <v/>
      </c>
      <c r="L45" s="165">
        <f>IF($A45="","",[1]!thsiFinD("ths_adjustment_nv_fund",L$3,$A45))</f>
        <v/>
      </c>
      <c r="M45" s="165">
        <f>IF($A45="","",[1]!thsiFinD("ths_adjustment_nv_fund",M$3,$A45))</f>
        <v/>
      </c>
      <c r="N45" s="165">
        <f>IF($A45="","",[1]!thsiFinD("ths_adjustment_nv_fund",N$3,$A45))</f>
        <v/>
      </c>
    </row>
    <row r="46">
      <c r="A46" s="166" t="n"/>
      <c r="B46" s="165">
        <f>IF($A46="","",[1]!thsiFinD("ths_adjustment_nv_fund",B$3,$A46))</f>
        <v/>
      </c>
      <c r="C46" s="165">
        <f>IF($A46="","",[1]!thsiFinD("ths_adjustment_nv_fund",C$3,$A46))</f>
        <v/>
      </c>
      <c r="D46" s="165">
        <f>IF($A46="","",[1]!thsiFinD("ths_adjustment_nv_fund",D$3,$A46))</f>
        <v/>
      </c>
      <c r="E46" s="165">
        <f>IF($A46="","",[1]!thsiFinD("ths_adjustment_nv_fund",E$3,$A46))</f>
        <v/>
      </c>
      <c r="F46" s="165">
        <f>IF($A46="","",[1]!thsiFinD("ths_adjustment_nv_fund",F$3,$A46))</f>
        <v/>
      </c>
      <c r="G46" s="165">
        <f>IF($A46="","",[1]!thsiFinD("ths_adjustment_nv_fund",G$3,$A46))</f>
        <v/>
      </c>
      <c r="H46" s="165">
        <f>IF($A46="","",[1]!thsiFinD("ths_adjustment_nv_fund",H$3,$A46))</f>
        <v/>
      </c>
      <c r="I46" s="165">
        <f>IF($A46="","",[1]!thsiFinD("ths_adjustment_nv_fund",I$3,$A46))</f>
        <v/>
      </c>
      <c r="J46" s="165">
        <f>IF($A46="","",[1]!thsiFinD("ths_adjustment_nv_fund",J$3,$A46))</f>
        <v/>
      </c>
      <c r="K46" s="165">
        <f>IF($A46="","",[1]!thsiFinD("ths_adjustment_nv_fund",K$3,$A46))</f>
        <v/>
      </c>
      <c r="L46" s="165">
        <f>IF($A46="","",[1]!thsiFinD("ths_adjustment_nv_fund",L$3,$A46))</f>
        <v/>
      </c>
      <c r="M46" s="165">
        <f>IF($A46="","",[1]!thsiFinD("ths_adjustment_nv_fund",M$3,$A46))</f>
        <v/>
      </c>
      <c r="N46" s="165">
        <f>IF($A46="","",[1]!thsiFinD("ths_adjustment_nv_fund",N$3,$A46))</f>
        <v/>
      </c>
    </row>
    <row r="47">
      <c r="A47" s="166" t="n"/>
      <c r="B47" s="165">
        <f>IF($A47="","",[1]!thsiFinD("ths_adjustment_nv_fund",B$3,$A47))</f>
        <v/>
      </c>
      <c r="C47" s="165">
        <f>IF($A47="","",[1]!thsiFinD("ths_adjustment_nv_fund",C$3,$A47))</f>
        <v/>
      </c>
      <c r="D47" s="165">
        <f>IF($A47="","",[1]!thsiFinD("ths_adjustment_nv_fund",D$3,$A47))</f>
        <v/>
      </c>
      <c r="E47" s="165">
        <f>IF($A47="","",[1]!thsiFinD("ths_adjustment_nv_fund",E$3,$A47))</f>
        <v/>
      </c>
      <c r="F47" s="165">
        <f>IF($A47="","",[1]!thsiFinD("ths_adjustment_nv_fund",F$3,$A47))</f>
        <v/>
      </c>
      <c r="G47" s="165">
        <f>IF($A47="","",[1]!thsiFinD("ths_adjustment_nv_fund",G$3,$A47))</f>
        <v/>
      </c>
      <c r="H47" s="165">
        <f>IF($A47="","",[1]!thsiFinD("ths_adjustment_nv_fund",H$3,$A47))</f>
        <v/>
      </c>
      <c r="I47" s="165">
        <f>IF($A47="","",[1]!thsiFinD("ths_adjustment_nv_fund",I$3,$A47))</f>
        <v/>
      </c>
      <c r="J47" s="165">
        <f>IF($A47="","",[1]!thsiFinD("ths_adjustment_nv_fund",J$3,$A47))</f>
        <v/>
      </c>
      <c r="K47" s="165">
        <f>IF($A47="","",[1]!thsiFinD("ths_adjustment_nv_fund",K$3,$A47))</f>
        <v/>
      </c>
      <c r="L47" s="165">
        <f>IF($A47="","",[1]!thsiFinD("ths_adjustment_nv_fund",L$3,$A47))</f>
        <v/>
      </c>
      <c r="M47" s="165">
        <f>IF($A47="","",[1]!thsiFinD("ths_adjustment_nv_fund",M$3,$A47))</f>
        <v/>
      </c>
      <c r="N47" s="165">
        <f>IF($A47="","",[1]!thsiFinD("ths_adjustment_nv_fund",N$3,$A47))</f>
        <v/>
      </c>
    </row>
    <row r="48">
      <c r="A48" s="166" t="n"/>
      <c r="B48" s="165">
        <f>IF($A48="","",[1]!thsiFinD("ths_adjustment_nv_fund",B$3,$A48))</f>
        <v/>
      </c>
      <c r="C48" s="165">
        <f>IF($A48="","",[1]!thsiFinD("ths_adjustment_nv_fund",C$3,$A48))</f>
        <v/>
      </c>
      <c r="D48" s="165">
        <f>IF($A48="","",[1]!thsiFinD("ths_adjustment_nv_fund",D$3,$A48))</f>
        <v/>
      </c>
      <c r="E48" s="165">
        <f>IF($A48="","",[1]!thsiFinD("ths_adjustment_nv_fund",E$3,$A48))</f>
        <v/>
      </c>
      <c r="F48" s="165">
        <f>IF($A48="","",[1]!thsiFinD("ths_adjustment_nv_fund",F$3,$A48))</f>
        <v/>
      </c>
      <c r="G48" s="165">
        <f>IF($A48="","",[1]!thsiFinD("ths_adjustment_nv_fund",G$3,$A48))</f>
        <v/>
      </c>
      <c r="H48" s="165">
        <f>IF($A48="","",[1]!thsiFinD("ths_adjustment_nv_fund",H$3,$A48))</f>
        <v/>
      </c>
      <c r="I48" s="165">
        <f>IF($A48="","",[1]!thsiFinD("ths_adjustment_nv_fund",I$3,$A48))</f>
        <v/>
      </c>
      <c r="J48" s="165">
        <f>IF($A48="","",[1]!thsiFinD("ths_adjustment_nv_fund",J$3,$A48))</f>
        <v/>
      </c>
      <c r="K48" s="165">
        <f>IF($A48="","",[1]!thsiFinD("ths_adjustment_nv_fund",K$3,$A48))</f>
        <v/>
      </c>
      <c r="L48" s="165">
        <f>IF($A48="","",[1]!thsiFinD("ths_adjustment_nv_fund",L$3,$A48))</f>
        <v/>
      </c>
      <c r="M48" s="165">
        <f>IF($A48="","",[1]!thsiFinD("ths_adjustment_nv_fund",M$3,$A48))</f>
        <v/>
      </c>
      <c r="N48" s="165">
        <f>IF($A48="","",[1]!thsiFinD("ths_adjustment_nv_fund",N$3,$A48))</f>
        <v/>
      </c>
    </row>
    <row r="49">
      <c r="A49" s="166" t="n"/>
      <c r="B49" s="165">
        <f>IF($A49="","",[1]!thsiFinD("ths_adjustment_nv_fund",B$3,$A49))</f>
        <v/>
      </c>
      <c r="C49" s="165">
        <f>IF($A49="","",[1]!thsiFinD("ths_adjustment_nv_fund",C$3,$A49))</f>
        <v/>
      </c>
      <c r="D49" s="165">
        <f>IF($A49="","",[1]!thsiFinD("ths_adjustment_nv_fund",D$3,$A49))</f>
        <v/>
      </c>
      <c r="E49" s="165">
        <f>IF($A49="","",[1]!thsiFinD("ths_adjustment_nv_fund",E$3,$A49))</f>
        <v/>
      </c>
      <c r="F49" s="165">
        <f>IF($A49="","",[1]!thsiFinD("ths_adjustment_nv_fund",F$3,$A49))</f>
        <v/>
      </c>
      <c r="G49" s="165">
        <f>IF($A49="","",[1]!thsiFinD("ths_adjustment_nv_fund",G$3,$A49))</f>
        <v/>
      </c>
      <c r="H49" s="165">
        <f>IF($A49="","",[1]!thsiFinD("ths_adjustment_nv_fund",H$3,$A49))</f>
        <v/>
      </c>
      <c r="I49" s="165">
        <f>IF($A49="","",[1]!thsiFinD("ths_adjustment_nv_fund",I$3,$A49))</f>
        <v/>
      </c>
      <c r="J49" s="165">
        <f>IF($A49="","",[1]!thsiFinD("ths_adjustment_nv_fund",J$3,$A49))</f>
        <v/>
      </c>
      <c r="K49" s="165">
        <f>IF($A49="","",[1]!thsiFinD("ths_adjustment_nv_fund",K$3,$A49))</f>
        <v/>
      </c>
      <c r="L49" s="165">
        <f>IF($A49="","",[1]!thsiFinD("ths_adjustment_nv_fund",L$3,$A49))</f>
        <v/>
      </c>
      <c r="M49" s="165">
        <f>IF($A49="","",[1]!thsiFinD("ths_adjustment_nv_fund",M$3,$A49))</f>
        <v/>
      </c>
      <c r="N49" s="165">
        <f>IF($A49="","",[1]!thsiFinD("ths_adjustment_nv_fund",N$3,$A49))</f>
        <v/>
      </c>
    </row>
    <row r="50">
      <c r="A50" s="166" t="n"/>
      <c r="B50" s="165">
        <f>IF($A50="","",[1]!thsiFinD("ths_adjustment_nv_fund",B$3,$A50))</f>
        <v/>
      </c>
      <c r="C50" s="165">
        <f>IF($A50="","",[1]!thsiFinD("ths_adjustment_nv_fund",C$3,$A50))</f>
        <v/>
      </c>
      <c r="D50" s="165">
        <f>IF($A50="","",[1]!thsiFinD("ths_adjustment_nv_fund",D$3,$A50))</f>
        <v/>
      </c>
      <c r="E50" s="165">
        <f>IF($A50="","",[1]!thsiFinD("ths_adjustment_nv_fund",E$3,$A50))</f>
        <v/>
      </c>
      <c r="F50" s="165">
        <f>IF($A50="","",[1]!thsiFinD("ths_adjustment_nv_fund",F$3,$A50))</f>
        <v/>
      </c>
      <c r="G50" s="165">
        <f>IF($A50="","",[1]!thsiFinD("ths_adjustment_nv_fund",G$3,$A50))</f>
        <v/>
      </c>
      <c r="H50" s="165">
        <f>IF($A50="","",[1]!thsiFinD("ths_adjustment_nv_fund",H$3,$A50))</f>
        <v/>
      </c>
      <c r="I50" s="165">
        <f>IF($A50="","",[1]!thsiFinD("ths_adjustment_nv_fund",I$3,$A50))</f>
        <v/>
      </c>
      <c r="J50" s="165">
        <f>IF($A50="","",[1]!thsiFinD("ths_adjustment_nv_fund",J$3,$A50))</f>
        <v/>
      </c>
      <c r="K50" s="165">
        <f>IF($A50="","",[1]!thsiFinD("ths_adjustment_nv_fund",K$3,$A50))</f>
        <v/>
      </c>
      <c r="L50" s="165">
        <f>IF($A50="","",[1]!thsiFinD("ths_adjustment_nv_fund",L$3,$A50))</f>
        <v/>
      </c>
      <c r="M50" s="165">
        <f>IF($A50="","",[1]!thsiFinD("ths_adjustment_nv_fund",M$3,$A50))</f>
        <v/>
      </c>
      <c r="N50" s="165">
        <f>IF($A50="","",[1]!thsiFinD("ths_adjustment_nv_fund",N$3,$A50))</f>
        <v/>
      </c>
    </row>
    <row r="51">
      <c r="A51" s="166" t="n"/>
      <c r="B51" s="165">
        <f>IF($A51="","",[1]!thsiFinD("ths_adjustment_nv_fund",B$3,$A51))</f>
        <v/>
      </c>
      <c r="C51" s="165">
        <f>IF($A51="","",[1]!thsiFinD("ths_adjustment_nv_fund",C$3,$A51))</f>
        <v/>
      </c>
      <c r="D51" s="165">
        <f>IF($A51="","",[1]!thsiFinD("ths_adjustment_nv_fund",D$3,$A51))</f>
        <v/>
      </c>
      <c r="E51" s="165">
        <f>IF($A51="","",[1]!thsiFinD("ths_adjustment_nv_fund",E$3,$A51))</f>
        <v/>
      </c>
      <c r="F51" s="165">
        <f>IF($A51="","",[1]!thsiFinD("ths_adjustment_nv_fund",F$3,$A51))</f>
        <v/>
      </c>
      <c r="G51" s="165">
        <f>IF($A51="","",[1]!thsiFinD("ths_adjustment_nv_fund",G$3,$A51))</f>
        <v/>
      </c>
      <c r="H51" s="165">
        <f>IF($A51="","",[1]!thsiFinD("ths_adjustment_nv_fund",H$3,$A51))</f>
        <v/>
      </c>
      <c r="I51" s="165">
        <f>IF($A51="","",[1]!thsiFinD("ths_adjustment_nv_fund",I$3,$A51))</f>
        <v/>
      </c>
      <c r="J51" s="165">
        <f>IF($A51="","",[1]!thsiFinD("ths_adjustment_nv_fund",J$3,$A51))</f>
        <v/>
      </c>
      <c r="K51" s="165">
        <f>IF($A51="","",[1]!thsiFinD("ths_adjustment_nv_fund",K$3,$A51))</f>
        <v/>
      </c>
      <c r="L51" s="165">
        <f>IF($A51="","",[1]!thsiFinD("ths_adjustment_nv_fund",L$3,$A51))</f>
        <v/>
      </c>
      <c r="M51" s="165">
        <f>IF($A51="","",[1]!thsiFinD("ths_adjustment_nv_fund",M$3,$A51))</f>
        <v/>
      </c>
      <c r="N51" s="165">
        <f>IF($A51="","",[1]!thsiFinD("ths_adjustment_nv_fund",N$3,$A51))</f>
        <v/>
      </c>
    </row>
    <row r="52">
      <c r="A52" s="166" t="n"/>
      <c r="B52" s="165">
        <f>IF($A52="","",[1]!thsiFinD("ths_adjustment_nv_fund",B$3,$A52))</f>
        <v/>
      </c>
      <c r="C52" s="165">
        <f>IF($A52="","",[1]!thsiFinD("ths_adjustment_nv_fund",C$3,$A52))</f>
        <v/>
      </c>
      <c r="D52" s="165">
        <f>IF($A52="","",[1]!thsiFinD("ths_adjustment_nv_fund",D$3,$A52))</f>
        <v/>
      </c>
      <c r="E52" s="165">
        <f>IF($A52="","",[1]!thsiFinD("ths_adjustment_nv_fund",E$3,$A52))</f>
        <v/>
      </c>
      <c r="F52" s="165">
        <f>IF($A52="","",[1]!thsiFinD("ths_adjustment_nv_fund",F$3,$A52))</f>
        <v/>
      </c>
      <c r="G52" s="165">
        <f>IF($A52="","",[1]!thsiFinD("ths_adjustment_nv_fund",G$3,$A52))</f>
        <v/>
      </c>
      <c r="H52" s="165">
        <f>IF($A52="","",[1]!thsiFinD("ths_adjustment_nv_fund",H$3,$A52))</f>
        <v/>
      </c>
      <c r="I52" s="165">
        <f>IF($A52="","",[1]!thsiFinD("ths_adjustment_nv_fund",I$3,$A52))</f>
        <v/>
      </c>
      <c r="J52" s="165">
        <f>IF($A52="","",[1]!thsiFinD("ths_adjustment_nv_fund",J$3,$A52))</f>
        <v/>
      </c>
      <c r="K52" s="165">
        <f>IF($A52="","",[1]!thsiFinD("ths_adjustment_nv_fund",K$3,$A52))</f>
        <v/>
      </c>
      <c r="L52" s="165">
        <f>IF($A52="","",[1]!thsiFinD("ths_adjustment_nv_fund",L$3,$A52))</f>
        <v/>
      </c>
      <c r="M52" s="165">
        <f>IF($A52="","",[1]!thsiFinD("ths_adjustment_nv_fund",M$3,$A52))</f>
        <v/>
      </c>
      <c r="N52" s="165">
        <f>IF($A52="","",[1]!thsiFinD("ths_adjustment_nv_fund",N$3,$A52))</f>
        <v/>
      </c>
    </row>
    <row r="53">
      <c r="A53" s="166" t="n"/>
      <c r="B53" s="165">
        <f>IF($A53="","",[1]!thsiFinD("ths_adjustment_nv_fund",B$3,$A53))</f>
        <v/>
      </c>
      <c r="C53" s="165">
        <f>IF($A53="","",[1]!thsiFinD("ths_adjustment_nv_fund",C$3,$A53))</f>
        <v/>
      </c>
      <c r="D53" s="165">
        <f>IF($A53="","",[1]!thsiFinD("ths_adjustment_nv_fund",D$3,$A53))</f>
        <v/>
      </c>
      <c r="E53" s="165">
        <f>IF($A53="","",[1]!thsiFinD("ths_adjustment_nv_fund",E$3,$A53))</f>
        <v/>
      </c>
      <c r="F53" s="165">
        <f>IF($A53="","",[1]!thsiFinD("ths_adjustment_nv_fund",F$3,$A53))</f>
        <v/>
      </c>
      <c r="G53" s="165">
        <f>IF($A53="","",[1]!thsiFinD("ths_adjustment_nv_fund",G$3,$A53))</f>
        <v/>
      </c>
      <c r="H53" s="165">
        <f>IF($A53="","",[1]!thsiFinD("ths_adjustment_nv_fund",H$3,$A53))</f>
        <v/>
      </c>
      <c r="I53" s="165">
        <f>IF($A53="","",[1]!thsiFinD("ths_adjustment_nv_fund",I$3,$A53))</f>
        <v/>
      </c>
      <c r="J53" s="165">
        <f>IF($A53="","",[1]!thsiFinD("ths_adjustment_nv_fund",J$3,$A53))</f>
        <v/>
      </c>
      <c r="K53" s="165">
        <f>IF($A53="","",[1]!thsiFinD("ths_adjustment_nv_fund",K$3,$A53))</f>
        <v/>
      </c>
      <c r="L53" s="165">
        <f>IF($A53="","",[1]!thsiFinD("ths_adjustment_nv_fund",L$3,$A53))</f>
        <v/>
      </c>
      <c r="M53" s="165">
        <f>IF($A53="","",[1]!thsiFinD("ths_adjustment_nv_fund",M$3,$A53))</f>
        <v/>
      </c>
      <c r="N53" s="165">
        <f>IF($A53="","",[1]!thsiFinD("ths_adjustment_nv_fund",N$3,$A53))</f>
        <v/>
      </c>
    </row>
    <row r="54">
      <c r="A54" s="166" t="n"/>
      <c r="B54" s="165">
        <f>IF($A54="","",[1]!thsiFinD("ths_adjustment_nv_fund",B$3,$A54))</f>
        <v/>
      </c>
      <c r="C54" s="165">
        <f>IF($A54="","",[1]!thsiFinD("ths_adjustment_nv_fund",C$3,$A54))</f>
        <v/>
      </c>
      <c r="D54" s="165">
        <f>IF($A54="","",[1]!thsiFinD("ths_adjustment_nv_fund",D$3,$A54))</f>
        <v/>
      </c>
      <c r="E54" s="165">
        <f>IF($A54="","",[1]!thsiFinD("ths_adjustment_nv_fund",E$3,$A54))</f>
        <v/>
      </c>
      <c r="F54" s="165">
        <f>IF($A54="","",[1]!thsiFinD("ths_adjustment_nv_fund",F$3,$A54))</f>
        <v/>
      </c>
      <c r="G54" s="165">
        <f>IF($A54="","",[1]!thsiFinD("ths_adjustment_nv_fund",G$3,$A54))</f>
        <v/>
      </c>
      <c r="H54" s="165">
        <f>IF($A54="","",[1]!thsiFinD("ths_adjustment_nv_fund",H$3,$A54))</f>
        <v/>
      </c>
      <c r="I54" s="165">
        <f>IF($A54="","",[1]!thsiFinD("ths_adjustment_nv_fund",I$3,$A54))</f>
        <v/>
      </c>
      <c r="J54" s="165">
        <f>IF($A54="","",[1]!thsiFinD("ths_adjustment_nv_fund",J$3,$A54))</f>
        <v/>
      </c>
      <c r="K54" s="165">
        <f>IF($A54="","",[1]!thsiFinD("ths_adjustment_nv_fund",K$3,$A54))</f>
        <v/>
      </c>
      <c r="L54" s="165">
        <f>IF($A54="","",[1]!thsiFinD("ths_adjustment_nv_fund",L$3,$A54))</f>
        <v/>
      </c>
      <c r="M54" s="165">
        <f>IF($A54="","",[1]!thsiFinD("ths_adjustment_nv_fund",M$3,$A54))</f>
        <v/>
      </c>
      <c r="N54" s="165">
        <f>IF($A54="","",[1]!thsiFinD("ths_adjustment_nv_fund",N$3,$A54))</f>
        <v/>
      </c>
    </row>
    <row r="55">
      <c r="A55" s="166" t="n"/>
      <c r="B55" s="165">
        <f>IF($A55="","",[1]!thsiFinD("ths_adjustment_nv_fund",B$3,$A55))</f>
        <v/>
      </c>
      <c r="C55" s="165">
        <f>IF($A55="","",[1]!thsiFinD("ths_adjustment_nv_fund",C$3,$A55))</f>
        <v/>
      </c>
      <c r="D55" s="165">
        <f>IF($A55="","",[1]!thsiFinD("ths_adjustment_nv_fund",D$3,$A55))</f>
        <v/>
      </c>
      <c r="E55" s="165">
        <f>IF($A55="","",[1]!thsiFinD("ths_adjustment_nv_fund",E$3,$A55))</f>
        <v/>
      </c>
      <c r="F55" s="165">
        <f>IF($A55="","",[1]!thsiFinD("ths_adjustment_nv_fund",F$3,$A55))</f>
        <v/>
      </c>
      <c r="G55" s="165">
        <f>IF($A55="","",[1]!thsiFinD("ths_adjustment_nv_fund",G$3,$A55))</f>
        <v/>
      </c>
      <c r="H55" s="165">
        <f>IF($A55="","",[1]!thsiFinD("ths_adjustment_nv_fund",H$3,$A55))</f>
        <v/>
      </c>
      <c r="I55" s="165">
        <f>IF($A55="","",[1]!thsiFinD("ths_adjustment_nv_fund",I$3,$A55))</f>
        <v/>
      </c>
      <c r="J55" s="165">
        <f>IF($A55="","",[1]!thsiFinD("ths_adjustment_nv_fund",J$3,$A55))</f>
        <v/>
      </c>
      <c r="K55" s="165">
        <f>IF($A55="","",[1]!thsiFinD("ths_adjustment_nv_fund",K$3,$A55))</f>
        <v/>
      </c>
      <c r="L55" s="165">
        <f>IF($A55="","",[1]!thsiFinD("ths_adjustment_nv_fund",L$3,$A55))</f>
        <v/>
      </c>
      <c r="M55" s="165">
        <f>IF($A55="","",[1]!thsiFinD("ths_adjustment_nv_fund",M$3,$A55))</f>
        <v/>
      </c>
      <c r="N55" s="165">
        <f>IF($A55="","",[1]!thsiFinD("ths_adjustment_nv_fund",N$3,$A55))</f>
        <v/>
      </c>
    </row>
    <row r="56">
      <c r="A56" s="166" t="n"/>
      <c r="B56" s="165">
        <f>IF($A56="","",[1]!thsiFinD("ths_adjustment_nv_fund",B$3,$A56))</f>
        <v/>
      </c>
      <c r="C56" s="165">
        <f>IF($A56="","",[1]!thsiFinD("ths_adjustment_nv_fund",C$3,$A56))</f>
        <v/>
      </c>
      <c r="D56" s="165">
        <f>IF($A56="","",[1]!thsiFinD("ths_adjustment_nv_fund",D$3,$A56))</f>
        <v/>
      </c>
      <c r="E56" s="165">
        <f>IF($A56="","",[1]!thsiFinD("ths_adjustment_nv_fund",E$3,$A56))</f>
        <v/>
      </c>
      <c r="F56" s="165">
        <f>IF($A56="","",[1]!thsiFinD("ths_adjustment_nv_fund",F$3,$A56))</f>
        <v/>
      </c>
      <c r="G56" s="165">
        <f>IF($A56="","",[1]!thsiFinD("ths_adjustment_nv_fund",G$3,$A56))</f>
        <v/>
      </c>
      <c r="H56" s="165">
        <f>IF($A56="","",[1]!thsiFinD("ths_adjustment_nv_fund",H$3,$A56))</f>
        <v/>
      </c>
      <c r="I56" s="165">
        <f>IF($A56="","",[1]!thsiFinD("ths_adjustment_nv_fund",I$3,$A56))</f>
        <v/>
      </c>
      <c r="J56" s="165">
        <f>IF($A56="","",[1]!thsiFinD("ths_adjustment_nv_fund",J$3,$A56))</f>
        <v/>
      </c>
      <c r="K56" s="165">
        <f>IF($A56="","",[1]!thsiFinD("ths_adjustment_nv_fund",K$3,$A56))</f>
        <v/>
      </c>
      <c r="L56" s="165">
        <f>IF($A56="","",[1]!thsiFinD("ths_adjustment_nv_fund",L$3,$A56))</f>
        <v/>
      </c>
      <c r="M56" s="165">
        <f>IF($A56="","",[1]!thsiFinD("ths_adjustment_nv_fund",M$3,$A56))</f>
        <v/>
      </c>
      <c r="N56" s="165">
        <f>IF($A56="","",[1]!thsiFinD("ths_adjustment_nv_fund",N$3,$A56))</f>
        <v/>
      </c>
    </row>
    <row r="57">
      <c r="A57" s="166" t="n"/>
      <c r="B57" s="165">
        <f>IF($A57="","",[1]!thsiFinD("ths_adjustment_nv_fund",B$3,$A57))</f>
        <v/>
      </c>
      <c r="C57" s="165">
        <f>IF($A57="","",[1]!thsiFinD("ths_adjustment_nv_fund",C$3,$A57))</f>
        <v/>
      </c>
      <c r="D57" s="165">
        <f>IF($A57="","",[1]!thsiFinD("ths_adjustment_nv_fund",D$3,$A57))</f>
        <v/>
      </c>
      <c r="E57" s="165">
        <f>IF($A57="","",[1]!thsiFinD("ths_adjustment_nv_fund",E$3,$A57))</f>
        <v/>
      </c>
      <c r="F57" s="165">
        <f>IF($A57="","",[1]!thsiFinD("ths_adjustment_nv_fund",F$3,$A57))</f>
        <v/>
      </c>
      <c r="G57" s="165">
        <f>IF($A57="","",[1]!thsiFinD("ths_adjustment_nv_fund",G$3,$A57))</f>
        <v/>
      </c>
      <c r="H57" s="165">
        <f>IF($A57="","",[1]!thsiFinD("ths_adjustment_nv_fund",H$3,$A57))</f>
        <v/>
      </c>
      <c r="I57" s="165">
        <f>IF($A57="","",[1]!thsiFinD("ths_adjustment_nv_fund",I$3,$A57))</f>
        <v/>
      </c>
      <c r="J57" s="165">
        <f>IF($A57="","",[1]!thsiFinD("ths_adjustment_nv_fund",J$3,$A57))</f>
        <v/>
      </c>
      <c r="K57" s="165">
        <f>IF($A57="","",[1]!thsiFinD("ths_adjustment_nv_fund",K$3,$A57))</f>
        <v/>
      </c>
      <c r="L57" s="165">
        <f>IF($A57="","",[1]!thsiFinD("ths_adjustment_nv_fund",L$3,$A57))</f>
        <v/>
      </c>
      <c r="M57" s="165">
        <f>IF($A57="","",[1]!thsiFinD("ths_adjustment_nv_fund",M$3,$A57))</f>
        <v/>
      </c>
      <c r="N57" s="165">
        <f>IF($A57="","",[1]!thsiFinD("ths_adjustment_nv_fund",N$3,$A57))</f>
        <v/>
      </c>
    </row>
    <row r="58">
      <c r="A58" s="166" t="n"/>
      <c r="B58" s="165">
        <f>IF($A58="","",[1]!thsiFinD("ths_adjustment_nv_fund",B$3,$A58))</f>
        <v/>
      </c>
      <c r="C58" s="165">
        <f>IF($A58="","",[1]!thsiFinD("ths_adjustment_nv_fund",C$3,$A58))</f>
        <v/>
      </c>
      <c r="D58" s="165">
        <f>IF($A58="","",[1]!thsiFinD("ths_adjustment_nv_fund",D$3,$A58))</f>
        <v/>
      </c>
      <c r="E58" s="165">
        <f>IF($A58="","",[1]!thsiFinD("ths_adjustment_nv_fund",E$3,$A58))</f>
        <v/>
      </c>
      <c r="F58" s="165">
        <f>IF($A58="","",[1]!thsiFinD("ths_adjustment_nv_fund",F$3,$A58))</f>
        <v/>
      </c>
      <c r="G58" s="165">
        <f>IF($A58="","",[1]!thsiFinD("ths_adjustment_nv_fund",G$3,$A58))</f>
        <v/>
      </c>
      <c r="H58" s="165">
        <f>IF($A58="","",[1]!thsiFinD("ths_adjustment_nv_fund",H$3,$A58))</f>
        <v/>
      </c>
      <c r="I58" s="165">
        <f>IF($A58="","",[1]!thsiFinD("ths_adjustment_nv_fund",I$3,$A58))</f>
        <v/>
      </c>
      <c r="J58" s="165">
        <f>IF($A58="","",[1]!thsiFinD("ths_adjustment_nv_fund",J$3,$A58))</f>
        <v/>
      </c>
      <c r="K58" s="165">
        <f>IF($A58="","",[1]!thsiFinD("ths_adjustment_nv_fund",K$3,$A58))</f>
        <v/>
      </c>
      <c r="L58" s="165">
        <f>IF($A58="","",[1]!thsiFinD("ths_adjustment_nv_fund",L$3,$A58))</f>
        <v/>
      </c>
      <c r="M58" s="165">
        <f>IF($A58="","",[1]!thsiFinD("ths_adjustment_nv_fund",M$3,$A58))</f>
        <v/>
      </c>
      <c r="N58" s="165">
        <f>IF($A58="","",[1]!thsiFinD("ths_adjustment_nv_fund",N$3,$A58))</f>
        <v/>
      </c>
    </row>
    <row r="59">
      <c r="A59" s="166" t="n"/>
      <c r="B59" s="165">
        <f>IF($A59="","",[1]!thsiFinD("ths_adjustment_nv_fund",B$3,$A59))</f>
        <v/>
      </c>
      <c r="C59" s="165">
        <f>IF($A59="","",[1]!thsiFinD("ths_adjustment_nv_fund",C$3,$A59))</f>
        <v/>
      </c>
      <c r="D59" s="165">
        <f>IF($A59="","",[1]!thsiFinD("ths_adjustment_nv_fund",D$3,$A59))</f>
        <v/>
      </c>
      <c r="E59" s="165">
        <f>IF($A59="","",[1]!thsiFinD("ths_adjustment_nv_fund",E$3,$A59))</f>
        <v/>
      </c>
      <c r="F59" s="165">
        <f>IF($A59="","",[1]!thsiFinD("ths_adjustment_nv_fund",F$3,$A59))</f>
        <v/>
      </c>
      <c r="G59" s="165">
        <f>IF($A59="","",[1]!thsiFinD("ths_adjustment_nv_fund",G$3,$A59))</f>
        <v/>
      </c>
      <c r="H59" s="165">
        <f>IF($A59="","",[1]!thsiFinD("ths_adjustment_nv_fund",H$3,$A59))</f>
        <v/>
      </c>
      <c r="I59" s="165">
        <f>IF($A59="","",[1]!thsiFinD("ths_adjustment_nv_fund",I$3,$A59))</f>
        <v/>
      </c>
      <c r="J59" s="165">
        <f>IF($A59="","",[1]!thsiFinD("ths_adjustment_nv_fund",J$3,$A59))</f>
        <v/>
      </c>
      <c r="K59" s="165">
        <f>IF($A59="","",[1]!thsiFinD("ths_adjustment_nv_fund",K$3,$A59))</f>
        <v/>
      </c>
      <c r="L59" s="165">
        <f>IF($A59="","",[1]!thsiFinD("ths_adjustment_nv_fund",L$3,$A59))</f>
        <v/>
      </c>
      <c r="M59" s="165">
        <f>IF($A59="","",[1]!thsiFinD("ths_adjustment_nv_fund",M$3,$A59))</f>
        <v/>
      </c>
      <c r="N59" s="165">
        <f>IF($A59="","",[1]!thsiFinD("ths_adjustment_nv_fund",N$3,$A59))</f>
        <v/>
      </c>
    </row>
    <row r="60">
      <c r="A60" s="167" t="n"/>
    </row>
    <row r="61" ht="14.5" customHeight="1" s="136">
      <c r="A61" s="168" t="n"/>
    </row>
    <row r="62">
      <c r="A62" s="167" t="n"/>
    </row>
    <row r="63">
      <c r="A63" s="167" t="n"/>
    </row>
    <row r="64">
      <c r="A64" s="167" t="n"/>
    </row>
    <row r="65">
      <c r="A65" s="167" t="n"/>
    </row>
    <row r="66">
      <c r="A66" s="167" t="n"/>
    </row>
    <row r="67">
      <c r="A67" s="167" t="n"/>
    </row>
    <row r="68">
      <c r="A68" s="167" t="n"/>
    </row>
    <row r="69">
      <c r="A69" s="167" t="n"/>
    </row>
    <row r="70">
      <c r="A70" s="167" t="n"/>
    </row>
    <row r="71">
      <c r="A71" s="167" t="n"/>
    </row>
    <row r="72">
      <c r="A72" s="167" t="n"/>
    </row>
    <row r="73">
      <c r="A73" s="167" t="n"/>
    </row>
    <row r="74">
      <c r="A74" s="167" t="n"/>
    </row>
    <row r="75">
      <c r="A75" s="167" t="n"/>
    </row>
    <row r="76">
      <c r="A76" s="167" t="n"/>
    </row>
    <row r="77">
      <c r="A77" s="167" t="n"/>
    </row>
    <row r="78">
      <c r="A78" s="167" t="n"/>
    </row>
    <row r="79">
      <c r="A79" s="167" t="n"/>
    </row>
    <row r="80">
      <c r="A80" s="167" t="n"/>
    </row>
    <row r="81">
      <c r="A81" s="167" t="n"/>
    </row>
    <row r="82">
      <c r="A82" s="167" t="n"/>
    </row>
    <row r="83">
      <c r="A83" s="167" t="n"/>
    </row>
    <row r="84">
      <c r="A84" s="167" t="n"/>
    </row>
    <row r="85">
      <c r="A85" s="167" t="n"/>
    </row>
    <row r="86">
      <c r="A86" s="167" t="n"/>
    </row>
    <row r="87">
      <c r="A87" s="167" t="n"/>
    </row>
    <row r="88">
      <c r="A88" s="167" t="n"/>
    </row>
    <row r="89">
      <c r="A89" s="167" t="n"/>
    </row>
    <row r="90">
      <c r="A90" s="167" t="n"/>
    </row>
    <row r="91">
      <c r="A91" s="167" t="n"/>
    </row>
    <row r="92">
      <c r="A92" s="167" t="n"/>
    </row>
    <row r="93">
      <c r="A93" s="167" t="n"/>
    </row>
    <row r="94">
      <c r="A94" s="167" t="n"/>
    </row>
    <row r="95">
      <c r="A95" s="167" t="n"/>
    </row>
    <row r="96">
      <c r="A96" s="167" t="n"/>
    </row>
    <row r="97">
      <c r="A97" s="167" t="n"/>
    </row>
    <row r="98">
      <c r="A98" s="167" t="n"/>
    </row>
    <row r="99">
      <c r="A99" s="167" t="n"/>
    </row>
    <row r="100">
      <c r="A100" s="167" t="n"/>
    </row>
    <row r="101">
      <c r="A101" s="167" t="n"/>
    </row>
    <row r="102">
      <c r="A102" s="167" t="n"/>
    </row>
    <row r="103">
      <c r="A103" s="167" t="n"/>
    </row>
    <row r="104">
      <c r="A104" s="167" t="n"/>
    </row>
    <row r="105">
      <c r="A105" s="167" t="n"/>
    </row>
    <row r="106">
      <c r="A106" s="167" t="n"/>
    </row>
    <row r="107">
      <c r="A107" s="167" t="n"/>
    </row>
    <row r="108">
      <c r="A108" s="167" t="n"/>
    </row>
    <row r="109">
      <c r="A109" s="167" t="n"/>
    </row>
    <row r="110">
      <c r="A110" s="167" t="n"/>
    </row>
    <row r="111">
      <c r="A111" s="167" t="n"/>
    </row>
    <row r="112">
      <c r="A112" s="167" t="n"/>
    </row>
    <row r="113">
      <c r="A113" s="167" t="n"/>
    </row>
    <row r="114">
      <c r="A114" s="167" t="n"/>
    </row>
    <row r="115">
      <c r="A115" s="167" t="n"/>
    </row>
    <row r="116">
      <c r="A116" s="167" t="n"/>
    </row>
    <row r="117">
      <c r="A117" s="167" t="n"/>
    </row>
    <row r="118">
      <c r="A118" s="167" t="n"/>
    </row>
    <row r="119">
      <c r="A119" s="167" t="n"/>
    </row>
    <row r="120">
      <c r="A120" s="167" t="n"/>
    </row>
    <row r="121">
      <c r="A121" s="167" t="n"/>
    </row>
    <row r="122">
      <c r="A122" s="167" t="n"/>
    </row>
    <row r="123">
      <c r="A123" s="167" t="n"/>
    </row>
    <row r="124">
      <c r="A124" s="167" t="n"/>
    </row>
    <row r="125">
      <c r="A125" s="167" t="n"/>
    </row>
    <row r="126">
      <c r="A126" s="167" t="n"/>
    </row>
    <row r="127">
      <c r="A127" s="167" t="n"/>
    </row>
    <row r="128">
      <c r="A128" s="167" t="n"/>
    </row>
    <row r="129">
      <c r="A129" s="167" t="n"/>
    </row>
    <row r="130">
      <c r="A130" s="167" t="n"/>
    </row>
    <row r="131">
      <c r="A131" s="167" t="n"/>
    </row>
    <row r="132">
      <c r="A132" s="167" t="n"/>
    </row>
    <row r="133">
      <c r="A133" s="167" t="n"/>
    </row>
    <row r="134">
      <c r="A134" s="167" t="n"/>
    </row>
    <row r="135">
      <c r="A135" s="167" t="n"/>
    </row>
    <row r="136">
      <c r="A136" s="167" t="n"/>
    </row>
    <row r="137">
      <c r="A137" s="167" t="n"/>
    </row>
    <row r="138">
      <c r="A138" s="167" t="n"/>
    </row>
    <row r="139">
      <c r="A139" s="167" t="n"/>
    </row>
    <row r="140">
      <c r="A140" s="167" t="n"/>
    </row>
    <row r="141">
      <c r="A141" s="167" t="n"/>
    </row>
    <row r="142">
      <c r="A142" s="167" t="n"/>
    </row>
    <row r="143">
      <c r="A143" s="167" t="n"/>
    </row>
    <row r="144">
      <c r="A144" s="167" t="n"/>
    </row>
    <row r="145">
      <c r="A145" s="167" t="n"/>
    </row>
    <row r="146">
      <c r="A146" s="167" t="n"/>
    </row>
    <row r="147">
      <c r="A147" s="167" t="n"/>
    </row>
    <row r="148">
      <c r="A148" s="167" t="n"/>
    </row>
    <row r="149">
      <c r="A149" s="167" t="n"/>
    </row>
    <row r="150">
      <c r="A150" s="167" t="n"/>
    </row>
    <row r="151">
      <c r="A151" s="167" t="n"/>
    </row>
  </sheetData>
  <mergeCells count="1">
    <mergeCell ref="A1:K1"/>
  </mergeCell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2"/>
  <sheetViews>
    <sheetView showGridLines="0" workbookViewId="0">
      <selection activeCell="K30" sqref="K30"/>
    </sheetView>
  </sheetViews>
  <sheetFormatPr baseColWidth="8" defaultRowHeight="14"/>
  <cols>
    <col width="13" customWidth="1" style="136" min="1" max="1"/>
    <col width="12" customWidth="1" style="136" min="2" max="13"/>
  </cols>
  <sheetData>
    <row r="1" ht="19" customHeight="1" s="136">
      <c r="A1" s="135" t="inlineStr">
        <is>
          <t>组合净值 · 买入持有逐日计算</t>
        </is>
      </c>
    </row>
    <row r="4">
      <c r="B4" s="137" t="inlineStr">
        <is>
          <t>组合 10-90</t>
        </is>
      </c>
      <c r="C4" s="138" t="n"/>
      <c r="D4" s="139" t="n"/>
      <c r="E4" s="137" t="inlineStr">
        <is>
          <t>组合 20-80</t>
        </is>
      </c>
      <c r="F4" s="138" t="n"/>
      <c r="G4" s="139" t="n"/>
      <c r="H4" s="137" t="inlineStr">
        <is>
          <t>组合 30-70</t>
        </is>
      </c>
      <c r="I4" s="138" t="n"/>
      <c r="J4" s="139" t="n"/>
      <c r="K4" s="137" t="inlineStr">
        <is>
          <t>组合 增值</t>
        </is>
      </c>
      <c r="L4" s="138" t="n"/>
      <c r="M4" s="139" t="n"/>
    </row>
    <row r="5">
      <c r="A5" s="27" t="inlineStr">
        <is>
          <t>日期</t>
        </is>
      </c>
      <c r="B5" s="27" t="inlineStr">
        <is>
          <t>净值</t>
        </is>
      </c>
      <c r="C5" s="27" t="inlineStr">
        <is>
          <t>日收益</t>
        </is>
      </c>
      <c r="D5" s="27" t="inlineStr">
        <is>
          <t>回撤</t>
        </is>
      </c>
      <c r="E5" s="27" t="inlineStr">
        <is>
          <t>净值</t>
        </is>
      </c>
      <c r="F5" s="27" t="inlineStr">
        <is>
          <t>日收益</t>
        </is>
      </c>
      <c r="G5" s="27" t="inlineStr">
        <is>
          <t>回撤</t>
        </is>
      </c>
      <c r="H5" s="27" t="inlineStr">
        <is>
          <t>净值</t>
        </is>
      </c>
      <c r="I5" s="27" t="inlineStr">
        <is>
          <t>日收益</t>
        </is>
      </c>
      <c r="J5" s="27" t="inlineStr">
        <is>
          <t>回撤</t>
        </is>
      </c>
      <c r="K5" s="27" t="inlineStr">
        <is>
          <t>净值</t>
        </is>
      </c>
      <c r="L5" s="27" t="inlineStr">
        <is>
          <t>日收益</t>
        </is>
      </c>
      <c r="M5" s="27" t="inlineStr">
        <is>
          <t>回撤</t>
        </is>
      </c>
    </row>
    <row r="6">
      <c r="A6" s="169">
        <f>IF('净值数据(iFinD公式)'!A5="","",'净值数据(iFinD公式)'!A5)</f>
        <v/>
      </c>
      <c r="B6" s="165">
        <f>IF(OR('净值数据(iFinD公式)'!$A5="",'净值数据(iFinD公式)'!$B5=""),"",SUMPRODUCT(持仓配置!$B$4:$N$4,'净值数据(iFinD公式)'!$B5:$N5/'净值数据(iFinD公式)'!$B$5:$N$5)*(1-持仓配置!$P$4)^((ROW()-6)/说明!$C$17))</f>
        <v/>
      </c>
      <c r="C6" s="9" t="n"/>
      <c r="D6" s="9">
        <f>IF(B6="","",B6/MAX(B$6:B6)-1)</f>
        <v/>
      </c>
      <c r="E6" s="165">
        <f>IF(OR('净值数据(iFinD公式)'!$A5="",'净值数据(iFinD公式)'!$B5=""),"",SUMPRODUCT(持仓配置!$B$5:$N$5,'净值数据(iFinD公式)'!$B5:$N5/'净值数据(iFinD公式)'!$B$5:$N$5)*(1-持仓配置!$P$5)^((ROW()-6)/说明!$C$17))</f>
        <v/>
      </c>
      <c r="F6" s="9" t="n"/>
      <c r="G6" s="9">
        <f>IF(E6="","",E6/MAX(E$6:E6)-1)</f>
        <v/>
      </c>
      <c r="H6" s="165">
        <f>IF(OR('净值数据(iFinD公式)'!$A5="",'净值数据(iFinD公式)'!$B5=""),"",SUMPRODUCT(持仓配置!$B$6:$N$6,'净值数据(iFinD公式)'!$B5:$N5/'净值数据(iFinD公式)'!$B$5:$N$5)*(1-持仓配置!$P$6)^((ROW()-6)/说明!$C$17))</f>
        <v/>
      </c>
      <c r="I6" s="9" t="n"/>
      <c r="J6" s="9">
        <f>IF(H6="","",H6/MAX(H$6:H6)-1)</f>
        <v/>
      </c>
      <c r="K6" s="165">
        <f>IF(OR('净值数据(iFinD公式)'!$A5="",'净值数据(iFinD公式)'!$B5=""),"",SUMPRODUCT(持仓配置!$B$7:$N$7,'净值数据(iFinD公式)'!$B5:$N5/'净值数据(iFinD公式)'!$B$5:$N$5)*(1-持仓配置!$P$7)^((ROW()-6)/说明!$C$17))</f>
        <v/>
      </c>
      <c r="L6" s="9" t="n"/>
      <c r="M6" s="9">
        <f>IF(K6="","",K6/MAX(K$6:K6)-1)</f>
        <v/>
      </c>
    </row>
    <row r="7">
      <c r="A7" s="169">
        <f>IF('净值数据(iFinD公式)'!A6="","",'净值数据(iFinD公式)'!A6)</f>
        <v/>
      </c>
      <c r="B7" s="165">
        <f>IF(OR('净值数据(iFinD公式)'!$A6="",'净值数据(iFinD公式)'!$B6=""),"",SUMPRODUCT(持仓配置!$B$4:$N$4,'净值数据(iFinD公式)'!$B6:$N6/'净值数据(iFinD公式)'!$B$5:$N$5)*(1-持仓配置!$P$4)^((ROW()-6)/说明!$C$17))</f>
        <v/>
      </c>
      <c r="C7" s="9">
        <f>IF(OR(B7="",B6=""),"",B7/B6-1)</f>
        <v/>
      </c>
      <c r="D7" s="9">
        <f>IF(B7="","",B7/MAX(B$6:B7)-1)</f>
        <v/>
      </c>
      <c r="E7" s="165">
        <f>IF(OR('净值数据(iFinD公式)'!$A6="",'净值数据(iFinD公式)'!$B6=""),"",SUMPRODUCT(持仓配置!$B$5:$N$5,'净值数据(iFinD公式)'!$B6:$N6/'净值数据(iFinD公式)'!$B$5:$N$5)*(1-持仓配置!$P$5)^((ROW()-6)/说明!$C$17))</f>
        <v/>
      </c>
      <c r="F7" s="9">
        <f>IF(OR(E7="",E6=""),"",E7/E6-1)</f>
        <v/>
      </c>
      <c r="G7" s="9">
        <f>IF(E7="","",E7/MAX(E$6:E7)-1)</f>
        <v/>
      </c>
      <c r="H7" s="165">
        <f>IF(OR('净值数据(iFinD公式)'!$A6="",'净值数据(iFinD公式)'!$B6=""),"",SUMPRODUCT(持仓配置!$B$6:$N$6,'净值数据(iFinD公式)'!$B6:$N6/'净值数据(iFinD公式)'!$B$5:$N$5)*(1-持仓配置!$P$6)^((ROW()-6)/说明!$C$17))</f>
        <v/>
      </c>
      <c r="I7" s="9">
        <f>IF(OR(H7="",H6=""),"",H7/H6-1)</f>
        <v/>
      </c>
      <c r="J7" s="9">
        <f>IF(H7="","",H7/MAX(H$6:H7)-1)</f>
        <v/>
      </c>
      <c r="K7" s="165">
        <f>IF(OR('净值数据(iFinD公式)'!$A6="",'净值数据(iFinD公式)'!$B6=""),"",SUMPRODUCT(持仓配置!$B$7:$N$7,'净值数据(iFinD公式)'!$B6:$N6/'净值数据(iFinD公式)'!$B$5:$N$5)*(1-持仓配置!$P$7)^((ROW()-6)/说明!$C$17))</f>
        <v/>
      </c>
      <c r="L7" s="9">
        <f>IF(OR(K7="",K6=""),"",K7/K6-1)</f>
        <v/>
      </c>
      <c r="M7" s="9">
        <f>IF(K7="","",K7/MAX(K$6:K7)-1)</f>
        <v/>
      </c>
    </row>
    <row r="8">
      <c r="A8" s="169">
        <f>IF('净值数据(iFinD公式)'!A7="","",'净值数据(iFinD公式)'!A7)</f>
        <v/>
      </c>
      <c r="B8" s="165">
        <f>IF(OR('净值数据(iFinD公式)'!$A7="",'净值数据(iFinD公式)'!$B7=""),"",SUMPRODUCT(持仓配置!$B$4:$N$4,'净值数据(iFinD公式)'!$B7:$N7/'净值数据(iFinD公式)'!$B$5:$N$5)*(1-持仓配置!$P$4)^((ROW()-6)/说明!$C$17))</f>
        <v/>
      </c>
      <c r="C8" s="9">
        <f>IF(OR(B8="",B7=""),"",B8/B7-1)</f>
        <v/>
      </c>
      <c r="D8" s="9">
        <f>IF(B8="","",B8/MAX(B$6:B8)-1)</f>
        <v/>
      </c>
      <c r="E8" s="165">
        <f>IF(OR('净值数据(iFinD公式)'!$A7="",'净值数据(iFinD公式)'!$B7=""),"",SUMPRODUCT(持仓配置!$B$5:$N$5,'净值数据(iFinD公式)'!$B7:$N7/'净值数据(iFinD公式)'!$B$5:$N$5)*(1-持仓配置!$P$5)^((ROW()-6)/说明!$C$17))</f>
        <v/>
      </c>
      <c r="F8" s="9">
        <f>IF(OR(E8="",E7=""),"",E8/E7-1)</f>
        <v/>
      </c>
      <c r="G8" s="9">
        <f>IF(E8="","",E8/MAX(E$6:E8)-1)</f>
        <v/>
      </c>
      <c r="H8" s="165">
        <f>IF(OR('净值数据(iFinD公式)'!$A7="",'净值数据(iFinD公式)'!$B7=""),"",SUMPRODUCT(持仓配置!$B$6:$N$6,'净值数据(iFinD公式)'!$B7:$N7/'净值数据(iFinD公式)'!$B$5:$N$5)*(1-持仓配置!$P$6)^((ROW()-6)/说明!$C$17))</f>
        <v/>
      </c>
      <c r="I8" s="9">
        <f>IF(OR(H8="",H7=""),"",H8/H7-1)</f>
        <v/>
      </c>
      <c r="J8" s="9">
        <f>IF(H8="","",H8/MAX(H$6:H8)-1)</f>
        <v/>
      </c>
      <c r="K8" s="165">
        <f>IF(OR('净值数据(iFinD公式)'!$A7="",'净值数据(iFinD公式)'!$B7=""),"",SUMPRODUCT(持仓配置!$B$7:$N$7,'净值数据(iFinD公式)'!$B7:$N7/'净值数据(iFinD公式)'!$B$5:$N$5)*(1-持仓配置!$P$7)^((ROW()-6)/说明!$C$17))</f>
        <v/>
      </c>
      <c r="L8" s="9">
        <f>IF(OR(K8="",K7=""),"",K8/K7-1)</f>
        <v/>
      </c>
      <c r="M8" s="9">
        <f>IF(K8="","",K8/MAX(K$6:K8)-1)</f>
        <v/>
      </c>
    </row>
    <row r="9">
      <c r="A9" s="169">
        <f>IF('净值数据(iFinD公式)'!A8="","",'净值数据(iFinD公式)'!A8)</f>
        <v/>
      </c>
      <c r="B9" s="165">
        <f>IF(OR('净值数据(iFinD公式)'!$A8="",'净值数据(iFinD公式)'!$B8=""),"",SUMPRODUCT(持仓配置!$B$4:$N$4,'净值数据(iFinD公式)'!$B8:$N8/'净值数据(iFinD公式)'!$B$5:$N$5)*(1-持仓配置!$P$4)^((ROW()-6)/说明!$C$17))</f>
        <v/>
      </c>
      <c r="C9" s="9">
        <f>IF(OR(B9="",B8=""),"",B9/B8-1)</f>
        <v/>
      </c>
      <c r="D9" s="9">
        <f>IF(B9="","",B9/MAX(B$6:B9)-1)</f>
        <v/>
      </c>
      <c r="E9" s="165">
        <f>IF(OR('净值数据(iFinD公式)'!$A8="",'净值数据(iFinD公式)'!$B8=""),"",SUMPRODUCT(持仓配置!$B$5:$N$5,'净值数据(iFinD公式)'!$B8:$N8/'净值数据(iFinD公式)'!$B$5:$N$5)*(1-持仓配置!$P$5)^((ROW()-6)/说明!$C$17))</f>
        <v/>
      </c>
      <c r="F9" s="9">
        <f>IF(OR(E9="",E8=""),"",E9/E8-1)</f>
        <v/>
      </c>
      <c r="G9" s="9">
        <f>IF(E9="","",E9/MAX(E$6:E9)-1)</f>
        <v/>
      </c>
      <c r="H9" s="165">
        <f>IF(OR('净值数据(iFinD公式)'!$A8="",'净值数据(iFinD公式)'!$B8=""),"",SUMPRODUCT(持仓配置!$B$6:$N$6,'净值数据(iFinD公式)'!$B8:$N8/'净值数据(iFinD公式)'!$B$5:$N$5)*(1-持仓配置!$P$6)^((ROW()-6)/说明!$C$17))</f>
        <v/>
      </c>
      <c r="I9" s="9">
        <f>IF(OR(H9="",H8=""),"",H9/H8-1)</f>
        <v/>
      </c>
      <c r="J9" s="9">
        <f>IF(H9="","",H9/MAX(H$6:H9)-1)</f>
        <v/>
      </c>
      <c r="K9" s="165">
        <f>IF(OR('净值数据(iFinD公式)'!$A8="",'净值数据(iFinD公式)'!$B8=""),"",SUMPRODUCT(持仓配置!$B$7:$N$7,'净值数据(iFinD公式)'!$B8:$N8/'净值数据(iFinD公式)'!$B$5:$N$5)*(1-持仓配置!$P$7)^((ROW()-6)/说明!$C$17))</f>
        <v/>
      </c>
      <c r="L9" s="9">
        <f>IF(OR(K9="",K8=""),"",K9/K8-1)</f>
        <v/>
      </c>
      <c r="M9" s="9">
        <f>IF(K9="","",K9/MAX(K$6:K9)-1)</f>
        <v/>
      </c>
    </row>
    <row r="10">
      <c r="A10" s="169">
        <f>IF('净值数据(iFinD公式)'!A9="","",'净值数据(iFinD公式)'!A9)</f>
        <v/>
      </c>
      <c r="B10" s="165">
        <f>IF(OR('净值数据(iFinD公式)'!$A9="",'净值数据(iFinD公式)'!$B9=""),"",SUMPRODUCT(持仓配置!$B$4:$N$4,'净值数据(iFinD公式)'!$B9:$N9/'净值数据(iFinD公式)'!$B$5:$N$5)*(1-持仓配置!$P$4)^((ROW()-6)/说明!$C$17))</f>
        <v/>
      </c>
      <c r="C10" s="9">
        <f>IF(OR(B10="",B9=""),"",B10/B9-1)</f>
        <v/>
      </c>
      <c r="D10" s="9">
        <f>IF(B10="","",B10/MAX(B$6:B10)-1)</f>
        <v/>
      </c>
      <c r="E10" s="165">
        <f>IF(OR('净值数据(iFinD公式)'!$A9="",'净值数据(iFinD公式)'!$B9=""),"",SUMPRODUCT(持仓配置!$B$5:$N$5,'净值数据(iFinD公式)'!$B9:$N9/'净值数据(iFinD公式)'!$B$5:$N$5)*(1-持仓配置!$P$5)^((ROW()-6)/说明!$C$17))</f>
        <v/>
      </c>
      <c r="F10" s="9">
        <f>IF(OR(E10="",E9=""),"",E10/E9-1)</f>
        <v/>
      </c>
      <c r="G10" s="9">
        <f>IF(E10="","",E10/MAX(E$6:E10)-1)</f>
        <v/>
      </c>
      <c r="H10" s="165">
        <f>IF(OR('净值数据(iFinD公式)'!$A9="",'净值数据(iFinD公式)'!$B9=""),"",SUMPRODUCT(持仓配置!$B$6:$N$6,'净值数据(iFinD公式)'!$B9:$N9/'净值数据(iFinD公式)'!$B$5:$N$5)*(1-持仓配置!$P$6)^((ROW()-6)/说明!$C$17))</f>
        <v/>
      </c>
      <c r="I10" s="9">
        <f>IF(OR(H10="",H9=""),"",H10/H9-1)</f>
        <v/>
      </c>
      <c r="J10" s="9">
        <f>IF(H10="","",H10/MAX(H$6:H10)-1)</f>
        <v/>
      </c>
      <c r="K10" s="165">
        <f>IF(OR('净值数据(iFinD公式)'!$A9="",'净值数据(iFinD公式)'!$B9=""),"",SUMPRODUCT(持仓配置!$B$7:$N$7,'净值数据(iFinD公式)'!$B9:$N9/'净值数据(iFinD公式)'!$B$5:$N$5)*(1-持仓配置!$P$7)^((ROW()-6)/说明!$C$17))</f>
        <v/>
      </c>
      <c r="L10" s="9">
        <f>IF(OR(K10="",K9=""),"",K10/K9-1)</f>
        <v/>
      </c>
      <c r="M10" s="9">
        <f>IF(K10="","",K10/MAX(K$6:K10)-1)</f>
        <v/>
      </c>
    </row>
    <row r="11">
      <c r="A11" s="169">
        <f>IF('净值数据(iFinD公式)'!A10="","",'净值数据(iFinD公式)'!A10)</f>
        <v/>
      </c>
      <c r="B11" s="165">
        <f>IF(OR('净值数据(iFinD公式)'!$A10="",'净值数据(iFinD公式)'!$B10=""),"",SUMPRODUCT(持仓配置!$B$4:$N$4,'净值数据(iFinD公式)'!$B10:$N10/'净值数据(iFinD公式)'!$B$5:$N$5)*(1-持仓配置!$P$4)^((ROW()-6)/说明!$C$17))</f>
        <v/>
      </c>
      <c r="C11" s="9">
        <f>IF(OR(B11="",B10=""),"",B11/B10-1)</f>
        <v/>
      </c>
      <c r="D11" s="9">
        <f>IF(B11="","",B11/MAX(B$6:B11)-1)</f>
        <v/>
      </c>
      <c r="E11" s="165">
        <f>IF(OR('净值数据(iFinD公式)'!$A10="",'净值数据(iFinD公式)'!$B10=""),"",SUMPRODUCT(持仓配置!$B$5:$N$5,'净值数据(iFinD公式)'!$B10:$N10/'净值数据(iFinD公式)'!$B$5:$N$5)*(1-持仓配置!$P$5)^((ROW()-6)/说明!$C$17))</f>
        <v/>
      </c>
      <c r="F11" s="9">
        <f>IF(OR(E11="",E10=""),"",E11/E10-1)</f>
        <v/>
      </c>
      <c r="G11" s="9">
        <f>IF(E11="","",E11/MAX(E$6:E11)-1)</f>
        <v/>
      </c>
      <c r="H11" s="165">
        <f>IF(OR('净值数据(iFinD公式)'!$A10="",'净值数据(iFinD公式)'!$B10=""),"",SUMPRODUCT(持仓配置!$B$6:$N$6,'净值数据(iFinD公式)'!$B10:$N10/'净值数据(iFinD公式)'!$B$5:$N$5)*(1-持仓配置!$P$6)^((ROW()-6)/说明!$C$17))</f>
        <v/>
      </c>
      <c r="I11" s="9">
        <f>IF(OR(H11="",H10=""),"",H11/H10-1)</f>
        <v/>
      </c>
      <c r="J11" s="9">
        <f>IF(H11="","",H11/MAX(H$6:H11)-1)</f>
        <v/>
      </c>
      <c r="K11" s="165">
        <f>IF(OR('净值数据(iFinD公式)'!$A10="",'净值数据(iFinD公式)'!$B10=""),"",SUMPRODUCT(持仓配置!$B$7:$N$7,'净值数据(iFinD公式)'!$B10:$N10/'净值数据(iFinD公式)'!$B$5:$N$5)*(1-持仓配置!$P$7)^((ROW()-6)/说明!$C$17))</f>
        <v/>
      </c>
      <c r="L11" s="9">
        <f>IF(OR(K11="",K10=""),"",K11/K10-1)</f>
        <v/>
      </c>
      <c r="M11" s="9">
        <f>IF(K11="","",K11/MAX(K$6:K11)-1)</f>
        <v/>
      </c>
    </row>
    <row r="12">
      <c r="A12" s="169">
        <f>IF('净值数据(iFinD公式)'!A11="","",'净值数据(iFinD公式)'!A11)</f>
        <v/>
      </c>
      <c r="B12" s="165">
        <f>IF(OR('净值数据(iFinD公式)'!$A11="",'净值数据(iFinD公式)'!$B11=""),"",SUMPRODUCT(持仓配置!$B$4:$N$4,'净值数据(iFinD公式)'!$B11:$N11/'净值数据(iFinD公式)'!$B$5:$N$5)*(1-持仓配置!$P$4)^((ROW()-6)/说明!$C$17))</f>
        <v/>
      </c>
      <c r="C12" s="9">
        <f>IF(OR(B12="",B11=""),"",B12/B11-1)</f>
        <v/>
      </c>
      <c r="D12" s="9">
        <f>IF(B12="","",B12/MAX(B$6:B12)-1)</f>
        <v/>
      </c>
      <c r="E12" s="165">
        <f>IF(OR('净值数据(iFinD公式)'!$A11="",'净值数据(iFinD公式)'!$B11=""),"",SUMPRODUCT(持仓配置!$B$5:$N$5,'净值数据(iFinD公式)'!$B11:$N11/'净值数据(iFinD公式)'!$B$5:$N$5)*(1-持仓配置!$P$5)^((ROW()-6)/说明!$C$17))</f>
        <v/>
      </c>
      <c r="F12" s="9">
        <f>IF(OR(E12="",E11=""),"",E12/E11-1)</f>
        <v/>
      </c>
      <c r="G12" s="9">
        <f>IF(E12="","",E12/MAX(E$6:E12)-1)</f>
        <v/>
      </c>
      <c r="H12" s="165">
        <f>IF(OR('净值数据(iFinD公式)'!$A11="",'净值数据(iFinD公式)'!$B11=""),"",SUMPRODUCT(持仓配置!$B$6:$N$6,'净值数据(iFinD公式)'!$B11:$N11/'净值数据(iFinD公式)'!$B$5:$N$5)*(1-持仓配置!$P$6)^((ROW()-6)/说明!$C$17))</f>
        <v/>
      </c>
      <c r="I12" s="9">
        <f>IF(OR(H12="",H11=""),"",H12/H11-1)</f>
        <v/>
      </c>
      <c r="J12" s="9">
        <f>IF(H12="","",H12/MAX(H$6:H12)-1)</f>
        <v/>
      </c>
      <c r="K12" s="165">
        <f>IF(OR('净值数据(iFinD公式)'!$A11="",'净值数据(iFinD公式)'!$B11=""),"",SUMPRODUCT(持仓配置!$B$7:$N$7,'净值数据(iFinD公式)'!$B11:$N11/'净值数据(iFinD公式)'!$B$5:$N$5)*(1-持仓配置!$P$7)^((ROW()-6)/说明!$C$17))</f>
        <v/>
      </c>
      <c r="L12" s="9">
        <f>IF(OR(K12="",K11=""),"",K12/K11-1)</f>
        <v/>
      </c>
      <c r="M12" s="9">
        <f>IF(K12="","",K12/MAX(K$6:K12)-1)</f>
        <v/>
      </c>
    </row>
    <row r="13">
      <c r="A13" s="169">
        <f>IF('净值数据(iFinD公式)'!A12="","",'净值数据(iFinD公式)'!A12)</f>
        <v/>
      </c>
      <c r="B13" s="165">
        <f>IF(OR('净值数据(iFinD公式)'!$A12="",'净值数据(iFinD公式)'!$B12=""),"",SUMPRODUCT(持仓配置!$B$4:$N$4,'净值数据(iFinD公式)'!$B12:$N12/'净值数据(iFinD公式)'!$B$5:$N$5)*(1-持仓配置!$P$4)^((ROW()-6)/说明!$C$17))</f>
        <v/>
      </c>
      <c r="C13" s="9">
        <f>IF(OR(B13="",B12=""),"",B13/B12-1)</f>
        <v/>
      </c>
      <c r="D13" s="9">
        <f>IF(B13="","",B13/MAX(B$6:B13)-1)</f>
        <v/>
      </c>
      <c r="E13" s="165">
        <f>IF(OR('净值数据(iFinD公式)'!$A12="",'净值数据(iFinD公式)'!$B12=""),"",SUMPRODUCT(持仓配置!$B$5:$N$5,'净值数据(iFinD公式)'!$B12:$N12/'净值数据(iFinD公式)'!$B$5:$N$5)*(1-持仓配置!$P$5)^((ROW()-6)/说明!$C$17))</f>
        <v/>
      </c>
      <c r="F13" s="9">
        <f>IF(OR(E13="",E12=""),"",E13/E12-1)</f>
        <v/>
      </c>
      <c r="G13" s="9">
        <f>IF(E13="","",E13/MAX(E$6:E13)-1)</f>
        <v/>
      </c>
      <c r="H13" s="165">
        <f>IF(OR('净值数据(iFinD公式)'!$A12="",'净值数据(iFinD公式)'!$B12=""),"",SUMPRODUCT(持仓配置!$B$6:$N$6,'净值数据(iFinD公式)'!$B12:$N12/'净值数据(iFinD公式)'!$B$5:$N$5)*(1-持仓配置!$P$6)^((ROW()-6)/说明!$C$17))</f>
        <v/>
      </c>
      <c r="I13" s="9">
        <f>IF(OR(H13="",H12=""),"",H13/H12-1)</f>
        <v/>
      </c>
      <c r="J13" s="9">
        <f>IF(H13="","",H13/MAX(H$6:H13)-1)</f>
        <v/>
      </c>
      <c r="K13" s="165">
        <f>IF(OR('净值数据(iFinD公式)'!$A12="",'净值数据(iFinD公式)'!$B12=""),"",SUMPRODUCT(持仓配置!$B$7:$N$7,'净值数据(iFinD公式)'!$B12:$N12/'净值数据(iFinD公式)'!$B$5:$N$5)*(1-持仓配置!$P$7)^((ROW()-6)/说明!$C$17))</f>
        <v/>
      </c>
      <c r="L13" s="9">
        <f>IF(OR(K13="",K12=""),"",K13/K12-1)</f>
        <v/>
      </c>
      <c r="M13" s="9">
        <f>IF(K13="","",K13/MAX(K$6:K13)-1)</f>
        <v/>
      </c>
    </row>
    <row r="14">
      <c r="A14" s="169">
        <f>IF('净值数据(iFinD公式)'!A13="","",'净值数据(iFinD公式)'!A13)</f>
        <v/>
      </c>
      <c r="B14" s="165">
        <f>IF(OR('净值数据(iFinD公式)'!$A13="",'净值数据(iFinD公式)'!$B13=""),"",SUMPRODUCT(持仓配置!$B$4:$N$4,'净值数据(iFinD公式)'!$B13:$N13/'净值数据(iFinD公式)'!$B$5:$N$5)*(1-持仓配置!$P$4)^((ROW()-6)/说明!$C$17))</f>
        <v/>
      </c>
      <c r="C14" s="9">
        <f>IF(OR(B14="",B13=""),"",B14/B13-1)</f>
        <v/>
      </c>
      <c r="D14" s="9">
        <f>IF(B14="","",B14/MAX(B$6:B14)-1)</f>
        <v/>
      </c>
      <c r="E14" s="165">
        <f>IF(OR('净值数据(iFinD公式)'!$A13="",'净值数据(iFinD公式)'!$B13=""),"",SUMPRODUCT(持仓配置!$B$5:$N$5,'净值数据(iFinD公式)'!$B13:$N13/'净值数据(iFinD公式)'!$B$5:$N$5)*(1-持仓配置!$P$5)^((ROW()-6)/说明!$C$17))</f>
        <v/>
      </c>
      <c r="F14" s="9">
        <f>IF(OR(E14="",E13=""),"",E14/E13-1)</f>
        <v/>
      </c>
      <c r="G14" s="9">
        <f>IF(E14="","",E14/MAX(E$6:E14)-1)</f>
        <v/>
      </c>
      <c r="H14" s="165">
        <f>IF(OR('净值数据(iFinD公式)'!$A13="",'净值数据(iFinD公式)'!$B13=""),"",SUMPRODUCT(持仓配置!$B$6:$N$6,'净值数据(iFinD公式)'!$B13:$N13/'净值数据(iFinD公式)'!$B$5:$N$5)*(1-持仓配置!$P$6)^((ROW()-6)/说明!$C$17))</f>
        <v/>
      </c>
      <c r="I14" s="9">
        <f>IF(OR(H14="",H13=""),"",H14/H13-1)</f>
        <v/>
      </c>
      <c r="J14" s="9">
        <f>IF(H14="","",H14/MAX(H$6:H14)-1)</f>
        <v/>
      </c>
      <c r="K14" s="165">
        <f>IF(OR('净值数据(iFinD公式)'!$A13="",'净值数据(iFinD公式)'!$B13=""),"",SUMPRODUCT(持仓配置!$B$7:$N$7,'净值数据(iFinD公式)'!$B13:$N13/'净值数据(iFinD公式)'!$B$5:$N$5)*(1-持仓配置!$P$7)^((ROW()-6)/说明!$C$17))</f>
        <v/>
      </c>
      <c r="L14" s="9">
        <f>IF(OR(K14="",K13=""),"",K14/K13-1)</f>
        <v/>
      </c>
      <c r="M14" s="9">
        <f>IF(K14="","",K14/MAX(K$6:K14)-1)</f>
        <v/>
      </c>
    </row>
    <row r="15">
      <c r="A15" s="169">
        <f>IF('净值数据(iFinD公式)'!A14="","",'净值数据(iFinD公式)'!A14)</f>
        <v/>
      </c>
      <c r="B15" s="165">
        <f>IF(OR('净值数据(iFinD公式)'!$A14="",'净值数据(iFinD公式)'!$B14=""),"",SUMPRODUCT(持仓配置!$B$4:$N$4,'净值数据(iFinD公式)'!$B14:$N14/'净值数据(iFinD公式)'!$B$5:$N$5)*(1-持仓配置!$P$4)^((ROW()-6)/说明!$C$17))</f>
        <v/>
      </c>
      <c r="C15" s="9">
        <f>IF(OR(B15="",B14=""),"",B15/B14-1)</f>
        <v/>
      </c>
      <c r="D15" s="9">
        <f>IF(B15="","",B15/MAX(B$6:B15)-1)</f>
        <v/>
      </c>
      <c r="E15" s="165">
        <f>IF(OR('净值数据(iFinD公式)'!$A14="",'净值数据(iFinD公式)'!$B14=""),"",SUMPRODUCT(持仓配置!$B$5:$N$5,'净值数据(iFinD公式)'!$B14:$N14/'净值数据(iFinD公式)'!$B$5:$N$5)*(1-持仓配置!$P$5)^((ROW()-6)/说明!$C$17))</f>
        <v/>
      </c>
      <c r="F15" s="9">
        <f>IF(OR(E15="",E14=""),"",E15/E14-1)</f>
        <v/>
      </c>
      <c r="G15" s="9">
        <f>IF(E15="","",E15/MAX(E$6:E15)-1)</f>
        <v/>
      </c>
      <c r="H15" s="165">
        <f>IF(OR('净值数据(iFinD公式)'!$A14="",'净值数据(iFinD公式)'!$B14=""),"",SUMPRODUCT(持仓配置!$B$6:$N$6,'净值数据(iFinD公式)'!$B14:$N14/'净值数据(iFinD公式)'!$B$5:$N$5)*(1-持仓配置!$P$6)^((ROW()-6)/说明!$C$17))</f>
        <v/>
      </c>
      <c r="I15" s="9">
        <f>IF(OR(H15="",H14=""),"",H15/H14-1)</f>
        <v/>
      </c>
      <c r="J15" s="9">
        <f>IF(H15="","",H15/MAX(H$6:H15)-1)</f>
        <v/>
      </c>
      <c r="K15" s="165">
        <f>IF(OR('净值数据(iFinD公式)'!$A14="",'净值数据(iFinD公式)'!$B14=""),"",SUMPRODUCT(持仓配置!$B$7:$N$7,'净值数据(iFinD公式)'!$B14:$N14/'净值数据(iFinD公式)'!$B$5:$N$5)*(1-持仓配置!$P$7)^((ROW()-6)/说明!$C$17))</f>
        <v/>
      </c>
      <c r="L15" s="9">
        <f>IF(OR(K15="",K14=""),"",K15/K14-1)</f>
        <v/>
      </c>
      <c r="M15" s="9">
        <f>IF(K15="","",K15/MAX(K$6:K15)-1)</f>
        <v/>
      </c>
    </row>
    <row r="16">
      <c r="A16" s="169">
        <f>IF('净值数据(iFinD公式)'!A15="","",'净值数据(iFinD公式)'!A15)</f>
        <v/>
      </c>
      <c r="B16" s="165">
        <f>IF(OR('净值数据(iFinD公式)'!$A15="",'净值数据(iFinD公式)'!$B15=""),"",SUMPRODUCT(持仓配置!$B$4:$N$4,'净值数据(iFinD公式)'!$B15:$N15/'净值数据(iFinD公式)'!$B$5:$N$5)*(1-持仓配置!$P$4)^((ROW()-6)/说明!$C$17))</f>
        <v/>
      </c>
      <c r="C16" s="9">
        <f>IF(OR(B16="",B15=""),"",B16/B15-1)</f>
        <v/>
      </c>
      <c r="D16" s="9">
        <f>IF(B16="","",B16/MAX(B$6:B16)-1)</f>
        <v/>
      </c>
      <c r="E16" s="165">
        <f>IF(OR('净值数据(iFinD公式)'!$A15="",'净值数据(iFinD公式)'!$B15=""),"",SUMPRODUCT(持仓配置!$B$5:$N$5,'净值数据(iFinD公式)'!$B15:$N15/'净值数据(iFinD公式)'!$B$5:$N$5)*(1-持仓配置!$P$5)^((ROW()-6)/说明!$C$17))</f>
        <v/>
      </c>
      <c r="F16" s="9">
        <f>IF(OR(E16="",E15=""),"",E16/E15-1)</f>
        <v/>
      </c>
      <c r="G16" s="9">
        <f>IF(E16="","",E16/MAX(E$6:E16)-1)</f>
        <v/>
      </c>
      <c r="H16" s="165">
        <f>IF(OR('净值数据(iFinD公式)'!$A15="",'净值数据(iFinD公式)'!$B15=""),"",SUMPRODUCT(持仓配置!$B$6:$N$6,'净值数据(iFinD公式)'!$B15:$N15/'净值数据(iFinD公式)'!$B$5:$N$5)*(1-持仓配置!$P$6)^((ROW()-6)/说明!$C$17))</f>
        <v/>
      </c>
      <c r="I16" s="9">
        <f>IF(OR(H16="",H15=""),"",H16/H15-1)</f>
        <v/>
      </c>
      <c r="J16" s="9">
        <f>IF(H16="","",H16/MAX(H$6:H16)-1)</f>
        <v/>
      </c>
      <c r="K16" s="165">
        <f>IF(OR('净值数据(iFinD公式)'!$A15="",'净值数据(iFinD公式)'!$B15=""),"",SUMPRODUCT(持仓配置!$B$7:$N$7,'净值数据(iFinD公式)'!$B15:$N15/'净值数据(iFinD公式)'!$B$5:$N$5)*(1-持仓配置!$P$7)^((ROW()-6)/说明!$C$17))</f>
        <v/>
      </c>
      <c r="L16" s="9">
        <f>IF(OR(K16="",K15=""),"",K16/K15-1)</f>
        <v/>
      </c>
      <c r="M16" s="9">
        <f>IF(K16="","",K16/MAX(K$6:K16)-1)</f>
        <v/>
      </c>
    </row>
    <row r="17">
      <c r="A17" s="169">
        <f>IF('净值数据(iFinD公式)'!A16="","",'净值数据(iFinD公式)'!A16)</f>
        <v/>
      </c>
      <c r="B17" s="165">
        <f>IF(OR('净值数据(iFinD公式)'!$A16="",'净值数据(iFinD公式)'!$B16=""),"",SUMPRODUCT(持仓配置!$B$4:$N$4,'净值数据(iFinD公式)'!$B16:$N16/'净值数据(iFinD公式)'!$B$5:$N$5)*(1-持仓配置!$P$4)^((ROW()-6)/说明!$C$17))</f>
        <v/>
      </c>
      <c r="C17" s="9">
        <f>IF(OR(B17="",B16=""),"",B17/B16-1)</f>
        <v/>
      </c>
      <c r="D17" s="9">
        <f>IF(B17="","",B17/MAX(B$6:B17)-1)</f>
        <v/>
      </c>
      <c r="E17" s="165">
        <f>IF(OR('净值数据(iFinD公式)'!$A16="",'净值数据(iFinD公式)'!$B16=""),"",SUMPRODUCT(持仓配置!$B$5:$N$5,'净值数据(iFinD公式)'!$B16:$N16/'净值数据(iFinD公式)'!$B$5:$N$5)*(1-持仓配置!$P$5)^((ROW()-6)/说明!$C$17))</f>
        <v/>
      </c>
      <c r="F17" s="9">
        <f>IF(OR(E17="",E16=""),"",E17/E16-1)</f>
        <v/>
      </c>
      <c r="G17" s="9">
        <f>IF(E17="","",E17/MAX(E$6:E17)-1)</f>
        <v/>
      </c>
      <c r="H17" s="165">
        <f>IF(OR('净值数据(iFinD公式)'!$A16="",'净值数据(iFinD公式)'!$B16=""),"",SUMPRODUCT(持仓配置!$B$6:$N$6,'净值数据(iFinD公式)'!$B16:$N16/'净值数据(iFinD公式)'!$B$5:$N$5)*(1-持仓配置!$P$6)^((ROW()-6)/说明!$C$17))</f>
        <v/>
      </c>
      <c r="I17" s="9">
        <f>IF(OR(H17="",H16=""),"",H17/H16-1)</f>
        <v/>
      </c>
      <c r="J17" s="9">
        <f>IF(H17="","",H17/MAX(H$6:H17)-1)</f>
        <v/>
      </c>
      <c r="K17" s="165">
        <f>IF(OR('净值数据(iFinD公式)'!$A16="",'净值数据(iFinD公式)'!$B16=""),"",SUMPRODUCT(持仓配置!$B$7:$N$7,'净值数据(iFinD公式)'!$B16:$N16/'净值数据(iFinD公式)'!$B$5:$N$5)*(1-持仓配置!$P$7)^((ROW()-6)/说明!$C$17))</f>
        <v/>
      </c>
      <c r="L17" s="9">
        <f>IF(OR(K17="",K16=""),"",K17/K16-1)</f>
        <v/>
      </c>
      <c r="M17" s="9">
        <f>IF(K17="","",K17/MAX(K$6:K17)-1)</f>
        <v/>
      </c>
    </row>
    <row r="18">
      <c r="A18" s="169">
        <f>IF('净值数据(iFinD公式)'!A17="","",'净值数据(iFinD公式)'!A17)</f>
        <v/>
      </c>
      <c r="B18" s="165">
        <f>IF(OR('净值数据(iFinD公式)'!$A17="",'净值数据(iFinD公式)'!$B17=""),"",SUMPRODUCT(持仓配置!$B$4:$N$4,'净值数据(iFinD公式)'!$B17:$N17/'净值数据(iFinD公式)'!$B$5:$N$5)*(1-持仓配置!$P$4)^((ROW()-6)/说明!$C$17))</f>
        <v/>
      </c>
      <c r="C18" s="9">
        <f>IF(OR(B18="",B17=""),"",B18/B17-1)</f>
        <v/>
      </c>
      <c r="D18" s="9">
        <f>IF(B18="","",B18/MAX(B$6:B18)-1)</f>
        <v/>
      </c>
      <c r="E18" s="165">
        <f>IF(OR('净值数据(iFinD公式)'!$A17="",'净值数据(iFinD公式)'!$B17=""),"",SUMPRODUCT(持仓配置!$B$5:$N$5,'净值数据(iFinD公式)'!$B17:$N17/'净值数据(iFinD公式)'!$B$5:$N$5)*(1-持仓配置!$P$5)^((ROW()-6)/说明!$C$17))</f>
        <v/>
      </c>
      <c r="F18" s="9">
        <f>IF(OR(E18="",E17=""),"",E18/E17-1)</f>
        <v/>
      </c>
      <c r="G18" s="9">
        <f>IF(E18="","",E18/MAX(E$6:E18)-1)</f>
        <v/>
      </c>
      <c r="H18" s="165">
        <f>IF(OR('净值数据(iFinD公式)'!$A17="",'净值数据(iFinD公式)'!$B17=""),"",SUMPRODUCT(持仓配置!$B$6:$N$6,'净值数据(iFinD公式)'!$B17:$N17/'净值数据(iFinD公式)'!$B$5:$N$5)*(1-持仓配置!$P$6)^((ROW()-6)/说明!$C$17))</f>
        <v/>
      </c>
      <c r="I18" s="9">
        <f>IF(OR(H18="",H17=""),"",H18/H17-1)</f>
        <v/>
      </c>
      <c r="J18" s="9">
        <f>IF(H18="","",H18/MAX(H$6:H18)-1)</f>
        <v/>
      </c>
      <c r="K18" s="165">
        <f>IF(OR('净值数据(iFinD公式)'!$A17="",'净值数据(iFinD公式)'!$B17=""),"",SUMPRODUCT(持仓配置!$B$7:$N$7,'净值数据(iFinD公式)'!$B17:$N17/'净值数据(iFinD公式)'!$B$5:$N$5)*(1-持仓配置!$P$7)^((ROW()-6)/说明!$C$17))</f>
        <v/>
      </c>
      <c r="L18" s="9">
        <f>IF(OR(K18="",K17=""),"",K18/K17-1)</f>
        <v/>
      </c>
      <c r="M18" s="9">
        <f>IF(K18="","",K18/MAX(K$6:K18)-1)</f>
        <v/>
      </c>
    </row>
    <row r="19">
      <c r="A19" s="169">
        <f>IF('净值数据(iFinD公式)'!A18="","",'净值数据(iFinD公式)'!A18)</f>
        <v/>
      </c>
      <c r="B19" s="165">
        <f>IF(OR('净值数据(iFinD公式)'!$A18="",'净值数据(iFinD公式)'!$B18=""),"",SUMPRODUCT(持仓配置!$B$4:$N$4,'净值数据(iFinD公式)'!$B18:$N18/'净值数据(iFinD公式)'!$B$5:$N$5)*(1-持仓配置!$P$4)^((ROW()-6)/说明!$C$17))</f>
        <v/>
      </c>
      <c r="C19" s="9">
        <f>IF(OR(B19="",B18=""),"",B19/B18-1)</f>
        <v/>
      </c>
      <c r="D19" s="9">
        <f>IF(B19="","",B19/MAX(B$6:B19)-1)</f>
        <v/>
      </c>
      <c r="E19" s="165">
        <f>IF(OR('净值数据(iFinD公式)'!$A18="",'净值数据(iFinD公式)'!$B18=""),"",SUMPRODUCT(持仓配置!$B$5:$N$5,'净值数据(iFinD公式)'!$B18:$N18/'净值数据(iFinD公式)'!$B$5:$N$5)*(1-持仓配置!$P$5)^((ROW()-6)/说明!$C$17))</f>
        <v/>
      </c>
      <c r="F19" s="9">
        <f>IF(OR(E19="",E18=""),"",E19/E18-1)</f>
        <v/>
      </c>
      <c r="G19" s="9">
        <f>IF(E19="","",E19/MAX(E$6:E19)-1)</f>
        <v/>
      </c>
      <c r="H19" s="165">
        <f>IF(OR('净值数据(iFinD公式)'!$A18="",'净值数据(iFinD公式)'!$B18=""),"",SUMPRODUCT(持仓配置!$B$6:$N$6,'净值数据(iFinD公式)'!$B18:$N18/'净值数据(iFinD公式)'!$B$5:$N$5)*(1-持仓配置!$P$6)^((ROW()-6)/说明!$C$17))</f>
        <v/>
      </c>
      <c r="I19" s="9">
        <f>IF(OR(H19="",H18=""),"",H19/H18-1)</f>
        <v/>
      </c>
      <c r="J19" s="9">
        <f>IF(H19="","",H19/MAX(H$6:H19)-1)</f>
        <v/>
      </c>
      <c r="K19" s="165">
        <f>IF(OR('净值数据(iFinD公式)'!$A18="",'净值数据(iFinD公式)'!$B18=""),"",SUMPRODUCT(持仓配置!$B$7:$N$7,'净值数据(iFinD公式)'!$B18:$N18/'净值数据(iFinD公式)'!$B$5:$N$5)*(1-持仓配置!$P$7)^((ROW()-6)/说明!$C$17))</f>
        <v/>
      </c>
      <c r="L19" s="9">
        <f>IF(OR(K19="",K18=""),"",K19/K18-1)</f>
        <v/>
      </c>
      <c r="M19" s="9">
        <f>IF(K19="","",K19/MAX(K$6:K19)-1)</f>
        <v/>
      </c>
    </row>
    <row r="20">
      <c r="A20" s="169">
        <f>IF('净值数据(iFinD公式)'!A19="","",'净值数据(iFinD公式)'!A19)</f>
        <v/>
      </c>
      <c r="B20" s="165">
        <f>IF(OR('净值数据(iFinD公式)'!$A19="",'净值数据(iFinD公式)'!$B19=""),"",SUMPRODUCT(持仓配置!$B$4:$N$4,'净值数据(iFinD公式)'!$B19:$N19/'净值数据(iFinD公式)'!$B$5:$N$5)*(1-持仓配置!$P$4)^((ROW()-6)/说明!$C$17))</f>
        <v/>
      </c>
      <c r="C20" s="9">
        <f>IF(OR(B20="",B19=""),"",B20/B19-1)</f>
        <v/>
      </c>
      <c r="D20" s="9">
        <f>IF(B20="","",B20/MAX(B$6:B20)-1)</f>
        <v/>
      </c>
      <c r="E20" s="165">
        <f>IF(OR('净值数据(iFinD公式)'!$A19="",'净值数据(iFinD公式)'!$B19=""),"",SUMPRODUCT(持仓配置!$B$5:$N$5,'净值数据(iFinD公式)'!$B19:$N19/'净值数据(iFinD公式)'!$B$5:$N$5)*(1-持仓配置!$P$5)^((ROW()-6)/说明!$C$17))</f>
        <v/>
      </c>
      <c r="F20" s="9">
        <f>IF(OR(E20="",E19=""),"",E20/E19-1)</f>
        <v/>
      </c>
      <c r="G20" s="9">
        <f>IF(E20="","",E20/MAX(E$6:E20)-1)</f>
        <v/>
      </c>
      <c r="H20" s="165">
        <f>IF(OR('净值数据(iFinD公式)'!$A19="",'净值数据(iFinD公式)'!$B19=""),"",SUMPRODUCT(持仓配置!$B$6:$N$6,'净值数据(iFinD公式)'!$B19:$N19/'净值数据(iFinD公式)'!$B$5:$N$5)*(1-持仓配置!$P$6)^((ROW()-6)/说明!$C$17))</f>
        <v/>
      </c>
      <c r="I20" s="9">
        <f>IF(OR(H20="",H19=""),"",H20/H19-1)</f>
        <v/>
      </c>
      <c r="J20" s="9">
        <f>IF(H20="","",H20/MAX(H$6:H20)-1)</f>
        <v/>
      </c>
      <c r="K20" s="165">
        <f>IF(OR('净值数据(iFinD公式)'!$A19="",'净值数据(iFinD公式)'!$B19=""),"",SUMPRODUCT(持仓配置!$B$7:$N$7,'净值数据(iFinD公式)'!$B19:$N19/'净值数据(iFinD公式)'!$B$5:$N$5)*(1-持仓配置!$P$7)^((ROW()-6)/说明!$C$17))</f>
        <v/>
      </c>
      <c r="L20" s="9">
        <f>IF(OR(K20="",K19=""),"",K20/K19-1)</f>
        <v/>
      </c>
      <c r="M20" s="9">
        <f>IF(K20="","",K20/MAX(K$6:K20)-1)</f>
        <v/>
      </c>
    </row>
    <row r="21">
      <c r="A21" s="169">
        <f>IF('净值数据(iFinD公式)'!A20="","",'净值数据(iFinD公式)'!A20)</f>
        <v/>
      </c>
      <c r="B21" s="165">
        <f>IF(OR('净值数据(iFinD公式)'!$A20="",'净值数据(iFinD公式)'!$B20=""),"",SUMPRODUCT(持仓配置!$B$4:$N$4,'净值数据(iFinD公式)'!$B20:$N20/'净值数据(iFinD公式)'!$B$5:$N$5)*(1-持仓配置!$P$4)^((ROW()-6)/说明!$C$17))</f>
        <v/>
      </c>
      <c r="C21" s="9">
        <f>IF(OR(B21="",B20=""),"",B21/B20-1)</f>
        <v/>
      </c>
      <c r="D21" s="9">
        <f>IF(B21="","",B21/MAX(B$6:B21)-1)</f>
        <v/>
      </c>
      <c r="E21" s="165">
        <f>IF(OR('净值数据(iFinD公式)'!$A20="",'净值数据(iFinD公式)'!$B20=""),"",SUMPRODUCT(持仓配置!$B$5:$N$5,'净值数据(iFinD公式)'!$B20:$N20/'净值数据(iFinD公式)'!$B$5:$N$5)*(1-持仓配置!$P$5)^((ROW()-6)/说明!$C$17))</f>
        <v/>
      </c>
      <c r="F21" s="9">
        <f>IF(OR(E21="",E20=""),"",E21/E20-1)</f>
        <v/>
      </c>
      <c r="G21" s="9">
        <f>IF(E21="","",E21/MAX(E$6:E21)-1)</f>
        <v/>
      </c>
      <c r="H21" s="165">
        <f>IF(OR('净值数据(iFinD公式)'!$A20="",'净值数据(iFinD公式)'!$B20=""),"",SUMPRODUCT(持仓配置!$B$6:$N$6,'净值数据(iFinD公式)'!$B20:$N20/'净值数据(iFinD公式)'!$B$5:$N$5)*(1-持仓配置!$P$6)^((ROW()-6)/说明!$C$17))</f>
        <v/>
      </c>
      <c r="I21" s="9">
        <f>IF(OR(H21="",H20=""),"",H21/H20-1)</f>
        <v/>
      </c>
      <c r="J21" s="9">
        <f>IF(H21="","",H21/MAX(H$6:H21)-1)</f>
        <v/>
      </c>
      <c r="K21" s="165">
        <f>IF(OR('净值数据(iFinD公式)'!$A20="",'净值数据(iFinD公式)'!$B20=""),"",SUMPRODUCT(持仓配置!$B$7:$N$7,'净值数据(iFinD公式)'!$B20:$N20/'净值数据(iFinD公式)'!$B$5:$N$5)*(1-持仓配置!$P$7)^((ROW()-6)/说明!$C$17))</f>
        <v/>
      </c>
      <c r="L21" s="9">
        <f>IF(OR(K21="",K20=""),"",K21/K20-1)</f>
        <v/>
      </c>
      <c r="M21" s="9">
        <f>IF(K21="","",K21/MAX(K$6:K21)-1)</f>
        <v/>
      </c>
    </row>
    <row r="22">
      <c r="A22" s="169">
        <f>IF('净值数据(iFinD公式)'!A21="","",'净值数据(iFinD公式)'!A21)</f>
        <v/>
      </c>
      <c r="B22" s="165">
        <f>IF(OR('净值数据(iFinD公式)'!$A21="",'净值数据(iFinD公式)'!$B21=""),"",SUMPRODUCT(持仓配置!$B$4:$N$4,'净值数据(iFinD公式)'!$B21:$N21/'净值数据(iFinD公式)'!$B$5:$N$5)*(1-持仓配置!$P$4)^((ROW()-6)/说明!$C$17))</f>
        <v/>
      </c>
      <c r="C22" s="9">
        <f>IF(OR(B22="",B21=""),"",B22/B21-1)</f>
        <v/>
      </c>
      <c r="D22" s="9">
        <f>IF(B22="","",B22/MAX(B$6:B22)-1)</f>
        <v/>
      </c>
      <c r="E22" s="165">
        <f>IF(OR('净值数据(iFinD公式)'!$A21="",'净值数据(iFinD公式)'!$B21=""),"",SUMPRODUCT(持仓配置!$B$5:$N$5,'净值数据(iFinD公式)'!$B21:$N21/'净值数据(iFinD公式)'!$B$5:$N$5)*(1-持仓配置!$P$5)^((ROW()-6)/说明!$C$17))</f>
        <v/>
      </c>
      <c r="F22" s="9">
        <f>IF(OR(E22="",E21=""),"",E22/E21-1)</f>
        <v/>
      </c>
      <c r="G22" s="9">
        <f>IF(E22="","",E22/MAX(E$6:E22)-1)</f>
        <v/>
      </c>
      <c r="H22" s="165">
        <f>IF(OR('净值数据(iFinD公式)'!$A21="",'净值数据(iFinD公式)'!$B21=""),"",SUMPRODUCT(持仓配置!$B$6:$N$6,'净值数据(iFinD公式)'!$B21:$N21/'净值数据(iFinD公式)'!$B$5:$N$5)*(1-持仓配置!$P$6)^((ROW()-6)/说明!$C$17))</f>
        <v/>
      </c>
      <c r="I22" s="9">
        <f>IF(OR(H22="",H21=""),"",H22/H21-1)</f>
        <v/>
      </c>
      <c r="J22" s="9">
        <f>IF(H22="","",H22/MAX(H$6:H22)-1)</f>
        <v/>
      </c>
      <c r="K22" s="165">
        <f>IF(OR('净值数据(iFinD公式)'!$A21="",'净值数据(iFinD公式)'!$B21=""),"",SUMPRODUCT(持仓配置!$B$7:$N$7,'净值数据(iFinD公式)'!$B21:$N21/'净值数据(iFinD公式)'!$B$5:$N$5)*(1-持仓配置!$P$7)^((ROW()-6)/说明!$C$17))</f>
        <v/>
      </c>
      <c r="L22" s="9">
        <f>IF(OR(K22="",K21=""),"",K22/K21-1)</f>
        <v/>
      </c>
      <c r="M22" s="9">
        <f>IF(K22="","",K22/MAX(K$6:K22)-1)</f>
        <v/>
      </c>
    </row>
    <row r="23">
      <c r="A23" s="169">
        <f>IF('净值数据(iFinD公式)'!A22="","",'净值数据(iFinD公式)'!A22)</f>
        <v/>
      </c>
      <c r="B23" s="165">
        <f>IF(OR('净值数据(iFinD公式)'!$A22="",'净值数据(iFinD公式)'!$B22=""),"",SUMPRODUCT(持仓配置!$B$4:$N$4,'净值数据(iFinD公式)'!$B22:$N22/'净值数据(iFinD公式)'!$B$5:$N$5)*(1-持仓配置!$P$4)^((ROW()-6)/说明!$C$17))</f>
        <v/>
      </c>
      <c r="C23" s="9">
        <f>IF(OR(B23="",B22=""),"",B23/B22-1)</f>
        <v/>
      </c>
      <c r="D23" s="9">
        <f>IF(B23="","",B23/MAX(B$6:B23)-1)</f>
        <v/>
      </c>
      <c r="E23" s="165">
        <f>IF(OR('净值数据(iFinD公式)'!$A22="",'净值数据(iFinD公式)'!$B22=""),"",SUMPRODUCT(持仓配置!$B$5:$N$5,'净值数据(iFinD公式)'!$B22:$N22/'净值数据(iFinD公式)'!$B$5:$N$5)*(1-持仓配置!$P$5)^((ROW()-6)/说明!$C$17))</f>
        <v/>
      </c>
      <c r="F23" s="9">
        <f>IF(OR(E23="",E22=""),"",E23/E22-1)</f>
        <v/>
      </c>
      <c r="G23" s="9">
        <f>IF(E23="","",E23/MAX(E$6:E23)-1)</f>
        <v/>
      </c>
      <c r="H23" s="165">
        <f>IF(OR('净值数据(iFinD公式)'!$A22="",'净值数据(iFinD公式)'!$B22=""),"",SUMPRODUCT(持仓配置!$B$6:$N$6,'净值数据(iFinD公式)'!$B22:$N22/'净值数据(iFinD公式)'!$B$5:$N$5)*(1-持仓配置!$P$6)^((ROW()-6)/说明!$C$17))</f>
        <v/>
      </c>
      <c r="I23" s="9">
        <f>IF(OR(H23="",H22=""),"",H23/H22-1)</f>
        <v/>
      </c>
      <c r="J23" s="9">
        <f>IF(H23="","",H23/MAX(H$6:H23)-1)</f>
        <v/>
      </c>
      <c r="K23" s="165">
        <f>IF(OR('净值数据(iFinD公式)'!$A22="",'净值数据(iFinD公式)'!$B22=""),"",SUMPRODUCT(持仓配置!$B$7:$N$7,'净值数据(iFinD公式)'!$B22:$N22/'净值数据(iFinD公式)'!$B$5:$N$5)*(1-持仓配置!$P$7)^((ROW()-6)/说明!$C$17))</f>
        <v/>
      </c>
      <c r="L23" s="9">
        <f>IF(OR(K23="",K22=""),"",K23/K22-1)</f>
        <v/>
      </c>
      <c r="M23" s="9">
        <f>IF(K23="","",K23/MAX(K$6:K23)-1)</f>
        <v/>
      </c>
    </row>
    <row r="24">
      <c r="A24" s="169">
        <f>IF('净值数据(iFinD公式)'!A23="","",'净值数据(iFinD公式)'!A23)</f>
        <v/>
      </c>
      <c r="B24" s="165">
        <f>IF(OR('净值数据(iFinD公式)'!$A23="",'净值数据(iFinD公式)'!$B23=""),"",SUMPRODUCT(持仓配置!$B$4:$N$4,'净值数据(iFinD公式)'!$B23:$N23/'净值数据(iFinD公式)'!$B$5:$N$5)*(1-持仓配置!$P$4)^((ROW()-6)/说明!$C$17))</f>
        <v/>
      </c>
      <c r="C24" s="9">
        <f>IF(OR(B24="",B23=""),"",B24/B23-1)</f>
        <v/>
      </c>
      <c r="D24" s="9">
        <f>IF(B24="","",B24/MAX(B$6:B24)-1)</f>
        <v/>
      </c>
      <c r="E24" s="165">
        <f>IF(OR('净值数据(iFinD公式)'!$A23="",'净值数据(iFinD公式)'!$B23=""),"",SUMPRODUCT(持仓配置!$B$5:$N$5,'净值数据(iFinD公式)'!$B23:$N23/'净值数据(iFinD公式)'!$B$5:$N$5)*(1-持仓配置!$P$5)^((ROW()-6)/说明!$C$17))</f>
        <v/>
      </c>
      <c r="F24" s="9">
        <f>IF(OR(E24="",E23=""),"",E24/E23-1)</f>
        <v/>
      </c>
      <c r="G24" s="9">
        <f>IF(E24="","",E24/MAX(E$6:E24)-1)</f>
        <v/>
      </c>
      <c r="H24" s="165">
        <f>IF(OR('净值数据(iFinD公式)'!$A23="",'净值数据(iFinD公式)'!$B23=""),"",SUMPRODUCT(持仓配置!$B$6:$N$6,'净值数据(iFinD公式)'!$B23:$N23/'净值数据(iFinD公式)'!$B$5:$N$5)*(1-持仓配置!$P$6)^((ROW()-6)/说明!$C$17))</f>
        <v/>
      </c>
      <c r="I24" s="9">
        <f>IF(OR(H24="",H23=""),"",H24/H23-1)</f>
        <v/>
      </c>
      <c r="J24" s="9">
        <f>IF(H24="","",H24/MAX(H$6:H24)-1)</f>
        <v/>
      </c>
      <c r="K24" s="165">
        <f>IF(OR('净值数据(iFinD公式)'!$A23="",'净值数据(iFinD公式)'!$B23=""),"",SUMPRODUCT(持仓配置!$B$7:$N$7,'净值数据(iFinD公式)'!$B23:$N23/'净值数据(iFinD公式)'!$B$5:$N$5)*(1-持仓配置!$P$7)^((ROW()-6)/说明!$C$17))</f>
        <v/>
      </c>
      <c r="L24" s="9">
        <f>IF(OR(K24="",K23=""),"",K24/K23-1)</f>
        <v/>
      </c>
      <c r="M24" s="9">
        <f>IF(K24="","",K24/MAX(K$6:K24)-1)</f>
        <v/>
      </c>
    </row>
    <row r="25">
      <c r="A25" s="169">
        <f>IF('净值数据(iFinD公式)'!A24="","",'净值数据(iFinD公式)'!A24)</f>
        <v/>
      </c>
      <c r="B25" s="165">
        <f>IF(OR('净值数据(iFinD公式)'!$A24="",'净值数据(iFinD公式)'!$B24=""),"",SUMPRODUCT(持仓配置!$B$4:$N$4,'净值数据(iFinD公式)'!$B24:$N24/'净值数据(iFinD公式)'!$B$5:$N$5)*(1-持仓配置!$P$4)^((ROW()-6)/说明!$C$17))</f>
        <v/>
      </c>
      <c r="C25" s="9">
        <f>IF(OR(B25="",B24=""),"",B25/B24-1)</f>
        <v/>
      </c>
      <c r="D25" s="9">
        <f>IF(B25="","",B25/MAX(B$6:B25)-1)</f>
        <v/>
      </c>
      <c r="E25" s="165">
        <f>IF(OR('净值数据(iFinD公式)'!$A24="",'净值数据(iFinD公式)'!$B24=""),"",SUMPRODUCT(持仓配置!$B$5:$N$5,'净值数据(iFinD公式)'!$B24:$N24/'净值数据(iFinD公式)'!$B$5:$N$5)*(1-持仓配置!$P$5)^((ROW()-6)/说明!$C$17))</f>
        <v/>
      </c>
      <c r="F25" s="9">
        <f>IF(OR(E25="",E24=""),"",E25/E24-1)</f>
        <v/>
      </c>
      <c r="G25" s="9">
        <f>IF(E25="","",E25/MAX(E$6:E25)-1)</f>
        <v/>
      </c>
      <c r="H25" s="165">
        <f>IF(OR('净值数据(iFinD公式)'!$A24="",'净值数据(iFinD公式)'!$B24=""),"",SUMPRODUCT(持仓配置!$B$6:$N$6,'净值数据(iFinD公式)'!$B24:$N24/'净值数据(iFinD公式)'!$B$5:$N$5)*(1-持仓配置!$P$6)^((ROW()-6)/说明!$C$17))</f>
        <v/>
      </c>
      <c r="I25" s="9">
        <f>IF(OR(H25="",H24=""),"",H25/H24-1)</f>
        <v/>
      </c>
      <c r="J25" s="9">
        <f>IF(H25="","",H25/MAX(H$6:H25)-1)</f>
        <v/>
      </c>
      <c r="K25" s="165">
        <f>IF(OR('净值数据(iFinD公式)'!$A24="",'净值数据(iFinD公式)'!$B24=""),"",SUMPRODUCT(持仓配置!$B$7:$N$7,'净值数据(iFinD公式)'!$B24:$N24/'净值数据(iFinD公式)'!$B$5:$N$5)*(1-持仓配置!$P$7)^((ROW()-6)/说明!$C$17))</f>
        <v/>
      </c>
      <c r="L25" s="9">
        <f>IF(OR(K25="",K24=""),"",K25/K24-1)</f>
        <v/>
      </c>
      <c r="M25" s="9">
        <f>IF(K25="","",K25/MAX(K$6:K25)-1)</f>
        <v/>
      </c>
    </row>
    <row r="26">
      <c r="A26" s="169">
        <f>IF('净值数据(iFinD公式)'!A25="","",'净值数据(iFinD公式)'!A25)</f>
        <v/>
      </c>
      <c r="B26" s="165">
        <f>IF(OR('净值数据(iFinD公式)'!$A25="",'净值数据(iFinD公式)'!$B25=""),"",SUMPRODUCT(持仓配置!$B$4:$N$4,'净值数据(iFinD公式)'!$B25:$N25/'净值数据(iFinD公式)'!$B$5:$N$5)*(1-持仓配置!$P$4)^((ROW()-6)/说明!$C$17))</f>
        <v/>
      </c>
      <c r="C26" s="9">
        <f>IF(OR(B26="",B25=""),"",B26/B25-1)</f>
        <v/>
      </c>
      <c r="D26" s="9">
        <f>IF(B26="","",B26/MAX(B$6:B26)-1)</f>
        <v/>
      </c>
      <c r="E26" s="165">
        <f>IF(OR('净值数据(iFinD公式)'!$A25="",'净值数据(iFinD公式)'!$B25=""),"",SUMPRODUCT(持仓配置!$B$5:$N$5,'净值数据(iFinD公式)'!$B25:$N25/'净值数据(iFinD公式)'!$B$5:$N$5)*(1-持仓配置!$P$5)^((ROW()-6)/说明!$C$17))</f>
        <v/>
      </c>
      <c r="F26" s="9">
        <f>IF(OR(E26="",E25=""),"",E26/E25-1)</f>
        <v/>
      </c>
      <c r="G26" s="9">
        <f>IF(E26="","",E26/MAX(E$6:E26)-1)</f>
        <v/>
      </c>
      <c r="H26" s="165">
        <f>IF(OR('净值数据(iFinD公式)'!$A25="",'净值数据(iFinD公式)'!$B25=""),"",SUMPRODUCT(持仓配置!$B$6:$N$6,'净值数据(iFinD公式)'!$B25:$N25/'净值数据(iFinD公式)'!$B$5:$N$5)*(1-持仓配置!$P$6)^((ROW()-6)/说明!$C$17))</f>
        <v/>
      </c>
      <c r="I26" s="9">
        <f>IF(OR(H26="",H25=""),"",H26/H25-1)</f>
        <v/>
      </c>
      <c r="J26" s="9">
        <f>IF(H26="","",H26/MAX(H$6:H26)-1)</f>
        <v/>
      </c>
      <c r="K26" s="165">
        <f>IF(OR('净值数据(iFinD公式)'!$A25="",'净值数据(iFinD公式)'!$B25=""),"",SUMPRODUCT(持仓配置!$B$7:$N$7,'净值数据(iFinD公式)'!$B25:$N25/'净值数据(iFinD公式)'!$B$5:$N$5)*(1-持仓配置!$P$7)^((ROW()-6)/说明!$C$17))</f>
        <v/>
      </c>
      <c r="L26" s="9">
        <f>IF(OR(K26="",K25=""),"",K26/K25-1)</f>
        <v/>
      </c>
      <c r="M26" s="9">
        <f>IF(K26="","",K26/MAX(K$6:K26)-1)</f>
        <v/>
      </c>
    </row>
    <row r="27">
      <c r="A27" s="169">
        <f>IF('净值数据(iFinD公式)'!A26="","",'净值数据(iFinD公式)'!A26)</f>
        <v/>
      </c>
      <c r="B27" s="165">
        <f>IF(OR('净值数据(iFinD公式)'!$A26="",'净值数据(iFinD公式)'!$B26=""),"",SUMPRODUCT(持仓配置!$B$4:$N$4,'净值数据(iFinD公式)'!$B26:$N26/'净值数据(iFinD公式)'!$B$5:$N$5)*(1-持仓配置!$P$4)^((ROW()-6)/说明!$C$17))</f>
        <v/>
      </c>
      <c r="C27" s="9">
        <f>IF(OR(B27="",B26=""),"",B27/B26-1)</f>
        <v/>
      </c>
      <c r="D27" s="9">
        <f>IF(B27="","",B27/MAX(B$6:B27)-1)</f>
        <v/>
      </c>
      <c r="E27" s="165">
        <f>IF(OR('净值数据(iFinD公式)'!$A26="",'净值数据(iFinD公式)'!$B26=""),"",SUMPRODUCT(持仓配置!$B$5:$N$5,'净值数据(iFinD公式)'!$B26:$N26/'净值数据(iFinD公式)'!$B$5:$N$5)*(1-持仓配置!$P$5)^((ROW()-6)/说明!$C$17))</f>
        <v/>
      </c>
      <c r="F27" s="9">
        <f>IF(OR(E27="",E26=""),"",E27/E26-1)</f>
        <v/>
      </c>
      <c r="G27" s="9">
        <f>IF(E27="","",E27/MAX(E$6:E27)-1)</f>
        <v/>
      </c>
      <c r="H27" s="165">
        <f>IF(OR('净值数据(iFinD公式)'!$A26="",'净值数据(iFinD公式)'!$B26=""),"",SUMPRODUCT(持仓配置!$B$6:$N$6,'净值数据(iFinD公式)'!$B26:$N26/'净值数据(iFinD公式)'!$B$5:$N$5)*(1-持仓配置!$P$6)^((ROW()-6)/说明!$C$17))</f>
        <v/>
      </c>
      <c r="I27" s="9">
        <f>IF(OR(H27="",H26=""),"",H27/H26-1)</f>
        <v/>
      </c>
      <c r="J27" s="9">
        <f>IF(H27="","",H27/MAX(H$6:H27)-1)</f>
        <v/>
      </c>
      <c r="K27" s="165">
        <f>IF(OR('净值数据(iFinD公式)'!$A26="",'净值数据(iFinD公式)'!$B26=""),"",SUMPRODUCT(持仓配置!$B$7:$N$7,'净值数据(iFinD公式)'!$B26:$N26/'净值数据(iFinD公式)'!$B$5:$N$5)*(1-持仓配置!$P$7)^((ROW()-6)/说明!$C$17))</f>
        <v/>
      </c>
      <c r="L27" s="9">
        <f>IF(OR(K27="",K26=""),"",K27/K26-1)</f>
        <v/>
      </c>
      <c r="M27" s="9">
        <f>IF(K27="","",K27/MAX(K$6:K27)-1)</f>
        <v/>
      </c>
      <c r="O27" s="28">
        <f>B25/B6-1</f>
        <v/>
      </c>
    </row>
    <row r="28">
      <c r="A28" s="169">
        <f>IF('净值数据(iFinD公式)'!A27="","",'净值数据(iFinD公式)'!A27)</f>
        <v/>
      </c>
      <c r="B28" s="165">
        <f>IF(OR('净值数据(iFinD公式)'!$A27="",'净值数据(iFinD公式)'!$B27=""),"",SUMPRODUCT(持仓配置!$B$4:$N$4,'净值数据(iFinD公式)'!$B27:$N27/'净值数据(iFinD公式)'!$B$5:$N$5)*(1-持仓配置!$P$4)^((ROW()-6)/说明!$C$17))</f>
        <v/>
      </c>
      <c r="C28" s="9">
        <f>IF(OR(B28="",B27=""),"",B28/B27-1)</f>
        <v/>
      </c>
      <c r="D28" s="9">
        <f>IF(B28="","",B28/MAX(B$6:B28)-1)</f>
        <v/>
      </c>
      <c r="E28" s="165">
        <f>IF(OR('净值数据(iFinD公式)'!$A27="",'净值数据(iFinD公式)'!$B27=""),"",SUMPRODUCT(持仓配置!$B$5:$N$5,'净值数据(iFinD公式)'!$B27:$N27/'净值数据(iFinD公式)'!$B$5:$N$5)*(1-持仓配置!$P$5)^((ROW()-6)/说明!$C$17))</f>
        <v/>
      </c>
      <c r="F28" s="9">
        <f>IF(OR(E28="",E27=""),"",E28/E27-1)</f>
        <v/>
      </c>
      <c r="G28" s="9">
        <f>IF(E28="","",E28/MAX(E$6:E28)-1)</f>
        <v/>
      </c>
      <c r="H28" s="165">
        <f>IF(OR('净值数据(iFinD公式)'!$A27="",'净值数据(iFinD公式)'!$B27=""),"",SUMPRODUCT(持仓配置!$B$6:$N$6,'净值数据(iFinD公式)'!$B27:$N27/'净值数据(iFinD公式)'!$B$5:$N$5)*(1-持仓配置!$P$6)^((ROW()-6)/说明!$C$17))</f>
        <v/>
      </c>
      <c r="I28" s="9">
        <f>IF(OR(H28="",H27=""),"",H28/H27-1)</f>
        <v/>
      </c>
      <c r="J28" s="9">
        <f>IF(H28="","",H28/MAX(H$6:H28)-1)</f>
        <v/>
      </c>
      <c r="K28" s="165">
        <f>IF(OR('净值数据(iFinD公式)'!$A27="",'净值数据(iFinD公式)'!$B27=""),"",SUMPRODUCT(持仓配置!$B$7:$N$7,'净值数据(iFinD公式)'!$B27:$N27/'净值数据(iFinD公式)'!$B$5:$N$5)*(1-持仓配置!$P$7)^((ROW()-6)/说明!$C$17))</f>
        <v/>
      </c>
      <c r="L28" s="9">
        <f>IF(OR(K28="",K27=""),"",K28/K27-1)</f>
        <v/>
      </c>
      <c r="M28" s="9">
        <f>IF(K28="","",K28/MAX(K$6:K28)-1)</f>
        <v/>
      </c>
    </row>
    <row r="29">
      <c r="A29" s="169">
        <f>IF('净值数据(iFinD公式)'!A28="","",'净值数据(iFinD公式)'!A28)</f>
        <v/>
      </c>
      <c r="B29" s="165">
        <f>IF(OR('净值数据(iFinD公式)'!$A28="",'净值数据(iFinD公式)'!$B28=""),"",SUMPRODUCT(持仓配置!$B$4:$N$4,'净值数据(iFinD公式)'!$B28:$N28/'净值数据(iFinD公式)'!$B$5:$N$5)*(1-持仓配置!$P$4)^((ROW()-6)/说明!$C$17))</f>
        <v/>
      </c>
      <c r="C29" s="9">
        <f>IF(OR(B29="",B28=""),"",B29/B28-1)</f>
        <v/>
      </c>
      <c r="D29" s="9">
        <f>IF(B29="","",B29/MAX(B$6:B29)-1)</f>
        <v/>
      </c>
      <c r="E29" s="165">
        <f>IF(OR('净值数据(iFinD公式)'!$A28="",'净值数据(iFinD公式)'!$B28=""),"",SUMPRODUCT(持仓配置!$B$5:$N$5,'净值数据(iFinD公式)'!$B28:$N28/'净值数据(iFinD公式)'!$B$5:$N$5)*(1-持仓配置!$P$5)^((ROW()-6)/说明!$C$17))</f>
        <v/>
      </c>
      <c r="F29" s="9">
        <f>IF(OR(E29="",E28=""),"",E29/E28-1)</f>
        <v/>
      </c>
      <c r="G29" s="9">
        <f>IF(E29="","",E29/MAX(E$6:E29)-1)</f>
        <v/>
      </c>
      <c r="H29" s="165">
        <f>IF(OR('净值数据(iFinD公式)'!$A28="",'净值数据(iFinD公式)'!$B28=""),"",SUMPRODUCT(持仓配置!$B$6:$N$6,'净值数据(iFinD公式)'!$B28:$N28/'净值数据(iFinD公式)'!$B$5:$N$5)*(1-持仓配置!$P$6)^((ROW()-6)/说明!$C$17))</f>
        <v/>
      </c>
      <c r="I29" s="9">
        <f>IF(OR(H29="",H28=""),"",H29/H28-1)</f>
        <v/>
      </c>
      <c r="J29" s="9">
        <f>IF(H29="","",H29/MAX(H$6:H29)-1)</f>
        <v/>
      </c>
      <c r="K29" s="165">
        <f>IF(OR('净值数据(iFinD公式)'!$A28="",'净值数据(iFinD公式)'!$B28=""),"",SUMPRODUCT(持仓配置!$B$7:$N$7,'净值数据(iFinD公式)'!$B28:$N28/'净值数据(iFinD公式)'!$B$5:$N$5)*(1-持仓配置!$P$7)^((ROW()-6)/说明!$C$17))</f>
        <v/>
      </c>
      <c r="L29" s="9">
        <f>IF(OR(K29="",K28=""),"",K29/K28-1)</f>
        <v/>
      </c>
      <c r="M29" s="9">
        <f>IF(K29="","",K29/MAX(K$6:K29)-1)</f>
        <v/>
      </c>
    </row>
    <row r="30">
      <c r="A30" s="169">
        <f>IF('净值数据(iFinD公式)'!A29="","",'净值数据(iFinD公式)'!A29)</f>
        <v/>
      </c>
      <c r="B30" s="165">
        <f>IF(OR('净值数据(iFinD公式)'!$A29="",'净值数据(iFinD公式)'!$B29=""),"",SUMPRODUCT(持仓配置!$B$4:$N$4,'净值数据(iFinD公式)'!$B29:$N29/'净值数据(iFinD公式)'!$B$5:$N$5)*(1-持仓配置!$P$4)^((ROW()-6)/说明!$C$17))</f>
        <v/>
      </c>
      <c r="C30" s="9">
        <f>IF(OR(B30="",B29=""),"",B30/B29-1)</f>
        <v/>
      </c>
      <c r="D30" s="9">
        <f>IF(B30="","",B30/MAX(B$6:B30)-1)</f>
        <v/>
      </c>
      <c r="E30" s="165">
        <f>IF(OR('净值数据(iFinD公式)'!$A29="",'净值数据(iFinD公式)'!$B29=""),"",SUMPRODUCT(持仓配置!$B$5:$N$5,'净值数据(iFinD公式)'!$B29:$N29/'净值数据(iFinD公式)'!$B$5:$N$5)*(1-持仓配置!$P$5)^((ROW()-6)/说明!$C$17))</f>
        <v/>
      </c>
      <c r="F30" s="9">
        <f>IF(OR(E30="",E29=""),"",E30/E29-1)</f>
        <v/>
      </c>
      <c r="G30" s="9">
        <f>IF(E30="","",E30/MAX(E$6:E30)-1)</f>
        <v/>
      </c>
      <c r="H30" s="165">
        <f>IF(OR('净值数据(iFinD公式)'!$A29="",'净值数据(iFinD公式)'!$B29=""),"",SUMPRODUCT(持仓配置!$B$6:$N$6,'净值数据(iFinD公式)'!$B29:$N29/'净值数据(iFinD公式)'!$B$5:$N$5)*(1-持仓配置!$P$6)^((ROW()-6)/说明!$C$17))</f>
        <v/>
      </c>
      <c r="I30" s="9">
        <f>IF(OR(H30="",H29=""),"",H30/H29-1)</f>
        <v/>
      </c>
      <c r="J30" s="9">
        <f>IF(H30="","",H30/MAX(H$6:H30)-1)</f>
        <v/>
      </c>
      <c r="K30" s="165">
        <f>IF(OR('净值数据(iFinD公式)'!$A29="",'净值数据(iFinD公式)'!$B29=""),"",SUMPRODUCT(持仓配置!$B$7:$N$7,'净值数据(iFinD公式)'!$B29:$N29/'净值数据(iFinD公式)'!$B$5:$N$5)*(1-持仓配置!$P$7)^((ROW()-6)/说明!$C$17))</f>
        <v/>
      </c>
      <c r="L30" s="9">
        <f>IF(OR(K30="",K29=""),"",K30/K29-1)</f>
        <v/>
      </c>
      <c r="M30" s="9">
        <f>IF(K30="","",K30/MAX(K$6:K30)-1)</f>
        <v/>
      </c>
    </row>
    <row r="31">
      <c r="A31" s="169">
        <f>IF('净值数据(iFinD公式)'!A30="","",'净值数据(iFinD公式)'!A30)</f>
        <v/>
      </c>
      <c r="B31" s="165">
        <f>IF(OR('净值数据(iFinD公式)'!$A30="",'净值数据(iFinD公式)'!$B30=""),"",SUMPRODUCT(持仓配置!$B$4:$N$4,'净值数据(iFinD公式)'!$B30:$N30/'净值数据(iFinD公式)'!$B$5:$N$5)*(1-持仓配置!$P$4)^((ROW()-6)/说明!$C$17))</f>
        <v/>
      </c>
      <c r="C31" s="9">
        <f>IF(OR(B31="",B30=""),"",B31/B30-1)</f>
        <v/>
      </c>
      <c r="D31" s="9">
        <f>IF(B31="","",B31/MAX(B$6:B31)-1)</f>
        <v/>
      </c>
      <c r="E31" s="165">
        <f>IF(OR('净值数据(iFinD公式)'!$A30="",'净值数据(iFinD公式)'!$B30=""),"",SUMPRODUCT(持仓配置!$B$5:$N$5,'净值数据(iFinD公式)'!$B30:$N30/'净值数据(iFinD公式)'!$B$5:$N$5)*(1-持仓配置!$P$5)^((ROW()-6)/说明!$C$17))</f>
        <v/>
      </c>
      <c r="F31" s="9">
        <f>IF(OR(E31="",E30=""),"",E31/E30-1)</f>
        <v/>
      </c>
      <c r="G31" s="9">
        <f>IF(E31="","",E31/MAX(E$6:E31)-1)</f>
        <v/>
      </c>
      <c r="H31" s="165">
        <f>IF(OR('净值数据(iFinD公式)'!$A30="",'净值数据(iFinD公式)'!$B30=""),"",SUMPRODUCT(持仓配置!$B$6:$N$6,'净值数据(iFinD公式)'!$B30:$N30/'净值数据(iFinD公式)'!$B$5:$N$5)*(1-持仓配置!$P$6)^((ROW()-6)/说明!$C$17))</f>
        <v/>
      </c>
      <c r="I31" s="9">
        <f>IF(OR(H31="",H30=""),"",H31/H30-1)</f>
        <v/>
      </c>
      <c r="J31" s="9">
        <f>IF(H31="","",H31/MAX(H$6:H31)-1)</f>
        <v/>
      </c>
      <c r="K31" s="165">
        <f>IF(OR('净值数据(iFinD公式)'!$A30="",'净值数据(iFinD公式)'!$B30=""),"",SUMPRODUCT(持仓配置!$B$7:$N$7,'净值数据(iFinD公式)'!$B30:$N30/'净值数据(iFinD公式)'!$B$5:$N$5)*(1-持仓配置!$P$7)^((ROW()-6)/说明!$C$17))</f>
        <v/>
      </c>
      <c r="L31" s="9">
        <f>IF(OR(K31="",K30=""),"",K31/K30-1)</f>
        <v/>
      </c>
      <c r="M31" s="9">
        <f>IF(K31="","",K31/MAX(K$6:K31)-1)</f>
        <v/>
      </c>
    </row>
    <row r="32">
      <c r="A32" s="169">
        <f>IF('净值数据(iFinD公式)'!A31="","",'净值数据(iFinD公式)'!A31)</f>
        <v/>
      </c>
      <c r="B32" s="165">
        <f>IF(OR('净值数据(iFinD公式)'!$A31="",'净值数据(iFinD公式)'!$B31=""),"",SUMPRODUCT(持仓配置!$B$4:$N$4,'净值数据(iFinD公式)'!$B31:$N31/'净值数据(iFinD公式)'!$B$5:$N$5)*(1-持仓配置!$P$4)^((ROW()-6)/说明!$C$17))</f>
        <v/>
      </c>
      <c r="C32" s="9">
        <f>IF(OR(B32="",B31=""),"",B32/B31-1)</f>
        <v/>
      </c>
      <c r="D32" s="9">
        <f>IF(B32="","",B32/MAX(B$6:B32)-1)</f>
        <v/>
      </c>
      <c r="E32" s="165">
        <f>IF(OR('净值数据(iFinD公式)'!$A31="",'净值数据(iFinD公式)'!$B31=""),"",SUMPRODUCT(持仓配置!$B$5:$N$5,'净值数据(iFinD公式)'!$B31:$N31/'净值数据(iFinD公式)'!$B$5:$N$5)*(1-持仓配置!$P$5)^((ROW()-6)/说明!$C$17))</f>
        <v/>
      </c>
      <c r="F32" s="9">
        <f>IF(OR(E32="",E31=""),"",E32/E31-1)</f>
        <v/>
      </c>
      <c r="G32" s="9">
        <f>IF(E32="","",E32/MAX(E$6:E32)-1)</f>
        <v/>
      </c>
      <c r="H32" s="165">
        <f>IF(OR('净值数据(iFinD公式)'!$A31="",'净值数据(iFinD公式)'!$B31=""),"",SUMPRODUCT(持仓配置!$B$6:$N$6,'净值数据(iFinD公式)'!$B31:$N31/'净值数据(iFinD公式)'!$B$5:$N$5)*(1-持仓配置!$P$6)^((ROW()-6)/说明!$C$17))</f>
        <v/>
      </c>
      <c r="I32" s="9">
        <f>IF(OR(H32="",H31=""),"",H32/H31-1)</f>
        <v/>
      </c>
      <c r="J32" s="9">
        <f>IF(H32="","",H32/MAX(H$6:H32)-1)</f>
        <v/>
      </c>
      <c r="K32" s="165">
        <f>IF(OR('净值数据(iFinD公式)'!$A31="",'净值数据(iFinD公式)'!$B31=""),"",SUMPRODUCT(持仓配置!$B$7:$N$7,'净值数据(iFinD公式)'!$B31:$N31/'净值数据(iFinD公式)'!$B$5:$N$5)*(1-持仓配置!$P$7)^((ROW()-6)/说明!$C$17))</f>
        <v/>
      </c>
      <c r="L32" s="9">
        <f>IF(OR(K32="",K31=""),"",K32/K31-1)</f>
        <v/>
      </c>
      <c r="M32" s="9">
        <f>IF(K32="","",K32/MAX(K$6:K32)-1)</f>
        <v/>
      </c>
    </row>
    <row r="33">
      <c r="A33" s="169">
        <f>IF('净值数据(iFinD公式)'!A32="","",'净值数据(iFinD公式)'!A32)</f>
        <v/>
      </c>
      <c r="B33" s="165">
        <f>IF(OR('净值数据(iFinD公式)'!$A32="",'净值数据(iFinD公式)'!$B32=""),"",SUMPRODUCT(持仓配置!$B$4:$N$4,'净值数据(iFinD公式)'!$B32:$N32/'净值数据(iFinD公式)'!$B$5:$N$5)*(1-持仓配置!$P$4)^((ROW()-6)/说明!$C$17))</f>
        <v/>
      </c>
      <c r="C33" s="9">
        <f>IF(OR(B33="",B32=""),"",B33/B32-1)</f>
        <v/>
      </c>
      <c r="D33" s="9">
        <f>IF(B33="","",B33/MAX(B$6:B33)-1)</f>
        <v/>
      </c>
      <c r="E33" s="165">
        <f>IF(OR('净值数据(iFinD公式)'!$A32="",'净值数据(iFinD公式)'!$B32=""),"",SUMPRODUCT(持仓配置!$B$5:$N$5,'净值数据(iFinD公式)'!$B32:$N32/'净值数据(iFinD公式)'!$B$5:$N$5)*(1-持仓配置!$P$5)^((ROW()-6)/说明!$C$17))</f>
        <v/>
      </c>
      <c r="F33" s="9">
        <f>IF(OR(E33="",E32=""),"",E33/E32-1)</f>
        <v/>
      </c>
      <c r="G33" s="9">
        <f>IF(E33="","",E33/MAX(E$6:E33)-1)</f>
        <v/>
      </c>
      <c r="H33" s="165">
        <f>IF(OR('净值数据(iFinD公式)'!$A32="",'净值数据(iFinD公式)'!$B32=""),"",SUMPRODUCT(持仓配置!$B$6:$N$6,'净值数据(iFinD公式)'!$B32:$N32/'净值数据(iFinD公式)'!$B$5:$N$5)*(1-持仓配置!$P$6)^((ROW()-6)/说明!$C$17))</f>
        <v/>
      </c>
      <c r="I33" s="9">
        <f>IF(OR(H33="",H32=""),"",H33/H32-1)</f>
        <v/>
      </c>
      <c r="J33" s="9">
        <f>IF(H33="","",H33/MAX(H$6:H33)-1)</f>
        <v/>
      </c>
      <c r="K33" s="165">
        <f>IF(OR('净值数据(iFinD公式)'!$A32="",'净值数据(iFinD公式)'!$B32=""),"",SUMPRODUCT(持仓配置!$B$7:$N$7,'净值数据(iFinD公式)'!$B32:$N32/'净值数据(iFinD公式)'!$B$5:$N$5)*(1-持仓配置!$P$7)^((ROW()-6)/说明!$C$17))</f>
        <v/>
      </c>
      <c r="L33" s="9">
        <f>IF(OR(K33="",K32=""),"",K33/K32-1)</f>
        <v/>
      </c>
      <c r="M33" s="9">
        <f>IF(K33="","",K33/MAX(K$6:K33)-1)</f>
        <v/>
      </c>
    </row>
    <row r="34">
      <c r="A34" s="169">
        <f>IF('净值数据(iFinD公式)'!A33="","",'净值数据(iFinD公式)'!A33)</f>
        <v/>
      </c>
      <c r="B34" s="165">
        <f>IF(OR('净值数据(iFinD公式)'!$A33="",'净值数据(iFinD公式)'!$B33=""),"",SUMPRODUCT(持仓配置!$B$4:$N$4,'净值数据(iFinD公式)'!$B33:$N33/'净值数据(iFinD公式)'!$B$5:$N$5)*(1-持仓配置!$P$4)^((ROW()-6)/说明!$C$17))</f>
        <v/>
      </c>
      <c r="C34" s="9">
        <f>IF(OR(B34="",B33=""),"",B34/B33-1)</f>
        <v/>
      </c>
      <c r="D34" s="9">
        <f>IF(B34="","",B34/MAX(B$6:B34)-1)</f>
        <v/>
      </c>
      <c r="E34" s="165">
        <f>IF(OR('净值数据(iFinD公式)'!$A33="",'净值数据(iFinD公式)'!$B33=""),"",SUMPRODUCT(持仓配置!$B$5:$N$5,'净值数据(iFinD公式)'!$B33:$N33/'净值数据(iFinD公式)'!$B$5:$N$5)*(1-持仓配置!$P$5)^((ROW()-6)/说明!$C$17))</f>
        <v/>
      </c>
      <c r="F34" s="9">
        <f>IF(OR(E34="",E33=""),"",E34/E33-1)</f>
        <v/>
      </c>
      <c r="G34" s="9">
        <f>IF(E34="","",E34/MAX(E$6:E34)-1)</f>
        <v/>
      </c>
      <c r="H34" s="165">
        <f>IF(OR('净值数据(iFinD公式)'!$A33="",'净值数据(iFinD公式)'!$B33=""),"",SUMPRODUCT(持仓配置!$B$6:$N$6,'净值数据(iFinD公式)'!$B33:$N33/'净值数据(iFinD公式)'!$B$5:$N$5)*(1-持仓配置!$P$6)^((ROW()-6)/说明!$C$17))</f>
        <v/>
      </c>
      <c r="I34" s="9">
        <f>IF(OR(H34="",H33=""),"",H34/H33-1)</f>
        <v/>
      </c>
      <c r="J34" s="9">
        <f>IF(H34="","",H34/MAX(H$6:H34)-1)</f>
        <v/>
      </c>
      <c r="K34" s="165">
        <f>IF(OR('净值数据(iFinD公式)'!$A33="",'净值数据(iFinD公式)'!$B33=""),"",SUMPRODUCT(持仓配置!$B$7:$N$7,'净值数据(iFinD公式)'!$B33:$N33/'净值数据(iFinD公式)'!$B$5:$N$5)*(1-持仓配置!$P$7)^((ROW()-6)/说明!$C$17))</f>
        <v/>
      </c>
      <c r="L34" s="9">
        <f>IF(OR(K34="",K33=""),"",K34/K33-1)</f>
        <v/>
      </c>
      <c r="M34" s="9">
        <f>IF(K34="","",K34/MAX(K$6:K34)-1)</f>
        <v/>
      </c>
    </row>
    <row r="35">
      <c r="A35" s="169">
        <f>IF('净值数据(iFinD公式)'!A34="","",'净值数据(iFinD公式)'!A34)</f>
        <v/>
      </c>
      <c r="B35" s="165">
        <f>IF(OR('净值数据(iFinD公式)'!$A34="",'净值数据(iFinD公式)'!$B34=""),"",SUMPRODUCT(持仓配置!$B$4:$N$4,'净值数据(iFinD公式)'!$B34:$N34/'净值数据(iFinD公式)'!$B$5:$N$5)*(1-持仓配置!$P$4)^((ROW()-6)/说明!$C$17))</f>
        <v/>
      </c>
      <c r="C35" s="9">
        <f>IF(OR(B35="",B34=""),"",B35/B34-1)</f>
        <v/>
      </c>
      <c r="D35" s="9">
        <f>IF(B35="","",B35/MAX(B$6:B35)-1)</f>
        <v/>
      </c>
      <c r="E35" s="165">
        <f>IF(OR('净值数据(iFinD公式)'!$A34="",'净值数据(iFinD公式)'!$B34=""),"",SUMPRODUCT(持仓配置!$B$5:$N$5,'净值数据(iFinD公式)'!$B34:$N34/'净值数据(iFinD公式)'!$B$5:$N$5)*(1-持仓配置!$P$5)^((ROW()-6)/说明!$C$17))</f>
        <v/>
      </c>
      <c r="F35" s="9">
        <f>IF(OR(E35="",E34=""),"",E35/E34-1)</f>
        <v/>
      </c>
      <c r="G35" s="9">
        <f>IF(E35="","",E35/MAX(E$6:E35)-1)</f>
        <v/>
      </c>
      <c r="H35" s="165">
        <f>IF(OR('净值数据(iFinD公式)'!$A34="",'净值数据(iFinD公式)'!$B34=""),"",SUMPRODUCT(持仓配置!$B$6:$N$6,'净值数据(iFinD公式)'!$B34:$N34/'净值数据(iFinD公式)'!$B$5:$N$5)*(1-持仓配置!$P$6)^((ROW()-6)/说明!$C$17))</f>
        <v/>
      </c>
      <c r="I35" s="9">
        <f>IF(OR(H35="",H34=""),"",H35/H34-1)</f>
        <v/>
      </c>
      <c r="J35" s="9">
        <f>IF(H35="","",H35/MAX(H$6:H35)-1)</f>
        <v/>
      </c>
      <c r="K35" s="165">
        <f>IF(OR('净值数据(iFinD公式)'!$A34="",'净值数据(iFinD公式)'!$B34=""),"",SUMPRODUCT(持仓配置!$B$7:$N$7,'净值数据(iFinD公式)'!$B34:$N34/'净值数据(iFinD公式)'!$B$5:$N$5)*(1-持仓配置!$P$7)^((ROW()-6)/说明!$C$17))</f>
        <v/>
      </c>
      <c r="L35" s="9">
        <f>IF(OR(K35="",K34=""),"",K35/K34-1)</f>
        <v/>
      </c>
      <c r="M35" s="9">
        <f>IF(K35="","",K35/MAX(K$6:K35)-1)</f>
        <v/>
      </c>
    </row>
    <row r="36">
      <c r="A36" s="169">
        <f>IF('净值数据(iFinD公式)'!A35="","",'净值数据(iFinD公式)'!A35)</f>
        <v/>
      </c>
      <c r="B36" s="165">
        <f>IF(OR('净值数据(iFinD公式)'!$A35="",'净值数据(iFinD公式)'!$B35=""),"",SUMPRODUCT(持仓配置!$B$4:$N$4,'净值数据(iFinD公式)'!$B35:$N35/'净值数据(iFinD公式)'!$B$5:$N$5)*(1-持仓配置!$P$4)^((ROW()-6)/说明!$C$17))</f>
        <v/>
      </c>
      <c r="C36" s="9">
        <f>IF(OR(B36="",B35=""),"",B36/B35-1)</f>
        <v/>
      </c>
      <c r="D36" s="9">
        <f>IF(B36="","",B36/MAX(B$6:B36)-1)</f>
        <v/>
      </c>
      <c r="E36" s="165">
        <f>IF(OR('净值数据(iFinD公式)'!$A35="",'净值数据(iFinD公式)'!$B35=""),"",SUMPRODUCT(持仓配置!$B$5:$N$5,'净值数据(iFinD公式)'!$B35:$N35/'净值数据(iFinD公式)'!$B$5:$N$5)*(1-持仓配置!$P$5)^((ROW()-6)/说明!$C$17))</f>
        <v/>
      </c>
      <c r="F36" s="9">
        <f>IF(OR(E36="",E35=""),"",E36/E35-1)</f>
        <v/>
      </c>
      <c r="G36" s="9">
        <f>IF(E36="","",E36/MAX(E$6:E36)-1)</f>
        <v/>
      </c>
      <c r="H36" s="165">
        <f>IF(OR('净值数据(iFinD公式)'!$A35="",'净值数据(iFinD公式)'!$B35=""),"",SUMPRODUCT(持仓配置!$B$6:$N$6,'净值数据(iFinD公式)'!$B35:$N35/'净值数据(iFinD公式)'!$B$5:$N$5)*(1-持仓配置!$P$6)^((ROW()-6)/说明!$C$17))</f>
        <v/>
      </c>
      <c r="I36" s="9">
        <f>IF(OR(H36="",H35=""),"",H36/H35-1)</f>
        <v/>
      </c>
      <c r="J36" s="9">
        <f>IF(H36="","",H36/MAX(H$6:H36)-1)</f>
        <v/>
      </c>
      <c r="K36" s="165">
        <f>IF(OR('净值数据(iFinD公式)'!$A35="",'净值数据(iFinD公式)'!$B35=""),"",SUMPRODUCT(持仓配置!$B$7:$N$7,'净值数据(iFinD公式)'!$B35:$N35/'净值数据(iFinD公式)'!$B$5:$N$5)*(1-持仓配置!$P$7)^((ROW()-6)/说明!$C$17))</f>
        <v/>
      </c>
      <c r="L36" s="9">
        <f>IF(OR(K36="",K35=""),"",K36/K35-1)</f>
        <v/>
      </c>
      <c r="M36" s="9">
        <f>IF(K36="","",K36/MAX(K$6:K36)-1)</f>
        <v/>
      </c>
    </row>
    <row r="37">
      <c r="A37" s="169">
        <f>IF('净值数据(iFinD公式)'!A36="","",'净值数据(iFinD公式)'!A36)</f>
        <v/>
      </c>
      <c r="B37" s="165">
        <f>IF(OR('净值数据(iFinD公式)'!$A36="",'净值数据(iFinD公式)'!$B36=""),"",SUMPRODUCT(持仓配置!$B$4:$N$4,'净值数据(iFinD公式)'!$B36:$N36/'净值数据(iFinD公式)'!$B$5:$N$5)*(1-持仓配置!$P$4)^((ROW()-6)/说明!$C$17))</f>
        <v/>
      </c>
      <c r="C37" s="9">
        <f>IF(OR(B37="",B36=""),"",B37/B36-1)</f>
        <v/>
      </c>
      <c r="D37" s="9">
        <f>IF(B37="","",B37/MAX(B$6:B37)-1)</f>
        <v/>
      </c>
      <c r="E37" s="165">
        <f>IF(OR('净值数据(iFinD公式)'!$A36="",'净值数据(iFinD公式)'!$B36=""),"",SUMPRODUCT(持仓配置!$B$5:$N$5,'净值数据(iFinD公式)'!$B36:$N36/'净值数据(iFinD公式)'!$B$5:$N$5)*(1-持仓配置!$P$5)^((ROW()-6)/说明!$C$17))</f>
        <v/>
      </c>
      <c r="F37" s="9">
        <f>IF(OR(E37="",E36=""),"",E37/E36-1)</f>
        <v/>
      </c>
      <c r="G37" s="9">
        <f>IF(E37="","",E37/MAX(E$6:E37)-1)</f>
        <v/>
      </c>
      <c r="H37" s="165">
        <f>IF(OR('净值数据(iFinD公式)'!$A36="",'净值数据(iFinD公式)'!$B36=""),"",SUMPRODUCT(持仓配置!$B$6:$N$6,'净值数据(iFinD公式)'!$B36:$N36/'净值数据(iFinD公式)'!$B$5:$N$5)*(1-持仓配置!$P$6)^((ROW()-6)/说明!$C$17))</f>
        <v/>
      </c>
      <c r="I37" s="9">
        <f>IF(OR(H37="",H36=""),"",H37/H36-1)</f>
        <v/>
      </c>
      <c r="J37" s="9">
        <f>IF(H37="","",H37/MAX(H$6:H37)-1)</f>
        <v/>
      </c>
      <c r="K37" s="165">
        <f>IF(OR('净值数据(iFinD公式)'!$A36="",'净值数据(iFinD公式)'!$B36=""),"",SUMPRODUCT(持仓配置!$B$7:$N$7,'净值数据(iFinD公式)'!$B36:$N36/'净值数据(iFinD公式)'!$B$5:$N$5)*(1-持仓配置!$P$7)^((ROW()-6)/说明!$C$17))</f>
        <v/>
      </c>
      <c r="L37" s="9">
        <f>IF(OR(K37="",K36=""),"",K37/K36-1)</f>
        <v/>
      </c>
      <c r="M37" s="9">
        <f>IF(K37="","",K37/MAX(K$6:K37)-1)</f>
        <v/>
      </c>
    </row>
    <row r="38">
      <c r="A38" s="169">
        <f>IF('净值数据(iFinD公式)'!A37="","",'净值数据(iFinD公式)'!A37)</f>
        <v/>
      </c>
      <c r="B38" s="165">
        <f>IF(OR('净值数据(iFinD公式)'!$A37="",'净值数据(iFinD公式)'!$B37=""),"",SUMPRODUCT(持仓配置!$B$4:$N$4,'净值数据(iFinD公式)'!$B37:$N37/'净值数据(iFinD公式)'!$B$5:$N$5)*(1-持仓配置!$P$4)^((ROW()-6)/说明!$C$17))</f>
        <v/>
      </c>
      <c r="C38" s="9">
        <f>IF(OR(B38="",B37=""),"",B38/B37-1)</f>
        <v/>
      </c>
      <c r="D38" s="9">
        <f>IF(B38="","",B38/MAX(B$6:B38)-1)</f>
        <v/>
      </c>
      <c r="E38" s="165">
        <f>IF(OR('净值数据(iFinD公式)'!$A37="",'净值数据(iFinD公式)'!$B37=""),"",SUMPRODUCT(持仓配置!$B$5:$N$5,'净值数据(iFinD公式)'!$B37:$N37/'净值数据(iFinD公式)'!$B$5:$N$5)*(1-持仓配置!$P$5)^((ROW()-6)/说明!$C$17))</f>
        <v/>
      </c>
      <c r="F38" s="9">
        <f>IF(OR(E38="",E37=""),"",E38/E37-1)</f>
        <v/>
      </c>
      <c r="G38" s="9">
        <f>IF(E38="","",E38/MAX(E$6:E38)-1)</f>
        <v/>
      </c>
      <c r="H38" s="165">
        <f>IF(OR('净值数据(iFinD公式)'!$A37="",'净值数据(iFinD公式)'!$B37=""),"",SUMPRODUCT(持仓配置!$B$6:$N$6,'净值数据(iFinD公式)'!$B37:$N37/'净值数据(iFinD公式)'!$B$5:$N$5)*(1-持仓配置!$P$6)^((ROW()-6)/说明!$C$17))</f>
        <v/>
      </c>
      <c r="I38" s="9">
        <f>IF(OR(H38="",H37=""),"",H38/H37-1)</f>
        <v/>
      </c>
      <c r="J38" s="9">
        <f>IF(H38="","",H38/MAX(H$6:H38)-1)</f>
        <v/>
      </c>
      <c r="K38" s="165">
        <f>IF(OR('净值数据(iFinD公式)'!$A37="",'净值数据(iFinD公式)'!$B37=""),"",SUMPRODUCT(持仓配置!$B$7:$N$7,'净值数据(iFinD公式)'!$B37:$N37/'净值数据(iFinD公式)'!$B$5:$N$5)*(1-持仓配置!$P$7)^((ROW()-6)/说明!$C$17))</f>
        <v/>
      </c>
      <c r="L38" s="9">
        <f>IF(OR(K38="",K37=""),"",K38/K37-1)</f>
        <v/>
      </c>
      <c r="M38" s="9">
        <f>IF(K38="","",K38/MAX(K$6:K38)-1)</f>
        <v/>
      </c>
    </row>
    <row r="39">
      <c r="A39" s="169">
        <f>IF('净值数据(iFinD公式)'!A38="","",'净值数据(iFinD公式)'!A38)</f>
        <v/>
      </c>
      <c r="B39" s="165">
        <f>IF(OR('净值数据(iFinD公式)'!$A38="",'净值数据(iFinD公式)'!$B38=""),"",SUMPRODUCT(持仓配置!$B$4:$N$4,'净值数据(iFinD公式)'!$B38:$N38/'净值数据(iFinD公式)'!$B$5:$N$5)*(1-持仓配置!$P$4)^((ROW()-6)/说明!$C$17))</f>
        <v/>
      </c>
      <c r="C39" s="9">
        <f>IF(OR(B39="",B38=""),"",B39/B38-1)</f>
        <v/>
      </c>
      <c r="D39" s="9">
        <f>IF(B39="","",B39/MAX(B$6:B39)-1)</f>
        <v/>
      </c>
      <c r="E39" s="165">
        <f>IF(OR('净值数据(iFinD公式)'!$A38="",'净值数据(iFinD公式)'!$B38=""),"",SUMPRODUCT(持仓配置!$B$5:$N$5,'净值数据(iFinD公式)'!$B38:$N38/'净值数据(iFinD公式)'!$B$5:$N$5)*(1-持仓配置!$P$5)^((ROW()-6)/说明!$C$17))</f>
        <v/>
      </c>
      <c r="F39" s="9">
        <f>IF(OR(E39="",E38=""),"",E39/E38-1)</f>
        <v/>
      </c>
      <c r="G39" s="9">
        <f>IF(E39="","",E39/MAX(E$6:E39)-1)</f>
        <v/>
      </c>
      <c r="H39" s="165">
        <f>IF(OR('净值数据(iFinD公式)'!$A38="",'净值数据(iFinD公式)'!$B38=""),"",SUMPRODUCT(持仓配置!$B$6:$N$6,'净值数据(iFinD公式)'!$B38:$N38/'净值数据(iFinD公式)'!$B$5:$N$5)*(1-持仓配置!$P$6)^((ROW()-6)/说明!$C$17))</f>
        <v/>
      </c>
      <c r="I39" s="9">
        <f>IF(OR(H39="",H38=""),"",H39/H38-1)</f>
        <v/>
      </c>
      <c r="J39" s="9">
        <f>IF(H39="","",H39/MAX(H$6:H39)-1)</f>
        <v/>
      </c>
      <c r="K39" s="165">
        <f>IF(OR('净值数据(iFinD公式)'!$A38="",'净值数据(iFinD公式)'!$B38=""),"",SUMPRODUCT(持仓配置!$B$7:$N$7,'净值数据(iFinD公式)'!$B38:$N38/'净值数据(iFinD公式)'!$B$5:$N$5)*(1-持仓配置!$P$7)^((ROW()-6)/说明!$C$17))</f>
        <v/>
      </c>
      <c r="L39" s="9">
        <f>IF(OR(K39="",K38=""),"",K39/K38-1)</f>
        <v/>
      </c>
      <c r="M39" s="9">
        <f>IF(K39="","",K39/MAX(K$6:K39)-1)</f>
        <v/>
      </c>
    </row>
    <row r="40">
      <c r="A40" s="169">
        <f>IF('净值数据(iFinD公式)'!A39="","",'净值数据(iFinD公式)'!A39)</f>
        <v/>
      </c>
      <c r="B40" s="165">
        <f>IF(OR('净值数据(iFinD公式)'!$A39="",'净值数据(iFinD公式)'!$B39=""),"",SUMPRODUCT(持仓配置!$B$4:$N$4,'净值数据(iFinD公式)'!$B39:$N39/'净值数据(iFinD公式)'!$B$5:$N$5)*(1-持仓配置!$P$4)^((ROW()-6)/说明!$C$17))</f>
        <v/>
      </c>
      <c r="C40" s="9">
        <f>IF(OR(B40="",B39=""),"",B40/B39-1)</f>
        <v/>
      </c>
      <c r="D40" s="9">
        <f>IF(B40="","",B40/MAX(B$6:B40)-1)</f>
        <v/>
      </c>
      <c r="E40" s="165">
        <f>IF(OR('净值数据(iFinD公式)'!$A39="",'净值数据(iFinD公式)'!$B39=""),"",SUMPRODUCT(持仓配置!$B$5:$N$5,'净值数据(iFinD公式)'!$B39:$N39/'净值数据(iFinD公式)'!$B$5:$N$5)*(1-持仓配置!$P$5)^((ROW()-6)/说明!$C$17))</f>
        <v/>
      </c>
      <c r="F40" s="9">
        <f>IF(OR(E40="",E39=""),"",E40/E39-1)</f>
        <v/>
      </c>
      <c r="G40" s="9">
        <f>IF(E40="","",E40/MAX(E$6:E40)-1)</f>
        <v/>
      </c>
      <c r="H40" s="165">
        <f>IF(OR('净值数据(iFinD公式)'!$A39="",'净值数据(iFinD公式)'!$B39=""),"",SUMPRODUCT(持仓配置!$B$6:$N$6,'净值数据(iFinD公式)'!$B39:$N39/'净值数据(iFinD公式)'!$B$5:$N$5)*(1-持仓配置!$P$6)^((ROW()-6)/说明!$C$17))</f>
        <v/>
      </c>
      <c r="I40" s="9">
        <f>IF(OR(H40="",H39=""),"",H40/H39-1)</f>
        <v/>
      </c>
      <c r="J40" s="9">
        <f>IF(H40="","",H40/MAX(H$6:H40)-1)</f>
        <v/>
      </c>
      <c r="K40" s="165">
        <f>IF(OR('净值数据(iFinD公式)'!$A39="",'净值数据(iFinD公式)'!$B39=""),"",SUMPRODUCT(持仓配置!$B$7:$N$7,'净值数据(iFinD公式)'!$B39:$N39/'净值数据(iFinD公式)'!$B$5:$N$5)*(1-持仓配置!$P$7)^((ROW()-6)/说明!$C$17))</f>
        <v/>
      </c>
      <c r="L40" s="9">
        <f>IF(OR(K40="",K39=""),"",K40/K39-1)</f>
        <v/>
      </c>
      <c r="M40" s="9">
        <f>IF(K40="","",K40/MAX(K$6:K40)-1)</f>
        <v/>
      </c>
    </row>
    <row r="41">
      <c r="A41" s="169">
        <f>IF('净值数据(iFinD公式)'!A40="","",'净值数据(iFinD公式)'!A40)</f>
        <v/>
      </c>
      <c r="B41" s="165">
        <f>IF(OR('净值数据(iFinD公式)'!$A40="",'净值数据(iFinD公式)'!$B40=""),"",SUMPRODUCT(持仓配置!$B$4:$N$4,'净值数据(iFinD公式)'!$B40:$N40/'净值数据(iFinD公式)'!$B$5:$N$5)*(1-持仓配置!$P$4)^((ROW()-6)/说明!$C$17))</f>
        <v/>
      </c>
      <c r="C41" s="9">
        <f>IF(OR(B41="",B40=""),"",B41/B40-1)</f>
        <v/>
      </c>
      <c r="D41" s="9">
        <f>IF(B41="","",B41/MAX(B$6:B41)-1)</f>
        <v/>
      </c>
      <c r="E41" s="165">
        <f>IF(OR('净值数据(iFinD公式)'!$A40="",'净值数据(iFinD公式)'!$B40=""),"",SUMPRODUCT(持仓配置!$B$5:$N$5,'净值数据(iFinD公式)'!$B40:$N40/'净值数据(iFinD公式)'!$B$5:$N$5)*(1-持仓配置!$P$5)^((ROW()-6)/说明!$C$17))</f>
        <v/>
      </c>
      <c r="F41" s="9">
        <f>IF(OR(E41="",E40=""),"",E41/E40-1)</f>
        <v/>
      </c>
      <c r="G41" s="9">
        <f>IF(E41="","",E41/MAX(E$6:E41)-1)</f>
        <v/>
      </c>
      <c r="H41" s="165">
        <f>IF(OR('净值数据(iFinD公式)'!$A40="",'净值数据(iFinD公式)'!$B40=""),"",SUMPRODUCT(持仓配置!$B$6:$N$6,'净值数据(iFinD公式)'!$B40:$N40/'净值数据(iFinD公式)'!$B$5:$N$5)*(1-持仓配置!$P$6)^((ROW()-6)/说明!$C$17))</f>
        <v/>
      </c>
      <c r="I41" s="9">
        <f>IF(OR(H41="",H40=""),"",H41/H40-1)</f>
        <v/>
      </c>
      <c r="J41" s="9">
        <f>IF(H41="","",H41/MAX(H$6:H41)-1)</f>
        <v/>
      </c>
      <c r="K41" s="165">
        <f>IF(OR('净值数据(iFinD公式)'!$A40="",'净值数据(iFinD公式)'!$B40=""),"",SUMPRODUCT(持仓配置!$B$7:$N$7,'净值数据(iFinD公式)'!$B40:$N40/'净值数据(iFinD公式)'!$B$5:$N$5)*(1-持仓配置!$P$7)^((ROW()-6)/说明!$C$17))</f>
        <v/>
      </c>
      <c r="L41" s="9">
        <f>IF(OR(K41="",K40=""),"",K41/K40-1)</f>
        <v/>
      </c>
      <c r="M41" s="9">
        <f>IF(K41="","",K41/MAX(K$6:K41)-1)</f>
        <v/>
      </c>
    </row>
    <row r="42">
      <c r="A42" s="169">
        <f>IF('净值数据(iFinD公式)'!A41="","",'净值数据(iFinD公式)'!A41)</f>
        <v/>
      </c>
      <c r="B42" s="165">
        <f>IF(OR('净值数据(iFinD公式)'!$A41="",'净值数据(iFinD公式)'!$B41=""),"",SUMPRODUCT(持仓配置!$B$4:$N$4,'净值数据(iFinD公式)'!$B41:$N41/'净值数据(iFinD公式)'!$B$5:$N$5)*(1-持仓配置!$P$4)^((ROW()-6)/说明!$C$17))</f>
        <v/>
      </c>
      <c r="C42" s="9">
        <f>IF(OR(B42="",B41=""),"",B42/B41-1)</f>
        <v/>
      </c>
      <c r="D42" s="9">
        <f>IF(B42="","",B42/MAX(B$6:B42)-1)</f>
        <v/>
      </c>
      <c r="E42" s="165">
        <f>IF(OR('净值数据(iFinD公式)'!$A41="",'净值数据(iFinD公式)'!$B41=""),"",SUMPRODUCT(持仓配置!$B$5:$N$5,'净值数据(iFinD公式)'!$B41:$N41/'净值数据(iFinD公式)'!$B$5:$N$5)*(1-持仓配置!$P$5)^((ROW()-6)/说明!$C$17))</f>
        <v/>
      </c>
      <c r="F42" s="9">
        <f>IF(OR(E42="",E41=""),"",E42/E41-1)</f>
        <v/>
      </c>
      <c r="G42" s="9">
        <f>IF(E42="","",E42/MAX(E$6:E42)-1)</f>
        <v/>
      </c>
      <c r="H42" s="165">
        <f>IF(OR('净值数据(iFinD公式)'!$A41="",'净值数据(iFinD公式)'!$B41=""),"",SUMPRODUCT(持仓配置!$B$6:$N$6,'净值数据(iFinD公式)'!$B41:$N41/'净值数据(iFinD公式)'!$B$5:$N$5)*(1-持仓配置!$P$6)^((ROW()-6)/说明!$C$17))</f>
        <v/>
      </c>
      <c r="I42" s="9">
        <f>IF(OR(H42="",H41=""),"",H42/H41-1)</f>
        <v/>
      </c>
      <c r="J42" s="9">
        <f>IF(H42="","",H42/MAX(H$6:H42)-1)</f>
        <v/>
      </c>
      <c r="K42" s="165">
        <f>IF(OR('净值数据(iFinD公式)'!$A41="",'净值数据(iFinD公式)'!$B41=""),"",SUMPRODUCT(持仓配置!$B$7:$N$7,'净值数据(iFinD公式)'!$B41:$N41/'净值数据(iFinD公式)'!$B$5:$N$5)*(1-持仓配置!$P$7)^((ROW()-6)/说明!$C$17))</f>
        <v/>
      </c>
      <c r="L42" s="9">
        <f>IF(OR(K42="",K41=""),"",K42/K41-1)</f>
        <v/>
      </c>
      <c r="M42" s="9">
        <f>IF(K42="","",K42/MAX(K$6:K42)-1)</f>
        <v/>
      </c>
    </row>
    <row r="43">
      <c r="A43" s="169">
        <f>IF('净值数据(iFinD公式)'!A42="","",'净值数据(iFinD公式)'!A42)</f>
        <v/>
      </c>
      <c r="B43" s="165">
        <f>IF(OR('净值数据(iFinD公式)'!$A42="",'净值数据(iFinD公式)'!$B42=""),"",SUMPRODUCT(持仓配置!$B$4:$N$4,'净值数据(iFinD公式)'!$B42:$N42/'净值数据(iFinD公式)'!$B$5:$N$5)*(1-持仓配置!$P$4)^((ROW()-6)/说明!$C$17))</f>
        <v/>
      </c>
      <c r="C43" s="9">
        <f>IF(OR(B43="",B42=""),"",B43/B42-1)</f>
        <v/>
      </c>
      <c r="D43" s="9">
        <f>IF(B43="","",B43/MAX(B$6:B43)-1)</f>
        <v/>
      </c>
      <c r="E43" s="165">
        <f>IF(OR('净值数据(iFinD公式)'!$A42="",'净值数据(iFinD公式)'!$B42=""),"",SUMPRODUCT(持仓配置!$B$5:$N$5,'净值数据(iFinD公式)'!$B42:$N42/'净值数据(iFinD公式)'!$B$5:$N$5)*(1-持仓配置!$P$5)^((ROW()-6)/说明!$C$17))</f>
        <v/>
      </c>
      <c r="F43" s="9">
        <f>IF(OR(E43="",E42=""),"",E43/E42-1)</f>
        <v/>
      </c>
      <c r="G43" s="9">
        <f>IF(E43="","",E43/MAX(E$6:E43)-1)</f>
        <v/>
      </c>
      <c r="H43" s="165">
        <f>IF(OR('净值数据(iFinD公式)'!$A42="",'净值数据(iFinD公式)'!$B42=""),"",SUMPRODUCT(持仓配置!$B$6:$N$6,'净值数据(iFinD公式)'!$B42:$N42/'净值数据(iFinD公式)'!$B$5:$N$5)*(1-持仓配置!$P$6)^((ROW()-6)/说明!$C$17))</f>
        <v/>
      </c>
      <c r="I43" s="9">
        <f>IF(OR(H43="",H42=""),"",H43/H42-1)</f>
        <v/>
      </c>
      <c r="J43" s="9">
        <f>IF(H43="","",H43/MAX(H$6:H43)-1)</f>
        <v/>
      </c>
      <c r="K43" s="165">
        <f>IF(OR('净值数据(iFinD公式)'!$A42="",'净值数据(iFinD公式)'!$B42=""),"",SUMPRODUCT(持仓配置!$B$7:$N$7,'净值数据(iFinD公式)'!$B42:$N42/'净值数据(iFinD公式)'!$B$5:$N$5)*(1-持仓配置!$P$7)^((ROW()-6)/说明!$C$17))</f>
        <v/>
      </c>
      <c r="L43" s="9">
        <f>IF(OR(K43="",K42=""),"",K43/K42-1)</f>
        <v/>
      </c>
      <c r="M43" s="9">
        <f>IF(K43="","",K43/MAX(K$6:K43)-1)</f>
        <v/>
      </c>
    </row>
    <row r="44">
      <c r="A44" s="169">
        <f>IF('净值数据(iFinD公式)'!A43="","",'净值数据(iFinD公式)'!A43)</f>
        <v/>
      </c>
      <c r="B44" s="165">
        <f>IF(OR('净值数据(iFinD公式)'!$A43="",'净值数据(iFinD公式)'!$B43=""),"",SUMPRODUCT(持仓配置!$B$4:$N$4,'净值数据(iFinD公式)'!$B43:$N43/'净值数据(iFinD公式)'!$B$5:$N$5)*(1-持仓配置!$P$4)^((ROW()-6)/说明!$C$17))</f>
        <v/>
      </c>
      <c r="C44" s="9">
        <f>IF(OR(B44="",B43=""),"",B44/B43-1)</f>
        <v/>
      </c>
      <c r="D44" s="9">
        <f>IF(B44="","",B44/MAX(B$6:B44)-1)</f>
        <v/>
      </c>
      <c r="E44" s="165">
        <f>IF(OR('净值数据(iFinD公式)'!$A43="",'净值数据(iFinD公式)'!$B43=""),"",SUMPRODUCT(持仓配置!$B$5:$N$5,'净值数据(iFinD公式)'!$B43:$N43/'净值数据(iFinD公式)'!$B$5:$N$5)*(1-持仓配置!$P$5)^((ROW()-6)/说明!$C$17))</f>
        <v/>
      </c>
      <c r="F44" s="9">
        <f>IF(OR(E44="",E43=""),"",E44/E43-1)</f>
        <v/>
      </c>
      <c r="G44" s="9">
        <f>IF(E44="","",E44/MAX(E$6:E44)-1)</f>
        <v/>
      </c>
      <c r="H44" s="165">
        <f>IF(OR('净值数据(iFinD公式)'!$A43="",'净值数据(iFinD公式)'!$B43=""),"",SUMPRODUCT(持仓配置!$B$6:$N$6,'净值数据(iFinD公式)'!$B43:$N43/'净值数据(iFinD公式)'!$B$5:$N$5)*(1-持仓配置!$P$6)^((ROW()-6)/说明!$C$17))</f>
        <v/>
      </c>
      <c r="I44" s="9">
        <f>IF(OR(H44="",H43=""),"",H44/H43-1)</f>
        <v/>
      </c>
      <c r="J44" s="9">
        <f>IF(H44="","",H44/MAX(H$6:H44)-1)</f>
        <v/>
      </c>
      <c r="K44" s="165">
        <f>IF(OR('净值数据(iFinD公式)'!$A43="",'净值数据(iFinD公式)'!$B43=""),"",SUMPRODUCT(持仓配置!$B$7:$N$7,'净值数据(iFinD公式)'!$B43:$N43/'净值数据(iFinD公式)'!$B$5:$N$5)*(1-持仓配置!$P$7)^((ROW()-6)/说明!$C$17))</f>
        <v/>
      </c>
      <c r="L44" s="9">
        <f>IF(OR(K44="",K43=""),"",K44/K43-1)</f>
        <v/>
      </c>
      <c r="M44" s="9">
        <f>IF(K44="","",K44/MAX(K$6:K44)-1)</f>
        <v/>
      </c>
    </row>
    <row r="45">
      <c r="A45" s="169">
        <f>IF('净值数据(iFinD公式)'!A44="","",'净值数据(iFinD公式)'!A44)</f>
        <v/>
      </c>
      <c r="B45" s="165">
        <f>IF(OR('净值数据(iFinD公式)'!$A44="",'净值数据(iFinD公式)'!$B44=""),"",SUMPRODUCT(持仓配置!$B$4:$N$4,'净值数据(iFinD公式)'!$B44:$N44/'净值数据(iFinD公式)'!$B$5:$N$5)*(1-持仓配置!$P$4)^((ROW()-6)/说明!$C$17))</f>
        <v/>
      </c>
      <c r="C45" s="9">
        <f>IF(OR(B45="",B44=""),"",B45/B44-1)</f>
        <v/>
      </c>
      <c r="D45" s="9">
        <f>IF(B45="","",B45/MAX(B$6:B45)-1)</f>
        <v/>
      </c>
      <c r="E45" s="165">
        <f>IF(OR('净值数据(iFinD公式)'!$A44="",'净值数据(iFinD公式)'!$B44=""),"",SUMPRODUCT(持仓配置!$B$5:$N$5,'净值数据(iFinD公式)'!$B44:$N44/'净值数据(iFinD公式)'!$B$5:$N$5)*(1-持仓配置!$P$5)^((ROW()-6)/说明!$C$17))</f>
        <v/>
      </c>
      <c r="F45" s="9">
        <f>IF(OR(E45="",E44=""),"",E45/E44-1)</f>
        <v/>
      </c>
      <c r="G45" s="9">
        <f>IF(E45="","",E45/MAX(E$6:E45)-1)</f>
        <v/>
      </c>
      <c r="H45" s="165">
        <f>IF(OR('净值数据(iFinD公式)'!$A44="",'净值数据(iFinD公式)'!$B44=""),"",SUMPRODUCT(持仓配置!$B$6:$N$6,'净值数据(iFinD公式)'!$B44:$N44/'净值数据(iFinD公式)'!$B$5:$N$5)*(1-持仓配置!$P$6)^((ROW()-6)/说明!$C$17))</f>
        <v/>
      </c>
      <c r="I45" s="9">
        <f>IF(OR(H45="",H44=""),"",H45/H44-1)</f>
        <v/>
      </c>
      <c r="J45" s="9">
        <f>IF(H45="","",H45/MAX(H$6:H45)-1)</f>
        <v/>
      </c>
      <c r="K45" s="165">
        <f>IF(OR('净值数据(iFinD公式)'!$A44="",'净值数据(iFinD公式)'!$B44=""),"",SUMPRODUCT(持仓配置!$B$7:$N$7,'净值数据(iFinD公式)'!$B44:$N44/'净值数据(iFinD公式)'!$B$5:$N$5)*(1-持仓配置!$P$7)^((ROW()-6)/说明!$C$17))</f>
        <v/>
      </c>
      <c r="L45" s="9">
        <f>IF(OR(K45="",K44=""),"",K45/K44-1)</f>
        <v/>
      </c>
      <c r="M45" s="9">
        <f>IF(K45="","",K45/MAX(K$6:K45)-1)</f>
        <v/>
      </c>
    </row>
    <row r="46">
      <c r="A46" s="169">
        <f>IF('净值数据(iFinD公式)'!A45="","",'净值数据(iFinD公式)'!A45)</f>
        <v/>
      </c>
      <c r="B46" s="165">
        <f>IF(OR('净值数据(iFinD公式)'!$A45="",'净值数据(iFinD公式)'!$B45=""),"",SUMPRODUCT(持仓配置!$B$4:$N$4,'净值数据(iFinD公式)'!$B45:$N45/'净值数据(iFinD公式)'!$B$5:$N$5)*(1-持仓配置!$P$4)^((ROW()-6)/说明!$C$17))</f>
        <v/>
      </c>
      <c r="C46" s="9">
        <f>IF(OR(B46="",B45=""),"",B46/B45-1)</f>
        <v/>
      </c>
      <c r="D46" s="9">
        <f>IF(B46="","",B46/MAX(B$6:B46)-1)</f>
        <v/>
      </c>
      <c r="E46" s="165">
        <f>IF(OR('净值数据(iFinD公式)'!$A45="",'净值数据(iFinD公式)'!$B45=""),"",SUMPRODUCT(持仓配置!$B$5:$N$5,'净值数据(iFinD公式)'!$B45:$N45/'净值数据(iFinD公式)'!$B$5:$N$5)*(1-持仓配置!$P$5)^((ROW()-6)/说明!$C$17))</f>
        <v/>
      </c>
      <c r="F46" s="9">
        <f>IF(OR(E46="",E45=""),"",E46/E45-1)</f>
        <v/>
      </c>
      <c r="G46" s="9">
        <f>IF(E46="","",E46/MAX(E$6:E46)-1)</f>
        <v/>
      </c>
      <c r="H46" s="165">
        <f>IF(OR('净值数据(iFinD公式)'!$A45="",'净值数据(iFinD公式)'!$B45=""),"",SUMPRODUCT(持仓配置!$B$6:$N$6,'净值数据(iFinD公式)'!$B45:$N45/'净值数据(iFinD公式)'!$B$5:$N$5)*(1-持仓配置!$P$6)^((ROW()-6)/说明!$C$17))</f>
        <v/>
      </c>
      <c r="I46" s="9">
        <f>IF(OR(H46="",H45=""),"",H46/H45-1)</f>
        <v/>
      </c>
      <c r="J46" s="9">
        <f>IF(H46="","",H46/MAX(H$6:H46)-1)</f>
        <v/>
      </c>
      <c r="K46" s="165">
        <f>IF(OR('净值数据(iFinD公式)'!$A45="",'净值数据(iFinD公式)'!$B45=""),"",SUMPRODUCT(持仓配置!$B$7:$N$7,'净值数据(iFinD公式)'!$B45:$N45/'净值数据(iFinD公式)'!$B$5:$N$5)*(1-持仓配置!$P$7)^((ROW()-6)/说明!$C$17))</f>
        <v/>
      </c>
      <c r="L46" s="9">
        <f>IF(OR(K46="",K45=""),"",K46/K45-1)</f>
        <v/>
      </c>
      <c r="M46" s="9">
        <f>IF(K46="","",K46/MAX(K$6:K46)-1)</f>
        <v/>
      </c>
    </row>
    <row r="47">
      <c r="A47" s="169">
        <f>IF('净值数据(iFinD公式)'!A46="","",'净值数据(iFinD公式)'!A46)</f>
        <v/>
      </c>
      <c r="B47" s="165">
        <f>IF(OR('净值数据(iFinD公式)'!$A46="",'净值数据(iFinD公式)'!$B46=""),"",SUMPRODUCT(持仓配置!$B$4:$N$4,'净值数据(iFinD公式)'!$B46:$N46/'净值数据(iFinD公式)'!$B$5:$N$5)*(1-持仓配置!$P$4)^((ROW()-6)/说明!$C$17))</f>
        <v/>
      </c>
      <c r="C47" s="9">
        <f>IF(OR(B47="",B46=""),"",B47/B46-1)</f>
        <v/>
      </c>
      <c r="D47" s="9">
        <f>IF(B47="","",B47/MAX(B$6:B47)-1)</f>
        <v/>
      </c>
      <c r="E47" s="165">
        <f>IF(OR('净值数据(iFinD公式)'!$A46="",'净值数据(iFinD公式)'!$B46=""),"",SUMPRODUCT(持仓配置!$B$5:$N$5,'净值数据(iFinD公式)'!$B46:$N46/'净值数据(iFinD公式)'!$B$5:$N$5)*(1-持仓配置!$P$5)^((ROW()-6)/说明!$C$17))</f>
        <v/>
      </c>
      <c r="F47" s="9">
        <f>IF(OR(E47="",E46=""),"",E47/E46-1)</f>
        <v/>
      </c>
      <c r="G47" s="9">
        <f>IF(E47="","",E47/MAX(E$6:E47)-1)</f>
        <v/>
      </c>
      <c r="H47" s="165">
        <f>IF(OR('净值数据(iFinD公式)'!$A46="",'净值数据(iFinD公式)'!$B46=""),"",SUMPRODUCT(持仓配置!$B$6:$N$6,'净值数据(iFinD公式)'!$B46:$N46/'净值数据(iFinD公式)'!$B$5:$N$5)*(1-持仓配置!$P$6)^((ROW()-6)/说明!$C$17))</f>
        <v/>
      </c>
      <c r="I47" s="9">
        <f>IF(OR(H47="",H46=""),"",H47/H46-1)</f>
        <v/>
      </c>
      <c r="J47" s="9">
        <f>IF(H47="","",H47/MAX(H$6:H47)-1)</f>
        <v/>
      </c>
      <c r="K47" s="165">
        <f>IF(OR('净值数据(iFinD公式)'!$A46="",'净值数据(iFinD公式)'!$B46=""),"",SUMPRODUCT(持仓配置!$B$7:$N$7,'净值数据(iFinD公式)'!$B46:$N46/'净值数据(iFinD公式)'!$B$5:$N$5)*(1-持仓配置!$P$7)^((ROW()-6)/说明!$C$17))</f>
        <v/>
      </c>
      <c r="L47" s="9">
        <f>IF(OR(K47="",K46=""),"",K47/K46-1)</f>
        <v/>
      </c>
      <c r="M47" s="9">
        <f>IF(K47="","",K47/MAX(K$6:K47)-1)</f>
        <v/>
      </c>
    </row>
    <row r="48">
      <c r="A48" s="169">
        <f>IF('净值数据(iFinD公式)'!A47="","",'净值数据(iFinD公式)'!A47)</f>
        <v/>
      </c>
      <c r="B48" s="165">
        <f>IF(OR('净值数据(iFinD公式)'!$A47="",'净值数据(iFinD公式)'!$B47=""),"",SUMPRODUCT(持仓配置!$B$4:$N$4,'净值数据(iFinD公式)'!$B47:$N47/'净值数据(iFinD公式)'!$B$5:$N$5)*(1-持仓配置!$P$4)^((ROW()-6)/说明!$C$17))</f>
        <v/>
      </c>
      <c r="C48" s="9">
        <f>IF(OR(B48="",B47=""),"",B48/B47-1)</f>
        <v/>
      </c>
      <c r="D48" s="9">
        <f>IF(B48="","",B48/MAX(B$6:B48)-1)</f>
        <v/>
      </c>
      <c r="E48" s="165">
        <f>IF(OR('净值数据(iFinD公式)'!$A47="",'净值数据(iFinD公式)'!$B47=""),"",SUMPRODUCT(持仓配置!$B$5:$N$5,'净值数据(iFinD公式)'!$B47:$N47/'净值数据(iFinD公式)'!$B$5:$N$5)*(1-持仓配置!$P$5)^((ROW()-6)/说明!$C$17))</f>
        <v/>
      </c>
      <c r="F48" s="9">
        <f>IF(OR(E48="",E47=""),"",E48/E47-1)</f>
        <v/>
      </c>
      <c r="G48" s="9">
        <f>IF(E48="","",E48/MAX(E$6:E48)-1)</f>
        <v/>
      </c>
      <c r="H48" s="165">
        <f>IF(OR('净值数据(iFinD公式)'!$A47="",'净值数据(iFinD公式)'!$B47=""),"",SUMPRODUCT(持仓配置!$B$6:$N$6,'净值数据(iFinD公式)'!$B47:$N47/'净值数据(iFinD公式)'!$B$5:$N$5)*(1-持仓配置!$P$6)^((ROW()-6)/说明!$C$17))</f>
        <v/>
      </c>
      <c r="I48" s="9">
        <f>IF(OR(H48="",H47=""),"",H48/H47-1)</f>
        <v/>
      </c>
      <c r="J48" s="9">
        <f>IF(H48="","",H48/MAX(H$6:H48)-1)</f>
        <v/>
      </c>
      <c r="K48" s="165">
        <f>IF(OR('净值数据(iFinD公式)'!$A47="",'净值数据(iFinD公式)'!$B47=""),"",SUMPRODUCT(持仓配置!$B$7:$N$7,'净值数据(iFinD公式)'!$B47:$N47/'净值数据(iFinD公式)'!$B$5:$N$5)*(1-持仓配置!$P$7)^((ROW()-6)/说明!$C$17))</f>
        <v/>
      </c>
      <c r="L48" s="9">
        <f>IF(OR(K48="",K47=""),"",K48/K47-1)</f>
        <v/>
      </c>
      <c r="M48" s="9">
        <f>IF(K48="","",K48/MAX(K$6:K48)-1)</f>
        <v/>
      </c>
    </row>
    <row r="49">
      <c r="A49" s="169">
        <f>IF('净值数据(iFinD公式)'!A48="","",'净值数据(iFinD公式)'!A48)</f>
        <v/>
      </c>
      <c r="B49" s="165">
        <f>IF(OR('净值数据(iFinD公式)'!$A48="",'净值数据(iFinD公式)'!$B48=""),"",SUMPRODUCT(持仓配置!$B$4:$N$4,'净值数据(iFinD公式)'!$B48:$N48/'净值数据(iFinD公式)'!$B$5:$N$5)*(1-持仓配置!$P$4)^((ROW()-6)/说明!$C$17))</f>
        <v/>
      </c>
      <c r="C49" s="9">
        <f>IF(OR(B49="",B48=""),"",B49/B48-1)</f>
        <v/>
      </c>
      <c r="D49" s="9">
        <f>IF(B49="","",B49/MAX(B$6:B49)-1)</f>
        <v/>
      </c>
      <c r="E49" s="165">
        <f>IF(OR('净值数据(iFinD公式)'!$A48="",'净值数据(iFinD公式)'!$B48=""),"",SUMPRODUCT(持仓配置!$B$5:$N$5,'净值数据(iFinD公式)'!$B48:$N48/'净值数据(iFinD公式)'!$B$5:$N$5)*(1-持仓配置!$P$5)^((ROW()-6)/说明!$C$17))</f>
        <v/>
      </c>
      <c r="F49" s="9">
        <f>IF(OR(E49="",E48=""),"",E49/E48-1)</f>
        <v/>
      </c>
      <c r="G49" s="9">
        <f>IF(E49="","",E49/MAX(E$6:E49)-1)</f>
        <v/>
      </c>
      <c r="H49" s="165">
        <f>IF(OR('净值数据(iFinD公式)'!$A48="",'净值数据(iFinD公式)'!$B48=""),"",SUMPRODUCT(持仓配置!$B$6:$N$6,'净值数据(iFinD公式)'!$B48:$N48/'净值数据(iFinD公式)'!$B$5:$N$5)*(1-持仓配置!$P$6)^((ROW()-6)/说明!$C$17))</f>
        <v/>
      </c>
      <c r="I49" s="9">
        <f>IF(OR(H49="",H48=""),"",H49/H48-1)</f>
        <v/>
      </c>
      <c r="J49" s="9">
        <f>IF(H49="","",H49/MAX(H$6:H49)-1)</f>
        <v/>
      </c>
      <c r="K49" s="165">
        <f>IF(OR('净值数据(iFinD公式)'!$A48="",'净值数据(iFinD公式)'!$B48=""),"",SUMPRODUCT(持仓配置!$B$7:$N$7,'净值数据(iFinD公式)'!$B48:$N48/'净值数据(iFinD公式)'!$B$5:$N$5)*(1-持仓配置!$P$7)^((ROW()-6)/说明!$C$17))</f>
        <v/>
      </c>
      <c r="L49" s="9">
        <f>IF(OR(K49="",K48=""),"",K49/K48-1)</f>
        <v/>
      </c>
      <c r="M49" s="9">
        <f>IF(K49="","",K49/MAX(K$6:K49)-1)</f>
        <v/>
      </c>
    </row>
    <row r="50">
      <c r="A50" s="169">
        <f>IF('净值数据(iFinD公式)'!A49="","",'净值数据(iFinD公式)'!A49)</f>
        <v/>
      </c>
      <c r="B50" s="165">
        <f>IF(OR('净值数据(iFinD公式)'!$A49="",'净值数据(iFinD公式)'!$B49=""),"",SUMPRODUCT(持仓配置!$B$4:$N$4,'净值数据(iFinD公式)'!$B49:$N49/'净值数据(iFinD公式)'!$B$5:$N$5)*(1-持仓配置!$P$4)^((ROW()-6)/说明!$C$17))</f>
        <v/>
      </c>
      <c r="C50" s="9">
        <f>IF(OR(B50="",B49=""),"",B50/B49-1)</f>
        <v/>
      </c>
      <c r="D50" s="9">
        <f>IF(B50="","",B50/MAX(B$6:B50)-1)</f>
        <v/>
      </c>
      <c r="E50" s="165">
        <f>IF(OR('净值数据(iFinD公式)'!$A49="",'净值数据(iFinD公式)'!$B49=""),"",SUMPRODUCT(持仓配置!$B$5:$N$5,'净值数据(iFinD公式)'!$B49:$N49/'净值数据(iFinD公式)'!$B$5:$N$5)*(1-持仓配置!$P$5)^((ROW()-6)/说明!$C$17))</f>
        <v/>
      </c>
      <c r="F50" s="9">
        <f>IF(OR(E50="",E49=""),"",E50/E49-1)</f>
        <v/>
      </c>
      <c r="G50" s="9">
        <f>IF(E50="","",E50/MAX(E$6:E50)-1)</f>
        <v/>
      </c>
      <c r="H50" s="165">
        <f>IF(OR('净值数据(iFinD公式)'!$A49="",'净值数据(iFinD公式)'!$B49=""),"",SUMPRODUCT(持仓配置!$B$6:$N$6,'净值数据(iFinD公式)'!$B49:$N49/'净值数据(iFinD公式)'!$B$5:$N$5)*(1-持仓配置!$P$6)^((ROW()-6)/说明!$C$17))</f>
        <v/>
      </c>
      <c r="I50" s="9">
        <f>IF(OR(H50="",H49=""),"",H50/H49-1)</f>
        <v/>
      </c>
      <c r="J50" s="9">
        <f>IF(H50="","",H50/MAX(H$6:H50)-1)</f>
        <v/>
      </c>
      <c r="K50" s="165">
        <f>IF(OR('净值数据(iFinD公式)'!$A49="",'净值数据(iFinD公式)'!$B49=""),"",SUMPRODUCT(持仓配置!$B$7:$N$7,'净值数据(iFinD公式)'!$B49:$N49/'净值数据(iFinD公式)'!$B$5:$N$5)*(1-持仓配置!$P$7)^((ROW()-6)/说明!$C$17))</f>
        <v/>
      </c>
      <c r="L50" s="9">
        <f>IF(OR(K50="",K49=""),"",K50/K49-1)</f>
        <v/>
      </c>
      <c r="M50" s="9">
        <f>IF(K50="","",K50/MAX(K$6:K50)-1)</f>
        <v/>
      </c>
    </row>
    <row r="51">
      <c r="A51" s="169">
        <f>IF('净值数据(iFinD公式)'!A50="","",'净值数据(iFinD公式)'!A50)</f>
        <v/>
      </c>
      <c r="B51" s="165">
        <f>IF(OR('净值数据(iFinD公式)'!$A50="",'净值数据(iFinD公式)'!$B50=""),"",SUMPRODUCT(持仓配置!$B$4:$N$4,'净值数据(iFinD公式)'!$B50:$N50/'净值数据(iFinD公式)'!$B$5:$N$5)*(1-持仓配置!$P$4)^((ROW()-6)/说明!$C$17))</f>
        <v/>
      </c>
      <c r="C51" s="9">
        <f>IF(OR(B51="",B50=""),"",B51/B50-1)</f>
        <v/>
      </c>
      <c r="D51" s="9">
        <f>IF(B51="","",B51/MAX(B$6:B51)-1)</f>
        <v/>
      </c>
      <c r="E51" s="165">
        <f>IF(OR('净值数据(iFinD公式)'!$A50="",'净值数据(iFinD公式)'!$B50=""),"",SUMPRODUCT(持仓配置!$B$5:$N$5,'净值数据(iFinD公式)'!$B50:$N50/'净值数据(iFinD公式)'!$B$5:$N$5)*(1-持仓配置!$P$5)^((ROW()-6)/说明!$C$17))</f>
        <v/>
      </c>
      <c r="F51" s="9">
        <f>IF(OR(E51="",E50=""),"",E51/E50-1)</f>
        <v/>
      </c>
      <c r="G51" s="9">
        <f>IF(E51="","",E51/MAX(E$6:E51)-1)</f>
        <v/>
      </c>
      <c r="H51" s="165">
        <f>IF(OR('净值数据(iFinD公式)'!$A50="",'净值数据(iFinD公式)'!$B50=""),"",SUMPRODUCT(持仓配置!$B$6:$N$6,'净值数据(iFinD公式)'!$B50:$N50/'净值数据(iFinD公式)'!$B$5:$N$5)*(1-持仓配置!$P$6)^((ROW()-6)/说明!$C$17))</f>
        <v/>
      </c>
      <c r="I51" s="9">
        <f>IF(OR(H51="",H50=""),"",H51/H50-1)</f>
        <v/>
      </c>
      <c r="J51" s="9">
        <f>IF(H51="","",H51/MAX(H$6:H51)-1)</f>
        <v/>
      </c>
      <c r="K51" s="165">
        <f>IF(OR('净值数据(iFinD公式)'!$A50="",'净值数据(iFinD公式)'!$B50=""),"",SUMPRODUCT(持仓配置!$B$7:$N$7,'净值数据(iFinD公式)'!$B50:$N50/'净值数据(iFinD公式)'!$B$5:$N$5)*(1-持仓配置!$P$7)^((ROW()-6)/说明!$C$17))</f>
        <v/>
      </c>
      <c r="L51" s="9">
        <f>IF(OR(K51="",K50=""),"",K51/K50-1)</f>
        <v/>
      </c>
      <c r="M51" s="9">
        <f>IF(K51="","",K51/MAX(K$6:K51)-1)</f>
        <v/>
      </c>
    </row>
    <row r="52">
      <c r="A52" s="169">
        <f>IF('净值数据(iFinD公式)'!A51="","",'净值数据(iFinD公式)'!A51)</f>
        <v/>
      </c>
      <c r="B52" s="165">
        <f>IF(OR('净值数据(iFinD公式)'!$A51="",'净值数据(iFinD公式)'!$B51=""),"",SUMPRODUCT(持仓配置!$B$4:$N$4,'净值数据(iFinD公式)'!$B51:$N51/'净值数据(iFinD公式)'!$B$5:$N$5)*(1-持仓配置!$P$4)^((ROW()-6)/说明!$C$17))</f>
        <v/>
      </c>
      <c r="C52" s="9">
        <f>IF(OR(B52="",B51=""),"",B52/B51-1)</f>
        <v/>
      </c>
      <c r="D52" s="9">
        <f>IF(B52="","",B52/MAX(B$6:B52)-1)</f>
        <v/>
      </c>
      <c r="E52" s="165">
        <f>IF(OR('净值数据(iFinD公式)'!$A51="",'净值数据(iFinD公式)'!$B51=""),"",SUMPRODUCT(持仓配置!$B$5:$N$5,'净值数据(iFinD公式)'!$B51:$N51/'净值数据(iFinD公式)'!$B$5:$N$5)*(1-持仓配置!$P$5)^((ROW()-6)/说明!$C$17))</f>
        <v/>
      </c>
      <c r="F52" s="9">
        <f>IF(OR(E52="",E51=""),"",E52/E51-1)</f>
        <v/>
      </c>
      <c r="G52" s="9">
        <f>IF(E52="","",E52/MAX(E$6:E52)-1)</f>
        <v/>
      </c>
      <c r="H52" s="165">
        <f>IF(OR('净值数据(iFinD公式)'!$A51="",'净值数据(iFinD公式)'!$B51=""),"",SUMPRODUCT(持仓配置!$B$6:$N$6,'净值数据(iFinD公式)'!$B51:$N51/'净值数据(iFinD公式)'!$B$5:$N$5)*(1-持仓配置!$P$6)^((ROW()-6)/说明!$C$17))</f>
        <v/>
      </c>
      <c r="I52" s="9">
        <f>IF(OR(H52="",H51=""),"",H52/H51-1)</f>
        <v/>
      </c>
      <c r="J52" s="9">
        <f>IF(H52="","",H52/MAX(H$6:H52)-1)</f>
        <v/>
      </c>
      <c r="K52" s="165">
        <f>IF(OR('净值数据(iFinD公式)'!$A51="",'净值数据(iFinD公式)'!$B51=""),"",SUMPRODUCT(持仓配置!$B$7:$N$7,'净值数据(iFinD公式)'!$B51:$N51/'净值数据(iFinD公式)'!$B$5:$N$5)*(1-持仓配置!$P$7)^((ROW()-6)/说明!$C$17))</f>
        <v/>
      </c>
      <c r="L52" s="9">
        <f>IF(OR(K52="",K51=""),"",K52/K51-1)</f>
        <v/>
      </c>
      <c r="M52" s="9">
        <f>IF(K52="","",K52/MAX(K$6:K52)-1)</f>
        <v/>
      </c>
    </row>
    <row r="53">
      <c r="A53" s="169">
        <f>IF('净值数据(iFinD公式)'!A52="","",'净值数据(iFinD公式)'!A52)</f>
        <v/>
      </c>
      <c r="B53" s="165">
        <f>IF(OR('净值数据(iFinD公式)'!$A52="",'净值数据(iFinD公式)'!$B52=""),"",SUMPRODUCT(持仓配置!$B$4:$N$4,'净值数据(iFinD公式)'!$B52:$N52/'净值数据(iFinD公式)'!$B$5:$N$5)*(1-持仓配置!$P$4)^((ROW()-6)/说明!$C$17))</f>
        <v/>
      </c>
      <c r="C53" s="9">
        <f>IF(OR(B53="",B52=""),"",B53/B52-1)</f>
        <v/>
      </c>
      <c r="D53" s="9">
        <f>IF(B53="","",B53/MAX(B$6:B53)-1)</f>
        <v/>
      </c>
      <c r="E53" s="165">
        <f>IF(OR('净值数据(iFinD公式)'!$A52="",'净值数据(iFinD公式)'!$B52=""),"",SUMPRODUCT(持仓配置!$B$5:$N$5,'净值数据(iFinD公式)'!$B52:$N52/'净值数据(iFinD公式)'!$B$5:$N$5)*(1-持仓配置!$P$5)^((ROW()-6)/说明!$C$17))</f>
        <v/>
      </c>
      <c r="F53" s="9">
        <f>IF(OR(E53="",E52=""),"",E53/E52-1)</f>
        <v/>
      </c>
      <c r="G53" s="9">
        <f>IF(E53="","",E53/MAX(E$6:E53)-1)</f>
        <v/>
      </c>
      <c r="H53" s="165">
        <f>IF(OR('净值数据(iFinD公式)'!$A52="",'净值数据(iFinD公式)'!$B52=""),"",SUMPRODUCT(持仓配置!$B$6:$N$6,'净值数据(iFinD公式)'!$B52:$N52/'净值数据(iFinD公式)'!$B$5:$N$5)*(1-持仓配置!$P$6)^((ROW()-6)/说明!$C$17))</f>
        <v/>
      </c>
      <c r="I53" s="9">
        <f>IF(OR(H53="",H52=""),"",H53/H52-1)</f>
        <v/>
      </c>
      <c r="J53" s="9">
        <f>IF(H53="","",H53/MAX(H$6:H53)-1)</f>
        <v/>
      </c>
      <c r="K53" s="165">
        <f>IF(OR('净值数据(iFinD公式)'!$A52="",'净值数据(iFinD公式)'!$B52=""),"",SUMPRODUCT(持仓配置!$B$7:$N$7,'净值数据(iFinD公式)'!$B52:$N52/'净值数据(iFinD公式)'!$B$5:$N$5)*(1-持仓配置!$P$7)^((ROW()-6)/说明!$C$17))</f>
        <v/>
      </c>
      <c r="L53" s="9">
        <f>IF(OR(K53="",K52=""),"",K53/K52-1)</f>
        <v/>
      </c>
      <c r="M53" s="9">
        <f>IF(K53="","",K53/MAX(K$6:K53)-1)</f>
        <v/>
      </c>
    </row>
    <row r="54">
      <c r="A54" s="169">
        <f>IF('净值数据(iFinD公式)'!A53="","",'净值数据(iFinD公式)'!A53)</f>
        <v/>
      </c>
      <c r="B54" s="165">
        <f>IF(OR('净值数据(iFinD公式)'!$A53="",'净值数据(iFinD公式)'!$B53=""),"",SUMPRODUCT(持仓配置!$B$4:$N$4,'净值数据(iFinD公式)'!$B53:$N53/'净值数据(iFinD公式)'!$B$5:$N$5)*(1-持仓配置!$P$4)^((ROW()-6)/说明!$C$17))</f>
        <v/>
      </c>
      <c r="C54" s="9">
        <f>IF(OR(B54="",B53=""),"",B54/B53-1)</f>
        <v/>
      </c>
      <c r="D54" s="9">
        <f>IF(B54="","",B54/MAX(B$6:B54)-1)</f>
        <v/>
      </c>
      <c r="E54" s="165">
        <f>IF(OR('净值数据(iFinD公式)'!$A53="",'净值数据(iFinD公式)'!$B53=""),"",SUMPRODUCT(持仓配置!$B$5:$N$5,'净值数据(iFinD公式)'!$B53:$N53/'净值数据(iFinD公式)'!$B$5:$N$5)*(1-持仓配置!$P$5)^((ROW()-6)/说明!$C$17))</f>
        <v/>
      </c>
      <c r="F54" s="9">
        <f>IF(OR(E54="",E53=""),"",E54/E53-1)</f>
        <v/>
      </c>
      <c r="G54" s="9">
        <f>IF(E54="","",E54/MAX(E$6:E54)-1)</f>
        <v/>
      </c>
      <c r="H54" s="165">
        <f>IF(OR('净值数据(iFinD公式)'!$A53="",'净值数据(iFinD公式)'!$B53=""),"",SUMPRODUCT(持仓配置!$B$6:$N$6,'净值数据(iFinD公式)'!$B53:$N53/'净值数据(iFinD公式)'!$B$5:$N$5)*(1-持仓配置!$P$6)^((ROW()-6)/说明!$C$17))</f>
        <v/>
      </c>
      <c r="I54" s="9">
        <f>IF(OR(H54="",H53=""),"",H54/H53-1)</f>
        <v/>
      </c>
      <c r="J54" s="9">
        <f>IF(H54="","",H54/MAX(H$6:H54)-1)</f>
        <v/>
      </c>
      <c r="K54" s="165">
        <f>IF(OR('净值数据(iFinD公式)'!$A53="",'净值数据(iFinD公式)'!$B53=""),"",SUMPRODUCT(持仓配置!$B$7:$N$7,'净值数据(iFinD公式)'!$B53:$N53/'净值数据(iFinD公式)'!$B$5:$N$5)*(1-持仓配置!$P$7)^((ROW()-6)/说明!$C$17))</f>
        <v/>
      </c>
      <c r="L54" s="9">
        <f>IF(OR(K54="",K53=""),"",K54/K53-1)</f>
        <v/>
      </c>
      <c r="M54" s="9">
        <f>IF(K54="","",K54/MAX(K$6:K54)-1)</f>
        <v/>
      </c>
    </row>
    <row r="55">
      <c r="A55" s="169">
        <f>IF('净值数据(iFinD公式)'!A54="","",'净值数据(iFinD公式)'!A54)</f>
        <v/>
      </c>
      <c r="B55" s="165">
        <f>IF(OR('净值数据(iFinD公式)'!$A54="",'净值数据(iFinD公式)'!$B54=""),"",SUMPRODUCT(持仓配置!$B$4:$N$4,'净值数据(iFinD公式)'!$B54:$N54/'净值数据(iFinD公式)'!$B$5:$N$5)*(1-持仓配置!$P$4)^((ROW()-6)/说明!$C$17))</f>
        <v/>
      </c>
      <c r="C55" s="9">
        <f>IF(OR(B55="",B54=""),"",B55/B54-1)</f>
        <v/>
      </c>
      <c r="D55" s="9">
        <f>IF(B55="","",B55/MAX(B$6:B55)-1)</f>
        <v/>
      </c>
      <c r="E55" s="165">
        <f>IF(OR('净值数据(iFinD公式)'!$A54="",'净值数据(iFinD公式)'!$B54=""),"",SUMPRODUCT(持仓配置!$B$5:$N$5,'净值数据(iFinD公式)'!$B54:$N54/'净值数据(iFinD公式)'!$B$5:$N$5)*(1-持仓配置!$P$5)^((ROW()-6)/说明!$C$17))</f>
        <v/>
      </c>
      <c r="F55" s="9">
        <f>IF(OR(E55="",E54=""),"",E55/E54-1)</f>
        <v/>
      </c>
      <c r="G55" s="9">
        <f>IF(E55="","",E55/MAX(E$6:E55)-1)</f>
        <v/>
      </c>
      <c r="H55" s="165">
        <f>IF(OR('净值数据(iFinD公式)'!$A54="",'净值数据(iFinD公式)'!$B54=""),"",SUMPRODUCT(持仓配置!$B$6:$N$6,'净值数据(iFinD公式)'!$B54:$N54/'净值数据(iFinD公式)'!$B$5:$N$5)*(1-持仓配置!$P$6)^((ROW()-6)/说明!$C$17))</f>
        <v/>
      </c>
      <c r="I55" s="9">
        <f>IF(OR(H55="",H54=""),"",H55/H54-1)</f>
        <v/>
      </c>
      <c r="J55" s="9">
        <f>IF(H55="","",H55/MAX(H$6:H55)-1)</f>
        <v/>
      </c>
      <c r="K55" s="165">
        <f>IF(OR('净值数据(iFinD公式)'!$A54="",'净值数据(iFinD公式)'!$B54=""),"",SUMPRODUCT(持仓配置!$B$7:$N$7,'净值数据(iFinD公式)'!$B54:$N54/'净值数据(iFinD公式)'!$B$5:$N$5)*(1-持仓配置!$P$7)^((ROW()-6)/说明!$C$17))</f>
        <v/>
      </c>
      <c r="L55" s="9">
        <f>IF(OR(K55="",K54=""),"",K55/K54-1)</f>
        <v/>
      </c>
      <c r="M55" s="9">
        <f>IF(K55="","",K55/MAX(K$6:K55)-1)</f>
        <v/>
      </c>
    </row>
    <row r="56">
      <c r="A56" s="169">
        <f>IF('净值数据(iFinD公式)'!A55="","",'净值数据(iFinD公式)'!A55)</f>
        <v/>
      </c>
      <c r="B56" s="165">
        <f>IF(OR('净值数据(iFinD公式)'!$A55="",'净值数据(iFinD公式)'!$B55=""),"",SUMPRODUCT(持仓配置!$B$4:$N$4,'净值数据(iFinD公式)'!$B55:$N55/'净值数据(iFinD公式)'!$B$5:$N$5)*(1-持仓配置!$P$4)^((ROW()-6)/说明!$C$17))</f>
        <v/>
      </c>
      <c r="C56" s="9">
        <f>IF(OR(B56="",B55=""),"",B56/B55-1)</f>
        <v/>
      </c>
      <c r="D56" s="9">
        <f>IF(B56="","",B56/MAX(B$6:B56)-1)</f>
        <v/>
      </c>
      <c r="E56" s="165">
        <f>IF(OR('净值数据(iFinD公式)'!$A55="",'净值数据(iFinD公式)'!$B55=""),"",SUMPRODUCT(持仓配置!$B$5:$N$5,'净值数据(iFinD公式)'!$B55:$N55/'净值数据(iFinD公式)'!$B$5:$N$5)*(1-持仓配置!$P$5)^((ROW()-6)/说明!$C$17))</f>
        <v/>
      </c>
      <c r="F56" s="9">
        <f>IF(OR(E56="",E55=""),"",E56/E55-1)</f>
        <v/>
      </c>
      <c r="G56" s="9">
        <f>IF(E56="","",E56/MAX(E$6:E56)-1)</f>
        <v/>
      </c>
      <c r="H56" s="165">
        <f>IF(OR('净值数据(iFinD公式)'!$A55="",'净值数据(iFinD公式)'!$B55=""),"",SUMPRODUCT(持仓配置!$B$6:$N$6,'净值数据(iFinD公式)'!$B55:$N55/'净值数据(iFinD公式)'!$B$5:$N$5)*(1-持仓配置!$P$6)^((ROW()-6)/说明!$C$17))</f>
        <v/>
      </c>
      <c r="I56" s="9">
        <f>IF(OR(H56="",H55=""),"",H56/H55-1)</f>
        <v/>
      </c>
      <c r="J56" s="9">
        <f>IF(H56="","",H56/MAX(H$6:H56)-1)</f>
        <v/>
      </c>
      <c r="K56" s="165">
        <f>IF(OR('净值数据(iFinD公式)'!$A55="",'净值数据(iFinD公式)'!$B55=""),"",SUMPRODUCT(持仓配置!$B$7:$N$7,'净值数据(iFinD公式)'!$B55:$N55/'净值数据(iFinD公式)'!$B$5:$N$5)*(1-持仓配置!$P$7)^((ROW()-6)/说明!$C$17))</f>
        <v/>
      </c>
      <c r="L56" s="9">
        <f>IF(OR(K56="",K55=""),"",K56/K55-1)</f>
        <v/>
      </c>
      <c r="M56" s="9">
        <f>IF(K56="","",K56/MAX(K$6:K56)-1)</f>
        <v/>
      </c>
    </row>
    <row r="57">
      <c r="A57" s="169">
        <f>IF('净值数据(iFinD公式)'!A56="","",'净值数据(iFinD公式)'!A56)</f>
        <v/>
      </c>
      <c r="B57" s="165">
        <f>IF(OR('净值数据(iFinD公式)'!$A56="",'净值数据(iFinD公式)'!$B56=""),"",SUMPRODUCT(持仓配置!$B$4:$N$4,'净值数据(iFinD公式)'!$B56:$N56/'净值数据(iFinD公式)'!$B$5:$N$5)*(1-持仓配置!$P$4)^((ROW()-6)/说明!$C$17))</f>
        <v/>
      </c>
      <c r="C57" s="9">
        <f>IF(OR(B57="",B56=""),"",B57/B56-1)</f>
        <v/>
      </c>
      <c r="D57" s="9">
        <f>IF(B57="","",B57/MAX(B$6:B57)-1)</f>
        <v/>
      </c>
      <c r="E57" s="165">
        <f>IF(OR('净值数据(iFinD公式)'!$A56="",'净值数据(iFinD公式)'!$B56=""),"",SUMPRODUCT(持仓配置!$B$5:$N$5,'净值数据(iFinD公式)'!$B56:$N56/'净值数据(iFinD公式)'!$B$5:$N$5)*(1-持仓配置!$P$5)^((ROW()-6)/说明!$C$17))</f>
        <v/>
      </c>
      <c r="F57" s="9">
        <f>IF(OR(E57="",E56=""),"",E57/E56-1)</f>
        <v/>
      </c>
      <c r="G57" s="9">
        <f>IF(E57="","",E57/MAX(E$6:E57)-1)</f>
        <v/>
      </c>
      <c r="H57" s="165">
        <f>IF(OR('净值数据(iFinD公式)'!$A56="",'净值数据(iFinD公式)'!$B56=""),"",SUMPRODUCT(持仓配置!$B$6:$N$6,'净值数据(iFinD公式)'!$B56:$N56/'净值数据(iFinD公式)'!$B$5:$N$5)*(1-持仓配置!$P$6)^((ROW()-6)/说明!$C$17))</f>
        <v/>
      </c>
      <c r="I57" s="9">
        <f>IF(OR(H57="",H56=""),"",H57/H56-1)</f>
        <v/>
      </c>
      <c r="J57" s="9">
        <f>IF(H57="","",H57/MAX(H$6:H57)-1)</f>
        <v/>
      </c>
      <c r="K57" s="165">
        <f>IF(OR('净值数据(iFinD公式)'!$A56="",'净值数据(iFinD公式)'!$B56=""),"",SUMPRODUCT(持仓配置!$B$7:$N$7,'净值数据(iFinD公式)'!$B56:$N56/'净值数据(iFinD公式)'!$B$5:$N$5)*(1-持仓配置!$P$7)^((ROW()-6)/说明!$C$17))</f>
        <v/>
      </c>
      <c r="L57" s="9">
        <f>IF(OR(K57="",K56=""),"",K57/K56-1)</f>
        <v/>
      </c>
      <c r="M57" s="9">
        <f>IF(K57="","",K57/MAX(K$6:K57)-1)</f>
        <v/>
      </c>
    </row>
    <row r="58">
      <c r="A58" s="169">
        <f>IF('净值数据(iFinD公式)'!A57="","",'净值数据(iFinD公式)'!A57)</f>
        <v/>
      </c>
      <c r="B58" s="165">
        <f>IF(OR('净值数据(iFinD公式)'!$A57="",'净值数据(iFinD公式)'!$B57=""),"",SUMPRODUCT(持仓配置!$B$4:$N$4,'净值数据(iFinD公式)'!$B57:$N57/'净值数据(iFinD公式)'!$B$5:$N$5)*(1-持仓配置!$P$4)^((ROW()-6)/说明!$C$17))</f>
        <v/>
      </c>
      <c r="C58" s="9">
        <f>IF(OR(B58="",B57=""),"",B58/B57-1)</f>
        <v/>
      </c>
      <c r="D58" s="9">
        <f>IF(B58="","",B58/MAX(B$6:B58)-1)</f>
        <v/>
      </c>
      <c r="E58" s="165">
        <f>IF(OR('净值数据(iFinD公式)'!$A57="",'净值数据(iFinD公式)'!$B57=""),"",SUMPRODUCT(持仓配置!$B$5:$N$5,'净值数据(iFinD公式)'!$B57:$N57/'净值数据(iFinD公式)'!$B$5:$N$5)*(1-持仓配置!$P$5)^((ROW()-6)/说明!$C$17))</f>
        <v/>
      </c>
      <c r="F58" s="9">
        <f>IF(OR(E58="",E57=""),"",E58/E57-1)</f>
        <v/>
      </c>
      <c r="G58" s="9">
        <f>IF(E58="","",E58/MAX(E$6:E58)-1)</f>
        <v/>
      </c>
      <c r="H58" s="165">
        <f>IF(OR('净值数据(iFinD公式)'!$A57="",'净值数据(iFinD公式)'!$B57=""),"",SUMPRODUCT(持仓配置!$B$6:$N$6,'净值数据(iFinD公式)'!$B57:$N57/'净值数据(iFinD公式)'!$B$5:$N$5)*(1-持仓配置!$P$6)^((ROW()-6)/说明!$C$17))</f>
        <v/>
      </c>
      <c r="I58" s="9">
        <f>IF(OR(H58="",H57=""),"",H58/H57-1)</f>
        <v/>
      </c>
      <c r="J58" s="9">
        <f>IF(H58="","",H58/MAX(H$6:H58)-1)</f>
        <v/>
      </c>
      <c r="K58" s="165">
        <f>IF(OR('净值数据(iFinD公式)'!$A57="",'净值数据(iFinD公式)'!$B57=""),"",SUMPRODUCT(持仓配置!$B$7:$N$7,'净值数据(iFinD公式)'!$B57:$N57/'净值数据(iFinD公式)'!$B$5:$N$5)*(1-持仓配置!$P$7)^((ROW()-6)/说明!$C$17))</f>
        <v/>
      </c>
      <c r="L58" s="9">
        <f>IF(OR(K58="",K57=""),"",K58/K57-1)</f>
        <v/>
      </c>
      <c r="M58" s="9">
        <f>IF(K58="","",K58/MAX(K$6:K58)-1)</f>
        <v/>
      </c>
    </row>
    <row r="59">
      <c r="A59" s="169">
        <f>IF('净值数据(iFinD公式)'!A58="","",'净值数据(iFinD公式)'!A58)</f>
        <v/>
      </c>
      <c r="B59" s="165">
        <f>IF(OR('净值数据(iFinD公式)'!$A58="",'净值数据(iFinD公式)'!$B58=""),"",SUMPRODUCT(持仓配置!$B$4:$N$4,'净值数据(iFinD公式)'!$B58:$N58/'净值数据(iFinD公式)'!$B$5:$N$5)*(1-持仓配置!$P$4)^((ROW()-6)/说明!$C$17))</f>
        <v/>
      </c>
      <c r="C59" s="9">
        <f>IF(OR(B59="",B58=""),"",B59/B58-1)</f>
        <v/>
      </c>
      <c r="D59" s="9">
        <f>IF(B59="","",B59/MAX(B$6:B59)-1)</f>
        <v/>
      </c>
      <c r="E59" s="165">
        <f>IF(OR('净值数据(iFinD公式)'!$A58="",'净值数据(iFinD公式)'!$B58=""),"",SUMPRODUCT(持仓配置!$B$5:$N$5,'净值数据(iFinD公式)'!$B58:$N58/'净值数据(iFinD公式)'!$B$5:$N$5)*(1-持仓配置!$P$5)^((ROW()-6)/说明!$C$17))</f>
        <v/>
      </c>
      <c r="F59" s="9">
        <f>IF(OR(E59="",E58=""),"",E59/E58-1)</f>
        <v/>
      </c>
      <c r="G59" s="9">
        <f>IF(E59="","",E59/MAX(E$6:E59)-1)</f>
        <v/>
      </c>
      <c r="H59" s="165">
        <f>IF(OR('净值数据(iFinD公式)'!$A58="",'净值数据(iFinD公式)'!$B58=""),"",SUMPRODUCT(持仓配置!$B$6:$N$6,'净值数据(iFinD公式)'!$B58:$N58/'净值数据(iFinD公式)'!$B$5:$N$5)*(1-持仓配置!$P$6)^((ROW()-6)/说明!$C$17))</f>
        <v/>
      </c>
      <c r="I59" s="9">
        <f>IF(OR(H59="",H58=""),"",H59/H58-1)</f>
        <v/>
      </c>
      <c r="J59" s="9">
        <f>IF(H59="","",H59/MAX(H$6:H59)-1)</f>
        <v/>
      </c>
      <c r="K59" s="165">
        <f>IF(OR('净值数据(iFinD公式)'!$A58="",'净值数据(iFinD公式)'!$B58=""),"",SUMPRODUCT(持仓配置!$B$7:$N$7,'净值数据(iFinD公式)'!$B58:$N58/'净值数据(iFinD公式)'!$B$5:$N$5)*(1-持仓配置!$P$7)^((ROW()-6)/说明!$C$17))</f>
        <v/>
      </c>
      <c r="L59" s="9">
        <f>IF(OR(K59="",K58=""),"",K59/K58-1)</f>
        <v/>
      </c>
      <c r="M59" s="9">
        <f>IF(K59="","",K59/MAX(K$6:K59)-1)</f>
        <v/>
      </c>
    </row>
    <row r="60">
      <c r="A60" s="169">
        <f>IF('净值数据(iFinD公式)'!A59="","",'净值数据(iFinD公式)'!A59)</f>
        <v/>
      </c>
      <c r="B60" s="165">
        <f>IF(OR('净值数据(iFinD公式)'!$A59="",'净值数据(iFinD公式)'!$B59=""),"",SUMPRODUCT(持仓配置!$B$4:$N$4,'净值数据(iFinD公式)'!$B59:$N59/'净值数据(iFinD公式)'!$B$5:$N$5)*(1-持仓配置!$P$4)^((ROW()-6)/说明!$C$17))</f>
        <v/>
      </c>
      <c r="C60" s="9">
        <f>IF(OR(B60="",B59=""),"",B60/B59-1)</f>
        <v/>
      </c>
      <c r="D60" s="9">
        <f>IF(B60="","",B60/MAX(B$6:B60)-1)</f>
        <v/>
      </c>
      <c r="E60" s="165">
        <f>IF(OR('净值数据(iFinD公式)'!$A59="",'净值数据(iFinD公式)'!$B59=""),"",SUMPRODUCT(持仓配置!$B$5:$N$5,'净值数据(iFinD公式)'!$B59:$N59/'净值数据(iFinD公式)'!$B$5:$N$5)*(1-持仓配置!$P$5)^((ROW()-6)/说明!$C$17))</f>
        <v/>
      </c>
      <c r="F60" s="9">
        <f>IF(OR(E60="",E59=""),"",E60/E59-1)</f>
        <v/>
      </c>
      <c r="G60" s="9">
        <f>IF(E60="","",E60/MAX(E$6:E60)-1)</f>
        <v/>
      </c>
      <c r="H60" s="165">
        <f>IF(OR('净值数据(iFinD公式)'!$A59="",'净值数据(iFinD公式)'!$B59=""),"",SUMPRODUCT(持仓配置!$B$6:$N$6,'净值数据(iFinD公式)'!$B59:$N59/'净值数据(iFinD公式)'!$B$5:$N$5)*(1-持仓配置!$P$6)^((ROW()-6)/说明!$C$17))</f>
        <v/>
      </c>
      <c r="I60" s="9">
        <f>IF(OR(H60="",H59=""),"",H60/H59-1)</f>
        <v/>
      </c>
      <c r="J60" s="9">
        <f>IF(H60="","",H60/MAX(H$6:H60)-1)</f>
        <v/>
      </c>
      <c r="K60" s="165">
        <f>IF(OR('净值数据(iFinD公式)'!$A59="",'净值数据(iFinD公式)'!$B59=""),"",SUMPRODUCT(持仓配置!$B$7:$N$7,'净值数据(iFinD公式)'!$B59:$N59/'净值数据(iFinD公式)'!$B$5:$N$5)*(1-持仓配置!$P$7)^((ROW()-6)/说明!$C$17))</f>
        <v/>
      </c>
      <c r="L60" s="9">
        <f>IF(OR(K60="",K59=""),"",K60/K59-1)</f>
        <v/>
      </c>
      <c r="M60" s="9">
        <f>IF(K60="","",K60/MAX(K$6:K60)-1)</f>
        <v/>
      </c>
    </row>
    <row r="62" ht="14.5" customHeight="1" s="136">
      <c r="A62" s="144" t="inlineStr">
        <is>
          <t>组合净值起始=1.0000；买入持有，权重随涨跌漂移；净值已按年化费率折每日扣费。新增日期下拉填充。</t>
        </is>
      </c>
    </row>
  </sheetData>
  <mergeCells count="5">
    <mergeCell ref="A1:M1"/>
    <mergeCell ref="K4:M4"/>
    <mergeCell ref="B4:D4"/>
    <mergeCell ref="H4:J4"/>
    <mergeCell ref="E4:G4"/>
  </mergeCell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G35"/>
  <sheetViews>
    <sheetView showGridLines="0" workbookViewId="0">
      <selection activeCell="E3" sqref="E3:G3"/>
    </sheetView>
  </sheetViews>
  <sheetFormatPr baseColWidth="8" defaultRowHeight="14"/>
  <cols>
    <col width="2" customWidth="1" style="136" min="1" max="1"/>
    <col width="14" customWidth="1" style="136" min="2" max="2"/>
    <col width="15.08984375" bestFit="1" customWidth="1" style="136" min="3" max="3"/>
    <col width="17.54296875" bestFit="1" customWidth="1" style="136" min="4" max="4"/>
    <col width="14" customWidth="1" style="136" min="5" max="5"/>
    <col width="15.08984375" bestFit="1" customWidth="1" style="136" min="6" max="6"/>
    <col width="14" customWidth="1" style="136" min="7" max="7"/>
    <col width="2" customWidth="1" style="136" min="8" max="8"/>
  </cols>
  <sheetData>
    <row r="2">
      <c r="B2" s="142" t="inlineStr">
        <is>
          <t>样板间组合走势看板（10-90 账户）</t>
        </is>
      </c>
    </row>
    <row r="3" ht="14.5" customHeight="1" s="136">
      <c r="B3" s="144">
        <f>"买入持有 · 已扣年化费率 "&amp;TEXT(持仓配置!$M$4,"0.0%")&amp;"（折每日计入净值）"</f>
        <v/>
      </c>
      <c r="E3" s="141">
        <f>"净值日期："&amp;TEXT(LOOKUP(2,1/('组合净值（模拟）'!$B$6:$B$60&lt;&gt;""),'组合净值（模拟）'!$A$6:$A$60),"yyyy-mm-dd")</f>
        <v/>
      </c>
    </row>
    <row r="5">
      <c r="B5" s="140" t="inlineStr">
        <is>
          <t>产品业绩表现（历史表现不代表未来收益承诺）</t>
        </is>
      </c>
    </row>
    <row r="6">
      <c r="B6" s="10" t="inlineStr">
        <is>
          <t>最新净值</t>
        </is>
      </c>
      <c r="C6" s="10" t="inlineStr">
        <is>
          <t>累计收益</t>
        </is>
      </c>
      <c r="D6" s="10" t="inlineStr">
        <is>
          <t>年化收益</t>
        </is>
      </c>
      <c r="E6" s="10" t="inlineStr">
        <is>
          <t>年化波动率</t>
        </is>
      </c>
      <c r="F6" s="10" t="inlineStr">
        <is>
          <t>最大回撤</t>
        </is>
      </c>
      <c r="G6" s="10" t="inlineStr">
        <is>
          <t>夏普比率(日)</t>
        </is>
      </c>
    </row>
    <row r="7" ht="28" customHeight="1" s="136">
      <c r="B7" s="170">
        <f>LOOKUP(2,1/('组合净值（模拟）'!$B$6:$B$60&lt;&gt;""),'组合净值（模拟）'!$B$6:$B$60)</f>
        <v/>
      </c>
      <c r="C7" s="21">
        <f>(LOOKUP(2,1/('组合净值（模拟）'!$B$6:$B$60&lt;&gt;""),'组合净值（模拟）'!$B$6:$B$60))/'组合净值（模拟）'!$B$6-1</f>
        <v/>
      </c>
      <c r="D7" s="21">
        <f>IFERROR((1+C7)^(365/(LOOKUP(2,1/('组合净值（模拟）'!$B$6:$B$60&lt;&gt;""),'组合净值（模拟）'!$A$6:$A$60)-'组合净值（模拟）'!$A$7+1))-1,"")</f>
        <v/>
      </c>
      <c r="E7" s="22">
        <f>STDEV('组合净值（模拟）'!$C$6:$C$60)*SQRT(说明!$C$17)</f>
        <v/>
      </c>
      <c r="F7" s="21">
        <f>MIN('组合净值（模拟）'!$D$6:$D$60)</f>
        <v/>
      </c>
      <c r="G7" s="170">
        <f>IFERROR((AVERAGE('组合净值（模拟）'!$C$6:$C$60)-说明!$C$16/365)/STDEV('组合净值（模拟）'!$C$6:$C$60),"")</f>
        <v/>
      </c>
    </row>
    <row r="9">
      <c r="B9" s="140" t="inlineStr">
        <is>
          <t>收益表现</t>
        </is>
      </c>
      <c r="E9" s="140" t="inlineStr">
        <is>
          <t>风险特征</t>
        </is>
      </c>
    </row>
    <row r="10">
      <c r="B10" s="27" t="inlineStr">
        <is>
          <t>区间</t>
        </is>
      </c>
      <c r="C10" s="27" t="inlineStr">
        <is>
          <t>累计收益</t>
        </is>
      </c>
      <c r="D10" s="27" t="inlineStr">
        <is>
          <t>年化收益</t>
        </is>
      </c>
      <c r="E10" s="145" t="inlineStr">
        <is>
          <t>指标</t>
        </is>
      </c>
      <c r="F10" s="139" t="n"/>
      <c r="G10" s="27" t="inlineStr">
        <is>
          <t>数值</t>
        </is>
      </c>
    </row>
    <row r="11" ht="22.5" customHeight="1" s="136">
      <c r="B11" s="26" t="inlineStr">
        <is>
          <t>起始以来</t>
        </is>
      </c>
      <c r="C11" s="17">
        <f>IFERROR((LOOKUP(2,1/('组合净值（模拟）'!$B$6:$B$60&lt;&gt;""),'组合净值（模拟）'!$B$6:$B$60))/('组合净值（模拟）'!$B$6)-1,"")</f>
        <v/>
      </c>
      <c r="D11" s="17">
        <f>IFERROR((LOOKUP(2,1/('组合净值（模拟）'!$B$6:$B$60&lt;&gt;""),'组合净值（模拟）'!$B$6:$B$60)/('组合净值（模拟）'!$B$6))^(说明!$C$17/COUNT('组合净值（模拟）'!$C$6:$C$60))-1,"")</f>
        <v/>
      </c>
      <c r="E11" s="143" t="inlineStr">
        <is>
          <t>最大回撤</t>
        </is>
      </c>
      <c r="F11" s="139" t="n"/>
      <c r="G11" s="17">
        <f>MIN('组合净值（模拟）'!$D$6:$D$60)</f>
        <v/>
      </c>
    </row>
    <row r="12" ht="22.5" customHeight="1" s="136">
      <c r="B12" s="26" t="inlineStr">
        <is>
          <t>2026YTD</t>
        </is>
      </c>
      <c r="C12" s="17">
        <f>IFERROR((LOOKUP(2,1/('组合净值（模拟）'!$B$6:$B$60&lt;&gt;""),'组合净值（模拟）'!$B$6:$B$60))/(IFERROR(LOOKUP(DATE(2026,1,1),'组合净值（模拟）'!$A$6:$A$60,'组合净值（模拟）'!$B$6:$B$60),'组合净值（模拟）'!$B$6))-1,"")</f>
        <v/>
      </c>
      <c r="D12" s="17">
        <f>IFERROR((LOOKUP(2,1/('组合净值（模拟）'!$B$6:$B$60&lt;&gt;""),'组合净值（模拟）'!$B$6:$B$60)/(IFERROR(LOOKUP(DATE(2026,1,1),'组合净值（模拟）'!$A$6:$A$60,'组合净值（模拟）'!$B$6:$B$60),'组合净值（模拟）'!$B$6)))^(说明!$C$17/MAX(COUNTIF('组合净值（模拟）'!$A$6:$A$60,"&gt;="&amp;(DATE(2026,1,1))),1))-1,"")</f>
        <v/>
      </c>
      <c r="E12" s="143" t="inlineStr">
        <is>
          <t>回撤修复天数(未创新高)</t>
        </is>
      </c>
      <c r="F12" s="139" t="n"/>
      <c r="G12" s="18">
        <f>IFERROR((LOOKUP(2,1/('组合净值（模拟）'!$B$6:$B$60&lt;&gt;""),ROW('组合净值（模拟）'!$B$6:$B$60)))-(LOOKUP(2,1/('组合净值（模拟）'!$D$6:$D$60=0),ROW('组合净值（模拟）'!$D$6:$D$60))),"")</f>
        <v/>
      </c>
    </row>
    <row r="13" ht="22.5" customHeight="1" s="136">
      <c r="B13" s="26" t="inlineStr">
        <is>
          <t>近3个月</t>
        </is>
      </c>
      <c r="C13" s="17">
        <f>IFERROR((LOOKUP(2,1/('组合净值（模拟）'!$B$6:$B$60&lt;&gt;""),'组合净值（模拟）'!$B$6:$B$60))/(IFERROR(LOOKUP(EDATE(LOOKUP(2,1/('组合净值（模拟）'!$B$6:$B$60&lt;&gt;""),'组合净值（模拟）'!$A$6:$A$60),-3),'组合净值（模拟）'!$A$6:$A$60,'组合净值（模拟）'!$B$6:$B$60),'组合净值（模拟）'!$B$6))-1,"")</f>
        <v/>
      </c>
      <c r="D13" s="17">
        <f>IFERROR((LOOKUP(2,1/('组合净值（模拟）'!$B$6:$B$60&lt;&gt;""),'组合净值（模拟）'!$B$6:$B$60)/(IFERROR(LOOKUP(EDATE(LOOKUP(2,1/('组合净值（模拟）'!$B$6:$B$60&lt;&gt;""),'组合净值（模拟）'!$A$6:$A$60),-3),'组合净值（模拟）'!$A$6:$A$60,'组合净值（模拟）'!$B$6:$B$60),'组合净值（模拟）'!$B$6)))^(说明!$C$17/MAX(COUNTIF('组合净值（模拟）'!$A$6:$A$60,"&gt;="&amp;(EDATE(LOOKUP(2,1/('组合净值（模拟）'!$B$6:$B$60&lt;&gt;""),'组合净值（模拟）'!$A$6:$A$60),-3))),1))-1,"")</f>
        <v/>
      </c>
      <c r="E13" s="143" t="inlineStr">
        <is>
          <t>正收益占比</t>
        </is>
      </c>
      <c r="F13" s="139" t="n"/>
      <c r="G13" s="171">
        <f>COUNTIF('组合净值（模拟）'!$C$6:$C$60,"&gt;0")/MAX(COUNT('组合净值（模拟）'!$C$6:$C$60),1)</f>
        <v/>
      </c>
    </row>
    <row r="14" ht="22.5" customHeight="1" s="136">
      <c r="B14" s="26" t="inlineStr">
        <is>
          <t>近6个月</t>
        </is>
      </c>
      <c r="C14" s="17">
        <f>IFERROR((LOOKUP(2,1/('组合净值（模拟）'!$B$6:$B$60&lt;&gt;""),'组合净值（模拟）'!$B$6:$B$60))/(IFERROR(LOOKUP(EDATE(LOOKUP(2,1/('组合净值（模拟）'!$B$6:$B$60&lt;&gt;""),'组合净值（模拟）'!$A$6:$A$60),-6),'组合净值（模拟）'!$A$6:$A$60,'组合净值（模拟）'!$B$6:$B$60),'组合净值（模拟）'!$B$6))-1,"")</f>
        <v/>
      </c>
      <c r="D14" s="17">
        <f>IFERROR((LOOKUP(2,1/('组合净值（模拟）'!$B$6:$B$60&lt;&gt;""),'组合净值（模拟）'!$B$6:$B$60)/(IFERROR(LOOKUP(EDATE(LOOKUP(2,1/('组合净值（模拟）'!$B$6:$B$60&lt;&gt;""),'组合净值（模拟）'!$A$6:$A$60),-6),'组合净值（模拟）'!$A$6:$A$60,'组合净值（模拟）'!$B$6:$B$60),'组合净值（模拟）'!$B$6)))^(说明!$C$17/MAX(COUNTIF('组合净值（模拟）'!$A$6:$A$60,"&gt;="&amp;(EDATE(LOOKUP(2,1/('组合净值（模拟）'!$B$6:$B$60&lt;&gt;""),'组合净值（模拟）'!$A$6:$A$60),-6))),1))-1,"")</f>
        <v/>
      </c>
      <c r="E14" s="143" t="inlineStr">
        <is>
          <t>年化波动率</t>
        </is>
      </c>
      <c r="F14" s="139" t="n"/>
      <c r="G14" s="17">
        <f>STDEV('组合净值（模拟）'!$C$6:$C$60)*SQRT(说明!$C$17)</f>
        <v/>
      </c>
    </row>
    <row r="15" ht="22.5" customHeight="1" s="136">
      <c r="B15" s="26" t="inlineStr">
        <is>
          <t>近1年</t>
        </is>
      </c>
      <c r="C15" s="17">
        <f>IFERROR((LOOKUP(2,1/('组合净值（模拟）'!$B$6:$B$60&lt;&gt;""),'组合净值（模拟）'!$B$6:$B$60))/(IFERROR(LOOKUP(EDATE(LOOKUP(2,1/('组合净值（模拟）'!$B$6:$B$60&lt;&gt;""),'组合净值（模拟）'!$A$6:$A$60),-12),'组合净值（模拟）'!$A$6:$A$60,'组合净值（模拟）'!$B$6:$B$60),'组合净值（模拟）'!$B$6))-1,"")</f>
        <v/>
      </c>
      <c r="D15" s="17">
        <f>IFERROR((LOOKUP(2,1/('组合净值（模拟）'!$B$6:$B$60&lt;&gt;""),'组合净值（模拟）'!$B$6:$B$60)/(IFERROR(LOOKUP(EDATE(LOOKUP(2,1/('组合净值（模拟）'!$B$6:$B$60&lt;&gt;""),'组合净值（模拟）'!$A$6:$A$60),-12),'组合净值（模拟）'!$A$6:$A$60,'组合净值（模拟）'!$B$6:$B$60),'组合净值（模拟）'!$B$6)))^(说明!$C$17/MAX(COUNTIF('组合净值（模拟）'!$A$6:$A$60,"&gt;="&amp;(EDATE(LOOKUP(2,1/('组合净值（模拟）'!$B$6:$B$60&lt;&gt;""),'组合净值（模拟）'!$A$6:$A$60),-12))),1))-1,"")</f>
        <v/>
      </c>
      <c r="E15" s="143" t="inlineStr">
        <is>
          <t>夏普比率</t>
        </is>
      </c>
      <c r="F15" s="139" t="n"/>
      <c r="G15" s="19">
        <f>(((LOOKUP(2,1/('组合净值（模拟）'!$B$6:$B$60&lt;&gt;""),'组合净值（模拟）'!$B$6:$B$60)/'组合净值（模拟）'!$B$6)^(说明!$C$17/MAX(COUNT('组合净值（模拟）'!$C$6:$C$60),1))-1)-说明!$C$16)/IF((STDEV('组合净值（模拟）'!$C$6:$C$60)*SQRT(说明!$C$17))=0,"",(STDEV('组合净值（模拟）'!$C$6:$C$60)*SQRT(说明!$C$17)))</f>
        <v/>
      </c>
    </row>
    <row r="16" ht="22.5" customHeight="1" s="136">
      <c r="B16" s="20" t="n"/>
      <c r="C16" s="20" t="n"/>
      <c r="D16" s="20" t="n"/>
      <c r="E16" s="143" t="inlineStr">
        <is>
          <t>卡玛比率</t>
        </is>
      </c>
      <c r="F16" s="139" t="n"/>
      <c r="G16" s="19">
        <f>IFERROR(((LOOKUP(2,1/('组合净值（模拟）'!$B$6:$B$60&lt;&gt;""),'组合净值（模拟）'!$B$6:$B$60)/'组合净值（模拟）'!$B$6)^(说明!$C$17/MAX(COUNT('组合净值（模拟）'!$C$6:$C$60),1))-1)/ABS(MIN('组合净值（模拟）'!$D$6:$D$60)),"")</f>
        <v/>
      </c>
    </row>
    <row r="18">
      <c r="B18" s="140" t="inlineStr">
        <is>
          <t>产品运作情况 · 组合净值曲线</t>
        </is>
      </c>
    </row>
    <row r="35" ht="14.5" customHeight="1" s="136">
      <c r="B35" s="144" t="inlineStr">
        <is>
          <t>统计区间自2026/6/1起；运作初期样本少，年化类指标仅供参考。新增交易日后请同步扩展本图数据区。</t>
        </is>
      </c>
    </row>
  </sheetData>
  <mergeCells count="14">
    <mergeCell ref="B2:G2"/>
    <mergeCell ref="E12:F12"/>
    <mergeCell ref="B3:D3"/>
    <mergeCell ref="E16:F16"/>
    <mergeCell ref="B5:G5"/>
    <mergeCell ref="E10:F10"/>
    <mergeCell ref="E15:F15"/>
    <mergeCell ref="E11:F11"/>
    <mergeCell ref="B9:D9"/>
    <mergeCell ref="E9:G9"/>
    <mergeCell ref="E13:F13"/>
    <mergeCell ref="B18:G18"/>
    <mergeCell ref="E3:G3"/>
    <mergeCell ref="E14:F14"/>
  </mergeCells>
  <conditionalFormatting sqref="C7:D7">
    <cfRule type="cellIs" priority="7" operator="lessThan" dxfId="4">
      <formula>0</formula>
    </cfRule>
    <cfRule type="cellIs" priority="8" operator="greaterThan" dxfId="0">
      <formula>0</formula>
    </cfRule>
  </conditionalFormatting>
  <conditionalFormatting sqref="F7">
    <cfRule type="cellIs" priority="5" operator="lessThan" dxfId="4">
      <formula>0</formula>
    </cfRule>
    <cfRule type="cellIs" priority="6" operator="greaterThan" dxfId="0">
      <formula>0</formula>
    </cfRule>
  </conditionalFormatting>
  <conditionalFormatting sqref="C11:D11">
    <cfRule type="cellIs" priority="3" operator="lessThan" dxfId="4">
      <formula>0</formula>
    </cfRule>
    <cfRule type="cellIs" priority="4" operator="greaterThan" dxfId="0">
      <formula>0</formula>
    </cfRule>
  </conditionalFormatting>
  <conditionalFormatting sqref="G11">
    <cfRule type="cellIs" priority="1" operator="lessThan" dxfId="4">
      <formula>0</formula>
    </cfRule>
    <cfRule type="cellIs" priority="2" operator="greaterThan" dxfId="0">
      <formula>0</formula>
    </cfRule>
  </conditionalFormatting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G35"/>
  <sheetViews>
    <sheetView showGridLines="0" workbookViewId="0">
      <selection activeCell="P21" sqref="P21"/>
    </sheetView>
  </sheetViews>
  <sheetFormatPr baseColWidth="8" defaultRowHeight="14"/>
  <cols>
    <col width="2" customWidth="1" style="136" min="1" max="1"/>
    <col width="14" customWidth="1" style="136" min="2" max="2"/>
    <col width="15.08984375" bestFit="1" customWidth="1" style="136" min="3" max="4"/>
    <col width="14" customWidth="1" style="136" min="5" max="5"/>
    <col width="15.08984375" bestFit="1" customWidth="1" style="136" min="6" max="6"/>
    <col width="14" customWidth="1" style="136" min="7" max="7"/>
    <col width="2" customWidth="1" style="136" min="8" max="8"/>
  </cols>
  <sheetData>
    <row r="2" ht="19" customHeight="1" s="136">
      <c r="B2" s="142" t="inlineStr">
        <is>
          <t>样板间组合走势看板（20-80 账户）</t>
        </is>
      </c>
    </row>
    <row r="3" ht="14.5" customHeight="1" s="136">
      <c r="B3" s="144">
        <f>"买入持有 · 已扣年化费率 "&amp;TEXT(持仓配置!$M$5,"0.0%")&amp;"（折每日计入净值）"</f>
        <v/>
      </c>
      <c r="E3" s="141">
        <f>"净值日期："&amp;TEXT(LOOKUP(2,1/('组合净值（模拟）'!$E$6:$E$60&lt;&gt;""),'组合净值（模拟）'!$A$6:$A$60),"yyyy-mm-dd")</f>
        <v/>
      </c>
    </row>
    <row r="5">
      <c r="B5" s="140" t="inlineStr">
        <is>
          <t>产品业绩表现（历史表现不代表未来收益承诺）</t>
        </is>
      </c>
    </row>
    <row r="6">
      <c r="B6" s="10" t="inlineStr">
        <is>
          <t>最新净值</t>
        </is>
      </c>
      <c r="C6" s="10" t="inlineStr">
        <is>
          <t>累计收益</t>
        </is>
      </c>
      <c r="D6" s="10" t="inlineStr">
        <is>
          <t>年化收益</t>
        </is>
      </c>
      <c r="E6" s="10" t="inlineStr">
        <is>
          <t>年化波动率</t>
        </is>
      </c>
      <c r="F6" s="10" t="inlineStr">
        <is>
          <t>最大回撤</t>
        </is>
      </c>
      <c r="G6" s="10" t="inlineStr">
        <is>
          <t>夏普比率(日)</t>
        </is>
      </c>
    </row>
    <row r="7" ht="28" customHeight="1" s="136">
      <c r="B7" s="170">
        <f>LOOKUP(2,1/('组合净值（模拟）'!$E$6:$E$60&lt;&gt;""),'组合净值（模拟）'!$E$6:$E$60)</f>
        <v/>
      </c>
      <c r="C7" s="21">
        <f>(LOOKUP(2,1/('组合净值（模拟）'!$E$6:$E$60&lt;&gt;""),'组合净值（模拟）'!$E$6:$E$60))/'组合净值（模拟）'!$E$6-1</f>
        <v/>
      </c>
      <c r="D7" s="21">
        <f>IFERROR((1+C7)^(365/(LOOKUP(2,1/('组合净值（模拟）'!$E$6:$E$60&lt;&gt;""),'组合净值（模拟）'!$A$6:$A$60)-'组合净值（模拟）'!$A$7+1))-1,"")</f>
        <v/>
      </c>
      <c r="E7" s="22">
        <f>STDEV('组合净值（模拟）'!$F$6:$F$60)*SQRT(说明!$C$17)</f>
        <v/>
      </c>
      <c r="F7" s="21">
        <f>MIN('组合净值（模拟）'!$G$6:$G$60)</f>
        <v/>
      </c>
      <c r="G7" s="170">
        <f>IFERROR((AVERAGE('组合净值（模拟）'!$F$6:$F$60)-说明!$C$16/365)/STDEV('组合净值（模拟）'!$F$6:$F$60),"")</f>
        <v/>
      </c>
    </row>
    <row r="9">
      <c r="B9" s="140" t="inlineStr">
        <is>
          <t>收益表现</t>
        </is>
      </c>
      <c r="E9" s="140" t="inlineStr">
        <is>
          <t>风险特征</t>
        </is>
      </c>
    </row>
    <row r="10">
      <c r="B10" s="27" t="inlineStr">
        <is>
          <t>区间</t>
        </is>
      </c>
      <c r="C10" s="27" t="inlineStr">
        <is>
          <t>累计收益</t>
        </is>
      </c>
      <c r="D10" s="27" t="inlineStr">
        <is>
          <t>年化收益</t>
        </is>
      </c>
      <c r="E10" s="145" t="inlineStr">
        <is>
          <t>指标</t>
        </is>
      </c>
      <c r="F10" s="139" t="n"/>
      <c r="G10" s="27" t="inlineStr">
        <is>
          <t>数值</t>
        </is>
      </c>
    </row>
    <row r="11" ht="22.5" customHeight="1" s="136">
      <c r="B11" s="26" t="inlineStr">
        <is>
          <t>起始以来</t>
        </is>
      </c>
      <c r="C11" s="17">
        <f>IFERROR((LOOKUP(2,1/('组合净值（模拟）'!$E$6:$E$60&lt;&gt;""),'组合净值（模拟）'!$E$6:$E$60))/('组合净值（模拟）'!$E$6)-1,"")</f>
        <v/>
      </c>
      <c r="D11" s="17">
        <f>IFERROR((LOOKUP(2,1/('组合净值（模拟）'!$E$6:$E$60&lt;&gt;""),'组合净值（模拟）'!$E$6:$E$60)/('组合净值（模拟）'!$E$6))^(说明!$C$17/COUNT('组合净值（模拟）'!$F$6:$F$60))-1,"")</f>
        <v/>
      </c>
      <c r="E11" s="143" t="inlineStr">
        <is>
          <t>最大回撤</t>
        </is>
      </c>
      <c r="F11" s="139" t="n"/>
      <c r="G11" s="17">
        <f>MIN('组合净值（模拟）'!$G$6:$G$60)</f>
        <v/>
      </c>
    </row>
    <row r="12" ht="22.5" customHeight="1" s="136">
      <c r="B12" s="26" t="inlineStr">
        <is>
          <t>2026YTD</t>
        </is>
      </c>
      <c r="C12" s="17">
        <f>IFERROR((LOOKUP(2,1/('组合净值（模拟）'!$E$6:$E$60&lt;&gt;""),'组合净值（模拟）'!$E$6:$E$60))/(IFERROR(LOOKUP(DATE(2026,1,1),'组合净值（模拟）'!$A$6:$A$60,'组合净值（模拟）'!$E$6:$E$60),'组合净值（模拟）'!$E$6))-1,"")</f>
        <v/>
      </c>
      <c r="D12" s="17">
        <f>IFERROR((LOOKUP(2,1/('组合净值（模拟）'!$E$6:$E$60&lt;&gt;""),'组合净值（模拟）'!$E$6:$E$60)/(IFERROR(LOOKUP(DATE(2026,1,1),'组合净值（模拟）'!$A$6:$A$60,'组合净值（模拟）'!$E$6:$E$60),'组合净值（模拟）'!$E$6)))^(说明!$C$17/MAX(COUNTIF('组合净值（模拟）'!$A$6:$A$60,"&gt;="&amp;(DATE(2026,1,1))),1))-1,"")</f>
        <v/>
      </c>
      <c r="E12" s="143" t="inlineStr">
        <is>
          <t>回撤修复天数(未创新高)</t>
        </is>
      </c>
      <c r="F12" s="139" t="n"/>
      <c r="G12" s="18">
        <f>IFERROR((LOOKUP(2,1/('组合净值（模拟）'!$E$6:$E$60&lt;&gt;""),ROW('组合净值（模拟）'!$E$6:$E$60)))-(LOOKUP(2,1/('组合净值（模拟）'!$G$6:$G$60=0),ROW('组合净值（模拟）'!$G$6:$G$60))),"")</f>
        <v/>
      </c>
    </row>
    <row r="13" ht="22.5" customHeight="1" s="136">
      <c r="B13" s="26" t="inlineStr">
        <is>
          <t>近3个月</t>
        </is>
      </c>
      <c r="C13" s="17">
        <f>IFERROR((LOOKUP(2,1/('组合净值（模拟）'!$E$6:$E$60&lt;&gt;""),'组合净值（模拟）'!$E$6:$E$60))/(IFERROR(LOOKUP(EDATE(LOOKUP(2,1/('组合净值（模拟）'!$E$6:$E$60&lt;&gt;""),'组合净值（模拟）'!$A$6:$A$60),-3),'组合净值（模拟）'!$A$6:$A$60,'组合净值（模拟）'!$E$6:$E$60),'组合净值（模拟）'!$E$6))-1,"")</f>
        <v/>
      </c>
      <c r="D13" s="17">
        <f>IFERROR((LOOKUP(2,1/('组合净值（模拟）'!$E$6:$E$60&lt;&gt;""),'组合净值（模拟）'!$E$6:$E$60)/(IFERROR(LOOKUP(EDATE(LOOKUP(2,1/('组合净值（模拟）'!$E$6:$E$60&lt;&gt;""),'组合净值（模拟）'!$A$6:$A$60),-3),'组合净值（模拟）'!$A$6:$A$60,'组合净值（模拟）'!$E$6:$E$60),'组合净值（模拟）'!$E$6)))^(说明!$C$17/MAX(COUNTIF('组合净值（模拟）'!$A$6:$A$60,"&gt;="&amp;(EDATE(LOOKUP(2,1/('组合净值（模拟）'!$E$6:$E$60&lt;&gt;""),'组合净值（模拟）'!$A$6:$A$60),-3))),1))-1,"")</f>
        <v/>
      </c>
      <c r="E13" s="143" t="inlineStr">
        <is>
          <t>正收益占比</t>
        </is>
      </c>
      <c r="F13" s="139" t="n"/>
      <c r="G13" s="171">
        <f>COUNTIF('组合净值（模拟）'!$F$6:$F$60,"&gt;0")/MAX(COUNT('组合净值（模拟）'!$F$6:$F$60),1)</f>
        <v/>
      </c>
    </row>
    <row r="14" ht="22.5" customHeight="1" s="136">
      <c r="B14" s="26" t="inlineStr">
        <is>
          <t>近6个月</t>
        </is>
      </c>
      <c r="C14" s="17">
        <f>IFERROR((LOOKUP(2,1/('组合净值（模拟）'!$E$6:$E$60&lt;&gt;""),'组合净值（模拟）'!$E$6:$E$60))/(IFERROR(LOOKUP(EDATE(LOOKUP(2,1/('组合净值（模拟）'!$E$6:$E$60&lt;&gt;""),'组合净值（模拟）'!$A$6:$A$60),-6),'组合净值（模拟）'!$A$6:$A$60,'组合净值（模拟）'!$E$6:$E$60),'组合净值（模拟）'!$E$6))-1,"")</f>
        <v/>
      </c>
      <c r="D14" s="17">
        <f>IFERROR((LOOKUP(2,1/('组合净值（模拟）'!$E$6:$E$60&lt;&gt;""),'组合净值（模拟）'!$E$6:$E$60)/(IFERROR(LOOKUP(EDATE(LOOKUP(2,1/('组合净值（模拟）'!$E$6:$E$60&lt;&gt;""),'组合净值（模拟）'!$A$6:$A$60),-6),'组合净值（模拟）'!$A$6:$A$60,'组合净值（模拟）'!$E$6:$E$60),'组合净值（模拟）'!$E$6)))^(说明!$C$17/MAX(COUNTIF('组合净值（模拟）'!$A$6:$A$60,"&gt;="&amp;(EDATE(LOOKUP(2,1/('组合净值（模拟）'!$E$6:$E$60&lt;&gt;""),'组合净值（模拟）'!$A$6:$A$60),-6))),1))-1,"")</f>
        <v/>
      </c>
      <c r="E14" s="143" t="inlineStr">
        <is>
          <t>年化波动率</t>
        </is>
      </c>
      <c r="F14" s="139" t="n"/>
      <c r="G14" s="17">
        <f>STDEV('组合净值（模拟）'!$F$6:$F$60)*SQRT(说明!$C$17)</f>
        <v/>
      </c>
    </row>
    <row r="15" ht="22.5" customHeight="1" s="136">
      <c r="B15" s="26" t="inlineStr">
        <is>
          <t>近1年</t>
        </is>
      </c>
      <c r="C15" s="17">
        <f>IFERROR((LOOKUP(2,1/('组合净值（模拟）'!$E$6:$E$60&lt;&gt;""),'组合净值（模拟）'!$E$6:$E$60))/(IFERROR(LOOKUP(EDATE(LOOKUP(2,1/('组合净值（模拟）'!$E$6:$E$60&lt;&gt;""),'组合净值（模拟）'!$A$6:$A$60),-12),'组合净值（模拟）'!$A$6:$A$60,'组合净值（模拟）'!$E$6:$E$60),'组合净值（模拟）'!$E$6))-1,"")</f>
        <v/>
      </c>
      <c r="D15" s="17">
        <f>IFERROR((LOOKUP(2,1/('组合净值（模拟）'!$E$6:$E$60&lt;&gt;""),'组合净值（模拟）'!$E$6:$E$60)/(IFERROR(LOOKUP(EDATE(LOOKUP(2,1/('组合净值（模拟）'!$E$6:$E$60&lt;&gt;""),'组合净值（模拟）'!$A$6:$A$60),-12),'组合净值（模拟）'!$A$6:$A$60,'组合净值（模拟）'!$E$6:$E$60),'组合净值（模拟）'!$E$6)))^(说明!$C$17/MAX(COUNTIF('组合净值（模拟）'!$A$6:$A$60,"&gt;="&amp;(EDATE(LOOKUP(2,1/('组合净值（模拟）'!$E$6:$E$60&lt;&gt;""),'组合净值（模拟）'!$A$6:$A$60),-12))),1))-1,"")</f>
        <v/>
      </c>
      <c r="E15" s="143" t="inlineStr">
        <is>
          <t>夏普比率</t>
        </is>
      </c>
      <c r="F15" s="139" t="n"/>
      <c r="G15" s="19">
        <f>(((LOOKUP(2,1/('组合净值（模拟）'!$E$6:$E$60&lt;&gt;""),'组合净值（模拟）'!$E$6:$E$60)/'组合净值（模拟）'!$E$6)^(说明!$C$17/MAX(COUNT('组合净值（模拟）'!$F$6:$F$60),1))-1)-说明!$C$16)/IF((STDEV('组合净值（模拟）'!$F$6:$F$60)*SQRT(说明!$C$17))=0,"",(STDEV('组合净值（模拟）'!$F$6:$F$60)*SQRT(说明!$C$17)))</f>
        <v/>
      </c>
    </row>
    <row r="16" ht="22.5" customHeight="1" s="136">
      <c r="B16" s="20" t="n"/>
      <c r="C16" s="20" t="n"/>
      <c r="D16" s="20" t="n"/>
      <c r="E16" s="143" t="inlineStr">
        <is>
          <t>卡玛比率</t>
        </is>
      </c>
      <c r="F16" s="139" t="n"/>
      <c r="G16" s="19">
        <f>IFERROR(((LOOKUP(2,1/('组合净值（模拟）'!$E$6:$E$60&lt;&gt;""),'组合净值（模拟）'!$E$6:$E$60)/'组合净值（模拟）'!$E$6)^(说明!$C$17/MAX(COUNT('组合净值（模拟）'!$F$6:$F$60),1))-1)/ABS(MIN('组合净值（模拟）'!$G$6:$G$60)),"")</f>
        <v/>
      </c>
    </row>
    <row r="18">
      <c r="B18" s="140" t="inlineStr">
        <is>
          <t>产品运作情况 · 组合净值曲线</t>
        </is>
      </c>
    </row>
    <row r="35" ht="14.5" customHeight="1" s="136">
      <c r="B35" s="144" t="inlineStr">
        <is>
          <t>统计区间自2026/6/1起；运作初期样本少，年化类指标仅供参考。新增交易日后请同步扩展本图数据区。</t>
        </is>
      </c>
    </row>
  </sheetData>
  <mergeCells count="14">
    <mergeCell ref="B2:G2"/>
    <mergeCell ref="E12:F12"/>
    <mergeCell ref="B3:D3"/>
    <mergeCell ref="E16:F16"/>
    <mergeCell ref="B5:G5"/>
    <mergeCell ref="E10:F10"/>
    <mergeCell ref="E15:F15"/>
    <mergeCell ref="E11:F11"/>
    <mergeCell ref="B9:D9"/>
    <mergeCell ref="E9:G9"/>
    <mergeCell ref="E13:F13"/>
    <mergeCell ref="B18:G18"/>
    <mergeCell ref="E3:G3"/>
    <mergeCell ref="E14:F14"/>
  </mergeCells>
  <conditionalFormatting sqref="C7:D7">
    <cfRule type="cellIs" priority="7" operator="lessThan" dxfId="4">
      <formula>0</formula>
    </cfRule>
    <cfRule type="cellIs" priority="8" operator="greaterThan" dxfId="0">
      <formula>0</formula>
    </cfRule>
  </conditionalFormatting>
  <conditionalFormatting sqref="F7">
    <cfRule type="cellIs" priority="5" operator="lessThan" dxfId="4">
      <formula>0</formula>
    </cfRule>
    <cfRule type="cellIs" priority="6" operator="greaterThan" dxfId="0">
      <formula>0</formula>
    </cfRule>
  </conditionalFormatting>
  <conditionalFormatting sqref="C11:D11">
    <cfRule type="cellIs" priority="3" operator="lessThan" dxfId="4">
      <formula>0</formula>
    </cfRule>
    <cfRule type="cellIs" priority="4" operator="greaterThan" dxfId="0">
      <formula>0</formula>
    </cfRule>
  </conditionalFormatting>
  <conditionalFormatting sqref="G11">
    <cfRule type="cellIs" priority="1" operator="lessThan" dxfId="4">
      <formula>0</formula>
    </cfRule>
    <cfRule type="cellIs" priority="2" operator="greaterThan" dxfId="0">
      <formula>0</formula>
    </cfRule>
  </conditionalFormatting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G35"/>
  <sheetViews>
    <sheetView showGridLines="0" topLeftCell="A7" workbookViewId="0">
      <selection activeCell="G11" sqref="G11:G16"/>
    </sheetView>
  </sheetViews>
  <sheetFormatPr baseColWidth="8" defaultRowHeight="14"/>
  <cols>
    <col width="2" customWidth="1" style="136" min="1" max="1"/>
    <col width="14" customWidth="1" style="136" min="2" max="2"/>
    <col width="15.08984375" bestFit="1" customWidth="1" style="136" min="3" max="3"/>
    <col width="17.54296875" bestFit="1" customWidth="1" style="136" min="4" max="4"/>
    <col width="15.81640625" bestFit="1" customWidth="1" style="136" min="5" max="5"/>
    <col width="15.08984375" bestFit="1" customWidth="1" style="136" min="6" max="6"/>
    <col width="14" customWidth="1" style="136" min="7" max="7"/>
    <col width="2" customWidth="1" style="136" min="8" max="8"/>
  </cols>
  <sheetData>
    <row r="2">
      <c r="B2" s="142" t="inlineStr">
        <is>
          <t>样板间组合走势看板（30-70 账户）</t>
        </is>
      </c>
    </row>
    <row r="3" ht="14.5" customHeight="1" s="136">
      <c r="B3" s="144">
        <f>"买入持有 · 已扣年化费率 "&amp;TEXT(持仓配置!$M$6,"0.0%")&amp;"（折每日计入净值）"</f>
        <v/>
      </c>
      <c r="E3" s="141">
        <f>"净值日期："&amp;TEXT(LOOKUP(2,1/('组合净值（模拟）'!$H$6:$H$60&lt;&gt;""),'组合净值（模拟）'!$A$6:$A$60),"yyyy-mm-dd")</f>
        <v/>
      </c>
    </row>
    <row r="5">
      <c r="B5" s="140" t="inlineStr">
        <is>
          <t>产品业绩表现（历史表现不代表未来收益承诺）</t>
        </is>
      </c>
    </row>
    <row r="6">
      <c r="B6" s="10" t="inlineStr">
        <is>
          <t>最新净值</t>
        </is>
      </c>
      <c r="C6" s="10" t="inlineStr">
        <is>
          <t>累计收益</t>
        </is>
      </c>
      <c r="D6" s="10" t="inlineStr">
        <is>
          <t>年化收益</t>
        </is>
      </c>
      <c r="E6" s="10" t="inlineStr">
        <is>
          <t>年化波动率</t>
        </is>
      </c>
      <c r="F6" s="10" t="inlineStr">
        <is>
          <t>最大回撤</t>
        </is>
      </c>
      <c r="G6" s="10" t="inlineStr">
        <is>
          <t>夏普比率(日)</t>
        </is>
      </c>
    </row>
    <row r="7" ht="28" customHeight="1" s="136">
      <c r="B7" s="170">
        <f>LOOKUP(2,1/('组合净值（模拟）'!$H$6:$H$60&lt;&gt;""),'组合净值（模拟）'!$H$6:$H$60)</f>
        <v/>
      </c>
      <c r="C7" s="21">
        <f>(LOOKUP(2,1/('组合净值（模拟）'!$H$6:$H$60&lt;&gt;""),'组合净值（模拟）'!$H$6:$H$60))/'组合净值（模拟）'!$H$6-1</f>
        <v/>
      </c>
      <c r="D7" s="21">
        <f>IFERROR((1+C7)^(365/(LOOKUP(2,1/('组合净值（模拟）'!$H$6:$H$60&lt;&gt;""),'组合净值（模拟）'!$A$6:$A$60)-'组合净值（模拟）'!$A$7+1))-1,"")</f>
        <v/>
      </c>
      <c r="E7" s="22">
        <f>STDEV('组合净值（模拟）'!$I$6:$I$60)*SQRT(说明!$C$17)</f>
        <v/>
      </c>
      <c r="F7" s="21">
        <f>MIN('组合净值（模拟）'!$J$6:$J$60)</f>
        <v/>
      </c>
      <c r="G7" s="170">
        <f>IFERROR((AVERAGE('组合净值（模拟）'!$I$6:$I$60)-说明!$C$16/365)/STDEV('组合净值（模拟）'!$I$6:$I$60),"")</f>
        <v/>
      </c>
    </row>
    <row r="9">
      <c r="B9" s="140" t="inlineStr">
        <is>
          <t>收益表现</t>
        </is>
      </c>
      <c r="E9" s="140" t="inlineStr">
        <is>
          <t>风险特征</t>
        </is>
      </c>
    </row>
    <row r="10" ht="22.5" customHeight="1" s="136">
      <c r="B10" s="27" t="inlineStr">
        <is>
          <t>区间</t>
        </is>
      </c>
      <c r="C10" s="27" t="inlineStr">
        <is>
          <t>累计收益</t>
        </is>
      </c>
      <c r="D10" s="27" t="inlineStr">
        <is>
          <t>年化收益</t>
        </is>
      </c>
      <c r="E10" s="145" t="inlineStr">
        <is>
          <t>指标</t>
        </is>
      </c>
      <c r="F10" s="139" t="n"/>
      <c r="G10" s="27" t="inlineStr">
        <is>
          <t>数值</t>
        </is>
      </c>
    </row>
    <row r="11" ht="22.5" customHeight="1" s="136">
      <c r="B11" s="26" t="inlineStr">
        <is>
          <t>起始以来</t>
        </is>
      </c>
      <c r="C11" s="17">
        <f>IFERROR((LOOKUP(2,1/('组合净值（模拟）'!$H$6:$H$60&lt;&gt;""),'组合净值（模拟）'!$H$6:$H$60))/('组合净值（模拟）'!$H$6)-1,"")</f>
        <v/>
      </c>
      <c r="D11" s="17">
        <f>IFERROR((LOOKUP(2,1/('组合净值（模拟）'!$H$6:$H$60&lt;&gt;""),'组合净值（模拟）'!$H$6:$H$60)/('组合净值（模拟）'!$H$6))^(说明!$C$17/COUNT('组合净值（模拟）'!$I$6:$I$60))-1,"")</f>
        <v/>
      </c>
      <c r="E11" s="143" t="inlineStr">
        <is>
          <t>最大回撤</t>
        </is>
      </c>
      <c r="F11" s="139" t="n"/>
      <c r="G11" s="17">
        <f>MIN('组合净值（模拟）'!$J$6:$J$60)</f>
        <v/>
      </c>
    </row>
    <row r="12" ht="22.5" customHeight="1" s="136">
      <c r="B12" s="26" t="inlineStr">
        <is>
          <t>2026YTD</t>
        </is>
      </c>
      <c r="C12" s="17">
        <f>IFERROR((LOOKUP(2,1/('组合净值（模拟）'!$H$6:$H$60&lt;&gt;""),'组合净值（模拟）'!$H$6:$H$60))/(IFERROR(LOOKUP(DATE(2026,1,1),'组合净值（模拟）'!$A$6:$A$60,'组合净值（模拟）'!$H$6:$H$60),'组合净值（模拟）'!$H$6))-1,"")</f>
        <v/>
      </c>
      <c r="D12" s="17">
        <f>IFERROR((LOOKUP(2,1/('组合净值（模拟）'!$H$6:$H$60&lt;&gt;""),'组合净值（模拟）'!$H$6:$H$60)/(IFERROR(LOOKUP(DATE(2026,1,1),'组合净值（模拟）'!$A$6:$A$60,'组合净值（模拟）'!$H$6:$H$60),'组合净值（模拟）'!$H$6)))^(说明!$C$17/MAX(COUNTIF('组合净值（模拟）'!$A$6:$A$60,"&gt;="&amp;(DATE(2026,1,1))),1))-1,"")</f>
        <v/>
      </c>
      <c r="E12" s="143" t="inlineStr">
        <is>
          <t>回撤修复天数(未创新高)</t>
        </is>
      </c>
      <c r="F12" s="139" t="n"/>
      <c r="G12" s="18">
        <f>IFERROR((LOOKUP(2,1/('组合净值（模拟）'!$H$6:$H$60&lt;&gt;""),ROW('组合净值（模拟）'!$H$6:$H$60)))-(LOOKUP(2,1/('组合净值（模拟）'!$J$6:$J$60=0),ROW('组合净值（模拟）'!$J$6:$J$60))),"")</f>
        <v/>
      </c>
    </row>
    <row r="13" ht="22.5" customHeight="1" s="136">
      <c r="B13" s="26" t="inlineStr">
        <is>
          <t>近3个月</t>
        </is>
      </c>
      <c r="C13" s="17">
        <f>IFERROR((LOOKUP(2,1/('组合净值（模拟）'!$H$6:$H$60&lt;&gt;""),'组合净值（模拟）'!$H$6:$H$60))/(IFERROR(LOOKUP(EDATE(LOOKUP(2,1/('组合净值（模拟）'!$H$6:$H$60&lt;&gt;""),'组合净值（模拟）'!$A$6:$A$60),-3),'组合净值（模拟）'!$A$6:$A$60,'组合净值（模拟）'!$H$6:$H$60),'组合净值（模拟）'!$H$6))-1,"")</f>
        <v/>
      </c>
      <c r="D13" s="17">
        <f>IFERROR((LOOKUP(2,1/('组合净值（模拟）'!$H$6:$H$60&lt;&gt;""),'组合净值（模拟）'!$H$6:$H$60)/(IFERROR(LOOKUP(EDATE(LOOKUP(2,1/('组合净值（模拟）'!$H$6:$H$60&lt;&gt;""),'组合净值（模拟）'!$A$6:$A$60),-3),'组合净值（模拟）'!$A$6:$A$60,'组合净值（模拟）'!$H$6:$H$60),'组合净值（模拟）'!$H$6)))^(说明!$C$17/MAX(COUNTIF('组合净值（模拟）'!$A$6:$A$60,"&gt;="&amp;(EDATE(LOOKUP(2,1/('组合净值（模拟）'!$H$6:$H$60&lt;&gt;""),'组合净值（模拟）'!$A$6:$A$60),-3))),1))-1,"")</f>
        <v/>
      </c>
      <c r="E13" s="143" t="inlineStr">
        <is>
          <t>正收益占比</t>
        </is>
      </c>
      <c r="F13" s="139" t="n"/>
      <c r="G13" s="171">
        <f>COUNTIF('组合净值（模拟）'!$I$6:$I$60,"&gt;0")/MAX(COUNT('组合净值（模拟）'!$I$6:$I$60),1)</f>
        <v/>
      </c>
    </row>
    <row r="14" ht="22.5" customHeight="1" s="136">
      <c r="B14" s="26" t="inlineStr">
        <is>
          <t>近6个月</t>
        </is>
      </c>
      <c r="C14" s="17">
        <f>IFERROR((LOOKUP(2,1/('组合净值（模拟）'!$H$6:$H$60&lt;&gt;""),'组合净值（模拟）'!$H$6:$H$60))/(IFERROR(LOOKUP(EDATE(LOOKUP(2,1/('组合净值（模拟）'!$H$6:$H$60&lt;&gt;""),'组合净值（模拟）'!$A$6:$A$60),-6),'组合净值（模拟）'!$A$6:$A$60,'组合净值（模拟）'!$H$6:$H$60),'组合净值（模拟）'!$H$6))-1,"")</f>
        <v/>
      </c>
      <c r="D14" s="17">
        <f>IFERROR((LOOKUP(2,1/('组合净值（模拟）'!$H$6:$H$60&lt;&gt;""),'组合净值（模拟）'!$H$6:$H$60)/(IFERROR(LOOKUP(EDATE(LOOKUP(2,1/('组合净值（模拟）'!$H$6:$H$60&lt;&gt;""),'组合净值（模拟）'!$A$6:$A$60),-6),'组合净值（模拟）'!$A$6:$A$60,'组合净值（模拟）'!$H$6:$H$60),'组合净值（模拟）'!$H$6)))^(说明!$C$17/MAX(COUNTIF('组合净值（模拟）'!$A$6:$A$60,"&gt;="&amp;(EDATE(LOOKUP(2,1/('组合净值（模拟）'!$H$6:$H$60&lt;&gt;""),'组合净值（模拟）'!$A$6:$A$60),-6))),1))-1,"")</f>
        <v/>
      </c>
      <c r="E14" s="143" t="inlineStr">
        <is>
          <t>年化波动率</t>
        </is>
      </c>
      <c r="F14" s="139" t="n"/>
      <c r="G14" s="17">
        <f>STDEV('组合净值（模拟）'!$I$6:$I$60)*SQRT(说明!$C$17)</f>
        <v/>
      </c>
    </row>
    <row r="15" ht="22.5" customHeight="1" s="136">
      <c r="B15" s="26" t="inlineStr">
        <is>
          <t>近1年</t>
        </is>
      </c>
      <c r="C15" s="17">
        <f>IFERROR((LOOKUP(2,1/('组合净值（模拟）'!$H$6:$H$60&lt;&gt;""),'组合净值（模拟）'!$H$6:$H$60))/(IFERROR(LOOKUP(EDATE(LOOKUP(2,1/('组合净值（模拟）'!$H$6:$H$60&lt;&gt;""),'组合净值（模拟）'!$A$6:$A$60),-12),'组合净值（模拟）'!$A$6:$A$60,'组合净值（模拟）'!$H$6:$H$60),'组合净值（模拟）'!$H$6))-1,"")</f>
        <v/>
      </c>
      <c r="D15" s="17">
        <f>IFERROR((LOOKUP(2,1/('组合净值（模拟）'!$H$6:$H$60&lt;&gt;""),'组合净值（模拟）'!$H$6:$H$60)/(IFERROR(LOOKUP(EDATE(LOOKUP(2,1/('组合净值（模拟）'!$H$6:$H$60&lt;&gt;""),'组合净值（模拟）'!$A$6:$A$60),-12),'组合净值（模拟）'!$A$6:$A$60,'组合净值（模拟）'!$H$6:$H$60),'组合净值（模拟）'!$H$6)))^(说明!$C$17/MAX(COUNTIF('组合净值（模拟）'!$A$6:$A$60,"&gt;="&amp;(EDATE(LOOKUP(2,1/('组合净值（模拟）'!$H$6:$H$60&lt;&gt;""),'组合净值（模拟）'!$A$6:$A$60),-12))),1))-1,"")</f>
        <v/>
      </c>
      <c r="E15" s="143" t="inlineStr">
        <is>
          <t>夏普比率</t>
        </is>
      </c>
      <c r="F15" s="139" t="n"/>
      <c r="G15" s="19">
        <f>(((LOOKUP(2,1/('组合净值（模拟）'!$H$6:$H$60&lt;&gt;""),'组合净值（模拟）'!$H$6:$H$60)/'组合净值（模拟）'!$H$6)^(说明!$C$17/MAX(COUNT('组合净值（模拟）'!$I$6:$I$60),1))-1)-说明!$C$16)/IF((STDEV('组合净值（模拟）'!$I$6:$I$60)*SQRT(说明!$C$17))=0,"",(STDEV('组合净值（模拟）'!$I$6:$I$60)*SQRT(说明!$C$17)))</f>
        <v/>
      </c>
    </row>
    <row r="16" ht="22.5" customHeight="1" s="136">
      <c r="B16" s="20" t="n"/>
      <c r="C16" s="20" t="n"/>
      <c r="D16" s="20" t="n"/>
      <c r="E16" s="143" t="inlineStr">
        <is>
          <t>卡玛比率</t>
        </is>
      </c>
      <c r="F16" s="139" t="n"/>
      <c r="G16" s="19">
        <f>IFERROR(((LOOKUP(2,1/('组合净值（模拟）'!$H$6:$H$60&lt;&gt;""),'组合净值（模拟）'!$H$6:$H$60)/'组合净值（模拟）'!$H$6)^(说明!$C$17/MAX(COUNT('组合净值（模拟）'!$I$6:$I$60),1))-1)/ABS(MIN('组合净值（模拟）'!$J$6:$J$60)),"")</f>
        <v/>
      </c>
    </row>
    <row r="18">
      <c r="B18" s="140" t="inlineStr">
        <is>
          <t>产品运作情况 · 组合净值曲线</t>
        </is>
      </c>
    </row>
    <row r="35" ht="14.5" customHeight="1" s="136">
      <c r="B35" s="144" t="inlineStr">
        <is>
          <t>统计区间自2026/6/1起；运作初期样本少，年化类指标仅供参考。新增交易日后请同步扩展本图数据区。</t>
        </is>
      </c>
    </row>
  </sheetData>
  <mergeCells count="14">
    <mergeCell ref="B2:G2"/>
    <mergeCell ref="E12:F12"/>
    <mergeCell ref="B3:D3"/>
    <mergeCell ref="E16:F16"/>
    <mergeCell ref="B5:G5"/>
    <mergeCell ref="E10:F10"/>
    <mergeCell ref="E15:F15"/>
    <mergeCell ref="E11:F11"/>
    <mergeCell ref="B9:D9"/>
    <mergeCell ref="E9:G9"/>
    <mergeCell ref="E13:F13"/>
    <mergeCell ref="B18:G18"/>
    <mergeCell ref="E3:G3"/>
    <mergeCell ref="E14:F14"/>
  </mergeCells>
  <conditionalFormatting sqref="C7:D7">
    <cfRule type="cellIs" priority="7" operator="lessThan" dxfId="4">
      <formula>0</formula>
    </cfRule>
    <cfRule type="cellIs" priority="8" operator="greaterThan" dxfId="0">
      <formula>0</formula>
    </cfRule>
  </conditionalFormatting>
  <conditionalFormatting sqref="F7">
    <cfRule type="cellIs" priority="5" operator="lessThan" dxfId="4">
      <formula>0</formula>
    </cfRule>
    <cfRule type="cellIs" priority="6" operator="greaterThan" dxfId="0">
      <formula>0</formula>
    </cfRule>
  </conditionalFormatting>
  <conditionalFormatting sqref="C11:D11">
    <cfRule type="cellIs" priority="3" operator="lessThan" dxfId="4">
      <formula>0</formula>
    </cfRule>
    <cfRule type="cellIs" priority="4" operator="greaterThan" dxfId="0">
      <formula>0</formula>
    </cfRule>
  </conditionalFormatting>
  <conditionalFormatting sqref="G11">
    <cfRule type="cellIs" priority="1" operator="lessThan" dxfId="4">
      <formula>0</formula>
    </cfRule>
    <cfRule type="cellIs" priority="2" operator="greaterThan" dxfId="0">
      <formula>0</formula>
    </cfRule>
  </conditionalFormatting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G35"/>
  <sheetViews>
    <sheetView showGridLines="0" workbookViewId="0">
      <selection activeCell="I34" sqref="I34"/>
    </sheetView>
  </sheetViews>
  <sheetFormatPr baseColWidth="8" defaultRowHeight="14"/>
  <cols>
    <col width="2" customWidth="1" style="136" min="1" max="1"/>
    <col width="14" customWidth="1" style="136" min="2" max="2"/>
    <col width="15.08984375" bestFit="1" customWidth="1" style="136" min="3" max="3"/>
    <col width="20.7265625" bestFit="1" customWidth="1" style="136" min="4" max="4"/>
    <col width="15.81640625" bestFit="1" customWidth="1" style="136" min="5" max="5"/>
    <col width="17.54296875" bestFit="1" customWidth="1" style="136" min="6" max="6"/>
    <col width="14" customWidth="1" style="136" min="7" max="7"/>
    <col width="2" customWidth="1" style="136" min="8" max="8"/>
  </cols>
  <sheetData>
    <row r="2" ht="20.5" customHeight="1" s="136">
      <c r="B2" s="142" t="inlineStr">
        <is>
          <t>样板间组合走势看板（增值组合）</t>
        </is>
      </c>
    </row>
    <row r="3" ht="14.5" customHeight="1" s="136">
      <c r="B3" s="144">
        <f>"买入持有 · 已扣年化费率 "&amp;TEXT(持仓配置!$M$7,"0.0%")&amp;"（折每日计入净值）"</f>
        <v/>
      </c>
      <c r="E3" s="141">
        <f>"净值日期："&amp;TEXT(LOOKUP(2,1/('组合净值（模拟）'!$K$6:$K$60&lt;&gt;""),'组合净值（模拟）'!$A$6:$A$60),"yyyy-mm-dd")</f>
        <v/>
      </c>
    </row>
    <row r="5">
      <c r="B5" s="140" t="inlineStr">
        <is>
          <t>产品业绩表现（历史表现不代表未来收益承诺）</t>
        </is>
      </c>
    </row>
    <row r="6">
      <c r="B6" s="10" t="inlineStr">
        <is>
          <t>最新净值</t>
        </is>
      </c>
      <c r="C6" s="10" t="inlineStr">
        <is>
          <t>累计收益</t>
        </is>
      </c>
      <c r="D6" s="10" t="inlineStr">
        <is>
          <t>年化收益</t>
        </is>
      </c>
      <c r="E6" s="10" t="inlineStr">
        <is>
          <t>年化波动率</t>
        </is>
      </c>
      <c r="F6" s="10" t="inlineStr">
        <is>
          <t>最大回撤</t>
        </is>
      </c>
      <c r="G6" s="10" t="inlineStr">
        <is>
          <t>夏普比率(日)</t>
        </is>
      </c>
    </row>
    <row r="7" ht="28" customHeight="1" s="136">
      <c r="B7" s="170">
        <f>LOOKUP(2,1/('组合净值（模拟）'!$K$6:$K$60&lt;&gt;""),'组合净值（模拟）'!$K$6:$K$60)</f>
        <v/>
      </c>
      <c r="C7" s="21">
        <f>(LOOKUP(2,1/('组合净值（模拟）'!$K$6:$K$60&lt;&gt;""),'组合净值（模拟）'!$K$6:$K$60))/'组合净值（模拟）'!$K$6-1</f>
        <v/>
      </c>
      <c r="D7" s="21">
        <f>IFERROR((1+C7)^(365/(LOOKUP(2,1/('组合净值（模拟）'!$K$6:$K$60&lt;&gt;""),'组合净值（模拟）'!$A$6:$A$60)-'组合净值（模拟）'!$A$7+1))-1,"")</f>
        <v/>
      </c>
      <c r="E7" s="22">
        <f>STDEV('组合净值（模拟）'!$L$6:$L$60)*SQRT(说明!$C$17)</f>
        <v/>
      </c>
      <c r="F7" s="21">
        <f>MIN('组合净值（模拟）'!$M$6:$M$60)</f>
        <v/>
      </c>
      <c r="G7" s="170">
        <f>IFERROR((AVERAGE('组合净值（模拟）'!$L$6:$L$60)-说明!$C$16/365)/STDEV('组合净值（模拟）'!$L$6:$L$60),"")</f>
        <v/>
      </c>
    </row>
    <row r="9">
      <c r="B9" s="140" t="inlineStr">
        <is>
          <t>收益表现</t>
        </is>
      </c>
      <c r="E9" s="140" t="inlineStr">
        <is>
          <t>风险特征</t>
        </is>
      </c>
    </row>
    <row r="10">
      <c r="B10" s="27" t="inlineStr">
        <is>
          <t>区间</t>
        </is>
      </c>
      <c r="C10" s="27" t="inlineStr">
        <is>
          <t>累计收益</t>
        </is>
      </c>
      <c r="D10" s="27" t="inlineStr">
        <is>
          <t>年化收益</t>
        </is>
      </c>
      <c r="E10" s="145" t="inlineStr">
        <is>
          <t>指标</t>
        </is>
      </c>
      <c r="F10" s="139" t="n"/>
      <c r="G10" s="27" t="inlineStr">
        <is>
          <t>数值</t>
        </is>
      </c>
    </row>
    <row r="11" ht="22.5" customHeight="1" s="136">
      <c r="B11" s="26" t="inlineStr">
        <is>
          <t>起始以来</t>
        </is>
      </c>
      <c r="C11" s="17">
        <f>IFERROR((LOOKUP(2,1/('组合净值（模拟）'!$K$6:$K$60&lt;&gt;""),'组合净值（模拟）'!$K$6:$K$60))/('组合净值（模拟）'!$K$6)-1,"")</f>
        <v/>
      </c>
      <c r="D11" s="17">
        <f>IFERROR((LOOKUP(2,1/('组合净值（模拟）'!$K$6:$K$60&lt;&gt;""),'组合净值（模拟）'!$K$6:$K$60)/('组合净值（模拟）'!$K$6))^(说明!$C$17/COUNT('组合净值（模拟）'!$L$6:$L$60))-1,"")</f>
        <v/>
      </c>
      <c r="E11" s="143" t="inlineStr">
        <is>
          <t>最大回撤</t>
        </is>
      </c>
      <c r="F11" s="139" t="n"/>
      <c r="G11" s="17">
        <f>MIN('组合净值（模拟）'!$M$6:$M$60)</f>
        <v/>
      </c>
    </row>
    <row r="12" ht="22.5" customHeight="1" s="136">
      <c r="B12" s="26" t="inlineStr">
        <is>
          <t>2026YTD</t>
        </is>
      </c>
      <c r="C12" s="17">
        <f>IFERROR((LOOKUP(2,1/('组合净值（模拟）'!$K$6:$K$60&lt;&gt;""),'组合净值（模拟）'!$K$6:$K$60))/(IFERROR(LOOKUP(DATE(2026,1,1),'组合净值（模拟）'!$A$6:$A$60,'组合净值（模拟）'!$K$6:$K$60),'组合净值（模拟）'!$K$6))-1,"")</f>
        <v/>
      </c>
      <c r="D12" s="17">
        <f>IFERROR((LOOKUP(2,1/('组合净值（模拟）'!$K$6:$K$60&lt;&gt;""),'组合净值（模拟）'!$K$6:$K$60)/(IFERROR(LOOKUP(DATE(2026,1,1),'组合净值（模拟）'!$A$6:$A$60,'组合净值（模拟）'!$K$6:$K$60),'组合净值（模拟）'!$K$6)))^(说明!$C$17/MAX(COUNTIF('组合净值（模拟）'!$A$6:$A$60,"&gt;="&amp;(DATE(2026,1,1))),1))-1,"")</f>
        <v/>
      </c>
      <c r="E12" s="143" t="inlineStr">
        <is>
          <t>回撤修复天数(未创新高)</t>
        </is>
      </c>
      <c r="F12" s="139" t="n"/>
      <c r="G12" s="18">
        <f>IFERROR((LOOKUP(2,1/('组合净值（模拟）'!$K$6:$K$60&lt;&gt;""),ROW('组合净值（模拟）'!$K$6:$K$60)))-(LOOKUP(2,1/('组合净值（模拟）'!$M$6:$M$60=0),ROW('组合净值（模拟）'!$M$6:$M$60))),"")</f>
        <v/>
      </c>
    </row>
    <row r="13" ht="22.5" customHeight="1" s="136">
      <c r="B13" s="26" t="inlineStr">
        <is>
          <t>近3个月</t>
        </is>
      </c>
      <c r="C13" s="17">
        <f>IFERROR((LOOKUP(2,1/('组合净值（模拟）'!$K$6:$K$60&lt;&gt;""),'组合净值（模拟）'!$K$6:$K$60))/(IFERROR(LOOKUP(EDATE(LOOKUP(2,1/('组合净值（模拟）'!$K$6:$K$60&lt;&gt;""),'组合净值（模拟）'!$A$6:$A$60),-3),'组合净值（模拟）'!$A$6:$A$60,'组合净值（模拟）'!$K$6:$K$60),'组合净值（模拟）'!$K$6))-1,"")</f>
        <v/>
      </c>
      <c r="D13" s="17">
        <f>IFERROR((LOOKUP(2,1/('组合净值（模拟）'!$K$6:$K$60&lt;&gt;""),'组合净值（模拟）'!$K$6:$K$60)/(IFERROR(LOOKUP(EDATE(LOOKUP(2,1/('组合净值（模拟）'!$K$6:$K$60&lt;&gt;""),'组合净值（模拟）'!$A$6:$A$60),-3),'组合净值（模拟）'!$A$6:$A$60,'组合净值（模拟）'!$K$6:$K$60),'组合净值（模拟）'!$K$6)))^(说明!$C$17/MAX(COUNTIF('组合净值（模拟）'!$A$6:$A$60,"&gt;="&amp;(EDATE(LOOKUP(2,1/('组合净值（模拟）'!$K$6:$K$60&lt;&gt;""),'组合净值（模拟）'!$A$6:$A$60),-3))),1))-1,"")</f>
        <v/>
      </c>
      <c r="E13" s="143" t="inlineStr">
        <is>
          <t>正收益占比</t>
        </is>
      </c>
      <c r="F13" s="139" t="n"/>
      <c r="G13" s="171">
        <f>COUNTIF('组合净值（模拟）'!$L$6:$L$60,"&gt;0")/MAX(COUNT('组合净值（模拟）'!$L$6:$L$60),1)</f>
        <v/>
      </c>
    </row>
    <row r="14" ht="22.5" customHeight="1" s="136">
      <c r="B14" s="26" t="inlineStr">
        <is>
          <t>近6个月</t>
        </is>
      </c>
      <c r="C14" s="17">
        <f>IFERROR((LOOKUP(2,1/('组合净值（模拟）'!$K$6:$K$60&lt;&gt;""),'组合净值（模拟）'!$K$6:$K$60))/(IFERROR(LOOKUP(EDATE(LOOKUP(2,1/('组合净值（模拟）'!$K$6:$K$60&lt;&gt;""),'组合净值（模拟）'!$A$6:$A$60),-6),'组合净值（模拟）'!$A$6:$A$60,'组合净值（模拟）'!$K$6:$K$60),'组合净值（模拟）'!$K$6))-1,"")</f>
        <v/>
      </c>
      <c r="D14" s="17">
        <f>IFERROR((LOOKUP(2,1/('组合净值（模拟）'!$K$6:$K$60&lt;&gt;""),'组合净值（模拟）'!$K$6:$K$60)/(IFERROR(LOOKUP(EDATE(LOOKUP(2,1/('组合净值（模拟）'!$K$6:$K$60&lt;&gt;""),'组合净值（模拟）'!$A$6:$A$60),-6),'组合净值（模拟）'!$A$6:$A$60,'组合净值（模拟）'!$K$6:$K$60),'组合净值（模拟）'!$K$6)))^(说明!$C$17/MAX(COUNTIF('组合净值（模拟）'!$A$6:$A$60,"&gt;="&amp;(EDATE(LOOKUP(2,1/('组合净值（模拟）'!$K$6:$K$60&lt;&gt;""),'组合净值（模拟）'!$A$6:$A$60),-6))),1))-1,"")</f>
        <v/>
      </c>
      <c r="E14" s="143" t="inlineStr">
        <is>
          <t>年化波动率</t>
        </is>
      </c>
      <c r="F14" s="139" t="n"/>
      <c r="G14" s="17">
        <f>STDEV('组合净值（模拟）'!$L$6:$L$60)*SQRT(说明!$C$17)</f>
        <v/>
      </c>
    </row>
    <row r="15" ht="22.5" customHeight="1" s="136">
      <c r="B15" s="26" t="inlineStr">
        <is>
          <t>近1年</t>
        </is>
      </c>
      <c r="C15" s="17">
        <f>IFERROR((LOOKUP(2,1/('组合净值（模拟）'!$K$6:$K$60&lt;&gt;""),'组合净值（模拟）'!$K$6:$K$60))/(IFERROR(LOOKUP(EDATE(LOOKUP(2,1/('组合净值（模拟）'!$K$6:$K$60&lt;&gt;""),'组合净值（模拟）'!$A$6:$A$60),-12),'组合净值（模拟）'!$A$6:$A$60,'组合净值（模拟）'!$K$6:$K$60),'组合净值（模拟）'!$K$6))-1,"")</f>
        <v/>
      </c>
      <c r="D15" s="17">
        <f>IFERROR((LOOKUP(2,1/('组合净值（模拟）'!$K$6:$K$60&lt;&gt;""),'组合净值（模拟）'!$K$6:$K$60)/(IFERROR(LOOKUP(EDATE(LOOKUP(2,1/('组合净值（模拟）'!$K$6:$K$60&lt;&gt;""),'组合净值（模拟）'!$A$6:$A$60),-12),'组合净值（模拟）'!$A$6:$A$60,'组合净值（模拟）'!$K$6:$K$60),'组合净值（模拟）'!$K$6)))^(说明!$C$17/MAX(COUNTIF('组合净值（模拟）'!$A$6:$A$60,"&gt;="&amp;(EDATE(LOOKUP(2,1/('组合净值（模拟）'!$K$6:$K$60&lt;&gt;""),'组合净值（模拟）'!$A$6:$A$60),-12))),1))-1,"")</f>
        <v/>
      </c>
      <c r="E15" s="143" t="inlineStr">
        <is>
          <t>夏普比率</t>
        </is>
      </c>
      <c r="F15" s="139" t="n"/>
      <c r="G15" s="19">
        <f>(((LOOKUP(2,1/('组合净值（模拟）'!$K$6:$K$60&lt;&gt;""),'组合净值（模拟）'!$K$6:$K$60)/'组合净值（模拟）'!$K$6)^(说明!$C$17/MAX(COUNT('组合净值（模拟）'!$L$6:$L$60),1))-1)-说明!$C$16)/IF((STDEV('组合净值（模拟）'!$L$6:$L$60)*SQRT(说明!$C$17))=0,"",(STDEV('组合净值（模拟）'!$L$6:$L$60)*SQRT(说明!$C$17)))</f>
        <v/>
      </c>
    </row>
    <row r="16" ht="22.5" customHeight="1" s="136">
      <c r="B16" s="20" t="n"/>
      <c r="C16" s="20" t="n"/>
      <c r="D16" s="20" t="n"/>
      <c r="E16" s="143" t="inlineStr">
        <is>
          <t>卡玛比率</t>
        </is>
      </c>
      <c r="F16" s="139" t="n"/>
      <c r="G16" s="19">
        <f>IFERROR(((LOOKUP(2,1/('组合净值（模拟）'!$K$6:$K$60&lt;&gt;""),'组合净值（模拟）'!$K$6:$K$60)/'组合净值（模拟）'!$K$6)^(说明!$C$17/MAX(COUNT('组合净值（模拟）'!$L$6:$L$60),1))-1)/ABS(MIN('组合净值（模拟）'!$M$6:$M$60)),"")</f>
        <v/>
      </c>
    </row>
    <row r="18">
      <c r="B18" s="140" t="inlineStr">
        <is>
          <t>产品运作情况 · 组合净值曲线</t>
        </is>
      </c>
    </row>
    <row r="35" ht="14.5" customHeight="1" s="136">
      <c r="B35" s="144" t="inlineStr">
        <is>
          <t>统计区间自2026/6/1起；运作初期样本少，年化类指标仅供参考。新增交易日后请同步扩展本图数据区。</t>
        </is>
      </c>
    </row>
  </sheetData>
  <mergeCells count="14">
    <mergeCell ref="B2:G2"/>
    <mergeCell ref="E12:F12"/>
    <mergeCell ref="B3:D3"/>
    <mergeCell ref="E16:F16"/>
    <mergeCell ref="B5:G5"/>
    <mergeCell ref="E10:F10"/>
    <mergeCell ref="E15:F15"/>
    <mergeCell ref="E11:F11"/>
    <mergeCell ref="B9:D9"/>
    <mergeCell ref="E9:G9"/>
    <mergeCell ref="E13:F13"/>
    <mergeCell ref="B18:G18"/>
    <mergeCell ref="E3:G3"/>
    <mergeCell ref="E14:F14"/>
  </mergeCells>
  <conditionalFormatting sqref="C7:D7">
    <cfRule type="cellIs" priority="7" operator="lessThan" dxfId="4">
      <formula>0</formula>
    </cfRule>
    <cfRule type="cellIs" priority="8" operator="greaterThan" dxfId="0">
      <formula>0</formula>
    </cfRule>
  </conditionalFormatting>
  <conditionalFormatting sqref="F7">
    <cfRule type="cellIs" priority="5" operator="lessThan" dxfId="4">
      <formula>0</formula>
    </cfRule>
    <cfRule type="cellIs" priority="6" operator="greaterThan" dxfId="0">
      <formula>0</formula>
    </cfRule>
  </conditionalFormatting>
  <conditionalFormatting sqref="C11:D11">
    <cfRule type="cellIs" priority="3" operator="lessThan" dxfId="4">
      <formula>0</formula>
    </cfRule>
    <cfRule type="cellIs" priority="4" operator="greaterThan" dxfId="0">
      <formula>0</formula>
    </cfRule>
  </conditionalFormatting>
  <conditionalFormatting sqref="G11">
    <cfRule type="cellIs" priority="1" operator="lessThan" dxfId="4">
      <formula>0</formula>
    </cfRule>
    <cfRule type="cellIs" priority="2" operator="greaterThan" dxfId="0">
      <formula>0</formula>
    </cfRule>
  </conditionalFormatting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G36" sqref="G36"/>
    </sheetView>
  </sheetViews>
  <sheetFormatPr baseColWidth="8" defaultRowHeight="14"/>
  <cols>
    <col width="2" customWidth="1" style="136" min="1" max="1"/>
    <col width="26" customWidth="1" style="136" min="2" max="2"/>
    <col width="15" customWidth="1" style="136" min="3" max="8"/>
  </cols>
  <sheetData>
    <row r="2" ht="23" customHeight="1" s="136">
      <c r="B2" s="1" t="inlineStr">
        <is>
          <t>样板间投顾组合 · 净值监控模板</t>
        </is>
      </c>
    </row>
    <row r="3" ht="14.5" customHeight="1" s="136">
      <c r="B3" s="144" t="inlineStr">
        <is>
          <t>运作起始日 2026/6/1 ｜ 净值口径：复权单位净值(iFinD) ｜ 模拟：买入持有(权重漂移)</t>
        </is>
      </c>
    </row>
    <row r="5" ht="15.5" customHeight="1" s="136">
      <c r="B5" s="13" t="inlineStr">
        <is>
          <t>一、模板结构</t>
        </is>
      </c>
    </row>
    <row r="6" ht="16.5" customHeight="1" s="136">
      <c r="B6" s="14" t="inlineStr">
        <is>
          <t>持仓配置</t>
        </is>
      </c>
      <c r="C6" s="146" t="inlineStr">
        <is>
          <t>四组合(10-90/20-80/30-70/增值)成份基金、代码与初始权重，可直接编辑。</t>
        </is>
      </c>
    </row>
    <row r="7" ht="25.5" customHeight="1" s="136">
      <c r="B7" s="14" t="inlineStr">
        <is>
          <t>净值数据(iFinD公式)</t>
        </is>
      </c>
      <c r="C7" s="146" t="inlineStr">
        <is>
          <t>同花顺公式拉取复权单位净值</t>
        </is>
      </c>
    </row>
    <row r="8" ht="16.5" customHeight="1" s="136">
      <c r="B8" s="14" t="inlineStr">
        <is>
          <t>组合净值</t>
        </is>
      </c>
      <c r="C8" s="146" t="inlineStr">
        <is>
          <t>按买入持有逐日计算四组合净值、日收益与回撤；净值已按年化费率折每日扣费(扣费后口径)。</t>
        </is>
      </c>
    </row>
    <row r="9" ht="28" customHeight="1" s="136">
      <c r="B9" s="14" t="inlineStr">
        <is>
          <t>看板-10/20/30/增值</t>
        </is>
      </c>
      <c r="C9" s="146" t="inlineStr">
        <is>
          <t>业绩表现KPI＋收益表现＋风险特征＋净值曲线。增值组合为8只权益基金、无债无黄金。</t>
        </is>
      </c>
    </row>
    <row r="10" ht="16.5" customHeight="1" s="136">
      <c r="B10" s="15" t="n"/>
      <c r="C10" s="16" t="n"/>
      <c r="D10" s="16" t="n"/>
      <c r="E10" s="16" t="n"/>
      <c r="F10" s="16" t="n"/>
      <c r="G10" s="16" t="n"/>
      <c r="H10" s="16" t="n"/>
    </row>
    <row r="11" ht="16.5" customHeight="1" s="136">
      <c r="B11" s="13" t="inlineStr">
        <is>
          <t>二、使用说明</t>
        </is>
      </c>
      <c r="C11" s="16" t="n"/>
      <c r="D11" s="16" t="n"/>
      <c r="E11" s="16" t="n"/>
      <c r="F11" s="16" t="n"/>
      <c r="G11" s="16" t="n"/>
      <c r="H11" s="16" t="n"/>
    </row>
    <row r="12" ht="16.5" customHeight="1" s="136">
      <c r="B12" s="14" t="inlineStr">
        <is>
          <t>每日更新</t>
        </is>
      </c>
      <c r="C12" s="146" t="inlineStr">
        <is>
          <t>在『净值数据』『组合净值』底部按日期顺序新增一行(公式可下拉)，看板自动刷新。</t>
        </is>
      </c>
    </row>
    <row r="13" ht="16.5" customHeight="1" s="136">
      <c r="B13" s="14" t="inlineStr">
        <is>
          <t>iFinD指标</t>
        </is>
      </c>
      <c r="C13" s="146" t="inlineStr">
        <is>
          <t>复权净值指标代码集中在『净值数据』B2，与本地版本不符时只改此处。</t>
        </is>
      </c>
    </row>
    <row r="14" ht="16.5" customHeight="1" s="136">
      <c r="B14" s="14" t="inlineStr">
        <is>
          <t>买入持有口径</t>
        </is>
      </c>
      <c r="C14" s="146" t="inlineStr">
        <is>
          <t>起始日按初始权重买入后持有，权重随涨跌漂移；组合起始净值=1.0000。</t>
        </is>
      </c>
    </row>
    <row r="15" ht="14.5" customHeight="1" s="136">
      <c r="B15" s="14" t="inlineStr">
        <is>
          <t>扣费方式</t>
        </is>
      </c>
      <c r="C15" s="25" t="inlineStr">
        <is>
          <t>各组合年化费率见『持仓配置』M列(10-90=0.8%/20-80=1.0%/30-70=1.2%/增值=1.0%)；按 净值×(1-费率)^(已运作交易日数/年化交易日数) 折每日计入，看板均为扣费后口径。</t>
        </is>
      </c>
    </row>
    <row r="16">
      <c r="B16" s="14" t="inlineStr">
        <is>
          <t>参数：无风险利率(年化)=一年定存基准1.5%（夏普折日按C16/365）</t>
        </is>
      </c>
      <c r="C16" s="172" t="n">
        <v>0.015</v>
      </c>
    </row>
    <row r="17">
      <c r="B17" s="14" t="inlineStr">
        <is>
          <t>参数：年化交易日数</t>
        </is>
      </c>
      <c r="C17" s="24" t="n">
        <v>250</v>
      </c>
    </row>
    <row r="18" ht="14.5" customHeight="1" s="136">
      <c r="B18" s="14" t="inlineStr">
        <is>
          <t>净值曲线</t>
        </is>
      </c>
      <c r="C18" s="25" t="inlineStr">
        <is>
          <t>四看板曲线已改用动态命名区域(chtDate/chtB/chtE/chtH/chtK，OFFSET+COUNT)，新增交易日后自动延伸到最新，无需手动改图表数据区。</t>
        </is>
      </c>
    </row>
    <row r="19" ht="14.5" customHeight="1" s="136">
      <c r="B19" s="12" t="inlineStr">
        <is>
          <t>数据来源：同花顺 iFinD(复权单位净值)</t>
        </is>
      </c>
    </row>
    <row r="20">
      <c r="B20" s="12" t="inlineStr">
        <is>
          <t>口径对齐说明：看板年化波动率/夏普/年化收益已与iFinD区间指标完全对齐——①年化波动率=日普通收益样本标准差×√250（C17=250）；②夏普为日口径不年化=(日均收益−C16/365)÷日收益标准差，与ths_sharp_fund一致；③年化收益=(1+累计收益)^(365/区间自然日数(含首尾))−1，卡玛=年化收益÷|最大回撤|，与ths_calmar_ratio_fund一致；区间收益均以起始日前一交易日净值为基期（组合基期5/29净值=1）。</t>
        </is>
      </c>
    </row>
  </sheetData>
  <mergeCells count="7">
    <mergeCell ref="C6:H6"/>
    <mergeCell ref="C14:H14"/>
    <mergeCell ref="C13:H13"/>
    <mergeCell ref="C9:H9"/>
    <mergeCell ref="C8:H8"/>
    <mergeCell ref="C12:H12"/>
    <mergeCell ref="C7:H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B1:M15"/>
  <sheetViews>
    <sheetView tabSelected="1" workbookViewId="0">
      <selection activeCell="G12" sqref="G12"/>
    </sheetView>
  </sheetViews>
  <sheetFormatPr baseColWidth="8" defaultRowHeight="14"/>
  <cols>
    <col width="21.08984375" bestFit="1" customWidth="1" style="136" min="2" max="2"/>
    <col width="10.54296875" customWidth="1" style="136" min="3" max="3"/>
    <col hidden="1" width="12.26953125" customWidth="1" style="136" min="4" max="4"/>
    <col width="37.26953125" customWidth="1" style="136" min="5" max="5"/>
    <col width="20.81640625" customWidth="1" style="136" min="6" max="6"/>
    <col width="19.6328125" customWidth="1" style="136" min="7" max="7"/>
    <col width="10.26953125" bestFit="1" customWidth="1" style="136" min="8" max="8"/>
    <col width="11" customWidth="1" style="136" min="9" max="11"/>
    <col width="11.36328125" customWidth="1" style="136" min="12" max="12"/>
    <col width="12.453125" bestFit="1" customWidth="1" style="136" min="13" max="13"/>
    <col width="11.7265625" customWidth="1" style="136" min="14" max="14"/>
  </cols>
  <sheetData>
    <row r="1">
      <c r="F1" s="133" t="n">
        <v>46191</v>
      </c>
      <c r="G1" s="46" t="n">
        <v>46171</v>
      </c>
      <c r="K1" t="inlineStr">
        <is>
          <t>10-90</t>
        </is>
      </c>
    </row>
    <row r="2">
      <c r="F2" s="133" t="n">
        <v>46195</v>
      </c>
      <c r="G2" s="46" t="n">
        <v>46174</v>
      </c>
      <c r="H2" s="133" t="n">
        <v>46174</v>
      </c>
      <c r="L2">
        <f>VLOOKUP(G1,'组合净值（模拟）'!A:M,2,0)</f>
        <v/>
      </c>
      <c r="M2">
        <f>VLOOKUP(F1,实盘组合净值!A:S,14,0)</f>
        <v/>
      </c>
    </row>
    <row r="3">
      <c r="F3" s="133">
        <f>G3</f>
        <v/>
      </c>
      <c r="G3" s="46" t="n">
        <v>46206</v>
      </c>
      <c r="H3" s="133">
        <f>G3</f>
        <v/>
      </c>
      <c r="L3">
        <f>VLOOKUP(G3,'组合净值（模拟）'!A:M,2,0)</f>
        <v/>
      </c>
      <c r="M3">
        <f>VLOOKUP(F3,'1090实盘净值'!A:C,2,0)</f>
        <v/>
      </c>
    </row>
    <row r="4" ht="33.5" customHeight="1" s="136">
      <c r="B4" s="105" t="inlineStr">
        <is>
          <t>FOF</t>
        </is>
      </c>
      <c r="C4" s="40" t="inlineStr">
        <is>
          <t>权益中枢</t>
        </is>
      </c>
      <c r="D4" s="29" t="inlineStr">
        <is>
          <t>列2</t>
        </is>
      </c>
      <c r="E4" s="40" t="inlineStr">
        <is>
          <t>组合/基金</t>
        </is>
      </c>
      <c r="F4" s="40">
        <f>"上线以来（截止"&amp;TEXT($G$3,"m.d")&amp;"）"</f>
        <v/>
      </c>
      <c r="G4" s="40">
        <f>"6月以来（截止"&amp;TEXT($G$3,"m.d")&amp;"）"</f>
        <v/>
      </c>
      <c r="H4" s="70" t="inlineStr">
        <is>
          <t>最大回撤</t>
        </is>
      </c>
      <c r="I4" s="71" t="inlineStr">
        <is>
          <t>年化波动率</t>
        </is>
      </c>
      <c r="J4" s="71" t="inlineStr">
        <is>
          <t>夏普比率</t>
        </is>
      </c>
      <c r="K4" s="72" t="inlineStr">
        <is>
          <t>卡玛比率</t>
        </is>
      </c>
    </row>
    <row r="5" ht="21" customHeight="1" s="136">
      <c r="B5" s="36" t="inlineStr">
        <is>
          <t>嘉实财富样板间</t>
        </is>
      </c>
      <c r="C5" s="54" t="n">
        <v>0.1</v>
      </c>
      <c r="D5" s="37" t="n"/>
      <c r="E5" s="38" t="inlineStr">
        <is>
          <t>10-90账户</t>
        </is>
      </c>
      <c r="F5" s="44">
        <f>M3/M2-1</f>
        <v/>
      </c>
      <c r="G5" s="39">
        <f>L3/L2-1</f>
        <v/>
      </c>
      <c r="H5" s="73">
        <f>'看板-10-90'!F7</f>
        <v/>
      </c>
      <c r="I5" s="74">
        <f>'看板-10-90'!E7</f>
        <v/>
      </c>
      <c r="J5" s="183">
        <f>'看板-10-90'!G7</f>
        <v/>
      </c>
      <c r="K5" s="76">
        <f>IFERROR('看板-10-90'!D7/ABS('看板-10-90'!F7),"")</f>
        <v/>
      </c>
    </row>
    <row r="6" ht="21" customHeight="1" s="136">
      <c r="B6" s="149" t="inlineStr">
        <is>
          <t>招行长盈计划-安稳盈</t>
        </is>
      </c>
      <c r="C6" s="173" t="inlineStr">
        <is>
          <t>≤15%</t>
        </is>
      </c>
      <c r="D6" s="32" t="inlineStr">
        <is>
          <t>016768.OF</t>
        </is>
      </c>
      <c r="E6" s="41">
        <f>[1]!thsiFinD("ths_fund_official_short_name_fund",D6)</f>
        <v/>
      </c>
      <c r="F6" s="45">
        <f>[1]!thsiFinD("ths_adjustment_nvg_ratio_fund",$D6,F$2,F$3,101)/100</f>
        <v/>
      </c>
      <c r="G6" s="45">
        <f>[1]!thsiFinD("ths_adjustment_nvg_ratio_fund",$D6,G$2,G$3,101)/100</f>
        <v/>
      </c>
      <c r="H6" s="77">
        <f>-[1]!thsiFinD("ths_max_retrace_rate_all_fund",$D6,$H$2,$H$3)/100</f>
        <v/>
      </c>
      <c r="I6" s="78">
        <f>[1]!thsiFinD("ths_annual_volatility_fund",D6,$H$2,$H$3,100,101)/100</f>
        <v/>
      </c>
      <c r="J6" s="184">
        <f>[1]!thsiFinD("ths_sharp_fund",D6,$H$2,$H$3,100,101,100)</f>
        <v/>
      </c>
      <c r="K6" s="80">
        <f>[1]!thsiFinD("ths_calmar_ratio_fund",D6,$H$2,$H$3)</f>
        <v/>
      </c>
    </row>
    <row r="7" ht="21" customHeight="1" s="136">
      <c r="B7" s="148" t="n"/>
      <c r="D7" s="30" t="inlineStr">
        <is>
          <t>025218.OF</t>
        </is>
      </c>
      <c r="E7" s="42">
        <f>[1]!thsiFinD("ths_fund_official_short_name_fund",D7)</f>
        <v/>
      </c>
      <c r="F7" s="31">
        <f>[1]!thsiFinD("ths_adjustment_nvg_ratio_fund",$D7,F$2,F$3,101)/100</f>
        <v/>
      </c>
      <c r="G7" s="31">
        <f>[1]!thsiFinD("ths_adjustment_nvg_ratio_fund",$D7,G$2,G$3,101)/100</f>
        <v/>
      </c>
      <c r="H7" s="81">
        <f>-[1]!thsiFinD("ths_max_retrace_rate_all_fund",$D7,$H$2,$H$3)/100</f>
        <v/>
      </c>
      <c r="I7" s="82">
        <f>[1]!thsiFinD("ths_annual_volatility_fund",D7,$H$2,$H$3,100,101)/100</f>
        <v/>
      </c>
      <c r="J7" s="185">
        <f>[1]!thsiFinD("ths_sharp_fund",D7,$H$2,$H$3,100,101,100)</f>
        <v/>
      </c>
      <c r="K7" s="84">
        <f>[1]!thsiFinD("ths_calmar_ratio_fund",D7,$H$2,$H$3)</f>
        <v/>
      </c>
    </row>
    <row r="8" ht="21" customHeight="1" s="136">
      <c r="B8" s="148" t="n"/>
      <c r="D8" s="32" t="inlineStr">
        <is>
          <t>022978.OF</t>
        </is>
      </c>
      <c r="E8" s="41">
        <f>[1]!thsiFinD("ths_fund_official_short_name_fund",D8)</f>
        <v/>
      </c>
      <c r="F8" s="33">
        <f>[1]!thsiFinD("ths_adjustment_nvg_ratio_fund",$D8,F$2,F$3,101)/100</f>
        <v/>
      </c>
      <c r="G8" s="33">
        <f>[1]!thsiFinD("ths_adjustment_nvg_ratio_fund",$D8,G$2,G$3,101)/100</f>
        <v/>
      </c>
      <c r="H8" s="77">
        <f>-[1]!thsiFinD("ths_max_retrace_rate_all_fund",$D8,$H$2,$H$3)/100</f>
        <v/>
      </c>
      <c r="I8" s="78">
        <f>[1]!thsiFinD("ths_annual_volatility_fund",D8,$H$2,$H$3,100,101)/100</f>
        <v/>
      </c>
      <c r="J8" s="184">
        <f>[1]!thsiFinD("ths_sharp_fund",D8,$H$2,$H$3,100,101,100)</f>
        <v/>
      </c>
      <c r="K8" s="80">
        <f>[1]!thsiFinD("ths_calmar_ratio_fund",D8,$H$2,$H$3)</f>
        <v/>
      </c>
    </row>
    <row r="9" ht="21" customHeight="1" s="136">
      <c r="B9" s="148" t="n"/>
      <c r="D9" s="30" t="inlineStr">
        <is>
          <t>017587.OF</t>
        </is>
      </c>
      <c r="E9" s="42">
        <f>[1]!thsiFinD("ths_fund_official_short_name_fund",D9)</f>
        <v/>
      </c>
      <c r="F9" s="31">
        <f>[1]!thsiFinD("ths_adjustment_nvg_ratio_fund",$D9,F$2,F$3,101)/100</f>
        <v/>
      </c>
      <c r="G9" s="31">
        <f>[1]!thsiFinD("ths_adjustment_nvg_ratio_fund",$D9,G$2,G$3,101)/100</f>
        <v/>
      </c>
      <c r="H9" s="81">
        <f>-[1]!thsiFinD("ths_max_retrace_rate_all_fund",$D9,$H$2,$H$3)/100</f>
        <v/>
      </c>
      <c r="I9" s="82">
        <f>[1]!thsiFinD("ths_annual_volatility_fund",D9,$H$2,$H$3,100,101)/100</f>
        <v/>
      </c>
      <c r="J9" s="185">
        <f>[1]!thsiFinD("ths_sharp_fund",D9,$H$2,$H$3,100,101,100)</f>
        <v/>
      </c>
      <c r="K9" s="84">
        <f>[1]!thsiFinD("ths_calmar_ratio_fund",D9,$H$2,$H$3)</f>
        <v/>
      </c>
    </row>
    <row r="10" ht="21" customHeight="1" s="136">
      <c r="B10" s="150" t="n"/>
      <c r="C10" s="153" t="n"/>
      <c r="D10" s="34" t="inlineStr">
        <is>
          <t>026682.OF</t>
        </is>
      </c>
      <c r="E10" s="43">
        <f>[1]!thsiFinD("ths_fund_official_short_name_fund",D10)</f>
        <v/>
      </c>
      <c r="F10" s="35">
        <f>[1]!thsiFinD("ths_adjustment_nvg_ratio_fund",$D10,F$2,F$3,101)/100</f>
        <v/>
      </c>
      <c r="G10" s="35">
        <f>[1]!thsiFinD("ths_adjustment_nvg_ratio_fund",$D10,G$2,G$3,101)/100</f>
        <v/>
      </c>
      <c r="H10" s="85">
        <f>-[1]!thsiFinD("ths_max_retrace_rate_all_fund",$D10,$H$2,$H$3)/100</f>
        <v/>
      </c>
      <c r="I10" s="86">
        <f>[1]!thsiFinD("ths_annual_volatility_fund",D10,$H$2,$H$3,100,101)/100</f>
        <v/>
      </c>
      <c r="J10" s="186">
        <f>[1]!thsiFinD("ths_sharp_fund",D10,$H$2,$H$3,100,101,100)</f>
        <v/>
      </c>
      <c r="K10" s="88">
        <f>[1]!thsiFinD("ths_calmar_ratio_fund",D10,$H$2,$H$3)</f>
        <v/>
      </c>
    </row>
    <row r="11" ht="20" customHeight="1" s="136">
      <c r="B11" s="147" t="inlineStr">
        <is>
          <t>招行长盈计划-安定盈</t>
        </is>
      </c>
      <c r="C11" s="174" t="inlineStr">
        <is>
          <t>≤25%</t>
        </is>
      </c>
      <c r="D11" s="30" t="inlineStr">
        <is>
          <t>025822.OF</t>
        </is>
      </c>
      <c r="E11" s="42">
        <f>[1]!thsiFinD("ths_fund_official_short_name_fund",D11)</f>
        <v/>
      </c>
      <c r="F11" s="31">
        <f>[1]!thsiFinD("ths_adjustment_nvg_ratio_fund",$D11,F$2,F$3,101)/100</f>
        <v/>
      </c>
      <c r="G11" s="31">
        <f>[1]!thsiFinD("ths_adjustment_nvg_ratio_fund",$D11,G$2,G$3,101)/100</f>
        <v/>
      </c>
      <c r="H11" s="81">
        <f>-[1]!thsiFinD("ths_max_retrace_rate_all_fund",$D11,$H$2,$H$3)/100</f>
        <v/>
      </c>
      <c r="I11" s="82">
        <f>[1]!thsiFinD("ths_annual_volatility_fund",D11,$H$2,$H$3,100,101)/100</f>
        <v/>
      </c>
      <c r="J11" s="185">
        <f>[1]!thsiFinD("ths_sharp_fund",D11,$H$2,$H$3,100,101,100)</f>
        <v/>
      </c>
      <c r="K11" s="84">
        <f>[1]!thsiFinD("ths_calmar_ratio_fund",D11,$H$2,$H$3)</f>
        <v/>
      </c>
    </row>
    <row r="12" ht="20" customHeight="1" s="136">
      <c r="B12" s="148" t="n"/>
      <c r="D12" s="32" t="inlineStr">
        <is>
          <t>018312.OF</t>
        </is>
      </c>
      <c r="E12" s="41">
        <f>[1]!thsiFinD("ths_fund_official_short_name_fund",D12)</f>
        <v/>
      </c>
      <c r="F12" s="33">
        <f>[1]!thsiFinD("ths_adjustment_nvg_ratio_fund",$D12,F$2,F$3,101)/100</f>
        <v/>
      </c>
      <c r="G12" s="33">
        <f>[1]!thsiFinD("ths_adjustment_nvg_ratio_fund",$D12,G$2,G$3,101)/100</f>
        <v/>
      </c>
      <c r="H12" s="77">
        <f>-[1]!thsiFinD("ths_max_retrace_rate_all_fund",$D12,$H$2,$H$3)/100</f>
        <v/>
      </c>
      <c r="I12" s="78">
        <f>[1]!thsiFinD("ths_annual_volatility_fund",D12,$H$2,$H$3,100,101)/100</f>
        <v/>
      </c>
      <c r="J12" s="184">
        <f>[1]!thsiFinD("ths_sharp_fund",D12,$H$2,$H$3,100,101,100)</f>
        <v/>
      </c>
      <c r="K12" s="80">
        <f>[1]!thsiFinD("ths_calmar_ratio_fund",D12,$H$2,$H$3)</f>
        <v/>
      </c>
    </row>
    <row r="14" hidden="1" s="136"/>
    <row r="15" ht="15" customHeight="1" s="136">
      <c r="B15" s="89" t="n"/>
    </row>
    <row r="16" ht="16.5" customHeight="1" s="136"/>
    <row r="17" ht="16.5" customHeight="1" s="136"/>
    <row r="18" ht="16.5" customHeight="1" s="136"/>
    <row r="19" ht="16.5" customHeight="1" s="136"/>
  </sheetData>
  <mergeCells count="4">
    <mergeCell ref="B11:B12"/>
    <mergeCell ref="B6:B10"/>
    <mergeCell ref="C11:C12"/>
    <mergeCell ref="C6:C10"/>
  </mergeCells>
  <conditionalFormatting sqref="F6:G12">
    <cfRule type="cellIs" priority="1" operator="greaterThan" dxfId="0">
      <formula>0.0016</formula>
    </cfRule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tabColor rgb="FF4F81BD"/>
    <outlinePr summaryBelow="1" summaryRight="1"/>
    <pageSetUpPr/>
  </sheetPr>
  <dimension ref="B1:N17"/>
  <sheetViews>
    <sheetView workbookViewId="0">
      <selection activeCell="J13" sqref="J13"/>
    </sheetView>
  </sheetViews>
  <sheetFormatPr baseColWidth="8" defaultRowHeight="14"/>
  <cols>
    <col width="21.08984375" customWidth="1" style="136" min="2" max="2"/>
    <col width="11" customWidth="1" style="136" min="3" max="3"/>
    <col hidden="1" width="12.26953125" customWidth="1" style="136" min="4" max="4"/>
    <col width="31.90625" customWidth="1" style="136" min="5" max="5"/>
    <col width="21.36328125" bestFit="1" customWidth="1" style="136" min="6" max="6"/>
    <col width="18.54296875" customWidth="1" style="136" min="7" max="7"/>
    <col width="11.36328125" customWidth="1" style="136" min="8" max="8"/>
    <col width="11" customWidth="1" style="136" min="9" max="11"/>
    <col hidden="1" width="15" customWidth="1" style="136" min="12" max="12"/>
  </cols>
  <sheetData>
    <row r="1">
      <c r="F1" s="133">
        <f>vs招行!F1</f>
        <v/>
      </c>
      <c r="G1" s="133">
        <f>vs招行!G1</f>
        <v/>
      </c>
    </row>
    <row r="2" ht="15.5" customHeight="1" s="136">
      <c r="B2" s="89" t="n"/>
      <c r="C2" s="92" t="inlineStr">
        <is>
          <t>2026-03-31</t>
        </is>
      </c>
      <c r="F2" s="133">
        <f>vs招行!F2</f>
        <v/>
      </c>
      <c r="G2" s="133">
        <f>vs招行!G2</f>
        <v/>
      </c>
      <c r="H2" s="133">
        <f>vs招行!H2</f>
        <v/>
      </c>
      <c r="K2" s="91" t="n"/>
      <c r="M2">
        <f>VLOOKUP(G1,'组合净值（模拟）'!A:M,2,0)</f>
        <v/>
      </c>
      <c r="N2" t="n">
        <v>1</v>
      </c>
    </row>
    <row r="3">
      <c r="F3" s="133">
        <f>G3</f>
        <v/>
      </c>
      <c r="G3" s="46" t="n">
        <v>46210</v>
      </c>
      <c r="H3" s="133">
        <f>G3</f>
        <v/>
      </c>
      <c r="M3">
        <f>VLOOKUP(G3,'组合净值（模拟）'!A:M,2,0)</f>
        <v/>
      </c>
      <c r="N3">
        <f>VLOOKUP(H3,'1090实盘净值'!A:C,2,0)</f>
        <v/>
      </c>
    </row>
    <row r="4" ht="32" customHeight="1" s="136">
      <c r="B4" s="93" t="inlineStr">
        <is>
          <t>固收+基金</t>
        </is>
      </c>
      <c r="C4" s="106" t="inlineStr">
        <is>
          <t>权益中枢
/股票仓位</t>
        </is>
      </c>
      <c r="D4" s="94" t="inlineStr">
        <is>
          <t>基金代码</t>
        </is>
      </c>
      <c r="E4" s="94" t="inlineStr">
        <is>
          <t>组合/基金</t>
        </is>
      </c>
      <c r="F4" s="94">
        <f>"上线以来（截止"&amp;TEXT($G$3,"m.d")&amp;"）"</f>
        <v/>
      </c>
      <c r="G4" s="94">
        <f>"6月以来（截止"&amp;TEXT($G$3,"m.d")&amp;"）"</f>
        <v/>
      </c>
      <c r="H4" s="94" t="inlineStr">
        <is>
          <t>最大回撤</t>
        </is>
      </c>
      <c r="I4" s="94" t="inlineStr">
        <is>
          <t>年化波动率</t>
        </is>
      </c>
      <c r="J4" s="94" t="inlineStr">
        <is>
          <t>夏普比率</t>
        </is>
      </c>
      <c r="K4" s="94" t="inlineStr">
        <is>
          <t>卡玛比率</t>
        </is>
      </c>
      <c r="L4" s="95" t="inlineStr">
        <is>
          <t>转债仓位(穿透)</t>
        </is>
      </c>
    </row>
    <row r="5" ht="21" customHeight="1" s="136">
      <c r="B5" s="107" t="inlineStr">
        <is>
          <t>嘉实财富样板间</t>
        </is>
      </c>
      <c r="C5" s="108" t="n">
        <v>0.1</v>
      </c>
      <c r="D5" s="109" t="n"/>
      <c r="E5" s="110" t="inlineStr">
        <is>
          <t>10-90账户</t>
        </is>
      </c>
      <c r="F5" s="129">
        <f>N3/N2-1</f>
        <v/>
      </c>
      <c r="G5" s="111">
        <f>M3/M2-1</f>
        <v/>
      </c>
      <c r="H5" s="112">
        <f>vs招行!H5</f>
        <v/>
      </c>
      <c r="I5" s="108">
        <f>vs招行!I5</f>
        <v/>
      </c>
      <c r="J5" s="187">
        <f>vs招行!J5</f>
        <v/>
      </c>
      <c r="K5" s="113">
        <f>vs招行!K5</f>
        <v/>
      </c>
      <c r="L5" s="96" t="n"/>
    </row>
    <row r="6" ht="21" customHeight="1" s="136">
      <c r="B6" s="155" t="inlineStr">
        <is>
          <t>固收+产品池</t>
        </is>
      </c>
      <c r="C6" s="116">
        <f>[1]!thsiFinD("ths_stock_mv_to_fanv_fund",$D6,$C$2)/100</f>
        <v/>
      </c>
      <c r="D6" s="117" t="inlineStr">
        <is>
          <t>004010.OF</t>
        </is>
      </c>
      <c r="E6" s="117">
        <f>[1]!thsiFinD("ths_fund_official_short_name_fund",D6)</f>
        <v/>
      </c>
      <c r="F6" s="116">
        <f>[1]!thsiFinD("ths_adjustment_nvg_ratio_fund",$D6,F$2,F$3,101)/100</f>
        <v/>
      </c>
      <c r="G6" s="116">
        <f>[1]!thsiFinD("ths_adjustment_nvg_ratio_fund",$D6,G$2,G$3,101)/100</f>
        <v/>
      </c>
      <c r="H6" s="118">
        <f>-[1]!thsiFinD("ths_max_retrace_rate_all_fund",$D6,$H$2,$H$3)/100</f>
        <v/>
      </c>
      <c r="I6" s="124">
        <f>[1]!thsiFinD("ths_annual_volatility_fund",D6,$H$2,$H$3,100,101)/100</f>
        <v/>
      </c>
      <c r="J6" s="188">
        <f>[1]!thsiFinD("ths_sharp_fund",D6,$H$2,$H$3,100,101,100)</f>
        <v/>
      </c>
      <c r="K6" s="125">
        <f>[1]!thsiFinD("ths_calmar_ratio_fund",D6,$H$2,$H$3)</f>
        <v/>
      </c>
      <c r="L6" s="98">
        <f>[1]!thsiFinD("ths_cbb_to_bond_invest_mv_fund",$D6,$C$2)/100*[1]!thsiFinD("ths_bond_mv_to_fanv_fund",$D6,$C$2)/100</f>
        <v/>
      </c>
    </row>
    <row r="7" ht="21" customHeight="1" s="136">
      <c r="B7" s="175" t="n"/>
      <c r="C7" s="114">
        <f>[1]!thsiFinD("ths_stock_mv_to_fanv_fund",$D7,$C$2)/100</f>
        <v/>
      </c>
      <c r="D7" s="109" t="inlineStr">
        <is>
          <t>001316.OF</t>
        </is>
      </c>
      <c r="E7" s="109">
        <f>[1]!thsiFinD("ths_fund_official_short_name_fund",D7)</f>
        <v/>
      </c>
      <c r="F7" s="114">
        <f>[1]!thsiFinD("ths_adjustment_nvg_ratio_fund",$D7,F$2,F$3,101)/100</f>
        <v/>
      </c>
      <c r="G7" s="114">
        <f>[1]!thsiFinD("ths_adjustment_nvg_ratio_fund",$D7,G$2,G$3,101)/100</f>
        <v/>
      </c>
      <c r="H7" s="115">
        <f>-[1]!thsiFinD("ths_max_retrace_rate_all_fund",$D7,$H$2,$H$3)/100</f>
        <v/>
      </c>
      <c r="I7" s="122">
        <f>[1]!thsiFinD("ths_annual_volatility_fund",D7,$H$2,$H$3,100,101)/100</f>
        <v/>
      </c>
      <c r="J7" s="189">
        <f>[1]!thsiFinD("ths_sharp_fund",D7,$H$2,$H$3,100,101,100)</f>
        <v/>
      </c>
      <c r="K7" s="123">
        <f>[1]!thsiFinD("ths_calmar_ratio_fund",D7,$H$2,$H$3)</f>
        <v/>
      </c>
      <c r="L7" s="97">
        <f>[1]!thsiFinD("ths_cbb_to_bond_invest_mv_fund",$D7,$C$2)/100*[1]!thsiFinD("ths_bond_mv_to_fanv_fund",$D7,$C$2)/100</f>
        <v/>
      </c>
    </row>
    <row r="8" ht="21" customHeight="1" s="136">
      <c r="B8" s="175" t="n"/>
      <c r="C8" s="116">
        <f>[1]!thsiFinD("ths_stock_mv_to_fanv_fund",$D8,$C$2)/100</f>
        <v/>
      </c>
      <c r="D8" s="134" t="inlineStr">
        <is>
          <t>009089.OF</t>
        </is>
      </c>
      <c r="E8" s="117">
        <f>[1]!thsiFinD("ths_fund_official_short_name_fund",D8)</f>
        <v/>
      </c>
      <c r="F8" s="116">
        <f>[1]!thsiFinD("ths_adjustment_nvg_ratio_fund",$D8,F$2,F$3,101)/100</f>
        <v/>
      </c>
      <c r="G8" s="116">
        <f>[1]!thsiFinD("ths_adjustment_nvg_ratio_fund",$D8,G$2,G$3,101)/100</f>
        <v/>
      </c>
      <c r="H8" s="118">
        <f>-[1]!thsiFinD("ths_max_retrace_rate_all_fund",$D8,$H$2,$H$3)/100</f>
        <v/>
      </c>
      <c r="I8" s="124">
        <f>[1]!thsiFinD("ths_annual_volatility_fund",D8,$H$2,$H$3,100,101)/100</f>
        <v/>
      </c>
      <c r="J8" s="188">
        <f>[1]!thsiFinD("ths_sharp_fund",D8,$H$2,$H$3,100,101,100)</f>
        <v/>
      </c>
      <c r="K8" s="125">
        <f>[1]!thsiFinD("ths_calmar_ratio_fund",D8,$H$2,$H$3)</f>
        <v/>
      </c>
      <c r="L8" s="98">
        <f>[1]!thsiFinD("ths_cbb_to_bond_invest_mv_fund",$D8,$C$2)/100*[1]!thsiFinD("ths_bond_mv_to_fanv_fund",$D8,$C$2)/100</f>
        <v/>
      </c>
    </row>
    <row r="9" ht="21" customHeight="1" s="136">
      <c r="B9" s="175" t="n"/>
      <c r="C9" s="114">
        <f>[1]!thsiFinD("ths_stock_mv_to_fanv_fund",$D9,$C$2)/100</f>
        <v/>
      </c>
      <c r="D9" s="109" t="inlineStr">
        <is>
          <t>002009.OF</t>
        </is>
      </c>
      <c r="E9" s="109">
        <f>[1]!thsiFinD("ths_fund_official_short_name_fund",D9)</f>
        <v/>
      </c>
      <c r="F9" s="114">
        <f>[1]!thsiFinD("ths_adjustment_nvg_ratio_fund",$D9,F$2,F$3,101)/100</f>
        <v/>
      </c>
      <c r="G9" s="114">
        <f>[1]!thsiFinD("ths_adjustment_nvg_ratio_fund",$D9,G$2,G$3,101)/100</f>
        <v/>
      </c>
      <c r="H9" s="115">
        <f>-[1]!thsiFinD("ths_max_retrace_rate_all_fund",$D9,$H$2,$H$3)/100</f>
        <v/>
      </c>
      <c r="I9" s="122">
        <f>[1]!thsiFinD("ths_annual_volatility_fund",D9,$H$2,$H$3,100,101)/100</f>
        <v/>
      </c>
      <c r="J9" s="189">
        <f>[1]!thsiFinD("ths_sharp_fund",D9,$H$2,$H$3,100,101,100)</f>
        <v/>
      </c>
      <c r="K9" s="123">
        <f>[1]!thsiFinD("ths_calmar_ratio_fund",D9,$H$2,$H$3)</f>
        <v/>
      </c>
      <c r="L9" s="97">
        <f>[1]!thsiFinD("ths_cbb_to_bond_invest_mv_fund",$D9,$C$2)/100*[1]!thsiFinD("ths_bond_mv_to_fanv_fund",$D9,$C$2)/100</f>
        <v/>
      </c>
    </row>
    <row r="10" ht="21" customHeight="1" s="136">
      <c r="B10" s="175" t="n"/>
      <c r="C10" s="116">
        <f>[1]!thsiFinD("ths_stock_mv_to_fanv_fund",$D10,$C$2)/100</f>
        <v/>
      </c>
      <c r="D10" s="117" t="inlineStr">
        <is>
          <t>009089.OF</t>
        </is>
      </c>
      <c r="E10" s="117">
        <f>[1]!thsiFinD("ths_fund_official_short_name_fund",D10)</f>
        <v/>
      </c>
      <c r="F10" s="116">
        <f>[1]!thsiFinD("ths_adjustment_nvg_ratio_fund",$D10,F$2,F$3,101)/100</f>
        <v/>
      </c>
      <c r="G10" s="116">
        <f>[1]!thsiFinD("ths_adjustment_nvg_ratio_fund",$D10,G$2,G$3,101)/100</f>
        <v/>
      </c>
      <c r="H10" s="118">
        <f>-[1]!thsiFinD("ths_max_retrace_rate_all_fund",$D10,$H$2,$H$3)/100</f>
        <v/>
      </c>
      <c r="I10" s="124">
        <f>[1]!thsiFinD("ths_annual_volatility_fund",D10,$H$2,$H$3,100,101)/100</f>
        <v/>
      </c>
      <c r="J10" s="188">
        <f>[1]!thsiFinD("ths_sharp_fund",D10,$H$2,$H$3,100,101,100)</f>
        <v/>
      </c>
      <c r="K10" s="125">
        <f>[1]!thsiFinD("ths_calmar_ratio_fund",D10,$H$2,$H$3)</f>
        <v/>
      </c>
      <c r="L10" s="98">
        <f>[1]!thsiFinD("ths_cbb_to_bond_invest_mv_fund",$D10,$C$2)/100*[1]!thsiFinD("ths_bond_mv_to_fanv_fund",$D10,$C$2)/100</f>
        <v/>
      </c>
    </row>
    <row r="11" ht="21" customHeight="1" s="136">
      <c r="B11" s="175" t="n"/>
      <c r="C11" s="114">
        <f>[1]!thsiFinD("ths_stock_mv_to_fanv_fund",$D11,$C$2)/100</f>
        <v/>
      </c>
      <c r="D11" s="109" t="inlineStr">
        <is>
          <t>675121.OF</t>
        </is>
      </c>
      <c r="E11" s="109">
        <f>[1]!thsiFinD("ths_fund_official_short_name_fund",D11)</f>
        <v/>
      </c>
      <c r="F11" s="114">
        <f>[1]!thsiFinD("ths_adjustment_nvg_ratio_fund",$D11,F$2,F$3,101)/100</f>
        <v/>
      </c>
      <c r="G11" s="114">
        <f>[1]!thsiFinD("ths_adjustment_nvg_ratio_fund",$D11,G$2,G$3,101)/100</f>
        <v/>
      </c>
      <c r="H11" s="115">
        <f>-[1]!thsiFinD("ths_max_retrace_rate_all_fund",$D11,$H$2,$H$3)/100</f>
        <v/>
      </c>
      <c r="I11" s="122">
        <f>[1]!thsiFinD("ths_annual_volatility_fund",D11,$H$2,$H$3,100,101)/100</f>
        <v/>
      </c>
      <c r="J11" s="189">
        <f>[1]!thsiFinD("ths_sharp_fund",D11,$H$2,$H$3,100,101,100)</f>
        <v/>
      </c>
      <c r="K11" s="123">
        <f>[1]!thsiFinD("ths_calmar_ratio_fund",D11,$H$2,$H$3)</f>
        <v/>
      </c>
      <c r="L11" s="97">
        <f>[1]!thsiFinD("ths_cbb_to_bond_invest_mv_fund",$D11,$C$2)/100*[1]!thsiFinD("ths_bond_mv_to_fanv_fund",$D11,$C$2)/100</f>
        <v/>
      </c>
    </row>
    <row r="12" ht="21" customHeight="1" s="136">
      <c r="B12" s="175" t="n"/>
      <c r="C12" s="116">
        <f>[1]!thsiFinD("ths_stock_mv_to_fanv_fund",$D12,$C$2)/100</f>
        <v/>
      </c>
      <c r="D12" s="134" t="inlineStr">
        <is>
          <t>000171.OF</t>
        </is>
      </c>
      <c r="E12" s="117">
        <f>[1]!thsiFinD("ths_fund_official_short_name_fund",D12)</f>
        <v/>
      </c>
      <c r="F12" s="116">
        <f>[1]!thsiFinD("ths_adjustment_nvg_ratio_fund",$D12,F$2,F$3,101)/100</f>
        <v/>
      </c>
      <c r="G12" s="116">
        <f>[1]!thsiFinD("ths_adjustment_nvg_ratio_fund",$D12,G$2,G$3,101)/100</f>
        <v/>
      </c>
      <c r="H12" s="118">
        <f>-[1]!thsiFinD("ths_max_retrace_rate_all_fund",$D12,$H$2,$H$3)/100</f>
        <v/>
      </c>
      <c r="I12" s="124">
        <f>[1]!thsiFinD("ths_annual_volatility_fund",D12,$H$2,$H$3,100,101)/100</f>
        <v/>
      </c>
      <c r="J12" s="188">
        <f>[1]!thsiFinD("ths_sharp_fund",D12,$H$2,$H$3,100,101,100)</f>
        <v/>
      </c>
      <c r="K12" s="125">
        <f>[1]!thsiFinD("ths_calmar_ratio_fund",D12,$H$2,$H$3)</f>
        <v/>
      </c>
      <c r="L12" s="98">
        <f>[1]!thsiFinD("ths_cbb_to_bond_invest_mv_fund",$D12,$C$2)/100*[1]!thsiFinD("ths_bond_mv_to_fanv_fund",$D12,$C$2)/100</f>
        <v/>
      </c>
    </row>
    <row r="13" ht="21" customHeight="1" s="136">
      <c r="B13" s="175" t="n"/>
      <c r="C13" s="114">
        <f>[1]!thsiFinD("ths_stock_mv_to_fanv_fund",$D13,$C$2)/100</f>
        <v/>
      </c>
      <c r="D13" s="109" t="inlineStr">
        <is>
          <t>018595.OF</t>
        </is>
      </c>
      <c r="E13" s="109">
        <f>[1]!thsiFinD("ths_fund_official_short_name_fund",D13)</f>
        <v/>
      </c>
      <c r="F13" s="114">
        <f>[1]!thsiFinD("ths_adjustment_nvg_ratio_fund",$D13,F$2,F$3,101)/100</f>
        <v/>
      </c>
      <c r="G13" s="114">
        <f>[1]!thsiFinD("ths_adjustment_nvg_ratio_fund",$D13,G$2,G$3,101)/100</f>
        <v/>
      </c>
      <c r="H13" s="115">
        <f>-[1]!thsiFinD("ths_max_retrace_rate_all_fund",$D13,$H$2,$H$3)/100</f>
        <v/>
      </c>
      <c r="I13" s="122">
        <f>[1]!thsiFinD("ths_annual_volatility_fund",D13,$H$2,$H$3,100,101)/100</f>
        <v/>
      </c>
      <c r="J13" s="189">
        <f>[1]!thsiFinD("ths_sharp_fund",D13,$H$2,$H$3,100,101,100)</f>
        <v/>
      </c>
      <c r="K13" s="123">
        <f>[1]!thsiFinD("ths_calmar_ratio_fund",D13,$H$2,$H$3)</f>
        <v/>
      </c>
      <c r="L13" s="97">
        <f>[1]!thsiFinD("ths_cbb_to_bond_invest_mv_fund",$D13,$C$2)/100*[1]!thsiFinD("ths_bond_mv_to_fanv_fund",$D13,$C$2)/100</f>
        <v/>
      </c>
    </row>
    <row r="14" ht="21" customHeight="1" s="136">
      <c r="B14" s="175" t="n"/>
      <c r="C14" s="116">
        <f>[1]!thsiFinD("ths_stock_mv_to_fanv_fund",$D14,$C$2)/100</f>
        <v/>
      </c>
      <c r="D14" s="117" t="inlineStr">
        <is>
          <t>003504.OF</t>
        </is>
      </c>
      <c r="E14" s="117">
        <f>[1]!thsiFinD("ths_fund_official_short_name_fund",D14)</f>
        <v/>
      </c>
      <c r="F14" s="116">
        <f>[1]!thsiFinD("ths_adjustment_nvg_ratio_fund",$D14,F$2,F$3,101)/100</f>
        <v/>
      </c>
      <c r="G14" s="116">
        <f>[1]!thsiFinD("ths_adjustment_nvg_ratio_fund",$D14,G$2,G$3,101)/100</f>
        <v/>
      </c>
      <c r="H14" s="118">
        <f>-[1]!thsiFinD("ths_max_retrace_rate_all_fund",$D14,$H$2,$H$3)/100</f>
        <v/>
      </c>
      <c r="I14" s="124">
        <f>[1]!thsiFinD("ths_annual_volatility_fund",D14,$H$2,$H$3,100,101)/100</f>
        <v/>
      </c>
      <c r="J14" s="188">
        <f>[1]!thsiFinD("ths_sharp_fund",D14,$H$2,$H$3,100,101,100)</f>
        <v/>
      </c>
      <c r="K14" s="125">
        <f>[1]!thsiFinD("ths_calmar_ratio_fund",D14,$H$2,$H$3)</f>
        <v/>
      </c>
      <c r="L14" s="98">
        <f>[1]!thsiFinD("ths_cbb_to_bond_invest_mv_fund",$D14,$C$2)/100*[1]!thsiFinD("ths_bond_mv_to_fanv_fund",$D14,$C$2)/100</f>
        <v/>
      </c>
    </row>
    <row r="15" ht="21" customHeight="1" s="136">
      <c r="B15" s="176" t="n"/>
      <c r="C15" s="119">
        <f>[1]!thsiFinD("ths_stock_mv_to_fanv_fund",$D15,$C$2)/100</f>
        <v/>
      </c>
      <c r="D15" s="120" t="inlineStr">
        <is>
          <t>020857.OF</t>
        </is>
      </c>
      <c r="E15" s="120">
        <f>[1]!thsiFinD("ths_fund_official_short_name_fund",D15)</f>
        <v/>
      </c>
      <c r="F15" s="119">
        <f>[1]!thsiFinD("ths_adjustment_nvg_ratio_fund",$D15,F$2,F$3,101)/100</f>
        <v/>
      </c>
      <c r="G15" s="119">
        <f>[1]!thsiFinD("ths_adjustment_nvg_ratio_fund",$D15,G$2,G$3,101)/100</f>
        <v/>
      </c>
      <c r="H15" s="121">
        <f>-[1]!thsiFinD("ths_max_retrace_rate_all_fund",$D15,$H$2,$H$3)/100</f>
        <v/>
      </c>
      <c r="I15" s="126">
        <f>[1]!thsiFinD("ths_annual_volatility_fund",D15,$H$2,$H$3,100,101)/100</f>
        <v/>
      </c>
      <c r="J15" s="190">
        <f>[1]!thsiFinD("ths_sharp_fund",D15,$H$2,$H$3,100,101,100)</f>
        <v/>
      </c>
      <c r="K15" s="127">
        <f>[1]!thsiFinD("ths_calmar_ratio_fund",D15,$H$2,$H$3)</f>
        <v/>
      </c>
      <c r="L15" s="99">
        <f>[1]!thsiFinD("ths_cbb_to_bond_invest_mv_fund",$D15,$C$2)/100*[1]!thsiFinD("ths_bond_mv_to_fanv_fund",$D15,$C$2)/100</f>
        <v/>
      </c>
    </row>
    <row r="16" ht="15" customHeight="1" s="136">
      <c r="B16" s="156" t="inlineStr">
        <is>
          <t>注：1090上线日为20260618，股票仓位＝最新季报期股票市值占基金资产净值比，最新季报期为2026-03-31</t>
        </is>
      </c>
      <c r="C16" s="177" t="n"/>
      <c r="D16" s="177" t="n"/>
      <c r="E16" s="177" t="n"/>
      <c r="F16" s="177" t="n"/>
      <c r="G16" s="177" t="n"/>
      <c r="H16" s="177" t="n"/>
      <c r="I16" s="177" t="n"/>
      <c r="J16" s="177" t="n"/>
      <c r="K16" s="177" t="n"/>
    </row>
    <row r="17" ht="15" customHeight="1" s="136"/>
  </sheetData>
  <mergeCells count="2">
    <mergeCell ref="B16:K17"/>
    <mergeCell ref="B6:B15"/>
  </mergeCells>
  <conditionalFormatting sqref="F6:G15">
    <cfRule type="cellIs" priority="3" operator="greaterThan" dxfId="0">
      <formula>0.0105</formula>
    </cfRule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E4" sqref="E4"/>
    </sheetView>
  </sheetViews>
  <sheetFormatPr baseColWidth="8" defaultRowHeight="14"/>
  <cols>
    <col width="11.36328125" bestFit="1" customWidth="1" style="136" min="1" max="1"/>
  </cols>
  <sheetData>
    <row r="1">
      <c r="B1" t="inlineStr">
        <is>
          <t>1090账户基石投顾组合</t>
        </is>
      </c>
      <c r="E1" s="133">
        <f>TODAY()-1</f>
        <v/>
      </c>
    </row>
    <row r="2">
      <c r="A2">
        <f>[1]!HX_AutoDate(1,"2026-06-18",E1,-1,-1,0,0,0,0,0,"SSE",13,0)</f>
        <v/>
      </c>
      <c r="B2" t="inlineStr">
        <is>
          <t>投资组合(扣除投顾费,申赎费)</t>
        </is>
      </c>
      <c r="C2" t="inlineStr">
        <is>
          <t>业绩基准</t>
        </is>
      </c>
    </row>
    <row r="3">
      <c r="A3" s="167" t="n">
        <v>46191</v>
      </c>
      <c r="B3" t="n">
        <v>1</v>
      </c>
      <c r="C3" t="n">
        <v>1</v>
      </c>
    </row>
    <row r="4">
      <c r="A4" s="167" t="n">
        <v>46195</v>
      </c>
      <c r="B4" t="n">
        <v>1.00089571</v>
      </c>
      <c r="C4" t="n">
        <v>1.00173269</v>
      </c>
    </row>
    <row r="5">
      <c r="A5" s="167" t="n">
        <v>46196</v>
      </c>
      <c r="B5" t="n">
        <v>0.9978228099999999</v>
      </c>
      <c r="C5" t="n">
        <v>0.9984831199999999</v>
      </c>
    </row>
    <row r="6">
      <c r="A6" s="167" t="n">
        <v>46197</v>
      </c>
      <c r="B6" t="n">
        <v>0.9997708</v>
      </c>
      <c r="C6" t="n">
        <v>0.99994096</v>
      </c>
    </row>
    <row r="7">
      <c r="A7" s="167" t="n">
        <v>46198</v>
      </c>
      <c r="B7" t="n">
        <v>1.00127827</v>
      </c>
      <c r="C7" t="n">
        <v>1.00128466</v>
      </c>
    </row>
    <row r="8">
      <c r="A8" s="167" t="n">
        <v>46199</v>
      </c>
      <c r="B8" t="n">
        <v>0.99893009</v>
      </c>
      <c r="C8" t="n">
        <v>0.99865014</v>
      </c>
    </row>
    <row r="9">
      <c r="A9" s="167" t="n">
        <v>46202</v>
      </c>
      <c r="B9" t="n">
        <v>1.00052151</v>
      </c>
      <c r="C9" t="n">
        <v>1.00125375</v>
      </c>
    </row>
    <row r="10">
      <c r="A10" s="167" t="n">
        <v>46203</v>
      </c>
      <c r="B10" t="n">
        <v>1.00271066</v>
      </c>
      <c r="C10" t="n">
        <v>1.00282146</v>
      </c>
    </row>
    <row r="11">
      <c r="A11" s="167" t="n">
        <v>46204</v>
      </c>
      <c r="B11" t="n">
        <v>0.99998488</v>
      </c>
      <c r="C11" t="n">
        <v>1.00169158</v>
      </c>
    </row>
    <row r="12">
      <c r="A12" s="167" t="n">
        <v>46205</v>
      </c>
      <c r="B12" t="n">
        <v>0.99402933</v>
      </c>
      <c r="C12" t="n">
        <v>0.99936768</v>
      </c>
    </row>
    <row r="13">
      <c r="A13" s="167" t="n">
        <v>46206</v>
      </c>
      <c r="B13" t="n">
        <v>0.99491237</v>
      </c>
      <c r="C13" t="n">
        <v>1.00074889</v>
      </c>
    </row>
    <row r="14">
      <c r="A14" s="167" t="n">
        <v>46209</v>
      </c>
      <c r="B14" t="n">
        <v>0.99396984</v>
      </c>
      <c r="C14" t="n">
        <v>0.99999342</v>
      </c>
    </row>
    <row r="15">
      <c r="A15" s="167" t="n">
        <v>46210</v>
      </c>
      <c r="B15" t="n">
        <v>0.9933648899999999</v>
      </c>
      <c r="C15" t="n">
        <v>0.99843127</v>
      </c>
    </row>
    <row r="16">
      <c r="A16" s="167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11"/>
  <sheetViews>
    <sheetView showGridLines="0" workbookViewId="0">
      <selection activeCell="C8" sqref="C8"/>
    </sheetView>
  </sheetViews>
  <sheetFormatPr baseColWidth="8" defaultRowHeight="14"/>
  <cols>
    <col width="16" customWidth="1" style="136" min="1" max="1"/>
    <col width="11" customWidth="1" style="136" min="2" max="24"/>
    <col width="9" customWidth="1" style="136" min="25" max="26"/>
    <col width="12" customWidth="1" style="136" min="27" max="27"/>
    <col width="8.7265625" customWidth="1" style="136" min="28" max="28"/>
    <col width="8.7265625" customWidth="1" style="136" min="29" max="16384"/>
  </cols>
  <sheetData>
    <row r="1" ht="19" customHeight="1" s="136">
      <c r="A1" s="158" t="inlineStr">
        <is>
          <t>持仓配置（实盘·初始权重）</t>
        </is>
      </c>
      <c r="B1" s="159" t="n"/>
      <c r="C1" s="159" t="n"/>
    </row>
    <row r="2" ht="39" customHeight="1" s="136">
      <c r="A2" s="145" t="inlineStr">
        <is>
          <t>基金简称</t>
        </is>
      </c>
      <c r="B2" s="47" t="inlineStr">
        <is>
          <t>华安黄金ETF联接A</t>
        </is>
      </c>
      <c r="C2" s="47" t="inlineStr">
        <is>
          <t>嘉实快线货币A</t>
        </is>
      </c>
      <c r="D2" s="47" t="inlineStr">
        <is>
          <t>宏利复兴混合A</t>
        </is>
      </c>
      <c r="E2" s="47" t="inlineStr">
        <is>
          <t>博道沪深300增强A</t>
        </is>
      </c>
      <c r="F2" s="47" t="inlineStr">
        <is>
          <t>博道沪深300指增C</t>
        </is>
      </c>
      <c r="G2" s="47" t="inlineStr">
        <is>
          <t>国泰通信设备ETF联接A</t>
        </is>
      </c>
      <c r="H2" s="47" t="inlineStr">
        <is>
          <t>国泰通信设备C</t>
        </is>
      </c>
      <c r="I2" s="47" t="inlineStr">
        <is>
          <t>嘉实前沿科技创新</t>
        </is>
      </c>
      <c r="J2" s="47" t="inlineStr">
        <is>
          <t>银华集成电路混合A</t>
        </is>
      </c>
      <c r="K2" s="47" t="inlineStr">
        <is>
          <t>银华集成电路混合C</t>
        </is>
      </c>
      <c r="L2" s="47" t="inlineStr">
        <is>
          <t>天弘中证1000指增A</t>
        </is>
      </c>
      <c r="M2" s="47" t="inlineStr">
        <is>
          <t>天弘中证1000指增C</t>
        </is>
      </c>
      <c r="N2" s="47" t="inlineStr">
        <is>
          <t>中欧中证500指增A</t>
        </is>
      </c>
      <c r="O2" s="47" t="inlineStr">
        <is>
          <t>中欧中证500指增C</t>
        </is>
      </c>
      <c r="P2" s="47" t="inlineStr">
        <is>
          <t>信澳业绩驱动A</t>
        </is>
      </c>
      <c r="Q2" s="47" t="inlineStr">
        <is>
          <t>嘉实信息产业A</t>
        </is>
      </c>
      <c r="R2" s="47" t="inlineStr">
        <is>
          <t>嘉实信息产业C</t>
        </is>
      </c>
      <c r="S2" s="47" t="inlineStr">
        <is>
          <t>宏利复兴伟业C</t>
        </is>
      </c>
      <c r="T2" s="47" t="inlineStr">
        <is>
          <t>国泰半导体材料设备ETF联接A</t>
        </is>
      </c>
      <c r="U2" s="47" t="inlineStr">
        <is>
          <t>国泰半导体材料设备C</t>
        </is>
      </c>
      <c r="V2" s="47" t="inlineStr">
        <is>
          <t>华泰柏瑞中证2000指增A</t>
        </is>
      </c>
      <c r="W2" s="47" t="inlineStr">
        <is>
          <t>华泰柏瑞中证2000指增C</t>
        </is>
      </c>
      <c r="X2" s="47" t="inlineStr">
        <is>
          <t>易方达中债新综指LOFA</t>
        </is>
      </c>
      <c r="Y2" s="145" t="inlineStr">
        <is>
          <t>合计</t>
        </is>
      </c>
      <c r="Z2" s="145" t="inlineStr">
        <is>
          <t>年化费率</t>
        </is>
      </c>
      <c r="AA2" s="145" t="inlineStr">
        <is>
          <t>净值起始日</t>
        </is>
      </c>
    </row>
    <row r="3">
      <c r="A3" s="145" t="inlineStr">
        <is>
          <t>基金代码</t>
        </is>
      </c>
      <c r="B3" s="48" t="inlineStr">
        <is>
          <t>000216.OF</t>
        </is>
      </c>
      <c r="C3" s="48" t="inlineStr">
        <is>
          <t>000917.OF</t>
        </is>
      </c>
      <c r="D3" s="48" t="inlineStr">
        <is>
          <t>001170.OF</t>
        </is>
      </c>
      <c r="E3" s="48" t="inlineStr">
        <is>
          <t>007044.OF</t>
        </is>
      </c>
      <c r="F3" s="48" t="inlineStr">
        <is>
          <t>007045.OF</t>
        </is>
      </c>
      <c r="G3" s="48" t="inlineStr">
        <is>
          <t>007817.OF</t>
        </is>
      </c>
      <c r="H3" s="48" t="inlineStr">
        <is>
          <t>007818.OF</t>
        </is>
      </c>
      <c r="I3" s="48" t="inlineStr">
        <is>
          <t>009993.OF</t>
        </is>
      </c>
      <c r="J3" s="48" t="inlineStr">
        <is>
          <t>013840.OF</t>
        </is>
      </c>
      <c r="K3" s="48" t="inlineStr">
        <is>
          <t>013841.OF</t>
        </is>
      </c>
      <c r="L3" s="48" t="inlineStr">
        <is>
          <t>014201.OF</t>
        </is>
      </c>
      <c r="M3" s="48" t="inlineStr">
        <is>
          <t>014202.OF</t>
        </is>
      </c>
      <c r="N3" s="48" t="inlineStr">
        <is>
          <t>015453.OF</t>
        </is>
      </c>
      <c r="O3" s="48" t="inlineStr">
        <is>
          <t>015454.OF</t>
        </is>
      </c>
      <c r="P3" s="48" t="inlineStr">
        <is>
          <t>016370.OF</t>
        </is>
      </c>
      <c r="Q3" s="48" t="inlineStr">
        <is>
          <t>017488.OF</t>
        </is>
      </c>
      <c r="R3" s="48" t="inlineStr">
        <is>
          <t>017489.OF</t>
        </is>
      </c>
      <c r="S3" s="48" t="inlineStr">
        <is>
          <t>017612.OF</t>
        </is>
      </c>
      <c r="T3" s="48" t="inlineStr">
        <is>
          <t>019632.OF</t>
        </is>
      </c>
      <c r="U3" s="48" t="inlineStr">
        <is>
          <t>019633.OF</t>
        </is>
      </c>
      <c r="V3" s="48" t="inlineStr">
        <is>
          <t>019923.OF</t>
        </is>
      </c>
      <c r="W3" s="48" t="inlineStr">
        <is>
          <t>019924.OF</t>
        </is>
      </c>
      <c r="X3" s="48" t="inlineStr">
        <is>
          <t>161119.OF</t>
        </is>
      </c>
      <c r="Y3" s="48" t="n"/>
      <c r="Z3" s="48" t="n"/>
      <c r="AA3" s="48" t="n"/>
    </row>
    <row r="4">
      <c r="A4" s="49" t="inlineStr">
        <is>
          <t>产业趋势 权重</t>
        </is>
      </c>
      <c r="B4" s="50" t="n">
        <v>0</v>
      </c>
      <c r="C4" s="50" t="n">
        <v>0.02</v>
      </c>
      <c r="D4" s="50" t="n">
        <v>0.19</v>
      </c>
      <c r="E4" s="50" t="n">
        <v>0</v>
      </c>
      <c r="F4" s="50" t="n">
        <v>0</v>
      </c>
      <c r="G4" s="50" t="n">
        <v>0.11</v>
      </c>
      <c r="H4" s="50" t="n">
        <v>0</v>
      </c>
      <c r="I4" s="50" t="n">
        <v>0</v>
      </c>
      <c r="J4" s="50" t="n">
        <v>0.19</v>
      </c>
      <c r="K4" s="50" t="n">
        <v>0</v>
      </c>
      <c r="L4" s="50" t="n">
        <v>0</v>
      </c>
      <c r="M4" s="50" t="n">
        <v>0</v>
      </c>
      <c r="N4" s="50" t="n">
        <v>0</v>
      </c>
      <c r="O4" s="50" t="n">
        <v>0</v>
      </c>
      <c r="P4" s="50" t="n">
        <v>0.19</v>
      </c>
      <c r="Q4" s="50" t="n">
        <v>0.19</v>
      </c>
      <c r="R4" s="50" t="n">
        <v>0</v>
      </c>
      <c r="S4" s="50" t="n">
        <v>0</v>
      </c>
      <c r="T4" s="50" t="n">
        <v>0.11</v>
      </c>
      <c r="U4" s="50" t="n">
        <v>0</v>
      </c>
      <c r="V4" s="50" t="n">
        <v>0</v>
      </c>
      <c r="W4" s="50" t="n">
        <v>0</v>
      </c>
      <c r="X4" s="50" t="n">
        <v>0</v>
      </c>
      <c r="Y4" s="178">
        <f>SUM(B4:X4)</f>
        <v/>
      </c>
      <c r="Z4" s="163" t="n">
        <v>0.015</v>
      </c>
      <c r="AA4" s="179" t="n">
        <v>46195</v>
      </c>
    </row>
    <row r="5">
      <c r="A5" s="49" t="inlineStr">
        <is>
          <t>产业趋势基石 权重</t>
        </is>
      </c>
      <c r="B5" s="50" t="n">
        <v>0</v>
      </c>
      <c r="C5" s="50" t="n">
        <v>0.02</v>
      </c>
      <c r="D5" s="50" t="n">
        <v>0.19</v>
      </c>
      <c r="E5" s="50" t="n">
        <v>0</v>
      </c>
      <c r="F5" s="50" t="n">
        <v>0</v>
      </c>
      <c r="G5" s="50" t="n">
        <v>0.11</v>
      </c>
      <c r="H5" s="50" t="n">
        <v>0</v>
      </c>
      <c r="I5" s="50" t="n">
        <v>0</v>
      </c>
      <c r="J5" s="50" t="n">
        <v>0.19</v>
      </c>
      <c r="K5" s="50" t="n">
        <v>0</v>
      </c>
      <c r="L5" s="50" t="n">
        <v>0</v>
      </c>
      <c r="M5" s="50" t="n">
        <v>0</v>
      </c>
      <c r="N5" s="50" t="n">
        <v>0</v>
      </c>
      <c r="O5" s="50" t="n">
        <v>0</v>
      </c>
      <c r="P5" s="50" t="n">
        <v>0.19</v>
      </c>
      <c r="Q5" s="50" t="n">
        <v>0.19</v>
      </c>
      <c r="R5" s="50" t="n">
        <v>0</v>
      </c>
      <c r="S5" s="50" t="n">
        <v>0</v>
      </c>
      <c r="T5" s="50" t="n">
        <v>0.11</v>
      </c>
      <c r="U5" s="50" t="n">
        <v>0</v>
      </c>
      <c r="V5" s="50" t="n">
        <v>0</v>
      </c>
      <c r="W5" s="50" t="n">
        <v>0</v>
      </c>
      <c r="X5" s="50" t="n">
        <v>0</v>
      </c>
      <c r="Y5" s="178">
        <f>SUM(B5:X5)</f>
        <v/>
      </c>
      <c r="Z5" s="163" t="n">
        <v>0.012</v>
      </c>
      <c r="AA5" s="179" t="n">
        <v>46191</v>
      </c>
    </row>
    <row r="6">
      <c r="A6" s="49" t="inlineStr">
        <is>
          <t>产业趋势2号 权重</t>
        </is>
      </c>
      <c r="B6" s="50" t="n">
        <v>0</v>
      </c>
      <c r="C6" s="50" t="n">
        <v>0.02</v>
      </c>
      <c r="D6" s="50" t="n">
        <v>0</v>
      </c>
      <c r="E6" s="50" t="n">
        <v>0</v>
      </c>
      <c r="F6" s="50" t="n">
        <v>0</v>
      </c>
      <c r="G6" s="50" t="n">
        <v>0</v>
      </c>
      <c r="H6" s="50" t="n">
        <v>0.11</v>
      </c>
      <c r="I6" s="50" t="n">
        <v>0.19</v>
      </c>
      <c r="J6" s="50" t="n">
        <v>0</v>
      </c>
      <c r="K6" s="50" t="n">
        <v>0.19</v>
      </c>
      <c r="L6" s="50" t="n">
        <v>0</v>
      </c>
      <c r="M6" s="50" t="n">
        <v>0</v>
      </c>
      <c r="N6" s="50" t="n">
        <v>0</v>
      </c>
      <c r="O6" s="50" t="n">
        <v>0</v>
      </c>
      <c r="P6" s="50" t="n">
        <v>0</v>
      </c>
      <c r="Q6" s="50" t="n">
        <v>0</v>
      </c>
      <c r="R6" s="50" t="n">
        <v>0.19</v>
      </c>
      <c r="S6" s="50" t="n">
        <v>0.19</v>
      </c>
      <c r="T6" s="50" t="n">
        <v>0</v>
      </c>
      <c r="U6" s="50" t="n">
        <v>0.11</v>
      </c>
      <c r="V6" s="50" t="n">
        <v>0</v>
      </c>
      <c r="W6" s="50" t="n">
        <v>0</v>
      </c>
      <c r="X6" s="50" t="n">
        <v>0</v>
      </c>
      <c r="Y6" s="178">
        <f>SUM(B6:X6)</f>
        <v/>
      </c>
      <c r="Z6" s="163" t="n">
        <v>0.015</v>
      </c>
      <c r="AA6" s="179" t="n">
        <v>46196</v>
      </c>
    </row>
    <row r="7">
      <c r="A7" s="49" t="inlineStr">
        <is>
          <t>10-90 权重</t>
        </is>
      </c>
      <c r="B7" s="50" t="n">
        <v>0.05</v>
      </c>
      <c r="C7" s="50" t="n">
        <v>0.02</v>
      </c>
      <c r="D7" s="50" t="n">
        <v>0</v>
      </c>
      <c r="E7" s="50" t="n">
        <v>0</v>
      </c>
      <c r="F7" s="50" t="n">
        <v>0.0125</v>
      </c>
      <c r="G7" s="50" t="n">
        <v>0</v>
      </c>
      <c r="H7" s="50" t="n">
        <v>0.005</v>
      </c>
      <c r="I7" s="50" t="n">
        <v>0.01</v>
      </c>
      <c r="J7" s="50" t="n">
        <v>0</v>
      </c>
      <c r="K7" s="50" t="n">
        <v>0.01</v>
      </c>
      <c r="L7" s="50" t="n">
        <v>0</v>
      </c>
      <c r="M7" s="50" t="n">
        <v>0.0125</v>
      </c>
      <c r="N7" s="50" t="n">
        <v>0</v>
      </c>
      <c r="O7" s="50" t="n">
        <v>0.0125</v>
      </c>
      <c r="P7" s="50" t="n">
        <v>0</v>
      </c>
      <c r="Q7" s="50" t="n">
        <v>0</v>
      </c>
      <c r="R7" s="50" t="n">
        <v>0.01</v>
      </c>
      <c r="S7" s="50" t="n">
        <v>0.01</v>
      </c>
      <c r="T7" s="50" t="n">
        <v>0</v>
      </c>
      <c r="U7" s="50" t="n">
        <v>0.005</v>
      </c>
      <c r="V7" s="50" t="n">
        <v>0</v>
      </c>
      <c r="W7" s="50" t="n">
        <v>0.0125</v>
      </c>
      <c r="X7" s="50" t="n">
        <v>0.83</v>
      </c>
      <c r="Y7" s="178">
        <f>SUM(B7:X7)</f>
        <v/>
      </c>
      <c r="Z7" s="163" t="n">
        <v>0.008</v>
      </c>
      <c r="AA7" s="179" t="n">
        <v>46197</v>
      </c>
    </row>
    <row r="8">
      <c r="A8" s="49" t="inlineStr">
        <is>
          <t>10-90基石 权重</t>
        </is>
      </c>
      <c r="B8" s="50" t="n">
        <v>0.05</v>
      </c>
      <c r="C8" s="50" t="n">
        <v>0.02</v>
      </c>
      <c r="D8" s="50" t="n">
        <v>0.01</v>
      </c>
      <c r="E8" s="50" t="n">
        <v>0.0125</v>
      </c>
      <c r="F8" s="50" t="n">
        <v>0</v>
      </c>
      <c r="G8" s="50" t="n">
        <v>0.005</v>
      </c>
      <c r="H8" s="50" t="n">
        <v>0</v>
      </c>
      <c r="I8" s="50" t="n">
        <v>0</v>
      </c>
      <c r="J8" s="50" t="n">
        <v>0.01</v>
      </c>
      <c r="K8" s="50" t="n">
        <v>0</v>
      </c>
      <c r="L8" s="50" t="n">
        <v>0.0125</v>
      </c>
      <c r="M8" s="50" t="n">
        <v>0</v>
      </c>
      <c r="N8" s="50" t="n">
        <v>0.0125</v>
      </c>
      <c r="O8" s="50" t="n">
        <v>0</v>
      </c>
      <c r="P8" s="50" t="n">
        <v>0.01</v>
      </c>
      <c r="Q8" s="50" t="n">
        <v>0.01</v>
      </c>
      <c r="R8" s="50" t="n">
        <v>0</v>
      </c>
      <c r="S8" s="50" t="n">
        <v>0</v>
      </c>
      <c r="T8" s="50" t="n">
        <v>0.005</v>
      </c>
      <c r="U8" s="50" t="n">
        <v>0</v>
      </c>
      <c r="V8" s="50" t="n">
        <v>0.0125</v>
      </c>
      <c r="W8" s="50" t="n">
        <v>0</v>
      </c>
      <c r="X8" s="50" t="n">
        <v>0.83</v>
      </c>
      <c r="Y8" s="178">
        <f>SUM(B8:X8)</f>
        <v/>
      </c>
      <c r="Z8" s="163" t="n">
        <v>0.005</v>
      </c>
      <c r="AA8" s="179" t="n">
        <v>46191</v>
      </c>
    </row>
    <row r="9">
      <c r="A9" s="49" t="inlineStr">
        <is>
          <t>30-70 权重</t>
        </is>
      </c>
      <c r="B9" s="50" t="n">
        <v>0.1</v>
      </c>
      <c r="C9" s="50" t="n">
        <v>0.02</v>
      </c>
      <c r="D9" s="50" t="n">
        <v>0</v>
      </c>
      <c r="E9" s="50" t="n">
        <v>0</v>
      </c>
      <c r="F9" s="50" t="n">
        <v>0.03750000000000001</v>
      </c>
      <c r="G9" s="50" t="n">
        <v>0</v>
      </c>
      <c r="H9" s="50" t="n">
        <v>0.015</v>
      </c>
      <c r="I9" s="50" t="n">
        <v>0.03</v>
      </c>
      <c r="J9" s="50" t="n">
        <v>0</v>
      </c>
      <c r="K9" s="50" t="n">
        <v>0.03</v>
      </c>
      <c r="L9" s="50" t="n">
        <v>0</v>
      </c>
      <c r="M9" s="50" t="n">
        <v>0.03750000000000001</v>
      </c>
      <c r="N9" s="50" t="n">
        <v>0</v>
      </c>
      <c r="O9" s="50" t="n">
        <v>0.03750000000000001</v>
      </c>
      <c r="P9" s="50" t="n">
        <v>0</v>
      </c>
      <c r="Q9" s="50" t="n">
        <v>0</v>
      </c>
      <c r="R9" s="50" t="n">
        <v>0.03</v>
      </c>
      <c r="S9" s="50" t="n">
        <v>0.03</v>
      </c>
      <c r="T9" s="50" t="n">
        <v>0</v>
      </c>
      <c r="U9" s="50" t="n">
        <v>0.015</v>
      </c>
      <c r="V9" s="50" t="n">
        <v>0</v>
      </c>
      <c r="W9" s="50" t="n">
        <v>0.03750000000000001</v>
      </c>
      <c r="X9" s="50" t="n">
        <v>0.58</v>
      </c>
      <c r="Y9" s="178">
        <f>SUM(B9:X9)</f>
        <v/>
      </c>
      <c r="Z9" s="163" t="n">
        <v>0.012</v>
      </c>
      <c r="AA9" s="179" t="n">
        <v>46197</v>
      </c>
    </row>
    <row r="11" ht="14.5" customHeight="1" s="136">
      <c r="A11" s="144" t="inlineStr">
        <is>
          <t>权重蓝色输入；Z列为各组合年化费率、AA列为各组合净值起始日(当日净值=1)。新增交易日下拉填充，下游净值与看板自动重算。</t>
        </is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60"/>
  <sheetViews>
    <sheetView showGridLines="0" workbookViewId="0">
      <selection activeCell="I36" sqref="I36"/>
    </sheetView>
  </sheetViews>
  <sheetFormatPr baseColWidth="8" defaultRowHeight="14"/>
  <cols>
    <col width="12" customWidth="1" style="136" min="1" max="1"/>
    <col width="8.7265625" customWidth="1" style="136" min="2" max="2"/>
    <col width="8.7265625" customWidth="1" style="136" min="3" max="16384"/>
  </cols>
  <sheetData>
    <row r="1" ht="19.5" customHeight="1" s="136">
      <c r="A1" s="160" t="inlineStr">
        <is>
          <t>净值数据 * 实盘</t>
        </is>
      </c>
    </row>
    <row r="2">
      <c r="A2" s="133">
        <f>TODAY()</f>
        <v/>
      </c>
    </row>
    <row r="3" ht="25" customHeight="1" s="136">
      <c r="A3" s="145" t="inlineStr">
        <is>
          <t>基金代码→</t>
        </is>
      </c>
      <c r="B3" s="51">
        <f>实盘持仓配置!B3</f>
        <v/>
      </c>
      <c r="C3" s="51">
        <f>实盘持仓配置!C3</f>
        <v/>
      </c>
      <c r="D3" s="51">
        <f>实盘持仓配置!D3</f>
        <v/>
      </c>
      <c r="E3" s="51">
        <f>实盘持仓配置!E3</f>
        <v/>
      </c>
      <c r="F3" s="51">
        <f>实盘持仓配置!F3</f>
        <v/>
      </c>
      <c r="G3" s="51">
        <f>实盘持仓配置!G3</f>
        <v/>
      </c>
      <c r="H3" s="51">
        <f>实盘持仓配置!H3</f>
        <v/>
      </c>
      <c r="I3" s="51">
        <f>实盘持仓配置!I3</f>
        <v/>
      </c>
      <c r="J3" s="51">
        <f>实盘持仓配置!J3</f>
        <v/>
      </c>
      <c r="K3" s="51">
        <f>实盘持仓配置!K3</f>
        <v/>
      </c>
      <c r="L3" s="51">
        <f>实盘持仓配置!L3</f>
        <v/>
      </c>
      <c r="M3" s="51">
        <f>实盘持仓配置!M3</f>
        <v/>
      </c>
      <c r="N3" s="51">
        <f>实盘持仓配置!N3</f>
        <v/>
      </c>
      <c r="O3" s="51">
        <f>实盘持仓配置!O3</f>
        <v/>
      </c>
      <c r="P3" s="51">
        <f>实盘持仓配置!P3</f>
        <v/>
      </c>
      <c r="Q3" s="51">
        <f>实盘持仓配置!Q3</f>
        <v/>
      </c>
      <c r="R3" s="51">
        <f>实盘持仓配置!R3</f>
        <v/>
      </c>
      <c r="S3" s="51">
        <f>实盘持仓配置!S3</f>
        <v/>
      </c>
      <c r="T3" s="51">
        <f>实盘持仓配置!T3</f>
        <v/>
      </c>
      <c r="U3" s="51">
        <f>实盘持仓配置!U3</f>
        <v/>
      </c>
      <c r="V3" s="51">
        <f>实盘持仓配置!V3</f>
        <v/>
      </c>
      <c r="W3" s="51">
        <f>实盘持仓配置!W3</f>
        <v/>
      </c>
      <c r="X3" s="51">
        <f>实盘持仓配置!X3</f>
        <v/>
      </c>
    </row>
    <row r="4" ht="52" customHeight="1" s="136">
      <c r="A4" s="145">
        <f>[1]!HX_AutoDate(1,"2026-06-18",A2,-1,-1,0,0,0,0,0,"SSE",14,0)</f>
        <v/>
      </c>
      <c r="B4" s="47" t="inlineStr">
        <is>
          <t>华安黄金ETF联接A</t>
        </is>
      </c>
      <c r="C4" s="47" t="inlineStr">
        <is>
          <t>嘉实快线货币A</t>
        </is>
      </c>
      <c r="D4" s="47" t="inlineStr">
        <is>
          <t>宏利复兴混合A</t>
        </is>
      </c>
      <c r="E4" s="47" t="inlineStr">
        <is>
          <t>博道沪深300增强A</t>
        </is>
      </c>
      <c r="F4" s="47" t="inlineStr">
        <is>
          <t>博道沪深300指增C</t>
        </is>
      </c>
      <c r="G4" s="47" t="inlineStr">
        <is>
          <t>国泰通信设备ETF联接A</t>
        </is>
      </c>
      <c r="H4" s="47" t="inlineStr">
        <is>
          <t>国泰通信设备C</t>
        </is>
      </c>
      <c r="I4" s="47" t="inlineStr">
        <is>
          <t>嘉实前沿科技创新</t>
        </is>
      </c>
      <c r="J4" s="47" t="inlineStr">
        <is>
          <t>银华集成电路混合A</t>
        </is>
      </c>
      <c r="K4" s="47" t="inlineStr">
        <is>
          <t>银华集成电路混合C</t>
        </is>
      </c>
      <c r="L4" s="47" t="inlineStr">
        <is>
          <t>天弘中证1000指增A</t>
        </is>
      </c>
      <c r="M4" s="47" t="inlineStr">
        <is>
          <t>天弘中证1000指增C</t>
        </is>
      </c>
      <c r="N4" s="47" t="inlineStr">
        <is>
          <t>中欧中证500指增A</t>
        </is>
      </c>
      <c r="O4" s="47" t="inlineStr">
        <is>
          <t>中欧中证500指增C</t>
        </is>
      </c>
      <c r="P4" s="47" t="inlineStr">
        <is>
          <t>信澳业绩驱动A</t>
        </is>
      </c>
      <c r="Q4" s="47" t="inlineStr">
        <is>
          <t>嘉实信息产业A</t>
        </is>
      </c>
      <c r="R4" s="47" t="inlineStr">
        <is>
          <t>嘉实信息产业C</t>
        </is>
      </c>
      <c r="S4" s="47" t="inlineStr">
        <is>
          <t>宏利复兴伟业C</t>
        </is>
      </c>
      <c r="T4" s="47" t="inlineStr">
        <is>
          <t>国泰半导体材料设备ETF联接A</t>
        </is>
      </c>
      <c r="U4" s="47" t="inlineStr">
        <is>
          <t>国泰半导体材料设备C</t>
        </is>
      </c>
      <c r="V4" s="47" t="inlineStr">
        <is>
          <t>华泰柏瑞中证2000指增A</t>
        </is>
      </c>
      <c r="W4" s="47" t="inlineStr">
        <is>
          <t>华泰柏瑞中证2000指增C</t>
        </is>
      </c>
      <c r="X4" s="47" t="inlineStr">
        <is>
          <t>易方达中债新综指LOFA</t>
        </is>
      </c>
    </row>
    <row r="5">
      <c r="A5" s="179" t="n">
        <v>46191</v>
      </c>
      <c r="B5" s="180">
        <f>IF($A5="","",[1]!thsiFinD("ths_adjustment_nv_fund",B$3,$A5))</f>
        <v/>
      </c>
      <c r="C5" s="180">
        <f>IF($A5="","",[1]!thsiFinD("ths_adjustment_nv_fund",C$3,$A5))</f>
        <v/>
      </c>
      <c r="D5" s="180">
        <f>IF($A5="","",[1]!thsiFinD("ths_adjustment_nv_fund",D$3,$A5))</f>
        <v/>
      </c>
      <c r="E5" s="180">
        <f>IF($A5="","",[1]!thsiFinD("ths_adjustment_nv_fund",E$3,$A5))</f>
        <v/>
      </c>
      <c r="F5" s="180">
        <f>IF($A5="","",[1]!thsiFinD("ths_adjustment_nv_fund",F$3,$A5))</f>
        <v/>
      </c>
      <c r="G5" s="180">
        <f>IF($A5="","",[1]!thsiFinD("ths_adjustment_nv_fund",G$3,$A5))</f>
        <v/>
      </c>
      <c r="H5" s="180">
        <f>IF($A5="","",[1]!thsiFinD("ths_adjustment_nv_fund",H$3,$A5))</f>
        <v/>
      </c>
      <c r="I5" s="180">
        <f>IF($A5="","",[1]!thsiFinD("ths_adjustment_nv_fund",I$3,$A5))</f>
        <v/>
      </c>
      <c r="J5" s="180">
        <f>IF($A5="","",[1]!thsiFinD("ths_adjustment_nv_fund",J$3,$A5))</f>
        <v/>
      </c>
      <c r="K5" s="180">
        <f>IF($A5="","",[1]!thsiFinD("ths_adjustment_nv_fund",K$3,$A5))</f>
        <v/>
      </c>
      <c r="L5" s="180">
        <f>IF($A5="","",[1]!thsiFinD("ths_adjustment_nv_fund",L$3,$A5))</f>
        <v/>
      </c>
      <c r="M5" s="180">
        <f>IF($A5="","",[1]!thsiFinD("ths_adjustment_nv_fund",M$3,$A5))</f>
        <v/>
      </c>
      <c r="N5" s="180">
        <f>IF($A5="","",[1]!thsiFinD("ths_adjustment_nv_fund",N$3,$A5))</f>
        <v/>
      </c>
      <c r="O5" s="180">
        <f>IF($A5="","",[1]!thsiFinD("ths_adjustment_nv_fund",O$3,$A5))</f>
        <v/>
      </c>
      <c r="P5" s="180">
        <f>IF($A5="","",[1]!thsiFinD("ths_adjustment_nv_fund",P$3,$A5))</f>
        <v/>
      </c>
      <c r="Q5" s="180">
        <f>IF($A5="","",[1]!thsiFinD("ths_adjustment_nv_fund",Q$3,$A5))</f>
        <v/>
      </c>
      <c r="R5" s="180">
        <f>IF($A5="","",[1]!thsiFinD("ths_adjustment_nv_fund",R$3,$A5))</f>
        <v/>
      </c>
      <c r="S5" s="180">
        <f>IF($A5="","",[1]!thsiFinD("ths_adjustment_nv_fund",S$3,$A5))</f>
        <v/>
      </c>
      <c r="T5" s="180">
        <f>IF($A5="","",[1]!thsiFinD("ths_adjustment_nv_fund",T$3,$A5))</f>
        <v/>
      </c>
      <c r="U5" s="180">
        <f>IF($A5="","",[1]!thsiFinD("ths_adjustment_nv_fund",U$3,$A5))</f>
        <v/>
      </c>
      <c r="V5" s="180">
        <f>IF($A5="","",[1]!thsiFinD("ths_adjustment_nv_fund",V$3,$A5))</f>
        <v/>
      </c>
      <c r="W5" s="180">
        <f>IF($A5="","",[1]!thsiFinD("ths_adjustment_nv_fund",W$3,$A5))</f>
        <v/>
      </c>
      <c r="X5" s="180">
        <f>IF($A5="","",[1]!thsiFinD("ths_adjustment_nv_fund",X$3,$A5))</f>
        <v/>
      </c>
    </row>
    <row r="6">
      <c r="A6" s="179" t="n">
        <v>46195</v>
      </c>
      <c r="B6" s="180">
        <f>IF($A6="","",[1]!thsiFinD("ths_adjustment_nv_fund",B$3,$A6))</f>
        <v/>
      </c>
      <c r="C6" s="180">
        <f>IF($A6="","",[1]!thsiFinD("ths_adjustment_nv_fund",C$3,$A6))</f>
        <v/>
      </c>
      <c r="D6" s="180">
        <f>IF($A6="","",[1]!thsiFinD("ths_adjustment_nv_fund",D$3,$A6))</f>
        <v/>
      </c>
      <c r="E6" s="180">
        <f>IF($A6="","",[1]!thsiFinD("ths_adjustment_nv_fund",E$3,$A6))</f>
        <v/>
      </c>
      <c r="F6" s="180">
        <f>IF($A6="","",[1]!thsiFinD("ths_adjustment_nv_fund",F$3,$A6))</f>
        <v/>
      </c>
      <c r="G6" s="180">
        <f>IF($A6="","",[1]!thsiFinD("ths_adjustment_nv_fund",G$3,$A6))</f>
        <v/>
      </c>
      <c r="H6" s="180">
        <f>IF($A6="","",[1]!thsiFinD("ths_adjustment_nv_fund",H$3,$A6))</f>
        <v/>
      </c>
      <c r="I6" s="180">
        <f>IF($A6="","",[1]!thsiFinD("ths_adjustment_nv_fund",I$3,$A6))</f>
        <v/>
      </c>
      <c r="J6" s="180">
        <f>IF($A6="","",[1]!thsiFinD("ths_adjustment_nv_fund",J$3,$A6))</f>
        <v/>
      </c>
      <c r="K6" s="180">
        <f>IF($A6="","",[1]!thsiFinD("ths_adjustment_nv_fund",K$3,$A6))</f>
        <v/>
      </c>
      <c r="L6" s="180">
        <f>IF($A6="","",[1]!thsiFinD("ths_adjustment_nv_fund",L$3,$A6))</f>
        <v/>
      </c>
      <c r="M6" s="180">
        <f>IF($A6="","",[1]!thsiFinD("ths_adjustment_nv_fund",M$3,$A6))</f>
        <v/>
      </c>
      <c r="N6" s="180">
        <f>IF($A6="","",[1]!thsiFinD("ths_adjustment_nv_fund",N$3,$A6))</f>
        <v/>
      </c>
      <c r="O6" s="180">
        <f>IF($A6="","",[1]!thsiFinD("ths_adjustment_nv_fund",O$3,$A6))</f>
        <v/>
      </c>
      <c r="P6" s="180">
        <f>IF($A6="","",[1]!thsiFinD("ths_adjustment_nv_fund",P$3,$A6))</f>
        <v/>
      </c>
      <c r="Q6" s="180">
        <f>IF($A6="","",[1]!thsiFinD("ths_adjustment_nv_fund",Q$3,$A6))</f>
        <v/>
      </c>
      <c r="R6" s="180">
        <f>IF($A6="","",[1]!thsiFinD("ths_adjustment_nv_fund",R$3,$A6))</f>
        <v/>
      </c>
      <c r="S6" s="180">
        <f>IF($A6="","",[1]!thsiFinD("ths_adjustment_nv_fund",S$3,$A6))</f>
        <v/>
      </c>
      <c r="T6" s="180">
        <f>IF($A6="","",[1]!thsiFinD("ths_adjustment_nv_fund",T$3,$A6))</f>
        <v/>
      </c>
      <c r="U6" s="180">
        <f>IF($A6="","",[1]!thsiFinD("ths_adjustment_nv_fund",U$3,$A6))</f>
        <v/>
      </c>
      <c r="V6" s="180">
        <f>IF($A6="","",[1]!thsiFinD("ths_adjustment_nv_fund",V$3,$A6))</f>
        <v/>
      </c>
      <c r="W6" s="180">
        <f>IF($A6="","",[1]!thsiFinD("ths_adjustment_nv_fund",W$3,$A6))</f>
        <v/>
      </c>
      <c r="X6" s="180">
        <f>IF($A6="","",[1]!thsiFinD("ths_adjustment_nv_fund",X$3,$A6))</f>
        <v/>
      </c>
    </row>
    <row r="7">
      <c r="A7" s="179" t="n">
        <v>46196</v>
      </c>
      <c r="B7" s="180">
        <f>IF($A7="","",[1]!thsiFinD("ths_adjustment_nv_fund",B$3,$A7))</f>
        <v/>
      </c>
      <c r="C7" s="180">
        <f>IF($A7="","",[1]!thsiFinD("ths_adjustment_nv_fund",C$3,$A7))</f>
        <v/>
      </c>
      <c r="D7" s="180">
        <f>IF($A7="","",[1]!thsiFinD("ths_adjustment_nv_fund",D$3,$A7))</f>
        <v/>
      </c>
      <c r="E7" s="180">
        <f>IF($A7="","",[1]!thsiFinD("ths_adjustment_nv_fund",E$3,$A7))</f>
        <v/>
      </c>
      <c r="F7" s="180">
        <f>IF($A7="","",[1]!thsiFinD("ths_adjustment_nv_fund",F$3,$A7))</f>
        <v/>
      </c>
      <c r="G7" s="180">
        <f>IF($A7="","",[1]!thsiFinD("ths_adjustment_nv_fund",G$3,$A7))</f>
        <v/>
      </c>
      <c r="H7" s="180">
        <f>IF($A7="","",[1]!thsiFinD("ths_adjustment_nv_fund",H$3,$A7))</f>
        <v/>
      </c>
      <c r="I7" s="180">
        <f>IF($A7="","",[1]!thsiFinD("ths_adjustment_nv_fund",I$3,$A7))</f>
        <v/>
      </c>
      <c r="J7" s="180">
        <f>IF($A7="","",[1]!thsiFinD("ths_adjustment_nv_fund",J$3,$A7))</f>
        <v/>
      </c>
      <c r="K7" s="180">
        <f>IF($A7="","",[1]!thsiFinD("ths_adjustment_nv_fund",K$3,$A7))</f>
        <v/>
      </c>
      <c r="L7" s="180">
        <f>IF($A7="","",[1]!thsiFinD("ths_adjustment_nv_fund",L$3,$A7))</f>
        <v/>
      </c>
      <c r="M7" s="180">
        <f>IF($A7="","",[1]!thsiFinD("ths_adjustment_nv_fund",M$3,$A7))</f>
        <v/>
      </c>
      <c r="N7" s="180">
        <f>IF($A7="","",[1]!thsiFinD("ths_adjustment_nv_fund",N$3,$A7))</f>
        <v/>
      </c>
      <c r="O7" s="180">
        <f>IF($A7="","",[1]!thsiFinD("ths_adjustment_nv_fund",O$3,$A7))</f>
        <v/>
      </c>
      <c r="P7" s="180">
        <f>IF($A7="","",[1]!thsiFinD("ths_adjustment_nv_fund",P$3,$A7))</f>
        <v/>
      </c>
      <c r="Q7" s="180">
        <f>IF($A7="","",[1]!thsiFinD("ths_adjustment_nv_fund",Q$3,$A7))</f>
        <v/>
      </c>
      <c r="R7" s="180">
        <f>IF($A7="","",[1]!thsiFinD("ths_adjustment_nv_fund",R$3,$A7))</f>
        <v/>
      </c>
      <c r="S7" s="180">
        <f>IF($A7="","",[1]!thsiFinD("ths_adjustment_nv_fund",S$3,$A7))</f>
        <v/>
      </c>
      <c r="T7" s="180">
        <f>IF($A7="","",[1]!thsiFinD("ths_adjustment_nv_fund",T$3,$A7))</f>
        <v/>
      </c>
      <c r="U7" s="180">
        <f>IF($A7="","",[1]!thsiFinD("ths_adjustment_nv_fund",U$3,$A7))</f>
        <v/>
      </c>
      <c r="V7" s="180">
        <f>IF($A7="","",[1]!thsiFinD("ths_adjustment_nv_fund",V$3,$A7))</f>
        <v/>
      </c>
      <c r="W7" s="180">
        <f>IF($A7="","",[1]!thsiFinD("ths_adjustment_nv_fund",W$3,$A7))</f>
        <v/>
      </c>
      <c r="X7" s="180">
        <f>IF($A7="","",[1]!thsiFinD("ths_adjustment_nv_fund",X$3,$A7))</f>
        <v/>
      </c>
    </row>
    <row r="8">
      <c r="A8" s="179" t="n">
        <v>46197</v>
      </c>
      <c r="B8" s="180">
        <f>IF($A8="","",[1]!thsiFinD("ths_adjustment_nv_fund",B$3,$A8))</f>
        <v/>
      </c>
      <c r="C8" s="180">
        <f>IF($A8="","",[1]!thsiFinD("ths_adjustment_nv_fund",C$3,$A8))</f>
        <v/>
      </c>
      <c r="D8" s="180">
        <f>IF($A8="","",[1]!thsiFinD("ths_adjustment_nv_fund",D$3,$A8))</f>
        <v/>
      </c>
      <c r="E8" s="180">
        <f>IF($A8="","",[1]!thsiFinD("ths_adjustment_nv_fund",E$3,$A8))</f>
        <v/>
      </c>
      <c r="F8" s="180">
        <f>IF($A8="","",[1]!thsiFinD("ths_adjustment_nv_fund",F$3,$A8))</f>
        <v/>
      </c>
      <c r="G8" s="180">
        <f>IF($A8="","",[1]!thsiFinD("ths_adjustment_nv_fund",G$3,$A8))</f>
        <v/>
      </c>
      <c r="H8" s="180">
        <f>IF($A8="","",[1]!thsiFinD("ths_adjustment_nv_fund",H$3,$A8))</f>
        <v/>
      </c>
      <c r="I8" s="180">
        <f>IF($A8="","",[1]!thsiFinD("ths_adjustment_nv_fund",I$3,$A8))</f>
        <v/>
      </c>
      <c r="J8" s="180">
        <f>IF($A8="","",[1]!thsiFinD("ths_adjustment_nv_fund",J$3,$A8))</f>
        <v/>
      </c>
      <c r="K8" s="180">
        <f>IF($A8="","",[1]!thsiFinD("ths_adjustment_nv_fund",K$3,$A8))</f>
        <v/>
      </c>
      <c r="L8" s="180">
        <f>IF($A8="","",[1]!thsiFinD("ths_adjustment_nv_fund",L$3,$A8))</f>
        <v/>
      </c>
      <c r="M8" s="180">
        <f>IF($A8="","",[1]!thsiFinD("ths_adjustment_nv_fund",M$3,$A8))</f>
        <v/>
      </c>
      <c r="N8" s="180">
        <f>IF($A8="","",[1]!thsiFinD("ths_adjustment_nv_fund",N$3,$A8))</f>
        <v/>
      </c>
      <c r="O8" s="180">
        <f>IF($A8="","",[1]!thsiFinD("ths_adjustment_nv_fund",O$3,$A8))</f>
        <v/>
      </c>
      <c r="P8" s="180">
        <f>IF($A8="","",[1]!thsiFinD("ths_adjustment_nv_fund",P$3,$A8))</f>
        <v/>
      </c>
      <c r="Q8" s="180">
        <f>IF($A8="","",[1]!thsiFinD("ths_adjustment_nv_fund",Q$3,$A8))</f>
        <v/>
      </c>
      <c r="R8" s="180">
        <f>IF($A8="","",[1]!thsiFinD("ths_adjustment_nv_fund",R$3,$A8))</f>
        <v/>
      </c>
      <c r="S8" s="180">
        <f>IF($A8="","",[1]!thsiFinD("ths_adjustment_nv_fund",S$3,$A8))</f>
        <v/>
      </c>
      <c r="T8" s="180">
        <f>IF($A8="","",[1]!thsiFinD("ths_adjustment_nv_fund",T$3,$A8))</f>
        <v/>
      </c>
      <c r="U8" s="180">
        <f>IF($A8="","",[1]!thsiFinD("ths_adjustment_nv_fund",U$3,$A8))</f>
        <v/>
      </c>
      <c r="V8" s="180">
        <f>IF($A8="","",[1]!thsiFinD("ths_adjustment_nv_fund",V$3,$A8))</f>
        <v/>
      </c>
      <c r="W8" s="180">
        <f>IF($A8="","",[1]!thsiFinD("ths_adjustment_nv_fund",W$3,$A8))</f>
        <v/>
      </c>
      <c r="X8" s="180">
        <f>IF($A8="","",[1]!thsiFinD("ths_adjustment_nv_fund",X$3,$A8))</f>
        <v/>
      </c>
    </row>
    <row r="9">
      <c r="A9" s="179" t="n">
        <v>46198</v>
      </c>
      <c r="B9" s="180">
        <f>IF($A9="","",[1]!thsiFinD("ths_adjustment_nv_fund",B$3,$A9))</f>
        <v/>
      </c>
      <c r="C9" s="180">
        <f>IF($A9="","",[1]!thsiFinD("ths_adjustment_nv_fund",C$3,$A9))</f>
        <v/>
      </c>
      <c r="D9" s="180">
        <f>IF($A9="","",[1]!thsiFinD("ths_adjustment_nv_fund",D$3,$A9))</f>
        <v/>
      </c>
      <c r="E9" s="180">
        <f>IF($A9="","",[1]!thsiFinD("ths_adjustment_nv_fund",E$3,$A9))</f>
        <v/>
      </c>
      <c r="F9" s="180">
        <f>IF($A9="","",[1]!thsiFinD("ths_adjustment_nv_fund",F$3,$A9))</f>
        <v/>
      </c>
      <c r="G9" s="180">
        <f>IF($A9="","",[1]!thsiFinD("ths_adjustment_nv_fund",G$3,$A9))</f>
        <v/>
      </c>
      <c r="H9" s="180">
        <f>IF($A9="","",[1]!thsiFinD("ths_adjustment_nv_fund",H$3,$A9))</f>
        <v/>
      </c>
      <c r="I9" s="180">
        <f>IF($A9="","",[1]!thsiFinD("ths_adjustment_nv_fund",I$3,$A9))</f>
        <v/>
      </c>
      <c r="J9" s="180">
        <f>IF($A9="","",[1]!thsiFinD("ths_adjustment_nv_fund",J$3,$A9))</f>
        <v/>
      </c>
      <c r="K9" s="180">
        <f>IF($A9="","",[1]!thsiFinD("ths_adjustment_nv_fund",K$3,$A9))</f>
        <v/>
      </c>
      <c r="L9" s="180">
        <f>IF($A9="","",[1]!thsiFinD("ths_adjustment_nv_fund",L$3,$A9))</f>
        <v/>
      </c>
      <c r="M9" s="180">
        <f>IF($A9="","",[1]!thsiFinD("ths_adjustment_nv_fund",M$3,$A9))</f>
        <v/>
      </c>
      <c r="N9" s="180">
        <f>IF($A9="","",[1]!thsiFinD("ths_adjustment_nv_fund",N$3,$A9))</f>
        <v/>
      </c>
      <c r="O9" s="180">
        <f>IF($A9="","",[1]!thsiFinD("ths_adjustment_nv_fund",O$3,$A9))</f>
        <v/>
      </c>
      <c r="P9" s="180">
        <f>IF($A9="","",[1]!thsiFinD("ths_adjustment_nv_fund",P$3,$A9))</f>
        <v/>
      </c>
      <c r="Q9" s="180">
        <f>IF($A9="","",[1]!thsiFinD("ths_adjustment_nv_fund",Q$3,$A9))</f>
        <v/>
      </c>
      <c r="R9" s="180">
        <f>IF($A9="","",[1]!thsiFinD("ths_adjustment_nv_fund",R$3,$A9))</f>
        <v/>
      </c>
      <c r="S9" s="180">
        <f>IF($A9="","",[1]!thsiFinD("ths_adjustment_nv_fund",S$3,$A9))</f>
        <v/>
      </c>
      <c r="T9" s="180">
        <f>IF($A9="","",[1]!thsiFinD("ths_adjustment_nv_fund",T$3,$A9))</f>
        <v/>
      </c>
      <c r="U9" s="180">
        <f>IF($A9="","",[1]!thsiFinD("ths_adjustment_nv_fund",U$3,$A9))</f>
        <v/>
      </c>
      <c r="V9" s="180">
        <f>IF($A9="","",[1]!thsiFinD("ths_adjustment_nv_fund",V$3,$A9))</f>
        <v/>
      </c>
      <c r="W9" s="180">
        <f>IF($A9="","",[1]!thsiFinD("ths_adjustment_nv_fund",W$3,$A9))</f>
        <v/>
      </c>
      <c r="X9" s="180">
        <f>IF($A9="","",[1]!thsiFinD("ths_adjustment_nv_fund",X$3,$A9))</f>
        <v/>
      </c>
    </row>
    <row r="10">
      <c r="A10" s="179" t="n">
        <v>46199</v>
      </c>
      <c r="B10" s="180">
        <f>IF($A10="","",[1]!thsiFinD("ths_adjustment_nv_fund",B$3,$A10))</f>
        <v/>
      </c>
      <c r="C10" s="180">
        <f>IF($A10="","",[1]!thsiFinD("ths_adjustment_nv_fund",C$3,$A10))</f>
        <v/>
      </c>
      <c r="D10" s="180">
        <f>IF($A10="","",[1]!thsiFinD("ths_adjustment_nv_fund",D$3,$A10))</f>
        <v/>
      </c>
      <c r="E10" s="180">
        <f>IF($A10="","",[1]!thsiFinD("ths_adjustment_nv_fund",E$3,$A10))</f>
        <v/>
      </c>
      <c r="F10" s="180">
        <f>IF($A10="","",[1]!thsiFinD("ths_adjustment_nv_fund",F$3,$A10))</f>
        <v/>
      </c>
      <c r="G10" s="180">
        <f>IF($A10="","",[1]!thsiFinD("ths_adjustment_nv_fund",G$3,$A10))</f>
        <v/>
      </c>
      <c r="H10" s="180">
        <f>IF($A10="","",[1]!thsiFinD("ths_adjustment_nv_fund",H$3,$A10))</f>
        <v/>
      </c>
      <c r="I10" s="180">
        <f>IF($A10="","",[1]!thsiFinD("ths_adjustment_nv_fund",I$3,$A10))</f>
        <v/>
      </c>
      <c r="J10" s="180">
        <f>IF($A10="","",[1]!thsiFinD("ths_adjustment_nv_fund",J$3,$A10))</f>
        <v/>
      </c>
      <c r="K10" s="180">
        <f>IF($A10="","",[1]!thsiFinD("ths_adjustment_nv_fund",K$3,$A10))</f>
        <v/>
      </c>
      <c r="L10" s="180">
        <f>IF($A10="","",[1]!thsiFinD("ths_adjustment_nv_fund",L$3,$A10))</f>
        <v/>
      </c>
      <c r="M10" s="180">
        <f>IF($A10="","",[1]!thsiFinD("ths_adjustment_nv_fund",M$3,$A10))</f>
        <v/>
      </c>
      <c r="N10" s="180">
        <f>IF($A10="","",[1]!thsiFinD("ths_adjustment_nv_fund",N$3,$A10))</f>
        <v/>
      </c>
      <c r="O10" s="180">
        <f>IF($A10="","",[1]!thsiFinD("ths_adjustment_nv_fund",O$3,$A10))</f>
        <v/>
      </c>
      <c r="P10" s="180">
        <f>IF($A10="","",[1]!thsiFinD("ths_adjustment_nv_fund",P$3,$A10))</f>
        <v/>
      </c>
      <c r="Q10" s="180">
        <f>IF($A10="","",[1]!thsiFinD("ths_adjustment_nv_fund",Q$3,$A10))</f>
        <v/>
      </c>
      <c r="R10" s="180">
        <f>IF($A10="","",[1]!thsiFinD("ths_adjustment_nv_fund",R$3,$A10))</f>
        <v/>
      </c>
      <c r="S10" s="180">
        <f>IF($A10="","",[1]!thsiFinD("ths_adjustment_nv_fund",S$3,$A10))</f>
        <v/>
      </c>
      <c r="T10" s="180">
        <f>IF($A10="","",[1]!thsiFinD("ths_adjustment_nv_fund",T$3,$A10))</f>
        <v/>
      </c>
      <c r="U10" s="180">
        <f>IF($A10="","",[1]!thsiFinD("ths_adjustment_nv_fund",U$3,$A10))</f>
        <v/>
      </c>
      <c r="V10" s="180">
        <f>IF($A10="","",[1]!thsiFinD("ths_adjustment_nv_fund",V$3,$A10))</f>
        <v/>
      </c>
      <c r="W10" s="180">
        <f>IF($A10="","",[1]!thsiFinD("ths_adjustment_nv_fund",W$3,$A10))</f>
        <v/>
      </c>
      <c r="X10" s="180">
        <f>IF($A10="","",[1]!thsiFinD("ths_adjustment_nv_fund",X$3,$A10))</f>
        <v/>
      </c>
    </row>
    <row r="11">
      <c r="A11" s="179" t="n">
        <v>46202</v>
      </c>
      <c r="B11" s="180">
        <f>IF($A11="","",[1]!thsiFinD("ths_adjustment_nv_fund",B$3,$A11))</f>
        <v/>
      </c>
      <c r="C11" s="180">
        <f>IF($A11="","",[1]!thsiFinD("ths_adjustment_nv_fund",C$3,$A11))</f>
        <v/>
      </c>
      <c r="D11" s="180">
        <f>IF($A11="","",[1]!thsiFinD("ths_adjustment_nv_fund",D$3,$A11))</f>
        <v/>
      </c>
      <c r="E11" s="180">
        <f>IF($A11="","",[1]!thsiFinD("ths_adjustment_nv_fund",E$3,$A11))</f>
        <v/>
      </c>
      <c r="F11" s="180">
        <f>IF($A11="","",[1]!thsiFinD("ths_adjustment_nv_fund",F$3,$A11))</f>
        <v/>
      </c>
      <c r="G11" s="180">
        <f>IF($A11="","",[1]!thsiFinD("ths_adjustment_nv_fund",G$3,$A11))</f>
        <v/>
      </c>
      <c r="H11" s="180">
        <f>IF($A11="","",[1]!thsiFinD("ths_adjustment_nv_fund",H$3,$A11))</f>
        <v/>
      </c>
      <c r="I11" s="180">
        <f>IF($A11="","",[1]!thsiFinD("ths_adjustment_nv_fund",I$3,$A11))</f>
        <v/>
      </c>
      <c r="J11" s="180">
        <f>IF($A11="","",[1]!thsiFinD("ths_adjustment_nv_fund",J$3,$A11))</f>
        <v/>
      </c>
      <c r="K11" s="180">
        <f>IF($A11="","",[1]!thsiFinD("ths_adjustment_nv_fund",K$3,$A11))</f>
        <v/>
      </c>
      <c r="L11" s="180">
        <f>IF($A11="","",[1]!thsiFinD("ths_adjustment_nv_fund",L$3,$A11))</f>
        <v/>
      </c>
      <c r="M11" s="180">
        <f>IF($A11="","",[1]!thsiFinD("ths_adjustment_nv_fund",M$3,$A11))</f>
        <v/>
      </c>
      <c r="N11" s="180">
        <f>IF($A11="","",[1]!thsiFinD("ths_adjustment_nv_fund",N$3,$A11))</f>
        <v/>
      </c>
      <c r="O11" s="180">
        <f>IF($A11="","",[1]!thsiFinD("ths_adjustment_nv_fund",O$3,$A11))</f>
        <v/>
      </c>
      <c r="P11" s="180">
        <f>IF($A11="","",[1]!thsiFinD("ths_adjustment_nv_fund",P$3,$A11))</f>
        <v/>
      </c>
      <c r="Q11" s="180">
        <f>IF($A11="","",[1]!thsiFinD("ths_adjustment_nv_fund",Q$3,$A11))</f>
        <v/>
      </c>
      <c r="R11" s="180">
        <f>IF($A11="","",[1]!thsiFinD("ths_adjustment_nv_fund",R$3,$A11))</f>
        <v/>
      </c>
      <c r="S11" s="180">
        <f>IF($A11="","",[1]!thsiFinD("ths_adjustment_nv_fund",S$3,$A11))</f>
        <v/>
      </c>
      <c r="T11" s="180">
        <f>IF($A11="","",[1]!thsiFinD("ths_adjustment_nv_fund",T$3,$A11))</f>
        <v/>
      </c>
      <c r="U11" s="180">
        <f>IF($A11="","",[1]!thsiFinD("ths_adjustment_nv_fund",U$3,$A11))</f>
        <v/>
      </c>
      <c r="V11" s="180">
        <f>IF($A11="","",[1]!thsiFinD("ths_adjustment_nv_fund",V$3,$A11))</f>
        <v/>
      </c>
      <c r="W11" s="180">
        <f>IF($A11="","",[1]!thsiFinD("ths_adjustment_nv_fund",W$3,$A11))</f>
        <v/>
      </c>
      <c r="X11" s="180">
        <f>IF($A11="","",[1]!thsiFinD("ths_adjustment_nv_fund",X$3,$A11))</f>
        <v/>
      </c>
    </row>
    <row r="12">
      <c r="A12" s="179" t="n">
        <v>46203</v>
      </c>
      <c r="B12" s="180">
        <f>IF($A12="","",[1]!thsiFinD("ths_adjustment_nv_fund",B$3,$A12))</f>
        <v/>
      </c>
      <c r="C12" s="180">
        <f>IF($A12="","",[1]!thsiFinD("ths_adjustment_nv_fund",C$3,$A12))</f>
        <v/>
      </c>
      <c r="D12" s="180">
        <f>IF($A12="","",[1]!thsiFinD("ths_adjustment_nv_fund",D$3,$A12))</f>
        <v/>
      </c>
      <c r="E12" s="180">
        <f>IF($A12="","",[1]!thsiFinD("ths_adjustment_nv_fund",E$3,$A12))</f>
        <v/>
      </c>
      <c r="F12" s="180">
        <f>IF($A12="","",[1]!thsiFinD("ths_adjustment_nv_fund",F$3,$A12))</f>
        <v/>
      </c>
      <c r="G12" s="180">
        <f>IF($A12="","",[1]!thsiFinD("ths_adjustment_nv_fund",G$3,$A12))</f>
        <v/>
      </c>
      <c r="H12" s="180">
        <f>IF($A12="","",[1]!thsiFinD("ths_adjustment_nv_fund",H$3,$A12))</f>
        <v/>
      </c>
      <c r="I12" s="180">
        <f>IF($A12="","",[1]!thsiFinD("ths_adjustment_nv_fund",I$3,$A12))</f>
        <v/>
      </c>
      <c r="J12" s="180">
        <f>IF($A12="","",[1]!thsiFinD("ths_adjustment_nv_fund",J$3,$A12))</f>
        <v/>
      </c>
      <c r="K12" s="180">
        <f>IF($A12="","",[1]!thsiFinD("ths_adjustment_nv_fund",K$3,$A12))</f>
        <v/>
      </c>
      <c r="L12" s="180">
        <f>IF($A12="","",[1]!thsiFinD("ths_adjustment_nv_fund",L$3,$A12))</f>
        <v/>
      </c>
      <c r="M12" s="180">
        <f>IF($A12="","",[1]!thsiFinD("ths_adjustment_nv_fund",M$3,$A12))</f>
        <v/>
      </c>
      <c r="N12" s="180">
        <f>IF($A12="","",[1]!thsiFinD("ths_adjustment_nv_fund",N$3,$A12))</f>
        <v/>
      </c>
      <c r="O12" s="180">
        <f>IF($A12="","",[1]!thsiFinD("ths_adjustment_nv_fund",O$3,$A12))</f>
        <v/>
      </c>
      <c r="P12" s="180">
        <f>IF($A12="","",[1]!thsiFinD("ths_adjustment_nv_fund",P$3,$A12))</f>
        <v/>
      </c>
      <c r="Q12" s="180">
        <f>IF($A12="","",[1]!thsiFinD("ths_adjustment_nv_fund",Q$3,$A12))</f>
        <v/>
      </c>
      <c r="R12" s="180">
        <f>IF($A12="","",[1]!thsiFinD("ths_adjustment_nv_fund",R$3,$A12))</f>
        <v/>
      </c>
      <c r="S12" s="180">
        <f>IF($A12="","",[1]!thsiFinD("ths_adjustment_nv_fund",S$3,$A12))</f>
        <v/>
      </c>
      <c r="T12" s="180">
        <f>IF($A12="","",[1]!thsiFinD("ths_adjustment_nv_fund",T$3,$A12))</f>
        <v/>
      </c>
      <c r="U12" s="180">
        <f>IF($A12="","",[1]!thsiFinD("ths_adjustment_nv_fund",U$3,$A12))</f>
        <v/>
      </c>
      <c r="V12" s="180">
        <f>IF($A12="","",[1]!thsiFinD("ths_adjustment_nv_fund",V$3,$A12))</f>
        <v/>
      </c>
      <c r="W12" s="180">
        <f>IF($A12="","",[1]!thsiFinD("ths_adjustment_nv_fund",W$3,$A12))</f>
        <v/>
      </c>
      <c r="X12" s="180">
        <f>IF($A12="","",[1]!thsiFinD("ths_adjustment_nv_fund",X$3,$A12))</f>
        <v/>
      </c>
    </row>
    <row r="13">
      <c r="A13" s="179" t="n">
        <v>46204</v>
      </c>
      <c r="B13" s="180">
        <f>IF($A13="","",[1]!thsiFinD("ths_adjustment_nv_fund",B$3,$A13))</f>
        <v/>
      </c>
      <c r="C13" s="180">
        <f>IF($A13="","",[1]!thsiFinD("ths_adjustment_nv_fund",C$3,$A13))</f>
        <v/>
      </c>
      <c r="D13" s="180">
        <f>IF($A13="","",[1]!thsiFinD("ths_adjustment_nv_fund",D$3,$A13))</f>
        <v/>
      </c>
      <c r="E13" s="180">
        <f>IF($A13="","",[1]!thsiFinD("ths_adjustment_nv_fund",E$3,$A13))</f>
        <v/>
      </c>
      <c r="F13" s="180">
        <f>IF($A13="","",[1]!thsiFinD("ths_adjustment_nv_fund",F$3,$A13))</f>
        <v/>
      </c>
      <c r="G13" s="180">
        <f>IF($A13="","",[1]!thsiFinD("ths_adjustment_nv_fund",G$3,$A13))</f>
        <v/>
      </c>
      <c r="H13" s="180">
        <f>IF($A13="","",[1]!thsiFinD("ths_adjustment_nv_fund",H$3,$A13))</f>
        <v/>
      </c>
      <c r="I13" s="180">
        <f>IF($A13="","",[1]!thsiFinD("ths_adjustment_nv_fund",I$3,$A13))</f>
        <v/>
      </c>
      <c r="J13" s="180">
        <f>IF($A13="","",[1]!thsiFinD("ths_adjustment_nv_fund",J$3,$A13))</f>
        <v/>
      </c>
      <c r="K13" s="180">
        <f>IF($A13="","",[1]!thsiFinD("ths_adjustment_nv_fund",K$3,$A13))</f>
        <v/>
      </c>
      <c r="L13" s="180">
        <f>IF($A13="","",[1]!thsiFinD("ths_adjustment_nv_fund",L$3,$A13))</f>
        <v/>
      </c>
      <c r="M13" s="180">
        <f>IF($A13="","",[1]!thsiFinD("ths_adjustment_nv_fund",M$3,$A13))</f>
        <v/>
      </c>
      <c r="N13" s="180">
        <f>IF($A13="","",[1]!thsiFinD("ths_adjustment_nv_fund",N$3,$A13))</f>
        <v/>
      </c>
      <c r="O13" s="180">
        <f>IF($A13="","",[1]!thsiFinD("ths_adjustment_nv_fund",O$3,$A13))</f>
        <v/>
      </c>
      <c r="P13" s="180">
        <f>IF($A13="","",[1]!thsiFinD("ths_adjustment_nv_fund",P$3,$A13))</f>
        <v/>
      </c>
      <c r="Q13" s="180">
        <f>IF($A13="","",[1]!thsiFinD("ths_adjustment_nv_fund",Q$3,$A13))</f>
        <v/>
      </c>
      <c r="R13" s="180">
        <f>IF($A13="","",[1]!thsiFinD("ths_adjustment_nv_fund",R$3,$A13))</f>
        <v/>
      </c>
      <c r="S13" s="180">
        <f>IF($A13="","",[1]!thsiFinD("ths_adjustment_nv_fund",S$3,$A13))</f>
        <v/>
      </c>
      <c r="T13" s="180">
        <f>IF($A13="","",[1]!thsiFinD("ths_adjustment_nv_fund",T$3,$A13))</f>
        <v/>
      </c>
      <c r="U13" s="180">
        <f>IF($A13="","",[1]!thsiFinD("ths_adjustment_nv_fund",U$3,$A13))</f>
        <v/>
      </c>
      <c r="V13" s="180">
        <f>IF($A13="","",[1]!thsiFinD("ths_adjustment_nv_fund",V$3,$A13))</f>
        <v/>
      </c>
      <c r="W13" s="180">
        <f>IF($A13="","",[1]!thsiFinD("ths_adjustment_nv_fund",W$3,$A13))</f>
        <v/>
      </c>
      <c r="X13" s="180">
        <f>IF($A13="","",[1]!thsiFinD("ths_adjustment_nv_fund",X$3,$A13))</f>
        <v/>
      </c>
    </row>
    <row r="14">
      <c r="A14" s="179" t="n">
        <v>46205</v>
      </c>
      <c r="B14" s="180">
        <f>IF($A14="","",[1]!thsiFinD("ths_adjustment_nv_fund",B$3,$A14))</f>
        <v/>
      </c>
      <c r="C14" s="180">
        <f>IF($A14="","",[1]!thsiFinD("ths_adjustment_nv_fund",C$3,$A14))</f>
        <v/>
      </c>
      <c r="D14" s="180">
        <f>IF($A14="","",[1]!thsiFinD("ths_adjustment_nv_fund",D$3,$A14))</f>
        <v/>
      </c>
      <c r="E14" s="180">
        <f>IF($A14="","",[1]!thsiFinD("ths_adjustment_nv_fund",E$3,$A14))</f>
        <v/>
      </c>
      <c r="F14" s="180">
        <f>IF($A14="","",[1]!thsiFinD("ths_adjustment_nv_fund",F$3,$A14))</f>
        <v/>
      </c>
      <c r="G14" s="180">
        <f>IF($A14="","",[1]!thsiFinD("ths_adjustment_nv_fund",G$3,$A14))</f>
        <v/>
      </c>
      <c r="H14" s="180">
        <f>IF($A14="","",[1]!thsiFinD("ths_adjustment_nv_fund",H$3,$A14))</f>
        <v/>
      </c>
      <c r="I14" s="180">
        <f>IF($A14="","",[1]!thsiFinD("ths_adjustment_nv_fund",I$3,$A14))</f>
        <v/>
      </c>
      <c r="J14" s="180">
        <f>IF($A14="","",[1]!thsiFinD("ths_adjustment_nv_fund",J$3,$A14))</f>
        <v/>
      </c>
      <c r="K14" s="180">
        <f>IF($A14="","",[1]!thsiFinD("ths_adjustment_nv_fund",K$3,$A14))</f>
        <v/>
      </c>
      <c r="L14" s="180">
        <f>IF($A14="","",[1]!thsiFinD("ths_adjustment_nv_fund",L$3,$A14))</f>
        <v/>
      </c>
      <c r="M14" s="180">
        <f>IF($A14="","",[1]!thsiFinD("ths_adjustment_nv_fund",M$3,$A14))</f>
        <v/>
      </c>
      <c r="N14" s="180">
        <f>IF($A14="","",[1]!thsiFinD("ths_adjustment_nv_fund",N$3,$A14))</f>
        <v/>
      </c>
      <c r="O14" s="180">
        <f>IF($A14="","",[1]!thsiFinD("ths_adjustment_nv_fund",O$3,$A14))</f>
        <v/>
      </c>
      <c r="P14" s="180">
        <f>IF($A14="","",[1]!thsiFinD("ths_adjustment_nv_fund",P$3,$A14))</f>
        <v/>
      </c>
      <c r="Q14" s="180">
        <f>IF($A14="","",[1]!thsiFinD("ths_adjustment_nv_fund",Q$3,$A14))</f>
        <v/>
      </c>
      <c r="R14" s="180">
        <f>IF($A14="","",[1]!thsiFinD("ths_adjustment_nv_fund",R$3,$A14))</f>
        <v/>
      </c>
      <c r="S14" s="180">
        <f>IF($A14="","",[1]!thsiFinD("ths_adjustment_nv_fund",S$3,$A14))</f>
        <v/>
      </c>
      <c r="T14" s="180">
        <f>IF($A14="","",[1]!thsiFinD("ths_adjustment_nv_fund",T$3,$A14))</f>
        <v/>
      </c>
      <c r="U14" s="180">
        <f>IF($A14="","",[1]!thsiFinD("ths_adjustment_nv_fund",U$3,$A14))</f>
        <v/>
      </c>
      <c r="V14" s="180">
        <f>IF($A14="","",[1]!thsiFinD("ths_adjustment_nv_fund",V$3,$A14))</f>
        <v/>
      </c>
      <c r="W14" s="180">
        <f>IF($A14="","",[1]!thsiFinD("ths_adjustment_nv_fund",W$3,$A14))</f>
        <v/>
      </c>
      <c r="X14" s="180">
        <f>IF($A14="","",[1]!thsiFinD("ths_adjustment_nv_fund",X$3,$A14))</f>
        <v/>
      </c>
    </row>
    <row r="15">
      <c r="A15" s="179" t="n">
        <v>46206</v>
      </c>
      <c r="B15" s="180">
        <f>IF($A15="","",[1]!thsiFinD("ths_adjustment_nv_fund",B$3,$A15))</f>
        <v/>
      </c>
      <c r="C15" s="180">
        <f>IF($A15="","",[1]!thsiFinD("ths_adjustment_nv_fund",C$3,$A15))</f>
        <v/>
      </c>
      <c r="D15" s="180">
        <f>IF($A15="","",[1]!thsiFinD("ths_adjustment_nv_fund",D$3,$A15))</f>
        <v/>
      </c>
      <c r="E15" s="180">
        <f>IF($A15="","",[1]!thsiFinD("ths_adjustment_nv_fund",E$3,$A15))</f>
        <v/>
      </c>
      <c r="F15" s="180">
        <f>IF($A15="","",[1]!thsiFinD("ths_adjustment_nv_fund",F$3,$A15))</f>
        <v/>
      </c>
      <c r="G15" s="180">
        <f>IF($A15="","",[1]!thsiFinD("ths_adjustment_nv_fund",G$3,$A15))</f>
        <v/>
      </c>
      <c r="H15" s="180">
        <f>IF($A15="","",[1]!thsiFinD("ths_adjustment_nv_fund",H$3,$A15))</f>
        <v/>
      </c>
      <c r="I15" s="180">
        <f>IF($A15="","",[1]!thsiFinD("ths_adjustment_nv_fund",I$3,$A15))</f>
        <v/>
      </c>
      <c r="J15" s="180">
        <f>IF($A15="","",[1]!thsiFinD("ths_adjustment_nv_fund",J$3,$A15))</f>
        <v/>
      </c>
      <c r="K15" s="180">
        <f>IF($A15="","",[1]!thsiFinD("ths_adjustment_nv_fund",K$3,$A15))</f>
        <v/>
      </c>
      <c r="L15" s="180">
        <f>IF($A15="","",[1]!thsiFinD("ths_adjustment_nv_fund",L$3,$A15))</f>
        <v/>
      </c>
      <c r="M15" s="180">
        <f>IF($A15="","",[1]!thsiFinD("ths_adjustment_nv_fund",M$3,$A15))</f>
        <v/>
      </c>
      <c r="N15" s="180">
        <f>IF($A15="","",[1]!thsiFinD("ths_adjustment_nv_fund",N$3,$A15))</f>
        <v/>
      </c>
      <c r="O15" s="180">
        <f>IF($A15="","",[1]!thsiFinD("ths_adjustment_nv_fund",O$3,$A15))</f>
        <v/>
      </c>
      <c r="P15" s="180">
        <f>IF($A15="","",[1]!thsiFinD("ths_adjustment_nv_fund",P$3,$A15))</f>
        <v/>
      </c>
      <c r="Q15" s="180">
        <f>IF($A15="","",[1]!thsiFinD("ths_adjustment_nv_fund",Q$3,$A15))</f>
        <v/>
      </c>
      <c r="R15" s="180">
        <f>IF($A15="","",[1]!thsiFinD("ths_adjustment_nv_fund",R$3,$A15))</f>
        <v/>
      </c>
      <c r="S15" s="180">
        <f>IF($A15="","",[1]!thsiFinD("ths_adjustment_nv_fund",S$3,$A15))</f>
        <v/>
      </c>
      <c r="T15" s="180">
        <f>IF($A15="","",[1]!thsiFinD("ths_adjustment_nv_fund",T$3,$A15))</f>
        <v/>
      </c>
      <c r="U15" s="180">
        <f>IF($A15="","",[1]!thsiFinD("ths_adjustment_nv_fund",U$3,$A15))</f>
        <v/>
      </c>
      <c r="V15" s="180">
        <f>IF($A15="","",[1]!thsiFinD("ths_adjustment_nv_fund",V$3,$A15))</f>
        <v/>
      </c>
      <c r="W15" s="180">
        <f>IF($A15="","",[1]!thsiFinD("ths_adjustment_nv_fund",W$3,$A15))</f>
        <v/>
      </c>
      <c r="X15" s="180">
        <f>IF($A15="","",[1]!thsiFinD("ths_adjustment_nv_fund",X$3,$A15))</f>
        <v/>
      </c>
    </row>
    <row r="16">
      <c r="A16" s="179" t="n">
        <v>46209</v>
      </c>
      <c r="B16" s="180">
        <f>IF($A16="","",[1]!thsiFinD("ths_adjustment_nv_fund",B$3,$A16))</f>
        <v/>
      </c>
      <c r="C16" s="180">
        <f>IF($A16="","",[1]!thsiFinD("ths_adjustment_nv_fund",C$3,$A16))</f>
        <v/>
      </c>
      <c r="D16" s="180">
        <f>IF($A16="","",[1]!thsiFinD("ths_adjustment_nv_fund",D$3,$A16))</f>
        <v/>
      </c>
      <c r="E16" s="180">
        <f>IF($A16="","",[1]!thsiFinD("ths_adjustment_nv_fund",E$3,$A16))</f>
        <v/>
      </c>
      <c r="F16" s="180">
        <f>IF($A16="","",[1]!thsiFinD("ths_adjustment_nv_fund",F$3,$A16))</f>
        <v/>
      </c>
      <c r="G16" s="180">
        <f>IF($A16="","",[1]!thsiFinD("ths_adjustment_nv_fund",G$3,$A16))</f>
        <v/>
      </c>
      <c r="H16" s="180">
        <f>IF($A16="","",[1]!thsiFinD("ths_adjustment_nv_fund",H$3,$A16))</f>
        <v/>
      </c>
      <c r="I16" s="180">
        <f>IF($A16="","",[1]!thsiFinD("ths_adjustment_nv_fund",I$3,$A16))</f>
        <v/>
      </c>
      <c r="J16" s="180">
        <f>IF($A16="","",[1]!thsiFinD("ths_adjustment_nv_fund",J$3,$A16))</f>
        <v/>
      </c>
      <c r="K16" s="180">
        <f>IF($A16="","",[1]!thsiFinD("ths_adjustment_nv_fund",K$3,$A16))</f>
        <v/>
      </c>
      <c r="L16" s="180">
        <f>IF($A16="","",[1]!thsiFinD("ths_adjustment_nv_fund",L$3,$A16))</f>
        <v/>
      </c>
      <c r="M16" s="180">
        <f>IF($A16="","",[1]!thsiFinD("ths_adjustment_nv_fund",M$3,$A16))</f>
        <v/>
      </c>
      <c r="N16" s="180">
        <f>IF($A16="","",[1]!thsiFinD("ths_adjustment_nv_fund",N$3,$A16))</f>
        <v/>
      </c>
      <c r="O16" s="180">
        <f>IF($A16="","",[1]!thsiFinD("ths_adjustment_nv_fund",O$3,$A16))</f>
        <v/>
      </c>
      <c r="P16" s="180">
        <f>IF($A16="","",[1]!thsiFinD("ths_adjustment_nv_fund",P$3,$A16))</f>
        <v/>
      </c>
      <c r="Q16" s="180">
        <f>IF($A16="","",[1]!thsiFinD("ths_adjustment_nv_fund",Q$3,$A16))</f>
        <v/>
      </c>
      <c r="R16" s="180">
        <f>IF($A16="","",[1]!thsiFinD("ths_adjustment_nv_fund",R$3,$A16))</f>
        <v/>
      </c>
      <c r="S16" s="180">
        <f>IF($A16="","",[1]!thsiFinD("ths_adjustment_nv_fund",S$3,$A16))</f>
        <v/>
      </c>
      <c r="T16" s="180">
        <f>IF($A16="","",[1]!thsiFinD("ths_adjustment_nv_fund",T$3,$A16))</f>
        <v/>
      </c>
      <c r="U16" s="180">
        <f>IF($A16="","",[1]!thsiFinD("ths_adjustment_nv_fund",U$3,$A16))</f>
        <v/>
      </c>
      <c r="V16" s="180">
        <f>IF($A16="","",[1]!thsiFinD("ths_adjustment_nv_fund",V$3,$A16))</f>
        <v/>
      </c>
      <c r="W16" s="180">
        <f>IF($A16="","",[1]!thsiFinD("ths_adjustment_nv_fund",W$3,$A16))</f>
        <v/>
      </c>
      <c r="X16" s="180">
        <f>IF($A16="","",[1]!thsiFinD("ths_adjustment_nv_fund",X$3,$A16))</f>
        <v/>
      </c>
    </row>
    <row r="17">
      <c r="A17" s="179" t="n">
        <v>46210</v>
      </c>
      <c r="B17" s="180">
        <f>IF($A17="","",[1]!thsiFinD("ths_adjustment_nv_fund",B$3,$A17))</f>
        <v/>
      </c>
      <c r="C17" s="180">
        <f>IF($A17="","",[1]!thsiFinD("ths_adjustment_nv_fund",C$3,$A17))</f>
        <v/>
      </c>
      <c r="D17" s="180">
        <f>IF($A17="","",[1]!thsiFinD("ths_adjustment_nv_fund",D$3,$A17))</f>
        <v/>
      </c>
      <c r="E17" s="180">
        <f>IF($A17="","",[1]!thsiFinD("ths_adjustment_nv_fund",E$3,$A17))</f>
        <v/>
      </c>
      <c r="F17" s="180">
        <f>IF($A17="","",[1]!thsiFinD("ths_adjustment_nv_fund",F$3,$A17))</f>
        <v/>
      </c>
      <c r="G17" s="180">
        <f>IF($A17="","",[1]!thsiFinD("ths_adjustment_nv_fund",G$3,$A17))</f>
        <v/>
      </c>
      <c r="H17" s="180">
        <f>IF($A17="","",[1]!thsiFinD("ths_adjustment_nv_fund",H$3,$A17))</f>
        <v/>
      </c>
      <c r="I17" s="180">
        <f>IF($A17="","",[1]!thsiFinD("ths_adjustment_nv_fund",I$3,$A17))</f>
        <v/>
      </c>
      <c r="J17" s="180">
        <f>IF($A17="","",[1]!thsiFinD("ths_adjustment_nv_fund",J$3,$A17))</f>
        <v/>
      </c>
      <c r="K17" s="180">
        <f>IF($A17="","",[1]!thsiFinD("ths_adjustment_nv_fund",K$3,$A17))</f>
        <v/>
      </c>
      <c r="L17" s="180">
        <f>IF($A17="","",[1]!thsiFinD("ths_adjustment_nv_fund",L$3,$A17))</f>
        <v/>
      </c>
      <c r="M17" s="180">
        <f>IF($A17="","",[1]!thsiFinD("ths_adjustment_nv_fund",M$3,$A17))</f>
        <v/>
      </c>
      <c r="N17" s="180">
        <f>IF($A17="","",[1]!thsiFinD("ths_adjustment_nv_fund",N$3,$A17))</f>
        <v/>
      </c>
      <c r="O17" s="180">
        <f>IF($A17="","",[1]!thsiFinD("ths_adjustment_nv_fund",O$3,$A17))</f>
        <v/>
      </c>
      <c r="P17" s="180">
        <f>IF($A17="","",[1]!thsiFinD("ths_adjustment_nv_fund",P$3,$A17))</f>
        <v/>
      </c>
      <c r="Q17" s="180">
        <f>IF($A17="","",[1]!thsiFinD("ths_adjustment_nv_fund",Q$3,$A17))</f>
        <v/>
      </c>
      <c r="R17" s="180">
        <f>IF($A17="","",[1]!thsiFinD("ths_adjustment_nv_fund",R$3,$A17))</f>
        <v/>
      </c>
      <c r="S17" s="180">
        <f>IF($A17="","",[1]!thsiFinD("ths_adjustment_nv_fund",S$3,$A17))</f>
        <v/>
      </c>
      <c r="T17" s="180">
        <f>IF($A17="","",[1]!thsiFinD("ths_adjustment_nv_fund",T$3,$A17))</f>
        <v/>
      </c>
      <c r="U17" s="180">
        <f>IF($A17="","",[1]!thsiFinD("ths_adjustment_nv_fund",U$3,$A17))</f>
        <v/>
      </c>
      <c r="V17" s="180">
        <f>IF($A17="","",[1]!thsiFinD("ths_adjustment_nv_fund",V$3,$A17))</f>
        <v/>
      </c>
      <c r="W17" s="180">
        <f>IF($A17="","",[1]!thsiFinD("ths_adjustment_nv_fund",W$3,$A17))</f>
        <v/>
      </c>
      <c r="X17" s="180">
        <f>IF($A17="","",[1]!thsiFinD("ths_adjustment_nv_fund",X$3,$A17))</f>
        <v/>
      </c>
    </row>
    <row r="18">
      <c r="A18" s="179" t="n">
        <v>46211</v>
      </c>
      <c r="B18" s="180">
        <f>IF($A18="","",[1]!thsiFinD("ths_adjustment_nv_fund",B$3,$A18))</f>
        <v/>
      </c>
      <c r="C18" s="180">
        <f>IF($A18="","",[1]!thsiFinD("ths_adjustment_nv_fund",C$3,$A18))</f>
        <v/>
      </c>
      <c r="D18" s="180">
        <f>IF($A18="","",[1]!thsiFinD("ths_adjustment_nv_fund",D$3,$A18))</f>
        <v/>
      </c>
      <c r="E18" s="180">
        <f>IF($A18="","",[1]!thsiFinD("ths_adjustment_nv_fund",E$3,$A18))</f>
        <v/>
      </c>
      <c r="F18" s="180">
        <f>IF($A18="","",[1]!thsiFinD("ths_adjustment_nv_fund",F$3,$A18))</f>
        <v/>
      </c>
      <c r="G18" s="180">
        <f>IF($A18="","",[1]!thsiFinD("ths_adjustment_nv_fund",G$3,$A18))</f>
        <v/>
      </c>
      <c r="H18" s="180">
        <f>IF($A18="","",[1]!thsiFinD("ths_adjustment_nv_fund",H$3,$A18))</f>
        <v/>
      </c>
      <c r="I18" s="180">
        <f>IF($A18="","",[1]!thsiFinD("ths_adjustment_nv_fund",I$3,$A18))</f>
        <v/>
      </c>
      <c r="J18" s="180">
        <f>IF($A18="","",[1]!thsiFinD("ths_adjustment_nv_fund",J$3,$A18))</f>
        <v/>
      </c>
      <c r="K18" s="180">
        <f>IF($A18="","",[1]!thsiFinD("ths_adjustment_nv_fund",K$3,$A18))</f>
        <v/>
      </c>
      <c r="L18" s="180">
        <f>IF($A18="","",[1]!thsiFinD("ths_adjustment_nv_fund",L$3,$A18))</f>
        <v/>
      </c>
      <c r="M18" s="180">
        <f>IF($A18="","",[1]!thsiFinD("ths_adjustment_nv_fund",M$3,$A18))</f>
        <v/>
      </c>
      <c r="N18" s="180">
        <f>IF($A18="","",[1]!thsiFinD("ths_adjustment_nv_fund",N$3,$A18))</f>
        <v/>
      </c>
      <c r="O18" s="180">
        <f>IF($A18="","",[1]!thsiFinD("ths_adjustment_nv_fund",O$3,$A18))</f>
        <v/>
      </c>
      <c r="P18" s="180">
        <f>IF($A18="","",[1]!thsiFinD("ths_adjustment_nv_fund",P$3,$A18))</f>
        <v/>
      </c>
      <c r="Q18" s="180">
        <f>IF($A18="","",[1]!thsiFinD("ths_adjustment_nv_fund",Q$3,$A18))</f>
        <v/>
      </c>
      <c r="R18" s="180">
        <f>IF($A18="","",[1]!thsiFinD("ths_adjustment_nv_fund",R$3,$A18))</f>
        <v/>
      </c>
      <c r="S18" s="180">
        <f>IF($A18="","",[1]!thsiFinD("ths_adjustment_nv_fund",S$3,$A18))</f>
        <v/>
      </c>
      <c r="T18" s="180">
        <f>IF($A18="","",[1]!thsiFinD("ths_adjustment_nv_fund",T$3,$A18))</f>
        <v/>
      </c>
      <c r="U18" s="180">
        <f>IF($A18="","",[1]!thsiFinD("ths_adjustment_nv_fund",U$3,$A18))</f>
        <v/>
      </c>
      <c r="V18" s="180">
        <f>IF($A18="","",[1]!thsiFinD("ths_adjustment_nv_fund",V$3,$A18))</f>
        <v/>
      </c>
      <c r="W18" s="180">
        <f>IF($A18="","",[1]!thsiFinD("ths_adjustment_nv_fund",W$3,$A18))</f>
        <v/>
      </c>
      <c r="X18" s="180">
        <f>IF($A18="","",[1]!thsiFinD("ths_adjustment_nv_fund",X$3,$A18))</f>
        <v/>
      </c>
    </row>
    <row r="19">
      <c r="A19" s="179" t="n"/>
      <c r="B19" s="180">
        <f>IF($A19="","",[1]!thsiFinD("ths_adjustment_nv_fund",B$3,$A19))</f>
        <v/>
      </c>
      <c r="C19" s="180">
        <f>IF($A19="","",[1]!thsiFinD("ths_adjustment_nv_fund",C$3,$A19))</f>
        <v/>
      </c>
      <c r="D19" s="180">
        <f>IF($A19="","",[1]!thsiFinD("ths_adjustment_nv_fund",D$3,$A19))</f>
        <v/>
      </c>
      <c r="E19" s="180">
        <f>IF($A19="","",[1]!thsiFinD("ths_adjustment_nv_fund",E$3,$A19))</f>
        <v/>
      </c>
      <c r="F19" s="180">
        <f>IF($A19="","",[1]!thsiFinD("ths_adjustment_nv_fund",F$3,$A19))</f>
        <v/>
      </c>
      <c r="G19" s="180">
        <f>IF($A19="","",[1]!thsiFinD("ths_adjustment_nv_fund",G$3,$A19))</f>
        <v/>
      </c>
      <c r="H19" s="180">
        <f>IF($A19="","",[1]!thsiFinD("ths_adjustment_nv_fund",H$3,$A19))</f>
        <v/>
      </c>
      <c r="I19" s="180">
        <f>IF($A19="","",[1]!thsiFinD("ths_adjustment_nv_fund",I$3,$A19))</f>
        <v/>
      </c>
      <c r="J19" s="180">
        <f>IF($A19="","",[1]!thsiFinD("ths_adjustment_nv_fund",J$3,$A19))</f>
        <v/>
      </c>
      <c r="K19" s="180">
        <f>IF($A19="","",[1]!thsiFinD("ths_adjustment_nv_fund",K$3,$A19))</f>
        <v/>
      </c>
      <c r="L19" s="180">
        <f>IF($A19="","",[1]!thsiFinD("ths_adjustment_nv_fund",L$3,$A19))</f>
        <v/>
      </c>
      <c r="M19" s="180">
        <f>IF($A19="","",[1]!thsiFinD("ths_adjustment_nv_fund",M$3,$A19))</f>
        <v/>
      </c>
      <c r="N19" s="180">
        <f>IF($A19="","",[1]!thsiFinD("ths_adjustment_nv_fund",N$3,$A19))</f>
        <v/>
      </c>
      <c r="O19" s="180">
        <f>IF($A19="","",[1]!thsiFinD("ths_adjustment_nv_fund",O$3,$A19))</f>
        <v/>
      </c>
      <c r="P19" s="180">
        <f>IF($A19="","",[1]!thsiFinD("ths_adjustment_nv_fund",P$3,$A19))</f>
        <v/>
      </c>
      <c r="Q19" s="180">
        <f>IF($A19="","",[1]!thsiFinD("ths_adjustment_nv_fund",Q$3,$A19))</f>
        <v/>
      </c>
      <c r="R19" s="180">
        <f>IF($A19="","",[1]!thsiFinD("ths_adjustment_nv_fund",R$3,$A19))</f>
        <v/>
      </c>
      <c r="S19" s="180">
        <f>IF($A19="","",[1]!thsiFinD("ths_adjustment_nv_fund",S$3,$A19))</f>
        <v/>
      </c>
      <c r="T19" s="180">
        <f>IF($A19="","",[1]!thsiFinD("ths_adjustment_nv_fund",T$3,$A19))</f>
        <v/>
      </c>
      <c r="U19" s="180">
        <f>IF($A19="","",[1]!thsiFinD("ths_adjustment_nv_fund",U$3,$A19))</f>
        <v/>
      </c>
      <c r="V19" s="180">
        <f>IF($A19="","",[1]!thsiFinD("ths_adjustment_nv_fund",V$3,$A19))</f>
        <v/>
      </c>
      <c r="W19" s="180">
        <f>IF($A19="","",[1]!thsiFinD("ths_adjustment_nv_fund",W$3,$A19))</f>
        <v/>
      </c>
      <c r="X19" s="180">
        <f>IF($A19="","",[1]!thsiFinD("ths_adjustment_nv_fund",X$3,$A19))</f>
        <v/>
      </c>
    </row>
    <row r="20">
      <c r="A20" s="179" t="n"/>
      <c r="B20" s="180">
        <f>IF($A20="","",[1]!thsiFinD("ths_adjustment_nv_fund",B$3,$A20))</f>
        <v/>
      </c>
      <c r="C20" s="180">
        <f>IF($A20="","",[1]!thsiFinD("ths_adjustment_nv_fund",C$3,$A20))</f>
        <v/>
      </c>
      <c r="D20" s="180">
        <f>IF($A20="","",[1]!thsiFinD("ths_adjustment_nv_fund",D$3,$A20))</f>
        <v/>
      </c>
      <c r="E20" s="180">
        <f>IF($A20="","",[1]!thsiFinD("ths_adjustment_nv_fund",E$3,$A20))</f>
        <v/>
      </c>
      <c r="F20" s="180">
        <f>IF($A20="","",[1]!thsiFinD("ths_adjustment_nv_fund",F$3,$A20))</f>
        <v/>
      </c>
      <c r="G20" s="180">
        <f>IF($A20="","",[1]!thsiFinD("ths_adjustment_nv_fund",G$3,$A20))</f>
        <v/>
      </c>
      <c r="H20" s="180">
        <f>IF($A20="","",[1]!thsiFinD("ths_adjustment_nv_fund",H$3,$A20))</f>
        <v/>
      </c>
      <c r="I20" s="180">
        <f>IF($A20="","",[1]!thsiFinD("ths_adjustment_nv_fund",I$3,$A20))</f>
        <v/>
      </c>
      <c r="J20" s="180">
        <f>IF($A20="","",[1]!thsiFinD("ths_adjustment_nv_fund",J$3,$A20))</f>
        <v/>
      </c>
      <c r="K20" s="180">
        <f>IF($A20="","",[1]!thsiFinD("ths_adjustment_nv_fund",K$3,$A20))</f>
        <v/>
      </c>
      <c r="L20" s="180">
        <f>IF($A20="","",[1]!thsiFinD("ths_adjustment_nv_fund",L$3,$A20))</f>
        <v/>
      </c>
      <c r="M20" s="180">
        <f>IF($A20="","",[1]!thsiFinD("ths_adjustment_nv_fund",M$3,$A20))</f>
        <v/>
      </c>
      <c r="N20" s="180">
        <f>IF($A20="","",[1]!thsiFinD("ths_adjustment_nv_fund",N$3,$A20))</f>
        <v/>
      </c>
      <c r="O20" s="180">
        <f>IF($A20="","",[1]!thsiFinD("ths_adjustment_nv_fund",O$3,$A20))</f>
        <v/>
      </c>
      <c r="P20" s="180">
        <f>IF($A20="","",[1]!thsiFinD("ths_adjustment_nv_fund",P$3,$A20))</f>
        <v/>
      </c>
      <c r="Q20" s="180">
        <f>IF($A20="","",[1]!thsiFinD("ths_adjustment_nv_fund",Q$3,$A20))</f>
        <v/>
      </c>
      <c r="R20" s="180">
        <f>IF($A20="","",[1]!thsiFinD("ths_adjustment_nv_fund",R$3,$A20))</f>
        <v/>
      </c>
      <c r="S20" s="180">
        <f>IF($A20="","",[1]!thsiFinD("ths_adjustment_nv_fund",S$3,$A20))</f>
        <v/>
      </c>
      <c r="T20" s="180">
        <f>IF($A20="","",[1]!thsiFinD("ths_adjustment_nv_fund",T$3,$A20))</f>
        <v/>
      </c>
      <c r="U20" s="180">
        <f>IF($A20="","",[1]!thsiFinD("ths_adjustment_nv_fund",U$3,$A20))</f>
        <v/>
      </c>
      <c r="V20" s="180">
        <f>IF($A20="","",[1]!thsiFinD("ths_adjustment_nv_fund",V$3,$A20))</f>
        <v/>
      </c>
      <c r="W20" s="180">
        <f>IF($A20="","",[1]!thsiFinD("ths_adjustment_nv_fund",W$3,$A20))</f>
        <v/>
      </c>
      <c r="X20" s="180">
        <f>IF($A20="","",[1]!thsiFinD("ths_adjustment_nv_fund",X$3,$A20))</f>
        <v/>
      </c>
    </row>
    <row r="21">
      <c r="A21" s="179" t="n"/>
      <c r="B21" s="180">
        <f>IF($A21="","",[1]!thsiFinD("ths_adjustment_nv_fund",B$3,$A21))</f>
        <v/>
      </c>
      <c r="C21" s="180">
        <f>IF($A21="","",[1]!thsiFinD("ths_adjustment_nv_fund",C$3,$A21))</f>
        <v/>
      </c>
      <c r="D21" s="180">
        <f>IF($A21="","",[1]!thsiFinD("ths_adjustment_nv_fund",D$3,$A21))</f>
        <v/>
      </c>
      <c r="E21" s="180">
        <f>IF($A21="","",[1]!thsiFinD("ths_adjustment_nv_fund",E$3,$A21))</f>
        <v/>
      </c>
      <c r="F21" s="180">
        <f>IF($A21="","",[1]!thsiFinD("ths_adjustment_nv_fund",F$3,$A21))</f>
        <v/>
      </c>
      <c r="G21" s="180">
        <f>IF($A21="","",[1]!thsiFinD("ths_adjustment_nv_fund",G$3,$A21))</f>
        <v/>
      </c>
      <c r="H21" s="180">
        <f>IF($A21="","",[1]!thsiFinD("ths_adjustment_nv_fund",H$3,$A21))</f>
        <v/>
      </c>
      <c r="I21" s="180">
        <f>IF($A21="","",[1]!thsiFinD("ths_adjustment_nv_fund",I$3,$A21))</f>
        <v/>
      </c>
      <c r="J21" s="180">
        <f>IF($A21="","",[1]!thsiFinD("ths_adjustment_nv_fund",J$3,$A21))</f>
        <v/>
      </c>
      <c r="K21" s="180">
        <f>IF($A21="","",[1]!thsiFinD("ths_adjustment_nv_fund",K$3,$A21))</f>
        <v/>
      </c>
      <c r="L21" s="180">
        <f>IF($A21="","",[1]!thsiFinD("ths_adjustment_nv_fund",L$3,$A21))</f>
        <v/>
      </c>
      <c r="M21" s="180">
        <f>IF($A21="","",[1]!thsiFinD("ths_adjustment_nv_fund",M$3,$A21))</f>
        <v/>
      </c>
      <c r="N21" s="180">
        <f>IF($A21="","",[1]!thsiFinD("ths_adjustment_nv_fund",N$3,$A21))</f>
        <v/>
      </c>
      <c r="O21" s="180">
        <f>IF($A21="","",[1]!thsiFinD("ths_adjustment_nv_fund",O$3,$A21))</f>
        <v/>
      </c>
      <c r="P21" s="180">
        <f>IF($A21="","",[1]!thsiFinD("ths_adjustment_nv_fund",P$3,$A21))</f>
        <v/>
      </c>
      <c r="Q21" s="180">
        <f>IF($A21="","",[1]!thsiFinD("ths_adjustment_nv_fund",Q$3,$A21))</f>
        <v/>
      </c>
      <c r="R21" s="180">
        <f>IF($A21="","",[1]!thsiFinD("ths_adjustment_nv_fund",R$3,$A21))</f>
        <v/>
      </c>
      <c r="S21" s="180">
        <f>IF($A21="","",[1]!thsiFinD("ths_adjustment_nv_fund",S$3,$A21))</f>
        <v/>
      </c>
      <c r="T21" s="180">
        <f>IF($A21="","",[1]!thsiFinD("ths_adjustment_nv_fund",T$3,$A21))</f>
        <v/>
      </c>
      <c r="U21" s="180">
        <f>IF($A21="","",[1]!thsiFinD("ths_adjustment_nv_fund",U$3,$A21))</f>
        <v/>
      </c>
      <c r="V21" s="180">
        <f>IF($A21="","",[1]!thsiFinD("ths_adjustment_nv_fund",V$3,$A21))</f>
        <v/>
      </c>
      <c r="W21" s="180">
        <f>IF($A21="","",[1]!thsiFinD("ths_adjustment_nv_fund",W$3,$A21))</f>
        <v/>
      </c>
      <c r="X21" s="180">
        <f>IF($A21="","",[1]!thsiFinD("ths_adjustment_nv_fund",X$3,$A21))</f>
        <v/>
      </c>
    </row>
    <row r="22">
      <c r="A22" s="179" t="n"/>
      <c r="B22" s="180">
        <f>IF($A22="","",[1]!thsiFinD("ths_adjustment_nv_fund",B$3,$A22))</f>
        <v/>
      </c>
      <c r="C22" s="180">
        <f>IF($A22="","",[1]!thsiFinD("ths_adjustment_nv_fund",C$3,$A22))</f>
        <v/>
      </c>
      <c r="D22" s="180">
        <f>IF($A22="","",[1]!thsiFinD("ths_adjustment_nv_fund",D$3,$A22))</f>
        <v/>
      </c>
      <c r="E22" s="180">
        <f>IF($A22="","",[1]!thsiFinD("ths_adjustment_nv_fund",E$3,$A22))</f>
        <v/>
      </c>
      <c r="F22" s="180">
        <f>IF($A22="","",[1]!thsiFinD("ths_adjustment_nv_fund",F$3,$A22))</f>
        <v/>
      </c>
      <c r="G22" s="180">
        <f>IF($A22="","",[1]!thsiFinD("ths_adjustment_nv_fund",G$3,$A22))</f>
        <v/>
      </c>
      <c r="H22" s="180">
        <f>IF($A22="","",[1]!thsiFinD("ths_adjustment_nv_fund",H$3,$A22))</f>
        <v/>
      </c>
      <c r="I22" s="180">
        <f>IF($A22="","",[1]!thsiFinD("ths_adjustment_nv_fund",I$3,$A22))</f>
        <v/>
      </c>
      <c r="J22" s="180">
        <f>IF($A22="","",[1]!thsiFinD("ths_adjustment_nv_fund",J$3,$A22))</f>
        <v/>
      </c>
      <c r="K22" s="180">
        <f>IF($A22="","",[1]!thsiFinD("ths_adjustment_nv_fund",K$3,$A22))</f>
        <v/>
      </c>
      <c r="L22" s="180">
        <f>IF($A22="","",[1]!thsiFinD("ths_adjustment_nv_fund",L$3,$A22))</f>
        <v/>
      </c>
      <c r="M22" s="180">
        <f>IF($A22="","",[1]!thsiFinD("ths_adjustment_nv_fund",M$3,$A22))</f>
        <v/>
      </c>
      <c r="N22" s="180">
        <f>IF($A22="","",[1]!thsiFinD("ths_adjustment_nv_fund",N$3,$A22))</f>
        <v/>
      </c>
      <c r="O22" s="180">
        <f>IF($A22="","",[1]!thsiFinD("ths_adjustment_nv_fund",O$3,$A22))</f>
        <v/>
      </c>
      <c r="P22" s="180">
        <f>IF($A22="","",[1]!thsiFinD("ths_adjustment_nv_fund",P$3,$A22))</f>
        <v/>
      </c>
      <c r="Q22" s="180">
        <f>IF($A22="","",[1]!thsiFinD("ths_adjustment_nv_fund",Q$3,$A22))</f>
        <v/>
      </c>
      <c r="R22" s="180">
        <f>IF($A22="","",[1]!thsiFinD("ths_adjustment_nv_fund",R$3,$A22))</f>
        <v/>
      </c>
      <c r="S22" s="180">
        <f>IF($A22="","",[1]!thsiFinD("ths_adjustment_nv_fund",S$3,$A22))</f>
        <v/>
      </c>
      <c r="T22" s="180">
        <f>IF($A22="","",[1]!thsiFinD("ths_adjustment_nv_fund",T$3,$A22))</f>
        <v/>
      </c>
      <c r="U22" s="180">
        <f>IF($A22="","",[1]!thsiFinD("ths_adjustment_nv_fund",U$3,$A22))</f>
        <v/>
      </c>
      <c r="V22" s="180">
        <f>IF($A22="","",[1]!thsiFinD("ths_adjustment_nv_fund",V$3,$A22))</f>
        <v/>
      </c>
      <c r="W22" s="180">
        <f>IF($A22="","",[1]!thsiFinD("ths_adjustment_nv_fund",W$3,$A22))</f>
        <v/>
      </c>
      <c r="X22" s="180">
        <f>IF($A22="","",[1]!thsiFinD("ths_adjustment_nv_fund",X$3,$A22))</f>
        <v/>
      </c>
    </row>
    <row r="23">
      <c r="A23" s="179" t="n"/>
      <c r="B23" s="180">
        <f>IF($A23="","",[1]!thsiFinD("ths_adjustment_nv_fund",B$3,$A23))</f>
        <v/>
      </c>
      <c r="C23" s="180">
        <f>IF($A23="","",[1]!thsiFinD("ths_adjustment_nv_fund",C$3,$A23))</f>
        <v/>
      </c>
      <c r="D23" s="180">
        <f>IF($A23="","",[1]!thsiFinD("ths_adjustment_nv_fund",D$3,$A23))</f>
        <v/>
      </c>
      <c r="E23" s="180">
        <f>IF($A23="","",[1]!thsiFinD("ths_adjustment_nv_fund",E$3,$A23))</f>
        <v/>
      </c>
      <c r="F23" s="180">
        <f>IF($A23="","",[1]!thsiFinD("ths_adjustment_nv_fund",F$3,$A23))</f>
        <v/>
      </c>
      <c r="G23" s="180">
        <f>IF($A23="","",[1]!thsiFinD("ths_adjustment_nv_fund",G$3,$A23))</f>
        <v/>
      </c>
      <c r="H23" s="180">
        <f>IF($A23="","",[1]!thsiFinD("ths_adjustment_nv_fund",H$3,$A23))</f>
        <v/>
      </c>
      <c r="I23" s="180">
        <f>IF($A23="","",[1]!thsiFinD("ths_adjustment_nv_fund",I$3,$A23))</f>
        <v/>
      </c>
      <c r="J23" s="180">
        <f>IF($A23="","",[1]!thsiFinD("ths_adjustment_nv_fund",J$3,$A23))</f>
        <v/>
      </c>
      <c r="K23" s="180">
        <f>IF($A23="","",[1]!thsiFinD("ths_adjustment_nv_fund",K$3,$A23))</f>
        <v/>
      </c>
      <c r="L23" s="180">
        <f>IF($A23="","",[1]!thsiFinD("ths_adjustment_nv_fund",L$3,$A23))</f>
        <v/>
      </c>
      <c r="M23" s="180">
        <f>IF($A23="","",[1]!thsiFinD("ths_adjustment_nv_fund",M$3,$A23))</f>
        <v/>
      </c>
      <c r="N23" s="180">
        <f>IF($A23="","",[1]!thsiFinD("ths_adjustment_nv_fund",N$3,$A23))</f>
        <v/>
      </c>
      <c r="O23" s="180">
        <f>IF($A23="","",[1]!thsiFinD("ths_adjustment_nv_fund",O$3,$A23))</f>
        <v/>
      </c>
      <c r="P23" s="180">
        <f>IF($A23="","",[1]!thsiFinD("ths_adjustment_nv_fund",P$3,$A23))</f>
        <v/>
      </c>
      <c r="Q23" s="180">
        <f>IF($A23="","",[1]!thsiFinD("ths_adjustment_nv_fund",Q$3,$A23))</f>
        <v/>
      </c>
      <c r="R23" s="180">
        <f>IF($A23="","",[1]!thsiFinD("ths_adjustment_nv_fund",R$3,$A23))</f>
        <v/>
      </c>
      <c r="S23" s="180">
        <f>IF($A23="","",[1]!thsiFinD("ths_adjustment_nv_fund",S$3,$A23))</f>
        <v/>
      </c>
      <c r="T23" s="180">
        <f>IF($A23="","",[1]!thsiFinD("ths_adjustment_nv_fund",T$3,$A23))</f>
        <v/>
      </c>
      <c r="U23" s="180">
        <f>IF($A23="","",[1]!thsiFinD("ths_adjustment_nv_fund",U$3,$A23))</f>
        <v/>
      </c>
      <c r="V23" s="180">
        <f>IF($A23="","",[1]!thsiFinD("ths_adjustment_nv_fund",V$3,$A23))</f>
        <v/>
      </c>
      <c r="W23" s="180">
        <f>IF($A23="","",[1]!thsiFinD("ths_adjustment_nv_fund",W$3,$A23))</f>
        <v/>
      </c>
      <c r="X23" s="180">
        <f>IF($A23="","",[1]!thsiFinD("ths_adjustment_nv_fund",X$3,$A23))</f>
        <v/>
      </c>
    </row>
    <row r="24">
      <c r="A24" s="179" t="n"/>
      <c r="B24" s="180">
        <f>IF($A24="","",[1]!thsiFinD("ths_adjustment_nv_fund",B$3,$A24))</f>
        <v/>
      </c>
      <c r="C24" s="180">
        <f>IF($A24="","",[1]!thsiFinD("ths_adjustment_nv_fund",C$3,$A24))</f>
        <v/>
      </c>
      <c r="D24" s="180">
        <f>IF($A24="","",[1]!thsiFinD("ths_adjustment_nv_fund",D$3,$A24))</f>
        <v/>
      </c>
      <c r="E24" s="180">
        <f>IF($A24="","",[1]!thsiFinD("ths_adjustment_nv_fund",E$3,$A24))</f>
        <v/>
      </c>
      <c r="F24" s="180">
        <f>IF($A24="","",[1]!thsiFinD("ths_adjustment_nv_fund",F$3,$A24))</f>
        <v/>
      </c>
      <c r="G24" s="180">
        <f>IF($A24="","",[1]!thsiFinD("ths_adjustment_nv_fund",G$3,$A24))</f>
        <v/>
      </c>
      <c r="H24" s="180">
        <f>IF($A24="","",[1]!thsiFinD("ths_adjustment_nv_fund",H$3,$A24))</f>
        <v/>
      </c>
      <c r="I24" s="180">
        <f>IF($A24="","",[1]!thsiFinD("ths_adjustment_nv_fund",I$3,$A24))</f>
        <v/>
      </c>
      <c r="J24" s="180">
        <f>IF($A24="","",[1]!thsiFinD("ths_adjustment_nv_fund",J$3,$A24))</f>
        <v/>
      </c>
      <c r="K24" s="180">
        <f>IF($A24="","",[1]!thsiFinD("ths_adjustment_nv_fund",K$3,$A24))</f>
        <v/>
      </c>
      <c r="L24" s="180">
        <f>IF($A24="","",[1]!thsiFinD("ths_adjustment_nv_fund",L$3,$A24))</f>
        <v/>
      </c>
      <c r="M24" s="180">
        <f>IF($A24="","",[1]!thsiFinD("ths_adjustment_nv_fund",M$3,$A24))</f>
        <v/>
      </c>
      <c r="N24" s="180">
        <f>IF($A24="","",[1]!thsiFinD("ths_adjustment_nv_fund",N$3,$A24))</f>
        <v/>
      </c>
      <c r="O24" s="180">
        <f>IF($A24="","",[1]!thsiFinD("ths_adjustment_nv_fund",O$3,$A24))</f>
        <v/>
      </c>
      <c r="P24" s="180">
        <f>IF($A24="","",[1]!thsiFinD("ths_adjustment_nv_fund",P$3,$A24))</f>
        <v/>
      </c>
      <c r="Q24" s="180">
        <f>IF($A24="","",[1]!thsiFinD("ths_adjustment_nv_fund",Q$3,$A24))</f>
        <v/>
      </c>
      <c r="R24" s="180">
        <f>IF($A24="","",[1]!thsiFinD("ths_adjustment_nv_fund",R$3,$A24))</f>
        <v/>
      </c>
      <c r="S24" s="180">
        <f>IF($A24="","",[1]!thsiFinD("ths_adjustment_nv_fund",S$3,$A24))</f>
        <v/>
      </c>
      <c r="T24" s="180">
        <f>IF($A24="","",[1]!thsiFinD("ths_adjustment_nv_fund",T$3,$A24))</f>
        <v/>
      </c>
      <c r="U24" s="180">
        <f>IF($A24="","",[1]!thsiFinD("ths_adjustment_nv_fund",U$3,$A24))</f>
        <v/>
      </c>
      <c r="V24" s="180">
        <f>IF($A24="","",[1]!thsiFinD("ths_adjustment_nv_fund",V$3,$A24))</f>
        <v/>
      </c>
      <c r="W24" s="180">
        <f>IF($A24="","",[1]!thsiFinD("ths_adjustment_nv_fund",W$3,$A24))</f>
        <v/>
      </c>
      <c r="X24" s="180">
        <f>IF($A24="","",[1]!thsiFinD("ths_adjustment_nv_fund",X$3,$A24))</f>
        <v/>
      </c>
    </row>
    <row r="25">
      <c r="A25" s="179" t="n"/>
      <c r="B25" s="180">
        <f>IF($A25="","",[1]!thsiFinD("ths_adjustment_nv_fund",B$3,$A25))</f>
        <v/>
      </c>
      <c r="C25" s="180">
        <f>IF($A25="","",[1]!thsiFinD("ths_adjustment_nv_fund",C$3,$A25))</f>
        <v/>
      </c>
      <c r="D25" s="180">
        <f>IF($A25="","",[1]!thsiFinD("ths_adjustment_nv_fund",D$3,$A25))</f>
        <v/>
      </c>
      <c r="E25" s="180">
        <f>IF($A25="","",[1]!thsiFinD("ths_adjustment_nv_fund",E$3,$A25))</f>
        <v/>
      </c>
      <c r="F25" s="180">
        <f>IF($A25="","",[1]!thsiFinD("ths_adjustment_nv_fund",F$3,$A25))</f>
        <v/>
      </c>
      <c r="G25" s="180">
        <f>IF($A25="","",[1]!thsiFinD("ths_adjustment_nv_fund",G$3,$A25))</f>
        <v/>
      </c>
      <c r="H25" s="180">
        <f>IF($A25="","",[1]!thsiFinD("ths_adjustment_nv_fund",H$3,$A25))</f>
        <v/>
      </c>
      <c r="I25" s="180">
        <f>IF($A25="","",[1]!thsiFinD("ths_adjustment_nv_fund",I$3,$A25))</f>
        <v/>
      </c>
      <c r="J25" s="180">
        <f>IF($A25="","",[1]!thsiFinD("ths_adjustment_nv_fund",J$3,$A25))</f>
        <v/>
      </c>
      <c r="K25" s="180">
        <f>IF($A25="","",[1]!thsiFinD("ths_adjustment_nv_fund",K$3,$A25))</f>
        <v/>
      </c>
      <c r="L25" s="180">
        <f>IF($A25="","",[1]!thsiFinD("ths_adjustment_nv_fund",L$3,$A25))</f>
        <v/>
      </c>
      <c r="M25" s="180">
        <f>IF($A25="","",[1]!thsiFinD("ths_adjustment_nv_fund",M$3,$A25))</f>
        <v/>
      </c>
      <c r="N25" s="180">
        <f>IF($A25="","",[1]!thsiFinD("ths_adjustment_nv_fund",N$3,$A25))</f>
        <v/>
      </c>
      <c r="O25" s="180">
        <f>IF($A25="","",[1]!thsiFinD("ths_adjustment_nv_fund",O$3,$A25))</f>
        <v/>
      </c>
      <c r="P25" s="180">
        <f>IF($A25="","",[1]!thsiFinD("ths_adjustment_nv_fund",P$3,$A25))</f>
        <v/>
      </c>
      <c r="Q25" s="180">
        <f>IF($A25="","",[1]!thsiFinD("ths_adjustment_nv_fund",Q$3,$A25))</f>
        <v/>
      </c>
      <c r="R25" s="180">
        <f>IF($A25="","",[1]!thsiFinD("ths_adjustment_nv_fund",R$3,$A25))</f>
        <v/>
      </c>
      <c r="S25" s="180">
        <f>IF($A25="","",[1]!thsiFinD("ths_adjustment_nv_fund",S$3,$A25))</f>
        <v/>
      </c>
      <c r="T25" s="180">
        <f>IF($A25="","",[1]!thsiFinD("ths_adjustment_nv_fund",T$3,$A25))</f>
        <v/>
      </c>
      <c r="U25" s="180">
        <f>IF($A25="","",[1]!thsiFinD("ths_adjustment_nv_fund",U$3,$A25))</f>
        <v/>
      </c>
      <c r="V25" s="180">
        <f>IF($A25="","",[1]!thsiFinD("ths_adjustment_nv_fund",V$3,$A25))</f>
        <v/>
      </c>
      <c r="W25" s="180">
        <f>IF($A25="","",[1]!thsiFinD("ths_adjustment_nv_fund",W$3,$A25))</f>
        <v/>
      </c>
      <c r="X25" s="180">
        <f>IF($A25="","",[1]!thsiFinD("ths_adjustment_nv_fund",X$3,$A25))</f>
        <v/>
      </c>
    </row>
    <row r="26">
      <c r="A26" s="179" t="n"/>
      <c r="B26" s="180">
        <f>IF($A26="","",[1]!thsiFinD("ths_adjustment_nv_fund",B$3,$A26))</f>
        <v/>
      </c>
      <c r="C26" s="180">
        <f>IF($A26="","",[1]!thsiFinD("ths_adjustment_nv_fund",C$3,$A26))</f>
        <v/>
      </c>
      <c r="D26" s="180">
        <f>IF($A26="","",[1]!thsiFinD("ths_adjustment_nv_fund",D$3,$A26))</f>
        <v/>
      </c>
      <c r="E26" s="180">
        <f>IF($A26="","",[1]!thsiFinD("ths_adjustment_nv_fund",E$3,$A26))</f>
        <v/>
      </c>
      <c r="F26" s="180">
        <f>IF($A26="","",[1]!thsiFinD("ths_adjustment_nv_fund",F$3,$A26))</f>
        <v/>
      </c>
      <c r="G26" s="180">
        <f>IF($A26="","",[1]!thsiFinD("ths_adjustment_nv_fund",G$3,$A26))</f>
        <v/>
      </c>
      <c r="H26" s="180">
        <f>IF($A26="","",[1]!thsiFinD("ths_adjustment_nv_fund",H$3,$A26))</f>
        <v/>
      </c>
      <c r="I26" s="180">
        <f>IF($A26="","",[1]!thsiFinD("ths_adjustment_nv_fund",I$3,$A26))</f>
        <v/>
      </c>
      <c r="J26" s="180">
        <f>IF($A26="","",[1]!thsiFinD("ths_adjustment_nv_fund",J$3,$A26))</f>
        <v/>
      </c>
      <c r="K26" s="180">
        <f>IF($A26="","",[1]!thsiFinD("ths_adjustment_nv_fund",K$3,$A26))</f>
        <v/>
      </c>
      <c r="L26" s="180">
        <f>IF($A26="","",[1]!thsiFinD("ths_adjustment_nv_fund",L$3,$A26))</f>
        <v/>
      </c>
      <c r="M26" s="180">
        <f>IF($A26="","",[1]!thsiFinD("ths_adjustment_nv_fund",M$3,$A26))</f>
        <v/>
      </c>
      <c r="N26" s="180">
        <f>IF($A26="","",[1]!thsiFinD("ths_adjustment_nv_fund",N$3,$A26))</f>
        <v/>
      </c>
      <c r="O26" s="180">
        <f>IF($A26="","",[1]!thsiFinD("ths_adjustment_nv_fund",O$3,$A26))</f>
        <v/>
      </c>
      <c r="P26" s="180">
        <f>IF($A26="","",[1]!thsiFinD("ths_adjustment_nv_fund",P$3,$A26))</f>
        <v/>
      </c>
      <c r="Q26" s="180">
        <f>IF($A26="","",[1]!thsiFinD("ths_adjustment_nv_fund",Q$3,$A26))</f>
        <v/>
      </c>
      <c r="R26" s="180">
        <f>IF($A26="","",[1]!thsiFinD("ths_adjustment_nv_fund",R$3,$A26))</f>
        <v/>
      </c>
      <c r="S26" s="180">
        <f>IF($A26="","",[1]!thsiFinD("ths_adjustment_nv_fund",S$3,$A26))</f>
        <v/>
      </c>
      <c r="T26" s="180">
        <f>IF($A26="","",[1]!thsiFinD("ths_adjustment_nv_fund",T$3,$A26))</f>
        <v/>
      </c>
      <c r="U26" s="180">
        <f>IF($A26="","",[1]!thsiFinD("ths_adjustment_nv_fund",U$3,$A26))</f>
        <v/>
      </c>
      <c r="V26" s="180">
        <f>IF($A26="","",[1]!thsiFinD("ths_adjustment_nv_fund",V$3,$A26))</f>
        <v/>
      </c>
      <c r="W26" s="180">
        <f>IF($A26="","",[1]!thsiFinD("ths_adjustment_nv_fund",W$3,$A26))</f>
        <v/>
      </c>
      <c r="X26" s="180">
        <f>IF($A26="","",[1]!thsiFinD("ths_adjustment_nv_fund",X$3,$A26))</f>
        <v/>
      </c>
    </row>
    <row r="27">
      <c r="A27" s="179" t="n"/>
      <c r="B27" s="180">
        <f>IF($A27="","",[1]!thsiFinD("ths_adjustment_nv_fund",B$3,$A27))</f>
        <v/>
      </c>
      <c r="C27" s="180">
        <f>IF($A27="","",[1]!thsiFinD("ths_adjustment_nv_fund",C$3,$A27))</f>
        <v/>
      </c>
      <c r="D27" s="180">
        <f>IF($A27="","",[1]!thsiFinD("ths_adjustment_nv_fund",D$3,$A27))</f>
        <v/>
      </c>
      <c r="E27" s="180">
        <f>IF($A27="","",[1]!thsiFinD("ths_adjustment_nv_fund",E$3,$A27))</f>
        <v/>
      </c>
      <c r="F27" s="180">
        <f>IF($A27="","",[1]!thsiFinD("ths_adjustment_nv_fund",F$3,$A27))</f>
        <v/>
      </c>
      <c r="G27" s="180">
        <f>IF($A27="","",[1]!thsiFinD("ths_adjustment_nv_fund",G$3,$A27))</f>
        <v/>
      </c>
      <c r="H27" s="180">
        <f>IF($A27="","",[1]!thsiFinD("ths_adjustment_nv_fund",H$3,$A27))</f>
        <v/>
      </c>
      <c r="I27" s="180">
        <f>IF($A27="","",[1]!thsiFinD("ths_adjustment_nv_fund",I$3,$A27))</f>
        <v/>
      </c>
      <c r="J27" s="180">
        <f>IF($A27="","",[1]!thsiFinD("ths_adjustment_nv_fund",J$3,$A27))</f>
        <v/>
      </c>
      <c r="K27" s="180">
        <f>IF($A27="","",[1]!thsiFinD("ths_adjustment_nv_fund",K$3,$A27))</f>
        <v/>
      </c>
      <c r="L27" s="180">
        <f>IF($A27="","",[1]!thsiFinD("ths_adjustment_nv_fund",L$3,$A27))</f>
        <v/>
      </c>
      <c r="M27" s="180">
        <f>IF($A27="","",[1]!thsiFinD("ths_adjustment_nv_fund",M$3,$A27))</f>
        <v/>
      </c>
      <c r="N27" s="180">
        <f>IF($A27="","",[1]!thsiFinD("ths_adjustment_nv_fund",N$3,$A27))</f>
        <v/>
      </c>
      <c r="O27" s="180">
        <f>IF($A27="","",[1]!thsiFinD("ths_adjustment_nv_fund",O$3,$A27))</f>
        <v/>
      </c>
      <c r="P27" s="180">
        <f>IF($A27="","",[1]!thsiFinD("ths_adjustment_nv_fund",P$3,$A27))</f>
        <v/>
      </c>
      <c r="Q27" s="180">
        <f>IF($A27="","",[1]!thsiFinD("ths_adjustment_nv_fund",Q$3,$A27))</f>
        <v/>
      </c>
      <c r="R27" s="180">
        <f>IF($A27="","",[1]!thsiFinD("ths_adjustment_nv_fund",R$3,$A27))</f>
        <v/>
      </c>
      <c r="S27" s="180">
        <f>IF($A27="","",[1]!thsiFinD("ths_adjustment_nv_fund",S$3,$A27))</f>
        <v/>
      </c>
      <c r="T27" s="180">
        <f>IF($A27="","",[1]!thsiFinD("ths_adjustment_nv_fund",T$3,$A27))</f>
        <v/>
      </c>
      <c r="U27" s="180">
        <f>IF($A27="","",[1]!thsiFinD("ths_adjustment_nv_fund",U$3,$A27))</f>
        <v/>
      </c>
      <c r="V27" s="180">
        <f>IF($A27="","",[1]!thsiFinD("ths_adjustment_nv_fund",V$3,$A27))</f>
        <v/>
      </c>
      <c r="W27" s="180">
        <f>IF($A27="","",[1]!thsiFinD("ths_adjustment_nv_fund",W$3,$A27))</f>
        <v/>
      </c>
      <c r="X27" s="180">
        <f>IF($A27="","",[1]!thsiFinD("ths_adjustment_nv_fund",X$3,$A27))</f>
        <v/>
      </c>
    </row>
    <row r="28">
      <c r="A28" s="179" t="n"/>
      <c r="B28" s="180">
        <f>IF($A28="","",[1]!thsiFinD("ths_adjustment_nv_fund",B$3,$A28))</f>
        <v/>
      </c>
      <c r="C28" s="180">
        <f>IF($A28="","",[1]!thsiFinD("ths_adjustment_nv_fund",C$3,$A28))</f>
        <v/>
      </c>
      <c r="D28" s="180">
        <f>IF($A28="","",[1]!thsiFinD("ths_adjustment_nv_fund",D$3,$A28))</f>
        <v/>
      </c>
      <c r="E28" s="180">
        <f>IF($A28="","",[1]!thsiFinD("ths_adjustment_nv_fund",E$3,$A28))</f>
        <v/>
      </c>
      <c r="F28" s="180">
        <f>IF($A28="","",[1]!thsiFinD("ths_adjustment_nv_fund",F$3,$A28))</f>
        <v/>
      </c>
      <c r="G28" s="180">
        <f>IF($A28="","",[1]!thsiFinD("ths_adjustment_nv_fund",G$3,$A28))</f>
        <v/>
      </c>
      <c r="H28" s="180">
        <f>IF($A28="","",[1]!thsiFinD("ths_adjustment_nv_fund",H$3,$A28))</f>
        <v/>
      </c>
      <c r="I28" s="180">
        <f>IF($A28="","",[1]!thsiFinD("ths_adjustment_nv_fund",I$3,$A28))</f>
        <v/>
      </c>
      <c r="J28" s="180">
        <f>IF($A28="","",[1]!thsiFinD("ths_adjustment_nv_fund",J$3,$A28))</f>
        <v/>
      </c>
      <c r="K28" s="180">
        <f>IF($A28="","",[1]!thsiFinD("ths_adjustment_nv_fund",K$3,$A28))</f>
        <v/>
      </c>
      <c r="L28" s="180">
        <f>IF($A28="","",[1]!thsiFinD("ths_adjustment_nv_fund",L$3,$A28))</f>
        <v/>
      </c>
      <c r="M28" s="180">
        <f>IF($A28="","",[1]!thsiFinD("ths_adjustment_nv_fund",M$3,$A28))</f>
        <v/>
      </c>
      <c r="N28" s="180">
        <f>IF($A28="","",[1]!thsiFinD("ths_adjustment_nv_fund",N$3,$A28))</f>
        <v/>
      </c>
      <c r="O28" s="180">
        <f>IF($A28="","",[1]!thsiFinD("ths_adjustment_nv_fund",O$3,$A28))</f>
        <v/>
      </c>
      <c r="P28" s="180">
        <f>IF($A28="","",[1]!thsiFinD("ths_adjustment_nv_fund",P$3,$A28))</f>
        <v/>
      </c>
      <c r="Q28" s="180">
        <f>IF($A28="","",[1]!thsiFinD("ths_adjustment_nv_fund",Q$3,$A28))</f>
        <v/>
      </c>
      <c r="R28" s="180">
        <f>IF($A28="","",[1]!thsiFinD("ths_adjustment_nv_fund",R$3,$A28))</f>
        <v/>
      </c>
      <c r="S28" s="180">
        <f>IF($A28="","",[1]!thsiFinD("ths_adjustment_nv_fund",S$3,$A28))</f>
        <v/>
      </c>
      <c r="T28" s="180">
        <f>IF($A28="","",[1]!thsiFinD("ths_adjustment_nv_fund",T$3,$A28))</f>
        <v/>
      </c>
      <c r="U28" s="180">
        <f>IF($A28="","",[1]!thsiFinD("ths_adjustment_nv_fund",U$3,$A28))</f>
        <v/>
      </c>
      <c r="V28" s="180">
        <f>IF($A28="","",[1]!thsiFinD("ths_adjustment_nv_fund",V$3,$A28))</f>
        <v/>
      </c>
      <c r="W28" s="180">
        <f>IF($A28="","",[1]!thsiFinD("ths_adjustment_nv_fund",W$3,$A28))</f>
        <v/>
      </c>
      <c r="X28" s="180">
        <f>IF($A28="","",[1]!thsiFinD("ths_adjustment_nv_fund",X$3,$A28))</f>
        <v/>
      </c>
    </row>
    <row r="29">
      <c r="A29" s="179" t="n"/>
      <c r="B29" s="180">
        <f>IF($A29="","",[1]!thsiFinD("ths_adjustment_nv_fund",B$3,$A29))</f>
        <v/>
      </c>
      <c r="C29" s="180">
        <f>IF($A29="","",[1]!thsiFinD("ths_adjustment_nv_fund",C$3,$A29))</f>
        <v/>
      </c>
      <c r="D29" s="180">
        <f>IF($A29="","",[1]!thsiFinD("ths_adjustment_nv_fund",D$3,$A29))</f>
        <v/>
      </c>
      <c r="E29" s="180">
        <f>IF($A29="","",[1]!thsiFinD("ths_adjustment_nv_fund",E$3,$A29))</f>
        <v/>
      </c>
      <c r="F29" s="180">
        <f>IF($A29="","",[1]!thsiFinD("ths_adjustment_nv_fund",F$3,$A29))</f>
        <v/>
      </c>
      <c r="G29" s="180">
        <f>IF($A29="","",[1]!thsiFinD("ths_adjustment_nv_fund",G$3,$A29))</f>
        <v/>
      </c>
      <c r="H29" s="180">
        <f>IF($A29="","",[1]!thsiFinD("ths_adjustment_nv_fund",H$3,$A29))</f>
        <v/>
      </c>
      <c r="I29" s="180">
        <f>IF($A29="","",[1]!thsiFinD("ths_adjustment_nv_fund",I$3,$A29))</f>
        <v/>
      </c>
      <c r="J29" s="180">
        <f>IF($A29="","",[1]!thsiFinD("ths_adjustment_nv_fund",J$3,$A29))</f>
        <v/>
      </c>
      <c r="K29" s="180">
        <f>IF($A29="","",[1]!thsiFinD("ths_adjustment_nv_fund",K$3,$A29))</f>
        <v/>
      </c>
      <c r="L29" s="180">
        <f>IF($A29="","",[1]!thsiFinD("ths_adjustment_nv_fund",L$3,$A29))</f>
        <v/>
      </c>
      <c r="M29" s="180">
        <f>IF($A29="","",[1]!thsiFinD("ths_adjustment_nv_fund",M$3,$A29))</f>
        <v/>
      </c>
      <c r="N29" s="180">
        <f>IF($A29="","",[1]!thsiFinD("ths_adjustment_nv_fund",N$3,$A29))</f>
        <v/>
      </c>
      <c r="O29" s="180">
        <f>IF($A29="","",[1]!thsiFinD("ths_adjustment_nv_fund",O$3,$A29))</f>
        <v/>
      </c>
      <c r="P29" s="180">
        <f>IF($A29="","",[1]!thsiFinD("ths_adjustment_nv_fund",P$3,$A29))</f>
        <v/>
      </c>
      <c r="Q29" s="180">
        <f>IF($A29="","",[1]!thsiFinD("ths_adjustment_nv_fund",Q$3,$A29))</f>
        <v/>
      </c>
      <c r="R29" s="180">
        <f>IF($A29="","",[1]!thsiFinD("ths_adjustment_nv_fund",R$3,$A29))</f>
        <v/>
      </c>
      <c r="S29" s="180">
        <f>IF($A29="","",[1]!thsiFinD("ths_adjustment_nv_fund",S$3,$A29))</f>
        <v/>
      </c>
      <c r="T29" s="180">
        <f>IF($A29="","",[1]!thsiFinD("ths_adjustment_nv_fund",T$3,$A29))</f>
        <v/>
      </c>
      <c r="U29" s="180">
        <f>IF($A29="","",[1]!thsiFinD("ths_adjustment_nv_fund",U$3,$A29))</f>
        <v/>
      </c>
      <c r="V29" s="180">
        <f>IF($A29="","",[1]!thsiFinD("ths_adjustment_nv_fund",V$3,$A29))</f>
        <v/>
      </c>
      <c r="W29" s="180">
        <f>IF($A29="","",[1]!thsiFinD("ths_adjustment_nv_fund",W$3,$A29))</f>
        <v/>
      </c>
      <c r="X29" s="180">
        <f>IF($A29="","",[1]!thsiFinD("ths_adjustment_nv_fund",X$3,$A29))</f>
        <v/>
      </c>
    </row>
    <row r="30">
      <c r="A30" s="179" t="n"/>
      <c r="B30" s="180">
        <f>IF($A30="","",[1]!thsiFinD("ths_adjustment_nv_fund",B$3,$A30))</f>
        <v/>
      </c>
      <c r="C30" s="180">
        <f>IF($A30="","",[1]!thsiFinD("ths_adjustment_nv_fund",C$3,$A30))</f>
        <v/>
      </c>
      <c r="D30" s="180">
        <f>IF($A30="","",[1]!thsiFinD("ths_adjustment_nv_fund",D$3,$A30))</f>
        <v/>
      </c>
      <c r="E30" s="180">
        <f>IF($A30="","",[1]!thsiFinD("ths_adjustment_nv_fund",E$3,$A30))</f>
        <v/>
      </c>
      <c r="F30" s="180">
        <f>IF($A30="","",[1]!thsiFinD("ths_adjustment_nv_fund",F$3,$A30))</f>
        <v/>
      </c>
      <c r="G30" s="180">
        <f>IF($A30="","",[1]!thsiFinD("ths_adjustment_nv_fund",G$3,$A30))</f>
        <v/>
      </c>
      <c r="H30" s="180">
        <f>IF($A30="","",[1]!thsiFinD("ths_adjustment_nv_fund",H$3,$A30))</f>
        <v/>
      </c>
      <c r="I30" s="180">
        <f>IF($A30="","",[1]!thsiFinD("ths_adjustment_nv_fund",I$3,$A30))</f>
        <v/>
      </c>
      <c r="J30" s="180">
        <f>IF($A30="","",[1]!thsiFinD("ths_adjustment_nv_fund",J$3,$A30))</f>
        <v/>
      </c>
      <c r="K30" s="180">
        <f>IF($A30="","",[1]!thsiFinD("ths_adjustment_nv_fund",K$3,$A30))</f>
        <v/>
      </c>
      <c r="L30" s="180">
        <f>IF($A30="","",[1]!thsiFinD("ths_adjustment_nv_fund",L$3,$A30))</f>
        <v/>
      </c>
      <c r="M30" s="180">
        <f>IF($A30="","",[1]!thsiFinD("ths_adjustment_nv_fund",M$3,$A30))</f>
        <v/>
      </c>
      <c r="N30" s="180">
        <f>IF($A30="","",[1]!thsiFinD("ths_adjustment_nv_fund",N$3,$A30))</f>
        <v/>
      </c>
      <c r="O30" s="180">
        <f>IF($A30="","",[1]!thsiFinD("ths_adjustment_nv_fund",O$3,$A30))</f>
        <v/>
      </c>
      <c r="P30" s="180">
        <f>IF($A30="","",[1]!thsiFinD("ths_adjustment_nv_fund",P$3,$A30))</f>
        <v/>
      </c>
      <c r="Q30" s="180">
        <f>IF($A30="","",[1]!thsiFinD("ths_adjustment_nv_fund",Q$3,$A30))</f>
        <v/>
      </c>
      <c r="R30" s="180">
        <f>IF($A30="","",[1]!thsiFinD("ths_adjustment_nv_fund",R$3,$A30))</f>
        <v/>
      </c>
      <c r="S30" s="180">
        <f>IF($A30="","",[1]!thsiFinD("ths_adjustment_nv_fund",S$3,$A30))</f>
        <v/>
      </c>
      <c r="T30" s="180">
        <f>IF($A30="","",[1]!thsiFinD("ths_adjustment_nv_fund",T$3,$A30))</f>
        <v/>
      </c>
      <c r="U30" s="180">
        <f>IF($A30="","",[1]!thsiFinD("ths_adjustment_nv_fund",U$3,$A30))</f>
        <v/>
      </c>
      <c r="V30" s="180">
        <f>IF($A30="","",[1]!thsiFinD("ths_adjustment_nv_fund",V$3,$A30))</f>
        <v/>
      </c>
      <c r="W30" s="180">
        <f>IF($A30="","",[1]!thsiFinD("ths_adjustment_nv_fund",W$3,$A30))</f>
        <v/>
      </c>
      <c r="X30" s="180">
        <f>IF($A30="","",[1]!thsiFinD("ths_adjustment_nv_fund",X$3,$A30))</f>
        <v/>
      </c>
    </row>
    <row r="31">
      <c r="A31" s="179" t="n"/>
      <c r="B31" s="180">
        <f>IF($A31="","",[1]!thsiFinD("ths_adjustment_nv_fund",B$3,$A31))</f>
        <v/>
      </c>
      <c r="C31" s="180">
        <f>IF($A31="","",[1]!thsiFinD("ths_adjustment_nv_fund",C$3,$A31))</f>
        <v/>
      </c>
      <c r="D31" s="180">
        <f>IF($A31="","",[1]!thsiFinD("ths_adjustment_nv_fund",D$3,$A31))</f>
        <v/>
      </c>
      <c r="E31" s="180">
        <f>IF($A31="","",[1]!thsiFinD("ths_adjustment_nv_fund",E$3,$A31))</f>
        <v/>
      </c>
      <c r="F31" s="180">
        <f>IF($A31="","",[1]!thsiFinD("ths_adjustment_nv_fund",F$3,$A31))</f>
        <v/>
      </c>
      <c r="G31" s="180">
        <f>IF($A31="","",[1]!thsiFinD("ths_adjustment_nv_fund",G$3,$A31))</f>
        <v/>
      </c>
      <c r="H31" s="180">
        <f>IF($A31="","",[1]!thsiFinD("ths_adjustment_nv_fund",H$3,$A31))</f>
        <v/>
      </c>
      <c r="I31" s="180">
        <f>IF($A31="","",[1]!thsiFinD("ths_adjustment_nv_fund",I$3,$A31))</f>
        <v/>
      </c>
      <c r="J31" s="180">
        <f>IF($A31="","",[1]!thsiFinD("ths_adjustment_nv_fund",J$3,$A31))</f>
        <v/>
      </c>
      <c r="K31" s="180">
        <f>IF($A31="","",[1]!thsiFinD("ths_adjustment_nv_fund",K$3,$A31))</f>
        <v/>
      </c>
      <c r="L31" s="180">
        <f>IF($A31="","",[1]!thsiFinD("ths_adjustment_nv_fund",L$3,$A31))</f>
        <v/>
      </c>
      <c r="M31" s="180">
        <f>IF($A31="","",[1]!thsiFinD("ths_adjustment_nv_fund",M$3,$A31))</f>
        <v/>
      </c>
      <c r="N31" s="180">
        <f>IF($A31="","",[1]!thsiFinD("ths_adjustment_nv_fund",N$3,$A31))</f>
        <v/>
      </c>
      <c r="O31" s="180">
        <f>IF($A31="","",[1]!thsiFinD("ths_adjustment_nv_fund",O$3,$A31))</f>
        <v/>
      </c>
      <c r="P31" s="180">
        <f>IF($A31="","",[1]!thsiFinD("ths_adjustment_nv_fund",P$3,$A31))</f>
        <v/>
      </c>
      <c r="Q31" s="180">
        <f>IF($A31="","",[1]!thsiFinD("ths_adjustment_nv_fund",Q$3,$A31))</f>
        <v/>
      </c>
      <c r="R31" s="180">
        <f>IF($A31="","",[1]!thsiFinD("ths_adjustment_nv_fund",R$3,$A31))</f>
        <v/>
      </c>
      <c r="S31" s="180">
        <f>IF($A31="","",[1]!thsiFinD("ths_adjustment_nv_fund",S$3,$A31))</f>
        <v/>
      </c>
      <c r="T31" s="180">
        <f>IF($A31="","",[1]!thsiFinD("ths_adjustment_nv_fund",T$3,$A31))</f>
        <v/>
      </c>
      <c r="U31" s="180">
        <f>IF($A31="","",[1]!thsiFinD("ths_adjustment_nv_fund",U$3,$A31))</f>
        <v/>
      </c>
      <c r="V31" s="180">
        <f>IF($A31="","",[1]!thsiFinD("ths_adjustment_nv_fund",V$3,$A31))</f>
        <v/>
      </c>
      <c r="W31" s="180">
        <f>IF($A31="","",[1]!thsiFinD("ths_adjustment_nv_fund",W$3,$A31))</f>
        <v/>
      </c>
      <c r="X31" s="180">
        <f>IF($A31="","",[1]!thsiFinD("ths_adjustment_nv_fund",X$3,$A31))</f>
        <v/>
      </c>
    </row>
    <row r="32">
      <c r="A32" s="179" t="n"/>
      <c r="B32" s="180">
        <f>IF($A32="","",[1]!thsiFinD("ths_adjustment_nv_fund",B$3,$A32))</f>
        <v/>
      </c>
      <c r="C32" s="180">
        <f>IF($A32="","",[1]!thsiFinD("ths_adjustment_nv_fund",C$3,$A32))</f>
        <v/>
      </c>
      <c r="D32" s="180">
        <f>IF($A32="","",[1]!thsiFinD("ths_adjustment_nv_fund",D$3,$A32))</f>
        <v/>
      </c>
      <c r="E32" s="180">
        <f>IF($A32="","",[1]!thsiFinD("ths_adjustment_nv_fund",E$3,$A32))</f>
        <v/>
      </c>
      <c r="F32" s="180">
        <f>IF($A32="","",[1]!thsiFinD("ths_adjustment_nv_fund",F$3,$A32))</f>
        <v/>
      </c>
      <c r="G32" s="180">
        <f>IF($A32="","",[1]!thsiFinD("ths_adjustment_nv_fund",G$3,$A32))</f>
        <v/>
      </c>
      <c r="H32" s="180">
        <f>IF($A32="","",[1]!thsiFinD("ths_adjustment_nv_fund",H$3,$A32))</f>
        <v/>
      </c>
      <c r="I32" s="180">
        <f>IF($A32="","",[1]!thsiFinD("ths_adjustment_nv_fund",I$3,$A32))</f>
        <v/>
      </c>
      <c r="J32" s="180">
        <f>IF($A32="","",[1]!thsiFinD("ths_adjustment_nv_fund",J$3,$A32))</f>
        <v/>
      </c>
      <c r="K32" s="180">
        <f>IF($A32="","",[1]!thsiFinD("ths_adjustment_nv_fund",K$3,$A32))</f>
        <v/>
      </c>
      <c r="L32" s="180">
        <f>IF($A32="","",[1]!thsiFinD("ths_adjustment_nv_fund",L$3,$A32))</f>
        <v/>
      </c>
      <c r="M32" s="180">
        <f>IF($A32="","",[1]!thsiFinD("ths_adjustment_nv_fund",M$3,$A32))</f>
        <v/>
      </c>
      <c r="N32" s="180">
        <f>IF($A32="","",[1]!thsiFinD("ths_adjustment_nv_fund",N$3,$A32))</f>
        <v/>
      </c>
      <c r="O32" s="180">
        <f>IF($A32="","",[1]!thsiFinD("ths_adjustment_nv_fund",O$3,$A32))</f>
        <v/>
      </c>
      <c r="P32" s="180">
        <f>IF($A32="","",[1]!thsiFinD("ths_adjustment_nv_fund",P$3,$A32))</f>
        <v/>
      </c>
      <c r="Q32" s="180">
        <f>IF($A32="","",[1]!thsiFinD("ths_adjustment_nv_fund",Q$3,$A32))</f>
        <v/>
      </c>
      <c r="R32" s="180">
        <f>IF($A32="","",[1]!thsiFinD("ths_adjustment_nv_fund",R$3,$A32))</f>
        <v/>
      </c>
      <c r="S32" s="180">
        <f>IF($A32="","",[1]!thsiFinD("ths_adjustment_nv_fund",S$3,$A32))</f>
        <v/>
      </c>
      <c r="T32" s="180">
        <f>IF($A32="","",[1]!thsiFinD("ths_adjustment_nv_fund",T$3,$A32))</f>
        <v/>
      </c>
      <c r="U32" s="180">
        <f>IF($A32="","",[1]!thsiFinD("ths_adjustment_nv_fund",U$3,$A32))</f>
        <v/>
      </c>
      <c r="V32" s="180">
        <f>IF($A32="","",[1]!thsiFinD("ths_adjustment_nv_fund",V$3,$A32))</f>
        <v/>
      </c>
      <c r="W32" s="180">
        <f>IF($A32="","",[1]!thsiFinD("ths_adjustment_nv_fund",W$3,$A32))</f>
        <v/>
      </c>
      <c r="X32" s="180">
        <f>IF($A32="","",[1]!thsiFinD("ths_adjustment_nv_fund",X$3,$A32))</f>
        <v/>
      </c>
    </row>
    <row r="33">
      <c r="A33" s="179" t="n"/>
      <c r="B33" s="180">
        <f>IF($A33="","",[1]!thsiFinD("ths_adjustment_nv_fund",B$3,$A33))</f>
        <v/>
      </c>
      <c r="C33" s="180">
        <f>IF($A33="","",[1]!thsiFinD("ths_adjustment_nv_fund",C$3,$A33))</f>
        <v/>
      </c>
      <c r="D33" s="180">
        <f>IF($A33="","",[1]!thsiFinD("ths_adjustment_nv_fund",D$3,$A33))</f>
        <v/>
      </c>
      <c r="E33" s="180">
        <f>IF($A33="","",[1]!thsiFinD("ths_adjustment_nv_fund",E$3,$A33))</f>
        <v/>
      </c>
      <c r="F33" s="180">
        <f>IF($A33="","",[1]!thsiFinD("ths_adjustment_nv_fund",F$3,$A33))</f>
        <v/>
      </c>
      <c r="G33" s="180">
        <f>IF($A33="","",[1]!thsiFinD("ths_adjustment_nv_fund",G$3,$A33))</f>
        <v/>
      </c>
      <c r="H33" s="180">
        <f>IF($A33="","",[1]!thsiFinD("ths_adjustment_nv_fund",H$3,$A33))</f>
        <v/>
      </c>
      <c r="I33" s="180">
        <f>IF($A33="","",[1]!thsiFinD("ths_adjustment_nv_fund",I$3,$A33))</f>
        <v/>
      </c>
      <c r="J33" s="180">
        <f>IF($A33="","",[1]!thsiFinD("ths_adjustment_nv_fund",J$3,$A33))</f>
        <v/>
      </c>
      <c r="K33" s="180">
        <f>IF($A33="","",[1]!thsiFinD("ths_adjustment_nv_fund",K$3,$A33))</f>
        <v/>
      </c>
      <c r="L33" s="180">
        <f>IF($A33="","",[1]!thsiFinD("ths_adjustment_nv_fund",L$3,$A33))</f>
        <v/>
      </c>
      <c r="M33" s="180">
        <f>IF($A33="","",[1]!thsiFinD("ths_adjustment_nv_fund",M$3,$A33))</f>
        <v/>
      </c>
      <c r="N33" s="180">
        <f>IF($A33="","",[1]!thsiFinD("ths_adjustment_nv_fund",N$3,$A33))</f>
        <v/>
      </c>
      <c r="O33" s="180">
        <f>IF($A33="","",[1]!thsiFinD("ths_adjustment_nv_fund",O$3,$A33))</f>
        <v/>
      </c>
      <c r="P33" s="180">
        <f>IF($A33="","",[1]!thsiFinD("ths_adjustment_nv_fund",P$3,$A33))</f>
        <v/>
      </c>
      <c r="Q33" s="180">
        <f>IF($A33="","",[1]!thsiFinD("ths_adjustment_nv_fund",Q$3,$A33))</f>
        <v/>
      </c>
      <c r="R33" s="180">
        <f>IF($A33="","",[1]!thsiFinD("ths_adjustment_nv_fund",R$3,$A33))</f>
        <v/>
      </c>
      <c r="S33" s="180">
        <f>IF($A33="","",[1]!thsiFinD("ths_adjustment_nv_fund",S$3,$A33))</f>
        <v/>
      </c>
      <c r="T33" s="180">
        <f>IF($A33="","",[1]!thsiFinD("ths_adjustment_nv_fund",T$3,$A33))</f>
        <v/>
      </c>
      <c r="U33" s="180">
        <f>IF($A33="","",[1]!thsiFinD("ths_adjustment_nv_fund",U$3,$A33))</f>
        <v/>
      </c>
      <c r="V33" s="180">
        <f>IF($A33="","",[1]!thsiFinD("ths_adjustment_nv_fund",V$3,$A33))</f>
        <v/>
      </c>
      <c r="W33" s="180">
        <f>IF($A33="","",[1]!thsiFinD("ths_adjustment_nv_fund",W$3,$A33))</f>
        <v/>
      </c>
      <c r="X33" s="180">
        <f>IF($A33="","",[1]!thsiFinD("ths_adjustment_nv_fund",X$3,$A33))</f>
        <v/>
      </c>
    </row>
    <row r="34">
      <c r="A34" s="179" t="n"/>
      <c r="B34" s="180">
        <f>IF($A34="","",[1]!thsiFinD("ths_adjustment_nv_fund",B$3,$A34))</f>
        <v/>
      </c>
      <c r="C34" s="180">
        <f>IF($A34="","",[1]!thsiFinD("ths_adjustment_nv_fund",C$3,$A34))</f>
        <v/>
      </c>
      <c r="D34" s="180">
        <f>IF($A34="","",[1]!thsiFinD("ths_adjustment_nv_fund",D$3,$A34))</f>
        <v/>
      </c>
      <c r="E34" s="180">
        <f>IF($A34="","",[1]!thsiFinD("ths_adjustment_nv_fund",E$3,$A34))</f>
        <v/>
      </c>
      <c r="F34" s="180">
        <f>IF($A34="","",[1]!thsiFinD("ths_adjustment_nv_fund",F$3,$A34))</f>
        <v/>
      </c>
      <c r="G34" s="180">
        <f>IF($A34="","",[1]!thsiFinD("ths_adjustment_nv_fund",G$3,$A34))</f>
        <v/>
      </c>
      <c r="H34" s="180">
        <f>IF($A34="","",[1]!thsiFinD("ths_adjustment_nv_fund",H$3,$A34))</f>
        <v/>
      </c>
      <c r="I34" s="180">
        <f>IF($A34="","",[1]!thsiFinD("ths_adjustment_nv_fund",I$3,$A34))</f>
        <v/>
      </c>
      <c r="J34" s="180">
        <f>IF($A34="","",[1]!thsiFinD("ths_adjustment_nv_fund",J$3,$A34))</f>
        <v/>
      </c>
      <c r="K34" s="180">
        <f>IF($A34="","",[1]!thsiFinD("ths_adjustment_nv_fund",K$3,$A34))</f>
        <v/>
      </c>
      <c r="L34" s="180">
        <f>IF($A34="","",[1]!thsiFinD("ths_adjustment_nv_fund",L$3,$A34))</f>
        <v/>
      </c>
      <c r="M34" s="180">
        <f>IF($A34="","",[1]!thsiFinD("ths_adjustment_nv_fund",M$3,$A34))</f>
        <v/>
      </c>
      <c r="N34" s="180">
        <f>IF($A34="","",[1]!thsiFinD("ths_adjustment_nv_fund",N$3,$A34))</f>
        <v/>
      </c>
      <c r="O34" s="180">
        <f>IF($A34="","",[1]!thsiFinD("ths_adjustment_nv_fund",O$3,$A34))</f>
        <v/>
      </c>
      <c r="P34" s="180">
        <f>IF($A34="","",[1]!thsiFinD("ths_adjustment_nv_fund",P$3,$A34))</f>
        <v/>
      </c>
      <c r="Q34" s="180">
        <f>IF($A34="","",[1]!thsiFinD("ths_adjustment_nv_fund",Q$3,$A34))</f>
        <v/>
      </c>
      <c r="R34" s="180">
        <f>IF($A34="","",[1]!thsiFinD("ths_adjustment_nv_fund",R$3,$A34))</f>
        <v/>
      </c>
      <c r="S34" s="180">
        <f>IF($A34="","",[1]!thsiFinD("ths_adjustment_nv_fund",S$3,$A34))</f>
        <v/>
      </c>
      <c r="T34" s="180">
        <f>IF($A34="","",[1]!thsiFinD("ths_adjustment_nv_fund",T$3,$A34))</f>
        <v/>
      </c>
      <c r="U34" s="180">
        <f>IF($A34="","",[1]!thsiFinD("ths_adjustment_nv_fund",U$3,$A34))</f>
        <v/>
      </c>
      <c r="V34" s="180">
        <f>IF($A34="","",[1]!thsiFinD("ths_adjustment_nv_fund",V$3,$A34))</f>
        <v/>
      </c>
      <c r="W34" s="180">
        <f>IF($A34="","",[1]!thsiFinD("ths_adjustment_nv_fund",W$3,$A34))</f>
        <v/>
      </c>
      <c r="X34" s="180">
        <f>IF($A34="","",[1]!thsiFinD("ths_adjustment_nv_fund",X$3,$A34))</f>
        <v/>
      </c>
    </row>
    <row r="35">
      <c r="A35" s="179" t="n"/>
      <c r="B35" s="180">
        <f>IF($A35="","",[1]!thsiFinD("ths_adjustment_nv_fund",B$3,$A35))</f>
        <v/>
      </c>
      <c r="C35" s="180">
        <f>IF($A35="","",[1]!thsiFinD("ths_adjustment_nv_fund",C$3,$A35))</f>
        <v/>
      </c>
      <c r="D35" s="180">
        <f>IF($A35="","",[1]!thsiFinD("ths_adjustment_nv_fund",D$3,$A35))</f>
        <v/>
      </c>
      <c r="E35" s="180">
        <f>IF($A35="","",[1]!thsiFinD("ths_adjustment_nv_fund",E$3,$A35))</f>
        <v/>
      </c>
      <c r="F35" s="180">
        <f>IF($A35="","",[1]!thsiFinD("ths_adjustment_nv_fund",F$3,$A35))</f>
        <v/>
      </c>
      <c r="G35" s="180">
        <f>IF($A35="","",[1]!thsiFinD("ths_adjustment_nv_fund",G$3,$A35))</f>
        <v/>
      </c>
      <c r="H35" s="180">
        <f>IF($A35="","",[1]!thsiFinD("ths_adjustment_nv_fund",H$3,$A35))</f>
        <v/>
      </c>
      <c r="I35" s="180">
        <f>IF($A35="","",[1]!thsiFinD("ths_adjustment_nv_fund",I$3,$A35))</f>
        <v/>
      </c>
      <c r="J35" s="180">
        <f>IF($A35="","",[1]!thsiFinD("ths_adjustment_nv_fund",J$3,$A35))</f>
        <v/>
      </c>
      <c r="K35" s="180">
        <f>IF($A35="","",[1]!thsiFinD("ths_adjustment_nv_fund",K$3,$A35))</f>
        <v/>
      </c>
      <c r="L35" s="180">
        <f>IF($A35="","",[1]!thsiFinD("ths_adjustment_nv_fund",L$3,$A35))</f>
        <v/>
      </c>
      <c r="M35" s="180">
        <f>IF($A35="","",[1]!thsiFinD("ths_adjustment_nv_fund",M$3,$A35))</f>
        <v/>
      </c>
      <c r="N35" s="180">
        <f>IF($A35="","",[1]!thsiFinD("ths_adjustment_nv_fund",N$3,$A35))</f>
        <v/>
      </c>
      <c r="O35" s="180">
        <f>IF($A35="","",[1]!thsiFinD("ths_adjustment_nv_fund",O$3,$A35))</f>
        <v/>
      </c>
      <c r="P35" s="180">
        <f>IF($A35="","",[1]!thsiFinD("ths_adjustment_nv_fund",P$3,$A35))</f>
        <v/>
      </c>
      <c r="Q35" s="180">
        <f>IF($A35="","",[1]!thsiFinD("ths_adjustment_nv_fund",Q$3,$A35))</f>
        <v/>
      </c>
      <c r="R35" s="180">
        <f>IF($A35="","",[1]!thsiFinD("ths_adjustment_nv_fund",R$3,$A35))</f>
        <v/>
      </c>
      <c r="S35" s="180">
        <f>IF($A35="","",[1]!thsiFinD("ths_adjustment_nv_fund",S$3,$A35))</f>
        <v/>
      </c>
      <c r="T35" s="180">
        <f>IF($A35="","",[1]!thsiFinD("ths_adjustment_nv_fund",T$3,$A35))</f>
        <v/>
      </c>
      <c r="U35" s="180">
        <f>IF($A35="","",[1]!thsiFinD("ths_adjustment_nv_fund",U$3,$A35))</f>
        <v/>
      </c>
      <c r="V35" s="180">
        <f>IF($A35="","",[1]!thsiFinD("ths_adjustment_nv_fund",V$3,$A35))</f>
        <v/>
      </c>
      <c r="W35" s="180">
        <f>IF($A35="","",[1]!thsiFinD("ths_adjustment_nv_fund",W$3,$A35))</f>
        <v/>
      </c>
      <c r="X35" s="180">
        <f>IF($A35="","",[1]!thsiFinD("ths_adjustment_nv_fund",X$3,$A35))</f>
        <v/>
      </c>
    </row>
    <row r="36">
      <c r="A36" s="179" t="n"/>
      <c r="B36" s="180">
        <f>IF($A36="","",[1]!thsiFinD("ths_adjustment_nv_fund",B$3,$A36))</f>
        <v/>
      </c>
      <c r="C36" s="180">
        <f>IF($A36="","",[1]!thsiFinD("ths_adjustment_nv_fund",C$3,$A36))</f>
        <v/>
      </c>
      <c r="D36" s="180">
        <f>IF($A36="","",[1]!thsiFinD("ths_adjustment_nv_fund",D$3,$A36))</f>
        <v/>
      </c>
      <c r="E36" s="180">
        <f>IF($A36="","",[1]!thsiFinD("ths_adjustment_nv_fund",E$3,$A36))</f>
        <v/>
      </c>
      <c r="F36" s="180">
        <f>IF($A36="","",[1]!thsiFinD("ths_adjustment_nv_fund",F$3,$A36))</f>
        <v/>
      </c>
      <c r="G36" s="180">
        <f>IF($A36="","",[1]!thsiFinD("ths_adjustment_nv_fund",G$3,$A36))</f>
        <v/>
      </c>
      <c r="H36" s="180">
        <f>IF($A36="","",[1]!thsiFinD("ths_adjustment_nv_fund",H$3,$A36))</f>
        <v/>
      </c>
      <c r="I36" s="180">
        <f>IF($A36="","",[1]!thsiFinD("ths_adjustment_nv_fund",I$3,$A36))</f>
        <v/>
      </c>
      <c r="J36" s="180">
        <f>IF($A36="","",[1]!thsiFinD("ths_adjustment_nv_fund",J$3,$A36))</f>
        <v/>
      </c>
      <c r="K36" s="180">
        <f>IF($A36="","",[1]!thsiFinD("ths_adjustment_nv_fund",K$3,$A36))</f>
        <v/>
      </c>
      <c r="L36" s="180">
        <f>IF($A36="","",[1]!thsiFinD("ths_adjustment_nv_fund",L$3,$A36))</f>
        <v/>
      </c>
      <c r="M36" s="180">
        <f>IF($A36="","",[1]!thsiFinD("ths_adjustment_nv_fund",M$3,$A36))</f>
        <v/>
      </c>
      <c r="N36" s="180">
        <f>IF($A36="","",[1]!thsiFinD("ths_adjustment_nv_fund",N$3,$A36))</f>
        <v/>
      </c>
      <c r="O36" s="180">
        <f>IF($A36="","",[1]!thsiFinD("ths_adjustment_nv_fund",O$3,$A36))</f>
        <v/>
      </c>
      <c r="P36" s="180">
        <f>IF($A36="","",[1]!thsiFinD("ths_adjustment_nv_fund",P$3,$A36))</f>
        <v/>
      </c>
      <c r="Q36" s="180">
        <f>IF($A36="","",[1]!thsiFinD("ths_adjustment_nv_fund",Q$3,$A36))</f>
        <v/>
      </c>
      <c r="R36" s="180">
        <f>IF($A36="","",[1]!thsiFinD("ths_adjustment_nv_fund",R$3,$A36))</f>
        <v/>
      </c>
      <c r="S36" s="180">
        <f>IF($A36="","",[1]!thsiFinD("ths_adjustment_nv_fund",S$3,$A36))</f>
        <v/>
      </c>
      <c r="T36" s="180">
        <f>IF($A36="","",[1]!thsiFinD("ths_adjustment_nv_fund",T$3,$A36))</f>
        <v/>
      </c>
      <c r="U36" s="180">
        <f>IF($A36="","",[1]!thsiFinD("ths_adjustment_nv_fund",U$3,$A36))</f>
        <v/>
      </c>
      <c r="V36" s="180">
        <f>IF($A36="","",[1]!thsiFinD("ths_adjustment_nv_fund",V$3,$A36))</f>
        <v/>
      </c>
      <c r="W36" s="180">
        <f>IF($A36="","",[1]!thsiFinD("ths_adjustment_nv_fund",W$3,$A36))</f>
        <v/>
      </c>
      <c r="X36" s="180">
        <f>IF($A36="","",[1]!thsiFinD("ths_adjustment_nv_fund",X$3,$A36))</f>
        <v/>
      </c>
    </row>
    <row r="37">
      <c r="A37" s="179" t="n"/>
      <c r="B37" s="180">
        <f>IF($A37="","",[1]!thsiFinD("ths_adjustment_nv_fund",B$3,$A37))</f>
        <v/>
      </c>
      <c r="C37" s="180">
        <f>IF($A37="","",[1]!thsiFinD("ths_adjustment_nv_fund",C$3,$A37))</f>
        <v/>
      </c>
      <c r="D37" s="180">
        <f>IF($A37="","",[1]!thsiFinD("ths_adjustment_nv_fund",D$3,$A37))</f>
        <v/>
      </c>
      <c r="E37" s="180">
        <f>IF($A37="","",[1]!thsiFinD("ths_adjustment_nv_fund",E$3,$A37))</f>
        <v/>
      </c>
      <c r="F37" s="180">
        <f>IF($A37="","",[1]!thsiFinD("ths_adjustment_nv_fund",F$3,$A37))</f>
        <v/>
      </c>
      <c r="G37" s="180">
        <f>IF($A37="","",[1]!thsiFinD("ths_adjustment_nv_fund",G$3,$A37))</f>
        <v/>
      </c>
      <c r="H37" s="180">
        <f>IF($A37="","",[1]!thsiFinD("ths_adjustment_nv_fund",H$3,$A37))</f>
        <v/>
      </c>
      <c r="I37" s="180">
        <f>IF($A37="","",[1]!thsiFinD("ths_adjustment_nv_fund",I$3,$A37))</f>
        <v/>
      </c>
      <c r="J37" s="180">
        <f>IF($A37="","",[1]!thsiFinD("ths_adjustment_nv_fund",J$3,$A37))</f>
        <v/>
      </c>
      <c r="K37" s="180">
        <f>IF($A37="","",[1]!thsiFinD("ths_adjustment_nv_fund",K$3,$A37))</f>
        <v/>
      </c>
      <c r="L37" s="180">
        <f>IF($A37="","",[1]!thsiFinD("ths_adjustment_nv_fund",L$3,$A37))</f>
        <v/>
      </c>
      <c r="M37" s="180">
        <f>IF($A37="","",[1]!thsiFinD("ths_adjustment_nv_fund",M$3,$A37))</f>
        <v/>
      </c>
      <c r="N37" s="180">
        <f>IF($A37="","",[1]!thsiFinD("ths_adjustment_nv_fund",N$3,$A37))</f>
        <v/>
      </c>
      <c r="O37" s="180">
        <f>IF($A37="","",[1]!thsiFinD("ths_adjustment_nv_fund",O$3,$A37))</f>
        <v/>
      </c>
      <c r="P37" s="180">
        <f>IF($A37="","",[1]!thsiFinD("ths_adjustment_nv_fund",P$3,$A37))</f>
        <v/>
      </c>
      <c r="Q37" s="180">
        <f>IF($A37="","",[1]!thsiFinD("ths_adjustment_nv_fund",Q$3,$A37))</f>
        <v/>
      </c>
      <c r="R37" s="180">
        <f>IF($A37="","",[1]!thsiFinD("ths_adjustment_nv_fund",R$3,$A37))</f>
        <v/>
      </c>
      <c r="S37" s="180">
        <f>IF($A37="","",[1]!thsiFinD("ths_adjustment_nv_fund",S$3,$A37))</f>
        <v/>
      </c>
      <c r="T37" s="180">
        <f>IF($A37="","",[1]!thsiFinD("ths_adjustment_nv_fund",T$3,$A37))</f>
        <v/>
      </c>
      <c r="U37" s="180">
        <f>IF($A37="","",[1]!thsiFinD("ths_adjustment_nv_fund",U$3,$A37))</f>
        <v/>
      </c>
      <c r="V37" s="180">
        <f>IF($A37="","",[1]!thsiFinD("ths_adjustment_nv_fund",V$3,$A37))</f>
        <v/>
      </c>
      <c r="W37" s="180">
        <f>IF($A37="","",[1]!thsiFinD("ths_adjustment_nv_fund",W$3,$A37))</f>
        <v/>
      </c>
      <c r="X37" s="180">
        <f>IF($A37="","",[1]!thsiFinD("ths_adjustment_nv_fund",X$3,$A37))</f>
        <v/>
      </c>
    </row>
    <row r="38">
      <c r="A38" s="179" t="n"/>
      <c r="B38" s="180">
        <f>IF($A38="","",[1]!thsiFinD("ths_adjustment_nv_fund",B$3,$A38))</f>
        <v/>
      </c>
      <c r="C38" s="180">
        <f>IF($A38="","",[1]!thsiFinD("ths_adjustment_nv_fund",C$3,$A38))</f>
        <v/>
      </c>
      <c r="D38" s="180">
        <f>IF($A38="","",[1]!thsiFinD("ths_adjustment_nv_fund",D$3,$A38))</f>
        <v/>
      </c>
      <c r="E38" s="180">
        <f>IF($A38="","",[1]!thsiFinD("ths_adjustment_nv_fund",E$3,$A38))</f>
        <v/>
      </c>
      <c r="F38" s="180">
        <f>IF($A38="","",[1]!thsiFinD("ths_adjustment_nv_fund",F$3,$A38))</f>
        <v/>
      </c>
      <c r="G38" s="180">
        <f>IF($A38="","",[1]!thsiFinD("ths_adjustment_nv_fund",G$3,$A38))</f>
        <v/>
      </c>
      <c r="H38" s="180">
        <f>IF($A38="","",[1]!thsiFinD("ths_adjustment_nv_fund",H$3,$A38))</f>
        <v/>
      </c>
      <c r="I38" s="180">
        <f>IF($A38="","",[1]!thsiFinD("ths_adjustment_nv_fund",I$3,$A38))</f>
        <v/>
      </c>
      <c r="J38" s="180">
        <f>IF($A38="","",[1]!thsiFinD("ths_adjustment_nv_fund",J$3,$A38))</f>
        <v/>
      </c>
      <c r="K38" s="180">
        <f>IF($A38="","",[1]!thsiFinD("ths_adjustment_nv_fund",K$3,$A38))</f>
        <v/>
      </c>
      <c r="L38" s="180">
        <f>IF($A38="","",[1]!thsiFinD("ths_adjustment_nv_fund",L$3,$A38))</f>
        <v/>
      </c>
      <c r="M38" s="180">
        <f>IF($A38="","",[1]!thsiFinD("ths_adjustment_nv_fund",M$3,$A38))</f>
        <v/>
      </c>
      <c r="N38" s="180">
        <f>IF($A38="","",[1]!thsiFinD("ths_adjustment_nv_fund",N$3,$A38))</f>
        <v/>
      </c>
      <c r="O38" s="180">
        <f>IF($A38="","",[1]!thsiFinD("ths_adjustment_nv_fund",O$3,$A38))</f>
        <v/>
      </c>
      <c r="P38" s="180">
        <f>IF($A38="","",[1]!thsiFinD("ths_adjustment_nv_fund",P$3,$A38))</f>
        <v/>
      </c>
      <c r="Q38" s="180">
        <f>IF($A38="","",[1]!thsiFinD("ths_adjustment_nv_fund",Q$3,$A38))</f>
        <v/>
      </c>
      <c r="R38" s="180">
        <f>IF($A38="","",[1]!thsiFinD("ths_adjustment_nv_fund",R$3,$A38))</f>
        <v/>
      </c>
      <c r="S38" s="180">
        <f>IF($A38="","",[1]!thsiFinD("ths_adjustment_nv_fund",S$3,$A38))</f>
        <v/>
      </c>
      <c r="T38" s="180">
        <f>IF($A38="","",[1]!thsiFinD("ths_adjustment_nv_fund",T$3,$A38))</f>
        <v/>
      </c>
      <c r="U38" s="180">
        <f>IF($A38="","",[1]!thsiFinD("ths_adjustment_nv_fund",U$3,$A38))</f>
        <v/>
      </c>
      <c r="V38" s="180">
        <f>IF($A38="","",[1]!thsiFinD("ths_adjustment_nv_fund",V$3,$A38))</f>
        <v/>
      </c>
      <c r="W38" s="180">
        <f>IF($A38="","",[1]!thsiFinD("ths_adjustment_nv_fund",W$3,$A38))</f>
        <v/>
      </c>
      <c r="X38" s="180">
        <f>IF($A38="","",[1]!thsiFinD("ths_adjustment_nv_fund",X$3,$A38))</f>
        <v/>
      </c>
    </row>
    <row r="39">
      <c r="A39" s="179" t="n"/>
      <c r="B39" s="180">
        <f>IF($A39="","",[1]!thsiFinD("ths_adjustment_nv_fund",B$3,$A39))</f>
        <v/>
      </c>
      <c r="C39" s="180">
        <f>IF($A39="","",[1]!thsiFinD("ths_adjustment_nv_fund",C$3,$A39))</f>
        <v/>
      </c>
      <c r="D39" s="180">
        <f>IF($A39="","",[1]!thsiFinD("ths_adjustment_nv_fund",D$3,$A39))</f>
        <v/>
      </c>
      <c r="E39" s="180">
        <f>IF($A39="","",[1]!thsiFinD("ths_adjustment_nv_fund",E$3,$A39))</f>
        <v/>
      </c>
      <c r="F39" s="180">
        <f>IF($A39="","",[1]!thsiFinD("ths_adjustment_nv_fund",F$3,$A39))</f>
        <v/>
      </c>
      <c r="G39" s="180">
        <f>IF($A39="","",[1]!thsiFinD("ths_adjustment_nv_fund",G$3,$A39))</f>
        <v/>
      </c>
      <c r="H39" s="180">
        <f>IF($A39="","",[1]!thsiFinD("ths_adjustment_nv_fund",H$3,$A39))</f>
        <v/>
      </c>
      <c r="I39" s="180">
        <f>IF($A39="","",[1]!thsiFinD("ths_adjustment_nv_fund",I$3,$A39))</f>
        <v/>
      </c>
      <c r="J39" s="180">
        <f>IF($A39="","",[1]!thsiFinD("ths_adjustment_nv_fund",J$3,$A39))</f>
        <v/>
      </c>
      <c r="K39" s="180">
        <f>IF($A39="","",[1]!thsiFinD("ths_adjustment_nv_fund",K$3,$A39))</f>
        <v/>
      </c>
      <c r="L39" s="180">
        <f>IF($A39="","",[1]!thsiFinD("ths_adjustment_nv_fund",L$3,$A39))</f>
        <v/>
      </c>
      <c r="M39" s="180">
        <f>IF($A39="","",[1]!thsiFinD("ths_adjustment_nv_fund",M$3,$A39))</f>
        <v/>
      </c>
      <c r="N39" s="180">
        <f>IF($A39="","",[1]!thsiFinD("ths_adjustment_nv_fund",N$3,$A39))</f>
        <v/>
      </c>
      <c r="O39" s="180">
        <f>IF($A39="","",[1]!thsiFinD("ths_adjustment_nv_fund",O$3,$A39))</f>
        <v/>
      </c>
      <c r="P39" s="180">
        <f>IF($A39="","",[1]!thsiFinD("ths_adjustment_nv_fund",P$3,$A39))</f>
        <v/>
      </c>
      <c r="Q39" s="180">
        <f>IF($A39="","",[1]!thsiFinD("ths_adjustment_nv_fund",Q$3,$A39))</f>
        <v/>
      </c>
      <c r="R39" s="180">
        <f>IF($A39="","",[1]!thsiFinD("ths_adjustment_nv_fund",R$3,$A39))</f>
        <v/>
      </c>
      <c r="S39" s="180">
        <f>IF($A39="","",[1]!thsiFinD("ths_adjustment_nv_fund",S$3,$A39))</f>
        <v/>
      </c>
      <c r="T39" s="180">
        <f>IF($A39="","",[1]!thsiFinD("ths_adjustment_nv_fund",T$3,$A39))</f>
        <v/>
      </c>
      <c r="U39" s="180">
        <f>IF($A39="","",[1]!thsiFinD("ths_adjustment_nv_fund",U$3,$A39))</f>
        <v/>
      </c>
      <c r="V39" s="180">
        <f>IF($A39="","",[1]!thsiFinD("ths_adjustment_nv_fund",V$3,$A39))</f>
        <v/>
      </c>
      <c r="W39" s="180">
        <f>IF($A39="","",[1]!thsiFinD("ths_adjustment_nv_fund",W$3,$A39))</f>
        <v/>
      </c>
      <c r="X39" s="180">
        <f>IF($A39="","",[1]!thsiFinD("ths_adjustment_nv_fund",X$3,$A39))</f>
        <v/>
      </c>
    </row>
    <row r="40">
      <c r="A40" s="179" t="n"/>
      <c r="B40" s="180">
        <f>IF($A40="","",[1]!thsiFinD("ths_adjustment_nv_fund",B$3,$A40))</f>
        <v/>
      </c>
      <c r="C40" s="180">
        <f>IF($A40="","",[1]!thsiFinD("ths_adjustment_nv_fund",C$3,$A40))</f>
        <v/>
      </c>
      <c r="D40" s="180">
        <f>IF($A40="","",[1]!thsiFinD("ths_adjustment_nv_fund",D$3,$A40))</f>
        <v/>
      </c>
      <c r="E40" s="180">
        <f>IF($A40="","",[1]!thsiFinD("ths_adjustment_nv_fund",E$3,$A40))</f>
        <v/>
      </c>
      <c r="F40" s="180">
        <f>IF($A40="","",[1]!thsiFinD("ths_adjustment_nv_fund",F$3,$A40))</f>
        <v/>
      </c>
      <c r="G40" s="180">
        <f>IF($A40="","",[1]!thsiFinD("ths_adjustment_nv_fund",G$3,$A40))</f>
        <v/>
      </c>
      <c r="H40" s="180">
        <f>IF($A40="","",[1]!thsiFinD("ths_adjustment_nv_fund",H$3,$A40))</f>
        <v/>
      </c>
      <c r="I40" s="180">
        <f>IF($A40="","",[1]!thsiFinD("ths_adjustment_nv_fund",I$3,$A40))</f>
        <v/>
      </c>
      <c r="J40" s="180">
        <f>IF($A40="","",[1]!thsiFinD("ths_adjustment_nv_fund",J$3,$A40))</f>
        <v/>
      </c>
      <c r="K40" s="180">
        <f>IF($A40="","",[1]!thsiFinD("ths_adjustment_nv_fund",K$3,$A40))</f>
        <v/>
      </c>
      <c r="L40" s="180">
        <f>IF($A40="","",[1]!thsiFinD("ths_adjustment_nv_fund",L$3,$A40))</f>
        <v/>
      </c>
      <c r="M40" s="180">
        <f>IF($A40="","",[1]!thsiFinD("ths_adjustment_nv_fund",M$3,$A40))</f>
        <v/>
      </c>
      <c r="N40" s="180">
        <f>IF($A40="","",[1]!thsiFinD("ths_adjustment_nv_fund",N$3,$A40))</f>
        <v/>
      </c>
      <c r="O40" s="180">
        <f>IF($A40="","",[1]!thsiFinD("ths_adjustment_nv_fund",O$3,$A40))</f>
        <v/>
      </c>
      <c r="P40" s="180">
        <f>IF($A40="","",[1]!thsiFinD("ths_adjustment_nv_fund",P$3,$A40))</f>
        <v/>
      </c>
      <c r="Q40" s="180">
        <f>IF($A40="","",[1]!thsiFinD("ths_adjustment_nv_fund",Q$3,$A40))</f>
        <v/>
      </c>
      <c r="R40" s="180">
        <f>IF($A40="","",[1]!thsiFinD("ths_adjustment_nv_fund",R$3,$A40))</f>
        <v/>
      </c>
      <c r="S40" s="180">
        <f>IF($A40="","",[1]!thsiFinD("ths_adjustment_nv_fund",S$3,$A40))</f>
        <v/>
      </c>
      <c r="T40" s="180">
        <f>IF($A40="","",[1]!thsiFinD("ths_adjustment_nv_fund",T$3,$A40))</f>
        <v/>
      </c>
      <c r="U40" s="180">
        <f>IF($A40="","",[1]!thsiFinD("ths_adjustment_nv_fund",U$3,$A40))</f>
        <v/>
      </c>
      <c r="V40" s="180">
        <f>IF($A40="","",[1]!thsiFinD("ths_adjustment_nv_fund",V$3,$A40))</f>
        <v/>
      </c>
      <c r="W40" s="180">
        <f>IF($A40="","",[1]!thsiFinD("ths_adjustment_nv_fund",W$3,$A40))</f>
        <v/>
      </c>
      <c r="X40" s="180">
        <f>IF($A40="","",[1]!thsiFinD("ths_adjustment_nv_fund",X$3,$A40))</f>
        <v/>
      </c>
    </row>
    <row r="41">
      <c r="A41" s="179" t="n"/>
      <c r="B41" s="180">
        <f>IF($A41="","",[1]!thsiFinD("ths_adjustment_nv_fund",B$3,$A41))</f>
        <v/>
      </c>
      <c r="C41" s="180">
        <f>IF($A41="","",[1]!thsiFinD("ths_adjustment_nv_fund",C$3,$A41))</f>
        <v/>
      </c>
      <c r="D41" s="180">
        <f>IF($A41="","",[1]!thsiFinD("ths_adjustment_nv_fund",D$3,$A41))</f>
        <v/>
      </c>
      <c r="E41" s="180">
        <f>IF($A41="","",[1]!thsiFinD("ths_adjustment_nv_fund",E$3,$A41))</f>
        <v/>
      </c>
      <c r="F41" s="180">
        <f>IF($A41="","",[1]!thsiFinD("ths_adjustment_nv_fund",F$3,$A41))</f>
        <v/>
      </c>
      <c r="G41" s="180">
        <f>IF($A41="","",[1]!thsiFinD("ths_adjustment_nv_fund",G$3,$A41))</f>
        <v/>
      </c>
      <c r="H41" s="180">
        <f>IF($A41="","",[1]!thsiFinD("ths_adjustment_nv_fund",H$3,$A41))</f>
        <v/>
      </c>
      <c r="I41" s="180">
        <f>IF($A41="","",[1]!thsiFinD("ths_adjustment_nv_fund",I$3,$A41))</f>
        <v/>
      </c>
      <c r="J41" s="180">
        <f>IF($A41="","",[1]!thsiFinD("ths_adjustment_nv_fund",J$3,$A41))</f>
        <v/>
      </c>
      <c r="K41" s="180">
        <f>IF($A41="","",[1]!thsiFinD("ths_adjustment_nv_fund",K$3,$A41))</f>
        <v/>
      </c>
      <c r="L41" s="180">
        <f>IF($A41="","",[1]!thsiFinD("ths_adjustment_nv_fund",L$3,$A41))</f>
        <v/>
      </c>
      <c r="M41" s="180">
        <f>IF($A41="","",[1]!thsiFinD("ths_adjustment_nv_fund",M$3,$A41))</f>
        <v/>
      </c>
      <c r="N41" s="180">
        <f>IF($A41="","",[1]!thsiFinD("ths_adjustment_nv_fund",N$3,$A41))</f>
        <v/>
      </c>
      <c r="O41" s="180">
        <f>IF($A41="","",[1]!thsiFinD("ths_adjustment_nv_fund",O$3,$A41))</f>
        <v/>
      </c>
      <c r="P41" s="180">
        <f>IF($A41="","",[1]!thsiFinD("ths_adjustment_nv_fund",P$3,$A41))</f>
        <v/>
      </c>
      <c r="Q41" s="180">
        <f>IF($A41="","",[1]!thsiFinD("ths_adjustment_nv_fund",Q$3,$A41))</f>
        <v/>
      </c>
      <c r="R41" s="180">
        <f>IF($A41="","",[1]!thsiFinD("ths_adjustment_nv_fund",R$3,$A41))</f>
        <v/>
      </c>
      <c r="S41" s="180">
        <f>IF($A41="","",[1]!thsiFinD("ths_adjustment_nv_fund",S$3,$A41))</f>
        <v/>
      </c>
      <c r="T41" s="180">
        <f>IF($A41="","",[1]!thsiFinD("ths_adjustment_nv_fund",T$3,$A41))</f>
        <v/>
      </c>
      <c r="U41" s="180">
        <f>IF($A41="","",[1]!thsiFinD("ths_adjustment_nv_fund",U$3,$A41))</f>
        <v/>
      </c>
      <c r="V41" s="180">
        <f>IF($A41="","",[1]!thsiFinD("ths_adjustment_nv_fund",V$3,$A41))</f>
        <v/>
      </c>
      <c r="W41" s="180">
        <f>IF($A41="","",[1]!thsiFinD("ths_adjustment_nv_fund",W$3,$A41))</f>
        <v/>
      </c>
      <c r="X41" s="180">
        <f>IF($A41="","",[1]!thsiFinD("ths_adjustment_nv_fund",X$3,$A41))</f>
        <v/>
      </c>
    </row>
    <row r="42">
      <c r="A42" s="179" t="n"/>
      <c r="B42" s="180">
        <f>IF($A42="","",[1]!thsiFinD("ths_adjustment_nv_fund",B$3,$A42))</f>
        <v/>
      </c>
      <c r="C42" s="180">
        <f>IF($A42="","",[1]!thsiFinD("ths_adjustment_nv_fund",C$3,$A42))</f>
        <v/>
      </c>
      <c r="D42" s="180">
        <f>IF($A42="","",[1]!thsiFinD("ths_adjustment_nv_fund",D$3,$A42))</f>
        <v/>
      </c>
      <c r="E42" s="180">
        <f>IF($A42="","",[1]!thsiFinD("ths_adjustment_nv_fund",E$3,$A42))</f>
        <v/>
      </c>
      <c r="F42" s="180">
        <f>IF($A42="","",[1]!thsiFinD("ths_adjustment_nv_fund",F$3,$A42))</f>
        <v/>
      </c>
      <c r="G42" s="180">
        <f>IF($A42="","",[1]!thsiFinD("ths_adjustment_nv_fund",G$3,$A42))</f>
        <v/>
      </c>
      <c r="H42" s="180">
        <f>IF($A42="","",[1]!thsiFinD("ths_adjustment_nv_fund",H$3,$A42))</f>
        <v/>
      </c>
      <c r="I42" s="180">
        <f>IF($A42="","",[1]!thsiFinD("ths_adjustment_nv_fund",I$3,$A42))</f>
        <v/>
      </c>
      <c r="J42" s="180">
        <f>IF($A42="","",[1]!thsiFinD("ths_adjustment_nv_fund",J$3,$A42))</f>
        <v/>
      </c>
      <c r="K42" s="180">
        <f>IF($A42="","",[1]!thsiFinD("ths_adjustment_nv_fund",K$3,$A42))</f>
        <v/>
      </c>
      <c r="L42" s="180">
        <f>IF($A42="","",[1]!thsiFinD("ths_adjustment_nv_fund",L$3,$A42))</f>
        <v/>
      </c>
      <c r="M42" s="180">
        <f>IF($A42="","",[1]!thsiFinD("ths_adjustment_nv_fund",M$3,$A42))</f>
        <v/>
      </c>
      <c r="N42" s="180">
        <f>IF($A42="","",[1]!thsiFinD("ths_adjustment_nv_fund",N$3,$A42))</f>
        <v/>
      </c>
      <c r="O42" s="180">
        <f>IF($A42="","",[1]!thsiFinD("ths_adjustment_nv_fund",O$3,$A42))</f>
        <v/>
      </c>
      <c r="P42" s="180">
        <f>IF($A42="","",[1]!thsiFinD("ths_adjustment_nv_fund",P$3,$A42))</f>
        <v/>
      </c>
      <c r="Q42" s="180">
        <f>IF($A42="","",[1]!thsiFinD("ths_adjustment_nv_fund",Q$3,$A42))</f>
        <v/>
      </c>
      <c r="R42" s="180">
        <f>IF($A42="","",[1]!thsiFinD("ths_adjustment_nv_fund",R$3,$A42))</f>
        <v/>
      </c>
      <c r="S42" s="180">
        <f>IF($A42="","",[1]!thsiFinD("ths_adjustment_nv_fund",S$3,$A42))</f>
        <v/>
      </c>
      <c r="T42" s="180">
        <f>IF($A42="","",[1]!thsiFinD("ths_adjustment_nv_fund",T$3,$A42))</f>
        <v/>
      </c>
      <c r="U42" s="180">
        <f>IF($A42="","",[1]!thsiFinD("ths_adjustment_nv_fund",U$3,$A42))</f>
        <v/>
      </c>
      <c r="V42" s="180">
        <f>IF($A42="","",[1]!thsiFinD("ths_adjustment_nv_fund",V$3,$A42))</f>
        <v/>
      </c>
      <c r="W42" s="180">
        <f>IF($A42="","",[1]!thsiFinD("ths_adjustment_nv_fund",W$3,$A42))</f>
        <v/>
      </c>
      <c r="X42" s="180">
        <f>IF($A42="","",[1]!thsiFinD("ths_adjustment_nv_fund",X$3,$A42))</f>
        <v/>
      </c>
    </row>
    <row r="43">
      <c r="A43" s="179" t="n"/>
      <c r="B43" s="180">
        <f>IF($A43="","",[1]!thsiFinD("ths_adjustment_nv_fund",B$3,$A43))</f>
        <v/>
      </c>
      <c r="C43" s="180">
        <f>IF($A43="","",[1]!thsiFinD("ths_adjustment_nv_fund",C$3,$A43))</f>
        <v/>
      </c>
      <c r="D43" s="180">
        <f>IF($A43="","",[1]!thsiFinD("ths_adjustment_nv_fund",D$3,$A43))</f>
        <v/>
      </c>
      <c r="E43" s="180">
        <f>IF($A43="","",[1]!thsiFinD("ths_adjustment_nv_fund",E$3,$A43))</f>
        <v/>
      </c>
      <c r="F43" s="180">
        <f>IF($A43="","",[1]!thsiFinD("ths_adjustment_nv_fund",F$3,$A43))</f>
        <v/>
      </c>
      <c r="G43" s="180">
        <f>IF($A43="","",[1]!thsiFinD("ths_adjustment_nv_fund",G$3,$A43))</f>
        <v/>
      </c>
      <c r="H43" s="180">
        <f>IF($A43="","",[1]!thsiFinD("ths_adjustment_nv_fund",H$3,$A43))</f>
        <v/>
      </c>
      <c r="I43" s="180">
        <f>IF($A43="","",[1]!thsiFinD("ths_adjustment_nv_fund",I$3,$A43))</f>
        <v/>
      </c>
      <c r="J43" s="180">
        <f>IF($A43="","",[1]!thsiFinD("ths_adjustment_nv_fund",J$3,$A43))</f>
        <v/>
      </c>
      <c r="K43" s="180">
        <f>IF($A43="","",[1]!thsiFinD("ths_adjustment_nv_fund",K$3,$A43))</f>
        <v/>
      </c>
      <c r="L43" s="180">
        <f>IF($A43="","",[1]!thsiFinD("ths_adjustment_nv_fund",L$3,$A43))</f>
        <v/>
      </c>
      <c r="M43" s="180">
        <f>IF($A43="","",[1]!thsiFinD("ths_adjustment_nv_fund",M$3,$A43))</f>
        <v/>
      </c>
      <c r="N43" s="180">
        <f>IF($A43="","",[1]!thsiFinD("ths_adjustment_nv_fund",N$3,$A43))</f>
        <v/>
      </c>
      <c r="O43" s="180">
        <f>IF($A43="","",[1]!thsiFinD("ths_adjustment_nv_fund",O$3,$A43))</f>
        <v/>
      </c>
      <c r="P43" s="180">
        <f>IF($A43="","",[1]!thsiFinD("ths_adjustment_nv_fund",P$3,$A43))</f>
        <v/>
      </c>
      <c r="Q43" s="180">
        <f>IF($A43="","",[1]!thsiFinD("ths_adjustment_nv_fund",Q$3,$A43))</f>
        <v/>
      </c>
      <c r="R43" s="180">
        <f>IF($A43="","",[1]!thsiFinD("ths_adjustment_nv_fund",R$3,$A43))</f>
        <v/>
      </c>
      <c r="S43" s="180">
        <f>IF($A43="","",[1]!thsiFinD("ths_adjustment_nv_fund",S$3,$A43))</f>
        <v/>
      </c>
      <c r="T43" s="180">
        <f>IF($A43="","",[1]!thsiFinD("ths_adjustment_nv_fund",T$3,$A43))</f>
        <v/>
      </c>
      <c r="U43" s="180">
        <f>IF($A43="","",[1]!thsiFinD("ths_adjustment_nv_fund",U$3,$A43))</f>
        <v/>
      </c>
      <c r="V43" s="180">
        <f>IF($A43="","",[1]!thsiFinD("ths_adjustment_nv_fund",V$3,$A43))</f>
        <v/>
      </c>
      <c r="W43" s="180">
        <f>IF($A43="","",[1]!thsiFinD("ths_adjustment_nv_fund",W$3,$A43))</f>
        <v/>
      </c>
      <c r="X43" s="180">
        <f>IF($A43="","",[1]!thsiFinD("ths_adjustment_nv_fund",X$3,$A43))</f>
        <v/>
      </c>
    </row>
    <row r="44">
      <c r="A44" s="179" t="n"/>
      <c r="B44" s="180">
        <f>IF($A44="","",[1]!thsiFinD("ths_adjustment_nv_fund",B$3,$A44))</f>
        <v/>
      </c>
      <c r="C44" s="180">
        <f>IF($A44="","",[1]!thsiFinD("ths_adjustment_nv_fund",C$3,$A44))</f>
        <v/>
      </c>
      <c r="D44" s="180">
        <f>IF($A44="","",[1]!thsiFinD("ths_adjustment_nv_fund",D$3,$A44))</f>
        <v/>
      </c>
      <c r="E44" s="180">
        <f>IF($A44="","",[1]!thsiFinD("ths_adjustment_nv_fund",E$3,$A44))</f>
        <v/>
      </c>
      <c r="F44" s="180">
        <f>IF($A44="","",[1]!thsiFinD("ths_adjustment_nv_fund",F$3,$A44))</f>
        <v/>
      </c>
      <c r="G44" s="180">
        <f>IF($A44="","",[1]!thsiFinD("ths_adjustment_nv_fund",G$3,$A44))</f>
        <v/>
      </c>
      <c r="H44" s="180">
        <f>IF($A44="","",[1]!thsiFinD("ths_adjustment_nv_fund",H$3,$A44))</f>
        <v/>
      </c>
      <c r="I44" s="180">
        <f>IF($A44="","",[1]!thsiFinD("ths_adjustment_nv_fund",I$3,$A44))</f>
        <v/>
      </c>
      <c r="J44" s="180">
        <f>IF($A44="","",[1]!thsiFinD("ths_adjustment_nv_fund",J$3,$A44))</f>
        <v/>
      </c>
      <c r="K44" s="180">
        <f>IF($A44="","",[1]!thsiFinD("ths_adjustment_nv_fund",K$3,$A44))</f>
        <v/>
      </c>
      <c r="L44" s="180">
        <f>IF($A44="","",[1]!thsiFinD("ths_adjustment_nv_fund",L$3,$A44))</f>
        <v/>
      </c>
      <c r="M44" s="180">
        <f>IF($A44="","",[1]!thsiFinD("ths_adjustment_nv_fund",M$3,$A44))</f>
        <v/>
      </c>
      <c r="N44" s="180">
        <f>IF($A44="","",[1]!thsiFinD("ths_adjustment_nv_fund",N$3,$A44))</f>
        <v/>
      </c>
      <c r="O44" s="180">
        <f>IF($A44="","",[1]!thsiFinD("ths_adjustment_nv_fund",O$3,$A44))</f>
        <v/>
      </c>
      <c r="P44" s="180">
        <f>IF($A44="","",[1]!thsiFinD("ths_adjustment_nv_fund",P$3,$A44))</f>
        <v/>
      </c>
      <c r="Q44" s="180">
        <f>IF($A44="","",[1]!thsiFinD("ths_adjustment_nv_fund",Q$3,$A44))</f>
        <v/>
      </c>
      <c r="R44" s="180">
        <f>IF($A44="","",[1]!thsiFinD("ths_adjustment_nv_fund",R$3,$A44))</f>
        <v/>
      </c>
      <c r="S44" s="180">
        <f>IF($A44="","",[1]!thsiFinD("ths_adjustment_nv_fund",S$3,$A44))</f>
        <v/>
      </c>
      <c r="T44" s="180">
        <f>IF($A44="","",[1]!thsiFinD("ths_adjustment_nv_fund",T$3,$A44))</f>
        <v/>
      </c>
      <c r="U44" s="180">
        <f>IF($A44="","",[1]!thsiFinD("ths_adjustment_nv_fund",U$3,$A44))</f>
        <v/>
      </c>
      <c r="V44" s="180">
        <f>IF($A44="","",[1]!thsiFinD("ths_adjustment_nv_fund",V$3,$A44))</f>
        <v/>
      </c>
      <c r="W44" s="180">
        <f>IF($A44="","",[1]!thsiFinD("ths_adjustment_nv_fund",W$3,$A44))</f>
        <v/>
      </c>
      <c r="X44" s="180">
        <f>IF($A44="","",[1]!thsiFinD("ths_adjustment_nv_fund",X$3,$A44))</f>
        <v/>
      </c>
    </row>
    <row r="45">
      <c r="A45" s="179" t="n"/>
      <c r="B45" s="180">
        <f>IF($A45="","",[1]!thsiFinD("ths_adjustment_nv_fund",B$3,$A45))</f>
        <v/>
      </c>
      <c r="C45" s="180">
        <f>IF($A45="","",[1]!thsiFinD("ths_adjustment_nv_fund",C$3,$A45))</f>
        <v/>
      </c>
      <c r="D45" s="180">
        <f>IF($A45="","",[1]!thsiFinD("ths_adjustment_nv_fund",D$3,$A45))</f>
        <v/>
      </c>
      <c r="E45" s="180">
        <f>IF($A45="","",[1]!thsiFinD("ths_adjustment_nv_fund",E$3,$A45))</f>
        <v/>
      </c>
      <c r="F45" s="180">
        <f>IF($A45="","",[1]!thsiFinD("ths_adjustment_nv_fund",F$3,$A45))</f>
        <v/>
      </c>
      <c r="G45" s="180">
        <f>IF($A45="","",[1]!thsiFinD("ths_adjustment_nv_fund",G$3,$A45))</f>
        <v/>
      </c>
      <c r="H45" s="180">
        <f>IF($A45="","",[1]!thsiFinD("ths_adjustment_nv_fund",H$3,$A45))</f>
        <v/>
      </c>
      <c r="I45" s="180">
        <f>IF($A45="","",[1]!thsiFinD("ths_adjustment_nv_fund",I$3,$A45))</f>
        <v/>
      </c>
      <c r="J45" s="180">
        <f>IF($A45="","",[1]!thsiFinD("ths_adjustment_nv_fund",J$3,$A45))</f>
        <v/>
      </c>
      <c r="K45" s="180">
        <f>IF($A45="","",[1]!thsiFinD("ths_adjustment_nv_fund",K$3,$A45))</f>
        <v/>
      </c>
      <c r="L45" s="180">
        <f>IF($A45="","",[1]!thsiFinD("ths_adjustment_nv_fund",L$3,$A45))</f>
        <v/>
      </c>
      <c r="M45" s="180">
        <f>IF($A45="","",[1]!thsiFinD("ths_adjustment_nv_fund",M$3,$A45))</f>
        <v/>
      </c>
      <c r="N45" s="180">
        <f>IF($A45="","",[1]!thsiFinD("ths_adjustment_nv_fund",N$3,$A45))</f>
        <v/>
      </c>
      <c r="O45" s="180">
        <f>IF($A45="","",[1]!thsiFinD("ths_adjustment_nv_fund",O$3,$A45))</f>
        <v/>
      </c>
      <c r="P45" s="180">
        <f>IF($A45="","",[1]!thsiFinD("ths_adjustment_nv_fund",P$3,$A45))</f>
        <v/>
      </c>
      <c r="Q45" s="180">
        <f>IF($A45="","",[1]!thsiFinD("ths_adjustment_nv_fund",Q$3,$A45))</f>
        <v/>
      </c>
      <c r="R45" s="180">
        <f>IF($A45="","",[1]!thsiFinD("ths_adjustment_nv_fund",R$3,$A45))</f>
        <v/>
      </c>
      <c r="S45" s="180">
        <f>IF($A45="","",[1]!thsiFinD("ths_adjustment_nv_fund",S$3,$A45))</f>
        <v/>
      </c>
      <c r="T45" s="180">
        <f>IF($A45="","",[1]!thsiFinD("ths_adjustment_nv_fund",T$3,$A45))</f>
        <v/>
      </c>
      <c r="U45" s="180">
        <f>IF($A45="","",[1]!thsiFinD("ths_adjustment_nv_fund",U$3,$A45))</f>
        <v/>
      </c>
      <c r="V45" s="180">
        <f>IF($A45="","",[1]!thsiFinD("ths_adjustment_nv_fund",V$3,$A45))</f>
        <v/>
      </c>
      <c r="W45" s="180">
        <f>IF($A45="","",[1]!thsiFinD("ths_adjustment_nv_fund",W$3,$A45))</f>
        <v/>
      </c>
      <c r="X45" s="180">
        <f>IF($A45="","",[1]!thsiFinD("ths_adjustment_nv_fund",X$3,$A45))</f>
        <v/>
      </c>
    </row>
    <row r="46">
      <c r="A46" s="179" t="n"/>
      <c r="B46" s="180">
        <f>IF($A46="","",[1]!thsiFinD("ths_adjustment_nv_fund",B$3,$A46))</f>
        <v/>
      </c>
      <c r="C46" s="180">
        <f>IF($A46="","",[1]!thsiFinD("ths_adjustment_nv_fund",C$3,$A46))</f>
        <v/>
      </c>
      <c r="D46" s="180">
        <f>IF($A46="","",[1]!thsiFinD("ths_adjustment_nv_fund",D$3,$A46))</f>
        <v/>
      </c>
      <c r="E46" s="180">
        <f>IF($A46="","",[1]!thsiFinD("ths_adjustment_nv_fund",E$3,$A46))</f>
        <v/>
      </c>
      <c r="F46" s="180">
        <f>IF($A46="","",[1]!thsiFinD("ths_adjustment_nv_fund",F$3,$A46))</f>
        <v/>
      </c>
      <c r="G46" s="180">
        <f>IF($A46="","",[1]!thsiFinD("ths_adjustment_nv_fund",G$3,$A46))</f>
        <v/>
      </c>
      <c r="H46" s="180">
        <f>IF($A46="","",[1]!thsiFinD("ths_adjustment_nv_fund",H$3,$A46))</f>
        <v/>
      </c>
      <c r="I46" s="180">
        <f>IF($A46="","",[1]!thsiFinD("ths_adjustment_nv_fund",I$3,$A46))</f>
        <v/>
      </c>
      <c r="J46" s="180">
        <f>IF($A46="","",[1]!thsiFinD("ths_adjustment_nv_fund",J$3,$A46))</f>
        <v/>
      </c>
      <c r="K46" s="180">
        <f>IF($A46="","",[1]!thsiFinD("ths_adjustment_nv_fund",K$3,$A46))</f>
        <v/>
      </c>
      <c r="L46" s="180">
        <f>IF($A46="","",[1]!thsiFinD("ths_adjustment_nv_fund",L$3,$A46))</f>
        <v/>
      </c>
      <c r="M46" s="180">
        <f>IF($A46="","",[1]!thsiFinD("ths_adjustment_nv_fund",M$3,$A46))</f>
        <v/>
      </c>
      <c r="N46" s="180">
        <f>IF($A46="","",[1]!thsiFinD("ths_adjustment_nv_fund",N$3,$A46))</f>
        <v/>
      </c>
      <c r="O46" s="180">
        <f>IF($A46="","",[1]!thsiFinD("ths_adjustment_nv_fund",O$3,$A46))</f>
        <v/>
      </c>
      <c r="P46" s="180">
        <f>IF($A46="","",[1]!thsiFinD("ths_adjustment_nv_fund",P$3,$A46))</f>
        <v/>
      </c>
      <c r="Q46" s="180">
        <f>IF($A46="","",[1]!thsiFinD("ths_adjustment_nv_fund",Q$3,$A46))</f>
        <v/>
      </c>
      <c r="R46" s="180">
        <f>IF($A46="","",[1]!thsiFinD("ths_adjustment_nv_fund",R$3,$A46))</f>
        <v/>
      </c>
      <c r="S46" s="180">
        <f>IF($A46="","",[1]!thsiFinD("ths_adjustment_nv_fund",S$3,$A46))</f>
        <v/>
      </c>
      <c r="T46" s="180">
        <f>IF($A46="","",[1]!thsiFinD("ths_adjustment_nv_fund",T$3,$A46))</f>
        <v/>
      </c>
      <c r="U46" s="180">
        <f>IF($A46="","",[1]!thsiFinD("ths_adjustment_nv_fund",U$3,$A46))</f>
        <v/>
      </c>
      <c r="V46" s="180">
        <f>IF($A46="","",[1]!thsiFinD("ths_adjustment_nv_fund",V$3,$A46))</f>
        <v/>
      </c>
      <c r="W46" s="180">
        <f>IF($A46="","",[1]!thsiFinD("ths_adjustment_nv_fund",W$3,$A46))</f>
        <v/>
      </c>
      <c r="X46" s="180">
        <f>IF($A46="","",[1]!thsiFinD("ths_adjustment_nv_fund",X$3,$A46))</f>
        <v/>
      </c>
    </row>
    <row r="47">
      <c r="A47" s="179" t="n"/>
      <c r="B47" s="180">
        <f>IF($A47="","",[1]!thsiFinD("ths_adjustment_nv_fund",B$3,$A47))</f>
        <v/>
      </c>
      <c r="C47" s="180">
        <f>IF($A47="","",[1]!thsiFinD("ths_adjustment_nv_fund",C$3,$A47))</f>
        <v/>
      </c>
      <c r="D47" s="180">
        <f>IF($A47="","",[1]!thsiFinD("ths_adjustment_nv_fund",D$3,$A47))</f>
        <v/>
      </c>
      <c r="E47" s="180">
        <f>IF($A47="","",[1]!thsiFinD("ths_adjustment_nv_fund",E$3,$A47))</f>
        <v/>
      </c>
      <c r="F47" s="180">
        <f>IF($A47="","",[1]!thsiFinD("ths_adjustment_nv_fund",F$3,$A47))</f>
        <v/>
      </c>
      <c r="G47" s="180">
        <f>IF($A47="","",[1]!thsiFinD("ths_adjustment_nv_fund",G$3,$A47))</f>
        <v/>
      </c>
      <c r="H47" s="180">
        <f>IF($A47="","",[1]!thsiFinD("ths_adjustment_nv_fund",H$3,$A47))</f>
        <v/>
      </c>
      <c r="I47" s="180">
        <f>IF($A47="","",[1]!thsiFinD("ths_adjustment_nv_fund",I$3,$A47))</f>
        <v/>
      </c>
      <c r="J47" s="180">
        <f>IF($A47="","",[1]!thsiFinD("ths_adjustment_nv_fund",J$3,$A47))</f>
        <v/>
      </c>
      <c r="K47" s="180">
        <f>IF($A47="","",[1]!thsiFinD("ths_adjustment_nv_fund",K$3,$A47))</f>
        <v/>
      </c>
      <c r="L47" s="180">
        <f>IF($A47="","",[1]!thsiFinD("ths_adjustment_nv_fund",L$3,$A47))</f>
        <v/>
      </c>
      <c r="M47" s="180">
        <f>IF($A47="","",[1]!thsiFinD("ths_adjustment_nv_fund",M$3,$A47))</f>
        <v/>
      </c>
      <c r="N47" s="180">
        <f>IF($A47="","",[1]!thsiFinD("ths_adjustment_nv_fund",N$3,$A47))</f>
        <v/>
      </c>
      <c r="O47" s="180">
        <f>IF($A47="","",[1]!thsiFinD("ths_adjustment_nv_fund",O$3,$A47))</f>
        <v/>
      </c>
      <c r="P47" s="180">
        <f>IF($A47="","",[1]!thsiFinD("ths_adjustment_nv_fund",P$3,$A47))</f>
        <v/>
      </c>
      <c r="Q47" s="180">
        <f>IF($A47="","",[1]!thsiFinD("ths_adjustment_nv_fund",Q$3,$A47))</f>
        <v/>
      </c>
      <c r="R47" s="180">
        <f>IF($A47="","",[1]!thsiFinD("ths_adjustment_nv_fund",R$3,$A47))</f>
        <v/>
      </c>
      <c r="S47" s="180">
        <f>IF($A47="","",[1]!thsiFinD("ths_adjustment_nv_fund",S$3,$A47))</f>
        <v/>
      </c>
      <c r="T47" s="180">
        <f>IF($A47="","",[1]!thsiFinD("ths_adjustment_nv_fund",T$3,$A47))</f>
        <v/>
      </c>
      <c r="U47" s="180">
        <f>IF($A47="","",[1]!thsiFinD("ths_adjustment_nv_fund",U$3,$A47))</f>
        <v/>
      </c>
      <c r="V47" s="180">
        <f>IF($A47="","",[1]!thsiFinD("ths_adjustment_nv_fund",V$3,$A47))</f>
        <v/>
      </c>
      <c r="W47" s="180">
        <f>IF($A47="","",[1]!thsiFinD("ths_adjustment_nv_fund",W$3,$A47))</f>
        <v/>
      </c>
      <c r="X47" s="180">
        <f>IF($A47="","",[1]!thsiFinD("ths_adjustment_nv_fund",X$3,$A47))</f>
        <v/>
      </c>
    </row>
    <row r="48">
      <c r="A48" s="179" t="n"/>
      <c r="B48" s="180">
        <f>IF($A48="","",[1]!thsiFinD("ths_adjustment_nv_fund",B$3,$A48))</f>
        <v/>
      </c>
      <c r="C48" s="180">
        <f>IF($A48="","",[1]!thsiFinD("ths_adjustment_nv_fund",C$3,$A48))</f>
        <v/>
      </c>
      <c r="D48" s="180">
        <f>IF($A48="","",[1]!thsiFinD("ths_adjustment_nv_fund",D$3,$A48))</f>
        <v/>
      </c>
      <c r="E48" s="180">
        <f>IF($A48="","",[1]!thsiFinD("ths_adjustment_nv_fund",E$3,$A48))</f>
        <v/>
      </c>
      <c r="F48" s="180">
        <f>IF($A48="","",[1]!thsiFinD("ths_adjustment_nv_fund",F$3,$A48))</f>
        <v/>
      </c>
      <c r="G48" s="180">
        <f>IF($A48="","",[1]!thsiFinD("ths_adjustment_nv_fund",G$3,$A48))</f>
        <v/>
      </c>
      <c r="H48" s="180">
        <f>IF($A48="","",[1]!thsiFinD("ths_adjustment_nv_fund",H$3,$A48))</f>
        <v/>
      </c>
      <c r="I48" s="180">
        <f>IF($A48="","",[1]!thsiFinD("ths_adjustment_nv_fund",I$3,$A48))</f>
        <v/>
      </c>
      <c r="J48" s="180">
        <f>IF($A48="","",[1]!thsiFinD("ths_adjustment_nv_fund",J$3,$A48))</f>
        <v/>
      </c>
      <c r="K48" s="180">
        <f>IF($A48="","",[1]!thsiFinD("ths_adjustment_nv_fund",K$3,$A48))</f>
        <v/>
      </c>
      <c r="L48" s="180">
        <f>IF($A48="","",[1]!thsiFinD("ths_adjustment_nv_fund",L$3,$A48))</f>
        <v/>
      </c>
      <c r="M48" s="180">
        <f>IF($A48="","",[1]!thsiFinD("ths_adjustment_nv_fund",M$3,$A48))</f>
        <v/>
      </c>
      <c r="N48" s="180">
        <f>IF($A48="","",[1]!thsiFinD("ths_adjustment_nv_fund",N$3,$A48))</f>
        <v/>
      </c>
      <c r="O48" s="180">
        <f>IF($A48="","",[1]!thsiFinD("ths_adjustment_nv_fund",O$3,$A48))</f>
        <v/>
      </c>
      <c r="P48" s="180">
        <f>IF($A48="","",[1]!thsiFinD("ths_adjustment_nv_fund",P$3,$A48))</f>
        <v/>
      </c>
      <c r="Q48" s="180">
        <f>IF($A48="","",[1]!thsiFinD("ths_adjustment_nv_fund",Q$3,$A48))</f>
        <v/>
      </c>
      <c r="R48" s="180">
        <f>IF($A48="","",[1]!thsiFinD("ths_adjustment_nv_fund",R$3,$A48))</f>
        <v/>
      </c>
      <c r="S48" s="180">
        <f>IF($A48="","",[1]!thsiFinD("ths_adjustment_nv_fund",S$3,$A48))</f>
        <v/>
      </c>
      <c r="T48" s="180">
        <f>IF($A48="","",[1]!thsiFinD("ths_adjustment_nv_fund",T$3,$A48))</f>
        <v/>
      </c>
      <c r="U48" s="180">
        <f>IF($A48="","",[1]!thsiFinD("ths_adjustment_nv_fund",U$3,$A48))</f>
        <v/>
      </c>
      <c r="V48" s="180">
        <f>IF($A48="","",[1]!thsiFinD("ths_adjustment_nv_fund",V$3,$A48))</f>
        <v/>
      </c>
      <c r="W48" s="180">
        <f>IF($A48="","",[1]!thsiFinD("ths_adjustment_nv_fund",W$3,$A48))</f>
        <v/>
      </c>
      <c r="X48" s="180">
        <f>IF($A48="","",[1]!thsiFinD("ths_adjustment_nv_fund",X$3,$A48))</f>
        <v/>
      </c>
    </row>
    <row r="49">
      <c r="A49" s="179" t="n"/>
      <c r="B49" s="180">
        <f>IF($A49="","",[1]!thsiFinD("ths_adjustment_nv_fund",B$3,$A49))</f>
        <v/>
      </c>
      <c r="C49" s="180">
        <f>IF($A49="","",[1]!thsiFinD("ths_adjustment_nv_fund",C$3,$A49))</f>
        <v/>
      </c>
      <c r="D49" s="180">
        <f>IF($A49="","",[1]!thsiFinD("ths_adjustment_nv_fund",D$3,$A49))</f>
        <v/>
      </c>
      <c r="E49" s="180">
        <f>IF($A49="","",[1]!thsiFinD("ths_adjustment_nv_fund",E$3,$A49))</f>
        <v/>
      </c>
      <c r="F49" s="180">
        <f>IF($A49="","",[1]!thsiFinD("ths_adjustment_nv_fund",F$3,$A49))</f>
        <v/>
      </c>
      <c r="G49" s="180">
        <f>IF($A49="","",[1]!thsiFinD("ths_adjustment_nv_fund",G$3,$A49))</f>
        <v/>
      </c>
      <c r="H49" s="180">
        <f>IF($A49="","",[1]!thsiFinD("ths_adjustment_nv_fund",H$3,$A49))</f>
        <v/>
      </c>
      <c r="I49" s="180">
        <f>IF($A49="","",[1]!thsiFinD("ths_adjustment_nv_fund",I$3,$A49))</f>
        <v/>
      </c>
      <c r="J49" s="180">
        <f>IF($A49="","",[1]!thsiFinD("ths_adjustment_nv_fund",J$3,$A49))</f>
        <v/>
      </c>
      <c r="K49" s="180">
        <f>IF($A49="","",[1]!thsiFinD("ths_adjustment_nv_fund",K$3,$A49))</f>
        <v/>
      </c>
      <c r="L49" s="180">
        <f>IF($A49="","",[1]!thsiFinD("ths_adjustment_nv_fund",L$3,$A49))</f>
        <v/>
      </c>
      <c r="M49" s="180">
        <f>IF($A49="","",[1]!thsiFinD("ths_adjustment_nv_fund",M$3,$A49))</f>
        <v/>
      </c>
      <c r="N49" s="180">
        <f>IF($A49="","",[1]!thsiFinD("ths_adjustment_nv_fund",N$3,$A49))</f>
        <v/>
      </c>
      <c r="O49" s="180">
        <f>IF($A49="","",[1]!thsiFinD("ths_adjustment_nv_fund",O$3,$A49))</f>
        <v/>
      </c>
      <c r="P49" s="180">
        <f>IF($A49="","",[1]!thsiFinD("ths_adjustment_nv_fund",P$3,$A49))</f>
        <v/>
      </c>
      <c r="Q49" s="180">
        <f>IF($A49="","",[1]!thsiFinD("ths_adjustment_nv_fund",Q$3,$A49))</f>
        <v/>
      </c>
      <c r="R49" s="180">
        <f>IF($A49="","",[1]!thsiFinD("ths_adjustment_nv_fund",R$3,$A49))</f>
        <v/>
      </c>
      <c r="S49" s="180">
        <f>IF($A49="","",[1]!thsiFinD("ths_adjustment_nv_fund",S$3,$A49))</f>
        <v/>
      </c>
      <c r="T49" s="180">
        <f>IF($A49="","",[1]!thsiFinD("ths_adjustment_nv_fund",T$3,$A49))</f>
        <v/>
      </c>
      <c r="U49" s="180">
        <f>IF($A49="","",[1]!thsiFinD("ths_adjustment_nv_fund",U$3,$A49))</f>
        <v/>
      </c>
      <c r="V49" s="180">
        <f>IF($A49="","",[1]!thsiFinD("ths_adjustment_nv_fund",V$3,$A49))</f>
        <v/>
      </c>
      <c r="W49" s="180">
        <f>IF($A49="","",[1]!thsiFinD("ths_adjustment_nv_fund",W$3,$A49))</f>
        <v/>
      </c>
      <c r="X49" s="180">
        <f>IF($A49="","",[1]!thsiFinD("ths_adjustment_nv_fund",X$3,$A49))</f>
        <v/>
      </c>
    </row>
    <row r="50">
      <c r="A50" s="179" t="n"/>
      <c r="B50" s="180">
        <f>IF($A50="","",[1]!thsiFinD("ths_adjustment_nv_fund",B$3,$A50))</f>
        <v/>
      </c>
      <c r="C50" s="180">
        <f>IF($A50="","",[1]!thsiFinD("ths_adjustment_nv_fund",C$3,$A50))</f>
        <v/>
      </c>
      <c r="D50" s="180">
        <f>IF($A50="","",[1]!thsiFinD("ths_adjustment_nv_fund",D$3,$A50))</f>
        <v/>
      </c>
      <c r="E50" s="180">
        <f>IF($A50="","",[1]!thsiFinD("ths_adjustment_nv_fund",E$3,$A50))</f>
        <v/>
      </c>
      <c r="F50" s="180">
        <f>IF($A50="","",[1]!thsiFinD("ths_adjustment_nv_fund",F$3,$A50))</f>
        <v/>
      </c>
      <c r="G50" s="180">
        <f>IF($A50="","",[1]!thsiFinD("ths_adjustment_nv_fund",G$3,$A50))</f>
        <v/>
      </c>
      <c r="H50" s="180">
        <f>IF($A50="","",[1]!thsiFinD("ths_adjustment_nv_fund",H$3,$A50))</f>
        <v/>
      </c>
      <c r="I50" s="180">
        <f>IF($A50="","",[1]!thsiFinD("ths_adjustment_nv_fund",I$3,$A50))</f>
        <v/>
      </c>
      <c r="J50" s="180">
        <f>IF($A50="","",[1]!thsiFinD("ths_adjustment_nv_fund",J$3,$A50))</f>
        <v/>
      </c>
      <c r="K50" s="180">
        <f>IF($A50="","",[1]!thsiFinD("ths_adjustment_nv_fund",K$3,$A50))</f>
        <v/>
      </c>
      <c r="L50" s="180">
        <f>IF($A50="","",[1]!thsiFinD("ths_adjustment_nv_fund",L$3,$A50))</f>
        <v/>
      </c>
      <c r="M50" s="180">
        <f>IF($A50="","",[1]!thsiFinD("ths_adjustment_nv_fund",M$3,$A50))</f>
        <v/>
      </c>
      <c r="N50" s="180">
        <f>IF($A50="","",[1]!thsiFinD("ths_adjustment_nv_fund",N$3,$A50))</f>
        <v/>
      </c>
      <c r="O50" s="180">
        <f>IF($A50="","",[1]!thsiFinD("ths_adjustment_nv_fund",O$3,$A50))</f>
        <v/>
      </c>
      <c r="P50" s="180">
        <f>IF($A50="","",[1]!thsiFinD("ths_adjustment_nv_fund",P$3,$A50))</f>
        <v/>
      </c>
      <c r="Q50" s="180">
        <f>IF($A50="","",[1]!thsiFinD("ths_adjustment_nv_fund",Q$3,$A50))</f>
        <v/>
      </c>
      <c r="R50" s="180">
        <f>IF($A50="","",[1]!thsiFinD("ths_adjustment_nv_fund",R$3,$A50))</f>
        <v/>
      </c>
      <c r="S50" s="180">
        <f>IF($A50="","",[1]!thsiFinD("ths_adjustment_nv_fund",S$3,$A50))</f>
        <v/>
      </c>
      <c r="T50" s="180">
        <f>IF($A50="","",[1]!thsiFinD("ths_adjustment_nv_fund",T$3,$A50))</f>
        <v/>
      </c>
      <c r="U50" s="180">
        <f>IF($A50="","",[1]!thsiFinD("ths_adjustment_nv_fund",U$3,$A50))</f>
        <v/>
      </c>
      <c r="V50" s="180">
        <f>IF($A50="","",[1]!thsiFinD("ths_adjustment_nv_fund",V$3,$A50))</f>
        <v/>
      </c>
      <c r="W50" s="180">
        <f>IF($A50="","",[1]!thsiFinD("ths_adjustment_nv_fund",W$3,$A50))</f>
        <v/>
      </c>
      <c r="X50" s="180">
        <f>IF($A50="","",[1]!thsiFinD("ths_adjustment_nv_fund",X$3,$A50))</f>
        <v/>
      </c>
    </row>
    <row r="51">
      <c r="A51" s="179" t="n"/>
      <c r="B51" s="180">
        <f>IF($A51="","",[1]!thsiFinD("ths_adjustment_nv_fund",B$3,$A51))</f>
        <v/>
      </c>
      <c r="C51" s="180">
        <f>IF($A51="","",[1]!thsiFinD("ths_adjustment_nv_fund",C$3,$A51))</f>
        <v/>
      </c>
      <c r="D51" s="180">
        <f>IF($A51="","",[1]!thsiFinD("ths_adjustment_nv_fund",D$3,$A51))</f>
        <v/>
      </c>
      <c r="E51" s="180">
        <f>IF($A51="","",[1]!thsiFinD("ths_adjustment_nv_fund",E$3,$A51))</f>
        <v/>
      </c>
      <c r="F51" s="180">
        <f>IF($A51="","",[1]!thsiFinD("ths_adjustment_nv_fund",F$3,$A51))</f>
        <v/>
      </c>
      <c r="G51" s="180">
        <f>IF($A51="","",[1]!thsiFinD("ths_adjustment_nv_fund",G$3,$A51))</f>
        <v/>
      </c>
      <c r="H51" s="180">
        <f>IF($A51="","",[1]!thsiFinD("ths_adjustment_nv_fund",H$3,$A51))</f>
        <v/>
      </c>
      <c r="I51" s="180">
        <f>IF($A51="","",[1]!thsiFinD("ths_adjustment_nv_fund",I$3,$A51))</f>
        <v/>
      </c>
      <c r="J51" s="180">
        <f>IF($A51="","",[1]!thsiFinD("ths_adjustment_nv_fund",J$3,$A51))</f>
        <v/>
      </c>
      <c r="K51" s="180">
        <f>IF($A51="","",[1]!thsiFinD("ths_adjustment_nv_fund",K$3,$A51))</f>
        <v/>
      </c>
      <c r="L51" s="180">
        <f>IF($A51="","",[1]!thsiFinD("ths_adjustment_nv_fund",L$3,$A51))</f>
        <v/>
      </c>
      <c r="M51" s="180">
        <f>IF($A51="","",[1]!thsiFinD("ths_adjustment_nv_fund",M$3,$A51))</f>
        <v/>
      </c>
      <c r="N51" s="180">
        <f>IF($A51="","",[1]!thsiFinD("ths_adjustment_nv_fund",N$3,$A51))</f>
        <v/>
      </c>
      <c r="O51" s="180">
        <f>IF($A51="","",[1]!thsiFinD("ths_adjustment_nv_fund",O$3,$A51))</f>
        <v/>
      </c>
      <c r="P51" s="180">
        <f>IF($A51="","",[1]!thsiFinD("ths_adjustment_nv_fund",P$3,$A51))</f>
        <v/>
      </c>
      <c r="Q51" s="180">
        <f>IF($A51="","",[1]!thsiFinD("ths_adjustment_nv_fund",Q$3,$A51))</f>
        <v/>
      </c>
      <c r="R51" s="180">
        <f>IF($A51="","",[1]!thsiFinD("ths_adjustment_nv_fund",R$3,$A51))</f>
        <v/>
      </c>
      <c r="S51" s="180">
        <f>IF($A51="","",[1]!thsiFinD("ths_adjustment_nv_fund",S$3,$A51))</f>
        <v/>
      </c>
      <c r="T51" s="180">
        <f>IF($A51="","",[1]!thsiFinD("ths_adjustment_nv_fund",T$3,$A51))</f>
        <v/>
      </c>
      <c r="U51" s="180">
        <f>IF($A51="","",[1]!thsiFinD("ths_adjustment_nv_fund",U$3,$A51))</f>
        <v/>
      </c>
      <c r="V51" s="180">
        <f>IF($A51="","",[1]!thsiFinD("ths_adjustment_nv_fund",V$3,$A51))</f>
        <v/>
      </c>
      <c r="W51" s="180">
        <f>IF($A51="","",[1]!thsiFinD("ths_adjustment_nv_fund",W$3,$A51))</f>
        <v/>
      </c>
      <c r="X51" s="180">
        <f>IF($A51="","",[1]!thsiFinD("ths_adjustment_nv_fund",X$3,$A51))</f>
        <v/>
      </c>
    </row>
    <row r="52">
      <c r="A52" s="179" t="n"/>
      <c r="B52" s="180">
        <f>IF($A52="","",[1]!thsiFinD("ths_adjustment_nv_fund",B$3,$A52))</f>
        <v/>
      </c>
      <c r="C52" s="180">
        <f>IF($A52="","",[1]!thsiFinD("ths_adjustment_nv_fund",C$3,$A52))</f>
        <v/>
      </c>
      <c r="D52" s="180">
        <f>IF($A52="","",[1]!thsiFinD("ths_adjustment_nv_fund",D$3,$A52))</f>
        <v/>
      </c>
      <c r="E52" s="180">
        <f>IF($A52="","",[1]!thsiFinD("ths_adjustment_nv_fund",E$3,$A52))</f>
        <v/>
      </c>
      <c r="F52" s="180">
        <f>IF($A52="","",[1]!thsiFinD("ths_adjustment_nv_fund",F$3,$A52))</f>
        <v/>
      </c>
      <c r="G52" s="180">
        <f>IF($A52="","",[1]!thsiFinD("ths_adjustment_nv_fund",G$3,$A52))</f>
        <v/>
      </c>
      <c r="H52" s="180">
        <f>IF($A52="","",[1]!thsiFinD("ths_adjustment_nv_fund",H$3,$A52))</f>
        <v/>
      </c>
      <c r="I52" s="180">
        <f>IF($A52="","",[1]!thsiFinD("ths_adjustment_nv_fund",I$3,$A52))</f>
        <v/>
      </c>
      <c r="J52" s="180">
        <f>IF($A52="","",[1]!thsiFinD("ths_adjustment_nv_fund",J$3,$A52))</f>
        <v/>
      </c>
      <c r="K52" s="180">
        <f>IF($A52="","",[1]!thsiFinD("ths_adjustment_nv_fund",K$3,$A52))</f>
        <v/>
      </c>
      <c r="L52" s="180">
        <f>IF($A52="","",[1]!thsiFinD("ths_adjustment_nv_fund",L$3,$A52))</f>
        <v/>
      </c>
      <c r="M52" s="180">
        <f>IF($A52="","",[1]!thsiFinD("ths_adjustment_nv_fund",M$3,$A52))</f>
        <v/>
      </c>
      <c r="N52" s="180">
        <f>IF($A52="","",[1]!thsiFinD("ths_adjustment_nv_fund",N$3,$A52))</f>
        <v/>
      </c>
      <c r="O52" s="180">
        <f>IF($A52="","",[1]!thsiFinD("ths_adjustment_nv_fund",O$3,$A52))</f>
        <v/>
      </c>
      <c r="P52" s="180">
        <f>IF($A52="","",[1]!thsiFinD("ths_adjustment_nv_fund",P$3,$A52))</f>
        <v/>
      </c>
      <c r="Q52" s="180">
        <f>IF($A52="","",[1]!thsiFinD("ths_adjustment_nv_fund",Q$3,$A52))</f>
        <v/>
      </c>
      <c r="R52" s="180">
        <f>IF($A52="","",[1]!thsiFinD("ths_adjustment_nv_fund",R$3,$A52))</f>
        <v/>
      </c>
      <c r="S52" s="180">
        <f>IF($A52="","",[1]!thsiFinD("ths_adjustment_nv_fund",S$3,$A52))</f>
        <v/>
      </c>
      <c r="T52" s="180">
        <f>IF($A52="","",[1]!thsiFinD("ths_adjustment_nv_fund",T$3,$A52))</f>
        <v/>
      </c>
      <c r="U52" s="180">
        <f>IF($A52="","",[1]!thsiFinD("ths_adjustment_nv_fund",U$3,$A52))</f>
        <v/>
      </c>
      <c r="V52" s="180">
        <f>IF($A52="","",[1]!thsiFinD("ths_adjustment_nv_fund",V$3,$A52))</f>
        <v/>
      </c>
      <c r="W52" s="180">
        <f>IF($A52="","",[1]!thsiFinD("ths_adjustment_nv_fund",W$3,$A52))</f>
        <v/>
      </c>
      <c r="X52" s="180">
        <f>IF($A52="","",[1]!thsiFinD("ths_adjustment_nv_fund",X$3,$A52))</f>
        <v/>
      </c>
    </row>
    <row r="53">
      <c r="A53" s="179" t="n"/>
      <c r="B53" s="180">
        <f>IF($A53="","",[1]!thsiFinD("ths_adjustment_nv_fund",B$3,$A53))</f>
        <v/>
      </c>
      <c r="C53" s="180">
        <f>IF($A53="","",[1]!thsiFinD("ths_adjustment_nv_fund",C$3,$A53))</f>
        <v/>
      </c>
      <c r="D53" s="180">
        <f>IF($A53="","",[1]!thsiFinD("ths_adjustment_nv_fund",D$3,$A53))</f>
        <v/>
      </c>
      <c r="E53" s="180">
        <f>IF($A53="","",[1]!thsiFinD("ths_adjustment_nv_fund",E$3,$A53))</f>
        <v/>
      </c>
      <c r="F53" s="180">
        <f>IF($A53="","",[1]!thsiFinD("ths_adjustment_nv_fund",F$3,$A53))</f>
        <v/>
      </c>
      <c r="G53" s="180">
        <f>IF($A53="","",[1]!thsiFinD("ths_adjustment_nv_fund",G$3,$A53))</f>
        <v/>
      </c>
      <c r="H53" s="180">
        <f>IF($A53="","",[1]!thsiFinD("ths_adjustment_nv_fund",H$3,$A53))</f>
        <v/>
      </c>
      <c r="I53" s="180">
        <f>IF($A53="","",[1]!thsiFinD("ths_adjustment_nv_fund",I$3,$A53))</f>
        <v/>
      </c>
      <c r="J53" s="180">
        <f>IF($A53="","",[1]!thsiFinD("ths_adjustment_nv_fund",J$3,$A53))</f>
        <v/>
      </c>
      <c r="K53" s="180">
        <f>IF($A53="","",[1]!thsiFinD("ths_adjustment_nv_fund",K$3,$A53))</f>
        <v/>
      </c>
      <c r="L53" s="180">
        <f>IF($A53="","",[1]!thsiFinD("ths_adjustment_nv_fund",L$3,$A53))</f>
        <v/>
      </c>
      <c r="M53" s="180">
        <f>IF($A53="","",[1]!thsiFinD("ths_adjustment_nv_fund",M$3,$A53))</f>
        <v/>
      </c>
      <c r="N53" s="180">
        <f>IF($A53="","",[1]!thsiFinD("ths_adjustment_nv_fund",N$3,$A53))</f>
        <v/>
      </c>
      <c r="O53" s="180">
        <f>IF($A53="","",[1]!thsiFinD("ths_adjustment_nv_fund",O$3,$A53))</f>
        <v/>
      </c>
      <c r="P53" s="180">
        <f>IF($A53="","",[1]!thsiFinD("ths_adjustment_nv_fund",P$3,$A53))</f>
        <v/>
      </c>
      <c r="Q53" s="180">
        <f>IF($A53="","",[1]!thsiFinD("ths_adjustment_nv_fund",Q$3,$A53))</f>
        <v/>
      </c>
      <c r="R53" s="180">
        <f>IF($A53="","",[1]!thsiFinD("ths_adjustment_nv_fund",R$3,$A53))</f>
        <v/>
      </c>
      <c r="S53" s="180">
        <f>IF($A53="","",[1]!thsiFinD("ths_adjustment_nv_fund",S$3,$A53))</f>
        <v/>
      </c>
      <c r="T53" s="180">
        <f>IF($A53="","",[1]!thsiFinD("ths_adjustment_nv_fund",T$3,$A53))</f>
        <v/>
      </c>
      <c r="U53" s="180">
        <f>IF($A53="","",[1]!thsiFinD("ths_adjustment_nv_fund",U$3,$A53))</f>
        <v/>
      </c>
      <c r="V53" s="180">
        <f>IF($A53="","",[1]!thsiFinD("ths_adjustment_nv_fund",V$3,$A53))</f>
        <v/>
      </c>
      <c r="W53" s="180">
        <f>IF($A53="","",[1]!thsiFinD("ths_adjustment_nv_fund",W$3,$A53))</f>
        <v/>
      </c>
      <c r="X53" s="180">
        <f>IF($A53="","",[1]!thsiFinD("ths_adjustment_nv_fund",X$3,$A53))</f>
        <v/>
      </c>
    </row>
    <row r="54">
      <c r="A54" s="179" t="n"/>
      <c r="B54" s="180">
        <f>IF($A54="","",[1]!thsiFinD("ths_adjustment_nv_fund",B$3,$A54))</f>
        <v/>
      </c>
      <c r="C54" s="180">
        <f>IF($A54="","",[1]!thsiFinD("ths_adjustment_nv_fund",C$3,$A54))</f>
        <v/>
      </c>
      <c r="D54" s="180">
        <f>IF($A54="","",[1]!thsiFinD("ths_adjustment_nv_fund",D$3,$A54))</f>
        <v/>
      </c>
      <c r="E54" s="180">
        <f>IF($A54="","",[1]!thsiFinD("ths_adjustment_nv_fund",E$3,$A54))</f>
        <v/>
      </c>
      <c r="F54" s="180">
        <f>IF($A54="","",[1]!thsiFinD("ths_adjustment_nv_fund",F$3,$A54))</f>
        <v/>
      </c>
      <c r="G54" s="180">
        <f>IF($A54="","",[1]!thsiFinD("ths_adjustment_nv_fund",G$3,$A54))</f>
        <v/>
      </c>
      <c r="H54" s="180">
        <f>IF($A54="","",[1]!thsiFinD("ths_adjustment_nv_fund",H$3,$A54))</f>
        <v/>
      </c>
      <c r="I54" s="180">
        <f>IF($A54="","",[1]!thsiFinD("ths_adjustment_nv_fund",I$3,$A54))</f>
        <v/>
      </c>
      <c r="J54" s="180">
        <f>IF($A54="","",[1]!thsiFinD("ths_adjustment_nv_fund",J$3,$A54))</f>
        <v/>
      </c>
      <c r="K54" s="180">
        <f>IF($A54="","",[1]!thsiFinD("ths_adjustment_nv_fund",K$3,$A54))</f>
        <v/>
      </c>
      <c r="L54" s="180">
        <f>IF($A54="","",[1]!thsiFinD("ths_adjustment_nv_fund",L$3,$A54))</f>
        <v/>
      </c>
      <c r="M54" s="180">
        <f>IF($A54="","",[1]!thsiFinD("ths_adjustment_nv_fund",M$3,$A54))</f>
        <v/>
      </c>
      <c r="N54" s="180">
        <f>IF($A54="","",[1]!thsiFinD("ths_adjustment_nv_fund",N$3,$A54))</f>
        <v/>
      </c>
      <c r="O54" s="180">
        <f>IF($A54="","",[1]!thsiFinD("ths_adjustment_nv_fund",O$3,$A54))</f>
        <v/>
      </c>
      <c r="P54" s="180">
        <f>IF($A54="","",[1]!thsiFinD("ths_adjustment_nv_fund",P$3,$A54))</f>
        <v/>
      </c>
      <c r="Q54" s="180">
        <f>IF($A54="","",[1]!thsiFinD("ths_adjustment_nv_fund",Q$3,$A54))</f>
        <v/>
      </c>
      <c r="R54" s="180">
        <f>IF($A54="","",[1]!thsiFinD("ths_adjustment_nv_fund",R$3,$A54))</f>
        <v/>
      </c>
      <c r="S54" s="180">
        <f>IF($A54="","",[1]!thsiFinD("ths_adjustment_nv_fund",S$3,$A54))</f>
        <v/>
      </c>
      <c r="T54" s="180">
        <f>IF($A54="","",[1]!thsiFinD("ths_adjustment_nv_fund",T$3,$A54))</f>
        <v/>
      </c>
      <c r="U54" s="180">
        <f>IF($A54="","",[1]!thsiFinD("ths_adjustment_nv_fund",U$3,$A54))</f>
        <v/>
      </c>
      <c r="V54" s="180">
        <f>IF($A54="","",[1]!thsiFinD("ths_adjustment_nv_fund",V$3,$A54))</f>
        <v/>
      </c>
      <c r="W54" s="180">
        <f>IF($A54="","",[1]!thsiFinD("ths_adjustment_nv_fund",W$3,$A54))</f>
        <v/>
      </c>
      <c r="X54" s="180">
        <f>IF($A54="","",[1]!thsiFinD("ths_adjustment_nv_fund",X$3,$A54))</f>
        <v/>
      </c>
    </row>
    <row r="55">
      <c r="A55" s="179" t="n"/>
      <c r="B55" s="180">
        <f>IF($A55="","",[1]!thsiFinD("ths_adjustment_nv_fund",B$3,$A55))</f>
        <v/>
      </c>
      <c r="C55" s="180">
        <f>IF($A55="","",[1]!thsiFinD("ths_adjustment_nv_fund",C$3,$A55))</f>
        <v/>
      </c>
      <c r="D55" s="180">
        <f>IF($A55="","",[1]!thsiFinD("ths_adjustment_nv_fund",D$3,$A55))</f>
        <v/>
      </c>
      <c r="E55" s="180">
        <f>IF($A55="","",[1]!thsiFinD("ths_adjustment_nv_fund",E$3,$A55))</f>
        <v/>
      </c>
      <c r="F55" s="180">
        <f>IF($A55="","",[1]!thsiFinD("ths_adjustment_nv_fund",F$3,$A55))</f>
        <v/>
      </c>
      <c r="G55" s="180">
        <f>IF($A55="","",[1]!thsiFinD("ths_adjustment_nv_fund",G$3,$A55))</f>
        <v/>
      </c>
      <c r="H55" s="180">
        <f>IF($A55="","",[1]!thsiFinD("ths_adjustment_nv_fund",H$3,$A55))</f>
        <v/>
      </c>
      <c r="I55" s="180">
        <f>IF($A55="","",[1]!thsiFinD("ths_adjustment_nv_fund",I$3,$A55))</f>
        <v/>
      </c>
      <c r="J55" s="180">
        <f>IF($A55="","",[1]!thsiFinD("ths_adjustment_nv_fund",J$3,$A55))</f>
        <v/>
      </c>
      <c r="K55" s="180">
        <f>IF($A55="","",[1]!thsiFinD("ths_adjustment_nv_fund",K$3,$A55))</f>
        <v/>
      </c>
      <c r="L55" s="180">
        <f>IF($A55="","",[1]!thsiFinD("ths_adjustment_nv_fund",L$3,$A55))</f>
        <v/>
      </c>
      <c r="M55" s="180">
        <f>IF($A55="","",[1]!thsiFinD("ths_adjustment_nv_fund",M$3,$A55))</f>
        <v/>
      </c>
      <c r="N55" s="180">
        <f>IF($A55="","",[1]!thsiFinD("ths_adjustment_nv_fund",N$3,$A55))</f>
        <v/>
      </c>
      <c r="O55" s="180">
        <f>IF($A55="","",[1]!thsiFinD("ths_adjustment_nv_fund",O$3,$A55))</f>
        <v/>
      </c>
      <c r="P55" s="180">
        <f>IF($A55="","",[1]!thsiFinD("ths_adjustment_nv_fund",P$3,$A55))</f>
        <v/>
      </c>
      <c r="Q55" s="180">
        <f>IF($A55="","",[1]!thsiFinD("ths_adjustment_nv_fund",Q$3,$A55))</f>
        <v/>
      </c>
      <c r="R55" s="180">
        <f>IF($A55="","",[1]!thsiFinD("ths_adjustment_nv_fund",R$3,$A55))</f>
        <v/>
      </c>
      <c r="S55" s="180">
        <f>IF($A55="","",[1]!thsiFinD("ths_adjustment_nv_fund",S$3,$A55))</f>
        <v/>
      </c>
      <c r="T55" s="180">
        <f>IF($A55="","",[1]!thsiFinD("ths_adjustment_nv_fund",T$3,$A55))</f>
        <v/>
      </c>
      <c r="U55" s="180">
        <f>IF($A55="","",[1]!thsiFinD("ths_adjustment_nv_fund",U$3,$A55))</f>
        <v/>
      </c>
      <c r="V55" s="180">
        <f>IF($A55="","",[1]!thsiFinD("ths_adjustment_nv_fund",V$3,$A55))</f>
        <v/>
      </c>
      <c r="W55" s="180">
        <f>IF($A55="","",[1]!thsiFinD("ths_adjustment_nv_fund",W$3,$A55))</f>
        <v/>
      </c>
      <c r="X55" s="180">
        <f>IF($A55="","",[1]!thsiFinD("ths_adjustment_nv_fund",X$3,$A55))</f>
        <v/>
      </c>
    </row>
    <row r="56">
      <c r="A56" s="179" t="n"/>
      <c r="B56" s="180">
        <f>IF($A56="","",[1]!thsiFinD("ths_adjustment_nv_fund",B$3,$A56))</f>
        <v/>
      </c>
      <c r="C56" s="180">
        <f>IF($A56="","",[1]!thsiFinD("ths_adjustment_nv_fund",C$3,$A56))</f>
        <v/>
      </c>
      <c r="D56" s="180">
        <f>IF($A56="","",[1]!thsiFinD("ths_adjustment_nv_fund",D$3,$A56))</f>
        <v/>
      </c>
      <c r="E56" s="180">
        <f>IF($A56="","",[1]!thsiFinD("ths_adjustment_nv_fund",E$3,$A56))</f>
        <v/>
      </c>
      <c r="F56" s="180">
        <f>IF($A56="","",[1]!thsiFinD("ths_adjustment_nv_fund",F$3,$A56))</f>
        <v/>
      </c>
      <c r="G56" s="180">
        <f>IF($A56="","",[1]!thsiFinD("ths_adjustment_nv_fund",G$3,$A56))</f>
        <v/>
      </c>
      <c r="H56" s="180">
        <f>IF($A56="","",[1]!thsiFinD("ths_adjustment_nv_fund",H$3,$A56))</f>
        <v/>
      </c>
      <c r="I56" s="180">
        <f>IF($A56="","",[1]!thsiFinD("ths_adjustment_nv_fund",I$3,$A56))</f>
        <v/>
      </c>
      <c r="J56" s="180">
        <f>IF($A56="","",[1]!thsiFinD("ths_adjustment_nv_fund",J$3,$A56))</f>
        <v/>
      </c>
      <c r="K56" s="180">
        <f>IF($A56="","",[1]!thsiFinD("ths_adjustment_nv_fund",K$3,$A56))</f>
        <v/>
      </c>
      <c r="L56" s="180">
        <f>IF($A56="","",[1]!thsiFinD("ths_adjustment_nv_fund",L$3,$A56))</f>
        <v/>
      </c>
      <c r="M56" s="180">
        <f>IF($A56="","",[1]!thsiFinD("ths_adjustment_nv_fund",M$3,$A56))</f>
        <v/>
      </c>
      <c r="N56" s="180">
        <f>IF($A56="","",[1]!thsiFinD("ths_adjustment_nv_fund",N$3,$A56))</f>
        <v/>
      </c>
      <c r="O56" s="180">
        <f>IF($A56="","",[1]!thsiFinD("ths_adjustment_nv_fund",O$3,$A56))</f>
        <v/>
      </c>
      <c r="P56" s="180">
        <f>IF($A56="","",[1]!thsiFinD("ths_adjustment_nv_fund",P$3,$A56))</f>
        <v/>
      </c>
      <c r="Q56" s="180">
        <f>IF($A56="","",[1]!thsiFinD("ths_adjustment_nv_fund",Q$3,$A56))</f>
        <v/>
      </c>
      <c r="R56" s="180">
        <f>IF($A56="","",[1]!thsiFinD("ths_adjustment_nv_fund",R$3,$A56))</f>
        <v/>
      </c>
      <c r="S56" s="180">
        <f>IF($A56="","",[1]!thsiFinD("ths_adjustment_nv_fund",S$3,$A56))</f>
        <v/>
      </c>
      <c r="T56" s="180">
        <f>IF($A56="","",[1]!thsiFinD("ths_adjustment_nv_fund",T$3,$A56))</f>
        <v/>
      </c>
      <c r="U56" s="180">
        <f>IF($A56="","",[1]!thsiFinD("ths_adjustment_nv_fund",U$3,$A56))</f>
        <v/>
      </c>
      <c r="V56" s="180">
        <f>IF($A56="","",[1]!thsiFinD("ths_adjustment_nv_fund",V$3,$A56))</f>
        <v/>
      </c>
      <c r="W56" s="180">
        <f>IF($A56="","",[1]!thsiFinD("ths_adjustment_nv_fund",W$3,$A56))</f>
        <v/>
      </c>
      <c r="X56" s="180">
        <f>IF($A56="","",[1]!thsiFinD("ths_adjustment_nv_fund",X$3,$A56))</f>
        <v/>
      </c>
    </row>
    <row r="57">
      <c r="A57" s="179" t="n"/>
      <c r="B57" s="180">
        <f>IF($A57="","",[1]!thsiFinD("ths_adjustment_nv_fund",B$3,$A57))</f>
        <v/>
      </c>
      <c r="C57" s="180">
        <f>IF($A57="","",[1]!thsiFinD("ths_adjustment_nv_fund",C$3,$A57))</f>
        <v/>
      </c>
      <c r="D57" s="180">
        <f>IF($A57="","",[1]!thsiFinD("ths_adjustment_nv_fund",D$3,$A57))</f>
        <v/>
      </c>
      <c r="E57" s="180">
        <f>IF($A57="","",[1]!thsiFinD("ths_adjustment_nv_fund",E$3,$A57))</f>
        <v/>
      </c>
      <c r="F57" s="180">
        <f>IF($A57="","",[1]!thsiFinD("ths_adjustment_nv_fund",F$3,$A57))</f>
        <v/>
      </c>
      <c r="G57" s="180">
        <f>IF($A57="","",[1]!thsiFinD("ths_adjustment_nv_fund",G$3,$A57))</f>
        <v/>
      </c>
      <c r="H57" s="180">
        <f>IF($A57="","",[1]!thsiFinD("ths_adjustment_nv_fund",H$3,$A57))</f>
        <v/>
      </c>
      <c r="I57" s="180">
        <f>IF($A57="","",[1]!thsiFinD("ths_adjustment_nv_fund",I$3,$A57))</f>
        <v/>
      </c>
      <c r="J57" s="180">
        <f>IF($A57="","",[1]!thsiFinD("ths_adjustment_nv_fund",J$3,$A57))</f>
        <v/>
      </c>
      <c r="K57" s="180">
        <f>IF($A57="","",[1]!thsiFinD("ths_adjustment_nv_fund",K$3,$A57))</f>
        <v/>
      </c>
      <c r="L57" s="180">
        <f>IF($A57="","",[1]!thsiFinD("ths_adjustment_nv_fund",L$3,$A57))</f>
        <v/>
      </c>
      <c r="M57" s="180">
        <f>IF($A57="","",[1]!thsiFinD("ths_adjustment_nv_fund",M$3,$A57))</f>
        <v/>
      </c>
      <c r="N57" s="180">
        <f>IF($A57="","",[1]!thsiFinD("ths_adjustment_nv_fund",N$3,$A57))</f>
        <v/>
      </c>
      <c r="O57" s="180">
        <f>IF($A57="","",[1]!thsiFinD("ths_adjustment_nv_fund",O$3,$A57))</f>
        <v/>
      </c>
      <c r="P57" s="180">
        <f>IF($A57="","",[1]!thsiFinD("ths_adjustment_nv_fund",P$3,$A57))</f>
        <v/>
      </c>
      <c r="Q57" s="180">
        <f>IF($A57="","",[1]!thsiFinD("ths_adjustment_nv_fund",Q$3,$A57))</f>
        <v/>
      </c>
      <c r="R57" s="180">
        <f>IF($A57="","",[1]!thsiFinD("ths_adjustment_nv_fund",R$3,$A57))</f>
        <v/>
      </c>
      <c r="S57" s="180">
        <f>IF($A57="","",[1]!thsiFinD("ths_adjustment_nv_fund",S$3,$A57))</f>
        <v/>
      </c>
      <c r="T57" s="180">
        <f>IF($A57="","",[1]!thsiFinD("ths_adjustment_nv_fund",T$3,$A57))</f>
        <v/>
      </c>
      <c r="U57" s="180">
        <f>IF($A57="","",[1]!thsiFinD("ths_adjustment_nv_fund",U$3,$A57))</f>
        <v/>
      </c>
      <c r="V57" s="180">
        <f>IF($A57="","",[1]!thsiFinD("ths_adjustment_nv_fund",V$3,$A57))</f>
        <v/>
      </c>
      <c r="W57" s="180">
        <f>IF($A57="","",[1]!thsiFinD("ths_adjustment_nv_fund",W$3,$A57))</f>
        <v/>
      </c>
      <c r="X57" s="180">
        <f>IF($A57="","",[1]!thsiFinD("ths_adjustment_nv_fund",X$3,$A57))</f>
        <v/>
      </c>
    </row>
    <row r="58">
      <c r="A58" s="179" t="n"/>
      <c r="B58" s="180">
        <f>IF($A58="","",[1]!thsiFinD("ths_adjustment_nv_fund",B$3,$A58))</f>
        <v/>
      </c>
      <c r="C58" s="180">
        <f>IF($A58="","",[1]!thsiFinD("ths_adjustment_nv_fund",C$3,$A58))</f>
        <v/>
      </c>
      <c r="D58" s="180">
        <f>IF($A58="","",[1]!thsiFinD("ths_adjustment_nv_fund",D$3,$A58))</f>
        <v/>
      </c>
      <c r="E58" s="180">
        <f>IF($A58="","",[1]!thsiFinD("ths_adjustment_nv_fund",E$3,$A58))</f>
        <v/>
      </c>
      <c r="F58" s="180">
        <f>IF($A58="","",[1]!thsiFinD("ths_adjustment_nv_fund",F$3,$A58))</f>
        <v/>
      </c>
      <c r="G58" s="180">
        <f>IF($A58="","",[1]!thsiFinD("ths_adjustment_nv_fund",G$3,$A58))</f>
        <v/>
      </c>
      <c r="H58" s="180">
        <f>IF($A58="","",[1]!thsiFinD("ths_adjustment_nv_fund",H$3,$A58))</f>
        <v/>
      </c>
      <c r="I58" s="180">
        <f>IF($A58="","",[1]!thsiFinD("ths_adjustment_nv_fund",I$3,$A58))</f>
        <v/>
      </c>
      <c r="J58" s="180">
        <f>IF($A58="","",[1]!thsiFinD("ths_adjustment_nv_fund",J$3,$A58))</f>
        <v/>
      </c>
      <c r="K58" s="180">
        <f>IF($A58="","",[1]!thsiFinD("ths_adjustment_nv_fund",K$3,$A58))</f>
        <v/>
      </c>
      <c r="L58" s="180">
        <f>IF($A58="","",[1]!thsiFinD("ths_adjustment_nv_fund",L$3,$A58))</f>
        <v/>
      </c>
      <c r="M58" s="180">
        <f>IF($A58="","",[1]!thsiFinD("ths_adjustment_nv_fund",M$3,$A58))</f>
        <v/>
      </c>
      <c r="N58" s="180">
        <f>IF($A58="","",[1]!thsiFinD("ths_adjustment_nv_fund",N$3,$A58))</f>
        <v/>
      </c>
      <c r="O58" s="180">
        <f>IF($A58="","",[1]!thsiFinD("ths_adjustment_nv_fund",O$3,$A58))</f>
        <v/>
      </c>
      <c r="P58" s="180">
        <f>IF($A58="","",[1]!thsiFinD("ths_adjustment_nv_fund",P$3,$A58))</f>
        <v/>
      </c>
      <c r="Q58" s="180">
        <f>IF($A58="","",[1]!thsiFinD("ths_adjustment_nv_fund",Q$3,$A58))</f>
        <v/>
      </c>
      <c r="R58" s="180">
        <f>IF($A58="","",[1]!thsiFinD("ths_adjustment_nv_fund",R$3,$A58))</f>
        <v/>
      </c>
      <c r="S58" s="180">
        <f>IF($A58="","",[1]!thsiFinD("ths_adjustment_nv_fund",S$3,$A58))</f>
        <v/>
      </c>
      <c r="T58" s="180">
        <f>IF($A58="","",[1]!thsiFinD("ths_adjustment_nv_fund",T$3,$A58))</f>
        <v/>
      </c>
      <c r="U58" s="180">
        <f>IF($A58="","",[1]!thsiFinD("ths_adjustment_nv_fund",U$3,$A58))</f>
        <v/>
      </c>
      <c r="V58" s="180">
        <f>IF($A58="","",[1]!thsiFinD("ths_adjustment_nv_fund",V$3,$A58))</f>
        <v/>
      </c>
      <c r="W58" s="180">
        <f>IF($A58="","",[1]!thsiFinD("ths_adjustment_nv_fund",W$3,$A58))</f>
        <v/>
      </c>
      <c r="X58" s="180">
        <f>IF($A58="","",[1]!thsiFinD("ths_adjustment_nv_fund",X$3,$A58))</f>
        <v/>
      </c>
    </row>
    <row r="59">
      <c r="A59" s="179" t="n"/>
      <c r="B59" s="180">
        <f>IF($A59="","",[1]!thsiFinD("ths_adjustment_nv_fund",B$3,$A59))</f>
        <v/>
      </c>
      <c r="C59" s="180">
        <f>IF($A59="","",[1]!thsiFinD("ths_adjustment_nv_fund",C$3,$A59))</f>
        <v/>
      </c>
      <c r="D59" s="180">
        <f>IF($A59="","",[1]!thsiFinD("ths_adjustment_nv_fund",D$3,$A59))</f>
        <v/>
      </c>
      <c r="E59" s="180">
        <f>IF($A59="","",[1]!thsiFinD("ths_adjustment_nv_fund",E$3,$A59))</f>
        <v/>
      </c>
      <c r="F59" s="180">
        <f>IF($A59="","",[1]!thsiFinD("ths_adjustment_nv_fund",F$3,$A59))</f>
        <v/>
      </c>
      <c r="G59" s="180">
        <f>IF($A59="","",[1]!thsiFinD("ths_adjustment_nv_fund",G$3,$A59))</f>
        <v/>
      </c>
      <c r="H59" s="180">
        <f>IF($A59="","",[1]!thsiFinD("ths_adjustment_nv_fund",H$3,$A59))</f>
        <v/>
      </c>
      <c r="I59" s="180">
        <f>IF($A59="","",[1]!thsiFinD("ths_adjustment_nv_fund",I$3,$A59))</f>
        <v/>
      </c>
      <c r="J59" s="180">
        <f>IF($A59="","",[1]!thsiFinD("ths_adjustment_nv_fund",J$3,$A59))</f>
        <v/>
      </c>
      <c r="K59" s="180">
        <f>IF($A59="","",[1]!thsiFinD("ths_adjustment_nv_fund",K$3,$A59))</f>
        <v/>
      </c>
      <c r="L59" s="180">
        <f>IF($A59="","",[1]!thsiFinD("ths_adjustment_nv_fund",L$3,$A59))</f>
        <v/>
      </c>
      <c r="M59" s="180">
        <f>IF($A59="","",[1]!thsiFinD("ths_adjustment_nv_fund",M$3,$A59))</f>
        <v/>
      </c>
      <c r="N59" s="180">
        <f>IF($A59="","",[1]!thsiFinD("ths_adjustment_nv_fund",N$3,$A59))</f>
        <v/>
      </c>
      <c r="O59" s="180">
        <f>IF($A59="","",[1]!thsiFinD("ths_adjustment_nv_fund",O$3,$A59))</f>
        <v/>
      </c>
      <c r="P59" s="180">
        <f>IF($A59="","",[1]!thsiFinD("ths_adjustment_nv_fund",P$3,$A59))</f>
        <v/>
      </c>
      <c r="Q59" s="180">
        <f>IF($A59="","",[1]!thsiFinD("ths_adjustment_nv_fund",Q$3,$A59))</f>
        <v/>
      </c>
      <c r="R59" s="180">
        <f>IF($A59="","",[1]!thsiFinD("ths_adjustment_nv_fund",R$3,$A59))</f>
        <v/>
      </c>
      <c r="S59" s="180">
        <f>IF($A59="","",[1]!thsiFinD("ths_adjustment_nv_fund",S$3,$A59))</f>
        <v/>
      </c>
      <c r="T59" s="180">
        <f>IF($A59="","",[1]!thsiFinD("ths_adjustment_nv_fund",T$3,$A59))</f>
        <v/>
      </c>
      <c r="U59" s="180">
        <f>IF($A59="","",[1]!thsiFinD("ths_adjustment_nv_fund",U$3,$A59))</f>
        <v/>
      </c>
      <c r="V59" s="180">
        <f>IF($A59="","",[1]!thsiFinD("ths_adjustment_nv_fund",V$3,$A59))</f>
        <v/>
      </c>
      <c r="W59" s="180">
        <f>IF($A59="","",[1]!thsiFinD("ths_adjustment_nv_fund",W$3,$A59))</f>
        <v/>
      </c>
      <c r="X59" s="180">
        <f>IF($A59="","",[1]!thsiFinD("ths_adjustment_nv_fund",X$3,$A59))</f>
        <v/>
      </c>
    </row>
    <row r="60">
      <c r="A60" s="179" t="n"/>
      <c r="B60" s="180">
        <f>IF($A60="","",[1]!thsiFinD("ths_adjustment_nv_fund",B$3,$A60))</f>
        <v/>
      </c>
      <c r="C60" s="180">
        <f>IF($A60="","",[1]!thsiFinD("ths_adjustment_nv_fund",C$3,$A60))</f>
        <v/>
      </c>
      <c r="D60" s="180">
        <f>IF($A60="","",[1]!thsiFinD("ths_adjustment_nv_fund",D$3,$A60))</f>
        <v/>
      </c>
      <c r="E60" s="180">
        <f>IF($A60="","",[1]!thsiFinD("ths_adjustment_nv_fund",E$3,$A60))</f>
        <v/>
      </c>
      <c r="F60" s="180">
        <f>IF($A60="","",[1]!thsiFinD("ths_adjustment_nv_fund",F$3,$A60))</f>
        <v/>
      </c>
      <c r="G60" s="180">
        <f>IF($A60="","",[1]!thsiFinD("ths_adjustment_nv_fund",G$3,$A60))</f>
        <v/>
      </c>
      <c r="H60" s="180">
        <f>IF($A60="","",[1]!thsiFinD("ths_adjustment_nv_fund",H$3,$A60))</f>
        <v/>
      </c>
      <c r="I60" s="180">
        <f>IF($A60="","",[1]!thsiFinD("ths_adjustment_nv_fund",I$3,$A60))</f>
        <v/>
      </c>
      <c r="J60" s="180">
        <f>IF($A60="","",[1]!thsiFinD("ths_adjustment_nv_fund",J$3,$A60))</f>
        <v/>
      </c>
      <c r="K60" s="180">
        <f>IF($A60="","",[1]!thsiFinD("ths_adjustment_nv_fund",K$3,$A60))</f>
        <v/>
      </c>
      <c r="L60" s="180">
        <f>IF($A60="","",[1]!thsiFinD("ths_adjustment_nv_fund",L$3,$A60))</f>
        <v/>
      </c>
      <c r="M60" s="180">
        <f>IF($A60="","",[1]!thsiFinD("ths_adjustment_nv_fund",M$3,$A60))</f>
        <v/>
      </c>
      <c r="N60" s="180">
        <f>IF($A60="","",[1]!thsiFinD("ths_adjustment_nv_fund",N$3,$A60))</f>
        <v/>
      </c>
      <c r="O60" s="180">
        <f>IF($A60="","",[1]!thsiFinD("ths_adjustment_nv_fund",O$3,$A60))</f>
        <v/>
      </c>
      <c r="P60" s="180">
        <f>IF($A60="","",[1]!thsiFinD("ths_adjustment_nv_fund",P$3,$A60))</f>
        <v/>
      </c>
      <c r="Q60" s="180">
        <f>IF($A60="","",[1]!thsiFinD("ths_adjustment_nv_fund",Q$3,$A60))</f>
        <v/>
      </c>
      <c r="R60" s="180">
        <f>IF($A60="","",[1]!thsiFinD("ths_adjustment_nv_fund",R$3,$A60))</f>
        <v/>
      </c>
      <c r="S60" s="180">
        <f>IF($A60="","",[1]!thsiFinD("ths_adjustment_nv_fund",S$3,$A60))</f>
        <v/>
      </c>
      <c r="T60" s="180">
        <f>IF($A60="","",[1]!thsiFinD("ths_adjustment_nv_fund",T$3,$A60))</f>
        <v/>
      </c>
      <c r="U60" s="180">
        <f>IF($A60="","",[1]!thsiFinD("ths_adjustment_nv_fund",U$3,$A60))</f>
        <v/>
      </c>
      <c r="V60" s="180">
        <f>IF($A60="","",[1]!thsiFinD("ths_adjustment_nv_fund",V$3,$A60))</f>
        <v/>
      </c>
      <c r="W60" s="180">
        <f>IF($A60="","",[1]!thsiFinD("ths_adjustment_nv_fund",W$3,$A60))</f>
        <v/>
      </c>
      <c r="X60" s="180">
        <f>IF($A60="","",[1]!thsiFinD("ths_adjustment_nv_fund",X$3,$A60))</f>
        <v/>
      </c>
    </row>
  </sheetData>
  <mergeCells count="1">
    <mergeCell ref="A1:D1"/>
  </mergeCells>
  <pageMargins left="0.75" right="0.75" top="1" bottom="1" header="0.5" footer="0.5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61"/>
  <sheetViews>
    <sheetView showGridLines="0" workbookViewId="0">
      <selection activeCell="B16" sqref="B16"/>
    </sheetView>
  </sheetViews>
  <sheetFormatPr baseColWidth="8" defaultRowHeight="14"/>
  <cols>
    <col width="12" customWidth="1" style="136" min="1" max="1"/>
    <col width="8.7265625" customWidth="1" style="136" min="2" max="21"/>
    <col width="13.54296875" bestFit="1" customWidth="1" style="136" min="22" max="22"/>
    <col width="8.7265625" customWidth="1" style="136" min="23" max="23"/>
    <col width="8.7265625" customWidth="1" style="136" min="24" max="16384"/>
  </cols>
  <sheetData>
    <row r="1" ht="19" customHeight="1" s="136">
      <c r="A1" s="161" t="inlineStr">
        <is>
          <t>组合净值（实盘）· 各组合自起始日买入持有逐日计算</t>
        </is>
      </c>
    </row>
    <row r="2" ht="14" customHeight="1" s="136"/>
    <row r="3" ht="42" customHeight="1" s="136">
      <c r="B3" s="137" t="inlineStr">
        <is>
          <t>组合 产业趋势</t>
        </is>
      </c>
      <c r="E3" s="137" t="inlineStr">
        <is>
          <t>组合 产业趋势基石</t>
        </is>
      </c>
      <c r="H3" s="137" t="inlineStr">
        <is>
          <t>组合 产业趋势2号</t>
        </is>
      </c>
      <c r="K3" s="137" t="inlineStr">
        <is>
          <t>组合 10-90</t>
        </is>
      </c>
      <c r="N3" s="137" t="inlineStr">
        <is>
          <t>组合 10-90基石</t>
        </is>
      </c>
      <c r="Q3" s="137" t="inlineStr">
        <is>
          <t>组合 30-70</t>
        </is>
      </c>
    </row>
    <row r="4">
      <c r="A4" s="145" t="inlineStr">
        <is>
          <t>日期</t>
        </is>
      </c>
      <c r="B4" s="145" t="inlineStr">
        <is>
          <t>净值</t>
        </is>
      </c>
      <c r="C4" s="145" t="inlineStr">
        <is>
          <t>日收益</t>
        </is>
      </c>
      <c r="D4" s="145" t="inlineStr">
        <is>
          <t>回撤</t>
        </is>
      </c>
      <c r="E4" s="145" t="inlineStr">
        <is>
          <t>净值</t>
        </is>
      </c>
      <c r="F4" s="145" t="inlineStr">
        <is>
          <t>日收益</t>
        </is>
      </c>
      <c r="G4" s="145" t="inlineStr">
        <is>
          <t>回撤</t>
        </is>
      </c>
      <c r="H4" s="145" t="inlineStr">
        <is>
          <t>净值</t>
        </is>
      </c>
      <c r="I4" s="145" t="inlineStr">
        <is>
          <t>日收益</t>
        </is>
      </c>
      <c r="J4" s="145" t="inlineStr">
        <is>
          <t>回撤</t>
        </is>
      </c>
      <c r="K4" s="145" t="inlineStr">
        <is>
          <t>净值</t>
        </is>
      </c>
      <c r="L4" s="145" t="inlineStr">
        <is>
          <t>日收益</t>
        </is>
      </c>
      <c r="M4" s="145" t="inlineStr">
        <is>
          <t>回撤</t>
        </is>
      </c>
      <c r="N4" s="145" t="inlineStr">
        <is>
          <t>净值</t>
        </is>
      </c>
      <c r="O4" s="145" t="inlineStr">
        <is>
          <t>日收益</t>
        </is>
      </c>
      <c r="P4" s="145" t="inlineStr">
        <is>
          <t>回撤</t>
        </is>
      </c>
      <c r="Q4" s="145" t="inlineStr">
        <is>
          <t>净值</t>
        </is>
      </c>
      <c r="R4" s="145" t="inlineStr">
        <is>
          <t>日收益</t>
        </is>
      </c>
      <c r="S4" s="145" t="inlineStr">
        <is>
          <t>回撤</t>
        </is>
      </c>
    </row>
    <row r="5">
      <c r="A5" s="181">
        <f>IF('实盘净值数据(iFinD公式)'!A5="","",'实盘净值数据(iFinD公式)'!A5)</f>
        <v/>
      </c>
      <c r="B5" s="180">
        <f>IF(OR((ROW()-1)&lt;6,'实盘净值数据(iFinD公式)'!$A5="",'实盘净值数据(iFinD公式)'!$B5=""),"",SUMPRODUCT(实盘持仓配置!$B$4:$X$4,'实盘净值数据(iFinD公式)'!$B5:$X5/'实盘净值数据(iFinD公式)'!$B$6:$X$6)*(1-实盘持仓配置!$Z$4)^(('实盘净值数据(iFinD公式)'!$A5-'实盘净值数据(iFinD公式)'!$A$6)/365))</f>
        <v/>
      </c>
      <c r="C5" s="52" t="n"/>
      <c r="D5" s="52">
        <f>IF(B5="","",B5/MAX(B$5:B5)-1)</f>
        <v/>
      </c>
      <c r="E5" s="180" t="n">
        <v>1</v>
      </c>
      <c r="F5" s="52" t="n"/>
      <c r="G5" s="52">
        <f>IF(E5="","",E5/MAX(E$5:E5)-1)</f>
        <v/>
      </c>
      <c r="H5" s="180">
        <f>IF(OR((ROW()-1)&lt;7,'实盘净值数据(iFinD公式)'!$A5="",'实盘净值数据(iFinD公式)'!$B5=""),"",SUMPRODUCT(实盘持仓配置!$B$6:$X$6,'实盘净值数据(iFinD公式)'!$B5:$X5/'实盘净值数据(iFinD公式)'!$B$7:$X$7)*(1-实盘持仓配置!$Z$6)^(('实盘净值数据(iFinD公式)'!$A5-'实盘净值数据(iFinD公式)'!$A$7)/365))</f>
        <v/>
      </c>
      <c r="I5" s="52" t="n"/>
      <c r="J5" s="52">
        <f>IF(H5="","",H5/MAX(H$5:H5)-1)</f>
        <v/>
      </c>
      <c r="K5" s="180">
        <f>IF(OR((ROW()-1)&lt;8,'实盘净值数据(iFinD公式)'!$A5="",'实盘净值数据(iFinD公式)'!$B5=""),"",SUMPRODUCT(实盘持仓配置!$B$7:$X$7,'实盘净值数据(iFinD公式)'!$B5:$X5/'实盘净值数据(iFinD公式)'!$B$8:$X$8)*(1-实盘持仓配置!$Z$7)^(('实盘净值数据(iFinD公式)'!$A5-'实盘净值数据(iFinD公式)'!$A$8)/365))</f>
        <v/>
      </c>
      <c r="L5" s="52" t="n"/>
      <c r="M5" s="52">
        <f>IF(K5="","",K5/MAX(K$5:K5)-1)</f>
        <v/>
      </c>
      <c r="N5" s="180" t="n">
        <v>1</v>
      </c>
      <c r="O5" s="52" t="n"/>
      <c r="P5" s="52">
        <f>IF(N5="","",N5/MAX(N$5:N5)-1)</f>
        <v/>
      </c>
      <c r="Q5" s="180">
        <f>IF(OR((ROW()-1)&lt;8,'实盘净值数据(iFinD公式)'!$A5="",'实盘净值数据(iFinD公式)'!$B5=""),"",SUMPRODUCT(实盘持仓配置!$B$9:$X$9,'实盘净值数据(iFinD公式)'!$B5:$X5/'实盘净值数据(iFinD公式)'!$B$8:$X$8)*(1-实盘持仓配置!$Z$9)^(('实盘净值数据(iFinD公式)'!$A5-'实盘净值数据(iFinD公式)'!$A$8)/365))</f>
        <v/>
      </c>
      <c r="R5" s="52" t="n"/>
      <c r="S5" s="52">
        <f>IF(Q5="","",Q5/MAX(Q$5:Q5)-1)</f>
        <v/>
      </c>
      <c r="U5" s="53" t="n"/>
    </row>
    <row r="6">
      <c r="A6" s="181">
        <f>IF('实盘净值数据(iFinD公式)'!A6="","",'实盘净值数据(iFinD公式)'!A6)</f>
        <v/>
      </c>
      <c r="B6" s="180" t="n">
        <v>1</v>
      </c>
      <c r="C6" s="52">
        <f>IF(OR(B5="",'实盘净值数据(iFinD公式)'!$A6="",'实盘净值数据(iFinD公式)'!$B6=""),"",(SUMPRODUCT(实盘持仓配置!$B$4:$X$4,'实盘净值数据(iFinD公式)'!$B5:$X5/'实盘净值数据(iFinD公式)'!$B$6:$X$6,'实盘净值数据(iFinD公式)'!$B6:$X6/'实盘净值数据(iFinD公式)'!$B5:$X5)/SUMPRODUCT(实盘持仓配置!$B$4:$X$4,'实盘净值数据(iFinD公式)'!$B5:$X5/'实盘净值数据(iFinD公式)'!$B$6:$X$6))*(1-实盘持仓配置!$Z$4)^(('实盘净值数据(iFinD公式)'!$A6-'实盘净值数据(iFinD公式)'!$A5)/365)-1)</f>
        <v/>
      </c>
      <c r="D6" s="52">
        <f>IF(B6="","",B6/MAX(B$5:B6)-1)</f>
        <v/>
      </c>
      <c r="E6" s="180">
        <f>IF(OR((ROW()-1)&lt;5,'实盘净值数据(iFinD公式)'!$A6="",'实盘净值数据(iFinD公式)'!$B6=""),"",SUMPRODUCT(实盘持仓配置!$B$5:$X$5,'实盘净值数据(iFinD公式)'!$B6:$X6/'实盘净值数据(iFinD公式)'!$B$5:$X$5)*(1-实盘持仓配置!$Z$5)^(('实盘净值数据(iFinD公式)'!$A6-'实盘净值数据(iFinD公式)'!$A$5)/365))</f>
        <v/>
      </c>
      <c r="F6" s="52">
        <f>IF(OR(E5="",'实盘净值数据(iFinD公式)'!$A6="",'实盘净值数据(iFinD公式)'!$B6=""),"",(SUMPRODUCT(实盘持仓配置!$B$5:$X$5,'实盘净值数据(iFinD公式)'!$B5:$X5/'实盘净值数据(iFinD公式)'!$B$5:$X$5,'实盘净值数据(iFinD公式)'!$B6:$X6/'实盘净值数据(iFinD公式)'!$B5:$X5)/SUMPRODUCT(实盘持仓配置!$B$5:$X$5,'实盘净值数据(iFinD公式)'!$B5:$X5/'实盘净值数据(iFinD公式)'!$B$5:$X$5))*(1-实盘持仓配置!$Z$5)^(('实盘净值数据(iFinD公式)'!$A6-'实盘净值数据(iFinD公式)'!$A5)/365)-1)</f>
        <v/>
      </c>
      <c r="G6" s="52">
        <f>IF(E6="","",E6/MAX(E$5:E6)-1)</f>
        <v/>
      </c>
      <c r="H6" s="180">
        <f>IF(OR((ROW()-1)&lt;7,'实盘净值数据(iFinD公式)'!$A6="",'实盘净值数据(iFinD公式)'!$B6=""),"",SUMPRODUCT(实盘持仓配置!$B$6:$X$6,'实盘净值数据(iFinD公式)'!$B6:$X6/'实盘净值数据(iFinD公式)'!$B$7:$X$7)*(1-实盘持仓配置!$Z$6)^(('实盘净值数据(iFinD公式)'!$A6-'实盘净值数据(iFinD公式)'!$A$7)/365))</f>
        <v/>
      </c>
      <c r="I6" s="52">
        <f>IF(OR(H5="",'实盘净值数据(iFinD公式)'!$A6="",'实盘净值数据(iFinD公式)'!$B6=""),"",(SUMPRODUCT(实盘持仓配置!$B$6:$X$6,'实盘净值数据(iFinD公式)'!$B5:$X5/'实盘净值数据(iFinD公式)'!$B$7:$X$7,'实盘净值数据(iFinD公式)'!$B6:$X6/'实盘净值数据(iFinD公式)'!$B5:$X5)/SUMPRODUCT(实盘持仓配置!$B$6:$X$6,'实盘净值数据(iFinD公式)'!$B5:$X5/'实盘净值数据(iFinD公式)'!$B$7:$X$7))*(1-实盘持仓配置!$Z$6)^(('实盘净值数据(iFinD公式)'!$A6-'实盘净值数据(iFinD公式)'!$A5)/365)-1)</f>
        <v/>
      </c>
      <c r="J6" s="52">
        <f>IF(H6="","",H6/MAX(H$5:H6)-1)</f>
        <v/>
      </c>
      <c r="K6" s="180">
        <f>IF(OR((ROW()-1)&lt;8,'实盘净值数据(iFinD公式)'!$A6="",'实盘净值数据(iFinD公式)'!$B6=""),"",SUMPRODUCT(实盘持仓配置!$B$7:$X$7,'实盘净值数据(iFinD公式)'!$B6:$X6/'实盘净值数据(iFinD公式)'!$B$8:$X$8)*(1-实盘持仓配置!$Z$7)^(('实盘净值数据(iFinD公式)'!$A6-'实盘净值数据(iFinD公式)'!$A$8)/365))</f>
        <v/>
      </c>
      <c r="L6" s="52">
        <f>IF(OR(K5="",'实盘净值数据(iFinD公式)'!$A6="",'实盘净值数据(iFinD公式)'!$B6=""),"",(SUMPRODUCT(实盘持仓配置!$B$7:$X$7,'实盘净值数据(iFinD公式)'!$B5:$X5/'实盘净值数据(iFinD公式)'!$B$8:$X$8,'实盘净值数据(iFinD公式)'!$B6:$X6/'实盘净值数据(iFinD公式)'!$B5:$X5)/SUMPRODUCT(实盘持仓配置!$B$7:$X$7,'实盘净值数据(iFinD公式)'!$B5:$X5/'实盘净值数据(iFinD公式)'!$B$8:$X$8))*(1-实盘持仓配置!$Z$7)^(('实盘净值数据(iFinD公式)'!$A6-'实盘净值数据(iFinD公式)'!$A5)/365)-1)</f>
        <v/>
      </c>
      <c r="M6" s="52">
        <f>IF(K6="","",K6/MAX(K$5:K6)-1)</f>
        <v/>
      </c>
      <c r="N6" s="180">
        <f>IF(OR((ROW()-1)&lt;5,'实盘净值数据(iFinD公式)'!$A6="",'实盘净值数据(iFinD公式)'!$B6=""),"",SUMPRODUCT(实盘持仓配置!$B$8:$X$8,'实盘净值数据(iFinD公式)'!$B6:$X6/'实盘净值数据(iFinD公式)'!$B$5:$X$5)*(1-实盘持仓配置!$Z$8)^(('实盘净值数据(iFinD公式)'!$A6-'实盘净值数据(iFinD公式)'!$A$5)/365))</f>
        <v/>
      </c>
      <c r="O6" s="52">
        <f>IF(OR(N5="",'实盘净值数据(iFinD公式)'!$A6="",'实盘净值数据(iFinD公式)'!$B6=""),"",(SUMPRODUCT(实盘持仓配置!$B$8:$X$8,'实盘净值数据(iFinD公式)'!$B5:$X5/'实盘净值数据(iFinD公式)'!$B$5:$X$5,'实盘净值数据(iFinD公式)'!$B6:$X6/'实盘净值数据(iFinD公式)'!$B5:$X5)/SUMPRODUCT(实盘持仓配置!$B$8:$X$8,'实盘净值数据(iFinD公式)'!$B5:$X5/'实盘净值数据(iFinD公式)'!$B$5:$X$5))*(1-实盘持仓配置!$Z$8)^(('实盘净值数据(iFinD公式)'!$A6-'实盘净值数据(iFinD公式)'!$A5)/365)-1)</f>
        <v/>
      </c>
      <c r="P6" s="52">
        <f>IF(N6="","",N6/MAX(N$5:N6)-1)</f>
        <v/>
      </c>
      <c r="Q6" s="180">
        <f>IF(OR((ROW()-1)&lt;8,'实盘净值数据(iFinD公式)'!$A6="",'实盘净值数据(iFinD公式)'!$B6=""),"",SUMPRODUCT(实盘持仓配置!$B$9:$X$9,'实盘净值数据(iFinD公式)'!$B6:$X6/'实盘净值数据(iFinD公式)'!$B$8:$X$8)*(1-实盘持仓配置!$Z$9)^(('实盘净值数据(iFinD公式)'!$A6-'实盘净值数据(iFinD公式)'!$A$8)/365))</f>
        <v/>
      </c>
      <c r="R6" s="52">
        <f>IF(OR(Q5="",'实盘净值数据(iFinD公式)'!$A6="",'实盘净值数据(iFinD公式)'!$B6=""),"",(SUMPRODUCT(实盘持仓配置!$B$9:$X$9,'实盘净值数据(iFinD公式)'!$B5:$X5/'实盘净值数据(iFinD公式)'!$B$8:$X$8,'实盘净值数据(iFinD公式)'!$B6:$X6/'实盘净值数据(iFinD公式)'!$B5:$X5)/SUMPRODUCT(实盘持仓配置!$B$9:$X$9,'实盘净值数据(iFinD公式)'!$B5:$X5/'实盘净值数据(iFinD公式)'!$B$8:$X$8))*(1-实盘持仓配置!$Z$9)^(('实盘净值数据(iFinD公式)'!$A6-'实盘净值数据(iFinD公式)'!$A5)/365)-1)</f>
        <v/>
      </c>
      <c r="S6" s="52">
        <f>IF(Q6="","",Q6/MAX(Q$5:Q6)-1)</f>
        <v/>
      </c>
      <c r="U6" s="53" t="n"/>
      <c r="V6" s="182" t="n"/>
    </row>
    <row r="7">
      <c r="A7" s="181">
        <f>IF('实盘净值数据(iFinD公式)'!A7="","",'实盘净值数据(iFinD公式)'!A7)</f>
        <v/>
      </c>
      <c r="B7" s="180">
        <f>IF(OR((ROW()-1)&lt;6,'实盘净值数据(iFinD公式)'!$A7="",'实盘净值数据(iFinD公式)'!$B7=""),"",SUMPRODUCT(实盘持仓配置!$B$4:$X$4,'实盘净值数据(iFinD公式)'!$B7:$X7/'实盘净值数据(iFinD公式)'!$B$6:$X$6)*(1-实盘持仓配置!$Z$4)^(('实盘净值数据(iFinD公式)'!$A7-'实盘净值数据(iFinD公式)'!$A$6)/365))</f>
        <v/>
      </c>
      <c r="C7" s="52">
        <f>IF(OR(B6="",'实盘净值数据(iFinD公式)'!$A7="",'实盘净值数据(iFinD公式)'!$B7=""),"",(SUMPRODUCT(实盘持仓配置!$B$4:$X$4,'实盘净值数据(iFinD公式)'!$B6:$X6/'实盘净值数据(iFinD公式)'!$B$6:$X$6,'实盘净值数据(iFinD公式)'!$B7:$X7/'实盘净值数据(iFinD公式)'!$B6:$X6)/SUMPRODUCT(实盘持仓配置!$B$4:$X$4,'实盘净值数据(iFinD公式)'!$B6:$X6/'实盘净值数据(iFinD公式)'!$B$6:$X$6))*(1-实盘持仓配置!$Z$4)^(('实盘净值数据(iFinD公式)'!$A7-'实盘净值数据(iFinD公式)'!$A6)/365)-1)</f>
        <v/>
      </c>
      <c r="D7" s="52">
        <f>IF(B7="","",B7/MAX(B$5:B7)-1)</f>
        <v/>
      </c>
      <c r="E7" s="180">
        <f>IF(OR((ROW()-1)&lt;5,'实盘净值数据(iFinD公式)'!$A7="",'实盘净值数据(iFinD公式)'!$B7=""),"",SUMPRODUCT(实盘持仓配置!$B$5:$X$5,'实盘净值数据(iFinD公式)'!$B7:$X7/'实盘净值数据(iFinD公式)'!$B$5:$X$5)*(1-实盘持仓配置!$Z$5)^(('实盘净值数据(iFinD公式)'!$A7-'实盘净值数据(iFinD公式)'!$A$5)/365))</f>
        <v/>
      </c>
      <c r="F7" s="52">
        <f>IF(OR(E6="",'实盘净值数据(iFinD公式)'!$A7="",'实盘净值数据(iFinD公式)'!$B7=""),"",(SUMPRODUCT(实盘持仓配置!$B$5:$X$5,'实盘净值数据(iFinD公式)'!$B6:$X6/'实盘净值数据(iFinD公式)'!$B$5:$X$5,'实盘净值数据(iFinD公式)'!$B7:$X7/'实盘净值数据(iFinD公式)'!$B6:$X6)/SUMPRODUCT(实盘持仓配置!$B$5:$X$5,'实盘净值数据(iFinD公式)'!$B6:$X6/'实盘净值数据(iFinD公式)'!$B$5:$X$5))*(1-实盘持仓配置!$Z$5)^(('实盘净值数据(iFinD公式)'!$A7-'实盘净值数据(iFinD公式)'!$A6)/365)-1)</f>
        <v/>
      </c>
      <c r="G7" s="52">
        <f>IF(E7="","",E7/MAX(E$5:E7)-1)</f>
        <v/>
      </c>
      <c r="H7" s="180" t="n">
        <v>1</v>
      </c>
      <c r="I7" s="52">
        <f>IF(OR(H6="",'实盘净值数据(iFinD公式)'!$A7="",'实盘净值数据(iFinD公式)'!$B7=""),"",(SUMPRODUCT(实盘持仓配置!$B$6:$X$6,'实盘净值数据(iFinD公式)'!$B6:$X6/'实盘净值数据(iFinD公式)'!$B$7:$X$7,'实盘净值数据(iFinD公式)'!$B7:$X7/'实盘净值数据(iFinD公式)'!$B6:$X6)/SUMPRODUCT(实盘持仓配置!$B$6:$X$6,'实盘净值数据(iFinD公式)'!$B6:$X6/'实盘净值数据(iFinD公式)'!$B$7:$X$7))*(1-实盘持仓配置!$Z$6)^(('实盘净值数据(iFinD公式)'!$A7-'实盘净值数据(iFinD公式)'!$A6)/365)-1)</f>
        <v/>
      </c>
      <c r="J7" s="52">
        <f>IF(H7="","",H7/MAX(H$5:H7)-1)</f>
        <v/>
      </c>
      <c r="K7" s="180">
        <f>IF(OR((ROW()-1)&lt;8,'实盘净值数据(iFinD公式)'!$A7="",'实盘净值数据(iFinD公式)'!$B7=""),"",SUMPRODUCT(实盘持仓配置!$B$7:$X$7,'实盘净值数据(iFinD公式)'!$B7:$X7/'实盘净值数据(iFinD公式)'!$B$8:$X$8)*(1-实盘持仓配置!$Z$7)^(('实盘净值数据(iFinD公式)'!$A7-'实盘净值数据(iFinD公式)'!$A$8)/365))</f>
        <v/>
      </c>
      <c r="L7" s="52">
        <f>IF(OR(K6="",'实盘净值数据(iFinD公式)'!$A7="",'实盘净值数据(iFinD公式)'!$B7=""),"",(SUMPRODUCT(实盘持仓配置!$B$7:$X$7,'实盘净值数据(iFinD公式)'!$B6:$X6/'实盘净值数据(iFinD公式)'!$B$8:$X$8,'实盘净值数据(iFinD公式)'!$B7:$X7/'实盘净值数据(iFinD公式)'!$B6:$X6)/SUMPRODUCT(实盘持仓配置!$B$7:$X$7,'实盘净值数据(iFinD公式)'!$B6:$X6/'实盘净值数据(iFinD公式)'!$B$8:$X$8))*(1-实盘持仓配置!$Z$7)^(('实盘净值数据(iFinD公式)'!$A7-'实盘净值数据(iFinD公式)'!$A6)/365)-1)</f>
        <v/>
      </c>
      <c r="M7" s="52">
        <f>IF(K7="","",K7/MAX(K$5:K7)-1)</f>
        <v/>
      </c>
      <c r="N7" s="180">
        <f>IF(OR((ROW()-1)&lt;5,'实盘净值数据(iFinD公式)'!$A7="",'实盘净值数据(iFinD公式)'!$B7=""),"",SUMPRODUCT(实盘持仓配置!$B$8:$X$8,'实盘净值数据(iFinD公式)'!$B7:$X7/'实盘净值数据(iFinD公式)'!$B$5:$X$5)*(1-实盘持仓配置!$Z$8)^(('实盘净值数据(iFinD公式)'!$A7-'实盘净值数据(iFinD公式)'!$A$5)/365))</f>
        <v/>
      </c>
      <c r="O7" s="52">
        <f>IF(OR(N6="",'实盘净值数据(iFinD公式)'!$A7="",'实盘净值数据(iFinD公式)'!$B7=""),"",(SUMPRODUCT(实盘持仓配置!$B$8:$X$8,'实盘净值数据(iFinD公式)'!$B6:$X6/'实盘净值数据(iFinD公式)'!$B$5:$X$5,'实盘净值数据(iFinD公式)'!$B7:$X7/'实盘净值数据(iFinD公式)'!$B6:$X6)/SUMPRODUCT(实盘持仓配置!$B$8:$X$8,'实盘净值数据(iFinD公式)'!$B6:$X6/'实盘净值数据(iFinD公式)'!$B$5:$X$5))*(1-实盘持仓配置!$Z$8)^(('实盘净值数据(iFinD公式)'!$A7-'实盘净值数据(iFinD公式)'!$A6)/365)-1)</f>
        <v/>
      </c>
      <c r="P7" s="52">
        <f>IF(N7="","",N7/MAX(N$5:N7)-1)</f>
        <v/>
      </c>
      <c r="Q7" s="180">
        <f>IF(OR((ROW()-1)&lt;8,'实盘净值数据(iFinD公式)'!$A7="",'实盘净值数据(iFinD公式)'!$B7=""),"",SUMPRODUCT(实盘持仓配置!$B$9:$X$9,'实盘净值数据(iFinD公式)'!$B7:$X7/'实盘净值数据(iFinD公式)'!$B$8:$X$8)*(1-实盘持仓配置!$Z$9)^(('实盘净值数据(iFinD公式)'!$A7-'实盘净值数据(iFinD公式)'!$A$8)/365))</f>
        <v/>
      </c>
      <c r="R7" s="52">
        <f>IF(OR(Q6="",'实盘净值数据(iFinD公式)'!$A7="",'实盘净值数据(iFinD公式)'!$B7=""),"",(SUMPRODUCT(实盘持仓配置!$B$9:$X$9,'实盘净值数据(iFinD公式)'!$B6:$X6/'实盘净值数据(iFinD公式)'!$B$8:$X$8,'实盘净值数据(iFinD公式)'!$B7:$X7/'实盘净值数据(iFinD公式)'!$B6:$X6)/SUMPRODUCT(实盘持仓配置!$B$9:$X$9,'实盘净值数据(iFinD公式)'!$B6:$X6/'实盘净值数据(iFinD公式)'!$B$8:$X$8))*(1-实盘持仓配置!$Z$9)^(('实盘净值数据(iFinD公式)'!$A7-'实盘净值数据(iFinD公式)'!$A6)/365)-1)</f>
        <v/>
      </c>
      <c r="S7" s="52">
        <f>IF(Q7="","",Q7/MAX(Q$5:Q7)-1)</f>
        <v/>
      </c>
      <c r="U7" s="53" t="n"/>
      <c r="V7" s="182" t="n"/>
    </row>
    <row r="8">
      <c r="A8" s="181">
        <f>IF('实盘净值数据(iFinD公式)'!A8="","",'实盘净值数据(iFinD公式)'!A8)</f>
        <v/>
      </c>
      <c r="B8" s="180">
        <f>IF(OR((ROW()-1)&lt;6,'实盘净值数据(iFinD公式)'!$A8="",'实盘净值数据(iFinD公式)'!$B8=""),"",SUMPRODUCT(实盘持仓配置!$B$4:$X$4,'实盘净值数据(iFinD公式)'!$B8:$X8/'实盘净值数据(iFinD公式)'!$B$6:$X$6)*(1-实盘持仓配置!$Z$4)^(('实盘净值数据(iFinD公式)'!$A8-'实盘净值数据(iFinD公式)'!$A$6)/365))</f>
        <v/>
      </c>
      <c r="C8" s="52">
        <f>IF(OR(B7="",'实盘净值数据(iFinD公式)'!$A8="",'实盘净值数据(iFinD公式)'!$B8=""),"",(SUMPRODUCT(实盘持仓配置!$B$4:$X$4,'实盘净值数据(iFinD公式)'!$B7:$X7/'实盘净值数据(iFinD公式)'!$B$6:$X$6,'实盘净值数据(iFinD公式)'!$B8:$X8/'实盘净值数据(iFinD公式)'!$B7:$X7)/SUMPRODUCT(实盘持仓配置!$B$4:$X$4,'实盘净值数据(iFinD公式)'!$B7:$X7/'实盘净值数据(iFinD公式)'!$B$6:$X$6))*(1-实盘持仓配置!$Z$4)^(('实盘净值数据(iFinD公式)'!$A8-'实盘净值数据(iFinD公式)'!$A7)/365)-1)</f>
        <v/>
      </c>
      <c r="D8" s="52">
        <f>IF(B8="","",B8/MAX(B$5:B8)-1)</f>
        <v/>
      </c>
      <c r="E8" s="180">
        <f>IF(OR((ROW()-1)&lt;5,'实盘净值数据(iFinD公式)'!$A8="",'实盘净值数据(iFinD公式)'!$B8=""),"",SUMPRODUCT(实盘持仓配置!$B$5:$X$5,'实盘净值数据(iFinD公式)'!$B8:$X8/'实盘净值数据(iFinD公式)'!$B$5:$X$5)*(1-实盘持仓配置!$Z$5)^(('实盘净值数据(iFinD公式)'!$A8-'实盘净值数据(iFinD公式)'!$A$5)/365))</f>
        <v/>
      </c>
      <c r="F8" s="52">
        <f>IF(OR(E7="",'实盘净值数据(iFinD公式)'!$A8="",'实盘净值数据(iFinD公式)'!$B8=""),"",(SUMPRODUCT(实盘持仓配置!$B$5:$X$5,'实盘净值数据(iFinD公式)'!$B7:$X7/'实盘净值数据(iFinD公式)'!$B$5:$X$5,'实盘净值数据(iFinD公式)'!$B8:$X8/'实盘净值数据(iFinD公式)'!$B7:$X7)/SUMPRODUCT(实盘持仓配置!$B$5:$X$5,'实盘净值数据(iFinD公式)'!$B7:$X7/'实盘净值数据(iFinD公式)'!$B$5:$X$5))*(1-实盘持仓配置!$Z$5)^(('实盘净值数据(iFinD公式)'!$A8-'实盘净值数据(iFinD公式)'!$A7)/365)-1)</f>
        <v/>
      </c>
      <c r="G8" s="52">
        <f>IF(E8="","",E8/MAX(E$5:E8)-1)</f>
        <v/>
      </c>
      <c r="H8" s="180">
        <f>IF(OR((ROW()-1)&lt;7,'实盘净值数据(iFinD公式)'!$A8="",'实盘净值数据(iFinD公式)'!$B8=""),"",SUMPRODUCT(实盘持仓配置!$B$6:$X$6,'实盘净值数据(iFinD公式)'!$B8:$X8/'实盘净值数据(iFinD公式)'!$B$7:$X$7)*(1-实盘持仓配置!$Z$6)^(('实盘净值数据(iFinD公式)'!$A8-'实盘净值数据(iFinD公式)'!$A$7)/365))</f>
        <v/>
      </c>
      <c r="I8" s="52">
        <f>IF(OR(H7="",'实盘净值数据(iFinD公式)'!$A8="",'实盘净值数据(iFinD公式)'!$B8=""),"",(SUMPRODUCT(实盘持仓配置!$B$6:$X$6,'实盘净值数据(iFinD公式)'!$B7:$X7/'实盘净值数据(iFinD公式)'!$B$7:$X$7,'实盘净值数据(iFinD公式)'!$B8:$X8/'实盘净值数据(iFinD公式)'!$B7:$X7)/SUMPRODUCT(实盘持仓配置!$B$6:$X$6,'实盘净值数据(iFinD公式)'!$B7:$X7/'实盘净值数据(iFinD公式)'!$B$7:$X$7))*(1-实盘持仓配置!$Z$6)^(('实盘净值数据(iFinD公式)'!$A8-'实盘净值数据(iFinD公式)'!$A7)/365)-1)</f>
        <v/>
      </c>
      <c r="J8" s="52">
        <f>IF(H8="","",H8/MAX(H$5:H8)-1)</f>
        <v/>
      </c>
      <c r="K8" s="180" t="n">
        <v>1</v>
      </c>
      <c r="L8" s="52">
        <f>IF(OR(K7="",'实盘净值数据(iFinD公式)'!$A8="",'实盘净值数据(iFinD公式)'!$B8=""),"",(SUMPRODUCT(实盘持仓配置!$B$7:$X$7,'实盘净值数据(iFinD公式)'!$B7:$X7/'实盘净值数据(iFinD公式)'!$B$8:$X$8,'实盘净值数据(iFinD公式)'!$B8:$X8/'实盘净值数据(iFinD公式)'!$B7:$X7)/SUMPRODUCT(实盘持仓配置!$B$7:$X$7,'实盘净值数据(iFinD公式)'!$B7:$X7/'实盘净值数据(iFinD公式)'!$B$8:$X$8))*(1-实盘持仓配置!$Z$7)^(('实盘净值数据(iFinD公式)'!$A8-'实盘净值数据(iFinD公式)'!$A7)/365)-1)</f>
        <v/>
      </c>
      <c r="M8" s="52">
        <f>IF(K8="","",K8/MAX(K$5:K8)-1)</f>
        <v/>
      </c>
      <c r="N8" s="180">
        <f>IF(OR((ROW()-1)&lt;5,'实盘净值数据(iFinD公式)'!$A8="",'实盘净值数据(iFinD公式)'!$B8=""),"",SUMPRODUCT(实盘持仓配置!$B$8:$X$8,'实盘净值数据(iFinD公式)'!$B8:$X8/'实盘净值数据(iFinD公式)'!$B$5:$X$5)*(1-实盘持仓配置!$Z$8)^(('实盘净值数据(iFinD公式)'!$A8-'实盘净值数据(iFinD公式)'!$A$5)/365))</f>
        <v/>
      </c>
      <c r="O8" s="52">
        <f>IF(OR(N7="",'实盘净值数据(iFinD公式)'!$A8="",'实盘净值数据(iFinD公式)'!$B8=""),"",(SUMPRODUCT(实盘持仓配置!$B$8:$X$8,'实盘净值数据(iFinD公式)'!$B7:$X7/'实盘净值数据(iFinD公式)'!$B$5:$X$5,'实盘净值数据(iFinD公式)'!$B8:$X8/'实盘净值数据(iFinD公式)'!$B7:$X7)/SUMPRODUCT(实盘持仓配置!$B$8:$X$8,'实盘净值数据(iFinD公式)'!$B7:$X7/'实盘净值数据(iFinD公式)'!$B$5:$X$5))*(1-实盘持仓配置!$Z$8)^(('实盘净值数据(iFinD公式)'!$A8-'实盘净值数据(iFinD公式)'!$A7)/365)-1)</f>
        <v/>
      </c>
      <c r="P8" s="52">
        <f>IF(N8="","",N8/MAX(N$5:N8)-1)</f>
        <v/>
      </c>
      <c r="Q8" s="180" t="n">
        <v>1</v>
      </c>
      <c r="R8" s="52">
        <f>IF(OR(Q7="",'实盘净值数据(iFinD公式)'!$A8="",'实盘净值数据(iFinD公式)'!$B8=""),"",(SUMPRODUCT(实盘持仓配置!$B$9:$X$9,'实盘净值数据(iFinD公式)'!$B7:$X7/'实盘净值数据(iFinD公式)'!$B$8:$X$8,'实盘净值数据(iFinD公式)'!$B8:$X8/'实盘净值数据(iFinD公式)'!$B7:$X7)/SUMPRODUCT(实盘持仓配置!$B$9:$X$9,'实盘净值数据(iFinD公式)'!$B7:$X7/'实盘净值数据(iFinD公式)'!$B$8:$X$8))*(1-实盘持仓配置!$Z$9)^(('实盘净值数据(iFinD公式)'!$A8-'实盘净值数据(iFinD公式)'!$A7)/365)-1)</f>
        <v/>
      </c>
      <c r="S8" s="52">
        <f>IF(Q8="","",Q8/MAX(Q$5:Q8)-1)</f>
        <v/>
      </c>
      <c r="U8" s="53" t="n"/>
      <c r="V8" s="182" t="n"/>
    </row>
    <row r="9">
      <c r="A9" s="181">
        <f>IF('实盘净值数据(iFinD公式)'!A9="","",'实盘净值数据(iFinD公式)'!A9)</f>
        <v/>
      </c>
      <c r="B9" s="180">
        <f>IF(OR((ROW()-1)&lt;6,'实盘净值数据(iFinD公式)'!$A9="",'实盘净值数据(iFinD公式)'!$B9=""),"",SUMPRODUCT(实盘持仓配置!$B$4:$X$4,'实盘净值数据(iFinD公式)'!$B9:$X9/'实盘净值数据(iFinD公式)'!$B$6:$X$6)*(1-实盘持仓配置!$Z$4)^(('实盘净值数据(iFinD公式)'!$A9-'实盘净值数据(iFinD公式)'!$A$6)/365))</f>
        <v/>
      </c>
      <c r="C9" s="52">
        <f>IF(OR(B8="",'实盘净值数据(iFinD公式)'!$A9="",'实盘净值数据(iFinD公式)'!$B9=""),"",(SUMPRODUCT(实盘持仓配置!$B$4:$X$4,'实盘净值数据(iFinD公式)'!$B8:$X8/'实盘净值数据(iFinD公式)'!$B$6:$X$6,'实盘净值数据(iFinD公式)'!$B9:$X9/'实盘净值数据(iFinD公式)'!$B8:$X8)/SUMPRODUCT(实盘持仓配置!$B$4:$X$4,'实盘净值数据(iFinD公式)'!$B8:$X8/'实盘净值数据(iFinD公式)'!$B$6:$X$6))*(1-实盘持仓配置!$Z$4)^(('实盘净值数据(iFinD公式)'!$A9-'实盘净值数据(iFinD公式)'!$A8)/365)-1)</f>
        <v/>
      </c>
      <c r="D9" s="52">
        <f>IF(B9="","",B9/MAX(B$5:B9)-1)</f>
        <v/>
      </c>
      <c r="E9" s="180">
        <f>IF(OR((ROW()-1)&lt;5,'实盘净值数据(iFinD公式)'!$A9="",'实盘净值数据(iFinD公式)'!$B9=""),"",SUMPRODUCT(实盘持仓配置!$B$5:$X$5,'实盘净值数据(iFinD公式)'!$B9:$X9/'实盘净值数据(iFinD公式)'!$B$5:$X$5)*(1-实盘持仓配置!$Z$5)^(('实盘净值数据(iFinD公式)'!$A9-'实盘净值数据(iFinD公式)'!$A$5)/365))</f>
        <v/>
      </c>
      <c r="F9" s="52">
        <f>IF(OR(E8="",'实盘净值数据(iFinD公式)'!$A9="",'实盘净值数据(iFinD公式)'!$B9=""),"",(SUMPRODUCT(实盘持仓配置!$B$5:$X$5,'实盘净值数据(iFinD公式)'!$B8:$X8/'实盘净值数据(iFinD公式)'!$B$5:$X$5,'实盘净值数据(iFinD公式)'!$B9:$X9/'实盘净值数据(iFinD公式)'!$B8:$X8)/SUMPRODUCT(实盘持仓配置!$B$5:$X$5,'实盘净值数据(iFinD公式)'!$B8:$X8/'实盘净值数据(iFinD公式)'!$B$5:$X$5))*(1-实盘持仓配置!$Z$5)^(('实盘净值数据(iFinD公式)'!$A9-'实盘净值数据(iFinD公式)'!$A8)/365)-1)</f>
        <v/>
      </c>
      <c r="G9" s="52">
        <f>IF(E9="","",E9/MAX(E$5:E9)-1)</f>
        <v/>
      </c>
      <c r="H9" s="180">
        <f>IF(OR((ROW()-1)&lt;7,'实盘净值数据(iFinD公式)'!$A9="",'实盘净值数据(iFinD公式)'!$B9=""),"",SUMPRODUCT(实盘持仓配置!$B$6:$X$6,'实盘净值数据(iFinD公式)'!$B9:$X9/'实盘净值数据(iFinD公式)'!$B$7:$X$7)*(1-实盘持仓配置!$Z$6)^(('实盘净值数据(iFinD公式)'!$A9-'实盘净值数据(iFinD公式)'!$A$7)/365))</f>
        <v/>
      </c>
      <c r="I9" s="52">
        <f>IF(OR(H8="",'实盘净值数据(iFinD公式)'!$A9="",'实盘净值数据(iFinD公式)'!$B9=""),"",(SUMPRODUCT(实盘持仓配置!$B$6:$X$6,'实盘净值数据(iFinD公式)'!$B8:$X8/'实盘净值数据(iFinD公式)'!$B$7:$X$7,'实盘净值数据(iFinD公式)'!$B9:$X9/'实盘净值数据(iFinD公式)'!$B8:$X8)/SUMPRODUCT(实盘持仓配置!$B$6:$X$6,'实盘净值数据(iFinD公式)'!$B8:$X8/'实盘净值数据(iFinD公式)'!$B$7:$X$7))*(1-实盘持仓配置!$Z$6)^(('实盘净值数据(iFinD公式)'!$A9-'实盘净值数据(iFinD公式)'!$A8)/365)-1)</f>
        <v/>
      </c>
      <c r="J9" s="52">
        <f>IF(H9="","",H9/MAX(H$5:H9)-1)</f>
        <v/>
      </c>
      <c r="K9" s="180">
        <f>IF(OR((ROW()-1)&lt;8,'实盘净值数据(iFinD公式)'!$A9="",'实盘净值数据(iFinD公式)'!$B9=""),"",SUMPRODUCT(实盘持仓配置!$B$7:$X$7,'实盘净值数据(iFinD公式)'!$B9:$X9/'实盘净值数据(iFinD公式)'!$B$8:$X$8)*(1-实盘持仓配置!$Z$7)^(('实盘净值数据(iFinD公式)'!$A9-'实盘净值数据(iFinD公式)'!$A$8)/365))</f>
        <v/>
      </c>
      <c r="L9" s="52">
        <f>IF(OR(K8="",'实盘净值数据(iFinD公式)'!$A9="",'实盘净值数据(iFinD公式)'!$B9=""),"",(SUMPRODUCT(实盘持仓配置!$B$7:$X$7,'实盘净值数据(iFinD公式)'!$B8:$X8/'实盘净值数据(iFinD公式)'!$B$8:$X$8,'实盘净值数据(iFinD公式)'!$B9:$X9/'实盘净值数据(iFinD公式)'!$B8:$X8)/SUMPRODUCT(实盘持仓配置!$B$7:$X$7,'实盘净值数据(iFinD公式)'!$B8:$X8/'实盘净值数据(iFinD公式)'!$B$8:$X$8))*(1-实盘持仓配置!$Z$7)^(('实盘净值数据(iFinD公式)'!$A9-'实盘净值数据(iFinD公式)'!$A8)/365)-1)</f>
        <v/>
      </c>
      <c r="M9" s="52">
        <f>IF(K9="","",K9/MAX(K$5:K9)-1)</f>
        <v/>
      </c>
      <c r="N9" s="180">
        <f>IF(OR((ROW()-1)&lt;5,'实盘净值数据(iFinD公式)'!$A9="",'实盘净值数据(iFinD公式)'!$B9=""),"",SUMPRODUCT(实盘持仓配置!$B$8:$X$8,'实盘净值数据(iFinD公式)'!$B9:$X9/'实盘净值数据(iFinD公式)'!$B$5:$X$5)*(1-实盘持仓配置!$Z$8)^(('实盘净值数据(iFinD公式)'!$A9-'实盘净值数据(iFinD公式)'!$A$5)/365))</f>
        <v/>
      </c>
      <c r="O9" s="52">
        <f>IF(OR(N8="",'实盘净值数据(iFinD公式)'!$A9="",'实盘净值数据(iFinD公式)'!$B9=""),"",(SUMPRODUCT(实盘持仓配置!$B$8:$X$8,'实盘净值数据(iFinD公式)'!$B8:$X8/'实盘净值数据(iFinD公式)'!$B$5:$X$5,'实盘净值数据(iFinD公式)'!$B9:$X9/'实盘净值数据(iFinD公式)'!$B8:$X8)/SUMPRODUCT(实盘持仓配置!$B$8:$X$8,'实盘净值数据(iFinD公式)'!$B8:$X8/'实盘净值数据(iFinD公式)'!$B$5:$X$5))*(1-实盘持仓配置!$Z$8)^(('实盘净值数据(iFinD公式)'!$A9-'实盘净值数据(iFinD公式)'!$A8)/365)-1)</f>
        <v/>
      </c>
      <c r="P9" s="52">
        <f>IF(N9="","",N9/MAX(N$5:N9)-1)</f>
        <v/>
      </c>
      <c r="Q9" s="180">
        <f>IF(OR((ROW()-1)&lt;8,'实盘净值数据(iFinD公式)'!$A9="",'实盘净值数据(iFinD公式)'!$B9=""),"",SUMPRODUCT(实盘持仓配置!$B$9:$X$9,'实盘净值数据(iFinD公式)'!$B9:$X9/'实盘净值数据(iFinD公式)'!$B$8:$X$8)*(1-实盘持仓配置!$Z$9)^(('实盘净值数据(iFinD公式)'!$A9-'实盘净值数据(iFinD公式)'!$A$8)/365))</f>
        <v/>
      </c>
      <c r="R9" s="52">
        <f>IF(OR(Q8="",'实盘净值数据(iFinD公式)'!$A9="",'实盘净值数据(iFinD公式)'!$B9=""),"",(SUMPRODUCT(实盘持仓配置!$B$9:$X$9,'实盘净值数据(iFinD公式)'!$B8:$X8/'实盘净值数据(iFinD公式)'!$B$8:$X$8,'实盘净值数据(iFinD公式)'!$B9:$X9/'实盘净值数据(iFinD公式)'!$B8:$X8)/SUMPRODUCT(实盘持仓配置!$B$9:$X$9,'实盘净值数据(iFinD公式)'!$B8:$X8/'实盘净值数据(iFinD公式)'!$B$8:$X$8))*(1-实盘持仓配置!$Z$9)^(('实盘净值数据(iFinD公式)'!$A9-'实盘净值数据(iFinD公式)'!$A8)/365)-1)</f>
        <v/>
      </c>
      <c r="S9" s="52">
        <f>IF(Q9="","",Q9/MAX(Q$5:Q9)-1)</f>
        <v/>
      </c>
      <c r="U9" s="53" t="n"/>
      <c r="V9" s="182" t="n"/>
    </row>
    <row r="10">
      <c r="A10" s="181">
        <f>IF('实盘净值数据(iFinD公式)'!A10="","",'实盘净值数据(iFinD公式)'!A10)</f>
        <v/>
      </c>
      <c r="B10" s="180">
        <f>IF(OR((ROW()-1)&lt;6,'实盘净值数据(iFinD公式)'!$A10="",'实盘净值数据(iFinD公式)'!$B10=""),"",SUMPRODUCT(实盘持仓配置!$B$4:$X$4,'实盘净值数据(iFinD公式)'!$B10:$X10/'实盘净值数据(iFinD公式)'!$B$6:$X$6)*(1-实盘持仓配置!$Z$4)^(('实盘净值数据(iFinD公式)'!$A10-'实盘净值数据(iFinD公式)'!$A$6)/365))</f>
        <v/>
      </c>
      <c r="C10" s="52">
        <f>IF(OR(B9="",'实盘净值数据(iFinD公式)'!$A10="",'实盘净值数据(iFinD公式)'!$B10=""),"",(SUMPRODUCT(实盘持仓配置!$B$4:$X$4,'实盘净值数据(iFinD公式)'!$B9:$X9/'实盘净值数据(iFinD公式)'!$B$6:$X$6,'实盘净值数据(iFinD公式)'!$B10:$X10/'实盘净值数据(iFinD公式)'!$B9:$X9)/SUMPRODUCT(实盘持仓配置!$B$4:$X$4,'实盘净值数据(iFinD公式)'!$B9:$X9/'实盘净值数据(iFinD公式)'!$B$6:$X$6))*(1-实盘持仓配置!$Z$4)^(('实盘净值数据(iFinD公式)'!$A10-'实盘净值数据(iFinD公式)'!$A9)/365)-1)</f>
        <v/>
      </c>
      <c r="D10" s="52">
        <f>IF(B10="","",B10/MAX(B$5:B10)-1)</f>
        <v/>
      </c>
      <c r="E10" s="180">
        <f>IF(OR((ROW()-1)&lt;5,'实盘净值数据(iFinD公式)'!$A10="",'实盘净值数据(iFinD公式)'!$B10=""),"",SUMPRODUCT(实盘持仓配置!$B$5:$X$5,'实盘净值数据(iFinD公式)'!$B10:$X10/'实盘净值数据(iFinD公式)'!$B$5:$X$5)*(1-实盘持仓配置!$Z$5)^(('实盘净值数据(iFinD公式)'!$A10-'实盘净值数据(iFinD公式)'!$A$5)/365))</f>
        <v/>
      </c>
      <c r="F10" s="52">
        <f>IF(OR(E9="",'实盘净值数据(iFinD公式)'!$A10="",'实盘净值数据(iFinD公式)'!$B10=""),"",(SUMPRODUCT(实盘持仓配置!$B$5:$X$5,'实盘净值数据(iFinD公式)'!$B9:$X9/'实盘净值数据(iFinD公式)'!$B$5:$X$5,'实盘净值数据(iFinD公式)'!$B10:$X10/'实盘净值数据(iFinD公式)'!$B9:$X9)/SUMPRODUCT(实盘持仓配置!$B$5:$X$5,'实盘净值数据(iFinD公式)'!$B9:$X9/'实盘净值数据(iFinD公式)'!$B$5:$X$5))*(1-实盘持仓配置!$Z$5)^(('实盘净值数据(iFinD公式)'!$A10-'实盘净值数据(iFinD公式)'!$A9)/365)-1)</f>
        <v/>
      </c>
      <c r="G10" s="52">
        <f>IF(E10="","",E10/MAX(E$5:E10)-1)</f>
        <v/>
      </c>
      <c r="H10" s="180">
        <f>IF(OR((ROW()-1)&lt;7,'实盘净值数据(iFinD公式)'!$A10="",'实盘净值数据(iFinD公式)'!$B10=""),"",SUMPRODUCT(实盘持仓配置!$B$6:$X$6,'实盘净值数据(iFinD公式)'!$B10:$X10/'实盘净值数据(iFinD公式)'!$B$7:$X$7)*(1-实盘持仓配置!$Z$6)^(('实盘净值数据(iFinD公式)'!$A10-'实盘净值数据(iFinD公式)'!$A$7)/365))</f>
        <v/>
      </c>
      <c r="I10" s="52">
        <f>IF(OR(H9="",'实盘净值数据(iFinD公式)'!$A10="",'实盘净值数据(iFinD公式)'!$B10=""),"",(SUMPRODUCT(实盘持仓配置!$B$6:$X$6,'实盘净值数据(iFinD公式)'!$B9:$X9/'实盘净值数据(iFinD公式)'!$B$7:$X$7,'实盘净值数据(iFinD公式)'!$B10:$X10/'实盘净值数据(iFinD公式)'!$B9:$X9)/SUMPRODUCT(实盘持仓配置!$B$6:$X$6,'实盘净值数据(iFinD公式)'!$B9:$X9/'实盘净值数据(iFinD公式)'!$B$7:$X$7))*(1-实盘持仓配置!$Z$6)^(('实盘净值数据(iFinD公式)'!$A10-'实盘净值数据(iFinD公式)'!$A9)/365)-1)</f>
        <v/>
      </c>
      <c r="J10" s="52">
        <f>IF(H10="","",H10/MAX(H$5:H10)-1)</f>
        <v/>
      </c>
      <c r="K10" s="180">
        <f>IF(OR((ROW()-1)&lt;8,'实盘净值数据(iFinD公式)'!$A10="",'实盘净值数据(iFinD公式)'!$B10=""),"",SUMPRODUCT(实盘持仓配置!$B$7:$X$7,'实盘净值数据(iFinD公式)'!$B10:$X10/'实盘净值数据(iFinD公式)'!$B$8:$X$8)*(1-实盘持仓配置!$Z$7)^(('实盘净值数据(iFinD公式)'!$A10-'实盘净值数据(iFinD公式)'!$A$8)/365))</f>
        <v/>
      </c>
      <c r="L10" s="52">
        <f>IF(OR(K9="",'实盘净值数据(iFinD公式)'!$A10="",'实盘净值数据(iFinD公式)'!$B10=""),"",(SUMPRODUCT(实盘持仓配置!$B$7:$X$7,'实盘净值数据(iFinD公式)'!$B9:$X9/'实盘净值数据(iFinD公式)'!$B$8:$X$8,'实盘净值数据(iFinD公式)'!$B10:$X10/'实盘净值数据(iFinD公式)'!$B9:$X9)/SUMPRODUCT(实盘持仓配置!$B$7:$X$7,'实盘净值数据(iFinD公式)'!$B9:$X9/'实盘净值数据(iFinD公式)'!$B$8:$X$8))*(1-实盘持仓配置!$Z$7)^(('实盘净值数据(iFinD公式)'!$A10-'实盘净值数据(iFinD公式)'!$A9)/365)-1)</f>
        <v/>
      </c>
      <c r="M10" s="52">
        <f>IF(K10="","",K10/MAX(K$5:K10)-1)</f>
        <v/>
      </c>
      <c r="N10" s="180">
        <f>IF(OR((ROW()-1)&lt;5,'实盘净值数据(iFinD公式)'!$A10="",'实盘净值数据(iFinD公式)'!$B10=""),"",SUMPRODUCT(实盘持仓配置!$B$8:$X$8,'实盘净值数据(iFinD公式)'!$B10:$X10/'实盘净值数据(iFinD公式)'!$B$5:$X$5)*(1-实盘持仓配置!$Z$8)^(('实盘净值数据(iFinD公式)'!$A10-'实盘净值数据(iFinD公式)'!$A$5)/365))</f>
        <v/>
      </c>
      <c r="O10" s="52">
        <f>IF(OR(N9="",'实盘净值数据(iFinD公式)'!$A10="",'实盘净值数据(iFinD公式)'!$B10=""),"",(SUMPRODUCT(实盘持仓配置!$B$8:$X$8,'实盘净值数据(iFinD公式)'!$B9:$X9/'实盘净值数据(iFinD公式)'!$B$5:$X$5,'实盘净值数据(iFinD公式)'!$B10:$X10/'实盘净值数据(iFinD公式)'!$B9:$X9)/SUMPRODUCT(实盘持仓配置!$B$8:$X$8,'实盘净值数据(iFinD公式)'!$B9:$X9/'实盘净值数据(iFinD公式)'!$B$5:$X$5))*(1-实盘持仓配置!$Z$8)^(('实盘净值数据(iFinD公式)'!$A10-'实盘净值数据(iFinD公式)'!$A9)/365)-1)</f>
        <v/>
      </c>
      <c r="P10" s="52">
        <f>IF(N10="","",N10/MAX(N$5:N10)-1)</f>
        <v/>
      </c>
      <c r="Q10" s="180">
        <f>IF(OR((ROW()-1)&lt;8,'实盘净值数据(iFinD公式)'!$A10="",'实盘净值数据(iFinD公式)'!$B10=""),"",SUMPRODUCT(实盘持仓配置!$B$9:$X$9,'实盘净值数据(iFinD公式)'!$B10:$X10/'实盘净值数据(iFinD公式)'!$B$8:$X$8)*(1-实盘持仓配置!$Z$9)^(('实盘净值数据(iFinD公式)'!$A10-'实盘净值数据(iFinD公式)'!$A$8)/365))</f>
        <v/>
      </c>
      <c r="R10" s="52">
        <f>IF(OR(Q9="",'实盘净值数据(iFinD公式)'!$A10="",'实盘净值数据(iFinD公式)'!$B10=""),"",(SUMPRODUCT(实盘持仓配置!$B$9:$X$9,'实盘净值数据(iFinD公式)'!$B9:$X9/'实盘净值数据(iFinD公式)'!$B$8:$X$8,'实盘净值数据(iFinD公式)'!$B10:$X10/'实盘净值数据(iFinD公式)'!$B9:$X9)/SUMPRODUCT(实盘持仓配置!$B$9:$X$9,'实盘净值数据(iFinD公式)'!$B9:$X9/'实盘净值数据(iFinD公式)'!$B$8:$X$8))*(1-实盘持仓配置!$Z$9)^(('实盘净值数据(iFinD公式)'!$A10-'实盘净值数据(iFinD公式)'!$A9)/365)-1)</f>
        <v/>
      </c>
      <c r="S10" s="52">
        <f>IF(Q10="","",Q10/MAX(Q$5:Q10)-1)</f>
        <v/>
      </c>
      <c r="U10" s="53" t="n"/>
      <c r="V10" s="182" t="n"/>
    </row>
    <row r="11">
      <c r="A11" s="181">
        <f>IF('实盘净值数据(iFinD公式)'!A11="","",'实盘净值数据(iFinD公式)'!A11)</f>
        <v/>
      </c>
      <c r="B11" s="180">
        <f>IF(OR((ROW()-1)&lt;6,'实盘净值数据(iFinD公式)'!$A11="",'实盘净值数据(iFinD公式)'!$B11=""),"",SUMPRODUCT(实盘持仓配置!$B$4:$X$4,'实盘净值数据(iFinD公式)'!$B11:$X11/'实盘净值数据(iFinD公式)'!$B$6:$X$6)*(1-实盘持仓配置!$Z$4)^(('实盘净值数据(iFinD公式)'!$A11-'实盘净值数据(iFinD公式)'!$A$6)/365))</f>
        <v/>
      </c>
      <c r="C11" s="52">
        <f>IF(OR(B10="",'实盘净值数据(iFinD公式)'!$A11="",'实盘净值数据(iFinD公式)'!$B11=""),"",(SUMPRODUCT(实盘持仓配置!$B$4:$X$4,'实盘净值数据(iFinD公式)'!$B10:$X10/'实盘净值数据(iFinD公式)'!$B$6:$X$6,'实盘净值数据(iFinD公式)'!$B11:$X11/'实盘净值数据(iFinD公式)'!$B10:$X10)/SUMPRODUCT(实盘持仓配置!$B$4:$X$4,'实盘净值数据(iFinD公式)'!$B10:$X10/'实盘净值数据(iFinD公式)'!$B$6:$X$6))*(1-实盘持仓配置!$Z$4)^(('实盘净值数据(iFinD公式)'!$A11-'实盘净值数据(iFinD公式)'!$A10)/365)-1)</f>
        <v/>
      </c>
      <c r="D11" s="52">
        <f>IF(B11="","",B11/MAX(B$5:B11)-1)</f>
        <v/>
      </c>
      <c r="E11" s="180">
        <f>IF(OR((ROW()-1)&lt;5,'实盘净值数据(iFinD公式)'!$A11="",'实盘净值数据(iFinD公式)'!$B11=""),"",SUMPRODUCT(实盘持仓配置!$B$5:$X$5,'实盘净值数据(iFinD公式)'!$B11:$X11/'实盘净值数据(iFinD公式)'!$B$5:$X$5)*(1-实盘持仓配置!$Z$5)^(('实盘净值数据(iFinD公式)'!$A11-'实盘净值数据(iFinD公式)'!$A$5)/365))</f>
        <v/>
      </c>
      <c r="F11" s="52">
        <f>IF(OR(E10="",'实盘净值数据(iFinD公式)'!$A11="",'实盘净值数据(iFinD公式)'!$B11=""),"",(SUMPRODUCT(实盘持仓配置!$B$5:$X$5,'实盘净值数据(iFinD公式)'!$B10:$X10/'实盘净值数据(iFinD公式)'!$B$5:$X$5,'实盘净值数据(iFinD公式)'!$B11:$X11/'实盘净值数据(iFinD公式)'!$B10:$X10)/SUMPRODUCT(实盘持仓配置!$B$5:$X$5,'实盘净值数据(iFinD公式)'!$B10:$X10/'实盘净值数据(iFinD公式)'!$B$5:$X$5))*(1-实盘持仓配置!$Z$5)^(('实盘净值数据(iFinD公式)'!$A11-'实盘净值数据(iFinD公式)'!$A10)/365)-1)</f>
        <v/>
      </c>
      <c r="G11" s="52">
        <f>IF(E11="","",E11/MAX(E$5:E11)-1)</f>
        <v/>
      </c>
      <c r="H11" s="180">
        <f>IF(OR((ROW()-1)&lt;7,'实盘净值数据(iFinD公式)'!$A11="",'实盘净值数据(iFinD公式)'!$B11=""),"",SUMPRODUCT(实盘持仓配置!$B$6:$X$6,'实盘净值数据(iFinD公式)'!$B11:$X11/'实盘净值数据(iFinD公式)'!$B$7:$X$7)*(1-实盘持仓配置!$Z$6)^(('实盘净值数据(iFinD公式)'!$A11-'实盘净值数据(iFinD公式)'!$A$7)/365))</f>
        <v/>
      </c>
      <c r="I11" s="52">
        <f>IF(OR(H10="",'实盘净值数据(iFinD公式)'!$A11="",'实盘净值数据(iFinD公式)'!$B11=""),"",(SUMPRODUCT(实盘持仓配置!$B$6:$X$6,'实盘净值数据(iFinD公式)'!$B10:$X10/'实盘净值数据(iFinD公式)'!$B$7:$X$7,'实盘净值数据(iFinD公式)'!$B11:$X11/'实盘净值数据(iFinD公式)'!$B10:$X10)/SUMPRODUCT(实盘持仓配置!$B$6:$X$6,'实盘净值数据(iFinD公式)'!$B10:$X10/'实盘净值数据(iFinD公式)'!$B$7:$X$7))*(1-实盘持仓配置!$Z$6)^(('实盘净值数据(iFinD公式)'!$A11-'实盘净值数据(iFinD公式)'!$A10)/365)-1)</f>
        <v/>
      </c>
      <c r="J11" s="52">
        <f>IF(H11="","",H11/MAX(H$5:H11)-1)</f>
        <v/>
      </c>
      <c r="K11" s="180">
        <f>IF(OR((ROW()-1)&lt;8,'实盘净值数据(iFinD公式)'!$A11="",'实盘净值数据(iFinD公式)'!$B11=""),"",SUMPRODUCT(实盘持仓配置!$B$7:$X$7,'实盘净值数据(iFinD公式)'!$B11:$X11/'实盘净值数据(iFinD公式)'!$B$8:$X$8)*(1-实盘持仓配置!$Z$7)^(('实盘净值数据(iFinD公式)'!$A11-'实盘净值数据(iFinD公式)'!$A$8)/365))</f>
        <v/>
      </c>
      <c r="L11" s="52">
        <f>IF(OR(K10="",'实盘净值数据(iFinD公式)'!$A11="",'实盘净值数据(iFinD公式)'!$B11=""),"",(SUMPRODUCT(实盘持仓配置!$B$7:$X$7,'实盘净值数据(iFinD公式)'!$B10:$X10/'实盘净值数据(iFinD公式)'!$B$8:$X$8,'实盘净值数据(iFinD公式)'!$B11:$X11/'实盘净值数据(iFinD公式)'!$B10:$X10)/SUMPRODUCT(实盘持仓配置!$B$7:$X$7,'实盘净值数据(iFinD公式)'!$B10:$X10/'实盘净值数据(iFinD公式)'!$B$8:$X$8))*(1-实盘持仓配置!$Z$7)^(('实盘净值数据(iFinD公式)'!$A11-'实盘净值数据(iFinD公式)'!$A10)/365)-1)</f>
        <v/>
      </c>
      <c r="M11" s="52">
        <f>IF(K11="","",K11/MAX(K$5:K11)-1)</f>
        <v/>
      </c>
      <c r="N11" s="180">
        <f>IF(OR((ROW()-1)&lt;5,'实盘净值数据(iFinD公式)'!$A11="",'实盘净值数据(iFinD公式)'!$B11=""),"",SUMPRODUCT(实盘持仓配置!$B$8:$X$8,'实盘净值数据(iFinD公式)'!$B11:$X11/'实盘净值数据(iFinD公式)'!$B$5:$X$5)*(1-实盘持仓配置!$Z$8)^(('实盘净值数据(iFinD公式)'!$A11-'实盘净值数据(iFinD公式)'!$A$5)/365))</f>
        <v/>
      </c>
      <c r="O11" s="52">
        <f>IF(OR(N10="",'实盘净值数据(iFinD公式)'!$A11="",'实盘净值数据(iFinD公式)'!$B11=""),"",(SUMPRODUCT(实盘持仓配置!$B$8:$X$8,'实盘净值数据(iFinD公式)'!$B10:$X10/'实盘净值数据(iFinD公式)'!$B$5:$X$5,'实盘净值数据(iFinD公式)'!$B11:$X11/'实盘净值数据(iFinD公式)'!$B10:$X10)/SUMPRODUCT(实盘持仓配置!$B$8:$X$8,'实盘净值数据(iFinD公式)'!$B10:$X10/'实盘净值数据(iFinD公式)'!$B$5:$X$5))*(1-实盘持仓配置!$Z$8)^(('实盘净值数据(iFinD公式)'!$A11-'实盘净值数据(iFinD公式)'!$A10)/365)-1)</f>
        <v/>
      </c>
      <c r="P11" s="52">
        <f>IF(N11="","",N11/MAX(N$5:N11)-1)</f>
        <v/>
      </c>
      <c r="Q11" s="180">
        <f>IF(OR((ROW()-1)&lt;8,'实盘净值数据(iFinD公式)'!$A11="",'实盘净值数据(iFinD公式)'!$B11=""),"",SUMPRODUCT(实盘持仓配置!$B$9:$X$9,'实盘净值数据(iFinD公式)'!$B11:$X11/'实盘净值数据(iFinD公式)'!$B$8:$X$8)*(1-实盘持仓配置!$Z$9)^(('实盘净值数据(iFinD公式)'!$A11-'实盘净值数据(iFinD公式)'!$A$8)/365))</f>
        <v/>
      </c>
      <c r="R11" s="52">
        <f>IF(OR(Q10="",'实盘净值数据(iFinD公式)'!$A11="",'实盘净值数据(iFinD公式)'!$B11=""),"",(SUMPRODUCT(实盘持仓配置!$B$9:$X$9,'实盘净值数据(iFinD公式)'!$B10:$X10/'实盘净值数据(iFinD公式)'!$B$8:$X$8,'实盘净值数据(iFinD公式)'!$B11:$X11/'实盘净值数据(iFinD公式)'!$B10:$X10)/SUMPRODUCT(实盘持仓配置!$B$9:$X$9,'实盘净值数据(iFinD公式)'!$B10:$X10/'实盘净值数据(iFinD公式)'!$B$8:$X$8))*(1-实盘持仓配置!$Z$9)^(('实盘净值数据(iFinD公式)'!$A11-'实盘净值数据(iFinD公式)'!$A10)/365)-1)</f>
        <v/>
      </c>
      <c r="S11" s="52">
        <f>IF(Q11="","",Q11/MAX(Q$5:Q11)-1)</f>
        <v/>
      </c>
      <c r="U11" s="53" t="n"/>
      <c r="V11" s="182" t="n"/>
    </row>
    <row r="12">
      <c r="A12" s="181">
        <f>IF('实盘净值数据(iFinD公式)'!A12="","",'实盘净值数据(iFinD公式)'!A12)</f>
        <v/>
      </c>
      <c r="B12" s="180">
        <f>IF(OR((ROW()-1)&lt;6,'实盘净值数据(iFinD公式)'!$A12="",'实盘净值数据(iFinD公式)'!$B12=""),"",SUMPRODUCT(实盘持仓配置!$B$4:$X$4,'实盘净值数据(iFinD公式)'!$B12:$X12/'实盘净值数据(iFinD公式)'!$B$6:$X$6)*(1-实盘持仓配置!$Z$4)^(('实盘净值数据(iFinD公式)'!$A12-'实盘净值数据(iFinD公式)'!$A$6)/365))</f>
        <v/>
      </c>
      <c r="C12" s="52">
        <f>IF(OR(B11="",'实盘净值数据(iFinD公式)'!$A12="",'实盘净值数据(iFinD公式)'!$B12=""),"",(SUMPRODUCT(实盘持仓配置!$B$4:$X$4,'实盘净值数据(iFinD公式)'!$B11:$X11/'实盘净值数据(iFinD公式)'!$B$6:$X$6,'实盘净值数据(iFinD公式)'!$B12:$X12/'实盘净值数据(iFinD公式)'!$B11:$X11)/SUMPRODUCT(实盘持仓配置!$B$4:$X$4,'实盘净值数据(iFinD公式)'!$B11:$X11/'实盘净值数据(iFinD公式)'!$B$6:$X$6))*(1-实盘持仓配置!$Z$4)^(('实盘净值数据(iFinD公式)'!$A12-'实盘净值数据(iFinD公式)'!$A11)/365)-1)</f>
        <v/>
      </c>
      <c r="D12" s="52">
        <f>IF(B12="","",B12/MAX(B$5:B12)-1)</f>
        <v/>
      </c>
      <c r="E12" s="180">
        <f>IF(OR((ROW()-1)&lt;5,'实盘净值数据(iFinD公式)'!$A12="",'实盘净值数据(iFinD公式)'!$B12=""),"",SUMPRODUCT(实盘持仓配置!$B$5:$X$5,'实盘净值数据(iFinD公式)'!$B12:$X12/'实盘净值数据(iFinD公式)'!$B$5:$X$5)*(1-实盘持仓配置!$Z$5)^(('实盘净值数据(iFinD公式)'!$A12-'实盘净值数据(iFinD公式)'!$A$5)/365))</f>
        <v/>
      </c>
      <c r="F12" s="52">
        <f>IF(OR(E11="",'实盘净值数据(iFinD公式)'!$A12="",'实盘净值数据(iFinD公式)'!$B12=""),"",(SUMPRODUCT(实盘持仓配置!$B$5:$X$5,'实盘净值数据(iFinD公式)'!$B11:$X11/'实盘净值数据(iFinD公式)'!$B$5:$X$5,'实盘净值数据(iFinD公式)'!$B12:$X12/'实盘净值数据(iFinD公式)'!$B11:$X11)/SUMPRODUCT(实盘持仓配置!$B$5:$X$5,'实盘净值数据(iFinD公式)'!$B11:$X11/'实盘净值数据(iFinD公式)'!$B$5:$X$5))*(1-实盘持仓配置!$Z$5)^(('实盘净值数据(iFinD公式)'!$A12-'实盘净值数据(iFinD公式)'!$A11)/365)-1)</f>
        <v/>
      </c>
      <c r="G12" s="52">
        <f>IF(E12="","",E12/MAX(E$5:E12)-1)</f>
        <v/>
      </c>
      <c r="H12" s="180">
        <f>IF(OR((ROW()-1)&lt;7,'实盘净值数据(iFinD公式)'!$A12="",'实盘净值数据(iFinD公式)'!$B12=""),"",SUMPRODUCT(实盘持仓配置!$B$6:$X$6,'实盘净值数据(iFinD公式)'!$B12:$X12/'实盘净值数据(iFinD公式)'!$B$7:$X$7)*(1-实盘持仓配置!$Z$6)^(('实盘净值数据(iFinD公式)'!$A12-'实盘净值数据(iFinD公式)'!$A$7)/365))</f>
        <v/>
      </c>
      <c r="I12" s="52">
        <f>IF(OR(H11="",'实盘净值数据(iFinD公式)'!$A12="",'实盘净值数据(iFinD公式)'!$B12=""),"",(SUMPRODUCT(实盘持仓配置!$B$6:$X$6,'实盘净值数据(iFinD公式)'!$B11:$X11/'实盘净值数据(iFinD公式)'!$B$7:$X$7,'实盘净值数据(iFinD公式)'!$B12:$X12/'实盘净值数据(iFinD公式)'!$B11:$X11)/SUMPRODUCT(实盘持仓配置!$B$6:$X$6,'实盘净值数据(iFinD公式)'!$B11:$X11/'实盘净值数据(iFinD公式)'!$B$7:$X$7))*(1-实盘持仓配置!$Z$6)^(('实盘净值数据(iFinD公式)'!$A12-'实盘净值数据(iFinD公式)'!$A11)/365)-1)</f>
        <v/>
      </c>
      <c r="J12" s="52">
        <f>IF(H12="","",H12/MAX(H$5:H12)-1)</f>
        <v/>
      </c>
      <c r="K12" s="180">
        <f>IF(OR((ROW()-1)&lt;8,'实盘净值数据(iFinD公式)'!$A12="",'实盘净值数据(iFinD公式)'!$B12=""),"",SUMPRODUCT(实盘持仓配置!$B$7:$X$7,'实盘净值数据(iFinD公式)'!$B12:$X12/'实盘净值数据(iFinD公式)'!$B$8:$X$8)*(1-实盘持仓配置!$Z$7)^(('实盘净值数据(iFinD公式)'!$A12-'实盘净值数据(iFinD公式)'!$A$8)/365))</f>
        <v/>
      </c>
      <c r="L12" s="52">
        <f>IF(OR(K11="",'实盘净值数据(iFinD公式)'!$A12="",'实盘净值数据(iFinD公式)'!$B12=""),"",(SUMPRODUCT(实盘持仓配置!$B$7:$X$7,'实盘净值数据(iFinD公式)'!$B11:$X11/'实盘净值数据(iFinD公式)'!$B$8:$X$8,'实盘净值数据(iFinD公式)'!$B12:$X12/'实盘净值数据(iFinD公式)'!$B11:$X11)/SUMPRODUCT(实盘持仓配置!$B$7:$X$7,'实盘净值数据(iFinD公式)'!$B11:$X11/'实盘净值数据(iFinD公式)'!$B$8:$X$8))*(1-实盘持仓配置!$Z$7)^(('实盘净值数据(iFinD公式)'!$A12-'实盘净值数据(iFinD公式)'!$A11)/365)-1)</f>
        <v/>
      </c>
      <c r="M12" s="52">
        <f>IF(K12="","",K12/MAX(K$5:K12)-1)</f>
        <v/>
      </c>
      <c r="N12" s="180">
        <f>IF(OR((ROW()-1)&lt;5,'实盘净值数据(iFinD公式)'!$A12="",'实盘净值数据(iFinD公式)'!$B12=""),"",SUMPRODUCT(实盘持仓配置!$B$8:$X$8,'实盘净值数据(iFinD公式)'!$B12:$X12/'实盘净值数据(iFinD公式)'!$B$5:$X$5)*(1-实盘持仓配置!$Z$8)^(('实盘净值数据(iFinD公式)'!$A12-'实盘净值数据(iFinD公式)'!$A$5)/365))</f>
        <v/>
      </c>
      <c r="O12" s="52">
        <f>IF(OR(N11="",'实盘净值数据(iFinD公式)'!$A12="",'实盘净值数据(iFinD公式)'!$B12=""),"",(SUMPRODUCT(实盘持仓配置!$B$8:$X$8,'实盘净值数据(iFinD公式)'!$B11:$X11/'实盘净值数据(iFinD公式)'!$B$5:$X$5,'实盘净值数据(iFinD公式)'!$B12:$X12/'实盘净值数据(iFinD公式)'!$B11:$X11)/SUMPRODUCT(实盘持仓配置!$B$8:$X$8,'实盘净值数据(iFinD公式)'!$B11:$X11/'实盘净值数据(iFinD公式)'!$B$5:$X$5))*(1-实盘持仓配置!$Z$8)^(('实盘净值数据(iFinD公式)'!$A12-'实盘净值数据(iFinD公式)'!$A11)/365)-1)</f>
        <v/>
      </c>
      <c r="P12" s="52">
        <f>IF(N12="","",N12/MAX(N$5:N12)-1)</f>
        <v/>
      </c>
      <c r="Q12" s="180">
        <f>IF(OR((ROW()-1)&lt;8,'实盘净值数据(iFinD公式)'!$A12="",'实盘净值数据(iFinD公式)'!$B12=""),"",SUMPRODUCT(实盘持仓配置!$B$9:$X$9,'实盘净值数据(iFinD公式)'!$B12:$X12/'实盘净值数据(iFinD公式)'!$B$8:$X$8)*(1-实盘持仓配置!$Z$9)^(('实盘净值数据(iFinD公式)'!$A12-'实盘净值数据(iFinD公式)'!$A$8)/365))</f>
        <v/>
      </c>
      <c r="R12" s="52">
        <f>IF(OR(Q11="",'实盘净值数据(iFinD公式)'!$A12="",'实盘净值数据(iFinD公式)'!$B12=""),"",(SUMPRODUCT(实盘持仓配置!$B$9:$X$9,'实盘净值数据(iFinD公式)'!$B11:$X11/'实盘净值数据(iFinD公式)'!$B$8:$X$8,'实盘净值数据(iFinD公式)'!$B12:$X12/'实盘净值数据(iFinD公式)'!$B11:$X11)/SUMPRODUCT(实盘持仓配置!$B$9:$X$9,'实盘净值数据(iFinD公式)'!$B11:$X11/'实盘净值数据(iFinD公式)'!$B$8:$X$8))*(1-实盘持仓配置!$Z$9)^(('实盘净值数据(iFinD公式)'!$A12-'实盘净值数据(iFinD公式)'!$A11)/365)-1)</f>
        <v/>
      </c>
      <c r="S12" s="52">
        <f>IF(Q12="","",Q12/MAX(Q$5:Q12)-1)</f>
        <v/>
      </c>
    </row>
    <row r="13">
      <c r="A13" s="181">
        <f>IF('实盘净值数据(iFinD公式)'!A13="","",'实盘净值数据(iFinD公式)'!A13)</f>
        <v/>
      </c>
      <c r="B13" s="180">
        <f>IF(OR((ROW()-1)&lt;6,'实盘净值数据(iFinD公式)'!$A13="",'实盘净值数据(iFinD公式)'!$B13=""),"",SUMPRODUCT(实盘持仓配置!$B$4:$X$4,'实盘净值数据(iFinD公式)'!$B13:$X13/'实盘净值数据(iFinD公式)'!$B$6:$X$6)*(1-实盘持仓配置!$Z$4)^(('实盘净值数据(iFinD公式)'!$A13-'实盘净值数据(iFinD公式)'!$A$6)/365))</f>
        <v/>
      </c>
      <c r="C13" s="52">
        <f>IF(OR(B12="",'实盘净值数据(iFinD公式)'!$A13="",'实盘净值数据(iFinD公式)'!$B13=""),"",(SUMPRODUCT(实盘持仓配置!$B$4:$X$4,'实盘净值数据(iFinD公式)'!$B12:$X12/'实盘净值数据(iFinD公式)'!$B$6:$X$6,'实盘净值数据(iFinD公式)'!$B13:$X13/'实盘净值数据(iFinD公式)'!$B12:$X12)/SUMPRODUCT(实盘持仓配置!$B$4:$X$4,'实盘净值数据(iFinD公式)'!$B12:$X12/'实盘净值数据(iFinD公式)'!$B$6:$X$6))*(1-实盘持仓配置!$Z$4)^(('实盘净值数据(iFinD公式)'!$A13-'实盘净值数据(iFinD公式)'!$A12)/365)-1)</f>
        <v/>
      </c>
      <c r="D13" s="52">
        <f>IF(B13="","",B13/MAX(B$5:B13)-1)</f>
        <v/>
      </c>
      <c r="E13" s="180">
        <f>IF(OR((ROW()-1)&lt;5,'实盘净值数据(iFinD公式)'!$A13="",'实盘净值数据(iFinD公式)'!$B13=""),"",SUMPRODUCT(实盘持仓配置!$B$5:$X$5,'实盘净值数据(iFinD公式)'!$B13:$X13/'实盘净值数据(iFinD公式)'!$B$5:$X$5)*(1-实盘持仓配置!$Z$5)^(('实盘净值数据(iFinD公式)'!$A13-'实盘净值数据(iFinD公式)'!$A$5)/365))</f>
        <v/>
      </c>
      <c r="F13" s="52">
        <f>IF(OR(E12="",'实盘净值数据(iFinD公式)'!$A13="",'实盘净值数据(iFinD公式)'!$B13=""),"",(SUMPRODUCT(实盘持仓配置!$B$5:$X$5,'实盘净值数据(iFinD公式)'!$B12:$X12/'实盘净值数据(iFinD公式)'!$B$5:$X$5,'实盘净值数据(iFinD公式)'!$B13:$X13/'实盘净值数据(iFinD公式)'!$B12:$X12)/SUMPRODUCT(实盘持仓配置!$B$5:$X$5,'实盘净值数据(iFinD公式)'!$B12:$X12/'实盘净值数据(iFinD公式)'!$B$5:$X$5))*(1-实盘持仓配置!$Z$5)^(('实盘净值数据(iFinD公式)'!$A13-'实盘净值数据(iFinD公式)'!$A12)/365)-1)</f>
        <v/>
      </c>
      <c r="G13" s="52">
        <f>IF(E13="","",E13/MAX(E$5:E13)-1)</f>
        <v/>
      </c>
      <c r="H13" s="180">
        <f>IF(OR((ROW()-1)&lt;7,'实盘净值数据(iFinD公式)'!$A13="",'实盘净值数据(iFinD公式)'!$B13=""),"",SUMPRODUCT(实盘持仓配置!$B$6:$X$6,'实盘净值数据(iFinD公式)'!$B13:$X13/'实盘净值数据(iFinD公式)'!$B$7:$X$7)*(1-实盘持仓配置!$Z$6)^(('实盘净值数据(iFinD公式)'!$A13-'实盘净值数据(iFinD公式)'!$A$7)/365))</f>
        <v/>
      </c>
      <c r="I13" s="52">
        <f>IF(OR(H12="",'实盘净值数据(iFinD公式)'!$A13="",'实盘净值数据(iFinD公式)'!$B13=""),"",(SUMPRODUCT(实盘持仓配置!$B$6:$X$6,'实盘净值数据(iFinD公式)'!$B12:$X12/'实盘净值数据(iFinD公式)'!$B$7:$X$7,'实盘净值数据(iFinD公式)'!$B13:$X13/'实盘净值数据(iFinD公式)'!$B12:$X12)/SUMPRODUCT(实盘持仓配置!$B$6:$X$6,'实盘净值数据(iFinD公式)'!$B12:$X12/'实盘净值数据(iFinD公式)'!$B$7:$X$7))*(1-实盘持仓配置!$Z$6)^(('实盘净值数据(iFinD公式)'!$A13-'实盘净值数据(iFinD公式)'!$A12)/365)-1)</f>
        <v/>
      </c>
      <c r="J13" s="52">
        <f>IF(H13="","",H13/MAX(H$5:H13)-1)</f>
        <v/>
      </c>
      <c r="K13" s="180">
        <f>IF(OR((ROW()-1)&lt;8,'实盘净值数据(iFinD公式)'!$A13="",'实盘净值数据(iFinD公式)'!$B13=""),"",SUMPRODUCT(实盘持仓配置!$B$7:$X$7,'实盘净值数据(iFinD公式)'!$B13:$X13/'实盘净值数据(iFinD公式)'!$B$8:$X$8)*(1-实盘持仓配置!$Z$7)^(('实盘净值数据(iFinD公式)'!$A13-'实盘净值数据(iFinD公式)'!$A$8)/365))</f>
        <v/>
      </c>
      <c r="L13" s="52">
        <f>IF(OR(K12="",'实盘净值数据(iFinD公式)'!$A13="",'实盘净值数据(iFinD公式)'!$B13=""),"",(SUMPRODUCT(实盘持仓配置!$B$7:$X$7,'实盘净值数据(iFinD公式)'!$B12:$X12/'实盘净值数据(iFinD公式)'!$B$8:$X$8,'实盘净值数据(iFinD公式)'!$B13:$X13/'实盘净值数据(iFinD公式)'!$B12:$X12)/SUMPRODUCT(实盘持仓配置!$B$7:$X$7,'实盘净值数据(iFinD公式)'!$B12:$X12/'实盘净值数据(iFinD公式)'!$B$8:$X$8))*(1-实盘持仓配置!$Z$7)^(('实盘净值数据(iFinD公式)'!$A13-'实盘净值数据(iFinD公式)'!$A12)/365)-1)</f>
        <v/>
      </c>
      <c r="M13" s="52">
        <f>IF(K13="","",K13/MAX(K$5:K13)-1)</f>
        <v/>
      </c>
      <c r="N13" s="180">
        <f>IF(OR((ROW()-1)&lt;5,'实盘净值数据(iFinD公式)'!$A13="",'实盘净值数据(iFinD公式)'!$B13=""),"",SUMPRODUCT(实盘持仓配置!$B$8:$X$8,'实盘净值数据(iFinD公式)'!$B13:$X13/'实盘净值数据(iFinD公式)'!$B$5:$X$5)*(1-实盘持仓配置!$Z$8)^(('实盘净值数据(iFinD公式)'!$A13-'实盘净值数据(iFinD公式)'!$A$5)/365))</f>
        <v/>
      </c>
      <c r="O13" s="52">
        <f>IF(OR(N12="",'实盘净值数据(iFinD公式)'!$A13="",'实盘净值数据(iFinD公式)'!$B13=""),"",(SUMPRODUCT(实盘持仓配置!$B$8:$X$8,'实盘净值数据(iFinD公式)'!$B12:$X12/'实盘净值数据(iFinD公式)'!$B$5:$X$5,'实盘净值数据(iFinD公式)'!$B13:$X13/'实盘净值数据(iFinD公式)'!$B12:$X12)/SUMPRODUCT(实盘持仓配置!$B$8:$X$8,'实盘净值数据(iFinD公式)'!$B12:$X12/'实盘净值数据(iFinD公式)'!$B$5:$X$5))*(1-实盘持仓配置!$Z$8)^(('实盘净值数据(iFinD公式)'!$A13-'实盘净值数据(iFinD公式)'!$A12)/365)-1)</f>
        <v/>
      </c>
      <c r="P13" s="52">
        <f>IF(N13="","",N13/MAX(N$5:N13)-1)</f>
        <v/>
      </c>
      <c r="Q13" s="180">
        <f>IF(OR((ROW()-1)&lt;8,'实盘净值数据(iFinD公式)'!$A13="",'实盘净值数据(iFinD公式)'!$B13=""),"",SUMPRODUCT(实盘持仓配置!$B$9:$X$9,'实盘净值数据(iFinD公式)'!$B13:$X13/'实盘净值数据(iFinD公式)'!$B$8:$X$8)*(1-实盘持仓配置!$Z$9)^(('实盘净值数据(iFinD公式)'!$A13-'实盘净值数据(iFinD公式)'!$A$8)/365))</f>
        <v/>
      </c>
      <c r="R13" s="52">
        <f>IF(OR(Q12="",'实盘净值数据(iFinD公式)'!$A13="",'实盘净值数据(iFinD公式)'!$B13=""),"",(SUMPRODUCT(实盘持仓配置!$B$9:$X$9,'实盘净值数据(iFinD公式)'!$B12:$X12/'实盘净值数据(iFinD公式)'!$B$8:$X$8,'实盘净值数据(iFinD公式)'!$B13:$X13/'实盘净值数据(iFinD公式)'!$B12:$X12)/SUMPRODUCT(实盘持仓配置!$B$9:$X$9,'实盘净值数据(iFinD公式)'!$B12:$X12/'实盘净值数据(iFinD公式)'!$B$8:$X$8))*(1-实盘持仓配置!$Z$9)^(('实盘净值数据(iFinD公式)'!$A13-'实盘净值数据(iFinD公式)'!$A12)/365)-1)</f>
        <v/>
      </c>
      <c r="S13" s="52">
        <f>IF(Q13="","",Q13/MAX(Q$5:Q13)-1)</f>
        <v/>
      </c>
    </row>
    <row r="14">
      <c r="A14" s="181">
        <f>IF('实盘净值数据(iFinD公式)'!A14="","",'实盘净值数据(iFinD公式)'!A14)</f>
        <v/>
      </c>
      <c r="B14" s="180">
        <f>IF(OR((ROW()-1)&lt;6,'实盘净值数据(iFinD公式)'!$A14="",'实盘净值数据(iFinD公式)'!$B14=""),"",SUMPRODUCT(实盘持仓配置!$B$4:$X$4,'实盘净值数据(iFinD公式)'!$B14:$X14/'实盘净值数据(iFinD公式)'!$B$6:$X$6)*(1-实盘持仓配置!$Z$4)^(('实盘净值数据(iFinD公式)'!$A14-'实盘净值数据(iFinD公式)'!$A$6)/365))</f>
        <v/>
      </c>
      <c r="C14" s="52">
        <f>IF(OR(B13="",'实盘净值数据(iFinD公式)'!$A14="",'实盘净值数据(iFinD公式)'!$B14=""),"",(SUMPRODUCT(实盘持仓配置!$B$4:$X$4,'实盘净值数据(iFinD公式)'!$B13:$X13/'实盘净值数据(iFinD公式)'!$B$6:$X$6,'实盘净值数据(iFinD公式)'!$B14:$X14/'实盘净值数据(iFinD公式)'!$B13:$X13)/SUMPRODUCT(实盘持仓配置!$B$4:$X$4,'实盘净值数据(iFinD公式)'!$B13:$X13/'实盘净值数据(iFinD公式)'!$B$6:$X$6))*(1-实盘持仓配置!$Z$4)^(('实盘净值数据(iFinD公式)'!$A14-'实盘净值数据(iFinD公式)'!$A13)/365)-1)</f>
        <v/>
      </c>
      <c r="D14" s="52">
        <f>IF(B14="","",B14/MAX(B$5:B14)-1)</f>
        <v/>
      </c>
      <c r="E14" s="180">
        <f>IF(OR((ROW()-1)&lt;5,'实盘净值数据(iFinD公式)'!$A14="",'实盘净值数据(iFinD公式)'!$B14=""),"",SUMPRODUCT(实盘持仓配置!$B$5:$X$5,'实盘净值数据(iFinD公式)'!$B14:$X14/'实盘净值数据(iFinD公式)'!$B$5:$X$5)*(1-实盘持仓配置!$Z$5)^(('实盘净值数据(iFinD公式)'!$A14-'实盘净值数据(iFinD公式)'!$A$5)/365))</f>
        <v/>
      </c>
      <c r="F14" s="52">
        <f>IF(OR(E13="",'实盘净值数据(iFinD公式)'!$A14="",'实盘净值数据(iFinD公式)'!$B14=""),"",(SUMPRODUCT(实盘持仓配置!$B$5:$X$5,'实盘净值数据(iFinD公式)'!$B13:$X13/'实盘净值数据(iFinD公式)'!$B$5:$X$5,'实盘净值数据(iFinD公式)'!$B14:$X14/'实盘净值数据(iFinD公式)'!$B13:$X13)/SUMPRODUCT(实盘持仓配置!$B$5:$X$5,'实盘净值数据(iFinD公式)'!$B13:$X13/'实盘净值数据(iFinD公式)'!$B$5:$X$5))*(1-实盘持仓配置!$Z$5)^(('实盘净值数据(iFinD公式)'!$A14-'实盘净值数据(iFinD公式)'!$A13)/365)-1)</f>
        <v/>
      </c>
      <c r="G14" s="52">
        <f>IF(E14="","",E14/MAX(E$5:E14)-1)</f>
        <v/>
      </c>
      <c r="H14" s="180">
        <f>IF(OR((ROW()-1)&lt;7,'实盘净值数据(iFinD公式)'!$A14="",'实盘净值数据(iFinD公式)'!$B14=""),"",SUMPRODUCT(实盘持仓配置!$B$6:$X$6,'实盘净值数据(iFinD公式)'!$B14:$X14/'实盘净值数据(iFinD公式)'!$B$7:$X$7)*(1-实盘持仓配置!$Z$6)^(('实盘净值数据(iFinD公式)'!$A14-'实盘净值数据(iFinD公式)'!$A$7)/365))</f>
        <v/>
      </c>
      <c r="I14" s="52">
        <f>IF(OR(H13="",'实盘净值数据(iFinD公式)'!$A14="",'实盘净值数据(iFinD公式)'!$B14=""),"",(SUMPRODUCT(实盘持仓配置!$B$6:$X$6,'实盘净值数据(iFinD公式)'!$B13:$X13/'实盘净值数据(iFinD公式)'!$B$7:$X$7,'实盘净值数据(iFinD公式)'!$B14:$X14/'实盘净值数据(iFinD公式)'!$B13:$X13)/SUMPRODUCT(实盘持仓配置!$B$6:$X$6,'实盘净值数据(iFinD公式)'!$B13:$X13/'实盘净值数据(iFinD公式)'!$B$7:$X$7))*(1-实盘持仓配置!$Z$6)^(('实盘净值数据(iFinD公式)'!$A14-'实盘净值数据(iFinD公式)'!$A13)/365)-1)</f>
        <v/>
      </c>
      <c r="J14" s="52">
        <f>IF(H14="","",H14/MAX(H$5:H14)-1)</f>
        <v/>
      </c>
      <c r="K14" s="180">
        <f>IF(OR((ROW()-1)&lt;8,'实盘净值数据(iFinD公式)'!$A14="",'实盘净值数据(iFinD公式)'!$B14=""),"",SUMPRODUCT(实盘持仓配置!$B$7:$X$7,'实盘净值数据(iFinD公式)'!$B14:$X14/'实盘净值数据(iFinD公式)'!$B$8:$X$8)*(1-实盘持仓配置!$Z$7)^(('实盘净值数据(iFinD公式)'!$A14-'实盘净值数据(iFinD公式)'!$A$8)/365))</f>
        <v/>
      </c>
      <c r="L14" s="52">
        <f>IF(OR(K13="",'实盘净值数据(iFinD公式)'!$A14="",'实盘净值数据(iFinD公式)'!$B14=""),"",(SUMPRODUCT(实盘持仓配置!$B$7:$X$7,'实盘净值数据(iFinD公式)'!$B13:$X13/'实盘净值数据(iFinD公式)'!$B$8:$X$8,'实盘净值数据(iFinD公式)'!$B14:$X14/'实盘净值数据(iFinD公式)'!$B13:$X13)/SUMPRODUCT(实盘持仓配置!$B$7:$X$7,'实盘净值数据(iFinD公式)'!$B13:$X13/'实盘净值数据(iFinD公式)'!$B$8:$X$8))*(1-实盘持仓配置!$Z$7)^(('实盘净值数据(iFinD公式)'!$A14-'实盘净值数据(iFinD公式)'!$A13)/365)-1)</f>
        <v/>
      </c>
      <c r="M14" s="52">
        <f>IF(K14="","",K14/MAX(K$5:K14)-1)</f>
        <v/>
      </c>
      <c r="N14" s="180">
        <f>IF(OR((ROW()-1)&lt;5,'实盘净值数据(iFinD公式)'!$A14="",'实盘净值数据(iFinD公式)'!$B14=""),"",SUMPRODUCT(实盘持仓配置!$B$8:$X$8,'实盘净值数据(iFinD公式)'!$B14:$X14/'实盘净值数据(iFinD公式)'!$B$5:$X$5)*(1-实盘持仓配置!$Z$8)^(('实盘净值数据(iFinD公式)'!$A14-'实盘净值数据(iFinD公式)'!$A$5)/365))</f>
        <v/>
      </c>
      <c r="O14" s="52">
        <f>IF(OR(N13="",'实盘净值数据(iFinD公式)'!$A14="",'实盘净值数据(iFinD公式)'!$B14=""),"",(SUMPRODUCT(实盘持仓配置!$B$8:$X$8,'实盘净值数据(iFinD公式)'!$B13:$X13/'实盘净值数据(iFinD公式)'!$B$5:$X$5,'实盘净值数据(iFinD公式)'!$B14:$X14/'实盘净值数据(iFinD公式)'!$B13:$X13)/SUMPRODUCT(实盘持仓配置!$B$8:$X$8,'实盘净值数据(iFinD公式)'!$B13:$X13/'实盘净值数据(iFinD公式)'!$B$5:$X$5))*(1-实盘持仓配置!$Z$8)^(('实盘净值数据(iFinD公式)'!$A14-'实盘净值数据(iFinD公式)'!$A13)/365)-1)</f>
        <v/>
      </c>
      <c r="P14" s="52">
        <f>IF(N14="","",N14/MAX(N$5:N14)-1)</f>
        <v/>
      </c>
      <c r="Q14" s="180">
        <f>IF(OR((ROW()-1)&lt;8,'实盘净值数据(iFinD公式)'!$A14="",'实盘净值数据(iFinD公式)'!$B14=""),"",SUMPRODUCT(实盘持仓配置!$B$9:$X$9,'实盘净值数据(iFinD公式)'!$B14:$X14/'实盘净值数据(iFinD公式)'!$B$8:$X$8)*(1-实盘持仓配置!$Z$9)^(('实盘净值数据(iFinD公式)'!$A14-'实盘净值数据(iFinD公式)'!$A$8)/365))</f>
        <v/>
      </c>
      <c r="R14" s="52">
        <f>IF(OR(Q13="",'实盘净值数据(iFinD公式)'!$A14="",'实盘净值数据(iFinD公式)'!$B14=""),"",(SUMPRODUCT(实盘持仓配置!$B$9:$X$9,'实盘净值数据(iFinD公式)'!$B13:$X13/'实盘净值数据(iFinD公式)'!$B$8:$X$8,'实盘净值数据(iFinD公式)'!$B14:$X14/'实盘净值数据(iFinD公式)'!$B13:$X13)/SUMPRODUCT(实盘持仓配置!$B$9:$X$9,'实盘净值数据(iFinD公式)'!$B13:$X13/'实盘净值数据(iFinD公式)'!$B$8:$X$8))*(1-实盘持仓配置!$Z$9)^(('实盘净值数据(iFinD公式)'!$A14-'实盘净值数据(iFinD公式)'!$A13)/365)-1)</f>
        <v/>
      </c>
      <c r="S14" s="52">
        <f>IF(Q14="","",Q14/MAX(Q$5:Q14)-1)</f>
        <v/>
      </c>
    </row>
    <row r="15">
      <c r="A15" s="181">
        <f>IF('实盘净值数据(iFinD公式)'!A15="","",'实盘净值数据(iFinD公式)'!A15)</f>
        <v/>
      </c>
      <c r="B15" s="180">
        <f>IF(OR((ROW()-1)&lt;6,'实盘净值数据(iFinD公式)'!$A15="",'实盘净值数据(iFinD公式)'!$B15=""),"",SUMPRODUCT(实盘持仓配置!$B$4:$X$4,'实盘净值数据(iFinD公式)'!$B15:$X15/'实盘净值数据(iFinD公式)'!$B$6:$X$6)*(1-实盘持仓配置!$Z$4)^(('实盘净值数据(iFinD公式)'!$A15-'实盘净值数据(iFinD公式)'!$A$6)/365))</f>
        <v/>
      </c>
      <c r="C15" s="52">
        <f>IF(OR(B14="",'实盘净值数据(iFinD公式)'!$A15="",'实盘净值数据(iFinD公式)'!$B15=""),"",(SUMPRODUCT(实盘持仓配置!$B$4:$X$4,'实盘净值数据(iFinD公式)'!$B14:$X14/'实盘净值数据(iFinD公式)'!$B$6:$X$6,'实盘净值数据(iFinD公式)'!$B15:$X15/'实盘净值数据(iFinD公式)'!$B14:$X14)/SUMPRODUCT(实盘持仓配置!$B$4:$X$4,'实盘净值数据(iFinD公式)'!$B14:$X14/'实盘净值数据(iFinD公式)'!$B$6:$X$6))*(1-实盘持仓配置!$Z$4)^(('实盘净值数据(iFinD公式)'!$A15-'实盘净值数据(iFinD公式)'!$A14)/365)-1)</f>
        <v/>
      </c>
      <c r="D15" s="52">
        <f>IF(B15="","",B15/MAX(B$5:B15)-1)</f>
        <v/>
      </c>
      <c r="E15" s="180">
        <f>IF(OR((ROW()-1)&lt;5,'实盘净值数据(iFinD公式)'!$A15="",'实盘净值数据(iFinD公式)'!$B15=""),"",SUMPRODUCT(实盘持仓配置!$B$5:$X$5,'实盘净值数据(iFinD公式)'!$B15:$X15/'实盘净值数据(iFinD公式)'!$B$5:$X$5)*(1-实盘持仓配置!$Z$5)^(('实盘净值数据(iFinD公式)'!$A15-'实盘净值数据(iFinD公式)'!$A$5)/365))</f>
        <v/>
      </c>
      <c r="F15" s="52">
        <f>IF(OR(E14="",'实盘净值数据(iFinD公式)'!$A15="",'实盘净值数据(iFinD公式)'!$B15=""),"",(SUMPRODUCT(实盘持仓配置!$B$5:$X$5,'实盘净值数据(iFinD公式)'!$B14:$X14/'实盘净值数据(iFinD公式)'!$B$5:$X$5,'实盘净值数据(iFinD公式)'!$B15:$X15/'实盘净值数据(iFinD公式)'!$B14:$X14)/SUMPRODUCT(实盘持仓配置!$B$5:$X$5,'实盘净值数据(iFinD公式)'!$B14:$X14/'实盘净值数据(iFinD公式)'!$B$5:$X$5))*(1-实盘持仓配置!$Z$5)^(('实盘净值数据(iFinD公式)'!$A15-'实盘净值数据(iFinD公式)'!$A14)/365)-1)</f>
        <v/>
      </c>
      <c r="G15" s="52">
        <f>IF(E15="","",E15/MAX(E$5:E15)-1)</f>
        <v/>
      </c>
      <c r="H15" s="180">
        <f>IF(OR((ROW()-1)&lt;7,'实盘净值数据(iFinD公式)'!$A15="",'实盘净值数据(iFinD公式)'!$B15=""),"",SUMPRODUCT(实盘持仓配置!$B$6:$X$6,'实盘净值数据(iFinD公式)'!$B15:$X15/'实盘净值数据(iFinD公式)'!$B$7:$X$7)*(1-实盘持仓配置!$Z$6)^(('实盘净值数据(iFinD公式)'!$A15-'实盘净值数据(iFinD公式)'!$A$7)/365))</f>
        <v/>
      </c>
      <c r="I15" s="52">
        <f>IF(OR(H14="",'实盘净值数据(iFinD公式)'!$A15="",'实盘净值数据(iFinD公式)'!$B15=""),"",(SUMPRODUCT(实盘持仓配置!$B$6:$X$6,'实盘净值数据(iFinD公式)'!$B14:$X14/'实盘净值数据(iFinD公式)'!$B$7:$X$7,'实盘净值数据(iFinD公式)'!$B15:$X15/'实盘净值数据(iFinD公式)'!$B14:$X14)/SUMPRODUCT(实盘持仓配置!$B$6:$X$6,'实盘净值数据(iFinD公式)'!$B14:$X14/'实盘净值数据(iFinD公式)'!$B$7:$X$7))*(1-实盘持仓配置!$Z$6)^(('实盘净值数据(iFinD公式)'!$A15-'实盘净值数据(iFinD公式)'!$A14)/365)-1)</f>
        <v/>
      </c>
      <c r="J15" s="52">
        <f>IF(H15="","",H15/MAX(H$5:H15)-1)</f>
        <v/>
      </c>
      <c r="K15" s="180">
        <f>IF(OR((ROW()-1)&lt;8,'实盘净值数据(iFinD公式)'!$A15="",'实盘净值数据(iFinD公式)'!$B15=""),"",SUMPRODUCT(实盘持仓配置!$B$7:$X$7,'实盘净值数据(iFinD公式)'!$B15:$X15/'实盘净值数据(iFinD公式)'!$B$8:$X$8)*(1-实盘持仓配置!$Z$7)^(('实盘净值数据(iFinD公式)'!$A15-'实盘净值数据(iFinD公式)'!$A$8)/365))</f>
        <v/>
      </c>
      <c r="L15" s="52">
        <f>IF(OR(K14="",'实盘净值数据(iFinD公式)'!$A15="",'实盘净值数据(iFinD公式)'!$B15=""),"",(SUMPRODUCT(实盘持仓配置!$B$7:$X$7,'实盘净值数据(iFinD公式)'!$B14:$X14/'实盘净值数据(iFinD公式)'!$B$8:$X$8,'实盘净值数据(iFinD公式)'!$B15:$X15/'实盘净值数据(iFinD公式)'!$B14:$X14)/SUMPRODUCT(实盘持仓配置!$B$7:$X$7,'实盘净值数据(iFinD公式)'!$B14:$X14/'实盘净值数据(iFinD公式)'!$B$8:$X$8))*(1-实盘持仓配置!$Z$7)^(('实盘净值数据(iFinD公式)'!$A15-'实盘净值数据(iFinD公式)'!$A14)/365)-1)</f>
        <v/>
      </c>
      <c r="M15" s="52">
        <f>IF(K15="","",K15/MAX(K$5:K15)-1)</f>
        <v/>
      </c>
      <c r="N15" s="180">
        <f>IF(OR((ROW()-1)&lt;5,'实盘净值数据(iFinD公式)'!$A15="",'实盘净值数据(iFinD公式)'!$B15=""),"",SUMPRODUCT(实盘持仓配置!$B$8:$X$8,'实盘净值数据(iFinD公式)'!$B15:$X15/'实盘净值数据(iFinD公式)'!$B$5:$X$5)*(1-实盘持仓配置!$Z$8)^(('实盘净值数据(iFinD公式)'!$A15-'实盘净值数据(iFinD公式)'!$A$5)/365))</f>
        <v/>
      </c>
      <c r="O15" s="52">
        <f>IF(OR(N14="",'实盘净值数据(iFinD公式)'!$A15="",'实盘净值数据(iFinD公式)'!$B15=""),"",(SUMPRODUCT(实盘持仓配置!$B$8:$X$8,'实盘净值数据(iFinD公式)'!$B14:$X14/'实盘净值数据(iFinD公式)'!$B$5:$X$5,'实盘净值数据(iFinD公式)'!$B15:$X15/'实盘净值数据(iFinD公式)'!$B14:$X14)/SUMPRODUCT(实盘持仓配置!$B$8:$X$8,'实盘净值数据(iFinD公式)'!$B14:$X14/'实盘净值数据(iFinD公式)'!$B$5:$X$5))*(1-实盘持仓配置!$Z$8)^(('实盘净值数据(iFinD公式)'!$A15-'实盘净值数据(iFinD公式)'!$A14)/365)-1)</f>
        <v/>
      </c>
      <c r="P15" s="52">
        <f>IF(N15="","",N15/MAX(N$5:N15)-1)</f>
        <v/>
      </c>
      <c r="Q15" s="180">
        <f>IF(OR((ROW()-1)&lt;8,'实盘净值数据(iFinD公式)'!$A15="",'实盘净值数据(iFinD公式)'!$B15=""),"",SUMPRODUCT(实盘持仓配置!$B$9:$X$9,'实盘净值数据(iFinD公式)'!$B15:$X15/'实盘净值数据(iFinD公式)'!$B$8:$X$8)*(1-实盘持仓配置!$Z$9)^(('实盘净值数据(iFinD公式)'!$A15-'实盘净值数据(iFinD公式)'!$A$8)/365))</f>
        <v/>
      </c>
      <c r="R15" s="52">
        <f>IF(OR(Q14="",'实盘净值数据(iFinD公式)'!$A15="",'实盘净值数据(iFinD公式)'!$B15=""),"",(SUMPRODUCT(实盘持仓配置!$B$9:$X$9,'实盘净值数据(iFinD公式)'!$B14:$X14/'实盘净值数据(iFinD公式)'!$B$8:$X$8,'实盘净值数据(iFinD公式)'!$B15:$X15/'实盘净值数据(iFinD公式)'!$B14:$X14)/SUMPRODUCT(实盘持仓配置!$B$9:$X$9,'实盘净值数据(iFinD公式)'!$B14:$X14/'实盘净值数据(iFinD公式)'!$B$8:$X$8))*(1-实盘持仓配置!$Z$9)^(('实盘净值数据(iFinD公式)'!$A15-'实盘净值数据(iFinD公式)'!$A14)/365)-1)</f>
        <v/>
      </c>
      <c r="S15" s="52">
        <f>IF(Q15="","",Q15/MAX(Q$5:Q15)-1)</f>
        <v/>
      </c>
    </row>
    <row r="16">
      <c r="A16" s="181">
        <f>IF('实盘净值数据(iFinD公式)'!A16="","",'实盘净值数据(iFinD公式)'!A16)</f>
        <v/>
      </c>
      <c r="B16" s="180">
        <f>IF(OR((ROW()-1)&lt;6,'实盘净值数据(iFinD公式)'!$A16="",'实盘净值数据(iFinD公式)'!$B16=""),"",SUMPRODUCT(实盘持仓配置!$B$4:$X$4,'实盘净值数据(iFinD公式)'!$B16:$X16/'实盘净值数据(iFinD公式)'!$B$6:$X$6)*(1-实盘持仓配置!$Z$4)^(('实盘净值数据(iFinD公式)'!$A16-'实盘净值数据(iFinD公式)'!$A$6)/365))</f>
        <v/>
      </c>
      <c r="C16" s="52">
        <f>IF(OR(B15="",'实盘净值数据(iFinD公式)'!$A16="",'实盘净值数据(iFinD公式)'!$B16=""),"",(SUMPRODUCT(实盘持仓配置!$B$4:$X$4,'实盘净值数据(iFinD公式)'!$B15:$X15/'实盘净值数据(iFinD公式)'!$B$6:$X$6,'实盘净值数据(iFinD公式)'!$B16:$X16/'实盘净值数据(iFinD公式)'!$B15:$X15)/SUMPRODUCT(实盘持仓配置!$B$4:$X$4,'实盘净值数据(iFinD公式)'!$B15:$X15/'实盘净值数据(iFinD公式)'!$B$6:$X$6))*(1-实盘持仓配置!$Z$4)^(('实盘净值数据(iFinD公式)'!$A16-'实盘净值数据(iFinD公式)'!$A15)/365)-1)</f>
        <v/>
      </c>
      <c r="D16" s="52">
        <f>IF(B16="","",B16/MAX(B$5:B16)-1)</f>
        <v/>
      </c>
      <c r="E16" s="180">
        <f>IF(OR((ROW()-1)&lt;5,'实盘净值数据(iFinD公式)'!$A16="",'实盘净值数据(iFinD公式)'!$B16=""),"",SUMPRODUCT(实盘持仓配置!$B$5:$X$5,'实盘净值数据(iFinD公式)'!$B16:$X16/'实盘净值数据(iFinD公式)'!$B$5:$X$5)*(1-实盘持仓配置!$Z$5)^(('实盘净值数据(iFinD公式)'!$A16-'实盘净值数据(iFinD公式)'!$A$5)/365))</f>
        <v/>
      </c>
      <c r="F16" s="52">
        <f>IF(OR(E15="",'实盘净值数据(iFinD公式)'!$A16="",'实盘净值数据(iFinD公式)'!$B16=""),"",(SUMPRODUCT(实盘持仓配置!$B$5:$X$5,'实盘净值数据(iFinD公式)'!$B15:$X15/'实盘净值数据(iFinD公式)'!$B$5:$X$5,'实盘净值数据(iFinD公式)'!$B16:$X16/'实盘净值数据(iFinD公式)'!$B15:$X15)/SUMPRODUCT(实盘持仓配置!$B$5:$X$5,'实盘净值数据(iFinD公式)'!$B15:$X15/'实盘净值数据(iFinD公式)'!$B$5:$X$5))*(1-实盘持仓配置!$Z$5)^(('实盘净值数据(iFinD公式)'!$A16-'实盘净值数据(iFinD公式)'!$A15)/365)-1)</f>
        <v/>
      </c>
      <c r="G16" s="52">
        <f>IF(E16="","",E16/MAX(E$5:E16)-1)</f>
        <v/>
      </c>
      <c r="H16" s="180">
        <f>IF(OR((ROW()-1)&lt;7,'实盘净值数据(iFinD公式)'!$A16="",'实盘净值数据(iFinD公式)'!$B16=""),"",SUMPRODUCT(实盘持仓配置!$B$6:$X$6,'实盘净值数据(iFinD公式)'!$B16:$X16/'实盘净值数据(iFinD公式)'!$B$7:$X$7)*(1-实盘持仓配置!$Z$6)^(('实盘净值数据(iFinD公式)'!$A16-'实盘净值数据(iFinD公式)'!$A$7)/365))</f>
        <v/>
      </c>
      <c r="I16" s="52">
        <f>IF(OR(H15="",'实盘净值数据(iFinD公式)'!$A16="",'实盘净值数据(iFinD公式)'!$B16=""),"",(SUMPRODUCT(实盘持仓配置!$B$6:$X$6,'实盘净值数据(iFinD公式)'!$B15:$X15/'实盘净值数据(iFinD公式)'!$B$7:$X$7,'实盘净值数据(iFinD公式)'!$B16:$X16/'实盘净值数据(iFinD公式)'!$B15:$X15)/SUMPRODUCT(实盘持仓配置!$B$6:$X$6,'实盘净值数据(iFinD公式)'!$B15:$X15/'实盘净值数据(iFinD公式)'!$B$7:$X$7))*(1-实盘持仓配置!$Z$6)^(('实盘净值数据(iFinD公式)'!$A16-'实盘净值数据(iFinD公式)'!$A15)/365)-1)</f>
        <v/>
      </c>
      <c r="J16" s="52">
        <f>IF(H16="","",H16/MAX(H$5:H16)-1)</f>
        <v/>
      </c>
      <c r="K16" s="180">
        <f>IF(OR((ROW()-1)&lt;8,'实盘净值数据(iFinD公式)'!$A16="",'实盘净值数据(iFinD公式)'!$B16=""),"",SUMPRODUCT(实盘持仓配置!$B$7:$X$7,'实盘净值数据(iFinD公式)'!$B16:$X16/'实盘净值数据(iFinD公式)'!$B$8:$X$8)*(1-实盘持仓配置!$Z$7)^(('实盘净值数据(iFinD公式)'!$A16-'实盘净值数据(iFinD公式)'!$A$8)/365))</f>
        <v/>
      </c>
      <c r="L16" s="52">
        <f>IF(OR(K15="",'实盘净值数据(iFinD公式)'!$A16="",'实盘净值数据(iFinD公式)'!$B16=""),"",(SUMPRODUCT(实盘持仓配置!$B$7:$X$7,'实盘净值数据(iFinD公式)'!$B15:$X15/'实盘净值数据(iFinD公式)'!$B$8:$X$8,'实盘净值数据(iFinD公式)'!$B16:$X16/'实盘净值数据(iFinD公式)'!$B15:$X15)/SUMPRODUCT(实盘持仓配置!$B$7:$X$7,'实盘净值数据(iFinD公式)'!$B15:$X15/'实盘净值数据(iFinD公式)'!$B$8:$X$8))*(1-实盘持仓配置!$Z$7)^(('实盘净值数据(iFinD公式)'!$A16-'实盘净值数据(iFinD公式)'!$A15)/365)-1)</f>
        <v/>
      </c>
      <c r="M16" s="52">
        <f>IF(K16="","",K16/MAX(K$5:K16)-1)</f>
        <v/>
      </c>
      <c r="N16" s="180">
        <f>IF(OR((ROW()-1)&lt;5,'实盘净值数据(iFinD公式)'!$A16="",'实盘净值数据(iFinD公式)'!$B16=""),"",SUMPRODUCT(实盘持仓配置!$B$8:$X$8,'实盘净值数据(iFinD公式)'!$B16:$X16/'实盘净值数据(iFinD公式)'!$B$5:$X$5)*(1-实盘持仓配置!$Z$8)^(('实盘净值数据(iFinD公式)'!$A16-'实盘净值数据(iFinD公式)'!$A$5)/365))</f>
        <v/>
      </c>
      <c r="O16" s="52">
        <f>IF(OR(N15="",'实盘净值数据(iFinD公式)'!$A16="",'实盘净值数据(iFinD公式)'!$B16=""),"",(SUMPRODUCT(实盘持仓配置!$B$8:$X$8,'实盘净值数据(iFinD公式)'!$B15:$X15/'实盘净值数据(iFinD公式)'!$B$5:$X$5,'实盘净值数据(iFinD公式)'!$B16:$X16/'实盘净值数据(iFinD公式)'!$B15:$X15)/SUMPRODUCT(实盘持仓配置!$B$8:$X$8,'实盘净值数据(iFinD公式)'!$B15:$X15/'实盘净值数据(iFinD公式)'!$B$5:$X$5))*(1-实盘持仓配置!$Z$8)^(('实盘净值数据(iFinD公式)'!$A16-'实盘净值数据(iFinD公式)'!$A15)/365)-1)</f>
        <v/>
      </c>
      <c r="P16" s="52">
        <f>IF(N16="","",N16/MAX(N$5:N16)-1)</f>
        <v/>
      </c>
      <c r="Q16" s="180">
        <f>IF(OR((ROW()-1)&lt;8,'实盘净值数据(iFinD公式)'!$A16="",'实盘净值数据(iFinD公式)'!$B16=""),"",SUMPRODUCT(实盘持仓配置!$B$9:$X$9,'实盘净值数据(iFinD公式)'!$B16:$X16/'实盘净值数据(iFinD公式)'!$B$8:$X$8)*(1-实盘持仓配置!$Z$9)^(('实盘净值数据(iFinD公式)'!$A16-'实盘净值数据(iFinD公式)'!$A$8)/365))</f>
        <v/>
      </c>
      <c r="R16" s="52">
        <f>IF(OR(Q15="",'实盘净值数据(iFinD公式)'!$A16="",'实盘净值数据(iFinD公式)'!$B16=""),"",(SUMPRODUCT(实盘持仓配置!$B$9:$X$9,'实盘净值数据(iFinD公式)'!$B15:$X15/'实盘净值数据(iFinD公式)'!$B$8:$X$8,'实盘净值数据(iFinD公式)'!$B16:$X16/'实盘净值数据(iFinD公式)'!$B15:$X15)/SUMPRODUCT(实盘持仓配置!$B$9:$X$9,'实盘净值数据(iFinD公式)'!$B15:$X15/'实盘净值数据(iFinD公式)'!$B$8:$X$8))*(1-实盘持仓配置!$Z$9)^(('实盘净值数据(iFinD公式)'!$A16-'实盘净值数据(iFinD公式)'!$A15)/365)-1)</f>
        <v/>
      </c>
      <c r="S16" s="52">
        <f>IF(Q16="","",Q16/MAX(Q$5:Q16)-1)</f>
        <v/>
      </c>
    </row>
    <row r="17">
      <c r="A17" s="181">
        <f>IF('实盘净值数据(iFinD公式)'!A17="","",'实盘净值数据(iFinD公式)'!A17)</f>
        <v/>
      </c>
      <c r="B17" s="180">
        <f>IF(OR((ROW()-1)&lt;6,'实盘净值数据(iFinD公式)'!$A17="",'实盘净值数据(iFinD公式)'!$B17=""),"",SUMPRODUCT(实盘持仓配置!$B$4:$X$4,'实盘净值数据(iFinD公式)'!$B17:$X17/'实盘净值数据(iFinD公式)'!$B$6:$X$6)*(1-实盘持仓配置!$Z$4)^(('实盘净值数据(iFinD公式)'!$A17-'实盘净值数据(iFinD公式)'!$A$6)/365))</f>
        <v/>
      </c>
      <c r="C17" s="52">
        <f>IF(OR(B16="",'实盘净值数据(iFinD公式)'!$A17="",'实盘净值数据(iFinD公式)'!$B17=""),"",(SUMPRODUCT(实盘持仓配置!$B$4:$X$4,'实盘净值数据(iFinD公式)'!$B16:$X16/'实盘净值数据(iFinD公式)'!$B$6:$X$6,'实盘净值数据(iFinD公式)'!$B17:$X17/'实盘净值数据(iFinD公式)'!$B16:$X16)/SUMPRODUCT(实盘持仓配置!$B$4:$X$4,'实盘净值数据(iFinD公式)'!$B16:$X16/'实盘净值数据(iFinD公式)'!$B$6:$X$6))*(1-实盘持仓配置!$Z$4)^(('实盘净值数据(iFinD公式)'!$A17-'实盘净值数据(iFinD公式)'!$A16)/365)-1)</f>
        <v/>
      </c>
      <c r="D17" s="52">
        <f>IF(B17="","",B17/MAX(B$5:B17)-1)</f>
        <v/>
      </c>
      <c r="E17" s="180">
        <f>IF(OR((ROW()-1)&lt;5,'实盘净值数据(iFinD公式)'!$A17="",'实盘净值数据(iFinD公式)'!$B17=""),"",SUMPRODUCT(实盘持仓配置!$B$5:$X$5,'实盘净值数据(iFinD公式)'!$B17:$X17/'实盘净值数据(iFinD公式)'!$B$5:$X$5)*(1-实盘持仓配置!$Z$5)^(('实盘净值数据(iFinD公式)'!$A17-'实盘净值数据(iFinD公式)'!$A$5)/365))</f>
        <v/>
      </c>
      <c r="F17" s="52">
        <f>IF(OR(E16="",'实盘净值数据(iFinD公式)'!$A17="",'实盘净值数据(iFinD公式)'!$B17=""),"",(SUMPRODUCT(实盘持仓配置!$B$5:$X$5,'实盘净值数据(iFinD公式)'!$B16:$X16/'实盘净值数据(iFinD公式)'!$B$5:$X$5,'实盘净值数据(iFinD公式)'!$B17:$X17/'实盘净值数据(iFinD公式)'!$B16:$X16)/SUMPRODUCT(实盘持仓配置!$B$5:$X$5,'实盘净值数据(iFinD公式)'!$B16:$X16/'实盘净值数据(iFinD公式)'!$B$5:$X$5))*(1-实盘持仓配置!$Z$5)^(('实盘净值数据(iFinD公式)'!$A17-'实盘净值数据(iFinD公式)'!$A16)/365)-1)</f>
        <v/>
      </c>
      <c r="G17" s="52">
        <f>IF(E17="","",E17/MAX(E$5:E17)-1)</f>
        <v/>
      </c>
      <c r="H17" s="180">
        <f>IF(OR((ROW()-1)&lt;7,'实盘净值数据(iFinD公式)'!$A17="",'实盘净值数据(iFinD公式)'!$B17=""),"",SUMPRODUCT(实盘持仓配置!$B$6:$X$6,'实盘净值数据(iFinD公式)'!$B17:$X17/'实盘净值数据(iFinD公式)'!$B$7:$X$7)*(1-实盘持仓配置!$Z$6)^(('实盘净值数据(iFinD公式)'!$A17-'实盘净值数据(iFinD公式)'!$A$7)/365))</f>
        <v/>
      </c>
      <c r="I17" s="52">
        <f>IF(OR(H16="",'实盘净值数据(iFinD公式)'!$A17="",'实盘净值数据(iFinD公式)'!$B17=""),"",(SUMPRODUCT(实盘持仓配置!$B$6:$X$6,'实盘净值数据(iFinD公式)'!$B16:$X16/'实盘净值数据(iFinD公式)'!$B$7:$X$7,'实盘净值数据(iFinD公式)'!$B17:$X17/'实盘净值数据(iFinD公式)'!$B16:$X16)/SUMPRODUCT(实盘持仓配置!$B$6:$X$6,'实盘净值数据(iFinD公式)'!$B16:$X16/'实盘净值数据(iFinD公式)'!$B$7:$X$7))*(1-实盘持仓配置!$Z$6)^(('实盘净值数据(iFinD公式)'!$A17-'实盘净值数据(iFinD公式)'!$A16)/365)-1)</f>
        <v/>
      </c>
      <c r="J17" s="52">
        <f>IF(H17="","",H17/MAX(H$5:H17)-1)</f>
        <v/>
      </c>
      <c r="K17" s="180">
        <f>IF(OR((ROW()-1)&lt;8,'实盘净值数据(iFinD公式)'!$A17="",'实盘净值数据(iFinD公式)'!$B17=""),"",SUMPRODUCT(实盘持仓配置!$B$7:$X$7,'实盘净值数据(iFinD公式)'!$B17:$X17/'实盘净值数据(iFinD公式)'!$B$8:$X$8)*(1-实盘持仓配置!$Z$7)^(('实盘净值数据(iFinD公式)'!$A17-'实盘净值数据(iFinD公式)'!$A$8)/365))</f>
        <v/>
      </c>
      <c r="L17" s="52">
        <f>IF(OR(K16="",'实盘净值数据(iFinD公式)'!$A17="",'实盘净值数据(iFinD公式)'!$B17=""),"",(SUMPRODUCT(实盘持仓配置!$B$7:$X$7,'实盘净值数据(iFinD公式)'!$B16:$X16/'实盘净值数据(iFinD公式)'!$B$8:$X$8,'实盘净值数据(iFinD公式)'!$B17:$X17/'实盘净值数据(iFinD公式)'!$B16:$X16)/SUMPRODUCT(实盘持仓配置!$B$7:$X$7,'实盘净值数据(iFinD公式)'!$B16:$X16/'实盘净值数据(iFinD公式)'!$B$8:$X$8))*(1-实盘持仓配置!$Z$7)^(('实盘净值数据(iFinD公式)'!$A17-'实盘净值数据(iFinD公式)'!$A16)/365)-1)</f>
        <v/>
      </c>
      <c r="M17" s="52">
        <f>IF(K17="","",K17/MAX(K$5:K17)-1)</f>
        <v/>
      </c>
      <c r="N17" s="180">
        <f>IF(OR((ROW()-1)&lt;5,'实盘净值数据(iFinD公式)'!$A17="",'实盘净值数据(iFinD公式)'!$B17=""),"",SUMPRODUCT(实盘持仓配置!$B$8:$X$8,'实盘净值数据(iFinD公式)'!$B17:$X17/'实盘净值数据(iFinD公式)'!$B$5:$X$5)*(1-实盘持仓配置!$Z$8)^(('实盘净值数据(iFinD公式)'!$A17-'实盘净值数据(iFinD公式)'!$A$5)/365))</f>
        <v/>
      </c>
      <c r="O17" s="52">
        <f>IF(OR(N16="",'实盘净值数据(iFinD公式)'!$A17="",'实盘净值数据(iFinD公式)'!$B17=""),"",(SUMPRODUCT(实盘持仓配置!$B$8:$X$8,'实盘净值数据(iFinD公式)'!$B16:$X16/'实盘净值数据(iFinD公式)'!$B$5:$X$5,'实盘净值数据(iFinD公式)'!$B17:$X17/'实盘净值数据(iFinD公式)'!$B16:$X16)/SUMPRODUCT(实盘持仓配置!$B$8:$X$8,'实盘净值数据(iFinD公式)'!$B16:$X16/'实盘净值数据(iFinD公式)'!$B$5:$X$5))*(1-实盘持仓配置!$Z$8)^(('实盘净值数据(iFinD公式)'!$A17-'实盘净值数据(iFinD公式)'!$A16)/365)-1)</f>
        <v/>
      </c>
      <c r="P17" s="52">
        <f>IF(N17="","",N17/MAX(N$5:N17)-1)</f>
        <v/>
      </c>
      <c r="Q17" s="180">
        <f>IF(OR((ROW()-1)&lt;8,'实盘净值数据(iFinD公式)'!$A17="",'实盘净值数据(iFinD公式)'!$B17=""),"",SUMPRODUCT(实盘持仓配置!$B$9:$X$9,'实盘净值数据(iFinD公式)'!$B17:$X17/'实盘净值数据(iFinD公式)'!$B$8:$X$8)*(1-实盘持仓配置!$Z$9)^(('实盘净值数据(iFinD公式)'!$A17-'实盘净值数据(iFinD公式)'!$A$8)/365))</f>
        <v/>
      </c>
      <c r="R17" s="52">
        <f>IF(OR(Q16="",'实盘净值数据(iFinD公式)'!$A17="",'实盘净值数据(iFinD公式)'!$B17=""),"",(SUMPRODUCT(实盘持仓配置!$B$9:$X$9,'实盘净值数据(iFinD公式)'!$B16:$X16/'实盘净值数据(iFinD公式)'!$B$8:$X$8,'实盘净值数据(iFinD公式)'!$B17:$X17/'实盘净值数据(iFinD公式)'!$B16:$X16)/SUMPRODUCT(实盘持仓配置!$B$9:$X$9,'实盘净值数据(iFinD公式)'!$B16:$X16/'实盘净值数据(iFinD公式)'!$B$8:$X$8))*(1-实盘持仓配置!$Z$9)^(('实盘净值数据(iFinD公式)'!$A17-'实盘净值数据(iFinD公式)'!$A16)/365)-1)</f>
        <v/>
      </c>
      <c r="S17" s="52">
        <f>IF(Q17="","",Q17/MAX(Q$5:Q17)-1)</f>
        <v/>
      </c>
    </row>
    <row r="18">
      <c r="A18" s="181">
        <f>IF('实盘净值数据(iFinD公式)'!A18="","",'实盘净值数据(iFinD公式)'!A18)</f>
        <v/>
      </c>
      <c r="B18" s="180">
        <f>IF(OR((ROW()-1)&lt;6,'实盘净值数据(iFinD公式)'!$A18="",'实盘净值数据(iFinD公式)'!$B18=""),"",SUMPRODUCT(实盘持仓配置!$B$4:$X$4,'实盘净值数据(iFinD公式)'!$B18:$X18/'实盘净值数据(iFinD公式)'!$B$6:$X$6)*(1-实盘持仓配置!$Z$4)^(('实盘净值数据(iFinD公式)'!$A18-'实盘净值数据(iFinD公式)'!$A$6)/365))</f>
        <v/>
      </c>
      <c r="C18" s="52">
        <f>IF(OR(B17="",'实盘净值数据(iFinD公式)'!$A18="",'实盘净值数据(iFinD公式)'!$B18=""),"",(SUMPRODUCT(实盘持仓配置!$B$4:$X$4,'实盘净值数据(iFinD公式)'!$B17:$X17/'实盘净值数据(iFinD公式)'!$B$6:$X$6,'实盘净值数据(iFinD公式)'!$B18:$X18/'实盘净值数据(iFinD公式)'!$B17:$X17)/SUMPRODUCT(实盘持仓配置!$B$4:$X$4,'实盘净值数据(iFinD公式)'!$B17:$X17/'实盘净值数据(iFinD公式)'!$B$6:$X$6))*(1-实盘持仓配置!$Z$4)^(('实盘净值数据(iFinD公式)'!$A18-'实盘净值数据(iFinD公式)'!$A17)/365)-1)</f>
        <v/>
      </c>
      <c r="D18" s="52">
        <f>IF(B18="","",B18/MAX(B$5:B18)-1)</f>
        <v/>
      </c>
      <c r="E18" s="180">
        <f>IF(OR((ROW()-1)&lt;5,'实盘净值数据(iFinD公式)'!$A18="",'实盘净值数据(iFinD公式)'!$B18=""),"",SUMPRODUCT(实盘持仓配置!$B$5:$X$5,'实盘净值数据(iFinD公式)'!$B18:$X18/'实盘净值数据(iFinD公式)'!$B$5:$X$5)*(1-实盘持仓配置!$Z$5)^(('实盘净值数据(iFinD公式)'!$A18-'实盘净值数据(iFinD公式)'!$A$5)/365))</f>
        <v/>
      </c>
      <c r="F18" s="52">
        <f>IF(OR(E17="",'实盘净值数据(iFinD公式)'!$A18="",'实盘净值数据(iFinD公式)'!$B18=""),"",(SUMPRODUCT(实盘持仓配置!$B$5:$X$5,'实盘净值数据(iFinD公式)'!$B17:$X17/'实盘净值数据(iFinD公式)'!$B$5:$X$5,'实盘净值数据(iFinD公式)'!$B18:$X18/'实盘净值数据(iFinD公式)'!$B17:$X17)/SUMPRODUCT(实盘持仓配置!$B$5:$X$5,'实盘净值数据(iFinD公式)'!$B17:$X17/'实盘净值数据(iFinD公式)'!$B$5:$X$5))*(1-实盘持仓配置!$Z$5)^(('实盘净值数据(iFinD公式)'!$A18-'实盘净值数据(iFinD公式)'!$A17)/365)-1)</f>
        <v/>
      </c>
      <c r="G18" s="52">
        <f>IF(E18="","",E18/MAX(E$5:E18)-1)</f>
        <v/>
      </c>
      <c r="H18" s="180">
        <f>IF(OR((ROW()-1)&lt;7,'实盘净值数据(iFinD公式)'!$A18="",'实盘净值数据(iFinD公式)'!$B18=""),"",SUMPRODUCT(实盘持仓配置!$B$6:$X$6,'实盘净值数据(iFinD公式)'!$B18:$X18/'实盘净值数据(iFinD公式)'!$B$7:$X$7)*(1-实盘持仓配置!$Z$6)^(('实盘净值数据(iFinD公式)'!$A18-'实盘净值数据(iFinD公式)'!$A$7)/365))</f>
        <v/>
      </c>
      <c r="I18" s="52">
        <f>IF(OR(H17="",'实盘净值数据(iFinD公式)'!$A18="",'实盘净值数据(iFinD公式)'!$B18=""),"",(SUMPRODUCT(实盘持仓配置!$B$6:$X$6,'实盘净值数据(iFinD公式)'!$B17:$X17/'实盘净值数据(iFinD公式)'!$B$7:$X$7,'实盘净值数据(iFinD公式)'!$B18:$X18/'实盘净值数据(iFinD公式)'!$B17:$X17)/SUMPRODUCT(实盘持仓配置!$B$6:$X$6,'实盘净值数据(iFinD公式)'!$B17:$X17/'实盘净值数据(iFinD公式)'!$B$7:$X$7))*(1-实盘持仓配置!$Z$6)^(('实盘净值数据(iFinD公式)'!$A18-'实盘净值数据(iFinD公式)'!$A17)/365)-1)</f>
        <v/>
      </c>
      <c r="J18" s="52">
        <f>IF(H18="","",H18/MAX(H$5:H18)-1)</f>
        <v/>
      </c>
      <c r="K18" s="180">
        <f>IF(OR((ROW()-1)&lt;8,'实盘净值数据(iFinD公式)'!$A18="",'实盘净值数据(iFinD公式)'!$B18=""),"",SUMPRODUCT(实盘持仓配置!$B$7:$X$7,'实盘净值数据(iFinD公式)'!$B18:$X18/'实盘净值数据(iFinD公式)'!$B$8:$X$8)*(1-实盘持仓配置!$Z$7)^(('实盘净值数据(iFinD公式)'!$A18-'实盘净值数据(iFinD公式)'!$A$8)/365))</f>
        <v/>
      </c>
      <c r="L18" s="52">
        <f>IF(OR(K17="",'实盘净值数据(iFinD公式)'!$A18="",'实盘净值数据(iFinD公式)'!$B18=""),"",(SUMPRODUCT(实盘持仓配置!$B$7:$X$7,'实盘净值数据(iFinD公式)'!$B17:$X17/'实盘净值数据(iFinD公式)'!$B$8:$X$8,'实盘净值数据(iFinD公式)'!$B18:$X18/'实盘净值数据(iFinD公式)'!$B17:$X17)/SUMPRODUCT(实盘持仓配置!$B$7:$X$7,'实盘净值数据(iFinD公式)'!$B17:$X17/'实盘净值数据(iFinD公式)'!$B$8:$X$8))*(1-实盘持仓配置!$Z$7)^(('实盘净值数据(iFinD公式)'!$A18-'实盘净值数据(iFinD公式)'!$A17)/365)-1)</f>
        <v/>
      </c>
      <c r="M18" s="52">
        <f>IF(K18="","",K18/MAX(K$5:K18)-1)</f>
        <v/>
      </c>
      <c r="N18" s="180">
        <f>IF(OR((ROW()-1)&lt;5,'实盘净值数据(iFinD公式)'!$A18="",'实盘净值数据(iFinD公式)'!$B18=""),"",SUMPRODUCT(实盘持仓配置!$B$8:$X$8,'实盘净值数据(iFinD公式)'!$B18:$X18/'实盘净值数据(iFinD公式)'!$B$5:$X$5)*(1-实盘持仓配置!$Z$8)^(('实盘净值数据(iFinD公式)'!$A18-'实盘净值数据(iFinD公式)'!$A$5)/365))</f>
        <v/>
      </c>
      <c r="O18" s="52">
        <f>IF(OR(N17="",'实盘净值数据(iFinD公式)'!$A18="",'实盘净值数据(iFinD公式)'!$B18=""),"",(SUMPRODUCT(实盘持仓配置!$B$8:$X$8,'实盘净值数据(iFinD公式)'!$B17:$X17/'实盘净值数据(iFinD公式)'!$B$5:$X$5,'实盘净值数据(iFinD公式)'!$B18:$X18/'实盘净值数据(iFinD公式)'!$B17:$X17)/SUMPRODUCT(实盘持仓配置!$B$8:$X$8,'实盘净值数据(iFinD公式)'!$B17:$X17/'实盘净值数据(iFinD公式)'!$B$5:$X$5))*(1-实盘持仓配置!$Z$8)^(('实盘净值数据(iFinD公式)'!$A18-'实盘净值数据(iFinD公式)'!$A17)/365)-1)</f>
        <v/>
      </c>
      <c r="P18" s="52">
        <f>IF(N18="","",N18/MAX(N$5:N18)-1)</f>
        <v/>
      </c>
      <c r="Q18" s="180">
        <f>IF(OR((ROW()-1)&lt;8,'实盘净值数据(iFinD公式)'!$A18="",'实盘净值数据(iFinD公式)'!$B18=""),"",SUMPRODUCT(实盘持仓配置!$B$9:$X$9,'实盘净值数据(iFinD公式)'!$B18:$X18/'实盘净值数据(iFinD公式)'!$B$8:$X$8)*(1-实盘持仓配置!$Z$9)^(('实盘净值数据(iFinD公式)'!$A18-'实盘净值数据(iFinD公式)'!$A$8)/365))</f>
        <v/>
      </c>
      <c r="R18" s="52">
        <f>IF(OR(Q17="",'实盘净值数据(iFinD公式)'!$A18="",'实盘净值数据(iFinD公式)'!$B18=""),"",(SUMPRODUCT(实盘持仓配置!$B$9:$X$9,'实盘净值数据(iFinD公式)'!$B17:$X17/'实盘净值数据(iFinD公式)'!$B$8:$X$8,'实盘净值数据(iFinD公式)'!$B18:$X18/'实盘净值数据(iFinD公式)'!$B17:$X17)/SUMPRODUCT(实盘持仓配置!$B$9:$X$9,'实盘净值数据(iFinD公式)'!$B17:$X17/'实盘净值数据(iFinD公式)'!$B$8:$X$8))*(1-实盘持仓配置!$Z$9)^(('实盘净值数据(iFinD公式)'!$A18-'实盘净值数据(iFinD公式)'!$A17)/365)-1)</f>
        <v/>
      </c>
      <c r="S18" s="52">
        <f>IF(Q18="","",Q18/MAX(Q$5:Q18)-1)</f>
        <v/>
      </c>
    </row>
    <row r="19">
      <c r="A19" s="181">
        <f>IF('实盘净值数据(iFinD公式)'!A19="","",'实盘净值数据(iFinD公式)'!A19)</f>
        <v/>
      </c>
      <c r="B19" s="180">
        <f>IF(OR((ROW()-1)&lt;6,'实盘净值数据(iFinD公式)'!$A19="",'实盘净值数据(iFinD公式)'!$B19=""),"",SUMPRODUCT(实盘持仓配置!$B$4:$X$4,'实盘净值数据(iFinD公式)'!$B19:$X19/'实盘净值数据(iFinD公式)'!$B$6:$X$6)*(1-实盘持仓配置!$Z$4)^(('实盘净值数据(iFinD公式)'!$A19-'实盘净值数据(iFinD公式)'!$A$6)/365))</f>
        <v/>
      </c>
      <c r="C19" s="52">
        <f>IF(OR(B18="",'实盘净值数据(iFinD公式)'!$A19="",'实盘净值数据(iFinD公式)'!$B19=""),"",(SUMPRODUCT(实盘持仓配置!$B$4:$X$4,'实盘净值数据(iFinD公式)'!$B18:$X18/'实盘净值数据(iFinD公式)'!$B$6:$X$6,'实盘净值数据(iFinD公式)'!$B19:$X19/'实盘净值数据(iFinD公式)'!$B18:$X18)/SUMPRODUCT(实盘持仓配置!$B$4:$X$4,'实盘净值数据(iFinD公式)'!$B18:$X18/'实盘净值数据(iFinD公式)'!$B$6:$X$6))*(1-实盘持仓配置!$Z$4)^(('实盘净值数据(iFinD公式)'!$A19-'实盘净值数据(iFinD公式)'!$A18)/365)-1)</f>
        <v/>
      </c>
      <c r="D19" s="52">
        <f>IF(B19="","",B19/MAX(B$5:B19)-1)</f>
        <v/>
      </c>
      <c r="E19" s="180">
        <f>IF(OR((ROW()-1)&lt;5,'实盘净值数据(iFinD公式)'!$A19="",'实盘净值数据(iFinD公式)'!$B19=""),"",SUMPRODUCT(实盘持仓配置!$B$5:$X$5,'实盘净值数据(iFinD公式)'!$B19:$X19/'实盘净值数据(iFinD公式)'!$B$5:$X$5)*(1-实盘持仓配置!$Z$5)^(('实盘净值数据(iFinD公式)'!$A19-'实盘净值数据(iFinD公式)'!$A$5)/365))</f>
        <v/>
      </c>
      <c r="F19" s="52">
        <f>IF(OR(E18="",'实盘净值数据(iFinD公式)'!$A19="",'实盘净值数据(iFinD公式)'!$B19=""),"",(SUMPRODUCT(实盘持仓配置!$B$5:$X$5,'实盘净值数据(iFinD公式)'!$B18:$X18/'实盘净值数据(iFinD公式)'!$B$5:$X$5,'实盘净值数据(iFinD公式)'!$B19:$X19/'实盘净值数据(iFinD公式)'!$B18:$X18)/SUMPRODUCT(实盘持仓配置!$B$5:$X$5,'实盘净值数据(iFinD公式)'!$B18:$X18/'实盘净值数据(iFinD公式)'!$B$5:$X$5))*(1-实盘持仓配置!$Z$5)^(('实盘净值数据(iFinD公式)'!$A19-'实盘净值数据(iFinD公式)'!$A18)/365)-1)</f>
        <v/>
      </c>
      <c r="G19" s="52">
        <f>IF(E19="","",E19/MAX(E$5:E19)-1)</f>
        <v/>
      </c>
      <c r="H19" s="180">
        <f>IF(OR((ROW()-1)&lt;7,'实盘净值数据(iFinD公式)'!$A19="",'实盘净值数据(iFinD公式)'!$B19=""),"",SUMPRODUCT(实盘持仓配置!$B$6:$X$6,'实盘净值数据(iFinD公式)'!$B19:$X19/'实盘净值数据(iFinD公式)'!$B$7:$X$7)*(1-实盘持仓配置!$Z$6)^(('实盘净值数据(iFinD公式)'!$A19-'实盘净值数据(iFinD公式)'!$A$7)/365))</f>
        <v/>
      </c>
      <c r="I19" s="52">
        <f>IF(OR(H18="",'实盘净值数据(iFinD公式)'!$A19="",'实盘净值数据(iFinD公式)'!$B19=""),"",(SUMPRODUCT(实盘持仓配置!$B$6:$X$6,'实盘净值数据(iFinD公式)'!$B18:$X18/'实盘净值数据(iFinD公式)'!$B$7:$X$7,'实盘净值数据(iFinD公式)'!$B19:$X19/'实盘净值数据(iFinD公式)'!$B18:$X18)/SUMPRODUCT(实盘持仓配置!$B$6:$X$6,'实盘净值数据(iFinD公式)'!$B18:$X18/'实盘净值数据(iFinD公式)'!$B$7:$X$7))*(1-实盘持仓配置!$Z$6)^(('实盘净值数据(iFinD公式)'!$A19-'实盘净值数据(iFinD公式)'!$A18)/365)-1)</f>
        <v/>
      </c>
      <c r="J19" s="52">
        <f>IF(H19="","",H19/MAX(H$5:H19)-1)</f>
        <v/>
      </c>
      <c r="K19" s="180">
        <f>IF(OR((ROW()-1)&lt;8,'实盘净值数据(iFinD公式)'!$A19="",'实盘净值数据(iFinD公式)'!$B19=""),"",SUMPRODUCT(实盘持仓配置!$B$7:$X$7,'实盘净值数据(iFinD公式)'!$B19:$X19/'实盘净值数据(iFinD公式)'!$B$8:$X$8)*(1-实盘持仓配置!$Z$7)^(('实盘净值数据(iFinD公式)'!$A19-'实盘净值数据(iFinD公式)'!$A$8)/365))</f>
        <v/>
      </c>
      <c r="L19" s="52">
        <f>IF(OR(K18="",'实盘净值数据(iFinD公式)'!$A19="",'实盘净值数据(iFinD公式)'!$B19=""),"",(SUMPRODUCT(实盘持仓配置!$B$7:$X$7,'实盘净值数据(iFinD公式)'!$B18:$X18/'实盘净值数据(iFinD公式)'!$B$8:$X$8,'实盘净值数据(iFinD公式)'!$B19:$X19/'实盘净值数据(iFinD公式)'!$B18:$X18)/SUMPRODUCT(实盘持仓配置!$B$7:$X$7,'实盘净值数据(iFinD公式)'!$B18:$X18/'实盘净值数据(iFinD公式)'!$B$8:$X$8))*(1-实盘持仓配置!$Z$7)^(('实盘净值数据(iFinD公式)'!$A19-'实盘净值数据(iFinD公式)'!$A18)/365)-1)</f>
        <v/>
      </c>
      <c r="M19" s="52">
        <f>IF(K19="","",K19/MAX(K$5:K19)-1)</f>
        <v/>
      </c>
      <c r="N19" s="180">
        <f>IF(OR((ROW()-1)&lt;5,'实盘净值数据(iFinD公式)'!$A19="",'实盘净值数据(iFinD公式)'!$B19=""),"",SUMPRODUCT(实盘持仓配置!$B$8:$X$8,'实盘净值数据(iFinD公式)'!$B19:$X19/'实盘净值数据(iFinD公式)'!$B$5:$X$5)*(1-实盘持仓配置!$Z$8)^(('实盘净值数据(iFinD公式)'!$A19-'实盘净值数据(iFinD公式)'!$A$5)/365))</f>
        <v/>
      </c>
      <c r="O19" s="52">
        <f>IF(OR(N18="",'实盘净值数据(iFinD公式)'!$A19="",'实盘净值数据(iFinD公式)'!$B19=""),"",(SUMPRODUCT(实盘持仓配置!$B$8:$X$8,'实盘净值数据(iFinD公式)'!$B18:$X18/'实盘净值数据(iFinD公式)'!$B$5:$X$5,'实盘净值数据(iFinD公式)'!$B19:$X19/'实盘净值数据(iFinD公式)'!$B18:$X18)/SUMPRODUCT(实盘持仓配置!$B$8:$X$8,'实盘净值数据(iFinD公式)'!$B18:$X18/'实盘净值数据(iFinD公式)'!$B$5:$X$5))*(1-实盘持仓配置!$Z$8)^(('实盘净值数据(iFinD公式)'!$A19-'实盘净值数据(iFinD公式)'!$A18)/365)-1)</f>
        <v/>
      </c>
      <c r="P19" s="52">
        <f>IF(N19="","",N19/MAX(N$5:N19)-1)</f>
        <v/>
      </c>
      <c r="Q19" s="180">
        <f>IF(OR((ROW()-1)&lt;8,'实盘净值数据(iFinD公式)'!$A19="",'实盘净值数据(iFinD公式)'!$B19=""),"",SUMPRODUCT(实盘持仓配置!$B$9:$X$9,'实盘净值数据(iFinD公式)'!$B19:$X19/'实盘净值数据(iFinD公式)'!$B$8:$X$8)*(1-实盘持仓配置!$Z$9)^(('实盘净值数据(iFinD公式)'!$A19-'实盘净值数据(iFinD公式)'!$A$8)/365))</f>
        <v/>
      </c>
      <c r="R19" s="52">
        <f>IF(OR(Q18="",'实盘净值数据(iFinD公式)'!$A19="",'实盘净值数据(iFinD公式)'!$B19=""),"",(SUMPRODUCT(实盘持仓配置!$B$9:$X$9,'实盘净值数据(iFinD公式)'!$B18:$X18/'实盘净值数据(iFinD公式)'!$B$8:$X$8,'实盘净值数据(iFinD公式)'!$B19:$X19/'实盘净值数据(iFinD公式)'!$B18:$X18)/SUMPRODUCT(实盘持仓配置!$B$9:$X$9,'实盘净值数据(iFinD公式)'!$B18:$X18/'实盘净值数据(iFinD公式)'!$B$8:$X$8))*(1-实盘持仓配置!$Z$9)^(('实盘净值数据(iFinD公式)'!$A19-'实盘净值数据(iFinD公式)'!$A18)/365)-1)</f>
        <v/>
      </c>
      <c r="S19" s="52">
        <f>IF(Q19="","",Q19/MAX(Q$5:Q19)-1)</f>
        <v/>
      </c>
    </row>
    <row r="20">
      <c r="A20" s="181">
        <f>IF('实盘净值数据(iFinD公式)'!A20="","",'实盘净值数据(iFinD公式)'!A20)</f>
        <v/>
      </c>
      <c r="B20" s="180">
        <f>IF(OR((ROW()-1)&lt;6,'实盘净值数据(iFinD公式)'!$A20="",'实盘净值数据(iFinD公式)'!$B20=""),"",SUMPRODUCT(实盘持仓配置!$B$4:$X$4,'实盘净值数据(iFinD公式)'!$B20:$X20/'实盘净值数据(iFinD公式)'!$B$6:$X$6)*(1-实盘持仓配置!$Z$4)^(('实盘净值数据(iFinD公式)'!$A20-'实盘净值数据(iFinD公式)'!$A$6)/365))</f>
        <v/>
      </c>
      <c r="C20" s="52">
        <f>IF(OR(B19="",'实盘净值数据(iFinD公式)'!$A20="",'实盘净值数据(iFinD公式)'!$B20=""),"",(SUMPRODUCT(实盘持仓配置!$B$4:$X$4,'实盘净值数据(iFinD公式)'!$B19:$X19/'实盘净值数据(iFinD公式)'!$B$6:$X$6,'实盘净值数据(iFinD公式)'!$B20:$X20/'实盘净值数据(iFinD公式)'!$B19:$X19)/SUMPRODUCT(实盘持仓配置!$B$4:$X$4,'实盘净值数据(iFinD公式)'!$B19:$X19/'实盘净值数据(iFinD公式)'!$B$6:$X$6))*(1-实盘持仓配置!$Z$4)^(('实盘净值数据(iFinD公式)'!$A20-'实盘净值数据(iFinD公式)'!$A19)/365)-1)</f>
        <v/>
      </c>
      <c r="D20" s="52">
        <f>IF(B20="","",B20/MAX(B$5:B20)-1)</f>
        <v/>
      </c>
      <c r="E20" s="180">
        <f>IF(OR((ROW()-1)&lt;5,'实盘净值数据(iFinD公式)'!$A20="",'实盘净值数据(iFinD公式)'!$B20=""),"",SUMPRODUCT(实盘持仓配置!$B$5:$X$5,'实盘净值数据(iFinD公式)'!$B20:$X20/'实盘净值数据(iFinD公式)'!$B$5:$X$5)*(1-实盘持仓配置!$Z$5)^(('实盘净值数据(iFinD公式)'!$A20-'实盘净值数据(iFinD公式)'!$A$5)/365))</f>
        <v/>
      </c>
      <c r="F20" s="52">
        <f>IF(OR(E19="",'实盘净值数据(iFinD公式)'!$A20="",'实盘净值数据(iFinD公式)'!$B20=""),"",(SUMPRODUCT(实盘持仓配置!$B$5:$X$5,'实盘净值数据(iFinD公式)'!$B19:$X19/'实盘净值数据(iFinD公式)'!$B$5:$X$5,'实盘净值数据(iFinD公式)'!$B20:$X20/'实盘净值数据(iFinD公式)'!$B19:$X19)/SUMPRODUCT(实盘持仓配置!$B$5:$X$5,'实盘净值数据(iFinD公式)'!$B19:$X19/'实盘净值数据(iFinD公式)'!$B$5:$X$5))*(1-实盘持仓配置!$Z$5)^(('实盘净值数据(iFinD公式)'!$A20-'实盘净值数据(iFinD公式)'!$A19)/365)-1)</f>
        <v/>
      </c>
      <c r="G20" s="52">
        <f>IF(E20="","",E20/MAX(E$5:E20)-1)</f>
        <v/>
      </c>
      <c r="H20" s="180">
        <f>IF(OR((ROW()-1)&lt;7,'实盘净值数据(iFinD公式)'!$A20="",'实盘净值数据(iFinD公式)'!$B20=""),"",SUMPRODUCT(实盘持仓配置!$B$6:$X$6,'实盘净值数据(iFinD公式)'!$B20:$X20/'实盘净值数据(iFinD公式)'!$B$7:$X$7)*(1-实盘持仓配置!$Z$6)^(('实盘净值数据(iFinD公式)'!$A20-'实盘净值数据(iFinD公式)'!$A$7)/365))</f>
        <v/>
      </c>
      <c r="I20" s="52">
        <f>IF(OR(H19="",'实盘净值数据(iFinD公式)'!$A20="",'实盘净值数据(iFinD公式)'!$B20=""),"",(SUMPRODUCT(实盘持仓配置!$B$6:$X$6,'实盘净值数据(iFinD公式)'!$B19:$X19/'实盘净值数据(iFinD公式)'!$B$7:$X$7,'实盘净值数据(iFinD公式)'!$B20:$X20/'实盘净值数据(iFinD公式)'!$B19:$X19)/SUMPRODUCT(实盘持仓配置!$B$6:$X$6,'实盘净值数据(iFinD公式)'!$B19:$X19/'实盘净值数据(iFinD公式)'!$B$7:$X$7))*(1-实盘持仓配置!$Z$6)^(('实盘净值数据(iFinD公式)'!$A20-'实盘净值数据(iFinD公式)'!$A19)/365)-1)</f>
        <v/>
      </c>
      <c r="J20" s="52">
        <f>IF(H20="","",H20/MAX(H$5:H20)-1)</f>
        <v/>
      </c>
      <c r="K20" s="180">
        <f>IF(OR((ROW()-1)&lt;8,'实盘净值数据(iFinD公式)'!$A20="",'实盘净值数据(iFinD公式)'!$B20=""),"",SUMPRODUCT(实盘持仓配置!$B$7:$X$7,'实盘净值数据(iFinD公式)'!$B20:$X20/'实盘净值数据(iFinD公式)'!$B$8:$X$8)*(1-实盘持仓配置!$Z$7)^(('实盘净值数据(iFinD公式)'!$A20-'实盘净值数据(iFinD公式)'!$A$8)/365))</f>
        <v/>
      </c>
      <c r="L20" s="52">
        <f>IF(OR(K19="",'实盘净值数据(iFinD公式)'!$A20="",'实盘净值数据(iFinD公式)'!$B20=""),"",(SUMPRODUCT(实盘持仓配置!$B$7:$X$7,'实盘净值数据(iFinD公式)'!$B19:$X19/'实盘净值数据(iFinD公式)'!$B$8:$X$8,'实盘净值数据(iFinD公式)'!$B20:$X20/'实盘净值数据(iFinD公式)'!$B19:$X19)/SUMPRODUCT(实盘持仓配置!$B$7:$X$7,'实盘净值数据(iFinD公式)'!$B19:$X19/'实盘净值数据(iFinD公式)'!$B$8:$X$8))*(1-实盘持仓配置!$Z$7)^(('实盘净值数据(iFinD公式)'!$A20-'实盘净值数据(iFinD公式)'!$A19)/365)-1)</f>
        <v/>
      </c>
      <c r="M20" s="52">
        <f>IF(K20="","",K20/MAX(K$5:K20)-1)</f>
        <v/>
      </c>
      <c r="N20" s="180">
        <f>IF(OR((ROW()-1)&lt;5,'实盘净值数据(iFinD公式)'!$A20="",'实盘净值数据(iFinD公式)'!$B20=""),"",SUMPRODUCT(实盘持仓配置!$B$8:$X$8,'实盘净值数据(iFinD公式)'!$B20:$X20/'实盘净值数据(iFinD公式)'!$B$5:$X$5)*(1-实盘持仓配置!$Z$8)^(('实盘净值数据(iFinD公式)'!$A20-'实盘净值数据(iFinD公式)'!$A$5)/365))</f>
        <v/>
      </c>
      <c r="O20" s="52">
        <f>IF(OR(N19="",'实盘净值数据(iFinD公式)'!$A20="",'实盘净值数据(iFinD公式)'!$B20=""),"",(SUMPRODUCT(实盘持仓配置!$B$8:$X$8,'实盘净值数据(iFinD公式)'!$B19:$X19/'实盘净值数据(iFinD公式)'!$B$5:$X$5,'实盘净值数据(iFinD公式)'!$B20:$X20/'实盘净值数据(iFinD公式)'!$B19:$X19)/SUMPRODUCT(实盘持仓配置!$B$8:$X$8,'实盘净值数据(iFinD公式)'!$B19:$X19/'实盘净值数据(iFinD公式)'!$B$5:$X$5))*(1-实盘持仓配置!$Z$8)^(('实盘净值数据(iFinD公式)'!$A20-'实盘净值数据(iFinD公式)'!$A19)/365)-1)</f>
        <v/>
      </c>
      <c r="P20" s="52">
        <f>IF(N20="","",N20/MAX(N$5:N20)-1)</f>
        <v/>
      </c>
      <c r="Q20" s="180">
        <f>IF(OR((ROW()-1)&lt;8,'实盘净值数据(iFinD公式)'!$A20="",'实盘净值数据(iFinD公式)'!$B20=""),"",SUMPRODUCT(实盘持仓配置!$B$9:$X$9,'实盘净值数据(iFinD公式)'!$B20:$X20/'实盘净值数据(iFinD公式)'!$B$8:$X$8)*(1-实盘持仓配置!$Z$9)^(('实盘净值数据(iFinD公式)'!$A20-'实盘净值数据(iFinD公式)'!$A$8)/365))</f>
        <v/>
      </c>
      <c r="R20" s="52">
        <f>IF(OR(Q19="",'实盘净值数据(iFinD公式)'!$A20="",'实盘净值数据(iFinD公式)'!$B20=""),"",(SUMPRODUCT(实盘持仓配置!$B$9:$X$9,'实盘净值数据(iFinD公式)'!$B19:$X19/'实盘净值数据(iFinD公式)'!$B$8:$X$8,'实盘净值数据(iFinD公式)'!$B20:$X20/'实盘净值数据(iFinD公式)'!$B19:$X19)/SUMPRODUCT(实盘持仓配置!$B$9:$X$9,'实盘净值数据(iFinD公式)'!$B19:$X19/'实盘净值数据(iFinD公式)'!$B$8:$X$8))*(1-实盘持仓配置!$Z$9)^(('实盘净值数据(iFinD公式)'!$A20-'实盘净值数据(iFinD公式)'!$A19)/365)-1)</f>
        <v/>
      </c>
      <c r="S20" s="52">
        <f>IF(Q20="","",Q20/MAX(Q$5:Q20)-1)</f>
        <v/>
      </c>
    </row>
    <row r="21">
      <c r="A21" s="181">
        <f>IF('实盘净值数据(iFinD公式)'!A21="","",'实盘净值数据(iFinD公式)'!A21)</f>
        <v/>
      </c>
      <c r="B21" s="180">
        <f>IF(OR((ROW()-1)&lt;6,'实盘净值数据(iFinD公式)'!$A21="",'实盘净值数据(iFinD公式)'!$B21=""),"",SUMPRODUCT(实盘持仓配置!$B$4:$X$4,'实盘净值数据(iFinD公式)'!$B21:$X21/'实盘净值数据(iFinD公式)'!$B$6:$X$6)*(1-实盘持仓配置!$Z$4)^(('实盘净值数据(iFinD公式)'!$A21-'实盘净值数据(iFinD公式)'!$A$6)/365))</f>
        <v/>
      </c>
      <c r="C21" s="52">
        <f>IF(OR(B20="",'实盘净值数据(iFinD公式)'!$A21="",'实盘净值数据(iFinD公式)'!$B21=""),"",(SUMPRODUCT(实盘持仓配置!$B$4:$X$4,'实盘净值数据(iFinD公式)'!$B20:$X20/'实盘净值数据(iFinD公式)'!$B$6:$X$6,'实盘净值数据(iFinD公式)'!$B21:$X21/'实盘净值数据(iFinD公式)'!$B20:$X20)/SUMPRODUCT(实盘持仓配置!$B$4:$X$4,'实盘净值数据(iFinD公式)'!$B20:$X20/'实盘净值数据(iFinD公式)'!$B$6:$X$6))*(1-实盘持仓配置!$Z$4)^(('实盘净值数据(iFinD公式)'!$A21-'实盘净值数据(iFinD公式)'!$A20)/365)-1)</f>
        <v/>
      </c>
      <c r="D21" s="52">
        <f>IF(B21="","",B21/MAX(B$5:B21)-1)</f>
        <v/>
      </c>
      <c r="E21" s="180">
        <f>IF(OR((ROW()-1)&lt;5,'实盘净值数据(iFinD公式)'!$A21="",'实盘净值数据(iFinD公式)'!$B21=""),"",SUMPRODUCT(实盘持仓配置!$B$5:$X$5,'实盘净值数据(iFinD公式)'!$B21:$X21/'实盘净值数据(iFinD公式)'!$B$5:$X$5)*(1-实盘持仓配置!$Z$5)^(('实盘净值数据(iFinD公式)'!$A21-'实盘净值数据(iFinD公式)'!$A$5)/365))</f>
        <v/>
      </c>
      <c r="F21" s="52">
        <f>IF(OR(E20="",'实盘净值数据(iFinD公式)'!$A21="",'实盘净值数据(iFinD公式)'!$B21=""),"",(SUMPRODUCT(实盘持仓配置!$B$5:$X$5,'实盘净值数据(iFinD公式)'!$B20:$X20/'实盘净值数据(iFinD公式)'!$B$5:$X$5,'实盘净值数据(iFinD公式)'!$B21:$X21/'实盘净值数据(iFinD公式)'!$B20:$X20)/SUMPRODUCT(实盘持仓配置!$B$5:$X$5,'实盘净值数据(iFinD公式)'!$B20:$X20/'实盘净值数据(iFinD公式)'!$B$5:$X$5))*(1-实盘持仓配置!$Z$5)^(('实盘净值数据(iFinD公式)'!$A21-'实盘净值数据(iFinD公式)'!$A20)/365)-1)</f>
        <v/>
      </c>
      <c r="G21" s="52">
        <f>IF(E21="","",E21/MAX(E$5:E21)-1)</f>
        <v/>
      </c>
      <c r="H21" s="180">
        <f>IF(OR((ROW()-1)&lt;7,'实盘净值数据(iFinD公式)'!$A21="",'实盘净值数据(iFinD公式)'!$B21=""),"",SUMPRODUCT(实盘持仓配置!$B$6:$X$6,'实盘净值数据(iFinD公式)'!$B21:$X21/'实盘净值数据(iFinD公式)'!$B$7:$X$7)*(1-实盘持仓配置!$Z$6)^(('实盘净值数据(iFinD公式)'!$A21-'实盘净值数据(iFinD公式)'!$A$7)/365))</f>
        <v/>
      </c>
      <c r="I21" s="52">
        <f>IF(OR(H20="",'实盘净值数据(iFinD公式)'!$A21="",'实盘净值数据(iFinD公式)'!$B21=""),"",(SUMPRODUCT(实盘持仓配置!$B$6:$X$6,'实盘净值数据(iFinD公式)'!$B20:$X20/'实盘净值数据(iFinD公式)'!$B$7:$X$7,'实盘净值数据(iFinD公式)'!$B21:$X21/'实盘净值数据(iFinD公式)'!$B20:$X20)/SUMPRODUCT(实盘持仓配置!$B$6:$X$6,'实盘净值数据(iFinD公式)'!$B20:$X20/'实盘净值数据(iFinD公式)'!$B$7:$X$7))*(1-实盘持仓配置!$Z$6)^(('实盘净值数据(iFinD公式)'!$A21-'实盘净值数据(iFinD公式)'!$A20)/365)-1)</f>
        <v/>
      </c>
      <c r="J21" s="52">
        <f>IF(H21="","",H21/MAX(H$5:H21)-1)</f>
        <v/>
      </c>
      <c r="K21" s="180">
        <f>IF(OR((ROW()-1)&lt;8,'实盘净值数据(iFinD公式)'!$A21="",'实盘净值数据(iFinD公式)'!$B21=""),"",SUMPRODUCT(实盘持仓配置!$B$7:$X$7,'实盘净值数据(iFinD公式)'!$B21:$X21/'实盘净值数据(iFinD公式)'!$B$8:$X$8)*(1-实盘持仓配置!$Z$7)^(('实盘净值数据(iFinD公式)'!$A21-'实盘净值数据(iFinD公式)'!$A$8)/365))</f>
        <v/>
      </c>
      <c r="L21" s="52">
        <f>IF(OR(K20="",'实盘净值数据(iFinD公式)'!$A21="",'实盘净值数据(iFinD公式)'!$B21=""),"",(SUMPRODUCT(实盘持仓配置!$B$7:$X$7,'实盘净值数据(iFinD公式)'!$B20:$X20/'实盘净值数据(iFinD公式)'!$B$8:$X$8,'实盘净值数据(iFinD公式)'!$B21:$X21/'实盘净值数据(iFinD公式)'!$B20:$X20)/SUMPRODUCT(实盘持仓配置!$B$7:$X$7,'实盘净值数据(iFinD公式)'!$B20:$X20/'实盘净值数据(iFinD公式)'!$B$8:$X$8))*(1-实盘持仓配置!$Z$7)^(('实盘净值数据(iFinD公式)'!$A21-'实盘净值数据(iFinD公式)'!$A20)/365)-1)</f>
        <v/>
      </c>
      <c r="M21" s="52">
        <f>IF(K21="","",K21/MAX(K$5:K21)-1)</f>
        <v/>
      </c>
      <c r="N21" s="180">
        <f>IF(OR((ROW()-1)&lt;5,'实盘净值数据(iFinD公式)'!$A21="",'实盘净值数据(iFinD公式)'!$B21=""),"",SUMPRODUCT(实盘持仓配置!$B$8:$X$8,'实盘净值数据(iFinD公式)'!$B21:$X21/'实盘净值数据(iFinD公式)'!$B$5:$X$5)*(1-实盘持仓配置!$Z$8)^(('实盘净值数据(iFinD公式)'!$A21-'实盘净值数据(iFinD公式)'!$A$5)/365))</f>
        <v/>
      </c>
      <c r="O21" s="52">
        <f>IF(OR(N20="",'实盘净值数据(iFinD公式)'!$A21="",'实盘净值数据(iFinD公式)'!$B21=""),"",(SUMPRODUCT(实盘持仓配置!$B$8:$X$8,'实盘净值数据(iFinD公式)'!$B20:$X20/'实盘净值数据(iFinD公式)'!$B$5:$X$5,'实盘净值数据(iFinD公式)'!$B21:$X21/'实盘净值数据(iFinD公式)'!$B20:$X20)/SUMPRODUCT(实盘持仓配置!$B$8:$X$8,'实盘净值数据(iFinD公式)'!$B20:$X20/'实盘净值数据(iFinD公式)'!$B$5:$X$5))*(1-实盘持仓配置!$Z$8)^(('实盘净值数据(iFinD公式)'!$A21-'实盘净值数据(iFinD公式)'!$A20)/365)-1)</f>
        <v/>
      </c>
      <c r="P21" s="52">
        <f>IF(N21="","",N21/MAX(N$5:N21)-1)</f>
        <v/>
      </c>
      <c r="Q21" s="180">
        <f>IF(OR((ROW()-1)&lt;8,'实盘净值数据(iFinD公式)'!$A21="",'实盘净值数据(iFinD公式)'!$B21=""),"",SUMPRODUCT(实盘持仓配置!$B$9:$X$9,'实盘净值数据(iFinD公式)'!$B21:$X21/'实盘净值数据(iFinD公式)'!$B$8:$X$8)*(1-实盘持仓配置!$Z$9)^(('实盘净值数据(iFinD公式)'!$A21-'实盘净值数据(iFinD公式)'!$A$8)/365))</f>
        <v/>
      </c>
      <c r="R21" s="52">
        <f>IF(OR(Q20="",'实盘净值数据(iFinD公式)'!$A21="",'实盘净值数据(iFinD公式)'!$B21=""),"",(SUMPRODUCT(实盘持仓配置!$B$9:$X$9,'实盘净值数据(iFinD公式)'!$B20:$X20/'实盘净值数据(iFinD公式)'!$B$8:$X$8,'实盘净值数据(iFinD公式)'!$B21:$X21/'实盘净值数据(iFinD公式)'!$B20:$X20)/SUMPRODUCT(实盘持仓配置!$B$9:$X$9,'实盘净值数据(iFinD公式)'!$B20:$X20/'实盘净值数据(iFinD公式)'!$B$8:$X$8))*(1-实盘持仓配置!$Z$9)^(('实盘净值数据(iFinD公式)'!$A21-'实盘净值数据(iFinD公式)'!$A20)/365)-1)</f>
        <v/>
      </c>
      <c r="S21" s="52">
        <f>IF(Q21="","",Q21/MAX(Q$5:Q21)-1)</f>
        <v/>
      </c>
    </row>
    <row r="22">
      <c r="A22" s="181">
        <f>IF('实盘净值数据(iFinD公式)'!A22="","",'实盘净值数据(iFinD公式)'!A22)</f>
        <v/>
      </c>
      <c r="B22" s="180">
        <f>IF(OR((ROW()-1)&lt;6,'实盘净值数据(iFinD公式)'!$A22="",'实盘净值数据(iFinD公式)'!$B22=""),"",SUMPRODUCT(实盘持仓配置!$B$4:$X$4,'实盘净值数据(iFinD公式)'!$B22:$X22/'实盘净值数据(iFinD公式)'!$B$6:$X$6)*(1-实盘持仓配置!$Z$4)^(('实盘净值数据(iFinD公式)'!$A22-'实盘净值数据(iFinD公式)'!$A$6)/365))</f>
        <v/>
      </c>
      <c r="C22" s="52">
        <f>IF(OR(B21="",'实盘净值数据(iFinD公式)'!$A22="",'实盘净值数据(iFinD公式)'!$B22=""),"",(SUMPRODUCT(实盘持仓配置!$B$4:$X$4,'实盘净值数据(iFinD公式)'!$B21:$X21/'实盘净值数据(iFinD公式)'!$B$6:$X$6,'实盘净值数据(iFinD公式)'!$B22:$X22/'实盘净值数据(iFinD公式)'!$B21:$X21)/SUMPRODUCT(实盘持仓配置!$B$4:$X$4,'实盘净值数据(iFinD公式)'!$B21:$X21/'实盘净值数据(iFinD公式)'!$B$6:$X$6))*(1-实盘持仓配置!$Z$4)^(('实盘净值数据(iFinD公式)'!$A22-'实盘净值数据(iFinD公式)'!$A21)/365)-1)</f>
        <v/>
      </c>
      <c r="D22" s="52">
        <f>IF(B22="","",B22/MAX(B$5:B22)-1)</f>
        <v/>
      </c>
      <c r="E22" s="180">
        <f>IF(OR((ROW()-1)&lt;5,'实盘净值数据(iFinD公式)'!$A22="",'实盘净值数据(iFinD公式)'!$B22=""),"",SUMPRODUCT(实盘持仓配置!$B$5:$X$5,'实盘净值数据(iFinD公式)'!$B22:$X22/'实盘净值数据(iFinD公式)'!$B$5:$X$5)*(1-实盘持仓配置!$Z$5)^(('实盘净值数据(iFinD公式)'!$A22-'实盘净值数据(iFinD公式)'!$A$5)/365))</f>
        <v/>
      </c>
      <c r="F22" s="52">
        <f>IF(OR(E21="",'实盘净值数据(iFinD公式)'!$A22="",'实盘净值数据(iFinD公式)'!$B22=""),"",(SUMPRODUCT(实盘持仓配置!$B$5:$X$5,'实盘净值数据(iFinD公式)'!$B21:$X21/'实盘净值数据(iFinD公式)'!$B$5:$X$5,'实盘净值数据(iFinD公式)'!$B22:$X22/'实盘净值数据(iFinD公式)'!$B21:$X21)/SUMPRODUCT(实盘持仓配置!$B$5:$X$5,'实盘净值数据(iFinD公式)'!$B21:$X21/'实盘净值数据(iFinD公式)'!$B$5:$X$5))*(1-实盘持仓配置!$Z$5)^(('实盘净值数据(iFinD公式)'!$A22-'实盘净值数据(iFinD公式)'!$A21)/365)-1)</f>
        <v/>
      </c>
      <c r="G22" s="52">
        <f>IF(E22="","",E22/MAX(E$5:E22)-1)</f>
        <v/>
      </c>
      <c r="H22" s="180">
        <f>IF(OR((ROW()-1)&lt;7,'实盘净值数据(iFinD公式)'!$A22="",'实盘净值数据(iFinD公式)'!$B22=""),"",SUMPRODUCT(实盘持仓配置!$B$6:$X$6,'实盘净值数据(iFinD公式)'!$B22:$X22/'实盘净值数据(iFinD公式)'!$B$7:$X$7)*(1-实盘持仓配置!$Z$6)^(('实盘净值数据(iFinD公式)'!$A22-'实盘净值数据(iFinD公式)'!$A$7)/365))</f>
        <v/>
      </c>
      <c r="I22" s="52">
        <f>IF(OR(H21="",'实盘净值数据(iFinD公式)'!$A22="",'实盘净值数据(iFinD公式)'!$B22=""),"",(SUMPRODUCT(实盘持仓配置!$B$6:$X$6,'实盘净值数据(iFinD公式)'!$B21:$X21/'实盘净值数据(iFinD公式)'!$B$7:$X$7,'实盘净值数据(iFinD公式)'!$B22:$X22/'实盘净值数据(iFinD公式)'!$B21:$X21)/SUMPRODUCT(实盘持仓配置!$B$6:$X$6,'实盘净值数据(iFinD公式)'!$B21:$X21/'实盘净值数据(iFinD公式)'!$B$7:$X$7))*(1-实盘持仓配置!$Z$6)^(('实盘净值数据(iFinD公式)'!$A22-'实盘净值数据(iFinD公式)'!$A21)/365)-1)</f>
        <v/>
      </c>
      <c r="J22" s="52">
        <f>IF(H22="","",H22/MAX(H$5:H22)-1)</f>
        <v/>
      </c>
      <c r="K22" s="180">
        <f>IF(OR((ROW()-1)&lt;8,'实盘净值数据(iFinD公式)'!$A22="",'实盘净值数据(iFinD公式)'!$B22=""),"",SUMPRODUCT(实盘持仓配置!$B$7:$X$7,'实盘净值数据(iFinD公式)'!$B22:$X22/'实盘净值数据(iFinD公式)'!$B$8:$X$8)*(1-实盘持仓配置!$Z$7)^(('实盘净值数据(iFinD公式)'!$A22-'实盘净值数据(iFinD公式)'!$A$8)/365))</f>
        <v/>
      </c>
      <c r="L22" s="52">
        <f>IF(OR(K21="",'实盘净值数据(iFinD公式)'!$A22="",'实盘净值数据(iFinD公式)'!$B22=""),"",(SUMPRODUCT(实盘持仓配置!$B$7:$X$7,'实盘净值数据(iFinD公式)'!$B21:$X21/'实盘净值数据(iFinD公式)'!$B$8:$X$8,'实盘净值数据(iFinD公式)'!$B22:$X22/'实盘净值数据(iFinD公式)'!$B21:$X21)/SUMPRODUCT(实盘持仓配置!$B$7:$X$7,'实盘净值数据(iFinD公式)'!$B21:$X21/'实盘净值数据(iFinD公式)'!$B$8:$X$8))*(1-实盘持仓配置!$Z$7)^(('实盘净值数据(iFinD公式)'!$A22-'实盘净值数据(iFinD公式)'!$A21)/365)-1)</f>
        <v/>
      </c>
      <c r="M22" s="52">
        <f>IF(K22="","",K22/MAX(K$5:K22)-1)</f>
        <v/>
      </c>
      <c r="N22" s="180">
        <f>IF(OR((ROW()-1)&lt;5,'实盘净值数据(iFinD公式)'!$A22="",'实盘净值数据(iFinD公式)'!$B22=""),"",SUMPRODUCT(实盘持仓配置!$B$8:$X$8,'实盘净值数据(iFinD公式)'!$B22:$X22/'实盘净值数据(iFinD公式)'!$B$5:$X$5)*(1-实盘持仓配置!$Z$8)^(('实盘净值数据(iFinD公式)'!$A22-'实盘净值数据(iFinD公式)'!$A$5)/365))</f>
        <v/>
      </c>
      <c r="O22" s="52">
        <f>IF(OR(N21="",'实盘净值数据(iFinD公式)'!$A22="",'实盘净值数据(iFinD公式)'!$B22=""),"",(SUMPRODUCT(实盘持仓配置!$B$8:$X$8,'实盘净值数据(iFinD公式)'!$B21:$X21/'实盘净值数据(iFinD公式)'!$B$5:$X$5,'实盘净值数据(iFinD公式)'!$B22:$X22/'实盘净值数据(iFinD公式)'!$B21:$X21)/SUMPRODUCT(实盘持仓配置!$B$8:$X$8,'实盘净值数据(iFinD公式)'!$B21:$X21/'实盘净值数据(iFinD公式)'!$B$5:$X$5))*(1-实盘持仓配置!$Z$8)^(('实盘净值数据(iFinD公式)'!$A22-'实盘净值数据(iFinD公式)'!$A21)/365)-1)</f>
        <v/>
      </c>
      <c r="P22" s="52">
        <f>IF(N22="","",N22/MAX(N$5:N22)-1)</f>
        <v/>
      </c>
      <c r="Q22" s="180">
        <f>IF(OR((ROW()-1)&lt;8,'实盘净值数据(iFinD公式)'!$A22="",'实盘净值数据(iFinD公式)'!$B22=""),"",SUMPRODUCT(实盘持仓配置!$B$9:$X$9,'实盘净值数据(iFinD公式)'!$B22:$X22/'实盘净值数据(iFinD公式)'!$B$8:$X$8)*(1-实盘持仓配置!$Z$9)^(('实盘净值数据(iFinD公式)'!$A22-'实盘净值数据(iFinD公式)'!$A$8)/365))</f>
        <v/>
      </c>
      <c r="R22" s="52">
        <f>IF(OR(Q21="",'实盘净值数据(iFinD公式)'!$A22="",'实盘净值数据(iFinD公式)'!$B22=""),"",(SUMPRODUCT(实盘持仓配置!$B$9:$X$9,'实盘净值数据(iFinD公式)'!$B21:$X21/'实盘净值数据(iFinD公式)'!$B$8:$X$8,'实盘净值数据(iFinD公式)'!$B22:$X22/'实盘净值数据(iFinD公式)'!$B21:$X21)/SUMPRODUCT(实盘持仓配置!$B$9:$X$9,'实盘净值数据(iFinD公式)'!$B21:$X21/'实盘净值数据(iFinD公式)'!$B$8:$X$8))*(1-实盘持仓配置!$Z$9)^(('实盘净值数据(iFinD公式)'!$A22-'实盘净值数据(iFinD公式)'!$A21)/365)-1)</f>
        <v/>
      </c>
      <c r="S22" s="52">
        <f>IF(Q22="","",Q22/MAX(Q$5:Q22)-1)</f>
        <v/>
      </c>
    </row>
    <row r="23">
      <c r="A23" s="181">
        <f>IF('实盘净值数据(iFinD公式)'!A23="","",'实盘净值数据(iFinD公式)'!A23)</f>
        <v/>
      </c>
      <c r="B23" s="180">
        <f>IF(OR((ROW()-1)&lt;6,'实盘净值数据(iFinD公式)'!$A23="",'实盘净值数据(iFinD公式)'!$B23=""),"",SUMPRODUCT(实盘持仓配置!$B$4:$X$4,'实盘净值数据(iFinD公式)'!$B23:$X23/'实盘净值数据(iFinD公式)'!$B$6:$X$6)*(1-实盘持仓配置!$Z$4)^(('实盘净值数据(iFinD公式)'!$A23-'实盘净值数据(iFinD公式)'!$A$6)/365))</f>
        <v/>
      </c>
      <c r="C23" s="52">
        <f>IF(OR(B22="",'实盘净值数据(iFinD公式)'!$A23="",'实盘净值数据(iFinD公式)'!$B23=""),"",(SUMPRODUCT(实盘持仓配置!$B$4:$X$4,'实盘净值数据(iFinD公式)'!$B22:$X22/'实盘净值数据(iFinD公式)'!$B$6:$X$6,'实盘净值数据(iFinD公式)'!$B23:$X23/'实盘净值数据(iFinD公式)'!$B22:$X22)/SUMPRODUCT(实盘持仓配置!$B$4:$X$4,'实盘净值数据(iFinD公式)'!$B22:$X22/'实盘净值数据(iFinD公式)'!$B$6:$X$6))*(1-实盘持仓配置!$Z$4)^(('实盘净值数据(iFinD公式)'!$A23-'实盘净值数据(iFinD公式)'!$A22)/365)-1)</f>
        <v/>
      </c>
      <c r="D23" s="52">
        <f>IF(B23="","",B23/MAX(B$5:B23)-1)</f>
        <v/>
      </c>
      <c r="E23" s="180">
        <f>IF(OR((ROW()-1)&lt;5,'实盘净值数据(iFinD公式)'!$A23="",'实盘净值数据(iFinD公式)'!$B23=""),"",SUMPRODUCT(实盘持仓配置!$B$5:$X$5,'实盘净值数据(iFinD公式)'!$B23:$X23/'实盘净值数据(iFinD公式)'!$B$5:$X$5)*(1-实盘持仓配置!$Z$5)^(('实盘净值数据(iFinD公式)'!$A23-'实盘净值数据(iFinD公式)'!$A$5)/365))</f>
        <v/>
      </c>
      <c r="F23" s="52">
        <f>IF(OR(E22="",'实盘净值数据(iFinD公式)'!$A23="",'实盘净值数据(iFinD公式)'!$B23=""),"",(SUMPRODUCT(实盘持仓配置!$B$5:$X$5,'实盘净值数据(iFinD公式)'!$B22:$X22/'实盘净值数据(iFinD公式)'!$B$5:$X$5,'实盘净值数据(iFinD公式)'!$B23:$X23/'实盘净值数据(iFinD公式)'!$B22:$X22)/SUMPRODUCT(实盘持仓配置!$B$5:$X$5,'实盘净值数据(iFinD公式)'!$B22:$X22/'实盘净值数据(iFinD公式)'!$B$5:$X$5))*(1-实盘持仓配置!$Z$5)^(('实盘净值数据(iFinD公式)'!$A23-'实盘净值数据(iFinD公式)'!$A22)/365)-1)</f>
        <v/>
      </c>
      <c r="G23" s="52">
        <f>IF(E23="","",E23/MAX(E$5:E23)-1)</f>
        <v/>
      </c>
      <c r="H23" s="180">
        <f>IF(OR((ROW()-1)&lt;7,'实盘净值数据(iFinD公式)'!$A23="",'实盘净值数据(iFinD公式)'!$B23=""),"",SUMPRODUCT(实盘持仓配置!$B$6:$X$6,'实盘净值数据(iFinD公式)'!$B23:$X23/'实盘净值数据(iFinD公式)'!$B$7:$X$7)*(1-实盘持仓配置!$Z$6)^(('实盘净值数据(iFinD公式)'!$A23-'实盘净值数据(iFinD公式)'!$A$7)/365))</f>
        <v/>
      </c>
      <c r="I23" s="52">
        <f>IF(OR(H22="",'实盘净值数据(iFinD公式)'!$A23="",'实盘净值数据(iFinD公式)'!$B23=""),"",(SUMPRODUCT(实盘持仓配置!$B$6:$X$6,'实盘净值数据(iFinD公式)'!$B22:$X22/'实盘净值数据(iFinD公式)'!$B$7:$X$7,'实盘净值数据(iFinD公式)'!$B23:$X23/'实盘净值数据(iFinD公式)'!$B22:$X22)/SUMPRODUCT(实盘持仓配置!$B$6:$X$6,'实盘净值数据(iFinD公式)'!$B22:$X22/'实盘净值数据(iFinD公式)'!$B$7:$X$7))*(1-实盘持仓配置!$Z$6)^(('实盘净值数据(iFinD公式)'!$A23-'实盘净值数据(iFinD公式)'!$A22)/365)-1)</f>
        <v/>
      </c>
      <c r="J23" s="52">
        <f>IF(H23="","",H23/MAX(H$5:H23)-1)</f>
        <v/>
      </c>
      <c r="K23" s="180">
        <f>IF(OR((ROW()-1)&lt;8,'实盘净值数据(iFinD公式)'!$A23="",'实盘净值数据(iFinD公式)'!$B23=""),"",SUMPRODUCT(实盘持仓配置!$B$7:$X$7,'实盘净值数据(iFinD公式)'!$B23:$X23/'实盘净值数据(iFinD公式)'!$B$8:$X$8)*(1-实盘持仓配置!$Z$7)^(('实盘净值数据(iFinD公式)'!$A23-'实盘净值数据(iFinD公式)'!$A$8)/365))</f>
        <v/>
      </c>
      <c r="L23" s="52">
        <f>IF(OR(K22="",'实盘净值数据(iFinD公式)'!$A23="",'实盘净值数据(iFinD公式)'!$B23=""),"",(SUMPRODUCT(实盘持仓配置!$B$7:$X$7,'实盘净值数据(iFinD公式)'!$B22:$X22/'实盘净值数据(iFinD公式)'!$B$8:$X$8,'实盘净值数据(iFinD公式)'!$B23:$X23/'实盘净值数据(iFinD公式)'!$B22:$X22)/SUMPRODUCT(实盘持仓配置!$B$7:$X$7,'实盘净值数据(iFinD公式)'!$B22:$X22/'实盘净值数据(iFinD公式)'!$B$8:$X$8))*(1-实盘持仓配置!$Z$7)^(('实盘净值数据(iFinD公式)'!$A23-'实盘净值数据(iFinD公式)'!$A22)/365)-1)</f>
        <v/>
      </c>
      <c r="M23" s="52">
        <f>IF(K23="","",K23/MAX(K$5:K23)-1)</f>
        <v/>
      </c>
      <c r="N23" s="180">
        <f>IF(OR((ROW()-1)&lt;5,'实盘净值数据(iFinD公式)'!$A23="",'实盘净值数据(iFinD公式)'!$B23=""),"",SUMPRODUCT(实盘持仓配置!$B$8:$X$8,'实盘净值数据(iFinD公式)'!$B23:$X23/'实盘净值数据(iFinD公式)'!$B$5:$X$5)*(1-实盘持仓配置!$Z$8)^(('实盘净值数据(iFinD公式)'!$A23-'实盘净值数据(iFinD公式)'!$A$5)/365))</f>
        <v/>
      </c>
      <c r="O23" s="52">
        <f>IF(OR(N22="",'实盘净值数据(iFinD公式)'!$A23="",'实盘净值数据(iFinD公式)'!$B23=""),"",(SUMPRODUCT(实盘持仓配置!$B$8:$X$8,'实盘净值数据(iFinD公式)'!$B22:$X22/'实盘净值数据(iFinD公式)'!$B$5:$X$5,'实盘净值数据(iFinD公式)'!$B23:$X23/'实盘净值数据(iFinD公式)'!$B22:$X22)/SUMPRODUCT(实盘持仓配置!$B$8:$X$8,'实盘净值数据(iFinD公式)'!$B22:$X22/'实盘净值数据(iFinD公式)'!$B$5:$X$5))*(1-实盘持仓配置!$Z$8)^(('实盘净值数据(iFinD公式)'!$A23-'实盘净值数据(iFinD公式)'!$A22)/365)-1)</f>
        <v/>
      </c>
      <c r="P23" s="52">
        <f>IF(N23="","",N23/MAX(N$5:N23)-1)</f>
        <v/>
      </c>
      <c r="Q23" s="180">
        <f>IF(OR((ROW()-1)&lt;8,'实盘净值数据(iFinD公式)'!$A23="",'实盘净值数据(iFinD公式)'!$B23=""),"",SUMPRODUCT(实盘持仓配置!$B$9:$X$9,'实盘净值数据(iFinD公式)'!$B23:$X23/'实盘净值数据(iFinD公式)'!$B$8:$X$8)*(1-实盘持仓配置!$Z$9)^(('实盘净值数据(iFinD公式)'!$A23-'实盘净值数据(iFinD公式)'!$A$8)/365))</f>
        <v/>
      </c>
      <c r="R23" s="52">
        <f>IF(OR(Q22="",'实盘净值数据(iFinD公式)'!$A23="",'实盘净值数据(iFinD公式)'!$B23=""),"",(SUMPRODUCT(实盘持仓配置!$B$9:$X$9,'实盘净值数据(iFinD公式)'!$B22:$X22/'实盘净值数据(iFinD公式)'!$B$8:$X$8,'实盘净值数据(iFinD公式)'!$B23:$X23/'实盘净值数据(iFinD公式)'!$B22:$X22)/SUMPRODUCT(实盘持仓配置!$B$9:$X$9,'实盘净值数据(iFinD公式)'!$B22:$X22/'实盘净值数据(iFinD公式)'!$B$8:$X$8))*(1-实盘持仓配置!$Z$9)^(('实盘净值数据(iFinD公式)'!$A23-'实盘净值数据(iFinD公式)'!$A22)/365)-1)</f>
        <v/>
      </c>
      <c r="S23" s="52">
        <f>IF(Q23="","",Q23/MAX(Q$5:Q23)-1)</f>
        <v/>
      </c>
    </row>
    <row r="24">
      <c r="A24" s="181">
        <f>IF('实盘净值数据(iFinD公式)'!A24="","",'实盘净值数据(iFinD公式)'!A24)</f>
        <v/>
      </c>
      <c r="B24" s="180">
        <f>IF(OR((ROW()-1)&lt;6,'实盘净值数据(iFinD公式)'!$A24="",'实盘净值数据(iFinD公式)'!$B24=""),"",SUMPRODUCT(实盘持仓配置!$B$4:$X$4,'实盘净值数据(iFinD公式)'!$B24:$X24/'实盘净值数据(iFinD公式)'!$B$6:$X$6)*(1-实盘持仓配置!$Z$4)^(('实盘净值数据(iFinD公式)'!$A24-'实盘净值数据(iFinD公式)'!$A$6)/365))</f>
        <v/>
      </c>
      <c r="C24" s="52">
        <f>IF(OR(B23="",'实盘净值数据(iFinD公式)'!$A24="",'实盘净值数据(iFinD公式)'!$B24=""),"",(SUMPRODUCT(实盘持仓配置!$B$4:$X$4,'实盘净值数据(iFinD公式)'!$B23:$X23/'实盘净值数据(iFinD公式)'!$B$6:$X$6,'实盘净值数据(iFinD公式)'!$B24:$X24/'实盘净值数据(iFinD公式)'!$B23:$X23)/SUMPRODUCT(实盘持仓配置!$B$4:$X$4,'实盘净值数据(iFinD公式)'!$B23:$X23/'实盘净值数据(iFinD公式)'!$B$6:$X$6))*(1-实盘持仓配置!$Z$4)^(('实盘净值数据(iFinD公式)'!$A24-'实盘净值数据(iFinD公式)'!$A23)/365)-1)</f>
        <v/>
      </c>
      <c r="D24" s="52">
        <f>IF(B24="","",B24/MAX(B$5:B24)-1)</f>
        <v/>
      </c>
      <c r="E24" s="180">
        <f>IF(OR((ROW()-1)&lt;5,'实盘净值数据(iFinD公式)'!$A24="",'实盘净值数据(iFinD公式)'!$B24=""),"",SUMPRODUCT(实盘持仓配置!$B$5:$X$5,'实盘净值数据(iFinD公式)'!$B24:$X24/'实盘净值数据(iFinD公式)'!$B$5:$X$5)*(1-实盘持仓配置!$Z$5)^(('实盘净值数据(iFinD公式)'!$A24-'实盘净值数据(iFinD公式)'!$A$5)/365))</f>
        <v/>
      </c>
      <c r="F24" s="52">
        <f>IF(OR(E23="",'实盘净值数据(iFinD公式)'!$A24="",'实盘净值数据(iFinD公式)'!$B24=""),"",(SUMPRODUCT(实盘持仓配置!$B$5:$X$5,'实盘净值数据(iFinD公式)'!$B23:$X23/'实盘净值数据(iFinD公式)'!$B$5:$X$5,'实盘净值数据(iFinD公式)'!$B24:$X24/'实盘净值数据(iFinD公式)'!$B23:$X23)/SUMPRODUCT(实盘持仓配置!$B$5:$X$5,'实盘净值数据(iFinD公式)'!$B23:$X23/'实盘净值数据(iFinD公式)'!$B$5:$X$5))*(1-实盘持仓配置!$Z$5)^(('实盘净值数据(iFinD公式)'!$A24-'实盘净值数据(iFinD公式)'!$A23)/365)-1)</f>
        <v/>
      </c>
      <c r="G24" s="52">
        <f>IF(E24="","",E24/MAX(E$5:E24)-1)</f>
        <v/>
      </c>
      <c r="H24" s="180">
        <f>IF(OR((ROW()-1)&lt;7,'实盘净值数据(iFinD公式)'!$A24="",'实盘净值数据(iFinD公式)'!$B24=""),"",SUMPRODUCT(实盘持仓配置!$B$6:$X$6,'实盘净值数据(iFinD公式)'!$B24:$X24/'实盘净值数据(iFinD公式)'!$B$7:$X$7)*(1-实盘持仓配置!$Z$6)^(('实盘净值数据(iFinD公式)'!$A24-'实盘净值数据(iFinD公式)'!$A$7)/365))</f>
        <v/>
      </c>
      <c r="I24" s="52">
        <f>IF(OR(H23="",'实盘净值数据(iFinD公式)'!$A24="",'实盘净值数据(iFinD公式)'!$B24=""),"",(SUMPRODUCT(实盘持仓配置!$B$6:$X$6,'实盘净值数据(iFinD公式)'!$B23:$X23/'实盘净值数据(iFinD公式)'!$B$7:$X$7,'实盘净值数据(iFinD公式)'!$B24:$X24/'实盘净值数据(iFinD公式)'!$B23:$X23)/SUMPRODUCT(实盘持仓配置!$B$6:$X$6,'实盘净值数据(iFinD公式)'!$B23:$X23/'实盘净值数据(iFinD公式)'!$B$7:$X$7))*(1-实盘持仓配置!$Z$6)^(('实盘净值数据(iFinD公式)'!$A24-'实盘净值数据(iFinD公式)'!$A23)/365)-1)</f>
        <v/>
      </c>
      <c r="J24" s="52">
        <f>IF(H24="","",H24/MAX(H$5:H24)-1)</f>
        <v/>
      </c>
      <c r="K24" s="180">
        <f>IF(OR((ROW()-1)&lt;8,'实盘净值数据(iFinD公式)'!$A24="",'实盘净值数据(iFinD公式)'!$B24=""),"",SUMPRODUCT(实盘持仓配置!$B$7:$X$7,'实盘净值数据(iFinD公式)'!$B24:$X24/'实盘净值数据(iFinD公式)'!$B$8:$X$8)*(1-实盘持仓配置!$Z$7)^(('实盘净值数据(iFinD公式)'!$A24-'实盘净值数据(iFinD公式)'!$A$8)/365))</f>
        <v/>
      </c>
      <c r="L24" s="52">
        <f>IF(OR(K23="",'实盘净值数据(iFinD公式)'!$A24="",'实盘净值数据(iFinD公式)'!$B24=""),"",(SUMPRODUCT(实盘持仓配置!$B$7:$X$7,'实盘净值数据(iFinD公式)'!$B23:$X23/'实盘净值数据(iFinD公式)'!$B$8:$X$8,'实盘净值数据(iFinD公式)'!$B24:$X24/'实盘净值数据(iFinD公式)'!$B23:$X23)/SUMPRODUCT(实盘持仓配置!$B$7:$X$7,'实盘净值数据(iFinD公式)'!$B23:$X23/'实盘净值数据(iFinD公式)'!$B$8:$X$8))*(1-实盘持仓配置!$Z$7)^(('实盘净值数据(iFinD公式)'!$A24-'实盘净值数据(iFinD公式)'!$A23)/365)-1)</f>
        <v/>
      </c>
      <c r="M24" s="52">
        <f>IF(K24="","",K24/MAX(K$5:K24)-1)</f>
        <v/>
      </c>
      <c r="N24" s="180">
        <f>IF(OR((ROW()-1)&lt;5,'实盘净值数据(iFinD公式)'!$A24="",'实盘净值数据(iFinD公式)'!$B24=""),"",SUMPRODUCT(实盘持仓配置!$B$8:$X$8,'实盘净值数据(iFinD公式)'!$B24:$X24/'实盘净值数据(iFinD公式)'!$B$5:$X$5)*(1-实盘持仓配置!$Z$8)^(('实盘净值数据(iFinD公式)'!$A24-'实盘净值数据(iFinD公式)'!$A$5)/365))</f>
        <v/>
      </c>
      <c r="O24" s="52">
        <f>IF(OR(N23="",'实盘净值数据(iFinD公式)'!$A24="",'实盘净值数据(iFinD公式)'!$B24=""),"",(SUMPRODUCT(实盘持仓配置!$B$8:$X$8,'实盘净值数据(iFinD公式)'!$B23:$X23/'实盘净值数据(iFinD公式)'!$B$5:$X$5,'实盘净值数据(iFinD公式)'!$B24:$X24/'实盘净值数据(iFinD公式)'!$B23:$X23)/SUMPRODUCT(实盘持仓配置!$B$8:$X$8,'实盘净值数据(iFinD公式)'!$B23:$X23/'实盘净值数据(iFinD公式)'!$B$5:$X$5))*(1-实盘持仓配置!$Z$8)^(('实盘净值数据(iFinD公式)'!$A24-'实盘净值数据(iFinD公式)'!$A23)/365)-1)</f>
        <v/>
      </c>
      <c r="P24" s="52">
        <f>IF(N24="","",N24/MAX(N$5:N24)-1)</f>
        <v/>
      </c>
      <c r="Q24" s="180">
        <f>IF(OR((ROW()-1)&lt;8,'实盘净值数据(iFinD公式)'!$A24="",'实盘净值数据(iFinD公式)'!$B24=""),"",SUMPRODUCT(实盘持仓配置!$B$9:$X$9,'实盘净值数据(iFinD公式)'!$B24:$X24/'实盘净值数据(iFinD公式)'!$B$8:$X$8)*(1-实盘持仓配置!$Z$9)^(('实盘净值数据(iFinD公式)'!$A24-'实盘净值数据(iFinD公式)'!$A$8)/365))</f>
        <v/>
      </c>
      <c r="R24" s="52">
        <f>IF(OR(Q23="",'实盘净值数据(iFinD公式)'!$A24="",'实盘净值数据(iFinD公式)'!$B24=""),"",(SUMPRODUCT(实盘持仓配置!$B$9:$X$9,'实盘净值数据(iFinD公式)'!$B23:$X23/'实盘净值数据(iFinD公式)'!$B$8:$X$8,'实盘净值数据(iFinD公式)'!$B24:$X24/'实盘净值数据(iFinD公式)'!$B23:$X23)/SUMPRODUCT(实盘持仓配置!$B$9:$X$9,'实盘净值数据(iFinD公式)'!$B23:$X23/'实盘净值数据(iFinD公式)'!$B$8:$X$8))*(1-实盘持仓配置!$Z$9)^(('实盘净值数据(iFinD公式)'!$A24-'实盘净值数据(iFinD公式)'!$A23)/365)-1)</f>
        <v/>
      </c>
      <c r="S24" s="52">
        <f>IF(Q24="","",Q24/MAX(Q$5:Q24)-1)</f>
        <v/>
      </c>
    </row>
    <row r="25">
      <c r="A25" s="181">
        <f>IF('实盘净值数据(iFinD公式)'!A25="","",'实盘净值数据(iFinD公式)'!A25)</f>
        <v/>
      </c>
      <c r="B25" s="180">
        <f>IF(OR((ROW()-1)&lt;6,'实盘净值数据(iFinD公式)'!$A25="",'实盘净值数据(iFinD公式)'!$B25=""),"",SUMPRODUCT(实盘持仓配置!$B$4:$X$4,'实盘净值数据(iFinD公式)'!$B25:$X25/'实盘净值数据(iFinD公式)'!$B$6:$X$6)*(1-实盘持仓配置!$Z$4)^(('实盘净值数据(iFinD公式)'!$A25-'实盘净值数据(iFinD公式)'!$A$6)/365))</f>
        <v/>
      </c>
      <c r="C25" s="52">
        <f>IF(OR(B24="",'实盘净值数据(iFinD公式)'!$A25="",'实盘净值数据(iFinD公式)'!$B25=""),"",(SUMPRODUCT(实盘持仓配置!$B$4:$X$4,'实盘净值数据(iFinD公式)'!$B24:$X24/'实盘净值数据(iFinD公式)'!$B$6:$X$6,'实盘净值数据(iFinD公式)'!$B25:$X25/'实盘净值数据(iFinD公式)'!$B24:$X24)/SUMPRODUCT(实盘持仓配置!$B$4:$X$4,'实盘净值数据(iFinD公式)'!$B24:$X24/'实盘净值数据(iFinD公式)'!$B$6:$X$6))*(1-实盘持仓配置!$Z$4)^(('实盘净值数据(iFinD公式)'!$A25-'实盘净值数据(iFinD公式)'!$A24)/365)-1)</f>
        <v/>
      </c>
      <c r="D25" s="52">
        <f>IF(B25="","",B25/MAX(B$5:B25)-1)</f>
        <v/>
      </c>
      <c r="E25" s="180">
        <f>IF(OR((ROW()-1)&lt;5,'实盘净值数据(iFinD公式)'!$A25="",'实盘净值数据(iFinD公式)'!$B25=""),"",SUMPRODUCT(实盘持仓配置!$B$5:$X$5,'实盘净值数据(iFinD公式)'!$B25:$X25/'实盘净值数据(iFinD公式)'!$B$5:$X$5)*(1-实盘持仓配置!$Z$5)^(('实盘净值数据(iFinD公式)'!$A25-'实盘净值数据(iFinD公式)'!$A$5)/365))</f>
        <v/>
      </c>
      <c r="F25" s="52">
        <f>IF(OR(E24="",'实盘净值数据(iFinD公式)'!$A25="",'实盘净值数据(iFinD公式)'!$B25=""),"",(SUMPRODUCT(实盘持仓配置!$B$5:$X$5,'实盘净值数据(iFinD公式)'!$B24:$X24/'实盘净值数据(iFinD公式)'!$B$5:$X$5,'实盘净值数据(iFinD公式)'!$B25:$X25/'实盘净值数据(iFinD公式)'!$B24:$X24)/SUMPRODUCT(实盘持仓配置!$B$5:$X$5,'实盘净值数据(iFinD公式)'!$B24:$X24/'实盘净值数据(iFinD公式)'!$B$5:$X$5))*(1-实盘持仓配置!$Z$5)^(('实盘净值数据(iFinD公式)'!$A25-'实盘净值数据(iFinD公式)'!$A24)/365)-1)</f>
        <v/>
      </c>
      <c r="G25" s="52">
        <f>IF(E25="","",E25/MAX(E$5:E25)-1)</f>
        <v/>
      </c>
      <c r="H25" s="180">
        <f>IF(OR((ROW()-1)&lt;7,'实盘净值数据(iFinD公式)'!$A25="",'实盘净值数据(iFinD公式)'!$B25=""),"",SUMPRODUCT(实盘持仓配置!$B$6:$X$6,'实盘净值数据(iFinD公式)'!$B25:$X25/'实盘净值数据(iFinD公式)'!$B$7:$X$7)*(1-实盘持仓配置!$Z$6)^(('实盘净值数据(iFinD公式)'!$A25-'实盘净值数据(iFinD公式)'!$A$7)/365))</f>
        <v/>
      </c>
      <c r="I25" s="52">
        <f>IF(OR(H24="",'实盘净值数据(iFinD公式)'!$A25="",'实盘净值数据(iFinD公式)'!$B25=""),"",(SUMPRODUCT(实盘持仓配置!$B$6:$X$6,'实盘净值数据(iFinD公式)'!$B24:$X24/'实盘净值数据(iFinD公式)'!$B$7:$X$7,'实盘净值数据(iFinD公式)'!$B25:$X25/'实盘净值数据(iFinD公式)'!$B24:$X24)/SUMPRODUCT(实盘持仓配置!$B$6:$X$6,'实盘净值数据(iFinD公式)'!$B24:$X24/'实盘净值数据(iFinD公式)'!$B$7:$X$7))*(1-实盘持仓配置!$Z$6)^(('实盘净值数据(iFinD公式)'!$A25-'实盘净值数据(iFinD公式)'!$A24)/365)-1)</f>
        <v/>
      </c>
      <c r="J25" s="52">
        <f>IF(H25="","",H25/MAX(H$5:H25)-1)</f>
        <v/>
      </c>
      <c r="K25" s="180">
        <f>IF(OR((ROW()-1)&lt;8,'实盘净值数据(iFinD公式)'!$A25="",'实盘净值数据(iFinD公式)'!$B25=""),"",SUMPRODUCT(实盘持仓配置!$B$7:$X$7,'实盘净值数据(iFinD公式)'!$B25:$X25/'实盘净值数据(iFinD公式)'!$B$8:$X$8)*(1-实盘持仓配置!$Z$7)^(('实盘净值数据(iFinD公式)'!$A25-'实盘净值数据(iFinD公式)'!$A$8)/365))</f>
        <v/>
      </c>
      <c r="L25" s="52">
        <f>IF(OR(K24="",'实盘净值数据(iFinD公式)'!$A25="",'实盘净值数据(iFinD公式)'!$B25=""),"",(SUMPRODUCT(实盘持仓配置!$B$7:$X$7,'实盘净值数据(iFinD公式)'!$B24:$X24/'实盘净值数据(iFinD公式)'!$B$8:$X$8,'实盘净值数据(iFinD公式)'!$B25:$X25/'实盘净值数据(iFinD公式)'!$B24:$X24)/SUMPRODUCT(实盘持仓配置!$B$7:$X$7,'实盘净值数据(iFinD公式)'!$B24:$X24/'实盘净值数据(iFinD公式)'!$B$8:$X$8))*(1-实盘持仓配置!$Z$7)^(('实盘净值数据(iFinD公式)'!$A25-'实盘净值数据(iFinD公式)'!$A24)/365)-1)</f>
        <v/>
      </c>
      <c r="M25" s="52">
        <f>IF(K25="","",K25/MAX(K$5:K25)-1)</f>
        <v/>
      </c>
      <c r="N25" s="180">
        <f>IF(OR((ROW()-1)&lt;5,'实盘净值数据(iFinD公式)'!$A25="",'实盘净值数据(iFinD公式)'!$B25=""),"",SUMPRODUCT(实盘持仓配置!$B$8:$X$8,'实盘净值数据(iFinD公式)'!$B25:$X25/'实盘净值数据(iFinD公式)'!$B$5:$X$5)*(1-实盘持仓配置!$Z$8)^(('实盘净值数据(iFinD公式)'!$A25-'实盘净值数据(iFinD公式)'!$A$5)/365))</f>
        <v/>
      </c>
      <c r="O25" s="52">
        <f>IF(OR(N24="",'实盘净值数据(iFinD公式)'!$A25="",'实盘净值数据(iFinD公式)'!$B25=""),"",(SUMPRODUCT(实盘持仓配置!$B$8:$X$8,'实盘净值数据(iFinD公式)'!$B24:$X24/'实盘净值数据(iFinD公式)'!$B$5:$X$5,'实盘净值数据(iFinD公式)'!$B25:$X25/'实盘净值数据(iFinD公式)'!$B24:$X24)/SUMPRODUCT(实盘持仓配置!$B$8:$X$8,'实盘净值数据(iFinD公式)'!$B24:$X24/'实盘净值数据(iFinD公式)'!$B$5:$X$5))*(1-实盘持仓配置!$Z$8)^(('实盘净值数据(iFinD公式)'!$A25-'实盘净值数据(iFinD公式)'!$A24)/365)-1)</f>
        <v/>
      </c>
      <c r="P25" s="52">
        <f>IF(N25="","",N25/MAX(N$5:N25)-1)</f>
        <v/>
      </c>
      <c r="Q25" s="180">
        <f>IF(OR((ROW()-1)&lt;8,'实盘净值数据(iFinD公式)'!$A25="",'实盘净值数据(iFinD公式)'!$B25=""),"",SUMPRODUCT(实盘持仓配置!$B$9:$X$9,'实盘净值数据(iFinD公式)'!$B25:$X25/'实盘净值数据(iFinD公式)'!$B$8:$X$8)*(1-实盘持仓配置!$Z$9)^(('实盘净值数据(iFinD公式)'!$A25-'实盘净值数据(iFinD公式)'!$A$8)/365))</f>
        <v/>
      </c>
      <c r="R25" s="52">
        <f>IF(OR(Q24="",'实盘净值数据(iFinD公式)'!$A25="",'实盘净值数据(iFinD公式)'!$B25=""),"",(SUMPRODUCT(实盘持仓配置!$B$9:$X$9,'实盘净值数据(iFinD公式)'!$B24:$X24/'实盘净值数据(iFinD公式)'!$B$8:$X$8,'实盘净值数据(iFinD公式)'!$B25:$X25/'实盘净值数据(iFinD公式)'!$B24:$X24)/SUMPRODUCT(实盘持仓配置!$B$9:$X$9,'实盘净值数据(iFinD公式)'!$B24:$X24/'实盘净值数据(iFinD公式)'!$B$8:$X$8))*(1-实盘持仓配置!$Z$9)^(('实盘净值数据(iFinD公式)'!$A25-'实盘净值数据(iFinD公式)'!$A24)/365)-1)</f>
        <v/>
      </c>
      <c r="S25" s="52">
        <f>IF(Q25="","",Q25/MAX(Q$5:Q25)-1)</f>
        <v/>
      </c>
    </row>
    <row r="26">
      <c r="A26" s="181">
        <f>IF('实盘净值数据(iFinD公式)'!A26="","",'实盘净值数据(iFinD公式)'!A26)</f>
        <v/>
      </c>
      <c r="B26" s="180">
        <f>IF(OR((ROW()-1)&lt;6,'实盘净值数据(iFinD公式)'!$A26="",'实盘净值数据(iFinD公式)'!$B26=""),"",SUMPRODUCT(实盘持仓配置!$B$4:$X$4,'实盘净值数据(iFinD公式)'!$B26:$X26/'实盘净值数据(iFinD公式)'!$B$6:$X$6)*(1-实盘持仓配置!$Z$4)^(('实盘净值数据(iFinD公式)'!$A26-'实盘净值数据(iFinD公式)'!$A$6)/365))</f>
        <v/>
      </c>
      <c r="C26" s="52">
        <f>IF(OR(B25="",'实盘净值数据(iFinD公式)'!$A26="",'实盘净值数据(iFinD公式)'!$B26=""),"",(SUMPRODUCT(实盘持仓配置!$B$4:$X$4,'实盘净值数据(iFinD公式)'!$B25:$X25/'实盘净值数据(iFinD公式)'!$B$6:$X$6,'实盘净值数据(iFinD公式)'!$B26:$X26/'实盘净值数据(iFinD公式)'!$B25:$X25)/SUMPRODUCT(实盘持仓配置!$B$4:$X$4,'实盘净值数据(iFinD公式)'!$B25:$X25/'实盘净值数据(iFinD公式)'!$B$6:$X$6))*(1-实盘持仓配置!$Z$4)^(('实盘净值数据(iFinD公式)'!$A26-'实盘净值数据(iFinD公式)'!$A25)/365)-1)</f>
        <v/>
      </c>
      <c r="D26" s="52">
        <f>IF(B26="","",B26/MAX(B$5:B26)-1)</f>
        <v/>
      </c>
      <c r="E26" s="180">
        <f>IF(OR((ROW()-1)&lt;5,'实盘净值数据(iFinD公式)'!$A26="",'实盘净值数据(iFinD公式)'!$B26=""),"",SUMPRODUCT(实盘持仓配置!$B$5:$X$5,'实盘净值数据(iFinD公式)'!$B26:$X26/'实盘净值数据(iFinD公式)'!$B$5:$X$5)*(1-实盘持仓配置!$Z$5)^(('实盘净值数据(iFinD公式)'!$A26-'实盘净值数据(iFinD公式)'!$A$5)/365))</f>
        <v/>
      </c>
      <c r="F26" s="52">
        <f>IF(OR(E25="",'实盘净值数据(iFinD公式)'!$A26="",'实盘净值数据(iFinD公式)'!$B26=""),"",(SUMPRODUCT(实盘持仓配置!$B$5:$X$5,'实盘净值数据(iFinD公式)'!$B25:$X25/'实盘净值数据(iFinD公式)'!$B$5:$X$5,'实盘净值数据(iFinD公式)'!$B26:$X26/'实盘净值数据(iFinD公式)'!$B25:$X25)/SUMPRODUCT(实盘持仓配置!$B$5:$X$5,'实盘净值数据(iFinD公式)'!$B25:$X25/'实盘净值数据(iFinD公式)'!$B$5:$X$5))*(1-实盘持仓配置!$Z$5)^(('实盘净值数据(iFinD公式)'!$A26-'实盘净值数据(iFinD公式)'!$A25)/365)-1)</f>
        <v/>
      </c>
      <c r="G26" s="52">
        <f>IF(E26="","",E26/MAX(E$5:E26)-1)</f>
        <v/>
      </c>
      <c r="H26" s="180">
        <f>IF(OR((ROW()-1)&lt;7,'实盘净值数据(iFinD公式)'!$A26="",'实盘净值数据(iFinD公式)'!$B26=""),"",SUMPRODUCT(实盘持仓配置!$B$6:$X$6,'实盘净值数据(iFinD公式)'!$B26:$X26/'实盘净值数据(iFinD公式)'!$B$7:$X$7)*(1-实盘持仓配置!$Z$6)^(('实盘净值数据(iFinD公式)'!$A26-'实盘净值数据(iFinD公式)'!$A$7)/365))</f>
        <v/>
      </c>
      <c r="I26" s="52">
        <f>IF(OR(H25="",'实盘净值数据(iFinD公式)'!$A26="",'实盘净值数据(iFinD公式)'!$B26=""),"",(SUMPRODUCT(实盘持仓配置!$B$6:$X$6,'实盘净值数据(iFinD公式)'!$B25:$X25/'实盘净值数据(iFinD公式)'!$B$7:$X$7,'实盘净值数据(iFinD公式)'!$B26:$X26/'实盘净值数据(iFinD公式)'!$B25:$X25)/SUMPRODUCT(实盘持仓配置!$B$6:$X$6,'实盘净值数据(iFinD公式)'!$B25:$X25/'实盘净值数据(iFinD公式)'!$B$7:$X$7))*(1-实盘持仓配置!$Z$6)^(('实盘净值数据(iFinD公式)'!$A26-'实盘净值数据(iFinD公式)'!$A25)/365)-1)</f>
        <v/>
      </c>
      <c r="J26" s="52">
        <f>IF(H26="","",H26/MAX(H$5:H26)-1)</f>
        <v/>
      </c>
      <c r="K26" s="180">
        <f>IF(OR((ROW()-1)&lt;8,'实盘净值数据(iFinD公式)'!$A26="",'实盘净值数据(iFinD公式)'!$B26=""),"",SUMPRODUCT(实盘持仓配置!$B$7:$X$7,'实盘净值数据(iFinD公式)'!$B26:$X26/'实盘净值数据(iFinD公式)'!$B$8:$X$8)*(1-实盘持仓配置!$Z$7)^(('实盘净值数据(iFinD公式)'!$A26-'实盘净值数据(iFinD公式)'!$A$8)/365))</f>
        <v/>
      </c>
      <c r="L26" s="52">
        <f>IF(OR(K25="",'实盘净值数据(iFinD公式)'!$A26="",'实盘净值数据(iFinD公式)'!$B26=""),"",(SUMPRODUCT(实盘持仓配置!$B$7:$X$7,'实盘净值数据(iFinD公式)'!$B25:$X25/'实盘净值数据(iFinD公式)'!$B$8:$X$8,'实盘净值数据(iFinD公式)'!$B26:$X26/'实盘净值数据(iFinD公式)'!$B25:$X25)/SUMPRODUCT(实盘持仓配置!$B$7:$X$7,'实盘净值数据(iFinD公式)'!$B25:$X25/'实盘净值数据(iFinD公式)'!$B$8:$X$8))*(1-实盘持仓配置!$Z$7)^(('实盘净值数据(iFinD公式)'!$A26-'实盘净值数据(iFinD公式)'!$A25)/365)-1)</f>
        <v/>
      </c>
      <c r="M26" s="52">
        <f>IF(K26="","",K26/MAX(K$5:K26)-1)</f>
        <v/>
      </c>
      <c r="N26" s="180">
        <f>IF(OR((ROW()-1)&lt;5,'实盘净值数据(iFinD公式)'!$A26="",'实盘净值数据(iFinD公式)'!$B26=""),"",SUMPRODUCT(实盘持仓配置!$B$8:$X$8,'实盘净值数据(iFinD公式)'!$B26:$X26/'实盘净值数据(iFinD公式)'!$B$5:$X$5)*(1-实盘持仓配置!$Z$8)^(('实盘净值数据(iFinD公式)'!$A26-'实盘净值数据(iFinD公式)'!$A$5)/365))</f>
        <v/>
      </c>
      <c r="O26" s="52">
        <f>IF(OR(N25="",'实盘净值数据(iFinD公式)'!$A26="",'实盘净值数据(iFinD公式)'!$B26=""),"",(SUMPRODUCT(实盘持仓配置!$B$8:$X$8,'实盘净值数据(iFinD公式)'!$B25:$X25/'实盘净值数据(iFinD公式)'!$B$5:$X$5,'实盘净值数据(iFinD公式)'!$B26:$X26/'实盘净值数据(iFinD公式)'!$B25:$X25)/SUMPRODUCT(实盘持仓配置!$B$8:$X$8,'实盘净值数据(iFinD公式)'!$B25:$X25/'实盘净值数据(iFinD公式)'!$B$5:$X$5))*(1-实盘持仓配置!$Z$8)^(('实盘净值数据(iFinD公式)'!$A26-'实盘净值数据(iFinD公式)'!$A25)/365)-1)</f>
        <v/>
      </c>
      <c r="P26" s="52">
        <f>IF(N26="","",N26/MAX(N$5:N26)-1)</f>
        <v/>
      </c>
      <c r="Q26" s="180">
        <f>IF(OR((ROW()-1)&lt;8,'实盘净值数据(iFinD公式)'!$A26="",'实盘净值数据(iFinD公式)'!$B26=""),"",SUMPRODUCT(实盘持仓配置!$B$9:$X$9,'实盘净值数据(iFinD公式)'!$B26:$X26/'实盘净值数据(iFinD公式)'!$B$8:$X$8)*(1-实盘持仓配置!$Z$9)^(('实盘净值数据(iFinD公式)'!$A26-'实盘净值数据(iFinD公式)'!$A$8)/365))</f>
        <v/>
      </c>
      <c r="R26" s="52">
        <f>IF(OR(Q25="",'实盘净值数据(iFinD公式)'!$A26="",'实盘净值数据(iFinD公式)'!$B26=""),"",(SUMPRODUCT(实盘持仓配置!$B$9:$X$9,'实盘净值数据(iFinD公式)'!$B25:$X25/'实盘净值数据(iFinD公式)'!$B$8:$X$8,'实盘净值数据(iFinD公式)'!$B26:$X26/'实盘净值数据(iFinD公式)'!$B25:$X25)/SUMPRODUCT(实盘持仓配置!$B$9:$X$9,'实盘净值数据(iFinD公式)'!$B25:$X25/'实盘净值数据(iFinD公式)'!$B$8:$X$8))*(1-实盘持仓配置!$Z$9)^(('实盘净值数据(iFinD公式)'!$A26-'实盘净值数据(iFinD公式)'!$A25)/365)-1)</f>
        <v/>
      </c>
      <c r="S26" s="52">
        <f>IF(Q26="","",Q26/MAX(Q$5:Q26)-1)</f>
        <v/>
      </c>
    </row>
    <row r="27">
      <c r="A27" s="181">
        <f>IF('实盘净值数据(iFinD公式)'!A27="","",'实盘净值数据(iFinD公式)'!A27)</f>
        <v/>
      </c>
      <c r="B27" s="180">
        <f>IF(OR((ROW()-1)&lt;6,'实盘净值数据(iFinD公式)'!$A27="",'实盘净值数据(iFinD公式)'!$B27=""),"",SUMPRODUCT(实盘持仓配置!$B$4:$X$4,'实盘净值数据(iFinD公式)'!$B27:$X27/'实盘净值数据(iFinD公式)'!$B$6:$X$6)*(1-实盘持仓配置!$Z$4)^(('实盘净值数据(iFinD公式)'!$A27-'实盘净值数据(iFinD公式)'!$A$6)/365))</f>
        <v/>
      </c>
      <c r="C27" s="52">
        <f>IF(OR(B26="",'实盘净值数据(iFinD公式)'!$A27="",'实盘净值数据(iFinD公式)'!$B27=""),"",(SUMPRODUCT(实盘持仓配置!$B$4:$X$4,'实盘净值数据(iFinD公式)'!$B26:$X26/'实盘净值数据(iFinD公式)'!$B$6:$X$6,'实盘净值数据(iFinD公式)'!$B27:$X27/'实盘净值数据(iFinD公式)'!$B26:$X26)/SUMPRODUCT(实盘持仓配置!$B$4:$X$4,'实盘净值数据(iFinD公式)'!$B26:$X26/'实盘净值数据(iFinD公式)'!$B$6:$X$6))*(1-实盘持仓配置!$Z$4)^(('实盘净值数据(iFinD公式)'!$A27-'实盘净值数据(iFinD公式)'!$A26)/365)-1)</f>
        <v/>
      </c>
      <c r="D27" s="52">
        <f>IF(B27="","",B27/MAX(B$5:B27)-1)</f>
        <v/>
      </c>
      <c r="E27" s="180">
        <f>IF(OR((ROW()-1)&lt;5,'实盘净值数据(iFinD公式)'!$A27="",'实盘净值数据(iFinD公式)'!$B27=""),"",SUMPRODUCT(实盘持仓配置!$B$5:$X$5,'实盘净值数据(iFinD公式)'!$B27:$X27/'实盘净值数据(iFinD公式)'!$B$5:$X$5)*(1-实盘持仓配置!$Z$5)^(('实盘净值数据(iFinD公式)'!$A27-'实盘净值数据(iFinD公式)'!$A$5)/365))</f>
        <v/>
      </c>
      <c r="F27" s="52">
        <f>IF(OR(E26="",'实盘净值数据(iFinD公式)'!$A27="",'实盘净值数据(iFinD公式)'!$B27=""),"",(SUMPRODUCT(实盘持仓配置!$B$5:$X$5,'实盘净值数据(iFinD公式)'!$B26:$X26/'实盘净值数据(iFinD公式)'!$B$5:$X$5,'实盘净值数据(iFinD公式)'!$B27:$X27/'实盘净值数据(iFinD公式)'!$B26:$X26)/SUMPRODUCT(实盘持仓配置!$B$5:$X$5,'实盘净值数据(iFinD公式)'!$B26:$X26/'实盘净值数据(iFinD公式)'!$B$5:$X$5))*(1-实盘持仓配置!$Z$5)^(('实盘净值数据(iFinD公式)'!$A27-'实盘净值数据(iFinD公式)'!$A26)/365)-1)</f>
        <v/>
      </c>
      <c r="G27" s="52">
        <f>IF(E27="","",E27/MAX(E$5:E27)-1)</f>
        <v/>
      </c>
      <c r="H27" s="180">
        <f>IF(OR((ROW()-1)&lt;7,'实盘净值数据(iFinD公式)'!$A27="",'实盘净值数据(iFinD公式)'!$B27=""),"",SUMPRODUCT(实盘持仓配置!$B$6:$X$6,'实盘净值数据(iFinD公式)'!$B27:$X27/'实盘净值数据(iFinD公式)'!$B$7:$X$7)*(1-实盘持仓配置!$Z$6)^(('实盘净值数据(iFinD公式)'!$A27-'实盘净值数据(iFinD公式)'!$A$7)/365))</f>
        <v/>
      </c>
      <c r="I27" s="52">
        <f>IF(OR(H26="",'实盘净值数据(iFinD公式)'!$A27="",'实盘净值数据(iFinD公式)'!$B27=""),"",(SUMPRODUCT(实盘持仓配置!$B$6:$X$6,'实盘净值数据(iFinD公式)'!$B26:$X26/'实盘净值数据(iFinD公式)'!$B$7:$X$7,'实盘净值数据(iFinD公式)'!$B27:$X27/'实盘净值数据(iFinD公式)'!$B26:$X26)/SUMPRODUCT(实盘持仓配置!$B$6:$X$6,'实盘净值数据(iFinD公式)'!$B26:$X26/'实盘净值数据(iFinD公式)'!$B$7:$X$7))*(1-实盘持仓配置!$Z$6)^(('实盘净值数据(iFinD公式)'!$A27-'实盘净值数据(iFinD公式)'!$A26)/365)-1)</f>
        <v/>
      </c>
      <c r="J27" s="52">
        <f>IF(H27="","",H27/MAX(H$5:H27)-1)</f>
        <v/>
      </c>
      <c r="K27" s="180">
        <f>IF(OR((ROW()-1)&lt;8,'实盘净值数据(iFinD公式)'!$A27="",'实盘净值数据(iFinD公式)'!$B27=""),"",SUMPRODUCT(实盘持仓配置!$B$7:$X$7,'实盘净值数据(iFinD公式)'!$B27:$X27/'实盘净值数据(iFinD公式)'!$B$8:$X$8)*(1-实盘持仓配置!$Z$7)^(('实盘净值数据(iFinD公式)'!$A27-'实盘净值数据(iFinD公式)'!$A$8)/365))</f>
        <v/>
      </c>
      <c r="L27" s="52">
        <f>IF(OR(K26="",'实盘净值数据(iFinD公式)'!$A27="",'实盘净值数据(iFinD公式)'!$B27=""),"",(SUMPRODUCT(实盘持仓配置!$B$7:$X$7,'实盘净值数据(iFinD公式)'!$B26:$X26/'实盘净值数据(iFinD公式)'!$B$8:$X$8,'实盘净值数据(iFinD公式)'!$B27:$X27/'实盘净值数据(iFinD公式)'!$B26:$X26)/SUMPRODUCT(实盘持仓配置!$B$7:$X$7,'实盘净值数据(iFinD公式)'!$B26:$X26/'实盘净值数据(iFinD公式)'!$B$8:$X$8))*(1-实盘持仓配置!$Z$7)^(('实盘净值数据(iFinD公式)'!$A27-'实盘净值数据(iFinD公式)'!$A26)/365)-1)</f>
        <v/>
      </c>
      <c r="M27" s="52">
        <f>IF(K27="","",K27/MAX(K$5:K27)-1)</f>
        <v/>
      </c>
      <c r="N27" s="180">
        <f>IF(OR((ROW()-1)&lt;5,'实盘净值数据(iFinD公式)'!$A27="",'实盘净值数据(iFinD公式)'!$B27=""),"",SUMPRODUCT(实盘持仓配置!$B$8:$X$8,'实盘净值数据(iFinD公式)'!$B27:$X27/'实盘净值数据(iFinD公式)'!$B$5:$X$5)*(1-实盘持仓配置!$Z$8)^(('实盘净值数据(iFinD公式)'!$A27-'实盘净值数据(iFinD公式)'!$A$5)/365))</f>
        <v/>
      </c>
      <c r="O27" s="52">
        <f>IF(OR(N26="",'实盘净值数据(iFinD公式)'!$A27="",'实盘净值数据(iFinD公式)'!$B27=""),"",(SUMPRODUCT(实盘持仓配置!$B$8:$X$8,'实盘净值数据(iFinD公式)'!$B26:$X26/'实盘净值数据(iFinD公式)'!$B$5:$X$5,'实盘净值数据(iFinD公式)'!$B27:$X27/'实盘净值数据(iFinD公式)'!$B26:$X26)/SUMPRODUCT(实盘持仓配置!$B$8:$X$8,'实盘净值数据(iFinD公式)'!$B26:$X26/'实盘净值数据(iFinD公式)'!$B$5:$X$5))*(1-实盘持仓配置!$Z$8)^(('实盘净值数据(iFinD公式)'!$A27-'实盘净值数据(iFinD公式)'!$A26)/365)-1)</f>
        <v/>
      </c>
      <c r="P27" s="52">
        <f>IF(N27="","",N27/MAX(N$5:N27)-1)</f>
        <v/>
      </c>
      <c r="Q27" s="180">
        <f>IF(OR((ROW()-1)&lt;8,'实盘净值数据(iFinD公式)'!$A27="",'实盘净值数据(iFinD公式)'!$B27=""),"",SUMPRODUCT(实盘持仓配置!$B$9:$X$9,'实盘净值数据(iFinD公式)'!$B27:$X27/'实盘净值数据(iFinD公式)'!$B$8:$X$8)*(1-实盘持仓配置!$Z$9)^(('实盘净值数据(iFinD公式)'!$A27-'实盘净值数据(iFinD公式)'!$A$8)/365))</f>
        <v/>
      </c>
      <c r="R27" s="52">
        <f>IF(OR(Q26="",'实盘净值数据(iFinD公式)'!$A27="",'实盘净值数据(iFinD公式)'!$B27=""),"",(SUMPRODUCT(实盘持仓配置!$B$9:$X$9,'实盘净值数据(iFinD公式)'!$B26:$X26/'实盘净值数据(iFinD公式)'!$B$8:$X$8,'实盘净值数据(iFinD公式)'!$B27:$X27/'实盘净值数据(iFinD公式)'!$B26:$X26)/SUMPRODUCT(实盘持仓配置!$B$9:$X$9,'实盘净值数据(iFinD公式)'!$B26:$X26/'实盘净值数据(iFinD公式)'!$B$8:$X$8))*(1-实盘持仓配置!$Z$9)^(('实盘净值数据(iFinD公式)'!$A27-'实盘净值数据(iFinD公式)'!$A26)/365)-1)</f>
        <v/>
      </c>
      <c r="S27" s="52">
        <f>IF(Q27="","",Q27/MAX(Q$5:Q27)-1)</f>
        <v/>
      </c>
    </row>
    <row r="28">
      <c r="A28" s="181">
        <f>IF('实盘净值数据(iFinD公式)'!A28="","",'实盘净值数据(iFinD公式)'!A28)</f>
        <v/>
      </c>
      <c r="B28" s="180">
        <f>IF(OR((ROW()-1)&lt;6,'实盘净值数据(iFinD公式)'!$A28="",'实盘净值数据(iFinD公式)'!$B28=""),"",SUMPRODUCT(实盘持仓配置!$B$4:$X$4,'实盘净值数据(iFinD公式)'!$B28:$X28/'实盘净值数据(iFinD公式)'!$B$6:$X$6)*(1-实盘持仓配置!$Z$4)^(('实盘净值数据(iFinD公式)'!$A28-'实盘净值数据(iFinD公式)'!$A$6)/365))</f>
        <v/>
      </c>
      <c r="C28" s="52">
        <f>IF(OR(B27="",'实盘净值数据(iFinD公式)'!$A28="",'实盘净值数据(iFinD公式)'!$B28=""),"",(SUMPRODUCT(实盘持仓配置!$B$4:$X$4,'实盘净值数据(iFinD公式)'!$B27:$X27/'实盘净值数据(iFinD公式)'!$B$6:$X$6,'实盘净值数据(iFinD公式)'!$B28:$X28/'实盘净值数据(iFinD公式)'!$B27:$X27)/SUMPRODUCT(实盘持仓配置!$B$4:$X$4,'实盘净值数据(iFinD公式)'!$B27:$X27/'实盘净值数据(iFinD公式)'!$B$6:$X$6))*(1-实盘持仓配置!$Z$4)^(('实盘净值数据(iFinD公式)'!$A28-'实盘净值数据(iFinD公式)'!$A27)/365)-1)</f>
        <v/>
      </c>
      <c r="D28" s="52">
        <f>IF(B28="","",B28/MAX(B$5:B28)-1)</f>
        <v/>
      </c>
      <c r="E28" s="180">
        <f>IF(OR((ROW()-1)&lt;5,'实盘净值数据(iFinD公式)'!$A28="",'实盘净值数据(iFinD公式)'!$B28=""),"",SUMPRODUCT(实盘持仓配置!$B$5:$X$5,'实盘净值数据(iFinD公式)'!$B28:$X28/'实盘净值数据(iFinD公式)'!$B$5:$X$5)*(1-实盘持仓配置!$Z$5)^(('实盘净值数据(iFinD公式)'!$A28-'实盘净值数据(iFinD公式)'!$A$5)/365))</f>
        <v/>
      </c>
      <c r="F28" s="52">
        <f>IF(OR(E27="",'实盘净值数据(iFinD公式)'!$A28="",'实盘净值数据(iFinD公式)'!$B28=""),"",(SUMPRODUCT(实盘持仓配置!$B$5:$X$5,'实盘净值数据(iFinD公式)'!$B27:$X27/'实盘净值数据(iFinD公式)'!$B$5:$X$5,'实盘净值数据(iFinD公式)'!$B28:$X28/'实盘净值数据(iFinD公式)'!$B27:$X27)/SUMPRODUCT(实盘持仓配置!$B$5:$X$5,'实盘净值数据(iFinD公式)'!$B27:$X27/'实盘净值数据(iFinD公式)'!$B$5:$X$5))*(1-实盘持仓配置!$Z$5)^(('实盘净值数据(iFinD公式)'!$A28-'实盘净值数据(iFinD公式)'!$A27)/365)-1)</f>
        <v/>
      </c>
      <c r="G28" s="52">
        <f>IF(E28="","",E28/MAX(E$5:E28)-1)</f>
        <v/>
      </c>
      <c r="H28" s="180">
        <f>IF(OR((ROW()-1)&lt;7,'实盘净值数据(iFinD公式)'!$A28="",'实盘净值数据(iFinD公式)'!$B28=""),"",SUMPRODUCT(实盘持仓配置!$B$6:$X$6,'实盘净值数据(iFinD公式)'!$B28:$X28/'实盘净值数据(iFinD公式)'!$B$7:$X$7)*(1-实盘持仓配置!$Z$6)^(('实盘净值数据(iFinD公式)'!$A28-'实盘净值数据(iFinD公式)'!$A$7)/365))</f>
        <v/>
      </c>
      <c r="I28" s="52">
        <f>IF(OR(H27="",'实盘净值数据(iFinD公式)'!$A28="",'实盘净值数据(iFinD公式)'!$B28=""),"",(SUMPRODUCT(实盘持仓配置!$B$6:$X$6,'实盘净值数据(iFinD公式)'!$B27:$X27/'实盘净值数据(iFinD公式)'!$B$7:$X$7,'实盘净值数据(iFinD公式)'!$B28:$X28/'实盘净值数据(iFinD公式)'!$B27:$X27)/SUMPRODUCT(实盘持仓配置!$B$6:$X$6,'实盘净值数据(iFinD公式)'!$B27:$X27/'实盘净值数据(iFinD公式)'!$B$7:$X$7))*(1-实盘持仓配置!$Z$6)^(('实盘净值数据(iFinD公式)'!$A28-'实盘净值数据(iFinD公式)'!$A27)/365)-1)</f>
        <v/>
      </c>
      <c r="J28" s="52">
        <f>IF(H28="","",H28/MAX(H$5:H28)-1)</f>
        <v/>
      </c>
      <c r="K28" s="180">
        <f>IF(OR((ROW()-1)&lt;8,'实盘净值数据(iFinD公式)'!$A28="",'实盘净值数据(iFinD公式)'!$B28=""),"",SUMPRODUCT(实盘持仓配置!$B$7:$X$7,'实盘净值数据(iFinD公式)'!$B28:$X28/'实盘净值数据(iFinD公式)'!$B$8:$X$8)*(1-实盘持仓配置!$Z$7)^(('实盘净值数据(iFinD公式)'!$A28-'实盘净值数据(iFinD公式)'!$A$8)/365))</f>
        <v/>
      </c>
      <c r="L28" s="52">
        <f>IF(OR(K27="",'实盘净值数据(iFinD公式)'!$A28="",'实盘净值数据(iFinD公式)'!$B28=""),"",(SUMPRODUCT(实盘持仓配置!$B$7:$X$7,'实盘净值数据(iFinD公式)'!$B27:$X27/'实盘净值数据(iFinD公式)'!$B$8:$X$8,'实盘净值数据(iFinD公式)'!$B28:$X28/'实盘净值数据(iFinD公式)'!$B27:$X27)/SUMPRODUCT(实盘持仓配置!$B$7:$X$7,'实盘净值数据(iFinD公式)'!$B27:$X27/'实盘净值数据(iFinD公式)'!$B$8:$X$8))*(1-实盘持仓配置!$Z$7)^(('实盘净值数据(iFinD公式)'!$A28-'实盘净值数据(iFinD公式)'!$A27)/365)-1)</f>
        <v/>
      </c>
      <c r="M28" s="52">
        <f>IF(K28="","",K28/MAX(K$5:K28)-1)</f>
        <v/>
      </c>
      <c r="N28" s="180">
        <f>IF(OR((ROW()-1)&lt;5,'实盘净值数据(iFinD公式)'!$A28="",'实盘净值数据(iFinD公式)'!$B28=""),"",SUMPRODUCT(实盘持仓配置!$B$8:$X$8,'实盘净值数据(iFinD公式)'!$B28:$X28/'实盘净值数据(iFinD公式)'!$B$5:$X$5)*(1-实盘持仓配置!$Z$8)^(('实盘净值数据(iFinD公式)'!$A28-'实盘净值数据(iFinD公式)'!$A$5)/365))</f>
        <v/>
      </c>
      <c r="O28" s="52">
        <f>IF(OR(N27="",'实盘净值数据(iFinD公式)'!$A28="",'实盘净值数据(iFinD公式)'!$B28=""),"",(SUMPRODUCT(实盘持仓配置!$B$8:$X$8,'实盘净值数据(iFinD公式)'!$B27:$X27/'实盘净值数据(iFinD公式)'!$B$5:$X$5,'实盘净值数据(iFinD公式)'!$B28:$X28/'实盘净值数据(iFinD公式)'!$B27:$X27)/SUMPRODUCT(实盘持仓配置!$B$8:$X$8,'实盘净值数据(iFinD公式)'!$B27:$X27/'实盘净值数据(iFinD公式)'!$B$5:$X$5))*(1-实盘持仓配置!$Z$8)^(('实盘净值数据(iFinD公式)'!$A28-'实盘净值数据(iFinD公式)'!$A27)/365)-1)</f>
        <v/>
      </c>
      <c r="P28" s="52">
        <f>IF(N28="","",N28/MAX(N$5:N28)-1)</f>
        <v/>
      </c>
      <c r="Q28" s="180">
        <f>IF(OR((ROW()-1)&lt;8,'实盘净值数据(iFinD公式)'!$A28="",'实盘净值数据(iFinD公式)'!$B28=""),"",SUMPRODUCT(实盘持仓配置!$B$9:$X$9,'实盘净值数据(iFinD公式)'!$B28:$X28/'实盘净值数据(iFinD公式)'!$B$8:$X$8)*(1-实盘持仓配置!$Z$9)^(('实盘净值数据(iFinD公式)'!$A28-'实盘净值数据(iFinD公式)'!$A$8)/365))</f>
        <v/>
      </c>
      <c r="R28" s="52">
        <f>IF(OR(Q27="",'实盘净值数据(iFinD公式)'!$A28="",'实盘净值数据(iFinD公式)'!$B28=""),"",(SUMPRODUCT(实盘持仓配置!$B$9:$X$9,'实盘净值数据(iFinD公式)'!$B27:$X27/'实盘净值数据(iFinD公式)'!$B$8:$X$8,'实盘净值数据(iFinD公式)'!$B28:$X28/'实盘净值数据(iFinD公式)'!$B27:$X27)/SUMPRODUCT(实盘持仓配置!$B$9:$X$9,'实盘净值数据(iFinD公式)'!$B27:$X27/'实盘净值数据(iFinD公式)'!$B$8:$X$8))*(1-实盘持仓配置!$Z$9)^(('实盘净值数据(iFinD公式)'!$A28-'实盘净值数据(iFinD公式)'!$A27)/365)-1)</f>
        <v/>
      </c>
      <c r="S28" s="52">
        <f>IF(Q28="","",Q28/MAX(Q$5:Q28)-1)</f>
        <v/>
      </c>
    </row>
    <row r="29">
      <c r="A29" s="181">
        <f>IF('实盘净值数据(iFinD公式)'!A29="","",'实盘净值数据(iFinD公式)'!A29)</f>
        <v/>
      </c>
      <c r="B29" s="180">
        <f>IF(OR((ROW()-1)&lt;6,'实盘净值数据(iFinD公式)'!$A29="",'实盘净值数据(iFinD公式)'!$B29=""),"",SUMPRODUCT(实盘持仓配置!$B$4:$X$4,'实盘净值数据(iFinD公式)'!$B29:$X29/'实盘净值数据(iFinD公式)'!$B$6:$X$6)*(1-实盘持仓配置!$Z$4)^(('实盘净值数据(iFinD公式)'!$A29-'实盘净值数据(iFinD公式)'!$A$6)/365))</f>
        <v/>
      </c>
      <c r="C29" s="52">
        <f>IF(OR(B28="",'实盘净值数据(iFinD公式)'!$A29="",'实盘净值数据(iFinD公式)'!$B29=""),"",(SUMPRODUCT(实盘持仓配置!$B$4:$X$4,'实盘净值数据(iFinD公式)'!$B28:$X28/'实盘净值数据(iFinD公式)'!$B$6:$X$6,'实盘净值数据(iFinD公式)'!$B29:$X29/'实盘净值数据(iFinD公式)'!$B28:$X28)/SUMPRODUCT(实盘持仓配置!$B$4:$X$4,'实盘净值数据(iFinD公式)'!$B28:$X28/'实盘净值数据(iFinD公式)'!$B$6:$X$6))*(1-实盘持仓配置!$Z$4)^(('实盘净值数据(iFinD公式)'!$A29-'实盘净值数据(iFinD公式)'!$A28)/365)-1)</f>
        <v/>
      </c>
      <c r="D29" s="52">
        <f>IF(B29="","",B29/MAX(B$5:B29)-1)</f>
        <v/>
      </c>
      <c r="E29" s="180">
        <f>IF(OR((ROW()-1)&lt;5,'实盘净值数据(iFinD公式)'!$A29="",'实盘净值数据(iFinD公式)'!$B29=""),"",SUMPRODUCT(实盘持仓配置!$B$5:$X$5,'实盘净值数据(iFinD公式)'!$B29:$X29/'实盘净值数据(iFinD公式)'!$B$5:$X$5)*(1-实盘持仓配置!$Z$5)^(('实盘净值数据(iFinD公式)'!$A29-'实盘净值数据(iFinD公式)'!$A$5)/365))</f>
        <v/>
      </c>
      <c r="F29" s="52">
        <f>IF(OR(E28="",'实盘净值数据(iFinD公式)'!$A29="",'实盘净值数据(iFinD公式)'!$B29=""),"",(SUMPRODUCT(实盘持仓配置!$B$5:$X$5,'实盘净值数据(iFinD公式)'!$B28:$X28/'实盘净值数据(iFinD公式)'!$B$5:$X$5,'实盘净值数据(iFinD公式)'!$B29:$X29/'实盘净值数据(iFinD公式)'!$B28:$X28)/SUMPRODUCT(实盘持仓配置!$B$5:$X$5,'实盘净值数据(iFinD公式)'!$B28:$X28/'实盘净值数据(iFinD公式)'!$B$5:$X$5))*(1-实盘持仓配置!$Z$5)^(('实盘净值数据(iFinD公式)'!$A29-'实盘净值数据(iFinD公式)'!$A28)/365)-1)</f>
        <v/>
      </c>
      <c r="G29" s="52">
        <f>IF(E29="","",E29/MAX(E$5:E29)-1)</f>
        <v/>
      </c>
      <c r="H29" s="180">
        <f>IF(OR((ROW()-1)&lt;7,'实盘净值数据(iFinD公式)'!$A29="",'实盘净值数据(iFinD公式)'!$B29=""),"",SUMPRODUCT(实盘持仓配置!$B$6:$X$6,'实盘净值数据(iFinD公式)'!$B29:$X29/'实盘净值数据(iFinD公式)'!$B$7:$X$7)*(1-实盘持仓配置!$Z$6)^(('实盘净值数据(iFinD公式)'!$A29-'实盘净值数据(iFinD公式)'!$A$7)/365))</f>
        <v/>
      </c>
      <c r="I29" s="52">
        <f>IF(OR(H28="",'实盘净值数据(iFinD公式)'!$A29="",'实盘净值数据(iFinD公式)'!$B29=""),"",(SUMPRODUCT(实盘持仓配置!$B$6:$X$6,'实盘净值数据(iFinD公式)'!$B28:$X28/'实盘净值数据(iFinD公式)'!$B$7:$X$7,'实盘净值数据(iFinD公式)'!$B29:$X29/'实盘净值数据(iFinD公式)'!$B28:$X28)/SUMPRODUCT(实盘持仓配置!$B$6:$X$6,'实盘净值数据(iFinD公式)'!$B28:$X28/'实盘净值数据(iFinD公式)'!$B$7:$X$7))*(1-实盘持仓配置!$Z$6)^(('实盘净值数据(iFinD公式)'!$A29-'实盘净值数据(iFinD公式)'!$A28)/365)-1)</f>
        <v/>
      </c>
      <c r="J29" s="52">
        <f>IF(H29="","",H29/MAX(H$5:H29)-1)</f>
        <v/>
      </c>
      <c r="K29" s="180">
        <f>IF(OR((ROW()-1)&lt;8,'实盘净值数据(iFinD公式)'!$A29="",'实盘净值数据(iFinD公式)'!$B29=""),"",SUMPRODUCT(实盘持仓配置!$B$7:$X$7,'实盘净值数据(iFinD公式)'!$B29:$X29/'实盘净值数据(iFinD公式)'!$B$8:$X$8)*(1-实盘持仓配置!$Z$7)^(('实盘净值数据(iFinD公式)'!$A29-'实盘净值数据(iFinD公式)'!$A$8)/365))</f>
        <v/>
      </c>
      <c r="L29" s="52">
        <f>IF(OR(K28="",'实盘净值数据(iFinD公式)'!$A29="",'实盘净值数据(iFinD公式)'!$B29=""),"",(SUMPRODUCT(实盘持仓配置!$B$7:$X$7,'实盘净值数据(iFinD公式)'!$B28:$X28/'实盘净值数据(iFinD公式)'!$B$8:$X$8,'实盘净值数据(iFinD公式)'!$B29:$X29/'实盘净值数据(iFinD公式)'!$B28:$X28)/SUMPRODUCT(实盘持仓配置!$B$7:$X$7,'实盘净值数据(iFinD公式)'!$B28:$X28/'实盘净值数据(iFinD公式)'!$B$8:$X$8))*(1-实盘持仓配置!$Z$7)^(('实盘净值数据(iFinD公式)'!$A29-'实盘净值数据(iFinD公式)'!$A28)/365)-1)</f>
        <v/>
      </c>
      <c r="M29" s="52">
        <f>IF(K29="","",K29/MAX(K$5:K29)-1)</f>
        <v/>
      </c>
      <c r="N29" s="180">
        <f>IF(OR((ROW()-1)&lt;5,'实盘净值数据(iFinD公式)'!$A29="",'实盘净值数据(iFinD公式)'!$B29=""),"",SUMPRODUCT(实盘持仓配置!$B$8:$X$8,'实盘净值数据(iFinD公式)'!$B29:$X29/'实盘净值数据(iFinD公式)'!$B$5:$X$5)*(1-实盘持仓配置!$Z$8)^(('实盘净值数据(iFinD公式)'!$A29-'实盘净值数据(iFinD公式)'!$A$5)/365))</f>
        <v/>
      </c>
      <c r="O29" s="52">
        <f>IF(OR(N28="",'实盘净值数据(iFinD公式)'!$A29="",'实盘净值数据(iFinD公式)'!$B29=""),"",(SUMPRODUCT(实盘持仓配置!$B$8:$X$8,'实盘净值数据(iFinD公式)'!$B28:$X28/'实盘净值数据(iFinD公式)'!$B$5:$X$5,'实盘净值数据(iFinD公式)'!$B29:$X29/'实盘净值数据(iFinD公式)'!$B28:$X28)/SUMPRODUCT(实盘持仓配置!$B$8:$X$8,'实盘净值数据(iFinD公式)'!$B28:$X28/'实盘净值数据(iFinD公式)'!$B$5:$X$5))*(1-实盘持仓配置!$Z$8)^(('实盘净值数据(iFinD公式)'!$A29-'实盘净值数据(iFinD公式)'!$A28)/365)-1)</f>
        <v/>
      </c>
      <c r="P29" s="52">
        <f>IF(N29="","",N29/MAX(N$5:N29)-1)</f>
        <v/>
      </c>
      <c r="Q29" s="180">
        <f>IF(OR((ROW()-1)&lt;8,'实盘净值数据(iFinD公式)'!$A29="",'实盘净值数据(iFinD公式)'!$B29=""),"",SUMPRODUCT(实盘持仓配置!$B$9:$X$9,'实盘净值数据(iFinD公式)'!$B29:$X29/'实盘净值数据(iFinD公式)'!$B$8:$X$8)*(1-实盘持仓配置!$Z$9)^(('实盘净值数据(iFinD公式)'!$A29-'实盘净值数据(iFinD公式)'!$A$8)/365))</f>
        <v/>
      </c>
      <c r="R29" s="52">
        <f>IF(OR(Q28="",'实盘净值数据(iFinD公式)'!$A29="",'实盘净值数据(iFinD公式)'!$B29=""),"",(SUMPRODUCT(实盘持仓配置!$B$9:$X$9,'实盘净值数据(iFinD公式)'!$B28:$X28/'实盘净值数据(iFinD公式)'!$B$8:$X$8,'实盘净值数据(iFinD公式)'!$B29:$X29/'实盘净值数据(iFinD公式)'!$B28:$X28)/SUMPRODUCT(实盘持仓配置!$B$9:$X$9,'实盘净值数据(iFinD公式)'!$B28:$X28/'实盘净值数据(iFinD公式)'!$B$8:$X$8))*(1-实盘持仓配置!$Z$9)^(('实盘净值数据(iFinD公式)'!$A29-'实盘净值数据(iFinD公式)'!$A28)/365)-1)</f>
        <v/>
      </c>
      <c r="S29" s="52">
        <f>IF(Q29="","",Q29/MAX(Q$5:Q29)-1)</f>
        <v/>
      </c>
    </row>
    <row r="30">
      <c r="A30" s="181">
        <f>IF('实盘净值数据(iFinD公式)'!A30="","",'实盘净值数据(iFinD公式)'!A30)</f>
        <v/>
      </c>
      <c r="B30" s="180">
        <f>IF(OR((ROW()-1)&lt;6,'实盘净值数据(iFinD公式)'!$A30="",'实盘净值数据(iFinD公式)'!$B30=""),"",SUMPRODUCT(实盘持仓配置!$B$4:$X$4,'实盘净值数据(iFinD公式)'!$B30:$X30/'实盘净值数据(iFinD公式)'!$B$6:$X$6)*(1-实盘持仓配置!$Z$4)^(('实盘净值数据(iFinD公式)'!$A30-'实盘净值数据(iFinD公式)'!$A$6)/365))</f>
        <v/>
      </c>
      <c r="C30" s="52">
        <f>IF(OR(B29="",'实盘净值数据(iFinD公式)'!$A30="",'实盘净值数据(iFinD公式)'!$B30=""),"",(SUMPRODUCT(实盘持仓配置!$B$4:$X$4,'实盘净值数据(iFinD公式)'!$B29:$X29/'实盘净值数据(iFinD公式)'!$B$6:$X$6,'实盘净值数据(iFinD公式)'!$B30:$X30/'实盘净值数据(iFinD公式)'!$B29:$X29)/SUMPRODUCT(实盘持仓配置!$B$4:$X$4,'实盘净值数据(iFinD公式)'!$B29:$X29/'实盘净值数据(iFinD公式)'!$B$6:$X$6))*(1-实盘持仓配置!$Z$4)^(('实盘净值数据(iFinD公式)'!$A30-'实盘净值数据(iFinD公式)'!$A29)/365)-1)</f>
        <v/>
      </c>
      <c r="D30" s="52">
        <f>IF(B30="","",B30/MAX(B$5:B30)-1)</f>
        <v/>
      </c>
      <c r="E30" s="180">
        <f>IF(OR((ROW()-1)&lt;5,'实盘净值数据(iFinD公式)'!$A30="",'实盘净值数据(iFinD公式)'!$B30=""),"",SUMPRODUCT(实盘持仓配置!$B$5:$X$5,'实盘净值数据(iFinD公式)'!$B30:$X30/'实盘净值数据(iFinD公式)'!$B$5:$X$5)*(1-实盘持仓配置!$Z$5)^(('实盘净值数据(iFinD公式)'!$A30-'实盘净值数据(iFinD公式)'!$A$5)/365))</f>
        <v/>
      </c>
      <c r="F30" s="52">
        <f>IF(OR(E29="",'实盘净值数据(iFinD公式)'!$A30="",'实盘净值数据(iFinD公式)'!$B30=""),"",(SUMPRODUCT(实盘持仓配置!$B$5:$X$5,'实盘净值数据(iFinD公式)'!$B29:$X29/'实盘净值数据(iFinD公式)'!$B$5:$X$5,'实盘净值数据(iFinD公式)'!$B30:$X30/'实盘净值数据(iFinD公式)'!$B29:$X29)/SUMPRODUCT(实盘持仓配置!$B$5:$X$5,'实盘净值数据(iFinD公式)'!$B29:$X29/'实盘净值数据(iFinD公式)'!$B$5:$X$5))*(1-实盘持仓配置!$Z$5)^(('实盘净值数据(iFinD公式)'!$A30-'实盘净值数据(iFinD公式)'!$A29)/365)-1)</f>
        <v/>
      </c>
      <c r="G30" s="52">
        <f>IF(E30="","",E30/MAX(E$5:E30)-1)</f>
        <v/>
      </c>
      <c r="H30" s="180">
        <f>IF(OR((ROW()-1)&lt;7,'实盘净值数据(iFinD公式)'!$A30="",'实盘净值数据(iFinD公式)'!$B30=""),"",SUMPRODUCT(实盘持仓配置!$B$6:$X$6,'实盘净值数据(iFinD公式)'!$B30:$X30/'实盘净值数据(iFinD公式)'!$B$7:$X$7)*(1-实盘持仓配置!$Z$6)^(('实盘净值数据(iFinD公式)'!$A30-'实盘净值数据(iFinD公式)'!$A$7)/365))</f>
        <v/>
      </c>
      <c r="I30" s="52">
        <f>IF(OR(H29="",'实盘净值数据(iFinD公式)'!$A30="",'实盘净值数据(iFinD公式)'!$B30=""),"",(SUMPRODUCT(实盘持仓配置!$B$6:$X$6,'实盘净值数据(iFinD公式)'!$B29:$X29/'实盘净值数据(iFinD公式)'!$B$7:$X$7,'实盘净值数据(iFinD公式)'!$B30:$X30/'实盘净值数据(iFinD公式)'!$B29:$X29)/SUMPRODUCT(实盘持仓配置!$B$6:$X$6,'实盘净值数据(iFinD公式)'!$B29:$X29/'实盘净值数据(iFinD公式)'!$B$7:$X$7))*(1-实盘持仓配置!$Z$6)^(('实盘净值数据(iFinD公式)'!$A30-'实盘净值数据(iFinD公式)'!$A29)/365)-1)</f>
        <v/>
      </c>
      <c r="J30" s="52">
        <f>IF(H30="","",H30/MAX(H$5:H30)-1)</f>
        <v/>
      </c>
      <c r="K30" s="180">
        <f>IF(OR((ROW()-1)&lt;8,'实盘净值数据(iFinD公式)'!$A30="",'实盘净值数据(iFinD公式)'!$B30=""),"",SUMPRODUCT(实盘持仓配置!$B$7:$X$7,'实盘净值数据(iFinD公式)'!$B30:$X30/'实盘净值数据(iFinD公式)'!$B$8:$X$8)*(1-实盘持仓配置!$Z$7)^(('实盘净值数据(iFinD公式)'!$A30-'实盘净值数据(iFinD公式)'!$A$8)/365))</f>
        <v/>
      </c>
      <c r="L30" s="52">
        <f>IF(OR(K29="",'实盘净值数据(iFinD公式)'!$A30="",'实盘净值数据(iFinD公式)'!$B30=""),"",(SUMPRODUCT(实盘持仓配置!$B$7:$X$7,'实盘净值数据(iFinD公式)'!$B29:$X29/'实盘净值数据(iFinD公式)'!$B$8:$X$8,'实盘净值数据(iFinD公式)'!$B30:$X30/'实盘净值数据(iFinD公式)'!$B29:$X29)/SUMPRODUCT(实盘持仓配置!$B$7:$X$7,'实盘净值数据(iFinD公式)'!$B29:$X29/'实盘净值数据(iFinD公式)'!$B$8:$X$8))*(1-实盘持仓配置!$Z$7)^(('实盘净值数据(iFinD公式)'!$A30-'实盘净值数据(iFinD公式)'!$A29)/365)-1)</f>
        <v/>
      </c>
      <c r="M30" s="52">
        <f>IF(K30="","",K30/MAX(K$5:K30)-1)</f>
        <v/>
      </c>
      <c r="N30" s="180">
        <f>IF(OR((ROW()-1)&lt;5,'实盘净值数据(iFinD公式)'!$A30="",'实盘净值数据(iFinD公式)'!$B30=""),"",SUMPRODUCT(实盘持仓配置!$B$8:$X$8,'实盘净值数据(iFinD公式)'!$B30:$X30/'实盘净值数据(iFinD公式)'!$B$5:$X$5)*(1-实盘持仓配置!$Z$8)^(('实盘净值数据(iFinD公式)'!$A30-'实盘净值数据(iFinD公式)'!$A$5)/365))</f>
        <v/>
      </c>
      <c r="O30" s="52">
        <f>IF(OR(N29="",'实盘净值数据(iFinD公式)'!$A30="",'实盘净值数据(iFinD公式)'!$B30=""),"",(SUMPRODUCT(实盘持仓配置!$B$8:$X$8,'实盘净值数据(iFinD公式)'!$B29:$X29/'实盘净值数据(iFinD公式)'!$B$5:$X$5,'实盘净值数据(iFinD公式)'!$B30:$X30/'实盘净值数据(iFinD公式)'!$B29:$X29)/SUMPRODUCT(实盘持仓配置!$B$8:$X$8,'实盘净值数据(iFinD公式)'!$B29:$X29/'实盘净值数据(iFinD公式)'!$B$5:$X$5))*(1-实盘持仓配置!$Z$8)^(('实盘净值数据(iFinD公式)'!$A30-'实盘净值数据(iFinD公式)'!$A29)/365)-1)</f>
        <v/>
      </c>
      <c r="P30" s="52">
        <f>IF(N30="","",N30/MAX(N$5:N30)-1)</f>
        <v/>
      </c>
      <c r="Q30" s="180">
        <f>IF(OR((ROW()-1)&lt;8,'实盘净值数据(iFinD公式)'!$A30="",'实盘净值数据(iFinD公式)'!$B30=""),"",SUMPRODUCT(实盘持仓配置!$B$9:$X$9,'实盘净值数据(iFinD公式)'!$B30:$X30/'实盘净值数据(iFinD公式)'!$B$8:$X$8)*(1-实盘持仓配置!$Z$9)^(('实盘净值数据(iFinD公式)'!$A30-'实盘净值数据(iFinD公式)'!$A$8)/365))</f>
        <v/>
      </c>
      <c r="R30" s="52">
        <f>IF(OR(Q29="",'实盘净值数据(iFinD公式)'!$A30="",'实盘净值数据(iFinD公式)'!$B30=""),"",(SUMPRODUCT(实盘持仓配置!$B$9:$X$9,'实盘净值数据(iFinD公式)'!$B29:$X29/'实盘净值数据(iFinD公式)'!$B$8:$X$8,'实盘净值数据(iFinD公式)'!$B30:$X30/'实盘净值数据(iFinD公式)'!$B29:$X29)/SUMPRODUCT(实盘持仓配置!$B$9:$X$9,'实盘净值数据(iFinD公式)'!$B29:$X29/'实盘净值数据(iFinD公式)'!$B$8:$X$8))*(1-实盘持仓配置!$Z$9)^(('实盘净值数据(iFinD公式)'!$A30-'实盘净值数据(iFinD公式)'!$A29)/365)-1)</f>
        <v/>
      </c>
      <c r="S30" s="52">
        <f>IF(Q30="","",Q30/MAX(Q$5:Q30)-1)</f>
        <v/>
      </c>
    </row>
    <row r="31">
      <c r="A31" s="181">
        <f>IF('实盘净值数据(iFinD公式)'!A31="","",'实盘净值数据(iFinD公式)'!A31)</f>
        <v/>
      </c>
      <c r="B31" s="180">
        <f>IF(OR((ROW()-1)&lt;6,'实盘净值数据(iFinD公式)'!$A31="",'实盘净值数据(iFinD公式)'!$B31=""),"",SUMPRODUCT(实盘持仓配置!$B$4:$X$4,'实盘净值数据(iFinD公式)'!$B31:$X31/'实盘净值数据(iFinD公式)'!$B$6:$X$6)*(1-实盘持仓配置!$Z$4)^(('实盘净值数据(iFinD公式)'!$A31-'实盘净值数据(iFinD公式)'!$A$6)/365))</f>
        <v/>
      </c>
      <c r="C31" s="52">
        <f>IF(OR(B30="",'实盘净值数据(iFinD公式)'!$A31="",'实盘净值数据(iFinD公式)'!$B31=""),"",(SUMPRODUCT(实盘持仓配置!$B$4:$X$4,'实盘净值数据(iFinD公式)'!$B30:$X30/'实盘净值数据(iFinD公式)'!$B$6:$X$6,'实盘净值数据(iFinD公式)'!$B31:$X31/'实盘净值数据(iFinD公式)'!$B30:$X30)/SUMPRODUCT(实盘持仓配置!$B$4:$X$4,'实盘净值数据(iFinD公式)'!$B30:$X30/'实盘净值数据(iFinD公式)'!$B$6:$X$6))*(1-实盘持仓配置!$Z$4)^(('实盘净值数据(iFinD公式)'!$A31-'实盘净值数据(iFinD公式)'!$A30)/365)-1)</f>
        <v/>
      </c>
      <c r="D31" s="52">
        <f>IF(B31="","",B31/MAX(B$5:B31)-1)</f>
        <v/>
      </c>
      <c r="E31" s="180">
        <f>IF(OR((ROW()-1)&lt;5,'实盘净值数据(iFinD公式)'!$A31="",'实盘净值数据(iFinD公式)'!$B31=""),"",SUMPRODUCT(实盘持仓配置!$B$5:$X$5,'实盘净值数据(iFinD公式)'!$B31:$X31/'实盘净值数据(iFinD公式)'!$B$5:$X$5)*(1-实盘持仓配置!$Z$5)^(('实盘净值数据(iFinD公式)'!$A31-'实盘净值数据(iFinD公式)'!$A$5)/365))</f>
        <v/>
      </c>
      <c r="F31" s="52">
        <f>IF(OR(E30="",'实盘净值数据(iFinD公式)'!$A31="",'实盘净值数据(iFinD公式)'!$B31=""),"",(SUMPRODUCT(实盘持仓配置!$B$5:$X$5,'实盘净值数据(iFinD公式)'!$B30:$X30/'实盘净值数据(iFinD公式)'!$B$5:$X$5,'实盘净值数据(iFinD公式)'!$B31:$X31/'实盘净值数据(iFinD公式)'!$B30:$X30)/SUMPRODUCT(实盘持仓配置!$B$5:$X$5,'实盘净值数据(iFinD公式)'!$B30:$X30/'实盘净值数据(iFinD公式)'!$B$5:$X$5))*(1-实盘持仓配置!$Z$5)^(('实盘净值数据(iFinD公式)'!$A31-'实盘净值数据(iFinD公式)'!$A30)/365)-1)</f>
        <v/>
      </c>
      <c r="G31" s="52">
        <f>IF(E31="","",E31/MAX(E$5:E31)-1)</f>
        <v/>
      </c>
      <c r="H31" s="180">
        <f>IF(OR((ROW()-1)&lt;7,'实盘净值数据(iFinD公式)'!$A31="",'实盘净值数据(iFinD公式)'!$B31=""),"",SUMPRODUCT(实盘持仓配置!$B$6:$X$6,'实盘净值数据(iFinD公式)'!$B31:$X31/'实盘净值数据(iFinD公式)'!$B$7:$X$7)*(1-实盘持仓配置!$Z$6)^(('实盘净值数据(iFinD公式)'!$A31-'实盘净值数据(iFinD公式)'!$A$7)/365))</f>
        <v/>
      </c>
      <c r="I31" s="52">
        <f>IF(OR(H30="",'实盘净值数据(iFinD公式)'!$A31="",'实盘净值数据(iFinD公式)'!$B31=""),"",(SUMPRODUCT(实盘持仓配置!$B$6:$X$6,'实盘净值数据(iFinD公式)'!$B30:$X30/'实盘净值数据(iFinD公式)'!$B$7:$X$7,'实盘净值数据(iFinD公式)'!$B31:$X31/'实盘净值数据(iFinD公式)'!$B30:$X30)/SUMPRODUCT(实盘持仓配置!$B$6:$X$6,'实盘净值数据(iFinD公式)'!$B30:$X30/'实盘净值数据(iFinD公式)'!$B$7:$X$7))*(1-实盘持仓配置!$Z$6)^(('实盘净值数据(iFinD公式)'!$A31-'实盘净值数据(iFinD公式)'!$A30)/365)-1)</f>
        <v/>
      </c>
      <c r="J31" s="52">
        <f>IF(H31="","",H31/MAX(H$5:H31)-1)</f>
        <v/>
      </c>
      <c r="K31" s="180">
        <f>IF(OR((ROW()-1)&lt;8,'实盘净值数据(iFinD公式)'!$A31="",'实盘净值数据(iFinD公式)'!$B31=""),"",SUMPRODUCT(实盘持仓配置!$B$7:$X$7,'实盘净值数据(iFinD公式)'!$B31:$X31/'实盘净值数据(iFinD公式)'!$B$8:$X$8)*(1-实盘持仓配置!$Z$7)^(('实盘净值数据(iFinD公式)'!$A31-'实盘净值数据(iFinD公式)'!$A$8)/365))</f>
        <v/>
      </c>
      <c r="L31" s="52">
        <f>IF(OR(K30="",'实盘净值数据(iFinD公式)'!$A31="",'实盘净值数据(iFinD公式)'!$B31=""),"",(SUMPRODUCT(实盘持仓配置!$B$7:$X$7,'实盘净值数据(iFinD公式)'!$B30:$X30/'实盘净值数据(iFinD公式)'!$B$8:$X$8,'实盘净值数据(iFinD公式)'!$B31:$X31/'实盘净值数据(iFinD公式)'!$B30:$X30)/SUMPRODUCT(实盘持仓配置!$B$7:$X$7,'实盘净值数据(iFinD公式)'!$B30:$X30/'实盘净值数据(iFinD公式)'!$B$8:$X$8))*(1-实盘持仓配置!$Z$7)^(('实盘净值数据(iFinD公式)'!$A31-'实盘净值数据(iFinD公式)'!$A30)/365)-1)</f>
        <v/>
      </c>
      <c r="M31" s="52">
        <f>IF(K31="","",K31/MAX(K$5:K31)-1)</f>
        <v/>
      </c>
      <c r="N31" s="180">
        <f>IF(OR((ROW()-1)&lt;5,'实盘净值数据(iFinD公式)'!$A31="",'实盘净值数据(iFinD公式)'!$B31=""),"",SUMPRODUCT(实盘持仓配置!$B$8:$X$8,'实盘净值数据(iFinD公式)'!$B31:$X31/'实盘净值数据(iFinD公式)'!$B$5:$X$5)*(1-实盘持仓配置!$Z$8)^(('实盘净值数据(iFinD公式)'!$A31-'实盘净值数据(iFinD公式)'!$A$5)/365))</f>
        <v/>
      </c>
      <c r="O31" s="52">
        <f>IF(OR(N30="",'实盘净值数据(iFinD公式)'!$A31="",'实盘净值数据(iFinD公式)'!$B31=""),"",(SUMPRODUCT(实盘持仓配置!$B$8:$X$8,'实盘净值数据(iFinD公式)'!$B30:$X30/'实盘净值数据(iFinD公式)'!$B$5:$X$5,'实盘净值数据(iFinD公式)'!$B31:$X31/'实盘净值数据(iFinD公式)'!$B30:$X30)/SUMPRODUCT(实盘持仓配置!$B$8:$X$8,'实盘净值数据(iFinD公式)'!$B30:$X30/'实盘净值数据(iFinD公式)'!$B$5:$X$5))*(1-实盘持仓配置!$Z$8)^(('实盘净值数据(iFinD公式)'!$A31-'实盘净值数据(iFinD公式)'!$A30)/365)-1)</f>
        <v/>
      </c>
      <c r="P31" s="52">
        <f>IF(N31="","",N31/MAX(N$5:N31)-1)</f>
        <v/>
      </c>
      <c r="Q31" s="180">
        <f>IF(OR((ROW()-1)&lt;8,'实盘净值数据(iFinD公式)'!$A31="",'实盘净值数据(iFinD公式)'!$B31=""),"",SUMPRODUCT(实盘持仓配置!$B$9:$X$9,'实盘净值数据(iFinD公式)'!$B31:$X31/'实盘净值数据(iFinD公式)'!$B$8:$X$8)*(1-实盘持仓配置!$Z$9)^(('实盘净值数据(iFinD公式)'!$A31-'实盘净值数据(iFinD公式)'!$A$8)/365))</f>
        <v/>
      </c>
      <c r="R31" s="52">
        <f>IF(OR(Q30="",'实盘净值数据(iFinD公式)'!$A31="",'实盘净值数据(iFinD公式)'!$B31=""),"",(SUMPRODUCT(实盘持仓配置!$B$9:$X$9,'实盘净值数据(iFinD公式)'!$B30:$X30/'实盘净值数据(iFinD公式)'!$B$8:$X$8,'实盘净值数据(iFinD公式)'!$B31:$X31/'实盘净值数据(iFinD公式)'!$B30:$X30)/SUMPRODUCT(实盘持仓配置!$B$9:$X$9,'实盘净值数据(iFinD公式)'!$B30:$X30/'实盘净值数据(iFinD公式)'!$B$8:$X$8))*(1-实盘持仓配置!$Z$9)^(('实盘净值数据(iFinD公式)'!$A31-'实盘净值数据(iFinD公式)'!$A30)/365)-1)</f>
        <v/>
      </c>
      <c r="S31" s="52">
        <f>IF(Q31="","",Q31/MAX(Q$5:Q31)-1)</f>
        <v/>
      </c>
    </row>
    <row r="32">
      <c r="A32" s="181">
        <f>IF('实盘净值数据(iFinD公式)'!A32="","",'实盘净值数据(iFinD公式)'!A32)</f>
        <v/>
      </c>
      <c r="B32" s="180">
        <f>IF(OR((ROW()-1)&lt;6,'实盘净值数据(iFinD公式)'!$A32="",'实盘净值数据(iFinD公式)'!$B32=""),"",SUMPRODUCT(实盘持仓配置!$B$4:$X$4,'实盘净值数据(iFinD公式)'!$B32:$X32/'实盘净值数据(iFinD公式)'!$B$6:$X$6)*(1-实盘持仓配置!$Z$4)^(('实盘净值数据(iFinD公式)'!$A32-'实盘净值数据(iFinD公式)'!$A$6)/365))</f>
        <v/>
      </c>
      <c r="C32" s="52">
        <f>IF(OR(B31="",'实盘净值数据(iFinD公式)'!$A32="",'实盘净值数据(iFinD公式)'!$B32=""),"",(SUMPRODUCT(实盘持仓配置!$B$4:$X$4,'实盘净值数据(iFinD公式)'!$B31:$X31/'实盘净值数据(iFinD公式)'!$B$6:$X$6,'实盘净值数据(iFinD公式)'!$B32:$X32/'实盘净值数据(iFinD公式)'!$B31:$X31)/SUMPRODUCT(实盘持仓配置!$B$4:$X$4,'实盘净值数据(iFinD公式)'!$B31:$X31/'实盘净值数据(iFinD公式)'!$B$6:$X$6))*(1-实盘持仓配置!$Z$4)^(('实盘净值数据(iFinD公式)'!$A32-'实盘净值数据(iFinD公式)'!$A31)/365)-1)</f>
        <v/>
      </c>
      <c r="D32" s="52">
        <f>IF(B32="","",B32/MAX(B$5:B32)-1)</f>
        <v/>
      </c>
      <c r="E32" s="180">
        <f>IF(OR((ROW()-1)&lt;5,'实盘净值数据(iFinD公式)'!$A32="",'实盘净值数据(iFinD公式)'!$B32=""),"",SUMPRODUCT(实盘持仓配置!$B$5:$X$5,'实盘净值数据(iFinD公式)'!$B32:$X32/'实盘净值数据(iFinD公式)'!$B$5:$X$5)*(1-实盘持仓配置!$Z$5)^(('实盘净值数据(iFinD公式)'!$A32-'实盘净值数据(iFinD公式)'!$A$5)/365))</f>
        <v/>
      </c>
      <c r="F32" s="52">
        <f>IF(OR(E31="",'实盘净值数据(iFinD公式)'!$A32="",'实盘净值数据(iFinD公式)'!$B32=""),"",(SUMPRODUCT(实盘持仓配置!$B$5:$X$5,'实盘净值数据(iFinD公式)'!$B31:$X31/'实盘净值数据(iFinD公式)'!$B$5:$X$5,'实盘净值数据(iFinD公式)'!$B32:$X32/'实盘净值数据(iFinD公式)'!$B31:$X31)/SUMPRODUCT(实盘持仓配置!$B$5:$X$5,'实盘净值数据(iFinD公式)'!$B31:$X31/'实盘净值数据(iFinD公式)'!$B$5:$X$5))*(1-实盘持仓配置!$Z$5)^(('实盘净值数据(iFinD公式)'!$A32-'实盘净值数据(iFinD公式)'!$A31)/365)-1)</f>
        <v/>
      </c>
      <c r="G32" s="52">
        <f>IF(E32="","",E32/MAX(E$5:E32)-1)</f>
        <v/>
      </c>
      <c r="H32" s="180">
        <f>IF(OR((ROW()-1)&lt;7,'实盘净值数据(iFinD公式)'!$A32="",'实盘净值数据(iFinD公式)'!$B32=""),"",SUMPRODUCT(实盘持仓配置!$B$6:$X$6,'实盘净值数据(iFinD公式)'!$B32:$X32/'实盘净值数据(iFinD公式)'!$B$7:$X$7)*(1-实盘持仓配置!$Z$6)^(('实盘净值数据(iFinD公式)'!$A32-'实盘净值数据(iFinD公式)'!$A$7)/365))</f>
        <v/>
      </c>
      <c r="I32" s="52">
        <f>IF(OR(H31="",'实盘净值数据(iFinD公式)'!$A32="",'实盘净值数据(iFinD公式)'!$B32=""),"",(SUMPRODUCT(实盘持仓配置!$B$6:$X$6,'实盘净值数据(iFinD公式)'!$B31:$X31/'实盘净值数据(iFinD公式)'!$B$7:$X$7,'实盘净值数据(iFinD公式)'!$B32:$X32/'实盘净值数据(iFinD公式)'!$B31:$X31)/SUMPRODUCT(实盘持仓配置!$B$6:$X$6,'实盘净值数据(iFinD公式)'!$B31:$X31/'实盘净值数据(iFinD公式)'!$B$7:$X$7))*(1-实盘持仓配置!$Z$6)^(('实盘净值数据(iFinD公式)'!$A32-'实盘净值数据(iFinD公式)'!$A31)/365)-1)</f>
        <v/>
      </c>
      <c r="J32" s="52">
        <f>IF(H32="","",H32/MAX(H$5:H32)-1)</f>
        <v/>
      </c>
      <c r="K32" s="180">
        <f>IF(OR((ROW()-1)&lt;8,'实盘净值数据(iFinD公式)'!$A32="",'实盘净值数据(iFinD公式)'!$B32=""),"",SUMPRODUCT(实盘持仓配置!$B$7:$X$7,'实盘净值数据(iFinD公式)'!$B32:$X32/'实盘净值数据(iFinD公式)'!$B$8:$X$8)*(1-实盘持仓配置!$Z$7)^(('实盘净值数据(iFinD公式)'!$A32-'实盘净值数据(iFinD公式)'!$A$8)/365))</f>
        <v/>
      </c>
      <c r="L32" s="52">
        <f>IF(OR(K31="",'实盘净值数据(iFinD公式)'!$A32="",'实盘净值数据(iFinD公式)'!$B32=""),"",(SUMPRODUCT(实盘持仓配置!$B$7:$X$7,'实盘净值数据(iFinD公式)'!$B31:$X31/'实盘净值数据(iFinD公式)'!$B$8:$X$8,'实盘净值数据(iFinD公式)'!$B32:$X32/'实盘净值数据(iFinD公式)'!$B31:$X31)/SUMPRODUCT(实盘持仓配置!$B$7:$X$7,'实盘净值数据(iFinD公式)'!$B31:$X31/'实盘净值数据(iFinD公式)'!$B$8:$X$8))*(1-实盘持仓配置!$Z$7)^(('实盘净值数据(iFinD公式)'!$A32-'实盘净值数据(iFinD公式)'!$A31)/365)-1)</f>
        <v/>
      </c>
      <c r="M32" s="52">
        <f>IF(K32="","",K32/MAX(K$5:K32)-1)</f>
        <v/>
      </c>
      <c r="N32" s="180">
        <f>IF(OR((ROW()-1)&lt;5,'实盘净值数据(iFinD公式)'!$A32="",'实盘净值数据(iFinD公式)'!$B32=""),"",SUMPRODUCT(实盘持仓配置!$B$8:$X$8,'实盘净值数据(iFinD公式)'!$B32:$X32/'实盘净值数据(iFinD公式)'!$B$5:$X$5)*(1-实盘持仓配置!$Z$8)^(('实盘净值数据(iFinD公式)'!$A32-'实盘净值数据(iFinD公式)'!$A$5)/365))</f>
        <v/>
      </c>
      <c r="O32" s="52">
        <f>IF(OR(N31="",'实盘净值数据(iFinD公式)'!$A32="",'实盘净值数据(iFinD公式)'!$B32=""),"",(SUMPRODUCT(实盘持仓配置!$B$8:$X$8,'实盘净值数据(iFinD公式)'!$B31:$X31/'实盘净值数据(iFinD公式)'!$B$5:$X$5,'实盘净值数据(iFinD公式)'!$B32:$X32/'实盘净值数据(iFinD公式)'!$B31:$X31)/SUMPRODUCT(实盘持仓配置!$B$8:$X$8,'实盘净值数据(iFinD公式)'!$B31:$X31/'实盘净值数据(iFinD公式)'!$B$5:$X$5))*(1-实盘持仓配置!$Z$8)^(('实盘净值数据(iFinD公式)'!$A32-'实盘净值数据(iFinD公式)'!$A31)/365)-1)</f>
        <v/>
      </c>
      <c r="P32" s="52">
        <f>IF(N32="","",N32/MAX(N$5:N32)-1)</f>
        <v/>
      </c>
      <c r="Q32" s="180">
        <f>IF(OR((ROW()-1)&lt;8,'实盘净值数据(iFinD公式)'!$A32="",'实盘净值数据(iFinD公式)'!$B32=""),"",SUMPRODUCT(实盘持仓配置!$B$9:$X$9,'实盘净值数据(iFinD公式)'!$B32:$X32/'实盘净值数据(iFinD公式)'!$B$8:$X$8)*(1-实盘持仓配置!$Z$9)^(('实盘净值数据(iFinD公式)'!$A32-'实盘净值数据(iFinD公式)'!$A$8)/365))</f>
        <v/>
      </c>
      <c r="R32" s="52">
        <f>IF(OR(Q31="",'实盘净值数据(iFinD公式)'!$A32="",'实盘净值数据(iFinD公式)'!$B32=""),"",(SUMPRODUCT(实盘持仓配置!$B$9:$X$9,'实盘净值数据(iFinD公式)'!$B31:$X31/'实盘净值数据(iFinD公式)'!$B$8:$X$8,'实盘净值数据(iFinD公式)'!$B32:$X32/'实盘净值数据(iFinD公式)'!$B31:$X31)/SUMPRODUCT(实盘持仓配置!$B$9:$X$9,'实盘净值数据(iFinD公式)'!$B31:$X31/'实盘净值数据(iFinD公式)'!$B$8:$X$8))*(1-实盘持仓配置!$Z$9)^(('实盘净值数据(iFinD公式)'!$A32-'实盘净值数据(iFinD公式)'!$A31)/365)-1)</f>
        <v/>
      </c>
      <c r="S32" s="52">
        <f>IF(Q32="","",Q32/MAX(Q$5:Q32)-1)</f>
        <v/>
      </c>
    </row>
    <row r="33">
      <c r="A33" s="181">
        <f>IF('实盘净值数据(iFinD公式)'!A33="","",'实盘净值数据(iFinD公式)'!A33)</f>
        <v/>
      </c>
      <c r="B33" s="180">
        <f>IF(OR((ROW()-1)&lt;6,'实盘净值数据(iFinD公式)'!$A33="",'实盘净值数据(iFinD公式)'!$B33=""),"",SUMPRODUCT(实盘持仓配置!$B$4:$X$4,'实盘净值数据(iFinD公式)'!$B33:$X33/'实盘净值数据(iFinD公式)'!$B$6:$X$6)*(1-实盘持仓配置!$Z$4)^(('实盘净值数据(iFinD公式)'!$A33-'实盘净值数据(iFinD公式)'!$A$6)/365))</f>
        <v/>
      </c>
      <c r="C33" s="52">
        <f>IF(OR(B32="",'实盘净值数据(iFinD公式)'!$A33="",'实盘净值数据(iFinD公式)'!$B33=""),"",(SUMPRODUCT(实盘持仓配置!$B$4:$X$4,'实盘净值数据(iFinD公式)'!$B32:$X32/'实盘净值数据(iFinD公式)'!$B$6:$X$6,'实盘净值数据(iFinD公式)'!$B33:$X33/'实盘净值数据(iFinD公式)'!$B32:$X32)/SUMPRODUCT(实盘持仓配置!$B$4:$X$4,'实盘净值数据(iFinD公式)'!$B32:$X32/'实盘净值数据(iFinD公式)'!$B$6:$X$6))*(1-实盘持仓配置!$Z$4)^(('实盘净值数据(iFinD公式)'!$A33-'实盘净值数据(iFinD公式)'!$A32)/365)-1)</f>
        <v/>
      </c>
      <c r="D33" s="52">
        <f>IF(B33="","",B33/MAX(B$5:B33)-1)</f>
        <v/>
      </c>
      <c r="E33" s="180">
        <f>IF(OR((ROW()-1)&lt;5,'实盘净值数据(iFinD公式)'!$A33="",'实盘净值数据(iFinD公式)'!$B33=""),"",SUMPRODUCT(实盘持仓配置!$B$5:$X$5,'实盘净值数据(iFinD公式)'!$B33:$X33/'实盘净值数据(iFinD公式)'!$B$5:$X$5)*(1-实盘持仓配置!$Z$5)^(('实盘净值数据(iFinD公式)'!$A33-'实盘净值数据(iFinD公式)'!$A$5)/365))</f>
        <v/>
      </c>
      <c r="F33" s="52">
        <f>IF(OR(E32="",'实盘净值数据(iFinD公式)'!$A33="",'实盘净值数据(iFinD公式)'!$B33=""),"",(SUMPRODUCT(实盘持仓配置!$B$5:$X$5,'实盘净值数据(iFinD公式)'!$B32:$X32/'实盘净值数据(iFinD公式)'!$B$5:$X$5,'实盘净值数据(iFinD公式)'!$B33:$X33/'实盘净值数据(iFinD公式)'!$B32:$X32)/SUMPRODUCT(实盘持仓配置!$B$5:$X$5,'实盘净值数据(iFinD公式)'!$B32:$X32/'实盘净值数据(iFinD公式)'!$B$5:$X$5))*(1-实盘持仓配置!$Z$5)^(('实盘净值数据(iFinD公式)'!$A33-'实盘净值数据(iFinD公式)'!$A32)/365)-1)</f>
        <v/>
      </c>
      <c r="G33" s="52">
        <f>IF(E33="","",E33/MAX(E$5:E33)-1)</f>
        <v/>
      </c>
      <c r="H33" s="180">
        <f>IF(OR((ROW()-1)&lt;7,'实盘净值数据(iFinD公式)'!$A33="",'实盘净值数据(iFinD公式)'!$B33=""),"",SUMPRODUCT(实盘持仓配置!$B$6:$X$6,'实盘净值数据(iFinD公式)'!$B33:$X33/'实盘净值数据(iFinD公式)'!$B$7:$X$7)*(1-实盘持仓配置!$Z$6)^(('实盘净值数据(iFinD公式)'!$A33-'实盘净值数据(iFinD公式)'!$A$7)/365))</f>
        <v/>
      </c>
      <c r="I33" s="52">
        <f>IF(OR(H32="",'实盘净值数据(iFinD公式)'!$A33="",'实盘净值数据(iFinD公式)'!$B33=""),"",(SUMPRODUCT(实盘持仓配置!$B$6:$X$6,'实盘净值数据(iFinD公式)'!$B32:$X32/'实盘净值数据(iFinD公式)'!$B$7:$X$7,'实盘净值数据(iFinD公式)'!$B33:$X33/'实盘净值数据(iFinD公式)'!$B32:$X32)/SUMPRODUCT(实盘持仓配置!$B$6:$X$6,'实盘净值数据(iFinD公式)'!$B32:$X32/'实盘净值数据(iFinD公式)'!$B$7:$X$7))*(1-实盘持仓配置!$Z$6)^(('实盘净值数据(iFinD公式)'!$A33-'实盘净值数据(iFinD公式)'!$A32)/365)-1)</f>
        <v/>
      </c>
      <c r="J33" s="52">
        <f>IF(H33="","",H33/MAX(H$5:H33)-1)</f>
        <v/>
      </c>
      <c r="K33" s="180">
        <f>IF(OR((ROW()-1)&lt;8,'实盘净值数据(iFinD公式)'!$A33="",'实盘净值数据(iFinD公式)'!$B33=""),"",SUMPRODUCT(实盘持仓配置!$B$7:$X$7,'实盘净值数据(iFinD公式)'!$B33:$X33/'实盘净值数据(iFinD公式)'!$B$8:$X$8)*(1-实盘持仓配置!$Z$7)^(('实盘净值数据(iFinD公式)'!$A33-'实盘净值数据(iFinD公式)'!$A$8)/365))</f>
        <v/>
      </c>
      <c r="L33" s="52">
        <f>IF(OR(K32="",'实盘净值数据(iFinD公式)'!$A33="",'实盘净值数据(iFinD公式)'!$B33=""),"",(SUMPRODUCT(实盘持仓配置!$B$7:$X$7,'实盘净值数据(iFinD公式)'!$B32:$X32/'实盘净值数据(iFinD公式)'!$B$8:$X$8,'实盘净值数据(iFinD公式)'!$B33:$X33/'实盘净值数据(iFinD公式)'!$B32:$X32)/SUMPRODUCT(实盘持仓配置!$B$7:$X$7,'实盘净值数据(iFinD公式)'!$B32:$X32/'实盘净值数据(iFinD公式)'!$B$8:$X$8))*(1-实盘持仓配置!$Z$7)^(('实盘净值数据(iFinD公式)'!$A33-'实盘净值数据(iFinD公式)'!$A32)/365)-1)</f>
        <v/>
      </c>
      <c r="M33" s="52">
        <f>IF(K33="","",K33/MAX(K$5:K33)-1)</f>
        <v/>
      </c>
      <c r="N33" s="180">
        <f>IF(OR((ROW()-1)&lt;5,'实盘净值数据(iFinD公式)'!$A33="",'实盘净值数据(iFinD公式)'!$B33=""),"",SUMPRODUCT(实盘持仓配置!$B$8:$X$8,'实盘净值数据(iFinD公式)'!$B33:$X33/'实盘净值数据(iFinD公式)'!$B$5:$X$5)*(1-实盘持仓配置!$Z$8)^(('实盘净值数据(iFinD公式)'!$A33-'实盘净值数据(iFinD公式)'!$A$5)/365))</f>
        <v/>
      </c>
      <c r="O33" s="52">
        <f>IF(OR(N32="",'实盘净值数据(iFinD公式)'!$A33="",'实盘净值数据(iFinD公式)'!$B33=""),"",(SUMPRODUCT(实盘持仓配置!$B$8:$X$8,'实盘净值数据(iFinD公式)'!$B32:$X32/'实盘净值数据(iFinD公式)'!$B$5:$X$5,'实盘净值数据(iFinD公式)'!$B33:$X33/'实盘净值数据(iFinD公式)'!$B32:$X32)/SUMPRODUCT(实盘持仓配置!$B$8:$X$8,'实盘净值数据(iFinD公式)'!$B32:$X32/'实盘净值数据(iFinD公式)'!$B$5:$X$5))*(1-实盘持仓配置!$Z$8)^(('实盘净值数据(iFinD公式)'!$A33-'实盘净值数据(iFinD公式)'!$A32)/365)-1)</f>
        <v/>
      </c>
      <c r="P33" s="52">
        <f>IF(N33="","",N33/MAX(N$5:N33)-1)</f>
        <v/>
      </c>
      <c r="Q33" s="180">
        <f>IF(OR((ROW()-1)&lt;8,'实盘净值数据(iFinD公式)'!$A33="",'实盘净值数据(iFinD公式)'!$B33=""),"",SUMPRODUCT(实盘持仓配置!$B$9:$X$9,'实盘净值数据(iFinD公式)'!$B33:$X33/'实盘净值数据(iFinD公式)'!$B$8:$X$8)*(1-实盘持仓配置!$Z$9)^(('实盘净值数据(iFinD公式)'!$A33-'实盘净值数据(iFinD公式)'!$A$8)/365))</f>
        <v/>
      </c>
      <c r="R33" s="52">
        <f>IF(OR(Q32="",'实盘净值数据(iFinD公式)'!$A33="",'实盘净值数据(iFinD公式)'!$B33=""),"",(SUMPRODUCT(实盘持仓配置!$B$9:$X$9,'实盘净值数据(iFinD公式)'!$B32:$X32/'实盘净值数据(iFinD公式)'!$B$8:$X$8,'实盘净值数据(iFinD公式)'!$B33:$X33/'实盘净值数据(iFinD公式)'!$B32:$X32)/SUMPRODUCT(实盘持仓配置!$B$9:$X$9,'实盘净值数据(iFinD公式)'!$B32:$X32/'实盘净值数据(iFinD公式)'!$B$8:$X$8))*(1-实盘持仓配置!$Z$9)^(('实盘净值数据(iFinD公式)'!$A33-'实盘净值数据(iFinD公式)'!$A32)/365)-1)</f>
        <v/>
      </c>
      <c r="S33" s="52">
        <f>IF(Q33="","",Q33/MAX(Q$5:Q33)-1)</f>
        <v/>
      </c>
    </row>
    <row r="34">
      <c r="A34" s="181">
        <f>IF('实盘净值数据(iFinD公式)'!A34="","",'实盘净值数据(iFinD公式)'!A34)</f>
        <v/>
      </c>
      <c r="B34" s="180">
        <f>IF(OR((ROW()-1)&lt;6,'实盘净值数据(iFinD公式)'!$A34="",'实盘净值数据(iFinD公式)'!$B34=""),"",SUMPRODUCT(实盘持仓配置!$B$4:$X$4,'实盘净值数据(iFinD公式)'!$B34:$X34/'实盘净值数据(iFinD公式)'!$B$6:$X$6)*(1-实盘持仓配置!$Z$4)^(('实盘净值数据(iFinD公式)'!$A34-'实盘净值数据(iFinD公式)'!$A$6)/365))</f>
        <v/>
      </c>
      <c r="C34" s="52">
        <f>IF(OR(B33="",'实盘净值数据(iFinD公式)'!$A34="",'实盘净值数据(iFinD公式)'!$B34=""),"",(SUMPRODUCT(实盘持仓配置!$B$4:$X$4,'实盘净值数据(iFinD公式)'!$B33:$X33/'实盘净值数据(iFinD公式)'!$B$6:$X$6,'实盘净值数据(iFinD公式)'!$B34:$X34/'实盘净值数据(iFinD公式)'!$B33:$X33)/SUMPRODUCT(实盘持仓配置!$B$4:$X$4,'实盘净值数据(iFinD公式)'!$B33:$X33/'实盘净值数据(iFinD公式)'!$B$6:$X$6))*(1-实盘持仓配置!$Z$4)^(('实盘净值数据(iFinD公式)'!$A34-'实盘净值数据(iFinD公式)'!$A33)/365)-1)</f>
        <v/>
      </c>
      <c r="D34" s="52">
        <f>IF(B34="","",B34/MAX(B$5:B34)-1)</f>
        <v/>
      </c>
      <c r="E34" s="180">
        <f>IF(OR((ROW()-1)&lt;5,'实盘净值数据(iFinD公式)'!$A34="",'实盘净值数据(iFinD公式)'!$B34=""),"",SUMPRODUCT(实盘持仓配置!$B$5:$X$5,'实盘净值数据(iFinD公式)'!$B34:$X34/'实盘净值数据(iFinD公式)'!$B$5:$X$5)*(1-实盘持仓配置!$Z$5)^(('实盘净值数据(iFinD公式)'!$A34-'实盘净值数据(iFinD公式)'!$A$5)/365))</f>
        <v/>
      </c>
      <c r="F34" s="52">
        <f>IF(OR(E33="",'实盘净值数据(iFinD公式)'!$A34="",'实盘净值数据(iFinD公式)'!$B34=""),"",(SUMPRODUCT(实盘持仓配置!$B$5:$X$5,'实盘净值数据(iFinD公式)'!$B33:$X33/'实盘净值数据(iFinD公式)'!$B$5:$X$5,'实盘净值数据(iFinD公式)'!$B34:$X34/'实盘净值数据(iFinD公式)'!$B33:$X33)/SUMPRODUCT(实盘持仓配置!$B$5:$X$5,'实盘净值数据(iFinD公式)'!$B33:$X33/'实盘净值数据(iFinD公式)'!$B$5:$X$5))*(1-实盘持仓配置!$Z$5)^(('实盘净值数据(iFinD公式)'!$A34-'实盘净值数据(iFinD公式)'!$A33)/365)-1)</f>
        <v/>
      </c>
      <c r="G34" s="52">
        <f>IF(E34="","",E34/MAX(E$5:E34)-1)</f>
        <v/>
      </c>
      <c r="H34" s="180">
        <f>IF(OR((ROW()-1)&lt;7,'实盘净值数据(iFinD公式)'!$A34="",'实盘净值数据(iFinD公式)'!$B34=""),"",SUMPRODUCT(实盘持仓配置!$B$6:$X$6,'实盘净值数据(iFinD公式)'!$B34:$X34/'实盘净值数据(iFinD公式)'!$B$7:$X$7)*(1-实盘持仓配置!$Z$6)^(('实盘净值数据(iFinD公式)'!$A34-'实盘净值数据(iFinD公式)'!$A$7)/365))</f>
        <v/>
      </c>
      <c r="I34" s="52">
        <f>IF(OR(H33="",'实盘净值数据(iFinD公式)'!$A34="",'实盘净值数据(iFinD公式)'!$B34=""),"",(SUMPRODUCT(实盘持仓配置!$B$6:$X$6,'实盘净值数据(iFinD公式)'!$B33:$X33/'实盘净值数据(iFinD公式)'!$B$7:$X$7,'实盘净值数据(iFinD公式)'!$B34:$X34/'实盘净值数据(iFinD公式)'!$B33:$X33)/SUMPRODUCT(实盘持仓配置!$B$6:$X$6,'实盘净值数据(iFinD公式)'!$B33:$X33/'实盘净值数据(iFinD公式)'!$B$7:$X$7))*(1-实盘持仓配置!$Z$6)^(('实盘净值数据(iFinD公式)'!$A34-'实盘净值数据(iFinD公式)'!$A33)/365)-1)</f>
        <v/>
      </c>
      <c r="J34" s="52">
        <f>IF(H34="","",H34/MAX(H$5:H34)-1)</f>
        <v/>
      </c>
      <c r="K34" s="180">
        <f>IF(OR((ROW()-1)&lt;8,'实盘净值数据(iFinD公式)'!$A34="",'实盘净值数据(iFinD公式)'!$B34=""),"",SUMPRODUCT(实盘持仓配置!$B$7:$X$7,'实盘净值数据(iFinD公式)'!$B34:$X34/'实盘净值数据(iFinD公式)'!$B$8:$X$8)*(1-实盘持仓配置!$Z$7)^(('实盘净值数据(iFinD公式)'!$A34-'实盘净值数据(iFinD公式)'!$A$8)/365))</f>
        <v/>
      </c>
      <c r="L34" s="52">
        <f>IF(OR(K33="",'实盘净值数据(iFinD公式)'!$A34="",'实盘净值数据(iFinD公式)'!$B34=""),"",(SUMPRODUCT(实盘持仓配置!$B$7:$X$7,'实盘净值数据(iFinD公式)'!$B33:$X33/'实盘净值数据(iFinD公式)'!$B$8:$X$8,'实盘净值数据(iFinD公式)'!$B34:$X34/'实盘净值数据(iFinD公式)'!$B33:$X33)/SUMPRODUCT(实盘持仓配置!$B$7:$X$7,'实盘净值数据(iFinD公式)'!$B33:$X33/'实盘净值数据(iFinD公式)'!$B$8:$X$8))*(1-实盘持仓配置!$Z$7)^(('实盘净值数据(iFinD公式)'!$A34-'实盘净值数据(iFinD公式)'!$A33)/365)-1)</f>
        <v/>
      </c>
      <c r="M34" s="52">
        <f>IF(K34="","",K34/MAX(K$5:K34)-1)</f>
        <v/>
      </c>
      <c r="N34" s="180">
        <f>IF(OR((ROW()-1)&lt;5,'实盘净值数据(iFinD公式)'!$A34="",'实盘净值数据(iFinD公式)'!$B34=""),"",SUMPRODUCT(实盘持仓配置!$B$8:$X$8,'实盘净值数据(iFinD公式)'!$B34:$X34/'实盘净值数据(iFinD公式)'!$B$5:$X$5)*(1-实盘持仓配置!$Z$8)^(('实盘净值数据(iFinD公式)'!$A34-'实盘净值数据(iFinD公式)'!$A$5)/365))</f>
        <v/>
      </c>
      <c r="O34" s="52">
        <f>IF(OR(N33="",'实盘净值数据(iFinD公式)'!$A34="",'实盘净值数据(iFinD公式)'!$B34=""),"",(SUMPRODUCT(实盘持仓配置!$B$8:$X$8,'实盘净值数据(iFinD公式)'!$B33:$X33/'实盘净值数据(iFinD公式)'!$B$5:$X$5,'实盘净值数据(iFinD公式)'!$B34:$X34/'实盘净值数据(iFinD公式)'!$B33:$X33)/SUMPRODUCT(实盘持仓配置!$B$8:$X$8,'实盘净值数据(iFinD公式)'!$B33:$X33/'实盘净值数据(iFinD公式)'!$B$5:$X$5))*(1-实盘持仓配置!$Z$8)^(('实盘净值数据(iFinD公式)'!$A34-'实盘净值数据(iFinD公式)'!$A33)/365)-1)</f>
        <v/>
      </c>
      <c r="P34" s="52">
        <f>IF(N34="","",N34/MAX(N$5:N34)-1)</f>
        <v/>
      </c>
      <c r="Q34" s="180">
        <f>IF(OR((ROW()-1)&lt;8,'实盘净值数据(iFinD公式)'!$A34="",'实盘净值数据(iFinD公式)'!$B34=""),"",SUMPRODUCT(实盘持仓配置!$B$9:$X$9,'实盘净值数据(iFinD公式)'!$B34:$X34/'实盘净值数据(iFinD公式)'!$B$8:$X$8)*(1-实盘持仓配置!$Z$9)^(('实盘净值数据(iFinD公式)'!$A34-'实盘净值数据(iFinD公式)'!$A$8)/365))</f>
        <v/>
      </c>
      <c r="R34" s="52">
        <f>IF(OR(Q33="",'实盘净值数据(iFinD公式)'!$A34="",'实盘净值数据(iFinD公式)'!$B34=""),"",(SUMPRODUCT(实盘持仓配置!$B$9:$X$9,'实盘净值数据(iFinD公式)'!$B33:$X33/'实盘净值数据(iFinD公式)'!$B$8:$X$8,'实盘净值数据(iFinD公式)'!$B34:$X34/'实盘净值数据(iFinD公式)'!$B33:$X33)/SUMPRODUCT(实盘持仓配置!$B$9:$X$9,'实盘净值数据(iFinD公式)'!$B33:$X33/'实盘净值数据(iFinD公式)'!$B$8:$X$8))*(1-实盘持仓配置!$Z$9)^(('实盘净值数据(iFinD公式)'!$A34-'实盘净值数据(iFinD公式)'!$A33)/365)-1)</f>
        <v/>
      </c>
      <c r="S34" s="52">
        <f>IF(Q34="","",Q34/MAX(Q$5:Q34)-1)</f>
        <v/>
      </c>
    </row>
    <row r="35">
      <c r="A35" s="181">
        <f>IF('实盘净值数据(iFinD公式)'!A35="","",'实盘净值数据(iFinD公式)'!A35)</f>
        <v/>
      </c>
      <c r="B35" s="180">
        <f>IF(OR((ROW()-1)&lt;6,'实盘净值数据(iFinD公式)'!$A35="",'实盘净值数据(iFinD公式)'!$B35=""),"",SUMPRODUCT(实盘持仓配置!$B$4:$X$4,'实盘净值数据(iFinD公式)'!$B35:$X35/'实盘净值数据(iFinD公式)'!$B$6:$X$6)*(1-实盘持仓配置!$Z$4)^(('实盘净值数据(iFinD公式)'!$A35-'实盘净值数据(iFinD公式)'!$A$6)/365))</f>
        <v/>
      </c>
      <c r="C35" s="52">
        <f>IF(OR(B34="",'实盘净值数据(iFinD公式)'!$A35="",'实盘净值数据(iFinD公式)'!$B35=""),"",(SUMPRODUCT(实盘持仓配置!$B$4:$X$4,'实盘净值数据(iFinD公式)'!$B34:$X34/'实盘净值数据(iFinD公式)'!$B$6:$X$6,'实盘净值数据(iFinD公式)'!$B35:$X35/'实盘净值数据(iFinD公式)'!$B34:$X34)/SUMPRODUCT(实盘持仓配置!$B$4:$X$4,'实盘净值数据(iFinD公式)'!$B34:$X34/'实盘净值数据(iFinD公式)'!$B$6:$X$6))*(1-实盘持仓配置!$Z$4)^(('实盘净值数据(iFinD公式)'!$A35-'实盘净值数据(iFinD公式)'!$A34)/365)-1)</f>
        <v/>
      </c>
      <c r="D35" s="52">
        <f>IF(B35="","",B35/MAX(B$5:B35)-1)</f>
        <v/>
      </c>
      <c r="E35" s="180">
        <f>IF(OR((ROW()-1)&lt;5,'实盘净值数据(iFinD公式)'!$A35="",'实盘净值数据(iFinD公式)'!$B35=""),"",SUMPRODUCT(实盘持仓配置!$B$5:$X$5,'实盘净值数据(iFinD公式)'!$B35:$X35/'实盘净值数据(iFinD公式)'!$B$5:$X$5)*(1-实盘持仓配置!$Z$5)^(('实盘净值数据(iFinD公式)'!$A35-'实盘净值数据(iFinD公式)'!$A$5)/365))</f>
        <v/>
      </c>
      <c r="F35" s="52">
        <f>IF(OR(E34="",'实盘净值数据(iFinD公式)'!$A35="",'实盘净值数据(iFinD公式)'!$B35=""),"",(SUMPRODUCT(实盘持仓配置!$B$5:$X$5,'实盘净值数据(iFinD公式)'!$B34:$X34/'实盘净值数据(iFinD公式)'!$B$5:$X$5,'实盘净值数据(iFinD公式)'!$B35:$X35/'实盘净值数据(iFinD公式)'!$B34:$X34)/SUMPRODUCT(实盘持仓配置!$B$5:$X$5,'实盘净值数据(iFinD公式)'!$B34:$X34/'实盘净值数据(iFinD公式)'!$B$5:$X$5))*(1-实盘持仓配置!$Z$5)^(('实盘净值数据(iFinD公式)'!$A35-'实盘净值数据(iFinD公式)'!$A34)/365)-1)</f>
        <v/>
      </c>
      <c r="G35" s="52">
        <f>IF(E35="","",E35/MAX(E$5:E35)-1)</f>
        <v/>
      </c>
      <c r="H35" s="180">
        <f>IF(OR((ROW()-1)&lt;7,'实盘净值数据(iFinD公式)'!$A35="",'实盘净值数据(iFinD公式)'!$B35=""),"",SUMPRODUCT(实盘持仓配置!$B$6:$X$6,'实盘净值数据(iFinD公式)'!$B35:$X35/'实盘净值数据(iFinD公式)'!$B$7:$X$7)*(1-实盘持仓配置!$Z$6)^(('实盘净值数据(iFinD公式)'!$A35-'实盘净值数据(iFinD公式)'!$A$7)/365))</f>
        <v/>
      </c>
      <c r="I35" s="52">
        <f>IF(OR(H34="",'实盘净值数据(iFinD公式)'!$A35="",'实盘净值数据(iFinD公式)'!$B35=""),"",(SUMPRODUCT(实盘持仓配置!$B$6:$X$6,'实盘净值数据(iFinD公式)'!$B34:$X34/'实盘净值数据(iFinD公式)'!$B$7:$X$7,'实盘净值数据(iFinD公式)'!$B35:$X35/'实盘净值数据(iFinD公式)'!$B34:$X34)/SUMPRODUCT(实盘持仓配置!$B$6:$X$6,'实盘净值数据(iFinD公式)'!$B34:$X34/'实盘净值数据(iFinD公式)'!$B$7:$X$7))*(1-实盘持仓配置!$Z$6)^(('实盘净值数据(iFinD公式)'!$A35-'实盘净值数据(iFinD公式)'!$A34)/365)-1)</f>
        <v/>
      </c>
      <c r="J35" s="52">
        <f>IF(H35="","",H35/MAX(H$5:H35)-1)</f>
        <v/>
      </c>
      <c r="K35" s="180">
        <f>IF(OR((ROW()-1)&lt;8,'实盘净值数据(iFinD公式)'!$A35="",'实盘净值数据(iFinD公式)'!$B35=""),"",SUMPRODUCT(实盘持仓配置!$B$7:$X$7,'实盘净值数据(iFinD公式)'!$B35:$X35/'实盘净值数据(iFinD公式)'!$B$8:$X$8)*(1-实盘持仓配置!$Z$7)^(('实盘净值数据(iFinD公式)'!$A35-'实盘净值数据(iFinD公式)'!$A$8)/365))</f>
        <v/>
      </c>
      <c r="L35" s="52">
        <f>IF(OR(K34="",'实盘净值数据(iFinD公式)'!$A35="",'实盘净值数据(iFinD公式)'!$B35=""),"",(SUMPRODUCT(实盘持仓配置!$B$7:$X$7,'实盘净值数据(iFinD公式)'!$B34:$X34/'实盘净值数据(iFinD公式)'!$B$8:$X$8,'实盘净值数据(iFinD公式)'!$B35:$X35/'实盘净值数据(iFinD公式)'!$B34:$X34)/SUMPRODUCT(实盘持仓配置!$B$7:$X$7,'实盘净值数据(iFinD公式)'!$B34:$X34/'实盘净值数据(iFinD公式)'!$B$8:$X$8))*(1-实盘持仓配置!$Z$7)^(('实盘净值数据(iFinD公式)'!$A35-'实盘净值数据(iFinD公式)'!$A34)/365)-1)</f>
        <v/>
      </c>
      <c r="M35" s="52">
        <f>IF(K35="","",K35/MAX(K$5:K35)-1)</f>
        <v/>
      </c>
      <c r="N35" s="180">
        <f>IF(OR((ROW()-1)&lt;5,'实盘净值数据(iFinD公式)'!$A35="",'实盘净值数据(iFinD公式)'!$B35=""),"",SUMPRODUCT(实盘持仓配置!$B$8:$X$8,'实盘净值数据(iFinD公式)'!$B35:$X35/'实盘净值数据(iFinD公式)'!$B$5:$X$5)*(1-实盘持仓配置!$Z$8)^(('实盘净值数据(iFinD公式)'!$A35-'实盘净值数据(iFinD公式)'!$A$5)/365))</f>
        <v/>
      </c>
      <c r="O35" s="52">
        <f>IF(OR(N34="",'实盘净值数据(iFinD公式)'!$A35="",'实盘净值数据(iFinD公式)'!$B35=""),"",(SUMPRODUCT(实盘持仓配置!$B$8:$X$8,'实盘净值数据(iFinD公式)'!$B34:$X34/'实盘净值数据(iFinD公式)'!$B$5:$X$5,'实盘净值数据(iFinD公式)'!$B35:$X35/'实盘净值数据(iFinD公式)'!$B34:$X34)/SUMPRODUCT(实盘持仓配置!$B$8:$X$8,'实盘净值数据(iFinD公式)'!$B34:$X34/'实盘净值数据(iFinD公式)'!$B$5:$X$5))*(1-实盘持仓配置!$Z$8)^(('实盘净值数据(iFinD公式)'!$A35-'实盘净值数据(iFinD公式)'!$A34)/365)-1)</f>
        <v/>
      </c>
      <c r="P35" s="52">
        <f>IF(N35="","",N35/MAX(N$5:N35)-1)</f>
        <v/>
      </c>
      <c r="Q35" s="180">
        <f>IF(OR((ROW()-1)&lt;8,'实盘净值数据(iFinD公式)'!$A35="",'实盘净值数据(iFinD公式)'!$B35=""),"",SUMPRODUCT(实盘持仓配置!$B$9:$X$9,'实盘净值数据(iFinD公式)'!$B35:$X35/'实盘净值数据(iFinD公式)'!$B$8:$X$8)*(1-实盘持仓配置!$Z$9)^(('实盘净值数据(iFinD公式)'!$A35-'实盘净值数据(iFinD公式)'!$A$8)/365))</f>
        <v/>
      </c>
      <c r="R35" s="52">
        <f>IF(OR(Q34="",'实盘净值数据(iFinD公式)'!$A35="",'实盘净值数据(iFinD公式)'!$B35=""),"",(SUMPRODUCT(实盘持仓配置!$B$9:$X$9,'实盘净值数据(iFinD公式)'!$B34:$X34/'实盘净值数据(iFinD公式)'!$B$8:$X$8,'实盘净值数据(iFinD公式)'!$B35:$X35/'实盘净值数据(iFinD公式)'!$B34:$X34)/SUMPRODUCT(实盘持仓配置!$B$9:$X$9,'实盘净值数据(iFinD公式)'!$B34:$X34/'实盘净值数据(iFinD公式)'!$B$8:$X$8))*(1-实盘持仓配置!$Z$9)^(('实盘净值数据(iFinD公式)'!$A35-'实盘净值数据(iFinD公式)'!$A34)/365)-1)</f>
        <v/>
      </c>
      <c r="S35" s="52">
        <f>IF(Q35="","",Q35/MAX(Q$5:Q35)-1)</f>
        <v/>
      </c>
    </row>
    <row r="36">
      <c r="A36" s="181">
        <f>IF('实盘净值数据(iFinD公式)'!A36="","",'实盘净值数据(iFinD公式)'!A36)</f>
        <v/>
      </c>
      <c r="B36" s="180">
        <f>IF(OR((ROW()-1)&lt;6,'实盘净值数据(iFinD公式)'!$A36="",'实盘净值数据(iFinD公式)'!$B36=""),"",SUMPRODUCT(实盘持仓配置!$B$4:$X$4,'实盘净值数据(iFinD公式)'!$B36:$X36/'实盘净值数据(iFinD公式)'!$B$6:$X$6)*(1-实盘持仓配置!$Z$4)^(('实盘净值数据(iFinD公式)'!$A36-'实盘净值数据(iFinD公式)'!$A$6)/365))</f>
        <v/>
      </c>
      <c r="C36" s="52">
        <f>IF(OR(B35="",'实盘净值数据(iFinD公式)'!$A36="",'实盘净值数据(iFinD公式)'!$B36=""),"",(SUMPRODUCT(实盘持仓配置!$B$4:$X$4,'实盘净值数据(iFinD公式)'!$B35:$X35/'实盘净值数据(iFinD公式)'!$B$6:$X$6,'实盘净值数据(iFinD公式)'!$B36:$X36/'实盘净值数据(iFinD公式)'!$B35:$X35)/SUMPRODUCT(实盘持仓配置!$B$4:$X$4,'实盘净值数据(iFinD公式)'!$B35:$X35/'实盘净值数据(iFinD公式)'!$B$6:$X$6))*(1-实盘持仓配置!$Z$4)^(('实盘净值数据(iFinD公式)'!$A36-'实盘净值数据(iFinD公式)'!$A35)/365)-1)</f>
        <v/>
      </c>
      <c r="D36" s="52">
        <f>IF(B36="","",B36/MAX(B$5:B36)-1)</f>
        <v/>
      </c>
      <c r="E36" s="180">
        <f>IF(OR((ROW()-1)&lt;5,'实盘净值数据(iFinD公式)'!$A36="",'实盘净值数据(iFinD公式)'!$B36=""),"",SUMPRODUCT(实盘持仓配置!$B$5:$X$5,'实盘净值数据(iFinD公式)'!$B36:$X36/'实盘净值数据(iFinD公式)'!$B$5:$X$5)*(1-实盘持仓配置!$Z$5)^(('实盘净值数据(iFinD公式)'!$A36-'实盘净值数据(iFinD公式)'!$A$5)/365))</f>
        <v/>
      </c>
      <c r="F36" s="52">
        <f>IF(OR(E35="",'实盘净值数据(iFinD公式)'!$A36="",'实盘净值数据(iFinD公式)'!$B36=""),"",(SUMPRODUCT(实盘持仓配置!$B$5:$X$5,'实盘净值数据(iFinD公式)'!$B35:$X35/'实盘净值数据(iFinD公式)'!$B$5:$X$5,'实盘净值数据(iFinD公式)'!$B36:$X36/'实盘净值数据(iFinD公式)'!$B35:$X35)/SUMPRODUCT(实盘持仓配置!$B$5:$X$5,'实盘净值数据(iFinD公式)'!$B35:$X35/'实盘净值数据(iFinD公式)'!$B$5:$X$5))*(1-实盘持仓配置!$Z$5)^(('实盘净值数据(iFinD公式)'!$A36-'实盘净值数据(iFinD公式)'!$A35)/365)-1)</f>
        <v/>
      </c>
      <c r="G36" s="52">
        <f>IF(E36="","",E36/MAX(E$5:E36)-1)</f>
        <v/>
      </c>
      <c r="H36" s="180">
        <f>IF(OR((ROW()-1)&lt;7,'实盘净值数据(iFinD公式)'!$A36="",'实盘净值数据(iFinD公式)'!$B36=""),"",SUMPRODUCT(实盘持仓配置!$B$6:$X$6,'实盘净值数据(iFinD公式)'!$B36:$X36/'实盘净值数据(iFinD公式)'!$B$7:$X$7)*(1-实盘持仓配置!$Z$6)^(('实盘净值数据(iFinD公式)'!$A36-'实盘净值数据(iFinD公式)'!$A$7)/365))</f>
        <v/>
      </c>
      <c r="I36" s="52">
        <f>IF(OR(H35="",'实盘净值数据(iFinD公式)'!$A36="",'实盘净值数据(iFinD公式)'!$B36=""),"",(SUMPRODUCT(实盘持仓配置!$B$6:$X$6,'实盘净值数据(iFinD公式)'!$B35:$X35/'实盘净值数据(iFinD公式)'!$B$7:$X$7,'实盘净值数据(iFinD公式)'!$B36:$X36/'实盘净值数据(iFinD公式)'!$B35:$X35)/SUMPRODUCT(实盘持仓配置!$B$6:$X$6,'实盘净值数据(iFinD公式)'!$B35:$X35/'实盘净值数据(iFinD公式)'!$B$7:$X$7))*(1-实盘持仓配置!$Z$6)^(('实盘净值数据(iFinD公式)'!$A36-'实盘净值数据(iFinD公式)'!$A35)/365)-1)</f>
        <v/>
      </c>
      <c r="J36" s="52">
        <f>IF(H36="","",H36/MAX(H$5:H36)-1)</f>
        <v/>
      </c>
      <c r="K36" s="180">
        <f>IF(OR((ROW()-1)&lt;8,'实盘净值数据(iFinD公式)'!$A36="",'实盘净值数据(iFinD公式)'!$B36=""),"",SUMPRODUCT(实盘持仓配置!$B$7:$X$7,'实盘净值数据(iFinD公式)'!$B36:$X36/'实盘净值数据(iFinD公式)'!$B$8:$X$8)*(1-实盘持仓配置!$Z$7)^(('实盘净值数据(iFinD公式)'!$A36-'实盘净值数据(iFinD公式)'!$A$8)/365))</f>
        <v/>
      </c>
      <c r="L36" s="52">
        <f>IF(OR(K35="",'实盘净值数据(iFinD公式)'!$A36="",'实盘净值数据(iFinD公式)'!$B36=""),"",(SUMPRODUCT(实盘持仓配置!$B$7:$X$7,'实盘净值数据(iFinD公式)'!$B35:$X35/'实盘净值数据(iFinD公式)'!$B$8:$X$8,'实盘净值数据(iFinD公式)'!$B36:$X36/'实盘净值数据(iFinD公式)'!$B35:$X35)/SUMPRODUCT(实盘持仓配置!$B$7:$X$7,'实盘净值数据(iFinD公式)'!$B35:$X35/'实盘净值数据(iFinD公式)'!$B$8:$X$8))*(1-实盘持仓配置!$Z$7)^(('实盘净值数据(iFinD公式)'!$A36-'实盘净值数据(iFinD公式)'!$A35)/365)-1)</f>
        <v/>
      </c>
      <c r="M36" s="52">
        <f>IF(K36="","",K36/MAX(K$5:K36)-1)</f>
        <v/>
      </c>
      <c r="N36" s="180">
        <f>IF(OR((ROW()-1)&lt;5,'实盘净值数据(iFinD公式)'!$A36="",'实盘净值数据(iFinD公式)'!$B36=""),"",SUMPRODUCT(实盘持仓配置!$B$8:$X$8,'实盘净值数据(iFinD公式)'!$B36:$X36/'实盘净值数据(iFinD公式)'!$B$5:$X$5)*(1-实盘持仓配置!$Z$8)^(('实盘净值数据(iFinD公式)'!$A36-'实盘净值数据(iFinD公式)'!$A$5)/365))</f>
        <v/>
      </c>
      <c r="O36" s="52">
        <f>IF(OR(N35="",'实盘净值数据(iFinD公式)'!$A36="",'实盘净值数据(iFinD公式)'!$B36=""),"",(SUMPRODUCT(实盘持仓配置!$B$8:$X$8,'实盘净值数据(iFinD公式)'!$B35:$X35/'实盘净值数据(iFinD公式)'!$B$5:$X$5,'实盘净值数据(iFinD公式)'!$B36:$X36/'实盘净值数据(iFinD公式)'!$B35:$X35)/SUMPRODUCT(实盘持仓配置!$B$8:$X$8,'实盘净值数据(iFinD公式)'!$B35:$X35/'实盘净值数据(iFinD公式)'!$B$5:$X$5))*(1-实盘持仓配置!$Z$8)^(('实盘净值数据(iFinD公式)'!$A36-'实盘净值数据(iFinD公式)'!$A35)/365)-1)</f>
        <v/>
      </c>
      <c r="P36" s="52">
        <f>IF(N36="","",N36/MAX(N$5:N36)-1)</f>
        <v/>
      </c>
      <c r="Q36" s="180">
        <f>IF(OR((ROW()-1)&lt;8,'实盘净值数据(iFinD公式)'!$A36="",'实盘净值数据(iFinD公式)'!$B36=""),"",SUMPRODUCT(实盘持仓配置!$B$9:$X$9,'实盘净值数据(iFinD公式)'!$B36:$X36/'实盘净值数据(iFinD公式)'!$B$8:$X$8)*(1-实盘持仓配置!$Z$9)^(('实盘净值数据(iFinD公式)'!$A36-'实盘净值数据(iFinD公式)'!$A$8)/365))</f>
        <v/>
      </c>
      <c r="R36" s="52">
        <f>IF(OR(Q35="",'实盘净值数据(iFinD公式)'!$A36="",'实盘净值数据(iFinD公式)'!$B36=""),"",(SUMPRODUCT(实盘持仓配置!$B$9:$X$9,'实盘净值数据(iFinD公式)'!$B35:$X35/'实盘净值数据(iFinD公式)'!$B$8:$X$8,'实盘净值数据(iFinD公式)'!$B36:$X36/'实盘净值数据(iFinD公式)'!$B35:$X35)/SUMPRODUCT(实盘持仓配置!$B$9:$X$9,'实盘净值数据(iFinD公式)'!$B35:$X35/'实盘净值数据(iFinD公式)'!$B$8:$X$8))*(1-实盘持仓配置!$Z$9)^(('实盘净值数据(iFinD公式)'!$A36-'实盘净值数据(iFinD公式)'!$A35)/365)-1)</f>
        <v/>
      </c>
      <c r="S36" s="52">
        <f>IF(Q36="","",Q36/MAX(Q$5:Q36)-1)</f>
        <v/>
      </c>
    </row>
    <row r="37">
      <c r="A37" s="181">
        <f>IF('实盘净值数据(iFinD公式)'!A37="","",'实盘净值数据(iFinD公式)'!A37)</f>
        <v/>
      </c>
      <c r="B37" s="180">
        <f>IF(OR((ROW()-1)&lt;6,'实盘净值数据(iFinD公式)'!$A37="",'实盘净值数据(iFinD公式)'!$B37=""),"",SUMPRODUCT(实盘持仓配置!$B$4:$X$4,'实盘净值数据(iFinD公式)'!$B37:$X37/'实盘净值数据(iFinD公式)'!$B$6:$X$6)*(1-实盘持仓配置!$Z$4)^(('实盘净值数据(iFinD公式)'!$A37-'实盘净值数据(iFinD公式)'!$A$6)/365))</f>
        <v/>
      </c>
      <c r="C37" s="52">
        <f>IF(OR(B36="",'实盘净值数据(iFinD公式)'!$A37="",'实盘净值数据(iFinD公式)'!$B37=""),"",(SUMPRODUCT(实盘持仓配置!$B$4:$X$4,'实盘净值数据(iFinD公式)'!$B36:$X36/'实盘净值数据(iFinD公式)'!$B$6:$X$6,'实盘净值数据(iFinD公式)'!$B37:$X37/'实盘净值数据(iFinD公式)'!$B36:$X36)/SUMPRODUCT(实盘持仓配置!$B$4:$X$4,'实盘净值数据(iFinD公式)'!$B36:$X36/'实盘净值数据(iFinD公式)'!$B$6:$X$6))*(1-实盘持仓配置!$Z$4)^(('实盘净值数据(iFinD公式)'!$A37-'实盘净值数据(iFinD公式)'!$A36)/365)-1)</f>
        <v/>
      </c>
      <c r="D37" s="52">
        <f>IF(B37="","",B37/MAX(B$5:B37)-1)</f>
        <v/>
      </c>
      <c r="E37" s="180">
        <f>IF(OR((ROW()-1)&lt;5,'实盘净值数据(iFinD公式)'!$A37="",'实盘净值数据(iFinD公式)'!$B37=""),"",SUMPRODUCT(实盘持仓配置!$B$5:$X$5,'实盘净值数据(iFinD公式)'!$B37:$X37/'实盘净值数据(iFinD公式)'!$B$5:$X$5)*(1-实盘持仓配置!$Z$5)^(('实盘净值数据(iFinD公式)'!$A37-'实盘净值数据(iFinD公式)'!$A$5)/365))</f>
        <v/>
      </c>
      <c r="F37" s="52">
        <f>IF(OR(E36="",'实盘净值数据(iFinD公式)'!$A37="",'实盘净值数据(iFinD公式)'!$B37=""),"",(SUMPRODUCT(实盘持仓配置!$B$5:$X$5,'实盘净值数据(iFinD公式)'!$B36:$X36/'实盘净值数据(iFinD公式)'!$B$5:$X$5,'实盘净值数据(iFinD公式)'!$B37:$X37/'实盘净值数据(iFinD公式)'!$B36:$X36)/SUMPRODUCT(实盘持仓配置!$B$5:$X$5,'实盘净值数据(iFinD公式)'!$B36:$X36/'实盘净值数据(iFinD公式)'!$B$5:$X$5))*(1-实盘持仓配置!$Z$5)^(('实盘净值数据(iFinD公式)'!$A37-'实盘净值数据(iFinD公式)'!$A36)/365)-1)</f>
        <v/>
      </c>
      <c r="G37" s="52">
        <f>IF(E37="","",E37/MAX(E$5:E37)-1)</f>
        <v/>
      </c>
      <c r="H37" s="180">
        <f>IF(OR((ROW()-1)&lt;7,'实盘净值数据(iFinD公式)'!$A37="",'实盘净值数据(iFinD公式)'!$B37=""),"",SUMPRODUCT(实盘持仓配置!$B$6:$X$6,'实盘净值数据(iFinD公式)'!$B37:$X37/'实盘净值数据(iFinD公式)'!$B$7:$X$7)*(1-实盘持仓配置!$Z$6)^(('实盘净值数据(iFinD公式)'!$A37-'实盘净值数据(iFinD公式)'!$A$7)/365))</f>
        <v/>
      </c>
      <c r="I37" s="52">
        <f>IF(OR(H36="",'实盘净值数据(iFinD公式)'!$A37="",'实盘净值数据(iFinD公式)'!$B37=""),"",(SUMPRODUCT(实盘持仓配置!$B$6:$X$6,'实盘净值数据(iFinD公式)'!$B36:$X36/'实盘净值数据(iFinD公式)'!$B$7:$X$7,'实盘净值数据(iFinD公式)'!$B37:$X37/'实盘净值数据(iFinD公式)'!$B36:$X36)/SUMPRODUCT(实盘持仓配置!$B$6:$X$6,'实盘净值数据(iFinD公式)'!$B36:$X36/'实盘净值数据(iFinD公式)'!$B$7:$X$7))*(1-实盘持仓配置!$Z$6)^(('实盘净值数据(iFinD公式)'!$A37-'实盘净值数据(iFinD公式)'!$A36)/365)-1)</f>
        <v/>
      </c>
      <c r="J37" s="52">
        <f>IF(H37="","",H37/MAX(H$5:H37)-1)</f>
        <v/>
      </c>
      <c r="K37" s="180">
        <f>IF(OR((ROW()-1)&lt;8,'实盘净值数据(iFinD公式)'!$A37="",'实盘净值数据(iFinD公式)'!$B37=""),"",SUMPRODUCT(实盘持仓配置!$B$7:$X$7,'实盘净值数据(iFinD公式)'!$B37:$X37/'实盘净值数据(iFinD公式)'!$B$8:$X$8)*(1-实盘持仓配置!$Z$7)^(('实盘净值数据(iFinD公式)'!$A37-'实盘净值数据(iFinD公式)'!$A$8)/365))</f>
        <v/>
      </c>
      <c r="L37" s="52">
        <f>IF(OR(K36="",'实盘净值数据(iFinD公式)'!$A37="",'实盘净值数据(iFinD公式)'!$B37=""),"",(SUMPRODUCT(实盘持仓配置!$B$7:$X$7,'实盘净值数据(iFinD公式)'!$B36:$X36/'实盘净值数据(iFinD公式)'!$B$8:$X$8,'实盘净值数据(iFinD公式)'!$B37:$X37/'实盘净值数据(iFinD公式)'!$B36:$X36)/SUMPRODUCT(实盘持仓配置!$B$7:$X$7,'实盘净值数据(iFinD公式)'!$B36:$X36/'实盘净值数据(iFinD公式)'!$B$8:$X$8))*(1-实盘持仓配置!$Z$7)^(('实盘净值数据(iFinD公式)'!$A37-'实盘净值数据(iFinD公式)'!$A36)/365)-1)</f>
        <v/>
      </c>
      <c r="M37" s="52">
        <f>IF(K37="","",K37/MAX(K$5:K37)-1)</f>
        <v/>
      </c>
      <c r="N37" s="180">
        <f>IF(OR((ROW()-1)&lt;5,'实盘净值数据(iFinD公式)'!$A37="",'实盘净值数据(iFinD公式)'!$B37=""),"",SUMPRODUCT(实盘持仓配置!$B$8:$X$8,'实盘净值数据(iFinD公式)'!$B37:$X37/'实盘净值数据(iFinD公式)'!$B$5:$X$5)*(1-实盘持仓配置!$Z$8)^(('实盘净值数据(iFinD公式)'!$A37-'实盘净值数据(iFinD公式)'!$A$5)/365))</f>
        <v/>
      </c>
      <c r="O37" s="52">
        <f>IF(OR(N36="",'实盘净值数据(iFinD公式)'!$A37="",'实盘净值数据(iFinD公式)'!$B37=""),"",(SUMPRODUCT(实盘持仓配置!$B$8:$X$8,'实盘净值数据(iFinD公式)'!$B36:$X36/'实盘净值数据(iFinD公式)'!$B$5:$X$5,'实盘净值数据(iFinD公式)'!$B37:$X37/'实盘净值数据(iFinD公式)'!$B36:$X36)/SUMPRODUCT(实盘持仓配置!$B$8:$X$8,'实盘净值数据(iFinD公式)'!$B36:$X36/'实盘净值数据(iFinD公式)'!$B$5:$X$5))*(1-实盘持仓配置!$Z$8)^(('实盘净值数据(iFinD公式)'!$A37-'实盘净值数据(iFinD公式)'!$A36)/365)-1)</f>
        <v/>
      </c>
      <c r="P37" s="52">
        <f>IF(N37="","",N37/MAX(N$5:N37)-1)</f>
        <v/>
      </c>
      <c r="Q37" s="180">
        <f>IF(OR((ROW()-1)&lt;8,'实盘净值数据(iFinD公式)'!$A37="",'实盘净值数据(iFinD公式)'!$B37=""),"",SUMPRODUCT(实盘持仓配置!$B$9:$X$9,'实盘净值数据(iFinD公式)'!$B37:$X37/'实盘净值数据(iFinD公式)'!$B$8:$X$8)*(1-实盘持仓配置!$Z$9)^(('实盘净值数据(iFinD公式)'!$A37-'实盘净值数据(iFinD公式)'!$A$8)/365))</f>
        <v/>
      </c>
      <c r="R37" s="52">
        <f>IF(OR(Q36="",'实盘净值数据(iFinD公式)'!$A37="",'实盘净值数据(iFinD公式)'!$B37=""),"",(SUMPRODUCT(实盘持仓配置!$B$9:$X$9,'实盘净值数据(iFinD公式)'!$B36:$X36/'实盘净值数据(iFinD公式)'!$B$8:$X$8,'实盘净值数据(iFinD公式)'!$B37:$X37/'实盘净值数据(iFinD公式)'!$B36:$X36)/SUMPRODUCT(实盘持仓配置!$B$9:$X$9,'实盘净值数据(iFinD公式)'!$B36:$X36/'实盘净值数据(iFinD公式)'!$B$8:$X$8))*(1-实盘持仓配置!$Z$9)^(('实盘净值数据(iFinD公式)'!$A37-'实盘净值数据(iFinD公式)'!$A36)/365)-1)</f>
        <v/>
      </c>
      <c r="S37" s="52">
        <f>IF(Q37="","",Q37/MAX(Q$5:Q37)-1)</f>
        <v/>
      </c>
    </row>
    <row r="38">
      <c r="A38" s="181">
        <f>IF('实盘净值数据(iFinD公式)'!A38="","",'实盘净值数据(iFinD公式)'!A38)</f>
        <v/>
      </c>
      <c r="B38" s="180">
        <f>IF(OR((ROW()-1)&lt;6,'实盘净值数据(iFinD公式)'!$A38="",'实盘净值数据(iFinD公式)'!$B38=""),"",SUMPRODUCT(实盘持仓配置!$B$4:$X$4,'实盘净值数据(iFinD公式)'!$B38:$X38/'实盘净值数据(iFinD公式)'!$B$6:$X$6)*(1-实盘持仓配置!$Z$4)^(('实盘净值数据(iFinD公式)'!$A38-'实盘净值数据(iFinD公式)'!$A$6)/365))</f>
        <v/>
      </c>
      <c r="C38" s="52">
        <f>IF(OR(B37="",'实盘净值数据(iFinD公式)'!$A38="",'实盘净值数据(iFinD公式)'!$B38=""),"",(SUMPRODUCT(实盘持仓配置!$B$4:$X$4,'实盘净值数据(iFinD公式)'!$B37:$X37/'实盘净值数据(iFinD公式)'!$B$6:$X$6,'实盘净值数据(iFinD公式)'!$B38:$X38/'实盘净值数据(iFinD公式)'!$B37:$X37)/SUMPRODUCT(实盘持仓配置!$B$4:$X$4,'实盘净值数据(iFinD公式)'!$B37:$X37/'实盘净值数据(iFinD公式)'!$B$6:$X$6))*(1-实盘持仓配置!$Z$4)^(('实盘净值数据(iFinD公式)'!$A38-'实盘净值数据(iFinD公式)'!$A37)/365)-1)</f>
        <v/>
      </c>
      <c r="D38" s="52">
        <f>IF(B38="","",B38/MAX(B$5:B38)-1)</f>
        <v/>
      </c>
      <c r="E38" s="180">
        <f>IF(OR((ROW()-1)&lt;5,'实盘净值数据(iFinD公式)'!$A38="",'实盘净值数据(iFinD公式)'!$B38=""),"",SUMPRODUCT(实盘持仓配置!$B$5:$X$5,'实盘净值数据(iFinD公式)'!$B38:$X38/'实盘净值数据(iFinD公式)'!$B$5:$X$5)*(1-实盘持仓配置!$Z$5)^(('实盘净值数据(iFinD公式)'!$A38-'实盘净值数据(iFinD公式)'!$A$5)/365))</f>
        <v/>
      </c>
      <c r="F38" s="52">
        <f>IF(OR(E37="",'实盘净值数据(iFinD公式)'!$A38="",'实盘净值数据(iFinD公式)'!$B38=""),"",(SUMPRODUCT(实盘持仓配置!$B$5:$X$5,'实盘净值数据(iFinD公式)'!$B37:$X37/'实盘净值数据(iFinD公式)'!$B$5:$X$5,'实盘净值数据(iFinD公式)'!$B38:$X38/'实盘净值数据(iFinD公式)'!$B37:$X37)/SUMPRODUCT(实盘持仓配置!$B$5:$X$5,'实盘净值数据(iFinD公式)'!$B37:$X37/'实盘净值数据(iFinD公式)'!$B$5:$X$5))*(1-实盘持仓配置!$Z$5)^(('实盘净值数据(iFinD公式)'!$A38-'实盘净值数据(iFinD公式)'!$A37)/365)-1)</f>
        <v/>
      </c>
      <c r="G38" s="52">
        <f>IF(E38="","",E38/MAX(E$5:E38)-1)</f>
        <v/>
      </c>
      <c r="H38" s="180">
        <f>IF(OR((ROW()-1)&lt;7,'实盘净值数据(iFinD公式)'!$A38="",'实盘净值数据(iFinD公式)'!$B38=""),"",SUMPRODUCT(实盘持仓配置!$B$6:$X$6,'实盘净值数据(iFinD公式)'!$B38:$X38/'实盘净值数据(iFinD公式)'!$B$7:$X$7)*(1-实盘持仓配置!$Z$6)^(('实盘净值数据(iFinD公式)'!$A38-'实盘净值数据(iFinD公式)'!$A$7)/365))</f>
        <v/>
      </c>
      <c r="I38" s="52">
        <f>IF(OR(H37="",'实盘净值数据(iFinD公式)'!$A38="",'实盘净值数据(iFinD公式)'!$B38=""),"",(SUMPRODUCT(实盘持仓配置!$B$6:$X$6,'实盘净值数据(iFinD公式)'!$B37:$X37/'实盘净值数据(iFinD公式)'!$B$7:$X$7,'实盘净值数据(iFinD公式)'!$B38:$X38/'实盘净值数据(iFinD公式)'!$B37:$X37)/SUMPRODUCT(实盘持仓配置!$B$6:$X$6,'实盘净值数据(iFinD公式)'!$B37:$X37/'实盘净值数据(iFinD公式)'!$B$7:$X$7))*(1-实盘持仓配置!$Z$6)^(('实盘净值数据(iFinD公式)'!$A38-'实盘净值数据(iFinD公式)'!$A37)/365)-1)</f>
        <v/>
      </c>
      <c r="J38" s="52">
        <f>IF(H38="","",H38/MAX(H$5:H38)-1)</f>
        <v/>
      </c>
      <c r="K38" s="180">
        <f>IF(OR((ROW()-1)&lt;8,'实盘净值数据(iFinD公式)'!$A38="",'实盘净值数据(iFinD公式)'!$B38=""),"",SUMPRODUCT(实盘持仓配置!$B$7:$X$7,'实盘净值数据(iFinD公式)'!$B38:$X38/'实盘净值数据(iFinD公式)'!$B$8:$X$8)*(1-实盘持仓配置!$Z$7)^(('实盘净值数据(iFinD公式)'!$A38-'实盘净值数据(iFinD公式)'!$A$8)/365))</f>
        <v/>
      </c>
      <c r="L38" s="52">
        <f>IF(OR(K37="",'实盘净值数据(iFinD公式)'!$A38="",'实盘净值数据(iFinD公式)'!$B38=""),"",(SUMPRODUCT(实盘持仓配置!$B$7:$X$7,'实盘净值数据(iFinD公式)'!$B37:$X37/'实盘净值数据(iFinD公式)'!$B$8:$X$8,'实盘净值数据(iFinD公式)'!$B38:$X38/'实盘净值数据(iFinD公式)'!$B37:$X37)/SUMPRODUCT(实盘持仓配置!$B$7:$X$7,'实盘净值数据(iFinD公式)'!$B37:$X37/'实盘净值数据(iFinD公式)'!$B$8:$X$8))*(1-实盘持仓配置!$Z$7)^(('实盘净值数据(iFinD公式)'!$A38-'实盘净值数据(iFinD公式)'!$A37)/365)-1)</f>
        <v/>
      </c>
      <c r="M38" s="52">
        <f>IF(K38="","",K38/MAX(K$5:K38)-1)</f>
        <v/>
      </c>
      <c r="N38" s="180">
        <f>IF(OR((ROW()-1)&lt;5,'实盘净值数据(iFinD公式)'!$A38="",'实盘净值数据(iFinD公式)'!$B38=""),"",SUMPRODUCT(实盘持仓配置!$B$8:$X$8,'实盘净值数据(iFinD公式)'!$B38:$X38/'实盘净值数据(iFinD公式)'!$B$5:$X$5)*(1-实盘持仓配置!$Z$8)^(('实盘净值数据(iFinD公式)'!$A38-'实盘净值数据(iFinD公式)'!$A$5)/365))</f>
        <v/>
      </c>
      <c r="O38" s="52">
        <f>IF(OR(N37="",'实盘净值数据(iFinD公式)'!$A38="",'实盘净值数据(iFinD公式)'!$B38=""),"",(SUMPRODUCT(实盘持仓配置!$B$8:$X$8,'实盘净值数据(iFinD公式)'!$B37:$X37/'实盘净值数据(iFinD公式)'!$B$5:$X$5,'实盘净值数据(iFinD公式)'!$B38:$X38/'实盘净值数据(iFinD公式)'!$B37:$X37)/SUMPRODUCT(实盘持仓配置!$B$8:$X$8,'实盘净值数据(iFinD公式)'!$B37:$X37/'实盘净值数据(iFinD公式)'!$B$5:$X$5))*(1-实盘持仓配置!$Z$8)^(('实盘净值数据(iFinD公式)'!$A38-'实盘净值数据(iFinD公式)'!$A37)/365)-1)</f>
        <v/>
      </c>
      <c r="P38" s="52">
        <f>IF(N38="","",N38/MAX(N$5:N38)-1)</f>
        <v/>
      </c>
      <c r="Q38" s="180">
        <f>IF(OR((ROW()-1)&lt;8,'实盘净值数据(iFinD公式)'!$A38="",'实盘净值数据(iFinD公式)'!$B38=""),"",SUMPRODUCT(实盘持仓配置!$B$9:$X$9,'实盘净值数据(iFinD公式)'!$B38:$X38/'实盘净值数据(iFinD公式)'!$B$8:$X$8)*(1-实盘持仓配置!$Z$9)^(('实盘净值数据(iFinD公式)'!$A38-'实盘净值数据(iFinD公式)'!$A$8)/365))</f>
        <v/>
      </c>
      <c r="R38" s="52">
        <f>IF(OR(Q37="",'实盘净值数据(iFinD公式)'!$A38="",'实盘净值数据(iFinD公式)'!$B38=""),"",(SUMPRODUCT(实盘持仓配置!$B$9:$X$9,'实盘净值数据(iFinD公式)'!$B37:$X37/'实盘净值数据(iFinD公式)'!$B$8:$X$8,'实盘净值数据(iFinD公式)'!$B38:$X38/'实盘净值数据(iFinD公式)'!$B37:$X37)/SUMPRODUCT(实盘持仓配置!$B$9:$X$9,'实盘净值数据(iFinD公式)'!$B37:$X37/'实盘净值数据(iFinD公式)'!$B$8:$X$8))*(1-实盘持仓配置!$Z$9)^(('实盘净值数据(iFinD公式)'!$A38-'实盘净值数据(iFinD公式)'!$A37)/365)-1)</f>
        <v/>
      </c>
      <c r="S38" s="52">
        <f>IF(Q38="","",Q38/MAX(Q$5:Q38)-1)</f>
        <v/>
      </c>
    </row>
    <row r="39">
      <c r="A39" s="181">
        <f>IF('实盘净值数据(iFinD公式)'!A39="","",'实盘净值数据(iFinD公式)'!A39)</f>
        <v/>
      </c>
      <c r="B39" s="180">
        <f>IF(OR((ROW()-1)&lt;6,'实盘净值数据(iFinD公式)'!$A39="",'实盘净值数据(iFinD公式)'!$B39=""),"",SUMPRODUCT(实盘持仓配置!$B$4:$X$4,'实盘净值数据(iFinD公式)'!$B39:$X39/'实盘净值数据(iFinD公式)'!$B$6:$X$6)*(1-实盘持仓配置!$Z$4)^(('实盘净值数据(iFinD公式)'!$A39-'实盘净值数据(iFinD公式)'!$A$6)/365))</f>
        <v/>
      </c>
      <c r="C39" s="52">
        <f>IF(OR(B38="",'实盘净值数据(iFinD公式)'!$A39="",'实盘净值数据(iFinD公式)'!$B39=""),"",(SUMPRODUCT(实盘持仓配置!$B$4:$X$4,'实盘净值数据(iFinD公式)'!$B38:$X38/'实盘净值数据(iFinD公式)'!$B$6:$X$6,'实盘净值数据(iFinD公式)'!$B39:$X39/'实盘净值数据(iFinD公式)'!$B38:$X38)/SUMPRODUCT(实盘持仓配置!$B$4:$X$4,'实盘净值数据(iFinD公式)'!$B38:$X38/'实盘净值数据(iFinD公式)'!$B$6:$X$6))*(1-实盘持仓配置!$Z$4)^(('实盘净值数据(iFinD公式)'!$A39-'实盘净值数据(iFinD公式)'!$A38)/365)-1)</f>
        <v/>
      </c>
      <c r="D39" s="52">
        <f>IF(B39="","",B39/MAX(B$5:B39)-1)</f>
        <v/>
      </c>
      <c r="E39" s="180">
        <f>IF(OR((ROW()-1)&lt;5,'实盘净值数据(iFinD公式)'!$A39="",'实盘净值数据(iFinD公式)'!$B39=""),"",SUMPRODUCT(实盘持仓配置!$B$5:$X$5,'实盘净值数据(iFinD公式)'!$B39:$X39/'实盘净值数据(iFinD公式)'!$B$5:$X$5)*(1-实盘持仓配置!$Z$5)^(('实盘净值数据(iFinD公式)'!$A39-'实盘净值数据(iFinD公式)'!$A$5)/365))</f>
        <v/>
      </c>
      <c r="F39" s="52">
        <f>IF(OR(E38="",'实盘净值数据(iFinD公式)'!$A39="",'实盘净值数据(iFinD公式)'!$B39=""),"",(SUMPRODUCT(实盘持仓配置!$B$5:$X$5,'实盘净值数据(iFinD公式)'!$B38:$X38/'实盘净值数据(iFinD公式)'!$B$5:$X$5,'实盘净值数据(iFinD公式)'!$B39:$X39/'实盘净值数据(iFinD公式)'!$B38:$X38)/SUMPRODUCT(实盘持仓配置!$B$5:$X$5,'实盘净值数据(iFinD公式)'!$B38:$X38/'实盘净值数据(iFinD公式)'!$B$5:$X$5))*(1-实盘持仓配置!$Z$5)^(('实盘净值数据(iFinD公式)'!$A39-'实盘净值数据(iFinD公式)'!$A38)/365)-1)</f>
        <v/>
      </c>
      <c r="G39" s="52">
        <f>IF(E39="","",E39/MAX(E$5:E39)-1)</f>
        <v/>
      </c>
      <c r="H39" s="180">
        <f>IF(OR((ROW()-1)&lt;7,'实盘净值数据(iFinD公式)'!$A39="",'实盘净值数据(iFinD公式)'!$B39=""),"",SUMPRODUCT(实盘持仓配置!$B$6:$X$6,'实盘净值数据(iFinD公式)'!$B39:$X39/'实盘净值数据(iFinD公式)'!$B$7:$X$7)*(1-实盘持仓配置!$Z$6)^(('实盘净值数据(iFinD公式)'!$A39-'实盘净值数据(iFinD公式)'!$A$7)/365))</f>
        <v/>
      </c>
      <c r="I39" s="52">
        <f>IF(OR(H38="",'实盘净值数据(iFinD公式)'!$A39="",'实盘净值数据(iFinD公式)'!$B39=""),"",(SUMPRODUCT(实盘持仓配置!$B$6:$X$6,'实盘净值数据(iFinD公式)'!$B38:$X38/'实盘净值数据(iFinD公式)'!$B$7:$X$7,'实盘净值数据(iFinD公式)'!$B39:$X39/'实盘净值数据(iFinD公式)'!$B38:$X38)/SUMPRODUCT(实盘持仓配置!$B$6:$X$6,'实盘净值数据(iFinD公式)'!$B38:$X38/'实盘净值数据(iFinD公式)'!$B$7:$X$7))*(1-实盘持仓配置!$Z$6)^(('实盘净值数据(iFinD公式)'!$A39-'实盘净值数据(iFinD公式)'!$A38)/365)-1)</f>
        <v/>
      </c>
      <c r="J39" s="52">
        <f>IF(H39="","",H39/MAX(H$5:H39)-1)</f>
        <v/>
      </c>
      <c r="K39" s="180">
        <f>IF(OR((ROW()-1)&lt;8,'实盘净值数据(iFinD公式)'!$A39="",'实盘净值数据(iFinD公式)'!$B39=""),"",SUMPRODUCT(实盘持仓配置!$B$7:$X$7,'实盘净值数据(iFinD公式)'!$B39:$X39/'实盘净值数据(iFinD公式)'!$B$8:$X$8)*(1-实盘持仓配置!$Z$7)^(('实盘净值数据(iFinD公式)'!$A39-'实盘净值数据(iFinD公式)'!$A$8)/365))</f>
        <v/>
      </c>
      <c r="L39" s="52">
        <f>IF(OR(K38="",'实盘净值数据(iFinD公式)'!$A39="",'实盘净值数据(iFinD公式)'!$B39=""),"",(SUMPRODUCT(实盘持仓配置!$B$7:$X$7,'实盘净值数据(iFinD公式)'!$B38:$X38/'实盘净值数据(iFinD公式)'!$B$8:$X$8,'实盘净值数据(iFinD公式)'!$B39:$X39/'实盘净值数据(iFinD公式)'!$B38:$X38)/SUMPRODUCT(实盘持仓配置!$B$7:$X$7,'实盘净值数据(iFinD公式)'!$B38:$X38/'实盘净值数据(iFinD公式)'!$B$8:$X$8))*(1-实盘持仓配置!$Z$7)^(('实盘净值数据(iFinD公式)'!$A39-'实盘净值数据(iFinD公式)'!$A38)/365)-1)</f>
        <v/>
      </c>
      <c r="M39" s="52">
        <f>IF(K39="","",K39/MAX(K$5:K39)-1)</f>
        <v/>
      </c>
      <c r="N39" s="180">
        <f>IF(OR((ROW()-1)&lt;5,'实盘净值数据(iFinD公式)'!$A39="",'实盘净值数据(iFinD公式)'!$B39=""),"",SUMPRODUCT(实盘持仓配置!$B$8:$X$8,'实盘净值数据(iFinD公式)'!$B39:$X39/'实盘净值数据(iFinD公式)'!$B$5:$X$5)*(1-实盘持仓配置!$Z$8)^(('实盘净值数据(iFinD公式)'!$A39-'实盘净值数据(iFinD公式)'!$A$5)/365))</f>
        <v/>
      </c>
      <c r="O39" s="52">
        <f>IF(OR(N38="",'实盘净值数据(iFinD公式)'!$A39="",'实盘净值数据(iFinD公式)'!$B39=""),"",(SUMPRODUCT(实盘持仓配置!$B$8:$X$8,'实盘净值数据(iFinD公式)'!$B38:$X38/'实盘净值数据(iFinD公式)'!$B$5:$X$5,'实盘净值数据(iFinD公式)'!$B39:$X39/'实盘净值数据(iFinD公式)'!$B38:$X38)/SUMPRODUCT(实盘持仓配置!$B$8:$X$8,'实盘净值数据(iFinD公式)'!$B38:$X38/'实盘净值数据(iFinD公式)'!$B$5:$X$5))*(1-实盘持仓配置!$Z$8)^(('实盘净值数据(iFinD公式)'!$A39-'实盘净值数据(iFinD公式)'!$A38)/365)-1)</f>
        <v/>
      </c>
      <c r="P39" s="52">
        <f>IF(N39="","",N39/MAX(N$5:N39)-1)</f>
        <v/>
      </c>
      <c r="Q39" s="180">
        <f>IF(OR((ROW()-1)&lt;8,'实盘净值数据(iFinD公式)'!$A39="",'实盘净值数据(iFinD公式)'!$B39=""),"",SUMPRODUCT(实盘持仓配置!$B$9:$X$9,'实盘净值数据(iFinD公式)'!$B39:$X39/'实盘净值数据(iFinD公式)'!$B$8:$X$8)*(1-实盘持仓配置!$Z$9)^(('实盘净值数据(iFinD公式)'!$A39-'实盘净值数据(iFinD公式)'!$A$8)/365))</f>
        <v/>
      </c>
      <c r="R39" s="52">
        <f>IF(OR(Q38="",'实盘净值数据(iFinD公式)'!$A39="",'实盘净值数据(iFinD公式)'!$B39=""),"",(SUMPRODUCT(实盘持仓配置!$B$9:$X$9,'实盘净值数据(iFinD公式)'!$B38:$X38/'实盘净值数据(iFinD公式)'!$B$8:$X$8,'实盘净值数据(iFinD公式)'!$B39:$X39/'实盘净值数据(iFinD公式)'!$B38:$X38)/SUMPRODUCT(实盘持仓配置!$B$9:$X$9,'实盘净值数据(iFinD公式)'!$B38:$X38/'实盘净值数据(iFinD公式)'!$B$8:$X$8))*(1-实盘持仓配置!$Z$9)^(('实盘净值数据(iFinD公式)'!$A39-'实盘净值数据(iFinD公式)'!$A38)/365)-1)</f>
        <v/>
      </c>
      <c r="S39" s="52">
        <f>IF(Q39="","",Q39/MAX(Q$5:Q39)-1)</f>
        <v/>
      </c>
    </row>
    <row r="40">
      <c r="A40" s="181">
        <f>IF('实盘净值数据(iFinD公式)'!A40="","",'实盘净值数据(iFinD公式)'!A40)</f>
        <v/>
      </c>
      <c r="B40" s="180">
        <f>IF(OR((ROW()-1)&lt;6,'实盘净值数据(iFinD公式)'!$A40="",'实盘净值数据(iFinD公式)'!$B40=""),"",SUMPRODUCT(实盘持仓配置!$B$4:$X$4,'实盘净值数据(iFinD公式)'!$B40:$X40/'实盘净值数据(iFinD公式)'!$B$6:$X$6)*(1-实盘持仓配置!$Z$4)^(('实盘净值数据(iFinD公式)'!$A40-'实盘净值数据(iFinD公式)'!$A$6)/365))</f>
        <v/>
      </c>
      <c r="C40" s="52">
        <f>IF(OR(B39="",'实盘净值数据(iFinD公式)'!$A40="",'实盘净值数据(iFinD公式)'!$B40=""),"",(SUMPRODUCT(实盘持仓配置!$B$4:$X$4,'实盘净值数据(iFinD公式)'!$B39:$X39/'实盘净值数据(iFinD公式)'!$B$6:$X$6,'实盘净值数据(iFinD公式)'!$B40:$X40/'实盘净值数据(iFinD公式)'!$B39:$X39)/SUMPRODUCT(实盘持仓配置!$B$4:$X$4,'实盘净值数据(iFinD公式)'!$B39:$X39/'实盘净值数据(iFinD公式)'!$B$6:$X$6))*(1-实盘持仓配置!$Z$4)^(('实盘净值数据(iFinD公式)'!$A40-'实盘净值数据(iFinD公式)'!$A39)/365)-1)</f>
        <v/>
      </c>
      <c r="D40" s="52">
        <f>IF(B40="","",B40/MAX(B$5:B40)-1)</f>
        <v/>
      </c>
      <c r="E40" s="180">
        <f>IF(OR((ROW()-1)&lt;5,'实盘净值数据(iFinD公式)'!$A40="",'实盘净值数据(iFinD公式)'!$B40=""),"",SUMPRODUCT(实盘持仓配置!$B$5:$X$5,'实盘净值数据(iFinD公式)'!$B40:$X40/'实盘净值数据(iFinD公式)'!$B$5:$X$5)*(1-实盘持仓配置!$Z$5)^(('实盘净值数据(iFinD公式)'!$A40-'实盘净值数据(iFinD公式)'!$A$5)/365))</f>
        <v/>
      </c>
      <c r="F40" s="52">
        <f>IF(OR(E39="",'实盘净值数据(iFinD公式)'!$A40="",'实盘净值数据(iFinD公式)'!$B40=""),"",(SUMPRODUCT(实盘持仓配置!$B$5:$X$5,'实盘净值数据(iFinD公式)'!$B39:$X39/'实盘净值数据(iFinD公式)'!$B$5:$X$5,'实盘净值数据(iFinD公式)'!$B40:$X40/'实盘净值数据(iFinD公式)'!$B39:$X39)/SUMPRODUCT(实盘持仓配置!$B$5:$X$5,'实盘净值数据(iFinD公式)'!$B39:$X39/'实盘净值数据(iFinD公式)'!$B$5:$X$5))*(1-实盘持仓配置!$Z$5)^(('实盘净值数据(iFinD公式)'!$A40-'实盘净值数据(iFinD公式)'!$A39)/365)-1)</f>
        <v/>
      </c>
      <c r="G40" s="52">
        <f>IF(E40="","",E40/MAX(E$5:E40)-1)</f>
        <v/>
      </c>
      <c r="H40" s="180">
        <f>IF(OR((ROW()-1)&lt;7,'实盘净值数据(iFinD公式)'!$A40="",'实盘净值数据(iFinD公式)'!$B40=""),"",SUMPRODUCT(实盘持仓配置!$B$6:$X$6,'实盘净值数据(iFinD公式)'!$B40:$X40/'实盘净值数据(iFinD公式)'!$B$7:$X$7)*(1-实盘持仓配置!$Z$6)^(('实盘净值数据(iFinD公式)'!$A40-'实盘净值数据(iFinD公式)'!$A$7)/365))</f>
        <v/>
      </c>
      <c r="I40" s="52">
        <f>IF(OR(H39="",'实盘净值数据(iFinD公式)'!$A40="",'实盘净值数据(iFinD公式)'!$B40=""),"",(SUMPRODUCT(实盘持仓配置!$B$6:$X$6,'实盘净值数据(iFinD公式)'!$B39:$X39/'实盘净值数据(iFinD公式)'!$B$7:$X$7,'实盘净值数据(iFinD公式)'!$B40:$X40/'实盘净值数据(iFinD公式)'!$B39:$X39)/SUMPRODUCT(实盘持仓配置!$B$6:$X$6,'实盘净值数据(iFinD公式)'!$B39:$X39/'实盘净值数据(iFinD公式)'!$B$7:$X$7))*(1-实盘持仓配置!$Z$6)^(('实盘净值数据(iFinD公式)'!$A40-'实盘净值数据(iFinD公式)'!$A39)/365)-1)</f>
        <v/>
      </c>
      <c r="J40" s="52">
        <f>IF(H40="","",H40/MAX(H$5:H40)-1)</f>
        <v/>
      </c>
      <c r="K40" s="180">
        <f>IF(OR((ROW()-1)&lt;8,'实盘净值数据(iFinD公式)'!$A40="",'实盘净值数据(iFinD公式)'!$B40=""),"",SUMPRODUCT(实盘持仓配置!$B$7:$X$7,'实盘净值数据(iFinD公式)'!$B40:$X40/'实盘净值数据(iFinD公式)'!$B$8:$X$8)*(1-实盘持仓配置!$Z$7)^(('实盘净值数据(iFinD公式)'!$A40-'实盘净值数据(iFinD公式)'!$A$8)/365))</f>
        <v/>
      </c>
      <c r="L40" s="52">
        <f>IF(OR(K39="",'实盘净值数据(iFinD公式)'!$A40="",'实盘净值数据(iFinD公式)'!$B40=""),"",(SUMPRODUCT(实盘持仓配置!$B$7:$X$7,'实盘净值数据(iFinD公式)'!$B39:$X39/'实盘净值数据(iFinD公式)'!$B$8:$X$8,'实盘净值数据(iFinD公式)'!$B40:$X40/'实盘净值数据(iFinD公式)'!$B39:$X39)/SUMPRODUCT(实盘持仓配置!$B$7:$X$7,'实盘净值数据(iFinD公式)'!$B39:$X39/'实盘净值数据(iFinD公式)'!$B$8:$X$8))*(1-实盘持仓配置!$Z$7)^(('实盘净值数据(iFinD公式)'!$A40-'实盘净值数据(iFinD公式)'!$A39)/365)-1)</f>
        <v/>
      </c>
      <c r="M40" s="52">
        <f>IF(K40="","",K40/MAX(K$5:K40)-1)</f>
        <v/>
      </c>
      <c r="N40" s="180">
        <f>IF(OR((ROW()-1)&lt;5,'实盘净值数据(iFinD公式)'!$A40="",'实盘净值数据(iFinD公式)'!$B40=""),"",SUMPRODUCT(实盘持仓配置!$B$8:$X$8,'实盘净值数据(iFinD公式)'!$B40:$X40/'实盘净值数据(iFinD公式)'!$B$5:$X$5)*(1-实盘持仓配置!$Z$8)^(('实盘净值数据(iFinD公式)'!$A40-'实盘净值数据(iFinD公式)'!$A$5)/365))</f>
        <v/>
      </c>
      <c r="O40" s="52">
        <f>IF(OR(N39="",'实盘净值数据(iFinD公式)'!$A40="",'实盘净值数据(iFinD公式)'!$B40=""),"",(SUMPRODUCT(实盘持仓配置!$B$8:$X$8,'实盘净值数据(iFinD公式)'!$B39:$X39/'实盘净值数据(iFinD公式)'!$B$5:$X$5,'实盘净值数据(iFinD公式)'!$B40:$X40/'实盘净值数据(iFinD公式)'!$B39:$X39)/SUMPRODUCT(实盘持仓配置!$B$8:$X$8,'实盘净值数据(iFinD公式)'!$B39:$X39/'实盘净值数据(iFinD公式)'!$B$5:$X$5))*(1-实盘持仓配置!$Z$8)^(('实盘净值数据(iFinD公式)'!$A40-'实盘净值数据(iFinD公式)'!$A39)/365)-1)</f>
        <v/>
      </c>
      <c r="P40" s="52">
        <f>IF(N40="","",N40/MAX(N$5:N40)-1)</f>
        <v/>
      </c>
      <c r="Q40" s="180">
        <f>IF(OR((ROW()-1)&lt;8,'实盘净值数据(iFinD公式)'!$A40="",'实盘净值数据(iFinD公式)'!$B40=""),"",SUMPRODUCT(实盘持仓配置!$B$9:$X$9,'实盘净值数据(iFinD公式)'!$B40:$X40/'实盘净值数据(iFinD公式)'!$B$8:$X$8)*(1-实盘持仓配置!$Z$9)^(('实盘净值数据(iFinD公式)'!$A40-'实盘净值数据(iFinD公式)'!$A$8)/365))</f>
        <v/>
      </c>
      <c r="R40" s="52">
        <f>IF(OR(Q39="",'实盘净值数据(iFinD公式)'!$A40="",'实盘净值数据(iFinD公式)'!$B40=""),"",(SUMPRODUCT(实盘持仓配置!$B$9:$X$9,'实盘净值数据(iFinD公式)'!$B39:$X39/'实盘净值数据(iFinD公式)'!$B$8:$X$8,'实盘净值数据(iFinD公式)'!$B40:$X40/'实盘净值数据(iFinD公式)'!$B39:$X39)/SUMPRODUCT(实盘持仓配置!$B$9:$X$9,'实盘净值数据(iFinD公式)'!$B39:$X39/'实盘净值数据(iFinD公式)'!$B$8:$X$8))*(1-实盘持仓配置!$Z$9)^(('实盘净值数据(iFinD公式)'!$A40-'实盘净值数据(iFinD公式)'!$A39)/365)-1)</f>
        <v/>
      </c>
      <c r="S40" s="52">
        <f>IF(Q40="","",Q40/MAX(Q$5:Q40)-1)</f>
        <v/>
      </c>
    </row>
    <row r="41">
      <c r="A41" s="181">
        <f>IF('实盘净值数据(iFinD公式)'!A41="","",'实盘净值数据(iFinD公式)'!A41)</f>
        <v/>
      </c>
      <c r="B41" s="180">
        <f>IF(OR((ROW()-1)&lt;6,'实盘净值数据(iFinD公式)'!$A41="",'实盘净值数据(iFinD公式)'!$B41=""),"",SUMPRODUCT(实盘持仓配置!$B$4:$X$4,'实盘净值数据(iFinD公式)'!$B41:$X41/'实盘净值数据(iFinD公式)'!$B$6:$X$6)*(1-实盘持仓配置!$Z$4)^(('实盘净值数据(iFinD公式)'!$A41-'实盘净值数据(iFinD公式)'!$A$6)/365))</f>
        <v/>
      </c>
      <c r="C41" s="52">
        <f>IF(OR(B40="",'实盘净值数据(iFinD公式)'!$A41="",'实盘净值数据(iFinD公式)'!$B41=""),"",(SUMPRODUCT(实盘持仓配置!$B$4:$X$4,'实盘净值数据(iFinD公式)'!$B40:$X40/'实盘净值数据(iFinD公式)'!$B$6:$X$6,'实盘净值数据(iFinD公式)'!$B41:$X41/'实盘净值数据(iFinD公式)'!$B40:$X40)/SUMPRODUCT(实盘持仓配置!$B$4:$X$4,'实盘净值数据(iFinD公式)'!$B40:$X40/'实盘净值数据(iFinD公式)'!$B$6:$X$6))*(1-实盘持仓配置!$Z$4)^(('实盘净值数据(iFinD公式)'!$A41-'实盘净值数据(iFinD公式)'!$A40)/365)-1)</f>
        <v/>
      </c>
      <c r="D41" s="52">
        <f>IF(B41="","",B41/MAX(B$5:B41)-1)</f>
        <v/>
      </c>
      <c r="E41" s="180">
        <f>IF(OR((ROW()-1)&lt;5,'实盘净值数据(iFinD公式)'!$A41="",'实盘净值数据(iFinD公式)'!$B41=""),"",SUMPRODUCT(实盘持仓配置!$B$5:$X$5,'实盘净值数据(iFinD公式)'!$B41:$X41/'实盘净值数据(iFinD公式)'!$B$5:$X$5)*(1-实盘持仓配置!$Z$5)^(('实盘净值数据(iFinD公式)'!$A41-'实盘净值数据(iFinD公式)'!$A$5)/365))</f>
        <v/>
      </c>
      <c r="F41" s="52">
        <f>IF(OR(E40="",'实盘净值数据(iFinD公式)'!$A41="",'实盘净值数据(iFinD公式)'!$B41=""),"",(SUMPRODUCT(实盘持仓配置!$B$5:$X$5,'实盘净值数据(iFinD公式)'!$B40:$X40/'实盘净值数据(iFinD公式)'!$B$5:$X$5,'实盘净值数据(iFinD公式)'!$B41:$X41/'实盘净值数据(iFinD公式)'!$B40:$X40)/SUMPRODUCT(实盘持仓配置!$B$5:$X$5,'实盘净值数据(iFinD公式)'!$B40:$X40/'实盘净值数据(iFinD公式)'!$B$5:$X$5))*(1-实盘持仓配置!$Z$5)^(('实盘净值数据(iFinD公式)'!$A41-'实盘净值数据(iFinD公式)'!$A40)/365)-1)</f>
        <v/>
      </c>
      <c r="G41" s="52">
        <f>IF(E41="","",E41/MAX(E$5:E41)-1)</f>
        <v/>
      </c>
      <c r="H41" s="180">
        <f>IF(OR((ROW()-1)&lt;7,'实盘净值数据(iFinD公式)'!$A41="",'实盘净值数据(iFinD公式)'!$B41=""),"",SUMPRODUCT(实盘持仓配置!$B$6:$X$6,'实盘净值数据(iFinD公式)'!$B41:$X41/'实盘净值数据(iFinD公式)'!$B$7:$X$7)*(1-实盘持仓配置!$Z$6)^(('实盘净值数据(iFinD公式)'!$A41-'实盘净值数据(iFinD公式)'!$A$7)/365))</f>
        <v/>
      </c>
      <c r="I41" s="52">
        <f>IF(OR(H40="",'实盘净值数据(iFinD公式)'!$A41="",'实盘净值数据(iFinD公式)'!$B41=""),"",(SUMPRODUCT(实盘持仓配置!$B$6:$X$6,'实盘净值数据(iFinD公式)'!$B40:$X40/'实盘净值数据(iFinD公式)'!$B$7:$X$7,'实盘净值数据(iFinD公式)'!$B41:$X41/'实盘净值数据(iFinD公式)'!$B40:$X40)/SUMPRODUCT(实盘持仓配置!$B$6:$X$6,'实盘净值数据(iFinD公式)'!$B40:$X40/'实盘净值数据(iFinD公式)'!$B$7:$X$7))*(1-实盘持仓配置!$Z$6)^(('实盘净值数据(iFinD公式)'!$A41-'实盘净值数据(iFinD公式)'!$A40)/365)-1)</f>
        <v/>
      </c>
      <c r="J41" s="52">
        <f>IF(H41="","",H41/MAX(H$5:H41)-1)</f>
        <v/>
      </c>
      <c r="K41" s="180">
        <f>IF(OR((ROW()-1)&lt;8,'实盘净值数据(iFinD公式)'!$A41="",'实盘净值数据(iFinD公式)'!$B41=""),"",SUMPRODUCT(实盘持仓配置!$B$7:$X$7,'实盘净值数据(iFinD公式)'!$B41:$X41/'实盘净值数据(iFinD公式)'!$B$8:$X$8)*(1-实盘持仓配置!$Z$7)^(('实盘净值数据(iFinD公式)'!$A41-'实盘净值数据(iFinD公式)'!$A$8)/365))</f>
        <v/>
      </c>
      <c r="L41" s="52">
        <f>IF(OR(K40="",'实盘净值数据(iFinD公式)'!$A41="",'实盘净值数据(iFinD公式)'!$B41=""),"",(SUMPRODUCT(实盘持仓配置!$B$7:$X$7,'实盘净值数据(iFinD公式)'!$B40:$X40/'实盘净值数据(iFinD公式)'!$B$8:$X$8,'实盘净值数据(iFinD公式)'!$B41:$X41/'实盘净值数据(iFinD公式)'!$B40:$X40)/SUMPRODUCT(实盘持仓配置!$B$7:$X$7,'实盘净值数据(iFinD公式)'!$B40:$X40/'实盘净值数据(iFinD公式)'!$B$8:$X$8))*(1-实盘持仓配置!$Z$7)^(('实盘净值数据(iFinD公式)'!$A41-'实盘净值数据(iFinD公式)'!$A40)/365)-1)</f>
        <v/>
      </c>
      <c r="M41" s="52">
        <f>IF(K41="","",K41/MAX(K$5:K41)-1)</f>
        <v/>
      </c>
      <c r="N41" s="180">
        <f>IF(OR((ROW()-1)&lt;5,'实盘净值数据(iFinD公式)'!$A41="",'实盘净值数据(iFinD公式)'!$B41=""),"",SUMPRODUCT(实盘持仓配置!$B$8:$X$8,'实盘净值数据(iFinD公式)'!$B41:$X41/'实盘净值数据(iFinD公式)'!$B$5:$X$5)*(1-实盘持仓配置!$Z$8)^(('实盘净值数据(iFinD公式)'!$A41-'实盘净值数据(iFinD公式)'!$A$5)/365))</f>
        <v/>
      </c>
      <c r="O41" s="52">
        <f>IF(OR(N40="",'实盘净值数据(iFinD公式)'!$A41="",'实盘净值数据(iFinD公式)'!$B41=""),"",(SUMPRODUCT(实盘持仓配置!$B$8:$X$8,'实盘净值数据(iFinD公式)'!$B40:$X40/'实盘净值数据(iFinD公式)'!$B$5:$X$5,'实盘净值数据(iFinD公式)'!$B41:$X41/'实盘净值数据(iFinD公式)'!$B40:$X40)/SUMPRODUCT(实盘持仓配置!$B$8:$X$8,'实盘净值数据(iFinD公式)'!$B40:$X40/'实盘净值数据(iFinD公式)'!$B$5:$X$5))*(1-实盘持仓配置!$Z$8)^(('实盘净值数据(iFinD公式)'!$A41-'实盘净值数据(iFinD公式)'!$A40)/365)-1)</f>
        <v/>
      </c>
      <c r="P41" s="52">
        <f>IF(N41="","",N41/MAX(N$5:N41)-1)</f>
        <v/>
      </c>
      <c r="Q41" s="180">
        <f>IF(OR((ROW()-1)&lt;8,'实盘净值数据(iFinD公式)'!$A41="",'实盘净值数据(iFinD公式)'!$B41=""),"",SUMPRODUCT(实盘持仓配置!$B$9:$X$9,'实盘净值数据(iFinD公式)'!$B41:$X41/'实盘净值数据(iFinD公式)'!$B$8:$X$8)*(1-实盘持仓配置!$Z$9)^(('实盘净值数据(iFinD公式)'!$A41-'实盘净值数据(iFinD公式)'!$A$8)/365))</f>
        <v/>
      </c>
      <c r="R41" s="52">
        <f>IF(OR(Q40="",'实盘净值数据(iFinD公式)'!$A41="",'实盘净值数据(iFinD公式)'!$B41=""),"",(SUMPRODUCT(实盘持仓配置!$B$9:$X$9,'实盘净值数据(iFinD公式)'!$B40:$X40/'实盘净值数据(iFinD公式)'!$B$8:$X$8,'实盘净值数据(iFinD公式)'!$B41:$X41/'实盘净值数据(iFinD公式)'!$B40:$X40)/SUMPRODUCT(实盘持仓配置!$B$9:$X$9,'实盘净值数据(iFinD公式)'!$B40:$X40/'实盘净值数据(iFinD公式)'!$B$8:$X$8))*(1-实盘持仓配置!$Z$9)^(('实盘净值数据(iFinD公式)'!$A41-'实盘净值数据(iFinD公式)'!$A40)/365)-1)</f>
        <v/>
      </c>
      <c r="S41" s="52">
        <f>IF(Q41="","",Q41/MAX(Q$5:Q41)-1)</f>
        <v/>
      </c>
    </row>
    <row r="42">
      <c r="A42" s="181">
        <f>IF('实盘净值数据(iFinD公式)'!A42="","",'实盘净值数据(iFinD公式)'!A42)</f>
        <v/>
      </c>
      <c r="B42" s="180">
        <f>IF(OR((ROW()-1)&lt;6,'实盘净值数据(iFinD公式)'!$A42="",'实盘净值数据(iFinD公式)'!$B42=""),"",SUMPRODUCT(实盘持仓配置!$B$4:$X$4,'实盘净值数据(iFinD公式)'!$B42:$X42/'实盘净值数据(iFinD公式)'!$B$6:$X$6)*(1-实盘持仓配置!$Z$4)^(('实盘净值数据(iFinD公式)'!$A42-'实盘净值数据(iFinD公式)'!$A$6)/365))</f>
        <v/>
      </c>
      <c r="C42" s="52">
        <f>IF(OR(B41="",'实盘净值数据(iFinD公式)'!$A42="",'实盘净值数据(iFinD公式)'!$B42=""),"",(SUMPRODUCT(实盘持仓配置!$B$4:$X$4,'实盘净值数据(iFinD公式)'!$B41:$X41/'实盘净值数据(iFinD公式)'!$B$6:$X$6,'实盘净值数据(iFinD公式)'!$B42:$X42/'实盘净值数据(iFinD公式)'!$B41:$X41)/SUMPRODUCT(实盘持仓配置!$B$4:$X$4,'实盘净值数据(iFinD公式)'!$B41:$X41/'实盘净值数据(iFinD公式)'!$B$6:$X$6))*(1-实盘持仓配置!$Z$4)^(('实盘净值数据(iFinD公式)'!$A42-'实盘净值数据(iFinD公式)'!$A41)/365)-1)</f>
        <v/>
      </c>
      <c r="D42" s="52">
        <f>IF(B42="","",B42/MAX(B$5:B42)-1)</f>
        <v/>
      </c>
      <c r="E42" s="180">
        <f>IF(OR((ROW()-1)&lt;5,'实盘净值数据(iFinD公式)'!$A42="",'实盘净值数据(iFinD公式)'!$B42=""),"",SUMPRODUCT(实盘持仓配置!$B$5:$X$5,'实盘净值数据(iFinD公式)'!$B42:$X42/'实盘净值数据(iFinD公式)'!$B$5:$X$5)*(1-实盘持仓配置!$Z$5)^(('实盘净值数据(iFinD公式)'!$A42-'实盘净值数据(iFinD公式)'!$A$5)/365))</f>
        <v/>
      </c>
      <c r="F42" s="52">
        <f>IF(OR(E41="",'实盘净值数据(iFinD公式)'!$A42="",'实盘净值数据(iFinD公式)'!$B42=""),"",(SUMPRODUCT(实盘持仓配置!$B$5:$X$5,'实盘净值数据(iFinD公式)'!$B41:$X41/'实盘净值数据(iFinD公式)'!$B$5:$X$5,'实盘净值数据(iFinD公式)'!$B42:$X42/'实盘净值数据(iFinD公式)'!$B41:$X41)/SUMPRODUCT(实盘持仓配置!$B$5:$X$5,'实盘净值数据(iFinD公式)'!$B41:$X41/'实盘净值数据(iFinD公式)'!$B$5:$X$5))*(1-实盘持仓配置!$Z$5)^(('实盘净值数据(iFinD公式)'!$A42-'实盘净值数据(iFinD公式)'!$A41)/365)-1)</f>
        <v/>
      </c>
      <c r="G42" s="52">
        <f>IF(E42="","",E42/MAX(E$5:E42)-1)</f>
        <v/>
      </c>
      <c r="H42" s="180">
        <f>IF(OR((ROW()-1)&lt;7,'实盘净值数据(iFinD公式)'!$A42="",'实盘净值数据(iFinD公式)'!$B42=""),"",SUMPRODUCT(实盘持仓配置!$B$6:$X$6,'实盘净值数据(iFinD公式)'!$B42:$X42/'实盘净值数据(iFinD公式)'!$B$7:$X$7)*(1-实盘持仓配置!$Z$6)^(('实盘净值数据(iFinD公式)'!$A42-'实盘净值数据(iFinD公式)'!$A$7)/365))</f>
        <v/>
      </c>
      <c r="I42" s="52">
        <f>IF(OR(H41="",'实盘净值数据(iFinD公式)'!$A42="",'实盘净值数据(iFinD公式)'!$B42=""),"",(SUMPRODUCT(实盘持仓配置!$B$6:$X$6,'实盘净值数据(iFinD公式)'!$B41:$X41/'实盘净值数据(iFinD公式)'!$B$7:$X$7,'实盘净值数据(iFinD公式)'!$B42:$X42/'实盘净值数据(iFinD公式)'!$B41:$X41)/SUMPRODUCT(实盘持仓配置!$B$6:$X$6,'实盘净值数据(iFinD公式)'!$B41:$X41/'实盘净值数据(iFinD公式)'!$B$7:$X$7))*(1-实盘持仓配置!$Z$6)^(('实盘净值数据(iFinD公式)'!$A42-'实盘净值数据(iFinD公式)'!$A41)/365)-1)</f>
        <v/>
      </c>
      <c r="J42" s="52">
        <f>IF(H42="","",H42/MAX(H$5:H42)-1)</f>
        <v/>
      </c>
      <c r="K42" s="180">
        <f>IF(OR((ROW()-1)&lt;8,'实盘净值数据(iFinD公式)'!$A42="",'实盘净值数据(iFinD公式)'!$B42=""),"",SUMPRODUCT(实盘持仓配置!$B$7:$X$7,'实盘净值数据(iFinD公式)'!$B42:$X42/'实盘净值数据(iFinD公式)'!$B$8:$X$8)*(1-实盘持仓配置!$Z$7)^(('实盘净值数据(iFinD公式)'!$A42-'实盘净值数据(iFinD公式)'!$A$8)/365))</f>
        <v/>
      </c>
      <c r="L42" s="52">
        <f>IF(OR(K41="",'实盘净值数据(iFinD公式)'!$A42="",'实盘净值数据(iFinD公式)'!$B42=""),"",(SUMPRODUCT(实盘持仓配置!$B$7:$X$7,'实盘净值数据(iFinD公式)'!$B41:$X41/'实盘净值数据(iFinD公式)'!$B$8:$X$8,'实盘净值数据(iFinD公式)'!$B42:$X42/'实盘净值数据(iFinD公式)'!$B41:$X41)/SUMPRODUCT(实盘持仓配置!$B$7:$X$7,'实盘净值数据(iFinD公式)'!$B41:$X41/'实盘净值数据(iFinD公式)'!$B$8:$X$8))*(1-实盘持仓配置!$Z$7)^(('实盘净值数据(iFinD公式)'!$A42-'实盘净值数据(iFinD公式)'!$A41)/365)-1)</f>
        <v/>
      </c>
      <c r="M42" s="52">
        <f>IF(K42="","",K42/MAX(K$5:K42)-1)</f>
        <v/>
      </c>
      <c r="N42" s="180">
        <f>IF(OR((ROW()-1)&lt;5,'实盘净值数据(iFinD公式)'!$A42="",'实盘净值数据(iFinD公式)'!$B42=""),"",SUMPRODUCT(实盘持仓配置!$B$8:$X$8,'实盘净值数据(iFinD公式)'!$B42:$X42/'实盘净值数据(iFinD公式)'!$B$5:$X$5)*(1-实盘持仓配置!$Z$8)^(('实盘净值数据(iFinD公式)'!$A42-'实盘净值数据(iFinD公式)'!$A$5)/365))</f>
        <v/>
      </c>
      <c r="O42" s="52">
        <f>IF(OR(N41="",'实盘净值数据(iFinD公式)'!$A42="",'实盘净值数据(iFinD公式)'!$B42=""),"",(SUMPRODUCT(实盘持仓配置!$B$8:$X$8,'实盘净值数据(iFinD公式)'!$B41:$X41/'实盘净值数据(iFinD公式)'!$B$5:$X$5,'实盘净值数据(iFinD公式)'!$B42:$X42/'实盘净值数据(iFinD公式)'!$B41:$X41)/SUMPRODUCT(实盘持仓配置!$B$8:$X$8,'实盘净值数据(iFinD公式)'!$B41:$X41/'实盘净值数据(iFinD公式)'!$B$5:$X$5))*(1-实盘持仓配置!$Z$8)^(('实盘净值数据(iFinD公式)'!$A42-'实盘净值数据(iFinD公式)'!$A41)/365)-1)</f>
        <v/>
      </c>
      <c r="P42" s="52">
        <f>IF(N42="","",N42/MAX(N$5:N42)-1)</f>
        <v/>
      </c>
      <c r="Q42" s="180">
        <f>IF(OR((ROW()-1)&lt;8,'实盘净值数据(iFinD公式)'!$A42="",'实盘净值数据(iFinD公式)'!$B42=""),"",SUMPRODUCT(实盘持仓配置!$B$9:$X$9,'实盘净值数据(iFinD公式)'!$B42:$X42/'实盘净值数据(iFinD公式)'!$B$8:$X$8)*(1-实盘持仓配置!$Z$9)^(('实盘净值数据(iFinD公式)'!$A42-'实盘净值数据(iFinD公式)'!$A$8)/365))</f>
        <v/>
      </c>
      <c r="R42" s="52">
        <f>IF(OR(Q41="",'实盘净值数据(iFinD公式)'!$A42="",'实盘净值数据(iFinD公式)'!$B42=""),"",(SUMPRODUCT(实盘持仓配置!$B$9:$X$9,'实盘净值数据(iFinD公式)'!$B41:$X41/'实盘净值数据(iFinD公式)'!$B$8:$X$8,'实盘净值数据(iFinD公式)'!$B42:$X42/'实盘净值数据(iFinD公式)'!$B41:$X41)/SUMPRODUCT(实盘持仓配置!$B$9:$X$9,'实盘净值数据(iFinD公式)'!$B41:$X41/'实盘净值数据(iFinD公式)'!$B$8:$X$8))*(1-实盘持仓配置!$Z$9)^(('实盘净值数据(iFinD公式)'!$A42-'实盘净值数据(iFinD公式)'!$A41)/365)-1)</f>
        <v/>
      </c>
      <c r="S42" s="52">
        <f>IF(Q42="","",Q42/MAX(Q$5:Q42)-1)</f>
        <v/>
      </c>
    </row>
    <row r="43">
      <c r="A43" s="181">
        <f>IF('实盘净值数据(iFinD公式)'!A43="","",'实盘净值数据(iFinD公式)'!A43)</f>
        <v/>
      </c>
      <c r="B43" s="180">
        <f>IF(OR((ROW()-1)&lt;6,'实盘净值数据(iFinD公式)'!$A43="",'实盘净值数据(iFinD公式)'!$B43=""),"",SUMPRODUCT(实盘持仓配置!$B$4:$X$4,'实盘净值数据(iFinD公式)'!$B43:$X43/'实盘净值数据(iFinD公式)'!$B$6:$X$6)*(1-实盘持仓配置!$Z$4)^(('实盘净值数据(iFinD公式)'!$A43-'实盘净值数据(iFinD公式)'!$A$6)/365))</f>
        <v/>
      </c>
      <c r="C43" s="52">
        <f>IF(OR(B42="",'实盘净值数据(iFinD公式)'!$A43="",'实盘净值数据(iFinD公式)'!$B43=""),"",(SUMPRODUCT(实盘持仓配置!$B$4:$X$4,'实盘净值数据(iFinD公式)'!$B42:$X42/'实盘净值数据(iFinD公式)'!$B$6:$X$6,'实盘净值数据(iFinD公式)'!$B43:$X43/'实盘净值数据(iFinD公式)'!$B42:$X42)/SUMPRODUCT(实盘持仓配置!$B$4:$X$4,'实盘净值数据(iFinD公式)'!$B42:$X42/'实盘净值数据(iFinD公式)'!$B$6:$X$6))*(1-实盘持仓配置!$Z$4)^(('实盘净值数据(iFinD公式)'!$A43-'实盘净值数据(iFinD公式)'!$A42)/365)-1)</f>
        <v/>
      </c>
      <c r="D43" s="52">
        <f>IF(B43="","",B43/MAX(B$5:B43)-1)</f>
        <v/>
      </c>
      <c r="E43" s="180">
        <f>IF(OR((ROW()-1)&lt;5,'实盘净值数据(iFinD公式)'!$A43="",'实盘净值数据(iFinD公式)'!$B43=""),"",SUMPRODUCT(实盘持仓配置!$B$5:$X$5,'实盘净值数据(iFinD公式)'!$B43:$X43/'实盘净值数据(iFinD公式)'!$B$5:$X$5)*(1-实盘持仓配置!$Z$5)^(('实盘净值数据(iFinD公式)'!$A43-'实盘净值数据(iFinD公式)'!$A$5)/365))</f>
        <v/>
      </c>
      <c r="F43" s="52">
        <f>IF(OR(E42="",'实盘净值数据(iFinD公式)'!$A43="",'实盘净值数据(iFinD公式)'!$B43=""),"",(SUMPRODUCT(实盘持仓配置!$B$5:$X$5,'实盘净值数据(iFinD公式)'!$B42:$X42/'实盘净值数据(iFinD公式)'!$B$5:$X$5,'实盘净值数据(iFinD公式)'!$B43:$X43/'实盘净值数据(iFinD公式)'!$B42:$X42)/SUMPRODUCT(实盘持仓配置!$B$5:$X$5,'实盘净值数据(iFinD公式)'!$B42:$X42/'实盘净值数据(iFinD公式)'!$B$5:$X$5))*(1-实盘持仓配置!$Z$5)^(('实盘净值数据(iFinD公式)'!$A43-'实盘净值数据(iFinD公式)'!$A42)/365)-1)</f>
        <v/>
      </c>
      <c r="G43" s="52">
        <f>IF(E43="","",E43/MAX(E$5:E43)-1)</f>
        <v/>
      </c>
      <c r="H43" s="180">
        <f>IF(OR((ROW()-1)&lt;7,'实盘净值数据(iFinD公式)'!$A43="",'实盘净值数据(iFinD公式)'!$B43=""),"",SUMPRODUCT(实盘持仓配置!$B$6:$X$6,'实盘净值数据(iFinD公式)'!$B43:$X43/'实盘净值数据(iFinD公式)'!$B$7:$X$7)*(1-实盘持仓配置!$Z$6)^(('实盘净值数据(iFinD公式)'!$A43-'实盘净值数据(iFinD公式)'!$A$7)/365))</f>
        <v/>
      </c>
      <c r="I43" s="52">
        <f>IF(OR(H42="",'实盘净值数据(iFinD公式)'!$A43="",'实盘净值数据(iFinD公式)'!$B43=""),"",(SUMPRODUCT(实盘持仓配置!$B$6:$X$6,'实盘净值数据(iFinD公式)'!$B42:$X42/'实盘净值数据(iFinD公式)'!$B$7:$X$7,'实盘净值数据(iFinD公式)'!$B43:$X43/'实盘净值数据(iFinD公式)'!$B42:$X42)/SUMPRODUCT(实盘持仓配置!$B$6:$X$6,'实盘净值数据(iFinD公式)'!$B42:$X42/'实盘净值数据(iFinD公式)'!$B$7:$X$7))*(1-实盘持仓配置!$Z$6)^(('实盘净值数据(iFinD公式)'!$A43-'实盘净值数据(iFinD公式)'!$A42)/365)-1)</f>
        <v/>
      </c>
      <c r="J43" s="52">
        <f>IF(H43="","",H43/MAX(H$5:H43)-1)</f>
        <v/>
      </c>
      <c r="K43" s="180">
        <f>IF(OR((ROW()-1)&lt;8,'实盘净值数据(iFinD公式)'!$A43="",'实盘净值数据(iFinD公式)'!$B43=""),"",SUMPRODUCT(实盘持仓配置!$B$7:$X$7,'实盘净值数据(iFinD公式)'!$B43:$X43/'实盘净值数据(iFinD公式)'!$B$8:$X$8)*(1-实盘持仓配置!$Z$7)^(('实盘净值数据(iFinD公式)'!$A43-'实盘净值数据(iFinD公式)'!$A$8)/365))</f>
        <v/>
      </c>
      <c r="L43" s="52">
        <f>IF(OR(K42="",'实盘净值数据(iFinD公式)'!$A43="",'实盘净值数据(iFinD公式)'!$B43=""),"",(SUMPRODUCT(实盘持仓配置!$B$7:$X$7,'实盘净值数据(iFinD公式)'!$B42:$X42/'实盘净值数据(iFinD公式)'!$B$8:$X$8,'实盘净值数据(iFinD公式)'!$B43:$X43/'实盘净值数据(iFinD公式)'!$B42:$X42)/SUMPRODUCT(实盘持仓配置!$B$7:$X$7,'实盘净值数据(iFinD公式)'!$B42:$X42/'实盘净值数据(iFinD公式)'!$B$8:$X$8))*(1-实盘持仓配置!$Z$7)^(('实盘净值数据(iFinD公式)'!$A43-'实盘净值数据(iFinD公式)'!$A42)/365)-1)</f>
        <v/>
      </c>
      <c r="M43" s="52">
        <f>IF(K43="","",K43/MAX(K$5:K43)-1)</f>
        <v/>
      </c>
      <c r="N43" s="180">
        <f>IF(OR((ROW()-1)&lt;5,'实盘净值数据(iFinD公式)'!$A43="",'实盘净值数据(iFinD公式)'!$B43=""),"",SUMPRODUCT(实盘持仓配置!$B$8:$X$8,'实盘净值数据(iFinD公式)'!$B43:$X43/'实盘净值数据(iFinD公式)'!$B$5:$X$5)*(1-实盘持仓配置!$Z$8)^(('实盘净值数据(iFinD公式)'!$A43-'实盘净值数据(iFinD公式)'!$A$5)/365))</f>
        <v/>
      </c>
      <c r="O43" s="52">
        <f>IF(OR(N42="",'实盘净值数据(iFinD公式)'!$A43="",'实盘净值数据(iFinD公式)'!$B43=""),"",(SUMPRODUCT(实盘持仓配置!$B$8:$X$8,'实盘净值数据(iFinD公式)'!$B42:$X42/'实盘净值数据(iFinD公式)'!$B$5:$X$5,'实盘净值数据(iFinD公式)'!$B43:$X43/'实盘净值数据(iFinD公式)'!$B42:$X42)/SUMPRODUCT(实盘持仓配置!$B$8:$X$8,'实盘净值数据(iFinD公式)'!$B42:$X42/'实盘净值数据(iFinD公式)'!$B$5:$X$5))*(1-实盘持仓配置!$Z$8)^(('实盘净值数据(iFinD公式)'!$A43-'实盘净值数据(iFinD公式)'!$A42)/365)-1)</f>
        <v/>
      </c>
      <c r="P43" s="52">
        <f>IF(N43="","",N43/MAX(N$5:N43)-1)</f>
        <v/>
      </c>
      <c r="Q43" s="180">
        <f>IF(OR((ROW()-1)&lt;8,'实盘净值数据(iFinD公式)'!$A43="",'实盘净值数据(iFinD公式)'!$B43=""),"",SUMPRODUCT(实盘持仓配置!$B$9:$X$9,'实盘净值数据(iFinD公式)'!$B43:$X43/'实盘净值数据(iFinD公式)'!$B$8:$X$8)*(1-实盘持仓配置!$Z$9)^(('实盘净值数据(iFinD公式)'!$A43-'实盘净值数据(iFinD公式)'!$A$8)/365))</f>
        <v/>
      </c>
      <c r="R43" s="52">
        <f>IF(OR(Q42="",'实盘净值数据(iFinD公式)'!$A43="",'实盘净值数据(iFinD公式)'!$B43=""),"",(SUMPRODUCT(实盘持仓配置!$B$9:$X$9,'实盘净值数据(iFinD公式)'!$B42:$X42/'实盘净值数据(iFinD公式)'!$B$8:$X$8,'实盘净值数据(iFinD公式)'!$B43:$X43/'实盘净值数据(iFinD公式)'!$B42:$X42)/SUMPRODUCT(实盘持仓配置!$B$9:$X$9,'实盘净值数据(iFinD公式)'!$B42:$X42/'实盘净值数据(iFinD公式)'!$B$8:$X$8))*(1-实盘持仓配置!$Z$9)^(('实盘净值数据(iFinD公式)'!$A43-'实盘净值数据(iFinD公式)'!$A42)/365)-1)</f>
        <v/>
      </c>
      <c r="S43" s="52">
        <f>IF(Q43="","",Q43/MAX(Q$5:Q43)-1)</f>
        <v/>
      </c>
    </row>
    <row r="44">
      <c r="A44" s="181">
        <f>IF('实盘净值数据(iFinD公式)'!A44="","",'实盘净值数据(iFinD公式)'!A44)</f>
        <v/>
      </c>
      <c r="B44" s="180">
        <f>IF(OR((ROW()-1)&lt;6,'实盘净值数据(iFinD公式)'!$A44="",'实盘净值数据(iFinD公式)'!$B44=""),"",SUMPRODUCT(实盘持仓配置!$B$4:$X$4,'实盘净值数据(iFinD公式)'!$B44:$X44/'实盘净值数据(iFinD公式)'!$B$6:$X$6)*(1-实盘持仓配置!$Z$4)^(('实盘净值数据(iFinD公式)'!$A44-'实盘净值数据(iFinD公式)'!$A$6)/365))</f>
        <v/>
      </c>
      <c r="C44" s="52">
        <f>IF(OR(B43="",'实盘净值数据(iFinD公式)'!$A44="",'实盘净值数据(iFinD公式)'!$B44=""),"",(SUMPRODUCT(实盘持仓配置!$B$4:$X$4,'实盘净值数据(iFinD公式)'!$B43:$X43/'实盘净值数据(iFinD公式)'!$B$6:$X$6,'实盘净值数据(iFinD公式)'!$B44:$X44/'实盘净值数据(iFinD公式)'!$B43:$X43)/SUMPRODUCT(实盘持仓配置!$B$4:$X$4,'实盘净值数据(iFinD公式)'!$B43:$X43/'实盘净值数据(iFinD公式)'!$B$6:$X$6))*(1-实盘持仓配置!$Z$4)^(('实盘净值数据(iFinD公式)'!$A44-'实盘净值数据(iFinD公式)'!$A43)/365)-1)</f>
        <v/>
      </c>
      <c r="D44" s="52">
        <f>IF(B44="","",B44/MAX(B$5:B44)-1)</f>
        <v/>
      </c>
      <c r="E44" s="180">
        <f>IF(OR((ROW()-1)&lt;5,'实盘净值数据(iFinD公式)'!$A44="",'实盘净值数据(iFinD公式)'!$B44=""),"",SUMPRODUCT(实盘持仓配置!$B$5:$X$5,'实盘净值数据(iFinD公式)'!$B44:$X44/'实盘净值数据(iFinD公式)'!$B$5:$X$5)*(1-实盘持仓配置!$Z$5)^(('实盘净值数据(iFinD公式)'!$A44-'实盘净值数据(iFinD公式)'!$A$5)/365))</f>
        <v/>
      </c>
      <c r="F44" s="52">
        <f>IF(OR(E43="",'实盘净值数据(iFinD公式)'!$A44="",'实盘净值数据(iFinD公式)'!$B44=""),"",(SUMPRODUCT(实盘持仓配置!$B$5:$X$5,'实盘净值数据(iFinD公式)'!$B43:$X43/'实盘净值数据(iFinD公式)'!$B$5:$X$5,'实盘净值数据(iFinD公式)'!$B44:$X44/'实盘净值数据(iFinD公式)'!$B43:$X43)/SUMPRODUCT(实盘持仓配置!$B$5:$X$5,'实盘净值数据(iFinD公式)'!$B43:$X43/'实盘净值数据(iFinD公式)'!$B$5:$X$5))*(1-实盘持仓配置!$Z$5)^(('实盘净值数据(iFinD公式)'!$A44-'实盘净值数据(iFinD公式)'!$A43)/365)-1)</f>
        <v/>
      </c>
      <c r="G44" s="52">
        <f>IF(E44="","",E44/MAX(E$5:E44)-1)</f>
        <v/>
      </c>
      <c r="H44" s="180">
        <f>IF(OR((ROW()-1)&lt;7,'实盘净值数据(iFinD公式)'!$A44="",'实盘净值数据(iFinD公式)'!$B44=""),"",SUMPRODUCT(实盘持仓配置!$B$6:$X$6,'实盘净值数据(iFinD公式)'!$B44:$X44/'实盘净值数据(iFinD公式)'!$B$7:$X$7)*(1-实盘持仓配置!$Z$6)^(('实盘净值数据(iFinD公式)'!$A44-'实盘净值数据(iFinD公式)'!$A$7)/365))</f>
        <v/>
      </c>
      <c r="I44" s="52">
        <f>IF(OR(H43="",'实盘净值数据(iFinD公式)'!$A44="",'实盘净值数据(iFinD公式)'!$B44=""),"",(SUMPRODUCT(实盘持仓配置!$B$6:$X$6,'实盘净值数据(iFinD公式)'!$B43:$X43/'实盘净值数据(iFinD公式)'!$B$7:$X$7,'实盘净值数据(iFinD公式)'!$B44:$X44/'实盘净值数据(iFinD公式)'!$B43:$X43)/SUMPRODUCT(实盘持仓配置!$B$6:$X$6,'实盘净值数据(iFinD公式)'!$B43:$X43/'实盘净值数据(iFinD公式)'!$B$7:$X$7))*(1-实盘持仓配置!$Z$6)^(('实盘净值数据(iFinD公式)'!$A44-'实盘净值数据(iFinD公式)'!$A43)/365)-1)</f>
        <v/>
      </c>
      <c r="J44" s="52">
        <f>IF(H44="","",H44/MAX(H$5:H44)-1)</f>
        <v/>
      </c>
      <c r="K44" s="180">
        <f>IF(OR((ROW()-1)&lt;8,'实盘净值数据(iFinD公式)'!$A44="",'实盘净值数据(iFinD公式)'!$B44=""),"",SUMPRODUCT(实盘持仓配置!$B$7:$X$7,'实盘净值数据(iFinD公式)'!$B44:$X44/'实盘净值数据(iFinD公式)'!$B$8:$X$8)*(1-实盘持仓配置!$Z$7)^(('实盘净值数据(iFinD公式)'!$A44-'实盘净值数据(iFinD公式)'!$A$8)/365))</f>
        <v/>
      </c>
      <c r="L44" s="52">
        <f>IF(OR(K43="",'实盘净值数据(iFinD公式)'!$A44="",'实盘净值数据(iFinD公式)'!$B44=""),"",(SUMPRODUCT(实盘持仓配置!$B$7:$X$7,'实盘净值数据(iFinD公式)'!$B43:$X43/'实盘净值数据(iFinD公式)'!$B$8:$X$8,'实盘净值数据(iFinD公式)'!$B44:$X44/'实盘净值数据(iFinD公式)'!$B43:$X43)/SUMPRODUCT(实盘持仓配置!$B$7:$X$7,'实盘净值数据(iFinD公式)'!$B43:$X43/'实盘净值数据(iFinD公式)'!$B$8:$X$8))*(1-实盘持仓配置!$Z$7)^(('实盘净值数据(iFinD公式)'!$A44-'实盘净值数据(iFinD公式)'!$A43)/365)-1)</f>
        <v/>
      </c>
      <c r="M44" s="52">
        <f>IF(K44="","",K44/MAX(K$5:K44)-1)</f>
        <v/>
      </c>
      <c r="N44" s="180">
        <f>IF(OR((ROW()-1)&lt;5,'实盘净值数据(iFinD公式)'!$A44="",'实盘净值数据(iFinD公式)'!$B44=""),"",SUMPRODUCT(实盘持仓配置!$B$8:$X$8,'实盘净值数据(iFinD公式)'!$B44:$X44/'实盘净值数据(iFinD公式)'!$B$5:$X$5)*(1-实盘持仓配置!$Z$8)^(('实盘净值数据(iFinD公式)'!$A44-'实盘净值数据(iFinD公式)'!$A$5)/365))</f>
        <v/>
      </c>
      <c r="O44" s="52">
        <f>IF(OR(N43="",'实盘净值数据(iFinD公式)'!$A44="",'实盘净值数据(iFinD公式)'!$B44=""),"",(SUMPRODUCT(实盘持仓配置!$B$8:$X$8,'实盘净值数据(iFinD公式)'!$B43:$X43/'实盘净值数据(iFinD公式)'!$B$5:$X$5,'实盘净值数据(iFinD公式)'!$B44:$X44/'实盘净值数据(iFinD公式)'!$B43:$X43)/SUMPRODUCT(实盘持仓配置!$B$8:$X$8,'实盘净值数据(iFinD公式)'!$B43:$X43/'实盘净值数据(iFinD公式)'!$B$5:$X$5))*(1-实盘持仓配置!$Z$8)^(('实盘净值数据(iFinD公式)'!$A44-'实盘净值数据(iFinD公式)'!$A43)/365)-1)</f>
        <v/>
      </c>
      <c r="P44" s="52">
        <f>IF(N44="","",N44/MAX(N$5:N44)-1)</f>
        <v/>
      </c>
      <c r="Q44" s="180">
        <f>IF(OR((ROW()-1)&lt;8,'实盘净值数据(iFinD公式)'!$A44="",'实盘净值数据(iFinD公式)'!$B44=""),"",SUMPRODUCT(实盘持仓配置!$B$9:$X$9,'实盘净值数据(iFinD公式)'!$B44:$X44/'实盘净值数据(iFinD公式)'!$B$8:$X$8)*(1-实盘持仓配置!$Z$9)^(('实盘净值数据(iFinD公式)'!$A44-'实盘净值数据(iFinD公式)'!$A$8)/365))</f>
        <v/>
      </c>
      <c r="R44" s="52">
        <f>IF(OR(Q43="",'实盘净值数据(iFinD公式)'!$A44="",'实盘净值数据(iFinD公式)'!$B44=""),"",(SUMPRODUCT(实盘持仓配置!$B$9:$X$9,'实盘净值数据(iFinD公式)'!$B43:$X43/'实盘净值数据(iFinD公式)'!$B$8:$X$8,'实盘净值数据(iFinD公式)'!$B44:$X44/'实盘净值数据(iFinD公式)'!$B43:$X43)/SUMPRODUCT(实盘持仓配置!$B$9:$X$9,'实盘净值数据(iFinD公式)'!$B43:$X43/'实盘净值数据(iFinD公式)'!$B$8:$X$8))*(1-实盘持仓配置!$Z$9)^(('实盘净值数据(iFinD公式)'!$A44-'实盘净值数据(iFinD公式)'!$A43)/365)-1)</f>
        <v/>
      </c>
      <c r="S44" s="52">
        <f>IF(Q44="","",Q44/MAX(Q$5:Q44)-1)</f>
        <v/>
      </c>
    </row>
    <row r="45">
      <c r="A45" s="181">
        <f>IF('实盘净值数据(iFinD公式)'!A45="","",'实盘净值数据(iFinD公式)'!A45)</f>
        <v/>
      </c>
      <c r="B45" s="180">
        <f>IF(OR((ROW()-1)&lt;6,'实盘净值数据(iFinD公式)'!$A45="",'实盘净值数据(iFinD公式)'!$B45=""),"",SUMPRODUCT(实盘持仓配置!$B$4:$X$4,'实盘净值数据(iFinD公式)'!$B45:$X45/'实盘净值数据(iFinD公式)'!$B$6:$X$6)*(1-实盘持仓配置!$Z$4)^(('实盘净值数据(iFinD公式)'!$A45-'实盘净值数据(iFinD公式)'!$A$6)/365))</f>
        <v/>
      </c>
      <c r="C45" s="52">
        <f>IF(OR(B44="",'实盘净值数据(iFinD公式)'!$A45="",'实盘净值数据(iFinD公式)'!$B45=""),"",(SUMPRODUCT(实盘持仓配置!$B$4:$X$4,'实盘净值数据(iFinD公式)'!$B44:$X44/'实盘净值数据(iFinD公式)'!$B$6:$X$6,'实盘净值数据(iFinD公式)'!$B45:$X45/'实盘净值数据(iFinD公式)'!$B44:$X44)/SUMPRODUCT(实盘持仓配置!$B$4:$X$4,'实盘净值数据(iFinD公式)'!$B44:$X44/'实盘净值数据(iFinD公式)'!$B$6:$X$6))*(1-实盘持仓配置!$Z$4)^(('实盘净值数据(iFinD公式)'!$A45-'实盘净值数据(iFinD公式)'!$A44)/365)-1)</f>
        <v/>
      </c>
      <c r="D45" s="52">
        <f>IF(B45="","",B45/MAX(B$5:B45)-1)</f>
        <v/>
      </c>
      <c r="E45" s="180">
        <f>IF(OR((ROW()-1)&lt;5,'实盘净值数据(iFinD公式)'!$A45="",'实盘净值数据(iFinD公式)'!$B45=""),"",SUMPRODUCT(实盘持仓配置!$B$5:$X$5,'实盘净值数据(iFinD公式)'!$B45:$X45/'实盘净值数据(iFinD公式)'!$B$5:$X$5)*(1-实盘持仓配置!$Z$5)^(('实盘净值数据(iFinD公式)'!$A45-'实盘净值数据(iFinD公式)'!$A$5)/365))</f>
        <v/>
      </c>
      <c r="F45" s="52">
        <f>IF(OR(E44="",'实盘净值数据(iFinD公式)'!$A45="",'实盘净值数据(iFinD公式)'!$B45=""),"",(SUMPRODUCT(实盘持仓配置!$B$5:$X$5,'实盘净值数据(iFinD公式)'!$B44:$X44/'实盘净值数据(iFinD公式)'!$B$5:$X$5,'实盘净值数据(iFinD公式)'!$B45:$X45/'实盘净值数据(iFinD公式)'!$B44:$X44)/SUMPRODUCT(实盘持仓配置!$B$5:$X$5,'实盘净值数据(iFinD公式)'!$B44:$X44/'实盘净值数据(iFinD公式)'!$B$5:$X$5))*(1-实盘持仓配置!$Z$5)^(('实盘净值数据(iFinD公式)'!$A45-'实盘净值数据(iFinD公式)'!$A44)/365)-1)</f>
        <v/>
      </c>
      <c r="G45" s="52">
        <f>IF(E45="","",E45/MAX(E$5:E45)-1)</f>
        <v/>
      </c>
      <c r="H45" s="180">
        <f>IF(OR((ROW()-1)&lt;7,'实盘净值数据(iFinD公式)'!$A45="",'实盘净值数据(iFinD公式)'!$B45=""),"",SUMPRODUCT(实盘持仓配置!$B$6:$X$6,'实盘净值数据(iFinD公式)'!$B45:$X45/'实盘净值数据(iFinD公式)'!$B$7:$X$7)*(1-实盘持仓配置!$Z$6)^(('实盘净值数据(iFinD公式)'!$A45-'实盘净值数据(iFinD公式)'!$A$7)/365))</f>
        <v/>
      </c>
      <c r="I45" s="52">
        <f>IF(OR(H44="",'实盘净值数据(iFinD公式)'!$A45="",'实盘净值数据(iFinD公式)'!$B45=""),"",(SUMPRODUCT(实盘持仓配置!$B$6:$X$6,'实盘净值数据(iFinD公式)'!$B44:$X44/'实盘净值数据(iFinD公式)'!$B$7:$X$7,'实盘净值数据(iFinD公式)'!$B45:$X45/'实盘净值数据(iFinD公式)'!$B44:$X44)/SUMPRODUCT(实盘持仓配置!$B$6:$X$6,'实盘净值数据(iFinD公式)'!$B44:$X44/'实盘净值数据(iFinD公式)'!$B$7:$X$7))*(1-实盘持仓配置!$Z$6)^(('实盘净值数据(iFinD公式)'!$A45-'实盘净值数据(iFinD公式)'!$A44)/365)-1)</f>
        <v/>
      </c>
      <c r="J45" s="52">
        <f>IF(H45="","",H45/MAX(H$5:H45)-1)</f>
        <v/>
      </c>
      <c r="K45" s="180">
        <f>IF(OR((ROW()-1)&lt;8,'实盘净值数据(iFinD公式)'!$A45="",'实盘净值数据(iFinD公式)'!$B45=""),"",SUMPRODUCT(实盘持仓配置!$B$7:$X$7,'实盘净值数据(iFinD公式)'!$B45:$X45/'实盘净值数据(iFinD公式)'!$B$8:$X$8)*(1-实盘持仓配置!$Z$7)^(('实盘净值数据(iFinD公式)'!$A45-'实盘净值数据(iFinD公式)'!$A$8)/365))</f>
        <v/>
      </c>
      <c r="L45" s="52">
        <f>IF(OR(K44="",'实盘净值数据(iFinD公式)'!$A45="",'实盘净值数据(iFinD公式)'!$B45=""),"",(SUMPRODUCT(实盘持仓配置!$B$7:$X$7,'实盘净值数据(iFinD公式)'!$B44:$X44/'实盘净值数据(iFinD公式)'!$B$8:$X$8,'实盘净值数据(iFinD公式)'!$B45:$X45/'实盘净值数据(iFinD公式)'!$B44:$X44)/SUMPRODUCT(实盘持仓配置!$B$7:$X$7,'实盘净值数据(iFinD公式)'!$B44:$X44/'实盘净值数据(iFinD公式)'!$B$8:$X$8))*(1-实盘持仓配置!$Z$7)^(('实盘净值数据(iFinD公式)'!$A45-'实盘净值数据(iFinD公式)'!$A44)/365)-1)</f>
        <v/>
      </c>
      <c r="M45" s="52">
        <f>IF(K45="","",K45/MAX(K$5:K45)-1)</f>
        <v/>
      </c>
      <c r="N45" s="180">
        <f>IF(OR((ROW()-1)&lt;5,'实盘净值数据(iFinD公式)'!$A45="",'实盘净值数据(iFinD公式)'!$B45=""),"",SUMPRODUCT(实盘持仓配置!$B$8:$X$8,'实盘净值数据(iFinD公式)'!$B45:$X45/'实盘净值数据(iFinD公式)'!$B$5:$X$5)*(1-实盘持仓配置!$Z$8)^(('实盘净值数据(iFinD公式)'!$A45-'实盘净值数据(iFinD公式)'!$A$5)/365))</f>
        <v/>
      </c>
      <c r="O45" s="52">
        <f>IF(OR(N44="",'实盘净值数据(iFinD公式)'!$A45="",'实盘净值数据(iFinD公式)'!$B45=""),"",(SUMPRODUCT(实盘持仓配置!$B$8:$X$8,'实盘净值数据(iFinD公式)'!$B44:$X44/'实盘净值数据(iFinD公式)'!$B$5:$X$5,'实盘净值数据(iFinD公式)'!$B45:$X45/'实盘净值数据(iFinD公式)'!$B44:$X44)/SUMPRODUCT(实盘持仓配置!$B$8:$X$8,'实盘净值数据(iFinD公式)'!$B44:$X44/'实盘净值数据(iFinD公式)'!$B$5:$X$5))*(1-实盘持仓配置!$Z$8)^(('实盘净值数据(iFinD公式)'!$A45-'实盘净值数据(iFinD公式)'!$A44)/365)-1)</f>
        <v/>
      </c>
      <c r="P45" s="52">
        <f>IF(N45="","",N45/MAX(N$5:N45)-1)</f>
        <v/>
      </c>
      <c r="Q45" s="180">
        <f>IF(OR((ROW()-1)&lt;8,'实盘净值数据(iFinD公式)'!$A45="",'实盘净值数据(iFinD公式)'!$B45=""),"",SUMPRODUCT(实盘持仓配置!$B$9:$X$9,'实盘净值数据(iFinD公式)'!$B45:$X45/'实盘净值数据(iFinD公式)'!$B$8:$X$8)*(1-实盘持仓配置!$Z$9)^(('实盘净值数据(iFinD公式)'!$A45-'实盘净值数据(iFinD公式)'!$A$8)/365))</f>
        <v/>
      </c>
      <c r="R45" s="52">
        <f>IF(OR(Q44="",'实盘净值数据(iFinD公式)'!$A45="",'实盘净值数据(iFinD公式)'!$B45=""),"",(SUMPRODUCT(实盘持仓配置!$B$9:$X$9,'实盘净值数据(iFinD公式)'!$B44:$X44/'实盘净值数据(iFinD公式)'!$B$8:$X$8,'实盘净值数据(iFinD公式)'!$B45:$X45/'实盘净值数据(iFinD公式)'!$B44:$X44)/SUMPRODUCT(实盘持仓配置!$B$9:$X$9,'实盘净值数据(iFinD公式)'!$B44:$X44/'实盘净值数据(iFinD公式)'!$B$8:$X$8))*(1-实盘持仓配置!$Z$9)^(('实盘净值数据(iFinD公式)'!$A45-'实盘净值数据(iFinD公式)'!$A44)/365)-1)</f>
        <v/>
      </c>
      <c r="S45" s="52">
        <f>IF(Q45="","",Q45/MAX(Q$5:Q45)-1)</f>
        <v/>
      </c>
    </row>
    <row r="46">
      <c r="A46" s="181">
        <f>IF('实盘净值数据(iFinD公式)'!A46="","",'实盘净值数据(iFinD公式)'!A46)</f>
        <v/>
      </c>
      <c r="B46" s="180">
        <f>IF(OR((ROW()-1)&lt;6,'实盘净值数据(iFinD公式)'!$A46="",'实盘净值数据(iFinD公式)'!$B46=""),"",SUMPRODUCT(实盘持仓配置!$B$4:$X$4,'实盘净值数据(iFinD公式)'!$B46:$X46/'实盘净值数据(iFinD公式)'!$B$6:$X$6)*(1-实盘持仓配置!$Z$4)^(('实盘净值数据(iFinD公式)'!$A46-'实盘净值数据(iFinD公式)'!$A$6)/365))</f>
        <v/>
      </c>
      <c r="C46" s="52">
        <f>IF(OR(B45="",'实盘净值数据(iFinD公式)'!$A46="",'实盘净值数据(iFinD公式)'!$B46=""),"",(SUMPRODUCT(实盘持仓配置!$B$4:$X$4,'实盘净值数据(iFinD公式)'!$B45:$X45/'实盘净值数据(iFinD公式)'!$B$6:$X$6,'实盘净值数据(iFinD公式)'!$B46:$X46/'实盘净值数据(iFinD公式)'!$B45:$X45)/SUMPRODUCT(实盘持仓配置!$B$4:$X$4,'实盘净值数据(iFinD公式)'!$B45:$X45/'实盘净值数据(iFinD公式)'!$B$6:$X$6))*(1-实盘持仓配置!$Z$4)^(('实盘净值数据(iFinD公式)'!$A46-'实盘净值数据(iFinD公式)'!$A45)/365)-1)</f>
        <v/>
      </c>
      <c r="D46" s="52">
        <f>IF(B46="","",B46/MAX(B$5:B46)-1)</f>
        <v/>
      </c>
      <c r="E46" s="180">
        <f>IF(OR((ROW()-1)&lt;5,'实盘净值数据(iFinD公式)'!$A46="",'实盘净值数据(iFinD公式)'!$B46=""),"",SUMPRODUCT(实盘持仓配置!$B$5:$X$5,'实盘净值数据(iFinD公式)'!$B46:$X46/'实盘净值数据(iFinD公式)'!$B$5:$X$5)*(1-实盘持仓配置!$Z$5)^(('实盘净值数据(iFinD公式)'!$A46-'实盘净值数据(iFinD公式)'!$A$5)/365))</f>
        <v/>
      </c>
      <c r="F46" s="52">
        <f>IF(OR(E45="",'实盘净值数据(iFinD公式)'!$A46="",'实盘净值数据(iFinD公式)'!$B46=""),"",(SUMPRODUCT(实盘持仓配置!$B$5:$X$5,'实盘净值数据(iFinD公式)'!$B45:$X45/'实盘净值数据(iFinD公式)'!$B$5:$X$5,'实盘净值数据(iFinD公式)'!$B46:$X46/'实盘净值数据(iFinD公式)'!$B45:$X45)/SUMPRODUCT(实盘持仓配置!$B$5:$X$5,'实盘净值数据(iFinD公式)'!$B45:$X45/'实盘净值数据(iFinD公式)'!$B$5:$X$5))*(1-实盘持仓配置!$Z$5)^(('实盘净值数据(iFinD公式)'!$A46-'实盘净值数据(iFinD公式)'!$A45)/365)-1)</f>
        <v/>
      </c>
      <c r="G46" s="52">
        <f>IF(E46="","",E46/MAX(E$5:E46)-1)</f>
        <v/>
      </c>
      <c r="H46" s="180">
        <f>IF(OR((ROW()-1)&lt;7,'实盘净值数据(iFinD公式)'!$A46="",'实盘净值数据(iFinD公式)'!$B46=""),"",SUMPRODUCT(实盘持仓配置!$B$6:$X$6,'实盘净值数据(iFinD公式)'!$B46:$X46/'实盘净值数据(iFinD公式)'!$B$7:$X$7)*(1-实盘持仓配置!$Z$6)^(('实盘净值数据(iFinD公式)'!$A46-'实盘净值数据(iFinD公式)'!$A$7)/365))</f>
        <v/>
      </c>
      <c r="I46" s="52">
        <f>IF(OR(H45="",'实盘净值数据(iFinD公式)'!$A46="",'实盘净值数据(iFinD公式)'!$B46=""),"",(SUMPRODUCT(实盘持仓配置!$B$6:$X$6,'实盘净值数据(iFinD公式)'!$B45:$X45/'实盘净值数据(iFinD公式)'!$B$7:$X$7,'实盘净值数据(iFinD公式)'!$B46:$X46/'实盘净值数据(iFinD公式)'!$B45:$X45)/SUMPRODUCT(实盘持仓配置!$B$6:$X$6,'实盘净值数据(iFinD公式)'!$B45:$X45/'实盘净值数据(iFinD公式)'!$B$7:$X$7))*(1-实盘持仓配置!$Z$6)^(('实盘净值数据(iFinD公式)'!$A46-'实盘净值数据(iFinD公式)'!$A45)/365)-1)</f>
        <v/>
      </c>
      <c r="J46" s="52">
        <f>IF(H46="","",H46/MAX(H$5:H46)-1)</f>
        <v/>
      </c>
      <c r="K46" s="180">
        <f>IF(OR((ROW()-1)&lt;8,'实盘净值数据(iFinD公式)'!$A46="",'实盘净值数据(iFinD公式)'!$B46=""),"",SUMPRODUCT(实盘持仓配置!$B$7:$X$7,'实盘净值数据(iFinD公式)'!$B46:$X46/'实盘净值数据(iFinD公式)'!$B$8:$X$8)*(1-实盘持仓配置!$Z$7)^(('实盘净值数据(iFinD公式)'!$A46-'实盘净值数据(iFinD公式)'!$A$8)/365))</f>
        <v/>
      </c>
      <c r="L46" s="52">
        <f>IF(OR(K45="",'实盘净值数据(iFinD公式)'!$A46="",'实盘净值数据(iFinD公式)'!$B46=""),"",(SUMPRODUCT(实盘持仓配置!$B$7:$X$7,'实盘净值数据(iFinD公式)'!$B45:$X45/'实盘净值数据(iFinD公式)'!$B$8:$X$8,'实盘净值数据(iFinD公式)'!$B46:$X46/'实盘净值数据(iFinD公式)'!$B45:$X45)/SUMPRODUCT(实盘持仓配置!$B$7:$X$7,'实盘净值数据(iFinD公式)'!$B45:$X45/'实盘净值数据(iFinD公式)'!$B$8:$X$8))*(1-实盘持仓配置!$Z$7)^(('实盘净值数据(iFinD公式)'!$A46-'实盘净值数据(iFinD公式)'!$A45)/365)-1)</f>
        <v/>
      </c>
      <c r="M46" s="52">
        <f>IF(K46="","",K46/MAX(K$5:K46)-1)</f>
        <v/>
      </c>
      <c r="N46" s="180">
        <f>IF(OR((ROW()-1)&lt;5,'实盘净值数据(iFinD公式)'!$A46="",'实盘净值数据(iFinD公式)'!$B46=""),"",SUMPRODUCT(实盘持仓配置!$B$8:$X$8,'实盘净值数据(iFinD公式)'!$B46:$X46/'实盘净值数据(iFinD公式)'!$B$5:$X$5)*(1-实盘持仓配置!$Z$8)^(('实盘净值数据(iFinD公式)'!$A46-'实盘净值数据(iFinD公式)'!$A$5)/365))</f>
        <v/>
      </c>
      <c r="O46" s="52">
        <f>IF(OR(N45="",'实盘净值数据(iFinD公式)'!$A46="",'实盘净值数据(iFinD公式)'!$B46=""),"",(SUMPRODUCT(实盘持仓配置!$B$8:$X$8,'实盘净值数据(iFinD公式)'!$B45:$X45/'实盘净值数据(iFinD公式)'!$B$5:$X$5,'实盘净值数据(iFinD公式)'!$B46:$X46/'实盘净值数据(iFinD公式)'!$B45:$X45)/SUMPRODUCT(实盘持仓配置!$B$8:$X$8,'实盘净值数据(iFinD公式)'!$B45:$X45/'实盘净值数据(iFinD公式)'!$B$5:$X$5))*(1-实盘持仓配置!$Z$8)^(('实盘净值数据(iFinD公式)'!$A46-'实盘净值数据(iFinD公式)'!$A45)/365)-1)</f>
        <v/>
      </c>
      <c r="P46" s="52">
        <f>IF(N46="","",N46/MAX(N$5:N46)-1)</f>
        <v/>
      </c>
      <c r="Q46" s="180">
        <f>IF(OR((ROW()-1)&lt;8,'实盘净值数据(iFinD公式)'!$A46="",'实盘净值数据(iFinD公式)'!$B46=""),"",SUMPRODUCT(实盘持仓配置!$B$9:$X$9,'实盘净值数据(iFinD公式)'!$B46:$X46/'实盘净值数据(iFinD公式)'!$B$8:$X$8)*(1-实盘持仓配置!$Z$9)^(('实盘净值数据(iFinD公式)'!$A46-'实盘净值数据(iFinD公式)'!$A$8)/365))</f>
        <v/>
      </c>
      <c r="R46" s="52">
        <f>IF(OR(Q45="",'实盘净值数据(iFinD公式)'!$A46="",'实盘净值数据(iFinD公式)'!$B46=""),"",(SUMPRODUCT(实盘持仓配置!$B$9:$X$9,'实盘净值数据(iFinD公式)'!$B45:$X45/'实盘净值数据(iFinD公式)'!$B$8:$X$8,'实盘净值数据(iFinD公式)'!$B46:$X46/'实盘净值数据(iFinD公式)'!$B45:$X45)/SUMPRODUCT(实盘持仓配置!$B$9:$X$9,'实盘净值数据(iFinD公式)'!$B45:$X45/'实盘净值数据(iFinD公式)'!$B$8:$X$8))*(1-实盘持仓配置!$Z$9)^(('实盘净值数据(iFinD公式)'!$A46-'实盘净值数据(iFinD公式)'!$A45)/365)-1)</f>
        <v/>
      </c>
      <c r="S46" s="52">
        <f>IF(Q46="","",Q46/MAX(Q$5:Q46)-1)</f>
        <v/>
      </c>
    </row>
    <row r="47">
      <c r="A47" s="181">
        <f>IF('实盘净值数据(iFinD公式)'!A47="","",'实盘净值数据(iFinD公式)'!A47)</f>
        <v/>
      </c>
      <c r="B47" s="180">
        <f>IF(OR((ROW()-1)&lt;6,'实盘净值数据(iFinD公式)'!$A47="",'实盘净值数据(iFinD公式)'!$B47=""),"",SUMPRODUCT(实盘持仓配置!$B$4:$X$4,'实盘净值数据(iFinD公式)'!$B47:$X47/'实盘净值数据(iFinD公式)'!$B$6:$X$6)*(1-实盘持仓配置!$Z$4)^(('实盘净值数据(iFinD公式)'!$A47-'实盘净值数据(iFinD公式)'!$A$6)/365))</f>
        <v/>
      </c>
      <c r="C47" s="52">
        <f>IF(OR(B46="",'实盘净值数据(iFinD公式)'!$A47="",'实盘净值数据(iFinD公式)'!$B47=""),"",(SUMPRODUCT(实盘持仓配置!$B$4:$X$4,'实盘净值数据(iFinD公式)'!$B46:$X46/'实盘净值数据(iFinD公式)'!$B$6:$X$6,'实盘净值数据(iFinD公式)'!$B47:$X47/'实盘净值数据(iFinD公式)'!$B46:$X46)/SUMPRODUCT(实盘持仓配置!$B$4:$X$4,'实盘净值数据(iFinD公式)'!$B46:$X46/'实盘净值数据(iFinD公式)'!$B$6:$X$6))*(1-实盘持仓配置!$Z$4)^(('实盘净值数据(iFinD公式)'!$A47-'实盘净值数据(iFinD公式)'!$A46)/365)-1)</f>
        <v/>
      </c>
      <c r="D47" s="52">
        <f>IF(B47="","",B47/MAX(B$5:B47)-1)</f>
        <v/>
      </c>
      <c r="E47" s="180">
        <f>IF(OR((ROW()-1)&lt;5,'实盘净值数据(iFinD公式)'!$A47="",'实盘净值数据(iFinD公式)'!$B47=""),"",SUMPRODUCT(实盘持仓配置!$B$5:$X$5,'实盘净值数据(iFinD公式)'!$B47:$X47/'实盘净值数据(iFinD公式)'!$B$5:$X$5)*(1-实盘持仓配置!$Z$5)^(('实盘净值数据(iFinD公式)'!$A47-'实盘净值数据(iFinD公式)'!$A$5)/365))</f>
        <v/>
      </c>
      <c r="F47" s="52">
        <f>IF(OR(E46="",'实盘净值数据(iFinD公式)'!$A47="",'实盘净值数据(iFinD公式)'!$B47=""),"",(SUMPRODUCT(实盘持仓配置!$B$5:$X$5,'实盘净值数据(iFinD公式)'!$B46:$X46/'实盘净值数据(iFinD公式)'!$B$5:$X$5,'实盘净值数据(iFinD公式)'!$B47:$X47/'实盘净值数据(iFinD公式)'!$B46:$X46)/SUMPRODUCT(实盘持仓配置!$B$5:$X$5,'实盘净值数据(iFinD公式)'!$B46:$X46/'实盘净值数据(iFinD公式)'!$B$5:$X$5))*(1-实盘持仓配置!$Z$5)^(('实盘净值数据(iFinD公式)'!$A47-'实盘净值数据(iFinD公式)'!$A46)/365)-1)</f>
        <v/>
      </c>
      <c r="G47" s="52">
        <f>IF(E47="","",E47/MAX(E$5:E47)-1)</f>
        <v/>
      </c>
      <c r="H47" s="180">
        <f>IF(OR((ROW()-1)&lt;7,'实盘净值数据(iFinD公式)'!$A47="",'实盘净值数据(iFinD公式)'!$B47=""),"",SUMPRODUCT(实盘持仓配置!$B$6:$X$6,'实盘净值数据(iFinD公式)'!$B47:$X47/'实盘净值数据(iFinD公式)'!$B$7:$X$7)*(1-实盘持仓配置!$Z$6)^(('实盘净值数据(iFinD公式)'!$A47-'实盘净值数据(iFinD公式)'!$A$7)/365))</f>
        <v/>
      </c>
      <c r="I47" s="52">
        <f>IF(OR(H46="",'实盘净值数据(iFinD公式)'!$A47="",'实盘净值数据(iFinD公式)'!$B47=""),"",(SUMPRODUCT(实盘持仓配置!$B$6:$X$6,'实盘净值数据(iFinD公式)'!$B46:$X46/'实盘净值数据(iFinD公式)'!$B$7:$X$7,'实盘净值数据(iFinD公式)'!$B47:$X47/'实盘净值数据(iFinD公式)'!$B46:$X46)/SUMPRODUCT(实盘持仓配置!$B$6:$X$6,'实盘净值数据(iFinD公式)'!$B46:$X46/'实盘净值数据(iFinD公式)'!$B$7:$X$7))*(1-实盘持仓配置!$Z$6)^(('实盘净值数据(iFinD公式)'!$A47-'实盘净值数据(iFinD公式)'!$A46)/365)-1)</f>
        <v/>
      </c>
      <c r="J47" s="52">
        <f>IF(H47="","",H47/MAX(H$5:H47)-1)</f>
        <v/>
      </c>
      <c r="K47" s="180">
        <f>IF(OR((ROW()-1)&lt;8,'实盘净值数据(iFinD公式)'!$A47="",'实盘净值数据(iFinD公式)'!$B47=""),"",SUMPRODUCT(实盘持仓配置!$B$7:$X$7,'实盘净值数据(iFinD公式)'!$B47:$X47/'实盘净值数据(iFinD公式)'!$B$8:$X$8)*(1-实盘持仓配置!$Z$7)^(('实盘净值数据(iFinD公式)'!$A47-'实盘净值数据(iFinD公式)'!$A$8)/365))</f>
        <v/>
      </c>
      <c r="L47" s="52">
        <f>IF(OR(K46="",'实盘净值数据(iFinD公式)'!$A47="",'实盘净值数据(iFinD公式)'!$B47=""),"",(SUMPRODUCT(实盘持仓配置!$B$7:$X$7,'实盘净值数据(iFinD公式)'!$B46:$X46/'实盘净值数据(iFinD公式)'!$B$8:$X$8,'实盘净值数据(iFinD公式)'!$B47:$X47/'实盘净值数据(iFinD公式)'!$B46:$X46)/SUMPRODUCT(实盘持仓配置!$B$7:$X$7,'实盘净值数据(iFinD公式)'!$B46:$X46/'实盘净值数据(iFinD公式)'!$B$8:$X$8))*(1-实盘持仓配置!$Z$7)^(('实盘净值数据(iFinD公式)'!$A47-'实盘净值数据(iFinD公式)'!$A46)/365)-1)</f>
        <v/>
      </c>
      <c r="M47" s="52">
        <f>IF(K47="","",K47/MAX(K$5:K47)-1)</f>
        <v/>
      </c>
      <c r="N47" s="180">
        <f>IF(OR((ROW()-1)&lt;5,'实盘净值数据(iFinD公式)'!$A47="",'实盘净值数据(iFinD公式)'!$B47=""),"",SUMPRODUCT(实盘持仓配置!$B$8:$X$8,'实盘净值数据(iFinD公式)'!$B47:$X47/'实盘净值数据(iFinD公式)'!$B$5:$X$5)*(1-实盘持仓配置!$Z$8)^(('实盘净值数据(iFinD公式)'!$A47-'实盘净值数据(iFinD公式)'!$A$5)/365))</f>
        <v/>
      </c>
      <c r="O47" s="52">
        <f>IF(OR(N46="",'实盘净值数据(iFinD公式)'!$A47="",'实盘净值数据(iFinD公式)'!$B47=""),"",(SUMPRODUCT(实盘持仓配置!$B$8:$X$8,'实盘净值数据(iFinD公式)'!$B46:$X46/'实盘净值数据(iFinD公式)'!$B$5:$X$5,'实盘净值数据(iFinD公式)'!$B47:$X47/'实盘净值数据(iFinD公式)'!$B46:$X46)/SUMPRODUCT(实盘持仓配置!$B$8:$X$8,'实盘净值数据(iFinD公式)'!$B46:$X46/'实盘净值数据(iFinD公式)'!$B$5:$X$5))*(1-实盘持仓配置!$Z$8)^(('实盘净值数据(iFinD公式)'!$A47-'实盘净值数据(iFinD公式)'!$A46)/365)-1)</f>
        <v/>
      </c>
      <c r="P47" s="52">
        <f>IF(N47="","",N47/MAX(N$5:N47)-1)</f>
        <v/>
      </c>
      <c r="Q47" s="180">
        <f>IF(OR((ROW()-1)&lt;8,'实盘净值数据(iFinD公式)'!$A47="",'实盘净值数据(iFinD公式)'!$B47=""),"",SUMPRODUCT(实盘持仓配置!$B$9:$X$9,'实盘净值数据(iFinD公式)'!$B47:$X47/'实盘净值数据(iFinD公式)'!$B$8:$X$8)*(1-实盘持仓配置!$Z$9)^(('实盘净值数据(iFinD公式)'!$A47-'实盘净值数据(iFinD公式)'!$A$8)/365))</f>
        <v/>
      </c>
      <c r="R47" s="52">
        <f>IF(OR(Q46="",'实盘净值数据(iFinD公式)'!$A47="",'实盘净值数据(iFinD公式)'!$B47=""),"",(SUMPRODUCT(实盘持仓配置!$B$9:$X$9,'实盘净值数据(iFinD公式)'!$B46:$X46/'实盘净值数据(iFinD公式)'!$B$8:$X$8,'实盘净值数据(iFinD公式)'!$B47:$X47/'实盘净值数据(iFinD公式)'!$B46:$X46)/SUMPRODUCT(实盘持仓配置!$B$9:$X$9,'实盘净值数据(iFinD公式)'!$B46:$X46/'实盘净值数据(iFinD公式)'!$B$8:$X$8))*(1-实盘持仓配置!$Z$9)^(('实盘净值数据(iFinD公式)'!$A47-'实盘净值数据(iFinD公式)'!$A46)/365)-1)</f>
        <v/>
      </c>
      <c r="S47" s="52">
        <f>IF(Q47="","",Q47/MAX(Q$5:Q47)-1)</f>
        <v/>
      </c>
    </row>
    <row r="48">
      <c r="A48" s="181">
        <f>IF('实盘净值数据(iFinD公式)'!A48="","",'实盘净值数据(iFinD公式)'!A48)</f>
        <v/>
      </c>
      <c r="B48" s="180">
        <f>IF(OR((ROW()-1)&lt;6,'实盘净值数据(iFinD公式)'!$A48="",'实盘净值数据(iFinD公式)'!$B48=""),"",SUMPRODUCT(实盘持仓配置!$B$4:$X$4,'实盘净值数据(iFinD公式)'!$B48:$X48/'实盘净值数据(iFinD公式)'!$B$6:$X$6)*(1-实盘持仓配置!$Z$4)^(('实盘净值数据(iFinD公式)'!$A48-'实盘净值数据(iFinD公式)'!$A$6)/365))</f>
        <v/>
      </c>
      <c r="C48" s="52">
        <f>IF(OR(B47="",'实盘净值数据(iFinD公式)'!$A48="",'实盘净值数据(iFinD公式)'!$B48=""),"",(SUMPRODUCT(实盘持仓配置!$B$4:$X$4,'实盘净值数据(iFinD公式)'!$B47:$X47/'实盘净值数据(iFinD公式)'!$B$6:$X$6,'实盘净值数据(iFinD公式)'!$B48:$X48/'实盘净值数据(iFinD公式)'!$B47:$X47)/SUMPRODUCT(实盘持仓配置!$B$4:$X$4,'实盘净值数据(iFinD公式)'!$B47:$X47/'实盘净值数据(iFinD公式)'!$B$6:$X$6))*(1-实盘持仓配置!$Z$4)^(('实盘净值数据(iFinD公式)'!$A48-'实盘净值数据(iFinD公式)'!$A47)/365)-1)</f>
        <v/>
      </c>
      <c r="D48" s="52">
        <f>IF(B48="","",B48/MAX(B$5:B48)-1)</f>
        <v/>
      </c>
      <c r="E48" s="180">
        <f>IF(OR((ROW()-1)&lt;5,'实盘净值数据(iFinD公式)'!$A48="",'实盘净值数据(iFinD公式)'!$B48=""),"",SUMPRODUCT(实盘持仓配置!$B$5:$X$5,'实盘净值数据(iFinD公式)'!$B48:$X48/'实盘净值数据(iFinD公式)'!$B$5:$X$5)*(1-实盘持仓配置!$Z$5)^(('实盘净值数据(iFinD公式)'!$A48-'实盘净值数据(iFinD公式)'!$A$5)/365))</f>
        <v/>
      </c>
      <c r="F48" s="52">
        <f>IF(OR(E47="",'实盘净值数据(iFinD公式)'!$A48="",'实盘净值数据(iFinD公式)'!$B48=""),"",(SUMPRODUCT(实盘持仓配置!$B$5:$X$5,'实盘净值数据(iFinD公式)'!$B47:$X47/'实盘净值数据(iFinD公式)'!$B$5:$X$5,'实盘净值数据(iFinD公式)'!$B48:$X48/'实盘净值数据(iFinD公式)'!$B47:$X47)/SUMPRODUCT(实盘持仓配置!$B$5:$X$5,'实盘净值数据(iFinD公式)'!$B47:$X47/'实盘净值数据(iFinD公式)'!$B$5:$X$5))*(1-实盘持仓配置!$Z$5)^(('实盘净值数据(iFinD公式)'!$A48-'实盘净值数据(iFinD公式)'!$A47)/365)-1)</f>
        <v/>
      </c>
      <c r="G48" s="52">
        <f>IF(E48="","",E48/MAX(E$5:E48)-1)</f>
        <v/>
      </c>
      <c r="H48" s="180">
        <f>IF(OR((ROW()-1)&lt;7,'实盘净值数据(iFinD公式)'!$A48="",'实盘净值数据(iFinD公式)'!$B48=""),"",SUMPRODUCT(实盘持仓配置!$B$6:$X$6,'实盘净值数据(iFinD公式)'!$B48:$X48/'实盘净值数据(iFinD公式)'!$B$7:$X$7)*(1-实盘持仓配置!$Z$6)^(('实盘净值数据(iFinD公式)'!$A48-'实盘净值数据(iFinD公式)'!$A$7)/365))</f>
        <v/>
      </c>
      <c r="I48" s="52">
        <f>IF(OR(H47="",'实盘净值数据(iFinD公式)'!$A48="",'实盘净值数据(iFinD公式)'!$B48=""),"",(SUMPRODUCT(实盘持仓配置!$B$6:$X$6,'实盘净值数据(iFinD公式)'!$B47:$X47/'实盘净值数据(iFinD公式)'!$B$7:$X$7,'实盘净值数据(iFinD公式)'!$B48:$X48/'实盘净值数据(iFinD公式)'!$B47:$X47)/SUMPRODUCT(实盘持仓配置!$B$6:$X$6,'实盘净值数据(iFinD公式)'!$B47:$X47/'实盘净值数据(iFinD公式)'!$B$7:$X$7))*(1-实盘持仓配置!$Z$6)^(('实盘净值数据(iFinD公式)'!$A48-'实盘净值数据(iFinD公式)'!$A47)/365)-1)</f>
        <v/>
      </c>
      <c r="J48" s="52">
        <f>IF(H48="","",H48/MAX(H$5:H48)-1)</f>
        <v/>
      </c>
      <c r="K48" s="180">
        <f>IF(OR((ROW()-1)&lt;8,'实盘净值数据(iFinD公式)'!$A48="",'实盘净值数据(iFinD公式)'!$B48=""),"",SUMPRODUCT(实盘持仓配置!$B$7:$X$7,'实盘净值数据(iFinD公式)'!$B48:$X48/'实盘净值数据(iFinD公式)'!$B$8:$X$8)*(1-实盘持仓配置!$Z$7)^(('实盘净值数据(iFinD公式)'!$A48-'实盘净值数据(iFinD公式)'!$A$8)/365))</f>
        <v/>
      </c>
      <c r="L48" s="52">
        <f>IF(OR(K47="",'实盘净值数据(iFinD公式)'!$A48="",'实盘净值数据(iFinD公式)'!$B48=""),"",(SUMPRODUCT(实盘持仓配置!$B$7:$X$7,'实盘净值数据(iFinD公式)'!$B47:$X47/'实盘净值数据(iFinD公式)'!$B$8:$X$8,'实盘净值数据(iFinD公式)'!$B48:$X48/'实盘净值数据(iFinD公式)'!$B47:$X47)/SUMPRODUCT(实盘持仓配置!$B$7:$X$7,'实盘净值数据(iFinD公式)'!$B47:$X47/'实盘净值数据(iFinD公式)'!$B$8:$X$8))*(1-实盘持仓配置!$Z$7)^(('实盘净值数据(iFinD公式)'!$A48-'实盘净值数据(iFinD公式)'!$A47)/365)-1)</f>
        <v/>
      </c>
      <c r="M48" s="52">
        <f>IF(K48="","",K48/MAX(K$5:K48)-1)</f>
        <v/>
      </c>
      <c r="N48" s="180">
        <f>IF(OR((ROW()-1)&lt;5,'实盘净值数据(iFinD公式)'!$A48="",'实盘净值数据(iFinD公式)'!$B48=""),"",SUMPRODUCT(实盘持仓配置!$B$8:$X$8,'实盘净值数据(iFinD公式)'!$B48:$X48/'实盘净值数据(iFinD公式)'!$B$5:$X$5)*(1-实盘持仓配置!$Z$8)^(('实盘净值数据(iFinD公式)'!$A48-'实盘净值数据(iFinD公式)'!$A$5)/365))</f>
        <v/>
      </c>
      <c r="O48" s="52">
        <f>IF(OR(N47="",'实盘净值数据(iFinD公式)'!$A48="",'实盘净值数据(iFinD公式)'!$B48=""),"",(SUMPRODUCT(实盘持仓配置!$B$8:$X$8,'实盘净值数据(iFinD公式)'!$B47:$X47/'实盘净值数据(iFinD公式)'!$B$5:$X$5,'实盘净值数据(iFinD公式)'!$B48:$X48/'实盘净值数据(iFinD公式)'!$B47:$X47)/SUMPRODUCT(实盘持仓配置!$B$8:$X$8,'实盘净值数据(iFinD公式)'!$B47:$X47/'实盘净值数据(iFinD公式)'!$B$5:$X$5))*(1-实盘持仓配置!$Z$8)^(('实盘净值数据(iFinD公式)'!$A48-'实盘净值数据(iFinD公式)'!$A47)/365)-1)</f>
        <v/>
      </c>
      <c r="P48" s="52">
        <f>IF(N48="","",N48/MAX(N$5:N48)-1)</f>
        <v/>
      </c>
      <c r="Q48" s="180">
        <f>IF(OR((ROW()-1)&lt;8,'实盘净值数据(iFinD公式)'!$A48="",'实盘净值数据(iFinD公式)'!$B48=""),"",SUMPRODUCT(实盘持仓配置!$B$9:$X$9,'实盘净值数据(iFinD公式)'!$B48:$X48/'实盘净值数据(iFinD公式)'!$B$8:$X$8)*(1-实盘持仓配置!$Z$9)^(('实盘净值数据(iFinD公式)'!$A48-'实盘净值数据(iFinD公式)'!$A$8)/365))</f>
        <v/>
      </c>
      <c r="R48" s="52">
        <f>IF(OR(Q47="",'实盘净值数据(iFinD公式)'!$A48="",'实盘净值数据(iFinD公式)'!$B48=""),"",(SUMPRODUCT(实盘持仓配置!$B$9:$X$9,'实盘净值数据(iFinD公式)'!$B47:$X47/'实盘净值数据(iFinD公式)'!$B$8:$X$8,'实盘净值数据(iFinD公式)'!$B48:$X48/'实盘净值数据(iFinD公式)'!$B47:$X47)/SUMPRODUCT(实盘持仓配置!$B$9:$X$9,'实盘净值数据(iFinD公式)'!$B47:$X47/'实盘净值数据(iFinD公式)'!$B$8:$X$8))*(1-实盘持仓配置!$Z$9)^(('实盘净值数据(iFinD公式)'!$A48-'实盘净值数据(iFinD公式)'!$A47)/365)-1)</f>
        <v/>
      </c>
      <c r="S48" s="52">
        <f>IF(Q48="","",Q48/MAX(Q$5:Q48)-1)</f>
        <v/>
      </c>
    </row>
    <row r="49">
      <c r="A49" s="181">
        <f>IF('实盘净值数据(iFinD公式)'!A49="","",'实盘净值数据(iFinD公式)'!A49)</f>
        <v/>
      </c>
      <c r="B49" s="180">
        <f>IF(OR((ROW()-1)&lt;6,'实盘净值数据(iFinD公式)'!$A49="",'实盘净值数据(iFinD公式)'!$B49=""),"",SUMPRODUCT(实盘持仓配置!$B$4:$X$4,'实盘净值数据(iFinD公式)'!$B49:$X49/'实盘净值数据(iFinD公式)'!$B$6:$X$6)*(1-实盘持仓配置!$Z$4)^(('实盘净值数据(iFinD公式)'!$A49-'实盘净值数据(iFinD公式)'!$A$6)/365))</f>
        <v/>
      </c>
      <c r="C49" s="52">
        <f>IF(OR(B48="",'实盘净值数据(iFinD公式)'!$A49="",'实盘净值数据(iFinD公式)'!$B49=""),"",(SUMPRODUCT(实盘持仓配置!$B$4:$X$4,'实盘净值数据(iFinD公式)'!$B48:$X48/'实盘净值数据(iFinD公式)'!$B$6:$X$6,'实盘净值数据(iFinD公式)'!$B49:$X49/'实盘净值数据(iFinD公式)'!$B48:$X48)/SUMPRODUCT(实盘持仓配置!$B$4:$X$4,'实盘净值数据(iFinD公式)'!$B48:$X48/'实盘净值数据(iFinD公式)'!$B$6:$X$6))*(1-实盘持仓配置!$Z$4)^(('实盘净值数据(iFinD公式)'!$A49-'实盘净值数据(iFinD公式)'!$A48)/365)-1)</f>
        <v/>
      </c>
      <c r="D49" s="52">
        <f>IF(B49="","",B49/MAX(B$5:B49)-1)</f>
        <v/>
      </c>
      <c r="E49" s="180">
        <f>IF(OR((ROW()-1)&lt;5,'实盘净值数据(iFinD公式)'!$A49="",'实盘净值数据(iFinD公式)'!$B49=""),"",SUMPRODUCT(实盘持仓配置!$B$5:$X$5,'实盘净值数据(iFinD公式)'!$B49:$X49/'实盘净值数据(iFinD公式)'!$B$5:$X$5)*(1-实盘持仓配置!$Z$5)^(('实盘净值数据(iFinD公式)'!$A49-'实盘净值数据(iFinD公式)'!$A$5)/365))</f>
        <v/>
      </c>
      <c r="F49" s="52">
        <f>IF(OR(E48="",'实盘净值数据(iFinD公式)'!$A49="",'实盘净值数据(iFinD公式)'!$B49=""),"",(SUMPRODUCT(实盘持仓配置!$B$5:$X$5,'实盘净值数据(iFinD公式)'!$B48:$X48/'实盘净值数据(iFinD公式)'!$B$5:$X$5,'实盘净值数据(iFinD公式)'!$B49:$X49/'实盘净值数据(iFinD公式)'!$B48:$X48)/SUMPRODUCT(实盘持仓配置!$B$5:$X$5,'实盘净值数据(iFinD公式)'!$B48:$X48/'实盘净值数据(iFinD公式)'!$B$5:$X$5))*(1-实盘持仓配置!$Z$5)^(('实盘净值数据(iFinD公式)'!$A49-'实盘净值数据(iFinD公式)'!$A48)/365)-1)</f>
        <v/>
      </c>
      <c r="G49" s="52">
        <f>IF(E49="","",E49/MAX(E$5:E49)-1)</f>
        <v/>
      </c>
      <c r="H49" s="180">
        <f>IF(OR((ROW()-1)&lt;7,'实盘净值数据(iFinD公式)'!$A49="",'实盘净值数据(iFinD公式)'!$B49=""),"",SUMPRODUCT(实盘持仓配置!$B$6:$X$6,'实盘净值数据(iFinD公式)'!$B49:$X49/'实盘净值数据(iFinD公式)'!$B$7:$X$7)*(1-实盘持仓配置!$Z$6)^(('实盘净值数据(iFinD公式)'!$A49-'实盘净值数据(iFinD公式)'!$A$7)/365))</f>
        <v/>
      </c>
      <c r="I49" s="52">
        <f>IF(OR(H48="",'实盘净值数据(iFinD公式)'!$A49="",'实盘净值数据(iFinD公式)'!$B49=""),"",(SUMPRODUCT(实盘持仓配置!$B$6:$X$6,'实盘净值数据(iFinD公式)'!$B48:$X48/'实盘净值数据(iFinD公式)'!$B$7:$X$7,'实盘净值数据(iFinD公式)'!$B49:$X49/'实盘净值数据(iFinD公式)'!$B48:$X48)/SUMPRODUCT(实盘持仓配置!$B$6:$X$6,'实盘净值数据(iFinD公式)'!$B48:$X48/'实盘净值数据(iFinD公式)'!$B$7:$X$7))*(1-实盘持仓配置!$Z$6)^(('实盘净值数据(iFinD公式)'!$A49-'实盘净值数据(iFinD公式)'!$A48)/365)-1)</f>
        <v/>
      </c>
      <c r="J49" s="52">
        <f>IF(H49="","",H49/MAX(H$5:H49)-1)</f>
        <v/>
      </c>
      <c r="K49" s="180">
        <f>IF(OR((ROW()-1)&lt;8,'实盘净值数据(iFinD公式)'!$A49="",'实盘净值数据(iFinD公式)'!$B49=""),"",SUMPRODUCT(实盘持仓配置!$B$7:$X$7,'实盘净值数据(iFinD公式)'!$B49:$X49/'实盘净值数据(iFinD公式)'!$B$8:$X$8)*(1-实盘持仓配置!$Z$7)^(('实盘净值数据(iFinD公式)'!$A49-'实盘净值数据(iFinD公式)'!$A$8)/365))</f>
        <v/>
      </c>
      <c r="L49" s="52">
        <f>IF(OR(K48="",'实盘净值数据(iFinD公式)'!$A49="",'实盘净值数据(iFinD公式)'!$B49=""),"",(SUMPRODUCT(实盘持仓配置!$B$7:$X$7,'实盘净值数据(iFinD公式)'!$B48:$X48/'实盘净值数据(iFinD公式)'!$B$8:$X$8,'实盘净值数据(iFinD公式)'!$B49:$X49/'实盘净值数据(iFinD公式)'!$B48:$X48)/SUMPRODUCT(实盘持仓配置!$B$7:$X$7,'实盘净值数据(iFinD公式)'!$B48:$X48/'实盘净值数据(iFinD公式)'!$B$8:$X$8))*(1-实盘持仓配置!$Z$7)^(('实盘净值数据(iFinD公式)'!$A49-'实盘净值数据(iFinD公式)'!$A48)/365)-1)</f>
        <v/>
      </c>
      <c r="M49" s="52">
        <f>IF(K49="","",K49/MAX(K$5:K49)-1)</f>
        <v/>
      </c>
      <c r="N49" s="180">
        <f>IF(OR((ROW()-1)&lt;5,'实盘净值数据(iFinD公式)'!$A49="",'实盘净值数据(iFinD公式)'!$B49=""),"",SUMPRODUCT(实盘持仓配置!$B$8:$X$8,'实盘净值数据(iFinD公式)'!$B49:$X49/'实盘净值数据(iFinD公式)'!$B$5:$X$5)*(1-实盘持仓配置!$Z$8)^(('实盘净值数据(iFinD公式)'!$A49-'实盘净值数据(iFinD公式)'!$A$5)/365))</f>
        <v/>
      </c>
      <c r="O49" s="52">
        <f>IF(OR(N48="",'实盘净值数据(iFinD公式)'!$A49="",'实盘净值数据(iFinD公式)'!$B49=""),"",(SUMPRODUCT(实盘持仓配置!$B$8:$X$8,'实盘净值数据(iFinD公式)'!$B48:$X48/'实盘净值数据(iFinD公式)'!$B$5:$X$5,'实盘净值数据(iFinD公式)'!$B49:$X49/'实盘净值数据(iFinD公式)'!$B48:$X48)/SUMPRODUCT(实盘持仓配置!$B$8:$X$8,'实盘净值数据(iFinD公式)'!$B48:$X48/'实盘净值数据(iFinD公式)'!$B$5:$X$5))*(1-实盘持仓配置!$Z$8)^(('实盘净值数据(iFinD公式)'!$A49-'实盘净值数据(iFinD公式)'!$A48)/365)-1)</f>
        <v/>
      </c>
      <c r="P49" s="52">
        <f>IF(N49="","",N49/MAX(N$5:N49)-1)</f>
        <v/>
      </c>
      <c r="Q49" s="180">
        <f>IF(OR((ROW()-1)&lt;8,'实盘净值数据(iFinD公式)'!$A49="",'实盘净值数据(iFinD公式)'!$B49=""),"",SUMPRODUCT(实盘持仓配置!$B$9:$X$9,'实盘净值数据(iFinD公式)'!$B49:$X49/'实盘净值数据(iFinD公式)'!$B$8:$X$8)*(1-实盘持仓配置!$Z$9)^(('实盘净值数据(iFinD公式)'!$A49-'实盘净值数据(iFinD公式)'!$A$8)/365))</f>
        <v/>
      </c>
      <c r="R49" s="52">
        <f>IF(OR(Q48="",'实盘净值数据(iFinD公式)'!$A49="",'实盘净值数据(iFinD公式)'!$B49=""),"",(SUMPRODUCT(实盘持仓配置!$B$9:$X$9,'实盘净值数据(iFinD公式)'!$B48:$X48/'实盘净值数据(iFinD公式)'!$B$8:$X$8,'实盘净值数据(iFinD公式)'!$B49:$X49/'实盘净值数据(iFinD公式)'!$B48:$X48)/SUMPRODUCT(实盘持仓配置!$B$9:$X$9,'实盘净值数据(iFinD公式)'!$B48:$X48/'实盘净值数据(iFinD公式)'!$B$8:$X$8))*(1-实盘持仓配置!$Z$9)^(('实盘净值数据(iFinD公式)'!$A49-'实盘净值数据(iFinD公式)'!$A48)/365)-1)</f>
        <v/>
      </c>
      <c r="S49" s="52">
        <f>IF(Q49="","",Q49/MAX(Q$5:Q49)-1)</f>
        <v/>
      </c>
    </row>
    <row r="50">
      <c r="A50" s="181">
        <f>IF('实盘净值数据(iFinD公式)'!A50="","",'实盘净值数据(iFinD公式)'!A50)</f>
        <v/>
      </c>
      <c r="B50" s="180">
        <f>IF(OR((ROW()-1)&lt;6,'实盘净值数据(iFinD公式)'!$A50="",'实盘净值数据(iFinD公式)'!$B50=""),"",SUMPRODUCT(实盘持仓配置!$B$4:$X$4,'实盘净值数据(iFinD公式)'!$B50:$X50/'实盘净值数据(iFinD公式)'!$B$6:$X$6)*(1-实盘持仓配置!$Z$4)^(('实盘净值数据(iFinD公式)'!$A50-'实盘净值数据(iFinD公式)'!$A$6)/365))</f>
        <v/>
      </c>
      <c r="C50" s="52">
        <f>IF(OR(B49="",'实盘净值数据(iFinD公式)'!$A50="",'实盘净值数据(iFinD公式)'!$B50=""),"",(SUMPRODUCT(实盘持仓配置!$B$4:$X$4,'实盘净值数据(iFinD公式)'!$B49:$X49/'实盘净值数据(iFinD公式)'!$B$6:$X$6,'实盘净值数据(iFinD公式)'!$B50:$X50/'实盘净值数据(iFinD公式)'!$B49:$X49)/SUMPRODUCT(实盘持仓配置!$B$4:$X$4,'实盘净值数据(iFinD公式)'!$B49:$X49/'实盘净值数据(iFinD公式)'!$B$6:$X$6))*(1-实盘持仓配置!$Z$4)^(('实盘净值数据(iFinD公式)'!$A50-'实盘净值数据(iFinD公式)'!$A49)/365)-1)</f>
        <v/>
      </c>
      <c r="D50" s="52">
        <f>IF(B50="","",B50/MAX(B$5:B50)-1)</f>
        <v/>
      </c>
      <c r="E50" s="180">
        <f>IF(OR((ROW()-1)&lt;5,'实盘净值数据(iFinD公式)'!$A50="",'实盘净值数据(iFinD公式)'!$B50=""),"",SUMPRODUCT(实盘持仓配置!$B$5:$X$5,'实盘净值数据(iFinD公式)'!$B50:$X50/'实盘净值数据(iFinD公式)'!$B$5:$X$5)*(1-实盘持仓配置!$Z$5)^(('实盘净值数据(iFinD公式)'!$A50-'实盘净值数据(iFinD公式)'!$A$5)/365))</f>
        <v/>
      </c>
      <c r="F50" s="52">
        <f>IF(OR(E49="",'实盘净值数据(iFinD公式)'!$A50="",'实盘净值数据(iFinD公式)'!$B50=""),"",(SUMPRODUCT(实盘持仓配置!$B$5:$X$5,'实盘净值数据(iFinD公式)'!$B49:$X49/'实盘净值数据(iFinD公式)'!$B$5:$X$5,'实盘净值数据(iFinD公式)'!$B50:$X50/'实盘净值数据(iFinD公式)'!$B49:$X49)/SUMPRODUCT(实盘持仓配置!$B$5:$X$5,'实盘净值数据(iFinD公式)'!$B49:$X49/'实盘净值数据(iFinD公式)'!$B$5:$X$5))*(1-实盘持仓配置!$Z$5)^(('实盘净值数据(iFinD公式)'!$A50-'实盘净值数据(iFinD公式)'!$A49)/365)-1)</f>
        <v/>
      </c>
      <c r="G50" s="52">
        <f>IF(E50="","",E50/MAX(E$5:E50)-1)</f>
        <v/>
      </c>
      <c r="H50" s="180">
        <f>IF(OR((ROW()-1)&lt;7,'实盘净值数据(iFinD公式)'!$A50="",'实盘净值数据(iFinD公式)'!$B50=""),"",SUMPRODUCT(实盘持仓配置!$B$6:$X$6,'实盘净值数据(iFinD公式)'!$B50:$X50/'实盘净值数据(iFinD公式)'!$B$7:$X$7)*(1-实盘持仓配置!$Z$6)^(('实盘净值数据(iFinD公式)'!$A50-'实盘净值数据(iFinD公式)'!$A$7)/365))</f>
        <v/>
      </c>
      <c r="I50" s="52">
        <f>IF(OR(H49="",'实盘净值数据(iFinD公式)'!$A50="",'实盘净值数据(iFinD公式)'!$B50=""),"",(SUMPRODUCT(实盘持仓配置!$B$6:$X$6,'实盘净值数据(iFinD公式)'!$B49:$X49/'实盘净值数据(iFinD公式)'!$B$7:$X$7,'实盘净值数据(iFinD公式)'!$B50:$X50/'实盘净值数据(iFinD公式)'!$B49:$X49)/SUMPRODUCT(实盘持仓配置!$B$6:$X$6,'实盘净值数据(iFinD公式)'!$B49:$X49/'实盘净值数据(iFinD公式)'!$B$7:$X$7))*(1-实盘持仓配置!$Z$6)^(('实盘净值数据(iFinD公式)'!$A50-'实盘净值数据(iFinD公式)'!$A49)/365)-1)</f>
        <v/>
      </c>
      <c r="J50" s="52">
        <f>IF(H50="","",H50/MAX(H$5:H50)-1)</f>
        <v/>
      </c>
      <c r="K50" s="180">
        <f>IF(OR((ROW()-1)&lt;8,'实盘净值数据(iFinD公式)'!$A50="",'实盘净值数据(iFinD公式)'!$B50=""),"",SUMPRODUCT(实盘持仓配置!$B$7:$X$7,'实盘净值数据(iFinD公式)'!$B50:$X50/'实盘净值数据(iFinD公式)'!$B$8:$X$8)*(1-实盘持仓配置!$Z$7)^(('实盘净值数据(iFinD公式)'!$A50-'实盘净值数据(iFinD公式)'!$A$8)/365))</f>
        <v/>
      </c>
      <c r="L50" s="52">
        <f>IF(OR(K49="",'实盘净值数据(iFinD公式)'!$A50="",'实盘净值数据(iFinD公式)'!$B50=""),"",(SUMPRODUCT(实盘持仓配置!$B$7:$X$7,'实盘净值数据(iFinD公式)'!$B49:$X49/'实盘净值数据(iFinD公式)'!$B$8:$X$8,'实盘净值数据(iFinD公式)'!$B50:$X50/'实盘净值数据(iFinD公式)'!$B49:$X49)/SUMPRODUCT(实盘持仓配置!$B$7:$X$7,'实盘净值数据(iFinD公式)'!$B49:$X49/'实盘净值数据(iFinD公式)'!$B$8:$X$8))*(1-实盘持仓配置!$Z$7)^(('实盘净值数据(iFinD公式)'!$A50-'实盘净值数据(iFinD公式)'!$A49)/365)-1)</f>
        <v/>
      </c>
      <c r="M50" s="52">
        <f>IF(K50="","",K50/MAX(K$5:K50)-1)</f>
        <v/>
      </c>
      <c r="N50" s="180">
        <f>IF(OR((ROW()-1)&lt;5,'实盘净值数据(iFinD公式)'!$A50="",'实盘净值数据(iFinD公式)'!$B50=""),"",SUMPRODUCT(实盘持仓配置!$B$8:$X$8,'实盘净值数据(iFinD公式)'!$B50:$X50/'实盘净值数据(iFinD公式)'!$B$5:$X$5)*(1-实盘持仓配置!$Z$8)^(('实盘净值数据(iFinD公式)'!$A50-'实盘净值数据(iFinD公式)'!$A$5)/365))</f>
        <v/>
      </c>
      <c r="O50" s="52">
        <f>IF(OR(N49="",'实盘净值数据(iFinD公式)'!$A50="",'实盘净值数据(iFinD公式)'!$B50=""),"",(SUMPRODUCT(实盘持仓配置!$B$8:$X$8,'实盘净值数据(iFinD公式)'!$B49:$X49/'实盘净值数据(iFinD公式)'!$B$5:$X$5,'实盘净值数据(iFinD公式)'!$B50:$X50/'实盘净值数据(iFinD公式)'!$B49:$X49)/SUMPRODUCT(实盘持仓配置!$B$8:$X$8,'实盘净值数据(iFinD公式)'!$B49:$X49/'实盘净值数据(iFinD公式)'!$B$5:$X$5))*(1-实盘持仓配置!$Z$8)^(('实盘净值数据(iFinD公式)'!$A50-'实盘净值数据(iFinD公式)'!$A49)/365)-1)</f>
        <v/>
      </c>
      <c r="P50" s="52">
        <f>IF(N50="","",N50/MAX(N$5:N50)-1)</f>
        <v/>
      </c>
      <c r="Q50" s="180">
        <f>IF(OR((ROW()-1)&lt;8,'实盘净值数据(iFinD公式)'!$A50="",'实盘净值数据(iFinD公式)'!$B50=""),"",SUMPRODUCT(实盘持仓配置!$B$9:$X$9,'实盘净值数据(iFinD公式)'!$B50:$X50/'实盘净值数据(iFinD公式)'!$B$8:$X$8)*(1-实盘持仓配置!$Z$9)^(('实盘净值数据(iFinD公式)'!$A50-'实盘净值数据(iFinD公式)'!$A$8)/365))</f>
        <v/>
      </c>
      <c r="R50" s="52">
        <f>IF(OR(Q49="",'实盘净值数据(iFinD公式)'!$A50="",'实盘净值数据(iFinD公式)'!$B50=""),"",(SUMPRODUCT(实盘持仓配置!$B$9:$X$9,'实盘净值数据(iFinD公式)'!$B49:$X49/'实盘净值数据(iFinD公式)'!$B$8:$X$8,'实盘净值数据(iFinD公式)'!$B50:$X50/'实盘净值数据(iFinD公式)'!$B49:$X49)/SUMPRODUCT(实盘持仓配置!$B$9:$X$9,'实盘净值数据(iFinD公式)'!$B49:$X49/'实盘净值数据(iFinD公式)'!$B$8:$X$8))*(1-实盘持仓配置!$Z$9)^(('实盘净值数据(iFinD公式)'!$A50-'实盘净值数据(iFinD公式)'!$A49)/365)-1)</f>
        <v/>
      </c>
      <c r="S50" s="52">
        <f>IF(Q50="","",Q50/MAX(Q$5:Q50)-1)</f>
        <v/>
      </c>
    </row>
    <row r="51">
      <c r="A51" s="181">
        <f>IF('实盘净值数据(iFinD公式)'!A51="","",'实盘净值数据(iFinD公式)'!A51)</f>
        <v/>
      </c>
      <c r="B51" s="180">
        <f>IF(OR((ROW()-1)&lt;6,'实盘净值数据(iFinD公式)'!$A51="",'实盘净值数据(iFinD公式)'!$B51=""),"",SUMPRODUCT(实盘持仓配置!$B$4:$X$4,'实盘净值数据(iFinD公式)'!$B51:$X51/'实盘净值数据(iFinD公式)'!$B$6:$X$6)*(1-实盘持仓配置!$Z$4)^(('实盘净值数据(iFinD公式)'!$A51-'实盘净值数据(iFinD公式)'!$A$6)/365))</f>
        <v/>
      </c>
      <c r="C51" s="52">
        <f>IF(OR(B50="",'实盘净值数据(iFinD公式)'!$A51="",'实盘净值数据(iFinD公式)'!$B51=""),"",(SUMPRODUCT(实盘持仓配置!$B$4:$X$4,'实盘净值数据(iFinD公式)'!$B50:$X50/'实盘净值数据(iFinD公式)'!$B$6:$X$6,'实盘净值数据(iFinD公式)'!$B51:$X51/'实盘净值数据(iFinD公式)'!$B50:$X50)/SUMPRODUCT(实盘持仓配置!$B$4:$X$4,'实盘净值数据(iFinD公式)'!$B50:$X50/'实盘净值数据(iFinD公式)'!$B$6:$X$6))*(1-实盘持仓配置!$Z$4)^(('实盘净值数据(iFinD公式)'!$A51-'实盘净值数据(iFinD公式)'!$A50)/365)-1)</f>
        <v/>
      </c>
      <c r="D51" s="52">
        <f>IF(B51="","",B51/MAX(B$5:B51)-1)</f>
        <v/>
      </c>
      <c r="E51" s="180">
        <f>IF(OR((ROW()-1)&lt;5,'实盘净值数据(iFinD公式)'!$A51="",'实盘净值数据(iFinD公式)'!$B51=""),"",SUMPRODUCT(实盘持仓配置!$B$5:$X$5,'实盘净值数据(iFinD公式)'!$B51:$X51/'实盘净值数据(iFinD公式)'!$B$5:$X$5)*(1-实盘持仓配置!$Z$5)^(('实盘净值数据(iFinD公式)'!$A51-'实盘净值数据(iFinD公式)'!$A$5)/365))</f>
        <v/>
      </c>
      <c r="F51" s="52">
        <f>IF(OR(E50="",'实盘净值数据(iFinD公式)'!$A51="",'实盘净值数据(iFinD公式)'!$B51=""),"",(SUMPRODUCT(实盘持仓配置!$B$5:$X$5,'实盘净值数据(iFinD公式)'!$B50:$X50/'实盘净值数据(iFinD公式)'!$B$5:$X$5,'实盘净值数据(iFinD公式)'!$B51:$X51/'实盘净值数据(iFinD公式)'!$B50:$X50)/SUMPRODUCT(实盘持仓配置!$B$5:$X$5,'实盘净值数据(iFinD公式)'!$B50:$X50/'实盘净值数据(iFinD公式)'!$B$5:$X$5))*(1-实盘持仓配置!$Z$5)^(('实盘净值数据(iFinD公式)'!$A51-'实盘净值数据(iFinD公式)'!$A50)/365)-1)</f>
        <v/>
      </c>
      <c r="G51" s="52">
        <f>IF(E51="","",E51/MAX(E$5:E51)-1)</f>
        <v/>
      </c>
      <c r="H51" s="180">
        <f>IF(OR((ROW()-1)&lt;7,'实盘净值数据(iFinD公式)'!$A51="",'实盘净值数据(iFinD公式)'!$B51=""),"",SUMPRODUCT(实盘持仓配置!$B$6:$X$6,'实盘净值数据(iFinD公式)'!$B51:$X51/'实盘净值数据(iFinD公式)'!$B$7:$X$7)*(1-实盘持仓配置!$Z$6)^(('实盘净值数据(iFinD公式)'!$A51-'实盘净值数据(iFinD公式)'!$A$7)/365))</f>
        <v/>
      </c>
      <c r="I51" s="52">
        <f>IF(OR(H50="",'实盘净值数据(iFinD公式)'!$A51="",'实盘净值数据(iFinD公式)'!$B51=""),"",(SUMPRODUCT(实盘持仓配置!$B$6:$X$6,'实盘净值数据(iFinD公式)'!$B50:$X50/'实盘净值数据(iFinD公式)'!$B$7:$X$7,'实盘净值数据(iFinD公式)'!$B51:$X51/'实盘净值数据(iFinD公式)'!$B50:$X50)/SUMPRODUCT(实盘持仓配置!$B$6:$X$6,'实盘净值数据(iFinD公式)'!$B50:$X50/'实盘净值数据(iFinD公式)'!$B$7:$X$7))*(1-实盘持仓配置!$Z$6)^(('实盘净值数据(iFinD公式)'!$A51-'实盘净值数据(iFinD公式)'!$A50)/365)-1)</f>
        <v/>
      </c>
      <c r="J51" s="52">
        <f>IF(H51="","",H51/MAX(H$5:H51)-1)</f>
        <v/>
      </c>
      <c r="K51" s="180">
        <f>IF(OR((ROW()-1)&lt;8,'实盘净值数据(iFinD公式)'!$A51="",'实盘净值数据(iFinD公式)'!$B51=""),"",SUMPRODUCT(实盘持仓配置!$B$7:$X$7,'实盘净值数据(iFinD公式)'!$B51:$X51/'实盘净值数据(iFinD公式)'!$B$8:$X$8)*(1-实盘持仓配置!$Z$7)^(('实盘净值数据(iFinD公式)'!$A51-'实盘净值数据(iFinD公式)'!$A$8)/365))</f>
        <v/>
      </c>
      <c r="L51" s="52">
        <f>IF(OR(K50="",'实盘净值数据(iFinD公式)'!$A51="",'实盘净值数据(iFinD公式)'!$B51=""),"",(SUMPRODUCT(实盘持仓配置!$B$7:$X$7,'实盘净值数据(iFinD公式)'!$B50:$X50/'实盘净值数据(iFinD公式)'!$B$8:$X$8,'实盘净值数据(iFinD公式)'!$B51:$X51/'实盘净值数据(iFinD公式)'!$B50:$X50)/SUMPRODUCT(实盘持仓配置!$B$7:$X$7,'实盘净值数据(iFinD公式)'!$B50:$X50/'实盘净值数据(iFinD公式)'!$B$8:$X$8))*(1-实盘持仓配置!$Z$7)^(('实盘净值数据(iFinD公式)'!$A51-'实盘净值数据(iFinD公式)'!$A50)/365)-1)</f>
        <v/>
      </c>
      <c r="M51" s="52">
        <f>IF(K51="","",K51/MAX(K$5:K51)-1)</f>
        <v/>
      </c>
      <c r="N51" s="180">
        <f>IF(OR((ROW()-1)&lt;5,'实盘净值数据(iFinD公式)'!$A51="",'实盘净值数据(iFinD公式)'!$B51=""),"",SUMPRODUCT(实盘持仓配置!$B$8:$X$8,'实盘净值数据(iFinD公式)'!$B51:$X51/'实盘净值数据(iFinD公式)'!$B$5:$X$5)*(1-实盘持仓配置!$Z$8)^(('实盘净值数据(iFinD公式)'!$A51-'实盘净值数据(iFinD公式)'!$A$5)/365))</f>
        <v/>
      </c>
      <c r="O51" s="52">
        <f>IF(OR(N50="",'实盘净值数据(iFinD公式)'!$A51="",'实盘净值数据(iFinD公式)'!$B51=""),"",(SUMPRODUCT(实盘持仓配置!$B$8:$X$8,'实盘净值数据(iFinD公式)'!$B50:$X50/'实盘净值数据(iFinD公式)'!$B$5:$X$5,'实盘净值数据(iFinD公式)'!$B51:$X51/'实盘净值数据(iFinD公式)'!$B50:$X50)/SUMPRODUCT(实盘持仓配置!$B$8:$X$8,'实盘净值数据(iFinD公式)'!$B50:$X50/'实盘净值数据(iFinD公式)'!$B$5:$X$5))*(1-实盘持仓配置!$Z$8)^(('实盘净值数据(iFinD公式)'!$A51-'实盘净值数据(iFinD公式)'!$A50)/365)-1)</f>
        <v/>
      </c>
      <c r="P51" s="52">
        <f>IF(N51="","",N51/MAX(N$5:N51)-1)</f>
        <v/>
      </c>
      <c r="Q51" s="180">
        <f>IF(OR((ROW()-1)&lt;8,'实盘净值数据(iFinD公式)'!$A51="",'实盘净值数据(iFinD公式)'!$B51=""),"",SUMPRODUCT(实盘持仓配置!$B$9:$X$9,'实盘净值数据(iFinD公式)'!$B51:$X51/'实盘净值数据(iFinD公式)'!$B$8:$X$8)*(1-实盘持仓配置!$Z$9)^(('实盘净值数据(iFinD公式)'!$A51-'实盘净值数据(iFinD公式)'!$A$8)/365))</f>
        <v/>
      </c>
      <c r="R51" s="52">
        <f>IF(OR(Q50="",'实盘净值数据(iFinD公式)'!$A51="",'实盘净值数据(iFinD公式)'!$B51=""),"",(SUMPRODUCT(实盘持仓配置!$B$9:$X$9,'实盘净值数据(iFinD公式)'!$B50:$X50/'实盘净值数据(iFinD公式)'!$B$8:$X$8,'实盘净值数据(iFinD公式)'!$B51:$X51/'实盘净值数据(iFinD公式)'!$B50:$X50)/SUMPRODUCT(实盘持仓配置!$B$9:$X$9,'实盘净值数据(iFinD公式)'!$B50:$X50/'实盘净值数据(iFinD公式)'!$B$8:$X$8))*(1-实盘持仓配置!$Z$9)^(('实盘净值数据(iFinD公式)'!$A51-'实盘净值数据(iFinD公式)'!$A50)/365)-1)</f>
        <v/>
      </c>
      <c r="S51" s="52">
        <f>IF(Q51="","",Q51/MAX(Q$5:Q51)-1)</f>
        <v/>
      </c>
    </row>
    <row r="52">
      <c r="A52" s="181">
        <f>IF('实盘净值数据(iFinD公式)'!A52="","",'实盘净值数据(iFinD公式)'!A52)</f>
        <v/>
      </c>
      <c r="B52" s="180">
        <f>IF(OR((ROW()-1)&lt;6,'实盘净值数据(iFinD公式)'!$A52="",'实盘净值数据(iFinD公式)'!$B52=""),"",SUMPRODUCT(实盘持仓配置!$B$4:$X$4,'实盘净值数据(iFinD公式)'!$B52:$X52/'实盘净值数据(iFinD公式)'!$B$6:$X$6)*(1-实盘持仓配置!$Z$4)^(('实盘净值数据(iFinD公式)'!$A52-'实盘净值数据(iFinD公式)'!$A$6)/365))</f>
        <v/>
      </c>
      <c r="C52" s="52">
        <f>IF(OR(B51="",'实盘净值数据(iFinD公式)'!$A52="",'实盘净值数据(iFinD公式)'!$B52=""),"",(SUMPRODUCT(实盘持仓配置!$B$4:$X$4,'实盘净值数据(iFinD公式)'!$B51:$X51/'实盘净值数据(iFinD公式)'!$B$6:$X$6,'实盘净值数据(iFinD公式)'!$B52:$X52/'实盘净值数据(iFinD公式)'!$B51:$X51)/SUMPRODUCT(实盘持仓配置!$B$4:$X$4,'实盘净值数据(iFinD公式)'!$B51:$X51/'实盘净值数据(iFinD公式)'!$B$6:$X$6))*(1-实盘持仓配置!$Z$4)^(('实盘净值数据(iFinD公式)'!$A52-'实盘净值数据(iFinD公式)'!$A51)/365)-1)</f>
        <v/>
      </c>
      <c r="D52" s="52">
        <f>IF(B52="","",B52/MAX(B$5:B52)-1)</f>
        <v/>
      </c>
      <c r="E52" s="180">
        <f>IF(OR((ROW()-1)&lt;5,'实盘净值数据(iFinD公式)'!$A52="",'实盘净值数据(iFinD公式)'!$B52=""),"",SUMPRODUCT(实盘持仓配置!$B$5:$X$5,'实盘净值数据(iFinD公式)'!$B52:$X52/'实盘净值数据(iFinD公式)'!$B$5:$X$5)*(1-实盘持仓配置!$Z$5)^(('实盘净值数据(iFinD公式)'!$A52-'实盘净值数据(iFinD公式)'!$A$5)/365))</f>
        <v/>
      </c>
      <c r="F52" s="52">
        <f>IF(OR(E51="",'实盘净值数据(iFinD公式)'!$A52="",'实盘净值数据(iFinD公式)'!$B52=""),"",(SUMPRODUCT(实盘持仓配置!$B$5:$X$5,'实盘净值数据(iFinD公式)'!$B51:$X51/'实盘净值数据(iFinD公式)'!$B$5:$X$5,'实盘净值数据(iFinD公式)'!$B52:$X52/'实盘净值数据(iFinD公式)'!$B51:$X51)/SUMPRODUCT(实盘持仓配置!$B$5:$X$5,'实盘净值数据(iFinD公式)'!$B51:$X51/'实盘净值数据(iFinD公式)'!$B$5:$X$5))*(1-实盘持仓配置!$Z$5)^(('实盘净值数据(iFinD公式)'!$A52-'实盘净值数据(iFinD公式)'!$A51)/365)-1)</f>
        <v/>
      </c>
      <c r="G52" s="52">
        <f>IF(E52="","",E52/MAX(E$5:E52)-1)</f>
        <v/>
      </c>
      <c r="H52" s="180">
        <f>IF(OR((ROW()-1)&lt;7,'实盘净值数据(iFinD公式)'!$A52="",'实盘净值数据(iFinD公式)'!$B52=""),"",SUMPRODUCT(实盘持仓配置!$B$6:$X$6,'实盘净值数据(iFinD公式)'!$B52:$X52/'实盘净值数据(iFinD公式)'!$B$7:$X$7)*(1-实盘持仓配置!$Z$6)^(('实盘净值数据(iFinD公式)'!$A52-'实盘净值数据(iFinD公式)'!$A$7)/365))</f>
        <v/>
      </c>
      <c r="I52" s="52">
        <f>IF(OR(H51="",'实盘净值数据(iFinD公式)'!$A52="",'实盘净值数据(iFinD公式)'!$B52=""),"",(SUMPRODUCT(实盘持仓配置!$B$6:$X$6,'实盘净值数据(iFinD公式)'!$B51:$X51/'实盘净值数据(iFinD公式)'!$B$7:$X$7,'实盘净值数据(iFinD公式)'!$B52:$X52/'实盘净值数据(iFinD公式)'!$B51:$X51)/SUMPRODUCT(实盘持仓配置!$B$6:$X$6,'实盘净值数据(iFinD公式)'!$B51:$X51/'实盘净值数据(iFinD公式)'!$B$7:$X$7))*(1-实盘持仓配置!$Z$6)^(('实盘净值数据(iFinD公式)'!$A52-'实盘净值数据(iFinD公式)'!$A51)/365)-1)</f>
        <v/>
      </c>
      <c r="J52" s="52">
        <f>IF(H52="","",H52/MAX(H$5:H52)-1)</f>
        <v/>
      </c>
      <c r="K52" s="180">
        <f>IF(OR((ROW()-1)&lt;8,'实盘净值数据(iFinD公式)'!$A52="",'实盘净值数据(iFinD公式)'!$B52=""),"",SUMPRODUCT(实盘持仓配置!$B$7:$X$7,'实盘净值数据(iFinD公式)'!$B52:$X52/'实盘净值数据(iFinD公式)'!$B$8:$X$8)*(1-实盘持仓配置!$Z$7)^(('实盘净值数据(iFinD公式)'!$A52-'实盘净值数据(iFinD公式)'!$A$8)/365))</f>
        <v/>
      </c>
      <c r="L52" s="52">
        <f>IF(OR(K51="",'实盘净值数据(iFinD公式)'!$A52="",'实盘净值数据(iFinD公式)'!$B52=""),"",(SUMPRODUCT(实盘持仓配置!$B$7:$X$7,'实盘净值数据(iFinD公式)'!$B51:$X51/'实盘净值数据(iFinD公式)'!$B$8:$X$8,'实盘净值数据(iFinD公式)'!$B52:$X52/'实盘净值数据(iFinD公式)'!$B51:$X51)/SUMPRODUCT(实盘持仓配置!$B$7:$X$7,'实盘净值数据(iFinD公式)'!$B51:$X51/'实盘净值数据(iFinD公式)'!$B$8:$X$8))*(1-实盘持仓配置!$Z$7)^(('实盘净值数据(iFinD公式)'!$A52-'实盘净值数据(iFinD公式)'!$A51)/365)-1)</f>
        <v/>
      </c>
      <c r="M52" s="52">
        <f>IF(K52="","",K52/MAX(K$5:K52)-1)</f>
        <v/>
      </c>
      <c r="N52" s="180">
        <f>IF(OR((ROW()-1)&lt;5,'实盘净值数据(iFinD公式)'!$A52="",'实盘净值数据(iFinD公式)'!$B52=""),"",SUMPRODUCT(实盘持仓配置!$B$8:$X$8,'实盘净值数据(iFinD公式)'!$B52:$X52/'实盘净值数据(iFinD公式)'!$B$5:$X$5)*(1-实盘持仓配置!$Z$8)^(('实盘净值数据(iFinD公式)'!$A52-'实盘净值数据(iFinD公式)'!$A$5)/365))</f>
        <v/>
      </c>
      <c r="O52" s="52">
        <f>IF(OR(N51="",'实盘净值数据(iFinD公式)'!$A52="",'实盘净值数据(iFinD公式)'!$B52=""),"",(SUMPRODUCT(实盘持仓配置!$B$8:$X$8,'实盘净值数据(iFinD公式)'!$B51:$X51/'实盘净值数据(iFinD公式)'!$B$5:$X$5,'实盘净值数据(iFinD公式)'!$B52:$X52/'实盘净值数据(iFinD公式)'!$B51:$X51)/SUMPRODUCT(实盘持仓配置!$B$8:$X$8,'实盘净值数据(iFinD公式)'!$B51:$X51/'实盘净值数据(iFinD公式)'!$B$5:$X$5))*(1-实盘持仓配置!$Z$8)^(('实盘净值数据(iFinD公式)'!$A52-'实盘净值数据(iFinD公式)'!$A51)/365)-1)</f>
        <v/>
      </c>
      <c r="P52" s="52">
        <f>IF(N52="","",N52/MAX(N$5:N52)-1)</f>
        <v/>
      </c>
      <c r="Q52" s="180">
        <f>IF(OR((ROW()-1)&lt;8,'实盘净值数据(iFinD公式)'!$A52="",'实盘净值数据(iFinD公式)'!$B52=""),"",SUMPRODUCT(实盘持仓配置!$B$9:$X$9,'实盘净值数据(iFinD公式)'!$B52:$X52/'实盘净值数据(iFinD公式)'!$B$8:$X$8)*(1-实盘持仓配置!$Z$9)^(('实盘净值数据(iFinD公式)'!$A52-'实盘净值数据(iFinD公式)'!$A$8)/365))</f>
        <v/>
      </c>
      <c r="R52" s="52">
        <f>IF(OR(Q51="",'实盘净值数据(iFinD公式)'!$A52="",'实盘净值数据(iFinD公式)'!$B52=""),"",(SUMPRODUCT(实盘持仓配置!$B$9:$X$9,'实盘净值数据(iFinD公式)'!$B51:$X51/'实盘净值数据(iFinD公式)'!$B$8:$X$8,'实盘净值数据(iFinD公式)'!$B52:$X52/'实盘净值数据(iFinD公式)'!$B51:$X51)/SUMPRODUCT(实盘持仓配置!$B$9:$X$9,'实盘净值数据(iFinD公式)'!$B51:$X51/'实盘净值数据(iFinD公式)'!$B$8:$X$8))*(1-实盘持仓配置!$Z$9)^(('实盘净值数据(iFinD公式)'!$A52-'实盘净值数据(iFinD公式)'!$A51)/365)-1)</f>
        <v/>
      </c>
      <c r="S52" s="52">
        <f>IF(Q52="","",Q52/MAX(Q$5:Q52)-1)</f>
        <v/>
      </c>
    </row>
    <row r="53">
      <c r="A53" s="181">
        <f>IF('实盘净值数据(iFinD公式)'!A53="","",'实盘净值数据(iFinD公式)'!A53)</f>
        <v/>
      </c>
      <c r="B53" s="180">
        <f>IF(OR((ROW()-1)&lt;6,'实盘净值数据(iFinD公式)'!$A53="",'实盘净值数据(iFinD公式)'!$B53=""),"",SUMPRODUCT(实盘持仓配置!$B$4:$X$4,'实盘净值数据(iFinD公式)'!$B53:$X53/'实盘净值数据(iFinD公式)'!$B$6:$X$6)*(1-实盘持仓配置!$Z$4)^(('实盘净值数据(iFinD公式)'!$A53-'实盘净值数据(iFinD公式)'!$A$6)/365))</f>
        <v/>
      </c>
      <c r="C53" s="52">
        <f>IF(OR(B52="",'实盘净值数据(iFinD公式)'!$A53="",'实盘净值数据(iFinD公式)'!$B53=""),"",(SUMPRODUCT(实盘持仓配置!$B$4:$X$4,'实盘净值数据(iFinD公式)'!$B52:$X52/'实盘净值数据(iFinD公式)'!$B$6:$X$6,'实盘净值数据(iFinD公式)'!$B53:$X53/'实盘净值数据(iFinD公式)'!$B52:$X52)/SUMPRODUCT(实盘持仓配置!$B$4:$X$4,'实盘净值数据(iFinD公式)'!$B52:$X52/'实盘净值数据(iFinD公式)'!$B$6:$X$6))*(1-实盘持仓配置!$Z$4)^(('实盘净值数据(iFinD公式)'!$A53-'实盘净值数据(iFinD公式)'!$A52)/365)-1)</f>
        <v/>
      </c>
      <c r="D53" s="52">
        <f>IF(B53="","",B53/MAX(B$5:B53)-1)</f>
        <v/>
      </c>
      <c r="E53" s="180">
        <f>IF(OR((ROW()-1)&lt;5,'实盘净值数据(iFinD公式)'!$A53="",'实盘净值数据(iFinD公式)'!$B53=""),"",SUMPRODUCT(实盘持仓配置!$B$5:$X$5,'实盘净值数据(iFinD公式)'!$B53:$X53/'实盘净值数据(iFinD公式)'!$B$5:$X$5)*(1-实盘持仓配置!$Z$5)^(('实盘净值数据(iFinD公式)'!$A53-'实盘净值数据(iFinD公式)'!$A$5)/365))</f>
        <v/>
      </c>
      <c r="F53" s="52">
        <f>IF(OR(E52="",'实盘净值数据(iFinD公式)'!$A53="",'实盘净值数据(iFinD公式)'!$B53=""),"",(SUMPRODUCT(实盘持仓配置!$B$5:$X$5,'实盘净值数据(iFinD公式)'!$B52:$X52/'实盘净值数据(iFinD公式)'!$B$5:$X$5,'实盘净值数据(iFinD公式)'!$B53:$X53/'实盘净值数据(iFinD公式)'!$B52:$X52)/SUMPRODUCT(实盘持仓配置!$B$5:$X$5,'实盘净值数据(iFinD公式)'!$B52:$X52/'实盘净值数据(iFinD公式)'!$B$5:$X$5))*(1-实盘持仓配置!$Z$5)^(('实盘净值数据(iFinD公式)'!$A53-'实盘净值数据(iFinD公式)'!$A52)/365)-1)</f>
        <v/>
      </c>
      <c r="G53" s="52">
        <f>IF(E53="","",E53/MAX(E$5:E53)-1)</f>
        <v/>
      </c>
      <c r="H53" s="180">
        <f>IF(OR((ROW()-1)&lt;7,'实盘净值数据(iFinD公式)'!$A53="",'实盘净值数据(iFinD公式)'!$B53=""),"",SUMPRODUCT(实盘持仓配置!$B$6:$X$6,'实盘净值数据(iFinD公式)'!$B53:$X53/'实盘净值数据(iFinD公式)'!$B$7:$X$7)*(1-实盘持仓配置!$Z$6)^(('实盘净值数据(iFinD公式)'!$A53-'实盘净值数据(iFinD公式)'!$A$7)/365))</f>
        <v/>
      </c>
      <c r="I53" s="52">
        <f>IF(OR(H52="",'实盘净值数据(iFinD公式)'!$A53="",'实盘净值数据(iFinD公式)'!$B53=""),"",(SUMPRODUCT(实盘持仓配置!$B$6:$X$6,'实盘净值数据(iFinD公式)'!$B52:$X52/'实盘净值数据(iFinD公式)'!$B$7:$X$7,'实盘净值数据(iFinD公式)'!$B53:$X53/'实盘净值数据(iFinD公式)'!$B52:$X52)/SUMPRODUCT(实盘持仓配置!$B$6:$X$6,'实盘净值数据(iFinD公式)'!$B52:$X52/'实盘净值数据(iFinD公式)'!$B$7:$X$7))*(1-实盘持仓配置!$Z$6)^(('实盘净值数据(iFinD公式)'!$A53-'实盘净值数据(iFinD公式)'!$A52)/365)-1)</f>
        <v/>
      </c>
      <c r="J53" s="52">
        <f>IF(H53="","",H53/MAX(H$5:H53)-1)</f>
        <v/>
      </c>
      <c r="K53" s="180">
        <f>IF(OR((ROW()-1)&lt;8,'实盘净值数据(iFinD公式)'!$A53="",'实盘净值数据(iFinD公式)'!$B53=""),"",SUMPRODUCT(实盘持仓配置!$B$7:$X$7,'实盘净值数据(iFinD公式)'!$B53:$X53/'实盘净值数据(iFinD公式)'!$B$8:$X$8)*(1-实盘持仓配置!$Z$7)^(('实盘净值数据(iFinD公式)'!$A53-'实盘净值数据(iFinD公式)'!$A$8)/365))</f>
        <v/>
      </c>
      <c r="L53" s="52">
        <f>IF(OR(K52="",'实盘净值数据(iFinD公式)'!$A53="",'实盘净值数据(iFinD公式)'!$B53=""),"",(SUMPRODUCT(实盘持仓配置!$B$7:$X$7,'实盘净值数据(iFinD公式)'!$B52:$X52/'实盘净值数据(iFinD公式)'!$B$8:$X$8,'实盘净值数据(iFinD公式)'!$B53:$X53/'实盘净值数据(iFinD公式)'!$B52:$X52)/SUMPRODUCT(实盘持仓配置!$B$7:$X$7,'实盘净值数据(iFinD公式)'!$B52:$X52/'实盘净值数据(iFinD公式)'!$B$8:$X$8))*(1-实盘持仓配置!$Z$7)^(('实盘净值数据(iFinD公式)'!$A53-'实盘净值数据(iFinD公式)'!$A52)/365)-1)</f>
        <v/>
      </c>
      <c r="M53" s="52">
        <f>IF(K53="","",K53/MAX(K$5:K53)-1)</f>
        <v/>
      </c>
      <c r="N53" s="180">
        <f>IF(OR((ROW()-1)&lt;5,'实盘净值数据(iFinD公式)'!$A53="",'实盘净值数据(iFinD公式)'!$B53=""),"",SUMPRODUCT(实盘持仓配置!$B$8:$X$8,'实盘净值数据(iFinD公式)'!$B53:$X53/'实盘净值数据(iFinD公式)'!$B$5:$X$5)*(1-实盘持仓配置!$Z$8)^(('实盘净值数据(iFinD公式)'!$A53-'实盘净值数据(iFinD公式)'!$A$5)/365))</f>
        <v/>
      </c>
      <c r="O53" s="52">
        <f>IF(OR(N52="",'实盘净值数据(iFinD公式)'!$A53="",'实盘净值数据(iFinD公式)'!$B53=""),"",(SUMPRODUCT(实盘持仓配置!$B$8:$X$8,'实盘净值数据(iFinD公式)'!$B52:$X52/'实盘净值数据(iFinD公式)'!$B$5:$X$5,'实盘净值数据(iFinD公式)'!$B53:$X53/'实盘净值数据(iFinD公式)'!$B52:$X52)/SUMPRODUCT(实盘持仓配置!$B$8:$X$8,'实盘净值数据(iFinD公式)'!$B52:$X52/'实盘净值数据(iFinD公式)'!$B$5:$X$5))*(1-实盘持仓配置!$Z$8)^(('实盘净值数据(iFinD公式)'!$A53-'实盘净值数据(iFinD公式)'!$A52)/365)-1)</f>
        <v/>
      </c>
      <c r="P53" s="52">
        <f>IF(N53="","",N53/MAX(N$5:N53)-1)</f>
        <v/>
      </c>
      <c r="Q53" s="180">
        <f>IF(OR((ROW()-1)&lt;8,'实盘净值数据(iFinD公式)'!$A53="",'实盘净值数据(iFinD公式)'!$B53=""),"",SUMPRODUCT(实盘持仓配置!$B$9:$X$9,'实盘净值数据(iFinD公式)'!$B53:$X53/'实盘净值数据(iFinD公式)'!$B$8:$X$8)*(1-实盘持仓配置!$Z$9)^(('实盘净值数据(iFinD公式)'!$A53-'实盘净值数据(iFinD公式)'!$A$8)/365))</f>
        <v/>
      </c>
      <c r="R53" s="52">
        <f>IF(OR(Q52="",'实盘净值数据(iFinD公式)'!$A53="",'实盘净值数据(iFinD公式)'!$B53=""),"",(SUMPRODUCT(实盘持仓配置!$B$9:$X$9,'实盘净值数据(iFinD公式)'!$B52:$X52/'实盘净值数据(iFinD公式)'!$B$8:$X$8,'实盘净值数据(iFinD公式)'!$B53:$X53/'实盘净值数据(iFinD公式)'!$B52:$X52)/SUMPRODUCT(实盘持仓配置!$B$9:$X$9,'实盘净值数据(iFinD公式)'!$B52:$X52/'实盘净值数据(iFinD公式)'!$B$8:$X$8))*(1-实盘持仓配置!$Z$9)^(('实盘净值数据(iFinD公式)'!$A53-'实盘净值数据(iFinD公式)'!$A52)/365)-1)</f>
        <v/>
      </c>
      <c r="S53" s="52">
        <f>IF(Q53="","",Q53/MAX(Q$5:Q53)-1)</f>
        <v/>
      </c>
    </row>
    <row r="54">
      <c r="A54" s="181">
        <f>IF('实盘净值数据(iFinD公式)'!A54="","",'实盘净值数据(iFinD公式)'!A54)</f>
        <v/>
      </c>
      <c r="B54" s="180">
        <f>IF(OR((ROW()-1)&lt;6,'实盘净值数据(iFinD公式)'!$A54="",'实盘净值数据(iFinD公式)'!$B54=""),"",SUMPRODUCT(实盘持仓配置!$B$4:$X$4,'实盘净值数据(iFinD公式)'!$B54:$X54/'实盘净值数据(iFinD公式)'!$B$6:$X$6)*(1-实盘持仓配置!$Z$4)^(('实盘净值数据(iFinD公式)'!$A54-'实盘净值数据(iFinD公式)'!$A$6)/365))</f>
        <v/>
      </c>
      <c r="C54" s="52">
        <f>IF(OR(B53="",'实盘净值数据(iFinD公式)'!$A54="",'实盘净值数据(iFinD公式)'!$B54=""),"",(SUMPRODUCT(实盘持仓配置!$B$4:$X$4,'实盘净值数据(iFinD公式)'!$B53:$X53/'实盘净值数据(iFinD公式)'!$B$6:$X$6,'实盘净值数据(iFinD公式)'!$B54:$X54/'实盘净值数据(iFinD公式)'!$B53:$X53)/SUMPRODUCT(实盘持仓配置!$B$4:$X$4,'实盘净值数据(iFinD公式)'!$B53:$X53/'实盘净值数据(iFinD公式)'!$B$6:$X$6))*(1-实盘持仓配置!$Z$4)^(('实盘净值数据(iFinD公式)'!$A54-'实盘净值数据(iFinD公式)'!$A53)/365)-1)</f>
        <v/>
      </c>
      <c r="D54" s="52">
        <f>IF(B54="","",B54/MAX(B$5:B54)-1)</f>
        <v/>
      </c>
      <c r="E54" s="180">
        <f>IF(OR((ROW()-1)&lt;5,'实盘净值数据(iFinD公式)'!$A54="",'实盘净值数据(iFinD公式)'!$B54=""),"",SUMPRODUCT(实盘持仓配置!$B$5:$X$5,'实盘净值数据(iFinD公式)'!$B54:$X54/'实盘净值数据(iFinD公式)'!$B$5:$X$5)*(1-实盘持仓配置!$Z$5)^(('实盘净值数据(iFinD公式)'!$A54-'实盘净值数据(iFinD公式)'!$A$5)/365))</f>
        <v/>
      </c>
      <c r="F54" s="52">
        <f>IF(OR(E53="",'实盘净值数据(iFinD公式)'!$A54="",'实盘净值数据(iFinD公式)'!$B54=""),"",(SUMPRODUCT(实盘持仓配置!$B$5:$X$5,'实盘净值数据(iFinD公式)'!$B53:$X53/'实盘净值数据(iFinD公式)'!$B$5:$X$5,'实盘净值数据(iFinD公式)'!$B54:$X54/'实盘净值数据(iFinD公式)'!$B53:$X53)/SUMPRODUCT(实盘持仓配置!$B$5:$X$5,'实盘净值数据(iFinD公式)'!$B53:$X53/'实盘净值数据(iFinD公式)'!$B$5:$X$5))*(1-实盘持仓配置!$Z$5)^(('实盘净值数据(iFinD公式)'!$A54-'实盘净值数据(iFinD公式)'!$A53)/365)-1)</f>
        <v/>
      </c>
      <c r="G54" s="52">
        <f>IF(E54="","",E54/MAX(E$5:E54)-1)</f>
        <v/>
      </c>
      <c r="H54" s="180">
        <f>IF(OR((ROW()-1)&lt;7,'实盘净值数据(iFinD公式)'!$A54="",'实盘净值数据(iFinD公式)'!$B54=""),"",SUMPRODUCT(实盘持仓配置!$B$6:$X$6,'实盘净值数据(iFinD公式)'!$B54:$X54/'实盘净值数据(iFinD公式)'!$B$7:$X$7)*(1-实盘持仓配置!$Z$6)^(('实盘净值数据(iFinD公式)'!$A54-'实盘净值数据(iFinD公式)'!$A$7)/365))</f>
        <v/>
      </c>
      <c r="I54" s="52">
        <f>IF(OR(H53="",'实盘净值数据(iFinD公式)'!$A54="",'实盘净值数据(iFinD公式)'!$B54=""),"",(SUMPRODUCT(实盘持仓配置!$B$6:$X$6,'实盘净值数据(iFinD公式)'!$B53:$X53/'实盘净值数据(iFinD公式)'!$B$7:$X$7,'实盘净值数据(iFinD公式)'!$B54:$X54/'实盘净值数据(iFinD公式)'!$B53:$X53)/SUMPRODUCT(实盘持仓配置!$B$6:$X$6,'实盘净值数据(iFinD公式)'!$B53:$X53/'实盘净值数据(iFinD公式)'!$B$7:$X$7))*(1-实盘持仓配置!$Z$6)^(('实盘净值数据(iFinD公式)'!$A54-'实盘净值数据(iFinD公式)'!$A53)/365)-1)</f>
        <v/>
      </c>
      <c r="J54" s="52">
        <f>IF(H54="","",H54/MAX(H$5:H54)-1)</f>
        <v/>
      </c>
      <c r="K54" s="180">
        <f>IF(OR((ROW()-1)&lt;8,'实盘净值数据(iFinD公式)'!$A54="",'实盘净值数据(iFinD公式)'!$B54=""),"",SUMPRODUCT(实盘持仓配置!$B$7:$X$7,'实盘净值数据(iFinD公式)'!$B54:$X54/'实盘净值数据(iFinD公式)'!$B$8:$X$8)*(1-实盘持仓配置!$Z$7)^(('实盘净值数据(iFinD公式)'!$A54-'实盘净值数据(iFinD公式)'!$A$8)/365))</f>
        <v/>
      </c>
      <c r="L54" s="52">
        <f>IF(OR(K53="",'实盘净值数据(iFinD公式)'!$A54="",'实盘净值数据(iFinD公式)'!$B54=""),"",(SUMPRODUCT(实盘持仓配置!$B$7:$X$7,'实盘净值数据(iFinD公式)'!$B53:$X53/'实盘净值数据(iFinD公式)'!$B$8:$X$8,'实盘净值数据(iFinD公式)'!$B54:$X54/'实盘净值数据(iFinD公式)'!$B53:$X53)/SUMPRODUCT(实盘持仓配置!$B$7:$X$7,'实盘净值数据(iFinD公式)'!$B53:$X53/'实盘净值数据(iFinD公式)'!$B$8:$X$8))*(1-实盘持仓配置!$Z$7)^(('实盘净值数据(iFinD公式)'!$A54-'实盘净值数据(iFinD公式)'!$A53)/365)-1)</f>
        <v/>
      </c>
      <c r="M54" s="52">
        <f>IF(K54="","",K54/MAX(K$5:K54)-1)</f>
        <v/>
      </c>
      <c r="N54" s="180">
        <f>IF(OR((ROW()-1)&lt;5,'实盘净值数据(iFinD公式)'!$A54="",'实盘净值数据(iFinD公式)'!$B54=""),"",SUMPRODUCT(实盘持仓配置!$B$8:$X$8,'实盘净值数据(iFinD公式)'!$B54:$X54/'实盘净值数据(iFinD公式)'!$B$5:$X$5)*(1-实盘持仓配置!$Z$8)^(('实盘净值数据(iFinD公式)'!$A54-'实盘净值数据(iFinD公式)'!$A$5)/365))</f>
        <v/>
      </c>
      <c r="O54" s="52">
        <f>IF(OR(N53="",'实盘净值数据(iFinD公式)'!$A54="",'实盘净值数据(iFinD公式)'!$B54=""),"",(SUMPRODUCT(实盘持仓配置!$B$8:$X$8,'实盘净值数据(iFinD公式)'!$B53:$X53/'实盘净值数据(iFinD公式)'!$B$5:$X$5,'实盘净值数据(iFinD公式)'!$B54:$X54/'实盘净值数据(iFinD公式)'!$B53:$X53)/SUMPRODUCT(实盘持仓配置!$B$8:$X$8,'实盘净值数据(iFinD公式)'!$B53:$X53/'实盘净值数据(iFinD公式)'!$B$5:$X$5))*(1-实盘持仓配置!$Z$8)^(('实盘净值数据(iFinD公式)'!$A54-'实盘净值数据(iFinD公式)'!$A53)/365)-1)</f>
        <v/>
      </c>
      <c r="P54" s="52">
        <f>IF(N54="","",N54/MAX(N$5:N54)-1)</f>
        <v/>
      </c>
      <c r="Q54" s="180">
        <f>IF(OR((ROW()-1)&lt;8,'实盘净值数据(iFinD公式)'!$A54="",'实盘净值数据(iFinD公式)'!$B54=""),"",SUMPRODUCT(实盘持仓配置!$B$9:$X$9,'实盘净值数据(iFinD公式)'!$B54:$X54/'实盘净值数据(iFinD公式)'!$B$8:$X$8)*(1-实盘持仓配置!$Z$9)^(('实盘净值数据(iFinD公式)'!$A54-'实盘净值数据(iFinD公式)'!$A$8)/365))</f>
        <v/>
      </c>
      <c r="R54" s="52">
        <f>IF(OR(Q53="",'实盘净值数据(iFinD公式)'!$A54="",'实盘净值数据(iFinD公式)'!$B54=""),"",(SUMPRODUCT(实盘持仓配置!$B$9:$X$9,'实盘净值数据(iFinD公式)'!$B53:$X53/'实盘净值数据(iFinD公式)'!$B$8:$X$8,'实盘净值数据(iFinD公式)'!$B54:$X54/'实盘净值数据(iFinD公式)'!$B53:$X53)/SUMPRODUCT(实盘持仓配置!$B$9:$X$9,'实盘净值数据(iFinD公式)'!$B53:$X53/'实盘净值数据(iFinD公式)'!$B$8:$X$8))*(1-实盘持仓配置!$Z$9)^(('实盘净值数据(iFinD公式)'!$A54-'实盘净值数据(iFinD公式)'!$A53)/365)-1)</f>
        <v/>
      </c>
      <c r="S54" s="52">
        <f>IF(Q54="","",Q54/MAX(Q$5:Q54)-1)</f>
        <v/>
      </c>
    </row>
    <row r="55">
      <c r="A55" s="181">
        <f>IF('实盘净值数据(iFinD公式)'!A55="","",'实盘净值数据(iFinD公式)'!A55)</f>
        <v/>
      </c>
      <c r="B55" s="180">
        <f>IF(OR((ROW()-1)&lt;6,'实盘净值数据(iFinD公式)'!$A55="",'实盘净值数据(iFinD公式)'!$B55=""),"",SUMPRODUCT(实盘持仓配置!$B$4:$X$4,'实盘净值数据(iFinD公式)'!$B55:$X55/'实盘净值数据(iFinD公式)'!$B$6:$X$6)*(1-实盘持仓配置!$Z$4)^(('实盘净值数据(iFinD公式)'!$A55-'实盘净值数据(iFinD公式)'!$A$6)/365))</f>
        <v/>
      </c>
      <c r="C55" s="52">
        <f>IF(OR(B54="",'实盘净值数据(iFinD公式)'!$A55="",'实盘净值数据(iFinD公式)'!$B55=""),"",(SUMPRODUCT(实盘持仓配置!$B$4:$X$4,'实盘净值数据(iFinD公式)'!$B54:$X54/'实盘净值数据(iFinD公式)'!$B$6:$X$6,'实盘净值数据(iFinD公式)'!$B55:$X55/'实盘净值数据(iFinD公式)'!$B54:$X54)/SUMPRODUCT(实盘持仓配置!$B$4:$X$4,'实盘净值数据(iFinD公式)'!$B54:$X54/'实盘净值数据(iFinD公式)'!$B$6:$X$6))*(1-实盘持仓配置!$Z$4)^(('实盘净值数据(iFinD公式)'!$A55-'实盘净值数据(iFinD公式)'!$A54)/365)-1)</f>
        <v/>
      </c>
      <c r="D55" s="52">
        <f>IF(B55="","",B55/MAX(B$5:B55)-1)</f>
        <v/>
      </c>
      <c r="E55" s="180">
        <f>IF(OR((ROW()-1)&lt;5,'实盘净值数据(iFinD公式)'!$A55="",'实盘净值数据(iFinD公式)'!$B55=""),"",SUMPRODUCT(实盘持仓配置!$B$5:$X$5,'实盘净值数据(iFinD公式)'!$B55:$X55/'实盘净值数据(iFinD公式)'!$B$5:$X$5)*(1-实盘持仓配置!$Z$5)^(('实盘净值数据(iFinD公式)'!$A55-'实盘净值数据(iFinD公式)'!$A$5)/365))</f>
        <v/>
      </c>
      <c r="F55" s="52">
        <f>IF(OR(E54="",'实盘净值数据(iFinD公式)'!$A55="",'实盘净值数据(iFinD公式)'!$B55=""),"",(SUMPRODUCT(实盘持仓配置!$B$5:$X$5,'实盘净值数据(iFinD公式)'!$B54:$X54/'实盘净值数据(iFinD公式)'!$B$5:$X$5,'实盘净值数据(iFinD公式)'!$B55:$X55/'实盘净值数据(iFinD公式)'!$B54:$X54)/SUMPRODUCT(实盘持仓配置!$B$5:$X$5,'实盘净值数据(iFinD公式)'!$B54:$X54/'实盘净值数据(iFinD公式)'!$B$5:$X$5))*(1-实盘持仓配置!$Z$5)^(('实盘净值数据(iFinD公式)'!$A55-'实盘净值数据(iFinD公式)'!$A54)/365)-1)</f>
        <v/>
      </c>
      <c r="G55" s="52">
        <f>IF(E55="","",E55/MAX(E$5:E55)-1)</f>
        <v/>
      </c>
      <c r="H55" s="180">
        <f>IF(OR((ROW()-1)&lt;7,'实盘净值数据(iFinD公式)'!$A55="",'实盘净值数据(iFinD公式)'!$B55=""),"",SUMPRODUCT(实盘持仓配置!$B$6:$X$6,'实盘净值数据(iFinD公式)'!$B55:$X55/'实盘净值数据(iFinD公式)'!$B$7:$X$7)*(1-实盘持仓配置!$Z$6)^(('实盘净值数据(iFinD公式)'!$A55-'实盘净值数据(iFinD公式)'!$A$7)/365))</f>
        <v/>
      </c>
      <c r="I55" s="52">
        <f>IF(OR(H54="",'实盘净值数据(iFinD公式)'!$A55="",'实盘净值数据(iFinD公式)'!$B55=""),"",(SUMPRODUCT(实盘持仓配置!$B$6:$X$6,'实盘净值数据(iFinD公式)'!$B54:$X54/'实盘净值数据(iFinD公式)'!$B$7:$X$7,'实盘净值数据(iFinD公式)'!$B55:$X55/'实盘净值数据(iFinD公式)'!$B54:$X54)/SUMPRODUCT(实盘持仓配置!$B$6:$X$6,'实盘净值数据(iFinD公式)'!$B54:$X54/'实盘净值数据(iFinD公式)'!$B$7:$X$7))*(1-实盘持仓配置!$Z$6)^(('实盘净值数据(iFinD公式)'!$A55-'实盘净值数据(iFinD公式)'!$A54)/365)-1)</f>
        <v/>
      </c>
      <c r="J55" s="52">
        <f>IF(H55="","",H55/MAX(H$5:H55)-1)</f>
        <v/>
      </c>
      <c r="K55" s="180">
        <f>IF(OR((ROW()-1)&lt;8,'实盘净值数据(iFinD公式)'!$A55="",'实盘净值数据(iFinD公式)'!$B55=""),"",SUMPRODUCT(实盘持仓配置!$B$7:$X$7,'实盘净值数据(iFinD公式)'!$B55:$X55/'实盘净值数据(iFinD公式)'!$B$8:$X$8)*(1-实盘持仓配置!$Z$7)^(('实盘净值数据(iFinD公式)'!$A55-'实盘净值数据(iFinD公式)'!$A$8)/365))</f>
        <v/>
      </c>
      <c r="L55" s="52">
        <f>IF(OR(K54="",'实盘净值数据(iFinD公式)'!$A55="",'实盘净值数据(iFinD公式)'!$B55=""),"",(SUMPRODUCT(实盘持仓配置!$B$7:$X$7,'实盘净值数据(iFinD公式)'!$B54:$X54/'实盘净值数据(iFinD公式)'!$B$8:$X$8,'实盘净值数据(iFinD公式)'!$B55:$X55/'实盘净值数据(iFinD公式)'!$B54:$X54)/SUMPRODUCT(实盘持仓配置!$B$7:$X$7,'实盘净值数据(iFinD公式)'!$B54:$X54/'实盘净值数据(iFinD公式)'!$B$8:$X$8))*(1-实盘持仓配置!$Z$7)^(('实盘净值数据(iFinD公式)'!$A55-'实盘净值数据(iFinD公式)'!$A54)/365)-1)</f>
        <v/>
      </c>
      <c r="M55" s="52">
        <f>IF(K55="","",K55/MAX(K$5:K55)-1)</f>
        <v/>
      </c>
      <c r="N55" s="180">
        <f>IF(OR((ROW()-1)&lt;5,'实盘净值数据(iFinD公式)'!$A55="",'实盘净值数据(iFinD公式)'!$B55=""),"",SUMPRODUCT(实盘持仓配置!$B$8:$X$8,'实盘净值数据(iFinD公式)'!$B55:$X55/'实盘净值数据(iFinD公式)'!$B$5:$X$5)*(1-实盘持仓配置!$Z$8)^(('实盘净值数据(iFinD公式)'!$A55-'实盘净值数据(iFinD公式)'!$A$5)/365))</f>
        <v/>
      </c>
      <c r="O55" s="52">
        <f>IF(OR(N54="",'实盘净值数据(iFinD公式)'!$A55="",'实盘净值数据(iFinD公式)'!$B55=""),"",(SUMPRODUCT(实盘持仓配置!$B$8:$X$8,'实盘净值数据(iFinD公式)'!$B54:$X54/'实盘净值数据(iFinD公式)'!$B$5:$X$5,'实盘净值数据(iFinD公式)'!$B55:$X55/'实盘净值数据(iFinD公式)'!$B54:$X54)/SUMPRODUCT(实盘持仓配置!$B$8:$X$8,'实盘净值数据(iFinD公式)'!$B54:$X54/'实盘净值数据(iFinD公式)'!$B$5:$X$5))*(1-实盘持仓配置!$Z$8)^(('实盘净值数据(iFinD公式)'!$A55-'实盘净值数据(iFinD公式)'!$A54)/365)-1)</f>
        <v/>
      </c>
      <c r="P55" s="52">
        <f>IF(N55="","",N55/MAX(N$5:N55)-1)</f>
        <v/>
      </c>
      <c r="Q55" s="180">
        <f>IF(OR((ROW()-1)&lt;8,'实盘净值数据(iFinD公式)'!$A55="",'实盘净值数据(iFinD公式)'!$B55=""),"",SUMPRODUCT(实盘持仓配置!$B$9:$X$9,'实盘净值数据(iFinD公式)'!$B55:$X55/'实盘净值数据(iFinD公式)'!$B$8:$X$8)*(1-实盘持仓配置!$Z$9)^(('实盘净值数据(iFinD公式)'!$A55-'实盘净值数据(iFinD公式)'!$A$8)/365))</f>
        <v/>
      </c>
      <c r="R55" s="52">
        <f>IF(OR(Q54="",'实盘净值数据(iFinD公式)'!$A55="",'实盘净值数据(iFinD公式)'!$B55=""),"",(SUMPRODUCT(实盘持仓配置!$B$9:$X$9,'实盘净值数据(iFinD公式)'!$B54:$X54/'实盘净值数据(iFinD公式)'!$B$8:$X$8,'实盘净值数据(iFinD公式)'!$B55:$X55/'实盘净值数据(iFinD公式)'!$B54:$X54)/SUMPRODUCT(实盘持仓配置!$B$9:$X$9,'实盘净值数据(iFinD公式)'!$B54:$X54/'实盘净值数据(iFinD公式)'!$B$8:$X$8))*(1-实盘持仓配置!$Z$9)^(('实盘净值数据(iFinD公式)'!$A55-'实盘净值数据(iFinD公式)'!$A54)/365)-1)</f>
        <v/>
      </c>
      <c r="S55" s="52">
        <f>IF(Q55="","",Q55/MAX(Q$5:Q55)-1)</f>
        <v/>
      </c>
    </row>
    <row r="56">
      <c r="A56" s="181">
        <f>IF('实盘净值数据(iFinD公式)'!A56="","",'实盘净值数据(iFinD公式)'!A56)</f>
        <v/>
      </c>
      <c r="B56" s="180">
        <f>IF(OR((ROW()-1)&lt;6,'实盘净值数据(iFinD公式)'!$A56="",'实盘净值数据(iFinD公式)'!$B56=""),"",SUMPRODUCT(实盘持仓配置!$B$4:$X$4,'实盘净值数据(iFinD公式)'!$B56:$X56/'实盘净值数据(iFinD公式)'!$B$6:$X$6)*(1-实盘持仓配置!$Z$4)^(('实盘净值数据(iFinD公式)'!$A56-'实盘净值数据(iFinD公式)'!$A$6)/365))</f>
        <v/>
      </c>
      <c r="C56" s="52">
        <f>IF(OR(B55="",'实盘净值数据(iFinD公式)'!$A56="",'实盘净值数据(iFinD公式)'!$B56=""),"",(SUMPRODUCT(实盘持仓配置!$B$4:$X$4,'实盘净值数据(iFinD公式)'!$B55:$X55/'实盘净值数据(iFinD公式)'!$B$6:$X$6,'实盘净值数据(iFinD公式)'!$B56:$X56/'实盘净值数据(iFinD公式)'!$B55:$X55)/SUMPRODUCT(实盘持仓配置!$B$4:$X$4,'实盘净值数据(iFinD公式)'!$B55:$X55/'实盘净值数据(iFinD公式)'!$B$6:$X$6))*(1-实盘持仓配置!$Z$4)^(('实盘净值数据(iFinD公式)'!$A56-'实盘净值数据(iFinD公式)'!$A55)/365)-1)</f>
        <v/>
      </c>
      <c r="D56" s="52">
        <f>IF(B56="","",B56/MAX(B$5:B56)-1)</f>
        <v/>
      </c>
      <c r="E56" s="180">
        <f>IF(OR((ROW()-1)&lt;5,'实盘净值数据(iFinD公式)'!$A56="",'实盘净值数据(iFinD公式)'!$B56=""),"",SUMPRODUCT(实盘持仓配置!$B$5:$X$5,'实盘净值数据(iFinD公式)'!$B56:$X56/'实盘净值数据(iFinD公式)'!$B$5:$X$5)*(1-实盘持仓配置!$Z$5)^(('实盘净值数据(iFinD公式)'!$A56-'实盘净值数据(iFinD公式)'!$A$5)/365))</f>
        <v/>
      </c>
      <c r="F56" s="52">
        <f>IF(OR(E55="",'实盘净值数据(iFinD公式)'!$A56="",'实盘净值数据(iFinD公式)'!$B56=""),"",(SUMPRODUCT(实盘持仓配置!$B$5:$X$5,'实盘净值数据(iFinD公式)'!$B55:$X55/'实盘净值数据(iFinD公式)'!$B$5:$X$5,'实盘净值数据(iFinD公式)'!$B56:$X56/'实盘净值数据(iFinD公式)'!$B55:$X55)/SUMPRODUCT(实盘持仓配置!$B$5:$X$5,'实盘净值数据(iFinD公式)'!$B55:$X55/'实盘净值数据(iFinD公式)'!$B$5:$X$5))*(1-实盘持仓配置!$Z$5)^(('实盘净值数据(iFinD公式)'!$A56-'实盘净值数据(iFinD公式)'!$A55)/365)-1)</f>
        <v/>
      </c>
      <c r="G56" s="52">
        <f>IF(E56="","",E56/MAX(E$5:E56)-1)</f>
        <v/>
      </c>
      <c r="H56" s="180">
        <f>IF(OR((ROW()-1)&lt;7,'实盘净值数据(iFinD公式)'!$A56="",'实盘净值数据(iFinD公式)'!$B56=""),"",SUMPRODUCT(实盘持仓配置!$B$6:$X$6,'实盘净值数据(iFinD公式)'!$B56:$X56/'实盘净值数据(iFinD公式)'!$B$7:$X$7)*(1-实盘持仓配置!$Z$6)^(('实盘净值数据(iFinD公式)'!$A56-'实盘净值数据(iFinD公式)'!$A$7)/365))</f>
        <v/>
      </c>
      <c r="I56" s="52">
        <f>IF(OR(H55="",'实盘净值数据(iFinD公式)'!$A56="",'实盘净值数据(iFinD公式)'!$B56=""),"",(SUMPRODUCT(实盘持仓配置!$B$6:$X$6,'实盘净值数据(iFinD公式)'!$B55:$X55/'实盘净值数据(iFinD公式)'!$B$7:$X$7,'实盘净值数据(iFinD公式)'!$B56:$X56/'实盘净值数据(iFinD公式)'!$B55:$X55)/SUMPRODUCT(实盘持仓配置!$B$6:$X$6,'实盘净值数据(iFinD公式)'!$B55:$X55/'实盘净值数据(iFinD公式)'!$B$7:$X$7))*(1-实盘持仓配置!$Z$6)^(('实盘净值数据(iFinD公式)'!$A56-'实盘净值数据(iFinD公式)'!$A55)/365)-1)</f>
        <v/>
      </c>
      <c r="J56" s="52">
        <f>IF(H56="","",H56/MAX(H$5:H56)-1)</f>
        <v/>
      </c>
      <c r="K56" s="180">
        <f>IF(OR((ROW()-1)&lt;8,'实盘净值数据(iFinD公式)'!$A56="",'实盘净值数据(iFinD公式)'!$B56=""),"",SUMPRODUCT(实盘持仓配置!$B$7:$X$7,'实盘净值数据(iFinD公式)'!$B56:$X56/'实盘净值数据(iFinD公式)'!$B$8:$X$8)*(1-实盘持仓配置!$Z$7)^(('实盘净值数据(iFinD公式)'!$A56-'实盘净值数据(iFinD公式)'!$A$8)/365))</f>
        <v/>
      </c>
      <c r="L56" s="52">
        <f>IF(OR(K55="",'实盘净值数据(iFinD公式)'!$A56="",'实盘净值数据(iFinD公式)'!$B56=""),"",(SUMPRODUCT(实盘持仓配置!$B$7:$X$7,'实盘净值数据(iFinD公式)'!$B55:$X55/'实盘净值数据(iFinD公式)'!$B$8:$X$8,'实盘净值数据(iFinD公式)'!$B56:$X56/'实盘净值数据(iFinD公式)'!$B55:$X55)/SUMPRODUCT(实盘持仓配置!$B$7:$X$7,'实盘净值数据(iFinD公式)'!$B55:$X55/'实盘净值数据(iFinD公式)'!$B$8:$X$8))*(1-实盘持仓配置!$Z$7)^(('实盘净值数据(iFinD公式)'!$A56-'实盘净值数据(iFinD公式)'!$A55)/365)-1)</f>
        <v/>
      </c>
      <c r="M56" s="52">
        <f>IF(K56="","",K56/MAX(K$5:K56)-1)</f>
        <v/>
      </c>
      <c r="N56" s="180">
        <f>IF(OR((ROW()-1)&lt;5,'实盘净值数据(iFinD公式)'!$A56="",'实盘净值数据(iFinD公式)'!$B56=""),"",SUMPRODUCT(实盘持仓配置!$B$8:$X$8,'实盘净值数据(iFinD公式)'!$B56:$X56/'实盘净值数据(iFinD公式)'!$B$5:$X$5)*(1-实盘持仓配置!$Z$8)^(('实盘净值数据(iFinD公式)'!$A56-'实盘净值数据(iFinD公式)'!$A$5)/365))</f>
        <v/>
      </c>
      <c r="O56" s="52">
        <f>IF(OR(N55="",'实盘净值数据(iFinD公式)'!$A56="",'实盘净值数据(iFinD公式)'!$B56=""),"",(SUMPRODUCT(实盘持仓配置!$B$8:$X$8,'实盘净值数据(iFinD公式)'!$B55:$X55/'实盘净值数据(iFinD公式)'!$B$5:$X$5,'实盘净值数据(iFinD公式)'!$B56:$X56/'实盘净值数据(iFinD公式)'!$B55:$X55)/SUMPRODUCT(实盘持仓配置!$B$8:$X$8,'实盘净值数据(iFinD公式)'!$B55:$X55/'实盘净值数据(iFinD公式)'!$B$5:$X$5))*(1-实盘持仓配置!$Z$8)^(('实盘净值数据(iFinD公式)'!$A56-'实盘净值数据(iFinD公式)'!$A55)/365)-1)</f>
        <v/>
      </c>
      <c r="P56" s="52">
        <f>IF(N56="","",N56/MAX(N$5:N56)-1)</f>
        <v/>
      </c>
      <c r="Q56" s="180">
        <f>IF(OR((ROW()-1)&lt;8,'实盘净值数据(iFinD公式)'!$A56="",'实盘净值数据(iFinD公式)'!$B56=""),"",SUMPRODUCT(实盘持仓配置!$B$9:$X$9,'实盘净值数据(iFinD公式)'!$B56:$X56/'实盘净值数据(iFinD公式)'!$B$8:$X$8)*(1-实盘持仓配置!$Z$9)^(('实盘净值数据(iFinD公式)'!$A56-'实盘净值数据(iFinD公式)'!$A$8)/365))</f>
        <v/>
      </c>
      <c r="R56" s="52">
        <f>IF(OR(Q55="",'实盘净值数据(iFinD公式)'!$A56="",'实盘净值数据(iFinD公式)'!$B56=""),"",(SUMPRODUCT(实盘持仓配置!$B$9:$X$9,'实盘净值数据(iFinD公式)'!$B55:$X55/'实盘净值数据(iFinD公式)'!$B$8:$X$8,'实盘净值数据(iFinD公式)'!$B56:$X56/'实盘净值数据(iFinD公式)'!$B55:$X55)/SUMPRODUCT(实盘持仓配置!$B$9:$X$9,'实盘净值数据(iFinD公式)'!$B55:$X55/'实盘净值数据(iFinD公式)'!$B$8:$X$8))*(1-实盘持仓配置!$Z$9)^(('实盘净值数据(iFinD公式)'!$A56-'实盘净值数据(iFinD公式)'!$A55)/365)-1)</f>
        <v/>
      </c>
      <c r="S56" s="52">
        <f>IF(Q56="","",Q56/MAX(Q$5:Q56)-1)</f>
        <v/>
      </c>
    </row>
    <row r="57">
      <c r="A57" s="181">
        <f>IF('实盘净值数据(iFinD公式)'!A57="","",'实盘净值数据(iFinD公式)'!A57)</f>
        <v/>
      </c>
      <c r="B57" s="180">
        <f>IF(OR((ROW()-1)&lt;6,'实盘净值数据(iFinD公式)'!$A57="",'实盘净值数据(iFinD公式)'!$B57=""),"",SUMPRODUCT(实盘持仓配置!$B$4:$X$4,'实盘净值数据(iFinD公式)'!$B57:$X57/'实盘净值数据(iFinD公式)'!$B$6:$X$6)*(1-实盘持仓配置!$Z$4)^(('实盘净值数据(iFinD公式)'!$A57-'实盘净值数据(iFinD公式)'!$A$6)/365))</f>
        <v/>
      </c>
      <c r="C57" s="52">
        <f>IF(OR(B56="",'实盘净值数据(iFinD公式)'!$A57="",'实盘净值数据(iFinD公式)'!$B57=""),"",(SUMPRODUCT(实盘持仓配置!$B$4:$X$4,'实盘净值数据(iFinD公式)'!$B56:$X56/'实盘净值数据(iFinD公式)'!$B$6:$X$6,'实盘净值数据(iFinD公式)'!$B57:$X57/'实盘净值数据(iFinD公式)'!$B56:$X56)/SUMPRODUCT(实盘持仓配置!$B$4:$X$4,'实盘净值数据(iFinD公式)'!$B56:$X56/'实盘净值数据(iFinD公式)'!$B$6:$X$6))*(1-实盘持仓配置!$Z$4)^(('实盘净值数据(iFinD公式)'!$A57-'实盘净值数据(iFinD公式)'!$A56)/365)-1)</f>
        <v/>
      </c>
      <c r="D57" s="52">
        <f>IF(B57="","",B57/MAX(B$5:B57)-1)</f>
        <v/>
      </c>
      <c r="E57" s="180">
        <f>IF(OR((ROW()-1)&lt;5,'实盘净值数据(iFinD公式)'!$A57="",'实盘净值数据(iFinD公式)'!$B57=""),"",SUMPRODUCT(实盘持仓配置!$B$5:$X$5,'实盘净值数据(iFinD公式)'!$B57:$X57/'实盘净值数据(iFinD公式)'!$B$5:$X$5)*(1-实盘持仓配置!$Z$5)^(('实盘净值数据(iFinD公式)'!$A57-'实盘净值数据(iFinD公式)'!$A$5)/365))</f>
        <v/>
      </c>
      <c r="F57" s="52">
        <f>IF(OR(E56="",'实盘净值数据(iFinD公式)'!$A57="",'实盘净值数据(iFinD公式)'!$B57=""),"",(SUMPRODUCT(实盘持仓配置!$B$5:$X$5,'实盘净值数据(iFinD公式)'!$B56:$X56/'实盘净值数据(iFinD公式)'!$B$5:$X$5,'实盘净值数据(iFinD公式)'!$B57:$X57/'实盘净值数据(iFinD公式)'!$B56:$X56)/SUMPRODUCT(实盘持仓配置!$B$5:$X$5,'实盘净值数据(iFinD公式)'!$B56:$X56/'实盘净值数据(iFinD公式)'!$B$5:$X$5))*(1-实盘持仓配置!$Z$5)^(('实盘净值数据(iFinD公式)'!$A57-'实盘净值数据(iFinD公式)'!$A56)/365)-1)</f>
        <v/>
      </c>
      <c r="G57" s="52">
        <f>IF(E57="","",E57/MAX(E$5:E57)-1)</f>
        <v/>
      </c>
      <c r="H57" s="180">
        <f>IF(OR((ROW()-1)&lt;7,'实盘净值数据(iFinD公式)'!$A57="",'实盘净值数据(iFinD公式)'!$B57=""),"",SUMPRODUCT(实盘持仓配置!$B$6:$X$6,'实盘净值数据(iFinD公式)'!$B57:$X57/'实盘净值数据(iFinD公式)'!$B$7:$X$7)*(1-实盘持仓配置!$Z$6)^(('实盘净值数据(iFinD公式)'!$A57-'实盘净值数据(iFinD公式)'!$A$7)/365))</f>
        <v/>
      </c>
      <c r="I57" s="52">
        <f>IF(OR(H56="",'实盘净值数据(iFinD公式)'!$A57="",'实盘净值数据(iFinD公式)'!$B57=""),"",(SUMPRODUCT(实盘持仓配置!$B$6:$X$6,'实盘净值数据(iFinD公式)'!$B56:$X56/'实盘净值数据(iFinD公式)'!$B$7:$X$7,'实盘净值数据(iFinD公式)'!$B57:$X57/'实盘净值数据(iFinD公式)'!$B56:$X56)/SUMPRODUCT(实盘持仓配置!$B$6:$X$6,'实盘净值数据(iFinD公式)'!$B56:$X56/'实盘净值数据(iFinD公式)'!$B$7:$X$7))*(1-实盘持仓配置!$Z$6)^(('实盘净值数据(iFinD公式)'!$A57-'实盘净值数据(iFinD公式)'!$A56)/365)-1)</f>
        <v/>
      </c>
      <c r="J57" s="52">
        <f>IF(H57="","",H57/MAX(H$5:H57)-1)</f>
        <v/>
      </c>
      <c r="K57" s="180">
        <f>IF(OR((ROW()-1)&lt;8,'实盘净值数据(iFinD公式)'!$A57="",'实盘净值数据(iFinD公式)'!$B57=""),"",SUMPRODUCT(实盘持仓配置!$B$7:$X$7,'实盘净值数据(iFinD公式)'!$B57:$X57/'实盘净值数据(iFinD公式)'!$B$8:$X$8)*(1-实盘持仓配置!$Z$7)^(('实盘净值数据(iFinD公式)'!$A57-'实盘净值数据(iFinD公式)'!$A$8)/365))</f>
        <v/>
      </c>
      <c r="L57" s="52">
        <f>IF(OR(K56="",'实盘净值数据(iFinD公式)'!$A57="",'实盘净值数据(iFinD公式)'!$B57=""),"",(SUMPRODUCT(实盘持仓配置!$B$7:$X$7,'实盘净值数据(iFinD公式)'!$B56:$X56/'实盘净值数据(iFinD公式)'!$B$8:$X$8,'实盘净值数据(iFinD公式)'!$B57:$X57/'实盘净值数据(iFinD公式)'!$B56:$X56)/SUMPRODUCT(实盘持仓配置!$B$7:$X$7,'实盘净值数据(iFinD公式)'!$B56:$X56/'实盘净值数据(iFinD公式)'!$B$8:$X$8))*(1-实盘持仓配置!$Z$7)^(('实盘净值数据(iFinD公式)'!$A57-'实盘净值数据(iFinD公式)'!$A56)/365)-1)</f>
        <v/>
      </c>
      <c r="M57" s="52">
        <f>IF(K57="","",K57/MAX(K$5:K57)-1)</f>
        <v/>
      </c>
      <c r="N57" s="180">
        <f>IF(OR((ROW()-1)&lt;5,'实盘净值数据(iFinD公式)'!$A57="",'实盘净值数据(iFinD公式)'!$B57=""),"",SUMPRODUCT(实盘持仓配置!$B$8:$X$8,'实盘净值数据(iFinD公式)'!$B57:$X57/'实盘净值数据(iFinD公式)'!$B$5:$X$5)*(1-实盘持仓配置!$Z$8)^(('实盘净值数据(iFinD公式)'!$A57-'实盘净值数据(iFinD公式)'!$A$5)/365))</f>
        <v/>
      </c>
      <c r="O57" s="52">
        <f>IF(OR(N56="",'实盘净值数据(iFinD公式)'!$A57="",'实盘净值数据(iFinD公式)'!$B57=""),"",(SUMPRODUCT(实盘持仓配置!$B$8:$X$8,'实盘净值数据(iFinD公式)'!$B56:$X56/'实盘净值数据(iFinD公式)'!$B$5:$X$5,'实盘净值数据(iFinD公式)'!$B57:$X57/'实盘净值数据(iFinD公式)'!$B56:$X56)/SUMPRODUCT(实盘持仓配置!$B$8:$X$8,'实盘净值数据(iFinD公式)'!$B56:$X56/'实盘净值数据(iFinD公式)'!$B$5:$X$5))*(1-实盘持仓配置!$Z$8)^(('实盘净值数据(iFinD公式)'!$A57-'实盘净值数据(iFinD公式)'!$A56)/365)-1)</f>
        <v/>
      </c>
      <c r="P57" s="52">
        <f>IF(N57="","",N57/MAX(N$5:N57)-1)</f>
        <v/>
      </c>
      <c r="Q57" s="180">
        <f>IF(OR((ROW()-1)&lt;8,'实盘净值数据(iFinD公式)'!$A57="",'实盘净值数据(iFinD公式)'!$B57=""),"",SUMPRODUCT(实盘持仓配置!$B$9:$X$9,'实盘净值数据(iFinD公式)'!$B57:$X57/'实盘净值数据(iFinD公式)'!$B$8:$X$8)*(1-实盘持仓配置!$Z$9)^(('实盘净值数据(iFinD公式)'!$A57-'实盘净值数据(iFinD公式)'!$A$8)/365))</f>
        <v/>
      </c>
      <c r="R57" s="52">
        <f>IF(OR(Q56="",'实盘净值数据(iFinD公式)'!$A57="",'实盘净值数据(iFinD公式)'!$B57=""),"",(SUMPRODUCT(实盘持仓配置!$B$9:$X$9,'实盘净值数据(iFinD公式)'!$B56:$X56/'实盘净值数据(iFinD公式)'!$B$8:$X$8,'实盘净值数据(iFinD公式)'!$B57:$X57/'实盘净值数据(iFinD公式)'!$B56:$X56)/SUMPRODUCT(实盘持仓配置!$B$9:$X$9,'实盘净值数据(iFinD公式)'!$B56:$X56/'实盘净值数据(iFinD公式)'!$B$8:$X$8))*(1-实盘持仓配置!$Z$9)^(('实盘净值数据(iFinD公式)'!$A57-'实盘净值数据(iFinD公式)'!$A56)/365)-1)</f>
        <v/>
      </c>
      <c r="S57" s="52">
        <f>IF(Q57="","",Q57/MAX(Q$5:Q57)-1)</f>
        <v/>
      </c>
    </row>
    <row r="58">
      <c r="A58" s="181">
        <f>IF('实盘净值数据(iFinD公式)'!A58="","",'实盘净值数据(iFinD公式)'!A58)</f>
        <v/>
      </c>
      <c r="B58" s="180">
        <f>IF(OR((ROW()-1)&lt;6,'实盘净值数据(iFinD公式)'!$A58="",'实盘净值数据(iFinD公式)'!$B58=""),"",SUMPRODUCT(实盘持仓配置!$B$4:$X$4,'实盘净值数据(iFinD公式)'!$B58:$X58/'实盘净值数据(iFinD公式)'!$B$6:$X$6)*(1-实盘持仓配置!$Z$4)^(('实盘净值数据(iFinD公式)'!$A58-'实盘净值数据(iFinD公式)'!$A$6)/365))</f>
        <v/>
      </c>
      <c r="C58" s="52">
        <f>IF(OR(B57="",'实盘净值数据(iFinD公式)'!$A58="",'实盘净值数据(iFinD公式)'!$B58=""),"",(SUMPRODUCT(实盘持仓配置!$B$4:$X$4,'实盘净值数据(iFinD公式)'!$B57:$X57/'实盘净值数据(iFinD公式)'!$B$6:$X$6,'实盘净值数据(iFinD公式)'!$B58:$X58/'实盘净值数据(iFinD公式)'!$B57:$X57)/SUMPRODUCT(实盘持仓配置!$B$4:$X$4,'实盘净值数据(iFinD公式)'!$B57:$X57/'实盘净值数据(iFinD公式)'!$B$6:$X$6))*(1-实盘持仓配置!$Z$4)^(('实盘净值数据(iFinD公式)'!$A58-'实盘净值数据(iFinD公式)'!$A57)/365)-1)</f>
        <v/>
      </c>
      <c r="D58" s="52">
        <f>IF(B58="","",B58/MAX(B$5:B58)-1)</f>
        <v/>
      </c>
      <c r="E58" s="180">
        <f>IF(OR((ROW()-1)&lt;5,'实盘净值数据(iFinD公式)'!$A58="",'实盘净值数据(iFinD公式)'!$B58=""),"",SUMPRODUCT(实盘持仓配置!$B$5:$X$5,'实盘净值数据(iFinD公式)'!$B58:$X58/'实盘净值数据(iFinD公式)'!$B$5:$X$5)*(1-实盘持仓配置!$Z$5)^(('实盘净值数据(iFinD公式)'!$A58-'实盘净值数据(iFinD公式)'!$A$5)/365))</f>
        <v/>
      </c>
      <c r="F58" s="52">
        <f>IF(OR(E57="",'实盘净值数据(iFinD公式)'!$A58="",'实盘净值数据(iFinD公式)'!$B58=""),"",(SUMPRODUCT(实盘持仓配置!$B$5:$X$5,'实盘净值数据(iFinD公式)'!$B57:$X57/'实盘净值数据(iFinD公式)'!$B$5:$X$5,'实盘净值数据(iFinD公式)'!$B58:$X58/'实盘净值数据(iFinD公式)'!$B57:$X57)/SUMPRODUCT(实盘持仓配置!$B$5:$X$5,'实盘净值数据(iFinD公式)'!$B57:$X57/'实盘净值数据(iFinD公式)'!$B$5:$X$5))*(1-实盘持仓配置!$Z$5)^(('实盘净值数据(iFinD公式)'!$A58-'实盘净值数据(iFinD公式)'!$A57)/365)-1)</f>
        <v/>
      </c>
      <c r="G58" s="52">
        <f>IF(E58="","",E58/MAX(E$5:E58)-1)</f>
        <v/>
      </c>
      <c r="H58" s="180">
        <f>IF(OR((ROW()-1)&lt;7,'实盘净值数据(iFinD公式)'!$A58="",'实盘净值数据(iFinD公式)'!$B58=""),"",SUMPRODUCT(实盘持仓配置!$B$6:$X$6,'实盘净值数据(iFinD公式)'!$B58:$X58/'实盘净值数据(iFinD公式)'!$B$7:$X$7)*(1-实盘持仓配置!$Z$6)^(('实盘净值数据(iFinD公式)'!$A58-'实盘净值数据(iFinD公式)'!$A$7)/365))</f>
        <v/>
      </c>
      <c r="I58" s="52">
        <f>IF(OR(H57="",'实盘净值数据(iFinD公式)'!$A58="",'实盘净值数据(iFinD公式)'!$B58=""),"",(SUMPRODUCT(实盘持仓配置!$B$6:$X$6,'实盘净值数据(iFinD公式)'!$B57:$X57/'实盘净值数据(iFinD公式)'!$B$7:$X$7,'实盘净值数据(iFinD公式)'!$B58:$X58/'实盘净值数据(iFinD公式)'!$B57:$X57)/SUMPRODUCT(实盘持仓配置!$B$6:$X$6,'实盘净值数据(iFinD公式)'!$B57:$X57/'实盘净值数据(iFinD公式)'!$B$7:$X$7))*(1-实盘持仓配置!$Z$6)^(('实盘净值数据(iFinD公式)'!$A58-'实盘净值数据(iFinD公式)'!$A57)/365)-1)</f>
        <v/>
      </c>
      <c r="J58" s="52">
        <f>IF(H58="","",H58/MAX(H$5:H58)-1)</f>
        <v/>
      </c>
      <c r="K58" s="180">
        <f>IF(OR((ROW()-1)&lt;8,'实盘净值数据(iFinD公式)'!$A58="",'实盘净值数据(iFinD公式)'!$B58=""),"",SUMPRODUCT(实盘持仓配置!$B$7:$X$7,'实盘净值数据(iFinD公式)'!$B58:$X58/'实盘净值数据(iFinD公式)'!$B$8:$X$8)*(1-实盘持仓配置!$Z$7)^(('实盘净值数据(iFinD公式)'!$A58-'实盘净值数据(iFinD公式)'!$A$8)/365))</f>
        <v/>
      </c>
      <c r="L58" s="52">
        <f>IF(OR(K57="",'实盘净值数据(iFinD公式)'!$A58="",'实盘净值数据(iFinD公式)'!$B58=""),"",(SUMPRODUCT(实盘持仓配置!$B$7:$X$7,'实盘净值数据(iFinD公式)'!$B57:$X57/'实盘净值数据(iFinD公式)'!$B$8:$X$8,'实盘净值数据(iFinD公式)'!$B58:$X58/'实盘净值数据(iFinD公式)'!$B57:$X57)/SUMPRODUCT(实盘持仓配置!$B$7:$X$7,'实盘净值数据(iFinD公式)'!$B57:$X57/'实盘净值数据(iFinD公式)'!$B$8:$X$8))*(1-实盘持仓配置!$Z$7)^(('实盘净值数据(iFinD公式)'!$A58-'实盘净值数据(iFinD公式)'!$A57)/365)-1)</f>
        <v/>
      </c>
      <c r="M58" s="52">
        <f>IF(K58="","",K58/MAX(K$5:K58)-1)</f>
        <v/>
      </c>
      <c r="N58" s="180">
        <f>IF(OR((ROW()-1)&lt;5,'实盘净值数据(iFinD公式)'!$A58="",'实盘净值数据(iFinD公式)'!$B58=""),"",SUMPRODUCT(实盘持仓配置!$B$8:$X$8,'实盘净值数据(iFinD公式)'!$B58:$X58/'实盘净值数据(iFinD公式)'!$B$5:$X$5)*(1-实盘持仓配置!$Z$8)^(('实盘净值数据(iFinD公式)'!$A58-'实盘净值数据(iFinD公式)'!$A$5)/365))</f>
        <v/>
      </c>
      <c r="O58" s="52">
        <f>IF(OR(N57="",'实盘净值数据(iFinD公式)'!$A58="",'实盘净值数据(iFinD公式)'!$B58=""),"",(SUMPRODUCT(实盘持仓配置!$B$8:$X$8,'实盘净值数据(iFinD公式)'!$B57:$X57/'实盘净值数据(iFinD公式)'!$B$5:$X$5,'实盘净值数据(iFinD公式)'!$B58:$X58/'实盘净值数据(iFinD公式)'!$B57:$X57)/SUMPRODUCT(实盘持仓配置!$B$8:$X$8,'实盘净值数据(iFinD公式)'!$B57:$X57/'实盘净值数据(iFinD公式)'!$B$5:$X$5))*(1-实盘持仓配置!$Z$8)^(('实盘净值数据(iFinD公式)'!$A58-'实盘净值数据(iFinD公式)'!$A57)/365)-1)</f>
        <v/>
      </c>
      <c r="P58" s="52">
        <f>IF(N58="","",N58/MAX(N$5:N58)-1)</f>
        <v/>
      </c>
      <c r="Q58" s="180">
        <f>IF(OR((ROW()-1)&lt;8,'实盘净值数据(iFinD公式)'!$A58="",'实盘净值数据(iFinD公式)'!$B58=""),"",SUMPRODUCT(实盘持仓配置!$B$9:$X$9,'实盘净值数据(iFinD公式)'!$B58:$X58/'实盘净值数据(iFinD公式)'!$B$8:$X$8)*(1-实盘持仓配置!$Z$9)^(('实盘净值数据(iFinD公式)'!$A58-'实盘净值数据(iFinD公式)'!$A$8)/365))</f>
        <v/>
      </c>
      <c r="R58" s="52">
        <f>IF(OR(Q57="",'实盘净值数据(iFinD公式)'!$A58="",'实盘净值数据(iFinD公式)'!$B58=""),"",(SUMPRODUCT(实盘持仓配置!$B$9:$X$9,'实盘净值数据(iFinD公式)'!$B57:$X57/'实盘净值数据(iFinD公式)'!$B$8:$X$8,'实盘净值数据(iFinD公式)'!$B58:$X58/'实盘净值数据(iFinD公式)'!$B57:$X57)/SUMPRODUCT(实盘持仓配置!$B$9:$X$9,'实盘净值数据(iFinD公式)'!$B57:$X57/'实盘净值数据(iFinD公式)'!$B$8:$X$8))*(1-实盘持仓配置!$Z$9)^(('实盘净值数据(iFinD公式)'!$A58-'实盘净值数据(iFinD公式)'!$A57)/365)-1)</f>
        <v/>
      </c>
      <c r="S58" s="52">
        <f>IF(Q58="","",Q58/MAX(Q$5:Q58)-1)</f>
        <v/>
      </c>
    </row>
    <row r="59">
      <c r="A59" s="181">
        <f>IF('实盘净值数据(iFinD公式)'!A59="","",'实盘净值数据(iFinD公式)'!A59)</f>
        <v/>
      </c>
      <c r="B59" s="180">
        <f>IF(OR((ROW()-1)&lt;6,'实盘净值数据(iFinD公式)'!$A59="",'实盘净值数据(iFinD公式)'!$B59=""),"",SUMPRODUCT(实盘持仓配置!$B$4:$X$4,'实盘净值数据(iFinD公式)'!$B59:$X59/'实盘净值数据(iFinD公式)'!$B$6:$X$6)*(1-实盘持仓配置!$Z$4)^(('实盘净值数据(iFinD公式)'!$A59-'实盘净值数据(iFinD公式)'!$A$6)/365))</f>
        <v/>
      </c>
      <c r="C59" s="52">
        <f>IF(OR(B58="",'实盘净值数据(iFinD公式)'!$A59="",'实盘净值数据(iFinD公式)'!$B59=""),"",(SUMPRODUCT(实盘持仓配置!$B$4:$X$4,'实盘净值数据(iFinD公式)'!$B58:$X58/'实盘净值数据(iFinD公式)'!$B$6:$X$6,'实盘净值数据(iFinD公式)'!$B59:$X59/'实盘净值数据(iFinD公式)'!$B58:$X58)/SUMPRODUCT(实盘持仓配置!$B$4:$X$4,'实盘净值数据(iFinD公式)'!$B58:$X58/'实盘净值数据(iFinD公式)'!$B$6:$X$6))*(1-实盘持仓配置!$Z$4)^(('实盘净值数据(iFinD公式)'!$A59-'实盘净值数据(iFinD公式)'!$A58)/365)-1)</f>
        <v/>
      </c>
      <c r="D59" s="52">
        <f>IF(B59="","",B59/MAX(B$5:B59)-1)</f>
        <v/>
      </c>
      <c r="E59" s="180">
        <f>IF(OR((ROW()-1)&lt;5,'实盘净值数据(iFinD公式)'!$A59="",'实盘净值数据(iFinD公式)'!$B59=""),"",SUMPRODUCT(实盘持仓配置!$B$5:$X$5,'实盘净值数据(iFinD公式)'!$B59:$X59/'实盘净值数据(iFinD公式)'!$B$5:$X$5)*(1-实盘持仓配置!$Z$5)^(('实盘净值数据(iFinD公式)'!$A59-'实盘净值数据(iFinD公式)'!$A$5)/365))</f>
        <v/>
      </c>
      <c r="F59" s="52">
        <f>IF(OR(E58="",'实盘净值数据(iFinD公式)'!$A59="",'实盘净值数据(iFinD公式)'!$B59=""),"",(SUMPRODUCT(实盘持仓配置!$B$5:$X$5,'实盘净值数据(iFinD公式)'!$B58:$X58/'实盘净值数据(iFinD公式)'!$B$5:$X$5,'实盘净值数据(iFinD公式)'!$B59:$X59/'实盘净值数据(iFinD公式)'!$B58:$X58)/SUMPRODUCT(实盘持仓配置!$B$5:$X$5,'实盘净值数据(iFinD公式)'!$B58:$X58/'实盘净值数据(iFinD公式)'!$B$5:$X$5))*(1-实盘持仓配置!$Z$5)^(('实盘净值数据(iFinD公式)'!$A59-'实盘净值数据(iFinD公式)'!$A58)/365)-1)</f>
        <v/>
      </c>
      <c r="G59" s="52">
        <f>IF(E59="","",E59/MAX(E$5:E59)-1)</f>
        <v/>
      </c>
      <c r="H59" s="180">
        <f>IF(OR((ROW()-1)&lt;7,'实盘净值数据(iFinD公式)'!$A59="",'实盘净值数据(iFinD公式)'!$B59=""),"",SUMPRODUCT(实盘持仓配置!$B$6:$X$6,'实盘净值数据(iFinD公式)'!$B59:$X59/'实盘净值数据(iFinD公式)'!$B$7:$X$7)*(1-实盘持仓配置!$Z$6)^(('实盘净值数据(iFinD公式)'!$A59-'实盘净值数据(iFinD公式)'!$A$7)/365))</f>
        <v/>
      </c>
      <c r="I59" s="52">
        <f>IF(OR(H58="",'实盘净值数据(iFinD公式)'!$A59="",'实盘净值数据(iFinD公式)'!$B59=""),"",(SUMPRODUCT(实盘持仓配置!$B$6:$X$6,'实盘净值数据(iFinD公式)'!$B58:$X58/'实盘净值数据(iFinD公式)'!$B$7:$X$7,'实盘净值数据(iFinD公式)'!$B59:$X59/'实盘净值数据(iFinD公式)'!$B58:$X58)/SUMPRODUCT(实盘持仓配置!$B$6:$X$6,'实盘净值数据(iFinD公式)'!$B58:$X58/'实盘净值数据(iFinD公式)'!$B$7:$X$7))*(1-实盘持仓配置!$Z$6)^(('实盘净值数据(iFinD公式)'!$A59-'实盘净值数据(iFinD公式)'!$A58)/365)-1)</f>
        <v/>
      </c>
      <c r="J59" s="52">
        <f>IF(H59="","",H59/MAX(H$5:H59)-1)</f>
        <v/>
      </c>
      <c r="K59" s="180">
        <f>IF(OR((ROW()-1)&lt;8,'实盘净值数据(iFinD公式)'!$A59="",'实盘净值数据(iFinD公式)'!$B59=""),"",SUMPRODUCT(实盘持仓配置!$B$7:$X$7,'实盘净值数据(iFinD公式)'!$B59:$X59/'实盘净值数据(iFinD公式)'!$B$8:$X$8)*(1-实盘持仓配置!$Z$7)^(('实盘净值数据(iFinD公式)'!$A59-'实盘净值数据(iFinD公式)'!$A$8)/365))</f>
        <v/>
      </c>
      <c r="L59" s="52">
        <f>IF(OR(K58="",'实盘净值数据(iFinD公式)'!$A59="",'实盘净值数据(iFinD公式)'!$B59=""),"",(SUMPRODUCT(实盘持仓配置!$B$7:$X$7,'实盘净值数据(iFinD公式)'!$B58:$X58/'实盘净值数据(iFinD公式)'!$B$8:$X$8,'实盘净值数据(iFinD公式)'!$B59:$X59/'实盘净值数据(iFinD公式)'!$B58:$X58)/SUMPRODUCT(实盘持仓配置!$B$7:$X$7,'实盘净值数据(iFinD公式)'!$B58:$X58/'实盘净值数据(iFinD公式)'!$B$8:$X$8))*(1-实盘持仓配置!$Z$7)^(('实盘净值数据(iFinD公式)'!$A59-'实盘净值数据(iFinD公式)'!$A58)/365)-1)</f>
        <v/>
      </c>
      <c r="M59" s="52">
        <f>IF(K59="","",K59/MAX(K$5:K59)-1)</f>
        <v/>
      </c>
      <c r="N59" s="180">
        <f>IF(OR((ROW()-1)&lt;5,'实盘净值数据(iFinD公式)'!$A59="",'实盘净值数据(iFinD公式)'!$B59=""),"",SUMPRODUCT(实盘持仓配置!$B$8:$X$8,'实盘净值数据(iFinD公式)'!$B59:$X59/'实盘净值数据(iFinD公式)'!$B$5:$X$5)*(1-实盘持仓配置!$Z$8)^(('实盘净值数据(iFinD公式)'!$A59-'实盘净值数据(iFinD公式)'!$A$5)/365))</f>
        <v/>
      </c>
      <c r="O59" s="52">
        <f>IF(OR(N58="",'实盘净值数据(iFinD公式)'!$A59="",'实盘净值数据(iFinD公式)'!$B59=""),"",(SUMPRODUCT(实盘持仓配置!$B$8:$X$8,'实盘净值数据(iFinD公式)'!$B58:$X58/'实盘净值数据(iFinD公式)'!$B$5:$X$5,'实盘净值数据(iFinD公式)'!$B59:$X59/'实盘净值数据(iFinD公式)'!$B58:$X58)/SUMPRODUCT(实盘持仓配置!$B$8:$X$8,'实盘净值数据(iFinD公式)'!$B58:$X58/'实盘净值数据(iFinD公式)'!$B$5:$X$5))*(1-实盘持仓配置!$Z$8)^(('实盘净值数据(iFinD公式)'!$A59-'实盘净值数据(iFinD公式)'!$A58)/365)-1)</f>
        <v/>
      </c>
      <c r="P59" s="52">
        <f>IF(N59="","",N59/MAX(N$5:N59)-1)</f>
        <v/>
      </c>
      <c r="Q59" s="180">
        <f>IF(OR((ROW()-1)&lt;8,'实盘净值数据(iFinD公式)'!$A59="",'实盘净值数据(iFinD公式)'!$B59=""),"",SUMPRODUCT(实盘持仓配置!$B$9:$X$9,'实盘净值数据(iFinD公式)'!$B59:$X59/'实盘净值数据(iFinD公式)'!$B$8:$X$8)*(1-实盘持仓配置!$Z$9)^(('实盘净值数据(iFinD公式)'!$A59-'实盘净值数据(iFinD公式)'!$A$8)/365))</f>
        <v/>
      </c>
      <c r="R59" s="52">
        <f>IF(OR(Q58="",'实盘净值数据(iFinD公式)'!$A59="",'实盘净值数据(iFinD公式)'!$B59=""),"",(SUMPRODUCT(实盘持仓配置!$B$9:$X$9,'实盘净值数据(iFinD公式)'!$B58:$X58/'实盘净值数据(iFinD公式)'!$B$8:$X$8,'实盘净值数据(iFinD公式)'!$B59:$X59/'实盘净值数据(iFinD公式)'!$B58:$X58)/SUMPRODUCT(实盘持仓配置!$B$9:$X$9,'实盘净值数据(iFinD公式)'!$B58:$X58/'实盘净值数据(iFinD公式)'!$B$8:$X$8))*(1-实盘持仓配置!$Z$9)^(('实盘净值数据(iFinD公式)'!$A59-'实盘净值数据(iFinD公式)'!$A58)/365)-1)</f>
        <v/>
      </c>
      <c r="S59" s="52">
        <f>IF(Q59="","",Q59/MAX(Q$5:Q59)-1)</f>
        <v/>
      </c>
    </row>
    <row r="61" ht="14.5" customHeight="1" s="136">
      <c r="A61" s="144" t="inlineStr">
        <is>
          <t>各组合自其净值起始日起=1.0000；买入持有，权重随涨跌漂移；净值已按各自年化费率折每日扣费。新增日期下拉填充。</t>
        </is>
      </c>
    </row>
  </sheetData>
  <mergeCells count="1">
    <mergeCell ref="A1:J2"/>
  </mergeCell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白昕</dc:creator>
  <dcterms:created xmlns:dcterms="http://purl.org/dc/terms/" xmlns:xsi="http://www.w3.org/2001/XMLSchema-instance" xsi:type="dcterms:W3CDTF">2026-06-08T07:39:45Z</dcterms:created>
  <dcterms:modified xmlns:dcterms="http://purl.org/dc/terms/" xmlns:xsi="http://www.w3.org/2001/XMLSchema-instance" xsi:type="dcterms:W3CDTF">2026-07-08T07:22:11Z</dcterms:modified>
  <cp:lastModifiedBy>白昕</cp:lastModifiedBy>
</cp:coreProperties>
</file>