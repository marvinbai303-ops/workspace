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activeTab="8"/>
  </bookViews>
  <sheets>
    <sheet name="持仓配置" sheetId="1" r:id="rId1"/>
    <sheet name="净值数据(iFinD公式)" sheetId="2" r:id="rId2"/>
    <sheet name="组合净值（模拟）" sheetId="3" r:id="rId3"/>
    <sheet name="看板-10-90" sheetId="4" r:id="rId4"/>
    <sheet name="看板-20-80" sheetId="5" r:id="rId5"/>
    <sheet name="看板-30-70" sheetId="6" r:id="rId6"/>
    <sheet name="看板-增值" sheetId="7" r:id="rId7"/>
    <sheet name="说明" sheetId="8" r:id="rId8"/>
    <sheet name="vs招行" sheetId="9" r:id="rId9"/>
    <sheet name="vs固收+" sheetId="10" r:id="rId10"/>
    <sheet name="1090实盘净值" sheetId="15" r:id="rId11"/>
    <sheet name="实盘持仓配置" sheetId="12" r:id="rId12"/>
    <sheet name="实盘净值数据(iFinD公式)" sheetId="13" r:id="rId13"/>
    <sheet name="实盘组合净值" sheetId="14" r:id="rId14"/>
  </sheets>
  <externalReferences>
    <externalReference r:id="rId15"/>
  </externalReferences>
  <definedNames>
    <definedName name="chtB">OFFSET('组合净值（模拟）'!$B$6,0,0,COUNT('组合净值（模拟）'!$B$6:$B$2000),1)</definedName>
    <definedName name="chtDate">OFFSET('组合净值（模拟）'!$A$6,0,0,COUNT('组合净值（模拟）'!$B$6:$B$2000),1)</definedName>
    <definedName name="chtE">OFFSET('组合净值（模拟）'!$E$6,0,0,COUNT('组合净值（模拟）'!$E$6:$E$2000),1)</definedName>
    <definedName name="chtH">OFFSET('组合净值（模拟）'!$H$6,0,0,COUNT('组合净值（模拟）'!$H$6:$H$2000),1)</definedName>
    <definedName name="chtK">OFFSET('组合净值（模拟）'!$K$6,0,0,COUNT('组合净值（模拟）'!$K$6:$K$2000),1)</definedName>
    <definedName name="_xlnm.Print_Area" localSheetId="3">'看板-10-90'!$A$1:$H$36</definedName>
    <definedName name="_xlnm.Print_Area" localSheetId="4">'看板-20-80'!$A$1:$H$36</definedName>
    <definedName name="_xlnm.Print_Area" localSheetId="5">'看板-30-70'!$A$1:$H$36</definedName>
    <definedName name="_xlnm.Print_Area" localSheetId="6">'看板-增值'!$A$1:$H$36</definedName>
  </definedNames>
  <calcPr calcId="152511"/>
</workbook>
</file>

<file path=xl/calcChain.xml><?xml version="1.0" encoding="utf-8"?>
<calcChain xmlns="http://schemas.openxmlformats.org/spreadsheetml/2006/main">
  <c r="F4" i="10" l="1"/>
  <c r="F4" i="9"/>
  <c r="E1" i="15"/>
  <c r="G4" i="9"/>
  <c r="H3" i="10"/>
  <c r="F3" i="10"/>
  <c r="A2" i="15"/>
  <c r="N3" i="10" l="1"/>
  <c r="F5" i="10" s="1"/>
  <c r="H3" i="9"/>
  <c r="F3" i="9"/>
  <c r="M3" i="9" s="1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P5" i="14"/>
  <c r="G5" i="14"/>
  <c r="A5" i="14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H58" i="14" s="1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E51" i="14" s="1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H50" i="14" s="1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Q47" i="14" s="1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E43" i="14" s="1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B36" i="14" s="1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E35" i="14" s="1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H34" i="14" s="1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28" i="14" s="1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H26" i="14" s="1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H22" i="14" s="1"/>
  <c r="J22" i="14" s="1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H21" i="14" s="1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K20" i="14" s="1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N19" i="14" s="1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2" i="13"/>
  <c r="Y9" i="12"/>
  <c r="Y8" i="12"/>
  <c r="Y7" i="12"/>
  <c r="Y6" i="12"/>
  <c r="Y5" i="12"/>
  <c r="Y4" i="12"/>
  <c r="G4" i="10"/>
  <c r="H2" i="10"/>
  <c r="F2" i="10"/>
  <c r="G2" i="10"/>
  <c r="F1" i="10"/>
  <c r="G1" i="10"/>
  <c r="M2" i="9"/>
  <c r="B3" i="7"/>
  <c r="B3" i="6"/>
  <c r="B3" i="5"/>
  <c r="B3" i="4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H60" i="3" s="1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K58" i="3" s="1"/>
  <c r="M58" i="3" s="1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H56" i="3" s="1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B55" i="3" s="1"/>
  <c r="D55" i="3" s="1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E54" i="3" s="1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K53" i="3" s="1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H52" i="3" s="1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K50" i="3" s="1"/>
  <c r="M50" i="3" s="1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H48" i="3" s="1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B47" i="3" s="1"/>
  <c r="D47" i="3" s="1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E46" i="3" s="1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K45" i="3" s="1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H44" i="3" s="1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K42" i="3" s="1"/>
  <c r="M42" i="3" s="1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H40" i="3" s="1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B39" i="3" s="1"/>
  <c r="D39" i="3" s="1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E38" i="3" s="1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K37" i="3" s="1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H36" i="3" s="1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K34" i="3" s="1"/>
  <c r="M34" i="3" s="1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O7" i="1"/>
  <c r="O6" i="1"/>
  <c r="O5" i="1"/>
  <c r="O4" i="1"/>
  <c r="A4" i="13"/>
  <c r="A4" i="2"/>
  <c r="I7" i="9"/>
  <c r="H10" i="9"/>
  <c r="J6" i="9"/>
  <c r="K10" i="9"/>
  <c r="K13" i="10"/>
  <c r="J10" i="10"/>
  <c r="I13" i="10"/>
  <c r="X18" i="13"/>
  <c r="K30" i="2"/>
  <c r="W18" i="13"/>
  <c r="X17" i="13"/>
  <c r="D31" i="2"/>
  <c r="D17" i="13"/>
  <c r="J31" i="2"/>
  <c r="R17" i="13"/>
  <c r="J18" i="13"/>
  <c r="X16" i="13"/>
  <c r="U14" i="13"/>
  <c r="C12" i="13"/>
  <c r="H9" i="13"/>
  <c r="M6" i="13"/>
  <c r="U15" i="13"/>
  <c r="C13" i="13"/>
  <c r="H10" i="13"/>
  <c r="M7" i="13"/>
  <c r="U16" i="13"/>
  <c r="C14" i="13"/>
  <c r="H11" i="13"/>
  <c r="M8" i="13"/>
  <c r="R5" i="13"/>
  <c r="C15" i="13"/>
  <c r="H12" i="13"/>
  <c r="M9" i="13"/>
  <c r="R6" i="13"/>
  <c r="R15" i="13"/>
  <c r="W12" i="13"/>
  <c r="E10" i="13"/>
  <c r="J7" i="13"/>
  <c r="P15" i="13"/>
  <c r="H8" i="13"/>
  <c r="T12" i="13"/>
  <c r="G5" i="13"/>
  <c r="S9" i="13"/>
  <c r="H14" i="13"/>
  <c r="W6" i="13"/>
  <c r="L11" i="13"/>
  <c r="W14" i="13"/>
  <c r="O7" i="13"/>
  <c r="D12" i="13"/>
  <c r="X15" i="13"/>
  <c r="F12" i="13"/>
  <c r="L10" i="10"/>
  <c r="L6" i="10"/>
  <c r="E7" i="10"/>
  <c r="L13" i="10"/>
  <c r="E9" i="9"/>
  <c r="M28" i="2"/>
  <c r="N23" i="2"/>
  <c r="B19" i="2"/>
  <c r="C14" i="2"/>
  <c r="D9" i="2"/>
  <c r="B28" i="2"/>
  <c r="M13" i="2"/>
  <c r="L11" i="10"/>
  <c r="N26" i="2"/>
  <c r="B22" i="2"/>
  <c r="C17" i="2"/>
  <c r="D12" i="2"/>
  <c r="E7" i="2"/>
  <c r="B20" i="2"/>
  <c r="E5" i="2"/>
  <c r="C28" i="2"/>
  <c r="D23" i="2"/>
  <c r="E18" i="2"/>
  <c r="F13" i="2"/>
  <c r="G8" i="2"/>
  <c r="H13" i="10"/>
  <c r="F24" i="2"/>
  <c r="I9" i="2"/>
  <c r="H15" i="10"/>
  <c r="H14" i="10"/>
  <c r="D27" i="2"/>
  <c r="E22" i="2"/>
  <c r="F17" i="2"/>
  <c r="G12" i="2"/>
  <c r="H7" i="2"/>
  <c r="L8" i="10"/>
  <c r="K21" i="2"/>
  <c r="J8" i="2"/>
  <c r="F11" i="2"/>
  <c r="L8" i="2"/>
  <c r="C18" i="2"/>
  <c r="C5" i="2"/>
  <c r="B26" i="2"/>
  <c r="F6" i="2"/>
  <c r="K13" i="2"/>
  <c r="H17" i="2"/>
  <c r="N28" i="2"/>
  <c r="K10" i="2"/>
  <c r="J10" i="2"/>
  <c r="H12" i="2"/>
  <c r="M8" i="2"/>
  <c r="J7" i="9"/>
  <c r="J8" i="9"/>
  <c r="K12" i="9"/>
  <c r="K15" i="10"/>
  <c r="J14" i="10"/>
  <c r="I11" i="10"/>
  <c r="P18" i="13"/>
  <c r="C30" i="2"/>
  <c r="O18" i="13"/>
  <c r="V18" i="13"/>
  <c r="I30" i="2"/>
  <c r="H30" i="2"/>
  <c r="B31" i="2"/>
  <c r="J17" i="13"/>
  <c r="B18" i="13"/>
  <c r="P16" i="13"/>
  <c r="M14" i="13"/>
  <c r="R11" i="13"/>
  <c r="W8" i="13"/>
  <c r="E6" i="13"/>
  <c r="M15" i="13"/>
  <c r="R12" i="13"/>
  <c r="W9" i="13"/>
  <c r="H12" i="9"/>
  <c r="J9" i="9"/>
  <c r="I9" i="9"/>
  <c r="J10" i="9"/>
  <c r="G11" i="10"/>
  <c r="K8" i="10"/>
  <c r="J9" i="10"/>
  <c r="I10" i="10"/>
  <c r="H18" i="13"/>
  <c r="M31" i="2"/>
  <c r="G18" i="13"/>
  <c r="N18" i="13"/>
  <c r="P17" i="13"/>
  <c r="T18" i="13"/>
  <c r="G30" i="2"/>
  <c r="B17" i="13"/>
  <c r="Q17" i="13"/>
  <c r="W16" i="13"/>
  <c r="E14" i="13"/>
  <c r="J11" i="13"/>
  <c r="O8" i="13"/>
  <c r="T5" i="13"/>
  <c r="E15" i="13"/>
  <c r="J12" i="13"/>
  <c r="O9" i="13"/>
  <c r="T6" i="13"/>
  <c r="E16" i="13"/>
  <c r="J13" i="13"/>
  <c r="O10" i="13"/>
  <c r="T7" i="13"/>
  <c r="B5" i="13"/>
  <c r="J14" i="13"/>
  <c r="O11" i="13"/>
  <c r="T8" i="13"/>
  <c r="B6" i="13"/>
  <c r="B15" i="13"/>
  <c r="G12" i="13"/>
  <c r="L9" i="13"/>
  <c r="Q6" i="13"/>
  <c r="U13" i="13"/>
  <c r="H6" i="13"/>
  <c r="T10" i="13"/>
  <c r="I15" i="13"/>
  <c r="X7" i="13"/>
  <c r="M12" i="13"/>
  <c r="E5" i="13"/>
  <c r="Q9" i="13"/>
  <c r="E13" i="13"/>
  <c r="O5" i="13"/>
  <c r="D10" i="13"/>
  <c r="X14" i="13"/>
  <c r="K9" i="13"/>
  <c r="G9" i="10"/>
  <c r="G7" i="10"/>
  <c r="E14" i="10"/>
  <c r="G9" i="9"/>
  <c r="G12" i="10"/>
  <c r="J6" i="10"/>
  <c r="J11" i="9"/>
  <c r="I6" i="9"/>
  <c r="J12" i="9"/>
  <c r="K7" i="10"/>
  <c r="K14" i="10"/>
  <c r="J15" i="10"/>
  <c r="I14" i="10"/>
  <c r="W17" i="13"/>
  <c r="E31" i="2"/>
  <c r="V17" i="13"/>
  <c r="F18" i="13"/>
  <c r="U18" i="13"/>
  <c r="L18" i="13"/>
  <c r="Q18" i="13"/>
  <c r="I31" i="2"/>
  <c r="I17" i="13"/>
  <c r="O16" i="13"/>
  <c r="T13" i="13"/>
  <c r="B11" i="13"/>
  <c r="G8" i="13"/>
  <c r="L5" i="13"/>
  <c r="T14" i="13"/>
  <c r="B12" i="13"/>
  <c r="G9" i="13"/>
  <c r="L6" i="13"/>
  <c r="T15" i="13"/>
  <c r="B13" i="13"/>
  <c r="G10" i="13"/>
  <c r="L7" i="13"/>
  <c r="T16" i="13"/>
  <c r="B14" i="13"/>
  <c r="G11" i="13"/>
  <c r="L8" i="13"/>
  <c r="Q5" i="13"/>
  <c r="Q14" i="13"/>
  <c r="V11" i="13"/>
  <c r="D9" i="13"/>
  <c r="I6" i="13"/>
  <c r="U12" i="13"/>
  <c r="M5" i="13"/>
  <c r="B10" i="13"/>
  <c r="N14" i="13"/>
  <c r="X6" i="13"/>
  <c r="M11" i="13"/>
  <c r="B16" i="13"/>
  <c r="Q8" i="13"/>
  <c r="E12" i="13"/>
  <c r="R16" i="13"/>
  <c r="I9" i="13"/>
  <c r="P7" i="13"/>
  <c r="K10" i="13"/>
  <c r="F8" i="10"/>
  <c r="C15" i="10"/>
  <c r="F9" i="9"/>
  <c r="G13" i="10"/>
  <c r="E8" i="9"/>
  <c r="F11" i="10"/>
  <c r="E12" i="10"/>
  <c r="B27" i="2"/>
  <c r="C22" i="2"/>
  <c r="D17" i="2"/>
  <c r="E12" i="2"/>
  <c r="F7" i="2"/>
  <c r="C23" i="2"/>
  <c r="F8" i="2"/>
  <c r="E11" i="9"/>
  <c r="C25" i="2"/>
  <c r="D20" i="2"/>
  <c r="E15" i="2"/>
  <c r="F10" i="2"/>
  <c r="G5" i="2"/>
  <c r="H14" i="2"/>
  <c r="G8" i="10"/>
  <c r="E26" i="2"/>
  <c r="F21" i="2"/>
  <c r="G16" i="2"/>
  <c r="H11" i="2"/>
  <c r="I6" i="2"/>
  <c r="F7" i="10"/>
  <c r="L18" i="2"/>
  <c r="F12" i="9"/>
  <c r="F9" i="10"/>
  <c r="F6" i="10"/>
  <c r="F25" i="2"/>
  <c r="G20" i="2"/>
  <c r="H15" i="2"/>
  <c r="I10" i="2"/>
  <c r="J5" i="2"/>
  <c r="L29" i="2"/>
  <c r="L16" i="2"/>
  <c r="M27" i="2"/>
  <c r="D16" i="2"/>
  <c r="H26" i="2"/>
  <c r="D13" i="2"/>
  <c r="N22" i="2"/>
  <c r="E11" i="2"/>
  <c r="D29" i="2"/>
  <c r="M25" i="2"/>
  <c r="I12" i="2"/>
  <c r="F22" i="2"/>
  <c r="I28" i="2"/>
  <c r="F20" i="2"/>
  <c r="J23" i="2"/>
  <c r="E25" i="2"/>
  <c r="H7" i="9"/>
  <c r="I8" i="9"/>
  <c r="H9" i="9"/>
  <c r="K12" i="10"/>
  <c r="K6" i="10"/>
  <c r="J8" i="10"/>
  <c r="I9" i="10"/>
  <c r="O17" i="13"/>
  <c r="B30" i="2"/>
  <c r="N17" i="13"/>
  <c r="U17" i="13"/>
  <c r="M18" i="13"/>
  <c r="D18" i="13"/>
  <c r="L30" i="2"/>
  <c r="N30" i="2"/>
  <c r="H31" i="2"/>
  <c r="G16" i="13"/>
  <c r="L13" i="13"/>
  <c r="Q10" i="13"/>
  <c r="V7" i="13"/>
  <c r="D5" i="13"/>
  <c r="L14" i="13"/>
  <c r="Q11" i="13"/>
  <c r="V8" i="13"/>
  <c r="D6" i="13"/>
  <c r="L15" i="13"/>
  <c r="Q12" i="13"/>
  <c r="V9" i="13"/>
  <c r="D7" i="13"/>
  <c r="L16" i="13"/>
  <c r="Q13" i="13"/>
  <c r="V10" i="13"/>
  <c r="D8" i="13"/>
  <c r="I5" i="13"/>
  <c r="I14" i="13"/>
  <c r="N11" i="13"/>
  <c r="S8" i="13"/>
  <c r="X5" i="13"/>
  <c r="U11" i="13"/>
  <c r="J16" i="13"/>
  <c r="B9" i="13"/>
  <c r="N13" i="13"/>
  <c r="F6" i="13"/>
  <c r="R10" i="13"/>
  <c r="G15" i="13"/>
  <c r="Q7" i="13"/>
  <c r="E11" i="13"/>
  <c r="Q15" i="13"/>
  <c r="I8" i="13"/>
  <c r="F14" i="13"/>
  <c r="H6" i="10"/>
  <c r="G14" i="10"/>
  <c r="G8" i="9"/>
  <c r="F12" i="10"/>
  <c r="H10" i="10"/>
  <c r="F10" i="10"/>
  <c r="G26" i="2"/>
  <c r="H21" i="2"/>
  <c r="I16" i="2"/>
  <c r="J11" i="2"/>
  <c r="K6" i="2"/>
  <c r="E21" i="2"/>
  <c r="H6" i="2"/>
  <c r="G29" i="2"/>
  <c r="H24" i="2"/>
  <c r="I19" i="2"/>
  <c r="J14" i="2"/>
  <c r="K9" i="2"/>
  <c r="J28" i="2"/>
  <c r="J12" i="2"/>
  <c r="H7" i="10"/>
  <c r="J25" i="2"/>
  <c r="K20" i="2"/>
  <c r="L15" i="2"/>
  <c r="M10" i="2"/>
  <c r="N5" i="2"/>
  <c r="F8" i="9"/>
  <c r="N16" i="2"/>
  <c r="G12" i="9"/>
  <c r="J29" i="2"/>
  <c r="K24" i="2"/>
  <c r="L19" i="2"/>
  <c r="M14" i="2"/>
  <c r="N9" i="2"/>
  <c r="B5" i="2"/>
  <c r="F28" i="2"/>
  <c r="B15" i="2"/>
  <c r="J24" i="2"/>
  <c r="H9" i="2"/>
  <c r="L24" i="2"/>
  <c r="K11" i="2"/>
  <c r="K19" i="2"/>
  <c r="B8" i="2"/>
  <c r="K27" i="2"/>
  <c r="D24" i="2"/>
  <c r="C11" i="2"/>
  <c r="I20" i="2"/>
  <c r="G25" i="2"/>
  <c r="M16" i="2"/>
  <c r="D22" i="2"/>
  <c r="N11" i="2"/>
  <c r="H6" i="9"/>
  <c r="K10" i="10"/>
  <c r="I12" i="10"/>
  <c r="H17" i="13"/>
  <c r="E18" i="13"/>
  <c r="C18" i="13"/>
  <c r="N15" i="13"/>
  <c r="N7" i="13"/>
  <c r="K13" i="13"/>
  <c r="S5" i="13"/>
  <c r="I12" i="13"/>
  <c r="S6" i="13"/>
  <c r="I13" i="13"/>
  <c r="S7" i="13"/>
  <c r="X13" i="13"/>
  <c r="K8" i="13"/>
  <c r="C11" i="13"/>
  <c r="B8" i="13"/>
  <c r="F5" i="13"/>
  <c r="G14" i="13"/>
  <c r="J10" i="13"/>
  <c r="I7" i="13"/>
  <c r="F13" i="10"/>
  <c r="H11" i="10"/>
  <c r="C7" i="10"/>
  <c r="E28" i="2"/>
  <c r="E20" i="2"/>
  <c r="M12" i="2"/>
  <c r="E29" i="2"/>
  <c r="E10" i="9"/>
  <c r="F26" i="2"/>
  <c r="F18" i="2"/>
  <c r="N10" i="2"/>
  <c r="M21" i="2"/>
  <c r="N29" i="2"/>
  <c r="I22" i="2"/>
  <c r="I14" i="2"/>
  <c r="D7" i="2"/>
  <c r="D26" i="2"/>
  <c r="L12" i="10"/>
  <c r="C10" i="10"/>
  <c r="H23" i="2"/>
  <c r="C16" i="2"/>
  <c r="C8" i="2"/>
  <c r="J26" i="2"/>
  <c r="N6" i="2"/>
  <c r="J18" i="2"/>
  <c r="N14" i="2"/>
  <c r="M9" i="2"/>
  <c r="E24" i="2"/>
  <c r="B16" i="2"/>
  <c r="J15" i="2"/>
  <c r="H28" i="2"/>
  <c r="F12" i="2"/>
  <c r="K11" i="9"/>
  <c r="C31" i="2"/>
  <c r="V15" i="13"/>
  <c r="R13" i="13"/>
  <c r="E9" i="13"/>
  <c r="X8" i="13"/>
  <c r="D11" i="13"/>
  <c r="L14" i="10"/>
  <c r="H5" i="2"/>
  <c r="I11" i="2"/>
  <c r="D15" i="2"/>
  <c r="C24" i="2"/>
  <c r="F7" i="9"/>
  <c r="C13" i="2"/>
  <c r="K5" i="2"/>
  <c r="H8" i="9"/>
  <c r="K11" i="10"/>
  <c r="I15" i="10"/>
  <c r="D30" i="2"/>
  <c r="T17" i="13"/>
  <c r="F30" i="2"/>
  <c r="F15" i="13"/>
  <c r="F7" i="13"/>
  <c r="I11" i="13"/>
  <c r="K5" i="13"/>
  <c r="X11" i="13"/>
  <c r="K6" i="13"/>
  <c r="X12" i="13"/>
  <c r="K7" i="13"/>
  <c r="P13" i="13"/>
  <c r="C8" i="13"/>
  <c r="C10" i="13"/>
  <c r="G7" i="13"/>
  <c r="H16" i="13"/>
  <c r="G13" i="13"/>
  <c r="J9" i="13"/>
  <c r="N6" i="13"/>
  <c r="F15" i="10"/>
  <c r="H12" i="10"/>
  <c r="C6" i="10"/>
  <c r="F11" i="9"/>
  <c r="J27" i="2"/>
  <c r="J19" i="2"/>
  <c r="B11" i="2"/>
  <c r="L26" i="2"/>
  <c r="G6" i="9"/>
  <c r="K25" i="2"/>
  <c r="K17" i="2"/>
  <c r="C9" i="2"/>
  <c r="D18" i="2"/>
  <c r="F29" i="2"/>
  <c r="N21" i="2"/>
  <c r="N13" i="2"/>
  <c r="F5" i="2"/>
  <c r="H22" i="2"/>
  <c r="H9" i="10"/>
  <c r="E9" i="10"/>
  <c r="M22" i="2"/>
  <c r="E14" i="2"/>
  <c r="M6" i="2"/>
  <c r="M24" i="2"/>
  <c r="D5" i="2"/>
  <c r="G15" i="2"/>
  <c r="B10" i="2"/>
  <c r="M17" i="2"/>
  <c r="F19" i="2"/>
  <c r="F14" i="2"/>
  <c r="D14" i="2"/>
  <c r="H10" i="2"/>
  <c r="L21" i="2"/>
  <c r="N27" i="2"/>
  <c r="G7" i="2"/>
  <c r="G17" i="2"/>
  <c r="K9" i="9"/>
  <c r="G17" i="13"/>
  <c r="K17" i="13"/>
  <c r="N16" i="13"/>
  <c r="D15" i="13"/>
  <c r="N10" i="13"/>
  <c r="P5" i="13"/>
  <c r="R9" i="13"/>
  <c r="V14" i="13"/>
  <c r="N15" i="2"/>
  <c r="H8" i="10"/>
  <c r="J6" i="2"/>
  <c r="M26" i="2"/>
  <c r="E10" i="2"/>
  <c r="L27" i="2"/>
  <c r="E15" i="10"/>
  <c r="L14" i="2"/>
  <c r="G6" i="2"/>
  <c r="H20" i="2"/>
  <c r="K7" i="9"/>
  <c r="N31" i="2"/>
  <c r="C17" i="13"/>
  <c r="F8" i="13"/>
  <c r="F9" i="13"/>
  <c r="K16" i="13"/>
  <c r="O14" i="13"/>
  <c r="V5" i="13"/>
  <c r="F6" i="9"/>
  <c r="F23" i="2"/>
  <c r="K15" i="2"/>
  <c r="G13" i="2"/>
  <c r="B25" i="2"/>
  <c r="J9" i="2"/>
  <c r="E6" i="9"/>
  <c r="D11" i="2"/>
  <c r="D8" i="2"/>
  <c r="C21" i="2"/>
  <c r="E17" i="2"/>
  <c r="I11" i="9"/>
  <c r="F31" i="2"/>
  <c r="I18" i="13"/>
  <c r="U7" i="13"/>
  <c r="K15" i="13"/>
  <c r="M10" i="13"/>
  <c r="S10" i="13"/>
  <c r="V12" i="13"/>
  <c r="G7" i="9"/>
  <c r="D28" i="2"/>
  <c r="I25" i="2"/>
  <c r="B17" i="2"/>
  <c r="M29" i="2"/>
  <c r="N25" i="2"/>
  <c r="G6" i="10"/>
  <c r="E16" i="2"/>
  <c r="B24" i="2"/>
  <c r="I7" i="10"/>
  <c r="K18" i="13"/>
  <c r="P9" i="13"/>
  <c r="E7" i="13"/>
  <c r="R14" i="13"/>
  <c r="T9" i="13"/>
  <c r="P14" i="13"/>
  <c r="W13" i="13"/>
  <c r="M20" i="2"/>
  <c r="D10" i="2"/>
  <c r="K23" i="2"/>
  <c r="L7" i="2"/>
  <c r="G15" i="10"/>
  <c r="C10" i="2"/>
  <c r="I5" i="2"/>
  <c r="I15" i="2"/>
  <c r="I10" i="9"/>
  <c r="K9" i="10"/>
  <c r="I8" i="10"/>
  <c r="F17" i="13"/>
  <c r="L17" i="13"/>
  <c r="G31" i="2"/>
  <c r="D13" i="13"/>
  <c r="U6" i="13"/>
  <c r="X10" i="13"/>
  <c r="C5" i="13"/>
  <c r="P11" i="13"/>
  <c r="C6" i="13"/>
  <c r="P12" i="13"/>
  <c r="C7" i="13"/>
  <c r="H13" i="13"/>
  <c r="R7" i="13"/>
  <c r="C9" i="13"/>
  <c r="G6" i="13"/>
  <c r="H15" i="13"/>
  <c r="L12" i="13"/>
  <c r="J8" i="13"/>
  <c r="N5" i="13"/>
  <c r="C11" i="10"/>
  <c r="C8" i="10"/>
  <c r="L7" i="10"/>
  <c r="G10" i="9"/>
  <c r="L25" i="2"/>
  <c r="G18" i="2"/>
  <c r="G10" i="2"/>
  <c r="N24" i="2"/>
  <c r="M23" i="2"/>
  <c r="H16" i="2"/>
  <c r="H8" i="2"/>
  <c r="F16" i="2"/>
  <c r="K28" i="2"/>
  <c r="C20" i="2"/>
  <c r="K12" i="2"/>
  <c r="J20" i="2"/>
  <c r="B29" i="2"/>
  <c r="J21" i="2"/>
  <c r="J13" i="2"/>
  <c r="E6" i="2"/>
  <c r="G23" i="2"/>
  <c r="D21" i="2"/>
  <c r="K29" i="2"/>
  <c r="E8" i="2"/>
  <c r="G14" i="2"/>
  <c r="N12" i="2"/>
  <c r="G9" i="2"/>
  <c r="E9" i="2"/>
  <c r="H25" i="2"/>
  <c r="B7" i="2"/>
  <c r="B18" i="2"/>
  <c r="C29" i="2"/>
  <c r="L5" i="2"/>
  <c r="J13" i="10"/>
  <c r="K31" i="2"/>
  <c r="M30" i="2"/>
  <c r="N8" i="13"/>
  <c r="N9" i="13"/>
  <c r="S16" i="13"/>
  <c r="N12" i="13"/>
  <c r="P6" i="13"/>
  <c r="E7" i="9"/>
  <c r="C13" i="10"/>
  <c r="I8" i="2"/>
  <c r="B14" i="2"/>
  <c r="N8" i="2"/>
  <c r="C9" i="10"/>
  <c r="E11" i="10"/>
  <c r="L11" i="2"/>
  <c r="B23" i="2"/>
  <c r="F27" i="2"/>
  <c r="I7" i="2"/>
  <c r="J11" i="10"/>
  <c r="M17" i="13"/>
  <c r="E30" i="2"/>
  <c r="F16" i="13"/>
  <c r="S14" i="13"/>
  <c r="F10" i="13"/>
  <c r="H5" i="13"/>
  <c r="R8" i="13"/>
  <c r="F13" i="13"/>
  <c r="G11" i="9"/>
  <c r="N7" i="2"/>
  <c r="L28" i="2"/>
  <c r="B6" i="2"/>
  <c r="J17" i="2"/>
  <c r="G11" i="2"/>
  <c r="I18" i="2"/>
  <c r="I13" i="2"/>
  <c r="C26" i="2"/>
  <c r="E27" i="2"/>
  <c r="J7" i="10"/>
  <c r="S18" i="13"/>
  <c r="X9" i="13"/>
  <c r="K14" i="13"/>
  <c r="U9" i="13"/>
  <c r="Q16" i="13"/>
  <c r="W7" i="13"/>
  <c r="U5" i="13"/>
  <c r="C14" i="10"/>
  <c r="K14" i="2"/>
  <c r="B12" i="2"/>
  <c r="L12" i="2"/>
  <c r="G24" i="2"/>
  <c r="K7" i="2"/>
  <c r="N17" i="2"/>
  <c r="M11" i="2"/>
  <c r="M19" i="2"/>
  <c r="N20" i="2"/>
  <c r="K18" i="2"/>
  <c r="T11" i="13"/>
  <c r="H29" i="2"/>
  <c r="I27" i="2"/>
  <c r="L9" i="10"/>
  <c r="G27" i="2"/>
  <c r="K16" i="2"/>
  <c r="K26" i="2"/>
  <c r="E19" i="2"/>
  <c r="I12" i="9"/>
  <c r="J12" i="10"/>
  <c r="I6" i="10"/>
  <c r="J30" i="2"/>
  <c r="S17" i="13"/>
  <c r="R18" i="13"/>
  <c r="S12" i="13"/>
  <c r="V16" i="13"/>
  <c r="P10" i="13"/>
  <c r="M16" i="13"/>
  <c r="W10" i="13"/>
  <c r="J5" i="13"/>
  <c r="W11" i="13"/>
  <c r="J6" i="13"/>
  <c r="O12" i="13"/>
  <c r="B7" i="13"/>
  <c r="H7" i="13"/>
  <c r="I16" i="13"/>
  <c r="M13" i="13"/>
  <c r="L10" i="13"/>
  <c r="O6" i="13"/>
  <c r="P8" i="13"/>
  <c r="E10" i="10"/>
  <c r="E6" i="10"/>
  <c r="F10" i="9"/>
  <c r="D25" i="2"/>
  <c r="L17" i="2"/>
  <c r="L9" i="2"/>
  <c r="G19" i="2"/>
  <c r="G10" i="10"/>
  <c r="E23" i="2"/>
  <c r="M15" i="2"/>
  <c r="M7" i="2"/>
  <c r="L10" i="2"/>
  <c r="H27" i="2"/>
  <c r="H19" i="2"/>
  <c r="C12" i="2"/>
  <c r="L15" i="10"/>
  <c r="C15" i="2"/>
  <c r="C12" i="10"/>
  <c r="G28" i="2"/>
  <c r="B21" i="2"/>
  <c r="B13" i="2"/>
  <c r="N19" i="2"/>
  <c r="L6" i="2"/>
  <c r="J7" i="2"/>
  <c r="K12" i="13"/>
  <c r="D16" i="13"/>
  <c r="F11" i="13"/>
  <c r="O15" i="13"/>
  <c r="V6" i="13"/>
  <c r="E12" i="9"/>
  <c r="I24" i="2"/>
  <c r="I17" i="2"/>
  <c r="J22" i="2"/>
  <c r="M18" i="2"/>
  <c r="E13" i="2"/>
  <c r="D19" i="2"/>
  <c r="H18" i="2"/>
  <c r="I29" i="2"/>
  <c r="D6" i="2"/>
  <c r="H11" i="9"/>
  <c r="I10" i="13"/>
  <c r="S15" i="13"/>
  <c r="U10" i="13"/>
  <c r="S11" i="13"/>
  <c r="V13" i="13"/>
  <c r="F15" i="2"/>
  <c r="G21" i="2"/>
  <c r="C7" i="2"/>
  <c r="E8" i="10"/>
  <c r="I26" i="2"/>
  <c r="F14" i="10"/>
  <c r="I21" i="2"/>
  <c r="G22" i="2"/>
  <c r="C27" i="2"/>
  <c r="K6" i="9"/>
  <c r="E17" i="13"/>
  <c r="D14" i="13"/>
  <c r="U8" i="13"/>
  <c r="C16" i="13"/>
  <c r="O13" i="13"/>
  <c r="W15" i="13"/>
  <c r="K22" i="2"/>
  <c r="C6" i="2"/>
  <c r="L20" i="2"/>
  <c r="B9" i="2"/>
  <c r="F9" i="2"/>
  <c r="L22" i="2"/>
  <c r="I23" i="2"/>
  <c r="L13" i="2"/>
  <c r="K8" i="9"/>
  <c r="L31" i="2"/>
  <c r="S13" i="13"/>
  <c r="E8" i="13"/>
  <c r="J15" i="13"/>
  <c r="W5" i="13"/>
  <c r="K11" i="13"/>
  <c r="E13" i="10"/>
  <c r="H13" i="2"/>
  <c r="N18" i="2"/>
  <c r="L23" i="2"/>
  <c r="M5" i="2"/>
  <c r="K8" i="2"/>
  <c r="J16" i="2"/>
  <c r="C19" i="2"/>
  <c r="I22" i="14" l="1"/>
  <c r="B54" i="3"/>
  <c r="E47" i="3"/>
  <c r="K60" i="3"/>
  <c r="M60" i="3" s="1"/>
  <c r="B38" i="3"/>
  <c r="D38" i="3" s="1"/>
  <c r="H38" i="3"/>
  <c r="E45" i="3"/>
  <c r="G45" i="3" s="1"/>
  <c r="E60" i="3"/>
  <c r="G60" i="3" s="1"/>
  <c r="L21" i="14"/>
  <c r="H19" i="14"/>
  <c r="B36" i="3"/>
  <c r="E42" i="3"/>
  <c r="G42" i="3" s="1"/>
  <c r="K44" i="3"/>
  <c r="M44" i="3" s="1"/>
  <c r="H50" i="3"/>
  <c r="J50" i="3" s="1"/>
  <c r="H53" i="3"/>
  <c r="J53" i="3" s="1"/>
  <c r="B60" i="3"/>
  <c r="D60" i="3" s="1"/>
  <c r="E36" i="3"/>
  <c r="G36" i="3" s="1"/>
  <c r="K38" i="3"/>
  <c r="L38" i="3" s="1"/>
  <c r="H42" i="3"/>
  <c r="J42" i="3" s="1"/>
  <c r="H45" i="3"/>
  <c r="J45" i="3" s="1"/>
  <c r="B52" i="3"/>
  <c r="D52" i="3" s="1"/>
  <c r="H54" i="3"/>
  <c r="E58" i="3"/>
  <c r="G58" i="3" s="1"/>
  <c r="E20" i="14"/>
  <c r="G20" i="14" s="1"/>
  <c r="K36" i="3"/>
  <c r="M36" i="3" s="1"/>
  <c r="E52" i="3"/>
  <c r="K54" i="3"/>
  <c r="M54" i="3" s="1"/>
  <c r="E34" i="3"/>
  <c r="G34" i="3" s="1"/>
  <c r="E39" i="3"/>
  <c r="G39" i="3" s="1"/>
  <c r="B46" i="3"/>
  <c r="K52" i="3"/>
  <c r="M52" i="3" s="1"/>
  <c r="H58" i="3"/>
  <c r="J58" i="3" s="1"/>
  <c r="B21" i="14"/>
  <c r="O20" i="14"/>
  <c r="E37" i="3"/>
  <c r="K39" i="3"/>
  <c r="M39" i="3" s="1"/>
  <c r="B44" i="3"/>
  <c r="D44" i="3" s="1"/>
  <c r="H46" i="3"/>
  <c r="E55" i="3"/>
  <c r="F55" i="3" s="1"/>
  <c r="K47" i="3"/>
  <c r="M47" i="3" s="1"/>
  <c r="H34" i="3"/>
  <c r="J34" i="3" s="1"/>
  <c r="H37" i="3"/>
  <c r="J37" i="3" s="1"/>
  <c r="E44" i="3"/>
  <c r="G44" i="3" s="1"/>
  <c r="K46" i="3"/>
  <c r="M46" i="3" s="1"/>
  <c r="E50" i="3"/>
  <c r="G50" i="3" s="1"/>
  <c r="E53" i="3"/>
  <c r="K55" i="3"/>
  <c r="Q18" i="14"/>
  <c r="K18" i="14"/>
  <c r="H32" i="3"/>
  <c r="B31" i="3"/>
  <c r="K31" i="3"/>
  <c r="E31" i="3"/>
  <c r="E8" i="3"/>
  <c r="K8" i="3"/>
  <c r="H8" i="3"/>
  <c r="B8" i="3"/>
  <c r="H25" i="3"/>
  <c r="E25" i="3"/>
  <c r="K25" i="3"/>
  <c r="B25" i="3"/>
  <c r="H17" i="3"/>
  <c r="E17" i="3"/>
  <c r="K17" i="3"/>
  <c r="B17" i="3"/>
  <c r="H9" i="3"/>
  <c r="K9" i="3"/>
  <c r="E9" i="3"/>
  <c r="B9" i="3"/>
  <c r="E27" i="3"/>
  <c r="K27" i="3"/>
  <c r="H27" i="3"/>
  <c r="B27" i="3"/>
  <c r="E11" i="3"/>
  <c r="K11" i="3"/>
  <c r="H11" i="3"/>
  <c r="B11" i="3"/>
  <c r="K24" i="3"/>
  <c r="B24" i="3"/>
  <c r="E24" i="3"/>
  <c r="H24" i="3"/>
  <c r="E19" i="3"/>
  <c r="K19" i="3"/>
  <c r="H19" i="3"/>
  <c r="B19" i="3"/>
  <c r="K16" i="3"/>
  <c r="E16" i="3"/>
  <c r="B16" i="3"/>
  <c r="H16" i="3"/>
  <c r="E6" i="3"/>
  <c r="B6" i="3"/>
  <c r="M2" i="10" s="1"/>
  <c r="H6" i="3"/>
  <c r="K6" i="3"/>
  <c r="H14" i="3"/>
  <c r="E14" i="3"/>
  <c r="B14" i="3"/>
  <c r="K14" i="3"/>
  <c r="H22" i="3"/>
  <c r="E22" i="3"/>
  <c r="B22" i="3"/>
  <c r="K22" i="3"/>
  <c r="E30" i="3"/>
  <c r="K30" i="3"/>
  <c r="L31" i="3" s="1"/>
  <c r="B30" i="3"/>
  <c r="H30" i="3"/>
  <c r="K10" i="3"/>
  <c r="B10" i="3"/>
  <c r="H10" i="3"/>
  <c r="E10" i="3"/>
  <c r="K18" i="3"/>
  <c r="B18" i="3"/>
  <c r="H18" i="3"/>
  <c r="E18" i="3"/>
  <c r="K26" i="3"/>
  <c r="B26" i="3"/>
  <c r="H26" i="3"/>
  <c r="E26" i="3"/>
  <c r="E21" i="3"/>
  <c r="K21" i="3"/>
  <c r="B21" i="3"/>
  <c r="H21" i="3"/>
  <c r="K7" i="3"/>
  <c r="B7" i="3"/>
  <c r="H7" i="3"/>
  <c r="E7" i="3"/>
  <c r="K15" i="3"/>
  <c r="B15" i="3"/>
  <c r="H15" i="3"/>
  <c r="E15" i="3"/>
  <c r="K23" i="3"/>
  <c r="B23" i="3"/>
  <c r="H23" i="3"/>
  <c r="E23" i="3"/>
  <c r="E13" i="3"/>
  <c r="B13" i="3"/>
  <c r="K13" i="3"/>
  <c r="H13" i="3"/>
  <c r="K29" i="3"/>
  <c r="B29" i="3"/>
  <c r="H29" i="3"/>
  <c r="E29" i="3"/>
  <c r="B12" i="3"/>
  <c r="H12" i="3"/>
  <c r="E12" i="3"/>
  <c r="K12" i="3"/>
  <c r="B20" i="3"/>
  <c r="H20" i="3"/>
  <c r="E20" i="3"/>
  <c r="K20" i="3"/>
  <c r="E28" i="3"/>
  <c r="H28" i="3"/>
  <c r="K28" i="3"/>
  <c r="B28" i="3"/>
  <c r="N16" i="14"/>
  <c r="E16" i="14"/>
  <c r="K16" i="14"/>
  <c r="B16" i="14"/>
  <c r="H16" i="14"/>
  <c r="Q16" i="14"/>
  <c r="N8" i="14"/>
  <c r="E8" i="14"/>
  <c r="B8" i="14"/>
  <c r="I8" i="14"/>
  <c r="H8" i="14"/>
  <c r="L9" i="14"/>
  <c r="K9" i="14"/>
  <c r="R9" i="14"/>
  <c r="B9" i="14"/>
  <c r="Q9" i="14"/>
  <c r="H9" i="14"/>
  <c r="E9" i="14"/>
  <c r="N9" i="14"/>
  <c r="Q10" i="14"/>
  <c r="H10" i="14"/>
  <c r="N10" i="14"/>
  <c r="E10" i="14"/>
  <c r="B10" i="14"/>
  <c r="K10" i="14"/>
  <c r="N7" i="14"/>
  <c r="E7" i="14"/>
  <c r="C7" i="14"/>
  <c r="K7" i="14"/>
  <c r="B7" i="14"/>
  <c r="Q7" i="14"/>
  <c r="B15" i="14"/>
  <c r="Q15" i="14"/>
  <c r="H15" i="14"/>
  <c r="N15" i="14"/>
  <c r="E15" i="14"/>
  <c r="K15" i="14"/>
  <c r="Q6" i="14"/>
  <c r="H6" i="14"/>
  <c r="O6" i="14"/>
  <c r="N6" i="14"/>
  <c r="F6" i="14"/>
  <c r="E6" i="14"/>
  <c r="K6" i="14"/>
  <c r="E14" i="14"/>
  <c r="K14" i="14"/>
  <c r="B14" i="14"/>
  <c r="Q14" i="14"/>
  <c r="H14" i="14"/>
  <c r="N14" i="14"/>
  <c r="Q5" i="14"/>
  <c r="B5" i="14"/>
  <c r="K5" i="14"/>
  <c r="H5" i="14"/>
  <c r="H13" i="14"/>
  <c r="N13" i="14"/>
  <c r="E13" i="14"/>
  <c r="K13" i="14"/>
  <c r="Q13" i="14"/>
  <c r="B13" i="14"/>
  <c r="K12" i="14"/>
  <c r="B12" i="14"/>
  <c r="Q12" i="14"/>
  <c r="H12" i="14"/>
  <c r="N12" i="14"/>
  <c r="E12" i="14"/>
  <c r="N11" i="14"/>
  <c r="E11" i="14"/>
  <c r="K11" i="14"/>
  <c r="B11" i="14"/>
  <c r="Q11" i="14"/>
  <c r="H11" i="14"/>
  <c r="J56" i="3"/>
  <c r="J48" i="3"/>
  <c r="J40" i="3"/>
  <c r="H33" i="3"/>
  <c r="E33" i="3"/>
  <c r="B33" i="3"/>
  <c r="H41" i="3"/>
  <c r="E41" i="3"/>
  <c r="B41" i="3"/>
  <c r="H49" i="3"/>
  <c r="E49" i="3"/>
  <c r="B49" i="3"/>
  <c r="H57" i="3"/>
  <c r="E57" i="3"/>
  <c r="B57" i="3"/>
  <c r="J38" i="3"/>
  <c r="J46" i="3"/>
  <c r="J54" i="3"/>
  <c r="D46" i="3"/>
  <c r="G38" i="3"/>
  <c r="F38" i="3"/>
  <c r="G46" i="3"/>
  <c r="G54" i="3"/>
  <c r="F54" i="3"/>
  <c r="D54" i="3"/>
  <c r="E35" i="3"/>
  <c r="K35" i="3"/>
  <c r="B35" i="3"/>
  <c r="H35" i="3"/>
  <c r="I36" i="3" s="1"/>
  <c r="E43" i="3"/>
  <c r="B43" i="3"/>
  <c r="K43" i="3"/>
  <c r="H43" i="3"/>
  <c r="I44" i="3" s="1"/>
  <c r="E51" i="3"/>
  <c r="K51" i="3"/>
  <c r="B51" i="3"/>
  <c r="H51" i="3"/>
  <c r="I52" i="3" s="1"/>
  <c r="E59" i="3"/>
  <c r="K59" i="3"/>
  <c r="B59" i="3"/>
  <c r="H59" i="3"/>
  <c r="D36" i="3"/>
  <c r="G37" i="3"/>
  <c r="G53" i="3"/>
  <c r="E32" i="3"/>
  <c r="K32" i="3"/>
  <c r="B32" i="3"/>
  <c r="M3" i="10" s="1"/>
  <c r="E48" i="3"/>
  <c r="K48" i="3"/>
  <c r="B48" i="3"/>
  <c r="E56" i="3"/>
  <c r="K56" i="3"/>
  <c r="B56" i="3"/>
  <c r="C31" i="3"/>
  <c r="C39" i="3"/>
  <c r="C47" i="3"/>
  <c r="L2" i="9"/>
  <c r="J36" i="3"/>
  <c r="M37" i="3"/>
  <c r="F39" i="3"/>
  <c r="J44" i="3"/>
  <c r="M45" i="3"/>
  <c r="G47" i="3"/>
  <c r="F47" i="3"/>
  <c r="J52" i="3"/>
  <c r="M53" i="3"/>
  <c r="J60" i="3"/>
  <c r="E40" i="3"/>
  <c r="K40" i="3"/>
  <c r="B40" i="3"/>
  <c r="C55" i="3"/>
  <c r="K33" i="3"/>
  <c r="K41" i="3"/>
  <c r="K49" i="3"/>
  <c r="L50" i="3" s="1"/>
  <c r="K57" i="3"/>
  <c r="L3" i="9"/>
  <c r="I45" i="3"/>
  <c r="L46" i="3"/>
  <c r="L54" i="3"/>
  <c r="I37" i="3"/>
  <c r="H31" i="3"/>
  <c r="I32" i="3" s="1"/>
  <c r="B37" i="3"/>
  <c r="M38" i="3"/>
  <c r="H39" i="3"/>
  <c r="I42" i="3"/>
  <c r="B45" i="3"/>
  <c r="C46" i="3" s="1"/>
  <c r="H47" i="3"/>
  <c r="G52" i="3"/>
  <c r="B53" i="3"/>
  <c r="C54" i="3" s="1"/>
  <c r="H55" i="3"/>
  <c r="B34" i="3"/>
  <c r="B42" i="3"/>
  <c r="B50" i="3"/>
  <c r="B58" i="3"/>
  <c r="K24" i="14"/>
  <c r="B24" i="14"/>
  <c r="Q24" i="14"/>
  <c r="H24" i="14"/>
  <c r="E24" i="14"/>
  <c r="N24" i="14"/>
  <c r="K32" i="14"/>
  <c r="B32" i="14"/>
  <c r="Q32" i="14"/>
  <c r="H32" i="14"/>
  <c r="E32" i="14"/>
  <c r="N32" i="14"/>
  <c r="K40" i="14"/>
  <c r="B40" i="14"/>
  <c r="Q40" i="14"/>
  <c r="H40" i="14"/>
  <c r="E40" i="14"/>
  <c r="N40" i="14"/>
  <c r="K48" i="14"/>
  <c r="B48" i="14"/>
  <c r="Q48" i="14"/>
  <c r="H48" i="14"/>
  <c r="E48" i="14"/>
  <c r="N48" i="14"/>
  <c r="K56" i="14"/>
  <c r="B56" i="14"/>
  <c r="Q56" i="14"/>
  <c r="H56" i="14"/>
  <c r="E56" i="14"/>
  <c r="N56" i="14"/>
  <c r="I27" i="14"/>
  <c r="J26" i="14"/>
  <c r="I35" i="14"/>
  <c r="J34" i="14"/>
  <c r="I59" i="14"/>
  <c r="J58" i="14"/>
  <c r="M20" i="14"/>
  <c r="I23" i="14"/>
  <c r="K17" i="14"/>
  <c r="B17" i="14"/>
  <c r="Q17" i="14"/>
  <c r="H17" i="14"/>
  <c r="E17" i="14"/>
  <c r="Q25" i="14"/>
  <c r="H25" i="14"/>
  <c r="N25" i="14"/>
  <c r="E25" i="14"/>
  <c r="B25" i="14"/>
  <c r="K25" i="14"/>
  <c r="L19" i="14"/>
  <c r="C22" i="14"/>
  <c r="D21" i="14"/>
  <c r="R48" i="14"/>
  <c r="S47" i="14"/>
  <c r="J21" i="14"/>
  <c r="I51" i="14"/>
  <c r="J50" i="14"/>
  <c r="I20" i="14"/>
  <c r="J19" i="14"/>
  <c r="P19" i="14"/>
  <c r="C37" i="14"/>
  <c r="D36" i="14"/>
  <c r="N17" i="14"/>
  <c r="F36" i="14"/>
  <c r="G35" i="14"/>
  <c r="F44" i="14"/>
  <c r="G43" i="14"/>
  <c r="F52" i="14"/>
  <c r="G51" i="14"/>
  <c r="C29" i="14"/>
  <c r="D28" i="14"/>
  <c r="Q33" i="14"/>
  <c r="H33" i="14"/>
  <c r="N33" i="14"/>
  <c r="E33" i="14"/>
  <c r="B33" i="14"/>
  <c r="Q41" i="14"/>
  <c r="H41" i="14"/>
  <c r="N41" i="14"/>
  <c r="E41" i="14"/>
  <c r="B41" i="14"/>
  <c r="Q49" i="14"/>
  <c r="H49" i="14"/>
  <c r="N49" i="14"/>
  <c r="E49" i="14"/>
  <c r="B49" i="14"/>
  <c r="Q57" i="14"/>
  <c r="H57" i="14"/>
  <c r="N57" i="14"/>
  <c r="E57" i="14"/>
  <c r="B57" i="14"/>
  <c r="B18" i="14"/>
  <c r="Q21" i="14"/>
  <c r="K57" i="14"/>
  <c r="N23" i="14"/>
  <c r="E23" i="14"/>
  <c r="K23" i="14"/>
  <c r="B23" i="14"/>
  <c r="H23" i="14"/>
  <c r="N31" i="14"/>
  <c r="E31" i="14"/>
  <c r="K31" i="14"/>
  <c r="B31" i="14"/>
  <c r="H31" i="14"/>
  <c r="N39" i="14"/>
  <c r="E39" i="14"/>
  <c r="K39" i="14"/>
  <c r="B39" i="14"/>
  <c r="H39" i="14"/>
  <c r="N47" i="14"/>
  <c r="E47" i="14"/>
  <c r="K47" i="14"/>
  <c r="B47" i="14"/>
  <c r="H47" i="14"/>
  <c r="N55" i="14"/>
  <c r="E55" i="14"/>
  <c r="K55" i="14"/>
  <c r="B55" i="14"/>
  <c r="H55" i="14"/>
  <c r="Q19" i="14"/>
  <c r="N20" i="14"/>
  <c r="K21" i="14"/>
  <c r="Q23" i="14"/>
  <c r="K33" i="14"/>
  <c r="Q55" i="14"/>
  <c r="Q22" i="14"/>
  <c r="N22" i="14"/>
  <c r="K22" i="14"/>
  <c r="B30" i="14"/>
  <c r="Q30" i="14"/>
  <c r="H30" i="14"/>
  <c r="N30" i="14"/>
  <c r="E30" i="14"/>
  <c r="K30" i="14"/>
  <c r="B38" i="14"/>
  <c r="Q38" i="14"/>
  <c r="H38" i="14"/>
  <c r="N38" i="14"/>
  <c r="E38" i="14"/>
  <c r="K38" i="14"/>
  <c r="B46" i="14"/>
  <c r="Q46" i="14"/>
  <c r="H46" i="14"/>
  <c r="N46" i="14"/>
  <c r="E46" i="14"/>
  <c r="K46" i="14"/>
  <c r="B54" i="14"/>
  <c r="Q54" i="14"/>
  <c r="H54" i="14"/>
  <c r="N54" i="14"/>
  <c r="E54" i="14"/>
  <c r="K54" i="14"/>
  <c r="E18" i="14"/>
  <c r="B19" i="14"/>
  <c r="E29" i="14"/>
  <c r="K29" i="14"/>
  <c r="B29" i="14"/>
  <c r="Q29" i="14"/>
  <c r="H29" i="14"/>
  <c r="N29" i="14"/>
  <c r="E37" i="14"/>
  <c r="K37" i="14"/>
  <c r="B37" i="14"/>
  <c r="Q37" i="14"/>
  <c r="H37" i="14"/>
  <c r="N37" i="14"/>
  <c r="E45" i="14"/>
  <c r="K45" i="14"/>
  <c r="B45" i="14"/>
  <c r="Q45" i="14"/>
  <c r="H45" i="14"/>
  <c r="N45" i="14"/>
  <c r="E53" i="14"/>
  <c r="K53" i="14"/>
  <c r="B53" i="14"/>
  <c r="Q53" i="14"/>
  <c r="H53" i="14"/>
  <c r="N53" i="14"/>
  <c r="N18" i="14"/>
  <c r="K19" i="14"/>
  <c r="H20" i="14"/>
  <c r="E21" i="14"/>
  <c r="B22" i="14"/>
  <c r="Q31" i="14"/>
  <c r="K41" i="14"/>
  <c r="H28" i="14"/>
  <c r="N28" i="14"/>
  <c r="E28" i="14"/>
  <c r="K28" i="14"/>
  <c r="Q28" i="14"/>
  <c r="H36" i="14"/>
  <c r="N36" i="14"/>
  <c r="E36" i="14"/>
  <c r="K36" i="14"/>
  <c r="Q36" i="14"/>
  <c r="H44" i="14"/>
  <c r="N44" i="14"/>
  <c r="E44" i="14"/>
  <c r="K44" i="14"/>
  <c r="Q44" i="14"/>
  <c r="H52" i="14"/>
  <c r="N52" i="14"/>
  <c r="E52" i="14"/>
  <c r="K52" i="14"/>
  <c r="Q52" i="14"/>
  <c r="Q20" i="14"/>
  <c r="N21" i="14"/>
  <c r="B44" i="14"/>
  <c r="K27" i="14"/>
  <c r="B27" i="14"/>
  <c r="Q27" i="14"/>
  <c r="H27" i="14"/>
  <c r="N27" i="14"/>
  <c r="K35" i="14"/>
  <c r="B35" i="14"/>
  <c r="Q35" i="14"/>
  <c r="H35" i="14"/>
  <c r="N35" i="14"/>
  <c r="K43" i="14"/>
  <c r="B43" i="14"/>
  <c r="Q43" i="14"/>
  <c r="H43" i="14"/>
  <c r="N43" i="14"/>
  <c r="K51" i="14"/>
  <c r="B51" i="14"/>
  <c r="Q51" i="14"/>
  <c r="H51" i="14"/>
  <c r="N51" i="14"/>
  <c r="K59" i="14"/>
  <c r="M59" i="14" s="1"/>
  <c r="B59" i="14"/>
  <c r="D59" i="14" s="1"/>
  <c r="Q59" i="14"/>
  <c r="S59" i="14" s="1"/>
  <c r="H59" i="14"/>
  <c r="J59" i="14" s="1"/>
  <c r="N59" i="14"/>
  <c r="P59" i="14" s="1"/>
  <c r="H18" i="14"/>
  <c r="E19" i="14"/>
  <c r="B20" i="14"/>
  <c r="E27" i="14"/>
  <c r="Q39" i="14"/>
  <c r="K49" i="14"/>
  <c r="E59" i="14"/>
  <c r="G59" i="14" s="1"/>
  <c r="N26" i="14"/>
  <c r="E26" i="14"/>
  <c r="K26" i="14"/>
  <c r="B26" i="14"/>
  <c r="Q26" i="14"/>
  <c r="N34" i="14"/>
  <c r="E34" i="14"/>
  <c r="K34" i="14"/>
  <c r="B34" i="14"/>
  <c r="Q34" i="14"/>
  <c r="N42" i="14"/>
  <c r="E42" i="14"/>
  <c r="K42" i="14"/>
  <c r="B42" i="14"/>
  <c r="Q42" i="14"/>
  <c r="N50" i="14"/>
  <c r="E50" i="14"/>
  <c r="K50" i="14"/>
  <c r="B50" i="14"/>
  <c r="Q50" i="14"/>
  <c r="N58" i="14"/>
  <c r="E58" i="14"/>
  <c r="K58" i="14"/>
  <c r="B58" i="14"/>
  <c r="Q58" i="14"/>
  <c r="E22" i="14"/>
  <c r="H42" i="14"/>
  <c r="B52" i="14"/>
  <c r="F21" i="14" l="1"/>
  <c r="F31" i="3"/>
  <c r="F60" i="3"/>
  <c r="I58" i="3"/>
  <c r="C52" i="3"/>
  <c r="C38" i="3"/>
  <c r="G5" i="10"/>
  <c r="M18" i="14"/>
  <c r="I53" i="3"/>
  <c r="G55" i="3"/>
  <c r="F46" i="3"/>
  <c r="L55" i="3"/>
  <c r="L47" i="3"/>
  <c r="I46" i="3"/>
  <c r="F45" i="3"/>
  <c r="F53" i="3"/>
  <c r="L39" i="3"/>
  <c r="I34" i="3"/>
  <c r="F37" i="3"/>
  <c r="I54" i="3"/>
  <c r="M55" i="3"/>
  <c r="L53" i="3"/>
  <c r="L45" i="3"/>
  <c r="L37" i="3"/>
  <c r="J32" i="3"/>
  <c r="G31" i="3"/>
  <c r="I38" i="3"/>
  <c r="M31" i="3"/>
  <c r="D31" i="3"/>
  <c r="R19" i="14"/>
  <c r="S18" i="14"/>
  <c r="M58" i="14"/>
  <c r="L59" i="14"/>
  <c r="O22" i="14"/>
  <c r="P21" i="14"/>
  <c r="I30" i="14"/>
  <c r="J29" i="14"/>
  <c r="G47" i="14"/>
  <c r="F48" i="14"/>
  <c r="I18" i="14"/>
  <c r="J17" i="14"/>
  <c r="J49" i="3"/>
  <c r="I49" i="3"/>
  <c r="I50" i="3"/>
  <c r="L50" i="14"/>
  <c r="M49" i="14"/>
  <c r="I37" i="14"/>
  <c r="J36" i="14"/>
  <c r="F55" i="14"/>
  <c r="G54" i="14"/>
  <c r="I56" i="14"/>
  <c r="J55" i="14"/>
  <c r="D56" i="14"/>
  <c r="C57" i="14"/>
  <c r="G39" i="14"/>
  <c r="F40" i="14"/>
  <c r="C24" i="14"/>
  <c r="D23" i="14"/>
  <c r="F58" i="14"/>
  <c r="G57" i="14"/>
  <c r="R50" i="14"/>
  <c r="S49" i="14"/>
  <c r="P33" i="14"/>
  <c r="O34" i="14"/>
  <c r="I26" i="14"/>
  <c r="J25" i="14"/>
  <c r="F57" i="14"/>
  <c r="G56" i="14"/>
  <c r="S48" i="14"/>
  <c r="R49" i="14"/>
  <c r="L41" i="14"/>
  <c r="M40" i="14"/>
  <c r="F25" i="14"/>
  <c r="G24" i="14"/>
  <c r="O44" i="14"/>
  <c r="P43" i="14"/>
  <c r="D53" i="14"/>
  <c r="C54" i="14"/>
  <c r="C39" i="14"/>
  <c r="D38" i="14"/>
  <c r="R58" i="14"/>
  <c r="S57" i="14"/>
  <c r="R35" i="14"/>
  <c r="S34" i="14"/>
  <c r="I19" i="14"/>
  <c r="J18" i="14"/>
  <c r="O36" i="14"/>
  <c r="P35" i="14"/>
  <c r="P52" i="14"/>
  <c r="O53" i="14"/>
  <c r="I29" i="14"/>
  <c r="J28" i="14"/>
  <c r="M37" i="14"/>
  <c r="L38" i="14"/>
  <c r="L47" i="14"/>
  <c r="M46" i="14"/>
  <c r="L22" i="14"/>
  <c r="M21" i="14"/>
  <c r="R43" i="14"/>
  <c r="S42" i="14"/>
  <c r="C36" i="14"/>
  <c r="D35" i="14"/>
  <c r="F46" i="14"/>
  <c r="G45" i="14"/>
  <c r="C32" i="14"/>
  <c r="D31" i="14"/>
  <c r="I33" i="14"/>
  <c r="J32" i="14"/>
  <c r="F23" i="14"/>
  <c r="G22" i="14"/>
  <c r="M50" i="14"/>
  <c r="L51" i="14"/>
  <c r="F27" i="14"/>
  <c r="G26" i="14"/>
  <c r="S51" i="14"/>
  <c r="R52" i="14"/>
  <c r="C28" i="14"/>
  <c r="D27" i="14"/>
  <c r="L37" i="14"/>
  <c r="M36" i="14"/>
  <c r="O54" i="14"/>
  <c r="P53" i="14"/>
  <c r="R46" i="14"/>
  <c r="S45" i="14"/>
  <c r="C20" i="14"/>
  <c r="D19" i="14"/>
  <c r="O39" i="14"/>
  <c r="P38" i="14"/>
  <c r="R31" i="14"/>
  <c r="S30" i="14"/>
  <c r="I48" i="14"/>
  <c r="J47" i="14"/>
  <c r="F35" i="14"/>
  <c r="G34" i="14"/>
  <c r="L45" i="14"/>
  <c r="M44" i="14"/>
  <c r="J46" i="14"/>
  <c r="I47" i="14"/>
  <c r="O24" i="14"/>
  <c r="P23" i="14"/>
  <c r="D24" i="14"/>
  <c r="C25" i="14"/>
  <c r="C42" i="3"/>
  <c r="D42" i="3"/>
  <c r="J39" i="3"/>
  <c r="I39" i="3"/>
  <c r="I40" i="3"/>
  <c r="M32" i="3"/>
  <c r="L32" i="3"/>
  <c r="F13" i="14"/>
  <c r="G12" i="14"/>
  <c r="C23" i="14"/>
  <c r="D22" i="14"/>
  <c r="O23" i="14"/>
  <c r="P22" i="14"/>
  <c r="P41" i="14"/>
  <c r="O42" i="14"/>
  <c r="O41" i="14"/>
  <c r="P40" i="14"/>
  <c r="J55" i="3"/>
  <c r="I55" i="3"/>
  <c r="I56" i="3"/>
  <c r="D40" i="3"/>
  <c r="C40" i="3"/>
  <c r="I12" i="14"/>
  <c r="J11" i="14"/>
  <c r="C51" i="3"/>
  <c r="D51" i="3"/>
  <c r="D37" i="3"/>
  <c r="C37" i="3"/>
  <c r="E3" i="7"/>
  <c r="M33" i="3"/>
  <c r="C13" i="7"/>
  <c r="L33" i="3"/>
  <c r="L34" i="3"/>
  <c r="M56" i="3"/>
  <c r="L56" i="3"/>
  <c r="G41" i="3"/>
  <c r="F41" i="3"/>
  <c r="F42" i="3"/>
  <c r="O59" i="14"/>
  <c r="P58" i="14"/>
  <c r="M42" i="14"/>
  <c r="L43" i="14"/>
  <c r="R27" i="14"/>
  <c r="S26" i="14"/>
  <c r="F28" i="14"/>
  <c r="G27" i="14"/>
  <c r="S43" i="14"/>
  <c r="R44" i="14"/>
  <c r="O28" i="14"/>
  <c r="P27" i="14"/>
  <c r="R53" i="14"/>
  <c r="S52" i="14"/>
  <c r="P44" i="14"/>
  <c r="O45" i="14"/>
  <c r="L29" i="14"/>
  <c r="M28" i="14"/>
  <c r="J20" i="14"/>
  <c r="I21" i="14"/>
  <c r="F54" i="14"/>
  <c r="G53" i="14"/>
  <c r="I38" i="14"/>
  <c r="J37" i="14"/>
  <c r="D29" i="14"/>
  <c r="C30" i="14"/>
  <c r="J54" i="14"/>
  <c r="I55" i="14"/>
  <c r="C47" i="14"/>
  <c r="D46" i="14"/>
  <c r="F31" i="14"/>
  <c r="G30" i="14"/>
  <c r="R56" i="14"/>
  <c r="S55" i="14"/>
  <c r="L56" i="14"/>
  <c r="M55" i="14"/>
  <c r="I40" i="14"/>
  <c r="J39" i="14"/>
  <c r="G31" i="14"/>
  <c r="F32" i="14"/>
  <c r="R22" i="14"/>
  <c r="S21" i="14"/>
  <c r="F50" i="14"/>
  <c r="G49" i="14"/>
  <c r="R42" i="14"/>
  <c r="S41" i="14"/>
  <c r="O18" i="14"/>
  <c r="P17" i="14"/>
  <c r="C26" i="14"/>
  <c r="D25" i="14"/>
  <c r="D17" i="14"/>
  <c r="C18" i="14"/>
  <c r="O49" i="14"/>
  <c r="P48" i="14"/>
  <c r="I41" i="14"/>
  <c r="J40" i="14"/>
  <c r="D32" i="14"/>
  <c r="C33" i="14"/>
  <c r="F51" i="3"/>
  <c r="G51" i="3"/>
  <c r="F52" i="3"/>
  <c r="F35" i="3"/>
  <c r="G35" i="3"/>
  <c r="F36" i="3"/>
  <c r="D57" i="3"/>
  <c r="C57" i="3"/>
  <c r="J41" i="3"/>
  <c r="I41" i="3"/>
  <c r="M41" i="3"/>
  <c r="L41" i="3"/>
  <c r="M40" i="3"/>
  <c r="L40" i="3"/>
  <c r="D41" i="3"/>
  <c r="C41" i="3"/>
  <c r="C34" i="3"/>
  <c r="D34" i="3"/>
  <c r="R51" i="14"/>
  <c r="S50" i="14"/>
  <c r="C27" i="14"/>
  <c r="D26" i="14"/>
  <c r="O52" i="14"/>
  <c r="P51" i="14"/>
  <c r="J27" i="14"/>
  <c r="I28" i="14"/>
  <c r="I45" i="14"/>
  <c r="J44" i="14"/>
  <c r="M19" i="14"/>
  <c r="L20" i="14"/>
  <c r="M29" i="14"/>
  <c r="L30" i="14"/>
  <c r="L39" i="14"/>
  <c r="M38" i="14"/>
  <c r="L34" i="14"/>
  <c r="M33" i="14"/>
  <c r="C40" i="14"/>
  <c r="D39" i="14"/>
  <c r="P49" i="14"/>
  <c r="O50" i="14"/>
  <c r="S40" i="14"/>
  <c r="R41" i="14"/>
  <c r="L33" i="14"/>
  <c r="M32" i="14"/>
  <c r="D48" i="3"/>
  <c r="C48" i="3"/>
  <c r="J59" i="3"/>
  <c r="I59" i="3"/>
  <c r="I60" i="3"/>
  <c r="J43" i="3"/>
  <c r="I43" i="3"/>
  <c r="D53" i="3"/>
  <c r="C53" i="3"/>
  <c r="C35" i="3"/>
  <c r="D35" i="3"/>
  <c r="C36" i="3"/>
  <c r="C53" i="14"/>
  <c r="D52" i="14"/>
  <c r="F43" i="14"/>
  <c r="G42" i="14"/>
  <c r="C21" i="14"/>
  <c r="D20" i="14"/>
  <c r="C44" i="14"/>
  <c r="D43" i="14"/>
  <c r="L53" i="14"/>
  <c r="M52" i="14"/>
  <c r="G28" i="14"/>
  <c r="F29" i="14"/>
  <c r="O46" i="14"/>
  <c r="P45" i="14"/>
  <c r="R38" i="14"/>
  <c r="S37" i="14"/>
  <c r="R55" i="14"/>
  <c r="S54" i="14"/>
  <c r="O31" i="14"/>
  <c r="P30" i="14"/>
  <c r="G55" i="14"/>
  <c r="F56" i="14"/>
  <c r="O32" i="14"/>
  <c r="P31" i="14"/>
  <c r="C19" i="14"/>
  <c r="D18" i="14"/>
  <c r="C34" i="14"/>
  <c r="D33" i="14"/>
  <c r="F26" i="14"/>
  <c r="G25" i="14"/>
  <c r="L18" i="14"/>
  <c r="M17" i="14"/>
  <c r="F49" i="14"/>
  <c r="G48" i="14"/>
  <c r="I43" i="14"/>
  <c r="J42" i="14"/>
  <c r="C51" i="14"/>
  <c r="D50" i="14"/>
  <c r="O43" i="14"/>
  <c r="P42" i="14"/>
  <c r="M26" i="14"/>
  <c r="L27" i="14"/>
  <c r="F20" i="14"/>
  <c r="G19" i="14"/>
  <c r="J51" i="14"/>
  <c r="I52" i="14"/>
  <c r="L44" i="14"/>
  <c r="M43" i="14"/>
  <c r="S27" i="14"/>
  <c r="R28" i="14"/>
  <c r="G52" i="14"/>
  <c r="F53" i="14"/>
  <c r="R37" i="14"/>
  <c r="S36" i="14"/>
  <c r="P28" i="14"/>
  <c r="O29" i="14"/>
  <c r="P18" i="14"/>
  <c r="O19" i="14"/>
  <c r="I46" i="14"/>
  <c r="J45" i="14"/>
  <c r="D37" i="14"/>
  <c r="C38" i="14"/>
  <c r="F30" i="14"/>
  <c r="G29" i="14"/>
  <c r="C55" i="14"/>
  <c r="D54" i="14"/>
  <c r="F39" i="14"/>
  <c r="G38" i="14"/>
  <c r="J30" i="14"/>
  <c r="I31" i="14"/>
  <c r="R24" i="14"/>
  <c r="S23" i="14"/>
  <c r="O56" i="14"/>
  <c r="P55" i="14"/>
  <c r="L40" i="14"/>
  <c r="M39" i="14"/>
  <c r="I24" i="14"/>
  <c r="J23" i="14"/>
  <c r="C58" i="14"/>
  <c r="D57" i="14"/>
  <c r="I50" i="14"/>
  <c r="J49" i="14"/>
  <c r="F34" i="14"/>
  <c r="G33" i="14"/>
  <c r="P25" i="14"/>
  <c r="O26" i="14"/>
  <c r="O57" i="14"/>
  <c r="P56" i="14"/>
  <c r="I49" i="14"/>
  <c r="J48" i="14"/>
  <c r="D40" i="14"/>
  <c r="C41" i="14"/>
  <c r="O25" i="14"/>
  <c r="P24" i="14"/>
  <c r="J47" i="3"/>
  <c r="I47" i="3"/>
  <c r="I48" i="3"/>
  <c r="M49" i="3"/>
  <c r="L49" i="3"/>
  <c r="L42" i="3"/>
  <c r="D59" i="3"/>
  <c r="C59" i="3"/>
  <c r="C60" i="3"/>
  <c r="M43" i="3"/>
  <c r="L43" i="3"/>
  <c r="L44" i="3"/>
  <c r="J57" i="3"/>
  <c r="I57" i="3"/>
  <c r="G33" i="3"/>
  <c r="F33" i="3"/>
  <c r="D13" i="5"/>
  <c r="D12" i="5"/>
  <c r="C15" i="5"/>
  <c r="C13" i="5"/>
  <c r="F34" i="3"/>
  <c r="G48" i="3"/>
  <c r="F48" i="3"/>
  <c r="C14" i="14"/>
  <c r="D13" i="14"/>
  <c r="D5" i="14"/>
  <c r="C6" i="14"/>
  <c r="D6" i="14"/>
  <c r="L7" i="14"/>
  <c r="M6" i="14"/>
  <c r="F12" i="14"/>
  <c r="G11" i="14"/>
  <c r="R59" i="14"/>
  <c r="S58" i="14"/>
  <c r="F51" i="14"/>
  <c r="G50" i="14"/>
  <c r="C35" i="14"/>
  <c r="D34" i="14"/>
  <c r="O27" i="14"/>
  <c r="P26" i="14"/>
  <c r="C52" i="14"/>
  <c r="D51" i="14"/>
  <c r="J35" i="14"/>
  <c r="I36" i="14"/>
  <c r="L28" i="14"/>
  <c r="M27" i="14"/>
  <c r="I53" i="14"/>
  <c r="J52" i="14"/>
  <c r="G36" i="14"/>
  <c r="F37" i="14"/>
  <c r="L42" i="14"/>
  <c r="M41" i="14"/>
  <c r="I54" i="14"/>
  <c r="J53" i="14"/>
  <c r="D45" i="14"/>
  <c r="C46" i="14"/>
  <c r="F38" i="14"/>
  <c r="G37" i="14"/>
  <c r="F19" i="14"/>
  <c r="G18" i="14"/>
  <c r="F47" i="14"/>
  <c r="G46" i="14"/>
  <c r="J38" i="14"/>
  <c r="I39" i="14"/>
  <c r="C31" i="14"/>
  <c r="D30" i="14"/>
  <c r="O21" i="14"/>
  <c r="P20" i="14"/>
  <c r="C48" i="14"/>
  <c r="D47" i="14"/>
  <c r="O40" i="14"/>
  <c r="P39" i="14"/>
  <c r="L24" i="14"/>
  <c r="M23" i="14"/>
  <c r="P57" i="14"/>
  <c r="O58" i="14"/>
  <c r="C42" i="14"/>
  <c r="D41" i="14"/>
  <c r="I34" i="14"/>
  <c r="J33" i="14"/>
  <c r="R26" i="14"/>
  <c r="S25" i="14"/>
  <c r="I57" i="14"/>
  <c r="J56" i="14"/>
  <c r="D48" i="14"/>
  <c r="C49" i="14"/>
  <c r="O33" i="14"/>
  <c r="P32" i="14"/>
  <c r="I25" i="14"/>
  <c r="J24" i="14"/>
  <c r="F59" i="3"/>
  <c r="G59" i="3"/>
  <c r="F43" i="3"/>
  <c r="G43" i="3"/>
  <c r="F44" i="3"/>
  <c r="G49" i="3"/>
  <c r="F49" i="3"/>
  <c r="F50" i="3"/>
  <c r="L14" i="14"/>
  <c r="M13" i="14"/>
  <c r="O15" i="14"/>
  <c r="P14" i="14"/>
  <c r="O13" i="14"/>
  <c r="P12" i="14"/>
  <c r="F5" i="9"/>
  <c r="P13" i="14"/>
  <c r="O14" i="14"/>
  <c r="J12" i="14"/>
  <c r="I13" i="14"/>
  <c r="C59" i="14"/>
  <c r="D58" i="14"/>
  <c r="O51" i="14"/>
  <c r="P50" i="14"/>
  <c r="M34" i="14"/>
  <c r="L35" i="14"/>
  <c r="L52" i="14"/>
  <c r="M51" i="14"/>
  <c r="S35" i="14"/>
  <c r="R36" i="14"/>
  <c r="C45" i="14"/>
  <c r="D44" i="14"/>
  <c r="R45" i="14"/>
  <c r="S44" i="14"/>
  <c r="P36" i="14"/>
  <c r="O37" i="14"/>
  <c r="R32" i="14"/>
  <c r="S31" i="14"/>
  <c r="R54" i="14"/>
  <c r="S53" i="14"/>
  <c r="M45" i="14"/>
  <c r="L46" i="14"/>
  <c r="O30" i="14"/>
  <c r="P29" i="14"/>
  <c r="L55" i="14"/>
  <c r="M54" i="14"/>
  <c r="O47" i="14"/>
  <c r="P46" i="14"/>
  <c r="R39" i="14"/>
  <c r="S38" i="14"/>
  <c r="L23" i="14"/>
  <c r="M22" i="14"/>
  <c r="R20" i="14"/>
  <c r="S19" i="14"/>
  <c r="L48" i="14"/>
  <c r="M47" i="14"/>
  <c r="I32" i="14"/>
  <c r="J31" i="14"/>
  <c r="G23" i="14"/>
  <c r="F24" i="14"/>
  <c r="I58" i="14"/>
  <c r="J57" i="14"/>
  <c r="F42" i="14"/>
  <c r="G41" i="14"/>
  <c r="R34" i="14"/>
  <c r="S33" i="14"/>
  <c r="F18" i="14"/>
  <c r="G17" i="14"/>
  <c r="S56" i="14"/>
  <c r="R57" i="14"/>
  <c r="L49" i="14"/>
  <c r="M48" i="14"/>
  <c r="F33" i="14"/>
  <c r="G32" i="14"/>
  <c r="S24" i="14"/>
  <c r="R25" i="14"/>
  <c r="D45" i="3"/>
  <c r="C45" i="3"/>
  <c r="M57" i="3"/>
  <c r="L57" i="3"/>
  <c r="G40" i="3"/>
  <c r="F40" i="3"/>
  <c r="D56" i="3"/>
  <c r="C56" i="3"/>
  <c r="G32" i="3"/>
  <c r="F32" i="3"/>
  <c r="M59" i="3"/>
  <c r="L59" i="3"/>
  <c r="L60" i="3"/>
  <c r="D43" i="3"/>
  <c r="C43" i="3"/>
  <c r="C44" i="3"/>
  <c r="C12" i="14"/>
  <c r="D11" i="14"/>
  <c r="F59" i="14"/>
  <c r="G58" i="14"/>
  <c r="C43" i="14"/>
  <c r="D42" i="14"/>
  <c r="O35" i="14"/>
  <c r="P34" i="14"/>
  <c r="R40" i="14"/>
  <c r="S39" i="14"/>
  <c r="J43" i="14"/>
  <c r="I44" i="14"/>
  <c r="L36" i="14"/>
  <c r="M35" i="14"/>
  <c r="S20" i="14"/>
  <c r="R21" i="14"/>
  <c r="G44" i="14"/>
  <c r="F45" i="14"/>
  <c r="R29" i="14"/>
  <c r="S28" i="14"/>
  <c r="G21" i="14"/>
  <c r="F22" i="14"/>
  <c r="M53" i="14"/>
  <c r="L54" i="14"/>
  <c r="O38" i="14"/>
  <c r="P37" i="14"/>
  <c r="R30" i="14"/>
  <c r="S29" i="14"/>
  <c r="O55" i="14"/>
  <c r="P54" i="14"/>
  <c r="R47" i="14"/>
  <c r="S46" i="14"/>
  <c r="L31" i="14"/>
  <c r="M30" i="14"/>
  <c r="R23" i="14"/>
  <c r="S22" i="14"/>
  <c r="C56" i="14"/>
  <c r="D55" i="14"/>
  <c r="O48" i="14"/>
  <c r="P47" i="14"/>
  <c r="L32" i="14"/>
  <c r="M31" i="14"/>
  <c r="L58" i="14"/>
  <c r="M57" i="14"/>
  <c r="C50" i="14"/>
  <c r="D49" i="14"/>
  <c r="I42" i="14"/>
  <c r="J41" i="14"/>
  <c r="L26" i="14"/>
  <c r="M25" i="14"/>
  <c r="S17" i="14"/>
  <c r="R18" i="14"/>
  <c r="L57" i="14"/>
  <c r="M56" i="14"/>
  <c r="F41" i="14"/>
  <c r="G40" i="14"/>
  <c r="S32" i="14"/>
  <c r="R33" i="14"/>
  <c r="L25" i="14"/>
  <c r="M24" i="14"/>
  <c r="C50" i="3"/>
  <c r="D50" i="3"/>
  <c r="G5" i="9"/>
  <c r="L58" i="3"/>
  <c r="G56" i="3"/>
  <c r="F56" i="3"/>
  <c r="F16" i="14"/>
  <c r="G15" i="14"/>
  <c r="O12" i="14"/>
  <c r="P11" i="14"/>
  <c r="G13" i="14"/>
  <c r="F14" i="14"/>
  <c r="R15" i="14"/>
  <c r="S14" i="14"/>
  <c r="C16" i="14"/>
  <c r="D15" i="14"/>
  <c r="C11" i="14"/>
  <c r="D10" i="14"/>
  <c r="S9" i="14"/>
  <c r="R10" i="14"/>
  <c r="F9" i="14"/>
  <c r="G8" i="14"/>
  <c r="G28" i="3"/>
  <c r="F28" i="3"/>
  <c r="D12" i="3"/>
  <c r="C12" i="3"/>
  <c r="G13" i="3"/>
  <c r="F13" i="3"/>
  <c r="C15" i="3"/>
  <c r="D15" i="3"/>
  <c r="M21" i="3"/>
  <c r="L21" i="3"/>
  <c r="I18" i="3"/>
  <c r="J18" i="3"/>
  <c r="D22" i="3"/>
  <c r="C22" i="3"/>
  <c r="C15" i="6"/>
  <c r="C12" i="6"/>
  <c r="C7" i="6"/>
  <c r="D14" i="6"/>
  <c r="B7" i="6"/>
  <c r="C14" i="6"/>
  <c r="E3" i="6"/>
  <c r="C11" i="6"/>
  <c r="J6" i="3"/>
  <c r="D19" i="3"/>
  <c r="C19" i="3"/>
  <c r="D11" i="3"/>
  <c r="C11" i="3"/>
  <c r="C9" i="3"/>
  <c r="D9" i="3"/>
  <c r="O27" i="3"/>
  <c r="C25" i="3"/>
  <c r="D25" i="3"/>
  <c r="C58" i="3"/>
  <c r="D58" i="3"/>
  <c r="J31" i="3"/>
  <c r="I31" i="3"/>
  <c r="M48" i="3"/>
  <c r="L48" i="3"/>
  <c r="J51" i="3"/>
  <c r="I51" i="3"/>
  <c r="J35" i="3"/>
  <c r="I35" i="3"/>
  <c r="G57" i="3"/>
  <c r="F57" i="3"/>
  <c r="F58" i="3"/>
  <c r="D33" i="3"/>
  <c r="C33" i="3"/>
  <c r="D12" i="4"/>
  <c r="R12" i="14"/>
  <c r="S11" i="14"/>
  <c r="S12" i="14"/>
  <c r="R13" i="14"/>
  <c r="I14" i="14"/>
  <c r="J13" i="14"/>
  <c r="D14" i="14"/>
  <c r="C15" i="14"/>
  <c r="J6" i="14"/>
  <c r="I7" i="14"/>
  <c r="R8" i="14"/>
  <c r="S7" i="14"/>
  <c r="F11" i="14"/>
  <c r="G10" i="14"/>
  <c r="D9" i="14"/>
  <c r="C10" i="14"/>
  <c r="O9" i="14"/>
  <c r="P8" i="14"/>
  <c r="L20" i="3"/>
  <c r="M20" i="3"/>
  <c r="F29" i="3"/>
  <c r="G29" i="3"/>
  <c r="M15" i="3"/>
  <c r="L15" i="3"/>
  <c r="G21" i="3"/>
  <c r="F21" i="3"/>
  <c r="D18" i="3"/>
  <c r="C18" i="3"/>
  <c r="G22" i="3"/>
  <c r="F22" i="3"/>
  <c r="C12" i="4"/>
  <c r="C7" i="4"/>
  <c r="D14" i="4"/>
  <c r="B7" i="4"/>
  <c r="D6" i="3"/>
  <c r="C14" i="4"/>
  <c r="E3" i="4"/>
  <c r="C11" i="4"/>
  <c r="D13" i="4"/>
  <c r="D15" i="4"/>
  <c r="C15" i="4"/>
  <c r="C13" i="4"/>
  <c r="I19" i="3"/>
  <c r="J19" i="3"/>
  <c r="I11" i="3"/>
  <c r="J11" i="3"/>
  <c r="F9" i="3"/>
  <c r="G9" i="3"/>
  <c r="M25" i="3"/>
  <c r="L25" i="3"/>
  <c r="C13" i="14"/>
  <c r="D12" i="14"/>
  <c r="I6" i="14"/>
  <c r="J5" i="14"/>
  <c r="J7" i="14"/>
  <c r="M14" i="14"/>
  <c r="L15" i="14"/>
  <c r="S6" i="14"/>
  <c r="R7" i="14"/>
  <c r="C8" i="14"/>
  <c r="D7" i="14"/>
  <c r="P10" i="14"/>
  <c r="O11" i="14"/>
  <c r="R17" i="14"/>
  <c r="S16" i="14"/>
  <c r="G20" i="3"/>
  <c r="F20" i="3"/>
  <c r="J29" i="3"/>
  <c r="I29" i="3"/>
  <c r="G23" i="3"/>
  <c r="F23" i="3"/>
  <c r="G7" i="3"/>
  <c r="F7" i="3"/>
  <c r="L18" i="3"/>
  <c r="M18" i="3"/>
  <c r="J22" i="3"/>
  <c r="I22" i="3"/>
  <c r="C12" i="5"/>
  <c r="C7" i="5"/>
  <c r="D14" i="5"/>
  <c r="B7" i="5"/>
  <c r="C14" i="5"/>
  <c r="E3" i="5"/>
  <c r="C11" i="5"/>
  <c r="D15" i="5"/>
  <c r="G6" i="3"/>
  <c r="M19" i="3"/>
  <c r="L19" i="3"/>
  <c r="M11" i="3"/>
  <c r="L11" i="3"/>
  <c r="L9" i="3"/>
  <c r="M9" i="3"/>
  <c r="G25" i="3"/>
  <c r="F25" i="3"/>
  <c r="D32" i="3"/>
  <c r="C32" i="3"/>
  <c r="M51" i="3"/>
  <c r="L51" i="3"/>
  <c r="L52" i="3"/>
  <c r="M35" i="3"/>
  <c r="L35" i="3"/>
  <c r="L36" i="3"/>
  <c r="D49" i="3"/>
  <c r="C49" i="3"/>
  <c r="D13" i="6"/>
  <c r="C13" i="6"/>
  <c r="J33" i="3"/>
  <c r="D12" i="6"/>
  <c r="D15" i="6"/>
  <c r="I33" i="3"/>
  <c r="M11" i="14"/>
  <c r="L12" i="14"/>
  <c r="L13" i="14"/>
  <c r="M12" i="14"/>
  <c r="M8" i="14"/>
  <c r="M5" i="14"/>
  <c r="L6" i="14"/>
  <c r="F15" i="14"/>
  <c r="G14" i="14"/>
  <c r="L16" i="14"/>
  <c r="M15" i="14"/>
  <c r="L8" i="14"/>
  <c r="M7" i="14"/>
  <c r="I11" i="14"/>
  <c r="J10" i="14"/>
  <c r="L10" i="14"/>
  <c r="M9" i="14"/>
  <c r="I17" i="14"/>
  <c r="J16" i="14"/>
  <c r="J20" i="3"/>
  <c r="I20" i="3"/>
  <c r="D29" i="3"/>
  <c r="C29" i="3"/>
  <c r="J23" i="3"/>
  <c r="I23" i="3"/>
  <c r="J7" i="3"/>
  <c r="I7" i="3"/>
  <c r="F26" i="3"/>
  <c r="G26" i="3"/>
  <c r="F10" i="3"/>
  <c r="G10" i="3"/>
  <c r="I30" i="3"/>
  <c r="J30" i="3"/>
  <c r="M14" i="3"/>
  <c r="L14" i="3"/>
  <c r="G19" i="3"/>
  <c r="F19" i="3"/>
  <c r="G11" i="3"/>
  <c r="F11" i="3"/>
  <c r="I9" i="3"/>
  <c r="J9" i="3"/>
  <c r="I25" i="3"/>
  <c r="J25" i="3"/>
  <c r="R11" i="14"/>
  <c r="S10" i="14"/>
  <c r="C17" i="14"/>
  <c r="D16" i="14"/>
  <c r="D20" i="3"/>
  <c r="C20" i="3"/>
  <c r="L29" i="3"/>
  <c r="M29" i="3"/>
  <c r="C23" i="3"/>
  <c r="D23" i="3"/>
  <c r="C7" i="3"/>
  <c r="D7" i="3"/>
  <c r="I26" i="3"/>
  <c r="J26" i="3"/>
  <c r="J10" i="3"/>
  <c r="I10" i="3"/>
  <c r="D30" i="3"/>
  <c r="C30" i="3"/>
  <c r="D14" i="3"/>
  <c r="C14" i="3"/>
  <c r="J16" i="3"/>
  <c r="I16" i="3"/>
  <c r="J24" i="3"/>
  <c r="I24" i="3"/>
  <c r="D27" i="3"/>
  <c r="C27" i="3"/>
  <c r="C17" i="3"/>
  <c r="D17" i="3"/>
  <c r="C8" i="3"/>
  <c r="D8" i="3"/>
  <c r="R14" i="14"/>
  <c r="S13" i="14"/>
  <c r="R6" i="14"/>
  <c r="S5" i="14"/>
  <c r="S8" i="14"/>
  <c r="F7" i="14"/>
  <c r="G6" i="14"/>
  <c r="O16" i="14"/>
  <c r="P15" i="14"/>
  <c r="G7" i="14"/>
  <c r="F8" i="14"/>
  <c r="O10" i="14"/>
  <c r="P9" i="14"/>
  <c r="I9" i="14"/>
  <c r="J8" i="14"/>
  <c r="L17" i="14"/>
  <c r="M16" i="14"/>
  <c r="C28" i="3"/>
  <c r="D28" i="3"/>
  <c r="L12" i="3"/>
  <c r="M12" i="3"/>
  <c r="J13" i="3"/>
  <c r="I13" i="3"/>
  <c r="M23" i="3"/>
  <c r="L23" i="3"/>
  <c r="M7" i="3"/>
  <c r="L7" i="3"/>
  <c r="D26" i="3"/>
  <c r="C26" i="3"/>
  <c r="D10" i="3"/>
  <c r="C10" i="3"/>
  <c r="M30" i="3"/>
  <c r="L30" i="3"/>
  <c r="G14" i="3"/>
  <c r="F14" i="3"/>
  <c r="D16" i="3"/>
  <c r="C16" i="3"/>
  <c r="F24" i="3"/>
  <c r="G24" i="3"/>
  <c r="I27" i="3"/>
  <c r="J27" i="3"/>
  <c r="M17" i="3"/>
  <c r="L17" i="3"/>
  <c r="J8" i="3"/>
  <c r="I8" i="3"/>
  <c r="J15" i="14"/>
  <c r="I16" i="14"/>
  <c r="P7" i="14"/>
  <c r="O8" i="14"/>
  <c r="F10" i="14"/>
  <c r="G9" i="14"/>
  <c r="G16" i="14"/>
  <c r="F17" i="14"/>
  <c r="M28" i="3"/>
  <c r="L28" i="3"/>
  <c r="G12" i="3"/>
  <c r="F12" i="3"/>
  <c r="M13" i="3"/>
  <c r="L13" i="3"/>
  <c r="G15" i="3"/>
  <c r="F15" i="3"/>
  <c r="J21" i="3"/>
  <c r="I21" i="3"/>
  <c r="L26" i="3"/>
  <c r="M26" i="3"/>
  <c r="L10" i="3"/>
  <c r="M10" i="3"/>
  <c r="G30" i="3"/>
  <c r="F30" i="3"/>
  <c r="J14" i="3"/>
  <c r="I14" i="3"/>
  <c r="F16" i="3"/>
  <c r="G16" i="3"/>
  <c r="D24" i="3"/>
  <c r="C24" i="3"/>
  <c r="L27" i="3"/>
  <c r="M27" i="3"/>
  <c r="G17" i="3"/>
  <c r="F17" i="3"/>
  <c r="M8" i="3"/>
  <c r="L8" i="3"/>
  <c r="I15" i="14"/>
  <c r="J14" i="14"/>
  <c r="O7" i="14"/>
  <c r="P6" i="14"/>
  <c r="R16" i="14"/>
  <c r="S15" i="14"/>
  <c r="L11" i="14"/>
  <c r="M10" i="14"/>
  <c r="I10" i="14"/>
  <c r="J9" i="14"/>
  <c r="C9" i="14"/>
  <c r="D8" i="14"/>
  <c r="O17" i="14"/>
  <c r="P16" i="14"/>
  <c r="I28" i="3"/>
  <c r="J28" i="3"/>
  <c r="J12" i="3"/>
  <c r="I12" i="3"/>
  <c r="D13" i="3"/>
  <c r="C13" i="3"/>
  <c r="J15" i="3"/>
  <c r="I15" i="3"/>
  <c r="D21" i="3"/>
  <c r="C21" i="3"/>
  <c r="F18" i="3"/>
  <c r="G18" i="3"/>
  <c r="M22" i="3"/>
  <c r="L22" i="3"/>
  <c r="D13" i="7"/>
  <c r="C15" i="7"/>
  <c r="D12" i="7"/>
  <c r="C12" i="7"/>
  <c r="C7" i="7"/>
  <c r="D15" i="7"/>
  <c r="C11" i="7"/>
  <c r="M6" i="3"/>
  <c r="D14" i="7"/>
  <c r="C14" i="7"/>
  <c r="B7" i="7"/>
  <c r="M16" i="3"/>
  <c r="L16" i="3"/>
  <c r="M24" i="3"/>
  <c r="L24" i="3"/>
  <c r="G27" i="3"/>
  <c r="F27" i="3"/>
  <c r="I17" i="3"/>
  <c r="J17" i="3"/>
  <c r="F8" i="3"/>
  <c r="G8" i="3"/>
  <c r="G16" i="7" l="1"/>
  <c r="G7" i="4"/>
  <c r="J5" i="9" s="1"/>
  <c r="J5" i="10" s="1"/>
  <c r="G12" i="4"/>
  <c r="G16" i="4"/>
  <c r="G12" i="7"/>
  <c r="G12" i="6"/>
  <c r="G12" i="5"/>
  <c r="D7" i="5"/>
  <c r="D7" i="7"/>
  <c r="G14" i="6"/>
  <c r="G13" i="6"/>
  <c r="E7" i="6"/>
  <c r="G7" i="5"/>
  <c r="D11" i="4"/>
  <c r="G16" i="5"/>
  <c r="G15" i="6"/>
  <c r="G14" i="7"/>
  <c r="E7" i="7"/>
  <c r="G13" i="7"/>
  <c r="F7" i="7"/>
  <c r="G11" i="7"/>
  <c r="G7" i="7"/>
  <c r="G11" i="4"/>
  <c r="F7" i="4"/>
  <c r="H5" i="9" s="1"/>
  <c r="H5" i="10" s="1"/>
  <c r="G15" i="5"/>
  <c r="D11" i="5"/>
  <c r="G7" i="6"/>
  <c r="D11" i="7"/>
  <c r="G15" i="7"/>
  <c r="G11" i="5"/>
  <c r="F7" i="5"/>
  <c r="G15" i="4"/>
  <c r="G16" i="6"/>
  <c r="G14" i="4"/>
  <c r="G13" i="4"/>
  <c r="E7" i="4"/>
  <c r="I5" i="9" s="1"/>
  <c r="I5" i="10" s="1"/>
  <c r="G14" i="5"/>
  <c r="G13" i="5"/>
  <c r="E7" i="5"/>
  <c r="D7" i="4"/>
  <c r="K5" i="9" s="1"/>
  <c r="K5" i="10" s="1"/>
  <c r="G11" i="6"/>
  <c r="F7" i="6"/>
  <c r="D11" i="6"/>
  <c r="D7" i="6"/>
</calcChain>
</file>

<file path=xl/sharedStrings.xml><?xml version="1.0" encoding="utf-8"?>
<sst xmlns="http://schemas.openxmlformats.org/spreadsheetml/2006/main" count="380" uniqueCount="185">
  <si>
    <t>持仓配置（初始权重）</t>
  </si>
  <si>
    <t>基金简称</t>
  </si>
  <si>
    <t>宏利复兴混合A</t>
  </si>
  <si>
    <t>信澳业绩驱动A</t>
  </si>
  <si>
    <t>嘉实信息产业A</t>
  </si>
  <si>
    <t>银华集成电路混合A</t>
  </si>
  <si>
    <t>中欧中证500指增A</t>
  </si>
  <si>
    <t>天弘中证1000指增A</t>
  </si>
  <si>
    <t>华泰柏瑞中证2000指增A</t>
  </si>
  <si>
    <t>博道沪深300指增A</t>
  </si>
  <si>
    <t>易方达中债新综指LOFA</t>
  </si>
  <si>
    <t>华安黄金ETF联接A</t>
  </si>
  <si>
    <t>国泰半导体材料设备ETF联接A</t>
  </si>
  <si>
    <t>国泰通信设备ETF联接A</t>
  </si>
  <si>
    <t>嘉实快线货币A</t>
  </si>
  <si>
    <t>合计</t>
  </si>
  <si>
    <t>年化费率(年)</t>
  </si>
  <si>
    <t>基金代码</t>
  </si>
  <si>
    <t>001170.OF</t>
  </si>
  <si>
    <t>016370.OF</t>
  </si>
  <si>
    <t>017488.OF</t>
  </si>
  <si>
    <t>013840.OF</t>
  </si>
  <si>
    <t>015453.OF</t>
  </si>
  <si>
    <t>014201.OF</t>
  </si>
  <si>
    <t>019923.OF</t>
  </si>
  <si>
    <t>007044.OF</t>
  </si>
  <si>
    <t>161119.OF</t>
  </si>
  <si>
    <t>000216.OF</t>
  </si>
  <si>
    <t>019632.OF</t>
  </si>
  <si>
    <t>007817.OF</t>
  </si>
  <si>
    <t>000917.OF</t>
  </si>
  <si>
    <t>10-90 权重</t>
  </si>
  <si>
    <t>20-80 权重</t>
  </si>
  <si>
    <t>30-70 权重</t>
  </si>
  <si>
    <t>增值 权重</t>
  </si>
  <si>
    <t>基准指数(参考，不计入组合)</t>
  </si>
  <si>
    <t>科创创业50等权</t>
  </si>
  <si>
    <t>932381.CSI</t>
  </si>
  <si>
    <t>中证800</t>
  </si>
  <si>
    <t>000906.SH</t>
  </si>
  <si>
    <t>沪深300</t>
  </si>
  <si>
    <t>000300.SH</t>
  </si>
  <si>
    <t>中证500</t>
  </si>
  <si>
    <t>000905.SH</t>
  </si>
  <si>
    <t>中证1000</t>
  </si>
  <si>
    <t>000852.SH</t>
  </si>
  <si>
    <t>中证2000</t>
  </si>
  <si>
    <t>932000.CSI</t>
  </si>
  <si>
    <t>权重为蓝色输入；P列为各组合年化费率(蓝色输入，已折每日扣减)。下游净值与看板自动重算。</t>
  </si>
  <si>
    <t>净值数据 · iFinD 实时拉取（复权单位净值）</t>
  </si>
  <si>
    <t>基金代码→</t>
  </si>
  <si>
    <t>组合净值 · 买入持有逐日计算</t>
  </si>
  <si>
    <t>组合 10-90</t>
  </si>
  <si>
    <t>组合 20-80</t>
  </si>
  <si>
    <t>组合 30-70</t>
  </si>
  <si>
    <t>组合 增值</t>
  </si>
  <si>
    <t>日期</t>
  </si>
  <si>
    <t>净值</t>
  </si>
  <si>
    <t>日收益</t>
  </si>
  <si>
    <t>回撤</t>
  </si>
  <si>
    <t>组合净值起始=1.0000；买入持有，权重随涨跌漂移；净值已按年化费率折每日扣费。新增日期下拉填充。</t>
  </si>
  <si>
    <t>样板间组合走势看板（10-90 账户）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</si>
  <si>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</si>
  <si>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</si>
  <si>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</si>
  <si>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</si>
  <si>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</si>
  <si>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</si>
  <si>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</si>
  <si>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</si>
  <si>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</si>
  <si>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</si>
  <si>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</si>
  <si>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</si>
  <si>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</si>
  <si>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</si>
  <si>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</si>
  <si>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</si>
  <si>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</si>
  <si>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</si>
  <si>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</si>
  <si>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</si>
  <si>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</si>
  <si>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</si>
  <si>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样板间组合走势看板（20-80 账户）</t>
  </si>
  <si>
    <t>样板间组合走势看板（30-70 账户）</t>
  </si>
  <si>
    <t>样板间组合走势看板（增值组合）</t>
  </si>
  <si>
    <t>样板间投顾组合 · 净值监控模板</t>
  </si>
  <si>
    <t>运作起始日 2026/6/1 ｜ 净值口径：复权单位净值(iFinD) ｜ 模拟：买入持有(权重漂移)</t>
  </si>
  <si>
    <t>一、模板结构</t>
  </si>
  <si>
    <t>持仓配置</t>
  </si>
  <si>
    <t>四组合(10-90/20-80/30-70/增值)成份基金、代码与初始权重，可直接编辑。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</si>
  <si>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</si>
  <si>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</si>
  <si>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</si>
  <si>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</si>
  <si>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</si>
  <si>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业绩表现KPI＋收益表现＋风险特征＋净值曲线。增值组合为8只权益基金、无债无黄金。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</si>
  <si>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</si>
  <si>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</si>
  <si>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</si>
  <si>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</si>
  <si>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</si>
  <si>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</si>
  <si>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</si>
  <si>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</si>
  <si>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各组合年化费率见『持仓配置』M列(10-90=0.8%/20-80=1.0%/30-70=1.2%/增值=1.0%)；按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</si>
  <si>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</si>
  <si>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</si>
  <si>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</si>
  <si>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四看板曲线已改用动态命名区域(chtDate/chtB/chtE/chtH/chtK，OFFSET+COUNT)，新增交易日后自动延伸到最新，无需手动改图表数据区。</t>
  </si>
  <si>
    <t>数据来源：同花顺 iFinD(复权单位净值)</t>
  </si>
  <si>
    <t>10-90</t>
  </si>
  <si>
    <t>权益中枢</t>
  </si>
  <si>
    <t>列2</t>
  </si>
  <si>
    <t>组合/基金</t>
  </si>
  <si>
    <t>嘉实财富样板间</t>
  </si>
  <si>
    <t>10-90账户</t>
  </si>
  <si>
    <t>招行长盈计划-安稳盈</t>
  </si>
  <si>
    <t>≤15%</t>
  </si>
  <si>
    <t>016768.OF</t>
  </si>
  <si>
    <t>025218.OF</t>
  </si>
  <si>
    <t>022978.OF</t>
  </si>
  <si>
    <t>017587.OF</t>
  </si>
  <si>
    <t>026682.OF</t>
  </si>
  <si>
    <t>招行长盈计划-安定盈</t>
  </si>
  <si>
    <t>≤25%</t>
  </si>
  <si>
    <t>025822.OF</t>
  </si>
  <si>
    <t>018312.OF</t>
  </si>
  <si>
    <t>2026-03-31</t>
  </si>
  <si>
    <t>转债仓位(穿透)</t>
  </si>
  <si>
    <t>固收+产品池</t>
  </si>
  <si>
    <t>001316.OF</t>
  </si>
  <si>
    <t>004010.OF</t>
  </si>
  <si>
    <t>002009.OF</t>
  </si>
  <si>
    <t>009089.OF</t>
  </si>
  <si>
    <t>675121.OF</t>
  </si>
  <si>
    <t>018595.OF</t>
  </si>
  <si>
    <t>003504.OF</t>
  </si>
  <si>
    <t>020857.OF</t>
  </si>
  <si>
    <t>持仓配置（实盘·初始权重）</t>
  </si>
  <si>
    <t>博道沪深300增强A</t>
  </si>
  <si>
    <t>博道沪深300指增C</t>
  </si>
  <si>
    <t>国泰通信设备C</t>
  </si>
  <si>
    <t>嘉实前沿科技创新</t>
  </si>
  <si>
    <t>银华集成电路混合C</t>
  </si>
  <si>
    <t>天弘中证1000指增C</t>
  </si>
  <si>
    <t>中欧中证500指增C</t>
  </si>
  <si>
    <t>嘉实信息产业C</t>
  </si>
  <si>
    <t>宏利复兴伟业C</t>
  </si>
  <si>
    <t>国泰半导体材料设备C</t>
  </si>
  <si>
    <t>华泰柏瑞中证2000指增C</t>
  </si>
  <si>
    <t>年化费率</t>
  </si>
  <si>
    <t>净值起始日</t>
  </si>
  <si>
    <t>007045.OF</t>
  </si>
  <si>
    <t>007818.OF</t>
  </si>
  <si>
    <t>009993.OF</t>
  </si>
  <si>
    <t>013841.OF</t>
  </si>
  <si>
    <t>014202.OF</t>
  </si>
  <si>
    <t>015454.OF</t>
  </si>
  <si>
    <t>017489.OF</t>
  </si>
  <si>
    <t>017612.OF</t>
  </si>
  <si>
    <t>019633.OF</t>
  </si>
  <si>
    <t>019924.OF</t>
  </si>
  <si>
    <t>产业趋势 权重</t>
  </si>
  <si>
    <t>产业趋势基石 权重</t>
  </si>
  <si>
    <t>产业趋势2号 权重</t>
  </si>
  <si>
    <t>10-90基石 权重</t>
  </si>
  <si>
    <t>权重蓝色输入；Z列为各组合年化费率、AA列为各组合净值起始日(当日净值=1)。新增交易日下拉填充，下游净值与看板自动重算。</t>
  </si>
  <si>
    <t>净值数据 * 实盘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</si>
  <si>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</si>
  <si>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</si>
  <si>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</si>
  <si>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</si>
  <si>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10-90基石</t>
  </si>
  <si>
    <t>各组合自其净值起始日起=1.0000；买入持有，权重随涨跌漂移；净值已按各自年化费率折每日扣费。新增日期下拉填充。</t>
  </si>
  <si>
    <t>FOF</t>
    <phoneticPr fontId="13" type="noConversion"/>
  </si>
  <si>
    <t>权益中枢
/股票仓位</t>
    <phoneticPr fontId="13" type="noConversion"/>
  </si>
  <si>
    <t>固收+基金</t>
    <phoneticPr fontId="13" type="noConversion"/>
  </si>
  <si>
    <t>1090账户基石投顾组合</t>
  </si>
  <si>
    <t>投资组合(扣除投顾费,申赎费)</t>
  </si>
  <si>
    <t>业绩基准</t>
  </si>
  <si>
    <t>注：1090上线日为20260618，股票仓位＝最新季报期股票市值占基金资产净值比，最新季报期为2026-03-31</t>
    <phoneticPr fontId="13" type="noConversion"/>
  </si>
  <si>
    <r>
      <t>0</t>
    </r>
    <r>
      <rPr>
        <sz val="11"/>
        <color theme="1"/>
        <rFont val="微软雅黑"/>
        <family val="2"/>
        <charset val="134"/>
      </rPr>
      <t>09089</t>
    </r>
    <r>
      <rPr>
        <sz val="11"/>
        <color theme="1"/>
        <rFont val="微软雅黑"/>
        <family val="2"/>
        <charset val="134"/>
      </rPr>
      <t>.OF</t>
    </r>
    <phoneticPr fontId="13" type="noConversion"/>
  </si>
  <si>
    <r>
      <t>0</t>
    </r>
    <r>
      <rPr>
        <sz val="11"/>
        <color theme="1"/>
        <rFont val="微软雅黑"/>
        <family val="2"/>
        <charset val="134"/>
      </rPr>
      <t>00171.</t>
    </r>
    <r>
      <rPr>
        <sz val="11"/>
        <color theme="1"/>
        <rFont val="微软雅黑"/>
        <family val="2"/>
        <charset val="134"/>
      </rPr>
      <t>OF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</si>
</sst>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yyyy\-mm\-dd"/>
    <numFmt numFmtId="178" formatCode="0.0000"/>
    <numFmt numFmtId="179" formatCode="0.00000000%"/>
  </numFmts>
  <fonts count="40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sz val="11"/>
      <color theme="1"/>
      <name val="宋体"/>
      <family val="2"/>
      <scheme val="minor"/>
    </font>
    <font>
      <b/>
      <sz val="11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00B050"/>
      <name val="微软雅黑"/>
      <family val="2"/>
      <charset val="134"/>
    </font>
    <font>
      <sz val="11"/>
      <color rgb="FF00B050"/>
      <name val="微软雅黑"/>
      <family val="2"/>
      <charset val="134"/>
    </font>
    <font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00B050"/>
      <name val="微软雅黑"/>
      <family val="2"/>
      <charset val="134"/>
    </font>
    <font>
      <sz val="11"/>
      <color rgb="FF00B050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3" fillId="0" borderId="0">
      <alignment vertical="center"/>
    </xf>
  </cellStyleXfs>
  <cellXfs count="162">
    <xf numFmtId="0" fontId="0" fillId="0" borderId="0" xfId="0"/>
    <xf numFmtId="0" fontId="1" fillId="0" borderId="0" xfId="0" applyFont="1"/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0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0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19" fillId="0" borderId="0" xfId="0" applyFont="1"/>
    <xf numFmtId="10" fontId="21" fillId="0" borderId="1" xfId="0" applyNumberFormat="1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5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0" fontId="0" fillId="0" borderId="0" xfId="1" applyNumberFormat="1" applyFont="1" applyAlignment="1"/>
    <xf numFmtId="0" fontId="24" fillId="8" borderId="7" xfId="0" applyFont="1" applyFill="1" applyBorder="1"/>
    <xf numFmtId="0" fontId="16" fillId="9" borderId="7" xfId="0" applyFont="1" applyFill="1" applyBorder="1"/>
    <xf numFmtId="10" fontId="16" fillId="9" borderId="7" xfId="1" applyNumberFormat="1" applyFont="1" applyFill="1" applyBorder="1" applyAlignment="1">
      <alignment horizontal="center" vertical="center"/>
    </xf>
    <xf numFmtId="0" fontId="16" fillId="0" borderId="7" xfId="0" applyFont="1" applyBorder="1"/>
    <xf numFmtId="10" fontId="16" fillId="0" borderId="7" xfId="1" applyNumberFormat="1" applyFont="1" applyBorder="1" applyAlignment="1">
      <alignment horizontal="center" vertical="center"/>
    </xf>
    <xf numFmtId="0" fontId="16" fillId="0" borderId="5" xfId="0" applyFont="1" applyBorder="1"/>
    <xf numFmtId="10" fontId="16" fillId="0" borderId="5" xfId="1" applyNumberFormat="1" applyFont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9" borderId="7" xfId="0" applyFont="1" applyFill="1" applyBorder="1"/>
    <xf numFmtId="0" fontId="25" fillId="9" borderId="7" xfId="0" applyFont="1" applyFill="1" applyBorder="1" applyAlignment="1">
      <alignment horizontal="center" vertical="center"/>
    </xf>
    <xf numFmtId="10" fontId="26" fillId="9" borderId="7" xfId="1" applyNumberFormat="1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9" borderId="7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10" fontId="27" fillId="9" borderId="7" xfId="1" applyNumberFormat="1" applyFont="1" applyFill="1" applyBorder="1" applyAlignment="1">
      <alignment horizontal="center" vertical="center"/>
    </xf>
    <xf numFmtId="10" fontId="29" fillId="0" borderId="7" xfId="1" applyNumberFormat="1" applyFont="1" applyBorder="1" applyAlignment="1">
      <alignment horizontal="center" vertical="center"/>
    </xf>
    <xf numFmtId="14" fontId="0" fillId="10" borderId="0" xfId="0" applyNumberFormat="1" applyFill="1"/>
    <xf numFmtId="0" fontId="4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10" fontId="6" fillId="0" borderId="4" xfId="0" applyNumberFormat="1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10" fontId="0" fillId="0" borderId="0" xfId="0" applyNumberFormat="1"/>
    <xf numFmtId="9" fontId="25" fillId="9" borderId="7" xfId="0" applyNumberFormat="1" applyFont="1" applyFill="1" applyBorder="1" applyAlignment="1">
      <alignment horizontal="center" vertical="center"/>
    </xf>
    <xf numFmtId="0" fontId="0" fillId="0" borderId="0" xfId="0"/>
    <xf numFmtId="0" fontId="11" fillId="4" borderId="4" xfId="0" applyFont="1" applyFill="1" applyBorder="1" applyAlignment="1">
      <alignment horizontal="center" vertical="center" wrapText="1"/>
    </xf>
    <xf numFmtId="0" fontId="2" fillId="0" borderId="0" xfId="0" applyFont="1"/>
    <xf numFmtId="0" fontId="8" fillId="4" borderId="4" xfId="0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76" fontId="22" fillId="7" borderId="4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177" fontId="2" fillId="0" borderId="0" xfId="0" applyNumberFormat="1" applyFont="1"/>
    <xf numFmtId="177" fontId="10" fillId="6" borderId="1" xfId="0" applyNumberFormat="1" applyFont="1" applyFill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10" fontId="24" fillId="8" borderId="15" xfId="0" applyNumberFormat="1" applyFont="1" applyFill="1" applyBorder="1" applyAlignment="1">
      <alignment vertical="center"/>
    </xf>
    <xf numFmtId="0" fontId="24" fillId="8" borderId="13" xfId="0" applyFont="1" applyFill="1" applyBorder="1" applyAlignment="1">
      <alignment vertical="center"/>
    </xf>
    <xf numFmtId="0" fontId="24" fillId="8" borderId="14" xfId="0" applyFont="1" applyFill="1" applyBorder="1" applyAlignment="1">
      <alignment vertical="center"/>
    </xf>
    <xf numFmtId="10" fontId="27" fillId="9" borderId="15" xfId="0" applyNumberFormat="1" applyFont="1" applyFill="1" applyBorder="1" applyAlignment="1">
      <alignment horizontal="center" vertical="center"/>
    </xf>
    <xf numFmtId="10" fontId="25" fillId="9" borderId="13" xfId="0" applyNumberFormat="1" applyFont="1" applyFill="1" applyBorder="1" applyAlignment="1">
      <alignment horizontal="center" vertical="center"/>
    </xf>
    <xf numFmtId="2" fontId="25" fillId="9" borderId="13" xfId="0" applyNumberFormat="1" applyFont="1" applyFill="1" applyBorder="1" applyAlignment="1">
      <alignment horizontal="center" vertical="center"/>
    </xf>
    <xf numFmtId="2" fontId="25" fillId="9" borderId="14" xfId="0" applyNumberFormat="1" applyFont="1" applyFill="1" applyBorder="1" applyAlignment="1">
      <alignment horizontal="center" vertical="center"/>
    </xf>
    <xf numFmtId="10" fontId="28" fillId="0" borderId="15" xfId="1" applyNumberFormat="1" applyFont="1" applyBorder="1" applyAlignment="1">
      <alignment horizontal="center" vertical="center"/>
    </xf>
    <xf numFmtId="10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10" fontId="28" fillId="9" borderId="15" xfId="1" applyNumberFormat="1" applyFont="1" applyFill="1" applyBorder="1" applyAlignment="1">
      <alignment horizontal="center" vertical="center"/>
    </xf>
    <xf numFmtId="10" fontId="16" fillId="9" borderId="13" xfId="0" applyNumberFormat="1" applyFont="1" applyFill="1" applyBorder="1" applyAlignment="1">
      <alignment horizontal="center" vertical="center"/>
    </xf>
    <xf numFmtId="2" fontId="16" fillId="9" borderId="13" xfId="0" applyNumberFormat="1" applyFont="1" applyFill="1" applyBorder="1" applyAlignment="1">
      <alignment horizontal="center" vertical="center"/>
    </xf>
    <xf numFmtId="2" fontId="16" fillId="9" borderId="14" xfId="0" applyNumberFormat="1" applyFont="1" applyFill="1" applyBorder="1" applyAlignment="1">
      <alignment horizontal="center" vertical="center"/>
    </xf>
    <xf numFmtId="10" fontId="28" fillId="0" borderId="18" xfId="1" applyNumberFormat="1" applyFont="1" applyBorder="1" applyAlignment="1">
      <alignment horizontal="center" vertical="center"/>
    </xf>
    <xf numFmtId="10" fontId="16" fillId="0" borderId="16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0" fontId="31" fillId="0" borderId="0" xfId="0" applyFont="1"/>
    <xf numFmtId="177" fontId="0" fillId="0" borderId="0" xfId="0" applyNumberFormat="1"/>
    <xf numFmtId="0" fontId="32" fillId="0" borderId="0" xfId="0" applyFont="1" applyAlignment="1">
      <alignment horizontal="right"/>
    </xf>
    <xf numFmtId="0" fontId="33" fillId="11" borderId="0" xfId="0" applyFont="1" applyFill="1"/>
    <xf numFmtId="0" fontId="34" fillId="12" borderId="19" xfId="0" applyFont="1" applyFill="1" applyBorder="1" applyAlignment="1">
      <alignment horizontal="center" vertical="center"/>
    </xf>
    <xf numFmtId="0" fontId="34" fillId="12" borderId="20" xfId="0" applyFont="1" applyFill="1" applyBorder="1" applyAlignment="1">
      <alignment horizontal="center" vertical="center"/>
    </xf>
    <xf numFmtId="0" fontId="34" fillId="12" borderId="21" xfId="0" applyFont="1" applyFill="1" applyBorder="1" applyAlignment="1">
      <alignment horizontal="center" vertical="center"/>
    </xf>
    <xf numFmtId="10" fontId="35" fillId="13" borderId="24" xfId="0" applyNumberFormat="1" applyFont="1" applyFill="1" applyBorder="1"/>
    <xf numFmtId="10" fontId="36" fillId="13" borderId="24" xfId="0" applyNumberFormat="1" applyFont="1" applyFill="1" applyBorder="1"/>
    <xf numFmtId="10" fontId="36" fillId="0" borderId="24" xfId="0" applyNumberFormat="1" applyFont="1" applyBorder="1"/>
    <xf numFmtId="10" fontId="36" fillId="13" borderId="21" xfId="0" applyNumberFormat="1" applyFont="1" applyFill="1" applyBorder="1"/>
    <xf numFmtId="176" fontId="4" fillId="6" borderId="4" xfId="0" applyNumberFormat="1" applyFont="1" applyFill="1" applyBorder="1" applyAlignment="1">
      <alignment horizontal="center" vertical="center" wrapText="1"/>
    </xf>
    <xf numFmtId="177" fontId="6" fillId="6" borderId="4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177" fontId="10" fillId="6" borderId="4" xfId="0" applyNumberFormat="1" applyFont="1" applyFill="1" applyBorder="1" applyAlignment="1">
      <alignment horizontal="center" vertical="center" wrapText="1"/>
    </xf>
    <xf numFmtId="179" fontId="0" fillId="0" borderId="0" xfId="0" applyNumberFormat="1"/>
    <xf numFmtId="0" fontId="24" fillId="8" borderId="6" xfId="0" applyFont="1" applyFill="1" applyBorder="1" applyAlignment="1">
      <alignment horizontal="center" vertical="center"/>
    </xf>
    <xf numFmtId="0" fontId="34" fillId="12" borderId="20" xfId="0" applyFont="1" applyFill="1" applyBorder="1" applyAlignment="1">
      <alignment horizontal="center" vertical="center" wrapText="1"/>
    </xf>
    <xf numFmtId="0" fontId="35" fillId="13" borderId="26" xfId="0" applyFont="1" applyFill="1" applyBorder="1" applyAlignment="1">
      <alignment horizontal="center" vertical="center"/>
    </xf>
    <xf numFmtId="10" fontId="35" fillId="13" borderId="23" xfId="0" applyNumberFormat="1" applyFont="1" applyFill="1" applyBorder="1" applyAlignment="1">
      <alignment horizontal="center" vertical="center"/>
    </xf>
    <xf numFmtId="0" fontId="36" fillId="13" borderId="23" xfId="0" applyFont="1" applyFill="1" applyBorder="1" applyAlignment="1">
      <alignment horizontal="center" vertical="center"/>
    </xf>
    <xf numFmtId="0" fontId="35" fillId="13" borderId="23" xfId="0" applyFont="1" applyFill="1" applyBorder="1" applyAlignment="1">
      <alignment horizontal="center" vertical="center"/>
    </xf>
    <xf numFmtId="10" fontId="37" fillId="13" borderId="23" xfId="0" applyNumberFormat="1" applyFont="1" applyFill="1" applyBorder="1" applyAlignment="1">
      <alignment horizontal="center" vertical="center"/>
    </xf>
    <xf numFmtId="10" fontId="38" fillId="13" borderId="23" xfId="0" applyNumberFormat="1" applyFont="1" applyFill="1" applyBorder="1" applyAlignment="1">
      <alignment horizontal="center" vertical="center"/>
    </xf>
    <xf numFmtId="2" fontId="35" fillId="13" borderId="23" xfId="0" applyNumberFormat="1" applyFont="1" applyFill="1" applyBorder="1" applyAlignment="1">
      <alignment horizontal="center" vertical="center"/>
    </xf>
    <xf numFmtId="10" fontId="36" fillId="13" borderId="23" xfId="0" applyNumberFormat="1" applyFont="1" applyFill="1" applyBorder="1" applyAlignment="1">
      <alignment horizontal="center" vertical="center"/>
    </xf>
    <xf numFmtId="10" fontId="39" fillId="13" borderId="23" xfId="0" applyNumberFormat="1" applyFont="1" applyFill="1" applyBorder="1" applyAlignment="1">
      <alignment horizontal="center" vertical="center"/>
    </xf>
    <xf numFmtId="10" fontId="36" fillId="0" borderId="2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10" fontId="39" fillId="0" borderId="23" xfId="0" applyNumberFormat="1" applyFont="1" applyBorder="1" applyAlignment="1">
      <alignment horizontal="center" vertical="center"/>
    </xf>
    <xf numFmtId="10" fontId="36" fillId="13" borderId="20" xfId="0" applyNumberFormat="1" applyFont="1" applyFill="1" applyBorder="1" applyAlignment="1">
      <alignment horizontal="center" vertical="center"/>
    </xf>
    <xf numFmtId="0" fontId="36" fillId="13" borderId="20" xfId="0" applyFont="1" applyFill="1" applyBorder="1" applyAlignment="1">
      <alignment horizontal="center" vertical="center"/>
    </xf>
    <xf numFmtId="10" fontId="39" fillId="13" borderId="20" xfId="0" applyNumberFormat="1" applyFont="1" applyFill="1" applyBorder="1" applyAlignment="1">
      <alignment horizontal="center" vertical="center"/>
    </xf>
    <xf numFmtId="10" fontId="29" fillId="13" borderId="23" xfId="0" applyNumberFormat="1" applyFont="1" applyFill="1" applyBorder="1" applyAlignment="1">
      <alignment horizontal="center" vertical="center"/>
    </xf>
    <xf numFmtId="2" fontId="29" fillId="13" borderId="23" xfId="0" applyNumberFormat="1" applyFont="1" applyFill="1" applyBorder="1" applyAlignment="1">
      <alignment horizontal="center" vertical="center"/>
    </xf>
    <xf numFmtId="10" fontId="29" fillId="0" borderId="23" xfId="0" applyNumberFormat="1" applyFont="1" applyBorder="1" applyAlignment="1">
      <alignment horizontal="center" vertical="center"/>
    </xf>
    <xf numFmtId="2" fontId="29" fillId="0" borderId="23" xfId="0" applyNumberFormat="1" applyFont="1" applyBorder="1" applyAlignment="1">
      <alignment horizontal="center" vertical="center"/>
    </xf>
    <xf numFmtId="10" fontId="29" fillId="13" borderId="20" xfId="0" applyNumberFormat="1" applyFont="1" applyFill="1" applyBorder="1" applyAlignment="1">
      <alignment horizontal="center" vertical="center"/>
    </xf>
    <xf numFmtId="2" fontId="29" fillId="13" borderId="20" xfId="0" applyNumberFormat="1" applyFont="1" applyFill="1" applyBorder="1" applyAlignment="1">
      <alignment horizontal="center" vertical="center"/>
    </xf>
    <xf numFmtId="0" fontId="0" fillId="0" borderId="0" xfId="0" applyNumberFormat="1"/>
    <xf numFmtId="10" fontId="27" fillId="13" borderId="23" xfId="0" applyNumberFormat="1" applyFont="1" applyFill="1" applyBorder="1" applyAlignment="1">
      <alignment horizontal="center" vertical="center"/>
    </xf>
    <xf numFmtId="4" fontId="29" fillId="13" borderId="23" xfId="0" applyNumberFormat="1" applyFont="1" applyFill="1" applyBorder="1" applyAlignment="1">
      <alignment horizontal="center" vertical="center"/>
    </xf>
    <xf numFmtId="4" fontId="29" fillId="13" borderId="20" xfId="0" applyNumberFormat="1" applyFont="1" applyFill="1" applyBorder="1" applyAlignment="1">
      <alignment horizontal="center" vertical="center"/>
    </xf>
    <xf numFmtId="4" fontId="29" fillId="0" borderId="23" xfId="0" applyNumberFormat="1" applyFont="1" applyBorder="1" applyAlignment="1">
      <alignment horizontal="center" vertical="center"/>
    </xf>
    <xf numFmtId="14" fontId="0" fillId="0" borderId="0" xfId="0" applyNumberFormat="1" applyFill="1"/>
    <xf numFmtId="0" fontId="16" fillId="0" borderId="23" xfId="0" applyFont="1" applyBorder="1" applyAlignment="1">
      <alignment horizontal="center" vertical="center"/>
    </xf>
    <xf numFmtId="0" fontId="7" fillId="3" borderId="0" xfId="0" applyFont="1" applyFill="1"/>
    <xf numFmtId="0" fontId="0" fillId="0" borderId="0" xfId="0"/>
    <xf numFmtId="0" fontId="11" fillId="4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2" fillId="3" borderId="0" xfId="0" applyFont="1" applyFill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2" fillId="0" borderId="0" xfId="0" applyFont="1"/>
    <xf numFmtId="0" fontId="8" fillId="4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/>
    <xf numFmtId="0" fontId="16" fillId="0" borderId="12" xfId="0" applyFont="1" applyBorder="1" applyAlignment="1">
      <alignment horizontal="center" vertical="center" wrapText="1"/>
    </xf>
    <xf numFmtId="0" fontId="0" fillId="0" borderId="9" xfId="0" applyBorder="1"/>
    <xf numFmtId="0" fontId="16" fillId="0" borderId="7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0" fillId="0" borderId="11" xfId="0" applyBorder="1"/>
    <xf numFmtId="0" fontId="36" fillId="0" borderId="22" xfId="0" applyFont="1" applyFill="1" applyBorder="1" applyAlignment="1">
      <alignment horizontal="center" vertical="center"/>
    </xf>
    <xf numFmtId="0" fontId="36" fillId="0" borderId="25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7" fillId="3" borderId="10" xfId="0" applyFont="1" applyFill="1" applyBorder="1" applyAlignment="1">
      <alignment horizontal="center"/>
    </xf>
    <xf numFmtId="0" fontId="0" fillId="0" borderId="10" xfId="0" applyBorder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3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'组合净值（模拟）'!$B$5</c:f>
              <c:strCache>
                <c:ptCount val="1"/>
                <c:pt idx="0">
                  <c:v>净值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27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</c:strCache>
            </c:strRef>
          </c:cat>
          <c:val>
            <c:numRef>
              <c:f>'组合净值（模拟）'!$B$6:$B$60</c:f>
              <c:numCache>
                <c:formatCode>0.0000</c:formatCode>
                <c:ptCount val="55"/>
                <c:pt idx="0">
                  <c:v>1</c:v>
                </c:pt>
                <c:pt idx="1">
                  <c:v>0.99765643337172227</c:v>
                </c:pt>
                <c:pt idx="2">
                  <c:v>1.0004873988232836</c:v>
                </c:pt>
                <c:pt idx="3">
                  <c:v>1.0019149392222524</c:v>
                </c:pt>
                <c:pt idx="4">
                  <c:v>1.0027653095977875</c:v>
                </c:pt>
                <c:pt idx="5">
                  <c:v>0.99978370102959424</c:v>
                </c:pt>
                <c:pt idx="6">
                  <c:v>0.99463803716562982</c:v>
                </c:pt>
                <c:pt idx="7">
                  <c:v>0.99810930076783855</c:v>
                </c:pt>
                <c:pt idx="8">
                  <c:v>0.99416736668282224</c:v>
                </c:pt>
                <c:pt idx="9">
                  <c:v>0.99283271293635389</c:v>
                </c:pt>
                <c:pt idx="10">
                  <c:v>0.99406258289832961</c:v>
                </c:pt>
                <c:pt idx="11">
                  <c:v>1.0008242059223755</c:v>
                </c:pt>
                <c:pt idx="12">
                  <c:v>1.0035619999384113</c:v>
                </c:pt>
                <c:pt idx="13">
                  <c:v>1.0062350005260854</c:v>
                </c:pt>
                <c:pt idx="14">
                  <c:v>1.0081276363106348</c:v>
                </c:pt>
                <c:pt idx="15">
                  <c:v>1.0093600773976923</c:v>
                </c:pt>
                <c:pt idx="16">
                  <c:v>1.006104369874212</c:v>
                </c:pt>
                <c:pt idx="17">
                  <c:v>1.0083957504532106</c:v>
                </c:pt>
                <c:pt idx="18">
                  <c:v>1.0102567792474779</c:v>
                </c:pt>
                <c:pt idx="19">
                  <c:v>1.0075734673006249</c:v>
                </c:pt>
                <c:pt idx="20">
                  <c:v>1.0092715697265893</c:v>
                </c:pt>
                <c:pt idx="21">
                  <c:v>1.0119135334013039</c:v>
                </c:pt>
                <c:pt idx="22">
                  <c:v>1.0089264576463108</c:v>
                </c:pt>
                <c:pt idx="23">
                  <c:v>1.0030310088202468</c:v>
                </c:pt>
                <c:pt idx="24">
                  <c:v>1.0038981426733757</c:v>
                </c:pt>
                <c:pt idx="25">
                  <c:v>1.0027797901139219</c:v>
                </c:pt>
                <c:pt idx="26">
                  <c:v>1.0020307881244941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00155072"/>
        <c:axId val="-800150720"/>
      </c:lineChart>
      <c:dateAx>
        <c:axId val="-800155072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-800150720"/>
        <c:crosses val="autoZero"/>
        <c:auto val="1"/>
        <c:lblOffset val="100"/>
        <c:baseTimeUnit val="days"/>
      </c:dateAx>
      <c:valAx>
        <c:axId val="-80015072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001550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20-80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'组合净值（模拟）'!$E$5</c:f>
              <c:strCache>
                <c:ptCount val="1"/>
                <c:pt idx="0">
                  <c:v>净值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27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</c:strCache>
            </c:strRef>
          </c:cat>
          <c:val>
            <c:numRef>
              <c:f>'组合净值（模拟）'!$E$6:$E$60</c:f>
              <c:numCache>
                <c:formatCode>0.0000</c:formatCode>
                <c:ptCount val="55"/>
                <c:pt idx="0">
                  <c:v>1</c:v>
                </c:pt>
                <c:pt idx="1">
                  <c:v>0.99470984476576541</c:v>
                </c:pt>
                <c:pt idx="2">
                  <c:v>1.0000345543500495</c:v>
                </c:pt>
                <c:pt idx="3">
                  <c:v>1.0039489678128992</c:v>
                </c:pt>
                <c:pt idx="4">
                  <c:v>1.005004136734627</c:v>
                </c:pt>
                <c:pt idx="5">
                  <c:v>0.99963093145942272</c:v>
                </c:pt>
                <c:pt idx="6">
                  <c:v>0.9914160277538232</c:v>
                </c:pt>
                <c:pt idx="7">
                  <c:v>0.99885348994831058</c:v>
                </c:pt>
                <c:pt idx="8">
                  <c:v>0.99329826179446434</c:v>
                </c:pt>
                <c:pt idx="9">
                  <c:v>0.99221024099815081</c:v>
                </c:pt>
                <c:pt idx="10">
                  <c:v>0.99355219766600733</c:v>
                </c:pt>
                <c:pt idx="11">
                  <c:v>1.005261385185954</c:v>
                </c:pt>
                <c:pt idx="12">
                  <c:v>1.0097216988763142</c:v>
                </c:pt>
                <c:pt idx="13">
                  <c:v>1.0145036389666431</c:v>
                </c:pt>
                <c:pt idx="14">
                  <c:v>1.0181874953608219</c:v>
                </c:pt>
                <c:pt idx="15">
                  <c:v>1.021658449007022</c:v>
                </c:pt>
                <c:pt idx="16">
                  <c:v>1.0163253647644515</c:v>
                </c:pt>
                <c:pt idx="17">
                  <c:v>1.0212150505453375</c:v>
                </c:pt>
                <c:pt idx="18">
                  <c:v>1.0252460726007366</c:v>
                </c:pt>
                <c:pt idx="19">
                  <c:v>1.0191968737534782</c:v>
                </c:pt>
                <c:pt idx="20">
                  <c:v>1.0215214505234145</c:v>
                </c:pt>
                <c:pt idx="21">
                  <c:v>1.028012711514811</c:v>
                </c:pt>
                <c:pt idx="22">
                  <c:v>1.0234028726746101</c:v>
                </c:pt>
                <c:pt idx="23">
                  <c:v>1.0105957679057833</c:v>
                </c:pt>
                <c:pt idx="24">
                  <c:v>1.0113374897746024</c:v>
                </c:pt>
                <c:pt idx="25">
                  <c:v>1.0085650677023383</c:v>
                </c:pt>
                <c:pt idx="26">
                  <c:v>1.0072335195148223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00148000"/>
        <c:axId val="-800145280"/>
      </c:lineChart>
      <c:dateAx>
        <c:axId val="-800148000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-800145280"/>
        <c:crosses val="autoZero"/>
        <c:auto val="1"/>
        <c:lblOffset val="100"/>
        <c:baseTimeUnit val="days"/>
      </c:dateAx>
      <c:valAx>
        <c:axId val="-8001452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0014800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'组合净值（模拟）'!$H$5</c:f>
              <c:strCache>
                <c:ptCount val="1"/>
                <c:pt idx="0">
                  <c:v>净值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27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</c:strCache>
            </c:strRef>
          </c:cat>
          <c:val>
            <c:numRef>
              <c:f>'组合净值（模拟）'!$H$6:$H$60</c:f>
              <c:numCache>
                <c:formatCode>0.0000</c:formatCode>
                <c:ptCount val="55"/>
                <c:pt idx="0">
                  <c:v>1</c:v>
                </c:pt>
                <c:pt idx="1">
                  <c:v>0.99155315914152709</c:v>
                </c:pt>
                <c:pt idx="2">
                  <c:v>0.99966507234586588</c:v>
                </c:pt>
                <c:pt idx="3">
                  <c:v>1.0054021878924591</c:v>
                </c:pt>
                <c:pt idx="4">
                  <c:v>1.0067152426153394</c:v>
                </c:pt>
                <c:pt idx="5">
                  <c:v>0.99897575218692147</c:v>
                </c:pt>
                <c:pt idx="6">
                  <c:v>0.98606519718573116</c:v>
                </c:pt>
                <c:pt idx="7">
                  <c:v>0.99769736988245605</c:v>
                </c:pt>
                <c:pt idx="8">
                  <c:v>0.98909039856974745</c:v>
                </c:pt>
                <c:pt idx="9">
                  <c:v>0.98728284218313966</c:v>
                </c:pt>
                <c:pt idx="10">
                  <c:v>0.98931718654652812</c:v>
                </c:pt>
                <c:pt idx="11">
                  <c:v>1.0074657646517369</c:v>
                </c:pt>
                <c:pt idx="12">
                  <c:v>1.0137960862629365</c:v>
                </c:pt>
                <c:pt idx="13">
                  <c:v>1.0206025158289858</c:v>
                </c:pt>
                <c:pt idx="14">
                  <c:v>1.025914584825665</c:v>
                </c:pt>
                <c:pt idx="15">
                  <c:v>1.0305161961862179</c:v>
                </c:pt>
                <c:pt idx="16">
                  <c:v>1.0223789610008656</c:v>
                </c:pt>
                <c:pt idx="17">
                  <c:v>1.0296240483045536</c:v>
                </c:pt>
                <c:pt idx="18">
                  <c:v>1.034812631228929</c:v>
                </c:pt>
                <c:pt idx="19">
                  <c:v>1.025819175805315</c:v>
                </c:pt>
                <c:pt idx="20">
                  <c:v>1.028918036046905</c:v>
                </c:pt>
                <c:pt idx="21">
                  <c:v>1.0388818470703711</c:v>
                </c:pt>
                <c:pt idx="22">
                  <c:v>1.0322302286108425</c:v>
                </c:pt>
                <c:pt idx="23">
                  <c:v>1.0134350814732387</c:v>
                </c:pt>
                <c:pt idx="24">
                  <c:v>1.0152735133917969</c:v>
                </c:pt>
                <c:pt idx="25">
                  <c:v>1.0106812246966255</c:v>
                </c:pt>
                <c:pt idx="26">
                  <c:v>1.0085030424733503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00144192"/>
        <c:axId val="-800143648"/>
      </c:lineChart>
      <c:dateAx>
        <c:axId val="-800144192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-800143648"/>
        <c:crosses val="autoZero"/>
        <c:auto val="1"/>
        <c:lblOffset val="100"/>
        <c:baseTimeUnit val="days"/>
      </c:dateAx>
      <c:valAx>
        <c:axId val="-8001436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0014419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 baseline="0"/>
              <a:t>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1764035087719294E-2"/>
          <c:y val="4.1928758169934653E-2"/>
          <c:w val="0.89852836257309943"/>
          <c:h val="0.76279150326797385"/>
        </c:manualLayout>
      </c:layout>
      <c:lineChart>
        <c:grouping val="standard"/>
        <c:varyColors val="1"/>
        <c:ser>
          <c:idx val="0"/>
          <c:order val="0"/>
          <c:tx>
            <c:strRef>
              <c:f>'组合净值（模拟）'!$K$5</c:f>
              <c:strCache>
                <c:ptCount val="1"/>
                <c:pt idx="0">
                  <c:v>净值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27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</c:strCache>
            </c:strRef>
          </c:cat>
          <c:val>
            <c:numRef>
              <c:f>'组合净值（模拟）'!$K$6:$K$60</c:f>
              <c:numCache>
                <c:formatCode>0.0000</c:formatCode>
                <c:ptCount val="55"/>
                <c:pt idx="0">
                  <c:v>1</c:v>
                </c:pt>
                <c:pt idx="1">
                  <c:v>0.94945546915734413</c:v>
                </c:pt>
                <c:pt idx="2">
                  <c:v>0.99538006235370846</c:v>
                </c:pt>
                <c:pt idx="3">
                  <c:v>1.0384782695070389</c:v>
                </c:pt>
                <c:pt idx="4">
                  <c:v>1.0480044619106184</c:v>
                </c:pt>
                <c:pt idx="5">
                  <c:v>1.0110077203724701</c:v>
                </c:pt>
                <c:pt idx="6">
                  <c:v>0.97978619276008949</c:v>
                </c:pt>
                <c:pt idx="7">
                  <c:v>1.0345420410884638</c:v>
                </c:pt>
                <c:pt idx="8">
                  <c:v>1.0134071157839812</c:v>
                </c:pt>
                <c:pt idx="9">
                  <c:v>1.0210851218340495</c:v>
                </c:pt>
                <c:pt idx="10">
                  <c:v>1.0147864275445424</c:v>
                </c:pt>
                <c:pt idx="11">
                  <c:v>1.0808664242080259</c:v>
                </c:pt>
                <c:pt idx="12">
                  <c:v>1.1061052380936494</c:v>
                </c:pt>
                <c:pt idx="13">
                  <c:v>1.1413486344190191</c:v>
                </c:pt>
                <c:pt idx="14">
                  <c:v>1.1719766061841033</c:v>
                </c:pt>
                <c:pt idx="15">
                  <c:v>1.1997728521627964</c:v>
                </c:pt>
                <c:pt idx="16">
                  <c:v>1.1759953600791764</c:v>
                </c:pt>
                <c:pt idx="17">
                  <c:v>1.2186871909295462</c:v>
                </c:pt>
                <c:pt idx="18">
                  <c:v>1.258814834957642</c:v>
                </c:pt>
                <c:pt idx="19">
                  <c:v>1.2230376433068277</c:v>
                </c:pt>
                <c:pt idx="20">
                  <c:v>1.2352096264581862</c:v>
                </c:pt>
                <c:pt idx="21">
                  <c:v>1.2895492152655188</c:v>
                </c:pt>
                <c:pt idx="22">
                  <c:v>1.249937038744344</c:v>
                </c:pt>
                <c:pt idx="23">
                  <c:v>1.1401462330033694</c:v>
                </c:pt>
                <c:pt idx="24">
                  <c:v>1.1316225415446639</c:v>
                </c:pt>
                <c:pt idx="25">
                  <c:v>1.1091830542334955</c:v>
                </c:pt>
                <c:pt idx="26">
                  <c:v>1.1168982726026053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00143104"/>
        <c:axId val="-800142560"/>
      </c:lineChart>
      <c:dateAx>
        <c:axId val="-800143104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-800142560"/>
        <c:crosses val="autoZero"/>
        <c:auto val="1"/>
        <c:lblOffset val="100"/>
        <c:baseTimeUnit val="days"/>
      </c:dateAx>
      <c:valAx>
        <c:axId val="-800142560"/>
        <c:scaling>
          <c:orientation val="minMax"/>
          <c:min val="0.9"/>
        </c:scaling>
        <c:delete val="0"/>
        <c:axPos val="l"/>
        <c:numFmt formatCode="0.0000" sourceLinked="0"/>
        <c:majorTickMark val="none"/>
        <c:minorTickMark val="none"/>
        <c:tickLblPos val="nextTo"/>
        <c:crossAx val="-80014310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4036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showGridLines="0" workbookViewId="0">
      <selection activeCell="B11" sqref="B11"/>
    </sheetView>
  </sheetViews>
  <sheetFormatPr defaultRowHeight="14" x14ac:dyDescent="0.25"/>
  <cols>
    <col min="1" max="1" width="14" style="55" customWidth="1"/>
    <col min="2" max="11" width="13" style="55" customWidth="1"/>
    <col min="15" max="15" width="10" style="55" customWidth="1"/>
    <col min="16" max="16" width="12" style="55" customWidth="1"/>
  </cols>
  <sheetData>
    <row r="1" spans="1:16" ht="19" customHeight="1" x14ac:dyDescent="0.4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6" ht="26" customHeight="1" x14ac:dyDescent="0.25">
      <c r="A2" s="27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27" t="s">
        <v>15</v>
      </c>
      <c r="P2" s="27" t="s">
        <v>16</v>
      </c>
    </row>
    <row r="3" spans="1:16" ht="25" customHeight="1" x14ac:dyDescent="0.25">
      <c r="A3" s="27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</row>
    <row r="4" spans="1:16" x14ac:dyDescent="0.25">
      <c r="A4" s="5" t="s">
        <v>31</v>
      </c>
      <c r="B4" s="6">
        <v>0.01</v>
      </c>
      <c r="C4" s="6">
        <v>0.01</v>
      </c>
      <c r="D4" s="6">
        <v>0.01</v>
      </c>
      <c r="E4" s="6">
        <v>0.01</v>
      </c>
      <c r="F4" s="6">
        <v>1.2500000000000001E-2</v>
      </c>
      <c r="G4" s="6">
        <v>1.2500000000000001E-2</v>
      </c>
      <c r="H4" s="6">
        <v>1.2500000000000001E-2</v>
      </c>
      <c r="I4" s="6">
        <v>1.2500000000000001E-2</v>
      </c>
      <c r="J4" s="6">
        <v>0.83</v>
      </c>
      <c r="K4" s="6">
        <v>0.05</v>
      </c>
      <c r="L4" s="6">
        <v>5.0000000000000001E-3</v>
      </c>
      <c r="M4" s="6">
        <v>5.0000000000000001E-3</v>
      </c>
      <c r="N4" s="6">
        <v>0.02</v>
      </c>
      <c r="O4" s="59">
        <f>SUM(B4:N4)</f>
        <v>1</v>
      </c>
      <c r="P4" s="60">
        <v>5.0000000000000001E-3</v>
      </c>
    </row>
    <row r="5" spans="1:16" x14ac:dyDescent="0.25">
      <c r="A5" s="5" t="s">
        <v>32</v>
      </c>
      <c r="B5" s="6">
        <v>0.02</v>
      </c>
      <c r="C5" s="6">
        <v>0.02</v>
      </c>
      <c r="D5" s="6">
        <v>0.02</v>
      </c>
      <c r="E5" s="6">
        <v>0.02</v>
      </c>
      <c r="F5" s="6">
        <v>2.5000000000000001E-2</v>
      </c>
      <c r="G5" s="6">
        <v>2.5000000000000001E-2</v>
      </c>
      <c r="H5" s="6">
        <v>2.5000000000000001E-2</v>
      </c>
      <c r="I5" s="6">
        <v>2.5000000000000001E-2</v>
      </c>
      <c r="J5" s="6">
        <v>0.73</v>
      </c>
      <c r="K5" s="6">
        <v>0.05</v>
      </c>
      <c r="L5" s="6">
        <v>0.01</v>
      </c>
      <c r="M5" s="6">
        <v>0.01</v>
      </c>
      <c r="N5" s="6">
        <v>0.02</v>
      </c>
      <c r="O5" s="59">
        <f>SUM(B5:N5)</f>
        <v>1</v>
      </c>
      <c r="P5" s="60">
        <v>0.01</v>
      </c>
    </row>
    <row r="6" spans="1:16" x14ac:dyDescent="0.25">
      <c r="A6" s="5" t="s">
        <v>33</v>
      </c>
      <c r="B6" s="6">
        <v>0.03</v>
      </c>
      <c r="C6" s="6">
        <v>0.03</v>
      </c>
      <c r="D6" s="6">
        <v>0.03</v>
      </c>
      <c r="E6" s="6">
        <v>0.03</v>
      </c>
      <c r="F6" s="6">
        <v>3.7499999999999999E-2</v>
      </c>
      <c r="G6" s="6">
        <v>3.7499999999999999E-2</v>
      </c>
      <c r="H6" s="6">
        <v>3.7499999999999999E-2</v>
      </c>
      <c r="I6" s="6">
        <v>3.7499999999999999E-2</v>
      </c>
      <c r="J6" s="6">
        <v>0.57999999999999996</v>
      </c>
      <c r="K6" s="6">
        <v>0.1</v>
      </c>
      <c r="L6" s="6">
        <v>1.4999999999999999E-2</v>
      </c>
      <c r="M6" s="6">
        <v>1.4999999999999999E-2</v>
      </c>
      <c r="N6" s="6">
        <v>0.02</v>
      </c>
      <c r="O6" s="59">
        <f>SUM(B6:N6)</f>
        <v>1</v>
      </c>
      <c r="P6" s="60">
        <v>1.2E-2</v>
      </c>
    </row>
    <row r="7" spans="1:16" x14ac:dyDescent="0.25">
      <c r="A7" s="5" t="s">
        <v>34</v>
      </c>
      <c r="B7" s="6">
        <v>0.19</v>
      </c>
      <c r="C7" s="6">
        <v>0.19</v>
      </c>
      <c r="D7" s="6">
        <v>0.19</v>
      </c>
      <c r="E7" s="6">
        <v>0.19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0.11</v>
      </c>
      <c r="M7" s="6">
        <v>0.11</v>
      </c>
      <c r="N7" s="6">
        <v>0.02</v>
      </c>
      <c r="O7" s="59">
        <f>SUM(B7:N7)</f>
        <v>1</v>
      </c>
      <c r="P7" s="60">
        <v>1.2E-2</v>
      </c>
    </row>
    <row r="8" spans="1:16" ht="14.5" customHeight="1" x14ac:dyDescent="0.3">
      <c r="A8" s="7" t="s">
        <v>35</v>
      </c>
    </row>
    <row r="9" spans="1:16" x14ac:dyDescent="0.25">
      <c r="A9" s="2" t="s">
        <v>36</v>
      </c>
      <c r="B9" s="2" t="s">
        <v>37</v>
      </c>
    </row>
    <row r="10" spans="1:16" x14ac:dyDescent="0.25">
      <c r="A10" s="2" t="s">
        <v>38</v>
      </c>
      <c r="B10" s="2" t="s">
        <v>39</v>
      </c>
    </row>
    <row r="11" spans="1:16" x14ac:dyDescent="0.25">
      <c r="A11" s="2" t="s">
        <v>40</v>
      </c>
      <c r="B11" s="2" t="s">
        <v>41</v>
      </c>
    </row>
    <row r="12" spans="1:16" x14ac:dyDescent="0.25">
      <c r="A12" s="2" t="s">
        <v>42</v>
      </c>
      <c r="B12" s="2" t="s">
        <v>43</v>
      </c>
    </row>
    <row r="13" spans="1:16" x14ac:dyDescent="0.25">
      <c r="A13" s="2" t="s">
        <v>44</v>
      </c>
      <c r="B13" s="2" t="s">
        <v>45</v>
      </c>
    </row>
    <row r="14" spans="1:16" x14ac:dyDescent="0.25">
      <c r="A14" s="2" t="s">
        <v>46</v>
      </c>
      <c r="B14" s="2" t="s">
        <v>47</v>
      </c>
    </row>
    <row r="16" spans="1:16" ht="14.5" customHeight="1" x14ac:dyDescent="0.3">
      <c r="A16" s="57" t="s">
        <v>48</v>
      </c>
    </row>
  </sheetData>
  <mergeCells count="1">
    <mergeCell ref="A1:L1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workbookViewId="0">
      <selection activeCell="C26" sqref="C26"/>
    </sheetView>
  </sheetViews>
  <sheetFormatPr defaultRowHeight="14" x14ac:dyDescent="0.25"/>
  <cols>
    <col min="1" max="11" width="13" style="55" customWidth="1"/>
  </cols>
  <sheetData>
    <row r="1" spans="1:14" ht="19" customHeight="1" x14ac:dyDescent="0.4">
      <c r="A1" s="135" t="s">
        <v>49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4" x14ac:dyDescent="0.25">
      <c r="A2" s="11">
        <f ca="1">TODAY()-1</f>
        <v>46210</v>
      </c>
    </row>
    <row r="3" spans="1:14" ht="25" customHeight="1" x14ac:dyDescent="0.25">
      <c r="A3" s="27" t="s">
        <v>50</v>
      </c>
      <c r="B3" s="8" t="str">
        <f>持仓配置!B3</f>
        <v>001170.OF</v>
      </c>
      <c r="C3" s="8" t="str">
        <f>持仓配置!C3</f>
        <v>016370.OF</v>
      </c>
      <c r="D3" s="8" t="str">
        <f>持仓配置!D3</f>
        <v>017488.OF</v>
      </c>
      <c r="E3" s="8" t="str">
        <f>持仓配置!E3</f>
        <v>013840.OF</v>
      </c>
      <c r="F3" s="8" t="str">
        <f>持仓配置!F3</f>
        <v>015453.OF</v>
      </c>
      <c r="G3" s="8" t="str">
        <f>持仓配置!G3</f>
        <v>014201.OF</v>
      </c>
      <c r="H3" s="8" t="str">
        <f>持仓配置!H3</f>
        <v>019923.OF</v>
      </c>
      <c r="I3" s="8" t="str">
        <f>持仓配置!I3</f>
        <v>007044.OF</v>
      </c>
      <c r="J3" s="8" t="str">
        <f>持仓配置!J3</f>
        <v>161119.OF</v>
      </c>
      <c r="K3" s="8" t="str">
        <f>持仓配置!K3</f>
        <v>000216.OF</v>
      </c>
      <c r="L3" s="8" t="str">
        <f>持仓配置!L3</f>
        <v>019632.OF</v>
      </c>
      <c r="M3" s="8" t="str">
        <f>持仓配置!M3</f>
        <v>007817.OF</v>
      </c>
      <c r="N3" s="8" t="str">
        <f>持仓配置!N3</f>
        <v>000917.OF</v>
      </c>
    </row>
    <row r="4" spans="1:14" ht="26" customHeight="1" x14ac:dyDescent="0.25">
      <c r="A4" s="27" t="str">
        <f ca="1">[1]!HX_AutoDate(1,"2026-05-29",A2,-1,-1,0,0,0,0,0,"SSE",27,0)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61">
        <v>46171</v>
      </c>
      <c r="B5" s="62">
        <f>IF($A5="","",[1]!thsiFinD("ths_adjustment_nv_fund",B$3,$A5))</f>
        <v>4.9249999999999998</v>
      </c>
      <c r="C5" s="62">
        <f>IF($A5="","",[1]!thsiFinD("ths_adjustment_nv_fund",C$3,$A5))</f>
        <v>3.1015000000000001</v>
      </c>
      <c r="D5" s="62">
        <f>IF($A5="","",[1]!thsiFinD("ths_adjustment_nv_fund",D$3,$A5))</f>
        <v>3.8919999999999999</v>
      </c>
      <c r="E5" s="62">
        <f>IF($A5="","",[1]!thsiFinD("ths_adjustment_nv_fund",E$3,$A5))</f>
        <v>2.6234999999999999</v>
      </c>
      <c r="F5" s="62">
        <f>IF($A5="","",[1]!thsiFinD("ths_adjustment_nv_fund",F$3,$A5))</f>
        <v>1.5841000000000001</v>
      </c>
      <c r="G5" s="62">
        <f>IF($A5="","",[1]!thsiFinD("ths_adjustment_nv_fund",G$3,$A5))</f>
        <v>1.6332</v>
      </c>
      <c r="H5" s="62">
        <f>IF($A5="","",[1]!thsiFinD("ths_adjustment_nv_fund",H$3,$A5))</f>
        <v>2.0659999999999998</v>
      </c>
      <c r="I5" s="62">
        <f>IF($A5="","",[1]!thsiFinD("ths_adjustment_nv_fund",I$3,$A5))</f>
        <v>1.9417</v>
      </c>
      <c r="J5" s="62">
        <f>IF($A5="","",[1]!thsiFinD("ths_adjustment_nv_fund",J$3,$A5))</f>
        <v>1.7859</v>
      </c>
      <c r="K5" s="62">
        <f>IF($A5="","",[1]!thsiFinD("ths_adjustment_nv_fund",K$3,$A5))</f>
        <v>3.4129999999999998</v>
      </c>
      <c r="L5" s="62">
        <f>IF($A5="","",[1]!thsiFinD("ths_adjustment_nv_fund",L$3,$A5))</f>
        <v>2.4056999999999999</v>
      </c>
      <c r="M5" s="62">
        <f>IF($A5="","",[1]!thsiFinD("ths_adjustment_nv_fund",M$3,$A5))</f>
        <v>4.4067999999999996</v>
      </c>
      <c r="N5" s="62">
        <f>IF($A5="","",[1]!thsiFinD("ths_adjustment_nv_fund",N$3,$A5))</f>
        <v>1.3163422467999999</v>
      </c>
    </row>
    <row r="6" spans="1:14" x14ac:dyDescent="0.25">
      <c r="A6" s="61">
        <v>46174</v>
      </c>
      <c r="B6" s="62">
        <f>IF($A6="","",[1]!thsiFinD("ths_adjustment_nv_fund",B$3,$A6))</f>
        <v>4.6980000000000004</v>
      </c>
      <c r="C6" s="62">
        <f>IF($A6="","",[1]!thsiFinD("ths_adjustment_nv_fund",C$3,$A6))</f>
        <v>2.9096000000000002</v>
      </c>
      <c r="D6" s="62">
        <f>IF($A6="","",[1]!thsiFinD("ths_adjustment_nv_fund",D$3,$A6))</f>
        <v>3.6869999999999998</v>
      </c>
      <c r="E6" s="62">
        <f>IF($A6="","",[1]!thsiFinD("ths_adjustment_nv_fund",E$3,$A6))</f>
        <v>2.4714999999999998</v>
      </c>
      <c r="F6" s="62">
        <f>IF($A6="","",[1]!thsiFinD("ths_adjustment_nv_fund",F$3,$A6))</f>
        <v>1.5780000000000001</v>
      </c>
      <c r="G6" s="62">
        <f>IF($A6="","",[1]!thsiFinD("ths_adjustment_nv_fund",G$3,$A6))</f>
        <v>1.6247</v>
      </c>
      <c r="H6" s="62">
        <f>IF($A6="","",[1]!thsiFinD("ths_adjustment_nv_fund",H$3,$A6))</f>
        <v>2.0661</v>
      </c>
      <c r="I6" s="62">
        <f>IF($A6="","",[1]!thsiFinD("ths_adjustment_nv_fund",I$3,$A6))</f>
        <v>1.9205000000000001</v>
      </c>
      <c r="J6" s="62">
        <f>IF($A6="","",[1]!thsiFinD("ths_adjustment_nv_fund",J$3,$A6))</f>
        <v>1.7874000000000001</v>
      </c>
      <c r="K6" s="62">
        <f>IF($A6="","",[1]!thsiFinD("ths_adjustment_nv_fund",K$3,$A6))</f>
        <v>3.4007000000000001</v>
      </c>
      <c r="L6" s="62">
        <f>IF($A6="","",[1]!thsiFinD("ths_adjustment_nv_fund",L$3,$A6))</f>
        <v>2.2863000000000002</v>
      </c>
      <c r="M6" s="62">
        <f>IF($A6="","",[1]!thsiFinD("ths_adjustment_nv_fund",M$3,$A6))</f>
        <v>4.2660999999999998</v>
      </c>
      <c r="N6" s="62">
        <f>IF($A6="","",[1]!thsiFinD("ths_adjustment_nv_fund",N$3,$A6))</f>
        <v>1.3164813759</v>
      </c>
    </row>
    <row r="7" spans="1:14" x14ac:dyDescent="0.25">
      <c r="A7" s="61">
        <v>46175</v>
      </c>
      <c r="B7" s="62">
        <f>IF($A7="","",[1]!thsiFinD("ths_adjustment_nv_fund",B$3,$A7))</f>
        <v>4.97</v>
      </c>
      <c r="C7" s="62">
        <f>IF($A7="","",[1]!thsiFinD("ths_adjustment_nv_fund",C$3,$A7))</f>
        <v>3.1175000000000002</v>
      </c>
      <c r="D7" s="62">
        <f>IF($A7="","",[1]!thsiFinD("ths_adjustment_nv_fund",D$3,$A7))</f>
        <v>3.9251</v>
      </c>
      <c r="E7" s="62">
        <f>IF($A7="","",[1]!thsiFinD("ths_adjustment_nv_fund",E$3,$A7))</f>
        <v>2.5108000000000001</v>
      </c>
      <c r="F7" s="62">
        <f>IF($A7="","",[1]!thsiFinD("ths_adjustment_nv_fund",F$3,$A7))</f>
        <v>1.5838000000000001</v>
      </c>
      <c r="G7" s="62">
        <f>IF($A7="","",[1]!thsiFinD("ths_adjustment_nv_fund",G$3,$A7))</f>
        <v>1.6241000000000001</v>
      </c>
      <c r="H7" s="62">
        <f>IF($A7="","",[1]!thsiFinD("ths_adjustment_nv_fund",H$3,$A7))</f>
        <v>2.0552000000000001</v>
      </c>
      <c r="I7" s="62">
        <f>IF($A7="","",[1]!thsiFinD("ths_adjustment_nv_fund",I$3,$A7))</f>
        <v>1.9491000000000001</v>
      </c>
      <c r="J7" s="62">
        <f>IF($A7="","",[1]!thsiFinD("ths_adjustment_nv_fund",J$3,$A7))</f>
        <v>1.7875000000000001</v>
      </c>
      <c r="K7" s="62">
        <f>IF($A7="","",[1]!thsiFinD("ths_adjustment_nv_fund",K$3,$A7))</f>
        <v>3.4201000000000001</v>
      </c>
      <c r="L7" s="62">
        <f>IF($A7="","",[1]!thsiFinD("ths_adjustment_nv_fund",L$3,$A7))</f>
        <v>2.3267000000000002</v>
      </c>
      <c r="M7" s="62">
        <f>IF($A7="","",[1]!thsiFinD("ths_adjustment_nv_fund",M$3,$A7))</f>
        <v>4.5236000000000001</v>
      </c>
      <c r="N7" s="62">
        <f>IF($A7="","",[1]!thsiFinD("ths_adjustment_nv_fund",N$3,$A7))</f>
        <v>1.3165310468</v>
      </c>
    </row>
    <row r="8" spans="1:14" x14ac:dyDescent="0.25">
      <c r="A8" s="61">
        <v>46176</v>
      </c>
      <c r="B8" s="62">
        <f>IF($A8="","",[1]!thsiFinD("ths_adjustment_nv_fund",B$3,$A8))</f>
        <v>5.2149999999999999</v>
      </c>
      <c r="C8" s="62">
        <f>IF($A8="","",[1]!thsiFinD("ths_adjustment_nv_fund",C$3,$A8))</f>
        <v>3.3028</v>
      </c>
      <c r="D8" s="62">
        <f>IF($A8="","",[1]!thsiFinD("ths_adjustment_nv_fund",D$3,$A8))</f>
        <v>4.1266999999999996</v>
      </c>
      <c r="E8" s="62">
        <f>IF($A8="","",[1]!thsiFinD("ths_adjustment_nv_fund",E$3,$A8))</f>
        <v>2.5747</v>
      </c>
      <c r="F8" s="62">
        <f>IF($A8="","",[1]!thsiFinD("ths_adjustment_nv_fund",F$3,$A8))</f>
        <v>1.5893999999999999</v>
      </c>
      <c r="G8" s="62">
        <f>IF($A8="","",[1]!thsiFinD("ths_adjustment_nv_fund",G$3,$A8))</f>
        <v>1.6348</v>
      </c>
      <c r="H8" s="62">
        <f>IF($A8="","",[1]!thsiFinD("ths_adjustment_nv_fund",H$3,$A8))</f>
        <v>2.0617000000000001</v>
      </c>
      <c r="I8" s="62">
        <f>IF($A8="","",[1]!thsiFinD("ths_adjustment_nv_fund",I$3,$A8))</f>
        <v>1.9628000000000001</v>
      </c>
      <c r="J8" s="62">
        <f>IF($A8="","",[1]!thsiFinD("ths_adjustment_nv_fund",J$3,$A8))</f>
        <v>1.7867999999999999</v>
      </c>
      <c r="K8" s="62">
        <f>IF($A8="","",[1]!thsiFinD("ths_adjustment_nv_fund",K$3,$A8))</f>
        <v>3.3725999999999998</v>
      </c>
      <c r="L8" s="62">
        <f>IF($A8="","",[1]!thsiFinD("ths_adjustment_nv_fund",L$3,$A8))</f>
        <v>2.3847</v>
      </c>
      <c r="M8" s="62">
        <f>IF($A8="","",[1]!thsiFinD("ths_adjustment_nv_fund",M$3,$A8))</f>
        <v>4.7329999999999997</v>
      </c>
      <c r="N8" s="62">
        <f>IF($A8="","",[1]!thsiFinD("ths_adjustment_nv_fund",N$3,$A8))</f>
        <v>1.3165753349</v>
      </c>
    </row>
    <row r="9" spans="1:14" x14ac:dyDescent="0.25">
      <c r="A9" s="61">
        <v>46177</v>
      </c>
      <c r="B9" s="62">
        <f>IF($A9="","",[1]!thsiFinD("ths_adjustment_nv_fund",B$3,$A9))</f>
        <v>5.2619999999999996</v>
      </c>
      <c r="C9" s="62">
        <f>IF($A9="","",[1]!thsiFinD("ths_adjustment_nv_fund",C$3,$A9))</f>
        <v>3.2991000000000001</v>
      </c>
      <c r="D9" s="62">
        <f>IF($A9="","",[1]!thsiFinD("ths_adjustment_nv_fund",D$3,$A9))</f>
        <v>4.1130000000000004</v>
      </c>
      <c r="E9" s="62">
        <f>IF($A9="","",[1]!thsiFinD("ths_adjustment_nv_fund",E$3,$A9))</f>
        <v>2.6434000000000002</v>
      </c>
      <c r="F9" s="62">
        <f>IF($A9="","",[1]!thsiFinD("ths_adjustment_nv_fund",F$3,$A9))</f>
        <v>1.5814999999999999</v>
      </c>
      <c r="G9" s="62">
        <f>IF($A9="","",[1]!thsiFinD("ths_adjustment_nv_fund",G$3,$A9))</f>
        <v>1.6266</v>
      </c>
      <c r="H9" s="62">
        <f>IF($A9="","",[1]!thsiFinD("ths_adjustment_nv_fund",H$3,$A9))</f>
        <v>2.0602999999999998</v>
      </c>
      <c r="I9" s="62">
        <f>IF($A9="","",[1]!thsiFinD("ths_adjustment_nv_fund",I$3,$A9))</f>
        <v>1.9539</v>
      </c>
      <c r="J9" s="62">
        <f>IF($A9="","",[1]!thsiFinD("ths_adjustment_nv_fund",J$3,$A9))</f>
        <v>1.7879</v>
      </c>
      <c r="K9" s="62">
        <f>IF($A9="","",[1]!thsiFinD("ths_adjustment_nv_fund",K$3,$A9))</f>
        <v>3.3774999999999999</v>
      </c>
      <c r="L9" s="62">
        <f>IF($A9="","",[1]!thsiFinD("ths_adjustment_nv_fund",L$3,$A9))</f>
        <v>2.4727000000000001</v>
      </c>
      <c r="M9" s="62">
        <f>IF($A9="","",[1]!thsiFinD("ths_adjustment_nv_fund",M$3,$A9))</f>
        <v>4.7194000000000003</v>
      </c>
      <c r="N9" s="62">
        <f>IF($A9="","",[1]!thsiFinD("ths_adjustment_nv_fund",N$3,$A9))</f>
        <v>1.3166245616000001</v>
      </c>
    </row>
    <row r="10" spans="1:14" x14ac:dyDescent="0.25">
      <c r="A10" s="61">
        <v>46178</v>
      </c>
      <c r="B10" s="62">
        <f>IF($A10="","",[1]!thsiFinD("ths_adjustment_nv_fund",B$3,$A10))</f>
        <v>5.0990000000000002</v>
      </c>
      <c r="C10" s="62">
        <f>IF($A10="","",[1]!thsiFinD("ths_adjustment_nv_fund",C$3,$A10))</f>
        <v>3.1932</v>
      </c>
      <c r="D10" s="62">
        <f>IF($A10="","",[1]!thsiFinD("ths_adjustment_nv_fund",D$3,$A10))</f>
        <v>3.9333</v>
      </c>
      <c r="E10" s="62">
        <f>IF($A10="","",[1]!thsiFinD("ths_adjustment_nv_fund",E$3,$A10))</f>
        <v>2.5175999999999998</v>
      </c>
      <c r="F10" s="62">
        <f>IF($A10="","",[1]!thsiFinD("ths_adjustment_nv_fund",F$3,$A10))</f>
        <v>1.5605</v>
      </c>
      <c r="G10" s="62">
        <f>IF($A10="","",[1]!thsiFinD("ths_adjustment_nv_fund",G$3,$A10))</f>
        <v>1.6080000000000001</v>
      </c>
      <c r="H10" s="62">
        <f>IF($A10="","",[1]!thsiFinD("ths_adjustment_nv_fund",H$3,$A10))</f>
        <v>2.0581</v>
      </c>
      <c r="I10" s="62">
        <f>IF($A10="","",[1]!thsiFinD("ths_adjustment_nv_fund",I$3,$A10))</f>
        <v>1.9209000000000001</v>
      </c>
      <c r="J10" s="62">
        <f>IF($A10="","",[1]!thsiFinD("ths_adjustment_nv_fund",J$3,$A10))</f>
        <v>1.7867999999999999</v>
      </c>
      <c r="K10" s="62">
        <f>IF($A10="","",[1]!thsiFinD("ths_adjustment_nv_fund",K$3,$A10))</f>
        <v>3.3763000000000001</v>
      </c>
      <c r="L10" s="62">
        <f>IF($A10="","",[1]!thsiFinD("ths_adjustment_nv_fund",L$3,$A10))</f>
        <v>2.3969</v>
      </c>
      <c r="M10" s="62">
        <f>IF($A10="","",[1]!thsiFinD("ths_adjustment_nv_fund",M$3,$A10))</f>
        <v>4.6059999999999999</v>
      </c>
      <c r="N10" s="62">
        <f>IF($A10="","",[1]!thsiFinD("ths_adjustment_nv_fund",N$3,$A10))</f>
        <v>1.3166690372000001</v>
      </c>
    </row>
    <row r="11" spans="1:14" x14ac:dyDescent="0.25">
      <c r="A11" s="63">
        <v>46181</v>
      </c>
      <c r="B11" s="62">
        <f>IF($A11="","",[1]!thsiFinD("ths_adjustment_nv_fund",B$3,$A11))</f>
        <v>5.0090000000000003</v>
      </c>
      <c r="C11" s="62">
        <f>IF($A11="","",[1]!thsiFinD("ths_adjustment_nv_fund",C$3,$A11))</f>
        <v>3.0775000000000001</v>
      </c>
      <c r="D11" s="62">
        <f>IF($A11="","",[1]!thsiFinD("ths_adjustment_nv_fund",D$3,$A11))</f>
        <v>3.8208000000000002</v>
      </c>
      <c r="E11" s="62">
        <f>IF($A11="","",[1]!thsiFinD("ths_adjustment_nv_fund",E$3,$A11))</f>
        <v>2.4054000000000002</v>
      </c>
      <c r="F11" s="62">
        <f>IF($A11="","",[1]!thsiFinD("ths_adjustment_nv_fund",F$3,$A11))</f>
        <v>1.506</v>
      </c>
      <c r="G11" s="62">
        <f>IF($A11="","",[1]!thsiFinD("ths_adjustment_nv_fund",G$3,$A11))</f>
        <v>1.5555000000000001</v>
      </c>
      <c r="H11" s="62">
        <f>IF($A11="","",[1]!thsiFinD("ths_adjustment_nv_fund",H$3,$A11))</f>
        <v>1.9891000000000001</v>
      </c>
      <c r="I11" s="62">
        <f>IF($A11="","",[1]!thsiFinD("ths_adjustment_nv_fund",I$3,$A11))</f>
        <v>1.8813</v>
      </c>
      <c r="J11" s="62">
        <f>IF($A11="","",[1]!thsiFinD("ths_adjustment_nv_fund",J$3,$A11))</f>
        <v>1.786</v>
      </c>
      <c r="K11" s="62">
        <f>IF($A11="","",[1]!thsiFinD("ths_adjustment_nv_fund",K$3,$A11))</f>
        <v>3.2629000000000001</v>
      </c>
      <c r="L11" s="62">
        <f>IF($A11="","",[1]!thsiFinD("ths_adjustment_nv_fund",L$3,$A11))</f>
        <v>2.3266</v>
      </c>
      <c r="M11" s="62">
        <f>IF($A11="","",[1]!thsiFinD("ths_adjustment_nv_fund",M$3,$A11))</f>
        <v>4.4541000000000004</v>
      </c>
      <c r="N11" s="62">
        <f>IF($A11="","",[1]!thsiFinD("ths_adjustment_nv_fund",N$3,$A11))</f>
        <v>1.3168080428</v>
      </c>
    </row>
    <row r="12" spans="1:14" x14ac:dyDescent="0.25">
      <c r="A12" s="63">
        <v>46182</v>
      </c>
      <c r="B12" s="62">
        <f>IF($A12="","",[1]!thsiFinD("ths_adjustment_nv_fund",B$3,$A12))</f>
        <v>5.3029999999999999</v>
      </c>
      <c r="C12" s="62">
        <f>IF($A12="","",[1]!thsiFinD("ths_adjustment_nv_fund",C$3,$A12))</f>
        <v>3.2503000000000002</v>
      </c>
      <c r="D12" s="62">
        <f>IF($A12="","",[1]!thsiFinD("ths_adjustment_nv_fund",D$3,$A12))</f>
        <v>4.0077999999999996</v>
      </c>
      <c r="E12" s="62">
        <f>IF($A12="","",[1]!thsiFinD("ths_adjustment_nv_fund",E$3,$A12))</f>
        <v>2.5470999999999999</v>
      </c>
      <c r="F12" s="62">
        <f>IF($A12="","",[1]!thsiFinD("ths_adjustment_nv_fund",F$3,$A12))</f>
        <v>1.5409999999999999</v>
      </c>
      <c r="G12" s="62">
        <f>IF($A12="","",[1]!thsiFinD("ths_adjustment_nv_fund",G$3,$A12))</f>
        <v>1.6001000000000001</v>
      </c>
      <c r="H12" s="62">
        <f>IF($A12="","",[1]!thsiFinD("ths_adjustment_nv_fund",H$3,$A12))</f>
        <v>2.0379</v>
      </c>
      <c r="I12" s="62">
        <f>IF($A12="","",[1]!thsiFinD("ths_adjustment_nv_fund",I$3,$A12))</f>
        <v>1.9145000000000001</v>
      </c>
      <c r="J12" s="62">
        <f>IF($A12="","",[1]!thsiFinD("ths_adjustment_nv_fund",J$3,$A12))</f>
        <v>1.7847</v>
      </c>
      <c r="K12" s="62">
        <f>IF($A12="","",[1]!thsiFinD("ths_adjustment_nv_fund",K$3,$A12))</f>
        <v>3.2751999999999999</v>
      </c>
      <c r="L12" s="62">
        <f>IF($A12="","",[1]!thsiFinD("ths_adjustment_nv_fund",L$3,$A12))</f>
        <v>2.4996</v>
      </c>
      <c r="M12" s="62">
        <f>IF($A12="","",[1]!thsiFinD("ths_adjustment_nv_fund",M$3,$A12))</f>
        <v>4.6780999999999997</v>
      </c>
      <c r="N12" s="62">
        <f>IF($A12="","",[1]!thsiFinD("ths_adjustment_nv_fund",N$3,$A12))</f>
        <v>1.3168571598000001</v>
      </c>
    </row>
    <row r="13" spans="1:14" x14ac:dyDescent="0.25">
      <c r="A13" s="63">
        <v>46183</v>
      </c>
      <c r="B13" s="62">
        <f>IF($A13="","",[1]!thsiFinD("ths_adjustment_nv_fund",B$3,$A13))</f>
        <v>5.1840000000000002</v>
      </c>
      <c r="C13" s="62">
        <f>IF($A13="","",[1]!thsiFinD("ths_adjustment_nv_fund",C$3,$A13))</f>
        <v>3.1173000000000002</v>
      </c>
      <c r="D13" s="62">
        <f>IF($A13="","",[1]!thsiFinD("ths_adjustment_nv_fund",D$3,$A13))</f>
        <v>3.867</v>
      </c>
      <c r="E13" s="62">
        <f>IF($A13="","",[1]!thsiFinD("ths_adjustment_nv_fund",E$3,$A13))</f>
        <v>2.5436000000000001</v>
      </c>
      <c r="F13" s="62">
        <f>IF($A13="","",[1]!thsiFinD("ths_adjustment_nv_fund",F$3,$A13))</f>
        <v>1.5274000000000001</v>
      </c>
      <c r="G13" s="62">
        <f>IF($A13="","",[1]!thsiFinD("ths_adjustment_nv_fund",G$3,$A13))</f>
        <v>1.5778000000000001</v>
      </c>
      <c r="H13" s="62">
        <f>IF($A13="","",[1]!thsiFinD("ths_adjustment_nv_fund",H$3,$A13))</f>
        <v>2.008</v>
      </c>
      <c r="I13" s="62">
        <f>IF($A13="","",[1]!thsiFinD("ths_adjustment_nv_fund",I$3,$A13))</f>
        <v>1.8953</v>
      </c>
      <c r="J13" s="62">
        <f>IF($A13="","",[1]!thsiFinD("ths_adjustment_nv_fund",J$3,$A13))</f>
        <v>1.7830999999999999</v>
      </c>
      <c r="K13" s="62">
        <f>IF($A13="","",[1]!thsiFinD("ths_adjustment_nv_fund",K$3,$A13))</f>
        <v>3.1730999999999998</v>
      </c>
      <c r="L13" s="62">
        <f>IF($A13="","",[1]!thsiFinD("ths_adjustment_nv_fund",L$3,$A13))</f>
        <v>2.5573000000000001</v>
      </c>
      <c r="M13" s="62">
        <f>IF($A13="","",[1]!thsiFinD("ths_adjustment_nv_fund",M$3,$A13))</f>
        <v>4.5232000000000001</v>
      </c>
      <c r="N13" s="62">
        <f>IF($A13="","",[1]!thsiFinD("ths_adjustment_nv_fund",N$3,$A13))</f>
        <v>1.3169025913000001</v>
      </c>
    </row>
    <row r="14" spans="1:14" x14ac:dyDescent="0.25">
      <c r="A14" s="63">
        <v>46184</v>
      </c>
      <c r="B14" s="62">
        <f>IF($A14="","",[1]!thsiFinD("ths_adjustment_nv_fund",B$3,$A14))</f>
        <v>5.1680000000000001</v>
      </c>
      <c r="C14" s="62">
        <f>IF($A14="","",[1]!thsiFinD("ths_adjustment_nv_fund",C$3,$A14))</f>
        <v>3.125</v>
      </c>
      <c r="D14" s="62">
        <f>IF($A14="","",[1]!thsiFinD("ths_adjustment_nv_fund",D$3,$A14))</f>
        <v>3.8191000000000002</v>
      </c>
      <c r="E14" s="62">
        <f>IF($A14="","",[1]!thsiFinD("ths_adjustment_nv_fund",E$3,$A14))</f>
        <v>2.6280999999999999</v>
      </c>
      <c r="F14" s="62">
        <f>IF($A14="","",[1]!thsiFinD("ths_adjustment_nv_fund",F$3,$A14))</f>
        <v>1.5225</v>
      </c>
      <c r="G14" s="62">
        <f>IF($A14="","",[1]!thsiFinD("ths_adjustment_nv_fund",G$3,$A14))</f>
        <v>1.5741000000000001</v>
      </c>
      <c r="H14" s="62">
        <f>IF($A14="","",[1]!thsiFinD("ths_adjustment_nv_fund",H$3,$A14))</f>
        <v>2.0013000000000001</v>
      </c>
      <c r="I14" s="62">
        <f>IF($A14="","",[1]!thsiFinD("ths_adjustment_nv_fund",I$3,$A14))</f>
        <v>1.8852</v>
      </c>
      <c r="J14" s="62">
        <f>IF($A14="","",[1]!thsiFinD("ths_adjustment_nv_fund",J$3,$A14))</f>
        <v>1.782</v>
      </c>
      <c r="K14" s="62">
        <f>IF($A14="","",[1]!thsiFinD("ths_adjustment_nv_fund",K$3,$A14))</f>
        <v>3.1042000000000001</v>
      </c>
      <c r="L14" s="62">
        <f>IF($A14="","",[1]!thsiFinD("ths_adjustment_nv_fund",L$3,$A14))</f>
        <v>2.6857000000000002</v>
      </c>
      <c r="M14" s="62">
        <f>IF($A14="","",[1]!thsiFinD("ths_adjustment_nv_fund",M$3,$A14))</f>
        <v>4.452</v>
      </c>
      <c r="N14" s="62">
        <f>IF($A14="","",[1]!thsiFinD("ths_adjustment_nv_fund",N$3,$A14))</f>
        <v>1.3169519092999999</v>
      </c>
    </row>
    <row r="15" spans="1:14" x14ac:dyDescent="0.25">
      <c r="A15" s="63">
        <v>46185</v>
      </c>
      <c r="B15" s="62">
        <f>IF($A15="","",[1]!thsiFinD("ths_adjustment_nv_fund",B$3,$A15))</f>
        <v>5.1470000000000002</v>
      </c>
      <c r="C15" s="62">
        <f>IF($A15="","",[1]!thsiFinD("ths_adjustment_nv_fund",C$3,$A15))</f>
        <v>3.0912000000000002</v>
      </c>
      <c r="D15" s="62">
        <f>IF($A15="","",[1]!thsiFinD("ths_adjustment_nv_fund",D$3,$A15))</f>
        <v>3.7906</v>
      </c>
      <c r="E15" s="62">
        <f>IF($A15="","",[1]!thsiFinD("ths_adjustment_nv_fund",E$3,$A15))</f>
        <v>2.6555</v>
      </c>
      <c r="F15" s="62">
        <f>IF($A15="","",[1]!thsiFinD("ths_adjustment_nv_fund",F$3,$A15))</f>
        <v>1.5447</v>
      </c>
      <c r="G15" s="62">
        <f>IF($A15="","",[1]!thsiFinD("ths_adjustment_nv_fund",G$3,$A15))</f>
        <v>1.5880000000000001</v>
      </c>
      <c r="H15" s="62">
        <f>IF($A15="","",[1]!thsiFinD("ths_adjustment_nv_fund",H$3,$A15))</f>
        <v>2.0091999999999999</v>
      </c>
      <c r="I15" s="62">
        <f>IF($A15="","",[1]!thsiFinD("ths_adjustment_nv_fund",I$3,$A15))</f>
        <v>1.91</v>
      </c>
      <c r="J15" s="62">
        <f>IF($A15="","",[1]!thsiFinD("ths_adjustment_nv_fund",J$3,$A15))</f>
        <v>1.7829999999999999</v>
      </c>
      <c r="K15" s="62">
        <f>IF($A15="","",[1]!thsiFinD("ths_adjustment_nv_fund",K$3,$A15))</f>
        <v>3.1448999999999998</v>
      </c>
      <c r="L15" s="62">
        <f>IF($A15="","",[1]!thsiFinD("ths_adjustment_nv_fund",L$3,$A15))</f>
        <v>2.6259999999999999</v>
      </c>
      <c r="M15" s="62">
        <f>IF($A15="","",[1]!thsiFinD("ths_adjustment_nv_fund",M$3,$A15))</f>
        <v>4.4024999999999999</v>
      </c>
      <c r="N15" s="62">
        <f>IF($A15="","",[1]!thsiFinD("ths_adjustment_nv_fund",N$3,$A15))</f>
        <v>1.3169952502</v>
      </c>
    </row>
    <row r="16" spans="1:14" x14ac:dyDescent="0.25">
      <c r="A16" s="63">
        <v>46188</v>
      </c>
      <c r="B16" s="62">
        <f>IF($A16="","",[1]!thsiFinD("ths_adjustment_nv_fund",B$3,$A16))</f>
        <v>5.55</v>
      </c>
      <c r="C16" s="62">
        <f>IF($A16="","",[1]!thsiFinD("ths_adjustment_nv_fund",C$3,$A16))</f>
        <v>3.3567999999999998</v>
      </c>
      <c r="D16" s="62">
        <f>IF($A16="","",[1]!thsiFinD("ths_adjustment_nv_fund",D$3,$A16))</f>
        <v>4.0603999999999996</v>
      </c>
      <c r="E16" s="62">
        <f>IF($A16="","",[1]!thsiFinD("ths_adjustment_nv_fund",E$3,$A16))</f>
        <v>2.7900999999999998</v>
      </c>
      <c r="F16" s="62">
        <f>IF($A16="","",[1]!thsiFinD("ths_adjustment_nv_fund",F$3,$A16))</f>
        <v>1.5954999999999999</v>
      </c>
      <c r="G16" s="62">
        <f>IF($A16="","",[1]!thsiFinD("ths_adjustment_nv_fund",G$3,$A16))</f>
        <v>1.6476999999999999</v>
      </c>
      <c r="H16" s="62">
        <f>IF($A16="","",[1]!thsiFinD("ths_adjustment_nv_fund",H$3,$A16))</f>
        <v>2.0804</v>
      </c>
      <c r="I16" s="62">
        <f>IF($A16="","",[1]!thsiFinD("ths_adjustment_nv_fund",I$3,$A16))</f>
        <v>1.9591000000000001</v>
      </c>
      <c r="J16" s="62">
        <f>IF($A16="","",[1]!thsiFinD("ths_adjustment_nv_fund",J$3,$A16))</f>
        <v>1.7836000000000001</v>
      </c>
      <c r="K16" s="62">
        <f>IF($A16="","",[1]!thsiFinD("ths_adjustment_nv_fund",K$3,$A16))</f>
        <v>3.2471000000000001</v>
      </c>
      <c r="L16" s="62">
        <f>IF($A16="","",[1]!thsiFinD("ths_adjustment_nv_fund",L$3,$A16))</f>
        <v>2.7366000000000001</v>
      </c>
      <c r="M16" s="62">
        <f>IF($A16="","",[1]!thsiFinD("ths_adjustment_nv_fund",M$3,$A16))</f>
        <v>4.6576000000000004</v>
      </c>
      <c r="N16" s="62">
        <f>IF($A16="","",[1]!thsiFinD("ths_adjustment_nv_fund",N$3,$A16))</f>
        <v>1.3171341190999999</v>
      </c>
    </row>
    <row r="17" spans="1:14" x14ac:dyDescent="0.25">
      <c r="A17" s="63">
        <v>46189</v>
      </c>
      <c r="B17" s="62">
        <f>IF($A17="","",[1]!thsiFinD("ths_adjustment_nv_fund",B$3,$A17))</f>
        <v>5.7850000000000001</v>
      </c>
      <c r="C17" s="62">
        <f>IF($A17="","",[1]!thsiFinD("ths_adjustment_nv_fund",C$3,$A17))</f>
        <v>3.4885999999999999</v>
      </c>
      <c r="D17" s="62">
        <f>IF($A17="","",[1]!thsiFinD("ths_adjustment_nv_fund",D$3,$A17))</f>
        <v>4.1742999999999997</v>
      </c>
      <c r="E17" s="62">
        <f>IF($A17="","",[1]!thsiFinD("ths_adjustment_nv_fund",E$3,$A17))</f>
        <v>2.7690000000000001</v>
      </c>
      <c r="F17" s="62">
        <f>IF($A17="","",[1]!thsiFinD("ths_adjustment_nv_fund",F$3,$A17))</f>
        <v>1.6109</v>
      </c>
      <c r="G17" s="62">
        <f>IF($A17="","",[1]!thsiFinD("ths_adjustment_nv_fund",G$3,$A17))</f>
        <v>1.6732</v>
      </c>
      <c r="H17" s="62">
        <f>IF($A17="","",[1]!thsiFinD("ths_adjustment_nv_fund",H$3,$A17))</f>
        <v>2.1151</v>
      </c>
      <c r="I17" s="62">
        <f>IF($A17="","",[1]!thsiFinD("ths_adjustment_nv_fund",I$3,$A17))</f>
        <v>1.9599</v>
      </c>
      <c r="J17" s="62">
        <f>IF($A17="","",[1]!thsiFinD("ths_adjustment_nv_fund",J$3,$A17))</f>
        <v>1.7851999999999999</v>
      </c>
      <c r="K17" s="62">
        <f>IF($A17="","",[1]!thsiFinD("ths_adjustment_nv_fund",K$3,$A17))</f>
        <v>3.2593999999999999</v>
      </c>
      <c r="L17" s="62">
        <f>IF($A17="","",[1]!thsiFinD("ths_adjustment_nv_fund",L$3,$A17))</f>
        <v>2.7553000000000001</v>
      </c>
      <c r="M17" s="62">
        <f>IF($A17="","",[1]!thsiFinD("ths_adjustment_nv_fund",M$3,$A17))</f>
        <v>4.7888999999999999</v>
      </c>
      <c r="N17" s="62">
        <f>IF($A17="","",[1]!thsiFinD("ths_adjustment_nv_fund",N$3,$A17))</f>
        <v>1.3171844073000001</v>
      </c>
    </row>
    <row r="18" spans="1:14" x14ac:dyDescent="0.25">
      <c r="A18" s="63">
        <v>46190</v>
      </c>
      <c r="B18" s="62">
        <f>IF($A18="","",[1]!thsiFinD("ths_adjustment_nv_fund",B$3,$A18))</f>
        <v>5.9009999999999998</v>
      </c>
      <c r="C18" s="62">
        <f>IF($A18="","",[1]!thsiFinD("ths_adjustment_nv_fund",C$3,$A18))</f>
        <v>3.5251999999999999</v>
      </c>
      <c r="D18" s="62">
        <f>IF($A18="","",[1]!thsiFinD("ths_adjustment_nv_fund",D$3,$A18))</f>
        <v>4.2506000000000004</v>
      </c>
      <c r="E18" s="62">
        <f>IF($A18="","",[1]!thsiFinD("ths_adjustment_nv_fund",E$3,$A18))</f>
        <v>2.9683000000000002</v>
      </c>
      <c r="F18" s="62">
        <f>IF($A18="","",[1]!thsiFinD("ths_adjustment_nv_fund",F$3,$A18))</f>
        <v>1.6294999999999999</v>
      </c>
      <c r="G18" s="62">
        <f>IF($A18="","",[1]!thsiFinD("ths_adjustment_nv_fund",G$3,$A18))</f>
        <v>1.6872</v>
      </c>
      <c r="H18" s="62">
        <f>IF($A18="","",[1]!thsiFinD("ths_adjustment_nv_fund",H$3,$A18))</f>
        <v>2.121</v>
      </c>
      <c r="I18" s="62">
        <f>IF($A18="","",[1]!thsiFinD("ths_adjustment_nv_fund",I$3,$A18))</f>
        <v>1.9793000000000001</v>
      </c>
      <c r="J18" s="62">
        <f>IF($A18="","",[1]!thsiFinD("ths_adjustment_nv_fund",J$3,$A18))</f>
        <v>1.7864</v>
      </c>
      <c r="K18" s="62">
        <f>IF($A18="","",[1]!thsiFinD("ths_adjustment_nv_fund",K$3,$A18))</f>
        <v>3.2551000000000001</v>
      </c>
      <c r="L18" s="62">
        <f>IF($A18="","",[1]!thsiFinD("ths_adjustment_nv_fund",L$3,$A18))</f>
        <v>2.9470999999999998</v>
      </c>
      <c r="M18" s="62">
        <f>IF($A18="","",[1]!thsiFinD("ths_adjustment_nv_fund",M$3,$A18))</f>
        <v>4.8559000000000001</v>
      </c>
      <c r="N18" s="62">
        <f>IF($A18="","",[1]!thsiFinD("ths_adjustment_nv_fund",N$3,$A18))</f>
        <v>1.3172301530999999</v>
      </c>
    </row>
    <row r="19" spans="1:14" x14ac:dyDescent="0.25">
      <c r="A19" s="63">
        <v>46191</v>
      </c>
      <c r="B19" s="62">
        <f>IF($A19="","",[1]!thsiFinD("ths_adjustment_nv_fund",B$3,$A19))</f>
        <v>6.0620000000000003</v>
      </c>
      <c r="C19" s="62">
        <f>IF($A19="","",[1]!thsiFinD("ths_adjustment_nv_fund",C$3,$A19))</f>
        <v>3.6402000000000001</v>
      </c>
      <c r="D19" s="62">
        <f>IF($A19="","",[1]!thsiFinD("ths_adjustment_nv_fund",D$3,$A19))</f>
        <v>4.3864000000000001</v>
      </c>
      <c r="E19" s="62">
        <f>IF($A19="","",[1]!thsiFinD("ths_adjustment_nv_fund",E$3,$A19))</f>
        <v>3.0303</v>
      </c>
      <c r="F19" s="62">
        <f>IF($A19="","",[1]!thsiFinD("ths_adjustment_nv_fund",F$3,$A19))</f>
        <v>1.6274999999999999</v>
      </c>
      <c r="G19" s="62">
        <f>IF($A19="","",[1]!thsiFinD("ths_adjustment_nv_fund",G$3,$A19))</f>
        <v>1.7014</v>
      </c>
      <c r="H19" s="62">
        <f>IF($A19="","",[1]!thsiFinD("ths_adjustment_nv_fund",H$3,$A19))</f>
        <v>2.1385999999999998</v>
      </c>
      <c r="I19" s="62">
        <f>IF($A19="","",[1]!thsiFinD("ths_adjustment_nv_fund",I$3,$A19))</f>
        <v>1.9903999999999999</v>
      </c>
      <c r="J19" s="62">
        <f>IF($A19="","",[1]!thsiFinD("ths_adjustment_nv_fund",J$3,$A19))</f>
        <v>1.7868999999999999</v>
      </c>
      <c r="K19" s="62">
        <f>IF($A19="","",[1]!thsiFinD("ths_adjustment_nv_fund",K$3,$A19))</f>
        <v>3.2441</v>
      </c>
      <c r="L19" s="62">
        <f>IF($A19="","",[1]!thsiFinD("ths_adjustment_nv_fund",L$3,$A19))</f>
        <v>2.9918</v>
      </c>
      <c r="M19" s="62">
        <f>IF($A19="","",[1]!thsiFinD("ths_adjustment_nv_fund",M$3,$A19))</f>
        <v>5.0274999999999999</v>
      </c>
      <c r="N19" s="62">
        <f>IF($A19="","",[1]!thsiFinD("ths_adjustment_nv_fund",N$3,$A19))</f>
        <v>1.3172784822000001</v>
      </c>
    </row>
    <row r="20" spans="1:14" x14ac:dyDescent="0.25">
      <c r="A20" s="63">
        <v>46195</v>
      </c>
      <c r="B20" s="62">
        <f>IF($A20="","",[1]!thsiFinD("ths_adjustment_nv_fund",B$3,$A20))</f>
        <v>6.2590000000000003</v>
      </c>
      <c r="C20" s="62">
        <f>IF($A20="","",[1]!thsiFinD("ths_adjustment_nv_fund",C$3,$A20))</f>
        <v>3.7212000000000001</v>
      </c>
      <c r="D20" s="62">
        <f>IF($A20="","",[1]!thsiFinD("ths_adjustment_nv_fund",D$3,$A20))</f>
        <v>4.5077999999999996</v>
      </c>
      <c r="E20" s="62">
        <f>IF($A20="","",[1]!thsiFinD("ths_adjustment_nv_fund",E$3,$A20))</f>
        <v>3.0779000000000001</v>
      </c>
      <c r="F20" s="62">
        <f>IF($A20="","",[1]!thsiFinD("ths_adjustment_nv_fund",F$3,$A20))</f>
        <v>1.6669</v>
      </c>
      <c r="G20" s="62">
        <f>IF($A20="","",[1]!thsiFinD("ths_adjustment_nv_fund",G$3,$A20))</f>
        <v>1.7336</v>
      </c>
      <c r="H20" s="62">
        <f>IF($A20="","",[1]!thsiFinD("ths_adjustment_nv_fund",H$3,$A20))</f>
        <v>2.1396999999999999</v>
      </c>
      <c r="I20" s="62">
        <f>IF($A20="","",[1]!thsiFinD("ths_adjustment_nv_fund",I$3,$A20))</f>
        <v>2.0345</v>
      </c>
      <c r="J20" s="62">
        <f>IF($A20="","",[1]!thsiFinD("ths_adjustment_nv_fund",J$3,$A20))</f>
        <v>1.7870999999999999</v>
      </c>
      <c r="K20" s="62">
        <f>IF($A20="","",[1]!thsiFinD("ths_adjustment_nv_fund",K$3,$A20))</f>
        <v>3.1680000000000001</v>
      </c>
      <c r="L20" s="62">
        <f>IF($A20="","",[1]!thsiFinD("ths_adjustment_nv_fund",L$3,$A20))</f>
        <v>3.0754000000000001</v>
      </c>
      <c r="M20" s="62">
        <f>IF($A20="","",[1]!thsiFinD("ths_adjustment_nv_fund",M$3,$A20))</f>
        <v>5.1120999999999999</v>
      </c>
      <c r="N20" s="62">
        <f>IF($A20="","",[1]!thsiFinD("ths_adjustment_nv_fund",N$3,$A20))</f>
        <v>1.3174603815000001</v>
      </c>
    </row>
    <row r="21" spans="1:14" x14ac:dyDescent="0.25">
      <c r="A21" s="63">
        <v>46196</v>
      </c>
      <c r="B21" s="62">
        <f>IF($A21="","",[1]!thsiFinD("ths_adjustment_nv_fund",B$3,$A21))</f>
        <v>5.9960000000000004</v>
      </c>
      <c r="C21" s="62">
        <f>IF($A21="","",[1]!thsiFinD("ths_adjustment_nv_fund",C$3,$A21))</f>
        <v>3.6162000000000001</v>
      </c>
      <c r="D21" s="62">
        <f>IF($A21="","",[1]!thsiFinD("ths_adjustment_nv_fund",D$3,$A21))</f>
        <v>4.4028</v>
      </c>
      <c r="E21" s="62">
        <f>IF($A21="","",[1]!thsiFinD("ths_adjustment_nv_fund",E$3,$A21))</f>
        <v>3.1004999999999998</v>
      </c>
      <c r="F21" s="62">
        <f>IF($A21="","",[1]!thsiFinD("ths_adjustment_nv_fund",F$3,$A21))</f>
        <v>1.6389</v>
      </c>
      <c r="G21" s="62">
        <f>IF($A21="","",[1]!thsiFinD("ths_adjustment_nv_fund",G$3,$A21))</f>
        <v>1.6997</v>
      </c>
      <c r="H21" s="62">
        <f>IF($A21="","",[1]!thsiFinD("ths_adjustment_nv_fund",H$3,$A21))</f>
        <v>2.1276000000000002</v>
      </c>
      <c r="I21" s="62">
        <f>IF($A21="","",[1]!thsiFinD("ths_adjustment_nv_fund",I$3,$A21))</f>
        <v>1.9837</v>
      </c>
      <c r="J21" s="62">
        <f>IF($A21="","",[1]!thsiFinD("ths_adjustment_nv_fund",J$3,$A21))</f>
        <v>1.7863</v>
      </c>
      <c r="K21" s="62">
        <f>IF($A21="","",[1]!thsiFinD("ths_adjustment_nv_fund",K$3,$A21))</f>
        <v>3.1160000000000001</v>
      </c>
      <c r="L21" s="62">
        <f>IF($A21="","",[1]!thsiFinD("ths_adjustment_nv_fund",L$3,$A21))</f>
        <v>3.0746000000000002</v>
      </c>
      <c r="M21" s="62">
        <f>IF($A21="","",[1]!thsiFinD("ths_adjustment_nv_fund",M$3,$A21))</f>
        <v>4.9664999999999999</v>
      </c>
      <c r="N21" s="62">
        <f>IF($A21="","",[1]!thsiFinD("ths_adjustment_nv_fund",N$3,$A21))</f>
        <v>1.3175125002000001</v>
      </c>
    </row>
    <row r="22" spans="1:14" x14ac:dyDescent="0.25">
      <c r="A22" s="63">
        <v>46197</v>
      </c>
      <c r="B22" s="62">
        <f>IF($A22="","",[1]!thsiFinD("ths_adjustment_nv_fund",B$3,$A22))</f>
        <v>6.1130000000000004</v>
      </c>
      <c r="C22" s="62">
        <f>IF($A22="","",[1]!thsiFinD("ths_adjustment_nv_fund",C$3,$A22))</f>
        <v>3.7086999999999999</v>
      </c>
      <c r="D22" s="62">
        <f>IF($A22="","",[1]!thsiFinD("ths_adjustment_nv_fund",D$3,$A22))</f>
        <v>4.5109000000000004</v>
      </c>
      <c r="E22" s="62">
        <f>IF($A22="","",[1]!thsiFinD("ths_adjustment_nv_fund",E$3,$A22))</f>
        <v>3.3530000000000002</v>
      </c>
      <c r="F22" s="62">
        <f>IF($A22="","",[1]!thsiFinD("ths_adjustment_nv_fund",F$3,$A22))</f>
        <v>1.6618999999999999</v>
      </c>
      <c r="G22" s="62">
        <f>IF($A22="","",[1]!thsiFinD("ths_adjustment_nv_fund",G$3,$A22))</f>
        <v>1.7213000000000001</v>
      </c>
      <c r="H22" s="62">
        <f>IF($A22="","",[1]!thsiFinD("ths_adjustment_nv_fund",H$3,$A22))</f>
        <v>2.1312000000000002</v>
      </c>
      <c r="I22" s="62">
        <f>IF($A22="","",[1]!thsiFinD("ths_adjustment_nv_fund",I$3,$A22))</f>
        <v>1.9931000000000001</v>
      </c>
      <c r="J22" s="62">
        <f>IF($A22="","",[1]!thsiFinD("ths_adjustment_nv_fund",J$3,$A22))</f>
        <v>1.7862</v>
      </c>
      <c r="K22" s="62">
        <f>IF($A22="","",[1]!thsiFinD("ths_adjustment_nv_fund",K$3,$A22))</f>
        <v>3.0983999999999998</v>
      </c>
      <c r="L22" s="62">
        <f>IF($A22="","",[1]!thsiFinD("ths_adjustment_nv_fund",L$3,$A22))</f>
        <v>3.2309000000000001</v>
      </c>
      <c r="M22" s="62">
        <f>IF($A22="","",[1]!thsiFinD("ths_adjustment_nv_fund",M$3,$A22))</f>
        <v>5.0423</v>
      </c>
      <c r="N22" s="62">
        <f>IF($A22="","",[1]!thsiFinD("ths_adjustment_nv_fund",N$3,$A22))</f>
        <v>1.3175573088000001</v>
      </c>
    </row>
    <row r="23" spans="1:14" x14ac:dyDescent="0.25">
      <c r="A23" s="63">
        <v>46198</v>
      </c>
      <c r="B23" s="62">
        <f>IF($A23="","",[1]!thsiFinD("ths_adjustment_nv_fund",B$3,$A23))</f>
        <v>6.3120000000000003</v>
      </c>
      <c r="C23" s="62">
        <f>IF($A23="","",[1]!thsiFinD("ths_adjustment_nv_fund",C$3,$A23))</f>
        <v>3.8424</v>
      </c>
      <c r="D23" s="62">
        <f>IF($A23="","",[1]!thsiFinD("ths_adjustment_nv_fund",D$3,$A23))</f>
        <v>4.6886000000000001</v>
      </c>
      <c r="E23" s="62">
        <f>IF($A23="","",[1]!thsiFinD("ths_adjustment_nv_fund",E$3,$A23))</f>
        <v>3.4601999999999999</v>
      </c>
      <c r="F23" s="62">
        <f>IF($A23="","",[1]!thsiFinD("ths_adjustment_nv_fund",F$3,$A23))</f>
        <v>1.6739999999999999</v>
      </c>
      <c r="G23" s="62">
        <f>IF($A23="","",[1]!thsiFinD("ths_adjustment_nv_fund",G$3,$A23))</f>
        <v>1.7283999999999999</v>
      </c>
      <c r="H23" s="62">
        <f>IF($A23="","",[1]!thsiFinD("ths_adjustment_nv_fund",H$3,$A23))</f>
        <v>2.1113</v>
      </c>
      <c r="I23" s="62">
        <f>IF($A23="","",[1]!thsiFinD("ths_adjustment_nv_fund",I$3,$A23))</f>
        <v>2.0205000000000002</v>
      </c>
      <c r="J23" s="62">
        <f>IF($A23="","",[1]!thsiFinD("ths_adjustment_nv_fund",J$3,$A23))</f>
        <v>1.7875000000000001</v>
      </c>
      <c r="K23" s="62">
        <f>IF($A23="","",[1]!thsiFinD("ths_adjustment_nv_fund",K$3,$A23))</f>
        <v>3.0308999999999999</v>
      </c>
      <c r="L23" s="62">
        <f>IF($A23="","",[1]!thsiFinD("ths_adjustment_nv_fund",L$3,$A23))</f>
        <v>3.3209</v>
      </c>
      <c r="M23" s="62">
        <f>IF($A23="","",[1]!thsiFinD("ths_adjustment_nv_fund",M$3,$A23))</f>
        <v>5.1944999999999997</v>
      </c>
      <c r="N23" s="62">
        <f>IF($A23="","",[1]!thsiFinD("ths_adjustment_nv_fund",N$3,$A23))</f>
        <v>1.3176050703</v>
      </c>
    </row>
    <row r="24" spans="1:14" x14ac:dyDescent="0.25">
      <c r="A24" s="63">
        <v>46199</v>
      </c>
      <c r="B24" s="62">
        <f>IF($A24="","",[1]!thsiFinD("ths_adjustment_nv_fund",B$3,$A24))</f>
        <v>5.99</v>
      </c>
      <c r="C24" s="62">
        <f>IF($A24="","",[1]!thsiFinD("ths_adjustment_nv_fund",C$3,$A24))</f>
        <v>3.5971000000000002</v>
      </c>
      <c r="D24" s="62">
        <f>IF($A24="","",[1]!thsiFinD("ths_adjustment_nv_fund",D$3,$A24))</f>
        <v>4.4157999999999999</v>
      </c>
      <c r="E24" s="62">
        <f>IF($A24="","",[1]!thsiFinD("ths_adjustment_nv_fund",E$3,$A24))</f>
        <v>3.5710000000000002</v>
      </c>
      <c r="F24" s="62">
        <f>IF($A24="","",[1]!thsiFinD("ths_adjustment_nv_fund",F$3,$A24))</f>
        <v>1.6269</v>
      </c>
      <c r="G24" s="62">
        <f>IF($A24="","",[1]!thsiFinD("ths_adjustment_nv_fund",G$3,$A24))</f>
        <v>1.6812</v>
      </c>
      <c r="H24" s="62">
        <f>IF($A24="","",[1]!thsiFinD("ths_adjustment_nv_fund",H$3,$A24))</f>
        <v>2.0535000000000001</v>
      </c>
      <c r="I24" s="62">
        <f>IF($A24="","",[1]!thsiFinD("ths_adjustment_nv_fund",I$3,$A24))</f>
        <v>1.9618</v>
      </c>
      <c r="J24" s="62">
        <f>IF($A24="","",[1]!thsiFinD("ths_adjustment_nv_fund",J$3,$A24))</f>
        <v>1.788</v>
      </c>
      <c r="K24" s="62">
        <f>IF($A24="","",[1]!thsiFinD("ths_adjustment_nv_fund",K$3,$A24))</f>
        <v>3.0598000000000001</v>
      </c>
      <c r="L24" s="62">
        <f>IF($A24="","",[1]!thsiFinD("ths_adjustment_nv_fund",L$3,$A24))</f>
        <v>3.4331</v>
      </c>
      <c r="M24" s="62">
        <f>IF($A24="","",[1]!thsiFinD("ths_adjustment_nv_fund",M$3,$A24))</f>
        <v>4.8685</v>
      </c>
      <c r="N24" s="62">
        <f>IF($A24="","",[1]!thsiFinD("ths_adjustment_nv_fund",N$3,$A24))</f>
        <v>1.3176496975</v>
      </c>
    </row>
    <row r="25" spans="1:14" x14ac:dyDescent="0.25">
      <c r="A25" s="63">
        <v>46202</v>
      </c>
      <c r="B25" s="62">
        <f>IF($A25="","",[1]!thsiFinD("ths_adjustment_nv_fund",B$3,$A25))</f>
        <v>5.7949999999999999</v>
      </c>
      <c r="C25" s="62">
        <f>IF($A25="","",[1]!thsiFinD("ths_adjustment_nv_fund",C$3,$A25))</f>
        <v>3.4931000000000001</v>
      </c>
      <c r="D25" s="62">
        <f>IF($A25="","",[1]!thsiFinD("ths_adjustment_nv_fund",D$3,$A25))</f>
        <v>4.3342999999999998</v>
      </c>
      <c r="E25" s="62">
        <f>IF($A25="","",[1]!thsiFinD("ths_adjustment_nv_fund",E$3,$A25))</f>
        <v>3.8559000000000001</v>
      </c>
      <c r="F25" s="62">
        <f>IF($A25="","",[1]!thsiFinD("ths_adjustment_nv_fund",F$3,$A25))</f>
        <v>1.6415</v>
      </c>
      <c r="G25" s="62">
        <f>IF($A25="","",[1]!thsiFinD("ths_adjustment_nv_fund",G$3,$A25))</f>
        <v>1.6827000000000001</v>
      </c>
      <c r="H25" s="62">
        <f>IF($A25="","",[1]!thsiFinD("ths_adjustment_nv_fund",H$3,$A25))</f>
        <v>2.0396999999999998</v>
      </c>
      <c r="I25" s="62">
        <f>IF($A25="","",[1]!thsiFinD("ths_adjustment_nv_fund",I$3,$A25))</f>
        <v>1.9811000000000001</v>
      </c>
      <c r="J25" s="62">
        <f>IF($A25="","",[1]!thsiFinD("ths_adjustment_nv_fund",J$3,$A25))</f>
        <v>1.7897000000000001</v>
      </c>
      <c r="K25" s="62">
        <f>IF($A25="","",[1]!thsiFinD("ths_adjustment_nv_fund",K$3,$A25))</f>
        <v>3.0722999999999998</v>
      </c>
      <c r="L25" s="62">
        <f>IF($A25="","",[1]!thsiFinD("ths_adjustment_nv_fund",L$3,$A25))</f>
        <v>3.7000999999999999</v>
      </c>
      <c r="M25" s="62">
        <f>IF($A25="","",[1]!thsiFinD("ths_adjustment_nv_fund",M$3,$A25))</f>
        <v>4.7591999999999999</v>
      </c>
      <c r="N25" s="62">
        <f>IF($A25="","",[1]!thsiFinD("ths_adjustment_nv_fund",N$3,$A25))</f>
        <v>1.3177907965</v>
      </c>
    </row>
    <row r="26" spans="1:14" x14ac:dyDescent="0.25">
      <c r="A26" s="63">
        <v>46203</v>
      </c>
      <c r="B26" s="62">
        <f>IF($A26="","",[1]!thsiFinD("ths_adjustment_nv_fund",B$3,$A26))</f>
        <v>6.024</v>
      </c>
      <c r="C26" s="62">
        <f>IF($A26="","",[1]!thsiFinD("ths_adjustment_nv_fund",C$3,$A26))</f>
        <v>3.6819999999999999</v>
      </c>
      <c r="D26" s="62">
        <f>IF($A26="","",[1]!thsiFinD("ths_adjustment_nv_fund",D$3,$A26))</f>
        <v>4.5731000000000002</v>
      </c>
      <c r="E26" s="62">
        <f>IF($A26="","",[1]!thsiFinD("ths_adjustment_nv_fund",E$3,$A26))</f>
        <v>4.0259</v>
      </c>
      <c r="F26" s="62">
        <f>IF($A26="","",[1]!thsiFinD("ths_adjustment_nv_fund",F$3,$A26))</f>
        <v>1.6697</v>
      </c>
      <c r="G26" s="62">
        <f>IF($A26="","",[1]!thsiFinD("ths_adjustment_nv_fund",G$3,$A26))</f>
        <v>1.7173</v>
      </c>
      <c r="H26" s="62">
        <f>IF($A26="","",[1]!thsiFinD("ths_adjustment_nv_fund",H$3,$A26))</f>
        <v>2.1004</v>
      </c>
      <c r="I26" s="62">
        <f>IF($A26="","",[1]!thsiFinD("ths_adjustment_nv_fund",I$3,$A26))</f>
        <v>2.0032000000000001</v>
      </c>
      <c r="J26" s="62">
        <f>IF($A26="","",[1]!thsiFinD("ths_adjustment_nv_fund",J$3,$A26))</f>
        <v>1.7882</v>
      </c>
      <c r="K26" s="62">
        <f>IF($A26="","",[1]!thsiFinD("ths_adjustment_nv_fund",K$3,$A26))</f>
        <v>3.0428999999999999</v>
      </c>
      <c r="L26" s="62">
        <f>IF($A26="","",[1]!thsiFinD("ths_adjustment_nv_fund",L$3,$A26))</f>
        <v>3.8033999999999999</v>
      </c>
      <c r="M26" s="62">
        <f>IF($A26="","",[1]!thsiFinD("ths_adjustment_nv_fund",M$3,$A26))</f>
        <v>4.9737</v>
      </c>
      <c r="N26" s="62">
        <f>IF($A26="","",[1]!thsiFinD("ths_adjustment_nv_fund",N$3,$A26))</f>
        <v>1.3178317665999999</v>
      </c>
    </row>
    <row r="27" spans="1:14" x14ac:dyDescent="0.25">
      <c r="A27" s="63">
        <v>46204</v>
      </c>
      <c r="B27" s="62">
        <f>IF($A27="","",[1]!thsiFinD("ths_adjustment_nv_fund",B$3,$A27))</f>
        <v>5.7770000000000001</v>
      </c>
      <c r="C27" s="62">
        <f>IF($A27="","",[1]!thsiFinD("ths_adjustment_nv_fund",C$3,$A27))</f>
        <v>3.4897</v>
      </c>
      <c r="D27" s="62">
        <f>IF($A27="","",[1]!thsiFinD("ths_adjustment_nv_fund",D$3,$A27))</f>
        <v>4.3589000000000002</v>
      </c>
      <c r="E27" s="62">
        <f>IF($A27="","",[1]!thsiFinD("ths_adjustment_nv_fund",E$3,$A27))</f>
        <v>3.9714999999999998</v>
      </c>
      <c r="F27" s="62">
        <f>IF($A27="","",[1]!thsiFinD("ths_adjustment_nv_fund",F$3,$A27))</f>
        <v>1.6754</v>
      </c>
      <c r="G27" s="62">
        <f>IF($A27="","",[1]!thsiFinD("ths_adjustment_nv_fund",G$3,$A27))</f>
        <v>1.7427999999999999</v>
      </c>
      <c r="H27" s="62">
        <f>IF($A27="","",[1]!thsiFinD("ths_adjustment_nv_fund",H$3,$A27))</f>
        <v>2.1280000000000001</v>
      </c>
      <c r="I27" s="62">
        <f>IF($A27="","",[1]!thsiFinD("ths_adjustment_nv_fund",I$3,$A27))</f>
        <v>1.9953000000000001</v>
      </c>
      <c r="J27" s="62">
        <f>IF($A27="","",[1]!thsiFinD("ths_adjustment_nv_fund",J$3,$A27))</f>
        <v>1.7865</v>
      </c>
      <c r="K27" s="62">
        <f>IF($A27="","",[1]!thsiFinD("ths_adjustment_nv_fund",K$3,$A27))</f>
        <v>3.0102000000000002</v>
      </c>
      <c r="L27" s="62">
        <f>IF($A27="","",[1]!thsiFinD("ths_adjustment_nv_fund",L$3,$A27))</f>
        <v>3.8296000000000001</v>
      </c>
      <c r="M27" s="62">
        <f>IF($A27="","",[1]!thsiFinD("ths_adjustment_nv_fund",M$3,$A27))</f>
        <v>4.7699999999999996</v>
      </c>
      <c r="N27" s="62">
        <f>IF($A27="","",[1]!thsiFinD("ths_adjustment_nv_fund",N$3,$A27))</f>
        <v>1.3178766124000001</v>
      </c>
    </row>
    <row r="28" spans="1:14" x14ac:dyDescent="0.25">
      <c r="A28" s="63">
        <v>46205</v>
      </c>
      <c r="B28" s="62">
        <f>IF($A28="","",[1]!thsiFinD("ths_adjustment_nv_fund",B$3,$A28))</f>
        <v>5.3630000000000004</v>
      </c>
      <c r="C28" s="62">
        <f>IF($A28="","",[1]!thsiFinD("ths_adjustment_nv_fund",C$3,$A28))</f>
        <v>3.149</v>
      </c>
      <c r="D28" s="62">
        <f>IF($A28="","",[1]!thsiFinD("ths_adjustment_nv_fund",D$3,$A28))</f>
        <v>3.9685999999999999</v>
      </c>
      <c r="E28" s="62">
        <f>IF($A28="","",[1]!thsiFinD("ths_adjustment_nv_fund",E$3,$A28))</f>
        <v>3.5630000000000002</v>
      </c>
      <c r="F28" s="62">
        <f>IF($A28="","",[1]!thsiFinD("ths_adjustment_nv_fund",F$3,$A28))</f>
        <v>1.6240000000000001</v>
      </c>
      <c r="G28" s="62">
        <f>IF($A28="","",[1]!thsiFinD("ths_adjustment_nv_fund",G$3,$A28))</f>
        <v>1.7058</v>
      </c>
      <c r="H28" s="62">
        <f>IF($A28="","",[1]!thsiFinD("ths_adjustment_nv_fund",H$3,$A28))</f>
        <v>2.0951</v>
      </c>
      <c r="I28" s="62">
        <f>IF($A28="","",[1]!thsiFinD("ths_adjustment_nv_fund",I$3,$A28))</f>
        <v>1.9340999999999999</v>
      </c>
      <c r="J28" s="62">
        <f>IF($A28="","",[1]!thsiFinD("ths_adjustment_nv_fund",J$3,$A28))</f>
        <v>1.7867</v>
      </c>
      <c r="K28" s="62">
        <f>IF($A28="","",[1]!thsiFinD("ths_adjustment_nv_fund",K$3,$A28))</f>
        <v>3.0728</v>
      </c>
      <c r="L28" s="62">
        <f>IF($A28="","",[1]!thsiFinD("ths_adjustment_nv_fund",L$3,$A28))</f>
        <v>3.4958999999999998</v>
      </c>
      <c r="M28" s="62">
        <f>IF($A28="","",[1]!thsiFinD("ths_adjustment_nv_fund",M$3,$A28))</f>
        <v>4.4048999999999996</v>
      </c>
      <c r="N28" s="62">
        <f>IF($A28="","",[1]!thsiFinD("ths_adjustment_nv_fund",N$3,$A28))</f>
        <v>1.3179214992999999</v>
      </c>
    </row>
    <row r="29" spans="1:14" x14ac:dyDescent="0.25">
      <c r="A29" s="63">
        <v>46206</v>
      </c>
      <c r="B29" s="62">
        <f>IF($A29="","",[1]!thsiFinD("ths_adjustment_nv_fund",B$3,$A29))</f>
        <v>5.4050000000000002</v>
      </c>
      <c r="C29" s="62">
        <f>IF($A29="","",[1]!thsiFinD("ths_adjustment_nv_fund",C$3,$A29))</f>
        <v>3.1377000000000002</v>
      </c>
      <c r="D29" s="62">
        <f>IF($A29="","",[1]!thsiFinD("ths_adjustment_nv_fund",D$3,$A29))</f>
        <v>3.9687999999999999</v>
      </c>
      <c r="E29" s="62">
        <f>IF($A29="","",[1]!thsiFinD("ths_adjustment_nv_fund",E$3,$A29))</f>
        <v>3.4994999999999998</v>
      </c>
      <c r="F29" s="62">
        <f>IF($A29="","",[1]!thsiFinD("ths_adjustment_nv_fund",F$3,$A29))</f>
        <v>1.6383000000000001</v>
      </c>
      <c r="G29" s="62">
        <f>IF($A29="","",[1]!thsiFinD("ths_adjustment_nv_fund",G$3,$A29))</f>
        <v>1.7109000000000001</v>
      </c>
      <c r="H29" s="62">
        <f>IF($A29="","",[1]!thsiFinD("ths_adjustment_nv_fund",H$3,$A29))</f>
        <v>2.1027999999999998</v>
      </c>
      <c r="I29" s="62">
        <f>IF($A29="","",[1]!thsiFinD("ths_adjustment_nv_fund",I$3,$A29))</f>
        <v>1.9475</v>
      </c>
      <c r="J29" s="62">
        <f>IF($A29="","",[1]!thsiFinD("ths_adjustment_nv_fund",J$3,$A29))</f>
        <v>1.7863</v>
      </c>
      <c r="K29" s="62">
        <f>IF($A29="","",[1]!thsiFinD("ths_adjustment_nv_fund",K$3,$A29))</f>
        <v>3.1547000000000001</v>
      </c>
      <c r="L29" s="62">
        <f>IF($A29="","",[1]!thsiFinD("ths_adjustment_nv_fund",L$3,$A29))</f>
        <v>3.3914</v>
      </c>
      <c r="M29" s="62">
        <f>IF($A29="","",[1]!thsiFinD("ths_adjustment_nv_fund",M$3,$A29))</f>
        <v>4.4032999999999998</v>
      </c>
      <c r="N29" s="62">
        <f>IF($A29="","",[1]!thsiFinD("ths_adjustment_nv_fund",N$3,$A29))</f>
        <v>1.3179684832</v>
      </c>
    </row>
    <row r="30" spans="1:14" x14ac:dyDescent="0.25">
      <c r="A30" s="63">
        <v>46209</v>
      </c>
      <c r="B30" s="62">
        <f>IF($A30="","",[1]!thsiFinD("ths_adjustment_nv_fund",B$3,$A30))</f>
        <v>5.234</v>
      </c>
      <c r="C30" s="62">
        <f>IF($A30="","",[1]!thsiFinD("ths_adjustment_nv_fund",C$3,$A30))</f>
        <v>3.0129000000000001</v>
      </c>
      <c r="D30" s="62">
        <f>IF($A30="","",[1]!thsiFinD("ths_adjustment_nv_fund",D$3,$A30))</f>
        <v>3.8572000000000002</v>
      </c>
      <c r="E30" s="62">
        <f>IF($A30="","",[1]!thsiFinD("ths_adjustment_nv_fund",E$3,$A30))</f>
        <v>3.5333999999999999</v>
      </c>
      <c r="F30" s="62">
        <f>IF($A30="","",[1]!thsiFinD("ths_adjustment_nv_fund",F$3,$A30))</f>
        <v>1.6289</v>
      </c>
      <c r="G30" s="62">
        <f>IF($A30="","",[1]!thsiFinD("ths_adjustment_nv_fund",G$3,$A30))</f>
        <v>1.6875</v>
      </c>
      <c r="H30" s="62">
        <f>IF($A30="","",[1]!thsiFinD("ths_adjustment_nv_fund",H$3,$A30))</f>
        <v>2.0773000000000001</v>
      </c>
      <c r="I30" s="62">
        <f>IF($A30="","",[1]!thsiFinD("ths_adjustment_nv_fund",I$3,$A30))</f>
        <v>1.9455</v>
      </c>
      <c r="J30" s="62">
        <f>IF($A30="","",[1]!thsiFinD("ths_adjustment_nv_fund",J$3,$A30))</f>
        <v>1.7876000000000001</v>
      </c>
      <c r="K30" s="62">
        <f>IF($A30="","",[1]!thsiFinD("ths_adjustment_nv_fund",K$3,$A30))</f>
        <v>3.145</v>
      </c>
      <c r="L30" s="62">
        <f>IF($A30="","",[1]!thsiFinD("ths_adjustment_nv_fund",L$3,$A30))</f>
        <v>3.3597000000000001</v>
      </c>
      <c r="M30" s="62">
        <f>IF($A30="","",[1]!thsiFinD("ths_adjustment_nv_fund",M$3,$A30))</f>
        <v>4.2538999999999998</v>
      </c>
      <c r="N30" s="62">
        <f>IF($A30="","",[1]!thsiFinD("ths_adjustment_nv_fund",N$3,$A30))</f>
        <v>1.3181064792999999</v>
      </c>
    </row>
    <row r="31" spans="1:14" x14ac:dyDescent="0.25">
      <c r="A31" s="63">
        <v>46210</v>
      </c>
      <c r="B31" s="62">
        <f>IF($A31="","",[1]!thsiFinD("ths_adjustment_nv_fund",B$3,$A31))</f>
        <v>5.26</v>
      </c>
      <c r="C31" s="62">
        <f>IF($A31="","",[1]!thsiFinD("ths_adjustment_nv_fund",C$3,$A31))</f>
        <v>3.0265</v>
      </c>
      <c r="D31" s="62">
        <f>IF($A31="","",[1]!thsiFinD("ths_adjustment_nv_fund",D$3,$A31))</f>
        <v>3.8613</v>
      </c>
      <c r="E31" s="62">
        <f>IF($A31="","",[1]!thsiFinD("ths_adjustment_nv_fund",E$3,$A31))</f>
        <v>3.5808</v>
      </c>
      <c r="F31" s="62">
        <f>IF($A31="","",[1]!thsiFinD("ths_adjustment_nv_fund",F$3,$A31))</f>
        <v>1.6016999999999999</v>
      </c>
      <c r="G31" s="62">
        <f>IF($A31="","",[1]!thsiFinD("ths_adjustment_nv_fund",G$3,$A31))</f>
        <v>1.6537999999999999</v>
      </c>
      <c r="H31" s="62">
        <f>IF($A31="","",[1]!thsiFinD("ths_adjustment_nv_fund",H$3,$A31))</f>
        <v>2.0247000000000002</v>
      </c>
      <c r="I31" s="62">
        <f>IF($A31="","",[1]!thsiFinD("ths_adjustment_nv_fund",I$3,$A31))</f>
        <v>1.9216</v>
      </c>
      <c r="J31" s="62">
        <f>IF($A31="","",[1]!thsiFinD("ths_adjustment_nv_fund",J$3,$A31))</f>
        <v>1.7878000000000001</v>
      </c>
      <c r="K31" s="62">
        <f>IF($A31="","",[1]!thsiFinD("ths_adjustment_nv_fund",K$3,$A31))</f>
        <v>3.1265000000000001</v>
      </c>
      <c r="L31" s="62">
        <f>IF($A31="","",[1]!thsiFinD("ths_adjustment_nv_fund",L$3,$A31))</f>
        <v>3.4097</v>
      </c>
      <c r="M31" s="62">
        <f>IF($A31="","",[1]!thsiFinD("ths_adjustment_nv_fund",M$3,$A31))</f>
        <v>4.2548000000000004</v>
      </c>
      <c r="N31" s="62">
        <f>IF($A31="","",[1]!thsiFinD("ths_adjustment_nv_fund",N$3,$A31))</f>
        <v>1.3181508468000001</v>
      </c>
    </row>
    <row r="32" spans="1:14" x14ac:dyDescent="0.25">
      <c r="A32" s="63"/>
      <c r="B32" s="62" t="str">
        <f>IF($A32="","",[1]!thsiFinD("ths_adjustment_nv_fund",B$3,$A32))</f>
        <v/>
      </c>
      <c r="C32" s="62" t="str">
        <f>IF($A32="","",[1]!thsiFinD("ths_adjustment_nv_fund",C$3,$A32))</f>
        <v/>
      </c>
      <c r="D32" s="62" t="str">
        <f>IF($A32="","",[1]!thsiFinD("ths_adjustment_nv_fund",D$3,$A32))</f>
        <v/>
      </c>
      <c r="E32" s="62" t="str">
        <f>IF($A32="","",[1]!thsiFinD("ths_adjustment_nv_fund",E$3,$A32))</f>
        <v/>
      </c>
      <c r="F32" s="62" t="str">
        <f>IF($A32="","",[1]!thsiFinD("ths_adjustment_nv_fund",F$3,$A32))</f>
        <v/>
      </c>
      <c r="G32" s="62" t="str">
        <f>IF($A32="","",[1]!thsiFinD("ths_adjustment_nv_fund",G$3,$A32))</f>
        <v/>
      </c>
      <c r="H32" s="62" t="str">
        <f>IF($A32="","",[1]!thsiFinD("ths_adjustment_nv_fund",H$3,$A32))</f>
        <v/>
      </c>
      <c r="I32" s="62" t="str">
        <f>IF($A32="","",[1]!thsiFinD("ths_adjustment_nv_fund",I$3,$A32))</f>
        <v/>
      </c>
      <c r="J32" s="62" t="str">
        <f>IF($A32="","",[1]!thsiFinD("ths_adjustment_nv_fund",J$3,$A32))</f>
        <v/>
      </c>
      <c r="K32" s="62" t="str">
        <f>IF($A32="","",[1]!thsiFinD("ths_adjustment_nv_fund",K$3,$A32))</f>
        <v/>
      </c>
      <c r="L32" s="62" t="str">
        <f>IF($A32="","",[1]!thsiFinD("ths_adjustment_nv_fund",L$3,$A32))</f>
        <v/>
      </c>
      <c r="M32" s="62" t="str">
        <f>IF($A32="","",[1]!thsiFinD("ths_adjustment_nv_fund",M$3,$A32))</f>
        <v/>
      </c>
      <c r="N32" s="62" t="str">
        <f>IF($A32="","",[1]!thsiFinD("ths_adjustment_nv_fund",N$3,$A32))</f>
        <v/>
      </c>
    </row>
    <row r="33" spans="1:14" x14ac:dyDescent="0.25">
      <c r="A33" s="63"/>
      <c r="B33" s="62" t="str">
        <f>IF($A33="","",[1]!thsiFinD("ths_adjustment_nv_fund",B$3,$A33))</f>
        <v/>
      </c>
      <c r="C33" s="62" t="str">
        <f>IF($A33="","",[1]!thsiFinD("ths_adjustment_nv_fund",C$3,$A33))</f>
        <v/>
      </c>
      <c r="D33" s="62" t="str">
        <f>IF($A33="","",[1]!thsiFinD("ths_adjustment_nv_fund",D$3,$A33))</f>
        <v/>
      </c>
      <c r="E33" s="62" t="str">
        <f>IF($A33="","",[1]!thsiFinD("ths_adjustment_nv_fund",E$3,$A33))</f>
        <v/>
      </c>
      <c r="F33" s="62" t="str">
        <f>IF($A33="","",[1]!thsiFinD("ths_adjustment_nv_fund",F$3,$A33))</f>
        <v/>
      </c>
      <c r="G33" s="62" t="str">
        <f>IF($A33="","",[1]!thsiFinD("ths_adjustment_nv_fund",G$3,$A33))</f>
        <v/>
      </c>
      <c r="H33" s="62" t="str">
        <f>IF($A33="","",[1]!thsiFinD("ths_adjustment_nv_fund",H$3,$A33))</f>
        <v/>
      </c>
      <c r="I33" s="62" t="str">
        <f>IF($A33="","",[1]!thsiFinD("ths_adjustment_nv_fund",I$3,$A33))</f>
        <v/>
      </c>
      <c r="J33" s="62" t="str">
        <f>IF($A33="","",[1]!thsiFinD("ths_adjustment_nv_fund",J$3,$A33))</f>
        <v/>
      </c>
      <c r="K33" s="62" t="str">
        <f>IF($A33="","",[1]!thsiFinD("ths_adjustment_nv_fund",K$3,$A33))</f>
        <v/>
      </c>
      <c r="L33" s="62" t="str">
        <f>IF($A33="","",[1]!thsiFinD("ths_adjustment_nv_fund",L$3,$A33))</f>
        <v/>
      </c>
      <c r="M33" s="62" t="str">
        <f>IF($A33="","",[1]!thsiFinD("ths_adjustment_nv_fund",M$3,$A33))</f>
        <v/>
      </c>
      <c r="N33" s="62" t="str">
        <f>IF($A33="","",[1]!thsiFinD("ths_adjustment_nv_fund",N$3,$A33))</f>
        <v/>
      </c>
    </row>
    <row r="34" spans="1:14" x14ac:dyDescent="0.25">
      <c r="A34" s="63"/>
      <c r="B34" s="62" t="str">
        <f>IF($A34="","",[1]!thsiFinD("ths_adjustment_nv_fund",B$3,$A34))</f>
        <v/>
      </c>
      <c r="C34" s="62" t="str">
        <f>IF($A34="","",[1]!thsiFinD("ths_adjustment_nv_fund",C$3,$A34))</f>
        <v/>
      </c>
      <c r="D34" s="62" t="str">
        <f>IF($A34="","",[1]!thsiFinD("ths_adjustment_nv_fund",D$3,$A34))</f>
        <v/>
      </c>
      <c r="E34" s="62" t="str">
        <f>IF($A34="","",[1]!thsiFinD("ths_adjustment_nv_fund",E$3,$A34))</f>
        <v/>
      </c>
      <c r="F34" s="62" t="str">
        <f>IF($A34="","",[1]!thsiFinD("ths_adjustment_nv_fund",F$3,$A34))</f>
        <v/>
      </c>
      <c r="G34" s="62" t="str">
        <f>IF($A34="","",[1]!thsiFinD("ths_adjustment_nv_fund",G$3,$A34))</f>
        <v/>
      </c>
      <c r="H34" s="62" t="str">
        <f>IF($A34="","",[1]!thsiFinD("ths_adjustment_nv_fund",H$3,$A34))</f>
        <v/>
      </c>
      <c r="I34" s="62" t="str">
        <f>IF($A34="","",[1]!thsiFinD("ths_adjustment_nv_fund",I$3,$A34))</f>
        <v/>
      </c>
      <c r="J34" s="62" t="str">
        <f>IF($A34="","",[1]!thsiFinD("ths_adjustment_nv_fund",J$3,$A34))</f>
        <v/>
      </c>
      <c r="K34" s="62" t="str">
        <f>IF($A34="","",[1]!thsiFinD("ths_adjustment_nv_fund",K$3,$A34))</f>
        <v/>
      </c>
      <c r="L34" s="62" t="str">
        <f>IF($A34="","",[1]!thsiFinD("ths_adjustment_nv_fund",L$3,$A34))</f>
        <v/>
      </c>
      <c r="M34" s="62" t="str">
        <f>IF($A34="","",[1]!thsiFinD("ths_adjustment_nv_fund",M$3,$A34))</f>
        <v/>
      </c>
      <c r="N34" s="62" t="str">
        <f>IF($A34="","",[1]!thsiFinD("ths_adjustment_nv_fund",N$3,$A34))</f>
        <v/>
      </c>
    </row>
    <row r="35" spans="1:14" x14ac:dyDescent="0.25">
      <c r="A35" s="63"/>
      <c r="B35" s="62" t="str">
        <f>IF($A35="","",[1]!thsiFinD("ths_adjustment_nv_fund",B$3,$A35))</f>
        <v/>
      </c>
      <c r="C35" s="62" t="str">
        <f>IF($A35="","",[1]!thsiFinD("ths_adjustment_nv_fund",C$3,$A35))</f>
        <v/>
      </c>
      <c r="D35" s="62" t="str">
        <f>IF($A35="","",[1]!thsiFinD("ths_adjustment_nv_fund",D$3,$A35))</f>
        <v/>
      </c>
      <c r="E35" s="62" t="str">
        <f>IF($A35="","",[1]!thsiFinD("ths_adjustment_nv_fund",E$3,$A35))</f>
        <v/>
      </c>
      <c r="F35" s="62" t="str">
        <f>IF($A35="","",[1]!thsiFinD("ths_adjustment_nv_fund",F$3,$A35))</f>
        <v/>
      </c>
      <c r="G35" s="62" t="str">
        <f>IF($A35="","",[1]!thsiFinD("ths_adjustment_nv_fund",G$3,$A35))</f>
        <v/>
      </c>
      <c r="H35" s="62" t="str">
        <f>IF($A35="","",[1]!thsiFinD("ths_adjustment_nv_fund",H$3,$A35))</f>
        <v/>
      </c>
      <c r="I35" s="62" t="str">
        <f>IF($A35="","",[1]!thsiFinD("ths_adjustment_nv_fund",I$3,$A35))</f>
        <v/>
      </c>
      <c r="J35" s="62" t="str">
        <f>IF($A35="","",[1]!thsiFinD("ths_adjustment_nv_fund",J$3,$A35))</f>
        <v/>
      </c>
      <c r="K35" s="62" t="str">
        <f>IF($A35="","",[1]!thsiFinD("ths_adjustment_nv_fund",K$3,$A35))</f>
        <v/>
      </c>
      <c r="L35" s="62" t="str">
        <f>IF($A35="","",[1]!thsiFinD("ths_adjustment_nv_fund",L$3,$A35))</f>
        <v/>
      </c>
      <c r="M35" s="62" t="str">
        <f>IF($A35="","",[1]!thsiFinD("ths_adjustment_nv_fund",M$3,$A35))</f>
        <v/>
      </c>
      <c r="N35" s="62" t="str">
        <f>IF($A35="","",[1]!thsiFinD("ths_adjustment_nv_fund",N$3,$A35))</f>
        <v/>
      </c>
    </row>
    <row r="36" spans="1:14" x14ac:dyDescent="0.25">
      <c r="A36" s="63"/>
      <c r="B36" s="62" t="str">
        <f>IF($A36="","",[1]!thsiFinD("ths_adjustment_nv_fund",B$3,$A36))</f>
        <v/>
      </c>
      <c r="C36" s="62" t="str">
        <f>IF($A36="","",[1]!thsiFinD("ths_adjustment_nv_fund",C$3,$A36))</f>
        <v/>
      </c>
      <c r="D36" s="62" t="str">
        <f>IF($A36="","",[1]!thsiFinD("ths_adjustment_nv_fund",D$3,$A36))</f>
        <v/>
      </c>
      <c r="E36" s="62" t="str">
        <f>IF($A36="","",[1]!thsiFinD("ths_adjustment_nv_fund",E$3,$A36))</f>
        <v/>
      </c>
      <c r="F36" s="62" t="str">
        <f>IF($A36="","",[1]!thsiFinD("ths_adjustment_nv_fund",F$3,$A36))</f>
        <v/>
      </c>
      <c r="G36" s="62" t="str">
        <f>IF($A36="","",[1]!thsiFinD("ths_adjustment_nv_fund",G$3,$A36))</f>
        <v/>
      </c>
      <c r="H36" s="62" t="str">
        <f>IF($A36="","",[1]!thsiFinD("ths_adjustment_nv_fund",H$3,$A36))</f>
        <v/>
      </c>
      <c r="I36" s="62" t="str">
        <f>IF($A36="","",[1]!thsiFinD("ths_adjustment_nv_fund",I$3,$A36))</f>
        <v/>
      </c>
      <c r="J36" s="62" t="str">
        <f>IF($A36="","",[1]!thsiFinD("ths_adjustment_nv_fund",J$3,$A36))</f>
        <v/>
      </c>
      <c r="K36" s="62" t="str">
        <f>IF($A36="","",[1]!thsiFinD("ths_adjustment_nv_fund",K$3,$A36))</f>
        <v/>
      </c>
      <c r="L36" s="62" t="str">
        <f>IF($A36="","",[1]!thsiFinD("ths_adjustment_nv_fund",L$3,$A36))</f>
        <v/>
      </c>
      <c r="M36" s="62" t="str">
        <f>IF($A36="","",[1]!thsiFinD("ths_adjustment_nv_fund",M$3,$A36))</f>
        <v/>
      </c>
      <c r="N36" s="62" t="str">
        <f>IF($A36="","",[1]!thsiFinD("ths_adjustment_nv_fund",N$3,$A36))</f>
        <v/>
      </c>
    </row>
    <row r="37" spans="1:14" x14ac:dyDescent="0.25">
      <c r="A37" s="63"/>
      <c r="B37" s="62" t="str">
        <f>IF($A37="","",[1]!thsiFinD("ths_adjustment_nv_fund",B$3,$A37))</f>
        <v/>
      </c>
      <c r="C37" s="62" t="str">
        <f>IF($A37="","",[1]!thsiFinD("ths_adjustment_nv_fund",C$3,$A37))</f>
        <v/>
      </c>
      <c r="D37" s="62" t="str">
        <f>IF($A37="","",[1]!thsiFinD("ths_adjustment_nv_fund",D$3,$A37))</f>
        <v/>
      </c>
      <c r="E37" s="62" t="str">
        <f>IF($A37="","",[1]!thsiFinD("ths_adjustment_nv_fund",E$3,$A37))</f>
        <v/>
      </c>
      <c r="F37" s="62" t="str">
        <f>IF($A37="","",[1]!thsiFinD("ths_adjustment_nv_fund",F$3,$A37))</f>
        <v/>
      </c>
      <c r="G37" s="62" t="str">
        <f>IF($A37="","",[1]!thsiFinD("ths_adjustment_nv_fund",G$3,$A37))</f>
        <v/>
      </c>
      <c r="H37" s="62" t="str">
        <f>IF($A37="","",[1]!thsiFinD("ths_adjustment_nv_fund",H$3,$A37))</f>
        <v/>
      </c>
      <c r="I37" s="62" t="str">
        <f>IF($A37="","",[1]!thsiFinD("ths_adjustment_nv_fund",I$3,$A37))</f>
        <v/>
      </c>
      <c r="J37" s="62" t="str">
        <f>IF($A37="","",[1]!thsiFinD("ths_adjustment_nv_fund",J$3,$A37))</f>
        <v/>
      </c>
      <c r="K37" s="62" t="str">
        <f>IF($A37="","",[1]!thsiFinD("ths_adjustment_nv_fund",K$3,$A37))</f>
        <v/>
      </c>
      <c r="L37" s="62" t="str">
        <f>IF($A37="","",[1]!thsiFinD("ths_adjustment_nv_fund",L$3,$A37))</f>
        <v/>
      </c>
      <c r="M37" s="62" t="str">
        <f>IF($A37="","",[1]!thsiFinD("ths_adjustment_nv_fund",M$3,$A37))</f>
        <v/>
      </c>
      <c r="N37" s="62" t="str">
        <f>IF($A37="","",[1]!thsiFinD("ths_adjustment_nv_fund",N$3,$A37))</f>
        <v/>
      </c>
    </row>
    <row r="38" spans="1:14" x14ac:dyDescent="0.25">
      <c r="A38" s="63"/>
      <c r="B38" s="62" t="str">
        <f>IF($A38="","",[1]!thsiFinD("ths_adjustment_nv_fund",B$3,$A38))</f>
        <v/>
      </c>
      <c r="C38" s="62" t="str">
        <f>IF($A38="","",[1]!thsiFinD("ths_adjustment_nv_fund",C$3,$A38))</f>
        <v/>
      </c>
      <c r="D38" s="62" t="str">
        <f>IF($A38="","",[1]!thsiFinD("ths_adjustment_nv_fund",D$3,$A38))</f>
        <v/>
      </c>
      <c r="E38" s="62" t="str">
        <f>IF($A38="","",[1]!thsiFinD("ths_adjustment_nv_fund",E$3,$A38))</f>
        <v/>
      </c>
      <c r="F38" s="62" t="str">
        <f>IF($A38="","",[1]!thsiFinD("ths_adjustment_nv_fund",F$3,$A38))</f>
        <v/>
      </c>
      <c r="G38" s="62" t="str">
        <f>IF($A38="","",[1]!thsiFinD("ths_adjustment_nv_fund",G$3,$A38))</f>
        <v/>
      </c>
      <c r="H38" s="62" t="str">
        <f>IF($A38="","",[1]!thsiFinD("ths_adjustment_nv_fund",H$3,$A38))</f>
        <v/>
      </c>
      <c r="I38" s="62" t="str">
        <f>IF($A38="","",[1]!thsiFinD("ths_adjustment_nv_fund",I$3,$A38))</f>
        <v/>
      </c>
      <c r="J38" s="62" t="str">
        <f>IF($A38="","",[1]!thsiFinD("ths_adjustment_nv_fund",J$3,$A38))</f>
        <v/>
      </c>
      <c r="K38" s="62" t="str">
        <f>IF($A38="","",[1]!thsiFinD("ths_adjustment_nv_fund",K$3,$A38))</f>
        <v/>
      </c>
      <c r="L38" s="62" t="str">
        <f>IF($A38="","",[1]!thsiFinD("ths_adjustment_nv_fund",L$3,$A38))</f>
        <v/>
      </c>
      <c r="M38" s="62" t="str">
        <f>IF($A38="","",[1]!thsiFinD("ths_adjustment_nv_fund",M$3,$A38))</f>
        <v/>
      </c>
      <c r="N38" s="62" t="str">
        <f>IF($A38="","",[1]!thsiFinD("ths_adjustment_nv_fund",N$3,$A38))</f>
        <v/>
      </c>
    </row>
    <row r="39" spans="1:14" x14ac:dyDescent="0.25">
      <c r="A39" s="63"/>
      <c r="B39" s="62" t="str">
        <f>IF($A39="","",[1]!thsiFinD("ths_adjustment_nv_fund",B$3,$A39))</f>
        <v/>
      </c>
      <c r="C39" s="62" t="str">
        <f>IF($A39="","",[1]!thsiFinD("ths_adjustment_nv_fund",C$3,$A39))</f>
        <v/>
      </c>
      <c r="D39" s="62" t="str">
        <f>IF($A39="","",[1]!thsiFinD("ths_adjustment_nv_fund",D$3,$A39))</f>
        <v/>
      </c>
      <c r="E39" s="62" t="str">
        <f>IF($A39="","",[1]!thsiFinD("ths_adjustment_nv_fund",E$3,$A39))</f>
        <v/>
      </c>
      <c r="F39" s="62" t="str">
        <f>IF($A39="","",[1]!thsiFinD("ths_adjustment_nv_fund",F$3,$A39))</f>
        <v/>
      </c>
      <c r="G39" s="62" t="str">
        <f>IF($A39="","",[1]!thsiFinD("ths_adjustment_nv_fund",G$3,$A39))</f>
        <v/>
      </c>
      <c r="H39" s="62" t="str">
        <f>IF($A39="","",[1]!thsiFinD("ths_adjustment_nv_fund",H$3,$A39))</f>
        <v/>
      </c>
      <c r="I39" s="62" t="str">
        <f>IF($A39="","",[1]!thsiFinD("ths_adjustment_nv_fund",I$3,$A39))</f>
        <v/>
      </c>
      <c r="J39" s="62" t="str">
        <f>IF($A39="","",[1]!thsiFinD("ths_adjustment_nv_fund",J$3,$A39))</f>
        <v/>
      </c>
      <c r="K39" s="62" t="str">
        <f>IF($A39="","",[1]!thsiFinD("ths_adjustment_nv_fund",K$3,$A39))</f>
        <v/>
      </c>
      <c r="L39" s="62" t="str">
        <f>IF($A39="","",[1]!thsiFinD("ths_adjustment_nv_fund",L$3,$A39))</f>
        <v/>
      </c>
      <c r="M39" s="62" t="str">
        <f>IF($A39="","",[1]!thsiFinD("ths_adjustment_nv_fund",M$3,$A39))</f>
        <v/>
      </c>
      <c r="N39" s="62" t="str">
        <f>IF($A39="","",[1]!thsiFinD("ths_adjustment_nv_fund",N$3,$A39))</f>
        <v/>
      </c>
    </row>
    <row r="40" spans="1:14" x14ac:dyDescent="0.25">
      <c r="A40" s="63"/>
      <c r="B40" s="62" t="str">
        <f>IF($A40="","",[1]!thsiFinD("ths_adjustment_nv_fund",B$3,$A40))</f>
        <v/>
      </c>
      <c r="C40" s="62" t="str">
        <f>IF($A40="","",[1]!thsiFinD("ths_adjustment_nv_fund",C$3,$A40))</f>
        <v/>
      </c>
      <c r="D40" s="62" t="str">
        <f>IF($A40="","",[1]!thsiFinD("ths_adjustment_nv_fund",D$3,$A40))</f>
        <v/>
      </c>
      <c r="E40" s="62" t="str">
        <f>IF($A40="","",[1]!thsiFinD("ths_adjustment_nv_fund",E$3,$A40))</f>
        <v/>
      </c>
      <c r="F40" s="62" t="str">
        <f>IF($A40="","",[1]!thsiFinD("ths_adjustment_nv_fund",F$3,$A40))</f>
        <v/>
      </c>
      <c r="G40" s="62" t="str">
        <f>IF($A40="","",[1]!thsiFinD("ths_adjustment_nv_fund",G$3,$A40))</f>
        <v/>
      </c>
      <c r="H40" s="62" t="str">
        <f>IF($A40="","",[1]!thsiFinD("ths_adjustment_nv_fund",H$3,$A40))</f>
        <v/>
      </c>
      <c r="I40" s="62" t="str">
        <f>IF($A40="","",[1]!thsiFinD("ths_adjustment_nv_fund",I$3,$A40))</f>
        <v/>
      </c>
      <c r="J40" s="62" t="str">
        <f>IF($A40="","",[1]!thsiFinD("ths_adjustment_nv_fund",J$3,$A40))</f>
        <v/>
      </c>
      <c r="K40" s="62" t="str">
        <f>IF($A40="","",[1]!thsiFinD("ths_adjustment_nv_fund",K$3,$A40))</f>
        <v/>
      </c>
      <c r="L40" s="62" t="str">
        <f>IF($A40="","",[1]!thsiFinD("ths_adjustment_nv_fund",L$3,$A40))</f>
        <v/>
      </c>
      <c r="M40" s="62" t="str">
        <f>IF($A40="","",[1]!thsiFinD("ths_adjustment_nv_fund",M$3,$A40))</f>
        <v/>
      </c>
      <c r="N40" s="62" t="str">
        <f>IF($A40="","",[1]!thsiFinD("ths_adjustment_nv_fund",N$3,$A40))</f>
        <v/>
      </c>
    </row>
    <row r="41" spans="1:14" x14ac:dyDescent="0.25">
      <c r="A41" s="63"/>
      <c r="B41" s="62" t="str">
        <f>IF($A41="","",[1]!thsiFinD("ths_adjustment_nv_fund",B$3,$A41))</f>
        <v/>
      </c>
      <c r="C41" s="62" t="str">
        <f>IF($A41="","",[1]!thsiFinD("ths_adjustment_nv_fund",C$3,$A41))</f>
        <v/>
      </c>
      <c r="D41" s="62" t="str">
        <f>IF($A41="","",[1]!thsiFinD("ths_adjustment_nv_fund",D$3,$A41))</f>
        <v/>
      </c>
      <c r="E41" s="62" t="str">
        <f>IF($A41="","",[1]!thsiFinD("ths_adjustment_nv_fund",E$3,$A41))</f>
        <v/>
      </c>
      <c r="F41" s="62" t="str">
        <f>IF($A41="","",[1]!thsiFinD("ths_adjustment_nv_fund",F$3,$A41))</f>
        <v/>
      </c>
      <c r="G41" s="62" t="str">
        <f>IF($A41="","",[1]!thsiFinD("ths_adjustment_nv_fund",G$3,$A41))</f>
        <v/>
      </c>
      <c r="H41" s="62" t="str">
        <f>IF($A41="","",[1]!thsiFinD("ths_adjustment_nv_fund",H$3,$A41))</f>
        <v/>
      </c>
      <c r="I41" s="62" t="str">
        <f>IF($A41="","",[1]!thsiFinD("ths_adjustment_nv_fund",I$3,$A41))</f>
        <v/>
      </c>
      <c r="J41" s="62" t="str">
        <f>IF($A41="","",[1]!thsiFinD("ths_adjustment_nv_fund",J$3,$A41))</f>
        <v/>
      </c>
      <c r="K41" s="62" t="str">
        <f>IF($A41="","",[1]!thsiFinD("ths_adjustment_nv_fund",K$3,$A41))</f>
        <v/>
      </c>
      <c r="L41" s="62" t="str">
        <f>IF($A41="","",[1]!thsiFinD("ths_adjustment_nv_fund",L$3,$A41))</f>
        <v/>
      </c>
      <c r="M41" s="62" t="str">
        <f>IF($A41="","",[1]!thsiFinD("ths_adjustment_nv_fund",M$3,$A41))</f>
        <v/>
      </c>
      <c r="N41" s="62" t="str">
        <f>IF($A41="","",[1]!thsiFinD("ths_adjustment_nv_fund",N$3,$A41))</f>
        <v/>
      </c>
    </row>
    <row r="42" spans="1:14" x14ac:dyDescent="0.25">
      <c r="A42" s="63"/>
      <c r="B42" s="62" t="str">
        <f>IF($A42="","",[1]!thsiFinD("ths_adjustment_nv_fund",B$3,$A42))</f>
        <v/>
      </c>
      <c r="C42" s="62" t="str">
        <f>IF($A42="","",[1]!thsiFinD("ths_adjustment_nv_fund",C$3,$A42))</f>
        <v/>
      </c>
      <c r="D42" s="62" t="str">
        <f>IF($A42="","",[1]!thsiFinD("ths_adjustment_nv_fund",D$3,$A42))</f>
        <v/>
      </c>
      <c r="E42" s="62" t="str">
        <f>IF($A42="","",[1]!thsiFinD("ths_adjustment_nv_fund",E$3,$A42))</f>
        <v/>
      </c>
      <c r="F42" s="62" t="str">
        <f>IF($A42="","",[1]!thsiFinD("ths_adjustment_nv_fund",F$3,$A42))</f>
        <v/>
      </c>
      <c r="G42" s="62" t="str">
        <f>IF($A42="","",[1]!thsiFinD("ths_adjustment_nv_fund",G$3,$A42))</f>
        <v/>
      </c>
      <c r="H42" s="62" t="str">
        <f>IF($A42="","",[1]!thsiFinD("ths_adjustment_nv_fund",H$3,$A42))</f>
        <v/>
      </c>
      <c r="I42" s="62" t="str">
        <f>IF($A42="","",[1]!thsiFinD("ths_adjustment_nv_fund",I$3,$A42))</f>
        <v/>
      </c>
      <c r="J42" s="62" t="str">
        <f>IF($A42="","",[1]!thsiFinD("ths_adjustment_nv_fund",J$3,$A42))</f>
        <v/>
      </c>
      <c r="K42" s="62" t="str">
        <f>IF($A42="","",[1]!thsiFinD("ths_adjustment_nv_fund",K$3,$A42))</f>
        <v/>
      </c>
      <c r="L42" s="62" t="str">
        <f>IF($A42="","",[1]!thsiFinD("ths_adjustment_nv_fund",L$3,$A42))</f>
        <v/>
      </c>
      <c r="M42" s="62" t="str">
        <f>IF($A42="","",[1]!thsiFinD("ths_adjustment_nv_fund",M$3,$A42))</f>
        <v/>
      </c>
      <c r="N42" s="62" t="str">
        <f>IF($A42="","",[1]!thsiFinD("ths_adjustment_nv_fund",N$3,$A42))</f>
        <v/>
      </c>
    </row>
    <row r="43" spans="1:14" x14ac:dyDescent="0.25">
      <c r="A43" s="63"/>
      <c r="B43" s="62" t="str">
        <f>IF($A43="","",[1]!thsiFinD("ths_adjustment_nv_fund",B$3,$A43))</f>
        <v/>
      </c>
      <c r="C43" s="62" t="str">
        <f>IF($A43="","",[1]!thsiFinD("ths_adjustment_nv_fund",C$3,$A43))</f>
        <v/>
      </c>
      <c r="D43" s="62" t="str">
        <f>IF($A43="","",[1]!thsiFinD("ths_adjustment_nv_fund",D$3,$A43))</f>
        <v/>
      </c>
      <c r="E43" s="62" t="str">
        <f>IF($A43="","",[1]!thsiFinD("ths_adjustment_nv_fund",E$3,$A43))</f>
        <v/>
      </c>
      <c r="F43" s="62" t="str">
        <f>IF($A43="","",[1]!thsiFinD("ths_adjustment_nv_fund",F$3,$A43))</f>
        <v/>
      </c>
      <c r="G43" s="62" t="str">
        <f>IF($A43="","",[1]!thsiFinD("ths_adjustment_nv_fund",G$3,$A43))</f>
        <v/>
      </c>
      <c r="H43" s="62" t="str">
        <f>IF($A43="","",[1]!thsiFinD("ths_adjustment_nv_fund",H$3,$A43))</f>
        <v/>
      </c>
      <c r="I43" s="62" t="str">
        <f>IF($A43="","",[1]!thsiFinD("ths_adjustment_nv_fund",I$3,$A43))</f>
        <v/>
      </c>
      <c r="J43" s="62" t="str">
        <f>IF($A43="","",[1]!thsiFinD("ths_adjustment_nv_fund",J$3,$A43))</f>
        <v/>
      </c>
      <c r="K43" s="62" t="str">
        <f>IF($A43="","",[1]!thsiFinD("ths_adjustment_nv_fund",K$3,$A43))</f>
        <v/>
      </c>
      <c r="L43" s="62" t="str">
        <f>IF($A43="","",[1]!thsiFinD("ths_adjustment_nv_fund",L$3,$A43))</f>
        <v/>
      </c>
      <c r="M43" s="62" t="str">
        <f>IF($A43="","",[1]!thsiFinD("ths_adjustment_nv_fund",M$3,$A43))</f>
        <v/>
      </c>
      <c r="N43" s="62" t="str">
        <f>IF($A43="","",[1]!thsiFinD("ths_adjustment_nv_fund",N$3,$A43))</f>
        <v/>
      </c>
    </row>
    <row r="44" spans="1:14" x14ac:dyDescent="0.25">
      <c r="A44" s="63"/>
      <c r="B44" s="62" t="str">
        <f>IF($A44="","",[1]!thsiFinD("ths_adjustment_nv_fund",B$3,$A44))</f>
        <v/>
      </c>
      <c r="C44" s="62" t="str">
        <f>IF($A44="","",[1]!thsiFinD("ths_adjustment_nv_fund",C$3,$A44))</f>
        <v/>
      </c>
      <c r="D44" s="62" t="str">
        <f>IF($A44="","",[1]!thsiFinD("ths_adjustment_nv_fund",D$3,$A44))</f>
        <v/>
      </c>
      <c r="E44" s="62" t="str">
        <f>IF($A44="","",[1]!thsiFinD("ths_adjustment_nv_fund",E$3,$A44))</f>
        <v/>
      </c>
      <c r="F44" s="62" t="str">
        <f>IF($A44="","",[1]!thsiFinD("ths_adjustment_nv_fund",F$3,$A44))</f>
        <v/>
      </c>
      <c r="G44" s="62" t="str">
        <f>IF($A44="","",[1]!thsiFinD("ths_adjustment_nv_fund",G$3,$A44))</f>
        <v/>
      </c>
      <c r="H44" s="62" t="str">
        <f>IF($A44="","",[1]!thsiFinD("ths_adjustment_nv_fund",H$3,$A44))</f>
        <v/>
      </c>
      <c r="I44" s="62" t="str">
        <f>IF($A44="","",[1]!thsiFinD("ths_adjustment_nv_fund",I$3,$A44))</f>
        <v/>
      </c>
      <c r="J44" s="62" t="str">
        <f>IF($A44="","",[1]!thsiFinD("ths_adjustment_nv_fund",J$3,$A44))</f>
        <v/>
      </c>
      <c r="K44" s="62" t="str">
        <f>IF($A44="","",[1]!thsiFinD("ths_adjustment_nv_fund",K$3,$A44))</f>
        <v/>
      </c>
      <c r="L44" s="62" t="str">
        <f>IF($A44="","",[1]!thsiFinD("ths_adjustment_nv_fund",L$3,$A44))</f>
        <v/>
      </c>
      <c r="M44" s="62" t="str">
        <f>IF($A44="","",[1]!thsiFinD("ths_adjustment_nv_fund",M$3,$A44))</f>
        <v/>
      </c>
      <c r="N44" s="62" t="str">
        <f>IF($A44="","",[1]!thsiFinD("ths_adjustment_nv_fund",N$3,$A44))</f>
        <v/>
      </c>
    </row>
    <row r="45" spans="1:14" x14ac:dyDescent="0.25">
      <c r="A45" s="63"/>
      <c r="B45" s="62" t="str">
        <f>IF($A45="","",[1]!thsiFinD("ths_adjustment_nv_fund",B$3,$A45))</f>
        <v/>
      </c>
      <c r="C45" s="62" t="str">
        <f>IF($A45="","",[1]!thsiFinD("ths_adjustment_nv_fund",C$3,$A45))</f>
        <v/>
      </c>
      <c r="D45" s="62" t="str">
        <f>IF($A45="","",[1]!thsiFinD("ths_adjustment_nv_fund",D$3,$A45))</f>
        <v/>
      </c>
      <c r="E45" s="62" t="str">
        <f>IF($A45="","",[1]!thsiFinD("ths_adjustment_nv_fund",E$3,$A45))</f>
        <v/>
      </c>
      <c r="F45" s="62" t="str">
        <f>IF($A45="","",[1]!thsiFinD("ths_adjustment_nv_fund",F$3,$A45))</f>
        <v/>
      </c>
      <c r="G45" s="62" t="str">
        <f>IF($A45="","",[1]!thsiFinD("ths_adjustment_nv_fund",G$3,$A45))</f>
        <v/>
      </c>
      <c r="H45" s="62" t="str">
        <f>IF($A45="","",[1]!thsiFinD("ths_adjustment_nv_fund",H$3,$A45))</f>
        <v/>
      </c>
      <c r="I45" s="62" t="str">
        <f>IF($A45="","",[1]!thsiFinD("ths_adjustment_nv_fund",I$3,$A45))</f>
        <v/>
      </c>
      <c r="J45" s="62" t="str">
        <f>IF($A45="","",[1]!thsiFinD("ths_adjustment_nv_fund",J$3,$A45))</f>
        <v/>
      </c>
      <c r="K45" s="62" t="str">
        <f>IF($A45="","",[1]!thsiFinD("ths_adjustment_nv_fund",K$3,$A45))</f>
        <v/>
      </c>
      <c r="L45" s="62" t="str">
        <f>IF($A45="","",[1]!thsiFinD("ths_adjustment_nv_fund",L$3,$A45))</f>
        <v/>
      </c>
      <c r="M45" s="62" t="str">
        <f>IF($A45="","",[1]!thsiFinD("ths_adjustment_nv_fund",M$3,$A45))</f>
        <v/>
      </c>
      <c r="N45" s="62" t="str">
        <f>IF($A45="","",[1]!thsiFinD("ths_adjustment_nv_fund",N$3,$A45))</f>
        <v/>
      </c>
    </row>
    <row r="46" spans="1:14" x14ac:dyDescent="0.25">
      <c r="A46" s="63"/>
      <c r="B46" s="62" t="str">
        <f>IF($A46="","",[1]!thsiFinD("ths_adjustment_nv_fund",B$3,$A46))</f>
        <v/>
      </c>
      <c r="C46" s="62" t="str">
        <f>IF($A46="","",[1]!thsiFinD("ths_adjustment_nv_fund",C$3,$A46))</f>
        <v/>
      </c>
      <c r="D46" s="62" t="str">
        <f>IF($A46="","",[1]!thsiFinD("ths_adjustment_nv_fund",D$3,$A46))</f>
        <v/>
      </c>
      <c r="E46" s="62" t="str">
        <f>IF($A46="","",[1]!thsiFinD("ths_adjustment_nv_fund",E$3,$A46))</f>
        <v/>
      </c>
      <c r="F46" s="62" t="str">
        <f>IF($A46="","",[1]!thsiFinD("ths_adjustment_nv_fund",F$3,$A46))</f>
        <v/>
      </c>
      <c r="G46" s="62" t="str">
        <f>IF($A46="","",[1]!thsiFinD("ths_adjustment_nv_fund",G$3,$A46))</f>
        <v/>
      </c>
      <c r="H46" s="62" t="str">
        <f>IF($A46="","",[1]!thsiFinD("ths_adjustment_nv_fund",H$3,$A46))</f>
        <v/>
      </c>
      <c r="I46" s="62" t="str">
        <f>IF($A46="","",[1]!thsiFinD("ths_adjustment_nv_fund",I$3,$A46))</f>
        <v/>
      </c>
      <c r="J46" s="62" t="str">
        <f>IF($A46="","",[1]!thsiFinD("ths_adjustment_nv_fund",J$3,$A46))</f>
        <v/>
      </c>
      <c r="K46" s="62" t="str">
        <f>IF($A46="","",[1]!thsiFinD("ths_adjustment_nv_fund",K$3,$A46))</f>
        <v/>
      </c>
      <c r="L46" s="62" t="str">
        <f>IF($A46="","",[1]!thsiFinD("ths_adjustment_nv_fund",L$3,$A46))</f>
        <v/>
      </c>
      <c r="M46" s="62" t="str">
        <f>IF($A46="","",[1]!thsiFinD("ths_adjustment_nv_fund",M$3,$A46))</f>
        <v/>
      </c>
      <c r="N46" s="62" t="str">
        <f>IF($A46="","",[1]!thsiFinD("ths_adjustment_nv_fund",N$3,$A46))</f>
        <v/>
      </c>
    </row>
    <row r="47" spans="1:14" x14ac:dyDescent="0.25">
      <c r="A47" s="63"/>
      <c r="B47" s="62" t="str">
        <f>IF($A47="","",[1]!thsiFinD("ths_adjustment_nv_fund",B$3,$A47))</f>
        <v/>
      </c>
      <c r="C47" s="62" t="str">
        <f>IF($A47="","",[1]!thsiFinD("ths_adjustment_nv_fund",C$3,$A47))</f>
        <v/>
      </c>
      <c r="D47" s="62" t="str">
        <f>IF($A47="","",[1]!thsiFinD("ths_adjustment_nv_fund",D$3,$A47))</f>
        <v/>
      </c>
      <c r="E47" s="62" t="str">
        <f>IF($A47="","",[1]!thsiFinD("ths_adjustment_nv_fund",E$3,$A47))</f>
        <v/>
      </c>
      <c r="F47" s="62" t="str">
        <f>IF($A47="","",[1]!thsiFinD("ths_adjustment_nv_fund",F$3,$A47))</f>
        <v/>
      </c>
      <c r="G47" s="62" t="str">
        <f>IF($A47="","",[1]!thsiFinD("ths_adjustment_nv_fund",G$3,$A47))</f>
        <v/>
      </c>
      <c r="H47" s="62" t="str">
        <f>IF($A47="","",[1]!thsiFinD("ths_adjustment_nv_fund",H$3,$A47))</f>
        <v/>
      </c>
      <c r="I47" s="62" t="str">
        <f>IF($A47="","",[1]!thsiFinD("ths_adjustment_nv_fund",I$3,$A47))</f>
        <v/>
      </c>
      <c r="J47" s="62" t="str">
        <f>IF($A47="","",[1]!thsiFinD("ths_adjustment_nv_fund",J$3,$A47))</f>
        <v/>
      </c>
      <c r="K47" s="62" t="str">
        <f>IF($A47="","",[1]!thsiFinD("ths_adjustment_nv_fund",K$3,$A47))</f>
        <v/>
      </c>
      <c r="L47" s="62" t="str">
        <f>IF($A47="","",[1]!thsiFinD("ths_adjustment_nv_fund",L$3,$A47))</f>
        <v/>
      </c>
      <c r="M47" s="62" t="str">
        <f>IF($A47="","",[1]!thsiFinD("ths_adjustment_nv_fund",M$3,$A47))</f>
        <v/>
      </c>
      <c r="N47" s="62" t="str">
        <f>IF($A47="","",[1]!thsiFinD("ths_adjustment_nv_fund",N$3,$A47))</f>
        <v/>
      </c>
    </row>
    <row r="48" spans="1:14" x14ac:dyDescent="0.25">
      <c r="A48" s="63"/>
      <c r="B48" s="62" t="str">
        <f>IF($A48="","",[1]!thsiFinD("ths_adjustment_nv_fund",B$3,$A48))</f>
        <v/>
      </c>
      <c r="C48" s="62" t="str">
        <f>IF($A48="","",[1]!thsiFinD("ths_adjustment_nv_fund",C$3,$A48))</f>
        <v/>
      </c>
      <c r="D48" s="62" t="str">
        <f>IF($A48="","",[1]!thsiFinD("ths_adjustment_nv_fund",D$3,$A48))</f>
        <v/>
      </c>
      <c r="E48" s="62" t="str">
        <f>IF($A48="","",[1]!thsiFinD("ths_adjustment_nv_fund",E$3,$A48))</f>
        <v/>
      </c>
      <c r="F48" s="62" t="str">
        <f>IF($A48="","",[1]!thsiFinD("ths_adjustment_nv_fund",F$3,$A48))</f>
        <v/>
      </c>
      <c r="G48" s="62" t="str">
        <f>IF($A48="","",[1]!thsiFinD("ths_adjustment_nv_fund",G$3,$A48))</f>
        <v/>
      </c>
      <c r="H48" s="62" t="str">
        <f>IF($A48="","",[1]!thsiFinD("ths_adjustment_nv_fund",H$3,$A48))</f>
        <v/>
      </c>
      <c r="I48" s="62" t="str">
        <f>IF($A48="","",[1]!thsiFinD("ths_adjustment_nv_fund",I$3,$A48))</f>
        <v/>
      </c>
      <c r="J48" s="62" t="str">
        <f>IF($A48="","",[1]!thsiFinD("ths_adjustment_nv_fund",J$3,$A48))</f>
        <v/>
      </c>
      <c r="K48" s="62" t="str">
        <f>IF($A48="","",[1]!thsiFinD("ths_adjustment_nv_fund",K$3,$A48))</f>
        <v/>
      </c>
      <c r="L48" s="62" t="str">
        <f>IF($A48="","",[1]!thsiFinD("ths_adjustment_nv_fund",L$3,$A48))</f>
        <v/>
      </c>
      <c r="M48" s="62" t="str">
        <f>IF($A48="","",[1]!thsiFinD("ths_adjustment_nv_fund",M$3,$A48))</f>
        <v/>
      </c>
      <c r="N48" s="62" t="str">
        <f>IF($A48="","",[1]!thsiFinD("ths_adjustment_nv_fund",N$3,$A48))</f>
        <v/>
      </c>
    </row>
    <row r="49" spans="1:14" x14ac:dyDescent="0.25">
      <c r="A49" s="63"/>
      <c r="B49" s="62" t="str">
        <f>IF($A49="","",[1]!thsiFinD("ths_adjustment_nv_fund",B$3,$A49))</f>
        <v/>
      </c>
      <c r="C49" s="62" t="str">
        <f>IF($A49="","",[1]!thsiFinD("ths_adjustment_nv_fund",C$3,$A49))</f>
        <v/>
      </c>
      <c r="D49" s="62" t="str">
        <f>IF($A49="","",[1]!thsiFinD("ths_adjustment_nv_fund",D$3,$A49))</f>
        <v/>
      </c>
      <c r="E49" s="62" t="str">
        <f>IF($A49="","",[1]!thsiFinD("ths_adjustment_nv_fund",E$3,$A49))</f>
        <v/>
      </c>
      <c r="F49" s="62" t="str">
        <f>IF($A49="","",[1]!thsiFinD("ths_adjustment_nv_fund",F$3,$A49))</f>
        <v/>
      </c>
      <c r="G49" s="62" t="str">
        <f>IF($A49="","",[1]!thsiFinD("ths_adjustment_nv_fund",G$3,$A49))</f>
        <v/>
      </c>
      <c r="H49" s="62" t="str">
        <f>IF($A49="","",[1]!thsiFinD("ths_adjustment_nv_fund",H$3,$A49))</f>
        <v/>
      </c>
      <c r="I49" s="62" t="str">
        <f>IF($A49="","",[1]!thsiFinD("ths_adjustment_nv_fund",I$3,$A49))</f>
        <v/>
      </c>
      <c r="J49" s="62" t="str">
        <f>IF($A49="","",[1]!thsiFinD("ths_adjustment_nv_fund",J$3,$A49))</f>
        <v/>
      </c>
      <c r="K49" s="62" t="str">
        <f>IF($A49="","",[1]!thsiFinD("ths_adjustment_nv_fund",K$3,$A49))</f>
        <v/>
      </c>
      <c r="L49" s="62" t="str">
        <f>IF($A49="","",[1]!thsiFinD("ths_adjustment_nv_fund",L$3,$A49))</f>
        <v/>
      </c>
      <c r="M49" s="62" t="str">
        <f>IF($A49="","",[1]!thsiFinD("ths_adjustment_nv_fund",M$3,$A49))</f>
        <v/>
      </c>
      <c r="N49" s="62" t="str">
        <f>IF($A49="","",[1]!thsiFinD("ths_adjustment_nv_fund",N$3,$A49))</f>
        <v/>
      </c>
    </row>
    <row r="50" spans="1:14" x14ac:dyDescent="0.25">
      <c r="A50" s="63"/>
      <c r="B50" s="62" t="str">
        <f>IF($A50="","",[1]!thsiFinD("ths_adjustment_nv_fund",B$3,$A50))</f>
        <v/>
      </c>
      <c r="C50" s="62" t="str">
        <f>IF($A50="","",[1]!thsiFinD("ths_adjustment_nv_fund",C$3,$A50))</f>
        <v/>
      </c>
      <c r="D50" s="62" t="str">
        <f>IF($A50="","",[1]!thsiFinD("ths_adjustment_nv_fund",D$3,$A50))</f>
        <v/>
      </c>
      <c r="E50" s="62" t="str">
        <f>IF($A50="","",[1]!thsiFinD("ths_adjustment_nv_fund",E$3,$A50))</f>
        <v/>
      </c>
      <c r="F50" s="62" t="str">
        <f>IF($A50="","",[1]!thsiFinD("ths_adjustment_nv_fund",F$3,$A50))</f>
        <v/>
      </c>
      <c r="G50" s="62" t="str">
        <f>IF($A50="","",[1]!thsiFinD("ths_adjustment_nv_fund",G$3,$A50))</f>
        <v/>
      </c>
      <c r="H50" s="62" t="str">
        <f>IF($A50="","",[1]!thsiFinD("ths_adjustment_nv_fund",H$3,$A50))</f>
        <v/>
      </c>
      <c r="I50" s="62" t="str">
        <f>IF($A50="","",[1]!thsiFinD("ths_adjustment_nv_fund",I$3,$A50))</f>
        <v/>
      </c>
      <c r="J50" s="62" t="str">
        <f>IF($A50="","",[1]!thsiFinD("ths_adjustment_nv_fund",J$3,$A50))</f>
        <v/>
      </c>
      <c r="K50" s="62" t="str">
        <f>IF($A50="","",[1]!thsiFinD("ths_adjustment_nv_fund",K$3,$A50))</f>
        <v/>
      </c>
      <c r="L50" s="62" t="str">
        <f>IF($A50="","",[1]!thsiFinD("ths_adjustment_nv_fund",L$3,$A50))</f>
        <v/>
      </c>
      <c r="M50" s="62" t="str">
        <f>IF($A50="","",[1]!thsiFinD("ths_adjustment_nv_fund",M$3,$A50))</f>
        <v/>
      </c>
      <c r="N50" s="62" t="str">
        <f>IF($A50="","",[1]!thsiFinD("ths_adjustment_nv_fund",N$3,$A50))</f>
        <v/>
      </c>
    </row>
    <row r="51" spans="1:14" x14ac:dyDescent="0.25">
      <c r="A51" s="63"/>
      <c r="B51" s="62" t="str">
        <f>IF($A51="","",[1]!thsiFinD("ths_adjustment_nv_fund",B$3,$A51))</f>
        <v/>
      </c>
      <c r="C51" s="62" t="str">
        <f>IF($A51="","",[1]!thsiFinD("ths_adjustment_nv_fund",C$3,$A51))</f>
        <v/>
      </c>
      <c r="D51" s="62" t="str">
        <f>IF($A51="","",[1]!thsiFinD("ths_adjustment_nv_fund",D$3,$A51))</f>
        <v/>
      </c>
      <c r="E51" s="62" t="str">
        <f>IF($A51="","",[1]!thsiFinD("ths_adjustment_nv_fund",E$3,$A51))</f>
        <v/>
      </c>
      <c r="F51" s="62" t="str">
        <f>IF($A51="","",[1]!thsiFinD("ths_adjustment_nv_fund",F$3,$A51))</f>
        <v/>
      </c>
      <c r="G51" s="62" t="str">
        <f>IF($A51="","",[1]!thsiFinD("ths_adjustment_nv_fund",G$3,$A51))</f>
        <v/>
      </c>
      <c r="H51" s="62" t="str">
        <f>IF($A51="","",[1]!thsiFinD("ths_adjustment_nv_fund",H$3,$A51))</f>
        <v/>
      </c>
      <c r="I51" s="62" t="str">
        <f>IF($A51="","",[1]!thsiFinD("ths_adjustment_nv_fund",I$3,$A51))</f>
        <v/>
      </c>
      <c r="J51" s="62" t="str">
        <f>IF($A51="","",[1]!thsiFinD("ths_adjustment_nv_fund",J$3,$A51))</f>
        <v/>
      </c>
      <c r="K51" s="62" t="str">
        <f>IF($A51="","",[1]!thsiFinD("ths_adjustment_nv_fund",K$3,$A51))</f>
        <v/>
      </c>
      <c r="L51" s="62" t="str">
        <f>IF($A51="","",[1]!thsiFinD("ths_adjustment_nv_fund",L$3,$A51))</f>
        <v/>
      </c>
      <c r="M51" s="62" t="str">
        <f>IF($A51="","",[1]!thsiFinD("ths_adjustment_nv_fund",M$3,$A51))</f>
        <v/>
      </c>
      <c r="N51" s="62" t="str">
        <f>IF($A51="","",[1]!thsiFinD("ths_adjustment_nv_fund",N$3,$A51))</f>
        <v/>
      </c>
    </row>
    <row r="52" spans="1:14" x14ac:dyDescent="0.25">
      <c r="A52" s="63"/>
      <c r="B52" s="62" t="str">
        <f>IF($A52="","",[1]!thsiFinD("ths_adjustment_nv_fund",B$3,$A52))</f>
        <v/>
      </c>
      <c r="C52" s="62" t="str">
        <f>IF($A52="","",[1]!thsiFinD("ths_adjustment_nv_fund",C$3,$A52))</f>
        <v/>
      </c>
      <c r="D52" s="62" t="str">
        <f>IF($A52="","",[1]!thsiFinD("ths_adjustment_nv_fund",D$3,$A52))</f>
        <v/>
      </c>
      <c r="E52" s="62" t="str">
        <f>IF($A52="","",[1]!thsiFinD("ths_adjustment_nv_fund",E$3,$A52))</f>
        <v/>
      </c>
      <c r="F52" s="62" t="str">
        <f>IF($A52="","",[1]!thsiFinD("ths_adjustment_nv_fund",F$3,$A52))</f>
        <v/>
      </c>
      <c r="G52" s="62" t="str">
        <f>IF($A52="","",[1]!thsiFinD("ths_adjustment_nv_fund",G$3,$A52))</f>
        <v/>
      </c>
      <c r="H52" s="62" t="str">
        <f>IF($A52="","",[1]!thsiFinD("ths_adjustment_nv_fund",H$3,$A52))</f>
        <v/>
      </c>
      <c r="I52" s="62" t="str">
        <f>IF($A52="","",[1]!thsiFinD("ths_adjustment_nv_fund",I$3,$A52))</f>
        <v/>
      </c>
      <c r="J52" s="62" t="str">
        <f>IF($A52="","",[1]!thsiFinD("ths_adjustment_nv_fund",J$3,$A52))</f>
        <v/>
      </c>
      <c r="K52" s="62" t="str">
        <f>IF($A52="","",[1]!thsiFinD("ths_adjustment_nv_fund",K$3,$A52))</f>
        <v/>
      </c>
      <c r="L52" s="62" t="str">
        <f>IF($A52="","",[1]!thsiFinD("ths_adjustment_nv_fund",L$3,$A52))</f>
        <v/>
      </c>
      <c r="M52" s="62" t="str">
        <f>IF($A52="","",[1]!thsiFinD("ths_adjustment_nv_fund",M$3,$A52))</f>
        <v/>
      </c>
      <c r="N52" s="62" t="str">
        <f>IF($A52="","",[1]!thsiFinD("ths_adjustment_nv_fund",N$3,$A52))</f>
        <v/>
      </c>
    </row>
    <row r="53" spans="1:14" x14ac:dyDescent="0.25">
      <c r="A53" s="63"/>
      <c r="B53" s="62" t="str">
        <f>IF($A53="","",[1]!thsiFinD("ths_adjustment_nv_fund",B$3,$A53))</f>
        <v/>
      </c>
      <c r="C53" s="62" t="str">
        <f>IF($A53="","",[1]!thsiFinD("ths_adjustment_nv_fund",C$3,$A53))</f>
        <v/>
      </c>
      <c r="D53" s="62" t="str">
        <f>IF($A53="","",[1]!thsiFinD("ths_adjustment_nv_fund",D$3,$A53))</f>
        <v/>
      </c>
      <c r="E53" s="62" t="str">
        <f>IF($A53="","",[1]!thsiFinD("ths_adjustment_nv_fund",E$3,$A53))</f>
        <v/>
      </c>
      <c r="F53" s="62" t="str">
        <f>IF($A53="","",[1]!thsiFinD("ths_adjustment_nv_fund",F$3,$A53))</f>
        <v/>
      </c>
      <c r="G53" s="62" t="str">
        <f>IF($A53="","",[1]!thsiFinD("ths_adjustment_nv_fund",G$3,$A53))</f>
        <v/>
      </c>
      <c r="H53" s="62" t="str">
        <f>IF($A53="","",[1]!thsiFinD("ths_adjustment_nv_fund",H$3,$A53))</f>
        <v/>
      </c>
      <c r="I53" s="62" t="str">
        <f>IF($A53="","",[1]!thsiFinD("ths_adjustment_nv_fund",I$3,$A53))</f>
        <v/>
      </c>
      <c r="J53" s="62" t="str">
        <f>IF($A53="","",[1]!thsiFinD("ths_adjustment_nv_fund",J$3,$A53))</f>
        <v/>
      </c>
      <c r="K53" s="62" t="str">
        <f>IF($A53="","",[1]!thsiFinD("ths_adjustment_nv_fund",K$3,$A53))</f>
        <v/>
      </c>
      <c r="L53" s="62" t="str">
        <f>IF($A53="","",[1]!thsiFinD("ths_adjustment_nv_fund",L$3,$A53))</f>
        <v/>
      </c>
      <c r="M53" s="62" t="str">
        <f>IF($A53="","",[1]!thsiFinD("ths_adjustment_nv_fund",M$3,$A53))</f>
        <v/>
      </c>
      <c r="N53" s="62" t="str">
        <f>IF($A53="","",[1]!thsiFinD("ths_adjustment_nv_fund",N$3,$A53))</f>
        <v/>
      </c>
    </row>
    <row r="54" spans="1:14" x14ac:dyDescent="0.25">
      <c r="A54" s="63"/>
      <c r="B54" s="62" t="str">
        <f>IF($A54="","",[1]!thsiFinD("ths_adjustment_nv_fund",B$3,$A54))</f>
        <v/>
      </c>
      <c r="C54" s="62" t="str">
        <f>IF($A54="","",[1]!thsiFinD("ths_adjustment_nv_fund",C$3,$A54))</f>
        <v/>
      </c>
      <c r="D54" s="62" t="str">
        <f>IF($A54="","",[1]!thsiFinD("ths_adjustment_nv_fund",D$3,$A54))</f>
        <v/>
      </c>
      <c r="E54" s="62" t="str">
        <f>IF($A54="","",[1]!thsiFinD("ths_adjustment_nv_fund",E$3,$A54))</f>
        <v/>
      </c>
      <c r="F54" s="62" t="str">
        <f>IF($A54="","",[1]!thsiFinD("ths_adjustment_nv_fund",F$3,$A54))</f>
        <v/>
      </c>
      <c r="G54" s="62" t="str">
        <f>IF($A54="","",[1]!thsiFinD("ths_adjustment_nv_fund",G$3,$A54))</f>
        <v/>
      </c>
      <c r="H54" s="62" t="str">
        <f>IF($A54="","",[1]!thsiFinD("ths_adjustment_nv_fund",H$3,$A54))</f>
        <v/>
      </c>
      <c r="I54" s="62" t="str">
        <f>IF($A54="","",[1]!thsiFinD("ths_adjustment_nv_fund",I$3,$A54))</f>
        <v/>
      </c>
      <c r="J54" s="62" t="str">
        <f>IF($A54="","",[1]!thsiFinD("ths_adjustment_nv_fund",J$3,$A54))</f>
        <v/>
      </c>
      <c r="K54" s="62" t="str">
        <f>IF($A54="","",[1]!thsiFinD("ths_adjustment_nv_fund",K$3,$A54))</f>
        <v/>
      </c>
      <c r="L54" s="62" t="str">
        <f>IF($A54="","",[1]!thsiFinD("ths_adjustment_nv_fund",L$3,$A54))</f>
        <v/>
      </c>
      <c r="M54" s="62" t="str">
        <f>IF($A54="","",[1]!thsiFinD("ths_adjustment_nv_fund",M$3,$A54))</f>
        <v/>
      </c>
      <c r="N54" s="62" t="str">
        <f>IF($A54="","",[1]!thsiFinD("ths_adjustment_nv_fund",N$3,$A54))</f>
        <v/>
      </c>
    </row>
    <row r="55" spans="1:14" x14ac:dyDescent="0.25">
      <c r="A55" s="63"/>
      <c r="B55" s="62" t="str">
        <f>IF($A55="","",[1]!thsiFinD("ths_adjustment_nv_fund",B$3,$A55))</f>
        <v/>
      </c>
      <c r="C55" s="62" t="str">
        <f>IF($A55="","",[1]!thsiFinD("ths_adjustment_nv_fund",C$3,$A55))</f>
        <v/>
      </c>
      <c r="D55" s="62" t="str">
        <f>IF($A55="","",[1]!thsiFinD("ths_adjustment_nv_fund",D$3,$A55))</f>
        <v/>
      </c>
      <c r="E55" s="62" t="str">
        <f>IF($A55="","",[1]!thsiFinD("ths_adjustment_nv_fund",E$3,$A55))</f>
        <v/>
      </c>
      <c r="F55" s="62" t="str">
        <f>IF($A55="","",[1]!thsiFinD("ths_adjustment_nv_fund",F$3,$A55))</f>
        <v/>
      </c>
      <c r="G55" s="62" t="str">
        <f>IF($A55="","",[1]!thsiFinD("ths_adjustment_nv_fund",G$3,$A55))</f>
        <v/>
      </c>
      <c r="H55" s="62" t="str">
        <f>IF($A55="","",[1]!thsiFinD("ths_adjustment_nv_fund",H$3,$A55))</f>
        <v/>
      </c>
      <c r="I55" s="62" t="str">
        <f>IF($A55="","",[1]!thsiFinD("ths_adjustment_nv_fund",I$3,$A55))</f>
        <v/>
      </c>
      <c r="J55" s="62" t="str">
        <f>IF($A55="","",[1]!thsiFinD("ths_adjustment_nv_fund",J$3,$A55))</f>
        <v/>
      </c>
      <c r="K55" s="62" t="str">
        <f>IF($A55="","",[1]!thsiFinD("ths_adjustment_nv_fund",K$3,$A55))</f>
        <v/>
      </c>
      <c r="L55" s="62" t="str">
        <f>IF($A55="","",[1]!thsiFinD("ths_adjustment_nv_fund",L$3,$A55))</f>
        <v/>
      </c>
      <c r="M55" s="62" t="str">
        <f>IF($A55="","",[1]!thsiFinD("ths_adjustment_nv_fund",M$3,$A55))</f>
        <v/>
      </c>
      <c r="N55" s="62" t="str">
        <f>IF($A55="","",[1]!thsiFinD("ths_adjustment_nv_fund",N$3,$A55))</f>
        <v/>
      </c>
    </row>
    <row r="56" spans="1:14" x14ac:dyDescent="0.25">
      <c r="A56" s="63"/>
      <c r="B56" s="62" t="str">
        <f>IF($A56="","",[1]!thsiFinD("ths_adjustment_nv_fund",B$3,$A56))</f>
        <v/>
      </c>
      <c r="C56" s="62" t="str">
        <f>IF($A56="","",[1]!thsiFinD("ths_adjustment_nv_fund",C$3,$A56))</f>
        <v/>
      </c>
      <c r="D56" s="62" t="str">
        <f>IF($A56="","",[1]!thsiFinD("ths_adjustment_nv_fund",D$3,$A56))</f>
        <v/>
      </c>
      <c r="E56" s="62" t="str">
        <f>IF($A56="","",[1]!thsiFinD("ths_adjustment_nv_fund",E$3,$A56))</f>
        <v/>
      </c>
      <c r="F56" s="62" t="str">
        <f>IF($A56="","",[1]!thsiFinD("ths_adjustment_nv_fund",F$3,$A56))</f>
        <v/>
      </c>
      <c r="G56" s="62" t="str">
        <f>IF($A56="","",[1]!thsiFinD("ths_adjustment_nv_fund",G$3,$A56))</f>
        <v/>
      </c>
      <c r="H56" s="62" t="str">
        <f>IF($A56="","",[1]!thsiFinD("ths_adjustment_nv_fund",H$3,$A56))</f>
        <v/>
      </c>
      <c r="I56" s="62" t="str">
        <f>IF($A56="","",[1]!thsiFinD("ths_adjustment_nv_fund",I$3,$A56))</f>
        <v/>
      </c>
      <c r="J56" s="62" t="str">
        <f>IF($A56="","",[1]!thsiFinD("ths_adjustment_nv_fund",J$3,$A56))</f>
        <v/>
      </c>
      <c r="K56" s="62" t="str">
        <f>IF($A56="","",[1]!thsiFinD("ths_adjustment_nv_fund",K$3,$A56))</f>
        <v/>
      </c>
      <c r="L56" s="62" t="str">
        <f>IF($A56="","",[1]!thsiFinD("ths_adjustment_nv_fund",L$3,$A56))</f>
        <v/>
      </c>
      <c r="M56" s="62" t="str">
        <f>IF($A56="","",[1]!thsiFinD("ths_adjustment_nv_fund",M$3,$A56))</f>
        <v/>
      </c>
      <c r="N56" s="62" t="str">
        <f>IF($A56="","",[1]!thsiFinD("ths_adjustment_nv_fund",N$3,$A56))</f>
        <v/>
      </c>
    </row>
    <row r="57" spans="1:14" x14ac:dyDescent="0.25">
      <c r="A57" s="63"/>
      <c r="B57" s="62" t="str">
        <f>IF($A57="","",[1]!thsiFinD("ths_adjustment_nv_fund",B$3,$A57))</f>
        <v/>
      </c>
      <c r="C57" s="62" t="str">
        <f>IF($A57="","",[1]!thsiFinD("ths_adjustment_nv_fund",C$3,$A57))</f>
        <v/>
      </c>
      <c r="D57" s="62" t="str">
        <f>IF($A57="","",[1]!thsiFinD("ths_adjustment_nv_fund",D$3,$A57))</f>
        <v/>
      </c>
      <c r="E57" s="62" t="str">
        <f>IF($A57="","",[1]!thsiFinD("ths_adjustment_nv_fund",E$3,$A57))</f>
        <v/>
      </c>
      <c r="F57" s="62" t="str">
        <f>IF($A57="","",[1]!thsiFinD("ths_adjustment_nv_fund",F$3,$A57))</f>
        <v/>
      </c>
      <c r="G57" s="62" t="str">
        <f>IF($A57="","",[1]!thsiFinD("ths_adjustment_nv_fund",G$3,$A57))</f>
        <v/>
      </c>
      <c r="H57" s="62" t="str">
        <f>IF($A57="","",[1]!thsiFinD("ths_adjustment_nv_fund",H$3,$A57))</f>
        <v/>
      </c>
      <c r="I57" s="62" t="str">
        <f>IF($A57="","",[1]!thsiFinD("ths_adjustment_nv_fund",I$3,$A57))</f>
        <v/>
      </c>
      <c r="J57" s="62" t="str">
        <f>IF($A57="","",[1]!thsiFinD("ths_adjustment_nv_fund",J$3,$A57))</f>
        <v/>
      </c>
      <c r="K57" s="62" t="str">
        <f>IF($A57="","",[1]!thsiFinD("ths_adjustment_nv_fund",K$3,$A57))</f>
        <v/>
      </c>
      <c r="L57" s="62" t="str">
        <f>IF($A57="","",[1]!thsiFinD("ths_adjustment_nv_fund",L$3,$A57))</f>
        <v/>
      </c>
      <c r="M57" s="62" t="str">
        <f>IF($A57="","",[1]!thsiFinD("ths_adjustment_nv_fund",M$3,$A57))</f>
        <v/>
      </c>
      <c r="N57" s="62" t="str">
        <f>IF($A57="","",[1]!thsiFinD("ths_adjustment_nv_fund",N$3,$A57))</f>
        <v/>
      </c>
    </row>
    <row r="58" spans="1:14" x14ac:dyDescent="0.25">
      <c r="A58" s="63"/>
      <c r="B58" s="62" t="str">
        <f>IF($A58="","",[1]!thsiFinD("ths_adjustment_nv_fund",B$3,$A58))</f>
        <v/>
      </c>
      <c r="C58" s="62" t="str">
        <f>IF($A58="","",[1]!thsiFinD("ths_adjustment_nv_fund",C$3,$A58))</f>
        <v/>
      </c>
      <c r="D58" s="62" t="str">
        <f>IF($A58="","",[1]!thsiFinD("ths_adjustment_nv_fund",D$3,$A58))</f>
        <v/>
      </c>
      <c r="E58" s="62" t="str">
        <f>IF($A58="","",[1]!thsiFinD("ths_adjustment_nv_fund",E$3,$A58))</f>
        <v/>
      </c>
      <c r="F58" s="62" t="str">
        <f>IF($A58="","",[1]!thsiFinD("ths_adjustment_nv_fund",F$3,$A58))</f>
        <v/>
      </c>
      <c r="G58" s="62" t="str">
        <f>IF($A58="","",[1]!thsiFinD("ths_adjustment_nv_fund",G$3,$A58))</f>
        <v/>
      </c>
      <c r="H58" s="62" t="str">
        <f>IF($A58="","",[1]!thsiFinD("ths_adjustment_nv_fund",H$3,$A58))</f>
        <v/>
      </c>
      <c r="I58" s="62" t="str">
        <f>IF($A58="","",[1]!thsiFinD("ths_adjustment_nv_fund",I$3,$A58))</f>
        <v/>
      </c>
      <c r="J58" s="62" t="str">
        <f>IF($A58="","",[1]!thsiFinD("ths_adjustment_nv_fund",J$3,$A58))</f>
        <v/>
      </c>
      <c r="K58" s="62" t="str">
        <f>IF($A58="","",[1]!thsiFinD("ths_adjustment_nv_fund",K$3,$A58))</f>
        <v/>
      </c>
      <c r="L58" s="62" t="str">
        <f>IF($A58="","",[1]!thsiFinD("ths_adjustment_nv_fund",L$3,$A58))</f>
        <v/>
      </c>
      <c r="M58" s="62" t="str">
        <f>IF($A58="","",[1]!thsiFinD("ths_adjustment_nv_fund",M$3,$A58))</f>
        <v/>
      </c>
      <c r="N58" s="62" t="str">
        <f>IF($A58="","",[1]!thsiFinD("ths_adjustment_nv_fund",N$3,$A58))</f>
        <v/>
      </c>
    </row>
    <row r="59" spans="1:14" x14ac:dyDescent="0.25">
      <c r="A59" s="63"/>
      <c r="B59" s="62" t="str">
        <f>IF($A59="","",[1]!thsiFinD("ths_adjustment_nv_fund",B$3,$A59))</f>
        <v/>
      </c>
      <c r="C59" s="62" t="str">
        <f>IF($A59="","",[1]!thsiFinD("ths_adjustment_nv_fund",C$3,$A59))</f>
        <v/>
      </c>
      <c r="D59" s="62" t="str">
        <f>IF($A59="","",[1]!thsiFinD("ths_adjustment_nv_fund",D$3,$A59))</f>
        <v/>
      </c>
      <c r="E59" s="62" t="str">
        <f>IF($A59="","",[1]!thsiFinD("ths_adjustment_nv_fund",E$3,$A59))</f>
        <v/>
      </c>
      <c r="F59" s="62" t="str">
        <f>IF($A59="","",[1]!thsiFinD("ths_adjustment_nv_fund",F$3,$A59))</f>
        <v/>
      </c>
      <c r="G59" s="62" t="str">
        <f>IF($A59="","",[1]!thsiFinD("ths_adjustment_nv_fund",G$3,$A59))</f>
        <v/>
      </c>
      <c r="H59" s="62" t="str">
        <f>IF($A59="","",[1]!thsiFinD("ths_adjustment_nv_fund",H$3,$A59))</f>
        <v/>
      </c>
      <c r="I59" s="62" t="str">
        <f>IF($A59="","",[1]!thsiFinD("ths_adjustment_nv_fund",I$3,$A59))</f>
        <v/>
      </c>
      <c r="J59" s="62" t="str">
        <f>IF($A59="","",[1]!thsiFinD("ths_adjustment_nv_fund",J$3,$A59))</f>
        <v/>
      </c>
      <c r="K59" s="62" t="str">
        <f>IF($A59="","",[1]!thsiFinD("ths_adjustment_nv_fund",K$3,$A59))</f>
        <v/>
      </c>
      <c r="L59" s="62" t="str">
        <f>IF($A59="","",[1]!thsiFinD("ths_adjustment_nv_fund",L$3,$A59))</f>
        <v/>
      </c>
      <c r="M59" s="62" t="str">
        <f>IF($A59="","",[1]!thsiFinD("ths_adjustment_nv_fund",M$3,$A59))</f>
        <v/>
      </c>
      <c r="N59" s="62" t="str">
        <f>IF($A59="","",[1]!thsiFinD("ths_adjustment_nv_fund",N$3,$A59))</f>
        <v/>
      </c>
    </row>
    <row r="60" spans="1:14" x14ac:dyDescent="0.25">
      <c r="A60" s="64"/>
    </row>
    <row r="61" spans="1:14" ht="14.5" customHeight="1" x14ac:dyDescent="0.3">
      <c r="A61" s="65"/>
    </row>
    <row r="62" spans="1:14" x14ac:dyDescent="0.25">
      <c r="A62" s="64"/>
    </row>
    <row r="63" spans="1:14" x14ac:dyDescent="0.25">
      <c r="A63" s="64"/>
    </row>
    <row r="64" spans="1:14" x14ac:dyDescent="0.25">
      <c r="A64" s="64"/>
    </row>
    <row r="65" spans="1:1" x14ac:dyDescent="0.25">
      <c r="A65" s="64"/>
    </row>
    <row r="66" spans="1:1" x14ac:dyDescent="0.25">
      <c r="A66" s="64"/>
    </row>
    <row r="67" spans="1:1" x14ac:dyDescent="0.25">
      <c r="A67" s="64"/>
    </row>
    <row r="68" spans="1:1" x14ac:dyDescent="0.25">
      <c r="A68" s="64"/>
    </row>
    <row r="69" spans="1:1" x14ac:dyDescent="0.25">
      <c r="A69" s="64"/>
    </row>
    <row r="70" spans="1:1" x14ac:dyDescent="0.25">
      <c r="A70" s="64"/>
    </row>
    <row r="71" spans="1:1" x14ac:dyDescent="0.25">
      <c r="A71" s="64"/>
    </row>
    <row r="72" spans="1:1" x14ac:dyDescent="0.25">
      <c r="A72" s="64"/>
    </row>
    <row r="73" spans="1:1" x14ac:dyDescent="0.25">
      <c r="A73" s="64"/>
    </row>
    <row r="74" spans="1:1" x14ac:dyDescent="0.25">
      <c r="A74" s="64"/>
    </row>
    <row r="75" spans="1:1" x14ac:dyDescent="0.25">
      <c r="A75" s="64"/>
    </row>
    <row r="76" spans="1:1" x14ac:dyDescent="0.25">
      <c r="A76" s="64"/>
    </row>
    <row r="77" spans="1:1" x14ac:dyDescent="0.25">
      <c r="A77" s="64"/>
    </row>
    <row r="78" spans="1:1" x14ac:dyDescent="0.25">
      <c r="A78" s="64"/>
    </row>
    <row r="79" spans="1:1" x14ac:dyDescent="0.25">
      <c r="A79" s="64"/>
    </row>
    <row r="80" spans="1:1" x14ac:dyDescent="0.25">
      <c r="A80" s="64"/>
    </row>
    <row r="81" spans="1:1" x14ac:dyDescent="0.25">
      <c r="A81" s="64"/>
    </row>
    <row r="82" spans="1:1" x14ac:dyDescent="0.25">
      <c r="A82" s="64"/>
    </row>
    <row r="83" spans="1:1" x14ac:dyDescent="0.25">
      <c r="A83" s="64"/>
    </row>
    <row r="84" spans="1:1" x14ac:dyDescent="0.25">
      <c r="A84" s="64"/>
    </row>
    <row r="85" spans="1:1" x14ac:dyDescent="0.25">
      <c r="A85" s="64"/>
    </row>
    <row r="86" spans="1:1" x14ac:dyDescent="0.25">
      <c r="A86" s="64"/>
    </row>
    <row r="87" spans="1:1" x14ac:dyDescent="0.25">
      <c r="A87" s="64"/>
    </row>
    <row r="88" spans="1:1" x14ac:dyDescent="0.25">
      <c r="A88" s="64"/>
    </row>
    <row r="89" spans="1:1" x14ac:dyDescent="0.25">
      <c r="A89" s="64"/>
    </row>
    <row r="90" spans="1:1" x14ac:dyDescent="0.25">
      <c r="A90" s="64"/>
    </row>
    <row r="91" spans="1:1" x14ac:dyDescent="0.25">
      <c r="A91" s="64"/>
    </row>
    <row r="92" spans="1:1" x14ac:dyDescent="0.25">
      <c r="A92" s="64"/>
    </row>
    <row r="93" spans="1:1" x14ac:dyDescent="0.25">
      <c r="A93" s="64"/>
    </row>
    <row r="94" spans="1:1" x14ac:dyDescent="0.25">
      <c r="A94" s="64"/>
    </row>
    <row r="95" spans="1:1" x14ac:dyDescent="0.25">
      <c r="A95" s="64"/>
    </row>
    <row r="96" spans="1:1" x14ac:dyDescent="0.25">
      <c r="A96" s="64"/>
    </row>
    <row r="97" spans="1:1" x14ac:dyDescent="0.25">
      <c r="A97" s="64"/>
    </row>
    <row r="98" spans="1:1" x14ac:dyDescent="0.25">
      <c r="A98" s="64"/>
    </row>
    <row r="99" spans="1:1" x14ac:dyDescent="0.25">
      <c r="A99" s="64"/>
    </row>
    <row r="100" spans="1:1" x14ac:dyDescent="0.25">
      <c r="A100" s="64"/>
    </row>
    <row r="101" spans="1:1" x14ac:dyDescent="0.25">
      <c r="A101" s="64"/>
    </row>
    <row r="102" spans="1:1" x14ac:dyDescent="0.25">
      <c r="A102" s="64"/>
    </row>
    <row r="103" spans="1:1" x14ac:dyDescent="0.25">
      <c r="A103" s="64"/>
    </row>
    <row r="104" spans="1:1" x14ac:dyDescent="0.25">
      <c r="A104" s="64"/>
    </row>
    <row r="105" spans="1:1" x14ac:dyDescent="0.25">
      <c r="A105" s="64"/>
    </row>
    <row r="106" spans="1:1" x14ac:dyDescent="0.25">
      <c r="A106" s="64"/>
    </row>
    <row r="107" spans="1:1" x14ac:dyDescent="0.25">
      <c r="A107" s="64"/>
    </row>
    <row r="108" spans="1:1" x14ac:dyDescent="0.25">
      <c r="A108" s="64"/>
    </row>
    <row r="109" spans="1:1" x14ac:dyDescent="0.25">
      <c r="A109" s="64"/>
    </row>
    <row r="110" spans="1:1" x14ac:dyDescent="0.25">
      <c r="A110" s="64"/>
    </row>
    <row r="111" spans="1:1" x14ac:dyDescent="0.25">
      <c r="A111" s="64"/>
    </row>
    <row r="112" spans="1:1" x14ac:dyDescent="0.25">
      <c r="A112" s="64"/>
    </row>
    <row r="113" spans="1:1" x14ac:dyDescent="0.25">
      <c r="A113" s="64"/>
    </row>
    <row r="114" spans="1:1" x14ac:dyDescent="0.25">
      <c r="A114" s="64"/>
    </row>
    <row r="115" spans="1:1" x14ac:dyDescent="0.25">
      <c r="A115" s="64"/>
    </row>
    <row r="116" spans="1:1" x14ac:dyDescent="0.25">
      <c r="A116" s="64"/>
    </row>
    <row r="117" spans="1:1" x14ac:dyDescent="0.25">
      <c r="A117" s="64"/>
    </row>
    <row r="118" spans="1:1" x14ac:dyDescent="0.25">
      <c r="A118" s="64"/>
    </row>
    <row r="119" spans="1:1" x14ac:dyDescent="0.25">
      <c r="A119" s="64"/>
    </row>
    <row r="120" spans="1:1" x14ac:dyDescent="0.25">
      <c r="A120" s="64"/>
    </row>
    <row r="121" spans="1:1" x14ac:dyDescent="0.25">
      <c r="A121" s="64"/>
    </row>
    <row r="122" spans="1:1" x14ac:dyDescent="0.25">
      <c r="A122" s="64"/>
    </row>
    <row r="123" spans="1:1" x14ac:dyDescent="0.25">
      <c r="A123" s="64"/>
    </row>
    <row r="124" spans="1:1" x14ac:dyDescent="0.25">
      <c r="A124" s="64"/>
    </row>
    <row r="125" spans="1:1" x14ac:dyDescent="0.25">
      <c r="A125" s="64"/>
    </row>
    <row r="126" spans="1:1" x14ac:dyDescent="0.25">
      <c r="A126" s="64"/>
    </row>
    <row r="127" spans="1:1" x14ac:dyDescent="0.25">
      <c r="A127" s="64"/>
    </row>
    <row r="128" spans="1:1" x14ac:dyDescent="0.25">
      <c r="A128" s="64"/>
    </row>
    <row r="129" spans="1:1" x14ac:dyDescent="0.25">
      <c r="A129" s="64"/>
    </row>
    <row r="130" spans="1:1" x14ac:dyDescent="0.25">
      <c r="A130" s="64"/>
    </row>
    <row r="131" spans="1:1" x14ac:dyDescent="0.25">
      <c r="A131" s="64"/>
    </row>
    <row r="132" spans="1:1" x14ac:dyDescent="0.25">
      <c r="A132" s="64"/>
    </row>
    <row r="133" spans="1:1" x14ac:dyDescent="0.25">
      <c r="A133" s="64"/>
    </row>
    <row r="134" spans="1:1" x14ac:dyDescent="0.25">
      <c r="A134" s="64"/>
    </row>
    <row r="135" spans="1:1" x14ac:dyDescent="0.25">
      <c r="A135" s="64"/>
    </row>
    <row r="136" spans="1:1" x14ac:dyDescent="0.25">
      <c r="A136" s="64"/>
    </row>
    <row r="137" spans="1:1" x14ac:dyDescent="0.25">
      <c r="A137" s="64"/>
    </row>
    <row r="138" spans="1:1" x14ac:dyDescent="0.25">
      <c r="A138" s="64"/>
    </row>
    <row r="139" spans="1:1" x14ac:dyDescent="0.25">
      <c r="A139" s="64"/>
    </row>
    <row r="140" spans="1:1" x14ac:dyDescent="0.25">
      <c r="A140" s="64"/>
    </row>
    <row r="141" spans="1:1" x14ac:dyDescent="0.25">
      <c r="A141" s="64"/>
    </row>
    <row r="142" spans="1:1" x14ac:dyDescent="0.25">
      <c r="A142" s="64"/>
    </row>
    <row r="143" spans="1:1" x14ac:dyDescent="0.25">
      <c r="A143" s="64"/>
    </row>
    <row r="144" spans="1:1" x14ac:dyDescent="0.25">
      <c r="A144" s="64"/>
    </row>
    <row r="145" spans="1:1" x14ac:dyDescent="0.25">
      <c r="A145" s="64"/>
    </row>
    <row r="146" spans="1:1" x14ac:dyDescent="0.25">
      <c r="A146" s="64"/>
    </row>
    <row r="147" spans="1:1" x14ac:dyDescent="0.25">
      <c r="A147" s="64"/>
    </row>
    <row r="148" spans="1:1" x14ac:dyDescent="0.25">
      <c r="A148" s="64"/>
    </row>
    <row r="149" spans="1:1" x14ac:dyDescent="0.25">
      <c r="A149" s="64"/>
    </row>
    <row r="150" spans="1:1" x14ac:dyDescent="0.25">
      <c r="A150" s="64"/>
    </row>
    <row r="151" spans="1:1" x14ac:dyDescent="0.25">
      <c r="A151" s="64"/>
    </row>
  </sheetData>
  <mergeCells count="1">
    <mergeCell ref="A1:K1"/>
  </mergeCells>
  <phoneticPr fontId="1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showGridLines="0" workbookViewId="0">
      <selection activeCell="K30" sqref="K30"/>
    </sheetView>
  </sheetViews>
  <sheetFormatPr defaultRowHeight="14" x14ac:dyDescent="0.25"/>
  <cols>
    <col min="1" max="1" width="13" style="55" customWidth="1"/>
    <col min="2" max="13" width="12" style="55" customWidth="1"/>
  </cols>
  <sheetData>
    <row r="1" spans="1:13" ht="19" customHeight="1" x14ac:dyDescent="0.4">
      <c r="A1" s="135" t="s">
        <v>51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4" spans="1:13" x14ac:dyDescent="0.25">
      <c r="B4" s="137" t="s">
        <v>52</v>
      </c>
      <c r="C4" s="138"/>
      <c r="D4" s="139"/>
      <c r="E4" s="137" t="s">
        <v>53</v>
      </c>
      <c r="F4" s="138"/>
      <c r="G4" s="139"/>
      <c r="H4" s="137" t="s">
        <v>54</v>
      </c>
      <c r="I4" s="138"/>
      <c r="J4" s="139"/>
      <c r="K4" s="137" t="s">
        <v>55</v>
      </c>
      <c r="L4" s="138"/>
      <c r="M4" s="139"/>
    </row>
    <row r="5" spans="1:13" x14ac:dyDescent="0.25">
      <c r="A5" s="27" t="s">
        <v>56</v>
      </c>
      <c r="B5" s="27" t="s">
        <v>57</v>
      </c>
      <c r="C5" s="27" t="s">
        <v>58</v>
      </c>
      <c r="D5" s="27" t="s">
        <v>59</v>
      </c>
      <c r="E5" s="27" t="s">
        <v>57</v>
      </c>
      <c r="F5" s="27" t="s">
        <v>58</v>
      </c>
      <c r="G5" s="27" t="s">
        <v>59</v>
      </c>
      <c r="H5" s="27" t="s">
        <v>57</v>
      </c>
      <c r="I5" s="27" t="s">
        <v>58</v>
      </c>
      <c r="J5" s="27" t="s">
        <v>59</v>
      </c>
      <c r="K5" s="27" t="s">
        <v>57</v>
      </c>
      <c r="L5" s="27" t="s">
        <v>58</v>
      </c>
      <c r="M5" s="27" t="s">
        <v>59</v>
      </c>
    </row>
    <row r="6" spans="1:13" x14ac:dyDescent="0.25">
      <c r="A6" s="66">
        <f>IF('净值数据(iFinD公式)'!A5="","",'净值数据(iFinD公式)'!A5)</f>
        <v>46171</v>
      </c>
      <c r="B6" s="62">
        <f>IF(OR('净值数据(iFinD公式)'!$A5="",'净值数据(iFinD公式)'!$B5=""),"",SUMPRODUCT(持仓配置!$B$4:$N$4,'净值数据(iFinD公式)'!$B5:$N5/'净值数据(iFinD公式)'!$B$5:$N$5)*(1-持仓配置!$P$4)^((ROW()-6)/说明!$C$17))</f>
        <v>1</v>
      </c>
      <c r="C6" s="9"/>
      <c r="D6" s="9">
        <f>IF(B6="","",B6/MAX(B$6:B6)-1)</f>
        <v>0</v>
      </c>
      <c r="E6" s="62">
        <f>IF(OR('净值数据(iFinD公式)'!$A5="",'净值数据(iFinD公式)'!$B5=""),"",SUMPRODUCT(持仓配置!$B$5:$N$5,'净值数据(iFinD公式)'!$B5:$N5/'净值数据(iFinD公式)'!$B$5:$N$5)*(1-持仓配置!$P$5)^((ROW()-6)/说明!$C$17))</f>
        <v>1</v>
      </c>
      <c r="F6" s="9"/>
      <c r="G6" s="9">
        <f>IF(E6="","",E6/MAX(E$6:E6)-1)</f>
        <v>0</v>
      </c>
      <c r="H6" s="62">
        <f>IF(OR('净值数据(iFinD公式)'!$A5="",'净值数据(iFinD公式)'!$B5=""),"",SUMPRODUCT(持仓配置!$B$6:$N$6,'净值数据(iFinD公式)'!$B5:$N5/'净值数据(iFinD公式)'!$B$5:$N$5)*(1-持仓配置!$P$6)^((ROW()-6)/说明!$C$17))</f>
        <v>1</v>
      </c>
      <c r="I6" s="9"/>
      <c r="J6" s="9">
        <f>IF(H6="","",H6/MAX(H$6:H6)-1)</f>
        <v>0</v>
      </c>
      <c r="K6" s="62">
        <f>IF(OR('净值数据(iFinD公式)'!$A5="",'净值数据(iFinD公式)'!$B5=""),"",SUMPRODUCT(持仓配置!$B$7:$N$7,'净值数据(iFinD公式)'!$B5:$N5/'净值数据(iFinD公式)'!$B$5:$N$5)*(1-持仓配置!$P$7)^((ROW()-6)/说明!$C$17))</f>
        <v>1</v>
      </c>
      <c r="L6" s="9"/>
      <c r="M6" s="9">
        <f>IF(K6="","",K6/MAX(K$6:K6)-1)</f>
        <v>0</v>
      </c>
    </row>
    <row r="7" spans="1:13" x14ac:dyDescent="0.25">
      <c r="A7" s="66">
        <f>IF('净值数据(iFinD公式)'!A6="","",'净值数据(iFinD公式)'!A6)</f>
        <v>46174</v>
      </c>
      <c r="B7" s="62">
        <f>IF(OR('净值数据(iFinD公式)'!$A6="",'净值数据(iFinD公式)'!$B6=""),"",SUMPRODUCT(持仓配置!$B$4:$N$4,'净值数据(iFinD公式)'!$B6:$N6/'净值数据(iFinD公式)'!$B$5:$N$5)*(1-持仓配置!$P$4)^((ROW()-6)/说明!$C$17))</f>
        <v>0.99765643337172227</v>
      </c>
      <c r="C7" s="9">
        <f t="shared" ref="C7:C38" si="0">IF(OR(B7="",B6=""),"",B7/B6-1)</f>
        <v>-2.3435666282777268E-3</v>
      </c>
      <c r="D7" s="9">
        <f>IF(B7="","",B7/MAX(B$6:B7)-1)</f>
        <v>-2.3435666282777268E-3</v>
      </c>
      <c r="E7" s="62">
        <f>IF(OR('净值数据(iFinD公式)'!$A6="",'净值数据(iFinD公式)'!$B6=""),"",SUMPRODUCT(持仓配置!$B$5:$N$5,'净值数据(iFinD公式)'!$B6:$N6/'净值数据(iFinD公式)'!$B$5:$N$5)*(1-持仓配置!$P$5)^((ROW()-6)/说明!$C$17))</f>
        <v>0.99470984476576541</v>
      </c>
      <c r="F7" s="9">
        <f t="shared" ref="F7:F38" si="1">IF(OR(E7="",E6=""),"",E7/E6-1)</f>
        <v>-5.2901552342345948E-3</v>
      </c>
      <c r="G7" s="9">
        <f>IF(E7="","",E7/MAX(E$6:E7)-1)</f>
        <v>-5.2901552342345948E-3</v>
      </c>
      <c r="H7" s="62">
        <f>IF(OR('净值数据(iFinD公式)'!$A6="",'净值数据(iFinD公式)'!$B6=""),"",SUMPRODUCT(持仓配置!$B$6:$N$6,'净值数据(iFinD公式)'!$B6:$N6/'净值数据(iFinD公式)'!$B$5:$N$5)*(1-持仓配置!$P$6)^((ROW()-6)/说明!$C$17))</f>
        <v>0.99155315914152709</v>
      </c>
      <c r="I7" s="9">
        <f t="shared" ref="I7:I38" si="2">IF(OR(H7="",H6=""),"",H7/H6-1)</f>
        <v>-8.4468408584729149E-3</v>
      </c>
      <c r="J7" s="9">
        <f>IF(H7="","",H7/MAX(H$6:H7)-1)</f>
        <v>-8.4468408584729149E-3</v>
      </c>
      <c r="K7" s="62">
        <f>IF(OR('净值数据(iFinD公式)'!$A6="",'净值数据(iFinD公式)'!$B6=""),"",SUMPRODUCT(持仓配置!$B$7:$N$7,'净值数据(iFinD公式)'!$B6:$N6/'净值数据(iFinD公式)'!$B$5:$N$5)*(1-持仓配置!$P$7)^((ROW()-6)/说明!$C$17))</f>
        <v>0.94945546915734413</v>
      </c>
      <c r="L7" s="9">
        <f t="shared" ref="L7:L38" si="3">IF(OR(K7="",K6=""),"",K7/K6-1)</f>
        <v>-5.0544530842655866E-2</v>
      </c>
      <c r="M7" s="9">
        <f>IF(K7="","",K7/MAX(K$6:K7)-1)</f>
        <v>-5.0544530842655866E-2</v>
      </c>
    </row>
    <row r="8" spans="1:13" x14ac:dyDescent="0.25">
      <c r="A8" s="66">
        <f>IF('净值数据(iFinD公式)'!A7="","",'净值数据(iFinD公式)'!A7)</f>
        <v>46175</v>
      </c>
      <c r="B8" s="62">
        <f>IF(OR('净值数据(iFinD公式)'!$A7="",'净值数据(iFinD公式)'!$B7=""),"",SUMPRODUCT(持仓配置!$B$4:$N$4,'净值数据(iFinD公式)'!$B7:$N7/'净值数据(iFinD公式)'!$B$5:$N$5)*(1-持仓配置!$P$4)^((ROW()-6)/说明!$C$17))</f>
        <v>1.0004873988232836</v>
      </c>
      <c r="C8" s="9">
        <f t="shared" si="0"/>
        <v>2.8376155927685165E-3</v>
      </c>
      <c r="D8" s="9">
        <f>IF(B8="","",B8/MAX(B$6:B8)-1)</f>
        <v>0</v>
      </c>
      <c r="E8" s="62">
        <f>IF(OR('净值数据(iFinD公式)'!$A7="",'净值数据(iFinD公式)'!$B7=""),"",SUMPRODUCT(持仓配置!$B$5:$N$5,'净值数据(iFinD公式)'!$B7:$N7/'净值数据(iFinD公式)'!$B$5:$N$5)*(1-持仓配置!$P$5)^((ROW()-6)/说明!$C$17))</f>
        <v>1.0000345543500495</v>
      </c>
      <c r="F8" s="9">
        <f t="shared" si="1"/>
        <v>5.3530279330229469E-3</v>
      </c>
      <c r="G8" s="9">
        <f>IF(E8="","",E8/MAX(E$6:E8)-1)</f>
        <v>0</v>
      </c>
      <c r="H8" s="62">
        <f>IF(OR('净值数据(iFinD公式)'!$A7="",'净值数据(iFinD公式)'!$B7=""),"",SUMPRODUCT(持仓配置!$B$6:$N$6,'净值数据(iFinD公式)'!$B7:$N7/'净值数据(iFinD公式)'!$B$5:$N$5)*(1-持仓配置!$P$6)^((ROW()-6)/说明!$C$17))</f>
        <v>0.99966507234586588</v>
      </c>
      <c r="I8" s="9">
        <f t="shared" si="2"/>
        <v>8.1810169525977638E-3</v>
      </c>
      <c r="J8" s="9">
        <f>IF(H8="","",H8/MAX(H$6:H8)-1)</f>
        <v>-3.3492765413412062E-4</v>
      </c>
      <c r="K8" s="62">
        <f>IF(OR('净值数据(iFinD公式)'!$A7="",'净值数据(iFinD公式)'!$B7=""),"",SUMPRODUCT(持仓配置!$B$7:$N$7,'净值数据(iFinD公式)'!$B7:$N7/'净值数据(iFinD公式)'!$B$5:$N$5)*(1-持仓配置!$P$7)^((ROW()-6)/说明!$C$17))</f>
        <v>0.99538006235370846</v>
      </c>
      <c r="L8" s="9">
        <f t="shared" si="3"/>
        <v>4.8369401923739508E-2</v>
      </c>
      <c r="M8" s="9">
        <f>IF(K8="","",K8/MAX(K$6:K8)-1)</f>
        <v>-4.6199376462915387E-3</v>
      </c>
    </row>
    <row r="9" spans="1:13" x14ac:dyDescent="0.25">
      <c r="A9" s="66">
        <f>IF('净值数据(iFinD公式)'!A8="","",'净值数据(iFinD公式)'!A8)</f>
        <v>46176</v>
      </c>
      <c r="B9" s="62">
        <f>IF(OR('净值数据(iFinD公式)'!$A8="",'净值数据(iFinD公式)'!$B8=""),"",SUMPRODUCT(持仓配置!$B$4:$N$4,'净值数据(iFinD公式)'!$B8:$N8/'净值数据(iFinD公式)'!$B$5:$N$5)*(1-持仓配置!$P$4)^((ROW()-6)/说明!$C$17))</f>
        <v>1.0019149392222524</v>
      </c>
      <c r="C9" s="9">
        <f t="shared" si="0"/>
        <v>1.4268449564160957E-3</v>
      </c>
      <c r="D9" s="9">
        <f>IF(B9="","",B9/MAX(B$6:B9)-1)</f>
        <v>0</v>
      </c>
      <c r="E9" s="62">
        <f>IF(OR('净值数据(iFinD公式)'!$A8="",'净值数据(iFinD公式)'!$B8=""),"",SUMPRODUCT(持仓配置!$B$5:$N$5,'净值数据(iFinD公式)'!$B8:$N8/'净值数据(iFinD公式)'!$B$5:$N$5)*(1-持仓配置!$P$5)^((ROW()-6)/说明!$C$17))</f>
        <v>1.0039489678128992</v>
      </c>
      <c r="F9" s="9">
        <f t="shared" si="1"/>
        <v>3.9142782075103355E-3</v>
      </c>
      <c r="G9" s="9">
        <f>IF(E9="","",E9/MAX(E$6:E9)-1)</f>
        <v>0</v>
      </c>
      <c r="H9" s="62">
        <f>IF(OR('净值数据(iFinD公式)'!$A8="",'净值数据(iFinD公式)'!$B8=""),"",SUMPRODUCT(持仓配置!$B$6:$N$6,'净值数据(iFinD公式)'!$B8:$N8/'净值数据(iFinD公式)'!$B$5:$N$5)*(1-持仓配置!$P$6)^((ROW()-6)/说明!$C$17))</f>
        <v>1.0054021878924591</v>
      </c>
      <c r="I9" s="9">
        <f t="shared" si="2"/>
        <v>5.7390377090300593E-3</v>
      </c>
      <c r="J9" s="9">
        <f>IF(H9="","",H9/MAX(H$6:H9)-1)</f>
        <v>0</v>
      </c>
      <c r="K9" s="62">
        <f>IF(OR('净值数据(iFinD公式)'!$A8="",'净值数据(iFinD公式)'!$B8=""),"",SUMPRODUCT(持仓配置!$B$7:$N$7,'净值数据(iFinD公式)'!$B8:$N8/'净值数据(iFinD公式)'!$B$5:$N$5)*(1-持仓配置!$P$7)^((ROW()-6)/说明!$C$17))</f>
        <v>1.0384782695070389</v>
      </c>
      <c r="L9" s="9">
        <f t="shared" si="3"/>
        <v>4.3298242333103421E-2</v>
      </c>
      <c r="M9" s="9">
        <f>IF(K9="","",K9/MAX(K$6:K9)-1)</f>
        <v>0</v>
      </c>
    </row>
    <row r="10" spans="1:13" x14ac:dyDescent="0.25">
      <c r="A10" s="66">
        <f>IF('净值数据(iFinD公式)'!A9="","",'净值数据(iFinD公式)'!A9)</f>
        <v>46177</v>
      </c>
      <c r="B10" s="62">
        <f>IF(OR('净值数据(iFinD公式)'!$A9="",'净值数据(iFinD公式)'!$B9=""),"",SUMPRODUCT(持仓配置!$B$4:$N$4,'净值数据(iFinD公式)'!$B9:$N9/'净值数据(iFinD公式)'!$B$5:$N$5)*(1-持仓配置!$P$4)^((ROW()-6)/说明!$C$17))</f>
        <v>1.0027653095977875</v>
      </c>
      <c r="C10" s="9">
        <f t="shared" si="0"/>
        <v>8.4874508029120221E-4</v>
      </c>
      <c r="D10" s="9">
        <f>IF(B10="","",B10/MAX(B$6:B10)-1)</f>
        <v>0</v>
      </c>
      <c r="E10" s="62">
        <f>IF(OR('净值数据(iFinD公式)'!$A9="",'净值数据(iFinD公式)'!$B9=""),"",SUMPRODUCT(持仓配置!$B$5:$N$5,'净值数据(iFinD公式)'!$B9:$N9/'净值数据(iFinD公式)'!$B$5:$N$5)*(1-持仓配置!$P$5)^((ROW()-6)/说明!$C$17))</f>
        <v>1.005004136734627</v>
      </c>
      <c r="F10" s="9">
        <f t="shared" si="1"/>
        <v>1.0510184835654801E-3</v>
      </c>
      <c r="G10" s="9">
        <f>IF(E10="","",E10/MAX(E$6:E10)-1)</f>
        <v>0</v>
      </c>
      <c r="H10" s="62">
        <f>IF(OR('净值数据(iFinD公式)'!$A9="",'净值数据(iFinD公式)'!$B9=""),"",SUMPRODUCT(持仓配置!$B$6:$N$6,'净值数据(iFinD公式)'!$B9:$N9/'净值数据(iFinD公式)'!$B$5:$N$5)*(1-持仓配置!$P$6)^((ROW()-6)/说明!$C$17))</f>
        <v>1.0067152426153394</v>
      </c>
      <c r="I10" s="9">
        <f t="shared" si="2"/>
        <v>1.305999468364849E-3</v>
      </c>
      <c r="J10" s="9">
        <f>IF(H10="","",H10/MAX(H$6:H10)-1)</f>
        <v>0</v>
      </c>
      <c r="K10" s="62">
        <f>IF(OR('净值数据(iFinD公式)'!$A9="",'净值数据(iFinD公式)'!$B9=""),"",SUMPRODUCT(持仓配置!$B$7:$N$7,'净值数据(iFinD公式)'!$B9:$N9/'净值数据(iFinD公式)'!$B$5:$N$5)*(1-持仓配置!$P$7)^((ROW()-6)/说明!$C$17))</f>
        <v>1.0480044619106184</v>
      </c>
      <c r="L10" s="9">
        <f t="shared" si="3"/>
        <v>9.1732226694560826E-3</v>
      </c>
      <c r="M10" s="9">
        <f>IF(K10="","",K10/MAX(K$6:K10)-1)</f>
        <v>0</v>
      </c>
    </row>
    <row r="11" spans="1:13" x14ac:dyDescent="0.25">
      <c r="A11" s="66">
        <f>IF('净值数据(iFinD公式)'!A10="","",'净值数据(iFinD公式)'!A10)</f>
        <v>46178</v>
      </c>
      <c r="B11" s="62">
        <f>IF(OR('净值数据(iFinD公式)'!$A10="",'净值数据(iFinD公式)'!$B10=""),"",SUMPRODUCT(持仓配置!$B$4:$N$4,'净值数据(iFinD公式)'!$B10:$N10/'净值数据(iFinD公式)'!$B$5:$N$5)*(1-持仓配置!$P$4)^((ROW()-6)/说明!$C$17))</f>
        <v>0.99978370102959424</v>
      </c>
      <c r="C11" s="9">
        <f t="shared" si="0"/>
        <v>-2.9733862347005591E-3</v>
      </c>
      <c r="D11" s="9">
        <f>IF(B11="","",B11/MAX(B$6:B11)-1)</f>
        <v>-2.9733862347005591E-3</v>
      </c>
      <c r="E11" s="62">
        <f>IF(OR('净值数据(iFinD公式)'!$A10="",'净值数据(iFinD公式)'!$B10=""),"",SUMPRODUCT(持仓配置!$B$5:$N$5,'净值数据(iFinD公式)'!$B10:$N10/'净值数据(iFinD公式)'!$B$5:$N$5)*(1-持仓配置!$P$5)^((ROW()-6)/说明!$C$17))</f>
        <v>0.99963093145942272</v>
      </c>
      <c r="F11" s="9">
        <f t="shared" si="1"/>
        <v>-5.3464509038364527E-3</v>
      </c>
      <c r="G11" s="9">
        <f>IF(E11="","",E11/MAX(E$6:E11)-1)</f>
        <v>-5.3464509038364527E-3</v>
      </c>
      <c r="H11" s="62">
        <f>IF(OR('净值数据(iFinD公式)'!$A10="",'净值数据(iFinD公式)'!$B10=""),"",SUMPRODUCT(持仓配置!$B$6:$N$6,'净值数据(iFinD公式)'!$B10:$N10/'净值数据(iFinD公式)'!$B$5:$N$5)*(1-持仓配置!$P$6)^((ROW()-6)/说明!$C$17))</f>
        <v>0.99897575218692147</v>
      </c>
      <c r="I11" s="9">
        <f t="shared" si="2"/>
        <v>-7.6878645527522771E-3</v>
      </c>
      <c r="J11" s="9">
        <f>IF(H11="","",H11/MAX(H$6:H11)-1)</f>
        <v>-7.6878645527522771E-3</v>
      </c>
      <c r="K11" s="62">
        <f>IF(OR('净值数据(iFinD公式)'!$A10="",'净值数据(iFinD公式)'!$B10=""),"",SUMPRODUCT(持仓配置!$B$7:$N$7,'净值数据(iFinD公式)'!$B10:$N10/'净值数据(iFinD公式)'!$B$5:$N$5)*(1-持仓配置!$P$7)^((ROW()-6)/说明!$C$17))</f>
        <v>1.0110077203724701</v>
      </c>
      <c r="L11" s="9">
        <f t="shared" si="3"/>
        <v>-3.5302083991798461E-2</v>
      </c>
      <c r="M11" s="9">
        <f>IF(K11="","",K11/MAX(K$6:K11)-1)</f>
        <v>-3.5302083991798461E-2</v>
      </c>
    </row>
    <row r="12" spans="1:13" x14ac:dyDescent="0.25">
      <c r="A12" s="66">
        <f>IF('净值数据(iFinD公式)'!A11="","",'净值数据(iFinD公式)'!A11)</f>
        <v>46181</v>
      </c>
      <c r="B12" s="62">
        <f>IF(OR('净值数据(iFinD公式)'!$A11="",'净值数据(iFinD公式)'!$B11=""),"",SUMPRODUCT(持仓配置!$B$4:$N$4,'净值数据(iFinD公式)'!$B11:$N11/'净值数据(iFinD公式)'!$B$5:$N$5)*(1-持仓配置!$P$4)^((ROW()-6)/说明!$C$17))</f>
        <v>0.99463803716562982</v>
      </c>
      <c r="C12" s="9">
        <f t="shared" si="0"/>
        <v>-5.146777106553424E-3</v>
      </c>
      <c r="D12" s="9">
        <f>IF(B12="","",B12/MAX(B$6:B12)-1)</f>
        <v>-8.1048599850522818E-3</v>
      </c>
      <c r="E12" s="62">
        <f>IF(OR('净值数据(iFinD公式)'!$A11="",'净值数据(iFinD公式)'!$B11=""),"",SUMPRODUCT(持仓配置!$B$5:$N$5,'净值数据(iFinD公式)'!$B11:$N11/'净值数据(iFinD公式)'!$B$5:$N$5)*(1-持仓配置!$P$5)^((ROW()-6)/说明!$C$17))</f>
        <v>0.9914160277538232</v>
      </c>
      <c r="F12" s="9">
        <f t="shared" si="1"/>
        <v>-8.217936687499372E-3</v>
      </c>
      <c r="G12" s="9">
        <f>IF(E12="","",E12/MAX(E$6:E12)-1)</f>
        <v>-1.3520450796305261E-2</v>
      </c>
      <c r="H12" s="62">
        <f>IF(OR('净值数据(iFinD公式)'!$A11="",'净值数据(iFinD公式)'!$B11=""),"",SUMPRODUCT(持仓配置!$B$6:$N$6,'净值数据(iFinD公式)'!$B11:$N11/'净值数据(iFinD公式)'!$B$5:$N$5)*(1-持仓配置!$P$6)^((ROW()-6)/说明!$C$17))</f>
        <v>0.98606519718573116</v>
      </c>
      <c r="I12" s="9">
        <f t="shared" si="2"/>
        <v>-1.2923792167054082E-2</v>
      </c>
      <c r="J12" s="9">
        <f>IF(H12="","",H12/MAX(H$6:H12)-1)</f>
        <v>-2.0512300356118174E-2</v>
      </c>
      <c r="K12" s="62">
        <f>IF(OR('净值数据(iFinD公式)'!$A11="",'净值数据(iFinD公式)'!$B11=""),"",SUMPRODUCT(持仓配置!$B$7:$N$7,'净值数据(iFinD公式)'!$B11:$N11/'净值数据(iFinD公式)'!$B$5:$N$5)*(1-持仓配置!$P$7)^((ROW()-6)/说明!$C$17))</f>
        <v>0.97978619276008949</v>
      </c>
      <c r="L12" s="9">
        <f t="shared" si="3"/>
        <v>-3.0881591686439447E-2</v>
      </c>
      <c r="M12" s="9">
        <f>IF(K12="","",K12/MAX(K$6:K12)-1)</f>
        <v>-6.5093491134722847E-2</v>
      </c>
    </row>
    <row r="13" spans="1:13" x14ac:dyDescent="0.25">
      <c r="A13" s="66">
        <f>IF('净值数据(iFinD公式)'!A12="","",'净值数据(iFinD公式)'!A12)</f>
        <v>46182</v>
      </c>
      <c r="B13" s="62">
        <f>IF(OR('净值数据(iFinD公式)'!$A12="",'净值数据(iFinD公式)'!$B12=""),"",SUMPRODUCT(持仓配置!$B$4:$N$4,'净值数据(iFinD公式)'!$B12:$N12/'净值数据(iFinD公式)'!$B$5:$N$5)*(1-持仓配置!$P$4)^((ROW()-6)/说明!$C$17))</f>
        <v>0.99810930076783855</v>
      </c>
      <c r="C13" s="9">
        <f t="shared" si="0"/>
        <v>3.4899767277154492E-3</v>
      </c>
      <c r="D13" s="9">
        <f>IF(B13="","",B13/MAX(B$6:B13)-1)</f>
        <v>-4.6431690300660078E-3</v>
      </c>
      <c r="E13" s="62">
        <f>IF(OR('净值数据(iFinD公式)'!$A12="",'净值数据(iFinD公式)'!$B12=""),"",SUMPRODUCT(持仓配置!$B$5:$N$5,'净值数据(iFinD公式)'!$B12:$N12/'净值数据(iFinD公式)'!$B$5:$N$5)*(1-持仓配置!$P$5)^((ROW()-6)/说明!$C$17))</f>
        <v>0.99885348994831058</v>
      </c>
      <c r="F13" s="9">
        <f t="shared" si="1"/>
        <v>7.5018579347945202E-3</v>
      </c>
      <c r="G13" s="9">
        <f>IF(E13="","",E13/MAX(E$6:E13)-1)</f>
        <v>-6.1200213625991484E-3</v>
      </c>
      <c r="H13" s="62">
        <f>IF(OR('净值数据(iFinD公式)'!$A12="",'净值数据(iFinD公式)'!$B12=""),"",SUMPRODUCT(持仓配置!$B$6:$N$6,'净值数据(iFinD公式)'!$B12:$N12/'净值数据(iFinD公式)'!$B$5:$N$5)*(1-持仓配置!$P$6)^((ROW()-6)/说明!$C$17))</f>
        <v>0.99769736988245605</v>
      </c>
      <c r="I13" s="9">
        <f t="shared" si="2"/>
        <v>1.1796555369689044E-2</v>
      </c>
      <c r="J13" s="9">
        <f>IF(H13="","",H13/MAX(H$6:H13)-1)</f>
        <v>-8.9577194733396759E-3</v>
      </c>
      <c r="K13" s="62">
        <f>IF(OR('净值数据(iFinD公式)'!$A12="",'净值数据(iFinD公式)'!$B12=""),"",SUMPRODUCT(持仓配置!$B$7:$N$7,'净值数据(iFinD公式)'!$B12:$N12/'净值数据(iFinD公式)'!$B$5:$N$5)*(1-持仓配置!$P$7)^((ROW()-6)/说明!$C$17))</f>
        <v>1.0345420410884638</v>
      </c>
      <c r="L13" s="9">
        <f t="shared" si="3"/>
        <v>5.5885507198387252E-2</v>
      </c>
      <c r="M13" s="9">
        <f>IF(K13="","",K13/MAX(K$6:K13)-1)</f>
        <v>-1.2845766703713402E-2</v>
      </c>
    </row>
    <row r="14" spans="1:13" x14ac:dyDescent="0.25">
      <c r="A14" s="66">
        <f>IF('净值数据(iFinD公式)'!A13="","",'净值数据(iFinD公式)'!A13)</f>
        <v>46183</v>
      </c>
      <c r="B14" s="62">
        <f>IF(OR('净值数据(iFinD公式)'!$A13="",'净值数据(iFinD公式)'!$B13=""),"",SUMPRODUCT(持仓配置!$B$4:$N$4,'净值数据(iFinD公式)'!$B13:$N13/'净值数据(iFinD公式)'!$B$5:$N$5)*(1-持仓配置!$P$4)^((ROW()-6)/说明!$C$17))</f>
        <v>0.99416736668282224</v>
      </c>
      <c r="C14" s="9">
        <f t="shared" si="0"/>
        <v>-3.9494012148607593E-3</v>
      </c>
      <c r="D14" s="9">
        <f>IF(B14="","",B14/MAX(B$6:B14)-1)</f>
        <v>-8.5742325075185422E-3</v>
      </c>
      <c r="E14" s="62">
        <f>IF(OR('净值数据(iFinD公式)'!$A13="",'净值数据(iFinD公式)'!$B13=""),"",SUMPRODUCT(持仓配置!$B$5:$N$5,'净值数据(iFinD公式)'!$B13:$N13/'净值数据(iFinD公式)'!$B$5:$N$5)*(1-持仓配置!$P$5)^((ROW()-6)/说明!$C$17))</f>
        <v>0.99329826179446434</v>
      </c>
      <c r="F14" s="9">
        <f t="shared" si="1"/>
        <v>-5.5616045894115729E-3</v>
      </c>
      <c r="G14" s="9">
        <f>IF(E14="","",E14/MAX(E$6:E14)-1)</f>
        <v>-1.1647588813113119E-2</v>
      </c>
      <c r="H14" s="62">
        <f>IF(OR('净值数据(iFinD公式)'!$A13="",'净值数据(iFinD公式)'!$B13=""),"",SUMPRODUCT(持仓配置!$B$6:$N$6,'净值数据(iFinD公式)'!$B13:$N13/'净值数据(iFinD公式)'!$B$5:$N$5)*(1-持仓配置!$P$6)^((ROW()-6)/说明!$C$17))</f>
        <v>0.98909039856974745</v>
      </c>
      <c r="I14" s="9">
        <f t="shared" si="2"/>
        <v>-8.6268357244668747E-3</v>
      </c>
      <c r="J14" s="9">
        <f>IF(H14="","",H14/MAX(H$6:H14)-1)</f>
        <v>-1.7507278423444239E-2</v>
      </c>
      <c r="K14" s="62">
        <f>IF(OR('净值数据(iFinD公式)'!$A13="",'净值数据(iFinD公式)'!$B13=""),"",SUMPRODUCT(持仓配置!$B$7:$N$7,'净值数据(iFinD公式)'!$B13:$N13/'净值数据(iFinD公式)'!$B$5:$N$5)*(1-持仓配置!$P$7)^((ROW()-6)/说明!$C$17))</f>
        <v>1.0134071157839812</v>
      </c>
      <c r="L14" s="9">
        <f t="shared" si="3"/>
        <v>-2.0429257067451911E-2</v>
      </c>
      <c r="M14" s="9">
        <f>IF(K14="","",K14/MAX(K$6:K14)-1)</f>
        <v>-3.3012594300946607E-2</v>
      </c>
    </row>
    <row r="15" spans="1:13" x14ac:dyDescent="0.25">
      <c r="A15" s="66">
        <f>IF('净值数据(iFinD公式)'!A14="","",'净值数据(iFinD公式)'!A14)</f>
        <v>46184</v>
      </c>
      <c r="B15" s="62">
        <f>IF(OR('净值数据(iFinD公式)'!$A14="",'净值数据(iFinD公式)'!$B14=""),"",SUMPRODUCT(持仓配置!$B$4:$N$4,'净值数据(iFinD公式)'!$B14:$N14/'净值数据(iFinD公式)'!$B$5:$N$5)*(1-持仓配置!$P$4)^((ROW()-6)/说明!$C$17))</f>
        <v>0.99283271293635389</v>
      </c>
      <c r="C15" s="9">
        <f t="shared" si="0"/>
        <v>-1.342483963159613E-3</v>
      </c>
      <c r="D15" s="9">
        <f>IF(B15="","",B15/MAX(B$6:B15)-1)</f>
        <v>-9.9052057010404759E-3</v>
      </c>
      <c r="E15" s="62">
        <f>IF(OR('净值数据(iFinD公式)'!$A14="",'净值数据(iFinD公式)'!$B14=""),"",SUMPRODUCT(持仓配置!$B$5:$N$5,'净值数据(iFinD公式)'!$B14:$N14/'净值数据(iFinD公式)'!$B$5:$N$5)*(1-持仓配置!$P$5)^((ROW()-6)/说明!$C$17))</f>
        <v>0.99221024099815081</v>
      </c>
      <c r="F15" s="9">
        <f t="shared" si="1"/>
        <v>-1.0953616231522689E-3</v>
      </c>
      <c r="G15" s="9">
        <f>IF(E15="","",E15/MAX(E$6:E15)-1)</f>
        <v>-1.2730192114477235E-2</v>
      </c>
      <c r="H15" s="62">
        <f>IF(OR('净值数据(iFinD公式)'!$A14="",'净值数据(iFinD公式)'!$B14=""),"",SUMPRODUCT(持仓配置!$B$6:$N$6,'净值数据(iFinD公式)'!$B14:$N14/'净值数据(iFinD公式)'!$B$5:$N$5)*(1-持仓配置!$P$6)^((ROW()-6)/说明!$C$17))</f>
        <v>0.98728284218313966</v>
      </c>
      <c r="I15" s="9">
        <f t="shared" si="2"/>
        <v>-1.827493613547948E-3</v>
      </c>
      <c r="J15" s="9">
        <f>IF(H15="","",H15/MAX(H$6:H15)-1)</f>
        <v>-1.9302777597482668E-2</v>
      </c>
      <c r="K15" s="62">
        <f>IF(OR('净值数据(iFinD公式)'!$A14="",'净值数据(iFinD公式)'!$B14=""),"",SUMPRODUCT(持仓配置!$B$7:$N$7,'净值数据(iFinD公式)'!$B14:$N14/'净值数据(iFinD公式)'!$B$5:$N$5)*(1-持仓配置!$P$7)^((ROW()-6)/说明!$C$17))</f>
        <v>1.0210851218340495</v>
      </c>
      <c r="L15" s="9">
        <f t="shared" si="3"/>
        <v>7.5764280026082709E-3</v>
      </c>
      <c r="M15" s="9">
        <f>IF(K15="","",K15/MAX(K$6:K15)-1)</f>
        <v>-2.56862838422387E-2</v>
      </c>
    </row>
    <row r="16" spans="1:13" x14ac:dyDescent="0.25">
      <c r="A16" s="66">
        <f>IF('净值数据(iFinD公式)'!A15="","",'净值数据(iFinD公式)'!A15)</f>
        <v>46185</v>
      </c>
      <c r="B16" s="62">
        <f>IF(OR('净值数据(iFinD公式)'!$A15="",'净值数据(iFinD公式)'!$B15=""),"",SUMPRODUCT(持仓配置!$B$4:$N$4,'净值数据(iFinD公式)'!$B15:$N15/'净值数据(iFinD公式)'!$B$5:$N$5)*(1-持仓配置!$P$4)^((ROW()-6)/说明!$C$17))</f>
        <v>0.99406258289832961</v>
      </c>
      <c r="C16" s="9">
        <f t="shared" si="0"/>
        <v>1.2387484275555583E-3</v>
      </c>
      <c r="D16" s="9">
        <f>IF(B16="","",B16/MAX(B$6:B16)-1)</f>
        <v>-8.6787273314716806E-3</v>
      </c>
      <c r="E16" s="62">
        <f>IF(OR('净值数据(iFinD公式)'!$A15="",'净值数据(iFinD公式)'!$B15=""),"",SUMPRODUCT(持仓配置!$B$5:$N$5,'净值数据(iFinD公式)'!$B15:$N15/'净值数据(iFinD公式)'!$B$5:$N$5)*(1-持仓配置!$P$5)^((ROW()-6)/说明!$C$17))</f>
        <v>0.99355219766600733</v>
      </c>
      <c r="F16" s="9">
        <f t="shared" si="1"/>
        <v>1.3524922565872899E-3</v>
      </c>
      <c r="G16" s="9">
        <f>IF(E16="","",E16/MAX(E$6:E16)-1)</f>
        <v>-1.1394917344149769E-2</v>
      </c>
      <c r="H16" s="62">
        <f>IF(OR('净值数据(iFinD公式)'!$A15="",'净值数据(iFinD公式)'!$B15=""),"",SUMPRODUCT(持仓配置!$B$6:$N$6,'净值数据(iFinD公式)'!$B15:$N15/'净值数据(iFinD公式)'!$B$5:$N$5)*(1-持仓配置!$P$6)^((ROW()-6)/说明!$C$17))</f>
        <v>0.98931718654652812</v>
      </c>
      <c r="I16" s="9">
        <f t="shared" si="2"/>
        <v>2.0605486862204092E-3</v>
      </c>
      <c r="J16" s="9">
        <f>IF(H16="","",H16/MAX(H$6:H16)-1)</f>
        <v>-1.7282003224281195E-2</v>
      </c>
      <c r="K16" s="62">
        <f>IF(OR('净值数据(iFinD公式)'!$A15="",'净值数据(iFinD公式)'!$B15=""),"",SUMPRODUCT(持仓配置!$B$7:$N$7,'净值数据(iFinD公式)'!$B15:$N15/'净值数据(iFinD公式)'!$B$5:$N$5)*(1-持仓配置!$P$7)^((ROW()-6)/说明!$C$17))</f>
        <v>1.0147864275445424</v>
      </c>
      <c r="L16" s="9">
        <f t="shared" si="3"/>
        <v>-6.1686280162358553E-3</v>
      </c>
      <c r="M16" s="9">
        <f>IF(K16="","",K16/MAX(K$6:K16)-1)</f>
        <v>-3.1696462728332375E-2</v>
      </c>
    </row>
    <row r="17" spans="1:15" x14ac:dyDescent="0.25">
      <c r="A17" s="66">
        <f>IF('净值数据(iFinD公式)'!A16="","",'净值数据(iFinD公式)'!A16)</f>
        <v>46188</v>
      </c>
      <c r="B17" s="62">
        <f>IF(OR('净值数据(iFinD公式)'!$A16="",'净值数据(iFinD公式)'!$B16=""),"",SUMPRODUCT(持仓配置!$B$4:$N$4,'净值数据(iFinD公式)'!$B16:$N16/'净值数据(iFinD公式)'!$B$5:$N$5)*(1-持仓配置!$P$4)^((ROW()-6)/说明!$C$17))</f>
        <v>1.0008242059223755</v>
      </c>
      <c r="C17" s="9">
        <f t="shared" si="0"/>
        <v>6.8020093909293422E-3</v>
      </c>
      <c r="D17" s="9">
        <f>IF(B17="","",B17/MAX(B$6:B17)-1)</f>
        <v>-1.9357507253522366E-3</v>
      </c>
      <c r="E17" s="62">
        <f>IF(OR('净值数据(iFinD公式)'!$A16="",'净值数据(iFinD公式)'!$B16=""),"",SUMPRODUCT(持仓配置!$B$5:$N$5,'净值数据(iFinD公式)'!$B16:$N16/'净值数据(iFinD公式)'!$B$5:$N$5)*(1-持仓配置!$P$5)^((ROW()-6)/说明!$C$17))</f>
        <v>1.005261385185954</v>
      </c>
      <c r="F17" s="9">
        <f t="shared" si="1"/>
        <v>1.1785176005300046E-2</v>
      </c>
      <c r="G17" s="9">
        <f>IF(E17="","",E17/MAX(E$6:E17)-1)</f>
        <v>0</v>
      </c>
      <c r="H17" s="62">
        <f>IF(OR('净值数据(iFinD公式)'!$A16="",'净值数据(iFinD公式)'!$B16=""),"",SUMPRODUCT(持仓配置!$B$6:$N$6,'净值数据(iFinD公式)'!$B16:$N16/'净值数据(iFinD公式)'!$B$5:$N$5)*(1-持仓配置!$P$6)^((ROW()-6)/说明!$C$17))</f>
        <v>1.0074657646517369</v>
      </c>
      <c r="I17" s="9">
        <f t="shared" si="2"/>
        <v>1.8344549505463714E-2</v>
      </c>
      <c r="J17" s="9">
        <f>IF(H17="","",H17/MAX(H$6:H17)-1)</f>
        <v>0</v>
      </c>
      <c r="K17" s="62">
        <f>IF(OR('净值数据(iFinD公式)'!$A16="",'净值数据(iFinD公式)'!$B16=""),"",SUMPRODUCT(持仓配置!$B$7:$N$7,'净值数据(iFinD公式)'!$B16:$N16/'净值数据(iFinD公式)'!$B$5:$N$5)*(1-持仓配置!$P$7)^((ROW()-6)/说明!$C$17))</f>
        <v>1.0808664242080259</v>
      </c>
      <c r="L17" s="9">
        <f t="shared" si="3"/>
        <v>6.5117146692014627E-2</v>
      </c>
      <c r="M17" s="9">
        <f>IF(K17="","",K17/MAX(K$6:K17)-1)</f>
        <v>0</v>
      </c>
    </row>
    <row r="18" spans="1:15" x14ac:dyDescent="0.25">
      <c r="A18" s="66">
        <f>IF('净值数据(iFinD公式)'!A17="","",'净值数据(iFinD公式)'!A17)</f>
        <v>46189</v>
      </c>
      <c r="B18" s="62">
        <f>IF(OR('净值数据(iFinD公式)'!$A17="",'净值数据(iFinD公式)'!$B17=""),"",SUMPRODUCT(持仓配置!$B$4:$N$4,'净值数据(iFinD公式)'!$B17:$N17/'净值数据(iFinD公式)'!$B$5:$N$5)*(1-持仓配置!$P$4)^((ROW()-6)/说明!$C$17))</f>
        <v>1.0035619999384113</v>
      </c>
      <c r="C18" s="9">
        <f t="shared" si="0"/>
        <v>2.7355393682875206E-3</v>
      </c>
      <c r="D18" s="9">
        <f>IF(B18="","",B18/MAX(B$6:B18)-1)</f>
        <v>0</v>
      </c>
      <c r="E18" s="62">
        <f>IF(OR('净值数据(iFinD公式)'!$A17="",'净值数据(iFinD公式)'!$B17=""),"",SUMPRODUCT(持仓配置!$B$5:$N$5,'净值数据(iFinD公式)'!$B17:$N17/'净值数据(iFinD公式)'!$B$5:$N$5)*(1-持仓配置!$P$5)^((ROW()-6)/说明!$C$17))</f>
        <v>1.0097216988763142</v>
      </c>
      <c r="F18" s="9">
        <f t="shared" si="1"/>
        <v>4.4369690869356937E-3</v>
      </c>
      <c r="G18" s="9">
        <f>IF(E18="","",E18/MAX(E$6:E18)-1)</f>
        <v>0</v>
      </c>
      <c r="H18" s="62">
        <f>IF(OR('净值数据(iFinD公式)'!$A17="",'净值数据(iFinD公式)'!$B17=""),"",SUMPRODUCT(持仓配置!$B$6:$N$6,'净值数据(iFinD公式)'!$B17:$N17/'净值数据(iFinD公式)'!$B$5:$N$5)*(1-持仓配置!$P$6)^((ROW()-6)/说明!$C$17))</f>
        <v>1.0137960862629365</v>
      </c>
      <c r="I18" s="9">
        <f t="shared" si="2"/>
        <v>6.2834111424003858E-3</v>
      </c>
      <c r="J18" s="9">
        <f>IF(H18="","",H18/MAX(H$6:H18)-1)</f>
        <v>0</v>
      </c>
      <c r="K18" s="62">
        <f>IF(OR('净值数据(iFinD公式)'!$A17="",'净值数据(iFinD公式)'!$B17=""),"",SUMPRODUCT(持仓配置!$B$7:$N$7,'净值数据(iFinD公式)'!$B17:$N17/'净值数据(iFinD公式)'!$B$5:$N$5)*(1-持仓配置!$P$7)^((ROW()-6)/说明!$C$17))</f>
        <v>1.1061052380936494</v>
      </c>
      <c r="L18" s="9">
        <f t="shared" si="3"/>
        <v>2.3350539271415061E-2</v>
      </c>
      <c r="M18" s="9">
        <f>IF(K18="","",K18/MAX(K$6:K18)-1)</f>
        <v>0</v>
      </c>
    </row>
    <row r="19" spans="1:15" x14ac:dyDescent="0.25">
      <c r="A19" s="66">
        <f>IF('净值数据(iFinD公式)'!A18="","",'净值数据(iFinD公式)'!A18)</f>
        <v>46190</v>
      </c>
      <c r="B19" s="62">
        <f>IF(OR('净值数据(iFinD公式)'!$A18="",'净值数据(iFinD公式)'!$B18=""),"",SUMPRODUCT(持仓配置!$B$4:$N$4,'净值数据(iFinD公式)'!$B18:$N18/'净值数据(iFinD公式)'!$B$5:$N$5)*(1-持仓配置!$P$4)^((ROW()-6)/说明!$C$17))</f>
        <v>1.0062350005260854</v>
      </c>
      <c r="C19" s="9">
        <f t="shared" si="0"/>
        <v>2.6635131539836099E-3</v>
      </c>
      <c r="D19" s="9">
        <f>IF(B19="","",B19/MAX(B$6:B19)-1)</f>
        <v>0</v>
      </c>
      <c r="E19" s="62">
        <f>IF(OR('净值数据(iFinD公式)'!$A18="",'净值数据(iFinD公式)'!$B18=""),"",SUMPRODUCT(持仓配置!$B$5:$N$5,'净值数据(iFinD公式)'!$B18:$N18/'净值数据(iFinD公式)'!$B$5:$N$5)*(1-持仓配置!$P$5)^((ROW()-6)/说明!$C$17))</f>
        <v>1.0145036389666431</v>
      </c>
      <c r="F19" s="9">
        <f t="shared" si="1"/>
        <v>4.735899105318353E-3</v>
      </c>
      <c r="G19" s="9">
        <f>IF(E19="","",E19/MAX(E$6:E19)-1)</f>
        <v>0</v>
      </c>
      <c r="H19" s="62">
        <f>IF(OR('净值数据(iFinD公式)'!$A18="",'净值数据(iFinD公式)'!$B18=""),"",SUMPRODUCT(持仓配置!$B$6:$N$6,'净值数据(iFinD公式)'!$B18:$N18/'净值数据(iFinD公式)'!$B$5:$N$5)*(1-持仓配置!$P$6)^((ROW()-6)/说明!$C$17))</f>
        <v>1.0206025158289858</v>
      </c>
      <c r="I19" s="9">
        <f t="shared" si="2"/>
        <v>6.7138053285835664E-3</v>
      </c>
      <c r="J19" s="9">
        <f>IF(H19="","",H19/MAX(H$6:H19)-1)</f>
        <v>0</v>
      </c>
      <c r="K19" s="62">
        <f>IF(OR('净值数据(iFinD公式)'!$A18="",'净值数据(iFinD公式)'!$B18=""),"",SUMPRODUCT(持仓配置!$B$7:$N$7,'净值数据(iFinD公式)'!$B18:$N18/'净值数据(iFinD公式)'!$B$5:$N$5)*(1-持仓配置!$P$7)^((ROW()-6)/说明!$C$17))</f>
        <v>1.1413486344190191</v>
      </c>
      <c r="L19" s="9">
        <f t="shared" si="3"/>
        <v>3.1862606840295848E-2</v>
      </c>
      <c r="M19" s="9">
        <f>IF(K19="","",K19/MAX(K$6:K19)-1)</f>
        <v>0</v>
      </c>
    </row>
    <row r="20" spans="1:15" x14ac:dyDescent="0.25">
      <c r="A20" s="66">
        <f>IF('净值数据(iFinD公式)'!A19="","",'净值数据(iFinD公式)'!A19)</f>
        <v>46191</v>
      </c>
      <c r="B20" s="62">
        <f>IF(OR('净值数据(iFinD公式)'!$A19="",'净值数据(iFinD公式)'!$B19=""),"",SUMPRODUCT(持仓配置!$B$4:$N$4,'净值数据(iFinD公式)'!$B19:$N19/'净值数据(iFinD公式)'!$B$5:$N$5)*(1-持仓配置!$P$4)^((ROW()-6)/说明!$C$17))</f>
        <v>1.0081276363106348</v>
      </c>
      <c r="C20" s="9">
        <f t="shared" si="0"/>
        <v>1.8809083201836163E-3</v>
      </c>
      <c r="D20" s="9">
        <f>IF(B20="","",B20/MAX(B$6:B20)-1)</f>
        <v>0</v>
      </c>
      <c r="E20" s="62">
        <f>IF(OR('净值数据(iFinD公式)'!$A19="",'净值数据(iFinD公式)'!$B19=""),"",SUMPRODUCT(持仓配置!$B$5:$N$5,'净值数据(iFinD公式)'!$B19:$N19/'净值数据(iFinD公式)'!$B$5:$N$5)*(1-持仓配置!$P$5)^((ROW()-6)/说明!$C$17))</f>
        <v>1.0181874953608219</v>
      </c>
      <c r="F20" s="9">
        <f t="shared" si="1"/>
        <v>3.6311909121697905E-3</v>
      </c>
      <c r="G20" s="9">
        <f>IF(E20="","",E20/MAX(E$6:E20)-1)</f>
        <v>0</v>
      </c>
      <c r="H20" s="62">
        <f>IF(OR('净值数据(iFinD公式)'!$A19="",'净值数据(iFinD公式)'!$B19=""),"",SUMPRODUCT(持仓配置!$B$6:$N$6,'净值数据(iFinD公式)'!$B19:$N19/'净值数据(iFinD公式)'!$B$5:$N$5)*(1-持仓配置!$P$6)^((ROW()-6)/说明!$C$17))</f>
        <v>1.025914584825665</v>
      </c>
      <c r="I20" s="9">
        <f t="shared" si="2"/>
        <v>5.2048362749375077E-3</v>
      </c>
      <c r="J20" s="9">
        <f>IF(H20="","",H20/MAX(H$6:H20)-1)</f>
        <v>0</v>
      </c>
      <c r="K20" s="62">
        <f>IF(OR('净值数据(iFinD公式)'!$A19="",'净值数据(iFinD公式)'!$B19=""),"",SUMPRODUCT(持仓配置!$B$7:$N$7,'净值数据(iFinD公式)'!$B19:$N19/'净值数据(iFinD公式)'!$B$5:$N$5)*(1-持仓配置!$P$7)^((ROW()-6)/说明!$C$17))</f>
        <v>1.1719766061841033</v>
      </c>
      <c r="L20" s="9">
        <f t="shared" si="3"/>
        <v>2.6834895877958287E-2</v>
      </c>
      <c r="M20" s="9">
        <f>IF(K20="","",K20/MAX(K$6:K20)-1)</f>
        <v>0</v>
      </c>
    </row>
    <row r="21" spans="1:15" x14ac:dyDescent="0.25">
      <c r="A21" s="66">
        <f>IF('净值数据(iFinD公式)'!A20="","",'净值数据(iFinD公式)'!A20)</f>
        <v>46195</v>
      </c>
      <c r="B21" s="62">
        <f>IF(OR('净值数据(iFinD公式)'!$A20="",'净值数据(iFinD公式)'!$B20=""),"",SUMPRODUCT(持仓配置!$B$4:$N$4,'净值数据(iFinD公式)'!$B20:$N20/'净值数据(iFinD公式)'!$B$5:$N$5)*(1-持仓配置!$P$4)^((ROW()-6)/说明!$C$17))</f>
        <v>1.0093600773976923</v>
      </c>
      <c r="C21" s="9">
        <f t="shared" si="0"/>
        <v>1.2225050109406776E-3</v>
      </c>
      <c r="D21" s="9">
        <f>IF(B21="","",B21/MAX(B$6:B21)-1)</f>
        <v>0</v>
      </c>
      <c r="E21" s="62">
        <f>IF(OR('净值数据(iFinD公式)'!$A20="",'净值数据(iFinD公式)'!$B20=""),"",SUMPRODUCT(持仓配置!$B$5:$N$5,'净值数据(iFinD公式)'!$B20:$N20/'净值数据(iFinD公式)'!$B$5:$N$5)*(1-持仓配置!$P$5)^((ROW()-6)/说明!$C$17))</f>
        <v>1.021658449007022</v>
      </c>
      <c r="F21" s="9">
        <f t="shared" si="1"/>
        <v>3.4089533234447078E-3</v>
      </c>
      <c r="G21" s="9">
        <f>IF(E21="","",E21/MAX(E$6:E21)-1)</f>
        <v>0</v>
      </c>
      <c r="H21" s="62">
        <f>IF(OR('净值数据(iFinD公式)'!$A20="",'净值数据(iFinD公式)'!$B20=""),"",SUMPRODUCT(持仓配置!$B$6:$N$6,'净值数据(iFinD公式)'!$B20:$N20/'净值数据(iFinD公式)'!$B$5:$N$5)*(1-持仓配置!$P$6)^((ROW()-6)/说明!$C$17))</f>
        <v>1.0305161961862179</v>
      </c>
      <c r="I21" s="9">
        <f t="shared" si="2"/>
        <v>4.485374736469705E-3</v>
      </c>
      <c r="J21" s="9">
        <f>IF(H21="","",H21/MAX(H$6:H21)-1)</f>
        <v>0</v>
      </c>
      <c r="K21" s="62">
        <f>IF(OR('净值数据(iFinD公式)'!$A20="",'净值数据(iFinD公式)'!$B20=""),"",SUMPRODUCT(持仓配置!$B$7:$N$7,'净值数据(iFinD公式)'!$B20:$N20/'净值数据(iFinD公式)'!$B$5:$N$5)*(1-持仓配置!$P$7)^((ROW()-6)/说明!$C$17))</f>
        <v>1.1997728521627964</v>
      </c>
      <c r="L21" s="9">
        <f t="shared" si="3"/>
        <v>2.3717406842442168E-2</v>
      </c>
      <c r="M21" s="9">
        <f>IF(K21="","",K21/MAX(K$6:K21)-1)</f>
        <v>0</v>
      </c>
    </row>
    <row r="22" spans="1:15" x14ac:dyDescent="0.25">
      <c r="A22" s="66">
        <f>IF('净值数据(iFinD公式)'!A21="","",'净值数据(iFinD公式)'!A21)</f>
        <v>46196</v>
      </c>
      <c r="B22" s="62">
        <f>IF(OR('净值数据(iFinD公式)'!$A21="",'净值数据(iFinD公式)'!$B21=""),"",SUMPRODUCT(持仓配置!$B$4:$N$4,'净值数据(iFinD公式)'!$B21:$N21/'净值数据(iFinD公式)'!$B$5:$N$5)*(1-持仓配置!$P$4)^((ROW()-6)/说明!$C$17))</f>
        <v>1.006104369874212</v>
      </c>
      <c r="C22" s="9">
        <f t="shared" si="0"/>
        <v>-3.2255164399547231E-3</v>
      </c>
      <c r="D22" s="9">
        <f>IF(B22="","",B22/MAX(B$6:B22)-1)</f>
        <v>-3.2255164399547231E-3</v>
      </c>
      <c r="E22" s="62">
        <f>IF(OR('净值数据(iFinD公式)'!$A21="",'净值数据(iFinD公式)'!$B21=""),"",SUMPRODUCT(持仓配置!$B$5:$N$5,'净值数据(iFinD公式)'!$B21:$N21/'净值数据(iFinD公式)'!$B$5:$N$5)*(1-持仓配置!$P$5)^((ROW()-6)/说明!$C$17))</f>
        <v>1.0163253647644515</v>
      </c>
      <c r="F22" s="9">
        <f t="shared" si="1"/>
        <v>-5.2200265634311238E-3</v>
      </c>
      <c r="G22" s="9">
        <f>IF(E22="","",E22/MAX(E$6:E22)-1)</f>
        <v>-5.2200265634311238E-3</v>
      </c>
      <c r="H22" s="62">
        <f>IF(OR('净值数据(iFinD公式)'!$A21="",'净值数据(iFinD公式)'!$B21=""),"",SUMPRODUCT(持仓配置!$B$6:$N$6,'净值数据(iFinD公式)'!$B21:$N21/'净值数据(iFinD公式)'!$B$5:$N$5)*(1-持仓配置!$P$6)^((ROW()-6)/说明!$C$17))</f>
        <v>1.0223789610008656</v>
      </c>
      <c r="I22" s="9">
        <f t="shared" si="2"/>
        <v>-7.8962710294773197E-3</v>
      </c>
      <c r="J22" s="9">
        <f>IF(H22="","",H22/MAX(H$6:H22)-1)</f>
        <v>-7.8962710294773197E-3</v>
      </c>
      <c r="K22" s="62">
        <f>IF(OR('净值数据(iFinD公式)'!$A21="",'净值数据(iFinD公式)'!$B21=""),"",SUMPRODUCT(持仓配置!$B$7:$N$7,'净值数据(iFinD公式)'!$B21:$N21/'净值数据(iFinD公式)'!$B$5:$N$5)*(1-持仓配置!$P$7)^((ROW()-6)/说明!$C$17))</f>
        <v>1.1759953600791764</v>
      </c>
      <c r="L22" s="9">
        <f t="shared" si="3"/>
        <v>-1.9818328144995956E-2</v>
      </c>
      <c r="M22" s="9">
        <f>IF(K22="","",K22/MAX(K$6:K22)-1)</f>
        <v>-1.9818328144995956E-2</v>
      </c>
    </row>
    <row r="23" spans="1:15" x14ac:dyDescent="0.25">
      <c r="A23" s="66">
        <f>IF('净值数据(iFinD公式)'!A22="","",'净值数据(iFinD公式)'!A22)</f>
        <v>46197</v>
      </c>
      <c r="B23" s="62">
        <f>IF(OR('净值数据(iFinD公式)'!$A22="",'净值数据(iFinD公式)'!$B22=""),"",SUMPRODUCT(持仓配置!$B$4:$N$4,'净值数据(iFinD公式)'!$B22:$N22/'净值数据(iFinD公式)'!$B$5:$N$5)*(1-持仓配置!$P$4)^((ROW()-6)/说明!$C$17))</f>
        <v>1.0083957504532106</v>
      </c>
      <c r="C23" s="9">
        <f t="shared" si="0"/>
        <v>2.277478010840106E-3</v>
      </c>
      <c r="D23" s="9">
        <f>IF(B23="","",B23/MAX(B$6:B23)-1)</f>
        <v>-9.5538447188037168E-4</v>
      </c>
      <c r="E23" s="62">
        <f>IF(OR('净值数据(iFinD公式)'!$A22="",'净值数据(iFinD公式)'!$B22=""),"",SUMPRODUCT(持仓配置!$B$5:$N$5,'净值数据(iFinD公式)'!$B22:$N22/'净值数据(iFinD公式)'!$B$5:$N$5)*(1-持仓配置!$P$5)^((ROW()-6)/说明!$C$17))</f>
        <v>1.0212150505453375</v>
      </c>
      <c r="F23" s="9">
        <f t="shared" si="1"/>
        <v>4.8111421306691327E-3</v>
      </c>
      <c r="G23" s="9">
        <f>IF(E23="","",E23/MAX(E$6:E23)-1)</f>
        <v>-4.3399872248450766E-4</v>
      </c>
      <c r="H23" s="62">
        <f>IF(OR('净值数据(iFinD公式)'!$A22="",'净值数据(iFinD公式)'!$B22=""),"",SUMPRODUCT(持仓配置!$B$6:$N$6,'净值数据(iFinD公式)'!$B22:$N22/'净值数据(iFinD公式)'!$B$5:$N$5)*(1-持仓配置!$P$6)^((ROW()-6)/说明!$C$17))</f>
        <v>1.0296240483045536</v>
      </c>
      <c r="I23" s="9">
        <f t="shared" si="2"/>
        <v>7.0864988228978021E-3</v>
      </c>
      <c r="J23" s="9">
        <f>IF(H23="","",H23/MAX(H$6:H23)-1)</f>
        <v>-8.6572912193527696E-4</v>
      </c>
      <c r="K23" s="62">
        <f>IF(OR('净值数据(iFinD公式)'!$A22="",'净值数据(iFinD公式)'!$B22=""),"",SUMPRODUCT(持仓配置!$B$7:$N$7,'净值数据(iFinD公式)'!$B22:$N22/'净值数据(iFinD公式)'!$B$5:$N$5)*(1-持仓配置!$P$7)^((ROW()-6)/说明!$C$17))</f>
        <v>1.2186871909295462</v>
      </c>
      <c r="L23" s="9">
        <f t="shared" si="3"/>
        <v>3.630272048649541E-2</v>
      </c>
      <c r="M23" s="9">
        <f>IF(K23="","",K23/MAX(K$6:K23)-1)</f>
        <v>0</v>
      </c>
    </row>
    <row r="24" spans="1:15" x14ac:dyDescent="0.25">
      <c r="A24" s="66">
        <f>IF('净值数据(iFinD公式)'!A23="","",'净值数据(iFinD公式)'!A23)</f>
        <v>46198</v>
      </c>
      <c r="B24" s="62">
        <f>IF(OR('净值数据(iFinD公式)'!$A23="",'净值数据(iFinD公式)'!$B23=""),"",SUMPRODUCT(持仓配置!$B$4:$N$4,'净值数据(iFinD公式)'!$B23:$N23/'净值数据(iFinD公式)'!$B$5:$N$5)*(1-持仓配置!$P$4)^((ROW()-6)/说明!$C$17))</f>
        <v>1.0102567792474779</v>
      </c>
      <c r="C24" s="9">
        <f t="shared" si="0"/>
        <v>1.8455341500902556E-3</v>
      </c>
      <c r="D24" s="9">
        <f>IF(B24="","",B24/MAX(B$6:B24)-1)</f>
        <v>0</v>
      </c>
      <c r="E24" s="62">
        <f>IF(OR('净值数据(iFinD公式)'!$A23="",'净值数据(iFinD公式)'!$B23=""),"",SUMPRODUCT(持仓配置!$B$5:$N$5,'净值数据(iFinD公式)'!$B23:$N23/'净值数据(iFinD公式)'!$B$5:$N$5)*(1-持仓配置!$P$5)^((ROW()-6)/说明!$C$17))</f>
        <v>1.0252460726007366</v>
      </c>
      <c r="F24" s="9">
        <f t="shared" si="1"/>
        <v>3.9472803042284177E-3</v>
      </c>
      <c r="G24" s="9">
        <f>IF(E24="","",E24/MAX(E$6:E24)-1)</f>
        <v>0</v>
      </c>
      <c r="H24" s="62">
        <f>IF(OR('净值数据(iFinD公式)'!$A23="",'净值数据(iFinD公式)'!$B23=""),"",SUMPRODUCT(持仓配置!$B$6:$N$6,'净值数据(iFinD公式)'!$B23:$N23/'净值数据(iFinD公式)'!$B$5:$N$5)*(1-持仓配置!$P$6)^((ROW()-6)/说明!$C$17))</f>
        <v>1.034812631228929</v>
      </c>
      <c r="I24" s="9">
        <f t="shared" si="2"/>
        <v>5.0392985021272541E-3</v>
      </c>
      <c r="J24" s="9">
        <f>IF(H24="","",H24/MAX(H$6:H24)-1)</f>
        <v>0</v>
      </c>
      <c r="K24" s="62">
        <f>IF(OR('净值数据(iFinD公式)'!$A23="",'净值数据(iFinD公式)'!$B23=""),"",SUMPRODUCT(持仓配置!$B$7:$N$7,'净值数据(iFinD公式)'!$B23:$N23/'净值数据(iFinD公式)'!$B$5:$N$5)*(1-持仓配置!$P$7)^((ROW()-6)/说明!$C$17))</f>
        <v>1.258814834957642</v>
      </c>
      <c r="L24" s="9">
        <f t="shared" si="3"/>
        <v>3.2926943293371869E-2</v>
      </c>
      <c r="M24" s="9">
        <f>IF(K24="","",K24/MAX(K$6:K24)-1)</f>
        <v>0</v>
      </c>
    </row>
    <row r="25" spans="1:15" x14ac:dyDescent="0.25">
      <c r="A25" s="66">
        <f>IF('净值数据(iFinD公式)'!A24="","",'净值数据(iFinD公式)'!A24)</f>
        <v>46199</v>
      </c>
      <c r="B25" s="62">
        <f>IF(OR('净值数据(iFinD公式)'!$A24="",'净值数据(iFinD公式)'!$B24=""),"",SUMPRODUCT(持仓配置!$B$4:$N$4,'净值数据(iFinD公式)'!$B24:$N24/'净值数据(iFinD公式)'!$B$5:$N$5)*(1-持仓配置!$P$4)^((ROW()-6)/说明!$C$17))</f>
        <v>1.0075734673006249</v>
      </c>
      <c r="C25" s="9">
        <f t="shared" si="0"/>
        <v>-2.6560692310837464E-3</v>
      </c>
      <c r="D25" s="9">
        <f>IF(B25="","",B25/MAX(B$6:B25)-1)</f>
        <v>-2.6560692310837464E-3</v>
      </c>
      <c r="E25" s="62">
        <f>IF(OR('净值数据(iFinD公式)'!$A24="",'净值数据(iFinD公式)'!$B24=""),"",SUMPRODUCT(持仓配置!$B$5:$N$5,'净值数据(iFinD公式)'!$B24:$N24/'净值数据(iFinD公式)'!$B$5:$N$5)*(1-持仓配置!$P$5)^((ROW()-6)/说明!$C$17))</f>
        <v>1.0191968737534782</v>
      </c>
      <c r="F25" s="9">
        <f t="shared" si="1"/>
        <v>-5.9002409362207686E-3</v>
      </c>
      <c r="G25" s="9">
        <f>IF(E25="","",E25/MAX(E$6:E25)-1)</f>
        <v>-5.9002409362207686E-3</v>
      </c>
      <c r="H25" s="62">
        <f>IF(OR('净值数据(iFinD公式)'!$A24="",'净值数据(iFinD公式)'!$B24=""),"",SUMPRODUCT(持仓配置!$B$6:$N$6,'净值数据(iFinD公式)'!$B24:$N24/'净值数据(iFinD公式)'!$B$5:$N$5)*(1-持仓配置!$P$6)^((ROW()-6)/说明!$C$17))</f>
        <v>1.025819175805315</v>
      </c>
      <c r="I25" s="9">
        <f t="shared" si="2"/>
        <v>-8.6909022485872622E-3</v>
      </c>
      <c r="J25" s="9">
        <f>IF(H25="","",H25/MAX(H$6:H25)-1)</f>
        <v>-8.6909022485872622E-3</v>
      </c>
      <c r="K25" s="62">
        <f>IF(OR('净值数据(iFinD公式)'!$A24="",'净值数据(iFinD公式)'!$B24=""),"",SUMPRODUCT(持仓配置!$B$7:$N$7,'净值数据(iFinD公式)'!$B24:$N24/'净值数据(iFinD公式)'!$B$5:$N$5)*(1-持仓配置!$P$7)^((ROW()-6)/说明!$C$17))</f>
        <v>1.2230376433068277</v>
      </c>
      <c r="L25" s="9">
        <f t="shared" si="3"/>
        <v>-2.8421329855091937E-2</v>
      </c>
      <c r="M25" s="9">
        <f>IF(K25="","",K25/MAX(K$6:K25)-1)</f>
        <v>-2.8421329855091937E-2</v>
      </c>
    </row>
    <row r="26" spans="1:15" x14ac:dyDescent="0.25">
      <c r="A26" s="66">
        <f>IF('净值数据(iFinD公式)'!A25="","",'净值数据(iFinD公式)'!A25)</f>
        <v>46202</v>
      </c>
      <c r="B26" s="62">
        <f>IF(OR('净值数据(iFinD公式)'!$A25="",'净值数据(iFinD公式)'!$B25=""),"",SUMPRODUCT(持仓配置!$B$4:$N$4,'净值数据(iFinD公式)'!$B25:$N25/'净值数据(iFinD公式)'!$B$5:$N$5)*(1-持仓配置!$P$4)^((ROW()-6)/说明!$C$17))</f>
        <v>1.0092715697265893</v>
      </c>
      <c r="C26" s="9">
        <f t="shared" si="0"/>
        <v>1.6853385694184375E-3</v>
      </c>
      <c r="D26" s="9">
        <f>IF(B26="","",B26/MAX(B$6:B26)-1)</f>
        <v>-9.7520703758358085E-4</v>
      </c>
      <c r="E26" s="62">
        <f>IF(OR('净值数据(iFinD公式)'!$A25="",'净值数据(iFinD公式)'!$B25=""),"",SUMPRODUCT(持仓配置!$B$5:$N$5,'净值数据(iFinD公式)'!$B25:$N25/'净值数据(iFinD公式)'!$B$5:$N$5)*(1-持仓配置!$P$5)^((ROW()-6)/说明!$C$17))</f>
        <v>1.0215214505234145</v>
      </c>
      <c r="F26" s="9">
        <f t="shared" si="1"/>
        <v>2.280792680785293E-3</v>
      </c>
      <c r="G26" s="9">
        <f>IF(E26="","",E26/MAX(E$6:E26)-1)</f>
        <v>-3.6329054817776374E-3</v>
      </c>
      <c r="H26" s="62">
        <f>IF(OR('净值数据(iFinD公式)'!$A25="",'净值数据(iFinD公式)'!$B25=""),"",SUMPRODUCT(持仓配置!$B$6:$N$6,'净值数据(iFinD公式)'!$B25:$N25/'净值数据(iFinD公式)'!$B$5:$N$5)*(1-持仓配置!$P$6)^((ROW()-6)/说明!$C$17))</f>
        <v>1.028918036046905</v>
      </c>
      <c r="I26" s="9">
        <f t="shared" si="2"/>
        <v>3.0208640223139405E-3</v>
      </c>
      <c r="J26" s="9">
        <f>IF(H26="","",H26/MAX(H$6:H26)-1)</f>
        <v>-5.6962922601975219E-3</v>
      </c>
      <c r="K26" s="62">
        <f>IF(OR('净值数据(iFinD公式)'!$A25="",'净值数据(iFinD公式)'!$B25=""),"",SUMPRODUCT(持仓配置!$B$7:$N$7,'净值数据(iFinD公式)'!$B25:$N25/'净值数据(iFinD公式)'!$B$5:$N$5)*(1-持仓配置!$P$7)^((ROW()-6)/说明!$C$17))</f>
        <v>1.2352096264581862</v>
      </c>
      <c r="L26" s="9">
        <f t="shared" si="3"/>
        <v>9.9522555319295769E-3</v>
      </c>
      <c r="M26" s="9">
        <f>IF(K26="","",K26/MAX(K$6:K26)-1)</f>
        <v>-1.8751930660437566E-2</v>
      </c>
    </row>
    <row r="27" spans="1:15" x14ac:dyDescent="0.25">
      <c r="A27" s="66">
        <f>IF('净值数据(iFinD公式)'!A26="","",'净值数据(iFinD公式)'!A26)</f>
        <v>46203</v>
      </c>
      <c r="B27" s="62">
        <f>IF(OR('净值数据(iFinD公式)'!$A26="",'净值数据(iFinD公式)'!$B26=""),"",SUMPRODUCT(持仓配置!$B$4:$N$4,'净值数据(iFinD公式)'!$B26:$N26/'净值数据(iFinD公式)'!$B$5:$N$5)*(1-持仓配置!$P$4)^((ROW()-6)/说明!$C$17))</f>
        <v>1.0119135334013039</v>
      </c>
      <c r="C27" s="9">
        <f t="shared" si="0"/>
        <v>2.6176935464756745E-3</v>
      </c>
      <c r="D27" s="9">
        <f>IF(B27="","",B27/MAX(B$6:B27)-1)</f>
        <v>0</v>
      </c>
      <c r="E27" s="62">
        <f>IF(OR('净值数据(iFinD公式)'!$A26="",'净值数据(iFinD公式)'!$B26=""),"",SUMPRODUCT(持仓配置!$B$5:$N$5,'净值数据(iFinD公式)'!$B26:$N26/'净值数据(iFinD公式)'!$B$5:$N$5)*(1-持仓配置!$P$5)^((ROW()-6)/说明!$C$17))</f>
        <v>1.028012711514811</v>
      </c>
      <c r="F27" s="9">
        <f t="shared" si="1"/>
        <v>6.3545028722309382E-3</v>
      </c>
      <c r="G27" s="9">
        <f>IF(E27="","",E27/MAX(E$6:E27)-1)</f>
        <v>0</v>
      </c>
      <c r="H27" s="62">
        <f>IF(OR('净值数据(iFinD公式)'!$A26="",'净值数据(iFinD公式)'!$B26=""),"",SUMPRODUCT(持仓配置!$B$6:$N$6,'净值数据(iFinD公式)'!$B26:$N26/'净值数据(iFinD公式)'!$B$5:$N$5)*(1-持仓配置!$P$6)^((ROW()-6)/说明!$C$17))</f>
        <v>1.0388818470703711</v>
      </c>
      <c r="I27" s="9">
        <f t="shared" si="2"/>
        <v>9.6837752613871952E-3</v>
      </c>
      <c r="J27" s="9">
        <f>IF(H27="","",H27/MAX(H$6:H27)-1)</f>
        <v>0</v>
      </c>
      <c r="K27" s="62">
        <f>IF(OR('净值数据(iFinD公式)'!$A26="",'净值数据(iFinD公式)'!$B26=""),"",SUMPRODUCT(持仓配置!$B$7:$N$7,'净值数据(iFinD公式)'!$B26:$N26/'净值数据(iFinD公式)'!$B$5:$N$5)*(1-持仓配置!$P$7)^((ROW()-6)/说明!$C$17))</f>
        <v>1.2895492152655188</v>
      </c>
      <c r="L27" s="9">
        <f t="shared" si="3"/>
        <v>4.3992199901440765E-2</v>
      </c>
      <c r="M27" s="9">
        <f>IF(K27="","",K27/MAX(K$6:K27)-1)</f>
        <v>0</v>
      </c>
      <c r="O27" s="28">
        <f>B25/B6-1</f>
        <v>7.5734673006249142E-3</v>
      </c>
    </row>
    <row r="28" spans="1:15" x14ac:dyDescent="0.25">
      <c r="A28" s="66">
        <f>IF('净值数据(iFinD公式)'!A27="","",'净值数据(iFinD公式)'!A27)</f>
        <v>46204</v>
      </c>
      <c r="B28" s="62">
        <f>IF(OR('净值数据(iFinD公式)'!$A27="",'净值数据(iFinD公式)'!$B27=""),"",SUMPRODUCT(持仓配置!$B$4:$N$4,'净值数据(iFinD公式)'!$B27:$N27/'净值数据(iFinD公式)'!$B$5:$N$5)*(1-持仓配置!$P$4)^((ROW()-6)/说明!$C$17))</f>
        <v>1.0089264576463108</v>
      </c>
      <c r="C28" s="9">
        <f t="shared" si="0"/>
        <v>-2.9519080992549407E-3</v>
      </c>
      <c r="D28" s="9">
        <f>IF(B28="","",B28/MAX(B$6:B28)-1)</f>
        <v>-2.9519080992549407E-3</v>
      </c>
      <c r="E28" s="62">
        <f>IF(OR('净值数据(iFinD公式)'!$A27="",'净值数据(iFinD公式)'!$B27=""),"",SUMPRODUCT(持仓配置!$B$5:$N$5,'净值数据(iFinD公式)'!$B27:$N27/'净值数据(iFinD公式)'!$B$5:$N$5)*(1-持仓配置!$P$5)^((ROW()-6)/说明!$C$17))</f>
        <v>1.0234028726746101</v>
      </c>
      <c r="F28" s="9">
        <f t="shared" si="1"/>
        <v>-4.4842235787222462E-3</v>
      </c>
      <c r="G28" s="9">
        <f>IF(E28="","",E28/MAX(E$6:E28)-1)</f>
        <v>-4.4842235787222462E-3</v>
      </c>
      <c r="H28" s="62">
        <f>IF(OR('净值数据(iFinD公式)'!$A27="",'净值数据(iFinD公式)'!$B27=""),"",SUMPRODUCT(持仓配置!$B$6:$N$6,'净值数据(iFinD公式)'!$B27:$N27/'净值数据(iFinD公式)'!$B$5:$N$5)*(1-持仓配置!$P$6)^((ROW()-6)/说明!$C$17))</f>
        <v>1.0322302286108425</v>
      </c>
      <c r="I28" s="9">
        <f t="shared" si="2"/>
        <v>-6.4026707929165649E-3</v>
      </c>
      <c r="J28" s="9">
        <f>IF(H28="","",H28/MAX(H$6:H28)-1)</f>
        <v>-6.4026707929165649E-3</v>
      </c>
      <c r="K28" s="62">
        <f>IF(OR('净值数据(iFinD公式)'!$A27="",'净值数据(iFinD公式)'!$B27=""),"",SUMPRODUCT(持仓配置!$B$7:$N$7,'净值数据(iFinD公式)'!$B27:$N27/'净值数据(iFinD公式)'!$B$5:$N$5)*(1-持仓配置!$P$7)^((ROW()-6)/说明!$C$17))</f>
        <v>1.249937038744344</v>
      </c>
      <c r="L28" s="9">
        <f t="shared" si="3"/>
        <v>-3.0717847796928432E-2</v>
      </c>
      <c r="M28" s="9">
        <f>IF(K28="","",K28/MAX(K$6:K28)-1)</f>
        <v>-3.0717847796928432E-2</v>
      </c>
    </row>
    <row r="29" spans="1:15" x14ac:dyDescent="0.25">
      <c r="A29" s="66">
        <f>IF('净值数据(iFinD公式)'!A28="","",'净值数据(iFinD公式)'!A28)</f>
        <v>46205</v>
      </c>
      <c r="B29" s="62">
        <f>IF(OR('净值数据(iFinD公式)'!$A28="",'净值数据(iFinD公式)'!$B28=""),"",SUMPRODUCT(持仓配置!$B$4:$N$4,'净值数据(iFinD公式)'!$B28:$N28/'净值数据(iFinD公式)'!$B$5:$N$5)*(1-持仓配置!$P$4)^((ROW()-6)/说明!$C$17))</f>
        <v>1.0030310088202468</v>
      </c>
      <c r="C29" s="9">
        <f t="shared" si="0"/>
        <v>-5.8432889546948807E-3</v>
      </c>
      <c r="D29" s="9">
        <f>IF(B29="","",B29/MAX(B$6:B29)-1)</f>
        <v>-8.7779482019580968E-3</v>
      </c>
      <c r="E29" s="62">
        <f>IF(OR('净值数据(iFinD公式)'!$A28="",'净值数据(iFinD公式)'!$B28=""),"",SUMPRODUCT(持仓配置!$B$5:$N$5,'净值数据(iFinD公式)'!$B28:$N28/'净值数据(iFinD公式)'!$B$5:$N$5)*(1-持仓配置!$P$5)^((ROW()-6)/说明!$C$17))</f>
        <v>1.0105957679057833</v>
      </c>
      <c r="F29" s="9">
        <f t="shared" si="1"/>
        <v>-1.2514235704025323E-2</v>
      </c>
      <c r="G29" s="9">
        <f>IF(E29="","",E29/MAX(E$6:E29)-1)</f>
        <v>-1.694234265193395E-2</v>
      </c>
      <c r="H29" s="62">
        <f>IF(OR('净值数据(iFinD公式)'!$A28="",'净值数据(iFinD公式)'!$B28=""),"",SUMPRODUCT(持仓配置!$B$6:$N$6,'净值数据(iFinD公式)'!$B28:$N28/'净值数据(iFinD公式)'!$B$5:$N$5)*(1-持仓配置!$P$6)^((ROW()-6)/说明!$C$17))</f>
        <v>1.0134350814732387</v>
      </c>
      <c r="I29" s="9">
        <f t="shared" si="2"/>
        <v>-1.8208289794901633E-2</v>
      </c>
      <c r="J29" s="9">
        <f>IF(H29="","",H29/MAX(H$6:H29)-1)</f>
        <v>-2.4494378902559344E-2</v>
      </c>
      <c r="K29" s="62">
        <f>IF(OR('净值数据(iFinD公式)'!$A28="",'净值数据(iFinD公式)'!$B28=""),"",SUMPRODUCT(持仓配置!$B$7:$N$7,'净值数据(iFinD公式)'!$B28:$N28/'净值数据(iFinD公式)'!$B$5:$N$5)*(1-持仓配置!$P$7)^((ROW()-6)/说明!$C$17))</f>
        <v>1.1401462330033694</v>
      </c>
      <c r="L29" s="9">
        <f t="shared" si="3"/>
        <v>-8.7837068858498513E-2</v>
      </c>
      <c r="M29" s="9">
        <f>IF(K29="","",K29/MAX(K$6:K29)-1)</f>
        <v>-0.11585675094330328</v>
      </c>
    </row>
    <row r="30" spans="1:15" x14ac:dyDescent="0.25">
      <c r="A30" s="66">
        <f>IF('净值数据(iFinD公式)'!A29="","",'净值数据(iFinD公式)'!A29)</f>
        <v>46206</v>
      </c>
      <c r="B30" s="62">
        <f>IF(OR('净值数据(iFinD公式)'!$A29="",'净值数据(iFinD公式)'!$B29=""),"",SUMPRODUCT(持仓配置!$B$4:$N$4,'净值数据(iFinD公式)'!$B29:$N29/'净值数据(iFinD公式)'!$B$5:$N$5)*(1-持仓配置!$P$4)^((ROW()-6)/说明!$C$17))</f>
        <v>1.0038981426733757</v>
      </c>
      <c r="C30" s="9">
        <f t="shared" si="0"/>
        <v>8.6451350506999702E-4</v>
      </c>
      <c r="D30" s="9">
        <f>IF(B30="","",B30/MAX(B$6:B30)-1)</f>
        <v>-7.9210233516556761E-3</v>
      </c>
      <c r="E30" s="62">
        <f>IF(OR('净值数据(iFinD公式)'!$A29="",'净值数据(iFinD公式)'!$B29=""),"",SUMPRODUCT(持仓配置!$B$5:$N$5,'净值数据(iFinD公式)'!$B29:$N29/'净值数据(iFinD公式)'!$B$5:$N$5)*(1-持仓配置!$P$5)^((ROW()-6)/说明!$C$17))</f>
        <v>1.0113374897746024</v>
      </c>
      <c r="F30" s="9">
        <f t="shared" si="1"/>
        <v>7.3394515628755208E-4</v>
      </c>
      <c r="G30" s="9">
        <f>IF(E30="","",E30/MAX(E$6:E30)-1)</f>
        <v>-1.6220832245972039E-2</v>
      </c>
      <c r="H30" s="62">
        <f>IF(OR('净值数据(iFinD公式)'!$A29="",'净值数据(iFinD公式)'!$B29=""),"",SUMPRODUCT(持仓配置!$B$6:$N$6,'净值数据(iFinD公式)'!$B29:$N29/'净值数据(iFinD公式)'!$B$5:$N$5)*(1-持仓配置!$P$6)^((ROW()-6)/说明!$C$17))</f>
        <v>1.0152735133917969</v>
      </c>
      <c r="I30" s="9">
        <f t="shared" si="2"/>
        <v>1.8140598763225491E-3</v>
      </c>
      <c r="J30" s="9">
        <f>IF(H30="","",H30/MAX(H$6:H30)-1)</f>
        <v>-2.2724753296199385E-2</v>
      </c>
      <c r="K30" s="62">
        <f>IF(OR('净值数据(iFinD公式)'!$A29="",'净值数据(iFinD公式)'!$B29=""),"",SUMPRODUCT(持仓配置!$B$7:$N$7,'净值数据(iFinD公式)'!$B29:$N29/'净值数据(iFinD公式)'!$B$5:$N$5)*(1-持仓配置!$P$7)^((ROW()-6)/说明!$C$17))</f>
        <v>1.1316225415446639</v>
      </c>
      <c r="L30" s="9">
        <f t="shared" si="3"/>
        <v>-7.4759633562551109E-3</v>
      </c>
      <c r="M30" s="9">
        <f>IF(K30="","",K30/MAX(K$6:K30)-1)</f>
        <v>-0.12246657347493151</v>
      </c>
    </row>
    <row r="31" spans="1:15" x14ac:dyDescent="0.25">
      <c r="A31" s="66">
        <f>IF('净值数据(iFinD公式)'!A30="","",'净值数据(iFinD公式)'!A30)</f>
        <v>46209</v>
      </c>
      <c r="B31" s="62">
        <f>IF(OR('净值数据(iFinD公式)'!$A30="",'净值数据(iFinD公式)'!$B30=""),"",SUMPRODUCT(持仓配置!$B$4:$N$4,'净值数据(iFinD公式)'!$B30:$N30/'净值数据(iFinD公式)'!$B$5:$N$5)*(1-持仓配置!$P$4)^((ROW()-6)/说明!$C$17))</f>
        <v>1.0027797901139219</v>
      </c>
      <c r="C31" s="9">
        <f t="shared" si="0"/>
        <v>-1.1140099895748934E-3</v>
      </c>
      <c r="D31" s="9">
        <f>IF(B31="","",B31/MAX(B$6:B31)-1)</f>
        <v>-9.0262092420891893E-3</v>
      </c>
      <c r="E31" s="62">
        <f>IF(OR('净值数据(iFinD公式)'!$A30="",'净值数据(iFinD公式)'!$B30=""),"",SUMPRODUCT(持仓配置!$B$5:$N$5,'净值数据(iFinD公式)'!$B30:$N30/'净值数据(iFinD公式)'!$B$5:$N$5)*(1-持仓配置!$P$5)^((ROW()-6)/说明!$C$17))</f>
        <v>1.0085650677023383</v>
      </c>
      <c r="F31" s="9">
        <f t="shared" si="1"/>
        <v>-2.7413421338527977E-3</v>
      </c>
      <c r="G31" s="9">
        <f>IF(E31="","",E31/MAX(E$6:E31)-1)</f>
        <v>-1.891770752894284E-2</v>
      </c>
      <c r="H31" s="62">
        <f>IF(OR('净值数据(iFinD公式)'!$A30="",'净值数据(iFinD公式)'!$B30=""),"",SUMPRODUCT(持仓配置!$B$6:$N$6,'净值数据(iFinD公式)'!$B30:$N30/'净值数据(iFinD公式)'!$B$5:$N$5)*(1-持仓配置!$P$6)^((ROW()-6)/说明!$C$17))</f>
        <v>1.0106812246966255</v>
      </c>
      <c r="I31" s="9">
        <f t="shared" si="2"/>
        <v>-4.5232034861518722E-3</v>
      </c>
      <c r="J31" s="9">
        <f>IF(H31="","",H31/MAX(H$6:H31)-1)</f>
        <v>-2.7145168099020012E-2</v>
      </c>
      <c r="K31" s="62">
        <f>IF(OR('净值数据(iFinD公式)'!$A30="",'净值数据(iFinD公式)'!$B30=""),"",SUMPRODUCT(持仓配置!$B$7:$N$7,'净值数据(iFinD公式)'!$B30:$N30/'净值数据(iFinD公式)'!$B$5:$N$5)*(1-持仓配置!$P$7)^((ROW()-6)/说明!$C$17))</f>
        <v>1.1091830542334955</v>
      </c>
      <c r="L31" s="9">
        <f t="shared" si="3"/>
        <v>-1.9829480668119737E-2</v>
      </c>
      <c r="M31" s="9">
        <f>IF(K31="","",K31/MAX(K$6:K31)-1)</f>
        <v>-0.13986760559183919</v>
      </c>
    </row>
    <row r="32" spans="1:15" x14ac:dyDescent="0.25">
      <c r="A32" s="66">
        <f>IF('净值数据(iFinD公式)'!A31="","",'净值数据(iFinD公式)'!A31)</f>
        <v>46210</v>
      </c>
      <c r="B32" s="62">
        <f>IF(OR('净值数据(iFinD公式)'!$A31="",'净值数据(iFinD公式)'!$B31=""),"",SUMPRODUCT(持仓配置!$B$4:$N$4,'净值数据(iFinD公式)'!$B31:$N31/'净值数据(iFinD公式)'!$B$5:$N$5)*(1-持仓配置!$P$4)^((ROW()-6)/说明!$C$17))</f>
        <v>1.0020307881244941</v>
      </c>
      <c r="C32" s="9">
        <f t="shared" si="0"/>
        <v>-7.4692569277123866E-4</v>
      </c>
      <c r="D32" s="9">
        <f>IF(B32="","",B32/MAX(B$6:B32)-1)</f>
        <v>-9.7663930272691157E-3</v>
      </c>
      <c r="E32" s="62">
        <f>IF(OR('净值数据(iFinD公式)'!$A31="",'净值数据(iFinD公式)'!$B31=""),"",SUMPRODUCT(持仓配置!$B$5:$N$5,'净值数据(iFinD公式)'!$B31:$N31/'净值数据(iFinD公式)'!$B$5:$N$5)*(1-持仓配置!$P$5)^((ROW()-6)/说明!$C$17))</f>
        <v>1.0072335195148223</v>
      </c>
      <c r="F32" s="9">
        <f t="shared" si="1"/>
        <v>-1.3202402404730584E-3</v>
      </c>
      <c r="G32" s="9">
        <f>IF(E32="","",E32/MAX(E$6:E32)-1)</f>
        <v>-2.0212971850678607E-2</v>
      </c>
      <c r="H32" s="62">
        <f>IF(OR('净值数据(iFinD公式)'!$A31="",'净值数据(iFinD公式)'!$B31=""),"",SUMPRODUCT(持仓配置!$B$6:$N$6,'净值数据(iFinD公式)'!$B31:$N31/'净值数据(iFinD公式)'!$B$5:$N$5)*(1-持仓配置!$P$6)^((ROW()-6)/说明!$C$17))</f>
        <v>1.0085030424733503</v>
      </c>
      <c r="I32" s="9">
        <f t="shared" si="2"/>
        <v>-2.1551624489006826E-3</v>
      </c>
      <c r="J32" s="9">
        <f>IF(H32="","",H32/MAX(H$6:H32)-1)</f>
        <v>-2.9241828300964667E-2</v>
      </c>
      <c r="K32" s="62">
        <f>IF(OR('净值数据(iFinD公式)'!$A31="",'净值数据(iFinD公式)'!$B31=""),"",SUMPRODUCT(持仓配置!$B$7:$N$7,'净值数据(iFinD公式)'!$B31:$N31/'净值数据(iFinD公式)'!$B$5:$N$5)*(1-持仓配置!$P$7)^((ROW()-6)/说明!$C$17))</f>
        <v>1.1168982726026053</v>
      </c>
      <c r="L32" s="9">
        <f t="shared" si="3"/>
        <v>6.9557665343538133E-3</v>
      </c>
      <c r="M32" s="9">
        <f>IF(K32="","",K32/MAX(K$6:K32)-1)</f>
        <v>-0.13388472546770114</v>
      </c>
    </row>
    <row r="33" spans="1:13" x14ac:dyDescent="0.25">
      <c r="A33" s="66" t="str">
        <f>IF('净值数据(iFinD公式)'!A32="","",'净值数据(iFinD公式)'!A32)</f>
        <v/>
      </c>
      <c r="B33" s="62" t="str">
        <f>IF(OR('净值数据(iFinD公式)'!$A32="",'净值数据(iFinD公式)'!$B32=""),"",SUMPRODUCT(持仓配置!$B$4:$N$4,'净值数据(iFinD公式)'!$B32:$N32/'净值数据(iFinD公式)'!$B$5:$N$5)*(1-持仓配置!$P$4)^((ROW()-6)/说明!$C$17))</f>
        <v/>
      </c>
      <c r="C33" s="9" t="str">
        <f t="shared" si="0"/>
        <v/>
      </c>
      <c r="D33" s="9" t="str">
        <f>IF(B33="","",B33/MAX(B$6:B33)-1)</f>
        <v/>
      </c>
      <c r="E33" s="62" t="str">
        <f>IF(OR('净值数据(iFinD公式)'!$A32="",'净值数据(iFinD公式)'!$B32=""),"",SUMPRODUCT(持仓配置!$B$5:$N$5,'净值数据(iFinD公式)'!$B32:$N32/'净值数据(iFinD公式)'!$B$5:$N$5)*(1-持仓配置!$P$5)^((ROW()-6)/说明!$C$17))</f>
        <v/>
      </c>
      <c r="F33" s="9" t="str">
        <f t="shared" si="1"/>
        <v/>
      </c>
      <c r="G33" s="9" t="str">
        <f>IF(E33="","",E33/MAX(E$6:E33)-1)</f>
        <v/>
      </c>
      <c r="H33" s="62" t="str">
        <f>IF(OR('净值数据(iFinD公式)'!$A32="",'净值数据(iFinD公式)'!$B32=""),"",SUMPRODUCT(持仓配置!$B$6:$N$6,'净值数据(iFinD公式)'!$B32:$N32/'净值数据(iFinD公式)'!$B$5:$N$5)*(1-持仓配置!$P$6)^((ROW()-6)/说明!$C$17))</f>
        <v/>
      </c>
      <c r="I33" s="9" t="str">
        <f t="shared" si="2"/>
        <v/>
      </c>
      <c r="J33" s="9" t="str">
        <f>IF(H33="","",H33/MAX(H$6:H33)-1)</f>
        <v/>
      </c>
      <c r="K33" s="62" t="str">
        <f>IF(OR('净值数据(iFinD公式)'!$A32="",'净值数据(iFinD公式)'!$B32=""),"",SUMPRODUCT(持仓配置!$B$7:$N$7,'净值数据(iFinD公式)'!$B32:$N32/'净值数据(iFinD公式)'!$B$5:$N$5)*(1-持仓配置!$P$7)^((ROW()-6)/说明!$C$17))</f>
        <v/>
      </c>
      <c r="L33" s="9" t="str">
        <f t="shared" si="3"/>
        <v/>
      </c>
      <c r="M33" s="9" t="str">
        <f>IF(K33="","",K33/MAX(K$6:K33)-1)</f>
        <v/>
      </c>
    </row>
    <row r="34" spans="1:13" x14ac:dyDescent="0.25">
      <c r="A34" s="66" t="str">
        <f>IF('净值数据(iFinD公式)'!A33="","",'净值数据(iFinD公式)'!A33)</f>
        <v/>
      </c>
      <c r="B34" s="62" t="str">
        <f>IF(OR('净值数据(iFinD公式)'!$A33="",'净值数据(iFinD公式)'!$B33=""),"",SUMPRODUCT(持仓配置!$B$4:$N$4,'净值数据(iFinD公式)'!$B33:$N33/'净值数据(iFinD公式)'!$B$5:$N$5)*(1-持仓配置!$P$4)^((ROW()-6)/说明!$C$17))</f>
        <v/>
      </c>
      <c r="C34" s="9" t="str">
        <f t="shared" si="0"/>
        <v/>
      </c>
      <c r="D34" s="9" t="str">
        <f>IF(B34="","",B34/MAX(B$6:B34)-1)</f>
        <v/>
      </c>
      <c r="E34" s="62" t="str">
        <f>IF(OR('净值数据(iFinD公式)'!$A33="",'净值数据(iFinD公式)'!$B33=""),"",SUMPRODUCT(持仓配置!$B$5:$N$5,'净值数据(iFinD公式)'!$B33:$N33/'净值数据(iFinD公式)'!$B$5:$N$5)*(1-持仓配置!$P$5)^((ROW()-6)/说明!$C$17))</f>
        <v/>
      </c>
      <c r="F34" s="9" t="str">
        <f t="shared" si="1"/>
        <v/>
      </c>
      <c r="G34" s="9" t="str">
        <f>IF(E34="","",E34/MAX(E$6:E34)-1)</f>
        <v/>
      </c>
      <c r="H34" s="62" t="str">
        <f>IF(OR('净值数据(iFinD公式)'!$A33="",'净值数据(iFinD公式)'!$B33=""),"",SUMPRODUCT(持仓配置!$B$6:$N$6,'净值数据(iFinD公式)'!$B33:$N33/'净值数据(iFinD公式)'!$B$5:$N$5)*(1-持仓配置!$P$6)^((ROW()-6)/说明!$C$17))</f>
        <v/>
      </c>
      <c r="I34" s="9" t="str">
        <f t="shared" si="2"/>
        <v/>
      </c>
      <c r="J34" s="9" t="str">
        <f>IF(H34="","",H34/MAX(H$6:H34)-1)</f>
        <v/>
      </c>
      <c r="K34" s="62" t="str">
        <f>IF(OR('净值数据(iFinD公式)'!$A33="",'净值数据(iFinD公式)'!$B33=""),"",SUMPRODUCT(持仓配置!$B$7:$N$7,'净值数据(iFinD公式)'!$B33:$N33/'净值数据(iFinD公式)'!$B$5:$N$5)*(1-持仓配置!$P$7)^((ROW()-6)/说明!$C$17))</f>
        <v/>
      </c>
      <c r="L34" s="9" t="str">
        <f t="shared" si="3"/>
        <v/>
      </c>
      <c r="M34" s="9" t="str">
        <f>IF(K34="","",K34/MAX(K$6:K34)-1)</f>
        <v/>
      </c>
    </row>
    <row r="35" spans="1:13" x14ac:dyDescent="0.25">
      <c r="A35" s="66" t="str">
        <f>IF('净值数据(iFinD公式)'!A34="","",'净值数据(iFinD公式)'!A34)</f>
        <v/>
      </c>
      <c r="B35" s="62" t="str">
        <f>IF(OR('净值数据(iFinD公式)'!$A34="",'净值数据(iFinD公式)'!$B34=""),"",SUMPRODUCT(持仓配置!$B$4:$N$4,'净值数据(iFinD公式)'!$B34:$N34/'净值数据(iFinD公式)'!$B$5:$N$5)*(1-持仓配置!$P$4)^((ROW()-6)/说明!$C$17))</f>
        <v/>
      </c>
      <c r="C35" s="9" t="str">
        <f t="shared" si="0"/>
        <v/>
      </c>
      <c r="D35" s="9" t="str">
        <f>IF(B35="","",B35/MAX(B$6:B35)-1)</f>
        <v/>
      </c>
      <c r="E35" s="62" t="str">
        <f>IF(OR('净值数据(iFinD公式)'!$A34="",'净值数据(iFinD公式)'!$B34=""),"",SUMPRODUCT(持仓配置!$B$5:$N$5,'净值数据(iFinD公式)'!$B34:$N34/'净值数据(iFinD公式)'!$B$5:$N$5)*(1-持仓配置!$P$5)^((ROW()-6)/说明!$C$17))</f>
        <v/>
      </c>
      <c r="F35" s="9" t="str">
        <f t="shared" si="1"/>
        <v/>
      </c>
      <c r="G35" s="9" t="str">
        <f>IF(E35="","",E35/MAX(E$6:E35)-1)</f>
        <v/>
      </c>
      <c r="H35" s="62" t="str">
        <f>IF(OR('净值数据(iFinD公式)'!$A34="",'净值数据(iFinD公式)'!$B34=""),"",SUMPRODUCT(持仓配置!$B$6:$N$6,'净值数据(iFinD公式)'!$B34:$N34/'净值数据(iFinD公式)'!$B$5:$N$5)*(1-持仓配置!$P$6)^((ROW()-6)/说明!$C$17))</f>
        <v/>
      </c>
      <c r="I35" s="9" t="str">
        <f t="shared" si="2"/>
        <v/>
      </c>
      <c r="J35" s="9" t="str">
        <f>IF(H35="","",H35/MAX(H$6:H35)-1)</f>
        <v/>
      </c>
      <c r="K35" s="62" t="str">
        <f>IF(OR('净值数据(iFinD公式)'!$A34="",'净值数据(iFinD公式)'!$B34=""),"",SUMPRODUCT(持仓配置!$B$7:$N$7,'净值数据(iFinD公式)'!$B34:$N34/'净值数据(iFinD公式)'!$B$5:$N$5)*(1-持仓配置!$P$7)^((ROW()-6)/说明!$C$17))</f>
        <v/>
      </c>
      <c r="L35" s="9" t="str">
        <f t="shared" si="3"/>
        <v/>
      </c>
      <c r="M35" s="9" t="str">
        <f>IF(K35="","",K35/MAX(K$6:K35)-1)</f>
        <v/>
      </c>
    </row>
    <row r="36" spans="1:13" x14ac:dyDescent="0.25">
      <c r="A36" s="66" t="str">
        <f>IF('净值数据(iFinD公式)'!A35="","",'净值数据(iFinD公式)'!A35)</f>
        <v/>
      </c>
      <c r="B36" s="62" t="str">
        <f>IF(OR('净值数据(iFinD公式)'!$A35="",'净值数据(iFinD公式)'!$B35=""),"",SUMPRODUCT(持仓配置!$B$4:$N$4,'净值数据(iFinD公式)'!$B35:$N35/'净值数据(iFinD公式)'!$B$5:$N$5)*(1-持仓配置!$P$4)^((ROW()-6)/说明!$C$17))</f>
        <v/>
      </c>
      <c r="C36" s="9" t="str">
        <f t="shared" si="0"/>
        <v/>
      </c>
      <c r="D36" s="9" t="str">
        <f>IF(B36="","",B36/MAX(B$6:B36)-1)</f>
        <v/>
      </c>
      <c r="E36" s="62" t="str">
        <f>IF(OR('净值数据(iFinD公式)'!$A35="",'净值数据(iFinD公式)'!$B35=""),"",SUMPRODUCT(持仓配置!$B$5:$N$5,'净值数据(iFinD公式)'!$B35:$N35/'净值数据(iFinD公式)'!$B$5:$N$5)*(1-持仓配置!$P$5)^((ROW()-6)/说明!$C$17))</f>
        <v/>
      </c>
      <c r="F36" s="9" t="str">
        <f t="shared" si="1"/>
        <v/>
      </c>
      <c r="G36" s="9" t="str">
        <f>IF(E36="","",E36/MAX(E$6:E36)-1)</f>
        <v/>
      </c>
      <c r="H36" s="62" t="str">
        <f>IF(OR('净值数据(iFinD公式)'!$A35="",'净值数据(iFinD公式)'!$B35=""),"",SUMPRODUCT(持仓配置!$B$6:$N$6,'净值数据(iFinD公式)'!$B35:$N35/'净值数据(iFinD公式)'!$B$5:$N$5)*(1-持仓配置!$P$6)^((ROW()-6)/说明!$C$17))</f>
        <v/>
      </c>
      <c r="I36" s="9" t="str">
        <f t="shared" si="2"/>
        <v/>
      </c>
      <c r="J36" s="9" t="str">
        <f>IF(H36="","",H36/MAX(H$6:H36)-1)</f>
        <v/>
      </c>
      <c r="K36" s="62" t="str">
        <f>IF(OR('净值数据(iFinD公式)'!$A35="",'净值数据(iFinD公式)'!$B35=""),"",SUMPRODUCT(持仓配置!$B$7:$N$7,'净值数据(iFinD公式)'!$B35:$N35/'净值数据(iFinD公式)'!$B$5:$N$5)*(1-持仓配置!$P$7)^((ROW()-6)/说明!$C$17))</f>
        <v/>
      </c>
      <c r="L36" s="9" t="str">
        <f t="shared" si="3"/>
        <v/>
      </c>
      <c r="M36" s="9" t="str">
        <f>IF(K36="","",K36/MAX(K$6:K36)-1)</f>
        <v/>
      </c>
    </row>
    <row r="37" spans="1:13" x14ac:dyDescent="0.25">
      <c r="A37" s="66" t="str">
        <f>IF('净值数据(iFinD公式)'!A36="","",'净值数据(iFinD公式)'!A36)</f>
        <v/>
      </c>
      <c r="B37" s="62" t="str">
        <f>IF(OR('净值数据(iFinD公式)'!$A36="",'净值数据(iFinD公式)'!$B36=""),"",SUMPRODUCT(持仓配置!$B$4:$N$4,'净值数据(iFinD公式)'!$B36:$N36/'净值数据(iFinD公式)'!$B$5:$N$5)*(1-持仓配置!$P$4)^((ROW()-6)/说明!$C$17))</f>
        <v/>
      </c>
      <c r="C37" s="9" t="str">
        <f t="shared" si="0"/>
        <v/>
      </c>
      <c r="D37" s="9" t="str">
        <f>IF(B37="","",B37/MAX(B$6:B37)-1)</f>
        <v/>
      </c>
      <c r="E37" s="62" t="str">
        <f>IF(OR('净值数据(iFinD公式)'!$A36="",'净值数据(iFinD公式)'!$B36=""),"",SUMPRODUCT(持仓配置!$B$5:$N$5,'净值数据(iFinD公式)'!$B36:$N36/'净值数据(iFinD公式)'!$B$5:$N$5)*(1-持仓配置!$P$5)^((ROW()-6)/说明!$C$17))</f>
        <v/>
      </c>
      <c r="F37" s="9" t="str">
        <f t="shared" si="1"/>
        <v/>
      </c>
      <c r="G37" s="9" t="str">
        <f>IF(E37="","",E37/MAX(E$6:E37)-1)</f>
        <v/>
      </c>
      <c r="H37" s="62" t="str">
        <f>IF(OR('净值数据(iFinD公式)'!$A36="",'净值数据(iFinD公式)'!$B36=""),"",SUMPRODUCT(持仓配置!$B$6:$N$6,'净值数据(iFinD公式)'!$B36:$N36/'净值数据(iFinD公式)'!$B$5:$N$5)*(1-持仓配置!$P$6)^((ROW()-6)/说明!$C$17))</f>
        <v/>
      </c>
      <c r="I37" s="9" t="str">
        <f t="shared" si="2"/>
        <v/>
      </c>
      <c r="J37" s="9" t="str">
        <f>IF(H37="","",H37/MAX(H$6:H37)-1)</f>
        <v/>
      </c>
      <c r="K37" s="62" t="str">
        <f>IF(OR('净值数据(iFinD公式)'!$A36="",'净值数据(iFinD公式)'!$B36=""),"",SUMPRODUCT(持仓配置!$B$7:$N$7,'净值数据(iFinD公式)'!$B36:$N36/'净值数据(iFinD公式)'!$B$5:$N$5)*(1-持仓配置!$P$7)^((ROW()-6)/说明!$C$17))</f>
        <v/>
      </c>
      <c r="L37" s="9" t="str">
        <f t="shared" si="3"/>
        <v/>
      </c>
      <c r="M37" s="9" t="str">
        <f>IF(K37="","",K37/MAX(K$6:K37)-1)</f>
        <v/>
      </c>
    </row>
    <row r="38" spans="1:13" x14ac:dyDescent="0.25">
      <c r="A38" s="66" t="str">
        <f>IF('净值数据(iFinD公式)'!A37="","",'净值数据(iFinD公式)'!A37)</f>
        <v/>
      </c>
      <c r="B38" s="62" t="str">
        <f>IF(OR('净值数据(iFinD公式)'!$A37="",'净值数据(iFinD公式)'!$B37=""),"",SUMPRODUCT(持仓配置!$B$4:$N$4,'净值数据(iFinD公式)'!$B37:$N37/'净值数据(iFinD公式)'!$B$5:$N$5)*(1-持仓配置!$P$4)^((ROW()-6)/说明!$C$17))</f>
        <v/>
      </c>
      <c r="C38" s="9" t="str">
        <f t="shared" si="0"/>
        <v/>
      </c>
      <c r="D38" s="9" t="str">
        <f>IF(B38="","",B38/MAX(B$6:B38)-1)</f>
        <v/>
      </c>
      <c r="E38" s="62" t="str">
        <f>IF(OR('净值数据(iFinD公式)'!$A37="",'净值数据(iFinD公式)'!$B37=""),"",SUMPRODUCT(持仓配置!$B$5:$N$5,'净值数据(iFinD公式)'!$B37:$N37/'净值数据(iFinD公式)'!$B$5:$N$5)*(1-持仓配置!$P$5)^((ROW()-6)/说明!$C$17))</f>
        <v/>
      </c>
      <c r="F38" s="9" t="str">
        <f t="shared" si="1"/>
        <v/>
      </c>
      <c r="G38" s="9" t="str">
        <f>IF(E38="","",E38/MAX(E$6:E38)-1)</f>
        <v/>
      </c>
      <c r="H38" s="62" t="str">
        <f>IF(OR('净值数据(iFinD公式)'!$A37="",'净值数据(iFinD公式)'!$B37=""),"",SUMPRODUCT(持仓配置!$B$6:$N$6,'净值数据(iFinD公式)'!$B37:$N37/'净值数据(iFinD公式)'!$B$5:$N$5)*(1-持仓配置!$P$6)^((ROW()-6)/说明!$C$17))</f>
        <v/>
      </c>
      <c r="I38" s="9" t="str">
        <f t="shared" si="2"/>
        <v/>
      </c>
      <c r="J38" s="9" t="str">
        <f>IF(H38="","",H38/MAX(H$6:H38)-1)</f>
        <v/>
      </c>
      <c r="K38" s="62" t="str">
        <f>IF(OR('净值数据(iFinD公式)'!$A37="",'净值数据(iFinD公式)'!$B37=""),"",SUMPRODUCT(持仓配置!$B$7:$N$7,'净值数据(iFinD公式)'!$B37:$N37/'净值数据(iFinD公式)'!$B$5:$N$5)*(1-持仓配置!$P$7)^((ROW()-6)/说明!$C$17))</f>
        <v/>
      </c>
      <c r="L38" s="9" t="str">
        <f t="shared" si="3"/>
        <v/>
      </c>
      <c r="M38" s="9" t="str">
        <f>IF(K38="","",K38/MAX(K$6:K38)-1)</f>
        <v/>
      </c>
    </row>
    <row r="39" spans="1:13" x14ac:dyDescent="0.25">
      <c r="A39" s="66" t="str">
        <f>IF('净值数据(iFinD公式)'!A38="","",'净值数据(iFinD公式)'!A38)</f>
        <v/>
      </c>
      <c r="B39" s="62" t="str">
        <f>IF(OR('净值数据(iFinD公式)'!$A38="",'净值数据(iFinD公式)'!$B38=""),"",SUMPRODUCT(持仓配置!$B$4:$N$4,'净值数据(iFinD公式)'!$B38:$N38/'净值数据(iFinD公式)'!$B$5:$N$5)*(1-持仓配置!$P$4)^((ROW()-6)/说明!$C$17))</f>
        <v/>
      </c>
      <c r="C39" s="9" t="str">
        <f t="shared" ref="C39:C60" si="4">IF(OR(B39="",B38=""),"",B39/B38-1)</f>
        <v/>
      </c>
      <c r="D39" s="9" t="str">
        <f>IF(B39="","",B39/MAX(B$6:B39)-1)</f>
        <v/>
      </c>
      <c r="E39" s="62" t="str">
        <f>IF(OR('净值数据(iFinD公式)'!$A38="",'净值数据(iFinD公式)'!$B38=""),"",SUMPRODUCT(持仓配置!$B$5:$N$5,'净值数据(iFinD公式)'!$B38:$N38/'净值数据(iFinD公式)'!$B$5:$N$5)*(1-持仓配置!$P$5)^((ROW()-6)/说明!$C$17))</f>
        <v/>
      </c>
      <c r="F39" s="9" t="str">
        <f t="shared" ref="F39:F60" si="5">IF(OR(E39="",E38=""),"",E39/E38-1)</f>
        <v/>
      </c>
      <c r="G39" s="9" t="str">
        <f>IF(E39="","",E39/MAX(E$6:E39)-1)</f>
        <v/>
      </c>
      <c r="H39" s="62" t="str">
        <f>IF(OR('净值数据(iFinD公式)'!$A38="",'净值数据(iFinD公式)'!$B38=""),"",SUMPRODUCT(持仓配置!$B$6:$N$6,'净值数据(iFinD公式)'!$B38:$N38/'净值数据(iFinD公式)'!$B$5:$N$5)*(1-持仓配置!$P$6)^((ROW()-6)/说明!$C$17))</f>
        <v/>
      </c>
      <c r="I39" s="9" t="str">
        <f t="shared" ref="I39:I60" si="6">IF(OR(H39="",H38=""),"",H39/H38-1)</f>
        <v/>
      </c>
      <c r="J39" s="9" t="str">
        <f>IF(H39="","",H39/MAX(H$6:H39)-1)</f>
        <v/>
      </c>
      <c r="K39" s="62" t="str">
        <f>IF(OR('净值数据(iFinD公式)'!$A38="",'净值数据(iFinD公式)'!$B38=""),"",SUMPRODUCT(持仓配置!$B$7:$N$7,'净值数据(iFinD公式)'!$B38:$N38/'净值数据(iFinD公式)'!$B$5:$N$5)*(1-持仓配置!$P$7)^((ROW()-6)/说明!$C$17))</f>
        <v/>
      </c>
      <c r="L39" s="9" t="str">
        <f t="shared" ref="L39:L60" si="7">IF(OR(K39="",K38=""),"",K39/K38-1)</f>
        <v/>
      </c>
      <c r="M39" s="9" t="str">
        <f>IF(K39="","",K39/MAX(K$6:K39)-1)</f>
        <v/>
      </c>
    </row>
    <row r="40" spans="1:13" x14ac:dyDescent="0.25">
      <c r="A40" s="66" t="str">
        <f>IF('净值数据(iFinD公式)'!A39="","",'净值数据(iFinD公式)'!A39)</f>
        <v/>
      </c>
      <c r="B40" s="62" t="str">
        <f>IF(OR('净值数据(iFinD公式)'!$A39="",'净值数据(iFinD公式)'!$B39=""),"",SUMPRODUCT(持仓配置!$B$4:$N$4,'净值数据(iFinD公式)'!$B39:$N39/'净值数据(iFinD公式)'!$B$5:$N$5)*(1-持仓配置!$P$4)^((ROW()-6)/说明!$C$17))</f>
        <v/>
      </c>
      <c r="C40" s="9" t="str">
        <f t="shared" si="4"/>
        <v/>
      </c>
      <c r="D40" s="9" t="str">
        <f>IF(B40="","",B40/MAX(B$6:B40)-1)</f>
        <v/>
      </c>
      <c r="E40" s="62" t="str">
        <f>IF(OR('净值数据(iFinD公式)'!$A39="",'净值数据(iFinD公式)'!$B39=""),"",SUMPRODUCT(持仓配置!$B$5:$N$5,'净值数据(iFinD公式)'!$B39:$N39/'净值数据(iFinD公式)'!$B$5:$N$5)*(1-持仓配置!$P$5)^((ROW()-6)/说明!$C$17))</f>
        <v/>
      </c>
      <c r="F40" s="9" t="str">
        <f t="shared" si="5"/>
        <v/>
      </c>
      <c r="G40" s="9" t="str">
        <f>IF(E40="","",E40/MAX(E$6:E40)-1)</f>
        <v/>
      </c>
      <c r="H40" s="62" t="str">
        <f>IF(OR('净值数据(iFinD公式)'!$A39="",'净值数据(iFinD公式)'!$B39=""),"",SUMPRODUCT(持仓配置!$B$6:$N$6,'净值数据(iFinD公式)'!$B39:$N39/'净值数据(iFinD公式)'!$B$5:$N$5)*(1-持仓配置!$P$6)^((ROW()-6)/说明!$C$17))</f>
        <v/>
      </c>
      <c r="I40" s="9" t="str">
        <f t="shared" si="6"/>
        <v/>
      </c>
      <c r="J40" s="9" t="str">
        <f>IF(H40="","",H40/MAX(H$6:H40)-1)</f>
        <v/>
      </c>
      <c r="K40" s="62" t="str">
        <f>IF(OR('净值数据(iFinD公式)'!$A39="",'净值数据(iFinD公式)'!$B39=""),"",SUMPRODUCT(持仓配置!$B$7:$N$7,'净值数据(iFinD公式)'!$B39:$N39/'净值数据(iFinD公式)'!$B$5:$N$5)*(1-持仓配置!$P$7)^((ROW()-6)/说明!$C$17))</f>
        <v/>
      </c>
      <c r="L40" s="9" t="str">
        <f t="shared" si="7"/>
        <v/>
      </c>
      <c r="M40" s="9" t="str">
        <f>IF(K40="","",K40/MAX(K$6:K40)-1)</f>
        <v/>
      </c>
    </row>
    <row r="41" spans="1:13" x14ac:dyDescent="0.25">
      <c r="A41" s="66" t="str">
        <f>IF('净值数据(iFinD公式)'!A40="","",'净值数据(iFinD公式)'!A40)</f>
        <v/>
      </c>
      <c r="B41" s="62" t="str">
        <f>IF(OR('净值数据(iFinD公式)'!$A40="",'净值数据(iFinD公式)'!$B40=""),"",SUMPRODUCT(持仓配置!$B$4:$N$4,'净值数据(iFinD公式)'!$B40:$N40/'净值数据(iFinD公式)'!$B$5:$N$5)*(1-持仓配置!$P$4)^((ROW()-6)/说明!$C$17))</f>
        <v/>
      </c>
      <c r="C41" s="9" t="str">
        <f t="shared" si="4"/>
        <v/>
      </c>
      <c r="D41" s="9" t="str">
        <f>IF(B41="","",B41/MAX(B$6:B41)-1)</f>
        <v/>
      </c>
      <c r="E41" s="62" t="str">
        <f>IF(OR('净值数据(iFinD公式)'!$A40="",'净值数据(iFinD公式)'!$B40=""),"",SUMPRODUCT(持仓配置!$B$5:$N$5,'净值数据(iFinD公式)'!$B40:$N40/'净值数据(iFinD公式)'!$B$5:$N$5)*(1-持仓配置!$P$5)^((ROW()-6)/说明!$C$17))</f>
        <v/>
      </c>
      <c r="F41" s="9" t="str">
        <f t="shared" si="5"/>
        <v/>
      </c>
      <c r="G41" s="9" t="str">
        <f>IF(E41="","",E41/MAX(E$6:E41)-1)</f>
        <v/>
      </c>
      <c r="H41" s="62" t="str">
        <f>IF(OR('净值数据(iFinD公式)'!$A40="",'净值数据(iFinD公式)'!$B40=""),"",SUMPRODUCT(持仓配置!$B$6:$N$6,'净值数据(iFinD公式)'!$B40:$N40/'净值数据(iFinD公式)'!$B$5:$N$5)*(1-持仓配置!$P$6)^((ROW()-6)/说明!$C$17))</f>
        <v/>
      </c>
      <c r="I41" s="9" t="str">
        <f t="shared" si="6"/>
        <v/>
      </c>
      <c r="J41" s="9" t="str">
        <f>IF(H41="","",H41/MAX(H$6:H41)-1)</f>
        <v/>
      </c>
      <c r="K41" s="62" t="str">
        <f>IF(OR('净值数据(iFinD公式)'!$A40="",'净值数据(iFinD公式)'!$B40=""),"",SUMPRODUCT(持仓配置!$B$7:$N$7,'净值数据(iFinD公式)'!$B40:$N40/'净值数据(iFinD公式)'!$B$5:$N$5)*(1-持仓配置!$P$7)^((ROW()-6)/说明!$C$17))</f>
        <v/>
      </c>
      <c r="L41" s="9" t="str">
        <f t="shared" si="7"/>
        <v/>
      </c>
      <c r="M41" s="9" t="str">
        <f>IF(K41="","",K41/MAX(K$6:K41)-1)</f>
        <v/>
      </c>
    </row>
    <row r="42" spans="1:13" x14ac:dyDescent="0.25">
      <c r="A42" s="66" t="str">
        <f>IF('净值数据(iFinD公式)'!A41="","",'净值数据(iFinD公式)'!A41)</f>
        <v/>
      </c>
      <c r="B42" s="62" t="str">
        <f>IF(OR('净值数据(iFinD公式)'!$A41="",'净值数据(iFinD公式)'!$B41=""),"",SUMPRODUCT(持仓配置!$B$4:$N$4,'净值数据(iFinD公式)'!$B41:$N41/'净值数据(iFinD公式)'!$B$5:$N$5)*(1-持仓配置!$P$4)^((ROW()-6)/说明!$C$17))</f>
        <v/>
      </c>
      <c r="C42" s="9" t="str">
        <f t="shared" si="4"/>
        <v/>
      </c>
      <c r="D42" s="9" t="str">
        <f>IF(B42="","",B42/MAX(B$6:B42)-1)</f>
        <v/>
      </c>
      <c r="E42" s="62" t="str">
        <f>IF(OR('净值数据(iFinD公式)'!$A41="",'净值数据(iFinD公式)'!$B41=""),"",SUMPRODUCT(持仓配置!$B$5:$N$5,'净值数据(iFinD公式)'!$B41:$N41/'净值数据(iFinD公式)'!$B$5:$N$5)*(1-持仓配置!$P$5)^((ROW()-6)/说明!$C$17))</f>
        <v/>
      </c>
      <c r="F42" s="9" t="str">
        <f t="shared" si="5"/>
        <v/>
      </c>
      <c r="G42" s="9" t="str">
        <f>IF(E42="","",E42/MAX(E$6:E42)-1)</f>
        <v/>
      </c>
      <c r="H42" s="62" t="str">
        <f>IF(OR('净值数据(iFinD公式)'!$A41="",'净值数据(iFinD公式)'!$B41=""),"",SUMPRODUCT(持仓配置!$B$6:$N$6,'净值数据(iFinD公式)'!$B41:$N41/'净值数据(iFinD公式)'!$B$5:$N$5)*(1-持仓配置!$P$6)^((ROW()-6)/说明!$C$17))</f>
        <v/>
      </c>
      <c r="I42" s="9" t="str">
        <f t="shared" si="6"/>
        <v/>
      </c>
      <c r="J42" s="9" t="str">
        <f>IF(H42="","",H42/MAX(H$6:H42)-1)</f>
        <v/>
      </c>
      <c r="K42" s="62" t="str">
        <f>IF(OR('净值数据(iFinD公式)'!$A41="",'净值数据(iFinD公式)'!$B41=""),"",SUMPRODUCT(持仓配置!$B$7:$N$7,'净值数据(iFinD公式)'!$B41:$N41/'净值数据(iFinD公式)'!$B$5:$N$5)*(1-持仓配置!$P$7)^((ROW()-6)/说明!$C$17))</f>
        <v/>
      </c>
      <c r="L42" s="9" t="str">
        <f t="shared" si="7"/>
        <v/>
      </c>
      <c r="M42" s="9" t="str">
        <f>IF(K42="","",K42/MAX(K$6:K42)-1)</f>
        <v/>
      </c>
    </row>
    <row r="43" spans="1:13" x14ac:dyDescent="0.25">
      <c r="A43" s="66" t="str">
        <f>IF('净值数据(iFinD公式)'!A42="","",'净值数据(iFinD公式)'!A42)</f>
        <v/>
      </c>
      <c r="B43" s="62" t="str">
        <f>IF(OR('净值数据(iFinD公式)'!$A42="",'净值数据(iFinD公式)'!$B42=""),"",SUMPRODUCT(持仓配置!$B$4:$N$4,'净值数据(iFinD公式)'!$B42:$N42/'净值数据(iFinD公式)'!$B$5:$N$5)*(1-持仓配置!$P$4)^((ROW()-6)/说明!$C$17))</f>
        <v/>
      </c>
      <c r="C43" s="9" t="str">
        <f t="shared" si="4"/>
        <v/>
      </c>
      <c r="D43" s="9" t="str">
        <f>IF(B43="","",B43/MAX(B$6:B43)-1)</f>
        <v/>
      </c>
      <c r="E43" s="62" t="str">
        <f>IF(OR('净值数据(iFinD公式)'!$A42="",'净值数据(iFinD公式)'!$B42=""),"",SUMPRODUCT(持仓配置!$B$5:$N$5,'净值数据(iFinD公式)'!$B42:$N42/'净值数据(iFinD公式)'!$B$5:$N$5)*(1-持仓配置!$P$5)^((ROW()-6)/说明!$C$17))</f>
        <v/>
      </c>
      <c r="F43" s="9" t="str">
        <f t="shared" si="5"/>
        <v/>
      </c>
      <c r="G43" s="9" t="str">
        <f>IF(E43="","",E43/MAX(E$6:E43)-1)</f>
        <v/>
      </c>
      <c r="H43" s="62" t="str">
        <f>IF(OR('净值数据(iFinD公式)'!$A42="",'净值数据(iFinD公式)'!$B42=""),"",SUMPRODUCT(持仓配置!$B$6:$N$6,'净值数据(iFinD公式)'!$B42:$N42/'净值数据(iFinD公式)'!$B$5:$N$5)*(1-持仓配置!$P$6)^((ROW()-6)/说明!$C$17))</f>
        <v/>
      </c>
      <c r="I43" s="9" t="str">
        <f t="shared" si="6"/>
        <v/>
      </c>
      <c r="J43" s="9" t="str">
        <f>IF(H43="","",H43/MAX(H$6:H43)-1)</f>
        <v/>
      </c>
      <c r="K43" s="62" t="str">
        <f>IF(OR('净值数据(iFinD公式)'!$A42="",'净值数据(iFinD公式)'!$B42=""),"",SUMPRODUCT(持仓配置!$B$7:$N$7,'净值数据(iFinD公式)'!$B42:$N42/'净值数据(iFinD公式)'!$B$5:$N$5)*(1-持仓配置!$P$7)^((ROW()-6)/说明!$C$17))</f>
        <v/>
      </c>
      <c r="L43" s="9" t="str">
        <f t="shared" si="7"/>
        <v/>
      </c>
      <c r="M43" s="9" t="str">
        <f>IF(K43="","",K43/MAX(K$6:K43)-1)</f>
        <v/>
      </c>
    </row>
    <row r="44" spans="1:13" x14ac:dyDescent="0.25">
      <c r="A44" s="66" t="str">
        <f>IF('净值数据(iFinD公式)'!A43="","",'净值数据(iFinD公式)'!A43)</f>
        <v/>
      </c>
      <c r="B44" s="62" t="str">
        <f>IF(OR('净值数据(iFinD公式)'!$A43="",'净值数据(iFinD公式)'!$B43=""),"",SUMPRODUCT(持仓配置!$B$4:$N$4,'净值数据(iFinD公式)'!$B43:$N43/'净值数据(iFinD公式)'!$B$5:$N$5)*(1-持仓配置!$P$4)^((ROW()-6)/说明!$C$17))</f>
        <v/>
      </c>
      <c r="C44" s="9" t="str">
        <f t="shared" si="4"/>
        <v/>
      </c>
      <c r="D44" s="9" t="str">
        <f>IF(B44="","",B44/MAX(B$6:B44)-1)</f>
        <v/>
      </c>
      <c r="E44" s="62" t="str">
        <f>IF(OR('净值数据(iFinD公式)'!$A43="",'净值数据(iFinD公式)'!$B43=""),"",SUMPRODUCT(持仓配置!$B$5:$N$5,'净值数据(iFinD公式)'!$B43:$N43/'净值数据(iFinD公式)'!$B$5:$N$5)*(1-持仓配置!$P$5)^((ROW()-6)/说明!$C$17))</f>
        <v/>
      </c>
      <c r="F44" s="9" t="str">
        <f t="shared" si="5"/>
        <v/>
      </c>
      <c r="G44" s="9" t="str">
        <f>IF(E44="","",E44/MAX(E$6:E44)-1)</f>
        <v/>
      </c>
      <c r="H44" s="62" t="str">
        <f>IF(OR('净值数据(iFinD公式)'!$A43="",'净值数据(iFinD公式)'!$B43=""),"",SUMPRODUCT(持仓配置!$B$6:$N$6,'净值数据(iFinD公式)'!$B43:$N43/'净值数据(iFinD公式)'!$B$5:$N$5)*(1-持仓配置!$P$6)^((ROW()-6)/说明!$C$17))</f>
        <v/>
      </c>
      <c r="I44" s="9" t="str">
        <f t="shared" si="6"/>
        <v/>
      </c>
      <c r="J44" s="9" t="str">
        <f>IF(H44="","",H44/MAX(H$6:H44)-1)</f>
        <v/>
      </c>
      <c r="K44" s="62" t="str">
        <f>IF(OR('净值数据(iFinD公式)'!$A43="",'净值数据(iFinD公式)'!$B43=""),"",SUMPRODUCT(持仓配置!$B$7:$N$7,'净值数据(iFinD公式)'!$B43:$N43/'净值数据(iFinD公式)'!$B$5:$N$5)*(1-持仓配置!$P$7)^((ROW()-6)/说明!$C$17))</f>
        <v/>
      </c>
      <c r="L44" s="9" t="str">
        <f t="shared" si="7"/>
        <v/>
      </c>
      <c r="M44" s="9" t="str">
        <f>IF(K44="","",K44/MAX(K$6:K44)-1)</f>
        <v/>
      </c>
    </row>
    <row r="45" spans="1:13" x14ac:dyDescent="0.25">
      <c r="A45" s="66" t="str">
        <f>IF('净值数据(iFinD公式)'!A44="","",'净值数据(iFinD公式)'!A44)</f>
        <v/>
      </c>
      <c r="B45" s="62" t="str">
        <f>IF(OR('净值数据(iFinD公式)'!$A44="",'净值数据(iFinD公式)'!$B44=""),"",SUMPRODUCT(持仓配置!$B$4:$N$4,'净值数据(iFinD公式)'!$B44:$N44/'净值数据(iFinD公式)'!$B$5:$N$5)*(1-持仓配置!$P$4)^((ROW()-6)/说明!$C$17))</f>
        <v/>
      </c>
      <c r="C45" s="9" t="str">
        <f t="shared" si="4"/>
        <v/>
      </c>
      <c r="D45" s="9" t="str">
        <f>IF(B45="","",B45/MAX(B$6:B45)-1)</f>
        <v/>
      </c>
      <c r="E45" s="62" t="str">
        <f>IF(OR('净值数据(iFinD公式)'!$A44="",'净值数据(iFinD公式)'!$B44=""),"",SUMPRODUCT(持仓配置!$B$5:$N$5,'净值数据(iFinD公式)'!$B44:$N44/'净值数据(iFinD公式)'!$B$5:$N$5)*(1-持仓配置!$P$5)^((ROW()-6)/说明!$C$17))</f>
        <v/>
      </c>
      <c r="F45" s="9" t="str">
        <f t="shared" si="5"/>
        <v/>
      </c>
      <c r="G45" s="9" t="str">
        <f>IF(E45="","",E45/MAX(E$6:E45)-1)</f>
        <v/>
      </c>
      <c r="H45" s="62" t="str">
        <f>IF(OR('净值数据(iFinD公式)'!$A44="",'净值数据(iFinD公式)'!$B44=""),"",SUMPRODUCT(持仓配置!$B$6:$N$6,'净值数据(iFinD公式)'!$B44:$N44/'净值数据(iFinD公式)'!$B$5:$N$5)*(1-持仓配置!$P$6)^((ROW()-6)/说明!$C$17))</f>
        <v/>
      </c>
      <c r="I45" s="9" t="str">
        <f t="shared" si="6"/>
        <v/>
      </c>
      <c r="J45" s="9" t="str">
        <f>IF(H45="","",H45/MAX(H$6:H45)-1)</f>
        <v/>
      </c>
      <c r="K45" s="62" t="str">
        <f>IF(OR('净值数据(iFinD公式)'!$A44="",'净值数据(iFinD公式)'!$B44=""),"",SUMPRODUCT(持仓配置!$B$7:$N$7,'净值数据(iFinD公式)'!$B44:$N44/'净值数据(iFinD公式)'!$B$5:$N$5)*(1-持仓配置!$P$7)^((ROW()-6)/说明!$C$17))</f>
        <v/>
      </c>
      <c r="L45" s="9" t="str">
        <f t="shared" si="7"/>
        <v/>
      </c>
      <c r="M45" s="9" t="str">
        <f>IF(K45="","",K45/MAX(K$6:K45)-1)</f>
        <v/>
      </c>
    </row>
    <row r="46" spans="1:13" x14ac:dyDescent="0.25">
      <c r="A46" s="66" t="str">
        <f>IF('净值数据(iFinD公式)'!A45="","",'净值数据(iFinD公式)'!A45)</f>
        <v/>
      </c>
      <c r="B46" s="62" t="str">
        <f>IF(OR('净值数据(iFinD公式)'!$A45="",'净值数据(iFinD公式)'!$B45=""),"",SUMPRODUCT(持仓配置!$B$4:$N$4,'净值数据(iFinD公式)'!$B45:$N45/'净值数据(iFinD公式)'!$B$5:$N$5)*(1-持仓配置!$P$4)^((ROW()-6)/说明!$C$17))</f>
        <v/>
      </c>
      <c r="C46" s="9" t="str">
        <f t="shared" si="4"/>
        <v/>
      </c>
      <c r="D46" s="9" t="str">
        <f>IF(B46="","",B46/MAX(B$6:B46)-1)</f>
        <v/>
      </c>
      <c r="E46" s="62" t="str">
        <f>IF(OR('净值数据(iFinD公式)'!$A45="",'净值数据(iFinD公式)'!$B45=""),"",SUMPRODUCT(持仓配置!$B$5:$N$5,'净值数据(iFinD公式)'!$B45:$N45/'净值数据(iFinD公式)'!$B$5:$N$5)*(1-持仓配置!$P$5)^((ROW()-6)/说明!$C$17))</f>
        <v/>
      </c>
      <c r="F46" s="9" t="str">
        <f t="shared" si="5"/>
        <v/>
      </c>
      <c r="G46" s="9" t="str">
        <f>IF(E46="","",E46/MAX(E$6:E46)-1)</f>
        <v/>
      </c>
      <c r="H46" s="62" t="str">
        <f>IF(OR('净值数据(iFinD公式)'!$A45="",'净值数据(iFinD公式)'!$B45=""),"",SUMPRODUCT(持仓配置!$B$6:$N$6,'净值数据(iFinD公式)'!$B45:$N45/'净值数据(iFinD公式)'!$B$5:$N$5)*(1-持仓配置!$P$6)^((ROW()-6)/说明!$C$17))</f>
        <v/>
      </c>
      <c r="I46" s="9" t="str">
        <f t="shared" si="6"/>
        <v/>
      </c>
      <c r="J46" s="9" t="str">
        <f>IF(H46="","",H46/MAX(H$6:H46)-1)</f>
        <v/>
      </c>
      <c r="K46" s="62" t="str">
        <f>IF(OR('净值数据(iFinD公式)'!$A45="",'净值数据(iFinD公式)'!$B45=""),"",SUMPRODUCT(持仓配置!$B$7:$N$7,'净值数据(iFinD公式)'!$B45:$N45/'净值数据(iFinD公式)'!$B$5:$N$5)*(1-持仓配置!$P$7)^((ROW()-6)/说明!$C$17))</f>
        <v/>
      </c>
      <c r="L46" s="9" t="str">
        <f t="shared" si="7"/>
        <v/>
      </c>
      <c r="M46" s="9" t="str">
        <f>IF(K46="","",K46/MAX(K$6:K46)-1)</f>
        <v/>
      </c>
    </row>
    <row r="47" spans="1:13" x14ac:dyDescent="0.25">
      <c r="A47" s="66" t="str">
        <f>IF('净值数据(iFinD公式)'!A46="","",'净值数据(iFinD公式)'!A46)</f>
        <v/>
      </c>
      <c r="B47" s="62" t="str">
        <f>IF(OR('净值数据(iFinD公式)'!$A46="",'净值数据(iFinD公式)'!$B46=""),"",SUMPRODUCT(持仓配置!$B$4:$N$4,'净值数据(iFinD公式)'!$B46:$N46/'净值数据(iFinD公式)'!$B$5:$N$5)*(1-持仓配置!$P$4)^((ROW()-6)/说明!$C$17))</f>
        <v/>
      </c>
      <c r="C47" s="9" t="str">
        <f t="shared" si="4"/>
        <v/>
      </c>
      <c r="D47" s="9" t="str">
        <f>IF(B47="","",B47/MAX(B$6:B47)-1)</f>
        <v/>
      </c>
      <c r="E47" s="62" t="str">
        <f>IF(OR('净值数据(iFinD公式)'!$A46="",'净值数据(iFinD公式)'!$B46=""),"",SUMPRODUCT(持仓配置!$B$5:$N$5,'净值数据(iFinD公式)'!$B46:$N46/'净值数据(iFinD公式)'!$B$5:$N$5)*(1-持仓配置!$P$5)^((ROW()-6)/说明!$C$17))</f>
        <v/>
      </c>
      <c r="F47" s="9" t="str">
        <f t="shared" si="5"/>
        <v/>
      </c>
      <c r="G47" s="9" t="str">
        <f>IF(E47="","",E47/MAX(E$6:E47)-1)</f>
        <v/>
      </c>
      <c r="H47" s="62" t="str">
        <f>IF(OR('净值数据(iFinD公式)'!$A46="",'净值数据(iFinD公式)'!$B46=""),"",SUMPRODUCT(持仓配置!$B$6:$N$6,'净值数据(iFinD公式)'!$B46:$N46/'净值数据(iFinD公式)'!$B$5:$N$5)*(1-持仓配置!$P$6)^((ROW()-6)/说明!$C$17))</f>
        <v/>
      </c>
      <c r="I47" s="9" t="str">
        <f t="shared" si="6"/>
        <v/>
      </c>
      <c r="J47" s="9" t="str">
        <f>IF(H47="","",H47/MAX(H$6:H47)-1)</f>
        <v/>
      </c>
      <c r="K47" s="62" t="str">
        <f>IF(OR('净值数据(iFinD公式)'!$A46="",'净值数据(iFinD公式)'!$B46=""),"",SUMPRODUCT(持仓配置!$B$7:$N$7,'净值数据(iFinD公式)'!$B46:$N46/'净值数据(iFinD公式)'!$B$5:$N$5)*(1-持仓配置!$P$7)^((ROW()-6)/说明!$C$17))</f>
        <v/>
      </c>
      <c r="L47" s="9" t="str">
        <f t="shared" si="7"/>
        <v/>
      </c>
      <c r="M47" s="9" t="str">
        <f>IF(K47="","",K47/MAX(K$6:K47)-1)</f>
        <v/>
      </c>
    </row>
    <row r="48" spans="1:13" x14ac:dyDescent="0.25">
      <c r="A48" s="66" t="str">
        <f>IF('净值数据(iFinD公式)'!A47="","",'净值数据(iFinD公式)'!A47)</f>
        <v/>
      </c>
      <c r="B48" s="62" t="str">
        <f>IF(OR('净值数据(iFinD公式)'!$A47="",'净值数据(iFinD公式)'!$B47=""),"",SUMPRODUCT(持仓配置!$B$4:$N$4,'净值数据(iFinD公式)'!$B47:$N47/'净值数据(iFinD公式)'!$B$5:$N$5)*(1-持仓配置!$P$4)^((ROW()-6)/说明!$C$17))</f>
        <v/>
      </c>
      <c r="C48" s="9" t="str">
        <f t="shared" si="4"/>
        <v/>
      </c>
      <c r="D48" s="9" t="str">
        <f>IF(B48="","",B48/MAX(B$6:B48)-1)</f>
        <v/>
      </c>
      <c r="E48" s="62" t="str">
        <f>IF(OR('净值数据(iFinD公式)'!$A47="",'净值数据(iFinD公式)'!$B47=""),"",SUMPRODUCT(持仓配置!$B$5:$N$5,'净值数据(iFinD公式)'!$B47:$N47/'净值数据(iFinD公式)'!$B$5:$N$5)*(1-持仓配置!$P$5)^((ROW()-6)/说明!$C$17))</f>
        <v/>
      </c>
      <c r="F48" s="9" t="str">
        <f t="shared" si="5"/>
        <v/>
      </c>
      <c r="G48" s="9" t="str">
        <f>IF(E48="","",E48/MAX(E$6:E48)-1)</f>
        <v/>
      </c>
      <c r="H48" s="62" t="str">
        <f>IF(OR('净值数据(iFinD公式)'!$A47="",'净值数据(iFinD公式)'!$B47=""),"",SUMPRODUCT(持仓配置!$B$6:$N$6,'净值数据(iFinD公式)'!$B47:$N47/'净值数据(iFinD公式)'!$B$5:$N$5)*(1-持仓配置!$P$6)^((ROW()-6)/说明!$C$17))</f>
        <v/>
      </c>
      <c r="I48" s="9" t="str">
        <f t="shared" si="6"/>
        <v/>
      </c>
      <c r="J48" s="9" t="str">
        <f>IF(H48="","",H48/MAX(H$6:H48)-1)</f>
        <v/>
      </c>
      <c r="K48" s="62" t="str">
        <f>IF(OR('净值数据(iFinD公式)'!$A47="",'净值数据(iFinD公式)'!$B47=""),"",SUMPRODUCT(持仓配置!$B$7:$N$7,'净值数据(iFinD公式)'!$B47:$N47/'净值数据(iFinD公式)'!$B$5:$N$5)*(1-持仓配置!$P$7)^((ROW()-6)/说明!$C$17))</f>
        <v/>
      </c>
      <c r="L48" s="9" t="str">
        <f t="shared" si="7"/>
        <v/>
      </c>
      <c r="M48" s="9" t="str">
        <f>IF(K48="","",K48/MAX(K$6:K48)-1)</f>
        <v/>
      </c>
    </row>
    <row r="49" spans="1:13" x14ac:dyDescent="0.25">
      <c r="A49" s="66" t="str">
        <f>IF('净值数据(iFinD公式)'!A48="","",'净值数据(iFinD公式)'!A48)</f>
        <v/>
      </c>
      <c r="B49" s="62" t="str">
        <f>IF(OR('净值数据(iFinD公式)'!$A48="",'净值数据(iFinD公式)'!$B48=""),"",SUMPRODUCT(持仓配置!$B$4:$N$4,'净值数据(iFinD公式)'!$B48:$N48/'净值数据(iFinD公式)'!$B$5:$N$5)*(1-持仓配置!$P$4)^((ROW()-6)/说明!$C$17))</f>
        <v/>
      </c>
      <c r="C49" s="9" t="str">
        <f t="shared" si="4"/>
        <v/>
      </c>
      <c r="D49" s="9" t="str">
        <f>IF(B49="","",B49/MAX(B$6:B49)-1)</f>
        <v/>
      </c>
      <c r="E49" s="62" t="str">
        <f>IF(OR('净值数据(iFinD公式)'!$A48="",'净值数据(iFinD公式)'!$B48=""),"",SUMPRODUCT(持仓配置!$B$5:$N$5,'净值数据(iFinD公式)'!$B48:$N48/'净值数据(iFinD公式)'!$B$5:$N$5)*(1-持仓配置!$P$5)^((ROW()-6)/说明!$C$17))</f>
        <v/>
      </c>
      <c r="F49" s="9" t="str">
        <f t="shared" si="5"/>
        <v/>
      </c>
      <c r="G49" s="9" t="str">
        <f>IF(E49="","",E49/MAX(E$6:E49)-1)</f>
        <v/>
      </c>
      <c r="H49" s="62" t="str">
        <f>IF(OR('净值数据(iFinD公式)'!$A48="",'净值数据(iFinD公式)'!$B48=""),"",SUMPRODUCT(持仓配置!$B$6:$N$6,'净值数据(iFinD公式)'!$B48:$N48/'净值数据(iFinD公式)'!$B$5:$N$5)*(1-持仓配置!$P$6)^((ROW()-6)/说明!$C$17))</f>
        <v/>
      </c>
      <c r="I49" s="9" t="str">
        <f t="shared" si="6"/>
        <v/>
      </c>
      <c r="J49" s="9" t="str">
        <f>IF(H49="","",H49/MAX(H$6:H49)-1)</f>
        <v/>
      </c>
      <c r="K49" s="62" t="str">
        <f>IF(OR('净值数据(iFinD公式)'!$A48="",'净值数据(iFinD公式)'!$B48=""),"",SUMPRODUCT(持仓配置!$B$7:$N$7,'净值数据(iFinD公式)'!$B48:$N48/'净值数据(iFinD公式)'!$B$5:$N$5)*(1-持仓配置!$P$7)^((ROW()-6)/说明!$C$17))</f>
        <v/>
      </c>
      <c r="L49" s="9" t="str">
        <f t="shared" si="7"/>
        <v/>
      </c>
      <c r="M49" s="9" t="str">
        <f>IF(K49="","",K49/MAX(K$6:K49)-1)</f>
        <v/>
      </c>
    </row>
    <row r="50" spans="1:13" x14ac:dyDescent="0.25">
      <c r="A50" s="66" t="str">
        <f>IF('净值数据(iFinD公式)'!A49="","",'净值数据(iFinD公式)'!A49)</f>
        <v/>
      </c>
      <c r="B50" s="62" t="str">
        <f>IF(OR('净值数据(iFinD公式)'!$A49="",'净值数据(iFinD公式)'!$B49=""),"",SUMPRODUCT(持仓配置!$B$4:$N$4,'净值数据(iFinD公式)'!$B49:$N49/'净值数据(iFinD公式)'!$B$5:$N$5)*(1-持仓配置!$P$4)^((ROW()-6)/说明!$C$17))</f>
        <v/>
      </c>
      <c r="C50" s="9" t="str">
        <f t="shared" si="4"/>
        <v/>
      </c>
      <c r="D50" s="9" t="str">
        <f>IF(B50="","",B50/MAX(B$6:B50)-1)</f>
        <v/>
      </c>
      <c r="E50" s="62" t="str">
        <f>IF(OR('净值数据(iFinD公式)'!$A49="",'净值数据(iFinD公式)'!$B49=""),"",SUMPRODUCT(持仓配置!$B$5:$N$5,'净值数据(iFinD公式)'!$B49:$N49/'净值数据(iFinD公式)'!$B$5:$N$5)*(1-持仓配置!$P$5)^((ROW()-6)/说明!$C$17))</f>
        <v/>
      </c>
      <c r="F50" s="9" t="str">
        <f t="shared" si="5"/>
        <v/>
      </c>
      <c r="G50" s="9" t="str">
        <f>IF(E50="","",E50/MAX(E$6:E50)-1)</f>
        <v/>
      </c>
      <c r="H50" s="62" t="str">
        <f>IF(OR('净值数据(iFinD公式)'!$A49="",'净值数据(iFinD公式)'!$B49=""),"",SUMPRODUCT(持仓配置!$B$6:$N$6,'净值数据(iFinD公式)'!$B49:$N49/'净值数据(iFinD公式)'!$B$5:$N$5)*(1-持仓配置!$P$6)^((ROW()-6)/说明!$C$17))</f>
        <v/>
      </c>
      <c r="I50" s="9" t="str">
        <f t="shared" si="6"/>
        <v/>
      </c>
      <c r="J50" s="9" t="str">
        <f>IF(H50="","",H50/MAX(H$6:H50)-1)</f>
        <v/>
      </c>
      <c r="K50" s="62" t="str">
        <f>IF(OR('净值数据(iFinD公式)'!$A49="",'净值数据(iFinD公式)'!$B49=""),"",SUMPRODUCT(持仓配置!$B$7:$N$7,'净值数据(iFinD公式)'!$B49:$N49/'净值数据(iFinD公式)'!$B$5:$N$5)*(1-持仓配置!$P$7)^((ROW()-6)/说明!$C$17))</f>
        <v/>
      </c>
      <c r="L50" s="9" t="str">
        <f t="shared" si="7"/>
        <v/>
      </c>
      <c r="M50" s="9" t="str">
        <f>IF(K50="","",K50/MAX(K$6:K50)-1)</f>
        <v/>
      </c>
    </row>
    <row r="51" spans="1:13" x14ac:dyDescent="0.25">
      <c r="A51" s="66" t="str">
        <f>IF('净值数据(iFinD公式)'!A50="","",'净值数据(iFinD公式)'!A50)</f>
        <v/>
      </c>
      <c r="B51" s="62" t="str">
        <f>IF(OR('净值数据(iFinD公式)'!$A50="",'净值数据(iFinD公式)'!$B50=""),"",SUMPRODUCT(持仓配置!$B$4:$N$4,'净值数据(iFinD公式)'!$B50:$N50/'净值数据(iFinD公式)'!$B$5:$N$5)*(1-持仓配置!$P$4)^((ROW()-6)/说明!$C$17))</f>
        <v/>
      </c>
      <c r="C51" s="9" t="str">
        <f t="shared" si="4"/>
        <v/>
      </c>
      <c r="D51" s="9" t="str">
        <f>IF(B51="","",B51/MAX(B$6:B51)-1)</f>
        <v/>
      </c>
      <c r="E51" s="62" t="str">
        <f>IF(OR('净值数据(iFinD公式)'!$A50="",'净值数据(iFinD公式)'!$B50=""),"",SUMPRODUCT(持仓配置!$B$5:$N$5,'净值数据(iFinD公式)'!$B50:$N50/'净值数据(iFinD公式)'!$B$5:$N$5)*(1-持仓配置!$P$5)^((ROW()-6)/说明!$C$17))</f>
        <v/>
      </c>
      <c r="F51" s="9" t="str">
        <f t="shared" si="5"/>
        <v/>
      </c>
      <c r="G51" s="9" t="str">
        <f>IF(E51="","",E51/MAX(E$6:E51)-1)</f>
        <v/>
      </c>
      <c r="H51" s="62" t="str">
        <f>IF(OR('净值数据(iFinD公式)'!$A50="",'净值数据(iFinD公式)'!$B50=""),"",SUMPRODUCT(持仓配置!$B$6:$N$6,'净值数据(iFinD公式)'!$B50:$N50/'净值数据(iFinD公式)'!$B$5:$N$5)*(1-持仓配置!$P$6)^((ROW()-6)/说明!$C$17))</f>
        <v/>
      </c>
      <c r="I51" s="9" t="str">
        <f t="shared" si="6"/>
        <v/>
      </c>
      <c r="J51" s="9" t="str">
        <f>IF(H51="","",H51/MAX(H$6:H51)-1)</f>
        <v/>
      </c>
      <c r="K51" s="62" t="str">
        <f>IF(OR('净值数据(iFinD公式)'!$A50="",'净值数据(iFinD公式)'!$B50=""),"",SUMPRODUCT(持仓配置!$B$7:$N$7,'净值数据(iFinD公式)'!$B50:$N50/'净值数据(iFinD公式)'!$B$5:$N$5)*(1-持仓配置!$P$7)^((ROW()-6)/说明!$C$17))</f>
        <v/>
      </c>
      <c r="L51" s="9" t="str">
        <f t="shared" si="7"/>
        <v/>
      </c>
      <c r="M51" s="9" t="str">
        <f>IF(K51="","",K51/MAX(K$6:K51)-1)</f>
        <v/>
      </c>
    </row>
    <row r="52" spans="1:13" x14ac:dyDescent="0.25">
      <c r="A52" s="66" t="str">
        <f>IF('净值数据(iFinD公式)'!A51="","",'净值数据(iFinD公式)'!A51)</f>
        <v/>
      </c>
      <c r="B52" s="62" t="str">
        <f>IF(OR('净值数据(iFinD公式)'!$A51="",'净值数据(iFinD公式)'!$B51=""),"",SUMPRODUCT(持仓配置!$B$4:$N$4,'净值数据(iFinD公式)'!$B51:$N51/'净值数据(iFinD公式)'!$B$5:$N$5)*(1-持仓配置!$P$4)^((ROW()-6)/说明!$C$17))</f>
        <v/>
      </c>
      <c r="C52" s="9" t="str">
        <f t="shared" si="4"/>
        <v/>
      </c>
      <c r="D52" s="9" t="str">
        <f>IF(B52="","",B52/MAX(B$6:B52)-1)</f>
        <v/>
      </c>
      <c r="E52" s="62" t="str">
        <f>IF(OR('净值数据(iFinD公式)'!$A51="",'净值数据(iFinD公式)'!$B51=""),"",SUMPRODUCT(持仓配置!$B$5:$N$5,'净值数据(iFinD公式)'!$B51:$N51/'净值数据(iFinD公式)'!$B$5:$N$5)*(1-持仓配置!$P$5)^((ROW()-6)/说明!$C$17))</f>
        <v/>
      </c>
      <c r="F52" s="9" t="str">
        <f t="shared" si="5"/>
        <v/>
      </c>
      <c r="G52" s="9" t="str">
        <f>IF(E52="","",E52/MAX(E$6:E52)-1)</f>
        <v/>
      </c>
      <c r="H52" s="62" t="str">
        <f>IF(OR('净值数据(iFinD公式)'!$A51="",'净值数据(iFinD公式)'!$B51=""),"",SUMPRODUCT(持仓配置!$B$6:$N$6,'净值数据(iFinD公式)'!$B51:$N51/'净值数据(iFinD公式)'!$B$5:$N$5)*(1-持仓配置!$P$6)^((ROW()-6)/说明!$C$17))</f>
        <v/>
      </c>
      <c r="I52" s="9" t="str">
        <f t="shared" si="6"/>
        <v/>
      </c>
      <c r="J52" s="9" t="str">
        <f>IF(H52="","",H52/MAX(H$6:H52)-1)</f>
        <v/>
      </c>
      <c r="K52" s="62" t="str">
        <f>IF(OR('净值数据(iFinD公式)'!$A51="",'净值数据(iFinD公式)'!$B51=""),"",SUMPRODUCT(持仓配置!$B$7:$N$7,'净值数据(iFinD公式)'!$B51:$N51/'净值数据(iFinD公式)'!$B$5:$N$5)*(1-持仓配置!$P$7)^((ROW()-6)/说明!$C$17))</f>
        <v/>
      </c>
      <c r="L52" s="9" t="str">
        <f t="shared" si="7"/>
        <v/>
      </c>
      <c r="M52" s="9" t="str">
        <f>IF(K52="","",K52/MAX(K$6:K52)-1)</f>
        <v/>
      </c>
    </row>
    <row r="53" spans="1:13" x14ac:dyDescent="0.25">
      <c r="A53" s="66" t="str">
        <f>IF('净值数据(iFinD公式)'!A52="","",'净值数据(iFinD公式)'!A52)</f>
        <v/>
      </c>
      <c r="B53" s="62" t="str">
        <f>IF(OR('净值数据(iFinD公式)'!$A52="",'净值数据(iFinD公式)'!$B52=""),"",SUMPRODUCT(持仓配置!$B$4:$N$4,'净值数据(iFinD公式)'!$B52:$N52/'净值数据(iFinD公式)'!$B$5:$N$5)*(1-持仓配置!$P$4)^((ROW()-6)/说明!$C$17))</f>
        <v/>
      </c>
      <c r="C53" s="9" t="str">
        <f t="shared" si="4"/>
        <v/>
      </c>
      <c r="D53" s="9" t="str">
        <f>IF(B53="","",B53/MAX(B$6:B53)-1)</f>
        <v/>
      </c>
      <c r="E53" s="62" t="str">
        <f>IF(OR('净值数据(iFinD公式)'!$A52="",'净值数据(iFinD公式)'!$B52=""),"",SUMPRODUCT(持仓配置!$B$5:$N$5,'净值数据(iFinD公式)'!$B52:$N52/'净值数据(iFinD公式)'!$B$5:$N$5)*(1-持仓配置!$P$5)^((ROW()-6)/说明!$C$17))</f>
        <v/>
      </c>
      <c r="F53" s="9" t="str">
        <f t="shared" si="5"/>
        <v/>
      </c>
      <c r="G53" s="9" t="str">
        <f>IF(E53="","",E53/MAX(E$6:E53)-1)</f>
        <v/>
      </c>
      <c r="H53" s="62" t="str">
        <f>IF(OR('净值数据(iFinD公式)'!$A52="",'净值数据(iFinD公式)'!$B52=""),"",SUMPRODUCT(持仓配置!$B$6:$N$6,'净值数据(iFinD公式)'!$B52:$N52/'净值数据(iFinD公式)'!$B$5:$N$5)*(1-持仓配置!$P$6)^((ROW()-6)/说明!$C$17))</f>
        <v/>
      </c>
      <c r="I53" s="9" t="str">
        <f t="shared" si="6"/>
        <v/>
      </c>
      <c r="J53" s="9" t="str">
        <f>IF(H53="","",H53/MAX(H$6:H53)-1)</f>
        <v/>
      </c>
      <c r="K53" s="62" t="str">
        <f>IF(OR('净值数据(iFinD公式)'!$A52="",'净值数据(iFinD公式)'!$B52=""),"",SUMPRODUCT(持仓配置!$B$7:$N$7,'净值数据(iFinD公式)'!$B52:$N52/'净值数据(iFinD公式)'!$B$5:$N$5)*(1-持仓配置!$P$7)^((ROW()-6)/说明!$C$17))</f>
        <v/>
      </c>
      <c r="L53" s="9" t="str">
        <f t="shared" si="7"/>
        <v/>
      </c>
      <c r="M53" s="9" t="str">
        <f>IF(K53="","",K53/MAX(K$6:K53)-1)</f>
        <v/>
      </c>
    </row>
    <row r="54" spans="1:13" x14ac:dyDescent="0.25">
      <c r="A54" s="66" t="str">
        <f>IF('净值数据(iFinD公式)'!A53="","",'净值数据(iFinD公式)'!A53)</f>
        <v/>
      </c>
      <c r="B54" s="62" t="str">
        <f>IF(OR('净值数据(iFinD公式)'!$A53="",'净值数据(iFinD公式)'!$B53=""),"",SUMPRODUCT(持仓配置!$B$4:$N$4,'净值数据(iFinD公式)'!$B53:$N53/'净值数据(iFinD公式)'!$B$5:$N$5)*(1-持仓配置!$P$4)^((ROW()-6)/说明!$C$17))</f>
        <v/>
      </c>
      <c r="C54" s="9" t="str">
        <f t="shared" si="4"/>
        <v/>
      </c>
      <c r="D54" s="9" t="str">
        <f>IF(B54="","",B54/MAX(B$6:B54)-1)</f>
        <v/>
      </c>
      <c r="E54" s="62" t="str">
        <f>IF(OR('净值数据(iFinD公式)'!$A53="",'净值数据(iFinD公式)'!$B53=""),"",SUMPRODUCT(持仓配置!$B$5:$N$5,'净值数据(iFinD公式)'!$B53:$N53/'净值数据(iFinD公式)'!$B$5:$N$5)*(1-持仓配置!$P$5)^((ROW()-6)/说明!$C$17))</f>
        <v/>
      </c>
      <c r="F54" s="9" t="str">
        <f t="shared" si="5"/>
        <v/>
      </c>
      <c r="G54" s="9" t="str">
        <f>IF(E54="","",E54/MAX(E$6:E54)-1)</f>
        <v/>
      </c>
      <c r="H54" s="62" t="str">
        <f>IF(OR('净值数据(iFinD公式)'!$A53="",'净值数据(iFinD公式)'!$B53=""),"",SUMPRODUCT(持仓配置!$B$6:$N$6,'净值数据(iFinD公式)'!$B53:$N53/'净值数据(iFinD公式)'!$B$5:$N$5)*(1-持仓配置!$P$6)^((ROW()-6)/说明!$C$17))</f>
        <v/>
      </c>
      <c r="I54" s="9" t="str">
        <f t="shared" si="6"/>
        <v/>
      </c>
      <c r="J54" s="9" t="str">
        <f>IF(H54="","",H54/MAX(H$6:H54)-1)</f>
        <v/>
      </c>
      <c r="K54" s="62" t="str">
        <f>IF(OR('净值数据(iFinD公式)'!$A53="",'净值数据(iFinD公式)'!$B53=""),"",SUMPRODUCT(持仓配置!$B$7:$N$7,'净值数据(iFinD公式)'!$B53:$N53/'净值数据(iFinD公式)'!$B$5:$N$5)*(1-持仓配置!$P$7)^((ROW()-6)/说明!$C$17))</f>
        <v/>
      </c>
      <c r="L54" s="9" t="str">
        <f t="shared" si="7"/>
        <v/>
      </c>
      <c r="M54" s="9" t="str">
        <f>IF(K54="","",K54/MAX(K$6:K54)-1)</f>
        <v/>
      </c>
    </row>
    <row r="55" spans="1:13" x14ac:dyDescent="0.25">
      <c r="A55" s="66" t="str">
        <f>IF('净值数据(iFinD公式)'!A54="","",'净值数据(iFinD公式)'!A54)</f>
        <v/>
      </c>
      <c r="B55" s="62" t="str">
        <f>IF(OR('净值数据(iFinD公式)'!$A54="",'净值数据(iFinD公式)'!$B54=""),"",SUMPRODUCT(持仓配置!$B$4:$N$4,'净值数据(iFinD公式)'!$B54:$N54/'净值数据(iFinD公式)'!$B$5:$N$5)*(1-持仓配置!$P$4)^((ROW()-6)/说明!$C$17))</f>
        <v/>
      </c>
      <c r="C55" s="9" t="str">
        <f t="shared" si="4"/>
        <v/>
      </c>
      <c r="D55" s="9" t="str">
        <f>IF(B55="","",B55/MAX(B$6:B55)-1)</f>
        <v/>
      </c>
      <c r="E55" s="62" t="str">
        <f>IF(OR('净值数据(iFinD公式)'!$A54="",'净值数据(iFinD公式)'!$B54=""),"",SUMPRODUCT(持仓配置!$B$5:$N$5,'净值数据(iFinD公式)'!$B54:$N54/'净值数据(iFinD公式)'!$B$5:$N$5)*(1-持仓配置!$P$5)^((ROW()-6)/说明!$C$17))</f>
        <v/>
      </c>
      <c r="F55" s="9" t="str">
        <f t="shared" si="5"/>
        <v/>
      </c>
      <c r="G55" s="9" t="str">
        <f>IF(E55="","",E55/MAX(E$6:E55)-1)</f>
        <v/>
      </c>
      <c r="H55" s="62" t="str">
        <f>IF(OR('净值数据(iFinD公式)'!$A54="",'净值数据(iFinD公式)'!$B54=""),"",SUMPRODUCT(持仓配置!$B$6:$N$6,'净值数据(iFinD公式)'!$B54:$N54/'净值数据(iFinD公式)'!$B$5:$N$5)*(1-持仓配置!$P$6)^((ROW()-6)/说明!$C$17))</f>
        <v/>
      </c>
      <c r="I55" s="9" t="str">
        <f t="shared" si="6"/>
        <v/>
      </c>
      <c r="J55" s="9" t="str">
        <f>IF(H55="","",H55/MAX(H$6:H55)-1)</f>
        <v/>
      </c>
      <c r="K55" s="62" t="str">
        <f>IF(OR('净值数据(iFinD公式)'!$A54="",'净值数据(iFinD公式)'!$B54=""),"",SUMPRODUCT(持仓配置!$B$7:$N$7,'净值数据(iFinD公式)'!$B54:$N54/'净值数据(iFinD公式)'!$B$5:$N$5)*(1-持仓配置!$P$7)^((ROW()-6)/说明!$C$17))</f>
        <v/>
      </c>
      <c r="L55" s="9" t="str">
        <f t="shared" si="7"/>
        <v/>
      </c>
      <c r="M55" s="9" t="str">
        <f>IF(K55="","",K55/MAX(K$6:K55)-1)</f>
        <v/>
      </c>
    </row>
    <row r="56" spans="1:13" x14ac:dyDescent="0.25">
      <c r="A56" s="66" t="str">
        <f>IF('净值数据(iFinD公式)'!A55="","",'净值数据(iFinD公式)'!A55)</f>
        <v/>
      </c>
      <c r="B56" s="62" t="str">
        <f>IF(OR('净值数据(iFinD公式)'!$A55="",'净值数据(iFinD公式)'!$B55=""),"",SUMPRODUCT(持仓配置!$B$4:$N$4,'净值数据(iFinD公式)'!$B55:$N55/'净值数据(iFinD公式)'!$B$5:$N$5)*(1-持仓配置!$P$4)^((ROW()-6)/说明!$C$17))</f>
        <v/>
      </c>
      <c r="C56" s="9" t="str">
        <f t="shared" si="4"/>
        <v/>
      </c>
      <c r="D56" s="9" t="str">
        <f>IF(B56="","",B56/MAX(B$6:B56)-1)</f>
        <v/>
      </c>
      <c r="E56" s="62" t="str">
        <f>IF(OR('净值数据(iFinD公式)'!$A55="",'净值数据(iFinD公式)'!$B55=""),"",SUMPRODUCT(持仓配置!$B$5:$N$5,'净值数据(iFinD公式)'!$B55:$N55/'净值数据(iFinD公式)'!$B$5:$N$5)*(1-持仓配置!$P$5)^((ROW()-6)/说明!$C$17))</f>
        <v/>
      </c>
      <c r="F56" s="9" t="str">
        <f t="shared" si="5"/>
        <v/>
      </c>
      <c r="G56" s="9" t="str">
        <f>IF(E56="","",E56/MAX(E$6:E56)-1)</f>
        <v/>
      </c>
      <c r="H56" s="62" t="str">
        <f>IF(OR('净值数据(iFinD公式)'!$A55="",'净值数据(iFinD公式)'!$B55=""),"",SUMPRODUCT(持仓配置!$B$6:$N$6,'净值数据(iFinD公式)'!$B55:$N55/'净值数据(iFinD公式)'!$B$5:$N$5)*(1-持仓配置!$P$6)^((ROW()-6)/说明!$C$17))</f>
        <v/>
      </c>
      <c r="I56" s="9" t="str">
        <f t="shared" si="6"/>
        <v/>
      </c>
      <c r="J56" s="9" t="str">
        <f>IF(H56="","",H56/MAX(H$6:H56)-1)</f>
        <v/>
      </c>
      <c r="K56" s="62" t="str">
        <f>IF(OR('净值数据(iFinD公式)'!$A55="",'净值数据(iFinD公式)'!$B55=""),"",SUMPRODUCT(持仓配置!$B$7:$N$7,'净值数据(iFinD公式)'!$B55:$N55/'净值数据(iFinD公式)'!$B$5:$N$5)*(1-持仓配置!$P$7)^((ROW()-6)/说明!$C$17))</f>
        <v/>
      </c>
      <c r="L56" s="9" t="str">
        <f t="shared" si="7"/>
        <v/>
      </c>
      <c r="M56" s="9" t="str">
        <f>IF(K56="","",K56/MAX(K$6:K56)-1)</f>
        <v/>
      </c>
    </row>
    <row r="57" spans="1:13" x14ac:dyDescent="0.25">
      <c r="A57" s="66" t="str">
        <f>IF('净值数据(iFinD公式)'!A56="","",'净值数据(iFinD公式)'!A56)</f>
        <v/>
      </c>
      <c r="B57" s="62" t="str">
        <f>IF(OR('净值数据(iFinD公式)'!$A56="",'净值数据(iFinD公式)'!$B56=""),"",SUMPRODUCT(持仓配置!$B$4:$N$4,'净值数据(iFinD公式)'!$B56:$N56/'净值数据(iFinD公式)'!$B$5:$N$5)*(1-持仓配置!$P$4)^((ROW()-6)/说明!$C$17))</f>
        <v/>
      </c>
      <c r="C57" s="9" t="str">
        <f t="shared" si="4"/>
        <v/>
      </c>
      <c r="D57" s="9" t="str">
        <f>IF(B57="","",B57/MAX(B$6:B57)-1)</f>
        <v/>
      </c>
      <c r="E57" s="62" t="str">
        <f>IF(OR('净值数据(iFinD公式)'!$A56="",'净值数据(iFinD公式)'!$B56=""),"",SUMPRODUCT(持仓配置!$B$5:$N$5,'净值数据(iFinD公式)'!$B56:$N56/'净值数据(iFinD公式)'!$B$5:$N$5)*(1-持仓配置!$P$5)^((ROW()-6)/说明!$C$17))</f>
        <v/>
      </c>
      <c r="F57" s="9" t="str">
        <f t="shared" si="5"/>
        <v/>
      </c>
      <c r="G57" s="9" t="str">
        <f>IF(E57="","",E57/MAX(E$6:E57)-1)</f>
        <v/>
      </c>
      <c r="H57" s="62" t="str">
        <f>IF(OR('净值数据(iFinD公式)'!$A56="",'净值数据(iFinD公式)'!$B56=""),"",SUMPRODUCT(持仓配置!$B$6:$N$6,'净值数据(iFinD公式)'!$B56:$N56/'净值数据(iFinD公式)'!$B$5:$N$5)*(1-持仓配置!$P$6)^((ROW()-6)/说明!$C$17))</f>
        <v/>
      </c>
      <c r="I57" s="9" t="str">
        <f t="shared" si="6"/>
        <v/>
      </c>
      <c r="J57" s="9" t="str">
        <f>IF(H57="","",H57/MAX(H$6:H57)-1)</f>
        <v/>
      </c>
      <c r="K57" s="62" t="str">
        <f>IF(OR('净值数据(iFinD公式)'!$A56="",'净值数据(iFinD公式)'!$B56=""),"",SUMPRODUCT(持仓配置!$B$7:$N$7,'净值数据(iFinD公式)'!$B56:$N56/'净值数据(iFinD公式)'!$B$5:$N$5)*(1-持仓配置!$P$7)^((ROW()-6)/说明!$C$17))</f>
        <v/>
      </c>
      <c r="L57" s="9" t="str">
        <f t="shared" si="7"/>
        <v/>
      </c>
      <c r="M57" s="9" t="str">
        <f>IF(K57="","",K57/MAX(K$6:K57)-1)</f>
        <v/>
      </c>
    </row>
    <row r="58" spans="1:13" x14ac:dyDescent="0.25">
      <c r="A58" s="66" t="str">
        <f>IF('净值数据(iFinD公式)'!A57="","",'净值数据(iFinD公式)'!A57)</f>
        <v/>
      </c>
      <c r="B58" s="62" t="str">
        <f>IF(OR('净值数据(iFinD公式)'!$A57="",'净值数据(iFinD公式)'!$B57=""),"",SUMPRODUCT(持仓配置!$B$4:$N$4,'净值数据(iFinD公式)'!$B57:$N57/'净值数据(iFinD公式)'!$B$5:$N$5)*(1-持仓配置!$P$4)^((ROW()-6)/说明!$C$17))</f>
        <v/>
      </c>
      <c r="C58" s="9" t="str">
        <f t="shared" si="4"/>
        <v/>
      </c>
      <c r="D58" s="9" t="str">
        <f>IF(B58="","",B58/MAX(B$6:B58)-1)</f>
        <v/>
      </c>
      <c r="E58" s="62" t="str">
        <f>IF(OR('净值数据(iFinD公式)'!$A57="",'净值数据(iFinD公式)'!$B57=""),"",SUMPRODUCT(持仓配置!$B$5:$N$5,'净值数据(iFinD公式)'!$B57:$N57/'净值数据(iFinD公式)'!$B$5:$N$5)*(1-持仓配置!$P$5)^((ROW()-6)/说明!$C$17))</f>
        <v/>
      </c>
      <c r="F58" s="9" t="str">
        <f t="shared" si="5"/>
        <v/>
      </c>
      <c r="G58" s="9" t="str">
        <f>IF(E58="","",E58/MAX(E$6:E58)-1)</f>
        <v/>
      </c>
      <c r="H58" s="62" t="str">
        <f>IF(OR('净值数据(iFinD公式)'!$A57="",'净值数据(iFinD公式)'!$B57=""),"",SUMPRODUCT(持仓配置!$B$6:$N$6,'净值数据(iFinD公式)'!$B57:$N57/'净值数据(iFinD公式)'!$B$5:$N$5)*(1-持仓配置!$P$6)^((ROW()-6)/说明!$C$17))</f>
        <v/>
      </c>
      <c r="I58" s="9" t="str">
        <f t="shared" si="6"/>
        <v/>
      </c>
      <c r="J58" s="9" t="str">
        <f>IF(H58="","",H58/MAX(H$6:H58)-1)</f>
        <v/>
      </c>
      <c r="K58" s="62" t="str">
        <f>IF(OR('净值数据(iFinD公式)'!$A57="",'净值数据(iFinD公式)'!$B57=""),"",SUMPRODUCT(持仓配置!$B$7:$N$7,'净值数据(iFinD公式)'!$B57:$N57/'净值数据(iFinD公式)'!$B$5:$N$5)*(1-持仓配置!$P$7)^((ROW()-6)/说明!$C$17))</f>
        <v/>
      </c>
      <c r="L58" s="9" t="str">
        <f t="shared" si="7"/>
        <v/>
      </c>
      <c r="M58" s="9" t="str">
        <f>IF(K58="","",K58/MAX(K$6:K58)-1)</f>
        <v/>
      </c>
    </row>
    <row r="59" spans="1:13" x14ac:dyDescent="0.25">
      <c r="A59" s="66" t="str">
        <f>IF('净值数据(iFinD公式)'!A58="","",'净值数据(iFinD公式)'!A58)</f>
        <v/>
      </c>
      <c r="B59" s="62" t="str">
        <f>IF(OR('净值数据(iFinD公式)'!$A58="",'净值数据(iFinD公式)'!$B58=""),"",SUMPRODUCT(持仓配置!$B$4:$N$4,'净值数据(iFinD公式)'!$B58:$N58/'净值数据(iFinD公式)'!$B$5:$N$5)*(1-持仓配置!$P$4)^((ROW()-6)/说明!$C$17))</f>
        <v/>
      </c>
      <c r="C59" s="9" t="str">
        <f t="shared" si="4"/>
        <v/>
      </c>
      <c r="D59" s="9" t="str">
        <f>IF(B59="","",B59/MAX(B$6:B59)-1)</f>
        <v/>
      </c>
      <c r="E59" s="62" t="str">
        <f>IF(OR('净值数据(iFinD公式)'!$A58="",'净值数据(iFinD公式)'!$B58=""),"",SUMPRODUCT(持仓配置!$B$5:$N$5,'净值数据(iFinD公式)'!$B58:$N58/'净值数据(iFinD公式)'!$B$5:$N$5)*(1-持仓配置!$P$5)^((ROW()-6)/说明!$C$17))</f>
        <v/>
      </c>
      <c r="F59" s="9" t="str">
        <f t="shared" si="5"/>
        <v/>
      </c>
      <c r="G59" s="9" t="str">
        <f>IF(E59="","",E59/MAX(E$6:E59)-1)</f>
        <v/>
      </c>
      <c r="H59" s="62" t="str">
        <f>IF(OR('净值数据(iFinD公式)'!$A58="",'净值数据(iFinD公式)'!$B58=""),"",SUMPRODUCT(持仓配置!$B$6:$N$6,'净值数据(iFinD公式)'!$B58:$N58/'净值数据(iFinD公式)'!$B$5:$N$5)*(1-持仓配置!$P$6)^((ROW()-6)/说明!$C$17))</f>
        <v/>
      </c>
      <c r="I59" s="9" t="str">
        <f t="shared" si="6"/>
        <v/>
      </c>
      <c r="J59" s="9" t="str">
        <f>IF(H59="","",H59/MAX(H$6:H59)-1)</f>
        <v/>
      </c>
      <c r="K59" s="62" t="str">
        <f>IF(OR('净值数据(iFinD公式)'!$A58="",'净值数据(iFinD公式)'!$B58=""),"",SUMPRODUCT(持仓配置!$B$7:$N$7,'净值数据(iFinD公式)'!$B58:$N58/'净值数据(iFinD公式)'!$B$5:$N$5)*(1-持仓配置!$P$7)^((ROW()-6)/说明!$C$17))</f>
        <v/>
      </c>
      <c r="L59" s="9" t="str">
        <f t="shared" si="7"/>
        <v/>
      </c>
      <c r="M59" s="9" t="str">
        <f>IF(K59="","",K59/MAX(K$6:K59)-1)</f>
        <v/>
      </c>
    </row>
    <row r="60" spans="1:13" x14ac:dyDescent="0.25">
      <c r="A60" s="66" t="str">
        <f>IF('净值数据(iFinD公式)'!A59="","",'净值数据(iFinD公式)'!A59)</f>
        <v/>
      </c>
      <c r="B60" s="62" t="str">
        <f>IF(OR('净值数据(iFinD公式)'!$A59="",'净值数据(iFinD公式)'!$B59=""),"",SUMPRODUCT(持仓配置!$B$4:$N$4,'净值数据(iFinD公式)'!$B59:$N59/'净值数据(iFinD公式)'!$B$5:$N$5)*(1-持仓配置!$P$4)^((ROW()-6)/说明!$C$17))</f>
        <v/>
      </c>
      <c r="C60" s="9" t="str">
        <f t="shared" si="4"/>
        <v/>
      </c>
      <c r="D60" s="9" t="str">
        <f>IF(B60="","",B60/MAX(B$6:B60)-1)</f>
        <v/>
      </c>
      <c r="E60" s="62" t="str">
        <f>IF(OR('净值数据(iFinD公式)'!$A59="",'净值数据(iFinD公式)'!$B59=""),"",SUMPRODUCT(持仓配置!$B$5:$N$5,'净值数据(iFinD公式)'!$B59:$N59/'净值数据(iFinD公式)'!$B$5:$N$5)*(1-持仓配置!$P$5)^((ROW()-6)/说明!$C$17))</f>
        <v/>
      </c>
      <c r="F60" s="9" t="str">
        <f t="shared" si="5"/>
        <v/>
      </c>
      <c r="G60" s="9" t="str">
        <f>IF(E60="","",E60/MAX(E$6:E60)-1)</f>
        <v/>
      </c>
      <c r="H60" s="62" t="str">
        <f>IF(OR('净值数据(iFinD公式)'!$A59="",'净值数据(iFinD公式)'!$B59=""),"",SUMPRODUCT(持仓配置!$B$6:$N$6,'净值数据(iFinD公式)'!$B59:$N59/'净值数据(iFinD公式)'!$B$5:$N$5)*(1-持仓配置!$P$6)^((ROW()-6)/说明!$C$17))</f>
        <v/>
      </c>
      <c r="I60" s="9" t="str">
        <f t="shared" si="6"/>
        <v/>
      </c>
      <c r="J60" s="9" t="str">
        <f>IF(H60="","",H60/MAX(H$6:H60)-1)</f>
        <v/>
      </c>
      <c r="K60" s="62" t="str">
        <f>IF(OR('净值数据(iFinD公式)'!$A59="",'净值数据(iFinD公式)'!$B59=""),"",SUMPRODUCT(持仓配置!$B$7:$N$7,'净值数据(iFinD公式)'!$B59:$N59/'净值数据(iFinD公式)'!$B$5:$N$5)*(1-持仓配置!$P$7)^((ROW()-6)/说明!$C$17))</f>
        <v/>
      </c>
      <c r="L60" s="9" t="str">
        <f t="shared" si="7"/>
        <v/>
      </c>
      <c r="M60" s="9" t="str">
        <f>IF(K60="","",K60/MAX(K$6:K60)-1)</f>
        <v/>
      </c>
    </row>
    <row r="62" spans="1:13" ht="14.5" customHeight="1" x14ac:dyDescent="0.3">
      <c r="A62" s="57" t="s">
        <v>60</v>
      </c>
    </row>
  </sheetData>
  <mergeCells count="5">
    <mergeCell ref="A1:M1"/>
    <mergeCell ref="K4:M4"/>
    <mergeCell ref="B4:D4"/>
    <mergeCell ref="H4:J4"/>
    <mergeCell ref="E4:G4"/>
  </mergeCells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E3" sqref="E3:G3"/>
    </sheetView>
  </sheetViews>
  <sheetFormatPr defaultRowHeight="14" x14ac:dyDescent="0.25"/>
  <cols>
    <col min="1" max="1" width="2" style="55" customWidth="1"/>
    <col min="2" max="2" width="14" style="55" customWidth="1"/>
    <col min="3" max="3" width="15.08984375" style="55" bestFit="1" customWidth="1"/>
    <col min="4" max="4" width="17.54296875" style="55" bestFit="1" customWidth="1"/>
    <col min="5" max="5" width="14" style="55" customWidth="1"/>
    <col min="6" max="6" width="15.08984375" style="55" bestFit="1" customWidth="1"/>
    <col min="7" max="7" width="14" style="55" customWidth="1"/>
    <col min="8" max="8" width="2" style="55" customWidth="1"/>
  </cols>
  <sheetData>
    <row r="2" spans="2:7" x14ac:dyDescent="0.25">
      <c r="B2" s="142" t="s">
        <v>61</v>
      </c>
      <c r="C2" s="136"/>
      <c r="D2" s="136"/>
      <c r="E2" s="136"/>
      <c r="F2" s="136"/>
      <c r="G2" s="136"/>
    </row>
    <row r="3" spans="2:7" ht="14.5" customHeight="1" x14ac:dyDescent="0.3">
      <c r="B3" s="144" t="str">
        <f>"买入持有 · 已扣年化费率 "&amp;TEXT(持仓配置!$M$4,"0.0%")&amp;"（折每日计入净值）"</f>
        <v>买入持有 · 已扣年化费率 0.5%（折每日计入净值）</v>
      </c>
      <c r="C3" s="136"/>
      <c r="D3" s="136"/>
      <c r="E3" s="141" t="str">
        <f>"净值日期："&amp;TEXT(LOOKUP(2,1/('组合净值（模拟）'!$B$6:$B$60&lt;&gt;""),'组合净值（模拟）'!$A$6:$A$60),"yyyy-mm-dd")</f>
        <v>净值日期：2026-07-07</v>
      </c>
      <c r="F3" s="136"/>
      <c r="G3" s="136"/>
    </row>
    <row r="5" spans="2:7" x14ac:dyDescent="0.25">
      <c r="B5" s="140" t="s">
        <v>62</v>
      </c>
      <c r="C5" s="136"/>
      <c r="D5" s="136"/>
      <c r="E5" s="136"/>
      <c r="F5" s="136"/>
      <c r="G5" s="136"/>
    </row>
    <row r="6" spans="2:7" x14ac:dyDescent="0.25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 x14ac:dyDescent="0.25">
      <c r="B7" s="67">
        <f>LOOKUP(2,1/('组合净值（模拟）'!$B$6:$B$60&lt;&gt;""),'组合净值（模拟）'!$B$6:$B$60)</f>
        <v>1.0020307881244941</v>
      </c>
      <c r="C7" s="21">
        <f>(LOOKUP(2,1/('组合净值（模拟）'!$B$6:$B$60&lt;&gt;""),'组合净值（模拟）'!$B$6:$B$60))/'组合净值（模拟）'!$B$6-1</f>
        <v>2.0307881244940873E-3</v>
      </c>
      <c r="D7" s="21">
        <f>(LOOKUP(2,1/('组合净值（模拟）'!$B$6:$B$60&lt;&gt;""),'组合净值（模拟）'!$B$6:$B$60)/'组合净值（模拟）'!$B$6)^(说明!$C$17/MAX(COUNT('组合净值（模拟）'!$C$6:$C$60),1))-1</f>
        <v>1.9698513174689181E-2</v>
      </c>
      <c r="E7" s="22">
        <f>STDEV('组合净值（模拟）'!$C$6:$C$60)*SQRT(说明!$C$17)</f>
        <v>4.7915986172066556E-2</v>
      </c>
      <c r="F7" s="21">
        <f>MIN('组合净值（模拟）'!$D$6:$D$60)</f>
        <v>-9.9052057010404759E-3</v>
      </c>
      <c r="G7" s="23">
        <f>(((LOOKUP(2,1/('组合净值（模拟）'!$B$6:$B$60&lt;&gt;""),'组合净值（模拟）'!$B$6:$B$60)/'组合净值（模拟）'!$B$6)^(说明!$C$17/MAX(COUNT('组合净值（模拟）'!$C$6:$C$60),1))-1)-说明!$C$16)/IF((STDEV('组合净值（模拟）'!$C$6:$C$60)*SQRT(说明!$C$17))=0,"",(STDEV('组合净值（模拟）'!$C$6:$C$60)*SQRT(说明!$C$17)))</f>
        <v>0.41110524374791574</v>
      </c>
    </row>
    <row r="9" spans="2:7" x14ac:dyDescent="0.25">
      <c r="B9" s="140" t="s">
        <v>69</v>
      </c>
      <c r="C9" s="136"/>
      <c r="D9" s="136"/>
      <c r="E9" s="140" t="s">
        <v>70</v>
      </c>
      <c r="F9" s="136"/>
      <c r="G9" s="136"/>
    </row>
    <row r="10" spans="2:7" x14ac:dyDescent="0.25">
      <c r="B10" s="27" t="s">
        <v>71</v>
      </c>
      <c r="C10" s="27" t="s">
        <v>64</v>
      </c>
      <c r="D10" s="27" t="s">
        <v>65</v>
      </c>
      <c r="E10" s="145" t="s">
        <v>72</v>
      </c>
      <c r="F10" s="139"/>
      <c r="G10" s="27" t="s">
        <v>73</v>
      </c>
    </row>
    <row r="11" spans="2:7" ht="22.5" customHeight="1" x14ac:dyDescent="0.25">
      <c r="B11" s="26" t="s">
        <v>74</v>
      </c>
      <c r="C11" s="17">
        <f>IFERROR((LOOKUP(2,1/('组合净值（模拟）'!$B$6:$B$60&lt;&gt;""),'组合净值（模拟）'!$B$6:$B$60))/('组合净值（模拟）'!$B$6)-1,"")</f>
        <v>2.0307881244940873E-3</v>
      </c>
      <c r="D11" s="17">
        <f>IFERROR((LOOKUP(2,1/('组合净值（模拟）'!$B$6:$B$60&lt;&gt;""),'组合净值（模拟）'!$B$6:$B$60)/('组合净值（模拟）'!$B$6))^(说明!$C$17/COUNT('组合净值（模拟）'!$C$6:$C$60))-1,"")</f>
        <v>1.9698513174689181E-2</v>
      </c>
      <c r="E11" s="143" t="s">
        <v>67</v>
      </c>
      <c r="F11" s="139"/>
      <c r="G11" s="17">
        <f>MIN('组合净值（模拟）'!$D$6:$D$60)</f>
        <v>-9.9052057010404759E-3</v>
      </c>
    </row>
    <row r="12" spans="2:7" ht="22.5" customHeight="1" x14ac:dyDescent="0.25">
      <c r="B12" s="26" t="s">
        <v>75</v>
      </c>
      <c r="C12" s="17">
        <f>IFERROR((LOOKUP(2,1/('组合净值（模拟）'!$B$6:$B$60&lt;&gt;""),'组合净值（模拟）'!$B$6:$B$60))/(IFERROR(LOOKUP(DATE(2026,1,1),'组合净值（模拟）'!$A$6:$A$60,'组合净值（模拟）'!$B$6:$B$60),'组合净值（模拟）'!$B$6))-1,"")</f>
        <v>2.0307881244940873E-3</v>
      </c>
      <c r="D12" s="17">
        <f>IFERROR((LOOKUP(2,1/('组合净值（模拟）'!$B$6:$B$60&lt;&gt;""),'组合净值（模拟）'!$B$6:$B$60)/(IFERROR(LOOKUP(DATE(2026,1,1),'组合净值（模拟）'!$A$6:$A$60,'组合净值（模拟）'!$B$6:$B$60),'组合净值（模拟）'!$B$6)))^(说明!$C$17/MAX(COUNTIF('组合净值（模拟）'!$A$6:$A$60,"&gt;="&amp;(DATE(2026,1,1))),1))-1,"")</f>
        <v>1.8962065636284109E-2</v>
      </c>
      <c r="E12" s="143" t="s">
        <v>76</v>
      </c>
      <c r="F12" s="139"/>
      <c r="G12" s="18">
        <f>IFERROR((LOOKUP(2,1/('组合净值（模拟）'!$B$6:$B$60&lt;&gt;""),ROW('组合净值（模拟）'!$B$6:$B$60)))-(LOOKUP(2,1/('组合净值（模拟）'!$D$6:$D$60=0),ROW('组合净值（模拟）'!$D$6:$D$60))),"")</f>
        <v>5</v>
      </c>
    </row>
    <row r="13" spans="2:7" ht="22.5" customHeight="1" x14ac:dyDescent="0.25">
      <c r="B13" s="26" t="s">
        <v>77</v>
      </c>
      <c r="C13" s="17">
        <f>IFERROR((LOOKUP(2,1/('组合净值（模拟）'!$B$6:$B$60&lt;&gt;""),'组合净值（模拟）'!$B$6:$B$60))/(IFERROR(LOOKUP(EDATE(LOOKUP(2,1/('组合净值（模拟）'!$B$6:$B$60&lt;&gt;""),'组合净值（模拟）'!$A$6:$A$60),-3),'组合净值（模拟）'!$A$6:$A$60,'组合净值（模拟）'!$B$6:$B$60),'组合净值（模拟）'!$B$6))-1,"")</f>
        <v>2.0307881244940873E-3</v>
      </c>
      <c r="D13" s="17">
        <f>IFERROR((LOOKUP(2,1/('组合净值（模拟）'!$B$6:$B$60&lt;&gt;""),'组合净值（模拟）'!$B$6:$B$60)/(IFERROR(LOOKUP(EDATE(LOOKUP(2,1/('组合净值（模拟）'!$B$6:$B$60&lt;&gt;""),'组合净值（模拟）'!$A$6:$A$60),-3)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-3))),1))-1,"")</f>
        <v>1.8962065636284109E-2</v>
      </c>
      <c r="E13" s="143" t="s">
        <v>78</v>
      </c>
      <c r="F13" s="139"/>
      <c r="G13" s="68">
        <f>COUNTIF('组合净值（模拟）'!$C$6:$C$60,"&gt;0")/MAX(COUNT('组合净值（模拟）'!$C$6:$C$60),1)</f>
        <v>0.57692307692307687</v>
      </c>
    </row>
    <row r="14" spans="2:7" ht="22.5" customHeight="1" x14ac:dyDescent="0.25">
      <c r="B14" s="26" t="s">
        <v>79</v>
      </c>
      <c r="C14" s="17">
        <f>IFERROR((LOOKUP(2,1/('组合净值（模拟）'!$B$6:$B$60&lt;&gt;""),'组合净值（模拟）'!$B$6:$B$60))/(IFERROR(LOOKUP(EDATE(LOOKUP(2,1/('组合净值（模拟）'!$B$6:$B$60&lt;&gt;""),'组合净值（模拟）'!$A$6:$A$60),-6),'组合净值（模拟）'!$A$6:$A$60,'组合净值（模拟）'!$B$6:$B$60),'组合净值（模拟）'!$B$6))-1,"")</f>
        <v>2.0307881244940873E-3</v>
      </c>
      <c r="D14" s="17">
        <f>IFERROR((LOOKUP(2,1/('组合净值（模拟）'!$B$6:$B$60&lt;&gt;""),'组合净值（模拟）'!$B$6:$B$60)/(IFERROR(LOOKUP(EDATE(LOOKUP(2,1/('组合净值（模拟）'!$B$6:$B$60&lt;&gt;""),'组合净值（模拟）'!$A$6:$A$60),-6)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-6))),1))-1,"")</f>
        <v>1.8962065636284109E-2</v>
      </c>
      <c r="E14" s="143" t="s">
        <v>66</v>
      </c>
      <c r="F14" s="139"/>
      <c r="G14" s="17">
        <f>STDEV('组合净值（模拟）'!$C$6:$C$60)*SQRT(说明!$C$17)</f>
        <v>4.7915986172066556E-2</v>
      </c>
    </row>
    <row r="15" spans="2:7" ht="22.5" customHeight="1" x14ac:dyDescent="0.25">
      <c r="B15" s="26" t="s">
        <v>80</v>
      </c>
      <c r="C15" s="17">
        <f>IFERROR((LOOKUP(2,1/('组合净值（模拟）'!$B$6:$B$60&lt;&gt;""),'组合净值（模拟）'!$B$6:$B$60))/(IFERROR(LOOKUP(EDATE(LOOKUP(2,1/('组合净值（模拟）'!$B$6:$B$60&lt;&gt;""),'组合净值（模拟）'!$A$6:$A$60),-12),'组合净值（模拟）'!$A$6:$A$60,'组合净值（模拟）'!$B$6:$B$60),'组合净值（模拟）'!$B$6))-1,"")</f>
        <v>2.0307881244940873E-3</v>
      </c>
      <c r="D15" s="17">
        <f>IFERROR((LOOKUP(2,1/('组合净值（模拟）'!$B$6:$B$60&lt;&gt;""),'组合净值（模拟）'!$B$6:$B$60)/(IFERROR(LOOKUP(EDATE(LOOKUP(2,1/('组合净值（模拟）'!$B$6:$B$60&lt;&gt;""),'组合净值（模拟）'!$A$6:$A$60),-12)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-12))),1))-1,"")</f>
        <v>1.8962065636284109E-2</v>
      </c>
      <c r="E15" s="143" t="s">
        <v>68</v>
      </c>
      <c r="F15" s="139"/>
      <c r="G15" s="19">
        <f>(((LOOKUP(2,1/('组合净值（模拟）'!$B$6:$B$60&lt;&gt;""),'组合净值（模拟）'!$B$6:$B$60)/'组合净值（模拟）'!$B$6)^(说明!$C$17/MAX(COUNT('组合净值（模拟）'!$C$6:$C$60),1))-1)-说明!$C$16)/IF((STDEV('组合净值（模拟）'!$C$6:$C$60)*SQRT(说明!$C$17))=0,"",(STDEV('组合净值（模拟）'!$C$6:$C$60)*SQRT(说明!$C$17)))</f>
        <v>0.41110524374791574</v>
      </c>
    </row>
    <row r="16" spans="2:7" ht="22.5" customHeight="1" x14ac:dyDescent="0.5">
      <c r="B16" s="20"/>
      <c r="C16" s="20"/>
      <c r="D16" s="20"/>
      <c r="E16" s="143" t="s">
        <v>81</v>
      </c>
      <c r="F16" s="139"/>
      <c r="G16" s="19">
        <f>IFERROR(((LOOKUP(2,1/('组合净值（模拟）'!$B$6:$B$60&lt;&gt;""),'组合净值（模拟）'!$B$6:$B$60)/'组合净值（模拟）'!$B$6)^(说明!$C$17/MAX(COUNT('组合净值（模拟）'!$C$6:$C$60),1))-1)/ABS(MIN('组合净值（模拟）'!$D$6:$D$60)),"")</f>
        <v>1.9887030889848136</v>
      </c>
    </row>
    <row r="18" spans="2:7" x14ac:dyDescent="0.25">
      <c r="B18" s="140" t="s">
        <v>82</v>
      </c>
      <c r="C18" s="136"/>
      <c r="D18" s="136"/>
      <c r="E18" s="136"/>
      <c r="F18" s="136"/>
      <c r="G18" s="136"/>
    </row>
    <row r="35" spans="2:2" ht="14.5" customHeight="1" x14ac:dyDescent="0.3">
      <c r="B35" s="57" t="s">
        <v>83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3" type="noConversion"/>
  <conditionalFormatting sqref="C7:D7">
    <cfRule type="cellIs" dxfId="34" priority="7" operator="lessThan">
      <formula>0</formula>
    </cfRule>
    <cfRule type="cellIs" dxfId="33" priority="8" operator="greaterThan">
      <formula>0</formula>
    </cfRule>
  </conditionalFormatting>
  <conditionalFormatting sqref="F7">
    <cfRule type="cellIs" dxfId="32" priority="5" operator="lessThan">
      <formula>0</formula>
    </cfRule>
    <cfRule type="cellIs" dxfId="31" priority="6" operator="greaterThan">
      <formula>0</formula>
    </cfRule>
  </conditionalFormatting>
  <conditionalFormatting sqref="C11:D11">
    <cfRule type="cellIs" dxfId="30" priority="3" operator="lessThan">
      <formula>0</formula>
    </cfRule>
    <cfRule type="cellIs" dxfId="29" priority="4" operator="greaterThan">
      <formula>0</formula>
    </cfRule>
  </conditionalFormatting>
  <conditionalFormatting sqref="G11">
    <cfRule type="cellIs" dxfId="28" priority="1" operator="lessThan">
      <formula>0</formula>
    </cfRule>
    <cfRule type="cellIs" dxfId="27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P21" sqref="P21"/>
    </sheetView>
  </sheetViews>
  <sheetFormatPr defaultRowHeight="14" x14ac:dyDescent="0.25"/>
  <cols>
    <col min="1" max="1" width="2" style="55" customWidth="1"/>
    <col min="2" max="2" width="14" style="55" customWidth="1"/>
    <col min="3" max="4" width="15.08984375" style="55" bestFit="1" customWidth="1"/>
    <col min="5" max="5" width="14" style="55" customWidth="1"/>
    <col min="6" max="6" width="15.08984375" style="55" bestFit="1" customWidth="1"/>
    <col min="7" max="7" width="14" style="55" customWidth="1"/>
    <col min="8" max="8" width="2" style="55" customWidth="1"/>
  </cols>
  <sheetData>
    <row r="2" spans="2:7" ht="19" customHeight="1" x14ac:dyDescent="0.25">
      <c r="B2" s="142" t="s">
        <v>84</v>
      </c>
      <c r="C2" s="136"/>
      <c r="D2" s="136"/>
      <c r="E2" s="136"/>
      <c r="F2" s="136"/>
      <c r="G2" s="136"/>
    </row>
    <row r="3" spans="2:7" ht="14.5" customHeight="1" x14ac:dyDescent="0.3">
      <c r="B3" s="144" t="str">
        <f>"买入持有 · 已扣年化费率 "&amp;TEXT(持仓配置!$M$5,"0.0%")&amp;"（折每日计入净值）"</f>
        <v>买入持有 · 已扣年化费率 1.0%（折每日计入净值）</v>
      </c>
      <c r="C3" s="136"/>
      <c r="D3" s="136"/>
      <c r="E3" s="141" t="str">
        <f>"净值日期："&amp;TEXT(LOOKUP(2,1/('组合净值（模拟）'!$E$6:$E$60&lt;&gt;""),'组合净值（模拟）'!$A$6:$A$60),"yyyy-mm-dd")</f>
        <v>净值日期：2026-07-07</v>
      </c>
      <c r="F3" s="136"/>
      <c r="G3" s="136"/>
    </row>
    <row r="5" spans="2:7" x14ac:dyDescent="0.25">
      <c r="B5" s="140" t="s">
        <v>62</v>
      </c>
      <c r="C5" s="136"/>
      <c r="D5" s="136"/>
      <c r="E5" s="136"/>
      <c r="F5" s="136"/>
      <c r="G5" s="136"/>
    </row>
    <row r="6" spans="2:7" x14ac:dyDescent="0.25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 x14ac:dyDescent="0.25">
      <c r="B7" s="67">
        <f>LOOKUP(2,1/('组合净值（模拟）'!$E$6:$E$60&lt;&gt;""),'组合净值（模拟）'!$E$6:$E$60)</f>
        <v>1.0072335195148223</v>
      </c>
      <c r="C7" s="21">
        <f>(LOOKUP(2,1/('组合净值（模拟）'!$E$6:$E$60&lt;&gt;""),'组合净值（模拟）'!$E$6:$E$60))/'组合净值（模拟）'!$E$6-1</f>
        <v>7.2335195148223175E-3</v>
      </c>
      <c r="D7" s="21">
        <f>(LOOKUP(2,1/('组合净值（模拟）'!$E$6:$E$60&lt;&gt;""),'组合净值（模拟）'!$E$6:$E$60)/'组合净值（模拟）'!$E$6)^(说明!$C$17/MAX(COUNT('组合净值（模拟）'!$F$6:$F$60),1))-1</f>
        <v>7.1760605618529372E-2</v>
      </c>
      <c r="E7" s="22">
        <f>STDEV('组合净值（模拟）'!$F$6:$F$60)*SQRT(说明!$C$17)</f>
        <v>8.9212862738039536E-2</v>
      </c>
      <c r="F7" s="21">
        <f>MIN('组合净值（模拟）'!$G$6:$G$60)</f>
        <v>-2.0212971850678607E-2</v>
      </c>
      <c r="G7" s="23">
        <f>(((LOOKUP(2,1/('组合净值（模拟）'!$E$6:$E$60&lt;&gt;""),'组合净值（模拟）'!$E$6:$E$60)/'组合净值（模拟）'!$E$6)^(说明!$C$17/MAX(COUNT('组合净值（模拟）'!$F$6:$F$60),1))-1)-说明!$C$16)/IF((STDEV('组合净值（模拟）'!$F$6:$F$60)*SQRT(说明!$C$17))=0,"",(STDEV('组合净值（模拟）'!$F$6:$F$60)*SQRT(说明!$C$17)))</f>
        <v>0.80437510260424938</v>
      </c>
    </row>
    <row r="9" spans="2:7" x14ac:dyDescent="0.25">
      <c r="B9" s="140" t="s">
        <v>69</v>
      </c>
      <c r="C9" s="136"/>
      <c r="D9" s="136"/>
      <c r="E9" s="140" t="s">
        <v>70</v>
      </c>
      <c r="F9" s="136"/>
      <c r="G9" s="136"/>
    </row>
    <row r="10" spans="2:7" x14ac:dyDescent="0.25">
      <c r="B10" s="27" t="s">
        <v>71</v>
      </c>
      <c r="C10" s="27" t="s">
        <v>64</v>
      </c>
      <c r="D10" s="27" t="s">
        <v>65</v>
      </c>
      <c r="E10" s="145" t="s">
        <v>72</v>
      </c>
      <c r="F10" s="139"/>
      <c r="G10" s="27" t="s">
        <v>73</v>
      </c>
    </row>
    <row r="11" spans="2:7" ht="22.5" customHeight="1" x14ac:dyDescent="0.25">
      <c r="B11" s="26" t="s">
        <v>74</v>
      </c>
      <c r="C11" s="17">
        <f>IFERROR((LOOKUP(2,1/('组合净值（模拟）'!$E$6:$E$60&lt;&gt;""),'组合净值（模拟）'!$E$6:$E$60))/('组合净值（模拟）'!$E$6)-1,"")</f>
        <v>7.2335195148223175E-3</v>
      </c>
      <c r="D11" s="17">
        <f>IFERROR((LOOKUP(2,1/('组合净值（模拟）'!$E$6:$E$60&lt;&gt;""),'组合净值（模拟）'!$E$6:$E$60)/('组合净值（模拟）'!$E$6))^(说明!$C$17/COUNT('组合净值（模拟）'!$F$6:$F$60))-1,"")</f>
        <v>7.1760605618529372E-2</v>
      </c>
      <c r="E11" s="143" t="s">
        <v>67</v>
      </c>
      <c r="F11" s="139"/>
      <c r="G11" s="17">
        <f>MIN('组合净值（模拟）'!$G$6:$G$60)</f>
        <v>-2.0212971850678607E-2</v>
      </c>
    </row>
    <row r="12" spans="2:7" ht="22.5" customHeight="1" x14ac:dyDescent="0.25">
      <c r="B12" s="26" t="s">
        <v>75</v>
      </c>
      <c r="C12" s="17">
        <f>IFERROR((LOOKUP(2,1/('组合净值（模拟）'!$E$6:$E$60&lt;&gt;""),'组合净值（模拟）'!$E$6:$E$60))/(IFERROR(LOOKUP(DATE(2026,1,1),'组合净值（模拟）'!$A$6:$A$60,'组合净值（模拟）'!$E$6:$E$60),'组合净值（模拟）'!$E$6))-1,"")</f>
        <v>7.2335195148223175E-3</v>
      </c>
      <c r="D12" s="17">
        <f>IFERROR((LOOKUP(2,1/('组合净值（模拟）'!$E$6:$E$60&lt;&gt;""),'组合净值（模拟）'!$E$6:$E$60)/(IFERROR(LOOKUP(DATE(2026,1,1),'组合净值（模拟）'!$A$6:$A$60,'组合净值（模拟）'!$E$6:$E$60),'组合净值（模拟）'!$E$6)))^(说明!$C$17/MAX(COUNTIF('组合净值（模拟）'!$A$6:$A$60,"&gt;="&amp;(DATE(2026,1,1))),1))-1,"")</f>
        <v>6.9013172864823558E-2</v>
      </c>
      <c r="E12" s="143" t="s">
        <v>76</v>
      </c>
      <c r="F12" s="139"/>
      <c r="G12" s="18">
        <f>IFERROR((LOOKUP(2,1/('组合净值（模拟）'!$E$6:$E$60&lt;&gt;""),ROW('组合净值（模拟）'!$E$6:$E$60)))-(LOOKUP(2,1/('组合净值（模拟）'!$G$6:$G$60=0),ROW('组合净值（模拟）'!$G$6:$G$60))),"")</f>
        <v>5</v>
      </c>
    </row>
    <row r="13" spans="2:7" ht="22.5" customHeight="1" x14ac:dyDescent="0.25">
      <c r="B13" s="26" t="s">
        <v>77</v>
      </c>
      <c r="C13" s="17">
        <f>IFERROR((LOOKUP(2,1/('组合净值（模拟）'!$E$6:$E$60&lt;&gt;""),'组合净值（模拟）'!$E$6:$E$60))/(IFERROR(LOOKUP(EDATE(LOOKUP(2,1/('组合净值（模拟）'!$E$6:$E$60&lt;&gt;""),'组合净值（模拟）'!$A$6:$A$60),-3),'组合净值（模拟）'!$A$6:$A$60,'组合净值（模拟）'!$E$6:$E$60),'组合净值（模拟）'!$E$6))-1,"")</f>
        <v>7.2335195148223175E-3</v>
      </c>
      <c r="D13" s="17">
        <f>IFERROR((LOOKUP(2,1/('组合净值（模拟）'!$E$6:$E$60&lt;&gt;""),'组合净值（模拟）'!$E$6:$E$60)/(IFERROR(LOOKUP(EDATE(LOOKUP(2,1/('组合净值（模拟）'!$E$6:$E$60&lt;&gt;""),'组合净值（模拟）'!$A$6:$A$60),-3)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-3))),1))-1,"")</f>
        <v>6.9013172864823558E-2</v>
      </c>
      <c r="E13" s="143" t="s">
        <v>78</v>
      </c>
      <c r="F13" s="139"/>
      <c r="G13" s="68">
        <f>COUNTIF('组合净值（模拟）'!$F$6:$F$60,"&gt;0")/MAX(COUNT('组合净值（模拟）'!$F$6:$F$60),1)</f>
        <v>0.57692307692307687</v>
      </c>
    </row>
    <row r="14" spans="2:7" ht="22.5" customHeight="1" x14ac:dyDescent="0.25">
      <c r="B14" s="26" t="s">
        <v>79</v>
      </c>
      <c r="C14" s="17">
        <f>IFERROR((LOOKUP(2,1/('组合净值（模拟）'!$E$6:$E$60&lt;&gt;""),'组合净值（模拟）'!$E$6:$E$60))/(IFERROR(LOOKUP(EDATE(LOOKUP(2,1/('组合净值（模拟）'!$E$6:$E$60&lt;&gt;""),'组合净值（模拟）'!$A$6:$A$60),-6),'组合净值（模拟）'!$A$6:$A$60,'组合净值（模拟）'!$E$6:$E$60),'组合净值（模拟）'!$E$6))-1,"")</f>
        <v>7.2335195148223175E-3</v>
      </c>
      <c r="D14" s="17">
        <f>IFERROR((LOOKUP(2,1/('组合净值（模拟）'!$E$6:$E$60&lt;&gt;""),'组合净值（模拟）'!$E$6:$E$60)/(IFERROR(LOOKUP(EDATE(LOOKUP(2,1/('组合净值（模拟）'!$E$6:$E$60&lt;&gt;""),'组合净值（模拟）'!$A$6:$A$60),-6)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-6))),1))-1,"")</f>
        <v>6.9013172864823558E-2</v>
      </c>
      <c r="E14" s="143" t="s">
        <v>66</v>
      </c>
      <c r="F14" s="139"/>
      <c r="G14" s="17">
        <f>STDEV('组合净值（模拟）'!$F$6:$F$60)*SQRT(说明!$C$17)</f>
        <v>8.9212862738039536E-2</v>
      </c>
    </row>
    <row r="15" spans="2:7" ht="22.5" customHeight="1" x14ac:dyDescent="0.25">
      <c r="B15" s="26" t="s">
        <v>80</v>
      </c>
      <c r="C15" s="17">
        <f>IFERROR((LOOKUP(2,1/('组合净值（模拟）'!$E$6:$E$60&lt;&gt;""),'组合净值（模拟）'!$E$6:$E$60))/(IFERROR(LOOKUP(EDATE(LOOKUP(2,1/('组合净值（模拟）'!$E$6:$E$60&lt;&gt;""),'组合净值（模拟）'!$A$6:$A$60),-12),'组合净值（模拟）'!$A$6:$A$60,'组合净值（模拟）'!$E$6:$E$60),'组合净值（模拟）'!$E$6))-1,"")</f>
        <v>7.2335195148223175E-3</v>
      </c>
      <c r="D15" s="17">
        <f>IFERROR((LOOKUP(2,1/('组合净值（模拟）'!$E$6:$E$60&lt;&gt;""),'组合净值（模拟）'!$E$6:$E$60)/(IFERROR(LOOKUP(EDATE(LOOKUP(2,1/('组合净值（模拟）'!$E$6:$E$60&lt;&gt;""),'组合净值（模拟）'!$A$6:$A$60),-12)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-12))),1))-1,"")</f>
        <v>6.9013172864823558E-2</v>
      </c>
      <c r="E15" s="143" t="s">
        <v>68</v>
      </c>
      <c r="F15" s="139"/>
      <c r="G15" s="19">
        <f>(((LOOKUP(2,1/('组合净值（模拟）'!$E$6:$E$60&lt;&gt;""),'组合净值（模拟）'!$E$6:$E$60)/'组合净值（模拟）'!$E$6)^(说明!$C$17/MAX(COUNT('组合净值（模拟）'!$F$6:$F$60),1))-1)-说明!$C$16)/IF((STDEV('组合净值（模拟）'!$F$6:$F$60)*SQRT(说明!$C$17))=0,"",(STDEV('组合净值（模拟）'!$F$6:$F$60)*SQRT(说明!$C$17)))</f>
        <v>0.80437510260424938</v>
      </c>
    </row>
    <row r="16" spans="2:7" ht="22.5" customHeight="1" x14ac:dyDescent="0.5">
      <c r="B16" s="20"/>
      <c r="C16" s="20"/>
      <c r="D16" s="20"/>
      <c r="E16" s="143" t="s">
        <v>81</v>
      </c>
      <c r="F16" s="139"/>
      <c r="G16" s="19">
        <f>IFERROR(((LOOKUP(2,1/('组合净值（模拟）'!$E$6:$E$60&lt;&gt;""),'组合净值（模拟）'!$E$6:$E$60)/'组合净值（模拟）'!$E$6)^(说明!$C$17/MAX(COUNT('组合净值（模拟）'!$F$6:$F$60),1))-1)/ABS(MIN('组合净值（模拟）'!$G$6:$G$60)),"")</f>
        <v>3.5502253774780854</v>
      </c>
    </row>
    <row r="18" spans="2:7" x14ac:dyDescent="0.25">
      <c r="B18" s="140" t="s">
        <v>82</v>
      </c>
      <c r="C18" s="136"/>
      <c r="D18" s="136"/>
      <c r="E18" s="136"/>
      <c r="F18" s="136"/>
      <c r="G18" s="136"/>
    </row>
    <row r="35" spans="2:2" ht="14.5" customHeight="1" x14ac:dyDescent="0.3">
      <c r="B35" s="57" t="s">
        <v>83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3" type="noConversion"/>
  <conditionalFormatting sqref="C7:D7">
    <cfRule type="cellIs" dxfId="26" priority="7" operator="lessThan">
      <formula>0</formula>
    </cfRule>
    <cfRule type="cellIs" dxfId="25" priority="8" operator="greaterThan">
      <formula>0</formula>
    </cfRule>
  </conditionalFormatting>
  <conditionalFormatting sqref="F7">
    <cfRule type="cellIs" dxfId="24" priority="5" operator="lessThan">
      <formula>0</formula>
    </cfRule>
    <cfRule type="cellIs" dxfId="23" priority="6" operator="greaterThan">
      <formula>0</formula>
    </cfRule>
  </conditionalFormatting>
  <conditionalFormatting sqref="C11:D11">
    <cfRule type="cellIs" dxfId="22" priority="3" operator="lessThan">
      <formula>0</formula>
    </cfRule>
    <cfRule type="cellIs" dxfId="21" priority="4" operator="greaterThan">
      <formula>0</formula>
    </cfRule>
  </conditionalFormatting>
  <conditionalFormatting sqref="G11">
    <cfRule type="cellIs" dxfId="20" priority="1" operator="lessThan">
      <formula>0</formula>
    </cfRule>
    <cfRule type="cellIs" dxfId="19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topLeftCell="A7" workbookViewId="0">
      <selection activeCell="G11" sqref="G11:G16"/>
    </sheetView>
  </sheetViews>
  <sheetFormatPr defaultRowHeight="14" x14ac:dyDescent="0.25"/>
  <cols>
    <col min="1" max="1" width="2" style="55" customWidth="1"/>
    <col min="2" max="2" width="14" style="55" customWidth="1"/>
    <col min="3" max="3" width="15.08984375" style="55" bestFit="1" customWidth="1"/>
    <col min="4" max="4" width="17.54296875" style="55" bestFit="1" customWidth="1"/>
    <col min="5" max="5" width="15.81640625" style="55" bestFit="1" customWidth="1"/>
    <col min="6" max="6" width="15.08984375" style="55" bestFit="1" customWidth="1"/>
    <col min="7" max="7" width="14" style="55" customWidth="1"/>
    <col min="8" max="8" width="2" style="55" customWidth="1"/>
  </cols>
  <sheetData>
    <row r="2" spans="2:7" x14ac:dyDescent="0.25">
      <c r="B2" s="142" t="s">
        <v>85</v>
      </c>
      <c r="C2" s="136"/>
      <c r="D2" s="136"/>
      <c r="E2" s="136"/>
      <c r="F2" s="136"/>
      <c r="G2" s="136"/>
    </row>
    <row r="3" spans="2:7" ht="14.5" customHeight="1" x14ac:dyDescent="0.3">
      <c r="B3" s="144" t="str">
        <f>"买入持有 · 已扣年化费率 "&amp;TEXT(持仓配置!$M$6,"0.0%")&amp;"（折每日计入净值）"</f>
        <v>买入持有 · 已扣年化费率 1.5%（折每日计入净值）</v>
      </c>
      <c r="C3" s="136"/>
      <c r="D3" s="136"/>
      <c r="E3" s="141" t="str">
        <f>"净值日期："&amp;TEXT(LOOKUP(2,1/('组合净值（模拟）'!$H$6:$H$60&lt;&gt;""),'组合净值（模拟）'!$A$6:$A$60),"yyyy-mm-dd")</f>
        <v>净值日期：2026-07-07</v>
      </c>
      <c r="F3" s="136"/>
      <c r="G3" s="136"/>
    </row>
    <row r="5" spans="2:7" x14ac:dyDescent="0.25">
      <c r="B5" s="140" t="s">
        <v>62</v>
      </c>
      <c r="C5" s="136"/>
      <c r="D5" s="136"/>
      <c r="E5" s="136"/>
      <c r="F5" s="136"/>
      <c r="G5" s="136"/>
    </row>
    <row r="6" spans="2:7" x14ac:dyDescent="0.25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 x14ac:dyDescent="0.25">
      <c r="B7" s="67">
        <f>LOOKUP(2,1/('组合净值（模拟）'!$H$6:$H$60&lt;&gt;""),'组合净值（模拟）'!$H$6:$H$60)</f>
        <v>1.0085030424733503</v>
      </c>
      <c r="C7" s="21">
        <f>(LOOKUP(2,1/('组合净值（模拟）'!$H$6:$H$60&lt;&gt;""),'组合净值（模拟）'!$H$6:$H$60))/'组合净值（模拟）'!$H$6-1</f>
        <v>8.5030424733503196E-3</v>
      </c>
      <c r="D7" s="21">
        <f>(LOOKUP(2,1/('组合净值（模拟）'!$H$6:$H$60&lt;&gt;""),'组合净值（模拟）'!$H$6:$H$60)/'组合净值（模拟）'!$H$6)^(说明!$C$17/MAX(COUNT('组合净值（模拟）'!$I$6:$I$60),1))-1</f>
        <v>8.482032834795783E-2</v>
      </c>
      <c r="E7" s="22">
        <f>STDEV('组合净值（模拟）'!$I$6:$I$60)*SQRT(说明!$C$17)</f>
        <v>0.13425547854158307</v>
      </c>
      <c r="F7" s="21">
        <f>MIN('组合净值（模拟）'!$J$6:$J$60)</f>
        <v>-2.9241828300964667E-2</v>
      </c>
      <c r="G7" s="23">
        <f>(((LOOKUP(2,1/('组合净值（模拟）'!$H$6:$H$60&lt;&gt;""),'组合净值（模拟）'!$H$6:$H$60)/'组合净值（模拟）'!$H$6)^(说明!$C$17/MAX(COUNT('组合净值（模拟）'!$I$6:$I$60),1))-1)-说明!$C$16)/IF((STDEV('组合净值（模拟）'!$I$6:$I$60)*SQRT(说明!$C$17))=0,"",(STDEV('组合净值（模拟）'!$I$6:$I$60)*SQRT(说明!$C$17)))</f>
        <v>0.63178299514746694</v>
      </c>
    </row>
    <row r="9" spans="2:7" x14ac:dyDescent="0.25">
      <c r="B9" s="140" t="s">
        <v>69</v>
      </c>
      <c r="C9" s="136"/>
      <c r="D9" s="136"/>
      <c r="E9" s="140" t="s">
        <v>70</v>
      </c>
      <c r="F9" s="136"/>
      <c r="G9" s="136"/>
    </row>
    <row r="10" spans="2:7" ht="22.5" customHeight="1" x14ac:dyDescent="0.25">
      <c r="B10" s="27" t="s">
        <v>71</v>
      </c>
      <c r="C10" s="27" t="s">
        <v>64</v>
      </c>
      <c r="D10" s="27" t="s">
        <v>65</v>
      </c>
      <c r="E10" s="145" t="s">
        <v>72</v>
      </c>
      <c r="F10" s="139"/>
      <c r="G10" s="27" t="s">
        <v>73</v>
      </c>
    </row>
    <row r="11" spans="2:7" ht="22.5" customHeight="1" x14ac:dyDescent="0.25">
      <c r="B11" s="26" t="s">
        <v>74</v>
      </c>
      <c r="C11" s="17">
        <f>IFERROR((LOOKUP(2,1/('组合净值（模拟）'!$H$6:$H$60&lt;&gt;""),'组合净值（模拟）'!$H$6:$H$60))/('组合净值（模拟）'!$H$6)-1,"")</f>
        <v>8.5030424733503196E-3</v>
      </c>
      <c r="D11" s="17">
        <f>IFERROR((LOOKUP(2,1/('组合净值（模拟）'!$H$6:$H$60&lt;&gt;""),'组合净值（模拟）'!$H$6:$H$60)/('组合净值（模拟）'!$H$6))^(说明!$C$17/COUNT('组合净值（模拟）'!$I$6:$I$60))-1,"")</f>
        <v>8.482032834795783E-2</v>
      </c>
      <c r="E11" s="143" t="s">
        <v>67</v>
      </c>
      <c r="F11" s="139"/>
      <c r="G11" s="17">
        <f>MIN('组合净值（模拟）'!$J$6:$J$60)</f>
        <v>-2.9241828300964667E-2</v>
      </c>
    </row>
    <row r="12" spans="2:7" ht="22.5" customHeight="1" x14ac:dyDescent="0.25">
      <c r="B12" s="26" t="s">
        <v>75</v>
      </c>
      <c r="C12" s="17">
        <f>IFERROR((LOOKUP(2,1/('组合净值（模拟）'!$H$6:$H$60&lt;&gt;""),'组合净值（模拟）'!$H$6:$H$60))/(IFERROR(LOOKUP(DATE(2026,1,1),'组合净值（模拟）'!$A$6:$A$60,'组合净值（模拟）'!$H$6:$H$60),'组合净值（模拟）'!$H$6))-1,"")</f>
        <v>8.5030424733503196E-3</v>
      </c>
      <c r="D12" s="17">
        <f>IFERROR((LOOKUP(2,1/('组合净值（模拟）'!$H$6:$H$60&lt;&gt;""),'组合净值（模拟）'!$H$6:$H$60)/(IFERROR(LOOKUP(DATE(2026,1,1),'组合净值（模拟）'!$A$6:$A$60,'组合净值（模拟）'!$H$6:$H$60),'组合净值（模拟）'!$H$6)))^(说明!$C$17/MAX(COUNTIF('组合净值（模拟）'!$A$6:$A$60,"&gt;="&amp;(DATE(2026,1,1))),1))-1,"")</f>
        <v>8.1554145105553033E-2</v>
      </c>
      <c r="E12" s="143" t="s">
        <v>76</v>
      </c>
      <c r="F12" s="139"/>
      <c r="G12" s="18">
        <f>IFERROR((LOOKUP(2,1/('组合净值（模拟）'!$H$6:$H$60&lt;&gt;""),ROW('组合净值（模拟）'!$H$6:$H$60)))-(LOOKUP(2,1/('组合净值（模拟）'!$J$6:$J$60=0),ROW('组合净值（模拟）'!$J$6:$J$60))),"")</f>
        <v>5</v>
      </c>
    </row>
    <row r="13" spans="2:7" ht="22.5" customHeight="1" x14ac:dyDescent="0.25">
      <c r="B13" s="26" t="s">
        <v>77</v>
      </c>
      <c r="C13" s="17">
        <f>IFERROR((LOOKUP(2,1/('组合净值（模拟）'!$H$6:$H$60&lt;&gt;""),'组合净值（模拟）'!$H$6:$H$60))/(IFERROR(LOOKUP(EDATE(LOOKUP(2,1/('组合净值（模拟）'!$H$6:$H$60&lt;&gt;""),'组合净值（模拟）'!$A$6:$A$60),-3),'组合净值（模拟）'!$A$6:$A$60,'组合净值（模拟）'!$H$6:$H$60),'组合净值（模拟）'!$H$6))-1,"")</f>
        <v>8.5030424733503196E-3</v>
      </c>
      <c r="D13" s="17">
        <f>IFERROR((LOOKUP(2,1/('组合净值（模拟）'!$H$6:$H$60&lt;&gt;""),'组合净值（模拟）'!$H$6:$H$60)/(IFERROR(LOOKUP(EDATE(LOOKUP(2,1/('组合净值（模拟）'!$H$6:$H$60&lt;&gt;""),'组合净值（模拟）'!$A$6:$A$60),-3)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-3))),1))-1,"")</f>
        <v>8.1554145105553033E-2</v>
      </c>
      <c r="E13" s="143" t="s">
        <v>78</v>
      </c>
      <c r="F13" s="139"/>
      <c r="G13" s="68">
        <f>COUNTIF('组合净值（模拟）'!$I$6:$I$60,"&gt;0")/MAX(COUNT('组合净值（模拟）'!$I$6:$I$60),1)</f>
        <v>0.57692307692307687</v>
      </c>
    </row>
    <row r="14" spans="2:7" ht="22.5" customHeight="1" x14ac:dyDescent="0.25">
      <c r="B14" s="26" t="s">
        <v>79</v>
      </c>
      <c r="C14" s="17">
        <f>IFERROR((LOOKUP(2,1/('组合净值（模拟）'!$H$6:$H$60&lt;&gt;""),'组合净值（模拟）'!$H$6:$H$60))/(IFERROR(LOOKUP(EDATE(LOOKUP(2,1/('组合净值（模拟）'!$H$6:$H$60&lt;&gt;""),'组合净值（模拟）'!$A$6:$A$60),-6),'组合净值（模拟）'!$A$6:$A$60,'组合净值（模拟）'!$H$6:$H$60),'组合净值（模拟）'!$H$6))-1,"")</f>
        <v>8.5030424733503196E-3</v>
      </c>
      <c r="D14" s="17">
        <f>IFERROR((LOOKUP(2,1/('组合净值（模拟）'!$H$6:$H$60&lt;&gt;""),'组合净值（模拟）'!$H$6:$H$60)/(IFERROR(LOOKUP(EDATE(LOOKUP(2,1/('组合净值（模拟）'!$H$6:$H$60&lt;&gt;""),'组合净值（模拟）'!$A$6:$A$60),-6)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-6))),1))-1,"")</f>
        <v>8.1554145105553033E-2</v>
      </c>
      <c r="E14" s="143" t="s">
        <v>66</v>
      </c>
      <c r="F14" s="139"/>
      <c r="G14" s="17">
        <f>STDEV('组合净值（模拟）'!$I$6:$I$60)*SQRT(说明!$C$17)</f>
        <v>0.13425547854158307</v>
      </c>
    </row>
    <row r="15" spans="2:7" ht="22.5" customHeight="1" x14ac:dyDescent="0.25">
      <c r="B15" s="26" t="s">
        <v>80</v>
      </c>
      <c r="C15" s="17">
        <f>IFERROR((LOOKUP(2,1/('组合净值（模拟）'!$H$6:$H$60&lt;&gt;""),'组合净值（模拟）'!$H$6:$H$60))/(IFERROR(LOOKUP(EDATE(LOOKUP(2,1/('组合净值（模拟）'!$H$6:$H$60&lt;&gt;""),'组合净值（模拟）'!$A$6:$A$60),-12),'组合净值（模拟）'!$A$6:$A$60,'组合净值（模拟）'!$H$6:$H$60),'组合净值（模拟）'!$H$6))-1,"")</f>
        <v>8.5030424733503196E-3</v>
      </c>
      <c r="D15" s="17">
        <f>IFERROR((LOOKUP(2,1/('组合净值（模拟）'!$H$6:$H$60&lt;&gt;""),'组合净值（模拟）'!$H$6:$H$60)/(IFERROR(LOOKUP(EDATE(LOOKUP(2,1/('组合净值（模拟）'!$H$6:$H$60&lt;&gt;""),'组合净值（模拟）'!$A$6:$A$60),-12)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-12))),1))-1,"")</f>
        <v>8.1554145105553033E-2</v>
      </c>
      <c r="E15" s="143" t="s">
        <v>68</v>
      </c>
      <c r="F15" s="139"/>
      <c r="G15" s="19">
        <f>(((LOOKUP(2,1/('组合净值（模拟）'!$H$6:$H$60&lt;&gt;""),'组合净值（模拟）'!$H$6:$H$60)/'组合净值（模拟）'!$H$6)^(说明!$C$17/MAX(COUNT('组合净值（模拟）'!$I$6:$I$60),1))-1)-说明!$C$16)/IF((STDEV('组合净值（模拟）'!$I$6:$I$60)*SQRT(说明!$C$17))=0,"",(STDEV('组合净值（模拟）'!$I$6:$I$60)*SQRT(说明!$C$17)))</f>
        <v>0.63178299514746694</v>
      </c>
    </row>
    <row r="16" spans="2:7" ht="22.5" customHeight="1" x14ac:dyDescent="0.5">
      <c r="B16" s="20"/>
      <c r="C16" s="20"/>
      <c r="D16" s="20"/>
      <c r="E16" s="143" t="s">
        <v>81</v>
      </c>
      <c r="F16" s="139"/>
      <c r="G16" s="19">
        <f>IFERROR(((LOOKUP(2,1/('组合净值（模拟）'!$H$6:$H$60&lt;&gt;""),'组合净值（模拟）'!$H$6:$H$60)/'组合净值（模拟）'!$H$6)^(说明!$C$17/MAX(COUNT('组合净值（模拟）'!$I$6:$I$60),1))-1)/ABS(MIN('组合净值（模拟）'!$J$6:$J$60)),"")</f>
        <v>2.9006506527213167</v>
      </c>
    </row>
    <row r="18" spans="2:7" x14ac:dyDescent="0.25">
      <c r="B18" s="140" t="s">
        <v>82</v>
      </c>
      <c r="C18" s="136"/>
      <c r="D18" s="136"/>
      <c r="E18" s="136"/>
      <c r="F18" s="136"/>
      <c r="G18" s="136"/>
    </row>
    <row r="35" spans="2:2" ht="14.5" customHeight="1" x14ac:dyDescent="0.3">
      <c r="B35" s="57" t="s">
        <v>83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3" type="noConversion"/>
  <conditionalFormatting sqref="C7:D7">
    <cfRule type="cellIs" dxfId="18" priority="7" operator="lessThan">
      <formula>0</formula>
    </cfRule>
    <cfRule type="cellIs" dxfId="17" priority="8" operator="greaterThan">
      <formula>0</formula>
    </cfRule>
  </conditionalFormatting>
  <conditionalFormatting sqref="F7">
    <cfRule type="cellIs" dxfId="16" priority="5" operator="lessThan">
      <formula>0</formula>
    </cfRule>
    <cfRule type="cellIs" dxfId="15" priority="6" operator="greaterThan">
      <formula>0</formula>
    </cfRule>
  </conditionalFormatting>
  <conditionalFormatting sqref="C11:D11">
    <cfRule type="cellIs" dxfId="14" priority="3" operator="lessThan">
      <formula>0</formula>
    </cfRule>
    <cfRule type="cellIs" dxfId="13" priority="4" operator="greaterThan">
      <formula>0</formula>
    </cfRule>
  </conditionalFormatting>
  <conditionalFormatting sqref="G11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I34" sqref="I34"/>
    </sheetView>
  </sheetViews>
  <sheetFormatPr defaultRowHeight="14" x14ac:dyDescent="0.25"/>
  <cols>
    <col min="1" max="1" width="2" style="55" customWidth="1"/>
    <col min="2" max="2" width="14" style="55" customWidth="1"/>
    <col min="3" max="3" width="15.08984375" style="55" bestFit="1" customWidth="1"/>
    <col min="4" max="4" width="20.7265625" style="55" bestFit="1" customWidth="1"/>
    <col min="5" max="5" width="15.81640625" style="55" bestFit="1" customWidth="1"/>
    <col min="6" max="6" width="17.54296875" style="55" bestFit="1" customWidth="1"/>
    <col min="7" max="7" width="14" style="55" customWidth="1"/>
    <col min="8" max="8" width="2" style="55" customWidth="1"/>
  </cols>
  <sheetData>
    <row r="2" spans="2:7" ht="20.5" customHeight="1" x14ac:dyDescent="0.25">
      <c r="B2" s="142" t="s">
        <v>86</v>
      </c>
      <c r="C2" s="136"/>
      <c r="D2" s="136"/>
      <c r="E2" s="136"/>
      <c r="F2" s="136"/>
      <c r="G2" s="136"/>
    </row>
    <row r="3" spans="2:7" ht="14.5" customHeight="1" x14ac:dyDescent="0.3">
      <c r="B3" s="144" t="str">
        <f>"买入持有 · 已扣年化费率 "&amp;TEXT(持仓配置!$M$7,"0.0%")&amp;"（折每日计入净值）"</f>
        <v>买入持有 · 已扣年化费率 11.0%（折每日计入净值）</v>
      </c>
      <c r="C3" s="136"/>
      <c r="D3" s="136"/>
      <c r="E3" s="141" t="str">
        <f>"净值日期："&amp;TEXT(LOOKUP(2,1/('组合净值（模拟）'!$K$6:$K$60&lt;&gt;""),'组合净值（模拟）'!$A$6:$A$60),"yyyy-mm-dd")</f>
        <v>净值日期：2026-07-07</v>
      </c>
      <c r="F3" s="136"/>
      <c r="G3" s="136"/>
    </row>
    <row r="5" spans="2:7" x14ac:dyDescent="0.25">
      <c r="B5" s="140" t="s">
        <v>62</v>
      </c>
      <c r="C5" s="136"/>
      <c r="D5" s="136"/>
      <c r="E5" s="136"/>
      <c r="F5" s="136"/>
      <c r="G5" s="136"/>
    </row>
    <row r="6" spans="2:7" x14ac:dyDescent="0.25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 x14ac:dyDescent="0.25">
      <c r="B7" s="67">
        <f>LOOKUP(2,1/('组合净值（模拟）'!$K$6:$K$60&lt;&gt;""),'组合净值（模拟）'!$K$6:$K$60)</f>
        <v>1.1168982726026053</v>
      </c>
      <c r="C7" s="21">
        <f>(LOOKUP(2,1/('组合净值（模拟）'!$K$6:$K$60&lt;&gt;""),'组合净值（模拟）'!$K$6:$K$60))/'组合净值（模拟）'!$K$6-1</f>
        <v>0.11689827260260532</v>
      </c>
      <c r="D7" s="21">
        <f>(LOOKUP(2,1/('组合净值（模拟）'!$K$6:$K$60&lt;&gt;""),'组合净值（模拟）'!$K$6:$K$60)/'组合净值（模拟）'!$K$6)^(说明!$C$17/MAX(COUNT('组合净值（模拟）'!$L$6:$L$60),1))-1</f>
        <v>1.8951389749429941</v>
      </c>
      <c r="E7" s="22">
        <f>STDEV('组合净值（模拟）'!$L$6:$L$60)*SQRT(说明!$C$17)</f>
        <v>0.58255309820698598</v>
      </c>
      <c r="F7" s="21">
        <f>MIN('组合净值（模拟）'!$M$6:$M$60)</f>
        <v>-0.13986760559183919</v>
      </c>
      <c r="G7" s="23">
        <f>(((LOOKUP(2,1/('组合净值（模拟）'!$K$6:$K$60&lt;&gt;""),'组合净值（模拟）'!$K$6:$K$60)/'组合净值（模拟）'!$K$6)^(说明!$C$17/MAX(COUNT('组合净值（模拟）'!$L$6:$L$60),1))-1)-说明!$C$16)/IF((STDEV('组合净值（模拟）'!$L$6:$L$60)*SQRT(说明!$C$17))=0,"",(STDEV('组合净值（模拟）'!$L$6:$L$60)*SQRT(说明!$C$17)))</f>
        <v>3.2531609234865582</v>
      </c>
    </row>
    <row r="9" spans="2:7" x14ac:dyDescent="0.25">
      <c r="B9" s="140" t="s">
        <v>69</v>
      </c>
      <c r="C9" s="136"/>
      <c r="D9" s="136"/>
      <c r="E9" s="140" t="s">
        <v>70</v>
      </c>
      <c r="F9" s="136"/>
      <c r="G9" s="136"/>
    </row>
    <row r="10" spans="2:7" x14ac:dyDescent="0.25">
      <c r="B10" s="27" t="s">
        <v>71</v>
      </c>
      <c r="C10" s="27" t="s">
        <v>64</v>
      </c>
      <c r="D10" s="27" t="s">
        <v>65</v>
      </c>
      <c r="E10" s="145" t="s">
        <v>72</v>
      </c>
      <c r="F10" s="139"/>
      <c r="G10" s="27" t="s">
        <v>73</v>
      </c>
    </row>
    <row r="11" spans="2:7" ht="22.5" customHeight="1" x14ac:dyDescent="0.25">
      <c r="B11" s="26" t="s">
        <v>74</v>
      </c>
      <c r="C11" s="17">
        <f>IFERROR((LOOKUP(2,1/('组合净值（模拟）'!$K$6:$K$60&lt;&gt;""),'组合净值（模拟）'!$K$6:$K$60))/('组合净值（模拟）'!$K$6)-1,"")</f>
        <v>0.11689827260260532</v>
      </c>
      <c r="D11" s="17">
        <f>IFERROR((LOOKUP(2,1/('组合净值（模拟）'!$K$6:$K$60&lt;&gt;""),'组合净值（模拟）'!$K$6:$K$60)/('组合净值（模拟）'!$K$6))^(说明!$C$17/COUNT('组合净值（模拟）'!$L$6:$L$60))-1,"")</f>
        <v>1.8951389749429941</v>
      </c>
      <c r="E11" s="143" t="s">
        <v>67</v>
      </c>
      <c r="F11" s="139"/>
      <c r="G11" s="17">
        <f>MIN('组合净值（模拟）'!$M$6:$M$60)</f>
        <v>-0.13986760559183919</v>
      </c>
    </row>
    <row r="12" spans="2:7" ht="22.5" customHeight="1" x14ac:dyDescent="0.25">
      <c r="B12" s="26" t="s">
        <v>75</v>
      </c>
      <c r="C12" s="17">
        <f>IFERROR((LOOKUP(2,1/('组合净值（模拟）'!$K$6:$K$60&lt;&gt;""),'组合净值（模拟）'!$K$6:$K$60))/(IFERROR(LOOKUP(DATE(2026,1,1),'组合净值（模拟）'!$A$6:$A$60,'组合净值（模拟）'!$K$6:$K$60),'组合净值（模拟）'!$K$6))-1,"")</f>
        <v>0.11689827260260532</v>
      </c>
      <c r="D12" s="17">
        <f>IFERROR((LOOKUP(2,1/('组合净值（模拟）'!$K$6:$K$60&lt;&gt;""),'组合净值（模拟）'!$K$6:$K$60)/(IFERROR(LOOKUP(DATE(2026,1,1),'组合净值（模拟）'!$A$6:$A$60,'组合净值（模拟）'!$K$6:$K$60),'组合净值（模拟）'!$K$6)))^(说明!$C$17/MAX(COUNTIF('组合净值（模拟）'!$A$6:$A$60,"&gt;="&amp;(DATE(2026,1,1))),1))-1,"")</f>
        <v>1.7833674794388861</v>
      </c>
      <c r="E12" s="143" t="s">
        <v>76</v>
      </c>
      <c r="F12" s="139"/>
      <c r="G12" s="18">
        <f>IFERROR((LOOKUP(2,1/('组合净值（模拟）'!$K$6:$K$60&lt;&gt;""),ROW('组合净值（模拟）'!$K$6:$K$60)))-(LOOKUP(2,1/('组合净值（模拟）'!$M$6:$M$60=0),ROW('组合净值（模拟）'!$M$6:$M$60))),"")</f>
        <v>5</v>
      </c>
    </row>
    <row r="13" spans="2:7" ht="22.5" customHeight="1" x14ac:dyDescent="0.25">
      <c r="B13" s="26" t="s">
        <v>77</v>
      </c>
      <c r="C13" s="17">
        <f>IFERROR((LOOKUP(2,1/('组合净值（模拟）'!$K$6:$K$60&lt;&gt;""),'组合净值（模拟）'!$K$6:$K$60))/(IFERROR(LOOKUP(EDATE(LOOKUP(2,1/('组合净值（模拟）'!$K$6:$K$60&lt;&gt;""),'组合净值（模拟）'!$A$6:$A$60),-3),'组合净值（模拟）'!$A$6:$A$60,'组合净值（模拟）'!$K$6:$K$60),'组合净值（模拟）'!$K$6))-1,"")</f>
        <v>0.11689827260260532</v>
      </c>
      <c r="D13" s="17">
        <f>IFERROR((LOOKUP(2,1/('组合净值（模拟）'!$K$6:$K$60&lt;&gt;""),'组合净值（模拟）'!$K$6:$K$60)/(IFERROR(LOOKUP(EDATE(LOOKUP(2,1/('组合净值（模拟）'!$K$6:$K$60&lt;&gt;""),'组合净值（模拟）'!$A$6:$A$60),-3)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-3))),1))-1,"")</f>
        <v>1.7833674794388861</v>
      </c>
      <c r="E13" s="143" t="s">
        <v>78</v>
      </c>
      <c r="F13" s="139"/>
      <c r="G13" s="68">
        <f>COUNTIF('组合净值（模拟）'!$L$6:$L$60,"&gt;0")/MAX(COUNT('组合净值（模拟）'!$L$6:$L$60),1)</f>
        <v>0.57692307692307687</v>
      </c>
    </row>
    <row r="14" spans="2:7" ht="22.5" customHeight="1" x14ac:dyDescent="0.25">
      <c r="B14" s="26" t="s">
        <v>79</v>
      </c>
      <c r="C14" s="17">
        <f>IFERROR((LOOKUP(2,1/('组合净值（模拟）'!$K$6:$K$60&lt;&gt;""),'组合净值（模拟）'!$K$6:$K$60))/(IFERROR(LOOKUP(EDATE(LOOKUP(2,1/('组合净值（模拟）'!$K$6:$K$60&lt;&gt;""),'组合净值（模拟）'!$A$6:$A$60),-6),'组合净值（模拟）'!$A$6:$A$60,'组合净值（模拟）'!$K$6:$K$60),'组合净值（模拟）'!$K$6))-1,"")</f>
        <v>0.11689827260260532</v>
      </c>
      <c r="D14" s="17">
        <f>IFERROR((LOOKUP(2,1/('组合净值（模拟）'!$K$6:$K$60&lt;&gt;""),'组合净值（模拟）'!$K$6:$K$60)/(IFERROR(LOOKUP(EDATE(LOOKUP(2,1/('组合净值（模拟）'!$K$6:$K$60&lt;&gt;""),'组合净值（模拟）'!$A$6:$A$60),-6)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-6))),1))-1,"")</f>
        <v>1.7833674794388861</v>
      </c>
      <c r="E14" s="143" t="s">
        <v>66</v>
      </c>
      <c r="F14" s="139"/>
      <c r="G14" s="17">
        <f>STDEV('组合净值（模拟）'!$L$6:$L$60)*SQRT(说明!$C$17)</f>
        <v>0.58255309820698598</v>
      </c>
    </row>
    <row r="15" spans="2:7" ht="22.5" customHeight="1" x14ac:dyDescent="0.25">
      <c r="B15" s="26" t="s">
        <v>80</v>
      </c>
      <c r="C15" s="17">
        <f>IFERROR((LOOKUP(2,1/('组合净值（模拟）'!$K$6:$K$60&lt;&gt;""),'组合净值（模拟）'!$K$6:$K$60))/(IFERROR(LOOKUP(EDATE(LOOKUP(2,1/('组合净值（模拟）'!$K$6:$K$60&lt;&gt;""),'组合净值（模拟）'!$A$6:$A$60),-12),'组合净值（模拟）'!$A$6:$A$60,'组合净值（模拟）'!$K$6:$K$60),'组合净值（模拟）'!$K$6))-1,"")</f>
        <v>0.11689827260260532</v>
      </c>
      <c r="D15" s="17">
        <f>IFERROR((LOOKUP(2,1/('组合净值（模拟）'!$K$6:$K$60&lt;&gt;""),'组合净值（模拟）'!$K$6:$K$60)/(IFERROR(LOOKUP(EDATE(LOOKUP(2,1/('组合净值（模拟）'!$K$6:$K$60&lt;&gt;""),'组合净值（模拟）'!$A$6:$A$60),-12)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-12))),1))-1,"")</f>
        <v>1.7833674794388861</v>
      </c>
      <c r="E15" s="143" t="s">
        <v>68</v>
      </c>
      <c r="F15" s="139"/>
      <c r="G15" s="19">
        <f>(((LOOKUP(2,1/('组合净值（模拟）'!$K$6:$K$60&lt;&gt;""),'组合净值（模拟）'!$K$6:$K$60)/'组合净值（模拟）'!$K$6)^(说明!$C$17/MAX(COUNT('组合净值（模拟）'!$L$6:$L$60),1))-1)-说明!$C$16)/IF((STDEV('组合净值（模拟）'!$L$6:$L$60)*SQRT(说明!$C$17))=0,"",(STDEV('组合净值（模拟）'!$L$6:$L$60)*SQRT(说明!$C$17)))</f>
        <v>3.2531609234865582</v>
      </c>
    </row>
    <row r="16" spans="2:7" ht="22.5" customHeight="1" x14ac:dyDescent="0.5">
      <c r="B16" s="20"/>
      <c r="C16" s="20"/>
      <c r="D16" s="20"/>
      <c r="E16" s="143" t="s">
        <v>81</v>
      </c>
      <c r="F16" s="139"/>
      <c r="G16" s="19">
        <f>IFERROR(((LOOKUP(2,1/('组合净值（模拟）'!$K$6:$K$60&lt;&gt;""),'组合净值（模拟）'!$K$6:$K$60)/'组合净值（模拟）'!$K$6)^(说明!$C$17/MAX(COUNT('组合净值（模拟）'!$L$6:$L$60),1))-1)/ABS(MIN('组合净值（模拟）'!$M$6:$M$60)),"")</f>
        <v>13.549520397692209</v>
      </c>
    </row>
    <row r="18" spans="2:7" x14ac:dyDescent="0.25">
      <c r="B18" s="140" t="s">
        <v>82</v>
      </c>
      <c r="C18" s="136"/>
      <c r="D18" s="136"/>
      <c r="E18" s="136"/>
      <c r="F18" s="136"/>
      <c r="G18" s="136"/>
    </row>
    <row r="35" spans="2:2" ht="14.5" customHeight="1" x14ac:dyDescent="0.3">
      <c r="B35" s="57" t="s">
        <v>83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3" type="noConversion"/>
  <conditionalFormatting sqref="C7:D7">
    <cfRule type="cellIs" dxfId="10" priority="7" operator="lessThan">
      <formula>0</formula>
    </cfRule>
    <cfRule type="cellIs" dxfId="9" priority="8" operator="greaterThan">
      <formula>0</formula>
    </cfRule>
  </conditionalFormatting>
  <conditionalFormatting sqref="F7">
    <cfRule type="cellIs" dxfId="8" priority="5" operator="lessThan">
      <formula>0</formula>
    </cfRule>
    <cfRule type="cellIs" dxfId="7" priority="6" operator="greaterThan">
      <formula>0</formula>
    </cfRule>
  </conditionalFormatting>
  <conditionalFormatting sqref="C11:D11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G11">
    <cfRule type="cellIs" dxfId="4" priority="1" operator="lessThan">
      <formula>0</formula>
    </cfRule>
    <cfRule type="cellIs" dxfId="3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G36" sqref="G36"/>
    </sheetView>
  </sheetViews>
  <sheetFormatPr defaultRowHeight="14" x14ac:dyDescent="0.25"/>
  <cols>
    <col min="1" max="1" width="2" style="55" customWidth="1"/>
    <col min="2" max="2" width="26" style="55" customWidth="1"/>
    <col min="3" max="8" width="15" style="55" customWidth="1"/>
  </cols>
  <sheetData>
    <row r="2" spans="2:8" ht="23" customHeight="1" x14ac:dyDescent="0.5">
      <c r="B2" s="1" t="s">
        <v>87</v>
      </c>
    </row>
    <row r="3" spans="2:8" ht="14.5" customHeight="1" x14ac:dyDescent="0.3">
      <c r="B3" s="57" t="s">
        <v>88</v>
      </c>
    </row>
    <row r="5" spans="2:8" ht="15.5" customHeight="1" x14ac:dyDescent="0.25">
      <c r="B5" s="13" t="s">
        <v>89</v>
      </c>
    </row>
    <row r="6" spans="2:8" ht="16.5" customHeight="1" x14ac:dyDescent="0.25">
      <c r="B6" s="14" t="s">
        <v>90</v>
      </c>
      <c r="C6" s="146" t="s">
        <v>91</v>
      </c>
      <c r="D6" s="136"/>
      <c r="E6" s="136"/>
      <c r="F6" s="136"/>
      <c r="G6" s="136"/>
      <c r="H6" s="136"/>
    </row>
    <row r="7" spans="2:8" ht="25.5" customHeight="1" x14ac:dyDescent="0.25">
      <c r="B7" s="14" t="s">
        <v>92</v>
      </c>
      <c r="C7" s="146" t="s">
        <v>93</v>
      </c>
      <c r="D7" s="136"/>
      <c r="E7" s="136"/>
      <c r="F7" s="136"/>
      <c r="G7" s="136"/>
      <c r="H7" s="136"/>
    </row>
    <row r="8" spans="2:8" ht="16.5" customHeight="1" x14ac:dyDescent="0.25">
      <c r="B8" s="14" t="s">
        <v>94</v>
      </c>
      <c r="C8" s="146" t="s">
        <v>95</v>
      </c>
      <c r="D8" s="136"/>
      <c r="E8" s="136"/>
      <c r="F8" s="136"/>
      <c r="G8" s="136"/>
      <c r="H8" s="136"/>
    </row>
    <row r="9" spans="2:8" ht="28" customHeight="1" x14ac:dyDescent="0.25">
      <c r="B9" s="14" t="s">
        <v>96</v>
      </c>
      <c r="C9" s="146" t="s">
        <v>97</v>
      </c>
      <c r="D9" s="136"/>
      <c r="E9" s="136"/>
      <c r="F9" s="136"/>
      <c r="G9" s="136"/>
      <c r="H9" s="136"/>
    </row>
    <row r="10" spans="2:8" ht="16.5" customHeight="1" x14ac:dyDescent="0.25">
      <c r="B10" s="15"/>
      <c r="C10" s="16"/>
      <c r="D10" s="16"/>
      <c r="E10" s="16"/>
      <c r="F10" s="16"/>
      <c r="G10" s="16"/>
      <c r="H10" s="16"/>
    </row>
    <row r="11" spans="2:8" ht="16.5" customHeight="1" x14ac:dyDescent="0.25">
      <c r="B11" s="13" t="s">
        <v>98</v>
      </c>
      <c r="C11" s="16"/>
      <c r="D11" s="16"/>
      <c r="E11" s="16"/>
      <c r="F11" s="16"/>
      <c r="G11" s="16"/>
      <c r="H11" s="16"/>
    </row>
    <row r="12" spans="2:8" ht="16.5" customHeight="1" x14ac:dyDescent="0.25">
      <c r="B12" s="14" t="s">
        <v>99</v>
      </c>
      <c r="C12" s="146" t="s">
        <v>100</v>
      </c>
      <c r="D12" s="136"/>
      <c r="E12" s="136"/>
      <c r="F12" s="136"/>
      <c r="G12" s="136"/>
      <c r="H12" s="136"/>
    </row>
    <row r="13" spans="2:8" ht="16.5" customHeight="1" x14ac:dyDescent="0.25">
      <c r="B13" s="14" t="s">
        <v>101</v>
      </c>
      <c r="C13" s="146" t="s">
        <v>102</v>
      </c>
      <c r="D13" s="136"/>
      <c r="E13" s="136"/>
      <c r="F13" s="136"/>
      <c r="G13" s="136"/>
      <c r="H13" s="136"/>
    </row>
    <row r="14" spans="2:8" ht="16.5" customHeight="1" x14ac:dyDescent="0.25">
      <c r="B14" s="14" t="s">
        <v>103</v>
      </c>
      <c r="C14" s="146" t="s">
        <v>104</v>
      </c>
      <c r="D14" s="136"/>
      <c r="E14" s="136"/>
      <c r="F14" s="136"/>
      <c r="G14" s="136"/>
      <c r="H14" s="136"/>
    </row>
    <row r="15" spans="2:8" ht="14.5" customHeight="1" x14ac:dyDescent="0.25">
      <c r="B15" s="14" t="s">
        <v>105</v>
      </c>
      <c r="C15" s="25" t="s">
        <v>106</v>
      </c>
    </row>
    <row r="16" spans="2:8" x14ac:dyDescent="0.25">
      <c r="B16" s="14" t="s">
        <v>107</v>
      </c>
      <c r="C16" s="69">
        <v>0</v>
      </c>
    </row>
    <row r="17" spans="2:3" x14ac:dyDescent="0.25">
      <c r="B17" s="14" t="s">
        <v>108</v>
      </c>
      <c r="C17" s="24">
        <v>250</v>
      </c>
    </row>
    <row r="18" spans="2:3" ht="14.5" customHeight="1" x14ac:dyDescent="0.25">
      <c r="B18" s="14" t="s">
        <v>109</v>
      </c>
      <c r="C18" s="25" t="s">
        <v>110</v>
      </c>
    </row>
    <row r="19" spans="2:3" ht="14.5" customHeight="1" x14ac:dyDescent="0.3">
      <c r="B19" s="12" t="s">
        <v>111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9"/>
  <sheetViews>
    <sheetView tabSelected="1" workbookViewId="0">
      <selection activeCell="G12" sqref="G12"/>
    </sheetView>
  </sheetViews>
  <sheetFormatPr defaultRowHeight="14" x14ac:dyDescent="0.25"/>
  <cols>
    <col min="2" max="2" width="21.08984375" style="55" bestFit="1" customWidth="1"/>
    <col min="3" max="3" width="10.54296875" style="55" customWidth="1"/>
    <col min="4" max="4" width="12.26953125" style="55" hidden="1" customWidth="1"/>
    <col min="5" max="5" width="37.26953125" style="55" customWidth="1"/>
    <col min="6" max="6" width="20.81640625" style="55" customWidth="1"/>
    <col min="7" max="7" width="19.6328125" style="55" customWidth="1"/>
    <col min="8" max="8" width="10.26953125" style="55" bestFit="1" customWidth="1"/>
    <col min="9" max="11" width="11" style="55" customWidth="1"/>
    <col min="12" max="12" width="11.36328125" style="55" customWidth="1"/>
    <col min="13" max="13" width="12.453125" style="55" bestFit="1" customWidth="1"/>
    <col min="14" max="14" width="11.7265625" style="55" customWidth="1"/>
  </cols>
  <sheetData>
    <row r="1" spans="2:13" x14ac:dyDescent="0.25">
      <c r="F1" s="133">
        <v>46191</v>
      </c>
      <c r="G1" s="46">
        <v>46171</v>
      </c>
      <c r="K1" t="s">
        <v>112</v>
      </c>
    </row>
    <row r="2" spans="2:13" x14ac:dyDescent="0.25">
      <c r="F2" s="133">
        <v>46195</v>
      </c>
      <c r="G2" s="46">
        <v>46174</v>
      </c>
      <c r="H2" s="11">
        <v>46174</v>
      </c>
      <c r="L2">
        <f>VLOOKUP(G1,'组合净值（模拟）'!A:M,2,0)</f>
        <v>1</v>
      </c>
      <c r="M2">
        <f>VLOOKUP(F1,实盘组合净值!A:S,14,0)</f>
        <v>1</v>
      </c>
    </row>
    <row r="3" spans="2:13" x14ac:dyDescent="0.25">
      <c r="F3" s="133">
        <f>G3</f>
        <v>46206</v>
      </c>
      <c r="G3" s="46">
        <v>46206</v>
      </c>
      <c r="H3" s="11">
        <f>G3</f>
        <v>46206</v>
      </c>
      <c r="L3">
        <f>VLOOKUP(G3,'组合净值（模拟）'!A:M,2,0)</f>
        <v>1.0038981426733757</v>
      </c>
      <c r="M3">
        <f ca="1">VLOOKUP(F3,'1090实盘净值'!A:C,2,0)</f>
        <v>0.99491236999999999</v>
      </c>
    </row>
    <row r="4" spans="2:13" ht="33.5" customHeight="1" x14ac:dyDescent="0.45">
      <c r="B4" s="105" t="s">
        <v>176</v>
      </c>
      <c r="C4" s="40" t="s">
        <v>113</v>
      </c>
      <c r="D4" s="29" t="s">
        <v>114</v>
      </c>
      <c r="E4" s="40" t="s">
        <v>115</v>
      </c>
      <c r="F4" s="40" t="str">
        <f>"上线以来（截止"&amp;TEXT($G$3,"m.d")&amp;"）"</f>
        <v>上线以来（截止7.3）</v>
      </c>
      <c r="G4" s="40" t="str">
        <f>"6月以来（截止"&amp;TEXT($G$3,"m.d")&amp;"）"</f>
        <v>6月以来（截止7.3）</v>
      </c>
      <c r="H4" s="70" t="s">
        <v>67</v>
      </c>
      <c r="I4" s="71" t="s">
        <v>66</v>
      </c>
      <c r="J4" s="71" t="s">
        <v>68</v>
      </c>
      <c r="K4" s="72" t="s">
        <v>81</v>
      </c>
    </row>
    <row r="5" spans="2:13" ht="21" customHeight="1" x14ac:dyDescent="0.4">
      <c r="B5" s="36" t="s">
        <v>116</v>
      </c>
      <c r="C5" s="54">
        <v>0.1</v>
      </c>
      <c r="D5" s="37"/>
      <c r="E5" s="38" t="s">
        <v>117</v>
      </c>
      <c r="F5" s="44">
        <f ca="1">M3/M2-1</f>
        <v>-5.0876300000000096E-3</v>
      </c>
      <c r="G5" s="39">
        <f>L3/L2-1</f>
        <v>3.8981426733757374E-3</v>
      </c>
      <c r="H5" s="73">
        <f>'看板-10-90'!F7</f>
        <v>-9.9052057010404759E-3</v>
      </c>
      <c r="I5" s="74">
        <f>'看板-10-90'!E7</f>
        <v>4.7915986172066556E-2</v>
      </c>
      <c r="J5" s="75">
        <f>'看板-10-90'!G7</f>
        <v>0.41110524374791574</v>
      </c>
      <c r="K5" s="76">
        <f>IFERROR('看板-10-90'!D7/ABS('看板-10-90'!F7),"")</f>
        <v>1.9887030889848136</v>
      </c>
    </row>
    <row r="6" spans="2:13" ht="21" customHeight="1" x14ac:dyDescent="0.45">
      <c r="B6" s="149" t="s">
        <v>118</v>
      </c>
      <c r="C6" s="152" t="s">
        <v>119</v>
      </c>
      <c r="D6" s="32" t="s">
        <v>120</v>
      </c>
      <c r="E6" s="41" t="str">
        <f>[1]!thsiFinD("ths_fund_official_short_name_fund",D6)</f>
        <v>华安盈瑞稳健优选6个月持有混合(FOF)A</v>
      </c>
      <c r="F6" s="45">
        <f>[1]!thsiFinD("ths_adjustment_nvg_ratio_fund",$D6,F$2,F$3,101)/100</f>
        <v>-2.4139472507824001E-3</v>
      </c>
      <c r="G6" s="45">
        <f>[1]!thsiFinD("ths_adjustment_nvg_ratio_fund",$D6,G$2,G$3,101)/100</f>
        <v>1.256281407035E-3</v>
      </c>
      <c r="H6" s="77">
        <f>-[1]!thsiFinD("ths_max_retrace_rate_all_fund",$D6,$H$2,$H$3)/100</f>
        <v>-5.0179211469533998E-3</v>
      </c>
      <c r="I6" s="78">
        <f>[1]!thsiFinD("ths_annual_volatility_fund",D6,$H$2,$H$3,100,101)/100</f>
        <v>2.5666681937595998E-2</v>
      </c>
      <c r="J6" s="79">
        <f>[1]!thsiFinD("ths_sharp_fund",D6,$H$2,$H$3,100,101,100)</f>
        <v>7.6886892357207999E-3</v>
      </c>
      <c r="K6" s="80">
        <f>[1]!thsiFinD("ths_calmar_ratio_fund",D6,$H$2,$H$3)</f>
        <v>2.7866875447976001</v>
      </c>
    </row>
    <row r="7" spans="2:13" ht="21" customHeight="1" x14ac:dyDescent="0.45">
      <c r="B7" s="148"/>
      <c r="C7" s="136"/>
      <c r="D7" s="30" t="s">
        <v>121</v>
      </c>
      <c r="E7" s="42" t="str">
        <f>[1]!thsiFinD("ths_fund_official_short_name_fund",D7)</f>
        <v>中欧盈欣稳健6个月持有混合(FOF)A</v>
      </c>
      <c r="F7" s="31">
        <f>[1]!thsiFinD("ths_adjustment_nvg_ratio_fund",$D7,F$2,F$3,101)/100</f>
        <v>-1.9972039145194998E-4</v>
      </c>
      <c r="G7" s="31">
        <f>[1]!thsiFinD("ths_adjustment_nvg_ratio_fund",$D7,G$2,G$3,101)/100</f>
        <v>-3.5828025477704999E-3</v>
      </c>
      <c r="H7" s="81">
        <f>-[1]!thsiFinD("ths_max_retrace_rate_all_fund",$D7,$H$2,$H$3)/100</f>
        <v>-7.8497615262319992E-3</v>
      </c>
      <c r="I7" s="82">
        <f>[1]!thsiFinD("ths_annual_volatility_fund",D7,$H$2,$H$3,100,101)/100</f>
        <v>2.0908311154363E-2</v>
      </c>
      <c r="J7" s="83">
        <f>[1]!thsiFinD("ths_sharp_fund",D7,$H$2,$H$3,100,101,100)</f>
        <v>-0.14353007232563</v>
      </c>
      <c r="K7" s="84">
        <f>[1]!thsiFinD("ths_calmar_ratio_fund",D7,$H$2,$H$3)</f>
        <v>-4.9582960961479996</v>
      </c>
    </row>
    <row r="8" spans="2:13" ht="21" customHeight="1" x14ac:dyDescent="0.45">
      <c r="B8" s="148"/>
      <c r="C8" s="136"/>
      <c r="D8" s="32" t="s">
        <v>122</v>
      </c>
      <c r="E8" s="41" t="str">
        <f>[1]!thsiFinD("ths_fund_official_short_name_fund",D8)</f>
        <v>博时臻选楚汇三个月持有债券(FOF)B</v>
      </c>
      <c r="F8" s="33">
        <f>[1]!thsiFinD("ths_adjustment_nvg_ratio_fund",$D8,F$2,F$3,101)/100</f>
        <v>-4.4907490569421997E-4</v>
      </c>
      <c r="G8" s="33">
        <f>[1]!thsiFinD("ths_adjustment_nvg_ratio_fund",$D8,G$2,G$3,101)/100</f>
        <v>-3.5813412122839999E-3</v>
      </c>
      <c r="H8" s="77">
        <f>-[1]!thsiFinD("ths_max_retrace_rate_all_fund",$D8,$H$2,$H$3)/100</f>
        <v>-8.8440235840628999E-3</v>
      </c>
      <c r="I8" s="78">
        <f>[1]!thsiFinD("ths_annual_volatility_fund",D8,$H$2,$H$3,100,101)/100</f>
        <v>2.2906380851516001E-2</v>
      </c>
      <c r="J8" s="79">
        <f>[1]!thsiFinD("ths_sharp_fund",D8,$H$2,$H$3,100,101,100)</f>
        <v>-0.13085215244633999</v>
      </c>
      <c r="K8" s="80">
        <f>[1]!thsiFinD("ths_calmar_ratio_fund",D8,$H$2,$H$3)</f>
        <v>-4.3991121723664</v>
      </c>
    </row>
    <row r="9" spans="2:13" ht="21" customHeight="1" x14ac:dyDescent="0.45">
      <c r="B9" s="148"/>
      <c r="C9" s="136"/>
      <c r="D9" s="30" t="s">
        <v>123</v>
      </c>
      <c r="E9" s="42" t="str">
        <f>[1]!thsiFinD("ths_fund_official_short_name_fund",D9)</f>
        <v>中欧盈选稳健6个月持有混合发起(FOF)A</v>
      </c>
      <c r="F9" s="31">
        <f>[1]!thsiFinD("ths_adjustment_nvg_ratio_fund",$D9,F$2,F$3,101)/100</f>
        <v>0</v>
      </c>
      <c r="G9" s="31">
        <f>[1]!thsiFinD("ths_adjustment_nvg_ratio_fund",$D9,G$2,G$3,101)/100</f>
        <v>-3.4498834498835002E-3</v>
      </c>
      <c r="H9" s="81">
        <f>-[1]!thsiFinD("ths_max_retrace_rate_all_fund",$D9,$H$2,$H$3)/100</f>
        <v>-8.0059579221745999E-3</v>
      </c>
      <c r="I9" s="82">
        <f>[1]!thsiFinD("ths_annual_volatility_fund",D9,$H$2,$H$3,100,101)/100</f>
        <v>2.0915346206885E-2</v>
      </c>
      <c r="J9" s="83">
        <f>[1]!thsiFinD("ths_sharp_fund",D9,$H$2,$H$3,100,101,100)</f>
        <v>-0.13928047010156999</v>
      </c>
      <c r="K9" s="84">
        <f>[1]!thsiFinD("ths_calmar_ratio_fund",D9,$H$2,$H$3)</f>
        <v>-4.6843194863108</v>
      </c>
    </row>
    <row r="10" spans="2:13" ht="21" customHeight="1" x14ac:dyDescent="0.45">
      <c r="B10" s="150"/>
      <c r="C10" s="153"/>
      <c r="D10" s="34" t="s">
        <v>124</v>
      </c>
      <c r="E10" s="43" t="str">
        <f>[1]!thsiFinD("ths_fund_official_short_name_fund",D10)</f>
        <v>博时盈泰臻选6个月持有期混合(FOF)A</v>
      </c>
      <c r="F10" s="35">
        <f>[1]!thsiFinD("ths_adjustment_nvg_ratio_fund",$D10,F$2,F$3,101)/100</f>
        <v>1.9984012789766E-4</v>
      </c>
      <c r="G10" s="35">
        <f>[1]!thsiFinD("ths_adjustment_nvg_ratio_fund",$D10,G$2,G$3,101)/100</f>
        <v>-7.9856258734292002E-4</v>
      </c>
      <c r="H10" s="85">
        <f>-[1]!thsiFinD("ths_max_retrace_rate_all_fund",$D10,$H$2,$H$3)/100</f>
        <v>-6.2786525812239006E-3</v>
      </c>
      <c r="I10" s="86">
        <f>[1]!thsiFinD("ths_annual_volatility_fund",D10,$H$2,$H$3,100,101)/100</f>
        <v>1.8430340553360999E-2</v>
      </c>
      <c r="J10" s="87">
        <f>[1]!thsiFinD("ths_sharp_fund",D10,$H$2,$H$3,100,101,100)</f>
        <v>-6.3253700827633E-2</v>
      </c>
      <c r="K10" s="88">
        <f>[1]!thsiFinD("ths_calmar_ratio_fund",D10,$H$2,$H$3)</f>
        <v>-1.4011272182737999</v>
      </c>
    </row>
    <row r="11" spans="2:13" ht="20" customHeight="1" x14ac:dyDescent="0.45">
      <c r="B11" s="147" t="s">
        <v>125</v>
      </c>
      <c r="C11" s="151" t="s">
        <v>126</v>
      </c>
      <c r="D11" s="30" t="s">
        <v>127</v>
      </c>
      <c r="E11" s="42" t="str">
        <f>[1]!thsiFinD("ths_fund_official_short_name_fund",D11)</f>
        <v>易方达如意盈安6个月持有混合发起式(FOF)A</v>
      </c>
      <c r="F11" s="31">
        <f>[1]!thsiFinD("ths_adjustment_nvg_ratio_fund",$D11,F$2,F$3,101)/100</f>
        <v>-2.1541173014786997E-3</v>
      </c>
      <c r="G11" s="31">
        <f>[1]!thsiFinD("ths_adjustment_nvg_ratio_fund",$D11,G$2,G$3,101)/100</f>
        <v>1.9663749877102E-3</v>
      </c>
      <c r="H11" s="81">
        <f>-[1]!thsiFinD("ths_max_retrace_rate_all_fund",$D11,$H$2,$H$3)/100</f>
        <v>-1.0990089294475001E-2</v>
      </c>
      <c r="I11" s="82">
        <f>[1]!thsiFinD("ths_annual_volatility_fund",D11,$H$2,$H$3,100,101)/100</f>
        <v>5.5677162119998E-2</v>
      </c>
      <c r="J11" s="83">
        <f>[1]!thsiFinD("ths_sharp_fund",D11,$H$2,$H$3,100,101,100)</f>
        <v>1.3263801844475001E-2</v>
      </c>
      <c r="K11" s="84">
        <f>[1]!thsiFinD("ths_calmar_ratio_fund",D11,$H$2,$H$3)</f>
        <v>1.998683868751</v>
      </c>
    </row>
    <row r="12" spans="2:13" ht="20" customHeight="1" x14ac:dyDescent="0.45">
      <c r="B12" s="148"/>
      <c r="C12" s="136"/>
      <c r="D12" s="32" t="s">
        <v>128</v>
      </c>
      <c r="E12" s="41" t="str">
        <f>[1]!thsiFinD("ths_fund_official_short_name_fund",D12)</f>
        <v>易方达如意安诚六个月持有混合(FOF)A</v>
      </c>
      <c r="F12" s="33">
        <f>[1]!thsiFinD("ths_adjustment_nvg_ratio_fund",$D12,F$2,F$3,101)/100</f>
        <v>-2.1763732915469E-3</v>
      </c>
      <c r="G12" s="33">
        <f>[1]!thsiFinD("ths_adjustment_nvg_ratio_fund",$D12,G$2,G$3,101)/100</f>
        <v>9.6061479346791002E-4</v>
      </c>
      <c r="H12" s="77">
        <f>-[1]!thsiFinD("ths_max_retrace_rate_all_fund",$D12,$H$2,$H$3)/100</f>
        <v>-1.1072362685265999E-2</v>
      </c>
      <c r="I12" s="78">
        <f>[1]!thsiFinD("ths_annual_volatility_fund",D12,$H$2,$H$3,100,101)/100</f>
        <v>5.3773814496250995E-2</v>
      </c>
      <c r="J12" s="79">
        <f>[1]!thsiFinD("ths_sharp_fund",D12,$H$2,$H$3,100,101,100)</f>
        <v>1.3111095551820999E-3</v>
      </c>
      <c r="K12" s="80">
        <f>[1]!thsiFinD("ths_calmar_ratio_fund",D12,$H$2,$H$3)</f>
        <v>0.96424523078005997</v>
      </c>
    </row>
    <row r="14" spans="2:13" hidden="1" x14ac:dyDescent="0.25"/>
    <row r="15" spans="2:13" ht="15" x14ac:dyDescent="0.35">
      <c r="B15" s="89"/>
    </row>
    <row r="16" spans="2:13" ht="16.5" customHeight="1" x14ac:dyDescent="0.25"/>
    <row r="17" ht="16.5" customHeight="1" x14ac:dyDescent="0.25"/>
    <row r="18" ht="16.5" customHeight="1" x14ac:dyDescent="0.25"/>
    <row r="19" ht="16.5" customHeight="1" x14ac:dyDescent="0.25"/>
  </sheetData>
  <mergeCells count="4">
    <mergeCell ref="B11:B12"/>
    <mergeCell ref="B6:B10"/>
    <mergeCell ref="C11:C12"/>
    <mergeCell ref="C6:C10"/>
  </mergeCells>
  <phoneticPr fontId="13" type="noConversion"/>
  <conditionalFormatting sqref="F6:G12">
    <cfRule type="cellIs" dxfId="2" priority="1" operator="greaterThan">
      <formula>0.0016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B1:N17"/>
  <sheetViews>
    <sheetView workbookViewId="0">
      <selection activeCell="J13" sqref="J13"/>
    </sheetView>
  </sheetViews>
  <sheetFormatPr defaultRowHeight="14" x14ac:dyDescent="0.25"/>
  <cols>
    <col min="2" max="2" width="21.08984375" style="55" customWidth="1"/>
    <col min="3" max="3" width="11" style="55" customWidth="1"/>
    <col min="4" max="4" width="12.26953125" style="55" hidden="1" customWidth="1"/>
    <col min="5" max="5" width="31.90625" style="55" customWidth="1"/>
    <col min="6" max="6" width="21.36328125" style="55" bestFit="1" customWidth="1"/>
    <col min="7" max="7" width="18.54296875" style="55" customWidth="1"/>
    <col min="8" max="8" width="11.36328125" style="55" customWidth="1"/>
    <col min="9" max="11" width="11" style="55" customWidth="1"/>
    <col min="12" max="12" width="15" style="55" hidden="1" customWidth="1"/>
  </cols>
  <sheetData>
    <row r="1" spans="2:14" x14ac:dyDescent="0.25">
      <c r="F1" s="11">
        <f>vs招行!F1</f>
        <v>46191</v>
      </c>
      <c r="G1" s="11">
        <f>vs招行!G1</f>
        <v>46171</v>
      </c>
    </row>
    <row r="2" spans="2:14" ht="15.5" x14ac:dyDescent="0.4">
      <c r="B2" s="89"/>
      <c r="C2" s="92" t="s">
        <v>129</v>
      </c>
      <c r="F2" s="11">
        <f>vs招行!F2</f>
        <v>46195</v>
      </c>
      <c r="G2" s="11">
        <f>vs招行!G2</f>
        <v>46174</v>
      </c>
      <c r="H2" s="11">
        <f>vs招行!H2</f>
        <v>46174</v>
      </c>
      <c r="K2" s="91"/>
      <c r="M2" s="55">
        <f>VLOOKUP(G1,'组合净值（模拟）'!A:M,2,0)</f>
        <v>1</v>
      </c>
      <c r="N2" s="55">
        <v>1</v>
      </c>
    </row>
    <row r="3" spans="2:14" x14ac:dyDescent="0.25">
      <c r="F3" s="11">
        <f>G3</f>
        <v>46210</v>
      </c>
      <c r="G3" s="46">
        <v>46210</v>
      </c>
      <c r="H3" s="11">
        <f>G3</f>
        <v>46210</v>
      </c>
      <c r="M3" s="55">
        <f>VLOOKUP(G3,'组合净值（模拟）'!A:M,2,0)</f>
        <v>1.0020307881244941</v>
      </c>
      <c r="N3" s="55">
        <f ca="1">VLOOKUP(H3,'1090实盘净值'!A:C,2,0)</f>
        <v>0.99336488999999994</v>
      </c>
    </row>
    <row r="4" spans="2:14" ht="32" customHeight="1" x14ac:dyDescent="0.25">
      <c r="B4" s="93" t="s">
        <v>178</v>
      </c>
      <c r="C4" s="106" t="s">
        <v>177</v>
      </c>
      <c r="D4" s="94" t="s">
        <v>17</v>
      </c>
      <c r="E4" s="94" t="s">
        <v>115</v>
      </c>
      <c r="F4" s="94" t="str">
        <f>"上线以来（截止"&amp;TEXT($G$3,"m.d")&amp;"）"</f>
        <v>上线以来（截止7.7）</v>
      </c>
      <c r="G4" s="94" t="str">
        <f>"6月以来（截止"&amp;TEXT($G$3,"m.d")&amp;"）"</f>
        <v>6月以来（截止7.7）</v>
      </c>
      <c r="H4" s="94" t="s">
        <v>67</v>
      </c>
      <c r="I4" s="94" t="s">
        <v>66</v>
      </c>
      <c r="J4" s="94" t="s">
        <v>68</v>
      </c>
      <c r="K4" s="94" t="s">
        <v>81</v>
      </c>
      <c r="L4" s="95" t="s">
        <v>130</v>
      </c>
    </row>
    <row r="5" spans="2:14" ht="21" customHeight="1" x14ac:dyDescent="0.4">
      <c r="B5" s="107" t="s">
        <v>116</v>
      </c>
      <c r="C5" s="108">
        <v>0.1</v>
      </c>
      <c r="D5" s="109"/>
      <c r="E5" s="110" t="s">
        <v>117</v>
      </c>
      <c r="F5" s="129">
        <f ca="1">N3/N2-1</f>
        <v>-6.6351100000000551E-3</v>
      </c>
      <c r="G5" s="111">
        <f>M3/M2-1</f>
        <v>2.0307881244940873E-3</v>
      </c>
      <c r="H5" s="112">
        <f>vs招行!H5</f>
        <v>-9.9052057010404759E-3</v>
      </c>
      <c r="I5" s="108">
        <f>vs招行!I5</f>
        <v>4.7915986172066556E-2</v>
      </c>
      <c r="J5" s="113">
        <f>vs招行!J5</f>
        <v>0.41110524374791574</v>
      </c>
      <c r="K5" s="113">
        <f>vs招行!K5</f>
        <v>1.9887030889848136</v>
      </c>
      <c r="L5" s="96"/>
    </row>
    <row r="6" spans="2:14" ht="21" customHeight="1" x14ac:dyDescent="0.45">
      <c r="B6" s="154" t="s">
        <v>131</v>
      </c>
      <c r="C6" s="116">
        <f>[1]!thsiFinD("ths_stock_mv_to_fanv_fund",$D6,$C$2)/100</f>
        <v>0.11190981852382001</v>
      </c>
      <c r="D6" s="117" t="s">
        <v>133</v>
      </c>
      <c r="E6" s="117" t="str">
        <f>[1]!thsiFinD("ths_fund_official_short_name_fund",D6)</f>
        <v>华泰柏瑞鼎利混合A</v>
      </c>
      <c r="F6" s="116">
        <f>[1]!thsiFinD("ths_adjustment_nvg_ratio_fund",$D6,F$2,F$3,101)/100</f>
        <v>-5.8964556459429997E-3</v>
      </c>
      <c r="G6" s="116">
        <f>[1]!thsiFinD("ths_adjustment_nvg_ratio_fund",$D6,G$2,G$3,101)/100</f>
        <v>-1.2487126676808E-2</v>
      </c>
      <c r="H6" s="118">
        <f>-[1]!thsiFinD("ths_max_retrace_rate_all_fund",$D6,$H$2,$H$3)/100</f>
        <v>-1.3511774540013E-2</v>
      </c>
      <c r="I6" s="124">
        <f>[1]!thsiFinD("ths_annual_volatility_fund",D6,$H$2,$H$3,100,101)/100</f>
        <v>3.2082482661898004E-2</v>
      </c>
      <c r="J6" s="132">
        <f>[1]!thsiFinD("ths_sharp_fund",D6,$H$2,$H$3,100,101,100)</f>
        <v>-0.25740586194130999</v>
      </c>
      <c r="K6" s="125">
        <f>[1]!thsiFinD("ths_calmar_ratio_fund",D6,$H$2,$H$3)</f>
        <v>-8.6283471336708999</v>
      </c>
      <c r="L6" s="98">
        <f>[1]!thsiFinD("ths_cbb_to_bond_invest_mv_fund",$D6,$C$2)/100*[1]!thsiFinD("ths_bond_mv_to_fanv_fund",$D6,$C$2)/100</f>
        <v>0</v>
      </c>
    </row>
    <row r="7" spans="2:14" ht="21" customHeight="1" x14ac:dyDescent="0.45">
      <c r="B7" s="154"/>
      <c r="C7" s="114">
        <f>[1]!thsiFinD("ths_stock_mv_to_fanv_fund",$D7,$C$2)/100</f>
        <v>0.15222139231986001</v>
      </c>
      <c r="D7" s="109" t="s">
        <v>132</v>
      </c>
      <c r="E7" s="109" t="str">
        <f>[1]!thsiFinD("ths_fund_official_short_name_fund",D7)</f>
        <v>安信稳健增值混合A</v>
      </c>
      <c r="F7" s="114">
        <f>[1]!thsiFinD("ths_adjustment_nvg_ratio_fund",$D7,F$2,F$3,101)/100</f>
        <v>-2.1679915461897E-3</v>
      </c>
      <c r="G7" s="114">
        <f>[1]!thsiFinD("ths_adjustment_nvg_ratio_fund",$D7,G$2,G$3,101)/100</f>
        <v>-1.1890344580975001E-2</v>
      </c>
      <c r="H7" s="115">
        <f>-[1]!thsiFinD("ths_max_retrace_rate_all_fund",$D7,$H$2,$H$3)/100</f>
        <v>-2.0400329054297003E-2</v>
      </c>
      <c r="I7" s="122">
        <f>[1]!thsiFinD("ths_annual_volatility_fund",D7,$H$2,$H$3,100,101)/100</f>
        <v>3.1949941359322998E-2</v>
      </c>
      <c r="J7" s="130">
        <f>[1]!thsiFinD("ths_sharp_fund",D7,$H$2,$H$3,100,101,100)</f>
        <v>-0.24698901475789001</v>
      </c>
      <c r="K7" s="123">
        <f>[1]!thsiFinD("ths_calmar_ratio_fund",D7,$H$2,$H$3)</f>
        <v>-5.4559690629821</v>
      </c>
      <c r="L7" s="97">
        <f>[1]!thsiFinD("ths_cbb_to_bond_invest_mv_fund",$D7,$C$2)/100*[1]!thsiFinD("ths_bond_mv_to_fanv_fund",$D7,$C$2)/100</f>
        <v>0</v>
      </c>
    </row>
    <row r="8" spans="2:14" ht="21" customHeight="1" x14ac:dyDescent="0.45">
      <c r="B8" s="154"/>
      <c r="C8" s="116">
        <f>[1]!thsiFinD("ths_stock_mv_to_fanv_fund",$D8,$C$2)/100</f>
        <v>0.13282698066025</v>
      </c>
      <c r="D8" s="134" t="s">
        <v>183</v>
      </c>
      <c r="E8" s="117" t="str">
        <f>[1]!thsiFinD("ths_fund_official_short_name_fund",D8)</f>
        <v>嘉实稳固收益债券A</v>
      </c>
      <c r="F8" s="116">
        <f>[1]!thsiFinD("ths_adjustment_nvg_ratio_fund",$D8,F$2,F$3,101)/100</f>
        <v>3.1802984345715001E-3</v>
      </c>
      <c r="G8" s="116">
        <f>[1]!thsiFinD("ths_adjustment_nvg_ratio_fund",$D8,G$2,G$3,101)/100</f>
        <v>2.8531833034171001E-3</v>
      </c>
      <c r="H8" s="118">
        <f>-[1]!thsiFinD("ths_max_retrace_rate_all_fund",$D8,$H$2,$H$3)/100</f>
        <v>-1.3298523230762001E-2</v>
      </c>
      <c r="I8" s="124">
        <f>[1]!thsiFinD("ths_annual_volatility_fund",D8,$H$2,$H$3,100,101)/100</f>
        <v>5.5179470792321002E-2</v>
      </c>
      <c r="J8" s="132">
        <f>[1]!thsiFinD("ths_sharp_fund",D8,$H$2,$H$3,100,101,100)</f>
        <v>2.1304774178544001E-2</v>
      </c>
      <c r="K8" s="125">
        <f>[1]!thsiFinD("ths_calmar_ratio_fund",D8,$H$2,$H$3)</f>
        <v>2.1434632845110002</v>
      </c>
      <c r="L8" s="98">
        <f>[1]!thsiFinD("ths_cbb_to_bond_invest_mv_fund",$D8,$C$2)/100*[1]!thsiFinD("ths_bond_mv_to_fanv_fund",$D8,$C$2)/100</f>
        <v>0</v>
      </c>
    </row>
    <row r="9" spans="2:14" ht="21" customHeight="1" x14ac:dyDescent="0.45">
      <c r="B9" s="154"/>
      <c r="C9" s="114">
        <f>[1]!thsiFinD("ths_stock_mv_to_fanv_fund",$D9,$C$2)/100</f>
        <v>0.13829755212395001</v>
      </c>
      <c r="D9" s="109" t="s">
        <v>134</v>
      </c>
      <c r="E9" s="109" t="str">
        <f>[1]!thsiFinD("ths_fund_official_short_name_fund",D9)</f>
        <v>中欧瑾通灵活配置混合A</v>
      </c>
      <c r="F9" s="114">
        <f>[1]!thsiFinD("ths_adjustment_nvg_ratio_fund",$D9,F$2,F$3,101)/100</f>
        <v>-7.4819401621741997E-3</v>
      </c>
      <c r="G9" s="114">
        <f>[1]!thsiFinD("ths_adjustment_nvg_ratio_fund",$D9,G$2,G$3,101)/100</f>
        <v>-4.2063029956395E-3</v>
      </c>
      <c r="H9" s="115">
        <f>-[1]!thsiFinD("ths_max_retrace_rate_all_fund",$D9,$H$2,$H$3)/100</f>
        <v>-1.1181082121797E-2</v>
      </c>
      <c r="I9" s="122">
        <f>[1]!thsiFinD("ths_annual_volatility_fund",D9,$H$2,$H$3,100,101)/100</f>
        <v>3.7273856705248999E-2</v>
      </c>
      <c r="J9" s="130">
        <f>[1]!thsiFinD("ths_sharp_fund",D9,$H$2,$H$3,100,101,100)</f>
        <v>-8.5064152308501007E-2</v>
      </c>
      <c r="K9" s="123">
        <f>[1]!thsiFinD("ths_calmar_ratio_fund",D9,$H$2,$H$3)</f>
        <v>-3.6427107950058999</v>
      </c>
      <c r="L9" s="97">
        <f>[1]!thsiFinD("ths_cbb_to_bond_invest_mv_fund",$D9,$C$2)/100*[1]!thsiFinD("ths_bond_mv_to_fanv_fund",$D9,$C$2)/100</f>
        <v>0</v>
      </c>
    </row>
    <row r="10" spans="2:14" ht="21" customHeight="1" x14ac:dyDescent="0.45">
      <c r="B10" s="154"/>
      <c r="C10" s="116">
        <f>[1]!thsiFinD("ths_stock_mv_to_fanv_fund",$D10,$C$2)/100</f>
        <v>0.13282698066025</v>
      </c>
      <c r="D10" s="117" t="s">
        <v>135</v>
      </c>
      <c r="E10" s="117" t="str">
        <f>[1]!thsiFinD("ths_fund_official_short_name_fund",D10)</f>
        <v>嘉实稳固收益债券A</v>
      </c>
      <c r="F10" s="116">
        <f>[1]!thsiFinD("ths_adjustment_nvg_ratio_fund",$D10,F$2,F$3,101)/100</f>
        <v>3.1802984345715001E-3</v>
      </c>
      <c r="G10" s="116">
        <f>[1]!thsiFinD("ths_adjustment_nvg_ratio_fund",$D10,G$2,G$3,101)/100</f>
        <v>2.8531833034171001E-3</v>
      </c>
      <c r="H10" s="118">
        <f>-[1]!thsiFinD("ths_max_retrace_rate_all_fund",$D10,$H$2,$H$3)/100</f>
        <v>-1.3298523230762001E-2</v>
      </c>
      <c r="I10" s="124">
        <f>[1]!thsiFinD("ths_annual_volatility_fund",D10,$H$2,$H$3,100,101)/100</f>
        <v>5.5179470792321002E-2</v>
      </c>
      <c r="J10" s="132">
        <f>[1]!thsiFinD("ths_sharp_fund",D10,$H$2,$H$3,100,101,100)</f>
        <v>2.1304774178544001E-2</v>
      </c>
      <c r="K10" s="125">
        <f>[1]!thsiFinD("ths_calmar_ratio_fund",D10,$H$2,$H$3)</f>
        <v>2.1434632845110002</v>
      </c>
      <c r="L10" s="98">
        <f>[1]!thsiFinD("ths_cbb_to_bond_invest_mv_fund",$D10,$C$2)/100*[1]!thsiFinD("ths_bond_mv_to_fanv_fund",$D10,$C$2)/100</f>
        <v>0</v>
      </c>
    </row>
    <row r="11" spans="2:14" ht="21" customHeight="1" x14ac:dyDescent="0.45">
      <c r="B11" s="154"/>
      <c r="C11" s="114">
        <f>[1]!thsiFinD("ths_stock_mv_to_fanv_fund",$D11,$C$2)/100</f>
        <v>0.11452207049474999</v>
      </c>
      <c r="D11" s="109" t="s">
        <v>136</v>
      </c>
      <c r="E11" s="109" t="str">
        <f>[1]!thsiFinD("ths_fund_official_short_name_fund",D11)</f>
        <v>西部利得汇逸债券A</v>
      </c>
      <c r="F11" s="114">
        <f>[1]!thsiFinD("ths_adjustment_nvg_ratio_fund",$D11,F$2,F$3,101)/100</f>
        <v>3.1320688378896999E-3</v>
      </c>
      <c r="G11" s="114">
        <f>[1]!thsiFinD("ths_adjustment_nvg_ratio_fund",$D11,G$2,G$3,101)/100</f>
        <v>0</v>
      </c>
      <c r="H11" s="115">
        <f>-[1]!thsiFinD("ths_max_retrace_rate_all_fund",$D11,$H$2,$H$3)/100</f>
        <v>-9.0121316509678001E-3</v>
      </c>
      <c r="I11" s="122">
        <f>[1]!thsiFinD("ths_annual_volatility_fund",D11,$H$2,$H$3,100,101)/100</f>
        <v>4.7573212336911003E-2</v>
      </c>
      <c r="J11" s="130">
        <f>[1]!thsiFinD("ths_sharp_fund",D11,$H$2,$H$3,100,101,100)</f>
        <v>-1.2211448809951999E-2</v>
      </c>
      <c r="K11" s="123">
        <f>[1]!thsiFinD("ths_calmar_ratio_fund",D11,$H$2,$H$3)</f>
        <v>0</v>
      </c>
      <c r="L11" s="97">
        <f>[1]!thsiFinD("ths_cbb_to_bond_invest_mv_fund",$D11,$C$2)/100*[1]!thsiFinD("ths_bond_mv_to_fanv_fund",$D11,$C$2)/100</f>
        <v>0</v>
      </c>
    </row>
    <row r="12" spans="2:14" ht="21" customHeight="1" x14ac:dyDescent="0.45">
      <c r="B12" s="154"/>
      <c r="C12" s="116">
        <f>[1]!thsiFinD("ths_stock_mv_to_fanv_fund",$D12,$C$2)/100</f>
        <v>0.17949274154442002</v>
      </c>
      <c r="D12" s="134" t="s">
        <v>184</v>
      </c>
      <c r="E12" s="117" t="str">
        <f>[1]!thsiFinD("ths_fund_official_short_name_fund",D12)</f>
        <v>易方达裕丰回报债券A</v>
      </c>
      <c r="F12" s="116">
        <f>[1]!thsiFinD("ths_adjustment_nvg_ratio_fund",$D12,F$2,F$3,101)/100</f>
        <v>-4.6403712441591E-3</v>
      </c>
      <c r="G12" s="116">
        <f>[1]!thsiFinD("ths_adjustment_nvg_ratio_fund",$D12,G$2,G$3,101)/100</f>
        <v>2.5824964114748997E-2</v>
      </c>
      <c r="H12" s="118">
        <f>-[1]!thsiFinD("ths_max_retrace_rate_all_fund",$D12,$H$2,$H$3)/100</f>
        <v>-2.0547945215797E-2</v>
      </c>
      <c r="I12" s="124">
        <f>[1]!thsiFinD("ths_annual_volatility_fund",D12,$H$2,$H$3,100,101)/100</f>
        <v>0.11430559568600999</v>
      </c>
      <c r="J12" s="132">
        <f>[1]!thsiFinD("ths_sharp_fund",D12,$H$2,$H$3,100,101,100)</f>
        <v>0.13351081272476001</v>
      </c>
      <c r="K12" s="125">
        <f>[1]!thsiFinD("ths_calmar_ratio_fund",D12,$H$2,$H$3)</f>
        <v>13.917986672734999</v>
      </c>
      <c r="L12" s="98">
        <f>[1]!thsiFinD("ths_cbb_to_bond_invest_mv_fund",$D12,$C$2)/100*[1]!thsiFinD("ths_bond_mv_to_fanv_fund",$D12,$C$2)/100</f>
        <v>0</v>
      </c>
    </row>
    <row r="13" spans="2:14" ht="21" customHeight="1" x14ac:dyDescent="0.45">
      <c r="B13" s="154"/>
      <c r="C13" s="114">
        <f>[1]!thsiFinD("ths_stock_mv_to_fanv_fund",$D13,$C$2)/100</f>
        <v>0.18269628760404999</v>
      </c>
      <c r="D13" s="109" t="s">
        <v>137</v>
      </c>
      <c r="E13" s="109" t="str">
        <f>[1]!thsiFinD("ths_fund_official_short_name_fund",D13)</f>
        <v>华商利欣回报债券A</v>
      </c>
      <c r="F13" s="114">
        <f>[1]!thsiFinD("ths_adjustment_nvg_ratio_fund",$D13,F$2,F$3,101)/100</f>
        <v>9.3502377179081001E-3</v>
      </c>
      <c r="G13" s="114">
        <f>[1]!thsiFinD("ths_adjustment_nvg_ratio_fund",$D13,G$2,G$3,101)/100</f>
        <v>2.3132530120482001E-2</v>
      </c>
      <c r="H13" s="115">
        <f>-[1]!thsiFinD("ths_max_retrace_rate_all_fund",$D13,$H$2,$H$3)/100</f>
        <v>-1.2131437294127001E-2</v>
      </c>
      <c r="I13" s="122">
        <f>[1]!thsiFinD("ths_annual_volatility_fund",D13,$H$2,$H$3,100,101)/100</f>
        <v>7.0287627983176004E-2</v>
      </c>
      <c r="J13" s="130">
        <f>[1]!thsiFinD("ths_sharp_fund",D13,$H$2,$H$3,100,101,100)</f>
        <v>0.19084196172972001</v>
      </c>
      <c r="K13" s="123">
        <f>[1]!thsiFinD("ths_calmar_ratio_fund",D13,$H$2,$H$3)</f>
        <v>20.861022490749999</v>
      </c>
      <c r="L13" s="97">
        <f>[1]!thsiFinD("ths_cbb_to_bond_invest_mv_fund",$D13,$C$2)/100*[1]!thsiFinD("ths_bond_mv_to_fanv_fund",$D13,$C$2)/100</f>
        <v>0</v>
      </c>
    </row>
    <row r="14" spans="2:14" ht="21" customHeight="1" x14ac:dyDescent="0.45">
      <c r="B14" s="154"/>
      <c r="C14" s="116">
        <f>[1]!thsiFinD("ths_stock_mv_to_fanv_fund",$D14,$C$2)/100</f>
        <v>0.19481447495363</v>
      </c>
      <c r="D14" s="117" t="s">
        <v>138</v>
      </c>
      <c r="E14" s="117" t="str">
        <f>[1]!thsiFinD("ths_fund_official_short_name_fund",D14)</f>
        <v>景顺长城景颐丰利债券A类</v>
      </c>
      <c r="F14" s="116">
        <f>[1]!thsiFinD("ths_adjustment_nvg_ratio_fund",$D14,F$2,F$3,101)/100</f>
        <v>-1.9036496389055E-2</v>
      </c>
      <c r="G14" s="116">
        <f>[1]!thsiFinD("ths_adjustment_nvg_ratio_fund",$D14,G$2,G$3,101)/100</f>
        <v>8.2828161444235011E-3</v>
      </c>
      <c r="H14" s="118">
        <f>-[1]!thsiFinD("ths_max_retrace_rate_all_fund",$D14,$H$2,$H$3)/100</f>
        <v>-2.5444405702236002E-2</v>
      </c>
      <c r="I14" s="124">
        <f>[1]!thsiFinD("ths_annual_volatility_fund",D14,$H$2,$H$3,100,101)/100</f>
        <v>0.11834019031625</v>
      </c>
      <c r="J14" s="132">
        <f>[1]!thsiFinD("ths_sharp_fund",D14,$H$2,$H$3,100,101,100)</f>
        <v>4.0504125991717002E-2</v>
      </c>
      <c r="K14" s="125">
        <f>[1]!thsiFinD("ths_calmar_ratio_fund",D14,$H$2,$H$3)</f>
        <v>3.3317624205030998</v>
      </c>
      <c r="L14" s="98">
        <f>[1]!thsiFinD("ths_cbb_to_bond_invest_mv_fund",$D14,$C$2)/100*[1]!thsiFinD("ths_bond_mv_to_fanv_fund",$D14,$C$2)/100</f>
        <v>0</v>
      </c>
    </row>
    <row r="15" spans="2:14" ht="21" customHeight="1" x14ac:dyDescent="0.45">
      <c r="B15" s="155"/>
      <c r="C15" s="119">
        <f>[1]!thsiFinD("ths_stock_mv_to_fanv_fund",$D15,$C$2)/100</f>
        <v>0.12892899419262999</v>
      </c>
      <c r="D15" s="120" t="s">
        <v>139</v>
      </c>
      <c r="E15" s="120" t="str">
        <f>[1]!thsiFinD("ths_fund_official_short_name_fund",D15)</f>
        <v>嘉实多益债券A</v>
      </c>
      <c r="F15" s="119">
        <f>[1]!thsiFinD("ths_adjustment_nvg_ratio_fund",$D15,F$2,F$3,101)/100</f>
        <v>-2.4471544715447002E-2</v>
      </c>
      <c r="G15" s="119">
        <f>[1]!thsiFinD("ths_adjustment_nvg_ratio_fund",$D15,G$2,G$3,101)/100</f>
        <v>3.6804684232537997E-3</v>
      </c>
      <c r="H15" s="121">
        <f>-[1]!thsiFinD("ths_max_retrace_rate_all_fund",$D15,$H$2,$H$3)/100</f>
        <v>-3.8233408143636002E-2</v>
      </c>
      <c r="I15" s="126">
        <f>[1]!thsiFinD("ths_annual_volatility_fund",D15,$H$2,$H$3,100,101)/100</f>
        <v>0.13862276661823</v>
      </c>
      <c r="J15" s="131">
        <f>[1]!thsiFinD("ths_sharp_fund",D15,$H$2,$H$3,100,101,100)</f>
        <v>1.5648481528313E-2</v>
      </c>
      <c r="K15" s="127">
        <f>[1]!thsiFinD("ths_calmar_ratio_fund",D15,$H$2,$H$3)</f>
        <v>0.96526502681087001</v>
      </c>
      <c r="L15" s="99">
        <f>[1]!thsiFinD("ths_cbb_to_bond_invest_mv_fund",$D15,$C$2)/100*[1]!thsiFinD("ths_bond_mv_to_fanv_fund",$D15,$C$2)/100</f>
        <v>0</v>
      </c>
    </row>
    <row r="16" spans="2:14" ht="15" customHeight="1" x14ac:dyDescent="0.25">
      <c r="B16" s="156" t="s">
        <v>182</v>
      </c>
      <c r="C16" s="156"/>
      <c r="D16" s="156"/>
      <c r="E16" s="156"/>
      <c r="F16" s="156"/>
      <c r="G16" s="156"/>
      <c r="H16" s="156"/>
      <c r="I16" s="156"/>
      <c r="J16" s="156"/>
      <c r="K16" s="156"/>
    </row>
    <row r="17" spans="2:11" ht="15" customHeight="1" x14ac:dyDescent="0.25">
      <c r="B17" s="157"/>
      <c r="C17" s="157"/>
      <c r="D17" s="157"/>
      <c r="E17" s="157"/>
      <c r="F17" s="157"/>
      <c r="G17" s="157"/>
      <c r="H17" s="157"/>
      <c r="I17" s="157"/>
      <c r="J17" s="157"/>
      <c r="K17" s="157"/>
    </row>
  </sheetData>
  <mergeCells count="2">
    <mergeCell ref="B6:B15"/>
    <mergeCell ref="B16:K17"/>
  </mergeCells>
  <phoneticPr fontId="13" type="noConversion"/>
  <conditionalFormatting sqref="F6:G15">
    <cfRule type="cellIs" dxfId="1" priority="3" operator="greaterThan">
      <formula>0.0105</formula>
    </cfRule>
  </conditionalFormatting>
  <conditionalFormatting sqref="F6:G15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4" sqref="E4"/>
    </sheetView>
  </sheetViews>
  <sheetFormatPr defaultRowHeight="14" x14ac:dyDescent="0.25"/>
  <cols>
    <col min="1" max="1" width="11.36328125" bestFit="1" customWidth="1"/>
  </cols>
  <sheetData>
    <row r="1" spans="1:5" x14ac:dyDescent="0.25">
      <c r="B1" s="128" t="s">
        <v>179</v>
      </c>
      <c r="C1" s="128"/>
      <c r="E1" s="11">
        <f ca="1">TODAY()-1</f>
        <v>46210</v>
      </c>
    </row>
    <row r="2" spans="1:5" x14ac:dyDescent="0.25">
      <c r="A2" s="128" t="str">
        <f ca="1">[1]!HX_AutoDate(1,"2026-06-18",E1,-1,-1,0,0,0,0,0,"SSE",13,0)</f>
        <v>日期</v>
      </c>
      <c r="B2" s="128" t="s">
        <v>180</v>
      </c>
      <c r="C2" s="128" t="s">
        <v>181</v>
      </c>
    </row>
    <row r="3" spans="1:5" x14ac:dyDescent="0.25">
      <c r="A3" s="90">
        <v>46191</v>
      </c>
      <c r="B3" s="128">
        <v>1</v>
      </c>
      <c r="C3" s="128">
        <v>1</v>
      </c>
    </row>
    <row r="4" spans="1:5" x14ac:dyDescent="0.25">
      <c r="A4" s="90">
        <v>46195</v>
      </c>
      <c r="B4" s="128">
        <v>1.00089571</v>
      </c>
      <c r="C4" s="128">
        <v>1.0017326900000001</v>
      </c>
    </row>
    <row r="5" spans="1:5" x14ac:dyDescent="0.25">
      <c r="A5" s="90">
        <v>46196</v>
      </c>
      <c r="B5" s="128">
        <v>0.99782280999999995</v>
      </c>
      <c r="C5" s="128">
        <v>0.99848311999999995</v>
      </c>
    </row>
    <row r="6" spans="1:5" x14ac:dyDescent="0.25">
      <c r="A6" s="90">
        <v>46197</v>
      </c>
      <c r="B6" s="128">
        <v>0.99977079999999996</v>
      </c>
      <c r="C6" s="128">
        <v>0.99994095999999999</v>
      </c>
    </row>
    <row r="7" spans="1:5" x14ac:dyDescent="0.25">
      <c r="A7" s="90">
        <v>46198</v>
      </c>
      <c r="B7" s="128">
        <v>1.00127827</v>
      </c>
      <c r="C7" s="128">
        <v>1.00128466</v>
      </c>
    </row>
    <row r="8" spans="1:5" x14ac:dyDescent="0.25">
      <c r="A8" s="90">
        <v>46199</v>
      </c>
      <c r="B8" s="128">
        <v>0.99893008999999999</v>
      </c>
      <c r="C8" s="128">
        <v>0.99865013999999996</v>
      </c>
    </row>
    <row r="9" spans="1:5" x14ac:dyDescent="0.25">
      <c r="A9" s="90">
        <v>46202</v>
      </c>
      <c r="B9" s="128">
        <v>1.00052151</v>
      </c>
      <c r="C9" s="128">
        <v>1.0012537500000001</v>
      </c>
    </row>
    <row r="10" spans="1:5" x14ac:dyDescent="0.25">
      <c r="A10" s="90">
        <v>46203</v>
      </c>
      <c r="B10" s="128">
        <v>1.00271066</v>
      </c>
      <c r="C10" s="128">
        <v>1.0028214600000001</v>
      </c>
    </row>
    <row r="11" spans="1:5" x14ac:dyDescent="0.25">
      <c r="A11" s="90">
        <v>46204</v>
      </c>
      <c r="B11" s="128">
        <v>0.99998487999999996</v>
      </c>
      <c r="C11" s="128">
        <v>1.0016915799999999</v>
      </c>
    </row>
    <row r="12" spans="1:5" x14ac:dyDescent="0.25">
      <c r="A12" s="90">
        <v>46205</v>
      </c>
      <c r="B12" s="128">
        <v>0.99402933000000004</v>
      </c>
      <c r="C12" s="128">
        <v>0.99936767999999998</v>
      </c>
    </row>
    <row r="13" spans="1:5" x14ac:dyDescent="0.25">
      <c r="A13" s="90">
        <v>46206</v>
      </c>
      <c r="B13" s="128">
        <v>0.99491236999999999</v>
      </c>
      <c r="C13" s="128">
        <v>1.0007488899999999</v>
      </c>
    </row>
    <row r="14" spans="1:5" x14ac:dyDescent="0.25">
      <c r="A14" s="90">
        <v>46209</v>
      </c>
      <c r="B14" s="128">
        <v>0.99396983999999999</v>
      </c>
      <c r="C14" s="128">
        <v>0.99999342000000002</v>
      </c>
    </row>
    <row r="15" spans="1:5" x14ac:dyDescent="0.25">
      <c r="A15" s="90">
        <v>46210</v>
      </c>
      <c r="B15" s="128">
        <v>0.99336488999999994</v>
      </c>
      <c r="C15" s="128">
        <v>0.99843126999999998</v>
      </c>
    </row>
    <row r="16" spans="1:5" x14ac:dyDescent="0.25">
      <c r="A16" s="90"/>
    </row>
  </sheetData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C8" sqref="C8"/>
    </sheetView>
  </sheetViews>
  <sheetFormatPr defaultRowHeight="14" x14ac:dyDescent="0.25"/>
  <cols>
    <col min="1" max="1" width="16" style="55" customWidth="1"/>
    <col min="2" max="24" width="11" style="55" customWidth="1"/>
    <col min="25" max="26" width="9" style="55" customWidth="1"/>
    <col min="27" max="27" width="12" style="55" customWidth="1"/>
    <col min="28" max="28" width="8.7265625" style="55" customWidth="1"/>
    <col min="29" max="16384" width="8.7265625" style="55"/>
  </cols>
  <sheetData>
    <row r="1" spans="1:27" ht="19" customHeight="1" x14ac:dyDescent="0.4">
      <c r="A1" s="158" t="s">
        <v>140</v>
      </c>
      <c r="B1" s="159"/>
      <c r="C1" s="159"/>
    </row>
    <row r="2" spans="1:27" ht="39" customHeight="1" x14ac:dyDescent="0.25">
      <c r="A2" s="58" t="s">
        <v>1</v>
      </c>
      <c r="B2" s="47" t="s">
        <v>11</v>
      </c>
      <c r="C2" s="47" t="s">
        <v>14</v>
      </c>
      <c r="D2" s="47" t="s">
        <v>2</v>
      </c>
      <c r="E2" s="47" t="s">
        <v>141</v>
      </c>
      <c r="F2" s="47" t="s">
        <v>142</v>
      </c>
      <c r="G2" s="47" t="s">
        <v>13</v>
      </c>
      <c r="H2" s="47" t="s">
        <v>143</v>
      </c>
      <c r="I2" s="47" t="s">
        <v>144</v>
      </c>
      <c r="J2" s="47" t="s">
        <v>5</v>
      </c>
      <c r="K2" s="47" t="s">
        <v>145</v>
      </c>
      <c r="L2" s="47" t="s">
        <v>7</v>
      </c>
      <c r="M2" s="47" t="s">
        <v>146</v>
      </c>
      <c r="N2" s="47" t="s">
        <v>6</v>
      </c>
      <c r="O2" s="47" t="s">
        <v>147</v>
      </c>
      <c r="P2" s="47" t="s">
        <v>3</v>
      </c>
      <c r="Q2" s="47" t="s">
        <v>4</v>
      </c>
      <c r="R2" s="47" t="s">
        <v>148</v>
      </c>
      <c r="S2" s="47" t="s">
        <v>149</v>
      </c>
      <c r="T2" s="47" t="s">
        <v>12</v>
      </c>
      <c r="U2" s="47" t="s">
        <v>150</v>
      </c>
      <c r="V2" s="47" t="s">
        <v>8</v>
      </c>
      <c r="W2" s="47" t="s">
        <v>151</v>
      </c>
      <c r="X2" s="47" t="s">
        <v>10</v>
      </c>
      <c r="Y2" s="58" t="s">
        <v>15</v>
      </c>
      <c r="Z2" s="58" t="s">
        <v>152</v>
      </c>
      <c r="AA2" s="58" t="s">
        <v>153</v>
      </c>
    </row>
    <row r="3" spans="1:27" x14ac:dyDescent="0.25">
      <c r="A3" s="58" t="s">
        <v>17</v>
      </c>
      <c r="B3" s="48" t="s">
        <v>27</v>
      </c>
      <c r="C3" s="48" t="s">
        <v>30</v>
      </c>
      <c r="D3" s="48" t="s">
        <v>18</v>
      </c>
      <c r="E3" s="48" t="s">
        <v>25</v>
      </c>
      <c r="F3" s="48" t="s">
        <v>154</v>
      </c>
      <c r="G3" s="48" t="s">
        <v>29</v>
      </c>
      <c r="H3" s="48" t="s">
        <v>155</v>
      </c>
      <c r="I3" s="48" t="s">
        <v>156</v>
      </c>
      <c r="J3" s="48" t="s">
        <v>21</v>
      </c>
      <c r="K3" s="48" t="s">
        <v>157</v>
      </c>
      <c r="L3" s="48" t="s">
        <v>23</v>
      </c>
      <c r="M3" s="48" t="s">
        <v>158</v>
      </c>
      <c r="N3" s="48" t="s">
        <v>22</v>
      </c>
      <c r="O3" s="48" t="s">
        <v>159</v>
      </c>
      <c r="P3" s="48" t="s">
        <v>19</v>
      </c>
      <c r="Q3" s="48" t="s">
        <v>20</v>
      </c>
      <c r="R3" s="48" t="s">
        <v>160</v>
      </c>
      <c r="S3" s="48" t="s">
        <v>161</v>
      </c>
      <c r="T3" s="48" t="s">
        <v>28</v>
      </c>
      <c r="U3" s="48" t="s">
        <v>162</v>
      </c>
      <c r="V3" s="48" t="s">
        <v>24</v>
      </c>
      <c r="W3" s="48" t="s">
        <v>163</v>
      </c>
      <c r="X3" s="48" t="s">
        <v>26</v>
      </c>
      <c r="Y3" s="48"/>
      <c r="Z3" s="48"/>
      <c r="AA3" s="48"/>
    </row>
    <row r="4" spans="1:27" x14ac:dyDescent="0.25">
      <c r="A4" s="49" t="s">
        <v>164</v>
      </c>
      <c r="B4" s="50">
        <v>0</v>
      </c>
      <c r="C4" s="50">
        <v>0.02</v>
      </c>
      <c r="D4" s="50">
        <v>0.19</v>
      </c>
      <c r="E4" s="50">
        <v>0</v>
      </c>
      <c r="F4" s="50">
        <v>0</v>
      </c>
      <c r="G4" s="50">
        <v>0.11</v>
      </c>
      <c r="H4" s="50">
        <v>0</v>
      </c>
      <c r="I4" s="50">
        <v>0</v>
      </c>
      <c r="J4" s="50">
        <v>0.19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0.19</v>
      </c>
      <c r="Q4" s="50">
        <v>0.19</v>
      </c>
      <c r="R4" s="50">
        <v>0</v>
      </c>
      <c r="S4" s="50">
        <v>0</v>
      </c>
      <c r="T4" s="50">
        <v>0.11</v>
      </c>
      <c r="U4" s="50">
        <v>0</v>
      </c>
      <c r="V4" s="50">
        <v>0</v>
      </c>
      <c r="W4" s="50">
        <v>0</v>
      </c>
      <c r="X4" s="50">
        <v>0</v>
      </c>
      <c r="Y4" s="100">
        <f t="shared" ref="Y4:Y9" si="0">SUM(B4:X4)</f>
        <v>0.99999999999999989</v>
      </c>
      <c r="Z4" s="60">
        <v>1.4999999999999999E-2</v>
      </c>
      <c r="AA4" s="101">
        <v>46195</v>
      </c>
    </row>
    <row r="5" spans="1:27" x14ac:dyDescent="0.25">
      <c r="A5" s="49" t="s">
        <v>165</v>
      </c>
      <c r="B5" s="50">
        <v>0</v>
      </c>
      <c r="C5" s="50">
        <v>0.02</v>
      </c>
      <c r="D5" s="50">
        <v>0.19</v>
      </c>
      <c r="E5" s="50">
        <v>0</v>
      </c>
      <c r="F5" s="50">
        <v>0</v>
      </c>
      <c r="G5" s="50">
        <v>0.11</v>
      </c>
      <c r="H5" s="50">
        <v>0</v>
      </c>
      <c r="I5" s="50">
        <v>0</v>
      </c>
      <c r="J5" s="50">
        <v>0.19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0.19</v>
      </c>
      <c r="Q5" s="50">
        <v>0.19</v>
      </c>
      <c r="R5" s="50">
        <v>0</v>
      </c>
      <c r="S5" s="50">
        <v>0</v>
      </c>
      <c r="T5" s="50">
        <v>0.11</v>
      </c>
      <c r="U5" s="50">
        <v>0</v>
      </c>
      <c r="V5" s="50">
        <v>0</v>
      </c>
      <c r="W5" s="50">
        <v>0</v>
      </c>
      <c r="X5" s="50">
        <v>0</v>
      </c>
      <c r="Y5" s="100">
        <f t="shared" si="0"/>
        <v>0.99999999999999989</v>
      </c>
      <c r="Z5" s="60">
        <v>1.2E-2</v>
      </c>
      <c r="AA5" s="101">
        <v>46191</v>
      </c>
    </row>
    <row r="6" spans="1:27" x14ac:dyDescent="0.25">
      <c r="A6" s="49" t="s">
        <v>166</v>
      </c>
      <c r="B6" s="50">
        <v>0</v>
      </c>
      <c r="C6" s="50">
        <v>0.02</v>
      </c>
      <c r="D6" s="50">
        <v>0</v>
      </c>
      <c r="E6" s="50">
        <v>0</v>
      </c>
      <c r="F6" s="50">
        <v>0</v>
      </c>
      <c r="G6" s="50">
        <v>0</v>
      </c>
      <c r="H6" s="50">
        <v>0.11</v>
      </c>
      <c r="I6" s="50">
        <v>0.19</v>
      </c>
      <c r="J6" s="50">
        <v>0</v>
      </c>
      <c r="K6" s="50">
        <v>0.19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0.19</v>
      </c>
      <c r="S6" s="50">
        <v>0.19</v>
      </c>
      <c r="T6" s="50">
        <v>0</v>
      </c>
      <c r="U6" s="50">
        <v>0.11</v>
      </c>
      <c r="V6" s="50">
        <v>0</v>
      </c>
      <c r="W6" s="50">
        <v>0</v>
      </c>
      <c r="X6" s="50">
        <v>0</v>
      </c>
      <c r="Y6" s="100">
        <f t="shared" si="0"/>
        <v>0.99999999999999989</v>
      </c>
      <c r="Z6" s="60">
        <v>1.4999999999999999E-2</v>
      </c>
      <c r="AA6" s="101">
        <v>46196</v>
      </c>
    </row>
    <row r="7" spans="1:27" x14ac:dyDescent="0.25">
      <c r="A7" s="49" t="s">
        <v>31</v>
      </c>
      <c r="B7" s="50">
        <v>0.05</v>
      </c>
      <c r="C7" s="50">
        <v>0.02</v>
      </c>
      <c r="D7" s="50">
        <v>0</v>
      </c>
      <c r="E7" s="50">
        <v>0</v>
      </c>
      <c r="F7" s="50">
        <v>1.2500000000000001E-2</v>
      </c>
      <c r="G7" s="50">
        <v>0</v>
      </c>
      <c r="H7" s="50">
        <v>5.0000000000000001E-3</v>
      </c>
      <c r="I7" s="50">
        <v>0.01</v>
      </c>
      <c r="J7" s="50">
        <v>0</v>
      </c>
      <c r="K7" s="50">
        <v>0.01</v>
      </c>
      <c r="L7" s="50">
        <v>0</v>
      </c>
      <c r="M7" s="50">
        <v>1.2500000000000001E-2</v>
      </c>
      <c r="N7" s="50">
        <v>0</v>
      </c>
      <c r="O7" s="50">
        <v>1.2500000000000001E-2</v>
      </c>
      <c r="P7" s="50">
        <v>0</v>
      </c>
      <c r="Q7" s="50">
        <v>0</v>
      </c>
      <c r="R7" s="50">
        <v>0.01</v>
      </c>
      <c r="S7" s="50">
        <v>0.01</v>
      </c>
      <c r="T7" s="50">
        <v>0</v>
      </c>
      <c r="U7" s="50">
        <v>5.0000000000000001E-3</v>
      </c>
      <c r="V7" s="50">
        <v>0</v>
      </c>
      <c r="W7" s="50">
        <v>1.2500000000000001E-2</v>
      </c>
      <c r="X7" s="50">
        <v>0.83</v>
      </c>
      <c r="Y7" s="100">
        <f t="shared" si="0"/>
        <v>1</v>
      </c>
      <c r="Z7" s="60">
        <v>8.0000000000000002E-3</v>
      </c>
      <c r="AA7" s="101">
        <v>46197</v>
      </c>
    </row>
    <row r="8" spans="1:27" x14ac:dyDescent="0.25">
      <c r="A8" s="49" t="s">
        <v>167</v>
      </c>
      <c r="B8" s="50">
        <v>0.05</v>
      </c>
      <c r="C8" s="50">
        <v>0.02</v>
      </c>
      <c r="D8" s="50">
        <v>0.01</v>
      </c>
      <c r="E8" s="50">
        <v>1.2500000000000001E-2</v>
      </c>
      <c r="F8" s="50">
        <v>0</v>
      </c>
      <c r="G8" s="50">
        <v>5.0000000000000001E-3</v>
      </c>
      <c r="H8" s="50">
        <v>0</v>
      </c>
      <c r="I8" s="50">
        <v>0</v>
      </c>
      <c r="J8" s="50">
        <v>0.01</v>
      </c>
      <c r="K8" s="50">
        <v>0</v>
      </c>
      <c r="L8" s="50">
        <v>1.2500000000000001E-2</v>
      </c>
      <c r="M8" s="50">
        <v>0</v>
      </c>
      <c r="N8" s="50">
        <v>1.2500000000000001E-2</v>
      </c>
      <c r="O8" s="50">
        <v>0</v>
      </c>
      <c r="P8" s="50">
        <v>0.01</v>
      </c>
      <c r="Q8" s="50">
        <v>0.01</v>
      </c>
      <c r="R8" s="50">
        <v>0</v>
      </c>
      <c r="S8" s="50">
        <v>0</v>
      </c>
      <c r="T8" s="50">
        <v>5.0000000000000001E-3</v>
      </c>
      <c r="U8" s="50">
        <v>0</v>
      </c>
      <c r="V8" s="50">
        <v>1.2500000000000001E-2</v>
      </c>
      <c r="W8" s="50">
        <v>0</v>
      </c>
      <c r="X8" s="50">
        <v>0.83</v>
      </c>
      <c r="Y8" s="100">
        <f t="shared" si="0"/>
        <v>1</v>
      </c>
      <c r="Z8" s="60">
        <v>5.0000000000000001E-3</v>
      </c>
      <c r="AA8" s="101">
        <v>46191</v>
      </c>
    </row>
    <row r="9" spans="1:27" x14ac:dyDescent="0.25">
      <c r="A9" s="49" t="s">
        <v>33</v>
      </c>
      <c r="B9" s="50">
        <v>0.1</v>
      </c>
      <c r="C9" s="50">
        <v>0.02</v>
      </c>
      <c r="D9" s="50">
        <v>0</v>
      </c>
      <c r="E9" s="50">
        <v>0</v>
      </c>
      <c r="F9" s="50">
        <v>3.7500000000000012E-2</v>
      </c>
      <c r="G9" s="50">
        <v>0</v>
      </c>
      <c r="H9" s="50">
        <v>1.4999999999999999E-2</v>
      </c>
      <c r="I9" s="50">
        <v>0.03</v>
      </c>
      <c r="J9" s="50">
        <v>0</v>
      </c>
      <c r="K9" s="50">
        <v>0.03</v>
      </c>
      <c r="L9" s="50">
        <v>0</v>
      </c>
      <c r="M9" s="50">
        <v>3.7500000000000012E-2</v>
      </c>
      <c r="N9" s="50">
        <v>0</v>
      </c>
      <c r="O9" s="50">
        <v>3.7500000000000012E-2</v>
      </c>
      <c r="P9" s="50">
        <v>0</v>
      </c>
      <c r="Q9" s="50">
        <v>0</v>
      </c>
      <c r="R9" s="50">
        <v>0.03</v>
      </c>
      <c r="S9" s="50">
        <v>0.03</v>
      </c>
      <c r="T9" s="50">
        <v>0</v>
      </c>
      <c r="U9" s="50">
        <v>1.4999999999999999E-2</v>
      </c>
      <c r="V9" s="50">
        <v>0</v>
      </c>
      <c r="W9" s="50">
        <v>3.7500000000000012E-2</v>
      </c>
      <c r="X9" s="50">
        <v>0.57999999999999996</v>
      </c>
      <c r="Y9" s="100">
        <f t="shared" si="0"/>
        <v>1.0000000000000002</v>
      </c>
      <c r="Z9" s="60">
        <v>1.2E-2</v>
      </c>
      <c r="AA9" s="101">
        <v>46197</v>
      </c>
    </row>
    <row r="11" spans="1:27" ht="14.5" customHeight="1" x14ac:dyDescent="0.3">
      <c r="A11" s="57" t="s">
        <v>168</v>
      </c>
    </row>
  </sheetData>
  <mergeCells count="1">
    <mergeCell ref="A1:C1"/>
  </mergeCells>
  <phoneticPr fontId="1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I36" sqref="I36"/>
    </sheetView>
  </sheetViews>
  <sheetFormatPr defaultRowHeight="14" x14ac:dyDescent="0.25"/>
  <cols>
    <col min="1" max="1" width="12" style="55" customWidth="1"/>
    <col min="2" max="2" width="8.7265625" style="55" customWidth="1"/>
    <col min="3" max="16384" width="8.7265625" style="55"/>
  </cols>
  <sheetData>
    <row r="1" spans="1:24" ht="19.5" customHeight="1" x14ac:dyDescent="0.4">
      <c r="A1" s="160" t="s">
        <v>169</v>
      </c>
      <c r="B1" s="136"/>
      <c r="C1" s="136"/>
      <c r="D1" s="136"/>
    </row>
    <row r="2" spans="1:24" x14ac:dyDescent="0.25">
      <c r="A2" s="11">
        <f ca="1">TODAY()</f>
        <v>46211</v>
      </c>
    </row>
    <row r="3" spans="1:24" ht="25" customHeight="1" x14ac:dyDescent="0.25">
      <c r="A3" s="58" t="s">
        <v>50</v>
      </c>
      <c r="B3" s="51" t="str">
        <f>实盘持仓配置!B3</f>
        <v>000216.OF</v>
      </c>
      <c r="C3" s="51" t="str">
        <f>实盘持仓配置!C3</f>
        <v>000917.OF</v>
      </c>
      <c r="D3" s="51" t="str">
        <f>实盘持仓配置!D3</f>
        <v>001170.OF</v>
      </c>
      <c r="E3" s="51" t="str">
        <f>实盘持仓配置!E3</f>
        <v>007044.OF</v>
      </c>
      <c r="F3" s="51" t="str">
        <f>实盘持仓配置!F3</f>
        <v>007045.OF</v>
      </c>
      <c r="G3" s="51" t="str">
        <f>实盘持仓配置!G3</f>
        <v>007817.OF</v>
      </c>
      <c r="H3" s="51" t="str">
        <f>实盘持仓配置!H3</f>
        <v>007818.OF</v>
      </c>
      <c r="I3" s="51" t="str">
        <f>实盘持仓配置!I3</f>
        <v>009993.OF</v>
      </c>
      <c r="J3" s="51" t="str">
        <f>实盘持仓配置!J3</f>
        <v>013840.OF</v>
      </c>
      <c r="K3" s="51" t="str">
        <f>实盘持仓配置!K3</f>
        <v>013841.OF</v>
      </c>
      <c r="L3" s="51" t="str">
        <f>实盘持仓配置!L3</f>
        <v>014201.OF</v>
      </c>
      <c r="M3" s="51" t="str">
        <f>实盘持仓配置!M3</f>
        <v>014202.OF</v>
      </c>
      <c r="N3" s="51" t="str">
        <f>实盘持仓配置!N3</f>
        <v>015453.OF</v>
      </c>
      <c r="O3" s="51" t="str">
        <f>实盘持仓配置!O3</f>
        <v>015454.OF</v>
      </c>
      <c r="P3" s="51" t="str">
        <f>实盘持仓配置!P3</f>
        <v>016370.OF</v>
      </c>
      <c r="Q3" s="51" t="str">
        <f>实盘持仓配置!Q3</f>
        <v>017488.OF</v>
      </c>
      <c r="R3" s="51" t="str">
        <f>实盘持仓配置!R3</f>
        <v>017489.OF</v>
      </c>
      <c r="S3" s="51" t="str">
        <f>实盘持仓配置!S3</f>
        <v>017612.OF</v>
      </c>
      <c r="T3" s="51" t="str">
        <f>实盘持仓配置!T3</f>
        <v>019632.OF</v>
      </c>
      <c r="U3" s="51" t="str">
        <f>实盘持仓配置!U3</f>
        <v>019633.OF</v>
      </c>
      <c r="V3" s="51" t="str">
        <f>实盘持仓配置!V3</f>
        <v>019923.OF</v>
      </c>
      <c r="W3" s="51" t="str">
        <f>实盘持仓配置!W3</f>
        <v>019924.OF</v>
      </c>
      <c r="X3" s="51" t="str">
        <f>实盘持仓配置!X3</f>
        <v>161119.OF</v>
      </c>
    </row>
    <row r="4" spans="1:24" ht="52" customHeight="1" x14ac:dyDescent="0.25">
      <c r="A4" s="58" t="str">
        <f ca="1">[1]!HX_AutoDate(1,"2026-06-18",A2,-1,-1,0,0,0,0,0,"SSE",14,0)</f>
        <v>日期</v>
      </c>
      <c r="B4" s="47" t="s">
        <v>11</v>
      </c>
      <c r="C4" s="47" t="s">
        <v>14</v>
      </c>
      <c r="D4" s="47" t="s">
        <v>2</v>
      </c>
      <c r="E4" s="47" t="s">
        <v>141</v>
      </c>
      <c r="F4" s="47" t="s">
        <v>142</v>
      </c>
      <c r="G4" s="47" t="s">
        <v>13</v>
      </c>
      <c r="H4" s="47" t="s">
        <v>143</v>
      </c>
      <c r="I4" s="47" t="s">
        <v>144</v>
      </c>
      <c r="J4" s="47" t="s">
        <v>5</v>
      </c>
      <c r="K4" s="47" t="s">
        <v>145</v>
      </c>
      <c r="L4" s="47" t="s">
        <v>7</v>
      </c>
      <c r="M4" s="47" t="s">
        <v>146</v>
      </c>
      <c r="N4" s="47" t="s">
        <v>6</v>
      </c>
      <c r="O4" s="47" t="s">
        <v>147</v>
      </c>
      <c r="P4" s="47" t="s">
        <v>3</v>
      </c>
      <c r="Q4" s="47" t="s">
        <v>4</v>
      </c>
      <c r="R4" s="47" t="s">
        <v>148</v>
      </c>
      <c r="S4" s="47" t="s">
        <v>149</v>
      </c>
      <c r="T4" s="47" t="s">
        <v>12</v>
      </c>
      <c r="U4" s="47" t="s">
        <v>150</v>
      </c>
      <c r="V4" s="47" t="s">
        <v>8</v>
      </c>
      <c r="W4" s="47" t="s">
        <v>151</v>
      </c>
      <c r="X4" s="47" t="s">
        <v>10</v>
      </c>
    </row>
    <row r="5" spans="1:24" x14ac:dyDescent="0.25">
      <c r="A5" s="101">
        <v>46191</v>
      </c>
      <c r="B5" s="102">
        <f>IF($A5="","",[1]!thsiFinD("ths_adjustment_nv_fund",B$3,$A5))</f>
        <v>3.2441</v>
      </c>
      <c r="C5" s="102">
        <f>IF($A5="","",[1]!thsiFinD("ths_adjustment_nv_fund",C$3,$A5))</f>
        <v>1.3172784822000001</v>
      </c>
      <c r="D5" s="102">
        <f>IF($A5="","",[1]!thsiFinD("ths_adjustment_nv_fund",D$3,$A5))</f>
        <v>6.0620000000000003</v>
      </c>
      <c r="E5" s="102">
        <f>IF($A5="","",[1]!thsiFinD("ths_adjustment_nv_fund",E$3,$A5))</f>
        <v>1.9903999999999999</v>
      </c>
      <c r="F5" s="102">
        <f>IF($A5="","",[1]!thsiFinD("ths_adjustment_nv_fund",F$3,$A5))</f>
        <v>1.9343999999999999</v>
      </c>
      <c r="G5" s="102">
        <f>IF($A5="","",[1]!thsiFinD("ths_adjustment_nv_fund",G$3,$A5))</f>
        <v>5.0274999999999999</v>
      </c>
      <c r="H5" s="102">
        <f>IF($A5="","",[1]!thsiFinD("ths_adjustment_nv_fund",H$3,$A5))</f>
        <v>4.9215</v>
      </c>
      <c r="I5" s="102">
        <f>IF($A5="","",[1]!thsiFinD("ths_adjustment_nv_fund",I$3,$A5))</f>
        <v>2.9226000000000001</v>
      </c>
      <c r="J5" s="102">
        <f>IF($A5="","",[1]!thsiFinD("ths_adjustment_nv_fund",J$3,$A5))</f>
        <v>3.0303</v>
      </c>
      <c r="K5" s="102">
        <f>IF($A5="","",[1]!thsiFinD("ths_adjustment_nv_fund",K$3,$A5))</f>
        <v>3.0028999999999999</v>
      </c>
      <c r="L5" s="102">
        <f>IF($A5="","",[1]!thsiFinD("ths_adjustment_nv_fund",L$3,$A5))</f>
        <v>1.7014</v>
      </c>
      <c r="M5" s="102">
        <f>IF($A5="","",[1]!thsiFinD("ths_adjustment_nv_fund",M$3,$A5))</f>
        <v>1.679</v>
      </c>
      <c r="N5" s="102">
        <f>IF($A5="","",[1]!thsiFinD("ths_adjustment_nv_fund",N$3,$A5))</f>
        <v>1.6274999999999999</v>
      </c>
      <c r="O5" s="102">
        <f>IF($A5="","",[1]!thsiFinD("ths_adjustment_nv_fund",O$3,$A5))</f>
        <v>1.5879000000000001</v>
      </c>
      <c r="P5" s="102">
        <f>IF($A5="","",[1]!thsiFinD("ths_adjustment_nv_fund",P$3,$A5))</f>
        <v>3.6402000000000001</v>
      </c>
      <c r="Q5" s="102">
        <f>IF($A5="","",[1]!thsiFinD("ths_adjustment_nv_fund",Q$3,$A5))</f>
        <v>4.3864000000000001</v>
      </c>
      <c r="R5" s="102">
        <f>IF($A5="","",[1]!thsiFinD("ths_adjustment_nv_fund",R$3,$A5))</f>
        <v>4.2961999999999998</v>
      </c>
      <c r="S5" s="102">
        <f>IF($A5="","",[1]!thsiFinD("ths_adjustment_nv_fund",S$3,$A5))</f>
        <v>6.0010000000000003</v>
      </c>
      <c r="T5" s="102">
        <f>IF($A5="","",[1]!thsiFinD("ths_adjustment_nv_fund",T$3,$A5))</f>
        <v>2.9918</v>
      </c>
      <c r="U5" s="102">
        <f>IF($A5="","",[1]!thsiFinD("ths_adjustment_nv_fund",U$3,$A5))</f>
        <v>2.9763999999999999</v>
      </c>
      <c r="V5" s="102">
        <f>IF($A5="","",[1]!thsiFinD("ths_adjustment_nv_fund",V$3,$A5))</f>
        <v>2.1385999999999998</v>
      </c>
      <c r="W5" s="102">
        <f>IF($A5="","",[1]!thsiFinD("ths_adjustment_nv_fund",W$3,$A5))</f>
        <v>2.1181000000000001</v>
      </c>
      <c r="X5" s="102">
        <f>IF($A5="","",[1]!thsiFinD("ths_adjustment_nv_fund",X$3,$A5))</f>
        <v>1.7868999999999999</v>
      </c>
    </row>
    <row r="6" spans="1:24" x14ac:dyDescent="0.25">
      <c r="A6" s="101">
        <v>46195</v>
      </c>
      <c r="B6" s="102">
        <f>IF($A6="","",[1]!thsiFinD("ths_adjustment_nv_fund",B$3,$A6))</f>
        <v>3.1680000000000001</v>
      </c>
      <c r="C6" s="102">
        <f>IF($A6="","",[1]!thsiFinD("ths_adjustment_nv_fund",C$3,$A6))</f>
        <v>1.3174603815000001</v>
      </c>
      <c r="D6" s="102">
        <f>IF($A6="","",[1]!thsiFinD("ths_adjustment_nv_fund",D$3,$A6))</f>
        <v>6.2590000000000003</v>
      </c>
      <c r="E6" s="102">
        <f>IF($A6="","",[1]!thsiFinD("ths_adjustment_nv_fund",E$3,$A6))</f>
        <v>2.0345</v>
      </c>
      <c r="F6" s="102">
        <f>IF($A6="","",[1]!thsiFinD("ths_adjustment_nv_fund",F$3,$A6))</f>
        <v>1.9772000000000001</v>
      </c>
      <c r="G6" s="102">
        <f>IF($A6="","",[1]!thsiFinD("ths_adjustment_nv_fund",G$3,$A6))</f>
        <v>5.1120999999999999</v>
      </c>
      <c r="H6" s="102">
        <f>IF($A6="","",[1]!thsiFinD("ths_adjustment_nv_fund",H$3,$A6))</f>
        <v>5.0042</v>
      </c>
      <c r="I6" s="102">
        <f>IF($A6="","",[1]!thsiFinD("ths_adjustment_nv_fund",I$3,$A6))</f>
        <v>2.9904999999999999</v>
      </c>
      <c r="J6" s="102">
        <f>IF($A6="","",[1]!thsiFinD("ths_adjustment_nv_fund",J$3,$A6))</f>
        <v>3.0779000000000001</v>
      </c>
      <c r="K6" s="102">
        <f>IF($A6="","",[1]!thsiFinD("ths_adjustment_nv_fund",K$3,$A6))</f>
        <v>3.05</v>
      </c>
      <c r="L6" s="102">
        <f>IF($A6="","",[1]!thsiFinD("ths_adjustment_nv_fund",L$3,$A6))</f>
        <v>1.7336</v>
      </c>
      <c r="M6" s="102">
        <f>IF($A6="","",[1]!thsiFinD("ths_adjustment_nv_fund",M$3,$A6))</f>
        <v>1.7107000000000001</v>
      </c>
      <c r="N6" s="102">
        <f>IF($A6="","",[1]!thsiFinD("ths_adjustment_nv_fund",N$3,$A6))</f>
        <v>1.6669</v>
      </c>
      <c r="O6" s="102">
        <f>IF($A6="","",[1]!thsiFinD("ths_adjustment_nv_fund",O$3,$A6))</f>
        <v>1.6263000000000001</v>
      </c>
      <c r="P6" s="102">
        <f>IF($A6="","",[1]!thsiFinD("ths_adjustment_nv_fund",P$3,$A6))</f>
        <v>3.7212000000000001</v>
      </c>
      <c r="Q6" s="102">
        <f>IF($A6="","",[1]!thsiFinD("ths_adjustment_nv_fund",Q$3,$A6))</f>
        <v>4.5077999999999996</v>
      </c>
      <c r="R6" s="102">
        <f>IF($A6="","",[1]!thsiFinD("ths_adjustment_nv_fund",R$3,$A6))</f>
        <v>4.4147999999999996</v>
      </c>
      <c r="S6" s="102">
        <f>IF($A6="","",[1]!thsiFinD("ths_adjustment_nv_fund",S$3,$A6))</f>
        <v>6.1959999999999997</v>
      </c>
      <c r="T6" s="102">
        <f>IF($A6="","",[1]!thsiFinD("ths_adjustment_nv_fund",T$3,$A6))</f>
        <v>3.0754000000000001</v>
      </c>
      <c r="U6" s="102">
        <f>IF($A6="","",[1]!thsiFinD("ths_adjustment_nv_fund",U$3,$A6))</f>
        <v>3.0594999999999999</v>
      </c>
      <c r="V6" s="102">
        <f>IF($A6="","",[1]!thsiFinD("ths_adjustment_nv_fund",V$3,$A6))</f>
        <v>2.1396999999999999</v>
      </c>
      <c r="W6" s="102">
        <f>IF($A6="","",[1]!thsiFinD("ths_adjustment_nv_fund",W$3,$A6))</f>
        <v>2.1191</v>
      </c>
      <c r="X6" s="102">
        <f>IF($A6="","",[1]!thsiFinD("ths_adjustment_nv_fund",X$3,$A6))</f>
        <v>1.7870999999999999</v>
      </c>
    </row>
    <row r="7" spans="1:24" x14ac:dyDescent="0.25">
      <c r="A7" s="101">
        <v>46196</v>
      </c>
      <c r="B7" s="102">
        <f>IF($A7="","",[1]!thsiFinD("ths_adjustment_nv_fund",B$3,$A7))</f>
        <v>3.1160000000000001</v>
      </c>
      <c r="C7" s="102">
        <f>IF($A7="","",[1]!thsiFinD("ths_adjustment_nv_fund",C$3,$A7))</f>
        <v>1.3175125002000001</v>
      </c>
      <c r="D7" s="102">
        <f>IF($A7="","",[1]!thsiFinD("ths_adjustment_nv_fund",D$3,$A7))</f>
        <v>5.9960000000000004</v>
      </c>
      <c r="E7" s="102">
        <f>IF($A7="","",[1]!thsiFinD("ths_adjustment_nv_fund",E$3,$A7))</f>
        <v>1.9837</v>
      </c>
      <c r="F7" s="102">
        <f>IF($A7="","",[1]!thsiFinD("ths_adjustment_nv_fund",F$3,$A7))</f>
        <v>1.9278</v>
      </c>
      <c r="G7" s="102">
        <f>IF($A7="","",[1]!thsiFinD("ths_adjustment_nv_fund",G$3,$A7))</f>
        <v>4.9664999999999999</v>
      </c>
      <c r="H7" s="102">
        <f>IF($A7="","",[1]!thsiFinD("ths_adjustment_nv_fund",H$3,$A7))</f>
        <v>4.8616000000000001</v>
      </c>
      <c r="I7" s="102">
        <f>IF($A7="","",[1]!thsiFinD("ths_adjustment_nv_fund",I$3,$A7))</f>
        <v>2.9276</v>
      </c>
      <c r="J7" s="102">
        <f>IF($A7="","",[1]!thsiFinD("ths_adjustment_nv_fund",J$3,$A7))</f>
        <v>3.1004999999999998</v>
      </c>
      <c r="K7" s="102">
        <f>IF($A7="","",[1]!thsiFinD("ths_adjustment_nv_fund",K$3,$A7))</f>
        <v>3.0724</v>
      </c>
      <c r="L7" s="102">
        <f>IF($A7="","",[1]!thsiFinD("ths_adjustment_nv_fund",L$3,$A7))</f>
        <v>1.6997</v>
      </c>
      <c r="M7" s="102">
        <f>IF($A7="","",[1]!thsiFinD("ths_adjustment_nv_fund",M$3,$A7))</f>
        <v>1.6772</v>
      </c>
      <c r="N7" s="102">
        <f>IF($A7="","",[1]!thsiFinD("ths_adjustment_nv_fund",N$3,$A7))</f>
        <v>1.6389</v>
      </c>
      <c r="O7" s="102">
        <f>IF($A7="","",[1]!thsiFinD("ths_adjustment_nv_fund",O$3,$A7))</f>
        <v>1.5989</v>
      </c>
      <c r="P7" s="102">
        <f>IF($A7="","",[1]!thsiFinD("ths_adjustment_nv_fund",P$3,$A7))</f>
        <v>3.6162000000000001</v>
      </c>
      <c r="Q7" s="102">
        <f>IF($A7="","",[1]!thsiFinD("ths_adjustment_nv_fund",Q$3,$A7))</f>
        <v>4.4028</v>
      </c>
      <c r="R7" s="102">
        <f>IF($A7="","",[1]!thsiFinD("ths_adjustment_nv_fund",R$3,$A7))</f>
        <v>4.3118999999999996</v>
      </c>
      <c r="S7" s="102">
        <f>IF($A7="","",[1]!thsiFinD("ths_adjustment_nv_fund",S$3,$A7))</f>
        <v>5.9349999999999996</v>
      </c>
      <c r="T7" s="102">
        <f>IF($A7="","",[1]!thsiFinD("ths_adjustment_nv_fund",T$3,$A7))</f>
        <v>3.0746000000000002</v>
      </c>
      <c r="U7" s="102">
        <f>IF($A7="","",[1]!thsiFinD("ths_adjustment_nv_fund",U$3,$A7))</f>
        <v>3.0587</v>
      </c>
      <c r="V7" s="102">
        <f>IF($A7="","",[1]!thsiFinD("ths_adjustment_nv_fund",V$3,$A7))</f>
        <v>2.1276000000000002</v>
      </c>
      <c r="W7" s="102">
        <f>IF($A7="","",[1]!thsiFinD("ths_adjustment_nv_fund",W$3,$A7))</f>
        <v>2.1071</v>
      </c>
      <c r="X7" s="102">
        <f>IF($A7="","",[1]!thsiFinD("ths_adjustment_nv_fund",X$3,$A7))</f>
        <v>1.7863</v>
      </c>
    </row>
    <row r="8" spans="1:24" x14ac:dyDescent="0.25">
      <c r="A8" s="101">
        <v>46197</v>
      </c>
      <c r="B8" s="102">
        <f>IF($A8="","",[1]!thsiFinD("ths_adjustment_nv_fund",B$3,$A8))</f>
        <v>3.0983999999999998</v>
      </c>
      <c r="C8" s="102">
        <f>IF($A8="","",[1]!thsiFinD("ths_adjustment_nv_fund",C$3,$A8))</f>
        <v>1.3175573088000001</v>
      </c>
      <c r="D8" s="102">
        <f>IF($A8="","",[1]!thsiFinD("ths_adjustment_nv_fund",D$3,$A8))</f>
        <v>6.1130000000000004</v>
      </c>
      <c r="E8" s="102">
        <f>IF($A8="","",[1]!thsiFinD("ths_adjustment_nv_fund",E$3,$A8))</f>
        <v>1.9931000000000001</v>
      </c>
      <c r="F8" s="102">
        <f>IF($A8="","",[1]!thsiFinD("ths_adjustment_nv_fund",F$3,$A8))</f>
        <v>1.9369000000000001</v>
      </c>
      <c r="G8" s="102">
        <f>IF($A8="","",[1]!thsiFinD("ths_adjustment_nv_fund",G$3,$A8))</f>
        <v>5.0423</v>
      </c>
      <c r="H8" s="102">
        <f>IF($A8="","",[1]!thsiFinD("ths_adjustment_nv_fund",H$3,$A8))</f>
        <v>4.9356999999999998</v>
      </c>
      <c r="I8" s="102">
        <f>IF($A8="","",[1]!thsiFinD("ths_adjustment_nv_fund",I$3,$A8))</f>
        <v>3.0529000000000002</v>
      </c>
      <c r="J8" s="102">
        <f>IF($A8="","",[1]!thsiFinD("ths_adjustment_nv_fund",J$3,$A8))</f>
        <v>3.3530000000000002</v>
      </c>
      <c r="K8" s="102">
        <f>IF($A8="","",[1]!thsiFinD("ths_adjustment_nv_fund",K$3,$A8))</f>
        <v>3.3226</v>
      </c>
      <c r="L8" s="102">
        <f>IF($A8="","",[1]!thsiFinD("ths_adjustment_nv_fund",L$3,$A8))</f>
        <v>1.7213000000000001</v>
      </c>
      <c r="M8" s="102">
        <f>IF($A8="","",[1]!thsiFinD("ths_adjustment_nv_fund",M$3,$A8))</f>
        <v>1.6984999999999999</v>
      </c>
      <c r="N8" s="102">
        <f>IF($A8="","",[1]!thsiFinD("ths_adjustment_nv_fund",N$3,$A8))</f>
        <v>1.6618999999999999</v>
      </c>
      <c r="O8" s="102">
        <f>IF($A8="","",[1]!thsiFinD("ths_adjustment_nv_fund",O$3,$A8))</f>
        <v>1.6214</v>
      </c>
      <c r="P8" s="102">
        <f>IF($A8="","",[1]!thsiFinD("ths_adjustment_nv_fund",P$3,$A8))</f>
        <v>3.7086999999999999</v>
      </c>
      <c r="Q8" s="102">
        <f>IF($A8="","",[1]!thsiFinD("ths_adjustment_nv_fund",Q$3,$A8))</f>
        <v>4.5109000000000004</v>
      </c>
      <c r="R8" s="102">
        <f>IF($A8="","",[1]!thsiFinD("ths_adjustment_nv_fund",R$3,$A8))</f>
        <v>4.4177</v>
      </c>
      <c r="S8" s="102">
        <f>IF($A8="","",[1]!thsiFinD("ths_adjustment_nv_fund",S$3,$A8))</f>
        <v>6.0510000000000002</v>
      </c>
      <c r="T8" s="102">
        <f>IF($A8="","",[1]!thsiFinD("ths_adjustment_nv_fund",T$3,$A8))</f>
        <v>3.2309000000000001</v>
      </c>
      <c r="U8" s="102">
        <f>IF($A8="","",[1]!thsiFinD("ths_adjustment_nv_fund",U$3,$A8))</f>
        <v>3.2141000000000002</v>
      </c>
      <c r="V8" s="102">
        <f>IF($A8="","",[1]!thsiFinD("ths_adjustment_nv_fund",V$3,$A8))</f>
        <v>2.1312000000000002</v>
      </c>
      <c r="W8" s="102">
        <f>IF($A8="","",[1]!thsiFinD("ths_adjustment_nv_fund",W$3,$A8))</f>
        <v>2.1107</v>
      </c>
      <c r="X8" s="102">
        <f>IF($A8="","",[1]!thsiFinD("ths_adjustment_nv_fund",X$3,$A8))</f>
        <v>1.7862</v>
      </c>
    </row>
    <row r="9" spans="1:24" x14ac:dyDescent="0.25">
      <c r="A9" s="101">
        <v>46198</v>
      </c>
      <c r="B9" s="102">
        <f>IF($A9="","",[1]!thsiFinD("ths_adjustment_nv_fund",B$3,$A9))</f>
        <v>3.0308999999999999</v>
      </c>
      <c r="C9" s="102">
        <f>IF($A9="","",[1]!thsiFinD("ths_adjustment_nv_fund",C$3,$A9))</f>
        <v>1.3176050703</v>
      </c>
      <c r="D9" s="102">
        <f>IF($A9="","",[1]!thsiFinD("ths_adjustment_nv_fund",D$3,$A9))</f>
        <v>6.3120000000000003</v>
      </c>
      <c r="E9" s="102">
        <f>IF($A9="","",[1]!thsiFinD("ths_adjustment_nv_fund",E$3,$A9))</f>
        <v>2.0205000000000002</v>
      </c>
      <c r="F9" s="102">
        <f>IF($A9="","",[1]!thsiFinD("ths_adjustment_nv_fund",F$3,$A9))</f>
        <v>1.9635</v>
      </c>
      <c r="G9" s="102">
        <f>IF($A9="","",[1]!thsiFinD("ths_adjustment_nv_fund",G$3,$A9))</f>
        <v>5.1944999999999997</v>
      </c>
      <c r="H9" s="102">
        <f>IF($A9="","",[1]!thsiFinD("ths_adjustment_nv_fund",H$3,$A9))</f>
        <v>5.0848000000000004</v>
      </c>
      <c r="I9" s="102">
        <f>IF($A9="","",[1]!thsiFinD("ths_adjustment_nv_fund",I$3,$A9))</f>
        <v>3.1735000000000002</v>
      </c>
      <c r="J9" s="102">
        <f>IF($A9="","",[1]!thsiFinD("ths_adjustment_nv_fund",J$3,$A9))</f>
        <v>3.4601999999999999</v>
      </c>
      <c r="K9" s="102">
        <f>IF($A9="","",[1]!thsiFinD("ths_adjustment_nv_fund",K$3,$A9))</f>
        <v>3.4287000000000001</v>
      </c>
      <c r="L9" s="102">
        <f>IF($A9="","",[1]!thsiFinD("ths_adjustment_nv_fund",L$3,$A9))</f>
        <v>1.7283999999999999</v>
      </c>
      <c r="M9" s="102">
        <f>IF($A9="","",[1]!thsiFinD("ths_adjustment_nv_fund",M$3,$A9))</f>
        <v>1.7056</v>
      </c>
      <c r="N9" s="102">
        <f>IF($A9="","",[1]!thsiFinD("ths_adjustment_nv_fund",N$3,$A9))</f>
        <v>1.6739999999999999</v>
      </c>
      <c r="O9" s="102">
        <f>IF($A9="","",[1]!thsiFinD("ths_adjustment_nv_fund",O$3,$A9))</f>
        <v>1.6331</v>
      </c>
      <c r="P9" s="102">
        <f>IF($A9="","",[1]!thsiFinD("ths_adjustment_nv_fund",P$3,$A9))</f>
        <v>3.8424</v>
      </c>
      <c r="Q9" s="102">
        <f>IF($A9="","",[1]!thsiFinD("ths_adjustment_nv_fund",Q$3,$A9))</f>
        <v>4.6886000000000001</v>
      </c>
      <c r="R9" s="102">
        <f>IF($A9="","",[1]!thsiFinD("ths_adjustment_nv_fund",R$3,$A9))</f>
        <v>4.5915999999999997</v>
      </c>
      <c r="S9" s="102">
        <f>IF($A9="","",[1]!thsiFinD("ths_adjustment_nv_fund",S$3,$A9))</f>
        <v>6.2480000000000002</v>
      </c>
      <c r="T9" s="102">
        <f>IF($A9="","",[1]!thsiFinD("ths_adjustment_nv_fund",T$3,$A9))</f>
        <v>3.3209</v>
      </c>
      <c r="U9" s="102">
        <f>IF($A9="","",[1]!thsiFinD("ths_adjustment_nv_fund",U$3,$A9))</f>
        <v>3.3035999999999999</v>
      </c>
      <c r="V9" s="102">
        <f>IF($A9="","",[1]!thsiFinD("ths_adjustment_nv_fund",V$3,$A9))</f>
        <v>2.1113</v>
      </c>
      <c r="W9" s="102">
        <f>IF($A9="","",[1]!thsiFinD("ths_adjustment_nv_fund",W$3,$A9))</f>
        <v>2.0909</v>
      </c>
      <c r="X9" s="102">
        <f>IF($A9="","",[1]!thsiFinD("ths_adjustment_nv_fund",X$3,$A9))</f>
        <v>1.7875000000000001</v>
      </c>
    </row>
    <row r="10" spans="1:24" x14ac:dyDescent="0.25">
      <c r="A10" s="101">
        <v>46199</v>
      </c>
      <c r="B10" s="102">
        <f>IF($A10="","",[1]!thsiFinD("ths_adjustment_nv_fund",B$3,$A10))</f>
        <v>3.0598000000000001</v>
      </c>
      <c r="C10" s="102">
        <f>IF($A10="","",[1]!thsiFinD("ths_adjustment_nv_fund",C$3,$A10))</f>
        <v>1.3176496975</v>
      </c>
      <c r="D10" s="102">
        <f>IF($A10="","",[1]!thsiFinD("ths_adjustment_nv_fund",D$3,$A10))</f>
        <v>5.99</v>
      </c>
      <c r="E10" s="102">
        <f>IF($A10="","",[1]!thsiFinD("ths_adjustment_nv_fund",E$3,$A10))</f>
        <v>1.9618</v>
      </c>
      <c r="F10" s="102">
        <f>IF($A10="","",[1]!thsiFinD("ths_adjustment_nv_fund",F$3,$A10))</f>
        <v>1.9065000000000001</v>
      </c>
      <c r="G10" s="102">
        <f>IF($A10="","",[1]!thsiFinD("ths_adjustment_nv_fund",G$3,$A10))</f>
        <v>4.8685</v>
      </c>
      <c r="H10" s="102">
        <f>IF($A10="","",[1]!thsiFinD("ths_adjustment_nv_fund",H$3,$A10))</f>
        <v>4.7655000000000003</v>
      </c>
      <c r="I10" s="102">
        <f>IF($A10="","",[1]!thsiFinD("ths_adjustment_nv_fund",I$3,$A10))</f>
        <v>3.0956000000000001</v>
      </c>
      <c r="J10" s="102">
        <f>IF($A10="","",[1]!thsiFinD("ths_adjustment_nv_fund",J$3,$A10))</f>
        <v>3.5710000000000002</v>
      </c>
      <c r="K10" s="102">
        <f>IF($A10="","",[1]!thsiFinD("ths_adjustment_nv_fund",K$3,$A10))</f>
        <v>3.5386000000000002</v>
      </c>
      <c r="L10" s="102">
        <f>IF($A10="","",[1]!thsiFinD("ths_adjustment_nv_fund",L$3,$A10))</f>
        <v>1.6812</v>
      </c>
      <c r="M10" s="102">
        <f>IF($A10="","",[1]!thsiFinD("ths_adjustment_nv_fund",M$3,$A10))</f>
        <v>1.6589</v>
      </c>
      <c r="N10" s="102">
        <f>IF($A10="","",[1]!thsiFinD("ths_adjustment_nv_fund",N$3,$A10))</f>
        <v>1.6269</v>
      </c>
      <c r="O10" s="102">
        <f>IF($A10="","",[1]!thsiFinD("ths_adjustment_nv_fund",O$3,$A10))</f>
        <v>1.5871</v>
      </c>
      <c r="P10" s="102">
        <f>IF($A10="","",[1]!thsiFinD("ths_adjustment_nv_fund",P$3,$A10))</f>
        <v>3.5971000000000002</v>
      </c>
      <c r="Q10" s="102">
        <f>IF($A10="","",[1]!thsiFinD("ths_adjustment_nv_fund",Q$3,$A10))</f>
        <v>4.4157999999999999</v>
      </c>
      <c r="R10" s="102">
        <f>IF($A10="","",[1]!thsiFinD("ths_adjustment_nv_fund",R$3,$A10))</f>
        <v>4.3243999999999998</v>
      </c>
      <c r="S10" s="102">
        <f>IF($A10="","",[1]!thsiFinD("ths_adjustment_nv_fund",S$3,$A10))</f>
        <v>5.93</v>
      </c>
      <c r="T10" s="102">
        <f>IF($A10="","",[1]!thsiFinD("ths_adjustment_nv_fund",T$3,$A10))</f>
        <v>3.4331</v>
      </c>
      <c r="U10" s="102">
        <f>IF($A10="","",[1]!thsiFinD("ths_adjustment_nv_fund",U$3,$A10))</f>
        <v>3.4152999999999998</v>
      </c>
      <c r="V10" s="102">
        <f>IF($A10="","",[1]!thsiFinD("ths_adjustment_nv_fund",V$3,$A10))</f>
        <v>2.0535000000000001</v>
      </c>
      <c r="W10" s="102">
        <f>IF($A10="","",[1]!thsiFinD("ths_adjustment_nv_fund",W$3,$A10))</f>
        <v>2.0337000000000001</v>
      </c>
      <c r="X10" s="102">
        <f>IF($A10="","",[1]!thsiFinD("ths_adjustment_nv_fund",X$3,$A10))</f>
        <v>1.788</v>
      </c>
    </row>
    <row r="11" spans="1:24" x14ac:dyDescent="0.25">
      <c r="A11" s="101">
        <v>46202</v>
      </c>
      <c r="B11" s="102">
        <f>IF($A11="","",[1]!thsiFinD("ths_adjustment_nv_fund",B$3,$A11))</f>
        <v>3.0722999999999998</v>
      </c>
      <c r="C11" s="102">
        <f>IF($A11="","",[1]!thsiFinD("ths_adjustment_nv_fund",C$3,$A11))</f>
        <v>1.3177907965</v>
      </c>
      <c r="D11" s="102">
        <f>IF($A11="","",[1]!thsiFinD("ths_adjustment_nv_fund",D$3,$A11))</f>
        <v>5.7949999999999999</v>
      </c>
      <c r="E11" s="102">
        <f>IF($A11="","",[1]!thsiFinD("ths_adjustment_nv_fund",E$3,$A11))</f>
        <v>1.9811000000000001</v>
      </c>
      <c r="F11" s="102">
        <f>IF($A11="","",[1]!thsiFinD("ths_adjustment_nv_fund",F$3,$A11))</f>
        <v>1.9252</v>
      </c>
      <c r="G11" s="102">
        <f>IF($A11="","",[1]!thsiFinD("ths_adjustment_nv_fund",G$3,$A11))</f>
        <v>4.7591999999999999</v>
      </c>
      <c r="H11" s="102">
        <f>IF($A11="","",[1]!thsiFinD("ths_adjustment_nv_fund",H$3,$A11))</f>
        <v>4.6585000000000001</v>
      </c>
      <c r="I11" s="102">
        <f>IF($A11="","",[1]!thsiFinD("ths_adjustment_nv_fund",I$3,$A11))</f>
        <v>3.1442000000000001</v>
      </c>
      <c r="J11" s="102">
        <f>IF($A11="","",[1]!thsiFinD("ths_adjustment_nv_fund",J$3,$A11))</f>
        <v>3.8559000000000001</v>
      </c>
      <c r="K11" s="102">
        <f>IF($A11="","",[1]!thsiFinD("ths_adjustment_nv_fund",K$3,$A11))</f>
        <v>3.8208000000000002</v>
      </c>
      <c r="L11" s="102">
        <f>IF($A11="","",[1]!thsiFinD("ths_adjustment_nv_fund",L$3,$A11))</f>
        <v>1.6827000000000001</v>
      </c>
      <c r="M11" s="102">
        <f>IF($A11="","",[1]!thsiFinD("ths_adjustment_nv_fund",M$3,$A11))</f>
        <v>1.6604000000000001</v>
      </c>
      <c r="N11" s="102">
        <f>IF($A11="","",[1]!thsiFinD("ths_adjustment_nv_fund",N$3,$A11))</f>
        <v>1.6415</v>
      </c>
      <c r="O11" s="102">
        <f>IF($A11="","",[1]!thsiFinD("ths_adjustment_nv_fund",O$3,$A11))</f>
        <v>1.6012999999999999</v>
      </c>
      <c r="P11" s="102">
        <f>IF($A11="","",[1]!thsiFinD("ths_adjustment_nv_fund",P$3,$A11))</f>
        <v>3.4931000000000001</v>
      </c>
      <c r="Q11" s="102">
        <f>IF($A11="","",[1]!thsiFinD("ths_adjustment_nv_fund",Q$3,$A11))</f>
        <v>4.3342999999999998</v>
      </c>
      <c r="R11" s="102">
        <f>IF($A11="","",[1]!thsiFinD("ths_adjustment_nv_fund",R$3,$A11))</f>
        <v>4.2443999999999997</v>
      </c>
      <c r="S11" s="102">
        <f>IF($A11="","",[1]!thsiFinD("ths_adjustment_nv_fund",S$3,$A11))</f>
        <v>5.7359999999999998</v>
      </c>
      <c r="T11" s="102">
        <f>IF($A11="","",[1]!thsiFinD("ths_adjustment_nv_fund",T$3,$A11))</f>
        <v>3.7000999999999999</v>
      </c>
      <c r="U11" s="102">
        <f>IF($A11="","",[1]!thsiFinD("ths_adjustment_nv_fund",U$3,$A11))</f>
        <v>3.6808000000000001</v>
      </c>
      <c r="V11" s="102">
        <f>IF($A11="","",[1]!thsiFinD("ths_adjustment_nv_fund",V$3,$A11))</f>
        <v>2.0396999999999998</v>
      </c>
      <c r="W11" s="102">
        <f>IF($A11="","",[1]!thsiFinD("ths_adjustment_nv_fund",W$3,$A11))</f>
        <v>2.02</v>
      </c>
      <c r="X11" s="102">
        <f>IF($A11="","",[1]!thsiFinD("ths_adjustment_nv_fund",X$3,$A11))</f>
        <v>1.7897000000000001</v>
      </c>
    </row>
    <row r="12" spans="1:24" x14ac:dyDescent="0.25">
      <c r="A12" s="101">
        <v>46203</v>
      </c>
      <c r="B12" s="102">
        <f>IF($A12="","",[1]!thsiFinD("ths_adjustment_nv_fund",B$3,$A12))</f>
        <v>3.0428999999999999</v>
      </c>
      <c r="C12" s="102">
        <f>IF($A12="","",[1]!thsiFinD("ths_adjustment_nv_fund",C$3,$A12))</f>
        <v>1.3178317665999999</v>
      </c>
      <c r="D12" s="102">
        <f>IF($A12="","",[1]!thsiFinD("ths_adjustment_nv_fund",D$3,$A12))</f>
        <v>6.024</v>
      </c>
      <c r="E12" s="102">
        <f>IF($A12="","",[1]!thsiFinD("ths_adjustment_nv_fund",E$3,$A12))</f>
        <v>2.0032000000000001</v>
      </c>
      <c r="F12" s="102">
        <f>IF($A12="","",[1]!thsiFinD("ths_adjustment_nv_fund",F$3,$A12))</f>
        <v>1.9466000000000001</v>
      </c>
      <c r="G12" s="102">
        <f>IF($A12="","",[1]!thsiFinD("ths_adjustment_nv_fund",G$3,$A12))</f>
        <v>4.9737</v>
      </c>
      <c r="H12" s="102">
        <f>IF($A12="","",[1]!thsiFinD("ths_adjustment_nv_fund",H$3,$A12))</f>
        <v>4.8684000000000003</v>
      </c>
      <c r="I12" s="102">
        <f>IF($A12="","",[1]!thsiFinD("ths_adjustment_nv_fund",I$3,$A12))</f>
        <v>3.2498999999999998</v>
      </c>
      <c r="J12" s="102">
        <f>IF($A12="","",[1]!thsiFinD("ths_adjustment_nv_fund",J$3,$A12))</f>
        <v>4.0259</v>
      </c>
      <c r="K12" s="102">
        <f>IF($A12="","",[1]!thsiFinD("ths_adjustment_nv_fund",K$3,$A12))</f>
        <v>3.9891999999999999</v>
      </c>
      <c r="L12" s="102">
        <f>IF($A12="","",[1]!thsiFinD("ths_adjustment_nv_fund",L$3,$A12))</f>
        <v>1.7173</v>
      </c>
      <c r="M12" s="102">
        <f>IF($A12="","",[1]!thsiFinD("ths_adjustment_nv_fund",M$3,$A12))</f>
        <v>1.6944999999999999</v>
      </c>
      <c r="N12" s="102">
        <f>IF($A12="","",[1]!thsiFinD("ths_adjustment_nv_fund",N$3,$A12))</f>
        <v>1.6697</v>
      </c>
      <c r="O12" s="102">
        <f>IF($A12="","",[1]!thsiFinD("ths_adjustment_nv_fund",O$3,$A12))</f>
        <v>1.6287</v>
      </c>
      <c r="P12" s="102">
        <f>IF($A12="","",[1]!thsiFinD("ths_adjustment_nv_fund",P$3,$A12))</f>
        <v>3.6819999999999999</v>
      </c>
      <c r="Q12" s="102">
        <f>IF($A12="","",[1]!thsiFinD("ths_adjustment_nv_fund",Q$3,$A12))</f>
        <v>4.5731000000000002</v>
      </c>
      <c r="R12" s="102">
        <f>IF($A12="","",[1]!thsiFinD("ths_adjustment_nv_fund",R$3,$A12))</f>
        <v>4.4781000000000004</v>
      </c>
      <c r="S12" s="102">
        <f>IF($A12="","",[1]!thsiFinD("ths_adjustment_nv_fund",S$3,$A12))</f>
        <v>5.9619999999999997</v>
      </c>
      <c r="T12" s="102">
        <f>IF($A12="","",[1]!thsiFinD("ths_adjustment_nv_fund",T$3,$A12))</f>
        <v>3.8033999999999999</v>
      </c>
      <c r="U12" s="102">
        <f>IF($A12="","",[1]!thsiFinD("ths_adjustment_nv_fund",U$3,$A12))</f>
        <v>3.7835999999999999</v>
      </c>
      <c r="V12" s="102">
        <f>IF($A12="","",[1]!thsiFinD("ths_adjustment_nv_fund",V$3,$A12))</f>
        <v>2.1004</v>
      </c>
      <c r="W12" s="102">
        <f>IF($A12="","",[1]!thsiFinD("ths_adjustment_nv_fund",W$3,$A12))</f>
        <v>2.08</v>
      </c>
      <c r="X12" s="102">
        <f>IF($A12="","",[1]!thsiFinD("ths_adjustment_nv_fund",X$3,$A12))</f>
        <v>1.7882</v>
      </c>
    </row>
    <row r="13" spans="1:24" x14ac:dyDescent="0.25">
      <c r="A13" s="101">
        <v>46204</v>
      </c>
      <c r="B13" s="102">
        <f>IF($A13="","",[1]!thsiFinD("ths_adjustment_nv_fund",B$3,$A13))</f>
        <v>3.0102000000000002</v>
      </c>
      <c r="C13" s="102">
        <f>IF($A13="","",[1]!thsiFinD("ths_adjustment_nv_fund",C$3,$A13))</f>
        <v>1.3178766124000001</v>
      </c>
      <c r="D13" s="102">
        <f>IF($A13="","",[1]!thsiFinD("ths_adjustment_nv_fund",D$3,$A13))</f>
        <v>5.7770000000000001</v>
      </c>
      <c r="E13" s="102">
        <f>IF($A13="","",[1]!thsiFinD("ths_adjustment_nv_fund",E$3,$A13))</f>
        <v>1.9953000000000001</v>
      </c>
      <c r="F13" s="102">
        <f>IF($A13="","",[1]!thsiFinD("ths_adjustment_nv_fund",F$3,$A13))</f>
        <v>1.9389000000000001</v>
      </c>
      <c r="G13" s="102">
        <f>IF($A13="","",[1]!thsiFinD("ths_adjustment_nv_fund",G$3,$A13))</f>
        <v>4.7699999999999996</v>
      </c>
      <c r="H13" s="102">
        <f>IF($A13="","",[1]!thsiFinD("ths_adjustment_nv_fund",H$3,$A13))</f>
        <v>4.6688999999999998</v>
      </c>
      <c r="I13" s="102">
        <f>IF($A13="","",[1]!thsiFinD("ths_adjustment_nv_fund",I$3,$A13))</f>
        <v>3.1869000000000001</v>
      </c>
      <c r="J13" s="102">
        <f>IF($A13="","",[1]!thsiFinD("ths_adjustment_nv_fund",J$3,$A13))</f>
        <v>3.9714999999999998</v>
      </c>
      <c r="K13" s="102">
        <f>IF($A13="","",[1]!thsiFinD("ths_adjustment_nv_fund",K$3,$A13))</f>
        <v>3.9352999999999998</v>
      </c>
      <c r="L13" s="102">
        <f>IF($A13="","",[1]!thsiFinD("ths_adjustment_nv_fund",L$3,$A13))</f>
        <v>1.7427999999999999</v>
      </c>
      <c r="M13" s="102">
        <f>IF($A13="","",[1]!thsiFinD("ths_adjustment_nv_fund",M$3,$A13))</f>
        <v>1.7196</v>
      </c>
      <c r="N13" s="102">
        <f>IF($A13="","",[1]!thsiFinD("ths_adjustment_nv_fund",N$3,$A13))</f>
        <v>1.6754</v>
      </c>
      <c r="O13" s="102">
        <f>IF($A13="","",[1]!thsiFinD("ths_adjustment_nv_fund",O$3,$A13))</f>
        <v>1.6342000000000001</v>
      </c>
      <c r="P13" s="102">
        <f>IF($A13="","",[1]!thsiFinD("ths_adjustment_nv_fund",P$3,$A13))</f>
        <v>3.4897</v>
      </c>
      <c r="Q13" s="102">
        <f>IF($A13="","",[1]!thsiFinD("ths_adjustment_nv_fund",Q$3,$A13))</f>
        <v>4.3589000000000002</v>
      </c>
      <c r="R13" s="102">
        <f>IF($A13="","",[1]!thsiFinD("ths_adjustment_nv_fund",R$3,$A13))</f>
        <v>4.2683</v>
      </c>
      <c r="S13" s="102">
        <f>IF($A13="","",[1]!thsiFinD("ths_adjustment_nv_fund",S$3,$A13))</f>
        <v>5.718</v>
      </c>
      <c r="T13" s="102">
        <f>IF($A13="","",[1]!thsiFinD("ths_adjustment_nv_fund",T$3,$A13))</f>
        <v>3.8296000000000001</v>
      </c>
      <c r="U13" s="102">
        <f>IF($A13="","",[1]!thsiFinD("ths_adjustment_nv_fund",U$3,$A13))</f>
        <v>3.8096999999999999</v>
      </c>
      <c r="V13" s="102">
        <f>IF($A13="","",[1]!thsiFinD("ths_adjustment_nv_fund",V$3,$A13))</f>
        <v>2.1280000000000001</v>
      </c>
      <c r="W13" s="102">
        <f>IF($A13="","",[1]!thsiFinD("ths_adjustment_nv_fund",W$3,$A13))</f>
        <v>2.1073</v>
      </c>
      <c r="X13" s="102">
        <f>IF($A13="","",[1]!thsiFinD("ths_adjustment_nv_fund",X$3,$A13))</f>
        <v>1.7865</v>
      </c>
    </row>
    <row r="14" spans="1:24" x14ac:dyDescent="0.25">
      <c r="A14" s="101">
        <v>46205</v>
      </c>
      <c r="B14" s="102">
        <f>IF($A14="","",[1]!thsiFinD("ths_adjustment_nv_fund",B$3,$A14))</f>
        <v>3.0728</v>
      </c>
      <c r="C14" s="102">
        <f>IF($A14="","",[1]!thsiFinD("ths_adjustment_nv_fund",C$3,$A14))</f>
        <v>1.3179214992999999</v>
      </c>
      <c r="D14" s="102">
        <f>IF($A14="","",[1]!thsiFinD("ths_adjustment_nv_fund",D$3,$A14))</f>
        <v>5.3630000000000004</v>
      </c>
      <c r="E14" s="102">
        <f>IF($A14="","",[1]!thsiFinD("ths_adjustment_nv_fund",E$3,$A14))</f>
        <v>1.9340999999999999</v>
      </c>
      <c r="F14" s="102">
        <f>IF($A14="","",[1]!thsiFinD("ths_adjustment_nv_fund",F$3,$A14))</f>
        <v>1.8794999999999999</v>
      </c>
      <c r="G14" s="102">
        <f>IF($A14="","",[1]!thsiFinD("ths_adjustment_nv_fund",G$3,$A14))</f>
        <v>4.4048999999999996</v>
      </c>
      <c r="H14" s="102">
        <f>IF($A14="","",[1]!thsiFinD("ths_adjustment_nv_fund",H$3,$A14))</f>
        <v>4.3114999999999997</v>
      </c>
      <c r="I14" s="102">
        <f>IF($A14="","",[1]!thsiFinD("ths_adjustment_nv_fund",I$3,$A14))</f>
        <v>2.9270999999999998</v>
      </c>
      <c r="J14" s="102">
        <f>IF($A14="","",[1]!thsiFinD("ths_adjustment_nv_fund",J$3,$A14))</f>
        <v>3.5630000000000002</v>
      </c>
      <c r="K14" s="102">
        <f>IF($A14="","",[1]!thsiFinD("ths_adjustment_nv_fund",K$3,$A14))</f>
        <v>3.5305</v>
      </c>
      <c r="L14" s="102">
        <f>IF($A14="","",[1]!thsiFinD("ths_adjustment_nv_fund",L$3,$A14))</f>
        <v>1.7058</v>
      </c>
      <c r="M14" s="102">
        <f>IF($A14="","",[1]!thsiFinD("ths_adjustment_nv_fund",M$3,$A14))</f>
        <v>1.6831</v>
      </c>
      <c r="N14" s="102">
        <f>IF($A14="","",[1]!thsiFinD("ths_adjustment_nv_fund",N$3,$A14))</f>
        <v>1.6240000000000001</v>
      </c>
      <c r="O14" s="102">
        <f>IF($A14="","",[1]!thsiFinD("ths_adjustment_nv_fund",O$3,$A14))</f>
        <v>1.5841000000000001</v>
      </c>
      <c r="P14" s="102">
        <f>IF($A14="","",[1]!thsiFinD("ths_adjustment_nv_fund",P$3,$A14))</f>
        <v>3.149</v>
      </c>
      <c r="Q14" s="102">
        <f>IF($A14="","",[1]!thsiFinD("ths_adjustment_nv_fund",Q$3,$A14))</f>
        <v>3.9685999999999999</v>
      </c>
      <c r="R14" s="102">
        <f>IF($A14="","",[1]!thsiFinD("ths_adjustment_nv_fund",R$3,$A14))</f>
        <v>3.8860999999999999</v>
      </c>
      <c r="S14" s="102">
        <f>IF($A14="","",[1]!thsiFinD("ths_adjustment_nv_fund",S$3,$A14))</f>
        <v>5.3090000000000002</v>
      </c>
      <c r="T14" s="102">
        <f>IF($A14="","",[1]!thsiFinD("ths_adjustment_nv_fund",T$3,$A14))</f>
        <v>3.4958999999999998</v>
      </c>
      <c r="U14" s="102">
        <f>IF($A14="","",[1]!thsiFinD("ths_adjustment_nv_fund",U$3,$A14))</f>
        <v>3.4777</v>
      </c>
      <c r="V14" s="102">
        <f>IF($A14="","",[1]!thsiFinD("ths_adjustment_nv_fund",V$3,$A14))</f>
        <v>2.0951</v>
      </c>
      <c r="W14" s="102">
        <f>IF($A14="","",[1]!thsiFinD("ths_adjustment_nv_fund",W$3,$A14))</f>
        <v>2.0747</v>
      </c>
      <c r="X14" s="102">
        <f>IF($A14="","",[1]!thsiFinD("ths_adjustment_nv_fund",X$3,$A14))</f>
        <v>1.7867</v>
      </c>
    </row>
    <row r="15" spans="1:24" x14ac:dyDescent="0.25">
      <c r="A15" s="101">
        <v>46206</v>
      </c>
      <c r="B15" s="102">
        <f>IF($A15="","",[1]!thsiFinD("ths_adjustment_nv_fund",B$3,$A15))</f>
        <v>3.1547000000000001</v>
      </c>
      <c r="C15" s="102">
        <f>IF($A15="","",[1]!thsiFinD("ths_adjustment_nv_fund",C$3,$A15))</f>
        <v>1.3179684832</v>
      </c>
      <c r="D15" s="102">
        <f>IF($A15="","",[1]!thsiFinD("ths_adjustment_nv_fund",D$3,$A15))</f>
        <v>5.4050000000000002</v>
      </c>
      <c r="E15" s="102">
        <f>IF($A15="","",[1]!thsiFinD("ths_adjustment_nv_fund",E$3,$A15))</f>
        <v>1.9475</v>
      </c>
      <c r="F15" s="102">
        <f>IF($A15="","",[1]!thsiFinD("ths_adjustment_nv_fund",F$3,$A15))</f>
        <v>1.8924000000000001</v>
      </c>
      <c r="G15" s="102">
        <f>IF($A15="","",[1]!thsiFinD("ths_adjustment_nv_fund",G$3,$A15))</f>
        <v>4.4032999999999998</v>
      </c>
      <c r="H15" s="102">
        <f>IF($A15="","",[1]!thsiFinD("ths_adjustment_nv_fund",H$3,$A15))</f>
        <v>4.3098999999999998</v>
      </c>
      <c r="I15" s="102">
        <f>IF($A15="","",[1]!thsiFinD("ths_adjustment_nv_fund",I$3,$A15))</f>
        <v>2.9794</v>
      </c>
      <c r="J15" s="102">
        <f>IF($A15="","",[1]!thsiFinD("ths_adjustment_nv_fund",J$3,$A15))</f>
        <v>3.4994999999999998</v>
      </c>
      <c r="K15" s="102">
        <f>IF($A15="","",[1]!thsiFinD("ths_adjustment_nv_fund",K$3,$A15))</f>
        <v>3.4676</v>
      </c>
      <c r="L15" s="102">
        <f>IF($A15="","",[1]!thsiFinD("ths_adjustment_nv_fund",L$3,$A15))</f>
        <v>1.7109000000000001</v>
      </c>
      <c r="M15" s="102">
        <f>IF($A15="","",[1]!thsiFinD("ths_adjustment_nv_fund",M$3,$A15))</f>
        <v>1.6881999999999999</v>
      </c>
      <c r="N15" s="102">
        <f>IF($A15="","",[1]!thsiFinD("ths_adjustment_nv_fund",N$3,$A15))</f>
        <v>1.6383000000000001</v>
      </c>
      <c r="O15" s="102">
        <f>IF($A15="","",[1]!thsiFinD("ths_adjustment_nv_fund",O$3,$A15))</f>
        <v>1.5980000000000001</v>
      </c>
      <c r="P15" s="102">
        <f>IF($A15="","",[1]!thsiFinD("ths_adjustment_nv_fund",P$3,$A15))</f>
        <v>3.1377000000000002</v>
      </c>
      <c r="Q15" s="102">
        <f>IF($A15="","",[1]!thsiFinD("ths_adjustment_nv_fund",Q$3,$A15))</f>
        <v>3.9687999999999999</v>
      </c>
      <c r="R15" s="102">
        <f>IF($A15="","",[1]!thsiFinD("ths_adjustment_nv_fund",R$3,$A15))</f>
        <v>3.8862999999999999</v>
      </c>
      <c r="S15" s="102">
        <f>IF($A15="","",[1]!thsiFinD("ths_adjustment_nv_fund",S$3,$A15))</f>
        <v>5.35</v>
      </c>
      <c r="T15" s="102">
        <f>IF($A15="","",[1]!thsiFinD("ths_adjustment_nv_fund",T$3,$A15))</f>
        <v>3.3914</v>
      </c>
      <c r="U15" s="102">
        <f>IF($A15="","",[1]!thsiFinD("ths_adjustment_nv_fund",U$3,$A15))</f>
        <v>3.3736999999999999</v>
      </c>
      <c r="V15" s="102">
        <f>IF($A15="","",[1]!thsiFinD("ths_adjustment_nv_fund",V$3,$A15))</f>
        <v>2.1027999999999998</v>
      </c>
      <c r="W15" s="102">
        <f>IF($A15="","",[1]!thsiFinD("ths_adjustment_nv_fund",W$3,$A15))</f>
        <v>2.0823</v>
      </c>
      <c r="X15" s="102">
        <f>IF($A15="","",[1]!thsiFinD("ths_adjustment_nv_fund",X$3,$A15))</f>
        <v>1.7863</v>
      </c>
    </row>
    <row r="16" spans="1:24" x14ac:dyDescent="0.25">
      <c r="A16" s="101">
        <v>46209</v>
      </c>
      <c r="B16" s="102">
        <f>IF($A16="","",[1]!thsiFinD("ths_adjustment_nv_fund",B$3,$A16))</f>
        <v>3.145</v>
      </c>
      <c r="C16" s="102">
        <f>IF($A16="","",[1]!thsiFinD("ths_adjustment_nv_fund",C$3,$A16))</f>
        <v>1.3181064792999999</v>
      </c>
      <c r="D16" s="102">
        <f>IF($A16="","",[1]!thsiFinD("ths_adjustment_nv_fund",D$3,$A16))</f>
        <v>5.234</v>
      </c>
      <c r="E16" s="102">
        <f>IF($A16="","",[1]!thsiFinD("ths_adjustment_nv_fund",E$3,$A16))</f>
        <v>1.9455</v>
      </c>
      <c r="F16" s="102">
        <f>IF($A16="","",[1]!thsiFinD("ths_adjustment_nv_fund",F$3,$A16))</f>
        <v>1.8904000000000001</v>
      </c>
      <c r="G16" s="102">
        <f>IF($A16="","",[1]!thsiFinD("ths_adjustment_nv_fund",G$3,$A16))</f>
        <v>4.2538999999999998</v>
      </c>
      <c r="H16" s="102">
        <f>IF($A16="","",[1]!thsiFinD("ths_adjustment_nv_fund",H$3,$A16))</f>
        <v>4.1635999999999997</v>
      </c>
      <c r="I16" s="102">
        <f>IF($A16="","",[1]!thsiFinD("ths_adjustment_nv_fund",I$3,$A16))</f>
        <v>2.9167999999999998</v>
      </c>
      <c r="J16" s="102">
        <f>IF($A16="","",[1]!thsiFinD("ths_adjustment_nv_fund",J$3,$A16))</f>
        <v>3.5333999999999999</v>
      </c>
      <c r="K16" s="102">
        <f>IF($A16="","",[1]!thsiFinD("ths_adjustment_nv_fund",K$3,$A16))</f>
        <v>3.5011999999999999</v>
      </c>
      <c r="L16" s="102">
        <f>IF($A16="","",[1]!thsiFinD("ths_adjustment_nv_fund",L$3,$A16))</f>
        <v>1.6875</v>
      </c>
      <c r="M16" s="102">
        <f>IF($A16="","",[1]!thsiFinD("ths_adjustment_nv_fund",M$3,$A16))</f>
        <v>1.665</v>
      </c>
      <c r="N16" s="102">
        <f>IF($A16="","",[1]!thsiFinD("ths_adjustment_nv_fund",N$3,$A16))</f>
        <v>1.6289</v>
      </c>
      <c r="O16" s="102">
        <f>IF($A16="","",[1]!thsiFinD("ths_adjustment_nv_fund",O$3,$A16))</f>
        <v>1.5888</v>
      </c>
      <c r="P16" s="102">
        <f>IF($A16="","",[1]!thsiFinD("ths_adjustment_nv_fund",P$3,$A16))</f>
        <v>3.0129000000000001</v>
      </c>
      <c r="Q16" s="102">
        <f>IF($A16="","",[1]!thsiFinD("ths_adjustment_nv_fund",Q$3,$A16))</f>
        <v>3.8572000000000002</v>
      </c>
      <c r="R16" s="102">
        <f>IF($A16="","",[1]!thsiFinD("ths_adjustment_nv_fund",R$3,$A16))</f>
        <v>3.7768000000000002</v>
      </c>
      <c r="S16" s="102">
        <f>IF($A16="","",[1]!thsiFinD("ths_adjustment_nv_fund",S$3,$A16))</f>
        <v>5.18</v>
      </c>
      <c r="T16" s="102">
        <f>IF($A16="","",[1]!thsiFinD("ths_adjustment_nv_fund",T$3,$A16))</f>
        <v>3.3597000000000001</v>
      </c>
      <c r="U16" s="102">
        <f>IF($A16="","",[1]!thsiFinD("ths_adjustment_nv_fund",U$3,$A16))</f>
        <v>3.3420999999999998</v>
      </c>
      <c r="V16" s="102">
        <f>IF($A16="","",[1]!thsiFinD("ths_adjustment_nv_fund",V$3,$A16))</f>
        <v>2.0773000000000001</v>
      </c>
      <c r="W16" s="102">
        <f>IF($A16="","",[1]!thsiFinD("ths_adjustment_nv_fund",W$3,$A16))</f>
        <v>2.0569999999999999</v>
      </c>
      <c r="X16" s="102">
        <f>IF($A16="","",[1]!thsiFinD("ths_adjustment_nv_fund",X$3,$A16))</f>
        <v>1.7876000000000001</v>
      </c>
    </row>
    <row r="17" spans="1:24" x14ac:dyDescent="0.25">
      <c r="A17" s="101">
        <v>46210</v>
      </c>
      <c r="B17" s="102">
        <f>IF($A17="","",[1]!thsiFinD("ths_adjustment_nv_fund",B$3,$A17))</f>
        <v>3.1265000000000001</v>
      </c>
      <c r="C17" s="102">
        <f>IF($A17="","",[1]!thsiFinD("ths_adjustment_nv_fund",C$3,$A17))</f>
        <v>1.3181508468000001</v>
      </c>
      <c r="D17" s="102">
        <f>IF($A17="","",[1]!thsiFinD("ths_adjustment_nv_fund",D$3,$A17))</f>
        <v>5.26</v>
      </c>
      <c r="E17" s="102">
        <f>IF($A17="","",[1]!thsiFinD("ths_adjustment_nv_fund",E$3,$A17))</f>
        <v>1.9216</v>
      </c>
      <c r="F17" s="102">
        <f>IF($A17="","",[1]!thsiFinD("ths_adjustment_nv_fund",F$3,$A17))</f>
        <v>1.8671</v>
      </c>
      <c r="G17" s="102">
        <f>IF($A17="","",[1]!thsiFinD("ths_adjustment_nv_fund",G$3,$A17))</f>
        <v>4.2548000000000004</v>
      </c>
      <c r="H17" s="102">
        <f>IF($A17="","",[1]!thsiFinD("ths_adjustment_nv_fund",H$3,$A17))</f>
        <v>4.1645000000000003</v>
      </c>
      <c r="I17" s="102">
        <f>IF($A17="","",[1]!thsiFinD("ths_adjustment_nv_fund",I$3,$A17))</f>
        <v>2.8730000000000002</v>
      </c>
      <c r="J17" s="102">
        <f>IF($A17="","",[1]!thsiFinD("ths_adjustment_nv_fund",J$3,$A17))</f>
        <v>3.5808</v>
      </c>
      <c r="K17" s="102">
        <f>IF($A17="","",[1]!thsiFinD("ths_adjustment_nv_fund",K$3,$A17))</f>
        <v>3.548</v>
      </c>
      <c r="L17" s="102">
        <f>IF($A17="","",[1]!thsiFinD("ths_adjustment_nv_fund",L$3,$A17))</f>
        <v>1.6537999999999999</v>
      </c>
      <c r="M17" s="102">
        <f>IF($A17="","",[1]!thsiFinD("ths_adjustment_nv_fund",M$3,$A17))</f>
        <v>1.6316999999999999</v>
      </c>
      <c r="N17" s="102">
        <f>IF($A17="","",[1]!thsiFinD("ths_adjustment_nv_fund",N$3,$A17))</f>
        <v>1.6016999999999999</v>
      </c>
      <c r="O17" s="102">
        <f>IF($A17="","",[1]!thsiFinD("ths_adjustment_nv_fund",O$3,$A17))</f>
        <v>1.5623</v>
      </c>
      <c r="P17" s="102">
        <f>IF($A17="","",[1]!thsiFinD("ths_adjustment_nv_fund",P$3,$A17))</f>
        <v>3.0265</v>
      </c>
      <c r="Q17" s="102">
        <f>IF($A17="","",[1]!thsiFinD("ths_adjustment_nv_fund",Q$3,$A17))</f>
        <v>3.8613</v>
      </c>
      <c r="R17" s="102">
        <f>IF($A17="","",[1]!thsiFinD("ths_adjustment_nv_fund",R$3,$A17))</f>
        <v>3.7806999999999999</v>
      </c>
      <c r="S17" s="102">
        <f>IF($A17="","",[1]!thsiFinD("ths_adjustment_nv_fund",S$3,$A17))</f>
        <v>5.2060000000000004</v>
      </c>
      <c r="T17" s="102">
        <f>IF($A17="","",[1]!thsiFinD("ths_adjustment_nv_fund",T$3,$A17))</f>
        <v>3.4097</v>
      </c>
      <c r="U17" s="102">
        <f>IF($A17="","",[1]!thsiFinD("ths_adjustment_nv_fund",U$3,$A17))</f>
        <v>3.3917999999999999</v>
      </c>
      <c r="V17" s="102">
        <f>IF($A17="","",[1]!thsiFinD("ths_adjustment_nv_fund",V$3,$A17))</f>
        <v>2.0247000000000002</v>
      </c>
      <c r="W17" s="102">
        <f>IF($A17="","",[1]!thsiFinD("ths_adjustment_nv_fund",W$3,$A17))</f>
        <v>2.0049000000000001</v>
      </c>
      <c r="X17" s="102">
        <f>IF($A17="","",[1]!thsiFinD("ths_adjustment_nv_fund",X$3,$A17))</f>
        <v>1.7878000000000001</v>
      </c>
    </row>
    <row r="18" spans="1:24" x14ac:dyDescent="0.25">
      <c r="A18" s="101">
        <v>46211</v>
      </c>
      <c r="B18" s="102">
        <f>IF($A18="","",[1]!thsiFinD("ths_adjustment_nv_fund",B$3,$A18))</f>
        <v>3.1265000000000001</v>
      </c>
      <c r="C18" s="102">
        <f>IF($A18="","",[1]!thsiFinD("ths_adjustment_nv_fund",C$3,$A18))</f>
        <v>1.3181508468000001</v>
      </c>
      <c r="D18" s="102">
        <f>IF($A18="","",[1]!thsiFinD("ths_adjustment_nv_fund",D$3,$A18))</f>
        <v>5.26</v>
      </c>
      <c r="E18" s="102">
        <f>IF($A18="","",[1]!thsiFinD("ths_adjustment_nv_fund",E$3,$A18))</f>
        <v>1.9216</v>
      </c>
      <c r="F18" s="102">
        <f>IF($A18="","",[1]!thsiFinD("ths_adjustment_nv_fund",F$3,$A18))</f>
        <v>1.8671</v>
      </c>
      <c r="G18" s="102">
        <f>IF($A18="","",[1]!thsiFinD("ths_adjustment_nv_fund",G$3,$A18))</f>
        <v>4.2548000000000004</v>
      </c>
      <c r="H18" s="102">
        <f>IF($A18="","",[1]!thsiFinD("ths_adjustment_nv_fund",H$3,$A18))</f>
        <v>4.1645000000000003</v>
      </c>
      <c r="I18" s="102">
        <f>IF($A18="","",[1]!thsiFinD("ths_adjustment_nv_fund",I$3,$A18))</f>
        <v>2.8730000000000002</v>
      </c>
      <c r="J18" s="102">
        <f>IF($A18="","",[1]!thsiFinD("ths_adjustment_nv_fund",J$3,$A18))</f>
        <v>3.5808</v>
      </c>
      <c r="K18" s="102">
        <f>IF($A18="","",[1]!thsiFinD("ths_adjustment_nv_fund",K$3,$A18))</f>
        <v>3.548</v>
      </c>
      <c r="L18" s="102">
        <f>IF($A18="","",[1]!thsiFinD("ths_adjustment_nv_fund",L$3,$A18))</f>
        <v>1.6537999999999999</v>
      </c>
      <c r="M18" s="102">
        <f>IF($A18="","",[1]!thsiFinD("ths_adjustment_nv_fund",M$3,$A18))</f>
        <v>1.6316999999999999</v>
      </c>
      <c r="N18" s="102">
        <f>IF($A18="","",[1]!thsiFinD("ths_adjustment_nv_fund",N$3,$A18))</f>
        <v>1.6016999999999999</v>
      </c>
      <c r="O18" s="102">
        <f>IF($A18="","",[1]!thsiFinD("ths_adjustment_nv_fund",O$3,$A18))</f>
        <v>1.5623</v>
      </c>
      <c r="P18" s="102">
        <f>IF($A18="","",[1]!thsiFinD("ths_adjustment_nv_fund",P$3,$A18))</f>
        <v>3.0265</v>
      </c>
      <c r="Q18" s="102">
        <f>IF($A18="","",[1]!thsiFinD("ths_adjustment_nv_fund",Q$3,$A18))</f>
        <v>3.8613</v>
      </c>
      <c r="R18" s="102">
        <f>IF($A18="","",[1]!thsiFinD("ths_adjustment_nv_fund",R$3,$A18))</f>
        <v>3.7806999999999999</v>
      </c>
      <c r="S18" s="102">
        <f>IF($A18="","",[1]!thsiFinD("ths_adjustment_nv_fund",S$3,$A18))</f>
        <v>5.2060000000000004</v>
      </c>
      <c r="T18" s="102">
        <f>IF($A18="","",[1]!thsiFinD("ths_adjustment_nv_fund",T$3,$A18))</f>
        <v>3.4097</v>
      </c>
      <c r="U18" s="102">
        <f>IF($A18="","",[1]!thsiFinD("ths_adjustment_nv_fund",U$3,$A18))</f>
        <v>3.3917999999999999</v>
      </c>
      <c r="V18" s="102">
        <f>IF($A18="","",[1]!thsiFinD("ths_adjustment_nv_fund",V$3,$A18))</f>
        <v>2.0247000000000002</v>
      </c>
      <c r="W18" s="102">
        <f>IF($A18="","",[1]!thsiFinD("ths_adjustment_nv_fund",W$3,$A18))</f>
        <v>2.0049000000000001</v>
      </c>
      <c r="X18" s="102">
        <f>IF($A18="","",[1]!thsiFinD("ths_adjustment_nv_fund",X$3,$A18))</f>
        <v>1.7878000000000001</v>
      </c>
    </row>
    <row r="19" spans="1:24" x14ac:dyDescent="0.25">
      <c r="A19" s="101"/>
      <c r="B19" s="102" t="str">
        <f>IF($A19="","",[1]!thsiFinD("ths_adjustment_nv_fund",B$3,$A19))</f>
        <v/>
      </c>
      <c r="C19" s="102" t="str">
        <f>IF($A19="","",[1]!thsiFinD("ths_adjustment_nv_fund",C$3,$A19))</f>
        <v/>
      </c>
      <c r="D19" s="102" t="str">
        <f>IF($A19="","",[1]!thsiFinD("ths_adjustment_nv_fund",D$3,$A19))</f>
        <v/>
      </c>
      <c r="E19" s="102" t="str">
        <f>IF($A19="","",[1]!thsiFinD("ths_adjustment_nv_fund",E$3,$A19))</f>
        <v/>
      </c>
      <c r="F19" s="102" t="str">
        <f>IF($A19="","",[1]!thsiFinD("ths_adjustment_nv_fund",F$3,$A19))</f>
        <v/>
      </c>
      <c r="G19" s="102" t="str">
        <f>IF($A19="","",[1]!thsiFinD("ths_adjustment_nv_fund",G$3,$A19))</f>
        <v/>
      </c>
      <c r="H19" s="102" t="str">
        <f>IF($A19="","",[1]!thsiFinD("ths_adjustment_nv_fund",H$3,$A19))</f>
        <v/>
      </c>
      <c r="I19" s="102" t="str">
        <f>IF($A19="","",[1]!thsiFinD("ths_adjustment_nv_fund",I$3,$A19))</f>
        <v/>
      </c>
      <c r="J19" s="102" t="str">
        <f>IF($A19="","",[1]!thsiFinD("ths_adjustment_nv_fund",J$3,$A19))</f>
        <v/>
      </c>
      <c r="K19" s="102" t="str">
        <f>IF($A19="","",[1]!thsiFinD("ths_adjustment_nv_fund",K$3,$A19))</f>
        <v/>
      </c>
      <c r="L19" s="102" t="str">
        <f>IF($A19="","",[1]!thsiFinD("ths_adjustment_nv_fund",L$3,$A19))</f>
        <v/>
      </c>
      <c r="M19" s="102" t="str">
        <f>IF($A19="","",[1]!thsiFinD("ths_adjustment_nv_fund",M$3,$A19))</f>
        <v/>
      </c>
      <c r="N19" s="102" t="str">
        <f>IF($A19="","",[1]!thsiFinD("ths_adjustment_nv_fund",N$3,$A19))</f>
        <v/>
      </c>
      <c r="O19" s="102" t="str">
        <f>IF($A19="","",[1]!thsiFinD("ths_adjustment_nv_fund",O$3,$A19))</f>
        <v/>
      </c>
      <c r="P19" s="102" t="str">
        <f>IF($A19="","",[1]!thsiFinD("ths_adjustment_nv_fund",P$3,$A19))</f>
        <v/>
      </c>
      <c r="Q19" s="102" t="str">
        <f>IF($A19="","",[1]!thsiFinD("ths_adjustment_nv_fund",Q$3,$A19))</f>
        <v/>
      </c>
      <c r="R19" s="102" t="str">
        <f>IF($A19="","",[1]!thsiFinD("ths_adjustment_nv_fund",R$3,$A19))</f>
        <v/>
      </c>
      <c r="S19" s="102" t="str">
        <f>IF($A19="","",[1]!thsiFinD("ths_adjustment_nv_fund",S$3,$A19))</f>
        <v/>
      </c>
      <c r="T19" s="102" t="str">
        <f>IF($A19="","",[1]!thsiFinD("ths_adjustment_nv_fund",T$3,$A19))</f>
        <v/>
      </c>
      <c r="U19" s="102" t="str">
        <f>IF($A19="","",[1]!thsiFinD("ths_adjustment_nv_fund",U$3,$A19))</f>
        <v/>
      </c>
      <c r="V19" s="102" t="str">
        <f>IF($A19="","",[1]!thsiFinD("ths_adjustment_nv_fund",V$3,$A19))</f>
        <v/>
      </c>
      <c r="W19" s="102" t="str">
        <f>IF($A19="","",[1]!thsiFinD("ths_adjustment_nv_fund",W$3,$A19))</f>
        <v/>
      </c>
      <c r="X19" s="102" t="str">
        <f>IF($A19="","",[1]!thsiFinD("ths_adjustment_nv_fund",X$3,$A19))</f>
        <v/>
      </c>
    </row>
    <row r="20" spans="1:24" x14ac:dyDescent="0.25">
      <c r="A20" s="101"/>
      <c r="B20" s="102" t="str">
        <f>IF($A20="","",[1]!thsiFinD("ths_adjustment_nv_fund",B$3,$A20))</f>
        <v/>
      </c>
      <c r="C20" s="102" t="str">
        <f>IF($A20="","",[1]!thsiFinD("ths_adjustment_nv_fund",C$3,$A20))</f>
        <v/>
      </c>
      <c r="D20" s="102" t="str">
        <f>IF($A20="","",[1]!thsiFinD("ths_adjustment_nv_fund",D$3,$A20))</f>
        <v/>
      </c>
      <c r="E20" s="102" t="str">
        <f>IF($A20="","",[1]!thsiFinD("ths_adjustment_nv_fund",E$3,$A20))</f>
        <v/>
      </c>
      <c r="F20" s="102" t="str">
        <f>IF($A20="","",[1]!thsiFinD("ths_adjustment_nv_fund",F$3,$A20))</f>
        <v/>
      </c>
      <c r="G20" s="102" t="str">
        <f>IF($A20="","",[1]!thsiFinD("ths_adjustment_nv_fund",G$3,$A20))</f>
        <v/>
      </c>
      <c r="H20" s="102" t="str">
        <f>IF($A20="","",[1]!thsiFinD("ths_adjustment_nv_fund",H$3,$A20))</f>
        <v/>
      </c>
      <c r="I20" s="102" t="str">
        <f>IF($A20="","",[1]!thsiFinD("ths_adjustment_nv_fund",I$3,$A20))</f>
        <v/>
      </c>
      <c r="J20" s="102" t="str">
        <f>IF($A20="","",[1]!thsiFinD("ths_adjustment_nv_fund",J$3,$A20))</f>
        <v/>
      </c>
      <c r="K20" s="102" t="str">
        <f>IF($A20="","",[1]!thsiFinD("ths_adjustment_nv_fund",K$3,$A20))</f>
        <v/>
      </c>
      <c r="L20" s="102" t="str">
        <f>IF($A20="","",[1]!thsiFinD("ths_adjustment_nv_fund",L$3,$A20))</f>
        <v/>
      </c>
      <c r="M20" s="102" t="str">
        <f>IF($A20="","",[1]!thsiFinD("ths_adjustment_nv_fund",M$3,$A20))</f>
        <v/>
      </c>
      <c r="N20" s="102" t="str">
        <f>IF($A20="","",[1]!thsiFinD("ths_adjustment_nv_fund",N$3,$A20))</f>
        <v/>
      </c>
      <c r="O20" s="102" t="str">
        <f>IF($A20="","",[1]!thsiFinD("ths_adjustment_nv_fund",O$3,$A20))</f>
        <v/>
      </c>
      <c r="P20" s="102" t="str">
        <f>IF($A20="","",[1]!thsiFinD("ths_adjustment_nv_fund",P$3,$A20))</f>
        <v/>
      </c>
      <c r="Q20" s="102" t="str">
        <f>IF($A20="","",[1]!thsiFinD("ths_adjustment_nv_fund",Q$3,$A20))</f>
        <v/>
      </c>
      <c r="R20" s="102" t="str">
        <f>IF($A20="","",[1]!thsiFinD("ths_adjustment_nv_fund",R$3,$A20))</f>
        <v/>
      </c>
      <c r="S20" s="102" t="str">
        <f>IF($A20="","",[1]!thsiFinD("ths_adjustment_nv_fund",S$3,$A20))</f>
        <v/>
      </c>
      <c r="T20" s="102" t="str">
        <f>IF($A20="","",[1]!thsiFinD("ths_adjustment_nv_fund",T$3,$A20))</f>
        <v/>
      </c>
      <c r="U20" s="102" t="str">
        <f>IF($A20="","",[1]!thsiFinD("ths_adjustment_nv_fund",U$3,$A20))</f>
        <v/>
      </c>
      <c r="V20" s="102" t="str">
        <f>IF($A20="","",[1]!thsiFinD("ths_adjustment_nv_fund",V$3,$A20))</f>
        <v/>
      </c>
      <c r="W20" s="102" t="str">
        <f>IF($A20="","",[1]!thsiFinD("ths_adjustment_nv_fund",W$3,$A20))</f>
        <v/>
      </c>
      <c r="X20" s="102" t="str">
        <f>IF($A20="","",[1]!thsiFinD("ths_adjustment_nv_fund",X$3,$A20))</f>
        <v/>
      </c>
    </row>
    <row r="21" spans="1:24" x14ac:dyDescent="0.25">
      <c r="A21" s="101"/>
      <c r="B21" s="102" t="str">
        <f>IF($A21="","",[1]!thsiFinD("ths_adjustment_nv_fund",B$3,$A21))</f>
        <v/>
      </c>
      <c r="C21" s="102" t="str">
        <f>IF($A21="","",[1]!thsiFinD("ths_adjustment_nv_fund",C$3,$A21))</f>
        <v/>
      </c>
      <c r="D21" s="102" t="str">
        <f>IF($A21="","",[1]!thsiFinD("ths_adjustment_nv_fund",D$3,$A21))</f>
        <v/>
      </c>
      <c r="E21" s="102" t="str">
        <f>IF($A21="","",[1]!thsiFinD("ths_adjustment_nv_fund",E$3,$A21))</f>
        <v/>
      </c>
      <c r="F21" s="102" t="str">
        <f>IF($A21="","",[1]!thsiFinD("ths_adjustment_nv_fund",F$3,$A21))</f>
        <v/>
      </c>
      <c r="G21" s="102" t="str">
        <f>IF($A21="","",[1]!thsiFinD("ths_adjustment_nv_fund",G$3,$A21))</f>
        <v/>
      </c>
      <c r="H21" s="102" t="str">
        <f>IF($A21="","",[1]!thsiFinD("ths_adjustment_nv_fund",H$3,$A21))</f>
        <v/>
      </c>
      <c r="I21" s="102" t="str">
        <f>IF($A21="","",[1]!thsiFinD("ths_adjustment_nv_fund",I$3,$A21))</f>
        <v/>
      </c>
      <c r="J21" s="102" t="str">
        <f>IF($A21="","",[1]!thsiFinD("ths_adjustment_nv_fund",J$3,$A21))</f>
        <v/>
      </c>
      <c r="K21" s="102" t="str">
        <f>IF($A21="","",[1]!thsiFinD("ths_adjustment_nv_fund",K$3,$A21))</f>
        <v/>
      </c>
      <c r="L21" s="102" t="str">
        <f>IF($A21="","",[1]!thsiFinD("ths_adjustment_nv_fund",L$3,$A21))</f>
        <v/>
      </c>
      <c r="M21" s="102" t="str">
        <f>IF($A21="","",[1]!thsiFinD("ths_adjustment_nv_fund",M$3,$A21))</f>
        <v/>
      </c>
      <c r="N21" s="102" t="str">
        <f>IF($A21="","",[1]!thsiFinD("ths_adjustment_nv_fund",N$3,$A21))</f>
        <v/>
      </c>
      <c r="O21" s="102" t="str">
        <f>IF($A21="","",[1]!thsiFinD("ths_adjustment_nv_fund",O$3,$A21))</f>
        <v/>
      </c>
      <c r="P21" s="102" t="str">
        <f>IF($A21="","",[1]!thsiFinD("ths_adjustment_nv_fund",P$3,$A21))</f>
        <v/>
      </c>
      <c r="Q21" s="102" t="str">
        <f>IF($A21="","",[1]!thsiFinD("ths_adjustment_nv_fund",Q$3,$A21))</f>
        <v/>
      </c>
      <c r="R21" s="102" t="str">
        <f>IF($A21="","",[1]!thsiFinD("ths_adjustment_nv_fund",R$3,$A21))</f>
        <v/>
      </c>
      <c r="S21" s="102" t="str">
        <f>IF($A21="","",[1]!thsiFinD("ths_adjustment_nv_fund",S$3,$A21))</f>
        <v/>
      </c>
      <c r="T21" s="102" t="str">
        <f>IF($A21="","",[1]!thsiFinD("ths_adjustment_nv_fund",T$3,$A21))</f>
        <v/>
      </c>
      <c r="U21" s="102" t="str">
        <f>IF($A21="","",[1]!thsiFinD("ths_adjustment_nv_fund",U$3,$A21))</f>
        <v/>
      </c>
      <c r="V21" s="102" t="str">
        <f>IF($A21="","",[1]!thsiFinD("ths_adjustment_nv_fund",V$3,$A21))</f>
        <v/>
      </c>
      <c r="W21" s="102" t="str">
        <f>IF($A21="","",[1]!thsiFinD("ths_adjustment_nv_fund",W$3,$A21))</f>
        <v/>
      </c>
      <c r="X21" s="102" t="str">
        <f>IF($A21="","",[1]!thsiFinD("ths_adjustment_nv_fund",X$3,$A21))</f>
        <v/>
      </c>
    </row>
    <row r="22" spans="1:24" x14ac:dyDescent="0.25">
      <c r="A22" s="101"/>
      <c r="B22" s="102" t="str">
        <f>IF($A22="","",[1]!thsiFinD("ths_adjustment_nv_fund",B$3,$A22))</f>
        <v/>
      </c>
      <c r="C22" s="102" t="str">
        <f>IF($A22="","",[1]!thsiFinD("ths_adjustment_nv_fund",C$3,$A22))</f>
        <v/>
      </c>
      <c r="D22" s="102" t="str">
        <f>IF($A22="","",[1]!thsiFinD("ths_adjustment_nv_fund",D$3,$A22))</f>
        <v/>
      </c>
      <c r="E22" s="102" t="str">
        <f>IF($A22="","",[1]!thsiFinD("ths_adjustment_nv_fund",E$3,$A22))</f>
        <v/>
      </c>
      <c r="F22" s="102" t="str">
        <f>IF($A22="","",[1]!thsiFinD("ths_adjustment_nv_fund",F$3,$A22))</f>
        <v/>
      </c>
      <c r="G22" s="102" t="str">
        <f>IF($A22="","",[1]!thsiFinD("ths_adjustment_nv_fund",G$3,$A22))</f>
        <v/>
      </c>
      <c r="H22" s="102" t="str">
        <f>IF($A22="","",[1]!thsiFinD("ths_adjustment_nv_fund",H$3,$A22))</f>
        <v/>
      </c>
      <c r="I22" s="102" t="str">
        <f>IF($A22="","",[1]!thsiFinD("ths_adjustment_nv_fund",I$3,$A22))</f>
        <v/>
      </c>
      <c r="J22" s="102" t="str">
        <f>IF($A22="","",[1]!thsiFinD("ths_adjustment_nv_fund",J$3,$A22))</f>
        <v/>
      </c>
      <c r="K22" s="102" t="str">
        <f>IF($A22="","",[1]!thsiFinD("ths_adjustment_nv_fund",K$3,$A22))</f>
        <v/>
      </c>
      <c r="L22" s="102" t="str">
        <f>IF($A22="","",[1]!thsiFinD("ths_adjustment_nv_fund",L$3,$A22))</f>
        <v/>
      </c>
      <c r="M22" s="102" t="str">
        <f>IF($A22="","",[1]!thsiFinD("ths_adjustment_nv_fund",M$3,$A22))</f>
        <v/>
      </c>
      <c r="N22" s="102" t="str">
        <f>IF($A22="","",[1]!thsiFinD("ths_adjustment_nv_fund",N$3,$A22))</f>
        <v/>
      </c>
      <c r="O22" s="102" t="str">
        <f>IF($A22="","",[1]!thsiFinD("ths_adjustment_nv_fund",O$3,$A22))</f>
        <v/>
      </c>
      <c r="P22" s="102" t="str">
        <f>IF($A22="","",[1]!thsiFinD("ths_adjustment_nv_fund",P$3,$A22))</f>
        <v/>
      </c>
      <c r="Q22" s="102" t="str">
        <f>IF($A22="","",[1]!thsiFinD("ths_adjustment_nv_fund",Q$3,$A22))</f>
        <v/>
      </c>
      <c r="R22" s="102" t="str">
        <f>IF($A22="","",[1]!thsiFinD("ths_adjustment_nv_fund",R$3,$A22))</f>
        <v/>
      </c>
      <c r="S22" s="102" t="str">
        <f>IF($A22="","",[1]!thsiFinD("ths_adjustment_nv_fund",S$3,$A22))</f>
        <v/>
      </c>
      <c r="T22" s="102" t="str">
        <f>IF($A22="","",[1]!thsiFinD("ths_adjustment_nv_fund",T$3,$A22))</f>
        <v/>
      </c>
      <c r="U22" s="102" t="str">
        <f>IF($A22="","",[1]!thsiFinD("ths_adjustment_nv_fund",U$3,$A22))</f>
        <v/>
      </c>
      <c r="V22" s="102" t="str">
        <f>IF($A22="","",[1]!thsiFinD("ths_adjustment_nv_fund",V$3,$A22))</f>
        <v/>
      </c>
      <c r="W22" s="102" t="str">
        <f>IF($A22="","",[1]!thsiFinD("ths_adjustment_nv_fund",W$3,$A22))</f>
        <v/>
      </c>
      <c r="X22" s="102" t="str">
        <f>IF($A22="","",[1]!thsiFinD("ths_adjustment_nv_fund",X$3,$A22))</f>
        <v/>
      </c>
    </row>
    <row r="23" spans="1:24" x14ac:dyDescent="0.25">
      <c r="A23" s="101"/>
      <c r="B23" s="102" t="str">
        <f>IF($A23="","",[1]!thsiFinD("ths_adjustment_nv_fund",B$3,$A23))</f>
        <v/>
      </c>
      <c r="C23" s="102" t="str">
        <f>IF($A23="","",[1]!thsiFinD("ths_adjustment_nv_fund",C$3,$A23))</f>
        <v/>
      </c>
      <c r="D23" s="102" t="str">
        <f>IF($A23="","",[1]!thsiFinD("ths_adjustment_nv_fund",D$3,$A23))</f>
        <v/>
      </c>
      <c r="E23" s="102" t="str">
        <f>IF($A23="","",[1]!thsiFinD("ths_adjustment_nv_fund",E$3,$A23))</f>
        <v/>
      </c>
      <c r="F23" s="102" t="str">
        <f>IF($A23="","",[1]!thsiFinD("ths_adjustment_nv_fund",F$3,$A23))</f>
        <v/>
      </c>
      <c r="G23" s="102" t="str">
        <f>IF($A23="","",[1]!thsiFinD("ths_adjustment_nv_fund",G$3,$A23))</f>
        <v/>
      </c>
      <c r="H23" s="102" t="str">
        <f>IF($A23="","",[1]!thsiFinD("ths_adjustment_nv_fund",H$3,$A23))</f>
        <v/>
      </c>
      <c r="I23" s="102" t="str">
        <f>IF($A23="","",[1]!thsiFinD("ths_adjustment_nv_fund",I$3,$A23))</f>
        <v/>
      </c>
      <c r="J23" s="102" t="str">
        <f>IF($A23="","",[1]!thsiFinD("ths_adjustment_nv_fund",J$3,$A23))</f>
        <v/>
      </c>
      <c r="K23" s="102" t="str">
        <f>IF($A23="","",[1]!thsiFinD("ths_adjustment_nv_fund",K$3,$A23))</f>
        <v/>
      </c>
      <c r="L23" s="102" t="str">
        <f>IF($A23="","",[1]!thsiFinD("ths_adjustment_nv_fund",L$3,$A23))</f>
        <v/>
      </c>
      <c r="M23" s="102" t="str">
        <f>IF($A23="","",[1]!thsiFinD("ths_adjustment_nv_fund",M$3,$A23))</f>
        <v/>
      </c>
      <c r="N23" s="102" t="str">
        <f>IF($A23="","",[1]!thsiFinD("ths_adjustment_nv_fund",N$3,$A23))</f>
        <v/>
      </c>
      <c r="O23" s="102" t="str">
        <f>IF($A23="","",[1]!thsiFinD("ths_adjustment_nv_fund",O$3,$A23))</f>
        <v/>
      </c>
      <c r="P23" s="102" t="str">
        <f>IF($A23="","",[1]!thsiFinD("ths_adjustment_nv_fund",P$3,$A23))</f>
        <v/>
      </c>
      <c r="Q23" s="102" t="str">
        <f>IF($A23="","",[1]!thsiFinD("ths_adjustment_nv_fund",Q$3,$A23))</f>
        <v/>
      </c>
      <c r="R23" s="102" t="str">
        <f>IF($A23="","",[1]!thsiFinD("ths_adjustment_nv_fund",R$3,$A23))</f>
        <v/>
      </c>
      <c r="S23" s="102" t="str">
        <f>IF($A23="","",[1]!thsiFinD("ths_adjustment_nv_fund",S$3,$A23))</f>
        <v/>
      </c>
      <c r="T23" s="102" t="str">
        <f>IF($A23="","",[1]!thsiFinD("ths_adjustment_nv_fund",T$3,$A23))</f>
        <v/>
      </c>
      <c r="U23" s="102" t="str">
        <f>IF($A23="","",[1]!thsiFinD("ths_adjustment_nv_fund",U$3,$A23))</f>
        <v/>
      </c>
      <c r="V23" s="102" t="str">
        <f>IF($A23="","",[1]!thsiFinD("ths_adjustment_nv_fund",V$3,$A23))</f>
        <v/>
      </c>
      <c r="W23" s="102" t="str">
        <f>IF($A23="","",[1]!thsiFinD("ths_adjustment_nv_fund",W$3,$A23))</f>
        <v/>
      </c>
      <c r="X23" s="102" t="str">
        <f>IF($A23="","",[1]!thsiFinD("ths_adjustment_nv_fund",X$3,$A23))</f>
        <v/>
      </c>
    </row>
    <row r="24" spans="1:24" x14ac:dyDescent="0.25">
      <c r="A24" s="101"/>
      <c r="B24" s="102" t="str">
        <f>IF($A24="","",[1]!thsiFinD("ths_adjustment_nv_fund",B$3,$A24))</f>
        <v/>
      </c>
      <c r="C24" s="102" t="str">
        <f>IF($A24="","",[1]!thsiFinD("ths_adjustment_nv_fund",C$3,$A24))</f>
        <v/>
      </c>
      <c r="D24" s="102" t="str">
        <f>IF($A24="","",[1]!thsiFinD("ths_adjustment_nv_fund",D$3,$A24))</f>
        <v/>
      </c>
      <c r="E24" s="102" t="str">
        <f>IF($A24="","",[1]!thsiFinD("ths_adjustment_nv_fund",E$3,$A24))</f>
        <v/>
      </c>
      <c r="F24" s="102" t="str">
        <f>IF($A24="","",[1]!thsiFinD("ths_adjustment_nv_fund",F$3,$A24))</f>
        <v/>
      </c>
      <c r="G24" s="102" t="str">
        <f>IF($A24="","",[1]!thsiFinD("ths_adjustment_nv_fund",G$3,$A24))</f>
        <v/>
      </c>
      <c r="H24" s="102" t="str">
        <f>IF($A24="","",[1]!thsiFinD("ths_adjustment_nv_fund",H$3,$A24))</f>
        <v/>
      </c>
      <c r="I24" s="102" t="str">
        <f>IF($A24="","",[1]!thsiFinD("ths_adjustment_nv_fund",I$3,$A24))</f>
        <v/>
      </c>
      <c r="J24" s="102" t="str">
        <f>IF($A24="","",[1]!thsiFinD("ths_adjustment_nv_fund",J$3,$A24))</f>
        <v/>
      </c>
      <c r="K24" s="102" t="str">
        <f>IF($A24="","",[1]!thsiFinD("ths_adjustment_nv_fund",K$3,$A24))</f>
        <v/>
      </c>
      <c r="L24" s="102" t="str">
        <f>IF($A24="","",[1]!thsiFinD("ths_adjustment_nv_fund",L$3,$A24))</f>
        <v/>
      </c>
      <c r="M24" s="102" t="str">
        <f>IF($A24="","",[1]!thsiFinD("ths_adjustment_nv_fund",M$3,$A24))</f>
        <v/>
      </c>
      <c r="N24" s="102" t="str">
        <f>IF($A24="","",[1]!thsiFinD("ths_adjustment_nv_fund",N$3,$A24))</f>
        <v/>
      </c>
      <c r="O24" s="102" t="str">
        <f>IF($A24="","",[1]!thsiFinD("ths_adjustment_nv_fund",O$3,$A24))</f>
        <v/>
      </c>
      <c r="P24" s="102" t="str">
        <f>IF($A24="","",[1]!thsiFinD("ths_adjustment_nv_fund",P$3,$A24))</f>
        <v/>
      </c>
      <c r="Q24" s="102" t="str">
        <f>IF($A24="","",[1]!thsiFinD("ths_adjustment_nv_fund",Q$3,$A24))</f>
        <v/>
      </c>
      <c r="R24" s="102" t="str">
        <f>IF($A24="","",[1]!thsiFinD("ths_adjustment_nv_fund",R$3,$A24))</f>
        <v/>
      </c>
      <c r="S24" s="102" t="str">
        <f>IF($A24="","",[1]!thsiFinD("ths_adjustment_nv_fund",S$3,$A24))</f>
        <v/>
      </c>
      <c r="T24" s="102" t="str">
        <f>IF($A24="","",[1]!thsiFinD("ths_adjustment_nv_fund",T$3,$A24))</f>
        <v/>
      </c>
      <c r="U24" s="102" t="str">
        <f>IF($A24="","",[1]!thsiFinD("ths_adjustment_nv_fund",U$3,$A24))</f>
        <v/>
      </c>
      <c r="V24" s="102" t="str">
        <f>IF($A24="","",[1]!thsiFinD("ths_adjustment_nv_fund",V$3,$A24))</f>
        <v/>
      </c>
      <c r="W24" s="102" t="str">
        <f>IF($A24="","",[1]!thsiFinD("ths_adjustment_nv_fund",W$3,$A24))</f>
        <v/>
      </c>
      <c r="X24" s="102" t="str">
        <f>IF($A24="","",[1]!thsiFinD("ths_adjustment_nv_fund",X$3,$A24))</f>
        <v/>
      </c>
    </row>
    <row r="25" spans="1:24" x14ac:dyDescent="0.25">
      <c r="A25" s="101"/>
      <c r="B25" s="102" t="str">
        <f>IF($A25="","",[1]!thsiFinD("ths_adjustment_nv_fund",B$3,$A25))</f>
        <v/>
      </c>
      <c r="C25" s="102" t="str">
        <f>IF($A25="","",[1]!thsiFinD("ths_adjustment_nv_fund",C$3,$A25))</f>
        <v/>
      </c>
      <c r="D25" s="102" t="str">
        <f>IF($A25="","",[1]!thsiFinD("ths_adjustment_nv_fund",D$3,$A25))</f>
        <v/>
      </c>
      <c r="E25" s="102" t="str">
        <f>IF($A25="","",[1]!thsiFinD("ths_adjustment_nv_fund",E$3,$A25))</f>
        <v/>
      </c>
      <c r="F25" s="102" t="str">
        <f>IF($A25="","",[1]!thsiFinD("ths_adjustment_nv_fund",F$3,$A25))</f>
        <v/>
      </c>
      <c r="G25" s="102" t="str">
        <f>IF($A25="","",[1]!thsiFinD("ths_adjustment_nv_fund",G$3,$A25))</f>
        <v/>
      </c>
      <c r="H25" s="102" t="str">
        <f>IF($A25="","",[1]!thsiFinD("ths_adjustment_nv_fund",H$3,$A25))</f>
        <v/>
      </c>
      <c r="I25" s="102" t="str">
        <f>IF($A25="","",[1]!thsiFinD("ths_adjustment_nv_fund",I$3,$A25))</f>
        <v/>
      </c>
      <c r="J25" s="102" t="str">
        <f>IF($A25="","",[1]!thsiFinD("ths_adjustment_nv_fund",J$3,$A25))</f>
        <v/>
      </c>
      <c r="K25" s="102" t="str">
        <f>IF($A25="","",[1]!thsiFinD("ths_adjustment_nv_fund",K$3,$A25))</f>
        <v/>
      </c>
      <c r="L25" s="102" t="str">
        <f>IF($A25="","",[1]!thsiFinD("ths_adjustment_nv_fund",L$3,$A25))</f>
        <v/>
      </c>
      <c r="M25" s="102" t="str">
        <f>IF($A25="","",[1]!thsiFinD("ths_adjustment_nv_fund",M$3,$A25))</f>
        <v/>
      </c>
      <c r="N25" s="102" t="str">
        <f>IF($A25="","",[1]!thsiFinD("ths_adjustment_nv_fund",N$3,$A25))</f>
        <v/>
      </c>
      <c r="O25" s="102" t="str">
        <f>IF($A25="","",[1]!thsiFinD("ths_adjustment_nv_fund",O$3,$A25))</f>
        <v/>
      </c>
      <c r="P25" s="102" t="str">
        <f>IF($A25="","",[1]!thsiFinD("ths_adjustment_nv_fund",P$3,$A25))</f>
        <v/>
      </c>
      <c r="Q25" s="102" t="str">
        <f>IF($A25="","",[1]!thsiFinD("ths_adjustment_nv_fund",Q$3,$A25))</f>
        <v/>
      </c>
      <c r="R25" s="102" t="str">
        <f>IF($A25="","",[1]!thsiFinD("ths_adjustment_nv_fund",R$3,$A25))</f>
        <v/>
      </c>
      <c r="S25" s="102" t="str">
        <f>IF($A25="","",[1]!thsiFinD("ths_adjustment_nv_fund",S$3,$A25))</f>
        <v/>
      </c>
      <c r="T25" s="102" t="str">
        <f>IF($A25="","",[1]!thsiFinD("ths_adjustment_nv_fund",T$3,$A25))</f>
        <v/>
      </c>
      <c r="U25" s="102" t="str">
        <f>IF($A25="","",[1]!thsiFinD("ths_adjustment_nv_fund",U$3,$A25))</f>
        <v/>
      </c>
      <c r="V25" s="102" t="str">
        <f>IF($A25="","",[1]!thsiFinD("ths_adjustment_nv_fund",V$3,$A25))</f>
        <v/>
      </c>
      <c r="W25" s="102" t="str">
        <f>IF($A25="","",[1]!thsiFinD("ths_adjustment_nv_fund",W$3,$A25))</f>
        <v/>
      </c>
      <c r="X25" s="102" t="str">
        <f>IF($A25="","",[1]!thsiFinD("ths_adjustment_nv_fund",X$3,$A25))</f>
        <v/>
      </c>
    </row>
    <row r="26" spans="1:24" x14ac:dyDescent="0.25">
      <c r="A26" s="101"/>
      <c r="B26" s="102" t="str">
        <f>IF($A26="","",[1]!thsiFinD("ths_adjustment_nv_fund",B$3,$A26))</f>
        <v/>
      </c>
      <c r="C26" s="102" t="str">
        <f>IF($A26="","",[1]!thsiFinD("ths_adjustment_nv_fund",C$3,$A26))</f>
        <v/>
      </c>
      <c r="D26" s="102" t="str">
        <f>IF($A26="","",[1]!thsiFinD("ths_adjustment_nv_fund",D$3,$A26))</f>
        <v/>
      </c>
      <c r="E26" s="102" t="str">
        <f>IF($A26="","",[1]!thsiFinD("ths_adjustment_nv_fund",E$3,$A26))</f>
        <v/>
      </c>
      <c r="F26" s="102" t="str">
        <f>IF($A26="","",[1]!thsiFinD("ths_adjustment_nv_fund",F$3,$A26))</f>
        <v/>
      </c>
      <c r="G26" s="102" t="str">
        <f>IF($A26="","",[1]!thsiFinD("ths_adjustment_nv_fund",G$3,$A26))</f>
        <v/>
      </c>
      <c r="H26" s="102" t="str">
        <f>IF($A26="","",[1]!thsiFinD("ths_adjustment_nv_fund",H$3,$A26))</f>
        <v/>
      </c>
      <c r="I26" s="102" t="str">
        <f>IF($A26="","",[1]!thsiFinD("ths_adjustment_nv_fund",I$3,$A26))</f>
        <v/>
      </c>
      <c r="J26" s="102" t="str">
        <f>IF($A26="","",[1]!thsiFinD("ths_adjustment_nv_fund",J$3,$A26))</f>
        <v/>
      </c>
      <c r="K26" s="102" t="str">
        <f>IF($A26="","",[1]!thsiFinD("ths_adjustment_nv_fund",K$3,$A26))</f>
        <v/>
      </c>
      <c r="L26" s="102" t="str">
        <f>IF($A26="","",[1]!thsiFinD("ths_adjustment_nv_fund",L$3,$A26))</f>
        <v/>
      </c>
      <c r="M26" s="102" t="str">
        <f>IF($A26="","",[1]!thsiFinD("ths_adjustment_nv_fund",M$3,$A26))</f>
        <v/>
      </c>
      <c r="N26" s="102" t="str">
        <f>IF($A26="","",[1]!thsiFinD("ths_adjustment_nv_fund",N$3,$A26))</f>
        <v/>
      </c>
      <c r="O26" s="102" t="str">
        <f>IF($A26="","",[1]!thsiFinD("ths_adjustment_nv_fund",O$3,$A26))</f>
        <v/>
      </c>
      <c r="P26" s="102" t="str">
        <f>IF($A26="","",[1]!thsiFinD("ths_adjustment_nv_fund",P$3,$A26))</f>
        <v/>
      </c>
      <c r="Q26" s="102" t="str">
        <f>IF($A26="","",[1]!thsiFinD("ths_adjustment_nv_fund",Q$3,$A26))</f>
        <v/>
      </c>
      <c r="R26" s="102" t="str">
        <f>IF($A26="","",[1]!thsiFinD("ths_adjustment_nv_fund",R$3,$A26))</f>
        <v/>
      </c>
      <c r="S26" s="102" t="str">
        <f>IF($A26="","",[1]!thsiFinD("ths_adjustment_nv_fund",S$3,$A26))</f>
        <v/>
      </c>
      <c r="T26" s="102" t="str">
        <f>IF($A26="","",[1]!thsiFinD("ths_adjustment_nv_fund",T$3,$A26))</f>
        <v/>
      </c>
      <c r="U26" s="102" t="str">
        <f>IF($A26="","",[1]!thsiFinD("ths_adjustment_nv_fund",U$3,$A26))</f>
        <v/>
      </c>
      <c r="V26" s="102" t="str">
        <f>IF($A26="","",[1]!thsiFinD("ths_adjustment_nv_fund",V$3,$A26))</f>
        <v/>
      </c>
      <c r="W26" s="102" t="str">
        <f>IF($A26="","",[1]!thsiFinD("ths_adjustment_nv_fund",W$3,$A26))</f>
        <v/>
      </c>
      <c r="X26" s="102" t="str">
        <f>IF($A26="","",[1]!thsiFinD("ths_adjustment_nv_fund",X$3,$A26))</f>
        <v/>
      </c>
    </row>
    <row r="27" spans="1:24" x14ac:dyDescent="0.25">
      <c r="A27" s="101"/>
      <c r="B27" s="102" t="str">
        <f>IF($A27="","",[1]!thsiFinD("ths_adjustment_nv_fund",B$3,$A27))</f>
        <v/>
      </c>
      <c r="C27" s="102" t="str">
        <f>IF($A27="","",[1]!thsiFinD("ths_adjustment_nv_fund",C$3,$A27))</f>
        <v/>
      </c>
      <c r="D27" s="102" t="str">
        <f>IF($A27="","",[1]!thsiFinD("ths_adjustment_nv_fund",D$3,$A27))</f>
        <v/>
      </c>
      <c r="E27" s="102" t="str">
        <f>IF($A27="","",[1]!thsiFinD("ths_adjustment_nv_fund",E$3,$A27))</f>
        <v/>
      </c>
      <c r="F27" s="102" t="str">
        <f>IF($A27="","",[1]!thsiFinD("ths_adjustment_nv_fund",F$3,$A27))</f>
        <v/>
      </c>
      <c r="G27" s="102" t="str">
        <f>IF($A27="","",[1]!thsiFinD("ths_adjustment_nv_fund",G$3,$A27))</f>
        <v/>
      </c>
      <c r="H27" s="102" t="str">
        <f>IF($A27="","",[1]!thsiFinD("ths_adjustment_nv_fund",H$3,$A27))</f>
        <v/>
      </c>
      <c r="I27" s="102" t="str">
        <f>IF($A27="","",[1]!thsiFinD("ths_adjustment_nv_fund",I$3,$A27))</f>
        <v/>
      </c>
      <c r="J27" s="102" t="str">
        <f>IF($A27="","",[1]!thsiFinD("ths_adjustment_nv_fund",J$3,$A27))</f>
        <v/>
      </c>
      <c r="K27" s="102" t="str">
        <f>IF($A27="","",[1]!thsiFinD("ths_adjustment_nv_fund",K$3,$A27))</f>
        <v/>
      </c>
      <c r="L27" s="102" t="str">
        <f>IF($A27="","",[1]!thsiFinD("ths_adjustment_nv_fund",L$3,$A27))</f>
        <v/>
      </c>
      <c r="M27" s="102" t="str">
        <f>IF($A27="","",[1]!thsiFinD("ths_adjustment_nv_fund",M$3,$A27))</f>
        <v/>
      </c>
      <c r="N27" s="102" t="str">
        <f>IF($A27="","",[1]!thsiFinD("ths_adjustment_nv_fund",N$3,$A27))</f>
        <v/>
      </c>
      <c r="O27" s="102" t="str">
        <f>IF($A27="","",[1]!thsiFinD("ths_adjustment_nv_fund",O$3,$A27))</f>
        <v/>
      </c>
      <c r="P27" s="102" t="str">
        <f>IF($A27="","",[1]!thsiFinD("ths_adjustment_nv_fund",P$3,$A27))</f>
        <v/>
      </c>
      <c r="Q27" s="102" t="str">
        <f>IF($A27="","",[1]!thsiFinD("ths_adjustment_nv_fund",Q$3,$A27))</f>
        <v/>
      </c>
      <c r="R27" s="102" t="str">
        <f>IF($A27="","",[1]!thsiFinD("ths_adjustment_nv_fund",R$3,$A27))</f>
        <v/>
      </c>
      <c r="S27" s="102" t="str">
        <f>IF($A27="","",[1]!thsiFinD("ths_adjustment_nv_fund",S$3,$A27))</f>
        <v/>
      </c>
      <c r="T27" s="102" t="str">
        <f>IF($A27="","",[1]!thsiFinD("ths_adjustment_nv_fund",T$3,$A27))</f>
        <v/>
      </c>
      <c r="U27" s="102" t="str">
        <f>IF($A27="","",[1]!thsiFinD("ths_adjustment_nv_fund",U$3,$A27))</f>
        <v/>
      </c>
      <c r="V27" s="102" t="str">
        <f>IF($A27="","",[1]!thsiFinD("ths_adjustment_nv_fund",V$3,$A27))</f>
        <v/>
      </c>
      <c r="W27" s="102" t="str">
        <f>IF($A27="","",[1]!thsiFinD("ths_adjustment_nv_fund",W$3,$A27))</f>
        <v/>
      </c>
      <c r="X27" s="102" t="str">
        <f>IF($A27="","",[1]!thsiFinD("ths_adjustment_nv_fund",X$3,$A27))</f>
        <v/>
      </c>
    </row>
    <row r="28" spans="1:24" x14ac:dyDescent="0.25">
      <c r="A28" s="101"/>
      <c r="B28" s="102" t="str">
        <f>IF($A28="","",[1]!thsiFinD("ths_adjustment_nv_fund",B$3,$A28))</f>
        <v/>
      </c>
      <c r="C28" s="102" t="str">
        <f>IF($A28="","",[1]!thsiFinD("ths_adjustment_nv_fund",C$3,$A28))</f>
        <v/>
      </c>
      <c r="D28" s="102" t="str">
        <f>IF($A28="","",[1]!thsiFinD("ths_adjustment_nv_fund",D$3,$A28))</f>
        <v/>
      </c>
      <c r="E28" s="102" t="str">
        <f>IF($A28="","",[1]!thsiFinD("ths_adjustment_nv_fund",E$3,$A28))</f>
        <v/>
      </c>
      <c r="F28" s="102" t="str">
        <f>IF($A28="","",[1]!thsiFinD("ths_adjustment_nv_fund",F$3,$A28))</f>
        <v/>
      </c>
      <c r="G28" s="102" t="str">
        <f>IF($A28="","",[1]!thsiFinD("ths_adjustment_nv_fund",G$3,$A28))</f>
        <v/>
      </c>
      <c r="H28" s="102" t="str">
        <f>IF($A28="","",[1]!thsiFinD("ths_adjustment_nv_fund",H$3,$A28))</f>
        <v/>
      </c>
      <c r="I28" s="102" t="str">
        <f>IF($A28="","",[1]!thsiFinD("ths_adjustment_nv_fund",I$3,$A28))</f>
        <v/>
      </c>
      <c r="J28" s="102" t="str">
        <f>IF($A28="","",[1]!thsiFinD("ths_adjustment_nv_fund",J$3,$A28))</f>
        <v/>
      </c>
      <c r="K28" s="102" t="str">
        <f>IF($A28="","",[1]!thsiFinD("ths_adjustment_nv_fund",K$3,$A28))</f>
        <v/>
      </c>
      <c r="L28" s="102" t="str">
        <f>IF($A28="","",[1]!thsiFinD("ths_adjustment_nv_fund",L$3,$A28))</f>
        <v/>
      </c>
      <c r="M28" s="102" t="str">
        <f>IF($A28="","",[1]!thsiFinD("ths_adjustment_nv_fund",M$3,$A28))</f>
        <v/>
      </c>
      <c r="N28" s="102" t="str">
        <f>IF($A28="","",[1]!thsiFinD("ths_adjustment_nv_fund",N$3,$A28))</f>
        <v/>
      </c>
      <c r="O28" s="102" t="str">
        <f>IF($A28="","",[1]!thsiFinD("ths_adjustment_nv_fund",O$3,$A28))</f>
        <v/>
      </c>
      <c r="P28" s="102" t="str">
        <f>IF($A28="","",[1]!thsiFinD("ths_adjustment_nv_fund",P$3,$A28))</f>
        <v/>
      </c>
      <c r="Q28" s="102" t="str">
        <f>IF($A28="","",[1]!thsiFinD("ths_adjustment_nv_fund",Q$3,$A28))</f>
        <v/>
      </c>
      <c r="R28" s="102" t="str">
        <f>IF($A28="","",[1]!thsiFinD("ths_adjustment_nv_fund",R$3,$A28))</f>
        <v/>
      </c>
      <c r="S28" s="102" t="str">
        <f>IF($A28="","",[1]!thsiFinD("ths_adjustment_nv_fund",S$3,$A28))</f>
        <v/>
      </c>
      <c r="T28" s="102" t="str">
        <f>IF($A28="","",[1]!thsiFinD("ths_adjustment_nv_fund",T$3,$A28))</f>
        <v/>
      </c>
      <c r="U28" s="102" t="str">
        <f>IF($A28="","",[1]!thsiFinD("ths_adjustment_nv_fund",U$3,$A28))</f>
        <v/>
      </c>
      <c r="V28" s="102" t="str">
        <f>IF($A28="","",[1]!thsiFinD("ths_adjustment_nv_fund",V$3,$A28))</f>
        <v/>
      </c>
      <c r="W28" s="102" t="str">
        <f>IF($A28="","",[1]!thsiFinD("ths_adjustment_nv_fund",W$3,$A28))</f>
        <v/>
      </c>
      <c r="X28" s="102" t="str">
        <f>IF($A28="","",[1]!thsiFinD("ths_adjustment_nv_fund",X$3,$A28))</f>
        <v/>
      </c>
    </row>
    <row r="29" spans="1:24" x14ac:dyDescent="0.25">
      <c r="A29" s="101"/>
      <c r="B29" s="102" t="str">
        <f>IF($A29="","",[1]!thsiFinD("ths_adjustment_nv_fund",B$3,$A29))</f>
        <v/>
      </c>
      <c r="C29" s="102" t="str">
        <f>IF($A29="","",[1]!thsiFinD("ths_adjustment_nv_fund",C$3,$A29))</f>
        <v/>
      </c>
      <c r="D29" s="102" t="str">
        <f>IF($A29="","",[1]!thsiFinD("ths_adjustment_nv_fund",D$3,$A29))</f>
        <v/>
      </c>
      <c r="E29" s="102" t="str">
        <f>IF($A29="","",[1]!thsiFinD("ths_adjustment_nv_fund",E$3,$A29))</f>
        <v/>
      </c>
      <c r="F29" s="102" t="str">
        <f>IF($A29="","",[1]!thsiFinD("ths_adjustment_nv_fund",F$3,$A29))</f>
        <v/>
      </c>
      <c r="G29" s="102" t="str">
        <f>IF($A29="","",[1]!thsiFinD("ths_adjustment_nv_fund",G$3,$A29))</f>
        <v/>
      </c>
      <c r="H29" s="102" t="str">
        <f>IF($A29="","",[1]!thsiFinD("ths_adjustment_nv_fund",H$3,$A29))</f>
        <v/>
      </c>
      <c r="I29" s="102" t="str">
        <f>IF($A29="","",[1]!thsiFinD("ths_adjustment_nv_fund",I$3,$A29))</f>
        <v/>
      </c>
      <c r="J29" s="102" t="str">
        <f>IF($A29="","",[1]!thsiFinD("ths_adjustment_nv_fund",J$3,$A29))</f>
        <v/>
      </c>
      <c r="K29" s="102" t="str">
        <f>IF($A29="","",[1]!thsiFinD("ths_adjustment_nv_fund",K$3,$A29))</f>
        <v/>
      </c>
      <c r="L29" s="102" t="str">
        <f>IF($A29="","",[1]!thsiFinD("ths_adjustment_nv_fund",L$3,$A29))</f>
        <v/>
      </c>
      <c r="M29" s="102" t="str">
        <f>IF($A29="","",[1]!thsiFinD("ths_adjustment_nv_fund",M$3,$A29))</f>
        <v/>
      </c>
      <c r="N29" s="102" t="str">
        <f>IF($A29="","",[1]!thsiFinD("ths_adjustment_nv_fund",N$3,$A29))</f>
        <v/>
      </c>
      <c r="O29" s="102" t="str">
        <f>IF($A29="","",[1]!thsiFinD("ths_adjustment_nv_fund",O$3,$A29))</f>
        <v/>
      </c>
      <c r="P29" s="102" t="str">
        <f>IF($A29="","",[1]!thsiFinD("ths_adjustment_nv_fund",P$3,$A29))</f>
        <v/>
      </c>
      <c r="Q29" s="102" t="str">
        <f>IF($A29="","",[1]!thsiFinD("ths_adjustment_nv_fund",Q$3,$A29))</f>
        <v/>
      </c>
      <c r="R29" s="102" t="str">
        <f>IF($A29="","",[1]!thsiFinD("ths_adjustment_nv_fund",R$3,$A29))</f>
        <v/>
      </c>
      <c r="S29" s="102" t="str">
        <f>IF($A29="","",[1]!thsiFinD("ths_adjustment_nv_fund",S$3,$A29))</f>
        <v/>
      </c>
      <c r="T29" s="102" t="str">
        <f>IF($A29="","",[1]!thsiFinD("ths_adjustment_nv_fund",T$3,$A29))</f>
        <v/>
      </c>
      <c r="U29" s="102" t="str">
        <f>IF($A29="","",[1]!thsiFinD("ths_adjustment_nv_fund",U$3,$A29))</f>
        <v/>
      </c>
      <c r="V29" s="102" t="str">
        <f>IF($A29="","",[1]!thsiFinD("ths_adjustment_nv_fund",V$3,$A29))</f>
        <v/>
      </c>
      <c r="W29" s="102" t="str">
        <f>IF($A29="","",[1]!thsiFinD("ths_adjustment_nv_fund",W$3,$A29))</f>
        <v/>
      </c>
      <c r="X29" s="102" t="str">
        <f>IF($A29="","",[1]!thsiFinD("ths_adjustment_nv_fund",X$3,$A29))</f>
        <v/>
      </c>
    </row>
    <row r="30" spans="1:24" x14ac:dyDescent="0.25">
      <c r="A30" s="101"/>
      <c r="B30" s="102" t="str">
        <f>IF($A30="","",[1]!thsiFinD("ths_adjustment_nv_fund",B$3,$A30))</f>
        <v/>
      </c>
      <c r="C30" s="102" t="str">
        <f>IF($A30="","",[1]!thsiFinD("ths_adjustment_nv_fund",C$3,$A30))</f>
        <v/>
      </c>
      <c r="D30" s="102" t="str">
        <f>IF($A30="","",[1]!thsiFinD("ths_adjustment_nv_fund",D$3,$A30))</f>
        <v/>
      </c>
      <c r="E30" s="102" t="str">
        <f>IF($A30="","",[1]!thsiFinD("ths_adjustment_nv_fund",E$3,$A30))</f>
        <v/>
      </c>
      <c r="F30" s="102" t="str">
        <f>IF($A30="","",[1]!thsiFinD("ths_adjustment_nv_fund",F$3,$A30))</f>
        <v/>
      </c>
      <c r="G30" s="102" t="str">
        <f>IF($A30="","",[1]!thsiFinD("ths_adjustment_nv_fund",G$3,$A30))</f>
        <v/>
      </c>
      <c r="H30" s="102" t="str">
        <f>IF($A30="","",[1]!thsiFinD("ths_adjustment_nv_fund",H$3,$A30))</f>
        <v/>
      </c>
      <c r="I30" s="102" t="str">
        <f>IF($A30="","",[1]!thsiFinD("ths_adjustment_nv_fund",I$3,$A30))</f>
        <v/>
      </c>
      <c r="J30" s="102" t="str">
        <f>IF($A30="","",[1]!thsiFinD("ths_adjustment_nv_fund",J$3,$A30))</f>
        <v/>
      </c>
      <c r="K30" s="102" t="str">
        <f>IF($A30="","",[1]!thsiFinD("ths_adjustment_nv_fund",K$3,$A30))</f>
        <v/>
      </c>
      <c r="L30" s="102" t="str">
        <f>IF($A30="","",[1]!thsiFinD("ths_adjustment_nv_fund",L$3,$A30))</f>
        <v/>
      </c>
      <c r="M30" s="102" t="str">
        <f>IF($A30="","",[1]!thsiFinD("ths_adjustment_nv_fund",M$3,$A30))</f>
        <v/>
      </c>
      <c r="N30" s="102" t="str">
        <f>IF($A30="","",[1]!thsiFinD("ths_adjustment_nv_fund",N$3,$A30))</f>
        <v/>
      </c>
      <c r="O30" s="102" t="str">
        <f>IF($A30="","",[1]!thsiFinD("ths_adjustment_nv_fund",O$3,$A30))</f>
        <v/>
      </c>
      <c r="P30" s="102" t="str">
        <f>IF($A30="","",[1]!thsiFinD("ths_adjustment_nv_fund",P$3,$A30))</f>
        <v/>
      </c>
      <c r="Q30" s="102" t="str">
        <f>IF($A30="","",[1]!thsiFinD("ths_adjustment_nv_fund",Q$3,$A30))</f>
        <v/>
      </c>
      <c r="R30" s="102" t="str">
        <f>IF($A30="","",[1]!thsiFinD("ths_adjustment_nv_fund",R$3,$A30))</f>
        <v/>
      </c>
      <c r="S30" s="102" t="str">
        <f>IF($A30="","",[1]!thsiFinD("ths_adjustment_nv_fund",S$3,$A30))</f>
        <v/>
      </c>
      <c r="T30" s="102" t="str">
        <f>IF($A30="","",[1]!thsiFinD("ths_adjustment_nv_fund",T$3,$A30))</f>
        <v/>
      </c>
      <c r="U30" s="102" t="str">
        <f>IF($A30="","",[1]!thsiFinD("ths_adjustment_nv_fund",U$3,$A30))</f>
        <v/>
      </c>
      <c r="V30" s="102" t="str">
        <f>IF($A30="","",[1]!thsiFinD("ths_adjustment_nv_fund",V$3,$A30))</f>
        <v/>
      </c>
      <c r="W30" s="102" t="str">
        <f>IF($A30="","",[1]!thsiFinD("ths_adjustment_nv_fund",W$3,$A30))</f>
        <v/>
      </c>
      <c r="X30" s="102" t="str">
        <f>IF($A30="","",[1]!thsiFinD("ths_adjustment_nv_fund",X$3,$A30))</f>
        <v/>
      </c>
    </row>
    <row r="31" spans="1:24" x14ac:dyDescent="0.25">
      <c r="A31" s="101"/>
      <c r="B31" s="102" t="str">
        <f>IF($A31="","",[1]!thsiFinD("ths_adjustment_nv_fund",B$3,$A31))</f>
        <v/>
      </c>
      <c r="C31" s="102" t="str">
        <f>IF($A31="","",[1]!thsiFinD("ths_adjustment_nv_fund",C$3,$A31))</f>
        <v/>
      </c>
      <c r="D31" s="102" t="str">
        <f>IF($A31="","",[1]!thsiFinD("ths_adjustment_nv_fund",D$3,$A31))</f>
        <v/>
      </c>
      <c r="E31" s="102" t="str">
        <f>IF($A31="","",[1]!thsiFinD("ths_adjustment_nv_fund",E$3,$A31))</f>
        <v/>
      </c>
      <c r="F31" s="102" t="str">
        <f>IF($A31="","",[1]!thsiFinD("ths_adjustment_nv_fund",F$3,$A31))</f>
        <v/>
      </c>
      <c r="G31" s="102" t="str">
        <f>IF($A31="","",[1]!thsiFinD("ths_adjustment_nv_fund",G$3,$A31))</f>
        <v/>
      </c>
      <c r="H31" s="102" t="str">
        <f>IF($A31="","",[1]!thsiFinD("ths_adjustment_nv_fund",H$3,$A31))</f>
        <v/>
      </c>
      <c r="I31" s="102" t="str">
        <f>IF($A31="","",[1]!thsiFinD("ths_adjustment_nv_fund",I$3,$A31))</f>
        <v/>
      </c>
      <c r="J31" s="102" t="str">
        <f>IF($A31="","",[1]!thsiFinD("ths_adjustment_nv_fund",J$3,$A31))</f>
        <v/>
      </c>
      <c r="K31" s="102" t="str">
        <f>IF($A31="","",[1]!thsiFinD("ths_adjustment_nv_fund",K$3,$A31))</f>
        <v/>
      </c>
      <c r="L31" s="102" t="str">
        <f>IF($A31="","",[1]!thsiFinD("ths_adjustment_nv_fund",L$3,$A31))</f>
        <v/>
      </c>
      <c r="M31" s="102" t="str">
        <f>IF($A31="","",[1]!thsiFinD("ths_adjustment_nv_fund",M$3,$A31))</f>
        <v/>
      </c>
      <c r="N31" s="102" t="str">
        <f>IF($A31="","",[1]!thsiFinD("ths_adjustment_nv_fund",N$3,$A31))</f>
        <v/>
      </c>
      <c r="O31" s="102" t="str">
        <f>IF($A31="","",[1]!thsiFinD("ths_adjustment_nv_fund",O$3,$A31))</f>
        <v/>
      </c>
      <c r="P31" s="102" t="str">
        <f>IF($A31="","",[1]!thsiFinD("ths_adjustment_nv_fund",P$3,$A31))</f>
        <v/>
      </c>
      <c r="Q31" s="102" t="str">
        <f>IF($A31="","",[1]!thsiFinD("ths_adjustment_nv_fund",Q$3,$A31))</f>
        <v/>
      </c>
      <c r="R31" s="102" t="str">
        <f>IF($A31="","",[1]!thsiFinD("ths_adjustment_nv_fund",R$3,$A31))</f>
        <v/>
      </c>
      <c r="S31" s="102" t="str">
        <f>IF($A31="","",[1]!thsiFinD("ths_adjustment_nv_fund",S$3,$A31))</f>
        <v/>
      </c>
      <c r="T31" s="102" t="str">
        <f>IF($A31="","",[1]!thsiFinD("ths_adjustment_nv_fund",T$3,$A31))</f>
        <v/>
      </c>
      <c r="U31" s="102" t="str">
        <f>IF($A31="","",[1]!thsiFinD("ths_adjustment_nv_fund",U$3,$A31))</f>
        <v/>
      </c>
      <c r="V31" s="102" t="str">
        <f>IF($A31="","",[1]!thsiFinD("ths_adjustment_nv_fund",V$3,$A31))</f>
        <v/>
      </c>
      <c r="W31" s="102" t="str">
        <f>IF($A31="","",[1]!thsiFinD("ths_adjustment_nv_fund",W$3,$A31))</f>
        <v/>
      </c>
      <c r="X31" s="102" t="str">
        <f>IF($A31="","",[1]!thsiFinD("ths_adjustment_nv_fund",X$3,$A31))</f>
        <v/>
      </c>
    </row>
    <row r="32" spans="1:24" x14ac:dyDescent="0.25">
      <c r="A32" s="101"/>
      <c r="B32" s="102" t="str">
        <f>IF($A32="","",[1]!thsiFinD("ths_adjustment_nv_fund",B$3,$A32))</f>
        <v/>
      </c>
      <c r="C32" s="102" t="str">
        <f>IF($A32="","",[1]!thsiFinD("ths_adjustment_nv_fund",C$3,$A32))</f>
        <v/>
      </c>
      <c r="D32" s="102" t="str">
        <f>IF($A32="","",[1]!thsiFinD("ths_adjustment_nv_fund",D$3,$A32))</f>
        <v/>
      </c>
      <c r="E32" s="102" t="str">
        <f>IF($A32="","",[1]!thsiFinD("ths_adjustment_nv_fund",E$3,$A32))</f>
        <v/>
      </c>
      <c r="F32" s="102" t="str">
        <f>IF($A32="","",[1]!thsiFinD("ths_adjustment_nv_fund",F$3,$A32))</f>
        <v/>
      </c>
      <c r="G32" s="102" t="str">
        <f>IF($A32="","",[1]!thsiFinD("ths_adjustment_nv_fund",G$3,$A32))</f>
        <v/>
      </c>
      <c r="H32" s="102" t="str">
        <f>IF($A32="","",[1]!thsiFinD("ths_adjustment_nv_fund",H$3,$A32))</f>
        <v/>
      </c>
      <c r="I32" s="102" t="str">
        <f>IF($A32="","",[1]!thsiFinD("ths_adjustment_nv_fund",I$3,$A32))</f>
        <v/>
      </c>
      <c r="J32" s="102" t="str">
        <f>IF($A32="","",[1]!thsiFinD("ths_adjustment_nv_fund",J$3,$A32))</f>
        <v/>
      </c>
      <c r="K32" s="102" t="str">
        <f>IF($A32="","",[1]!thsiFinD("ths_adjustment_nv_fund",K$3,$A32))</f>
        <v/>
      </c>
      <c r="L32" s="102" t="str">
        <f>IF($A32="","",[1]!thsiFinD("ths_adjustment_nv_fund",L$3,$A32))</f>
        <v/>
      </c>
      <c r="M32" s="102" t="str">
        <f>IF($A32="","",[1]!thsiFinD("ths_adjustment_nv_fund",M$3,$A32))</f>
        <v/>
      </c>
      <c r="N32" s="102" t="str">
        <f>IF($A32="","",[1]!thsiFinD("ths_adjustment_nv_fund",N$3,$A32))</f>
        <v/>
      </c>
      <c r="O32" s="102" t="str">
        <f>IF($A32="","",[1]!thsiFinD("ths_adjustment_nv_fund",O$3,$A32))</f>
        <v/>
      </c>
      <c r="P32" s="102" t="str">
        <f>IF($A32="","",[1]!thsiFinD("ths_adjustment_nv_fund",P$3,$A32))</f>
        <v/>
      </c>
      <c r="Q32" s="102" t="str">
        <f>IF($A32="","",[1]!thsiFinD("ths_adjustment_nv_fund",Q$3,$A32))</f>
        <v/>
      </c>
      <c r="R32" s="102" t="str">
        <f>IF($A32="","",[1]!thsiFinD("ths_adjustment_nv_fund",R$3,$A32))</f>
        <v/>
      </c>
      <c r="S32" s="102" t="str">
        <f>IF($A32="","",[1]!thsiFinD("ths_adjustment_nv_fund",S$3,$A32))</f>
        <v/>
      </c>
      <c r="T32" s="102" t="str">
        <f>IF($A32="","",[1]!thsiFinD("ths_adjustment_nv_fund",T$3,$A32))</f>
        <v/>
      </c>
      <c r="U32" s="102" t="str">
        <f>IF($A32="","",[1]!thsiFinD("ths_adjustment_nv_fund",U$3,$A32))</f>
        <v/>
      </c>
      <c r="V32" s="102" t="str">
        <f>IF($A32="","",[1]!thsiFinD("ths_adjustment_nv_fund",V$3,$A32))</f>
        <v/>
      </c>
      <c r="W32" s="102" t="str">
        <f>IF($A32="","",[1]!thsiFinD("ths_adjustment_nv_fund",W$3,$A32))</f>
        <v/>
      </c>
      <c r="X32" s="102" t="str">
        <f>IF($A32="","",[1]!thsiFinD("ths_adjustment_nv_fund",X$3,$A32))</f>
        <v/>
      </c>
    </row>
    <row r="33" spans="1:24" x14ac:dyDescent="0.25">
      <c r="A33" s="101"/>
      <c r="B33" s="102" t="str">
        <f>IF($A33="","",[1]!thsiFinD("ths_adjustment_nv_fund",B$3,$A33))</f>
        <v/>
      </c>
      <c r="C33" s="102" t="str">
        <f>IF($A33="","",[1]!thsiFinD("ths_adjustment_nv_fund",C$3,$A33))</f>
        <v/>
      </c>
      <c r="D33" s="102" t="str">
        <f>IF($A33="","",[1]!thsiFinD("ths_adjustment_nv_fund",D$3,$A33))</f>
        <v/>
      </c>
      <c r="E33" s="102" t="str">
        <f>IF($A33="","",[1]!thsiFinD("ths_adjustment_nv_fund",E$3,$A33))</f>
        <v/>
      </c>
      <c r="F33" s="102" t="str">
        <f>IF($A33="","",[1]!thsiFinD("ths_adjustment_nv_fund",F$3,$A33))</f>
        <v/>
      </c>
      <c r="G33" s="102" t="str">
        <f>IF($A33="","",[1]!thsiFinD("ths_adjustment_nv_fund",G$3,$A33))</f>
        <v/>
      </c>
      <c r="H33" s="102" t="str">
        <f>IF($A33="","",[1]!thsiFinD("ths_adjustment_nv_fund",H$3,$A33))</f>
        <v/>
      </c>
      <c r="I33" s="102" t="str">
        <f>IF($A33="","",[1]!thsiFinD("ths_adjustment_nv_fund",I$3,$A33))</f>
        <v/>
      </c>
      <c r="J33" s="102" t="str">
        <f>IF($A33="","",[1]!thsiFinD("ths_adjustment_nv_fund",J$3,$A33))</f>
        <v/>
      </c>
      <c r="K33" s="102" t="str">
        <f>IF($A33="","",[1]!thsiFinD("ths_adjustment_nv_fund",K$3,$A33))</f>
        <v/>
      </c>
      <c r="L33" s="102" t="str">
        <f>IF($A33="","",[1]!thsiFinD("ths_adjustment_nv_fund",L$3,$A33))</f>
        <v/>
      </c>
      <c r="M33" s="102" t="str">
        <f>IF($A33="","",[1]!thsiFinD("ths_adjustment_nv_fund",M$3,$A33))</f>
        <v/>
      </c>
      <c r="N33" s="102" t="str">
        <f>IF($A33="","",[1]!thsiFinD("ths_adjustment_nv_fund",N$3,$A33))</f>
        <v/>
      </c>
      <c r="O33" s="102" t="str">
        <f>IF($A33="","",[1]!thsiFinD("ths_adjustment_nv_fund",O$3,$A33))</f>
        <v/>
      </c>
      <c r="P33" s="102" t="str">
        <f>IF($A33="","",[1]!thsiFinD("ths_adjustment_nv_fund",P$3,$A33))</f>
        <v/>
      </c>
      <c r="Q33" s="102" t="str">
        <f>IF($A33="","",[1]!thsiFinD("ths_adjustment_nv_fund",Q$3,$A33))</f>
        <v/>
      </c>
      <c r="R33" s="102" t="str">
        <f>IF($A33="","",[1]!thsiFinD("ths_adjustment_nv_fund",R$3,$A33))</f>
        <v/>
      </c>
      <c r="S33" s="102" t="str">
        <f>IF($A33="","",[1]!thsiFinD("ths_adjustment_nv_fund",S$3,$A33))</f>
        <v/>
      </c>
      <c r="T33" s="102" t="str">
        <f>IF($A33="","",[1]!thsiFinD("ths_adjustment_nv_fund",T$3,$A33))</f>
        <v/>
      </c>
      <c r="U33" s="102" t="str">
        <f>IF($A33="","",[1]!thsiFinD("ths_adjustment_nv_fund",U$3,$A33))</f>
        <v/>
      </c>
      <c r="V33" s="102" t="str">
        <f>IF($A33="","",[1]!thsiFinD("ths_adjustment_nv_fund",V$3,$A33))</f>
        <v/>
      </c>
      <c r="W33" s="102" t="str">
        <f>IF($A33="","",[1]!thsiFinD("ths_adjustment_nv_fund",W$3,$A33))</f>
        <v/>
      </c>
      <c r="X33" s="102" t="str">
        <f>IF($A33="","",[1]!thsiFinD("ths_adjustment_nv_fund",X$3,$A33))</f>
        <v/>
      </c>
    </row>
    <row r="34" spans="1:24" x14ac:dyDescent="0.25">
      <c r="A34" s="101"/>
      <c r="B34" s="102" t="str">
        <f>IF($A34="","",[1]!thsiFinD("ths_adjustment_nv_fund",B$3,$A34))</f>
        <v/>
      </c>
      <c r="C34" s="102" t="str">
        <f>IF($A34="","",[1]!thsiFinD("ths_adjustment_nv_fund",C$3,$A34))</f>
        <v/>
      </c>
      <c r="D34" s="102" t="str">
        <f>IF($A34="","",[1]!thsiFinD("ths_adjustment_nv_fund",D$3,$A34))</f>
        <v/>
      </c>
      <c r="E34" s="102" t="str">
        <f>IF($A34="","",[1]!thsiFinD("ths_adjustment_nv_fund",E$3,$A34))</f>
        <v/>
      </c>
      <c r="F34" s="102" t="str">
        <f>IF($A34="","",[1]!thsiFinD("ths_adjustment_nv_fund",F$3,$A34))</f>
        <v/>
      </c>
      <c r="G34" s="102" t="str">
        <f>IF($A34="","",[1]!thsiFinD("ths_adjustment_nv_fund",G$3,$A34))</f>
        <v/>
      </c>
      <c r="H34" s="102" t="str">
        <f>IF($A34="","",[1]!thsiFinD("ths_adjustment_nv_fund",H$3,$A34))</f>
        <v/>
      </c>
      <c r="I34" s="102" t="str">
        <f>IF($A34="","",[1]!thsiFinD("ths_adjustment_nv_fund",I$3,$A34))</f>
        <v/>
      </c>
      <c r="J34" s="102" t="str">
        <f>IF($A34="","",[1]!thsiFinD("ths_adjustment_nv_fund",J$3,$A34))</f>
        <v/>
      </c>
      <c r="K34" s="102" t="str">
        <f>IF($A34="","",[1]!thsiFinD("ths_adjustment_nv_fund",K$3,$A34))</f>
        <v/>
      </c>
      <c r="L34" s="102" t="str">
        <f>IF($A34="","",[1]!thsiFinD("ths_adjustment_nv_fund",L$3,$A34))</f>
        <v/>
      </c>
      <c r="M34" s="102" t="str">
        <f>IF($A34="","",[1]!thsiFinD("ths_adjustment_nv_fund",M$3,$A34))</f>
        <v/>
      </c>
      <c r="N34" s="102" t="str">
        <f>IF($A34="","",[1]!thsiFinD("ths_adjustment_nv_fund",N$3,$A34))</f>
        <v/>
      </c>
      <c r="O34" s="102" t="str">
        <f>IF($A34="","",[1]!thsiFinD("ths_adjustment_nv_fund",O$3,$A34))</f>
        <v/>
      </c>
      <c r="P34" s="102" t="str">
        <f>IF($A34="","",[1]!thsiFinD("ths_adjustment_nv_fund",P$3,$A34))</f>
        <v/>
      </c>
      <c r="Q34" s="102" t="str">
        <f>IF($A34="","",[1]!thsiFinD("ths_adjustment_nv_fund",Q$3,$A34))</f>
        <v/>
      </c>
      <c r="R34" s="102" t="str">
        <f>IF($A34="","",[1]!thsiFinD("ths_adjustment_nv_fund",R$3,$A34))</f>
        <v/>
      </c>
      <c r="S34" s="102" t="str">
        <f>IF($A34="","",[1]!thsiFinD("ths_adjustment_nv_fund",S$3,$A34))</f>
        <v/>
      </c>
      <c r="T34" s="102" t="str">
        <f>IF($A34="","",[1]!thsiFinD("ths_adjustment_nv_fund",T$3,$A34))</f>
        <v/>
      </c>
      <c r="U34" s="102" t="str">
        <f>IF($A34="","",[1]!thsiFinD("ths_adjustment_nv_fund",U$3,$A34))</f>
        <v/>
      </c>
      <c r="V34" s="102" t="str">
        <f>IF($A34="","",[1]!thsiFinD("ths_adjustment_nv_fund",V$3,$A34))</f>
        <v/>
      </c>
      <c r="W34" s="102" t="str">
        <f>IF($A34="","",[1]!thsiFinD("ths_adjustment_nv_fund",W$3,$A34))</f>
        <v/>
      </c>
      <c r="X34" s="102" t="str">
        <f>IF($A34="","",[1]!thsiFinD("ths_adjustment_nv_fund",X$3,$A34))</f>
        <v/>
      </c>
    </row>
    <row r="35" spans="1:24" x14ac:dyDescent="0.25">
      <c r="A35" s="101"/>
      <c r="B35" s="102" t="str">
        <f>IF($A35="","",[1]!thsiFinD("ths_adjustment_nv_fund",B$3,$A35))</f>
        <v/>
      </c>
      <c r="C35" s="102" t="str">
        <f>IF($A35="","",[1]!thsiFinD("ths_adjustment_nv_fund",C$3,$A35))</f>
        <v/>
      </c>
      <c r="D35" s="102" t="str">
        <f>IF($A35="","",[1]!thsiFinD("ths_adjustment_nv_fund",D$3,$A35))</f>
        <v/>
      </c>
      <c r="E35" s="102" t="str">
        <f>IF($A35="","",[1]!thsiFinD("ths_adjustment_nv_fund",E$3,$A35))</f>
        <v/>
      </c>
      <c r="F35" s="102" t="str">
        <f>IF($A35="","",[1]!thsiFinD("ths_adjustment_nv_fund",F$3,$A35))</f>
        <v/>
      </c>
      <c r="G35" s="102" t="str">
        <f>IF($A35="","",[1]!thsiFinD("ths_adjustment_nv_fund",G$3,$A35))</f>
        <v/>
      </c>
      <c r="H35" s="102" t="str">
        <f>IF($A35="","",[1]!thsiFinD("ths_adjustment_nv_fund",H$3,$A35))</f>
        <v/>
      </c>
      <c r="I35" s="102" t="str">
        <f>IF($A35="","",[1]!thsiFinD("ths_adjustment_nv_fund",I$3,$A35))</f>
        <v/>
      </c>
      <c r="J35" s="102" t="str">
        <f>IF($A35="","",[1]!thsiFinD("ths_adjustment_nv_fund",J$3,$A35))</f>
        <v/>
      </c>
      <c r="K35" s="102" t="str">
        <f>IF($A35="","",[1]!thsiFinD("ths_adjustment_nv_fund",K$3,$A35))</f>
        <v/>
      </c>
      <c r="L35" s="102" t="str">
        <f>IF($A35="","",[1]!thsiFinD("ths_adjustment_nv_fund",L$3,$A35))</f>
        <v/>
      </c>
      <c r="M35" s="102" t="str">
        <f>IF($A35="","",[1]!thsiFinD("ths_adjustment_nv_fund",M$3,$A35))</f>
        <v/>
      </c>
      <c r="N35" s="102" t="str">
        <f>IF($A35="","",[1]!thsiFinD("ths_adjustment_nv_fund",N$3,$A35))</f>
        <v/>
      </c>
      <c r="O35" s="102" t="str">
        <f>IF($A35="","",[1]!thsiFinD("ths_adjustment_nv_fund",O$3,$A35))</f>
        <v/>
      </c>
      <c r="P35" s="102" t="str">
        <f>IF($A35="","",[1]!thsiFinD("ths_adjustment_nv_fund",P$3,$A35))</f>
        <v/>
      </c>
      <c r="Q35" s="102" t="str">
        <f>IF($A35="","",[1]!thsiFinD("ths_adjustment_nv_fund",Q$3,$A35))</f>
        <v/>
      </c>
      <c r="R35" s="102" t="str">
        <f>IF($A35="","",[1]!thsiFinD("ths_adjustment_nv_fund",R$3,$A35))</f>
        <v/>
      </c>
      <c r="S35" s="102" t="str">
        <f>IF($A35="","",[1]!thsiFinD("ths_adjustment_nv_fund",S$3,$A35))</f>
        <v/>
      </c>
      <c r="T35" s="102" t="str">
        <f>IF($A35="","",[1]!thsiFinD("ths_adjustment_nv_fund",T$3,$A35))</f>
        <v/>
      </c>
      <c r="U35" s="102" t="str">
        <f>IF($A35="","",[1]!thsiFinD("ths_adjustment_nv_fund",U$3,$A35))</f>
        <v/>
      </c>
      <c r="V35" s="102" t="str">
        <f>IF($A35="","",[1]!thsiFinD("ths_adjustment_nv_fund",V$3,$A35))</f>
        <v/>
      </c>
      <c r="W35" s="102" t="str">
        <f>IF($A35="","",[1]!thsiFinD("ths_adjustment_nv_fund",W$3,$A35))</f>
        <v/>
      </c>
      <c r="X35" s="102" t="str">
        <f>IF($A35="","",[1]!thsiFinD("ths_adjustment_nv_fund",X$3,$A35))</f>
        <v/>
      </c>
    </row>
    <row r="36" spans="1:24" x14ac:dyDescent="0.25">
      <c r="A36" s="101"/>
      <c r="B36" s="102" t="str">
        <f>IF($A36="","",[1]!thsiFinD("ths_adjustment_nv_fund",B$3,$A36))</f>
        <v/>
      </c>
      <c r="C36" s="102" t="str">
        <f>IF($A36="","",[1]!thsiFinD("ths_adjustment_nv_fund",C$3,$A36))</f>
        <v/>
      </c>
      <c r="D36" s="102" t="str">
        <f>IF($A36="","",[1]!thsiFinD("ths_adjustment_nv_fund",D$3,$A36))</f>
        <v/>
      </c>
      <c r="E36" s="102" t="str">
        <f>IF($A36="","",[1]!thsiFinD("ths_adjustment_nv_fund",E$3,$A36))</f>
        <v/>
      </c>
      <c r="F36" s="102" t="str">
        <f>IF($A36="","",[1]!thsiFinD("ths_adjustment_nv_fund",F$3,$A36))</f>
        <v/>
      </c>
      <c r="G36" s="102" t="str">
        <f>IF($A36="","",[1]!thsiFinD("ths_adjustment_nv_fund",G$3,$A36))</f>
        <v/>
      </c>
      <c r="H36" s="102" t="str">
        <f>IF($A36="","",[1]!thsiFinD("ths_adjustment_nv_fund",H$3,$A36))</f>
        <v/>
      </c>
      <c r="I36" s="102" t="str">
        <f>IF($A36="","",[1]!thsiFinD("ths_adjustment_nv_fund",I$3,$A36))</f>
        <v/>
      </c>
      <c r="J36" s="102" t="str">
        <f>IF($A36="","",[1]!thsiFinD("ths_adjustment_nv_fund",J$3,$A36))</f>
        <v/>
      </c>
      <c r="K36" s="102" t="str">
        <f>IF($A36="","",[1]!thsiFinD("ths_adjustment_nv_fund",K$3,$A36))</f>
        <v/>
      </c>
      <c r="L36" s="102" t="str">
        <f>IF($A36="","",[1]!thsiFinD("ths_adjustment_nv_fund",L$3,$A36))</f>
        <v/>
      </c>
      <c r="M36" s="102" t="str">
        <f>IF($A36="","",[1]!thsiFinD("ths_adjustment_nv_fund",M$3,$A36))</f>
        <v/>
      </c>
      <c r="N36" s="102" t="str">
        <f>IF($A36="","",[1]!thsiFinD("ths_adjustment_nv_fund",N$3,$A36))</f>
        <v/>
      </c>
      <c r="O36" s="102" t="str">
        <f>IF($A36="","",[1]!thsiFinD("ths_adjustment_nv_fund",O$3,$A36))</f>
        <v/>
      </c>
      <c r="P36" s="102" t="str">
        <f>IF($A36="","",[1]!thsiFinD("ths_adjustment_nv_fund",P$3,$A36))</f>
        <v/>
      </c>
      <c r="Q36" s="102" t="str">
        <f>IF($A36="","",[1]!thsiFinD("ths_adjustment_nv_fund",Q$3,$A36))</f>
        <v/>
      </c>
      <c r="R36" s="102" t="str">
        <f>IF($A36="","",[1]!thsiFinD("ths_adjustment_nv_fund",R$3,$A36))</f>
        <v/>
      </c>
      <c r="S36" s="102" t="str">
        <f>IF($A36="","",[1]!thsiFinD("ths_adjustment_nv_fund",S$3,$A36))</f>
        <v/>
      </c>
      <c r="T36" s="102" t="str">
        <f>IF($A36="","",[1]!thsiFinD("ths_adjustment_nv_fund",T$3,$A36))</f>
        <v/>
      </c>
      <c r="U36" s="102" t="str">
        <f>IF($A36="","",[1]!thsiFinD("ths_adjustment_nv_fund",U$3,$A36))</f>
        <v/>
      </c>
      <c r="V36" s="102" t="str">
        <f>IF($A36="","",[1]!thsiFinD("ths_adjustment_nv_fund",V$3,$A36))</f>
        <v/>
      </c>
      <c r="W36" s="102" t="str">
        <f>IF($A36="","",[1]!thsiFinD("ths_adjustment_nv_fund",W$3,$A36))</f>
        <v/>
      </c>
      <c r="X36" s="102" t="str">
        <f>IF($A36="","",[1]!thsiFinD("ths_adjustment_nv_fund",X$3,$A36))</f>
        <v/>
      </c>
    </row>
    <row r="37" spans="1:24" x14ac:dyDescent="0.25">
      <c r="A37" s="101"/>
      <c r="B37" s="102" t="str">
        <f>IF($A37="","",[1]!thsiFinD("ths_adjustment_nv_fund",B$3,$A37))</f>
        <v/>
      </c>
      <c r="C37" s="102" t="str">
        <f>IF($A37="","",[1]!thsiFinD("ths_adjustment_nv_fund",C$3,$A37))</f>
        <v/>
      </c>
      <c r="D37" s="102" t="str">
        <f>IF($A37="","",[1]!thsiFinD("ths_adjustment_nv_fund",D$3,$A37))</f>
        <v/>
      </c>
      <c r="E37" s="102" t="str">
        <f>IF($A37="","",[1]!thsiFinD("ths_adjustment_nv_fund",E$3,$A37))</f>
        <v/>
      </c>
      <c r="F37" s="102" t="str">
        <f>IF($A37="","",[1]!thsiFinD("ths_adjustment_nv_fund",F$3,$A37))</f>
        <v/>
      </c>
      <c r="G37" s="102" t="str">
        <f>IF($A37="","",[1]!thsiFinD("ths_adjustment_nv_fund",G$3,$A37))</f>
        <v/>
      </c>
      <c r="H37" s="102" t="str">
        <f>IF($A37="","",[1]!thsiFinD("ths_adjustment_nv_fund",H$3,$A37))</f>
        <v/>
      </c>
      <c r="I37" s="102" t="str">
        <f>IF($A37="","",[1]!thsiFinD("ths_adjustment_nv_fund",I$3,$A37))</f>
        <v/>
      </c>
      <c r="J37" s="102" t="str">
        <f>IF($A37="","",[1]!thsiFinD("ths_adjustment_nv_fund",J$3,$A37))</f>
        <v/>
      </c>
      <c r="K37" s="102" t="str">
        <f>IF($A37="","",[1]!thsiFinD("ths_adjustment_nv_fund",K$3,$A37))</f>
        <v/>
      </c>
      <c r="L37" s="102" t="str">
        <f>IF($A37="","",[1]!thsiFinD("ths_adjustment_nv_fund",L$3,$A37))</f>
        <v/>
      </c>
      <c r="M37" s="102" t="str">
        <f>IF($A37="","",[1]!thsiFinD("ths_adjustment_nv_fund",M$3,$A37))</f>
        <v/>
      </c>
      <c r="N37" s="102" t="str">
        <f>IF($A37="","",[1]!thsiFinD("ths_adjustment_nv_fund",N$3,$A37))</f>
        <v/>
      </c>
      <c r="O37" s="102" t="str">
        <f>IF($A37="","",[1]!thsiFinD("ths_adjustment_nv_fund",O$3,$A37))</f>
        <v/>
      </c>
      <c r="P37" s="102" t="str">
        <f>IF($A37="","",[1]!thsiFinD("ths_adjustment_nv_fund",P$3,$A37))</f>
        <v/>
      </c>
      <c r="Q37" s="102" t="str">
        <f>IF($A37="","",[1]!thsiFinD("ths_adjustment_nv_fund",Q$3,$A37))</f>
        <v/>
      </c>
      <c r="R37" s="102" t="str">
        <f>IF($A37="","",[1]!thsiFinD("ths_adjustment_nv_fund",R$3,$A37))</f>
        <v/>
      </c>
      <c r="S37" s="102" t="str">
        <f>IF($A37="","",[1]!thsiFinD("ths_adjustment_nv_fund",S$3,$A37))</f>
        <v/>
      </c>
      <c r="T37" s="102" t="str">
        <f>IF($A37="","",[1]!thsiFinD("ths_adjustment_nv_fund",T$3,$A37))</f>
        <v/>
      </c>
      <c r="U37" s="102" t="str">
        <f>IF($A37="","",[1]!thsiFinD("ths_adjustment_nv_fund",U$3,$A37))</f>
        <v/>
      </c>
      <c r="V37" s="102" t="str">
        <f>IF($A37="","",[1]!thsiFinD("ths_adjustment_nv_fund",V$3,$A37))</f>
        <v/>
      </c>
      <c r="W37" s="102" t="str">
        <f>IF($A37="","",[1]!thsiFinD("ths_adjustment_nv_fund",W$3,$A37))</f>
        <v/>
      </c>
      <c r="X37" s="102" t="str">
        <f>IF($A37="","",[1]!thsiFinD("ths_adjustment_nv_fund",X$3,$A37))</f>
        <v/>
      </c>
    </row>
    <row r="38" spans="1:24" x14ac:dyDescent="0.25">
      <c r="A38" s="101"/>
      <c r="B38" s="102" t="str">
        <f>IF($A38="","",[1]!thsiFinD("ths_adjustment_nv_fund",B$3,$A38))</f>
        <v/>
      </c>
      <c r="C38" s="102" t="str">
        <f>IF($A38="","",[1]!thsiFinD("ths_adjustment_nv_fund",C$3,$A38))</f>
        <v/>
      </c>
      <c r="D38" s="102" t="str">
        <f>IF($A38="","",[1]!thsiFinD("ths_adjustment_nv_fund",D$3,$A38))</f>
        <v/>
      </c>
      <c r="E38" s="102" t="str">
        <f>IF($A38="","",[1]!thsiFinD("ths_adjustment_nv_fund",E$3,$A38))</f>
        <v/>
      </c>
      <c r="F38" s="102" t="str">
        <f>IF($A38="","",[1]!thsiFinD("ths_adjustment_nv_fund",F$3,$A38))</f>
        <v/>
      </c>
      <c r="G38" s="102" t="str">
        <f>IF($A38="","",[1]!thsiFinD("ths_adjustment_nv_fund",G$3,$A38))</f>
        <v/>
      </c>
      <c r="H38" s="102" t="str">
        <f>IF($A38="","",[1]!thsiFinD("ths_adjustment_nv_fund",H$3,$A38))</f>
        <v/>
      </c>
      <c r="I38" s="102" t="str">
        <f>IF($A38="","",[1]!thsiFinD("ths_adjustment_nv_fund",I$3,$A38))</f>
        <v/>
      </c>
      <c r="J38" s="102" t="str">
        <f>IF($A38="","",[1]!thsiFinD("ths_adjustment_nv_fund",J$3,$A38))</f>
        <v/>
      </c>
      <c r="K38" s="102" t="str">
        <f>IF($A38="","",[1]!thsiFinD("ths_adjustment_nv_fund",K$3,$A38))</f>
        <v/>
      </c>
      <c r="L38" s="102" t="str">
        <f>IF($A38="","",[1]!thsiFinD("ths_adjustment_nv_fund",L$3,$A38))</f>
        <v/>
      </c>
      <c r="M38" s="102" t="str">
        <f>IF($A38="","",[1]!thsiFinD("ths_adjustment_nv_fund",M$3,$A38))</f>
        <v/>
      </c>
      <c r="N38" s="102" t="str">
        <f>IF($A38="","",[1]!thsiFinD("ths_adjustment_nv_fund",N$3,$A38))</f>
        <v/>
      </c>
      <c r="O38" s="102" t="str">
        <f>IF($A38="","",[1]!thsiFinD("ths_adjustment_nv_fund",O$3,$A38))</f>
        <v/>
      </c>
      <c r="P38" s="102" t="str">
        <f>IF($A38="","",[1]!thsiFinD("ths_adjustment_nv_fund",P$3,$A38))</f>
        <v/>
      </c>
      <c r="Q38" s="102" t="str">
        <f>IF($A38="","",[1]!thsiFinD("ths_adjustment_nv_fund",Q$3,$A38))</f>
        <v/>
      </c>
      <c r="R38" s="102" t="str">
        <f>IF($A38="","",[1]!thsiFinD("ths_adjustment_nv_fund",R$3,$A38))</f>
        <v/>
      </c>
      <c r="S38" s="102" t="str">
        <f>IF($A38="","",[1]!thsiFinD("ths_adjustment_nv_fund",S$3,$A38))</f>
        <v/>
      </c>
      <c r="T38" s="102" t="str">
        <f>IF($A38="","",[1]!thsiFinD("ths_adjustment_nv_fund",T$3,$A38))</f>
        <v/>
      </c>
      <c r="U38" s="102" t="str">
        <f>IF($A38="","",[1]!thsiFinD("ths_adjustment_nv_fund",U$3,$A38))</f>
        <v/>
      </c>
      <c r="V38" s="102" t="str">
        <f>IF($A38="","",[1]!thsiFinD("ths_adjustment_nv_fund",V$3,$A38))</f>
        <v/>
      </c>
      <c r="W38" s="102" t="str">
        <f>IF($A38="","",[1]!thsiFinD("ths_adjustment_nv_fund",W$3,$A38))</f>
        <v/>
      </c>
      <c r="X38" s="102" t="str">
        <f>IF($A38="","",[1]!thsiFinD("ths_adjustment_nv_fund",X$3,$A38))</f>
        <v/>
      </c>
    </row>
    <row r="39" spans="1:24" x14ac:dyDescent="0.25">
      <c r="A39" s="101"/>
      <c r="B39" s="102" t="str">
        <f>IF($A39="","",[1]!thsiFinD("ths_adjustment_nv_fund",B$3,$A39))</f>
        <v/>
      </c>
      <c r="C39" s="102" t="str">
        <f>IF($A39="","",[1]!thsiFinD("ths_adjustment_nv_fund",C$3,$A39))</f>
        <v/>
      </c>
      <c r="D39" s="102" t="str">
        <f>IF($A39="","",[1]!thsiFinD("ths_adjustment_nv_fund",D$3,$A39))</f>
        <v/>
      </c>
      <c r="E39" s="102" t="str">
        <f>IF($A39="","",[1]!thsiFinD("ths_adjustment_nv_fund",E$3,$A39))</f>
        <v/>
      </c>
      <c r="F39" s="102" t="str">
        <f>IF($A39="","",[1]!thsiFinD("ths_adjustment_nv_fund",F$3,$A39))</f>
        <v/>
      </c>
      <c r="G39" s="102" t="str">
        <f>IF($A39="","",[1]!thsiFinD("ths_adjustment_nv_fund",G$3,$A39))</f>
        <v/>
      </c>
      <c r="H39" s="102" t="str">
        <f>IF($A39="","",[1]!thsiFinD("ths_adjustment_nv_fund",H$3,$A39))</f>
        <v/>
      </c>
      <c r="I39" s="102" t="str">
        <f>IF($A39="","",[1]!thsiFinD("ths_adjustment_nv_fund",I$3,$A39))</f>
        <v/>
      </c>
      <c r="J39" s="102" t="str">
        <f>IF($A39="","",[1]!thsiFinD("ths_adjustment_nv_fund",J$3,$A39))</f>
        <v/>
      </c>
      <c r="K39" s="102" t="str">
        <f>IF($A39="","",[1]!thsiFinD("ths_adjustment_nv_fund",K$3,$A39))</f>
        <v/>
      </c>
      <c r="L39" s="102" t="str">
        <f>IF($A39="","",[1]!thsiFinD("ths_adjustment_nv_fund",L$3,$A39))</f>
        <v/>
      </c>
      <c r="M39" s="102" t="str">
        <f>IF($A39="","",[1]!thsiFinD("ths_adjustment_nv_fund",M$3,$A39))</f>
        <v/>
      </c>
      <c r="N39" s="102" t="str">
        <f>IF($A39="","",[1]!thsiFinD("ths_adjustment_nv_fund",N$3,$A39))</f>
        <v/>
      </c>
      <c r="O39" s="102" t="str">
        <f>IF($A39="","",[1]!thsiFinD("ths_adjustment_nv_fund",O$3,$A39))</f>
        <v/>
      </c>
      <c r="P39" s="102" t="str">
        <f>IF($A39="","",[1]!thsiFinD("ths_adjustment_nv_fund",P$3,$A39))</f>
        <v/>
      </c>
      <c r="Q39" s="102" t="str">
        <f>IF($A39="","",[1]!thsiFinD("ths_adjustment_nv_fund",Q$3,$A39))</f>
        <v/>
      </c>
      <c r="R39" s="102" t="str">
        <f>IF($A39="","",[1]!thsiFinD("ths_adjustment_nv_fund",R$3,$A39))</f>
        <v/>
      </c>
      <c r="S39" s="102" t="str">
        <f>IF($A39="","",[1]!thsiFinD("ths_adjustment_nv_fund",S$3,$A39))</f>
        <v/>
      </c>
      <c r="T39" s="102" t="str">
        <f>IF($A39="","",[1]!thsiFinD("ths_adjustment_nv_fund",T$3,$A39))</f>
        <v/>
      </c>
      <c r="U39" s="102" t="str">
        <f>IF($A39="","",[1]!thsiFinD("ths_adjustment_nv_fund",U$3,$A39))</f>
        <v/>
      </c>
      <c r="V39" s="102" t="str">
        <f>IF($A39="","",[1]!thsiFinD("ths_adjustment_nv_fund",V$3,$A39))</f>
        <v/>
      </c>
      <c r="W39" s="102" t="str">
        <f>IF($A39="","",[1]!thsiFinD("ths_adjustment_nv_fund",W$3,$A39))</f>
        <v/>
      </c>
      <c r="X39" s="102" t="str">
        <f>IF($A39="","",[1]!thsiFinD("ths_adjustment_nv_fund",X$3,$A39))</f>
        <v/>
      </c>
    </row>
    <row r="40" spans="1:24" x14ac:dyDescent="0.25">
      <c r="A40" s="101"/>
      <c r="B40" s="102" t="str">
        <f>IF($A40="","",[1]!thsiFinD("ths_adjustment_nv_fund",B$3,$A40))</f>
        <v/>
      </c>
      <c r="C40" s="102" t="str">
        <f>IF($A40="","",[1]!thsiFinD("ths_adjustment_nv_fund",C$3,$A40))</f>
        <v/>
      </c>
      <c r="D40" s="102" t="str">
        <f>IF($A40="","",[1]!thsiFinD("ths_adjustment_nv_fund",D$3,$A40))</f>
        <v/>
      </c>
      <c r="E40" s="102" t="str">
        <f>IF($A40="","",[1]!thsiFinD("ths_adjustment_nv_fund",E$3,$A40))</f>
        <v/>
      </c>
      <c r="F40" s="102" t="str">
        <f>IF($A40="","",[1]!thsiFinD("ths_adjustment_nv_fund",F$3,$A40))</f>
        <v/>
      </c>
      <c r="G40" s="102" t="str">
        <f>IF($A40="","",[1]!thsiFinD("ths_adjustment_nv_fund",G$3,$A40))</f>
        <v/>
      </c>
      <c r="H40" s="102" t="str">
        <f>IF($A40="","",[1]!thsiFinD("ths_adjustment_nv_fund",H$3,$A40))</f>
        <v/>
      </c>
      <c r="I40" s="102" t="str">
        <f>IF($A40="","",[1]!thsiFinD("ths_adjustment_nv_fund",I$3,$A40))</f>
        <v/>
      </c>
      <c r="J40" s="102" t="str">
        <f>IF($A40="","",[1]!thsiFinD("ths_adjustment_nv_fund",J$3,$A40))</f>
        <v/>
      </c>
      <c r="K40" s="102" t="str">
        <f>IF($A40="","",[1]!thsiFinD("ths_adjustment_nv_fund",K$3,$A40))</f>
        <v/>
      </c>
      <c r="L40" s="102" t="str">
        <f>IF($A40="","",[1]!thsiFinD("ths_adjustment_nv_fund",L$3,$A40))</f>
        <v/>
      </c>
      <c r="M40" s="102" t="str">
        <f>IF($A40="","",[1]!thsiFinD("ths_adjustment_nv_fund",M$3,$A40))</f>
        <v/>
      </c>
      <c r="N40" s="102" t="str">
        <f>IF($A40="","",[1]!thsiFinD("ths_adjustment_nv_fund",N$3,$A40))</f>
        <v/>
      </c>
      <c r="O40" s="102" t="str">
        <f>IF($A40="","",[1]!thsiFinD("ths_adjustment_nv_fund",O$3,$A40))</f>
        <v/>
      </c>
      <c r="P40" s="102" t="str">
        <f>IF($A40="","",[1]!thsiFinD("ths_adjustment_nv_fund",P$3,$A40))</f>
        <v/>
      </c>
      <c r="Q40" s="102" t="str">
        <f>IF($A40="","",[1]!thsiFinD("ths_adjustment_nv_fund",Q$3,$A40))</f>
        <v/>
      </c>
      <c r="R40" s="102" t="str">
        <f>IF($A40="","",[1]!thsiFinD("ths_adjustment_nv_fund",R$3,$A40))</f>
        <v/>
      </c>
      <c r="S40" s="102" t="str">
        <f>IF($A40="","",[1]!thsiFinD("ths_adjustment_nv_fund",S$3,$A40))</f>
        <v/>
      </c>
      <c r="T40" s="102" t="str">
        <f>IF($A40="","",[1]!thsiFinD("ths_adjustment_nv_fund",T$3,$A40))</f>
        <v/>
      </c>
      <c r="U40" s="102" t="str">
        <f>IF($A40="","",[1]!thsiFinD("ths_adjustment_nv_fund",U$3,$A40))</f>
        <v/>
      </c>
      <c r="V40" s="102" t="str">
        <f>IF($A40="","",[1]!thsiFinD("ths_adjustment_nv_fund",V$3,$A40))</f>
        <v/>
      </c>
      <c r="W40" s="102" t="str">
        <f>IF($A40="","",[1]!thsiFinD("ths_adjustment_nv_fund",W$3,$A40))</f>
        <v/>
      </c>
      <c r="X40" s="102" t="str">
        <f>IF($A40="","",[1]!thsiFinD("ths_adjustment_nv_fund",X$3,$A40))</f>
        <v/>
      </c>
    </row>
    <row r="41" spans="1:24" x14ac:dyDescent="0.25">
      <c r="A41" s="101"/>
      <c r="B41" s="102" t="str">
        <f>IF($A41="","",[1]!thsiFinD("ths_adjustment_nv_fund",B$3,$A41))</f>
        <v/>
      </c>
      <c r="C41" s="102" t="str">
        <f>IF($A41="","",[1]!thsiFinD("ths_adjustment_nv_fund",C$3,$A41))</f>
        <v/>
      </c>
      <c r="D41" s="102" t="str">
        <f>IF($A41="","",[1]!thsiFinD("ths_adjustment_nv_fund",D$3,$A41))</f>
        <v/>
      </c>
      <c r="E41" s="102" t="str">
        <f>IF($A41="","",[1]!thsiFinD("ths_adjustment_nv_fund",E$3,$A41))</f>
        <v/>
      </c>
      <c r="F41" s="102" t="str">
        <f>IF($A41="","",[1]!thsiFinD("ths_adjustment_nv_fund",F$3,$A41))</f>
        <v/>
      </c>
      <c r="G41" s="102" t="str">
        <f>IF($A41="","",[1]!thsiFinD("ths_adjustment_nv_fund",G$3,$A41))</f>
        <v/>
      </c>
      <c r="H41" s="102" t="str">
        <f>IF($A41="","",[1]!thsiFinD("ths_adjustment_nv_fund",H$3,$A41))</f>
        <v/>
      </c>
      <c r="I41" s="102" t="str">
        <f>IF($A41="","",[1]!thsiFinD("ths_adjustment_nv_fund",I$3,$A41))</f>
        <v/>
      </c>
      <c r="J41" s="102" t="str">
        <f>IF($A41="","",[1]!thsiFinD("ths_adjustment_nv_fund",J$3,$A41))</f>
        <v/>
      </c>
      <c r="K41" s="102" t="str">
        <f>IF($A41="","",[1]!thsiFinD("ths_adjustment_nv_fund",K$3,$A41))</f>
        <v/>
      </c>
      <c r="L41" s="102" t="str">
        <f>IF($A41="","",[1]!thsiFinD("ths_adjustment_nv_fund",L$3,$A41))</f>
        <v/>
      </c>
      <c r="M41" s="102" t="str">
        <f>IF($A41="","",[1]!thsiFinD("ths_adjustment_nv_fund",M$3,$A41))</f>
        <v/>
      </c>
      <c r="N41" s="102" t="str">
        <f>IF($A41="","",[1]!thsiFinD("ths_adjustment_nv_fund",N$3,$A41))</f>
        <v/>
      </c>
      <c r="O41" s="102" t="str">
        <f>IF($A41="","",[1]!thsiFinD("ths_adjustment_nv_fund",O$3,$A41))</f>
        <v/>
      </c>
      <c r="P41" s="102" t="str">
        <f>IF($A41="","",[1]!thsiFinD("ths_adjustment_nv_fund",P$3,$A41))</f>
        <v/>
      </c>
      <c r="Q41" s="102" t="str">
        <f>IF($A41="","",[1]!thsiFinD("ths_adjustment_nv_fund",Q$3,$A41))</f>
        <v/>
      </c>
      <c r="R41" s="102" t="str">
        <f>IF($A41="","",[1]!thsiFinD("ths_adjustment_nv_fund",R$3,$A41))</f>
        <v/>
      </c>
      <c r="S41" s="102" t="str">
        <f>IF($A41="","",[1]!thsiFinD("ths_adjustment_nv_fund",S$3,$A41))</f>
        <v/>
      </c>
      <c r="T41" s="102" t="str">
        <f>IF($A41="","",[1]!thsiFinD("ths_adjustment_nv_fund",T$3,$A41))</f>
        <v/>
      </c>
      <c r="U41" s="102" t="str">
        <f>IF($A41="","",[1]!thsiFinD("ths_adjustment_nv_fund",U$3,$A41))</f>
        <v/>
      </c>
      <c r="V41" s="102" t="str">
        <f>IF($A41="","",[1]!thsiFinD("ths_adjustment_nv_fund",V$3,$A41))</f>
        <v/>
      </c>
      <c r="W41" s="102" t="str">
        <f>IF($A41="","",[1]!thsiFinD("ths_adjustment_nv_fund",W$3,$A41))</f>
        <v/>
      </c>
      <c r="X41" s="102" t="str">
        <f>IF($A41="","",[1]!thsiFinD("ths_adjustment_nv_fund",X$3,$A41))</f>
        <v/>
      </c>
    </row>
    <row r="42" spans="1:24" x14ac:dyDescent="0.25">
      <c r="A42" s="101"/>
      <c r="B42" s="102" t="str">
        <f>IF($A42="","",[1]!thsiFinD("ths_adjustment_nv_fund",B$3,$A42))</f>
        <v/>
      </c>
      <c r="C42" s="102" t="str">
        <f>IF($A42="","",[1]!thsiFinD("ths_adjustment_nv_fund",C$3,$A42))</f>
        <v/>
      </c>
      <c r="D42" s="102" t="str">
        <f>IF($A42="","",[1]!thsiFinD("ths_adjustment_nv_fund",D$3,$A42))</f>
        <v/>
      </c>
      <c r="E42" s="102" t="str">
        <f>IF($A42="","",[1]!thsiFinD("ths_adjustment_nv_fund",E$3,$A42))</f>
        <v/>
      </c>
      <c r="F42" s="102" t="str">
        <f>IF($A42="","",[1]!thsiFinD("ths_adjustment_nv_fund",F$3,$A42))</f>
        <v/>
      </c>
      <c r="G42" s="102" t="str">
        <f>IF($A42="","",[1]!thsiFinD("ths_adjustment_nv_fund",G$3,$A42))</f>
        <v/>
      </c>
      <c r="H42" s="102" t="str">
        <f>IF($A42="","",[1]!thsiFinD("ths_adjustment_nv_fund",H$3,$A42))</f>
        <v/>
      </c>
      <c r="I42" s="102" t="str">
        <f>IF($A42="","",[1]!thsiFinD("ths_adjustment_nv_fund",I$3,$A42))</f>
        <v/>
      </c>
      <c r="J42" s="102" t="str">
        <f>IF($A42="","",[1]!thsiFinD("ths_adjustment_nv_fund",J$3,$A42))</f>
        <v/>
      </c>
      <c r="K42" s="102" t="str">
        <f>IF($A42="","",[1]!thsiFinD("ths_adjustment_nv_fund",K$3,$A42))</f>
        <v/>
      </c>
      <c r="L42" s="102" t="str">
        <f>IF($A42="","",[1]!thsiFinD("ths_adjustment_nv_fund",L$3,$A42))</f>
        <v/>
      </c>
      <c r="M42" s="102" t="str">
        <f>IF($A42="","",[1]!thsiFinD("ths_adjustment_nv_fund",M$3,$A42))</f>
        <v/>
      </c>
      <c r="N42" s="102" t="str">
        <f>IF($A42="","",[1]!thsiFinD("ths_adjustment_nv_fund",N$3,$A42))</f>
        <v/>
      </c>
      <c r="O42" s="102" t="str">
        <f>IF($A42="","",[1]!thsiFinD("ths_adjustment_nv_fund",O$3,$A42))</f>
        <v/>
      </c>
      <c r="P42" s="102" t="str">
        <f>IF($A42="","",[1]!thsiFinD("ths_adjustment_nv_fund",P$3,$A42))</f>
        <v/>
      </c>
      <c r="Q42" s="102" t="str">
        <f>IF($A42="","",[1]!thsiFinD("ths_adjustment_nv_fund",Q$3,$A42))</f>
        <v/>
      </c>
      <c r="R42" s="102" t="str">
        <f>IF($A42="","",[1]!thsiFinD("ths_adjustment_nv_fund",R$3,$A42))</f>
        <v/>
      </c>
      <c r="S42" s="102" t="str">
        <f>IF($A42="","",[1]!thsiFinD("ths_adjustment_nv_fund",S$3,$A42))</f>
        <v/>
      </c>
      <c r="T42" s="102" t="str">
        <f>IF($A42="","",[1]!thsiFinD("ths_adjustment_nv_fund",T$3,$A42))</f>
        <v/>
      </c>
      <c r="U42" s="102" t="str">
        <f>IF($A42="","",[1]!thsiFinD("ths_adjustment_nv_fund",U$3,$A42))</f>
        <v/>
      </c>
      <c r="V42" s="102" t="str">
        <f>IF($A42="","",[1]!thsiFinD("ths_adjustment_nv_fund",V$3,$A42))</f>
        <v/>
      </c>
      <c r="W42" s="102" t="str">
        <f>IF($A42="","",[1]!thsiFinD("ths_adjustment_nv_fund",W$3,$A42))</f>
        <v/>
      </c>
      <c r="X42" s="102" t="str">
        <f>IF($A42="","",[1]!thsiFinD("ths_adjustment_nv_fund",X$3,$A42))</f>
        <v/>
      </c>
    </row>
    <row r="43" spans="1:24" x14ac:dyDescent="0.25">
      <c r="A43" s="101"/>
      <c r="B43" s="102" t="str">
        <f>IF($A43="","",[1]!thsiFinD("ths_adjustment_nv_fund",B$3,$A43))</f>
        <v/>
      </c>
      <c r="C43" s="102" t="str">
        <f>IF($A43="","",[1]!thsiFinD("ths_adjustment_nv_fund",C$3,$A43))</f>
        <v/>
      </c>
      <c r="D43" s="102" t="str">
        <f>IF($A43="","",[1]!thsiFinD("ths_adjustment_nv_fund",D$3,$A43))</f>
        <v/>
      </c>
      <c r="E43" s="102" t="str">
        <f>IF($A43="","",[1]!thsiFinD("ths_adjustment_nv_fund",E$3,$A43))</f>
        <v/>
      </c>
      <c r="F43" s="102" t="str">
        <f>IF($A43="","",[1]!thsiFinD("ths_adjustment_nv_fund",F$3,$A43))</f>
        <v/>
      </c>
      <c r="G43" s="102" t="str">
        <f>IF($A43="","",[1]!thsiFinD("ths_adjustment_nv_fund",G$3,$A43))</f>
        <v/>
      </c>
      <c r="H43" s="102" t="str">
        <f>IF($A43="","",[1]!thsiFinD("ths_adjustment_nv_fund",H$3,$A43))</f>
        <v/>
      </c>
      <c r="I43" s="102" t="str">
        <f>IF($A43="","",[1]!thsiFinD("ths_adjustment_nv_fund",I$3,$A43))</f>
        <v/>
      </c>
      <c r="J43" s="102" t="str">
        <f>IF($A43="","",[1]!thsiFinD("ths_adjustment_nv_fund",J$3,$A43))</f>
        <v/>
      </c>
      <c r="K43" s="102" t="str">
        <f>IF($A43="","",[1]!thsiFinD("ths_adjustment_nv_fund",K$3,$A43))</f>
        <v/>
      </c>
      <c r="L43" s="102" t="str">
        <f>IF($A43="","",[1]!thsiFinD("ths_adjustment_nv_fund",L$3,$A43))</f>
        <v/>
      </c>
      <c r="M43" s="102" t="str">
        <f>IF($A43="","",[1]!thsiFinD("ths_adjustment_nv_fund",M$3,$A43))</f>
        <v/>
      </c>
      <c r="N43" s="102" t="str">
        <f>IF($A43="","",[1]!thsiFinD("ths_adjustment_nv_fund",N$3,$A43))</f>
        <v/>
      </c>
      <c r="O43" s="102" t="str">
        <f>IF($A43="","",[1]!thsiFinD("ths_adjustment_nv_fund",O$3,$A43))</f>
        <v/>
      </c>
      <c r="P43" s="102" t="str">
        <f>IF($A43="","",[1]!thsiFinD("ths_adjustment_nv_fund",P$3,$A43))</f>
        <v/>
      </c>
      <c r="Q43" s="102" t="str">
        <f>IF($A43="","",[1]!thsiFinD("ths_adjustment_nv_fund",Q$3,$A43))</f>
        <v/>
      </c>
      <c r="R43" s="102" t="str">
        <f>IF($A43="","",[1]!thsiFinD("ths_adjustment_nv_fund",R$3,$A43))</f>
        <v/>
      </c>
      <c r="S43" s="102" t="str">
        <f>IF($A43="","",[1]!thsiFinD("ths_adjustment_nv_fund",S$3,$A43))</f>
        <v/>
      </c>
      <c r="T43" s="102" t="str">
        <f>IF($A43="","",[1]!thsiFinD("ths_adjustment_nv_fund",T$3,$A43))</f>
        <v/>
      </c>
      <c r="U43" s="102" t="str">
        <f>IF($A43="","",[1]!thsiFinD("ths_adjustment_nv_fund",U$3,$A43))</f>
        <v/>
      </c>
      <c r="V43" s="102" t="str">
        <f>IF($A43="","",[1]!thsiFinD("ths_adjustment_nv_fund",V$3,$A43))</f>
        <v/>
      </c>
      <c r="W43" s="102" t="str">
        <f>IF($A43="","",[1]!thsiFinD("ths_adjustment_nv_fund",W$3,$A43))</f>
        <v/>
      </c>
      <c r="X43" s="102" t="str">
        <f>IF($A43="","",[1]!thsiFinD("ths_adjustment_nv_fund",X$3,$A43))</f>
        <v/>
      </c>
    </row>
    <row r="44" spans="1:24" x14ac:dyDescent="0.25">
      <c r="A44" s="101"/>
      <c r="B44" s="102" t="str">
        <f>IF($A44="","",[1]!thsiFinD("ths_adjustment_nv_fund",B$3,$A44))</f>
        <v/>
      </c>
      <c r="C44" s="102" t="str">
        <f>IF($A44="","",[1]!thsiFinD("ths_adjustment_nv_fund",C$3,$A44))</f>
        <v/>
      </c>
      <c r="D44" s="102" t="str">
        <f>IF($A44="","",[1]!thsiFinD("ths_adjustment_nv_fund",D$3,$A44))</f>
        <v/>
      </c>
      <c r="E44" s="102" t="str">
        <f>IF($A44="","",[1]!thsiFinD("ths_adjustment_nv_fund",E$3,$A44))</f>
        <v/>
      </c>
      <c r="F44" s="102" t="str">
        <f>IF($A44="","",[1]!thsiFinD("ths_adjustment_nv_fund",F$3,$A44))</f>
        <v/>
      </c>
      <c r="G44" s="102" t="str">
        <f>IF($A44="","",[1]!thsiFinD("ths_adjustment_nv_fund",G$3,$A44))</f>
        <v/>
      </c>
      <c r="H44" s="102" t="str">
        <f>IF($A44="","",[1]!thsiFinD("ths_adjustment_nv_fund",H$3,$A44))</f>
        <v/>
      </c>
      <c r="I44" s="102" t="str">
        <f>IF($A44="","",[1]!thsiFinD("ths_adjustment_nv_fund",I$3,$A44))</f>
        <v/>
      </c>
      <c r="J44" s="102" t="str">
        <f>IF($A44="","",[1]!thsiFinD("ths_adjustment_nv_fund",J$3,$A44))</f>
        <v/>
      </c>
      <c r="K44" s="102" t="str">
        <f>IF($A44="","",[1]!thsiFinD("ths_adjustment_nv_fund",K$3,$A44))</f>
        <v/>
      </c>
      <c r="L44" s="102" t="str">
        <f>IF($A44="","",[1]!thsiFinD("ths_adjustment_nv_fund",L$3,$A44))</f>
        <v/>
      </c>
      <c r="M44" s="102" t="str">
        <f>IF($A44="","",[1]!thsiFinD("ths_adjustment_nv_fund",M$3,$A44))</f>
        <v/>
      </c>
      <c r="N44" s="102" t="str">
        <f>IF($A44="","",[1]!thsiFinD("ths_adjustment_nv_fund",N$3,$A44))</f>
        <v/>
      </c>
      <c r="O44" s="102" t="str">
        <f>IF($A44="","",[1]!thsiFinD("ths_adjustment_nv_fund",O$3,$A44))</f>
        <v/>
      </c>
      <c r="P44" s="102" t="str">
        <f>IF($A44="","",[1]!thsiFinD("ths_adjustment_nv_fund",P$3,$A44))</f>
        <v/>
      </c>
      <c r="Q44" s="102" t="str">
        <f>IF($A44="","",[1]!thsiFinD("ths_adjustment_nv_fund",Q$3,$A44))</f>
        <v/>
      </c>
      <c r="R44" s="102" t="str">
        <f>IF($A44="","",[1]!thsiFinD("ths_adjustment_nv_fund",R$3,$A44))</f>
        <v/>
      </c>
      <c r="S44" s="102" t="str">
        <f>IF($A44="","",[1]!thsiFinD("ths_adjustment_nv_fund",S$3,$A44))</f>
        <v/>
      </c>
      <c r="T44" s="102" t="str">
        <f>IF($A44="","",[1]!thsiFinD("ths_adjustment_nv_fund",T$3,$A44))</f>
        <v/>
      </c>
      <c r="U44" s="102" t="str">
        <f>IF($A44="","",[1]!thsiFinD("ths_adjustment_nv_fund",U$3,$A44))</f>
        <v/>
      </c>
      <c r="V44" s="102" t="str">
        <f>IF($A44="","",[1]!thsiFinD("ths_adjustment_nv_fund",V$3,$A44))</f>
        <v/>
      </c>
      <c r="W44" s="102" t="str">
        <f>IF($A44="","",[1]!thsiFinD("ths_adjustment_nv_fund",W$3,$A44))</f>
        <v/>
      </c>
      <c r="X44" s="102" t="str">
        <f>IF($A44="","",[1]!thsiFinD("ths_adjustment_nv_fund",X$3,$A44))</f>
        <v/>
      </c>
    </row>
    <row r="45" spans="1:24" x14ac:dyDescent="0.25">
      <c r="A45" s="101"/>
      <c r="B45" s="102" t="str">
        <f>IF($A45="","",[1]!thsiFinD("ths_adjustment_nv_fund",B$3,$A45))</f>
        <v/>
      </c>
      <c r="C45" s="102" t="str">
        <f>IF($A45="","",[1]!thsiFinD("ths_adjustment_nv_fund",C$3,$A45))</f>
        <v/>
      </c>
      <c r="D45" s="102" t="str">
        <f>IF($A45="","",[1]!thsiFinD("ths_adjustment_nv_fund",D$3,$A45))</f>
        <v/>
      </c>
      <c r="E45" s="102" t="str">
        <f>IF($A45="","",[1]!thsiFinD("ths_adjustment_nv_fund",E$3,$A45))</f>
        <v/>
      </c>
      <c r="F45" s="102" t="str">
        <f>IF($A45="","",[1]!thsiFinD("ths_adjustment_nv_fund",F$3,$A45))</f>
        <v/>
      </c>
      <c r="G45" s="102" t="str">
        <f>IF($A45="","",[1]!thsiFinD("ths_adjustment_nv_fund",G$3,$A45))</f>
        <v/>
      </c>
      <c r="H45" s="102" t="str">
        <f>IF($A45="","",[1]!thsiFinD("ths_adjustment_nv_fund",H$3,$A45))</f>
        <v/>
      </c>
      <c r="I45" s="102" t="str">
        <f>IF($A45="","",[1]!thsiFinD("ths_adjustment_nv_fund",I$3,$A45))</f>
        <v/>
      </c>
      <c r="J45" s="102" t="str">
        <f>IF($A45="","",[1]!thsiFinD("ths_adjustment_nv_fund",J$3,$A45))</f>
        <v/>
      </c>
      <c r="K45" s="102" t="str">
        <f>IF($A45="","",[1]!thsiFinD("ths_adjustment_nv_fund",K$3,$A45))</f>
        <v/>
      </c>
      <c r="L45" s="102" t="str">
        <f>IF($A45="","",[1]!thsiFinD("ths_adjustment_nv_fund",L$3,$A45))</f>
        <v/>
      </c>
      <c r="M45" s="102" t="str">
        <f>IF($A45="","",[1]!thsiFinD("ths_adjustment_nv_fund",M$3,$A45))</f>
        <v/>
      </c>
      <c r="N45" s="102" t="str">
        <f>IF($A45="","",[1]!thsiFinD("ths_adjustment_nv_fund",N$3,$A45))</f>
        <v/>
      </c>
      <c r="O45" s="102" t="str">
        <f>IF($A45="","",[1]!thsiFinD("ths_adjustment_nv_fund",O$3,$A45))</f>
        <v/>
      </c>
      <c r="P45" s="102" t="str">
        <f>IF($A45="","",[1]!thsiFinD("ths_adjustment_nv_fund",P$3,$A45))</f>
        <v/>
      </c>
      <c r="Q45" s="102" t="str">
        <f>IF($A45="","",[1]!thsiFinD("ths_adjustment_nv_fund",Q$3,$A45))</f>
        <v/>
      </c>
      <c r="R45" s="102" t="str">
        <f>IF($A45="","",[1]!thsiFinD("ths_adjustment_nv_fund",R$3,$A45))</f>
        <v/>
      </c>
      <c r="S45" s="102" t="str">
        <f>IF($A45="","",[1]!thsiFinD("ths_adjustment_nv_fund",S$3,$A45))</f>
        <v/>
      </c>
      <c r="T45" s="102" t="str">
        <f>IF($A45="","",[1]!thsiFinD("ths_adjustment_nv_fund",T$3,$A45))</f>
        <v/>
      </c>
      <c r="U45" s="102" t="str">
        <f>IF($A45="","",[1]!thsiFinD("ths_adjustment_nv_fund",U$3,$A45))</f>
        <v/>
      </c>
      <c r="V45" s="102" t="str">
        <f>IF($A45="","",[1]!thsiFinD("ths_adjustment_nv_fund",V$3,$A45))</f>
        <v/>
      </c>
      <c r="W45" s="102" t="str">
        <f>IF($A45="","",[1]!thsiFinD("ths_adjustment_nv_fund",W$3,$A45))</f>
        <v/>
      </c>
      <c r="X45" s="102" t="str">
        <f>IF($A45="","",[1]!thsiFinD("ths_adjustment_nv_fund",X$3,$A45))</f>
        <v/>
      </c>
    </row>
    <row r="46" spans="1:24" x14ac:dyDescent="0.25">
      <c r="A46" s="101"/>
      <c r="B46" s="102" t="str">
        <f>IF($A46="","",[1]!thsiFinD("ths_adjustment_nv_fund",B$3,$A46))</f>
        <v/>
      </c>
      <c r="C46" s="102" t="str">
        <f>IF($A46="","",[1]!thsiFinD("ths_adjustment_nv_fund",C$3,$A46))</f>
        <v/>
      </c>
      <c r="D46" s="102" t="str">
        <f>IF($A46="","",[1]!thsiFinD("ths_adjustment_nv_fund",D$3,$A46))</f>
        <v/>
      </c>
      <c r="E46" s="102" t="str">
        <f>IF($A46="","",[1]!thsiFinD("ths_adjustment_nv_fund",E$3,$A46))</f>
        <v/>
      </c>
      <c r="F46" s="102" t="str">
        <f>IF($A46="","",[1]!thsiFinD("ths_adjustment_nv_fund",F$3,$A46))</f>
        <v/>
      </c>
      <c r="G46" s="102" t="str">
        <f>IF($A46="","",[1]!thsiFinD("ths_adjustment_nv_fund",G$3,$A46))</f>
        <v/>
      </c>
      <c r="H46" s="102" t="str">
        <f>IF($A46="","",[1]!thsiFinD("ths_adjustment_nv_fund",H$3,$A46))</f>
        <v/>
      </c>
      <c r="I46" s="102" t="str">
        <f>IF($A46="","",[1]!thsiFinD("ths_adjustment_nv_fund",I$3,$A46))</f>
        <v/>
      </c>
      <c r="J46" s="102" t="str">
        <f>IF($A46="","",[1]!thsiFinD("ths_adjustment_nv_fund",J$3,$A46))</f>
        <v/>
      </c>
      <c r="K46" s="102" t="str">
        <f>IF($A46="","",[1]!thsiFinD("ths_adjustment_nv_fund",K$3,$A46))</f>
        <v/>
      </c>
      <c r="L46" s="102" t="str">
        <f>IF($A46="","",[1]!thsiFinD("ths_adjustment_nv_fund",L$3,$A46))</f>
        <v/>
      </c>
      <c r="M46" s="102" t="str">
        <f>IF($A46="","",[1]!thsiFinD("ths_adjustment_nv_fund",M$3,$A46))</f>
        <v/>
      </c>
      <c r="N46" s="102" t="str">
        <f>IF($A46="","",[1]!thsiFinD("ths_adjustment_nv_fund",N$3,$A46))</f>
        <v/>
      </c>
      <c r="O46" s="102" t="str">
        <f>IF($A46="","",[1]!thsiFinD("ths_adjustment_nv_fund",O$3,$A46))</f>
        <v/>
      </c>
      <c r="P46" s="102" t="str">
        <f>IF($A46="","",[1]!thsiFinD("ths_adjustment_nv_fund",P$3,$A46))</f>
        <v/>
      </c>
      <c r="Q46" s="102" t="str">
        <f>IF($A46="","",[1]!thsiFinD("ths_adjustment_nv_fund",Q$3,$A46))</f>
        <v/>
      </c>
      <c r="R46" s="102" t="str">
        <f>IF($A46="","",[1]!thsiFinD("ths_adjustment_nv_fund",R$3,$A46))</f>
        <v/>
      </c>
      <c r="S46" s="102" t="str">
        <f>IF($A46="","",[1]!thsiFinD("ths_adjustment_nv_fund",S$3,$A46))</f>
        <v/>
      </c>
      <c r="T46" s="102" t="str">
        <f>IF($A46="","",[1]!thsiFinD("ths_adjustment_nv_fund",T$3,$A46))</f>
        <v/>
      </c>
      <c r="U46" s="102" t="str">
        <f>IF($A46="","",[1]!thsiFinD("ths_adjustment_nv_fund",U$3,$A46))</f>
        <v/>
      </c>
      <c r="V46" s="102" t="str">
        <f>IF($A46="","",[1]!thsiFinD("ths_adjustment_nv_fund",V$3,$A46))</f>
        <v/>
      </c>
      <c r="W46" s="102" t="str">
        <f>IF($A46="","",[1]!thsiFinD("ths_adjustment_nv_fund",W$3,$A46))</f>
        <v/>
      </c>
      <c r="X46" s="102" t="str">
        <f>IF($A46="","",[1]!thsiFinD("ths_adjustment_nv_fund",X$3,$A46))</f>
        <v/>
      </c>
    </row>
    <row r="47" spans="1:24" x14ac:dyDescent="0.25">
      <c r="A47" s="101"/>
      <c r="B47" s="102" t="str">
        <f>IF($A47="","",[1]!thsiFinD("ths_adjustment_nv_fund",B$3,$A47))</f>
        <v/>
      </c>
      <c r="C47" s="102" t="str">
        <f>IF($A47="","",[1]!thsiFinD("ths_adjustment_nv_fund",C$3,$A47))</f>
        <v/>
      </c>
      <c r="D47" s="102" t="str">
        <f>IF($A47="","",[1]!thsiFinD("ths_adjustment_nv_fund",D$3,$A47))</f>
        <v/>
      </c>
      <c r="E47" s="102" t="str">
        <f>IF($A47="","",[1]!thsiFinD("ths_adjustment_nv_fund",E$3,$A47))</f>
        <v/>
      </c>
      <c r="F47" s="102" t="str">
        <f>IF($A47="","",[1]!thsiFinD("ths_adjustment_nv_fund",F$3,$A47))</f>
        <v/>
      </c>
      <c r="G47" s="102" t="str">
        <f>IF($A47="","",[1]!thsiFinD("ths_adjustment_nv_fund",G$3,$A47))</f>
        <v/>
      </c>
      <c r="H47" s="102" t="str">
        <f>IF($A47="","",[1]!thsiFinD("ths_adjustment_nv_fund",H$3,$A47))</f>
        <v/>
      </c>
      <c r="I47" s="102" t="str">
        <f>IF($A47="","",[1]!thsiFinD("ths_adjustment_nv_fund",I$3,$A47))</f>
        <v/>
      </c>
      <c r="J47" s="102" t="str">
        <f>IF($A47="","",[1]!thsiFinD("ths_adjustment_nv_fund",J$3,$A47))</f>
        <v/>
      </c>
      <c r="K47" s="102" t="str">
        <f>IF($A47="","",[1]!thsiFinD("ths_adjustment_nv_fund",K$3,$A47))</f>
        <v/>
      </c>
      <c r="L47" s="102" t="str">
        <f>IF($A47="","",[1]!thsiFinD("ths_adjustment_nv_fund",L$3,$A47))</f>
        <v/>
      </c>
      <c r="M47" s="102" t="str">
        <f>IF($A47="","",[1]!thsiFinD("ths_adjustment_nv_fund",M$3,$A47))</f>
        <v/>
      </c>
      <c r="N47" s="102" t="str">
        <f>IF($A47="","",[1]!thsiFinD("ths_adjustment_nv_fund",N$3,$A47))</f>
        <v/>
      </c>
      <c r="O47" s="102" t="str">
        <f>IF($A47="","",[1]!thsiFinD("ths_adjustment_nv_fund",O$3,$A47))</f>
        <v/>
      </c>
      <c r="P47" s="102" t="str">
        <f>IF($A47="","",[1]!thsiFinD("ths_adjustment_nv_fund",P$3,$A47))</f>
        <v/>
      </c>
      <c r="Q47" s="102" t="str">
        <f>IF($A47="","",[1]!thsiFinD("ths_adjustment_nv_fund",Q$3,$A47))</f>
        <v/>
      </c>
      <c r="R47" s="102" t="str">
        <f>IF($A47="","",[1]!thsiFinD("ths_adjustment_nv_fund",R$3,$A47))</f>
        <v/>
      </c>
      <c r="S47" s="102" t="str">
        <f>IF($A47="","",[1]!thsiFinD("ths_adjustment_nv_fund",S$3,$A47))</f>
        <v/>
      </c>
      <c r="T47" s="102" t="str">
        <f>IF($A47="","",[1]!thsiFinD("ths_adjustment_nv_fund",T$3,$A47))</f>
        <v/>
      </c>
      <c r="U47" s="102" t="str">
        <f>IF($A47="","",[1]!thsiFinD("ths_adjustment_nv_fund",U$3,$A47))</f>
        <v/>
      </c>
      <c r="V47" s="102" t="str">
        <f>IF($A47="","",[1]!thsiFinD("ths_adjustment_nv_fund",V$3,$A47))</f>
        <v/>
      </c>
      <c r="W47" s="102" t="str">
        <f>IF($A47="","",[1]!thsiFinD("ths_adjustment_nv_fund",W$3,$A47))</f>
        <v/>
      </c>
      <c r="X47" s="102" t="str">
        <f>IF($A47="","",[1]!thsiFinD("ths_adjustment_nv_fund",X$3,$A47))</f>
        <v/>
      </c>
    </row>
    <row r="48" spans="1:24" x14ac:dyDescent="0.25">
      <c r="A48" s="101"/>
      <c r="B48" s="102" t="str">
        <f>IF($A48="","",[1]!thsiFinD("ths_adjustment_nv_fund",B$3,$A48))</f>
        <v/>
      </c>
      <c r="C48" s="102" t="str">
        <f>IF($A48="","",[1]!thsiFinD("ths_adjustment_nv_fund",C$3,$A48))</f>
        <v/>
      </c>
      <c r="D48" s="102" t="str">
        <f>IF($A48="","",[1]!thsiFinD("ths_adjustment_nv_fund",D$3,$A48))</f>
        <v/>
      </c>
      <c r="E48" s="102" t="str">
        <f>IF($A48="","",[1]!thsiFinD("ths_adjustment_nv_fund",E$3,$A48))</f>
        <v/>
      </c>
      <c r="F48" s="102" t="str">
        <f>IF($A48="","",[1]!thsiFinD("ths_adjustment_nv_fund",F$3,$A48))</f>
        <v/>
      </c>
      <c r="G48" s="102" t="str">
        <f>IF($A48="","",[1]!thsiFinD("ths_adjustment_nv_fund",G$3,$A48))</f>
        <v/>
      </c>
      <c r="H48" s="102" t="str">
        <f>IF($A48="","",[1]!thsiFinD("ths_adjustment_nv_fund",H$3,$A48))</f>
        <v/>
      </c>
      <c r="I48" s="102" t="str">
        <f>IF($A48="","",[1]!thsiFinD("ths_adjustment_nv_fund",I$3,$A48))</f>
        <v/>
      </c>
      <c r="J48" s="102" t="str">
        <f>IF($A48="","",[1]!thsiFinD("ths_adjustment_nv_fund",J$3,$A48))</f>
        <v/>
      </c>
      <c r="K48" s="102" t="str">
        <f>IF($A48="","",[1]!thsiFinD("ths_adjustment_nv_fund",K$3,$A48))</f>
        <v/>
      </c>
      <c r="L48" s="102" t="str">
        <f>IF($A48="","",[1]!thsiFinD("ths_adjustment_nv_fund",L$3,$A48))</f>
        <v/>
      </c>
      <c r="M48" s="102" t="str">
        <f>IF($A48="","",[1]!thsiFinD("ths_adjustment_nv_fund",M$3,$A48))</f>
        <v/>
      </c>
      <c r="N48" s="102" t="str">
        <f>IF($A48="","",[1]!thsiFinD("ths_adjustment_nv_fund",N$3,$A48))</f>
        <v/>
      </c>
      <c r="O48" s="102" t="str">
        <f>IF($A48="","",[1]!thsiFinD("ths_adjustment_nv_fund",O$3,$A48))</f>
        <v/>
      </c>
      <c r="P48" s="102" t="str">
        <f>IF($A48="","",[1]!thsiFinD("ths_adjustment_nv_fund",P$3,$A48))</f>
        <v/>
      </c>
      <c r="Q48" s="102" t="str">
        <f>IF($A48="","",[1]!thsiFinD("ths_adjustment_nv_fund",Q$3,$A48))</f>
        <v/>
      </c>
      <c r="R48" s="102" t="str">
        <f>IF($A48="","",[1]!thsiFinD("ths_adjustment_nv_fund",R$3,$A48))</f>
        <v/>
      </c>
      <c r="S48" s="102" t="str">
        <f>IF($A48="","",[1]!thsiFinD("ths_adjustment_nv_fund",S$3,$A48))</f>
        <v/>
      </c>
      <c r="T48" s="102" t="str">
        <f>IF($A48="","",[1]!thsiFinD("ths_adjustment_nv_fund",T$3,$A48))</f>
        <v/>
      </c>
      <c r="U48" s="102" t="str">
        <f>IF($A48="","",[1]!thsiFinD("ths_adjustment_nv_fund",U$3,$A48))</f>
        <v/>
      </c>
      <c r="V48" s="102" t="str">
        <f>IF($A48="","",[1]!thsiFinD("ths_adjustment_nv_fund",V$3,$A48))</f>
        <v/>
      </c>
      <c r="W48" s="102" t="str">
        <f>IF($A48="","",[1]!thsiFinD("ths_adjustment_nv_fund",W$3,$A48))</f>
        <v/>
      </c>
      <c r="X48" s="102" t="str">
        <f>IF($A48="","",[1]!thsiFinD("ths_adjustment_nv_fund",X$3,$A48))</f>
        <v/>
      </c>
    </row>
    <row r="49" spans="1:24" x14ac:dyDescent="0.25">
      <c r="A49" s="101"/>
      <c r="B49" s="102" t="str">
        <f>IF($A49="","",[1]!thsiFinD("ths_adjustment_nv_fund",B$3,$A49))</f>
        <v/>
      </c>
      <c r="C49" s="102" t="str">
        <f>IF($A49="","",[1]!thsiFinD("ths_adjustment_nv_fund",C$3,$A49))</f>
        <v/>
      </c>
      <c r="D49" s="102" t="str">
        <f>IF($A49="","",[1]!thsiFinD("ths_adjustment_nv_fund",D$3,$A49))</f>
        <v/>
      </c>
      <c r="E49" s="102" t="str">
        <f>IF($A49="","",[1]!thsiFinD("ths_adjustment_nv_fund",E$3,$A49))</f>
        <v/>
      </c>
      <c r="F49" s="102" t="str">
        <f>IF($A49="","",[1]!thsiFinD("ths_adjustment_nv_fund",F$3,$A49))</f>
        <v/>
      </c>
      <c r="G49" s="102" t="str">
        <f>IF($A49="","",[1]!thsiFinD("ths_adjustment_nv_fund",G$3,$A49))</f>
        <v/>
      </c>
      <c r="H49" s="102" t="str">
        <f>IF($A49="","",[1]!thsiFinD("ths_adjustment_nv_fund",H$3,$A49))</f>
        <v/>
      </c>
      <c r="I49" s="102" t="str">
        <f>IF($A49="","",[1]!thsiFinD("ths_adjustment_nv_fund",I$3,$A49))</f>
        <v/>
      </c>
      <c r="J49" s="102" t="str">
        <f>IF($A49="","",[1]!thsiFinD("ths_adjustment_nv_fund",J$3,$A49))</f>
        <v/>
      </c>
      <c r="K49" s="102" t="str">
        <f>IF($A49="","",[1]!thsiFinD("ths_adjustment_nv_fund",K$3,$A49))</f>
        <v/>
      </c>
      <c r="L49" s="102" t="str">
        <f>IF($A49="","",[1]!thsiFinD("ths_adjustment_nv_fund",L$3,$A49))</f>
        <v/>
      </c>
      <c r="M49" s="102" t="str">
        <f>IF($A49="","",[1]!thsiFinD("ths_adjustment_nv_fund",M$3,$A49))</f>
        <v/>
      </c>
      <c r="N49" s="102" t="str">
        <f>IF($A49="","",[1]!thsiFinD("ths_adjustment_nv_fund",N$3,$A49))</f>
        <v/>
      </c>
      <c r="O49" s="102" t="str">
        <f>IF($A49="","",[1]!thsiFinD("ths_adjustment_nv_fund",O$3,$A49))</f>
        <v/>
      </c>
      <c r="P49" s="102" t="str">
        <f>IF($A49="","",[1]!thsiFinD("ths_adjustment_nv_fund",P$3,$A49))</f>
        <v/>
      </c>
      <c r="Q49" s="102" t="str">
        <f>IF($A49="","",[1]!thsiFinD("ths_adjustment_nv_fund",Q$3,$A49))</f>
        <v/>
      </c>
      <c r="R49" s="102" t="str">
        <f>IF($A49="","",[1]!thsiFinD("ths_adjustment_nv_fund",R$3,$A49))</f>
        <v/>
      </c>
      <c r="S49" s="102" t="str">
        <f>IF($A49="","",[1]!thsiFinD("ths_adjustment_nv_fund",S$3,$A49))</f>
        <v/>
      </c>
      <c r="T49" s="102" t="str">
        <f>IF($A49="","",[1]!thsiFinD("ths_adjustment_nv_fund",T$3,$A49))</f>
        <v/>
      </c>
      <c r="U49" s="102" t="str">
        <f>IF($A49="","",[1]!thsiFinD("ths_adjustment_nv_fund",U$3,$A49))</f>
        <v/>
      </c>
      <c r="V49" s="102" t="str">
        <f>IF($A49="","",[1]!thsiFinD("ths_adjustment_nv_fund",V$3,$A49))</f>
        <v/>
      </c>
      <c r="W49" s="102" t="str">
        <f>IF($A49="","",[1]!thsiFinD("ths_adjustment_nv_fund",W$3,$A49))</f>
        <v/>
      </c>
      <c r="X49" s="102" t="str">
        <f>IF($A49="","",[1]!thsiFinD("ths_adjustment_nv_fund",X$3,$A49))</f>
        <v/>
      </c>
    </row>
    <row r="50" spans="1:24" x14ac:dyDescent="0.25">
      <c r="A50" s="101"/>
      <c r="B50" s="102" t="str">
        <f>IF($A50="","",[1]!thsiFinD("ths_adjustment_nv_fund",B$3,$A50))</f>
        <v/>
      </c>
      <c r="C50" s="102" t="str">
        <f>IF($A50="","",[1]!thsiFinD("ths_adjustment_nv_fund",C$3,$A50))</f>
        <v/>
      </c>
      <c r="D50" s="102" t="str">
        <f>IF($A50="","",[1]!thsiFinD("ths_adjustment_nv_fund",D$3,$A50))</f>
        <v/>
      </c>
      <c r="E50" s="102" t="str">
        <f>IF($A50="","",[1]!thsiFinD("ths_adjustment_nv_fund",E$3,$A50))</f>
        <v/>
      </c>
      <c r="F50" s="102" t="str">
        <f>IF($A50="","",[1]!thsiFinD("ths_adjustment_nv_fund",F$3,$A50))</f>
        <v/>
      </c>
      <c r="G50" s="102" t="str">
        <f>IF($A50="","",[1]!thsiFinD("ths_adjustment_nv_fund",G$3,$A50))</f>
        <v/>
      </c>
      <c r="H50" s="102" t="str">
        <f>IF($A50="","",[1]!thsiFinD("ths_adjustment_nv_fund",H$3,$A50))</f>
        <v/>
      </c>
      <c r="I50" s="102" t="str">
        <f>IF($A50="","",[1]!thsiFinD("ths_adjustment_nv_fund",I$3,$A50))</f>
        <v/>
      </c>
      <c r="J50" s="102" t="str">
        <f>IF($A50="","",[1]!thsiFinD("ths_adjustment_nv_fund",J$3,$A50))</f>
        <v/>
      </c>
      <c r="K50" s="102" t="str">
        <f>IF($A50="","",[1]!thsiFinD("ths_adjustment_nv_fund",K$3,$A50))</f>
        <v/>
      </c>
      <c r="L50" s="102" t="str">
        <f>IF($A50="","",[1]!thsiFinD("ths_adjustment_nv_fund",L$3,$A50))</f>
        <v/>
      </c>
      <c r="M50" s="102" t="str">
        <f>IF($A50="","",[1]!thsiFinD("ths_adjustment_nv_fund",M$3,$A50))</f>
        <v/>
      </c>
      <c r="N50" s="102" t="str">
        <f>IF($A50="","",[1]!thsiFinD("ths_adjustment_nv_fund",N$3,$A50))</f>
        <v/>
      </c>
      <c r="O50" s="102" t="str">
        <f>IF($A50="","",[1]!thsiFinD("ths_adjustment_nv_fund",O$3,$A50))</f>
        <v/>
      </c>
      <c r="P50" s="102" t="str">
        <f>IF($A50="","",[1]!thsiFinD("ths_adjustment_nv_fund",P$3,$A50))</f>
        <v/>
      </c>
      <c r="Q50" s="102" t="str">
        <f>IF($A50="","",[1]!thsiFinD("ths_adjustment_nv_fund",Q$3,$A50))</f>
        <v/>
      </c>
      <c r="R50" s="102" t="str">
        <f>IF($A50="","",[1]!thsiFinD("ths_adjustment_nv_fund",R$3,$A50))</f>
        <v/>
      </c>
      <c r="S50" s="102" t="str">
        <f>IF($A50="","",[1]!thsiFinD("ths_adjustment_nv_fund",S$3,$A50))</f>
        <v/>
      </c>
      <c r="T50" s="102" t="str">
        <f>IF($A50="","",[1]!thsiFinD("ths_adjustment_nv_fund",T$3,$A50))</f>
        <v/>
      </c>
      <c r="U50" s="102" t="str">
        <f>IF($A50="","",[1]!thsiFinD("ths_adjustment_nv_fund",U$3,$A50))</f>
        <v/>
      </c>
      <c r="V50" s="102" t="str">
        <f>IF($A50="","",[1]!thsiFinD("ths_adjustment_nv_fund",V$3,$A50))</f>
        <v/>
      </c>
      <c r="W50" s="102" t="str">
        <f>IF($A50="","",[1]!thsiFinD("ths_adjustment_nv_fund",W$3,$A50))</f>
        <v/>
      </c>
      <c r="X50" s="102" t="str">
        <f>IF($A50="","",[1]!thsiFinD("ths_adjustment_nv_fund",X$3,$A50))</f>
        <v/>
      </c>
    </row>
    <row r="51" spans="1:24" x14ac:dyDescent="0.25">
      <c r="A51" s="101"/>
      <c r="B51" s="102" t="str">
        <f>IF($A51="","",[1]!thsiFinD("ths_adjustment_nv_fund",B$3,$A51))</f>
        <v/>
      </c>
      <c r="C51" s="102" t="str">
        <f>IF($A51="","",[1]!thsiFinD("ths_adjustment_nv_fund",C$3,$A51))</f>
        <v/>
      </c>
      <c r="D51" s="102" t="str">
        <f>IF($A51="","",[1]!thsiFinD("ths_adjustment_nv_fund",D$3,$A51))</f>
        <v/>
      </c>
      <c r="E51" s="102" t="str">
        <f>IF($A51="","",[1]!thsiFinD("ths_adjustment_nv_fund",E$3,$A51))</f>
        <v/>
      </c>
      <c r="F51" s="102" t="str">
        <f>IF($A51="","",[1]!thsiFinD("ths_adjustment_nv_fund",F$3,$A51))</f>
        <v/>
      </c>
      <c r="G51" s="102" t="str">
        <f>IF($A51="","",[1]!thsiFinD("ths_adjustment_nv_fund",G$3,$A51))</f>
        <v/>
      </c>
      <c r="H51" s="102" t="str">
        <f>IF($A51="","",[1]!thsiFinD("ths_adjustment_nv_fund",H$3,$A51))</f>
        <v/>
      </c>
      <c r="I51" s="102" t="str">
        <f>IF($A51="","",[1]!thsiFinD("ths_adjustment_nv_fund",I$3,$A51))</f>
        <v/>
      </c>
      <c r="J51" s="102" t="str">
        <f>IF($A51="","",[1]!thsiFinD("ths_adjustment_nv_fund",J$3,$A51))</f>
        <v/>
      </c>
      <c r="K51" s="102" t="str">
        <f>IF($A51="","",[1]!thsiFinD("ths_adjustment_nv_fund",K$3,$A51))</f>
        <v/>
      </c>
      <c r="L51" s="102" t="str">
        <f>IF($A51="","",[1]!thsiFinD("ths_adjustment_nv_fund",L$3,$A51))</f>
        <v/>
      </c>
      <c r="M51" s="102" t="str">
        <f>IF($A51="","",[1]!thsiFinD("ths_adjustment_nv_fund",M$3,$A51))</f>
        <v/>
      </c>
      <c r="N51" s="102" t="str">
        <f>IF($A51="","",[1]!thsiFinD("ths_adjustment_nv_fund",N$3,$A51))</f>
        <v/>
      </c>
      <c r="O51" s="102" t="str">
        <f>IF($A51="","",[1]!thsiFinD("ths_adjustment_nv_fund",O$3,$A51))</f>
        <v/>
      </c>
      <c r="P51" s="102" t="str">
        <f>IF($A51="","",[1]!thsiFinD("ths_adjustment_nv_fund",P$3,$A51))</f>
        <v/>
      </c>
      <c r="Q51" s="102" t="str">
        <f>IF($A51="","",[1]!thsiFinD("ths_adjustment_nv_fund",Q$3,$A51))</f>
        <v/>
      </c>
      <c r="R51" s="102" t="str">
        <f>IF($A51="","",[1]!thsiFinD("ths_adjustment_nv_fund",R$3,$A51))</f>
        <v/>
      </c>
      <c r="S51" s="102" t="str">
        <f>IF($A51="","",[1]!thsiFinD("ths_adjustment_nv_fund",S$3,$A51))</f>
        <v/>
      </c>
      <c r="T51" s="102" t="str">
        <f>IF($A51="","",[1]!thsiFinD("ths_adjustment_nv_fund",T$3,$A51))</f>
        <v/>
      </c>
      <c r="U51" s="102" t="str">
        <f>IF($A51="","",[1]!thsiFinD("ths_adjustment_nv_fund",U$3,$A51))</f>
        <v/>
      </c>
      <c r="V51" s="102" t="str">
        <f>IF($A51="","",[1]!thsiFinD("ths_adjustment_nv_fund",V$3,$A51))</f>
        <v/>
      </c>
      <c r="W51" s="102" t="str">
        <f>IF($A51="","",[1]!thsiFinD("ths_adjustment_nv_fund",W$3,$A51))</f>
        <v/>
      </c>
      <c r="X51" s="102" t="str">
        <f>IF($A51="","",[1]!thsiFinD("ths_adjustment_nv_fund",X$3,$A51))</f>
        <v/>
      </c>
    </row>
    <row r="52" spans="1:24" x14ac:dyDescent="0.25">
      <c r="A52" s="101"/>
      <c r="B52" s="102" t="str">
        <f>IF($A52="","",[1]!thsiFinD("ths_adjustment_nv_fund",B$3,$A52))</f>
        <v/>
      </c>
      <c r="C52" s="102" t="str">
        <f>IF($A52="","",[1]!thsiFinD("ths_adjustment_nv_fund",C$3,$A52))</f>
        <v/>
      </c>
      <c r="D52" s="102" t="str">
        <f>IF($A52="","",[1]!thsiFinD("ths_adjustment_nv_fund",D$3,$A52))</f>
        <v/>
      </c>
      <c r="E52" s="102" t="str">
        <f>IF($A52="","",[1]!thsiFinD("ths_adjustment_nv_fund",E$3,$A52))</f>
        <v/>
      </c>
      <c r="F52" s="102" t="str">
        <f>IF($A52="","",[1]!thsiFinD("ths_adjustment_nv_fund",F$3,$A52))</f>
        <v/>
      </c>
      <c r="G52" s="102" t="str">
        <f>IF($A52="","",[1]!thsiFinD("ths_adjustment_nv_fund",G$3,$A52))</f>
        <v/>
      </c>
      <c r="H52" s="102" t="str">
        <f>IF($A52="","",[1]!thsiFinD("ths_adjustment_nv_fund",H$3,$A52))</f>
        <v/>
      </c>
      <c r="I52" s="102" t="str">
        <f>IF($A52="","",[1]!thsiFinD("ths_adjustment_nv_fund",I$3,$A52))</f>
        <v/>
      </c>
      <c r="J52" s="102" t="str">
        <f>IF($A52="","",[1]!thsiFinD("ths_adjustment_nv_fund",J$3,$A52))</f>
        <v/>
      </c>
      <c r="K52" s="102" t="str">
        <f>IF($A52="","",[1]!thsiFinD("ths_adjustment_nv_fund",K$3,$A52))</f>
        <v/>
      </c>
      <c r="L52" s="102" t="str">
        <f>IF($A52="","",[1]!thsiFinD("ths_adjustment_nv_fund",L$3,$A52))</f>
        <v/>
      </c>
      <c r="M52" s="102" t="str">
        <f>IF($A52="","",[1]!thsiFinD("ths_adjustment_nv_fund",M$3,$A52))</f>
        <v/>
      </c>
      <c r="N52" s="102" t="str">
        <f>IF($A52="","",[1]!thsiFinD("ths_adjustment_nv_fund",N$3,$A52))</f>
        <v/>
      </c>
      <c r="O52" s="102" t="str">
        <f>IF($A52="","",[1]!thsiFinD("ths_adjustment_nv_fund",O$3,$A52))</f>
        <v/>
      </c>
      <c r="P52" s="102" t="str">
        <f>IF($A52="","",[1]!thsiFinD("ths_adjustment_nv_fund",P$3,$A52))</f>
        <v/>
      </c>
      <c r="Q52" s="102" t="str">
        <f>IF($A52="","",[1]!thsiFinD("ths_adjustment_nv_fund",Q$3,$A52))</f>
        <v/>
      </c>
      <c r="R52" s="102" t="str">
        <f>IF($A52="","",[1]!thsiFinD("ths_adjustment_nv_fund",R$3,$A52))</f>
        <v/>
      </c>
      <c r="S52" s="102" t="str">
        <f>IF($A52="","",[1]!thsiFinD("ths_adjustment_nv_fund",S$3,$A52))</f>
        <v/>
      </c>
      <c r="T52" s="102" t="str">
        <f>IF($A52="","",[1]!thsiFinD("ths_adjustment_nv_fund",T$3,$A52))</f>
        <v/>
      </c>
      <c r="U52" s="102" t="str">
        <f>IF($A52="","",[1]!thsiFinD("ths_adjustment_nv_fund",U$3,$A52))</f>
        <v/>
      </c>
      <c r="V52" s="102" t="str">
        <f>IF($A52="","",[1]!thsiFinD("ths_adjustment_nv_fund",V$3,$A52))</f>
        <v/>
      </c>
      <c r="W52" s="102" t="str">
        <f>IF($A52="","",[1]!thsiFinD("ths_adjustment_nv_fund",W$3,$A52))</f>
        <v/>
      </c>
      <c r="X52" s="102" t="str">
        <f>IF($A52="","",[1]!thsiFinD("ths_adjustment_nv_fund",X$3,$A52))</f>
        <v/>
      </c>
    </row>
    <row r="53" spans="1:24" x14ac:dyDescent="0.25">
      <c r="A53" s="101"/>
      <c r="B53" s="102" t="str">
        <f>IF($A53="","",[1]!thsiFinD("ths_adjustment_nv_fund",B$3,$A53))</f>
        <v/>
      </c>
      <c r="C53" s="102" t="str">
        <f>IF($A53="","",[1]!thsiFinD("ths_adjustment_nv_fund",C$3,$A53))</f>
        <v/>
      </c>
      <c r="D53" s="102" t="str">
        <f>IF($A53="","",[1]!thsiFinD("ths_adjustment_nv_fund",D$3,$A53))</f>
        <v/>
      </c>
      <c r="E53" s="102" t="str">
        <f>IF($A53="","",[1]!thsiFinD("ths_adjustment_nv_fund",E$3,$A53))</f>
        <v/>
      </c>
      <c r="F53" s="102" t="str">
        <f>IF($A53="","",[1]!thsiFinD("ths_adjustment_nv_fund",F$3,$A53))</f>
        <v/>
      </c>
      <c r="G53" s="102" t="str">
        <f>IF($A53="","",[1]!thsiFinD("ths_adjustment_nv_fund",G$3,$A53))</f>
        <v/>
      </c>
      <c r="H53" s="102" t="str">
        <f>IF($A53="","",[1]!thsiFinD("ths_adjustment_nv_fund",H$3,$A53))</f>
        <v/>
      </c>
      <c r="I53" s="102" t="str">
        <f>IF($A53="","",[1]!thsiFinD("ths_adjustment_nv_fund",I$3,$A53))</f>
        <v/>
      </c>
      <c r="J53" s="102" t="str">
        <f>IF($A53="","",[1]!thsiFinD("ths_adjustment_nv_fund",J$3,$A53))</f>
        <v/>
      </c>
      <c r="K53" s="102" t="str">
        <f>IF($A53="","",[1]!thsiFinD("ths_adjustment_nv_fund",K$3,$A53))</f>
        <v/>
      </c>
      <c r="L53" s="102" t="str">
        <f>IF($A53="","",[1]!thsiFinD("ths_adjustment_nv_fund",L$3,$A53))</f>
        <v/>
      </c>
      <c r="M53" s="102" t="str">
        <f>IF($A53="","",[1]!thsiFinD("ths_adjustment_nv_fund",M$3,$A53))</f>
        <v/>
      </c>
      <c r="N53" s="102" t="str">
        <f>IF($A53="","",[1]!thsiFinD("ths_adjustment_nv_fund",N$3,$A53))</f>
        <v/>
      </c>
      <c r="O53" s="102" t="str">
        <f>IF($A53="","",[1]!thsiFinD("ths_adjustment_nv_fund",O$3,$A53))</f>
        <v/>
      </c>
      <c r="P53" s="102" t="str">
        <f>IF($A53="","",[1]!thsiFinD("ths_adjustment_nv_fund",P$3,$A53))</f>
        <v/>
      </c>
      <c r="Q53" s="102" t="str">
        <f>IF($A53="","",[1]!thsiFinD("ths_adjustment_nv_fund",Q$3,$A53))</f>
        <v/>
      </c>
      <c r="R53" s="102" t="str">
        <f>IF($A53="","",[1]!thsiFinD("ths_adjustment_nv_fund",R$3,$A53))</f>
        <v/>
      </c>
      <c r="S53" s="102" t="str">
        <f>IF($A53="","",[1]!thsiFinD("ths_adjustment_nv_fund",S$3,$A53))</f>
        <v/>
      </c>
      <c r="T53" s="102" t="str">
        <f>IF($A53="","",[1]!thsiFinD("ths_adjustment_nv_fund",T$3,$A53))</f>
        <v/>
      </c>
      <c r="U53" s="102" t="str">
        <f>IF($A53="","",[1]!thsiFinD("ths_adjustment_nv_fund",U$3,$A53))</f>
        <v/>
      </c>
      <c r="V53" s="102" t="str">
        <f>IF($A53="","",[1]!thsiFinD("ths_adjustment_nv_fund",V$3,$A53))</f>
        <v/>
      </c>
      <c r="W53" s="102" t="str">
        <f>IF($A53="","",[1]!thsiFinD("ths_adjustment_nv_fund",W$3,$A53))</f>
        <v/>
      </c>
      <c r="X53" s="102" t="str">
        <f>IF($A53="","",[1]!thsiFinD("ths_adjustment_nv_fund",X$3,$A53))</f>
        <v/>
      </c>
    </row>
    <row r="54" spans="1:24" x14ac:dyDescent="0.25">
      <c r="A54" s="101"/>
      <c r="B54" s="102" t="str">
        <f>IF($A54="","",[1]!thsiFinD("ths_adjustment_nv_fund",B$3,$A54))</f>
        <v/>
      </c>
      <c r="C54" s="102" t="str">
        <f>IF($A54="","",[1]!thsiFinD("ths_adjustment_nv_fund",C$3,$A54))</f>
        <v/>
      </c>
      <c r="D54" s="102" t="str">
        <f>IF($A54="","",[1]!thsiFinD("ths_adjustment_nv_fund",D$3,$A54))</f>
        <v/>
      </c>
      <c r="E54" s="102" t="str">
        <f>IF($A54="","",[1]!thsiFinD("ths_adjustment_nv_fund",E$3,$A54))</f>
        <v/>
      </c>
      <c r="F54" s="102" t="str">
        <f>IF($A54="","",[1]!thsiFinD("ths_adjustment_nv_fund",F$3,$A54))</f>
        <v/>
      </c>
      <c r="G54" s="102" t="str">
        <f>IF($A54="","",[1]!thsiFinD("ths_adjustment_nv_fund",G$3,$A54))</f>
        <v/>
      </c>
      <c r="H54" s="102" t="str">
        <f>IF($A54="","",[1]!thsiFinD("ths_adjustment_nv_fund",H$3,$A54))</f>
        <v/>
      </c>
      <c r="I54" s="102" t="str">
        <f>IF($A54="","",[1]!thsiFinD("ths_adjustment_nv_fund",I$3,$A54))</f>
        <v/>
      </c>
      <c r="J54" s="102" t="str">
        <f>IF($A54="","",[1]!thsiFinD("ths_adjustment_nv_fund",J$3,$A54))</f>
        <v/>
      </c>
      <c r="K54" s="102" t="str">
        <f>IF($A54="","",[1]!thsiFinD("ths_adjustment_nv_fund",K$3,$A54))</f>
        <v/>
      </c>
      <c r="L54" s="102" t="str">
        <f>IF($A54="","",[1]!thsiFinD("ths_adjustment_nv_fund",L$3,$A54))</f>
        <v/>
      </c>
      <c r="M54" s="102" t="str">
        <f>IF($A54="","",[1]!thsiFinD("ths_adjustment_nv_fund",M$3,$A54))</f>
        <v/>
      </c>
      <c r="N54" s="102" t="str">
        <f>IF($A54="","",[1]!thsiFinD("ths_adjustment_nv_fund",N$3,$A54))</f>
        <v/>
      </c>
      <c r="O54" s="102" t="str">
        <f>IF($A54="","",[1]!thsiFinD("ths_adjustment_nv_fund",O$3,$A54))</f>
        <v/>
      </c>
      <c r="P54" s="102" t="str">
        <f>IF($A54="","",[1]!thsiFinD("ths_adjustment_nv_fund",P$3,$A54))</f>
        <v/>
      </c>
      <c r="Q54" s="102" t="str">
        <f>IF($A54="","",[1]!thsiFinD("ths_adjustment_nv_fund",Q$3,$A54))</f>
        <v/>
      </c>
      <c r="R54" s="102" t="str">
        <f>IF($A54="","",[1]!thsiFinD("ths_adjustment_nv_fund",R$3,$A54))</f>
        <v/>
      </c>
      <c r="S54" s="102" t="str">
        <f>IF($A54="","",[1]!thsiFinD("ths_adjustment_nv_fund",S$3,$A54))</f>
        <v/>
      </c>
      <c r="T54" s="102" t="str">
        <f>IF($A54="","",[1]!thsiFinD("ths_adjustment_nv_fund",T$3,$A54))</f>
        <v/>
      </c>
      <c r="U54" s="102" t="str">
        <f>IF($A54="","",[1]!thsiFinD("ths_adjustment_nv_fund",U$3,$A54))</f>
        <v/>
      </c>
      <c r="V54" s="102" t="str">
        <f>IF($A54="","",[1]!thsiFinD("ths_adjustment_nv_fund",V$3,$A54))</f>
        <v/>
      </c>
      <c r="W54" s="102" t="str">
        <f>IF($A54="","",[1]!thsiFinD("ths_adjustment_nv_fund",W$3,$A54))</f>
        <v/>
      </c>
      <c r="X54" s="102" t="str">
        <f>IF($A54="","",[1]!thsiFinD("ths_adjustment_nv_fund",X$3,$A54))</f>
        <v/>
      </c>
    </row>
    <row r="55" spans="1:24" x14ac:dyDescent="0.25">
      <c r="A55" s="101"/>
      <c r="B55" s="102" t="str">
        <f>IF($A55="","",[1]!thsiFinD("ths_adjustment_nv_fund",B$3,$A55))</f>
        <v/>
      </c>
      <c r="C55" s="102" t="str">
        <f>IF($A55="","",[1]!thsiFinD("ths_adjustment_nv_fund",C$3,$A55))</f>
        <v/>
      </c>
      <c r="D55" s="102" t="str">
        <f>IF($A55="","",[1]!thsiFinD("ths_adjustment_nv_fund",D$3,$A55))</f>
        <v/>
      </c>
      <c r="E55" s="102" t="str">
        <f>IF($A55="","",[1]!thsiFinD("ths_adjustment_nv_fund",E$3,$A55))</f>
        <v/>
      </c>
      <c r="F55" s="102" t="str">
        <f>IF($A55="","",[1]!thsiFinD("ths_adjustment_nv_fund",F$3,$A55))</f>
        <v/>
      </c>
      <c r="G55" s="102" t="str">
        <f>IF($A55="","",[1]!thsiFinD("ths_adjustment_nv_fund",G$3,$A55))</f>
        <v/>
      </c>
      <c r="H55" s="102" t="str">
        <f>IF($A55="","",[1]!thsiFinD("ths_adjustment_nv_fund",H$3,$A55))</f>
        <v/>
      </c>
      <c r="I55" s="102" t="str">
        <f>IF($A55="","",[1]!thsiFinD("ths_adjustment_nv_fund",I$3,$A55))</f>
        <v/>
      </c>
      <c r="J55" s="102" t="str">
        <f>IF($A55="","",[1]!thsiFinD("ths_adjustment_nv_fund",J$3,$A55))</f>
        <v/>
      </c>
      <c r="K55" s="102" t="str">
        <f>IF($A55="","",[1]!thsiFinD("ths_adjustment_nv_fund",K$3,$A55))</f>
        <v/>
      </c>
      <c r="L55" s="102" t="str">
        <f>IF($A55="","",[1]!thsiFinD("ths_adjustment_nv_fund",L$3,$A55))</f>
        <v/>
      </c>
      <c r="M55" s="102" t="str">
        <f>IF($A55="","",[1]!thsiFinD("ths_adjustment_nv_fund",M$3,$A55))</f>
        <v/>
      </c>
      <c r="N55" s="102" t="str">
        <f>IF($A55="","",[1]!thsiFinD("ths_adjustment_nv_fund",N$3,$A55))</f>
        <v/>
      </c>
      <c r="O55" s="102" t="str">
        <f>IF($A55="","",[1]!thsiFinD("ths_adjustment_nv_fund",O$3,$A55))</f>
        <v/>
      </c>
      <c r="P55" s="102" t="str">
        <f>IF($A55="","",[1]!thsiFinD("ths_adjustment_nv_fund",P$3,$A55))</f>
        <v/>
      </c>
      <c r="Q55" s="102" t="str">
        <f>IF($A55="","",[1]!thsiFinD("ths_adjustment_nv_fund",Q$3,$A55))</f>
        <v/>
      </c>
      <c r="R55" s="102" t="str">
        <f>IF($A55="","",[1]!thsiFinD("ths_adjustment_nv_fund",R$3,$A55))</f>
        <v/>
      </c>
      <c r="S55" s="102" t="str">
        <f>IF($A55="","",[1]!thsiFinD("ths_adjustment_nv_fund",S$3,$A55))</f>
        <v/>
      </c>
      <c r="T55" s="102" t="str">
        <f>IF($A55="","",[1]!thsiFinD("ths_adjustment_nv_fund",T$3,$A55))</f>
        <v/>
      </c>
      <c r="U55" s="102" t="str">
        <f>IF($A55="","",[1]!thsiFinD("ths_adjustment_nv_fund",U$3,$A55))</f>
        <v/>
      </c>
      <c r="V55" s="102" t="str">
        <f>IF($A55="","",[1]!thsiFinD("ths_adjustment_nv_fund",V$3,$A55))</f>
        <v/>
      </c>
      <c r="W55" s="102" t="str">
        <f>IF($A55="","",[1]!thsiFinD("ths_adjustment_nv_fund",W$3,$A55))</f>
        <v/>
      </c>
      <c r="X55" s="102" t="str">
        <f>IF($A55="","",[1]!thsiFinD("ths_adjustment_nv_fund",X$3,$A55))</f>
        <v/>
      </c>
    </row>
    <row r="56" spans="1:24" x14ac:dyDescent="0.25">
      <c r="A56" s="101"/>
      <c r="B56" s="102" t="str">
        <f>IF($A56="","",[1]!thsiFinD("ths_adjustment_nv_fund",B$3,$A56))</f>
        <v/>
      </c>
      <c r="C56" s="102" t="str">
        <f>IF($A56="","",[1]!thsiFinD("ths_adjustment_nv_fund",C$3,$A56))</f>
        <v/>
      </c>
      <c r="D56" s="102" t="str">
        <f>IF($A56="","",[1]!thsiFinD("ths_adjustment_nv_fund",D$3,$A56))</f>
        <v/>
      </c>
      <c r="E56" s="102" t="str">
        <f>IF($A56="","",[1]!thsiFinD("ths_adjustment_nv_fund",E$3,$A56))</f>
        <v/>
      </c>
      <c r="F56" s="102" t="str">
        <f>IF($A56="","",[1]!thsiFinD("ths_adjustment_nv_fund",F$3,$A56))</f>
        <v/>
      </c>
      <c r="G56" s="102" t="str">
        <f>IF($A56="","",[1]!thsiFinD("ths_adjustment_nv_fund",G$3,$A56))</f>
        <v/>
      </c>
      <c r="H56" s="102" t="str">
        <f>IF($A56="","",[1]!thsiFinD("ths_adjustment_nv_fund",H$3,$A56))</f>
        <v/>
      </c>
      <c r="I56" s="102" t="str">
        <f>IF($A56="","",[1]!thsiFinD("ths_adjustment_nv_fund",I$3,$A56))</f>
        <v/>
      </c>
      <c r="J56" s="102" t="str">
        <f>IF($A56="","",[1]!thsiFinD("ths_adjustment_nv_fund",J$3,$A56))</f>
        <v/>
      </c>
      <c r="K56" s="102" t="str">
        <f>IF($A56="","",[1]!thsiFinD("ths_adjustment_nv_fund",K$3,$A56))</f>
        <v/>
      </c>
      <c r="L56" s="102" t="str">
        <f>IF($A56="","",[1]!thsiFinD("ths_adjustment_nv_fund",L$3,$A56))</f>
        <v/>
      </c>
      <c r="M56" s="102" t="str">
        <f>IF($A56="","",[1]!thsiFinD("ths_adjustment_nv_fund",M$3,$A56))</f>
        <v/>
      </c>
      <c r="N56" s="102" t="str">
        <f>IF($A56="","",[1]!thsiFinD("ths_adjustment_nv_fund",N$3,$A56))</f>
        <v/>
      </c>
      <c r="O56" s="102" t="str">
        <f>IF($A56="","",[1]!thsiFinD("ths_adjustment_nv_fund",O$3,$A56))</f>
        <v/>
      </c>
      <c r="P56" s="102" t="str">
        <f>IF($A56="","",[1]!thsiFinD("ths_adjustment_nv_fund",P$3,$A56))</f>
        <v/>
      </c>
      <c r="Q56" s="102" t="str">
        <f>IF($A56="","",[1]!thsiFinD("ths_adjustment_nv_fund",Q$3,$A56))</f>
        <v/>
      </c>
      <c r="R56" s="102" t="str">
        <f>IF($A56="","",[1]!thsiFinD("ths_adjustment_nv_fund",R$3,$A56))</f>
        <v/>
      </c>
      <c r="S56" s="102" t="str">
        <f>IF($A56="","",[1]!thsiFinD("ths_adjustment_nv_fund",S$3,$A56))</f>
        <v/>
      </c>
      <c r="T56" s="102" t="str">
        <f>IF($A56="","",[1]!thsiFinD("ths_adjustment_nv_fund",T$3,$A56))</f>
        <v/>
      </c>
      <c r="U56" s="102" t="str">
        <f>IF($A56="","",[1]!thsiFinD("ths_adjustment_nv_fund",U$3,$A56))</f>
        <v/>
      </c>
      <c r="V56" s="102" t="str">
        <f>IF($A56="","",[1]!thsiFinD("ths_adjustment_nv_fund",V$3,$A56))</f>
        <v/>
      </c>
      <c r="W56" s="102" t="str">
        <f>IF($A56="","",[1]!thsiFinD("ths_adjustment_nv_fund",W$3,$A56))</f>
        <v/>
      </c>
      <c r="X56" s="102" t="str">
        <f>IF($A56="","",[1]!thsiFinD("ths_adjustment_nv_fund",X$3,$A56))</f>
        <v/>
      </c>
    </row>
    <row r="57" spans="1:24" x14ac:dyDescent="0.25">
      <c r="A57" s="101"/>
      <c r="B57" s="102" t="str">
        <f>IF($A57="","",[1]!thsiFinD("ths_adjustment_nv_fund",B$3,$A57))</f>
        <v/>
      </c>
      <c r="C57" s="102" t="str">
        <f>IF($A57="","",[1]!thsiFinD("ths_adjustment_nv_fund",C$3,$A57))</f>
        <v/>
      </c>
      <c r="D57" s="102" t="str">
        <f>IF($A57="","",[1]!thsiFinD("ths_adjustment_nv_fund",D$3,$A57))</f>
        <v/>
      </c>
      <c r="E57" s="102" t="str">
        <f>IF($A57="","",[1]!thsiFinD("ths_adjustment_nv_fund",E$3,$A57))</f>
        <v/>
      </c>
      <c r="F57" s="102" t="str">
        <f>IF($A57="","",[1]!thsiFinD("ths_adjustment_nv_fund",F$3,$A57))</f>
        <v/>
      </c>
      <c r="G57" s="102" t="str">
        <f>IF($A57="","",[1]!thsiFinD("ths_adjustment_nv_fund",G$3,$A57))</f>
        <v/>
      </c>
      <c r="H57" s="102" t="str">
        <f>IF($A57="","",[1]!thsiFinD("ths_adjustment_nv_fund",H$3,$A57))</f>
        <v/>
      </c>
      <c r="I57" s="102" t="str">
        <f>IF($A57="","",[1]!thsiFinD("ths_adjustment_nv_fund",I$3,$A57))</f>
        <v/>
      </c>
      <c r="J57" s="102" t="str">
        <f>IF($A57="","",[1]!thsiFinD("ths_adjustment_nv_fund",J$3,$A57))</f>
        <v/>
      </c>
      <c r="K57" s="102" t="str">
        <f>IF($A57="","",[1]!thsiFinD("ths_adjustment_nv_fund",K$3,$A57))</f>
        <v/>
      </c>
      <c r="L57" s="102" t="str">
        <f>IF($A57="","",[1]!thsiFinD("ths_adjustment_nv_fund",L$3,$A57))</f>
        <v/>
      </c>
      <c r="M57" s="102" t="str">
        <f>IF($A57="","",[1]!thsiFinD("ths_adjustment_nv_fund",M$3,$A57))</f>
        <v/>
      </c>
      <c r="N57" s="102" t="str">
        <f>IF($A57="","",[1]!thsiFinD("ths_adjustment_nv_fund",N$3,$A57))</f>
        <v/>
      </c>
      <c r="O57" s="102" t="str">
        <f>IF($A57="","",[1]!thsiFinD("ths_adjustment_nv_fund",O$3,$A57))</f>
        <v/>
      </c>
      <c r="P57" s="102" t="str">
        <f>IF($A57="","",[1]!thsiFinD("ths_adjustment_nv_fund",P$3,$A57))</f>
        <v/>
      </c>
      <c r="Q57" s="102" t="str">
        <f>IF($A57="","",[1]!thsiFinD("ths_adjustment_nv_fund",Q$3,$A57))</f>
        <v/>
      </c>
      <c r="R57" s="102" t="str">
        <f>IF($A57="","",[1]!thsiFinD("ths_adjustment_nv_fund",R$3,$A57))</f>
        <v/>
      </c>
      <c r="S57" s="102" t="str">
        <f>IF($A57="","",[1]!thsiFinD("ths_adjustment_nv_fund",S$3,$A57))</f>
        <v/>
      </c>
      <c r="T57" s="102" t="str">
        <f>IF($A57="","",[1]!thsiFinD("ths_adjustment_nv_fund",T$3,$A57))</f>
        <v/>
      </c>
      <c r="U57" s="102" t="str">
        <f>IF($A57="","",[1]!thsiFinD("ths_adjustment_nv_fund",U$3,$A57))</f>
        <v/>
      </c>
      <c r="V57" s="102" t="str">
        <f>IF($A57="","",[1]!thsiFinD("ths_adjustment_nv_fund",V$3,$A57))</f>
        <v/>
      </c>
      <c r="W57" s="102" t="str">
        <f>IF($A57="","",[1]!thsiFinD("ths_adjustment_nv_fund",W$3,$A57))</f>
        <v/>
      </c>
      <c r="X57" s="102" t="str">
        <f>IF($A57="","",[1]!thsiFinD("ths_adjustment_nv_fund",X$3,$A57))</f>
        <v/>
      </c>
    </row>
    <row r="58" spans="1:24" x14ac:dyDescent="0.25">
      <c r="A58" s="101"/>
      <c r="B58" s="102" t="str">
        <f>IF($A58="","",[1]!thsiFinD("ths_adjustment_nv_fund",B$3,$A58))</f>
        <v/>
      </c>
      <c r="C58" s="102" t="str">
        <f>IF($A58="","",[1]!thsiFinD("ths_adjustment_nv_fund",C$3,$A58))</f>
        <v/>
      </c>
      <c r="D58" s="102" t="str">
        <f>IF($A58="","",[1]!thsiFinD("ths_adjustment_nv_fund",D$3,$A58))</f>
        <v/>
      </c>
      <c r="E58" s="102" t="str">
        <f>IF($A58="","",[1]!thsiFinD("ths_adjustment_nv_fund",E$3,$A58))</f>
        <v/>
      </c>
      <c r="F58" s="102" t="str">
        <f>IF($A58="","",[1]!thsiFinD("ths_adjustment_nv_fund",F$3,$A58))</f>
        <v/>
      </c>
      <c r="G58" s="102" t="str">
        <f>IF($A58="","",[1]!thsiFinD("ths_adjustment_nv_fund",G$3,$A58))</f>
        <v/>
      </c>
      <c r="H58" s="102" t="str">
        <f>IF($A58="","",[1]!thsiFinD("ths_adjustment_nv_fund",H$3,$A58))</f>
        <v/>
      </c>
      <c r="I58" s="102" t="str">
        <f>IF($A58="","",[1]!thsiFinD("ths_adjustment_nv_fund",I$3,$A58))</f>
        <v/>
      </c>
      <c r="J58" s="102" t="str">
        <f>IF($A58="","",[1]!thsiFinD("ths_adjustment_nv_fund",J$3,$A58))</f>
        <v/>
      </c>
      <c r="K58" s="102" t="str">
        <f>IF($A58="","",[1]!thsiFinD("ths_adjustment_nv_fund",K$3,$A58))</f>
        <v/>
      </c>
      <c r="L58" s="102" t="str">
        <f>IF($A58="","",[1]!thsiFinD("ths_adjustment_nv_fund",L$3,$A58))</f>
        <v/>
      </c>
      <c r="M58" s="102" t="str">
        <f>IF($A58="","",[1]!thsiFinD("ths_adjustment_nv_fund",M$3,$A58))</f>
        <v/>
      </c>
      <c r="N58" s="102" t="str">
        <f>IF($A58="","",[1]!thsiFinD("ths_adjustment_nv_fund",N$3,$A58))</f>
        <v/>
      </c>
      <c r="O58" s="102" t="str">
        <f>IF($A58="","",[1]!thsiFinD("ths_adjustment_nv_fund",O$3,$A58))</f>
        <v/>
      </c>
      <c r="P58" s="102" t="str">
        <f>IF($A58="","",[1]!thsiFinD("ths_adjustment_nv_fund",P$3,$A58))</f>
        <v/>
      </c>
      <c r="Q58" s="102" t="str">
        <f>IF($A58="","",[1]!thsiFinD("ths_adjustment_nv_fund",Q$3,$A58))</f>
        <v/>
      </c>
      <c r="R58" s="102" t="str">
        <f>IF($A58="","",[1]!thsiFinD("ths_adjustment_nv_fund",R$3,$A58))</f>
        <v/>
      </c>
      <c r="S58" s="102" t="str">
        <f>IF($A58="","",[1]!thsiFinD("ths_adjustment_nv_fund",S$3,$A58))</f>
        <v/>
      </c>
      <c r="T58" s="102" t="str">
        <f>IF($A58="","",[1]!thsiFinD("ths_adjustment_nv_fund",T$3,$A58))</f>
        <v/>
      </c>
      <c r="U58" s="102" t="str">
        <f>IF($A58="","",[1]!thsiFinD("ths_adjustment_nv_fund",U$3,$A58))</f>
        <v/>
      </c>
      <c r="V58" s="102" t="str">
        <f>IF($A58="","",[1]!thsiFinD("ths_adjustment_nv_fund",V$3,$A58))</f>
        <v/>
      </c>
      <c r="W58" s="102" t="str">
        <f>IF($A58="","",[1]!thsiFinD("ths_adjustment_nv_fund",W$3,$A58))</f>
        <v/>
      </c>
      <c r="X58" s="102" t="str">
        <f>IF($A58="","",[1]!thsiFinD("ths_adjustment_nv_fund",X$3,$A58))</f>
        <v/>
      </c>
    </row>
    <row r="59" spans="1:24" x14ac:dyDescent="0.25">
      <c r="A59" s="101"/>
      <c r="B59" s="102" t="str">
        <f>IF($A59="","",[1]!thsiFinD("ths_adjustment_nv_fund",B$3,$A59))</f>
        <v/>
      </c>
      <c r="C59" s="102" t="str">
        <f>IF($A59="","",[1]!thsiFinD("ths_adjustment_nv_fund",C$3,$A59))</f>
        <v/>
      </c>
      <c r="D59" s="102" t="str">
        <f>IF($A59="","",[1]!thsiFinD("ths_adjustment_nv_fund",D$3,$A59))</f>
        <v/>
      </c>
      <c r="E59" s="102" t="str">
        <f>IF($A59="","",[1]!thsiFinD("ths_adjustment_nv_fund",E$3,$A59))</f>
        <v/>
      </c>
      <c r="F59" s="102" t="str">
        <f>IF($A59="","",[1]!thsiFinD("ths_adjustment_nv_fund",F$3,$A59))</f>
        <v/>
      </c>
      <c r="G59" s="102" t="str">
        <f>IF($A59="","",[1]!thsiFinD("ths_adjustment_nv_fund",G$3,$A59))</f>
        <v/>
      </c>
      <c r="H59" s="102" t="str">
        <f>IF($A59="","",[1]!thsiFinD("ths_adjustment_nv_fund",H$3,$A59))</f>
        <v/>
      </c>
      <c r="I59" s="102" t="str">
        <f>IF($A59="","",[1]!thsiFinD("ths_adjustment_nv_fund",I$3,$A59))</f>
        <v/>
      </c>
      <c r="J59" s="102" t="str">
        <f>IF($A59="","",[1]!thsiFinD("ths_adjustment_nv_fund",J$3,$A59))</f>
        <v/>
      </c>
      <c r="K59" s="102" t="str">
        <f>IF($A59="","",[1]!thsiFinD("ths_adjustment_nv_fund",K$3,$A59))</f>
        <v/>
      </c>
      <c r="L59" s="102" t="str">
        <f>IF($A59="","",[1]!thsiFinD("ths_adjustment_nv_fund",L$3,$A59))</f>
        <v/>
      </c>
      <c r="M59" s="102" t="str">
        <f>IF($A59="","",[1]!thsiFinD("ths_adjustment_nv_fund",M$3,$A59))</f>
        <v/>
      </c>
      <c r="N59" s="102" t="str">
        <f>IF($A59="","",[1]!thsiFinD("ths_adjustment_nv_fund",N$3,$A59))</f>
        <v/>
      </c>
      <c r="O59" s="102" t="str">
        <f>IF($A59="","",[1]!thsiFinD("ths_adjustment_nv_fund",O$3,$A59))</f>
        <v/>
      </c>
      <c r="P59" s="102" t="str">
        <f>IF($A59="","",[1]!thsiFinD("ths_adjustment_nv_fund",P$3,$A59))</f>
        <v/>
      </c>
      <c r="Q59" s="102" t="str">
        <f>IF($A59="","",[1]!thsiFinD("ths_adjustment_nv_fund",Q$3,$A59))</f>
        <v/>
      </c>
      <c r="R59" s="102" t="str">
        <f>IF($A59="","",[1]!thsiFinD("ths_adjustment_nv_fund",R$3,$A59))</f>
        <v/>
      </c>
      <c r="S59" s="102" t="str">
        <f>IF($A59="","",[1]!thsiFinD("ths_adjustment_nv_fund",S$3,$A59))</f>
        <v/>
      </c>
      <c r="T59" s="102" t="str">
        <f>IF($A59="","",[1]!thsiFinD("ths_adjustment_nv_fund",T$3,$A59))</f>
        <v/>
      </c>
      <c r="U59" s="102" t="str">
        <f>IF($A59="","",[1]!thsiFinD("ths_adjustment_nv_fund",U$3,$A59))</f>
        <v/>
      </c>
      <c r="V59" s="102" t="str">
        <f>IF($A59="","",[1]!thsiFinD("ths_adjustment_nv_fund",V$3,$A59))</f>
        <v/>
      </c>
      <c r="W59" s="102" t="str">
        <f>IF($A59="","",[1]!thsiFinD("ths_adjustment_nv_fund",W$3,$A59))</f>
        <v/>
      </c>
      <c r="X59" s="102" t="str">
        <f>IF($A59="","",[1]!thsiFinD("ths_adjustment_nv_fund",X$3,$A59))</f>
        <v/>
      </c>
    </row>
    <row r="60" spans="1:24" x14ac:dyDescent="0.25">
      <c r="A60" s="101"/>
      <c r="B60" s="102" t="str">
        <f>IF($A60="","",[1]!thsiFinD("ths_adjustment_nv_fund",B$3,$A60))</f>
        <v/>
      </c>
      <c r="C60" s="102" t="str">
        <f>IF($A60="","",[1]!thsiFinD("ths_adjustment_nv_fund",C$3,$A60))</f>
        <v/>
      </c>
      <c r="D60" s="102" t="str">
        <f>IF($A60="","",[1]!thsiFinD("ths_adjustment_nv_fund",D$3,$A60))</f>
        <v/>
      </c>
      <c r="E60" s="102" t="str">
        <f>IF($A60="","",[1]!thsiFinD("ths_adjustment_nv_fund",E$3,$A60))</f>
        <v/>
      </c>
      <c r="F60" s="102" t="str">
        <f>IF($A60="","",[1]!thsiFinD("ths_adjustment_nv_fund",F$3,$A60))</f>
        <v/>
      </c>
      <c r="G60" s="102" t="str">
        <f>IF($A60="","",[1]!thsiFinD("ths_adjustment_nv_fund",G$3,$A60))</f>
        <v/>
      </c>
      <c r="H60" s="102" t="str">
        <f>IF($A60="","",[1]!thsiFinD("ths_adjustment_nv_fund",H$3,$A60))</f>
        <v/>
      </c>
      <c r="I60" s="102" t="str">
        <f>IF($A60="","",[1]!thsiFinD("ths_adjustment_nv_fund",I$3,$A60))</f>
        <v/>
      </c>
      <c r="J60" s="102" t="str">
        <f>IF($A60="","",[1]!thsiFinD("ths_adjustment_nv_fund",J$3,$A60))</f>
        <v/>
      </c>
      <c r="K60" s="102" t="str">
        <f>IF($A60="","",[1]!thsiFinD("ths_adjustment_nv_fund",K$3,$A60))</f>
        <v/>
      </c>
      <c r="L60" s="102" t="str">
        <f>IF($A60="","",[1]!thsiFinD("ths_adjustment_nv_fund",L$3,$A60))</f>
        <v/>
      </c>
      <c r="M60" s="102" t="str">
        <f>IF($A60="","",[1]!thsiFinD("ths_adjustment_nv_fund",M$3,$A60))</f>
        <v/>
      </c>
      <c r="N60" s="102" t="str">
        <f>IF($A60="","",[1]!thsiFinD("ths_adjustment_nv_fund",N$3,$A60))</f>
        <v/>
      </c>
      <c r="O60" s="102" t="str">
        <f>IF($A60="","",[1]!thsiFinD("ths_adjustment_nv_fund",O$3,$A60))</f>
        <v/>
      </c>
      <c r="P60" s="102" t="str">
        <f>IF($A60="","",[1]!thsiFinD("ths_adjustment_nv_fund",P$3,$A60))</f>
        <v/>
      </c>
      <c r="Q60" s="102" t="str">
        <f>IF($A60="","",[1]!thsiFinD("ths_adjustment_nv_fund",Q$3,$A60))</f>
        <v/>
      </c>
      <c r="R60" s="102" t="str">
        <f>IF($A60="","",[1]!thsiFinD("ths_adjustment_nv_fund",R$3,$A60))</f>
        <v/>
      </c>
      <c r="S60" s="102" t="str">
        <f>IF($A60="","",[1]!thsiFinD("ths_adjustment_nv_fund",S$3,$A60))</f>
        <v/>
      </c>
      <c r="T60" s="102" t="str">
        <f>IF($A60="","",[1]!thsiFinD("ths_adjustment_nv_fund",T$3,$A60))</f>
        <v/>
      </c>
      <c r="U60" s="102" t="str">
        <f>IF($A60="","",[1]!thsiFinD("ths_adjustment_nv_fund",U$3,$A60))</f>
        <v/>
      </c>
      <c r="V60" s="102" t="str">
        <f>IF($A60="","",[1]!thsiFinD("ths_adjustment_nv_fund",V$3,$A60))</f>
        <v/>
      </c>
      <c r="W60" s="102" t="str">
        <f>IF($A60="","",[1]!thsiFinD("ths_adjustment_nv_fund",W$3,$A60))</f>
        <v/>
      </c>
      <c r="X60" s="102" t="str">
        <f>IF($A60="","",[1]!thsiFinD("ths_adjustment_nv_fund",X$3,$A60))</f>
        <v/>
      </c>
    </row>
  </sheetData>
  <mergeCells count="1">
    <mergeCell ref="A1:D1"/>
  </mergeCells>
  <phoneticPr fontId="13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workbookViewId="0">
      <selection activeCell="B16" sqref="B16"/>
    </sheetView>
  </sheetViews>
  <sheetFormatPr defaultRowHeight="14" x14ac:dyDescent="0.25"/>
  <cols>
    <col min="1" max="1" width="12" style="55" customWidth="1"/>
    <col min="2" max="21" width="8.7265625" style="55" customWidth="1"/>
    <col min="22" max="22" width="13.54296875" style="55" bestFit="1" customWidth="1"/>
    <col min="23" max="23" width="8.7265625" style="55" customWidth="1"/>
    <col min="24" max="16384" width="8.7265625" style="55"/>
  </cols>
  <sheetData>
    <row r="1" spans="1:22" ht="19" customHeight="1" x14ac:dyDescent="0.25">
      <c r="A1" s="161" t="s">
        <v>170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22" ht="14" customHeight="1" x14ac:dyDescent="0.25">
      <c r="A2" s="136"/>
      <c r="B2" s="136"/>
      <c r="C2" s="136"/>
      <c r="D2" s="136"/>
      <c r="E2" s="136"/>
      <c r="F2" s="136"/>
      <c r="G2" s="136"/>
      <c r="H2" s="136"/>
      <c r="I2" s="136"/>
      <c r="J2" s="136"/>
    </row>
    <row r="3" spans="1:22" ht="42" customHeight="1" x14ac:dyDescent="0.25">
      <c r="B3" s="56" t="s">
        <v>171</v>
      </c>
      <c r="E3" s="56" t="s">
        <v>172</v>
      </c>
      <c r="H3" s="56" t="s">
        <v>173</v>
      </c>
      <c r="K3" s="56" t="s">
        <v>52</v>
      </c>
      <c r="N3" s="56" t="s">
        <v>174</v>
      </c>
      <c r="Q3" s="56" t="s">
        <v>54</v>
      </c>
    </row>
    <row r="4" spans="1:22" x14ac:dyDescent="0.25">
      <c r="A4" s="58" t="s">
        <v>56</v>
      </c>
      <c r="B4" s="58" t="s">
        <v>57</v>
      </c>
      <c r="C4" s="58" t="s">
        <v>58</v>
      </c>
      <c r="D4" s="58" t="s">
        <v>59</v>
      </c>
      <c r="E4" s="58" t="s">
        <v>57</v>
      </c>
      <c r="F4" s="58" t="s">
        <v>58</v>
      </c>
      <c r="G4" s="58" t="s">
        <v>59</v>
      </c>
      <c r="H4" s="58" t="s">
        <v>57</v>
      </c>
      <c r="I4" s="58" t="s">
        <v>58</v>
      </c>
      <c r="J4" s="58" t="s">
        <v>59</v>
      </c>
      <c r="K4" s="58" t="s">
        <v>57</v>
      </c>
      <c r="L4" s="58" t="s">
        <v>58</v>
      </c>
      <c r="M4" s="58" t="s">
        <v>59</v>
      </c>
      <c r="N4" s="58" t="s">
        <v>57</v>
      </c>
      <c r="O4" s="58" t="s">
        <v>58</v>
      </c>
      <c r="P4" s="58" t="s">
        <v>59</v>
      </c>
      <c r="Q4" s="58" t="s">
        <v>57</v>
      </c>
      <c r="R4" s="58" t="s">
        <v>58</v>
      </c>
      <c r="S4" s="58" t="s">
        <v>59</v>
      </c>
    </row>
    <row r="5" spans="1:22" x14ac:dyDescent="0.25">
      <c r="A5" s="103">
        <f>IF('实盘净值数据(iFinD公式)'!A5="","",'实盘净值数据(iFinD公式)'!A5)</f>
        <v>46191</v>
      </c>
      <c r="B5" s="10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52"/>
      <c r="D5" s="52" t="str">
        <f>IF(B5="","",B5/MAX(B$5:B5)-1)</f>
        <v/>
      </c>
      <c r="E5" s="102">
        <v>1</v>
      </c>
      <c r="F5" s="52"/>
      <c r="G5" s="52">
        <f>IF(E5="","",E5/MAX(E$5:E5)-1)</f>
        <v>0</v>
      </c>
      <c r="H5" s="10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52"/>
      <c r="J5" s="52" t="str">
        <f>IF(H5="","",H5/MAX(H$5:H5)-1)</f>
        <v/>
      </c>
      <c r="K5" s="10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52"/>
      <c r="M5" s="52" t="str">
        <f>IF(K5="","",K5/MAX(K$5:K5)-1)</f>
        <v/>
      </c>
      <c r="N5" s="102">
        <v>1</v>
      </c>
      <c r="O5" s="52"/>
      <c r="P5" s="52">
        <f>IF(N5="","",N5/MAX(N$5:N5)-1)</f>
        <v>0</v>
      </c>
      <c r="Q5" s="10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52"/>
      <c r="S5" s="52" t="str">
        <f>IF(Q5="","",Q5/MAX(Q$5:Q5)-1)</f>
        <v/>
      </c>
      <c r="U5" s="53"/>
    </row>
    <row r="6" spans="1:22" x14ac:dyDescent="0.25">
      <c r="A6" s="103">
        <f>IF('实盘净值数据(iFinD公式)'!A6="","",'实盘净值数据(iFinD公式)'!A6)</f>
        <v>46195</v>
      </c>
      <c r="B6" s="102">
        <v>1</v>
      </c>
      <c r="C6" s="52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52">
        <f>IF(B6="","",B6/MAX(B$5:B6)-1)</f>
        <v>0</v>
      </c>
      <c r="E6" s="10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52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52">
        <f>IF(E6="","",E6/MAX(E$5:E6)-1)</f>
        <v>0</v>
      </c>
      <c r="H6" s="10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52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52" t="str">
        <f>IF(H6="","",H6/MAX(H$5:H6)-1)</f>
        <v/>
      </c>
      <c r="K6" s="10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52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52" t="str">
        <f>IF(K6="","",K6/MAX(K$5:K6)-1)</f>
        <v/>
      </c>
      <c r="N6" s="10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52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52">
        <f>IF(N6="","",N6/MAX(N$5:N6)-1)</f>
        <v>0</v>
      </c>
      <c r="Q6" s="10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52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52" t="str">
        <f>IF(Q6="","",Q6/MAX(Q$5:Q6)-1)</f>
        <v/>
      </c>
      <c r="U6" s="53"/>
      <c r="V6" s="104"/>
    </row>
    <row r="7" spans="1:22" x14ac:dyDescent="0.25">
      <c r="A7" s="103">
        <f>IF('实盘净值数据(iFinD公式)'!A7="","",'实盘净值数据(iFinD公式)'!A7)</f>
        <v>46196</v>
      </c>
      <c r="B7" s="10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52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52">
        <f>IF(B7="","",B7/MAX(B$5:B7)-1)</f>
        <v>-1.9576811882263123E-2</v>
      </c>
      <c r="E7" s="10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52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52">
        <f>IF(E7="","",E7/MAX(E$5:E7)-1)</f>
        <v>-1.9639287031092634E-2</v>
      </c>
      <c r="H7" s="102">
        <v>1</v>
      </c>
      <c r="I7" s="52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52">
        <f>IF(H7="","",H7/MAX(H$5:H7)-1)</f>
        <v>0</v>
      </c>
      <c r="K7" s="10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52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52" t="str">
        <f>IF(K7="","",K7/MAX(K$5:K7)-1)</f>
        <v/>
      </c>
      <c r="N7" s="10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52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52">
        <f>IF(N7="","",N7/MAX(N$5:N7)-1)</f>
        <v>-3.0701438246731882E-3</v>
      </c>
      <c r="Q7" s="10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52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52" t="str">
        <f>IF(Q7="","",Q7/MAX(Q$5:Q7)-1)</f>
        <v/>
      </c>
      <c r="U7" s="53"/>
      <c r="V7" s="104"/>
    </row>
    <row r="8" spans="1:22" x14ac:dyDescent="0.25">
      <c r="A8" s="103">
        <f>IF('实盘净值数据(iFinD公式)'!A8="","",'实盘净值数据(iFinD公式)'!A8)</f>
        <v>46197</v>
      </c>
      <c r="B8" s="10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52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52">
        <f>IF(B8="","",B8/MAX(B$5:B8)-1)</f>
        <v>0</v>
      </c>
      <c r="E8" s="10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52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52">
        <f>IF(E8="","",E8/MAX(E$5:E8)-1)</f>
        <v>0</v>
      </c>
      <c r="H8" s="10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52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52">
        <f>IF(H8="","",H8/MAX(H$5:H8)-1)</f>
        <v>0</v>
      </c>
      <c r="K8" s="102">
        <v>1</v>
      </c>
      <c r="L8" s="52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52">
        <f>IF(K8="","",K8/MAX(K$5:K8)-1)</f>
        <v>0</v>
      </c>
      <c r="N8" s="10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52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52">
        <f>IF(N8="","",N8/MAX(N$5:N8)-1)</f>
        <v>-1.123956258613501E-3</v>
      </c>
      <c r="Q8" s="102">
        <v>1</v>
      </c>
      <c r="R8" s="52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52">
        <f>IF(Q8="","",Q8/MAX(Q$5:Q8)-1)</f>
        <v>0</v>
      </c>
      <c r="U8" s="53"/>
      <c r="V8" s="104"/>
    </row>
    <row r="9" spans="1:22" x14ac:dyDescent="0.25">
      <c r="A9" s="103">
        <f>IF('实盘净值数据(iFinD公式)'!A9="","",'实盘净值数据(iFinD公式)'!A9)</f>
        <v>46198</v>
      </c>
      <c r="B9" s="10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52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52">
        <f>IF(B9="","",B9/MAX(B$5:B9)-1)</f>
        <v>0</v>
      </c>
      <c r="E9" s="10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52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52">
        <f>IF(E9="","",E9/MAX(E$5:E9)-1)</f>
        <v>0</v>
      </c>
      <c r="H9" s="10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52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52">
        <f>IF(H9="","",H9/MAX(H$5:H9)-1)</f>
        <v>0</v>
      </c>
      <c r="K9" s="10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52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52">
        <f>IF(K9="","",K9/MAX(K$5:K9)-1)</f>
        <v>0</v>
      </c>
      <c r="N9" s="10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52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52">
        <f>IF(N9="","",N9/MAX(N$5:N9)-1)</f>
        <v>0</v>
      </c>
      <c r="Q9" s="10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52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52">
        <f>IF(Q9="","",Q9/MAX(Q$5:Q9)-1)</f>
        <v>0</v>
      </c>
      <c r="U9" s="53"/>
      <c r="V9" s="104"/>
    </row>
    <row r="10" spans="1:22" x14ac:dyDescent="0.25">
      <c r="A10" s="103">
        <f>IF('实盘净值数据(iFinD公式)'!A10="","",'实盘净值数据(iFinD公式)'!A10)</f>
        <v>46199</v>
      </c>
      <c r="B10" s="10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52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52">
        <f>IF(B10="","",B10/MAX(B$5:B10)-1)</f>
        <v>-2.8584129290150528E-2</v>
      </c>
      <c r="E10" s="10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52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52">
        <f>IF(E10="","",E10/MAX(E$5:E10)-1)</f>
        <v>-2.8678714678834427E-2</v>
      </c>
      <c r="H10" s="10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52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52">
        <f>IF(H10="","",H10/MAX(H$5:H10)-1)</f>
        <v>-2.1843224420047047E-2</v>
      </c>
      <c r="K10" s="10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52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52">
        <f>IF(K10="","",K10/MAX(K$5:K10)-1)</f>
        <v>-1.9292327668095632E-3</v>
      </c>
      <c r="N10" s="10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52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52">
        <f>IF(N10="","",N10/MAX(N$5:N10)-1)</f>
        <v>-2.3451843484806334E-3</v>
      </c>
      <c r="Q10" s="10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52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52">
        <f>IF(Q10="","",Q10/MAX(Q$5:Q10)-1)</f>
        <v>-6.7383921468432417E-3</v>
      </c>
      <c r="U10" s="53"/>
      <c r="V10" s="104"/>
    </row>
    <row r="11" spans="1:22" x14ac:dyDescent="0.25">
      <c r="A11" s="103">
        <f>IF('实盘净值数据(iFinD公式)'!A11="","",'实盘净值数据(iFinD公式)'!A11)</f>
        <v>46202</v>
      </c>
      <c r="B11" s="10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52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52">
        <f>IF(B11="","",B11/MAX(B$5:B11)-1)</f>
        <v>-1.906200466530128E-2</v>
      </c>
      <c r="E11" s="10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52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52">
        <f>IF(E11="","",E11/MAX(E$5:E11)-1)</f>
        <v>-1.9261833577678411E-2</v>
      </c>
      <c r="H11" s="10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52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52">
        <f>IF(H11="","",H11/MAX(H$5:H11)-1)</f>
        <v>-5.2115522572828699E-3</v>
      </c>
      <c r="K11" s="10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52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52">
        <f>IF(K11="","",K11/MAX(K$5:K11)-1)</f>
        <v>-3.2787890697050237E-5</v>
      </c>
      <c r="N11" s="10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52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52">
        <f>IF(N11="","",N11/MAX(N$5:N11)-1)</f>
        <v>-7.5596622946594305E-4</v>
      </c>
      <c r="Q11" s="10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52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52">
        <f>IF(Q11="","",Q11/MAX(Q$5:Q11)-1)</f>
        <v>-2.9807596670892167E-3</v>
      </c>
      <c r="U11" s="53"/>
      <c r="V11" s="104"/>
    </row>
    <row r="12" spans="1:22" x14ac:dyDescent="0.25">
      <c r="A12" s="103">
        <f>IF('实盘净值数据(iFinD公式)'!A12="","",'实盘净值数据(iFinD公式)'!A12)</f>
        <v>46203</v>
      </c>
      <c r="B12" s="10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52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52">
        <f>IF(B12="","",B12/MAX(B$5:B12)-1)</f>
        <v>0</v>
      </c>
      <c r="E12" s="10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52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52">
        <f>IF(E12="","",E12/MAX(E$5:E12)-1)</f>
        <v>0</v>
      </c>
      <c r="H12" s="10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52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52">
        <f>IF(H12="","",H12/MAX(H$5:H12)-1)</f>
        <v>0</v>
      </c>
      <c r="K12" s="10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52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52">
        <f>IF(K12="","",K12/MAX(K$5:K12)-1)</f>
        <v>0</v>
      </c>
      <c r="N12" s="10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52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52">
        <f>IF(N12="","",N12/MAX(N$5:N12)-1)</f>
        <v>0</v>
      </c>
      <c r="Q12" s="10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52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52">
        <f>IF(Q12="","",Q12/MAX(Q$5:Q12)-1)</f>
        <v>0</v>
      </c>
    </row>
    <row r="13" spans="1:22" x14ac:dyDescent="0.25">
      <c r="A13" s="103">
        <f>IF('实盘净值数据(iFinD公式)'!A13="","",'实盘净值数据(iFinD公式)'!A13)</f>
        <v>46204</v>
      </c>
      <c r="B13" s="10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52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52">
        <f>IF(B13="","",B13/MAX(B$5:B13)-1)</f>
        <v>-3.0870027483991924E-2</v>
      </c>
      <c r="E13" s="10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52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52">
        <f>IF(E13="","",E13/MAX(E$5:E13)-1)</f>
        <v>-3.0900612830832785E-2</v>
      </c>
      <c r="H13" s="10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52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52">
        <f>IF(H13="","",H13/MAX(H$5:H13)-1)</f>
        <v>-2.5266743143412707E-2</v>
      </c>
      <c r="K13" s="10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52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52">
        <f>IF(K13="","",K13/MAX(K$5:K13)-1)</f>
        <v>-2.3999339248744755E-3</v>
      </c>
      <c r="N13" s="10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52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52">
        <f>IF(N13="","",N13/MAX(N$5:N13)-1)</f>
        <v>-2.7184045698386283E-3</v>
      </c>
      <c r="Q13" s="10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52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52">
        <f>IF(Q13="","",Q13/MAX(Q$5:Q13)-1)</f>
        <v>-4.8042294589777379E-3</v>
      </c>
    </row>
    <row r="14" spans="1:22" x14ac:dyDescent="0.25">
      <c r="A14" s="103">
        <f>IF('实盘净值数据(iFinD公式)'!A14="","",'实盘净值数据(iFinD公式)'!A14)</f>
        <v>46205</v>
      </c>
      <c r="B14" s="10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52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52">
        <f>IF(B14="","",B14/MAX(B$5:B14)-1)</f>
        <v>-0.1159306900182373</v>
      </c>
      <c r="E14" s="10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52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52">
        <f>IF(E14="","",E14/MAX(E$5:E14)-1)</f>
        <v>-0.1159450994611253</v>
      </c>
      <c r="H14" s="10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52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52">
        <f>IF(H14="","",H14/MAX(H$5:H14)-1)</f>
        <v>-0.10790116064802879</v>
      </c>
      <c r="K14" s="10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  <v>0.99622661698050385</v>
      </c>
      <c r="L14" s="52">
        <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f>
        <v>-4.6335857799928437E-3</v>
      </c>
      <c r="M14" s="52">
        <f>IF(K14="","",K14/MAX(K$5:K14)-1)</f>
        <v>-7.0223994051600291E-3</v>
      </c>
      <c r="N14" s="10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  <v>0.99500921957550981</v>
      </c>
      <c r="O14" s="52">
        <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f>
        <v>-4.975225518628279E-3</v>
      </c>
      <c r="P14" s="52">
        <f>IF(N14="","",N14/MAX(N$5:N14)-1)</f>
        <v>-7.6801054126810486E-3</v>
      </c>
      <c r="Q14" s="10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  <v>0.9888117738223815</v>
      </c>
      <c r="R14" s="52">
        <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f>
        <v>-1.5044864934041891E-2</v>
      </c>
      <c r="S14" s="52">
        <f>IF(Q14="","",Q14/MAX(Q$5:Q14)-1)</f>
        <v>-1.9776815409697002E-2</v>
      </c>
    </row>
    <row r="15" spans="1:22" x14ac:dyDescent="0.25">
      <c r="A15" s="103">
        <f>IF('实盘净值数据(iFinD公式)'!A15="","",'实盘净值数据(iFinD公式)'!A15)</f>
        <v>46206</v>
      </c>
      <c r="B15" s="102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52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52">
        <f>IF(B15="","",B15/MAX(B$5:B15)-1)</f>
        <v>-0.12246282929446495</v>
      </c>
      <c r="E15" s="102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52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52">
        <f>IF(E15="","",E15/MAX(E$5:E15)-1)</f>
        <v>-0.12244782097566653</v>
      </c>
      <c r="H15" s="102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52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52">
        <f>IF(H15="","",H15/MAX(H$5:H15)-1)</f>
        <v>-0.1105904160573119</v>
      </c>
      <c r="K15" s="102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  <v>0.99750069028847732</v>
      </c>
      <c r="L15" s="52">
        <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f>
        <v>1.2788990840606473E-3</v>
      </c>
      <c r="M15" s="52">
        <f>IF(K15="","",K15/MAX(K$5:K15)-1)</f>
        <v>-5.7524812612662624E-3</v>
      </c>
      <c r="N15" s="102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  <v>0.99600192862311665</v>
      </c>
      <c r="O15" s="52">
        <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f>
        <v>9.9768829079849297E-4</v>
      </c>
      <c r="P15" s="52">
        <f>IF(N15="","",N15/MAX(N$5:N15)-1)</f>
        <v>-6.6900794731250546E-3</v>
      </c>
      <c r="Q15" s="102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  <v>0.9917715833370685</v>
      </c>
      <c r="R15" s="52">
        <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f>
        <v>2.9932992234158462E-3</v>
      </c>
      <c r="S15" s="52">
        <f>IF(Q15="","",Q15/MAX(Q$5:Q15)-1)</f>
        <v>-1.684271411248861E-2</v>
      </c>
    </row>
    <row r="16" spans="1:22" x14ac:dyDescent="0.25">
      <c r="A16" s="103">
        <f>IF('实盘净值数据(iFinD公式)'!A16="","",'实盘净值数据(iFinD公式)'!A16)</f>
        <v>46209</v>
      </c>
      <c r="B16" s="102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52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52">
        <f>IF(B16="","",B16/MAX(B$5:B16)-1)</f>
        <v>-0.13979285690804522</v>
      </c>
      <c r="E16" s="102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52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52">
        <f>IF(E16="","",E16/MAX(E$5:E16)-1)</f>
        <v>-0.13981445743752197</v>
      </c>
      <c r="H16" s="102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52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52">
        <f>IF(H16="","",H16/MAX(H$5:H16)-1)</f>
        <v>-0.12571181931724251</v>
      </c>
      <c r="K16" s="102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  <v>0.99665017911000708</v>
      </c>
      <c r="L16" s="52">
        <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f>
        <v>-8.5264219538960795E-4</v>
      </c>
      <c r="M16" s="52">
        <f>IF(K16="","",K16/MAX(K$5:K16)-1)</f>
        <v>-6.6002186484044323E-3</v>
      </c>
      <c r="N16" s="102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  <v>0.99504279696484055</v>
      </c>
      <c r="O16" s="52">
        <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f>
        <v>-9.6298172795927783E-4</v>
      </c>
      <c r="P16" s="52">
        <f>IF(N16="","",N16/MAX(N$5:N16)-1)</f>
        <v>-7.6466187767929572E-3</v>
      </c>
      <c r="Q16" s="102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  <v>0.98808224140551593</v>
      </c>
      <c r="R16" s="52">
        <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f>
        <v>-3.71995124032376E-3</v>
      </c>
      <c r="S16" s="52">
        <f>IF(Q16="","",Q16/MAX(Q$5:Q16)-1)</f>
        <v>-2.0500011277559183E-2</v>
      </c>
    </row>
    <row r="17" spans="1:19" x14ac:dyDescent="0.25">
      <c r="A17" s="103">
        <f>IF('实盘净值数据(iFinD公式)'!A17="","",'实盘净值数据(iFinD公式)'!A17)</f>
        <v>46210</v>
      </c>
      <c r="B17" s="102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52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52">
        <f>IF(B17="","",B17/MAX(B$5:B17)-1)</f>
        <v>-0.13388628352884135</v>
      </c>
      <c r="E17" s="102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52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52">
        <f>IF(E17="","",E17/MAX(E$5:E17)-1)</f>
        <v>-0.13390606957949125</v>
      </c>
      <c r="H17" s="102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52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52">
        <f>IF(H17="","",H17/MAX(H$5:H17)-1)</f>
        <v>-0.12317315838462051</v>
      </c>
      <c r="K17" s="102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  <v>0.99564271904439117</v>
      </c>
      <c r="L17" s="52">
        <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f>
        <v>-1.010846219398287E-3</v>
      </c>
      <c r="M17" s="52">
        <f>IF(K17="","",K17/MAX(K$5:K17)-1)</f>
        <v>-7.60439306173466E-3</v>
      </c>
      <c r="N17" s="102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  <v>0.99425420888875904</v>
      </c>
      <c r="O17" s="52">
        <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f>
        <v>-7.9251674248270731E-4</v>
      </c>
      <c r="P17" s="52">
        <f>IF(N17="","",N17/MAX(N$5:N17)-1)</f>
        <v>-8.433075445871685E-3</v>
      </c>
      <c r="Q17" s="102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  <v>0.98517669835191279</v>
      </c>
      <c r="R17" s="52">
        <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f>
        <v>-2.9405882747879364E-3</v>
      </c>
      <c r="S17" s="52">
        <f>IF(Q17="","",Q17/MAX(Q$5:Q17)-1)</f>
        <v>-2.338031745955127E-2</v>
      </c>
    </row>
    <row r="18" spans="1:19" x14ac:dyDescent="0.25">
      <c r="A18" s="103">
        <f>IF('实盘净值数据(iFinD公式)'!A18="","",'实盘净值数据(iFinD公式)'!A18)</f>
        <v>46211</v>
      </c>
      <c r="B18" s="102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0.9309019725890858</v>
      </c>
      <c r="C18" s="52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-4.1406369609475746E-5</v>
      </c>
      <c r="D18" s="52">
        <f>IF(B18="","",B18/MAX(B$5:B18)-1)</f>
        <v>-0.13392214615350939</v>
      </c>
      <c r="E18" s="102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0.95244392614701145</v>
      </c>
      <c r="F18" s="52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-3.3075018034955939E-5</v>
      </c>
      <c r="G18" s="52">
        <f>IF(E18="","",E18/MAX(E$5:E18)-1)</f>
        <v>-0.13393471565185977</v>
      </c>
      <c r="H18" s="102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0.97473390891424572</v>
      </c>
      <c r="I18" s="52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-4.1406369609475746E-5</v>
      </c>
      <c r="J18" s="52">
        <f>IF(H18="","",H18/MAX(H$5:H18)-1)</f>
        <v>-0.12320946460090798</v>
      </c>
      <c r="K18" s="102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  <v>0.99562080922171603</v>
      </c>
      <c r="L18" s="52">
        <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f>
        <v>-2.2005707726369117E-5</v>
      </c>
      <c r="M18" s="52">
        <f>IF(K18="","",K18/MAX(K$5:K18)-1)</f>
        <v>-7.6262314294098799E-3</v>
      </c>
      <c r="N18" s="102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  <v>0.99424055489811625</v>
      </c>
      <c r="O18" s="52">
        <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f>
        <v>-1.3732897000240385E-5</v>
      </c>
      <c r="P18" s="52">
        <f>IF(N18="","",N18/MAX(N$5:N18)-1)</f>
        <v>-8.4466925323155584E-3</v>
      </c>
      <c r="Q18" s="102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  <v>0.98514411361484711</v>
      </c>
      <c r="R18" s="52">
        <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f>
        <v>-3.3075018034955939E-5</v>
      </c>
      <c r="S18" s="52">
        <f>IF(Q18="","",Q18/MAX(Q$5:Q18)-1)</f>
        <v>-2.3412619173164617E-2</v>
      </c>
    </row>
    <row r="19" spans="1:19" x14ac:dyDescent="0.25">
      <c r="A19" s="103" t="str">
        <f>IF('实盘净值数据(iFinD公式)'!A19="","",'实盘净值数据(iFinD公式)'!A19)</f>
        <v/>
      </c>
      <c r="B19" s="102" t="str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52" t="str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52" t="str">
        <f>IF(B19="","",B19/MAX(B$5:B19)-1)</f>
        <v/>
      </c>
      <c r="E19" s="102" t="str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52" t="str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52" t="str">
        <f>IF(E19="","",E19/MAX(E$5:E19)-1)</f>
        <v/>
      </c>
      <c r="H19" s="102" t="str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52" t="str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52" t="str">
        <f>IF(H19="","",H19/MAX(H$5:H19)-1)</f>
        <v/>
      </c>
      <c r="K19" s="102" t="str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  <v/>
      </c>
      <c r="L19" s="52" t="str">
        <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f>
        <v/>
      </c>
      <c r="M19" s="52" t="str">
        <f>IF(K19="","",K19/MAX(K$5:K19)-1)</f>
        <v/>
      </c>
      <c r="N19" s="102" t="str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  <v/>
      </c>
      <c r="O19" s="52" t="str">
        <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f>
        <v/>
      </c>
      <c r="P19" s="52" t="str">
        <f>IF(N19="","",N19/MAX(N$5:N19)-1)</f>
        <v/>
      </c>
      <c r="Q19" s="102" t="str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  <v/>
      </c>
      <c r="R19" s="52" t="str">
        <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f>
        <v/>
      </c>
      <c r="S19" s="52" t="str">
        <f>IF(Q19="","",Q19/MAX(Q$5:Q19)-1)</f>
        <v/>
      </c>
    </row>
    <row r="20" spans="1:19" x14ac:dyDescent="0.25">
      <c r="A20" s="103" t="str">
        <f>IF('实盘净值数据(iFinD公式)'!A20="","",'实盘净值数据(iFinD公式)'!A20)</f>
        <v/>
      </c>
      <c r="B20" s="102" t="str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52" t="str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52" t="str">
        <f>IF(B20="","",B20/MAX(B$5:B20)-1)</f>
        <v/>
      </c>
      <c r="E20" s="102" t="str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52" t="str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52" t="str">
        <f>IF(E20="","",E20/MAX(E$5:E20)-1)</f>
        <v/>
      </c>
      <c r="H20" s="102" t="str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52" t="str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52" t="str">
        <f>IF(H20="","",H20/MAX(H$5:H20)-1)</f>
        <v/>
      </c>
      <c r="K20" s="102" t="str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  <v/>
      </c>
      <c r="L20" s="52" t="str">
        <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f>
        <v/>
      </c>
      <c r="M20" s="52" t="str">
        <f>IF(K20="","",K20/MAX(K$5:K20)-1)</f>
        <v/>
      </c>
      <c r="N20" s="102" t="str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  <v/>
      </c>
      <c r="O20" s="52" t="str">
        <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f>
        <v/>
      </c>
      <c r="P20" s="52" t="str">
        <f>IF(N20="","",N20/MAX(N$5:N20)-1)</f>
        <v/>
      </c>
      <c r="Q20" s="102" t="str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  <v/>
      </c>
      <c r="R20" s="52" t="str">
        <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f>
        <v/>
      </c>
      <c r="S20" s="52" t="str">
        <f>IF(Q20="","",Q20/MAX(Q$5:Q20)-1)</f>
        <v/>
      </c>
    </row>
    <row r="21" spans="1:19" x14ac:dyDescent="0.25">
      <c r="A21" s="103" t="str">
        <f>IF('实盘净值数据(iFinD公式)'!A21="","",'实盘净值数据(iFinD公式)'!A21)</f>
        <v/>
      </c>
      <c r="B21" s="102" t="str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52" t="str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52" t="str">
        <f>IF(B21="","",B21/MAX(B$5:B21)-1)</f>
        <v/>
      </c>
      <c r="E21" s="102" t="str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52" t="str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52" t="str">
        <f>IF(E21="","",E21/MAX(E$5:E21)-1)</f>
        <v/>
      </c>
      <c r="H21" s="102" t="str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52" t="str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52" t="str">
        <f>IF(H21="","",H21/MAX(H$5:H21)-1)</f>
        <v/>
      </c>
      <c r="K21" s="102" t="str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  <v/>
      </c>
      <c r="L21" s="52" t="str">
        <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f>
        <v/>
      </c>
      <c r="M21" s="52" t="str">
        <f>IF(K21="","",K21/MAX(K$5:K21)-1)</f>
        <v/>
      </c>
      <c r="N21" s="102" t="str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  <v/>
      </c>
      <c r="O21" s="52" t="str">
        <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f>
        <v/>
      </c>
      <c r="P21" s="52" t="str">
        <f>IF(N21="","",N21/MAX(N$5:N21)-1)</f>
        <v/>
      </c>
      <c r="Q21" s="102" t="str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  <v/>
      </c>
      <c r="R21" s="52" t="str">
        <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f>
        <v/>
      </c>
      <c r="S21" s="52" t="str">
        <f>IF(Q21="","",Q21/MAX(Q$5:Q21)-1)</f>
        <v/>
      </c>
    </row>
    <row r="22" spans="1:19" x14ac:dyDescent="0.25">
      <c r="A22" s="103" t="str">
        <f>IF('实盘净值数据(iFinD公式)'!A22="","",'实盘净值数据(iFinD公式)'!A22)</f>
        <v/>
      </c>
      <c r="B22" s="102" t="str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52" t="str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52" t="str">
        <f>IF(B22="","",B22/MAX(B$5:B22)-1)</f>
        <v/>
      </c>
      <c r="E22" s="102" t="str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52" t="str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52" t="str">
        <f>IF(E22="","",E22/MAX(E$5:E22)-1)</f>
        <v/>
      </c>
      <c r="H22" s="102" t="str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52" t="str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52" t="str">
        <f>IF(H22="","",H22/MAX(H$5:H22)-1)</f>
        <v/>
      </c>
      <c r="K22" s="102" t="str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  <v/>
      </c>
      <c r="L22" s="52" t="str">
        <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f>
        <v/>
      </c>
      <c r="M22" s="52" t="str">
        <f>IF(K22="","",K22/MAX(K$5:K22)-1)</f>
        <v/>
      </c>
      <c r="N22" s="102" t="str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  <v/>
      </c>
      <c r="O22" s="52" t="str">
        <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f>
        <v/>
      </c>
      <c r="P22" s="52" t="str">
        <f>IF(N22="","",N22/MAX(N$5:N22)-1)</f>
        <v/>
      </c>
      <c r="Q22" s="102" t="str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  <v/>
      </c>
      <c r="R22" s="52" t="str">
        <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f>
        <v/>
      </c>
      <c r="S22" s="52" t="str">
        <f>IF(Q22="","",Q22/MAX(Q$5:Q22)-1)</f>
        <v/>
      </c>
    </row>
    <row r="23" spans="1:19" x14ac:dyDescent="0.25">
      <c r="A23" s="103" t="str">
        <f>IF('实盘净值数据(iFinD公式)'!A23="","",'实盘净值数据(iFinD公式)'!A23)</f>
        <v/>
      </c>
      <c r="B23" s="102" t="str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52" t="str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52" t="str">
        <f>IF(B23="","",B23/MAX(B$5:B23)-1)</f>
        <v/>
      </c>
      <c r="E23" s="102" t="str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52" t="str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52" t="str">
        <f>IF(E23="","",E23/MAX(E$5:E23)-1)</f>
        <v/>
      </c>
      <c r="H23" s="102" t="str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52" t="str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52" t="str">
        <f>IF(H23="","",H23/MAX(H$5:H23)-1)</f>
        <v/>
      </c>
      <c r="K23" s="102" t="str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  <v/>
      </c>
      <c r="L23" s="52" t="str">
        <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f>
        <v/>
      </c>
      <c r="M23" s="52" t="str">
        <f>IF(K23="","",K23/MAX(K$5:K23)-1)</f>
        <v/>
      </c>
      <c r="N23" s="102" t="str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  <v/>
      </c>
      <c r="O23" s="52" t="str">
        <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f>
        <v/>
      </c>
      <c r="P23" s="52" t="str">
        <f>IF(N23="","",N23/MAX(N$5:N23)-1)</f>
        <v/>
      </c>
      <c r="Q23" s="102" t="str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  <v/>
      </c>
      <c r="R23" s="52" t="str">
        <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f>
        <v/>
      </c>
      <c r="S23" s="52" t="str">
        <f>IF(Q23="","",Q23/MAX(Q$5:Q23)-1)</f>
        <v/>
      </c>
    </row>
    <row r="24" spans="1:19" x14ac:dyDescent="0.25">
      <c r="A24" s="103" t="str">
        <f>IF('实盘净值数据(iFinD公式)'!A24="","",'实盘净值数据(iFinD公式)'!A24)</f>
        <v/>
      </c>
      <c r="B24" s="102" t="str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52" t="str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52" t="str">
        <f>IF(B24="","",B24/MAX(B$5:B24)-1)</f>
        <v/>
      </c>
      <c r="E24" s="102" t="str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52" t="str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52" t="str">
        <f>IF(E24="","",E24/MAX(E$5:E24)-1)</f>
        <v/>
      </c>
      <c r="H24" s="102" t="str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52" t="str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52" t="str">
        <f>IF(H24="","",H24/MAX(H$5:H24)-1)</f>
        <v/>
      </c>
      <c r="K24" s="102" t="str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  <v/>
      </c>
      <c r="L24" s="52" t="str">
        <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f>
        <v/>
      </c>
      <c r="M24" s="52" t="str">
        <f>IF(K24="","",K24/MAX(K$5:K24)-1)</f>
        <v/>
      </c>
      <c r="N24" s="102" t="str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  <v/>
      </c>
      <c r="O24" s="52" t="str">
        <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f>
        <v/>
      </c>
      <c r="P24" s="52" t="str">
        <f>IF(N24="","",N24/MAX(N$5:N24)-1)</f>
        <v/>
      </c>
      <c r="Q24" s="102" t="str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  <v/>
      </c>
      <c r="R24" s="52" t="str">
        <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f>
        <v/>
      </c>
      <c r="S24" s="52" t="str">
        <f>IF(Q24="","",Q24/MAX(Q$5:Q24)-1)</f>
        <v/>
      </c>
    </row>
    <row r="25" spans="1:19" x14ac:dyDescent="0.25">
      <c r="A25" s="103" t="str">
        <f>IF('实盘净值数据(iFinD公式)'!A25="","",'实盘净值数据(iFinD公式)'!A25)</f>
        <v/>
      </c>
      <c r="B25" s="102" t="str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52" t="str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52" t="str">
        <f>IF(B25="","",B25/MAX(B$5:B25)-1)</f>
        <v/>
      </c>
      <c r="E25" s="102" t="str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52" t="str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52" t="str">
        <f>IF(E25="","",E25/MAX(E$5:E25)-1)</f>
        <v/>
      </c>
      <c r="H25" s="102" t="str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52" t="str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52" t="str">
        <f>IF(H25="","",H25/MAX(H$5:H25)-1)</f>
        <v/>
      </c>
      <c r="K25" s="102" t="str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  <v/>
      </c>
      <c r="L25" s="52" t="str">
        <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f>
        <v/>
      </c>
      <c r="M25" s="52" t="str">
        <f>IF(K25="","",K25/MAX(K$5:K25)-1)</f>
        <v/>
      </c>
      <c r="N25" s="102" t="str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  <v/>
      </c>
      <c r="O25" s="52" t="str">
        <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f>
        <v/>
      </c>
      <c r="P25" s="52" t="str">
        <f>IF(N25="","",N25/MAX(N$5:N25)-1)</f>
        <v/>
      </c>
      <c r="Q25" s="102" t="str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  <v/>
      </c>
      <c r="R25" s="52" t="str">
        <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f>
        <v/>
      </c>
      <c r="S25" s="52" t="str">
        <f>IF(Q25="","",Q25/MAX(Q$5:Q25)-1)</f>
        <v/>
      </c>
    </row>
    <row r="26" spans="1:19" x14ac:dyDescent="0.25">
      <c r="A26" s="103" t="str">
        <f>IF('实盘净值数据(iFinD公式)'!A26="","",'实盘净值数据(iFinD公式)'!A26)</f>
        <v/>
      </c>
      <c r="B26" s="102" t="str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52" t="str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52" t="str">
        <f>IF(B26="","",B26/MAX(B$5:B26)-1)</f>
        <v/>
      </c>
      <c r="E26" s="102" t="str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52" t="str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52" t="str">
        <f>IF(E26="","",E26/MAX(E$5:E26)-1)</f>
        <v/>
      </c>
      <c r="H26" s="102" t="str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52" t="str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52" t="str">
        <f>IF(H26="","",H26/MAX(H$5:H26)-1)</f>
        <v/>
      </c>
      <c r="K26" s="102" t="str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  <v/>
      </c>
      <c r="L26" s="52" t="str">
        <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f>
        <v/>
      </c>
      <c r="M26" s="52" t="str">
        <f>IF(K26="","",K26/MAX(K$5:K26)-1)</f>
        <v/>
      </c>
      <c r="N26" s="102" t="str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  <v/>
      </c>
      <c r="O26" s="52" t="str">
        <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f>
        <v/>
      </c>
      <c r="P26" s="52" t="str">
        <f>IF(N26="","",N26/MAX(N$5:N26)-1)</f>
        <v/>
      </c>
      <c r="Q26" s="102" t="str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  <v/>
      </c>
      <c r="R26" s="52" t="str">
        <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f>
        <v/>
      </c>
      <c r="S26" s="52" t="str">
        <f>IF(Q26="","",Q26/MAX(Q$5:Q26)-1)</f>
        <v/>
      </c>
    </row>
    <row r="27" spans="1:19" x14ac:dyDescent="0.25">
      <c r="A27" s="103" t="str">
        <f>IF('实盘净值数据(iFinD公式)'!A27="","",'实盘净值数据(iFinD公式)'!A27)</f>
        <v/>
      </c>
      <c r="B27" s="102" t="str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52" t="str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52" t="str">
        <f>IF(B27="","",B27/MAX(B$5:B27)-1)</f>
        <v/>
      </c>
      <c r="E27" s="102" t="str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52" t="str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52" t="str">
        <f>IF(E27="","",E27/MAX(E$5:E27)-1)</f>
        <v/>
      </c>
      <c r="H27" s="102" t="str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52" t="str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52" t="str">
        <f>IF(H27="","",H27/MAX(H$5:H27)-1)</f>
        <v/>
      </c>
      <c r="K27" s="102" t="str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  <v/>
      </c>
      <c r="L27" s="52" t="str">
        <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f>
        <v/>
      </c>
      <c r="M27" s="52" t="str">
        <f>IF(K27="","",K27/MAX(K$5:K27)-1)</f>
        <v/>
      </c>
      <c r="N27" s="102" t="str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  <v/>
      </c>
      <c r="O27" s="52" t="str">
        <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f>
        <v/>
      </c>
      <c r="P27" s="52" t="str">
        <f>IF(N27="","",N27/MAX(N$5:N27)-1)</f>
        <v/>
      </c>
      <c r="Q27" s="102" t="str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  <v/>
      </c>
      <c r="R27" s="52" t="str">
        <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f>
        <v/>
      </c>
      <c r="S27" s="52" t="str">
        <f>IF(Q27="","",Q27/MAX(Q$5:Q27)-1)</f>
        <v/>
      </c>
    </row>
    <row r="28" spans="1:19" x14ac:dyDescent="0.25">
      <c r="A28" s="103" t="str">
        <f>IF('实盘净值数据(iFinD公式)'!A28="","",'实盘净值数据(iFinD公式)'!A28)</f>
        <v/>
      </c>
      <c r="B28" s="102" t="str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52" t="str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52" t="str">
        <f>IF(B28="","",B28/MAX(B$5:B28)-1)</f>
        <v/>
      </c>
      <c r="E28" s="102" t="str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52" t="str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52" t="str">
        <f>IF(E28="","",E28/MAX(E$5:E28)-1)</f>
        <v/>
      </c>
      <c r="H28" s="102" t="str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52" t="str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52" t="str">
        <f>IF(H28="","",H28/MAX(H$5:H28)-1)</f>
        <v/>
      </c>
      <c r="K28" s="102" t="str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  <v/>
      </c>
      <c r="L28" s="52" t="str">
        <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f>
        <v/>
      </c>
      <c r="M28" s="52" t="str">
        <f>IF(K28="","",K28/MAX(K$5:K28)-1)</f>
        <v/>
      </c>
      <c r="N28" s="102" t="str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  <v/>
      </c>
      <c r="O28" s="52" t="str">
        <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f>
        <v/>
      </c>
      <c r="P28" s="52" t="str">
        <f>IF(N28="","",N28/MAX(N$5:N28)-1)</f>
        <v/>
      </c>
      <c r="Q28" s="102" t="str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  <v/>
      </c>
      <c r="R28" s="52" t="str">
        <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f>
        <v/>
      </c>
      <c r="S28" s="52" t="str">
        <f>IF(Q28="","",Q28/MAX(Q$5:Q28)-1)</f>
        <v/>
      </c>
    </row>
    <row r="29" spans="1:19" x14ac:dyDescent="0.25">
      <c r="A29" s="103" t="str">
        <f>IF('实盘净值数据(iFinD公式)'!A29="","",'实盘净值数据(iFinD公式)'!A29)</f>
        <v/>
      </c>
      <c r="B29" s="102" t="str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52" t="str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52" t="str">
        <f>IF(B29="","",B29/MAX(B$5:B29)-1)</f>
        <v/>
      </c>
      <c r="E29" s="102" t="str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52" t="str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52" t="str">
        <f>IF(E29="","",E29/MAX(E$5:E29)-1)</f>
        <v/>
      </c>
      <c r="H29" s="102" t="str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52" t="str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52" t="str">
        <f>IF(H29="","",H29/MAX(H$5:H29)-1)</f>
        <v/>
      </c>
      <c r="K29" s="102" t="str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  <v/>
      </c>
      <c r="L29" s="52" t="str">
        <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f>
        <v/>
      </c>
      <c r="M29" s="52" t="str">
        <f>IF(K29="","",K29/MAX(K$5:K29)-1)</f>
        <v/>
      </c>
      <c r="N29" s="102" t="str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  <v/>
      </c>
      <c r="O29" s="52" t="str">
        <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f>
        <v/>
      </c>
      <c r="P29" s="52" t="str">
        <f>IF(N29="","",N29/MAX(N$5:N29)-1)</f>
        <v/>
      </c>
      <c r="Q29" s="102" t="str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  <v/>
      </c>
      <c r="R29" s="52" t="str">
        <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f>
        <v/>
      </c>
      <c r="S29" s="52" t="str">
        <f>IF(Q29="","",Q29/MAX(Q$5:Q29)-1)</f>
        <v/>
      </c>
    </row>
    <row r="30" spans="1:19" x14ac:dyDescent="0.25">
      <c r="A30" s="103" t="str">
        <f>IF('实盘净值数据(iFinD公式)'!A30="","",'实盘净值数据(iFinD公式)'!A30)</f>
        <v/>
      </c>
      <c r="B30" s="102" t="str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52" t="str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52" t="str">
        <f>IF(B30="","",B30/MAX(B$5:B30)-1)</f>
        <v/>
      </c>
      <c r="E30" s="102" t="str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52" t="str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52" t="str">
        <f>IF(E30="","",E30/MAX(E$5:E30)-1)</f>
        <v/>
      </c>
      <c r="H30" s="102" t="str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52" t="str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52" t="str">
        <f>IF(H30="","",H30/MAX(H$5:H30)-1)</f>
        <v/>
      </c>
      <c r="K30" s="102" t="str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  <v/>
      </c>
      <c r="L30" s="52" t="str">
        <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f>
        <v/>
      </c>
      <c r="M30" s="52" t="str">
        <f>IF(K30="","",K30/MAX(K$5:K30)-1)</f>
        <v/>
      </c>
      <c r="N30" s="102" t="str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  <v/>
      </c>
      <c r="O30" s="52" t="str">
        <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f>
        <v/>
      </c>
      <c r="P30" s="52" t="str">
        <f>IF(N30="","",N30/MAX(N$5:N30)-1)</f>
        <v/>
      </c>
      <c r="Q30" s="102" t="str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  <v/>
      </c>
      <c r="R30" s="52" t="str">
        <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f>
        <v/>
      </c>
      <c r="S30" s="52" t="str">
        <f>IF(Q30="","",Q30/MAX(Q$5:Q30)-1)</f>
        <v/>
      </c>
    </row>
    <row r="31" spans="1:19" x14ac:dyDescent="0.25">
      <c r="A31" s="103" t="str">
        <f>IF('实盘净值数据(iFinD公式)'!A31="","",'实盘净值数据(iFinD公式)'!A31)</f>
        <v/>
      </c>
      <c r="B31" s="102" t="str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52" t="str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52" t="str">
        <f>IF(B31="","",B31/MAX(B$5:B31)-1)</f>
        <v/>
      </c>
      <c r="E31" s="102" t="str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52" t="str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52" t="str">
        <f>IF(E31="","",E31/MAX(E$5:E31)-1)</f>
        <v/>
      </c>
      <c r="H31" s="102" t="str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52" t="str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52" t="str">
        <f>IF(H31="","",H31/MAX(H$5:H31)-1)</f>
        <v/>
      </c>
      <c r="K31" s="102" t="str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  <v/>
      </c>
      <c r="L31" s="52" t="str">
        <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f>
        <v/>
      </c>
      <c r="M31" s="52" t="str">
        <f>IF(K31="","",K31/MAX(K$5:K31)-1)</f>
        <v/>
      </c>
      <c r="N31" s="102" t="str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  <v/>
      </c>
      <c r="O31" s="52" t="str">
        <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f>
        <v/>
      </c>
      <c r="P31" s="52" t="str">
        <f>IF(N31="","",N31/MAX(N$5:N31)-1)</f>
        <v/>
      </c>
      <c r="Q31" s="102" t="str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  <v/>
      </c>
      <c r="R31" s="52" t="str">
        <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f>
        <v/>
      </c>
      <c r="S31" s="52" t="str">
        <f>IF(Q31="","",Q31/MAX(Q$5:Q31)-1)</f>
        <v/>
      </c>
    </row>
    <row r="32" spans="1:19" x14ac:dyDescent="0.25">
      <c r="A32" s="103" t="str">
        <f>IF('实盘净值数据(iFinD公式)'!A32="","",'实盘净值数据(iFinD公式)'!A32)</f>
        <v/>
      </c>
      <c r="B32" s="102" t="str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52" t="str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52" t="str">
        <f>IF(B32="","",B32/MAX(B$5:B32)-1)</f>
        <v/>
      </c>
      <c r="E32" s="102" t="str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52" t="str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52" t="str">
        <f>IF(E32="","",E32/MAX(E$5:E32)-1)</f>
        <v/>
      </c>
      <c r="H32" s="102" t="str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52" t="str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52" t="str">
        <f>IF(H32="","",H32/MAX(H$5:H32)-1)</f>
        <v/>
      </c>
      <c r="K32" s="102" t="str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  <v/>
      </c>
      <c r="L32" s="52" t="str">
        <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f>
        <v/>
      </c>
      <c r="M32" s="52" t="str">
        <f>IF(K32="","",K32/MAX(K$5:K32)-1)</f>
        <v/>
      </c>
      <c r="N32" s="102" t="str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  <v/>
      </c>
      <c r="O32" s="52" t="str">
        <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f>
        <v/>
      </c>
      <c r="P32" s="52" t="str">
        <f>IF(N32="","",N32/MAX(N$5:N32)-1)</f>
        <v/>
      </c>
      <c r="Q32" s="102" t="str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  <v/>
      </c>
      <c r="R32" s="52" t="str">
        <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f>
        <v/>
      </c>
      <c r="S32" s="52" t="str">
        <f>IF(Q32="","",Q32/MAX(Q$5:Q32)-1)</f>
        <v/>
      </c>
    </row>
    <row r="33" spans="1:19" x14ac:dyDescent="0.25">
      <c r="A33" s="103" t="str">
        <f>IF('实盘净值数据(iFinD公式)'!A33="","",'实盘净值数据(iFinD公式)'!A33)</f>
        <v/>
      </c>
      <c r="B33" s="102" t="str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52" t="str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52" t="str">
        <f>IF(B33="","",B33/MAX(B$5:B33)-1)</f>
        <v/>
      </c>
      <c r="E33" s="102" t="str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52" t="str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52" t="str">
        <f>IF(E33="","",E33/MAX(E$5:E33)-1)</f>
        <v/>
      </c>
      <c r="H33" s="102" t="str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52" t="str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52" t="str">
        <f>IF(H33="","",H33/MAX(H$5:H33)-1)</f>
        <v/>
      </c>
      <c r="K33" s="102" t="str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  <v/>
      </c>
      <c r="L33" s="52" t="str">
        <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f>
        <v/>
      </c>
      <c r="M33" s="52" t="str">
        <f>IF(K33="","",K33/MAX(K$5:K33)-1)</f>
        <v/>
      </c>
      <c r="N33" s="102" t="str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  <v/>
      </c>
      <c r="O33" s="52" t="str">
        <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f>
        <v/>
      </c>
      <c r="P33" s="52" t="str">
        <f>IF(N33="","",N33/MAX(N$5:N33)-1)</f>
        <v/>
      </c>
      <c r="Q33" s="102" t="str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  <v/>
      </c>
      <c r="R33" s="52" t="str">
        <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f>
        <v/>
      </c>
      <c r="S33" s="52" t="str">
        <f>IF(Q33="","",Q33/MAX(Q$5:Q33)-1)</f>
        <v/>
      </c>
    </row>
    <row r="34" spans="1:19" x14ac:dyDescent="0.25">
      <c r="A34" s="103" t="str">
        <f>IF('实盘净值数据(iFinD公式)'!A34="","",'实盘净值数据(iFinD公式)'!A34)</f>
        <v/>
      </c>
      <c r="B34" s="102" t="str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52" t="str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52" t="str">
        <f>IF(B34="","",B34/MAX(B$5:B34)-1)</f>
        <v/>
      </c>
      <c r="E34" s="102" t="str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52" t="str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52" t="str">
        <f>IF(E34="","",E34/MAX(E$5:E34)-1)</f>
        <v/>
      </c>
      <c r="H34" s="102" t="str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52" t="str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52" t="str">
        <f>IF(H34="","",H34/MAX(H$5:H34)-1)</f>
        <v/>
      </c>
      <c r="K34" s="102" t="str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  <v/>
      </c>
      <c r="L34" s="52" t="str">
        <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f>
        <v/>
      </c>
      <c r="M34" s="52" t="str">
        <f>IF(K34="","",K34/MAX(K$5:K34)-1)</f>
        <v/>
      </c>
      <c r="N34" s="102" t="str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  <v/>
      </c>
      <c r="O34" s="52" t="str">
        <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f>
        <v/>
      </c>
      <c r="P34" s="52" t="str">
        <f>IF(N34="","",N34/MAX(N$5:N34)-1)</f>
        <v/>
      </c>
      <c r="Q34" s="102" t="str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  <v/>
      </c>
      <c r="R34" s="52" t="str">
        <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f>
        <v/>
      </c>
      <c r="S34" s="52" t="str">
        <f>IF(Q34="","",Q34/MAX(Q$5:Q34)-1)</f>
        <v/>
      </c>
    </row>
    <row r="35" spans="1:19" x14ac:dyDescent="0.25">
      <c r="A35" s="103" t="str">
        <f>IF('实盘净值数据(iFinD公式)'!A35="","",'实盘净值数据(iFinD公式)'!A35)</f>
        <v/>
      </c>
      <c r="B35" s="102" t="str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52" t="str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52" t="str">
        <f>IF(B35="","",B35/MAX(B$5:B35)-1)</f>
        <v/>
      </c>
      <c r="E35" s="102" t="str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52" t="str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52" t="str">
        <f>IF(E35="","",E35/MAX(E$5:E35)-1)</f>
        <v/>
      </c>
      <c r="H35" s="102" t="str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52" t="str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52" t="str">
        <f>IF(H35="","",H35/MAX(H$5:H35)-1)</f>
        <v/>
      </c>
      <c r="K35" s="102" t="str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  <v/>
      </c>
      <c r="L35" s="52" t="str">
        <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f>
        <v/>
      </c>
      <c r="M35" s="52" t="str">
        <f>IF(K35="","",K35/MAX(K$5:K35)-1)</f>
        <v/>
      </c>
      <c r="N35" s="102" t="str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  <v/>
      </c>
      <c r="O35" s="52" t="str">
        <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f>
        <v/>
      </c>
      <c r="P35" s="52" t="str">
        <f>IF(N35="","",N35/MAX(N$5:N35)-1)</f>
        <v/>
      </c>
      <c r="Q35" s="102" t="str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  <v/>
      </c>
      <c r="R35" s="52" t="str">
        <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f>
        <v/>
      </c>
      <c r="S35" s="52" t="str">
        <f>IF(Q35="","",Q35/MAX(Q$5:Q35)-1)</f>
        <v/>
      </c>
    </row>
    <row r="36" spans="1:19" x14ac:dyDescent="0.25">
      <c r="A36" s="103" t="str">
        <f>IF('实盘净值数据(iFinD公式)'!A36="","",'实盘净值数据(iFinD公式)'!A36)</f>
        <v/>
      </c>
      <c r="B36" s="102" t="str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52" t="str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52" t="str">
        <f>IF(B36="","",B36/MAX(B$5:B36)-1)</f>
        <v/>
      </c>
      <c r="E36" s="102" t="str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52" t="str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52" t="str">
        <f>IF(E36="","",E36/MAX(E$5:E36)-1)</f>
        <v/>
      </c>
      <c r="H36" s="102" t="str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52" t="str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52" t="str">
        <f>IF(H36="","",H36/MAX(H$5:H36)-1)</f>
        <v/>
      </c>
      <c r="K36" s="102" t="str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  <v/>
      </c>
      <c r="L36" s="52" t="str">
        <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f>
        <v/>
      </c>
      <c r="M36" s="52" t="str">
        <f>IF(K36="","",K36/MAX(K$5:K36)-1)</f>
        <v/>
      </c>
      <c r="N36" s="102" t="str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  <v/>
      </c>
      <c r="O36" s="52" t="str">
        <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f>
        <v/>
      </c>
      <c r="P36" s="52" t="str">
        <f>IF(N36="","",N36/MAX(N$5:N36)-1)</f>
        <v/>
      </c>
      <c r="Q36" s="102" t="str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  <v/>
      </c>
      <c r="R36" s="52" t="str">
        <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f>
        <v/>
      </c>
      <c r="S36" s="52" t="str">
        <f>IF(Q36="","",Q36/MAX(Q$5:Q36)-1)</f>
        <v/>
      </c>
    </row>
    <row r="37" spans="1:19" x14ac:dyDescent="0.25">
      <c r="A37" s="103" t="str">
        <f>IF('实盘净值数据(iFinD公式)'!A37="","",'实盘净值数据(iFinD公式)'!A37)</f>
        <v/>
      </c>
      <c r="B37" s="102" t="str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52" t="str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52" t="str">
        <f>IF(B37="","",B37/MAX(B$5:B37)-1)</f>
        <v/>
      </c>
      <c r="E37" s="102" t="str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52" t="str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52" t="str">
        <f>IF(E37="","",E37/MAX(E$5:E37)-1)</f>
        <v/>
      </c>
      <c r="H37" s="102" t="str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52" t="str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52" t="str">
        <f>IF(H37="","",H37/MAX(H$5:H37)-1)</f>
        <v/>
      </c>
      <c r="K37" s="102" t="str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  <v/>
      </c>
      <c r="L37" s="52" t="str">
        <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f>
        <v/>
      </c>
      <c r="M37" s="52" t="str">
        <f>IF(K37="","",K37/MAX(K$5:K37)-1)</f>
        <v/>
      </c>
      <c r="N37" s="102" t="str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  <v/>
      </c>
      <c r="O37" s="52" t="str">
        <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f>
        <v/>
      </c>
      <c r="P37" s="52" t="str">
        <f>IF(N37="","",N37/MAX(N$5:N37)-1)</f>
        <v/>
      </c>
      <c r="Q37" s="102" t="str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  <v/>
      </c>
      <c r="R37" s="52" t="str">
        <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f>
        <v/>
      </c>
      <c r="S37" s="52" t="str">
        <f>IF(Q37="","",Q37/MAX(Q$5:Q37)-1)</f>
        <v/>
      </c>
    </row>
    <row r="38" spans="1:19" x14ac:dyDescent="0.25">
      <c r="A38" s="103" t="str">
        <f>IF('实盘净值数据(iFinD公式)'!A38="","",'实盘净值数据(iFinD公式)'!A38)</f>
        <v/>
      </c>
      <c r="B38" s="102" t="str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52" t="str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52" t="str">
        <f>IF(B38="","",B38/MAX(B$5:B38)-1)</f>
        <v/>
      </c>
      <c r="E38" s="102" t="str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52" t="str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52" t="str">
        <f>IF(E38="","",E38/MAX(E$5:E38)-1)</f>
        <v/>
      </c>
      <c r="H38" s="102" t="str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52" t="str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52" t="str">
        <f>IF(H38="","",H38/MAX(H$5:H38)-1)</f>
        <v/>
      </c>
      <c r="K38" s="102" t="str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  <v/>
      </c>
      <c r="L38" s="52" t="str">
        <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f>
        <v/>
      </c>
      <c r="M38" s="52" t="str">
        <f>IF(K38="","",K38/MAX(K$5:K38)-1)</f>
        <v/>
      </c>
      <c r="N38" s="102" t="str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  <v/>
      </c>
      <c r="O38" s="52" t="str">
        <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f>
        <v/>
      </c>
      <c r="P38" s="52" t="str">
        <f>IF(N38="","",N38/MAX(N$5:N38)-1)</f>
        <v/>
      </c>
      <c r="Q38" s="102" t="str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  <v/>
      </c>
      <c r="R38" s="52" t="str">
        <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f>
        <v/>
      </c>
      <c r="S38" s="52" t="str">
        <f>IF(Q38="","",Q38/MAX(Q$5:Q38)-1)</f>
        <v/>
      </c>
    </row>
    <row r="39" spans="1:19" x14ac:dyDescent="0.25">
      <c r="A39" s="103" t="str">
        <f>IF('实盘净值数据(iFinD公式)'!A39="","",'实盘净值数据(iFinD公式)'!A39)</f>
        <v/>
      </c>
      <c r="B39" s="102" t="str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52" t="str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52" t="str">
        <f>IF(B39="","",B39/MAX(B$5:B39)-1)</f>
        <v/>
      </c>
      <c r="E39" s="102" t="str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52" t="str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52" t="str">
        <f>IF(E39="","",E39/MAX(E$5:E39)-1)</f>
        <v/>
      </c>
      <c r="H39" s="102" t="str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52" t="str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52" t="str">
        <f>IF(H39="","",H39/MAX(H$5:H39)-1)</f>
        <v/>
      </c>
      <c r="K39" s="102" t="str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  <v/>
      </c>
      <c r="L39" s="52" t="str">
        <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f>
        <v/>
      </c>
      <c r="M39" s="52" t="str">
        <f>IF(K39="","",K39/MAX(K$5:K39)-1)</f>
        <v/>
      </c>
      <c r="N39" s="102" t="str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  <v/>
      </c>
      <c r="O39" s="52" t="str">
        <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f>
        <v/>
      </c>
      <c r="P39" s="52" t="str">
        <f>IF(N39="","",N39/MAX(N$5:N39)-1)</f>
        <v/>
      </c>
      <c r="Q39" s="102" t="str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  <v/>
      </c>
      <c r="R39" s="52" t="str">
        <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f>
        <v/>
      </c>
      <c r="S39" s="52" t="str">
        <f>IF(Q39="","",Q39/MAX(Q$5:Q39)-1)</f>
        <v/>
      </c>
    </row>
    <row r="40" spans="1:19" x14ac:dyDescent="0.25">
      <c r="A40" s="103" t="str">
        <f>IF('实盘净值数据(iFinD公式)'!A40="","",'实盘净值数据(iFinD公式)'!A40)</f>
        <v/>
      </c>
      <c r="B40" s="102" t="str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52" t="str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52" t="str">
        <f>IF(B40="","",B40/MAX(B$5:B40)-1)</f>
        <v/>
      </c>
      <c r="E40" s="102" t="str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52" t="str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52" t="str">
        <f>IF(E40="","",E40/MAX(E$5:E40)-1)</f>
        <v/>
      </c>
      <c r="H40" s="102" t="str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52" t="str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52" t="str">
        <f>IF(H40="","",H40/MAX(H$5:H40)-1)</f>
        <v/>
      </c>
      <c r="K40" s="102" t="str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  <v/>
      </c>
      <c r="L40" s="52" t="str">
        <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f>
        <v/>
      </c>
      <c r="M40" s="52" t="str">
        <f>IF(K40="","",K40/MAX(K$5:K40)-1)</f>
        <v/>
      </c>
      <c r="N40" s="102" t="str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  <v/>
      </c>
      <c r="O40" s="52" t="str">
        <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f>
        <v/>
      </c>
      <c r="P40" s="52" t="str">
        <f>IF(N40="","",N40/MAX(N$5:N40)-1)</f>
        <v/>
      </c>
      <c r="Q40" s="102" t="str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  <v/>
      </c>
      <c r="R40" s="52" t="str">
        <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f>
        <v/>
      </c>
      <c r="S40" s="52" t="str">
        <f>IF(Q40="","",Q40/MAX(Q$5:Q40)-1)</f>
        <v/>
      </c>
    </row>
    <row r="41" spans="1:19" x14ac:dyDescent="0.25">
      <c r="A41" s="103" t="str">
        <f>IF('实盘净值数据(iFinD公式)'!A41="","",'实盘净值数据(iFinD公式)'!A41)</f>
        <v/>
      </c>
      <c r="B41" s="102" t="str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52" t="str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52" t="str">
        <f>IF(B41="","",B41/MAX(B$5:B41)-1)</f>
        <v/>
      </c>
      <c r="E41" s="102" t="str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52" t="str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52" t="str">
        <f>IF(E41="","",E41/MAX(E$5:E41)-1)</f>
        <v/>
      </c>
      <c r="H41" s="102" t="str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52" t="str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52" t="str">
        <f>IF(H41="","",H41/MAX(H$5:H41)-1)</f>
        <v/>
      </c>
      <c r="K41" s="102" t="str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  <v/>
      </c>
      <c r="L41" s="52" t="str">
        <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f>
        <v/>
      </c>
      <c r="M41" s="52" t="str">
        <f>IF(K41="","",K41/MAX(K$5:K41)-1)</f>
        <v/>
      </c>
      <c r="N41" s="102" t="str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  <v/>
      </c>
      <c r="O41" s="52" t="str">
        <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f>
        <v/>
      </c>
      <c r="P41" s="52" t="str">
        <f>IF(N41="","",N41/MAX(N$5:N41)-1)</f>
        <v/>
      </c>
      <c r="Q41" s="102" t="str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  <v/>
      </c>
      <c r="R41" s="52" t="str">
        <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f>
        <v/>
      </c>
      <c r="S41" s="52" t="str">
        <f>IF(Q41="","",Q41/MAX(Q$5:Q41)-1)</f>
        <v/>
      </c>
    </row>
    <row r="42" spans="1:19" x14ac:dyDescent="0.25">
      <c r="A42" s="103" t="str">
        <f>IF('实盘净值数据(iFinD公式)'!A42="","",'实盘净值数据(iFinD公式)'!A42)</f>
        <v/>
      </c>
      <c r="B42" s="102" t="str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52" t="str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52" t="str">
        <f>IF(B42="","",B42/MAX(B$5:B42)-1)</f>
        <v/>
      </c>
      <c r="E42" s="102" t="str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52" t="str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52" t="str">
        <f>IF(E42="","",E42/MAX(E$5:E42)-1)</f>
        <v/>
      </c>
      <c r="H42" s="102" t="str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52" t="str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52" t="str">
        <f>IF(H42="","",H42/MAX(H$5:H42)-1)</f>
        <v/>
      </c>
      <c r="K42" s="102" t="str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  <v/>
      </c>
      <c r="L42" s="52" t="str">
        <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f>
        <v/>
      </c>
      <c r="M42" s="52" t="str">
        <f>IF(K42="","",K42/MAX(K$5:K42)-1)</f>
        <v/>
      </c>
      <c r="N42" s="102" t="str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  <v/>
      </c>
      <c r="O42" s="52" t="str">
        <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f>
        <v/>
      </c>
      <c r="P42" s="52" t="str">
        <f>IF(N42="","",N42/MAX(N$5:N42)-1)</f>
        <v/>
      </c>
      <c r="Q42" s="102" t="str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  <v/>
      </c>
      <c r="R42" s="52" t="str">
        <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f>
        <v/>
      </c>
      <c r="S42" s="52" t="str">
        <f>IF(Q42="","",Q42/MAX(Q$5:Q42)-1)</f>
        <v/>
      </c>
    </row>
    <row r="43" spans="1:19" x14ac:dyDescent="0.25">
      <c r="A43" s="103" t="str">
        <f>IF('实盘净值数据(iFinD公式)'!A43="","",'实盘净值数据(iFinD公式)'!A43)</f>
        <v/>
      </c>
      <c r="B43" s="10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52" t="str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52" t="str">
        <f>IF(B43="","",B43/MAX(B$5:B43)-1)</f>
        <v/>
      </c>
      <c r="E43" s="10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52" t="str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52" t="str">
        <f>IF(E43="","",E43/MAX(E$5:E43)-1)</f>
        <v/>
      </c>
      <c r="H43" s="10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52" t="str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52" t="str">
        <f>IF(H43="","",H43/MAX(H$5:H43)-1)</f>
        <v/>
      </c>
      <c r="K43" s="102" t="str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  <v/>
      </c>
      <c r="L43" s="52" t="str">
        <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f>
        <v/>
      </c>
      <c r="M43" s="52" t="str">
        <f>IF(K43="","",K43/MAX(K$5:K43)-1)</f>
        <v/>
      </c>
      <c r="N43" s="102" t="str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  <v/>
      </c>
      <c r="O43" s="52" t="str">
        <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f>
        <v/>
      </c>
      <c r="P43" s="52" t="str">
        <f>IF(N43="","",N43/MAX(N$5:N43)-1)</f>
        <v/>
      </c>
      <c r="Q43" s="102" t="str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  <v/>
      </c>
      <c r="R43" s="52" t="str">
        <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f>
        <v/>
      </c>
      <c r="S43" s="52" t="str">
        <f>IF(Q43="","",Q43/MAX(Q$5:Q43)-1)</f>
        <v/>
      </c>
    </row>
    <row r="44" spans="1:19" x14ac:dyDescent="0.25">
      <c r="A44" s="103" t="str">
        <f>IF('实盘净值数据(iFinD公式)'!A44="","",'实盘净值数据(iFinD公式)'!A44)</f>
        <v/>
      </c>
      <c r="B44" s="10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52" t="str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52" t="str">
        <f>IF(B44="","",B44/MAX(B$5:B44)-1)</f>
        <v/>
      </c>
      <c r="E44" s="10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52" t="str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52" t="str">
        <f>IF(E44="","",E44/MAX(E$5:E44)-1)</f>
        <v/>
      </c>
      <c r="H44" s="10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52" t="str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52" t="str">
        <f>IF(H44="","",H44/MAX(H$5:H44)-1)</f>
        <v/>
      </c>
      <c r="K44" s="102" t="str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  <v/>
      </c>
      <c r="L44" s="52" t="str">
        <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f>
        <v/>
      </c>
      <c r="M44" s="52" t="str">
        <f>IF(K44="","",K44/MAX(K$5:K44)-1)</f>
        <v/>
      </c>
      <c r="N44" s="102" t="str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  <v/>
      </c>
      <c r="O44" s="52" t="str">
        <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f>
        <v/>
      </c>
      <c r="P44" s="52" t="str">
        <f>IF(N44="","",N44/MAX(N$5:N44)-1)</f>
        <v/>
      </c>
      <c r="Q44" s="102" t="str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  <v/>
      </c>
      <c r="R44" s="52" t="str">
        <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f>
        <v/>
      </c>
      <c r="S44" s="52" t="str">
        <f>IF(Q44="","",Q44/MAX(Q$5:Q44)-1)</f>
        <v/>
      </c>
    </row>
    <row r="45" spans="1:19" x14ac:dyDescent="0.25">
      <c r="A45" s="103" t="str">
        <f>IF('实盘净值数据(iFinD公式)'!A45="","",'实盘净值数据(iFinD公式)'!A45)</f>
        <v/>
      </c>
      <c r="B45" s="10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52" t="str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52" t="str">
        <f>IF(B45="","",B45/MAX(B$5:B45)-1)</f>
        <v/>
      </c>
      <c r="E45" s="10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52" t="str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52" t="str">
        <f>IF(E45="","",E45/MAX(E$5:E45)-1)</f>
        <v/>
      </c>
      <c r="H45" s="10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52" t="str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52" t="str">
        <f>IF(H45="","",H45/MAX(H$5:H45)-1)</f>
        <v/>
      </c>
      <c r="K45" s="102" t="str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  <v/>
      </c>
      <c r="L45" s="52" t="str">
        <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f>
        <v/>
      </c>
      <c r="M45" s="52" t="str">
        <f>IF(K45="","",K45/MAX(K$5:K45)-1)</f>
        <v/>
      </c>
      <c r="N45" s="102" t="str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  <v/>
      </c>
      <c r="O45" s="52" t="str">
        <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f>
        <v/>
      </c>
      <c r="P45" s="52" t="str">
        <f>IF(N45="","",N45/MAX(N$5:N45)-1)</f>
        <v/>
      </c>
      <c r="Q45" s="102" t="str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  <v/>
      </c>
      <c r="R45" s="52" t="str">
        <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f>
        <v/>
      </c>
      <c r="S45" s="52" t="str">
        <f>IF(Q45="","",Q45/MAX(Q$5:Q45)-1)</f>
        <v/>
      </c>
    </row>
    <row r="46" spans="1:19" x14ac:dyDescent="0.25">
      <c r="A46" s="103" t="str">
        <f>IF('实盘净值数据(iFinD公式)'!A46="","",'实盘净值数据(iFinD公式)'!A46)</f>
        <v/>
      </c>
      <c r="B46" s="10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52" t="str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52" t="str">
        <f>IF(B46="","",B46/MAX(B$5:B46)-1)</f>
        <v/>
      </c>
      <c r="E46" s="10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52" t="str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52" t="str">
        <f>IF(E46="","",E46/MAX(E$5:E46)-1)</f>
        <v/>
      </c>
      <c r="H46" s="10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52" t="str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52" t="str">
        <f>IF(H46="","",H46/MAX(H$5:H46)-1)</f>
        <v/>
      </c>
      <c r="K46" s="102" t="str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  <v/>
      </c>
      <c r="L46" s="52" t="str">
        <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f>
        <v/>
      </c>
      <c r="M46" s="52" t="str">
        <f>IF(K46="","",K46/MAX(K$5:K46)-1)</f>
        <v/>
      </c>
      <c r="N46" s="102" t="str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  <v/>
      </c>
      <c r="O46" s="52" t="str">
        <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f>
        <v/>
      </c>
      <c r="P46" s="52" t="str">
        <f>IF(N46="","",N46/MAX(N$5:N46)-1)</f>
        <v/>
      </c>
      <c r="Q46" s="102" t="str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  <v/>
      </c>
      <c r="R46" s="52" t="str">
        <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f>
        <v/>
      </c>
      <c r="S46" s="52" t="str">
        <f>IF(Q46="","",Q46/MAX(Q$5:Q46)-1)</f>
        <v/>
      </c>
    </row>
    <row r="47" spans="1:19" x14ac:dyDescent="0.25">
      <c r="A47" s="103" t="str">
        <f>IF('实盘净值数据(iFinD公式)'!A47="","",'实盘净值数据(iFinD公式)'!A47)</f>
        <v/>
      </c>
      <c r="B47" s="10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52" t="str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52" t="str">
        <f>IF(B47="","",B47/MAX(B$5:B47)-1)</f>
        <v/>
      </c>
      <c r="E47" s="10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52" t="str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52" t="str">
        <f>IF(E47="","",E47/MAX(E$5:E47)-1)</f>
        <v/>
      </c>
      <c r="H47" s="10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52" t="str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52" t="str">
        <f>IF(H47="","",H47/MAX(H$5:H47)-1)</f>
        <v/>
      </c>
      <c r="K47" s="102" t="str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  <v/>
      </c>
      <c r="L47" s="52" t="str">
        <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f>
        <v/>
      </c>
      <c r="M47" s="52" t="str">
        <f>IF(K47="","",K47/MAX(K$5:K47)-1)</f>
        <v/>
      </c>
      <c r="N47" s="102" t="str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  <v/>
      </c>
      <c r="O47" s="52" t="str">
        <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f>
        <v/>
      </c>
      <c r="P47" s="52" t="str">
        <f>IF(N47="","",N47/MAX(N$5:N47)-1)</f>
        <v/>
      </c>
      <c r="Q47" s="102" t="str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  <v/>
      </c>
      <c r="R47" s="52" t="str">
        <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f>
        <v/>
      </c>
      <c r="S47" s="52" t="str">
        <f>IF(Q47="","",Q47/MAX(Q$5:Q47)-1)</f>
        <v/>
      </c>
    </row>
    <row r="48" spans="1:19" x14ac:dyDescent="0.25">
      <c r="A48" s="103" t="str">
        <f>IF('实盘净值数据(iFinD公式)'!A48="","",'实盘净值数据(iFinD公式)'!A48)</f>
        <v/>
      </c>
      <c r="B48" s="10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52" t="str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52" t="str">
        <f>IF(B48="","",B48/MAX(B$5:B48)-1)</f>
        <v/>
      </c>
      <c r="E48" s="10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52" t="str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52" t="str">
        <f>IF(E48="","",E48/MAX(E$5:E48)-1)</f>
        <v/>
      </c>
      <c r="H48" s="10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52" t="str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52" t="str">
        <f>IF(H48="","",H48/MAX(H$5:H48)-1)</f>
        <v/>
      </c>
      <c r="K48" s="102" t="str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  <v/>
      </c>
      <c r="L48" s="52" t="str">
        <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f>
        <v/>
      </c>
      <c r="M48" s="52" t="str">
        <f>IF(K48="","",K48/MAX(K$5:K48)-1)</f>
        <v/>
      </c>
      <c r="N48" s="102" t="str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  <v/>
      </c>
      <c r="O48" s="52" t="str">
        <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f>
        <v/>
      </c>
      <c r="P48" s="52" t="str">
        <f>IF(N48="","",N48/MAX(N$5:N48)-1)</f>
        <v/>
      </c>
      <c r="Q48" s="102" t="str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  <v/>
      </c>
      <c r="R48" s="52" t="str">
        <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f>
        <v/>
      </c>
      <c r="S48" s="52" t="str">
        <f>IF(Q48="","",Q48/MAX(Q$5:Q48)-1)</f>
        <v/>
      </c>
    </row>
    <row r="49" spans="1:19" x14ac:dyDescent="0.25">
      <c r="A49" s="103" t="str">
        <f>IF('实盘净值数据(iFinD公式)'!A49="","",'实盘净值数据(iFinD公式)'!A49)</f>
        <v/>
      </c>
      <c r="B49" s="10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52" t="str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52" t="str">
        <f>IF(B49="","",B49/MAX(B$5:B49)-1)</f>
        <v/>
      </c>
      <c r="E49" s="10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52" t="str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52" t="str">
        <f>IF(E49="","",E49/MAX(E$5:E49)-1)</f>
        <v/>
      </c>
      <c r="H49" s="10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52" t="str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52" t="str">
        <f>IF(H49="","",H49/MAX(H$5:H49)-1)</f>
        <v/>
      </c>
      <c r="K49" s="102" t="str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  <v/>
      </c>
      <c r="L49" s="52" t="str">
        <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f>
        <v/>
      </c>
      <c r="M49" s="52" t="str">
        <f>IF(K49="","",K49/MAX(K$5:K49)-1)</f>
        <v/>
      </c>
      <c r="N49" s="102" t="str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  <v/>
      </c>
      <c r="O49" s="52" t="str">
        <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f>
        <v/>
      </c>
      <c r="P49" s="52" t="str">
        <f>IF(N49="","",N49/MAX(N$5:N49)-1)</f>
        <v/>
      </c>
      <c r="Q49" s="102" t="str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  <v/>
      </c>
      <c r="R49" s="52" t="str">
        <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f>
        <v/>
      </c>
      <c r="S49" s="52" t="str">
        <f>IF(Q49="","",Q49/MAX(Q$5:Q49)-1)</f>
        <v/>
      </c>
    </row>
    <row r="50" spans="1:19" x14ac:dyDescent="0.25">
      <c r="A50" s="103" t="str">
        <f>IF('实盘净值数据(iFinD公式)'!A50="","",'实盘净值数据(iFinD公式)'!A50)</f>
        <v/>
      </c>
      <c r="B50" s="10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52" t="str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52" t="str">
        <f>IF(B50="","",B50/MAX(B$5:B50)-1)</f>
        <v/>
      </c>
      <c r="E50" s="10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52" t="str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52" t="str">
        <f>IF(E50="","",E50/MAX(E$5:E50)-1)</f>
        <v/>
      </c>
      <c r="H50" s="10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52" t="str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52" t="str">
        <f>IF(H50="","",H50/MAX(H$5:H50)-1)</f>
        <v/>
      </c>
      <c r="K50" s="102" t="str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  <v/>
      </c>
      <c r="L50" s="52" t="str">
        <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f>
        <v/>
      </c>
      <c r="M50" s="52" t="str">
        <f>IF(K50="","",K50/MAX(K$5:K50)-1)</f>
        <v/>
      </c>
      <c r="N50" s="102" t="str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  <v/>
      </c>
      <c r="O50" s="52" t="str">
        <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f>
        <v/>
      </c>
      <c r="P50" s="52" t="str">
        <f>IF(N50="","",N50/MAX(N$5:N50)-1)</f>
        <v/>
      </c>
      <c r="Q50" s="102" t="str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  <v/>
      </c>
      <c r="R50" s="52" t="str">
        <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f>
        <v/>
      </c>
      <c r="S50" s="52" t="str">
        <f>IF(Q50="","",Q50/MAX(Q$5:Q50)-1)</f>
        <v/>
      </c>
    </row>
    <row r="51" spans="1:19" x14ac:dyDescent="0.25">
      <c r="A51" s="103" t="str">
        <f>IF('实盘净值数据(iFinD公式)'!A51="","",'实盘净值数据(iFinD公式)'!A51)</f>
        <v/>
      </c>
      <c r="B51" s="10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52" t="str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52" t="str">
        <f>IF(B51="","",B51/MAX(B$5:B51)-1)</f>
        <v/>
      </c>
      <c r="E51" s="10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52" t="str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52" t="str">
        <f>IF(E51="","",E51/MAX(E$5:E51)-1)</f>
        <v/>
      </c>
      <c r="H51" s="10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52" t="str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52" t="str">
        <f>IF(H51="","",H51/MAX(H$5:H51)-1)</f>
        <v/>
      </c>
      <c r="K51" s="102" t="str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  <v/>
      </c>
      <c r="L51" s="52" t="str">
        <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f>
        <v/>
      </c>
      <c r="M51" s="52" t="str">
        <f>IF(K51="","",K51/MAX(K$5:K51)-1)</f>
        <v/>
      </c>
      <c r="N51" s="102" t="str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  <v/>
      </c>
      <c r="O51" s="52" t="str">
        <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f>
        <v/>
      </c>
      <c r="P51" s="52" t="str">
        <f>IF(N51="","",N51/MAX(N$5:N51)-1)</f>
        <v/>
      </c>
      <c r="Q51" s="102" t="str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  <v/>
      </c>
      <c r="R51" s="52" t="str">
        <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f>
        <v/>
      </c>
      <c r="S51" s="52" t="str">
        <f>IF(Q51="","",Q51/MAX(Q$5:Q51)-1)</f>
        <v/>
      </c>
    </row>
    <row r="52" spans="1:19" x14ac:dyDescent="0.25">
      <c r="A52" s="103" t="str">
        <f>IF('实盘净值数据(iFinD公式)'!A52="","",'实盘净值数据(iFinD公式)'!A52)</f>
        <v/>
      </c>
      <c r="B52" s="10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52" t="str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52" t="str">
        <f>IF(B52="","",B52/MAX(B$5:B52)-1)</f>
        <v/>
      </c>
      <c r="E52" s="10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52" t="str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52" t="str">
        <f>IF(E52="","",E52/MAX(E$5:E52)-1)</f>
        <v/>
      </c>
      <c r="H52" s="10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52" t="str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52" t="str">
        <f>IF(H52="","",H52/MAX(H$5:H52)-1)</f>
        <v/>
      </c>
      <c r="K52" s="102" t="str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  <v/>
      </c>
      <c r="L52" s="52" t="str">
        <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f>
        <v/>
      </c>
      <c r="M52" s="52" t="str">
        <f>IF(K52="","",K52/MAX(K$5:K52)-1)</f>
        <v/>
      </c>
      <c r="N52" s="102" t="str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  <v/>
      </c>
      <c r="O52" s="52" t="str">
        <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f>
        <v/>
      </c>
      <c r="P52" s="52" t="str">
        <f>IF(N52="","",N52/MAX(N$5:N52)-1)</f>
        <v/>
      </c>
      <c r="Q52" s="102" t="str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  <v/>
      </c>
      <c r="R52" s="52" t="str">
        <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f>
        <v/>
      </c>
      <c r="S52" s="52" t="str">
        <f>IF(Q52="","",Q52/MAX(Q$5:Q52)-1)</f>
        <v/>
      </c>
    </row>
    <row r="53" spans="1:19" x14ac:dyDescent="0.25">
      <c r="A53" s="103" t="str">
        <f>IF('实盘净值数据(iFinD公式)'!A53="","",'实盘净值数据(iFinD公式)'!A53)</f>
        <v/>
      </c>
      <c r="B53" s="10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52" t="str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52" t="str">
        <f>IF(B53="","",B53/MAX(B$5:B53)-1)</f>
        <v/>
      </c>
      <c r="E53" s="10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52" t="str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52" t="str">
        <f>IF(E53="","",E53/MAX(E$5:E53)-1)</f>
        <v/>
      </c>
      <c r="H53" s="10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52" t="str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52" t="str">
        <f>IF(H53="","",H53/MAX(H$5:H53)-1)</f>
        <v/>
      </c>
      <c r="K53" s="102" t="str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  <v/>
      </c>
      <c r="L53" s="52" t="str">
        <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f>
        <v/>
      </c>
      <c r="M53" s="52" t="str">
        <f>IF(K53="","",K53/MAX(K$5:K53)-1)</f>
        <v/>
      </c>
      <c r="N53" s="102" t="str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  <v/>
      </c>
      <c r="O53" s="52" t="str">
        <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f>
        <v/>
      </c>
      <c r="P53" s="52" t="str">
        <f>IF(N53="","",N53/MAX(N$5:N53)-1)</f>
        <v/>
      </c>
      <c r="Q53" s="102" t="str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  <v/>
      </c>
      <c r="R53" s="52" t="str">
        <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f>
        <v/>
      </c>
      <c r="S53" s="52" t="str">
        <f>IF(Q53="","",Q53/MAX(Q$5:Q53)-1)</f>
        <v/>
      </c>
    </row>
    <row r="54" spans="1:19" x14ac:dyDescent="0.25">
      <c r="A54" s="103" t="str">
        <f>IF('实盘净值数据(iFinD公式)'!A54="","",'实盘净值数据(iFinD公式)'!A54)</f>
        <v/>
      </c>
      <c r="B54" s="10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52" t="str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52" t="str">
        <f>IF(B54="","",B54/MAX(B$5:B54)-1)</f>
        <v/>
      </c>
      <c r="E54" s="10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52" t="str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52" t="str">
        <f>IF(E54="","",E54/MAX(E$5:E54)-1)</f>
        <v/>
      </c>
      <c r="H54" s="10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52" t="str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52" t="str">
        <f>IF(H54="","",H54/MAX(H$5:H54)-1)</f>
        <v/>
      </c>
      <c r="K54" s="102" t="str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  <v/>
      </c>
      <c r="L54" s="52" t="str">
        <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f>
        <v/>
      </c>
      <c r="M54" s="52" t="str">
        <f>IF(K54="","",K54/MAX(K$5:K54)-1)</f>
        <v/>
      </c>
      <c r="N54" s="102" t="str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  <v/>
      </c>
      <c r="O54" s="52" t="str">
        <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f>
        <v/>
      </c>
      <c r="P54" s="52" t="str">
        <f>IF(N54="","",N54/MAX(N$5:N54)-1)</f>
        <v/>
      </c>
      <c r="Q54" s="102" t="str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  <v/>
      </c>
      <c r="R54" s="52" t="str">
        <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f>
        <v/>
      </c>
      <c r="S54" s="52" t="str">
        <f>IF(Q54="","",Q54/MAX(Q$5:Q54)-1)</f>
        <v/>
      </c>
    </row>
    <row r="55" spans="1:19" x14ac:dyDescent="0.25">
      <c r="A55" s="103" t="str">
        <f>IF('实盘净值数据(iFinD公式)'!A55="","",'实盘净值数据(iFinD公式)'!A55)</f>
        <v/>
      </c>
      <c r="B55" s="10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52" t="str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52" t="str">
        <f>IF(B55="","",B55/MAX(B$5:B55)-1)</f>
        <v/>
      </c>
      <c r="E55" s="10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52" t="str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52" t="str">
        <f>IF(E55="","",E55/MAX(E$5:E55)-1)</f>
        <v/>
      </c>
      <c r="H55" s="10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52" t="str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52" t="str">
        <f>IF(H55="","",H55/MAX(H$5:H55)-1)</f>
        <v/>
      </c>
      <c r="K55" s="102" t="str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  <v/>
      </c>
      <c r="L55" s="52" t="str">
        <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f>
        <v/>
      </c>
      <c r="M55" s="52" t="str">
        <f>IF(K55="","",K55/MAX(K$5:K55)-1)</f>
        <v/>
      </c>
      <c r="N55" s="102" t="str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  <v/>
      </c>
      <c r="O55" s="52" t="str">
        <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f>
        <v/>
      </c>
      <c r="P55" s="52" t="str">
        <f>IF(N55="","",N55/MAX(N$5:N55)-1)</f>
        <v/>
      </c>
      <c r="Q55" s="102" t="str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  <v/>
      </c>
      <c r="R55" s="52" t="str">
        <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f>
        <v/>
      </c>
      <c r="S55" s="52" t="str">
        <f>IF(Q55="","",Q55/MAX(Q$5:Q55)-1)</f>
        <v/>
      </c>
    </row>
    <row r="56" spans="1:19" x14ac:dyDescent="0.25">
      <c r="A56" s="103" t="str">
        <f>IF('实盘净值数据(iFinD公式)'!A56="","",'实盘净值数据(iFinD公式)'!A56)</f>
        <v/>
      </c>
      <c r="B56" s="10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52" t="str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52" t="str">
        <f>IF(B56="","",B56/MAX(B$5:B56)-1)</f>
        <v/>
      </c>
      <c r="E56" s="10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52" t="str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52" t="str">
        <f>IF(E56="","",E56/MAX(E$5:E56)-1)</f>
        <v/>
      </c>
      <c r="H56" s="10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52" t="str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52" t="str">
        <f>IF(H56="","",H56/MAX(H$5:H56)-1)</f>
        <v/>
      </c>
      <c r="K56" s="102" t="str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  <v/>
      </c>
      <c r="L56" s="52" t="str">
        <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f>
        <v/>
      </c>
      <c r="M56" s="52" t="str">
        <f>IF(K56="","",K56/MAX(K$5:K56)-1)</f>
        <v/>
      </c>
      <c r="N56" s="102" t="str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  <v/>
      </c>
      <c r="O56" s="52" t="str">
        <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f>
        <v/>
      </c>
      <c r="P56" s="52" t="str">
        <f>IF(N56="","",N56/MAX(N$5:N56)-1)</f>
        <v/>
      </c>
      <c r="Q56" s="102" t="str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  <v/>
      </c>
      <c r="R56" s="52" t="str">
        <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f>
        <v/>
      </c>
      <c r="S56" s="52" t="str">
        <f>IF(Q56="","",Q56/MAX(Q$5:Q56)-1)</f>
        <v/>
      </c>
    </row>
    <row r="57" spans="1:19" x14ac:dyDescent="0.25">
      <c r="A57" s="103" t="str">
        <f>IF('实盘净值数据(iFinD公式)'!A57="","",'实盘净值数据(iFinD公式)'!A57)</f>
        <v/>
      </c>
      <c r="B57" s="10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52" t="str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52" t="str">
        <f>IF(B57="","",B57/MAX(B$5:B57)-1)</f>
        <v/>
      </c>
      <c r="E57" s="10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52" t="str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52" t="str">
        <f>IF(E57="","",E57/MAX(E$5:E57)-1)</f>
        <v/>
      </c>
      <c r="H57" s="10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52" t="str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52" t="str">
        <f>IF(H57="","",H57/MAX(H$5:H57)-1)</f>
        <v/>
      </c>
      <c r="K57" s="102" t="str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  <v/>
      </c>
      <c r="L57" s="52" t="str">
        <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f>
        <v/>
      </c>
      <c r="M57" s="52" t="str">
        <f>IF(K57="","",K57/MAX(K$5:K57)-1)</f>
        <v/>
      </c>
      <c r="N57" s="102" t="str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  <v/>
      </c>
      <c r="O57" s="52" t="str">
        <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f>
        <v/>
      </c>
      <c r="P57" s="52" t="str">
        <f>IF(N57="","",N57/MAX(N$5:N57)-1)</f>
        <v/>
      </c>
      <c r="Q57" s="102" t="str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  <v/>
      </c>
      <c r="R57" s="52" t="str">
        <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f>
        <v/>
      </c>
      <c r="S57" s="52" t="str">
        <f>IF(Q57="","",Q57/MAX(Q$5:Q57)-1)</f>
        <v/>
      </c>
    </row>
    <row r="58" spans="1:19" x14ac:dyDescent="0.25">
      <c r="A58" s="103" t="str">
        <f>IF('实盘净值数据(iFinD公式)'!A58="","",'实盘净值数据(iFinD公式)'!A58)</f>
        <v/>
      </c>
      <c r="B58" s="10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52" t="str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52" t="str">
        <f>IF(B58="","",B58/MAX(B$5:B58)-1)</f>
        <v/>
      </c>
      <c r="E58" s="10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52" t="str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52" t="str">
        <f>IF(E58="","",E58/MAX(E$5:E58)-1)</f>
        <v/>
      </c>
      <c r="H58" s="10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52" t="str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52" t="str">
        <f>IF(H58="","",H58/MAX(H$5:H58)-1)</f>
        <v/>
      </c>
      <c r="K58" s="102" t="str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  <v/>
      </c>
      <c r="L58" s="52" t="str">
        <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f>
        <v/>
      </c>
      <c r="M58" s="52" t="str">
        <f>IF(K58="","",K58/MAX(K$5:K58)-1)</f>
        <v/>
      </c>
      <c r="N58" s="102" t="str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  <v/>
      </c>
      <c r="O58" s="52" t="str">
        <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f>
        <v/>
      </c>
      <c r="P58" s="52" t="str">
        <f>IF(N58="","",N58/MAX(N$5:N58)-1)</f>
        <v/>
      </c>
      <c r="Q58" s="102" t="str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  <v/>
      </c>
      <c r="R58" s="52" t="str">
        <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f>
        <v/>
      </c>
      <c r="S58" s="52" t="str">
        <f>IF(Q58="","",Q58/MAX(Q$5:Q58)-1)</f>
        <v/>
      </c>
    </row>
    <row r="59" spans="1:19" x14ac:dyDescent="0.25">
      <c r="A59" s="103" t="str">
        <f>IF('实盘净值数据(iFinD公式)'!A59="","",'实盘净值数据(iFinD公式)'!A59)</f>
        <v/>
      </c>
      <c r="B59" s="10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52" t="str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52" t="str">
        <f>IF(B59="","",B59/MAX(B$5:B59)-1)</f>
        <v/>
      </c>
      <c r="E59" s="10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52" t="str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52" t="str">
        <f>IF(E59="","",E59/MAX(E$5:E59)-1)</f>
        <v/>
      </c>
      <c r="H59" s="10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52" t="str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52" t="str">
        <f>IF(H59="","",H59/MAX(H$5:H59)-1)</f>
        <v/>
      </c>
      <c r="K59" s="102" t="str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  <v/>
      </c>
      <c r="L59" s="52" t="str">
        <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f>
        <v/>
      </c>
      <c r="M59" s="52" t="str">
        <f>IF(K59="","",K59/MAX(K$5:K59)-1)</f>
        <v/>
      </c>
      <c r="N59" s="102" t="str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  <v/>
      </c>
      <c r="O59" s="52" t="str">
        <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f>
        <v/>
      </c>
      <c r="P59" s="52" t="str">
        <f>IF(N59="","",N59/MAX(N$5:N59)-1)</f>
        <v/>
      </c>
      <c r="Q59" s="102" t="str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  <v/>
      </c>
      <c r="R59" s="52" t="str">
        <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f>
        <v/>
      </c>
      <c r="S59" s="52" t="str">
        <f>IF(Q59="","",Q59/MAX(Q$5:Q59)-1)</f>
        <v/>
      </c>
    </row>
    <row r="61" spans="1:19" ht="14.5" customHeight="1" x14ac:dyDescent="0.3">
      <c r="A61" s="57" t="s">
        <v>175</v>
      </c>
    </row>
  </sheetData>
  <mergeCells count="1">
    <mergeCell ref="A1:J2"/>
  </mergeCells>
  <phoneticPr fontId="1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4</vt:i4>
      </vt:variant>
    </vt:vector>
  </HeadingPairs>
  <TitlesOfParts>
    <vt:vector size="18" baseType="lpstr">
      <vt:lpstr>持仓配置</vt:lpstr>
      <vt:lpstr>净值数据(iFinD公式)</vt:lpstr>
      <vt:lpstr>组合净值（模拟）</vt:lpstr>
      <vt:lpstr>看板-10-90</vt:lpstr>
      <vt:lpstr>看板-20-80</vt:lpstr>
      <vt:lpstr>看板-30-70</vt:lpstr>
      <vt:lpstr>看板-增值</vt:lpstr>
      <vt:lpstr>说明</vt:lpstr>
      <vt:lpstr>vs招行</vt:lpstr>
      <vt:lpstr>vs固收+</vt:lpstr>
      <vt:lpstr>1090实盘净值</vt:lpstr>
      <vt:lpstr>实盘持仓配置</vt:lpstr>
      <vt:lpstr>实盘净值数据(iFinD公式)</vt:lpstr>
      <vt:lpstr>实盘组合净值</vt:lpstr>
      <vt:lpstr>'看板-10-90'!Print_Area</vt:lpstr>
      <vt:lpstr>'看板-20-80'!Print_Area</vt:lpstr>
      <vt:lpstr>'看板-30-70'!Print_Area</vt:lpstr>
      <vt:lpstr>'看板-增值'!Print_Area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2026-07-08T07:10:01Z</dcterms:modified>
</cp:coreProperties>
</file>