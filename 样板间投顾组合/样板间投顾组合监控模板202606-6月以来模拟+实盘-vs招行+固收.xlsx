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ixin\样板间投顾+增值组合\"/>
    </mc:Choice>
  </mc:AlternateContent>
  <bookViews>
    <workbookView xWindow="0" yWindow="0" windowWidth="4090" windowHeight="5890" firstSheet="1" activeTab="9"/>
  </bookViews>
  <sheets>
    <sheet name="持仓配置" sheetId="1" r:id="rId1"/>
    <sheet name="净值数据(iFinD公式)" sheetId="2" r:id="rId2"/>
    <sheet name="组合净值（模拟）" sheetId="3" r:id="rId3"/>
    <sheet name="看板-10-90" sheetId="4" r:id="rId4"/>
    <sheet name="看板-20-80" sheetId="5" r:id="rId5"/>
    <sheet name="看板-30-70" sheetId="6" r:id="rId6"/>
    <sheet name="看板-增值" sheetId="7" r:id="rId7"/>
    <sheet name="说明" sheetId="8" r:id="rId8"/>
    <sheet name="vs招行" sheetId="9" r:id="rId9"/>
    <sheet name="vs固收+" sheetId="10" r:id="rId10"/>
    <sheet name="1090实盘净值" sheetId="11" r:id="rId11"/>
    <sheet name="实盘持仓配置" sheetId="12" r:id="rId12"/>
    <sheet name="实盘净值数据(iFinD公式)" sheetId="13" r:id="rId13"/>
    <sheet name="实盘组合净值" sheetId="14" r:id="rId14"/>
  </sheets>
  <externalReferences>
    <externalReference r:id="rId15"/>
  </externalReferences>
  <definedNames>
    <definedName name="chtB">OFFSET('组合净值（模拟）'!$B$6,0,0,COUNT('组合净值（模拟）'!$B$6:$B$2000),1)</definedName>
    <definedName name="chtDate">OFFSET('组合净值（模拟）'!$A$6,0,0,COUNT('组合净值（模拟）'!$B$6:$B$2000),1)</definedName>
    <definedName name="chtE">OFFSET('组合净值（模拟）'!$E$6,0,0,COUNT('组合净值（模拟）'!$E$6:$E$2000),1)</definedName>
    <definedName name="chtH">OFFSET('组合净值（模拟）'!$H$6,0,0,COUNT('组合净值（模拟）'!$H$6:$H$2000),1)</definedName>
    <definedName name="chtK">OFFSET('组合净值（模拟）'!$K$6,0,0,COUNT('组合净值（模拟）'!$K$6:$K$2000),1)</definedName>
    <definedName name="_xlnm.Print_Area" localSheetId="3">'看板-10-90'!$A$1:$H$36</definedName>
    <definedName name="_xlnm.Print_Area" localSheetId="4">'看板-20-80'!$A$1:$H$36</definedName>
    <definedName name="_xlnm.Print_Area" localSheetId="5">'看板-30-70'!$A$1:$H$36</definedName>
    <definedName name="_xlnm.Print_Area" localSheetId="6">'看板-增值'!$A$1:$H$36</definedName>
  </definedNames>
  <calcPr calcId="152511"/>
</workbook>
</file>

<file path=xl/calcChain.xml><?xml version="1.0" encoding="utf-8"?>
<calcChain xmlns="http://schemas.openxmlformats.org/spreadsheetml/2006/main">
  <c r="K2" i="10" l="1"/>
  <c r="J7" i="10"/>
  <c r="J15" i="10"/>
  <c r="J16" i="10"/>
  <c r="J21" i="10"/>
  <c r="J8" i="10"/>
  <c r="J13" i="10"/>
  <c r="J9" i="10"/>
  <c r="J17" i="10"/>
  <c r="J10" i="10"/>
  <c r="J18" i="10"/>
  <c r="J12" i="10"/>
  <c r="J11" i="10"/>
  <c r="J19" i="10"/>
  <c r="J20" i="10"/>
  <c r="J14" i="10"/>
  <c r="K9" i="10"/>
  <c r="K8" i="10"/>
  <c r="K7" i="10"/>
  <c r="H2" i="10" l="1"/>
  <c r="H1" i="10" s="1"/>
  <c r="G22" i="10"/>
  <c r="G23" i="10"/>
  <c r="G24" i="10"/>
  <c r="G26" i="10"/>
  <c r="G25" i="10"/>
  <c r="H3" i="10" l="1"/>
  <c r="F5" i="10"/>
  <c r="G19" i="10"/>
  <c r="C13" i="10"/>
  <c r="G11" i="10"/>
  <c r="C21" i="10"/>
  <c r="G14" i="10"/>
  <c r="C10" i="10"/>
  <c r="C18" i="10"/>
  <c r="H11" i="10"/>
  <c r="C7" i="10"/>
  <c r="G9" i="10"/>
  <c r="C16" i="10"/>
  <c r="H17" i="10"/>
  <c r="H14" i="10"/>
  <c r="C14" i="10"/>
  <c r="C17" i="10"/>
  <c r="H8" i="10"/>
  <c r="H10" i="10"/>
  <c r="H12" i="10"/>
  <c r="H13" i="10"/>
  <c r="H9" i="10"/>
  <c r="H15" i="10"/>
  <c r="C15" i="10"/>
  <c r="H16" i="10"/>
  <c r="C9" i="10"/>
  <c r="C12" i="10"/>
  <c r="G16" i="10"/>
  <c r="H7" i="10"/>
  <c r="G21" i="10"/>
  <c r="G18" i="10"/>
  <c r="G20" i="10"/>
  <c r="G10" i="10"/>
  <c r="G15" i="10"/>
  <c r="C11" i="10"/>
  <c r="C19" i="10"/>
  <c r="G12" i="10"/>
  <c r="H21" i="10"/>
  <c r="G7" i="10"/>
  <c r="G17" i="10"/>
  <c r="C20" i="10"/>
  <c r="H19" i="10"/>
  <c r="G8" i="10"/>
  <c r="G13" i="10"/>
  <c r="C8" i="10"/>
  <c r="H18" i="10"/>
  <c r="H20" i="10"/>
  <c r="Q5" i="10" l="1"/>
  <c r="D17" i="10"/>
  <c r="F15" i="10"/>
  <c r="F17" i="10"/>
  <c r="F10" i="10"/>
  <c r="D14" i="10"/>
  <c r="F12" i="10"/>
  <c r="D13" i="10"/>
  <c r="F14" i="10"/>
  <c r="F13" i="10"/>
  <c r="D15" i="10"/>
  <c r="D10" i="10"/>
  <c r="F18" i="10"/>
  <c r="F11" i="10"/>
  <c r="D16" i="10"/>
  <c r="F16" i="10"/>
  <c r="D11" i="10"/>
  <c r="D18" i="10"/>
  <c r="D12" i="10"/>
  <c r="I3" i="10" l="1"/>
  <c r="F4" i="9" l="1"/>
  <c r="E2" i="9" s="1"/>
  <c r="F2" i="10"/>
  <c r="F8" i="9"/>
  <c r="D22" i="10"/>
  <c r="D20" i="10"/>
  <c r="F6" i="9"/>
  <c r="D24" i="10"/>
  <c r="D8" i="10"/>
  <c r="D21" i="10"/>
  <c r="D9" i="10"/>
  <c r="D23" i="10"/>
  <c r="D25" i="10"/>
  <c r="D19" i="10"/>
  <c r="F9" i="9"/>
  <c r="F7" i="9"/>
  <c r="D7" i="10"/>
  <c r="F12" i="9"/>
  <c r="F11" i="9"/>
  <c r="F10" i="9"/>
  <c r="D26" i="10"/>
  <c r="N5" i="9" l="1"/>
  <c r="F26" i="10"/>
  <c r="N6" i="9"/>
  <c r="C26" i="10"/>
  <c r="A59" i="14" l="1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P5" i="14"/>
  <c r="G5" i="14"/>
  <c r="A5" i="14"/>
  <c r="N2" i="9" s="1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H59" i="14" s="1"/>
  <c r="J59" i="14" s="1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7" i="14" s="1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Q56" i="14" s="1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4" i="14" s="1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Q53" i="14" s="1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1" i="14" s="1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Q48" i="14" s="1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Q45" i="14" s="1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K44" i="14" s="1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3" i="14" s="1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B3" i="13"/>
  <c r="A2" i="13"/>
  <c r="Y9" i="12"/>
  <c r="Y8" i="12"/>
  <c r="Y7" i="12"/>
  <c r="Y6" i="12"/>
  <c r="Y5" i="12"/>
  <c r="Y4" i="12"/>
  <c r="D1" i="11"/>
  <c r="L3" i="10"/>
  <c r="L2" i="10"/>
  <c r="I2" i="10"/>
  <c r="K1" i="10"/>
  <c r="I1" i="10"/>
  <c r="G4" i="9"/>
  <c r="I3" i="9"/>
  <c r="G3" i="9"/>
  <c r="B3" i="7"/>
  <c r="B3" i="6"/>
  <c r="B3" i="5"/>
  <c r="B3" i="4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H57" i="3" s="1"/>
  <c r="J57" i="3" s="1"/>
  <c r="N3" i="2"/>
  <c r="M3" i="2"/>
  <c r="L3" i="2"/>
  <c r="K3" i="2"/>
  <c r="J3" i="2"/>
  <c r="I3" i="2"/>
  <c r="H3" i="2"/>
  <c r="G3" i="2"/>
  <c r="F3" i="2"/>
  <c r="E3" i="2"/>
  <c r="D3" i="2"/>
  <c r="C3" i="2"/>
  <c r="B3" i="2"/>
  <c r="A2" i="2"/>
  <c r="O7" i="1"/>
  <c r="O6" i="1"/>
  <c r="O5" i="1"/>
  <c r="O4" i="1"/>
  <c r="L7" i="10"/>
  <c r="L18" i="10"/>
  <c r="L17" i="10"/>
  <c r="A4" i="2"/>
  <c r="A2" i="11"/>
  <c r="A4" i="13"/>
  <c r="W42" i="13"/>
  <c r="O42" i="13"/>
  <c r="G42" i="13"/>
  <c r="V41" i="13"/>
  <c r="N41" i="13"/>
  <c r="F41" i="13"/>
  <c r="U40" i="13"/>
  <c r="M40" i="13"/>
  <c r="E40" i="13"/>
  <c r="T39" i="13"/>
  <c r="L39" i="13"/>
  <c r="D39" i="13"/>
  <c r="H55" i="2"/>
  <c r="M54" i="2"/>
  <c r="E54" i="2"/>
  <c r="J53" i="2"/>
  <c r="B53" i="2"/>
  <c r="G52" i="2"/>
  <c r="I53" i="2"/>
  <c r="V42" i="13"/>
  <c r="N42" i="13"/>
  <c r="F42" i="13"/>
  <c r="U41" i="13"/>
  <c r="M41" i="13"/>
  <c r="E41" i="13"/>
  <c r="T40" i="13"/>
  <c r="L40" i="13"/>
  <c r="D40" i="13"/>
  <c r="S39" i="13"/>
  <c r="K39" i="13"/>
  <c r="C39" i="13"/>
  <c r="G55" i="2"/>
  <c r="L54" i="2"/>
  <c r="N52" i="2"/>
  <c r="U42" i="13"/>
  <c r="M42" i="13"/>
  <c r="E42" i="13"/>
  <c r="T41" i="13"/>
  <c r="L41" i="13"/>
  <c r="D41" i="13"/>
  <c r="S40" i="13"/>
  <c r="K40" i="13"/>
  <c r="C40" i="13"/>
  <c r="R39" i="13"/>
  <c r="J39" i="13"/>
  <c r="B39" i="13"/>
  <c r="N55" i="2"/>
  <c r="F55" i="2"/>
  <c r="K54" i="2"/>
  <c r="C54" i="2"/>
  <c r="H53" i="2"/>
  <c r="M52" i="2"/>
  <c r="E52" i="2"/>
  <c r="T42" i="13"/>
  <c r="L42" i="13"/>
  <c r="D42" i="13"/>
  <c r="S41" i="13"/>
  <c r="K41" i="13"/>
  <c r="C41" i="13"/>
  <c r="R40" i="13"/>
  <c r="J40" i="13"/>
  <c r="B40" i="13"/>
  <c r="Q39" i="13"/>
  <c r="I39" i="13"/>
  <c r="M55" i="2"/>
  <c r="E55" i="2"/>
  <c r="J54" i="2"/>
  <c r="B54" i="2"/>
  <c r="G53" i="2"/>
  <c r="L52" i="2"/>
  <c r="D52" i="2"/>
  <c r="F52" i="2"/>
  <c r="S42" i="13"/>
  <c r="K42" i="13"/>
  <c r="C42" i="13"/>
  <c r="R41" i="13"/>
  <c r="J41" i="13"/>
  <c r="B41" i="13"/>
  <c r="Q40" i="13"/>
  <c r="I40" i="13"/>
  <c r="X39" i="13"/>
  <c r="P39" i="13"/>
  <c r="H39" i="13"/>
  <c r="L55" i="2"/>
  <c r="D55" i="2"/>
  <c r="I54" i="2"/>
  <c r="N53" i="2"/>
  <c r="F53" i="2"/>
  <c r="K52" i="2"/>
  <c r="C52" i="2"/>
  <c r="R42" i="13"/>
  <c r="J42" i="13"/>
  <c r="B42" i="13"/>
  <c r="Q41" i="13"/>
  <c r="I41" i="13"/>
  <c r="X40" i="13"/>
  <c r="P40" i="13"/>
  <c r="H40" i="13"/>
  <c r="W39" i="13"/>
  <c r="O39" i="13"/>
  <c r="G39" i="13"/>
  <c r="K55" i="2"/>
  <c r="C55" i="2"/>
  <c r="H54" i="2"/>
  <c r="M53" i="2"/>
  <c r="E53" i="2"/>
  <c r="J52" i="2"/>
  <c r="B52" i="2"/>
  <c r="Q42" i="13"/>
  <c r="I42" i="13"/>
  <c r="X41" i="13"/>
  <c r="P41" i="13"/>
  <c r="H41" i="13"/>
  <c r="W40" i="13"/>
  <c r="O40" i="13"/>
  <c r="G40" i="13"/>
  <c r="V39" i="13"/>
  <c r="N39" i="13"/>
  <c r="F39" i="13"/>
  <c r="J55" i="2"/>
  <c r="B55" i="2"/>
  <c r="G54" i="2"/>
  <c r="L53" i="2"/>
  <c r="D53" i="2"/>
  <c r="I52" i="2"/>
  <c r="X42" i="13"/>
  <c r="P42" i="13"/>
  <c r="H42" i="13"/>
  <c r="W41" i="13"/>
  <c r="O41" i="13"/>
  <c r="G41" i="13"/>
  <c r="V40" i="13"/>
  <c r="N40" i="13"/>
  <c r="F40" i="13"/>
  <c r="U39" i="13"/>
  <c r="M39" i="13"/>
  <c r="E39" i="13"/>
  <c r="I55" i="2"/>
  <c r="N54" i="2"/>
  <c r="F54" i="2"/>
  <c r="K53" i="2"/>
  <c r="C53" i="2"/>
  <c r="H52" i="2"/>
  <c r="D54" i="2"/>
  <c r="J38" i="13"/>
  <c r="X38" i="13"/>
  <c r="G51" i="2"/>
  <c r="M38" i="13"/>
  <c r="D37" i="13"/>
  <c r="N41" i="2"/>
  <c r="I28" i="13"/>
  <c r="D36" i="2"/>
  <c r="M40" i="2"/>
  <c r="J32" i="2"/>
  <c r="C34" i="13"/>
  <c r="O24" i="13"/>
  <c r="H22" i="13"/>
  <c r="O30" i="13"/>
  <c r="J46" i="2"/>
  <c r="B34" i="2"/>
  <c r="I36" i="2"/>
  <c r="N32" i="13"/>
  <c r="D24" i="13"/>
  <c r="X22" i="13"/>
  <c r="C42" i="2"/>
  <c r="H35" i="2"/>
  <c r="J35" i="13"/>
  <c r="X35" i="13"/>
  <c r="K36" i="2"/>
  <c r="M34" i="13"/>
  <c r="U20" i="13"/>
  <c r="S28" i="13"/>
  <c r="B31" i="13"/>
  <c r="T22" i="13"/>
  <c r="M30" i="13"/>
  <c r="U31" i="13"/>
  <c r="C21" i="13"/>
  <c r="I37" i="13"/>
  <c r="L34" i="2"/>
  <c r="K37" i="13"/>
  <c r="N38" i="2"/>
  <c r="G46" i="2"/>
  <c r="E19" i="13"/>
  <c r="R36" i="13"/>
  <c r="K41" i="2"/>
  <c r="E38" i="2"/>
  <c r="G42" i="2"/>
  <c r="H33" i="2"/>
  <c r="U23" i="13"/>
  <c r="M49" i="2"/>
  <c r="D33" i="2"/>
  <c r="B42" i="2"/>
  <c r="E50" i="2"/>
  <c r="B25" i="13"/>
  <c r="E32" i="13"/>
  <c r="B35" i="2"/>
  <c r="J48" i="2"/>
  <c r="B48" i="2"/>
  <c r="N10" i="10"/>
  <c r="J19" i="13"/>
  <c r="R33" i="13"/>
  <c r="K14" i="10"/>
  <c r="O22" i="13"/>
  <c r="Q37" i="13"/>
  <c r="C29" i="13"/>
  <c r="O26" i="13"/>
  <c r="G48" i="2"/>
  <c r="E25" i="13"/>
  <c r="O18" i="10"/>
  <c r="I16" i="10"/>
  <c r="Q32" i="13"/>
  <c r="S23" i="13"/>
  <c r="J22" i="13"/>
  <c r="K10" i="10"/>
  <c r="N28" i="13"/>
  <c r="H43" i="2"/>
  <c r="C28" i="13"/>
  <c r="Q35" i="13"/>
  <c r="P33" i="13"/>
  <c r="C25" i="13"/>
  <c r="J36" i="2"/>
  <c r="S35" i="13"/>
  <c r="F45" i="2"/>
  <c r="P26" i="13"/>
  <c r="M16" i="10"/>
  <c r="B38" i="13"/>
  <c r="P38" i="13"/>
  <c r="V38" i="13"/>
  <c r="E38" i="13"/>
  <c r="E37" i="13"/>
  <c r="W32" i="13"/>
  <c r="M18" i="10"/>
  <c r="B21" i="13"/>
  <c r="L46" i="2"/>
  <c r="L21" i="13"/>
  <c r="Q33" i="13"/>
  <c r="K16" i="10"/>
  <c r="I37" i="2"/>
  <c r="F30" i="13"/>
  <c r="O10" i="10"/>
  <c r="M33" i="2"/>
  <c r="S34" i="13"/>
  <c r="O29" i="13"/>
  <c r="X31" i="13"/>
  <c r="J37" i="13"/>
  <c r="J26" i="13"/>
  <c r="L42" i="2"/>
  <c r="K49" i="2"/>
  <c r="F40" i="2"/>
  <c r="I22" i="13"/>
  <c r="R32" i="13"/>
  <c r="Q31" i="13"/>
  <c r="W34" i="13"/>
  <c r="G29" i="13"/>
  <c r="E33" i="13"/>
  <c r="C41" i="2"/>
  <c r="H32" i="2"/>
  <c r="N16" i="10"/>
  <c r="N17" i="10"/>
  <c r="D40" i="2"/>
  <c r="I11" i="10"/>
  <c r="G38" i="2"/>
  <c r="E43" i="2"/>
  <c r="D43" i="2"/>
  <c r="J49" i="2"/>
  <c r="N12" i="10"/>
  <c r="I34" i="2"/>
  <c r="M36" i="13"/>
  <c r="N14" i="10"/>
  <c r="K21" i="13"/>
  <c r="M44" i="2"/>
  <c r="M13" i="10"/>
  <c r="I19" i="10"/>
  <c r="L32" i="13"/>
  <c r="J44" i="2"/>
  <c r="H45" i="2"/>
  <c r="C19" i="13"/>
  <c r="F44" i="2"/>
  <c r="N15" i="10"/>
  <c r="B22" i="13"/>
  <c r="K31" i="13"/>
  <c r="T21" i="13"/>
  <c r="I33" i="13"/>
  <c r="W27" i="13"/>
  <c r="B19" i="13"/>
  <c r="C35" i="13"/>
  <c r="L37" i="13"/>
  <c r="F20" i="13"/>
  <c r="G34" i="13"/>
  <c r="K34" i="2"/>
  <c r="X27" i="13"/>
  <c r="N35" i="13"/>
  <c r="L33" i="2"/>
  <c r="J41" i="2"/>
  <c r="M17" i="10"/>
  <c r="P22" i="13"/>
  <c r="P28" i="13"/>
  <c r="T20" i="13"/>
  <c r="N30" i="13"/>
  <c r="F48" i="2"/>
  <c r="E24" i="13"/>
  <c r="H32" i="13"/>
  <c r="Q25" i="13"/>
  <c r="C40" i="2"/>
  <c r="M29" i="13"/>
  <c r="O19" i="13"/>
  <c r="B50" i="2"/>
  <c r="G44" i="2"/>
  <c r="M31" i="13"/>
  <c r="M35" i="2"/>
  <c r="E33" i="2"/>
  <c r="N26" i="10"/>
  <c r="N37" i="13"/>
  <c r="D22" i="13"/>
  <c r="V20" i="13"/>
  <c r="N27" i="13"/>
  <c r="C33" i="2"/>
  <c r="M47" i="2"/>
  <c r="J51" i="2"/>
  <c r="H38" i="13"/>
  <c r="N38" i="13"/>
  <c r="T38" i="13"/>
  <c r="F37" i="13"/>
  <c r="G45" i="2"/>
  <c r="D32" i="13"/>
  <c r="D25" i="13"/>
  <c r="M41" i="2"/>
  <c r="I32" i="2"/>
  <c r="J36" i="13"/>
  <c r="N48" i="2"/>
  <c r="X24" i="13"/>
  <c r="V32" i="13"/>
  <c r="G27" i="13"/>
  <c r="I26" i="10"/>
  <c r="H19" i="13"/>
  <c r="J23" i="13"/>
  <c r="S21" i="13"/>
  <c r="I50" i="2"/>
  <c r="I45" i="2"/>
  <c r="G20" i="13"/>
  <c r="M20" i="13"/>
  <c r="E41" i="2"/>
  <c r="G19" i="13"/>
  <c r="H31" i="13"/>
  <c r="D19" i="13"/>
  <c r="I33" i="2"/>
  <c r="T27" i="13"/>
  <c r="J24" i="13"/>
  <c r="O26" i="10"/>
  <c r="F36" i="13"/>
  <c r="S27" i="13"/>
  <c r="S26" i="13"/>
  <c r="N44" i="2"/>
  <c r="I41" i="2"/>
  <c r="G24" i="13"/>
  <c r="F41" i="2"/>
  <c r="O25" i="13"/>
  <c r="P25" i="13"/>
  <c r="F34" i="13"/>
  <c r="K35" i="2"/>
  <c r="D36" i="13"/>
  <c r="R30" i="13"/>
  <c r="G25" i="13"/>
  <c r="F39" i="2"/>
  <c r="G34" i="2"/>
  <c r="J31" i="13"/>
  <c r="D49" i="2"/>
  <c r="I38" i="2"/>
  <c r="N36" i="13"/>
  <c r="P24" i="13"/>
  <c r="T29" i="13"/>
  <c r="D39" i="2"/>
  <c r="G33" i="2"/>
  <c r="W28" i="13"/>
  <c r="M32" i="2"/>
  <c r="B36" i="13"/>
  <c r="M48" i="2"/>
  <c r="C36" i="2"/>
  <c r="B49" i="2"/>
  <c r="X30" i="13"/>
  <c r="J25" i="13"/>
  <c r="B38" i="2"/>
  <c r="I46" i="2"/>
  <c r="K15" i="10"/>
  <c r="S33" i="13"/>
  <c r="J33" i="2"/>
  <c r="B27" i="13"/>
  <c r="N34" i="13"/>
  <c r="R19" i="13"/>
  <c r="E26" i="13"/>
  <c r="L23" i="13"/>
  <c r="G33" i="13"/>
  <c r="N43" i="2"/>
  <c r="P21" i="13"/>
  <c r="X34" i="13"/>
  <c r="L31" i="13"/>
  <c r="G37" i="2"/>
  <c r="L36" i="2"/>
  <c r="I47" i="2"/>
  <c r="W22" i="13"/>
  <c r="T19" i="13"/>
  <c r="K47" i="2"/>
  <c r="L36" i="13"/>
  <c r="P30" i="13"/>
  <c r="B26" i="13"/>
  <c r="D23" i="13"/>
  <c r="I26" i="13"/>
  <c r="P35" i="13"/>
  <c r="B30" i="13"/>
  <c r="M46" i="2"/>
  <c r="I21" i="13"/>
  <c r="M15" i="10"/>
  <c r="B29" i="13"/>
  <c r="M25" i="13"/>
  <c r="J42" i="2"/>
  <c r="G50" i="2"/>
  <c r="E27" i="13"/>
  <c r="K45" i="2"/>
  <c r="P27" i="13"/>
  <c r="V25" i="13"/>
  <c r="D33" i="13"/>
  <c r="F50" i="2"/>
  <c r="L27" i="13"/>
  <c r="C32" i="13"/>
  <c r="F19" i="13"/>
  <c r="K36" i="13"/>
  <c r="L40" i="2"/>
  <c r="N23" i="13"/>
  <c r="J34" i="13"/>
  <c r="U37" i="13"/>
  <c r="K32" i="13"/>
  <c r="T34" i="13"/>
  <c r="J33" i="13"/>
  <c r="E44" i="2"/>
  <c r="O34" i="13"/>
  <c r="C36" i="13"/>
  <c r="H26" i="13"/>
  <c r="M38" i="2"/>
  <c r="F46" i="2"/>
  <c r="S38" i="13"/>
  <c r="B51" i="2"/>
  <c r="H51" i="2"/>
  <c r="F38" i="13"/>
  <c r="L38" i="13"/>
  <c r="H50" i="2"/>
  <c r="E22" i="13"/>
  <c r="P29" i="13"/>
  <c r="V19" i="13"/>
  <c r="L29" i="13"/>
  <c r="U29" i="13"/>
  <c r="C44" i="2"/>
  <c r="I44" i="2"/>
  <c r="X26" i="13"/>
  <c r="H34" i="2"/>
  <c r="J47" i="2"/>
  <c r="W25" i="13"/>
  <c r="S31" i="13"/>
  <c r="I13" i="10"/>
  <c r="N18" i="10"/>
  <c r="T37" i="13"/>
  <c r="E30" i="13"/>
  <c r="O14" i="10"/>
  <c r="F35" i="2"/>
  <c r="M42" i="2"/>
  <c r="T23" i="13"/>
  <c r="V30" i="13"/>
  <c r="I17" i="10"/>
  <c r="F38" i="2"/>
  <c r="R26" i="13"/>
  <c r="K13" i="10"/>
  <c r="S19" i="13"/>
  <c r="W23" i="13"/>
  <c r="F47" i="2"/>
  <c r="M37" i="2"/>
  <c r="D37" i="2"/>
  <c r="D46" i="2"/>
  <c r="L35" i="2"/>
  <c r="O32" i="13"/>
  <c r="S30" i="13"/>
  <c r="D20" i="13"/>
  <c r="R31" i="13"/>
  <c r="M22" i="13"/>
  <c r="N47" i="2"/>
  <c r="G28" i="13"/>
  <c r="C23" i="13"/>
  <c r="R27" i="13"/>
  <c r="L12" i="10"/>
  <c r="V22" i="13"/>
  <c r="P19" i="13"/>
  <c r="D35" i="13"/>
  <c r="V28" i="13"/>
  <c r="M39" i="2"/>
  <c r="U34" i="13"/>
  <c r="R20" i="13"/>
  <c r="B43" i="2"/>
  <c r="L39" i="2"/>
  <c r="F43" i="2"/>
  <c r="K12" i="10"/>
  <c r="O31" i="13"/>
  <c r="I32" i="13"/>
  <c r="T31" i="13"/>
  <c r="N46" i="2"/>
  <c r="G21" i="13"/>
  <c r="C45" i="2"/>
  <c r="U33" i="13"/>
  <c r="W20" i="13"/>
  <c r="Q28" i="13"/>
  <c r="K27" i="13"/>
  <c r="Q24" i="13"/>
  <c r="F34" i="2"/>
  <c r="L45" i="2"/>
  <c r="I20" i="13"/>
  <c r="V34" i="13"/>
  <c r="K38" i="13"/>
  <c r="M51" i="2"/>
  <c r="E51" i="2"/>
  <c r="N51" i="2"/>
  <c r="D38" i="13"/>
  <c r="M11" i="10"/>
  <c r="E34" i="2"/>
  <c r="U27" i="13"/>
  <c r="D26" i="13"/>
  <c r="E39" i="2"/>
  <c r="L16" i="10"/>
  <c r="H38" i="2"/>
  <c r="G41" i="2"/>
  <c r="L10" i="10"/>
  <c r="I19" i="13"/>
  <c r="H44" i="2"/>
  <c r="N21" i="13"/>
  <c r="H24" i="13"/>
  <c r="K28" i="13"/>
  <c r="B35" i="13"/>
  <c r="K50" i="2"/>
  <c r="H40" i="2"/>
  <c r="I29" i="13"/>
  <c r="J37" i="2"/>
  <c r="T36" i="13"/>
  <c r="O13" i="10"/>
  <c r="O33" i="13"/>
  <c r="B44" i="2"/>
  <c r="L32" i="2"/>
  <c r="D30" i="13"/>
  <c r="C47" i="2"/>
  <c r="K23" i="13"/>
  <c r="O11" i="10"/>
  <c r="C46" i="2"/>
  <c r="O16" i="10"/>
  <c r="B37" i="13"/>
  <c r="D41" i="2"/>
  <c r="E48" i="2"/>
  <c r="L44" i="2"/>
  <c r="N45" i="2"/>
  <c r="C20" i="13"/>
  <c r="W29" i="13"/>
  <c r="B33" i="13"/>
  <c r="R29" i="13"/>
  <c r="L26" i="13"/>
  <c r="G36" i="13"/>
  <c r="F33" i="13"/>
  <c r="B41" i="2"/>
  <c r="B39" i="2"/>
  <c r="F35" i="13"/>
  <c r="P37" i="13"/>
  <c r="R34" i="13"/>
  <c r="H23" i="13"/>
  <c r="S24" i="13"/>
  <c r="C33" i="13"/>
  <c r="F25" i="13"/>
  <c r="N49" i="2"/>
  <c r="M12" i="10"/>
  <c r="E23" i="13"/>
  <c r="L43" i="2"/>
  <c r="L37" i="2"/>
  <c r="X23" i="13"/>
  <c r="K35" i="13"/>
  <c r="V31" i="13"/>
  <c r="P20" i="13"/>
  <c r="X28" i="13"/>
  <c r="H37" i="13"/>
  <c r="W31" i="13"/>
  <c r="C24" i="13"/>
  <c r="T24" i="13"/>
  <c r="H30" i="13"/>
  <c r="F21" i="13"/>
  <c r="B45" i="2"/>
  <c r="D32" i="2"/>
  <c r="C27" i="13"/>
  <c r="R24" i="13"/>
  <c r="F22" i="13"/>
  <c r="E35" i="2"/>
  <c r="L30" i="13"/>
  <c r="F28" i="13"/>
  <c r="K33" i="2"/>
  <c r="N22" i="13"/>
  <c r="X32" i="13"/>
  <c r="F36" i="2"/>
  <c r="Q19" i="13"/>
  <c r="D44" i="2"/>
  <c r="M34" i="2"/>
  <c r="E36" i="13"/>
  <c r="D27" i="13"/>
  <c r="H28" i="13"/>
  <c r="G36" i="2"/>
  <c r="F23" i="13"/>
  <c r="U25" i="13"/>
  <c r="K39" i="2"/>
  <c r="I30" i="13"/>
  <c r="C38" i="13"/>
  <c r="Q38" i="13"/>
  <c r="W38" i="13"/>
  <c r="F51" i="2"/>
  <c r="L51" i="2"/>
  <c r="V26" i="13"/>
  <c r="C37" i="2"/>
  <c r="K26" i="13"/>
  <c r="U19" i="13"/>
  <c r="K38" i="2"/>
  <c r="C30" i="13"/>
  <c r="J34" i="2"/>
  <c r="H39" i="2"/>
  <c r="H36" i="13"/>
  <c r="D21" i="13"/>
  <c r="I42" i="2"/>
  <c r="L50" i="2"/>
  <c r="D34" i="2"/>
  <c r="B33" i="2"/>
  <c r="F33" i="2"/>
  <c r="S37" i="13"/>
  <c r="M24" i="13"/>
  <c r="U26" i="13"/>
  <c r="H37" i="2"/>
  <c r="Q26" i="13"/>
  <c r="I40" i="2"/>
  <c r="H20" i="13"/>
  <c r="J39" i="2"/>
  <c r="X21" i="13"/>
  <c r="N24" i="13"/>
  <c r="K42" i="2"/>
  <c r="M19" i="13"/>
  <c r="J28" i="13"/>
  <c r="G30" i="13"/>
  <c r="H34" i="13"/>
  <c r="X37" i="13"/>
  <c r="L47" i="2"/>
  <c r="S22" i="13"/>
  <c r="E20" i="13"/>
  <c r="U35" i="13"/>
  <c r="J35" i="2"/>
  <c r="M28" i="13"/>
  <c r="V23" i="13"/>
  <c r="M23" i="13"/>
  <c r="K48" i="2"/>
  <c r="Q21" i="13"/>
  <c r="N25" i="13"/>
  <c r="J30" i="13"/>
  <c r="O21" i="13"/>
  <c r="E21" i="13"/>
  <c r="O37" i="13"/>
  <c r="K44" i="2"/>
  <c r="I14" i="10"/>
  <c r="M21" i="13"/>
  <c r="P31" i="13"/>
  <c r="G35" i="2"/>
  <c r="D47" i="2"/>
  <c r="J29" i="13"/>
  <c r="L26" i="10"/>
  <c r="X33" i="13"/>
  <c r="U32" i="13"/>
  <c r="X20" i="13"/>
  <c r="L41" i="2"/>
  <c r="N13" i="10"/>
  <c r="M26" i="10"/>
  <c r="C49" i="2"/>
  <c r="G37" i="13"/>
  <c r="P34" i="13"/>
  <c r="I36" i="13"/>
  <c r="Q23" i="13"/>
  <c r="U28" i="13"/>
  <c r="K22" i="13"/>
  <c r="Q34" i="13"/>
  <c r="P36" i="13"/>
  <c r="N35" i="2"/>
  <c r="F31" i="13"/>
  <c r="H27" i="13"/>
  <c r="W24" i="13"/>
  <c r="H29" i="13"/>
  <c r="W21" i="13"/>
  <c r="I24" i="13"/>
  <c r="E40" i="2"/>
  <c r="G32" i="13"/>
  <c r="B32" i="2"/>
  <c r="S29" i="13"/>
  <c r="D35" i="2"/>
  <c r="N19" i="13"/>
  <c r="T32" i="13"/>
  <c r="E36" i="2"/>
  <c r="Q29" i="13"/>
  <c r="I34" i="13"/>
  <c r="L48" i="2"/>
  <c r="P32" i="13"/>
  <c r="L22" i="13"/>
  <c r="S20" i="13"/>
  <c r="K29" i="13"/>
  <c r="R22" i="13"/>
  <c r="G49" i="2"/>
  <c r="B28" i="13"/>
  <c r="N7" i="9"/>
  <c r="V37" i="13"/>
  <c r="J50" i="2"/>
  <c r="N40" i="2"/>
  <c r="L28" i="13"/>
  <c r="H48" i="2"/>
  <c r="L34" i="13"/>
  <c r="V35" i="13"/>
  <c r="N39" i="2"/>
  <c r="U30" i="13"/>
  <c r="C48" i="2"/>
  <c r="U36" i="13"/>
  <c r="F49" i="2"/>
  <c r="C43" i="2"/>
  <c r="G23" i="13"/>
  <c r="F26" i="13"/>
  <c r="L14" i="10"/>
  <c r="Q22" i="13"/>
  <c r="K51" i="2"/>
  <c r="I38" i="13"/>
  <c r="O38" i="13"/>
  <c r="C51" i="2"/>
  <c r="D51" i="2"/>
  <c r="B47" i="2"/>
  <c r="I35" i="2"/>
  <c r="J43" i="2"/>
  <c r="I18" i="10"/>
  <c r="H21" i="13"/>
  <c r="G40" i="2"/>
  <c r="G22" i="13"/>
  <c r="N31" i="13"/>
  <c r="T33" i="13"/>
  <c r="R23" i="13"/>
  <c r="H33" i="13"/>
  <c r="G35" i="13"/>
  <c r="I49" i="2"/>
  <c r="V29" i="13"/>
  <c r="L20" i="13"/>
  <c r="K17" i="10"/>
  <c r="U22" i="13"/>
  <c r="D48" i="2"/>
  <c r="T35" i="13"/>
  <c r="D31" i="13"/>
  <c r="O15" i="10"/>
  <c r="N33" i="2"/>
  <c r="H42" i="2"/>
  <c r="M10" i="10"/>
  <c r="F32" i="2"/>
  <c r="I39" i="2"/>
  <c r="M50" i="2"/>
  <c r="E42" i="2"/>
  <c r="I31" i="13"/>
  <c r="Q20" i="13"/>
  <c r="W37" i="13"/>
  <c r="J27" i="13"/>
  <c r="K11" i="10"/>
  <c r="J20" i="13"/>
  <c r="K34" i="13"/>
  <c r="E32" i="2"/>
  <c r="D28" i="13"/>
  <c r="H35" i="13"/>
  <c r="O23" i="13"/>
  <c r="S36" i="13"/>
  <c r="I15" i="10"/>
  <c r="L38" i="2"/>
  <c r="C26" i="13"/>
  <c r="O35" i="13"/>
  <c r="L33" i="13"/>
  <c r="M37" i="13"/>
  <c r="W26" i="13"/>
  <c r="M45" i="2"/>
  <c r="N36" i="2"/>
  <c r="G31" i="13"/>
  <c r="O27" i="13"/>
  <c r="W36" i="13"/>
  <c r="G39" i="2"/>
  <c r="E47" i="2"/>
  <c r="I48" i="2"/>
  <c r="G26" i="13"/>
  <c r="E28" i="13"/>
  <c r="C38" i="2"/>
  <c r="C32" i="2"/>
  <c r="B36" i="2"/>
  <c r="Q30" i="13"/>
  <c r="E34" i="13"/>
  <c r="F42" i="2"/>
  <c r="O20" i="13"/>
  <c r="J40" i="2"/>
  <c r="Q36" i="13"/>
  <c r="M14" i="10"/>
  <c r="B23" i="13"/>
  <c r="B20" i="13"/>
  <c r="C35" i="2"/>
  <c r="D50" i="2"/>
  <c r="O28" i="13"/>
  <c r="T26" i="13"/>
  <c r="R38" i="13"/>
  <c r="I51" i="2"/>
  <c r="G38" i="13"/>
  <c r="U38" i="13"/>
  <c r="R37" i="13"/>
  <c r="M43" i="2"/>
  <c r="W35" i="13"/>
  <c r="R28" i="13"/>
  <c r="E45" i="2"/>
  <c r="K25" i="13"/>
  <c r="M35" i="13"/>
  <c r="V27" i="13"/>
  <c r="N42" i="2"/>
  <c r="B32" i="13"/>
  <c r="L15" i="10"/>
  <c r="B46" i="2"/>
  <c r="E29" i="13"/>
  <c r="I43" i="2"/>
  <c r="S25" i="13"/>
  <c r="B40" i="2"/>
  <c r="H46" i="2"/>
  <c r="K24" i="13"/>
  <c r="E46" i="2"/>
  <c r="I25" i="13"/>
  <c r="T25" i="13"/>
  <c r="X36" i="13"/>
  <c r="B37" i="2"/>
  <c r="L49" i="2"/>
  <c r="M33" i="13"/>
  <c r="V21" i="13"/>
  <c r="G47" i="2"/>
  <c r="S32" i="13"/>
  <c r="D45" i="2"/>
  <c r="K19" i="13"/>
  <c r="M26" i="13"/>
  <c r="C50" i="2"/>
  <c r="M32" i="13"/>
  <c r="N26" i="13"/>
  <c r="J38" i="2"/>
  <c r="B34" i="13"/>
  <c r="V33" i="13"/>
  <c r="T30" i="13"/>
  <c r="C39" i="2"/>
  <c r="L13" i="10"/>
  <c r="I27" i="13"/>
  <c r="D42" i="2"/>
  <c r="F37" i="2"/>
  <c r="J21" i="13"/>
  <c r="F32" i="13"/>
  <c r="J45" i="2"/>
  <c r="C37" i="13"/>
  <c r="F24" i="13"/>
  <c r="H41" i="2"/>
  <c r="V24" i="13"/>
  <c r="W33" i="13"/>
  <c r="R21" i="13"/>
  <c r="X25" i="13"/>
  <c r="E35" i="13"/>
  <c r="L25" i="13"/>
  <c r="N34" i="2"/>
  <c r="V36" i="13"/>
  <c r="M36" i="2"/>
  <c r="N33" i="13"/>
  <c r="I23" i="13"/>
  <c r="X29" i="13"/>
  <c r="I10" i="10"/>
  <c r="N11" i="10"/>
  <c r="C34" i="2"/>
  <c r="K43" i="2"/>
  <c r="I12" i="10"/>
  <c r="E31" i="13"/>
  <c r="N32" i="2"/>
  <c r="W19" i="13"/>
  <c r="J32" i="13"/>
  <c r="H36" i="2"/>
  <c r="G32" i="2"/>
  <c r="D34" i="13"/>
  <c r="K26" i="10"/>
  <c r="D38" i="2"/>
  <c r="L24" i="13"/>
  <c r="K33" i="13"/>
  <c r="K40" i="2"/>
  <c r="K30" i="13"/>
  <c r="H47" i="2"/>
  <c r="C22" i="13"/>
  <c r="P23" i="13"/>
  <c r="C31" i="13"/>
  <c r="K37" i="2"/>
  <c r="N37" i="2"/>
  <c r="F29" i="13"/>
  <c r="O36" i="13"/>
  <c r="K46" i="2"/>
  <c r="L19" i="13"/>
  <c r="F27" i="13"/>
  <c r="Q27" i="13"/>
  <c r="K18" i="10"/>
  <c r="B24" i="13"/>
  <c r="L11" i="10"/>
  <c r="N20" i="13"/>
  <c r="L35" i="13"/>
  <c r="M27" i="13"/>
  <c r="G43" i="2"/>
  <c r="D29" i="13"/>
  <c r="U21" i="13"/>
  <c r="I35" i="13"/>
  <c r="E37" i="2"/>
  <c r="W30" i="13"/>
  <c r="R25" i="13"/>
  <c r="N29" i="13"/>
  <c r="O12" i="10"/>
  <c r="H25" i="13"/>
  <c r="X19" i="13"/>
  <c r="O17" i="10"/>
  <c r="H49" i="2"/>
  <c r="K20" i="13"/>
  <c r="K32" i="2"/>
  <c r="E49" i="2"/>
  <c r="U24" i="13"/>
  <c r="T28" i="13"/>
  <c r="R35" i="13"/>
  <c r="N50" i="2"/>
  <c r="R3" i="10" l="1"/>
  <c r="R2" i="10"/>
  <c r="S2" i="10"/>
  <c r="S3" i="10"/>
  <c r="P2" i="10"/>
  <c r="P3" i="10"/>
  <c r="Q3" i="10"/>
  <c r="I6" i="10" s="1"/>
  <c r="G3" i="10"/>
  <c r="F2" i="9"/>
  <c r="F3" i="9"/>
  <c r="G2" i="10"/>
  <c r="L45" i="14"/>
  <c r="O44" i="14"/>
  <c r="E44" i="14"/>
  <c r="G44" i="14" s="1"/>
  <c r="E57" i="14"/>
  <c r="F58" i="14" s="1"/>
  <c r="B53" i="14"/>
  <c r="C54" i="14" s="1"/>
  <c r="K60" i="3"/>
  <c r="B60" i="3"/>
  <c r="E60" i="3"/>
  <c r="H60" i="3"/>
  <c r="H59" i="3"/>
  <c r="E59" i="3"/>
  <c r="K59" i="3"/>
  <c r="B59" i="3"/>
  <c r="B57" i="3"/>
  <c r="K57" i="3"/>
  <c r="E57" i="3"/>
  <c r="N50" i="14"/>
  <c r="E50" i="14"/>
  <c r="H50" i="14"/>
  <c r="Q50" i="14"/>
  <c r="K50" i="14"/>
  <c r="B50" i="14"/>
  <c r="N58" i="14"/>
  <c r="E58" i="14"/>
  <c r="H58" i="14"/>
  <c r="Q58" i="14"/>
  <c r="K58" i="14"/>
  <c r="B58" i="14"/>
  <c r="E58" i="3"/>
  <c r="H58" i="3"/>
  <c r="K58" i="3"/>
  <c r="B58" i="3"/>
  <c r="O55" i="14"/>
  <c r="P54" i="14"/>
  <c r="P57" i="14"/>
  <c r="O58" i="14"/>
  <c r="R54" i="14"/>
  <c r="S53" i="14"/>
  <c r="R46" i="14"/>
  <c r="S45" i="14"/>
  <c r="P43" i="14"/>
  <c r="S48" i="14"/>
  <c r="R49" i="14"/>
  <c r="O52" i="14"/>
  <c r="P51" i="14"/>
  <c r="E54" i="14"/>
  <c r="S56" i="14"/>
  <c r="R57" i="14"/>
  <c r="M44" i="14"/>
  <c r="N47" i="14"/>
  <c r="E47" i="14"/>
  <c r="Q47" i="14"/>
  <c r="H47" i="14"/>
  <c r="B47" i="14"/>
  <c r="K47" i="14"/>
  <c r="N55" i="14"/>
  <c r="E55" i="14"/>
  <c r="Q55" i="14"/>
  <c r="H55" i="14"/>
  <c r="K55" i="14"/>
  <c r="B46" i="14"/>
  <c r="Q46" i="14"/>
  <c r="H46" i="14"/>
  <c r="K46" i="14"/>
  <c r="E46" i="14"/>
  <c r="N46" i="14"/>
  <c r="B54" i="14"/>
  <c r="Q54" i="14"/>
  <c r="H54" i="14"/>
  <c r="K54" i="14"/>
  <c r="B55" i="14"/>
  <c r="Q49" i="14"/>
  <c r="H49" i="14"/>
  <c r="K49" i="14"/>
  <c r="B49" i="14"/>
  <c r="Q57" i="14"/>
  <c r="H57" i="14"/>
  <c r="K57" i="14"/>
  <c r="B57" i="14"/>
  <c r="H43" i="14"/>
  <c r="K48" i="14"/>
  <c r="B48" i="14"/>
  <c r="N48" i="14"/>
  <c r="E48" i="14"/>
  <c r="K56" i="14"/>
  <c r="B56" i="14"/>
  <c r="N56" i="14"/>
  <c r="E56" i="14"/>
  <c r="N49" i="14"/>
  <c r="E45" i="14"/>
  <c r="K45" i="14"/>
  <c r="N45" i="14"/>
  <c r="E53" i="14"/>
  <c r="K53" i="14"/>
  <c r="N53" i="14"/>
  <c r="H53" i="14"/>
  <c r="H56" i="14"/>
  <c r="H44" i="14"/>
  <c r="N44" i="14"/>
  <c r="B44" i="14"/>
  <c r="Q44" i="14"/>
  <c r="H52" i="14"/>
  <c r="N52" i="14"/>
  <c r="B52" i="14"/>
  <c r="Q52" i="14"/>
  <c r="B45" i="14"/>
  <c r="E49" i="14"/>
  <c r="E52" i="14"/>
  <c r="K43" i="14"/>
  <c r="B43" i="14"/>
  <c r="Q43" i="14"/>
  <c r="E43" i="14"/>
  <c r="K51" i="14"/>
  <c r="B51" i="14"/>
  <c r="Q51" i="14"/>
  <c r="E51" i="14"/>
  <c r="K59" i="14"/>
  <c r="M59" i="14" s="1"/>
  <c r="B59" i="14"/>
  <c r="D59" i="14" s="1"/>
  <c r="Q59" i="14"/>
  <c r="S59" i="14" s="1"/>
  <c r="N59" i="14"/>
  <c r="P59" i="14" s="1"/>
  <c r="E59" i="14"/>
  <c r="G59" i="14" s="1"/>
  <c r="H45" i="14"/>
  <c r="H48" i="14"/>
  <c r="H51" i="14"/>
  <c r="K52" i="14"/>
  <c r="N8" i="9"/>
  <c r="J6" i="10" l="1"/>
  <c r="K6" i="10"/>
  <c r="H6" i="10"/>
  <c r="F5" i="9"/>
  <c r="G6" i="10"/>
  <c r="G57" i="14"/>
  <c r="N3" i="9"/>
  <c r="G5" i="9" s="1"/>
  <c r="F45" i="14"/>
  <c r="D53" i="14"/>
  <c r="S43" i="14"/>
  <c r="R44" i="14"/>
  <c r="R53" i="14"/>
  <c r="S52" i="14"/>
  <c r="I57" i="14"/>
  <c r="J56" i="14"/>
  <c r="D48" i="14"/>
  <c r="C49" i="14"/>
  <c r="D57" i="14"/>
  <c r="C58" i="14"/>
  <c r="J46" i="14"/>
  <c r="I47" i="14"/>
  <c r="G55" i="14"/>
  <c r="F56" i="14"/>
  <c r="M50" i="14"/>
  <c r="L51" i="14"/>
  <c r="C60" i="3"/>
  <c r="D60" i="3"/>
  <c r="D43" i="14"/>
  <c r="C44" i="14"/>
  <c r="C53" i="14"/>
  <c r="D52" i="14"/>
  <c r="I54" i="14"/>
  <c r="J53" i="14"/>
  <c r="O54" i="14"/>
  <c r="P53" i="14"/>
  <c r="M48" i="14"/>
  <c r="L49" i="14"/>
  <c r="L58" i="14"/>
  <c r="M57" i="14"/>
  <c r="M54" i="14"/>
  <c r="L55" i="14"/>
  <c r="S46" i="14"/>
  <c r="R47" i="14"/>
  <c r="P55" i="14"/>
  <c r="O56" i="14"/>
  <c r="C58" i="3"/>
  <c r="D58" i="3"/>
  <c r="C59" i="14"/>
  <c r="D58" i="14"/>
  <c r="R51" i="14"/>
  <c r="S50" i="14"/>
  <c r="G57" i="3"/>
  <c r="M60" i="3"/>
  <c r="L60" i="3"/>
  <c r="I49" i="14"/>
  <c r="J48" i="14"/>
  <c r="M43" i="14"/>
  <c r="L44" i="14"/>
  <c r="P52" i="14"/>
  <c r="O53" i="14"/>
  <c r="M53" i="14"/>
  <c r="L54" i="14"/>
  <c r="F57" i="14"/>
  <c r="G56" i="14"/>
  <c r="J57" i="14"/>
  <c r="I58" i="14"/>
  <c r="J54" i="14"/>
  <c r="I55" i="14"/>
  <c r="D46" i="14"/>
  <c r="C47" i="14"/>
  <c r="L48" i="14"/>
  <c r="M47" i="14"/>
  <c r="M58" i="3"/>
  <c r="L58" i="3"/>
  <c r="M58" i="14"/>
  <c r="L59" i="14"/>
  <c r="I51" i="14"/>
  <c r="J50" i="14"/>
  <c r="J51" i="14"/>
  <c r="I52" i="14"/>
  <c r="I46" i="14"/>
  <c r="J45" i="14"/>
  <c r="F52" i="14"/>
  <c r="G51" i="14"/>
  <c r="G52" i="14"/>
  <c r="F53" i="14"/>
  <c r="J52" i="14"/>
  <c r="I53" i="14"/>
  <c r="G53" i="14"/>
  <c r="F54" i="14"/>
  <c r="O57" i="14"/>
  <c r="P56" i="14"/>
  <c r="S57" i="14"/>
  <c r="R58" i="14"/>
  <c r="S54" i="14"/>
  <c r="R55" i="14"/>
  <c r="C48" i="14"/>
  <c r="D47" i="14"/>
  <c r="I58" i="3"/>
  <c r="J58" i="3"/>
  <c r="R59" i="14"/>
  <c r="S58" i="14"/>
  <c r="G50" i="14"/>
  <c r="F51" i="14"/>
  <c r="M57" i="3"/>
  <c r="D59" i="3"/>
  <c r="C59" i="3"/>
  <c r="L53" i="14"/>
  <c r="M52" i="14"/>
  <c r="S51" i="14"/>
  <c r="R52" i="14"/>
  <c r="F50" i="14"/>
  <c r="G49" i="14"/>
  <c r="S44" i="14"/>
  <c r="R45" i="14"/>
  <c r="P45" i="14"/>
  <c r="O46" i="14"/>
  <c r="D56" i="14"/>
  <c r="C57" i="14"/>
  <c r="C50" i="14"/>
  <c r="D49" i="14"/>
  <c r="D54" i="14"/>
  <c r="C55" i="14"/>
  <c r="J47" i="14"/>
  <c r="I48" i="14"/>
  <c r="G58" i="3"/>
  <c r="F58" i="3"/>
  <c r="I59" i="14"/>
  <c r="J58" i="14"/>
  <c r="P50" i="14"/>
  <c r="O51" i="14"/>
  <c r="D57" i="3"/>
  <c r="M59" i="3"/>
  <c r="L59" i="3"/>
  <c r="D51" i="14"/>
  <c r="C52" i="14"/>
  <c r="D45" i="14"/>
  <c r="C46" i="14"/>
  <c r="C45" i="14"/>
  <c r="D44" i="14"/>
  <c r="M45" i="14"/>
  <c r="L46" i="14"/>
  <c r="P49" i="14"/>
  <c r="O50" i="14"/>
  <c r="M56" i="14"/>
  <c r="L57" i="14"/>
  <c r="L50" i="14"/>
  <c r="M49" i="14"/>
  <c r="O47" i="14"/>
  <c r="P46" i="14"/>
  <c r="L56" i="14"/>
  <c r="M55" i="14"/>
  <c r="R48" i="14"/>
  <c r="S47" i="14"/>
  <c r="G58" i="14"/>
  <c r="F59" i="14"/>
  <c r="G59" i="3"/>
  <c r="F59" i="3"/>
  <c r="M51" i="14"/>
  <c r="L52" i="14"/>
  <c r="P44" i="14"/>
  <c r="O45" i="14"/>
  <c r="G45" i="14"/>
  <c r="F46" i="14"/>
  <c r="F49" i="14"/>
  <c r="G48" i="14"/>
  <c r="J43" i="14"/>
  <c r="I44" i="14"/>
  <c r="J49" i="14"/>
  <c r="I50" i="14"/>
  <c r="C56" i="14"/>
  <c r="D55" i="14"/>
  <c r="F47" i="14"/>
  <c r="G46" i="14"/>
  <c r="I56" i="14"/>
  <c r="J55" i="14"/>
  <c r="G47" i="14"/>
  <c r="F48" i="14"/>
  <c r="F55" i="14"/>
  <c r="G54" i="14"/>
  <c r="P58" i="14"/>
  <c r="O59" i="14"/>
  <c r="J59" i="3"/>
  <c r="I59" i="3"/>
  <c r="J60" i="3"/>
  <c r="I60" i="3"/>
  <c r="F44" i="14"/>
  <c r="G43" i="14"/>
  <c r="J44" i="14"/>
  <c r="I45" i="14"/>
  <c r="O49" i="14"/>
  <c r="P48" i="14"/>
  <c r="S49" i="14"/>
  <c r="R50" i="14"/>
  <c r="L47" i="14"/>
  <c r="M46" i="14"/>
  <c r="R56" i="14"/>
  <c r="S55" i="14"/>
  <c r="P47" i="14"/>
  <c r="O48" i="14"/>
  <c r="C51" i="14"/>
  <c r="D50" i="14"/>
  <c r="G60" i="3"/>
  <c r="F60" i="3"/>
  <c r="L8" i="9"/>
  <c r="W13" i="13"/>
  <c r="J27" i="2"/>
  <c r="R15" i="13"/>
  <c r="B10" i="2"/>
  <c r="L12" i="9"/>
  <c r="K15" i="13"/>
  <c r="G9" i="9"/>
  <c r="J9" i="9"/>
  <c r="H31" i="2"/>
  <c r="N19" i="10"/>
  <c r="N18" i="2"/>
  <c r="M16" i="2"/>
  <c r="D26" i="2"/>
  <c r="E8" i="2"/>
  <c r="F13" i="2"/>
  <c r="H10" i="9"/>
  <c r="U16" i="13"/>
  <c r="Q17" i="13"/>
  <c r="P17" i="13"/>
  <c r="H6" i="13"/>
  <c r="I10" i="9"/>
  <c r="X9" i="13"/>
  <c r="D15" i="13"/>
  <c r="K29" i="2"/>
  <c r="S13" i="13"/>
  <c r="F27" i="2"/>
  <c r="D7" i="13"/>
  <c r="M19" i="2"/>
  <c r="N5" i="13"/>
  <c r="D17" i="2"/>
  <c r="C13" i="13"/>
  <c r="G6" i="13"/>
  <c r="B29" i="2"/>
  <c r="F9" i="13"/>
  <c r="J16" i="2"/>
  <c r="H13" i="2"/>
  <c r="B30" i="2"/>
  <c r="I22" i="10"/>
  <c r="O7" i="13"/>
  <c r="I23" i="10"/>
  <c r="N8" i="13"/>
  <c r="C17" i="13"/>
  <c r="L11" i="2"/>
  <c r="I7" i="10"/>
  <c r="V5" i="13"/>
  <c r="J10" i="9"/>
  <c r="F12" i="13"/>
  <c r="B7" i="13"/>
  <c r="J20" i="2"/>
  <c r="L15" i="2"/>
  <c r="N6" i="13"/>
  <c r="F20" i="2"/>
  <c r="J21" i="2"/>
  <c r="Q12" i="13"/>
  <c r="J18" i="2"/>
  <c r="D19" i="2"/>
  <c r="S7" i="13"/>
  <c r="F22" i="2"/>
  <c r="F7" i="2"/>
  <c r="G12" i="13"/>
  <c r="N8" i="2"/>
  <c r="M5" i="13"/>
  <c r="V10" i="13"/>
  <c r="M23" i="2"/>
  <c r="B5" i="13"/>
  <c r="M11" i="2"/>
  <c r="C13" i="2"/>
  <c r="I11" i="13"/>
  <c r="M22" i="10"/>
  <c r="D21" i="2"/>
  <c r="L9" i="9"/>
  <c r="O5" i="13"/>
  <c r="W15" i="13"/>
  <c r="H23" i="2"/>
  <c r="C29" i="2"/>
  <c r="N29" i="2"/>
  <c r="T5" i="13"/>
  <c r="M19" i="10"/>
  <c r="F20" i="10"/>
  <c r="D18" i="2"/>
  <c r="I9" i="13"/>
  <c r="L14" i="13"/>
  <c r="G25" i="2"/>
  <c r="D13" i="2"/>
  <c r="U6" i="13"/>
  <c r="M8" i="10"/>
  <c r="G23" i="2"/>
  <c r="O6" i="13"/>
  <c r="H10" i="13"/>
  <c r="C17" i="2"/>
  <c r="H19" i="2"/>
  <c r="E15" i="2"/>
  <c r="K13" i="13"/>
  <c r="R13" i="13"/>
  <c r="G24" i="2"/>
  <c r="M17" i="13"/>
  <c r="K8" i="9"/>
  <c r="J14" i="13"/>
  <c r="H9" i="2"/>
  <c r="M15" i="2"/>
  <c r="D17" i="13"/>
  <c r="N17" i="2"/>
  <c r="C8" i="13"/>
  <c r="K19" i="10"/>
  <c r="G26" i="2"/>
  <c r="B15" i="2"/>
  <c r="I24" i="2"/>
  <c r="L8" i="2"/>
  <c r="C27" i="2"/>
  <c r="T14" i="13"/>
  <c r="R14" i="13"/>
  <c r="P7" i="13"/>
  <c r="F19" i="2"/>
  <c r="D16" i="2"/>
  <c r="P12" i="13"/>
  <c r="J15" i="2"/>
  <c r="C25" i="10"/>
  <c r="D28" i="2"/>
  <c r="M7" i="10"/>
  <c r="F7" i="13"/>
  <c r="D6" i="13"/>
  <c r="E29" i="2"/>
  <c r="J24" i="2"/>
  <c r="K11" i="9"/>
  <c r="N25" i="10"/>
  <c r="C24" i="2"/>
  <c r="M7" i="2"/>
  <c r="G13" i="2"/>
  <c r="G21" i="2"/>
  <c r="N15" i="2"/>
  <c r="B7" i="2"/>
  <c r="V14" i="13"/>
  <c r="D22" i="2"/>
  <c r="L23" i="10"/>
  <c r="H7" i="9"/>
  <c r="Q9" i="13"/>
  <c r="N30" i="2"/>
  <c r="J12" i="13"/>
  <c r="G13" i="13"/>
  <c r="D11" i="2"/>
  <c r="L6" i="13"/>
  <c r="E9" i="13"/>
  <c r="R16" i="13"/>
  <c r="O13" i="13"/>
  <c r="O12" i="13"/>
  <c r="S5" i="13"/>
  <c r="M25" i="2"/>
  <c r="X5" i="13"/>
  <c r="B16" i="13"/>
  <c r="U15" i="13"/>
  <c r="O11" i="13"/>
  <c r="I20" i="10"/>
  <c r="C12" i="2"/>
  <c r="K17" i="2"/>
  <c r="H22" i="2"/>
  <c r="R12" i="13"/>
  <c r="E22" i="2"/>
  <c r="O19" i="10"/>
  <c r="I29" i="2"/>
  <c r="K30" i="2"/>
  <c r="R8" i="13"/>
  <c r="F11" i="13"/>
  <c r="F6" i="13"/>
  <c r="K10" i="9"/>
  <c r="V8" i="13"/>
  <c r="F29" i="2"/>
  <c r="J13" i="2"/>
  <c r="H12" i="13"/>
  <c r="N15" i="13"/>
  <c r="M18" i="2"/>
  <c r="K20" i="2"/>
  <c r="I17" i="2"/>
  <c r="D23" i="2"/>
  <c r="N6" i="2"/>
  <c r="L12" i="2"/>
  <c r="C23" i="2"/>
  <c r="F10" i="13"/>
  <c r="D8" i="2"/>
  <c r="W18" i="13"/>
  <c r="B13" i="2"/>
  <c r="D13" i="13"/>
  <c r="N14" i="13"/>
  <c r="S14" i="13"/>
  <c r="P5" i="13"/>
  <c r="B25" i="2"/>
  <c r="U12" i="13"/>
  <c r="J29" i="2"/>
  <c r="M13" i="2"/>
  <c r="B14" i="13"/>
  <c r="M21" i="10"/>
  <c r="I23" i="2"/>
  <c r="F9" i="10"/>
  <c r="E6" i="13"/>
  <c r="G18" i="2"/>
  <c r="P6" i="13"/>
  <c r="K23" i="2"/>
  <c r="F19" i="10"/>
  <c r="J10" i="2"/>
  <c r="G28" i="2"/>
  <c r="T9" i="13"/>
  <c r="E14" i="2"/>
  <c r="K14" i="13"/>
  <c r="G18" i="13"/>
  <c r="F5" i="2"/>
  <c r="J26" i="2"/>
  <c r="J7" i="2"/>
  <c r="H18" i="2"/>
  <c r="T11" i="13"/>
  <c r="E18" i="13"/>
  <c r="F14" i="2"/>
  <c r="N23" i="2"/>
  <c r="J11" i="13"/>
  <c r="M21" i="2"/>
  <c r="F12" i="2"/>
  <c r="L22" i="2"/>
  <c r="U18" i="13"/>
  <c r="K8" i="2"/>
  <c r="K25" i="10"/>
  <c r="K10" i="2"/>
  <c r="T13" i="13"/>
  <c r="K14" i="2"/>
  <c r="I15" i="13"/>
  <c r="N22" i="2"/>
  <c r="L19" i="10"/>
  <c r="B20" i="2"/>
  <c r="P10" i="13"/>
  <c r="W10" i="13"/>
  <c r="L9" i="10"/>
  <c r="N26" i="2"/>
  <c r="W7" i="13"/>
  <c r="T8" i="13"/>
  <c r="E31" i="2"/>
  <c r="E21" i="2"/>
  <c r="D30" i="2"/>
  <c r="K23" i="10"/>
  <c r="J17" i="13"/>
  <c r="F25" i="2"/>
  <c r="K9" i="2"/>
  <c r="M10" i="2"/>
  <c r="F17" i="13"/>
  <c r="K24" i="2"/>
  <c r="M10" i="13"/>
  <c r="J8" i="2"/>
  <c r="I5" i="2"/>
  <c r="L5" i="13"/>
  <c r="I31" i="2"/>
  <c r="T7" i="13"/>
  <c r="H8" i="13"/>
  <c r="B18" i="13"/>
  <c r="K22" i="10"/>
  <c r="F17" i="2"/>
  <c r="H27" i="2"/>
  <c r="D5" i="13"/>
  <c r="G30" i="2"/>
  <c r="N7" i="2"/>
  <c r="X8" i="13"/>
  <c r="C18" i="13"/>
  <c r="G17" i="13"/>
  <c r="G11" i="13"/>
  <c r="I9" i="9"/>
  <c r="M7" i="13"/>
  <c r="I21" i="10"/>
  <c r="M29" i="2"/>
  <c r="U7" i="13"/>
  <c r="N13" i="2"/>
  <c r="D20" i="2"/>
  <c r="C16" i="13"/>
  <c r="D25" i="2"/>
  <c r="O15" i="13"/>
  <c r="F22" i="10"/>
  <c r="G14" i="13"/>
  <c r="I22" i="2"/>
  <c r="D11" i="13"/>
  <c r="O24" i="10"/>
  <c r="V16" i="13"/>
  <c r="D8" i="13"/>
  <c r="P13" i="13"/>
  <c r="I13" i="13"/>
  <c r="T6" i="13"/>
  <c r="K28" i="2"/>
  <c r="O16" i="13"/>
  <c r="B14" i="2"/>
  <c r="L18" i="2"/>
  <c r="N27" i="2"/>
  <c r="J5" i="2"/>
  <c r="H14" i="2"/>
  <c r="S16" i="13"/>
  <c r="D27" i="2"/>
  <c r="I6" i="9"/>
  <c r="B8" i="2"/>
  <c r="M20" i="10"/>
  <c r="H26" i="2"/>
  <c r="C14" i="2"/>
  <c r="Q6" i="13"/>
  <c r="X6" i="13"/>
  <c r="B23" i="2"/>
  <c r="H17" i="13"/>
  <c r="P9" i="13"/>
  <c r="L21" i="10"/>
  <c r="U9" i="13"/>
  <c r="K9" i="13"/>
  <c r="W16" i="13"/>
  <c r="J30" i="2"/>
  <c r="F13" i="13"/>
  <c r="X10" i="13"/>
  <c r="J10" i="13"/>
  <c r="C10" i="13"/>
  <c r="W8" i="13"/>
  <c r="N19" i="2"/>
  <c r="K8" i="13"/>
  <c r="G29" i="2"/>
  <c r="J14" i="2"/>
  <c r="N21" i="2"/>
  <c r="B27" i="2"/>
  <c r="O22" i="10"/>
  <c r="R17" i="13"/>
  <c r="G7" i="9"/>
  <c r="Q14" i="13"/>
  <c r="N28" i="2"/>
  <c r="J6" i="13"/>
  <c r="L10" i="9"/>
  <c r="E13" i="2"/>
  <c r="H7" i="13"/>
  <c r="K12" i="2"/>
  <c r="E7" i="2"/>
  <c r="L20" i="2"/>
  <c r="X16" i="13"/>
  <c r="U10" i="13"/>
  <c r="L9" i="2"/>
  <c r="I27" i="2"/>
  <c r="D31" i="2"/>
  <c r="W17" i="13"/>
  <c r="H29" i="2"/>
  <c r="H11" i="13"/>
  <c r="C19" i="2"/>
  <c r="E24" i="2"/>
  <c r="D14" i="2"/>
  <c r="I19" i="2"/>
  <c r="M9" i="10"/>
  <c r="C21" i="2"/>
  <c r="L7" i="9"/>
  <c r="J16" i="13"/>
  <c r="S9" i="13"/>
  <c r="G7" i="2"/>
  <c r="N11" i="2"/>
  <c r="I14" i="2"/>
  <c r="C22" i="2"/>
  <c r="H5" i="2"/>
  <c r="G8" i="9"/>
  <c r="K27" i="2"/>
  <c r="E6" i="2"/>
  <c r="D24" i="2"/>
  <c r="M8" i="13"/>
  <c r="X7" i="13"/>
  <c r="H11" i="9"/>
  <c r="N22" i="10"/>
  <c r="N25" i="2"/>
  <c r="L16" i="2"/>
  <c r="C31" i="2"/>
  <c r="I7" i="9"/>
  <c r="U11" i="13"/>
  <c r="O23" i="10"/>
  <c r="M9" i="2"/>
  <c r="Q5" i="13"/>
  <c r="K21" i="2"/>
  <c r="C20" i="2"/>
  <c r="J12" i="2"/>
  <c r="I30" i="2"/>
  <c r="O8" i="13"/>
  <c r="N5" i="2"/>
  <c r="H6" i="9"/>
  <c r="H15" i="13"/>
  <c r="R18" i="13"/>
  <c r="G5" i="13"/>
  <c r="C7" i="13"/>
  <c r="E23" i="2"/>
  <c r="F24" i="10"/>
  <c r="N21" i="10"/>
  <c r="L10" i="13"/>
  <c r="R5" i="13"/>
  <c r="L25" i="2"/>
  <c r="L14" i="2"/>
  <c r="B26" i="2"/>
  <c r="K17" i="13"/>
  <c r="M15" i="13"/>
  <c r="W14" i="13"/>
  <c r="J7" i="13"/>
  <c r="B22" i="2"/>
  <c r="K5" i="2"/>
  <c r="I6" i="2"/>
  <c r="L16" i="13"/>
  <c r="G15" i="2"/>
  <c r="C24" i="10"/>
  <c r="D18" i="13"/>
  <c r="L6" i="9"/>
  <c r="C9" i="13"/>
  <c r="N14" i="2"/>
  <c r="C9" i="2"/>
  <c r="M11" i="13"/>
  <c r="C5" i="2"/>
  <c r="G17" i="2"/>
  <c r="L27" i="2"/>
  <c r="I13" i="2"/>
  <c r="C8" i="2"/>
  <c r="C11" i="2"/>
  <c r="E10" i="9"/>
  <c r="B12" i="13"/>
  <c r="M30" i="2"/>
  <c r="G10" i="9"/>
  <c r="N9" i="13"/>
  <c r="M28" i="2"/>
  <c r="T15" i="13"/>
  <c r="B15" i="13"/>
  <c r="N10" i="2"/>
  <c r="G6" i="2"/>
  <c r="H12" i="9"/>
  <c r="M20" i="2"/>
  <c r="E19" i="2"/>
  <c r="E10" i="13"/>
  <c r="F8" i="2"/>
  <c r="N18" i="13"/>
  <c r="K11" i="2"/>
  <c r="N17" i="13"/>
  <c r="K20" i="10"/>
  <c r="F18" i="2"/>
  <c r="I24" i="10"/>
  <c r="H28" i="2"/>
  <c r="K15" i="2"/>
  <c r="J17" i="2"/>
  <c r="L7" i="2"/>
  <c r="E28" i="2"/>
  <c r="L17" i="13"/>
  <c r="K12" i="9"/>
  <c r="S17" i="13"/>
  <c r="N24" i="10"/>
  <c r="F26" i="2"/>
  <c r="B17" i="13"/>
  <c r="I16" i="2"/>
  <c r="L7" i="13"/>
  <c r="C23" i="10"/>
  <c r="N9" i="2"/>
  <c r="K24" i="10"/>
  <c r="V11" i="13"/>
  <c r="K22" i="2"/>
  <c r="H25" i="2"/>
  <c r="C25" i="2"/>
  <c r="I8" i="9"/>
  <c r="D9" i="2"/>
  <c r="H16" i="2"/>
  <c r="B10" i="13"/>
  <c r="E17" i="2"/>
  <c r="B9" i="13"/>
  <c r="M13" i="13"/>
  <c r="E27" i="2"/>
  <c r="B28" i="2"/>
  <c r="N7" i="13"/>
  <c r="F11" i="2"/>
  <c r="I11" i="9"/>
  <c r="N12" i="13"/>
  <c r="C6" i="2"/>
  <c r="N24" i="2"/>
  <c r="B11" i="2"/>
  <c r="I21" i="2"/>
  <c r="E9" i="9"/>
  <c r="N8" i="10"/>
  <c r="R7" i="13"/>
  <c r="J22" i="2"/>
  <c r="I20" i="2"/>
  <c r="L22" i="10"/>
  <c r="B24" i="2"/>
  <c r="R9" i="13"/>
  <c r="H24" i="2"/>
  <c r="E30" i="2"/>
  <c r="G16" i="13"/>
  <c r="E9" i="2"/>
  <c r="P14" i="13"/>
  <c r="I9" i="10"/>
  <c r="I25" i="10"/>
  <c r="J6" i="9"/>
  <c r="L29" i="2"/>
  <c r="I8" i="13"/>
  <c r="L20" i="10"/>
  <c r="G7" i="13"/>
  <c r="K16" i="13"/>
  <c r="F15" i="2"/>
  <c r="B8" i="13"/>
  <c r="S6" i="13"/>
  <c r="R10" i="13"/>
  <c r="K21" i="10"/>
  <c r="G11" i="2"/>
  <c r="G16" i="2"/>
  <c r="H16" i="13"/>
  <c r="L15" i="13"/>
  <c r="N20" i="2"/>
  <c r="I11" i="2"/>
  <c r="I12" i="9"/>
  <c r="G8" i="2"/>
  <c r="N9" i="10"/>
  <c r="G12" i="9"/>
  <c r="K5" i="13"/>
  <c r="D7" i="2"/>
  <c r="H30" i="2"/>
  <c r="I8" i="10"/>
  <c r="U17" i="13"/>
  <c r="G15" i="13"/>
  <c r="D15" i="2"/>
  <c r="J23" i="2"/>
  <c r="H6" i="2"/>
  <c r="L25" i="10"/>
  <c r="Q13" i="13"/>
  <c r="P18" i="13"/>
  <c r="F8" i="13"/>
  <c r="J31" i="2"/>
  <c r="O18" i="13"/>
  <c r="M22" i="2"/>
  <c r="I7" i="13"/>
  <c r="V15" i="13"/>
  <c r="L28" i="2"/>
  <c r="E18" i="2"/>
  <c r="M17" i="2"/>
  <c r="N7" i="10"/>
  <c r="F31" i="2"/>
  <c r="W6" i="13"/>
  <c r="C16" i="2"/>
  <c r="T10" i="13"/>
  <c r="N31" i="2"/>
  <c r="F16" i="13"/>
  <c r="S10" i="13"/>
  <c r="I25" i="2"/>
  <c r="E7" i="13"/>
  <c r="M25" i="10"/>
  <c r="V12" i="13"/>
  <c r="F16" i="2"/>
  <c r="U13" i="13"/>
  <c r="L11" i="9"/>
  <c r="J5" i="13"/>
  <c r="M6" i="13"/>
  <c r="B13" i="13"/>
  <c r="M27" i="2"/>
  <c r="W11" i="13"/>
  <c r="X13" i="13"/>
  <c r="U8" i="13"/>
  <c r="O14" i="13"/>
  <c r="F10" i="2"/>
  <c r="F30" i="2"/>
  <c r="M14" i="13"/>
  <c r="M6" i="2"/>
  <c r="O8" i="10"/>
  <c r="M5" i="2"/>
  <c r="C14" i="13"/>
  <c r="K6" i="2"/>
  <c r="F15" i="13"/>
  <c r="V9" i="13"/>
  <c r="I10" i="2"/>
  <c r="N10" i="13"/>
  <c r="J6" i="2"/>
  <c r="G6" i="9"/>
  <c r="D16" i="13"/>
  <c r="L5" i="2"/>
  <c r="L31" i="2"/>
  <c r="D9" i="13"/>
  <c r="H18" i="13"/>
  <c r="O9" i="10"/>
  <c r="F6" i="2"/>
  <c r="I28" i="2"/>
  <c r="H20" i="2"/>
  <c r="M24" i="2"/>
  <c r="E5" i="2"/>
  <c r="H13" i="13"/>
  <c r="C7" i="2"/>
  <c r="M31" i="2"/>
  <c r="I10" i="13"/>
  <c r="P15" i="13"/>
  <c r="K18" i="2"/>
  <c r="Q16" i="13"/>
  <c r="B19" i="2"/>
  <c r="G10" i="2"/>
  <c r="M14" i="2"/>
  <c r="E25" i="2"/>
  <c r="K7" i="9"/>
  <c r="S15" i="13"/>
  <c r="V17" i="13"/>
  <c r="M12" i="13"/>
  <c r="H12" i="2"/>
  <c r="K25" i="2"/>
  <c r="P16" i="13"/>
  <c r="K18" i="13"/>
  <c r="B21" i="2"/>
  <c r="K11" i="13"/>
  <c r="S18" i="13"/>
  <c r="H21" i="2"/>
  <c r="B9" i="2"/>
  <c r="K13" i="2"/>
  <c r="K12" i="13"/>
  <c r="H9" i="13"/>
  <c r="C22" i="10"/>
  <c r="M24" i="10"/>
  <c r="M26" i="2"/>
  <c r="U14" i="13"/>
  <c r="N20" i="10"/>
  <c r="C5" i="13"/>
  <c r="C18" i="2"/>
  <c r="B31" i="2"/>
  <c r="J9" i="13"/>
  <c r="N9" i="9"/>
  <c r="L26" i="2"/>
  <c r="I18" i="13"/>
  <c r="Q15" i="13"/>
  <c r="F9" i="2"/>
  <c r="F8" i="10"/>
  <c r="G5" i="2"/>
  <c r="E8" i="13"/>
  <c r="J13" i="13"/>
  <c r="J19" i="2"/>
  <c r="C10" i="2"/>
  <c r="N12" i="2"/>
  <c r="J11" i="2"/>
  <c r="G12" i="2"/>
  <c r="L24" i="10"/>
  <c r="I17" i="13"/>
  <c r="E11" i="13"/>
  <c r="H5" i="13"/>
  <c r="G19" i="2"/>
  <c r="C30" i="2"/>
  <c r="L8" i="13"/>
  <c r="I9" i="2"/>
  <c r="E12" i="13"/>
  <c r="L9" i="13"/>
  <c r="L24" i="2"/>
  <c r="G31" i="2"/>
  <c r="E16" i="2"/>
  <c r="F7" i="10"/>
  <c r="D10" i="2"/>
  <c r="I18" i="2"/>
  <c r="F25" i="10"/>
  <c r="J28" i="2"/>
  <c r="W5" i="13"/>
  <c r="F21" i="10"/>
  <c r="Q18" i="13"/>
  <c r="V7" i="13"/>
  <c r="N11" i="13"/>
  <c r="E17" i="13"/>
  <c r="H9" i="9"/>
  <c r="G10" i="13"/>
  <c r="I6" i="13"/>
  <c r="N23" i="10"/>
  <c r="D10" i="13"/>
  <c r="J8" i="13"/>
  <c r="H14" i="13"/>
  <c r="K31" i="2"/>
  <c r="X15" i="13"/>
  <c r="X18" i="13"/>
  <c r="O10" i="13"/>
  <c r="L17" i="2"/>
  <c r="V13" i="13"/>
  <c r="F18" i="13"/>
  <c r="H8" i="9"/>
  <c r="E16" i="13"/>
  <c r="J18" i="13"/>
  <c r="X11" i="13"/>
  <c r="M23" i="10"/>
  <c r="H7" i="2"/>
  <c r="S8" i="13"/>
  <c r="B6" i="13"/>
  <c r="B6" i="2"/>
  <c r="J12" i="9"/>
  <c r="I12" i="13"/>
  <c r="H17" i="2"/>
  <c r="O7" i="10"/>
  <c r="C6" i="13"/>
  <c r="N13" i="13"/>
  <c r="X14" i="13"/>
  <c r="D14" i="13"/>
  <c r="X17" i="13"/>
  <c r="E10" i="2"/>
  <c r="L30" i="2"/>
  <c r="F21" i="2"/>
  <c r="E11" i="9"/>
  <c r="L13" i="2"/>
  <c r="E11" i="2"/>
  <c r="E12" i="2"/>
  <c r="L19" i="2"/>
  <c r="F28" i="2"/>
  <c r="M12" i="2"/>
  <c r="D12" i="13"/>
  <c r="M16" i="13"/>
  <c r="B5" i="2"/>
  <c r="L13" i="13"/>
  <c r="K26" i="2"/>
  <c r="C15" i="2"/>
  <c r="G11" i="9"/>
  <c r="H15" i="2"/>
  <c r="H11" i="2"/>
  <c r="C28" i="2"/>
  <c r="K16" i="2"/>
  <c r="P11" i="13"/>
  <c r="G20" i="2"/>
  <c r="O9" i="13"/>
  <c r="D12" i="2"/>
  <c r="C15" i="13"/>
  <c r="O21" i="10"/>
  <c r="B18" i="2"/>
  <c r="I15" i="2"/>
  <c r="E26" i="2"/>
  <c r="B17" i="2"/>
  <c r="E6" i="9"/>
  <c r="T17" i="13"/>
  <c r="S11" i="13"/>
  <c r="I12" i="2"/>
  <c r="B12" i="2"/>
  <c r="D29" i="2"/>
  <c r="J25" i="2"/>
  <c r="I7" i="2"/>
  <c r="V6" i="13"/>
  <c r="M9" i="13"/>
  <c r="H8" i="2"/>
  <c r="O17" i="13"/>
  <c r="E5" i="13"/>
  <c r="D6" i="2"/>
  <c r="N16" i="13"/>
  <c r="P8" i="13"/>
  <c r="U5" i="13"/>
  <c r="F5" i="13"/>
  <c r="E13" i="13"/>
  <c r="H10" i="2"/>
  <c r="W9" i="13"/>
  <c r="C11" i="13"/>
  <c r="G27" i="2"/>
  <c r="V18" i="13"/>
  <c r="G9" i="2"/>
  <c r="I8" i="2"/>
  <c r="F23" i="2"/>
  <c r="L18" i="13"/>
  <c r="E15" i="13"/>
  <c r="L11" i="13"/>
  <c r="Q7" i="13"/>
  <c r="O20" i="10"/>
  <c r="K6" i="9"/>
  <c r="Q10" i="13"/>
  <c r="K9" i="9"/>
  <c r="B11" i="13"/>
  <c r="J7" i="9"/>
  <c r="D5" i="2"/>
  <c r="I16" i="13"/>
  <c r="K10" i="13"/>
  <c r="E20" i="2"/>
  <c r="E8" i="9"/>
  <c r="J8" i="9"/>
  <c r="I26" i="2"/>
  <c r="K19" i="2"/>
  <c r="L12" i="13"/>
  <c r="W12" i="13"/>
  <c r="L23" i="2"/>
  <c r="I14" i="13"/>
  <c r="L10" i="2"/>
  <c r="Q8" i="13"/>
  <c r="J9" i="2"/>
  <c r="M8" i="2"/>
  <c r="L21" i="2"/>
  <c r="G9" i="13"/>
  <c r="R11" i="13"/>
  <c r="F14" i="13"/>
  <c r="C26" i="2"/>
  <c r="K7" i="2"/>
  <c r="G8" i="13"/>
  <c r="E7" i="9"/>
  <c r="T16" i="13"/>
  <c r="S12" i="13"/>
  <c r="Q11" i="13"/>
  <c r="R6" i="13"/>
  <c r="J15" i="13"/>
  <c r="J11" i="9"/>
  <c r="L8" i="10"/>
  <c r="O25" i="10"/>
  <c r="M18" i="13"/>
  <c r="E14" i="13"/>
  <c r="I5" i="13"/>
  <c r="T18" i="13"/>
  <c r="C12" i="13"/>
  <c r="G22" i="2"/>
  <c r="F24" i="2"/>
  <c r="K7" i="13"/>
  <c r="E12" i="9"/>
  <c r="N16" i="2"/>
  <c r="L6" i="2"/>
  <c r="B16" i="2"/>
  <c r="X12" i="13"/>
  <c r="G14" i="2"/>
  <c r="T12" i="13"/>
  <c r="F23" i="10"/>
  <c r="K6" i="13"/>
  <c r="H53" i="3" l="1"/>
  <c r="K56" i="3"/>
  <c r="B56" i="3"/>
  <c r="H55" i="3"/>
  <c r="E54" i="3"/>
  <c r="K54" i="3"/>
  <c r="B54" i="3"/>
  <c r="H54" i="3"/>
  <c r="K53" i="3"/>
  <c r="K55" i="3"/>
  <c r="E55" i="3"/>
  <c r="H56" i="3"/>
  <c r="B53" i="3"/>
  <c r="B55" i="3"/>
  <c r="E56" i="3"/>
  <c r="E53" i="3"/>
  <c r="B39" i="14"/>
  <c r="B41" i="14"/>
  <c r="B42" i="14"/>
  <c r="B40" i="14"/>
  <c r="Q42" i="14"/>
  <c r="Q41" i="14"/>
  <c r="Q40" i="14"/>
  <c r="Q39" i="14"/>
  <c r="K41" i="14"/>
  <c r="K39" i="14"/>
  <c r="K40" i="14"/>
  <c r="K42" i="14"/>
  <c r="E40" i="14"/>
  <c r="N40" i="14"/>
  <c r="N41" i="14"/>
  <c r="E42" i="14"/>
  <c r="E41" i="14"/>
  <c r="N42" i="14"/>
  <c r="N39" i="14"/>
  <c r="E39" i="14"/>
  <c r="H39" i="14"/>
  <c r="H41" i="14"/>
  <c r="H40" i="14"/>
  <c r="H42" i="14"/>
  <c r="Q38" i="14"/>
  <c r="K38" i="14"/>
  <c r="K52" i="3"/>
  <c r="E52" i="3"/>
  <c r="H52" i="3"/>
  <c r="B52" i="3"/>
  <c r="B38" i="14"/>
  <c r="N38" i="14"/>
  <c r="E38" i="14"/>
  <c r="H38" i="14"/>
  <c r="B37" i="14"/>
  <c r="E37" i="14"/>
  <c r="N37" i="14"/>
  <c r="H37" i="14"/>
  <c r="Q37" i="14"/>
  <c r="K37" i="14"/>
  <c r="B51" i="3"/>
  <c r="E51" i="3"/>
  <c r="H51" i="3"/>
  <c r="K51" i="3"/>
  <c r="H29" i="14"/>
  <c r="H33" i="14"/>
  <c r="H32" i="14"/>
  <c r="H35" i="14"/>
  <c r="H30" i="14"/>
  <c r="H28" i="14"/>
  <c r="H34" i="14"/>
  <c r="H31" i="14"/>
  <c r="H36" i="14"/>
  <c r="H26" i="14"/>
  <c r="H27" i="14"/>
  <c r="B29" i="14"/>
  <c r="B34" i="14"/>
  <c r="B30" i="14"/>
  <c r="B27" i="14"/>
  <c r="B26" i="14"/>
  <c r="B32" i="14"/>
  <c r="B36" i="14"/>
  <c r="B33" i="14"/>
  <c r="B35" i="14"/>
  <c r="B28" i="14"/>
  <c r="B31" i="14"/>
  <c r="Q26" i="14"/>
  <c r="Q33" i="14"/>
  <c r="K27" i="14"/>
  <c r="K26" i="14"/>
  <c r="K32" i="14"/>
  <c r="Q29" i="14"/>
  <c r="K28" i="14"/>
  <c r="Q30" i="14"/>
  <c r="K33" i="14"/>
  <c r="Q27" i="14"/>
  <c r="Q36" i="14"/>
  <c r="Q31" i="14"/>
  <c r="K30" i="14"/>
  <c r="K29" i="14"/>
  <c r="K35" i="14"/>
  <c r="K36" i="14"/>
  <c r="Q34" i="14"/>
  <c r="K31" i="14"/>
  <c r="Q35" i="14"/>
  <c r="Q32" i="14"/>
  <c r="K34" i="14"/>
  <c r="Q28" i="14"/>
  <c r="E33" i="14"/>
  <c r="N36" i="14"/>
  <c r="N31" i="14"/>
  <c r="E36" i="14"/>
  <c r="N34" i="14"/>
  <c r="E31" i="14"/>
  <c r="N32" i="14"/>
  <c r="E29" i="14"/>
  <c r="E27" i="14"/>
  <c r="N29" i="14"/>
  <c r="E34" i="14"/>
  <c r="E32" i="14"/>
  <c r="N33" i="14"/>
  <c r="N27" i="14"/>
  <c r="E28" i="14"/>
  <c r="N26" i="14"/>
  <c r="N30" i="14"/>
  <c r="N28" i="14"/>
  <c r="N35" i="14"/>
  <c r="E26" i="14"/>
  <c r="E30" i="14"/>
  <c r="E35" i="14"/>
  <c r="K44" i="3"/>
  <c r="K47" i="3"/>
  <c r="E44" i="3"/>
  <c r="B43" i="3"/>
  <c r="E41" i="3"/>
  <c r="B42" i="3"/>
  <c r="E46" i="3"/>
  <c r="B47" i="3"/>
  <c r="K46" i="3"/>
  <c r="H44" i="3"/>
  <c r="E43" i="3"/>
  <c r="H41" i="3"/>
  <c r="B41" i="3"/>
  <c r="H50" i="3"/>
  <c r="E47" i="3"/>
  <c r="B46" i="3"/>
  <c r="B44" i="3"/>
  <c r="H43" i="3"/>
  <c r="E49" i="3"/>
  <c r="K50" i="3"/>
  <c r="K48" i="3"/>
  <c r="H40" i="3"/>
  <c r="K40" i="3"/>
  <c r="K49" i="3"/>
  <c r="B40" i="3"/>
  <c r="B50" i="3"/>
  <c r="E50" i="3"/>
  <c r="K41" i="3"/>
  <c r="E42" i="3"/>
  <c r="B45" i="3"/>
  <c r="H49" i="3"/>
  <c r="E40" i="3"/>
  <c r="E45" i="3"/>
  <c r="B48" i="3"/>
  <c r="H45" i="3"/>
  <c r="H46" i="3"/>
  <c r="H48" i="3"/>
  <c r="H42" i="3"/>
  <c r="K45" i="3"/>
  <c r="H47" i="3"/>
  <c r="B49" i="3"/>
  <c r="K43" i="3"/>
  <c r="E48" i="3"/>
  <c r="K42" i="3"/>
  <c r="Q25" i="14"/>
  <c r="K24" i="14"/>
  <c r="Q24" i="14"/>
  <c r="K25" i="14"/>
  <c r="Q23" i="14"/>
  <c r="K23" i="14"/>
  <c r="H25" i="14"/>
  <c r="H23" i="14"/>
  <c r="H24" i="14"/>
  <c r="E24" i="14"/>
  <c r="N25" i="14"/>
  <c r="E25" i="14"/>
  <c r="N23" i="14"/>
  <c r="E23" i="14"/>
  <c r="N24" i="14"/>
  <c r="B25" i="14"/>
  <c r="B24" i="14"/>
  <c r="B23" i="14"/>
  <c r="B39" i="3"/>
  <c r="K39" i="3"/>
  <c r="B37" i="3"/>
  <c r="H39" i="3"/>
  <c r="K37" i="3"/>
  <c r="K38" i="3"/>
  <c r="E38" i="3"/>
  <c r="E39" i="3"/>
  <c r="B38" i="3"/>
  <c r="H37" i="3"/>
  <c r="E37" i="3"/>
  <c r="H38" i="3"/>
  <c r="E22" i="14"/>
  <c r="N22" i="14"/>
  <c r="H22" i="14"/>
  <c r="K36" i="3"/>
  <c r="E36" i="3"/>
  <c r="H36" i="3"/>
  <c r="B36" i="3"/>
  <c r="B22" i="14"/>
  <c r="Q22" i="14"/>
  <c r="K22" i="14"/>
  <c r="K12" i="3"/>
  <c r="E12" i="3"/>
  <c r="B12" i="3"/>
  <c r="H12" i="3"/>
  <c r="E20" i="14"/>
  <c r="H5" i="14"/>
  <c r="B5" i="14"/>
  <c r="Q5" i="14"/>
  <c r="E19" i="14"/>
  <c r="N20" i="14"/>
  <c r="N21" i="14"/>
  <c r="E21" i="14"/>
  <c r="N19" i="14"/>
  <c r="K5" i="14"/>
  <c r="H14" i="14"/>
  <c r="B14" i="14"/>
  <c r="Q14" i="14"/>
  <c r="K14" i="14"/>
  <c r="E14" i="14"/>
  <c r="N14" i="14"/>
  <c r="K26" i="3"/>
  <c r="B26" i="3"/>
  <c r="E26" i="3"/>
  <c r="H26" i="3"/>
  <c r="H19" i="3"/>
  <c r="B19" i="3"/>
  <c r="K19" i="3"/>
  <c r="E19" i="3"/>
  <c r="H7" i="3"/>
  <c r="K7" i="3"/>
  <c r="E7" i="3"/>
  <c r="B7" i="3"/>
  <c r="E18" i="3"/>
  <c r="B18" i="3"/>
  <c r="K18" i="3"/>
  <c r="H18" i="3"/>
  <c r="K30" i="3"/>
  <c r="H30" i="3"/>
  <c r="E30" i="3"/>
  <c r="B30" i="3"/>
  <c r="Q16" i="14"/>
  <c r="H16" i="14"/>
  <c r="E16" i="14"/>
  <c r="B16" i="14"/>
  <c r="K16" i="14"/>
  <c r="N16" i="14"/>
  <c r="E17" i="3"/>
  <c r="B17" i="3"/>
  <c r="K17" i="3"/>
  <c r="H17" i="3"/>
  <c r="Q17" i="14"/>
  <c r="N17" i="14"/>
  <c r="E17" i="14"/>
  <c r="H17" i="14"/>
  <c r="K17" i="14"/>
  <c r="B17" i="14"/>
  <c r="B24" i="3"/>
  <c r="E24" i="3"/>
  <c r="H24" i="3"/>
  <c r="K24" i="3"/>
  <c r="B32" i="3"/>
  <c r="K32" i="3"/>
  <c r="E32" i="3"/>
  <c r="H32" i="3"/>
  <c r="H31" i="3"/>
  <c r="B31" i="3"/>
  <c r="K31" i="3"/>
  <c r="E31" i="3"/>
  <c r="B13" i="14"/>
  <c r="Q13" i="14"/>
  <c r="K13" i="14"/>
  <c r="H13" i="14"/>
  <c r="E13" i="14"/>
  <c r="N13" i="14"/>
  <c r="E20" i="3"/>
  <c r="H20" i="3"/>
  <c r="B20" i="3"/>
  <c r="K20" i="3"/>
  <c r="H11" i="14"/>
  <c r="Q11" i="14"/>
  <c r="B11" i="14"/>
  <c r="E11" i="14"/>
  <c r="N11" i="14"/>
  <c r="K11" i="14"/>
  <c r="H8" i="3"/>
  <c r="E8" i="3"/>
  <c r="K8" i="3"/>
  <c r="B8" i="3"/>
  <c r="B9" i="3"/>
  <c r="E9" i="3"/>
  <c r="H9" i="3"/>
  <c r="K9" i="3"/>
  <c r="E28" i="3"/>
  <c r="K28" i="3"/>
  <c r="B28" i="3"/>
  <c r="H28" i="3"/>
  <c r="K21" i="3"/>
  <c r="B21" i="3"/>
  <c r="E21" i="3"/>
  <c r="H21" i="3"/>
  <c r="B9" i="14"/>
  <c r="H9" i="14"/>
  <c r="N9" i="14"/>
  <c r="K9" i="14"/>
  <c r="Q9" i="14"/>
  <c r="L9" i="14"/>
  <c r="E9" i="14"/>
  <c r="R9" i="14"/>
  <c r="B11" i="3"/>
  <c r="E11" i="3"/>
  <c r="K11" i="3"/>
  <c r="H11" i="3"/>
  <c r="H19" i="14"/>
  <c r="K7" i="14"/>
  <c r="E7" i="14"/>
  <c r="H21" i="14"/>
  <c r="Q7" i="14"/>
  <c r="H20" i="14"/>
  <c r="C7" i="14"/>
  <c r="N7" i="14"/>
  <c r="B7" i="14"/>
  <c r="H15" i="3"/>
  <c r="B15" i="3"/>
  <c r="E15" i="3"/>
  <c r="K15" i="3"/>
  <c r="B12" i="14"/>
  <c r="Q12" i="14"/>
  <c r="E12" i="14"/>
  <c r="H12" i="14"/>
  <c r="N12" i="14"/>
  <c r="K12" i="14"/>
  <c r="E35" i="3"/>
  <c r="B34" i="3"/>
  <c r="K33" i="3"/>
  <c r="B33" i="3"/>
  <c r="H6" i="3"/>
  <c r="E33" i="3"/>
  <c r="H34" i="3"/>
  <c r="E34" i="3"/>
  <c r="H33" i="3"/>
  <c r="E6" i="3"/>
  <c r="K35" i="3"/>
  <c r="K6" i="3"/>
  <c r="H35" i="3"/>
  <c r="K34" i="3"/>
  <c r="B35" i="3"/>
  <c r="B6" i="3"/>
  <c r="H6" i="14"/>
  <c r="F6" i="14"/>
  <c r="Q6" i="14"/>
  <c r="B19" i="14"/>
  <c r="N6" i="14"/>
  <c r="O6" i="14"/>
  <c r="K6" i="14"/>
  <c r="E6" i="14"/>
  <c r="B21" i="14"/>
  <c r="B20" i="14"/>
  <c r="K10" i="3"/>
  <c r="B10" i="3"/>
  <c r="H10" i="3"/>
  <c r="E10" i="3"/>
  <c r="K16" i="3"/>
  <c r="B16" i="3"/>
  <c r="E16" i="3"/>
  <c r="H16" i="3"/>
  <c r="B14" i="3"/>
  <c r="H14" i="3"/>
  <c r="E14" i="3"/>
  <c r="K14" i="3"/>
  <c r="H18" i="14"/>
  <c r="B18" i="14"/>
  <c r="N18" i="14"/>
  <c r="K18" i="14"/>
  <c r="Q18" i="14"/>
  <c r="E18" i="14"/>
  <c r="I8" i="14"/>
  <c r="E8" i="14"/>
  <c r="K19" i="14"/>
  <c r="K21" i="14"/>
  <c r="K20" i="14"/>
  <c r="Q21" i="14"/>
  <c r="Q19" i="14"/>
  <c r="B8" i="14"/>
  <c r="H8" i="14"/>
  <c r="N8" i="14"/>
  <c r="Q20" i="14"/>
  <c r="K29" i="3"/>
  <c r="H29" i="3"/>
  <c r="E29" i="3"/>
  <c r="B29" i="3"/>
  <c r="E22" i="3"/>
  <c r="K22" i="3"/>
  <c r="B22" i="3"/>
  <c r="H22" i="3"/>
  <c r="E10" i="14"/>
  <c r="Q10" i="14"/>
  <c r="H10" i="14"/>
  <c r="N10" i="14"/>
  <c r="K10" i="14"/>
  <c r="B10" i="14"/>
  <c r="K23" i="3"/>
  <c r="B23" i="3"/>
  <c r="E23" i="3"/>
  <c r="H23" i="3"/>
  <c r="H13" i="3"/>
  <c r="E13" i="3"/>
  <c r="K13" i="3"/>
  <c r="B13" i="3"/>
  <c r="H15" i="14"/>
  <c r="B15" i="14"/>
  <c r="N15" i="14"/>
  <c r="E15" i="14"/>
  <c r="Q15" i="14"/>
  <c r="K15" i="14"/>
  <c r="K25" i="3"/>
  <c r="H25" i="3"/>
  <c r="E25" i="3"/>
  <c r="B25" i="3"/>
  <c r="K27" i="3"/>
  <c r="B27" i="3"/>
  <c r="H27" i="3"/>
  <c r="E27" i="3"/>
  <c r="N10" i="9"/>
  <c r="N11" i="9" s="1"/>
  <c r="B7" i="4" l="1"/>
  <c r="C7" i="4"/>
  <c r="G53" i="3"/>
  <c r="D54" i="3"/>
  <c r="M53" i="3"/>
  <c r="J53" i="3"/>
  <c r="J42" i="14"/>
  <c r="I43" i="14"/>
  <c r="G42" i="14"/>
  <c r="F43" i="14"/>
  <c r="R40" i="14"/>
  <c r="S39" i="14"/>
  <c r="I54" i="3"/>
  <c r="J54" i="3"/>
  <c r="I41" i="14"/>
  <c r="J40" i="14"/>
  <c r="P41" i="14"/>
  <c r="O42" i="14"/>
  <c r="S40" i="14"/>
  <c r="R41" i="14"/>
  <c r="G56" i="3"/>
  <c r="F56" i="3"/>
  <c r="F57" i="3"/>
  <c r="I42" i="14"/>
  <c r="J41" i="14"/>
  <c r="O41" i="14"/>
  <c r="P40" i="14"/>
  <c r="R42" i="14"/>
  <c r="S41" i="14"/>
  <c r="C55" i="3"/>
  <c r="D55" i="3"/>
  <c r="M54" i="3"/>
  <c r="L54" i="3"/>
  <c r="I40" i="14"/>
  <c r="J39" i="14"/>
  <c r="F41" i="14"/>
  <c r="G40" i="14"/>
  <c r="R43" i="14"/>
  <c r="S42" i="14"/>
  <c r="C54" i="3"/>
  <c r="D53" i="3"/>
  <c r="F54" i="3"/>
  <c r="G54" i="3"/>
  <c r="G39" i="14"/>
  <c r="F40" i="14"/>
  <c r="M42" i="14"/>
  <c r="L43" i="14"/>
  <c r="C41" i="14"/>
  <c r="D40" i="14"/>
  <c r="I57" i="3"/>
  <c r="J56" i="3"/>
  <c r="I56" i="3"/>
  <c r="J55" i="3"/>
  <c r="I55" i="3"/>
  <c r="P39" i="14"/>
  <c r="O40" i="14"/>
  <c r="M40" i="14"/>
  <c r="L41" i="14"/>
  <c r="C43" i="14"/>
  <c r="D42" i="14"/>
  <c r="F55" i="3"/>
  <c r="G55" i="3"/>
  <c r="D56" i="3"/>
  <c r="C56" i="3"/>
  <c r="C57" i="3"/>
  <c r="P42" i="14"/>
  <c r="O43" i="14"/>
  <c r="L40" i="14"/>
  <c r="M39" i="14"/>
  <c r="C42" i="14"/>
  <c r="D41" i="14"/>
  <c r="M55" i="3"/>
  <c r="L55" i="3"/>
  <c r="L57" i="3"/>
  <c r="M56" i="3"/>
  <c r="L56" i="3"/>
  <c r="G41" i="14"/>
  <c r="F42" i="14"/>
  <c r="L42" i="14"/>
  <c r="M41" i="14"/>
  <c r="C40" i="14"/>
  <c r="D39" i="14"/>
  <c r="P38" i="14"/>
  <c r="O39" i="14"/>
  <c r="D38" i="14"/>
  <c r="C39" i="14"/>
  <c r="D52" i="3"/>
  <c r="C53" i="3"/>
  <c r="I53" i="3"/>
  <c r="J52" i="3"/>
  <c r="F53" i="3"/>
  <c r="G52" i="3"/>
  <c r="L53" i="3"/>
  <c r="M52" i="3"/>
  <c r="J38" i="14"/>
  <c r="I39" i="14"/>
  <c r="M38" i="14"/>
  <c r="L39" i="14"/>
  <c r="G38" i="14"/>
  <c r="F39" i="14"/>
  <c r="S38" i="14"/>
  <c r="R39" i="14"/>
  <c r="F52" i="3"/>
  <c r="G51" i="3"/>
  <c r="C52" i="3"/>
  <c r="D51" i="3"/>
  <c r="L38" i="14"/>
  <c r="M37" i="14"/>
  <c r="R38" i="14"/>
  <c r="S37" i="14"/>
  <c r="J37" i="14"/>
  <c r="I38" i="14"/>
  <c r="O38" i="14"/>
  <c r="P37" i="14"/>
  <c r="L52" i="3"/>
  <c r="M51" i="3"/>
  <c r="G37" i="14"/>
  <c r="F38" i="14"/>
  <c r="I52" i="3"/>
  <c r="J51" i="3"/>
  <c r="C38" i="14"/>
  <c r="D37" i="14"/>
  <c r="D45" i="3"/>
  <c r="J40" i="3"/>
  <c r="D40" i="3"/>
  <c r="M46" i="3"/>
  <c r="M44" i="3"/>
  <c r="G40" i="3"/>
  <c r="D47" i="3"/>
  <c r="M40" i="3"/>
  <c r="J42" i="3"/>
  <c r="I42" i="3"/>
  <c r="I50" i="3"/>
  <c r="I51" i="3"/>
  <c r="J50" i="3"/>
  <c r="D42" i="3"/>
  <c r="C42" i="3"/>
  <c r="F27" i="14"/>
  <c r="G26" i="14"/>
  <c r="F33" i="14"/>
  <c r="G32" i="14"/>
  <c r="G36" i="14"/>
  <c r="F37" i="14"/>
  <c r="L32" i="14"/>
  <c r="M31" i="14"/>
  <c r="S27" i="14"/>
  <c r="R28" i="14"/>
  <c r="R34" i="14"/>
  <c r="S33" i="14"/>
  <c r="C27" i="14"/>
  <c r="D26" i="14"/>
  <c r="J31" i="14"/>
  <c r="I32" i="14"/>
  <c r="J48" i="3"/>
  <c r="I48" i="3"/>
  <c r="G42" i="3"/>
  <c r="F42" i="3"/>
  <c r="M48" i="3"/>
  <c r="L48" i="3"/>
  <c r="D41" i="3"/>
  <c r="C41" i="3"/>
  <c r="G41" i="3"/>
  <c r="F41" i="3"/>
  <c r="O36" i="14"/>
  <c r="P35" i="14"/>
  <c r="F35" i="14"/>
  <c r="G34" i="14"/>
  <c r="O32" i="14"/>
  <c r="P31" i="14"/>
  <c r="R35" i="14"/>
  <c r="S34" i="14"/>
  <c r="M33" i="14"/>
  <c r="L34" i="14"/>
  <c r="R27" i="14"/>
  <c r="S26" i="14"/>
  <c r="C28" i="14"/>
  <c r="D27" i="14"/>
  <c r="J34" i="14"/>
  <c r="I35" i="14"/>
  <c r="M42" i="3"/>
  <c r="L42" i="3"/>
  <c r="J46" i="3"/>
  <c r="I46" i="3"/>
  <c r="M41" i="3"/>
  <c r="L41" i="3"/>
  <c r="L50" i="3"/>
  <c r="L51" i="3"/>
  <c r="M50" i="3"/>
  <c r="J41" i="3"/>
  <c r="I41" i="3"/>
  <c r="D43" i="3"/>
  <c r="C43" i="3"/>
  <c r="O29" i="14"/>
  <c r="P28" i="14"/>
  <c r="P29" i="14"/>
  <c r="O30" i="14"/>
  <c r="P36" i="14"/>
  <c r="O37" i="14"/>
  <c r="M36" i="14"/>
  <c r="L37" i="14"/>
  <c r="S30" i="14"/>
  <c r="R31" i="14"/>
  <c r="C32" i="14"/>
  <c r="D31" i="14"/>
  <c r="D30" i="14"/>
  <c r="C31" i="14"/>
  <c r="J28" i="14"/>
  <c r="I29" i="14"/>
  <c r="G48" i="3"/>
  <c r="F48" i="3"/>
  <c r="I45" i="3"/>
  <c r="J45" i="3"/>
  <c r="F51" i="3"/>
  <c r="G50" i="3"/>
  <c r="F50" i="3"/>
  <c r="G49" i="3"/>
  <c r="F49" i="3"/>
  <c r="F43" i="3"/>
  <c r="G43" i="3"/>
  <c r="F44" i="3"/>
  <c r="G44" i="3"/>
  <c r="O31" i="14"/>
  <c r="P30" i="14"/>
  <c r="F28" i="14"/>
  <c r="G27" i="14"/>
  <c r="G33" i="14"/>
  <c r="F34" i="14"/>
  <c r="M35" i="14"/>
  <c r="L36" i="14"/>
  <c r="L29" i="14"/>
  <c r="M28" i="14"/>
  <c r="C29" i="14"/>
  <c r="D28" i="14"/>
  <c r="C35" i="14"/>
  <c r="D34" i="14"/>
  <c r="J30" i="14"/>
  <c r="I31" i="14"/>
  <c r="L44" i="3"/>
  <c r="M43" i="3"/>
  <c r="L43" i="3"/>
  <c r="D48" i="3"/>
  <c r="C48" i="3"/>
  <c r="D50" i="3"/>
  <c r="C51" i="3"/>
  <c r="C50" i="3"/>
  <c r="J43" i="3"/>
  <c r="I43" i="3"/>
  <c r="I44" i="3"/>
  <c r="J44" i="3"/>
  <c r="L47" i="3"/>
  <c r="M47" i="3"/>
  <c r="P26" i="14"/>
  <c r="O27" i="14"/>
  <c r="G29" i="14"/>
  <c r="F30" i="14"/>
  <c r="R29" i="14"/>
  <c r="S28" i="14"/>
  <c r="M29" i="14"/>
  <c r="L30" i="14"/>
  <c r="R30" i="14"/>
  <c r="S29" i="14"/>
  <c r="D35" i="14"/>
  <c r="C36" i="14"/>
  <c r="D29" i="14"/>
  <c r="C30" i="14"/>
  <c r="J35" i="14"/>
  <c r="I36" i="14"/>
  <c r="D49" i="3"/>
  <c r="C49" i="3"/>
  <c r="G45" i="3"/>
  <c r="F45" i="3"/>
  <c r="C45" i="3"/>
  <c r="C44" i="3"/>
  <c r="D44" i="3"/>
  <c r="G28" i="14"/>
  <c r="F29" i="14"/>
  <c r="O33" i="14"/>
  <c r="P32" i="14"/>
  <c r="M34" i="14"/>
  <c r="L35" i="14"/>
  <c r="M30" i="14"/>
  <c r="L31" i="14"/>
  <c r="M32" i="14"/>
  <c r="L33" i="14"/>
  <c r="C34" i="14"/>
  <c r="D33" i="14"/>
  <c r="J27" i="14"/>
  <c r="I28" i="14"/>
  <c r="I33" i="14"/>
  <c r="J32" i="14"/>
  <c r="J47" i="3"/>
  <c r="I47" i="3"/>
  <c r="M49" i="3"/>
  <c r="L49" i="3"/>
  <c r="C47" i="3"/>
  <c r="C46" i="3"/>
  <c r="D46" i="3"/>
  <c r="F36" i="14"/>
  <c r="G35" i="14"/>
  <c r="P27" i="14"/>
  <c r="O28" i="14"/>
  <c r="G31" i="14"/>
  <c r="F32" i="14"/>
  <c r="S32" i="14"/>
  <c r="R33" i="14"/>
  <c r="R32" i="14"/>
  <c r="S31" i="14"/>
  <c r="M26" i="14"/>
  <c r="L27" i="14"/>
  <c r="D36" i="14"/>
  <c r="C37" i="14"/>
  <c r="J26" i="14"/>
  <c r="I27" i="14"/>
  <c r="J33" i="14"/>
  <c r="I34" i="14"/>
  <c r="L46" i="3"/>
  <c r="L45" i="3"/>
  <c r="M45" i="3"/>
  <c r="J49" i="3"/>
  <c r="I49" i="3"/>
  <c r="G47" i="3"/>
  <c r="F47" i="3"/>
  <c r="G46" i="3"/>
  <c r="F46" i="3"/>
  <c r="F31" i="14"/>
  <c r="G30" i="14"/>
  <c r="O34" i="14"/>
  <c r="P33" i="14"/>
  <c r="O35" i="14"/>
  <c r="P34" i="14"/>
  <c r="S35" i="14"/>
  <c r="R36" i="14"/>
  <c r="R37" i="14"/>
  <c r="S36" i="14"/>
  <c r="M27" i="14"/>
  <c r="L28" i="14"/>
  <c r="D32" i="14"/>
  <c r="C33" i="14"/>
  <c r="J36" i="14"/>
  <c r="I37" i="14"/>
  <c r="J29" i="14"/>
  <c r="I30" i="14"/>
  <c r="M38" i="3"/>
  <c r="G37" i="3"/>
  <c r="D37" i="3"/>
  <c r="J37" i="3"/>
  <c r="D25" i="14"/>
  <c r="C26" i="14"/>
  <c r="I24" i="14"/>
  <c r="J23" i="14"/>
  <c r="L38" i="3"/>
  <c r="M37" i="3"/>
  <c r="P24" i="14"/>
  <c r="O25" i="14"/>
  <c r="J25" i="14"/>
  <c r="I26" i="14"/>
  <c r="I38" i="3"/>
  <c r="J38" i="3"/>
  <c r="I40" i="3"/>
  <c r="J39" i="3"/>
  <c r="I39" i="3"/>
  <c r="G23" i="14"/>
  <c r="F24" i="14"/>
  <c r="L24" i="14"/>
  <c r="M23" i="14"/>
  <c r="O24" i="14"/>
  <c r="P23" i="14"/>
  <c r="S23" i="14"/>
  <c r="R24" i="14"/>
  <c r="L40" i="3"/>
  <c r="M39" i="3"/>
  <c r="L39" i="3"/>
  <c r="F26" i="14"/>
  <c r="G25" i="14"/>
  <c r="M25" i="14"/>
  <c r="L26" i="14"/>
  <c r="C39" i="3"/>
  <c r="D38" i="3"/>
  <c r="C38" i="3"/>
  <c r="D39" i="3"/>
  <c r="C40" i="3"/>
  <c r="P25" i="14"/>
  <c r="O26" i="14"/>
  <c r="S24" i="14"/>
  <c r="R25" i="14"/>
  <c r="F39" i="3"/>
  <c r="G39" i="3"/>
  <c r="F40" i="3"/>
  <c r="D23" i="14"/>
  <c r="C24" i="14"/>
  <c r="F25" i="14"/>
  <c r="G24" i="14"/>
  <c r="L25" i="14"/>
  <c r="M24" i="14"/>
  <c r="G38" i="3"/>
  <c r="F38" i="3"/>
  <c r="D24" i="14"/>
  <c r="C25" i="14"/>
  <c r="I25" i="14"/>
  <c r="J24" i="14"/>
  <c r="S25" i="14"/>
  <c r="R26" i="14"/>
  <c r="D22" i="14"/>
  <c r="C23" i="14"/>
  <c r="C37" i="3"/>
  <c r="D36" i="3"/>
  <c r="J36" i="3"/>
  <c r="I37" i="3"/>
  <c r="F37" i="3"/>
  <c r="G36" i="3"/>
  <c r="M36" i="3"/>
  <c r="L37" i="3"/>
  <c r="I23" i="14"/>
  <c r="J22" i="14"/>
  <c r="L23" i="14"/>
  <c r="M22" i="14"/>
  <c r="O23" i="14"/>
  <c r="P22" i="14"/>
  <c r="S22" i="14"/>
  <c r="R23" i="14"/>
  <c r="F23" i="14"/>
  <c r="G22" i="14"/>
  <c r="L27" i="3"/>
  <c r="M27" i="3"/>
  <c r="M23" i="3"/>
  <c r="L23" i="3"/>
  <c r="D13" i="3"/>
  <c r="C13" i="3"/>
  <c r="L13" i="3"/>
  <c r="M13" i="3"/>
  <c r="F22" i="3"/>
  <c r="G22" i="3"/>
  <c r="C9" i="14"/>
  <c r="D8" i="14"/>
  <c r="F19" i="14"/>
  <c r="G18" i="14"/>
  <c r="I14" i="3"/>
  <c r="J14" i="3"/>
  <c r="C10" i="3"/>
  <c r="D10" i="3"/>
  <c r="D19" i="14"/>
  <c r="C20" i="14"/>
  <c r="C7" i="7"/>
  <c r="D7" i="7" s="1"/>
  <c r="M6" i="3"/>
  <c r="C11" i="7"/>
  <c r="C13" i="4"/>
  <c r="M3" i="9"/>
  <c r="E3" i="4"/>
  <c r="C15" i="4"/>
  <c r="C14" i="4"/>
  <c r="D15" i="4"/>
  <c r="D13" i="4"/>
  <c r="D12" i="4"/>
  <c r="D33" i="3"/>
  <c r="D14" i="4"/>
  <c r="C33" i="3"/>
  <c r="C12" i="4"/>
  <c r="R13" i="14"/>
  <c r="S12" i="14"/>
  <c r="M11" i="3"/>
  <c r="L11" i="3"/>
  <c r="P9" i="14"/>
  <c r="O10" i="14"/>
  <c r="C28" i="3"/>
  <c r="D28" i="3"/>
  <c r="M8" i="3"/>
  <c r="L8" i="3"/>
  <c r="J11" i="14"/>
  <c r="I12" i="14"/>
  <c r="M13" i="14"/>
  <c r="L14" i="14"/>
  <c r="G32" i="3"/>
  <c r="F32" i="3"/>
  <c r="L18" i="14"/>
  <c r="M17" i="14"/>
  <c r="G17" i="3"/>
  <c r="F17" i="3"/>
  <c r="G30" i="3"/>
  <c r="F30" i="3"/>
  <c r="G7" i="3"/>
  <c r="F7" i="3"/>
  <c r="F26" i="3"/>
  <c r="G26" i="3"/>
  <c r="J14" i="14"/>
  <c r="I15" i="14"/>
  <c r="D5" i="14"/>
  <c r="C6" i="14"/>
  <c r="D6" i="14"/>
  <c r="O27" i="3"/>
  <c r="C25" i="3"/>
  <c r="D25" i="3"/>
  <c r="C22" i="3"/>
  <c r="D22" i="3"/>
  <c r="M25" i="3"/>
  <c r="L25" i="3"/>
  <c r="L11" i="14"/>
  <c r="M10" i="14"/>
  <c r="F27" i="3"/>
  <c r="G27" i="3"/>
  <c r="L16" i="14"/>
  <c r="M15" i="14"/>
  <c r="F13" i="3"/>
  <c r="G13" i="3"/>
  <c r="P10" i="14"/>
  <c r="O11" i="14"/>
  <c r="C29" i="3"/>
  <c r="D29" i="3"/>
  <c r="R20" i="14"/>
  <c r="S19" i="14"/>
  <c r="S18" i="14"/>
  <c r="R19" i="14"/>
  <c r="D14" i="3"/>
  <c r="C14" i="3"/>
  <c r="L10" i="3"/>
  <c r="M10" i="3"/>
  <c r="R7" i="14"/>
  <c r="S6" i="14"/>
  <c r="M35" i="3"/>
  <c r="L36" i="3"/>
  <c r="L35" i="3"/>
  <c r="B7" i="7"/>
  <c r="C14" i="7"/>
  <c r="C12" i="7"/>
  <c r="L33" i="3"/>
  <c r="M33" i="3"/>
  <c r="D12" i="7"/>
  <c r="C15" i="7"/>
  <c r="E3" i="7"/>
  <c r="D13" i="7"/>
  <c r="C13" i="7"/>
  <c r="D14" i="7"/>
  <c r="D15" i="7"/>
  <c r="C13" i="14"/>
  <c r="D12" i="14"/>
  <c r="I21" i="14"/>
  <c r="J20" i="14"/>
  <c r="G11" i="3"/>
  <c r="F11" i="3"/>
  <c r="J9" i="14"/>
  <c r="I10" i="14"/>
  <c r="L28" i="3"/>
  <c r="M28" i="3"/>
  <c r="G8" i="3"/>
  <c r="F8" i="3"/>
  <c r="M20" i="3"/>
  <c r="L20" i="3"/>
  <c r="S13" i="14"/>
  <c r="R14" i="14"/>
  <c r="L32" i="3"/>
  <c r="M32" i="3"/>
  <c r="I18" i="14"/>
  <c r="J17" i="14"/>
  <c r="P16" i="14"/>
  <c r="O17" i="14"/>
  <c r="J30" i="3"/>
  <c r="I30" i="3"/>
  <c r="L7" i="3"/>
  <c r="M7" i="3"/>
  <c r="C26" i="3"/>
  <c r="D26" i="3"/>
  <c r="L6" i="14"/>
  <c r="M5" i="14"/>
  <c r="M8" i="14"/>
  <c r="I6" i="14"/>
  <c r="J5" i="14"/>
  <c r="J7" i="14"/>
  <c r="S15" i="14"/>
  <c r="R16" i="14"/>
  <c r="I13" i="3"/>
  <c r="J13" i="3"/>
  <c r="J10" i="14"/>
  <c r="I11" i="14"/>
  <c r="F29" i="3"/>
  <c r="G29" i="3"/>
  <c r="S21" i="14"/>
  <c r="R22" i="14"/>
  <c r="L19" i="14"/>
  <c r="M18" i="14"/>
  <c r="J16" i="3"/>
  <c r="I16" i="3"/>
  <c r="D20" i="14"/>
  <c r="C21" i="14"/>
  <c r="G6" i="3"/>
  <c r="C11" i="5"/>
  <c r="C7" i="5"/>
  <c r="D7" i="5" s="1"/>
  <c r="D34" i="3"/>
  <c r="C34" i="3"/>
  <c r="M15" i="3"/>
  <c r="L15" i="3"/>
  <c r="R8" i="14"/>
  <c r="S7" i="14"/>
  <c r="C11" i="3"/>
  <c r="D11" i="3"/>
  <c r="D9" i="14"/>
  <c r="C10" i="14"/>
  <c r="G28" i="3"/>
  <c r="F28" i="3"/>
  <c r="J8" i="3"/>
  <c r="I8" i="3"/>
  <c r="D20" i="3"/>
  <c r="C20" i="3"/>
  <c r="D13" i="14"/>
  <c r="C14" i="14"/>
  <c r="D32" i="3"/>
  <c r="C32" i="3"/>
  <c r="G17" i="14"/>
  <c r="F18" i="14"/>
  <c r="L17" i="14"/>
  <c r="M16" i="14"/>
  <c r="M30" i="3"/>
  <c r="L30" i="3"/>
  <c r="J7" i="3"/>
  <c r="I7" i="3"/>
  <c r="L26" i="3"/>
  <c r="M26" i="3"/>
  <c r="O20" i="14"/>
  <c r="P19" i="14"/>
  <c r="F21" i="14"/>
  <c r="G20" i="14"/>
  <c r="C27" i="3"/>
  <c r="D27" i="3"/>
  <c r="I23" i="3"/>
  <c r="J23" i="3"/>
  <c r="S10" i="14"/>
  <c r="R11" i="14"/>
  <c r="I29" i="3"/>
  <c r="J29" i="3"/>
  <c r="M20" i="14"/>
  <c r="L21" i="14"/>
  <c r="P18" i="14"/>
  <c r="O19" i="14"/>
  <c r="G16" i="3"/>
  <c r="F16" i="3"/>
  <c r="D21" i="14"/>
  <c r="C22" i="14"/>
  <c r="I7" i="14"/>
  <c r="J6" i="14"/>
  <c r="D14" i="6"/>
  <c r="D12" i="6"/>
  <c r="E3" i="6"/>
  <c r="I33" i="3"/>
  <c r="C14" i="6"/>
  <c r="C12" i="6"/>
  <c r="B7" i="6"/>
  <c r="D13" i="6"/>
  <c r="J33" i="3"/>
  <c r="D15" i="6"/>
  <c r="C13" i="6"/>
  <c r="C15" i="6"/>
  <c r="G35" i="3"/>
  <c r="F36" i="3"/>
  <c r="F35" i="3"/>
  <c r="F15" i="3"/>
  <c r="G15" i="3"/>
  <c r="I22" i="14"/>
  <c r="J21" i="14"/>
  <c r="J21" i="3"/>
  <c r="I21" i="3"/>
  <c r="M9" i="3"/>
  <c r="L9" i="3"/>
  <c r="L12" i="14"/>
  <c r="M11" i="14"/>
  <c r="J20" i="3"/>
  <c r="I20" i="3"/>
  <c r="G31" i="3"/>
  <c r="F31" i="3"/>
  <c r="L24" i="3"/>
  <c r="M24" i="3"/>
  <c r="O18" i="14"/>
  <c r="P17" i="14"/>
  <c r="D16" i="14"/>
  <c r="C17" i="14"/>
  <c r="I18" i="3"/>
  <c r="J18" i="3"/>
  <c r="F19" i="3"/>
  <c r="G19" i="3"/>
  <c r="P14" i="14"/>
  <c r="O15" i="14"/>
  <c r="G21" i="14"/>
  <c r="F22" i="14"/>
  <c r="I12" i="3"/>
  <c r="J12" i="3"/>
  <c r="I27" i="3"/>
  <c r="J27" i="3"/>
  <c r="P15" i="14"/>
  <c r="O16" i="14"/>
  <c r="F23" i="3"/>
  <c r="G23" i="3"/>
  <c r="G10" i="14"/>
  <c r="F11" i="14"/>
  <c r="M29" i="3"/>
  <c r="L29" i="3"/>
  <c r="M21" i="14"/>
  <c r="L22" i="14"/>
  <c r="C19" i="14"/>
  <c r="D18" i="14"/>
  <c r="D16" i="3"/>
  <c r="C16" i="3"/>
  <c r="G6" i="14"/>
  <c r="F7" i="14"/>
  <c r="M2" i="9"/>
  <c r="D7" i="4"/>
  <c r="D6" i="3"/>
  <c r="C11" i="4"/>
  <c r="G34" i="3"/>
  <c r="F34" i="3"/>
  <c r="L13" i="14"/>
  <c r="M12" i="14"/>
  <c r="D15" i="3"/>
  <c r="C15" i="3"/>
  <c r="F8" i="14"/>
  <c r="G7" i="14"/>
  <c r="F10" i="14"/>
  <c r="G9" i="14"/>
  <c r="G21" i="3"/>
  <c r="F21" i="3"/>
  <c r="J9" i="3"/>
  <c r="I9" i="3"/>
  <c r="P11" i="14"/>
  <c r="O12" i="14"/>
  <c r="F20" i="3"/>
  <c r="G20" i="3"/>
  <c r="L31" i="3"/>
  <c r="M31" i="3"/>
  <c r="I24" i="3"/>
  <c r="J24" i="3"/>
  <c r="S17" i="14"/>
  <c r="R18" i="14"/>
  <c r="F17" i="14"/>
  <c r="G16" i="14"/>
  <c r="M18" i="3"/>
  <c r="L18" i="3"/>
  <c r="M19" i="3"/>
  <c r="L19" i="3"/>
  <c r="F15" i="14"/>
  <c r="G14" i="14"/>
  <c r="P21" i="14"/>
  <c r="O22" i="14"/>
  <c r="D12" i="3"/>
  <c r="C12" i="3"/>
  <c r="G15" i="14"/>
  <c r="F16" i="14"/>
  <c r="D15" i="14"/>
  <c r="C16" i="14"/>
  <c r="C23" i="3"/>
  <c r="D23" i="3"/>
  <c r="I22" i="3"/>
  <c r="J22" i="3"/>
  <c r="S20" i="14"/>
  <c r="R21" i="14"/>
  <c r="M19" i="14"/>
  <c r="L20" i="14"/>
  <c r="I19" i="14"/>
  <c r="J18" i="14"/>
  <c r="L16" i="3"/>
  <c r="M16" i="3"/>
  <c r="L7" i="14"/>
  <c r="M6" i="14"/>
  <c r="C35" i="3"/>
  <c r="C36" i="3"/>
  <c r="D35" i="3"/>
  <c r="J34" i="3"/>
  <c r="I34" i="3"/>
  <c r="O13" i="14"/>
  <c r="P12" i="14"/>
  <c r="I15" i="3"/>
  <c r="J15" i="3"/>
  <c r="L8" i="14"/>
  <c r="M7" i="14"/>
  <c r="C21" i="3"/>
  <c r="D21" i="3"/>
  <c r="G9" i="3"/>
  <c r="F9" i="3"/>
  <c r="F12" i="14"/>
  <c r="G11" i="14"/>
  <c r="O14" i="14"/>
  <c r="P13" i="14"/>
  <c r="C31" i="3"/>
  <c r="D31" i="3"/>
  <c r="F24" i="3"/>
  <c r="G24" i="3"/>
  <c r="I17" i="3"/>
  <c r="J17" i="3"/>
  <c r="J16" i="14"/>
  <c r="I17" i="14"/>
  <c r="D18" i="3"/>
  <c r="C18" i="3"/>
  <c r="C19" i="3"/>
  <c r="D19" i="3"/>
  <c r="L15" i="14"/>
  <c r="M14" i="14"/>
  <c r="O21" i="14"/>
  <c r="P20" i="14"/>
  <c r="F12" i="3"/>
  <c r="G12" i="3"/>
  <c r="F25" i="3"/>
  <c r="G25" i="3"/>
  <c r="O9" i="14"/>
  <c r="P8" i="14"/>
  <c r="F9" i="14"/>
  <c r="G8" i="14"/>
  <c r="M14" i="3"/>
  <c r="L14" i="3"/>
  <c r="G10" i="3"/>
  <c r="F10" i="3"/>
  <c r="M34" i="3"/>
  <c r="L34" i="3"/>
  <c r="G33" i="3"/>
  <c r="D15" i="5"/>
  <c r="D13" i="5"/>
  <c r="E3" i="5"/>
  <c r="C14" i="5"/>
  <c r="D12" i="5"/>
  <c r="C12" i="5"/>
  <c r="B7" i="5"/>
  <c r="D14" i="5"/>
  <c r="C15" i="5"/>
  <c r="C13" i="5"/>
  <c r="F33" i="3"/>
  <c r="I13" i="14"/>
  <c r="J12" i="14"/>
  <c r="C8" i="14"/>
  <c r="D7" i="14"/>
  <c r="J19" i="14"/>
  <c r="I20" i="14"/>
  <c r="R10" i="14"/>
  <c r="S9" i="14"/>
  <c r="M21" i="3"/>
  <c r="L21" i="3"/>
  <c r="D9" i="3"/>
  <c r="C9" i="3"/>
  <c r="C12" i="14"/>
  <c r="D11" i="14"/>
  <c r="G13" i="14"/>
  <c r="F14" i="14"/>
  <c r="I31" i="3"/>
  <c r="J31" i="3"/>
  <c r="D24" i="3"/>
  <c r="C24" i="3"/>
  <c r="L17" i="3"/>
  <c r="M17" i="3"/>
  <c r="S16" i="14"/>
  <c r="R17" i="14"/>
  <c r="F18" i="3"/>
  <c r="G18" i="3"/>
  <c r="I19" i="3"/>
  <c r="J19" i="3"/>
  <c r="R15" i="14"/>
  <c r="S14" i="14"/>
  <c r="G19" i="14"/>
  <c r="F20" i="14"/>
  <c r="M12" i="3"/>
  <c r="L12" i="3"/>
  <c r="J15" i="14"/>
  <c r="I16" i="14"/>
  <c r="J25" i="3"/>
  <c r="I25" i="3"/>
  <c r="C11" i="14"/>
  <c r="D10" i="14"/>
  <c r="L22" i="3"/>
  <c r="M22" i="3"/>
  <c r="I9" i="14"/>
  <c r="J8" i="14"/>
  <c r="G14" i="3"/>
  <c r="F14" i="3"/>
  <c r="J10" i="3"/>
  <c r="I10" i="3"/>
  <c r="P6" i="14"/>
  <c r="O7" i="14"/>
  <c r="I36" i="3"/>
  <c r="J35" i="3"/>
  <c r="I35" i="3"/>
  <c r="C7" i="6"/>
  <c r="D7" i="6" s="1"/>
  <c r="J6" i="3"/>
  <c r="C11" i="6"/>
  <c r="F13" i="14"/>
  <c r="G12" i="14"/>
  <c r="O8" i="14"/>
  <c r="P7" i="14"/>
  <c r="I11" i="3"/>
  <c r="J11" i="3"/>
  <c r="L10" i="14"/>
  <c r="M9" i="14"/>
  <c r="I28" i="3"/>
  <c r="J28" i="3"/>
  <c r="C8" i="3"/>
  <c r="D8" i="3"/>
  <c r="S11" i="14"/>
  <c r="R12" i="14"/>
  <c r="J13" i="14"/>
  <c r="I14" i="14"/>
  <c r="J32" i="3"/>
  <c r="I32" i="3"/>
  <c r="C18" i="14"/>
  <c r="D17" i="14"/>
  <c r="C17" i="3"/>
  <c r="D17" i="3"/>
  <c r="C30" i="3"/>
  <c r="D30" i="3"/>
  <c r="D7" i="3"/>
  <c r="C7" i="3"/>
  <c r="I26" i="3"/>
  <c r="J26" i="3"/>
  <c r="C15" i="14"/>
  <c r="D14" i="14"/>
  <c r="S8" i="14"/>
  <c r="R6" i="14"/>
  <c r="S5" i="14"/>
  <c r="N12" i="9"/>
  <c r="G12" i="7" l="1"/>
  <c r="D11" i="5"/>
  <c r="G12" i="6"/>
  <c r="G16" i="7"/>
  <c r="G15" i="6"/>
  <c r="G12" i="4"/>
  <c r="G13" i="4"/>
  <c r="G14" i="4"/>
  <c r="G7" i="4"/>
  <c r="K5" i="9" s="1"/>
  <c r="N6" i="10" s="1"/>
  <c r="E7" i="4"/>
  <c r="J5" i="9" s="1"/>
  <c r="M6" i="10" s="1"/>
  <c r="G15" i="4"/>
  <c r="E7" i="6"/>
  <c r="G7" i="6"/>
  <c r="G14" i="6"/>
  <c r="G13" i="6"/>
  <c r="G14" i="5"/>
  <c r="G7" i="5"/>
  <c r="E7" i="5"/>
  <c r="G13" i="5"/>
  <c r="D11" i="6"/>
  <c r="G16" i="4"/>
  <c r="F7" i="5"/>
  <c r="G11" i="5"/>
  <c r="D11" i="4"/>
  <c r="G12" i="5"/>
  <c r="G11" i="7"/>
  <c r="F7" i="7"/>
  <c r="G16" i="6"/>
  <c r="G13" i="7"/>
  <c r="G7" i="7"/>
  <c r="G14" i="7"/>
  <c r="E7" i="7"/>
  <c r="G16" i="5"/>
  <c r="H5" i="9"/>
  <c r="F7" i="6"/>
  <c r="G11" i="6"/>
  <c r="G11" i="4"/>
  <c r="F7" i="4"/>
  <c r="I5" i="9" s="1"/>
  <c r="L6" i="10" s="1"/>
  <c r="G15" i="5"/>
  <c r="G15" i="7"/>
  <c r="D11" i="7"/>
  <c r="L5" i="9" l="1"/>
  <c r="O6" i="10" s="1"/>
</calcChain>
</file>

<file path=xl/sharedStrings.xml><?xml version="1.0" encoding="utf-8"?>
<sst xmlns="http://schemas.openxmlformats.org/spreadsheetml/2006/main" count="453" uniqueCount="258">
  <si>
    <t>持仓配置（初始权重）</t>
  </si>
  <si>
    <t>基金简称</t>
  </si>
  <si>
    <t>宏利复兴混合A</t>
  </si>
  <si>
    <t>信澳业绩驱动A</t>
  </si>
  <si>
    <t>嘉实信息产业A</t>
  </si>
  <si>
    <t>银华集成电路混合A</t>
  </si>
  <si>
    <t>中欧中证500指增A</t>
  </si>
  <si>
    <t>天弘中证1000指增A</t>
  </si>
  <si>
    <t>华泰柏瑞中证2000指增A</t>
  </si>
  <si>
    <t>博道沪深300指增A</t>
  </si>
  <si>
    <t>易方达中债新综指LOFA</t>
  </si>
  <si>
    <t>华安黄金ETF联接A</t>
  </si>
  <si>
    <t>国泰半导体材料设备ETF联接A</t>
  </si>
  <si>
    <t>国泰通信设备ETF联接A</t>
  </si>
  <si>
    <t>嘉实快线货币A</t>
  </si>
  <si>
    <t>合计</t>
  </si>
  <si>
    <t>年化费率(年)</t>
  </si>
  <si>
    <t>基金代码</t>
  </si>
  <si>
    <t>001170.OF</t>
  </si>
  <si>
    <t>016370.OF</t>
  </si>
  <si>
    <t>017488.OF</t>
  </si>
  <si>
    <t>013840.OF</t>
  </si>
  <si>
    <t>015453.OF</t>
  </si>
  <si>
    <t>014201.OF</t>
  </si>
  <si>
    <t>019923.OF</t>
  </si>
  <si>
    <t>007044.OF</t>
  </si>
  <si>
    <t>161119.OF</t>
  </si>
  <si>
    <t>000216.OF</t>
  </si>
  <si>
    <t>019632.OF</t>
  </si>
  <si>
    <t>007817.OF</t>
  </si>
  <si>
    <t>000917.OF</t>
  </si>
  <si>
    <t>10-90 权重</t>
  </si>
  <si>
    <t>20-80 权重</t>
  </si>
  <si>
    <t>30-70 权重</t>
  </si>
  <si>
    <t>增值 权重</t>
  </si>
  <si>
    <t>基准指数(参考，不计入组合)</t>
  </si>
  <si>
    <t>科创创业50等权</t>
  </si>
  <si>
    <t>932381.CSI</t>
  </si>
  <si>
    <t>中证800</t>
  </si>
  <si>
    <t>000906.SH</t>
  </si>
  <si>
    <t>沪深300</t>
  </si>
  <si>
    <t>000300.SH</t>
  </si>
  <si>
    <t>中证500</t>
  </si>
  <si>
    <t>000905.SH</t>
  </si>
  <si>
    <t>中证1000</t>
  </si>
  <si>
    <t>000852.SH</t>
  </si>
  <si>
    <t>中证2000</t>
  </si>
  <si>
    <t>932000.CSI</t>
  </si>
  <si>
    <t>权重为蓝色输入；P列为各组合年化费率(蓝色输入，已折每日扣减)。下游净值与看板自动重算。</t>
  </si>
  <si>
    <t>净值数据 · iFinD 实时拉取（复权单位净值）</t>
  </si>
  <si>
    <t>基金代码→</t>
  </si>
  <si>
    <t>组合净值 · 买入持有逐日计算</t>
  </si>
  <si>
    <t>组合 10-90</t>
  </si>
  <si>
    <t>组合 20-80</t>
  </si>
  <si>
    <t>组合 30-70</t>
  </si>
  <si>
    <t>组合 增值</t>
  </si>
  <si>
    <t>日期</t>
  </si>
  <si>
    <t>净值</t>
  </si>
  <si>
    <t>日收益</t>
  </si>
  <si>
    <t>回撤</t>
  </si>
  <si>
    <t>组合净值起始=1.0000；买入持有，权重随涨跌漂移；净值已按年化费率折每日扣费。新增日期下拉填充。</t>
  </si>
  <si>
    <t>样板间组合走势看板（10-90 账户）</t>
  </si>
  <si>
    <t>产品业绩表现（历史表现不代表未来收益承诺）</t>
  </si>
  <si>
    <t>最新净值</t>
  </si>
  <si>
    <t>累计收益</t>
  </si>
  <si>
    <t>年化收益</t>
  </si>
  <si>
    <t>年化波动率</t>
  </si>
  <si>
    <t>最大回撤</t>
  </si>
  <si>
    <t>夏普比率(日)</t>
  </si>
  <si>
    <t>收益表现</t>
  </si>
  <si>
    <t>风险特征</t>
  </si>
  <si>
    <t>区间</t>
  </si>
  <si>
    <t>指标</t>
  </si>
  <si>
    <t>数值</t>
  </si>
  <si>
    <t>起始以来</t>
  </si>
  <si>
    <t>2026YTD</t>
  </si>
  <si>
    <t>回撤修复天数(未创新高)</t>
  </si>
  <si>
    <t>近3个月</t>
  </si>
  <si>
    <t>正收益占比</t>
  </si>
  <si>
    <t>近6个月</t>
  </si>
  <si>
    <t>近1年</t>
  </si>
  <si>
    <t>夏普比率</t>
  </si>
  <si>
    <t>卡玛比率</t>
  </si>
  <si>
    <t>产品运作情况 · 组合净值曲线</t>
  </si>
  <si>
    <t>统计区间自2026/6/1起；运作初期样本少，年化类指标仅供参考。新增交易日后请同步扩展本图数据区。</t>
  </si>
  <si>
    <t>样板间组合走势看板（20-80 账户）</t>
  </si>
  <si>
    <t>样板间组合走势看板（30-70 账户）</t>
  </si>
  <si>
    <t>样板间组合走势看板（增值组合）</t>
  </si>
  <si>
    <t>样板间投顾组合 · 净值监控模板</t>
  </si>
  <si>
    <t>运作起始日 2026/6/1 ｜ 净值口径：复权单位净值(iFinD) ｜ 模拟：买入持有(权重漂移)</t>
  </si>
  <si>
    <t>一、模板结构</t>
  </si>
  <si>
    <t>持仓配置</t>
  </si>
  <si>
    <t>四组合(10-90/20-80/30-70/增值)成份基金、代码与初始权重，可直接编辑。</t>
  </si>
  <si>
    <t>净值数据(iFinD公式)</t>
  </si>
  <si>
    <t>同花顺公式拉取复权单位净值</t>
  </si>
  <si>
    <t>组合净值</t>
  </si>
  <si>
    <t>按买入持有逐日计算四组合净值、日收益与回撤；净值已按年化费率折每日扣费(扣费后口径)。</t>
  </si>
  <si>
    <t>看板-10/20/30/增值</t>
  </si>
  <si>
    <t>业绩表现KPI＋收益表现＋风险特征＋净值曲线。增值组合为8只权益基金、无债无黄金。</t>
  </si>
  <si>
    <t>二、使用说明</t>
  </si>
  <si>
    <t>每日更新</t>
  </si>
  <si>
    <t>在『净值数据』『组合净值』底部按日期顺序新增一行(公式可下拉)，看板自动刷新。</t>
  </si>
  <si>
    <t>iFinD指标</t>
  </si>
  <si>
    <t>复权净值指标代码集中在『净值数据』B2，与本地版本不符时只改此处。</t>
  </si>
  <si>
    <t>买入持有口径</t>
  </si>
  <si>
    <t>起始日按初始权重买入后持有，权重随涨跌漂移；组合起始净值=1.0000。</t>
  </si>
  <si>
    <t>扣费方式</t>
  </si>
  <si>
    <t>各组合年化费率见『持仓配置』M列(10-90=0.8%/20-80=1.0%/30-70=1.2%/增值=1.0%)；按 净值×(1-费率)^(已运作交易日数/年化交易日数) 折每日计入，看板均为扣费后口径。</t>
  </si>
  <si>
    <t>参数：无风险利率(年化)=一年定存基准1.5%（夏普折日按C16/365）</t>
  </si>
  <si>
    <t>参数：年化交易日数</t>
  </si>
  <si>
    <t>净值曲线</t>
  </si>
  <si>
    <t>四看板曲线已改用动态命名区域(chtDate/chtB/chtE/chtH/chtK，OFFSET+COUNT)，新增交易日后自动延伸到最新，无需手动改图表数据区。</t>
  </si>
  <si>
    <t>数据来源：同花顺 iFinD(复权单位净值)</t>
  </si>
  <si>
    <t>口径对齐说明：看板年化波动率/夏普/年化收益已与iFinD区间指标完全对齐——①年化波动率=日普通收益样本标准差×√250（C17=250）；②夏普为日口径不年化=(日均收益−C16/365)÷日收益标准差，与ths_sharp_fund一致；③年化收益=(1+累计收益)^(365/区间自然日数(含首尾))−1，卡玛=年化收益÷|最大回撤|，与ths_calmar_ratio_fund一致；区间收益均以起始日前一交易日净值为基期（组合基期5/29净值=1）。</t>
  </si>
  <si>
    <t>10-90</t>
  </si>
  <si>
    <t>权益中枢</t>
  </si>
  <si>
    <t>列2</t>
  </si>
  <si>
    <t>组合/基金</t>
  </si>
  <si>
    <t>招行长盈计划-安稳盈</t>
  </si>
  <si>
    <t>≤15%</t>
  </si>
  <si>
    <t>016768.OF</t>
  </si>
  <si>
    <t>025218.OF</t>
  </si>
  <si>
    <t>022978.OF</t>
  </si>
  <si>
    <t>017587.OF</t>
  </si>
  <si>
    <t>026682.OF</t>
  </si>
  <si>
    <t>招行长盈计划-安定盈</t>
  </si>
  <si>
    <t>≤25%</t>
  </si>
  <si>
    <t>025822.OF</t>
  </si>
  <si>
    <t>018312.OF</t>
  </si>
  <si>
    <t>权益中枢
/股票仓位</t>
  </si>
  <si>
    <t>004010.OF</t>
  </si>
  <si>
    <t>001316.OF</t>
  </si>
  <si>
    <t>009089.OF</t>
  </si>
  <si>
    <t>018595.OF</t>
  </si>
  <si>
    <t>003504.OF</t>
  </si>
  <si>
    <t>1090账户基石投顾组合</t>
  </si>
  <si>
    <t>投资组合(扣除投顾费,申赎费)</t>
  </si>
  <si>
    <t>持仓配置（实盘·初始权重）</t>
  </si>
  <si>
    <t>博道沪深300增强A</t>
  </si>
  <si>
    <t>博道沪深300指增C</t>
  </si>
  <si>
    <t>国泰通信设备C</t>
  </si>
  <si>
    <t>嘉实前沿科技创新</t>
  </si>
  <si>
    <t>银华集成电路混合C</t>
  </si>
  <si>
    <t>天弘中证1000指增C</t>
  </si>
  <si>
    <t>中欧中证500指增C</t>
  </si>
  <si>
    <t>嘉实信息产业C</t>
  </si>
  <si>
    <t>宏利复兴伟业C</t>
  </si>
  <si>
    <t>国泰半导体材料设备C</t>
  </si>
  <si>
    <t>华泰柏瑞中证2000指增C</t>
  </si>
  <si>
    <t>年化费率</t>
  </si>
  <si>
    <t>净值起始日</t>
  </si>
  <si>
    <t>007045.OF</t>
  </si>
  <si>
    <t>007818.OF</t>
  </si>
  <si>
    <t>009993.OF</t>
  </si>
  <si>
    <t>013841.OF</t>
  </si>
  <si>
    <t>014202.OF</t>
  </si>
  <si>
    <t>015454.OF</t>
  </si>
  <si>
    <t>017489.OF</t>
  </si>
  <si>
    <t>017612.OF</t>
  </si>
  <si>
    <t>019633.OF</t>
  </si>
  <si>
    <t>019924.OF</t>
  </si>
  <si>
    <t>产业趋势 权重</t>
  </si>
  <si>
    <t>产业趋势基石 权重</t>
  </si>
  <si>
    <t>产业趋势2号 权重</t>
  </si>
  <si>
    <t>10-90基石 权重</t>
  </si>
  <si>
    <t>权重蓝色输入；Z列为各组合年化费率、AA列为各组合净值起始日(当日净值=1)。新增交易日下拉填充，下游净值与看板自动重算。</t>
  </si>
  <si>
    <t>净值数据 * 实盘</t>
  </si>
  <si>
    <t>组合净值（实盘）· 各组合自起始日买入持有逐日计算</t>
  </si>
  <si>
    <t>组合 产业趋势</t>
  </si>
  <si>
    <t>组合 产业趋势基石</t>
  </si>
  <si>
    <t>组合 产业趋势2号</t>
  </si>
  <si>
    <t>组合 10-90基石</t>
  </si>
  <si>
    <t>各组合自其净值起始日起=1.0000；买入持有，权重随涨跌漂移；净值已按各自年化费率折每日扣费。新增日期下拉填充。</t>
  </si>
  <si>
    <t>10-90基石投顾账户</t>
    <phoneticPr fontId="13" type="noConversion"/>
  </si>
  <si>
    <t>转债仓位</t>
    <phoneticPr fontId="13" type="noConversion"/>
  </si>
  <si>
    <t>-</t>
    <phoneticPr fontId="13" type="noConversion"/>
  </si>
  <si>
    <t>10/90配置样板间</t>
  </si>
  <si>
    <t>公募固收+关注池</t>
  </si>
  <si>
    <t>产品类型</t>
    <phoneticPr fontId="13" type="noConversion"/>
  </si>
  <si>
    <t>注：1090基石投顾组合2026/06/18上线，FOF权益中枢数据取自招行银行官网。投顾数据均为扣费后数据。</t>
    <phoneticPr fontId="13" type="noConversion"/>
  </si>
  <si>
    <t>0.99351509</t>
  </si>
  <si>
    <t>最新净值日期</t>
    <phoneticPr fontId="13" type="noConversion"/>
  </si>
  <si>
    <t>0.99860982</t>
  </si>
  <si>
    <t>0.99488466</t>
  </si>
  <si>
    <t>0.98970134</t>
  </si>
  <si>
    <t>0.99245271</t>
  </si>
  <si>
    <t>0.99005834</t>
  </si>
  <si>
    <t>0.98597556</t>
  </si>
  <si>
    <t>501073.OF</t>
  </si>
  <si>
    <t>004657.OF</t>
  </si>
  <si>
    <t>014158.OF</t>
    <phoneticPr fontId="13" type="noConversion"/>
  </si>
  <si>
    <t>011351.OF</t>
    <phoneticPr fontId="13" type="noConversion"/>
  </si>
  <si>
    <t>012740.OF</t>
    <phoneticPr fontId="13" type="noConversion"/>
  </si>
  <si>
    <t>上线以来</t>
    <phoneticPr fontId="13" type="noConversion"/>
  </si>
  <si>
    <t>0.97469599</t>
  </si>
  <si>
    <t>110017.OF</t>
  </si>
  <si>
    <t>000385.OF</t>
  </si>
  <si>
    <t>162210.OF</t>
  </si>
  <si>
    <t>015931.OF</t>
  </si>
  <si>
    <t>014088.OF</t>
  </si>
  <si>
    <t>002961.OF</t>
  </si>
  <si>
    <t>002969.OF</t>
  </si>
  <si>
    <t>000143.OF</t>
  </si>
  <si>
    <t>470010.OF</t>
  </si>
  <si>
    <t>160718.OF</t>
  </si>
  <si>
    <t>日涨跌</t>
    <phoneticPr fontId="13" type="noConversion"/>
  </si>
  <si>
    <t>本周以来</t>
    <phoneticPr fontId="13" type="noConversion"/>
  </si>
  <si>
    <t>8月以来</t>
    <phoneticPr fontId="13" type="noConversion"/>
  </si>
  <si>
    <t>本周</t>
    <phoneticPr fontId="13" type="noConversion"/>
  </si>
  <si>
    <t>LTD</t>
    <phoneticPr fontId="13" type="noConversion"/>
  </si>
  <si>
    <t>0.97954497</t>
  </si>
  <si>
    <t>0.98421564</t>
  </si>
  <si>
    <t>0.98658983</t>
  </si>
  <si>
    <t>0.98977590</t>
  </si>
  <si>
    <t>0.99185254</t>
  </si>
  <si>
    <t>注：1090基石投顾组合2026/06/18上线，基金股票、转债仓位最新季报数据。投顾数据均为扣费后数据。</t>
    <phoneticPr fontId="13" type="noConversion"/>
  </si>
  <si>
    <t>8月以来</t>
    <phoneticPr fontId="13" type="noConversion"/>
  </si>
  <si>
    <t>622-731</t>
    <phoneticPr fontId="13" type="noConversion"/>
  </si>
  <si>
    <t>1.22249400</t>
  </si>
  <si>
    <t>1.22478515</t>
  </si>
  <si>
    <t>1.22020249</t>
  </si>
  <si>
    <t>1.22109262</t>
  </si>
  <si>
    <t>1.22217105</t>
  </si>
  <si>
    <t>1.21873214</t>
  </si>
  <si>
    <t>1.22107212</t>
  </si>
  <si>
    <t>1.22189376</t>
  </si>
  <si>
    <t>1.22119814</t>
  </si>
  <si>
    <t>1.21840063</t>
  </si>
  <si>
    <t>1.22049236</t>
  </si>
  <si>
    <t>1.22071445</t>
  </si>
  <si>
    <t>1.21832166</t>
  </si>
  <si>
    <t>1.21705562</t>
  </si>
  <si>
    <t>1.21999960</t>
  </si>
  <si>
    <t>1.21804670</t>
  </si>
  <si>
    <t>1.21385354</t>
  </si>
  <si>
    <t>1.21643676</t>
  </si>
  <si>
    <t>1.21602034</t>
  </si>
  <si>
    <t>1.21303342</t>
  </si>
  <si>
    <t>1.20810291</t>
  </si>
  <si>
    <t>1.20951756</t>
  </si>
  <si>
    <t>1.21420067</t>
  </si>
  <si>
    <t>1.21548727</t>
  </si>
  <si>
    <t>1.21581151</t>
  </si>
  <si>
    <t>1.21280736</t>
  </si>
  <si>
    <t>1.21537245</t>
  </si>
  <si>
    <t>1.21157522</t>
  </si>
  <si>
    <t>1.21261346</t>
  </si>
  <si>
    <t>1.21208310</t>
  </si>
  <si>
    <t>1.21389655</t>
  </si>
  <si>
    <t>1.21256812</t>
  </si>
  <si>
    <t>1.21399454</t>
  </si>
  <si>
    <t>1.21716409</t>
  </si>
  <si>
    <t>1.21858475</t>
  </si>
  <si>
    <t>1.22070196</t>
  </si>
  <si>
    <t>1.22254650</t>
  </si>
  <si>
    <t>百灵全天候</t>
    <phoneticPr fontId="13" type="noConversion"/>
  </si>
  <si>
    <t>6.22-7.31</t>
    <phoneticPr fontId="13" type="noConversion"/>
  </si>
  <si>
    <t>8.3-8.10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</si>
</sst>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%"/>
    <numFmt numFmtId="177" formatCode="yyyy\-mm\-dd"/>
    <numFmt numFmtId="178" formatCode="0.0000"/>
    <numFmt numFmtId="179" formatCode="0.00000000%"/>
    <numFmt numFmtId="180" formatCode="0.000"/>
  </numFmts>
  <fonts count="43">
    <font>
      <sz val="11"/>
      <color theme="1"/>
      <name val="宋体"/>
      <family val="2"/>
      <scheme val="minor"/>
    </font>
    <font>
      <b/>
      <sz val="18"/>
      <color rgb="FF1F3864"/>
      <name val="Arial"/>
      <family val="2"/>
    </font>
    <font>
      <i/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5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6100"/>
      <name val="Arial"/>
      <family val="2"/>
    </font>
    <font>
      <b/>
      <sz val="11"/>
      <color rgb="FFFFFFFF"/>
      <name val="Arial"/>
      <family val="2"/>
    </font>
    <font>
      <b/>
      <sz val="17"/>
      <color rgb="FFFFFFFF"/>
      <name val="Arial"/>
      <family val="2"/>
    </font>
    <font>
      <sz val="9"/>
      <name val="宋体"/>
      <family val="3"/>
      <charset val="134"/>
      <scheme val="minor"/>
    </font>
    <font>
      <i/>
      <sz val="9"/>
      <color rgb="FF595959"/>
      <name val="Arial"/>
      <family val="2"/>
    </font>
    <font>
      <sz val="1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sz val="16"/>
      <color rgb="FF000000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sz val="20"/>
      <color rgb="FF1F3864"/>
      <name val="微软雅黑"/>
      <family val="2"/>
      <charset val="134"/>
    </font>
    <font>
      <b/>
      <sz val="20"/>
      <color rgb="FFC00000"/>
      <name val="微软雅黑"/>
      <family val="2"/>
      <charset val="134"/>
    </font>
    <font>
      <b/>
      <sz val="10"/>
      <color rgb="FF0000FF"/>
      <name val="Arial"/>
      <family val="2"/>
    </font>
    <font>
      <sz val="11"/>
      <color theme="1"/>
      <name val="宋体"/>
      <family val="2"/>
      <scheme val="minor"/>
    </font>
    <font>
      <b/>
      <sz val="11"/>
      <color theme="0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rgb="FF00B050"/>
      <name val="微软雅黑"/>
      <family val="2"/>
      <charset val="134"/>
    </font>
    <font>
      <sz val="11"/>
      <color rgb="FF00B050"/>
      <name val="微软雅黑"/>
      <family val="2"/>
      <charset val="134"/>
    </font>
    <font>
      <sz val="11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color rgb="FF80808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B050"/>
      <name val="微软雅黑"/>
      <family val="2"/>
      <charset val="134"/>
    </font>
    <font>
      <sz val="11"/>
      <color rgb="FF00B050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sz val="12"/>
      <color theme="1"/>
      <name val="宋体"/>
      <family val="2"/>
      <scheme val="minor"/>
    </font>
    <font>
      <sz val="11"/>
      <name val="Carlito"/>
    </font>
    <font>
      <b/>
      <sz val="12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9E1F2"/>
      </patternFill>
    </fill>
    <fill>
      <patternFill patternType="solid">
        <fgColor rgb="FFF2F4F8"/>
      </patternFill>
    </fill>
    <fill>
      <patternFill patternType="solid">
        <fgColor rgb="FFFFF2CC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</fills>
  <borders count="2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/>
      <bottom/>
      <diagonal/>
    </border>
    <border>
      <left style="thin">
        <color theme="9" tint="0.39997558519241921"/>
      </left>
      <right/>
      <top/>
      <bottom style="thin">
        <color theme="9" tint="0.39997558519241921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9" fontId="23" fillId="0" borderId="0">
      <alignment vertical="center"/>
    </xf>
    <xf numFmtId="0" fontId="40" fillId="0" borderId="0"/>
    <xf numFmtId="0" fontId="41" fillId="0" borderId="0"/>
  </cellStyleXfs>
  <cellXfs count="177">
    <xf numFmtId="0" fontId="0" fillId="0" borderId="0" xfId="0"/>
    <xf numFmtId="0" fontId="1" fillId="0" borderId="0" xfId="0" applyFont="1"/>
    <xf numFmtId="0" fontId="5" fillId="0" borderId="0" xfId="0" applyFont="1"/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10" fontId="6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0" fontId="10" fillId="6" borderId="1" xfId="0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4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10" fontId="18" fillId="0" borderId="1" xfId="0" applyNumberFormat="1" applyFont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center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0" fontId="19" fillId="0" borderId="0" xfId="0" applyFont="1"/>
    <xf numFmtId="10" fontId="21" fillId="0" borderId="1" xfId="0" applyNumberFormat="1" applyFont="1" applyBorder="1" applyAlignment="1">
      <alignment horizontal="center" vertical="center" wrapText="1"/>
    </xf>
    <xf numFmtId="10" fontId="20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/>
    <xf numFmtId="0" fontId="15" fillId="0" borderId="0" xfId="0" applyFont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10" fontId="0" fillId="0" borderId="0" xfId="1" applyNumberFormat="1" applyFont="1" applyAlignment="1"/>
    <xf numFmtId="0" fontId="24" fillId="8" borderId="7" xfId="0" applyFont="1" applyFill="1" applyBorder="1"/>
    <xf numFmtId="0" fontId="16" fillId="9" borderId="7" xfId="0" applyFont="1" applyFill="1" applyBorder="1"/>
    <xf numFmtId="10" fontId="16" fillId="9" borderId="7" xfId="1" applyNumberFormat="1" applyFont="1" applyFill="1" applyBorder="1" applyAlignment="1">
      <alignment horizontal="center" vertical="center"/>
    </xf>
    <xf numFmtId="0" fontId="16" fillId="0" borderId="7" xfId="0" applyFont="1" applyBorder="1"/>
    <xf numFmtId="10" fontId="16" fillId="0" borderId="7" xfId="1" applyNumberFormat="1" applyFont="1" applyBorder="1" applyAlignment="1">
      <alignment horizontal="center" vertical="center"/>
    </xf>
    <xf numFmtId="0" fontId="16" fillId="0" borderId="5" xfId="0" applyFont="1" applyBorder="1"/>
    <xf numFmtId="10" fontId="16" fillId="0" borderId="5" xfId="1" applyNumberFormat="1" applyFont="1" applyBorder="1" applyAlignment="1">
      <alignment horizontal="center" vertical="center"/>
    </xf>
    <xf numFmtId="0" fontId="25" fillId="9" borderId="6" xfId="0" applyFont="1" applyFill="1" applyBorder="1" applyAlignment="1">
      <alignment horizontal="center" vertical="center"/>
    </xf>
    <xf numFmtId="0" fontId="25" fillId="9" borderId="7" xfId="0" applyFont="1" applyFill="1" applyBorder="1"/>
    <xf numFmtId="0" fontId="25" fillId="9" borderId="7" xfId="0" applyFont="1" applyFill="1" applyBorder="1" applyAlignment="1">
      <alignment horizontal="center" vertical="center"/>
    </xf>
    <xf numFmtId="10" fontId="26" fillId="9" borderId="7" xfId="1" applyNumberFormat="1" applyFont="1" applyFill="1" applyBorder="1" applyAlignment="1">
      <alignment horizontal="center" vertical="center"/>
    </xf>
    <xf numFmtId="0" fontId="24" fillId="8" borderId="7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left" vertical="center"/>
    </xf>
    <xf numFmtId="0" fontId="16" fillId="9" borderId="7" xfId="0" applyFont="1" applyFill="1" applyBorder="1" applyAlignment="1">
      <alignment horizontal="left" vertical="center"/>
    </xf>
    <xf numFmtId="0" fontId="16" fillId="0" borderId="5" xfId="0" applyFont="1" applyBorder="1" applyAlignment="1">
      <alignment horizontal="left" vertical="center"/>
    </xf>
    <xf numFmtId="10" fontId="27" fillId="9" borderId="7" xfId="1" applyNumberFormat="1" applyFont="1" applyFill="1" applyBorder="1" applyAlignment="1">
      <alignment horizontal="center" vertical="center"/>
    </xf>
    <xf numFmtId="10" fontId="29" fillId="0" borderId="7" xfId="1" applyNumberFormat="1" applyFont="1" applyBorder="1" applyAlignment="1">
      <alignment horizontal="center" vertical="center"/>
    </xf>
    <xf numFmtId="14" fontId="0" fillId="10" borderId="0" xfId="0" applyNumberFormat="1" applyFill="1"/>
    <xf numFmtId="0" fontId="4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left" vertical="center"/>
    </xf>
    <xf numFmtId="10" fontId="6" fillId="0" borderId="4" xfId="0" applyNumberFormat="1" applyFont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10" fontId="5" fillId="0" borderId="4" xfId="0" applyNumberFormat="1" applyFont="1" applyBorder="1" applyAlignment="1">
      <alignment horizontal="center" vertical="center" wrapText="1"/>
    </xf>
    <xf numFmtId="10" fontId="0" fillId="0" borderId="0" xfId="0" applyNumberFormat="1"/>
    <xf numFmtId="9" fontId="25" fillId="9" borderId="7" xfId="0" applyNumberFormat="1" applyFont="1" applyFill="1" applyBorder="1" applyAlignment="1">
      <alignment horizontal="center" vertical="center"/>
    </xf>
    <xf numFmtId="10" fontId="24" fillId="8" borderId="15" xfId="0" applyNumberFormat="1" applyFont="1" applyFill="1" applyBorder="1" applyAlignment="1">
      <alignment vertical="center"/>
    </xf>
    <xf numFmtId="0" fontId="24" fillId="8" borderId="13" xfId="0" applyFont="1" applyFill="1" applyBorder="1" applyAlignment="1">
      <alignment vertical="center"/>
    </xf>
    <xf numFmtId="0" fontId="24" fillId="8" borderId="14" xfId="0" applyFont="1" applyFill="1" applyBorder="1" applyAlignment="1">
      <alignment vertical="center"/>
    </xf>
    <xf numFmtId="10" fontId="27" fillId="9" borderId="15" xfId="0" applyNumberFormat="1" applyFont="1" applyFill="1" applyBorder="1" applyAlignment="1">
      <alignment horizontal="center" vertical="center"/>
    </xf>
    <xf numFmtId="10" fontId="25" fillId="9" borderId="13" xfId="0" applyNumberFormat="1" applyFont="1" applyFill="1" applyBorder="1" applyAlignment="1">
      <alignment horizontal="center" vertical="center"/>
    </xf>
    <xf numFmtId="2" fontId="25" fillId="9" borderId="14" xfId="0" applyNumberFormat="1" applyFont="1" applyFill="1" applyBorder="1" applyAlignment="1">
      <alignment horizontal="center" vertical="center"/>
    </xf>
    <xf numFmtId="10" fontId="28" fillId="0" borderId="15" xfId="1" applyNumberFormat="1" applyFont="1" applyBorder="1" applyAlignment="1">
      <alignment horizontal="center" vertical="center"/>
    </xf>
    <xf numFmtId="10" fontId="16" fillId="0" borderId="13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0" fontId="28" fillId="9" borderId="15" xfId="1" applyNumberFormat="1" applyFont="1" applyFill="1" applyBorder="1" applyAlignment="1">
      <alignment horizontal="center" vertical="center"/>
    </xf>
    <xf numFmtId="10" fontId="16" fillId="9" borderId="13" xfId="0" applyNumberFormat="1" applyFont="1" applyFill="1" applyBorder="1" applyAlignment="1">
      <alignment horizontal="center" vertical="center"/>
    </xf>
    <xf numFmtId="2" fontId="16" fillId="9" borderId="14" xfId="0" applyNumberFormat="1" applyFont="1" applyFill="1" applyBorder="1" applyAlignment="1">
      <alignment horizontal="center" vertical="center"/>
    </xf>
    <xf numFmtId="10" fontId="28" fillId="0" borderId="18" xfId="1" applyNumberFormat="1" applyFont="1" applyBorder="1" applyAlignment="1">
      <alignment horizontal="center" vertical="center"/>
    </xf>
    <xf numFmtId="10" fontId="16" fillId="0" borderId="16" xfId="0" applyNumberFormat="1" applyFont="1" applyBorder="1" applyAlignment="1">
      <alignment horizontal="center" vertical="center"/>
    </xf>
    <xf numFmtId="2" fontId="16" fillId="0" borderId="17" xfId="0" applyNumberFormat="1" applyFont="1" applyBorder="1" applyAlignment="1">
      <alignment horizontal="center" vertical="center"/>
    </xf>
    <xf numFmtId="0" fontId="31" fillId="0" borderId="0" xfId="0" applyFont="1"/>
    <xf numFmtId="0" fontId="32" fillId="0" borderId="0" xfId="0" applyFont="1" applyAlignment="1">
      <alignment horizontal="right"/>
    </xf>
    <xf numFmtId="0" fontId="34" fillId="12" borderId="19" xfId="0" applyFont="1" applyFill="1" applyBorder="1" applyAlignment="1">
      <alignment horizontal="center" vertical="center"/>
    </xf>
    <xf numFmtId="0" fontId="34" fillId="12" borderId="20" xfId="0" applyFont="1" applyFill="1" applyBorder="1" applyAlignment="1">
      <alignment horizontal="center" vertical="center"/>
    </xf>
    <xf numFmtId="0" fontId="34" fillId="12" borderId="21" xfId="0" applyFont="1" applyFill="1" applyBorder="1" applyAlignment="1">
      <alignment horizontal="center" vertical="center"/>
    </xf>
    <xf numFmtId="0" fontId="24" fillId="8" borderId="6" xfId="0" applyFont="1" applyFill="1" applyBorder="1" applyAlignment="1">
      <alignment horizontal="center" vertical="center"/>
    </xf>
    <xf numFmtId="0" fontId="34" fillId="12" borderId="20" xfId="0" applyFont="1" applyFill="1" applyBorder="1" applyAlignment="1">
      <alignment horizontal="center" vertical="center" wrapText="1"/>
    </xf>
    <xf numFmtId="10" fontId="35" fillId="13" borderId="22" xfId="0" applyNumberFormat="1" applyFont="1" applyFill="1" applyBorder="1" applyAlignment="1">
      <alignment horizontal="center" vertical="center"/>
    </xf>
    <xf numFmtId="0" fontId="36" fillId="13" borderId="22" xfId="0" applyFont="1" applyFill="1" applyBorder="1" applyAlignment="1">
      <alignment horizontal="center" vertical="center"/>
    </xf>
    <xf numFmtId="10" fontId="37" fillId="13" borderId="22" xfId="0" applyNumberFormat="1" applyFont="1" applyFill="1" applyBorder="1" applyAlignment="1">
      <alignment horizontal="center" vertical="center"/>
    </xf>
    <xf numFmtId="2" fontId="35" fillId="13" borderId="22" xfId="0" applyNumberFormat="1" applyFont="1" applyFill="1" applyBorder="1" applyAlignment="1">
      <alignment horizontal="center" vertical="center"/>
    </xf>
    <xf numFmtId="10" fontId="36" fillId="13" borderId="22" xfId="0" applyNumberFormat="1" applyFont="1" applyFill="1" applyBorder="1" applyAlignment="1">
      <alignment horizontal="center" vertical="center"/>
    </xf>
    <xf numFmtId="10" fontId="36" fillId="0" borderId="22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/>
    </xf>
    <xf numFmtId="10" fontId="38" fillId="0" borderId="22" xfId="0" applyNumberFormat="1" applyFont="1" applyBorder="1" applyAlignment="1">
      <alignment horizontal="center" vertical="center"/>
    </xf>
    <xf numFmtId="10" fontId="36" fillId="13" borderId="20" xfId="0" applyNumberFormat="1" applyFont="1" applyFill="1" applyBorder="1" applyAlignment="1">
      <alignment horizontal="center" vertical="center"/>
    </xf>
    <xf numFmtId="0" fontId="36" fillId="13" borderId="20" xfId="0" applyFont="1" applyFill="1" applyBorder="1" applyAlignment="1">
      <alignment horizontal="center" vertical="center"/>
    </xf>
    <xf numFmtId="10" fontId="38" fillId="13" borderId="20" xfId="0" applyNumberFormat="1" applyFont="1" applyFill="1" applyBorder="1" applyAlignment="1">
      <alignment horizontal="center" vertical="center"/>
    </xf>
    <xf numFmtId="10" fontId="29" fillId="13" borderId="22" xfId="0" applyNumberFormat="1" applyFont="1" applyFill="1" applyBorder="1" applyAlignment="1">
      <alignment horizontal="center" vertical="center"/>
    </xf>
    <xf numFmtId="2" fontId="29" fillId="13" borderId="22" xfId="0" applyNumberFormat="1" applyFont="1" applyFill="1" applyBorder="1" applyAlignment="1">
      <alignment horizontal="center" vertical="center"/>
    </xf>
    <xf numFmtId="10" fontId="29" fillId="0" borderId="22" xfId="0" applyNumberFormat="1" applyFont="1" applyBorder="1" applyAlignment="1">
      <alignment horizontal="center" vertical="center"/>
    </xf>
    <xf numFmtId="2" fontId="29" fillId="0" borderId="22" xfId="0" applyNumberFormat="1" applyFont="1" applyBorder="1" applyAlignment="1">
      <alignment horizontal="center" vertical="center"/>
    </xf>
    <xf numFmtId="10" fontId="29" fillId="13" borderId="20" xfId="0" applyNumberFormat="1" applyFont="1" applyFill="1" applyBorder="1" applyAlignment="1">
      <alignment horizontal="center" vertical="center"/>
    </xf>
    <xf numFmtId="2" fontId="29" fillId="13" borderId="20" xfId="0" applyNumberFormat="1" applyFont="1" applyFill="1" applyBorder="1" applyAlignment="1">
      <alignment horizontal="center" vertical="center"/>
    </xf>
    <xf numFmtId="10" fontId="27" fillId="13" borderId="2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16" fillId="0" borderId="22" xfId="0" applyFont="1" applyBorder="1" applyAlignment="1">
      <alignment horizontal="center" vertical="center"/>
    </xf>
    <xf numFmtId="0" fontId="0" fillId="0" borderId="0" xfId="0"/>
    <xf numFmtId="0" fontId="11" fillId="4" borderId="4" xfId="0" applyFont="1" applyFill="1" applyBorder="1" applyAlignment="1">
      <alignment horizontal="center" vertical="center" wrapText="1"/>
    </xf>
    <xf numFmtId="0" fontId="2" fillId="0" borderId="0" xfId="0" applyFont="1"/>
    <xf numFmtId="0" fontId="8" fillId="4" borderId="4" xfId="0" applyFont="1" applyFill="1" applyBorder="1" applyAlignment="1">
      <alignment horizontal="center" vertical="center" wrapText="1"/>
    </xf>
    <xf numFmtId="176" fontId="4" fillId="6" borderId="1" xfId="0" applyNumberFormat="1" applyFont="1" applyFill="1" applyBorder="1" applyAlignment="1">
      <alignment horizontal="center" vertical="center" wrapText="1"/>
    </xf>
    <xf numFmtId="176" fontId="22" fillId="7" borderId="4" xfId="0" applyNumberFormat="1" applyFont="1" applyFill="1" applyBorder="1" applyAlignment="1">
      <alignment horizontal="center" vertical="center"/>
    </xf>
    <xf numFmtId="177" fontId="6" fillId="6" borderId="1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177" fontId="5" fillId="6" borderId="1" xfId="0" applyNumberFormat="1" applyFont="1" applyFill="1" applyBorder="1" applyAlignment="1">
      <alignment horizontal="center" vertical="center" wrapText="1"/>
    </xf>
    <xf numFmtId="177" fontId="0" fillId="0" borderId="0" xfId="0" applyNumberFormat="1"/>
    <xf numFmtId="177" fontId="2" fillId="0" borderId="0" xfId="0" applyNumberFormat="1" applyFont="1"/>
    <xf numFmtId="177" fontId="10" fillId="6" borderId="1" xfId="0" applyNumberFormat="1" applyFont="1" applyFill="1" applyBorder="1" applyAlignment="1">
      <alignment horizontal="center" vertical="center" wrapText="1"/>
    </xf>
    <xf numFmtId="178" fontId="20" fillId="0" borderId="1" xfId="0" applyNumberFormat="1" applyFont="1" applyBorder="1" applyAlignment="1">
      <alignment horizontal="center" vertical="center" wrapText="1"/>
    </xf>
    <xf numFmtId="176" fontId="18" fillId="0" borderId="1" xfId="0" applyNumberFormat="1" applyFont="1" applyBorder="1" applyAlignment="1">
      <alignment horizontal="center" vertical="center" wrapText="1"/>
    </xf>
    <xf numFmtId="176" fontId="6" fillId="2" borderId="1" xfId="0" applyNumberFormat="1" applyFont="1" applyFill="1" applyBorder="1"/>
    <xf numFmtId="176" fontId="4" fillId="6" borderId="4" xfId="0" applyNumberFormat="1" applyFont="1" applyFill="1" applyBorder="1" applyAlignment="1">
      <alignment horizontal="center" vertical="center" wrapText="1"/>
    </xf>
    <xf numFmtId="177" fontId="6" fillId="6" borderId="4" xfId="0" applyNumberFormat="1" applyFont="1" applyFill="1" applyBorder="1" applyAlignment="1">
      <alignment horizontal="center" vertical="center" wrapText="1"/>
    </xf>
    <xf numFmtId="178" fontId="5" fillId="0" borderId="4" xfId="0" applyNumberFormat="1" applyFont="1" applyBorder="1" applyAlignment="1">
      <alignment horizontal="center" vertical="center" wrapText="1"/>
    </xf>
    <xf numFmtId="177" fontId="10" fillId="6" borderId="4" xfId="0" applyNumberFormat="1" applyFont="1" applyFill="1" applyBorder="1" applyAlignment="1">
      <alignment horizontal="center" vertical="center" wrapText="1"/>
    </xf>
    <xf numFmtId="179" fontId="0" fillId="0" borderId="0" xfId="0" applyNumberFormat="1"/>
    <xf numFmtId="180" fontId="35" fillId="13" borderId="22" xfId="0" applyNumberFormat="1" applyFont="1" applyFill="1" applyBorder="1" applyAlignment="1">
      <alignment horizontal="center" vertical="center"/>
    </xf>
    <xf numFmtId="180" fontId="29" fillId="0" borderId="22" xfId="0" applyNumberFormat="1" applyFont="1" applyBorder="1" applyAlignment="1">
      <alignment horizontal="center" vertical="center"/>
    </xf>
    <xf numFmtId="180" fontId="29" fillId="13" borderId="22" xfId="0" applyNumberFormat="1" applyFont="1" applyFill="1" applyBorder="1" applyAlignment="1">
      <alignment horizontal="center" vertical="center"/>
    </xf>
    <xf numFmtId="180" fontId="29" fillId="13" borderId="20" xfId="0" applyNumberFormat="1" applyFont="1" applyFill="1" applyBorder="1" applyAlignment="1">
      <alignment horizontal="center" vertical="center"/>
    </xf>
    <xf numFmtId="0" fontId="25" fillId="13" borderId="22" xfId="0" applyFont="1" applyFill="1" applyBorder="1" applyAlignment="1">
      <alignment horizontal="center" vertical="center"/>
    </xf>
    <xf numFmtId="180" fontId="25" fillId="9" borderId="13" xfId="0" applyNumberFormat="1" applyFont="1" applyFill="1" applyBorder="1" applyAlignment="1">
      <alignment horizontal="center" vertical="center"/>
    </xf>
    <xf numFmtId="180" fontId="16" fillId="0" borderId="13" xfId="0" applyNumberFormat="1" applyFont="1" applyBorder="1" applyAlignment="1">
      <alignment horizontal="center" vertical="center"/>
    </xf>
    <xf numFmtId="180" fontId="16" fillId="9" borderId="13" xfId="0" applyNumberFormat="1" applyFont="1" applyFill="1" applyBorder="1" applyAlignment="1">
      <alignment horizontal="center" vertical="center"/>
    </xf>
    <xf numFmtId="180" fontId="16" fillId="0" borderId="16" xfId="0" applyNumberFormat="1" applyFont="1" applyBorder="1" applyAlignment="1">
      <alignment horizontal="center" vertical="center"/>
    </xf>
    <xf numFmtId="10" fontId="25" fillId="13" borderId="23" xfId="0" applyNumberFormat="1" applyFont="1" applyFill="1" applyBorder="1" applyAlignment="1">
      <alignment horizontal="center" vertical="center"/>
    </xf>
    <xf numFmtId="0" fontId="25" fillId="13" borderId="24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 applyNumberFormat="1"/>
    <xf numFmtId="177" fontId="0" fillId="0" borderId="0" xfId="0" applyNumberFormat="1" applyAlignment="1">
      <alignment horizontal="right"/>
    </xf>
    <xf numFmtId="0" fontId="24" fillId="8" borderId="0" xfId="0" applyFont="1" applyFill="1" applyBorder="1" applyAlignment="1">
      <alignment vertical="center"/>
    </xf>
    <xf numFmtId="0" fontId="39" fillId="12" borderId="20" xfId="0" applyFont="1" applyFill="1" applyBorder="1" applyAlignment="1">
      <alignment horizontal="center" vertical="center"/>
    </xf>
    <xf numFmtId="0" fontId="16" fillId="13" borderId="20" xfId="0" applyFont="1" applyFill="1" applyBorder="1" applyAlignment="1">
      <alignment horizontal="center" vertical="center"/>
    </xf>
    <xf numFmtId="14" fontId="34" fillId="12" borderId="20" xfId="0" applyNumberFormat="1" applyFont="1" applyFill="1" applyBorder="1" applyAlignment="1">
      <alignment horizontal="center" vertical="center"/>
    </xf>
    <xf numFmtId="0" fontId="23" fillId="0" borderId="0" xfId="1" applyNumberFormat="1">
      <alignment vertical="center"/>
    </xf>
    <xf numFmtId="14" fontId="24" fillId="8" borderId="15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10" fontId="42" fillId="13" borderId="22" xfId="0" applyNumberFormat="1" applyFont="1" applyFill="1" applyBorder="1" applyAlignment="1">
      <alignment horizontal="center" vertical="center"/>
    </xf>
    <xf numFmtId="14" fontId="33" fillId="11" borderId="0" xfId="0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23" fillId="0" borderId="0" xfId="1" applyNumberFormat="1">
      <alignment vertical="center"/>
    </xf>
    <xf numFmtId="0" fontId="0" fillId="0" borderId="0" xfId="0"/>
    <xf numFmtId="0" fontId="7" fillId="3" borderId="0" xfId="0" applyFont="1" applyFill="1"/>
    <xf numFmtId="0" fontId="0" fillId="0" borderId="0" xfId="0"/>
    <xf numFmtId="0" fontId="11" fillId="4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1" fillId="4" borderId="0" xfId="0" applyFont="1" applyFill="1" applyAlignment="1">
      <alignment horizontal="left" vertical="center"/>
    </xf>
    <xf numFmtId="0" fontId="4" fillId="0" borderId="0" xfId="0" applyFont="1" applyAlignment="1">
      <alignment horizontal="right"/>
    </xf>
    <xf numFmtId="0" fontId="17" fillId="0" borderId="4" xfId="0" applyFont="1" applyBorder="1" applyAlignment="1">
      <alignment horizontal="left" vertical="center"/>
    </xf>
    <xf numFmtId="0" fontId="12" fillId="3" borderId="0" xfId="0" applyFont="1" applyFill="1" applyAlignment="1">
      <alignment horizontal="center" vertical="center" wrapText="1"/>
    </xf>
    <xf numFmtId="0" fontId="2" fillId="0" borderId="0" xfId="0" applyFont="1"/>
    <xf numFmtId="0" fontId="8" fillId="4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6" fillId="0" borderId="8" xfId="0" applyFont="1" applyBorder="1" applyAlignment="1">
      <alignment horizontal="center" vertical="center" wrapText="1"/>
    </xf>
    <xf numFmtId="0" fontId="0" fillId="0" borderId="8" xfId="0" applyBorder="1"/>
    <xf numFmtId="0" fontId="16" fillId="0" borderId="12" xfId="0" applyFont="1" applyBorder="1" applyAlignment="1">
      <alignment horizontal="center" vertical="center" wrapText="1"/>
    </xf>
    <xf numFmtId="0" fontId="0" fillId="0" borderId="9" xfId="0" applyBorder="1"/>
    <xf numFmtId="0" fontId="16" fillId="0" borderId="15" xfId="0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0" fillId="0" borderId="11" xfId="0" applyBorder="1"/>
    <xf numFmtId="0" fontId="33" fillId="0" borderId="22" xfId="0" applyFont="1" applyBorder="1" applyAlignment="1">
      <alignment horizontal="left" vertical="top" wrapText="1"/>
    </xf>
    <xf numFmtId="0" fontId="0" fillId="0" borderId="22" xfId="0" applyBorder="1" applyAlignment="1">
      <alignment wrapText="1"/>
    </xf>
    <xf numFmtId="0" fontId="0" fillId="0" borderId="0" xfId="0" applyAlignment="1">
      <alignment wrapText="1"/>
    </xf>
    <xf numFmtId="0" fontId="33" fillId="0" borderId="0" xfId="0" applyFont="1" applyBorder="1" applyAlignment="1">
      <alignment horizontal="left" vertical="top" wrapText="1"/>
    </xf>
    <xf numFmtId="0" fontId="16" fillId="0" borderId="0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7" fillId="3" borderId="10" xfId="0" applyFont="1" applyFill="1" applyBorder="1" applyAlignment="1">
      <alignment horizontal="center"/>
    </xf>
    <xf numFmtId="0" fontId="0" fillId="0" borderId="10" xfId="0" applyBorder="1"/>
    <xf numFmtId="0" fontId="7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 vertical="center"/>
    </xf>
    <xf numFmtId="10" fontId="26" fillId="13" borderId="22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left"/>
    </xf>
    <xf numFmtId="0" fontId="40" fillId="0" borderId="0" xfId="2" applyNumberFormat="1" applyAlignment="1">
      <alignment horizontal="left"/>
    </xf>
    <xf numFmtId="0" fontId="39" fillId="12" borderId="0" xfId="0" applyFont="1" applyFill="1" applyBorder="1" applyAlignment="1">
      <alignment horizontal="center" vertical="center"/>
    </xf>
  </cellXfs>
  <cellStyles count="4">
    <cellStyle name="Normal" xfId="3"/>
    <cellStyle name="百分比" xfId="1" builtinId="5"/>
    <cellStyle name="常规" xfId="0" builtinId="0"/>
    <cellStyle name="常规 2" xfId="2"/>
  </cellStyles>
  <dxfs count="6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10-90 </a:t>
            </a:r>
            <a:r>
              <a:rPr lang="zh-CN" altLang="en-US"/>
              <a:t>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'组合净值（模拟）'!$B$5</c:f>
              <c:strCache>
                <c:ptCount val="1"/>
                <c:pt idx="0">
                  <c:v>净值</c:v>
                </c:pt>
              </c:strCache>
            </c:strRef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'组合净值（模拟）'!$A$6:$A$60</c:f>
              <c:strCache>
                <c:ptCount val="51"/>
                <c:pt idx="0">
                  <c:v>2026-05-29</c:v>
                </c:pt>
                <c:pt idx="1">
                  <c:v>2026-06-01</c:v>
                </c:pt>
                <c:pt idx="2">
                  <c:v>2026-06-02</c:v>
                </c:pt>
                <c:pt idx="3">
                  <c:v>2026-06-03</c:v>
                </c:pt>
                <c:pt idx="4">
                  <c:v>2026-06-04</c:v>
                </c:pt>
                <c:pt idx="5">
                  <c:v>2026-06-05</c:v>
                </c:pt>
                <c:pt idx="6">
                  <c:v>2026-06-08</c:v>
                </c:pt>
                <c:pt idx="7">
                  <c:v>2026-06-09</c:v>
                </c:pt>
                <c:pt idx="8">
                  <c:v>2026-06-10</c:v>
                </c:pt>
                <c:pt idx="9">
                  <c:v>2026-06-11</c:v>
                </c:pt>
                <c:pt idx="10">
                  <c:v>2026-06-12</c:v>
                </c:pt>
                <c:pt idx="11">
                  <c:v>2026-06-15</c:v>
                </c:pt>
                <c:pt idx="12">
                  <c:v>2026-06-16</c:v>
                </c:pt>
                <c:pt idx="13">
                  <c:v>2026-06-17</c:v>
                </c:pt>
                <c:pt idx="14">
                  <c:v>2026-06-18</c:v>
                </c:pt>
                <c:pt idx="15">
                  <c:v>2026-06-22</c:v>
                </c:pt>
                <c:pt idx="16">
                  <c:v>2026-06-23</c:v>
                </c:pt>
                <c:pt idx="17">
                  <c:v>2026-06-24</c:v>
                </c:pt>
                <c:pt idx="18">
                  <c:v>2026-06-25</c:v>
                </c:pt>
                <c:pt idx="19">
                  <c:v>2026-06-26</c:v>
                </c:pt>
                <c:pt idx="20">
                  <c:v>2026-06-29</c:v>
                </c:pt>
                <c:pt idx="21">
                  <c:v>2026-06-30</c:v>
                </c:pt>
                <c:pt idx="22">
                  <c:v>2026-07-01</c:v>
                </c:pt>
                <c:pt idx="23">
                  <c:v>2026-07-02</c:v>
                </c:pt>
                <c:pt idx="24">
                  <c:v>2026-07-03</c:v>
                </c:pt>
                <c:pt idx="25">
                  <c:v>2026-07-06</c:v>
                </c:pt>
                <c:pt idx="26">
                  <c:v>2026-07-07</c:v>
                </c:pt>
                <c:pt idx="27">
                  <c:v>2026-07-08</c:v>
                </c:pt>
                <c:pt idx="28">
                  <c:v>2026-07-09</c:v>
                </c:pt>
                <c:pt idx="29">
                  <c:v>2026-07-10</c:v>
                </c:pt>
                <c:pt idx="30">
                  <c:v>2026-07-13</c:v>
                </c:pt>
                <c:pt idx="31">
                  <c:v>2026-07-14</c:v>
                </c:pt>
                <c:pt idx="32">
                  <c:v>2026-07-15</c:v>
                </c:pt>
                <c:pt idx="33">
                  <c:v>2026-07-16</c:v>
                </c:pt>
                <c:pt idx="34">
                  <c:v>2026-07-17</c:v>
                </c:pt>
                <c:pt idx="35">
                  <c:v>2026-07-20</c:v>
                </c:pt>
                <c:pt idx="36">
                  <c:v>2026-07-21</c:v>
                </c:pt>
                <c:pt idx="37">
                  <c:v>2026-07-22</c:v>
                </c:pt>
                <c:pt idx="38">
                  <c:v>2026-07-23</c:v>
                </c:pt>
                <c:pt idx="39">
                  <c:v>2026-07-24</c:v>
                </c:pt>
                <c:pt idx="40">
                  <c:v>2026-07-27</c:v>
                </c:pt>
                <c:pt idx="41">
                  <c:v>2026-07-28</c:v>
                </c:pt>
                <c:pt idx="42">
                  <c:v>2026-07-29</c:v>
                </c:pt>
                <c:pt idx="43">
                  <c:v>2026-07-30</c:v>
                </c:pt>
                <c:pt idx="44">
                  <c:v>2026-07-31</c:v>
                </c:pt>
                <c:pt idx="45">
                  <c:v>2026-08-03</c:v>
                </c:pt>
                <c:pt idx="46">
                  <c:v>2026-08-04</c:v>
                </c:pt>
                <c:pt idx="47">
                  <c:v>2026-08-05</c:v>
                </c:pt>
                <c:pt idx="48">
                  <c:v>2026-08-06</c:v>
                </c:pt>
                <c:pt idx="49">
                  <c:v>2026-08-07</c:v>
                </c:pt>
                <c:pt idx="50">
                  <c:v>2026-08-10</c:v>
                </c:pt>
              </c:strCache>
            </c:strRef>
          </c:cat>
          <c:val>
            <c:numRef>
              <c:f>'组合净值（模拟）'!$B$6:$B$60</c:f>
              <c:numCache>
                <c:formatCode>0.0000</c:formatCode>
                <c:ptCount val="55"/>
                <c:pt idx="0">
                  <c:v>1</c:v>
                </c:pt>
                <c:pt idx="1">
                  <c:v>0.99765643337172227</c:v>
                </c:pt>
                <c:pt idx="2">
                  <c:v>1.0004873988232836</c:v>
                </c:pt>
                <c:pt idx="3">
                  <c:v>1.0019149392222524</c:v>
                </c:pt>
                <c:pt idx="4">
                  <c:v>1.0027653095977875</c:v>
                </c:pt>
                <c:pt idx="5">
                  <c:v>0.99978370102959424</c:v>
                </c:pt>
                <c:pt idx="6">
                  <c:v>0.99463803716562982</c:v>
                </c:pt>
                <c:pt idx="7">
                  <c:v>0.99810930076783855</c:v>
                </c:pt>
                <c:pt idx="8">
                  <c:v>0.99416736668282224</c:v>
                </c:pt>
                <c:pt idx="9">
                  <c:v>0.99283271293635389</c:v>
                </c:pt>
                <c:pt idx="10">
                  <c:v>0.99406258289832961</c:v>
                </c:pt>
                <c:pt idx="11">
                  <c:v>1.0008242059223755</c:v>
                </c:pt>
                <c:pt idx="12">
                  <c:v>1.0035619999384113</c:v>
                </c:pt>
                <c:pt idx="13">
                  <c:v>1.0062350005260854</c:v>
                </c:pt>
                <c:pt idx="14">
                  <c:v>1.0081276363106348</c:v>
                </c:pt>
                <c:pt idx="15">
                  <c:v>1.0093600773976923</c:v>
                </c:pt>
                <c:pt idx="16">
                  <c:v>1.006104369874212</c:v>
                </c:pt>
                <c:pt idx="17">
                  <c:v>1.0083957504532106</c:v>
                </c:pt>
                <c:pt idx="18">
                  <c:v>1.0102567792474779</c:v>
                </c:pt>
                <c:pt idx="19">
                  <c:v>1.0075734673006249</c:v>
                </c:pt>
                <c:pt idx="20">
                  <c:v>1.0092715697265893</c:v>
                </c:pt>
                <c:pt idx="21">
                  <c:v>1.0119135334013039</c:v>
                </c:pt>
                <c:pt idx="22">
                  <c:v>1.0089264576463108</c:v>
                </c:pt>
                <c:pt idx="23">
                  <c:v>1.0030310088202468</c:v>
                </c:pt>
                <c:pt idx="24">
                  <c:v>1.0038981426733757</c:v>
                </c:pt>
                <c:pt idx="25">
                  <c:v>1.0027797901139219</c:v>
                </c:pt>
                <c:pt idx="26">
                  <c:v>1.0020307881244941</c:v>
                </c:pt>
                <c:pt idx="27">
                  <c:v>1.0018762436618722</c:v>
                </c:pt>
                <c:pt idx="28">
                  <c:v>1.006766457530907</c:v>
                </c:pt>
                <c:pt idx="29">
                  <c:v>1.0032047515873792</c:v>
                </c:pt>
                <c:pt idx="30">
                  <c:v>0.99804048779343413</c:v>
                </c:pt>
                <c:pt idx="31">
                  <c:v>1.0010543893909403</c:v>
                </c:pt>
                <c:pt idx="32">
                  <c:v>0.9989279377727005</c:v>
                </c:pt>
                <c:pt idx="33">
                  <c:v>0.99507048463583336</c:v>
                </c:pt>
                <c:pt idx="34">
                  <c:v>0.98792885556003662</c:v>
                </c:pt>
                <c:pt idx="35">
                  <c:v>0.98498724231318568</c:v>
                </c:pt>
                <c:pt idx="36">
                  <c:v>0.99266358308574398</c:v>
                </c:pt>
                <c:pt idx="37">
                  <c:v>0.99241748057616874</c:v>
                </c:pt>
                <c:pt idx="38">
                  <c:v>0.99157338362765834</c:v>
                </c:pt>
                <c:pt idx="39">
                  <c:v>0.98999658372279531</c:v>
                </c:pt>
                <c:pt idx="40">
                  <c:v>0.9933885124525984</c:v>
                </c:pt>
                <c:pt idx="41">
                  <c:v>0.987191054770443</c:v>
                </c:pt>
                <c:pt idx="42">
                  <c:v>0.98676558297447969</c:v>
                </c:pt>
                <c:pt idx="43">
                  <c:v>0.98292728743642555</c:v>
                </c:pt>
                <c:pt idx="44">
                  <c:v>0.98602670241529955</c:v>
                </c:pt>
                <c:pt idx="45">
                  <c:v>0.98448294300370898</c:v>
                </c:pt>
                <c:pt idx="46">
                  <c:v>0.98920081787995973</c:v>
                </c:pt>
                <c:pt idx="47">
                  <c:v>0.99302707938175994</c:v>
                </c:pt>
                <c:pt idx="48">
                  <c:v>0.99521566059100264</c:v>
                </c:pt>
                <c:pt idx="49">
                  <c:v>0.99807403083544954</c:v>
                </c:pt>
                <c:pt idx="50">
                  <c:v>0.99968447654379078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730960"/>
        <c:axId val="1468731504"/>
      </c:lineChart>
      <c:dateAx>
        <c:axId val="1468730960"/>
        <c:scaling>
          <c:orientation val="minMax"/>
          <c:min val="46171"/>
        </c:scaling>
        <c:delete val="0"/>
        <c:axPos val="b"/>
        <c:numFmt formatCode="mm\-dd" sourceLinked="0"/>
        <c:majorTickMark val="out"/>
        <c:minorTickMark val="none"/>
        <c:tickLblPos val="nextTo"/>
        <c:crossAx val="1468731504"/>
        <c:crosses val="autoZero"/>
        <c:auto val="1"/>
        <c:lblOffset val="100"/>
        <c:baseTimeUnit val="days"/>
      </c:dateAx>
      <c:valAx>
        <c:axId val="1468731504"/>
        <c:scaling>
          <c:orientation val="minMax"/>
        </c:scaling>
        <c:delete val="0"/>
        <c:axPos val="l"/>
        <c:numFmt formatCode="0.0000" sourceLinked="0"/>
        <c:majorTickMark val="none"/>
        <c:minorTickMark val="none"/>
        <c:tickLblPos val="nextTo"/>
        <c:crossAx val="146873096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20-80 </a:t>
            </a:r>
            <a:r>
              <a:rPr lang="zh-CN" altLang="en-US"/>
              <a:t>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'组合净值（模拟）'!$E$5</c:f>
              <c:strCache>
                <c:ptCount val="1"/>
                <c:pt idx="0">
                  <c:v>净值</c:v>
                </c:pt>
              </c:strCache>
            </c:strRef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'组合净值（模拟）'!$A$6:$A$60</c:f>
              <c:strCache>
                <c:ptCount val="51"/>
                <c:pt idx="0">
                  <c:v>2026-05-29</c:v>
                </c:pt>
                <c:pt idx="1">
                  <c:v>2026-06-01</c:v>
                </c:pt>
                <c:pt idx="2">
                  <c:v>2026-06-02</c:v>
                </c:pt>
                <c:pt idx="3">
                  <c:v>2026-06-03</c:v>
                </c:pt>
                <c:pt idx="4">
                  <c:v>2026-06-04</c:v>
                </c:pt>
                <c:pt idx="5">
                  <c:v>2026-06-05</c:v>
                </c:pt>
                <c:pt idx="6">
                  <c:v>2026-06-08</c:v>
                </c:pt>
                <c:pt idx="7">
                  <c:v>2026-06-09</c:v>
                </c:pt>
                <c:pt idx="8">
                  <c:v>2026-06-10</c:v>
                </c:pt>
                <c:pt idx="9">
                  <c:v>2026-06-11</c:v>
                </c:pt>
                <c:pt idx="10">
                  <c:v>2026-06-12</c:v>
                </c:pt>
                <c:pt idx="11">
                  <c:v>2026-06-15</c:v>
                </c:pt>
                <c:pt idx="12">
                  <c:v>2026-06-16</c:v>
                </c:pt>
                <c:pt idx="13">
                  <c:v>2026-06-17</c:v>
                </c:pt>
                <c:pt idx="14">
                  <c:v>2026-06-18</c:v>
                </c:pt>
                <c:pt idx="15">
                  <c:v>2026-06-22</c:v>
                </c:pt>
                <c:pt idx="16">
                  <c:v>2026-06-23</c:v>
                </c:pt>
                <c:pt idx="17">
                  <c:v>2026-06-24</c:v>
                </c:pt>
                <c:pt idx="18">
                  <c:v>2026-06-25</c:v>
                </c:pt>
                <c:pt idx="19">
                  <c:v>2026-06-26</c:v>
                </c:pt>
                <c:pt idx="20">
                  <c:v>2026-06-29</c:v>
                </c:pt>
                <c:pt idx="21">
                  <c:v>2026-06-30</c:v>
                </c:pt>
                <c:pt idx="22">
                  <c:v>2026-07-01</c:v>
                </c:pt>
                <c:pt idx="23">
                  <c:v>2026-07-02</c:v>
                </c:pt>
                <c:pt idx="24">
                  <c:v>2026-07-03</c:v>
                </c:pt>
                <c:pt idx="25">
                  <c:v>2026-07-06</c:v>
                </c:pt>
                <c:pt idx="26">
                  <c:v>2026-07-07</c:v>
                </c:pt>
                <c:pt idx="27">
                  <c:v>2026-07-08</c:v>
                </c:pt>
                <c:pt idx="28">
                  <c:v>2026-07-09</c:v>
                </c:pt>
                <c:pt idx="29">
                  <c:v>2026-07-10</c:v>
                </c:pt>
                <c:pt idx="30">
                  <c:v>2026-07-13</c:v>
                </c:pt>
                <c:pt idx="31">
                  <c:v>2026-07-14</c:v>
                </c:pt>
                <c:pt idx="32">
                  <c:v>2026-07-15</c:v>
                </c:pt>
                <c:pt idx="33">
                  <c:v>2026-07-16</c:v>
                </c:pt>
                <c:pt idx="34">
                  <c:v>2026-07-17</c:v>
                </c:pt>
                <c:pt idx="35">
                  <c:v>2026-07-20</c:v>
                </c:pt>
                <c:pt idx="36">
                  <c:v>2026-07-21</c:v>
                </c:pt>
                <c:pt idx="37">
                  <c:v>2026-07-22</c:v>
                </c:pt>
                <c:pt idx="38">
                  <c:v>2026-07-23</c:v>
                </c:pt>
                <c:pt idx="39">
                  <c:v>2026-07-24</c:v>
                </c:pt>
                <c:pt idx="40">
                  <c:v>2026-07-27</c:v>
                </c:pt>
                <c:pt idx="41">
                  <c:v>2026-07-28</c:v>
                </c:pt>
                <c:pt idx="42">
                  <c:v>2026-07-29</c:v>
                </c:pt>
                <c:pt idx="43">
                  <c:v>2026-07-30</c:v>
                </c:pt>
                <c:pt idx="44">
                  <c:v>2026-07-31</c:v>
                </c:pt>
                <c:pt idx="45">
                  <c:v>2026-08-03</c:v>
                </c:pt>
                <c:pt idx="46">
                  <c:v>2026-08-04</c:v>
                </c:pt>
                <c:pt idx="47">
                  <c:v>2026-08-05</c:v>
                </c:pt>
                <c:pt idx="48">
                  <c:v>2026-08-06</c:v>
                </c:pt>
                <c:pt idx="49">
                  <c:v>2026-08-07</c:v>
                </c:pt>
                <c:pt idx="50">
                  <c:v>2026-08-10</c:v>
                </c:pt>
              </c:strCache>
            </c:strRef>
          </c:cat>
          <c:val>
            <c:numRef>
              <c:f>'组合净值（模拟）'!$E$6:$E$60</c:f>
              <c:numCache>
                <c:formatCode>0.0000</c:formatCode>
                <c:ptCount val="55"/>
                <c:pt idx="0">
                  <c:v>1</c:v>
                </c:pt>
                <c:pt idx="1">
                  <c:v>0.99470984476576541</c:v>
                </c:pt>
                <c:pt idx="2">
                  <c:v>1.0000345543500495</c:v>
                </c:pt>
                <c:pt idx="3">
                  <c:v>1.0039489678128992</c:v>
                </c:pt>
                <c:pt idx="4">
                  <c:v>1.005004136734627</c:v>
                </c:pt>
                <c:pt idx="5">
                  <c:v>0.99963093145942272</c:v>
                </c:pt>
                <c:pt idx="6">
                  <c:v>0.9914160277538232</c:v>
                </c:pt>
                <c:pt idx="7">
                  <c:v>0.99885348994831058</c:v>
                </c:pt>
                <c:pt idx="8">
                  <c:v>0.99329826179446434</c:v>
                </c:pt>
                <c:pt idx="9">
                  <c:v>0.99221024099815081</c:v>
                </c:pt>
                <c:pt idx="10">
                  <c:v>0.99355219766600733</c:v>
                </c:pt>
                <c:pt idx="11">
                  <c:v>1.005261385185954</c:v>
                </c:pt>
                <c:pt idx="12">
                  <c:v>1.0097216988763142</c:v>
                </c:pt>
                <c:pt idx="13">
                  <c:v>1.0145036389666431</c:v>
                </c:pt>
                <c:pt idx="14">
                  <c:v>1.0181874953608219</c:v>
                </c:pt>
                <c:pt idx="15">
                  <c:v>1.021658449007022</c:v>
                </c:pt>
                <c:pt idx="16">
                  <c:v>1.0163253647644515</c:v>
                </c:pt>
                <c:pt idx="17">
                  <c:v>1.0212150505453375</c:v>
                </c:pt>
                <c:pt idx="18">
                  <c:v>1.0252460726007366</c:v>
                </c:pt>
                <c:pt idx="19">
                  <c:v>1.0191968737534782</c:v>
                </c:pt>
                <c:pt idx="20">
                  <c:v>1.0215214505234145</c:v>
                </c:pt>
                <c:pt idx="21">
                  <c:v>1.028012711514811</c:v>
                </c:pt>
                <c:pt idx="22">
                  <c:v>1.0234028726746101</c:v>
                </c:pt>
                <c:pt idx="23">
                  <c:v>1.0105957679057833</c:v>
                </c:pt>
                <c:pt idx="24">
                  <c:v>1.0113374897746024</c:v>
                </c:pt>
                <c:pt idx="25">
                  <c:v>1.0085650677023383</c:v>
                </c:pt>
                <c:pt idx="26">
                  <c:v>1.0072335195148223</c:v>
                </c:pt>
                <c:pt idx="27">
                  <c:v>1.0064721796716132</c:v>
                </c:pt>
                <c:pt idx="28">
                  <c:v>1.0162972068314768</c:v>
                </c:pt>
                <c:pt idx="29">
                  <c:v>1.0091166303157217</c:v>
                </c:pt>
                <c:pt idx="30">
                  <c:v>0.99960067865796476</c:v>
                </c:pt>
                <c:pt idx="31">
                  <c:v>1.0057655126629168</c:v>
                </c:pt>
                <c:pt idx="32">
                  <c:v>1.0014241685210887</c:v>
                </c:pt>
                <c:pt idx="33">
                  <c:v>0.99396833859112943</c:v>
                </c:pt>
                <c:pt idx="34">
                  <c:v>0.97948939812063807</c:v>
                </c:pt>
                <c:pt idx="35">
                  <c:v>0.97384071442216436</c:v>
                </c:pt>
                <c:pt idx="36">
                  <c:v>0.98833544184805</c:v>
                </c:pt>
                <c:pt idx="37">
                  <c:v>0.9858173407646309</c:v>
                </c:pt>
                <c:pt idx="38">
                  <c:v>0.98406527706891223</c:v>
                </c:pt>
                <c:pt idx="39">
                  <c:v>0.98103582992602945</c:v>
                </c:pt>
                <c:pt idx="40">
                  <c:v>0.98723827429461497</c:v>
                </c:pt>
                <c:pt idx="41">
                  <c:v>0.97544326280250193</c:v>
                </c:pt>
                <c:pt idx="42">
                  <c:v>0.97482323096858781</c:v>
                </c:pt>
                <c:pt idx="43">
                  <c:v>0.96616153587588893</c:v>
                </c:pt>
                <c:pt idx="44">
                  <c:v>0.9717224250840073</c:v>
                </c:pt>
                <c:pt idx="45">
                  <c:v>0.96853933684082094</c:v>
                </c:pt>
                <c:pt idx="46">
                  <c:v>0.97760020395813585</c:v>
                </c:pt>
                <c:pt idx="47">
                  <c:v>0.98427941163790567</c:v>
                </c:pt>
                <c:pt idx="48">
                  <c:v>0.98746740108607067</c:v>
                </c:pt>
                <c:pt idx="49">
                  <c:v>0.99231892871912231</c:v>
                </c:pt>
                <c:pt idx="50">
                  <c:v>0.99393184724675376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719536"/>
        <c:axId val="1468720080"/>
      </c:lineChart>
      <c:dateAx>
        <c:axId val="1468719536"/>
        <c:scaling>
          <c:orientation val="minMax"/>
          <c:min val="46171"/>
        </c:scaling>
        <c:delete val="0"/>
        <c:axPos val="b"/>
        <c:numFmt formatCode="mm\-dd" sourceLinked="0"/>
        <c:majorTickMark val="out"/>
        <c:minorTickMark val="none"/>
        <c:tickLblPos val="nextTo"/>
        <c:crossAx val="1468720080"/>
        <c:crosses val="autoZero"/>
        <c:auto val="1"/>
        <c:lblOffset val="100"/>
        <c:baseTimeUnit val="days"/>
      </c:dateAx>
      <c:valAx>
        <c:axId val="1468720080"/>
        <c:scaling>
          <c:orientation val="minMax"/>
        </c:scaling>
        <c:delete val="0"/>
        <c:axPos val="l"/>
        <c:numFmt formatCode="0.0000" sourceLinked="0"/>
        <c:majorTickMark val="none"/>
        <c:minorTickMark val="none"/>
        <c:tickLblPos val="nextTo"/>
        <c:crossAx val="146871953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30-70 </a:t>
            </a:r>
            <a:r>
              <a:rPr lang="zh-CN" altLang="en-US"/>
              <a:t>组合净值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'组合净值（模拟）'!$H$5</c:f>
              <c:strCache>
                <c:ptCount val="1"/>
                <c:pt idx="0">
                  <c:v>净值</c:v>
                </c:pt>
              </c:strCache>
            </c:strRef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'组合净值（模拟）'!$A$6:$A$60</c:f>
              <c:strCache>
                <c:ptCount val="51"/>
                <c:pt idx="0">
                  <c:v>2026-05-29</c:v>
                </c:pt>
                <c:pt idx="1">
                  <c:v>2026-06-01</c:v>
                </c:pt>
                <c:pt idx="2">
                  <c:v>2026-06-02</c:v>
                </c:pt>
                <c:pt idx="3">
                  <c:v>2026-06-03</c:v>
                </c:pt>
                <c:pt idx="4">
                  <c:v>2026-06-04</c:v>
                </c:pt>
                <c:pt idx="5">
                  <c:v>2026-06-05</c:v>
                </c:pt>
                <c:pt idx="6">
                  <c:v>2026-06-08</c:v>
                </c:pt>
                <c:pt idx="7">
                  <c:v>2026-06-09</c:v>
                </c:pt>
                <c:pt idx="8">
                  <c:v>2026-06-10</c:v>
                </c:pt>
                <c:pt idx="9">
                  <c:v>2026-06-11</c:v>
                </c:pt>
                <c:pt idx="10">
                  <c:v>2026-06-12</c:v>
                </c:pt>
                <c:pt idx="11">
                  <c:v>2026-06-15</c:v>
                </c:pt>
                <c:pt idx="12">
                  <c:v>2026-06-16</c:v>
                </c:pt>
                <c:pt idx="13">
                  <c:v>2026-06-17</c:v>
                </c:pt>
                <c:pt idx="14">
                  <c:v>2026-06-18</c:v>
                </c:pt>
                <c:pt idx="15">
                  <c:v>2026-06-22</c:v>
                </c:pt>
                <c:pt idx="16">
                  <c:v>2026-06-23</c:v>
                </c:pt>
                <c:pt idx="17">
                  <c:v>2026-06-24</c:v>
                </c:pt>
                <c:pt idx="18">
                  <c:v>2026-06-25</c:v>
                </c:pt>
                <c:pt idx="19">
                  <c:v>2026-06-26</c:v>
                </c:pt>
                <c:pt idx="20">
                  <c:v>2026-06-29</c:v>
                </c:pt>
                <c:pt idx="21">
                  <c:v>2026-06-30</c:v>
                </c:pt>
                <c:pt idx="22">
                  <c:v>2026-07-01</c:v>
                </c:pt>
                <c:pt idx="23">
                  <c:v>2026-07-02</c:v>
                </c:pt>
                <c:pt idx="24">
                  <c:v>2026-07-03</c:v>
                </c:pt>
                <c:pt idx="25">
                  <c:v>2026-07-06</c:v>
                </c:pt>
                <c:pt idx="26">
                  <c:v>2026-07-07</c:v>
                </c:pt>
                <c:pt idx="27">
                  <c:v>2026-07-08</c:v>
                </c:pt>
                <c:pt idx="28">
                  <c:v>2026-07-09</c:v>
                </c:pt>
                <c:pt idx="29">
                  <c:v>2026-07-10</c:v>
                </c:pt>
                <c:pt idx="30">
                  <c:v>2026-07-13</c:v>
                </c:pt>
                <c:pt idx="31">
                  <c:v>2026-07-14</c:v>
                </c:pt>
                <c:pt idx="32">
                  <c:v>2026-07-15</c:v>
                </c:pt>
                <c:pt idx="33">
                  <c:v>2026-07-16</c:v>
                </c:pt>
                <c:pt idx="34">
                  <c:v>2026-07-17</c:v>
                </c:pt>
                <c:pt idx="35">
                  <c:v>2026-07-20</c:v>
                </c:pt>
                <c:pt idx="36">
                  <c:v>2026-07-21</c:v>
                </c:pt>
                <c:pt idx="37">
                  <c:v>2026-07-22</c:v>
                </c:pt>
                <c:pt idx="38">
                  <c:v>2026-07-23</c:v>
                </c:pt>
                <c:pt idx="39">
                  <c:v>2026-07-24</c:v>
                </c:pt>
                <c:pt idx="40">
                  <c:v>2026-07-27</c:v>
                </c:pt>
                <c:pt idx="41">
                  <c:v>2026-07-28</c:v>
                </c:pt>
                <c:pt idx="42">
                  <c:v>2026-07-29</c:v>
                </c:pt>
                <c:pt idx="43">
                  <c:v>2026-07-30</c:v>
                </c:pt>
                <c:pt idx="44">
                  <c:v>2026-07-31</c:v>
                </c:pt>
                <c:pt idx="45">
                  <c:v>2026-08-03</c:v>
                </c:pt>
                <c:pt idx="46">
                  <c:v>2026-08-04</c:v>
                </c:pt>
                <c:pt idx="47">
                  <c:v>2026-08-05</c:v>
                </c:pt>
                <c:pt idx="48">
                  <c:v>2026-08-06</c:v>
                </c:pt>
                <c:pt idx="49">
                  <c:v>2026-08-07</c:v>
                </c:pt>
                <c:pt idx="50">
                  <c:v>2026-08-10</c:v>
                </c:pt>
              </c:strCache>
            </c:strRef>
          </c:cat>
          <c:val>
            <c:numRef>
              <c:f>'组合净值（模拟）'!$H$6:$H$60</c:f>
              <c:numCache>
                <c:formatCode>0.0000</c:formatCode>
                <c:ptCount val="55"/>
                <c:pt idx="0">
                  <c:v>1</c:v>
                </c:pt>
                <c:pt idx="1">
                  <c:v>0.99155315914152709</c:v>
                </c:pt>
                <c:pt idx="2">
                  <c:v>0.99966507234586588</c:v>
                </c:pt>
                <c:pt idx="3">
                  <c:v>1.0054021878924591</c:v>
                </c:pt>
                <c:pt idx="4">
                  <c:v>1.0067152426153394</c:v>
                </c:pt>
                <c:pt idx="5">
                  <c:v>0.99897575218692147</c:v>
                </c:pt>
                <c:pt idx="6">
                  <c:v>0.98606519718573116</c:v>
                </c:pt>
                <c:pt idx="7">
                  <c:v>0.99769736988245605</c:v>
                </c:pt>
                <c:pt idx="8">
                  <c:v>0.98909039856974745</c:v>
                </c:pt>
                <c:pt idx="9">
                  <c:v>0.98728284218313966</c:v>
                </c:pt>
                <c:pt idx="10">
                  <c:v>0.98931718654652812</c:v>
                </c:pt>
                <c:pt idx="11">
                  <c:v>1.0074657646517369</c:v>
                </c:pt>
                <c:pt idx="12">
                  <c:v>1.0137960862629365</c:v>
                </c:pt>
                <c:pt idx="13">
                  <c:v>1.0206025158289858</c:v>
                </c:pt>
                <c:pt idx="14">
                  <c:v>1.025914584825665</c:v>
                </c:pt>
                <c:pt idx="15">
                  <c:v>1.0305161961862179</c:v>
                </c:pt>
                <c:pt idx="16">
                  <c:v>1.0223789610008656</c:v>
                </c:pt>
                <c:pt idx="17">
                  <c:v>1.0296240483045536</c:v>
                </c:pt>
                <c:pt idx="18">
                  <c:v>1.034812631228929</c:v>
                </c:pt>
                <c:pt idx="19">
                  <c:v>1.025819175805315</c:v>
                </c:pt>
                <c:pt idx="20">
                  <c:v>1.028918036046905</c:v>
                </c:pt>
                <c:pt idx="21">
                  <c:v>1.0388818470703711</c:v>
                </c:pt>
                <c:pt idx="22">
                  <c:v>1.0322302286108425</c:v>
                </c:pt>
                <c:pt idx="23">
                  <c:v>1.0134350814732387</c:v>
                </c:pt>
                <c:pt idx="24">
                  <c:v>1.0152735133917969</c:v>
                </c:pt>
                <c:pt idx="25">
                  <c:v>1.0106812246966255</c:v>
                </c:pt>
                <c:pt idx="26">
                  <c:v>1.0085030424733503</c:v>
                </c:pt>
                <c:pt idx="27">
                  <c:v>1.0070505865395374</c:v>
                </c:pt>
                <c:pt idx="28">
                  <c:v>1.0216613733632904</c:v>
                </c:pt>
                <c:pt idx="29">
                  <c:v>1.0108250872684688</c:v>
                </c:pt>
                <c:pt idx="30">
                  <c:v>0.99643530112700229</c:v>
                </c:pt>
                <c:pt idx="31">
                  <c:v>1.005402061956201</c:v>
                </c:pt>
                <c:pt idx="32">
                  <c:v>0.99878418364456378</c:v>
                </c:pt>
                <c:pt idx="33">
                  <c:v>0.98770699356614544</c:v>
                </c:pt>
                <c:pt idx="34">
                  <c:v>0.96561569645713197</c:v>
                </c:pt>
                <c:pt idx="35">
                  <c:v>0.9573143094413411</c:v>
                </c:pt>
                <c:pt idx="36">
                  <c:v>0.97932098950865931</c:v>
                </c:pt>
                <c:pt idx="37">
                  <c:v>0.97509045741741684</c:v>
                </c:pt>
                <c:pt idx="38">
                  <c:v>0.97228838829207365</c:v>
                </c:pt>
                <c:pt idx="39">
                  <c:v>0.96714889061912601</c:v>
                </c:pt>
                <c:pt idx="40">
                  <c:v>0.97669318468652211</c:v>
                </c:pt>
                <c:pt idx="41">
                  <c:v>0.9587783061315015</c:v>
                </c:pt>
                <c:pt idx="42">
                  <c:v>0.95790978205915767</c:v>
                </c:pt>
                <c:pt idx="43">
                  <c:v>0.94433426377899721</c:v>
                </c:pt>
                <c:pt idx="44">
                  <c:v>0.95256289455259324</c:v>
                </c:pt>
                <c:pt idx="45">
                  <c:v>0.94763091789102127</c:v>
                </c:pt>
                <c:pt idx="46">
                  <c:v>0.96108385265753016</c:v>
                </c:pt>
                <c:pt idx="47">
                  <c:v>0.97164846979819153</c:v>
                </c:pt>
                <c:pt idx="48">
                  <c:v>0.97692319240450298</c:v>
                </c:pt>
                <c:pt idx="49">
                  <c:v>0.98398203392564887</c:v>
                </c:pt>
                <c:pt idx="50">
                  <c:v>0.98628220069341777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721712"/>
        <c:axId val="1468723344"/>
      </c:lineChart>
      <c:dateAx>
        <c:axId val="1468721712"/>
        <c:scaling>
          <c:orientation val="minMax"/>
          <c:min val="46171"/>
        </c:scaling>
        <c:delete val="0"/>
        <c:axPos val="b"/>
        <c:numFmt formatCode="mm\-dd" sourceLinked="0"/>
        <c:majorTickMark val="out"/>
        <c:minorTickMark val="none"/>
        <c:tickLblPos val="nextTo"/>
        <c:crossAx val="1468723344"/>
        <c:crosses val="autoZero"/>
        <c:auto val="1"/>
        <c:lblOffset val="100"/>
        <c:baseTimeUnit val="days"/>
      </c:dateAx>
      <c:valAx>
        <c:axId val="1468723344"/>
        <c:scaling>
          <c:orientation val="minMax"/>
        </c:scaling>
        <c:delete val="0"/>
        <c:axPos val="l"/>
        <c:numFmt formatCode="0.0000" sourceLinked="0"/>
        <c:majorTickMark val="none"/>
        <c:minorTickMark val="none"/>
        <c:tickLblPos val="nextTo"/>
        <c:crossAx val="1468721712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产业趋势</a:t>
            </a:r>
            <a:r>
              <a:rPr lang="en-US" altLang="zh-CN" baseline="0"/>
              <a:t> </a:t>
            </a:r>
            <a:r>
              <a:rPr lang="zh-CN" altLang="en-US"/>
              <a:t>组合净值</a:t>
            </a:r>
          </a:p>
        </c:rich>
      </c:tx>
      <c:layout/>
      <c:overlay val="1"/>
    </c:title>
    <c:autoTitleDeleted val="0"/>
    <c:plotArea>
      <c:layout>
        <c:manualLayout>
          <c:layoutTarget val="inner"/>
          <c:xMode val="edge"/>
          <c:yMode val="edge"/>
          <c:x val="7.1764035087719294E-2"/>
          <c:y val="4.1928758169934653E-2"/>
          <c:w val="0.89852836257309943"/>
          <c:h val="0.76279150326797385"/>
        </c:manualLayout>
      </c:layout>
      <c:lineChart>
        <c:grouping val="standard"/>
        <c:varyColors val="1"/>
        <c:ser>
          <c:idx val="0"/>
          <c:order val="0"/>
          <c:tx>
            <c:strRef>
              <c:f>'组合净值（模拟）'!$K$5</c:f>
              <c:strCache>
                <c:ptCount val="1"/>
                <c:pt idx="0">
                  <c:v>净值</c:v>
                </c:pt>
              </c:strCache>
            </c:strRef>
          </c:tx>
          <c:spPr>
            <a:ln w="220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'组合净值（模拟）'!$A$6:$A$60</c:f>
              <c:strCache>
                <c:ptCount val="51"/>
                <c:pt idx="0">
                  <c:v>2026-05-29</c:v>
                </c:pt>
                <c:pt idx="1">
                  <c:v>2026-06-01</c:v>
                </c:pt>
                <c:pt idx="2">
                  <c:v>2026-06-02</c:v>
                </c:pt>
                <c:pt idx="3">
                  <c:v>2026-06-03</c:v>
                </c:pt>
                <c:pt idx="4">
                  <c:v>2026-06-04</c:v>
                </c:pt>
                <c:pt idx="5">
                  <c:v>2026-06-05</c:v>
                </c:pt>
                <c:pt idx="6">
                  <c:v>2026-06-08</c:v>
                </c:pt>
                <c:pt idx="7">
                  <c:v>2026-06-09</c:v>
                </c:pt>
                <c:pt idx="8">
                  <c:v>2026-06-10</c:v>
                </c:pt>
                <c:pt idx="9">
                  <c:v>2026-06-11</c:v>
                </c:pt>
                <c:pt idx="10">
                  <c:v>2026-06-12</c:v>
                </c:pt>
                <c:pt idx="11">
                  <c:v>2026-06-15</c:v>
                </c:pt>
                <c:pt idx="12">
                  <c:v>2026-06-16</c:v>
                </c:pt>
                <c:pt idx="13">
                  <c:v>2026-06-17</c:v>
                </c:pt>
                <c:pt idx="14">
                  <c:v>2026-06-18</c:v>
                </c:pt>
                <c:pt idx="15">
                  <c:v>2026-06-22</c:v>
                </c:pt>
                <c:pt idx="16">
                  <c:v>2026-06-23</c:v>
                </c:pt>
                <c:pt idx="17">
                  <c:v>2026-06-24</c:v>
                </c:pt>
                <c:pt idx="18">
                  <c:v>2026-06-25</c:v>
                </c:pt>
                <c:pt idx="19">
                  <c:v>2026-06-26</c:v>
                </c:pt>
                <c:pt idx="20">
                  <c:v>2026-06-29</c:v>
                </c:pt>
                <c:pt idx="21">
                  <c:v>2026-06-30</c:v>
                </c:pt>
                <c:pt idx="22">
                  <c:v>2026-07-01</c:v>
                </c:pt>
                <c:pt idx="23">
                  <c:v>2026-07-02</c:v>
                </c:pt>
                <c:pt idx="24">
                  <c:v>2026-07-03</c:v>
                </c:pt>
                <c:pt idx="25">
                  <c:v>2026-07-06</c:v>
                </c:pt>
                <c:pt idx="26">
                  <c:v>2026-07-07</c:v>
                </c:pt>
                <c:pt idx="27">
                  <c:v>2026-07-08</c:v>
                </c:pt>
                <c:pt idx="28">
                  <c:v>2026-07-09</c:v>
                </c:pt>
                <c:pt idx="29">
                  <c:v>2026-07-10</c:v>
                </c:pt>
                <c:pt idx="30">
                  <c:v>2026-07-13</c:v>
                </c:pt>
                <c:pt idx="31">
                  <c:v>2026-07-14</c:v>
                </c:pt>
                <c:pt idx="32">
                  <c:v>2026-07-15</c:v>
                </c:pt>
                <c:pt idx="33">
                  <c:v>2026-07-16</c:v>
                </c:pt>
                <c:pt idx="34">
                  <c:v>2026-07-17</c:v>
                </c:pt>
                <c:pt idx="35">
                  <c:v>2026-07-20</c:v>
                </c:pt>
                <c:pt idx="36">
                  <c:v>2026-07-21</c:v>
                </c:pt>
                <c:pt idx="37">
                  <c:v>2026-07-22</c:v>
                </c:pt>
                <c:pt idx="38">
                  <c:v>2026-07-23</c:v>
                </c:pt>
                <c:pt idx="39">
                  <c:v>2026-07-24</c:v>
                </c:pt>
                <c:pt idx="40">
                  <c:v>2026-07-27</c:v>
                </c:pt>
                <c:pt idx="41">
                  <c:v>2026-07-28</c:v>
                </c:pt>
                <c:pt idx="42">
                  <c:v>2026-07-29</c:v>
                </c:pt>
                <c:pt idx="43">
                  <c:v>2026-07-30</c:v>
                </c:pt>
                <c:pt idx="44">
                  <c:v>2026-07-31</c:v>
                </c:pt>
                <c:pt idx="45">
                  <c:v>2026-08-03</c:v>
                </c:pt>
                <c:pt idx="46">
                  <c:v>2026-08-04</c:v>
                </c:pt>
                <c:pt idx="47">
                  <c:v>2026-08-05</c:v>
                </c:pt>
                <c:pt idx="48">
                  <c:v>2026-08-06</c:v>
                </c:pt>
                <c:pt idx="49">
                  <c:v>2026-08-07</c:v>
                </c:pt>
                <c:pt idx="50">
                  <c:v>2026-08-10</c:v>
                </c:pt>
              </c:strCache>
            </c:strRef>
          </c:cat>
          <c:val>
            <c:numRef>
              <c:f>'组合净值（模拟）'!$K$6:$K$60</c:f>
              <c:numCache>
                <c:formatCode>0.0000</c:formatCode>
                <c:ptCount val="55"/>
                <c:pt idx="0">
                  <c:v>1</c:v>
                </c:pt>
                <c:pt idx="1">
                  <c:v>0.94945546915734413</c:v>
                </c:pt>
                <c:pt idx="2">
                  <c:v>0.99538006235370846</c:v>
                </c:pt>
                <c:pt idx="3">
                  <c:v>1.0384782695070389</c:v>
                </c:pt>
                <c:pt idx="4">
                  <c:v>1.0480044619106184</c:v>
                </c:pt>
                <c:pt idx="5">
                  <c:v>1.0110077203724701</c:v>
                </c:pt>
                <c:pt idx="6">
                  <c:v>0.97978619276008949</c:v>
                </c:pt>
                <c:pt idx="7">
                  <c:v>1.0345420410884638</c:v>
                </c:pt>
                <c:pt idx="8">
                  <c:v>1.0134071157839812</c:v>
                </c:pt>
                <c:pt idx="9">
                  <c:v>1.0210851218340495</c:v>
                </c:pt>
                <c:pt idx="10">
                  <c:v>1.0147864275445424</c:v>
                </c:pt>
                <c:pt idx="11">
                  <c:v>1.0808664242080259</c:v>
                </c:pt>
                <c:pt idx="12">
                  <c:v>1.1061052380936494</c:v>
                </c:pt>
                <c:pt idx="13">
                  <c:v>1.1413486344190191</c:v>
                </c:pt>
                <c:pt idx="14">
                  <c:v>1.1719766061841033</c:v>
                </c:pt>
                <c:pt idx="15">
                  <c:v>1.1997728521627964</c:v>
                </c:pt>
                <c:pt idx="16">
                  <c:v>1.1759953600791764</c:v>
                </c:pt>
                <c:pt idx="17">
                  <c:v>1.2186871909295462</c:v>
                </c:pt>
                <c:pt idx="18">
                  <c:v>1.258814834957642</c:v>
                </c:pt>
                <c:pt idx="19">
                  <c:v>1.2230376433068277</c:v>
                </c:pt>
                <c:pt idx="20">
                  <c:v>1.2352096264581862</c:v>
                </c:pt>
                <c:pt idx="21">
                  <c:v>1.2895492152655188</c:v>
                </c:pt>
                <c:pt idx="22">
                  <c:v>1.249937038744344</c:v>
                </c:pt>
                <c:pt idx="23">
                  <c:v>1.1401462330033694</c:v>
                </c:pt>
                <c:pt idx="24">
                  <c:v>1.1316225415446639</c:v>
                </c:pt>
                <c:pt idx="25">
                  <c:v>1.1091830542334955</c:v>
                </c:pt>
                <c:pt idx="26">
                  <c:v>1.1168982726026053</c:v>
                </c:pt>
                <c:pt idx="27">
                  <c:v>1.1228972341803134</c:v>
                </c:pt>
                <c:pt idx="28">
                  <c:v>1.1999299472911686</c:v>
                </c:pt>
                <c:pt idx="29">
                  <c:v>1.141579992062935</c:v>
                </c:pt>
                <c:pt idx="30">
                  <c:v>1.0972731668694431</c:v>
                </c:pt>
                <c:pt idx="31">
                  <c:v>1.1379135344509401</c:v>
                </c:pt>
                <c:pt idx="32">
                  <c:v>1.1041657661996578</c:v>
                </c:pt>
                <c:pt idx="33">
                  <c:v>1.0556964788720771</c:v>
                </c:pt>
                <c:pt idx="34">
                  <c:v>0.96431235412864957</c:v>
                </c:pt>
                <c:pt idx="35">
                  <c:v>0.92885095447230737</c:v>
                </c:pt>
                <c:pt idx="36">
                  <c:v>1.0299672198805563</c:v>
                </c:pt>
                <c:pt idx="37">
                  <c:v>0.99692399076987337</c:v>
                </c:pt>
                <c:pt idx="38">
                  <c:v>0.97335651320518901</c:v>
                </c:pt>
                <c:pt idx="39">
                  <c:v>0.96730486465535159</c:v>
                </c:pt>
                <c:pt idx="40">
                  <c:v>0.99628634338921995</c:v>
                </c:pt>
                <c:pt idx="41">
                  <c:v>0.91198702129501619</c:v>
                </c:pt>
                <c:pt idx="42">
                  <c:v>0.90191662655974869</c:v>
                </c:pt>
                <c:pt idx="43">
                  <c:v>0.83171796406480392</c:v>
                </c:pt>
                <c:pt idx="44">
                  <c:v>0.86263967408220021</c:v>
                </c:pt>
                <c:pt idx="45">
                  <c:v>0.832727229117737</c:v>
                </c:pt>
                <c:pt idx="46">
                  <c:v>0.89731064043612774</c:v>
                </c:pt>
                <c:pt idx="47">
                  <c:v>0.93235175066734677</c:v>
                </c:pt>
                <c:pt idx="48">
                  <c:v>0.94639097048130394</c:v>
                </c:pt>
                <c:pt idx="49">
                  <c:v>0.97075436124972991</c:v>
                </c:pt>
                <c:pt idx="50">
                  <c:v>0.96860598569702494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723888"/>
        <c:axId val="1468730416"/>
      </c:lineChart>
      <c:dateAx>
        <c:axId val="1468723888"/>
        <c:scaling>
          <c:orientation val="minMax"/>
          <c:min val="46171"/>
        </c:scaling>
        <c:delete val="0"/>
        <c:axPos val="b"/>
        <c:numFmt formatCode="mm\-dd" sourceLinked="0"/>
        <c:majorTickMark val="out"/>
        <c:minorTickMark val="none"/>
        <c:tickLblPos val="nextTo"/>
        <c:crossAx val="1468730416"/>
        <c:crosses val="autoZero"/>
        <c:auto val="1"/>
        <c:lblOffset val="100"/>
        <c:baseTimeUnit val="days"/>
      </c:dateAx>
      <c:valAx>
        <c:axId val="1468730416"/>
        <c:scaling>
          <c:orientation val="minMax"/>
          <c:min val="0.9"/>
        </c:scaling>
        <c:delete val="0"/>
        <c:axPos val="l"/>
        <c:numFmt formatCode="0.0000" sourceLinked="0"/>
        <c:majorTickMark val="none"/>
        <c:minorTickMark val="none"/>
        <c:tickLblPos val="nextTo"/>
        <c:crossAx val="1468723888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840000" cy="30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840000" cy="34036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840000" cy="30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840000" cy="30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thsiFin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showGridLines="0" workbookViewId="0">
      <selection activeCell="F21" sqref="F21"/>
    </sheetView>
  </sheetViews>
  <sheetFormatPr defaultRowHeight="14"/>
  <cols>
    <col min="1" max="1" width="14" style="95" customWidth="1"/>
    <col min="2" max="11" width="13" style="95" customWidth="1"/>
    <col min="15" max="15" width="10" style="95" customWidth="1"/>
    <col min="16" max="16" width="12" style="95" customWidth="1"/>
  </cols>
  <sheetData>
    <row r="1" spans="1:16" ht="19" customHeight="1">
      <c r="A1" s="144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</row>
    <row r="2" spans="1:16" ht="26" customHeight="1">
      <c r="A2" s="25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25" t="s">
        <v>15</v>
      </c>
      <c r="P2" s="25" t="s">
        <v>16</v>
      </c>
    </row>
    <row r="3" spans="1:16" ht="25" customHeight="1">
      <c r="A3" s="25" t="s">
        <v>17</v>
      </c>
      <c r="B3" s="4" t="s">
        <v>18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 t="s">
        <v>29</v>
      </c>
      <c r="N3" s="4" t="s">
        <v>30</v>
      </c>
      <c r="O3" s="4"/>
      <c r="P3" s="4"/>
    </row>
    <row r="4" spans="1:16">
      <c r="A4" s="5" t="s">
        <v>31</v>
      </c>
      <c r="B4" s="6">
        <v>0.01</v>
      </c>
      <c r="C4" s="6">
        <v>0.01</v>
      </c>
      <c r="D4" s="6">
        <v>0.01</v>
      </c>
      <c r="E4" s="6">
        <v>0.01</v>
      </c>
      <c r="F4" s="6">
        <v>1.2500000000000001E-2</v>
      </c>
      <c r="G4" s="6">
        <v>1.2500000000000001E-2</v>
      </c>
      <c r="H4" s="6">
        <v>1.2500000000000001E-2</v>
      </c>
      <c r="I4" s="6">
        <v>1.2500000000000001E-2</v>
      </c>
      <c r="J4" s="6">
        <v>0.83</v>
      </c>
      <c r="K4" s="6">
        <v>0.05</v>
      </c>
      <c r="L4" s="6">
        <v>5.0000000000000001E-3</v>
      </c>
      <c r="M4" s="6">
        <v>5.0000000000000001E-3</v>
      </c>
      <c r="N4" s="6">
        <v>0.02</v>
      </c>
      <c r="O4" s="99">
        <f>SUM(B4:N4)</f>
        <v>1</v>
      </c>
      <c r="P4" s="100">
        <v>5.0000000000000001E-3</v>
      </c>
    </row>
    <row r="5" spans="1:16">
      <c r="A5" s="5" t="s">
        <v>32</v>
      </c>
      <c r="B5" s="6">
        <v>0.02</v>
      </c>
      <c r="C5" s="6">
        <v>0.02</v>
      </c>
      <c r="D5" s="6">
        <v>0.02</v>
      </c>
      <c r="E5" s="6">
        <v>0.02</v>
      </c>
      <c r="F5" s="6">
        <v>2.5000000000000001E-2</v>
      </c>
      <c r="G5" s="6">
        <v>2.5000000000000001E-2</v>
      </c>
      <c r="H5" s="6">
        <v>2.5000000000000001E-2</v>
      </c>
      <c r="I5" s="6">
        <v>2.5000000000000001E-2</v>
      </c>
      <c r="J5" s="6">
        <v>0.73</v>
      </c>
      <c r="K5" s="6">
        <v>0.05</v>
      </c>
      <c r="L5" s="6">
        <v>0.01</v>
      </c>
      <c r="M5" s="6">
        <v>0.01</v>
      </c>
      <c r="N5" s="6">
        <v>0.02</v>
      </c>
      <c r="O5" s="99">
        <f>SUM(B5:N5)</f>
        <v>1</v>
      </c>
      <c r="P5" s="100">
        <v>0.01</v>
      </c>
    </row>
    <row r="6" spans="1:16">
      <c r="A6" s="5" t="s">
        <v>33</v>
      </c>
      <c r="B6" s="6">
        <v>0.03</v>
      </c>
      <c r="C6" s="6">
        <v>0.03</v>
      </c>
      <c r="D6" s="6">
        <v>0.03</v>
      </c>
      <c r="E6" s="6">
        <v>0.03</v>
      </c>
      <c r="F6" s="6">
        <v>3.7499999999999999E-2</v>
      </c>
      <c r="G6" s="6">
        <v>3.7499999999999999E-2</v>
      </c>
      <c r="H6" s="6">
        <v>3.7499999999999999E-2</v>
      </c>
      <c r="I6" s="6">
        <v>3.7499999999999999E-2</v>
      </c>
      <c r="J6" s="6">
        <v>0.57999999999999996</v>
      </c>
      <c r="K6" s="6">
        <v>0.1</v>
      </c>
      <c r="L6" s="6">
        <v>1.4999999999999999E-2</v>
      </c>
      <c r="M6" s="6">
        <v>1.4999999999999999E-2</v>
      </c>
      <c r="N6" s="6">
        <v>0.02</v>
      </c>
      <c r="O6" s="99">
        <f>SUM(B6:N6)</f>
        <v>1</v>
      </c>
      <c r="P6" s="100">
        <v>1.2E-2</v>
      </c>
    </row>
    <row r="7" spans="1:16">
      <c r="A7" s="5" t="s">
        <v>34</v>
      </c>
      <c r="B7" s="6">
        <v>0.19</v>
      </c>
      <c r="C7" s="6">
        <v>0.19</v>
      </c>
      <c r="D7" s="6">
        <v>0.19</v>
      </c>
      <c r="E7" s="6">
        <v>0.19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0.11</v>
      </c>
      <c r="M7" s="6">
        <v>0.11</v>
      </c>
      <c r="N7" s="6">
        <v>0.02</v>
      </c>
      <c r="O7" s="99">
        <f>SUM(B7:N7)</f>
        <v>1</v>
      </c>
      <c r="P7" s="100">
        <v>1.2E-2</v>
      </c>
    </row>
    <row r="8" spans="1:16" ht="14.5" customHeight="1">
      <c r="A8" s="7" t="s">
        <v>35</v>
      </c>
    </row>
    <row r="9" spans="1:16">
      <c r="A9" s="2" t="s">
        <v>36</v>
      </c>
      <c r="B9" s="2" t="s">
        <v>37</v>
      </c>
    </row>
    <row r="10" spans="1:16">
      <c r="A10" s="2" t="s">
        <v>38</v>
      </c>
      <c r="B10" s="2" t="s">
        <v>39</v>
      </c>
    </row>
    <row r="11" spans="1:16">
      <c r="A11" s="2" t="s">
        <v>40</v>
      </c>
      <c r="B11" s="2" t="s">
        <v>41</v>
      </c>
    </row>
    <row r="12" spans="1:16">
      <c r="A12" s="2" t="s">
        <v>42</v>
      </c>
      <c r="B12" s="2" t="s">
        <v>43</v>
      </c>
    </row>
    <row r="13" spans="1:16">
      <c r="A13" s="2" t="s">
        <v>44</v>
      </c>
      <c r="B13" s="2" t="s">
        <v>45</v>
      </c>
    </row>
    <row r="14" spans="1:16">
      <c r="A14" s="2" t="s">
        <v>46</v>
      </c>
      <c r="B14" s="2" t="s">
        <v>47</v>
      </c>
    </row>
    <row r="16" spans="1:16" ht="14.5" customHeight="1">
      <c r="A16" s="97" t="s">
        <v>48</v>
      </c>
    </row>
  </sheetData>
  <mergeCells count="1">
    <mergeCell ref="A1:L1"/>
  </mergeCells>
  <phoneticPr fontId="13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1"/>
  <sheetViews>
    <sheetView showGridLines="0" topLeftCell="A22" workbookViewId="0">
      <selection activeCell="F21" sqref="F21"/>
    </sheetView>
  </sheetViews>
  <sheetFormatPr defaultRowHeight="14"/>
  <cols>
    <col min="1" max="11" width="13" style="95" customWidth="1"/>
  </cols>
  <sheetData>
    <row r="1" spans="1:14" ht="19" customHeight="1">
      <c r="A1" s="144" t="s">
        <v>49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</row>
    <row r="2" spans="1:14">
      <c r="A2" s="93">
        <f ca="1">TODAY()-1</f>
        <v>46244</v>
      </c>
    </row>
    <row r="3" spans="1:14" ht="25" customHeight="1">
      <c r="A3" s="25" t="s">
        <v>50</v>
      </c>
      <c r="B3" s="8" t="str">
        <f>持仓配置!B3</f>
        <v>001170.OF</v>
      </c>
      <c r="C3" s="8" t="str">
        <f>持仓配置!C3</f>
        <v>016370.OF</v>
      </c>
      <c r="D3" s="8" t="str">
        <f>持仓配置!D3</f>
        <v>017488.OF</v>
      </c>
      <c r="E3" s="8" t="str">
        <f>持仓配置!E3</f>
        <v>013840.OF</v>
      </c>
      <c r="F3" s="8" t="str">
        <f>持仓配置!F3</f>
        <v>015453.OF</v>
      </c>
      <c r="G3" s="8" t="str">
        <f>持仓配置!G3</f>
        <v>014201.OF</v>
      </c>
      <c r="H3" s="8" t="str">
        <f>持仓配置!H3</f>
        <v>019923.OF</v>
      </c>
      <c r="I3" s="8" t="str">
        <f>持仓配置!I3</f>
        <v>007044.OF</v>
      </c>
      <c r="J3" s="8" t="str">
        <f>持仓配置!J3</f>
        <v>161119.OF</v>
      </c>
      <c r="K3" s="8" t="str">
        <f>持仓配置!K3</f>
        <v>000216.OF</v>
      </c>
      <c r="L3" s="8" t="str">
        <f>持仓配置!L3</f>
        <v>019632.OF</v>
      </c>
      <c r="M3" s="8" t="str">
        <f>持仓配置!M3</f>
        <v>007817.OF</v>
      </c>
      <c r="N3" s="8" t="str">
        <f>持仓配置!N3</f>
        <v>000917.OF</v>
      </c>
    </row>
    <row r="4" spans="1:14" ht="26" customHeight="1">
      <c r="A4" s="25" t="str">
        <f ca="1">[1]!HX_AutoDate(1,"2026-05-29",A2,-1,-1,0,0,0,0,0,"SSE",51,0)</f>
        <v>日期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</row>
    <row r="5" spans="1:14">
      <c r="A5" s="101">
        <v>46171</v>
      </c>
      <c r="B5" s="102">
        <f>IF($A5="","",[1]!thsiFinD("ths_adjustment_nv_fund",B$3,$A5))</f>
        <v>4.9249999999999998</v>
      </c>
      <c r="C5" s="102">
        <f>IF($A5="","",[1]!thsiFinD("ths_adjustment_nv_fund",C$3,$A5))</f>
        <v>3.1015000000000001</v>
      </c>
      <c r="D5" s="102">
        <f>IF($A5="","",[1]!thsiFinD("ths_adjustment_nv_fund",D$3,$A5))</f>
        <v>3.8919999999999999</v>
      </c>
      <c r="E5" s="102">
        <f>IF($A5="","",[1]!thsiFinD("ths_adjustment_nv_fund",E$3,$A5))</f>
        <v>2.6234999999999999</v>
      </c>
      <c r="F5" s="102">
        <f>IF($A5="","",[1]!thsiFinD("ths_adjustment_nv_fund",F$3,$A5))</f>
        <v>1.5841000000000001</v>
      </c>
      <c r="G5" s="102">
        <f>IF($A5="","",[1]!thsiFinD("ths_adjustment_nv_fund",G$3,$A5))</f>
        <v>1.6332</v>
      </c>
      <c r="H5" s="102">
        <f>IF($A5="","",[1]!thsiFinD("ths_adjustment_nv_fund",H$3,$A5))</f>
        <v>2.0659999999999998</v>
      </c>
      <c r="I5" s="102">
        <f>IF($A5="","",[1]!thsiFinD("ths_adjustment_nv_fund",I$3,$A5))</f>
        <v>1.9417</v>
      </c>
      <c r="J5" s="102">
        <f>IF($A5="","",[1]!thsiFinD("ths_adjustment_nv_fund",J$3,$A5))</f>
        <v>1.7859</v>
      </c>
      <c r="K5" s="102">
        <f>IF($A5="","",[1]!thsiFinD("ths_adjustment_nv_fund",K$3,$A5))</f>
        <v>3.4129999999999998</v>
      </c>
      <c r="L5" s="102">
        <f>IF($A5="","",[1]!thsiFinD("ths_adjustment_nv_fund",L$3,$A5))</f>
        <v>2.4056999999999999</v>
      </c>
      <c r="M5" s="102">
        <f>IF($A5="","",[1]!thsiFinD("ths_adjustment_nv_fund",M$3,$A5))</f>
        <v>4.4067999999999996</v>
      </c>
      <c r="N5" s="102">
        <f>IF($A5="","",[1]!thsiFinD("ths_adjustment_nv_fund",N$3,$A5))</f>
        <v>1.3163422467999999</v>
      </c>
    </row>
    <row r="6" spans="1:14">
      <c r="A6" s="101">
        <v>46174</v>
      </c>
      <c r="B6" s="102">
        <f>IF($A6="","",[1]!thsiFinD("ths_adjustment_nv_fund",B$3,$A6))</f>
        <v>4.6980000000000004</v>
      </c>
      <c r="C6" s="102">
        <f>IF($A6="","",[1]!thsiFinD("ths_adjustment_nv_fund",C$3,$A6))</f>
        <v>2.9096000000000002</v>
      </c>
      <c r="D6" s="102">
        <f>IF($A6="","",[1]!thsiFinD("ths_adjustment_nv_fund",D$3,$A6))</f>
        <v>3.6869999999999998</v>
      </c>
      <c r="E6" s="102">
        <f>IF($A6="","",[1]!thsiFinD("ths_adjustment_nv_fund",E$3,$A6))</f>
        <v>2.4714999999999998</v>
      </c>
      <c r="F6" s="102">
        <f>IF($A6="","",[1]!thsiFinD("ths_adjustment_nv_fund",F$3,$A6))</f>
        <v>1.5780000000000001</v>
      </c>
      <c r="G6" s="102">
        <f>IF($A6="","",[1]!thsiFinD("ths_adjustment_nv_fund",G$3,$A6))</f>
        <v>1.6247</v>
      </c>
      <c r="H6" s="102">
        <f>IF($A6="","",[1]!thsiFinD("ths_adjustment_nv_fund",H$3,$A6))</f>
        <v>2.0661</v>
      </c>
      <c r="I6" s="102">
        <f>IF($A6="","",[1]!thsiFinD("ths_adjustment_nv_fund",I$3,$A6))</f>
        <v>1.9205000000000001</v>
      </c>
      <c r="J6" s="102">
        <f>IF($A6="","",[1]!thsiFinD("ths_adjustment_nv_fund",J$3,$A6))</f>
        <v>1.7874000000000001</v>
      </c>
      <c r="K6" s="102">
        <f>IF($A6="","",[1]!thsiFinD("ths_adjustment_nv_fund",K$3,$A6))</f>
        <v>3.4007000000000001</v>
      </c>
      <c r="L6" s="102">
        <f>IF($A6="","",[1]!thsiFinD("ths_adjustment_nv_fund",L$3,$A6))</f>
        <v>2.2863000000000002</v>
      </c>
      <c r="M6" s="102">
        <f>IF($A6="","",[1]!thsiFinD("ths_adjustment_nv_fund",M$3,$A6))</f>
        <v>4.2660999999999998</v>
      </c>
      <c r="N6" s="102">
        <f>IF($A6="","",[1]!thsiFinD("ths_adjustment_nv_fund",N$3,$A6))</f>
        <v>1.3164813759</v>
      </c>
    </row>
    <row r="7" spans="1:14">
      <c r="A7" s="101">
        <v>46175</v>
      </c>
      <c r="B7" s="102">
        <f>IF($A7="","",[1]!thsiFinD("ths_adjustment_nv_fund",B$3,$A7))</f>
        <v>4.97</v>
      </c>
      <c r="C7" s="102">
        <f>IF($A7="","",[1]!thsiFinD("ths_adjustment_nv_fund",C$3,$A7))</f>
        <v>3.1175000000000002</v>
      </c>
      <c r="D7" s="102">
        <f>IF($A7="","",[1]!thsiFinD("ths_adjustment_nv_fund",D$3,$A7))</f>
        <v>3.9251</v>
      </c>
      <c r="E7" s="102">
        <f>IF($A7="","",[1]!thsiFinD("ths_adjustment_nv_fund",E$3,$A7))</f>
        <v>2.5108000000000001</v>
      </c>
      <c r="F7" s="102">
        <f>IF($A7="","",[1]!thsiFinD("ths_adjustment_nv_fund",F$3,$A7))</f>
        <v>1.5838000000000001</v>
      </c>
      <c r="G7" s="102">
        <f>IF($A7="","",[1]!thsiFinD("ths_adjustment_nv_fund",G$3,$A7))</f>
        <v>1.6241000000000001</v>
      </c>
      <c r="H7" s="102">
        <f>IF($A7="","",[1]!thsiFinD("ths_adjustment_nv_fund",H$3,$A7))</f>
        <v>2.0552000000000001</v>
      </c>
      <c r="I7" s="102">
        <f>IF($A7="","",[1]!thsiFinD("ths_adjustment_nv_fund",I$3,$A7))</f>
        <v>1.9491000000000001</v>
      </c>
      <c r="J7" s="102">
        <f>IF($A7="","",[1]!thsiFinD("ths_adjustment_nv_fund",J$3,$A7))</f>
        <v>1.7875000000000001</v>
      </c>
      <c r="K7" s="102">
        <f>IF($A7="","",[1]!thsiFinD("ths_adjustment_nv_fund",K$3,$A7))</f>
        <v>3.4201000000000001</v>
      </c>
      <c r="L7" s="102">
        <f>IF($A7="","",[1]!thsiFinD("ths_adjustment_nv_fund",L$3,$A7))</f>
        <v>2.3267000000000002</v>
      </c>
      <c r="M7" s="102">
        <f>IF($A7="","",[1]!thsiFinD("ths_adjustment_nv_fund",M$3,$A7))</f>
        <v>4.5236000000000001</v>
      </c>
      <c r="N7" s="102">
        <f>IF($A7="","",[1]!thsiFinD("ths_adjustment_nv_fund",N$3,$A7))</f>
        <v>1.3165310468</v>
      </c>
    </row>
    <row r="8" spans="1:14">
      <c r="A8" s="101">
        <v>46176</v>
      </c>
      <c r="B8" s="102">
        <f>IF($A8="","",[1]!thsiFinD("ths_adjustment_nv_fund",B$3,$A8))</f>
        <v>5.2149999999999999</v>
      </c>
      <c r="C8" s="102">
        <f>IF($A8="","",[1]!thsiFinD("ths_adjustment_nv_fund",C$3,$A8))</f>
        <v>3.3028</v>
      </c>
      <c r="D8" s="102">
        <f>IF($A8="","",[1]!thsiFinD("ths_adjustment_nv_fund",D$3,$A8))</f>
        <v>4.1266999999999996</v>
      </c>
      <c r="E8" s="102">
        <f>IF($A8="","",[1]!thsiFinD("ths_adjustment_nv_fund",E$3,$A8))</f>
        <v>2.5747</v>
      </c>
      <c r="F8" s="102">
        <f>IF($A8="","",[1]!thsiFinD("ths_adjustment_nv_fund",F$3,$A8))</f>
        <v>1.5893999999999999</v>
      </c>
      <c r="G8" s="102">
        <f>IF($A8="","",[1]!thsiFinD("ths_adjustment_nv_fund",G$3,$A8))</f>
        <v>1.6348</v>
      </c>
      <c r="H8" s="102">
        <f>IF($A8="","",[1]!thsiFinD("ths_adjustment_nv_fund",H$3,$A8))</f>
        <v>2.0617000000000001</v>
      </c>
      <c r="I8" s="102">
        <f>IF($A8="","",[1]!thsiFinD("ths_adjustment_nv_fund",I$3,$A8))</f>
        <v>1.9628000000000001</v>
      </c>
      <c r="J8" s="102">
        <f>IF($A8="","",[1]!thsiFinD("ths_adjustment_nv_fund",J$3,$A8))</f>
        <v>1.7867999999999999</v>
      </c>
      <c r="K8" s="102">
        <f>IF($A8="","",[1]!thsiFinD("ths_adjustment_nv_fund",K$3,$A8))</f>
        <v>3.3725999999999998</v>
      </c>
      <c r="L8" s="102">
        <f>IF($A8="","",[1]!thsiFinD("ths_adjustment_nv_fund",L$3,$A8))</f>
        <v>2.3847</v>
      </c>
      <c r="M8" s="102">
        <f>IF($A8="","",[1]!thsiFinD("ths_adjustment_nv_fund",M$3,$A8))</f>
        <v>4.7329999999999997</v>
      </c>
      <c r="N8" s="102">
        <f>IF($A8="","",[1]!thsiFinD("ths_adjustment_nv_fund",N$3,$A8))</f>
        <v>1.3165753349</v>
      </c>
    </row>
    <row r="9" spans="1:14">
      <c r="A9" s="101">
        <v>46177</v>
      </c>
      <c r="B9" s="102">
        <f>IF($A9="","",[1]!thsiFinD("ths_adjustment_nv_fund",B$3,$A9))</f>
        <v>5.2619999999999996</v>
      </c>
      <c r="C9" s="102">
        <f>IF($A9="","",[1]!thsiFinD("ths_adjustment_nv_fund",C$3,$A9))</f>
        <v>3.2991000000000001</v>
      </c>
      <c r="D9" s="102">
        <f>IF($A9="","",[1]!thsiFinD("ths_adjustment_nv_fund",D$3,$A9))</f>
        <v>4.1130000000000004</v>
      </c>
      <c r="E9" s="102">
        <f>IF($A9="","",[1]!thsiFinD("ths_adjustment_nv_fund",E$3,$A9))</f>
        <v>2.6434000000000002</v>
      </c>
      <c r="F9" s="102">
        <f>IF($A9="","",[1]!thsiFinD("ths_adjustment_nv_fund",F$3,$A9))</f>
        <v>1.5814999999999999</v>
      </c>
      <c r="G9" s="102">
        <f>IF($A9="","",[1]!thsiFinD("ths_adjustment_nv_fund",G$3,$A9))</f>
        <v>1.6266</v>
      </c>
      <c r="H9" s="102">
        <f>IF($A9="","",[1]!thsiFinD("ths_adjustment_nv_fund",H$3,$A9))</f>
        <v>2.0602999999999998</v>
      </c>
      <c r="I9" s="102">
        <f>IF($A9="","",[1]!thsiFinD("ths_adjustment_nv_fund",I$3,$A9))</f>
        <v>1.9539</v>
      </c>
      <c r="J9" s="102">
        <f>IF($A9="","",[1]!thsiFinD("ths_adjustment_nv_fund",J$3,$A9))</f>
        <v>1.7879</v>
      </c>
      <c r="K9" s="102">
        <f>IF($A9="","",[1]!thsiFinD("ths_adjustment_nv_fund",K$3,$A9))</f>
        <v>3.3774999999999999</v>
      </c>
      <c r="L9" s="102">
        <f>IF($A9="","",[1]!thsiFinD("ths_adjustment_nv_fund",L$3,$A9))</f>
        <v>2.4727000000000001</v>
      </c>
      <c r="M9" s="102">
        <f>IF($A9="","",[1]!thsiFinD("ths_adjustment_nv_fund",M$3,$A9))</f>
        <v>4.7194000000000003</v>
      </c>
      <c r="N9" s="102">
        <f>IF($A9="","",[1]!thsiFinD("ths_adjustment_nv_fund",N$3,$A9))</f>
        <v>1.3166245616000001</v>
      </c>
    </row>
    <row r="10" spans="1:14">
      <c r="A10" s="101">
        <v>46178</v>
      </c>
      <c r="B10" s="102">
        <f>IF($A10="","",[1]!thsiFinD("ths_adjustment_nv_fund",B$3,$A10))</f>
        <v>5.0990000000000002</v>
      </c>
      <c r="C10" s="102">
        <f>IF($A10="","",[1]!thsiFinD("ths_adjustment_nv_fund",C$3,$A10))</f>
        <v>3.1932</v>
      </c>
      <c r="D10" s="102">
        <f>IF($A10="","",[1]!thsiFinD("ths_adjustment_nv_fund",D$3,$A10))</f>
        <v>3.9333</v>
      </c>
      <c r="E10" s="102">
        <f>IF($A10="","",[1]!thsiFinD("ths_adjustment_nv_fund",E$3,$A10))</f>
        <v>2.5175999999999998</v>
      </c>
      <c r="F10" s="102">
        <f>IF($A10="","",[1]!thsiFinD("ths_adjustment_nv_fund",F$3,$A10))</f>
        <v>1.5605</v>
      </c>
      <c r="G10" s="102">
        <f>IF($A10="","",[1]!thsiFinD("ths_adjustment_nv_fund",G$3,$A10))</f>
        <v>1.6080000000000001</v>
      </c>
      <c r="H10" s="102">
        <f>IF($A10="","",[1]!thsiFinD("ths_adjustment_nv_fund",H$3,$A10))</f>
        <v>2.0581</v>
      </c>
      <c r="I10" s="102">
        <f>IF($A10="","",[1]!thsiFinD("ths_adjustment_nv_fund",I$3,$A10))</f>
        <v>1.9209000000000001</v>
      </c>
      <c r="J10" s="102">
        <f>IF($A10="","",[1]!thsiFinD("ths_adjustment_nv_fund",J$3,$A10))</f>
        <v>1.7867999999999999</v>
      </c>
      <c r="K10" s="102">
        <f>IF($A10="","",[1]!thsiFinD("ths_adjustment_nv_fund",K$3,$A10))</f>
        <v>3.3763000000000001</v>
      </c>
      <c r="L10" s="102">
        <f>IF($A10="","",[1]!thsiFinD("ths_adjustment_nv_fund",L$3,$A10))</f>
        <v>2.3969</v>
      </c>
      <c r="M10" s="102">
        <f>IF($A10="","",[1]!thsiFinD("ths_adjustment_nv_fund",M$3,$A10))</f>
        <v>4.6059999999999999</v>
      </c>
      <c r="N10" s="102">
        <f>IF($A10="","",[1]!thsiFinD("ths_adjustment_nv_fund",N$3,$A10))</f>
        <v>1.3166690372000001</v>
      </c>
    </row>
    <row r="11" spans="1:14">
      <c r="A11" s="103">
        <v>46181</v>
      </c>
      <c r="B11" s="102">
        <f>IF($A11="","",[1]!thsiFinD("ths_adjustment_nv_fund",B$3,$A11))</f>
        <v>5.0090000000000003</v>
      </c>
      <c r="C11" s="102">
        <f>IF($A11="","",[1]!thsiFinD("ths_adjustment_nv_fund",C$3,$A11))</f>
        <v>3.0775000000000001</v>
      </c>
      <c r="D11" s="102">
        <f>IF($A11="","",[1]!thsiFinD("ths_adjustment_nv_fund",D$3,$A11))</f>
        <v>3.8208000000000002</v>
      </c>
      <c r="E11" s="102">
        <f>IF($A11="","",[1]!thsiFinD("ths_adjustment_nv_fund",E$3,$A11))</f>
        <v>2.4054000000000002</v>
      </c>
      <c r="F11" s="102">
        <f>IF($A11="","",[1]!thsiFinD("ths_adjustment_nv_fund",F$3,$A11))</f>
        <v>1.506</v>
      </c>
      <c r="G11" s="102">
        <f>IF($A11="","",[1]!thsiFinD("ths_adjustment_nv_fund",G$3,$A11))</f>
        <v>1.5555000000000001</v>
      </c>
      <c r="H11" s="102">
        <f>IF($A11="","",[1]!thsiFinD("ths_adjustment_nv_fund",H$3,$A11))</f>
        <v>1.9891000000000001</v>
      </c>
      <c r="I11" s="102">
        <f>IF($A11="","",[1]!thsiFinD("ths_adjustment_nv_fund",I$3,$A11))</f>
        <v>1.8813</v>
      </c>
      <c r="J11" s="102">
        <f>IF($A11="","",[1]!thsiFinD("ths_adjustment_nv_fund",J$3,$A11))</f>
        <v>1.786</v>
      </c>
      <c r="K11" s="102">
        <f>IF($A11="","",[1]!thsiFinD("ths_adjustment_nv_fund",K$3,$A11))</f>
        <v>3.2629000000000001</v>
      </c>
      <c r="L11" s="102">
        <f>IF($A11="","",[1]!thsiFinD("ths_adjustment_nv_fund",L$3,$A11))</f>
        <v>2.3266</v>
      </c>
      <c r="M11" s="102">
        <f>IF($A11="","",[1]!thsiFinD("ths_adjustment_nv_fund",M$3,$A11))</f>
        <v>4.4541000000000004</v>
      </c>
      <c r="N11" s="102">
        <f>IF($A11="","",[1]!thsiFinD("ths_adjustment_nv_fund",N$3,$A11))</f>
        <v>1.3168080428</v>
      </c>
    </row>
    <row r="12" spans="1:14">
      <c r="A12" s="103">
        <v>46182</v>
      </c>
      <c r="B12" s="102">
        <f>IF($A12="","",[1]!thsiFinD("ths_adjustment_nv_fund",B$3,$A12))</f>
        <v>5.3029999999999999</v>
      </c>
      <c r="C12" s="102">
        <f>IF($A12="","",[1]!thsiFinD("ths_adjustment_nv_fund",C$3,$A12))</f>
        <v>3.2503000000000002</v>
      </c>
      <c r="D12" s="102">
        <f>IF($A12="","",[1]!thsiFinD("ths_adjustment_nv_fund",D$3,$A12))</f>
        <v>4.0077999999999996</v>
      </c>
      <c r="E12" s="102">
        <f>IF($A12="","",[1]!thsiFinD("ths_adjustment_nv_fund",E$3,$A12))</f>
        <v>2.5470999999999999</v>
      </c>
      <c r="F12" s="102">
        <f>IF($A12="","",[1]!thsiFinD("ths_adjustment_nv_fund",F$3,$A12))</f>
        <v>1.5409999999999999</v>
      </c>
      <c r="G12" s="102">
        <f>IF($A12="","",[1]!thsiFinD("ths_adjustment_nv_fund",G$3,$A12))</f>
        <v>1.6001000000000001</v>
      </c>
      <c r="H12" s="102">
        <f>IF($A12="","",[1]!thsiFinD("ths_adjustment_nv_fund",H$3,$A12))</f>
        <v>2.0379</v>
      </c>
      <c r="I12" s="102">
        <f>IF($A12="","",[1]!thsiFinD("ths_adjustment_nv_fund",I$3,$A12))</f>
        <v>1.9145000000000001</v>
      </c>
      <c r="J12" s="102">
        <f>IF($A12="","",[1]!thsiFinD("ths_adjustment_nv_fund",J$3,$A12))</f>
        <v>1.7847</v>
      </c>
      <c r="K12" s="102">
        <f>IF($A12="","",[1]!thsiFinD("ths_adjustment_nv_fund",K$3,$A12))</f>
        <v>3.2751999999999999</v>
      </c>
      <c r="L12" s="102">
        <f>IF($A12="","",[1]!thsiFinD("ths_adjustment_nv_fund",L$3,$A12))</f>
        <v>2.4996</v>
      </c>
      <c r="M12" s="102">
        <f>IF($A12="","",[1]!thsiFinD("ths_adjustment_nv_fund",M$3,$A12))</f>
        <v>4.6780999999999997</v>
      </c>
      <c r="N12" s="102">
        <f>IF($A12="","",[1]!thsiFinD("ths_adjustment_nv_fund",N$3,$A12))</f>
        <v>1.3168571598000001</v>
      </c>
    </row>
    <row r="13" spans="1:14">
      <c r="A13" s="103">
        <v>46183</v>
      </c>
      <c r="B13" s="102">
        <f>IF($A13="","",[1]!thsiFinD("ths_adjustment_nv_fund",B$3,$A13))</f>
        <v>5.1840000000000002</v>
      </c>
      <c r="C13" s="102">
        <f>IF($A13="","",[1]!thsiFinD("ths_adjustment_nv_fund",C$3,$A13))</f>
        <v>3.1173000000000002</v>
      </c>
      <c r="D13" s="102">
        <f>IF($A13="","",[1]!thsiFinD("ths_adjustment_nv_fund",D$3,$A13))</f>
        <v>3.867</v>
      </c>
      <c r="E13" s="102">
        <f>IF($A13="","",[1]!thsiFinD("ths_adjustment_nv_fund",E$3,$A13))</f>
        <v>2.5436000000000001</v>
      </c>
      <c r="F13" s="102">
        <f>IF($A13="","",[1]!thsiFinD("ths_adjustment_nv_fund",F$3,$A13))</f>
        <v>1.5274000000000001</v>
      </c>
      <c r="G13" s="102">
        <f>IF($A13="","",[1]!thsiFinD("ths_adjustment_nv_fund",G$3,$A13))</f>
        <v>1.5778000000000001</v>
      </c>
      <c r="H13" s="102">
        <f>IF($A13="","",[1]!thsiFinD("ths_adjustment_nv_fund",H$3,$A13))</f>
        <v>2.008</v>
      </c>
      <c r="I13" s="102">
        <f>IF($A13="","",[1]!thsiFinD("ths_adjustment_nv_fund",I$3,$A13))</f>
        <v>1.8953</v>
      </c>
      <c r="J13" s="102">
        <f>IF($A13="","",[1]!thsiFinD("ths_adjustment_nv_fund",J$3,$A13))</f>
        <v>1.7830999999999999</v>
      </c>
      <c r="K13" s="102">
        <f>IF($A13="","",[1]!thsiFinD("ths_adjustment_nv_fund",K$3,$A13))</f>
        <v>3.1730999999999998</v>
      </c>
      <c r="L13" s="102">
        <f>IF($A13="","",[1]!thsiFinD("ths_adjustment_nv_fund",L$3,$A13))</f>
        <v>2.5573000000000001</v>
      </c>
      <c r="M13" s="102">
        <f>IF($A13="","",[1]!thsiFinD("ths_adjustment_nv_fund",M$3,$A13))</f>
        <v>4.5232000000000001</v>
      </c>
      <c r="N13" s="102">
        <f>IF($A13="","",[1]!thsiFinD("ths_adjustment_nv_fund",N$3,$A13))</f>
        <v>1.3169025913000001</v>
      </c>
    </row>
    <row r="14" spans="1:14">
      <c r="A14" s="103">
        <v>46184</v>
      </c>
      <c r="B14" s="102">
        <f>IF($A14="","",[1]!thsiFinD("ths_adjustment_nv_fund",B$3,$A14))</f>
        <v>5.1680000000000001</v>
      </c>
      <c r="C14" s="102">
        <f>IF($A14="","",[1]!thsiFinD("ths_adjustment_nv_fund",C$3,$A14))</f>
        <v>3.125</v>
      </c>
      <c r="D14" s="102">
        <f>IF($A14="","",[1]!thsiFinD("ths_adjustment_nv_fund",D$3,$A14))</f>
        <v>3.8191000000000002</v>
      </c>
      <c r="E14" s="102">
        <f>IF($A14="","",[1]!thsiFinD("ths_adjustment_nv_fund",E$3,$A14))</f>
        <v>2.6280999999999999</v>
      </c>
      <c r="F14" s="102">
        <f>IF($A14="","",[1]!thsiFinD("ths_adjustment_nv_fund",F$3,$A14))</f>
        <v>1.5225</v>
      </c>
      <c r="G14" s="102">
        <f>IF($A14="","",[1]!thsiFinD("ths_adjustment_nv_fund",G$3,$A14))</f>
        <v>1.5741000000000001</v>
      </c>
      <c r="H14" s="102">
        <f>IF($A14="","",[1]!thsiFinD("ths_adjustment_nv_fund",H$3,$A14))</f>
        <v>2.0013000000000001</v>
      </c>
      <c r="I14" s="102">
        <f>IF($A14="","",[1]!thsiFinD("ths_adjustment_nv_fund",I$3,$A14))</f>
        <v>1.8852</v>
      </c>
      <c r="J14" s="102">
        <f>IF($A14="","",[1]!thsiFinD("ths_adjustment_nv_fund",J$3,$A14))</f>
        <v>1.782</v>
      </c>
      <c r="K14" s="102">
        <f>IF($A14="","",[1]!thsiFinD("ths_adjustment_nv_fund",K$3,$A14))</f>
        <v>3.1042000000000001</v>
      </c>
      <c r="L14" s="102">
        <f>IF($A14="","",[1]!thsiFinD("ths_adjustment_nv_fund",L$3,$A14))</f>
        <v>2.6857000000000002</v>
      </c>
      <c r="M14" s="102">
        <f>IF($A14="","",[1]!thsiFinD("ths_adjustment_nv_fund",M$3,$A14))</f>
        <v>4.452</v>
      </c>
      <c r="N14" s="102">
        <f>IF($A14="","",[1]!thsiFinD("ths_adjustment_nv_fund",N$3,$A14))</f>
        <v>1.3169519092999999</v>
      </c>
    </row>
    <row r="15" spans="1:14">
      <c r="A15" s="103">
        <v>46185</v>
      </c>
      <c r="B15" s="102">
        <f>IF($A15="","",[1]!thsiFinD("ths_adjustment_nv_fund",B$3,$A15))</f>
        <v>5.1470000000000002</v>
      </c>
      <c r="C15" s="102">
        <f>IF($A15="","",[1]!thsiFinD("ths_adjustment_nv_fund",C$3,$A15))</f>
        <v>3.0912000000000002</v>
      </c>
      <c r="D15" s="102">
        <f>IF($A15="","",[1]!thsiFinD("ths_adjustment_nv_fund",D$3,$A15))</f>
        <v>3.7906</v>
      </c>
      <c r="E15" s="102">
        <f>IF($A15="","",[1]!thsiFinD("ths_adjustment_nv_fund",E$3,$A15))</f>
        <v>2.6555</v>
      </c>
      <c r="F15" s="102">
        <f>IF($A15="","",[1]!thsiFinD("ths_adjustment_nv_fund",F$3,$A15))</f>
        <v>1.5447</v>
      </c>
      <c r="G15" s="102">
        <f>IF($A15="","",[1]!thsiFinD("ths_adjustment_nv_fund",G$3,$A15))</f>
        <v>1.5880000000000001</v>
      </c>
      <c r="H15" s="102">
        <f>IF($A15="","",[1]!thsiFinD("ths_adjustment_nv_fund",H$3,$A15))</f>
        <v>2.0091999999999999</v>
      </c>
      <c r="I15" s="102">
        <f>IF($A15="","",[1]!thsiFinD("ths_adjustment_nv_fund",I$3,$A15))</f>
        <v>1.91</v>
      </c>
      <c r="J15" s="102">
        <f>IF($A15="","",[1]!thsiFinD("ths_adjustment_nv_fund",J$3,$A15))</f>
        <v>1.7829999999999999</v>
      </c>
      <c r="K15" s="102">
        <f>IF($A15="","",[1]!thsiFinD("ths_adjustment_nv_fund",K$3,$A15))</f>
        <v>3.1448999999999998</v>
      </c>
      <c r="L15" s="102">
        <f>IF($A15="","",[1]!thsiFinD("ths_adjustment_nv_fund",L$3,$A15))</f>
        <v>2.6259999999999999</v>
      </c>
      <c r="M15" s="102">
        <f>IF($A15="","",[1]!thsiFinD("ths_adjustment_nv_fund",M$3,$A15))</f>
        <v>4.4024999999999999</v>
      </c>
      <c r="N15" s="102">
        <f>IF($A15="","",[1]!thsiFinD("ths_adjustment_nv_fund",N$3,$A15))</f>
        <v>1.3169952502</v>
      </c>
    </row>
    <row r="16" spans="1:14">
      <c r="A16" s="103">
        <v>46188</v>
      </c>
      <c r="B16" s="102">
        <f>IF($A16="","",[1]!thsiFinD("ths_adjustment_nv_fund",B$3,$A16))</f>
        <v>5.55</v>
      </c>
      <c r="C16" s="102">
        <f>IF($A16="","",[1]!thsiFinD("ths_adjustment_nv_fund",C$3,$A16))</f>
        <v>3.3567999999999998</v>
      </c>
      <c r="D16" s="102">
        <f>IF($A16="","",[1]!thsiFinD("ths_adjustment_nv_fund",D$3,$A16))</f>
        <v>4.0603999999999996</v>
      </c>
      <c r="E16" s="102">
        <f>IF($A16="","",[1]!thsiFinD("ths_adjustment_nv_fund",E$3,$A16))</f>
        <v>2.7900999999999998</v>
      </c>
      <c r="F16" s="102">
        <f>IF($A16="","",[1]!thsiFinD("ths_adjustment_nv_fund",F$3,$A16))</f>
        <v>1.5954999999999999</v>
      </c>
      <c r="G16" s="102">
        <f>IF($A16="","",[1]!thsiFinD("ths_adjustment_nv_fund",G$3,$A16))</f>
        <v>1.6476999999999999</v>
      </c>
      <c r="H16" s="102">
        <f>IF($A16="","",[1]!thsiFinD("ths_adjustment_nv_fund",H$3,$A16))</f>
        <v>2.0804</v>
      </c>
      <c r="I16" s="102">
        <f>IF($A16="","",[1]!thsiFinD("ths_adjustment_nv_fund",I$3,$A16))</f>
        <v>1.9591000000000001</v>
      </c>
      <c r="J16" s="102">
        <f>IF($A16="","",[1]!thsiFinD("ths_adjustment_nv_fund",J$3,$A16))</f>
        <v>1.7836000000000001</v>
      </c>
      <c r="K16" s="102">
        <f>IF($A16="","",[1]!thsiFinD("ths_adjustment_nv_fund",K$3,$A16))</f>
        <v>3.2471000000000001</v>
      </c>
      <c r="L16" s="102">
        <f>IF($A16="","",[1]!thsiFinD("ths_adjustment_nv_fund",L$3,$A16))</f>
        <v>2.7366000000000001</v>
      </c>
      <c r="M16" s="102">
        <f>IF($A16="","",[1]!thsiFinD("ths_adjustment_nv_fund",M$3,$A16))</f>
        <v>4.6576000000000004</v>
      </c>
      <c r="N16" s="102">
        <f>IF($A16="","",[1]!thsiFinD("ths_adjustment_nv_fund",N$3,$A16))</f>
        <v>1.3171341190999999</v>
      </c>
    </row>
    <row r="17" spans="1:14">
      <c r="A17" s="103">
        <v>46189</v>
      </c>
      <c r="B17" s="102">
        <f>IF($A17="","",[1]!thsiFinD("ths_adjustment_nv_fund",B$3,$A17))</f>
        <v>5.7850000000000001</v>
      </c>
      <c r="C17" s="102">
        <f>IF($A17="","",[1]!thsiFinD("ths_adjustment_nv_fund",C$3,$A17))</f>
        <v>3.4885999999999999</v>
      </c>
      <c r="D17" s="102">
        <f>IF($A17="","",[1]!thsiFinD("ths_adjustment_nv_fund",D$3,$A17))</f>
        <v>4.1742999999999997</v>
      </c>
      <c r="E17" s="102">
        <f>IF($A17="","",[1]!thsiFinD("ths_adjustment_nv_fund",E$3,$A17))</f>
        <v>2.7690000000000001</v>
      </c>
      <c r="F17" s="102">
        <f>IF($A17="","",[1]!thsiFinD("ths_adjustment_nv_fund",F$3,$A17))</f>
        <v>1.6109</v>
      </c>
      <c r="G17" s="102">
        <f>IF($A17="","",[1]!thsiFinD("ths_adjustment_nv_fund",G$3,$A17))</f>
        <v>1.6732</v>
      </c>
      <c r="H17" s="102">
        <f>IF($A17="","",[1]!thsiFinD("ths_adjustment_nv_fund",H$3,$A17))</f>
        <v>2.1151</v>
      </c>
      <c r="I17" s="102">
        <f>IF($A17="","",[1]!thsiFinD("ths_adjustment_nv_fund",I$3,$A17))</f>
        <v>1.9599</v>
      </c>
      <c r="J17" s="102">
        <f>IF($A17="","",[1]!thsiFinD("ths_adjustment_nv_fund",J$3,$A17))</f>
        <v>1.7851999999999999</v>
      </c>
      <c r="K17" s="102">
        <f>IF($A17="","",[1]!thsiFinD("ths_adjustment_nv_fund",K$3,$A17))</f>
        <v>3.2593999999999999</v>
      </c>
      <c r="L17" s="102">
        <f>IF($A17="","",[1]!thsiFinD("ths_adjustment_nv_fund",L$3,$A17))</f>
        <v>2.7553000000000001</v>
      </c>
      <c r="M17" s="102">
        <f>IF($A17="","",[1]!thsiFinD("ths_adjustment_nv_fund",M$3,$A17))</f>
        <v>4.7888999999999999</v>
      </c>
      <c r="N17" s="102">
        <f>IF($A17="","",[1]!thsiFinD("ths_adjustment_nv_fund",N$3,$A17))</f>
        <v>1.3171844073000001</v>
      </c>
    </row>
    <row r="18" spans="1:14">
      <c r="A18" s="103">
        <v>46190</v>
      </c>
      <c r="B18" s="102">
        <f>IF($A18="","",[1]!thsiFinD("ths_adjustment_nv_fund",B$3,$A18))</f>
        <v>5.9009999999999998</v>
      </c>
      <c r="C18" s="102">
        <f>IF($A18="","",[1]!thsiFinD("ths_adjustment_nv_fund",C$3,$A18))</f>
        <v>3.5251999999999999</v>
      </c>
      <c r="D18" s="102">
        <f>IF($A18="","",[1]!thsiFinD("ths_adjustment_nv_fund",D$3,$A18))</f>
        <v>4.2506000000000004</v>
      </c>
      <c r="E18" s="102">
        <f>IF($A18="","",[1]!thsiFinD("ths_adjustment_nv_fund",E$3,$A18))</f>
        <v>2.9683000000000002</v>
      </c>
      <c r="F18" s="102">
        <f>IF($A18="","",[1]!thsiFinD("ths_adjustment_nv_fund",F$3,$A18))</f>
        <v>1.6294999999999999</v>
      </c>
      <c r="G18" s="102">
        <f>IF($A18="","",[1]!thsiFinD("ths_adjustment_nv_fund",G$3,$A18))</f>
        <v>1.6872</v>
      </c>
      <c r="H18" s="102">
        <f>IF($A18="","",[1]!thsiFinD("ths_adjustment_nv_fund",H$3,$A18))</f>
        <v>2.121</v>
      </c>
      <c r="I18" s="102">
        <f>IF($A18="","",[1]!thsiFinD("ths_adjustment_nv_fund",I$3,$A18))</f>
        <v>1.9793000000000001</v>
      </c>
      <c r="J18" s="102">
        <f>IF($A18="","",[1]!thsiFinD("ths_adjustment_nv_fund",J$3,$A18))</f>
        <v>1.7864</v>
      </c>
      <c r="K18" s="102">
        <f>IF($A18="","",[1]!thsiFinD("ths_adjustment_nv_fund",K$3,$A18))</f>
        <v>3.2551000000000001</v>
      </c>
      <c r="L18" s="102">
        <f>IF($A18="","",[1]!thsiFinD("ths_adjustment_nv_fund",L$3,$A18))</f>
        <v>2.9470999999999998</v>
      </c>
      <c r="M18" s="102">
        <f>IF($A18="","",[1]!thsiFinD("ths_adjustment_nv_fund",M$3,$A18))</f>
        <v>4.8559000000000001</v>
      </c>
      <c r="N18" s="102">
        <f>IF($A18="","",[1]!thsiFinD("ths_adjustment_nv_fund",N$3,$A18))</f>
        <v>1.3172301530999999</v>
      </c>
    </row>
    <row r="19" spans="1:14">
      <c r="A19" s="103">
        <v>46191</v>
      </c>
      <c r="B19" s="102">
        <f>IF($A19="","",[1]!thsiFinD("ths_adjustment_nv_fund",B$3,$A19))</f>
        <v>6.0620000000000003</v>
      </c>
      <c r="C19" s="102">
        <f>IF($A19="","",[1]!thsiFinD("ths_adjustment_nv_fund",C$3,$A19))</f>
        <v>3.6402000000000001</v>
      </c>
      <c r="D19" s="102">
        <f>IF($A19="","",[1]!thsiFinD("ths_adjustment_nv_fund",D$3,$A19))</f>
        <v>4.3864000000000001</v>
      </c>
      <c r="E19" s="102">
        <f>IF($A19="","",[1]!thsiFinD("ths_adjustment_nv_fund",E$3,$A19))</f>
        <v>3.0303</v>
      </c>
      <c r="F19" s="102">
        <f>IF($A19="","",[1]!thsiFinD("ths_adjustment_nv_fund",F$3,$A19))</f>
        <v>1.6274999999999999</v>
      </c>
      <c r="G19" s="102">
        <f>IF($A19="","",[1]!thsiFinD("ths_adjustment_nv_fund",G$3,$A19))</f>
        <v>1.7014</v>
      </c>
      <c r="H19" s="102">
        <f>IF($A19="","",[1]!thsiFinD("ths_adjustment_nv_fund",H$3,$A19))</f>
        <v>2.1385999999999998</v>
      </c>
      <c r="I19" s="102">
        <f>IF($A19="","",[1]!thsiFinD("ths_adjustment_nv_fund",I$3,$A19))</f>
        <v>1.9903999999999999</v>
      </c>
      <c r="J19" s="102">
        <f>IF($A19="","",[1]!thsiFinD("ths_adjustment_nv_fund",J$3,$A19))</f>
        <v>1.7868999999999999</v>
      </c>
      <c r="K19" s="102">
        <f>IF($A19="","",[1]!thsiFinD("ths_adjustment_nv_fund",K$3,$A19))</f>
        <v>3.2441</v>
      </c>
      <c r="L19" s="102">
        <f>IF($A19="","",[1]!thsiFinD("ths_adjustment_nv_fund",L$3,$A19))</f>
        <v>2.9918</v>
      </c>
      <c r="M19" s="102">
        <f>IF($A19="","",[1]!thsiFinD("ths_adjustment_nv_fund",M$3,$A19))</f>
        <v>5.0274999999999999</v>
      </c>
      <c r="N19" s="102">
        <f>IF($A19="","",[1]!thsiFinD("ths_adjustment_nv_fund",N$3,$A19))</f>
        <v>1.3172784822000001</v>
      </c>
    </row>
    <row r="20" spans="1:14">
      <c r="A20" s="103">
        <v>46195</v>
      </c>
      <c r="B20" s="102">
        <f>IF($A20="","",[1]!thsiFinD("ths_adjustment_nv_fund",B$3,$A20))</f>
        <v>6.2590000000000003</v>
      </c>
      <c r="C20" s="102">
        <f>IF($A20="","",[1]!thsiFinD("ths_adjustment_nv_fund",C$3,$A20))</f>
        <v>3.7212000000000001</v>
      </c>
      <c r="D20" s="102">
        <f>IF($A20="","",[1]!thsiFinD("ths_adjustment_nv_fund",D$3,$A20))</f>
        <v>4.5077999999999996</v>
      </c>
      <c r="E20" s="102">
        <f>IF($A20="","",[1]!thsiFinD("ths_adjustment_nv_fund",E$3,$A20))</f>
        <v>3.0779000000000001</v>
      </c>
      <c r="F20" s="102">
        <f>IF($A20="","",[1]!thsiFinD("ths_adjustment_nv_fund",F$3,$A20))</f>
        <v>1.6669</v>
      </c>
      <c r="G20" s="102">
        <f>IF($A20="","",[1]!thsiFinD("ths_adjustment_nv_fund",G$3,$A20))</f>
        <v>1.7336</v>
      </c>
      <c r="H20" s="102">
        <f>IF($A20="","",[1]!thsiFinD("ths_adjustment_nv_fund",H$3,$A20))</f>
        <v>2.1396999999999999</v>
      </c>
      <c r="I20" s="102">
        <f>IF($A20="","",[1]!thsiFinD("ths_adjustment_nv_fund",I$3,$A20))</f>
        <v>2.0345</v>
      </c>
      <c r="J20" s="102">
        <f>IF($A20="","",[1]!thsiFinD("ths_adjustment_nv_fund",J$3,$A20))</f>
        <v>1.7870999999999999</v>
      </c>
      <c r="K20" s="102">
        <f>IF($A20="","",[1]!thsiFinD("ths_adjustment_nv_fund",K$3,$A20))</f>
        <v>3.1680000000000001</v>
      </c>
      <c r="L20" s="102">
        <f>IF($A20="","",[1]!thsiFinD("ths_adjustment_nv_fund",L$3,$A20))</f>
        <v>3.0754000000000001</v>
      </c>
      <c r="M20" s="102">
        <f>IF($A20="","",[1]!thsiFinD("ths_adjustment_nv_fund",M$3,$A20))</f>
        <v>5.1120999999999999</v>
      </c>
      <c r="N20" s="102">
        <f>IF($A20="","",[1]!thsiFinD("ths_adjustment_nv_fund",N$3,$A20))</f>
        <v>1.3174603815000001</v>
      </c>
    </row>
    <row r="21" spans="1:14">
      <c r="A21" s="103">
        <v>46196</v>
      </c>
      <c r="B21" s="102">
        <f>IF($A21="","",[1]!thsiFinD("ths_adjustment_nv_fund",B$3,$A21))</f>
        <v>5.9960000000000004</v>
      </c>
      <c r="C21" s="102">
        <f>IF($A21="","",[1]!thsiFinD("ths_adjustment_nv_fund",C$3,$A21))</f>
        <v>3.6162000000000001</v>
      </c>
      <c r="D21" s="102">
        <f>IF($A21="","",[1]!thsiFinD("ths_adjustment_nv_fund",D$3,$A21))</f>
        <v>4.4028</v>
      </c>
      <c r="E21" s="102">
        <f>IF($A21="","",[1]!thsiFinD("ths_adjustment_nv_fund",E$3,$A21))</f>
        <v>3.1004999999999998</v>
      </c>
      <c r="F21" s="102">
        <f>IF($A21="","",[1]!thsiFinD("ths_adjustment_nv_fund",F$3,$A21))</f>
        <v>1.6389</v>
      </c>
      <c r="G21" s="102">
        <f>IF($A21="","",[1]!thsiFinD("ths_adjustment_nv_fund",G$3,$A21))</f>
        <v>1.6997</v>
      </c>
      <c r="H21" s="102">
        <f>IF($A21="","",[1]!thsiFinD("ths_adjustment_nv_fund",H$3,$A21))</f>
        <v>2.1276000000000002</v>
      </c>
      <c r="I21" s="102">
        <f>IF($A21="","",[1]!thsiFinD("ths_adjustment_nv_fund",I$3,$A21))</f>
        <v>1.9837</v>
      </c>
      <c r="J21" s="102">
        <f>IF($A21="","",[1]!thsiFinD("ths_adjustment_nv_fund",J$3,$A21))</f>
        <v>1.7863</v>
      </c>
      <c r="K21" s="102">
        <f>IF($A21="","",[1]!thsiFinD("ths_adjustment_nv_fund",K$3,$A21))</f>
        <v>3.1160000000000001</v>
      </c>
      <c r="L21" s="102">
        <f>IF($A21="","",[1]!thsiFinD("ths_adjustment_nv_fund",L$3,$A21))</f>
        <v>3.0746000000000002</v>
      </c>
      <c r="M21" s="102">
        <f>IF($A21="","",[1]!thsiFinD("ths_adjustment_nv_fund",M$3,$A21))</f>
        <v>4.9664999999999999</v>
      </c>
      <c r="N21" s="102">
        <f>IF($A21="","",[1]!thsiFinD("ths_adjustment_nv_fund",N$3,$A21))</f>
        <v>1.3175125002000001</v>
      </c>
    </row>
    <row r="22" spans="1:14">
      <c r="A22" s="103">
        <v>46197</v>
      </c>
      <c r="B22" s="102">
        <f>IF($A22="","",[1]!thsiFinD("ths_adjustment_nv_fund",B$3,$A22))</f>
        <v>6.1130000000000004</v>
      </c>
      <c r="C22" s="102">
        <f>IF($A22="","",[1]!thsiFinD("ths_adjustment_nv_fund",C$3,$A22))</f>
        <v>3.7086999999999999</v>
      </c>
      <c r="D22" s="102">
        <f>IF($A22="","",[1]!thsiFinD("ths_adjustment_nv_fund",D$3,$A22))</f>
        <v>4.5109000000000004</v>
      </c>
      <c r="E22" s="102">
        <f>IF($A22="","",[1]!thsiFinD("ths_adjustment_nv_fund",E$3,$A22))</f>
        <v>3.3530000000000002</v>
      </c>
      <c r="F22" s="102">
        <f>IF($A22="","",[1]!thsiFinD("ths_adjustment_nv_fund",F$3,$A22))</f>
        <v>1.6618999999999999</v>
      </c>
      <c r="G22" s="102">
        <f>IF($A22="","",[1]!thsiFinD("ths_adjustment_nv_fund",G$3,$A22))</f>
        <v>1.7213000000000001</v>
      </c>
      <c r="H22" s="102">
        <f>IF($A22="","",[1]!thsiFinD("ths_adjustment_nv_fund",H$3,$A22))</f>
        <v>2.1312000000000002</v>
      </c>
      <c r="I22" s="102">
        <f>IF($A22="","",[1]!thsiFinD("ths_adjustment_nv_fund",I$3,$A22))</f>
        <v>1.9931000000000001</v>
      </c>
      <c r="J22" s="102">
        <f>IF($A22="","",[1]!thsiFinD("ths_adjustment_nv_fund",J$3,$A22))</f>
        <v>1.7862</v>
      </c>
      <c r="K22" s="102">
        <f>IF($A22="","",[1]!thsiFinD("ths_adjustment_nv_fund",K$3,$A22))</f>
        <v>3.0983999999999998</v>
      </c>
      <c r="L22" s="102">
        <f>IF($A22="","",[1]!thsiFinD("ths_adjustment_nv_fund",L$3,$A22))</f>
        <v>3.2309000000000001</v>
      </c>
      <c r="M22" s="102">
        <f>IF($A22="","",[1]!thsiFinD("ths_adjustment_nv_fund",M$3,$A22))</f>
        <v>5.0423</v>
      </c>
      <c r="N22" s="102">
        <f>IF($A22="","",[1]!thsiFinD("ths_adjustment_nv_fund",N$3,$A22))</f>
        <v>1.3175573088000001</v>
      </c>
    </row>
    <row r="23" spans="1:14">
      <c r="A23" s="103">
        <v>46198</v>
      </c>
      <c r="B23" s="102">
        <f>IF($A23="","",[1]!thsiFinD("ths_adjustment_nv_fund",B$3,$A23))</f>
        <v>6.3120000000000003</v>
      </c>
      <c r="C23" s="102">
        <f>IF($A23="","",[1]!thsiFinD("ths_adjustment_nv_fund",C$3,$A23))</f>
        <v>3.8424</v>
      </c>
      <c r="D23" s="102">
        <f>IF($A23="","",[1]!thsiFinD("ths_adjustment_nv_fund",D$3,$A23))</f>
        <v>4.6886000000000001</v>
      </c>
      <c r="E23" s="102">
        <f>IF($A23="","",[1]!thsiFinD("ths_adjustment_nv_fund",E$3,$A23))</f>
        <v>3.4601999999999999</v>
      </c>
      <c r="F23" s="102">
        <f>IF($A23="","",[1]!thsiFinD("ths_adjustment_nv_fund",F$3,$A23))</f>
        <v>1.6739999999999999</v>
      </c>
      <c r="G23" s="102">
        <f>IF($A23="","",[1]!thsiFinD("ths_adjustment_nv_fund",G$3,$A23))</f>
        <v>1.7283999999999999</v>
      </c>
      <c r="H23" s="102">
        <f>IF($A23="","",[1]!thsiFinD("ths_adjustment_nv_fund",H$3,$A23))</f>
        <v>2.1113</v>
      </c>
      <c r="I23" s="102">
        <f>IF($A23="","",[1]!thsiFinD("ths_adjustment_nv_fund",I$3,$A23))</f>
        <v>2.0205000000000002</v>
      </c>
      <c r="J23" s="102">
        <f>IF($A23="","",[1]!thsiFinD("ths_adjustment_nv_fund",J$3,$A23))</f>
        <v>1.7875000000000001</v>
      </c>
      <c r="K23" s="102">
        <f>IF($A23="","",[1]!thsiFinD("ths_adjustment_nv_fund",K$3,$A23))</f>
        <v>3.0308999999999999</v>
      </c>
      <c r="L23" s="102">
        <f>IF($A23="","",[1]!thsiFinD("ths_adjustment_nv_fund",L$3,$A23))</f>
        <v>3.3209</v>
      </c>
      <c r="M23" s="102">
        <f>IF($A23="","",[1]!thsiFinD("ths_adjustment_nv_fund",M$3,$A23))</f>
        <v>5.1944999999999997</v>
      </c>
      <c r="N23" s="102">
        <f>IF($A23="","",[1]!thsiFinD("ths_adjustment_nv_fund",N$3,$A23))</f>
        <v>1.3176050703</v>
      </c>
    </row>
    <row r="24" spans="1:14">
      <c r="A24" s="103">
        <v>46199</v>
      </c>
      <c r="B24" s="102">
        <f>IF($A24="","",[1]!thsiFinD("ths_adjustment_nv_fund",B$3,$A24))</f>
        <v>5.99</v>
      </c>
      <c r="C24" s="102">
        <f>IF($A24="","",[1]!thsiFinD("ths_adjustment_nv_fund",C$3,$A24))</f>
        <v>3.5971000000000002</v>
      </c>
      <c r="D24" s="102">
        <f>IF($A24="","",[1]!thsiFinD("ths_adjustment_nv_fund",D$3,$A24))</f>
        <v>4.4157999999999999</v>
      </c>
      <c r="E24" s="102">
        <f>IF($A24="","",[1]!thsiFinD("ths_adjustment_nv_fund",E$3,$A24))</f>
        <v>3.5710000000000002</v>
      </c>
      <c r="F24" s="102">
        <f>IF($A24="","",[1]!thsiFinD("ths_adjustment_nv_fund",F$3,$A24))</f>
        <v>1.6269</v>
      </c>
      <c r="G24" s="102">
        <f>IF($A24="","",[1]!thsiFinD("ths_adjustment_nv_fund",G$3,$A24))</f>
        <v>1.6812</v>
      </c>
      <c r="H24" s="102">
        <f>IF($A24="","",[1]!thsiFinD("ths_adjustment_nv_fund",H$3,$A24))</f>
        <v>2.0535000000000001</v>
      </c>
      <c r="I24" s="102">
        <f>IF($A24="","",[1]!thsiFinD("ths_adjustment_nv_fund",I$3,$A24))</f>
        <v>1.9618</v>
      </c>
      <c r="J24" s="102">
        <f>IF($A24="","",[1]!thsiFinD("ths_adjustment_nv_fund",J$3,$A24))</f>
        <v>1.788</v>
      </c>
      <c r="K24" s="102">
        <f>IF($A24="","",[1]!thsiFinD("ths_adjustment_nv_fund",K$3,$A24))</f>
        <v>3.0598000000000001</v>
      </c>
      <c r="L24" s="102">
        <f>IF($A24="","",[1]!thsiFinD("ths_adjustment_nv_fund",L$3,$A24))</f>
        <v>3.4331</v>
      </c>
      <c r="M24" s="102">
        <f>IF($A24="","",[1]!thsiFinD("ths_adjustment_nv_fund",M$3,$A24))</f>
        <v>4.8685</v>
      </c>
      <c r="N24" s="102">
        <f>IF($A24="","",[1]!thsiFinD("ths_adjustment_nv_fund",N$3,$A24))</f>
        <v>1.3176496975</v>
      </c>
    </row>
    <row r="25" spans="1:14">
      <c r="A25" s="103">
        <v>46202</v>
      </c>
      <c r="B25" s="102">
        <f>IF($A25="","",[1]!thsiFinD("ths_adjustment_nv_fund",B$3,$A25))</f>
        <v>5.7949999999999999</v>
      </c>
      <c r="C25" s="102">
        <f>IF($A25="","",[1]!thsiFinD("ths_adjustment_nv_fund",C$3,$A25))</f>
        <v>3.4931000000000001</v>
      </c>
      <c r="D25" s="102">
        <f>IF($A25="","",[1]!thsiFinD("ths_adjustment_nv_fund",D$3,$A25))</f>
        <v>4.3342999999999998</v>
      </c>
      <c r="E25" s="102">
        <f>IF($A25="","",[1]!thsiFinD("ths_adjustment_nv_fund",E$3,$A25))</f>
        <v>3.8559000000000001</v>
      </c>
      <c r="F25" s="102">
        <f>IF($A25="","",[1]!thsiFinD("ths_adjustment_nv_fund",F$3,$A25))</f>
        <v>1.6415</v>
      </c>
      <c r="G25" s="102">
        <f>IF($A25="","",[1]!thsiFinD("ths_adjustment_nv_fund",G$3,$A25))</f>
        <v>1.6827000000000001</v>
      </c>
      <c r="H25" s="102">
        <f>IF($A25="","",[1]!thsiFinD("ths_adjustment_nv_fund",H$3,$A25))</f>
        <v>2.0396999999999998</v>
      </c>
      <c r="I25" s="102">
        <f>IF($A25="","",[1]!thsiFinD("ths_adjustment_nv_fund",I$3,$A25))</f>
        <v>1.9811000000000001</v>
      </c>
      <c r="J25" s="102">
        <f>IF($A25="","",[1]!thsiFinD("ths_adjustment_nv_fund",J$3,$A25))</f>
        <v>1.7897000000000001</v>
      </c>
      <c r="K25" s="102">
        <f>IF($A25="","",[1]!thsiFinD("ths_adjustment_nv_fund",K$3,$A25))</f>
        <v>3.0722999999999998</v>
      </c>
      <c r="L25" s="102">
        <f>IF($A25="","",[1]!thsiFinD("ths_adjustment_nv_fund",L$3,$A25))</f>
        <v>3.7000999999999999</v>
      </c>
      <c r="M25" s="102">
        <f>IF($A25="","",[1]!thsiFinD("ths_adjustment_nv_fund",M$3,$A25))</f>
        <v>4.7591999999999999</v>
      </c>
      <c r="N25" s="102">
        <f>IF($A25="","",[1]!thsiFinD("ths_adjustment_nv_fund",N$3,$A25))</f>
        <v>1.3177907965</v>
      </c>
    </row>
    <row r="26" spans="1:14">
      <c r="A26" s="103">
        <v>46203</v>
      </c>
      <c r="B26" s="102">
        <f>IF($A26="","",[1]!thsiFinD("ths_adjustment_nv_fund",B$3,$A26))</f>
        <v>6.024</v>
      </c>
      <c r="C26" s="102">
        <f>IF($A26="","",[1]!thsiFinD("ths_adjustment_nv_fund",C$3,$A26))</f>
        <v>3.6819999999999999</v>
      </c>
      <c r="D26" s="102">
        <f>IF($A26="","",[1]!thsiFinD("ths_adjustment_nv_fund",D$3,$A26))</f>
        <v>4.5731000000000002</v>
      </c>
      <c r="E26" s="102">
        <f>IF($A26="","",[1]!thsiFinD("ths_adjustment_nv_fund",E$3,$A26))</f>
        <v>4.0259</v>
      </c>
      <c r="F26" s="102">
        <f>IF($A26="","",[1]!thsiFinD("ths_adjustment_nv_fund",F$3,$A26))</f>
        <v>1.6697</v>
      </c>
      <c r="G26" s="102">
        <f>IF($A26="","",[1]!thsiFinD("ths_adjustment_nv_fund",G$3,$A26))</f>
        <v>1.7173</v>
      </c>
      <c r="H26" s="102">
        <f>IF($A26="","",[1]!thsiFinD("ths_adjustment_nv_fund",H$3,$A26))</f>
        <v>2.1004</v>
      </c>
      <c r="I26" s="102">
        <f>IF($A26="","",[1]!thsiFinD("ths_adjustment_nv_fund",I$3,$A26))</f>
        <v>2.0032000000000001</v>
      </c>
      <c r="J26" s="102">
        <f>IF($A26="","",[1]!thsiFinD("ths_adjustment_nv_fund",J$3,$A26))</f>
        <v>1.7882</v>
      </c>
      <c r="K26" s="102">
        <f>IF($A26="","",[1]!thsiFinD("ths_adjustment_nv_fund",K$3,$A26))</f>
        <v>3.0428999999999999</v>
      </c>
      <c r="L26" s="102">
        <f>IF($A26="","",[1]!thsiFinD("ths_adjustment_nv_fund",L$3,$A26))</f>
        <v>3.8033999999999999</v>
      </c>
      <c r="M26" s="102">
        <f>IF($A26="","",[1]!thsiFinD("ths_adjustment_nv_fund",M$3,$A26))</f>
        <v>4.9737</v>
      </c>
      <c r="N26" s="102">
        <f>IF($A26="","",[1]!thsiFinD("ths_adjustment_nv_fund",N$3,$A26))</f>
        <v>1.3178317665999999</v>
      </c>
    </row>
    <row r="27" spans="1:14">
      <c r="A27" s="103">
        <v>46204</v>
      </c>
      <c r="B27" s="102">
        <f>IF($A27="","",[1]!thsiFinD("ths_adjustment_nv_fund",B$3,$A27))</f>
        <v>5.7770000000000001</v>
      </c>
      <c r="C27" s="102">
        <f>IF($A27="","",[1]!thsiFinD("ths_adjustment_nv_fund",C$3,$A27))</f>
        <v>3.4897</v>
      </c>
      <c r="D27" s="102">
        <f>IF($A27="","",[1]!thsiFinD("ths_adjustment_nv_fund",D$3,$A27))</f>
        <v>4.3589000000000002</v>
      </c>
      <c r="E27" s="102">
        <f>IF($A27="","",[1]!thsiFinD("ths_adjustment_nv_fund",E$3,$A27))</f>
        <v>3.9714999999999998</v>
      </c>
      <c r="F27" s="102">
        <f>IF($A27="","",[1]!thsiFinD("ths_adjustment_nv_fund",F$3,$A27))</f>
        <v>1.6754</v>
      </c>
      <c r="G27" s="102">
        <f>IF($A27="","",[1]!thsiFinD("ths_adjustment_nv_fund",G$3,$A27))</f>
        <v>1.7427999999999999</v>
      </c>
      <c r="H27" s="102">
        <f>IF($A27="","",[1]!thsiFinD("ths_adjustment_nv_fund",H$3,$A27))</f>
        <v>2.1280000000000001</v>
      </c>
      <c r="I27" s="102">
        <f>IF($A27="","",[1]!thsiFinD("ths_adjustment_nv_fund",I$3,$A27))</f>
        <v>1.9953000000000001</v>
      </c>
      <c r="J27" s="102">
        <f>IF($A27="","",[1]!thsiFinD("ths_adjustment_nv_fund",J$3,$A27))</f>
        <v>1.7865</v>
      </c>
      <c r="K27" s="102">
        <f>IF($A27="","",[1]!thsiFinD("ths_adjustment_nv_fund",K$3,$A27))</f>
        <v>3.0102000000000002</v>
      </c>
      <c r="L27" s="102">
        <f>IF($A27="","",[1]!thsiFinD("ths_adjustment_nv_fund",L$3,$A27))</f>
        <v>3.8296000000000001</v>
      </c>
      <c r="M27" s="102">
        <f>IF($A27="","",[1]!thsiFinD("ths_adjustment_nv_fund",M$3,$A27))</f>
        <v>4.7699999999999996</v>
      </c>
      <c r="N27" s="102">
        <f>IF($A27="","",[1]!thsiFinD("ths_adjustment_nv_fund",N$3,$A27))</f>
        <v>1.3178766124000001</v>
      </c>
    </row>
    <row r="28" spans="1:14">
      <c r="A28" s="103">
        <v>46205</v>
      </c>
      <c r="B28" s="102">
        <f>IF($A28="","",[1]!thsiFinD("ths_adjustment_nv_fund",B$3,$A28))</f>
        <v>5.3630000000000004</v>
      </c>
      <c r="C28" s="102">
        <f>IF($A28="","",[1]!thsiFinD("ths_adjustment_nv_fund",C$3,$A28))</f>
        <v>3.149</v>
      </c>
      <c r="D28" s="102">
        <f>IF($A28="","",[1]!thsiFinD("ths_adjustment_nv_fund",D$3,$A28))</f>
        <v>3.9685999999999999</v>
      </c>
      <c r="E28" s="102">
        <f>IF($A28="","",[1]!thsiFinD("ths_adjustment_nv_fund",E$3,$A28))</f>
        <v>3.5630000000000002</v>
      </c>
      <c r="F28" s="102">
        <f>IF($A28="","",[1]!thsiFinD("ths_adjustment_nv_fund",F$3,$A28))</f>
        <v>1.6240000000000001</v>
      </c>
      <c r="G28" s="102">
        <f>IF($A28="","",[1]!thsiFinD("ths_adjustment_nv_fund",G$3,$A28))</f>
        <v>1.7058</v>
      </c>
      <c r="H28" s="102">
        <f>IF($A28="","",[1]!thsiFinD("ths_adjustment_nv_fund",H$3,$A28))</f>
        <v>2.0951</v>
      </c>
      <c r="I28" s="102">
        <f>IF($A28="","",[1]!thsiFinD("ths_adjustment_nv_fund",I$3,$A28))</f>
        <v>1.9340999999999999</v>
      </c>
      <c r="J28" s="102">
        <f>IF($A28="","",[1]!thsiFinD("ths_adjustment_nv_fund",J$3,$A28))</f>
        <v>1.7867</v>
      </c>
      <c r="K28" s="102">
        <f>IF($A28="","",[1]!thsiFinD("ths_adjustment_nv_fund",K$3,$A28))</f>
        <v>3.0728</v>
      </c>
      <c r="L28" s="102">
        <f>IF($A28="","",[1]!thsiFinD("ths_adjustment_nv_fund",L$3,$A28))</f>
        <v>3.4958999999999998</v>
      </c>
      <c r="M28" s="102">
        <f>IF($A28="","",[1]!thsiFinD("ths_adjustment_nv_fund",M$3,$A28))</f>
        <v>4.4048999999999996</v>
      </c>
      <c r="N28" s="102">
        <f>IF($A28="","",[1]!thsiFinD("ths_adjustment_nv_fund",N$3,$A28))</f>
        <v>1.3179214992999999</v>
      </c>
    </row>
    <row r="29" spans="1:14">
      <c r="A29" s="103">
        <v>46206</v>
      </c>
      <c r="B29" s="102">
        <f>IF($A29="","",[1]!thsiFinD("ths_adjustment_nv_fund",B$3,$A29))</f>
        <v>5.4050000000000002</v>
      </c>
      <c r="C29" s="102">
        <f>IF($A29="","",[1]!thsiFinD("ths_adjustment_nv_fund",C$3,$A29))</f>
        <v>3.1377000000000002</v>
      </c>
      <c r="D29" s="102">
        <f>IF($A29="","",[1]!thsiFinD("ths_adjustment_nv_fund",D$3,$A29))</f>
        <v>3.9687999999999999</v>
      </c>
      <c r="E29" s="102">
        <f>IF($A29="","",[1]!thsiFinD("ths_adjustment_nv_fund",E$3,$A29))</f>
        <v>3.4994999999999998</v>
      </c>
      <c r="F29" s="102">
        <f>IF($A29="","",[1]!thsiFinD("ths_adjustment_nv_fund",F$3,$A29))</f>
        <v>1.6383000000000001</v>
      </c>
      <c r="G29" s="102">
        <f>IF($A29="","",[1]!thsiFinD("ths_adjustment_nv_fund",G$3,$A29))</f>
        <v>1.7109000000000001</v>
      </c>
      <c r="H29" s="102">
        <f>IF($A29="","",[1]!thsiFinD("ths_adjustment_nv_fund",H$3,$A29))</f>
        <v>2.1027999999999998</v>
      </c>
      <c r="I29" s="102">
        <f>IF($A29="","",[1]!thsiFinD("ths_adjustment_nv_fund",I$3,$A29))</f>
        <v>1.9475</v>
      </c>
      <c r="J29" s="102">
        <f>IF($A29="","",[1]!thsiFinD("ths_adjustment_nv_fund",J$3,$A29))</f>
        <v>1.7863</v>
      </c>
      <c r="K29" s="102">
        <f>IF($A29="","",[1]!thsiFinD("ths_adjustment_nv_fund",K$3,$A29))</f>
        <v>3.1547000000000001</v>
      </c>
      <c r="L29" s="102">
        <f>IF($A29="","",[1]!thsiFinD("ths_adjustment_nv_fund",L$3,$A29))</f>
        <v>3.3914</v>
      </c>
      <c r="M29" s="102">
        <f>IF($A29="","",[1]!thsiFinD("ths_adjustment_nv_fund",M$3,$A29))</f>
        <v>4.4032999999999998</v>
      </c>
      <c r="N29" s="102">
        <f>IF($A29="","",[1]!thsiFinD("ths_adjustment_nv_fund",N$3,$A29))</f>
        <v>1.3179684832</v>
      </c>
    </row>
    <row r="30" spans="1:14">
      <c r="A30" s="103">
        <v>46209</v>
      </c>
      <c r="B30" s="102">
        <f>IF($A30="","",[1]!thsiFinD("ths_adjustment_nv_fund",B$3,$A30))</f>
        <v>5.234</v>
      </c>
      <c r="C30" s="102">
        <f>IF($A30="","",[1]!thsiFinD("ths_adjustment_nv_fund",C$3,$A30))</f>
        <v>3.0129000000000001</v>
      </c>
      <c r="D30" s="102">
        <f>IF($A30="","",[1]!thsiFinD("ths_adjustment_nv_fund",D$3,$A30))</f>
        <v>3.8572000000000002</v>
      </c>
      <c r="E30" s="102">
        <f>IF($A30="","",[1]!thsiFinD("ths_adjustment_nv_fund",E$3,$A30))</f>
        <v>3.5333999999999999</v>
      </c>
      <c r="F30" s="102">
        <f>IF($A30="","",[1]!thsiFinD("ths_adjustment_nv_fund",F$3,$A30))</f>
        <v>1.6289</v>
      </c>
      <c r="G30" s="102">
        <f>IF($A30="","",[1]!thsiFinD("ths_adjustment_nv_fund",G$3,$A30))</f>
        <v>1.6875</v>
      </c>
      <c r="H30" s="102">
        <f>IF($A30="","",[1]!thsiFinD("ths_adjustment_nv_fund",H$3,$A30))</f>
        <v>2.0773000000000001</v>
      </c>
      <c r="I30" s="102">
        <f>IF($A30="","",[1]!thsiFinD("ths_adjustment_nv_fund",I$3,$A30))</f>
        <v>1.9455</v>
      </c>
      <c r="J30" s="102">
        <f>IF($A30="","",[1]!thsiFinD("ths_adjustment_nv_fund",J$3,$A30))</f>
        <v>1.7876000000000001</v>
      </c>
      <c r="K30" s="102">
        <f>IF($A30="","",[1]!thsiFinD("ths_adjustment_nv_fund",K$3,$A30))</f>
        <v>3.145</v>
      </c>
      <c r="L30" s="102">
        <f>IF($A30="","",[1]!thsiFinD("ths_adjustment_nv_fund",L$3,$A30))</f>
        <v>3.3597000000000001</v>
      </c>
      <c r="M30" s="102">
        <f>IF($A30="","",[1]!thsiFinD("ths_adjustment_nv_fund",M$3,$A30))</f>
        <v>4.2538999999999998</v>
      </c>
      <c r="N30" s="102">
        <f>IF($A30="","",[1]!thsiFinD("ths_adjustment_nv_fund",N$3,$A30))</f>
        <v>1.3181064792999999</v>
      </c>
    </row>
    <row r="31" spans="1:14">
      <c r="A31" s="103">
        <v>46210</v>
      </c>
      <c r="B31" s="102">
        <f>IF($A31="","",[1]!thsiFinD("ths_adjustment_nv_fund",B$3,$A31))</f>
        <v>5.26</v>
      </c>
      <c r="C31" s="102">
        <f>IF($A31="","",[1]!thsiFinD("ths_adjustment_nv_fund",C$3,$A31))</f>
        <v>3.0265</v>
      </c>
      <c r="D31" s="102">
        <f>IF($A31="","",[1]!thsiFinD("ths_adjustment_nv_fund",D$3,$A31))</f>
        <v>3.8613</v>
      </c>
      <c r="E31" s="102">
        <f>IF($A31="","",[1]!thsiFinD("ths_adjustment_nv_fund",E$3,$A31))</f>
        <v>3.5808</v>
      </c>
      <c r="F31" s="102">
        <f>IF($A31="","",[1]!thsiFinD("ths_adjustment_nv_fund",F$3,$A31))</f>
        <v>1.6016999999999999</v>
      </c>
      <c r="G31" s="102">
        <f>IF($A31="","",[1]!thsiFinD("ths_adjustment_nv_fund",G$3,$A31))</f>
        <v>1.6537999999999999</v>
      </c>
      <c r="H31" s="102">
        <f>IF($A31="","",[1]!thsiFinD("ths_adjustment_nv_fund",H$3,$A31))</f>
        <v>2.0247000000000002</v>
      </c>
      <c r="I31" s="102">
        <f>IF($A31="","",[1]!thsiFinD("ths_adjustment_nv_fund",I$3,$A31))</f>
        <v>1.9216</v>
      </c>
      <c r="J31" s="102">
        <f>IF($A31="","",[1]!thsiFinD("ths_adjustment_nv_fund",J$3,$A31))</f>
        <v>1.7878000000000001</v>
      </c>
      <c r="K31" s="102">
        <f>IF($A31="","",[1]!thsiFinD("ths_adjustment_nv_fund",K$3,$A31))</f>
        <v>3.1265000000000001</v>
      </c>
      <c r="L31" s="102">
        <f>IF($A31="","",[1]!thsiFinD("ths_adjustment_nv_fund",L$3,$A31))</f>
        <v>3.4097</v>
      </c>
      <c r="M31" s="102">
        <f>IF($A31="","",[1]!thsiFinD("ths_adjustment_nv_fund",M$3,$A31))</f>
        <v>4.2548000000000004</v>
      </c>
      <c r="N31" s="102">
        <f>IF($A31="","",[1]!thsiFinD("ths_adjustment_nv_fund",N$3,$A31))</f>
        <v>1.3181508468000001</v>
      </c>
    </row>
    <row r="32" spans="1:14">
      <c r="A32" s="103">
        <v>46211</v>
      </c>
      <c r="B32" s="102">
        <f>IF($A32="","",[1]!thsiFinD("ths_adjustment_nv_fund",B$3,$A32))</f>
        <v>5.1440000000000001</v>
      </c>
      <c r="C32" s="102">
        <f>IF($A32="","",[1]!thsiFinD("ths_adjustment_nv_fund",C$3,$A32))</f>
        <v>2.9929999999999999</v>
      </c>
      <c r="D32" s="102">
        <f>IF($A32="","",[1]!thsiFinD("ths_adjustment_nv_fund",D$3,$A32))</f>
        <v>3.8597000000000001</v>
      </c>
      <c r="E32" s="102">
        <f>IF($A32="","",[1]!thsiFinD("ths_adjustment_nv_fund",E$3,$A32))</f>
        <v>3.7338</v>
      </c>
      <c r="F32" s="102">
        <f>IF($A32="","",[1]!thsiFinD("ths_adjustment_nv_fund",F$3,$A32))</f>
        <v>1.5797000000000001</v>
      </c>
      <c r="G32" s="102">
        <f>IF($A32="","",[1]!thsiFinD("ths_adjustment_nv_fund",G$3,$A32))</f>
        <v>1.6147</v>
      </c>
      <c r="H32" s="102">
        <f>IF($A32="","",[1]!thsiFinD("ths_adjustment_nv_fund",H$3,$A32))</f>
        <v>1.9785999999999999</v>
      </c>
      <c r="I32" s="102">
        <f>IF($A32="","",[1]!thsiFinD("ths_adjustment_nv_fund",I$3,$A32))</f>
        <v>1.9080999999999999</v>
      </c>
      <c r="J32" s="102">
        <f>IF($A32="","",[1]!thsiFinD("ths_adjustment_nv_fund",J$3,$A32))</f>
        <v>1.7887999999999999</v>
      </c>
      <c r="K32" s="102">
        <f>IF($A32="","",[1]!thsiFinD("ths_adjustment_nv_fund",K$3,$A32))</f>
        <v>3.1217999999999999</v>
      </c>
      <c r="L32" s="102">
        <f>IF($A32="","",[1]!thsiFinD("ths_adjustment_nv_fund",L$3,$A32))</f>
        <v>3.4561000000000002</v>
      </c>
      <c r="M32" s="102">
        <f>IF($A32="","",[1]!thsiFinD("ths_adjustment_nv_fund",M$3,$A32))</f>
        <v>4.2332999999999998</v>
      </c>
      <c r="N32" s="102">
        <f>IF($A32="","",[1]!thsiFinD("ths_adjustment_nv_fund",N$3,$A32))</f>
        <v>1.3181960462</v>
      </c>
    </row>
    <row r="33" spans="1:14">
      <c r="A33" s="103">
        <v>46212</v>
      </c>
      <c r="B33" s="102">
        <f>IF($A33="","",[1]!thsiFinD("ths_adjustment_nv_fund",B$3,$A33))</f>
        <v>5.4260000000000002</v>
      </c>
      <c r="C33" s="102">
        <f>IF($A33="","",[1]!thsiFinD("ths_adjustment_nv_fund",C$3,$A33))</f>
        <v>3.2141999999999999</v>
      </c>
      <c r="D33" s="102">
        <f>IF($A33="","",[1]!thsiFinD("ths_adjustment_nv_fund",D$3,$A33))</f>
        <v>4.0995999999999997</v>
      </c>
      <c r="E33" s="102">
        <f>IF($A33="","",[1]!thsiFinD("ths_adjustment_nv_fund",E$3,$A33))</f>
        <v>4.0079000000000002</v>
      </c>
      <c r="F33" s="102">
        <f>IF($A33="","",[1]!thsiFinD("ths_adjustment_nv_fund",F$3,$A33))</f>
        <v>1.6208</v>
      </c>
      <c r="G33" s="102">
        <f>IF($A33="","",[1]!thsiFinD("ths_adjustment_nv_fund",G$3,$A33))</f>
        <v>1.6453</v>
      </c>
      <c r="H33" s="102">
        <f>IF($A33="","",[1]!thsiFinD("ths_adjustment_nv_fund",H$3,$A33))</f>
        <v>2.0093000000000001</v>
      </c>
      <c r="I33" s="102">
        <f>IF($A33="","",[1]!thsiFinD("ths_adjustment_nv_fund",I$3,$A33))</f>
        <v>1.9578</v>
      </c>
      <c r="J33" s="102">
        <f>IF($A33="","",[1]!thsiFinD("ths_adjustment_nv_fund",J$3,$A33))</f>
        <v>1.7889999999999999</v>
      </c>
      <c r="K33" s="102">
        <f>IF($A33="","",[1]!thsiFinD("ths_adjustment_nv_fund",K$3,$A33))</f>
        <v>3.1112000000000002</v>
      </c>
      <c r="L33" s="102">
        <f>IF($A33="","",[1]!thsiFinD("ths_adjustment_nv_fund",L$3,$A33))</f>
        <v>3.7847</v>
      </c>
      <c r="M33" s="102">
        <f>IF($A33="","",[1]!thsiFinD("ths_adjustment_nv_fund",M$3,$A33))</f>
        <v>4.4805999999999999</v>
      </c>
      <c r="N33" s="102">
        <f>IF($A33="","",[1]!thsiFinD("ths_adjustment_nv_fund",N$3,$A33))</f>
        <v>1.3182393620999999</v>
      </c>
    </row>
    <row r="34" spans="1:14">
      <c r="A34" s="103">
        <v>46213</v>
      </c>
      <c r="B34" s="102">
        <f>IF($A34="","",[1]!thsiFinD("ths_adjustment_nv_fund",B$3,$A34))</f>
        <v>5.1680000000000001</v>
      </c>
      <c r="C34" s="102">
        <f>IF($A34="","",[1]!thsiFinD("ths_adjustment_nv_fund",C$3,$A34))</f>
        <v>3.0699000000000001</v>
      </c>
      <c r="D34" s="102">
        <f>IF($A34="","",[1]!thsiFinD("ths_adjustment_nv_fund",D$3,$A34))</f>
        <v>3.9205999999999999</v>
      </c>
      <c r="E34" s="102">
        <f>IF($A34="","",[1]!thsiFinD("ths_adjustment_nv_fund",E$3,$A34))</f>
        <v>3.7732000000000001</v>
      </c>
      <c r="F34" s="102">
        <f>IF($A34="","",[1]!thsiFinD("ths_adjustment_nv_fund",F$3,$A34))</f>
        <v>1.5962000000000001</v>
      </c>
      <c r="G34" s="102">
        <f>IF($A34="","",[1]!thsiFinD("ths_adjustment_nv_fund",G$3,$A34))</f>
        <v>1.6301000000000001</v>
      </c>
      <c r="H34" s="102">
        <f>IF($A34="","",[1]!thsiFinD("ths_adjustment_nv_fund",H$3,$A34))</f>
        <v>2.0015000000000001</v>
      </c>
      <c r="I34" s="102">
        <f>IF($A34="","",[1]!thsiFinD("ths_adjustment_nv_fund",I$3,$A34))</f>
        <v>1.917</v>
      </c>
      <c r="J34" s="102">
        <f>IF($A34="","",[1]!thsiFinD("ths_adjustment_nv_fund",J$3,$A34))</f>
        <v>1.7891999999999999</v>
      </c>
      <c r="K34" s="102">
        <f>IF($A34="","",[1]!thsiFinD("ths_adjustment_nv_fund",K$3,$A34))</f>
        <v>3.1082000000000001</v>
      </c>
      <c r="L34" s="102">
        <f>IF($A34="","",[1]!thsiFinD("ths_adjustment_nv_fund",L$3,$A34))</f>
        <v>3.5526</v>
      </c>
      <c r="M34" s="102">
        <f>IF($A34="","",[1]!thsiFinD("ths_adjustment_nv_fund",M$3,$A34))</f>
        <v>4.3510999999999997</v>
      </c>
      <c r="N34" s="102">
        <f>IF($A34="","",[1]!thsiFinD("ths_adjustment_nv_fund",N$3,$A34))</f>
        <v>1.3182847491</v>
      </c>
    </row>
    <row r="35" spans="1:14">
      <c r="A35" s="103">
        <v>46216</v>
      </c>
      <c r="B35" s="102">
        <f>IF($A35="","",[1]!thsiFinD("ths_adjustment_nv_fund",B$3,$A35))</f>
        <v>4.9359999999999999</v>
      </c>
      <c r="C35" s="102">
        <f>IF($A35="","",[1]!thsiFinD("ths_adjustment_nv_fund",C$3,$A35))</f>
        <v>2.9287000000000001</v>
      </c>
      <c r="D35" s="102">
        <f>IF($A35="","",[1]!thsiFinD("ths_adjustment_nv_fund",D$3,$A35))</f>
        <v>3.7904</v>
      </c>
      <c r="E35" s="102">
        <f>IF($A35="","",[1]!thsiFinD("ths_adjustment_nv_fund",E$3,$A35))</f>
        <v>3.6587000000000001</v>
      </c>
      <c r="F35" s="102">
        <f>IF($A35="","",[1]!thsiFinD("ths_adjustment_nv_fund",F$3,$A35))</f>
        <v>1.5275000000000001</v>
      </c>
      <c r="G35" s="102">
        <f>IF($A35="","",[1]!thsiFinD("ths_adjustment_nv_fund",G$3,$A35))</f>
        <v>1.5486</v>
      </c>
      <c r="H35" s="102">
        <f>IF($A35="","",[1]!thsiFinD("ths_adjustment_nv_fund",H$3,$A35))</f>
        <v>1.8946000000000001</v>
      </c>
      <c r="I35" s="102">
        <f>IF($A35="","",[1]!thsiFinD("ths_adjustment_nv_fund",I$3,$A35))</f>
        <v>1.869</v>
      </c>
      <c r="J35" s="102">
        <f>IF($A35="","",[1]!thsiFinD("ths_adjustment_nv_fund",J$3,$A35))</f>
        <v>1.7887</v>
      </c>
      <c r="K35" s="102">
        <f>IF($A35="","",[1]!thsiFinD("ths_adjustment_nv_fund",K$3,$A35))</f>
        <v>3.0707</v>
      </c>
      <c r="L35" s="102">
        <f>IF($A35="","",[1]!thsiFinD("ths_adjustment_nv_fund",L$3,$A35))</f>
        <v>3.3969</v>
      </c>
      <c r="M35" s="102">
        <f>IF($A35="","",[1]!thsiFinD("ths_adjustment_nv_fund",M$3,$A35))</f>
        <v>4.1528</v>
      </c>
      <c r="N35" s="102">
        <f>IF($A35="","",[1]!thsiFinD("ths_adjustment_nv_fund",N$3,$A35))</f>
        <v>1.3184211698999999</v>
      </c>
    </row>
    <row r="36" spans="1:14">
      <c r="A36" s="103">
        <v>46217</v>
      </c>
      <c r="B36" s="102">
        <f>IF($A36="","",[1]!thsiFinD("ths_adjustment_nv_fund",B$3,$A36))</f>
        <v>5.3049999999999997</v>
      </c>
      <c r="C36" s="102">
        <f>IF($A36="","",[1]!thsiFinD("ths_adjustment_nv_fund",C$3,$A36))</f>
        <v>3.1547999999999998</v>
      </c>
      <c r="D36" s="102">
        <f>IF($A36="","",[1]!thsiFinD("ths_adjustment_nv_fund",D$3,$A36))</f>
        <v>3.9815</v>
      </c>
      <c r="E36" s="102">
        <f>IF($A36="","",[1]!thsiFinD("ths_adjustment_nv_fund",E$3,$A36))</f>
        <v>3.6471</v>
      </c>
      <c r="F36" s="102">
        <f>IF($A36="","",[1]!thsiFinD("ths_adjustment_nv_fund",F$3,$A36))</f>
        <v>1.5615000000000001</v>
      </c>
      <c r="G36" s="102">
        <f>IF($A36="","",[1]!thsiFinD("ths_adjustment_nv_fund",G$3,$A36))</f>
        <v>1.5827</v>
      </c>
      <c r="H36" s="102">
        <f>IF($A36="","",[1]!thsiFinD("ths_adjustment_nv_fund",H$3,$A36))</f>
        <v>1.9322999999999999</v>
      </c>
      <c r="I36" s="102">
        <f>IF($A36="","",[1]!thsiFinD("ths_adjustment_nv_fund",I$3,$A36))</f>
        <v>1.9198</v>
      </c>
      <c r="J36" s="102">
        <f>IF($A36="","",[1]!thsiFinD("ths_adjustment_nv_fund",J$3,$A36))</f>
        <v>1.7890999999999999</v>
      </c>
      <c r="K36" s="102">
        <f>IF($A36="","",[1]!thsiFinD("ths_adjustment_nv_fund",K$3,$A36))</f>
        <v>3.0468000000000002</v>
      </c>
      <c r="L36" s="102">
        <f>IF($A36="","",[1]!thsiFinD("ths_adjustment_nv_fund",L$3,$A36))</f>
        <v>3.3774000000000002</v>
      </c>
      <c r="M36" s="102">
        <f>IF($A36="","",[1]!thsiFinD("ths_adjustment_nv_fund",M$3,$A36))</f>
        <v>4.3559000000000001</v>
      </c>
      <c r="N36" s="102">
        <f>IF($A36="","",[1]!thsiFinD("ths_adjustment_nv_fund",N$3,$A36))</f>
        <v>1.3184655611</v>
      </c>
    </row>
    <row r="37" spans="1:14">
      <c r="A37" s="103">
        <v>46218</v>
      </c>
      <c r="B37" s="102">
        <f>IF($A37="","",[1]!thsiFinD("ths_adjustment_nv_fund",B$3,$A37))</f>
        <v>5.1820000000000004</v>
      </c>
      <c r="C37" s="102">
        <f>IF($A37="","",[1]!thsiFinD("ths_adjustment_nv_fund",C$3,$A37))</f>
        <v>3.1074000000000002</v>
      </c>
      <c r="D37" s="102">
        <f>IF($A37="","",[1]!thsiFinD("ths_adjustment_nv_fund",D$3,$A37))</f>
        <v>3.8858000000000001</v>
      </c>
      <c r="E37" s="102">
        <f>IF($A37="","",[1]!thsiFinD("ths_adjustment_nv_fund",E$3,$A37))</f>
        <v>3.5152000000000001</v>
      </c>
      <c r="F37" s="102">
        <f>IF($A37="","",[1]!thsiFinD("ths_adjustment_nv_fund",F$3,$A37))</f>
        <v>1.5436000000000001</v>
      </c>
      <c r="G37" s="102">
        <f>IF($A37="","",[1]!thsiFinD("ths_adjustment_nv_fund",G$3,$A37))</f>
        <v>1.5634999999999999</v>
      </c>
      <c r="H37" s="102">
        <f>IF($A37="","",[1]!thsiFinD("ths_adjustment_nv_fund",H$3,$A37))</f>
        <v>1.9125000000000001</v>
      </c>
      <c r="I37" s="102">
        <f>IF($A37="","",[1]!thsiFinD("ths_adjustment_nv_fund",I$3,$A37))</f>
        <v>1.9069</v>
      </c>
      <c r="J37" s="102">
        <f>IF($A37="","",[1]!thsiFinD("ths_adjustment_nv_fund",J$3,$A37))</f>
        <v>1.7894000000000001</v>
      </c>
      <c r="K37" s="102">
        <f>IF($A37="","",[1]!thsiFinD("ths_adjustment_nv_fund",K$3,$A37))</f>
        <v>3.0423</v>
      </c>
      <c r="L37" s="102">
        <f>IF($A37="","",[1]!thsiFinD("ths_adjustment_nv_fund",L$3,$A37))</f>
        <v>3.1741999999999999</v>
      </c>
      <c r="M37" s="102">
        <f>IF($A37="","",[1]!thsiFinD("ths_adjustment_nv_fund",M$3,$A37))</f>
        <v>4.2525000000000004</v>
      </c>
      <c r="N37" s="102">
        <f>IF($A37="","",[1]!thsiFinD("ths_adjustment_nv_fund",N$3,$A37))</f>
        <v>1.3185105867</v>
      </c>
    </row>
    <row r="38" spans="1:14">
      <c r="A38" s="103">
        <v>46219</v>
      </c>
      <c r="B38" s="102">
        <f>IF($A38="","",[1]!thsiFinD("ths_adjustment_nv_fund",B$3,$A38))</f>
        <v>5.0339999999999998</v>
      </c>
      <c r="C38" s="102">
        <f>IF($A38="","",[1]!thsiFinD("ths_adjustment_nv_fund",C$3,$A38))</f>
        <v>2.9674999999999998</v>
      </c>
      <c r="D38" s="102">
        <f>IF($A38="","",[1]!thsiFinD("ths_adjustment_nv_fund",D$3,$A38))</f>
        <v>3.7713000000000001</v>
      </c>
      <c r="E38" s="102">
        <f>IF($A38="","",[1]!thsiFinD("ths_adjustment_nv_fund",E$3,$A38))</f>
        <v>3.3100999999999998</v>
      </c>
      <c r="F38" s="102">
        <f>IF($A38="","",[1]!thsiFinD("ths_adjustment_nv_fund",F$3,$A38))</f>
        <v>1.5054000000000001</v>
      </c>
      <c r="G38" s="102">
        <f>IF($A38="","",[1]!thsiFinD("ths_adjustment_nv_fund",G$3,$A38))</f>
        <v>1.5208999999999999</v>
      </c>
      <c r="H38" s="102">
        <f>IF($A38="","",[1]!thsiFinD("ths_adjustment_nv_fund",H$3,$A38))</f>
        <v>1.8716999999999999</v>
      </c>
      <c r="I38" s="102">
        <f>IF($A38="","",[1]!thsiFinD("ths_adjustment_nv_fund",I$3,$A38))</f>
        <v>1.8633999999999999</v>
      </c>
      <c r="J38" s="102">
        <f>IF($A38="","",[1]!thsiFinD("ths_adjustment_nv_fund",J$3,$A38))</f>
        <v>1.7889999999999999</v>
      </c>
      <c r="K38" s="102">
        <f>IF($A38="","",[1]!thsiFinD("ths_adjustment_nv_fund",K$3,$A38))</f>
        <v>3.0390999999999999</v>
      </c>
      <c r="L38" s="102">
        <f>IF($A38="","",[1]!thsiFinD("ths_adjustment_nv_fund",L$3,$A38))</f>
        <v>2.9533999999999998</v>
      </c>
      <c r="M38" s="102">
        <f>IF($A38="","",[1]!thsiFinD("ths_adjustment_nv_fund",M$3,$A38))</f>
        <v>4.1052999999999997</v>
      </c>
      <c r="N38" s="102">
        <f>IF($A38="","",[1]!thsiFinD("ths_adjustment_nv_fund",N$3,$A38))</f>
        <v>1.3185543744999999</v>
      </c>
    </row>
    <row r="39" spans="1:14">
      <c r="A39" s="103">
        <v>46220</v>
      </c>
      <c r="B39" s="102">
        <f>IF($A39="","",[1]!thsiFinD("ths_adjustment_nv_fund",B$3,$A39))</f>
        <v>4.6050000000000004</v>
      </c>
      <c r="C39" s="102">
        <f>IF($A39="","",[1]!thsiFinD("ths_adjustment_nv_fund",C$3,$A39))</f>
        <v>2.6181999999999999</v>
      </c>
      <c r="D39" s="102">
        <f>IF($A39="","",[1]!thsiFinD("ths_adjustment_nv_fund",D$3,$A39))</f>
        <v>3.4020000000000001</v>
      </c>
      <c r="E39" s="102">
        <f>IF($A39="","",[1]!thsiFinD("ths_adjustment_nv_fund",E$3,$A39))</f>
        <v>3.07</v>
      </c>
      <c r="F39" s="102">
        <f>IF($A39="","",[1]!thsiFinD("ths_adjustment_nv_fund",F$3,$A39))</f>
        <v>1.4274</v>
      </c>
      <c r="G39" s="102">
        <f>IF($A39="","",[1]!thsiFinD("ths_adjustment_nv_fund",G$3,$A39))</f>
        <v>1.4256</v>
      </c>
      <c r="H39" s="102">
        <f>IF($A39="","",[1]!thsiFinD("ths_adjustment_nv_fund",H$3,$A39))</f>
        <v>1.7484</v>
      </c>
      <c r="I39" s="102">
        <f>IF($A39="","",[1]!thsiFinD("ths_adjustment_nv_fund",I$3,$A39))</f>
        <v>1.7847999999999999</v>
      </c>
      <c r="J39" s="102">
        <f>IF($A39="","",[1]!thsiFinD("ths_adjustment_nv_fund",J$3,$A39))</f>
        <v>1.7899</v>
      </c>
      <c r="K39" s="102">
        <f>IF($A39="","",[1]!thsiFinD("ths_adjustment_nv_fund",K$3,$A39))</f>
        <v>3.0211000000000001</v>
      </c>
      <c r="L39" s="102">
        <f>IF($A39="","",[1]!thsiFinD("ths_adjustment_nv_fund",L$3,$A39))</f>
        <v>2.7759</v>
      </c>
      <c r="M39" s="102">
        <f>IF($A39="","",[1]!thsiFinD("ths_adjustment_nv_fund",M$3,$A39))</f>
        <v>3.7046000000000001</v>
      </c>
      <c r="N39" s="102">
        <f>IF($A39="","",[1]!thsiFinD("ths_adjustment_nv_fund",N$3,$A39))</f>
        <v>1.3185997327000001</v>
      </c>
    </row>
    <row r="40" spans="1:14">
      <c r="A40" s="103">
        <v>46223</v>
      </c>
      <c r="B40" s="102">
        <f>IF($A40="","",[1]!thsiFinD("ths_adjustment_nv_fund",B$3,$A40))</f>
        <v>4.3789999999999996</v>
      </c>
      <c r="C40" s="102">
        <f>IF($A40="","",[1]!thsiFinD("ths_adjustment_nv_fund",C$3,$A40))</f>
        <v>2.5034999999999998</v>
      </c>
      <c r="D40" s="102">
        <f>IF($A40="","",[1]!thsiFinD("ths_adjustment_nv_fund",D$3,$A40))</f>
        <v>3.3285999999999998</v>
      </c>
      <c r="E40" s="102">
        <f>IF($A40="","",[1]!thsiFinD("ths_adjustment_nv_fund",E$3,$A40))</f>
        <v>2.9571000000000001</v>
      </c>
      <c r="F40" s="102">
        <f>IF($A40="","",[1]!thsiFinD("ths_adjustment_nv_fund",F$3,$A40))</f>
        <v>1.4021999999999999</v>
      </c>
      <c r="G40" s="102">
        <f>IF($A40="","",[1]!thsiFinD("ths_adjustment_nv_fund",G$3,$A40))</f>
        <v>1.3858999999999999</v>
      </c>
      <c r="H40" s="102">
        <f>IF($A40="","",[1]!thsiFinD("ths_adjustment_nv_fund",H$3,$A40))</f>
        <v>1.6716</v>
      </c>
      <c r="I40" s="102">
        <f>IF($A40="","",[1]!thsiFinD("ths_adjustment_nv_fund",I$3,$A40))</f>
        <v>1.7935000000000001</v>
      </c>
      <c r="J40" s="102">
        <f>IF($A40="","",[1]!thsiFinD("ths_adjustment_nv_fund",J$3,$A40))</f>
        <v>1.7894000000000001</v>
      </c>
      <c r="K40" s="102">
        <f>IF($A40="","",[1]!thsiFinD("ths_adjustment_nv_fund",K$3,$A40))</f>
        <v>3.0230000000000001</v>
      </c>
      <c r="L40" s="102">
        <f>IF($A40="","",[1]!thsiFinD("ths_adjustment_nv_fund",L$3,$A40))</f>
        <v>2.6282000000000001</v>
      </c>
      <c r="M40" s="102">
        <f>IF($A40="","",[1]!thsiFinD("ths_adjustment_nv_fund",M$3,$A40))</f>
        <v>3.6558000000000002</v>
      </c>
      <c r="N40" s="102">
        <f>IF($A40="","",[1]!thsiFinD("ths_adjustment_nv_fund",N$3,$A40))</f>
        <v>1.3187334169</v>
      </c>
    </row>
    <row r="41" spans="1:14">
      <c r="A41" s="103">
        <v>46224</v>
      </c>
      <c r="B41" s="102">
        <f>IF($A41="","",[1]!thsiFinD("ths_adjustment_nv_fund",B$3,$A41))</f>
        <v>4.7220000000000004</v>
      </c>
      <c r="C41" s="102">
        <f>IF($A41="","",[1]!thsiFinD("ths_adjustment_nv_fund",C$3,$A41))</f>
        <v>2.7307000000000001</v>
      </c>
      <c r="D41" s="102">
        <f>IF($A41="","",[1]!thsiFinD("ths_adjustment_nv_fund",D$3,$A41))</f>
        <v>3.6114000000000002</v>
      </c>
      <c r="E41" s="102">
        <f>IF($A41="","",[1]!thsiFinD("ths_adjustment_nv_fund",E$3,$A41))</f>
        <v>3.4468000000000001</v>
      </c>
      <c r="F41" s="102">
        <f>IF($A41="","",[1]!thsiFinD("ths_adjustment_nv_fund",F$3,$A41))</f>
        <v>1.4735</v>
      </c>
      <c r="G41" s="102">
        <f>IF($A41="","",[1]!thsiFinD("ths_adjustment_nv_fund",G$3,$A41))</f>
        <v>1.4433</v>
      </c>
      <c r="H41" s="102">
        <f>IF($A41="","",[1]!thsiFinD("ths_adjustment_nv_fund",H$3,$A41))</f>
        <v>1.7194</v>
      </c>
      <c r="I41" s="102">
        <f>IF($A41="","",[1]!thsiFinD("ths_adjustment_nv_fund",I$3,$A41))</f>
        <v>1.8593999999999999</v>
      </c>
      <c r="J41" s="102">
        <f>IF($A41="","",[1]!thsiFinD("ths_adjustment_nv_fund",J$3,$A41))</f>
        <v>1.7897000000000001</v>
      </c>
      <c r="K41" s="102">
        <f>IF($A41="","",[1]!thsiFinD("ths_adjustment_nv_fund",K$3,$A41))</f>
        <v>3.0701999999999998</v>
      </c>
      <c r="L41" s="102">
        <f>IF($A41="","",[1]!thsiFinD("ths_adjustment_nv_fund",L$3,$A41))</f>
        <v>3.0192999999999999</v>
      </c>
      <c r="M41" s="102">
        <f>IF($A41="","",[1]!thsiFinD("ths_adjustment_nv_fund",M$3,$A41))</f>
        <v>3.9375</v>
      </c>
      <c r="N41" s="102">
        <f>IF($A41="","",[1]!thsiFinD("ths_adjustment_nv_fund",N$3,$A41))</f>
        <v>1.3187775417000001</v>
      </c>
    </row>
    <row r="42" spans="1:14">
      <c r="A42" s="103">
        <v>46225</v>
      </c>
      <c r="B42" s="102">
        <f>IF($A42="","",[1]!thsiFinD("ths_adjustment_nv_fund",B$3,$A42))</f>
        <v>4.54</v>
      </c>
      <c r="C42" s="102">
        <f>IF($A42="","",[1]!thsiFinD("ths_adjustment_nv_fund",C$3,$A42))</f>
        <v>2.5888</v>
      </c>
      <c r="D42" s="102">
        <f>IF($A42="","",[1]!thsiFinD("ths_adjustment_nv_fund",D$3,$A42))</f>
        <v>3.4780000000000002</v>
      </c>
      <c r="E42" s="102">
        <f>IF($A42="","",[1]!thsiFinD("ths_adjustment_nv_fund",E$3,$A42))</f>
        <v>3.3807</v>
      </c>
      <c r="F42" s="102">
        <f>IF($A42="","",[1]!thsiFinD("ths_adjustment_nv_fund",F$3,$A42))</f>
        <v>1.4686999999999999</v>
      </c>
      <c r="G42" s="102">
        <f>IF($A42="","",[1]!thsiFinD("ths_adjustment_nv_fund",G$3,$A42))</f>
        <v>1.4241999999999999</v>
      </c>
      <c r="H42" s="102">
        <f>IF($A42="","",[1]!thsiFinD("ths_adjustment_nv_fund",H$3,$A42))</f>
        <v>1.6980999999999999</v>
      </c>
      <c r="I42" s="102">
        <f>IF($A42="","",[1]!thsiFinD("ths_adjustment_nv_fund",I$3,$A42))</f>
        <v>1.8446</v>
      </c>
      <c r="J42" s="102">
        <f>IF($A42="","",[1]!thsiFinD("ths_adjustment_nv_fund",J$3,$A42))</f>
        <v>1.7924</v>
      </c>
      <c r="K42" s="102">
        <f>IF($A42="","",[1]!thsiFinD("ths_adjustment_nv_fund",K$3,$A42))</f>
        <v>3.1126999999999998</v>
      </c>
      <c r="L42" s="102">
        <f>IF($A42="","",[1]!thsiFinD("ths_adjustment_nv_fund",L$3,$A42))</f>
        <v>2.9672999999999998</v>
      </c>
      <c r="M42" s="102">
        <f>IF($A42="","",[1]!thsiFinD("ths_adjustment_nv_fund",M$3,$A42))</f>
        <v>3.7907999999999999</v>
      </c>
      <c r="N42" s="102">
        <f>IF($A42="","",[1]!thsiFinD("ths_adjustment_nv_fund",N$3,$A42))</f>
        <v>1.3188229868000001</v>
      </c>
    </row>
    <row r="43" spans="1:14">
      <c r="A43" s="103">
        <v>46226</v>
      </c>
      <c r="B43" s="102">
        <f>IF($A43="","",[1]!thsiFinD("ths_adjustment_nv_fund",B$3,$A43))</f>
        <v>4.5209999999999999</v>
      </c>
      <c r="C43" s="102">
        <f>IF($A43="","",[1]!thsiFinD("ths_adjustment_nv_fund",C$3,$A43))</f>
        <v>2.5653000000000001</v>
      </c>
      <c r="D43" s="102">
        <f>IF($A43="","",[1]!thsiFinD("ths_adjustment_nv_fund",D$3,$A43))</f>
        <v>3.3975</v>
      </c>
      <c r="E43" s="102">
        <f>IF($A43="","",[1]!thsiFinD("ths_adjustment_nv_fund",E$3,$A43))</f>
        <v>3.2132000000000001</v>
      </c>
      <c r="F43" s="102">
        <f>IF($A43="","",[1]!thsiFinD("ths_adjustment_nv_fund",F$3,$A43))</f>
        <v>1.4743999999999999</v>
      </c>
      <c r="G43" s="102">
        <f>IF($A43="","",[1]!thsiFinD("ths_adjustment_nv_fund",G$3,$A43))</f>
        <v>1.4338</v>
      </c>
      <c r="H43" s="102">
        <f>IF($A43="","",[1]!thsiFinD("ths_adjustment_nv_fund",H$3,$A43))</f>
        <v>1.7231000000000001</v>
      </c>
      <c r="I43" s="102">
        <f>IF($A43="","",[1]!thsiFinD("ths_adjustment_nv_fund",I$3,$A43))</f>
        <v>1.8546</v>
      </c>
      <c r="J43" s="102">
        <f>IF($A43="","",[1]!thsiFinD("ths_adjustment_nv_fund",J$3,$A43))</f>
        <v>1.7927999999999999</v>
      </c>
      <c r="K43" s="102">
        <f>IF($A43="","",[1]!thsiFinD("ths_adjustment_nv_fund",K$3,$A43))</f>
        <v>3.1029</v>
      </c>
      <c r="L43" s="102">
        <f>IF($A43="","",[1]!thsiFinD("ths_adjustment_nv_fund",L$3,$A43))</f>
        <v>2.8544999999999998</v>
      </c>
      <c r="M43" s="102">
        <f>IF($A43="","",[1]!thsiFinD("ths_adjustment_nv_fund",M$3,$A43))</f>
        <v>3.7839</v>
      </c>
      <c r="N43" s="102">
        <f>IF($A43="","",[1]!thsiFinD("ths_adjustment_nv_fund",N$3,$A43))</f>
        <v>1.3188669036</v>
      </c>
    </row>
    <row r="44" spans="1:14">
      <c r="A44" s="103">
        <v>46227</v>
      </c>
      <c r="B44" s="102">
        <f>IF($A44="","",[1]!thsiFinD("ths_adjustment_nv_fund",B$3,$A44))</f>
        <v>4.4160000000000004</v>
      </c>
      <c r="C44" s="102">
        <f>IF($A44="","",[1]!thsiFinD("ths_adjustment_nv_fund",C$3,$A44))</f>
        <v>2.4782000000000002</v>
      </c>
      <c r="D44" s="102">
        <f>IF($A44="","",[1]!thsiFinD("ths_adjustment_nv_fund",D$3,$A44))</f>
        <v>3.3233000000000001</v>
      </c>
      <c r="E44" s="102">
        <f>IF($A44="","",[1]!thsiFinD("ths_adjustment_nv_fund",E$3,$A44))</f>
        <v>3.3025000000000002</v>
      </c>
      <c r="F44" s="102">
        <f>IF($A44="","",[1]!thsiFinD("ths_adjustment_nv_fund",F$3,$A44))</f>
        <v>1.4372</v>
      </c>
      <c r="G44" s="102">
        <f>IF($A44="","",[1]!thsiFinD("ths_adjustment_nv_fund",G$3,$A44))</f>
        <v>1.3917999999999999</v>
      </c>
      <c r="H44" s="102">
        <f>IF($A44="","",[1]!thsiFinD("ths_adjustment_nv_fund",H$3,$A44))</f>
        <v>1.6819999999999999</v>
      </c>
      <c r="I44" s="102">
        <f>IF($A44="","",[1]!thsiFinD("ths_adjustment_nv_fund",I$3,$A44))</f>
        <v>1.8241000000000001</v>
      </c>
      <c r="J44" s="102">
        <f>IF($A44="","",[1]!thsiFinD("ths_adjustment_nv_fund",J$3,$A44))</f>
        <v>1.7938000000000001</v>
      </c>
      <c r="K44" s="102">
        <f>IF($A44="","",[1]!thsiFinD("ths_adjustment_nv_fund",K$3,$A44))</f>
        <v>3.0590000000000002</v>
      </c>
      <c r="L44" s="102">
        <f>IF($A44="","",[1]!thsiFinD("ths_adjustment_nv_fund",L$3,$A44))</f>
        <v>2.9346000000000001</v>
      </c>
      <c r="M44" s="102">
        <f>IF($A44="","",[1]!thsiFinD("ths_adjustment_nv_fund",M$3,$A44))</f>
        <v>3.6581999999999999</v>
      </c>
      <c r="N44" s="102">
        <f>IF($A44="","",[1]!thsiFinD("ths_adjustment_nv_fund",N$3,$A44))</f>
        <v>1.3189122067000001</v>
      </c>
    </row>
    <row r="45" spans="1:14">
      <c r="A45" s="103">
        <v>46230</v>
      </c>
      <c r="B45" s="102">
        <f>IF($A45="","",[1]!thsiFinD("ths_adjustment_nv_fund",B$3,$A45))</f>
        <v>4.577</v>
      </c>
      <c r="C45" s="102">
        <f>IF($A45="","",[1]!thsiFinD("ths_adjustment_nv_fund",C$3,$A45))</f>
        <v>2.5747</v>
      </c>
      <c r="D45" s="102">
        <f>IF($A45="","",[1]!thsiFinD("ths_adjustment_nv_fund",D$3,$A45))</f>
        <v>3.4195000000000002</v>
      </c>
      <c r="E45" s="102">
        <f>IF($A45="","",[1]!thsiFinD("ths_adjustment_nv_fund",E$3,$A45))</f>
        <v>3.3740000000000001</v>
      </c>
      <c r="F45" s="102">
        <f>IF($A45="","",[1]!thsiFinD("ths_adjustment_nv_fund",F$3,$A45))</f>
        <v>1.4791000000000001</v>
      </c>
      <c r="G45" s="102">
        <f>IF($A45="","",[1]!thsiFinD("ths_adjustment_nv_fund",G$3,$A45))</f>
        <v>1.4456</v>
      </c>
      <c r="H45" s="102">
        <f>IF($A45="","",[1]!thsiFinD("ths_adjustment_nv_fund",H$3,$A45))</f>
        <v>1.7479</v>
      </c>
      <c r="I45" s="102">
        <f>IF($A45="","",[1]!thsiFinD("ths_adjustment_nv_fund",I$3,$A45))</f>
        <v>1.8586</v>
      </c>
      <c r="J45" s="102">
        <f>IF($A45="","",[1]!thsiFinD("ths_adjustment_nv_fund",J$3,$A45))</f>
        <v>1.7939000000000001</v>
      </c>
      <c r="K45" s="102">
        <f>IF($A45="","",[1]!thsiFinD("ths_adjustment_nv_fund",K$3,$A45))</f>
        <v>3.0947</v>
      </c>
      <c r="L45" s="102">
        <f>IF($A45="","",[1]!thsiFinD("ths_adjustment_nv_fund",L$3,$A45))</f>
        <v>3.0312999999999999</v>
      </c>
      <c r="M45" s="102">
        <f>IF($A45="","",[1]!thsiFinD("ths_adjustment_nv_fund",M$3,$A45))</f>
        <v>3.7648999999999999</v>
      </c>
      <c r="N45" s="102">
        <f>IF($A45="","",[1]!thsiFinD("ths_adjustment_nv_fund",N$3,$A45))</f>
        <v>1.3190456983000001</v>
      </c>
    </row>
    <row r="46" spans="1:14">
      <c r="A46" s="103">
        <v>46231</v>
      </c>
      <c r="B46" s="102">
        <f>IF($A46="","",[1]!thsiFinD("ths_adjustment_nv_fund",B$3,$A46))</f>
        <v>4.1360000000000001</v>
      </c>
      <c r="C46" s="102">
        <f>IF($A46="","",[1]!thsiFinD("ths_adjustment_nv_fund",C$3,$A46))</f>
        <v>2.2561</v>
      </c>
      <c r="D46" s="102">
        <f>IF($A46="","",[1]!thsiFinD("ths_adjustment_nv_fund",D$3,$A46))</f>
        <v>3.0731999999999999</v>
      </c>
      <c r="E46" s="102">
        <f>IF($A46="","",[1]!thsiFinD("ths_adjustment_nv_fund",E$3,$A46))</f>
        <v>3.1785000000000001</v>
      </c>
      <c r="F46" s="102">
        <f>IF($A46="","",[1]!thsiFinD("ths_adjustment_nv_fund",F$3,$A46))</f>
        <v>1.4274</v>
      </c>
      <c r="G46" s="102">
        <f>IF($A46="","",[1]!thsiFinD("ths_adjustment_nv_fund",G$3,$A46))</f>
        <v>1.409</v>
      </c>
      <c r="H46" s="102">
        <f>IF($A46="","",[1]!thsiFinD("ths_adjustment_nv_fund",H$3,$A46))</f>
        <v>1.7117</v>
      </c>
      <c r="I46" s="102">
        <f>IF($A46="","",[1]!thsiFinD("ths_adjustment_nv_fund",I$3,$A46))</f>
        <v>1.8013999999999999</v>
      </c>
      <c r="J46" s="102">
        <f>IF($A46="","",[1]!thsiFinD("ths_adjustment_nv_fund",J$3,$A46))</f>
        <v>1.7938000000000001</v>
      </c>
      <c r="K46" s="102">
        <f>IF($A46="","",[1]!thsiFinD("ths_adjustment_nv_fund",K$3,$A46))</f>
        <v>3.0579000000000001</v>
      </c>
      <c r="L46" s="102">
        <f>IF($A46="","",[1]!thsiFinD("ths_adjustment_nv_fund",L$3,$A46))</f>
        <v>2.8593999999999999</v>
      </c>
      <c r="M46" s="102">
        <f>IF($A46="","",[1]!thsiFinD("ths_adjustment_nv_fund",M$3,$A46))</f>
        <v>3.4058000000000002</v>
      </c>
      <c r="N46" s="102">
        <f>IF($A46="","",[1]!thsiFinD("ths_adjustment_nv_fund",N$3,$A46))</f>
        <v>1.3190894114</v>
      </c>
    </row>
    <row r="47" spans="1:14">
      <c r="A47" s="103">
        <v>46232</v>
      </c>
      <c r="B47" s="102">
        <f>IF($A47="","",[1]!thsiFinD("ths_adjustment_nv_fund",B$3,$A47))</f>
        <v>4.1230000000000002</v>
      </c>
      <c r="C47" s="102">
        <f>IF($A47="","",[1]!thsiFinD("ths_adjustment_nv_fund",C$3,$A47))</f>
        <v>2.2269000000000001</v>
      </c>
      <c r="D47" s="102">
        <f>IF($A47="","",[1]!thsiFinD("ths_adjustment_nv_fund",D$3,$A47))</f>
        <v>3.0274999999999999</v>
      </c>
      <c r="E47" s="102">
        <f>IF($A47="","",[1]!thsiFinD("ths_adjustment_nv_fund",E$3,$A47))</f>
        <v>3.1309</v>
      </c>
      <c r="F47" s="102">
        <f>IF($A47="","",[1]!thsiFinD("ths_adjustment_nv_fund",F$3,$A47))</f>
        <v>1.4406000000000001</v>
      </c>
      <c r="G47" s="102">
        <f>IF($A47="","",[1]!thsiFinD("ths_adjustment_nv_fund",G$3,$A47))</f>
        <v>1.4198999999999999</v>
      </c>
      <c r="H47" s="102">
        <f>IF($A47="","",[1]!thsiFinD("ths_adjustment_nv_fund",H$3,$A47))</f>
        <v>1.7188000000000001</v>
      </c>
      <c r="I47" s="102">
        <f>IF($A47="","",[1]!thsiFinD("ths_adjustment_nv_fund",I$3,$A47))</f>
        <v>1.8154999999999999</v>
      </c>
      <c r="J47" s="102">
        <f>IF($A47="","",[1]!thsiFinD("ths_adjustment_nv_fund",J$3,$A47))</f>
        <v>1.7935000000000001</v>
      </c>
      <c r="K47" s="102">
        <f>IF($A47="","",[1]!thsiFinD("ths_adjustment_nv_fund",K$3,$A47))</f>
        <v>3.0528</v>
      </c>
      <c r="L47" s="102">
        <f>IF($A47="","",[1]!thsiFinD("ths_adjustment_nv_fund",L$3,$A47))</f>
        <v>2.8022</v>
      </c>
      <c r="M47" s="102">
        <f>IF($A47="","",[1]!thsiFinD("ths_adjustment_nv_fund",M$3,$A47))</f>
        <v>3.4272999999999998</v>
      </c>
      <c r="N47" s="102">
        <f>IF($A47="","",[1]!thsiFinD("ths_adjustment_nv_fund",N$3,$A47))</f>
        <v>1.3191353025999999</v>
      </c>
    </row>
    <row r="48" spans="1:14">
      <c r="A48" s="103">
        <v>46233</v>
      </c>
      <c r="B48" s="102">
        <f>IF($A48="","",[1]!thsiFinD("ths_adjustment_nv_fund",B$3,$A48))</f>
        <v>3.81</v>
      </c>
      <c r="C48" s="102">
        <f>IF($A48="","",[1]!thsiFinD("ths_adjustment_nv_fund",C$3,$A48))</f>
        <v>2.0009999999999999</v>
      </c>
      <c r="D48" s="102">
        <f>IF($A48="","",[1]!thsiFinD("ths_adjustment_nv_fund",D$3,$A48))</f>
        <v>2.7465000000000002</v>
      </c>
      <c r="E48" s="102">
        <f>IF($A48="","",[1]!thsiFinD("ths_adjustment_nv_fund",E$3,$A48))</f>
        <v>2.9123000000000001</v>
      </c>
      <c r="F48" s="102">
        <f>IF($A48="","",[1]!thsiFinD("ths_adjustment_nv_fund",F$3,$A48))</f>
        <v>1.3997999999999999</v>
      </c>
      <c r="G48" s="102">
        <f>IF($A48="","",[1]!thsiFinD("ths_adjustment_nv_fund",G$3,$A48))</f>
        <v>1.3827</v>
      </c>
      <c r="H48" s="102">
        <f>IF($A48="","",[1]!thsiFinD("ths_adjustment_nv_fund",H$3,$A48))</f>
        <v>1.6605000000000001</v>
      </c>
      <c r="I48" s="102">
        <f>IF($A48="","",[1]!thsiFinD("ths_adjustment_nv_fund",I$3,$A48))</f>
        <v>1.7921</v>
      </c>
      <c r="J48" s="102">
        <f>IF($A48="","",[1]!thsiFinD("ths_adjustment_nv_fund",J$3,$A48))</f>
        <v>1.7955000000000001</v>
      </c>
      <c r="K48" s="102">
        <f>IF($A48="","",[1]!thsiFinD("ths_adjustment_nv_fund",K$3,$A48))</f>
        <v>3.0495000000000001</v>
      </c>
      <c r="L48" s="102">
        <f>IF($A48="","",[1]!thsiFinD("ths_adjustment_nv_fund",L$3,$A48))</f>
        <v>2.6145999999999998</v>
      </c>
      <c r="M48" s="102">
        <f>IF($A48="","",[1]!thsiFinD("ths_adjustment_nv_fund",M$3,$A48))</f>
        <v>3.1764999999999999</v>
      </c>
      <c r="N48" s="102">
        <f>IF($A48="","",[1]!thsiFinD("ths_adjustment_nv_fund",N$3,$A48))</f>
        <v>1.3191793221000001</v>
      </c>
    </row>
    <row r="49" spans="1:14">
      <c r="A49" s="103">
        <v>46234</v>
      </c>
      <c r="B49" s="102">
        <f>IF($A49="","",[1]!thsiFinD("ths_adjustment_nv_fund",B$3,$A49))</f>
        <v>3.9750000000000001</v>
      </c>
      <c r="C49" s="102">
        <f>IF($A49="","",[1]!thsiFinD("ths_adjustment_nv_fund",C$3,$A49))</f>
        <v>2.1139000000000001</v>
      </c>
      <c r="D49" s="102">
        <f>IF($A49="","",[1]!thsiFinD("ths_adjustment_nv_fund",D$3,$A49))</f>
        <v>2.8824000000000001</v>
      </c>
      <c r="E49" s="102">
        <f>IF($A49="","",[1]!thsiFinD("ths_adjustment_nv_fund",E$3,$A49))</f>
        <v>2.9811999999999999</v>
      </c>
      <c r="F49" s="102">
        <f>IF($A49="","",[1]!thsiFinD("ths_adjustment_nv_fund",F$3,$A49))</f>
        <v>1.4318</v>
      </c>
      <c r="G49" s="102">
        <f>IF($A49="","",[1]!thsiFinD("ths_adjustment_nv_fund",G$3,$A49))</f>
        <v>1.4158999999999999</v>
      </c>
      <c r="H49" s="102">
        <f>IF($A49="","",[1]!thsiFinD("ths_adjustment_nv_fund",H$3,$A49))</f>
        <v>1.7142999999999999</v>
      </c>
      <c r="I49" s="102">
        <f>IF($A49="","",[1]!thsiFinD("ths_adjustment_nv_fund",I$3,$A49))</f>
        <v>1.8093999999999999</v>
      </c>
      <c r="J49" s="102">
        <f>IF($A49="","",[1]!thsiFinD("ths_adjustment_nv_fund",J$3,$A49))</f>
        <v>1.7963</v>
      </c>
      <c r="K49" s="102">
        <f>IF($A49="","",[1]!thsiFinD("ths_adjustment_nv_fund",K$3,$A49))</f>
        <v>3.0642999999999998</v>
      </c>
      <c r="L49" s="102">
        <f>IF($A49="","",[1]!thsiFinD("ths_adjustment_nv_fund",L$3,$A49))</f>
        <v>2.6698</v>
      </c>
      <c r="M49" s="102">
        <f>IF($A49="","",[1]!thsiFinD("ths_adjustment_nv_fund",M$3,$A49))</f>
        <v>3.3206000000000002</v>
      </c>
      <c r="N49" s="102">
        <f>IF($A49="","",[1]!thsiFinD("ths_adjustment_nv_fund",N$3,$A49))</f>
        <v>1.3192249393</v>
      </c>
    </row>
    <row r="50" spans="1:14">
      <c r="A50" s="103">
        <v>46237</v>
      </c>
      <c r="B50" s="102">
        <f>IF($A50="","",[1]!thsiFinD("ths_adjustment_nv_fund",B$3,$A50))</f>
        <v>3.923</v>
      </c>
      <c r="C50" s="102">
        <f>IF($A50="","",[1]!thsiFinD("ths_adjustment_nv_fund",C$3,$A50))</f>
        <v>2.1360000000000001</v>
      </c>
      <c r="D50" s="102">
        <f>IF($A50="","",[1]!thsiFinD("ths_adjustment_nv_fund",D$3,$A50))</f>
        <v>2.8574000000000002</v>
      </c>
      <c r="E50" s="102">
        <f>IF($A50="","",[1]!thsiFinD("ths_adjustment_nv_fund",E$3,$A50))</f>
        <v>2.7321</v>
      </c>
      <c r="F50" s="102">
        <f>IF($A50="","",[1]!thsiFinD("ths_adjustment_nv_fund",F$3,$A50))</f>
        <v>1.4220999999999999</v>
      </c>
      <c r="G50" s="102">
        <f>IF($A50="","",[1]!thsiFinD("ths_adjustment_nv_fund",G$3,$A50))</f>
        <v>1.4174</v>
      </c>
      <c r="H50" s="102">
        <f>IF($A50="","",[1]!thsiFinD("ths_adjustment_nv_fund",H$3,$A50))</f>
        <v>1.7267999999999999</v>
      </c>
      <c r="I50" s="102">
        <f>IF($A50="","",[1]!thsiFinD("ths_adjustment_nv_fund",I$3,$A50))</f>
        <v>1.7925</v>
      </c>
      <c r="J50" s="102">
        <f>IF($A50="","",[1]!thsiFinD("ths_adjustment_nv_fund",J$3,$A50))</f>
        <v>1.7967</v>
      </c>
      <c r="K50" s="102">
        <f>IF($A50="","",[1]!thsiFinD("ths_adjustment_nv_fund",K$3,$A50))</f>
        <v>3.0567000000000002</v>
      </c>
      <c r="L50" s="102">
        <f>IF($A50="","",[1]!thsiFinD("ths_adjustment_nv_fund",L$3,$A50))</f>
        <v>2.4445000000000001</v>
      </c>
      <c r="M50" s="102">
        <f>IF($A50="","",[1]!thsiFinD("ths_adjustment_nv_fund",M$3,$A50))</f>
        <v>3.3317000000000001</v>
      </c>
      <c r="N50" s="102">
        <f>IF($A50="","",[1]!thsiFinD("ths_adjustment_nv_fund",N$3,$A50))</f>
        <v>1.3193583834</v>
      </c>
    </row>
    <row r="51" spans="1:14">
      <c r="A51" s="103">
        <v>46238</v>
      </c>
      <c r="B51" s="102">
        <f>IF($A51="","",[1]!thsiFinD("ths_adjustment_nv_fund",B$3,$A51))</f>
        <v>4.2619999999999996</v>
      </c>
      <c r="C51" s="102">
        <f>IF($A51="","",[1]!thsiFinD("ths_adjustment_nv_fund",C$3,$A51))</f>
        <v>2.3923000000000001</v>
      </c>
      <c r="D51" s="102">
        <f>IF($A51="","",[1]!thsiFinD("ths_adjustment_nv_fund",D$3,$A51))</f>
        <v>3.1415000000000002</v>
      </c>
      <c r="E51" s="102">
        <f>IF($A51="","",[1]!thsiFinD("ths_adjustment_nv_fund",E$3,$A51))</f>
        <v>2.8633000000000002</v>
      </c>
      <c r="F51" s="102">
        <f>IF($A51="","",[1]!thsiFinD("ths_adjustment_nv_fund",F$3,$A51))</f>
        <v>1.4601</v>
      </c>
      <c r="G51" s="102">
        <f>IF($A51="","",[1]!thsiFinD("ths_adjustment_nv_fund",G$3,$A51))</f>
        <v>1.4543999999999999</v>
      </c>
      <c r="H51" s="102">
        <f>IF($A51="","",[1]!thsiFinD("ths_adjustment_nv_fund",H$3,$A51))</f>
        <v>1.7741</v>
      </c>
      <c r="I51" s="102">
        <f>IF($A51="","",[1]!thsiFinD("ths_adjustment_nv_fund",I$3,$A51))</f>
        <v>1.8268</v>
      </c>
      <c r="J51" s="102">
        <f>IF($A51="","",[1]!thsiFinD("ths_adjustment_nv_fund",J$3,$A51))</f>
        <v>1.7972999999999999</v>
      </c>
      <c r="K51" s="102">
        <f>IF($A51="","",[1]!thsiFinD("ths_adjustment_nv_fund",K$3,$A51))</f>
        <v>3.0604</v>
      </c>
      <c r="L51" s="102">
        <f>IF($A51="","",[1]!thsiFinD("ths_adjustment_nv_fund",L$3,$A51))</f>
        <v>2.5649999999999999</v>
      </c>
      <c r="M51" s="102">
        <f>IF($A51="","",[1]!thsiFinD("ths_adjustment_nv_fund",M$3,$A51))</f>
        <v>3.6164000000000001</v>
      </c>
      <c r="N51" s="102">
        <f>IF($A51="","",[1]!thsiFinD("ths_adjustment_nv_fund",N$3,$A51))</f>
        <v>1.3194026215000001</v>
      </c>
    </row>
    <row r="52" spans="1:14">
      <c r="A52" s="103">
        <v>46239</v>
      </c>
      <c r="B52" s="102">
        <f>IF($A52="","",[1]!thsiFinD("ths_adjustment_nv_fund",B$3,$A52))</f>
        <v>4.327</v>
      </c>
      <c r="C52" s="102">
        <f>IF($A52="","",[1]!thsiFinD("ths_adjustment_nv_fund",C$3,$A52))</f>
        <v>2.4121000000000001</v>
      </c>
      <c r="D52" s="102">
        <f>IF($A52="","",[1]!thsiFinD("ths_adjustment_nv_fund",D$3,$A52))</f>
        <v>3.2088000000000001</v>
      </c>
      <c r="E52" s="102">
        <f>IF($A52="","",[1]!thsiFinD("ths_adjustment_nv_fund",E$3,$A52))</f>
        <v>3.0939999999999999</v>
      </c>
      <c r="F52" s="102">
        <f>IF($A52="","",[1]!thsiFinD("ths_adjustment_nv_fund",F$3,$A52))</f>
        <v>1.5001</v>
      </c>
      <c r="G52" s="102">
        <f>IF($A52="","",[1]!thsiFinD("ths_adjustment_nv_fund",G$3,$A52))</f>
        <v>1.4952000000000001</v>
      </c>
      <c r="H52" s="102">
        <f>IF($A52="","",[1]!thsiFinD("ths_adjustment_nv_fund",H$3,$A52))</f>
        <v>1.8227</v>
      </c>
      <c r="I52" s="102">
        <f>IF($A52="","",[1]!thsiFinD("ths_adjustment_nv_fund",I$3,$A52))</f>
        <v>1.8555999999999999</v>
      </c>
      <c r="J52" s="102">
        <f>IF($A52="","",[1]!thsiFinD("ths_adjustment_nv_fund",J$3,$A52))</f>
        <v>1.7971999999999999</v>
      </c>
      <c r="K52" s="102">
        <f>IF($A52="","",[1]!thsiFinD("ths_adjustment_nv_fund",K$3,$A52))</f>
        <v>3.13</v>
      </c>
      <c r="L52" s="102">
        <f>IF($A52="","",[1]!thsiFinD("ths_adjustment_nv_fund",L$3,$A52))</f>
        <v>2.8005</v>
      </c>
      <c r="M52" s="102">
        <f>IF($A52="","",[1]!thsiFinD("ths_adjustment_nv_fund",M$3,$A52))</f>
        <v>3.6436999999999999</v>
      </c>
      <c r="N52" s="102">
        <f>IF($A52="","",[1]!thsiFinD("ths_adjustment_nv_fund",N$3,$A52))</f>
        <v>1.3194468346999999</v>
      </c>
    </row>
    <row r="53" spans="1:14">
      <c r="A53" s="103">
        <v>46240</v>
      </c>
      <c r="B53" s="102">
        <f>IF($A53="","",[1]!thsiFinD("ths_adjustment_nv_fund",B$3,$A53))</f>
        <v>4.3879999999999999</v>
      </c>
      <c r="C53" s="102">
        <f>IF($A53="","",[1]!thsiFinD("ths_adjustment_nv_fund",C$3,$A53))</f>
        <v>2.4704000000000002</v>
      </c>
      <c r="D53" s="102">
        <f>IF($A53="","",[1]!thsiFinD("ths_adjustment_nv_fund",D$3,$A53))</f>
        <v>3.2561</v>
      </c>
      <c r="E53" s="102">
        <f>IF($A53="","",[1]!thsiFinD("ths_adjustment_nv_fund",E$3,$A53))</f>
        <v>3.1126999999999998</v>
      </c>
      <c r="F53" s="102">
        <f>IF($A53="","",[1]!thsiFinD("ths_adjustment_nv_fund",F$3,$A53))</f>
        <v>1.5098</v>
      </c>
      <c r="G53" s="102">
        <f>IF($A53="","",[1]!thsiFinD("ths_adjustment_nv_fund",G$3,$A53))</f>
        <v>1.5024999999999999</v>
      </c>
      <c r="H53" s="102">
        <f>IF($A53="","",[1]!thsiFinD("ths_adjustment_nv_fund",H$3,$A53))</f>
        <v>1.8452</v>
      </c>
      <c r="I53" s="102">
        <f>IF($A53="","",[1]!thsiFinD("ths_adjustment_nv_fund",I$3,$A53))</f>
        <v>1.8642000000000001</v>
      </c>
      <c r="J53" s="102">
        <f>IF($A53="","",[1]!thsiFinD("ths_adjustment_nv_fund",J$3,$A53))</f>
        <v>1.7974000000000001</v>
      </c>
      <c r="K53" s="102">
        <f>IF($A53="","",[1]!thsiFinD("ths_adjustment_nv_fund",K$3,$A53))</f>
        <v>3.2039</v>
      </c>
      <c r="L53" s="102">
        <f>IF($A53="","",[1]!thsiFinD("ths_adjustment_nv_fund",L$3,$A53))</f>
        <v>2.8647</v>
      </c>
      <c r="M53" s="102">
        <f>IF($A53="","",[1]!thsiFinD("ths_adjustment_nv_fund",M$3,$A53))</f>
        <v>3.7075</v>
      </c>
      <c r="N53" s="102">
        <f>IF($A53="","",[1]!thsiFinD("ths_adjustment_nv_fund",N$3,$A53))</f>
        <v>1.3194908778000001</v>
      </c>
    </row>
    <row r="54" spans="1:14">
      <c r="A54" s="103">
        <v>46241</v>
      </c>
      <c r="B54" s="102">
        <f>IF($A54="","",[1]!thsiFinD("ths_adjustment_nv_fund",B$3,$A54))</f>
        <v>4.5060000000000002</v>
      </c>
      <c r="C54" s="102">
        <f>IF($A54="","",[1]!thsiFinD("ths_adjustment_nv_fund",C$3,$A54))</f>
        <v>2.5423</v>
      </c>
      <c r="D54" s="102">
        <f>IF($A54="","",[1]!thsiFinD("ths_adjustment_nv_fund",D$3,$A54))</f>
        <v>3.3391000000000002</v>
      </c>
      <c r="E54" s="102">
        <f>IF($A54="","",[1]!thsiFinD("ths_adjustment_nv_fund",E$3,$A54))</f>
        <v>3.2107000000000001</v>
      </c>
      <c r="F54" s="102">
        <f>IF($A54="","",[1]!thsiFinD("ths_adjustment_nv_fund",F$3,$A54))</f>
        <v>1.5367</v>
      </c>
      <c r="G54" s="102">
        <f>IF($A54="","",[1]!thsiFinD("ths_adjustment_nv_fund",G$3,$A54))</f>
        <v>1.5364</v>
      </c>
      <c r="H54" s="102">
        <f>IF($A54="","",[1]!thsiFinD("ths_adjustment_nv_fund",H$3,$A54))</f>
        <v>1.8746</v>
      </c>
      <c r="I54" s="102">
        <f>IF($A54="","",[1]!thsiFinD("ths_adjustment_nv_fund",I$3,$A54))</f>
        <v>1.8923000000000001</v>
      </c>
      <c r="J54" s="102">
        <f>IF($A54="","",[1]!thsiFinD("ths_adjustment_nv_fund",J$3,$A54))</f>
        <v>1.7986</v>
      </c>
      <c r="K54" s="102">
        <f>IF($A54="","",[1]!thsiFinD("ths_adjustment_nv_fund",K$3,$A54))</f>
        <v>3.22</v>
      </c>
      <c r="L54" s="102">
        <f>IF($A54="","",[1]!thsiFinD("ths_adjustment_nv_fund",L$3,$A54))</f>
        <v>2.9392</v>
      </c>
      <c r="M54" s="102">
        <f>IF($A54="","",[1]!thsiFinD("ths_adjustment_nv_fund",M$3,$A54))</f>
        <v>3.7456999999999998</v>
      </c>
      <c r="N54" s="102">
        <f>IF($A54="","",[1]!thsiFinD("ths_adjustment_nv_fund",N$3,$A54))</f>
        <v>1.3195356482</v>
      </c>
    </row>
    <row r="55" spans="1:14">
      <c r="A55" s="103">
        <v>46244</v>
      </c>
      <c r="B55" s="102">
        <f>IF($A55="","",[1]!thsiFinD("ths_adjustment_nv_fund",B$3,$A55))</f>
        <v>4.4139999999999997</v>
      </c>
      <c r="C55" s="102">
        <f>IF($A55="","",[1]!thsiFinD("ths_adjustment_nv_fund",C$3,$A55))</f>
        <v>2.4794999999999998</v>
      </c>
      <c r="D55" s="102">
        <f>IF($A55="","",[1]!thsiFinD("ths_adjustment_nv_fund",D$3,$A55))</f>
        <v>3.2721</v>
      </c>
      <c r="E55" s="102">
        <f>IF($A55="","",[1]!thsiFinD("ths_adjustment_nv_fund",E$3,$A55))</f>
        <v>3.3</v>
      </c>
      <c r="F55" s="102">
        <f>IF($A55="","",[1]!thsiFinD("ths_adjustment_nv_fund",F$3,$A55))</f>
        <v>1.5436000000000001</v>
      </c>
      <c r="G55" s="102">
        <f>IF($A55="","",[1]!thsiFinD("ths_adjustment_nv_fund",G$3,$A55))</f>
        <v>1.5450999999999999</v>
      </c>
      <c r="H55" s="102">
        <f>IF($A55="","",[1]!thsiFinD("ths_adjustment_nv_fund",H$3,$A55))</f>
        <v>1.8947000000000001</v>
      </c>
      <c r="I55" s="102">
        <f>IF($A55="","",[1]!thsiFinD("ths_adjustment_nv_fund",I$3,$A55))</f>
        <v>1.8927</v>
      </c>
      <c r="J55" s="102">
        <f>IF($A55="","",[1]!thsiFinD("ths_adjustment_nv_fund",J$3,$A55))</f>
        <v>1.8003</v>
      </c>
      <c r="K55" s="102">
        <f>IF($A55="","",[1]!thsiFinD("ths_adjustment_nv_fund",K$3,$A55))</f>
        <v>3.2692000000000001</v>
      </c>
      <c r="L55" s="102">
        <f>IF($A55="","",[1]!thsiFinD("ths_adjustment_nv_fund",L$3,$A55))</f>
        <v>3.0278999999999998</v>
      </c>
      <c r="M55" s="102">
        <f>IF($A55="","",[1]!thsiFinD("ths_adjustment_nv_fund",M$3,$A55))</f>
        <v>3.6669999999999998</v>
      </c>
      <c r="N55" s="102">
        <f>IF($A55="","",[1]!thsiFinD("ths_adjustment_nv_fund",N$3,$A55))</f>
        <v>1.3196677777000001</v>
      </c>
    </row>
    <row r="56" spans="1:14">
      <c r="A56" s="103"/>
      <c r="B56" s="102" t="str">
        <f>IF($A56="","",[1]!thsiFinD("ths_adjustment_nv_fund",B$3,$A56))</f>
        <v/>
      </c>
      <c r="C56" s="102" t="str">
        <f>IF($A56="","",[1]!thsiFinD("ths_adjustment_nv_fund",C$3,$A56))</f>
        <v/>
      </c>
      <c r="D56" s="102" t="str">
        <f>IF($A56="","",[1]!thsiFinD("ths_adjustment_nv_fund",D$3,$A56))</f>
        <v/>
      </c>
      <c r="E56" s="102" t="str">
        <f>IF($A56="","",[1]!thsiFinD("ths_adjustment_nv_fund",E$3,$A56))</f>
        <v/>
      </c>
      <c r="F56" s="102" t="str">
        <f>IF($A56="","",[1]!thsiFinD("ths_adjustment_nv_fund",F$3,$A56))</f>
        <v/>
      </c>
      <c r="G56" s="102" t="str">
        <f>IF($A56="","",[1]!thsiFinD("ths_adjustment_nv_fund",G$3,$A56))</f>
        <v/>
      </c>
      <c r="H56" s="102" t="str">
        <f>IF($A56="","",[1]!thsiFinD("ths_adjustment_nv_fund",H$3,$A56))</f>
        <v/>
      </c>
      <c r="I56" s="102" t="str">
        <f>IF($A56="","",[1]!thsiFinD("ths_adjustment_nv_fund",I$3,$A56))</f>
        <v/>
      </c>
      <c r="J56" s="102" t="str">
        <f>IF($A56="","",[1]!thsiFinD("ths_adjustment_nv_fund",J$3,$A56))</f>
        <v/>
      </c>
      <c r="K56" s="102" t="str">
        <f>IF($A56="","",[1]!thsiFinD("ths_adjustment_nv_fund",K$3,$A56))</f>
        <v/>
      </c>
      <c r="L56" s="102" t="str">
        <f>IF($A56="","",[1]!thsiFinD("ths_adjustment_nv_fund",L$3,$A56))</f>
        <v/>
      </c>
      <c r="M56" s="102" t="str">
        <f>IF($A56="","",[1]!thsiFinD("ths_adjustment_nv_fund",M$3,$A56))</f>
        <v/>
      </c>
      <c r="N56" s="102" t="str">
        <f>IF($A56="","",[1]!thsiFinD("ths_adjustment_nv_fund",N$3,$A56))</f>
        <v/>
      </c>
    </row>
    <row r="57" spans="1:14">
      <c r="A57" s="103"/>
      <c r="B57" s="102" t="str">
        <f>IF($A57="","",[1]!thsiFinD("ths_adjustment_nv_fund",B$3,$A57))</f>
        <v/>
      </c>
      <c r="C57" s="102" t="str">
        <f>IF($A57="","",[1]!thsiFinD("ths_adjustment_nv_fund",C$3,$A57))</f>
        <v/>
      </c>
      <c r="D57" s="102" t="str">
        <f>IF($A57="","",[1]!thsiFinD("ths_adjustment_nv_fund",D$3,$A57))</f>
        <v/>
      </c>
      <c r="E57" s="102" t="str">
        <f>IF($A57="","",[1]!thsiFinD("ths_adjustment_nv_fund",E$3,$A57))</f>
        <v/>
      </c>
      <c r="F57" s="102" t="str">
        <f>IF($A57="","",[1]!thsiFinD("ths_adjustment_nv_fund",F$3,$A57))</f>
        <v/>
      </c>
      <c r="G57" s="102" t="str">
        <f>IF($A57="","",[1]!thsiFinD("ths_adjustment_nv_fund",G$3,$A57))</f>
        <v/>
      </c>
      <c r="H57" s="102" t="str">
        <f>IF($A57="","",[1]!thsiFinD("ths_adjustment_nv_fund",H$3,$A57))</f>
        <v/>
      </c>
      <c r="I57" s="102" t="str">
        <f>IF($A57="","",[1]!thsiFinD("ths_adjustment_nv_fund",I$3,$A57))</f>
        <v/>
      </c>
      <c r="J57" s="102" t="str">
        <f>IF($A57="","",[1]!thsiFinD("ths_adjustment_nv_fund",J$3,$A57))</f>
        <v/>
      </c>
      <c r="K57" s="102" t="str">
        <f>IF($A57="","",[1]!thsiFinD("ths_adjustment_nv_fund",K$3,$A57))</f>
        <v/>
      </c>
      <c r="L57" s="102" t="str">
        <f>IF($A57="","",[1]!thsiFinD("ths_adjustment_nv_fund",L$3,$A57))</f>
        <v/>
      </c>
      <c r="M57" s="102" t="str">
        <f>IF($A57="","",[1]!thsiFinD("ths_adjustment_nv_fund",M$3,$A57))</f>
        <v/>
      </c>
      <c r="N57" s="102" t="str">
        <f>IF($A57="","",[1]!thsiFinD("ths_adjustment_nv_fund",N$3,$A57))</f>
        <v/>
      </c>
    </row>
    <row r="58" spans="1:14">
      <c r="A58" s="103"/>
      <c r="B58" s="102" t="str">
        <f>IF($A58="","",[1]!thsiFinD("ths_adjustment_nv_fund",B$3,$A58))</f>
        <v/>
      </c>
      <c r="C58" s="102" t="str">
        <f>IF($A58="","",[1]!thsiFinD("ths_adjustment_nv_fund",C$3,$A58))</f>
        <v/>
      </c>
      <c r="D58" s="102" t="str">
        <f>IF($A58="","",[1]!thsiFinD("ths_adjustment_nv_fund",D$3,$A58))</f>
        <v/>
      </c>
      <c r="E58" s="102" t="str">
        <f>IF($A58="","",[1]!thsiFinD("ths_adjustment_nv_fund",E$3,$A58))</f>
        <v/>
      </c>
      <c r="F58" s="102" t="str">
        <f>IF($A58="","",[1]!thsiFinD("ths_adjustment_nv_fund",F$3,$A58))</f>
        <v/>
      </c>
      <c r="G58" s="102" t="str">
        <f>IF($A58="","",[1]!thsiFinD("ths_adjustment_nv_fund",G$3,$A58))</f>
        <v/>
      </c>
      <c r="H58" s="102" t="str">
        <f>IF($A58="","",[1]!thsiFinD("ths_adjustment_nv_fund",H$3,$A58))</f>
        <v/>
      </c>
      <c r="I58" s="102" t="str">
        <f>IF($A58="","",[1]!thsiFinD("ths_adjustment_nv_fund",I$3,$A58))</f>
        <v/>
      </c>
      <c r="J58" s="102" t="str">
        <f>IF($A58="","",[1]!thsiFinD("ths_adjustment_nv_fund",J$3,$A58))</f>
        <v/>
      </c>
      <c r="K58" s="102" t="str">
        <f>IF($A58="","",[1]!thsiFinD("ths_adjustment_nv_fund",K$3,$A58))</f>
        <v/>
      </c>
      <c r="L58" s="102" t="str">
        <f>IF($A58="","",[1]!thsiFinD("ths_adjustment_nv_fund",L$3,$A58))</f>
        <v/>
      </c>
      <c r="M58" s="102" t="str">
        <f>IF($A58="","",[1]!thsiFinD("ths_adjustment_nv_fund",M$3,$A58))</f>
        <v/>
      </c>
      <c r="N58" s="102" t="str">
        <f>IF($A58="","",[1]!thsiFinD("ths_adjustment_nv_fund",N$3,$A58))</f>
        <v/>
      </c>
    </row>
    <row r="59" spans="1:14">
      <c r="A59" s="103"/>
      <c r="B59" s="102" t="str">
        <f>IF($A59="","",[1]!thsiFinD("ths_adjustment_nv_fund",B$3,$A59))</f>
        <v/>
      </c>
      <c r="C59" s="102" t="str">
        <f>IF($A59="","",[1]!thsiFinD("ths_adjustment_nv_fund",C$3,$A59))</f>
        <v/>
      </c>
      <c r="D59" s="102" t="str">
        <f>IF($A59="","",[1]!thsiFinD("ths_adjustment_nv_fund",D$3,$A59))</f>
        <v/>
      </c>
      <c r="E59" s="102" t="str">
        <f>IF($A59="","",[1]!thsiFinD("ths_adjustment_nv_fund",E$3,$A59))</f>
        <v/>
      </c>
      <c r="F59" s="102" t="str">
        <f>IF($A59="","",[1]!thsiFinD("ths_adjustment_nv_fund",F$3,$A59))</f>
        <v/>
      </c>
      <c r="G59" s="102" t="str">
        <f>IF($A59="","",[1]!thsiFinD("ths_adjustment_nv_fund",G$3,$A59))</f>
        <v/>
      </c>
      <c r="H59" s="102" t="str">
        <f>IF($A59="","",[1]!thsiFinD("ths_adjustment_nv_fund",H$3,$A59))</f>
        <v/>
      </c>
      <c r="I59" s="102" t="str">
        <f>IF($A59="","",[1]!thsiFinD("ths_adjustment_nv_fund",I$3,$A59))</f>
        <v/>
      </c>
      <c r="J59" s="102" t="str">
        <f>IF($A59="","",[1]!thsiFinD("ths_adjustment_nv_fund",J$3,$A59))</f>
        <v/>
      </c>
      <c r="K59" s="102" t="str">
        <f>IF($A59="","",[1]!thsiFinD("ths_adjustment_nv_fund",K$3,$A59))</f>
        <v/>
      </c>
      <c r="L59" s="102" t="str">
        <f>IF($A59="","",[1]!thsiFinD("ths_adjustment_nv_fund",L$3,$A59))</f>
        <v/>
      </c>
      <c r="M59" s="102" t="str">
        <f>IF($A59="","",[1]!thsiFinD("ths_adjustment_nv_fund",M$3,$A59))</f>
        <v/>
      </c>
      <c r="N59" s="102" t="str">
        <f>IF($A59="","",[1]!thsiFinD("ths_adjustment_nv_fund",N$3,$A59))</f>
        <v/>
      </c>
    </row>
    <row r="60" spans="1:14">
      <c r="A60" s="104"/>
    </row>
    <row r="61" spans="1:14" ht="14.5" customHeight="1">
      <c r="A61" s="105"/>
    </row>
    <row r="62" spans="1:14">
      <c r="A62" s="104"/>
    </row>
    <row r="63" spans="1:14">
      <c r="A63" s="104"/>
    </row>
    <row r="64" spans="1:14">
      <c r="A64" s="104"/>
    </row>
    <row r="65" spans="1:1">
      <c r="A65" s="104"/>
    </row>
    <row r="66" spans="1:1">
      <c r="A66" s="104"/>
    </row>
    <row r="67" spans="1:1">
      <c r="A67" s="104"/>
    </row>
    <row r="68" spans="1:1">
      <c r="A68" s="104"/>
    </row>
    <row r="69" spans="1:1">
      <c r="A69" s="104"/>
    </row>
    <row r="70" spans="1:1">
      <c r="A70" s="104"/>
    </row>
    <row r="71" spans="1:1">
      <c r="A71" s="104"/>
    </row>
    <row r="72" spans="1:1">
      <c r="A72" s="104"/>
    </row>
    <row r="73" spans="1:1">
      <c r="A73" s="104"/>
    </row>
    <row r="74" spans="1:1">
      <c r="A74" s="104"/>
    </row>
    <row r="75" spans="1:1">
      <c r="A75" s="104"/>
    </row>
    <row r="76" spans="1:1">
      <c r="A76" s="104"/>
    </row>
    <row r="77" spans="1:1">
      <c r="A77" s="104"/>
    </row>
    <row r="78" spans="1:1">
      <c r="A78" s="104"/>
    </row>
    <row r="79" spans="1:1">
      <c r="A79" s="104"/>
    </row>
    <row r="80" spans="1:1">
      <c r="A80" s="104"/>
    </row>
    <row r="81" spans="1:1">
      <c r="A81" s="104"/>
    </row>
    <row r="82" spans="1:1">
      <c r="A82" s="104"/>
    </row>
    <row r="83" spans="1:1">
      <c r="A83" s="104"/>
    </row>
    <row r="84" spans="1:1">
      <c r="A84" s="104"/>
    </row>
    <row r="85" spans="1:1">
      <c r="A85" s="104"/>
    </row>
    <row r="86" spans="1:1">
      <c r="A86" s="104"/>
    </row>
    <row r="87" spans="1:1">
      <c r="A87" s="104"/>
    </row>
    <row r="88" spans="1:1">
      <c r="A88" s="104"/>
    </row>
    <row r="89" spans="1:1">
      <c r="A89" s="104"/>
    </row>
    <row r="90" spans="1:1">
      <c r="A90" s="104"/>
    </row>
    <row r="91" spans="1:1">
      <c r="A91" s="104"/>
    </row>
    <row r="92" spans="1:1">
      <c r="A92" s="104"/>
    </row>
    <row r="93" spans="1:1">
      <c r="A93" s="104"/>
    </row>
    <row r="94" spans="1:1">
      <c r="A94" s="104"/>
    </row>
    <row r="95" spans="1:1">
      <c r="A95" s="104"/>
    </row>
    <row r="96" spans="1:1">
      <c r="A96" s="104"/>
    </row>
    <row r="97" spans="1:1">
      <c r="A97" s="104"/>
    </row>
    <row r="98" spans="1:1">
      <c r="A98" s="104"/>
    </row>
    <row r="99" spans="1:1">
      <c r="A99" s="104"/>
    </row>
    <row r="100" spans="1:1">
      <c r="A100" s="104"/>
    </row>
    <row r="101" spans="1:1">
      <c r="A101" s="104"/>
    </row>
    <row r="102" spans="1:1">
      <c r="A102" s="104"/>
    </row>
    <row r="103" spans="1:1">
      <c r="A103" s="104"/>
    </row>
    <row r="104" spans="1:1">
      <c r="A104" s="104"/>
    </row>
    <row r="105" spans="1:1">
      <c r="A105" s="104"/>
    </row>
    <row r="106" spans="1:1">
      <c r="A106" s="104"/>
    </row>
    <row r="107" spans="1:1">
      <c r="A107" s="104"/>
    </row>
    <row r="108" spans="1:1">
      <c r="A108" s="104"/>
    </row>
    <row r="109" spans="1:1">
      <c r="A109" s="104"/>
    </row>
    <row r="110" spans="1:1">
      <c r="A110" s="104"/>
    </row>
    <row r="111" spans="1:1">
      <c r="A111" s="104"/>
    </row>
    <row r="112" spans="1:1">
      <c r="A112" s="104"/>
    </row>
    <row r="113" spans="1:1">
      <c r="A113" s="104"/>
    </row>
    <row r="114" spans="1:1">
      <c r="A114" s="104"/>
    </row>
    <row r="115" spans="1:1">
      <c r="A115" s="104"/>
    </row>
    <row r="116" spans="1:1">
      <c r="A116" s="104"/>
    </row>
    <row r="117" spans="1:1">
      <c r="A117" s="104"/>
    </row>
    <row r="118" spans="1:1">
      <c r="A118" s="104"/>
    </row>
    <row r="119" spans="1:1">
      <c r="A119" s="104"/>
    </row>
    <row r="120" spans="1:1">
      <c r="A120" s="104"/>
    </row>
    <row r="121" spans="1:1">
      <c r="A121" s="104"/>
    </row>
    <row r="122" spans="1:1">
      <c r="A122" s="104"/>
    </row>
    <row r="123" spans="1:1">
      <c r="A123" s="104"/>
    </row>
    <row r="124" spans="1:1">
      <c r="A124" s="104"/>
    </row>
    <row r="125" spans="1:1">
      <c r="A125" s="104"/>
    </row>
    <row r="126" spans="1:1">
      <c r="A126" s="104"/>
    </row>
    <row r="127" spans="1:1">
      <c r="A127" s="104"/>
    </row>
    <row r="128" spans="1:1">
      <c r="A128" s="104"/>
    </row>
    <row r="129" spans="1:1">
      <c r="A129" s="104"/>
    </row>
    <row r="130" spans="1:1">
      <c r="A130" s="104"/>
    </row>
    <row r="131" spans="1:1">
      <c r="A131" s="104"/>
    </row>
    <row r="132" spans="1:1">
      <c r="A132" s="104"/>
    </row>
    <row r="133" spans="1:1">
      <c r="A133" s="104"/>
    </row>
    <row r="134" spans="1:1">
      <c r="A134" s="104"/>
    </row>
    <row r="135" spans="1:1">
      <c r="A135" s="104"/>
    </row>
    <row r="136" spans="1:1">
      <c r="A136" s="104"/>
    </row>
    <row r="137" spans="1:1">
      <c r="A137" s="104"/>
    </row>
    <row r="138" spans="1:1">
      <c r="A138" s="104"/>
    </row>
    <row r="139" spans="1:1">
      <c r="A139" s="104"/>
    </row>
    <row r="140" spans="1:1">
      <c r="A140" s="104"/>
    </row>
    <row r="141" spans="1:1">
      <c r="A141" s="104"/>
    </row>
    <row r="142" spans="1:1">
      <c r="A142" s="104"/>
    </row>
    <row r="143" spans="1:1">
      <c r="A143" s="104"/>
    </row>
    <row r="144" spans="1:1">
      <c r="A144" s="104"/>
    </row>
    <row r="145" spans="1:1">
      <c r="A145" s="104"/>
    </row>
    <row r="146" spans="1:1">
      <c r="A146" s="104"/>
    </row>
    <row r="147" spans="1:1">
      <c r="A147" s="104"/>
    </row>
    <row r="148" spans="1:1">
      <c r="A148" s="104"/>
    </row>
    <row r="149" spans="1:1">
      <c r="A149" s="104"/>
    </row>
    <row r="150" spans="1:1">
      <c r="A150" s="104"/>
    </row>
    <row r="151" spans="1:1">
      <c r="A151" s="104"/>
    </row>
  </sheetData>
  <mergeCells count="1">
    <mergeCell ref="A1:K1"/>
  </mergeCells>
  <phoneticPr fontId="13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2"/>
  <sheetViews>
    <sheetView showGridLines="0" topLeftCell="A13" workbookViewId="0">
      <selection activeCell="F21" sqref="F21"/>
    </sheetView>
  </sheetViews>
  <sheetFormatPr defaultRowHeight="14"/>
  <cols>
    <col min="1" max="1" width="13" style="95" customWidth="1"/>
    <col min="2" max="13" width="12" style="95" customWidth="1"/>
  </cols>
  <sheetData>
    <row r="1" spans="1:13" ht="19" customHeight="1">
      <c r="A1" s="144" t="s">
        <v>51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</row>
    <row r="4" spans="1:13">
      <c r="B4" s="146" t="s">
        <v>52</v>
      </c>
      <c r="C4" s="147"/>
      <c r="D4" s="148"/>
      <c r="E4" s="146" t="s">
        <v>53</v>
      </c>
      <c r="F4" s="147"/>
      <c r="G4" s="148"/>
      <c r="H4" s="146" t="s">
        <v>54</v>
      </c>
      <c r="I4" s="147"/>
      <c r="J4" s="148"/>
      <c r="K4" s="146" t="s">
        <v>55</v>
      </c>
      <c r="L4" s="147"/>
      <c r="M4" s="148"/>
    </row>
    <row r="5" spans="1:13">
      <c r="A5" s="25" t="s">
        <v>56</v>
      </c>
      <c r="B5" s="25" t="s">
        <v>57</v>
      </c>
      <c r="C5" s="25" t="s">
        <v>58</v>
      </c>
      <c r="D5" s="25" t="s">
        <v>59</v>
      </c>
      <c r="E5" s="25" t="s">
        <v>57</v>
      </c>
      <c r="F5" s="25" t="s">
        <v>58</v>
      </c>
      <c r="G5" s="25" t="s">
        <v>59</v>
      </c>
      <c r="H5" s="25" t="s">
        <v>57</v>
      </c>
      <c r="I5" s="25" t="s">
        <v>58</v>
      </c>
      <c r="J5" s="25" t="s">
        <v>59</v>
      </c>
      <c r="K5" s="25" t="s">
        <v>57</v>
      </c>
      <c r="L5" s="25" t="s">
        <v>58</v>
      </c>
      <c r="M5" s="25" t="s">
        <v>59</v>
      </c>
    </row>
    <row r="6" spans="1:13">
      <c r="A6" s="106">
        <f>IF('净值数据(iFinD公式)'!A5="","",'净值数据(iFinD公式)'!A5)</f>
        <v>46171</v>
      </c>
      <c r="B6" s="102">
        <f>IF(OR('净值数据(iFinD公式)'!$A5="",'净值数据(iFinD公式)'!$B5=""),"",SUMPRODUCT(持仓配置!$B$4:$N$4,'净值数据(iFinD公式)'!$B5:$N5/'净值数据(iFinD公式)'!$B$5:$N$5)*(1-持仓配置!$P$4)^((ROW()-6)/说明!$C$17))</f>
        <v>1</v>
      </c>
      <c r="C6" s="9"/>
      <c r="D6" s="9">
        <f>IF(B6="","",B6/MAX(B$6:B6)-1)</f>
        <v>0</v>
      </c>
      <c r="E6" s="102">
        <f>IF(OR('净值数据(iFinD公式)'!$A5="",'净值数据(iFinD公式)'!$B5=""),"",SUMPRODUCT(持仓配置!$B$5:$N$5,'净值数据(iFinD公式)'!$B5:$N5/'净值数据(iFinD公式)'!$B$5:$N$5)*(1-持仓配置!$P$5)^((ROW()-6)/说明!$C$17))</f>
        <v>1</v>
      </c>
      <c r="F6" s="9"/>
      <c r="G6" s="9">
        <f>IF(E6="","",E6/MAX(E$6:E6)-1)</f>
        <v>0</v>
      </c>
      <c r="H6" s="102">
        <f>IF(OR('净值数据(iFinD公式)'!$A5="",'净值数据(iFinD公式)'!$B5=""),"",SUMPRODUCT(持仓配置!$B$6:$N$6,'净值数据(iFinD公式)'!$B5:$N5/'净值数据(iFinD公式)'!$B$5:$N$5)*(1-持仓配置!$P$6)^((ROW()-6)/说明!$C$17))</f>
        <v>1</v>
      </c>
      <c r="I6" s="9"/>
      <c r="J6" s="9">
        <f>IF(H6="","",H6/MAX(H$6:H6)-1)</f>
        <v>0</v>
      </c>
      <c r="K6" s="102">
        <f>IF(OR('净值数据(iFinD公式)'!$A5="",'净值数据(iFinD公式)'!$B5=""),"",SUMPRODUCT(持仓配置!$B$7:$N$7,'净值数据(iFinD公式)'!$B5:$N5/'净值数据(iFinD公式)'!$B$5:$N$5)*(1-持仓配置!$P$7)^((ROW()-6)/说明!$C$17))</f>
        <v>1</v>
      </c>
      <c r="L6" s="9"/>
      <c r="M6" s="9">
        <f>IF(K6="","",K6/MAX(K$6:K6)-1)</f>
        <v>0</v>
      </c>
    </row>
    <row r="7" spans="1:13">
      <c r="A7" s="106">
        <f>IF('净值数据(iFinD公式)'!A6="","",'净值数据(iFinD公式)'!A6)</f>
        <v>46174</v>
      </c>
      <c r="B7" s="102">
        <f>IF(OR('净值数据(iFinD公式)'!$A6="",'净值数据(iFinD公式)'!$B6=""),"",SUMPRODUCT(持仓配置!$B$4:$N$4,'净值数据(iFinD公式)'!$B6:$N6/'净值数据(iFinD公式)'!$B$5:$N$5)*(1-持仓配置!$P$4)^((ROW()-6)/说明!$C$17))</f>
        <v>0.99765643337172227</v>
      </c>
      <c r="C7" s="9">
        <f t="shared" ref="C7:C38" si="0">IF(OR(B7="",B6=""),"",B7/B6-1)</f>
        <v>-2.3435666282777268E-3</v>
      </c>
      <c r="D7" s="9">
        <f>IF(B7="","",B7/MAX(B$6:B7)-1)</f>
        <v>-2.3435666282777268E-3</v>
      </c>
      <c r="E7" s="102">
        <f>IF(OR('净值数据(iFinD公式)'!$A6="",'净值数据(iFinD公式)'!$B6=""),"",SUMPRODUCT(持仓配置!$B$5:$N$5,'净值数据(iFinD公式)'!$B6:$N6/'净值数据(iFinD公式)'!$B$5:$N$5)*(1-持仓配置!$P$5)^((ROW()-6)/说明!$C$17))</f>
        <v>0.99470984476576541</v>
      </c>
      <c r="F7" s="9">
        <f t="shared" ref="F7:F38" si="1">IF(OR(E7="",E6=""),"",E7/E6-1)</f>
        <v>-5.2901552342345948E-3</v>
      </c>
      <c r="G7" s="9">
        <f>IF(E7="","",E7/MAX(E$6:E7)-1)</f>
        <v>-5.2901552342345948E-3</v>
      </c>
      <c r="H7" s="102">
        <f>IF(OR('净值数据(iFinD公式)'!$A6="",'净值数据(iFinD公式)'!$B6=""),"",SUMPRODUCT(持仓配置!$B$6:$N$6,'净值数据(iFinD公式)'!$B6:$N6/'净值数据(iFinD公式)'!$B$5:$N$5)*(1-持仓配置!$P$6)^((ROW()-6)/说明!$C$17))</f>
        <v>0.99155315914152709</v>
      </c>
      <c r="I7" s="9">
        <f t="shared" ref="I7:I38" si="2">IF(OR(H7="",H6=""),"",H7/H6-1)</f>
        <v>-8.4468408584729149E-3</v>
      </c>
      <c r="J7" s="9">
        <f>IF(H7="","",H7/MAX(H$6:H7)-1)</f>
        <v>-8.4468408584729149E-3</v>
      </c>
      <c r="K7" s="102">
        <f>IF(OR('净值数据(iFinD公式)'!$A6="",'净值数据(iFinD公式)'!$B6=""),"",SUMPRODUCT(持仓配置!$B$7:$N$7,'净值数据(iFinD公式)'!$B6:$N6/'净值数据(iFinD公式)'!$B$5:$N$5)*(1-持仓配置!$P$7)^((ROW()-6)/说明!$C$17))</f>
        <v>0.94945546915734413</v>
      </c>
      <c r="L7" s="9">
        <f t="shared" ref="L7:L38" si="3">IF(OR(K7="",K6=""),"",K7/K6-1)</f>
        <v>-5.0544530842655866E-2</v>
      </c>
      <c r="M7" s="9">
        <f>IF(K7="","",K7/MAX(K$6:K7)-1)</f>
        <v>-5.0544530842655866E-2</v>
      </c>
    </row>
    <row r="8" spans="1:13">
      <c r="A8" s="106">
        <f>IF('净值数据(iFinD公式)'!A7="","",'净值数据(iFinD公式)'!A7)</f>
        <v>46175</v>
      </c>
      <c r="B8" s="102">
        <f>IF(OR('净值数据(iFinD公式)'!$A7="",'净值数据(iFinD公式)'!$B7=""),"",SUMPRODUCT(持仓配置!$B$4:$N$4,'净值数据(iFinD公式)'!$B7:$N7/'净值数据(iFinD公式)'!$B$5:$N$5)*(1-持仓配置!$P$4)^((ROW()-6)/说明!$C$17))</f>
        <v>1.0004873988232836</v>
      </c>
      <c r="C8" s="9">
        <f t="shared" si="0"/>
        <v>2.8376155927685165E-3</v>
      </c>
      <c r="D8" s="9">
        <f>IF(B8="","",B8/MAX(B$6:B8)-1)</f>
        <v>0</v>
      </c>
      <c r="E8" s="102">
        <f>IF(OR('净值数据(iFinD公式)'!$A7="",'净值数据(iFinD公式)'!$B7=""),"",SUMPRODUCT(持仓配置!$B$5:$N$5,'净值数据(iFinD公式)'!$B7:$N7/'净值数据(iFinD公式)'!$B$5:$N$5)*(1-持仓配置!$P$5)^((ROW()-6)/说明!$C$17))</f>
        <v>1.0000345543500495</v>
      </c>
      <c r="F8" s="9">
        <f t="shared" si="1"/>
        <v>5.3530279330229469E-3</v>
      </c>
      <c r="G8" s="9">
        <f>IF(E8="","",E8/MAX(E$6:E8)-1)</f>
        <v>0</v>
      </c>
      <c r="H8" s="102">
        <f>IF(OR('净值数据(iFinD公式)'!$A7="",'净值数据(iFinD公式)'!$B7=""),"",SUMPRODUCT(持仓配置!$B$6:$N$6,'净值数据(iFinD公式)'!$B7:$N7/'净值数据(iFinD公式)'!$B$5:$N$5)*(1-持仓配置!$P$6)^((ROW()-6)/说明!$C$17))</f>
        <v>0.99966507234586588</v>
      </c>
      <c r="I8" s="9">
        <f t="shared" si="2"/>
        <v>8.1810169525977638E-3</v>
      </c>
      <c r="J8" s="9">
        <f>IF(H8="","",H8/MAX(H$6:H8)-1)</f>
        <v>-3.3492765413412062E-4</v>
      </c>
      <c r="K8" s="102">
        <f>IF(OR('净值数据(iFinD公式)'!$A7="",'净值数据(iFinD公式)'!$B7=""),"",SUMPRODUCT(持仓配置!$B$7:$N$7,'净值数据(iFinD公式)'!$B7:$N7/'净值数据(iFinD公式)'!$B$5:$N$5)*(1-持仓配置!$P$7)^((ROW()-6)/说明!$C$17))</f>
        <v>0.99538006235370846</v>
      </c>
      <c r="L8" s="9">
        <f t="shared" si="3"/>
        <v>4.8369401923739508E-2</v>
      </c>
      <c r="M8" s="9">
        <f>IF(K8="","",K8/MAX(K$6:K8)-1)</f>
        <v>-4.6199376462915387E-3</v>
      </c>
    </row>
    <row r="9" spans="1:13">
      <c r="A9" s="106">
        <f>IF('净值数据(iFinD公式)'!A8="","",'净值数据(iFinD公式)'!A8)</f>
        <v>46176</v>
      </c>
      <c r="B9" s="102">
        <f>IF(OR('净值数据(iFinD公式)'!$A8="",'净值数据(iFinD公式)'!$B8=""),"",SUMPRODUCT(持仓配置!$B$4:$N$4,'净值数据(iFinD公式)'!$B8:$N8/'净值数据(iFinD公式)'!$B$5:$N$5)*(1-持仓配置!$P$4)^((ROW()-6)/说明!$C$17))</f>
        <v>1.0019149392222524</v>
      </c>
      <c r="C9" s="9">
        <f t="shared" si="0"/>
        <v>1.4268449564160957E-3</v>
      </c>
      <c r="D9" s="9">
        <f>IF(B9="","",B9/MAX(B$6:B9)-1)</f>
        <v>0</v>
      </c>
      <c r="E9" s="102">
        <f>IF(OR('净值数据(iFinD公式)'!$A8="",'净值数据(iFinD公式)'!$B8=""),"",SUMPRODUCT(持仓配置!$B$5:$N$5,'净值数据(iFinD公式)'!$B8:$N8/'净值数据(iFinD公式)'!$B$5:$N$5)*(1-持仓配置!$P$5)^((ROW()-6)/说明!$C$17))</f>
        <v>1.0039489678128992</v>
      </c>
      <c r="F9" s="9">
        <f t="shared" si="1"/>
        <v>3.9142782075103355E-3</v>
      </c>
      <c r="G9" s="9">
        <f>IF(E9="","",E9/MAX(E$6:E9)-1)</f>
        <v>0</v>
      </c>
      <c r="H9" s="102">
        <f>IF(OR('净值数据(iFinD公式)'!$A8="",'净值数据(iFinD公式)'!$B8=""),"",SUMPRODUCT(持仓配置!$B$6:$N$6,'净值数据(iFinD公式)'!$B8:$N8/'净值数据(iFinD公式)'!$B$5:$N$5)*(1-持仓配置!$P$6)^((ROW()-6)/说明!$C$17))</f>
        <v>1.0054021878924591</v>
      </c>
      <c r="I9" s="9">
        <f t="shared" si="2"/>
        <v>5.7390377090300593E-3</v>
      </c>
      <c r="J9" s="9">
        <f>IF(H9="","",H9/MAX(H$6:H9)-1)</f>
        <v>0</v>
      </c>
      <c r="K9" s="102">
        <f>IF(OR('净值数据(iFinD公式)'!$A8="",'净值数据(iFinD公式)'!$B8=""),"",SUMPRODUCT(持仓配置!$B$7:$N$7,'净值数据(iFinD公式)'!$B8:$N8/'净值数据(iFinD公式)'!$B$5:$N$5)*(1-持仓配置!$P$7)^((ROW()-6)/说明!$C$17))</f>
        <v>1.0384782695070389</v>
      </c>
      <c r="L9" s="9">
        <f t="shared" si="3"/>
        <v>4.3298242333103421E-2</v>
      </c>
      <c r="M9" s="9">
        <f>IF(K9="","",K9/MAX(K$6:K9)-1)</f>
        <v>0</v>
      </c>
    </row>
    <row r="10" spans="1:13">
      <c r="A10" s="106">
        <f>IF('净值数据(iFinD公式)'!A9="","",'净值数据(iFinD公式)'!A9)</f>
        <v>46177</v>
      </c>
      <c r="B10" s="102">
        <f>IF(OR('净值数据(iFinD公式)'!$A9="",'净值数据(iFinD公式)'!$B9=""),"",SUMPRODUCT(持仓配置!$B$4:$N$4,'净值数据(iFinD公式)'!$B9:$N9/'净值数据(iFinD公式)'!$B$5:$N$5)*(1-持仓配置!$P$4)^((ROW()-6)/说明!$C$17))</f>
        <v>1.0027653095977875</v>
      </c>
      <c r="C10" s="9">
        <f t="shared" si="0"/>
        <v>8.4874508029120221E-4</v>
      </c>
      <c r="D10" s="9">
        <f>IF(B10="","",B10/MAX(B$6:B10)-1)</f>
        <v>0</v>
      </c>
      <c r="E10" s="102">
        <f>IF(OR('净值数据(iFinD公式)'!$A9="",'净值数据(iFinD公式)'!$B9=""),"",SUMPRODUCT(持仓配置!$B$5:$N$5,'净值数据(iFinD公式)'!$B9:$N9/'净值数据(iFinD公式)'!$B$5:$N$5)*(1-持仓配置!$P$5)^((ROW()-6)/说明!$C$17))</f>
        <v>1.005004136734627</v>
      </c>
      <c r="F10" s="9">
        <f t="shared" si="1"/>
        <v>1.0510184835654801E-3</v>
      </c>
      <c r="G10" s="9">
        <f>IF(E10="","",E10/MAX(E$6:E10)-1)</f>
        <v>0</v>
      </c>
      <c r="H10" s="102">
        <f>IF(OR('净值数据(iFinD公式)'!$A9="",'净值数据(iFinD公式)'!$B9=""),"",SUMPRODUCT(持仓配置!$B$6:$N$6,'净值数据(iFinD公式)'!$B9:$N9/'净值数据(iFinD公式)'!$B$5:$N$5)*(1-持仓配置!$P$6)^((ROW()-6)/说明!$C$17))</f>
        <v>1.0067152426153394</v>
      </c>
      <c r="I10" s="9">
        <f t="shared" si="2"/>
        <v>1.305999468364849E-3</v>
      </c>
      <c r="J10" s="9">
        <f>IF(H10="","",H10/MAX(H$6:H10)-1)</f>
        <v>0</v>
      </c>
      <c r="K10" s="102">
        <f>IF(OR('净值数据(iFinD公式)'!$A9="",'净值数据(iFinD公式)'!$B9=""),"",SUMPRODUCT(持仓配置!$B$7:$N$7,'净值数据(iFinD公式)'!$B9:$N9/'净值数据(iFinD公式)'!$B$5:$N$5)*(1-持仓配置!$P$7)^((ROW()-6)/说明!$C$17))</f>
        <v>1.0480044619106184</v>
      </c>
      <c r="L10" s="9">
        <f t="shared" si="3"/>
        <v>9.1732226694560826E-3</v>
      </c>
      <c r="M10" s="9">
        <f>IF(K10="","",K10/MAX(K$6:K10)-1)</f>
        <v>0</v>
      </c>
    </row>
    <row r="11" spans="1:13">
      <c r="A11" s="106">
        <f>IF('净值数据(iFinD公式)'!A10="","",'净值数据(iFinD公式)'!A10)</f>
        <v>46178</v>
      </c>
      <c r="B11" s="102">
        <f>IF(OR('净值数据(iFinD公式)'!$A10="",'净值数据(iFinD公式)'!$B10=""),"",SUMPRODUCT(持仓配置!$B$4:$N$4,'净值数据(iFinD公式)'!$B10:$N10/'净值数据(iFinD公式)'!$B$5:$N$5)*(1-持仓配置!$P$4)^((ROW()-6)/说明!$C$17))</f>
        <v>0.99978370102959424</v>
      </c>
      <c r="C11" s="9">
        <f t="shared" si="0"/>
        <v>-2.9733862347005591E-3</v>
      </c>
      <c r="D11" s="9">
        <f>IF(B11="","",B11/MAX(B$6:B11)-1)</f>
        <v>-2.9733862347005591E-3</v>
      </c>
      <c r="E11" s="102">
        <f>IF(OR('净值数据(iFinD公式)'!$A10="",'净值数据(iFinD公式)'!$B10=""),"",SUMPRODUCT(持仓配置!$B$5:$N$5,'净值数据(iFinD公式)'!$B10:$N10/'净值数据(iFinD公式)'!$B$5:$N$5)*(1-持仓配置!$P$5)^((ROW()-6)/说明!$C$17))</f>
        <v>0.99963093145942272</v>
      </c>
      <c r="F11" s="9">
        <f t="shared" si="1"/>
        <v>-5.3464509038364527E-3</v>
      </c>
      <c r="G11" s="9">
        <f>IF(E11="","",E11/MAX(E$6:E11)-1)</f>
        <v>-5.3464509038364527E-3</v>
      </c>
      <c r="H11" s="102">
        <f>IF(OR('净值数据(iFinD公式)'!$A10="",'净值数据(iFinD公式)'!$B10=""),"",SUMPRODUCT(持仓配置!$B$6:$N$6,'净值数据(iFinD公式)'!$B10:$N10/'净值数据(iFinD公式)'!$B$5:$N$5)*(1-持仓配置!$P$6)^((ROW()-6)/说明!$C$17))</f>
        <v>0.99897575218692147</v>
      </c>
      <c r="I11" s="9">
        <f t="shared" si="2"/>
        <v>-7.6878645527522771E-3</v>
      </c>
      <c r="J11" s="9">
        <f>IF(H11="","",H11/MAX(H$6:H11)-1)</f>
        <v>-7.6878645527522771E-3</v>
      </c>
      <c r="K11" s="102">
        <f>IF(OR('净值数据(iFinD公式)'!$A10="",'净值数据(iFinD公式)'!$B10=""),"",SUMPRODUCT(持仓配置!$B$7:$N$7,'净值数据(iFinD公式)'!$B10:$N10/'净值数据(iFinD公式)'!$B$5:$N$5)*(1-持仓配置!$P$7)^((ROW()-6)/说明!$C$17))</f>
        <v>1.0110077203724701</v>
      </c>
      <c r="L11" s="9">
        <f t="shared" si="3"/>
        <v>-3.5302083991798461E-2</v>
      </c>
      <c r="M11" s="9">
        <f>IF(K11="","",K11/MAX(K$6:K11)-1)</f>
        <v>-3.5302083991798461E-2</v>
      </c>
    </row>
    <row r="12" spans="1:13">
      <c r="A12" s="106">
        <f>IF('净值数据(iFinD公式)'!A11="","",'净值数据(iFinD公式)'!A11)</f>
        <v>46181</v>
      </c>
      <c r="B12" s="102">
        <f>IF(OR('净值数据(iFinD公式)'!$A11="",'净值数据(iFinD公式)'!$B11=""),"",SUMPRODUCT(持仓配置!$B$4:$N$4,'净值数据(iFinD公式)'!$B11:$N11/'净值数据(iFinD公式)'!$B$5:$N$5)*(1-持仓配置!$P$4)^((ROW()-6)/说明!$C$17))</f>
        <v>0.99463803716562982</v>
      </c>
      <c r="C12" s="9">
        <f t="shared" si="0"/>
        <v>-5.146777106553424E-3</v>
      </c>
      <c r="D12" s="9">
        <f>IF(B12="","",B12/MAX(B$6:B12)-1)</f>
        <v>-8.1048599850522818E-3</v>
      </c>
      <c r="E12" s="102">
        <f>IF(OR('净值数据(iFinD公式)'!$A11="",'净值数据(iFinD公式)'!$B11=""),"",SUMPRODUCT(持仓配置!$B$5:$N$5,'净值数据(iFinD公式)'!$B11:$N11/'净值数据(iFinD公式)'!$B$5:$N$5)*(1-持仓配置!$P$5)^((ROW()-6)/说明!$C$17))</f>
        <v>0.9914160277538232</v>
      </c>
      <c r="F12" s="9">
        <f t="shared" si="1"/>
        <v>-8.217936687499372E-3</v>
      </c>
      <c r="G12" s="9">
        <f>IF(E12="","",E12/MAX(E$6:E12)-1)</f>
        <v>-1.3520450796305261E-2</v>
      </c>
      <c r="H12" s="102">
        <f>IF(OR('净值数据(iFinD公式)'!$A11="",'净值数据(iFinD公式)'!$B11=""),"",SUMPRODUCT(持仓配置!$B$6:$N$6,'净值数据(iFinD公式)'!$B11:$N11/'净值数据(iFinD公式)'!$B$5:$N$5)*(1-持仓配置!$P$6)^((ROW()-6)/说明!$C$17))</f>
        <v>0.98606519718573116</v>
      </c>
      <c r="I12" s="9">
        <f t="shared" si="2"/>
        <v>-1.2923792167054082E-2</v>
      </c>
      <c r="J12" s="9">
        <f>IF(H12="","",H12/MAX(H$6:H12)-1)</f>
        <v>-2.0512300356118174E-2</v>
      </c>
      <c r="K12" s="102">
        <f>IF(OR('净值数据(iFinD公式)'!$A11="",'净值数据(iFinD公式)'!$B11=""),"",SUMPRODUCT(持仓配置!$B$7:$N$7,'净值数据(iFinD公式)'!$B11:$N11/'净值数据(iFinD公式)'!$B$5:$N$5)*(1-持仓配置!$P$7)^((ROW()-6)/说明!$C$17))</f>
        <v>0.97978619276008949</v>
      </c>
      <c r="L12" s="9">
        <f t="shared" si="3"/>
        <v>-3.0881591686439447E-2</v>
      </c>
      <c r="M12" s="9">
        <f>IF(K12="","",K12/MAX(K$6:K12)-1)</f>
        <v>-6.5093491134722847E-2</v>
      </c>
    </row>
    <row r="13" spans="1:13">
      <c r="A13" s="106">
        <f>IF('净值数据(iFinD公式)'!A12="","",'净值数据(iFinD公式)'!A12)</f>
        <v>46182</v>
      </c>
      <c r="B13" s="102">
        <f>IF(OR('净值数据(iFinD公式)'!$A12="",'净值数据(iFinD公式)'!$B12=""),"",SUMPRODUCT(持仓配置!$B$4:$N$4,'净值数据(iFinD公式)'!$B12:$N12/'净值数据(iFinD公式)'!$B$5:$N$5)*(1-持仓配置!$P$4)^((ROW()-6)/说明!$C$17))</f>
        <v>0.99810930076783855</v>
      </c>
      <c r="C13" s="9">
        <f t="shared" si="0"/>
        <v>3.4899767277154492E-3</v>
      </c>
      <c r="D13" s="9">
        <f>IF(B13="","",B13/MAX(B$6:B13)-1)</f>
        <v>-4.6431690300660078E-3</v>
      </c>
      <c r="E13" s="102">
        <f>IF(OR('净值数据(iFinD公式)'!$A12="",'净值数据(iFinD公式)'!$B12=""),"",SUMPRODUCT(持仓配置!$B$5:$N$5,'净值数据(iFinD公式)'!$B12:$N12/'净值数据(iFinD公式)'!$B$5:$N$5)*(1-持仓配置!$P$5)^((ROW()-6)/说明!$C$17))</f>
        <v>0.99885348994831058</v>
      </c>
      <c r="F13" s="9">
        <f t="shared" si="1"/>
        <v>7.5018579347945202E-3</v>
      </c>
      <c r="G13" s="9">
        <f>IF(E13="","",E13/MAX(E$6:E13)-1)</f>
        <v>-6.1200213625991484E-3</v>
      </c>
      <c r="H13" s="102">
        <f>IF(OR('净值数据(iFinD公式)'!$A12="",'净值数据(iFinD公式)'!$B12=""),"",SUMPRODUCT(持仓配置!$B$6:$N$6,'净值数据(iFinD公式)'!$B12:$N12/'净值数据(iFinD公式)'!$B$5:$N$5)*(1-持仓配置!$P$6)^((ROW()-6)/说明!$C$17))</f>
        <v>0.99769736988245605</v>
      </c>
      <c r="I13" s="9">
        <f t="shared" si="2"/>
        <v>1.1796555369689044E-2</v>
      </c>
      <c r="J13" s="9">
        <f>IF(H13="","",H13/MAX(H$6:H13)-1)</f>
        <v>-8.9577194733396759E-3</v>
      </c>
      <c r="K13" s="102">
        <f>IF(OR('净值数据(iFinD公式)'!$A12="",'净值数据(iFinD公式)'!$B12=""),"",SUMPRODUCT(持仓配置!$B$7:$N$7,'净值数据(iFinD公式)'!$B12:$N12/'净值数据(iFinD公式)'!$B$5:$N$5)*(1-持仓配置!$P$7)^((ROW()-6)/说明!$C$17))</f>
        <v>1.0345420410884638</v>
      </c>
      <c r="L13" s="9">
        <f t="shared" si="3"/>
        <v>5.5885507198387252E-2</v>
      </c>
      <c r="M13" s="9">
        <f>IF(K13="","",K13/MAX(K$6:K13)-1)</f>
        <v>-1.2845766703713402E-2</v>
      </c>
    </row>
    <row r="14" spans="1:13">
      <c r="A14" s="106">
        <f>IF('净值数据(iFinD公式)'!A13="","",'净值数据(iFinD公式)'!A13)</f>
        <v>46183</v>
      </c>
      <c r="B14" s="102">
        <f>IF(OR('净值数据(iFinD公式)'!$A13="",'净值数据(iFinD公式)'!$B13=""),"",SUMPRODUCT(持仓配置!$B$4:$N$4,'净值数据(iFinD公式)'!$B13:$N13/'净值数据(iFinD公式)'!$B$5:$N$5)*(1-持仓配置!$P$4)^((ROW()-6)/说明!$C$17))</f>
        <v>0.99416736668282224</v>
      </c>
      <c r="C14" s="9">
        <f t="shared" si="0"/>
        <v>-3.9494012148607593E-3</v>
      </c>
      <c r="D14" s="9">
        <f>IF(B14="","",B14/MAX(B$6:B14)-1)</f>
        <v>-8.5742325075185422E-3</v>
      </c>
      <c r="E14" s="102">
        <f>IF(OR('净值数据(iFinD公式)'!$A13="",'净值数据(iFinD公式)'!$B13=""),"",SUMPRODUCT(持仓配置!$B$5:$N$5,'净值数据(iFinD公式)'!$B13:$N13/'净值数据(iFinD公式)'!$B$5:$N$5)*(1-持仓配置!$P$5)^((ROW()-6)/说明!$C$17))</f>
        <v>0.99329826179446434</v>
      </c>
      <c r="F14" s="9">
        <f t="shared" si="1"/>
        <v>-5.5616045894115729E-3</v>
      </c>
      <c r="G14" s="9">
        <f>IF(E14="","",E14/MAX(E$6:E14)-1)</f>
        <v>-1.1647588813113119E-2</v>
      </c>
      <c r="H14" s="102">
        <f>IF(OR('净值数据(iFinD公式)'!$A13="",'净值数据(iFinD公式)'!$B13=""),"",SUMPRODUCT(持仓配置!$B$6:$N$6,'净值数据(iFinD公式)'!$B13:$N13/'净值数据(iFinD公式)'!$B$5:$N$5)*(1-持仓配置!$P$6)^((ROW()-6)/说明!$C$17))</f>
        <v>0.98909039856974745</v>
      </c>
      <c r="I14" s="9">
        <f t="shared" si="2"/>
        <v>-8.6268357244668747E-3</v>
      </c>
      <c r="J14" s="9">
        <f>IF(H14="","",H14/MAX(H$6:H14)-1)</f>
        <v>-1.7507278423444239E-2</v>
      </c>
      <c r="K14" s="102">
        <f>IF(OR('净值数据(iFinD公式)'!$A13="",'净值数据(iFinD公式)'!$B13=""),"",SUMPRODUCT(持仓配置!$B$7:$N$7,'净值数据(iFinD公式)'!$B13:$N13/'净值数据(iFinD公式)'!$B$5:$N$5)*(1-持仓配置!$P$7)^((ROW()-6)/说明!$C$17))</f>
        <v>1.0134071157839812</v>
      </c>
      <c r="L14" s="9">
        <f t="shared" si="3"/>
        <v>-2.0429257067451911E-2</v>
      </c>
      <c r="M14" s="9">
        <f>IF(K14="","",K14/MAX(K$6:K14)-1)</f>
        <v>-3.3012594300946607E-2</v>
      </c>
    </row>
    <row r="15" spans="1:13">
      <c r="A15" s="106">
        <f>IF('净值数据(iFinD公式)'!A14="","",'净值数据(iFinD公式)'!A14)</f>
        <v>46184</v>
      </c>
      <c r="B15" s="102">
        <f>IF(OR('净值数据(iFinD公式)'!$A14="",'净值数据(iFinD公式)'!$B14=""),"",SUMPRODUCT(持仓配置!$B$4:$N$4,'净值数据(iFinD公式)'!$B14:$N14/'净值数据(iFinD公式)'!$B$5:$N$5)*(1-持仓配置!$P$4)^((ROW()-6)/说明!$C$17))</f>
        <v>0.99283271293635389</v>
      </c>
      <c r="C15" s="9">
        <f t="shared" si="0"/>
        <v>-1.342483963159613E-3</v>
      </c>
      <c r="D15" s="9">
        <f>IF(B15="","",B15/MAX(B$6:B15)-1)</f>
        <v>-9.9052057010404759E-3</v>
      </c>
      <c r="E15" s="102">
        <f>IF(OR('净值数据(iFinD公式)'!$A14="",'净值数据(iFinD公式)'!$B14=""),"",SUMPRODUCT(持仓配置!$B$5:$N$5,'净值数据(iFinD公式)'!$B14:$N14/'净值数据(iFinD公式)'!$B$5:$N$5)*(1-持仓配置!$P$5)^((ROW()-6)/说明!$C$17))</f>
        <v>0.99221024099815081</v>
      </c>
      <c r="F15" s="9">
        <f t="shared" si="1"/>
        <v>-1.0953616231522689E-3</v>
      </c>
      <c r="G15" s="9">
        <f>IF(E15="","",E15/MAX(E$6:E15)-1)</f>
        <v>-1.2730192114477235E-2</v>
      </c>
      <c r="H15" s="102">
        <f>IF(OR('净值数据(iFinD公式)'!$A14="",'净值数据(iFinD公式)'!$B14=""),"",SUMPRODUCT(持仓配置!$B$6:$N$6,'净值数据(iFinD公式)'!$B14:$N14/'净值数据(iFinD公式)'!$B$5:$N$5)*(1-持仓配置!$P$6)^((ROW()-6)/说明!$C$17))</f>
        <v>0.98728284218313966</v>
      </c>
      <c r="I15" s="9">
        <f t="shared" si="2"/>
        <v>-1.827493613547948E-3</v>
      </c>
      <c r="J15" s="9">
        <f>IF(H15="","",H15/MAX(H$6:H15)-1)</f>
        <v>-1.9302777597482668E-2</v>
      </c>
      <c r="K15" s="102">
        <f>IF(OR('净值数据(iFinD公式)'!$A14="",'净值数据(iFinD公式)'!$B14=""),"",SUMPRODUCT(持仓配置!$B$7:$N$7,'净值数据(iFinD公式)'!$B14:$N14/'净值数据(iFinD公式)'!$B$5:$N$5)*(1-持仓配置!$P$7)^((ROW()-6)/说明!$C$17))</f>
        <v>1.0210851218340495</v>
      </c>
      <c r="L15" s="9">
        <f t="shared" si="3"/>
        <v>7.5764280026082709E-3</v>
      </c>
      <c r="M15" s="9">
        <f>IF(K15="","",K15/MAX(K$6:K15)-1)</f>
        <v>-2.56862838422387E-2</v>
      </c>
    </row>
    <row r="16" spans="1:13">
      <c r="A16" s="106">
        <f>IF('净值数据(iFinD公式)'!A15="","",'净值数据(iFinD公式)'!A15)</f>
        <v>46185</v>
      </c>
      <c r="B16" s="102">
        <f>IF(OR('净值数据(iFinD公式)'!$A15="",'净值数据(iFinD公式)'!$B15=""),"",SUMPRODUCT(持仓配置!$B$4:$N$4,'净值数据(iFinD公式)'!$B15:$N15/'净值数据(iFinD公式)'!$B$5:$N$5)*(1-持仓配置!$P$4)^((ROW()-6)/说明!$C$17))</f>
        <v>0.99406258289832961</v>
      </c>
      <c r="C16" s="9">
        <f t="shared" si="0"/>
        <v>1.2387484275555583E-3</v>
      </c>
      <c r="D16" s="9">
        <f>IF(B16="","",B16/MAX(B$6:B16)-1)</f>
        <v>-8.6787273314716806E-3</v>
      </c>
      <c r="E16" s="102">
        <f>IF(OR('净值数据(iFinD公式)'!$A15="",'净值数据(iFinD公式)'!$B15=""),"",SUMPRODUCT(持仓配置!$B$5:$N$5,'净值数据(iFinD公式)'!$B15:$N15/'净值数据(iFinD公式)'!$B$5:$N$5)*(1-持仓配置!$P$5)^((ROW()-6)/说明!$C$17))</f>
        <v>0.99355219766600733</v>
      </c>
      <c r="F16" s="9">
        <f t="shared" si="1"/>
        <v>1.3524922565872899E-3</v>
      </c>
      <c r="G16" s="9">
        <f>IF(E16="","",E16/MAX(E$6:E16)-1)</f>
        <v>-1.1394917344149769E-2</v>
      </c>
      <c r="H16" s="102">
        <f>IF(OR('净值数据(iFinD公式)'!$A15="",'净值数据(iFinD公式)'!$B15=""),"",SUMPRODUCT(持仓配置!$B$6:$N$6,'净值数据(iFinD公式)'!$B15:$N15/'净值数据(iFinD公式)'!$B$5:$N$5)*(1-持仓配置!$P$6)^((ROW()-6)/说明!$C$17))</f>
        <v>0.98931718654652812</v>
      </c>
      <c r="I16" s="9">
        <f t="shared" si="2"/>
        <v>2.0605486862204092E-3</v>
      </c>
      <c r="J16" s="9">
        <f>IF(H16="","",H16/MAX(H$6:H16)-1)</f>
        <v>-1.7282003224281195E-2</v>
      </c>
      <c r="K16" s="102">
        <f>IF(OR('净值数据(iFinD公式)'!$A15="",'净值数据(iFinD公式)'!$B15=""),"",SUMPRODUCT(持仓配置!$B$7:$N$7,'净值数据(iFinD公式)'!$B15:$N15/'净值数据(iFinD公式)'!$B$5:$N$5)*(1-持仓配置!$P$7)^((ROW()-6)/说明!$C$17))</f>
        <v>1.0147864275445424</v>
      </c>
      <c r="L16" s="9">
        <f t="shared" si="3"/>
        <v>-6.1686280162358553E-3</v>
      </c>
      <c r="M16" s="9">
        <f>IF(K16="","",K16/MAX(K$6:K16)-1)</f>
        <v>-3.1696462728332375E-2</v>
      </c>
    </row>
    <row r="17" spans="1:15">
      <c r="A17" s="106">
        <f>IF('净值数据(iFinD公式)'!A16="","",'净值数据(iFinD公式)'!A16)</f>
        <v>46188</v>
      </c>
      <c r="B17" s="102">
        <f>IF(OR('净值数据(iFinD公式)'!$A16="",'净值数据(iFinD公式)'!$B16=""),"",SUMPRODUCT(持仓配置!$B$4:$N$4,'净值数据(iFinD公式)'!$B16:$N16/'净值数据(iFinD公式)'!$B$5:$N$5)*(1-持仓配置!$P$4)^((ROW()-6)/说明!$C$17))</f>
        <v>1.0008242059223755</v>
      </c>
      <c r="C17" s="9">
        <f t="shared" si="0"/>
        <v>6.8020093909293422E-3</v>
      </c>
      <c r="D17" s="9">
        <f>IF(B17="","",B17/MAX(B$6:B17)-1)</f>
        <v>-1.9357507253522366E-3</v>
      </c>
      <c r="E17" s="102">
        <f>IF(OR('净值数据(iFinD公式)'!$A16="",'净值数据(iFinD公式)'!$B16=""),"",SUMPRODUCT(持仓配置!$B$5:$N$5,'净值数据(iFinD公式)'!$B16:$N16/'净值数据(iFinD公式)'!$B$5:$N$5)*(1-持仓配置!$P$5)^((ROW()-6)/说明!$C$17))</f>
        <v>1.005261385185954</v>
      </c>
      <c r="F17" s="9">
        <f t="shared" si="1"/>
        <v>1.1785176005300046E-2</v>
      </c>
      <c r="G17" s="9">
        <f>IF(E17="","",E17/MAX(E$6:E17)-1)</f>
        <v>0</v>
      </c>
      <c r="H17" s="102">
        <f>IF(OR('净值数据(iFinD公式)'!$A16="",'净值数据(iFinD公式)'!$B16=""),"",SUMPRODUCT(持仓配置!$B$6:$N$6,'净值数据(iFinD公式)'!$B16:$N16/'净值数据(iFinD公式)'!$B$5:$N$5)*(1-持仓配置!$P$6)^((ROW()-6)/说明!$C$17))</f>
        <v>1.0074657646517369</v>
      </c>
      <c r="I17" s="9">
        <f t="shared" si="2"/>
        <v>1.8344549505463714E-2</v>
      </c>
      <c r="J17" s="9">
        <f>IF(H17="","",H17/MAX(H$6:H17)-1)</f>
        <v>0</v>
      </c>
      <c r="K17" s="102">
        <f>IF(OR('净值数据(iFinD公式)'!$A16="",'净值数据(iFinD公式)'!$B16=""),"",SUMPRODUCT(持仓配置!$B$7:$N$7,'净值数据(iFinD公式)'!$B16:$N16/'净值数据(iFinD公式)'!$B$5:$N$5)*(1-持仓配置!$P$7)^((ROW()-6)/说明!$C$17))</f>
        <v>1.0808664242080259</v>
      </c>
      <c r="L17" s="9">
        <f t="shared" si="3"/>
        <v>6.5117146692014627E-2</v>
      </c>
      <c r="M17" s="9">
        <f>IF(K17="","",K17/MAX(K$6:K17)-1)</f>
        <v>0</v>
      </c>
    </row>
    <row r="18" spans="1:15">
      <c r="A18" s="106">
        <f>IF('净值数据(iFinD公式)'!A17="","",'净值数据(iFinD公式)'!A17)</f>
        <v>46189</v>
      </c>
      <c r="B18" s="102">
        <f>IF(OR('净值数据(iFinD公式)'!$A17="",'净值数据(iFinD公式)'!$B17=""),"",SUMPRODUCT(持仓配置!$B$4:$N$4,'净值数据(iFinD公式)'!$B17:$N17/'净值数据(iFinD公式)'!$B$5:$N$5)*(1-持仓配置!$P$4)^((ROW()-6)/说明!$C$17))</f>
        <v>1.0035619999384113</v>
      </c>
      <c r="C18" s="9">
        <f t="shared" si="0"/>
        <v>2.7355393682875206E-3</v>
      </c>
      <c r="D18" s="9">
        <f>IF(B18="","",B18/MAX(B$6:B18)-1)</f>
        <v>0</v>
      </c>
      <c r="E18" s="102">
        <f>IF(OR('净值数据(iFinD公式)'!$A17="",'净值数据(iFinD公式)'!$B17=""),"",SUMPRODUCT(持仓配置!$B$5:$N$5,'净值数据(iFinD公式)'!$B17:$N17/'净值数据(iFinD公式)'!$B$5:$N$5)*(1-持仓配置!$P$5)^((ROW()-6)/说明!$C$17))</f>
        <v>1.0097216988763142</v>
      </c>
      <c r="F18" s="9">
        <f t="shared" si="1"/>
        <v>4.4369690869356937E-3</v>
      </c>
      <c r="G18" s="9">
        <f>IF(E18="","",E18/MAX(E$6:E18)-1)</f>
        <v>0</v>
      </c>
      <c r="H18" s="102">
        <f>IF(OR('净值数据(iFinD公式)'!$A17="",'净值数据(iFinD公式)'!$B17=""),"",SUMPRODUCT(持仓配置!$B$6:$N$6,'净值数据(iFinD公式)'!$B17:$N17/'净值数据(iFinD公式)'!$B$5:$N$5)*(1-持仓配置!$P$6)^((ROW()-6)/说明!$C$17))</f>
        <v>1.0137960862629365</v>
      </c>
      <c r="I18" s="9">
        <f t="shared" si="2"/>
        <v>6.2834111424003858E-3</v>
      </c>
      <c r="J18" s="9">
        <f>IF(H18="","",H18/MAX(H$6:H18)-1)</f>
        <v>0</v>
      </c>
      <c r="K18" s="102">
        <f>IF(OR('净值数据(iFinD公式)'!$A17="",'净值数据(iFinD公式)'!$B17=""),"",SUMPRODUCT(持仓配置!$B$7:$N$7,'净值数据(iFinD公式)'!$B17:$N17/'净值数据(iFinD公式)'!$B$5:$N$5)*(1-持仓配置!$P$7)^((ROW()-6)/说明!$C$17))</f>
        <v>1.1061052380936494</v>
      </c>
      <c r="L18" s="9">
        <f t="shared" si="3"/>
        <v>2.3350539271415061E-2</v>
      </c>
      <c r="M18" s="9">
        <f>IF(K18="","",K18/MAX(K$6:K18)-1)</f>
        <v>0</v>
      </c>
    </row>
    <row r="19" spans="1:15">
      <c r="A19" s="106">
        <f>IF('净值数据(iFinD公式)'!A18="","",'净值数据(iFinD公式)'!A18)</f>
        <v>46190</v>
      </c>
      <c r="B19" s="102">
        <f>IF(OR('净值数据(iFinD公式)'!$A18="",'净值数据(iFinD公式)'!$B18=""),"",SUMPRODUCT(持仓配置!$B$4:$N$4,'净值数据(iFinD公式)'!$B18:$N18/'净值数据(iFinD公式)'!$B$5:$N$5)*(1-持仓配置!$P$4)^((ROW()-6)/说明!$C$17))</f>
        <v>1.0062350005260854</v>
      </c>
      <c r="C19" s="9">
        <f t="shared" si="0"/>
        <v>2.6635131539836099E-3</v>
      </c>
      <c r="D19" s="9">
        <f>IF(B19="","",B19/MAX(B$6:B19)-1)</f>
        <v>0</v>
      </c>
      <c r="E19" s="102">
        <f>IF(OR('净值数据(iFinD公式)'!$A18="",'净值数据(iFinD公式)'!$B18=""),"",SUMPRODUCT(持仓配置!$B$5:$N$5,'净值数据(iFinD公式)'!$B18:$N18/'净值数据(iFinD公式)'!$B$5:$N$5)*(1-持仓配置!$P$5)^((ROW()-6)/说明!$C$17))</f>
        <v>1.0145036389666431</v>
      </c>
      <c r="F19" s="9">
        <f t="shared" si="1"/>
        <v>4.735899105318353E-3</v>
      </c>
      <c r="G19" s="9">
        <f>IF(E19="","",E19/MAX(E$6:E19)-1)</f>
        <v>0</v>
      </c>
      <c r="H19" s="102">
        <f>IF(OR('净值数据(iFinD公式)'!$A18="",'净值数据(iFinD公式)'!$B18=""),"",SUMPRODUCT(持仓配置!$B$6:$N$6,'净值数据(iFinD公式)'!$B18:$N18/'净值数据(iFinD公式)'!$B$5:$N$5)*(1-持仓配置!$P$6)^((ROW()-6)/说明!$C$17))</f>
        <v>1.0206025158289858</v>
      </c>
      <c r="I19" s="9">
        <f t="shared" si="2"/>
        <v>6.7138053285835664E-3</v>
      </c>
      <c r="J19" s="9">
        <f>IF(H19="","",H19/MAX(H$6:H19)-1)</f>
        <v>0</v>
      </c>
      <c r="K19" s="102">
        <f>IF(OR('净值数据(iFinD公式)'!$A18="",'净值数据(iFinD公式)'!$B18=""),"",SUMPRODUCT(持仓配置!$B$7:$N$7,'净值数据(iFinD公式)'!$B18:$N18/'净值数据(iFinD公式)'!$B$5:$N$5)*(1-持仓配置!$P$7)^((ROW()-6)/说明!$C$17))</f>
        <v>1.1413486344190191</v>
      </c>
      <c r="L19" s="9">
        <f t="shared" si="3"/>
        <v>3.1862606840295848E-2</v>
      </c>
      <c r="M19" s="9">
        <f>IF(K19="","",K19/MAX(K$6:K19)-1)</f>
        <v>0</v>
      </c>
    </row>
    <row r="20" spans="1:15">
      <c r="A20" s="106">
        <f>IF('净值数据(iFinD公式)'!A19="","",'净值数据(iFinD公式)'!A19)</f>
        <v>46191</v>
      </c>
      <c r="B20" s="102">
        <f>IF(OR('净值数据(iFinD公式)'!$A19="",'净值数据(iFinD公式)'!$B19=""),"",SUMPRODUCT(持仓配置!$B$4:$N$4,'净值数据(iFinD公式)'!$B19:$N19/'净值数据(iFinD公式)'!$B$5:$N$5)*(1-持仓配置!$P$4)^((ROW()-6)/说明!$C$17))</f>
        <v>1.0081276363106348</v>
      </c>
      <c r="C20" s="9">
        <f t="shared" si="0"/>
        <v>1.8809083201836163E-3</v>
      </c>
      <c r="D20" s="9">
        <f>IF(B20="","",B20/MAX(B$6:B20)-1)</f>
        <v>0</v>
      </c>
      <c r="E20" s="102">
        <f>IF(OR('净值数据(iFinD公式)'!$A19="",'净值数据(iFinD公式)'!$B19=""),"",SUMPRODUCT(持仓配置!$B$5:$N$5,'净值数据(iFinD公式)'!$B19:$N19/'净值数据(iFinD公式)'!$B$5:$N$5)*(1-持仓配置!$P$5)^((ROW()-6)/说明!$C$17))</f>
        <v>1.0181874953608219</v>
      </c>
      <c r="F20" s="9">
        <f t="shared" si="1"/>
        <v>3.6311909121697905E-3</v>
      </c>
      <c r="G20" s="9">
        <f>IF(E20="","",E20/MAX(E$6:E20)-1)</f>
        <v>0</v>
      </c>
      <c r="H20" s="102">
        <f>IF(OR('净值数据(iFinD公式)'!$A19="",'净值数据(iFinD公式)'!$B19=""),"",SUMPRODUCT(持仓配置!$B$6:$N$6,'净值数据(iFinD公式)'!$B19:$N19/'净值数据(iFinD公式)'!$B$5:$N$5)*(1-持仓配置!$P$6)^((ROW()-6)/说明!$C$17))</f>
        <v>1.025914584825665</v>
      </c>
      <c r="I20" s="9">
        <f t="shared" si="2"/>
        <v>5.2048362749375077E-3</v>
      </c>
      <c r="J20" s="9">
        <f>IF(H20="","",H20/MAX(H$6:H20)-1)</f>
        <v>0</v>
      </c>
      <c r="K20" s="102">
        <f>IF(OR('净值数据(iFinD公式)'!$A19="",'净值数据(iFinD公式)'!$B19=""),"",SUMPRODUCT(持仓配置!$B$7:$N$7,'净值数据(iFinD公式)'!$B19:$N19/'净值数据(iFinD公式)'!$B$5:$N$5)*(1-持仓配置!$P$7)^((ROW()-6)/说明!$C$17))</f>
        <v>1.1719766061841033</v>
      </c>
      <c r="L20" s="9">
        <f t="shared" si="3"/>
        <v>2.6834895877958287E-2</v>
      </c>
      <c r="M20" s="9">
        <f>IF(K20="","",K20/MAX(K$6:K20)-1)</f>
        <v>0</v>
      </c>
    </row>
    <row r="21" spans="1:15">
      <c r="A21" s="106">
        <f>IF('净值数据(iFinD公式)'!A20="","",'净值数据(iFinD公式)'!A20)</f>
        <v>46195</v>
      </c>
      <c r="B21" s="102">
        <f>IF(OR('净值数据(iFinD公式)'!$A20="",'净值数据(iFinD公式)'!$B20=""),"",SUMPRODUCT(持仓配置!$B$4:$N$4,'净值数据(iFinD公式)'!$B20:$N20/'净值数据(iFinD公式)'!$B$5:$N$5)*(1-持仓配置!$P$4)^((ROW()-6)/说明!$C$17))</f>
        <v>1.0093600773976923</v>
      </c>
      <c r="C21" s="9">
        <f t="shared" si="0"/>
        <v>1.2225050109406776E-3</v>
      </c>
      <c r="D21" s="9">
        <f>IF(B21="","",B21/MAX(B$6:B21)-1)</f>
        <v>0</v>
      </c>
      <c r="E21" s="102">
        <f>IF(OR('净值数据(iFinD公式)'!$A20="",'净值数据(iFinD公式)'!$B20=""),"",SUMPRODUCT(持仓配置!$B$5:$N$5,'净值数据(iFinD公式)'!$B20:$N20/'净值数据(iFinD公式)'!$B$5:$N$5)*(1-持仓配置!$P$5)^((ROW()-6)/说明!$C$17))</f>
        <v>1.021658449007022</v>
      </c>
      <c r="F21" s="9">
        <f t="shared" si="1"/>
        <v>3.4089533234447078E-3</v>
      </c>
      <c r="G21" s="9">
        <f>IF(E21="","",E21/MAX(E$6:E21)-1)</f>
        <v>0</v>
      </c>
      <c r="H21" s="102">
        <f>IF(OR('净值数据(iFinD公式)'!$A20="",'净值数据(iFinD公式)'!$B20=""),"",SUMPRODUCT(持仓配置!$B$6:$N$6,'净值数据(iFinD公式)'!$B20:$N20/'净值数据(iFinD公式)'!$B$5:$N$5)*(1-持仓配置!$P$6)^((ROW()-6)/说明!$C$17))</f>
        <v>1.0305161961862179</v>
      </c>
      <c r="I21" s="9">
        <f t="shared" si="2"/>
        <v>4.485374736469705E-3</v>
      </c>
      <c r="J21" s="9">
        <f>IF(H21="","",H21/MAX(H$6:H21)-1)</f>
        <v>0</v>
      </c>
      <c r="K21" s="102">
        <f>IF(OR('净值数据(iFinD公式)'!$A20="",'净值数据(iFinD公式)'!$B20=""),"",SUMPRODUCT(持仓配置!$B$7:$N$7,'净值数据(iFinD公式)'!$B20:$N20/'净值数据(iFinD公式)'!$B$5:$N$5)*(1-持仓配置!$P$7)^((ROW()-6)/说明!$C$17))</f>
        <v>1.1997728521627964</v>
      </c>
      <c r="L21" s="9">
        <f t="shared" si="3"/>
        <v>2.3717406842442168E-2</v>
      </c>
      <c r="M21" s="9">
        <f>IF(K21="","",K21/MAX(K$6:K21)-1)</f>
        <v>0</v>
      </c>
    </row>
    <row r="22" spans="1:15">
      <c r="A22" s="106">
        <f>IF('净值数据(iFinD公式)'!A21="","",'净值数据(iFinD公式)'!A21)</f>
        <v>46196</v>
      </c>
      <c r="B22" s="102">
        <f>IF(OR('净值数据(iFinD公式)'!$A21="",'净值数据(iFinD公式)'!$B21=""),"",SUMPRODUCT(持仓配置!$B$4:$N$4,'净值数据(iFinD公式)'!$B21:$N21/'净值数据(iFinD公式)'!$B$5:$N$5)*(1-持仓配置!$P$4)^((ROW()-6)/说明!$C$17))</f>
        <v>1.006104369874212</v>
      </c>
      <c r="C22" s="9">
        <f t="shared" si="0"/>
        <v>-3.2255164399547231E-3</v>
      </c>
      <c r="D22" s="9">
        <f>IF(B22="","",B22/MAX(B$6:B22)-1)</f>
        <v>-3.2255164399547231E-3</v>
      </c>
      <c r="E22" s="102">
        <f>IF(OR('净值数据(iFinD公式)'!$A21="",'净值数据(iFinD公式)'!$B21=""),"",SUMPRODUCT(持仓配置!$B$5:$N$5,'净值数据(iFinD公式)'!$B21:$N21/'净值数据(iFinD公式)'!$B$5:$N$5)*(1-持仓配置!$P$5)^((ROW()-6)/说明!$C$17))</f>
        <v>1.0163253647644515</v>
      </c>
      <c r="F22" s="9">
        <f t="shared" si="1"/>
        <v>-5.2200265634311238E-3</v>
      </c>
      <c r="G22" s="9">
        <f>IF(E22="","",E22/MAX(E$6:E22)-1)</f>
        <v>-5.2200265634311238E-3</v>
      </c>
      <c r="H22" s="102">
        <f>IF(OR('净值数据(iFinD公式)'!$A21="",'净值数据(iFinD公式)'!$B21=""),"",SUMPRODUCT(持仓配置!$B$6:$N$6,'净值数据(iFinD公式)'!$B21:$N21/'净值数据(iFinD公式)'!$B$5:$N$5)*(1-持仓配置!$P$6)^((ROW()-6)/说明!$C$17))</f>
        <v>1.0223789610008656</v>
      </c>
      <c r="I22" s="9">
        <f t="shared" si="2"/>
        <v>-7.8962710294773197E-3</v>
      </c>
      <c r="J22" s="9">
        <f>IF(H22="","",H22/MAX(H$6:H22)-1)</f>
        <v>-7.8962710294773197E-3</v>
      </c>
      <c r="K22" s="102">
        <f>IF(OR('净值数据(iFinD公式)'!$A21="",'净值数据(iFinD公式)'!$B21=""),"",SUMPRODUCT(持仓配置!$B$7:$N$7,'净值数据(iFinD公式)'!$B21:$N21/'净值数据(iFinD公式)'!$B$5:$N$5)*(1-持仓配置!$P$7)^((ROW()-6)/说明!$C$17))</f>
        <v>1.1759953600791764</v>
      </c>
      <c r="L22" s="9">
        <f t="shared" si="3"/>
        <v>-1.9818328144995956E-2</v>
      </c>
      <c r="M22" s="9">
        <f>IF(K22="","",K22/MAX(K$6:K22)-1)</f>
        <v>-1.9818328144995956E-2</v>
      </c>
    </row>
    <row r="23" spans="1:15">
      <c r="A23" s="106">
        <f>IF('净值数据(iFinD公式)'!A22="","",'净值数据(iFinD公式)'!A22)</f>
        <v>46197</v>
      </c>
      <c r="B23" s="102">
        <f>IF(OR('净值数据(iFinD公式)'!$A22="",'净值数据(iFinD公式)'!$B22=""),"",SUMPRODUCT(持仓配置!$B$4:$N$4,'净值数据(iFinD公式)'!$B22:$N22/'净值数据(iFinD公式)'!$B$5:$N$5)*(1-持仓配置!$P$4)^((ROW()-6)/说明!$C$17))</f>
        <v>1.0083957504532106</v>
      </c>
      <c r="C23" s="9">
        <f t="shared" si="0"/>
        <v>2.277478010840106E-3</v>
      </c>
      <c r="D23" s="9">
        <f>IF(B23="","",B23/MAX(B$6:B23)-1)</f>
        <v>-9.5538447188037168E-4</v>
      </c>
      <c r="E23" s="102">
        <f>IF(OR('净值数据(iFinD公式)'!$A22="",'净值数据(iFinD公式)'!$B22=""),"",SUMPRODUCT(持仓配置!$B$5:$N$5,'净值数据(iFinD公式)'!$B22:$N22/'净值数据(iFinD公式)'!$B$5:$N$5)*(1-持仓配置!$P$5)^((ROW()-6)/说明!$C$17))</f>
        <v>1.0212150505453375</v>
      </c>
      <c r="F23" s="9">
        <f t="shared" si="1"/>
        <v>4.8111421306691327E-3</v>
      </c>
      <c r="G23" s="9">
        <f>IF(E23="","",E23/MAX(E$6:E23)-1)</f>
        <v>-4.3399872248450766E-4</v>
      </c>
      <c r="H23" s="102">
        <f>IF(OR('净值数据(iFinD公式)'!$A22="",'净值数据(iFinD公式)'!$B22=""),"",SUMPRODUCT(持仓配置!$B$6:$N$6,'净值数据(iFinD公式)'!$B22:$N22/'净值数据(iFinD公式)'!$B$5:$N$5)*(1-持仓配置!$P$6)^((ROW()-6)/说明!$C$17))</f>
        <v>1.0296240483045536</v>
      </c>
      <c r="I23" s="9">
        <f t="shared" si="2"/>
        <v>7.0864988228978021E-3</v>
      </c>
      <c r="J23" s="9">
        <f>IF(H23="","",H23/MAX(H$6:H23)-1)</f>
        <v>-8.6572912193527696E-4</v>
      </c>
      <c r="K23" s="102">
        <f>IF(OR('净值数据(iFinD公式)'!$A22="",'净值数据(iFinD公式)'!$B22=""),"",SUMPRODUCT(持仓配置!$B$7:$N$7,'净值数据(iFinD公式)'!$B22:$N22/'净值数据(iFinD公式)'!$B$5:$N$5)*(1-持仓配置!$P$7)^((ROW()-6)/说明!$C$17))</f>
        <v>1.2186871909295462</v>
      </c>
      <c r="L23" s="9">
        <f t="shared" si="3"/>
        <v>3.630272048649541E-2</v>
      </c>
      <c r="M23" s="9">
        <f>IF(K23="","",K23/MAX(K$6:K23)-1)</f>
        <v>0</v>
      </c>
    </row>
    <row r="24" spans="1:15">
      <c r="A24" s="106">
        <f>IF('净值数据(iFinD公式)'!A23="","",'净值数据(iFinD公式)'!A23)</f>
        <v>46198</v>
      </c>
      <c r="B24" s="102">
        <f>IF(OR('净值数据(iFinD公式)'!$A23="",'净值数据(iFinD公式)'!$B23=""),"",SUMPRODUCT(持仓配置!$B$4:$N$4,'净值数据(iFinD公式)'!$B23:$N23/'净值数据(iFinD公式)'!$B$5:$N$5)*(1-持仓配置!$P$4)^((ROW()-6)/说明!$C$17))</f>
        <v>1.0102567792474779</v>
      </c>
      <c r="C24" s="9">
        <f t="shared" si="0"/>
        <v>1.8455341500902556E-3</v>
      </c>
      <c r="D24" s="9">
        <f>IF(B24="","",B24/MAX(B$6:B24)-1)</f>
        <v>0</v>
      </c>
      <c r="E24" s="102">
        <f>IF(OR('净值数据(iFinD公式)'!$A23="",'净值数据(iFinD公式)'!$B23=""),"",SUMPRODUCT(持仓配置!$B$5:$N$5,'净值数据(iFinD公式)'!$B23:$N23/'净值数据(iFinD公式)'!$B$5:$N$5)*(1-持仓配置!$P$5)^((ROW()-6)/说明!$C$17))</f>
        <v>1.0252460726007366</v>
      </c>
      <c r="F24" s="9">
        <f t="shared" si="1"/>
        <v>3.9472803042284177E-3</v>
      </c>
      <c r="G24" s="9">
        <f>IF(E24="","",E24/MAX(E$6:E24)-1)</f>
        <v>0</v>
      </c>
      <c r="H24" s="102">
        <f>IF(OR('净值数据(iFinD公式)'!$A23="",'净值数据(iFinD公式)'!$B23=""),"",SUMPRODUCT(持仓配置!$B$6:$N$6,'净值数据(iFinD公式)'!$B23:$N23/'净值数据(iFinD公式)'!$B$5:$N$5)*(1-持仓配置!$P$6)^((ROW()-6)/说明!$C$17))</f>
        <v>1.034812631228929</v>
      </c>
      <c r="I24" s="9">
        <f t="shared" si="2"/>
        <v>5.0392985021272541E-3</v>
      </c>
      <c r="J24" s="9">
        <f>IF(H24="","",H24/MAX(H$6:H24)-1)</f>
        <v>0</v>
      </c>
      <c r="K24" s="102">
        <f>IF(OR('净值数据(iFinD公式)'!$A23="",'净值数据(iFinD公式)'!$B23=""),"",SUMPRODUCT(持仓配置!$B$7:$N$7,'净值数据(iFinD公式)'!$B23:$N23/'净值数据(iFinD公式)'!$B$5:$N$5)*(1-持仓配置!$P$7)^((ROW()-6)/说明!$C$17))</f>
        <v>1.258814834957642</v>
      </c>
      <c r="L24" s="9">
        <f t="shared" si="3"/>
        <v>3.2926943293371869E-2</v>
      </c>
      <c r="M24" s="9">
        <f>IF(K24="","",K24/MAX(K$6:K24)-1)</f>
        <v>0</v>
      </c>
    </row>
    <row r="25" spans="1:15">
      <c r="A25" s="106">
        <f>IF('净值数据(iFinD公式)'!A24="","",'净值数据(iFinD公式)'!A24)</f>
        <v>46199</v>
      </c>
      <c r="B25" s="102">
        <f>IF(OR('净值数据(iFinD公式)'!$A24="",'净值数据(iFinD公式)'!$B24=""),"",SUMPRODUCT(持仓配置!$B$4:$N$4,'净值数据(iFinD公式)'!$B24:$N24/'净值数据(iFinD公式)'!$B$5:$N$5)*(1-持仓配置!$P$4)^((ROW()-6)/说明!$C$17))</f>
        <v>1.0075734673006249</v>
      </c>
      <c r="C25" s="9">
        <f t="shared" si="0"/>
        <v>-2.6560692310837464E-3</v>
      </c>
      <c r="D25" s="9">
        <f>IF(B25="","",B25/MAX(B$6:B25)-1)</f>
        <v>-2.6560692310837464E-3</v>
      </c>
      <c r="E25" s="102">
        <f>IF(OR('净值数据(iFinD公式)'!$A24="",'净值数据(iFinD公式)'!$B24=""),"",SUMPRODUCT(持仓配置!$B$5:$N$5,'净值数据(iFinD公式)'!$B24:$N24/'净值数据(iFinD公式)'!$B$5:$N$5)*(1-持仓配置!$P$5)^((ROW()-6)/说明!$C$17))</f>
        <v>1.0191968737534782</v>
      </c>
      <c r="F25" s="9">
        <f t="shared" si="1"/>
        <v>-5.9002409362207686E-3</v>
      </c>
      <c r="G25" s="9">
        <f>IF(E25="","",E25/MAX(E$6:E25)-1)</f>
        <v>-5.9002409362207686E-3</v>
      </c>
      <c r="H25" s="102">
        <f>IF(OR('净值数据(iFinD公式)'!$A24="",'净值数据(iFinD公式)'!$B24=""),"",SUMPRODUCT(持仓配置!$B$6:$N$6,'净值数据(iFinD公式)'!$B24:$N24/'净值数据(iFinD公式)'!$B$5:$N$5)*(1-持仓配置!$P$6)^((ROW()-6)/说明!$C$17))</f>
        <v>1.025819175805315</v>
      </c>
      <c r="I25" s="9">
        <f t="shared" si="2"/>
        <v>-8.6909022485872622E-3</v>
      </c>
      <c r="J25" s="9">
        <f>IF(H25="","",H25/MAX(H$6:H25)-1)</f>
        <v>-8.6909022485872622E-3</v>
      </c>
      <c r="K25" s="102">
        <f>IF(OR('净值数据(iFinD公式)'!$A24="",'净值数据(iFinD公式)'!$B24=""),"",SUMPRODUCT(持仓配置!$B$7:$N$7,'净值数据(iFinD公式)'!$B24:$N24/'净值数据(iFinD公式)'!$B$5:$N$5)*(1-持仓配置!$P$7)^((ROW()-6)/说明!$C$17))</f>
        <v>1.2230376433068277</v>
      </c>
      <c r="L25" s="9">
        <f t="shared" si="3"/>
        <v>-2.8421329855091937E-2</v>
      </c>
      <c r="M25" s="9">
        <f>IF(K25="","",K25/MAX(K$6:K25)-1)</f>
        <v>-2.8421329855091937E-2</v>
      </c>
    </row>
    <row r="26" spans="1:15">
      <c r="A26" s="106">
        <f>IF('净值数据(iFinD公式)'!A25="","",'净值数据(iFinD公式)'!A25)</f>
        <v>46202</v>
      </c>
      <c r="B26" s="102">
        <f>IF(OR('净值数据(iFinD公式)'!$A25="",'净值数据(iFinD公式)'!$B25=""),"",SUMPRODUCT(持仓配置!$B$4:$N$4,'净值数据(iFinD公式)'!$B25:$N25/'净值数据(iFinD公式)'!$B$5:$N$5)*(1-持仓配置!$P$4)^((ROW()-6)/说明!$C$17))</f>
        <v>1.0092715697265893</v>
      </c>
      <c r="C26" s="9">
        <f t="shared" si="0"/>
        <v>1.6853385694184375E-3</v>
      </c>
      <c r="D26" s="9">
        <f>IF(B26="","",B26/MAX(B$6:B26)-1)</f>
        <v>-9.7520703758358085E-4</v>
      </c>
      <c r="E26" s="102">
        <f>IF(OR('净值数据(iFinD公式)'!$A25="",'净值数据(iFinD公式)'!$B25=""),"",SUMPRODUCT(持仓配置!$B$5:$N$5,'净值数据(iFinD公式)'!$B25:$N25/'净值数据(iFinD公式)'!$B$5:$N$5)*(1-持仓配置!$P$5)^((ROW()-6)/说明!$C$17))</f>
        <v>1.0215214505234145</v>
      </c>
      <c r="F26" s="9">
        <f t="shared" si="1"/>
        <v>2.280792680785293E-3</v>
      </c>
      <c r="G26" s="9">
        <f>IF(E26="","",E26/MAX(E$6:E26)-1)</f>
        <v>-3.6329054817776374E-3</v>
      </c>
      <c r="H26" s="102">
        <f>IF(OR('净值数据(iFinD公式)'!$A25="",'净值数据(iFinD公式)'!$B25=""),"",SUMPRODUCT(持仓配置!$B$6:$N$6,'净值数据(iFinD公式)'!$B25:$N25/'净值数据(iFinD公式)'!$B$5:$N$5)*(1-持仓配置!$P$6)^((ROW()-6)/说明!$C$17))</f>
        <v>1.028918036046905</v>
      </c>
      <c r="I26" s="9">
        <f t="shared" si="2"/>
        <v>3.0208640223139405E-3</v>
      </c>
      <c r="J26" s="9">
        <f>IF(H26="","",H26/MAX(H$6:H26)-1)</f>
        <v>-5.6962922601975219E-3</v>
      </c>
      <c r="K26" s="102">
        <f>IF(OR('净值数据(iFinD公式)'!$A25="",'净值数据(iFinD公式)'!$B25=""),"",SUMPRODUCT(持仓配置!$B$7:$N$7,'净值数据(iFinD公式)'!$B25:$N25/'净值数据(iFinD公式)'!$B$5:$N$5)*(1-持仓配置!$P$7)^((ROW()-6)/说明!$C$17))</f>
        <v>1.2352096264581862</v>
      </c>
      <c r="L26" s="9">
        <f t="shared" si="3"/>
        <v>9.9522555319295769E-3</v>
      </c>
      <c r="M26" s="9">
        <f>IF(K26="","",K26/MAX(K$6:K26)-1)</f>
        <v>-1.8751930660437566E-2</v>
      </c>
    </row>
    <row r="27" spans="1:15">
      <c r="A27" s="106">
        <f>IF('净值数据(iFinD公式)'!A26="","",'净值数据(iFinD公式)'!A26)</f>
        <v>46203</v>
      </c>
      <c r="B27" s="102">
        <f>IF(OR('净值数据(iFinD公式)'!$A26="",'净值数据(iFinD公式)'!$B26=""),"",SUMPRODUCT(持仓配置!$B$4:$N$4,'净值数据(iFinD公式)'!$B26:$N26/'净值数据(iFinD公式)'!$B$5:$N$5)*(1-持仓配置!$P$4)^((ROW()-6)/说明!$C$17))</f>
        <v>1.0119135334013039</v>
      </c>
      <c r="C27" s="9">
        <f t="shared" si="0"/>
        <v>2.6176935464756745E-3</v>
      </c>
      <c r="D27" s="9">
        <f>IF(B27="","",B27/MAX(B$6:B27)-1)</f>
        <v>0</v>
      </c>
      <c r="E27" s="102">
        <f>IF(OR('净值数据(iFinD公式)'!$A26="",'净值数据(iFinD公式)'!$B26=""),"",SUMPRODUCT(持仓配置!$B$5:$N$5,'净值数据(iFinD公式)'!$B26:$N26/'净值数据(iFinD公式)'!$B$5:$N$5)*(1-持仓配置!$P$5)^((ROW()-6)/说明!$C$17))</f>
        <v>1.028012711514811</v>
      </c>
      <c r="F27" s="9">
        <f t="shared" si="1"/>
        <v>6.3545028722309382E-3</v>
      </c>
      <c r="G27" s="9">
        <f>IF(E27="","",E27/MAX(E$6:E27)-1)</f>
        <v>0</v>
      </c>
      <c r="H27" s="102">
        <f>IF(OR('净值数据(iFinD公式)'!$A26="",'净值数据(iFinD公式)'!$B26=""),"",SUMPRODUCT(持仓配置!$B$6:$N$6,'净值数据(iFinD公式)'!$B26:$N26/'净值数据(iFinD公式)'!$B$5:$N$5)*(1-持仓配置!$P$6)^((ROW()-6)/说明!$C$17))</f>
        <v>1.0388818470703711</v>
      </c>
      <c r="I27" s="9">
        <f t="shared" si="2"/>
        <v>9.6837752613871952E-3</v>
      </c>
      <c r="J27" s="9">
        <f>IF(H27="","",H27/MAX(H$6:H27)-1)</f>
        <v>0</v>
      </c>
      <c r="K27" s="102">
        <f>IF(OR('净值数据(iFinD公式)'!$A26="",'净值数据(iFinD公式)'!$B26=""),"",SUMPRODUCT(持仓配置!$B$7:$N$7,'净值数据(iFinD公式)'!$B26:$N26/'净值数据(iFinD公式)'!$B$5:$N$5)*(1-持仓配置!$P$7)^((ROW()-6)/说明!$C$17))</f>
        <v>1.2895492152655188</v>
      </c>
      <c r="L27" s="9">
        <f t="shared" si="3"/>
        <v>4.3992199901440765E-2</v>
      </c>
      <c r="M27" s="9">
        <f>IF(K27="","",K27/MAX(K$6:K27)-1)</f>
        <v>0</v>
      </c>
      <c r="O27" s="26">
        <f>B25/B6-1</f>
        <v>7.5734673006249142E-3</v>
      </c>
    </row>
    <row r="28" spans="1:15">
      <c r="A28" s="106">
        <f>IF('净值数据(iFinD公式)'!A27="","",'净值数据(iFinD公式)'!A27)</f>
        <v>46204</v>
      </c>
      <c r="B28" s="102">
        <f>IF(OR('净值数据(iFinD公式)'!$A27="",'净值数据(iFinD公式)'!$B27=""),"",SUMPRODUCT(持仓配置!$B$4:$N$4,'净值数据(iFinD公式)'!$B27:$N27/'净值数据(iFinD公式)'!$B$5:$N$5)*(1-持仓配置!$P$4)^((ROW()-6)/说明!$C$17))</f>
        <v>1.0089264576463108</v>
      </c>
      <c r="C28" s="9">
        <f t="shared" si="0"/>
        <v>-2.9519080992549407E-3</v>
      </c>
      <c r="D28" s="9">
        <f>IF(B28="","",B28/MAX(B$6:B28)-1)</f>
        <v>-2.9519080992549407E-3</v>
      </c>
      <c r="E28" s="102">
        <f>IF(OR('净值数据(iFinD公式)'!$A27="",'净值数据(iFinD公式)'!$B27=""),"",SUMPRODUCT(持仓配置!$B$5:$N$5,'净值数据(iFinD公式)'!$B27:$N27/'净值数据(iFinD公式)'!$B$5:$N$5)*(1-持仓配置!$P$5)^((ROW()-6)/说明!$C$17))</f>
        <v>1.0234028726746101</v>
      </c>
      <c r="F28" s="9">
        <f t="shared" si="1"/>
        <v>-4.4842235787222462E-3</v>
      </c>
      <c r="G28" s="9">
        <f>IF(E28="","",E28/MAX(E$6:E28)-1)</f>
        <v>-4.4842235787222462E-3</v>
      </c>
      <c r="H28" s="102">
        <f>IF(OR('净值数据(iFinD公式)'!$A27="",'净值数据(iFinD公式)'!$B27=""),"",SUMPRODUCT(持仓配置!$B$6:$N$6,'净值数据(iFinD公式)'!$B27:$N27/'净值数据(iFinD公式)'!$B$5:$N$5)*(1-持仓配置!$P$6)^((ROW()-6)/说明!$C$17))</f>
        <v>1.0322302286108425</v>
      </c>
      <c r="I28" s="9">
        <f t="shared" si="2"/>
        <v>-6.4026707929165649E-3</v>
      </c>
      <c r="J28" s="9">
        <f>IF(H28="","",H28/MAX(H$6:H28)-1)</f>
        <v>-6.4026707929165649E-3</v>
      </c>
      <c r="K28" s="102">
        <f>IF(OR('净值数据(iFinD公式)'!$A27="",'净值数据(iFinD公式)'!$B27=""),"",SUMPRODUCT(持仓配置!$B$7:$N$7,'净值数据(iFinD公式)'!$B27:$N27/'净值数据(iFinD公式)'!$B$5:$N$5)*(1-持仓配置!$P$7)^((ROW()-6)/说明!$C$17))</f>
        <v>1.249937038744344</v>
      </c>
      <c r="L28" s="9">
        <f t="shared" si="3"/>
        <v>-3.0717847796928432E-2</v>
      </c>
      <c r="M28" s="9">
        <f>IF(K28="","",K28/MAX(K$6:K28)-1)</f>
        <v>-3.0717847796928432E-2</v>
      </c>
    </row>
    <row r="29" spans="1:15">
      <c r="A29" s="106">
        <f>IF('净值数据(iFinD公式)'!A28="","",'净值数据(iFinD公式)'!A28)</f>
        <v>46205</v>
      </c>
      <c r="B29" s="102">
        <f>IF(OR('净值数据(iFinD公式)'!$A28="",'净值数据(iFinD公式)'!$B28=""),"",SUMPRODUCT(持仓配置!$B$4:$N$4,'净值数据(iFinD公式)'!$B28:$N28/'净值数据(iFinD公式)'!$B$5:$N$5)*(1-持仓配置!$P$4)^((ROW()-6)/说明!$C$17))</f>
        <v>1.0030310088202468</v>
      </c>
      <c r="C29" s="9">
        <f t="shared" si="0"/>
        <v>-5.8432889546948807E-3</v>
      </c>
      <c r="D29" s="9">
        <f>IF(B29="","",B29/MAX(B$6:B29)-1)</f>
        <v>-8.7779482019580968E-3</v>
      </c>
      <c r="E29" s="102">
        <f>IF(OR('净值数据(iFinD公式)'!$A28="",'净值数据(iFinD公式)'!$B28=""),"",SUMPRODUCT(持仓配置!$B$5:$N$5,'净值数据(iFinD公式)'!$B28:$N28/'净值数据(iFinD公式)'!$B$5:$N$5)*(1-持仓配置!$P$5)^((ROW()-6)/说明!$C$17))</f>
        <v>1.0105957679057833</v>
      </c>
      <c r="F29" s="9">
        <f t="shared" si="1"/>
        <v>-1.2514235704025323E-2</v>
      </c>
      <c r="G29" s="9">
        <f>IF(E29="","",E29/MAX(E$6:E29)-1)</f>
        <v>-1.694234265193395E-2</v>
      </c>
      <c r="H29" s="102">
        <f>IF(OR('净值数据(iFinD公式)'!$A28="",'净值数据(iFinD公式)'!$B28=""),"",SUMPRODUCT(持仓配置!$B$6:$N$6,'净值数据(iFinD公式)'!$B28:$N28/'净值数据(iFinD公式)'!$B$5:$N$5)*(1-持仓配置!$P$6)^((ROW()-6)/说明!$C$17))</f>
        <v>1.0134350814732387</v>
      </c>
      <c r="I29" s="9">
        <f t="shared" si="2"/>
        <v>-1.8208289794901633E-2</v>
      </c>
      <c r="J29" s="9">
        <f>IF(H29="","",H29/MAX(H$6:H29)-1)</f>
        <v>-2.4494378902559344E-2</v>
      </c>
      <c r="K29" s="102">
        <f>IF(OR('净值数据(iFinD公式)'!$A28="",'净值数据(iFinD公式)'!$B28=""),"",SUMPRODUCT(持仓配置!$B$7:$N$7,'净值数据(iFinD公式)'!$B28:$N28/'净值数据(iFinD公式)'!$B$5:$N$5)*(1-持仓配置!$P$7)^((ROW()-6)/说明!$C$17))</f>
        <v>1.1401462330033694</v>
      </c>
      <c r="L29" s="9">
        <f t="shared" si="3"/>
        <v>-8.7837068858498513E-2</v>
      </c>
      <c r="M29" s="9">
        <f>IF(K29="","",K29/MAX(K$6:K29)-1)</f>
        <v>-0.11585675094330328</v>
      </c>
    </row>
    <row r="30" spans="1:15">
      <c r="A30" s="106">
        <f>IF('净值数据(iFinD公式)'!A29="","",'净值数据(iFinD公式)'!A29)</f>
        <v>46206</v>
      </c>
      <c r="B30" s="102">
        <f>IF(OR('净值数据(iFinD公式)'!$A29="",'净值数据(iFinD公式)'!$B29=""),"",SUMPRODUCT(持仓配置!$B$4:$N$4,'净值数据(iFinD公式)'!$B29:$N29/'净值数据(iFinD公式)'!$B$5:$N$5)*(1-持仓配置!$P$4)^((ROW()-6)/说明!$C$17))</f>
        <v>1.0038981426733757</v>
      </c>
      <c r="C30" s="9">
        <f t="shared" si="0"/>
        <v>8.6451350506999702E-4</v>
      </c>
      <c r="D30" s="9">
        <f>IF(B30="","",B30/MAX(B$6:B30)-1)</f>
        <v>-7.9210233516556761E-3</v>
      </c>
      <c r="E30" s="102">
        <f>IF(OR('净值数据(iFinD公式)'!$A29="",'净值数据(iFinD公式)'!$B29=""),"",SUMPRODUCT(持仓配置!$B$5:$N$5,'净值数据(iFinD公式)'!$B29:$N29/'净值数据(iFinD公式)'!$B$5:$N$5)*(1-持仓配置!$P$5)^((ROW()-6)/说明!$C$17))</f>
        <v>1.0113374897746024</v>
      </c>
      <c r="F30" s="9">
        <f t="shared" si="1"/>
        <v>7.3394515628755208E-4</v>
      </c>
      <c r="G30" s="9">
        <f>IF(E30="","",E30/MAX(E$6:E30)-1)</f>
        <v>-1.6220832245972039E-2</v>
      </c>
      <c r="H30" s="102">
        <f>IF(OR('净值数据(iFinD公式)'!$A29="",'净值数据(iFinD公式)'!$B29=""),"",SUMPRODUCT(持仓配置!$B$6:$N$6,'净值数据(iFinD公式)'!$B29:$N29/'净值数据(iFinD公式)'!$B$5:$N$5)*(1-持仓配置!$P$6)^((ROW()-6)/说明!$C$17))</f>
        <v>1.0152735133917969</v>
      </c>
      <c r="I30" s="9">
        <f t="shared" si="2"/>
        <v>1.8140598763225491E-3</v>
      </c>
      <c r="J30" s="9">
        <f>IF(H30="","",H30/MAX(H$6:H30)-1)</f>
        <v>-2.2724753296199385E-2</v>
      </c>
      <c r="K30" s="102">
        <f>IF(OR('净值数据(iFinD公式)'!$A29="",'净值数据(iFinD公式)'!$B29=""),"",SUMPRODUCT(持仓配置!$B$7:$N$7,'净值数据(iFinD公式)'!$B29:$N29/'净值数据(iFinD公式)'!$B$5:$N$5)*(1-持仓配置!$P$7)^((ROW()-6)/说明!$C$17))</f>
        <v>1.1316225415446639</v>
      </c>
      <c r="L30" s="9">
        <f t="shared" si="3"/>
        <v>-7.4759633562551109E-3</v>
      </c>
      <c r="M30" s="9">
        <f>IF(K30="","",K30/MAX(K$6:K30)-1)</f>
        <v>-0.12246657347493151</v>
      </c>
    </row>
    <row r="31" spans="1:15">
      <c r="A31" s="106">
        <f>IF('净值数据(iFinD公式)'!A30="","",'净值数据(iFinD公式)'!A30)</f>
        <v>46209</v>
      </c>
      <c r="B31" s="102">
        <f>IF(OR('净值数据(iFinD公式)'!$A30="",'净值数据(iFinD公式)'!$B30=""),"",SUMPRODUCT(持仓配置!$B$4:$N$4,'净值数据(iFinD公式)'!$B30:$N30/'净值数据(iFinD公式)'!$B$5:$N$5)*(1-持仓配置!$P$4)^((ROW()-6)/说明!$C$17))</f>
        <v>1.0027797901139219</v>
      </c>
      <c r="C31" s="9">
        <f t="shared" si="0"/>
        <v>-1.1140099895748934E-3</v>
      </c>
      <c r="D31" s="9">
        <f>IF(B31="","",B31/MAX(B$6:B31)-1)</f>
        <v>-9.0262092420891893E-3</v>
      </c>
      <c r="E31" s="102">
        <f>IF(OR('净值数据(iFinD公式)'!$A30="",'净值数据(iFinD公式)'!$B30=""),"",SUMPRODUCT(持仓配置!$B$5:$N$5,'净值数据(iFinD公式)'!$B30:$N30/'净值数据(iFinD公式)'!$B$5:$N$5)*(1-持仓配置!$P$5)^((ROW()-6)/说明!$C$17))</f>
        <v>1.0085650677023383</v>
      </c>
      <c r="F31" s="9">
        <f t="shared" si="1"/>
        <v>-2.7413421338527977E-3</v>
      </c>
      <c r="G31" s="9">
        <f>IF(E31="","",E31/MAX(E$6:E31)-1)</f>
        <v>-1.891770752894284E-2</v>
      </c>
      <c r="H31" s="102">
        <f>IF(OR('净值数据(iFinD公式)'!$A30="",'净值数据(iFinD公式)'!$B30=""),"",SUMPRODUCT(持仓配置!$B$6:$N$6,'净值数据(iFinD公式)'!$B30:$N30/'净值数据(iFinD公式)'!$B$5:$N$5)*(1-持仓配置!$P$6)^((ROW()-6)/说明!$C$17))</f>
        <v>1.0106812246966255</v>
      </c>
      <c r="I31" s="9">
        <f t="shared" si="2"/>
        <v>-4.5232034861518722E-3</v>
      </c>
      <c r="J31" s="9">
        <f>IF(H31="","",H31/MAX(H$6:H31)-1)</f>
        <v>-2.7145168099020012E-2</v>
      </c>
      <c r="K31" s="102">
        <f>IF(OR('净值数据(iFinD公式)'!$A30="",'净值数据(iFinD公式)'!$B30=""),"",SUMPRODUCT(持仓配置!$B$7:$N$7,'净值数据(iFinD公式)'!$B30:$N30/'净值数据(iFinD公式)'!$B$5:$N$5)*(1-持仓配置!$P$7)^((ROW()-6)/说明!$C$17))</f>
        <v>1.1091830542334955</v>
      </c>
      <c r="L31" s="9">
        <f t="shared" si="3"/>
        <v>-1.9829480668119737E-2</v>
      </c>
      <c r="M31" s="9">
        <f>IF(K31="","",K31/MAX(K$6:K31)-1)</f>
        <v>-0.13986760559183919</v>
      </c>
    </row>
    <row r="32" spans="1:15">
      <c r="A32" s="106">
        <f>IF('净值数据(iFinD公式)'!A31="","",'净值数据(iFinD公式)'!A31)</f>
        <v>46210</v>
      </c>
      <c r="B32" s="102">
        <f>IF(OR('净值数据(iFinD公式)'!$A31="",'净值数据(iFinD公式)'!$B31=""),"",SUMPRODUCT(持仓配置!$B$4:$N$4,'净值数据(iFinD公式)'!$B31:$N31/'净值数据(iFinD公式)'!$B$5:$N$5)*(1-持仓配置!$P$4)^((ROW()-6)/说明!$C$17))</f>
        <v>1.0020307881244941</v>
      </c>
      <c r="C32" s="9">
        <f t="shared" si="0"/>
        <v>-7.4692569277123866E-4</v>
      </c>
      <c r="D32" s="9">
        <f>IF(B32="","",B32/MAX(B$6:B32)-1)</f>
        <v>-9.7663930272691157E-3</v>
      </c>
      <c r="E32" s="102">
        <f>IF(OR('净值数据(iFinD公式)'!$A31="",'净值数据(iFinD公式)'!$B31=""),"",SUMPRODUCT(持仓配置!$B$5:$N$5,'净值数据(iFinD公式)'!$B31:$N31/'净值数据(iFinD公式)'!$B$5:$N$5)*(1-持仓配置!$P$5)^((ROW()-6)/说明!$C$17))</f>
        <v>1.0072335195148223</v>
      </c>
      <c r="F32" s="9">
        <f t="shared" si="1"/>
        <v>-1.3202402404730584E-3</v>
      </c>
      <c r="G32" s="9">
        <f>IF(E32="","",E32/MAX(E$6:E32)-1)</f>
        <v>-2.0212971850678607E-2</v>
      </c>
      <c r="H32" s="102">
        <f>IF(OR('净值数据(iFinD公式)'!$A31="",'净值数据(iFinD公式)'!$B31=""),"",SUMPRODUCT(持仓配置!$B$6:$N$6,'净值数据(iFinD公式)'!$B31:$N31/'净值数据(iFinD公式)'!$B$5:$N$5)*(1-持仓配置!$P$6)^((ROW()-6)/说明!$C$17))</f>
        <v>1.0085030424733503</v>
      </c>
      <c r="I32" s="9">
        <f t="shared" si="2"/>
        <v>-2.1551624489006826E-3</v>
      </c>
      <c r="J32" s="9">
        <f>IF(H32="","",H32/MAX(H$6:H32)-1)</f>
        <v>-2.9241828300964667E-2</v>
      </c>
      <c r="K32" s="102">
        <f>IF(OR('净值数据(iFinD公式)'!$A31="",'净值数据(iFinD公式)'!$B31=""),"",SUMPRODUCT(持仓配置!$B$7:$N$7,'净值数据(iFinD公式)'!$B31:$N31/'净值数据(iFinD公式)'!$B$5:$N$5)*(1-持仓配置!$P$7)^((ROW()-6)/说明!$C$17))</f>
        <v>1.1168982726026053</v>
      </c>
      <c r="L32" s="9">
        <f t="shared" si="3"/>
        <v>6.9557665343538133E-3</v>
      </c>
      <c r="M32" s="9">
        <f>IF(K32="","",K32/MAX(K$6:K32)-1)</f>
        <v>-0.13388472546770114</v>
      </c>
    </row>
    <row r="33" spans="1:13">
      <c r="A33" s="106">
        <f>IF('净值数据(iFinD公式)'!A32="","",'净值数据(iFinD公式)'!A32)</f>
        <v>46211</v>
      </c>
      <c r="B33" s="102">
        <f>IF(OR('净值数据(iFinD公式)'!$A32="",'净值数据(iFinD公式)'!$B32=""),"",SUMPRODUCT(持仓配置!$B$4:$N$4,'净值数据(iFinD公式)'!$B32:$N32/'净值数据(iFinD公式)'!$B$5:$N$5)*(1-持仓配置!$P$4)^((ROW()-6)/说明!$C$17))</f>
        <v>1.0018762436618722</v>
      </c>
      <c r="C33" s="9">
        <f t="shared" si="0"/>
        <v>-1.5423125162761231E-4</v>
      </c>
      <c r="D33" s="9">
        <f>IF(B33="","",B33/MAX(B$6:B33)-1)</f>
        <v>-9.9191179958763032E-3</v>
      </c>
      <c r="E33" s="102">
        <f>IF(OR('净值数据(iFinD公式)'!$A32="",'净值数据(iFinD公式)'!$B32=""),"",SUMPRODUCT(持仓配置!$B$5:$N$5,'净值数据(iFinD公式)'!$B32:$N32/'净值数据(iFinD公式)'!$B$5:$N$5)*(1-持仓配置!$P$5)^((ROW()-6)/说明!$C$17))</f>
        <v>1.0064721796716132</v>
      </c>
      <c r="F33" s="9">
        <f t="shared" si="1"/>
        <v>-7.5587222670658871E-4</v>
      </c>
      <c r="G33" s="9">
        <f>IF(E33="","",E33/MAX(E$6:E33)-1)</f>
        <v>-2.0953565653344053E-2</v>
      </c>
      <c r="H33" s="102">
        <f>IF(OR('净值数据(iFinD公式)'!$A32="",'净值数据(iFinD公式)'!$B32=""),"",SUMPRODUCT(持仓配置!$B$6:$N$6,'净值数据(iFinD公式)'!$B32:$N32/'净值数据(iFinD公式)'!$B$5:$N$5)*(1-持仓配置!$P$6)^((ROW()-6)/说明!$C$17))</f>
        <v>1.0070505865395374</v>
      </c>
      <c r="I33" s="9">
        <f t="shared" si="2"/>
        <v>-1.4402097689767412E-3</v>
      </c>
      <c r="J33" s="9">
        <f>IF(H33="","",H33/MAX(H$6:H33)-1)</f>
        <v>-3.0639923703159599E-2</v>
      </c>
      <c r="K33" s="102">
        <f>IF(OR('净值数据(iFinD公式)'!$A32="",'净值数据(iFinD公式)'!$B32=""),"",SUMPRODUCT(持仓配置!$B$7:$N$7,'净值数据(iFinD公式)'!$B32:$N32/'净值数据(iFinD公式)'!$B$5:$N$5)*(1-持仓配置!$P$7)^((ROW()-6)/说明!$C$17))</f>
        <v>1.1228972341803134</v>
      </c>
      <c r="L33" s="9">
        <f t="shared" si="3"/>
        <v>5.3710903892163486E-3</v>
      </c>
      <c r="M33" s="9">
        <f>IF(K33="","",K33/MAX(K$6:K33)-1)</f>
        <v>-0.12923274204070734</v>
      </c>
    </row>
    <row r="34" spans="1:13">
      <c r="A34" s="106">
        <f>IF('净值数据(iFinD公式)'!A33="","",'净值数据(iFinD公式)'!A33)</f>
        <v>46212</v>
      </c>
      <c r="B34" s="102">
        <f>IF(OR('净值数据(iFinD公式)'!$A33="",'净值数据(iFinD公式)'!$B33=""),"",SUMPRODUCT(持仓配置!$B$4:$N$4,'净值数据(iFinD公式)'!$B33:$N33/'净值数据(iFinD公式)'!$B$5:$N$5)*(1-持仓配置!$P$4)^((ROW()-6)/说明!$C$17))</f>
        <v>1.006766457530907</v>
      </c>
      <c r="C34" s="9">
        <f t="shared" si="0"/>
        <v>4.8810558189911202E-3</v>
      </c>
      <c r="D34" s="9">
        <f>IF(B34="","",B34/MAX(B$6:B34)-1)</f>
        <v>-5.0864779454982134E-3</v>
      </c>
      <c r="E34" s="102">
        <f>IF(OR('净值数据(iFinD公式)'!$A33="",'净值数据(iFinD公式)'!$B33=""),"",SUMPRODUCT(持仓配置!$B$5:$N$5,'净值数据(iFinD公式)'!$B33:$N33/'净值数据(iFinD公式)'!$B$5:$N$5)*(1-持仓配置!$P$5)^((ROW()-6)/说明!$C$17))</f>
        <v>1.0162972068314768</v>
      </c>
      <c r="F34" s="9">
        <f t="shared" si="1"/>
        <v>9.7618467338753678E-3</v>
      </c>
      <c r="G34" s="9">
        <f>IF(E34="","",E34/MAX(E$6:E34)-1)</f>
        <v>-1.1396264415904911E-2</v>
      </c>
      <c r="H34" s="102">
        <f>IF(OR('净值数据(iFinD公式)'!$A33="",'净值数据(iFinD公式)'!$B33=""),"",SUMPRODUCT(持仓配置!$B$6:$N$6,'净值数据(iFinD公式)'!$B33:$N33/'净值数据(iFinD公式)'!$B$5:$N$5)*(1-持仓配置!$P$6)^((ROW()-6)/说明!$C$17))</f>
        <v>1.0216613733632904</v>
      </c>
      <c r="I34" s="9">
        <f t="shared" si="2"/>
        <v>1.4508493435229752E-2</v>
      </c>
      <c r="J34" s="9">
        <f>IF(H34="","",H34/MAX(H$6:H34)-1)</f>
        <v>-1.657596939983319E-2</v>
      </c>
      <c r="K34" s="102">
        <f>IF(OR('净值数据(iFinD公式)'!$A33="",'净值数据(iFinD公式)'!$B33=""),"",SUMPRODUCT(持仓配置!$B$7:$N$7,'净值数据(iFinD公式)'!$B33:$N33/'净值数据(iFinD公式)'!$B$5:$N$5)*(1-持仓配置!$P$7)^((ROW()-6)/说明!$C$17))</f>
        <v>1.1999299472911686</v>
      </c>
      <c r="L34" s="9">
        <f t="shared" si="3"/>
        <v>6.8601748019343267E-2</v>
      </c>
      <c r="M34" s="9">
        <f>IF(K34="","",K34/MAX(K$6:K34)-1)</f>
        <v>-6.9496586026689622E-2</v>
      </c>
    </row>
    <row r="35" spans="1:13">
      <c r="A35" s="106">
        <f>IF('净值数据(iFinD公式)'!A34="","",'净值数据(iFinD公式)'!A34)</f>
        <v>46213</v>
      </c>
      <c r="B35" s="102">
        <f>IF(OR('净值数据(iFinD公式)'!$A34="",'净值数据(iFinD公式)'!$B34=""),"",SUMPRODUCT(持仓配置!$B$4:$N$4,'净值数据(iFinD公式)'!$B34:$N34/'净值数据(iFinD公式)'!$B$5:$N$5)*(1-持仓配置!$P$4)^((ROW()-6)/说明!$C$17))</f>
        <v>1.0032047515873792</v>
      </c>
      <c r="C35" s="9">
        <f t="shared" si="0"/>
        <v>-3.5377677880358283E-3</v>
      </c>
      <c r="D35" s="9">
        <f>IF(B35="","",B35/MAX(B$6:B35)-1)</f>
        <v>-8.6062509557038869E-3</v>
      </c>
      <c r="E35" s="102">
        <f>IF(OR('净值数据(iFinD公式)'!$A34="",'净值数据(iFinD公式)'!$B34=""),"",SUMPRODUCT(持仓配置!$B$5:$N$5,'净值数据(iFinD公式)'!$B34:$N34/'净值数据(iFinD公式)'!$B$5:$N$5)*(1-持仓配置!$P$5)^((ROW()-6)/说明!$C$17))</f>
        <v>1.0091166303157217</v>
      </c>
      <c r="F35" s="9">
        <f t="shared" si="1"/>
        <v>-7.0654297458340176E-3</v>
      </c>
      <c r="G35" s="9">
        <f>IF(E35="","",E35/MAX(E$6:E35)-1)</f>
        <v>-1.8381174656143306E-2</v>
      </c>
      <c r="H35" s="102">
        <f>IF(OR('净值数据(iFinD公式)'!$A34="",'净值数据(iFinD公式)'!$B34=""),"",SUMPRODUCT(持仓配置!$B$6:$N$6,'净值数据(iFinD公式)'!$B34:$N34/'净值数据(iFinD公式)'!$B$5:$N$5)*(1-持仓配置!$P$6)^((ROW()-6)/说明!$C$17))</f>
        <v>1.0108250872684688</v>
      </c>
      <c r="I35" s="9">
        <f t="shared" si="2"/>
        <v>-1.0606534001719958E-2</v>
      </c>
      <c r="J35" s="9">
        <f>IF(H35="","",H35/MAX(H$6:H35)-1)</f>
        <v>-2.7006689818502405E-2</v>
      </c>
      <c r="K35" s="102">
        <f>IF(OR('净值数据(iFinD公式)'!$A34="",'净值数据(iFinD公式)'!$B34=""),"",SUMPRODUCT(持仓配置!$B$7:$N$7,'净值数据(iFinD公式)'!$B34:$N34/'净值数据(iFinD公式)'!$B$5:$N$5)*(1-持仓配置!$P$7)^((ROW()-6)/说明!$C$17))</f>
        <v>1.141579992062935</v>
      </c>
      <c r="L35" s="9">
        <f t="shared" si="3"/>
        <v>-4.8627801447874597E-2</v>
      </c>
      <c r="M35" s="9">
        <f>IF(K35="","",K35/MAX(K$6:K35)-1)</f>
        <v>-0.11474492128795322</v>
      </c>
    </row>
    <row r="36" spans="1:13">
      <c r="A36" s="106">
        <f>IF('净值数据(iFinD公式)'!A35="","",'净值数据(iFinD公式)'!A35)</f>
        <v>46216</v>
      </c>
      <c r="B36" s="102">
        <f>IF(OR('净值数据(iFinD公式)'!$A35="",'净值数据(iFinD公式)'!$B35=""),"",SUMPRODUCT(持仓配置!$B$4:$N$4,'净值数据(iFinD公式)'!$B35:$N35/'净值数据(iFinD公式)'!$B$5:$N$5)*(1-持仓配置!$P$4)^((ROW()-6)/说明!$C$17))</f>
        <v>0.99804048779343413</v>
      </c>
      <c r="C36" s="9">
        <f t="shared" si="0"/>
        <v>-5.1477664811431234E-3</v>
      </c>
      <c r="D36" s="9">
        <f>IF(B36="","",B36/MAX(B$6:B36)-1)</f>
        <v>-1.3709714466648926E-2</v>
      </c>
      <c r="E36" s="102">
        <f>IF(OR('净值数据(iFinD公式)'!$A35="",'净值数据(iFinD公式)'!$B35=""),"",SUMPRODUCT(持仓配置!$B$5:$N$5,'净值数据(iFinD公式)'!$B35:$N35/'净值数据(iFinD公式)'!$B$5:$N$5)*(1-持仓配置!$P$5)^((ROW()-6)/说明!$C$17))</f>
        <v>0.99960067865796476</v>
      </c>
      <c r="F36" s="9">
        <f t="shared" si="1"/>
        <v>-9.4299819979973831E-3</v>
      </c>
      <c r="G36" s="9">
        <f>IF(E36="","",E36/MAX(E$6:E36)-1)</f>
        <v>-2.7637822508031262E-2</v>
      </c>
      <c r="H36" s="102">
        <f>IF(OR('净值数据(iFinD公式)'!$A35="",'净值数据(iFinD公式)'!$B35=""),"",SUMPRODUCT(持仓配置!$B$6:$N$6,'净值数据(iFinD公式)'!$B35:$N35/'净值数据(iFinD公式)'!$B$5:$N$5)*(1-持仓配置!$P$6)^((ROW()-6)/说明!$C$17))</f>
        <v>0.99643530112700229</v>
      </c>
      <c r="I36" s="9">
        <f t="shared" si="2"/>
        <v>-1.4235683623911366E-2</v>
      </c>
      <c r="J36" s="9">
        <f>IF(H36="","",H36/MAX(H$6:H36)-1)</f>
        <v>-4.0857914750428437E-2</v>
      </c>
      <c r="K36" s="102">
        <f>IF(OR('净值数据(iFinD公式)'!$A35="",'净值数据(iFinD公式)'!$B35=""),"",SUMPRODUCT(持仓配置!$B$7:$N$7,'净值数据(iFinD公式)'!$B35:$N35/'净值数据(iFinD公式)'!$B$5:$N$5)*(1-持仓配置!$P$7)^((ROW()-6)/说明!$C$17))</f>
        <v>1.0972731668694431</v>
      </c>
      <c r="L36" s="9">
        <f t="shared" si="3"/>
        <v>-3.8811844550135866E-2</v>
      </c>
      <c r="M36" s="9">
        <f>IF(K36="","",K36/MAX(K$6:K36)-1)</f>
        <v>-0.14910330379014347</v>
      </c>
    </row>
    <row r="37" spans="1:13">
      <c r="A37" s="106">
        <f>IF('净值数据(iFinD公式)'!A36="","",'净值数据(iFinD公式)'!A36)</f>
        <v>46217</v>
      </c>
      <c r="B37" s="102">
        <f>IF(OR('净值数据(iFinD公式)'!$A36="",'净值数据(iFinD公式)'!$B36=""),"",SUMPRODUCT(持仓配置!$B$4:$N$4,'净值数据(iFinD公式)'!$B36:$N36/'净值数据(iFinD公式)'!$B$5:$N$5)*(1-持仓配置!$P$4)^((ROW()-6)/说明!$C$17))</f>
        <v>1.0010543893909403</v>
      </c>
      <c r="C37" s="9">
        <f t="shared" si="0"/>
        <v>3.0198189696388766E-3</v>
      </c>
      <c r="D37" s="9">
        <f>IF(B37="","",B37/MAX(B$6:B37)-1)</f>
        <v>-1.0731296352824882E-2</v>
      </c>
      <c r="E37" s="102">
        <f>IF(OR('净值数据(iFinD公式)'!$A36="",'净值数据(iFinD公式)'!$B36=""),"",SUMPRODUCT(持仓配置!$B$5:$N$5,'净值数据(iFinD公式)'!$B36:$N36/'净值数据(iFinD公式)'!$B$5:$N$5)*(1-持仓配置!$P$5)^((ROW()-6)/说明!$C$17))</f>
        <v>1.0057655126629168</v>
      </c>
      <c r="F37" s="9">
        <f t="shared" si="1"/>
        <v>6.1672967381622978E-3</v>
      </c>
      <c r="G37" s="9">
        <f>IF(E37="","",E37/MAX(E$6:E37)-1)</f>
        <v>-2.1640976422472646E-2</v>
      </c>
      <c r="H37" s="102">
        <f>IF(OR('净值数据(iFinD公式)'!$A36="",'净值数据(iFinD公式)'!$B36=""),"",SUMPRODUCT(持仓配置!$B$6:$N$6,'净值数据(iFinD公式)'!$B36:$N36/'净值数据(iFinD公式)'!$B$5:$N$5)*(1-持仓配置!$P$6)^((ROW()-6)/说明!$C$17))</f>
        <v>1.005402061956201</v>
      </c>
      <c r="I37" s="9">
        <f t="shared" si="2"/>
        <v>8.9988389803703495E-3</v>
      </c>
      <c r="J37" s="9">
        <f>IF(H37="","",H37/MAX(H$6:H37)-1)</f>
        <v>-3.2226749565970936E-2</v>
      </c>
      <c r="K37" s="102">
        <f>IF(OR('净值数据(iFinD公式)'!$A36="",'净值数据(iFinD公式)'!$B36=""),"",SUMPRODUCT(持仓配置!$B$7:$N$7,'净值数据(iFinD公式)'!$B36:$N36/'净值数据(iFinD公式)'!$B$5:$N$5)*(1-持仓配置!$P$7)^((ROW()-6)/说明!$C$17))</f>
        <v>1.1379135344509401</v>
      </c>
      <c r="L37" s="9">
        <f t="shared" si="3"/>
        <v>3.7037602675954684E-2</v>
      </c>
      <c r="M37" s="9">
        <f>IF(K37="","",K37/MAX(K$6:K37)-1)</f>
        <v>-0.11758813003764024</v>
      </c>
    </row>
    <row r="38" spans="1:13">
      <c r="A38" s="106">
        <f>IF('净值数据(iFinD公式)'!A37="","",'净值数据(iFinD公式)'!A37)</f>
        <v>46218</v>
      </c>
      <c r="B38" s="102">
        <f>IF(OR('净值数据(iFinD公式)'!$A37="",'净值数据(iFinD公式)'!$B37=""),"",SUMPRODUCT(持仓配置!$B$4:$N$4,'净值数据(iFinD公式)'!$B37:$N37/'净值数据(iFinD公式)'!$B$5:$N$5)*(1-持仓配置!$P$4)^((ROW()-6)/说明!$C$17))</f>
        <v>0.9989279377727005</v>
      </c>
      <c r="C38" s="9">
        <f t="shared" si="0"/>
        <v>-2.1242118717780256E-3</v>
      </c>
      <c r="D38" s="9">
        <f>IF(B38="","",B38/MAX(B$6:B38)-1)</f>
        <v>-1.2832712677490754E-2</v>
      </c>
      <c r="E38" s="102">
        <f>IF(OR('净值数据(iFinD公式)'!$A37="",'净值数据(iFinD公式)'!$B37=""),"",SUMPRODUCT(持仓配置!$B$5:$N$5,'净值数据(iFinD公式)'!$B37:$N37/'净值数据(iFinD公式)'!$B$5:$N$5)*(1-持仓配置!$P$5)^((ROW()-6)/说明!$C$17))</f>
        <v>1.0014241685210887</v>
      </c>
      <c r="F38" s="9">
        <f t="shared" si="1"/>
        <v>-4.3164575511579484E-3</v>
      </c>
      <c r="G38" s="9">
        <f>IF(E38="","",E38/MAX(E$6:E38)-1)</f>
        <v>-2.5864021617537314E-2</v>
      </c>
      <c r="H38" s="102">
        <f>IF(OR('净值数据(iFinD公式)'!$A37="",'净值数据(iFinD公式)'!$B37=""),"",SUMPRODUCT(持仓配置!$B$6:$N$6,'净值数据(iFinD公式)'!$B37:$N37/'净值数据(iFinD公式)'!$B$5:$N$5)*(1-持仓配置!$P$6)^((ROW()-6)/说明!$C$17))</f>
        <v>0.99878418364456378</v>
      </c>
      <c r="I38" s="9">
        <f t="shared" si="2"/>
        <v>-6.5823202100468992E-3</v>
      </c>
      <c r="J38" s="9">
        <f>IF(H38="","",H38/MAX(H$6:H38)-1)</f>
        <v>-3.8596942991045657E-2</v>
      </c>
      <c r="K38" s="102">
        <f>IF(OR('净值数据(iFinD公式)'!$A37="",'净值数据(iFinD公式)'!$B37=""),"",SUMPRODUCT(持仓配置!$B$7:$N$7,'净值数据(iFinD公式)'!$B37:$N37/'净值数据(iFinD公式)'!$B$5:$N$5)*(1-持仓配置!$P$7)^((ROW()-6)/说明!$C$17))</f>
        <v>1.1041657661996578</v>
      </c>
      <c r="L38" s="9">
        <f t="shared" si="3"/>
        <v>-2.9657585773919193E-2</v>
      </c>
      <c r="M38" s="9">
        <f>IF(K38="","",K38/MAX(K$6:K38)-1)</f>
        <v>-0.14375833575897334</v>
      </c>
    </row>
    <row r="39" spans="1:13">
      <c r="A39" s="106">
        <f>IF('净值数据(iFinD公式)'!A38="","",'净值数据(iFinD公式)'!A38)</f>
        <v>46219</v>
      </c>
      <c r="B39" s="102">
        <f>IF(OR('净值数据(iFinD公式)'!$A38="",'净值数据(iFinD公式)'!$B38=""),"",SUMPRODUCT(持仓配置!$B$4:$N$4,'净值数据(iFinD公式)'!$B38:$N38/'净值数据(iFinD公式)'!$B$5:$N$5)*(1-持仓配置!$P$4)^((ROW()-6)/说明!$C$17))</f>
        <v>0.99507048463583336</v>
      </c>
      <c r="C39" s="9">
        <f t="shared" ref="C39:C60" si="4">IF(OR(B39="",B38=""),"",B39/B38-1)</f>
        <v>-3.8615930048648828E-3</v>
      </c>
      <c r="D39" s="9">
        <f>IF(B39="","",B39/MAX(B$6:B39)-1)</f>
        <v>-1.6644750968846767E-2</v>
      </c>
      <c r="E39" s="102">
        <f>IF(OR('净值数据(iFinD公式)'!$A38="",'净值数据(iFinD公式)'!$B38=""),"",SUMPRODUCT(持仓配置!$B$5:$N$5,'净值数据(iFinD公式)'!$B38:$N38/'净值数据(iFinD公式)'!$B$5:$N$5)*(1-持仓配置!$P$5)^((ROW()-6)/说明!$C$17))</f>
        <v>0.99396833859112943</v>
      </c>
      <c r="F39" s="9">
        <f t="shared" ref="F39:F60" si="5">IF(OR(E39="",E38=""),"",E39/E38-1)</f>
        <v>-7.4452266724999161E-3</v>
      </c>
      <c r="G39" s="9">
        <f>IF(E39="","",E39/MAX(E$6:E39)-1)</f>
        <v>-3.311668478643226E-2</v>
      </c>
      <c r="H39" s="102">
        <f>IF(OR('净值数据(iFinD公式)'!$A38="",'净值数据(iFinD公式)'!$B38=""),"",SUMPRODUCT(持仓配置!$B$6:$N$6,'净值数据(iFinD公式)'!$B38:$N38/'净值数据(iFinD公式)'!$B$5:$N$5)*(1-持仓配置!$P$6)^((ROW()-6)/说明!$C$17))</f>
        <v>0.98770699356614544</v>
      </c>
      <c r="I39" s="9">
        <f t="shared" ref="I39:I60" si="6">IF(OR(H39="",H38=""),"",H39/H38-1)</f>
        <v>-1.1090674301627024E-2</v>
      </c>
      <c r="J39" s="9">
        <f>IF(H39="","",H39/MAX(H$6:H39)-1)</f>
        <v>-4.9259551168920557E-2</v>
      </c>
      <c r="K39" s="102">
        <f>IF(OR('净值数据(iFinD公式)'!$A38="",'净值数据(iFinD公式)'!$B38=""),"",SUMPRODUCT(持仓配置!$B$7:$N$7,'净值数据(iFinD公式)'!$B38:$N38/'净值数据(iFinD公式)'!$B$5:$N$5)*(1-持仓配置!$P$7)^((ROW()-6)/说明!$C$17))</f>
        <v>1.0556964788720771</v>
      </c>
      <c r="L39" s="9">
        <f t="shared" ref="L39:L60" si="7">IF(OR(K39="",K38=""),"",K39/K38-1)</f>
        <v>-4.3896748849951539E-2</v>
      </c>
      <c r="M39" s="9">
        <f>IF(K39="","",K39/MAX(K$6:K39)-1)</f>
        <v>-0.18134456104902619</v>
      </c>
    </row>
    <row r="40" spans="1:13">
      <c r="A40" s="106">
        <f>IF('净值数据(iFinD公式)'!A39="","",'净值数据(iFinD公式)'!A39)</f>
        <v>46220</v>
      </c>
      <c r="B40" s="102">
        <f>IF(OR('净值数据(iFinD公式)'!$A39="",'净值数据(iFinD公式)'!$B39=""),"",SUMPRODUCT(持仓配置!$B$4:$N$4,'净值数据(iFinD公式)'!$B39:$N39/'净值数据(iFinD公式)'!$B$5:$N$5)*(1-持仓配置!$P$4)^((ROW()-6)/说明!$C$17))</f>
        <v>0.98792885556003662</v>
      </c>
      <c r="C40" s="9">
        <f t="shared" si="4"/>
        <v>-7.1770082482250919E-3</v>
      </c>
      <c r="D40" s="9">
        <f>IF(B40="","",B40/MAX(B$6:B40)-1)</f>
        <v>-2.3702299702078822E-2</v>
      </c>
      <c r="E40" s="102">
        <f>IF(OR('净值数据(iFinD公式)'!$A39="",'净值数据(iFinD公式)'!$B39=""),"",SUMPRODUCT(持仓配置!$B$5:$N$5,'净值数据(iFinD公式)'!$B39:$N39/'净值数据(iFinD公式)'!$B$5:$N$5)*(1-持仓配置!$P$5)^((ROW()-6)/说明!$C$17))</f>
        <v>0.97948939812063807</v>
      </c>
      <c r="F40" s="9">
        <f t="shared" si="5"/>
        <v>-1.4566802490926567E-2</v>
      </c>
      <c r="G40" s="9">
        <f>IF(E40="","",E40/MAX(E$6:E40)-1)</f>
        <v>-4.7201083070920635E-2</v>
      </c>
      <c r="H40" s="102">
        <f>IF(OR('净值数据(iFinD公式)'!$A39="",'净值数据(iFinD公式)'!$B39=""),"",SUMPRODUCT(持仓配置!$B$6:$N$6,'净值数据(iFinD公式)'!$B39:$N39/'净值数据(iFinD公式)'!$B$5:$N$5)*(1-持仓配置!$P$6)^((ROW()-6)/说明!$C$17))</f>
        <v>0.96561569645713197</v>
      </c>
      <c r="I40" s="9">
        <f t="shared" si="6"/>
        <v>-2.2366245508956273E-2</v>
      </c>
      <c r="J40" s="9">
        <f>IF(H40="","",H40/MAX(H$6:H40)-1)</f>
        <v>-7.0524045462771801E-2</v>
      </c>
      <c r="K40" s="102">
        <f>IF(OR('净值数据(iFinD公式)'!$A39="",'净值数据(iFinD公式)'!$B39=""),"",SUMPRODUCT(持仓配置!$B$7:$N$7,'净值数据(iFinD公式)'!$B39:$N39/'净值数据(iFinD公式)'!$B$5:$N$5)*(1-持仓配置!$P$7)^((ROW()-6)/说明!$C$17))</f>
        <v>0.96431235412864957</v>
      </c>
      <c r="L40" s="9">
        <f t="shared" si="7"/>
        <v>-8.6562877278006822E-2</v>
      </c>
      <c r="M40" s="9">
        <f>IF(K40="","",K40/MAX(K$6:K40)-1)</f>
        <v>-0.25220973134391211</v>
      </c>
    </row>
    <row r="41" spans="1:13">
      <c r="A41" s="106">
        <f>IF('净值数据(iFinD公式)'!A40="","",'净值数据(iFinD公式)'!A40)</f>
        <v>46223</v>
      </c>
      <c r="B41" s="102">
        <f>IF(OR('净值数据(iFinD公式)'!$A40="",'净值数据(iFinD公式)'!$B40=""),"",SUMPRODUCT(持仓配置!$B$4:$N$4,'净值数据(iFinD公式)'!$B40:$N40/'净值数据(iFinD公式)'!$B$5:$N$5)*(1-持仓配置!$P$4)^((ROW()-6)/说明!$C$17))</f>
        <v>0.98498724231318568</v>
      </c>
      <c r="C41" s="9">
        <f t="shared" si="4"/>
        <v>-2.9775557524164276E-3</v>
      </c>
      <c r="D41" s="9">
        <f>IF(B41="","",B41/MAX(B$6:B41)-1)</f>
        <v>-2.6609280535671798E-2</v>
      </c>
      <c r="E41" s="102">
        <f>IF(OR('净值数据(iFinD公式)'!$A40="",'净值数据(iFinD公式)'!$B40=""),"",SUMPRODUCT(持仓配置!$B$5:$N$5,'净值数据(iFinD公式)'!$B40:$N40/'净值数据(iFinD公式)'!$B$5:$N$5)*(1-持仓配置!$P$5)^((ROW()-6)/说明!$C$17))</f>
        <v>0.97384071442216436</v>
      </c>
      <c r="F41" s="9">
        <f t="shared" si="5"/>
        <v>-5.7669676765383926E-3</v>
      </c>
      <c r="G41" s="9">
        <f>IF(E41="","",E41/MAX(E$6:E41)-1)</f>
        <v>-5.2695843627091343E-2</v>
      </c>
      <c r="H41" s="102">
        <f>IF(OR('净值数据(iFinD公式)'!$A40="",'净值数据(iFinD公式)'!$B40=""),"",SUMPRODUCT(持仓配置!$B$6:$N$6,'净值数据(iFinD公式)'!$B40:$N40/'净值数据(iFinD公式)'!$B$5:$N$5)*(1-持仓配置!$P$6)^((ROW()-6)/说明!$C$17))</f>
        <v>0.9573143094413411</v>
      </c>
      <c r="I41" s="9">
        <f t="shared" si="6"/>
        <v>-8.596988477143519E-3</v>
      </c>
      <c r="J41" s="9">
        <f>IF(H41="","",H41/MAX(H$6:H41)-1)</f>
        <v>-7.8514739533710243E-2</v>
      </c>
      <c r="K41" s="102">
        <f>IF(OR('净值数据(iFinD公式)'!$A40="",'净值数据(iFinD公式)'!$B40=""),"",SUMPRODUCT(持仓配置!$B$7:$N$7,'净值数据(iFinD公式)'!$B40:$N40/'净值数据(iFinD公式)'!$B$5:$N$5)*(1-持仓配置!$P$7)^((ROW()-6)/说明!$C$17))</f>
        <v>0.92885095447230737</v>
      </c>
      <c r="L41" s="9">
        <f t="shared" si="7"/>
        <v>-3.6773768898133663E-2</v>
      </c>
      <c r="M41" s="9">
        <f>IF(K41="","",K41/MAX(K$6:K41)-1)</f>
        <v>-0.27970879786774439</v>
      </c>
    </row>
    <row r="42" spans="1:13">
      <c r="A42" s="106">
        <f>IF('净值数据(iFinD公式)'!A41="","",'净值数据(iFinD公式)'!A41)</f>
        <v>46224</v>
      </c>
      <c r="B42" s="102">
        <f>IF(OR('净值数据(iFinD公式)'!$A41="",'净值数据(iFinD公式)'!$B41=""),"",SUMPRODUCT(持仓配置!$B$4:$N$4,'净值数据(iFinD公式)'!$B41:$N41/'净值数据(iFinD公式)'!$B$5:$N$5)*(1-持仓配置!$P$4)^((ROW()-6)/说明!$C$17))</f>
        <v>0.99266358308574398</v>
      </c>
      <c r="C42" s="9">
        <f t="shared" si="4"/>
        <v>7.7933403020844505E-3</v>
      </c>
      <c r="D42" s="9">
        <f>IF(B42="","",B42/MAX(B$6:B42)-1)</f>
        <v>-1.9023315411995534E-2</v>
      </c>
      <c r="E42" s="102">
        <f>IF(OR('净值数据(iFinD公式)'!$A41="",'净值数据(iFinD公式)'!$B41=""),"",SUMPRODUCT(持仓配置!$B$5:$N$5,'净值数据(iFinD公式)'!$B41:$N41/'净值数据(iFinD公式)'!$B$5:$N$5)*(1-持仓配置!$P$5)^((ROW()-6)/说明!$C$17))</f>
        <v>0.98833544184805</v>
      </c>
      <c r="F42" s="9">
        <f t="shared" si="5"/>
        <v>1.4884084441351586E-2</v>
      </c>
      <c r="G42" s="9">
        <f>IF(E42="","",E42/MAX(E$6:E42)-1)</f>
        <v>-3.8596088571993592E-2</v>
      </c>
      <c r="H42" s="102">
        <f>IF(OR('净值数据(iFinD公式)'!$A41="",'净值数据(iFinD公式)'!$B41=""),"",SUMPRODUCT(持仓配置!$B$6:$N$6,'净值数据(iFinD公式)'!$B41:$N41/'净值数据(iFinD公式)'!$B$5:$N$5)*(1-持仓配置!$P$6)^((ROW()-6)/说明!$C$17))</f>
        <v>0.97932098950865931</v>
      </c>
      <c r="I42" s="9">
        <f t="shared" si="6"/>
        <v>2.2987935989550401E-2</v>
      </c>
      <c r="J42" s="9">
        <f>IF(H42="","",H42/MAX(H$6:H42)-1)</f>
        <v>-5.7331695350796963E-2</v>
      </c>
      <c r="K42" s="102">
        <f>IF(OR('净值数据(iFinD公式)'!$A41="",'净值数据(iFinD公式)'!$B41=""),"",SUMPRODUCT(持仓配置!$B$7:$N$7,'净值数据(iFinD公式)'!$B41:$N41/'净值数据(iFinD公式)'!$B$5:$N$5)*(1-持仓配置!$P$7)^((ROW()-6)/说明!$C$17))</f>
        <v>1.0299672198805563</v>
      </c>
      <c r="L42" s="9">
        <f t="shared" si="7"/>
        <v>0.10886166927146501</v>
      </c>
      <c r="M42" s="9">
        <f>IF(K42="","",K42/MAX(K$6:K42)-1)</f>
        <v>-0.20129669524207683</v>
      </c>
    </row>
    <row r="43" spans="1:13">
      <c r="A43" s="106">
        <f>IF('净值数据(iFinD公式)'!A42="","",'净值数据(iFinD公式)'!A42)</f>
        <v>46225</v>
      </c>
      <c r="B43" s="102">
        <f>IF(OR('净值数据(iFinD公式)'!$A42="",'净值数据(iFinD公式)'!$B42=""),"",SUMPRODUCT(持仓配置!$B$4:$N$4,'净值数据(iFinD公式)'!$B42:$N42/'净值数据(iFinD公式)'!$B$5:$N$5)*(1-持仓配置!$P$4)^((ROW()-6)/说明!$C$17))</f>
        <v>0.99241748057616874</v>
      </c>
      <c r="C43" s="9">
        <f t="shared" si="4"/>
        <v>-2.4792136406392995E-4</v>
      </c>
      <c r="D43" s="9">
        <f>IF(B43="","",B43/MAX(B$6:B43)-1)</f>
        <v>-1.9266520489753525E-2</v>
      </c>
      <c r="E43" s="102">
        <f>IF(OR('净值数据(iFinD公式)'!$A42="",'净值数据(iFinD公式)'!$B42=""),"",SUMPRODUCT(持仓配置!$B$5:$N$5,'净值数据(iFinD公式)'!$B42:$N42/'净值数据(iFinD公式)'!$B$5:$N$5)*(1-持仓配置!$P$5)^((ROW()-6)/说明!$C$17))</f>
        <v>0.9858173407646309</v>
      </c>
      <c r="F43" s="9">
        <f t="shared" si="5"/>
        <v>-2.5478202812504458E-3</v>
      </c>
      <c r="G43" s="9">
        <f>IF(E43="","",E43/MAX(E$6:E43)-1)</f>
        <v>-4.1045572956003418E-2</v>
      </c>
      <c r="H43" s="102">
        <f>IF(OR('净值数据(iFinD公式)'!$A42="",'净值数据(iFinD公式)'!$B42=""),"",SUMPRODUCT(持仓配置!$B$6:$N$6,'净值数据(iFinD公式)'!$B42:$N42/'净值数据(iFinD公式)'!$B$5:$N$5)*(1-持仓配置!$P$6)^((ROW()-6)/说明!$C$17))</f>
        <v>0.97509045741741684</v>
      </c>
      <c r="I43" s="9">
        <f t="shared" si="6"/>
        <v>-4.3198625747468133E-3</v>
      </c>
      <c r="J43" s="9">
        <f>IF(H43="","",H43/MAX(H$6:H43)-1)</f>
        <v>-6.1403892880451116E-2</v>
      </c>
      <c r="K43" s="102">
        <f>IF(OR('净值数据(iFinD公式)'!$A42="",'净值数据(iFinD公式)'!$B42=""),"",SUMPRODUCT(持仓配置!$B$7:$N$7,'净值数据(iFinD公式)'!$B42:$N42/'净值数据(iFinD公式)'!$B$5:$N$5)*(1-持仓配置!$P$7)^((ROW()-6)/说明!$C$17))</f>
        <v>0.99692399076987337</v>
      </c>
      <c r="L43" s="9">
        <f t="shared" si="7"/>
        <v>-3.208182597744702E-2</v>
      </c>
      <c r="M43" s="9">
        <f>IF(K43="","",K43/MAX(K$6:K43)-1)</f>
        <v>-0.22692055567293234</v>
      </c>
    </row>
    <row r="44" spans="1:13">
      <c r="A44" s="106">
        <f>IF('净值数据(iFinD公式)'!A43="","",'净值数据(iFinD公式)'!A43)</f>
        <v>46226</v>
      </c>
      <c r="B44" s="102">
        <f>IF(OR('净值数据(iFinD公式)'!$A43="",'净值数据(iFinD公式)'!$B43=""),"",SUMPRODUCT(持仓配置!$B$4:$N$4,'净值数据(iFinD公式)'!$B43:$N43/'净值数据(iFinD公式)'!$B$5:$N$5)*(1-持仓配置!$P$4)^((ROW()-6)/说明!$C$17))</f>
        <v>0.99157338362765834</v>
      </c>
      <c r="C44" s="9">
        <f t="shared" si="4"/>
        <v>-8.5054623183411504E-4</v>
      </c>
      <c r="D44" s="9">
        <f>IF(B44="","",B44/MAX(B$6:B44)-1)</f>
        <v>-2.0100679655184583E-2</v>
      </c>
      <c r="E44" s="102">
        <f>IF(OR('净值数据(iFinD公式)'!$A43="",'净值数据(iFinD公式)'!$B43=""),"",SUMPRODUCT(持仓配置!$B$5:$N$5,'净值数据(iFinD公式)'!$B43:$N43/'净值数据(iFinD公式)'!$B$5:$N$5)*(1-持仓配置!$P$5)^((ROW()-6)/说明!$C$17))</f>
        <v>0.98406527706891223</v>
      </c>
      <c r="F44" s="9">
        <f t="shared" si="5"/>
        <v>-1.7772701120876144E-3</v>
      </c>
      <c r="G44" s="9">
        <f>IF(E44="","",E44/MAX(E$6:E44)-1)</f>
        <v>-4.2749893998042854E-2</v>
      </c>
      <c r="H44" s="102">
        <f>IF(OR('净值数据(iFinD公式)'!$A43="",'净值数据(iFinD公式)'!$B43=""),"",SUMPRODUCT(持仓配置!$B$6:$N$6,'净值数据(iFinD公式)'!$B43:$N43/'净值数据(iFinD公式)'!$B$5:$N$5)*(1-持仓配置!$P$6)^((ROW()-6)/说明!$C$17))</f>
        <v>0.97228838829207365</v>
      </c>
      <c r="I44" s="9">
        <f t="shared" si="6"/>
        <v>-2.8736504434313526E-3</v>
      </c>
      <c r="J44" s="9">
        <f>IF(H44="","",H44/MAX(H$6:H44)-1)</f>
        <v>-6.4101089999878069E-2</v>
      </c>
      <c r="K44" s="102">
        <f>IF(OR('净值数据(iFinD公式)'!$A43="",'净值数据(iFinD公式)'!$B43=""),"",SUMPRODUCT(持仓配置!$B$7:$N$7,'净值数据(iFinD公式)'!$B43:$N43/'净值数据(iFinD公式)'!$B$5:$N$5)*(1-持仓配置!$P$7)^((ROW()-6)/说明!$C$17))</f>
        <v>0.97335651320518901</v>
      </c>
      <c r="L44" s="9">
        <f t="shared" si="7"/>
        <v>-2.3640195022776367E-2</v>
      </c>
      <c r="M44" s="9">
        <f>IF(K44="","",K44/MAX(K$6:K44)-1)</f>
        <v>-0.24519630450492391</v>
      </c>
    </row>
    <row r="45" spans="1:13">
      <c r="A45" s="106">
        <f>IF('净值数据(iFinD公式)'!A44="","",'净值数据(iFinD公式)'!A44)</f>
        <v>46227</v>
      </c>
      <c r="B45" s="102">
        <f>IF(OR('净值数据(iFinD公式)'!$A44="",'净值数据(iFinD公式)'!$B44=""),"",SUMPRODUCT(持仓配置!$B$4:$N$4,'净值数据(iFinD公式)'!$B44:$N44/'净值数据(iFinD公式)'!$B$5:$N$5)*(1-持仓配置!$P$4)^((ROW()-6)/说明!$C$17))</f>
        <v>0.98999658372279531</v>
      </c>
      <c r="C45" s="9">
        <f t="shared" si="4"/>
        <v>-1.5901999094553032E-3</v>
      </c>
      <c r="D45" s="9">
        <f>IF(B45="","",B45/MAX(B$6:B45)-1)</f>
        <v>-2.1658915465672224E-2</v>
      </c>
      <c r="E45" s="102">
        <f>IF(OR('净值数据(iFinD公式)'!$A44="",'净值数据(iFinD公式)'!$B44=""),"",SUMPRODUCT(持仓配置!$B$5:$N$5,'净值数据(iFinD公式)'!$B44:$N44/'净值数据(iFinD公式)'!$B$5:$N$5)*(1-持仓配置!$P$5)^((ROW()-6)/说明!$C$17))</f>
        <v>0.98103582992602945</v>
      </c>
      <c r="F45" s="9">
        <f t="shared" si="5"/>
        <v>-3.0785022228465575E-3</v>
      </c>
      <c r="G45" s="9">
        <f>IF(E45="","",E45/MAX(E$6:E45)-1)</f>
        <v>-4.5696790577190005E-2</v>
      </c>
      <c r="H45" s="102">
        <f>IF(OR('净值数据(iFinD公式)'!$A44="",'净值数据(iFinD公式)'!$B44=""),"",SUMPRODUCT(持仓配置!$B$6:$N$6,'净值数据(iFinD公式)'!$B44:$N44/'净值数据(iFinD公式)'!$B$5:$N$5)*(1-持仓配置!$P$6)^((ROW()-6)/说明!$C$17))</f>
        <v>0.96714889061912601</v>
      </c>
      <c r="I45" s="9">
        <f t="shared" si="6"/>
        <v>-5.285980718103267E-3</v>
      </c>
      <c r="J45" s="9">
        <f>IF(H45="","",H45/MAX(H$6:H45)-1)</f>
        <v>-6.9048233592232666E-2</v>
      </c>
      <c r="K45" s="102">
        <f>IF(OR('净值数据(iFinD公式)'!$A44="",'净值数据(iFinD公式)'!$B44=""),"",SUMPRODUCT(持仓配置!$B$7:$N$7,'净值数据(iFinD公式)'!$B44:$N44/'净值数据(iFinD公式)'!$B$5:$N$5)*(1-持仓配置!$P$7)^((ROW()-6)/说明!$C$17))</f>
        <v>0.96730486465535159</v>
      </c>
      <c r="L45" s="9">
        <f t="shared" si="7"/>
        <v>-6.2172990756591551E-3</v>
      </c>
      <c r="M45" s="9">
        <f>IF(K45="","",K45/MAX(K$6:K45)-1)</f>
        <v>-0.24988914482322955</v>
      </c>
    </row>
    <row r="46" spans="1:13">
      <c r="A46" s="106">
        <f>IF('净值数据(iFinD公式)'!A45="","",'净值数据(iFinD公式)'!A45)</f>
        <v>46230</v>
      </c>
      <c r="B46" s="102">
        <f>IF(OR('净值数据(iFinD公式)'!$A45="",'净值数据(iFinD公式)'!$B45=""),"",SUMPRODUCT(持仓配置!$B$4:$N$4,'净值数据(iFinD公式)'!$B45:$N45/'净值数据(iFinD公式)'!$B$5:$N$5)*(1-持仓配置!$P$4)^((ROW()-6)/说明!$C$17))</f>
        <v>0.9933885124525984</v>
      </c>
      <c r="C46" s="9">
        <f t="shared" si="4"/>
        <v>3.4262024592530693E-3</v>
      </c>
      <c r="D46" s="9">
        <f>IF(B46="","",B46/MAX(B$6:B46)-1)</f>
        <v>-1.8306920835852503E-2</v>
      </c>
      <c r="E46" s="102">
        <f>IF(OR('净值数据(iFinD公式)'!$A45="",'净值数据(iFinD公式)'!$B45=""),"",SUMPRODUCT(持仓配置!$B$5:$N$5,'净值数据(iFinD公式)'!$B45:$N45/'净值数据(iFinD公式)'!$B$5:$N$5)*(1-持仓配置!$P$5)^((ROW()-6)/说明!$C$17))</f>
        <v>0.98723827429461497</v>
      </c>
      <c r="F46" s="9">
        <f t="shared" si="5"/>
        <v>6.3223423440641469E-3</v>
      </c>
      <c r="G46" s="9">
        <f>IF(E46="","",E46/MAX(E$6:E46)-1)</f>
        <v>-3.9663358987179764E-2</v>
      </c>
      <c r="H46" s="102">
        <f>IF(OR('净值数据(iFinD公式)'!$A45="",'净值数据(iFinD公式)'!$B45=""),"",SUMPRODUCT(持仓配置!$B$6:$N$6,'净值数据(iFinD公式)'!$B45:$N45/'净值数据(iFinD公式)'!$B$5:$N$5)*(1-持仓配置!$P$6)^((ROW()-6)/说明!$C$17))</f>
        <v>0.97669318468652211</v>
      </c>
      <c r="I46" s="9">
        <f t="shared" si="6"/>
        <v>9.8684847389798325E-3</v>
      </c>
      <c r="J46" s="9">
        <f>IF(H46="","",H46/MAX(H$6:H46)-1)</f>
        <v>-5.9861150292711329E-2</v>
      </c>
      <c r="K46" s="102">
        <f>IF(OR('净值数据(iFinD公式)'!$A45="",'净值数据(iFinD公式)'!$B45=""),"",SUMPRODUCT(持仓配置!$B$7:$N$7,'净值数据(iFinD公式)'!$B45:$N45/'净值数据(iFinD公式)'!$B$5:$N$5)*(1-持仓配置!$P$7)^((ROW()-6)/说明!$C$17))</f>
        <v>0.99628634338921995</v>
      </c>
      <c r="L46" s="9">
        <f t="shared" si="7"/>
        <v>2.9961059633659914E-2</v>
      </c>
      <c r="M46" s="9">
        <f>IF(K46="","",K46/MAX(K$6:K46)-1)</f>
        <v>-0.22741502875942265</v>
      </c>
    </row>
    <row r="47" spans="1:13">
      <c r="A47" s="106">
        <f>IF('净值数据(iFinD公式)'!A46="","",'净值数据(iFinD公式)'!A46)</f>
        <v>46231</v>
      </c>
      <c r="B47" s="102">
        <f>IF(OR('净值数据(iFinD公式)'!$A46="",'净值数据(iFinD公式)'!$B46=""),"",SUMPRODUCT(持仓配置!$B$4:$N$4,'净值数据(iFinD公式)'!$B46:$N46/'净值数据(iFinD公式)'!$B$5:$N$5)*(1-持仓配置!$P$4)^((ROW()-6)/说明!$C$17))</f>
        <v>0.987191054770443</v>
      </c>
      <c r="C47" s="9">
        <f t="shared" si="4"/>
        <v>-6.2387048012608748E-3</v>
      </c>
      <c r="D47" s="9">
        <f>IF(B47="","",B47/MAX(B$6:B47)-1)</f>
        <v>-2.4431414162198406E-2</v>
      </c>
      <c r="E47" s="102">
        <f>IF(OR('净值数据(iFinD公式)'!$A46="",'净值数据(iFinD公式)'!$B46=""),"",SUMPRODUCT(持仓配置!$B$5:$N$5,'净值数据(iFinD公式)'!$B46:$N46/'净值数据(iFinD公式)'!$B$5:$N$5)*(1-持仓配置!$P$5)^((ROW()-6)/说明!$C$17))</f>
        <v>0.97544326280250193</v>
      </c>
      <c r="F47" s="9">
        <f t="shared" si="5"/>
        <v>-1.1947481980011943E-2</v>
      </c>
      <c r="G47" s="9">
        <f>IF(E47="","",E47/MAX(E$6:E47)-1)</f>
        <v>-5.1136963700425642E-2</v>
      </c>
      <c r="H47" s="102">
        <f>IF(OR('净值数据(iFinD公式)'!$A46="",'净值数据(iFinD公式)'!$B46=""),"",SUMPRODUCT(持仓配置!$B$6:$N$6,'净值数据(iFinD公式)'!$B46:$N46/'净值数据(iFinD公式)'!$B$5:$N$5)*(1-持仓配置!$P$6)^((ROW()-6)/说明!$C$17))</f>
        <v>0.9587783061315015</v>
      </c>
      <c r="I47" s="9">
        <f t="shared" si="6"/>
        <v>-1.8342381042384948E-2</v>
      </c>
      <c r="J47" s="9">
        <f>IF(H47="","",H47/MAX(H$6:H47)-1)</f>
        <v>-7.7105535306791873E-2</v>
      </c>
      <c r="K47" s="102">
        <f>IF(OR('净值数据(iFinD公式)'!$A46="",'净值数据(iFinD公式)'!$B46=""),"",SUMPRODUCT(持仓配置!$B$7:$N$7,'净值数据(iFinD公式)'!$B46:$N46/'净值数据(iFinD公式)'!$B$5:$N$5)*(1-持仓配置!$P$7)^((ROW()-6)/说明!$C$17))</f>
        <v>0.91198702129501619</v>
      </c>
      <c r="L47" s="9">
        <f t="shared" si="7"/>
        <v>-8.4613547755186369E-2</v>
      </c>
      <c r="M47" s="9">
        <f>IF(K47="","",K47/MAX(K$6:K47)-1)</f>
        <v>-0.2927861841184265</v>
      </c>
    </row>
    <row r="48" spans="1:13">
      <c r="A48" s="106">
        <f>IF('净值数据(iFinD公式)'!A47="","",'净值数据(iFinD公式)'!A47)</f>
        <v>46232</v>
      </c>
      <c r="B48" s="102">
        <f>IF(OR('净值数据(iFinD公式)'!$A47="",'净值数据(iFinD公式)'!$B47=""),"",SUMPRODUCT(持仓配置!$B$4:$N$4,'净值数据(iFinD公式)'!$B47:$N47/'净值数据(iFinD公式)'!$B$5:$N$5)*(1-持仓配置!$P$4)^((ROW()-6)/说明!$C$17))</f>
        <v>0.98676558297447969</v>
      </c>
      <c r="C48" s="9">
        <f t="shared" si="4"/>
        <v>-4.3099235341248487E-4</v>
      </c>
      <c r="D48" s="9">
        <f>IF(B48="","",B48/MAX(B$6:B48)-1)</f>
        <v>-2.4851876762923997E-2</v>
      </c>
      <c r="E48" s="102">
        <f>IF(OR('净值数据(iFinD公式)'!$A47="",'净值数据(iFinD公式)'!$B47=""),"",SUMPRODUCT(持仓配置!$B$5:$N$5,'净值数据(iFinD公式)'!$B47:$N47/'净值数据(iFinD公式)'!$B$5:$N$5)*(1-持仓配置!$P$5)^((ROW()-6)/说明!$C$17))</f>
        <v>0.97482323096858781</v>
      </c>
      <c r="F48" s="9">
        <f t="shared" si="5"/>
        <v>-6.3564110549363395E-4</v>
      </c>
      <c r="G48" s="9">
        <f>IF(E48="","",E48/MAX(E$6:E48)-1)</f>
        <v>-5.1740100049781246E-2</v>
      </c>
      <c r="H48" s="102">
        <f>IF(OR('净值数据(iFinD公式)'!$A47="",'净值数据(iFinD公式)'!$B47=""),"",SUMPRODUCT(持仓配置!$B$6:$N$6,'净值数据(iFinD公式)'!$B47:$N47/'净值数据(iFinD公式)'!$B$5:$N$5)*(1-持仓配置!$P$6)^((ROW()-6)/说明!$C$17))</f>
        <v>0.95790978205915767</v>
      </c>
      <c r="I48" s="9">
        <f t="shared" si="6"/>
        <v>-9.0586537762638031E-4</v>
      </c>
      <c r="J48" s="9">
        <f>IF(H48="","",H48/MAX(H$6:H48)-1)</f>
        <v>-7.7941553449560441E-2</v>
      </c>
      <c r="K48" s="102">
        <f>IF(OR('净值数据(iFinD公式)'!$A47="",'净值数据(iFinD公式)'!$B47=""),"",SUMPRODUCT(持仓配置!$B$7:$N$7,'净值数据(iFinD公式)'!$B47:$N47/'净值数据(iFinD公式)'!$B$5:$N$5)*(1-持仓配置!$P$7)^((ROW()-6)/说明!$C$17))</f>
        <v>0.90191662655974869</v>
      </c>
      <c r="L48" s="9">
        <f t="shared" si="7"/>
        <v>-1.1042256633178371E-2</v>
      </c>
      <c r="M48" s="9">
        <f>IF(K48="","",K48/MAX(K$6:K48)-1)</f>
        <v>-0.30059542056792021</v>
      </c>
    </row>
    <row r="49" spans="1:13">
      <c r="A49" s="106">
        <f>IF('净值数据(iFinD公式)'!A48="","",'净值数据(iFinD公式)'!A48)</f>
        <v>46233</v>
      </c>
      <c r="B49" s="102">
        <f>IF(OR('净值数据(iFinD公式)'!$A48="",'净值数据(iFinD公式)'!$B48=""),"",SUMPRODUCT(持仓配置!$B$4:$N$4,'净值数据(iFinD公式)'!$B48:$N48/'净值数据(iFinD公式)'!$B$5:$N$5)*(1-持仓配置!$P$4)^((ROW()-6)/说明!$C$17))</f>
        <v>0.98292728743642555</v>
      </c>
      <c r="C49" s="9">
        <f t="shared" si="4"/>
        <v>-3.8897744350629981E-3</v>
      </c>
      <c r="D49" s="9">
        <f>IF(B49="","",B49/MAX(B$6:B49)-1)</f>
        <v>-2.8644983003091151E-2</v>
      </c>
      <c r="E49" s="102">
        <f>IF(OR('净值数据(iFinD公式)'!$A48="",'净值数据(iFinD公式)'!$B48=""),"",SUMPRODUCT(持仓配置!$B$5:$N$5,'净值数据(iFinD公式)'!$B48:$N48/'净值数据(iFinD公式)'!$B$5:$N$5)*(1-持仓配置!$P$5)^((ROW()-6)/说明!$C$17))</f>
        <v>0.96616153587588893</v>
      </c>
      <c r="F49" s="9">
        <f t="shared" si="5"/>
        <v>-8.8854007757822595E-3</v>
      </c>
      <c r="G49" s="9">
        <f>IF(E49="","",E49/MAX(E$6:E49)-1)</f>
        <v>-6.0165769300442151E-2</v>
      </c>
      <c r="H49" s="102">
        <f>IF(OR('净值数据(iFinD公式)'!$A48="",'净值数据(iFinD公式)'!$B48=""),"",SUMPRODUCT(持仓配置!$B$6:$N$6,'净值数据(iFinD公式)'!$B48:$N48/'净值数据(iFinD公式)'!$B$5:$N$5)*(1-持仓配置!$P$6)^((ROW()-6)/说明!$C$17))</f>
        <v>0.94433426377899721</v>
      </c>
      <c r="I49" s="9">
        <f t="shared" si="6"/>
        <v>-1.4172021764907838E-2</v>
      </c>
      <c r="J49" s="9">
        <f>IF(H49="","",H49/MAX(H$6:H49)-1)</f>
        <v>-9.1008985822590427E-2</v>
      </c>
      <c r="K49" s="102">
        <f>IF(OR('净值数据(iFinD公式)'!$A48="",'净值数据(iFinD公式)'!$B48=""),"",SUMPRODUCT(持仓配置!$B$7:$N$7,'净值数据(iFinD公式)'!$B48:$N48/'净值数据(iFinD公式)'!$B$5:$N$5)*(1-持仓配置!$P$7)^((ROW()-6)/说明!$C$17))</f>
        <v>0.83171796406480392</v>
      </c>
      <c r="L49" s="9">
        <f t="shared" si="7"/>
        <v>-7.7832762394800303E-2</v>
      </c>
      <c r="M49" s="9">
        <f>IF(K49="","",K49/MAX(K$6:K49)-1)</f>
        <v>-0.35503201101669257</v>
      </c>
    </row>
    <row r="50" spans="1:13">
      <c r="A50" s="106">
        <f>IF('净值数据(iFinD公式)'!A49="","",'净值数据(iFinD公式)'!A49)</f>
        <v>46234</v>
      </c>
      <c r="B50" s="102">
        <f>IF(OR('净值数据(iFinD公式)'!$A49="",'净值数据(iFinD公式)'!$B49=""),"",SUMPRODUCT(持仓配置!$B$4:$N$4,'净值数据(iFinD公式)'!$B49:$N49/'净值数据(iFinD公式)'!$B$5:$N$5)*(1-持仓配置!$P$4)^((ROW()-6)/说明!$C$17))</f>
        <v>0.98602670241529955</v>
      </c>
      <c r="C50" s="9">
        <f t="shared" si="4"/>
        <v>3.1532495012500661E-3</v>
      </c>
      <c r="D50" s="9">
        <f>IF(B50="","",B50/MAX(B$6:B50)-1)</f>
        <v>-2.5582058280208986E-2</v>
      </c>
      <c r="E50" s="102">
        <f>IF(OR('净值数据(iFinD公式)'!$A49="",'净值数据(iFinD公式)'!$B49=""),"",SUMPRODUCT(持仓配置!$B$5:$N$5,'净值数据(iFinD公式)'!$B49:$N49/'净值数据(iFinD公式)'!$B$5:$N$5)*(1-持仓配置!$P$5)^((ROW()-6)/说明!$C$17))</f>
        <v>0.9717224250840073</v>
      </c>
      <c r="F50" s="9">
        <f t="shared" si="5"/>
        <v>5.7556516189365414E-3</v>
      </c>
      <c r="G50" s="9">
        <f>IF(E50="","",E50/MAX(E$6:E50)-1)</f>
        <v>-5.4756410888984086E-2</v>
      </c>
      <c r="H50" s="102">
        <f>IF(OR('净值数据(iFinD公式)'!$A49="",'净值数据(iFinD公式)'!$B49=""),"",SUMPRODUCT(持仓配置!$B$6:$N$6,'净值数据(iFinD公式)'!$B49:$N49/'净值数据(iFinD公式)'!$B$5:$N$5)*(1-持仓配置!$P$6)^((ROW()-6)/说明!$C$17))</f>
        <v>0.95256289455259324</v>
      </c>
      <c r="I50" s="9">
        <f t="shared" si="6"/>
        <v>8.7136844327420082E-3</v>
      </c>
      <c r="J50" s="9">
        <f>IF(H50="","",H50/MAX(H$6:H50)-1)</f>
        <v>-8.3088324972850236E-2</v>
      </c>
      <c r="K50" s="102">
        <f>IF(OR('净值数据(iFinD公式)'!$A49="",'净值数据(iFinD公式)'!$B49=""),"",SUMPRODUCT(持仓配置!$B$7:$N$7,'净值数据(iFinD公式)'!$B49:$N49/'净值数据(iFinD公式)'!$B$5:$N$5)*(1-持仓配置!$P$7)^((ROW()-6)/说明!$C$17))</f>
        <v>0.86263967408220021</v>
      </c>
      <c r="L50" s="9">
        <f t="shared" si="7"/>
        <v>3.7178119691288813E-2</v>
      </c>
      <c r="M50" s="9">
        <f>IF(K50="","",K50/MAX(K$6:K50)-1)</f>
        <v>-0.3310533139252213</v>
      </c>
    </row>
    <row r="51" spans="1:13">
      <c r="A51" s="106">
        <f>IF('净值数据(iFinD公式)'!A50="","",'净值数据(iFinD公式)'!A50)</f>
        <v>46237</v>
      </c>
      <c r="B51" s="102">
        <f>IF(OR('净值数据(iFinD公式)'!$A50="",'净值数据(iFinD公式)'!$B50=""),"",SUMPRODUCT(持仓配置!$B$4:$N$4,'净值数据(iFinD公式)'!$B50:$N50/'净值数据(iFinD公式)'!$B$5:$N$5)*(1-持仓配置!$P$4)^((ROW()-6)/说明!$C$17))</f>
        <v>0.98448294300370898</v>
      </c>
      <c r="C51" s="9">
        <f t="shared" si="4"/>
        <v>-1.565636516545732E-3</v>
      </c>
      <c r="D51" s="9">
        <f>IF(B51="","",B51/MAX(B$6:B51)-1)</f>
        <v>-2.7107642592142822E-2</v>
      </c>
      <c r="E51" s="102">
        <f>IF(OR('净值数据(iFinD公式)'!$A50="",'净值数据(iFinD公式)'!$B50=""),"",SUMPRODUCT(持仓配置!$B$5:$N$5,'净值数据(iFinD公式)'!$B50:$N50/'净值数据(iFinD公式)'!$B$5:$N$5)*(1-持仓配置!$P$5)^((ROW()-6)/说明!$C$17))</f>
        <v>0.96853933684082094</v>
      </c>
      <c r="F51" s="9">
        <f t="shared" si="5"/>
        <v>-3.2757175928209703E-3</v>
      </c>
      <c r="G51" s="9">
        <f>IF(E51="","",E51/MAX(E$6:E51)-1)</f>
        <v>-5.7852761943336328E-2</v>
      </c>
      <c r="H51" s="102">
        <f>IF(OR('净值数据(iFinD公式)'!$A50="",'净值数据(iFinD公式)'!$B50=""),"",SUMPRODUCT(持仓配置!$B$6:$N$6,'净值数据(iFinD公式)'!$B50:$N50/'净值数据(iFinD公式)'!$B$5:$N$5)*(1-持仓配置!$P$6)^((ROW()-6)/说明!$C$17))</f>
        <v>0.94763091789102127</v>
      </c>
      <c r="I51" s="9">
        <f t="shared" si="6"/>
        <v>-5.1775863722767212E-3</v>
      </c>
      <c r="J51" s="9">
        <f>IF(H51="","",H51/MAX(H$6:H51)-1)</f>
        <v>-8.7835714366052198E-2</v>
      </c>
      <c r="K51" s="102">
        <f>IF(OR('净值数据(iFinD公式)'!$A50="",'净值数据(iFinD公式)'!$B50=""),"",SUMPRODUCT(持仓配置!$B$7:$N$7,'净值数据(iFinD公式)'!$B50:$N50/'净值数据(iFinD公式)'!$B$5:$N$5)*(1-持仓配置!$P$7)^((ROW()-6)/说明!$C$17))</f>
        <v>0.832727229117737</v>
      </c>
      <c r="L51" s="9">
        <f t="shared" si="7"/>
        <v>-3.4675480230246025E-2</v>
      </c>
      <c r="M51" s="9">
        <f>IF(K51="","",K51/MAX(K$6:K51)-1)</f>
        <v>-0.35424936151329589</v>
      </c>
    </row>
    <row r="52" spans="1:13">
      <c r="A52" s="106">
        <f>IF('净值数据(iFinD公式)'!A51="","",'净值数据(iFinD公式)'!A51)</f>
        <v>46238</v>
      </c>
      <c r="B52" s="102">
        <f>IF(OR('净值数据(iFinD公式)'!$A51="",'净值数据(iFinD公式)'!$B51=""),"",SUMPRODUCT(持仓配置!$B$4:$N$4,'净值数据(iFinD公式)'!$B51:$N51/'净值数据(iFinD公式)'!$B$5:$N$5)*(1-持仓配置!$P$4)^((ROW()-6)/说明!$C$17))</f>
        <v>0.98920081787995973</v>
      </c>
      <c r="C52" s="9">
        <f t="shared" si="4"/>
        <v>4.7922362797432339E-3</v>
      </c>
      <c r="D52" s="9">
        <f>IF(B52="","",B52/MAX(B$6:B52)-1)</f>
        <v>-2.2445312540687934E-2</v>
      </c>
      <c r="E52" s="102">
        <f>IF(OR('净值数据(iFinD公式)'!$A51="",'净值数据(iFinD公式)'!$B51=""),"",SUMPRODUCT(持仓配置!$B$5:$N$5,'净值数据(iFinD公式)'!$B51:$N51/'净值数据(iFinD公式)'!$B$5:$N$5)*(1-持仓配置!$P$5)^((ROW()-6)/说明!$C$17))</f>
        <v>0.97760020395813585</v>
      </c>
      <c r="F52" s="9">
        <f t="shared" si="5"/>
        <v>9.3551875206945301E-3</v>
      </c>
      <c r="G52" s="9">
        <f>IF(E52="","",E52/MAX(E$6:E52)-1)</f>
        <v>-4.9038797859211947E-2</v>
      </c>
      <c r="H52" s="102">
        <f>IF(OR('净值数据(iFinD公式)'!$A51="",'净值数据(iFinD公式)'!$B51=""),"",SUMPRODUCT(持仓配置!$B$6:$N$6,'净值数据(iFinD公式)'!$B51:$N51/'净值数据(iFinD公式)'!$B$5:$N$5)*(1-持仓配置!$P$6)^((ROW()-6)/说明!$C$17))</f>
        <v>0.96108385265753016</v>
      </c>
      <c r="I52" s="9">
        <f t="shared" si="6"/>
        <v>1.4196386496600155E-2</v>
      </c>
      <c r="J52" s="9">
        <f>IF(H52="","",H52/MAX(H$6:H52)-1)</f>
        <v>-7.4886277618797514E-2</v>
      </c>
      <c r="K52" s="102">
        <f>IF(OR('净值数据(iFinD公式)'!$A51="",'净值数据(iFinD公式)'!$B51=""),"",SUMPRODUCT(持仓配置!$B$7:$N$7,'净值数据(iFinD公式)'!$B51:$N51/'净值数据(iFinD公式)'!$B$5:$N$5)*(1-持仓配置!$P$7)^((ROW()-6)/说明!$C$17))</f>
        <v>0.89731064043612774</v>
      </c>
      <c r="L52" s="9">
        <f t="shared" si="7"/>
        <v>7.755650236970868E-2</v>
      </c>
      <c r="M52" s="9">
        <f>IF(K52="","",K52/MAX(K$6:K52)-1)</f>
        <v>-0.30416720058926094</v>
      </c>
    </row>
    <row r="53" spans="1:13">
      <c r="A53" s="106">
        <f>IF('净值数据(iFinD公式)'!A52="","",'净值数据(iFinD公式)'!A52)</f>
        <v>46239</v>
      </c>
      <c r="B53" s="102">
        <f>IF(OR('净值数据(iFinD公式)'!$A52="",'净值数据(iFinD公式)'!$B52=""),"",SUMPRODUCT(持仓配置!$B$4:$N$4,'净值数据(iFinD公式)'!$B52:$N52/'净值数据(iFinD公式)'!$B$5:$N$5)*(1-持仓配置!$P$4)^((ROW()-6)/说明!$C$17))</f>
        <v>0.99302707938175994</v>
      </c>
      <c r="C53" s="9">
        <f t="shared" si="4"/>
        <v>3.8680330956464282E-3</v>
      </c>
      <c r="D53" s="9">
        <f>IF(B53="","",B53/MAX(B$6:B53)-1)</f>
        <v>-1.8664098656790973E-2</v>
      </c>
      <c r="E53" s="102">
        <f>IF(OR('净值数据(iFinD公式)'!$A52="",'净值数据(iFinD公式)'!$B52=""),"",SUMPRODUCT(持仓配置!$B$5:$N$5,'净值数据(iFinD公式)'!$B52:$N52/'净值数据(iFinD公式)'!$B$5:$N$5)*(1-持仓配置!$P$5)^((ROW()-6)/说明!$C$17))</f>
        <v>0.98427941163790567</v>
      </c>
      <c r="F53" s="9">
        <f t="shared" si="5"/>
        <v>6.832248656175377E-3</v>
      </c>
      <c r="G53" s="9">
        <f>IF(E53="","",E53/MAX(E$6:E53)-1)</f>
        <v>-4.2541594463810561E-2</v>
      </c>
      <c r="H53" s="102">
        <f>IF(OR('净值数据(iFinD公式)'!$A52="",'净值数据(iFinD公式)'!$B52=""),"",SUMPRODUCT(持仓配置!$B$6:$N$6,'净值数据(iFinD公式)'!$B52:$N52/'净值数据(iFinD公式)'!$B$5:$N$5)*(1-持仓配置!$P$6)^((ROW()-6)/说明!$C$17))</f>
        <v>0.97164846979819153</v>
      </c>
      <c r="I53" s="9">
        <f t="shared" si="6"/>
        <v>1.0992398958164618E-2</v>
      </c>
      <c r="J53" s="9">
        <f>IF(H53="","",H53/MAX(H$6:H53)-1)</f>
        <v>-6.4717058500710745E-2</v>
      </c>
      <c r="K53" s="102">
        <f>IF(OR('净值数据(iFinD公式)'!$A52="",'净值数据(iFinD公式)'!$B52=""),"",SUMPRODUCT(持仓配置!$B$7:$N$7,'净值数据(iFinD公式)'!$B52:$N52/'净值数据(iFinD公式)'!$B$5:$N$5)*(1-持仓配置!$P$7)^((ROW()-6)/说明!$C$17))</f>
        <v>0.93235175066734677</v>
      </c>
      <c r="L53" s="9">
        <f t="shared" si="7"/>
        <v>3.9051259009017958E-2</v>
      </c>
      <c r="M53" s="9">
        <f>IF(K53="","",K53/MAX(K$6:K53)-1)</f>
        <v>-0.27699405371250208</v>
      </c>
    </row>
    <row r="54" spans="1:13">
      <c r="A54" s="106">
        <f>IF('净值数据(iFinD公式)'!A53="","",'净值数据(iFinD公式)'!A53)</f>
        <v>46240</v>
      </c>
      <c r="B54" s="102">
        <f>IF(OR('净值数据(iFinD公式)'!$A53="",'净值数据(iFinD公式)'!$B53=""),"",SUMPRODUCT(持仓配置!$B$4:$N$4,'净值数据(iFinD公式)'!$B53:$N53/'净值数据(iFinD公式)'!$B$5:$N$5)*(1-持仓配置!$P$4)^((ROW()-6)/说明!$C$17))</f>
        <v>0.99521566059100264</v>
      </c>
      <c r="C54" s="9">
        <f t="shared" si="4"/>
        <v>2.2039491718648385E-3</v>
      </c>
      <c r="D54" s="9">
        <f>IF(B54="","",B54/MAX(B$6:B54)-1)</f>
        <v>-1.6501284209704536E-2</v>
      </c>
      <c r="E54" s="102">
        <f>IF(OR('净值数据(iFinD公式)'!$A53="",'净值数据(iFinD公式)'!$B53=""),"",SUMPRODUCT(持仓配置!$B$5:$N$5,'净值数据(iFinD公式)'!$B53:$N53/'净值数据(iFinD公式)'!$B$5:$N$5)*(1-持仓配置!$P$5)^((ROW()-6)/说明!$C$17))</f>
        <v>0.98746740108607067</v>
      </c>
      <c r="F54" s="9">
        <f t="shared" si="5"/>
        <v>3.2389069714056085E-3</v>
      </c>
      <c r="G54" s="9">
        <f>IF(E54="","",E54/MAX(E$6:E54)-1)</f>
        <v>-3.944047575928844E-2</v>
      </c>
      <c r="H54" s="102">
        <f>IF(OR('净值数据(iFinD公式)'!$A53="",'净值数据(iFinD公式)'!$B53=""),"",SUMPRODUCT(持仓配置!$B$6:$N$6,'净值数据(iFinD公式)'!$B53:$N53/'净值数据(iFinD公式)'!$B$5:$N$5)*(1-持仓配置!$P$6)^((ROW()-6)/说明!$C$17))</f>
        <v>0.97692319240450298</v>
      </c>
      <c r="I54" s="9">
        <f t="shared" si="6"/>
        <v>5.4286326488086623E-3</v>
      </c>
      <c r="J54" s="9">
        <f>IF(H54="","",H54/MAX(H$6:H54)-1)</f>
        <v>-5.9639750988613849E-2</v>
      </c>
      <c r="K54" s="102">
        <f>IF(OR('净值数据(iFinD公式)'!$A53="",'净值数据(iFinD公式)'!$B53=""),"",SUMPRODUCT(持仓配置!$B$7:$N$7,'净值数据(iFinD公式)'!$B53:$N53/'净值数据(iFinD公式)'!$B$5:$N$5)*(1-持仓配置!$P$7)^((ROW()-6)/说明!$C$17))</f>
        <v>0.94639097048130394</v>
      </c>
      <c r="L54" s="9">
        <f t="shared" si="7"/>
        <v>1.505785751344213E-2</v>
      </c>
      <c r="M54" s="9">
        <f>IF(K54="","",K54/MAX(K$6:K54)-1)</f>
        <v>-0.26610713319193358</v>
      </c>
    </row>
    <row r="55" spans="1:13">
      <c r="A55" s="106">
        <f>IF('净值数据(iFinD公式)'!A54="","",'净值数据(iFinD公式)'!A54)</f>
        <v>46241</v>
      </c>
      <c r="B55" s="102">
        <f>IF(OR('净值数据(iFinD公式)'!$A54="",'净值数据(iFinD公式)'!$B54=""),"",SUMPRODUCT(持仓配置!$B$4:$N$4,'净值数据(iFinD公式)'!$B54:$N54/'净值数据(iFinD公式)'!$B$5:$N$5)*(1-持仓配置!$P$4)^((ROW()-6)/说明!$C$17))</f>
        <v>0.99807403083544954</v>
      </c>
      <c r="C55" s="9">
        <f t="shared" si="4"/>
        <v>2.8721114002059345E-3</v>
      </c>
      <c r="D55" s="9">
        <f>IF(B55="","",B55/MAX(B$6:B55)-1)</f>
        <v>-1.3676566335995233E-2</v>
      </c>
      <c r="E55" s="102">
        <f>IF(OR('净值数据(iFinD公式)'!$A54="",'净值数据(iFinD公式)'!$B54=""),"",SUMPRODUCT(持仓配置!$B$5:$N$5,'净值数据(iFinD公式)'!$B54:$N54/'净值数据(iFinD公式)'!$B$5:$N$5)*(1-持仓配置!$P$5)^((ROW()-6)/说明!$C$17))</f>
        <v>0.99231892871912231</v>
      </c>
      <c r="F55" s="9">
        <f t="shared" si="5"/>
        <v>4.9131015643815168E-3</v>
      </c>
      <c r="G55" s="9">
        <f>IF(E55="","",E55/MAX(E$6:E55)-1)</f>
        <v>-3.4721149258059913E-2</v>
      </c>
      <c r="H55" s="102">
        <f>IF(OR('净值数据(iFinD公式)'!$A54="",'净值数据(iFinD公式)'!$B54=""),"",SUMPRODUCT(持仓配置!$B$6:$N$6,'净值数据(iFinD公式)'!$B54:$N54/'净值数据(iFinD公式)'!$B$5:$N$5)*(1-持仓配置!$P$6)^((ROW()-6)/说明!$C$17))</f>
        <v>0.98398203392564887</v>
      </c>
      <c r="I55" s="9">
        <f t="shared" si="6"/>
        <v>7.2255849549154316E-3</v>
      </c>
      <c r="J55" s="9">
        <f>IF(H55="","",H55/MAX(H$6:H55)-1)</f>
        <v>-5.2845098121156675E-2</v>
      </c>
      <c r="K55" s="102">
        <f>IF(OR('净值数据(iFinD公式)'!$A54="",'净值数据(iFinD公式)'!$B54=""),"",SUMPRODUCT(持仓配置!$B$7:$N$7,'净值数据(iFinD公式)'!$B54:$N54/'净值数据(iFinD公式)'!$B$5:$N$5)*(1-持仓配置!$P$7)^((ROW()-6)/说明!$C$17))</f>
        <v>0.97075436124972991</v>
      </c>
      <c r="L55" s="9">
        <f t="shared" si="7"/>
        <v>2.5743473393491367E-2</v>
      </c>
      <c r="M55" s="9">
        <f>IF(K55="","",K55/MAX(K$6:K55)-1)</f>
        <v>-0.24721418170158704</v>
      </c>
    </row>
    <row r="56" spans="1:13">
      <c r="A56" s="106">
        <f>IF('净值数据(iFinD公式)'!A55="","",'净值数据(iFinD公式)'!A55)</f>
        <v>46244</v>
      </c>
      <c r="B56" s="102">
        <f>IF(OR('净值数据(iFinD公式)'!$A55="",'净值数据(iFinD公式)'!$B55=""),"",SUMPRODUCT(持仓配置!$B$4:$N$4,'净值数据(iFinD公式)'!$B55:$N55/'净值数据(iFinD公式)'!$B$5:$N$5)*(1-持仓配置!$P$4)^((ROW()-6)/说明!$C$17))</f>
        <v>0.99968447654379078</v>
      </c>
      <c r="C56" s="9">
        <f t="shared" si="4"/>
        <v>1.6135533623624632E-3</v>
      </c>
      <c r="D56" s="9">
        <f>IF(B56="","",B56/MAX(B$6:B56)-1)</f>
        <v>-1.208508084322979E-2</v>
      </c>
      <c r="E56" s="102">
        <f>IF(OR('净值数据(iFinD公式)'!$A55="",'净值数据(iFinD公式)'!$B55=""),"",SUMPRODUCT(持仓配置!$B$5:$N$5,'净值数据(iFinD公式)'!$B55:$N55/'净值数据(iFinD公式)'!$B$5:$N$5)*(1-持仓配置!$P$5)^((ROW()-6)/说明!$C$17))</f>
        <v>0.99393184724675376</v>
      </c>
      <c r="F56" s="9">
        <f t="shared" si="5"/>
        <v>1.6254033667517653E-3</v>
      </c>
      <c r="G56" s="9">
        <f>IF(E56="","",E56/MAX(E$6:E56)-1)</f>
        <v>-3.3152181764209865E-2</v>
      </c>
      <c r="H56" s="102">
        <f>IF(OR('净值数据(iFinD公式)'!$A55="",'净值数据(iFinD公式)'!$B55=""),"",SUMPRODUCT(持仓配置!$B$6:$N$6,'净值数据(iFinD公式)'!$B55:$N55/'净值数据(iFinD公式)'!$B$5:$N$5)*(1-持仓配置!$P$6)^((ROW()-6)/说明!$C$17))</f>
        <v>0.98628220069341777</v>
      </c>
      <c r="I56" s="9">
        <f t="shared" si="6"/>
        <v>2.3376105339976139E-3</v>
      </c>
      <c r="J56" s="9">
        <f>IF(H56="","",H56/MAX(H$6:H56)-1)</f>
        <v>-5.0631018845197273E-2</v>
      </c>
      <c r="K56" s="102">
        <f>IF(OR('净值数据(iFinD公式)'!$A55="",'净值数据(iFinD公式)'!$B55=""),"",SUMPRODUCT(持仓配置!$B$7:$N$7,'净值数据(iFinD公式)'!$B55:$N55/'净值数据(iFinD公式)'!$B$5:$N$5)*(1-持仓配置!$P$7)^((ROW()-6)/说明!$C$17))</f>
        <v>0.96860598569702494</v>
      </c>
      <c r="L56" s="9">
        <f t="shared" si="7"/>
        <v>-2.2130990479808377E-3</v>
      </c>
      <c r="M56" s="9">
        <f>IF(K56="","",K56/MAX(K$6:K56)-1)</f>
        <v>-0.24888017127939666</v>
      </c>
    </row>
    <row r="57" spans="1:13">
      <c r="A57" s="106" t="str">
        <f>IF('净值数据(iFinD公式)'!A56="","",'净值数据(iFinD公式)'!A56)</f>
        <v/>
      </c>
      <c r="B57" s="102" t="str">
        <f>IF(OR('净值数据(iFinD公式)'!$A56="",'净值数据(iFinD公式)'!$B56=""),"",SUMPRODUCT(持仓配置!$B$4:$N$4,'净值数据(iFinD公式)'!$B56:$N56/'净值数据(iFinD公式)'!$B$5:$N$5)*(1-持仓配置!$P$4)^((ROW()-6)/说明!$C$17))</f>
        <v/>
      </c>
      <c r="C57" s="9" t="str">
        <f t="shared" si="4"/>
        <v/>
      </c>
      <c r="D57" s="9" t="str">
        <f>IF(B57="","",B57/MAX(B$6:B57)-1)</f>
        <v/>
      </c>
      <c r="E57" s="102" t="str">
        <f>IF(OR('净值数据(iFinD公式)'!$A56="",'净值数据(iFinD公式)'!$B56=""),"",SUMPRODUCT(持仓配置!$B$5:$N$5,'净值数据(iFinD公式)'!$B56:$N56/'净值数据(iFinD公式)'!$B$5:$N$5)*(1-持仓配置!$P$5)^((ROW()-6)/说明!$C$17))</f>
        <v/>
      </c>
      <c r="F57" s="9" t="str">
        <f t="shared" si="5"/>
        <v/>
      </c>
      <c r="G57" s="9" t="str">
        <f>IF(E57="","",E57/MAX(E$6:E57)-1)</f>
        <v/>
      </c>
      <c r="H57" s="102" t="str">
        <f>IF(OR('净值数据(iFinD公式)'!$A56="",'净值数据(iFinD公式)'!$B56=""),"",SUMPRODUCT(持仓配置!$B$6:$N$6,'净值数据(iFinD公式)'!$B56:$N56/'净值数据(iFinD公式)'!$B$5:$N$5)*(1-持仓配置!$P$6)^((ROW()-6)/说明!$C$17))</f>
        <v/>
      </c>
      <c r="I57" s="9" t="str">
        <f t="shared" si="6"/>
        <v/>
      </c>
      <c r="J57" s="9" t="str">
        <f>IF(H57="","",H57/MAX(H$6:H57)-1)</f>
        <v/>
      </c>
      <c r="K57" s="102" t="str">
        <f>IF(OR('净值数据(iFinD公式)'!$A56="",'净值数据(iFinD公式)'!$B56=""),"",SUMPRODUCT(持仓配置!$B$7:$N$7,'净值数据(iFinD公式)'!$B56:$N56/'净值数据(iFinD公式)'!$B$5:$N$5)*(1-持仓配置!$P$7)^((ROW()-6)/说明!$C$17))</f>
        <v/>
      </c>
      <c r="L57" s="9" t="str">
        <f t="shared" si="7"/>
        <v/>
      </c>
      <c r="M57" s="9" t="str">
        <f>IF(K57="","",K57/MAX(K$6:K57)-1)</f>
        <v/>
      </c>
    </row>
    <row r="58" spans="1:13">
      <c r="A58" s="106" t="str">
        <f>IF('净值数据(iFinD公式)'!A57="","",'净值数据(iFinD公式)'!A57)</f>
        <v/>
      </c>
      <c r="B58" s="102" t="str">
        <f>IF(OR('净值数据(iFinD公式)'!$A57="",'净值数据(iFinD公式)'!$B57=""),"",SUMPRODUCT(持仓配置!$B$4:$N$4,'净值数据(iFinD公式)'!$B57:$N57/'净值数据(iFinD公式)'!$B$5:$N$5)*(1-持仓配置!$P$4)^((ROW()-6)/说明!$C$17))</f>
        <v/>
      </c>
      <c r="C58" s="9" t="str">
        <f t="shared" si="4"/>
        <v/>
      </c>
      <c r="D58" s="9" t="str">
        <f>IF(B58="","",B58/MAX(B$6:B58)-1)</f>
        <v/>
      </c>
      <c r="E58" s="102" t="str">
        <f>IF(OR('净值数据(iFinD公式)'!$A57="",'净值数据(iFinD公式)'!$B57=""),"",SUMPRODUCT(持仓配置!$B$5:$N$5,'净值数据(iFinD公式)'!$B57:$N57/'净值数据(iFinD公式)'!$B$5:$N$5)*(1-持仓配置!$P$5)^((ROW()-6)/说明!$C$17))</f>
        <v/>
      </c>
      <c r="F58" s="9" t="str">
        <f t="shared" si="5"/>
        <v/>
      </c>
      <c r="G58" s="9" t="str">
        <f>IF(E58="","",E58/MAX(E$6:E58)-1)</f>
        <v/>
      </c>
      <c r="H58" s="102" t="str">
        <f>IF(OR('净值数据(iFinD公式)'!$A57="",'净值数据(iFinD公式)'!$B57=""),"",SUMPRODUCT(持仓配置!$B$6:$N$6,'净值数据(iFinD公式)'!$B57:$N57/'净值数据(iFinD公式)'!$B$5:$N$5)*(1-持仓配置!$P$6)^((ROW()-6)/说明!$C$17))</f>
        <v/>
      </c>
      <c r="I58" s="9" t="str">
        <f t="shared" si="6"/>
        <v/>
      </c>
      <c r="J58" s="9" t="str">
        <f>IF(H58="","",H58/MAX(H$6:H58)-1)</f>
        <v/>
      </c>
      <c r="K58" s="102" t="str">
        <f>IF(OR('净值数据(iFinD公式)'!$A57="",'净值数据(iFinD公式)'!$B57=""),"",SUMPRODUCT(持仓配置!$B$7:$N$7,'净值数据(iFinD公式)'!$B57:$N57/'净值数据(iFinD公式)'!$B$5:$N$5)*(1-持仓配置!$P$7)^((ROW()-6)/说明!$C$17))</f>
        <v/>
      </c>
      <c r="L58" s="9" t="str">
        <f t="shared" si="7"/>
        <v/>
      </c>
      <c r="M58" s="9" t="str">
        <f>IF(K58="","",K58/MAX(K$6:K58)-1)</f>
        <v/>
      </c>
    </row>
    <row r="59" spans="1:13">
      <c r="A59" s="106" t="str">
        <f>IF('净值数据(iFinD公式)'!A58="","",'净值数据(iFinD公式)'!A58)</f>
        <v/>
      </c>
      <c r="B59" s="102" t="str">
        <f>IF(OR('净值数据(iFinD公式)'!$A58="",'净值数据(iFinD公式)'!$B58=""),"",SUMPRODUCT(持仓配置!$B$4:$N$4,'净值数据(iFinD公式)'!$B58:$N58/'净值数据(iFinD公式)'!$B$5:$N$5)*(1-持仓配置!$P$4)^((ROW()-6)/说明!$C$17))</f>
        <v/>
      </c>
      <c r="C59" s="9" t="str">
        <f t="shared" si="4"/>
        <v/>
      </c>
      <c r="D59" s="9" t="str">
        <f>IF(B59="","",B59/MAX(B$6:B59)-1)</f>
        <v/>
      </c>
      <c r="E59" s="102" t="str">
        <f>IF(OR('净值数据(iFinD公式)'!$A58="",'净值数据(iFinD公式)'!$B58=""),"",SUMPRODUCT(持仓配置!$B$5:$N$5,'净值数据(iFinD公式)'!$B58:$N58/'净值数据(iFinD公式)'!$B$5:$N$5)*(1-持仓配置!$P$5)^((ROW()-6)/说明!$C$17))</f>
        <v/>
      </c>
      <c r="F59" s="9" t="str">
        <f t="shared" si="5"/>
        <v/>
      </c>
      <c r="G59" s="9" t="str">
        <f>IF(E59="","",E59/MAX(E$6:E59)-1)</f>
        <v/>
      </c>
      <c r="H59" s="102" t="str">
        <f>IF(OR('净值数据(iFinD公式)'!$A58="",'净值数据(iFinD公式)'!$B58=""),"",SUMPRODUCT(持仓配置!$B$6:$N$6,'净值数据(iFinD公式)'!$B58:$N58/'净值数据(iFinD公式)'!$B$5:$N$5)*(1-持仓配置!$P$6)^((ROW()-6)/说明!$C$17))</f>
        <v/>
      </c>
      <c r="I59" s="9" t="str">
        <f t="shared" si="6"/>
        <v/>
      </c>
      <c r="J59" s="9" t="str">
        <f>IF(H59="","",H59/MAX(H$6:H59)-1)</f>
        <v/>
      </c>
      <c r="K59" s="102" t="str">
        <f>IF(OR('净值数据(iFinD公式)'!$A58="",'净值数据(iFinD公式)'!$B58=""),"",SUMPRODUCT(持仓配置!$B$7:$N$7,'净值数据(iFinD公式)'!$B58:$N58/'净值数据(iFinD公式)'!$B$5:$N$5)*(1-持仓配置!$P$7)^((ROW()-6)/说明!$C$17))</f>
        <v/>
      </c>
      <c r="L59" s="9" t="str">
        <f t="shared" si="7"/>
        <v/>
      </c>
      <c r="M59" s="9" t="str">
        <f>IF(K59="","",K59/MAX(K$6:K59)-1)</f>
        <v/>
      </c>
    </row>
    <row r="60" spans="1:13">
      <c r="A60" s="106" t="str">
        <f>IF('净值数据(iFinD公式)'!A59="","",'净值数据(iFinD公式)'!A59)</f>
        <v/>
      </c>
      <c r="B60" s="102" t="str">
        <f>IF(OR('净值数据(iFinD公式)'!$A59="",'净值数据(iFinD公式)'!$B59=""),"",SUMPRODUCT(持仓配置!$B$4:$N$4,'净值数据(iFinD公式)'!$B59:$N59/'净值数据(iFinD公式)'!$B$5:$N$5)*(1-持仓配置!$P$4)^((ROW()-6)/说明!$C$17))</f>
        <v/>
      </c>
      <c r="C60" s="9" t="str">
        <f t="shared" si="4"/>
        <v/>
      </c>
      <c r="D60" s="9" t="str">
        <f>IF(B60="","",B60/MAX(B$6:B60)-1)</f>
        <v/>
      </c>
      <c r="E60" s="102" t="str">
        <f>IF(OR('净值数据(iFinD公式)'!$A59="",'净值数据(iFinD公式)'!$B59=""),"",SUMPRODUCT(持仓配置!$B$5:$N$5,'净值数据(iFinD公式)'!$B59:$N59/'净值数据(iFinD公式)'!$B$5:$N$5)*(1-持仓配置!$P$5)^((ROW()-6)/说明!$C$17))</f>
        <v/>
      </c>
      <c r="F60" s="9" t="str">
        <f t="shared" si="5"/>
        <v/>
      </c>
      <c r="G60" s="9" t="str">
        <f>IF(E60="","",E60/MAX(E$6:E60)-1)</f>
        <v/>
      </c>
      <c r="H60" s="102" t="str">
        <f>IF(OR('净值数据(iFinD公式)'!$A59="",'净值数据(iFinD公式)'!$B59=""),"",SUMPRODUCT(持仓配置!$B$6:$N$6,'净值数据(iFinD公式)'!$B59:$N59/'净值数据(iFinD公式)'!$B$5:$N$5)*(1-持仓配置!$P$6)^((ROW()-6)/说明!$C$17))</f>
        <v/>
      </c>
      <c r="I60" s="9" t="str">
        <f t="shared" si="6"/>
        <v/>
      </c>
      <c r="J60" s="9" t="str">
        <f>IF(H60="","",H60/MAX(H$6:H60)-1)</f>
        <v/>
      </c>
      <c r="K60" s="102" t="str">
        <f>IF(OR('净值数据(iFinD公式)'!$A59="",'净值数据(iFinD公式)'!$B59=""),"",SUMPRODUCT(持仓配置!$B$7:$N$7,'净值数据(iFinD公式)'!$B59:$N59/'净值数据(iFinD公式)'!$B$5:$N$5)*(1-持仓配置!$P$7)^((ROW()-6)/说明!$C$17))</f>
        <v/>
      </c>
      <c r="L60" s="9" t="str">
        <f t="shared" si="7"/>
        <v/>
      </c>
      <c r="M60" s="9" t="str">
        <f>IF(K60="","",K60/MAX(K$6:K60)-1)</f>
        <v/>
      </c>
    </row>
    <row r="62" spans="1:13" ht="14.5" customHeight="1">
      <c r="A62" s="97" t="s">
        <v>60</v>
      </c>
    </row>
  </sheetData>
  <mergeCells count="5">
    <mergeCell ref="A1:M1"/>
    <mergeCell ref="K4:M4"/>
    <mergeCell ref="B4:D4"/>
    <mergeCell ref="H4:J4"/>
    <mergeCell ref="E4:G4"/>
  </mergeCells>
  <phoneticPr fontId="13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35"/>
  <sheetViews>
    <sheetView showGridLines="0" workbookViewId="0">
      <selection activeCell="F21" sqref="F21"/>
    </sheetView>
  </sheetViews>
  <sheetFormatPr defaultRowHeight="14"/>
  <cols>
    <col min="1" max="1" width="2" style="95" customWidth="1"/>
    <col min="2" max="2" width="14" style="95" customWidth="1"/>
    <col min="3" max="3" width="15.08984375" style="95" bestFit="1" customWidth="1"/>
    <col min="4" max="4" width="17.54296875" style="95" bestFit="1" customWidth="1"/>
    <col min="5" max="5" width="14" style="95" customWidth="1"/>
    <col min="6" max="6" width="15.08984375" style="95" bestFit="1" customWidth="1"/>
    <col min="7" max="7" width="16.36328125" style="95" bestFit="1" customWidth="1"/>
    <col min="8" max="8" width="2" style="95" customWidth="1"/>
  </cols>
  <sheetData>
    <row r="2" spans="2:7">
      <c r="B2" s="152" t="s">
        <v>61</v>
      </c>
      <c r="C2" s="145"/>
      <c r="D2" s="145"/>
      <c r="E2" s="145"/>
      <c r="F2" s="145"/>
      <c r="G2" s="145"/>
    </row>
    <row r="3" spans="2:7" ht="14.5" customHeight="1">
      <c r="B3" s="153" t="str">
        <f>"买入持有 · 已扣年化费率 "&amp;TEXT(持仓配置!$M$4,"0.0%")&amp;"（折每日计入净值）"</f>
        <v>买入持有 · 已扣年化费率 0.5%（折每日计入净值）</v>
      </c>
      <c r="C3" s="145"/>
      <c r="D3" s="145"/>
      <c r="E3" s="150" t="str">
        <f>"净值日期："&amp;TEXT(LOOKUP(2,1/('组合净值（模拟）'!$B$6:$B$60&lt;&gt;""),'组合净值（模拟）'!$A$6:$A$60),"yyyy-mm-dd")</f>
        <v>净值日期：2026-08-10</v>
      </c>
      <c r="F3" s="145"/>
      <c r="G3" s="145"/>
    </row>
    <row r="5" spans="2:7">
      <c r="B5" s="149" t="s">
        <v>62</v>
      </c>
      <c r="C5" s="145"/>
      <c r="D5" s="145"/>
      <c r="E5" s="145"/>
      <c r="F5" s="145"/>
      <c r="G5" s="145"/>
    </row>
    <row r="6" spans="2:7">
      <c r="B6" s="10" t="s">
        <v>63</v>
      </c>
      <c r="C6" s="10" t="s">
        <v>64</v>
      </c>
      <c r="D6" s="10" t="s">
        <v>65</v>
      </c>
      <c r="E6" s="10" t="s">
        <v>66</v>
      </c>
      <c r="F6" s="10" t="s">
        <v>67</v>
      </c>
      <c r="G6" s="10" t="s">
        <v>68</v>
      </c>
    </row>
    <row r="7" spans="2:7" ht="28" customHeight="1">
      <c r="B7" s="107">
        <f>LOOKUP(2,1/('组合净值（模拟）'!$B$6:$B$60&lt;&gt;""),'组合净值（模拟）'!$B$6:$B$60)</f>
        <v>0.99968447654379078</v>
      </c>
      <c r="C7" s="20">
        <f>(LOOKUP(2,1/('组合净值（模拟）'!$B$6:$B$60&lt;&gt;""),'组合净值（模拟）'!$B$6:$B$60))/'组合净值（模拟）'!$B$6-1</f>
        <v>-3.1552345620922129E-4</v>
      </c>
      <c r="D7" s="20">
        <f>IFERROR((1+C7)^(365/(LOOKUP(2,1/('组合净值（模拟）'!$B$6:$B$60&lt;&gt;""),'组合净值（模拟）'!$A$6:$A$60)-'组合净值（模拟）'!$A$7+1))-1,"")</f>
        <v>-1.6209979181939227E-3</v>
      </c>
      <c r="E7" s="21">
        <f>STDEV('组合净值（模拟）'!$C$6:$C$60)*SQRT(说明!$C$17)</f>
        <v>5.4286232152694014E-2</v>
      </c>
      <c r="F7" s="20">
        <f>MIN('组合净值（模拟）'!$D$6:$D$60)</f>
        <v>-2.8644983003091151E-2</v>
      </c>
      <c r="G7" s="107">
        <f>IFERROR((AVERAGE('组合净值（模拟）'!$C$6:$C$60)-说明!$C$16/365)/STDEV('组合净值（模拟）'!$C$6:$C$60),"")</f>
        <v>-1.2125278010011198E-2</v>
      </c>
    </row>
    <row r="9" spans="2:7">
      <c r="B9" s="149" t="s">
        <v>69</v>
      </c>
      <c r="C9" s="145"/>
      <c r="D9" s="145"/>
      <c r="E9" s="149" t="s">
        <v>70</v>
      </c>
      <c r="F9" s="145"/>
      <c r="G9" s="145"/>
    </row>
    <row r="10" spans="2:7">
      <c r="B10" s="25" t="s">
        <v>71</v>
      </c>
      <c r="C10" s="25" t="s">
        <v>64</v>
      </c>
      <c r="D10" s="25" t="s">
        <v>65</v>
      </c>
      <c r="E10" s="154" t="s">
        <v>72</v>
      </c>
      <c r="F10" s="148"/>
      <c r="G10" s="25" t="s">
        <v>73</v>
      </c>
    </row>
    <row r="11" spans="2:7" ht="22.5" customHeight="1">
      <c r="B11" s="24" t="s">
        <v>74</v>
      </c>
      <c r="C11" s="16">
        <f>IFERROR((LOOKUP(2,1/('组合净值（模拟）'!$B$6:$B$60&lt;&gt;""),'组合净值（模拟）'!$B$6:$B$60))/('组合净值（模拟）'!$B$6)-1,"")</f>
        <v>-3.1552345620922129E-4</v>
      </c>
      <c r="D11" s="16">
        <f>IFERROR((LOOKUP(2,1/('组合净值（模拟）'!$B$6:$B$60&lt;&gt;""),'组合净值（模拟）'!$B$6:$B$60)/('组合净值（模拟）'!$B$6))^(说明!$C$17/COUNT('组合净值（模拟）'!$C$6:$C$60))-1,"")</f>
        <v>-1.5766220446019608E-3</v>
      </c>
      <c r="E11" s="151" t="s">
        <v>67</v>
      </c>
      <c r="F11" s="148"/>
      <c r="G11" s="16">
        <f>MIN('组合净值（模拟）'!$D$6:$D$60)</f>
        <v>-2.8644983003091151E-2</v>
      </c>
    </row>
    <row r="12" spans="2:7" ht="22.5" customHeight="1">
      <c r="B12" s="24" t="s">
        <v>75</v>
      </c>
      <c r="C12" s="16">
        <f>IFERROR((LOOKUP(2,1/('组合净值（模拟）'!$B$6:$B$60&lt;&gt;""),'组合净值（模拟）'!$B$6:$B$60))/(IFERROR(LOOKUP(DATE(2026,1,1),'组合净值（模拟）'!$A$6:$A$60,'组合净值（模拟）'!$B$6:$B$60),'组合净值（模拟）'!$B$6))-1,"")</f>
        <v>-3.1552345620922129E-4</v>
      </c>
      <c r="D12" s="16">
        <f>IFERROR((LOOKUP(2,1/('组合净值（模拟）'!$B$6:$B$60&lt;&gt;""),'组合净值（模拟）'!$B$6:$B$60)/(IFERROR(LOOKUP(DATE(2026,1,1),'组合净值（模拟）'!$A$6:$A$60,'组合净值（模拟）'!$B$6:$B$60),'组合净值（模拟）'!$B$6)))^(说明!$C$17/MAX(COUNTIF('组合净值（模拟）'!$A$6:$A$60,"&gt;="&amp;(DATE(2026,1,1))),1))-1,"")</f>
        <v>-1.5457317918060598E-3</v>
      </c>
      <c r="E12" s="151" t="s">
        <v>76</v>
      </c>
      <c r="F12" s="148"/>
      <c r="G12" s="17">
        <f>IFERROR((LOOKUP(2,1/('组合净值（模拟）'!$B$6:$B$60&lt;&gt;""),ROW('组合净值（模拟）'!$B$6:$B$60)))-(LOOKUP(2,1/('组合净值（模拟）'!$D$6:$D$60=0),ROW('组合净值（模拟）'!$D$6:$D$60))),"")</f>
        <v>29</v>
      </c>
    </row>
    <row r="13" spans="2:7" ht="22.5" customHeight="1">
      <c r="B13" s="24" t="s">
        <v>77</v>
      </c>
      <c r="C13" s="16">
        <f>IFERROR((LOOKUP(2,1/('组合净值（模拟）'!$B$6:$B$60&lt;&gt;""),'组合净值（模拟）'!$B$6:$B$60))/(IFERROR(LOOKUP(EDATE(LOOKUP(2,1/('组合净值（模拟）'!$B$6:$B$60&lt;&gt;""),'组合净值（模拟）'!$A$6:$A$60),-3),'组合净值（模拟）'!$A$6:$A$60,'组合净值（模拟）'!$B$6:$B$60),'组合净值（模拟）'!$B$6))-1,"")</f>
        <v>-3.1552345620922129E-4</v>
      </c>
      <c r="D13" s="16">
        <f>IFERROR((LOOKUP(2,1/('组合净值（模拟）'!$B$6:$B$60&lt;&gt;""),'组合净值（模拟）'!$B$6:$B$60)/(IFERROR(LOOKUP(EDATE(LOOKUP(2,1/('组合净值（模拟）'!$B$6:$B$60&lt;&gt;""),'组合净值（模拟）'!$A$6:$A$60),-3)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-3))),1))-1,"")</f>
        <v>-1.5457317918060598E-3</v>
      </c>
      <c r="E13" s="151" t="s">
        <v>78</v>
      </c>
      <c r="F13" s="148"/>
      <c r="G13" s="108">
        <f>COUNTIF('组合净值（模拟）'!$C$6:$C$60,"&gt;0")/MAX(COUNT('组合净值（模拟）'!$C$6:$C$60),1)</f>
        <v>0.5</v>
      </c>
    </row>
    <row r="14" spans="2:7" ht="22.5" customHeight="1">
      <c r="B14" s="24" t="s">
        <v>79</v>
      </c>
      <c r="C14" s="16">
        <f>IFERROR((LOOKUP(2,1/('组合净值（模拟）'!$B$6:$B$60&lt;&gt;""),'组合净值（模拟）'!$B$6:$B$60))/(IFERROR(LOOKUP(EDATE(LOOKUP(2,1/('组合净值（模拟）'!$B$6:$B$60&lt;&gt;""),'组合净值（模拟）'!$A$6:$A$60),-6),'组合净值（模拟）'!$A$6:$A$60,'组合净值（模拟）'!$B$6:$B$60),'组合净值（模拟）'!$B$6))-1,"")</f>
        <v>-3.1552345620922129E-4</v>
      </c>
      <c r="D14" s="16">
        <f>IFERROR((LOOKUP(2,1/('组合净值（模拟）'!$B$6:$B$60&lt;&gt;""),'组合净值（模拟）'!$B$6:$B$60)/(IFERROR(LOOKUP(EDATE(LOOKUP(2,1/('组合净值（模拟）'!$B$6:$B$60&lt;&gt;""),'组合净值（模拟）'!$A$6:$A$60),-6)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-6))),1))-1,"")</f>
        <v>-1.5457317918060598E-3</v>
      </c>
      <c r="E14" s="151" t="s">
        <v>66</v>
      </c>
      <c r="F14" s="148"/>
      <c r="G14" s="16">
        <f>STDEV('组合净值（模拟）'!$C$6:$C$60)*SQRT(说明!$C$17)</f>
        <v>5.4286232152694014E-2</v>
      </c>
    </row>
    <row r="15" spans="2:7" ht="22.5" customHeight="1">
      <c r="B15" s="24" t="s">
        <v>80</v>
      </c>
      <c r="C15" s="16">
        <f>IFERROR((LOOKUP(2,1/('组合净值（模拟）'!$B$6:$B$60&lt;&gt;""),'组合净值（模拟）'!$B$6:$B$60))/(IFERROR(LOOKUP(EDATE(LOOKUP(2,1/('组合净值（模拟）'!$B$6:$B$60&lt;&gt;""),'组合净值（模拟）'!$A$6:$A$60),-12),'组合净值（模拟）'!$A$6:$A$60,'组合净值（模拟）'!$B$6:$B$60),'组合净值（模拟）'!$B$6))-1,"")</f>
        <v>-3.1552345620922129E-4</v>
      </c>
      <c r="D15" s="16">
        <f>IFERROR((LOOKUP(2,1/('组合净值（模拟）'!$B$6:$B$60&lt;&gt;""),'组合净值（模拟）'!$B$6:$B$60)/(IFERROR(LOOKUP(EDATE(LOOKUP(2,1/('组合净值（模拟）'!$B$6:$B$60&lt;&gt;""),'组合净值（模拟）'!$A$6:$A$60),-12)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-12))),1))-1,"")</f>
        <v>-1.5457317918060598E-3</v>
      </c>
      <c r="E15" s="151" t="s">
        <v>81</v>
      </c>
      <c r="F15" s="148"/>
      <c r="G15" s="18">
        <f>(((LOOKUP(2,1/('组合净值（模拟）'!$B$6:$B$60&lt;&gt;""),'组合净值（模拟）'!$B$6:$B$60)/'组合净值（模拟）'!$B$6)^(说明!$C$17/MAX(COUNT('组合净值（模拟）'!$C$6:$C$60),1))-1)-说明!$C$16)/IF((STDEV('组合净值（模拟）'!$C$6:$C$60)*SQRT(说明!$C$17))=0,"",(STDEV('组合净值（模拟）'!$C$6:$C$60)*SQRT(说明!$C$17)))</f>
        <v>-0.30535591414736502</v>
      </c>
    </row>
    <row r="16" spans="2:7" ht="22.5" customHeight="1">
      <c r="B16" s="19"/>
      <c r="C16" s="19"/>
      <c r="D16" s="19"/>
      <c r="E16" s="151" t="s">
        <v>82</v>
      </c>
      <c r="F16" s="148"/>
      <c r="G16" s="18">
        <f>IFERROR(((LOOKUP(2,1/('组合净值（模拟）'!$B$6:$B$60&lt;&gt;""),'组合净值（模拟）'!$B$6:$B$60)/'组合净值（模拟）'!$B$6)^(说明!$C$17/MAX(COUNT('组合净值（模拟）'!$C$6:$C$60),1))-1)/ABS(MIN('组合净值（模拟）'!$D$6:$D$60)),"")</f>
        <v>-5.5040076107981055E-2</v>
      </c>
    </row>
    <row r="18" spans="2:7">
      <c r="B18" s="149" t="s">
        <v>83</v>
      </c>
      <c r="C18" s="145"/>
      <c r="D18" s="145"/>
      <c r="E18" s="145"/>
      <c r="F18" s="145"/>
      <c r="G18" s="145"/>
    </row>
    <row r="35" spans="2:2" ht="14.5" customHeight="1">
      <c r="B35" s="97" t="s">
        <v>84</v>
      </c>
    </row>
  </sheetData>
  <mergeCells count="14">
    <mergeCell ref="B18:G18"/>
    <mergeCell ref="E3:G3"/>
    <mergeCell ref="E14:F14"/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</mergeCells>
  <phoneticPr fontId="13" type="noConversion"/>
  <conditionalFormatting sqref="C7:D7">
    <cfRule type="cellIs" dxfId="59" priority="7" operator="lessThan">
      <formula>0</formula>
    </cfRule>
    <cfRule type="cellIs" dxfId="58" priority="8" operator="greaterThan">
      <formula>0</formula>
    </cfRule>
  </conditionalFormatting>
  <conditionalFormatting sqref="F7">
    <cfRule type="cellIs" dxfId="57" priority="5" operator="lessThan">
      <formula>0</formula>
    </cfRule>
    <cfRule type="cellIs" dxfId="56" priority="6" operator="greaterThan">
      <formula>0</formula>
    </cfRule>
  </conditionalFormatting>
  <conditionalFormatting sqref="C11:D11">
    <cfRule type="cellIs" dxfId="55" priority="3" operator="lessThan">
      <formula>0</formula>
    </cfRule>
    <cfRule type="cellIs" dxfId="54" priority="4" operator="greaterThan">
      <formula>0</formula>
    </cfRule>
  </conditionalFormatting>
  <conditionalFormatting sqref="G11">
    <cfRule type="cellIs" dxfId="53" priority="1" operator="lessThan">
      <formula>0</formula>
    </cfRule>
    <cfRule type="cellIs" dxfId="52" priority="2" operator="greaterThan">
      <formula>0</formula>
    </cfRule>
  </conditionalFormatting>
  <pageMargins left="0.75" right="0.75" top="1" bottom="1" header="0.5" footer="0.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35"/>
  <sheetViews>
    <sheetView showGridLines="0" workbookViewId="0">
      <selection activeCell="F21" sqref="F21"/>
    </sheetView>
  </sheetViews>
  <sheetFormatPr defaultRowHeight="14"/>
  <cols>
    <col min="1" max="1" width="2" style="95" customWidth="1"/>
    <col min="2" max="2" width="14" style="95" customWidth="1"/>
    <col min="3" max="4" width="15.08984375" style="95" bestFit="1" customWidth="1"/>
    <col min="5" max="5" width="14" style="95" customWidth="1"/>
    <col min="6" max="6" width="15.08984375" style="95" bestFit="1" customWidth="1"/>
    <col min="7" max="7" width="14" style="95" customWidth="1"/>
    <col min="8" max="8" width="2" style="95" customWidth="1"/>
  </cols>
  <sheetData>
    <row r="2" spans="2:7" ht="19" customHeight="1">
      <c r="B2" s="152" t="s">
        <v>85</v>
      </c>
      <c r="C2" s="145"/>
      <c r="D2" s="145"/>
      <c r="E2" s="145"/>
      <c r="F2" s="145"/>
      <c r="G2" s="145"/>
    </row>
    <row r="3" spans="2:7" ht="14.5" customHeight="1">
      <c r="B3" s="153" t="str">
        <f>"买入持有 · 已扣年化费率 "&amp;TEXT(持仓配置!$M$5,"0.0%")&amp;"（折每日计入净值）"</f>
        <v>买入持有 · 已扣年化费率 1.0%（折每日计入净值）</v>
      </c>
      <c r="C3" s="145"/>
      <c r="D3" s="145"/>
      <c r="E3" s="150" t="str">
        <f>"净值日期："&amp;TEXT(LOOKUP(2,1/('组合净值（模拟）'!$E$6:$E$60&lt;&gt;""),'组合净值（模拟）'!$A$6:$A$60),"yyyy-mm-dd")</f>
        <v>净值日期：2026-08-10</v>
      </c>
      <c r="F3" s="145"/>
      <c r="G3" s="145"/>
    </row>
    <row r="5" spans="2:7">
      <c r="B5" s="149" t="s">
        <v>62</v>
      </c>
      <c r="C5" s="145"/>
      <c r="D5" s="145"/>
      <c r="E5" s="145"/>
      <c r="F5" s="145"/>
      <c r="G5" s="145"/>
    </row>
    <row r="6" spans="2:7">
      <c r="B6" s="10" t="s">
        <v>63</v>
      </c>
      <c r="C6" s="10" t="s">
        <v>64</v>
      </c>
      <c r="D6" s="10" t="s">
        <v>65</v>
      </c>
      <c r="E6" s="10" t="s">
        <v>66</v>
      </c>
      <c r="F6" s="10" t="s">
        <v>67</v>
      </c>
      <c r="G6" s="10" t="s">
        <v>68</v>
      </c>
    </row>
    <row r="7" spans="2:7" ht="28" customHeight="1">
      <c r="B7" s="107">
        <f>LOOKUP(2,1/('组合净值（模拟）'!$E$6:$E$60&lt;&gt;""),'组合净值（模拟）'!$E$6:$E$60)</f>
        <v>0.99393184724675376</v>
      </c>
      <c r="C7" s="20">
        <f>(LOOKUP(2,1/('组合净值（模拟）'!$E$6:$E$60&lt;&gt;""),'组合净值（模拟）'!$E$6:$E$60))/'组合净值（模拟）'!$E$6-1</f>
        <v>-6.0681527532462365E-3</v>
      </c>
      <c r="D7" s="20">
        <f>IFERROR((1+C7)^(365/(LOOKUP(2,1/('组合净值（模拟）'!$E$6:$E$60&lt;&gt;""),'组合净值（模拟）'!$A$6:$A$60)-'组合净值（模拟）'!$A$7+1))-1,"")</f>
        <v>-3.0805986830700016E-2</v>
      </c>
      <c r="E7" s="21">
        <f>STDEV('组合净值（模拟）'!$F$6:$F$60)*SQRT(说明!$C$17)</f>
        <v>0.10370510597177325</v>
      </c>
      <c r="F7" s="20">
        <f>MIN('组合净值（模拟）'!$G$6:$G$60)</f>
        <v>-6.0165769300442151E-2</v>
      </c>
      <c r="G7" s="107">
        <f>IFERROR((AVERAGE('组合净值（模拟）'!$F$6:$F$60)-说明!$C$16/365)/STDEV('组合净值（模拟）'!$F$6:$F$60),"")</f>
        <v>-2.1609120626199105E-2</v>
      </c>
    </row>
    <row r="9" spans="2:7">
      <c r="B9" s="149" t="s">
        <v>69</v>
      </c>
      <c r="C9" s="145"/>
      <c r="D9" s="145"/>
      <c r="E9" s="149" t="s">
        <v>70</v>
      </c>
      <c r="F9" s="145"/>
      <c r="G9" s="145"/>
    </row>
    <row r="10" spans="2:7">
      <c r="B10" s="25" t="s">
        <v>71</v>
      </c>
      <c r="C10" s="25" t="s">
        <v>64</v>
      </c>
      <c r="D10" s="25" t="s">
        <v>65</v>
      </c>
      <c r="E10" s="154" t="s">
        <v>72</v>
      </c>
      <c r="F10" s="148"/>
      <c r="G10" s="25" t="s">
        <v>73</v>
      </c>
    </row>
    <row r="11" spans="2:7" ht="22.5" customHeight="1">
      <c r="B11" s="24" t="s">
        <v>74</v>
      </c>
      <c r="C11" s="16">
        <f>IFERROR((LOOKUP(2,1/('组合净值（模拟）'!$E$6:$E$60&lt;&gt;""),'组合净值（模拟）'!$E$6:$E$60))/('组合净值（模拟）'!$E$6)-1,"")</f>
        <v>-6.0681527532462365E-3</v>
      </c>
      <c r="D11" s="16">
        <f>IFERROR((LOOKUP(2,1/('组合净值（模拟）'!$E$6:$E$60&lt;&gt;""),'组合净值（模拟）'!$E$6:$E$60)/('组合净值（模拟）'!$E$6))^(说明!$C$17/COUNT('组合净值（模拟）'!$F$6:$F$60))-1,"")</f>
        <v>-2.9974766660819885E-2</v>
      </c>
      <c r="E11" s="151" t="s">
        <v>67</v>
      </c>
      <c r="F11" s="148"/>
      <c r="G11" s="16">
        <f>MIN('组合净值（模拟）'!$G$6:$G$60)</f>
        <v>-6.0165769300442151E-2</v>
      </c>
    </row>
    <row r="12" spans="2:7" ht="22.5" customHeight="1">
      <c r="B12" s="24" t="s">
        <v>75</v>
      </c>
      <c r="C12" s="16">
        <f>IFERROR((LOOKUP(2,1/('组合净值（模拟）'!$E$6:$E$60&lt;&gt;""),'组合净值（模拟）'!$E$6:$E$60))/(IFERROR(LOOKUP(DATE(2026,1,1),'组合净值（模拟）'!$A$6:$A$60,'组合净值（模拟）'!$E$6:$E$60),'组合净值（模拟）'!$E$6))-1,"")</f>
        <v>-6.0681527532462365E-3</v>
      </c>
      <c r="D12" s="16">
        <f>IFERROR((LOOKUP(2,1/('组合净值（模拟）'!$E$6:$E$60&lt;&gt;""),'组合净值（模拟）'!$E$6:$E$60)/(IFERROR(LOOKUP(DATE(2026,1,1),'组合净值（模拟）'!$A$6:$A$60,'组合净值（模拟）'!$E$6:$E$60),'组合净值（模拟）'!$E$6)))^(说明!$C$17/MAX(COUNTIF('组合净值（模拟）'!$A$6:$A$60,"&gt;="&amp;(DATE(2026,1,1))),1))-1,"")</f>
        <v>-2.9395751446207541E-2</v>
      </c>
      <c r="E12" s="151" t="s">
        <v>76</v>
      </c>
      <c r="F12" s="148"/>
      <c r="G12" s="17">
        <f>IFERROR((LOOKUP(2,1/('组合净值（模拟）'!$E$6:$E$60&lt;&gt;""),ROW('组合净值（模拟）'!$E$6:$E$60)))-(LOOKUP(2,1/('组合净值（模拟）'!$G$6:$G$60=0),ROW('组合净值（模拟）'!$G$6:$G$60))),"")</f>
        <v>29</v>
      </c>
    </row>
    <row r="13" spans="2:7" ht="22.5" customHeight="1">
      <c r="B13" s="24" t="s">
        <v>77</v>
      </c>
      <c r="C13" s="16">
        <f>IFERROR((LOOKUP(2,1/('组合净值（模拟）'!$E$6:$E$60&lt;&gt;""),'组合净值（模拟）'!$E$6:$E$60))/(IFERROR(LOOKUP(EDATE(LOOKUP(2,1/('组合净值（模拟）'!$E$6:$E$60&lt;&gt;""),'组合净值（模拟）'!$A$6:$A$60),-3),'组合净值（模拟）'!$A$6:$A$60,'组合净值（模拟）'!$E$6:$E$60),'组合净值（模拟）'!$E$6))-1,"")</f>
        <v>-6.0681527532462365E-3</v>
      </c>
      <c r="D13" s="16">
        <f>IFERROR((LOOKUP(2,1/('组合净值（模拟）'!$E$6:$E$60&lt;&gt;""),'组合净值（模拟）'!$E$6:$E$60)/(IFERROR(LOOKUP(EDATE(LOOKUP(2,1/('组合净值（模拟）'!$E$6:$E$60&lt;&gt;""),'组合净值（模拟）'!$A$6:$A$60),-3)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-3))),1))-1,"")</f>
        <v>-2.9395751446207541E-2</v>
      </c>
      <c r="E13" s="151" t="s">
        <v>78</v>
      </c>
      <c r="F13" s="148"/>
      <c r="G13" s="108">
        <f>COUNTIF('组合净值（模拟）'!$F$6:$F$60,"&gt;0")/MAX(COUNT('组合净值（模拟）'!$F$6:$F$60),1)</f>
        <v>0.5</v>
      </c>
    </row>
    <row r="14" spans="2:7" ht="22.5" customHeight="1">
      <c r="B14" s="24" t="s">
        <v>79</v>
      </c>
      <c r="C14" s="16">
        <f>IFERROR((LOOKUP(2,1/('组合净值（模拟）'!$E$6:$E$60&lt;&gt;""),'组合净值（模拟）'!$E$6:$E$60))/(IFERROR(LOOKUP(EDATE(LOOKUP(2,1/('组合净值（模拟）'!$E$6:$E$60&lt;&gt;""),'组合净值（模拟）'!$A$6:$A$60),-6),'组合净值（模拟）'!$A$6:$A$60,'组合净值（模拟）'!$E$6:$E$60),'组合净值（模拟）'!$E$6))-1,"")</f>
        <v>-6.0681527532462365E-3</v>
      </c>
      <c r="D14" s="16">
        <f>IFERROR((LOOKUP(2,1/('组合净值（模拟）'!$E$6:$E$60&lt;&gt;""),'组合净值（模拟）'!$E$6:$E$60)/(IFERROR(LOOKUP(EDATE(LOOKUP(2,1/('组合净值（模拟）'!$E$6:$E$60&lt;&gt;""),'组合净值（模拟）'!$A$6:$A$60),-6)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-6))),1))-1,"")</f>
        <v>-2.9395751446207541E-2</v>
      </c>
      <c r="E14" s="151" t="s">
        <v>66</v>
      </c>
      <c r="F14" s="148"/>
      <c r="G14" s="16">
        <f>STDEV('组合净值（模拟）'!$F$6:$F$60)*SQRT(说明!$C$17)</f>
        <v>0.10370510597177325</v>
      </c>
    </row>
    <row r="15" spans="2:7" ht="22.5" customHeight="1">
      <c r="B15" s="24" t="s">
        <v>80</v>
      </c>
      <c r="C15" s="16">
        <f>IFERROR((LOOKUP(2,1/('组合净值（模拟）'!$E$6:$E$60&lt;&gt;""),'组合净值（模拟）'!$E$6:$E$60))/(IFERROR(LOOKUP(EDATE(LOOKUP(2,1/('组合净值（模拟）'!$E$6:$E$60&lt;&gt;""),'组合净值（模拟）'!$A$6:$A$60),-12),'组合净值（模拟）'!$A$6:$A$60,'组合净值（模拟）'!$E$6:$E$60),'组合净值（模拟）'!$E$6))-1,"")</f>
        <v>-6.0681527532462365E-3</v>
      </c>
      <c r="D15" s="16">
        <f>IFERROR((LOOKUP(2,1/('组合净值（模拟）'!$E$6:$E$60&lt;&gt;""),'组合净值（模拟）'!$E$6:$E$60)/(IFERROR(LOOKUP(EDATE(LOOKUP(2,1/('组合净值（模拟）'!$E$6:$E$60&lt;&gt;""),'组合净值（模拟）'!$A$6:$A$60),-12)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-12))),1))-1,"")</f>
        <v>-2.9395751446207541E-2</v>
      </c>
      <c r="E15" s="151" t="s">
        <v>81</v>
      </c>
      <c r="F15" s="148"/>
      <c r="G15" s="18">
        <f>(((LOOKUP(2,1/('组合净值（模拟）'!$E$6:$E$60&lt;&gt;""),'组合净值（模拟）'!$E$6:$E$60)/'组合净值（模拟）'!$E$6)^(说明!$C$17/MAX(COUNT('组合净值（模拟）'!$F$6:$F$60),1))-1)-说明!$C$16)/IF((STDEV('组合净值（模拟）'!$F$6:$F$60)*SQRT(说明!$C$17))=0,"",(STDEV('组合净值（模拟）'!$F$6:$F$60)*SQRT(说明!$C$17)))</f>
        <v>-0.43367938578705317</v>
      </c>
    </row>
    <row r="16" spans="2:7" ht="22.5" customHeight="1">
      <c r="B16" s="19"/>
      <c r="C16" s="19"/>
      <c r="D16" s="19"/>
      <c r="E16" s="151" t="s">
        <v>82</v>
      </c>
      <c r="F16" s="148"/>
      <c r="G16" s="18">
        <f>IFERROR(((LOOKUP(2,1/('组合净值（模拟）'!$E$6:$E$60&lt;&gt;""),'组合净值（模拟）'!$E$6:$E$60)/'组合净值（模拟）'!$E$6)^(说明!$C$17/MAX(COUNT('组合净值（模拟）'!$F$6:$F$60),1))-1)/ABS(MIN('组合净值（模拟）'!$G$6:$G$60)),"")</f>
        <v>-0.49820299830521081</v>
      </c>
    </row>
    <row r="18" spans="2:7">
      <c r="B18" s="149" t="s">
        <v>83</v>
      </c>
      <c r="C18" s="145"/>
      <c r="D18" s="145"/>
      <c r="E18" s="145"/>
      <c r="F18" s="145"/>
      <c r="G18" s="145"/>
    </row>
    <row r="35" spans="2:2" ht="14.5" customHeight="1">
      <c r="B35" s="97" t="s">
        <v>84</v>
      </c>
    </row>
  </sheetData>
  <mergeCells count="14">
    <mergeCell ref="B18:G18"/>
    <mergeCell ref="E3:G3"/>
    <mergeCell ref="E14:F14"/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</mergeCells>
  <phoneticPr fontId="13" type="noConversion"/>
  <conditionalFormatting sqref="C7:D7">
    <cfRule type="cellIs" dxfId="51" priority="7" operator="lessThan">
      <formula>0</formula>
    </cfRule>
    <cfRule type="cellIs" dxfId="50" priority="8" operator="greaterThan">
      <formula>0</formula>
    </cfRule>
  </conditionalFormatting>
  <conditionalFormatting sqref="F7">
    <cfRule type="cellIs" dxfId="49" priority="5" operator="lessThan">
      <formula>0</formula>
    </cfRule>
    <cfRule type="cellIs" dxfId="48" priority="6" operator="greaterThan">
      <formula>0</formula>
    </cfRule>
  </conditionalFormatting>
  <conditionalFormatting sqref="C11:D11">
    <cfRule type="cellIs" dxfId="47" priority="3" operator="lessThan">
      <formula>0</formula>
    </cfRule>
    <cfRule type="cellIs" dxfId="46" priority="4" operator="greaterThan">
      <formula>0</formula>
    </cfRule>
  </conditionalFormatting>
  <conditionalFormatting sqref="G11">
    <cfRule type="cellIs" dxfId="45" priority="1" operator="lessThan">
      <formula>0</formula>
    </cfRule>
    <cfRule type="cellIs" dxfId="44" priority="2" operator="greaterThan">
      <formula>0</formula>
    </cfRule>
  </conditionalFormatting>
  <pageMargins left="0.75" right="0.75" top="1" bottom="1" header="0.5" footer="0.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35"/>
  <sheetViews>
    <sheetView showGridLines="0" topLeftCell="A4" workbookViewId="0">
      <selection activeCell="J27" sqref="J27"/>
    </sheetView>
  </sheetViews>
  <sheetFormatPr defaultRowHeight="14"/>
  <cols>
    <col min="1" max="1" width="2" style="95" customWidth="1"/>
    <col min="2" max="2" width="14" style="95" customWidth="1"/>
    <col min="3" max="3" width="15.08984375" style="95" bestFit="1" customWidth="1"/>
    <col min="4" max="4" width="17.54296875" style="95" bestFit="1" customWidth="1"/>
    <col min="5" max="5" width="15.81640625" style="95" bestFit="1" customWidth="1"/>
    <col min="6" max="6" width="15.08984375" style="95" bestFit="1" customWidth="1"/>
    <col min="7" max="7" width="14" style="95" customWidth="1"/>
    <col min="8" max="8" width="2" style="95" customWidth="1"/>
  </cols>
  <sheetData>
    <row r="2" spans="2:7">
      <c r="B2" s="152" t="s">
        <v>86</v>
      </c>
      <c r="C2" s="145"/>
      <c r="D2" s="145"/>
      <c r="E2" s="145"/>
      <c r="F2" s="145"/>
      <c r="G2" s="145"/>
    </row>
    <row r="3" spans="2:7" ht="14.5" customHeight="1">
      <c r="B3" s="153" t="str">
        <f>"买入持有 · 已扣年化费率 "&amp;TEXT(持仓配置!$M$6,"0.0%")&amp;"（折每日计入净值）"</f>
        <v>买入持有 · 已扣年化费率 1.5%（折每日计入净值）</v>
      </c>
      <c r="C3" s="145"/>
      <c r="D3" s="145"/>
      <c r="E3" s="150" t="str">
        <f>"净值日期："&amp;TEXT(LOOKUP(2,1/('组合净值（模拟）'!$H$6:$H$60&lt;&gt;""),'组合净值（模拟）'!$A$6:$A$60),"yyyy-mm-dd")</f>
        <v>净值日期：2026-08-10</v>
      </c>
      <c r="F3" s="145"/>
      <c r="G3" s="145"/>
    </row>
    <row r="5" spans="2:7">
      <c r="B5" s="149" t="s">
        <v>62</v>
      </c>
      <c r="C5" s="145"/>
      <c r="D5" s="145"/>
      <c r="E5" s="145"/>
      <c r="F5" s="145"/>
      <c r="G5" s="145"/>
    </row>
    <row r="6" spans="2:7">
      <c r="B6" s="10" t="s">
        <v>63</v>
      </c>
      <c r="C6" s="10" t="s">
        <v>64</v>
      </c>
      <c r="D6" s="10" t="s">
        <v>65</v>
      </c>
      <c r="E6" s="10" t="s">
        <v>66</v>
      </c>
      <c r="F6" s="10" t="s">
        <v>67</v>
      </c>
      <c r="G6" s="10" t="s">
        <v>68</v>
      </c>
    </row>
    <row r="7" spans="2:7" ht="28" customHeight="1">
      <c r="B7" s="107">
        <f>LOOKUP(2,1/('组合净值（模拟）'!$H$6:$H$60&lt;&gt;""),'组合净值（模拟）'!$H$6:$H$60)</f>
        <v>0.98628220069341777</v>
      </c>
      <c r="C7" s="20">
        <f>(LOOKUP(2,1/('组合净值（模拟）'!$H$6:$H$60&lt;&gt;""),'组合净值（模拟）'!$H$6:$H$60))/'组合净值（模拟）'!$H$6-1</f>
        <v>-1.3717799306582235E-2</v>
      </c>
      <c r="D7" s="20">
        <f>IFERROR((1+C7)^(365/(LOOKUP(2,1/('组合净值（模拟）'!$H$6:$H$60&lt;&gt;""),'组合净值（模拟）'!$A$6:$A$60)-'组合净值（模拟）'!$A$7+1))-1,"")</f>
        <v>-6.8546721509149422E-2</v>
      </c>
      <c r="E7" s="21">
        <f>STDEV('组合净值（模拟）'!$I$6:$I$60)*SQRT(说明!$C$17)</f>
        <v>0.15784725351227602</v>
      </c>
      <c r="F7" s="20">
        <f>MIN('组合净值（模拟）'!$J$6:$J$60)</f>
        <v>-9.1008985822590427E-2</v>
      </c>
      <c r="G7" s="107">
        <f>IFERROR((AVERAGE('组合净值（模拟）'!$I$6:$I$60)-说明!$C$16/365)/STDEV('组合净值（模拟）'!$I$6:$I$60),"")</f>
        <v>-2.6890230536226752E-2</v>
      </c>
    </row>
    <row r="9" spans="2:7">
      <c r="B9" s="149" t="s">
        <v>69</v>
      </c>
      <c r="C9" s="145"/>
      <c r="D9" s="145"/>
      <c r="E9" s="149" t="s">
        <v>70</v>
      </c>
      <c r="F9" s="145"/>
      <c r="G9" s="145"/>
    </row>
    <row r="10" spans="2:7" ht="22.5" customHeight="1">
      <c r="B10" s="25" t="s">
        <v>71</v>
      </c>
      <c r="C10" s="25" t="s">
        <v>64</v>
      </c>
      <c r="D10" s="25" t="s">
        <v>65</v>
      </c>
      <c r="E10" s="154" t="s">
        <v>72</v>
      </c>
      <c r="F10" s="148"/>
      <c r="G10" s="25" t="s">
        <v>73</v>
      </c>
    </row>
    <row r="11" spans="2:7" ht="22.5" customHeight="1">
      <c r="B11" s="24" t="s">
        <v>74</v>
      </c>
      <c r="C11" s="16">
        <f>IFERROR((LOOKUP(2,1/('组合净值（模拟）'!$H$6:$H$60&lt;&gt;""),'组合净值（模拟）'!$H$6:$H$60))/('组合净值（模拟）'!$H$6)-1,"")</f>
        <v>-1.3717799306582235E-2</v>
      </c>
      <c r="D11" s="16">
        <f>IFERROR((LOOKUP(2,1/('组合净值（模拟）'!$H$6:$H$60&lt;&gt;""),'组合净值（模拟）'!$H$6:$H$60)/('组合净值（模拟）'!$H$6))^(说明!$C$17/COUNT('组合净值（模拟）'!$I$6:$I$60))-1,"")</f>
        <v>-6.673285366850612E-2</v>
      </c>
      <c r="E11" s="151" t="s">
        <v>67</v>
      </c>
      <c r="F11" s="148"/>
      <c r="G11" s="16">
        <f>MIN('组合净值（模拟）'!$J$6:$J$60)</f>
        <v>-9.1008985822590427E-2</v>
      </c>
    </row>
    <row r="12" spans="2:7" ht="22.5" customHeight="1">
      <c r="B12" s="24" t="s">
        <v>75</v>
      </c>
      <c r="C12" s="16">
        <f>IFERROR((LOOKUP(2,1/('组合净值（模拟）'!$H$6:$H$60&lt;&gt;""),'组合净值（模拟）'!$H$6:$H$60))/(IFERROR(LOOKUP(DATE(2026,1,1),'组合净值（模拟）'!$A$6:$A$60,'组合净值（模拟）'!$H$6:$H$60),'组合净值（模拟）'!$H$6))-1,"")</f>
        <v>-1.3717799306582235E-2</v>
      </c>
      <c r="D12" s="16">
        <f>IFERROR((LOOKUP(2,1/('组合净值（模拟）'!$H$6:$H$60&lt;&gt;""),'组合净值（模拟）'!$H$6:$H$60)/(IFERROR(LOOKUP(DATE(2026,1,1),'组合净值（模拟）'!$A$6:$A$60,'组合净值（模拟）'!$H$6:$H$60),'组合净值（模拟）'!$H$6)))^(说明!$C$17/MAX(COUNTIF('组合净值（模拟）'!$A$6:$A$60,"&gt;="&amp;(DATE(2026,1,1))),1))-1,"")</f>
        <v>-6.5468174710696769E-2</v>
      </c>
      <c r="E12" s="151" t="s">
        <v>76</v>
      </c>
      <c r="F12" s="148"/>
      <c r="G12" s="17">
        <f>IFERROR((LOOKUP(2,1/('组合净值（模拟）'!$H$6:$H$60&lt;&gt;""),ROW('组合净值（模拟）'!$H$6:$H$60)))-(LOOKUP(2,1/('组合净值（模拟）'!$J$6:$J$60=0),ROW('组合净值（模拟）'!$J$6:$J$60))),"")</f>
        <v>29</v>
      </c>
    </row>
    <row r="13" spans="2:7" ht="22.5" customHeight="1">
      <c r="B13" s="24" t="s">
        <v>77</v>
      </c>
      <c r="C13" s="16">
        <f>IFERROR((LOOKUP(2,1/('组合净值（模拟）'!$H$6:$H$60&lt;&gt;""),'组合净值（模拟）'!$H$6:$H$60))/(IFERROR(LOOKUP(EDATE(LOOKUP(2,1/('组合净值（模拟）'!$H$6:$H$60&lt;&gt;""),'组合净值（模拟）'!$A$6:$A$60),-3),'组合净值（模拟）'!$A$6:$A$60,'组合净值（模拟）'!$H$6:$H$60),'组合净值（模拟）'!$H$6))-1,"")</f>
        <v>-1.3717799306582235E-2</v>
      </c>
      <c r="D13" s="16">
        <f>IFERROR((LOOKUP(2,1/('组合净值（模拟）'!$H$6:$H$60&lt;&gt;""),'组合净值（模拟）'!$H$6:$H$60)/(IFERROR(LOOKUP(EDATE(LOOKUP(2,1/('组合净值（模拟）'!$H$6:$H$60&lt;&gt;""),'组合净值（模拟）'!$A$6:$A$60),-3)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-3))),1))-1,"")</f>
        <v>-6.5468174710696769E-2</v>
      </c>
      <c r="E13" s="151" t="s">
        <v>78</v>
      </c>
      <c r="F13" s="148"/>
      <c r="G13" s="108">
        <f>COUNTIF('组合净值（模拟）'!$I$6:$I$60,"&gt;0")/MAX(COUNT('组合净值（模拟）'!$I$6:$I$60),1)</f>
        <v>0.5</v>
      </c>
    </row>
    <row r="14" spans="2:7" ht="22.5" customHeight="1">
      <c r="B14" s="24" t="s">
        <v>79</v>
      </c>
      <c r="C14" s="16">
        <f>IFERROR((LOOKUP(2,1/('组合净值（模拟）'!$H$6:$H$60&lt;&gt;""),'组合净值（模拟）'!$H$6:$H$60))/(IFERROR(LOOKUP(EDATE(LOOKUP(2,1/('组合净值（模拟）'!$H$6:$H$60&lt;&gt;""),'组合净值（模拟）'!$A$6:$A$60),-6),'组合净值（模拟）'!$A$6:$A$60,'组合净值（模拟）'!$H$6:$H$60),'组合净值（模拟）'!$H$6))-1,"")</f>
        <v>-1.3717799306582235E-2</v>
      </c>
      <c r="D14" s="16">
        <f>IFERROR((LOOKUP(2,1/('组合净值（模拟）'!$H$6:$H$60&lt;&gt;""),'组合净值（模拟）'!$H$6:$H$60)/(IFERROR(LOOKUP(EDATE(LOOKUP(2,1/('组合净值（模拟）'!$H$6:$H$60&lt;&gt;""),'组合净值（模拟）'!$A$6:$A$60),-6)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-6))),1))-1,"")</f>
        <v>-6.5468174710696769E-2</v>
      </c>
      <c r="E14" s="151" t="s">
        <v>66</v>
      </c>
      <c r="F14" s="148"/>
      <c r="G14" s="16">
        <f>STDEV('组合净值（模拟）'!$I$6:$I$60)*SQRT(说明!$C$17)</f>
        <v>0.15784725351227602</v>
      </c>
    </row>
    <row r="15" spans="2:7" ht="22.5" customHeight="1">
      <c r="B15" s="24" t="s">
        <v>80</v>
      </c>
      <c r="C15" s="16">
        <f>IFERROR((LOOKUP(2,1/('组合净值（模拟）'!$H$6:$H$60&lt;&gt;""),'组合净值（模拟）'!$H$6:$H$60))/(IFERROR(LOOKUP(EDATE(LOOKUP(2,1/('组合净值（模拟）'!$H$6:$H$60&lt;&gt;""),'组合净值（模拟）'!$A$6:$A$60),-12),'组合净值（模拟）'!$A$6:$A$60,'组合净值（模拟）'!$H$6:$H$60),'组合净值（模拟）'!$H$6))-1,"")</f>
        <v>-1.3717799306582235E-2</v>
      </c>
      <c r="D15" s="16">
        <f>IFERROR((LOOKUP(2,1/('组合净值（模拟）'!$H$6:$H$60&lt;&gt;""),'组合净值（模拟）'!$H$6:$H$60)/(IFERROR(LOOKUP(EDATE(LOOKUP(2,1/('组合净值（模拟）'!$H$6:$H$60&lt;&gt;""),'组合净值（模拟）'!$A$6:$A$60),-12)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-12))),1))-1,"")</f>
        <v>-6.5468174710696769E-2</v>
      </c>
      <c r="E15" s="151" t="s">
        <v>81</v>
      </c>
      <c r="F15" s="148"/>
      <c r="G15" s="18">
        <f>(((LOOKUP(2,1/('组合净值（模拟）'!$H$6:$H$60&lt;&gt;""),'组合净值（模拟）'!$H$6:$H$60)/'组合净值（模拟）'!$H$6)^(说明!$C$17/MAX(COUNT('组合净值（模拟）'!$I$6:$I$60),1))-1)-说明!$C$16)/IF((STDEV('组合净值（模拟）'!$I$6:$I$60)*SQRT(说明!$C$17))=0,"",(STDEV('组合净值（模拟）'!$I$6:$I$60)*SQRT(说明!$C$17)))</f>
        <v>-0.51779712253371346</v>
      </c>
    </row>
    <row r="16" spans="2:7" ht="22.5" customHeight="1">
      <c r="B16" s="19"/>
      <c r="C16" s="19"/>
      <c r="D16" s="19"/>
      <c r="E16" s="151" t="s">
        <v>82</v>
      </c>
      <c r="F16" s="148"/>
      <c r="G16" s="18">
        <f>IFERROR(((LOOKUP(2,1/('组合净值（模拟）'!$H$6:$H$60&lt;&gt;""),'组合净值（模拟）'!$H$6:$H$60)/'组合净值（模拟）'!$H$6)^(说明!$C$17/MAX(COUNT('组合净值（模拟）'!$I$6:$I$60),1))-1)/ABS(MIN('组合净值（模拟）'!$J$6:$J$60)),"")</f>
        <v>-0.73325565673913451</v>
      </c>
    </row>
    <row r="18" spans="2:7">
      <c r="B18" s="149" t="s">
        <v>83</v>
      </c>
      <c r="C18" s="145"/>
      <c r="D18" s="145"/>
      <c r="E18" s="145"/>
      <c r="F18" s="145"/>
      <c r="G18" s="145"/>
    </row>
    <row r="35" spans="2:2" ht="14.5" customHeight="1">
      <c r="B35" s="97" t="s">
        <v>84</v>
      </c>
    </row>
  </sheetData>
  <mergeCells count="14">
    <mergeCell ref="B18:G18"/>
    <mergeCell ref="E3:G3"/>
    <mergeCell ref="E14:F14"/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</mergeCells>
  <phoneticPr fontId="13" type="noConversion"/>
  <conditionalFormatting sqref="C7:D7">
    <cfRule type="cellIs" dxfId="43" priority="7" operator="lessThan">
      <formula>0</formula>
    </cfRule>
    <cfRule type="cellIs" dxfId="42" priority="8" operator="greaterThan">
      <formula>0</formula>
    </cfRule>
  </conditionalFormatting>
  <conditionalFormatting sqref="F7">
    <cfRule type="cellIs" dxfId="41" priority="5" operator="lessThan">
      <formula>0</formula>
    </cfRule>
    <cfRule type="cellIs" dxfId="40" priority="6" operator="greaterThan">
      <formula>0</formula>
    </cfRule>
  </conditionalFormatting>
  <conditionalFormatting sqref="C11:D11">
    <cfRule type="cellIs" dxfId="39" priority="3" operator="lessThan">
      <formula>0</formula>
    </cfRule>
    <cfRule type="cellIs" dxfId="38" priority="4" operator="greaterThan">
      <formula>0</formula>
    </cfRule>
  </conditionalFormatting>
  <conditionalFormatting sqref="G11">
    <cfRule type="cellIs" dxfId="37" priority="1" operator="lessThan">
      <formula>0</formula>
    </cfRule>
    <cfRule type="cellIs" dxfId="36" priority="2" operator="greaterThan">
      <formula>0</formula>
    </cfRule>
  </conditionalFormatting>
  <pageMargins left="0.75" right="0.75" top="1" bottom="1" header="0.5" footer="0.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35"/>
  <sheetViews>
    <sheetView showGridLines="0" workbookViewId="0">
      <selection activeCell="F21" sqref="F21"/>
    </sheetView>
  </sheetViews>
  <sheetFormatPr defaultRowHeight="14"/>
  <cols>
    <col min="1" max="1" width="2" style="95" customWidth="1"/>
    <col min="2" max="2" width="14" style="95" customWidth="1"/>
    <col min="3" max="3" width="15.08984375" style="95" bestFit="1" customWidth="1"/>
    <col min="4" max="4" width="20.7265625" style="95" bestFit="1" customWidth="1"/>
    <col min="5" max="5" width="15.81640625" style="95" bestFit="1" customWidth="1"/>
    <col min="6" max="6" width="17.54296875" style="95" bestFit="1" customWidth="1"/>
    <col min="7" max="7" width="14" style="95" customWidth="1"/>
    <col min="8" max="8" width="2" style="95" customWidth="1"/>
  </cols>
  <sheetData>
    <row r="2" spans="2:7" ht="20.5" customHeight="1">
      <c r="B2" s="152" t="s">
        <v>87</v>
      </c>
      <c r="C2" s="145"/>
      <c r="D2" s="145"/>
      <c r="E2" s="145"/>
      <c r="F2" s="145"/>
      <c r="G2" s="145"/>
    </row>
    <row r="3" spans="2:7" ht="14.5" customHeight="1">
      <c r="B3" s="153" t="str">
        <f>"买入持有 · 已扣年化费率 "&amp;TEXT(持仓配置!$M$7,"0.0%")&amp;"（折每日计入净值）"</f>
        <v>买入持有 · 已扣年化费率 11.0%（折每日计入净值）</v>
      </c>
      <c r="C3" s="145"/>
      <c r="D3" s="145"/>
      <c r="E3" s="150" t="str">
        <f>"净值日期："&amp;TEXT(LOOKUP(2,1/('组合净值（模拟）'!$K$6:$K$60&lt;&gt;""),'组合净值（模拟）'!$A$6:$A$60),"yyyy-mm-dd")</f>
        <v>净值日期：2026-08-10</v>
      </c>
      <c r="F3" s="145"/>
      <c r="G3" s="145"/>
    </row>
    <row r="5" spans="2:7">
      <c r="B5" s="149" t="s">
        <v>62</v>
      </c>
      <c r="C5" s="145"/>
      <c r="D5" s="145"/>
      <c r="E5" s="145"/>
      <c r="F5" s="145"/>
      <c r="G5" s="145"/>
    </row>
    <row r="6" spans="2:7">
      <c r="B6" s="10" t="s">
        <v>63</v>
      </c>
      <c r="C6" s="10" t="s">
        <v>64</v>
      </c>
      <c r="D6" s="10" t="s">
        <v>65</v>
      </c>
      <c r="E6" s="10" t="s">
        <v>66</v>
      </c>
      <c r="F6" s="10" t="s">
        <v>67</v>
      </c>
      <c r="G6" s="10" t="s">
        <v>68</v>
      </c>
    </row>
    <row r="7" spans="2:7" ht="28" customHeight="1">
      <c r="B7" s="107">
        <f>LOOKUP(2,1/('组合净值（模拟）'!$K$6:$K$60&lt;&gt;""),'组合净值（模拟）'!$K$6:$K$60)</f>
        <v>0.96860598569702494</v>
      </c>
      <c r="C7" s="20">
        <f>(LOOKUP(2,1/('组合净值（模拟）'!$K$6:$K$60&lt;&gt;""),'组合净值（模拟）'!$K$6:$K$60))/'组合净值（模拟）'!$K$6-1</f>
        <v>-3.139401430297506E-2</v>
      </c>
      <c r="D7" s="20">
        <f>IFERROR((1+C7)^(365/(LOOKUP(2,1/('组合净值（模拟）'!$K$6:$K$60&lt;&gt;""),'组合净值（模拟）'!$A$6:$A$60)-'组合净值（模拟）'!$A$7+1))-1,"")</f>
        <v>-0.15124052244043151</v>
      </c>
      <c r="E7" s="21">
        <f>STDEV('组合净值（模拟）'!$L$6:$L$60)*SQRT(说明!$C$17)</f>
        <v>0.69592233047492502</v>
      </c>
      <c r="F7" s="20">
        <f>MIN('组合净值（模拟）'!$M$6:$M$60)</f>
        <v>-0.35503201101669257</v>
      </c>
      <c r="G7" s="107">
        <f>IFERROR((AVERAGE('组合净值（模拟）'!$L$6:$L$60)-说明!$C$16/365)/STDEV('组合净值（模拟）'!$L$6:$L$60),"")</f>
        <v>6.1833370555976442E-3</v>
      </c>
    </row>
    <row r="9" spans="2:7">
      <c r="B9" s="149" t="s">
        <v>69</v>
      </c>
      <c r="C9" s="145"/>
      <c r="D9" s="145"/>
      <c r="E9" s="149" t="s">
        <v>70</v>
      </c>
      <c r="F9" s="145"/>
      <c r="G9" s="145"/>
    </row>
    <row r="10" spans="2:7">
      <c r="B10" s="25" t="s">
        <v>71</v>
      </c>
      <c r="C10" s="25" t="s">
        <v>64</v>
      </c>
      <c r="D10" s="25" t="s">
        <v>65</v>
      </c>
      <c r="E10" s="154" t="s">
        <v>72</v>
      </c>
      <c r="F10" s="148"/>
      <c r="G10" s="25" t="s">
        <v>73</v>
      </c>
    </row>
    <row r="11" spans="2:7" ht="22.5" customHeight="1">
      <c r="B11" s="24" t="s">
        <v>74</v>
      </c>
      <c r="C11" s="16">
        <f>IFERROR((LOOKUP(2,1/('组合净值（模拟）'!$K$6:$K$60&lt;&gt;""),'组合净值（模拟）'!$K$6:$K$60))/('组合净值（模拟）'!$K$6)-1,"")</f>
        <v>-3.139401430297506E-2</v>
      </c>
      <c r="D11" s="16">
        <f>IFERROR((LOOKUP(2,1/('组合净值（模拟）'!$K$6:$K$60&lt;&gt;""),'组合净值（模拟）'!$K$6:$K$60)/('组合净值（模拟）'!$K$6))^(说明!$C$17/COUNT('组合净值（模拟）'!$L$6:$L$60))-1,"")</f>
        <v>-0.14741881821330272</v>
      </c>
      <c r="E11" s="151" t="s">
        <v>67</v>
      </c>
      <c r="F11" s="148"/>
      <c r="G11" s="16">
        <f>MIN('组合净值（模拟）'!$M$6:$M$60)</f>
        <v>-0.35503201101669257</v>
      </c>
    </row>
    <row r="12" spans="2:7" ht="22.5" customHeight="1">
      <c r="B12" s="24" t="s">
        <v>75</v>
      </c>
      <c r="C12" s="16">
        <f>IFERROR((LOOKUP(2,1/('组合净值（模拟）'!$K$6:$K$60&lt;&gt;""),'组合净值（模拟）'!$K$6:$K$60))/(IFERROR(LOOKUP(DATE(2026,1,1),'组合净值（模拟）'!$A$6:$A$60,'组合净值（模拟）'!$K$6:$K$60),'组合净值（模拟）'!$K$6))-1,"")</f>
        <v>-3.139401430297506E-2</v>
      </c>
      <c r="D12" s="16">
        <f>IFERROR((LOOKUP(2,1/('组合净值（模拟）'!$K$6:$K$60&lt;&gt;""),'组合净值（模拟）'!$K$6:$K$60)/(IFERROR(LOOKUP(DATE(2026,1,1),'组合净值（模拟）'!$A$6:$A$60,'组合净值（模拟）'!$K$6:$K$60),'组合净值（模拟）'!$K$6)))^(说明!$C$17/MAX(COUNTIF('组合净值（模拟）'!$A$6:$A$60,"&gt;="&amp;(DATE(2026,1,1))),1))-1,"")</f>
        <v>-0.14474845906379585</v>
      </c>
      <c r="E12" s="151" t="s">
        <v>76</v>
      </c>
      <c r="F12" s="148"/>
      <c r="G12" s="17">
        <f>IFERROR((LOOKUP(2,1/('组合净值（模拟）'!$K$6:$K$60&lt;&gt;""),ROW('组合净值（模拟）'!$K$6:$K$60)))-(LOOKUP(2,1/('组合净值（模拟）'!$M$6:$M$60=0),ROW('组合净值（模拟）'!$M$6:$M$60))),"")</f>
        <v>29</v>
      </c>
    </row>
    <row r="13" spans="2:7" ht="22.5" customHeight="1">
      <c r="B13" s="24" t="s">
        <v>77</v>
      </c>
      <c r="C13" s="16">
        <f>IFERROR((LOOKUP(2,1/('组合净值（模拟）'!$K$6:$K$60&lt;&gt;""),'组合净值（模拟）'!$K$6:$K$60))/(IFERROR(LOOKUP(EDATE(LOOKUP(2,1/('组合净值（模拟）'!$K$6:$K$60&lt;&gt;""),'组合净值（模拟）'!$A$6:$A$60),-3),'组合净值（模拟）'!$A$6:$A$60,'组合净值（模拟）'!$K$6:$K$60),'组合净值（模拟）'!$K$6))-1,"")</f>
        <v>-3.139401430297506E-2</v>
      </c>
      <c r="D13" s="16">
        <f>IFERROR((LOOKUP(2,1/('组合净值（模拟）'!$K$6:$K$60&lt;&gt;""),'组合净值（模拟）'!$K$6:$K$60)/(IFERROR(LOOKUP(EDATE(LOOKUP(2,1/('组合净值（模拟）'!$K$6:$K$60&lt;&gt;""),'组合净值（模拟）'!$A$6:$A$60),-3)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-3))),1))-1,"")</f>
        <v>-0.14474845906379585</v>
      </c>
      <c r="E13" s="151" t="s">
        <v>78</v>
      </c>
      <c r="F13" s="148"/>
      <c r="G13" s="108">
        <f>COUNTIF('组合净值（模拟）'!$L$6:$L$60,"&gt;0")/MAX(COUNT('组合净值（模拟）'!$L$6:$L$60),1)</f>
        <v>0.5</v>
      </c>
    </row>
    <row r="14" spans="2:7" ht="22.5" customHeight="1">
      <c r="B14" s="24" t="s">
        <v>79</v>
      </c>
      <c r="C14" s="16">
        <f>IFERROR((LOOKUP(2,1/('组合净值（模拟）'!$K$6:$K$60&lt;&gt;""),'组合净值（模拟）'!$K$6:$K$60))/(IFERROR(LOOKUP(EDATE(LOOKUP(2,1/('组合净值（模拟）'!$K$6:$K$60&lt;&gt;""),'组合净值（模拟）'!$A$6:$A$60),-6),'组合净值（模拟）'!$A$6:$A$60,'组合净值（模拟）'!$K$6:$K$60),'组合净值（模拟）'!$K$6))-1,"")</f>
        <v>-3.139401430297506E-2</v>
      </c>
      <c r="D14" s="16">
        <f>IFERROR((LOOKUP(2,1/('组合净值（模拟）'!$K$6:$K$60&lt;&gt;""),'组合净值（模拟）'!$K$6:$K$60)/(IFERROR(LOOKUP(EDATE(LOOKUP(2,1/('组合净值（模拟）'!$K$6:$K$60&lt;&gt;""),'组合净值（模拟）'!$A$6:$A$60),-6)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-6))),1))-1,"")</f>
        <v>-0.14474845906379585</v>
      </c>
      <c r="E14" s="151" t="s">
        <v>66</v>
      </c>
      <c r="F14" s="148"/>
      <c r="G14" s="16">
        <f>STDEV('组合净值（模拟）'!$L$6:$L$60)*SQRT(说明!$C$17)</f>
        <v>0.69592233047492502</v>
      </c>
    </row>
    <row r="15" spans="2:7" ht="22.5" customHeight="1">
      <c r="B15" s="24" t="s">
        <v>80</v>
      </c>
      <c r="C15" s="16">
        <f>IFERROR((LOOKUP(2,1/('组合净值（模拟）'!$K$6:$K$60&lt;&gt;""),'组合净值（模拟）'!$K$6:$K$60))/(IFERROR(LOOKUP(EDATE(LOOKUP(2,1/('组合净值（模拟）'!$K$6:$K$60&lt;&gt;""),'组合净值（模拟）'!$A$6:$A$60),-12),'组合净值（模拟）'!$A$6:$A$60,'组合净值（模拟）'!$K$6:$K$60),'组合净值（模拟）'!$K$6))-1,"")</f>
        <v>-3.139401430297506E-2</v>
      </c>
      <c r="D15" s="16">
        <f>IFERROR((LOOKUP(2,1/('组合净值（模拟）'!$K$6:$K$60&lt;&gt;""),'组合净值（模拟）'!$K$6:$K$60)/(IFERROR(LOOKUP(EDATE(LOOKUP(2,1/('组合净值（模拟）'!$K$6:$K$60&lt;&gt;""),'组合净值（模拟）'!$A$6:$A$60),-12)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-12))),1))-1,"")</f>
        <v>-0.14474845906379585</v>
      </c>
      <c r="E15" s="151" t="s">
        <v>81</v>
      </c>
      <c r="F15" s="148"/>
      <c r="G15" s="18">
        <f>(((LOOKUP(2,1/('组合净值（模拟）'!$K$6:$K$60&lt;&gt;""),'组合净值（模拟）'!$K$6:$K$60)/'组合净值（模拟）'!$K$6)^(说明!$C$17/MAX(COUNT('组合净值（模拟）'!$L$6:$L$60),1))-1)-说明!$C$16)/IF((STDEV('组合净值（模拟）'!$L$6:$L$60)*SQRT(说明!$C$17))=0,"",(STDEV('组合净值（模拟）'!$L$6:$L$60)*SQRT(说明!$C$17)))</f>
        <v>-0.2333864155536749</v>
      </c>
    </row>
    <row r="16" spans="2:7" ht="22.5" customHeight="1">
      <c r="B16" s="19"/>
      <c r="C16" s="19"/>
      <c r="D16" s="19"/>
      <c r="E16" s="151" t="s">
        <v>82</v>
      </c>
      <c r="F16" s="148"/>
      <c r="G16" s="18">
        <f>IFERROR(((LOOKUP(2,1/('组合净值（模拟）'!$K$6:$K$60&lt;&gt;""),'组合净值（模拟）'!$K$6:$K$60)/'组合净值（模拟）'!$K$6)^(说明!$C$17/MAX(COUNT('组合净值（模拟）'!$L$6:$L$60),1))-1)/ABS(MIN('组合净值（模拟）'!$M$6:$M$60)),"")</f>
        <v>-0.41522683487369116</v>
      </c>
    </row>
    <row r="18" spans="2:7">
      <c r="B18" s="149" t="s">
        <v>83</v>
      </c>
      <c r="C18" s="145"/>
      <c r="D18" s="145"/>
      <c r="E18" s="145"/>
      <c r="F18" s="145"/>
      <c r="G18" s="145"/>
    </row>
    <row r="35" spans="2:2" ht="14.5" customHeight="1">
      <c r="B35" s="97" t="s">
        <v>84</v>
      </c>
    </row>
  </sheetData>
  <mergeCells count="14">
    <mergeCell ref="B18:G18"/>
    <mergeCell ref="E3:G3"/>
    <mergeCell ref="E14:F14"/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</mergeCells>
  <phoneticPr fontId="13" type="noConversion"/>
  <conditionalFormatting sqref="C7:D7">
    <cfRule type="cellIs" dxfId="35" priority="7" operator="lessThan">
      <formula>0</formula>
    </cfRule>
    <cfRule type="cellIs" dxfId="34" priority="8" operator="greaterThan">
      <formula>0</formula>
    </cfRule>
  </conditionalFormatting>
  <conditionalFormatting sqref="F7">
    <cfRule type="cellIs" dxfId="33" priority="5" operator="lessThan">
      <formula>0</formula>
    </cfRule>
    <cfRule type="cellIs" dxfId="32" priority="6" operator="greaterThan">
      <formula>0</formula>
    </cfRule>
  </conditionalFormatting>
  <conditionalFormatting sqref="C11:D11">
    <cfRule type="cellIs" dxfId="31" priority="3" operator="lessThan">
      <formula>0</formula>
    </cfRule>
    <cfRule type="cellIs" dxfId="30" priority="4" operator="greaterThan">
      <formula>0</formula>
    </cfRule>
  </conditionalFormatting>
  <conditionalFormatting sqref="G11">
    <cfRule type="cellIs" dxfId="29" priority="1" operator="lessThan">
      <formula>0</formula>
    </cfRule>
    <cfRule type="cellIs" dxfId="28" priority="2" operator="greaterThan">
      <formula>0</formula>
    </cfRule>
  </conditionalFormatting>
  <pageMargins left="0.75" right="0.75" top="1" bottom="1" header="0.5" footer="0.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showGridLines="0" workbookViewId="0">
      <selection activeCell="G36" sqref="G36"/>
    </sheetView>
  </sheetViews>
  <sheetFormatPr defaultRowHeight="14"/>
  <cols>
    <col min="1" max="1" width="2" style="95" customWidth="1"/>
    <col min="2" max="2" width="26" style="95" customWidth="1"/>
    <col min="3" max="8" width="15" style="95" customWidth="1"/>
  </cols>
  <sheetData>
    <row r="2" spans="2:8" ht="23" customHeight="1">
      <c r="B2" s="1" t="s">
        <v>88</v>
      </c>
    </row>
    <row r="3" spans="2:8" ht="14.5" customHeight="1">
      <c r="B3" s="97" t="s">
        <v>89</v>
      </c>
    </row>
    <row r="5" spans="2:8" ht="15.5" customHeight="1">
      <c r="B5" s="12" t="s">
        <v>90</v>
      </c>
    </row>
    <row r="6" spans="2:8" ht="16.5" customHeight="1">
      <c r="B6" s="13" t="s">
        <v>91</v>
      </c>
      <c r="C6" s="155" t="s">
        <v>92</v>
      </c>
      <c r="D6" s="145"/>
      <c r="E6" s="145"/>
      <c r="F6" s="145"/>
      <c r="G6" s="145"/>
      <c r="H6" s="145"/>
    </row>
    <row r="7" spans="2:8" ht="25.5" customHeight="1">
      <c r="B7" s="13" t="s">
        <v>93</v>
      </c>
      <c r="C7" s="155" t="s">
        <v>94</v>
      </c>
      <c r="D7" s="145"/>
      <c r="E7" s="145"/>
      <c r="F7" s="145"/>
      <c r="G7" s="145"/>
      <c r="H7" s="145"/>
    </row>
    <row r="8" spans="2:8" ht="16.5" customHeight="1">
      <c r="B8" s="13" t="s">
        <v>95</v>
      </c>
      <c r="C8" s="155" t="s">
        <v>96</v>
      </c>
      <c r="D8" s="145"/>
      <c r="E8" s="145"/>
      <c r="F8" s="145"/>
      <c r="G8" s="145"/>
      <c r="H8" s="145"/>
    </row>
    <row r="9" spans="2:8" ht="28" customHeight="1">
      <c r="B9" s="13" t="s">
        <v>97</v>
      </c>
      <c r="C9" s="155" t="s">
        <v>98</v>
      </c>
      <c r="D9" s="145"/>
      <c r="E9" s="145"/>
      <c r="F9" s="145"/>
      <c r="G9" s="145"/>
      <c r="H9" s="145"/>
    </row>
    <row r="10" spans="2:8" ht="16.5" customHeight="1">
      <c r="B10" s="14"/>
      <c r="C10" s="15"/>
      <c r="D10" s="15"/>
      <c r="E10" s="15"/>
      <c r="F10" s="15"/>
      <c r="G10" s="15"/>
      <c r="H10" s="15"/>
    </row>
    <row r="11" spans="2:8" ht="16.5" customHeight="1">
      <c r="B11" s="12" t="s">
        <v>99</v>
      </c>
      <c r="C11" s="15"/>
      <c r="D11" s="15"/>
      <c r="E11" s="15"/>
      <c r="F11" s="15"/>
      <c r="G11" s="15"/>
      <c r="H11" s="15"/>
    </row>
    <row r="12" spans="2:8" ht="16.5" customHeight="1">
      <c r="B12" s="13" t="s">
        <v>100</v>
      </c>
      <c r="C12" s="155" t="s">
        <v>101</v>
      </c>
      <c r="D12" s="145"/>
      <c r="E12" s="145"/>
      <c r="F12" s="145"/>
      <c r="G12" s="145"/>
      <c r="H12" s="145"/>
    </row>
    <row r="13" spans="2:8" ht="16.5" customHeight="1">
      <c r="B13" s="13" t="s">
        <v>102</v>
      </c>
      <c r="C13" s="155" t="s">
        <v>103</v>
      </c>
      <c r="D13" s="145"/>
      <c r="E13" s="145"/>
      <c r="F13" s="145"/>
      <c r="G13" s="145"/>
      <c r="H13" s="145"/>
    </row>
    <row r="14" spans="2:8" ht="16.5" customHeight="1">
      <c r="B14" s="13" t="s">
        <v>104</v>
      </c>
      <c r="C14" s="155" t="s">
        <v>105</v>
      </c>
      <c r="D14" s="145"/>
      <c r="E14" s="145"/>
      <c r="F14" s="145"/>
      <c r="G14" s="145"/>
      <c r="H14" s="145"/>
    </row>
    <row r="15" spans="2:8" ht="14.5" customHeight="1">
      <c r="B15" s="13" t="s">
        <v>106</v>
      </c>
      <c r="C15" s="23" t="s">
        <v>107</v>
      </c>
    </row>
    <row r="16" spans="2:8">
      <c r="B16" s="13" t="s">
        <v>108</v>
      </c>
      <c r="C16" s="109">
        <v>1.4999999999999999E-2</v>
      </c>
    </row>
    <row r="17" spans="2:3">
      <c r="B17" s="13" t="s">
        <v>109</v>
      </c>
      <c r="C17" s="22">
        <v>250</v>
      </c>
    </row>
    <row r="18" spans="2:3" ht="14.5" customHeight="1">
      <c r="B18" s="13" t="s">
        <v>110</v>
      </c>
      <c r="C18" s="23" t="s">
        <v>111</v>
      </c>
    </row>
    <row r="19" spans="2:3" ht="14.5" customHeight="1">
      <c r="B19" s="11" t="s">
        <v>112</v>
      </c>
    </row>
    <row r="20" spans="2:3" ht="14.5">
      <c r="B20" s="11" t="s">
        <v>113</v>
      </c>
    </row>
  </sheetData>
  <mergeCells count="7">
    <mergeCell ref="C6:H6"/>
    <mergeCell ref="C14:H14"/>
    <mergeCell ref="C13:H13"/>
    <mergeCell ref="C9:H9"/>
    <mergeCell ref="C8:H8"/>
    <mergeCell ref="C12:H12"/>
    <mergeCell ref="C7:H7"/>
  </mergeCells>
  <phoneticPr fontId="1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O19"/>
  <sheetViews>
    <sheetView workbookViewId="0">
      <selection activeCell="H11" sqref="H11"/>
    </sheetView>
  </sheetViews>
  <sheetFormatPr defaultRowHeight="14"/>
  <cols>
    <col min="2" max="2" width="21.08984375" style="95" bestFit="1" customWidth="1"/>
    <col min="3" max="3" width="10.54296875" style="95" customWidth="1"/>
    <col min="4" max="4" width="12.26953125" style="95" hidden="1" customWidth="1"/>
    <col min="5" max="5" width="37.26953125" style="95" customWidth="1"/>
    <col min="6" max="6" width="15.36328125" style="127" customWidth="1"/>
    <col min="7" max="7" width="20.81640625" style="95" customWidth="1"/>
    <col min="8" max="8" width="13.54296875" style="95" customWidth="1"/>
    <col min="9" max="9" width="10.26953125" style="95" bestFit="1" customWidth="1"/>
    <col min="10" max="12" width="11" style="95" customWidth="1"/>
    <col min="13" max="13" width="11.36328125" style="95" customWidth="1"/>
    <col min="14" max="14" width="12.453125" style="95" bestFit="1" customWidth="1"/>
    <col min="15" max="15" width="11.7265625" style="95" customWidth="1"/>
  </cols>
  <sheetData>
    <row r="1" spans="2:14">
      <c r="G1" s="93">
        <v>46191</v>
      </c>
      <c r="H1" s="44">
        <v>46234</v>
      </c>
      <c r="L1" t="s">
        <v>114</v>
      </c>
    </row>
    <row r="2" spans="2:14">
      <c r="E2" s="93">
        <f>WORKDAY(F4,-1)</f>
        <v>46239</v>
      </c>
      <c r="F2" s="134" t="str">
        <f ca="1">VLOOKUP(E2,'1090实盘净值'!A:B,2,0)</f>
        <v>0.98421564</v>
      </c>
      <c r="G2" s="93">
        <v>46195</v>
      </c>
      <c r="H2" s="44">
        <v>46237</v>
      </c>
      <c r="I2" s="93">
        <v>46174</v>
      </c>
      <c r="M2">
        <f>VLOOKUP(H1,'组合净值（模拟）'!A:M,2,0)</f>
        <v>0.98602670241529955</v>
      </c>
      <c r="N2">
        <f>VLOOKUP(G1,实盘组合净值!A:S,14,0)</f>
        <v>1</v>
      </c>
    </row>
    <row r="3" spans="2:14">
      <c r="F3" s="134" t="str">
        <f ca="1">VLOOKUP(F4,'1090实盘净值'!A:B,2,0)</f>
        <v>0.98658983</v>
      </c>
      <c r="G3" s="93">
        <f>H3</f>
        <v>46240</v>
      </c>
      <c r="H3" s="44">
        <v>46240</v>
      </c>
      <c r="I3" s="93">
        <f>H3</f>
        <v>46240</v>
      </c>
      <c r="M3">
        <f>VLOOKUP(H3,'组合净值（模拟）'!A:M,2,0)</f>
        <v>0.99521566059100264</v>
      </c>
      <c r="N3" t="str">
        <f ca="1">VLOOKUP(G3,'1090实盘净值'!A:B,2,0)</f>
        <v>0.98658983</v>
      </c>
    </row>
    <row r="4" spans="2:14" ht="33.5" customHeight="1">
      <c r="B4" s="73" t="s">
        <v>178</v>
      </c>
      <c r="C4" s="38" t="s">
        <v>115</v>
      </c>
      <c r="D4" s="27" t="s">
        <v>116</v>
      </c>
      <c r="E4" s="38" t="s">
        <v>117</v>
      </c>
      <c r="F4" s="135">
        <f>H3</f>
        <v>46240</v>
      </c>
      <c r="G4" s="38" t="str">
        <f>"上线以来（截止"&amp;TEXT($H$3,"m.d")&amp;"）"</f>
        <v>上线以来（截止8.6）</v>
      </c>
      <c r="H4" s="38" t="s">
        <v>207</v>
      </c>
      <c r="I4" s="53" t="s">
        <v>67</v>
      </c>
      <c r="J4" s="54" t="s">
        <v>66</v>
      </c>
      <c r="K4" s="54" t="s">
        <v>81</v>
      </c>
      <c r="L4" s="55" t="s">
        <v>82</v>
      </c>
      <c r="N4" s="130" t="s">
        <v>181</v>
      </c>
    </row>
    <row r="5" spans="2:14" ht="21" customHeight="1">
      <c r="B5" s="34" t="s">
        <v>176</v>
      </c>
      <c r="C5" s="52">
        <v>0.1</v>
      </c>
      <c r="D5" s="35"/>
      <c r="E5" s="36" t="s">
        <v>173</v>
      </c>
      <c r="F5" s="37">
        <f ca="1">F3/F2-1</f>
        <v>2.4122660761620729E-3</v>
      </c>
      <c r="G5" s="42">
        <f ca="1">N3/N2-1</f>
        <v>-1.3410169999999999E-2</v>
      </c>
      <c r="H5" s="37">
        <f>M3/M2-1</f>
        <v>9.3191778206356268E-3</v>
      </c>
      <c r="I5" s="56">
        <f>'看板-10-90'!F7</f>
        <v>-2.8644983003091151E-2</v>
      </c>
      <c r="J5" s="57">
        <f>'看板-10-90'!E7</f>
        <v>5.4286232152694014E-2</v>
      </c>
      <c r="K5" s="120">
        <f>'看板-10-90'!G7</f>
        <v>-1.2125278010011198E-2</v>
      </c>
      <c r="L5" s="58">
        <f>IFERROR('看板-10-90'!D7/ABS('看板-10-90'!F7),"")</f>
        <v>-5.6589243499254191E-2</v>
      </c>
      <c r="N5" s="93">
        <f ca="1">TODAY()</f>
        <v>46245</v>
      </c>
    </row>
    <row r="6" spans="2:14" ht="21" customHeight="1">
      <c r="B6" s="158" t="s">
        <v>118</v>
      </c>
      <c r="C6" s="161" t="s">
        <v>119</v>
      </c>
      <c r="D6" s="30" t="s">
        <v>120</v>
      </c>
      <c r="E6" s="39" t="str">
        <f>[1]!thsiFinD("ths_fund_official_short_name_fund",D6)</f>
        <v>华安盈瑞稳健优选6个月持有混合(FOF)A</v>
      </c>
      <c r="F6" s="43">
        <f>[1]!thsiFinD("ths_adjustment_nvg_rate_fund",D6,$F$4)/100</f>
        <v>0</v>
      </c>
      <c r="G6" s="43">
        <f>[1]!thsiFinD("ths_adjustment_nvg_ratio_fund",$D6,G$2,G$3,101)/100</f>
        <v>-6.1755261510953001E-3</v>
      </c>
      <c r="H6" s="43">
        <f>[1]!thsiFinD("ths_adjustment_nvg_ratio_fund",$D6,H$2,H$3,101)/100</f>
        <v>5.4995416058537005E-4</v>
      </c>
      <c r="I6" s="59">
        <f>-[1]!thsiFinD("ths_max_retrace_rate_all_fund",$D6,$I$2,$I$3)/100</f>
        <v>-9.044869231455999E-3</v>
      </c>
      <c r="J6" s="60">
        <f>[1]!thsiFinD("ths_annual_volatility_fund",D6,$I$2,$I$3,100,101)/100</f>
        <v>2.1162671452138002E-2</v>
      </c>
      <c r="K6" s="121">
        <f>[1]!thsiFinD("ths_sharp_fund",D6,$I$2,$I$3,100,101,100)</f>
        <v>-6.9308313907792005E-2</v>
      </c>
      <c r="L6" s="61">
        <f>[1]!thsiFinD("ths_calmar_ratio_fund",D6,$I$2,$I$3)</f>
        <v>-1.5088105616222001</v>
      </c>
      <c r="N6" s="129" t="str">
        <f ca="1">[1]!thsiFinD("ths_nv_date_fund",D6,$N5)</f>
        <v>2026-08-06</v>
      </c>
    </row>
    <row r="7" spans="2:14" ht="21" customHeight="1">
      <c r="B7" s="157"/>
      <c r="C7" s="145"/>
      <c r="D7" s="28" t="s">
        <v>121</v>
      </c>
      <c r="E7" s="40" t="str">
        <f>[1]!thsiFinD("ths_fund_official_short_name_fund",D7)</f>
        <v>中欧盈欣稳健6个月持有混合(FOF)A</v>
      </c>
      <c r="F7" s="29">
        <f>[1]!thsiFinD("ths_adjustment_nvg_rate_fund",D7,$F$4)/100</f>
        <v>-2.9871552324999901E-4</v>
      </c>
      <c r="G7" s="29">
        <f>[1]!thsiFinD("ths_adjustment_nvg_ratio_fund",$D7,G$2,G$3,101)/100</f>
        <v>2.5963650888755001E-3</v>
      </c>
      <c r="H7" s="29">
        <f>[1]!thsiFinD("ths_adjustment_nvg_ratio_fund",$D7,H$2,H$3,101)/100</f>
        <v>1.7960486928756999E-3</v>
      </c>
      <c r="I7" s="62">
        <f>-[1]!thsiFinD("ths_max_retrace_rate_all_fund",$D7,$I$2,$I$3)/100</f>
        <v>-8.1478537360890006E-3</v>
      </c>
      <c r="J7" s="63">
        <f>[1]!thsiFinD("ths_annual_volatility_fund",D7,$I$2,$I$3,100,101)/100</f>
        <v>2.0977262797718003E-2</v>
      </c>
      <c r="K7" s="122">
        <f>[1]!thsiFinD("ths_sharp_fund",D7,$I$2,$I$3,100,101,100)</f>
        <v>-4.2833024187787998E-2</v>
      </c>
      <c r="L7" s="64">
        <f>[1]!thsiFinD("ths_calmar_ratio_fund",D7,$I$2,$I$3)</f>
        <v>-0.53139352320621003</v>
      </c>
      <c r="N7" s="129" t="str">
        <f ca="1">[1]!thsiFinD("ths_nv_date_fund",D7,$N6)</f>
        <v>2026-08-06</v>
      </c>
    </row>
    <row r="8" spans="2:14" ht="21" customHeight="1">
      <c r="B8" s="157"/>
      <c r="C8" s="145"/>
      <c r="D8" s="30" t="s">
        <v>122</v>
      </c>
      <c r="E8" s="39" t="str">
        <f>[1]!thsiFinD("ths_fund_official_short_name_fund",D8)</f>
        <v>博时臻选楚汇三个月持有债券(FOF)B</v>
      </c>
      <c r="F8" s="31">
        <f>[1]!thsiFinD("ths_adjustment_nvg_rate_fund",D8,$F$4)/100</f>
        <v>4.5833710750930995E-4</v>
      </c>
      <c r="G8" s="31">
        <f>[1]!thsiFinD("ths_adjustment_nvg_ratio_fund",$D8,G$2,G$3,101)/100</f>
        <v>-1.7600174241063E-3</v>
      </c>
      <c r="H8" s="31">
        <f>[1]!thsiFinD("ths_adjustment_nvg_ratio_fund",$D8,H$2,H$3,101)/100</f>
        <v>5.0649230567918003E-3</v>
      </c>
      <c r="I8" s="59">
        <f>-[1]!thsiFinD("ths_max_retrace_rate_all_fund",$D8,$I$2,$I$3)/100</f>
        <v>-1.3933642219046001E-2</v>
      </c>
      <c r="J8" s="60">
        <f>[1]!thsiFinD("ths_annual_volatility_fund",D8,$I$2,$I$3,100,101)/100</f>
        <v>3.0912739581172001E-2</v>
      </c>
      <c r="K8" s="121">
        <f>[1]!thsiFinD("ths_sharp_fund",D8,$I$2,$I$3,100,101,100)</f>
        <v>-7.2275484948853996E-2</v>
      </c>
      <c r="L8" s="61">
        <f>[1]!thsiFinD("ths_calmar_ratio_fund",D8,$I$2,$I$3)</f>
        <v>-1.8905144556647</v>
      </c>
      <c r="N8" s="129" t="str">
        <f ca="1">[1]!thsiFinD("ths_nv_date_fund",D8,$N7)</f>
        <v>2026-08-06</v>
      </c>
    </row>
    <row r="9" spans="2:14" ht="21" customHeight="1">
      <c r="B9" s="157"/>
      <c r="C9" s="145"/>
      <c r="D9" s="28" t="s">
        <v>123</v>
      </c>
      <c r="E9" s="40" t="str">
        <f>[1]!thsiFinD("ths_fund_official_short_name_fund",D9)</f>
        <v>中欧盈选稳健6个月持有混合发起(FOF)A</v>
      </c>
      <c r="F9" s="29">
        <f>[1]!thsiFinD("ths_adjustment_nvg_rate_fund",D9,$F$4)/100</f>
        <v>-5.6996298394085005E-4</v>
      </c>
      <c r="G9" s="29">
        <f>[1]!thsiFinD("ths_adjustment_nvg_ratio_fund",$D9,G$2,G$3,101)/100</f>
        <v>3.1428741579341999E-3</v>
      </c>
      <c r="H9" s="29">
        <f>[1]!thsiFinD("ths_adjustment_nvg_ratio_fund",$D9,H$2,H$3,101)/100</f>
        <v>1.5230842052983001E-3</v>
      </c>
      <c r="I9" s="62">
        <f>-[1]!thsiFinD("ths_max_retrace_rate_all_fund",$D9,$I$2,$I$3)/100</f>
        <v>-8.0059579221745999E-3</v>
      </c>
      <c r="J9" s="63">
        <f>[1]!thsiFinD("ths_annual_volatility_fund",D9,$I$2,$I$3,100,101)/100</f>
        <v>2.0701304185335001E-2</v>
      </c>
      <c r="K9" s="122">
        <f>[1]!thsiFinD("ths_sharp_fund",D9,$I$2,$I$3,100,101,100)</f>
        <v>-3.5805865859957001E-2</v>
      </c>
      <c r="L9" s="64">
        <f>[1]!thsiFinD("ths_calmar_ratio_fund",D9,$I$2,$I$3)</f>
        <v>-0.21613370919732999</v>
      </c>
      <c r="N9" s="129" t="str">
        <f ca="1">[1]!thsiFinD("ths_nv_date_fund",D9,$N8)</f>
        <v>2026-08-06</v>
      </c>
    </row>
    <row r="10" spans="2:14" ht="21" customHeight="1">
      <c r="B10" s="159"/>
      <c r="C10" s="162"/>
      <c r="D10" s="32" t="s">
        <v>124</v>
      </c>
      <c r="E10" s="41" t="str">
        <f>[1]!thsiFinD("ths_fund_official_short_name_fund",D10)</f>
        <v>博时盈泰臻选6个月持有期混合(FOF)A</v>
      </c>
      <c r="F10" s="33">
        <f>[1]!thsiFinD("ths_adjustment_nvg_rate_fund",D10,$F$4)/100</f>
        <v>7.0056044835876009E-4</v>
      </c>
      <c r="G10" s="33">
        <f>[1]!thsiFinD("ths_adjustment_nvg_ratio_fund",$D10,G$2,G$3,101)/100</f>
        <v>-8.9928057553947005E-4</v>
      </c>
      <c r="H10" s="33">
        <f>[1]!thsiFinD("ths_adjustment_nvg_ratio_fund",$D10,H$2,H$3,101)/100</f>
        <v>6.3405797101449002E-3</v>
      </c>
      <c r="I10" s="65">
        <f>-[1]!thsiFinD("ths_max_retrace_rate_all_fund",$D10,$I$2,$I$3)/100</f>
        <v>-1.2357982858281999E-2</v>
      </c>
      <c r="J10" s="66">
        <f>[1]!thsiFinD("ths_annual_volatility_fund",D10,$I$2,$I$3,100,101)/100</f>
        <v>3.1887225802118002E-2</v>
      </c>
      <c r="K10" s="123">
        <f>[1]!thsiFinD("ths_sharp_fund",D10,$I$2,$I$3,100,101,100)</f>
        <v>-3.9000673711626001E-2</v>
      </c>
      <c r="L10" s="67">
        <f>[1]!thsiFinD("ths_calmar_ratio_fund",D10,$I$2,$I$3)</f>
        <v>-0.83255209653383</v>
      </c>
      <c r="N10" s="129" t="str">
        <f ca="1">[1]!thsiFinD("ths_nv_date_fund",D10,$N9)</f>
        <v>2026-08-06</v>
      </c>
    </row>
    <row r="11" spans="2:14" ht="20" customHeight="1">
      <c r="B11" s="156" t="s">
        <v>125</v>
      </c>
      <c r="C11" s="160" t="s">
        <v>126</v>
      </c>
      <c r="D11" s="28" t="s">
        <v>127</v>
      </c>
      <c r="E11" s="40" t="str">
        <f>[1]!thsiFinD("ths_fund_official_short_name_fund",D11)</f>
        <v>易方达如意盈安6个月持有混合发起式(FOF)A</v>
      </c>
      <c r="F11" s="29">
        <f>[1]!thsiFinD("ths_adjustment_nvg_rate_fund",D11,$F$4)/100</f>
        <v>4.9402232980933001E-4</v>
      </c>
      <c r="G11" s="29">
        <f>[1]!thsiFinD("ths_adjustment_nvg_ratio_fund",$D11,G$2,G$3,101)/100</f>
        <v>-8.5185547831196987E-3</v>
      </c>
      <c r="H11" s="29">
        <f>[1]!thsiFinD("ths_adjustment_nvg_ratio_fund",$D11,H$2,H$3,101)/100</f>
        <v>6.7607874328892001E-3</v>
      </c>
      <c r="I11" s="62">
        <f>-[1]!thsiFinD("ths_max_retrace_rate_all_fund",$D11,$I$2,$I$3)/100</f>
        <v>-2.2235225277940002E-2</v>
      </c>
      <c r="J11" s="63">
        <f>[1]!thsiFinD("ths_annual_volatility_fund",D11,$I$2,$I$3,100,101)/100</f>
        <v>5.8733756206441001E-2</v>
      </c>
      <c r="K11" s="122">
        <f>[1]!thsiFinD("ths_sharp_fund",D11,$I$2,$I$3,100,101,100)</f>
        <v>-3.4110590345546997E-2</v>
      </c>
      <c r="L11" s="64">
        <f>[1]!thsiFinD("ths_calmar_ratio_fund",D11,$I$2,$I$3)</f>
        <v>-1.0733787528078</v>
      </c>
      <c r="N11" s="129" t="str">
        <f ca="1">[1]!thsiFinD("ths_nv_date_fund",D11,$N10)</f>
        <v>2026-08-06</v>
      </c>
    </row>
    <row r="12" spans="2:14" ht="20" customHeight="1">
      <c r="B12" s="157"/>
      <c r="C12" s="145"/>
      <c r="D12" s="30" t="s">
        <v>128</v>
      </c>
      <c r="E12" s="39" t="str">
        <f>[1]!thsiFinD("ths_fund_official_short_name_fund",D12)</f>
        <v>易方达如意安诚六个月持有混合(FOF)A</v>
      </c>
      <c r="F12" s="31">
        <f>[1]!thsiFinD("ths_adjustment_nvg_rate_fund",D12,$F$4)/100</f>
        <v>3.5984162622625999E-4</v>
      </c>
      <c r="G12" s="31">
        <f>[1]!thsiFinD("ths_adjustment_nvg_ratio_fund",$D12,G$2,G$3,101)/100</f>
        <v>-1.0228399756246001E-2</v>
      </c>
      <c r="H12" s="31">
        <f>[1]!thsiFinD("ths_adjustment_nvg_ratio_fund",$D12,H$2,H$3,101)/100</f>
        <v>6.5170166649829997E-3</v>
      </c>
      <c r="I12" s="59">
        <f>-[1]!thsiFinD("ths_max_retrace_rate_all_fund",$D12,$I$2,$I$3)/100</f>
        <v>-2.3234627114233998E-2</v>
      </c>
      <c r="J12" s="60">
        <f>[1]!thsiFinD("ths_annual_volatility_fund",D12,$I$2,$I$3,100,101)/100</f>
        <v>5.7751632394049998E-2</v>
      </c>
      <c r="K12" s="121">
        <f>[1]!thsiFinD("ths_sharp_fund",D12,$I$2,$I$3,100,101,100)</f>
        <v>-5.0196078842333999E-2</v>
      </c>
      <c r="L12" s="61">
        <f>[1]!thsiFinD("ths_calmar_ratio_fund",D12,$I$2,$I$3)</f>
        <v>-1.6424456963513001</v>
      </c>
      <c r="N12" s="129" t="str">
        <f ca="1">[1]!thsiFinD("ths_nv_date_fund",D12,$N11)</f>
        <v>2026-08-06</v>
      </c>
    </row>
    <row r="13" spans="2:14" ht="18.5" customHeight="1">
      <c r="B13" s="163" t="s">
        <v>179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N13" s="129"/>
    </row>
    <row r="14" spans="2:14"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N14" s="129"/>
    </row>
    <row r="15" spans="2:14" ht="15" customHeight="1">
      <c r="B15" s="68"/>
    </row>
    <row r="16" spans="2:14" ht="16.5" customHeight="1"/>
    <row r="17" ht="16.5" customHeight="1"/>
    <row r="18" ht="16.5" customHeight="1"/>
    <row r="19" ht="16.5" customHeight="1"/>
  </sheetData>
  <mergeCells count="5">
    <mergeCell ref="B11:B12"/>
    <mergeCell ref="B6:B10"/>
    <mergeCell ref="C11:C12"/>
    <mergeCell ref="C6:C10"/>
    <mergeCell ref="B13:L14"/>
  </mergeCells>
  <phoneticPr fontId="13" type="noConversion"/>
  <conditionalFormatting sqref="G6:H12">
    <cfRule type="cellIs" dxfId="27" priority="5" operator="greaterThan">
      <formula>0</formula>
    </cfRule>
    <cfRule type="cellIs" dxfId="26" priority="6" operator="greaterThan">
      <formula>0.0016</formula>
    </cfRule>
  </conditionalFormatting>
  <conditionalFormatting sqref="F6:F12">
    <cfRule type="cellIs" dxfId="25" priority="1" operator="greaterThan">
      <formula>0</formula>
    </cfRule>
    <cfRule type="cellIs" dxfId="24" priority="2" operator="greaterThan">
      <formula>0.0016</formula>
    </cfRule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81BD"/>
  </sheetPr>
  <dimension ref="B1:S28"/>
  <sheetViews>
    <sheetView tabSelected="1" workbookViewId="0">
      <selection activeCell="F14" sqref="F14"/>
    </sheetView>
  </sheetViews>
  <sheetFormatPr defaultRowHeight="14"/>
  <cols>
    <col min="2" max="2" width="21.08984375" style="95" customWidth="1"/>
    <col min="3" max="3" width="14.1796875" style="95" customWidth="1"/>
    <col min="4" max="4" width="13.54296875" style="95" customWidth="1"/>
    <col min="5" max="5" width="12.26953125" style="95" hidden="1" customWidth="1"/>
    <col min="6" max="6" width="31.453125" style="95" customWidth="1"/>
    <col min="7" max="7" width="13.453125" style="126" customWidth="1"/>
    <col min="8" max="8" width="12.26953125" style="137" customWidth="1"/>
    <col min="9" max="9" width="15.36328125" style="95" customWidth="1"/>
    <col min="10" max="10" width="15.36328125" style="143" customWidth="1"/>
    <col min="11" max="11" width="12.453125" style="95" customWidth="1"/>
    <col min="12" max="12" width="11.36328125" style="95" customWidth="1"/>
    <col min="13" max="15" width="11" style="95" customWidth="1"/>
    <col min="17" max="17" width="11.6328125" customWidth="1"/>
    <col min="18" max="18" width="11.6328125" style="143" customWidth="1"/>
  </cols>
  <sheetData>
    <row r="1" spans="2:19">
      <c r="G1" s="126" t="s">
        <v>205</v>
      </c>
      <c r="H1" s="93">
        <f ca="1">WORKDAY(H2,-1)</f>
        <v>46241</v>
      </c>
      <c r="I1" s="93">
        <f>vs招行!G1</f>
        <v>46191</v>
      </c>
      <c r="J1" s="93">
        <v>46191</v>
      </c>
      <c r="K1" s="93">
        <f>vs招行!H1</f>
        <v>46234</v>
      </c>
      <c r="P1" t="s">
        <v>208</v>
      </c>
      <c r="Q1" t="s">
        <v>209</v>
      </c>
      <c r="R1" s="143" t="s">
        <v>217</v>
      </c>
      <c r="S1" t="s">
        <v>216</v>
      </c>
    </row>
    <row r="2" spans="2:19" ht="15.5" customHeight="1">
      <c r="B2" s="68"/>
      <c r="C2" s="139">
        <v>46203</v>
      </c>
      <c r="F2" s="93">
        <f ca="1">WORKDAY(TODAY(),-2)</f>
        <v>46241</v>
      </c>
      <c r="G2" s="140" t="str">
        <f ca="1">VLOOKUP(F2,'1090实盘净值'!A:B,2,0)</f>
        <v>0.98977590</v>
      </c>
      <c r="H2" s="93">
        <f ca="1">TODAY()-WEEKDAY(TODAY(),2)+1</f>
        <v>46244</v>
      </c>
      <c r="I2" s="93">
        <f>vs招行!G2</f>
        <v>46195</v>
      </c>
      <c r="J2" s="93">
        <v>46195</v>
      </c>
      <c r="K2" s="93">
        <f>vs招行!H2</f>
        <v>46237</v>
      </c>
      <c r="L2" s="93">
        <f>vs招行!I2</f>
        <v>46174</v>
      </c>
      <c r="O2" s="69"/>
      <c r="P2" s="137" t="str">
        <f ca="1">VLOOKUP(H1,'1090实盘净值'!A:B,2,0)</f>
        <v>0.98977590</v>
      </c>
      <c r="Q2" s="141">
        <v>1</v>
      </c>
      <c r="R2" s="141">
        <f ca="1">VLOOKUP(J1,'1090实盘净值'!A:B,2,0)</f>
        <v>1</v>
      </c>
      <c r="S2" s="141">
        <f ca="1">VLOOKUP(K1,'1090实盘净值'!A:B,2,0)</f>
        <v>0.97705801999999997</v>
      </c>
    </row>
    <row r="3" spans="2:19">
      <c r="G3" s="134" t="str">
        <f ca="1">VLOOKUP(F5,'1090实盘净值'!A:B,2,0)</f>
        <v>0.99185254</v>
      </c>
      <c r="H3" s="142">
        <f>K3</f>
        <v>46244</v>
      </c>
      <c r="I3" s="93">
        <f>K3</f>
        <v>46244</v>
      </c>
      <c r="J3" s="93">
        <v>46234</v>
      </c>
      <c r="K3" s="44">
        <v>46244</v>
      </c>
      <c r="L3" s="93">
        <f>K3</f>
        <v>46244</v>
      </c>
      <c r="P3" t="str">
        <f ca="1">VLOOKUP(H2,'1090实盘净值'!A:B,2,0)</f>
        <v>0.99185254</v>
      </c>
      <c r="Q3" s="141" t="str">
        <f ca="1">VLOOKUP(K3,'1090实盘净值'!A:B,2,0)</f>
        <v>0.99185254</v>
      </c>
      <c r="R3" s="141">
        <f ca="1">VLOOKUP(J3,'1090实盘净值'!A:B,2,0)</f>
        <v>0.97705801999999997</v>
      </c>
      <c r="S3" s="141" t="str">
        <f ca="1">VLOOKUP(K3,'1090实盘净值'!A:B,2,0)</f>
        <v>0.99185254</v>
      </c>
    </row>
    <row r="4" spans="2:19" s="143" customFormat="1">
      <c r="G4" s="134"/>
      <c r="H4" s="142"/>
      <c r="I4" s="93"/>
      <c r="J4" s="93"/>
      <c r="K4" s="44"/>
      <c r="L4" s="93"/>
      <c r="Q4" s="141"/>
      <c r="R4" s="141"/>
      <c r="S4" s="141"/>
    </row>
    <row r="5" spans="2:19" ht="32" customHeight="1">
      <c r="B5" s="70" t="s">
        <v>178</v>
      </c>
      <c r="C5" s="74" t="s">
        <v>129</v>
      </c>
      <c r="D5" s="72" t="s">
        <v>174</v>
      </c>
      <c r="E5" s="71" t="s">
        <v>17</v>
      </c>
      <c r="F5" s="133">
        <f ca="1">WORKDAY(TODAY(),-1)</f>
        <v>46244</v>
      </c>
      <c r="G5" s="133" t="s">
        <v>205</v>
      </c>
      <c r="H5" s="133" t="s">
        <v>206</v>
      </c>
      <c r="I5" s="131" t="s">
        <v>193</v>
      </c>
      <c r="J5" s="131" t="s">
        <v>256</v>
      </c>
      <c r="K5" s="71" t="s">
        <v>257</v>
      </c>
      <c r="L5" s="71" t="s">
        <v>67</v>
      </c>
      <c r="M5" s="71" t="s">
        <v>66</v>
      </c>
      <c r="N5" s="71" t="s">
        <v>81</v>
      </c>
      <c r="O5" s="71" t="s">
        <v>82</v>
      </c>
      <c r="Q5" s="131" t="str">
        <f>"上线以来（截止"&amp;TEXT($K$3,"m.d")&amp;"）"</f>
        <v>上线以来（截止8.10）</v>
      </c>
      <c r="R5" s="176"/>
    </row>
    <row r="6" spans="2:19" ht="24" customHeight="1">
      <c r="B6" s="125" t="s">
        <v>176</v>
      </c>
      <c r="C6" s="75">
        <v>0.1</v>
      </c>
      <c r="D6" s="124" t="s">
        <v>175</v>
      </c>
      <c r="E6" s="76"/>
      <c r="F6" s="119" t="s">
        <v>173</v>
      </c>
      <c r="G6" s="138">
        <f ca="1">G3/G2-1</f>
        <v>2.0980910931454044E-3</v>
      </c>
      <c r="H6" s="138">
        <f ca="1">P3/P2-1</f>
        <v>2.0980910931454044E-3</v>
      </c>
      <c r="I6" s="92">
        <f ca="1">Q3/Q2-1</f>
        <v>-8.1474599999999953E-3</v>
      </c>
      <c r="J6" s="92">
        <f ca="1">R3/R2-1</f>
        <v>-2.2941980000000028E-2</v>
      </c>
      <c r="K6" s="173">
        <f ca="1">S3/S2-1</f>
        <v>1.514190528828574E-2</v>
      </c>
      <c r="L6" s="77">
        <f>vs招行!I5</f>
        <v>-2.8644983003091151E-2</v>
      </c>
      <c r="M6" s="75">
        <f>vs招行!J5</f>
        <v>5.4286232152694014E-2</v>
      </c>
      <c r="N6" s="115">
        <f>vs招行!K5</f>
        <v>-1.2125278010011198E-2</v>
      </c>
      <c r="O6" s="78">
        <f>vs招行!L5</f>
        <v>-5.6589243499254191E-2</v>
      </c>
    </row>
    <row r="7" spans="2:19" ht="21" customHeight="1">
      <c r="B7" s="167" t="s">
        <v>177</v>
      </c>
      <c r="C7" s="80">
        <f>[1]!thsiFinD("ths_stock_mv_to_fanv_fund",$E7,$C$2)/100</f>
        <v>0.12115928146318</v>
      </c>
      <c r="D7" s="80">
        <f>[1]!thsiFinD("ths_cb_mv_to_fanv_fund",E7,$C$2)/100</f>
        <v>4.9000000000000002E-2</v>
      </c>
      <c r="E7" s="81" t="s">
        <v>195</v>
      </c>
      <c r="F7" s="81" t="str">
        <f>[1]!thsiFinD("ths_fund_official_short_name_fund",E7)</f>
        <v>易方达增强回报债券A</v>
      </c>
      <c r="G7" s="80">
        <f ca="1">[1]!thsiFinD("ths_adjustment_nvg_rate_fund",E7,$F$5)/100</f>
        <v>2.1321961478248997E-3</v>
      </c>
      <c r="H7" s="80">
        <f ca="1">[1]!thsiFinD("ths_adjustment_nvg_ratio_fund",$E7,H$2,H$3,101)/100</f>
        <v>2.1321961478249999E-3</v>
      </c>
      <c r="I7" s="88">
        <f>[1]!thsiFinD("ths_adjustment_nvg_ratio_fund",$E7,I$2,I$3,101)/100</f>
        <v>1.5118790473748001E-2</v>
      </c>
      <c r="J7" s="88">
        <f>[1]!thsiFinD("ths_adjustment_nvg_ratio_fund",$E7,J$2,J$3,101)/100</f>
        <v>1.4398848073949E-2</v>
      </c>
      <c r="K7" s="88">
        <f>[1]!thsiFinD("ths_adjustment_nvg_ratio_fund",$E7,K$2,K$3,101)/100</f>
        <v>7.097232032217001E-4</v>
      </c>
      <c r="L7" s="88">
        <f>-[1]!thsiFinD("ths_max_retrace_rate_all_fund",$E7,$L$2,$L$3)/100</f>
        <v>-1.0007147947818E-2</v>
      </c>
      <c r="M7" s="88">
        <f>[1]!thsiFinD("ths_annual_volatility_fund",E7,$L$2,$L$3,100,101)/100</f>
        <v>2.2428952351063E-2</v>
      </c>
      <c r="N7" s="116">
        <f>[1]!thsiFinD("ths_sharp_fund",E7,$L$2,$L$3,100,101,100)</f>
        <v>0.11242864260649001</v>
      </c>
      <c r="O7" s="89">
        <f>[1]!thsiFinD("ths_calmar_ratio_fund",E7,$L$2,$L$3)</f>
        <v>5.2599935011327004</v>
      </c>
    </row>
    <row r="8" spans="2:19" ht="21" customHeight="1">
      <c r="B8" s="167"/>
      <c r="C8" s="79">
        <f>[1]!thsiFinD("ths_stock_mv_to_fanv_fund",$E8,$C$2)/100</f>
        <v>0.15757628310713001</v>
      </c>
      <c r="D8" s="79">
        <f>[1]!thsiFinD("ths_cb_mv_to_fanv_fund",E8,$C$2)/100</f>
        <v>1.1000000000000001E-3</v>
      </c>
      <c r="E8" s="76" t="s">
        <v>131</v>
      </c>
      <c r="F8" s="76" t="str">
        <f>[1]!thsiFinD("ths_fund_official_short_name_fund",E8)</f>
        <v>安信稳健增值混合A</v>
      </c>
      <c r="G8" s="79">
        <f ca="1">[1]!thsiFinD("ths_adjustment_nvg_rate_fund",E8,$F$5)/100</f>
        <v>2.5815664805029E-3</v>
      </c>
      <c r="H8" s="79">
        <f ca="1">[1]!thsiFinD("ths_adjustment_nvg_ratio_fund",$E8,H$2,H$3,101)/100</f>
        <v>2.5815664805027999E-3</v>
      </c>
      <c r="I8" s="86">
        <f>[1]!thsiFinD("ths_adjustment_nvg_ratio_fund",$E8,I$2,I$3,101)/100</f>
        <v>1.4675635110484E-2</v>
      </c>
      <c r="J8" s="86">
        <f>[1]!thsiFinD("ths_adjustment_nvg_ratio_fund",$E8,J$2,J$3,101)/100</f>
        <v>1.3841792220353999E-2</v>
      </c>
      <c r="K8" s="86">
        <f>[1]!thsiFinD("ths_adjustment_nvg_ratio_fund",$E8,K$2,K$3,101)/100</f>
        <v>8.2245858922839999E-4</v>
      </c>
      <c r="L8" s="86">
        <f>-[1]!thsiFinD("ths_max_retrace_rate_all_fund",$E8,$L$2,$L$3)/100</f>
        <v>-2.0400329054297003E-2</v>
      </c>
      <c r="M8" s="86">
        <f>[1]!thsiFinD("ths_annual_volatility_fund",E8,$L$2,$L$3,100,101)/100</f>
        <v>3.4824287781284997E-2</v>
      </c>
      <c r="N8" s="117">
        <f>[1]!thsiFinD("ths_sharp_fund",E8,$L$2,$L$3,100,101,100)</f>
        <v>2.5806507866534999E-2</v>
      </c>
      <c r="O8" s="87">
        <f>[1]!thsiFinD("ths_calmar_ratio_fund",E8,$L$2,$L$3)</f>
        <v>1.2188880000872</v>
      </c>
    </row>
    <row r="9" spans="2:19" ht="21" customHeight="1">
      <c r="B9" s="167"/>
      <c r="C9" s="80">
        <f>[1]!thsiFinD("ths_stock_mv_to_fanv_fund",$E9,$C$2)/100</f>
        <v>0.14024614410384001</v>
      </c>
      <c r="D9" s="80">
        <f>[1]!thsiFinD("ths_cb_mv_to_fanv_fund",E9,$C$2)/100</f>
        <v>0</v>
      </c>
      <c r="E9" s="94" t="s">
        <v>130</v>
      </c>
      <c r="F9" s="81" t="str">
        <f>[1]!thsiFinD("ths_fund_official_short_name_fund",E9)</f>
        <v>华泰柏瑞鼎利混合A</v>
      </c>
      <c r="G9" s="80">
        <f ca="1">[1]!thsiFinD("ths_adjustment_nvg_rate_fund",E9,$F$5)/100</f>
        <v>2.7137042252893999E-3</v>
      </c>
      <c r="H9" s="80">
        <f ca="1">[1]!thsiFinD("ths_adjustment_nvg_ratio_fund",$E9,H$2,H$3,101)/100</f>
        <v>2.7137042252895001E-3</v>
      </c>
      <c r="I9" s="88">
        <f>[1]!thsiFinD("ths_adjustment_nvg_ratio_fund",$E9,I$2,I$3,101)/100</f>
        <v>5.5724745726391002E-3</v>
      </c>
      <c r="J9" s="88">
        <f>[1]!thsiFinD("ths_adjustment_nvg_ratio_fund",$E9,J$2,J$3,101)/100</f>
        <v>-1.1663318943883E-3</v>
      </c>
      <c r="K9" s="88">
        <f>[1]!thsiFinD("ths_adjustment_nvg_ratio_fund",$E9,K$2,K$3,101)/100</f>
        <v>6.7466753296454999E-3</v>
      </c>
      <c r="L9" s="88">
        <f>-[1]!thsiFinD("ths_max_retrace_rate_all_fund",$E9,$L$2,$L$3)/100</f>
        <v>-1.9559902219615E-2</v>
      </c>
      <c r="M9" s="88">
        <f>[1]!thsiFinD("ths_annual_volatility_fund",E9,$L$2,$L$3,100,101)/100</f>
        <v>3.4177385692160001E-2</v>
      </c>
      <c r="N9" s="116">
        <f>[1]!thsiFinD("ths_sharp_fund",E9,$L$2,$L$3,100,101,100)</f>
        <v>-2.8082166274051999E-2</v>
      </c>
      <c r="O9" s="89">
        <f>[1]!thsiFinD("ths_calmar_ratio_fund",E9,$L$2,$L$3)</f>
        <v>-0.28694169080255</v>
      </c>
    </row>
    <row r="10" spans="2:19" s="136" customFormat="1" ht="21" customHeight="1">
      <c r="B10" s="167"/>
      <c r="C10" s="79">
        <f>[1]!thsiFinD("ths_stock_mv_to_fanv_fund",$E10,$C$2)/100</f>
        <v>0.17127468926608</v>
      </c>
      <c r="D10" s="79">
        <f>[1]!thsiFinD("ths_cb_mv_to_fanv_fund",E10,$C$2)/100</f>
        <v>5.8700000000000002E-2</v>
      </c>
      <c r="E10" s="76" t="s">
        <v>132</v>
      </c>
      <c r="F10" s="76" t="str">
        <f>[1]!thsiFinD("ths_fund_official_short_name_fund",E10)</f>
        <v>嘉实稳固收益债券A</v>
      </c>
      <c r="G10" s="79">
        <f ca="1">[1]!thsiFinD("ths_adjustment_nvg_rate_fund",E10,$F$5)/100</f>
        <v>4.4584954754131999E-3</v>
      </c>
      <c r="H10" s="79">
        <f ca="1">[1]!thsiFinD("ths_adjustment_nvg_ratio_fund",$E10,H$2,H$3,101)/100</f>
        <v>4.4584954754131999E-3</v>
      </c>
      <c r="I10" s="86">
        <f>[1]!thsiFinD("ths_adjustment_nvg_ratio_fund",$E10,I$2,I$3,101)/100</f>
        <v>1.0437902605246002E-2</v>
      </c>
      <c r="J10" s="86">
        <f>[1]!thsiFinD("ths_adjustment_nvg_ratio_fund",$E10,J$2,J$3,101)/100</f>
        <v>-7.5837886377539002E-3</v>
      </c>
      <c r="K10" s="86">
        <f>[1]!thsiFinD("ths_adjustment_nvg_ratio_fund",$E10,K$2,K$3,101)/100</f>
        <v>1.8159408357772001E-2</v>
      </c>
      <c r="L10" s="86">
        <f>-[1]!thsiFinD("ths_max_retrace_rate_all_fund",$E10,$L$2,$L$3)/100</f>
        <v>-2.2026787190118E-2</v>
      </c>
      <c r="M10" s="86">
        <f>[1]!thsiFinD("ths_annual_volatility_fund",E10,$L$2,$L$3,100,101)/100</f>
        <v>5.8374513870786002E-2</v>
      </c>
      <c r="N10" s="117">
        <f>[1]!thsiFinD("ths_sharp_fund",E10,$L$2,$L$3,100,101,100)</f>
        <v>4.5168293309579999E-2</v>
      </c>
      <c r="O10" s="87">
        <f>[1]!thsiFinD("ths_calmar_ratio_fund",E10,$L$2,$L$3)</f>
        <v>2.4091110060131999</v>
      </c>
      <c r="R10" s="143"/>
    </row>
    <row r="11" spans="2:19" s="136" customFormat="1" ht="21" customHeight="1">
      <c r="B11" s="167"/>
      <c r="C11" s="80">
        <f>[1]!thsiFinD("ths_stock_mv_to_fanv_fund",$E11,$C$2)/100</f>
        <v>0.14695483536465001</v>
      </c>
      <c r="D11" s="80">
        <f>[1]!thsiFinD("ths_cb_mv_to_fanv_fund",E11,$C$2)/100</f>
        <v>5.5199999999999999E-2</v>
      </c>
      <c r="E11" s="94" t="s">
        <v>196</v>
      </c>
      <c r="F11" s="81" t="str">
        <f>[1]!thsiFinD("ths_fund_official_short_name_fund",E11)</f>
        <v>景顺长城景颐双利债券A类</v>
      </c>
      <c r="G11" s="80">
        <f ca="1">[1]!thsiFinD("ths_adjustment_nvg_rate_fund",E11,$F$5)/100</f>
        <v>1.5822784583364E-3</v>
      </c>
      <c r="H11" s="80">
        <f ca="1">[1]!thsiFinD("ths_adjustment_nvg_ratio_fund",$E11,H$2,H$3,101)/100</f>
        <v>1.5822784583363E-3</v>
      </c>
      <c r="I11" s="88">
        <f>[1]!thsiFinD("ths_adjustment_nvg_ratio_fund",$E11,I$2,I$3,101)/100</f>
        <v>-4.1950707900776001E-3</v>
      </c>
      <c r="J11" s="88">
        <f>[1]!thsiFinD("ths_adjustment_nvg_ratio_fund",$E11,J$2,J$3,101)/100</f>
        <v>-1.2060828499619002E-2</v>
      </c>
      <c r="K11" s="88">
        <f>[1]!thsiFinD("ths_adjustment_nvg_ratio_fund",$E11,K$2,K$3,101)/100</f>
        <v>7.9617834138471996E-3</v>
      </c>
      <c r="L11" s="88">
        <f>-[1]!thsiFinD("ths_max_retrace_rate_all_fund",$E11,$L$2,$L$3)/100</f>
        <v>-2.4530271409826998E-2</v>
      </c>
      <c r="M11" s="88">
        <f>[1]!thsiFinD("ths_annual_volatility_fund",E11,$L$2,$L$3,100,101)/100</f>
        <v>5.5741266480998995E-2</v>
      </c>
      <c r="N11" s="116">
        <f>[1]!thsiFinD("ths_sharp_fund",E11,$L$2,$L$3,100,101,100)</f>
        <v>-6.9407524650762003E-3</v>
      </c>
      <c r="O11" s="89">
        <f>[1]!thsiFinD("ths_calmar_ratio_fund",E11,$L$2,$L$3)</f>
        <v>0.11053751234483</v>
      </c>
      <c r="R11" s="143"/>
    </row>
    <row r="12" spans="2:19" s="136" customFormat="1" ht="21" customHeight="1">
      <c r="B12" s="167"/>
      <c r="C12" s="79">
        <f>[1]!thsiFinD("ths_stock_mv_to_fanv_fund",$E12,$C$2)/100</f>
        <v>0.19870188131222</v>
      </c>
      <c r="D12" s="79">
        <f>[1]!thsiFinD("ths_cb_mv_to_fanv_fund",E12,$C$2)/100</f>
        <v>1.77E-2</v>
      </c>
      <c r="E12" s="76" t="s">
        <v>197</v>
      </c>
      <c r="F12" s="76" t="str">
        <f>[1]!thsiFinD("ths_fund_official_short_name_fund",E12)</f>
        <v>宏利集利债券A</v>
      </c>
      <c r="G12" s="79">
        <f ca="1">[1]!thsiFinD("ths_adjustment_nvg_rate_fund",E12,$F$5)/100</f>
        <v>-1.0168506533582999E-3</v>
      </c>
      <c r="H12" s="79">
        <f ca="1">[1]!thsiFinD("ths_adjustment_nvg_ratio_fund",$E12,H$2,H$3,101)/100</f>
        <v>-1.0168506533582999E-3</v>
      </c>
      <c r="I12" s="86">
        <f>[1]!thsiFinD("ths_adjustment_nvg_ratio_fund",$E12,I$2,I$3,101)/100</f>
        <v>3.4289049444837E-3</v>
      </c>
      <c r="J12" s="86">
        <f>[1]!thsiFinD("ths_adjustment_nvg_ratio_fund",$E12,J$2,J$3,101)/100</f>
        <v>-1.5612460765186E-2</v>
      </c>
      <c r="K12" s="86">
        <f>[1]!thsiFinD("ths_adjustment_nvg_ratio_fund",$E12,K$2,K$3,101)/100</f>
        <v>1.9343363208833998E-2</v>
      </c>
      <c r="L12" s="86">
        <f>-[1]!thsiFinD("ths_max_retrace_rate_all_fund",$E12,$L$2,$L$3)/100</f>
        <v>-3.9228341946104001E-2</v>
      </c>
      <c r="M12" s="86">
        <f>[1]!thsiFinD("ths_annual_volatility_fund",E12,$L$2,$L$3,100,101)/100</f>
        <v>0.11131753728176</v>
      </c>
      <c r="N12" s="117">
        <f>[1]!thsiFinD("ths_sharp_fund",E12,$L$2,$L$3,100,101,100)</f>
        <v>4.7839559115683002E-2</v>
      </c>
      <c r="O12" s="87">
        <f>[1]!thsiFinD("ths_calmar_ratio_fund",E12,$L$2,$L$3)</f>
        <v>2.4251507914452999</v>
      </c>
      <c r="R12" s="143"/>
    </row>
    <row r="13" spans="2:19" s="136" customFormat="1" ht="21" customHeight="1">
      <c r="B13" s="167"/>
      <c r="C13" s="80">
        <f>[1]!thsiFinD("ths_stock_mv_to_fanv_fund",$E13,$C$2)/100</f>
        <v>0.15196268789490999</v>
      </c>
      <c r="D13" s="80">
        <f>[1]!thsiFinD("ths_cb_mv_to_fanv_fund",E13,$C$2)/100</f>
        <v>0</v>
      </c>
      <c r="E13" s="94" t="s">
        <v>133</v>
      </c>
      <c r="F13" s="81" t="str">
        <f>[1]!thsiFinD("ths_fund_official_short_name_fund",E13)</f>
        <v>华商利欣回报债券A</v>
      </c>
      <c r="G13" s="80">
        <f ca="1">[1]!thsiFinD("ths_adjustment_nvg_rate_fund",E13,$F$5)/100</f>
        <v>-2.0390557603324998E-3</v>
      </c>
      <c r="H13" s="80">
        <f ca="1">[1]!thsiFinD("ths_adjustment_nvg_ratio_fund",$E13,H$2,H$3,101)/100</f>
        <v>-2.0390557603324998E-3</v>
      </c>
      <c r="I13" s="88">
        <f>[1]!thsiFinD("ths_adjustment_nvg_ratio_fund",$E13,I$2,I$3,101)/100</f>
        <v>8.3201267828842997E-3</v>
      </c>
      <c r="J13" s="88">
        <f>[1]!thsiFinD("ths_adjustment_nvg_ratio_fund",$E13,J$2,J$3,101)/100</f>
        <v>-1.5689381933438998E-2</v>
      </c>
      <c r="K13" s="88">
        <f>[1]!thsiFinD("ths_adjustment_nvg_ratio_fund",$E13,K$2,K$3,101)/100</f>
        <v>2.4392207374013999E-2</v>
      </c>
      <c r="L13" s="88">
        <f>-[1]!thsiFinD("ths_max_retrace_rate_all_fund",$E13,$L$2,$L$3)/100</f>
        <v>-4.6444909668915006E-2</v>
      </c>
      <c r="M13" s="88">
        <f>[1]!thsiFinD("ths_annual_volatility_fund",E13,$L$2,$L$3,100,101)/100</f>
        <v>9.6696155531217992E-2</v>
      </c>
      <c r="N13" s="116">
        <f>[1]!thsiFinD("ths_sharp_fund",E13,$L$2,$L$3,100,101,100)</f>
        <v>6.7739603556706995E-2</v>
      </c>
      <c r="O13" s="89">
        <f>[1]!thsiFinD("ths_calmar_ratio_fund",E13,$L$2,$L$3)</f>
        <v>2.5593190576690001</v>
      </c>
      <c r="R13" s="143"/>
    </row>
    <row r="14" spans="2:19" s="136" customFormat="1" ht="21" customHeight="1">
      <c r="B14" s="167"/>
      <c r="C14" s="79">
        <f>[1]!thsiFinD("ths_stock_mv_to_fanv_fund",$E14,$C$2)/100</f>
        <v>0.1798811445537</v>
      </c>
      <c r="D14" s="79">
        <f>[1]!thsiFinD("ths_cb_mv_to_fanv_fund",E14,$C$2)/100</f>
        <v>0</v>
      </c>
      <c r="E14" s="76" t="s">
        <v>198</v>
      </c>
      <c r="F14" s="76" t="str">
        <f>[1]!thsiFinD("ths_fund_official_short_name_fund",E14)</f>
        <v>金鹰恒润债券发起式A</v>
      </c>
      <c r="G14" s="79">
        <f ca="1">[1]!thsiFinD("ths_adjustment_nvg_rate_fund",E14,$F$5)/100</f>
        <v>8.7138379410900001E-4</v>
      </c>
      <c r="H14" s="79">
        <f ca="1">[1]!thsiFinD("ths_adjustment_nvg_ratio_fund",$E14,H$2,H$3,101)/100</f>
        <v>8.7138379410890004E-4</v>
      </c>
      <c r="I14" s="86">
        <f>[1]!thsiFinD("ths_adjustment_nvg_ratio_fund",$E14,I$2,I$3,101)/100</f>
        <v>-2.7845958487495999E-2</v>
      </c>
      <c r="J14" s="86">
        <f>[1]!thsiFinD("ths_adjustment_nvg_ratio_fund",$E14,J$2,J$3,101)/100</f>
        <v>-3.6732966579069999E-2</v>
      </c>
      <c r="K14" s="86">
        <f>[1]!thsiFinD("ths_adjustment_nvg_ratio_fund",$E14,K$2,K$3,101)/100</f>
        <v>9.2259028734870997E-3</v>
      </c>
      <c r="L14" s="86">
        <f>-[1]!thsiFinD("ths_max_retrace_rate_all_fund",$E14,$L$2,$L$3)/100</f>
        <v>-4.9761246558316E-2</v>
      </c>
      <c r="M14" s="86">
        <f>[1]!thsiFinD("ths_annual_volatility_fund",E14,$L$2,$L$3,100,101)/100</f>
        <v>7.9448625610729004E-2</v>
      </c>
      <c r="N14" s="117">
        <f>[1]!thsiFinD("ths_sharp_fund",E14,$L$2,$L$3,100,101,100)</f>
        <v>-4.9135765822533997E-2</v>
      </c>
      <c r="O14" s="87">
        <f>[1]!thsiFinD("ths_calmar_ratio_fund",E14,$L$2,$L$3)</f>
        <v>-1.0961031934245</v>
      </c>
      <c r="R14" s="143"/>
    </row>
    <row r="15" spans="2:19" s="136" customFormat="1" ht="21" customHeight="1">
      <c r="B15" s="167"/>
      <c r="C15" s="80">
        <f>[1]!thsiFinD("ths_stock_mv_to_fanv_fund",$E15,$C$2)/100</f>
        <v>0.17522978692032001</v>
      </c>
      <c r="D15" s="80">
        <f>[1]!thsiFinD("ths_cb_mv_to_fanv_fund",E15,$C$2)/100</f>
        <v>0</v>
      </c>
      <c r="E15" s="81" t="s">
        <v>199</v>
      </c>
      <c r="F15" s="81" t="str">
        <f>[1]!thsiFinD("ths_fund_official_short_name_fund",E15)</f>
        <v>永赢稳健增强债券A</v>
      </c>
      <c r="G15" s="80">
        <f ca="1">[1]!thsiFinD("ths_adjustment_nvg_rate_fund",E15,$F$5)/100</f>
        <v>-2.4618414574096003E-4</v>
      </c>
      <c r="H15" s="80">
        <f ca="1">[1]!thsiFinD("ths_adjustment_nvg_ratio_fund",$E15,H$2,H$3,101)/100</f>
        <v>-2.4618414574099001E-4</v>
      </c>
      <c r="I15" s="88">
        <f>[1]!thsiFinD("ths_adjustment_nvg_ratio_fund",$E15,I$2,I$3,101)/100</f>
        <v>-2.426717924075E-2</v>
      </c>
      <c r="J15" s="88">
        <f>[1]!thsiFinD("ths_adjustment_nvg_ratio_fund",$E15,J$2,J$3,101)/100</f>
        <v>-3.4358481499278996E-2</v>
      </c>
      <c r="K15" s="88">
        <f>[1]!thsiFinD("ths_adjustment_nvg_ratio_fund",$E15,K$2,K$3,101)/100</f>
        <v>1.0450360786265E-2</v>
      </c>
      <c r="L15" s="88">
        <f>-[1]!thsiFinD("ths_max_retrace_rate_all_fund",$E15,$L$2,$L$3)/100</f>
        <v>-4.5758395670858001E-2</v>
      </c>
      <c r="M15" s="88">
        <f>[1]!thsiFinD("ths_annual_volatility_fund",E15,$L$2,$L$3,100,101)/100</f>
        <v>8.8104618983615005E-2</v>
      </c>
      <c r="N15" s="116">
        <f>[1]!thsiFinD("ths_sharp_fund",E15,$L$2,$L$3,100,101,100)</f>
        <v>-5.7855499919858999E-2</v>
      </c>
      <c r="O15" s="89">
        <f>[1]!thsiFinD("ths_calmar_ratio_fund",E15,$L$2,$L$3)</f>
        <v>-1.6040167497038</v>
      </c>
      <c r="R15" s="143"/>
    </row>
    <row r="16" spans="2:19" s="136" customFormat="1" ht="21" customHeight="1">
      <c r="B16" s="167"/>
      <c r="C16" s="83">
        <f>[1]!thsiFinD("ths_stock_mv_to_fanv_fund",$E16,$C$2)/100</f>
        <v>0.18165670029314998</v>
      </c>
      <c r="D16" s="83">
        <f>[1]!thsiFinD("ths_cb_mv_to_fanv_fund",E16,$C$2)/100</f>
        <v>5.4600000000000003E-2</v>
      </c>
      <c r="E16" s="84" t="s">
        <v>200</v>
      </c>
      <c r="F16" s="84" t="str">
        <f>[1]!thsiFinD("ths_fund_official_short_name_fund",E16)</f>
        <v>中欧双利债券A</v>
      </c>
      <c r="G16" s="83">
        <f ca="1">[1]!thsiFinD("ths_adjustment_nvg_rate_fund",E16,$F$5)/100</f>
        <v>-2.4114418637824998E-3</v>
      </c>
      <c r="H16" s="83">
        <f ca="1">[1]!thsiFinD("ths_adjustment_nvg_ratio_fund",$E16,H$2,H$3,101)/100</f>
        <v>-2.4114418637824998E-3</v>
      </c>
      <c r="I16" s="90">
        <f>[1]!thsiFinD("ths_adjustment_nvg_ratio_fund",$E16,I$2,I$3,101)/100</f>
        <v>-2.0333170006311997E-2</v>
      </c>
      <c r="J16" s="90">
        <f>[1]!thsiFinD("ths_adjustment_nvg_ratio_fund",$E16,J$2,J$3,101)/100</f>
        <v>-3.8134901192813001E-2</v>
      </c>
      <c r="K16" s="90">
        <f>[1]!thsiFinD("ths_adjustment_nvg_ratio_fund",$E16,K$2,K$3,101)/100</f>
        <v>1.8507513380595E-2</v>
      </c>
      <c r="L16" s="90">
        <f>-[1]!thsiFinD("ths_max_retrace_rate_all_fund",$E16,$L$2,$L$3)/100</f>
        <v>-5.0748210841775998E-2</v>
      </c>
      <c r="M16" s="90">
        <f>[1]!thsiFinD("ths_annual_volatility_fund",E16,$L$2,$L$3,100,101)/100</f>
        <v>9.1296033179978003E-2</v>
      </c>
      <c r="N16" s="118">
        <f>[1]!thsiFinD("ths_sharp_fund",E16,$L$2,$L$3,100,101,100)</f>
        <v>-6.3810974578524998E-2</v>
      </c>
      <c r="O16" s="91">
        <f>[1]!thsiFinD("ths_calmar_ratio_fund",E16,$L$2,$L$3)</f>
        <v>-1.66655370647</v>
      </c>
      <c r="R16" s="143"/>
    </row>
    <row r="17" spans="2:18" s="136" customFormat="1" ht="21" customHeight="1">
      <c r="B17" s="167"/>
      <c r="C17" s="80">
        <f>[1]!thsiFinD("ths_stock_mv_to_fanv_fund",$E17,$C$2)/100</f>
        <v>0.16691487926770002</v>
      </c>
      <c r="D17" s="80">
        <f>[1]!thsiFinD("ths_cb_mv_to_fanv_fund",E17,$C$2)/100</f>
        <v>2.12E-2</v>
      </c>
      <c r="E17" s="94" t="s">
        <v>201</v>
      </c>
      <c r="F17" s="81" t="str">
        <f>[1]!thsiFinD("ths_fund_official_short_name_fund",E17)</f>
        <v>易方达丰和债券A</v>
      </c>
      <c r="G17" s="80">
        <f ca="1">[1]!thsiFinD("ths_adjustment_nvg_rate_fund",E17,$F$5)/100</f>
        <v>-4.7886986927345998E-3</v>
      </c>
      <c r="H17" s="80">
        <f ca="1">[1]!thsiFinD("ths_adjustment_nvg_ratio_fund",$E17,H$2,H$3,101)/100</f>
        <v>-4.7886986927345998E-3</v>
      </c>
      <c r="I17" s="88">
        <f>[1]!thsiFinD("ths_adjustment_nvg_ratio_fund",$E17,I$2,I$3,101)/100</f>
        <v>-2.8344339911496E-2</v>
      </c>
      <c r="J17" s="88">
        <f>[1]!thsiFinD("ths_adjustment_nvg_ratio_fund",$E17,J$2,J$3,101)/100</f>
        <v>-4.7922389133732007E-2</v>
      </c>
      <c r="K17" s="88">
        <f>[1]!thsiFinD("ths_adjustment_nvg_ratio_fund",$E17,K$2,K$3,101)/100</f>
        <v>2.0563501335171999E-2</v>
      </c>
      <c r="L17" s="88">
        <f>-[1]!thsiFinD("ths_max_retrace_rate_all_fund",$E17,$L$2,$L$3)/100</f>
        <v>-7.0577399089732998E-2</v>
      </c>
      <c r="M17" s="88">
        <f>[1]!thsiFinD("ths_annual_volatility_fund",E17,$L$2,$L$3,100,101)/100</f>
        <v>0.11837256382231001</v>
      </c>
      <c r="N17" s="116">
        <f>[1]!thsiFinD("ths_sharp_fund",E17,$L$2,$L$3,100,101,100)</f>
        <v>-1.04811087227E-2</v>
      </c>
      <c r="O17" s="89">
        <f>[1]!thsiFinD("ths_calmar_ratio_fund",E17,$L$2,$L$3)</f>
        <v>-0.23423711019459001</v>
      </c>
      <c r="R17" s="143"/>
    </row>
    <row r="18" spans="2:18" s="136" customFormat="1" ht="21" customHeight="1">
      <c r="B18" s="167"/>
      <c r="C18" s="83">
        <f>[1]!thsiFinD("ths_stock_mv_to_fanv_fund",$E18,$C$2)/100</f>
        <v>0.18988203005543</v>
      </c>
      <c r="D18" s="83">
        <f>[1]!thsiFinD("ths_cb_mv_to_fanv_fund",E18,$C$2)/100</f>
        <v>6.4399999999999999E-2</v>
      </c>
      <c r="E18" s="84" t="s">
        <v>202</v>
      </c>
      <c r="F18" s="84" t="str">
        <f>[1]!thsiFinD("ths_fund_official_short_name_fund",E18)</f>
        <v>鹏华双债加利债券A</v>
      </c>
      <c r="G18" s="83">
        <f ca="1">[1]!thsiFinD("ths_adjustment_nvg_rate_fund",E18,$F$5)/100</f>
        <v>-4.0814476739004001E-4</v>
      </c>
      <c r="H18" s="83">
        <f ca="1">[1]!thsiFinD("ths_adjustment_nvg_ratio_fund",$E18,H$2,H$3,101)/100</f>
        <v>-4.0814476739002998E-4</v>
      </c>
      <c r="I18" s="90">
        <f>[1]!thsiFinD("ths_adjustment_nvg_ratio_fund",$E18,I$2,I$3,101)/100</f>
        <v>-2.6370422715104001E-2</v>
      </c>
      <c r="J18" s="90">
        <f>[1]!thsiFinD("ths_adjustment_nvg_ratio_fund",$E18,J$2,J$3,101)/100</f>
        <v>-4.5231679836760998E-2</v>
      </c>
      <c r="K18" s="90">
        <f>[1]!thsiFinD("ths_adjustment_nvg_ratio_fund",$E18,K$2,K$3,101)/100</f>
        <v>1.9754799906256001E-2</v>
      </c>
      <c r="L18" s="90">
        <f>-[1]!thsiFinD("ths_max_retrace_rate_all_fund",$E18,$L$2,$L$3)/100</f>
        <v>-6.0905709922503999E-2</v>
      </c>
      <c r="M18" s="90">
        <f>[1]!thsiFinD("ths_annual_volatility_fund",E18,$L$2,$L$3,100,101)/100</f>
        <v>0.10634192356892999</v>
      </c>
      <c r="N18" s="118">
        <f>[1]!thsiFinD("ths_sharp_fund",E18,$L$2,$L$3,100,101,100)</f>
        <v>-2.6461825581150001E-2</v>
      </c>
      <c r="O18" s="91">
        <f>[1]!thsiFinD("ths_calmar_ratio_fund",E18,$L$2,$L$3)</f>
        <v>-0.65775195925262997</v>
      </c>
      <c r="R18" s="143"/>
    </row>
    <row r="19" spans="2:18" ht="21" customHeight="1">
      <c r="B19" s="167"/>
      <c r="C19" s="80">
        <f>[1]!thsiFinD("ths_stock_mv_to_fanv_fund",$E19,$C$2)/100</f>
        <v>0.18120794816170999</v>
      </c>
      <c r="D19" s="80">
        <f>[1]!thsiFinD("ths_cb_mv_to_fanv_fund",E19,$C$2)/100</f>
        <v>0</v>
      </c>
      <c r="E19" s="94" t="s">
        <v>203</v>
      </c>
      <c r="F19" s="81" t="str">
        <f>[1]!thsiFinD("ths_fund_official_short_name_fund",E19)</f>
        <v>汇添富多元收益债券A</v>
      </c>
      <c r="G19" s="80">
        <f ca="1">[1]!thsiFinD("ths_adjustment_nvg_rate_fund",E19,$F$5)/100</f>
        <v>1.0659560213844E-3</v>
      </c>
      <c r="H19" s="80">
        <f ca="1">[1]!thsiFinD("ths_adjustment_nvg_ratio_fund",$E19,H$2,H$3,101)/100</f>
        <v>1.0659560213844E-3</v>
      </c>
      <c r="I19" s="88">
        <f>[1]!thsiFinD("ths_adjustment_nvg_ratio_fund",$E19,I$2,I$3,101)/100</f>
        <v>-3.7288569969830002E-2</v>
      </c>
      <c r="J19" s="88">
        <f>[1]!thsiFinD("ths_adjustment_nvg_ratio_fund",$E19,J$2,J$3,101)/100</f>
        <v>-4.747565352152E-2</v>
      </c>
      <c r="K19" s="88">
        <f>[1]!thsiFinD("ths_adjustment_nvg_ratio_fund",$E19,K$2,K$3,101)/100</f>
        <v>1.0694827475383998E-2</v>
      </c>
      <c r="L19" s="88">
        <f>-[1]!thsiFinD("ths_max_retrace_rate_all_fund",$E19,$L$2,$L$3)/100</f>
        <v>-6.6198786055969003E-2</v>
      </c>
      <c r="M19" s="88">
        <f>[1]!thsiFinD("ths_annual_volatility_fund",E19,$L$2,$L$3,100,101)/100</f>
        <v>0.10731320450498</v>
      </c>
      <c r="N19" s="116">
        <f>[1]!thsiFinD("ths_sharp_fund",E19,$L$2,$L$3,100,101,100)</f>
        <v>-1.6423717541054001E-2</v>
      </c>
      <c r="O19" s="89">
        <f>[1]!thsiFinD("ths_calmar_ratio_fund",E19,$L$2,$L$3)</f>
        <v>-0.35665755670948002</v>
      </c>
    </row>
    <row r="20" spans="2:18" ht="21" customHeight="1">
      <c r="B20" s="167"/>
      <c r="C20" s="83">
        <f>[1]!thsiFinD("ths_stock_mv_to_fanv_fund",$E20,$C$2)/100</f>
        <v>0.20038170106765002</v>
      </c>
      <c r="D20" s="83">
        <f>[1]!thsiFinD("ths_cb_mv_to_fanv_fund",E20,$C$2)/100</f>
        <v>0.1094</v>
      </c>
      <c r="E20" s="132" t="s">
        <v>204</v>
      </c>
      <c r="F20" s="84" t="str">
        <f>[1]!thsiFinD("ths_fund_official_short_name_fund",E20)</f>
        <v>嘉实多利收益债券A</v>
      </c>
      <c r="G20" s="83">
        <f ca="1">[1]!thsiFinD("ths_adjustment_nvg_rate_fund",E20,$F$5)/100</f>
        <v>-6.8688060362830994E-4</v>
      </c>
      <c r="H20" s="83">
        <f ca="1">[1]!thsiFinD("ths_adjustment_nvg_ratio_fund",$E20,H$2,H$3,101)/100</f>
        <v>-6.8688060362834995E-4</v>
      </c>
      <c r="I20" s="90">
        <f>[1]!thsiFinD("ths_adjustment_nvg_ratio_fund",$E20,I$2,I$3,101)/100</f>
        <v>-3.7974683566667999E-2</v>
      </c>
      <c r="J20" s="90">
        <f>[1]!thsiFinD("ths_adjustment_nvg_ratio_fund",$E20,J$2,J$3,101)/100</f>
        <v>-6.0079350128212999E-2</v>
      </c>
      <c r="K20" s="90">
        <f>[1]!thsiFinD("ths_adjustment_nvg_ratio_fund",$E20,K$2,K$3,101)/100</f>
        <v>2.3517587962942E-2</v>
      </c>
      <c r="L20" s="90">
        <f>-[1]!thsiFinD("ths_max_retrace_rate_all_fund",$E20,$L$2,$L$3)/100</f>
        <v>-7.9686479412252001E-2</v>
      </c>
      <c r="M20" s="90">
        <f>[1]!thsiFinD("ths_annual_volatility_fund",E20,$L$2,$L$3,100,101)/100</f>
        <v>0.15728833178358001</v>
      </c>
      <c r="N20" s="118">
        <f>[1]!thsiFinD("ths_sharp_fund",E20,$L$2,$L$3,100,101,100)</f>
        <v>-1.0672061569977E-2</v>
      </c>
      <c r="O20" s="91">
        <f>[1]!thsiFinD("ths_calmar_ratio_fund",E20,$L$2,$L$3)</f>
        <v>-0.36107838272595999</v>
      </c>
    </row>
    <row r="21" spans="2:18" ht="21" customHeight="1">
      <c r="B21" s="167"/>
      <c r="C21" s="80">
        <f>[1]!thsiFinD("ths_stock_mv_to_fanv_fund",$E21,$C$2)/100</f>
        <v>0.20399724241552</v>
      </c>
      <c r="D21" s="80">
        <f>[1]!thsiFinD("ths_cb_mv_to_fanv_fund",E21,$C$2)/100</f>
        <v>7.7899999999999997E-2</v>
      </c>
      <c r="E21" s="94" t="s">
        <v>134</v>
      </c>
      <c r="F21" s="81" t="str">
        <f>[1]!thsiFinD("ths_fund_official_short_name_fund",E21)</f>
        <v>景顺长城景颐丰利债券A类</v>
      </c>
      <c r="G21" s="80">
        <f ca="1">[1]!thsiFinD("ths_adjustment_nvg_rate_fund",E21,$F$5)/100</f>
        <v>-3.4807034781174999E-3</v>
      </c>
      <c r="H21" s="80">
        <f ca="1">[1]!thsiFinD("ths_adjustment_nvg_ratio_fund",$E21,H$2,H$3,101)/100</f>
        <v>-3.4807034781174002E-3</v>
      </c>
      <c r="I21" s="88">
        <f>[1]!thsiFinD("ths_adjustment_nvg_ratio_fund",$E21,I$2,I$3,101)/100</f>
        <v>-4.7065693455773001E-2</v>
      </c>
      <c r="J21" s="88">
        <f>[1]!thsiFinD("ths_adjustment_nvg_ratio_fund",$E21,J$2,J$3,101)/100</f>
        <v>-6.4700729966494994E-2</v>
      </c>
      <c r="K21" s="88">
        <f>[1]!thsiFinD("ths_adjustment_nvg_ratio_fund",$E21,K$2,K$3,101)/100</f>
        <v>1.8854966614153E-2</v>
      </c>
      <c r="L21" s="88">
        <f>-[1]!thsiFinD("ths_max_retrace_rate_all_fund",$E21,$L$2,$L$3)/100</f>
        <v>-7.8192169154790991E-2</v>
      </c>
      <c r="M21" s="88">
        <f>[1]!thsiFinD("ths_annual_volatility_fund",E21,$L$2,$L$3,100,101)/100</f>
        <v>0.14797795317012</v>
      </c>
      <c r="N21" s="116">
        <f>[1]!thsiFinD("ths_sharp_fund",E21,$L$2,$L$3,100,101,100)</f>
        <v>-4.4117187107610999E-2</v>
      </c>
      <c r="O21" s="89">
        <f>[1]!thsiFinD("ths_calmar_ratio_fund",E21,$L$2,$L$3)</f>
        <v>-1.2934356880164</v>
      </c>
    </row>
    <row r="22" spans="2:18" ht="21" hidden="1" customHeight="1">
      <c r="B22" s="167"/>
      <c r="C22" s="83">
        <f>[1]!thsiFinD("ths_stock_mv_to_fanv_fund",$E22,$C$2)/100</f>
        <v>0.45369425039780997</v>
      </c>
      <c r="D22" s="83">
        <f>[1]!thsiFinD("ths_cb_mv_to_fanv_fund",E22,$C$2)/100</f>
        <v>1E-4</v>
      </c>
      <c r="E22" s="84" t="s">
        <v>188</v>
      </c>
      <c r="F22" s="84" t="str">
        <f>[1]!thsiFinD("ths_fund_official_short_name_fund",E22)</f>
        <v>华安智联混合(LOF)A</v>
      </c>
      <c r="G22" s="83">
        <f>[1]!thsiFinD("ths_adjustment_nvg_rate_fund",E22,$G$5)/100</f>
        <v>-1.014572957019E-2</v>
      </c>
      <c r="H22" s="83"/>
      <c r="I22" s="83">
        <f>[1]!thsiFinD("ths_adjustment_nvg_ratio_fund",$E22,I$2,I$3,101)/100</f>
        <v>-0.12295182445961</v>
      </c>
      <c r="J22" s="83"/>
      <c r="K22" s="83">
        <f>[1]!thsiFinD("ths_adjustment_nvg_ratio_fund",$E22,K$2,K$3,101)/100</f>
        <v>5.8957027973752997E-2</v>
      </c>
      <c r="L22" s="85">
        <f>-[1]!thsiFinD("ths_max_retrace_rate_all_fund",$E22,$L$2,$L$3)/100</f>
        <v>-0.22297993814923001</v>
      </c>
      <c r="M22" s="90">
        <f>[1]!thsiFinD("ths_annual_volatility_fund",E22,$L$2,$L$3,100,101)/100</f>
        <v>0.37666825650980001</v>
      </c>
      <c r="N22" s="118">
        <f>[1]!thsiFinD("ths_sharp_fund",E22,$L$2,$L$3,100,101,100)</f>
        <v>-1.2128070712998E-2</v>
      </c>
      <c r="O22" s="91">
        <f>[1]!thsiFinD("ths_calmar_ratio_fund",E22,$L$2,$L$3)</f>
        <v>-0.56715483855662996</v>
      </c>
    </row>
    <row r="23" spans="2:18" ht="21" hidden="1" customHeight="1">
      <c r="B23" s="167"/>
      <c r="C23" s="80">
        <f>[1]!thsiFinD("ths_stock_mv_to_fanv_fund",$E23,$C$2)/100</f>
        <v>0.50088497741776994</v>
      </c>
      <c r="D23" s="80">
        <f>[1]!thsiFinD("ths_cb_mv_to_fanv_fund",E23,$C$2)/100</f>
        <v>8.929999999999999E-2</v>
      </c>
      <c r="E23" s="94" t="s">
        <v>190</v>
      </c>
      <c r="F23" s="81" t="str">
        <f>[1]!thsiFinD("ths_fund_official_short_name_fund",E23)</f>
        <v>博时浦惠一年持有期混合A</v>
      </c>
      <c r="G23" s="80">
        <f>[1]!thsiFinD("ths_adjustment_nvg_rate_fund",E23,$G$5)/100</f>
        <v>1.3802622498276E-3</v>
      </c>
      <c r="H23" s="80"/>
      <c r="I23" s="80">
        <f>[1]!thsiFinD("ths_adjustment_nvg_ratio_fund",$E23,I$2,I$3,101)/100</f>
        <v>-5.4038391886997002E-2</v>
      </c>
      <c r="J23" s="80"/>
      <c r="K23" s="80">
        <f>[1]!thsiFinD("ths_adjustment_nvg_ratio_fund",$E23,K$2,K$3,101)/100</f>
        <v>8.8159320056661994E-2</v>
      </c>
      <c r="L23" s="82">
        <f>-[1]!thsiFinD("ths_max_retrace_rate_all_fund",$E23,$L$2,$L$3)/100</f>
        <v>-0.21116341627438001</v>
      </c>
      <c r="M23" s="88">
        <f>[1]!thsiFinD("ths_annual_volatility_fund",E23,$L$2,$L$3,100,101)/100</f>
        <v>0.33944886158087001</v>
      </c>
      <c r="N23" s="116">
        <f>[1]!thsiFinD("ths_sharp_fund",E23,$L$2,$L$3,100,101,100)</f>
        <v>-1.3304140669243E-2</v>
      </c>
      <c r="O23" s="89">
        <f>[1]!thsiFinD("ths_calmar_ratio_fund",E23,$L$2,$L$3)</f>
        <v>-0.53968069126259999</v>
      </c>
    </row>
    <row r="24" spans="2:18" ht="21" hidden="1" customHeight="1">
      <c r="B24" s="167"/>
      <c r="C24" s="83">
        <f>[1]!thsiFinD("ths_stock_mv_to_fanv_fund",$E24,$C$2)/100</f>
        <v>0.40001187383057002</v>
      </c>
      <c r="D24" s="83">
        <f>[1]!thsiFinD("ths_cb_mv_to_fanv_fund",E24,$C$2)/100</f>
        <v>0.20660000000000001</v>
      </c>
      <c r="E24" s="84" t="s">
        <v>189</v>
      </c>
      <c r="F24" s="84" t="str">
        <f>[1]!thsiFinD("ths_fund_official_short_name_fund",E24)</f>
        <v>金鹰民富收益混合A</v>
      </c>
      <c r="G24" s="83">
        <f>[1]!thsiFinD("ths_adjustment_nvg_rate_fund",E24,$G$5)/100</f>
        <v>-4.1189931350114001E-3</v>
      </c>
      <c r="H24" s="83"/>
      <c r="I24" s="83">
        <f>[1]!thsiFinD("ths_adjustment_nvg_ratio_fund",$E24,I$2,I$3,101)/100</f>
        <v>-6.2634617041440008E-2</v>
      </c>
      <c r="J24" s="83"/>
      <c r="K24" s="83">
        <f>[1]!thsiFinD("ths_adjustment_nvg_ratio_fund",$E24,K$2,K$3,101)/100</f>
        <v>5.8159891071776E-2</v>
      </c>
      <c r="L24" s="85">
        <f>-[1]!thsiFinD("ths_max_retrace_rate_all_fund",$E24,$L$2,$L$3)/100</f>
        <v>-0.21978798586572001</v>
      </c>
      <c r="M24" s="90">
        <f>[1]!thsiFinD("ths_annual_volatility_fund",E24,$L$2,$L$3,100,101)/100</f>
        <v>0.42245757568259001</v>
      </c>
      <c r="N24" s="118">
        <f>[1]!thsiFinD("ths_sharp_fund",E24,$L$2,$L$3,100,101,100)</f>
        <v>2.2308391393631999E-2</v>
      </c>
      <c r="O24" s="91">
        <f>[1]!thsiFinD("ths_calmar_ratio_fund",E24,$L$2,$L$3)</f>
        <v>0.34830662107964999</v>
      </c>
    </row>
    <row r="25" spans="2:18" ht="21" hidden="1" customHeight="1">
      <c r="B25" s="167"/>
      <c r="C25" s="80">
        <f>[1]!thsiFinD("ths_stock_mv_to_fanv_fund",$E25,$C$2)/100</f>
        <v>0.39952504845337006</v>
      </c>
      <c r="D25" s="80">
        <f>[1]!thsiFinD("ths_cb_mv_to_fanv_fund",E25,$C$2)/100</f>
        <v>0.2009</v>
      </c>
      <c r="E25" s="94" t="s">
        <v>191</v>
      </c>
      <c r="F25" s="81" t="str">
        <f>[1]!thsiFinD("ths_fund_official_short_name_fund",E25)</f>
        <v>金鹰年年邮益一年持有混合A</v>
      </c>
      <c r="G25" s="80">
        <f>[1]!thsiFinD("ths_adjustment_nvg_rate_fund",E25,$G$5)/100</f>
        <v>-3.8020136858437996E-3</v>
      </c>
      <c r="H25" s="80"/>
      <c r="I25" s="80">
        <f>[1]!thsiFinD("ths_adjustment_nvg_ratio_fund",$E25,I$2,I$3,101)/100</f>
        <v>-6.1612946049652999E-2</v>
      </c>
      <c r="J25" s="80"/>
      <c r="K25" s="80">
        <f>[1]!thsiFinD("ths_adjustment_nvg_ratio_fund",$E25,K$2,K$3,101)/100</f>
        <v>5.9056886219473005E-2</v>
      </c>
      <c r="L25" s="82">
        <f>-[1]!thsiFinD("ths_max_retrace_rate_all_fund",$E25,$L$2,$L$3)/100</f>
        <v>-0.21886723948195003</v>
      </c>
      <c r="M25" s="88">
        <f>[1]!thsiFinD("ths_annual_volatility_fund",E25,$L$2,$L$3,100,101)/100</f>
        <v>0.42075131075389005</v>
      </c>
      <c r="N25" s="116">
        <f>[1]!thsiFinD("ths_sharp_fund",E25,$L$2,$L$3,100,101,100)</f>
        <v>2.2046577730136001E-2</v>
      </c>
      <c r="O25" s="89">
        <f>[1]!thsiFinD("ths_calmar_ratio_fund",E25,$L$2,$L$3)</f>
        <v>0.34149264158106002</v>
      </c>
    </row>
    <row r="26" spans="2:18" s="126" customFormat="1" ht="21" hidden="1" customHeight="1">
      <c r="B26" s="168"/>
      <c r="C26" s="83">
        <f>[1]!thsiFinD("ths_stock_mv_to_fanv_fund",$E26,$C$2)/100</f>
        <v>0.47537298561574998</v>
      </c>
      <c r="D26" s="83">
        <f>[1]!thsiFinD("ths_cb_mv_to_fanv_fund",E26,$C$2)/100</f>
        <v>0.19170000000000001</v>
      </c>
      <c r="E26" s="84" t="s">
        <v>192</v>
      </c>
      <c r="F26" s="84" t="str">
        <f>[1]!thsiFinD("ths_fund_official_short_name_fund",E26)</f>
        <v>工银平衡回报6个月持有期债券A</v>
      </c>
      <c r="G26" s="83">
        <f>[1]!thsiFinD("ths_adjustment_nvg_rate_fund",E26,$G$5)/100</f>
        <v>3.2229965156793999E-3</v>
      </c>
      <c r="H26" s="83"/>
      <c r="I26" s="83">
        <f>[1]!thsiFinD("ths_adjustment_nvg_ratio_fund",$E26,I$2,I$3,101)/100</f>
        <v>3.1527093596059E-2</v>
      </c>
      <c r="J26" s="83"/>
      <c r="K26" s="83">
        <f>[1]!thsiFinD("ths_adjustment_nvg_ratio_fund",$E26,K$2,K$3,101)/100</f>
        <v>-1.5135967162648001E-2</v>
      </c>
      <c r="L26" s="85">
        <f>-[1]!thsiFinD("ths_max_retrace_rate_all_fund",$E26,$L$2,$L$3)/100</f>
        <v>-5.6528868559593007E-2</v>
      </c>
      <c r="M26" s="90">
        <f>[1]!thsiFinD("ths_annual_volatility_fund",E26,$L$2,$L$3,100,101)/100</f>
        <v>9.5338523288343996E-2</v>
      </c>
      <c r="N26" s="118">
        <f>[1]!thsiFinD("ths_sharp_fund",E26,$L$2,$L$3,100,101,100)</f>
        <v>-1.5563088729879E-3</v>
      </c>
      <c r="O26" s="91">
        <f>[1]!thsiFinD("ths_calmar_ratio_fund",E26,$L$2,$L$3)</f>
        <v>6.3305529730489002E-2</v>
      </c>
      <c r="R26" s="143"/>
    </row>
    <row r="27" spans="2:18" ht="15" customHeight="1">
      <c r="B27" s="163" t="s">
        <v>215</v>
      </c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</row>
    <row r="28" spans="2:18" ht="15" customHeight="1">
      <c r="B28" s="166"/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</row>
  </sheetData>
  <mergeCells count="2">
    <mergeCell ref="B27:O28"/>
    <mergeCell ref="B7:B26"/>
  </mergeCells>
  <phoneticPr fontId="13" type="noConversion"/>
  <conditionalFormatting sqref="H7:K9">
    <cfRule type="cellIs" dxfId="23" priority="29" operator="greaterThan">
      <formula>0</formula>
    </cfRule>
    <cfRule type="cellIs" dxfId="22" priority="31" operator="greaterThan">
      <formula>0.0105</formula>
    </cfRule>
  </conditionalFormatting>
  <conditionalFormatting sqref="H10:K16">
    <cfRule type="cellIs" dxfId="21" priority="19" operator="greaterThan">
      <formula>0</formula>
    </cfRule>
    <cfRule type="cellIs" dxfId="20" priority="20" operator="greaterThan">
      <formula>0.0105</formula>
    </cfRule>
  </conditionalFormatting>
  <conditionalFormatting sqref="G17">
    <cfRule type="cellIs" dxfId="19" priority="13" operator="greaterThan">
      <formula>0</formula>
    </cfRule>
    <cfRule type="cellIs" dxfId="18" priority="14" operator="greaterThan">
      <formula>0.0105</formula>
    </cfRule>
  </conditionalFormatting>
  <conditionalFormatting sqref="G7:G9">
    <cfRule type="cellIs" dxfId="17" priority="23" operator="greaterThan">
      <formula>0</formula>
    </cfRule>
    <cfRule type="cellIs" dxfId="16" priority="24" operator="greaterThan">
      <formula>0.0105</formula>
    </cfRule>
  </conditionalFormatting>
  <conditionalFormatting sqref="G19 G21 G23:H23 G25:H25">
    <cfRule type="cellIs" dxfId="15" priority="5" operator="greaterThan">
      <formula>0</formula>
    </cfRule>
    <cfRule type="cellIs" dxfId="14" priority="6" operator="greaterThan">
      <formula>0.0105</formula>
    </cfRule>
  </conditionalFormatting>
  <conditionalFormatting sqref="G26:H26">
    <cfRule type="cellIs" dxfId="13" priority="1" operator="greaterThan">
      <formula>0</formula>
    </cfRule>
    <cfRule type="cellIs" dxfId="12" priority="2" operator="greaterThan">
      <formula>0.0105</formula>
    </cfRule>
  </conditionalFormatting>
  <conditionalFormatting sqref="G10:G16">
    <cfRule type="cellIs" dxfId="11" priority="15" operator="greaterThan">
      <formula>0</formula>
    </cfRule>
    <cfRule type="cellIs" dxfId="10" priority="16" operator="greaterThan">
      <formula>0.0105</formula>
    </cfRule>
  </conditionalFormatting>
  <conditionalFormatting sqref="H17:K17">
    <cfRule type="cellIs" dxfId="9" priority="17" operator="greaterThan">
      <formula>0</formula>
    </cfRule>
    <cfRule type="cellIs" dxfId="8" priority="18" operator="greaterThan">
      <formula>0.0105</formula>
    </cfRule>
  </conditionalFormatting>
  <conditionalFormatting sqref="I23:K23 I25:K25 H19:K19 H21:K21">
    <cfRule type="cellIs" dxfId="7" priority="9" operator="greaterThan">
      <formula>0</formula>
    </cfRule>
    <cfRule type="cellIs" dxfId="6" priority="10" operator="greaterThan">
      <formula>0.0105</formula>
    </cfRule>
  </conditionalFormatting>
  <conditionalFormatting sqref="I22:K22 I24:K24 H18:K18 H20:K20">
    <cfRule type="cellIs" dxfId="5" priority="11" operator="greaterThan">
      <formula>0</formula>
    </cfRule>
    <cfRule type="cellIs" dxfId="4" priority="12" operator="greaterThan">
      <formula>0.0105</formula>
    </cfRule>
  </conditionalFormatting>
  <conditionalFormatting sqref="G18 G20 G22:H22 G24:H24">
    <cfRule type="cellIs" dxfId="3" priority="7" operator="greaterThan">
      <formula>0</formula>
    </cfRule>
    <cfRule type="cellIs" dxfId="2" priority="8" operator="greaterThan">
      <formula>0.0105</formula>
    </cfRule>
  </conditionalFormatting>
  <conditionalFormatting sqref="I26:K26">
    <cfRule type="cellIs" dxfId="1" priority="3" operator="greaterThan">
      <formula>0</formula>
    </cfRule>
    <cfRule type="cellIs" dxfId="0" priority="4" operator="greaterThan">
      <formula>0.0105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D39"/>
  <sheetViews>
    <sheetView workbookViewId="0">
      <selection activeCell="B3" sqref="B3"/>
    </sheetView>
  </sheetViews>
  <sheetFormatPr defaultRowHeight="14"/>
  <cols>
    <col min="1" max="1" width="11.36328125" style="95" bestFit="1" customWidth="1"/>
    <col min="2" max="2" width="15.453125" style="140" customWidth="1"/>
  </cols>
  <sheetData>
    <row r="1" spans="1:4">
      <c r="B1" s="140" t="s">
        <v>135</v>
      </c>
      <c r="C1" t="s">
        <v>255</v>
      </c>
      <c r="D1" s="93">
        <f ca="1">TODAY()-1</f>
        <v>46244</v>
      </c>
    </row>
    <row r="2" spans="1:4">
      <c r="A2" t="str">
        <f ca="1">[1]!HX_AutoDate(1,"2026-06-18",D1,-1,-1,0,0,0,0,0,"SSE",37,0)</f>
        <v>日期</v>
      </c>
      <c r="B2" s="140" t="s">
        <v>136</v>
      </c>
    </row>
    <row r="3" spans="1:4">
      <c r="A3" s="104">
        <v>46191</v>
      </c>
      <c r="B3" s="140">
        <v>1</v>
      </c>
      <c r="C3" s="128" t="s">
        <v>218</v>
      </c>
    </row>
    <row r="4" spans="1:4">
      <c r="A4" s="104">
        <v>46195</v>
      </c>
      <c r="B4" s="140">
        <v>1.00089571</v>
      </c>
      <c r="C4" s="128" t="s">
        <v>219</v>
      </c>
    </row>
    <row r="5" spans="1:4">
      <c r="A5" s="104">
        <v>46196</v>
      </c>
      <c r="B5" s="140">
        <v>0.99782280999999995</v>
      </c>
      <c r="C5" s="128" t="s">
        <v>220</v>
      </c>
    </row>
    <row r="6" spans="1:4">
      <c r="A6" s="104">
        <v>46197</v>
      </c>
      <c r="B6" s="140">
        <v>0.99977079999999996</v>
      </c>
      <c r="C6" s="128" t="s">
        <v>221</v>
      </c>
    </row>
    <row r="7" spans="1:4">
      <c r="A7" s="104">
        <v>46198</v>
      </c>
      <c r="B7" s="140">
        <v>1.00127827</v>
      </c>
      <c r="C7" s="128" t="s">
        <v>222</v>
      </c>
    </row>
    <row r="8" spans="1:4">
      <c r="A8" s="104">
        <v>46199</v>
      </c>
      <c r="B8" s="140">
        <v>0.99893008999999999</v>
      </c>
      <c r="C8" s="128" t="s">
        <v>223</v>
      </c>
    </row>
    <row r="9" spans="1:4">
      <c r="A9" s="104">
        <v>46202</v>
      </c>
      <c r="B9" s="140">
        <v>1.00052151</v>
      </c>
      <c r="C9" s="128" t="s">
        <v>224</v>
      </c>
    </row>
    <row r="10" spans="1:4">
      <c r="A10" s="104">
        <v>46203</v>
      </c>
      <c r="B10" s="140">
        <v>1.00271066</v>
      </c>
      <c r="C10" s="128" t="s">
        <v>225</v>
      </c>
    </row>
    <row r="11" spans="1:4">
      <c r="A11" s="104">
        <v>46204</v>
      </c>
      <c r="B11" s="140">
        <v>0.99998487999999996</v>
      </c>
      <c r="C11" s="128" t="s">
        <v>226</v>
      </c>
    </row>
    <row r="12" spans="1:4">
      <c r="A12" s="104">
        <v>46205</v>
      </c>
      <c r="B12" s="140">
        <v>0.99402933000000004</v>
      </c>
      <c r="C12" s="128" t="s">
        <v>227</v>
      </c>
    </row>
    <row r="13" spans="1:4">
      <c r="A13" s="104">
        <v>46206</v>
      </c>
      <c r="B13" s="140">
        <v>0.99491236999999999</v>
      </c>
      <c r="C13" s="128" t="s">
        <v>228</v>
      </c>
    </row>
    <row r="14" spans="1:4">
      <c r="A14" s="104">
        <v>46209</v>
      </c>
      <c r="B14" s="140">
        <v>0.99396983999999999</v>
      </c>
      <c r="C14" s="128" t="s">
        <v>229</v>
      </c>
    </row>
    <row r="15" spans="1:4">
      <c r="A15" s="104">
        <v>46210</v>
      </c>
      <c r="B15" s="140">
        <v>0.99336488999999994</v>
      </c>
      <c r="C15" s="128" t="s">
        <v>230</v>
      </c>
    </row>
    <row r="16" spans="1:4">
      <c r="A16" s="104">
        <v>46211</v>
      </c>
      <c r="B16" s="174" t="s">
        <v>180</v>
      </c>
      <c r="C16" s="128" t="s">
        <v>231</v>
      </c>
    </row>
    <row r="17" spans="1:3" ht="15">
      <c r="A17" s="104">
        <v>46212</v>
      </c>
      <c r="B17" s="175" t="s">
        <v>182</v>
      </c>
      <c r="C17" s="128" t="s">
        <v>232</v>
      </c>
    </row>
    <row r="18" spans="1:3">
      <c r="A18" s="104">
        <v>46213</v>
      </c>
      <c r="B18" s="174" t="s">
        <v>183</v>
      </c>
      <c r="C18" s="128" t="s">
        <v>233</v>
      </c>
    </row>
    <row r="19" spans="1:3">
      <c r="A19" s="104">
        <v>46216</v>
      </c>
      <c r="B19" s="174" t="s">
        <v>184</v>
      </c>
      <c r="C19" s="128" t="s">
        <v>234</v>
      </c>
    </row>
    <row r="20" spans="1:3">
      <c r="A20" s="104">
        <v>46217</v>
      </c>
      <c r="B20" s="140" t="s">
        <v>185</v>
      </c>
      <c r="C20" s="128" t="s">
        <v>235</v>
      </c>
    </row>
    <row r="21" spans="1:3">
      <c r="A21" s="104">
        <v>46218</v>
      </c>
      <c r="B21" s="140" t="s">
        <v>186</v>
      </c>
      <c r="C21" s="128" t="s">
        <v>236</v>
      </c>
    </row>
    <row r="22" spans="1:3">
      <c r="A22" s="104">
        <v>46219</v>
      </c>
      <c r="B22" s="140" t="s">
        <v>187</v>
      </c>
      <c r="C22" s="128" t="s">
        <v>237</v>
      </c>
    </row>
    <row r="23" spans="1:3">
      <c r="A23" s="104">
        <v>46220</v>
      </c>
      <c r="B23" s="140">
        <v>0.97886371999999999</v>
      </c>
      <c r="C23" s="128" t="s">
        <v>238</v>
      </c>
    </row>
    <row r="24" spans="1:3">
      <c r="A24" s="104">
        <v>46223</v>
      </c>
      <c r="B24" s="140">
        <v>0.97537549999999995</v>
      </c>
      <c r="C24" s="128" t="s">
        <v>239</v>
      </c>
    </row>
    <row r="25" spans="1:3">
      <c r="A25" s="104">
        <v>46224</v>
      </c>
      <c r="B25" s="140">
        <v>0.98437008000000004</v>
      </c>
      <c r="C25" s="128" t="s">
        <v>240</v>
      </c>
    </row>
    <row r="26" spans="1:3">
      <c r="A26" s="104">
        <v>46225</v>
      </c>
      <c r="B26" s="140">
        <v>0.98402323999999997</v>
      </c>
      <c r="C26" s="128" t="s">
        <v>241</v>
      </c>
    </row>
    <row r="27" spans="1:3">
      <c r="A27" s="104">
        <v>46226</v>
      </c>
      <c r="B27" s="140">
        <v>0.98279921000000003</v>
      </c>
      <c r="C27" s="128" t="s">
        <v>242</v>
      </c>
    </row>
    <row r="28" spans="1:3">
      <c r="A28" s="104">
        <v>46227</v>
      </c>
      <c r="B28" s="140">
        <v>0.98152945999999996</v>
      </c>
      <c r="C28" s="128" t="s">
        <v>243</v>
      </c>
    </row>
    <row r="29" spans="1:3">
      <c r="A29" s="104">
        <v>46230</v>
      </c>
      <c r="B29" s="140">
        <v>0.98516413000000003</v>
      </c>
      <c r="C29" s="128" t="s">
        <v>244</v>
      </c>
    </row>
    <row r="30" spans="1:3">
      <c r="A30" s="104">
        <v>46231</v>
      </c>
      <c r="B30" s="140">
        <v>0.97865577000000004</v>
      </c>
      <c r="C30" s="128" t="s">
        <v>245</v>
      </c>
    </row>
    <row r="31" spans="1:3">
      <c r="A31" s="104">
        <v>46232</v>
      </c>
      <c r="B31" s="140">
        <v>0.97811842999999998</v>
      </c>
      <c r="C31" s="128" t="s">
        <v>246</v>
      </c>
    </row>
    <row r="32" spans="1:3">
      <c r="A32" s="104">
        <v>46233</v>
      </c>
      <c r="B32" s="140">
        <v>0.97376326000000002</v>
      </c>
      <c r="C32" s="128" t="s">
        <v>247</v>
      </c>
    </row>
    <row r="33" spans="1:3">
      <c r="A33" s="104">
        <v>46234</v>
      </c>
      <c r="B33" s="140">
        <v>0.97705801999999997</v>
      </c>
      <c r="C33" s="128" t="s">
        <v>248</v>
      </c>
    </row>
    <row r="34" spans="1:3">
      <c r="A34" s="104">
        <v>46237</v>
      </c>
      <c r="B34" s="140" t="s">
        <v>194</v>
      </c>
      <c r="C34" s="128" t="s">
        <v>249</v>
      </c>
    </row>
    <row r="35" spans="1:3" ht="15">
      <c r="A35" s="104">
        <v>46238</v>
      </c>
      <c r="B35" s="175" t="s">
        <v>210</v>
      </c>
      <c r="C35" s="128" t="s">
        <v>250</v>
      </c>
    </row>
    <row r="36" spans="1:3">
      <c r="A36" s="104">
        <v>46239</v>
      </c>
      <c r="B36" s="174" t="s">
        <v>211</v>
      </c>
      <c r="C36" s="128" t="s">
        <v>251</v>
      </c>
    </row>
    <row r="37" spans="1:3">
      <c r="A37" s="104">
        <v>46240</v>
      </c>
      <c r="B37" s="174" t="s">
        <v>212</v>
      </c>
      <c r="C37" s="128" t="s">
        <v>252</v>
      </c>
    </row>
    <row r="38" spans="1:3">
      <c r="A38" s="104">
        <v>46241</v>
      </c>
      <c r="B38" s="174" t="s">
        <v>213</v>
      </c>
      <c r="C38" s="128" t="s">
        <v>253</v>
      </c>
    </row>
    <row r="39" spans="1:3">
      <c r="A39" s="104">
        <v>46244</v>
      </c>
      <c r="B39" s="174" t="s">
        <v>214</v>
      </c>
      <c r="C39" s="128" t="s">
        <v>254</v>
      </c>
    </row>
  </sheetData>
  <phoneticPr fontId="13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showGridLines="0" workbookViewId="0">
      <selection activeCell="C8" sqref="C8"/>
    </sheetView>
  </sheetViews>
  <sheetFormatPr defaultRowHeight="14"/>
  <cols>
    <col min="1" max="1" width="16" style="95" customWidth="1"/>
    <col min="2" max="24" width="11" style="95" customWidth="1"/>
    <col min="25" max="26" width="9" style="95" customWidth="1"/>
    <col min="27" max="27" width="12" style="95" customWidth="1"/>
    <col min="28" max="29" width="8.7265625" style="95" customWidth="1"/>
    <col min="30" max="16384" width="8.7265625" style="95"/>
  </cols>
  <sheetData>
    <row r="1" spans="1:27" ht="19" customHeight="1">
      <c r="A1" s="169" t="s">
        <v>137</v>
      </c>
      <c r="B1" s="170"/>
      <c r="C1" s="170"/>
    </row>
    <row r="2" spans="1:27" ht="39" customHeight="1">
      <c r="A2" s="98" t="s">
        <v>1</v>
      </c>
      <c r="B2" s="45" t="s">
        <v>11</v>
      </c>
      <c r="C2" s="45" t="s">
        <v>14</v>
      </c>
      <c r="D2" s="45" t="s">
        <v>2</v>
      </c>
      <c r="E2" s="45" t="s">
        <v>138</v>
      </c>
      <c r="F2" s="45" t="s">
        <v>139</v>
      </c>
      <c r="G2" s="45" t="s">
        <v>13</v>
      </c>
      <c r="H2" s="45" t="s">
        <v>140</v>
      </c>
      <c r="I2" s="45" t="s">
        <v>141</v>
      </c>
      <c r="J2" s="45" t="s">
        <v>5</v>
      </c>
      <c r="K2" s="45" t="s">
        <v>142</v>
      </c>
      <c r="L2" s="45" t="s">
        <v>7</v>
      </c>
      <c r="M2" s="45" t="s">
        <v>143</v>
      </c>
      <c r="N2" s="45" t="s">
        <v>6</v>
      </c>
      <c r="O2" s="45" t="s">
        <v>144</v>
      </c>
      <c r="P2" s="45" t="s">
        <v>3</v>
      </c>
      <c r="Q2" s="45" t="s">
        <v>4</v>
      </c>
      <c r="R2" s="45" t="s">
        <v>145</v>
      </c>
      <c r="S2" s="45" t="s">
        <v>146</v>
      </c>
      <c r="T2" s="45" t="s">
        <v>12</v>
      </c>
      <c r="U2" s="45" t="s">
        <v>147</v>
      </c>
      <c r="V2" s="45" t="s">
        <v>8</v>
      </c>
      <c r="W2" s="45" t="s">
        <v>148</v>
      </c>
      <c r="X2" s="45" t="s">
        <v>10</v>
      </c>
      <c r="Y2" s="98" t="s">
        <v>15</v>
      </c>
      <c r="Z2" s="98" t="s">
        <v>149</v>
      </c>
      <c r="AA2" s="98" t="s">
        <v>150</v>
      </c>
    </row>
    <row r="3" spans="1:27">
      <c r="A3" s="98" t="s">
        <v>17</v>
      </c>
      <c r="B3" s="46" t="s">
        <v>27</v>
      </c>
      <c r="C3" s="46" t="s">
        <v>30</v>
      </c>
      <c r="D3" s="46" t="s">
        <v>18</v>
      </c>
      <c r="E3" s="46" t="s">
        <v>25</v>
      </c>
      <c r="F3" s="46" t="s">
        <v>151</v>
      </c>
      <c r="G3" s="46" t="s">
        <v>29</v>
      </c>
      <c r="H3" s="46" t="s">
        <v>152</v>
      </c>
      <c r="I3" s="46" t="s">
        <v>153</v>
      </c>
      <c r="J3" s="46" t="s">
        <v>21</v>
      </c>
      <c r="K3" s="46" t="s">
        <v>154</v>
      </c>
      <c r="L3" s="46" t="s">
        <v>23</v>
      </c>
      <c r="M3" s="46" t="s">
        <v>155</v>
      </c>
      <c r="N3" s="46" t="s">
        <v>22</v>
      </c>
      <c r="O3" s="46" t="s">
        <v>156</v>
      </c>
      <c r="P3" s="46" t="s">
        <v>19</v>
      </c>
      <c r="Q3" s="46" t="s">
        <v>20</v>
      </c>
      <c r="R3" s="46" t="s">
        <v>157</v>
      </c>
      <c r="S3" s="46" t="s">
        <v>158</v>
      </c>
      <c r="T3" s="46" t="s">
        <v>28</v>
      </c>
      <c r="U3" s="46" t="s">
        <v>159</v>
      </c>
      <c r="V3" s="46" t="s">
        <v>24</v>
      </c>
      <c r="W3" s="46" t="s">
        <v>160</v>
      </c>
      <c r="X3" s="46" t="s">
        <v>26</v>
      </c>
      <c r="Y3" s="46"/>
      <c r="Z3" s="46"/>
      <c r="AA3" s="46"/>
    </row>
    <row r="4" spans="1:27">
      <c r="A4" s="47" t="s">
        <v>161</v>
      </c>
      <c r="B4" s="48">
        <v>0</v>
      </c>
      <c r="C4" s="48">
        <v>0.02</v>
      </c>
      <c r="D4" s="48">
        <v>0.19</v>
      </c>
      <c r="E4" s="48">
        <v>0</v>
      </c>
      <c r="F4" s="48">
        <v>0</v>
      </c>
      <c r="G4" s="48">
        <v>0.11</v>
      </c>
      <c r="H4" s="48">
        <v>0</v>
      </c>
      <c r="I4" s="48">
        <v>0</v>
      </c>
      <c r="J4" s="48">
        <v>0.19</v>
      </c>
      <c r="K4" s="48">
        <v>0</v>
      </c>
      <c r="L4" s="48">
        <v>0</v>
      </c>
      <c r="M4" s="48">
        <v>0</v>
      </c>
      <c r="N4" s="48">
        <v>0</v>
      </c>
      <c r="O4" s="48">
        <v>0</v>
      </c>
      <c r="P4" s="48">
        <v>0.19</v>
      </c>
      <c r="Q4" s="48">
        <v>0.19</v>
      </c>
      <c r="R4" s="48">
        <v>0</v>
      </c>
      <c r="S4" s="48">
        <v>0</v>
      </c>
      <c r="T4" s="48">
        <v>0.11</v>
      </c>
      <c r="U4" s="48">
        <v>0</v>
      </c>
      <c r="V4" s="48">
        <v>0</v>
      </c>
      <c r="W4" s="48">
        <v>0</v>
      </c>
      <c r="X4" s="48">
        <v>0</v>
      </c>
      <c r="Y4" s="110">
        <f t="shared" ref="Y4:Y9" si="0">SUM(B4:X4)</f>
        <v>0.99999999999999989</v>
      </c>
      <c r="Z4" s="100">
        <v>1.4999999999999999E-2</v>
      </c>
      <c r="AA4" s="111">
        <v>46195</v>
      </c>
    </row>
    <row r="5" spans="1:27">
      <c r="A5" s="47" t="s">
        <v>162</v>
      </c>
      <c r="B5" s="48">
        <v>0</v>
      </c>
      <c r="C5" s="48">
        <v>0.02</v>
      </c>
      <c r="D5" s="48">
        <v>0.19</v>
      </c>
      <c r="E5" s="48">
        <v>0</v>
      </c>
      <c r="F5" s="48">
        <v>0</v>
      </c>
      <c r="G5" s="48">
        <v>0.11</v>
      </c>
      <c r="H5" s="48">
        <v>0</v>
      </c>
      <c r="I5" s="48">
        <v>0</v>
      </c>
      <c r="J5" s="48">
        <v>0.19</v>
      </c>
      <c r="K5" s="48">
        <v>0</v>
      </c>
      <c r="L5" s="48">
        <v>0</v>
      </c>
      <c r="M5" s="48">
        <v>0</v>
      </c>
      <c r="N5" s="48">
        <v>0</v>
      </c>
      <c r="O5" s="48">
        <v>0</v>
      </c>
      <c r="P5" s="48">
        <v>0.19</v>
      </c>
      <c r="Q5" s="48">
        <v>0.19</v>
      </c>
      <c r="R5" s="48">
        <v>0</v>
      </c>
      <c r="S5" s="48">
        <v>0</v>
      </c>
      <c r="T5" s="48">
        <v>0.11</v>
      </c>
      <c r="U5" s="48">
        <v>0</v>
      </c>
      <c r="V5" s="48">
        <v>0</v>
      </c>
      <c r="W5" s="48">
        <v>0</v>
      </c>
      <c r="X5" s="48">
        <v>0</v>
      </c>
      <c r="Y5" s="110">
        <f t="shared" si="0"/>
        <v>0.99999999999999989</v>
      </c>
      <c r="Z5" s="100">
        <v>1.2E-2</v>
      </c>
      <c r="AA5" s="111">
        <v>46191</v>
      </c>
    </row>
    <row r="6" spans="1:27">
      <c r="A6" s="47" t="s">
        <v>163</v>
      </c>
      <c r="B6" s="48">
        <v>0</v>
      </c>
      <c r="C6" s="48">
        <v>0.02</v>
      </c>
      <c r="D6" s="48">
        <v>0</v>
      </c>
      <c r="E6" s="48">
        <v>0</v>
      </c>
      <c r="F6" s="48">
        <v>0</v>
      </c>
      <c r="G6" s="48">
        <v>0</v>
      </c>
      <c r="H6" s="48">
        <v>0.11</v>
      </c>
      <c r="I6" s="48">
        <v>0.19</v>
      </c>
      <c r="J6" s="48">
        <v>0</v>
      </c>
      <c r="K6" s="48">
        <v>0.19</v>
      </c>
      <c r="L6" s="48">
        <v>0</v>
      </c>
      <c r="M6" s="48">
        <v>0</v>
      </c>
      <c r="N6" s="48">
        <v>0</v>
      </c>
      <c r="O6" s="48">
        <v>0</v>
      </c>
      <c r="P6" s="48">
        <v>0</v>
      </c>
      <c r="Q6" s="48">
        <v>0</v>
      </c>
      <c r="R6" s="48">
        <v>0.19</v>
      </c>
      <c r="S6" s="48">
        <v>0.19</v>
      </c>
      <c r="T6" s="48">
        <v>0</v>
      </c>
      <c r="U6" s="48">
        <v>0.11</v>
      </c>
      <c r="V6" s="48">
        <v>0</v>
      </c>
      <c r="W6" s="48">
        <v>0</v>
      </c>
      <c r="X6" s="48">
        <v>0</v>
      </c>
      <c r="Y6" s="110">
        <f t="shared" si="0"/>
        <v>0.99999999999999989</v>
      </c>
      <c r="Z6" s="100">
        <v>1.4999999999999999E-2</v>
      </c>
      <c r="AA6" s="111">
        <v>46196</v>
      </c>
    </row>
    <row r="7" spans="1:27">
      <c r="A7" s="47" t="s">
        <v>31</v>
      </c>
      <c r="B7" s="48">
        <v>0.05</v>
      </c>
      <c r="C7" s="48">
        <v>0.02</v>
      </c>
      <c r="D7" s="48">
        <v>0</v>
      </c>
      <c r="E7" s="48">
        <v>0</v>
      </c>
      <c r="F7" s="48">
        <v>1.2500000000000001E-2</v>
      </c>
      <c r="G7" s="48">
        <v>0</v>
      </c>
      <c r="H7" s="48">
        <v>5.0000000000000001E-3</v>
      </c>
      <c r="I7" s="48">
        <v>0.01</v>
      </c>
      <c r="J7" s="48">
        <v>0</v>
      </c>
      <c r="K7" s="48">
        <v>0.01</v>
      </c>
      <c r="L7" s="48">
        <v>0</v>
      </c>
      <c r="M7" s="48">
        <v>1.2500000000000001E-2</v>
      </c>
      <c r="N7" s="48">
        <v>0</v>
      </c>
      <c r="O7" s="48">
        <v>1.2500000000000001E-2</v>
      </c>
      <c r="P7" s="48">
        <v>0</v>
      </c>
      <c r="Q7" s="48">
        <v>0</v>
      </c>
      <c r="R7" s="48">
        <v>0.01</v>
      </c>
      <c r="S7" s="48">
        <v>0.01</v>
      </c>
      <c r="T7" s="48">
        <v>0</v>
      </c>
      <c r="U7" s="48">
        <v>5.0000000000000001E-3</v>
      </c>
      <c r="V7" s="48">
        <v>0</v>
      </c>
      <c r="W7" s="48">
        <v>1.2500000000000001E-2</v>
      </c>
      <c r="X7" s="48">
        <v>0.83</v>
      </c>
      <c r="Y7" s="110">
        <f t="shared" si="0"/>
        <v>1</v>
      </c>
      <c r="Z7" s="100">
        <v>8.0000000000000002E-3</v>
      </c>
      <c r="AA7" s="111">
        <v>46197</v>
      </c>
    </row>
    <row r="8" spans="1:27">
      <c r="A8" s="47" t="s">
        <v>164</v>
      </c>
      <c r="B8" s="48">
        <v>0.05</v>
      </c>
      <c r="C8" s="48">
        <v>0.02</v>
      </c>
      <c r="D8" s="48">
        <v>0.01</v>
      </c>
      <c r="E8" s="48">
        <v>1.2500000000000001E-2</v>
      </c>
      <c r="F8" s="48">
        <v>0</v>
      </c>
      <c r="G8" s="48">
        <v>5.0000000000000001E-3</v>
      </c>
      <c r="H8" s="48">
        <v>0</v>
      </c>
      <c r="I8" s="48">
        <v>0</v>
      </c>
      <c r="J8" s="48">
        <v>0.01</v>
      </c>
      <c r="K8" s="48">
        <v>0</v>
      </c>
      <c r="L8" s="48">
        <v>1.2500000000000001E-2</v>
      </c>
      <c r="M8" s="48">
        <v>0</v>
      </c>
      <c r="N8" s="48">
        <v>1.2500000000000001E-2</v>
      </c>
      <c r="O8" s="48">
        <v>0</v>
      </c>
      <c r="P8" s="48">
        <v>0.01</v>
      </c>
      <c r="Q8" s="48">
        <v>0.01</v>
      </c>
      <c r="R8" s="48">
        <v>0</v>
      </c>
      <c r="S8" s="48">
        <v>0</v>
      </c>
      <c r="T8" s="48">
        <v>5.0000000000000001E-3</v>
      </c>
      <c r="U8" s="48">
        <v>0</v>
      </c>
      <c r="V8" s="48">
        <v>1.2500000000000001E-2</v>
      </c>
      <c r="W8" s="48">
        <v>0</v>
      </c>
      <c r="X8" s="48">
        <v>0.83</v>
      </c>
      <c r="Y8" s="110">
        <f t="shared" si="0"/>
        <v>1</v>
      </c>
      <c r="Z8" s="100">
        <v>5.0000000000000001E-3</v>
      </c>
      <c r="AA8" s="111">
        <v>46191</v>
      </c>
    </row>
    <row r="9" spans="1:27">
      <c r="A9" s="47" t="s">
        <v>33</v>
      </c>
      <c r="B9" s="48">
        <v>0.1</v>
      </c>
      <c r="C9" s="48">
        <v>0.02</v>
      </c>
      <c r="D9" s="48">
        <v>0</v>
      </c>
      <c r="E9" s="48">
        <v>0</v>
      </c>
      <c r="F9" s="48">
        <v>3.7500000000000012E-2</v>
      </c>
      <c r="G9" s="48">
        <v>0</v>
      </c>
      <c r="H9" s="48">
        <v>1.4999999999999999E-2</v>
      </c>
      <c r="I9" s="48">
        <v>0.03</v>
      </c>
      <c r="J9" s="48">
        <v>0</v>
      </c>
      <c r="K9" s="48">
        <v>0.03</v>
      </c>
      <c r="L9" s="48">
        <v>0</v>
      </c>
      <c r="M9" s="48">
        <v>3.7500000000000012E-2</v>
      </c>
      <c r="N9" s="48">
        <v>0</v>
      </c>
      <c r="O9" s="48">
        <v>3.7500000000000012E-2</v>
      </c>
      <c r="P9" s="48">
        <v>0</v>
      </c>
      <c r="Q9" s="48">
        <v>0</v>
      </c>
      <c r="R9" s="48">
        <v>0.03</v>
      </c>
      <c r="S9" s="48">
        <v>0.03</v>
      </c>
      <c r="T9" s="48">
        <v>0</v>
      </c>
      <c r="U9" s="48">
        <v>1.4999999999999999E-2</v>
      </c>
      <c r="V9" s="48">
        <v>0</v>
      </c>
      <c r="W9" s="48">
        <v>3.7500000000000012E-2</v>
      </c>
      <c r="X9" s="48">
        <v>0.57999999999999996</v>
      </c>
      <c r="Y9" s="110">
        <f t="shared" si="0"/>
        <v>1.0000000000000002</v>
      </c>
      <c r="Z9" s="100">
        <v>1.2E-2</v>
      </c>
      <c r="AA9" s="111">
        <v>46197</v>
      </c>
    </row>
    <row r="11" spans="1:27" ht="14.5" customHeight="1">
      <c r="A11" s="97" t="s">
        <v>165</v>
      </c>
    </row>
  </sheetData>
  <mergeCells count="1">
    <mergeCell ref="A1:C1"/>
  </mergeCells>
  <phoneticPr fontId="13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0"/>
  <sheetViews>
    <sheetView showGridLines="0" workbookViewId="0">
      <selection activeCell="I36" sqref="I36"/>
    </sheetView>
  </sheetViews>
  <sheetFormatPr defaultRowHeight="14"/>
  <cols>
    <col min="1" max="1" width="12" style="95" customWidth="1"/>
    <col min="2" max="3" width="8.7265625" style="95" customWidth="1"/>
    <col min="4" max="16384" width="8.7265625" style="95"/>
  </cols>
  <sheetData>
    <row r="1" spans="1:24" ht="19.5" customHeight="1">
      <c r="A1" s="171" t="s">
        <v>166</v>
      </c>
      <c r="B1" s="145"/>
      <c r="C1" s="145"/>
      <c r="D1" s="145"/>
    </row>
    <row r="2" spans="1:24">
      <c r="A2" s="93">
        <f ca="1">TODAY()</f>
        <v>46245</v>
      </c>
    </row>
    <row r="3" spans="1:24" ht="25" customHeight="1">
      <c r="A3" s="98" t="s">
        <v>50</v>
      </c>
      <c r="B3" s="49" t="str">
        <f>实盘持仓配置!B3</f>
        <v>000216.OF</v>
      </c>
      <c r="C3" s="49" t="str">
        <f>实盘持仓配置!C3</f>
        <v>000917.OF</v>
      </c>
      <c r="D3" s="49" t="str">
        <f>实盘持仓配置!D3</f>
        <v>001170.OF</v>
      </c>
      <c r="E3" s="49" t="str">
        <f>实盘持仓配置!E3</f>
        <v>007044.OF</v>
      </c>
      <c r="F3" s="49" t="str">
        <f>实盘持仓配置!F3</f>
        <v>007045.OF</v>
      </c>
      <c r="G3" s="49" t="str">
        <f>实盘持仓配置!G3</f>
        <v>007817.OF</v>
      </c>
      <c r="H3" s="49" t="str">
        <f>实盘持仓配置!H3</f>
        <v>007818.OF</v>
      </c>
      <c r="I3" s="49" t="str">
        <f>实盘持仓配置!I3</f>
        <v>009993.OF</v>
      </c>
      <c r="J3" s="49" t="str">
        <f>实盘持仓配置!J3</f>
        <v>013840.OF</v>
      </c>
      <c r="K3" s="49" t="str">
        <f>实盘持仓配置!K3</f>
        <v>013841.OF</v>
      </c>
      <c r="L3" s="49" t="str">
        <f>实盘持仓配置!L3</f>
        <v>014201.OF</v>
      </c>
      <c r="M3" s="49" t="str">
        <f>实盘持仓配置!M3</f>
        <v>014202.OF</v>
      </c>
      <c r="N3" s="49" t="str">
        <f>实盘持仓配置!N3</f>
        <v>015453.OF</v>
      </c>
      <c r="O3" s="49" t="str">
        <f>实盘持仓配置!O3</f>
        <v>015454.OF</v>
      </c>
      <c r="P3" s="49" t="str">
        <f>实盘持仓配置!P3</f>
        <v>016370.OF</v>
      </c>
      <c r="Q3" s="49" t="str">
        <f>实盘持仓配置!Q3</f>
        <v>017488.OF</v>
      </c>
      <c r="R3" s="49" t="str">
        <f>实盘持仓配置!R3</f>
        <v>017489.OF</v>
      </c>
      <c r="S3" s="49" t="str">
        <f>实盘持仓配置!S3</f>
        <v>017612.OF</v>
      </c>
      <c r="T3" s="49" t="str">
        <f>实盘持仓配置!T3</f>
        <v>019632.OF</v>
      </c>
      <c r="U3" s="49" t="str">
        <f>实盘持仓配置!U3</f>
        <v>019633.OF</v>
      </c>
      <c r="V3" s="49" t="str">
        <f>实盘持仓配置!V3</f>
        <v>019923.OF</v>
      </c>
      <c r="W3" s="49" t="str">
        <f>实盘持仓配置!W3</f>
        <v>019924.OF</v>
      </c>
      <c r="X3" s="49" t="str">
        <f>实盘持仓配置!X3</f>
        <v>161119.OF</v>
      </c>
    </row>
    <row r="4" spans="1:24" ht="52" customHeight="1">
      <c r="A4" s="98" t="str">
        <f ca="1">[1]!HX_AutoDate(1,"2026-06-18",A2,-1,-1,0,0,0,0,0,"SSE",38,0)</f>
        <v>日期</v>
      </c>
      <c r="B4" s="45" t="s">
        <v>11</v>
      </c>
      <c r="C4" s="45" t="s">
        <v>14</v>
      </c>
      <c r="D4" s="45" t="s">
        <v>2</v>
      </c>
      <c r="E4" s="45" t="s">
        <v>138</v>
      </c>
      <c r="F4" s="45" t="s">
        <v>139</v>
      </c>
      <c r="G4" s="45" t="s">
        <v>13</v>
      </c>
      <c r="H4" s="45" t="s">
        <v>140</v>
      </c>
      <c r="I4" s="45" t="s">
        <v>141</v>
      </c>
      <c r="J4" s="45" t="s">
        <v>5</v>
      </c>
      <c r="K4" s="45" t="s">
        <v>142</v>
      </c>
      <c r="L4" s="45" t="s">
        <v>7</v>
      </c>
      <c r="M4" s="45" t="s">
        <v>143</v>
      </c>
      <c r="N4" s="45" t="s">
        <v>6</v>
      </c>
      <c r="O4" s="45" t="s">
        <v>144</v>
      </c>
      <c r="P4" s="45" t="s">
        <v>3</v>
      </c>
      <c r="Q4" s="45" t="s">
        <v>4</v>
      </c>
      <c r="R4" s="45" t="s">
        <v>145</v>
      </c>
      <c r="S4" s="45" t="s">
        <v>146</v>
      </c>
      <c r="T4" s="45" t="s">
        <v>12</v>
      </c>
      <c r="U4" s="45" t="s">
        <v>147</v>
      </c>
      <c r="V4" s="45" t="s">
        <v>8</v>
      </c>
      <c r="W4" s="45" t="s">
        <v>148</v>
      </c>
      <c r="X4" s="45" t="s">
        <v>10</v>
      </c>
    </row>
    <row r="5" spans="1:24">
      <c r="A5" s="111">
        <v>46191</v>
      </c>
      <c r="B5" s="112">
        <f>IF($A5="","",[1]!thsiFinD("ths_adjustment_nv_fund",B$3,$A5))</f>
        <v>3.2441</v>
      </c>
      <c r="C5" s="112">
        <f>IF($A5="","",[1]!thsiFinD("ths_adjustment_nv_fund",C$3,$A5))</f>
        <v>1.3172784822000001</v>
      </c>
      <c r="D5" s="112">
        <f>IF($A5="","",[1]!thsiFinD("ths_adjustment_nv_fund",D$3,$A5))</f>
        <v>6.0620000000000003</v>
      </c>
      <c r="E5" s="112">
        <f>IF($A5="","",[1]!thsiFinD("ths_adjustment_nv_fund",E$3,$A5))</f>
        <v>1.9903999999999999</v>
      </c>
      <c r="F5" s="112">
        <f>IF($A5="","",[1]!thsiFinD("ths_adjustment_nv_fund",F$3,$A5))</f>
        <v>1.9343999999999999</v>
      </c>
      <c r="G5" s="112">
        <f>IF($A5="","",[1]!thsiFinD("ths_adjustment_nv_fund",G$3,$A5))</f>
        <v>5.0274999999999999</v>
      </c>
      <c r="H5" s="112">
        <f>IF($A5="","",[1]!thsiFinD("ths_adjustment_nv_fund",H$3,$A5))</f>
        <v>4.9215</v>
      </c>
      <c r="I5" s="112">
        <f>IF($A5="","",[1]!thsiFinD("ths_adjustment_nv_fund",I$3,$A5))</f>
        <v>2.9226000000000001</v>
      </c>
      <c r="J5" s="112">
        <f>IF($A5="","",[1]!thsiFinD("ths_adjustment_nv_fund",J$3,$A5))</f>
        <v>3.0303</v>
      </c>
      <c r="K5" s="112">
        <f>IF($A5="","",[1]!thsiFinD("ths_adjustment_nv_fund",K$3,$A5))</f>
        <v>3.0028999999999999</v>
      </c>
      <c r="L5" s="112">
        <f>IF($A5="","",[1]!thsiFinD("ths_adjustment_nv_fund",L$3,$A5))</f>
        <v>1.7014</v>
      </c>
      <c r="M5" s="112">
        <f>IF($A5="","",[1]!thsiFinD("ths_adjustment_nv_fund",M$3,$A5))</f>
        <v>1.679</v>
      </c>
      <c r="N5" s="112">
        <f>IF($A5="","",[1]!thsiFinD("ths_adjustment_nv_fund",N$3,$A5))</f>
        <v>1.6274999999999999</v>
      </c>
      <c r="O5" s="112">
        <f>IF($A5="","",[1]!thsiFinD("ths_adjustment_nv_fund",O$3,$A5))</f>
        <v>1.5879000000000001</v>
      </c>
      <c r="P5" s="112">
        <f>IF($A5="","",[1]!thsiFinD("ths_adjustment_nv_fund",P$3,$A5))</f>
        <v>3.6402000000000001</v>
      </c>
      <c r="Q5" s="112">
        <f>IF($A5="","",[1]!thsiFinD("ths_adjustment_nv_fund",Q$3,$A5))</f>
        <v>4.3864000000000001</v>
      </c>
      <c r="R5" s="112">
        <f>IF($A5="","",[1]!thsiFinD("ths_adjustment_nv_fund",R$3,$A5))</f>
        <v>4.2961999999999998</v>
      </c>
      <c r="S5" s="112">
        <f>IF($A5="","",[1]!thsiFinD("ths_adjustment_nv_fund",S$3,$A5))</f>
        <v>6.0010000000000003</v>
      </c>
      <c r="T5" s="112">
        <f>IF($A5="","",[1]!thsiFinD("ths_adjustment_nv_fund",T$3,$A5))</f>
        <v>2.9918</v>
      </c>
      <c r="U5" s="112">
        <f>IF($A5="","",[1]!thsiFinD("ths_adjustment_nv_fund",U$3,$A5))</f>
        <v>2.9763999999999999</v>
      </c>
      <c r="V5" s="112">
        <f>IF($A5="","",[1]!thsiFinD("ths_adjustment_nv_fund",V$3,$A5))</f>
        <v>2.1385999999999998</v>
      </c>
      <c r="W5" s="112">
        <f>IF($A5="","",[1]!thsiFinD("ths_adjustment_nv_fund",W$3,$A5))</f>
        <v>2.1181000000000001</v>
      </c>
      <c r="X5" s="112">
        <f>IF($A5="","",[1]!thsiFinD("ths_adjustment_nv_fund",X$3,$A5))</f>
        <v>1.7868999999999999</v>
      </c>
    </row>
    <row r="6" spans="1:24">
      <c r="A6" s="111">
        <v>46195</v>
      </c>
      <c r="B6" s="112">
        <f>IF($A6="","",[1]!thsiFinD("ths_adjustment_nv_fund",B$3,$A6))</f>
        <v>3.1680000000000001</v>
      </c>
      <c r="C6" s="112">
        <f>IF($A6="","",[1]!thsiFinD("ths_adjustment_nv_fund",C$3,$A6))</f>
        <v>1.3174603815000001</v>
      </c>
      <c r="D6" s="112">
        <f>IF($A6="","",[1]!thsiFinD("ths_adjustment_nv_fund",D$3,$A6))</f>
        <v>6.2590000000000003</v>
      </c>
      <c r="E6" s="112">
        <f>IF($A6="","",[1]!thsiFinD("ths_adjustment_nv_fund",E$3,$A6))</f>
        <v>2.0345</v>
      </c>
      <c r="F6" s="112">
        <f>IF($A6="","",[1]!thsiFinD("ths_adjustment_nv_fund",F$3,$A6))</f>
        <v>1.9772000000000001</v>
      </c>
      <c r="G6" s="112">
        <f>IF($A6="","",[1]!thsiFinD("ths_adjustment_nv_fund",G$3,$A6))</f>
        <v>5.1120999999999999</v>
      </c>
      <c r="H6" s="112">
        <f>IF($A6="","",[1]!thsiFinD("ths_adjustment_nv_fund",H$3,$A6))</f>
        <v>5.0042</v>
      </c>
      <c r="I6" s="112">
        <f>IF($A6="","",[1]!thsiFinD("ths_adjustment_nv_fund",I$3,$A6))</f>
        <v>2.9904999999999999</v>
      </c>
      <c r="J6" s="112">
        <f>IF($A6="","",[1]!thsiFinD("ths_adjustment_nv_fund",J$3,$A6))</f>
        <v>3.0779000000000001</v>
      </c>
      <c r="K6" s="112">
        <f>IF($A6="","",[1]!thsiFinD("ths_adjustment_nv_fund",K$3,$A6))</f>
        <v>3.05</v>
      </c>
      <c r="L6" s="112">
        <f>IF($A6="","",[1]!thsiFinD("ths_adjustment_nv_fund",L$3,$A6))</f>
        <v>1.7336</v>
      </c>
      <c r="M6" s="112">
        <f>IF($A6="","",[1]!thsiFinD("ths_adjustment_nv_fund",M$3,$A6))</f>
        <v>1.7107000000000001</v>
      </c>
      <c r="N6" s="112">
        <f>IF($A6="","",[1]!thsiFinD("ths_adjustment_nv_fund",N$3,$A6))</f>
        <v>1.6669</v>
      </c>
      <c r="O6" s="112">
        <f>IF($A6="","",[1]!thsiFinD("ths_adjustment_nv_fund",O$3,$A6))</f>
        <v>1.6263000000000001</v>
      </c>
      <c r="P6" s="112">
        <f>IF($A6="","",[1]!thsiFinD("ths_adjustment_nv_fund",P$3,$A6))</f>
        <v>3.7212000000000001</v>
      </c>
      <c r="Q6" s="112">
        <f>IF($A6="","",[1]!thsiFinD("ths_adjustment_nv_fund",Q$3,$A6))</f>
        <v>4.5077999999999996</v>
      </c>
      <c r="R6" s="112">
        <f>IF($A6="","",[1]!thsiFinD("ths_adjustment_nv_fund",R$3,$A6))</f>
        <v>4.4147999999999996</v>
      </c>
      <c r="S6" s="112">
        <f>IF($A6="","",[1]!thsiFinD("ths_adjustment_nv_fund",S$3,$A6))</f>
        <v>6.1959999999999997</v>
      </c>
      <c r="T6" s="112">
        <f>IF($A6="","",[1]!thsiFinD("ths_adjustment_nv_fund",T$3,$A6))</f>
        <v>3.0754000000000001</v>
      </c>
      <c r="U6" s="112">
        <f>IF($A6="","",[1]!thsiFinD("ths_adjustment_nv_fund",U$3,$A6))</f>
        <v>3.0594999999999999</v>
      </c>
      <c r="V6" s="112">
        <f>IF($A6="","",[1]!thsiFinD("ths_adjustment_nv_fund",V$3,$A6))</f>
        <v>2.1396999999999999</v>
      </c>
      <c r="W6" s="112">
        <f>IF($A6="","",[1]!thsiFinD("ths_adjustment_nv_fund",W$3,$A6))</f>
        <v>2.1191</v>
      </c>
      <c r="X6" s="112">
        <f>IF($A6="","",[1]!thsiFinD("ths_adjustment_nv_fund",X$3,$A6))</f>
        <v>1.7870999999999999</v>
      </c>
    </row>
    <row r="7" spans="1:24">
      <c r="A7" s="111">
        <v>46196</v>
      </c>
      <c r="B7" s="112">
        <f>IF($A7="","",[1]!thsiFinD("ths_adjustment_nv_fund",B$3,$A7))</f>
        <v>3.1160000000000001</v>
      </c>
      <c r="C7" s="112">
        <f>IF($A7="","",[1]!thsiFinD("ths_adjustment_nv_fund",C$3,$A7))</f>
        <v>1.3175125002000001</v>
      </c>
      <c r="D7" s="112">
        <f>IF($A7="","",[1]!thsiFinD("ths_adjustment_nv_fund",D$3,$A7))</f>
        <v>5.9960000000000004</v>
      </c>
      <c r="E7" s="112">
        <f>IF($A7="","",[1]!thsiFinD("ths_adjustment_nv_fund",E$3,$A7))</f>
        <v>1.9837</v>
      </c>
      <c r="F7" s="112">
        <f>IF($A7="","",[1]!thsiFinD("ths_adjustment_nv_fund",F$3,$A7))</f>
        <v>1.9278</v>
      </c>
      <c r="G7" s="112">
        <f>IF($A7="","",[1]!thsiFinD("ths_adjustment_nv_fund",G$3,$A7))</f>
        <v>4.9664999999999999</v>
      </c>
      <c r="H7" s="112">
        <f>IF($A7="","",[1]!thsiFinD("ths_adjustment_nv_fund",H$3,$A7))</f>
        <v>4.8616000000000001</v>
      </c>
      <c r="I7" s="112">
        <f>IF($A7="","",[1]!thsiFinD("ths_adjustment_nv_fund",I$3,$A7))</f>
        <v>2.9276</v>
      </c>
      <c r="J7" s="112">
        <f>IF($A7="","",[1]!thsiFinD("ths_adjustment_nv_fund",J$3,$A7))</f>
        <v>3.1004999999999998</v>
      </c>
      <c r="K7" s="112">
        <f>IF($A7="","",[1]!thsiFinD("ths_adjustment_nv_fund",K$3,$A7))</f>
        <v>3.0724</v>
      </c>
      <c r="L7" s="112">
        <f>IF($A7="","",[1]!thsiFinD("ths_adjustment_nv_fund",L$3,$A7))</f>
        <v>1.6997</v>
      </c>
      <c r="M7" s="112">
        <f>IF($A7="","",[1]!thsiFinD("ths_adjustment_nv_fund",M$3,$A7))</f>
        <v>1.6772</v>
      </c>
      <c r="N7" s="112">
        <f>IF($A7="","",[1]!thsiFinD("ths_adjustment_nv_fund",N$3,$A7))</f>
        <v>1.6389</v>
      </c>
      <c r="O7" s="112">
        <f>IF($A7="","",[1]!thsiFinD("ths_adjustment_nv_fund",O$3,$A7))</f>
        <v>1.5989</v>
      </c>
      <c r="P7" s="112">
        <f>IF($A7="","",[1]!thsiFinD("ths_adjustment_nv_fund",P$3,$A7))</f>
        <v>3.6162000000000001</v>
      </c>
      <c r="Q7" s="112">
        <f>IF($A7="","",[1]!thsiFinD("ths_adjustment_nv_fund",Q$3,$A7))</f>
        <v>4.4028</v>
      </c>
      <c r="R7" s="112">
        <f>IF($A7="","",[1]!thsiFinD("ths_adjustment_nv_fund",R$3,$A7))</f>
        <v>4.3118999999999996</v>
      </c>
      <c r="S7" s="112">
        <f>IF($A7="","",[1]!thsiFinD("ths_adjustment_nv_fund",S$3,$A7))</f>
        <v>5.9349999999999996</v>
      </c>
      <c r="T7" s="112">
        <f>IF($A7="","",[1]!thsiFinD("ths_adjustment_nv_fund",T$3,$A7))</f>
        <v>3.0746000000000002</v>
      </c>
      <c r="U7" s="112">
        <f>IF($A7="","",[1]!thsiFinD("ths_adjustment_nv_fund",U$3,$A7))</f>
        <v>3.0587</v>
      </c>
      <c r="V7" s="112">
        <f>IF($A7="","",[1]!thsiFinD("ths_adjustment_nv_fund",V$3,$A7))</f>
        <v>2.1276000000000002</v>
      </c>
      <c r="W7" s="112">
        <f>IF($A7="","",[1]!thsiFinD("ths_adjustment_nv_fund",W$3,$A7))</f>
        <v>2.1071</v>
      </c>
      <c r="X7" s="112">
        <f>IF($A7="","",[1]!thsiFinD("ths_adjustment_nv_fund",X$3,$A7))</f>
        <v>1.7863</v>
      </c>
    </row>
    <row r="8" spans="1:24">
      <c r="A8" s="111">
        <v>46197</v>
      </c>
      <c r="B8" s="112">
        <f>IF($A8="","",[1]!thsiFinD("ths_adjustment_nv_fund",B$3,$A8))</f>
        <v>3.0983999999999998</v>
      </c>
      <c r="C8" s="112">
        <f>IF($A8="","",[1]!thsiFinD("ths_adjustment_nv_fund",C$3,$A8))</f>
        <v>1.3175573088000001</v>
      </c>
      <c r="D8" s="112">
        <f>IF($A8="","",[1]!thsiFinD("ths_adjustment_nv_fund",D$3,$A8))</f>
        <v>6.1130000000000004</v>
      </c>
      <c r="E8" s="112">
        <f>IF($A8="","",[1]!thsiFinD("ths_adjustment_nv_fund",E$3,$A8))</f>
        <v>1.9931000000000001</v>
      </c>
      <c r="F8" s="112">
        <f>IF($A8="","",[1]!thsiFinD("ths_adjustment_nv_fund",F$3,$A8))</f>
        <v>1.9369000000000001</v>
      </c>
      <c r="G8" s="112">
        <f>IF($A8="","",[1]!thsiFinD("ths_adjustment_nv_fund",G$3,$A8))</f>
        <v>5.0423</v>
      </c>
      <c r="H8" s="112">
        <f>IF($A8="","",[1]!thsiFinD("ths_adjustment_nv_fund",H$3,$A8))</f>
        <v>4.9356999999999998</v>
      </c>
      <c r="I8" s="112">
        <f>IF($A8="","",[1]!thsiFinD("ths_adjustment_nv_fund",I$3,$A8))</f>
        <v>3.0529000000000002</v>
      </c>
      <c r="J8" s="112">
        <f>IF($A8="","",[1]!thsiFinD("ths_adjustment_nv_fund",J$3,$A8))</f>
        <v>3.3530000000000002</v>
      </c>
      <c r="K8" s="112">
        <f>IF($A8="","",[1]!thsiFinD("ths_adjustment_nv_fund",K$3,$A8))</f>
        <v>3.3226</v>
      </c>
      <c r="L8" s="112">
        <f>IF($A8="","",[1]!thsiFinD("ths_adjustment_nv_fund",L$3,$A8))</f>
        <v>1.7213000000000001</v>
      </c>
      <c r="M8" s="112">
        <f>IF($A8="","",[1]!thsiFinD("ths_adjustment_nv_fund",M$3,$A8))</f>
        <v>1.6984999999999999</v>
      </c>
      <c r="N8" s="112">
        <f>IF($A8="","",[1]!thsiFinD("ths_adjustment_nv_fund",N$3,$A8))</f>
        <v>1.6618999999999999</v>
      </c>
      <c r="O8" s="112">
        <f>IF($A8="","",[1]!thsiFinD("ths_adjustment_nv_fund",O$3,$A8))</f>
        <v>1.6214</v>
      </c>
      <c r="P8" s="112">
        <f>IF($A8="","",[1]!thsiFinD("ths_adjustment_nv_fund",P$3,$A8))</f>
        <v>3.7086999999999999</v>
      </c>
      <c r="Q8" s="112">
        <f>IF($A8="","",[1]!thsiFinD("ths_adjustment_nv_fund",Q$3,$A8))</f>
        <v>4.5109000000000004</v>
      </c>
      <c r="R8" s="112">
        <f>IF($A8="","",[1]!thsiFinD("ths_adjustment_nv_fund",R$3,$A8))</f>
        <v>4.4177</v>
      </c>
      <c r="S8" s="112">
        <f>IF($A8="","",[1]!thsiFinD("ths_adjustment_nv_fund",S$3,$A8))</f>
        <v>6.0510000000000002</v>
      </c>
      <c r="T8" s="112">
        <f>IF($A8="","",[1]!thsiFinD("ths_adjustment_nv_fund",T$3,$A8))</f>
        <v>3.2309000000000001</v>
      </c>
      <c r="U8" s="112">
        <f>IF($A8="","",[1]!thsiFinD("ths_adjustment_nv_fund",U$3,$A8))</f>
        <v>3.2141000000000002</v>
      </c>
      <c r="V8" s="112">
        <f>IF($A8="","",[1]!thsiFinD("ths_adjustment_nv_fund",V$3,$A8))</f>
        <v>2.1312000000000002</v>
      </c>
      <c r="W8" s="112">
        <f>IF($A8="","",[1]!thsiFinD("ths_adjustment_nv_fund",W$3,$A8))</f>
        <v>2.1107</v>
      </c>
      <c r="X8" s="112">
        <f>IF($A8="","",[1]!thsiFinD("ths_adjustment_nv_fund",X$3,$A8))</f>
        <v>1.7862</v>
      </c>
    </row>
    <row r="9" spans="1:24">
      <c r="A9" s="111">
        <v>46198</v>
      </c>
      <c r="B9" s="112">
        <f>IF($A9="","",[1]!thsiFinD("ths_adjustment_nv_fund",B$3,$A9))</f>
        <v>3.0308999999999999</v>
      </c>
      <c r="C9" s="112">
        <f>IF($A9="","",[1]!thsiFinD("ths_adjustment_nv_fund",C$3,$A9))</f>
        <v>1.3176050703</v>
      </c>
      <c r="D9" s="112">
        <f>IF($A9="","",[1]!thsiFinD("ths_adjustment_nv_fund",D$3,$A9))</f>
        <v>6.3120000000000003</v>
      </c>
      <c r="E9" s="112">
        <f>IF($A9="","",[1]!thsiFinD("ths_adjustment_nv_fund",E$3,$A9))</f>
        <v>2.0205000000000002</v>
      </c>
      <c r="F9" s="112">
        <f>IF($A9="","",[1]!thsiFinD("ths_adjustment_nv_fund",F$3,$A9))</f>
        <v>1.9635</v>
      </c>
      <c r="G9" s="112">
        <f>IF($A9="","",[1]!thsiFinD("ths_adjustment_nv_fund",G$3,$A9))</f>
        <v>5.1944999999999997</v>
      </c>
      <c r="H9" s="112">
        <f>IF($A9="","",[1]!thsiFinD("ths_adjustment_nv_fund",H$3,$A9))</f>
        <v>5.0848000000000004</v>
      </c>
      <c r="I9" s="112">
        <f>IF($A9="","",[1]!thsiFinD("ths_adjustment_nv_fund",I$3,$A9))</f>
        <v>3.1735000000000002</v>
      </c>
      <c r="J9" s="112">
        <f>IF($A9="","",[1]!thsiFinD("ths_adjustment_nv_fund",J$3,$A9))</f>
        <v>3.4601999999999999</v>
      </c>
      <c r="K9" s="112">
        <f>IF($A9="","",[1]!thsiFinD("ths_adjustment_nv_fund",K$3,$A9))</f>
        <v>3.4287000000000001</v>
      </c>
      <c r="L9" s="112">
        <f>IF($A9="","",[1]!thsiFinD("ths_adjustment_nv_fund",L$3,$A9))</f>
        <v>1.7283999999999999</v>
      </c>
      <c r="M9" s="112">
        <f>IF($A9="","",[1]!thsiFinD("ths_adjustment_nv_fund",M$3,$A9))</f>
        <v>1.7056</v>
      </c>
      <c r="N9" s="112">
        <f>IF($A9="","",[1]!thsiFinD("ths_adjustment_nv_fund",N$3,$A9))</f>
        <v>1.6739999999999999</v>
      </c>
      <c r="O9" s="112">
        <f>IF($A9="","",[1]!thsiFinD("ths_adjustment_nv_fund",O$3,$A9))</f>
        <v>1.6331</v>
      </c>
      <c r="P9" s="112">
        <f>IF($A9="","",[1]!thsiFinD("ths_adjustment_nv_fund",P$3,$A9))</f>
        <v>3.8424</v>
      </c>
      <c r="Q9" s="112">
        <f>IF($A9="","",[1]!thsiFinD("ths_adjustment_nv_fund",Q$3,$A9))</f>
        <v>4.6886000000000001</v>
      </c>
      <c r="R9" s="112">
        <f>IF($A9="","",[1]!thsiFinD("ths_adjustment_nv_fund",R$3,$A9))</f>
        <v>4.5915999999999997</v>
      </c>
      <c r="S9" s="112">
        <f>IF($A9="","",[1]!thsiFinD("ths_adjustment_nv_fund",S$3,$A9))</f>
        <v>6.2480000000000002</v>
      </c>
      <c r="T9" s="112">
        <f>IF($A9="","",[1]!thsiFinD("ths_adjustment_nv_fund",T$3,$A9))</f>
        <v>3.3209</v>
      </c>
      <c r="U9" s="112">
        <f>IF($A9="","",[1]!thsiFinD("ths_adjustment_nv_fund",U$3,$A9))</f>
        <v>3.3035999999999999</v>
      </c>
      <c r="V9" s="112">
        <f>IF($A9="","",[1]!thsiFinD("ths_adjustment_nv_fund",V$3,$A9))</f>
        <v>2.1113</v>
      </c>
      <c r="W9" s="112">
        <f>IF($A9="","",[1]!thsiFinD("ths_adjustment_nv_fund",W$3,$A9))</f>
        <v>2.0909</v>
      </c>
      <c r="X9" s="112">
        <f>IF($A9="","",[1]!thsiFinD("ths_adjustment_nv_fund",X$3,$A9))</f>
        <v>1.7875000000000001</v>
      </c>
    </row>
    <row r="10" spans="1:24">
      <c r="A10" s="111">
        <v>46199</v>
      </c>
      <c r="B10" s="112">
        <f>IF($A10="","",[1]!thsiFinD("ths_adjustment_nv_fund",B$3,$A10))</f>
        <v>3.0598000000000001</v>
      </c>
      <c r="C10" s="112">
        <f>IF($A10="","",[1]!thsiFinD("ths_adjustment_nv_fund",C$3,$A10))</f>
        <v>1.3176496975</v>
      </c>
      <c r="D10" s="112">
        <f>IF($A10="","",[1]!thsiFinD("ths_adjustment_nv_fund",D$3,$A10))</f>
        <v>5.99</v>
      </c>
      <c r="E10" s="112">
        <f>IF($A10="","",[1]!thsiFinD("ths_adjustment_nv_fund",E$3,$A10))</f>
        <v>1.9618</v>
      </c>
      <c r="F10" s="112">
        <f>IF($A10="","",[1]!thsiFinD("ths_adjustment_nv_fund",F$3,$A10))</f>
        <v>1.9065000000000001</v>
      </c>
      <c r="G10" s="112">
        <f>IF($A10="","",[1]!thsiFinD("ths_adjustment_nv_fund",G$3,$A10))</f>
        <v>4.8685</v>
      </c>
      <c r="H10" s="112">
        <f>IF($A10="","",[1]!thsiFinD("ths_adjustment_nv_fund",H$3,$A10))</f>
        <v>4.7655000000000003</v>
      </c>
      <c r="I10" s="112">
        <f>IF($A10="","",[1]!thsiFinD("ths_adjustment_nv_fund",I$3,$A10))</f>
        <v>3.0956000000000001</v>
      </c>
      <c r="J10" s="112">
        <f>IF($A10="","",[1]!thsiFinD("ths_adjustment_nv_fund",J$3,$A10))</f>
        <v>3.5710000000000002</v>
      </c>
      <c r="K10" s="112">
        <f>IF($A10="","",[1]!thsiFinD("ths_adjustment_nv_fund",K$3,$A10))</f>
        <v>3.5386000000000002</v>
      </c>
      <c r="L10" s="112">
        <f>IF($A10="","",[1]!thsiFinD("ths_adjustment_nv_fund",L$3,$A10))</f>
        <v>1.6812</v>
      </c>
      <c r="M10" s="112">
        <f>IF($A10="","",[1]!thsiFinD("ths_adjustment_nv_fund",M$3,$A10))</f>
        <v>1.6589</v>
      </c>
      <c r="N10" s="112">
        <f>IF($A10="","",[1]!thsiFinD("ths_adjustment_nv_fund",N$3,$A10))</f>
        <v>1.6269</v>
      </c>
      <c r="O10" s="112">
        <f>IF($A10="","",[1]!thsiFinD("ths_adjustment_nv_fund",O$3,$A10))</f>
        <v>1.5871</v>
      </c>
      <c r="P10" s="112">
        <f>IF($A10="","",[1]!thsiFinD("ths_adjustment_nv_fund",P$3,$A10))</f>
        <v>3.5971000000000002</v>
      </c>
      <c r="Q10" s="112">
        <f>IF($A10="","",[1]!thsiFinD("ths_adjustment_nv_fund",Q$3,$A10))</f>
        <v>4.4157999999999999</v>
      </c>
      <c r="R10" s="112">
        <f>IF($A10="","",[1]!thsiFinD("ths_adjustment_nv_fund",R$3,$A10))</f>
        <v>4.3243999999999998</v>
      </c>
      <c r="S10" s="112">
        <f>IF($A10="","",[1]!thsiFinD("ths_adjustment_nv_fund",S$3,$A10))</f>
        <v>5.93</v>
      </c>
      <c r="T10" s="112">
        <f>IF($A10="","",[1]!thsiFinD("ths_adjustment_nv_fund",T$3,$A10))</f>
        <v>3.4331</v>
      </c>
      <c r="U10" s="112">
        <f>IF($A10="","",[1]!thsiFinD("ths_adjustment_nv_fund",U$3,$A10))</f>
        <v>3.4152999999999998</v>
      </c>
      <c r="V10" s="112">
        <f>IF($A10="","",[1]!thsiFinD("ths_adjustment_nv_fund",V$3,$A10))</f>
        <v>2.0535000000000001</v>
      </c>
      <c r="W10" s="112">
        <f>IF($A10="","",[1]!thsiFinD("ths_adjustment_nv_fund",W$3,$A10))</f>
        <v>2.0337000000000001</v>
      </c>
      <c r="X10" s="112">
        <f>IF($A10="","",[1]!thsiFinD("ths_adjustment_nv_fund",X$3,$A10))</f>
        <v>1.788</v>
      </c>
    </row>
    <row r="11" spans="1:24">
      <c r="A11" s="111">
        <v>46202</v>
      </c>
      <c r="B11" s="112">
        <f>IF($A11="","",[1]!thsiFinD("ths_adjustment_nv_fund",B$3,$A11))</f>
        <v>3.0722999999999998</v>
      </c>
      <c r="C11" s="112">
        <f>IF($A11="","",[1]!thsiFinD("ths_adjustment_nv_fund",C$3,$A11))</f>
        <v>1.3177907965</v>
      </c>
      <c r="D11" s="112">
        <f>IF($A11="","",[1]!thsiFinD("ths_adjustment_nv_fund",D$3,$A11))</f>
        <v>5.7949999999999999</v>
      </c>
      <c r="E11" s="112">
        <f>IF($A11="","",[1]!thsiFinD("ths_adjustment_nv_fund",E$3,$A11))</f>
        <v>1.9811000000000001</v>
      </c>
      <c r="F11" s="112">
        <f>IF($A11="","",[1]!thsiFinD("ths_adjustment_nv_fund",F$3,$A11))</f>
        <v>1.9252</v>
      </c>
      <c r="G11" s="112">
        <f>IF($A11="","",[1]!thsiFinD("ths_adjustment_nv_fund",G$3,$A11))</f>
        <v>4.7591999999999999</v>
      </c>
      <c r="H11" s="112">
        <f>IF($A11="","",[1]!thsiFinD("ths_adjustment_nv_fund",H$3,$A11))</f>
        <v>4.6585000000000001</v>
      </c>
      <c r="I11" s="112">
        <f>IF($A11="","",[1]!thsiFinD("ths_adjustment_nv_fund",I$3,$A11))</f>
        <v>3.1442000000000001</v>
      </c>
      <c r="J11" s="112">
        <f>IF($A11="","",[1]!thsiFinD("ths_adjustment_nv_fund",J$3,$A11))</f>
        <v>3.8559000000000001</v>
      </c>
      <c r="K11" s="112">
        <f>IF($A11="","",[1]!thsiFinD("ths_adjustment_nv_fund",K$3,$A11))</f>
        <v>3.8208000000000002</v>
      </c>
      <c r="L11" s="112">
        <f>IF($A11="","",[1]!thsiFinD("ths_adjustment_nv_fund",L$3,$A11))</f>
        <v>1.6827000000000001</v>
      </c>
      <c r="M11" s="112">
        <f>IF($A11="","",[1]!thsiFinD("ths_adjustment_nv_fund",M$3,$A11))</f>
        <v>1.6604000000000001</v>
      </c>
      <c r="N11" s="112">
        <f>IF($A11="","",[1]!thsiFinD("ths_adjustment_nv_fund",N$3,$A11))</f>
        <v>1.6415</v>
      </c>
      <c r="O11" s="112">
        <f>IF($A11="","",[1]!thsiFinD("ths_adjustment_nv_fund",O$3,$A11))</f>
        <v>1.6012999999999999</v>
      </c>
      <c r="P11" s="112">
        <f>IF($A11="","",[1]!thsiFinD("ths_adjustment_nv_fund",P$3,$A11))</f>
        <v>3.4931000000000001</v>
      </c>
      <c r="Q11" s="112">
        <f>IF($A11="","",[1]!thsiFinD("ths_adjustment_nv_fund",Q$3,$A11))</f>
        <v>4.3342999999999998</v>
      </c>
      <c r="R11" s="112">
        <f>IF($A11="","",[1]!thsiFinD("ths_adjustment_nv_fund",R$3,$A11))</f>
        <v>4.2443999999999997</v>
      </c>
      <c r="S11" s="112">
        <f>IF($A11="","",[1]!thsiFinD("ths_adjustment_nv_fund",S$3,$A11))</f>
        <v>5.7359999999999998</v>
      </c>
      <c r="T11" s="112">
        <f>IF($A11="","",[1]!thsiFinD("ths_adjustment_nv_fund",T$3,$A11))</f>
        <v>3.7000999999999999</v>
      </c>
      <c r="U11" s="112">
        <f>IF($A11="","",[1]!thsiFinD("ths_adjustment_nv_fund",U$3,$A11))</f>
        <v>3.6808000000000001</v>
      </c>
      <c r="V11" s="112">
        <f>IF($A11="","",[1]!thsiFinD("ths_adjustment_nv_fund",V$3,$A11))</f>
        <v>2.0396999999999998</v>
      </c>
      <c r="W11" s="112">
        <f>IF($A11="","",[1]!thsiFinD("ths_adjustment_nv_fund",W$3,$A11))</f>
        <v>2.02</v>
      </c>
      <c r="X11" s="112">
        <f>IF($A11="","",[1]!thsiFinD("ths_adjustment_nv_fund",X$3,$A11))</f>
        <v>1.7897000000000001</v>
      </c>
    </row>
    <row r="12" spans="1:24">
      <c r="A12" s="111">
        <v>46203</v>
      </c>
      <c r="B12" s="112">
        <f>IF($A12="","",[1]!thsiFinD("ths_adjustment_nv_fund",B$3,$A12))</f>
        <v>3.0428999999999999</v>
      </c>
      <c r="C12" s="112">
        <f>IF($A12="","",[1]!thsiFinD("ths_adjustment_nv_fund",C$3,$A12))</f>
        <v>1.3178317665999999</v>
      </c>
      <c r="D12" s="112">
        <f>IF($A12="","",[1]!thsiFinD("ths_adjustment_nv_fund",D$3,$A12))</f>
        <v>6.024</v>
      </c>
      <c r="E12" s="112">
        <f>IF($A12="","",[1]!thsiFinD("ths_adjustment_nv_fund",E$3,$A12))</f>
        <v>2.0032000000000001</v>
      </c>
      <c r="F12" s="112">
        <f>IF($A12="","",[1]!thsiFinD("ths_adjustment_nv_fund",F$3,$A12))</f>
        <v>1.9466000000000001</v>
      </c>
      <c r="G12" s="112">
        <f>IF($A12="","",[1]!thsiFinD("ths_adjustment_nv_fund",G$3,$A12))</f>
        <v>4.9737</v>
      </c>
      <c r="H12" s="112">
        <f>IF($A12="","",[1]!thsiFinD("ths_adjustment_nv_fund",H$3,$A12))</f>
        <v>4.8684000000000003</v>
      </c>
      <c r="I12" s="112">
        <f>IF($A12="","",[1]!thsiFinD("ths_adjustment_nv_fund",I$3,$A12))</f>
        <v>3.2498999999999998</v>
      </c>
      <c r="J12" s="112">
        <f>IF($A12="","",[1]!thsiFinD("ths_adjustment_nv_fund",J$3,$A12))</f>
        <v>4.0259</v>
      </c>
      <c r="K12" s="112">
        <f>IF($A12="","",[1]!thsiFinD("ths_adjustment_nv_fund",K$3,$A12))</f>
        <v>3.9891999999999999</v>
      </c>
      <c r="L12" s="112">
        <f>IF($A12="","",[1]!thsiFinD("ths_adjustment_nv_fund",L$3,$A12))</f>
        <v>1.7173</v>
      </c>
      <c r="M12" s="112">
        <f>IF($A12="","",[1]!thsiFinD("ths_adjustment_nv_fund",M$3,$A12))</f>
        <v>1.6944999999999999</v>
      </c>
      <c r="N12" s="112">
        <f>IF($A12="","",[1]!thsiFinD("ths_adjustment_nv_fund",N$3,$A12))</f>
        <v>1.6697</v>
      </c>
      <c r="O12" s="112">
        <f>IF($A12="","",[1]!thsiFinD("ths_adjustment_nv_fund",O$3,$A12))</f>
        <v>1.6287</v>
      </c>
      <c r="P12" s="112">
        <f>IF($A12="","",[1]!thsiFinD("ths_adjustment_nv_fund",P$3,$A12))</f>
        <v>3.6819999999999999</v>
      </c>
      <c r="Q12" s="112">
        <f>IF($A12="","",[1]!thsiFinD("ths_adjustment_nv_fund",Q$3,$A12))</f>
        <v>4.5731000000000002</v>
      </c>
      <c r="R12" s="112">
        <f>IF($A12="","",[1]!thsiFinD("ths_adjustment_nv_fund",R$3,$A12))</f>
        <v>4.4781000000000004</v>
      </c>
      <c r="S12" s="112">
        <f>IF($A12="","",[1]!thsiFinD("ths_adjustment_nv_fund",S$3,$A12))</f>
        <v>5.9619999999999997</v>
      </c>
      <c r="T12" s="112">
        <f>IF($A12="","",[1]!thsiFinD("ths_adjustment_nv_fund",T$3,$A12))</f>
        <v>3.8033999999999999</v>
      </c>
      <c r="U12" s="112">
        <f>IF($A12="","",[1]!thsiFinD("ths_adjustment_nv_fund",U$3,$A12))</f>
        <v>3.7835999999999999</v>
      </c>
      <c r="V12" s="112">
        <f>IF($A12="","",[1]!thsiFinD("ths_adjustment_nv_fund",V$3,$A12))</f>
        <v>2.1004</v>
      </c>
      <c r="W12" s="112">
        <f>IF($A12="","",[1]!thsiFinD("ths_adjustment_nv_fund",W$3,$A12))</f>
        <v>2.08</v>
      </c>
      <c r="X12" s="112">
        <f>IF($A12="","",[1]!thsiFinD("ths_adjustment_nv_fund",X$3,$A12))</f>
        <v>1.7882</v>
      </c>
    </row>
    <row r="13" spans="1:24">
      <c r="A13" s="111">
        <v>46204</v>
      </c>
      <c r="B13" s="112">
        <f>IF($A13="","",[1]!thsiFinD("ths_adjustment_nv_fund",B$3,$A13))</f>
        <v>3.0102000000000002</v>
      </c>
      <c r="C13" s="112">
        <f>IF($A13="","",[1]!thsiFinD("ths_adjustment_nv_fund",C$3,$A13))</f>
        <v>1.3178766124000001</v>
      </c>
      <c r="D13" s="112">
        <f>IF($A13="","",[1]!thsiFinD("ths_adjustment_nv_fund",D$3,$A13))</f>
        <v>5.7770000000000001</v>
      </c>
      <c r="E13" s="112">
        <f>IF($A13="","",[1]!thsiFinD("ths_adjustment_nv_fund",E$3,$A13))</f>
        <v>1.9953000000000001</v>
      </c>
      <c r="F13" s="112">
        <f>IF($A13="","",[1]!thsiFinD("ths_adjustment_nv_fund",F$3,$A13))</f>
        <v>1.9389000000000001</v>
      </c>
      <c r="G13" s="112">
        <f>IF($A13="","",[1]!thsiFinD("ths_adjustment_nv_fund",G$3,$A13))</f>
        <v>4.7699999999999996</v>
      </c>
      <c r="H13" s="112">
        <f>IF($A13="","",[1]!thsiFinD("ths_adjustment_nv_fund",H$3,$A13))</f>
        <v>4.6688999999999998</v>
      </c>
      <c r="I13" s="112">
        <f>IF($A13="","",[1]!thsiFinD("ths_adjustment_nv_fund",I$3,$A13))</f>
        <v>3.1869000000000001</v>
      </c>
      <c r="J13" s="112">
        <f>IF($A13="","",[1]!thsiFinD("ths_adjustment_nv_fund",J$3,$A13))</f>
        <v>3.9714999999999998</v>
      </c>
      <c r="K13" s="112">
        <f>IF($A13="","",[1]!thsiFinD("ths_adjustment_nv_fund",K$3,$A13))</f>
        <v>3.9352999999999998</v>
      </c>
      <c r="L13" s="112">
        <f>IF($A13="","",[1]!thsiFinD("ths_adjustment_nv_fund",L$3,$A13))</f>
        <v>1.7427999999999999</v>
      </c>
      <c r="M13" s="112">
        <f>IF($A13="","",[1]!thsiFinD("ths_adjustment_nv_fund",M$3,$A13))</f>
        <v>1.7196</v>
      </c>
      <c r="N13" s="112">
        <f>IF($A13="","",[1]!thsiFinD("ths_adjustment_nv_fund",N$3,$A13))</f>
        <v>1.6754</v>
      </c>
      <c r="O13" s="112">
        <f>IF($A13="","",[1]!thsiFinD("ths_adjustment_nv_fund",O$3,$A13))</f>
        <v>1.6342000000000001</v>
      </c>
      <c r="P13" s="112">
        <f>IF($A13="","",[1]!thsiFinD("ths_adjustment_nv_fund",P$3,$A13))</f>
        <v>3.4897</v>
      </c>
      <c r="Q13" s="112">
        <f>IF($A13="","",[1]!thsiFinD("ths_adjustment_nv_fund",Q$3,$A13))</f>
        <v>4.3589000000000002</v>
      </c>
      <c r="R13" s="112">
        <f>IF($A13="","",[1]!thsiFinD("ths_adjustment_nv_fund",R$3,$A13))</f>
        <v>4.2683</v>
      </c>
      <c r="S13" s="112">
        <f>IF($A13="","",[1]!thsiFinD("ths_adjustment_nv_fund",S$3,$A13))</f>
        <v>5.718</v>
      </c>
      <c r="T13" s="112">
        <f>IF($A13="","",[1]!thsiFinD("ths_adjustment_nv_fund",T$3,$A13))</f>
        <v>3.8296000000000001</v>
      </c>
      <c r="U13" s="112">
        <f>IF($A13="","",[1]!thsiFinD("ths_adjustment_nv_fund",U$3,$A13))</f>
        <v>3.8096999999999999</v>
      </c>
      <c r="V13" s="112">
        <f>IF($A13="","",[1]!thsiFinD("ths_adjustment_nv_fund",V$3,$A13))</f>
        <v>2.1280000000000001</v>
      </c>
      <c r="W13" s="112">
        <f>IF($A13="","",[1]!thsiFinD("ths_adjustment_nv_fund",W$3,$A13))</f>
        <v>2.1073</v>
      </c>
      <c r="X13" s="112">
        <f>IF($A13="","",[1]!thsiFinD("ths_adjustment_nv_fund",X$3,$A13))</f>
        <v>1.7865</v>
      </c>
    </row>
    <row r="14" spans="1:24">
      <c r="A14" s="111">
        <v>46205</v>
      </c>
      <c r="B14" s="112">
        <f>IF($A14="","",[1]!thsiFinD("ths_adjustment_nv_fund",B$3,$A14))</f>
        <v>3.0728</v>
      </c>
      <c r="C14" s="112">
        <f>IF($A14="","",[1]!thsiFinD("ths_adjustment_nv_fund",C$3,$A14))</f>
        <v>1.3179214992999999</v>
      </c>
      <c r="D14" s="112">
        <f>IF($A14="","",[1]!thsiFinD("ths_adjustment_nv_fund",D$3,$A14))</f>
        <v>5.3630000000000004</v>
      </c>
      <c r="E14" s="112">
        <f>IF($A14="","",[1]!thsiFinD("ths_adjustment_nv_fund",E$3,$A14))</f>
        <v>1.9340999999999999</v>
      </c>
      <c r="F14" s="112">
        <f>IF($A14="","",[1]!thsiFinD("ths_adjustment_nv_fund",F$3,$A14))</f>
        <v>1.8794999999999999</v>
      </c>
      <c r="G14" s="112">
        <f>IF($A14="","",[1]!thsiFinD("ths_adjustment_nv_fund",G$3,$A14))</f>
        <v>4.4048999999999996</v>
      </c>
      <c r="H14" s="112">
        <f>IF($A14="","",[1]!thsiFinD("ths_adjustment_nv_fund",H$3,$A14))</f>
        <v>4.3114999999999997</v>
      </c>
      <c r="I14" s="112">
        <f>IF($A14="","",[1]!thsiFinD("ths_adjustment_nv_fund",I$3,$A14))</f>
        <v>2.9270999999999998</v>
      </c>
      <c r="J14" s="112">
        <f>IF($A14="","",[1]!thsiFinD("ths_adjustment_nv_fund",J$3,$A14))</f>
        <v>3.5630000000000002</v>
      </c>
      <c r="K14" s="112">
        <f>IF($A14="","",[1]!thsiFinD("ths_adjustment_nv_fund",K$3,$A14))</f>
        <v>3.5305</v>
      </c>
      <c r="L14" s="112">
        <f>IF($A14="","",[1]!thsiFinD("ths_adjustment_nv_fund",L$3,$A14))</f>
        <v>1.7058</v>
      </c>
      <c r="M14" s="112">
        <f>IF($A14="","",[1]!thsiFinD("ths_adjustment_nv_fund",M$3,$A14))</f>
        <v>1.6831</v>
      </c>
      <c r="N14" s="112">
        <f>IF($A14="","",[1]!thsiFinD("ths_adjustment_nv_fund",N$3,$A14))</f>
        <v>1.6240000000000001</v>
      </c>
      <c r="O14" s="112">
        <f>IF($A14="","",[1]!thsiFinD("ths_adjustment_nv_fund",O$3,$A14))</f>
        <v>1.5841000000000001</v>
      </c>
      <c r="P14" s="112">
        <f>IF($A14="","",[1]!thsiFinD("ths_adjustment_nv_fund",P$3,$A14))</f>
        <v>3.149</v>
      </c>
      <c r="Q14" s="112">
        <f>IF($A14="","",[1]!thsiFinD("ths_adjustment_nv_fund",Q$3,$A14))</f>
        <v>3.9685999999999999</v>
      </c>
      <c r="R14" s="112">
        <f>IF($A14="","",[1]!thsiFinD("ths_adjustment_nv_fund",R$3,$A14))</f>
        <v>3.8860999999999999</v>
      </c>
      <c r="S14" s="112">
        <f>IF($A14="","",[1]!thsiFinD("ths_adjustment_nv_fund",S$3,$A14))</f>
        <v>5.3090000000000002</v>
      </c>
      <c r="T14" s="112">
        <f>IF($A14="","",[1]!thsiFinD("ths_adjustment_nv_fund",T$3,$A14))</f>
        <v>3.4958999999999998</v>
      </c>
      <c r="U14" s="112">
        <f>IF($A14="","",[1]!thsiFinD("ths_adjustment_nv_fund",U$3,$A14))</f>
        <v>3.4777</v>
      </c>
      <c r="V14" s="112">
        <f>IF($A14="","",[1]!thsiFinD("ths_adjustment_nv_fund",V$3,$A14))</f>
        <v>2.0951</v>
      </c>
      <c r="W14" s="112">
        <f>IF($A14="","",[1]!thsiFinD("ths_adjustment_nv_fund",W$3,$A14))</f>
        <v>2.0747</v>
      </c>
      <c r="X14" s="112">
        <f>IF($A14="","",[1]!thsiFinD("ths_adjustment_nv_fund",X$3,$A14))</f>
        <v>1.7867</v>
      </c>
    </row>
    <row r="15" spans="1:24">
      <c r="A15" s="111">
        <v>46206</v>
      </c>
      <c r="B15" s="112">
        <f>IF($A15="","",[1]!thsiFinD("ths_adjustment_nv_fund",B$3,$A15))</f>
        <v>3.1547000000000001</v>
      </c>
      <c r="C15" s="112">
        <f>IF($A15="","",[1]!thsiFinD("ths_adjustment_nv_fund",C$3,$A15))</f>
        <v>1.3179684832</v>
      </c>
      <c r="D15" s="112">
        <f>IF($A15="","",[1]!thsiFinD("ths_adjustment_nv_fund",D$3,$A15))</f>
        <v>5.4050000000000002</v>
      </c>
      <c r="E15" s="112">
        <f>IF($A15="","",[1]!thsiFinD("ths_adjustment_nv_fund",E$3,$A15))</f>
        <v>1.9475</v>
      </c>
      <c r="F15" s="112">
        <f>IF($A15="","",[1]!thsiFinD("ths_adjustment_nv_fund",F$3,$A15))</f>
        <v>1.8924000000000001</v>
      </c>
      <c r="G15" s="112">
        <f>IF($A15="","",[1]!thsiFinD("ths_adjustment_nv_fund",G$3,$A15))</f>
        <v>4.4032999999999998</v>
      </c>
      <c r="H15" s="112">
        <f>IF($A15="","",[1]!thsiFinD("ths_adjustment_nv_fund",H$3,$A15))</f>
        <v>4.3098999999999998</v>
      </c>
      <c r="I15" s="112">
        <f>IF($A15="","",[1]!thsiFinD("ths_adjustment_nv_fund",I$3,$A15))</f>
        <v>2.9794</v>
      </c>
      <c r="J15" s="112">
        <f>IF($A15="","",[1]!thsiFinD("ths_adjustment_nv_fund",J$3,$A15))</f>
        <v>3.4994999999999998</v>
      </c>
      <c r="K15" s="112">
        <f>IF($A15="","",[1]!thsiFinD("ths_adjustment_nv_fund",K$3,$A15))</f>
        <v>3.4676</v>
      </c>
      <c r="L15" s="112">
        <f>IF($A15="","",[1]!thsiFinD("ths_adjustment_nv_fund",L$3,$A15))</f>
        <v>1.7109000000000001</v>
      </c>
      <c r="M15" s="112">
        <f>IF($A15="","",[1]!thsiFinD("ths_adjustment_nv_fund",M$3,$A15))</f>
        <v>1.6881999999999999</v>
      </c>
      <c r="N15" s="112">
        <f>IF($A15="","",[1]!thsiFinD("ths_adjustment_nv_fund",N$3,$A15))</f>
        <v>1.6383000000000001</v>
      </c>
      <c r="O15" s="112">
        <f>IF($A15="","",[1]!thsiFinD("ths_adjustment_nv_fund",O$3,$A15))</f>
        <v>1.5980000000000001</v>
      </c>
      <c r="P15" s="112">
        <f>IF($A15="","",[1]!thsiFinD("ths_adjustment_nv_fund",P$3,$A15))</f>
        <v>3.1377000000000002</v>
      </c>
      <c r="Q15" s="112">
        <f>IF($A15="","",[1]!thsiFinD("ths_adjustment_nv_fund",Q$3,$A15))</f>
        <v>3.9687999999999999</v>
      </c>
      <c r="R15" s="112">
        <f>IF($A15="","",[1]!thsiFinD("ths_adjustment_nv_fund",R$3,$A15))</f>
        <v>3.8862999999999999</v>
      </c>
      <c r="S15" s="112">
        <f>IF($A15="","",[1]!thsiFinD("ths_adjustment_nv_fund",S$3,$A15))</f>
        <v>5.35</v>
      </c>
      <c r="T15" s="112">
        <f>IF($A15="","",[1]!thsiFinD("ths_adjustment_nv_fund",T$3,$A15))</f>
        <v>3.3914</v>
      </c>
      <c r="U15" s="112">
        <f>IF($A15="","",[1]!thsiFinD("ths_adjustment_nv_fund",U$3,$A15))</f>
        <v>3.3736999999999999</v>
      </c>
      <c r="V15" s="112">
        <f>IF($A15="","",[1]!thsiFinD("ths_adjustment_nv_fund",V$3,$A15))</f>
        <v>2.1027999999999998</v>
      </c>
      <c r="W15" s="112">
        <f>IF($A15="","",[1]!thsiFinD("ths_adjustment_nv_fund",W$3,$A15))</f>
        <v>2.0823</v>
      </c>
      <c r="X15" s="112">
        <f>IF($A15="","",[1]!thsiFinD("ths_adjustment_nv_fund",X$3,$A15))</f>
        <v>1.7863</v>
      </c>
    </row>
    <row r="16" spans="1:24">
      <c r="A16" s="111">
        <v>46209</v>
      </c>
      <c r="B16" s="112">
        <f>IF($A16="","",[1]!thsiFinD("ths_adjustment_nv_fund",B$3,$A16))</f>
        <v>3.145</v>
      </c>
      <c r="C16" s="112">
        <f>IF($A16="","",[1]!thsiFinD("ths_adjustment_nv_fund",C$3,$A16))</f>
        <v>1.3181064792999999</v>
      </c>
      <c r="D16" s="112">
        <f>IF($A16="","",[1]!thsiFinD("ths_adjustment_nv_fund",D$3,$A16))</f>
        <v>5.234</v>
      </c>
      <c r="E16" s="112">
        <f>IF($A16="","",[1]!thsiFinD("ths_adjustment_nv_fund",E$3,$A16))</f>
        <v>1.9455</v>
      </c>
      <c r="F16" s="112">
        <f>IF($A16="","",[1]!thsiFinD("ths_adjustment_nv_fund",F$3,$A16))</f>
        <v>1.8904000000000001</v>
      </c>
      <c r="G16" s="112">
        <f>IF($A16="","",[1]!thsiFinD("ths_adjustment_nv_fund",G$3,$A16))</f>
        <v>4.2538999999999998</v>
      </c>
      <c r="H16" s="112">
        <f>IF($A16="","",[1]!thsiFinD("ths_adjustment_nv_fund",H$3,$A16))</f>
        <v>4.1635999999999997</v>
      </c>
      <c r="I16" s="112">
        <f>IF($A16="","",[1]!thsiFinD("ths_adjustment_nv_fund",I$3,$A16))</f>
        <v>2.9167999999999998</v>
      </c>
      <c r="J16" s="112">
        <f>IF($A16="","",[1]!thsiFinD("ths_adjustment_nv_fund",J$3,$A16))</f>
        <v>3.5333999999999999</v>
      </c>
      <c r="K16" s="112">
        <f>IF($A16="","",[1]!thsiFinD("ths_adjustment_nv_fund",K$3,$A16))</f>
        <v>3.5011999999999999</v>
      </c>
      <c r="L16" s="112">
        <f>IF($A16="","",[1]!thsiFinD("ths_adjustment_nv_fund",L$3,$A16))</f>
        <v>1.6875</v>
      </c>
      <c r="M16" s="112">
        <f>IF($A16="","",[1]!thsiFinD("ths_adjustment_nv_fund",M$3,$A16))</f>
        <v>1.665</v>
      </c>
      <c r="N16" s="112">
        <f>IF($A16="","",[1]!thsiFinD("ths_adjustment_nv_fund",N$3,$A16))</f>
        <v>1.6289</v>
      </c>
      <c r="O16" s="112">
        <f>IF($A16="","",[1]!thsiFinD("ths_adjustment_nv_fund",O$3,$A16))</f>
        <v>1.5888</v>
      </c>
      <c r="P16" s="112">
        <f>IF($A16="","",[1]!thsiFinD("ths_adjustment_nv_fund",P$3,$A16))</f>
        <v>3.0129000000000001</v>
      </c>
      <c r="Q16" s="112">
        <f>IF($A16="","",[1]!thsiFinD("ths_adjustment_nv_fund",Q$3,$A16))</f>
        <v>3.8572000000000002</v>
      </c>
      <c r="R16" s="112">
        <f>IF($A16="","",[1]!thsiFinD("ths_adjustment_nv_fund",R$3,$A16))</f>
        <v>3.7768000000000002</v>
      </c>
      <c r="S16" s="112">
        <f>IF($A16="","",[1]!thsiFinD("ths_adjustment_nv_fund",S$3,$A16))</f>
        <v>5.18</v>
      </c>
      <c r="T16" s="112">
        <f>IF($A16="","",[1]!thsiFinD("ths_adjustment_nv_fund",T$3,$A16))</f>
        <v>3.3597000000000001</v>
      </c>
      <c r="U16" s="112">
        <f>IF($A16="","",[1]!thsiFinD("ths_adjustment_nv_fund",U$3,$A16))</f>
        <v>3.3420999999999998</v>
      </c>
      <c r="V16" s="112">
        <f>IF($A16="","",[1]!thsiFinD("ths_adjustment_nv_fund",V$3,$A16))</f>
        <v>2.0773000000000001</v>
      </c>
      <c r="W16" s="112">
        <f>IF($A16="","",[1]!thsiFinD("ths_adjustment_nv_fund",W$3,$A16))</f>
        <v>2.0569999999999999</v>
      </c>
      <c r="X16" s="112">
        <f>IF($A16="","",[1]!thsiFinD("ths_adjustment_nv_fund",X$3,$A16))</f>
        <v>1.7876000000000001</v>
      </c>
    </row>
    <row r="17" spans="1:24">
      <c r="A17" s="111">
        <v>46210</v>
      </c>
      <c r="B17" s="112">
        <f>IF($A17="","",[1]!thsiFinD("ths_adjustment_nv_fund",B$3,$A17))</f>
        <v>3.1265000000000001</v>
      </c>
      <c r="C17" s="112">
        <f>IF($A17="","",[1]!thsiFinD("ths_adjustment_nv_fund",C$3,$A17))</f>
        <v>1.3181508468000001</v>
      </c>
      <c r="D17" s="112">
        <f>IF($A17="","",[1]!thsiFinD("ths_adjustment_nv_fund",D$3,$A17))</f>
        <v>5.26</v>
      </c>
      <c r="E17" s="112">
        <f>IF($A17="","",[1]!thsiFinD("ths_adjustment_nv_fund",E$3,$A17))</f>
        <v>1.9216</v>
      </c>
      <c r="F17" s="112">
        <f>IF($A17="","",[1]!thsiFinD("ths_adjustment_nv_fund",F$3,$A17))</f>
        <v>1.8671</v>
      </c>
      <c r="G17" s="112">
        <f>IF($A17="","",[1]!thsiFinD("ths_adjustment_nv_fund",G$3,$A17))</f>
        <v>4.2548000000000004</v>
      </c>
      <c r="H17" s="112">
        <f>IF($A17="","",[1]!thsiFinD("ths_adjustment_nv_fund",H$3,$A17))</f>
        <v>4.1645000000000003</v>
      </c>
      <c r="I17" s="112">
        <f>IF($A17="","",[1]!thsiFinD("ths_adjustment_nv_fund",I$3,$A17))</f>
        <v>2.8730000000000002</v>
      </c>
      <c r="J17" s="112">
        <f>IF($A17="","",[1]!thsiFinD("ths_adjustment_nv_fund",J$3,$A17))</f>
        <v>3.5808</v>
      </c>
      <c r="K17" s="112">
        <f>IF($A17="","",[1]!thsiFinD("ths_adjustment_nv_fund",K$3,$A17))</f>
        <v>3.548</v>
      </c>
      <c r="L17" s="112">
        <f>IF($A17="","",[1]!thsiFinD("ths_adjustment_nv_fund",L$3,$A17))</f>
        <v>1.6537999999999999</v>
      </c>
      <c r="M17" s="112">
        <f>IF($A17="","",[1]!thsiFinD("ths_adjustment_nv_fund",M$3,$A17))</f>
        <v>1.6316999999999999</v>
      </c>
      <c r="N17" s="112">
        <f>IF($A17="","",[1]!thsiFinD("ths_adjustment_nv_fund",N$3,$A17))</f>
        <v>1.6016999999999999</v>
      </c>
      <c r="O17" s="112">
        <f>IF($A17="","",[1]!thsiFinD("ths_adjustment_nv_fund",O$3,$A17))</f>
        <v>1.5623</v>
      </c>
      <c r="P17" s="112">
        <f>IF($A17="","",[1]!thsiFinD("ths_adjustment_nv_fund",P$3,$A17))</f>
        <v>3.0265</v>
      </c>
      <c r="Q17" s="112">
        <f>IF($A17="","",[1]!thsiFinD("ths_adjustment_nv_fund",Q$3,$A17))</f>
        <v>3.8613</v>
      </c>
      <c r="R17" s="112">
        <f>IF($A17="","",[1]!thsiFinD("ths_adjustment_nv_fund",R$3,$A17))</f>
        <v>3.7806999999999999</v>
      </c>
      <c r="S17" s="112">
        <f>IF($A17="","",[1]!thsiFinD("ths_adjustment_nv_fund",S$3,$A17))</f>
        <v>5.2060000000000004</v>
      </c>
      <c r="T17" s="112">
        <f>IF($A17="","",[1]!thsiFinD("ths_adjustment_nv_fund",T$3,$A17))</f>
        <v>3.4097</v>
      </c>
      <c r="U17" s="112">
        <f>IF($A17="","",[1]!thsiFinD("ths_adjustment_nv_fund",U$3,$A17))</f>
        <v>3.3917999999999999</v>
      </c>
      <c r="V17" s="112">
        <f>IF($A17="","",[1]!thsiFinD("ths_adjustment_nv_fund",V$3,$A17))</f>
        <v>2.0247000000000002</v>
      </c>
      <c r="W17" s="112">
        <f>IF($A17="","",[1]!thsiFinD("ths_adjustment_nv_fund",W$3,$A17))</f>
        <v>2.0049000000000001</v>
      </c>
      <c r="X17" s="112">
        <f>IF($A17="","",[1]!thsiFinD("ths_adjustment_nv_fund",X$3,$A17))</f>
        <v>1.7878000000000001</v>
      </c>
    </row>
    <row r="18" spans="1:24">
      <c r="A18" s="111">
        <v>46211</v>
      </c>
      <c r="B18" s="112">
        <f>IF($A18="","",[1]!thsiFinD("ths_adjustment_nv_fund",B$3,$A18))</f>
        <v>3.1217999999999999</v>
      </c>
      <c r="C18" s="112">
        <f>IF($A18="","",[1]!thsiFinD("ths_adjustment_nv_fund",C$3,$A18))</f>
        <v>1.3181960462</v>
      </c>
      <c r="D18" s="112">
        <f>IF($A18="","",[1]!thsiFinD("ths_adjustment_nv_fund",D$3,$A18))</f>
        <v>5.1440000000000001</v>
      </c>
      <c r="E18" s="112">
        <f>IF($A18="","",[1]!thsiFinD("ths_adjustment_nv_fund",E$3,$A18))</f>
        <v>1.9080999999999999</v>
      </c>
      <c r="F18" s="112">
        <f>IF($A18="","",[1]!thsiFinD("ths_adjustment_nv_fund",F$3,$A18))</f>
        <v>1.8541000000000001</v>
      </c>
      <c r="G18" s="112">
        <f>IF($A18="","",[1]!thsiFinD("ths_adjustment_nv_fund",G$3,$A18))</f>
        <v>4.2332999999999998</v>
      </c>
      <c r="H18" s="112">
        <f>IF($A18="","",[1]!thsiFinD("ths_adjustment_nv_fund",H$3,$A18))</f>
        <v>4.1433999999999997</v>
      </c>
      <c r="I18" s="112">
        <f>IF($A18="","",[1]!thsiFinD("ths_adjustment_nv_fund",I$3,$A18))</f>
        <v>2.8494000000000002</v>
      </c>
      <c r="J18" s="112">
        <f>IF($A18="","",[1]!thsiFinD("ths_adjustment_nv_fund",J$3,$A18))</f>
        <v>3.7338</v>
      </c>
      <c r="K18" s="112">
        <f>IF($A18="","",[1]!thsiFinD("ths_adjustment_nv_fund",K$3,$A18))</f>
        <v>3.6997</v>
      </c>
      <c r="L18" s="112">
        <f>IF($A18="","",[1]!thsiFinD("ths_adjustment_nv_fund",L$3,$A18))</f>
        <v>1.6147</v>
      </c>
      <c r="M18" s="112">
        <f>IF($A18="","",[1]!thsiFinD("ths_adjustment_nv_fund",M$3,$A18))</f>
        <v>1.5931</v>
      </c>
      <c r="N18" s="112">
        <f>IF($A18="","",[1]!thsiFinD("ths_adjustment_nv_fund",N$3,$A18))</f>
        <v>1.5797000000000001</v>
      </c>
      <c r="O18" s="112">
        <f>IF($A18="","",[1]!thsiFinD("ths_adjustment_nv_fund",O$3,$A18))</f>
        <v>1.5407999999999999</v>
      </c>
      <c r="P18" s="112">
        <f>IF($A18="","",[1]!thsiFinD("ths_adjustment_nv_fund",P$3,$A18))</f>
        <v>2.9929999999999999</v>
      </c>
      <c r="Q18" s="112">
        <f>IF($A18="","",[1]!thsiFinD("ths_adjustment_nv_fund",Q$3,$A18))</f>
        <v>3.8597000000000001</v>
      </c>
      <c r="R18" s="112">
        <f>IF($A18="","",[1]!thsiFinD("ths_adjustment_nv_fund",R$3,$A18))</f>
        <v>3.7791000000000001</v>
      </c>
      <c r="S18" s="112">
        <f>IF($A18="","",[1]!thsiFinD("ths_adjustment_nv_fund",S$3,$A18))</f>
        <v>5.0910000000000002</v>
      </c>
      <c r="T18" s="112">
        <f>IF($A18="","",[1]!thsiFinD("ths_adjustment_nv_fund",T$3,$A18))</f>
        <v>3.4561000000000002</v>
      </c>
      <c r="U18" s="112">
        <f>IF($A18="","",[1]!thsiFinD("ths_adjustment_nv_fund",U$3,$A18))</f>
        <v>3.4380000000000002</v>
      </c>
      <c r="V18" s="112">
        <f>IF($A18="","",[1]!thsiFinD("ths_adjustment_nv_fund",V$3,$A18))</f>
        <v>1.9785999999999999</v>
      </c>
      <c r="W18" s="112">
        <f>IF($A18="","",[1]!thsiFinD("ths_adjustment_nv_fund",W$3,$A18))</f>
        <v>1.9592000000000001</v>
      </c>
      <c r="X18" s="112">
        <f>IF($A18="","",[1]!thsiFinD("ths_adjustment_nv_fund",X$3,$A18))</f>
        <v>1.7887999999999999</v>
      </c>
    </row>
    <row r="19" spans="1:24">
      <c r="A19" s="111">
        <v>46212</v>
      </c>
      <c r="B19" s="112">
        <f>IF($A19="","",[1]!thsiFinD("ths_adjustment_nv_fund",B$3,$A19))</f>
        <v>3.1112000000000002</v>
      </c>
      <c r="C19" s="112">
        <f>IF($A19="","",[1]!thsiFinD("ths_adjustment_nv_fund",C$3,$A19))</f>
        <v>1.3182393620999999</v>
      </c>
      <c r="D19" s="112">
        <f>IF($A19="","",[1]!thsiFinD("ths_adjustment_nv_fund",D$3,$A19))</f>
        <v>5.4260000000000002</v>
      </c>
      <c r="E19" s="112">
        <f>IF($A19="","",[1]!thsiFinD("ths_adjustment_nv_fund",E$3,$A19))</f>
        <v>1.9578</v>
      </c>
      <c r="F19" s="112">
        <f>IF($A19="","",[1]!thsiFinD("ths_adjustment_nv_fund",F$3,$A19))</f>
        <v>1.9023000000000001</v>
      </c>
      <c r="G19" s="112">
        <f>IF($A19="","",[1]!thsiFinD("ths_adjustment_nv_fund",G$3,$A19))</f>
        <v>4.4805999999999999</v>
      </c>
      <c r="H19" s="112">
        <f>IF($A19="","",[1]!thsiFinD("ths_adjustment_nv_fund",H$3,$A19))</f>
        <v>4.3853999999999997</v>
      </c>
      <c r="I19" s="112">
        <f>IF($A19="","",[1]!thsiFinD("ths_adjustment_nv_fund",I$3,$A19))</f>
        <v>3.0668000000000002</v>
      </c>
      <c r="J19" s="112">
        <f>IF($A19="","",[1]!thsiFinD("ths_adjustment_nv_fund",J$3,$A19))</f>
        <v>4.0079000000000002</v>
      </c>
      <c r="K19" s="112">
        <f>IF($A19="","",[1]!thsiFinD("ths_adjustment_nv_fund",K$3,$A19))</f>
        <v>3.9712000000000001</v>
      </c>
      <c r="L19" s="112">
        <f>IF($A19="","",[1]!thsiFinD("ths_adjustment_nv_fund",L$3,$A19))</f>
        <v>1.6453</v>
      </c>
      <c r="M19" s="112">
        <f>IF($A19="","",[1]!thsiFinD("ths_adjustment_nv_fund",M$3,$A19))</f>
        <v>1.6233</v>
      </c>
      <c r="N19" s="112">
        <f>IF($A19="","",[1]!thsiFinD("ths_adjustment_nv_fund",N$3,$A19))</f>
        <v>1.6208</v>
      </c>
      <c r="O19" s="112">
        <f>IF($A19="","",[1]!thsiFinD("ths_adjustment_nv_fund",O$3,$A19))</f>
        <v>1.5808</v>
      </c>
      <c r="P19" s="112">
        <f>IF($A19="","",[1]!thsiFinD("ths_adjustment_nv_fund",P$3,$A19))</f>
        <v>3.2141999999999999</v>
      </c>
      <c r="Q19" s="112">
        <f>IF($A19="","",[1]!thsiFinD("ths_adjustment_nv_fund",Q$3,$A19))</f>
        <v>4.0995999999999997</v>
      </c>
      <c r="R19" s="112">
        <f>IF($A19="","",[1]!thsiFinD("ths_adjustment_nv_fund",R$3,$A19))</f>
        <v>4.0138999999999996</v>
      </c>
      <c r="S19" s="112">
        <f>IF($A19="","",[1]!thsiFinD("ths_adjustment_nv_fund",S$3,$A19))</f>
        <v>5.37</v>
      </c>
      <c r="T19" s="112">
        <f>IF($A19="","",[1]!thsiFinD("ths_adjustment_nv_fund",T$3,$A19))</f>
        <v>3.7847</v>
      </c>
      <c r="U19" s="112">
        <f>IF($A19="","",[1]!thsiFinD("ths_adjustment_nv_fund",U$3,$A19))</f>
        <v>3.7648000000000001</v>
      </c>
      <c r="V19" s="112">
        <f>IF($A19="","",[1]!thsiFinD("ths_adjustment_nv_fund",V$3,$A19))</f>
        <v>2.0093000000000001</v>
      </c>
      <c r="W19" s="112">
        <f>IF($A19="","",[1]!thsiFinD("ths_adjustment_nv_fund",W$3,$A19))</f>
        <v>1.9896</v>
      </c>
      <c r="X19" s="112">
        <f>IF($A19="","",[1]!thsiFinD("ths_adjustment_nv_fund",X$3,$A19))</f>
        <v>1.7889999999999999</v>
      </c>
    </row>
    <row r="20" spans="1:24">
      <c r="A20" s="111">
        <v>46213</v>
      </c>
      <c r="B20" s="112">
        <f>IF($A20="","",[1]!thsiFinD("ths_adjustment_nv_fund",B$3,$A20))</f>
        <v>3.1082000000000001</v>
      </c>
      <c r="C20" s="112">
        <f>IF($A20="","",[1]!thsiFinD("ths_adjustment_nv_fund",C$3,$A20))</f>
        <v>1.3182847491</v>
      </c>
      <c r="D20" s="112">
        <f>IF($A20="","",[1]!thsiFinD("ths_adjustment_nv_fund",D$3,$A20))</f>
        <v>5.1680000000000001</v>
      </c>
      <c r="E20" s="112">
        <f>IF($A20="","",[1]!thsiFinD("ths_adjustment_nv_fund",E$3,$A20))</f>
        <v>1.917</v>
      </c>
      <c r="F20" s="112">
        <f>IF($A20="","",[1]!thsiFinD("ths_adjustment_nv_fund",F$3,$A20))</f>
        <v>1.8627</v>
      </c>
      <c r="G20" s="112">
        <f>IF($A20="","",[1]!thsiFinD("ths_adjustment_nv_fund",G$3,$A20))</f>
        <v>4.3510999999999997</v>
      </c>
      <c r="H20" s="112">
        <f>IF($A20="","",[1]!thsiFinD("ths_adjustment_nv_fund",H$3,$A20))</f>
        <v>4.2586000000000004</v>
      </c>
      <c r="I20" s="112">
        <f>IF($A20="","",[1]!thsiFinD("ths_adjustment_nv_fund",I$3,$A20))</f>
        <v>2.8755000000000002</v>
      </c>
      <c r="J20" s="112">
        <f>IF($A20="","",[1]!thsiFinD("ths_adjustment_nv_fund",J$3,$A20))</f>
        <v>3.7732000000000001</v>
      </c>
      <c r="K20" s="112">
        <f>IF($A20="","",[1]!thsiFinD("ths_adjustment_nv_fund",K$3,$A20))</f>
        <v>3.7385999999999999</v>
      </c>
      <c r="L20" s="112">
        <f>IF($A20="","",[1]!thsiFinD("ths_adjustment_nv_fund",L$3,$A20))</f>
        <v>1.6301000000000001</v>
      </c>
      <c r="M20" s="112">
        <f>IF($A20="","",[1]!thsiFinD("ths_adjustment_nv_fund",M$3,$A20))</f>
        <v>1.6083000000000001</v>
      </c>
      <c r="N20" s="112">
        <f>IF($A20="","",[1]!thsiFinD("ths_adjustment_nv_fund",N$3,$A20))</f>
        <v>1.5962000000000001</v>
      </c>
      <c r="O20" s="112">
        <f>IF($A20="","",[1]!thsiFinD("ths_adjustment_nv_fund",O$3,$A20))</f>
        <v>1.5568</v>
      </c>
      <c r="P20" s="112">
        <f>IF($A20="","",[1]!thsiFinD("ths_adjustment_nv_fund",P$3,$A20))</f>
        <v>3.0699000000000001</v>
      </c>
      <c r="Q20" s="112">
        <f>IF($A20="","",[1]!thsiFinD("ths_adjustment_nv_fund",Q$3,$A20))</f>
        <v>3.9205999999999999</v>
      </c>
      <c r="R20" s="112">
        <f>IF($A20="","",[1]!thsiFinD("ths_adjustment_nv_fund",R$3,$A20))</f>
        <v>3.8386</v>
      </c>
      <c r="S20" s="112">
        <f>IF($A20="","",[1]!thsiFinD("ths_adjustment_nv_fund",S$3,$A20))</f>
        <v>5.1139999999999999</v>
      </c>
      <c r="T20" s="112">
        <f>IF($A20="","",[1]!thsiFinD("ths_adjustment_nv_fund",T$3,$A20))</f>
        <v>3.5526</v>
      </c>
      <c r="U20" s="112">
        <f>IF($A20="","",[1]!thsiFinD("ths_adjustment_nv_fund",U$3,$A20))</f>
        <v>3.5339999999999998</v>
      </c>
      <c r="V20" s="112">
        <f>IF($A20="","",[1]!thsiFinD("ths_adjustment_nv_fund",V$3,$A20))</f>
        <v>2.0015000000000001</v>
      </c>
      <c r="W20" s="112">
        <f>IF($A20="","",[1]!thsiFinD("ths_adjustment_nv_fund",W$3,$A20))</f>
        <v>1.9818</v>
      </c>
      <c r="X20" s="112">
        <f>IF($A20="","",[1]!thsiFinD("ths_adjustment_nv_fund",X$3,$A20))</f>
        <v>1.7891999999999999</v>
      </c>
    </row>
    <row r="21" spans="1:24">
      <c r="A21" s="111">
        <v>46216</v>
      </c>
      <c r="B21" s="112">
        <f>IF($A21="","",[1]!thsiFinD("ths_adjustment_nv_fund",B$3,$A21))</f>
        <v>3.0707</v>
      </c>
      <c r="C21" s="112">
        <f>IF($A21="","",[1]!thsiFinD("ths_adjustment_nv_fund",C$3,$A21))</f>
        <v>1.3184211698999999</v>
      </c>
      <c r="D21" s="112">
        <f>IF($A21="","",[1]!thsiFinD("ths_adjustment_nv_fund",D$3,$A21))</f>
        <v>4.9359999999999999</v>
      </c>
      <c r="E21" s="112">
        <f>IF($A21="","",[1]!thsiFinD("ths_adjustment_nv_fund",E$3,$A21))</f>
        <v>1.869</v>
      </c>
      <c r="F21" s="112">
        <f>IF($A21="","",[1]!thsiFinD("ths_adjustment_nv_fund",F$3,$A21))</f>
        <v>1.8159000000000001</v>
      </c>
      <c r="G21" s="112">
        <f>IF($A21="","",[1]!thsiFinD("ths_adjustment_nv_fund",G$3,$A21))</f>
        <v>4.1528</v>
      </c>
      <c r="H21" s="112">
        <f>IF($A21="","",[1]!thsiFinD("ths_adjustment_nv_fund",H$3,$A21))</f>
        <v>4.0644</v>
      </c>
      <c r="I21" s="112">
        <f>IF($A21="","",[1]!thsiFinD("ths_adjustment_nv_fund",I$3,$A21))</f>
        <v>2.7240000000000002</v>
      </c>
      <c r="J21" s="112">
        <f>IF($A21="","",[1]!thsiFinD("ths_adjustment_nv_fund",J$3,$A21))</f>
        <v>3.6587000000000001</v>
      </c>
      <c r="K21" s="112">
        <f>IF($A21="","",[1]!thsiFinD("ths_adjustment_nv_fund",K$3,$A21))</f>
        <v>3.6252</v>
      </c>
      <c r="L21" s="112">
        <f>IF($A21="","",[1]!thsiFinD("ths_adjustment_nv_fund",L$3,$A21))</f>
        <v>1.5486</v>
      </c>
      <c r="M21" s="112">
        <f>IF($A21="","",[1]!thsiFinD("ths_adjustment_nv_fund",M$3,$A21))</f>
        <v>1.5279</v>
      </c>
      <c r="N21" s="112">
        <f>IF($A21="","",[1]!thsiFinD("ths_adjustment_nv_fund",N$3,$A21))</f>
        <v>1.5275000000000001</v>
      </c>
      <c r="O21" s="112">
        <f>IF($A21="","",[1]!thsiFinD("ths_adjustment_nv_fund",O$3,$A21))</f>
        <v>1.4897</v>
      </c>
      <c r="P21" s="112">
        <f>IF($A21="","",[1]!thsiFinD("ths_adjustment_nv_fund",P$3,$A21))</f>
        <v>2.9287000000000001</v>
      </c>
      <c r="Q21" s="112">
        <f>IF($A21="","",[1]!thsiFinD("ths_adjustment_nv_fund",Q$3,$A21))</f>
        <v>3.7904</v>
      </c>
      <c r="R21" s="112">
        <f>IF($A21="","",[1]!thsiFinD("ths_adjustment_nv_fund",R$3,$A21))</f>
        <v>3.7109999999999999</v>
      </c>
      <c r="S21" s="112">
        <f>IF($A21="","",[1]!thsiFinD("ths_adjustment_nv_fund",S$3,$A21))</f>
        <v>4.8849999999999998</v>
      </c>
      <c r="T21" s="112">
        <f>IF($A21="","",[1]!thsiFinD("ths_adjustment_nv_fund",T$3,$A21))</f>
        <v>3.3969</v>
      </c>
      <c r="U21" s="112">
        <f>IF($A21="","",[1]!thsiFinD("ths_adjustment_nv_fund",U$3,$A21))</f>
        <v>3.379</v>
      </c>
      <c r="V21" s="112">
        <f>IF($A21="","",[1]!thsiFinD("ths_adjustment_nv_fund",V$3,$A21))</f>
        <v>1.8946000000000001</v>
      </c>
      <c r="W21" s="112">
        <f>IF($A21="","",[1]!thsiFinD("ths_adjustment_nv_fund",W$3,$A21))</f>
        <v>1.8758999999999999</v>
      </c>
      <c r="X21" s="112">
        <f>IF($A21="","",[1]!thsiFinD("ths_adjustment_nv_fund",X$3,$A21))</f>
        <v>1.7887</v>
      </c>
    </row>
    <row r="22" spans="1:24">
      <c r="A22" s="111">
        <v>46217</v>
      </c>
      <c r="B22" s="112">
        <f>IF($A22="","",[1]!thsiFinD("ths_adjustment_nv_fund",B$3,$A22))</f>
        <v>3.0468000000000002</v>
      </c>
      <c r="C22" s="112">
        <f>IF($A22="","",[1]!thsiFinD("ths_adjustment_nv_fund",C$3,$A22))</f>
        <v>1.3184655611</v>
      </c>
      <c r="D22" s="112">
        <f>IF($A22="","",[1]!thsiFinD("ths_adjustment_nv_fund",D$3,$A22))</f>
        <v>5.3049999999999997</v>
      </c>
      <c r="E22" s="112">
        <f>IF($A22="","",[1]!thsiFinD("ths_adjustment_nv_fund",E$3,$A22))</f>
        <v>1.9198</v>
      </c>
      <c r="F22" s="112">
        <f>IF($A22="","",[1]!thsiFinD("ths_adjustment_nv_fund",F$3,$A22))</f>
        <v>1.8653</v>
      </c>
      <c r="G22" s="112">
        <f>IF($A22="","",[1]!thsiFinD("ths_adjustment_nv_fund",G$3,$A22))</f>
        <v>4.3559000000000001</v>
      </c>
      <c r="H22" s="112">
        <f>IF($A22="","",[1]!thsiFinD("ths_adjustment_nv_fund",H$3,$A22))</f>
        <v>4.2632000000000003</v>
      </c>
      <c r="I22" s="112">
        <f>IF($A22="","",[1]!thsiFinD("ths_adjustment_nv_fund",I$3,$A22))</f>
        <v>2.8344</v>
      </c>
      <c r="J22" s="112">
        <f>IF($A22="","",[1]!thsiFinD("ths_adjustment_nv_fund",J$3,$A22))</f>
        <v>3.6471</v>
      </c>
      <c r="K22" s="112">
        <f>IF($A22="","",[1]!thsiFinD("ths_adjustment_nv_fund",K$3,$A22))</f>
        <v>3.6135999999999999</v>
      </c>
      <c r="L22" s="112">
        <f>IF($A22="","",[1]!thsiFinD("ths_adjustment_nv_fund",L$3,$A22))</f>
        <v>1.5827</v>
      </c>
      <c r="M22" s="112">
        <f>IF($A22="","",[1]!thsiFinD("ths_adjustment_nv_fund",M$3,$A22))</f>
        <v>1.5615000000000001</v>
      </c>
      <c r="N22" s="112">
        <f>IF($A22="","",[1]!thsiFinD("ths_adjustment_nv_fund",N$3,$A22))</f>
        <v>1.5615000000000001</v>
      </c>
      <c r="O22" s="112">
        <f>IF($A22="","",[1]!thsiFinD("ths_adjustment_nv_fund",O$3,$A22))</f>
        <v>1.5228999999999999</v>
      </c>
      <c r="P22" s="112">
        <f>IF($A22="","",[1]!thsiFinD("ths_adjustment_nv_fund",P$3,$A22))</f>
        <v>3.1547999999999998</v>
      </c>
      <c r="Q22" s="112">
        <f>IF($A22="","",[1]!thsiFinD("ths_adjustment_nv_fund",Q$3,$A22))</f>
        <v>3.9815</v>
      </c>
      <c r="R22" s="112">
        <f>IF($A22="","",[1]!thsiFinD("ths_adjustment_nv_fund",R$3,$A22))</f>
        <v>3.8978999999999999</v>
      </c>
      <c r="S22" s="112">
        <f>IF($A22="","",[1]!thsiFinD("ths_adjustment_nv_fund",S$3,$A22))</f>
        <v>5.25</v>
      </c>
      <c r="T22" s="112">
        <f>IF($A22="","",[1]!thsiFinD("ths_adjustment_nv_fund",T$3,$A22))</f>
        <v>3.3774000000000002</v>
      </c>
      <c r="U22" s="112">
        <f>IF($A22="","",[1]!thsiFinD("ths_adjustment_nv_fund",U$3,$A22))</f>
        <v>3.3595999999999999</v>
      </c>
      <c r="V22" s="112">
        <f>IF($A22="","",[1]!thsiFinD("ths_adjustment_nv_fund",V$3,$A22))</f>
        <v>1.9322999999999999</v>
      </c>
      <c r="W22" s="112">
        <f>IF($A22="","",[1]!thsiFinD("ths_adjustment_nv_fund",W$3,$A22))</f>
        <v>1.9133</v>
      </c>
      <c r="X22" s="112">
        <f>IF($A22="","",[1]!thsiFinD("ths_adjustment_nv_fund",X$3,$A22))</f>
        <v>1.7890999999999999</v>
      </c>
    </row>
    <row r="23" spans="1:24">
      <c r="A23" s="111">
        <v>46218</v>
      </c>
      <c r="B23" s="112">
        <f>IF($A23="","",[1]!thsiFinD("ths_adjustment_nv_fund",B$3,$A23))</f>
        <v>3.0423</v>
      </c>
      <c r="C23" s="112">
        <f>IF($A23="","",[1]!thsiFinD("ths_adjustment_nv_fund",C$3,$A23))</f>
        <v>1.3185105867</v>
      </c>
      <c r="D23" s="112">
        <f>IF($A23="","",[1]!thsiFinD("ths_adjustment_nv_fund",D$3,$A23))</f>
        <v>5.1820000000000004</v>
      </c>
      <c r="E23" s="112">
        <f>IF($A23="","",[1]!thsiFinD("ths_adjustment_nv_fund",E$3,$A23))</f>
        <v>1.9069</v>
      </c>
      <c r="F23" s="112">
        <f>IF($A23="","",[1]!thsiFinD("ths_adjustment_nv_fund",F$3,$A23))</f>
        <v>1.8527</v>
      </c>
      <c r="G23" s="112">
        <f>IF($A23="","",[1]!thsiFinD("ths_adjustment_nv_fund",G$3,$A23))</f>
        <v>4.2525000000000004</v>
      </c>
      <c r="H23" s="112">
        <f>IF($A23="","",[1]!thsiFinD("ths_adjustment_nv_fund",H$3,$A23))</f>
        <v>4.1619999999999999</v>
      </c>
      <c r="I23" s="112">
        <f>IF($A23="","",[1]!thsiFinD("ths_adjustment_nv_fund",I$3,$A23))</f>
        <v>2.7046000000000001</v>
      </c>
      <c r="J23" s="112">
        <f>IF($A23="","",[1]!thsiFinD("ths_adjustment_nv_fund",J$3,$A23))</f>
        <v>3.5152000000000001</v>
      </c>
      <c r="K23" s="112">
        <f>IF($A23="","",[1]!thsiFinD("ths_adjustment_nv_fund",K$3,$A23))</f>
        <v>3.4828999999999999</v>
      </c>
      <c r="L23" s="112">
        <f>IF($A23="","",[1]!thsiFinD("ths_adjustment_nv_fund",L$3,$A23))</f>
        <v>1.5634999999999999</v>
      </c>
      <c r="M23" s="112">
        <f>IF($A23="","",[1]!thsiFinD("ths_adjustment_nv_fund",M$3,$A23))</f>
        <v>1.5425</v>
      </c>
      <c r="N23" s="112">
        <f>IF($A23="","",[1]!thsiFinD("ths_adjustment_nv_fund",N$3,$A23))</f>
        <v>1.5436000000000001</v>
      </c>
      <c r="O23" s="112">
        <f>IF($A23="","",[1]!thsiFinD("ths_adjustment_nv_fund",O$3,$A23))</f>
        <v>1.5054000000000001</v>
      </c>
      <c r="P23" s="112">
        <f>IF($A23="","",[1]!thsiFinD("ths_adjustment_nv_fund",P$3,$A23))</f>
        <v>3.1074000000000002</v>
      </c>
      <c r="Q23" s="112">
        <f>IF($A23="","",[1]!thsiFinD("ths_adjustment_nv_fund",Q$3,$A23))</f>
        <v>3.8858000000000001</v>
      </c>
      <c r="R23" s="112">
        <f>IF($A23="","",[1]!thsiFinD("ths_adjustment_nv_fund",R$3,$A23))</f>
        <v>3.8041999999999998</v>
      </c>
      <c r="S23" s="112">
        <f>IF($A23="","",[1]!thsiFinD("ths_adjustment_nv_fund",S$3,$A23))</f>
        <v>5.1289999999999996</v>
      </c>
      <c r="T23" s="112">
        <f>IF($A23="","",[1]!thsiFinD("ths_adjustment_nv_fund",T$3,$A23))</f>
        <v>3.1741999999999999</v>
      </c>
      <c r="U23" s="112">
        <f>IF($A23="","",[1]!thsiFinD("ths_adjustment_nv_fund",U$3,$A23))</f>
        <v>3.1574</v>
      </c>
      <c r="V23" s="112">
        <f>IF($A23="","",[1]!thsiFinD("ths_adjustment_nv_fund",V$3,$A23))</f>
        <v>1.9125000000000001</v>
      </c>
      <c r="W23" s="112">
        <f>IF($A23="","",[1]!thsiFinD("ths_adjustment_nv_fund",W$3,$A23))</f>
        <v>1.8935999999999999</v>
      </c>
      <c r="X23" s="112">
        <f>IF($A23="","",[1]!thsiFinD("ths_adjustment_nv_fund",X$3,$A23))</f>
        <v>1.7894000000000001</v>
      </c>
    </row>
    <row r="24" spans="1:24">
      <c r="A24" s="111">
        <v>46219</v>
      </c>
      <c r="B24" s="112">
        <f>IF($A24="","",[1]!thsiFinD("ths_adjustment_nv_fund",B$3,$A24))</f>
        <v>3.0390999999999999</v>
      </c>
      <c r="C24" s="112">
        <f>IF($A24="","",[1]!thsiFinD("ths_adjustment_nv_fund",C$3,$A24))</f>
        <v>1.3185543744999999</v>
      </c>
      <c r="D24" s="112">
        <f>IF($A24="","",[1]!thsiFinD("ths_adjustment_nv_fund",D$3,$A24))</f>
        <v>5.0339999999999998</v>
      </c>
      <c r="E24" s="112">
        <f>IF($A24="","",[1]!thsiFinD("ths_adjustment_nv_fund",E$3,$A24))</f>
        <v>1.8633999999999999</v>
      </c>
      <c r="F24" s="112">
        <f>IF($A24="","",[1]!thsiFinD("ths_adjustment_nv_fund",F$3,$A24))</f>
        <v>1.8105</v>
      </c>
      <c r="G24" s="112">
        <f>IF($A24="","",[1]!thsiFinD("ths_adjustment_nv_fund",G$3,$A24))</f>
        <v>4.1052999999999997</v>
      </c>
      <c r="H24" s="112">
        <f>IF($A24="","",[1]!thsiFinD("ths_adjustment_nv_fund",H$3,$A24))</f>
        <v>4.0179</v>
      </c>
      <c r="I24" s="112">
        <f>IF($A24="","",[1]!thsiFinD("ths_adjustment_nv_fund",I$3,$A24))</f>
        <v>2.5937999999999999</v>
      </c>
      <c r="J24" s="112">
        <f>IF($A24="","",[1]!thsiFinD("ths_adjustment_nv_fund",J$3,$A24))</f>
        <v>3.3100999999999998</v>
      </c>
      <c r="K24" s="112">
        <f>IF($A24="","",[1]!thsiFinD("ths_adjustment_nv_fund",K$3,$A24))</f>
        <v>3.2797000000000001</v>
      </c>
      <c r="L24" s="112">
        <f>IF($A24="","",[1]!thsiFinD("ths_adjustment_nv_fund",L$3,$A24))</f>
        <v>1.5208999999999999</v>
      </c>
      <c r="M24" s="112">
        <f>IF($A24="","",[1]!thsiFinD("ths_adjustment_nv_fund",M$3,$A24))</f>
        <v>1.5004999999999999</v>
      </c>
      <c r="N24" s="112">
        <f>IF($A24="","",[1]!thsiFinD("ths_adjustment_nv_fund",N$3,$A24))</f>
        <v>1.5054000000000001</v>
      </c>
      <c r="O24" s="112">
        <f>IF($A24="","",[1]!thsiFinD("ths_adjustment_nv_fund",O$3,$A24))</f>
        <v>1.4681</v>
      </c>
      <c r="P24" s="112">
        <f>IF($A24="","",[1]!thsiFinD("ths_adjustment_nv_fund",P$3,$A24))</f>
        <v>2.9674999999999998</v>
      </c>
      <c r="Q24" s="112">
        <f>IF($A24="","",[1]!thsiFinD("ths_adjustment_nv_fund",Q$3,$A24))</f>
        <v>3.7713000000000001</v>
      </c>
      <c r="R24" s="112">
        <f>IF($A24="","",[1]!thsiFinD("ths_adjustment_nv_fund",R$3,$A24))</f>
        <v>3.6920999999999999</v>
      </c>
      <c r="S24" s="112">
        <f>IF($A24="","",[1]!thsiFinD("ths_adjustment_nv_fund",S$3,$A24))</f>
        <v>4.9820000000000002</v>
      </c>
      <c r="T24" s="112">
        <f>IF($A24="","",[1]!thsiFinD("ths_adjustment_nv_fund",T$3,$A24))</f>
        <v>2.9533999999999998</v>
      </c>
      <c r="U24" s="112">
        <f>IF($A24="","",[1]!thsiFinD("ths_adjustment_nv_fund",U$3,$A24))</f>
        <v>2.9378000000000002</v>
      </c>
      <c r="V24" s="112">
        <f>IF($A24="","",[1]!thsiFinD("ths_adjustment_nv_fund",V$3,$A24))</f>
        <v>1.8716999999999999</v>
      </c>
      <c r="W24" s="112">
        <f>IF($A24="","",[1]!thsiFinD("ths_adjustment_nv_fund",W$3,$A24))</f>
        <v>1.8532</v>
      </c>
      <c r="X24" s="112">
        <f>IF($A24="","",[1]!thsiFinD("ths_adjustment_nv_fund",X$3,$A24))</f>
        <v>1.7889999999999999</v>
      </c>
    </row>
    <row r="25" spans="1:24">
      <c r="A25" s="111">
        <v>46220</v>
      </c>
      <c r="B25" s="112">
        <f>IF($A25="","",[1]!thsiFinD("ths_adjustment_nv_fund",B$3,$A25))</f>
        <v>3.0211000000000001</v>
      </c>
      <c r="C25" s="112">
        <f>IF($A25="","",[1]!thsiFinD("ths_adjustment_nv_fund",C$3,$A25))</f>
        <v>1.3185997327000001</v>
      </c>
      <c r="D25" s="112">
        <f>IF($A25="","",[1]!thsiFinD("ths_adjustment_nv_fund",D$3,$A25))</f>
        <v>4.6050000000000004</v>
      </c>
      <c r="E25" s="112">
        <f>IF($A25="","",[1]!thsiFinD("ths_adjustment_nv_fund",E$3,$A25))</f>
        <v>1.7847999999999999</v>
      </c>
      <c r="F25" s="112">
        <f>IF($A25="","",[1]!thsiFinD("ths_adjustment_nv_fund",F$3,$A25))</f>
        <v>1.7341</v>
      </c>
      <c r="G25" s="112">
        <f>IF($A25="","",[1]!thsiFinD("ths_adjustment_nv_fund",G$3,$A25))</f>
        <v>3.7046000000000001</v>
      </c>
      <c r="H25" s="112">
        <f>IF($A25="","",[1]!thsiFinD("ths_adjustment_nv_fund",H$3,$A25))</f>
        <v>3.6257000000000001</v>
      </c>
      <c r="I25" s="112">
        <f>IF($A25="","",[1]!thsiFinD("ths_adjustment_nv_fund",I$3,$A25))</f>
        <v>2.4161999999999999</v>
      </c>
      <c r="J25" s="112">
        <f>IF($A25="","",[1]!thsiFinD("ths_adjustment_nv_fund",J$3,$A25))</f>
        <v>3.07</v>
      </c>
      <c r="K25" s="112">
        <f>IF($A25="","",[1]!thsiFinD("ths_adjustment_nv_fund",K$3,$A25))</f>
        <v>3.0417999999999998</v>
      </c>
      <c r="L25" s="112">
        <f>IF($A25="","",[1]!thsiFinD("ths_adjustment_nv_fund",L$3,$A25))</f>
        <v>1.4256</v>
      </c>
      <c r="M25" s="112">
        <f>IF($A25="","",[1]!thsiFinD("ths_adjustment_nv_fund",M$3,$A25))</f>
        <v>1.4065000000000001</v>
      </c>
      <c r="N25" s="112">
        <f>IF($A25="","",[1]!thsiFinD("ths_adjustment_nv_fund",N$3,$A25))</f>
        <v>1.4274</v>
      </c>
      <c r="O25" s="112">
        <f>IF($A25="","",[1]!thsiFinD("ths_adjustment_nv_fund",O$3,$A25))</f>
        <v>1.3919999999999999</v>
      </c>
      <c r="P25" s="112">
        <f>IF($A25="","",[1]!thsiFinD("ths_adjustment_nv_fund",P$3,$A25))</f>
        <v>2.6181999999999999</v>
      </c>
      <c r="Q25" s="112">
        <f>IF($A25="","",[1]!thsiFinD("ths_adjustment_nv_fund",Q$3,$A25))</f>
        <v>3.4020000000000001</v>
      </c>
      <c r="R25" s="112">
        <f>IF($A25="","",[1]!thsiFinD("ths_adjustment_nv_fund",R$3,$A25))</f>
        <v>3.3304999999999998</v>
      </c>
      <c r="S25" s="112">
        <f>IF($A25="","",[1]!thsiFinD("ths_adjustment_nv_fund",S$3,$A25))</f>
        <v>4.5570000000000004</v>
      </c>
      <c r="T25" s="112">
        <f>IF($A25="","",[1]!thsiFinD("ths_adjustment_nv_fund",T$3,$A25))</f>
        <v>2.7759</v>
      </c>
      <c r="U25" s="112">
        <f>IF($A25="","",[1]!thsiFinD("ths_adjustment_nv_fund",U$3,$A25))</f>
        <v>2.7612000000000001</v>
      </c>
      <c r="V25" s="112">
        <f>IF($A25="","",[1]!thsiFinD("ths_adjustment_nv_fund",V$3,$A25))</f>
        <v>1.7484</v>
      </c>
      <c r="W25" s="112">
        <f>IF($A25="","",[1]!thsiFinD("ths_adjustment_nv_fund",W$3,$A25))</f>
        <v>1.7311000000000001</v>
      </c>
      <c r="X25" s="112">
        <f>IF($A25="","",[1]!thsiFinD("ths_adjustment_nv_fund",X$3,$A25))</f>
        <v>1.7899</v>
      </c>
    </row>
    <row r="26" spans="1:24">
      <c r="A26" s="111">
        <v>46223</v>
      </c>
      <c r="B26" s="112">
        <f>IF($A26="","",[1]!thsiFinD("ths_adjustment_nv_fund",B$3,$A26))</f>
        <v>3.0230000000000001</v>
      </c>
      <c r="C26" s="112">
        <f>IF($A26="","",[1]!thsiFinD("ths_adjustment_nv_fund",C$3,$A26))</f>
        <v>1.3187334169</v>
      </c>
      <c r="D26" s="112">
        <f>IF($A26="","",[1]!thsiFinD("ths_adjustment_nv_fund",D$3,$A26))</f>
        <v>4.3789999999999996</v>
      </c>
      <c r="E26" s="112">
        <f>IF($A26="","",[1]!thsiFinD("ths_adjustment_nv_fund",E$3,$A26))</f>
        <v>1.7935000000000001</v>
      </c>
      <c r="F26" s="112">
        <f>IF($A26="","",[1]!thsiFinD("ths_adjustment_nv_fund",F$3,$A26))</f>
        <v>1.7424999999999999</v>
      </c>
      <c r="G26" s="112">
        <f>IF($A26="","",[1]!thsiFinD("ths_adjustment_nv_fund",G$3,$A26))</f>
        <v>3.6558000000000002</v>
      </c>
      <c r="H26" s="112">
        <f>IF($A26="","",[1]!thsiFinD("ths_adjustment_nv_fund",H$3,$A26))</f>
        <v>3.5777999999999999</v>
      </c>
      <c r="I26" s="112">
        <f>IF($A26="","",[1]!thsiFinD("ths_adjustment_nv_fund",I$3,$A26))</f>
        <v>2.3675999999999999</v>
      </c>
      <c r="J26" s="112">
        <f>IF($A26="","",[1]!thsiFinD("ths_adjustment_nv_fund",J$3,$A26))</f>
        <v>2.9571000000000001</v>
      </c>
      <c r="K26" s="112">
        <f>IF($A26="","",[1]!thsiFinD("ths_adjustment_nv_fund",K$3,$A26))</f>
        <v>2.9298999999999999</v>
      </c>
      <c r="L26" s="112">
        <f>IF($A26="","",[1]!thsiFinD("ths_adjustment_nv_fund",L$3,$A26))</f>
        <v>1.3858999999999999</v>
      </c>
      <c r="M26" s="112">
        <f>IF($A26="","",[1]!thsiFinD("ths_adjustment_nv_fund",M$3,$A26))</f>
        <v>1.3672</v>
      </c>
      <c r="N26" s="112">
        <f>IF($A26="","",[1]!thsiFinD("ths_adjustment_nv_fund",N$3,$A26))</f>
        <v>1.4021999999999999</v>
      </c>
      <c r="O26" s="112">
        <f>IF($A26="","",[1]!thsiFinD("ths_adjustment_nv_fund",O$3,$A26))</f>
        <v>1.3673</v>
      </c>
      <c r="P26" s="112">
        <f>IF($A26="","",[1]!thsiFinD("ths_adjustment_nv_fund",P$3,$A26))</f>
        <v>2.5034999999999998</v>
      </c>
      <c r="Q26" s="112">
        <f>IF($A26="","",[1]!thsiFinD("ths_adjustment_nv_fund",Q$3,$A26))</f>
        <v>3.3285999999999998</v>
      </c>
      <c r="R26" s="112">
        <f>IF($A26="","",[1]!thsiFinD("ths_adjustment_nv_fund",R$3,$A26))</f>
        <v>3.2585000000000002</v>
      </c>
      <c r="S26" s="112">
        <f>IF($A26="","",[1]!thsiFinD("ths_adjustment_nv_fund",S$3,$A26))</f>
        <v>4.3339999999999996</v>
      </c>
      <c r="T26" s="112">
        <f>IF($A26="","",[1]!thsiFinD("ths_adjustment_nv_fund",T$3,$A26))</f>
        <v>2.6282000000000001</v>
      </c>
      <c r="U26" s="112">
        <f>IF($A26="","",[1]!thsiFinD("ths_adjustment_nv_fund",U$3,$A26))</f>
        <v>2.6143000000000001</v>
      </c>
      <c r="V26" s="112">
        <f>IF($A26="","",[1]!thsiFinD("ths_adjustment_nv_fund",V$3,$A26))</f>
        <v>1.6716</v>
      </c>
      <c r="W26" s="112">
        <f>IF($A26="","",[1]!thsiFinD("ths_adjustment_nv_fund",W$3,$A26))</f>
        <v>1.655</v>
      </c>
      <c r="X26" s="112">
        <f>IF($A26="","",[1]!thsiFinD("ths_adjustment_nv_fund",X$3,$A26))</f>
        <v>1.7894000000000001</v>
      </c>
    </row>
    <row r="27" spans="1:24">
      <c r="A27" s="111">
        <v>46224</v>
      </c>
      <c r="B27" s="112">
        <f>IF($A27="","",[1]!thsiFinD("ths_adjustment_nv_fund",B$3,$A27))</f>
        <v>3.0701999999999998</v>
      </c>
      <c r="C27" s="112">
        <f>IF($A27="","",[1]!thsiFinD("ths_adjustment_nv_fund",C$3,$A27))</f>
        <v>1.3187775417000001</v>
      </c>
      <c r="D27" s="112">
        <f>IF($A27="","",[1]!thsiFinD("ths_adjustment_nv_fund",D$3,$A27))</f>
        <v>4.7220000000000004</v>
      </c>
      <c r="E27" s="112">
        <f>IF($A27="","",[1]!thsiFinD("ths_adjustment_nv_fund",E$3,$A27))</f>
        <v>1.8593999999999999</v>
      </c>
      <c r="F27" s="112">
        <f>IF($A27="","",[1]!thsiFinD("ths_adjustment_nv_fund",F$3,$A27))</f>
        <v>1.8065</v>
      </c>
      <c r="G27" s="112">
        <f>IF($A27="","",[1]!thsiFinD("ths_adjustment_nv_fund",G$3,$A27))</f>
        <v>3.9375</v>
      </c>
      <c r="H27" s="112">
        <f>IF($A27="","",[1]!thsiFinD("ths_adjustment_nv_fund",H$3,$A27))</f>
        <v>3.8534999999999999</v>
      </c>
      <c r="I27" s="112">
        <f>IF($A27="","",[1]!thsiFinD("ths_adjustment_nv_fund",I$3,$A27))</f>
        <v>2.6269999999999998</v>
      </c>
      <c r="J27" s="112">
        <f>IF($A27="","",[1]!thsiFinD("ths_adjustment_nv_fund",J$3,$A27))</f>
        <v>3.4468000000000001</v>
      </c>
      <c r="K27" s="112">
        <f>IF($A27="","",[1]!thsiFinD("ths_adjustment_nv_fund",K$3,$A27))</f>
        <v>3.415</v>
      </c>
      <c r="L27" s="112">
        <f>IF($A27="","",[1]!thsiFinD("ths_adjustment_nv_fund",L$3,$A27))</f>
        <v>1.4433</v>
      </c>
      <c r="M27" s="112">
        <f>IF($A27="","",[1]!thsiFinD("ths_adjustment_nv_fund",M$3,$A27))</f>
        <v>1.4238</v>
      </c>
      <c r="N27" s="112">
        <f>IF($A27="","",[1]!thsiFinD("ths_adjustment_nv_fund",N$3,$A27))</f>
        <v>1.4735</v>
      </c>
      <c r="O27" s="112">
        <f>IF($A27="","",[1]!thsiFinD("ths_adjustment_nv_fund",O$3,$A27))</f>
        <v>1.4369000000000001</v>
      </c>
      <c r="P27" s="112">
        <f>IF($A27="","",[1]!thsiFinD("ths_adjustment_nv_fund",P$3,$A27))</f>
        <v>2.7307000000000001</v>
      </c>
      <c r="Q27" s="112">
        <f>IF($A27="","",[1]!thsiFinD("ths_adjustment_nv_fund",Q$3,$A27))</f>
        <v>3.6114000000000002</v>
      </c>
      <c r="R27" s="112">
        <f>IF($A27="","",[1]!thsiFinD("ths_adjustment_nv_fund",R$3,$A27))</f>
        <v>3.5352000000000001</v>
      </c>
      <c r="S27" s="112">
        <f>IF($A27="","",[1]!thsiFinD("ths_adjustment_nv_fund",S$3,$A27))</f>
        <v>4.673</v>
      </c>
      <c r="T27" s="112">
        <f>IF($A27="","",[1]!thsiFinD("ths_adjustment_nv_fund",T$3,$A27))</f>
        <v>3.0192999999999999</v>
      </c>
      <c r="U27" s="112">
        <f>IF($A27="","",[1]!thsiFinD("ths_adjustment_nv_fund",U$3,$A27))</f>
        <v>3.0032000000000001</v>
      </c>
      <c r="V27" s="112">
        <f>IF($A27="","",[1]!thsiFinD("ths_adjustment_nv_fund",V$3,$A27))</f>
        <v>1.7194</v>
      </c>
      <c r="W27" s="112">
        <f>IF($A27="","",[1]!thsiFinD("ths_adjustment_nv_fund",W$3,$A27))</f>
        <v>1.7023999999999999</v>
      </c>
      <c r="X27" s="112">
        <f>IF($A27="","",[1]!thsiFinD("ths_adjustment_nv_fund",X$3,$A27))</f>
        <v>1.7897000000000001</v>
      </c>
    </row>
    <row r="28" spans="1:24">
      <c r="A28" s="111">
        <v>46225</v>
      </c>
      <c r="B28" s="112">
        <f>IF($A28="","",[1]!thsiFinD("ths_adjustment_nv_fund",B$3,$A28))</f>
        <v>3.1126999999999998</v>
      </c>
      <c r="C28" s="112">
        <f>IF($A28="","",[1]!thsiFinD("ths_adjustment_nv_fund",C$3,$A28))</f>
        <v>1.3188229868000001</v>
      </c>
      <c r="D28" s="112">
        <f>IF($A28="","",[1]!thsiFinD("ths_adjustment_nv_fund",D$3,$A28))</f>
        <v>4.54</v>
      </c>
      <c r="E28" s="112">
        <f>IF($A28="","",[1]!thsiFinD("ths_adjustment_nv_fund",E$3,$A28))</f>
        <v>1.8446</v>
      </c>
      <c r="F28" s="112">
        <f>IF($A28="","",[1]!thsiFinD("ths_adjustment_nv_fund",F$3,$A28))</f>
        <v>1.7921</v>
      </c>
      <c r="G28" s="112">
        <f>IF($A28="","",[1]!thsiFinD("ths_adjustment_nv_fund",G$3,$A28))</f>
        <v>3.7907999999999999</v>
      </c>
      <c r="H28" s="112">
        <f>IF($A28="","",[1]!thsiFinD("ths_adjustment_nv_fund",H$3,$A28))</f>
        <v>3.7098</v>
      </c>
      <c r="I28" s="112">
        <f>IF($A28="","",[1]!thsiFinD("ths_adjustment_nv_fund",I$3,$A28))</f>
        <v>2.5409999999999999</v>
      </c>
      <c r="J28" s="112">
        <f>IF($A28="","",[1]!thsiFinD("ths_adjustment_nv_fund",J$3,$A28))</f>
        <v>3.3807</v>
      </c>
      <c r="K28" s="112">
        <f>IF($A28="","",[1]!thsiFinD("ths_adjustment_nv_fund",K$3,$A28))</f>
        <v>3.3494999999999999</v>
      </c>
      <c r="L28" s="112">
        <f>IF($A28="","",[1]!thsiFinD("ths_adjustment_nv_fund",L$3,$A28))</f>
        <v>1.4241999999999999</v>
      </c>
      <c r="M28" s="112">
        <f>IF($A28="","",[1]!thsiFinD("ths_adjustment_nv_fund",M$3,$A28))</f>
        <v>1.405</v>
      </c>
      <c r="N28" s="112">
        <f>IF($A28="","",[1]!thsiFinD("ths_adjustment_nv_fund",N$3,$A28))</f>
        <v>1.4686999999999999</v>
      </c>
      <c r="O28" s="112">
        <f>IF($A28="","",[1]!thsiFinD("ths_adjustment_nv_fund",O$3,$A28))</f>
        <v>1.4320999999999999</v>
      </c>
      <c r="P28" s="112">
        <f>IF($A28="","",[1]!thsiFinD("ths_adjustment_nv_fund",P$3,$A28))</f>
        <v>2.5888</v>
      </c>
      <c r="Q28" s="112">
        <f>IF($A28="","",[1]!thsiFinD("ths_adjustment_nv_fund",Q$3,$A28))</f>
        <v>3.4780000000000002</v>
      </c>
      <c r="R28" s="112">
        <f>IF($A28="","",[1]!thsiFinD("ths_adjustment_nv_fund",R$3,$A28))</f>
        <v>3.4045999999999998</v>
      </c>
      <c r="S28" s="112">
        <f>IF($A28="","",[1]!thsiFinD("ths_adjustment_nv_fund",S$3,$A28))</f>
        <v>4.4930000000000003</v>
      </c>
      <c r="T28" s="112">
        <f>IF($A28="","",[1]!thsiFinD("ths_adjustment_nv_fund",T$3,$A28))</f>
        <v>2.9672999999999998</v>
      </c>
      <c r="U28" s="112">
        <f>IF($A28="","",[1]!thsiFinD("ths_adjustment_nv_fund",U$3,$A28))</f>
        <v>2.9514999999999998</v>
      </c>
      <c r="V28" s="112">
        <f>IF($A28="","",[1]!thsiFinD("ths_adjustment_nv_fund",V$3,$A28))</f>
        <v>1.6980999999999999</v>
      </c>
      <c r="W28" s="112">
        <f>IF($A28="","",[1]!thsiFinD("ths_adjustment_nv_fund",W$3,$A28))</f>
        <v>1.6812</v>
      </c>
      <c r="X28" s="112">
        <f>IF($A28="","",[1]!thsiFinD("ths_adjustment_nv_fund",X$3,$A28))</f>
        <v>1.7924</v>
      </c>
    </row>
    <row r="29" spans="1:24">
      <c r="A29" s="111">
        <v>46226</v>
      </c>
      <c r="B29" s="112">
        <f>IF($A29="","",[1]!thsiFinD("ths_adjustment_nv_fund",B$3,$A29))</f>
        <v>3.1029</v>
      </c>
      <c r="C29" s="112">
        <f>IF($A29="","",[1]!thsiFinD("ths_adjustment_nv_fund",C$3,$A29))</f>
        <v>1.3188669036</v>
      </c>
      <c r="D29" s="112">
        <f>IF($A29="","",[1]!thsiFinD("ths_adjustment_nv_fund",D$3,$A29))</f>
        <v>4.5209999999999999</v>
      </c>
      <c r="E29" s="112">
        <f>IF($A29="","",[1]!thsiFinD("ths_adjustment_nv_fund",E$3,$A29))</f>
        <v>1.8546</v>
      </c>
      <c r="F29" s="112">
        <f>IF($A29="","",[1]!thsiFinD("ths_adjustment_nv_fund",F$3,$A29))</f>
        <v>1.8017000000000001</v>
      </c>
      <c r="G29" s="112">
        <f>IF($A29="","",[1]!thsiFinD("ths_adjustment_nv_fund",G$3,$A29))</f>
        <v>3.7839</v>
      </c>
      <c r="H29" s="112">
        <f>IF($A29="","",[1]!thsiFinD("ths_adjustment_nv_fund",H$3,$A29))</f>
        <v>3.7031000000000001</v>
      </c>
      <c r="I29" s="112">
        <f>IF($A29="","",[1]!thsiFinD("ths_adjustment_nv_fund",I$3,$A29))</f>
        <v>2.4803999999999999</v>
      </c>
      <c r="J29" s="112">
        <f>IF($A29="","",[1]!thsiFinD("ths_adjustment_nv_fund",J$3,$A29))</f>
        <v>3.2132000000000001</v>
      </c>
      <c r="K29" s="112">
        <f>IF($A29="","",[1]!thsiFinD("ths_adjustment_nv_fund",K$3,$A29))</f>
        <v>3.1836000000000002</v>
      </c>
      <c r="L29" s="112">
        <f>IF($A29="","",[1]!thsiFinD("ths_adjustment_nv_fund",L$3,$A29))</f>
        <v>1.4338</v>
      </c>
      <c r="M29" s="112">
        <f>IF($A29="","",[1]!thsiFinD("ths_adjustment_nv_fund",M$3,$A29))</f>
        <v>1.4145000000000001</v>
      </c>
      <c r="N29" s="112">
        <f>IF($A29="","",[1]!thsiFinD("ths_adjustment_nv_fund",N$3,$A29))</f>
        <v>1.4743999999999999</v>
      </c>
      <c r="O29" s="112">
        <f>IF($A29="","",[1]!thsiFinD("ths_adjustment_nv_fund",O$3,$A29))</f>
        <v>1.4377</v>
      </c>
      <c r="P29" s="112">
        <f>IF($A29="","",[1]!thsiFinD("ths_adjustment_nv_fund",P$3,$A29))</f>
        <v>2.5653000000000001</v>
      </c>
      <c r="Q29" s="112">
        <f>IF($A29="","",[1]!thsiFinD("ths_adjustment_nv_fund",Q$3,$A29))</f>
        <v>3.3975</v>
      </c>
      <c r="R29" s="112">
        <f>IF($A29="","",[1]!thsiFinD("ths_adjustment_nv_fund",R$3,$A29))</f>
        <v>3.3256999999999999</v>
      </c>
      <c r="S29" s="112">
        <f>IF($A29="","",[1]!thsiFinD("ths_adjustment_nv_fund",S$3,$A29))</f>
        <v>4.4740000000000002</v>
      </c>
      <c r="T29" s="112">
        <f>IF($A29="","",[1]!thsiFinD("ths_adjustment_nv_fund",T$3,$A29))</f>
        <v>2.8544999999999998</v>
      </c>
      <c r="U29" s="112">
        <f>IF($A29="","",[1]!thsiFinD("ths_adjustment_nv_fund",U$3,$A29))</f>
        <v>2.8393000000000002</v>
      </c>
      <c r="V29" s="112">
        <f>IF($A29="","",[1]!thsiFinD("ths_adjustment_nv_fund",V$3,$A29))</f>
        <v>1.7231000000000001</v>
      </c>
      <c r="W29" s="112">
        <f>IF($A29="","",[1]!thsiFinD("ths_adjustment_nv_fund",W$3,$A29))</f>
        <v>1.706</v>
      </c>
      <c r="X29" s="112">
        <f>IF($A29="","",[1]!thsiFinD("ths_adjustment_nv_fund",X$3,$A29))</f>
        <v>1.7927999999999999</v>
      </c>
    </row>
    <row r="30" spans="1:24">
      <c r="A30" s="111">
        <v>46227</v>
      </c>
      <c r="B30" s="112">
        <f>IF($A30="","",[1]!thsiFinD("ths_adjustment_nv_fund",B$3,$A30))</f>
        <v>3.0590000000000002</v>
      </c>
      <c r="C30" s="112">
        <f>IF($A30="","",[1]!thsiFinD("ths_adjustment_nv_fund",C$3,$A30))</f>
        <v>1.3189122067000001</v>
      </c>
      <c r="D30" s="112">
        <f>IF($A30="","",[1]!thsiFinD("ths_adjustment_nv_fund",D$3,$A30))</f>
        <v>4.4160000000000004</v>
      </c>
      <c r="E30" s="112">
        <f>IF($A30="","",[1]!thsiFinD("ths_adjustment_nv_fund",E$3,$A30))</f>
        <v>1.8241000000000001</v>
      </c>
      <c r="F30" s="112">
        <f>IF($A30="","",[1]!thsiFinD("ths_adjustment_nv_fund",F$3,$A30))</f>
        <v>1.7721</v>
      </c>
      <c r="G30" s="112">
        <f>IF($A30="","",[1]!thsiFinD("ths_adjustment_nv_fund",G$3,$A30))</f>
        <v>3.6581999999999999</v>
      </c>
      <c r="H30" s="112">
        <f>IF($A30="","",[1]!thsiFinD("ths_adjustment_nv_fund",H$3,$A30))</f>
        <v>3.58</v>
      </c>
      <c r="I30" s="112">
        <f>IF($A30="","",[1]!thsiFinD("ths_adjustment_nv_fund",I$3,$A30))</f>
        <v>2.4868999999999999</v>
      </c>
      <c r="J30" s="112">
        <f>IF($A30="","",[1]!thsiFinD("ths_adjustment_nv_fund",J$3,$A30))</f>
        <v>3.3025000000000002</v>
      </c>
      <c r="K30" s="112">
        <f>IF($A30="","",[1]!thsiFinD("ths_adjustment_nv_fund",K$3,$A30))</f>
        <v>3.2719999999999998</v>
      </c>
      <c r="L30" s="112">
        <f>IF($A30="","",[1]!thsiFinD("ths_adjustment_nv_fund",L$3,$A30))</f>
        <v>1.3917999999999999</v>
      </c>
      <c r="M30" s="112">
        <f>IF($A30="","",[1]!thsiFinD("ths_adjustment_nv_fund",M$3,$A30))</f>
        <v>1.3731</v>
      </c>
      <c r="N30" s="112">
        <f>IF($A30="","",[1]!thsiFinD("ths_adjustment_nv_fund",N$3,$A30))</f>
        <v>1.4372</v>
      </c>
      <c r="O30" s="112">
        <f>IF($A30="","",[1]!thsiFinD("ths_adjustment_nv_fund",O$3,$A30))</f>
        <v>1.4014</v>
      </c>
      <c r="P30" s="112">
        <f>IF($A30="","",[1]!thsiFinD("ths_adjustment_nv_fund",P$3,$A30))</f>
        <v>2.4782000000000002</v>
      </c>
      <c r="Q30" s="112">
        <f>IF($A30="","",[1]!thsiFinD("ths_adjustment_nv_fund",Q$3,$A30))</f>
        <v>3.3233000000000001</v>
      </c>
      <c r="R30" s="112">
        <f>IF($A30="","",[1]!thsiFinD("ths_adjustment_nv_fund",R$3,$A30))</f>
        <v>3.2530000000000001</v>
      </c>
      <c r="S30" s="112">
        <f>IF($A30="","",[1]!thsiFinD("ths_adjustment_nv_fund",S$3,$A30))</f>
        <v>4.37</v>
      </c>
      <c r="T30" s="112">
        <f>IF($A30="","",[1]!thsiFinD("ths_adjustment_nv_fund",T$3,$A30))</f>
        <v>2.9346000000000001</v>
      </c>
      <c r="U30" s="112">
        <f>IF($A30="","",[1]!thsiFinD("ths_adjustment_nv_fund",U$3,$A30))</f>
        <v>2.9188999999999998</v>
      </c>
      <c r="V30" s="112">
        <f>IF($A30="","",[1]!thsiFinD("ths_adjustment_nv_fund",V$3,$A30))</f>
        <v>1.6819999999999999</v>
      </c>
      <c r="W30" s="112">
        <f>IF($A30="","",[1]!thsiFinD("ths_adjustment_nv_fund",W$3,$A30))</f>
        <v>1.6652</v>
      </c>
      <c r="X30" s="112">
        <f>IF($A30="","",[1]!thsiFinD("ths_adjustment_nv_fund",X$3,$A30))</f>
        <v>1.7938000000000001</v>
      </c>
    </row>
    <row r="31" spans="1:24">
      <c r="A31" s="111">
        <v>46230</v>
      </c>
      <c r="B31" s="112">
        <f>IF($A31="","",[1]!thsiFinD("ths_adjustment_nv_fund",B$3,$A31))</f>
        <v>3.0947</v>
      </c>
      <c r="C31" s="112">
        <f>IF($A31="","",[1]!thsiFinD("ths_adjustment_nv_fund",C$3,$A31))</f>
        <v>1.3190456983000001</v>
      </c>
      <c r="D31" s="112">
        <f>IF($A31="","",[1]!thsiFinD("ths_adjustment_nv_fund",D$3,$A31))</f>
        <v>4.577</v>
      </c>
      <c r="E31" s="112">
        <f>IF($A31="","",[1]!thsiFinD("ths_adjustment_nv_fund",E$3,$A31))</f>
        <v>1.8586</v>
      </c>
      <c r="F31" s="112">
        <f>IF($A31="","",[1]!thsiFinD("ths_adjustment_nv_fund",F$3,$A31))</f>
        <v>1.8056000000000001</v>
      </c>
      <c r="G31" s="112">
        <f>IF($A31="","",[1]!thsiFinD("ths_adjustment_nv_fund",G$3,$A31))</f>
        <v>3.7648999999999999</v>
      </c>
      <c r="H31" s="112">
        <f>IF($A31="","",[1]!thsiFinD("ths_adjustment_nv_fund",H$3,$A31))</f>
        <v>3.6844000000000001</v>
      </c>
      <c r="I31" s="112">
        <f>IF($A31="","",[1]!thsiFinD("ths_adjustment_nv_fund",I$3,$A31))</f>
        <v>2.552</v>
      </c>
      <c r="J31" s="112">
        <f>IF($A31="","",[1]!thsiFinD("ths_adjustment_nv_fund",J$3,$A31))</f>
        <v>3.3740000000000001</v>
      </c>
      <c r="K31" s="112">
        <f>IF($A31="","",[1]!thsiFinD("ths_adjustment_nv_fund",K$3,$A31))</f>
        <v>3.3428</v>
      </c>
      <c r="L31" s="112">
        <f>IF($A31="","",[1]!thsiFinD("ths_adjustment_nv_fund",L$3,$A31))</f>
        <v>1.4456</v>
      </c>
      <c r="M31" s="112">
        <f>IF($A31="","",[1]!thsiFinD("ths_adjustment_nv_fund",M$3,$A31))</f>
        <v>1.4260999999999999</v>
      </c>
      <c r="N31" s="112">
        <f>IF($A31="","",[1]!thsiFinD("ths_adjustment_nv_fund",N$3,$A31))</f>
        <v>1.4791000000000001</v>
      </c>
      <c r="O31" s="112">
        <f>IF($A31="","",[1]!thsiFinD("ths_adjustment_nv_fund",O$3,$A31))</f>
        <v>1.4421999999999999</v>
      </c>
      <c r="P31" s="112">
        <f>IF($A31="","",[1]!thsiFinD("ths_adjustment_nv_fund",P$3,$A31))</f>
        <v>2.5747</v>
      </c>
      <c r="Q31" s="112">
        <f>IF($A31="","",[1]!thsiFinD("ths_adjustment_nv_fund",Q$3,$A31))</f>
        <v>3.4195000000000002</v>
      </c>
      <c r="R31" s="112">
        <f>IF($A31="","",[1]!thsiFinD("ths_adjustment_nv_fund",R$3,$A31))</f>
        <v>3.3471000000000002</v>
      </c>
      <c r="S31" s="112">
        <f>IF($A31="","",[1]!thsiFinD("ths_adjustment_nv_fund",S$3,$A31))</f>
        <v>4.5289999999999999</v>
      </c>
      <c r="T31" s="112">
        <f>IF($A31="","",[1]!thsiFinD("ths_adjustment_nv_fund",T$3,$A31))</f>
        <v>3.0312999999999999</v>
      </c>
      <c r="U31" s="112">
        <f>IF($A31="","",[1]!thsiFinD("ths_adjustment_nv_fund",U$3,$A31))</f>
        <v>3.0150999999999999</v>
      </c>
      <c r="V31" s="112">
        <f>IF($A31="","",[1]!thsiFinD("ths_adjustment_nv_fund",V$3,$A31))</f>
        <v>1.7479</v>
      </c>
      <c r="W31" s="112">
        <f>IF($A31="","",[1]!thsiFinD("ths_adjustment_nv_fund",W$3,$A31))</f>
        <v>1.7303999999999999</v>
      </c>
      <c r="X31" s="112">
        <f>IF($A31="","",[1]!thsiFinD("ths_adjustment_nv_fund",X$3,$A31))</f>
        <v>1.7939000000000001</v>
      </c>
    </row>
    <row r="32" spans="1:24">
      <c r="A32" s="111">
        <v>46231</v>
      </c>
      <c r="B32" s="112">
        <f>IF($A32="","",[1]!thsiFinD("ths_adjustment_nv_fund",B$3,$A32))</f>
        <v>3.0579000000000001</v>
      </c>
      <c r="C32" s="112">
        <f>IF($A32="","",[1]!thsiFinD("ths_adjustment_nv_fund",C$3,$A32))</f>
        <v>1.3190894114</v>
      </c>
      <c r="D32" s="112">
        <f>IF($A32="","",[1]!thsiFinD("ths_adjustment_nv_fund",D$3,$A32))</f>
        <v>4.1360000000000001</v>
      </c>
      <c r="E32" s="112">
        <f>IF($A32="","",[1]!thsiFinD("ths_adjustment_nv_fund",E$3,$A32))</f>
        <v>1.8013999999999999</v>
      </c>
      <c r="F32" s="112">
        <f>IF($A32="","",[1]!thsiFinD("ths_adjustment_nv_fund",F$3,$A32))</f>
        <v>1.75</v>
      </c>
      <c r="G32" s="112">
        <f>IF($A32="","",[1]!thsiFinD("ths_adjustment_nv_fund",G$3,$A32))</f>
        <v>3.4058000000000002</v>
      </c>
      <c r="H32" s="112">
        <f>IF($A32="","",[1]!thsiFinD("ths_adjustment_nv_fund",H$3,$A32))</f>
        <v>3.3329</v>
      </c>
      <c r="I32" s="112">
        <f>IF($A32="","",[1]!thsiFinD("ths_adjustment_nv_fund",I$3,$A32))</f>
        <v>2.3229000000000002</v>
      </c>
      <c r="J32" s="112">
        <f>IF($A32="","",[1]!thsiFinD("ths_adjustment_nv_fund",J$3,$A32))</f>
        <v>3.1785000000000001</v>
      </c>
      <c r="K32" s="112">
        <f>IF($A32="","",[1]!thsiFinD("ths_adjustment_nv_fund",K$3,$A32))</f>
        <v>3.1490999999999998</v>
      </c>
      <c r="L32" s="112">
        <f>IF($A32="","",[1]!thsiFinD("ths_adjustment_nv_fund",L$3,$A32))</f>
        <v>1.409</v>
      </c>
      <c r="M32" s="112">
        <f>IF($A32="","",[1]!thsiFinD("ths_adjustment_nv_fund",M$3,$A32))</f>
        <v>1.39</v>
      </c>
      <c r="N32" s="112">
        <f>IF($A32="","",[1]!thsiFinD("ths_adjustment_nv_fund",N$3,$A32))</f>
        <v>1.4274</v>
      </c>
      <c r="O32" s="112">
        <f>IF($A32="","",[1]!thsiFinD("ths_adjustment_nv_fund",O$3,$A32))</f>
        <v>1.3916999999999999</v>
      </c>
      <c r="P32" s="112">
        <f>IF($A32="","",[1]!thsiFinD("ths_adjustment_nv_fund",P$3,$A32))</f>
        <v>2.2561</v>
      </c>
      <c r="Q32" s="112">
        <f>IF($A32="","",[1]!thsiFinD("ths_adjustment_nv_fund",Q$3,$A32))</f>
        <v>3.0731999999999999</v>
      </c>
      <c r="R32" s="112">
        <f>IF($A32="","",[1]!thsiFinD("ths_adjustment_nv_fund",R$3,$A32))</f>
        <v>3.008</v>
      </c>
      <c r="S32" s="112">
        <f>IF($A32="","",[1]!thsiFinD("ths_adjustment_nv_fund",S$3,$A32))</f>
        <v>4.093</v>
      </c>
      <c r="T32" s="112">
        <f>IF($A32="","",[1]!thsiFinD("ths_adjustment_nv_fund",T$3,$A32))</f>
        <v>2.8593999999999999</v>
      </c>
      <c r="U32" s="112">
        <f>IF($A32="","",[1]!thsiFinD("ths_adjustment_nv_fund",U$3,$A32))</f>
        <v>2.8439999999999999</v>
      </c>
      <c r="V32" s="112">
        <f>IF($A32="","",[1]!thsiFinD("ths_adjustment_nv_fund",V$3,$A32))</f>
        <v>1.7117</v>
      </c>
      <c r="W32" s="112">
        <f>IF($A32="","",[1]!thsiFinD("ths_adjustment_nv_fund",W$3,$A32))</f>
        <v>1.6946000000000001</v>
      </c>
      <c r="X32" s="112">
        <f>IF($A32="","",[1]!thsiFinD("ths_adjustment_nv_fund",X$3,$A32))</f>
        <v>1.7938000000000001</v>
      </c>
    </row>
    <row r="33" spans="1:24">
      <c r="A33" s="111">
        <v>46232</v>
      </c>
      <c r="B33" s="112">
        <f>IF($A33="","",[1]!thsiFinD("ths_adjustment_nv_fund",B$3,$A33))</f>
        <v>3.0528</v>
      </c>
      <c r="C33" s="112">
        <f>IF($A33="","",[1]!thsiFinD("ths_adjustment_nv_fund",C$3,$A33))</f>
        <v>1.3191353025999999</v>
      </c>
      <c r="D33" s="112">
        <f>IF($A33="","",[1]!thsiFinD("ths_adjustment_nv_fund",D$3,$A33))</f>
        <v>4.1230000000000002</v>
      </c>
      <c r="E33" s="112">
        <f>IF($A33="","",[1]!thsiFinD("ths_adjustment_nv_fund",E$3,$A33))</f>
        <v>1.8154999999999999</v>
      </c>
      <c r="F33" s="112">
        <f>IF($A33="","",[1]!thsiFinD("ths_adjustment_nv_fund",F$3,$A33))</f>
        <v>1.7636000000000001</v>
      </c>
      <c r="G33" s="112">
        <f>IF($A33="","",[1]!thsiFinD("ths_adjustment_nv_fund",G$3,$A33))</f>
        <v>3.4272999999999998</v>
      </c>
      <c r="H33" s="112">
        <f>IF($A33="","",[1]!thsiFinD("ths_adjustment_nv_fund",H$3,$A33))</f>
        <v>3.3538999999999999</v>
      </c>
      <c r="I33" s="112">
        <f>IF($A33="","",[1]!thsiFinD("ths_adjustment_nv_fund",I$3,$A33))</f>
        <v>2.3229000000000002</v>
      </c>
      <c r="J33" s="112">
        <f>IF($A33="","",[1]!thsiFinD("ths_adjustment_nv_fund",J$3,$A33))</f>
        <v>3.1309</v>
      </c>
      <c r="K33" s="112">
        <f>IF($A33="","",[1]!thsiFinD("ths_adjustment_nv_fund",K$3,$A33))</f>
        <v>3.1019000000000001</v>
      </c>
      <c r="L33" s="112">
        <f>IF($A33="","",[1]!thsiFinD("ths_adjustment_nv_fund",L$3,$A33))</f>
        <v>1.4198999999999999</v>
      </c>
      <c r="M33" s="112">
        <f>IF($A33="","",[1]!thsiFinD("ths_adjustment_nv_fund",M$3,$A33))</f>
        <v>1.4007000000000001</v>
      </c>
      <c r="N33" s="112">
        <f>IF($A33="","",[1]!thsiFinD("ths_adjustment_nv_fund",N$3,$A33))</f>
        <v>1.4406000000000001</v>
      </c>
      <c r="O33" s="112">
        <f>IF($A33="","",[1]!thsiFinD("ths_adjustment_nv_fund",O$3,$A33))</f>
        <v>1.4046000000000001</v>
      </c>
      <c r="P33" s="112">
        <f>IF($A33="","",[1]!thsiFinD("ths_adjustment_nv_fund",P$3,$A33))</f>
        <v>2.2269000000000001</v>
      </c>
      <c r="Q33" s="112">
        <f>IF($A33="","",[1]!thsiFinD("ths_adjustment_nv_fund",Q$3,$A33))</f>
        <v>3.0274999999999999</v>
      </c>
      <c r="R33" s="112">
        <f>IF($A33="","",[1]!thsiFinD("ths_adjustment_nv_fund",R$3,$A33))</f>
        <v>2.9632000000000001</v>
      </c>
      <c r="S33" s="112">
        <f>IF($A33="","",[1]!thsiFinD("ths_adjustment_nv_fund",S$3,$A33))</f>
        <v>4.08</v>
      </c>
      <c r="T33" s="112">
        <f>IF($A33="","",[1]!thsiFinD("ths_adjustment_nv_fund",T$3,$A33))</f>
        <v>2.8022</v>
      </c>
      <c r="U33" s="112">
        <f>IF($A33="","",[1]!thsiFinD("ths_adjustment_nv_fund",U$3,$A33))</f>
        <v>2.7871000000000001</v>
      </c>
      <c r="V33" s="112">
        <f>IF($A33="","",[1]!thsiFinD("ths_adjustment_nv_fund",V$3,$A33))</f>
        <v>1.7188000000000001</v>
      </c>
      <c r="W33" s="112">
        <f>IF($A33="","",[1]!thsiFinD("ths_adjustment_nv_fund",W$3,$A33))</f>
        <v>1.7016</v>
      </c>
      <c r="X33" s="112">
        <f>IF($A33="","",[1]!thsiFinD("ths_adjustment_nv_fund",X$3,$A33))</f>
        <v>1.7935000000000001</v>
      </c>
    </row>
    <row r="34" spans="1:24">
      <c r="A34" s="111">
        <v>46233</v>
      </c>
      <c r="B34" s="112">
        <f>IF($A34="","",[1]!thsiFinD("ths_adjustment_nv_fund",B$3,$A34))</f>
        <v>3.0495000000000001</v>
      </c>
      <c r="C34" s="112">
        <f>IF($A34="","",[1]!thsiFinD("ths_adjustment_nv_fund",C$3,$A34))</f>
        <v>1.3191793221000001</v>
      </c>
      <c r="D34" s="112">
        <f>IF($A34="","",[1]!thsiFinD("ths_adjustment_nv_fund",D$3,$A34))</f>
        <v>3.81</v>
      </c>
      <c r="E34" s="112">
        <f>IF($A34="","",[1]!thsiFinD("ths_adjustment_nv_fund",E$3,$A34))</f>
        <v>1.7921</v>
      </c>
      <c r="F34" s="112">
        <f>IF($A34="","",[1]!thsiFinD("ths_adjustment_nv_fund",F$3,$A34))</f>
        <v>1.7408999999999999</v>
      </c>
      <c r="G34" s="112">
        <f>IF($A34="","",[1]!thsiFinD("ths_adjustment_nv_fund",G$3,$A34))</f>
        <v>3.1764999999999999</v>
      </c>
      <c r="H34" s="112">
        <f>IF($A34="","",[1]!thsiFinD("ths_adjustment_nv_fund",H$3,$A34))</f>
        <v>3.1084999999999998</v>
      </c>
      <c r="I34" s="112">
        <f>IF($A34="","",[1]!thsiFinD("ths_adjustment_nv_fund",I$3,$A34))</f>
        <v>2.1554000000000002</v>
      </c>
      <c r="J34" s="112">
        <f>IF($A34="","",[1]!thsiFinD("ths_adjustment_nv_fund",J$3,$A34))</f>
        <v>2.9123000000000001</v>
      </c>
      <c r="K34" s="112">
        <f>IF($A34="","",[1]!thsiFinD("ths_adjustment_nv_fund",K$3,$A34))</f>
        <v>2.8853</v>
      </c>
      <c r="L34" s="112">
        <f>IF($A34="","",[1]!thsiFinD("ths_adjustment_nv_fund",L$3,$A34))</f>
        <v>1.3827</v>
      </c>
      <c r="M34" s="112">
        <f>IF($A34="","",[1]!thsiFinD("ths_adjustment_nv_fund",M$3,$A34))</f>
        <v>1.3638999999999999</v>
      </c>
      <c r="N34" s="112">
        <f>IF($A34="","",[1]!thsiFinD("ths_adjustment_nv_fund",N$3,$A34))</f>
        <v>1.3997999999999999</v>
      </c>
      <c r="O34" s="112">
        <f>IF($A34="","",[1]!thsiFinD("ths_adjustment_nv_fund",O$3,$A34))</f>
        <v>1.3648</v>
      </c>
      <c r="P34" s="112">
        <f>IF($A34="","",[1]!thsiFinD("ths_adjustment_nv_fund",P$3,$A34))</f>
        <v>2.0009999999999999</v>
      </c>
      <c r="Q34" s="112">
        <f>IF($A34="","",[1]!thsiFinD("ths_adjustment_nv_fund",Q$3,$A34))</f>
        <v>2.7465000000000002</v>
      </c>
      <c r="R34" s="112">
        <f>IF($A34="","",[1]!thsiFinD("ths_adjustment_nv_fund",R$3,$A34))</f>
        <v>2.6880999999999999</v>
      </c>
      <c r="S34" s="112">
        <f>IF($A34="","",[1]!thsiFinD("ths_adjustment_nv_fund",S$3,$A34))</f>
        <v>3.77</v>
      </c>
      <c r="T34" s="112">
        <f>IF($A34="","",[1]!thsiFinD("ths_adjustment_nv_fund",T$3,$A34))</f>
        <v>2.6145999999999998</v>
      </c>
      <c r="U34" s="112">
        <f>IF($A34="","",[1]!thsiFinD("ths_adjustment_nv_fund",U$3,$A34))</f>
        <v>2.6004999999999998</v>
      </c>
      <c r="V34" s="112">
        <f>IF($A34="","",[1]!thsiFinD("ths_adjustment_nv_fund",V$3,$A34))</f>
        <v>1.6605000000000001</v>
      </c>
      <c r="W34" s="112">
        <f>IF($A34="","",[1]!thsiFinD("ths_adjustment_nv_fund",W$3,$A34))</f>
        <v>1.6437999999999999</v>
      </c>
      <c r="X34" s="112">
        <f>IF($A34="","",[1]!thsiFinD("ths_adjustment_nv_fund",X$3,$A34))</f>
        <v>1.7955000000000001</v>
      </c>
    </row>
    <row r="35" spans="1:24">
      <c r="A35" s="111">
        <v>46234</v>
      </c>
      <c r="B35" s="112">
        <f>IF($A35="","",[1]!thsiFinD("ths_adjustment_nv_fund",B$3,$A35))</f>
        <v>3.0642999999999998</v>
      </c>
      <c r="C35" s="112">
        <f>IF($A35="","",[1]!thsiFinD("ths_adjustment_nv_fund",C$3,$A35))</f>
        <v>1.3192249393</v>
      </c>
      <c r="D35" s="112">
        <f>IF($A35="","",[1]!thsiFinD("ths_adjustment_nv_fund",D$3,$A35))</f>
        <v>3.9750000000000001</v>
      </c>
      <c r="E35" s="112">
        <f>IF($A35="","",[1]!thsiFinD("ths_adjustment_nv_fund",E$3,$A35))</f>
        <v>1.8093999999999999</v>
      </c>
      <c r="F35" s="112">
        <f>IF($A35="","",[1]!thsiFinD("ths_adjustment_nv_fund",F$3,$A35))</f>
        <v>1.7577</v>
      </c>
      <c r="G35" s="112">
        <f>IF($A35="","",[1]!thsiFinD("ths_adjustment_nv_fund",G$3,$A35))</f>
        <v>3.3206000000000002</v>
      </c>
      <c r="H35" s="112">
        <f>IF($A35="","",[1]!thsiFinD("ths_adjustment_nv_fund",H$3,$A35))</f>
        <v>3.2494999999999998</v>
      </c>
      <c r="I35" s="112">
        <f>IF($A35="","",[1]!thsiFinD("ths_adjustment_nv_fund",I$3,$A35))</f>
        <v>2.2254999999999998</v>
      </c>
      <c r="J35" s="112">
        <f>IF($A35="","",[1]!thsiFinD("ths_adjustment_nv_fund",J$3,$A35))</f>
        <v>2.9811999999999999</v>
      </c>
      <c r="K35" s="112">
        <f>IF($A35="","",[1]!thsiFinD("ths_adjustment_nv_fund",K$3,$A35))</f>
        <v>2.9535999999999998</v>
      </c>
      <c r="L35" s="112">
        <f>IF($A35="","",[1]!thsiFinD("ths_adjustment_nv_fund",L$3,$A35))</f>
        <v>1.4158999999999999</v>
      </c>
      <c r="M35" s="112">
        <f>IF($A35="","",[1]!thsiFinD("ths_adjustment_nv_fund",M$3,$A35))</f>
        <v>1.3967000000000001</v>
      </c>
      <c r="N35" s="112">
        <f>IF($A35="","",[1]!thsiFinD("ths_adjustment_nv_fund",N$3,$A35))</f>
        <v>1.4318</v>
      </c>
      <c r="O35" s="112">
        <f>IF($A35="","",[1]!thsiFinD("ths_adjustment_nv_fund",O$3,$A35))</f>
        <v>1.3959999999999999</v>
      </c>
      <c r="P35" s="112">
        <f>IF($A35="","",[1]!thsiFinD("ths_adjustment_nv_fund",P$3,$A35))</f>
        <v>2.1139000000000001</v>
      </c>
      <c r="Q35" s="112">
        <f>IF($A35="","",[1]!thsiFinD("ths_adjustment_nv_fund",Q$3,$A35))</f>
        <v>2.8824000000000001</v>
      </c>
      <c r="R35" s="112">
        <f>IF($A35="","",[1]!thsiFinD("ths_adjustment_nv_fund",R$3,$A35))</f>
        <v>2.8210999999999999</v>
      </c>
      <c r="S35" s="112">
        <f>IF($A35="","",[1]!thsiFinD("ths_adjustment_nv_fund",S$3,$A35))</f>
        <v>3.9329999999999998</v>
      </c>
      <c r="T35" s="112">
        <f>IF($A35="","",[1]!thsiFinD("ths_adjustment_nv_fund",T$3,$A35))</f>
        <v>2.6698</v>
      </c>
      <c r="U35" s="112">
        <f>IF($A35="","",[1]!thsiFinD("ths_adjustment_nv_fund",U$3,$A35))</f>
        <v>2.6554000000000002</v>
      </c>
      <c r="V35" s="112">
        <f>IF($A35="","",[1]!thsiFinD("ths_adjustment_nv_fund",V$3,$A35))</f>
        <v>1.7142999999999999</v>
      </c>
      <c r="W35" s="112">
        <f>IF($A35="","",[1]!thsiFinD("ths_adjustment_nv_fund",W$3,$A35))</f>
        <v>1.6970000000000001</v>
      </c>
      <c r="X35" s="112">
        <f>IF($A35="","",[1]!thsiFinD("ths_adjustment_nv_fund",X$3,$A35))</f>
        <v>1.7963</v>
      </c>
    </row>
    <row r="36" spans="1:24">
      <c r="A36" s="111">
        <v>46237</v>
      </c>
      <c r="B36" s="112">
        <f>IF($A36="","",[1]!thsiFinD("ths_adjustment_nv_fund",B$3,$A36))</f>
        <v>3.0567000000000002</v>
      </c>
      <c r="C36" s="112">
        <f>IF($A36="","",[1]!thsiFinD("ths_adjustment_nv_fund",C$3,$A36))</f>
        <v>1.3193583834</v>
      </c>
      <c r="D36" s="112">
        <f>IF($A36="","",[1]!thsiFinD("ths_adjustment_nv_fund",D$3,$A36))</f>
        <v>3.923</v>
      </c>
      <c r="E36" s="112">
        <f>IF($A36="","",[1]!thsiFinD("ths_adjustment_nv_fund",E$3,$A36))</f>
        <v>1.7925</v>
      </c>
      <c r="F36" s="112">
        <f>IF($A36="","",[1]!thsiFinD("ths_adjustment_nv_fund",F$3,$A36))</f>
        <v>1.7412000000000001</v>
      </c>
      <c r="G36" s="112">
        <f>IF($A36="","",[1]!thsiFinD("ths_adjustment_nv_fund",G$3,$A36))</f>
        <v>3.3317000000000001</v>
      </c>
      <c r="H36" s="112">
        <f>IF($A36="","",[1]!thsiFinD("ths_adjustment_nv_fund",H$3,$A36))</f>
        <v>3.2602000000000002</v>
      </c>
      <c r="I36" s="112">
        <f>IF($A36="","",[1]!thsiFinD("ths_adjustment_nv_fund",I$3,$A36))</f>
        <v>2.1049000000000002</v>
      </c>
      <c r="J36" s="112">
        <f>IF($A36="","",[1]!thsiFinD("ths_adjustment_nv_fund",J$3,$A36))</f>
        <v>2.7321</v>
      </c>
      <c r="K36" s="112">
        <f>IF($A36="","",[1]!thsiFinD("ths_adjustment_nv_fund",K$3,$A36))</f>
        <v>2.7067000000000001</v>
      </c>
      <c r="L36" s="112">
        <f>IF($A36="","",[1]!thsiFinD("ths_adjustment_nv_fund",L$3,$A36))</f>
        <v>1.4174</v>
      </c>
      <c r="M36" s="112">
        <f>IF($A36="","",[1]!thsiFinD("ths_adjustment_nv_fund",M$3,$A36))</f>
        <v>1.3982000000000001</v>
      </c>
      <c r="N36" s="112">
        <f>IF($A36="","",[1]!thsiFinD("ths_adjustment_nv_fund",N$3,$A36))</f>
        <v>1.4220999999999999</v>
      </c>
      <c r="O36" s="112">
        <f>IF($A36="","",[1]!thsiFinD("ths_adjustment_nv_fund",O$3,$A36))</f>
        <v>1.3865000000000001</v>
      </c>
      <c r="P36" s="112">
        <f>IF($A36="","",[1]!thsiFinD("ths_adjustment_nv_fund",P$3,$A36))</f>
        <v>2.1360000000000001</v>
      </c>
      <c r="Q36" s="112">
        <f>IF($A36="","",[1]!thsiFinD("ths_adjustment_nv_fund",Q$3,$A36))</f>
        <v>2.8574000000000002</v>
      </c>
      <c r="R36" s="112">
        <f>IF($A36="","",[1]!thsiFinD("ths_adjustment_nv_fund",R$3,$A36))</f>
        <v>2.7965</v>
      </c>
      <c r="S36" s="112">
        <f>IF($A36="","",[1]!thsiFinD("ths_adjustment_nv_fund",S$3,$A36))</f>
        <v>3.8820000000000001</v>
      </c>
      <c r="T36" s="112">
        <f>IF($A36="","",[1]!thsiFinD("ths_adjustment_nv_fund",T$3,$A36))</f>
        <v>2.4445000000000001</v>
      </c>
      <c r="U36" s="112">
        <f>IF($A36="","",[1]!thsiFinD("ths_adjustment_nv_fund",U$3,$A36))</f>
        <v>2.4312999999999998</v>
      </c>
      <c r="V36" s="112">
        <f>IF($A36="","",[1]!thsiFinD("ths_adjustment_nv_fund",V$3,$A36))</f>
        <v>1.7267999999999999</v>
      </c>
      <c r="W36" s="112">
        <f>IF($A36="","",[1]!thsiFinD("ths_adjustment_nv_fund",W$3,$A36))</f>
        <v>1.7094</v>
      </c>
      <c r="X36" s="112">
        <f>IF($A36="","",[1]!thsiFinD("ths_adjustment_nv_fund",X$3,$A36))</f>
        <v>1.7967</v>
      </c>
    </row>
    <row r="37" spans="1:24">
      <c r="A37" s="111">
        <v>46238</v>
      </c>
      <c r="B37" s="112">
        <f>IF($A37="","",[1]!thsiFinD("ths_adjustment_nv_fund",B$3,$A37))</f>
        <v>3.0604</v>
      </c>
      <c r="C37" s="112">
        <f>IF($A37="","",[1]!thsiFinD("ths_adjustment_nv_fund",C$3,$A37))</f>
        <v>1.3194026215000001</v>
      </c>
      <c r="D37" s="112">
        <f>IF($A37="","",[1]!thsiFinD("ths_adjustment_nv_fund",D$3,$A37))</f>
        <v>4.2619999999999996</v>
      </c>
      <c r="E37" s="112">
        <f>IF($A37="","",[1]!thsiFinD("ths_adjustment_nv_fund",E$3,$A37))</f>
        <v>1.8268</v>
      </c>
      <c r="F37" s="112">
        <f>IF($A37="","",[1]!thsiFinD("ths_adjustment_nv_fund",F$3,$A37))</f>
        <v>1.7745</v>
      </c>
      <c r="G37" s="112">
        <f>IF($A37="","",[1]!thsiFinD("ths_adjustment_nv_fund",G$3,$A37))</f>
        <v>3.6164000000000001</v>
      </c>
      <c r="H37" s="112">
        <f>IF($A37="","",[1]!thsiFinD("ths_adjustment_nv_fund",H$3,$A37))</f>
        <v>3.5388000000000002</v>
      </c>
      <c r="I37" s="112">
        <f>IF($A37="","",[1]!thsiFinD("ths_adjustment_nv_fund",I$3,$A37))</f>
        <v>2.2496</v>
      </c>
      <c r="J37" s="112">
        <f>IF($A37="","",[1]!thsiFinD("ths_adjustment_nv_fund",J$3,$A37))</f>
        <v>2.8633000000000002</v>
      </c>
      <c r="K37" s="112">
        <f>IF($A37="","",[1]!thsiFinD("ths_adjustment_nv_fund",K$3,$A37))</f>
        <v>2.8365999999999998</v>
      </c>
      <c r="L37" s="112">
        <f>IF($A37="","",[1]!thsiFinD("ths_adjustment_nv_fund",L$3,$A37))</f>
        <v>1.4543999999999999</v>
      </c>
      <c r="M37" s="112">
        <f>IF($A37="","",[1]!thsiFinD("ths_adjustment_nv_fund",M$3,$A37))</f>
        <v>1.4347000000000001</v>
      </c>
      <c r="N37" s="112">
        <f>IF($A37="","",[1]!thsiFinD("ths_adjustment_nv_fund",N$3,$A37))</f>
        <v>1.4601</v>
      </c>
      <c r="O37" s="112">
        <f>IF($A37="","",[1]!thsiFinD("ths_adjustment_nv_fund",O$3,$A37))</f>
        <v>1.4235</v>
      </c>
      <c r="P37" s="112">
        <f>IF($A37="","",[1]!thsiFinD("ths_adjustment_nv_fund",P$3,$A37))</f>
        <v>2.3923000000000001</v>
      </c>
      <c r="Q37" s="112">
        <f>IF($A37="","",[1]!thsiFinD("ths_adjustment_nv_fund",Q$3,$A37))</f>
        <v>3.1415000000000002</v>
      </c>
      <c r="R37" s="112">
        <f>IF($A37="","",[1]!thsiFinD("ths_adjustment_nv_fund",R$3,$A37))</f>
        <v>3.0745</v>
      </c>
      <c r="S37" s="112">
        <f>IF($A37="","",[1]!thsiFinD("ths_adjustment_nv_fund",S$3,$A37))</f>
        <v>4.2169999999999996</v>
      </c>
      <c r="T37" s="112">
        <f>IF($A37="","",[1]!thsiFinD("ths_adjustment_nv_fund",T$3,$A37))</f>
        <v>2.5649999999999999</v>
      </c>
      <c r="U37" s="112">
        <f>IF($A37="","",[1]!thsiFinD("ths_adjustment_nv_fund",U$3,$A37))</f>
        <v>2.5510999999999999</v>
      </c>
      <c r="V37" s="112">
        <f>IF($A37="","",[1]!thsiFinD("ths_adjustment_nv_fund",V$3,$A37))</f>
        <v>1.7741</v>
      </c>
      <c r="W37" s="112">
        <f>IF($A37="","",[1]!thsiFinD("ths_adjustment_nv_fund",W$3,$A37))</f>
        <v>1.7562</v>
      </c>
      <c r="X37" s="112">
        <f>IF($A37="","",[1]!thsiFinD("ths_adjustment_nv_fund",X$3,$A37))</f>
        <v>1.7972999999999999</v>
      </c>
    </row>
    <row r="38" spans="1:24">
      <c r="A38" s="111">
        <v>46239</v>
      </c>
      <c r="B38" s="112">
        <f>IF($A38="","",[1]!thsiFinD("ths_adjustment_nv_fund",B$3,$A38))</f>
        <v>3.13</v>
      </c>
      <c r="C38" s="112">
        <f>IF($A38="","",[1]!thsiFinD("ths_adjustment_nv_fund",C$3,$A38))</f>
        <v>1.3194468346999999</v>
      </c>
      <c r="D38" s="112">
        <f>IF($A38="","",[1]!thsiFinD("ths_adjustment_nv_fund",D$3,$A38))</f>
        <v>4.327</v>
      </c>
      <c r="E38" s="112">
        <f>IF($A38="","",[1]!thsiFinD("ths_adjustment_nv_fund",E$3,$A38))</f>
        <v>1.8555999999999999</v>
      </c>
      <c r="F38" s="112">
        <f>IF($A38="","",[1]!thsiFinD("ths_adjustment_nv_fund",F$3,$A38))</f>
        <v>1.8025</v>
      </c>
      <c r="G38" s="112">
        <f>IF($A38="","",[1]!thsiFinD("ths_adjustment_nv_fund",G$3,$A38))</f>
        <v>3.6436999999999999</v>
      </c>
      <c r="H38" s="112">
        <f>IF($A38="","",[1]!thsiFinD("ths_adjustment_nv_fund",H$3,$A38))</f>
        <v>3.5653999999999999</v>
      </c>
      <c r="I38" s="112">
        <f>IF($A38="","",[1]!thsiFinD("ths_adjustment_nv_fund",I$3,$A38))</f>
        <v>2.3281999999999998</v>
      </c>
      <c r="J38" s="112">
        <f>IF($A38="","",[1]!thsiFinD("ths_adjustment_nv_fund",J$3,$A38))</f>
        <v>3.0939999999999999</v>
      </c>
      <c r="K38" s="112">
        <f>IF($A38="","",[1]!thsiFinD("ths_adjustment_nv_fund",K$3,$A38))</f>
        <v>3.0651999999999999</v>
      </c>
      <c r="L38" s="112">
        <f>IF($A38="","",[1]!thsiFinD("ths_adjustment_nv_fund",L$3,$A38))</f>
        <v>1.4952000000000001</v>
      </c>
      <c r="M38" s="112">
        <f>IF($A38="","",[1]!thsiFinD("ths_adjustment_nv_fund",M$3,$A38))</f>
        <v>1.4749000000000001</v>
      </c>
      <c r="N38" s="112">
        <f>IF($A38="","",[1]!thsiFinD("ths_adjustment_nv_fund",N$3,$A38))</f>
        <v>1.5001</v>
      </c>
      <c r="O38" s="112">
        <f>IF($A38="","",[1]!thsiFinD("ths_adjustment_nv_fund",O$3,$A38))</f>
        <v>1.4624999999999999</v>
      </c>
      <c r="P38" s="112">
        <f>IF($A38="","",[1]!thsiFinD("ths_adjustment_nv_fund",P$3,$A38))</f>
        <v>2.4121000000000001</v>
      </c>
      <c r="Q38" s="112">
        <f>IF($A38="","",[1]!thsiFinD("ths_adjustment_nv_fund",Q$3,$A38))</f>
        <v>3.2088000000000001</v>
      </c>
      <c r="R38" s="112">
        <f>IF($A38="","",[1]!thsiFinD("ths_adjustment_nv_fund",R$3,$A38))</f>
        <v>3.1402999999999999</v>
      </c>
      <c r="S38" s="112">
        <f>IF($A38="","",[1]!thsiFinD("ths_adjustment_nv_fund",S$3,$A38))</f>
        <v>4.2809999999999997</v>
      </c>
      <c r="T38" s="112">
        <f>IF($A38="","",[1]!thsiFinD("ths_adjustment_nv_fund",T$3,$A38))</f>
        <v>2.8005</v>
      </c>
      <c r="U38" s="112">
        <f>IF($A38="","",[1]!thsiFinD("ths_adjustment_nv_fund",U$3,$A38))</f>
        <v>2.7854000000000001</v>
      </c>
      <c r="V38" s="112">
        <f>IF($A38="","",[1]!thsiFinD("ths_adjustment_nv_fund",V$3,$A38))</f>
        <v>1.8227</v>
      </c>
      <c r="W38" s="112">
        <f>IF($A38="","",[1]!thsiFinD("ths_adjustment_nv_fund",W$3,$A38))</f>
        <v>1.8043</v>
      </c>
      <c r="X38" s="112">
        <f>IF($A38="","",[1]!thsiFinD("ths_adjustment_nv_fund",X$3,$A38))</f>
        <v>1.7971999999999999</v>
      </c>
    </row>
    <row r="39" spans="1:24">
      <c r="A39" s="111">
        <v>46240</v>
      </c>
      <c r="B39" s="112">
        <f>IF($A39="","",[1]!thsiFinD("ths_adjustment_nv_fund",B$3,$A39))</f>
        <v>3.2039</v>
      </c>
      <c r="C39" s="112">
        <f>IF($A39="","",[1]!thsiFinD("ths_adjustment_nv_fund",C$3,$A39))</f>
        <v>1.3194908778000001</v>
      </c>
      <c r="D39" s="112">
        <f>IF($A39="","",[1]!thsiFinD("ths_adjustment_nv_fund",D$3,$A39))</f>
        <v>4.3879999999999999</v>
      </c>
      <c r="E39" s="112">
        <f>IF($A39="","",[1]!thsiFinD("ths_adjustment_nv_fund",E$3,$A39))</f>
        <v>1.8642000000000001</v>
      </c>
      <c r="F39" s="112">
        <f>IF($A39="","",[1]!thsiFinD("ths_adjustment_nv_fund",F$3,$A39))</f>
        <v>1.8108</v>
      </c>
      <c r="G39" s="112">
        <f>IF($A39="","",[1]!thsiFinD("ths_adjustment_nv_fund",G$3,$A39))</f>
        <v>3.7075</v>
      </c>
      <c r="H39" s="112">
        <f>IF($A39="","",[1]!thsiFinD("ths_adjustment_nv_fund",H$3,$A39))</f>
        <v>3.6278999999999999</v>
      </c>
      <c r="I39" s="112">
        <f>IF($A39="","",[1]!thsiFinD("ths_adjustment_nv_fund",I$3,$A39))</f>
        <v>2.3582000000000001</v>
      </c>
      <c r="J39" s="112">
        <f>IF($A39="","",[1]!thsiFinD("ths_adjustment_nv_fund",J$3,$A39))</f>
        <v>3.1126999999999998</v>
      </c>
      <c r="K39" s="112">
        <f>IF($A39="","",[1]!thsiFinD("ths_adjustment_nv_fund",K$3,$A39))</f>
        <v>3.0836999999999999</v>
      </c>
      <c r="L39" s="112">
        <f>IF($A39="","",[1]!thsiFinD("ths_adjustment_nv_fund",L$3,$A39))</f>
        <v>1.5024999999999999</v>
      </c>
      <c r="M39" s="112">
        <f>IF($A39="","",[1]!thsiFinD("ths_adjustment_nv_fund",M$3,$A39))</f>
        <v>1.482</v>
      </c>
      <c r="N39" s="112">
        <f>IF($A39="","",[1]!thsiFinD("ths_adjustment_nv_fund",N$3,$A39))</f>
        <v>1.5098</v>
      </c>
      <c r="O39" s="112">
        <f>IF($A39="","",[1]!thsiFinD("ths_adjustment_nv_fund",O$3,$A39))</f>
        <v>1.4719</v>
      </c>
      <c r="P39" s="112">
        <f>IF($A39="","",[1]!thsiFinD("ths_adjustment_nv_fund",P$3,$A39))</f>
        <v>2.4704000000000002</v>
      </c>
      <c r="Q39" s="112">
        <f>IF($A39="","",[1]!thsiFinD("ths_adjustment_nv_fund",Q$3,$A39))</f>
        <v>3.2561</v>
      </c>
      <c r="R39" s="112">
        <f>IF($A39="","",[1]!thsiFinD("ths_adjustment_nv_fund",R$3,$A39))</f>
        <v>3.1865999999999999</v>
      </c>
      <c r="S39" s="112">
        <f>IF($A39="","",[1]!thsiFinD("ths_adjustment_nv_fund",S$3,$A39))</f>
        <v>4.3419999999999996</v>
      </c>
      <c r="T39" s="112">
        <f>IF($A39="","",[1]!thsiFinD("ths_adjustment_nv_fund",T$3,$A39))</f>
        <v>2.8647</v>
      </c>
      <c r="U39" s="112">
        <f>IF($A39="","",[1]!thsiFinD("ths_adjustment_nv_fund",U$3,$A39))</f>
        <v>2.8492000000000002</v>
      </c>
      <c r="V39" s="112">
        <f>IF($A39="","",[1]!thsiFinD("ths_adjustment_nv_fund",V$3,$A39))</f>
        <v>1.8452</v>
      </c>
      <c r="W39" s="112">
        <f>IF($A39="","",[1]!thsiFinD("ths_adjustment_nv_fund",W$3,$A39))</f>
        <v>1.8265</v>
      </c>
      <c r="X39" s="112">
        <f>IF($A39="","",[1]!thsiFinD("ths_adjustment_nv_fund",X$3,$A39))</f>
        <v>1.7974000000000001</v>
      </c>
    </row>
    <row r="40" spans="1:24">
      <c r="A40" s="111">
        <v>46241</v>
      </c>
      <c r="B40" s="112">
        <f>IF($A40="","",[1]!thsiFinD("ths_adjustment_nv_fund",B$3,$A40))</f>
        <v>3.22</v>
      </c>
      <c r="C40" s="112">
        <f>IF($A40="","",[1]!thsiFinD("ths_adjustment_nv_fund",C$3,$A40))</f>
        <v>1.3195356482</v>
      </c>
      <c r="D40" s="112">
        <f>IF($A40="","",[1]!thsiFinD("ths_adjustment_nv_fund",D$3,$A40))</f>
        <v>4.5060000000000002</v>
      </c>
      <c r="E40" s="112">
        <f>IF($A40="","",[1]!thsiFinD("ths_adjustment_nv_fund",E$3,$A40))</f>
        <v>1.8923000000000001</v>
      </c>
      <c r="F40" s="112">
        <f>IF($A40="","",[1]!thsiFinD("ths_adjustment_nv_fund",F$3,$A40))</f>
        <v>1.8381000000000001</v>
      </c>
      <c r="G40" s="112">
        <f>IF($A40="","",[1]!thsiFinD("ths_adjustment_nv_fund",G$3,$A40))</f>
        <v>3.7456999999999998</v>
      </c>
      <c r="H40" s="112">
        <f>IF($A40="","",[1]!thsiFinD("ths_adjustment_nv_fund",H$3,$A40))</f>
        <v>3.6652</v>
      </c>
      <c r="I40" s="112">
        <f>IF($A40="","",[1]!thsiFinD("ths_adjustment_nv_fund",I$3,$A40))</f>
        <v>2.4119000000000002</v>
      </c>
      <c r="J40" s="112">
        <f>IF($A40="","",[1]!thsiFinD("ths_adjustment_nv_fund",J$3,$A40))</f>
        <v>3.2107000000000001</v>
      </c>
      <c r="K40" s="112">
        <f>IF($A40="","",[1]!thsiFinD("ths_adjustment_nv_fund",K$3,$A40))</f>
        <v>3.1808000000000001</v>
      </c>
      <c r="L40" s="112">
        <f>IF($A40="","",[1]!thsiFinD("ths_adjustment_nv_fund",L$3,$A40))</f>
        <v>1.5364</v>
      </c>
      <c r="M40" s="112">
        <f>IF($A40="","",[1]!thsiFinD("ths_adjustment_nv_fund",M$3,$A40))</f>
        <v>1.5155000000000001</v>
      </c>
      <c r="N40" s="112">
        <f>IF($A40="","",[1]!thsiFinD("ths_adjustment_nv_fund",N$3,$A40))</f>
        <v>1.5367</v>
      </c>
      <c r="O40" s="112">
        <f>IF($A40="","",[1]!thsiFinD("ths_adjustment_nv_fund",O$3,$A40))</f>
        <v>1.4981</v>
      </c>
      <c r="P40" s="112">
        <f>IF($A40="","",[1]!thsiFinD("ths_adjustment_nv_fund",P$3,$A40))</f>
        <v>2.5423</v>
      </c>
      <c r="Q40" s="112">
        <f>IF($A40="","",[1]!thsiFinD("ths_adjustment_nv_fund",Q$3,$A40))</f>
        <v>3.3391000000000002</v>
      </c>
      <c r="R40" s="112">
        <f>IF($A40="","",[1]!thsiFinD("ths_adjustment_nv_fund",R$3,$A40))</f>
        <v>3.2677</v>
      </c>
      <c r="S40" s="112">
        <f>IF($A40="","",[1]!thsiFinD("ths_adjustment_nv_fund",S$3,$A40))</f>
        <v>4.4580000000000002</v>
      </c>
      <c r="T40" s="112">
        <f>IF($A40="","",[1]!thsiFinD("ths_adjustment_nv_fund",T$3,$A40))</f>
        <v>2.9392</v>
      </c>
      <c r="U40" s="112">
        <f>IF($A40="","",[1]!thsiFinD("ths_adjustment_nv_fund",U$3,$A40))</f>
        <v>2.9232999999999998</v>
      </c>
      <c r="V40" s="112">
        <f>IF($A40="","",[1]!thsiFinD("ths_adjustment_nv_fund",V$3,$A40))</f>
        <v>1.8746</v>
      </c>
      <c r="W40" s="112">
        <f>IF($A40="","",[1]!thsiFinD("ths_adjustment_nv_fund",W$3,$A40))</f>
        <v>1.8555999999999999</v>
      </c>
      <c r="X40" s="112">
        <f>IF($A40="","",[1]!thsiFinD("ths_adjustment_nv_fund",X$3,$A40))</f>
        <v>1.7986</v>
      </c>
    </row>
    <row r="41" spans="1:24">
      <c r="A41" s="111">
        <v>46244</v>
      </c>
      <c r="B41" s="112">
        <f>IF($A41="","",[1]!thsiFinD("ths_adjustment_nv_fund",B$3,$A41))</f>
        <v>3.2692000000000001</v>
      </c>
      <c r="C41" s="112">
        <f>IF($A41="","",[1]!thsiFinD("ths_adjustment_nv_fund",C$3,$A41))</f>
        <v>1.3196677777000001</v>
      </c>
      <c r="D41" s="112">
        <f>IF($A41="","",[1]!thsiFinD("ths_adjustment_nv_fund",D$3,$A41))</f>
        <v>4.4139999999999997</v>
      </c>
      <c r="E41" s="112">
        <f>IF($A41="","",[1]!thsiFinD("ths_adjustment_nv_fund",E$3,$A41))</f>
        <v>1.8927</v>
      </c>
      <c r="F41" s="112">
        <f>IF($A41="","",[1]!thsiFinD("ths_adjustment_nv_fund",F$3,$A41))</f>
        <v>1.8384</v>
      </c>
      <c r="G41" s="112">
        <f>IF($A41="","",[1]!thsiFinD("ths_adjustment_nv_fund",G$3,$A41))</f>
        <v>3.6669999999999998</v>
      </c>
      <c r="H41" s="112">
        <f>IF($A41="","",[1]!thsiFinD("ths_adjustment_nv_fund",H$3,$A41))</f>
        <v>3.5880999999999998</v>
      </c>
      <c r="I41" s="112">
        <f>IF($A41="","",[1]!thsiFinD("ths_adjustment_nv_fund",I$3,$A41))</f>
        <v>2.4055</v>
      </c>
      <c r="J41" s="112">
        <f>IF($A41="","",[1]!thsiFinD("ths_adjustment_nv_fund",J$3,$A41))</f>
        <v>3.3</v>
      </c>
      <c r="K41" s="112">
        <f>IF($A41="","",[1]!thsiFinD("ths_adjustment_nv_fund",K$3,$A41))</f>
        <v>3.2692000000000001</v>
      </c>
      <c r="L41" s="112">
        <f>IF($A41="","",[1]!thsiFinD("ths_adjustment_nv_fund",L$3,$A41))</f>
        <v>1.5450999999999999</v>
      </c>
      <c r="M41" s="112">
        <f>IF($A41="","",[1]!thsiFinD("ths_adjustment_nv_fund",M$3,$A41))</f>
        <v>1.524</v>
      </c>
      <c r="N41" s="112">
        <f>IF($A41="","",[1]!thsiFinD("ths_adjustment_nv_fund",N$3,$A41))</f>
        <v>1.5436000000000001</v>
      </c>
      <c r="O41" s="112">
        <f>IF($A41="","",[1]!thsiFinD("ths_adjustment_nv_fund",O$3,$A41))</f>
        <v>1.5046999999999999</v>
      </c>
      <c r="P41" s="112">
        <f>IF($A41="","",[1]!thsiFinD("ths_adjustment_nv_fund",P$3,$A41))</f>
        <v>2.4794999999999998</v>
      </c>
      <c r="Q41" s="112">
        <f>IF($A41="","",[1]!thsiFinD("ths_adjustment_nv_fund",Q$3,$A41))</f>
        <v>3.2721</v>
      </c>
      <c r="R41" s="112">
        <f>IF($A41="","",[1]!thsiFinD("ths_adjustment_nv_fund",R$3,$A41))</f>
        <v>3.202</v>
      </c>
      <c r="S41" s="112">
        <f>IF($A41="","",[1]!thsiFinD("ths_adjustment_nv_fund",S$3,$A41))</f>
        <v>4.3680000000000003</v>
      </c>
      <c r="T41" s="112">
        <f>IF($A41="","",[1]!thsiFinD("ths_adjustment_nv_fund",T$3,$A41))</f>
        <v>3.0278999999999998</v>
      </c>
      <c r="U41" s="112">
        <f>IF($A41="","",[1]!thsiFinD("ths_adjustment_nv_fund",U$3,$A41))</f>
        <v>3.0114999999999998</v>
      </c>
      <c r="V41" s="112">
        <f>IF($A41="","",[1]!thsiFinD("ths_adjustment_nv_fund",V$3,$A41))</f>
        <v>1.8947000000000001</v>
      </c>
      <c r="W41" s="112">
        <f>IF($A41="","",[1]!thsiFinD("ths_adjustment_nv_fund",W$3,$A41))</f>
        <v>1.8754</v>
      </c>
      <c r="X41" s="112">
        <f>IF($A41="","",[1]!thsiFinD("ths_adjustment_nv_fund",X$3,$A41))</f>
        <v>1.8003</v>
      </c>
    </row>
    <row r="42" spans="1:24">
      <c r="A42" s="111">
        <v>46245</v>
      </c>
      <c r="B42" s="112">
        <f>IF($A42="","",[1]!thsiFinD("ths_adjustment_nv_fund",B$3,$A42))</f>
        <v>3.2692000000000001</v>
      </c>
      <c r="C42" s="112">
        <f>IF($A42="","",[1]!thsiFinD("ths_adjustment_nv_fund",C$3,$A42))</f>
        <v>1.3196677777000001</v>
      </c>
      <c r="D42" s="112">
        <f>IF($A42="","",[1]!thsiFinD("ths_adjustment_nv_fund",D$3,$A42))</f>
        <v>4.4139999999999997</v>
      </c>
      <c r="E42" s="112">
        <f>IF($A42="","",[1]!thsiFinD("ths_adjustment_nv_fund",E$3,$A42))</f>
        <v>1.8927</v>
      </c>
      <c r="F42" s="112">
        <f>IF($A42="","",[1]!thsiFinD("ths_adjustment_nv_fund",F$3,$A42))</f>
        <v>1.8384</v>
      </c>
      <c r="G42" s="112">
        <f>IF($A42="","",[1]!thsiFinD("ths_adjustment_nv_fund",G$3,$A42))</f>
        <v>3.6669999999999998</v>
      </c>
      <c r="H42" s="112">
        <f>IF($A42="","",[1]!thsiFinD("ths_adjustment_nv_fund",H$3,$A42))</f>
        <v>3.5880999999999998</v>
      </c>
      <c r="I42" s="112">
        <f>IF($A42="","",[1]!thsiFinD("ths_adjustment_nv_fund",I$3,$A42))</f>
        <v>2.4055</v>
      </c>
      <c r="J42" s="112">
        <f>IF($A42="","",[1]!thsiFinD("ths_adjustment_nv_fund",J$3,$A42))</f>
        <v>3.3</v>
      </c>
      <c r="K42" s="112">
        <f>IF($A42="","",[1]!thsiFinD("ths_adjustment_nv_fund",K$3,$A42))</f>
        <v>3.2692000000000001</v>
      </c>
      <c r="L42" s="112">
        <f>IF($A42="","",[1]!thsiFinD("ths_adjustment_nv_fund",L$3,$A42))</f>
        <v>1.5450999999999999</v>
      </c>
      <c r="M42" s="112">
        <f>IF($A42="","",[1]!thsiFinD("ths_adjustment_nv_fund",M$3,$A42))</f>
        <v>1.524</v>
      </c>
      <c r="N42" s="112">
        <f>IF($A42="","",[1]!thsiFinD("ths_adjustment_nv_fund",N$3,$A42))</f>
        <v>1.5436000000000001</v>
      </c>
      <c r="O42" s="112">
        <f>IF($A42="","",[1]!thsiFinD("ths_adjustment_nv_fund",O$3,$A42))</f>
        <v>1.5046999999999999</v>
      </c>
      <c r="P42" s="112">
        <f>IF($A42="","",[1]!thsiFinD("ths_adjustment_nv_fund",P$3,$A42))</f>
        <v>2.4794999999999998</v>
      </c>
      <c r="Q42" s="112">
        <f>IF($A42="","",[1]!thsiFinD("ths_adjustment_nv_fund",Q$3,$A42))</f>
        <v>3.2721</v>
      </c>
      <c r="R42" s="112">
        <f>IF($A42="","",[1]!thsiFinD("ths_adjustment_nv_fund",R$3,$A42))</f>
        <v>3.202</v>
      </c>
      <c r="S42" s="112">
        <f>IF($A42="","",[1]!thsiFinD("ths_adjustment_nv_fund",S$3,$A42))</f>
        <v>4.3680000000000003</v>
      </c>
      <c r="T42" s="112">
        <f>IF($A42="","",[1]!thsiFinD("ths_adjustment_nv_fund",T$3,$A42))</f>
        <v>3.0278999999999998</v>
      </c>
      <c r="U42" s="112">
        <f>IF($A42="","",[1]!thsiFinD("ths_adjustment_nv_fund",U$3,$A42))</f>
        <v>3.0114999999999998</v>
      </c>
      <c r="V42" s="112">
        <f>IF($A42="","",[1]!thsiFinD("ths_adjustment_nv_fund",V$3,$A42))</f>
        <v>1.8947000000000001</v>
      </c>
      <c r="W42" s="112">
        <f>IF($A42="","",[1]!thsiFinD("ths_adjustment_nv_fund",W$3,$A42))</f>
        <v>1.8754</v>
      </c>
      <c r="X42" s="112">
        <f>IF($A42="","",[1]!thsiFinD("ths_adjustment_nv_fund",X$3,$A42))</f>
        <v>1.8003</v>
      </c>
    </row>
    <row r="43" spans="1:24">
      <c r="A43" s="111"/>
      <c r="B43" s="112" t="str">
        <f>IF($A43="","",[1]!thsiFinD("ths_adjustment_nv_fund",B$3,$A43))</f>
        <v/>
      </c>
      <c r="C43" s="112" t="str">
        <f>IF($A43="","",[1]!thsiFinD("ths_adjustment_nv_fund",C$3,$A43))</f>
        <v/>
      </c>
      <c r="D43" s="112" t="str">
        <f>IF($A43="","",[1]!thsiFinD("ths_adjustment_nv_fund",D$3,$A43))</f>
        <v/>
      </c>
      <c r="E43" s="112" t="str">
        <f>IF($A43="","",[1]!thsiFinD("ths_adjustment_nv_fund",E$3,$A43))</f>
        <v/>
      </c>
      <c r="F43" s="112" t="str">
        <f>IF($A43="","",[1]!thsiFinD("ths_adjustment_nv_fund",F$3,$A43))</f>
        <v/>
      </c>
      <c r="G43" s="112" t="str">
        <f>IF($A43="","",[1]!thsiFinD("ths_adjustment_nv_fund",G$3,$A43))</f>
        <v/>
      </c>
      <c r="H43" s="112" t="str">
        <f>IF($A43="","",[1]!thsiFinD("ths_adjustment_nv_fund",H$3,$A43))</f>
        <v/>
      </c>
      <c r="I43" s="112" t="str">
        <f>IF($A43="","",[1]!thsiFinD("ths_adjustment_nv_fund",I$3,$A43))</f>
        <v/>
      </c>
      <c r="J43" s="112" t="str">
        <f>IF($A43="","",[1]!thsiFinD("ths_adjustment_nv_fund",J$3,$A43))</f>
        <v/>
      </c>
      <c r="K43" s="112" t="str">
        <f>IF($A43="","",[1]!thsiFinD("ths_adjustment_nv_fund",K$3,$A43))</f>
        <v/>
      </c>
      <c r="L43" s="112" t="str">
        <f>IF($A43="","",[1]!thsiFinD("ths_adjustment_nv_fund",L$3,$A43))</f>
        <v/>
      </c>
      <c r="M43" s="112" t="str">
        <f>IF($A43="","",[1]!thsiFinD("ths_adjustment_nv_fund",M$3,$A43))</f>
        <v/>
      </c>
      <c r="N43" s="112" t="str">
        <f>IF($A43="","",[1]!thsiFinD("ths_adjustment_nv_fund",N$3,$A43))</f>
        <v/>
      </c>
      <c r="O43" s="112" t="str">
        <f>IF($A43="","",[1]!thsiFinD("ths_adjustment_nv_fund",O$3,$A43))</f>
        <v/>
      </c>
      <c r="P43" s="112" t="str">
        <f>IF($A43="","",[1]!thsiFinD("ths_adjustment_nv_fund",P$3,$A43))</f>
        <v/>
      </c>
      <c r="Q43" s="112" t="str">
        <f>IF($A43="","",[1]!thsiFinD("ths_adjustment_nv_fund",Q$3,$A43))</f>
        <v/>
      </c>
      <c r="R43" s="112" t="str">
        <f>IF($A43="","",[1]!thsiFinD("ths_adjustment_nv_fund",R$3,$A43))</f>
        <v/>
      </c>
      <c r="S43" s="112" t="str">
        <f>IF($A43="","",[1]!thsiFinD("ths_adjustment_nv_fund",S$3,$A43))</f>
        <v/>
      </c>
      <c r="T43" s="112" t="str">
        <f>IF($A43="","",[1]!thsiFinD("ths_adjustment_nv_fund",T$3,$A43))</f>
        <v/>
      </c>
      <c r="U43" s="112" t="str">
        <f>IF($A43="","",[1]!thsiFinD("ths_adjustment_nv_fund",U$3,$A43))</f>
        <v/>
      </c>
      <c r="V43" s="112" t="str">
        <f>IF($A43="","",[1]!thsiFinD("ths_adjustment_nv_fund",V$3,$A43))</f>
        <v/>
      </c>
      <c r="W43" s="112" t="str">
        <f>IF($A43="","",[1]!thsiFinD("ths_adjustment_nv_fund",W$3,$A43))</f>
        <v/>
      </c>
      <c r="X43" s="112" t="str">
        <f>IF($A43="","",[1]!thsiFinD("ths_adjustment_nv_fund",X$3,$A43))</f>
        <v/>
      </c>
    </row>
    <row r="44" spans="1:24">
      <c r="A44" s="111"/>
      <c r="B44" s="112" t="str">
        <f>IF($A44="","",[1]!thsiFinD("ths_adjustment_nv_fund",B$3,$A44))</f>
        <v/>
      </c>
      <c r="C44" s="112" t="str">
        <f>IF($A44="","",[1]!thsiFinD("ths_adjustment_nv_fund",C$3,$A44))</f>
        <v/>
      </c>
      <c r="D44" s="112" t="str">
        <f>IF($A44="","",[1]!thsiFinD("ths_adjustment_nv_fund",D$3,$A44))</f>
        <v/>
      </c>
      <c r="E44" s="112" t="str">
        <f>IF($A44="","",[1]!thsiFinD("ths_adjustment_nv_fund",E$3,$A44))</f>
        <v/>
      </c>
      <c r="F44" s="112" t="str">
        <f>IF($A44="","",[1]!thsiFinD("ths_adjustment_nv_fund",F$3,$A44))</f>
        <v/>
      </c>
      <c r="G44" s="112" t="str">
        <f>IF($A44="","",[1]!thsiFinD("ths_adjustment_nv_fund",G$3,$A44))</f>
        <v/>
      </c>
      <c r="H44" s="112" t="str">
        <f>IF($A44="","",[1]!thsiFinD("ths_adjustment_nv_fund",H$3,$A44))</f>
        <v/>
      </c>
      <c r="I44" s="112" t="str">
        <f>IF($A44="","",[1]!thsiFinD("ths_adjustment_nv_fund",I$3,$A44))</f>
        <v/>
      </c>
      <c r="J44" s="112" t="str">
        <f>IF($A44="","",[1]!thsiFinD("ths_adjustment_nv_fund",J$3,$A44))</f>
        <v/>
      </c>
      <c r="K44" s="112" t="str">
        <f>IF($A44="","",[1]!thsiFinD("ths_adjustment_nv_fund",K$3,$A44))</f>
        <v/>
      </c>
      <c r="L44" s="112" t="str">
        <f>IF($A44="","",[1]!thsiFinD("ths_adjustment_nv_fund",L$3,$A44))</f>
        <v/>
      </c>
      <c r="M44" s="112" t="str">
        <f>IF($A44="","",[1]!thsiFinD("ths_adjustment_nv_fund",M$3,$A44))</f>
        <v/>
      </c>
      <c r="N44" s="112" t="str">
        <f>IF($A44="","",[1]!thsiFinD("ths_adjustment_nv_fund",N$3,$A44))</f>
        <v/>
      </c>
      <c r="O44" s="112" t="str">
        <f>IF($A44="","",[1]!thsiFinD("ths_adjustment_nv_fund",O$3,$A44))</f>
        <v/>
      </c>
      <c r="P44" s="112" t="str">
        <f>IF($A44="","",[1]!thsiFinD("ths_adjustment_nv_fund",P$3,$A44))</f>
        <v/>
      </c>
      <c r="Q44" s="112" t="str">
        <f>IF($A44="","",[1]!thsiFinD("ths_adjustment_nv_fund",Q$3,$A44))</f>
        <v/>
      </c>
      <c r="R44" s="112" t="str">
        <f>IF($A44="","",[1]!thsiFinD("ths_adjustment_nv_fund",R$3,$A44))</f>
        <v/>
      </c>
      <c r="S44" s="112" t="str">
        <f>IF($A44="","",[1]!thsiFinD("ths_adjustment_nv_fund",S$3,$A44))</f>
        <v/>
      </c>
      <c r="T44" s="112" t="str">
        <f>IF($A44="","",[1]!thsiFinD("ths_adjustment_nv_fund",T$3,$A44))</f>
        <v/>
      </c>
      <c r="U44" s="112" t="str">
        <f>IF($A44="","",[1]!thsiFinD("ths_adjustment_nv_fund",U$3,$A44))</f>
        <v/>
      </c>
      <c r="V44" s="112" t="str">
        <f>IF($A44="","",[1]!thsiFinD("ths_adjustment_nv_fund",V$3,$A44))</f>
        <v/>
      </c>
      <c r="W44" s="112" t="str">
        <f>IF($A44="","",[1]!thsiFinD("ths_adjustment_nv_fund",W$3,$A44))</f>
        <v/>
      </c>
      <c r="X44" s="112" t="str">
        <f>IF($A44="","",[1]!thsiFinD("ths_adjustment_nv_fund",X$3,$A44))</f>
        <v/>
      </c>
    </row>
    <row r="45" spans="1:24">
      <c r="A45" s="111"/>
      <c r="B45" s="112" t="str">
        <f>IF($A45="","",[1]!thsiFinD("ths_adjustment_nv_fund",B$3,$A45))</f>
        <v/>
      </c>
      <c r="C45" s="112" t="str">
        <f>IF($A45="","",[1]!thsiFinD("ths_adjustment_nv_fund",C$3,$A45))</f>
        <v/>
      </c>
      <c r="D45" s="112" t="str">
        <f>IF($A45="","",[1]!thsiFinD("ths_adjustment_nv_fund",D$3,$A45))</f>
        <v/>
      </c>
      <c r="E45" s="112" t="str">
        <f>IF($A45="","",[1]!thsiFinD("ths_adjustment_nv_fund",E$3,$A45))</f>
        <v/>
      </c>
      <c r="F45" s="112" t="str">
        <f>IF($A45="","",[1]!thsiFinD("ths_adjustment_nv_fund",F$3,$A45))</f>
        <v/>
      </c>
      <c r="G45" s="112" t="str">
        <f>IF($A45="","",[1]!thsiFinD("ths_adjustment_nv_fund",G$3,$A45))</f>
        <v/>
      </c>
      <c r="H45" s="112" t="str">
        <f>IF($A45="","",[1]!thsiFinD("ths_adjustment_nv_fund",H$3,$A45))</f>
        <v/>
      </c>
      <c r="I45" s="112" t="str">
        <f>IF($A45="","",[1]!thsiFinD("ths_adjustment_nv_fund",I$3,$A45))</f>
        <v/>
      </c>
      <c r="J45" s="112" t="str">
        <f>IF($A45="","",[1]!thsiFinD("ths_adjustment_nv_fund",J$3,$A45))</f>
        <v/>
      </c>
      <c r="K45" s="112" t="str">
        <f>IF($A45="","",[1]!thsiFinD("ths_adjustment_nv_fund",K$3,$A45))</f>
        <v/>
      </c>
      <c r="L45" s="112" t="str">
        <f>IF($A45="","",[1]!thsiFinD("ths_adjustment_nv_fund",L$3,$A45))</f>
        <v/>
      </c>
      <c r="M45" s="112" t="str">
        <f>IF($A45="","",[1]!thsiFinD("ths_adjustment_nv_fund",M$3,$A45))</f>
        <v/>
      </c>
      <c r="N45" s="112" t="str">
        <f>IF($A45="","",[1]!thsiFinD("ths_adjustment_nv_fund",N$3,$A45))</f>
        <v/>
      </c>
      <c r="O45" s="112" t="str">
        <f>IF($A45="","",[1]!thsiFinD("ths_adjustment_nv_fund",O$3,$A45))</f>
        <v/>
      </c>
      <c r="P45" s="112" t="str">
        <f>IF($A45="","",[1]!thsiFinD("ths_adjustment_nv_fund",P$3,$A45))</f>
        <v/>
      </c>
      <c r="Q45" s="112" t="str">
        <f>IF($A45="","",[1]!thsiFinD("ths_adjustment_nv_fund",Q$3,$A45))</f>
        <v/>
      </c>
      <c r="R45" s="112" t="str">
        <f>IF($A45="","",[1]!thsiFinD("ths_adjustment_nv_fund",R$3,$A45))</f>
        <v/>
      </c>
      <c r="S45" s="112" t="str">
        <f>IF($A45="","",[1]!thsiFinD("ths_adjustment_nv_fund",S$3,$A45))</f>
        <v/>
      </c>
      <c r="T45" s="112" t="str">
        <f>IF($A45="","",[1]!thsiFinD("ths_adjustment_nv_fund",T$3,$A45))</f>
        <v/>
      </c>
      <c r="U45" s="112" t="str">
        <f>IF($A45="","",[1]!thsiFinD("ths_adjustment_nv_fund",U$3,$A45))</f>
        <v/>
      </c>
      <c r="V45" s="112" t="str">
        <f>IF($A45="","",[1]!thsiFinD("ths_adjustment_nv_fund",V$3,$A45))</f>
        <v/>
      </c>
      <c r="W45" s="112" t="str">
        <f>IF($A45="","",[1]!thsiFinD("ths_adjustment_nv_fund",W$3,$A45))</f>
        <v/>
      </c>
      <c r="X45" s="112" t="str">
        <f>IF($A45="","",[1]!thsiFinD("ths_adjustment_nv_fund",X$3,$A45))</f>
        <v/>
      </c>
    </row>
    <row r="46" spans="1:24">
      <c r="A46" s="111"/>
      <c r="B46" s="112" t="str">
        <f>IF($A46="","",[1]!thsiFinD("ths_adjustment_nv_fund",B$3,$A46))</f>
        <v/>
      </c>
      <c r="C46" s="112" t="str">
        <f>IF($A46="","",[1]!thsiFinD("ths_adjustment_nv_fund",C$3,$A46))</f>
        <v/>
      </c>
      <c r="D46" s="112" t="str">
        <f>IF($A46="","",[1]!thsiFinD("ths_adjustment_nv_fund",D$3,$A46))</f>
        <v/>
      </c>
      <c r="E46" s="112" t="str">
        <f>IF($A46="","",[1]!thsiFinD("ths_adjustment_nv_fund",E$3,$A46))</f>
        <v/>
      </c>
      <c r="F46" s="112" t="str">
        <f>IF($A46="","",[1]!thsiFinD("ths_adjustment_nv_fund",F$3,$A46))</f>
        <v/>
      </c>
      <c r="G46" s="112" t="str">
        <f>IF($A46="","",[1]!thsiFinD("ths_adjustment_nv_fund",G$3,$A46))</f>
        <v/>
      </c>
      <c r="H46" s="112" t="str">
        <f>IF($A46="","",[1]!thsiFinD("ths_adjustment_nv_fund",H$3,$A46))</f>
        <v/>
      </c>
      <c r="I46" s="112" t="str">
        <f>IF($A46="","",[1]!thsiFinD("ths_adjustment_nv_fund",I$3,$A46))</f>
        <v/>
      </c>
      <c r="J46" s="112" t="str">
        <f>IF($A46="","",[1]!thsiFinD("ths_adjustment_nv_fund",J$3,$A46))</f>
        <v/>
      </c>
      <c r="K46" s="112" t="str">
        <f>IF($A46="","",[1]!thsiFinD("ths_adjustment_nv_fund",K$3,$A46))</f>
        <v/>
      </c>
      <c r="L46" s="112" t="str">
        <f>IF($A46="","",[1]!thsiFinD("ths_adjustment_nv_fund",L$3,$A46))</f>
        <v/>
      </c>
      <c r="M46" s="112" t="str">
        <f>IF($A46="","",[1]!thsiFinD("ths_adjustment_nv_fund",M$3,$A46))</f>
        <v/>
      </c>
      <c r="N46" s="112" t="str">
        <f>IF($A46="","",[1]!thsiFinD("ths_adjustment_nv_fund",N$3,$A46))</f>
        <v/>
      </c>
      <c r="O46" s="112" t="str">
        <f>IF($A46="","",[1]!thsiFinD("ths_adjustment_nv_fund",O$3,$A46))</f>
        <v/>
      </c>
      <c r="P46" s="112" t="str">
        <f>IF($A46="","",[1]!thsiFinD("ths_adjustment_nv_fund",P$3,$A46))</f>
        <v/>
      </c>
      <c r="Q46" s="112" t="str">
        <f>IF($A46="","",[1]!thsiFinD("ths_adjustment_nv_fund",Q$3,$A46))</f>
        <v/>
      </c>
      <c r="R46" s="112" t="str">
        <f>IF($A46="","",[1]!thsiFinD("ths_adjustment_nv_fund",R$3,$A46))</f>
        <v/>
      </c>
      <c r="S46" s="112" t="str">
        <f>IF($A46="","",[1]!thsiFinD("ths_adjustment_nv_fund",S$3,$A46))</f>
        <v/>
      </c>
      <c r="T46" s="112" t="str">
        <f>IF($A46="","",[1]!thsiFinD("ths_adjustment_nv_fund",T$3,$A46))</f>
        <v/>
      </c>
      <c r="U46" s="112" t="str">
        <f>IF($A46="","",[1]!thsiFinD("ths_adjustment_nv_fund",U$3,$A46))</f>
        <v/>
      </c>
      <c r="V46" s="112" t="str">
        <f>IF($A46="","",[1]!thsiFinD("ths_adjustment_nv_fund",V$3,$A46))</f>
        <v/>
      </c>
      <c r="W46" s="112" t="str">
        <f>IF($A46="","",[1]!thsiFinD("ths_adjustment_nv_fund",W$3,$A46))</f>
        <v/>
      </c>
      <c r="X46" s="112" t="str">
        <f>IF($A46="","",[1]!thsiFinD("ths_adjustment_nv_fund",X$3,$A46))</f>
        <v/>
      </c>
    </row>
    <row r="47" spans="1:24">
      <c r="A47" s="111"/>
      <c r="B47" s="112" t="str">
        <f>IF($A47="","",[1]!thsiFinD("ths_adjustment_nv_fund",B$3,$A47))</f>
        <v/>
      </c>
      <c r="C47" s="112" t="str">
        <f>IF($A47="","",[1]!thsiFinD("ths_adjustment_nv_fund",C$3,$A47))</f>
        <v/>
      </c>
      <c r="D47" s="112" t="str">
        <f>IF($A47="","",[1]!thsiFinD("ths_adjustment_nv_fund",D$3,$A47))</f>
        <v/>
      </c>
      <c r="E47" s="112" t="str">
        <f>IF($A47="","",[1]!thsiFinD("ths_adjustment_nv_fund",E$3,$A47))</f>
        <v/>
      </c>
      <c r="F47" s="112" t="str">
        <f>IF($A47="","",[1]!thsiFinD("ths_adjustment_nv_fund",F$3,$A47))</f>
        <v/>
      </c>
      <c r="G47" s="112" t="str">
        <f>IF($A47="","",[1]!thsiFinD("ths_adjustment_nv_fund",G$3,$A47))</f>
        <v/>
      </c>
      <c r="H47" s="112" t="str">
        <f>IF($A47="","",[1]!thsiFinD("ths_adjustment_nv_fund",H$3,$A47))</f>
        <v/>
      </c>
      <c r="I47" s="112" t="str">
        <f>IF($A47="","",[1]!thsiFinD("ths_adjustment_nv_fund",I$3,$A47))</f>
        <v/>
      </c>
      <c r="J47" s="112" t="str">
        <f>IF($A47="","",[1]!thsiFinD("ths_adjustment_nv_fund",J$3,$A47))</f>
        <v/>
      </c>
      <c r="K47" s="112" t="str">
        <f>IF($A47="","",[1]!thsiFinD("ths_adjustment_nv_fund",K$3,$A47))</f>
        <v/>
      </c>
      <c r="L47" s="112" t="str">
        <f>IF($A47="","",[1]!thsiFinD("ths_adjustment_nv_fund",L$3,$A47))</f>
        <v/>
      </c>
      <c r="M47" s="112" t="str">
        <f>IF($A47="","",[1]!thsiFinD("ths_adjustment_nv_fund",M$3,$A47))</f>
        <v/>
      </c>
      <c r="N47" s="112" t="str">
        <f>IF($A47="","",[1]!thsiFinD("ths_adjustment_nv_fund",N$3,$A47))</f>
        <v/>
      </c>
      <c r="O47" s="112" t="str">
        <f>IF($A47="","",[1]!thsiFinD("ths_adjustment_nv_fund",O$3,$A47))</f>
        <v/>
      </c>
      <c r="P47" s="112" t="str">
        <f>IF($A47="","",[1]!thsiFinD("ths_adjustment_nv_fund",P$3,$A47))</f>
        <v/>
      </c>
      <c r="Q47" s="112" t="str">
        <f>IF($A47="","",[1]!thsiFinD("ths_adjustment_nv_fund",Q$3,$A47))</f>
        <v/>
      </c>
      <c r="R47" s="112" t="str">
        <f>IF($A47="","",[1]!thsiFinD("ths_adjustment_nv_fund",R$3,$A47))</f>
        <v/>
      </c>
      <c r="S47" s="112" t="str">
        <f>IF($A47="","",[1]!thsiFinD("ths_adjustment_nv_fund",S$3,$A47))</f>
        <v/>
      </c>
      <c r="T47" s="112" t="str">
        <f>IF($A47="","",[1]!thsiFinD("ths_adjustment_nv_fund",T$3,$A47))</f>
        <v/>
      </c>
      <c r="U47" s="112" t="str">
        <f>IF($A47="","",[1]!thsiFinD("ths_adjustment_nv_fund",U$3,$A47))</f>
        <v/>
      </c>
      <c r="V47" s="112" t="str">
        <f>IF($A47="","",[1]!thsiFinD("ths_adjustment_nv_fund",V$3,$A47))</f>
        <v/>
      </c>
      <c r="W47" s="112" t="str">
        <f>IF($A47="","",[1]!thsiFinD("ths_adjustment_nv_fund",W$3,$A47))</f>
        <v/>
      </c>
      <c r="X47" s="112" t="str">
        <f>IF($A47="","",[1]!thsiFinD("ths_adjustment_nv_fund",X$3,$A47))</f>
        <v/>
      </c>
    </row>
    <row r="48" spans="1:24">
      <c r="A48" s="111"/>
      <c r="B48" s="112" t="str">
        <f>IF($A48="","",[1]!thsiFinD("ths_adjustment_nv_fund",B$3,$A48))</f>
        <v/>
      </c>
      <c r="C48" s="112" t="str">
        <f>IF($A48="","",[1]!thsiFinD("ths_adjustment_nv_fund",C$3,$A48))</f>
        <v/>
      </c>
      <c r="D48" s="112" t="str">
        <f>IF($A48="","",[1]!thsiFinD("ths_adjustment_nv_fund",D$3,$A48))</f>
        <v/>
      </c>
      <c r="E48" s="112" t="str">
        <f>IF($A48="","",[1]!thsiFinD("ths_adjustment_nv_fund",E$3,$A48))</f>
        <v/>
      </c>
      <c r="F48" s="112" t="str">
        <f>IF($A48="","",[1]!thsiFinD("ths_adjustment_nv_fund",F$3,$A48))</f>
        <v/>
      </c>
      <c r="G48" s="112" t="str">
        <f>IF($A48="","",[1]!thsiFinD("ths_adjustment_nv_fund",G$3,$A48))</f>
        <v/>
      </c>
      <c r="H48" s="112" t="str">
        <f>IF($A48="","",[1]!thsiFinD("ths_adjustment_nv_fund",H$3,$A48))</f>
        <v/>
      </c>
      <c r="I48" s="112" t="str">
        <f>IF($A48="","",[1]!thsiFinD("ths_adjustment_nv_fund",I$3,$A48))</f>
        <v/>
      </c>
      <c r="J48" s="112" t="str">
        <f>IF($A48="","",[1]!thsiFinD("ths_adjustment_nv_fund",J$3,$A48))</f>
        <v/>
      </c>
      <c r="K48" s="112" t="str">
        <f>IF($A48="","",[1]!thsiFinD("ths_adjustment_nv_fund",K$3,$A48))</f>
        <v/>
      </c>
      <c r="L48" s="112" t="str">
        <f>IF($A48="","",[1]!thsiFinD("ths_adjustment_nv_fund",L$3,$A48))</f>
        <v/>
      </c>
      <c r="M48" s="112" t="str">
        <f>IF($A48="","",[1]!thsiFinD("ths_adjustment_nv_fund",M$3,$A48))</f>
        <v/>
      </c>
      <c r="N48" s="112" t="str">
        <f>IF($A48="","",[1]!thsiFinD("ths_adjustment_nv_fund",N$3,$A48))</f>
        <v/>
      </c>
      <c r="O48" s="112" t="str">
        <f>IF($A48="","",[1]!thsiFinD("ths_adjustment_nv_fund",O$3,$A48))</f>
        <v/>
      </c>
      <c r="P48" s="112" t="str">
        <f>IF($A48="","",[1]!thsiFinD("ths_adjustment_nv_fund",P$3,$A48))</f>
        <v/>
      </c>
      <c r="Q48" s="112" t="str">
        <f>IF($A48="","",[1]!thsiFinD("ths_adjustment_nv_fund",Q$3,$A48))</f>
        <v/>
      </c>
      <c r="R48" s="112" t="str">
        <f>IF($A48="","",[1]!thsiFinD("ths_adjustment_nv_fund",R$3,$A48))</f>
        <v/>
      </c>
      <c r="S48" s="112" t="str">
        <f>IF($A48="","",[1]!thsiFinD("ths_adjustment_nv_fund",S$3,$A48))</f>
        <v/>
      </c>
      <c r="T48" s="112" t="str">
        <f>IF($A48="","",[1]!thsiFinD("ths_adjustment_nv_fund",T$3,$A48))</f>
        <v/>
      </c>
      <c r="U48" s="112" t="str">
        <f>IF($A48="","",[1]!thsiFinD("ths_adjustment_nv_fund",U$3,$A48))</f>
        <v/>
      </c>
      <c r="V48" s="112" t="str">
        <f>IF($A48="","",[1]!thsiFinD("ths_adjustment_nv_fund",V$3,$A48))</f>
        <v/>
      </c>
      <c r="W48" s="112" t="str">
        <f>IF($A48="","",[1]!thsiFinD("ths_adjustment_nv_fund",W$3,$A48))</f>
        <v/>
      </c>
      <c r="X48" s="112" t="str">
        <f>IF($A48="","",[1]!thsiFinD("ths_adjustment_nv_fund",X$3,$A48))</f>
        <v/>
      </c>
    </row>
    <row r="49" spans="1:24">
      <c r="A49" s="111"/>
      <c r="B49" s="112" t="str">
        <f>IF($A49="","",[1]!thsiFinD("ths_adjustment_nv_fund",B$3,$A49))</f>
        <v/>
      </c>
      <c r="C49" s="112" t="str">
        <f>IF($A49="","",[1]!thsiFinD("ths_adjustment_nv_fund",C$3,$A49))</f>
        <v/>
      </c>
      <c r="D49" s="112" t="str">
        <f>IF($A49="","",[1]!thsiFinD("ths_adjustment_nv_fund",D$3,$A49))</f>
        <v/>
      </c>
      <c r="E49" s="112" t="str">
        <f>IF($A49="","",[1]!thsiFinD("ths_adjustment_nv_fund",E$3,$A49))</f>
        <v/>
      </c>
      <c r="F49" s="112" t="str">
        <f>IF($A49="","",[1]!thsiFinD("ths_adjustment_nv_fund",F$3,$A49))</f>
        <v/>
      </c>
      <c r="G49" s="112" t="str">
        <f>IF($A49="","",[1]!thsiFinD("ths_adjustment_nv_fund",G$3,$A49))</f>
        <v/>
      </c>
      <c r="H49" s="112" t="str">
        <f>IF($A49="","",[1]!thsiFinD("ths_adjustment_nv_fund",H$3,$A49))</f>
        <v/>
      </c>
      <c r="I49" s="112" t="str">
        <f>IF($A49="","",[1]!thsiFinD("ths_adjustment_nv_fund",I$3,$A49))</f>
        <v/>
      </c>
      <c r="J49" s="112" t="str">
        <f>IF($A49="","",[1]!thsiFinD("ths_adjustment_nv_fund",J$3,$A49))</f>
        <v/>
      </c>
      <c r="K49" s="112" t="str">
        <f>IF($A49="","",[1]!thsiFinD("ths_adjustment_nv_fund",K$3,$A49))</f>
        <v/>
      </c>
      <c r="L49" s="112" t="str">
        <f>IF($A49="","",[1]!thsiFinD("ths_adjustment_nv_fund",L$3,$A49))</f>
        <v/>
      </c>
      <c r="M49" s="112" t="str">
        <f>IF($A49="","",[1]!thsiFinD("ths_adjustment_nv_fund",M$3,$A49))</f>
        <v/>
      </c>
      <c r="N49" s="112" t="str">
        <f>IF($A49="","",[1]!thsiFinD("ths_adjustment_nv_fund",N$3,$A49))</f>
        <v/>
      </c>
      <c r="O49" s="112" t="str">
        <f>IF($A49="","",[1]!thsiFinD("ths_adjustment_nv_fund",O$3,$A49))</f>
        <v/>
      </c>
      <c r="P49" s="112" t="str">
        <f>IF($A49="","",[1]!thsiFinD("ths_adjustment_nv_fund",P$3,$A49))</f>
        <v/>
      </c>
      <c r="Q49" s="112" t="str">
        <f>IF($A49="","",[1]!thsiFinD("ths_adjustment_nv_fund",Q$3,$A49))</f>
        <v/>
      </c>
      <c r="R49" s="112" t="str">
        <f>IF($A49="","",[1]!thsiFinD("ths_adjustment_nv_fund",R$3,$A49))</f>
        <v/>
      </c>
      <c r="S49" s="112" t="str">
        <f>IF($A49="","",[1]!thsiFinD("ths_adjustment_nv_fund",S$3,$A49))</f>
        <v/>
      </c>
      <c r="T49" s="112" t="str">
        <f>IF($A49="","",[1]!thsiFinD("ths_adjustment_nv_fund",T$3,$A49))</f>
        <v/>
      </c>
      <c r="U49" s="112" t="str">
        <f>IF($A49="","",[1]!thsiFinD("ths_adjustment_nv_fund",U$3,$A49))</f>
        <v/>
      </c>
      <c r="V49" s="112" t="str">
        <f>IF($A49="","",[1]!thsiFinD("ths_adjustment_nv_fund",V$3,$A49))</f>
        <v/>
      </c>
      <c r="W49" s="112" t="str">
        <f>IF($A49="","",[1]!thsiFinD("ths_adjustment_nv_fund",W$3,$A49))</f>
        <v/>
      </c>
      <c r="X49" s="112" t="str">
        <f>IF($A49="","",[1]!thsiFinD("ths_adjustment_nv_fund",X$3,$A49))</f>
        <v/>
      </c>
    </row>
    <row r="50" spans="1:24">
      <c r="A50" s="111"/>
      <c r="B50" s="112" t="str">
        <f>IF($A50="","",[1]!thsiFinD("ths_adjustment_nv_fund",B$3,$A50))</f>
        <v/>
      </c>
      <c r="C50" s="112" t="str">
        <f>IF($A50="","",[1]!thsiFinD("ths_adjustment_nv_fund",C$3,$A50))</f>
        <v/>
      </c>
      <c r="D50" s="112" t="str">
        <f>IF($A50="","",[1]!thsiFinD("ths_adjustment_nv_fund",D$3,$A50))</f>
        <v/>
      </c>
      <c r="E50" s="112" t="str">
        <f>IF($A50="","",[1]!thsiFinD("ths_adjustment_nv_fund",E$3,$A50))</f>
        <v/>
      </c>
      <c r="F50" s="112" t="str">
        <f>IF($A50="","",[1]!thsiFinD("ths_adjustment_nv_fund",F$3,$A50))</f>
        <v/>
      </c>
      <c r="G50" s="112" t="str">
        <f>IF($A50="","",[1]!thsiFinD("ths_adjustment_nv_fund",G$3,$A50))</f>
        <v/>
      </c>
      <c r="H50" s="112" t="str">
        <f>IF($A50="","",[1]!thsiFinD("ths_adjustment_nv_fund",H$3,$A50))</f>
        <v/>
      </c>
      <c r="I50" s="112" t="str">
        <f>IF($A50="","",[1]!thsiFinD("ths_adjustment_nv_fund",I$3,$A50))</f>
        <v/>
      </c>
      <c r="J50" s="112" t="str">
        <f>IF($A50="","",[1]!thsiFinD("ths_adjustment_nv_fund",J$3,$A50))</f>
        <v/>
      </c>
      <c r="K50" s="112" t="str">
        <f>IF($A50="","",[1]!thsiFinD("ths_adjustment_nv_fund",K$3,$A50))</f>
        <v/>
      </c>
      <c r="L50" s="112" t="str">
        <f>IF($A50="","",[1]!thsiFinD("ths_adjustment_nv_fund",L$3,$A50))</f>
        <v/>
      </c>
      <c r="M50" s="112" t="str">
        <f>IF($A50="","",[1]!thsiFinD("ths_adjustment_nv_fund",M$3,$A50))</f>
        <v/>
      </c>
      <c r="N50" s="112" t="str">
        <f>IF($A50="","",[1]!thsiFinD("ths_adjustment_nv_fund",N$3,$A50))</f>
        <v/>
      </c>
      <c r="O50" s="112" t="str">
        <f>IF($A50="","",[1]!thsiFinD("ths_adjustment_nv_fund",O$3,$A50))</f>
        <v/>
      </c>
      <c r="P50" s="112" t="str">
        <f>IF($A50="","",[1]!thsiFinD("ths_adjustment_nv_fund",P$3,$A50))</f>
        <v/>
      </c>
      <c r="Q50" s="112" t="str">
        <f>IF($A50="","",[1]!thsiFinD("ths_adjustment_nv_fund",Q$3,$A50))</f>
        <v/>
      </c>
      <c r="R50" s="112" t="str">
        <f>IF($A50="","",[1]!thsiFinD("ths_adjustment_nv_fund",R$3,$A50))</f>
        <v/>
      </c>
      <c r="S50" s="112" t="str">
        <f>IF($A50="","",[1]!thsiFinD("ths_adjustment_nv_fund",S$3,$A50))</f>
        <v/>
      </c>
      <c r="T50" s="112" t="str">
        <f>IF($A50="","",[1]!thsiFinD("ths_adjustment_nv_fund",T$3,$A50))</f>
        <v/>
      </c>
      <c r="U50" s="112" t="str">
        <f>IF($A50="","",[1]!thsiFinD("ths_adjustment_nv_fund",U$3,$A50))</f>
        <v/>
      </c>
      <c r="V50" s="112" t="str">
        <f>IF($A50="","",[1]!thsiFinD("ths_adjustment_nv_fund",V$3,$A50))</f>
        <v/>
      </c>
      <c r="W50" s="112" t="str">
        <f>IF($A50="","",[1]!thsiFinD("ths_adjustment_nv_fund",W$3,$A50))</f>
        <v/>
      </c>
      <c r="X50" s="112" t="str">
        <f>IF($A50="","",[1]!thsiFinD("ths_adjustment_nv_fund",X$3,$A50))</f>
        <v/>
      </c>
    </row>
    <row r="51" spans="1:24">
      <c r="A51" s="111"/>
      <c r="B51" s="112" t="str">
        <f>IF($A51="","",[1]!thsiFinD("ths_adjustment_nv_fund",B$3,$A51))</f>
        <v/>
      </c>
      <c r="C51" s="112" t="str">
        <f>IF($A51="","",[1]!thsiFinD("ths_adjustment_nv_fund",C$3,$A51))</f>
        <v/>
      </c>
      <c r="D51" s="112" t="str">
        <f>IF($A51="","",[1]!thsiFinD("ths_adjustment_nv_fund",D$3,$A51))</f>
        <v/>
      </c>
      <c r="E51" s="112" t="str">
        <f>IF($A51="","",[1]!thsiFinD("ths_adjustment_nv_fund",E$3,$A51))</f>
        <v/>
      </c>
      <c r="F51" s="112" t="str">
        <f>IF($A51="","",[1]!thsiFinD("ths_adjustment_nv_fund",F$3,$A51))</f>
        <v/>
      </c>
      <c r="G51" s="112" t="str">
        <f>IF($A51="","",[1]!thsiFinD("ths_adjustment_nv_fund",G$3,$A51))</f>
        <v/>
      </c>
      <c r="H51" s="112" t="str">
        <f>IF($A51="","",[1]!thsiFinD("ths_adjustment_nv_fund",H$3,$A51))</f>
        <v/>
      </c>
      <c r="I51" s="112" t="str">
        <f>IF($A51="","",[1]!thsiFinD("ths_adjustment_nv_fund",I$3,$A51))</f>
        <v/>
      </c>
      <c r="J51" s="112" t="str">
        <f>IF($A51="","",[1]!thsiFinD("ths_adjustment_nv_fund",J$3,$A51))</f>
        <v/>
      </c>
      <c r="K51" s="112" t="str">
        <f>IF($A51="","",[1]!thsiFinD("ths_adjustment_nv_fund",K$3,$A51))</f>
        <v/>
      </c>
      <c r="L51" s="112" t="str">
        <f>IF($A51="","",[1]!thsiFinD("ths_adjustment_nv_fund",L$3,$A51))</f>
        <v/>
      </c>
      <c r="M51" s="112" t="str">
        <f>IF($A51="","",[1]!thsiFinD("ths_adjustment_nv_fund",M$3,$A51))</f>
        <v/>
      </c>
      <c r="N51" s="112" t="str">
        <f>IF($A51="","",[1]!thsiFinD("ths_adjustment_nv_fund",N$3,$A51))</f>
        <v/>
      </c>
      <c r="O51" s="112" t="str">
        <f>IF($A51="","",[1]!thsiFinD("ths_adjustment_nv_fund",O$3,$A51))</f>
        <v/>
      </c>
      <c r="P51" s="112" t="str">
        <f>IF($A51="","",[1]!thsiFinD("ths_adjustment_nv_fund",P$3,$A51))</f>
        <v/>
      </c>
      <c r="Q51" s="112" t="str">
        <f>IF($A51="","",[1]!thsiFinD("ths_adjustment_nv_fund",Q$3,$A51))</f>
        <v/>
      </c>
      <c r="R51" s="112" t="str">
        <f>IF($A51="","",[1]!thsiFinD("ths_adjustment_nv_fund",R$3,$A51))</f>
        <v/>
      </c>
      <c r="S51" s="112" t="str">
        <f>IF($A51="","",[1]!thsiFinD("ths_adjustment_nv_fund",S$3,$A51))</f>
        <v/>
      </c>
      <c r="T51" s="112" t="str">
        <f>IF($A51="","",[1]!thsiFinD("ths_adjustment_nv_fund",T$3,$A51))</f>
        <v/>
      </c>
      <c r="U51" s="112" t="str">
        <f>IF($A51="","",[1]!thsiFinD("ths_adjustment_nv_fund",U$3,$A51))</f>
        <v/>
      </c>
      <c r="V51" s="112" t="str">
        <f>IF($A51="","",[1]!thsiFinD("ths_adjustment_nv_fund",V$3,$A51))</f>
        <v/>
      </c>
      <c r="W51" s="112" t="str">
        <f>IF($A51="","",[1]!thsiFinD("ths_adjustment_nv_fund",W$3,$A51))</f>
        <v/>
      </c>
      <c r="X51" s="112" t="str">
        <f>IF($A51="","",[1]!thsiFinD("ths_adjustment_nv_fund",X$3,$A51))</f>
        <v/>
      </c>
    </row>
    <row r="52" spans="1:24">
      <c r="A52" s="111"/>
      <c r="B52" s="112" t="str">
        <f>IF($A52="","",[1]!thsiFinD("ths_adjustment_nv_fund",B$3,$A52))</f>
        <v/>
      </c>
      <c r="C52" s="112" t="str">
        <f>IF($A52="","",[1]!thsiFinD("ths_adjustment_nv_fund",C$3,$A52))</f>
        <v/>
      </c>
      <c r="D52" s="112" t="str">
        <f>IF($A52="","",[1]!thsiFinD("ths_adjustment_nv_fund",D$3,$A52))</f>
        <v/>
      </c>
      <c r="E52" s="112" t="str">
        <f>IF($A52="","",[1]!thsiFinD("ths_adjustment_nv_fund",E$3,$A52))</f>
        <v/>
      </c>
      <c r="F52" s="112" t="str">
        <f>IF($A52="","",[1]!thsiFinD("ths_adjustment_nv_fund",F$3,$A52))</f>
        <v/>
      </c>
      <c r="G52" s="112" t="str">
        <f>IF($A52="","",[1]!thsiFinD("ths_adjustment_nv_fund",G$3,$A52))</f>
        <v/>
      </c>
      <c r="H52" s="112" t="str">
        <f>IF($A52="","",[1]!thsiFinD("ths_adjustment_nv_fund",H$3,$A52))</f>
        <v/>
      </c>
      <c r="I52" s="112" t="str">
        <f>IF($A52="","",[1]!thsiFinD("ths_adjustment_nv_fund",I$3,$A52))</f>
        <v/>
      </c>
      <c r="J52" s="112" t="str">
        <f>IF($A52="","",[1]!thsiFinD("ths_adjustment_nv_fund",J$3,$A52))</f>
        <v/>
      </c>
      <c r="K52" s="112" t="str">
        <f>IF($A52="","",[1]!thsiFinD("ths_adjustment_nv_fund",K$3,$A52))</f>
        <v/>
      </c>
      <c r="L52" s="112" t="str">
        <f>IF($A52="","",[1]!thsiFinD("ths_adjustment_nv_fund",L$3,$A52))</f>
        <v/>
      </c>
      <c r="M52" s="112" t="str">
        <f>IF($A52="","",[1]!thsiFinD("ths_adjustment_nv_fund",M$3,$A52))</f>
        <v/>
      </c>
      <c r="N52" s="112" t="str">
        <f>IF($A52="","",[1]!thsiFinD("ths_adjustment_nv_fund",N$3,$A52))</f>
        <v/>
      </c>
      <c r="O52" s="112" t="str">
        <f>IF($A52="","",[1]!thsiFinD("ths_adjustment_nv_fund",O$3,$A52))</f>
        <v/>
      </c>
      <c r="P52" s="112" t="str">
        <f>IF($A52="","",[1]!thsiFinD("ths_adjustment_nv_fund",P$3,$A52))</f>
        <v/>
      </c>
      <c r="Q52" s="112" t="str">
        <f>IF($A52="","",[1]!thsiFinD("ths_adjustment_nv_fund",Q$3,$A52))</f>
        <v/>
      </c>
      <c r="R52" s="112" t="str">
        <f>IF($A52="","",[1]!thsiFinD("ths_adjustment_nv_fund",R$3,$A52))</f>
        <v/>
      </c>
      <c r="S52" s="112" t="str">
        <f>IF($A52="","",[1]!thsiFinD("ths_adjustment_nv_fund",S$3,$A52))</f>
        <v/>
      </c>
      <c r="T52" s="112" t="str">
        <f>IF($A52="","",[1]!thsiFinD("ths_adjustment_nv_fund",T$3,$A52))</f>
        <v/>
      </c>
      <c r="U52" s="112" t="str">
        <f>IF($A52="","",[1]!thsiFinD("ths_adjustment_nv_fund",U$3,$A52))</f>
        <v/>
      </c>
      <c r="V52" s="112" t="str">
        <f>IF($A52="","",[1]!thsiFinD("ths_adjustment_nv_fund",V$3,$A52))</f>
        <v/>
      </c>
      <c r="W52" s="112" t="str">
        <f>IF($A52="","",[1]!thsiFinD("ths_adjustment_nv_fund",W$3,$A52))</f>
        <v/>
      </c>
      <c r="X52" s="112" t="str">
        <f>IF($A52="","",[1]!thsiFinD("ths_adjustment_nv_fund",X$3,$A52))</f>
        <v/>
      </c>
    </row>
    <row r="53" spans="1:24">
      <c r="A53" s="111"/>
      <c r="B53" s="112" t="str">
        <f>IF($A53="","",[1]!thsiFinD("ths_adjustment_nv_fund",B$3,$A53))</f>
        <v/>
      </c>
      <c r="C53" s="112" t="str">
        <f>IF($A53="","",[1]!thsiFinD("ths_adjustment_nv_fund",C$3,$A53))</f>
        <v/>
      </c>
      <c r="D53" s="112" t="str">
        <f>IF($A53="","",[1]!thsiFinD("ths_adjustment_nv_fund",D$3,$A53))</f>
        <v/>
      </c>
      <c r="E53" s="112" t="str">
        <f>IF($A53="","",[1]!thsiFinD("ths_adjustment_nv_fund",E$3,$A53))</f>
        <v/>
      </c>
      <c r="F53" s="112" t="str">
        <f>IF($A53="","",[1]!thsiFinD("ths_adjustment_nv_fund",F$3,$A53))</f>
        <v/>
      </c>
      <c r="G53" s="112" t="str">
        <f>IF($A53="","",[1]!thsiFinD("ths_adjustment_nv_fund",G$3,$A53))</f>
        <v/>
      </c>
      <c r="H53" s="112" t="str">
        <f>IF($A53="","",[1]!thsiFinD("ths_adjustment_nv_fund",H$3,$A53))</f>
        <v/>
      </c>
      <c r="I53" s="112" t="str">
        <f>IF($A53="","",[1]!thsiFinD("ths_adjustment_nv_fund",I$3,$A53))</f>
        <v/>
      </c>
      <c r="J53" s="112" t="str">
        <f>IF($A53="","",[1]!thsiFinD("ths_adjustment_nv_fund",J$3,$A53))</f>
        <v/>
      </c>
      <c r="K53" s="112" t="str">
        <f>IF($A53="","",[1]!thsiFinD("ths_adjustment_nv_fund",K$3,$A53))</f>
        <v/>
      </c>
      <c r="L53" s="112" t="str">
        <f>IF($A53="","",[1]!thsiFinD("ths_adjustment_nv_fund",L$3,$A53))</f>
        <v/>
      </c>
      <c r="M53" s="112" t="str">
        <f>IF($A53="","",[1]!thsiFinD("ths_adjustment_nv_fund",M$3,$A53))</f>
        <v/>
      </c>
      <c r="N53" s="112" t="str">
        <f>IF($A53="","",[1]!thsiFinD("ths_adjustment_nv_fund",N$3,$A53))</f>
        <v/>
      </c>
      <c r="O53" s="112" t="str">
        <f>IF($A53="","",[1]!thsiFinD("ths_adjustment_nv_fund",O$3,$A53))</f>
        <v/>
      </c>
      <c r="P53" s="112" t="str">
        <f>IF($A53="","",[1]!thsiFinD("ths_adjustment_nv_fund",P$3,$A53))</f>
        <v/>
      </c>
      <c r="Q53" s="112" t="str">
        <f>IF($A53="","",[1]!thsiFinD("ths_adjustment_nv_fund",Q$3,$A53))</f>
        <v/>
      </c>
      <c r="R53" s="112" t="str">
        <f>IF($A53="","",[1]!thsiFinD("ths_adjustment_nv_fund",R$3,$A53))</f>
        <v/>
      </c>
      <c r="S53" s="112" t="str">
        <f>IF($A53="","",[1]!thsiFinD("ths_adjustment_nv_fund",S$3,$A53))</f>
        <v/>
      </c>
      <c r="T53" s="112" t="str">
        <f>IF($A53="","",[1]!thsiFinD("ths_adjustment_nv_fund",T$3,$A53))</f>
        <v/>
      </c>
      <c r="U53" s="112" t="str">
        <f>IF($A53="","",[1]!thsiFinD("ths_adjustment_nv_fund",U$3,$A53))</f>
        <v/>
      </c>
      <c r="V53" s="112" t="str">
        <f>IF($A53="","",[1]!thsiFinD("ths_adjustment_nv_fund",V$3,$A53))</f>
        <v/>
      </c>
      <c r="W53" s="112" t="str">
        <f>IF($A53="","",[1]!thsiFinD("ths_adjustment_nv_fund",W$3,$A53))</f>
        <v/>
      </c>
      <c r="X53" s="112" t="str">
        <f>IF($A53="","",[1]!thsiFinD("ths_adjustment_nv_fund",X$3,$A53))</f>
        <v/>
      </c>
    </row>
    <row r="54" spans="1:24">
      <c r="A54" s="111"/>
      <c r="B54" s="112" t="str">
        <f>IF($A54="","",[1]!thsiFinD("ths_adjustment_nv_fund",B$3,$A54))</f>
        <v/>
      </c>
      <c r="C54" s="112" t="str">
        <f>IF($A54="","",[1]!thsiFinD("ths_adjustment_nv_fund",C$3,$A54))</f>
        <v/>
      </c>
      <c r="D54" s="112" t="str">
        <f>IF($A54="","",[1]!thsiFinD("ths_adjustment_nv_fund",D$3,$A54))</f>
        <v/>
      </c>
      <c r="E54" s="112" t="str">
        <f>IF($A54="","",[1]!thsiFinD("ths_adjustment_nv_fund",E$3,$A54))</f>
        <v/>
      </c>
      <c r="F54" s="112" t="str">
        <f>IF($A54="","",[1]!thsiFinD("ths_adjustment_nv_fund",F$3,$A54))</f>
        <v/>
      </c>
      <c r="G54" s="112" t="str">
        <f>IF($A54="","",[1]!thsiFinD("ths_adjustment_nv_fund",G$3,$A54))</f>
        <v/>
      </c>
      <c r="H54" s="112" t="str">
        <f>IF($A54="","",[1]!thsiFinD("ths_adjustment_nv_fund",H$3,$A54))</f>
        <v/>
      </c>
      <c r="I54" s="112" t="str">
        <f>IF($A54="","",[1]!thsiFinD("ths_adjustment_nv_fund",I$3,$A54))</f>
        <v/>
      </c>
      <c r="J54" s="112" t="str">
        <f>IF($A54="","",[1]!thsiFinD("ths_adjustment_nv_fund",J$3,$A54))</f>
        <v/>
      </c>
      <c r="K54" s="112" t="str">
        <f>IF($A54="","",[1]!thsiFinD("ths_adjustment_nv_fund",K$3,$A54))</f>
        <v/>
      </c>
      <c r="L54" s="112" t="str">
        <f>IF($A54="","",[1]!thsiFinD("ths_adjustment_nv_fund",L$3,$A54))</f>
        <v/>
      </c>
      <c r="M54" s="112" t="str">
        <f>IF($A54="","",[1]!thsiFinD("ths_adjustment_nv_fund",M$3,$A54))</f>
        <v/>
      </c>
      <c r="N54" s="112" t="str">
        <f>IF($A54="","",[1]!thsiFinD("ths_adjustment_nv_fund",N$3,$A54))</f>
        <v/>
      </c>
      <c r="O54" s="112" t="str">
        <f>IF($A54="","",[1]!thsiFinD("ths_adjustment_nv_fund",O$3,$A54))</f>
        <v/>
      </c>
      <c r="P54" s="112" t="str">
        <f>IF($A54="","",[1]!thsiFinD("ths_adjustment_nv_fund",P$3,$A54))</f>
        <v/>
      </c>
      <c r="Q54" s="112" t="str">
        <f>IF($A54="","",[1]!thsiFinD("ths_adjustment_nv_fund",Q$3,$A54))</f>
        <v/>
      </c>
      <c r="R54" s="112" t="str">
        <f>IF($A54="","",[1]!thsiFinD("ths_adjustment_nv_fund",R$3,$A54))</f>
        <v/>
      </c>
      <c r="S54" s="112" t="str">
        <f>IF($A54="","",[1]!thsiFinD("ths_adjustment_nv_fund",S$3,$A54))</f>
        <v/>
      </c>
      <c r="T54" s="112" t="str">
        <f>IF($A54="","",[1]!thsiFinD("ths_adjustment_nv_fund",T$3,$A54))</f>
        <v/>
      </c>
      <c r="U54" s="112" t="str">
        <f>IF($A54="","",[1]!thsiFinD("ths_adjustment_nv_fund",U$3,$A54))</f>
        <v/>
      </c>
      <c r="V54" s="112" t="str">
        <f>IF($A54="","",[1]!thsiFinD("ths_adjustment_nv_fund",V$3,$A54))</f>
        <v/>
      </c>
      <c r="W54" s="112" t="str">
        <f>IF($A54="","",[1]!thsiFinD("ths_adjustment_nv_fund",W$3,$A54))</f>
        <v/>
      </c>
      <c r="X54" s="112" t="str">
        <f>IF($A54="","",[1]!thsiFinD("ths_adjustment_nv_fund",X$3,$A54))</f>
        <v/>
      </c>
    </row>
    <row r="55" spans="1:24">
      <c r="A55" s="111"/>
      <c r="B55" s="112" t="str">
        <f>IF($A55="","",[1]!thsiFinD("ths_adjustment_nv_fund",B$3,$A55))</f>
        <v/>
      </c>
      <c r="C55" s="112" t="str">
        <f>IF($A55="","",[1]!thsiFinD("ths_adjustment_nv_fund",C$3,$A55))</f>
        <v/>
      </c>
      <c r="D55" s="112" t="str">
        <f>IF($A55="","",[1]!thsiFinD("ths_adjustment_nv_fund",D$3,$A55))</f>
        <v/>
      </c>
      <c r="E55" s="112" t="str">
        <f>IF($A55="","",[1]!thsiFinD("ths_adjustment_nv_fund",E$3,$A55))</f>
        <v/>
      </c>
      <c r="F55" s="112" t="str">
        <f>IF($A55="","",[1]!thsiFinD("ths_adjustment_nv_fund",F$3,$A55))</f>
        <v/>
      </c>
      <c r="G55" s="112" t="str">
        <f>IF($A55="","",[1]!thsiFinD("ths_adjustment_nv_fund",G$3,$A55))</f>
        <v/>
      </c>
      <c r="H55" s="112" t="str">
        <f>IF($A55="","",[1]!thsiFinD("ths_adjustment_nv_fund",H$3,$A55))</f>
        <v/>
      </c>
      <c r="I55" s="112" t="str">
        <f>IF($A55="","",[1]!thsiFinD("ths_adjustment_nv_fund",I$3,$A55))</f>
        <v/>
      </c>
      <c r="J55" s="112" t="str">
        <f>IF($A55="","",[1]!thsiFinD("ths_adjustment_nv_fund",J$3,$A55))</f>
        <v/>
      </c>
      <c r="K55" s="112" t="str">
        <f>IF($A55="","",[1]!thsiFinD("ths_adjustment_nv_fund",K$3,$A55))</f>
        <v/>
      </c>
      <c r="L55" s="112" t="str">
        <f>IF($A55="","",[1]!thsiFinD("ths_adjustment_nv_fund",L$3,$A55))</f>
        <v/>
      </c>
      <c r="M55" s="112" t="str">
        <f>IF($A55="","",[1]!thsiFinD("ths_adjustment_nv_fund",M$3,$A55))</f>
        <v/>
      </c>
      <c r="N55" s="112" t="str">
        <f>IF($A55="","",[1]!thsiFinD("ths_adjustment_nv_fund",N$3,$A55))</f>
        <v/>
      </c>
      <c r="O55" s="112" t="str">
        <f>IF($A55="","",[1]!thsiFinD("ths_adjustment_nv_fund",O$3,$A55))</f>
        <v/>
      </c>
      <c r="P55" s="112" t="str">
        <f>IF($A55="","",[1]!thsiFinD("ths_adjustment_nv_fund",P$3,$A55))</f>
        <v/>
      </c>
      <c r="Q55" s="112" t="str">
        <f>IF($A55="","",[1]!thsiFinD("ths_adjustment_nv_fund",Q$3,$A55))</f>
        <v/>
      </c>
      <c r="R55" s="112" t="str">
        <f>IF($A55="","",[1]!thsiFinD("ths_adjustment_nv_fund",R$3,$A55))</f>
        <v/>
      </c>
      <c r="S55" s="112" t="str">
        <f>IF($A55="","",[1]!thsiFinD("ths_adjustment_nv_fund",S$3,$A55))</f>
        <v/>
      </c>
      <c r="T55" s="112" t="str">
        <f>IF($A55="","",[1]!thsiFinD("ths_adjustment_nv_fund",T$3,$A55))</f>
        <v/>
      </c>
      <c r="U55" s="112" t="str">
        <f>IF($A55="","",[1]!thsiFinD("ths_adjustment_nv_fund",U$3,$A55))</f>
        <v/>
      </c>
      <c r="V55" s="112" t="str">
        <f>IF($A55="","",[1]!thsiFinD("ths_adjustment_nv_fund",V$3,$A55))</f>
        <v/>
      </c>
      <c r="W55" s="112" t="str">
        <f>IF($A55="","",[1]!thsiFinD("ths_adjustment_nv_fund",W$3,$A55))</f>
        <v/>
      </c>
      <c r="X55" s="112" t="str">
        <f>IF($A55="","",[1]!thsiFinD("ths_adjustment_nv_fund",X$3,$A55))</f>
        <v/>
      </c>
    </row>
    <row r="56" spans="1:24">
      <c r="A56" s="111"/>
      <c r="B56" s="112" t="str">
        <f>IF($A56="","",[1]!thsiFinD("ths_adjustment_nv_fund",B$3,$A56))</f>
        <v/>
      </c>
      <c r="C56" s="112" t="str">
        <f>IF($A56="","",[1]!thsiFinD("ths_adjustment_nv_fund",C$3,$A56))</f>
        <v/>
      </c>
      <c r="D56" s="112" t="str">
        <f>IF($A56="","",[1]!thsiFinD("ths_adjustment_nv_fund",D$3,$A56))</f>
        <v/>
      </c>
      <c r="E56" s="112" t="str">
        <f>IF($A56="","",[1]!thsiFinD("ths_adjustment_nv_fund",E$3,$A56))</f>
        <v/>
      </c>
      <c r="F56" s="112" t="str">
        <f>IF($A56="","",[1]!thsiFinD("ths_adjustment_nv_fund",F$3,$A56))</f>
        <v/>
      </c>
      <c r="G56" s="112" t="str">
        <f>IF($A56="","",[1]!thsiFinD("ths_adjustment_nv_fund",G$3,$A56))</f>
        <v/>
      </c>
      <c r="H56" s="112" t="str">
        <f>IF($A56="","",[1]!thsiFinD("ths_adjustment_nv_fund",H$3,$A56))</f>
        <v/>
      </c>
      <c r="I56" s="112" t="str">
        <f>IF($A56="","",[1]!thsiFinD("ths_adjustment_nv_fund",I$3,$A56))</f>
        <v/>
      </c>
      <c r="J56" s="112" t="str">
        <f>IF($A56="","",[1]!thsiFinD("ths_adjustment_nv_fund",J$3,$A56))</f>
        <v/>
      </c>
      <c r="K56" s="112" t="str">
        <f>IF($A56="","",[1]!thsiFinD("ths_adjustment_nv_fund",K$3,$A56))</f>
        <v/>
      </c>
      <c r="L56" s="112" t="str">
        <f>IF($A56="","",[1]!thsiFinD("ths_adjustment_nv_fund",L$3,$A56))</f>
        <v/>
      </c>
      <c r="M56" s="112" t="str">
        <f>IF($A56="","",[1]!thsiFinD("ths_adjustment_nv_fund",M$3,$A56))</f>
        <v/>
      </c>
      <c r="N56" s="112" t="str">
        <f>IF($A56="","",[1]!thsiFinD("ths_adjustment_nv_fund",N$3,$A56))</f>
        <v/>
      </c>
      <c r="O56" s="112" t="str">
        <f>IF($A56="","",[1]!thsiFinD("ths_adjustment_nv_fund",O$3,$A56))</f>
        <v/>
      </c>
      <c r="P56" s="112" t="str">
        <f>IF($A56="","",[1]!thsiFinD("ths_adjustment_nv_fund",P$3,$A56))</f>
        <v/>
      </c>
      <c r="Q56" s="112" t="str">
        <f>IF($A56="","",[1]!thsiFinD("ths_adjustment_nv_fund",Q$3,$A56))</f>
        <v/>
      </c>
      <c r="R56" s="112" t="str">
        <f>IF($A56="","",[1]!thsiFinD("ths_adjustment_nv_fund",R$3,$A56))</f>
        <v/>
      </c>
      <c r="S56" s="112" t="str">
        <f>IF($A56="","",[1]!thsiFinD("ths_adjustment_nv_fund",S$3,$A56))</f>
        <v/>
      </c>
      <c r="T56" s="112" t="str">
        <f>IF($A56="","",[1]!thsiFinD("ths_adjustment_nv_fund",T$3,$A56))</f>
        <v/>
      </c>
      <c r="U56" s="112" t="str">
        <f>IF($A56="","",[1]!thsiFinD("ths_adjustment_nv_fund",U$3,$A56))</f>
        <v/>
      </c>
      <c r="V56" s="112" t="str">
        <f>IF($A56="","",[1]!thsiFinD("ths_adjustment_nv_fund",V$3,$A56))</f>
        <v/>
      </c>
      <c r="W56" s="112" t="str">
        <f>IF($A56="","",[1]!thsiFinD("ths_adjustment_nv_fund",W$3,$A56))</f>
        <v/>
      </c>
      <c r="X56" s="112" t="str">
        <f>IF($A56="","",[1]!thsiFinD("ths_adjustment_nv_fund",X$3,$A56))</f>
        <v/>
      </c>
    </row>
    <row r="57" spans="1:24">
      <c r="A57" s="111"/>
      <c r="B57" s="112" t="str">
        <f>IF($A57="","",[1]!thsiFinD("ths_adjustment_nv_fund",B$3,$A57))</f>
        <v/>
      </c>
      <c r="C57" s="112" t="str">
        <f>IF($A57="","",[1]!thsiFinD("ths_adjustment_nv_fund",C$3,$A57))</f>
        <v/>
      </c>
      <c r="D57" s="112" t="str">
        <f>IF($A57="","",[1]!thsiFinD("ths_adjustment_nv_fund",D$3,$A57))</f>
        <v/>
      </c>
      <c r="E57" s="112" t="str">
        <f>IF($A57="","",[1]!thsiFinD("ths_adjustment_nv_fund",E$3,$A57))</f>
        <v/>
      </c>
      <c r="F57" s="112" t="str">
        <f>IF($A57="","",[1]!thsiFinD("ths_adjustment_nv_fund",F$3,$A57))</f>
        <v/>
      </c>
      <c r="G57" s="112" t="str">
        <f>IF($A57="","",[1]!thsiFinD("ths_adjustment_nv_fund",G$3,$A57))</f>
        <v/>
      </c>
      <c r="H57" s="112" t="str">
        <f>IF($A57="","",[1]!thsiFinD("ths_adjustment_nv_fund",H$3,$A57))</f>
        <v/>
      </c>
      <c r="I57" s="112" t="str">
        <f>IF($A57="","",[1]!thsiFinD("ths_adjustment_nv_fund",I$3,$A57))</f>
        <v/>
      </c>
      <c r="J57" s="112" t="str">
        <f>IF($A57="","",[1]!thsiFinD("ths_adjustment_nv_fund",J$3,$A57))</f>
        <v/>
      </c>
      <c r="K57" s="112" t="str">
        <f>IF($A57="","",[1]!thsiFinD("ths_adjustment_nv_fund",K$3,$A57))</f>
        <v/>
      </c>
      <c r="L57" s="112" t="str">
        <f>IF($A57="","",[1]!thsiFinD("ths_adjustment_nv_fund",L$3,$A57))</f>
        <v/>
      </c>
      <c r="M57" s="112" t="str">
        <f>IF($A57="","",[1]!thsiFinD("ths_adjustment_nv_fund",M$3,$A57))</f>
        <v/>
      </c>
      <c r="N57" s="112" t="str">
        <f>IF($A57="","",[1]!thsiFinD("ths_adjustment_nv_fund",N$3,$A57))</f>
        <v/>
      </c>
      <c r="O57" s="112" t="str">
        <f>IF($A57="","",[1]!thsiFinD("ths_adjustment_nv_fund",O$3,$A57))</f>
        <v/>
      </c>
      <c r="P57" s="112" t="str">
        <f>IF($A57="","",[1]!thsiFinD("ths_adjustment_nv_fund",P$3,$A57))</f>
        <v/>
      </c>
      <c r="Q57" s="112" t="str">
        <f>IF($A57="","",[1]!thsiFinD("ths_adjustment_nv_fund",Q$3,$A57))</f>
        <v/>
      </c>
      <c r="R57" s="112" t="str">
        <f>IF($A57="","",[1]!thsiFinD("ths_adjustment_nv_fund",R$3,$A57))</f>
        <v/>
      </c>
      <c r="S57" s="112" t="str">
        <f>IF($A57="","",[1]!thsiFinD("ths_adjustment_nv_fund",S$3,$A57))</f>
        <v/>
      </c>
      <c r="T57" s="112" t="str">
        <f>IF($A57="","",[1]!thsiFinD("ths_adjustment_nv_fund",T$3,$A57))</f>
        <v/>
      </c>
      <c r="U57" s="112" t="str">
        <f>IF($A57="","",[1]!thsiFinD("ths_adjustment_nv_fund",U$3,$A57))</f>
        <v/>
      </c>
      <c r="V57" s="112" t="str">
        <f>IF($A57="","",[1]!thsiFinD("ths_adjustment_nv_fund",V$3,$A57))</f>
        <v/>
      </c>
      <c r="W57" s="112" t="str">
        <f>IF($A57="","",[1]!thsiFinD("ths_adjustment_nv_fund",W$3,$A57))</f>
        <v/>
      </c>
      <c r="X57" s="112" t="str">
        <f>IF($A57="","",[1]!thsiFinD("ths_adjustment_nv_fund",X$3,$A57))</f>
        <v/>
      </c>
    </row>
    <row r="58" spans="1:24">
      <c r="A58" s="111"/>
      <c r="B58" s="112" t="str">
        <f>IF($A58="","",[1]!thsiFinD("ths_adjustment_nv_fund",B$3,$A58))</f>
        <v/>
      </c>
      <c r="C58" s="112" t="str">
        <f>IF($A58="","",[1]!thsiFinD("ths_adjustment_nv_fund",C$3,$A58))</f>
        <v/>
      </c>
      <c r="D58" s="112" t="str">
        <f>IF($A58="","",[1]!thsiFinD("ths_adjustment_nv_fund",D$3,$A58))</f>
        <v/>
      </c>
      <c r="E58" s="112" t="str">
        <f>IF($A58="","",[1]!thsiFinD("ths_adjustment_nv_fund",E$3,$A58))</f>
        <v/>
      </c>
      <c r="F58" s="112" t="str">
        <f>IF($A58="","",[1]!thsiFinD("ths_adjustment_nv_fund",F$3,$A58))</f>
        <v/>
      </c>
      <c r="G58" s="112" t="str">
        <f>IF($A58="","",[1]!thsiFinD("ths_adjustment_nv_fund",G$3,$A58))</f>
        <v/>
      </c>
      <c r="H58" s="112" t="str">
        <f>IF($A58="","",[1]!thsiFinD("ths_adjustment_nv_fund",H$3,$A58))</f>
        <v/>
      </c>
      <c r="I58" s="112" t="str">
        <f>IF($A58="","",[1]!thsiFinD("ths_adjustment_nv_fund",I$3,$A58))</f>
        <v/>
      </c>
      <c r="J58" s="112" t="str">
        <f>IF($A58="","",[1]!thsiFinD("ths_adjustment_nv_fund",J$3,$A58))</f>
        <v/>
      </c>
      <c r="K58" s="112" t="str">
        <f>IF($A58="","",[1]!thsiFinD("ths_adjustment_nv_fund",K$3,$A58))</f>
        <v/>
      </c>
      <c r="L58" s="112" t="str">
        <f>IF($A58="","",[1]!thsiFinD("ths_adjustment_nv_fund",L$3,$A58))</f>
        <v/>
      </c>
      <c r="M58" s="112" t="str">
        <f>IF($A58="","",[1]!thsiFinD("ths_adjustment_nv_fund",M$3,$A58))</f>
        <v/>
      </c>
      <c r="N58" s="112" t="str">
        <f>IF($A58="","",[1]!thsiFinD("ths_adjustment_nv_fund",N$3,$A58))</f>
        <v/>
      </c>
      <c r="O58" s="112" t="str">
        <f>IF($A58="","",[1]!thsiFinD("ths_adjustment_nv_fund",O$3,$A58))</f>
        <v/>
      </c>
      <c r="P58" s="112" t="str">
        <f>IF($A58="","",[1]!thsiFinD("ths_adjustment_nv_fund",P$3,$A58))</f>
        <v/>
      </c>
      <c r="Q58" s="112" t="str">
        <f>IF($A58="","",[1]!thsiFinD("ths_adjustment_nv_fund",Q$3,$A58))</f>
        <v/>
      </c>
      <c r="R58" s="112" t="str">
        <f>IF($A58="","",[1]!thsiFinD("ths_adjustment_nv_fund",R$3,$A58))</f>
        <v/>
      </c>
      <c r="S58" s="112" t="str">
        <f>IF($A58="","",[1]!thsiFinD("ths_adjustment_nv_fund",S$3,$A58))</f>
        <v/>
      </c>
      <c r="T58" s="112" t="str">
        <f>IF($A58="","",[1]!thsiFinD("ths_adjustment_nv_fund",T$3,$A58))</f>
        <v/>
      </c>
      <c r="U58" s="112" t="str">
        <f>IF($A58="","",[1]!thsiFinD("ths_adjustment_nv_fund",U$3,$A58))</f>
        <v/>
      </c>
      <c r="V58" s="112" t="str">
        <f>IF($A58="","",[1]!thsiFinD("ths_adjustment_nv_fund",V$3,$A58))</f>
        <v/>
      </c>
      <c r="W58" s="112" t="str">
        <f>IF($A58="","",[1]!thsiFinD("ths_adjustment_nv_fund",W$3,$A58))</f>
        <v/>
      </c>
      <c r="X58" s="112" t="str">
        <f>IF($A58="","",[1]!thsiFinD("ths_adjustment_nv_fund",X$3,$A58))</f>
        <v/>
      </c>
    </row>
    <row r="59" spans="1:24">
      <c r="A59" s="111"/>
      <c r="B59" s="112" t="str">
        <f>IF($A59="","",[1]!thsiFinD("ths_adjustment_nv_fund",B$3,$A59))</f>
        <v/>
      </c>
      <c r="C59" s="112" t="str">
        <f>IF($A59="","",[1]!thsiFinD("ths_adjustment_nv_fund",C$3,$A59))</f>
        <v/>
      </c>
      <c r="D59" s="112" t="str">
        <f>IF($A59="","",[1]!thsiFinD("ths_adjustment_nv_fund",D$3,$A59))</f>
        <v/>
      </c>
      <c r="E59" s="112" t="str">
        <f>IF($A59="","",[1]!thsiFinD("ths_adjustment_nv_fund",E$3,$A59))</f>
        <v/>
      </c>
      <c r="F59" s="112" t="str">
        <f>IF($A59="","",[1]!thsiFinD("ths_adjustment_nv_fund",F$3,$A59))</f>
        <v/>
      </c>
      <c r="G59" s="112" t="str">
        <f>IF($A59="","",[1]!thsiFinD("ths_adjustment_nv_fund",G$3,$A59))</f>
        <v/>
      </c>
      <c r="H59" s="112" t="str">
        <f>IF($A59="","",[1]!thsiFinD("ths_adjustment_nv_fund",H$3,$A59))</f>
        <v/>
      </c>
      <c r="I59" s="112" t="str">
        <f>IF($A59="","",[1]!thsiFinD("ths_adjustment_nv_fund",I$3,$A59))</f>
        <v/>
      </c>
      <c r="J59" s="112" t="str">
        <f>IF($A59="","",[1]!thsiFinD("ths_adjustment_nv_fund",J$3,$A59))</f>
        <v/>
      </c>
      <c r="K59" s="112" t="str">
        <f>IF($A59="","",[1]!thsiFinD("ths_adjustment_nv_fund",K$3,$A59))</f>
        <v/>
      </c>
      <c r="L59" s="112" t="str">
        <f>IF($A59="","",[1]!thsiFinD("ths_adjustment_nv_fund",L$3,$A59))</f>
        <v/>
      </c>
      <c r="M59" s="112" t="str">
        <f>IF($A59="","",[1]!thsiFinD("ths_adjustment_nv_fund",M$3,$A59))</f>
        <v/>
      </c>
      <c r="N59" s="112" t="str">
        <f>IF($A59="","",[1]!thsiFinD("ths_adjustment_nv_fund",N$3,$A59))</f>
        <v/>
      </c>
      <c r="O59" s="112" t="str">
        <f>IF($A59="","",[1]!thsiFinD("ths_adjustment_nv_fund",O$3,$A59))</f>
        <v/>
      </c>
      <c r="P59" s="112" t="str">
        <f>IF($A59="","",[1]!thsiFinD("ths_adjustment_nv_fund",P$3,$A59))</f>
        <v/>
      </c>
      <c r="Q59" s="112" t="str">
        <f>IF($A59="","",[1]!thsiFinD("ths_adjustment_nv_fund",Q$3,$A59))</f>
        <v/>
      </c>
      <c r="R59" s="112" t="str">
        <f>IF($A59="","",[1]!thsiFinD("ths_adjustment_nv_fund",R$3,$A59))</f>
        <v/>
      </c>
      <c r="S59" s="112" t="str">
        <f>IF($A59="","",[1]!thsiFinD("ths_adjustment_nv_fund",S$3,$A59))</f>
        <v/>
      </c>
      <c r="T59" s="112" t="str">
        <f>IF($A59="","",[1]!thsiFinD("ths_adjustment_nv_fund",T$3,$A59))</f>
        <v/>
      </c>
      <c r="U59" s="112" t="str">
        <f>IF($A59="","",[1]!thsiFinD("ths_adjustment_nv_fund",U$3,$A59))</f>
        <v/>
      </c>
      <c r="V59" s="112" t="str">
        <f>IF($A59="","",[1]!thsiFinD("ths_adjustment_nv_fund",V$3,$A59))</f>
        <v/>
      </c>
      <c r="W59" s="112" t="str">
        <f>IF($A59="","",[1]!thsiFinD("ths_adjustment_nv_fund",W$3,$A59))</f>
        <v/>
      </c>
      <c r="X59" s="112" t="str">
        <f>IF($A59="","",[1]!thsiFinD("ths_adjustment_nv_fund",X$3,$A59))</f>
        <v/>
      </c>
    </row>
    <row r="60" spans="1:24">
      <c r="A60" s="111"/>
      <c r="B60" s="112" t="str">
        <f>IF($A60="","",[1]!thsiFinD("ths_adjustment_nv_fund",B$3,$A60))</f>
        <v/>
      </c>
      <c r="C60" s="112" t="str">
        <f>IF($A60="","",[1]!thsiFinD("ths_adjustment_nv_fund",C$3,$A60))</f>
        <v/>
      </c>
      <c r="D60" s="112" t="str">
        <f>IF($A60="","",[1]!thsiFinD("ths_adjustment_nv_fund",D$3,$A60))</f>
        <v/>
      </c>
      <c r="E60" s="112" t="str">
        <f>IF($A60="","",[1]!thsiFinD("ths_adjustment_nv_fund",E$3,$A60))</f>
        <v/>
      </c>
      <c r="F60" s="112" t="str">
        <f>IF($A60="","",[1]!thsiFinD("ths_adjustment_nv_fund",F$3,$A60))</f>
        <v/>
      </c>
      <c r="G60" s="112" t="str">
        <f>IF($A60="","",[1]!thsiFinD("ths_adjustment_nv_fund",G$3,$A60))</f>
        <v/>
      </c>
      <c r="H60" s="112" t="str">
        <f>IF($A60="","",[1]!thsiFinD("ths_adjustment_nv_fund",H$3,$A60))</f>
        <v/>
      </c>
      <c r="I60" s="112" t="str">
        <f>IF($A60="","",[1]!thsiFinD("ths_adjustment_nv_fund",I$3,$A60))</f>
        <v/>
      </c>
      <c r="J60" s="112" t="str">
        <f>IF($A60="","",[1]!thsiFinD("ths_adjustment_nv_fund",J$3,$A60))</f>
        <v/>
      </c>
      <c r="K60" s="112" t="str">
        <f>IF($A60="","",[1]!thsiFinD("ths_adjustment_nv_fund",K$3,$A60))</f>
        <v/>
      </c>
      <c r="L60" s="112" t="str">
        <f>IF($A60="","",[1]!thsiFinD("ths_adjustment_nv_fund",L$3,$A60))</f>
        <v/>
      </c>
      <c r="M60" s="112" t="str">
        <f>IF($A60="","",[1]!thsiFinD("ths_adjustment_nv_fund",M$3,$A60))</f>
        <v/>
      </c>
      <c r="N60" s="112" t="str">
        <f>IF($A60="","",[1]!thsiFinD("ths_adjustment_nv_fund",N$3,$A60))</f>
        <v/>
      </c>
      <c r="O60" s="112" t="str">
        <f>IF($A60="","",[1]!thsiFinD("ths_adjustment_nv_fund",O$3,$A60))</f>
        <v/>
      </c>
      <c r="P60" s="112" t="str">
        <f>IF($A60="","",[1]!thsiFinD("ths_adjustment_nv_fund",P$3,$A60))</f>
        <v/>
      </c>
      <c r="Q60" s="112" t="str">
        <f>IF($A60="","",[1]!thsiFinD("ths_adjustment_nv_fund",Q$3,$A60))</f>
        <v/>
      </c>
      <c r="R60" s="112" t="str">
        <f>IF($A60="","",[1]!thsiFinD("ths_adjustment_nv_fund",R$3,$A60))</f>
        <v/>
      </c>
      <c r="S60" s="112" t="str">
        <f>IF($A60="","",[1]!thsiFinD("ths_adjustment_nv_fund",S$3,$A60))</f>
        <v/>
      </c>
      <c r="T60" s="112" t="str">
        <f>IF($A60="","",[1]!thsiFinD("ths_adjustment_nv_fund",T$3,$A60))</f>
        <v/>
      </c>
      <c r="U60" s="112" t="str">
        <f>IF($A60="","",[1]!thsiFinD("ths_adjustment_nv_fund",U$3,$A60))</f>
        <v/>
      </c>
      <c r="V60" s="112" t="str">
        <f>IF($A60="","",[1]!thsiFinD("ths_adjustment_nv_fund",V$3,$A60))</f>
        <v/>
      </c>
      <c r="W60" s="112" t="str">
        <f>IF($A60="","",[1]!thsiFinD("ths_adjustment_nv_fund",W$3,$A60))</f>
        <v/>
      </c>
      <c r="X60" s="112" t="str">
        <f>IF($A60="","",[1]!thsiFinD("ths_adjustment_nv_fund",X$3,$A60))</f>
        <v/>
      </c>
    </row>
  </sheetData>
  <mergeCells count="1">
    <mergeCell ref="A1:D1"/>
  </mergeCells>
  <phoneticPr fontId="13" type="noConversion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1"/>
  <sheetViews>
    <sheetView showGridLines="0" topLeftCell="A10" workbookViewId="0">
      <selection activeCell="B16" sqref="B16"/>
    </sheetView>
  </sheetViews>
  <sheetFormatPr defaultRowHeight="14"/>
  <cols>
    <col min="1" max="1" width="12" style="95" customWidth="1"/>
    <col min="2" max="21" width="8.7265625" style="95" customWidth="1"/>
    <col min="22" max="22" width="13.54296875" style="95" bestFit="1" customWidth="1"/>
    <col min="23" max="24" width="8.7265625" style="95" customWidth="1"/>
    <col min="25" max="16384" width="8.7265625" style="95"/>
  </cols>
  <sheetData>
    <row r="1" spans="1:22" ht="19" customHeight="1">
      <c r="A1" s="172" t="s">
        <v>167</v>
      </c>
      <c r="B1" s="145"/>
      <c r="C1" s="145"/>
      <c r="D1" s="145"/>
      <c r="E1" s="145"/>
      <c r="F1" s="145"/>
      <c r="G1" s="145"/>
      <c r="H1" s="145"/>
      <c r="I1" s="145"/>
      <c r="J1" s="145"/>
    </row>
    <row r="2" spans="1:22" ht="14" customHeight="1">
      <c r="A2" s="145"/>
      <c r="B2" s="145"/>
      <c r="C2" s="145"/>
      <c r="D2" s="145"/>
      <c r="E2" s="145"/>
      <c r="F2" s="145"/>
      <c r="G2" s="145"/>
      <c r="H2" s="145"/>
      <c r="I2" s="145"/>
      <c r="J2" s="145"/>
    </row>
    <row r="3" spans="1:22" ht="42" customHeight="1">
      <c r="B3" s="96" t="s">
        <v>168</v>
      </c>
      <c r="E3" s="96" t="s">
        <v>169</v>
      </c>
      <c r="H3" s="96" t="s">
        <v>170</v>
      </c>
      <c r="K3" s="96" t="s">
        <v>52</v>
      </c>
      <c r="N3" s="96" t="s">
        <v>171</v>
      </c>
      <c r="Q3" s="96" t="s">
        <v>54</v>
      </c>
    </row>
    <row r="4" spans="1:22">
      <c r="A4" s="98" t="s">
        <v>56</v>
      </c>
      <c r="B4" s="98" t="s">
        <v>57</v>
      </c>
      <c r="C4" s="98" t="s">
        <v>58</v>
      </c>
      <c r="D4" s="98" t="s">
        <v>59</v>
      </c>
      <c r="E4" s="98" t="s">
        <v>57</v>
      </c>
      <c r="F4" s="98" t="s">
        <v>58</v>
      </c>
      <c r="G4" s="98" t="s">
        <v>59</v>
      </c>
      <c r="H4" s="98" t="s">
        <v>57</v>
      </c>
      <c r="I4" s="98" t="s">
        <v>58</v>
      </c>
      <c r="J4" s="98" t="s">
        <v>59</v>
      </c>
      <c r="K4" s="98" t="s">
        <v>57</v>
      </c>
      <c r="L4" s="98" t="s">
        <v>58</v>
      </c>
      <c r="M4" s="98" t="s">
        <v>59</v>
      </c>
      <c r="N4" s="98" t="s">
        <v>57</v>
      </c>
      <c r="O4" s="98" t="s">
        <v>58</v>
      </c>
      <c r="P4" s="98" t="s">
        <v>59</v>
      </c>
      <c r="Q4" s="98" t="s">
        <v>57</v>
      </c>
      <c r="R4" s="98" t="s">
        <v>58</v>
      </c>
      <c r="S4" s="98" t="s">
        <v>59</v>
      </c>
    </row>
    <row r="5" spans="1:22">
      <c r="A5" s="113">
        <f>IF('实盘净值数据(iFinD公式)'!A5="","",'实盘净值数据(iFinD公式)'!A5)</f>
        <v>46191</v>
      </c>
      <c r="B5" s="112" t="str">
        <f>IF(OR((ROW()-1)&lt;6,'实盘净值数据(iFinD公式)'!$A5="",'实盘净值数据(iFinD公式)'!$B5=""),"",SUMPRODUCT(实盘持仓配置!$B$4:$X$4,'实盘净值数据(iFinD公式)'!$B5:$X5/'实盘净值数据(iFinD公式)'!$B$6:$X$6)*(1-实盘持仓配置!$Z$4)^(('实盘净值数据(iFinD公式)'!$A5-'实盘净值数据(iFinD公式)'!$A$6)/365))</f>
        <v/>
      </c>
      <c r="C5" s="50"/>
      <c r="D5" s="50" t="str">
        <f>IF(B5="","",B5/MAX(B$5:B5)-1)</f>
        <v/>
      </c>
      <c r="E5" s="112">
        <v>1</v>
      </c>
      <c r="F5" s="50"/>
      <c r="G5" s="50">
        <f>IF(E5="","",E5/MAX(E$5:E5)-1)</f>
        <v>0</v>
      </c>
      <c r="H5" s="112" t="str">
        <f>IF(OR((ROW()-1)&lt;7,'实盘净值数据(iFinD公式)'!$A5="",'实盘净值数据(iFinD公式)'!$B5=""),"",SUMPRODUCT(实盘持仓配置!$B$6:$X$6,'实盘净值数据(iFinD公式)'!$B5:$X5/'实盘净值数据(iFinD公式)'!$B$7:$X$7)*(1-实盘持仓配置!$Z$6)^(('实盘净值数据(iFinD公式)'!$A5-'实盘净值数据(iFinD公式)'!$A$7)/365))</f>
        <v/>
      </c>
      <c r="I5" s="50"/>
      <c r="J5" s="50" t="str">
        <f>IF(H5="","",H5/MAX(H$5:H5)-1)</f>
        <v/>
      </c>
      <c r="K5" s="112" t="str">
        <f>IF(OR((ROW()-1)&lt;8,'实盘净值数据(iFinD公式)'!$A5="",'实盘净值数据(iFinD公式)'!$B5=""),"",SUMPRODUCT(实盘持仓配置!$B$7:$X$7,'实盘净值数据(iFinD公式)'!$B5:$X5/'实盘净值数据(iFinD公式)'!$B$8:$X$8)*(1-实盘持仓配置!$Z$7)^(('实盘净值数据(iFinD公式)'!$A5-'实盘净值数据(iFinD公式)'!$A$8)/365))</f>
        <v/>
      </c>
      <c r="L5" s="50"/>
      <c r="M5" s="50" t="str">
        <f>IF(K5="","",K5/MAX(K$5:K5)-1)</f>
        <v/>
      </c>
      <c r="N5" s="112">
        <v>1</v>
      </c>
      <c r="O5" s="50"/>
      <c r="P5" s="50">
        <f>IF(N5="","",N5/MAX(N$5:N5)-1)</f>
        <v>0</v>
      </c>
      <c r="Q5" s="112" t="str">
        <f>IF(OR((ROW()-1)&lt;8,'实盘净值数据(iFinD公式)'!$A5="",'实盘净值数据(iFinD公式)'!$B5=""),"",SUMPRODUCT(实盘持仓配置!$B$9:$X$9,'实盘净值数据(iFinD公式)'!$B5:$X5/'实盘净值数据(iFinD公式)'!$B$8:$X$8)*(1-实盘持仓配置!$Z$9)^(('实盘净值数据(iFinD公式)'!$A5-'实盘净值数据(iFinD公式)'!$A$8)/365))</f>
        <v/>
      </c>
      <c r="R5" s="50"/>
      <c r="S5" s="50" t="str">
        <f>IF(Q5="","",Q5/MAX(Q$5:Q5)-1)</f>
        <v/>
      </c>
      <c r="U5" s="51"/>
    </row>
    <row r="6" spans="1:22">
      <c r="A6" s="113">
        <f>IF('实盘净值数据(iFinD公式)'!A6="","",'实盘净值数据(iFinD公式)'!A6)</f>
        <v>46195</v>
      </c>
      <c r="B6" s="112">
        <v>1</v>
      </c>
      <c r="C6" s="50" t="str">
        <f>IF(OR(B5="",'实盘净值数据(iFinD公式)'!$A6="",'实盘净值数据(iFinD公式)'!$B6=""),"",(SUMPRODUCT(实盘持仓配置!$B$4:$X$4,'实盘净值数据(iFinD公式)'!$B5:$X5/'实盘净值数据(iFinD公式)'!$B$6:$X$6,'实盘净值数据(iFinD公式)'!$B6:$X6/'实盘净值数据(iFinD公式)'!$B5:$X5)/SUMPRODUCT(实盘持仓配置!$B$4:$X$4,'实盘净值数据(iFinD公式)'!$B5:$X5/'实盘净值数据(iFinD公式)'!$B$6:$X$6))*(1-实盘持仓配置!$Z$4)^(('实盘净值数据(iFinD公式)'!$A6-'实盘净值数据(iFinD公式)'!$A5)/365)-1)</f>
        <v/>
      </c>
      <c r="D6" s="50">
        <f>IF(B6="","",B6/MAX(B$5:B6)-1)</f>
        <v>0</v>
      </c>
      <c r="E6" s="112">
        <f>IF(OR((ROW()-1)&lt;5,'实盘净值数据(iFinD公式)'!$A6="",'实盘净值数据(iFinD公式)'!$B6=""),"",SUMPRODUCT(实盘持仓配置!$B$5:$X$5,'实盘净值数据(iFinD公式)'!$B6:$X6/'实盘净值数据(iFinD公式)'!$B$5:$X$5)*(1-实盘持仓配置!$Z$5)^(('实盘净值数据(iFinD公式)'!$A6-'实盘净值数据(iFinD公式)'!$A$5)/365))</f>
        <v>1.0234374728432394</v>
      </c>
      <c r="F6" s="50">
        <f>IF(OR(E5="",'实盘净值数据(iFinD公式)'!$A6="",'实盘净值数据(iFinD公式)'!$B6=""),"",(SUMPRODUCT(实盘持仓配置!$B$5:$X$5,'实盘净值数据(iFinD公式)'!$B5:$X5/'实盘净值数据(iFinD公式)'!$B$5:$X$5,'实盘净值数据(iFinD公式)'!$B6:$X6/'实盘净值数据(iFinD公式)'!$B5:$X5)/SUMPRODUCT(实盘持仓配置!$B$5:$X$5,'实盘净值数据(iFinD公式)'!$B5:$X5/'实盘净值数据(iFinD公式)'!$B$5:$X$5))*(1-实盘持仓配置!$Z$5)^(('实盘净值数据(iFinD公式)'!$A6-'实盘净值数据(iFinD公式)'!$A5)/365)-1)</f>
        <v>2.3437472843239604E-2</v>
      </c>
      <c r="G6" s="50">
        <f>IF(E6="","",E6/MAX(E$5:E6)-1)</f>
        <v>0</v>
      </c>
      <c r="H6" s="112" t="str">
        <f>IF(OR((ROW()-1)&lt;7,'实盘净值数据(iFinD公式)'!$A6="",'实盘净值数据(iFinD公式)'!$B6=""),"",SUMPRODUCT(实盘持仓配置!$B$6:$X$6,'实盘净值数据(iFinD公式)'!$B6:$X6/'实盘净值数据(iFinD公式)'!$B$7:$X$7)*(1-实盘持仓配置!$Z$6)^(('实盘净值数据(iFinD公式)'!$A6-'实盘净值数据(iFinD公式)'!$A$7)/365))</f>
        <v/>
      </c>
      <c r="I6" s="50" t="str">
        <f>IF(OR(H5="",'实盘净值数据(iFinD公式)'!$A6="",'实盘净值数据(iFinD公式)'!$B6=""),"",(SUMPRODUCT(实盘持仓配置!$B$6:$X$6,'实盘净值数据(iFinD公式)'!$B5:$X5/'实盘净值数据(iFinD公式)'!$B$7:$X$7,'实盘净值数据(iFinD公式)'!$B6:$X6/'实盘净值数据(iFinD公式)'!$B5:$X5)/SUMPRODUCT(实盘持仓配置!$B$6:$X$6,'实盘净值数据(iFinD公式)'!$B5:$X5/'实盘净值数据(iFinD公式)'!$B$7:$X$7))*(1-实盘持仓配置!$Z$6)^(('实盘净值数据(iFinD公式)'!$A6-'实盘净值数据(iFinD公式)'!$A5)/365)-1)</f>
        <v/>
      </c>
      <c r="J6" s="50" t="str">
        <f>IF(H6="","",H6/MAX(H$5:H6)-1)</f>
        <v/>
      </c>
      <c r="K6" s="112" t="str">
        <f>IF(OR((ROW()-1)&lt;8,'实盘净值数据(iFinD公式)'!$A6="",'实盘净值数据(iFinD公式)'!$B6=""),"",SUMPRODUCT(实盘持仓配置!$B$7:$X$7,'实盘净值数据(iFinD公式)'!$B6:$X6/'实盘净值数据(iFinD公式)'!$B$8:$X$8)*(1-实盘持仓配置!$Z$7)^(('实盘净值数据(iFinD公式)'!$A6-'实盘净值数据(iFinD公式)'!$A$8)/365))</f>
        <v/>
      </c>
      <c r="L6" s="50" t="str">
        <f>IF(OR(K5="",'实盘净值数据(iFinD公式)'!$A6="",'实盘净值数据(iFinD公式)'!$B6=""),"",(SUMPRODUCT(实盘持仓配置!$B$7:$X$7,'实盘净值数据(iFinD公式)'!$B5:$X5/'实盘净值数据(iFinD公式)'!$B$8:$X$8,'实盘净值数据(iFinD公式)'!$B6:$X6/'实盘净值数据(iFinD公式)'!$B5:$X5)/SUMPRODUCT(实盘持仓配置!$B$7:$X$7,'实盘净值数据(iFinD公式)'!$B5:$X5/'实盘净值数据(iFinD公式)'!$B$8:$X$8))*(1-实盘持仓配置!$Z$7)^(('实盘净值数据(iFinD公式)'!$A6-'实盘净值数据(iFinD公式)'!$A5)/365)-1)</f>
        <v/>
      </c>
      <c r="M6" s="50" t="str">
        <f>IF(K6="","",K6/MAX(K$5:K6)-1)</f>
        <v/>
      </c>
      <c r="N6" s="112">
        <f>IF(OR((ROW()-1)&lt;5,'实盘净值数据(iFinD公式)'!$A6="",'实盘净值数据(iFinD公式)'!$B6=""),"",SUMPRODUCT(实盘持仓配置!$B$8:$X$8,'实盘净值数据(iFinD公式)'!$B6:$X6/'实盘净值数据(iFinD公式)'!$B$5:$X$5)*(1-实盘持仓配置!$Z$8)^(('实盘净值数据(iFinD公式)'!$A6-'实盘净值数据(iFinD公式)'!$A$5)/365))</f>
        <v>1.0008955316407739</v>
      </c>
      <c r="O6" s="50">
        <f>IF(OR(N5="",'实盘净值数据(iFinD公式)'!$A6="",'实盘净值数据(iFinD公式)'!$B6=""),"",(SUMPRODUCT(实盘持仓配置!$B$8:$X$8,'实盘净值数据(iFinD公式)'!$B5:$X5/'实盘净值数据(iFinD公式)'!$B$5:$X$5,'实盘净值数据(iFinD公式)'!$B6:$X6/'实盘净值数据(iFinD公式)'!$B5:$X5)/SUMPRODUCT(实盘持仓配置!$B$8:$X$8,'实盘净值数据(iFinD公式)'!$B5:$X5/'实盘净值数据(iFinD公式)'!$B$5:$X$5))*(1-实盘持仓配置!$Z$8)^(('实盘净值数据(iFinD公式)'!$A6-'实盘净值数据(iFinD公式)'!$A5)/365)-1)</f>
        <v>8.9553164077393888E-4</v>
      </c>
      <c r="P6" s="50">
        <f>IF(N6="","",N6/MAX(N$5:N6)-1)</f>
        <v>0</v>
      </c>
      <c r="Q6" s="112" t="str">
        <f>IF(OR((ROW()-1)&lt;8,'实盘净值数据(iFinD公式)'!$A6="",'实盘净值数据(iFinD公式)'!$B6=""),"",SUMPRODUCT(实盘持仓配置!$B$9:$X$9,'实盘净值数据(iFinD公式)'!$B6:$X6/'实盘净值数据(iFinD公式)'!$B$8:$X$8)*(1-实盘持仓配置!$Z$9)^(('实盘净值数据(iFinD公式)'!$A6-'实盘净值数据(iFinD公式)'!$A$8)/365))</f>
        <v/>
      </c>
      <c r="R6" s="50" t="str">
        <f>IF(OR(Q5="",'实盘净值数据(iFinD公式)'!$A6="",'实盘净值数据(iFinD公式)'!$B6=""),"",(SUMPRODUCT(实盘持仓配置!$B$9:$X$9,'实盘净值数据(iFinD公式)'!$B5:$X5/'实盘净值数据(iFinD公式)'!$B$8:$X$8,'实盘净值数据(iFinD公式)'!$B6:$X6/'实盘净值数据(iFinD公式)'!$B5:$X5)/SUMPRODUCT(实盘持仓配置!$B$9:$X$9,'实盘净值数据(iFinD公式)'!$B5:$X5/'实盘净值数据(iFinD公式)'!$B$8:$X$8))*(1-实盘持仓配置!$Z$9)^(('实盘净值数据(iFinD公式)'!$A6-'实盘净值数据(iFinD公式)'!$A5)/365)-1)</f>
        <v/>
      </c>
      <c r="S6" s="50" t="str">
        <f>IF(Q6="","",Q6/MAX(Q$5:Q6)-1)</f>
        <v/>
      </c>
      <c r="U6" s="51"/>
      <c r="V6" s="114"/>
    </row>
    <row r="7" spans="1:22">
      <c r="A7" s="113">
        <f>IF('实盘净值数据(iFinD公式)'!A7="","",'实盘净值数据(iFinD公式)'!A7)</f>
        <v>46196</v>
      </c>
      <c r="B7" s="112">
        <f>IF(OR((ROW()-1)&lt;6,'实盘净值数据(iFinD公式)'!$A7="",'实盘净值数据(iFinD公式)'!$B7=""),"",SUMPRODUCT(实盘持仓配置!$B$4:$X$4,'实盘净值数据(iFinD公式)'!$B7:$X7/'实盘净值数据(iFinD公式)'!$B$6:$X$6)*(1-实盘持仓配置!$Z$4)^(('实盘净值数据(iFinD公式)'!$A7-'实盘净值数据(iFinD公式)'!$A$6)/365))</f>
        <v>0.98042318811773688</v>
      </c>
      <c r="C7" s="50">
        <f>IF(OR(B6="",'实盘净值数据(iFinD公式)'!$A7="",'实盘净值数据(iFinD公式)'!$B7=""),"",(SUMPRODUCT(实盘持仓配置!$B$4:$X$4,'实盘净值数据(iFinD公式)'!$B6:$X6/'实盘净值数据(iFinD公式)'!$B$6:$X$6,'实盘净值数据(iFinD公式)'!$B7:$X7/'实盘净值数据(iFinD公式)'!$B6:$X6)/SUMPRODUCT(实盘持仓配置!$B$4:$X$4,'实盘净值数据(iFinD公式)'!$B6:$X6/'实盘净值数据(iFinD公式)'!$B$6:$X$6))*(1-实盘持仓配置!$Z$4)^(('实盘净值数据(iFinD公式)'!$A7-'实盘净值数据(iFinD公式)'!$A6)/365)-1)</f>
        <v>-1.9576811882263012E-2</v>
      </c>
      <c r="D7" s="50">
        <f>IF(B7="","",B7/MAX(B$5:B7)-1)</f>
        <v>-1.9576811882263123E-2</v>
      </c>
      <c r="E7" s="112">
        <f>IF(OR((ROW()-1)&lt;5,'实盘净值数据(iFinD公式)'!$A7="",'实盘净值数据(iFinD公式)'!$B7=""),"",SUMPRODUCT(实盘持仓配置!$B$5:$X$5,'实盘净值数据(iFinD公式)'!$B7:$X7/'实盘净值数据(iFinD公式)'!$B$5:$X$5)*(1-实盘持仓配置!$Z$5)^(('实盘净值数据(iFinD公式)'!$A7-'实盘净值数据(iFinD公式)'!$A$5)/365))</f>
        <v>1.0033378905556949</v>
      </c>
      <c r="F7" s="50">
        <f>IF(OR(E6="",'实盘净值数据(iFinD公式)'!$A7="",'实盘净值数据(iFinD公式)'!$B7=""),"",(SUMPRODUCT(实盘持仓配置!$B$5:$X$5,'实盘净值数据(iFinD公式)'!$B6:$X6/'实盘净值数据(iFinD公式)'!$B$5:$X$5,'实盘净值数据(iFinD公式)'!$B7:$X7/'实盘净值数据(iFinD公式)'!$B6:$X6)/SUMPRODUCT(实盘持仓配置!$B$5:$X$5,'实盘净值数据(iFinD公式)'!$B6:$X6/'实盘净值数据(iFinD公式)'!$B$5:$X$5))*(1-实盘持仓配置!$Z$5)^(('实盘净值数据(iFinD公式)'!$A7-'实盘净值数据(iFinD公式)'!$A6)/365)-1)</f>
        <v>-1.9639287031092856E-2</v>
      </c>
      <c r="G7" s="50">
        <f>IF(E7="","",E7/MAX(E$5:E7)-1)</f>
        <v>-1.9639287031092634E-2</v>
      </c>
      <c r="H7" s="112">
        <v>1</v>
      </c>
      <c r="I7" s="50" t="str">
        <f>IF(OR(H6="",'实盘净值数据(iFinD公式)'!$A7="",'实盘净值数据(iFinD公式)'!$B7=""),"",(SUMPRODUCT(实盘持仓配置!$B$6:$X$6,'实盘净值数据(iFinD公式)'!$B6:$X6/'实盘净值数据(iFinD公式)'!$B$7:$X$7,'实盘净值数据(iFinD公式)'!$B7:$X7/'实盘净值数据(iFinD公式)'!$B6:$X6)/SUMPRODUCT(实盘持仓配置!$B$6:$X$6,'实盘净值数据(iFinD公式)'!$B6:$X6/'实盘净值数据(iFinD公式)'!$B$7:$X$7))*(1-实盘持仓配置!$Z$6)^(('实盘净值数据(iFinD公式)'!$A7-'实盘净值数据(iFinD公式)'!$A6)/365)-1)</f>
        <v/>
      </c>
      <c r="J7" s="50">
        <f>IF(H7="","",H7/MAX(H$5:H7)-1)</f>
        <v>0</v>
      </c>
      <c r="K7" s="112" t="str">
        <f>IF(OR((ROW()-1)&lt;8,'实盘净值数据(iFinD公式)'!$A7="",'实盘净值数据(iFinD公式)'!$B7=""),"",SUMPRODUCT(实盘持仓配置!$B$7:$X$7,'实盘净值数据(iFinD公式)'!$B7:$X7/'实盘净值数据(iFinD公式)'!$B$8:$X$8)*(1-实盘持仓配置!$Z$7)^(('实盘净值数据(iFinD公式)'!$A7-'实盘净值数据(iFinD公式)'!$A$8)/365))</f>
        <v/>
      </c>
      <c r="L7" s="50" t="str">
        <f>IF(OR(K6="",'实盘净值数据(iFinD公式)'!$A7="",'实盘净值数据(iFinD公式)'!$B7=""),"",(SUMPRODUCT(实盘持仓配置!$B$7:$X$7,'实盘净值数据(iFinD公式)'!$B6:$X6/'实盘净值数据(iFinD公式)'!$B$8:$X$8,'实盘净值数据(iFinD公式)'!$B7:$X7/'实盘净值数据(iFinD公式)'!$B6:$X6)/SUMPRODUCT(实盘持仓配置!$B$7:$X$7,'实盘净值数据(iFinD公式)'!$B6:$X6/'实盘净值数据(iFinD公式)'!$B$8:$X$8))*(1-实盘持仓配置!$Z$7)^(('实盘净值数据(iFinD公式)'!$A7-'实盘净值数据(iFinD公式)'!$A6)/365)-1)</f>
        <v/>
      </c>
      <c r="M7" s="50" t="str">
        <f>IF(K7="","",K7/MAX(K$5:K7)-1)</f>
        <v/>
      </c>
      <c r="N7" s="112">
        <f>IF(OR((ROW()-1)&lt;5,'实盘净值数据(iFinD公式)'!$A7="",'实盘净值数据(iFinD公式)'!$B7=""),"",SUMPRODUCT(实盘持仓配置!$B$8:$X$8,'实盘净值数据(iFinD公式)'!$B7:$X7/'实盘净值数据(iFinD公式)'!$B$5:$X$5)*(1-实盘持仓配置!$Z$8)^(('实盘净值数据(iFinD公式)'!$A7-'实盘净值数据(iFinD公式)'!$A$5)/365))</f>
        <v>0.99782263840516405</v>
      </c>
      <c r="O7" s="50">
        <f>IF(OR(N6="",'实盘净值数据(iFinD公式)'!$A7="",'实盘净值数据(iFinD公式)'!$B7=""),"",(SUMPRODUCT(实盘持仓配置!$B$8:$X$8,'实盘净值数据(iFinD公式)'!$B6:$X6/'实盘净值数据(iFinD公式)'!$B$5:$X$5,'实盘净值数据(iFinD公式)'!$B7:$X7/'实盘净值数据(iFinD公式)'!$B6:$X6)/SUMPRODUCT(实盘持仓配置!$B$8:$X$8,'实盘净值数据(iFinD公式)'!$B6:$X6/'实盘净值数据(iFinD公式)'!$B$5:$X$5))*(1-实盘持仓配置!$Z$8)^(('实盘净值数据(iFinD公式)'!$A7-'实盘净值数据(iFinD公式)'!$A6)/365)-1)</f>
        <v>-3.0701438246729662E-3</v>
      </c>
      <c r="P7" s="50">
        <f>IF(N7="","",N7/MAX(N$5:N7)-1)</f>
        <v>-3.0701438246731882E-3</v>
      </c>
      <c r="Q7" s="112" t="str">
        <f>IF(OR((ROW()-1)&lt;8,'实盘净值数据(iFinD公式)'!$A7="",'实盘净值数据(iFinD公式)'!$B7=""),"",SUMPRODUCT(实盘持仓配置!$B$9:$X$9,'实盘净值数据(iFinD公式)'!$B7:$X7/'实盘净值数据(iFinD公式)'!$B$8:$X$8)*(1-实盘持仓配置!$Z$9)^(('实盘净值数据(iFinD公式)'!$A7-'实盘净值数据(iFinD公式)'!$A$8)/365))</f>
        <v/>
      </c>
      <c r="R7" s="50" t="str">
        <f>IF(OR(Q6="",'实盘净值数据(iFinD公式)'!$A7="",'实盘净值数据(iFinD公式)'!$B7=""),"",(SUMPRODUCT(实盘持仓配置!$B$9:$X$9,'实盘净值数据(iFinD公式)'!$B6:$X6/'实盘净值数据(iFinD公式)'!$B$8:$X$8,'实盘净值数据(iFinD公式)'!$B7:$X7/'实盘净值数据(iFinD公式)'!$B6:$X6)/SUMPRODUCT(实盘持仓配置!$B$9:$X$9,'实盘净值数据(iFinD公式)'!$B6:$X6/'实盘净值数据(iFinD公式)'!$B$8:$X$8))*(1-实盘持仓配置!$Z$9)^(('实盘净值数据(iFinD公式)'!$A7-'实盘净值数据(iFinD公式)'!$A6)/365)-1)</f>
        <v/>
      </c>
      <c r="S7" s="50" t="str">
        <f>IF(Q7="","",Q7/MAX(Q$5:Q7)-1)</f>
        <v/>
      </c>
      <c r="U7" s="51"/>
      <c r="V7" s="114"/>
    </row>
    <row r="8" spans="1:22">
      <c r="A8" s="113">
        <f>IF('实盘净值数据(iFinD公式)'!A8="","",'实盘净值数据(iFinD公式)'!A8)</f>
        <v>46197</v>
      </c>
      <c r="B8" s="112">
        <f>IF(OR((ROW()-1)&lt;6,'实盘净值数据(iFinD公式)'!$A8="",'实盘净值数据(iFinD公式)'!$B8=""),"",SUMPRODUCT(实盘持仓配置!$B$4:$X$4,'实盘净值数据(iFinD公式)'!$B8:$X8/'实盘净值数据(iFinD公式)'!$B$6:$X$6)*(1-实盘持仓配置!$Z$4)^(('实盘净值数据(iFinD公式)'!$A8-'实盘净值数据(iFinD公式)'!$A$6)/365))</f>
        <v>1.0160197208922743</v>
      </c>
      <c r="C8" s="50">
        <f>IF(OR(B7="",'实盘净值数据(iFinD公式)'!$A8="",'实盘净值数据(iFinD公式)'!$B8=""),"",(SUMPRODUCT(实盘持仓配置!$B$4:$X$4,'实盘净值数据(iFinD公式)'!$B7:$X7/'实盘净值数据(iFinD公式)'!$B$6:$X$6,'实盘净值数据(iFinD公式)'!$B8:$X8/'实盘净值数据(iFinD公式)'!$B7:$X7)/SUMPRODUCT(实盘持仓配置!$B$4:$X$4,'实盘净值数据(iFinD公式)'!$B7:$X7/'实盘净值数据(iFinD公式)'!$B$6:$X$6))*(1-实盘持仓配置!$Z$4)^(('实盘净值数据(iFinD公式)'!$A8-'实盘净值数据(iFinD公式)'!$A7)/365)-1)</f>
        <v>3.6307314235271448E-2</v>
      </c>
      <c r="D8" s="50">
        <f>IF(B8="","",B8/MAX(B$5:B8)-1)</f>
        <v>0</v>
      </c>
      <c r="E8" s="112">
        <f>IF(OR((ROW()-1)&lt;5,'实盘净值数据(iFinD公式)'!$A8="",'实盘净值数据(iFinD公式)'!$B8=""),"",SUMPRODUCT(实盘持仓配置!$B$5:$X$5,'实盘净值数据(iFinD公式)'!$B8:$X8/'实盘净值数据(iFinD公式)'!$B$5:$X$5)*(1-实盘持仓配置!$Z$5)^(('实盘净值数据(iFinD公式)'!$A8-'实盘净值数据(iFinD公式)'!$A$5)/365))</f>
        <v>1.0397126768191969</v>
      </c>
      <c r="F8" s="50">
        <f>IF(OR(E7="",'实盘净值数据(iFinD公式)'!$A8="",'实盘净值数据(iFinD公式)'!$B8=""),"",(SUMPRODUCT(实盘持仓配置!$B$5:$X$5,'实盘净值数据(iFinD公式)'!$B7:$X7/'实盘净值数据(iFinD公式)'!$B$5:$X$5,'实盘净值数据(iFinD公式)'!$B8:$X8/'实盘净值数据(iFinD公式)'!$B7:$X7)/SUMPRODUCT(实盘持仓配置!$B$5:$X$5,'实盘净值数据(iFinD公式)'!$B7:$X7/'实盘净值数据(iFinD公式)'!$B$5:$X$5))*(1-实盘持仓配置!$Z$5)^(('实盘净值数据(iFinD公式)'!$A8-'实盘净值数据(iFinD公式)'!$A7)/365)-1)</f>
        <v>3.6253775129887478E-2</v>
      </c>
      <c r="G8" s="50">
        <f>IF(E8="","",E8/MAX(E$5:E8)-1)</f>
        <v>0</v>
      </c>
      <c r="H8" s="112">
        <f>IF(OR((ROW()-1)&lt;7,'实盘净值数据(iFinD公式)'!$A8="",'实盘净值数据(iFinD公式)'!$B8=""),"",SUMPRODUCT(实盘持仓配置!$B$6:$X$6,'实盘净值数据(iFinD公式)'!$B8:$X8/'实盘净值数据(iFinD公式)'!$B$7:$X$7)*(1-实盘持仓配置!$Z$6)^(('实盘净值数据(iFinD公式)'!$A8-'实盘净值数据(iFinD公式)'!$A$7)/365))</f>
        <v>1.039202963297934</v>
      </c>
      <c r="I8" s="50">
        <f>IF(OR(H7="",'实盘净值数据(iFinD公式)'!$A8="",'实盘净值数据(iFinD公式)'!$B8=""),"",(SUMPRODUCT(实盘持仓配置!$B$6:$X$6,'实盘净值数据(iFinD公式)'!$B7:$X7/'实盘净值数据(iFinD公式)'!$B$7:$X$7,'实盘净值数据(iFinD公式)'!$B8:$X8/'实盘净值数据(iFinD公式)'!$B7:$X7)/SUMPRODUCT(实盘持仓配置!$B$6:$X$6,'实盘净值数据(iFinD公式)'!$B7:$X7/'实盘净值数据(iFinD公式)'!$B$7:$X$7))*(1-实盘持仓配置!$Z$6)^(('实盘净值数据(iFinD公式)'!$A8-'实盘净值数据(iFinD公式)'!$A7)/365)-1)</f>
        <v>3.9202963297934268E-2</v>
      </c>
      <c r="J8" s="50">
        <f>IF(H8="","",H8/MAX(H$5:H8)-1)</f>
        <v>0</v>
      </c>
      <c r="K8" s="112">
        <v>1</v>
      </c>
      <c r="L8" s="50" t="str">
        <f>IF(OR(K7="",'实盘净值数据(iFinD公式)'!$A8="",'实盘净值数据(iFinD公式)'!$B8=""),"",(SUMPRODUCT(实盘持仓配置!$B$7:$X$7,'实盘净值数据(iFinD公式)'!$B7:$X7/'实盘净值数据(iFinD公式)'!$B$8:$X$8,'实盘净值数据(iFinD公式)'!$B8:$X8/'实盘净值数据(iFinD公式)'!$B7:$X7)/SUMPRODUCT(实盘持仓配置!$B$7:$X$7,'实盘净值数据(iFinD公式)'!$B7:$X7/'实盘净值数据(iFinD公式)'!$B$8:$X$8))*(1-实盘持仓配置!$Z$7)^(('实盘净值数据(iFinD公式)'!$A8-'实盘净值数据(iFinD公式)'!$A7)/365)-1)</f>
        <v/>
      </c>
      <c r="M8" s="50">
        <f>IF(K8="","",K8/MAX(K$5:K8)-1)</f>
        <v>0</v>
      </c>
      <c r="N8" s="112">
        <f>IF(OR((ROW()-1)&lt;5,'实盘净值数据(iFinD公式)'!$A8="",'实盘净值数据(iFinD公式)'!$B8=""),"",SUMPRODUCT(实盘持仓配置!$B$8:$X$8,'实盘净值数据(iFinD公式)'!$B8:$X8/'实盘净值数据(iFinD公式)'!$B$5:$X$5)*(1-实盘持仓配置!$Z$8)^(('实盘净值数据(iFinD公式)'!$A8-'实盘净值数据(iFinD公式)'!$A$5)/365))</f>
        <v>0.99977056884376803</v>
      </c>
      <c r="O8" s="50">
        <f>IF(OR(N7="",'实盘净值数据(iFinD公式)'!$A8="",'实盘净值数据(iFinD公式)'!$B8=""),"",(SUMPRODUCT(实盘持仓配置!$B$8:$X$8,'实盘净值数据(iFinD公式)'!$B7:$X7/'实盘净值数据(iFinD公式)'!$B$5:$X$5,'实盘净值数据(iFinD公式)'!$B8:$X8/'实盘净值数据(iFinD公式)'!$B7:$X7)/SUMPRODUCT(实盘持仓配置!$B$8:$X$8,'实盘净值数据(iFinD公式)'!$B7:$X7/'实盘净值数据(iFinD公式)'!$B$5:$X$5))*(1-实盘持仓配置!$Z$8)^(('实盘净值数据(iFinD公式)'!$A8-'实盘净值数据(iFinD公式)'!$A7)/365)-1)</f>
        <v>1.9521810426323949E-3</v>
      </c>
      <c r="P8" s="50">
        <f>IF(N8="","",N8/MAX(N$5:N8)-1)</f>
        <v>-1.123956258613501E-3</v>
      </c>
      <c r="Q8" s="112">
        <v>1</v>
      </c>
      <c r="R8" s="50" t="str">
        <f>IF(OR(Q7="",'实盘净值数据(iFinD公式)'!$A8="",'实盘净值数据(iFinD公式)'!$B8=""),"",(SUMPRODUCT(实盘持仓配置!$B$9:$X$9,'实盘净值数据(iFinD公式)'!$B7:$X7/'实盘净值数据(iFinD公式)'!$B$8:$X$8,'实盘净值数据(iFinD公式)'!$B8:$X8/'实盘净值数据(iFinD公式)'!$B7:$X7)/SUMPRODUCT(实盘持仓配置!$B$9:$X$9,'实盘净值数据(iFinD公式)'!$B7:$X7/'实盘净值数据(iFinD公式)'!$B$8:$X$8))*(1-实盘持仓配置!$Z$9)^(('实盘净值数据(iFinD公式)'!$A8-'实盘净值数据(iFinD公式)'!$A7)/365)-1)</f>
        <v/>
      </c>
      <c r="S8" s="50">
        <f>IF(Q8="","",Q8/MAX(Q$5:Q8)-1)</f>
        <v>0</v>
      </c>
      <c r="U8" s="51"/>
      <c r="V8" s="114"/>
    </row>
    <row r="9" spans="1:22">
      <c r="A9" s="113">
        <f>IF('实盘净值数据(iFinD公式)'!A9="","",'实盘净值数据(iFinD公式)'!A9)</f>
        <v>46198</v>
      </c>
      <c r="B9" s="112">
        <f>IF(OR((ROW()-1)&lt;6,'实盘净值数据(iFinD公式)'!$A9="",'实盘净值数据(iFinD公式)'!$B9=""),"",SUMPRODUCT(实盘持仓配置!$B$4:$X$4,'实盘净值数据(iFinD公式)'!$B9:$X9/'实盘净值数据(iFinD公式)'!$B$6:$X$6)*(1-实盘持仓配置!$Z$4)^(('实盘净值数据(iFinD公式)'!$A9-'实盘净值数据(iFinD公式)'!$A$6)/365))</f>
        <v>1.0494431551246099</v>
      </c>
      <c r="C9" s="50">
        <f>IF(OR(B8="",'实盘净值数据(iFinD公式)'!$A9="",'实盘净值数据(iFinD公式)'!$B9=""),"",(SUMPRODUCT(实盘持仓配置!$B$4:$X$4,'实盘净值数据(iFinD公式)'!$B8:$X8/'实盘净值数据(iFinD公式)'!$B$6:$X$6,'实盘净值数据(iFinD公式)'!$B9:$X9/'实盘净值数据(iFinD公式)'!$B8:$X8)/SUMPRODUCT(实盘持仓配置!$B$4:$X$4,'实盘净值数据(iFinD公式)'!$B8:$X8/'实盘净值数据(iFinD公式)'!$B$6:$X$6))*(1-实盘持仓配置!$Z$4)^(('实盘净值数据(iFinD公式)'!$A9-'实盘净值数据(iFinD公式)'!$A8)/365)-1)</f>
        <v>3.2896442406632698E-2</v>
      </c>
      <c r="D9" s="50">
        <f>IF(B9="","",B9/MAX(B$5:B9)-1)</f>
        <v>0</v>
      </c>
      <c r="E9" s="112">
        <f>IF(OR((ROW()-1)&lt;5,'实盘净值数据(iFinD公式)'!$A9="",'实盘净值数据(iFinD公式)'!$B9=""),"",SUMPRODUCT(实盘持仓配置!$B$5:$X$5,'实盘净值数据(iFinD公式)'!$B9:$X9/'实盘净值数据(iFinD公式)'!$B$5:$X$5)*(1-实盘持仓配置!$Z$5)^(('实盘净值数据(iFinD公式)'!$A9-'实盘净值数据(iFinD公式)'!$A$5)/365))</f>
        <v>1.0739445334901312</v>
      </c>
      <c r="F9" s="50">
        <f>IF(OR(E8="",'实盘净值数据(iFinD公式)'!$A9="",'实盘净值数据(iFinD公式)'!$B9=""),"",(SUMPRODUCT(实盘持仓配置!$B$5:$X$5,'实盘净值数据(iFinD公式)'!$B8:$X8/'实盘净值数据(iFinD公式)'!$B$5:$X$5,'实盘净值数据(iFinD公式)'!$B9:$X9/'实盘净值数据(iFinD公式)'!$B8:$X8)/SUMPRODUCT(实盘持仓配置!$B$5:$X$5,'实盘净值数据(iFinD公式)'!$B8:$X8/'实盘净值数据(iFinD公式)'!$B$5:$X$5))*(1-实盘持仓配置!$Z$5)^(('实盘净值数据(iFinD公式)'!$A9-'实盘净值数据(iFinD公式)'!$A8)/365)-1)</f>
        <v>3.2924342882554747E-2</v>
      </c>
      <c r="G9" s="50">
        <f>IF(E9="","",E9/MAX(E$5:E9)-1)</f>
        <v>0</v>
      </c>
      <c r="H9" s="112">
        <f>IF(OR((ROW()-1)&lt;7,'实盘净值数据(iFinD公式)'!$A9="",'实盘净值数据(iFinD公式)'!$B9=""),"",SUMPRODUCT(实盘持仓配置!$B$6:$X$6,'实盘净值数据(iFinD公式)'!$B9:$X9/'实盘净值数据(iFinD公式)'!$B$7:$X$7)*(1-实盘持仓配置!$Z$6)^(('实盘净值数据(iFinD公式)'!$A9-'实盘净值数据(iFinD公式)'!$A$7)/365))</f>
        <v>1.0741076445723305</v>
      </c>
      <c r="I9" s="50">
        <f>IF(OR(H8="",'实盘净值数据(iFinD公式)'!$A9="",'实盘净值数据(iFinD公式)'!$B9=""),"",(SUMPRODUCT(实盘持仓配置!$B$6:$X$6,'实盘净值数据(iFinD公式)'!$B8:$X8/'实盘净值数据(iFinD公式)'!$B$7:$X$7,'实盘净值数据(iFinD公式)'!$B9:$X9/'实盘净值数据(iFinD公式)'!$B8:$X8)/SUMPRODUCT(实盘持仓配置!$B$6:$X$6,'实盘净值数据(iFinD公式)'!$B8:$X8/'实盘净值数据(iFinD公式)'!$B$7:$X$7))*(1-实盘持仓配置!$Z$6)^(('实盘净值数据(iFinD公式)'!$A9-'实盘净值数据(iFinD公式)'!$A8)/365)-1)</f>
        <v>3.3587934702982158E-2</v>
      </c>
      <c r="J9" s="50">
        <f>IF(H9="","",H9/MAX(H$5:H9)-1)</f>
        <v>0</v>
      </c>
      <c r="K9" s="112">
        <f>IF(OR((ROW()-1)&lt;8,'实盘净值数据(iFinD公式)'!$A9="",'实盘净值数据(iFinD公式)'!$B9=""),"",SUMPRODUCT(实盘持仓配置!$B$7:$X$7,'实盘净值数据(iFinD公式)'!$B9:$X9/'实盘净值数据(iFinD公式)'!$B$8:$X$8)*(1-实盘持仓配置!$Z$7)^(('实盘净值数据(iFinD公式)'!$A9-'实盘净值数据(iFinD公式)'!$A$8)/365))</f>
        <v>1.0014141946107082</v>
      </c>
      <c r="L9" s="50">
        <f>IF(OR(K8="",'实盘净值数据(iFinD公式)'!$A9="",'实盘净值数据(iFinD公式)'!$B9=""),"",(SUMPRODUCT(实盘持仓配置!$B$7:$X$7,'实盘净值数据(iFinD公式)'!$B8:$X8/'实盘净值数据(iFinD公式)'!$B$8:$X$8,'实盘净值数据(iFinD公式)'!$B9:$X9/'实盘净值数据(iFinD公式)'!$B8:$X8)/SUMPRODUCT(实盘持仓配置!$B$7:$X$7,'实盘净值数据(iFinD公式)'!$B8:$X8/'实盘净值数据(iFinD公式)'!$B$8:$X$8))*(1-实盘持仓配置!$Z$7)^(('实盘净值数据(iFinD公式)'!$A9-'实盘净值数据(iFinD公式)'!$A8)/365)-1)</f>
        <v>1.4141946107082415E-3</v>
      </c>
      <c r="M9" s="50">
        <f>IF(K9="","",K9/MAX(K$5:K9)-1)</f>
        <v>0</v>
      </c>
      <c r="N9" s="112">
        <f>IF(OR((ROW()-1)&lt;5,'实盘净值数据(iFinD公式)'!$A9="",'实盘净值数据(iFinD公式)'!$B9=""),"",SUMPRODUCT(实盘持仓配置!$B$8:$X$8,'实盘净值数据(iFinD公式)'!$B9:$X9/'实盘净值数据(iFinD公式)'!$B$5:$X$5)*(1-实盘持仓配置!$Z$8)^(('实盘净值数据(iFinD公式)'!$A9-'实盘净值数据(iFinD公式)'!$A$5)/365))</f>
        <v>1.0012779820956512</v>
      </c>
      <c r="O9" s="50">
        <f>IF(OR(N8="",'实盘净值数据(iFinD公式)'!$A9="",'实盘净值数据(iFinD公式)'!$B9=""),"",(SUMPRODUCT(实盘持仓配置!$B$8:$X$8,'实盘净值数据(iFinD公式)'!$B8:$X8/'实盘净值数据(iFinD公式)'!$B$5:$X$5,'实盘净值数据(iFinD公式)'!$B9:$X9/'实盘净值数据(iFinD公式)'!$B8:$X8)/SUMPRODUCT(实盘持仓配置!$B$8:$X$8,'实盘净值数据(iFinD公式)'!$B8:$X8/'实盘净值数据(iFinD公式)'!$B$5:$X$5))*(1-实盘持仓配置!$Z$8)^(('实盘净值数据(iFinD公式)'!$A9-'实盘净值数据(iFinD公式)'!$A8)/365)-1)</f>
        <v>1.5077591788150713E-3</v>
      </c>
      <c r="P9" s="50">
        <f>IF(N9="","",N9/MAX(N$5:N9)-1)</f>
        <v>0</v>
      </c>
      <c r="Q9" s="112">
        <f>IF(OR((ROW()-1)&lt;8,'实盘净值数据(iFinD公式)'!$A9="",'实盘净值数据(iFinD公式)'!$B9=""),"",SUMPRODUCT(实盘持仓配置!$B$9:$X$9,'实盘净值数据(iFinD公式)'!$B9:$X9/'实盘净值数据(iFinD公式)'!$B$8:$X$8)*(1-实盘持仓配置!$Z$9)^(('实盘净值数据(iFinD公式)'!$A9-'实盘净值数据(iFinD公式)'!$A$8)/365))</f>
        <v>1.0039732082294281</v>
      </c>
      <c r="R9" s="50">
        <f>IF(OR(Q8="",'实盘净值数据(iFinD公式)'!$A9="",'实盘净值数据(iFinD公式)'!$B9=""),"",(SUMPRODUCT(实盘持仓配置!$B$9:$X$9,'实盘净值数据(iFinD公式)'!$B8:$X8/'实盘净值数据(iFinD公式)'!$B$8:$X$8,'实盘净值数据(iFinD公式)'!$B9:$X9/'实盘净值数据(iFinD公式)'!$B8:$X8)/SUMPRODUCT(实盘持仓配置!$B$9:$X$9,'实盘净值数据(iFinD公式)'!$B8:$X8/'实盘净值数据(iFinD公式)'!$B$8:$X$8))*(1-实盘持仓配置!$Z$9)^(('实盘净值数据(iFinD公式)'!$A9-'实盘净值数据(iFinD公式)'!$A8)/365)-1)</f>
        <v>3.973208229427927E-3</v>
      </c>
      <c r="S9" s="50">
        <f>IF(Q9="","",Q9/MAX(Q$5:Q9)-1)</f>
        <v>0</v>
      </c>
      <c r="U9" s="51"/>
      <c r="V9" s="114"/>
    </row>
    <row r="10" spans="1:22">
      <c r="A10" s="113">
        <f>IF('实盘净值数据(iFinD公式)'!A10="","",'实盘净值数据(iFinD公式)'!A10)</f>
        <v>46199</v>
      </c>
      <c r="B10" s="112">
        <f>IF(OR((ROW()-1)&lt;6,'实盘净值数据(iFinD公式)'!$A10="",'实盘净值数据(iFinD公式)'!$B10=""),"",SUMPRODUCT(实盘持仓配置!$B$4:$X$4,'实盘净值数据(iFinD公式)'!$B10:$X10/'实盘净值数据(iFinD公式)'!$B$6:$X$6)*(1-实盘持仓配置!$Z$4)^(('实盘净值数据(iFinD公式)'!$A10-'实盘净值数据(iFinD公式)'!$A$6)/365))</f>
        <v>1.0194457362958647</v>
      </c>
      <c r="C10" s="50">
        <f>IF(OR(B9="",'实盘净值数据(iFinD公式)'!$A10="",'实盘净值数据(iFinD公式)'!$B10=""),"",(SUMPRODUCT(实盘持仓配置!$B$4:$X$4,'实盘净值数据(iFinD公式)'!$B9:$X9/'实盘净值数据(iFinD公式)'!$B$6:$X$6,'实盘净值数据(iFinD公式)'!$B10:$X10/'实盘净值数据(iFinD公式)'!$B9:$X9)/SUMPRODUCT(实盘持仓配置!$B$4:$X$4,'实盘净值数据(iFinD公式)'!$B9:$X9/'实盘净值数据(iFinD公式)'!$B$6:$X$6))*(1-实盘持仓配置!$Z$4)^(('实盘净值数据(iFinD公式)'!$A10-'实盘净值数据(iFinD公式)'!$A9)/365)-1)</f>
        <v>-2.8584129290150306E-2</v>
      </c>
      <c r="D10" s="50">
        <f>IF(B10="","",B10/MAX(B$5:B10)-1)</f>
        <v>-2.8584129290150528E-2</v>
      </c>
      <c r="E10" s="112">
        <f>IF(OR((ROW()-1)&lt;5,'实盘净值数据(iFinD公式)'!$A10="",'实盘净值数据(iFinD公式)'!$B10=""),"",SUMPRODUCT(实盘持仓配置!$B$5:$X$5,'实盘净值数据(iFinD公式)'!$B10:$X10/'实盘净值数据(iFinD公式)'!$B$5:$X$5)*(1-实盘持仓配置!$Z$5)^(('实盘净值数据(iFinD公式)'!$A10-'实盘净值数据(iFinD公式)'!$A$5)/365))</f>
        <v>1.0431451846332738</v>
      </c>
      <c r="F10" s="50">
        <f>IF(OR(E9="",'实盘净值数据(iFinD公式)'!$A10="",'实盘净值数据(iFinD公式)'!$B10=""),"",(SUMPRODUCT(实盘持仓配置!$B$5:$X$5,'实盘净值数据(iFinD公式)'!$B9:$X9/'实盘净值数据(iFinD公式)'!$B$5:$X$5,'实盘净值数据(iFinD公式)'!$B10:$X10/'实盘净值数据(iFinD公式)'!$B9:$X9)/SUMPRODUCT(实盘持仓配置!$B$5:$X$5,'实盘净值数据(iFinD公式)'!$B9:$X9/'实盘净值数据(iFinD公式)'!$B$5:$X$5))*(1-实盘持仓配置!$Z$5)^(('实盘净值数据(iFinD公式)'!$A10-'实盘净值数据(iFinD公式)'!$A9)/365)-1)</f>
        <v>-2.8678714678834649E-2</v>
      </c>
      <c r="G10" s="50">
        <f>IF(E10="","",E10/MAX(E$5:E10)-1)</f>
        <v>-2.8678714678834427E-2</v>
      </c>
      <c r="H10" s="112">
        <f>IF(OR((ROW()-1)&lt;7,'实盘净值数据(iFinD公式)'!$A10="",'实盘净值数据(iFinD公式)'!$B10=""),"",SUMPRODUCT(实盘持仓配置!$B$6:$X$6,'实盘净值数据(iFinD公式)'!$B10:$X10/'实盘净值数据(iFinD公式)'!$B$7:$X$7)*(1-实盘持仓配置!$Z$6)^(('实盘净值数据(iFinD公式)'!$A10-'实盘净值数据(iFinD公式)'!$A$7)/365))</f>
        <v>1.050645670240649</v>
      </c>
      <c r="I10" s="50">
        <f>IF(OR(H9="",'实盘净值数据(iFinD公式)'!$A10="",'实盘净值数据(iFinD公式)'!$B10=""),"",(SUMPRODUCT(实盘持仓配置!$B$6:$X$6,'实盘净值数据(iFinD公式)'!$B9:$X9/'实盘净值数据(iFinD公式)'!$B$7:$X$7,'实盘净值数据(iFinD公式)'!$B10:$X10/'实盘净值数据(iFinD公式)'!$B9:$X9)/SUMPRODUCT(实盘持仓配置!$B$6:$X$6,'实盘净值数据(iFinD公式)'!$B9:$X9/'实盘净值数据(iFinD公式)'!$B$7:$X$7))*(1-实盘持仓配置!$Z$6)^(('实盘净值数据(iFinD公式)'!$A10-'实盘净值数据(iFinD公式)'!$A9)/365)-1)</f>
        <v>-2.1843224420047047E-2</v>
      </c>
      <c r="J10" s="50">
        <f>IF(H10="","",H10/MAX(H$5:H10)-1)</f>
        <v>-2.1843224420047047E-2</v>
      </c>
      <c r="K10" s="112">
        <f>IF(OR((ROW()-1)&lt;8,'实盘净值数据(iFinD公式)'!$A10="",'实盘净值数据(iFinD公式)'!$B10=""),"",SUMPRODUCT(实盘持仓配置!$B$7:$X$7,'实盘净值数据(iFinD公式)'!$B10:$X10/'实盘净值数据(iFinD公式)'!$B$8:$X$8)*(1-实盘持仓配置!$Z$7)^(('实盘净值数据(iFinD公式)'!$A10-'实盘净值数据(iFinD公式)'!$A$8)/365))</f>
        <v>0.999482233533317</v>
      </c>
      <c r="L10" s="50">
        <f>IF(OR(K9="",'实盘净值数据(iFinD公式)'!$A10="",'实盘净值数据(iFinD公式)'!$B10=""),"",(SUMPRODUCT(实盘持仓配置!$B$7:$X$7,'实盘净值数据(iFinD公式)'!$B9:$X9/'实盘净值数据(iFinD公式)'!$B$8:$X$8,'实盘净值数据(iFinD公式)'!$B10:$X10/'实盘净值数据(iFinD公式)'!$B9:$X9)/SUMPRODUCT(实盘持仓配置!$B$7:$X$7,'实盘净值数据(iFinD公式)'!$B9:$X9/'实盘净值数据(iFinD公式)'!$B$8:$X$8))*(1-实盘持仓配置!$Z$7)^(('实盘净值数据(iFinD公式)'!$A10-'实盘净值数据(iFinD公式)'!$A9)/365)-1)</f>
        <v>-1.9292327668097853E-3</v>
      </c>
      <c r="M10" s="50">
        <f>IF(K10="","",K10/MAX(K$5:K10)-1)</f>
        <v>-1.9292327668095632E-3</v>
      </c>
      <c r="N10" s="112">
        <f>IF(OR((ROW()-1)&lt;5,'实盘净值数据(iFinD公式)'!$A10="",'实盘净值数据(iFinD公式)'!$B10=""),"",SUMPRODUCT(实盘持仓配置!$B$8:$X$8,'实盘净值数据(iFinD公式)'!$B10:$X10/'实盘净值数据(iFinD公式)'!$B$5:$X$5)*(1-实盘持仓配置!$Z$8)^(('实盘净值数据(iFinD公式)'!$A10-'实盘净值数据(iFinD公式)'!$A$5)/365))</f>
        <v>0.99892980064356218</v>
      </c>
      <c r="O10" s="50">
        <f>IF(OR(N9="",'实盘净值数据(iFinD公式)'!$A10="",'实盘净值数据(iFinD公式)'!$B10=""),"",(SUMPRODUCT(实盘持仓配置!$B$8:$X$8,'实盘净值数据(iFinD公式)'!$B9:$X9/'实盘净值数据(iFinD公式)'!$B$5:$X$5,'实盘净值数据(iFinD公式)'!$B10:$X10/'实盘净值数据(iFinD公式)'!$B9:$X9)/SUMPRODUCT(实盘持仓配置!$B$8:$X$8,'实盘净值数据(iFinD公式)'!$B9:$X9/'实盘净值数据(iFinD公式)'!$B$5:$X$5))*(1-实盘持仓配置!$Z$8)^(('实盘净值数据(iFinD公式)'!$A10-'实盘净值数据(iFinD公式)'!$A9)/365)-1)</f>
        <v>-2.3451843484805224E-3</v>
      </c>
      <c r="P10" s="50">
        <f>IF(N10="","",N10/MAX(N$5:N10)-1)</f>
        <v>-2.3451843484806334E-3</v>
      </c>
      <c r="Q10" s="112">
        <f>IF(OR((ROW()-1)&lt;8,'实盘净值数据(iFinD公式)'!$A10="",'实盘净值数据(iFinD公式)'!$B10=""),"",SUMPRODUCT(实盘持仓配置!$B$9:$X$9,'实盘净值数据(iFinD公式)'!$B10:$X10/'实盘净值数据(iFinD公式)'!$B$8:$X$8)*(1-实盘持仓配置!$Z$9)^(('实盘净值数据(iFinD公式)'!$A10-'实盘净值数据(iFinD公式)'!$A$8)/365))</f>
        <v>0.99720804304745392</v>
      </c>
      <c r="R10" s="50">
        <f>IF(OR(Q9="",'实盘净值数据(iFinD公式)'!$A10="",'实盘净值数据(iFinD公式)'!$B10=""),"",(SUMPRODUCT(实盘持仓配置!$B$9:$X$9,'实盘净值数据(iFinD公式)'!$B9:$X9/'实盘净值数据(iFinD公式)'!$B$8:$X$8,'实盘净值数据(iFinD公式)'!$B10:$X10/'实盘净值数据(iFinD公式)'!$B9:$X9)/SUMPRODUCT(实盘持仓配置!$B$9:$X$9,'实盘净值数据(iFinD公式)'!$B9:$X9/'实盘净值数据(iFinD公式)'!$B$8:$X$8))*(1-实盘持仓配置!$Z$9)^(('实盘净值数据(iFinD公式)'!$A10-'实盘净值数据(iFinD公式)'!$A9)/365)-1)</f>
        <v>-6.7383921468432417E-3</v>
      </c>
      <c r="S10" s="50">
        <f>IF(Q10="","",Q10/MAX(Q$5:Q10)-1)</f>
        <v>-6.7383921468432417E-3</v>
      </c>
      <c r="U10" s="51"/>
      <c r="V10" s="114"/>
    </row>
    <row r="11" spans="1:22">
      <c r="A11" s="113">
        <f>IF('实盘净值数据(iFinD公式)'!A11="","",'实盘净值数据(iFinD公式)'!A11)</f>
        <v>46202</v>
      </c>
      <c r="B11" s="112">
        <f>IF(OR((ROW()-1)&lt;6,'实盘净值数据(iFinD公式)'!$A11="",'实盘净值数据(iFinD公式)'!$B11=""),"",SUMPRODUCT(实盘持仓配置!$B$4:$X$4,'实盘净值数据(iFinD公式)'!$B11:$X11/'实盘净值数据(iFinD公式)'!$B$6:$X$6)*(1-实盘持仓配置!$Z$4)^(('实盘净值数据(iFinD公式)'!$A11-'实盘净值数据(iFinD公式)'!$A$6)/365))</f>
        <v>1.0294386648056562</v>
      </c>
      <c r="C11" s="50">
        <f>IF(OR(B10="",'实盘净值数据(iFinD公式)'!$A11="",'实盘净值数据(iFinD公式)'!$B11=""),"",(SUMPRODUCT(实盘持仓配置!$B$4:$X$4,'实盘净值数据(iFinD公式)'!$B10:$X10/'实盘净值数据(iFinD公式)'!$B$6:$X$6,'实盘净值数据(iFinD公式)'!$B11:$X11/'实盘净值数据(iFinD公式)'!$B10:$X10)/SUMPRODUCT(实盘持仓配置!$B$4:$X$4,'实盘净值数据(iFinD公式)'!$B10:$X10/'实盘净值数据(iFinD公式)'!$B$6:$X$6))*(1-实盘持仓配置!$Z$4)^(('实盘净值数据(iFinD公式)'!$A11-'实盘净值数据(iFinD公式)'!$A10)/365)-1)</f>
        <v>9.8023152719246553E-3</v>
      </c>
      <c r="D11" s="50">
        <f>IF(B11="","",B11/MAX(B$5:B11)-1)</f>
        <v>-1.906200466530128E-2</v>
      </c>
      <c r="E11" s="112">
        <f>IF(OR((ROW()-1)&lt;5,'实盘净值数据(iFinD公式)'!$A11="",'实盘净值数据(iFinD公式)'!$B11=""),"",SUMPRODUCT(实盘持仓配置!$B$5:$X$5,'实盘净值数据(iFinD公式)'!$B11:$X11/'实盘净值数据(iFinD公式)'!$B$5:$X$5)*(1-实盘持仓配置!$Z$5)^(('实盘净值数据(iFinD公式)'!$A11-'实盘净值数据(iFinD公式)'!$A$5)/365))</f>
        <v>1.0532583926143868</v>
      </c>
      <c r="F11" s="50">
        <f>IF(OR(E10="",'实盘净值数据(iFinD公式)'!$A11="",'实盘净值数据(iFinD公式)'!$B11=""),"",(SUMPRODUCT(实盘持仓配置!$B$5:$X$5,'实盘净值数据(iFinD公式)'!$B10:$X10/'实盘净值数据(iFinD公式)'!$B$5:$X$5,'实盘净值数据(iFinD公式)'!$B11:$X11/'实盘净值数据(iFinD公式)'!$B10:$X10)/SUMPRODUCT(实盘持仓配置!$B$5:$X$5,'实盘净值数据(iFinD公式)'!$B10:$X10/'实盘净值数据(iFinD公式)'!$B$5:$X$5))*(1-实盘持仓配置!$Z$5)^(('实盘净值数据(iFinD公式)'!$A11-'实盘净值数据(iFinD公式)'!$A10)/365)-1)</f>
        <v>9.6949189145405512E-3</v>
      </c>
      <c r="G11" s="50">
        <f>IF(E11="","",E11/MAX(E$5:E11)-1)</f>
        <v>-1.9261833577678411E-2</v>
      </c>
      <c r="H11" s="112">
        <f>IF(OR((ROW()-1)&lt;7,'实盘净值数据(iFinD公式)'!$A11="",'实盘净值数据(iFinD公式)'!$B11=""),"",SUMPRODUCT(实盘持仓配置!$B$6:$X$6,'实盘净值数据(iFinD公式)'!$B11:$X11/'实盘净值数据(iFinD公式)'!$B$7:$X$7)*(1-实盘持仓配置!$Z$6)^(('实盘净值数据(iFinD公式)'!$A11-'实盘净值数据(iFinD公式)'!$A$7)/365))</f>
        <v>1.0685098764526948</v>
      </c>
      <c r="I11" s="50">
        <f>IF(OR(H10="",'实盘净值数据(iFinD公式)'!$A11="",'实盘净值数据(iFinD公式)'!$B11=""),"",(SUMPRODUCT(实盘持仓配置!$B$6:$X$6,'实盘净值数据(iFinD公式)'!$B10:$X10/'实盘净值数据(iFinD公式)'!$B$7:$X$7,'实盘净值数据(iFinD公式)'!$B11:$X11/'实盘净值数据(iFinD公式)'!$B10:$X10)/SUMPRODUCT(实盘持仓配置!$B$6:$X$6,'实盘净值数据(iFinD公式)'!$B10:$X10/'实盘净值数据(iFinD公式)'!$B$7:$X$7))*(1-实盘持仓配置!$Z$6)^(('实盘净值数据(iFinD公式)'!$A11-'实盘净值数据(iFinD公式)'!$A10)/365)-1)</f>
        <v>1.7003074126745288E-2</v>
      </c>
      <c r="J11" s="50">
        <f>IF(H11="","",H11/MAX(H$5:H11)-1)</f>
        <v>-5.2115522572828699E-3</v>
      </c>
      <c r="K11" s="112">
        <f>IF(OR((ROW()-1)&lt;8,'实盘净值数据(iFinD公式)'!$A11="",'实盘净值数据(iFinD公式)'!$B11=""),"",SUMPRODUCT(实盘持仓配置!$B$7:$X$7,'实盘净值数据(iFinD公式)'!$B11:$X11/'实盘净值数据(iFinD公式)'!$B$8:$X$8)*(1-实盘持仓配置!$Z$7)^(('实盘净值数据(iFinD公式)'!$A11-'实盘净值数据(iFinD公式)'!$A$8)/365))</f>
        <v>1.0013813603515529</v>
      </c>
      <c r="L11" s="50">
        <f>IF(OR(K10="",'实盘净值数据(iFinD公式)'!$A11="",'实盘净值数据(iFinD公式)'!$B11=""),"",(SUMPRODUCT(实盘持仓配置!$B$7:$X$7,'实盘净值数据(iFinD公式)'!$B10:$X10/'实盘净值数据(iFinD公式)'!$B$8:$X$8,'实盘净值数据(iFinD公式)'!$B11:$X11/'实盘净值数据(iFinD公式)'!$B10:$X10)/SUMPRODUCT(实盘持仓配置!$B$7:$X$7,'实盘净值数据(iFinD公式)'!$B10:$X10/'实盘净值数据(iFinD公式)'!$B$8:$X$8))*(1-实盘持仓配置!$Z$7)^(('实盘净值数据(iFinD公式)'!$A11-'实盘净值数据(iFinD公式)'!$A10)/365)-1)</f>
        <v>1.9001106318041749E-3</v>
      </c>
      <c r="M11" s="50">
        <f>IF(K11="","",K11/MAX(K$5:K11)-1)</f>
        <v>-3.2787890697050237E-5</v>
      </c>
      <c r="N11" s="112">
        <f>IF(OR((ROW()-1)&lt;5,'实盘净值数据(iFinD公式)'!$A11="",'实盘净值数据(iFinD公式)'!$B11=""),"",SUMPRODUCT(实盘持仓配置!$B$8:$X$8,'实盘净值数据(iFinD公式)'!$B11:$X11/'实盘净值数据(iFinD公式)'!$B$5:$X$5)*(1-实盘持仓配置!$Z$8)^(('实盘净值数据(iFinD公式)'!$A11-'实盘净值数据(iFinD公式)'!$A$5)/365))</f>
        <v>1.0005210497548791</v>
      </c>
      <c r="O11" s="50">
        <f>IF(OR(N10="",'实盘净值数据(iFinD公式)'!$A11="",'实盘净值数据(iFinD公式)'!$B11=""),"",(SUMPRODUCT(实盘持仓配置!$B$8:$X$8,'实盘净值数据(iFinD公式)'!$B10:$X10/'实盘净值数据(iFinD公式)'!$B$5:$X$5,'实盘净值数据(iFinD公式)'!$B11:$X11/'实盘净值数据(iFinD公式)'!$B10:$X10)/SUMPRODUCT(实盘持仓配置!$B$8:$X$8,'实盘净值数据(iFinD公式)'!$B10:$X10/'实盘净值数据(iFinD公式)'!$B$5:$X$5))*(1-实盘持仓配置!$Z$8)^(('实盘净值数据(iFinD公式)'!$A11-'实盘净值数据(iFinD公式)'!$A10)/365)-1)</f>
        <v>1.5929538895442796E-3</v>
      </c>
      <c r="P11" s="50">
        <f>IF(N11="","",N11/MAX(N$5:N11)-1)</f>
        <v>-7.5596622946594305E-4</v>
      </c>
      <c r="Q11" s="112">
        <f>IF(OR((ROW()-1)&lt;8,'实盘净值数据(iFinD公式)'!$A11="",'实盘净值数据(iFinD公式)'!$B11=""),"",SUMPRODUCT(实盘持仓配置!$B$9:$X$9,'实盘净值数据(iFinD公式)'!$B11:$X11/'实盘净值数据(iFinD公式)'!$B$8:$X$8)*(1-实盘持仓配置!$Z$9)^(('实盘净值数据(iFinD公式)'!$A11-'实盘净值数据(iFinD公式)'!$A$8)/365))</f>
        <v>1.0009806053834998</v>
      </c>
      <c r="R11" s="50">
        <f>IF(OR(Q10="",'实盘净值数据(iFinD公式)'!$A11="",'实盘净值数据(iFinD公式)'!$B11=""),"",(SUMPRODUCT(实盘持仓配置!$B$9:$X$9,'实盘净值数据(iFinD公式)'!$B10:$X10/'实盘净值数据(iFinD公式)'!$B$8:$X$8,'实盘净值数据(iFinD公式)'!$B11:$X11/'实盘净值数据(iFinD公式)'!$B10:$X10)/SUMPRODUCT(实盘持仓配置!$B$9:$X$9,'实盘净值数据(iFinD公式)'!$B10:$X10/'实盘净值数据(iFinD公式)'!$B$8:$X$8))*(1-实盘持仓配置!$Z$9)^(('实盘净值数据(iFinD公式)'!$A11-'实盘净值数据(iFinD公式)'!$A10)/365)-1)</f>
        <v>3.7831246572348487E-3</v>
      </c>
      <c r="S11" s="50">
        <f>IF(Q11="","",Q11/MAX(Q$5:Q11)-1)</f>
        <v>-2.9807596670892167E-3</v>
      </c>
      <c r="U11" s="51"/>
      <c r="V11" s="114"/>
    </row>
    <row r="12" spans="1:22">
      <c r="A12" s="113">
        <f>IF('实盘净值数据(iFinD公式)'!A12="","",'实盘净值数据(iFinD公式)'!A12)</f>
        <v>46203</v>
      </c>
      <c r="B12" s="112">
        <f>IF(OR((ROW()-1)&lt;6,'实盘净值数据(iFinD公式)'!$A12="",'实盘净值数据(iFinD公式)'!$B12=""),"",SUMPRODUCT(实盘持仓配置!$B$4:$X$4,'实盘净值数据(iFinD公式)'!$B12:$X12/'实盘净值数据(iFinD公式)'!$B$6:$X$6)*(1-实盘持仓配置!$Z$4)^(('实盘净值数据(iFinD公式)'!$A12-'实盘净值数据(iFinD公式)'!$A$6)/365))</f>
        <v>1.0748479117145109</v>
      </c>
      <c r="C12" s="50">
        <f>IF(OR(B11="",'实盘净值数据(iFinD公式)'!$A12="",'实盘净值数据(iFinD公式)'!$B12=""),"",(SUMPRODUCT(实盘持仓配置!$B$4:$X$4,'实盘净值数据(iFinD公式)'!$B11:$X11/'实盘净值数据(iFinD公式)'!$B$6:$X$6,'实盘净值数据(iFinD公式)'!$B12:$X12/'实盘净值数据(iFinD公式)'!$B11:$X11)/SUMPRODUCT(实盘持仓配置!$B$4:$X$4,'实盘净值数据(iFinD公式)'!$B11:$X11/'实盘净值数据(iFinD公式)'!$B$6:$X$6))*(1-实盘持仓配置!$Z$4)^(('实盘净值数据(iFinD公式)'!$A12-'实盘净值数据(iFinD公式)'!$A11)/365)-1)</f>
        <v>4.4110687174769625E-2</v>
      </c>
      <c r="D12" s="50">
        <f>IF(B12="","",B12/MAX(B$5:B12)-1)</f>
        <v>0</v>
      </c>
      <c r="E12" s="112">
        <f>IF(OR((ROW()-1)&lt;5,'实盘净值数据(iFinD公式)'!$A12="",'实盘净值数据(iFinD公式)'!$B12=""),"",SUMPRODUCT(实盘持仓配置!$B$5:$X$5,'实盘净值数据(iFinD公式)'!$B12:$X12/'实盘净值数据(iFinD公式)'!$B$5:$X$5)*(1-实盘持仓配置!$Z$5)^(('实盘净值数据(iFinD公式)'!$A12-'实盘净值数据(iFinD公式)'!$A$5)/365))</f>
        <v>1.0997368712958928</v>
      </c>
      <c r="F12" s="50">
        <f>IF(OR(E11="",'实盘净值数据(iFinD公式)'!$A12="",'实盘净值数据(iFinD公式)'!$B12=""),"",(SUMPRODUCT(实盘持仓配置!$B$5:$X$5,'实盘净值数据(iFinD公式)'!$B11:$X11/'实盘净值数据(iFinD公式)'!$B$5:$X$5,'实盘净值数据(iFinD公式)'!$B12:$X12/'实盘净值数据(iFinD公式)'!$B11:$X11)/SUMPRODUCT(实盘持仓配置!$B$5:$X$5,'实盘净值数据(iFinD公式)'!$B11:$X11/'实盘净值数据(iFinD公式)'!$B$5:$X$5))*(1-实盘持仓配置!$Z$5)^(('实盘净值数据(iFinD公式)'!$A12-'实盘净值数据(iFinD公式)'!$A11)/365)-1)</f>
        <v>4.412827755033355E-2</v>
      </c>
      <c r="G12" s="50">
        <f>IF(E12="","",E12/MAX(E$5:E12)-1)</f>
        <v>0</v>
      </c>
      <c r="H12" s="112">
        <f>IF(OR((ROW()-1)&lt;7,'实盘净值数据(iFinD公式)'!$A12="",'实盘净值数据(iFinD公式)'!$B12=""),"",SUMPRODUCT(实盘持仓配置!$B$6:$X$6,'实盘净值数据(iFinD公式)'!$B12:$X12/'实盘净值数据(iFinD公式)'!$B$7:$X$7)*(1-实盘持仓配置!$Z$6)^(('实盘净值数据(iFinD公式)'!$A12-'实盘净值数据(iFinD公式)'!$A$7)/365))</f>
        <v>1.1117066956825354</v>
      </c>
      <c r="I12" s="50">
        <f>IF(OR(H11="",'实盘净值数据(iFinD公式)'!$A12="",'实盘净值数据(iFinD公式)'!$B12=""),"",(SUMPRODUCT(实盘持仓配置!$B$6:$X$6,'实盘净值数据(iFinD公式)'!$B11:$X11/'实盘净值数据(iFinD公式)'!$B$7:$X$7,'实盘净值数据(iFinD公式)'!$B12:$X12/'实盘净值数据(iFinD公式)'!$B11:$X11)/SUMPRODUCT(实盘持仓配置!$B$6:$X$6,'实盘净值数据(iFinD公式)'!$B11:$X11/'实盘净值数据(iFinD公式)'!$B$7:$X$7))*(1-实盘持仓配置!$Z$6)^(('实盘净值数据(iFinD公式)'!$A12-'实盘净值数据(iFinD公式)'!$A11)/365)-1)</f>
        <v>4.042715952542042E-2</v>
      </c>
      <c r="J12" s="50">
        <f>IF(H12="","",H12/MAX(H$5:H12)-1)</f>
        <v>0</v>
      </c>
      <c r="K12" s="112">
        <f>IF(OR((ROW()-1)&lt;8,'实盘净值数据(iFinD公式)'!$A12="",'实盘净值数据(iFinD公式)'!$B12=""),"",SUMPRODUCT(实盘持仓配置!$B$7:$X$7,'实盘净值数据(iFinD公式)'!$B12:$X12/'实盘净值数据(iFinD公式)'!$B$8:$X$8)*(1-实盘持仓配置!$Z$7)^(('实盘净值数据(iFinD公式)'!$A12-'实盘净值数据(iFinD公式)'!$A$8)/365))</f>
        <v>1.0032719936317975</v>
      </c>
      <c r="L12" s="50">
        <f>IF(OR(K11="",'实盘净值数据(iFinD公式)'!$A12="",'实盘净值数据(iFinD公式)'!$B12=""),"",(SUMPRODUCT(实盘持仓配置!$B$7:$X$7,'实盘净值数据(iFinD公式)'!$B11:$X11/'实盘净值数据(iFinD公式)'!$B$8:$X$8,'实盘净值数据(iFinD公式)'!$B12:$X12/'实盘净值数据(iFinD公式)'!$B11:$X11)/SUMPRODUCT(实盘持仓配置!$B$7:$X$7,'实盘净值数据(iFinD公式)'!$B11:$X11/'实盘净值数据(iFinD公式)'!$B$8:$X$8))*(1-实盘持仓配置!$Z$7)^(('实盘净值数据(iFinD公式)'!$A12-'实盘净值数据(iFinD公式)'!$A11)/365)-1)</f>
        <v>1.888025237039237E-3</v>
      </c>
      <c r="M12" s="50">
        <f>IF(K12="","",K12/MAX(K$5:K12)-1)</f>
        <v>0</v>
      </c>
      <c r="N12" s="112">
        <f>IF(OR((ROW()-1)&lt;5,'实盘净值数据(iFinD公式)'!$A12="",'实盘净值数据(iFinD公式)'!$B12=""),"",SUMPRODUCT(实盘持仓配置!$B$8:$X$8,'实盘净值数据(iFinD公式)'!$B12:$X12/'实盘净值数据(iFinD公式)'!$B$5:$X$5)*(1-实盘持仓配置!$Z$8)^(('实盘净值数据(iFinD公式)'!$A12-'实盘净值数据(iFinD公式)'!$A$5)/365))</f>
        <v>1.0027101391424882</v>
      </c>
      <c r="O12" s="50">
        <f>IF(OR(N11="",'实盘净值数据(iFinD公式)'!$A12="",'实盘净值数据(iFinD公式)'!$B12=""),"",(SUMPRODUCT(实盘持仓配置!$B$8:$X$8,'实盘净值数据(iFinD公式)'!$B11:$X11/'实盘净值数据(iFinD公式)'!$B$5:$X$5,'实盘净值数据(iFinD公式)'!$B12:$X12/'实盘净值数据(iFinD公式)'!$B11:$X11)/SUMPRODUCT(实盘持仓配置!$B$8:$X$8,'实盘净值数据(iFinD公式)'!$B11:$X11/'实盘净值数据(iFinD公式)'!$B$5:$X$5))*(1-实盘持仓配置!$Z$8)^(('实盘净值数据(iFinD公式)'!$A12-'实盘净值数据(iFinD公式)'!$A11)/365)-1)</f>
        <v>2.1879493571328457E-3</v>
      </c>
      <c r="P12" s="50">
        <f>IF(N12="","",N12/MAX(N$5:N12)-1)</f>
        <v>0</v>
      </c>
      <c r="Q12" s="112">
        <f>IF(OR((ROW()-1)&lt;8,'实盘净值数据(iFinD公式)'!$A12="",'实盘净值数据(iFinD公式)'!$B12=""),"",SUMPRODUCT(实盘持仓配置!$B$9:$X$9,'实盘净值数据(iFinD公式)'!$B12:$X12/'实盘净值数据(iFinD公式)'!$B$8:$X$8)*(1-实盘持仓配置!$Z$9)^(('实盘净值数据(iFinD公式)'!$A12-'实盘净值数据(iFinD公式)'!$A$8)/365))</f>
        <v>1.0087618711402631</v>
      </c>
      <c r="R12" s="50">
        <f>IF(OR(Q11="",'实盘净值数据(iFinD公式)'!$A12="",'实盘净值数据(iFinD公式)'!$B12=""),"",(SUMPRODUCT(实盘持仓配置!$B$9:$X$9,'实盘净值数据(iFinD公式)'!$B11:$X11/'实盘净值数据(iFinD公式)'!$B$8:$X$8,'实盘净值数据(iFinD公式)'!$B12:$X12/'实盘净值数据(iFinD公式)'!$B11:$X11)/SUMPRODUCT(实盘持仓配置!$B$9:$X$9,'实盘净值数据(iFinD公式)'!$B11:$X11/'实盘净值数据(iFinD公式)'!$B$8:$X$8))*(1-实盘持仓配置!$Z$9)^(('实盘净值数据(iFinD公式)'!$A12-'实盘净值数据(iFinD公式)'!$A11)/365)-1)</f>
        <v>7.7736428807049229E-3</v>
      </c>
      <c r="S12" s="50">
        <f>IF(Q12="","",Q12/MAX(Q$5:Q12)-1)</f>
        <v>0</v>
      </c>
    </row>
    <row r="13" spans="1:22">
      <c r="A13" s="113">
        <f>IF('实盘净值数据(iFinD公式)'!A13="","",'实盘净值数据(iFinD公式)'!A13)</f>
        <v>46204</v>
      </c>
      <c r="B13" s="112">
        <f>IF(OR((ROW()-1)&lt;6,'实盘净值数据(iFinD公式)'!$A13="",'实盘净值数据(iFinD公式)'!$B13=""),"",SUMPRODUCT(实盘持仓配置!$B$4:$X$4,'实盘净值数据(iFinD公式)'!$B13:$X13/'实盘净值数据(iFinD公式)'!$B$6:$X$6)*(1-实盘持仓配置!$Z$4)^(('实盘净值数据(iFinD公式)'!$A13-'实盘净值数据(iFinD公式)'!$A$6)/365))</f>
        <v>1.0416673271387726</v>
      </c>
      <c r="C13" s="50">
        <f>IF(OR(B12="",'实盘净值数据(iFinD公式)'!$A13="",'实盘净值数据(iFinD公式)'!$B13=""),"",(SUMPRODUCT(实盘持仓配置!$B$4:$X$4,'实盘净值数据(iFinD公式)'!$B12:$X12/'实盘净值数据(iFinD公式)'!$B$6:$X$6,'实盘净值数据(iFinD公式)'!$B13:$X13/'实盘净值数据(iFinD公式)'!$B12:$X12)/SUMPRODUCT(实盘持仓配置!$B$4:$X$4,'实盘净值数据(iFinD公式)'!$B12:$X12/'实盘净值数据(iFinD公式)'!$B$6:$X$6))*(1-实盘持仓配置!$Z$4)^(('实盘净值数据(iFinD公式)'!$A13-'实盘净值数据(iFinD公式)'!$A12)/365)-1)</f>
        <v>-3.0870027483991924E-2</v>
      </c>
      <c r="D13" s="50">
        <f>IF(B13="","",B13/MAX(B$5:B13)-1)</f>
        <v>-3.0870027483991924E-2</v>
      </c>
      <c r="E13" s="112">
        <f>IF(OR((ROW()-1)&lt;5,'实盘净值数据(iFinD公式)'!$A13="",'实盘净值数据(iFinD公式)'!$B13=""),"",SUMPRODUCT(实盘持仓配置!$B$5:$X$5,'实盘净值数据(iFinD公式)'!$B13:$X13/'实盘净值数据(iFinD公式)'!$B$5:$X$5)*(1-实盘持仓配置!$Z$5)^(('实盘净值数据(iFinD公式)'!$A13-'实盘净值数据(iFinD公式)'!$A$5)/365))</f>
        <v>1.0657543280201871</v>
      </c>
      <c r="F13" s="50">
        <f>IF(OR(E12="",'实盘净值数据(iFinD公式)'!$A13="",'实盘净值数据(iFinD公式)'!$B13=""),"",(SUMPRODUCT(实盘持仓配置!$B$5:$X$5,'实盘净值数据(iFinD公式)'!$B12:$X12/'实盘净值数据(iFinD公式)'!$B$5:$X$5,'实盘净值数据(iFinD公式)'!$B13:$X13/'实盘净值数据(iFinD公式)'!$B12:$X12)/SUMPRODUCT(实盘持仓配置!$B$5:$X$5,'实盘净值数据(iFinD公式)'!$B12:$X12/'实盘净值数据(iFinD公式)'!$B$5:$X$5))*(1-实盘持仓配置!$Z$5)^(('实盘净值数据(iFinD公式)'!$A13-'实盘净值数据(iFinD公式)'!$A12)/365)-1)</f>
        <v>-3.0900612830832896E-2</v>
      </c>
      <c r="G13" s="50">
        <f>IF(E13="","",E13/MAX(E$5:E13)-1)</f>
        <v>-3.0900612830832785E-2</v>
      </c>
      <c r="H13" s="112">
        <f>IF(OR((ROW()-1)&lt;7,'实盘净值数据(iFinD公式)'!$A13="",'实盘净值数据(iFinD公式)'!$B13=""),"",SUMPRODUCT(实盘持仓配置!$B$6:$X$6,'实盘净值数据(iFinD公式)'!$B13:$X13/'实盘净值数据(iFinD公式)'!$B$7:$X$7)*(1-实盘持仓配置!$Z$6)^(('实盘净值数据(iFinD公式)'!$A13-'实盘净值数据(iFinD公式)'!$A$7)/365))</f>
        <v>1.0836174881519127</v>
      </c>
      <c r="I13" s="50">
        <f>IF(OR(H12="",'实盘净值数据(iFinD公式)'!$A13="",'实盘净值数据(iFinD公式)'!$B13=""),"",(SUMPRODUCT(实盘持仓配置!$B$6:$X$6,'实盘净值数据(iFinD公式)'!$B12:$X12/'实盘净值数据(iFinD公式)'!$B$7:$X$7,'实盘净值数据(iFinD公式)'!$B13:$X13/'实盘净值数据(iFinD公式)'!$B12:$X12)/SUMPRODUCT(实盘持仓配置!$B$6:$X$6,'实盘净值数据(iFinD公式)'!$B12:$X12/'实盘净值数据(iFinD公式)'!$B$7:$X$7))*(1-实盘持仓配置!$Z$6)^(('实盘净值数据(iFinD公式)'!$A13-'实盘净值数据(iFinD公式)'!$A12)/365)-1)</f>
        <v>-2.5266743143412818E-2</v>
      </c>
      <c r="J13" s="50">
        <f>IF(H13="","",H13/MAX(H$5:H13)-1)</f>
        <v>-2.5266743143412707E-2</v>
      </c>
      <c r="K13" s="112">
        <f>IF(OR((ROW()-1)&lt;8,'实盘净值数据(iFinD公式)'!$A13="",'实盘净值数据(iFinD公式)'!$B13=""),"",SUMPRODUCT(实盘持仓配置!$B$7:$X$7,'实盘净值数据(iFinD公式)'!$B13:$X13/'实盘净值数据(iFinD公式)'!$B$8:$X$8)*(1-实盘持仓配置!$Z$7)^(('实盘净值数据(iFinD公式)'!$A13-'实盘净值数据(iFinD公式)'!$A$8)/365))</f>
        <v>1.0008642071384042</v>
      </c>
      <c r="L13" s="50">
        <f>IF(OR(K12="",'实盘净值数据(iFinD公式)'!$A13="",'实盘净值数据(iFinD公式)'!$B13=""),"",(SUMPRODUCT(实盘持仓配置!$B$7:$X$7,'实盘净值数据(iFinD公式)'!$B12:$X12/'实盘净值数据(iFinD公式)'!$B$8:$X$8,'实盘净值数据(iFinD公式)'!$B13:$X13/'实盘净值数据(iFinD公式)'!$B12:$X12)/SUMPRODUCT(实盘持仓配置!$B$7:$X$7,'实盘净值数据(iFinD公式)'!$B12:$X12/'实盘净值数据(iFinD公式)'!$B$8:$X$8))*(1-实盘持仓配置!$Z$7)^(('实盘净值数据(iFinD公式)'!$A13-'实盘净值数据(iFinD公式)'!$A12)/365)-1)</f>
        <v>-2.3999339248743645E-3</v>
      </c>
      <c r="M13" s="50">
        <f>IF(K13="","",K13/MAX(K$5:K13)-1)</f>
        <v>-2.3999339248744755E-3</v>
      </c>
      <c r="N13" s="112">
        <f>IF(OR((ROW()-1)&lt;5,'实盘净值数据(iFinD公式)'!$A13="",'实盘净值数据(iFinD公式)'!$B13=""),"",SUMPRODUCT(实盘持仓配置!$B$8:$X$8,'实盘净值数据(iFinD公式)'!$B13:$X13/'实盘净值数据(iFinD公式)'!$B$5:$X$5)*(1-实盘持仓配置!$Z$8)^(('实盘净值数据(iFinD公式)'!$A13-'实盘净值数据(iFinD公式)'!$A$5)/365))</f>
        <v>0.99998436731801976</v>
      </c>
      <c r="O13" s="50">
        <f>IF(OR(N12="",'实盘净值数据(iFinD公式)'!$A13="",'实盘净值数据(iFinD公式)'!$B13=""),"",(SUMPRODUCT(实盘持仓配置!$B$8:$X$8,'实盘净值数据(iFinD公式)'!$B12:$X12/'实盘净值数据(iFinD公式)'!$B$5:$X$5,'实盘净值数据(iFinD公式)'!$B13:$X13/'实盘净值数据(iFinD公式)'!$B12:$X12)/SUMPRODUCT(实盘持仓配置!$B$8:$X$8,'实盘净值数据(iFinD公式)'!$B12:$X12/'实盘净值数据(iFinD公式)'!$B$5:$X$5))*(1-实盘持仓配置!$Z$8)^(('实盘净值数据(iFinD公式)'!$A13-'实盘净值数据(iFinD公式)'!$A12)/365)-1)</f>
        <v>-2.7184045698385173E-3</v>
      </c>
      <c r="P13" s="50">
        <f>IF(N13="","",N13/MAX(N$5:N13)-1)</f>
        <v>-2.7184045698386283E-3</v>
      </c>
      <c r="Q13" s="112">
        <f>IF(OR((ROW()-1)&lt;8,'实盘净值数据(iFinD公式)'!$A13="",'实盘净值数据(iFinD公式)'!$B13=""),"",SUMPRODUCT(实盘持仓配置!$B$9:$X$9,'实盘净值数据(iFinD公式)'!$B13:$X13/'实盘净值数据(iFinD公式)'!$B$8:$X$8)*(1-实盘持仓配置!$Z$9)^(('实盘净值数据(iFinD公式)'!$A13-'实盘净值数据(iFinD公式)'!$A$8)/365))</f>
        <v>1.0039155476418375</v>
      </c>
      <c r="R13" s="50">
        <f>IF(OR(Q12="",'实盘净值数据(iFinD公式)'!$A13="",'实盘净值数据(iFinD公式)'!$B13=""),"",(SUMPRODUCT(实盘持仓配置!$B$9:$X$9,'实盘净值数据(iFinD公式)'!$B12:$X12/'实盘净值数据(iFinD公式)'!$B$8:$X$8,'实盘净值数据(iFinD公式)'!$B13:$X13/'实盘净值数据(iFinD公式)'!$B12:$X12)/SUMPRODUCT(实盘持仓配置!$B$9:$X$9,'实盘净值数据(iFinD公式)'!$B12:$X12/'实盘净值数据(iFinD公式)'!$B$8:$X$8))*(1-实盘持仓配置!$Z$9)^(('实盘净值数据(iFinD公式)'!$A13-'实盘净值数据(iFinD公式)'!$A12)/365)-1)</f>
        <v>-4.8042294589779599E-3</v>
      </c>
      <c r="S13" s="50">
        <f>IF(Q13="","",Q13/MAX(Q$5:Q13)-1)</f>
        <v>-4.8042294589777379E-3</v>
      </c>
    </row>
    <row r="14" spans="1:22">
      <c r="A14" s="113">
        <f>IF('实盘净值数据(iFinD公式)'!A14="","",'实盘净值数据(iFinD公式)'!A14)</f>
        <v>46205</v>
      </c>
      <c r="B14" s="112">
        <f>IF(OR((ROW()-1)&lt;6,'实盘净值数据(iFinD公式)'!$A14="",'实盘净值数据(iFinD公式)'!$B14=""),"",SUMPRODUCT(实盘持仓配置!$B$4:$X$4,'实盘净值数据(iFinD公式)'!$B14:$X14/'实盘净值数据(iFinD公式)'!$B$6:$X$6)*(1-实盘持仓配置!$Z$4)^(('实盘净值数据(iFinD公式)'!$A14-'实盘净值数据(iFinD公式)'!$A$6)/365))</f>
        <v>0.9502400516447862</v>
      </c>
      <c r="C14" s="50">
        <f>IF(OR(B13="",'实盘净值数据(iFinD公式)'!$A14="",'实盘净值数据(iFinD公式)'!$B14=""),"",(SUMPRODUCT(实盘持仓配置!$B$4:$X$4,'实盘净值数据(iFinD公式)'!$B13:$X13/'实盘净值数据(iFinD公式)'!$B$6:$X$6,'实盘净值数据(iFinD公式)'!$B14:$X14/'实盘净值数据(iFinD公式)'!$B13:$X13)/SUMPRODUCT(实盘持仓配置!$B$4:$X$4,'实盘净值数据(iFinD公式)'!$B13:$X13/'实盘净值数据(iFinD公式)'!$B$6:$X$6))*(1-实盘持仓配置!$Z$4)^(('实盘净值数据(iFinD公式)'!$A14-'实盘净值数据(iFinD公式)'!$A13)/365)-1)</f>
        <v>-8.7770128823294269E-2</v>
      </c>
      <c r="D14" s="50">
        <f>IF(B14="","",B14/MAX(B$5:B14)-1)</f>
        <v>-0.1159306900182373</v>
      </c>
      <c r="E14" s="112">
        <f>IF(OR((ROW()-1)&lt;5,'实盘净值数据(iFinD公式)'!$A14="",'实盘净值数据(iFinD公式)'!$B14=""),"",SUMPRODUCT(实盘持仓配置!$B$5:$X$5,'实盘净值数据(iFinD公式)'!$B14:$X14/'实盘净值数据(iFinD公式)'!$B$5:$X$5)*(1-实盘持仓配置!$Z$5)^(('实盘净值数据(iFinD公式)'!$A14-'实盘净值数据(iFinD公式)'!$A$5)/365))</f>
        <v>0.97222777037242381</v>
      </c>
      <c r="F14" s="50">
        <f>IF(OR(E13="",'实盘净值数据(iFinD公式)'!$A14="",'实盘净值数据(iFinD公式)'!$B14=""),"",(SUMPRODUCT(实盘持仓配置!$B$5:$X$5,'实盘净值数据(iFinD公式)'!$B13:$X13/'实盘净值数据(iFinD公式)'!$B$5:$X$5,'实盘净值数据(iFinD公式)'!$B14:$X14/'实盘净值数据(iFinD公式)'!$B13:$X13)/SUMPRODUCT(实盘持仓配置!$B$5:$X$5,'实盘净值数据(iFinD公式)'!$B13:$X13/'实盘净值数据(iFinD公式)'!$B$5:$X$5))*(1-实盘持仓配置!$Z$5)^(('实盘净值数据(iFinD公式)'!$A14-'实盘净值数据(iFinD公式)'!$A13)/365)-1)</f>
        <v>-8.7756207212880244E-2</v>
      </c>
      <c r="G14" s="50">
        <f>IF(E14="","",E14/MAX(E$5:E14)-1)</f>
        <v>-0.1159450994611253</v>
      </c>
      <c r="H14" s="112">
        <f>IF(OR((ROW()-1)&lt;7,'实盘净值数据(iFinD公式)'!$A14="",'实盘净值数据(iFinD公式)'!$B14=""),"",SUMPRODUCT(实盘持仓配置!$B$6:$X$6,'实盘净值数据(iFinD公式)'!$B14:$X14/'实盘净值数据(iFinD公式)'!$B$7:$X$7)*(1-实盘持仓配置!$Z$6)^(('实盘净值数据(iFinD公式)'!$A14-'实盘净值数据(iFinD公式)'!$A$7)/365))</f>
        <v>0.9917522529182049</v>
      </c>
      <c r="I14" s="50">
        <f>IF(OR(H13="",'实盘净值数据(iFinD公式)'!$A14="",'实盘净值数据(iFinD公式)'!$B14=""),"",(SUMPRODUCT(实盘持仓配置!$B$6:$X$6,'实盘净值数据(iFinD公式)'!$B13:$X13/'实盘净值数据(iFinD公式)'!$B$7:$X$7,'实盘净值数据(iFinD公式)'!$B14:$X14/'实盘净值数据(iFinD公式)'!$B13:$X13)/SUMPRODUCT(实盘持仓配置!$B$6:$X$6,'实盘净值数据(iFinD公式)'!$B13:$X13/'实盘净值数据(iFinD公式)'!$B$7:$X$7))*(1-实盘持仓配置!$Z$6)^(('实盘净值数据(iFinD公式)'!$A14-'实盘净值数据(iFinD公式)'!$A13)/365)-1)</f>
        <v>-8.477644209155577E-2</v>
      </c>
      <c r="J14" s="50">
        <f>IF(H14="","",H14/MAX(H$5:H14)-1)</f>
        <v>-0.10790116064802879</v>
      </c>
      <c r="K14" s="112">
        <f>IF(OR((ROW()-1)&lt;8,'实盘净值数据(iFinD公式)'!$A14="",'实盘净值数据(iFinD公式)'!$B14=""),"",SUMPRODUCT(实盘持仓配置!$B$7:$X$7,'实盘净值数据(iFinD公式)'!$B14:$X14/'实盘净值数据(iFinD公式)'!$B$8:$X$8)*(1-实盘持仓配置!$Z$7)^(('实盘净值数据(iFinD公式)'!$A14-'实盘净值数据(iFinD公式)'!$A$8)/365))</f>
        <v>0.99622661698050385</v>
      </c>
      <c r="L14" s="50">
        <f>IF(OR(K13="",'实盘净值数据(iFinD公式)'!$A14="",'实盘净值数据(iFinD公式)'!$B14=""),"",(SUMPRODUCT(实盘持仓配置!$B$7:$X$7,'实盘净值数据(iFinD公式)'!$B13:$X13/'实盘净值数据(iFinD公式)'!$B$8:$X$8,'实盘净值数据(iFinD公式)'!$B14:$X14/'实盘净值数据(iFinD公式)'!$B13:$X13)/SUMPRODUCT(实盘持仓配置!$B$7:$X$7,'实盘净值数据(iFinD公式)'!$B13:$X13/'实盘净值数据(iFinD公式)'!$B$8:$X$8))*(1-实盘持仓配置!$Z$7)^(('实盘净值数据(iFinD公式)'!$A14-'实盘净值数据(iFinD公式)'!$A13)/365)-1)</f>
        <v>-4.6335857799928437E-3</v>
      </c>
      <c r="M14" s="50">
        <f>IF(K14="","",K14/MAX(K$5:K14)-1)</f>
        <v>-7.0223994051600291E-3</v>
      </c>
      <c r="N14" s="112">
        <f>IF(OR((ROW()-1)&lt;5,'实盘净值数据(iFinD公式)'!$A14="",'实盘净值数据(iFinD公式)'!$B14=""),"",SUMPRODUCT(实盘持仓配置!$B$8:$X$8,'实盘净值数据(iFinD公式)'!$B14:$X14/'实盘净值数据(iFinD公式)'!$B$5:$X$5)*(1-实盘持仓配置!$Z$8)^(('实盘净值数据(iFinD公式)'!$A14-'实盘净值数据(iFinD公式)'!$A$5)/365))</f>
        <v>0.99500921957550981</v>
      </c>
      <c r="O14" s="50">
        <f>IF(OR(N13="",'实盘净值数据(iFinD公式)'!$A14="",'实盘净值数据(iFinD公式)'!$B14=""),"",(SUMPRODUCT(实盘持仓配置!$B$8:$X$8,'实盘净值数据(iFinD公式)'!$B13:$X13/'实盘净值数据(iFinD公式)'!$B$5:$X$5,'实盘净值数据(iFinD公式)'!$B14:$X14/'实盘净值数据(iFinD公式)'!$B13:$X13)/SUMPRODUCT(实盘持仓配置!$B$8:$X$8,'实盘净值数据(iFinD公式)'!$B13:$X13/'实盘净值数据(iFinD公式)'!$B$5:$X$5))*(1-实盘持仓配置!$Z$8)^(('实盘净值数据(iFinD公式)'!$A14-'实盘净值数据(iFinD公式)'!$A13)/365)-1)</f>
        <v>-4.975225518628279E-3</v>
      </c>
      <c r="P14" s="50">
        <f>IF(N14="","",N14/MAX(N$5:N14)-1)</f>
        <v>-7.6801054126810486E-3</v>
      </c>
      <c r="Q14" s="112">
        <f>IF(OR((ROW()-1)&lt;8,'实盘净值数据(iFinD公式)'!$A14="",'实盘净值数据(iFinD公式)'!$B14=""),"",SUMPRODUCT(实盘持仓配置!$B$9:$X$9,'实盘净值数据(iFinD公式)'!$B14:$X14/'实盘净值数据(iFinD公式)'!$B$8:$X$8)*(1-实盘持仓配置!$Z$9)^(('实盘净值数据(iFinD公式)'!$A14-'实盘净值数据(iFinD公式)'!$A$8)/365))</f>
        <v>0.9888117738223815</v>
      </c>
      <c r="R14" s="50">
        <f>IF(OR(Q13="",'实盘净值数据(iFinD公式)'!$A14="",'实盘净值数据(iFinD公式)'!$B14=""),"",(SUMPRODUCT(实盘持仓配置!$B$9:$X$9,'实盘净值数据(iFinD公式)'!$B13:$X13/'实盘净值数据(iFinD公式)'!$B$8:$X$8,'实盘净值数据(iFinD公式)'!$B14:$X14/'实盘净值数据(iFinD公式)'!$B13:$X13)/SUMPRODUCT(实盘持仓配置!$B$9:$X$9,'实盘净值数据(iFinD公式)'!$B13:$X13/'实盘净值数据(iFinD公式)'!$B$8:$X$8))*(1-实盘持仓配置!$Z$9)^(('实盘净值数据(iFinD公式)'!$A14-'实盘净值数据(iFinD公式)'!$A13)/365)-1)</f>
        <v>-1.5044864934041891E-2</v>
      </c>
      <c r="S14" s="50">
        <f>IF(Q14="","",Q14/MAX(Q$5:Q14)-1)</f>
        <v>-1.9776815409697002E-2</v>
      </c>
    </row>
    <row r="15" spans="1:22">
      <c r="A15" s="113">
        <f>IF('实盘净值数据(iFinD公式)'!A15="","",'实盘净值数据(iFinD公式)'!A15)</f>
        <v>46206</v>
      </c>
      <c r="B15" s="112">
        <f>IF(OR((ROW()-1)&lt;6,'实盘净值数据(iFinD公式)'!$A15="",'实盘净值数据(iFinD公式)'!$B15=""),"",SUMPRODUCT(实盘持仓配置!$B$4:$X$4,'实盘净值数据(iFinD公式)'!$B15:$X15/'实盘净值数据(iFinD公式)'!$B$6:$X$6)*(1-实盘持仓配置!$Z$4)^(('实盘净值数据(iFinD公式)'!$A15-'实盘净值数据(iFinD公式)'!$A$6)/365))</f>
        <v>0.94321899538470466</v>
      </c>
      <c r="C15" s="50">
        <f>IF(OR(B14="",'实盘净值数据(iFinD公式)'!$A15="",'实盘净值数据(iFinD公式)'!$B15=""),"",(SUMPRODUCT(实盘持仓配置!$B$4:$X$4,'实盘净值数据(iFinD公式)'!$B14:$X14/'实盘净值数据(iFinD公式)'!$B$6:$X$6,'实盘净值数据(iFinD公式)'!$B15:$X15/'实盘净值数据(iFinD公式)'!$B14:$X14)/SUMPRODUCT(实盘持仓配置!$B$4:$X$4,'实盘净值数据(iFinD公式)'!$B14:$X14/'实盘净值数据(iFinD公式)'!$B$6:$X$6))*(1-实盘持仓配置!$Z$4)^(('实盘净值数据(iFinD公式)'!$A15-'实盘净值数据(iFinD公式)'!$A14)/365)-1)</f>
        <v>-7.3887185116313647E-3</v>
      </c>
      <c r="D15" s="50">
        <f>IF(B15="","",B15/MAX(B$5:B15)-1)</f>
        <v>-0.12246282929446495</v>
      </c>
      <c r="E15" s="112">
        <f>IF(OR((ROW()-1)&lt;5,'实盘净值数据(iFinD公式)'!$A15="",'实盘净值数据(iFinD公式)'!$B15=""),"",SUMPRODUCT(实盘持仓配置!$B$5:$X$5,'实盘净值数据(iFinD公式)'!$B15:$X15/'实盘净值数据(iFinD公式)'!$B$5:$X$5)*(1-实盘持仓配置!$Z$5)^(('实盘净值数据(iFinD公式)'!$A15-'实盘净值数据(iFinD公式)'!$A$5)/365))</f>
        <v>0.9650764877591137</v>
      </c>
      <c r="F15" s="50">
        <f>IF(OR(E14="",'实盘净值数据(iFinD公式)'!$A15="",'实盘净值数据(iFinD公式)'!$B15=""),"",(SUMPRODUCT(实盘持仓配置!$B$5:$X$5,'实盘净值数据(iFinD公式)'!$B14:$X14/'实盘净值数据(iFinD公式)'!$B$5:$X$5,'实盘净值数据(iFinD公式)'!$B15:$X15/'实盘净值数据(iFinD公式)'!$B14:$X14)/SUMPRODUCT(实盘持仓配置!$B$5:$X$5,'实盘净值数据(iFinD公式)'!$B14:$X14/'实盘净值数据(iFinD公式)'!$B$5:$X$5))*(1-实盘持仓配置!$Z$5)^(('实盘净值数据(iFinD公式)'!$A15-'实盘净值数据(iFinD公式)'!$A14)/365)-1)</f>
        <v>-7.3555629979286108E-3</v>
      </c>
      <c r="G15" s="50">
        <f>IF(E15="","",E15/MAX(E$5:E15)-1)</f>
        <v>-0.12244782097566653</v>
      </c>
      <c r="H15" s="112">
        <f>IF(OR((ROW()-1)&lt;7,'实盘净值数据(iFinD公式)'!$A15="",'实盘净值数据(iFinD公式)'!$B15=""),"",SUMPRODUCT(实盘持仓配置!$B$6:$X$6,'实盘净值数据(iFinD公式)'!$B15:$X15/'实盘净值数据(iFinD公式)'!$B$7:$X$7)*(1-实盘持仓配置!$Z$6)^(('实盘净值数据(iFinD公式)'!$A15-'实盘净值数据(iFinD公式)'!$A$7)/365))</f>
        <v>0.98876258967330444</v>
      </c>
      <c r="I15" s="50">
        <f>IF(OR(H14="",'实盘净值数据(iFinD公式)'!$A15="",'实盘净值数据(iFinD公式)'!$B15=""),"",(SUMPRODUCT(实盘持仓配置!$B$6:$X$6,'实盘净值数据(iFinD公式)'!$B14:$X14/'实盘净值数据(iFinD公式)'!$B$7:$X$7,'实盘净值数据(iFinD公式)'!$B15:$X15/'实盘净值数据(iFinD公式)'!$B14:$X14)/SUMPRODUCT(实盘持仓配置!$B$6:$X$6,'实盘净值数据(iFinD公式)'!$B14:$X14/'实盘净值数据(iFinD公式)'!$B$7:$X$7))*(1-实盘持仓配置!$Z$6)^(('实盘净值数据(iFinD公式)'!$A15-'实盘净值数据(iFinD公式)'!$A14)/365)-1)</f>
        <v>-3.0145262953558127E-3</v>
      </c>
      <c r="J15" s="50">
        <f>IF(H15="","",H15/MAX(H$5:H15)-1)</f>
        <v>-0.1105904160573119</v>
      </c>
      <c r="K15" s="112">
        <f>IF(OR((ROW()-1)&lt;8,'实盘净值数据(iFinD公式)'!$A15="",'实盘净值数据(iFinD公式)'!$B15=""),"",SUMPRODUCT(实盘持仓配置!$B$7:$X$7,'实盘净值数据(iFinD公式)'!$B15:$X15/'实盘净值数据(iFinD公式)'!$B$8:$X$8)*(1-实盘持仓配置!$Z$7)^(('实盘净值数据(iFinD公式)'!$A15-'实盘净值数据(iFinD公式)'!$A$8)/365))</f>
        <v>0.99750069028847732</v>
      </c>
      <c r="L15" s="50">
        <f>IF(OR(K14="",'实盘净值数据(iFinD公式)'!$A15="",'实盘净值数据(iFinD公式)'!$B15=""),"",(SUMPRODUCT(实盘持仓配置!$B$7:$X$7,'实盘净值数据(iFinD公式)'!$B14:$X14/'实盘净值数据(iFinD公式)'!$B$8:$X$8,'实盘净值数据(iFinD公式)'!$B15:$X15/'实盘净值数据(iFinD公式)'!$B14:$X14)/SUMPRODUCT(实盘持仓配置!$B$7:$X$7,'实盘净值数据(iFinD公式)'!$B14:$X14/'实盘净值数据(iFinD公式)'!$B$8:$X$8))*(1-实盘持仓配置!$Z$7)^(('实盘净值数据(iFinD公式)'!$A15-'实盘净值数据(iFinD公式)'!$A14)/365)-1)</f>
        <v>1.2788990840606473E-3</v>
      </c>
      <c r="M15" s="50">
        <f>IF(K15="","",K15/MAX(K$5:K15)-1)</f>
        <v>-5.7524812612662624E-3</v>
      </c>
      <c r="N15" s="112">
        <f>IF(OR((ROW()-1)&lt;5,'实盘净值数据(iFinD公式)'!$A15="",'实盘净值数据(iFinD公式)'!$B15=""),"",SUMPRODUCT(实盘持仓配置!$B$8:$X$8,'实盘净值数据(iFinD公式)'!$B15:$X15/'实盘净值数据(iFinD公式)'!$B$5:$X$5)*(1-实盘持仓配置!$Z$8)^(('实盘净值数据(iFinD公式)'!$A15-'实盘净值数据(iFinD公式)'!$A$5)/365))</f>
        <v>0.99600192862311665</v>
      </c>
      <c r="O15" s="50">
        <f>IF(OR(N14="",'实盘净值数据(iFinD公式)'!$A15="",'实盘净值数据(iFinD公式)'!$B15=""),"",(SUMPRODUCT(实盘持仓配置!$B$8:$X$8,'实盘净值数据(iFinD公式)'!$B14:$X14/'实盘净值数据(iFinD公式)'!$B$5:$X$5,'实盘净值数据(iFinD公式)'!$B15:$X15/'实盘净值数据(iFinD公式)'!$B14:$X14)/SUMPRODUCT(实盘持仓配置!$B$8:$X$8,'实盘净值数据(iFinD公式)'!$B14:$X14/'实盘净值数据(iFinD公式)'!$B$5:$X$5))*(1-实盘持仓配置!$Z$8)^(('实盘净值数据(iFinD公式)'!$A15-'实盘净值数据(iFinD公式)'!$A14)/365)-1)</f>
        <v>9.9768829079849297E-4</v>
      </c>
      <c r="P15" s="50">
        <f>IF(N15="","",N15/MAX(N$5:N15)-1)</f>
        <v>-6.6900794731250546E-3</v>
      </c>
      <c r="Q15" s="112">
        <f>IF(OR((ROW()-1)&lt;8,'实盘净值数据(iFinD公式)'!$A15="",'实盘净值数据(iFinD公式)'!$B15=""),"",SUMPRODUCT(实盘持仓配置!$B$9:$X$9,'实盘净值数据(iFinD公式)'!$B15:$X15/'实盘净值数据(iFinD公式)'!$B$8:$X$8)*(1-实盘持仓配置!$Z$9)^(('实盘净值数据(iFinD公式)'!$A15-'实盘净值数据(iFinD公式)'!$A$8)/365))</f>
        <v>0.9917715833370685</v>
      </c>
      <c r="R15" s="50">
        <f>IF(OR(Q14="",'实盘净值数据(iFinD公式)'!$A15="",'实盘净值数据(iFinD公式)'!$B15=""),"",(SUMPRODUCT(实盘持仓配置!$B$9:$X$9,'实盘净值数据(iFinD公式)'!$B14:$X14/'实盘净值数据(iFinD公式)'!$B$8:$X$8,'实盘净值数据(iFinD公式)'!$B15:$X15/'实盘净值数据(iFinD公式)'!$B14:$X14)/SUMPRODUCT(实盘持仓配置!$B$9:$X$9,'实盘净值数据(iFinD公式)'!$B14:$X14/'实盘净值数据(iFinD公式)'!$B$8:$X$8))*(1-实盘持仓配置!$Z$9)^(('实盘净值数据(iFinD公式)'!$A15-'实盘净值数据(iFinD公式)'!$A14)/365)-1)</f>
        <v>2.9932992234158462E-3</v>
      </c>
      <c r="S15" s="50">
        <f>IF(Q15="","",Q15/MAX(Q$5:Q15)-1)</f>
        <v>-1.684271411248861E-2</v>
      </c>
    </row>
    <row r="16" spans="1:22">
      <c r="A16" s="113">
        <f>IF('实盘净值数据(iFinD公式)'!A16="","",'实盘净值数据(iFinD公式)'!A16)</f>
        <v>46209</v>
      </c>
      <c r="B16" s="112">
        <f>IF(OR((ROW()-1)&lt;6,'实盘净值数据(iFinD公式)'!$A16="",'实盘净值数据(iFinD公式)'!$B16=""),"",SUMPRODUCT(实盘持仓配置!$B$4:$X$4,'实盘净值数据(iFinD公式)'!$B16:$X16/'实盘净值数据(iFinD公式)'!$B$6:$X$6)*(1-实盘持仓配置!$Z$4)^(('实盘净值数据(iFinD公式)'!$A16-'实盘净值数据(iFinD公式)'!$A$6)/365))</f>
        <v>0.92459185139429301</v>
      </c>
      <c r="C16" s="50">
        <f>IF(OR(B15="",'实盘净值数据(iFinD公式)'!$A16="",'实盘净值数据(iFinD公式)'!$B16=""),"",(SUMPRODUCT(实盘持仓配置!$B$4:$X$4,'实盘净值数据(iFinD公式)'!$B15:$X15/'实盘净值数据(iFinD公式)'!$B$6:$X$6,'实盘净值数据(iFinD公式)'!$B16:$X16/'实盘净值数据(iFinD公式)'!$B15:$X15)/SUMPRODUCT(实盘持仓配置!$B$4:$X$4,'实盘净值数据(iFinD公式)'!$B15:$X15/'实盘净值数据(iFinD公式)'!$B$6:$X$6))*(1-实盘持仓配置!$Z$4)^(('实盘净值数据(iFinD公式)'!$A16-'实盘净值数据(iFinD公式)'!$A15)/365)-1)</f>
        <v>-1.9748482676405832E-2</v>
      </c>
      <c r="D16" s="50">
        <f>IF(B16="","",B16/MAX(B$5:B16)-1)</f>
        <v>-0.13979285690804522</v>
      </c>
      <c r="E16" s="112">
        <f>IF(OR((ROW()-1)&lt;5,'实盘净值数据(iFinD公式)'!$A16="",'实盘净值数据(iFinD公式)'!$B16=""),"",SUMPRODUCT(实盘持仓配置!$B$5:$X$5,'实盘净值数据(iFinD公式)'!$B16:$X16/'实盘净值数据(iFinD公式)'!$B$5:$X$5)*(1-实盘持仓配置!$Z$5)^(('实盘净值数据(iFinD公式)'!$A16-'实盘净值数据(iFinD公式)'!$A$5)/365))</f>
        <v>0.94597775731161959</v>
      </c>
      <c r="F16" s="50">
        <f>IF(OR(E15="",'实盘净值数据(iFinD公式)'!$A16="",'实盘净值数据(iFinD公式)'!$B16=""),"",(SUMPRODUCT(实盘持仓配置!$B$5:$X$5,'实盘净值数据(iFinD公式)'!$B15:$X15/'实盘净值数据(iFinD公式)'!$B$5:$X$5,'实盘净值数据(iFinD公式)'!$B16:$X16/'实盘净值数据(iFinD公式)'!$B15:$X15)/SUMPRODUCT(实盘持仓配置!$B$5:$X$5,'实盘净值数据(iFinD公式)'!$B15:$X15/'实盘净值数据(iFinD公式)'!$B$5:$X$5))*(1-实盘持仓配置!$Z$5)^(('实盘净值数据(iFinD公式)'!$A16-'实盘净值数据(iFinD公式)'!$A15)/365)-1)</f>
        <v>-1.9789861932955177E-2</v>
      </c>
      <c r="G16" s="50">
        <f>IF(E16="","",E16/MAX(E$5:E16)-1)</f>
        <v>-0.13981445743752197</v>
      </c>
      <c r="H16" s="112">
        <f>IF(OR((ROW()-1)&lt;7,'实盘净值数据(iFinD公式)'!$A16="",'实盘净值数据(iFinD公式)'!$B16=""),"",SUMPRODUCT(实盘持仓配置!$B$6:$X$6,'实盘净值数据(iFinD公式)'!$B16:$X16/'实盘净值数据(iFinD公式)'!$B$7:$X$7)*(1-实盘持仓配置!$Z$6)^(('实盘净值数据(iFinD公式)'!$A16-'实盘净值数据(iFinD公式)'!$A$7)/365))</f>
        <v>0.97195202442112383</v>
      </c>
      <c r="I16" s="50">
        <f>IF(OR(H15="",'实盘净值数据(iFinD公式)'!$A16="",'实盘净值数据(iFinD公式)'!$B16=""),"",(SUMPRODUCT(实盘持仓配置!$B$6:$X$6,'实盘净值数据(iFinD公式)'!$B15:$X15/'实盘净值数据(iFinD公式)'!$B$7:$X$7,'实盘净值数据(iFinD公式)'!$B16:$X16/'实盘净值数据(iFinD公式)'!$B15:$X15)/SUMPRODUCT(实盘持仓配置!$B$6:$X$6,'实盘净值数据(iFinD公式)'!$B15:$X15/'实盘净值数据(iFinD公式)'!$B$7:$X$7))*(1-实盘持仓配置!$Z$6)^(('实盘净值数据(iFinD公式)'!$A16-'实盘净值数据(iFinD公式)'!$A15)/365)-1)</f>
        <v>-1.7001619425887737E-2</v>
      </c>
      <c r="J16" s="50">
        <f>IF(H16="","",H16/MAX(H$5:H16)-1)</f>
        <v>-0.12571181931724251</v>
      </c>
      <c r="K16" s="112">
        <f>IF(OR((ROW()-1)&lt;8,'实盘净值数据(iFinD公式)'!$A16="",'实盘净值数据(iFinD公式)'!$B16=""),"",SUMPRODUCT(实盘持仓配置!$B$7:$X$7,'实盘净值数据(iFinD公式)'!$B16:$X16/'实盘净值数据(iFinD公式)'!$B$8:$X$8)*(1-实盘持仓配置!$Z$7)^(('实盘净值数据(iFinD公式)'!$A16-'实盘净值数据(iFinD公式)'!$A$8)/365))</f>
        <v>0.99665017911000708</v>
      </c>
      <c r="L16" s="50">
        <f>IF(OR(K15="",'实盘净值数据(iFinD公式)'!$A16="",'实盘净值数据(iFinD公式)'!$B16=""),"",(SUMPRODUCT(实盘持仓配置!$B$7:$X$7,'实盘净值数据(iFinD公式)'!$B15:$X15/'实盘净值数据(iFinD公式)'!$B$8:$X$8,'实盘净值数据(iFinD公式)'!$B16:$X16/'实盘净值数据(iFinD公式)'!$B15:$X15)/SUMPRODUCT(实盘持仓配置!$B$7:$X$7,'实盘净值数据(iFinD公式)'!$B15:$X15/'实盘净值数据(iFinD公式)'!$B$8:$X$8))*(1-实盘持仓配置!$Z$7)^(('实盘净值数据(iFinD公式)'!$A16-'实盘净值数据(iFinD公式)'!$A15)/365)-1)</f>
        <v>-8.5264219538960795E-4</v>
      </c>
      <c r="M16" s="50">
        <f>IF(K16="","",K16/MAX(K$5:K16)-1)</f>
        <v>-6.6002186484044323E-3</v>
      </c>
      <c r="N16" s="112">
        <f>IF(OR((ROW()-1)&lt;5,'实盘净值数据(iFinD公式)'!$A16="",'实盘净值数据(iFinD公式)'!$B16=""),"",SUMPRODUCT(实盘持仓配置!$B$8:$X$8,'实盘净值数据(iFinD公式)'!$B16:$X16/'实盘净值数据(iFinD公式)'!$B$5:$X$5)*(1-实盘持仓配置!$Z$8)^(('实盘净值数据(iFinD公式)'!$A16-'实盘净值数据(iFinD公式)'!$A$5)/365))</f>
        <v>0.99504279696484055</v>
      </c>
      <c r="O16" s="50">
        <f>IF(OR(N15="",'实盘净值数据(iFinD公式)'!$A16="",'实盘净值数据(iFinD公式)'!$B16=""),"",(SUMPRODUCT(实盘持仓配置!$B$8:$X$8,'实盘净值数据(iFinD公式)'!$B15:$X15/'实盘净值数据(iFinD公式)'!$B$5:$X$5,'实盘净值数据(iFinD公式)'!$B16:$X16/'实盘净值数据(iFinD公式)'!$B15:$X15)/SUMPRODUCT(实盘持仓配置!$B$8:$X$8,'实盘净值数据(iFinD公式)'!$B15:$X15/'实盘净值数据(iFinD公式)'!$B$5:$X$5))*(1-实盘持仓配置!$Z$8)^(('实盘净值数据(iFinD公式)'!$A16-'实盘净值数据(iFinD公式)'!$A15)/365)-1)</f>
        <v>-9.6298172795927783E-4</v>
      </c>
      <c r="P16" s="50">
        <f>IF(N16="","",N16/MAX(N$5:N16)-1)</f>
        <v>-7.6466187767929572E-3</v>
      </c>
      <c r="Q16" s="112">
        <f>IF(OR((ROW()-1)&lt;8,'实盘净值数据(iFinD公式)'!$A16="",'实盘净值数据(iFinD公式)'!$B16=""),"",SUMPRODUCT(实盘持仓配置!$B$9:$X$9,'实盘净值数据(iFinD公式)'!$B16:$X16/'实盘净值数据(iFinD公式)'!$B$8:$X$8)*(1-实盘持仓配置!$Z$9)^(('实盘净值数据(iFinD公式)'!$A16-'实盘净值数据(iFinD公式)'!$A$8)/365))</f>
        <v>0.98808224140551593</v>
      </c>
      <c r="R16" s="50">
        <f>IF(OR(Q15="",'实盘净值数据(iFinD公式)'!$A16="",'实盘净值数据(iFinD公式)'!$B16=""),"",(SUMPRODUCT(实盘持仓配置!$B$9:$X$9,'实盘净值数据(iFinD公式)'!$B15:$X15/'实盘净值数据(iFinD公式)'!$B$8:$X$8,'实盘净值数据(iFinD公式)'!$B16:$X16/'实盘净值数据(iFinD公式)'!$B15:$X15)/SUMPRODUCT(实盘持仓配置!$B$9:$X$9,'实盘净值数据(iFinD公式)'!$B15:$X15/'实盘净值数据(iFinD公式)'!$B$8:$X$8))*(1-实盘持仓配置!$Z$9)^(('实盘净值数据(iFinD公式)'!$A16-'实盘净值数据(iFinD公式)'!$A15)/365)-1)</f>
        <v>-3.71995124032376E-3</v>
      </c>
      <c r="S16" s="50">
        <f>IF(Q16="","",Q16/MAX(Q$5:Q16)-1)</f>
        <v>-2.0500011277559183E-2</v>
      </c>
    </row>
    <row r="17" spans="1:19">
      <c r="A17" s="113">
        <f>IF('实盘净值数据(iFinD公式)'!A17="","",'实盘净值数据(iFinD公式)'!A17)</f>
        <v>46210</v>
      </c>
      <c r="B17" s="112">
        <f>IF(OR((ROW()-1)&lt;6,'实盘净值数据(iFinD公式)'!$A17="",'实盘净值数据(iFinD公式)'!$B17=""),"",SUMPRODUCT(实盘持仓配置!$B$4:$X$4,'实盘净值数据(iFinD公式)'!$B17:$X17/'实盘净值数据(iFinD公式)'!$B$6:$X$6)*(1-实盘持仓配置!$Z$4)^(('实盘净值数据(iFinD公式)'!$A17-'实盘净值数据(iFinD公式)'!$A$6)/365))</f>
        <v>0.93094051945631884</v>
      </c>
      <c r="C17" s="50">
        <f>IF(OR(B16="",'实盘净值数据(iFinD公式)'!$A17="",'实盘净值数据(iFinD公式)'!$B17=""),"",(SUMPRODUCT(实盘持仓配置!$B$4:$X$4,'实盘净值数据(iFinD公式)'!$B16:$X16/'实盘净值数据(iFinD公式)'!$B$6:$X$6,'实盘净值数据(iFinD公式)'!$B17:$X17/'实盘净值数据(iFinD公式)'!$B16:$X16)/SUMPRODUCT(实盘持仓配置!$B$4:$X$4,'实盘净值数据(iFinD公式)'!$B16:$X16/'实盘净值数据(iFinD公式)'!$B$6:$X$6))*(1-实盘持仓配置!$Z$4)^(('实盘净值数据(iFinD公式)'!$A17-'实盘净值数据(iFinD公式)'!$A16)/365)-1)</f>
        <v>6.8664546983105978E-3</v>
      </c>
      <c r="D17" s="50">
        <f>IF(B17="","",B17/MAX(B$5:B17)-1)</f>
        <v>-0.13388628352884135</v>
      </c>
      <c r="E17" s="112">
        <f>IF(OR((ROW()-1)&lt;5,'实盘净值数据(iFinD公式)'!$A17="",'实盘净值数据(iFinD公式)'!$B17=""),"",SUMPRODUCT(实盘持仓配置!$B$5:$X$5,'实盘净值数据(iFinD公式)'!$B17:$X17/'实盘净值数据(iFinD公式)'!$B$5:$X$5)*(1-实盘持仓配置!$Z$5)^(('实盘净值数据(iFinD公式)'!$A17-'实盘净值数据(iFinD公式)'!$A$5)/365))</f>
        <v>0.95247542928901296</v>
      </c>
      <c r="F17" s="50">
        <f>IF(OR(E16="",'实盘净值数据(iFinD公式)'!$A17="",'实盘净值数据(iFinD公式)'!$B17=""),"",(SUMPRODUCT(实盘持仓配置!$B$5:$X$5,'实盘净值数据(iFinD公式)'!$B16:$X16/'实盘净值数据(iFinD公式)'!$B$5:$X$5,'实盘净值数据(iFinD公式)'!$B17:$X17/'实盘净值数据(iFinD公式)'!$B16:$X16)/SUMPRODUCT(实盘持仓配置!$B$5:$X$5,'实盘净值数据(iFinD公式)'!$B16:$X16/'实盘净值数据(iFinD公式)'!$B$5:$X$5))*(1-实盘持仓配置!$Z$5)^(('实盘净值数据(iFinD公式)'!$A17-'实盘净值数据(iFinD公式)'!$A16)/365)-1)</f>
        <v>6.8687365291326685E-3</v>
      </c>
      <c r="G17" s="50">
        <f>IF(E17="","",E17/MAX(E$5:E17)-1)</f>
        <v>-0.13390606957949125</v>
      </c>
      <c r="H17" s="112">
        <f>IF(OR((ROW()-1)&lt;7,'实盘净值数据(iFinD公式)'!$A17="",'实盘净值数据(iFinD公式)'!$B17=""),"",SUMPRODUCT(实盘持仓配置!$B$6:$X$6,'实盘净值数据(iFinD公式)'!$B17:$X17/'实盘净值数据(iFinD公式)'!$B$7:$X$7)*(1-实盘持仓配置!$Z$6)^(('实盘净值数据(iFinD公式)'!$A17-'实盘净值数据(iFinD公式)'!$A$7)/365))</f>
        <v>0.97477427077798739</v>
      </c>
      <c r="I17" s="50">
        <f>IF(OR(H16="",'实盘净值数据(iFinD公式)'!$A17="",'实盘净值数据(iFinD公式)'!$B17=""),"",(SUMPRODUCT(实盘持仓配置!$B$6:$X$6,'实盘净值数据(iFinD公式)'!$B16:$X16/'实盘净值数据(iFinD公式)'!$B$7:$X$7,'实盘净值数据(iFinD公式)'!$B17:$X17/'实盘净值数据(iFinD公式)'!$B16:$X16)/SUMPRODUCT(实盘持仓配置!$B$6:$X$6,'实盘净值数据(iFinD公式)'!$B16:$X16/'实盘净值数据(iFinD公式)'!$B$7:$X$7))*(1-实盘持仓配置!$Z$6)^(('实盘净值数据(iFinD公式)'!$A17-'实盘净值数据(iFinD公式)'!$A16)/365)-1)</f>
        <v>2.903688953726391E-3</v>
      </c>
      <c r="J17" s="50">
        <f>IF(H17="","",H17/MAX(H$5:H17)-1)</f>
        <v>-0.12317315838462051</v>
      </c>
      <c r="K17" s="112">
        <f>IF(OR((ROW()-1)&lt;8,'实盘净值数据(iFinD公式)'!$A17="",'实盘净值数据(iFinD公式)'!$B17=""),"",SUMPRODUCT(实盘持仓配置!$B$7:$X$7,'实盘净值数据(iFinD公式)'!$B17:$X17/'实盘净值数据(iFinD公式)'!$B$8:$X$8)*(1-实盘持仓配置!$Z$7)^(('实盘净值数据(iFinD公式)'!$A17-'实盘净值数据(iFinD公式)'!$A$8)/365))</f>
        <v>0.99564271904439117</v>
      </c>
      <c r="L17" s="50">
        <f>IF(OR(K16="",'实盘净值数据(iFinD公式)'!$A17="",'实盘净值数据(iFinD公式)'!$B17=""),"",(SUMPRODUCT(实盘持仓配置!$B$7:$X$7,'实盘净值数据(iFinD公式)'!$B16:$X16/'实盘净值数据(iFinD公式)'!$B$8:$X$8,'实盘净值数据(iFinD公式)'!$B17:$X17/'实盘净值数据(iFinD公式)'!$B16:$X16)/SUMPRODUCT(实盘持仓配置!$B$7:$X$7,'实盘净值数据(iFinD公式)'!$B16:$X16/'实盘净值数据(iFinD公式)'!$B$8:$X$8))*(1-实盘持仓配置!$Z$7)^(('实盘净值数据(iFinD公式)'!$A17-'实盘净值数据(iFinD公式)'!$A16)/365)-1)</f>
        <v>-1.010846219398287E-3</v>
      </c>
      <c r="M17" s="50">
        <f>IF(K17="","",K17/MAX(K$5:K17)-1)</f>
        <v>-7.60439306173466E-3</v>
      </c>
      <c r="N17" s="112">
        <f>IF(OR((ROW()-1)&lt;5,'实盘净值数据(iFinD公式)'!$A17="",'实盘净值数据(iFinD公式)'!$B17=""),"",SUMPRODUCT(实盘持仓配置!$B$8:$X$8,'实盘净值数据(iFinD公式)'!$B17:$X17/'实盘净值数据(iFinD公式)'!$B$5:$X$5)*(1-实盘持仓配置!$Z$8)^(('实盘净值数据(iFinD公式)'!$A17-'实盘净值数据(iFinD公式)'!$A$5)/365))</f>
        <v>0.99425420888875904</v>
      </c>
      <c r="O17" s="50">
        <f>IF(OR(N16="",'实盘净值数据(iFinD公式)'!$A17="",'实盘净值数据(iFinD公式)'!$B17=""),"",(SUMPRODUCT(实盘持仓配置!$B$8:$X$8,'实盘净值数据(iFinD公式)'!$B16:$X16/'实盘净值数据(iFinD公式)'!$B$5:$X$5,'实盘净值数据(iFinD公式)'!$B17:$X17/'实盘净值数据(iFinD公式)'!$B16:$X16)/SUMPRODUCT(实盘持仓配置!$B$8:$X$8,'实盘净值数据(iFinD公式)'!$B16:$X16/'实盘净值数据(iFinD公式)'!$B$5:$X$5))*(1-实盘持仓配置!$Z$8)^(('实盘净值数据(iFinD公式)'!$A17-'实盘净值数据(iFinD公式)'!$A16)/365)-1)</f>
        <v>-7.9251674248270731E-4</v>
      </c>
      <c r="P17" s="50">
        <f>IF(N17="","",N17/MAX(N$5:N17)-1)</f>
        <v>-8.433075445871685E-3</v>
      </c>
      <c r="Q17" s="112">
        <f>IF(OR((ROW()-1)&lt;8,'实盘净值数据(iFinD公式)'!$A17="",'实盘净值数据(iFinD公式)'!$B17=""),"",SUMPRODUCT(实盘持仓配置!$B$9:$X$9,'实盘净值数据(iFinD公式)'!$B17:$X17/'实盘净值数据(iFinD公式)'!$B$8:$X$8)*(1-实盘持仓配置!$Z$9)^(('实盘净值数据(iFinD公式)'!$A17-'实盘净值数据(iFinD公式)'!$A$8)/365))</f>
        <v>0.98517669835191279</v>
      </c>
      <c r="R17" s="50">
        <f>IF(OR(Q16="",'实盘净值数据(iFinD公式)'!$A17="",'实盘净值数据(iFinD公式)'!$B17=""),"",(SUMPRODUCT(实盘持仓配置!$B$9:$X$9,'实盘净值数据(iFinD公式)'!$B16:$X16/'实盘净值数据(iFinD公式)'!$B$8:$X$8,'实盘净值数据(iFinD公式)'!$B17:$X17/'实盘净值数据(iFinD公式)'!$B16:$X16)/SUMPRODUCT(实盘持仓配置!$B$9:$X$9,'实盘净值数据(iFinD公式)'!$B16:$X16/'实盘净值数据(iFinD公式)'!$B$8:$X$8))*(1-实盘持仓配置!$Z$9)^(('实盘净值数据(iFinD公式)'!$A17-'实盘净值数据(iFinD公式)'!$A16)/365)-1)</f>
        <v>-2.9405882747879364E-3</v>
      </c>
      <c r="S17" s="50">
        <f>IF(Q17="","",Q17/MAX(Q$5:Q17)-1)</f>
        <v>-2.338031745955127E-2</v>
      </c>
    </row>
    <row r="18" spans="1:19">
      <c r="A18" s="113">
        <f>IF('实盘净值数据(iFinD公式)'!A18="","",'实盘净值数据(iFinD公式)'!A18)</f>
        <v>46211</v>
      </c>
      <c r="B18" s="112">
        <f>IF(OR((ROW()-1)&lt;6,'实盘净值数据(iFinD公式)'!$A18="",'实盘净值数据(iFinD公式)'!$B18=""),"",SUMPRODUCT(实盘持仓配置!$B$4:$X$4,'实盘净值数据(iFinD公式)'!$B18:$X18/'实盘净值数据(iFinD公式)'!$B$6:$X$6)*(1-实盘持仓配置!$Z$4)^(('实盘净值数据(iFinD公式)'!$A18-'实盘净值数据(iFinD公式)'!$A$6)/365))</f>
        <v>0.93624162720445936</v>
      </c>
      <c r="C18" s="50">
        <f>IF(OR(B17="",'实盘净值数据(iFinD公式)'!$A18="",'实盘净值数据(iFinD公式)'!$B18=""),"",(SUMPRODUCT(实盘持仓配置!$B$4:$X$4,'实盘净值数据(iFinD公式)'!$B17:$X17/'实盘净值数据(iFinD公式)'!$B$6:$X$6,'实盘净值数据(iFinD公式)'!$B18:$X18/'实盘净值数据(iFinD公式)'!$B17:$X17)/SUMPRODUCT(实盘持仓配置!$B$4:$X$4,'实盘净值数据(iFinD公式)'!$B17:$X17/'实盘净值数据(iFinD公式)'!$B$6:$X$6))*(1-实盘持仓配置!$Z$4)^(('实盘净值数据(iFinD公式)'!$A18-'实盘净值数据(iFinD公式)'!$A17)/365)-1)</f>
        <v>5.6943570908660757E-3</v>
      </c>
      <c r="D18" s="50">
        <f>IF(B18="","",B18/MAX(B$5:B18)-1)</f>
        <v>-0.12895432274595753</v>
      </c>
      <c r="E18" s="112">
        <f>IF(OR((ROW()-1)&lt;5,'实盘净值数据(iFinD公式)'!$A18="",'实盘净值数据(iFinD公式)'!$B18=""),"",SUMPRODUCT(实盘持仓配置!$B$5:$X$5,'实盘净值数据(iFinD公式)'!$B18:$X18/'实盘净值数据(iFinD公式)'!$B$5:$X$5)*(1-实盘持仓配置!$Z$5)^(('实盘净值数据(iFinD公式)'!$A18-'实盘净值数据(iFinD公式)'!$A$5)/365))</f>
        <v>0.9578161514912864</v>
      </c>
      <c r="F18" s="50">
        <f>IF(OR(E17="",'实盘净值数据(iFinD公式)'!$A18="",'实盘净值数据(iFinD公式)'!$B18=""),"",(SUMPRODUCT(实盘持仓配置!$B$5:$X$5,'实盘净值数据(iFinD公式)'!$B17:$X17/'实盘净值数据(iFinD公式)'!$B$5:$X$5,'实盘净值数据(iFinD公式)'!$B18:$X18/'实盘净值数据(iFinD公式)'!$B17:$X17)/SUMPRODUCT(实盘持仓配置!$B$5:$X$5,'实盘净值数据(iFinD公式)'!$B17:$X17/'实盘净值数据(iFinD公式)'!$B$5:$X$5))*(1-实盘持仓配置!$Z$5)^(('实盘净值数据(iFinD公式)'!$A18-'实盘净值数据(iFinD公式)'!$A17)/365)-1)</f>
        <v>5.6072020737165662E-3</v>
      </c>
      <c r="G18" s="50">
        <f>IF(E18="","",E18/MAX(E$5:E18)-1)</f>
        <v>-0.12904970589680409</v>
      </c>
      <c r="H18" s="112">
        <f>IF(OR((ROW()-1)&lt;7,'实盘净值数据(iFinD公式)'!$A18="",'实盘净值数据(iFinD公式)'!$B18=""),"",SUMPRODUCT(实盘持仓配置!$B$6:$X$6,'实盘净值数据(iFinD公式)'!$B18:$X18/'实盘净值数据(iFinD公式)'!$B$7:$X$7)*(1-实盘持仓配置!$Z$6)^(('实盘净值数据(iFinD公式)'!$A18-'实盘净值数据(iFinD公式)'!$A$7)/365))</f>
        <v>0.98001297325673131</v>
      </c>
      <c r="I18" s="50">
        <f>IF(OR(H17="",'实盘净值数据(iFinD公式)'!$A18="",'实盘净值数据(iFinD公式)'!$B18=""),"",(SUMPRODUCT(实盘持仓配置!$B$6:$X$6,'实盘净值数据(iFinD公式)'!$B17:$X17/'实盘净值数据(iFinD公式)'!$B$7:$X$7,'实盘净值数据(iFinD公式)'!$B18:$X18/'实盘净值数据(iFinD公式)'!$B17:$X17)/SUMPRODUCT(实盘持仓配置!$B$6:$X$6,'实盘净值数据(iFinD公式)'!$B17:$X17/'实盘净值数据(iFinD公式)'!$B$7:$X$7))*(1-实盘持仓配置!$Z$6)^(('实盘净值数据(iFinD公式)'!$A18-'实盘净值数据(iFinD公式)'!$A17)/365)-1)</f>
        <v>5.3742724195651181E-3</v>
      </c>
      <c r="J18" s="50">
        <f>IF(H18="","",H18/MAX(H$5:H18)-1)</f>
        <v>-0.11846085207299251</v>
      </c>
      <c r="K18" s="112">
        <f>IF(OR((ROW()-1)&lt;8,'实盘净值数据(iFinD公式)'!$A18="",'实盘净值数据(iFinD公式)'!$B18=""),"",SUMPRODUCT(实盘持仓配置!$B$7:$X$7,'实盘净值数据(iFinD公式)'!$B18:$X18/'实盘净值数据(iFinD公式)'!$B$8:$X$8)*(1-实盘持仓配置!$Z$7)^(('实盘净值数据(iFinD公式)'!$A18-'实盘净值数据(iFinD公式)'!$A$8)/365))</f>
        <v>0.99544210016789003</v>
      </c>
      <c r="L18" s="50">
        <f>IF(OR(K17="",'实盘净值数据(iFinD公式)'!$A18="",'实盘净值数据(iFinD公式)'!$B18=""),"",(SUMPRODUCT(实盘持仓配置!$B$7:$X$7,'实盘净值数据(iFinD公式)'!$B17:$X17/'实盘净值数据(iFinD公式)'!$B$8:$X$8,'实盘净值数据(iFinD公式)'!$B18:$X18/'实盘净值数据(iFinD公式)'!$B17:$X17)/SUMPRODUCT(实盘持仓配置!$B$7:$X$7,'实盘净值数据(iFinD公式)'!$B17:$X17/'实盘净值数据(iFinD公式)'!$B$8:$X$8))*(1-实盘持仓配置!$Z$7)^(('实盘净值数据(iFinD公式)'!$A18-'实盘净值数据(iFinD公式)'!$A17)/365)-1)</f>
        <v>-2.0149685490988833E-4</v>
      </c>
      <c r="M18" s="50">
        <f>IF(K18="","",K18/MAX(K$5:K18)-1)</f>
        <v>-7.8043576553589178E-3</v>
      </c>
      <c r="N18" s="112">
        <f>IF(OR((ROW()-1)&lt;5,'实盘净值数据(iFinD公式)'!$A18="",'实盘净值数据(iFinD公式)'!$B18=""),"",SUMPRODUCT(实盘持仓配置!$B$8:$X$8,'实盘净值数据(iFinD公式)'!$B18:$X18/'实盘净值数据(iFinD公式)'!$B$5:$X$5)*(1-实盘持仓配置!$Z$8)^(('实盘净值数据(iFinD公式)'!$A18-'实盘净值数据(iFinD公式)'!$A$5)/365))</f>
        <v>0.99409689668139734</v>
      </c>
      <c r="O18" s="50">
        <f>IF(OR(N17="",'实盘净值数据(iFinD公式)'!$A18="",'实盘净值数据(iFinD公式)'!$B18=""),"",(SUMPRODUCT(实盘持仓配置!$B$8:$X$8,'实盘净值数据(iFinD公式)'!$B17:$X17/'实盘净值数据(iFinD公式)'!$B$5:$X$5,'实盘净值数据(iFinD公式)'!$B18:$X18/'实盘净值数据(iFinD公式)'!$B17:$X17)/SUMPRODUCT(实盘持仓配置!$B$8:$X$8,'实盘净值数据(iFinD公式)'!$B17:$X17/'实盘净值数据(iFinD公式)'!$B$5:$X$5))*(1-实盘持仓配置!$Z$8)^(('实盘净值数据(iFinD公式)'!$A18-'实盘净值数据(iFinD公式)'!$A17)/365)-1)</f>
        <v>-1.5822131398135486E-4</v>
      </c>
      <c r="P18" s="50">
        <f>IF(N18="","",N18/MAX(N$5:N18)-1)</f>
        <v>-8.5899624675749298E-3</v>
      </c>
      <c r="Q18" s="112">
        <f>IF(OR((ROW()-1)&lt;8,'实盘净值数据(iFinD公式)'!$A18="",'实盘净值数据(iFinD公式)'!$B18=""),"",SUMPRODUCT(实盘持仓配置!$B$9:$X$9,'实盘净值数据(iFinD公式)'!$B18:$X18/'实盘净值数据(iFinD公式)'!$B$8:$X$8)*(1-实盘持仓配置!$Z$9)^(('实盘净值数据(iFinD公式)'!$A18-'实盘净值数据(iFinD公式)'!$A$8)/365))</f>
        <v>0.98361369432466739</v>
      </c>
      <c r="R18" s="50">
        <f>IF(OR(Q17="",'实盘净值数据(iFinD公式)'!$A18="",'实盘净值数据(iFinD公式)'!$B18=""),"",(SUMPRODUCT(实盘持仓配置!$B$9:$X$9,'实盘净值数据(iFinD公式)'!$B17:$X17/'实盘净值数据(iFinD公式)'!$B$8:$X$8,'实盘净值数据(iFinD公式)'!$B18:$X18/'实盘净值数据(iFinD公式)'!$B17:$X17)/SUMPRODUCT(实盘持仓配置!$B$9:$X$9,'实盘净值数据(iFinD公式)'!$B17:$X17/'实盘净值数据(iFinD公式)'!$B$8:$X$8))*(1-实盘持仓配置!$Z$9)^(('实盘净值数据(iFinD公式)'!$A18-'实盘净值数据(iFinD公式)'!$A17)/365)-1)</f>
        <v>-1.5865215142217837E-3</v>
      </c>
      <c r="S18" s="50">
        <f>IF(Q18="","",Q18/MAX(Q$5:Q18)-1)</f>
        <v>-2.492974559711425E-2</v>
      </c>
    </row>
    <row r="19" spans="1:19">
      <c r="A19" s="113">
        <f>IF('实盘净值数据(iFinD公式)'!A19="","",'实盘净值数据(iFinD公式)'!A19)</f>
        <v>46212</v>
      </c>
      <c r="B19" s="112">
        <f>IF(OR((ROW()-1)&lt;6,'实盘净值数据(iFinD公式)'!$A19="",'实盘净值数据(iFinD公式)'!$B19=""),"",SUMPRODUCT(实盘持仓配置!$B$4:$X$4,'实盘净值数据(iFinD公式)'!$B19:$X19/'实盘净值数据(iFinD公式)'!$B$6:$X$6)*(1-实盘持仓配置!$Z$4)^(('实盘净值数据(iFinD公式)'!$A19-'实盘净值数据(iFinD公式)'!$A$6)/365))</f>
        <v>1.000119640739735</v>
      </c>
      <c r="C19" s="50">
        <f>IF(OR(B18="",'实盘净值数据(iFinD公式)'!$A19="",'实盘净值数据(iFinD公式)'!$B19=""),"",(SUMPRODUCT(实盘持仓配置!$B$4:$X$4,'实盘净值数据(iFinD公式)'!$B18:$X18/'实盘净值数据(iFinD公式)'!$B$6:$X$6,'实盘净值数据(iFinD公式)'!$B19:$X19/'实盘净值数据(iFinD公式)'!$B18:$X18)/SUMPRODUCT(实盘持仓配置!$B$4:$X$4,'实盘净值数据(iFinD公式)'!$B18:$X18/'实盘净值数据(iFinD公式)'!$B$6:$X$6))*(1-实盘持仓配置!$Z$4)^(('实盘净值数据(iFinD公式)'!$A19-'实盘净值数据(iFinD公式)'!$A18)/365)-1)</f>
        <v>6.8228127952406625E-2</v>
      </c>
      <c r="D19" s="50">
        <f>IF(B19="","",B19/MAX(B$5:B19)-1)</f>
        <v>-6.952450682587763E-2</v>
      </c>
      <c r="E19" s="112">
        <f>IF(OR((ROW()-1)&lt;5,'实盘净值数据(iFinD公式)'!$A19="",'实盘净值数据(iFinD公式)'!$B19=""),"",SUMPRODUCT(实盘持仓配置!$B$5:$X$5,'实盘净值数据(iFinD公式)'!$B19:$X19/'实盘净值数据(iFinD公式)'!$B$5:$X$5)*(1-实盘持仓配置!$Z$5)^(('实盘净值数据(iFinD公式)'!$A19-'实盘净值数据(iFinD公式)'!$A$5)/365))</f>
        <v>1.0231939223043951</v>
      </c>
      <c r="F19" s="50">
        <f>IF(OR(E18="",'实盘净值数据(iFinD公式)'!$A19="",'实盘净值数据(iFinD公式)'!$B19=""),"",(SUMPRODUCT(实盘持仓配置!$B$5:$X$5,'实盘净值数据(iFinD公式)'!$B18:$X18/'实盘净值数据(iFinD公式)'!$B$5:$X$5,'实盘净值数据(iFinD公式)'!$B19:$X19/'实盘净值数据(iFinD公式)'!$B18:$X18)/SUMPRODUCT(实盘持仓配置!$B$5:$X$5,'实盘净值数据(iFinD公式)'!$B18:$X18/'实盘净值数据(iFinD公式)'!$B$5:$X$5))*(1-实盘持仓配置!$Z$5)^(('实盘净值数据(iFinD公式)'!$A19-'实盘净值数据(iFinD公式)'!$A18)/365)-1)</f>
        <v>6.8257118770985281E-2</v>
      </c>
      <c r="G19" s="50">
        <f>IF(E19="","",E19/MAX(E$5:E19)-1)</f>
        <v>-6.9601148228577658E-2</v>
      </c>
      <c r="H19" s="112">
        <f>IF(OR((ROW()-1)&lt;7,'实盘净值数据(iFinD公式)'!$A19="",'实盘净值数据(iFinD公式)'!$B19=""),"",SUMPRODUCT(实盘持仓配置!$B$6:$X$6,'实盘净值数据(iFinD公式)'!$B19:$X19/'实盘净值数据(iFinD公式)'!$B$7:$X$7)*(1-实盘持仓配置!$Z$6)^(('实盘净值数据(iFinD公式)'!$A19-'实盘净值数据(iFinD公式)'!$A$7)/365))</f>
        <v>1.0473336640835054</v>
      </c>
      <c r="I19" s="50">
        <f>IF(OR(H18="",'实盘净值数据(iFinD公式)'!$A19="",'实盘净值数据(iFinD公式)'!$B19=""),"",(SUMPRODUCT(实盘持仓配置!$B$6:$X$6,'实盘净值数据(iFinD公式)'!$B18:$X18/'实盘净值数据(iFinD公式)'!$B$7:$X$7,'实盘净值数据(iFinD公式)'!$B19:$X19/'实盘净值数据(iFinD公式)'!$B18:$X18)/SUMPRODUCT(实盘持仓配置!$B$6:$X$6,'实盘净值数据(iFinD公式)'!$B18:$X18/'实盘净值数据(iFinD公式)'!$B$7:$X$7))*(1-实盘持仓配置!$Z$6)^(('实盘净值数据(iFinD公式)'!$A19-'实盘净值数据(iFinD公式)'!$A18)/365)-1)</f>
        <v>6.8693673108282782E-2</v>
      </c>
      <c r="J19" s="50">
        <f>IF(H19="","",H19/MAX(H$5:H19)-1)</f>
        <v>-5.7904690013140581E-2</v>
      </c>
      <c r="K19" s="112">
        <f>IF(OR((ROW()-1)&lt;8,'实盘净值数据(iFinD公式)'!$A19="",'实盘净值数据(iFinD公式)'!$B19=""),"",SUMPRODUCT(实盘持仓配置!$B$7:$X$7,'实盘净值数据(iFinD公式)'!$B19:$X19/'实盘净值数据(iFinD公式)'!$B$8:$X$8)*(1-实盘持仓配置!$Z$7)^(('实盘净值数据(iFinD公式)'!$A19-'实盘净值数据(iFinD公式)'!$A$8)/365))</f>
        <v>0.99963842554413429</v>
      </c>
      <c r="L19" s="50">
        <f>IF(OR(K18="",'实盘净值数据(iFinD公式)'!$A19="",'实盘净值数据(iFinD公式)'!$B19=""),"",(SUMPRODUCT(实盘持仓配置!$B$7:$X$7,'实盘净值数据(iFinD公式)'!$B18:$X18/'实盘净值数据(iFinD公式)'!$B$8:$X$8,'实盘净值数据(iFinD公式)'!$B19:$X19/'实盘净值数据(iFinD公式)'!$B18:$X18)/SUMPRODUCT(实盘持仓配置!$B$7:$X$7,'实盘净值数据(iFinD公式)'!$B18:$X18/'实盘净值数据(iFinD公式)'!$B$8:$X$8))*(1-实盘持仓配置!$Z$7)^(('实盘净值数据(iFinD公式)'!$A19-'实盘净值数据(iFinD公式)'!$A18)/365)-1)</f>
        <v>4.2155393824883092E-3</v>
      </c>
      <c r="M19" s="50">
        <f>IF(K19="","",K19/MAX(K$5:K19)-1)</f>
        <v>-3.621717849922157E-3</v>
      </c>
      <c r="N19" s="112">
        <f>IF(OR((ROW()-1)&lt;5,'实盘净值数据(iFinD公式)'!$A19="",'实盘净值数据(iFinD公式)'!$B19=""),"",SUMPRODUCT(实盘持仓配置!$B$8:$X$8,'实盘净值数据(iFinD公式)'!$B19:$X19/'实盘净值数据(iFinD公式)'!$B$5:$X$5)*(1-实盘持仓配置!$Z$8)^(('实盘净值数据(iFinD公式)'!$A19-'实盘净值数据(iFinD公式)'!$A$5)/365))</f>
        <v>0.99836365436149999</v>
      </c>
      <c r="O19" s="50">
        <f>IF(OR(N18="",'实盘净值数据(iFinD公式)'!$A19="",'实盘净值数据(iFinD公式)'!$B19=""),"",(SUMPRODUCT(实盘持仓配置!$B$8:$X$8,'实盘净值数据(iFinD公式)'!$B18:$X18/'实盘净值数据(iFinD公式)'!$B$5:$X$5,'实盘净值数据(iFinD公式)'!$B19:$X19/'实盘净值数据(iFinD公式)'!$B18:$X18)/SUMPRODUCT(实盘持仓配置!$B$8:$X$8,'实盘净值数据(iFinD公式)'!$B18:$X18/'实盘净值数据(iFinD公式)'!$B$5:$X$5))*(1-实盘持仓配置!$Z$8)^(('实盘净值数据(iFinD公式)'!$A19-'实盘净值数据(iFinD公式)'!$A18)/365)-1)</f>
        <v>4.2920943565425418E-3</v>
      </c>
      <c r="P19" s="50">
        <f>IF(N19="","",N19/MAX(N$5:N19)-1)</f>
        <v>-4.3347370404624996E-3</v>
      </c>
      <c r="Q19" s="112">
        <f>IF(OR((ROW()-1)&lt;8,'实盘净值数据(iFinD公式)'!$A19="",'实盘净值数据(iFinD公式)'!$B19=""),"",SUMPRODUCT(实盘持仓配置!$B$9:$X$9,'实盘净值数据(iFinD公式)'!$B19:$X19/'实盘净值数据(iFinD公式)'!$B$8:$X$8)*(1-实盘持仓配置!$Z$9)^(('实盘净值数据(iFinD公式)'!$A19-'实盘净值数据(iFinD公式)'!$A$8)/365))</f>
        <v>0.99618965361948342</v>
      </c>
      <c r="R19" s="50">
        <f>IF(OR(Q18="",'实盘净值数据(iFinD公式)'!$A19="",'实盘净值数据(iFinD公式)'!$B19=""),"",(SUMPRODUCT(实盘持仓配置!$B$9:$X$9,'实盘净值数据(iFinD公式)'!$B18:$X18/'实盘净值数据(iFinD公式)'!$B$8:$X$8,'实盘净值数据(iFinD公式)'!$B19:$X19/'实盘净值数据(iFinD公式)'!$B18:$X18)/SUMPRODUCT(实盘持仓配置!$B$9:$X$9,'实盘净值数据(iFinD公式)'!$B18:$X18/'实盘净值数据(iFinD公式)'!$B$8:$X$8))*(1-实盘持仓配置!$Z$9)^(('实盘净值数据(iFinD公式)'!$A19-'实盘净值数据(iFinD公式)'!$A18)/365)-1)</f>
        <v>1.2785465846376409E-2</v>
      </c>
      <c r="S19" s="50">
        <f>IF(Q19="","",Q19/MAX(Q$5:Q19)-1)</f>
        <v>-1.2463018161628647E-2</v>
      </c>
    </row>
    <row r="20" spans="1:19">
      <c r="A20" s="113">
        <f>IF('实盘净值数据(iFinD公式)'!A20="","",'实盘净值数据(iFinD公式)'!A20)</f>
        <v>46213</v>
      </c>
      <c r="B20" s="112">
        <f>IF(OR((ROW()-1)&lt;6,'实盘净值数据(iFinD公式)'!$A20="",'实盘净值数据(iFinD公式)'!$B20=""),"",SUMPRODUCT(实盘持仓配置!$B$4:$X$4,'实盘净值数据(iFinD公式)'!$B20:$X20/'实盘净值数据(iFinD公式)'!$B$6:$X$6)*(1-实盘持仓配置!$Z$4)^(('实盘净值数据(iFinD公式)'!$A20-'实盘净值数据(iFinD公式)'!$A$6)/365))</f>
        <v>0.95179417704073732</v>
      </c>
      <c r="C20" s="50">
        <f>IF(OR(B19="",'实盘净值数据(iFinD公式)'!$A20="",'实盘净值数据(iFinD公式)'!$B20=""),"",(SUMPRODUCT(实盘持仓配置!$B$4:$X$4,'实盘净值数据(iFinD公式)'!$B19:$X19/'实盘净值数据(iFinD公式)'!$B$6:$X$6,'实盘净值数据(iFinD公式)'!$B20:$X20/'实盘净值数据(iFinD公式)'!$B19:$X19)/SUMPRODUCT(实盘持仓配置!$B$4:$X$4,'实盘净值数据(iFinD公式)'!$B19:$X19/'实盘净值数据(iFinD公式)'!$B$6:$X$6))*(1-实盘持仓配置!$Z$4)^(('实盘净值数据(iFinD公式)'!$A20-'实盘净值数据(iFinD公式)'!$A19)/365)-1)</f>
        <v>-4.8319682696416288E-2</v>
      </c>
      <c r="D20" s="50">
        <f>IF(B20="","",B20/MAX(B$5:B20)-1)</f>
        <v>-0.11448478741284263</v>
      </c>
      <c r="E20" s="112">
        <f>IF(OR((ROW()-1)&lt;5,'实盘净值数据(iFinD公式)'!$A20="",'实盘净值数据(iFinD公式)'!$B20=""),"",SUMPRODUCT(实盘持仓配置!$B$5:$X$5,'实盘净值数据(iFinD公式)'!$B20:$X20/'实盘净值数据(iFinD公式)'!$B$5:$X$5)*(1-实盘持仓配置!$Z$5)^(('实盘净值数据(iFinD公式)'!$A20-'实盘净值数据(iFinD公式)'!$A$5)/365))</f>
        <v>0.9737422822209042</v>
      </c>
      <c r="F20" s="50">
        <f>IF(OR(E19="",'实盘净值数据(iFinD公式)'!$A20="",'实盘净值数据(iFinD公式)'!$B20=""),"",(SUMPRODUCT(实盘持仓配置!$B$5:$X$5,'实盘净值数据(iFinD公式)'!$B19:$X19/'实盘净值数据(iFinD公式)'!$B$5:$X$5,'实盘净值数据(iFinD公式)'!$B20:$X20/'实盘净值数据(iFinD公式)'!$B19:$X19)/SUMPRODUCT(实盘持仓配置!$B$5:$X$5,'实盘净值数据(iFinD公式)'!$B19:$X19/'实盘净值数据(iFinD公式)'!$B$5:$X$5))*(1-实盘持仓配置!$Z$5)^(('实盘净值数据(iFinD公式)'!$A20-'实盘净值数据(iFinD公式)'!$A19)/365)-1)</f>
        <v>-4.833066245362172E-2</v>
      </c>
      <c r="G20" s="50">
        <f>IF(E20="","",E20/MAX(E$5:E20)-1)</f>
        <v>-0.1145679410807795</v>
      </c>
      <c r="H20" s="112">
        <f>IF(OR((ROW()-1)&lt;7,'实盘净值数据(iFinD公式)'!$A20="",'实盘净值数据(iFinD公式)'!$B20=""),"",SUMPRODUCT(实盘持仓配置!$B$6:$X$6,'实盘净值数据(iFinD公式)'!$B20:$X20/'实盘净值数据(iFinD公式)'!$B$7:$X$7)*(1-实盘持仓配置!$Z$6)^(('实盘净值数据(iFinD公式)'!$A20-'实盘净值数据(iFinD公式)'!$A$7)/365))</f>
        <v>0.99344026231902305</v>
      </c>
      <c r="I20" s="50">
        <f>IF(OR(H19="",'实盘净值数据(iFinD公式)'!$A20="",'实盘净值数据(iFinD公式)'!$B20=""),"",(SUMPRODUCT(实盘持仓配置!$B$6:$X$6,'实盘净值数据(iFinD公式)'!$B19:$X19/'实盘净值数据(iFinD公式)'!$B$7:$X$7,'实盘净值数据(iFinD公式)'!$B20:$X20/'实盘净值数据(iFinD公式)'!$B19:$X19)/SUMPRODUCT(实盘持仓配置!$B$6:$X$6,'实盘净值数据(iFinD公式)'!$B19:$X19/'实盘净值数据(iFinD公式)'!$B$7:$X$7))*(1-实盘持仓配置!$Z$6)^(('实盘净值数据(iFinD公式)'!$A20-'实盘净值数据(iFinD公式)'!$A19)/365)-1)</f>
        <v>-5.1457719361711729E-2</v>
      </c>
      <c r="J20" s="50">
        <f>IF(H20="","",H20/MAX(H$5:H20)-1)</f>
        <v>-0.10638276608642927</v>
      </c>
      <c r="K20" s="112">
        <f>IF(OR((ROW()-1)&lt;8,'实盘净值数据(iFinD公式)'!$A20="",'实盘净值数据(iFinD公式)'!$B20=""),"",SUMPRODUCT(实盘持仓配置!$B$7:$X$7,'实盘净值数据(iFinD公式)'!$B20:$X20/'实盘净值数据(iFinD公式)'!$B$8:$X$8)*(1-实盘持仓配置!$Z$7)^(('实盘净值数据(iFinD公式)'!$A20-'实盘净值数据(iFinD公式)'!$A$8)/365))</f>
        <v>0.99643153820652408</v>
      </c>
      <c r="L20" s="50">
        <f>IF(OR(K19="",'实盘净值数据(iFinD公式)'!$A20="",'实盘净值数据(iFinD公式)'!$B20=""),"",(SUMPRODUCT(实盘持仓配置!$B$7:$X$7,'实盘净值数据(iFinD公式)'!$B19:$X19/'实盘净值数据(iFinD公式)'!$B$8:$X$8,'实盘净值数据(iFinD公式)'!$B20:$X20/'实盘净值数据(iFinD公式)'!$B19:$X19)/SUMPRODUCT(实盘持仓配置!$B$7:$X$7,'实盘净值数据(iFinD公式)'!$B19:$X19/'实盘净值数据(iFinD公式)'!$B$8:$X$8))*(1-实盘持仓配置!$Z$7)^(('实盘净值数据(iFinD公式)'!$A20-'实盘净值数据(iFinD公式)'!$A19)/365)-1)</f>
        <v>-3.2080472855618991E-3</v>
      </c>
      <c r="M20" s="50">
        <f>IF(K20="","",K20/MAX(K$5:K20)-1)</f>
        <v>-6.8181464933665392E-3</v>
      </c>
      <c r="N20" s="112">
        <f>IF(OR((ROW()-1)&lt;5,'实盘净值数据(iFinD公式)'!$A20="",'实盘净值数据(iFinD公式)'!$B20=""),"",SUMPRODUCT(实盘持仓配置!$B$8:$X$8,'实盘净值数据(iFinD公式)'!$B20:$X20/'实盘净值数据(iFinD公式)'!$B$5:$X$5)*(1-实盘持仓配置!$Z$8)^(('实盘净值数据(iFinD公式)'!$A20-'实盘净值数据(iFinD公式)'!$A$5)/365))</f>
        <v>0.99527450515248672</v>
      </c>
      <c r="O20" s="50">
        <f>IF(OR(N19="",'实盘净值数据(iFinD公式)'!$A20="",'实盘净值数据(iFinD公式)'!$B20=""),"",(SUMPRODUCT(实盘持仓配置!$B$8:$X$8,'实盘净值数据(iFinD公式)'!$B19:$X19/'实盘净值数据(iFinD公式)'!$B$5:$X$5,'实盘净值数据(iFinD公式)'!$B20:$X20/'实盘净值数据(iFinD公式)'!$B19:$X19)/SUMPRODUCT(实盘持仓配置!$B$8:$X$8,'实盘净值数据(iFinD公式)'!$B19:$X19/'实盘净值数据(iFinD公式)'!$B$5:$X$5))*(1-实盘持仓配置!$Z$8)^(('实盘净值数据(iFinD公式)'!$A20-'实盘净值数据(iFinD公式)'!$A19)/365)-1)</f>
        <v>-3.0942124099949675E-3</v>
      </c>
      <c r="P20" s="50">
        <f>IF(N20="","",N20/MAX(N$5:N20)-1)</f>
        <v>-7.4155368533127541E-3</v>
      </c>
      <c r="Q20" s="112">
        <f>IF(OR((ROW()-1)&lt;8,'实盘净值数据(iFinD公式)'!$A20="",'实盘净值数据(iFinD公式)'!$B20=""),"",SUMPRODUCT(实盘持仓配置!$B$9:$X$9,'实盘净值数据(iFinD公式)'!$B20:$X20/'实盘净值数据(iFinD公式)'!$B$8:$X$8)*(1-实盘持仓配置!$Z$9)^(('实盘净值数据(iFinD公式)'!$A20-'实盘净值数据(iFinD公式)'!$A$8)/365))</f>
        <v>0.98643698858713824</v>
      </c>
      <c r="R20" s="50">
        <f>IF(OR(Q19="",'实盘净值数据(iFinD公式)'!$A20="",'实盘净值数据(iFinD公式)'!$B20=""),"",(SUMPRODUCT(实盘持仓配置!$B$9:$X$9,'实盘净值数据(iFinD公式)'!$B19:$X19/'实盘净值数据(iFinD公式)'!$B$8:$X$8,'实盘净值数据(iFinD公式)'!$B20:$X20/'实盘净值数据(iFinD公式)'!$B19:$X19)/SUMPRODUCT(实盘持仓配置!$B$9:$X$9,'实盘净值数据(iFinD公式)'!$B19:$X19/'实盘净值数据(iFinD公式)'!$B$8:$X$8))*(1-实盘持仓配置!$Z$9)^(('实盘净值数据(iFinD公式)'!$A20-'实盘净值数据(iFinD公式)'!$A19)/365)-1)</f>
        <v>-9.7899682022500878E-3</v>
      </c>
      <c r="S20" s="50">
        <f>IF(Q20="","",Q20/MAX(Q$5:Q20)-1)</f>
        <v>-2.2130973812372279E-2</v>
      </c>
    </row>
    <row r="21" spans="1:19">
      <c r="A21" s="113">
        <f>IF('实盘净值数据(iFinD公式)'!A21="","",'实盘净值数据(iFinD公式)'!A21)</f>
        <v>46216</v>
      </c>
      <c r="B21" s="112">
        <f>IF(OR((ROW()-1)&lt;6,'实盘净值数据(iFinD公式)'!$A21="",'实盘净值数据(iFinD公式)'!$B21=""),"",SUMPRODUCT(实盘持仓配置!$B$4:$X$4,'实盘净值数据(iFinD公式)'!$B21:$X21/'实盘净值数据(iFinD公式)'!$B$6:$X$6)*(1-实盘持仓配置!$Z$4)^(('实盘净值数据(iFinD公式)'!$A21-'实盘净值数据(iFinD公式)'!$A$6)/365))</f>
        <v>0.91506579031030588</v>
      </c>
      <c r="C21" s="50">
        <f>IF(OR(B20="",'实盘净值数据(iFinD公式)'!$A21="",'实盘净值数据(iFinD公式)'!$B21=""),"",(SUMPRODUCT(实盘持仓配置!$B$4:$X$4,'实盘净值数据(iFinD公式)'!$B20:$X20/'实盘净值数据(iFinD公式)'!$B$6:$X$6,'实盘净值数据(iFinD公式)'!$B21:$X21/'实盘净值数据(iFinD公式)'!$B20:$X20)/SUMPRODUCT(实盘持仓配置!$B$4:$X$4,'实盘净值数据(iFinD公式)'!$B20:$X20/'实盘净值数据(iFinD公式)'!$B$6:$X$6))*(1-实盘持仓配置!$Z$4)^(('实盘净值数据(iFinD公式)'!$A21-'实盘净值数据(iFinD公式)'!$A20)/365)-1)</f>
        <v>-3.8588581036107072E-2</v>
      </c>
      <c r="D21" s="50">
        <f>IF(B21="","",B21/MAX(B$5:B21)-1)</f>
        <v>-0.14865556295246773</v>
      </c>
      <c r="E21" s="112">
        <f>IF(OR((ROW()-1)&lt;5,'实盘净值数据(iFinD公式)'!$A21="",'实盘净值数据(iFinD公式)'!$B21=""),"",SUMPRODUCT(实盘持仓配置!$B$5:$X$5,'实盘净值数据(iFinD公式)'!$B21:$X21/'实盘净值数据(iFinD公式)'!$B$5:$X$5)*(1-实盘持仓配置!$Z$5)^(('实盘净值数据(iFinD公式)'!$A21-'实盘净值数据(iFinD公式)'!$A$5)/365))</f>
        <v>0.93615505212465677</v>
      </c>
      <c r="F21" s="50">
        <f>IF(OR(E20="",'实盘净值数据(iFinD公式)'!$A21="",'实盘净值数据(iFinD公式)'!$B21=""),"",(SUMPRODUCT(实盘持仓配置!$B$5:$X$5,'实盘净值数据(iFinD公式)'!$B20:$X20/'实盘净值数据(iFinD公式)'!$B$5:$X$5,'实盘净值数据(iFinD公式)'!$B21:$X21/'实盘净值数据(iFinD公式)'!$B20:$X20)/SUMPRODUCT(实盘持仓配置!$B$5:$X$5,'实盘净值数据(iFinD公式)'!$B20:$X20/'实盘净值数据(iFinD公式)'!$B$5:$X$5))*(1-实盘持仓配置!$Z$5)^(('实盘净值数据(iFinD公式)'!$A21-'实盘净值数据(iFinD公式)'!$A20)/365)-1)</f>
        <v>-3.8600798981963336E-2</v>
      </c>
      <c r="G21" s="50">
        <f>IF(E21="","",E21/MAX(E$5:E21)-1)</f>
        <v>-0.14874632599930626</v>
      </c>
      <c r="H21" s="112">
        <f>IF(OR((ROW()-1)&lt;7,'实盘净值数据(iFinD公式)'!$A21="",'实盘净值数据(iFinD公式)'!$B21=""),"",SUMPRODUCT(实盘持仓配置!$B$6:$X$6,'实盘净值数据(iFinD公式)'!$B21:$X21/'实盘净值数据(iFinD公式)'!$B$7:$X$7)*(1-实盘持仓配置!$Z$6)^(('实盘净值数据(iFinD公式)'!$A21-'实盘净值数据(iFinD公式)'!$A$7)/365))</f>
        <v>0.95358485055906217</v>
      </c>
      <c r="I21" s="50">
        <f>IF(OR(H20="",'实盘净值数据(iFinD公式)'!$A21="",'实盘净值数据(iFinD公式)'!$B21=""),"",(SUMPRODUCT(实盘持仓配置!$B$6:$X$6,'实盘净值数据(iFinD公式)'!$B20:$X20/'实盘净值数据(iFinD公式)'!$B$7:$X$7,'实盘净值数据(iFinD公式)'!$B21:$X21/'实盘净值数据(iFinD公式)'!$B20:$X20)/SUMPRODUCT(实盘持仓配置!$B$6:$X$6,'实盘净值数据(iFinD公式)'!$B20:$X20/'实盘净值数据(iFinD公式)'!$B$7:$X$7))*(1-实盘持仓配置!$Z$6)^(('实盘净值数据(iFinD公式)'!$A21-'实盘净值数据(iFinD公式)'!$A20)/365)-1)</f>
        <v>-4.0118579115089537E-2</v>
      </c>
      <c r="J21" s="50">
        <f>IF(H21="","",H21/MAX(H$5:H21)-1)</f>
        <v>-0.14223341978379822</v>
      </c>
      <c r="K21" s="112">
        <f>IF(OR((ROW()-1)&lt;8,'实盘净值数据(iFinD公式)'!$A21="",'实盘净值数据(iFinD公式)'!$B21=""),"",SUMPRODUCT(实盘持仓配置!$B$7:$X$7,'实盘净值数据(iFinD公式)'!$B21:$X21/'实盘净值数据(iFinD公式)'!$B$8:$X$8)*(1-实盘持仓配置!$Z$7)^(('实盘净值数据(iFinD公式)'!$A21-'实盘净值数据(iFinD公式)'!$A$8)/365))</f>
        <v>0.99155147400120669</v>
      </c>
      <c r="L21" s="50">
        <f>IF(OR(K20="",'实盘净值数据(iFinD公式)'!$A21="",'实盘净值数据(iFinD公式)'!$B21=""),"",(SUMPRODUCT(实盘持仓配置!$B$7:$X$7,'实盘净值数据(iFinD公式)'!$B20:$X20/'实盘净值数据(iFinD公式)'!$B$8:$X$8,'实盘净值数据(iFinD公式)'!$B21:$X21/'实盘净值数据(iFinD公式)'!$B20:$X20)/SUMPRODUCT(实盘持仓配置!$B$7:$X$7,'实盘净值数据(iFinD公式)'!$B20:$X20/'实盘净值数据(iFinD公式)'!$B$8:$X$8))*(1-实盘持仓配置!$Z$7)^(('实盘净值数据(iFinD公式)'!$A21-'实盘净值数据(iFinD公式)'!$A20)/365)-1)</f>
        <v>-4.8975408928754183E-3</v>
      </c>
      <c r="M21" s="50">
        <f>IF(K21="","",K21/MAX(K$5:K21)-1)</f>
        <v>-1.1682295234977214E-2</v>
      </c>
      <c r="N21" s="112">
        <f>IF(OR((ROW()-1)&lt;5,'实盘净值数据(iFinD公式)'!$A21="",'实盘净值数据(iFinD公式)'!$B21=""),"",SUMPRODUCT(实盘持仓配置!$B$8:$X$8,'实盘净值数据(iFinD公式)'!$B21:$X21/'实盘净值数据(iFinD公式)'!$B$5:$X$5)*(1-实盘持仓配置!$Z$8)^(('实盘净值数据(iFinD公式)'!$A21-'实盘净值数据(iFinD公式)'!$A$5)/365))</f>
        <v>0.99047159080556624</v>
      </c>
      <c r="O21" s="50">
        <f>IF(OR(N20="",'实盘净值数据(iFinD公式)'!$A21="",'实盘净值数据(iFinD公式)'!$B21=""),"",(SUMPRODUCT(实盘持仓配置!$B$8:$X$8,'实盘净值数据(iFinD公式)'!$B20:$X20/'实盘净值数据(iFinD公式)'!$B$5:$X$5,'实盘净值数据(iFinD公式)'!$B21:$X21/'实盘净值数据(iFinD公式)'!$B20:$X20)/SUMPRODUCT(实盘持仓配置!$B$8:$X$8,'实盘净值数据(iFinD公式)'!$B20:$X20/'实盘净值数据(iFinD公式)'!$B$5:$X$5))*(1-实盘持仓配置!$Z$8)^(('实盘净值数据(iFinD公式)'!$A21-'实盘净值数据(iFinD公式)'!$A20)/365)-1)</f>
        <v>-4.8257182536639576E-3</v>
      </c>
      <c r="P21" s="50">
        <f>IF(N21="","",N21/MAX(N$5:N21)-1)</f>
        <v>-1.2205469815422698E-2</v>
      </c>
      <c r="Q21" s="112">
        <f>IF(OR((ROW()-1)&lt;8,'实盘净值数据(iFinD公式)'!$A21="",'实盘净值数据(iFinD公式)'!$B21=""),"",SUMPRODUCT(实盘持仓配置!$B$9:$X$9,'实盘净值数据(iFinD公式)'!$B21:$X21/'实盘净值数据(iFinD公式)'!$B$8:$X$8)*(1-实盘持仓配置!$Z$9)^(('实盘净值数据(iFinD公式)'!$A21-'实盘净值数据(iFinD公式)'!$A$8)/365))</f>
        <v>0.97303424809737882</v>
      </c>
      <c r="R21" s="50">
        <f>IF(OR(Q20="",'实盘净值数据(iFinD公式)'!$A21="",'实盘净值数据(iFinD公式)'!$B21=""),"",(SUMPRODUCT(实盘持仓配置!$B$9:$X$9,'实盘净值数据(iFinD公式)'!$B20:$X20/'实盘净值数据(iFinD公式)'!$B$8:$X$8,'实盘净值数据(iFinD公式)'!$B21:$X21/'实盘净值数据(iFinD公式)'!$B20:$X20)/SUMPRODUCT(实盘持仓配置!$B$9:$X$9,'实盘净值数据(iFinD公式)'!$B20:$X20/'实盘净值数据(iFinD公式)'!$B$8:$X$8))*(1-实盘持仓配置!$Z$9)^(('实盘净值数据(iFinD公式)'!$A21-'实盘净值数据(iFinD公式)'!$A20)/365)-1)</f>
        <v>-1.3587021416295419E-2</v>
      </c>
      <c r="S21" s="50">
        <f>IF(Q21="","",Q21/MAX(Q$5:Q21)-1)</f>
        <v>-3.5417301213515495E-2</v>
      </c>
    </row>
    <row r="22" spans="1:19">
      <c r="A22" s="113">
        <f>IF('实盘净值数据(iFinD公式)'!A22="","",'实盘净值数据(iFinD公式)'!A22)</f>
        <v>46217</v>
      </c>
      <c r="B22" s="112">
        <f>IF(OR((ROW()-1)&lt;6,'实盘净值数据(iFinD公式)'!$A22="",'实盘净值数据(iFinD公式)'!$B22=""),"",SUMPRODUCT(实盘持仓配置!$B$4:$X$4,'实盘净值数据(iFinD公式)'!$B22:$X22/'实盘净值数据(iFinD公式)'!$B$6:$X$6)*(1-实盘持仓配置!$Z$4)^(('实盘净值数据(iFinD公式)'!$A22-'实盘净值数据(iFinD公式)'!$A$6)/365))</f>
        <v>0.94875508269303166</v>
      </c>
      <c r="C22" s="50">
        <f>IF(OR(B21="",'实盘净值数据(iFinD公式)'!$A22="",'实盘净值数据(iFinD公式)'!$B22=""),"",(SUMPRODUCT(实盘持仓配置!$B$4:$X$4,'实盘净值数据(iFinD公式)'!$B21:$X21/'实盘净值数据(iFinD公式)'!$B$6:$X$6,'实盘净值数据(iFinD公式)'!$B22:$X22/'实盘净值数据(iFinD公式)'!$B21:$X21)/SUMPRODUCT(实盘持仓配置!$B$4:$X$4,'实盘净值数据(iFinD公式)'!$B21:$X21/'实盘净值数据(iFinD公式)'!$B$6:$X$6))*(1-实盘持仓配置!$Z$4)^(('实盘净值数据(iFinD公式)'!$A22-'实盘净值数据(iFinD公式)'!$A21)/365)-1)</f>
        <v>3.6816251617603823E-2</v>
      </c>
      <c r="D22" s="50">
        <f>IF(B22="","",B22/MAX(B$5:B22)-1)</f>
        <v>-0.11731225194487849</v>
      </c>
      <c r="E22" s="112">
        <f>IF(OR((ROW()-1)&lt;5,'实盘净值数据(iFinD公式)'!$A22="",'实盘净值数据(iFinD公式)'!$B22=""),"",SUMPRODUCT(实盘持仓配置!$B$5:$X$5,'实盘净值数据(iFinD公式)'!$B22:$X22/'实盘净值数据(iFinD公式)'!$B$5:$X$5)*(1-实盘持仓配置!$Z$5)^(('实盘净值数据(iFinD公式)'!$A22-'实盘净值数据(iFinD公式)'!$A$5)/365))</f>
        <v>0.9707388568396379</v>
      </c>
      <c r="F22" s="50">
        <f>IF(OR(E21="",'实盘净值数据(iFinD公式)'!$A22="",'实盘净值数据(iFinD公式)'!$B22=""),"",(SUMPRODUCT(实盘持仓配置!$B$5:$X$5,'实盘净值数据(iFinD公式)'!$B21:$X21/'实盘净值数据(iFinD公式)'!$B$5:$X$5,'实盘净值数据(iFinD公式)'!$B22:$X22/'实盘净值数据(iFinD公式)'!$B21:$X21)/SUMPRODUCT(实盘持仓配置!$B$5:$X$5,'实盘净值数据(iFinD公式)'!$B21:$X21/'实盘净值数据(iFinD公式)'!$B$5:$X$5))*(1-实盘持仓配置!$Z$5)^(('实盘净值数据(iFinD公式)'!$A22-'实盘净值数据(iFinD公式)'!$A21)/365)-1)</f>
        <v>3.6942389657024455E-2</v>
      </c>
      <c r="G22" s="50">
        <f>IF(E22="","",E22/MAX(E$5:E22)-1)</f>
        <v>-0.117298981077399</v>
      </c>
      <c r="H22" s="112">
        <f>IF(OR((ROW()-1)&lt;7,'实盘净值数据(iFinD公式)'!$A22="",'实盘净值数据(iFinD公式)'!$B22=""),"",SUMPRODUCT(实盘持仓配置!$B$6:$X$6,'实盘净值数据(iFinD公式)'!$B22:$X22/'实盘净值数据(iFinD公式)'!$B$7:$X$7)*(1-实盘持仓配置!$Z$6)^(('实盘净值数据(iFinD公式)'!$A22-'实盘净值数据(iFinD公式)'!$A$7)/365))</f>
        <v>0.98368830258764262</v>
      </c>
      <c r="I22" s="50">
        <f>IF(OR(H21="",'实盘净值数据(iFinD公式)'!$A22="",'实盘净值数据(iFinD公式)'!$B22=""),"",(SUMPRODUCT(实盘持仓配置!$B$6:$X$6,'实盘净值数据(iFinD公式)'!$B21:$X21/'实盘净值数据(iFinD公式)'!$B$7:$X$7,'实盘净值数据(iFinD公式)'!$B22:$X22/'实盘净值数据(iFinD公式)'!$B21:$X21)/SUMPRODUCT(实盘持仓配置!$B$6:$X$6,'实盘净值数据(iFinD公式)'!$B21:$X21/'实盘净值数据(iFinD公式)'!$B$7:$X$7))*(1-实盘持仓配置!$Z$6)^(('实盘净值数据(iFinD公式)'!$A22-'实盘净值数据(iFinD公式)'!$A21)/365)-1)</f>
        <v>3.1568718830769615E-2</v>
      </c>
      <c r="J22" s="50">
        <f>IF(H22="","",H22/MAX(H$5:H22)-1)</f>
        <v>-0.11515482779052222</v>
      </c>
      <c r="K22" s="112">
        <f>IF(OR((ROW()-1)&lt;8,'实盘净值数据(iFinD公式)'!$A22="",'实盘净值数据(iFinD公式)'!$B22=""),"",SUMPRODUCT(实盘持仓配置!$B$7:$X$7,'实盘净值数据(iFinD公式)'!$B22:$X22/'实盘净值数据(iFinD公式)'!$B$8:$X$8)*(1-实盘持仓配置!$Z$7)^(('实盘净值数据(iFinD公式)'!$A22-'实盘净值数据(iFinD公式)'!$A$8)/365))</f>
        <v>0.99389719811114419</v>
      </c>
      <c r="L22" s="50">
        <f>IF(OR(K21="",'实盘净值数据(iFinD公式)'!$A22="",'实盘净值数据(iFinD公式)'!$B22=""),"",(SUMPRODUCT(实盘持仓配置!$B$7:$X$7,'实盘净值数据(iFinD公式)'!$B21:$X21/'实盘净值数据(iFinD公式)'!$B$8:$X$8,'实盘净值数据(iFinD公式)'!$B22:$X22/'实盘净值数据(iFinD公式)'!$B21:$X21)/SUMPRODUCT(实盘持仓配置!$B$7:$X$7,'实盘净值数据(iFinD公式)'!$B21:$X21/'实盘净值数据(iFinD公式)'!$B$8:$X$8))*(1-实盘持仓配置!$Z$7)^(('实盘净值数据(iFinD公式)'!$A22-'实盘净值数据(iFinD公式)'!$A21)/365)-1)</f>
        <v>2.3657108798111892E-3</v>
      </c>
      <c r="M22" s="50">
        <f>IF(K22="","",K22/MAX(K$5:K22)-1)</f>
        <v>-9.3442212881045261E-3</v>
      </c>
      <c r="N22" s="112">
        <f>IF(OR((ROW()-1)&lt;5,'实盘净值数据(iFinD公式)'!$A22="",'实盘净值数据(iFinD公式)'!$B22=""),"",SUMPRODUCT(实盘持仓配置!$B$8:$X$8,'实盘净值数据(iFinD公式)'!$B22:$X22/'实盘净值数据(iFinD公式)'!$B$5:$X$5)*(1-实盘持仓配置!$Z$8)^(('实盘净值数据(iFinD公式)'!$A22-'实盘净值数据(iFinD公式)'!$A$5)/365))</f>
        <v>0.99312281260458757</v>
      </c>
      <c r="O22" s="50">
        <f>IF(OR(N21="",'实盘净值数据(iFinD公式)'!$A22="",'实盘净值数据(iFinD公式)'!$B22=""),"",(SUMPRODUCT(实盘持仓配置!$B$8:$X$8,'实盘净值数据(iFinD公式)'!$B21:$X21/'实盘净值数据(iFinD公式)'!$B$5:$X$5,'实盘净值数据(iFinD公式)'!$B22:$X22/'实盘净值数据(iFinD公式)'!$B21:$X21)/SUMPRODUCT(实盘持仓配置!$B$8:$X$8,'实盘净值数据(iFinD公式)'!$B21:$X21/'实盘净值数据(iFinD公式)'!$B$5:$X$5))*(1-实盘持仓配置!$Z$8)^(('实盘净值数据(iFinD公式)'!$A22-'实盘净值数据(iFinD公式)'!$A21)/365)-1)</f>
        <v>2.6767267467664446E-3</v>
      </c>
      <c r="P22" s="50">
        <f>IF(N22="","",N22/MAX(N$5:N22)-1)</f>
        <v>-9.5614137761682594E-3</v>
      </c>
      <c r="Q22" s="112">
        <f>IF(OR((ROW()-1)&lt;8,'实盘净值数据(iFinD公式)'!$A22="",'实盘净值数据(iFinD公式)'!$B22=""),"",SUMPRODUCT(实盘持仓配置!$B$9:$X$9,'实盘净值数据(iFinD公式)'!$B22:$X22/'实盘净值数据(iFinD公式)'!$B$8:$X$8)*(1-实盘持仓配置!$Z$9)^(('实盘净值数据(iFinD公式)'!$A22-'实盘净值数据(iFinD公式)'!$A$8)/365))</f>
        <v>0.9800597646683411</v>
      </c>
      <c r="R22" s="50">
        <f>IF(OR(Q21="",'实盘净值数据(iFinD公式)'!$A22="",'实盘净值数据(iFinD公式)'!$B22=""),"",(SUMPRODUCT(实盘持仓配置!$B$9:$X$9,'实盘净值数据(iFinD公式)'!$B21:$X21/'实盘净值数据(iFinD公式)'!$B$8:$X$8,'实盘净值数据(iFinD公式)'!$B22:$X22/'实盘净值数据(iFinD公式)'!$B21:$X21)/SUMPRODUCT(实盘持仓配置!$B$9:$X$9,'实盘净值数据(iFinD公式)'!$B21:$X21/'实盘净值数据(iFinD公式)'!$B$8:$X$8))*(1-实盘持仓配置!$Z$9)^(('实盘净值数据(iFinD公式)'!$A22-'实盘净值数据(iFinD公式)'!$A21)/365)-1)</f>
        <v>7.2202151000331227E-3</v>
      </c>
      <c r="S22" s="50">
        <f>IF(Q22="","",Q22/MAX(Q$5:Q22)-1)</f>
        <v>-2.8452806646506401E-2</v>
      </c>
    </row>
    <row r="23" spans="1:19">
      <c r="A23" s="113">
        <f>IF('实盘净值数据(iFinD公式)'!A23="","",'实盘净值数据(iFinD公式)'!A23)</f>
        <v>46218</v>
      </c>
      <c r="B23" s="112">
        <f>IF(OR((ROW()-1)&lt;6,'实盘净值数据(iFinD公式)'!$A23="",'实盘净值数据(iFinD公式)'!$B23=""),"",SUMPRODUCT(实盘持仓配置!$B$4:$X$4,'实盘净值数据(iFinD公式)'!$B23:$X23/'实盘净值数据(iFinD公式)'!$B$6:$X$6)*(1-实盘持仓配置!$Z$4)^(('实盘净值数据(iFinD公式)'!$A23-'实盘净值数据(iFinD公式)'!$A$6)/365))</f>
        <v>0.92092012583432215</v>
      </c>
      <c r="C23" s="50">
        <f>IF(OR(B22="",'实盘净值数据(iFinD公式)'!$A23="",'实盘净值数据(iFinD公式)'!$B23=""),"",(SUMPRODUCT(实盘持仓配置!$B$4:$X$4,'实盘净值数据(iFinD公式)'!$B22:$X22/'实盘净值数据(iFinD公式)'!$B$6:$X$6,'实盘净值数据(iFinD公式)'!$B23:$X23/'实盘净值数据(iFinD公式)'!$B22:$X22)/SUMPRODUCT(实盘持仓配置!$B$4:$X$4,'实盘净值数据(iFinD公式)'!$B22:$X22/'实盘净值数据(iFinD公式)'!$B$6:$X$6))*(1-实盘持仓配置!$Z$4)^(('实盘净值数据(iFinD公式)'!$A23-'实盘净值数据(iFinD公式)'!$A22)/365)-1)</f>
        <v>-2.9338400780631657E-2</v>
      </c>
      <c r="D23" s="50">
        <f>IF(B23="","",B23/MAX(B$5:B23)-1)</f>
        <v>-0.14320889886147292</v>
      </c>
      <c r="E23" s="112">
        <f>IF(OR((ROW()-1)&lt;5,'实盘净值数据(iFinD公式)'!$A23="",'实盘净值数据(iFinD公式)'!$B23=""),"",SUMPRODUCT(实盘持仓配置!$B$5:$X$5,'实盘净值数据(iFinD公式)'!$B23:$X23/'实盘净值数据(iFinD公式)'!$B$5:$X$5)*(1-实盘持仓配置!$Z$5)^(('实盘净值数据(iFinD公式)'!$A23-'实盘净值数据(iFinD公式)'!$A$5)/365))</f>
        <v>0.9422547544446026</v>
      </c>
      <c r="F23" s="50">
        <f>IF(OR(E22="",'实盘净值数据(iFinD公式)'!$A23="",'实盘净值数据(iFinD公式)'!$B23=""),"",(SUMPRODUCT(实盘持仓配置!$B$5:$X$5,'实盘净值数据(iFinD公式)'!$B22:$X22/'实盘净值数据(iFinD公式)'!$B$5:$X$5,'实盘净值数据(iFinD公式)'!$B23:$X23/'实盘净值数据(iFinD公式)'!$B22:$X22)/SUMPRODUCT(实盘持仓配置!$B$5:$X$5,'实盘净值数据(iFinD公式)'!$B22:$X22/'实盘净值数据(iFinD公式)'!$B$5:$X$5))*(1-实盘持仓配置!$Z$5)^(('实盘净值数据(iFinD公式)'!$A23-'实盘净值数据(iFinD公式)'!$A22)/365)-1)</f>
        <v>-2.934270344113854E-2</v>
      </c>
      <c r="G23" s="50">
        <f>IF(E23="","",E23/MAX(E$5:E23)-1)</f>
        <v>-0.14319981530283565</v>
      </c>
      <c r="H23" s="112">
        <f>IF(OR((ROW()-1)&lt;7,'实盘净值数据(iFinD公式)'!$A23="",'实盘净值数据(iFinD公式)'!$B23=""),"",SUMPRODUCT(实盘持仓配置!$B$6:$X$6,'实盘净值数据(iFinD公式)'!$B23:$X23/'实盘净值数据(iFinD公式)'!$B$7:$X$7)*(1-实盘持仓配置!$Z$6)^(('实盘净值数据(iFinD公式)'!$A23-'实盘净值数据(iFinD公式)'!$A$7)/365))</f>
        <v>0.94960877053235404</v>
      </c>
      <c r="I23" s="50">
        <f>IF(OR(H22="",'实盘净值数据(iFinD公式)'!$A23="",'实盘净值数据(iFinD公式)'!$B23=""),"",(SUMPRODUCT(实盘持仓配置!$B$6:$X$6,'实盘净值数据(iFinD公式)'!$B22:$X22/'实盘净值数据(iFinD公式)'!$B$7:$X$7,'实盘净值数据(iFinD公式)'!$B23:$X23/'实盘净值数据(iFinD公式)'!$B22:$X22)/SUMPRODUCT(实盘持仓配置!$B$6:$X$6,'实盘净值数据(iFinD公式)'!$B22:$X22/'实盘净值数据(iFinD公式)'!$B$7:$X$7))*(1-实盘持仓配置!$Z$6)^(('实盘净值数据(iFinD公式)'!$A23-'实盘净值数据(iFinD公式)'!$A22)/365)-1)</f>
        <v>-3.4644645021843501E-2</v>
      </c>
      <c r="J23" s="50">
        <f>IF(H23="","",H23/MAX(H$5:H23)-1)</f>
        <v>-0.14580997468101142</v>
      </c>
      <c r="K23" s="112">
        <f>IF(OR((ROW()-1)&lt;8,'实盘净值数据(iFinD公式)'!$A23="",'实盘净值数据(iFinD公式)'!$B23=""),"",SUMPRODUCT(实盘持仓配置!$B$7:$X$7,'实盘净值数据(iFinD公式)'!$B23:$X23/'实盘净值数据(iFinD公式)'!$B$8:$X$8)*(1-实盘持仓配置!$Z$7)^(('实盘净值数据(iFinD公式)'!$A23-'实盘净值数据(iFinD公式)'!$A$8)/365))</f>
        <v>0.99182334181453879</v>
      </c>
      <c r="L23" s="50">
        <f>IF(OR(K22="",'实盘净值数据(iFinD公式)'!$A23="",'实盘净值数据(iFinD公式)'!$B23=""),"",(SUMPRODUCT(实盘持仓配置!$B$7:$X$7,'实盘净值数据(iFinD公式)'!$B22:$X22/'实盘净值数据(iFinD公式)'!$B$8:$X$8,'实盘净值数据(iFinD公式)'!$B23:$X23/'实盘净值数据(iFinD公式)'!$B22:$X22)/SUMPRODUCT(实盘持仓配置!$B$7:$X$7,'实盘净值数据(iFinD公式)'!$B22:$X22/'实盘净值数据(iFinD公式)'!$B$8:$X$8))*(1-实盘持仓配置!$Z$7)^(('实盘净值数据(iFinD公式)'!$A23-'实盘净值数据(iFinD公式)'!$A22)/365)-1)</f>
        <v>-2.0865903440985267E-3</v>
      </c>
      <c r="M23" s="50">
        <f>IF(K23="","",K23/MAX(K$5:K23)-1)</f>
        <v>-1.1411314070290279E-2</v>
      </c>
      <c r="N23" s="112">
        <f>IF(OR((ROW()-1)&lt;5,'实盘净值数据(iFinD公式)'!$A23="",'实盘净值数据(iFinD公式)'!$B23=""),"",SUMPRODUCT(实盘持仓配置!$B$8:$X$8,'实盘净值数据(iFinD公式)'!$B23:$X23/'实盘净值数据(iFinD公式)'!$B$5:$X$5)*(1-实盘持仓配置!$Z$8)^(('实盘净值数据(iFinD公式)'!$A23-'实盘净值数据(iFinD公式)'!$A$5)/365))</f>
        <v>0.99127625337880054</v>
      </c>
      <c r="O23" s="50">
        <f>IF(OR(N22="",'实盘净值数据(iFinD公式)'!$A23="",'实盘净值数据(iFinD公式)'!$B23=""),"",(SUMPRODUCT(实盘持仓配置!$B$8:$X$8,'实盘净值数据(iFinD公式)'!$B22:$X22/'实盘净值数据(iFinD公式)'!$B$5:$X$5,'实盘净值数据(iFinD公式)'!$B23:$X23/'实盘净值数据(iFinD公式)'!$B22:$X22)/SUMPRODUCT(实盘持仓配置!$B$8:$X$8,'实盘净值数据(iFinD公式)'!$B22:$X22/'实盘净值数据(iFinD公式)'!$B$5:$X$5))*(1-实盘持仓配置!$Z$8)^(('实盘净值数据(iFinD公式)'!$A23-'实盘净值数据(iFinD公式)'!$A22)/365)-1)</f>
        <v>-1.8593462987164244E-3</v>
      </c>
      <c r="P23" s="50">
        <f>IF(N23="","",N23/MAX(N$5:N23)-1)</f>
        <v>-1.1402982095569336E-2</v>
      </c>
      <c r="Q23" s="112">
        <f>IF(OR((ROW()-1)&lt;8,'实盘净值数据(iFinD公式)'!$A23="",'实盘净值数据(iFinD公式)'!$B23=""),"",SUMPRODUCT(实盘持仓配置!$B$9:$X$9,'实盘净值数据(iFinD公式)'!$B23:$X23/'实盘净值数据(iFinD公式)'!$B$8:$X$8)*(1-实盘持仓配置!$Z$9)^(('实盘净值数据(iFinD公式)'!$A23-'实盘净值数据(iFinD公式)'!$A$8)/365))</f>
        <v>0.973623457084142</v>
      </c>
      <c r="R23" s="50">
        <f>IF(OR(Q22="",'实盘净值数据(iFinD公式)'!$A23="",'实盘净值数据(iFinD公式)'!$B23=""),"",(SUMPRODUCT(实盘持仓配置!$B$9:$X$9,'实盘净值数据(iFinD公式)'!$B22:$X22/'实盘净值数据(iFinD公式)'!$B$8:$X$8,'实盘净值数据(iFinD公式)'!$B23:$X23/'实盘净值数据(iFinD公式)'!$B22:$X22)/SUMPRODUCT(实盘持仓配置!$B$9:$X$9,'实盘净值数据(iFinD公式)'!$B22:$X22/'实盘净值数据(iFinD公式)'!$B$8:$X$8))*(1-实盘持仓配置!$Z$9)^(('实盘净值数据(iFinD公式)'!$A23-'实盘净值数据(iFinD公式)'!$A22)/365)-1)</f>
        <v>-6.5672603000664909E-3</v>
      </c>
      <c r="S23" s="50">
        <f>IF(Q23="","",Q23/MAX(Q$5:Q23)-1)</f>
        <v>-3.4833209959058031E-2</v>
      </c>
    </row>
    <row r="24" spans="1:19">
      <c r="A24" s="113">
        <f>IF('实盘净值数据(iFinD公式)'!A24="","",'实盘净值数据(iFinD公式)'!A24)</f>
        <v>46219</v>
      </c>
      <c r="B24" s="112">
        <f>IF(OR((ROW()-1)&lt;6,'实盘净值数据(iFinD公式)'!$A24="",'实盘净值数据(iFinD公式)'!$B24=""),"",SUMPRODUCT(实盘持仓配置!$B$4:$X$4,'实盘净值数据(iFinD公式)'!$B24:$X24/'实盘净值数据(iFinD公式)'!$B$6:$X$6)*(1-实盘持仓配置!$Z$4)^(('实盘净值数据(iFinD公式)'!$A24-'实盘净值数据(iFinD公式)'!$A$6)/365))</f>
        <v>0.88073483842250266</v>
      </c>
      <c r="C24" s="50">
        <f>IF(OR(B23="",'实盘净值数据(iFinD公式)'!$A24="",'实盘净值数据(iFinD公式)'!$B24=""),"",(SUMPRODUCT(实盘持仓配置!$B$4:$X$4,'实盘净值数据(iFinD公式)'!$B23:$X23/'实盘净值数据(iFinD公式)'!$B$6:$X$6,'实盘净值数据(iFinD公式)'!$B24:$X24/'实盘净值数据(iFinD公式)'!$B23:$X23)/SUMPRODUCT(实盘持仓配置!$B$4:$X$4,'实盘净值数据(iFinD公式)'!$B23:$X23/'实盘净值数据(iFinD公式)'!$B$6:$X$6))*(1-实盘持仓配置!$Z$4)^(('实盘净值数据(iFinD公式)'!$A24-'实盘净值数据(iFinD公式)'!$A23)/365)-1)</f>
        <v>-4.3636018243615848E-2</v>
      </c>
      <c r="D24" s="50">
        <f>IF(B24="","",B24/MAX(B$5:B24)-1)</f>
        <v>-0.18059585098172137</v>
      </c>
      <c r="E24" s="112">
        <f>IF(OR((ROW()-1)&lt;5,'实盘净值数据(iFinD公式)'!$A24="",'实盘净值数据(iFinD公式)'!$B24=""),"",SUMPRODUCT(实盘持仓配置!$B$5:$X$5,'实盘净值数据(iFinD公式)'!$B24:$X24/'实盘净值数据(iFinD公式)'!$B$5:$X$5)*(1-实盘持仓配置!$Z$5)^(('实盘净值数据(iFinD公式)'!$A24-'实盘净值数据(iFinD公式)'!$A$5)/365))</f>
        <v>0.9011631872626219</v>
      </c>
      <c r="F24" s="50">
        <f>IF(OR(E23="",'实盘净值数据(iFinD公式)'!$A24="",'实盘净值数据(iFinD公式)'!$B24=""),"",(SUMPRODUCT(实盘持仓配置!$B$5:$X$5,'实盘净值数据(iFinD公式)'!$B23:$X23/'实盘净值数据(iFinD公式)'!$B$5:$X$5,'实盘净值数据(iFinD公式)'!$B24:$X24/'实盘净值数据(iFinD公式)'!$B23:$X23)/SUMPRODUCT(实盘持仓配置!$B$5:$X$5,'实盘净值数据(iFinD公式)'!$B23:$X23/'实盘净值数据(iFinD公式)'!$B$5:$X$5))*(1-实盘持仓配置!$Z$5)^(('实盘净值数据(iFinD公式)'!$A24-'实盘净值数据(iFinD公式)'!$A23)/365)-1)</f>
        <v>-4.3609827372217969E-2</v>
      </c>
      <c r="G24" s="50">
        <f>IF(E24="","",E24/MAX(E$5:E24)-1)</f>
        <v>-0.18056472344996344</v>
      </c>
      <c r="H24" s="112">
        <f>IF(OR((ROW()-1)&lt;7,'实盘净值数据(iFinD公式)'!$A24="",'实盘净值数据(iFinD公式)'!$B24=""),"",SUMPRODUCT(实盘持仓配置!$B$6:$X$6,'实盘净值数据(iFinD公式)'!$B24:$X24/'实盘净值数据(iFinD公式)'!$B$7:$X$7)*(1-实盘持仓配置!$Z$6)^(('实盘净值数据(iFinD公式)'!$A24-'实盘净值数据(iFinD公式)'!$A$7)/365))</f>
        <v>0.90904829027443246</v>
      </c>
      <c r="I24" s="50">
        <f>IF(OR(H23="",'实盘净值数据(iFinD公式)'!$A24="",'实盘净值数据(iFinD公式)'!$B24=""),"",(SUMPRODUCT(实盘持仓配置!$B$6:$X$6,'实盘净值数据(iFinD公式)'!$B23:$X23/'实盘净值数据(iFinD公式)'!$B$7:$X$7,'实盘净值数据(iFinD公式)'!$B24:$X24/'实盘净值数据(iFinD公式)'!$B23:$X23)/SUMPRODUCT(实盘持仓配置!$B$6:$X$6,'实盘净值数据(iFinD公式)'!$B23:$X23/'实盘净值数据(iFinD公式)'!$B$7:$X$7))*(1-实盘持仓配置!$Z$6)^(('实盘净值数据(iFinD公式)'!$A24-'实盘净值数据(iFinD公式)'!$A23)/365)-1)</f>
        <v>-4.2712832396422762E-2</v>
      </c>
      <c r="J24" s="50">
        <f>IF(H24="","",H24/MAX(H$5:H24)-1)</f>
        <v>-0.18229485006715762</v>
      </c>
      <c r="K24" s="112">
        <f>IF(OR((ROW()-1)&lt;8,'实盘净值数据(iFinD公式)'!$A24="",'实盘净值数据(iFinD公式)'!$B24=""),"",SUMPRODUCT(实盘持仓配置!$B$7:$X$7,'实盘净值数据(iFinD公式)'!$B24:$X24/'实盘净值数据(iFinD公式)'!$B$8:$X$8)*(1-实盘持仓配置!$Z$7)^(('实盘净值数据(iFinD公式)'!$A24-'实盘净值数据(iFinD公式)'!$A$8)/365))</f>
        <v>0.98849922806561963</v>
      </c>
      <c r="L24" s="50">
        <f>IF(OR(K23="",'实盘净值数据(iFinD公式)'!$A24="",'实盘净值数据(iFinD公式)'!$B24=""),"",(SUMPRODUCT(实盘持仓配置!$B$7:$X$7,'实盘净值数据(iFinD公式)'!$B23:$X23/'实盘净值数据(iFinD公式)'!$B$8:$X$8,'实盘净值数据(iFinD公式)'!$B24:$X24/'实盘净值数据(iFinD公式)'!$B23:$X23)/SUMPRODUCT(实盘持仓配置!$B$7:$X$7,'实盘净值数据(iFinD公式)'!$B23:$X23/'实盘净值数据(iFinD公式)'!$B$8:$X$8))*(1-实盘持仓配置!$Z$7)^(('实盘净值数据(iFinD公式)'!$A24-'实盘净值数据(iFinD公式)'!$A23)/365)-1)</f>
        <v>-3.3515179657276351E-3</v>
      </c>
      <c r="M24" s="50">
        <f>IF(K24="","",K24/MAX(K$5:K24)-1)</f>
        <v>-1.4724586811898477E-2</v>
      </c>
      <c r="N24" s="112">
        <f>IF(OR((ROW()-1)&lt;5,'实盘净值数据(iFinD公式)'!$A24="",'实盘净值数据(iFinD公式)'!$B24=""),"",SUMPRODUCT(实盘持仓配置!$B$8:$X$8,'实盘净值数据(iFinD公式)'!$B24:$X24/'实盘净值数据(iFinD公式)'!$B$5:$X$5)*(1-实盘持仓配置!$Z$8)^(('实盘净值数据(iFinD公式)'!$A24-'实盘净值数据(iFinD公式)'!$A$5)/365))</f>
        <v>0.98782974444324334</v>
      </c>
      <c r="O24" s="50">
        <f>IF(OR(N23="",'实盘净值数据(iFinD公式)'!$A24="",'实盘净值数据(iFinD公式)'!$B24=""),"",(SUMPRODUCT(实盘持仓配置!$B$8:$X$8,'实盘净值数据(iFinD公式)'!$B23:$X23/'实盘净值数据(iFinD公式)'!$B$5:$X$5,'实盘净值数据(iFinD公式)'!$B24:$X24/'实盘净值数据(iFinD公式)'!$B23:$X23)/SUMPRODUCT(实盘持仓配置!$B$8:$X$8,'实盘净值数据(iFinD公式)'!$B23:$X23/'实盘净值数据(iFinD公式)'!$B$5:$X$5))*(1-实盘持仓配置!$Z$8)^(('实盘净值数据(iFinD公式)'!$A24-'实盘净值数据(iFinD公式)'!$A23)/365)-1)</f>
        <v>-3.4768400068190264E-3</v>
      </c>
      <c r="P24" s="50">
        <f>IF(N24="","",N24/MAX(N$5:N24)-1)</f>
        <v>-1.4840175758041529E-2</v>
      </c>
      <c r="Q24" s="112">
        <f>IF(OR((ROW()-1)&lt;8,'实盘净值数据(iFinD公式)'!$A24="",'实盘净值数据(iFinD公式)'!$B24=""),"",SUMPRODUCT(实盘持仓配置!$B$9:$X$9,'实盘净值数据(iFinD公式)'!$B24:$X24/'实盘净值数据(iFinD公式)'!$B$8:$X$8)*(1-实盘持仓配置!$Z$9)^(('实盘净值数据(iFinD公式)'!$A24-'实盘净值数据(iFinD公式)'!$A$8)/365))</f>
        <v>0.96416448901899288</v>
      </c>
      <c r="R24" s="50">
        <f>IF(OR(Q23="",'实盘净值数据(iFinD公式)'!$A24="",'实盘净值数据(iFinD公式)'!$B24=""),"",(SUMPRODUCT(实盘持仓配置!$B$9:$X$9,'实盘净值数据(iFinD公式)'!$B23:$X23/'实盘净值数据(iFinD公式)'!$B$8:$X$8,'实盘净值数据(iFinD公式)'!$B24:$X24/'实盘净值数据(iFinD公式)'!$B23:$X23)/SUMPRODUCT(实盘持仓配置!$B$9:$X$9,'实盘净值数据(iFinD公式)'!$B23:$X23/'实盘净值数据(iFinD公式)'!$B$8:$X$8))*(1-实盘持仓配置!$Z$9)^(('实盘净值数据(iFinD公式)'!$A24-'实盘净值数据(iFinD公式)'!$A23)/365)-1)</f>
        <v>-9.7152220361221842E-3</v>
      </c>
      <c r="S24" s="50">
        <f>IF(Q24="","",Q24/MAX(Q$5:Q24)-1)</f>
        <v>-4.4210019626196972E-2</v>
      </c>
    </row>
    <row r="25" spans="1:19">
      <c r="A25" s="113">
        <f>IF('实盘净值数据(iFinD公式)'!A25="","",'实盘净值数据(iFinD公式)'!A25)</f>
        <v>46220</v>
      </c>
      <c r="B25" s="112">
        <f>IF(OR((ROW()-1)&lt;6,'实盘净值数据(iFinD公式)'!$A25="",'实盘净值数据(iFinD公式)'!$B25=""),"",SUMPRODUCT(实盘持仓配置!$B$4:$X$4,'实盘净值数据(iFinD公式)'!$B25:$X25/'实盘净值数据(iFinD公式)'!$B$6:$X$6)*(1-实盘持仓配置!$Z$4)^(('实盘净值数据(iFinD公式)'!$A25-'实盘净值数据(iFinD公式)'!$A$6)/365))</f>
        <v>0.80456221347235257</v>
      </c>
      <c r="C25" s="50">
        <f>IF(OR(B24="",'实盘净值数据(iFinD公式)'!$A25="",'实盘净值数据(iFinD公式)'!$B25=""),"",(SUMPRODUCT(实盘持仓配置!$B$4:$X$4,'实盘净值数据(iFinD公式)'!$B24:$X24/'实盘净值数据(iFinD公式)'!$B$6:$X$6,'实盘净值数据(iFinD公式)'!$B25:$X25/'实盘净值数据(iFinD公式)'!$B24:$X24)/SUMPRODUCT(实盘持仓配置!$B$4:$X$4,'实盘净值数据(iFinD公式)'!$B24:$X24/'实盘净值数据(iFinD公式)'!$B$6:$X$6))*(1-实盘持仓配置!$Z$4)^(('实盘净值数据(iFinD公式)'!$A25-'实盘净值数据(iFinD公式)'!$A24)/365)-1)</f>
        <v>-8.6487580174055778E-2</v>
      </c>
      <c r="D25" s="50">
        <f>IF(B25="","",B25/MAX(B$5:B25)-1)</f>
        <v>-0.25146413301489356</v>
      </c>
      <c r="E25" s="112">
        <f>IF(OR((ROW()-1)&lt;5,'实盘净值数据(iFinD公式)'!$A25="",'实盘净值数据(iFinD公式)'!$B25=""),"",SUMPRODUCT(实盘持仓配置!$B$5:$X$5,'实盘净值数据(iFinD公式)'!$B25:$X25/'实盘净值数据(iFinD公式)'!$B$5:$X$5)*(1-实盘持仓配置!$Z$5)^(('实盘净值数据(iFinD公式)'!$A25-'实盘净值数据(iFinD公式)'!$A$5)/365))</f>
        <v>0.82318699708965204</v>
      </c>
      <c r="F25" s="50">
        <f>IF(OR(E24="",'实盘净值数据(iFinD公式)'!$A25="",'实盘净值数据(iFinD公式)'!$B25=""),"",(SUMPRODUCT(实盘持仓配置!$B$5:$X$5,'实盘净值数据(iFinD公式)'!$B24:$X24/'实盘净值数据(iFinD公式)'!$B$5:$X$5,'实盘净值数据(iFinD公式)'!$B25:$X25/'实盘净值数据(iFinD公式)'!$B24:$X24)/SUMPRODUCT(实盘持仓配置!$B$5:$X$5,'实盘净值数据(iFinD公式)'!$B24:$X24/'实盘净值数据(iFinD公式)'!$B$5:$X$5))*(1-实盘持仓配置!$Z$5)^(('实盘净值数据(iFinD公式)'!$A25-'实盘净值数据(iFinD公式)'!$A24)/365)-1)</f>
        <v>-8.6528379404656519E-2</v>
      </c>
      <c r="G25" s="50">
        <f>IF(E25="","",E25/MAX(E$5:E25)-1)</f>
        <v>-0.25146912995684478</v>
      </c>
      <c r="H25" s="112">
        <f>IF(OR((ROW()-1)&lt;7,'实盘净值数据(iFinD公式)'!$A25="",'实盘净值数据(iFinD公式)'!$B25=""),"",SUMPRODUCT(实盘持仓配置!$B$6:$X$6,'实盘净值数据(iFinD公式)'!$B25:$X25/'实盘净值数据(iFinD公式)'!$B$7:$X$7)*(1-实盘持仓配置!$Z$6)^(('实盘净值数据(iFinD公式)'!$A25-'实盘净值数据(iFinD公式)'!$A$7)/365))</f>
        <v>0.83807934146002194</v>
      </c>
      <c r="I25" s="50">
        <f>IF(OR(H24="",'实盘净值数据(iFinD公式)'!$A25="",'实盘净值数据(iFinD公式)'!$B25=""),"",(SUMPRODUCT(实盘持仓配置!$B$6:$X$6,'实盘净值数据(iFinD公式)'!$B24:$X24/'实盘净值数据(iFinD公式)'!$B$7:$X$7,'实盘净值数据(iFinD公式)'!$B25:$X25/'实盘净值数据(iFinD公式)'!$B24:$X24)/SUMPRODUCT(实盘持仓配置!$B$6:$X$6,'实盘净值数据(iFinD公式)'!$B24:$X24/'实盘净值数据(iFinD公式)'!$B$7:$X$7))*(1-实盘持仓配置!$Z$6)^(('实盘净值数据(iFinD公式)'!$A25-'实盘净值数据(iFinD公式)'!$A24)/365)-1)</f>
        <v>-7.8069503648684813E-2</v>
      </c>
      <c r="J25" s="50">
        <f>IF(H25="","",H25/MAX(H$5:H25)-1)</f>
        <v>-0.24613268525338805</v>
      </c>
      <c r="K25" s="112">
        <f>IF(OR((ROW()-1)&lt;8,'实盘净值数据(iFinD公式)'!$A25="",'实盘净值数据(iFinD公式)'!$B25=""),"",SUMPRODUCT(实盘持仓配置!$B$7:$X$7,'实盘净值数据(iFinD公式)'!$B25:$X25/'实盘净值数据(iFinD公式)'!$B$8:$X$8)*(1-实盘持仓配置!$Z$7)^(('实盘净值数据(iFinD公式)'!$A25-'实盘净值数据(iFinD公式)'!$A$8)/365))</f>
        <v>0.98262356027164965</v>
      </c>
      <c r="L25" s="50">
        <f>IF(OR(K24="",'实盘净值数据(iFinD公式)'!$A25="",'实盘净值数据(iFinD公式)'!$B25=""),"",(SUMPRODUCT(实盘持仓配置!$B$7:$X$7,'实盘净值数据(iFinD公式)'!$B24:$X24/'实盘净值数据(iFinD公式)'!$B$8:$X$8,'实盘净值数据(iFinD公式)'!$B25:$X25/'实盘净值数据(iFinD公式)'!$B24:$X24)/SUMPRODUCT(实盘持仓配置!$B$7:$X$7,'实盘净值数据(iFinD公式)'!$B24:$X24/'实盘净值数据(iFinD公式)'!$B$8:$X$8))*(1-实盘持仓配置!$Z$7)^(('实盘净值数据(iFinD公式)'!$A25-'实盘净值数据(iFinD公式)'!$A24)/365)-1)</f>
        <v>-5.9440287125644975E-3</v>
      </c>
      <c r="M25" s="50">
        <f>IF(K25="","",K25/MAX(K$5:K25)-1)</f>
        <v>-2.0581092157672565E-2</v>
      </c>
      <c r="N25" s="112">
        <f>IF(OR((ROW()-1)&lt;5,'实盘净值数据(iFinD公式)'!$A25="",'实盘净值数据(iFinD公式)'!$B25=""),"",SUMPRODUCT(实盘持仓配置!$B$8:$X$8,'实盘净值数据(iFinD公式)'!$B25:$X25/'实盘净值数据(iFinD公式)'!$B$5:$X$5)*(1-实盘持仓配置!$Z$8)^(('实盘净值数据(iFinD公式)'!$A25-'实盘净值数据(iFinD公式)'!$A$5)/365))</f>
        <v>0.98144982730449382</v>
      </c>
      <c r="O25" s="50">
        <f>IF(OR(N24="",'实盘净值数据(iFinD公式)'!$A25="",'实盘净值数据(iFinD公式)'!$B25=""),"",(SUMPRODUCT(实盘持仓配置!$B$8:$X$8,'实盘净值数据(iFinD公式)'!$B24:$X24/'实盘净值数据(iFinD公式)'!$B$5:$X$5,'实盘净值数据(iFinD公式)'!$B25:$X25/'实盘净值数据(iFinD公式)'!$B24:$X24)/SUMPRODUCT(实盘持仓配置!$B$8:$X$8,'实盘净值数据(iFinD公式)'!$B24:$X24/'实盘净值数据(iFinD公式)'!$B$5:$X$5))*(1-实盘持仓配置!$Z$8)^(('实盘净值数据(iFinD公式)'!$A25-'实盘净值数据(iFinD公式)'!$A24)/365)-1)</f>
        <v>-6.4585189650725461E-3</v>
      </c>
      <c r="P25" s="50">
        <f>IF(N25="","",N25/MAX(N$5:N25)-1)</f>
        <v>-2.120284916653592E-2</v>
      </c>
      <c r="Q25" s="112">
        <f>IF(OR((ROW()-1)&lt;8,'实盘净值数据(iFinD公式)'!$A25="",'实盘净值数据(iFinD公式)'!$B25=""),"",SUMPRODUCT(实盘持仓配置!$B$9:$X$9,'实盘净值数据(iFinD公式)'!$B25:$X25/'实盘净值数据(iFinD公式)'!$B$8:$X$8)*(1-实盘持仓配置!$Z$9)^(('实盘净值数据(iFinD公式)'!$A25-'实盘净值数据(iFinD公式)'!$A$8)/365))</f>
        <v>0.94590255365263709</v>
      </c>
      <c r="R25" s="50">
        <f>IF(OR(Q24="",'实盘净值数据(iFinD公式)'!$A25="",'实盘净值数据(iFinD公式)'!$B25=""),"",(SUMPRODUCT(实盘持仓配置!$B$9:$X$9,'实盘净值数据(iFinD公式)'!$B24:$X24/'实盘净值数据(iFinD公式)'!$B$8:$X$8,'实盘净值数据(iFinD公式)'!$B25:$X25/'实盘净值数据(iFinD公式)'!$B24:$X24)/SUMPRODUCT(实盘持仓配置!$B$9:$X$9,'实盘净值数据(iFinD公式)'!$B24:$X24/'实盘净值数据(iFinD公式)'!$B$8:$X$8))*(1-实盘持仓配置!$Z$9)^(('实盘净值数据(iFinD公式)'!$A25-'实盘净值数据(iFinD公式)'!$A24)/365)-1)</f>
        <v>-1.8940684472767311E-2</v>
      </c>
      <c r="S25" s="50">
        <f>IF(Q25="","",Q25/MAX(Q$5:Q25)-1)</f>
        <v>-6.2313336066689762E-2</v>
      </c>
    </row>
    <row r="26" spans="1:19">
      <c r="A26" s="113">
        <f>IF('实盘净值数据(iFinD公式)'!A26="","",'实盘净值数据(iFinD公式)'!A26)</f>
        <v>46223</v>
      </c>
      <c r="B26" s="112">
        <f>IF(OR((ROW()-1)&lt;6,'实盘净值数据(iFinD公式)'!$A26="",'实盘净值数据(iFinD公式)'!$B26=""),"",SUMPRODUCT(实盘持仓配置!$B$4:$X$4,'实盘净值数据(iFinD公式)'!$B26:$X26/'实盘净值数据(iFinD公式)'!$B$6:$X$6)*(1-实盘持仓配置!$Z$4)^(('实盘净值数据(iFinD公式)'!$A26-'实盘净值数据(iFinD公式)'!$A$6)/365))</f>
        <v>0.7753850132434762</v>
      </c>
      <c r="C26" s="50">
        <f>IF(OR(B25="",'实盘净值数据(iFinD公式)'!$A26="",'实盘净值数据(iFinD公式)'!$B26=""),"",(SUMPRODUCT(实盘持仓配置!$B$4:$X$4,'实盘净值数据(iFinD公式)'!$B25:$X25/'实盘净值数据(iFinD公式)'!$B$6:$X$6,'实盘净值数据(iFinD公式)'!$B26:$X26/'实盘净值数据(iFinD公式)'!$B25:$X25)/SUMPRODUCT(实盘持仓配置!$B$4:$X$4,'实盘净值数据(iFinD公式)'!$B25:$X25/'实盘净值数据(iFinD公式)'!$B$6:$X$6))*(1-实盘持仓配置!$Z$4)^(('实盘净值数据(iFinD公式)'!$A26-'实盘净值数据(iFinD公式)'!$A25)/365)-1)</f>
        <v>-3.6264691207597899E-2</v>
      </c>
      <c r="D26" s="50">
        <f>IF(B26="","",B26/MAX(B$5:B26)-1)</f>
        <v>-0.27860955508892005</v>
      </c>
      <c r="E26" s="112">
        <f>IF(OR((ROW()-1)&lt;5,'实盘净值数据(iFinD公式)'!$A26="",'实盘净值数据(iFinD公式)'!$B26=""),"",SUMPRODUCT(实盘持仓配置!$B$5:$X$5,'实盘净值数据(iFinD公式)'!$B26:$X26/'实盘净值数据(iFinD公式)'!$B$5:$X$5)*(1-实盘持仓配置!$Z$5)^(('实盘净值数据(iFinD公式)'!$A26-'实盘净值数据(iFinD公式)'!$A$5)/365))</f>
        <v>0.79331222195050599</v>
      </c>
      <c r="F26" s="50">
        <f>IF(OR(E25="",'实盘净值数据(iFinD公式)'!$A26="",'实盘净值数据(iFinD公式)'!$B26=""),"",(SUMPRODUCT(实盘持仓配置!$B$5:$X$5,'实盘净值数据(iFinD公式)'!$B25:$X25/'实盘净值数据(iFinD公式)'!$B$5:$X$5,'实盘净值数据(iFinD公式)'!$B26:$X26/'实盘净值数据(iFinD公式)'!$B25:$X25)/SUMPRODUCT(实盘持仓配置!$B$5:$X$5,'实盘净值数据(iFinD公式)'!$B25:$X25/'实盘净值数据(iFinD公式)'!$B$5:$X$5))*(1-实盘持仓配置!$Z$5)^(('实盘净值数据(iFinD公式)'!$A26-'实盘净值数据(iFinD公式)'!$A25)/365)-1)</f>
        <v>-3.6291602327013561E-2</v>
      </c>
      <c r="G26" s="50">
        <f>IF(E26="","",E26/MAX(E$5:E26)-1)</f>
        <v>-0.27863451462194444</v>
      </c>
      <c r="H26" s="112">
        <f>IF(OR((ROW()-1)&lt;7,'实盘净值数据(iFinD公式)'!$A26="",'实盘净值数据(iFinD公式)'!$B26=""),"",SUMPRODUCT(实盘持仓配置!$B$6:$X$6,'实盘净值数据(iFinD公式)'!$B26:$X26/'实盘净值数据(iFinD公式)'!$B$7:$X$7)*(1-实盘持仓配置!$Z$6)^(('实盘净值数据(iFinD公式)'!$A26-'实盘净值数据(iFinD公式)'!$A$7)/365))</f>
        <v>0.8112546588776931</v>
      </c>
      <c r="I26" s="50">
        <f>IF(OR(H25="",'实盘净值数据(iFinD公式)'!$A26="",'实盘净值数据(iFinD公式)'!$B26=""),"",(SUMPRODUCT(实盘持仓配置!$B$6:$X$6,'实盘净值数据(iFinD公式)'!$B25:$X25/'实盘净值数据(iFinD公式)'!$B$7:$X$7,'实盘净值数据(iFinD公式)'!$B26:$X26/'实盘净值数据(iFinD公式)'!$B25:$X25)/SUMPRODUCT(实盘持仓配置!$B$6:$X$6,'实盘净值数据(iFinD公式)'!$B25:$X25/'实盘净值数据(iFinD公式)'!$B$7:$X$7))*(1-实盘持仓配置!$Z$6)^(('实盘净值数据(iFinD公式)'!$A26-'实盘净值数据(iFinD公式)'!$A25)/365)-1)</f>
        <v>-3.2007330637213394E-2</v>
      </c>
      <c r="J26" s="50">
        <f>IF(H26="","",H26/MAX(H$5:H26)-1)</f>
        <v>-0.27026196565307092</v>
      </c>
      <c r="K26" s="112">
        <f>IF(OR((ROW()-1)&lt;8,'实盘净值数据(iFinD公式)'!$A26="",'实盘净值数据(iFinD公式)'!$B26=""),"",SUMPRODUCT(实盘持仓配置!$B$7:$X$7,'实盘净值数据(iFinD公式)'!$B26:$X26/'实盘净值数据(iFinD公式)'!$B$8:$X$8)*(1-实盘持仓配置!$Z$7)^(('实盘净值数据(iFinD公式)'!$A26-'实盘净值数据(iFinD公式)'!$A$8)/365))</f>
        <v>0.98017974896707394</v>
      </c>
      <c r="L26" s="50">
        <f>IF(OR(K25="",'实盘净值数据(iFinD公式)'!$A26="",'实盘净值数据(iFinD公式)'!$B26=""),"",(SUMPRODUCT(实盘持仓配置!$B$7:$X$7,'实盘净值数据(iFinD公式)'!$B25:$X25/'实盘净值数据(iFinD公式)'!$B$8:$X$8,'实盘净值数据(iFinD公式)'!$B26:$X26/'实盘净值数据(iFinD公式)'!$B25:$X25)/SUMPRODUCT(实盘持仓配置!$B$7:$X$7,'实盘净值数据(iFinD公式)'!$B25:$X25/'实盘净值数据(iFinD公式)'!$B$8:$X$8))*(1-实盘持仓配置!$Z$7)^(('实盘净值数据(iFinD公式)'!$A26-'实盘净值数据(iFinD公式)'!$A25)/365)-1)</f>
        <v>-2.4870269789786237E-3</v>
      </c>
      <c r="M26" s="50">
        <f>IF(K26="","",K26/MAX(K$5:K26)-1)</f>
        <v>-2.3016933405198281E-2</v>
      </c>
      <c r="N26" s="112">
        <f>IF(OR((ROW()-1)&lt;5,'实盘净值数据(iFinD公式)'!$A26="",'实盘净值数据(iFinD公式)'!$B26=""),"",SUMPRODUCT(实盘持仓配置!$B$8:$X$8,'实盘净值数据(iFinD公式)'!$B26:$X26/'实盘净值数据(iFinD公式)'!$B$5:$X$5)*(1-实盘持仓配置!$Z$8)^(('实盘净值数据(iFinD公式)'!$A26-'实盘净值数据(iFinD公式)'!$A$5)/365))</f>
        <v>0.97880694364064491</v>
      </c>
      <c r="O26" s="50">
        <f>IF(OR(N25="",'实盘净值数据(iFinD公式)'!$A26="",'实盘净值数据(iFinD公式)'!$B26=""),"",(SUMPRODUCT(实盘持仓配置!$B$8:$X$8,'实盘净值数据(iFinD公式)'!$B25:$X25/'实盘净值数据(iFinD公式)'!$B$5:$X$5,'实盘净值数据(iFinD公式)'!$B26:$X26/'实盘净值数据(iFinD公式)'!$B25:$X25)/SUMPRODUCT(实盘持仓配置!$B$8:$X$8,'实盘净值数据(iFinD公式)'!$B25:$X25/'实盘净值数据(iFinD公式)'!$B$5:$X$5))*(1-实盘持仓配置!$Z$8)^(('实盘净值数据(iFinD公式)'!$A26-'实盘净值数据(iFinD公式)'!$A25)/365)-1)</f>
        <v>-2.6928362411631213E-3</v>
      </c>
      <c r="P26" s="50">
        <f>IF(N26="","",N26/MAX(N$5:N26)-1)</f>
        <v>-2.3838589607047544E-2</v>
      </c>
      <c r="Q26" s="112">
        <f>IF(OR((ROW()-1)&lt;8,'实盘净值数据(iFinD公式)'!$A26="",'实盘净值数据(iFinD公式)'!$B26=""),"",SUMPRODUCT(实盘持仓配置!$B$9:$X$9,'实盘净值数据(iFinD公式)'!$B26:$X26/'实盘净值数据(iFinD公式)'!$B$8:$X$8)*(1-实盘持仓配置!$Z$9)^(('实盘净值数据(iFinD公式)'!$A26-'实盘净值数据(iFinD公式)'!$A$8)/365))</f>
        <v>0.93917343032460077</v>
      </c>
      <c r="R26" s="50">
        <f>IF(OR(Q25="",'实盘净值数据(iFinD公式)'!$A26="",'实盘净值数据(iFinD公式)'!$B26=""),"",(SUMPRODUCT(实盘持仓配置!$B$9:$X$9,'实盘净值数据(iFinD公式)'!$B25:$X25/'实盘净值数据(iFinD公式)'!$B$8:$X$8,'实盘净值数据(iFinD公式)'!$B26:$X26/'实盘净值数据(iFinD公式)'!$B25:$X25)/SUMPRODUCT(实盘持仓配置!$B$9:$X$9,'实盘净值数据(iFinD公式)'!$B25:$X25/'实盘净值数据(iFinD公式)'!$B$8:$X$8))*(1-实盘持仓配置!$Z$9)^(('实盘净值数据(iFinD公式)'!$A26-'实盘净值数据(iFinD公式)'!$A25)/365)-1)</f>
        <v>-7.1139709920980954E-3</v>
      </c>
      <c r="S26" s="50">
        <f>IF(Q26="","",Q26/MAX(Q$5:Q26)-1)</f>
        <v>-6.8984011793588484E-2</v>
      </c>
    </row>
    <row r="27" spans="1:19">
      <c r="A27" s="113">
        <f>IF('实盘净值数据(iFinD公式)'!A27="","",'实盘净值数据(iFinD公式)'!A27)</f>
        <v>46224</v>
      </c>
      <c r="B27" s="112">
        <f>IF(OR((ROW()-1)&lt;6,'实盘净值数据(iFinD公式)'!$A27="",'实盘净值数据(iFinD公式)'!$B27=""),"",SUMPRODUCT(实盘持仓配置!$B$4:$X$4,'实盘净值数据(iFinD公式)'!$B27:$X27/'实盘净值数据(iFinD公式)'!$B$6:$X$6)*(1-实盘持仓配置!$Z$4)^(('实盘净值数据(iFinD公式)'!$A27-'实盘净值数据(iFinD公式)'!$A$6)/365))</f>
        <v>0.85946469092609556</v>
      </c>
      <c r="C27" s="50">
        <f>IF(OR(B26="",'实盘净值数据(iFinD公式)'!$A27="",'实盘净值数据(iFinD公式)'!$B27=""),"",(SUMPRODUCT(实盘持仓配置!$B$4:$X$4,'实盘净值数据(iFinD公式)'!$B26:$X26/'实盘净值数据(iFinD公式)'!$B$6:$X$6,'实盘净值数据(iFinD公式)'!$B27:$X27/'实盘净值数据(iFinD公式)'!$B26:$X26)/SUMPRODUCT(实盘持仓配置!$B$4:$X$4,'实盘净值数据(iFinD公式)'!$B26:$X26/'实盘净值数据(iFinD公式)'!$B$6:$X$6))*(1-实盘持仓配置!$Z$4)^(('实盘净值数据(iFinD公式)'!$A27-'实盘净值数据(iFinD公式)'!$A26)/365)-1)</f>
        <v>0.10843603660961865</v>
      </c>
      <c r="D27" s="50">
        <f>IF(B27="","",B27/MAX(B$5:B27)-1)</f>
        <v>-0.200384834394713</v>
      </c>
      <c r="E27" s="112">
        <f>IF(OR((ROW()-1)&lt;5,'实盘净值数据(iFinD公式)'!$A27="",'实盘净值数据(iFinD公式)'!$B27=""),"",SUMPRODUCT(实盘持仓配置!$B$5:$X$5,'实盘净值数据(iFinD公式)'!$B27:$X27/'实盘净值数据(iFinD公式)'!$B$5:$X$5)*(1-实盘持仓配置!$Z$5)^(('实盘净值数据(iFinD公式)'!$A27-'实盘净值数据(iFinD公式)'!$A$5)/365))</f>
        <v>0.87929902553753392</v>
      </c>
      <c r="F27" s="50">
        <f>IF(OR(E26="",'实盘净值数据(iFinD公式)'!$A27="",'实盘净值数据(iFinD公式)'!$B27=""),"",(SUMPRODUCT(实盘持仓配置!$B$5:$X$5,'实盘净值数据(iFinD公式)'!$B26:$X26/'实盘净值数据(iFinD公式)'!$B$5:$X$5,'实盘净值数据(iFinD公式)'!$B27:$X27/'实盘净值数据(iFinD公式)'!$B26:$X26)/SUMPRODUCT(实盘持仓配置!$B$5:$X$5,'实盘净值数据(iFinD公式)'!$B26:$X26/'实盘净值数据(iFinD公式)'!$B$5:$X$5))*(1-实盘持仓配置!$Z$5)^(('实盘净值数据(iFinD公式)'!$A27-'实盘净值数据(iFinD公式)'!$A26)/365)-1)</f>
        <v>0.10838961156505711</v>
      </c>
      <c r="G27" s="50">
        <f>IF(E27="","",E27/MAX(E$5:E27)-1)</f>
        <v>-0.20044598986537787</v>
      </c>
      <c r="H27" s="112">
        <f>IF(OR((ROW()-1)&lt;7,'实盘净值数据(iFinD公式)'!$A27="",'实盘净值数据(iFinD公式)'!$B27=""),"",SUMPRODUCT(实盘持仓配置!$B$6:$X$6,'实盘净值数据(iFinD公式)'!$B27:$X27/'实盘净值数据(iFinD公式)'!$B$7:$X$7)*(1-实盘持仓配置!$Z$6)^(('实盘净值数据(iFinD公式)'!$A27-'实盘净值数据(iFinD公式)'!$A$7)/365))</f>
        <v>0.90122048856299819</v>
      </c>
      <c r="I27" s="50">
        <f>IF(OR(H26="",'实盘净值数据(iFinD公式)'!$A27="",'实盘净值数据(iFinD公式)'!$B27=""),"",(SUMPRODUCT(实盘持仓配置!$B$6:$X$6,'实盘净值数据(iFinD公式)'!$B26:$X26/'实盘净值数据(iFinD公式)'!$B$7:$X$7,'实盘净值数据(iFinD公式)'!$B27:$X27/'实盘净值数据(iFinD公式)'!$B26:$X26)/SUMPRODUCT(实盘持仓配置!$B$6:$X$6,'实盘净值数据(iFinD公式)'!$B26:$X26/'实盘净值数据(iFinD公式)'!$B$7:$X$7))*(1-实盘持仓配置!$Z$6)^(('实盘净值数据(iFinD公式)'!$A27-'实盘净值数据(iFinD公式)'!$A26)/365)-1)</f>
        <v>0.11089715011284573</v>
      </c>
      <c r="J27" s="50">
        <f>IF(H27="","",H27/MAX(H$5:H27)-1)</f>
        <v>-0.18933609731504641</v>
      </c>
      <c r="K27" s="112">
        <f>IF(OR((ROW()-1)&lt;8,'实盘净值数据(iFinD公式)'!$A27="",'实盘净值数据(iFinD公式)'!$B27=""),"",SUMPRODUCT(实盘持仓配置!$B$7:$X$7,'实盘净值数据(iFinD公式)'!$B27:$X27/'实盘净值数据(iFinD公式)'!$B$8:$X$8)*(1-实盘持仓配置!$Z$7)^(('实盘净值数据(iFinD公式)'!$A27-'实盘净值数据(iFinD公式)'!$A$8)/365))</f>
        <v>0.9870832292807008</v>
      </c>
      <c r="L27" s="50">
        <f>IF(OR(K26="",'实盘净值数据(iFinD公式)'!$A27="",'实盘净值数据(iFinD公式)'!$B27=""),"",(SUMPRODUCT(实盘持仓配置!$B$7:$X$7,'实盘净值数据(iFinD公式)'!$B26:$X26/'实盘净值数据(iFinD公式)'!$B$8:$X$8,'实盘净值数据(iFinD公式)'!$B27:$X27/'实盘净值数据(iFinD公式)'!$B26:$X26)/SUMPRODUCT(实盘持仓配置!$B$7:$X$7,'实盘净值数据(iFinD公式)'!$B26:$X26/'实盘净值数据(iFinD公式)'!$B$8:$X$8))*(1-实盘持仓配置!$Z$7)^(('实盘净值数据(iFinD公式)'!$A27-'实盘净值数据(iFinD公式)'!$A26)/365)-1)</f>
        <v>7.043075844916924E-3</v>
      </c>
      <c r="M27" s="50">
        <f>IF(K27="","",K27/MAX(K$5:K27)-1)</f>
        <v>-1.6135967567971421E-2</v>
      </c>
      <c r="N27" s="112">
        <f>IF(OR((ROW()-1)&lt;5,'实盘净值数据(iFinD公式)'!$A27="",'实盘净值数据(iFinD公式)'!$B27=""),"",SUMPRODUCT(实盘持仓配置!$B$8:$X$8,'实盘净值数据(iFinD公式)'!$B27:$X27/'实盘净值数据(iFinD公式)'!$B$5:$X$5)*(1-实盘持仓配置!$Z$8)^(('实盘净值数据(iFinD公式)'!$A27-'实盘净值数据(iFinD公式)'!$A$5)/365))</f>
        <v>0.98570491337708577</v>
      </c>
      <c r="O27" s="50">
        <f>IF(OR(N26="",'实盘净值数据(iFinD公式)'!$A27="",'实盘净值数据(iFinD公式)'!$B27=""),"",(SUMPRODUCT(实盘持仓配置!$B$8:$X$8,'实盘净值数据(iFinD公式)'!$B26:$X26/'实盘净值数据(iFinD公式)'!$B$5:$X$5,'实盘净值数据(iFinD公式)'!$B27:$X27/'实盘净值数据(iFinD公式)'!$B26:$X26)/SUMPRODUCT(实盘持仓配置!$B$8:$X$8,'实盘净值数据(iFinD公式)'!$B26:$X26/'实盘净值数据(iFinD公式)'!$B$5:$X$5))*(1-实盘持仓配置!$Z$8)^(('实盘净值数据(iFinD公式)'!$A27-'实盘净值数据(iFinD公式)'!$A26)/365)-1)</f>
        <v>7.0473240726960373E-3</v>
      </c>
      <c r="P27" s="50">
        <f>IF(N27="","",N27/MAX(N$5:N27)-1)</f>
        <v>-1.6959263800748192E-2</v>
      </c>
      <c r="Q27" s="112">
        <f>IF(OR((ROW()-1)&lt;8,'实盘净值数据(iFinD公式)'!$A27="",'实盘净值数据(iFinD公式)'!$B27=""),"",SUMPRODUCT(实盘持仓配置!$B$9:$X$9,'实盘净值数据(iFinD公式)'!$B27:$X27/'实盘净值数据(iFinD公式)'!$B$8:$X$8)*(1-实盘持仓配置!$Z$9)^(('实盘净值数据(iFinD公式)'!$A27-'实盘净值数据(iFinD公式)'!$A$8)/365))</f>
        <v>0.958828460064858</v>
      </c>
      <c r="R27" s="50">
        <f>IF(OR(Q26="",'实盘净值数据(iFinD公式)'!$A27="",'实盘净值数据(iFinD公式)'!$B27=""),"",(SUMPRODUCT(实盘持仓配置!$B$9:$X$9,'实盘净值数据(iFinD公式)'!$B26:$X26/'实盘净值数据(iFinD公式)'!$B$8:$X$8,'实盘净值数据(iFinD公式)'!$B27:$X27/'实盘净值数据(iFinD公式)'!$B26:$X26)/SUMPRODUCT(实盘持仓配置!$B$9:$X$9,'实盘净值数据(iFinD公式)'!$B26:$X26/'实盘净值数据(iFinD公式)'!$B$8:$X$8))*(1-实盘持仓配置!$Z$9)^(('实盘净值数据(iFinD公式)'!$A27-'实盘净值数据(iFinD公式)'!$A26)/365)-1)</f>
        <v>2.0928008720885627E-2</v>
      </c>
      <c r="S27" s="50">
        <f>IF(Q27="","",Q27/MAX(Q$5:Q27)-1)</f>
        <v>-4.949970107312085E-2</v>
      </c>
    </row>
    <row r="28" spans="1:19">
      <c r="A28" s="113">
        <f>IF('实盘净值数据(iFinD公式)'!A28="","",'实盘净值数据(iFinD公式)'!A28)</f>
        <v>46225</v>
      </c>
      <c r="B28" s="112">
        <f>IF(OR((ROW()-1)&lt;6,'实盘净值数据(iFinD公式)'!$A28="",'实盘净值数据(iFinD公式)'!$B28=""),"",SUMPRODUCT(实盘持仓配置!$B$4:$X$4,'实盘净值数据(iFinD公式)'!$B28:$X28/'实盘净值数据(iFinD公式)'!$B$6:$X$6)*(1-实盘持仓配置!$Z$4)^(('实盘净值数据(iFinD公式)'!$A28-'实盘净值数据(iFinD公式)'!$A$6)/365))</f>
        <v>0.83197420497132135</v>
      </c>
      <c r="C28" s="50">
        <f>IF(OR(B27="",'实盘净值数据(iFinD公式)'!$A28="",'实盘净值数据(iFinD公式)'!$B28=""),"",(SUMPRODUCT(实盘持仓配置!$B$4:$X$4,'实盘净值数据(iFinD公式)'!$B27:$X27/'实盘净值数据(iFinD公式)'!$B$6:$X$6,'实盘净值数据(iFinD公式)'!$B28:$X28/'实盘净值数据(iFinD公式)'!$B27:$X27)/SUMPRODUCT(实盘持仓配置!$B$4:$X$4,'实盘净值数据(iFinD公式)'!$B27:$X27/'实盘净值数据(iFinD公式)'!$B$6:$X$6))*(1-实盘持仓配置!$Z$4)^(('实盘净值数据(iFinD公式)'!$A28-'实盘净值数据(iFinD公式)'!$A27)/365)-1)</f>
        <v>-3.1985590850919565E-2</v>
      </c>
      <c r="D28" s="50">
        <f>IF(B28="","",B28/MAX(B$5:B28)-1)</f>
        <v>-0.22596099791995405</v>
      </c>
      <c r="E28" s="112">
        <f>IF(OR((ROW()-1)&lt;5,'实盘净值数据(iFinD公式)'!$A28="",'实盘净值数据(iFinD公式)'!$B28=""),"",SUMPRODUCT(实盘持仓配置!$B$5:$X$5,'实盘净值数据(iFinD公式)'!$B28:$X28/'实盘净值数据(iFinD公式)'!$B$5:$X$5)*(1-实盘持仓配置!$Z$5)^(('实盘净值数据(iFinD公式)'!$A28-'实盘净值数据(iFinD公式)'!$A$5)/365))</f>
        <v>0.85114699966568852</v>
      </c>
      <c r="F28" s="50">
        <f>IF(OR(E27="",'实盘净值数据(iFinD公式)'!$A28="",'实盘净值数据(iFinD公式)'!$B28=""),"",(SUMPRODUCT(实盘持仓配置!$B$5:$X$5,'实盘净值数据(iFinD公式)'!$B27:$X27/'实盘净值数据(iFinD公式)'!$B$5:$X$5,'实盘净值数据(iFinD公式)'!$B28:$X28/'实盘净值数据(iFinD公式)'!$B27:$X27)/SUMPRODUCT(实盘持仓配置!$B$5:$X$5,'实盘净值数据(iFinD公式)'!$B27:$X27/'实盘净值数据(iFinD公式)'!$B$5:$X$5))*(1-实盘持仓配置!$Z$5)^(('实盘净值数据(iFinD公式)'!$A28-'实盘净值数据(iFinD公式)'!$A27)/365)-1)</f>
        <v>-3.2016441567913057E-2</v>
      </c>
      <c r="G28" s="50">
        <f>IF(E28="","",E28/MAX(E$5:E28)-1)</f>
        <v>-0.22604486411124358</v>
      </c>
      <c r="H28" s="112">
        <f>IF(OR((ROW()-1)&lt;7,'实盘净值数据(iFinD公式)'!$A28="",'实盘净值数据(iFinD公式)'!$B28=""),"",SUMPRODUCT(实盘持仓配置!$B$6:$X$6,'实盘净值数据(iFinD公式)'!$B28:$X28/'实盘净值数据(iFinD公式)'!$B$7:$X$7)*(1-实盘持仓配置!$Z$6)^(('实盘净值数据(iFinD公式)'!$A28-'实盘净值数据(iFinD公式)'!$A$7)/365))</f>
        <v>0.87495554922392715</v>
      </c>
      <c r="I28" s="50">
        <f>IF(OR(H27="",'实盘净值数据(iFinD公式)'!$A28="",'实盘净值数据(iFinD公式)'!$B28=""),"",(SUMPRODUCT(实盘持仓配置!$B$6:$X$6,'实盘净值数据(iFinD公式)'!$B27:$X27/'实盘净值数据(iFinD公式)'!$B$7:$X$7,'实盘净值数据(iFinD公式)'!$B28:$X28/'实盘净值数据(iFinD公式)'!$B27:$X27)/SUMPRODUCT(实盘持仓配置!$B$6:$X$6,'实盘净值数据(iFinD公式)'!$B27:$X27/'实盘净值数据(iFinD公式)'!$B$7:$X$7))*(1-实盘持仓配置!$Z$6)^(('实盘净值数据(iFinD公式)'!$A28-'实盘净值数据(iFinD公式)'!$A27)/365)-1)</f>
        <v>-2.9143744147395845E-2</v>
      </c>
      <c r="J28" s="50">
        <f>IF(H28="","",H28/MAX(H$5:H28)-1)</f>
        <v>-0.21296187868442606</v>
      </c>
      <c r="K28" s="112">
        <f>IF(OR((ROW()-1)&lt;8,'实盘净值数据(iFinD公式)'!$A28="",'实盘净值数据(iFinD公式)'!$B28=""),"",SUMPRODUCT(实盘持仓配置!$B$7:$X$7,'实盘净值数据(iFinD公式)'!$B28:$X28/'实盘净值数据(iFinD公式)'!$B$8:$X$8)*(1-实盘持仓配置!$Z$7)^(('实盘净值数据(iFinD公式)'!$A28-'实盘净值数据(iFinD公式)'!$A$8)/365))</f>
        <v>0.98731072193664293</v>
      </c>
      <c r="L28" s="50">
        <f>IF(OR(K27="",'实盘净值数据(iFinD公式)'!$A28="",'实盘净值数据(iFinD公式)'!$B28=""),"",(SUMPRODUCT(实盘持仓配置!$B$7:$X$7,'实盘净值数据(iFinD公式)'!$B27:$X27/'实盘净值数据(iFinD公式)'!$B$8:$X$8,'实盘净值数据(iFinD公式)'!$B28:$X28/'实盘净值数据(iFinD公式)'!$B27:$X27)/SUMPRODUCT(实盘持仓配置!$B$7:$X$7,'实盘净值数据(iFinD公式)'!$B27:$X27/'实盘净值数据(iFinD公式)'!$B$8:$X$8))*(1-实盘持仓配置!$Z$7)^(('实盘净值数据(iFinD公式)'!$A28-'实盘净值数据(iFinD公式)'!$A27)/365)-1)</f>
        <v>2.304695786470301E-4</v>
      </c>
      <c r="M28" s="50">
        <f>IF(K28="","",K28/MAX(K$5:K28)-1)</f>
        <v>-1.5909216838970619E-2</v>
      </c>
      <c r="N28" s="112">
        <f>IF(OR((ROW()-1)&lt;5,'实盘净值数据(iFinD公式)'!$A28="",'实盘净值数据(iFinD公式)'!$B28=""),"",SUMPRODUCT(实盘持仓配置!$B$8:$X$8,'实盘净值数据(iFinD公式)'!$B28:$X28/'实盘净值数据(iFinD公式)'!$B$5:$X$5)*(1-实盘持仓配置!$Z$8)^(('实盘净值数据(iFinD公式)'!$A28-'实盘净值数据(iFinD公式)'!$A$5)/365))</f>
        <v>0.98576146263915454</v>
      </c>
      <c r="O28" s="50">
        <f>IF(OR(N27="",'实盘净值数据(iFinD公式)'!$A28="",'实盘净值数据(iFinD公式)'!$B28=""),"",(SUMPRODUCT(实盘持仓配置!$B$8:$X$8,'实盘净值数据(iFinD公式)'!$B27:$X27/'实盘净值数据(iFinD公式)'!$B$5:$X$5,'实盘净值数据(iFinD公式)'!$B28:$X28/'实盘净值数据(iFinD公式)'!$B27:$X27)/SUMPRODUCT(实盘持仓配置!$B$8:$X$8,'实盘净值数据(iFinD公式)'!$B27:$X27/'实盘净值数据(iFinD公式)'!$B$5:$X$5))*(1-实盘持仓配置!$Z$8)^(('实盘净值数据(iFinD公式)'!$A28-'实盘净值数据(iFinD公式)'!$A27)/365)-1)</f>
        <v>5.7369362068904195E-5</v>
      </c>
      <c r="P28" s="50">
        <f>IF(N28="","",N28/MAX(N$5:N28)-1)</f>
        <v>-1.6902867380824582E-2</v>
      </c>
      <c r="Q28" s="112">
        <f>IF(OR((ROW()-1)&lt;8,'实盘净值数据(iFinD公式)'!$A28="",'实盘净值数据(iFinD公式)'!$B28=""),"",SUMPRODUCT(实盘持仓配置!$B$9:$X$9,'实盘净值数据(iFinD公式)'!$B28:$X28/'实盘净值数据(iFinD公式)'!$B$8:$X$8)*(1-实盘持仓配置!$Z$9)^(('实盘净值数据(iFinD公式)'!$A28-'实盘净值数据(iFinD公式)'!$A$8)/365))</f>
        <v>0.95597311396720086</v>
      </c>
      <c r="R28" s="50">
        <f>IF(OR(Q27="",'实盘净值数据(iFinD公式)'!$A28="",'实盘净值数据(iFinD公式)'!$B28=""),"",(SUMPRODUCT(实盘持仓配置!$B$9:$X$9,'实盘净值数据(iFinD公式)'!$B27:$X27/'实盘净值数据(iFinD公式)'!$B$8:$X$8,'实盘净值数据(iFinD公式)'!$B28:$X28/'实盘净值数据(iFinD公式)'!$B27:$X27)/SUMPRODUCT(实盘持仓配置!$B$9:$X$9,'实盘净值数据(iFinD公式)'!$B27:$X27/'实盘净值数据(iFinD公式)'!$B$8:$X$8))*(1-实盘持仓配置!$Z$9)^(('实盘净值数据(iFinD公式)'!$A28-'实盘净值数据(iFinD公式)'!$A27)/365)-1)</f>
        <v>-2.9779530088878126E-3</v>
      </c>
      <c r="S28" s="50">
        <f>IF(Q28="","",Q28/MAX(Q$5:Q28)-1)</f>
        <v>-5.2330246298258665E-2</v>
      </c>
    </row>
    <row r="29" spans="1:19">
      <c r="A29" s="113">
        <f>IF('实盘净值数据(iFinD公式)'!A29="","",'实盘净值数据(iFinD公式)'!A29)</f>
        <v>46226</v>
      </c>
      <c r="B29" s="112">
        <f>IF(OR((ROW()-1)&lt;6,'实盘净值数据(iFinD公式)'!$A29="",'实盘净值数据(iFinD公式)'!$B29=""),"",SUMPRODUCT(实盘持仓配置!$B$4:$X$4,'实盘净值数据(iFinD公式)'!$B29:$X29/'实盘净值数据(iFinD公式)'!$B$6:$X$6)*(1-实盘持仓配置!$Z$4)^(('实盘净值数据(iFinD公式)'!$A29-'实盘净值数据(iFinD公式)'!$A$6)/365))</f>
        <v>0.81227311402614921</v>
      </c>
      <c r="C29" s="50">
        <f>IF(OR(B28="",'实盘净值数据(iFinD公式)'!$A29="",'实盘净值数据(iFinD公式)'!$B29=""),"",(SUMPRODUCT(实盘持仓配置!$B$4:$X$4,'实盘净值数据(iFinD公式)'!$B28:$X28/'实盘净值数据(iFinD公式)'!$B$6:$X$6,'实盘净值数据(iFinD公式)'!$B29:$X29/'实盘净值数据(iFinD公式)'!$B28:$X28)/SUMPRODUCT(实盘持仓配置!$B$4:$X$4,'实盘净值数据(iFinD公式)'!$B28:$X28/'实盘净值数据(iFinD公式)'!$B$6:$X$6))*(1-实盘持仓配置!$Z$4)^(('实盘净值数据(iFinD公式)'!$A29-'实盘净值数据(iFinD公式)'!$A28)/365)-1)</f>
        <v>-2.3679930011593631E-2</v>
      </c>
      <c r="D29" s="50">
        <f>IF(B29="","",B29/MAX(B$5:B29)-1)</f>
        <v>-0.24429018731545327</v>
      </c>
      <c r="E29" s="112">
        <f>IF(OR((ROW()-1)&lt;5,'实盘净值数据(iFinD公式)'!$A29="",'实盘净值数据(iFinD公式)'!$B29=""),"",SUMPRODUCT(实盘持仓配置!$B$5:$X$5,'实盘净值数据(iFinD公式)'!$B29:$X29/'实盘净值数据(iFinD公式)'!$B$5:$X$5)*(1-实盘持仓配置!$Z$5)^(('实盘净值数据(iFinD公式)'!$A29-'实盘净值数据(iFinD公式)'!$A$5)/365))</f>
        <v>0.83103320593849739</v>
      </c>
      <c r="F29" s="50">
        <f>IF(OR(E28="",'实盘净值数据(iFinD公式)'!$A29="",'实盘净值数据(iFinD公式)'!$B29=""),"",(SUMPRODUCT(实盘持仓配置!$B$5:$X$5,'实盘净值数据(iFinD公式)'!$B28:$X28/'实盘净值数据(iFinD公式)'!$B$5:$X$5,'实盘净值数据(iFinD公式)'!$B29:$X29/'实盘净值数据(iFinD公式)'!$B28:$X28)/SUMPRODUCT(实盘持仓配置!$B$5:$X$5,'实盘净值数据(iFinD公式)'!$B28:$X28/'实盘净值数据(iFinD公式)'!$B$5:$X$5))*(1-实盘持仓配置!$Z$5)^(('实盘净值数据(iFinD公式)'!$A29-'实盘净值数据(iFinD公式)'!$A28)/365)-1)</f>
        <v>-2.3631398260337444E-2</v>
      </c>
      <c r="G29" s="50">
        <f>IF(E29="","",E29/MAX(E$5:E29)-1)</f>
        <v>-0.2443345061630644</v>
      </c>
      <c r="H29" s="112">
        <f>IF(OR((ROW()-1)&lt;7,'实盘净值数据(iFinD公式)'!$A29="",'实盘净值数据(iFinD公式)'!$B29=""),"",SUMPRODUCT(实盘持仓配置!$B$6:$X$6,'实盘净值数据(iFinD公式)'!$B29:$X29/'实盘净值数据(iFinD公式)'!$B$7:$X$7)*(1-实盘持仓配置!$Z$6)^(('实盘净值数据(iFinD公式)'!$A29-'实盘净值数据(iFinD公式)'!$A$7)/365))</f>
        <v>0.85248399586672574</v>
      </c>
      <c r="I29" s="50">
        <f>IF(OR(H28="",'实盘净值数据(iFinD公式)'!$A29="",'实盘净值数据(iFinD公式)'!$B29=""),"",(SUMPRODUCT(实盘持仓配置!$B$6:$X$6,'实盘净值数据(iFinD公式)'!$B28:$X28/'实盘净值数据(iFinD公式)'!$B$7:$X$7,'实盘净值数据(iFinD公式)'!$B29:$X29/'实盘净值数据(iFinD公式)'!$B28:$X28)/SUMPRODUCT(实盘持仓配置!$B$6:$X$6,'实盘净值数据(iFinD公式)'!$B28:$X28/'实盘净值数据(iFinD公式)'!$B$7:$X$7))*(1-实盘持仓配置!$Z$6)^(('实盘净值数据(iFinD公式)'!$A29-'实盘净值数据(iFinD公式)'!$A28)/365)-1)</f>
        <v>-2.5683079988615631E-2</v>
      </c>
      <c r="J29" s="50">
        <f>IF(H29="","",H29/MAX(H$5:H29)-1)</f>
        <v>-0.23317544170826388</v>
      </c>
      <c r="K29" s="112">
        <f>IF(OR((ROW()-1)&lt;8,'实盘净值数据(iFinD公式)'!$A29="",'实盘净值数据(iFinD公式)'!$B29=""),"",SUMPRODUCT(实盘持仓配置!$B$7:$X$7,'实盘净值数据(iFinD公式)'!$B29:$X29/'实盘净值数据(iFinD公式)'!$B$8:$X$8)*(1-实盘持仓配置!$Z$7)^(('实盘净值数据(iFinD公式)'!$A29-'实盘净值数据(iFinD公式)'!$A$8)/365))</f>
        <v>0.98655063158325051</v>
      </c>
      <c r="L29" s="50">
        <f>IF(OR(K28="",'实盘净值数据(iFinD公式)'!$A29="",'实盘净值数据(iFinD公式)'!$B29=""),"",(SUMPRODUCT(实盘持仓配置!$B$7:$X$7,'实盘净值数据(iFinD公式)'!$B28:$X28/'实盘净值数据(iFinD公式)'!$B$8:$X$8,'实盘净值数据(iFinD公式)'!$B29:$X29/'实盘净值数据(iFinD公式)'!$B28:$X28)/SUMPRODUCT(实盘持仓配置!$B$7:$X$7,'实盘净值数据(iFinD公式)'!$B28:$X28/'实盘净值数据(iFinD公式)'!$B$8:$X$8))*(1-实盘持仓配置!$Z$7)^(('实盘净值数据(iFinD公式)'!$A29-'实盘净值数据(iFinD公式)'!$A28)/365)-1)</f>
        <v>-7.6985931227546711E-4</v>
      </c>
      <c r="M29" s="50">
        <f>IF(K29="","",K29/MAX(K$5:K29)-1)</f>
        <v>-1.6666828292511648E-2</v>
      </c>
      <c r="N29" s="112">
        <f>IF(OR((ROW()-1)&lt;5,'实盘净值数据(iFinD公式)'!$A29="",'实盘净值数据(iFinD公式)'!$B29=""),"",SUMPRODUCT(实盘持仓配置!$B$8:$X$8,'实盘净值数据(iFinD公式)'!$B29:$X29/'实盘净值数据(iFinD公式)'!$B$5:$X$5)*(1-实盘持仓配置!$Z$8)^(('实盘净值数据(iFinD公式)'!$A29-'实盘净值数据(iFinD公式)'!$A$5)/365))</f>
        <v>0.98507935115721557</v>
      </c>
      <c r="O29" s="50">
        <f>IF(OR(N28="",'实盘净值数据(iFinD公式)'!$A29="",'实盘净值数据(iFinD公式)'!$B29=""),"",(SUMPRODUCT(实盘持仓配置!$B$8:$X$8,'实盘净值数据(iFinD公式)'!$B28:$X28/'实盘净值数据(iFinD公式)'!$B$5:$X$5,'实盘净值数据(iFinD公式)'!$B29:$X29/'实盘净值数据(iFinD公式)'!$B28:$X28)/SUMPRODUCT(实盘持仓配置!$B$8:$X$8,'实盘净值数据(iFinD公式)'!$B28:$X28/'实盘净值数据(iFinD公式)'!$B$5:$X$5))*(1-实盘持仓配置!$Z$8)^(('实盘净值数据(iFinD公式)'!$A29-'实盘净值数据(iFinD公式)'!$A28)/365)-1)</f>
        <v>-6.9196403774274273E-4</v>
      </c>
      <c r="P29" s="50">
        <f>IF(N29="","",N29/MAX(N$5:N29)-1)</f>
        <v>-1.7583135242205006E-2</v>
      </c>
      <c r="Q29" s="112">
        <f>IF(OR((ROW()-1)&lt;8,'实盘净值数据(iFinD公式)'!$A29="",'实盘净值数据(iFinD公式)'!$B29=""),"",SUMPRODUCT(实盘持仓配置!$B$9:$X$9,'实盘净值数据(iFinD公式)'!$B29:$X29/'实盘净值数据(iFinD公式)'!$B$8:$X$8)*(1-实盘持仓配置!$Z$9)^(('实盘净值数据(iFinD公式)'!$A29-'实盘净值数据(iFinD公式)'!$A$8)/365))</f>
        <v>0.95345646339672219</v>
      </c>
      <c r="R29" s="50">
        <f>IF(OR(Q28="",'实盘净值数据(iFinD公式)'!$A29="",'实盘净值数据(iFinD公式)'!$B29=""),"",(SUMPRODUCT(实盘持仓配置!$B$9:$X$9,'实盘净值数据(iFinD公式)'!$B28:$X28/'实盘净值数据(iFinD公式)'!$B$8:$X$8,'实盘净值数据(iFinD公式)'!$B29:$X29/'实盘净值数据(iFinD公式)'!$B28:$X28)/SUMPRODUCT(实盘持仓配置!$B$9:$X$9,'实盘净值数据(iFinD公式)'!$B28:$X28/'实盘净值数据(iFinD公式)'!$B$8:$X$8))*(1-实盘持仓配置!$Z$9)^(('实盘净值数据(iFinD公式)'!$A29-'实盘净值数据(iFinD公式)'!$A28)/365)-1)</f>
        <v>-2.6325537127658283E-3</v>
      </c>
      <c r="S29" s="50">
        <f>IF(Q29="","",Q29/MAX(Q$5:Q29)-1)</f>
        <v>-5.4825037826842005E-2</v>
      </c>
    </row>
    <row r="30" spans="1:19">
      <c r="A30" s="113">
        <f>IF('实盘净值数据(iFinD公式)'!A30="","",'实盘净值数据(iFinD公式)'!A30)</f>
        <v>46227</v>
      </c>
      <c r="B30" s="112">
        <f>IF(OR((ROW()-1)&lt;6,'实盘净值数据(iFinD公式)'!$A30="",'实盘净值数据(iFinD公式)'!$B30=""),"",SUMPRODUCT(实盘持仓配置!$B$4:$X$4,'实盘净值数据(iFinD公式)'!$B30:$X30/'实盘净值数据(iFinD公式)'!$B$6:$X$6)*(1-实盘持仓配置!$Z$4)^(('实盘净值数据(iFinD公式)'!$A30-'实盘净值数据(iFinD公式)'!$A$6)/365))</f>
        <v>0.80715756588645293</v>
      </c>
      <c r="C30" s="50">
        <f>IF(OR(B29="",'实盘净值数据(iFinD公式)'!$A30="",'实盘净值数据(iFinD公式)'!$B30=""),"",(SUMPRODUCT(实盘持仓配置!$B$4:$X$4,'实盘净值数据(iFinD公式)'!$B29:$X29/'实盘净值数据(iFinD公式)'!$B$6:$X$6,'实盘净值数据(iFinD公式)'!$B30:$X30/'实盘净值数据(iFinD公式)'!$B29:$X29)/SUMPRODUCT(实盘持仓配置!$B$4:$X$4,'实盘净值数据(iFinD公式)'!$B29:$X29/'实盘净值数据(iFinD公式)'!$B$6:$X$6))*(1-实盘持仓配置!$Z$4)^(('实盘净值数据(iFinD公式)'!$A30-'实盘净值数据(iFinD公式)'!$A29)/365)-1)</f>
        <v>-6.2978178784476313E-3</v>
      </c>
      <c r="D30" s="50">
        <f>IF(B30="","",B30/MAX(B$5:B30)-1)</f>
        <v>-0.24904951008469645</v>
      </c>
      <c r="E30" s="112">
        <f>IF(OR((ROW()-1)&lt;5,'实盘净值数据(iFinD公式)'!$A30="",'实盘净值数据(iFinD公式)'!$B30=""),"",SUMPRODUCT(实盘持仓配置!$B$5:$X$5,'实盘净值数据(iFinD公式)'!$B30:$X30/'实盘净值数据(iFinD公式)'!$B$5:$X$5)*(1-实盘持仓配置!$Z$5)^(('实盘净值数据(iFinD公式)'!$A30-'实盘净值数据(iFinD公式)'!$A$5)/365))</f>
        <v>0.82575535764956975</v>
      </c>
      <c r="F30" s="50">
        <f>IF(OR(E29="",'实盘净值数据(iFinD公式)'!$A30="",'实盘净值数据(iFinD公式)'!$B30=""),"",(SUMPRODUCT(实盘持仓配置!$B$5:$X$5,'实盘净值数据(iFinD公式)'!$B29:$X29/'实盘净值数据(iFinD公式)'!$B$5:$X$5,'实盘净值数据(iFinD公式)'!$B30:$X30/'实盘净值数据(iFinD公式)'!$B29:$X29)/SUMPRODUCT(实盘持仓配置!$B$5:$X$5,'实盘净值数据(iFinD公式)'!$B29:$X29/'实盘净值数据(iFinD公式)'!$B$5:$X$5))*(1-实盘持仓配置!$Z$5)^(('实盘净值数据(iFinD公式)'!$A30-'实盘净值数据(iFinD公式)'!$A29)/365)-1)</f>
        <v>-6.3509475327970799E-3</v>
      </c>
      <c r="G30" s="50">
        <f>IF(E30="","",E30/MAX(E$5:E30)-1)</f>
        <v>-0.24913369806676799</v>
      </c>
      <c r="H30" s="112">
        <f>IF(OR((ROW()-1)&lt;7,'实盘净值数据(iFinD公式)'!$A30="",'实盘净值数据(iFinD公式)'!$B30=""),"",SUMPRODUCT(实盘持仓配置!$B$6:$X$6,'实盘净值数据(iFinD公式)'!$B30:$X30/'实盘净值数据(iFinD公式)'!$B$7:$X$7)*(1-实盘持仓配置!$Z$6)^(('实盘净值数据(iFinD公式)'!$A30-'实盘净值数据(iFinD公式)'!$A$7)/365))</f>
        <v>0.85188319002223423</v>
      </c>
      <c r="I30" s="50">
        <f>IF(OR(H29="",'实盘净值数据(iFinD公式)'!$A30="",'实盘净值数据(iFinD公式)'!$B30=""),"",(SUMPRODUCT(实盘持仓配置!$B$6:$X$6,'实盘净值数据(iFinD公式)'!$B29:$X29/'实盘净值数据(iFinD公式)'!$B$7:$X$7,'实盘净值数据(iFinD公式)'!$B30:$X30/'实盘净值数据(iFinD公式)'!$B29:$X29)/SUMPRODUCT(实盘持仓配置!$B$6:$X$6,'实盘净值数据(iFinD公式)'!$B29:$X29/'实盘净值数据(iFinD公式)'!$B$7:$X$7))*(1-实盘持仓配置!$Z$6)^(('实盘净值数据(iFinD公式)'!$A30-'实盘净值数据(iFinD公式)'!$A29)/365)-1)</f>
        <v>-7.0477081963360444E-4</v>
      </c>
      <c r="J30" s="50">
        <f>IF(H30="","",H30/MAX(H$5:H30)-1)</f>
        <v>-0.23371587728072629</v>
      </c>
      <c r="K30" s="112">
        <f>IF(OR((ROW()-1)&lt;8,'实盘净值数据(iFinD公式)'!$A30="",'实盘净值数据(iFinD公式)'!$B30=""),"",SUMPRODUCT(实盘持仓配置!$B$7:$X$7,'实盘净值数据(iFinD公式)'!$B30:$X30/'实盘净值数据(iFinD公式)'!$B$8:$X$8)*(1-实盘持仓配置!$Z$7)^(('实盘净值数据(iFinD公式)'!$A30-'实盘净值数据(iFinD公式)'!$A$8)/365))</f>
        <v>0.98521956935022792</v>
      </c>
      <c r="L30" s="50">
        <f>IF(OR(K29="",'实盘净值数据(iFinD公式)'!$A30="",'实盘净值数据(iFinD公式)'!$B30=""),"",(SUMPRODUCT(实盘持仓配置!$B$7:$X$7,'实盘净值数据(iFinD公式)'!$B29:$X29/'实盘净值数据(iFinD公式)'!$B$8:$X$8,'实盘净值数据(iFinD公式)'!$B30:$X30/'实盘净值数据(iFinD公式)'!$B29:$X29)/SUMPRODUCT(实盘持仓配置!$B$7:$X$7,'实盘净值数据(iFinD公式)'!$B29:$X29/'实盘净值数据(iFinD公式)'!$B$8:$X$8))*(1-实盘持仓配置!$Z$7)^(('实盘净值数据(iFinD公式)'!$A30-'实盘净值数据(iFinD公式)'!$A29)/365)-1)</f>
        <v>-1.3492082316003406E-3</v>
      </c>
      <c r="M30" s="50">
        <f>IF(K30="","",K30/MAX(K$5:K30)-1)</f>
        <v>-1.7993549502185013E-2</v>
      </c>
      <c r="N30" s="112">
        <f>IF(OR((ROW()-1)&lt;5,'实盘净值数据(iFinD公式)'!$A30="",'实盘净值数据(iFinD公式)'!$B30=""),"",SUMPRODUCT(实盘持仓配置!$B$8:$X$8,'实盘净值数据(iFinD公式)'!$B30:$X30/'实盘净值数据(iFinD公式)'!$B$5:$X$5)*(1-实盘持仓配置!$Z$8)^(('实盘净值数据(iFinD公式)'!$A30-'实盘净值数据(iFinD公式)'!$A$5)/365))</f>
        <v>0.98355098519548201</v>
      </c>
      <c r="O30" s="50">
        <f>IF(OR(N29="",'实盘净值数据(iFinD公式)'!$A30="",'实盘净值数据(iFinD公式)'!$B30=""),"",(SUMPRODUCT(实盘持仓配置!$B$8:$X$8,'实盘净值数据(iFinD公式)'!$B29:$X29/'实盘净值数据(iFinD公式)'!$B$5:$X$5,'实盘净值数据(iFinD公式)'!$B30:$X30/'实盘净值数据(iFinD公式)'!$B29:$X29)/SUMPRODUCT(实盘持仓配置!$B$8:$X$8,'实盘净值数据(iFinD公式)'!$B29:$X29/'实盘净值数据(iFinD公式)'!$B$5:$X$5))*(1-实盘持仓配置!$Z$8)^(('实盘净值数据(iFinD公式)'!$A30-'实盘净值数据(iFinD公式)'!$A29)/365)-1)</f>
        <v>-1.5515155808900616E-3</v>
      </c>
      <c r="P30" s="50">
        <f>IF(N30="","",N30/MAX(N$5:N30)-1)</f>
        <v>-1.9107370314806027E-2</v>
      </c>
      <c r="Q30" s="112">
        <f>IF(OR((ROW()-1)&lt;8,'实盘净值数据(iFinD公式)'!$A30="",'实盘净值数据(iFinD公式)'!$B30=""),"",SUMPRODUCT(实盘持仓配置!$B$9:$X$9,'实盘净值数据(iFinD公式)'!$B30:$X30/'实盘净值数据(iFinD公式)'!$B$8:$X$8)*(1-实盘持仓配置!$Z$9)^(('实盘净值数据(iFinD公式)'!$A30-'实盘净值数据(iFinD公式)'!$A$8)/365))</f>
        <v>0.94913627950643709</v>
      </c>
      <c r="R30" s="50">
        <f>IF(OR(Q29="",'实盘净值数据(iFinD公式)'!$A30="",'实盘净值数据(iFinD公式)'!$B30=""),"",(SUMPRODUCT(实盘持仓配置!$B$9:$X$9,'实盘净值数据(iFinD公式)'!$B29:$X29/'实盘净值数据(iFinD公式)'!$B$8:$X$8,'实盘净值数据(iFinD公式)'!$B30:$X30/'实盘净值数据(iFinD公式)'!$B29:$X29)/SUMPRODUCT(实盘持仓配置!$B$9:$X$9,'实盘净值数据(iFinD公式)'!$B29:$X29/'实盘净值数据(iFinD公式)'!$B$8:$X$8))*(1-实盘持仓配置!$Z$9)^(('实盘净值数据(iFinD公式)'!$A30-'实盘净值数据(iFinD公式)'!$A29)/365)-1)</f>
        <v>-4.5310762013134331E-3</v>
      </c>
      <c r="S30" s="50">
        <f>IF(Q30="","",Q30/MAX(Q$5:Q30)-1)</f>
        <v>-5.9107697604021903E-2</v>
      </c>
    </row>
    <row r="31" spans="1:19">
      <c r="A31" s="113">
        <f>IF('实盘净值数据(iFinD公式)'!A31="","",'实盘净值数据(iFinD公式)'!A31)</f>
        <v>46230</v>
      </c>
      <c r="B31" s="112">
        <f>IF(OR((ROW()-1)&lt;6,'实盘净值数据(iFinD公式)'!$A31="",'实盘净值数据(iFinD公式)'!$B31=""),"",SUMPRODUCT(实盘持仓配置!$B$4:$X$4,'实盘净值数据(iFinD公式)'!$B31:$X31/'实盘净值数据(iFinD公式)'!$B$6:$X$6)*(1-实盘持仓配置!$Z$4)^(('实盘净值数据(iFinD公式)'!$A31-'实盘净值数据(iFinD公式)'!$A$6)/365))</f>
        <v>0.831062189618059</v>
      </c>
      <c r="C31" s="50">
        <f>IF(OR(B30="",'实盘净值数据(iFinD公式)'!$A31="",'实盘净值数据(iFinD公式)'!$B31=""),"",(SUMPRODUCT(实盘持仓配置!$B$4:$X$4,'实盘净值数据(iFinD公式)'!$B30:$X30/'实盘净值数据(iFinD公式)'!$B$6:$X$6,'实盘净值数据(iFinD公式)'!$B31:$X31/'实盘净值数据(iFinD公式)'!$B30:$X30)/SUMPRODUCT(实盘持仓配置!$B$4:$X$4,'实盘净值数据(iFinD公式)'!$B30:$X30/'实盘净值数据(iFinD公式)'!$B$6:$X$6))*(1-实盘持仓配置!$Z$4)^(('实盘净值数据(iFinD公式)'!$A31-'实盘净值数据(iFinD公式)'!$A30)/365)-1)</f>
        <v>2.9615808290606838E-2</v>
      </c>
      <c r="D31" s="50">
        <f>IF(B31="","",B31/MAX(B$5:B31)-1)</f>
        <v>-0.22680950433962743</v>
      </c>
      <c r="E31" s="112">
        <f>IF(OR((ROW()-1)&lt;5,'实盘净值数据(iFinD公式)'!$A31="",'实盘净值数据(iFinD公式)'!$B31=""),"",SUMPRODUCT(实盘持仓配置!$B$5:$X$5,'实盘净值数据(iFinD公式)'!$B31:$X31/'实盘净值数据(iFinD公式)'!$B$5:$X$5)*(1-实盘持仓配置!$Z$5)^(('实盘净值数据(iFinD公式)'!$A31-'实盘净值数据(iFinD公式)'!$A$5)/365))</f>
        <v>0.85026667735389316</v>
      </c>
      <c r="F31" s="50">
        <f>IF(OR(E30="",'实盘净值数据(iFinD公式)'!$A31="",'实盘净值数据(iFinD公式)'!$B31=""),"",(SUMPRODUCT(实盘持仓配置!$B$5:$X$5,'实盘净值数据(iFinD公式)'!$B30:$X30/'实盘净值数据(iFinD公式)'!$B$5:$X$5,'实盘净值数据(iFinD公式)'!$B31:$X31/'实盘净值数据(iFinD公式)'!$B30:$X30)/SUMPRODUCT(实盘持仓配置!$B$5:$X$5,'实盘净值数据(iFinD公式)'!$B30:$X30/'实盘净值数据(iFinD公式)'!$B$5:$X$5))*(1-实盘持仓配置!$Z$5)^(('实盘净值数据(iFinD公式)'!$A31-'实盘净值数据(iFinD公式)'!$A30)/365)-1)</f>
        <v>2.9683512770771081E-2</v>
      </c>
      <c r="G31" s="50">
        <f>IF(E31="","",E31/MAX(E$5:E31)-1)</f>
        <v>-0.22684534860419148</v>
      </c>
      <c r="H31" s="112">
        <f>IF(OR((ROW()-1)&lt;7,'实盘净值数据(iFinD公式)'!$A31="",'实盘净值数据(iFinD公式)'!$B31=""),"",SUMPRODUCT(实盘持仓配置!$B$6:$X$6,'实盘净值数据(iFinD公式)'!$B31:$X31/'实盘净值数据(iFinD公式)'!$B$7:$X$7)*(1-实盘持仓配置!$Z$6)^(('实盘净值数据(iFinD公式)'!$A31-'实盘净值数据(iFinD公式)'!$A$7)/365))</f>
        <v>0.87540780798911932</v>
      </c>
      <c r="I31" s="50">
        <f>IF(OR(H30="",'实盘净值数据(iFinD公式)'!$A31="",'实盘净值数据(iFinD公式)'!$B31=""),"",(SUMPRODUCT(实盘持仓配置!$B$6:$X$6,'实盘净值数据(iFinD公式)'!$B30:$X30/'实盘净值数据(iFinD公式)'!$B$7:$X$7,'实盘净值数据(iFinD公式)'!$B31:$X31/'实盘净值数据(iFinD公式)'!$B30:$X30)/SUMPRODUCT(实盘持仓配置!$B$6:$X$6,'实盘净值数据(iFinD公式)'!$B30:$X30/'实盘净值数据(iFinD公式)'!$B$7:$X$7))*(1-实盘持仓配置!$Z$6)^(('实盘净值数据(iFinD公式)'!$A31-'实盘净值数据(iFinD公式)'!$A30)/365)-1)</f>
        <v>2.7614839971512151E-2</v>
      </c>
      <c r="J31" s="50">
        <f>IF(H31="","",H31/MAX(H$5:H31)-1)</f>
        <v>-0.21255506385912315</v>
      </c>
      <c r="K31" s="112">
        <f>IF(OR((ROW()-1)&lt;8,'实盘净值数据(iFinD公式)'!$A31="",'实盘净值数据(iFinD公式)'!$B31=""),"",SUMPRODUCT(实盘持仓配置!$B$7:$X$7,'实盘净值数据(iFinD公式)'!$B31:$X31/'实盘净值数据(iFinD公式)'!$B$8:$X$8)*(1-实盘持仓配置!$Z$7)^(('实盘净值数据(iFinD公式)'!$A31-'实盘净值数据(iFinD公式)'!$A$8)/365))</f>
        <v>0.98824131376663538</v>
      </c>
      <c r="L31" s="50">
        <f>IF(OR(K30="",'实盘净值数据(iFinD公式)'!$A31="",'实盘净值数据(iFinD公式)'!$B31=""),"",(SUMPRODUCT(实盘持仓配置!$B$7:$X$7,'实盘净值数据(iFinD公式)'!$B30:$X30/'实盘净值数据(iFinD公式)'!$B$8:$X$8,'实盘净值数据(iFinD公式)'!$B31:$X31/'实盘净值数据(iFinD公式)'!$B30:$X30)/SUMPRODUCT(实盘持仓配置!$B$7:$X$7,'实盘净值数据(iFinD公式)'!$B30:$X30/'实盘净值数据(iFinD公式)'!$B$8:$X$8))*(1-实盘持仓配置!$Z$7)^(('实盘净值数据(iFinD公式)'!$A31-'实盘净值数据(iFinD公式)'!$A30)/365)-1)</f>
        <v>3.0670771373333405E-3</v>
      </c>
      <c r="M31" s="50">
        <f>IF(K31="","",K31/MAX(K$5:K31)-1)</f>
        <v>-1.4981659969149352E-2</v>
      </c>
      <c r="N31" s="112">
        <f>IF(OR((ROW()-1)&lt;5,'实盘净值数据(iFinD公式)'!$A31="",'实盘净值数据(iFinD公式)'!$B31=""),"",SUMPRODUCT(实盘持仓配置!$B$8:$X$8,'实盘净值数据(iFinD公式)'!$B31:$X31/'实盘净值数据(iFinD公式)'!$B$5:$X$5)*(1-实盘持仓配置!$Z$8)^(('实盘净值数据(iFinD公式)'!$A31-'实盘净值数据(iFinD公式)'!$A$5)/365))</f>
        <v>0.98668006795383278</v>
      </c>
      <c r="O31" s="50">
        <f>IF(OR(N30="",'实盘净值数据(iFinD公式)'!$A31="",'实盘净值数据(iFinD公式)'!$B31=""),"",(SUMPRODUCT(实盘持仓配置!$B$8:$X$8,'实盘净值数据(iFinD公式)'!$B30:$X30/'实盘净值数据(iFinD公式)'!$B$5:$X$5,'实盘净值数据(iFinD公式)'!$B31:$X31/'实盘净值数据(iFinD公式)'!$B30:$X30)/SUMPRODUCT(实盘持仓配置!$B$8:$X$8,'实盘净值数据(iFinD公式)'!$B30:$X30/'实盘净值数据(iFinD公式)'!$B$5:$X$5))*(1-实盘持仓配置!$Z$8)^(('实盘净值数据(iFinD公式)'!$A31-'实盘净值数据(iFinD公式)'!$A30)/365)-1)</f>
        <v>3.1814138824017846E-3</v>
      </c>
      <c r="P31" s="50">
        <f>IF(N31="","",N31/MAX(N$5:N31)-1)</f>
        <v>-1.5986744885580051E-2</v>
      </c>
      <c r="Q31" s="112">
        <f>IF(OR((ROW()-1)&lt;8,'实盘净值数据(iFinD公式)'!$A31="",'实盘净值数据(iFinD公式)'!$B31=""),"",SUMPRODUCT(实盘持仓配置!$B$9:$X$9,'实盘净值数据(iFinD公式)'!$B31:$X31/'实盘净值数据(iFinD公式)'!$B$8:$X$8)*(1-实盘持仓配置!$Z$9)^(('实盘净值数据(iFinD公式)'!$A31-'实盘净值数据(iFinD公式)'!$A$8)/365))</f>
        <v>0.95761273753138287</v>
      </c>
      <c r="R31" s="50">
        <f>IF(OR(Q30="",'实盘净值数据(iFinD公式)'!$A31="",'实盘净值数据(iFinD公式)'!$B31=""),"",(SUMPRODUCT(实盘持仓配置!$B$9:$X$9,'实盘净值数据(iFinD公式)'!$B30:$X30/'实盘净值数据(iFinD公式)'!$B$8:$X$8,'实盘净值数据(iFinD公式)'!$B31:$X31/'实盘净值数据(iFinD公式)'!$B30:$X30)/SUMPRODUCT(实盘持仓配置!$B$9:$X$9,'实盘净值数据(iFinD公式)'!$B30:$X30/'实盘净值数据(iFinD公式)'!$B$8:$X$8))*(1-实盘持仓配置!$Z$9)^(('实盘净值数据(iFinD公式)'!$A31-'实盘净值数据(iFinD公式)'!$A30)/365)-1)</f>
        <v>8.9307070101181107E-3</v>
      </c>
      <c r="S31" s="50">
        <f>IF(Q31="","",Q31/MAX(Q$5:Q31)-1)</f>
        <v>-5.0704864123247706E-2</v>
      </c>
    </row>
    <row r="32" spans="1:19">
      <c r="A32" s="113">
        <f>IF('实盘净值数据(iFinD公式)'!A32="","",'实盘净值数据(iFinD公式)'!A32)</f>
        <v>46231</v>
      </c>
      <c r="B32" s="112">
        <f>IF(OR((ROW()-1)&lt;6,'实盘净值数据(iFinD公式)'!$A32="",'实盘净值数据(iFinD公式)'!$B32=""),"",SUMPRODUCT(实盘持仓配置!$B$4:$X$4,'实盘净值数据(iFinD公式)'!$B32:$X32/'实盘净值数据(iFinD公式)'!$B$6:$X$6)*(1-实盘持仓配置!$Z$4)^(('实盘净值数据(iFinD公式)'!$A32-'实盘净值数据(iFinD公式)'!$A$6)/365))</f>
        <v>0.76093856468259291</v>
      </c>
      <c r="C32" s="50">
        <f>IF(OR(B31="",'实盘净值数据(iFinD公式)'!$A32="",'实盘净值数据(iFinD公式)'!$B32=""),"",(SUMPRODUCT(实盘持仓配置!$B$4:$X$4,'实盘净值数据(iFinD公式)'!$B31:$X31/'实盘净值数据(iFinD公式)'!$B$6:$X$6,'实盘净值数据(iFinD公式)'!$B32:$X32/'实盘净值数据(iFinD公式)'!$B31:$X31)/SUMPRODUCT(实盘持仓配置!$B$4:$X$4,'实盘净值数据(iFinD公式)'!$B31:$X31/'实盘净值数据(iFinD公式)'!$B$6:$X$6))*(1-实盘持仓配置!$Z$4)^(('实盘净值数据(iFinD公式)'!$A32-'实盘净值数据(iFinD公式)'!$A31)/365)-1)</f>
        <v>-8.4378312250848131E-2</v>
      </c>
      <c r="D32" s="50">
        <f>IF(B32="","",B32/MAX(B$5:B32)-1)</f>
        <v>-0.29205001341184633</v>
      </c>
      <c r="E32" s="112">
        <f>IF(OR((ROW()-1)&lt;5,'实盘净值数据(iFinD公式)'!$A32="",'实盘净值数据(iFinD公式)'!$B32=""),"",SUMPRODUCT(实盘持仓配置!$B$5:$X$5,'实盘净值数据(iFinD公式)'!$B32:$X32/'实盘净值数据(iFinD公式)'!$B$5:$X$5)*(1-实盘持仓配置!$Z$5)^(('实盘净值数据(iFinD公式)'!$A32-'实盘净值数据(iFinD公式)'!$A$5)/365))</f>
        <v>0.77844743337997258</v>
      </c>
      <c r="F32" s="50">
        <f>IF(OR(E31="",'实盘净值数据(iFinD公式)'!$A32="",'实盘净值数据(iFinD公式)'!$B32=""),"",(SUMPRODUCT(实盘持仓配置!$B$5:$X$5,'实盘净值数据(iFinD公式)'!$B31:$X31/'实盘净值数据(iFinD公式)'!$B$5:$X$5,'实盘净值数据(iFinD公式)'!$B32:$X32/'实盘净值数据(iFinD公式)'!$B31:$X31)/SUMPRODUCT(实盘持仓配置!$B$5:$X$5,'实盘净值数据(iFinD公式)'!$B31:$X31/'实盘净值数据(iFinD公式)'!$B$5:$X$5))*(1-实盘持仓配置!$Z$5)^(('实盘净值数据(iFinD公式)'!$A32-'实盘净值数据(iFinD公式)'!$A31)/365)-1)</f>
        <v>-8.446672777701747E-2</v>
      </c>
      <c r="G32" s="50">
        <f>IF(E32="","",E32/MAX(E$5:E32)-1)</f>
        <v>-0.29215119207317619</v>
      </c>
      <c r="H32" s="112">
        <f>IF(OR((ROW()-1)&lt;7,'实盘净值数据(iFinD公式)'!$A32="",'实盘净值数据(iFinD公式)'!$B32=""),"",SUMPRODUCT(实盘持仓配置!$B$6:$X$6,'实盘净值数据(iFinD公式)'!$B32:$X32/'实盘净值数据(iFinD公式)'!$B$7:$X$7)*(1-实盘持仓配置!$Z$6)^(('实盘净值数据(iFinD公式)'!$A32-'实盘净值数据(iFinD公式)'!$A$7)/365))</f>
        <v>0.80561988412304131</v>
      </c>
      <c r="I32" s="50">
        <f>IF(OR(H31="",'实盘净值数据(iFinD公式)'!$A32="",'实盘净值数据(iFinD公式)'!$B32=""),"",(SUMPRODUCT(实盘持仓配置!$B$6:$X$6,'实盘净值数据(iFinD公式)'!$B31:$X31/'实盘净值数据(iFinD公式)'!$B$7:$X$7,'实盘净值数据(iFinD公式)'!$B32:$X32/'实盘净值数据(iFinD公式)'!$B31:$X31)/SUMPRODUCT(实盘持仓配置!$B$6:$X$6,'实盘净值数据(iFinD公式)'!$B31:$X31/'实盘净值数据(iFinD公式)'!$B$7:$X$7))*(1-实盘持仓配置!$Z$6)^(('实盘净值数据(iFinD公式)'!$A32-'实盘净值数据(iFinD公式)'!$A31)/365)-1)</f>
        <v>-7.9720472252110985E-2</v>
      </c>
      <c r="J32" s="50">
        <f>IF(H32="","",H32/MAX(H$5:H32)-1)</f>
        <v>-0.27533054604080731</v>
      </c>
      <c r="K32" s="112">
        <f>IF(OR((ROW()-1)&lt;8,'实盘净值数据(iFinD公式)'!$A32="",'实盘净值数据(iFinD公式)'!$B32=""),"",SUMPRODUCT(实盘持仓配置!$B$7:$X$7,'实盘净值数据(iFinD公式)'!$B32:$X32/'实盘净值数据(iFinD公式)'!$B$8:$X$8)*(1-实盘持仓配置!$Z$7)^(('实盘净值数据(iFinD公式)'!$A32-'实盘净值数据(iFinD公式)'!$A$8)/365))</f>
        <v>0.98291424627614077</v>
      </c>
      <c r="L32" s="50">
        <f>IF(OR(K31="",'实盘净值数据(iFinD公式)'!$A32="",'实盘净值数据(iFinD公式)'!$B32=""),"",(SUMPRODUCT(实盘持仓配置!$B$7:$X$7,'实盘净值数据(iFinD公式)'!$B31:$X31/'实盘净值数据(iFinD公式)'!$B$8:$X$8,'实盘净值数据(iFinD公式)'!$B32:$X32/'实盘净值数据(iFinD公式)'!$B31:$X31)/SUMPRODUCT(实盘持仓配置!$B$7:$X$7,'实盘净值数据(iFinD公式)'!$B31:$X31/'实盘净值数据(iFinD公式)'!$B$8:$X$8))*(1-实盘持仓配置!$Z$7)^(('实盘净值数据(iFinD公式)'!$A32-'实盘净值数据(iFinD公式)'!$A31)/365)-1)</f>
        <v>-5.3904521256965543E-3</v>
      </c>
      <c r="M32" s="50">
        <f>IF(K32="","",K32/MAX(K$5:K32)-1)</f>
        <v>-2.0291354174018839E-2</v>
      </c>
      <c r="N32" s="112">
        <f>IF(OR((ROW()-1)&lt;5,'实盘净值数据(iFinD公式)'!$A32="",'实盘净值数据(iFinD公式)'!$B32=""),"",SUMPRODUCT(实盘持仓配置!$B$8:$X$8,'实盘净值数据(iFinD公式)'!$B32:$X32/'实盘净值数据(iFinD公式)'!$B$5:$X$5)*(1-实盘持仓配置!$Z$8)^(('实盘净值数据(iFinD公式)'!$A32-'实盘净值数据(iFinD公式)'!$A$5)/365))</f>
        <v>0.98113803119157528</v>
      </c>
      <c r="O32" s="50">
        <f>IF(OR(N31="",'实盘净值数据(iFinD公式)'!$A32="",'实盘净值数据(iFinD公式)'!$B32=""),"",(SUMPRODUCT(实盘持仓配置!$B$8:$X$8,'实盘净值数据(iFinD公式)'!$B31:$X31/'实盘净值数据(iFinD公式)'!$B$5:$X$5,'实盘净值数据(iFinD公式)'!$B32:$X32/'实盘净值数据(iFinD公式)'!$B31:$X31)/SUMPRODUCT(实盘持仓配置!$B$8:$X$8,'实盘净值数据(iFinD公式)'!$B31:$X31/'实盘净值数据(iFinD公式)'!$B$5:$X$5))*(1-实盘持仓配置!$Z$8)^(('实盘净值数据(iFinD公式)'!$A32-'实盘净值数据(iFinD公式)'!$A31)/365)-1)</f>
        <v>-5.6168528606749257E-3</v>
      </c>
      <c r="P32" s="50">
        <f>IF(N32="","",N32/MAX(N$5:N32)-1)</f>
        <v>-2.1513802552511563E-2</v>
      </c>
      <c r="Q32" s="112">
        <f>IF(OR((ROW()-1)&lt;8,'实盘净值数据(iFinD公式)'!$A32="",'实盘净值数据(iFinD公式)'!$B32=""),"",SUMPRODUCT(实盘持仓配置!$B$9:$X$9,'实盘净值数据(iFinD公式)'!$B32:$X32/'实盘净值数据(iFinD公式)'!$B$8:$X$8)*(1-实盘持仓配置!$Z$9)^(('实盘净值数据(iFinD公式)'!$A32-'实盘净值数据(iFinD公式)'!$A$8)/365))</f>
        <v>0.94236976452895427</v>
      </c>
      <c r="R32" s="50">
        <f>IF(OR(Q31="",'实盘净值数据(iFinD公式)'!$A32="",'实盘净值数据(iFinD公式)'!$B32=""),"",(SUMPRODUCT(实盘持仓配置!$B$9:$X$9,'实盘净值数据(iFinD公式)'!$B31:$X31/'实盘净值数据(iFinD公式)'!$B$8:$X$8,'实盘净值数据(iFinD公式)'!$B32:$X32/'实盘净值数据(iFinD公式)'!$B31:$X31)/SUMPRODUCT(实盘持仓配置!$B$9:$X$9,'实盘净值数据(iFinD公式)'!$B31:$X31/'实盘净值数据(iFinD公式)'!$B$8:$X$8))*(1-实盘持仓配置!$Z$9)^(('实盘净值数据(iFinD公式)'!$A32-'实盘净值数据(iFinD公式)'!$A31)/365)-1)</f>
        <v>-1.5917679877278101E-2</v>
      </c>
      <c r="S32" s="50">
        <f>IF(Q32="","",Q32/MAX(Q$5:Q32)-1)</f>
        <v>-6.5815440205191256E-2</v>
      </c>
    </row>
    <row r="33" spans="1:19">
      <c r="A33" s="113">
        <f>IF('实盘净值数据(iFinD公式)'!A33="","",'实盘净值数据(iFinD公式)'!A33)</f>
        <v>46232</v>
      </c>
      <c r="B33" s="112">
        <f>IF(OR((ROW()-1)&lt;6,'实盘净值数据(iFinD公式)'!$A33="",'实盘净值数据(iFinD公式)'!$B33=""),"",SUMPRODUCT(实盘持仓配置!$B$4:$X$4,'实盘净值数据(iFinD公式)'!$B33:$X33/'实盘净值数据(iFinD公式)'!$B$6:$X$6)*(1-实盘持仓配置!$Z$4)^(('实盘净值数据(iFinD公式)'!$A33-'实盘净值数据(iFinD公式)'!$A$6)/365))</f>
        <v>0.75258709282489311</v>
      </c>
      <c r="C33" s="50">
        <f>IF(OR(B32="",'实盘净值数据(iFinD公式)'!$A33="",'实盘净值数据(iFinD公式)'!$B33=""),"",(SUMPRODUCT(实盘持仓配置!$B$4:$X$4,'实盘净值数据(iFinD公式)'!$B32:$X32/'实盘净值数据(iFinD公式)'!$B$6:$X$6,'实盘净值数据(iFinD公式)'!$B33:$X33/'实盘净值数据(iFinD公式)'!$B32:$X32)/SUMPRODUCT(实盘持仓配置!$B$4:$X$4,'实盘净值数据(iFinD公式)'!$B32:$X32/'实盘净值数据(iFinD公式)'!$B$6:$X$6))*(1-实盘持仓配置!$Z$4)^(('实盘净值数据(iFinD公式)'!$A33-'实盘净值数据(iFinD公式)'!$A32)/365)-1)</f>
        <v>-1.0975224867441735E-2</v>
      </c>
      <c r="D33" s="50">
        <f>IF(B33="","",B33/MAX(B$5:B33)-1)</f>
        <v>-0.29981992370955368</v>
      </c>
      <c r="E33" s="112">
        <f>IF(OR((ROW()-1)&lt;5,'实盘净值数据(iFinD公式)'!$A33="",'实盘净值数据(iFinD公式)'!$B33=""),"",SUMPRODUCT(实盘持仓配置!$B$5:$X$5,'实盘净值数据(iFinD公式)'!$B33:$X33/'实盘净值数据(iFinD公式)'!$B$5:$X$5)*(1-实盘持仓配置!$Z$5)^(('实盘净值数据(iFinD公式)'!$A33-'实盘净值数据(iFinD公式)'!$A$5)/365))</f>
        <v>0.76990567135089316</v>
      </c>
      <c r="F33" s="50">
        <f>IF(OR(E32="",'实盘净值数据(iFinD公式)'!$A33="",'实盘净值数据(iFinD公式)'!$B33=""),"",(SUMPRODUCT(实盘持仓配置!$B$5:$X$5,'实盘净值数据(iFinD公式)'!$B32:$X32/'实盘净值数据(iFinD公式)'!$B$5:$X$5,'实盘净值数据(iFinD公式)'!$B33:$X33/'实盘净值数据(iFinD公式)'!$B32:$X32)/SUMPRODUCT(实盘持仓配置!$B$5:$X$5,'实盘净值数据(iFinD公式)'!$B32:$X32/'实盘净值数据(iFinD公式)'!$B$5:$X$5))*(1-实盘持仓配置!$Z$5)^(('实盘净值数据(iFinD公式)'!$A33-'实盘净值数据(iFinD公式)'!$A32)/365)-1)</f>
        <v>-1.0972818025735687E-2</v>
      </c>
      <c r="G33" s="50">
        <f>IF(E33="","",E33/MAX(E$5:E33)-1)</f>
        <v>-0.29991828823229116</v>
      </c>
      <c r="H33" s="112">
        <f>IF(OR((ROW()-1)&lt;7,'实盘净值数据(iFinD公式)'!$A33="",'实盘净值数据(iFinD公式)'!$B33=""),"",SUMPRODUCT(实盘持仓配置!$B$6:$X$6,'实盘净值数据(iFinD公式)'!$B33:$X33/'实盘净值数据(iFinD公式)'!$B$7:$X$7)*(1-实盘持仓配置!$Z$6)^(('实盘净值数据(iFinD公式)'!$A33-'实盘净值数据(iFinD公式)'!$A$7)/365))</f>
        <v>0.79871719072315472</v>
      </c>
      <c r="I33" s="50">
        <f>IF(OR(H32="",'实盘净值数据(iFinD公式)'!$A33="",'实盘净值数据(iFinD公式)'!$B33=""),"",(SUMPRODUCT(实盘持仓配置!$B$6:$X$6,'实盘净值数据(iFinD公式)'!$B32:$X32/'实盘净值数据(iFinD公式)'!$B$7:$X$7,'实盘净值数据(iFinD公式)'!$B33:$X33/'实盘净值数据(iFinD公式)'!$B32:$X32)/SUMPRODUCT(实盘持仓配置!$B$6:$X$6,'实盘净值数据(iFinD公式)'!$B32:$X32/'实盘净值数据(iFinD公式)'!$B$7:$X$7))*(1-实盘持仓配置!$Z$6)^(('实盘净值数据(iFinD公式)'!$A33-'实盘净值数据(iFinD公式)'!$A32)/365)-1)</f>
        <v>-8.568176550657558E-3</v>
      </c>
      <c r="J33" s="50">
        <f>IF(H33="","",H33/MAX(H$5:H33)-1)</f>
        <v>-0.28153964186319835</v>
      </c>
      <c r="K33" s="112">
        <f>IF(OR((ROW()-1)&lt;8,'实盘净值数据(iFinD公式)'!$A33="",'实盘净值数据(iFinD公式)'!$B33=""),"",SUMPRODUCT(实盘持仓配置!$B$7:$X$7,'实盘净值数据(iFinD公式)'!$B33:$X33/'实盘净值数据(iFinD公式)'!$B$8:$X$8)*(1-实盘持仓配置!$Z$7)^(('实盘净值数据(iFinD公式)'!$A33-'实盘净值数据(iFinD公式)'!$A$8)/365))</f>
        <v>0.98264702700641771</v>
      </c>
      <c r="L33" s="50">
        <f>IF(OR(K32="",'实盘净值数据(iFinD公式)'!$A33="",'实盘净值数据(iFinD公式)'!$B33=""),"",(SUMPRODUCT(实盘持仓配置!$B$7:$X$7,'实盘净值数据(iFinD公式)'!$B32:$X32/'实盘净值数据(iFinD公式)'!$B$8:$X$8,'实盘净值数据(iFinD公式)'!$B33:$X33/'实盘净值数据(iFinD公式)'!$B32:$X32)/SUMPRODUCT(实盘持仓配置!$B$7:$X$7,'实盘净值数据(iFinD公式)'!$B32:$X32/'实盘净值数据(iFinD公式)'!$B$8:$X$8))*(1-实盘持仓配置!$Z$7)^(('实盘净值数据(iFinD公式)'!$A33-'实盘净值数据(iFinD公式)'!$A32)/365)-1)</f>
        <v>-2.7186427578540506E-4</v>
      </c>
      <c r="M33" s="50">
        <f>IF(K33="","",K33/MAX(K$5:K33)-1)</f>
        <v>-2.0557701955496999E-2</v>
      </c>
      <c r="N33" s="112">
        <f>IF(OR((ROW()-1)&lt;5,'实盘净值数据(iFinD公式)'!$A33="",'实盘净值数据(iFinD公式)'!$B33=""),"",SUMPRODUCT(实盘持仓配置!$B$8:$X$8,'实盘净值数据(iFinD公式)'!$B33:$X33/'实盘净值数据(iFinD公式)'!$B$5:$X$5)*(1-实盘持仓配置!$Z$8)^(('实盘净值数据(iFinD公式)'!$A33-'实盘净值数据(iFinD公式)'!$A$5)/365))</f>
        <v>0.98078186963783098</v>
      </c>
      <c r="O33" s="50">
        <f>IF(OR(N32="",'实盘净值数据(iFinD公式)'!$A33="",'实盘净值数据(iFinD公式)'!$B33=""),"",(SUMPRODUCT(实盘持仓配置!$B$8:$X$8,'实盘净值数据(iFinD公式)'!$B32:$X32/'实盘净值数据(iFinD公式)'!$B$5:$X$5,'实盘净值数据(iFinD公式)'!$B33:$X33/'实盘净值数据(iFinD公式)'!$B32:$X32)/SUMPRODUCT(实盘持仓配置!$B$8:$X$8,'实盘净值数据(iFinD公式)'!$B32:$X32/'实盘净值数据(iFinD公式)'!$B$5:$X$5))*(1-实盘持仓配置!$Z$8)^(('实盘净值数据(iFinD公式)'!$A33-'实盘净值数据(iFinD公式)'!$A32)/365)-1)</f>
        <v>-3.6300861083904401E-4</v>
      </c>
      <c r="P33" s="50">
        <f>IF(N33="","",N33/MAX(N$5:N33)-1)</f>
        <v>-2.1869001467772264E-2</v>
      </c>
      <c r="Q33" s="112">
        <f>IF(OR((ROW()-1)&lt;8,'实盘净值数据(iFinD公式)'!$A33="",'实盘净值数据(iFinD公式)'!$B33=""),"",SUMPRODUCT(实盘持仓配置!$B$9:$X$9,'实盘净值数据(iFinD公式)'!$B33:$X33/'实盘净值数据(iFinD公式)'!$B$8:$X$8)*(1-实盘持仓配置!$Z$9)^(('实盘净值数据(iFinD公式)'!$A33-'实盘净值数据(iFinD公式)'!$A$8)/365))</f>
        <v>0.94200334769855198</v>
      </c>
      <c r="R33" s="50">
        <f>IF(OR(Q32="",'实盘净值数据(iFinD公式)'!$A33="",'实盘净值数据(iFinD公式)'!$B33=""),"",(SUMPRODUCT(实盘持仓配置!$B$9:$X$9,'实盘净值数据(iFinD公式)'!$B32:$X32/'实盘净值数据(iFinD公式)'!$B$8:$X$8,'实盘净值数据(iFinD公式)'!$B33:$X33/'实盘净值数据(iFinD公式)'!$B32:$X32)/SUMPRODUCT(实盘持仓配置!$B$9:$X$9,'实盘净值数据(iFinD公式)'!$B32:$X32/'实盘净值数据(iFinD公式)'!$B$8:$X$8))*(1-实盘持仓配置!$Z$9)^(('实盘净值数据(iFinD公式)'!$A33-'实盘净值数据(iFinD公式)'!$A32)/365)-1)</f>
        <v>-3.8882490100422551E-4</v>
      </c>
      <c r="S33" s="50">
        <f>IF(Q33="","",Q33/MAX(Q$5:Q33)-1)</f>
        <v>-6.6178674424173023E-2</v>
      </c>
    </row>
    <row r="34" spans="1:19">
      <c r="A34" s="113">
        <f>IF('实盘净值数据(iFinD公式)'!A34="","",'实盘净值数据(iFinD公式)'!A34)</f>
        <v>46233</v>
      </c>
      <c r="B34" s="112">
        <f>IF(OR((ROW()-1)&lt;6,'实盘净值数据(iFinD公式)'!$A34="",'实盘净值数据(iFinD公式)'!$B34=""),"",SUMPRODUCT(实盘持仓配置!$B$4:$X$4,'实盘净值数据(iFinD公式)'!$B34:$X34/'实盘净值数据(iFinD公式)'!$B$6:$X$6)*(1-实盘持仓配置!$Z$4)^(('实盘净值数据(iFinD公式)'!$A34-'实盘净值数据(iFinD公式)'!$A$6)/365))</f>
        <v>0.69416803295917828</v>
      </c>
      <c r="C34" s="50">
        <f>IF(OR(B33="",'实盘净值数据(iFinD公式)'!$A34="",'实盘净值数据(iFinD公式)'!$B34=""),"",(SUMPRODUCT(实盘持仓配置!$B$4:$X$4,'实盘净值数据(iFinD公式)'!$B33:$X33/'实盘净值数据(iFinD公式)'!$B$6:$X$6,'实盘净值数据(iFinD公式)'!$B34:$X34/'实盘净值数据(iFinD公式)'!$B33:$X33)/SUMPRODUCT(实盘持仓配置!$B$4:$X$4,'实盘净值数据(iFinD公式)'!$B33:$X33/'实盘净值数据(iFinD公式)'!$B$6:$X$6))*(1-实盘持仓配置!$Z$4)^(('实盘净值数据(iFinD公式)'!$A34-'实盘净值数据(iFinD公式)'!$A33)/365)-1)</f>
        <v>-7.7624318065879105E-2</v>
      </c>
      <c r="D34" s="50">
        <f>IF(B34="","",B34/MAX(B$5:B34)-1)</f>
        <v>-0.35417092465491484</v>
      </c>
      <c r="E34" s="112">
        <f>IF(OR((ROW()-1)&lt;5,'实盘净值数据(iFinD公式)'!$A34="",'实盘净值数据(iFinD公式)'!$B34=""),"",SUMPRODUCT(实盘持仓配置!$B$5:$X$5,'实盘净值数据(iFinD公式)'!$B34:$X34/'实盘净值数据(iFinD公式)'!$B$5:$X$5)*(1-实盘持仓配置!$Z$5)^(('实盘净值数据(iFinD公式)'!$A34-'实盘净值数据(iFinD公式)'!$A$5)/365))</f>
        <v>0.71009996324433866</v>
      </c>
      <c r="F34" s="50">
        <f>IF(OR(E33="",'实盘净值数据(iFinD公式)'!$A34="",'实盘净值数据(iFinD公式)'!$B34=""),"",(SUMPRODUCT(实盘持仓配置!$B$5:$X$5,'实盘净值数据(iFinD公式)'!$B33:$X33/'实盘净值数据(iFinD公式)'!$B$5:$X$5,'实盘净值数据(iFinD公式)'!$B34:$X34/'实盘净值数据(iFinD公式)'!$B33:$X33)/SUMPRODUCT(实盘持仓配置!$B$5:$X$5,'实盘净值数据(iFinD公式)'!$B33:$X33/'实盘净值数据(iFinD公式)'!$B$5:$X$5))*(1-实盘持仓配置!$Z$5)^(('实盘净值数据(iFinD公式)'!$A34-'实盘净值数据(iFinD公式)'!$A33)/365)-1)</f>
        <v>-7.7679266866053975E-2</v>
      </c>
      <c r="G34" s="50">
        <f>IF(E34="","",E34/MAX(E$5:E34)-1)</f>
        <v>-0.35430012234873887</v>
      </c>
      <c r="H34" s="112">
        <f>IF(OR((ROW()-1)&lt;7,'实盘净值数据(iFinD公式)'!$A34="",'实盘净值数据(iFinD公式)'!$B34=""),"",SUMPRODUCT(实盘持仓配置!$B$6:$X$6,'实盘净值数据(iFinD公式)'!$B34:$X34/'实盘净值数据(iFinD公式)'!$B$7:$X$7)*(1-实盘持仓配置!$Z$6)^(('实盘净值数据(iFinD公式)'!$A34-'实盘净值数据(iFinD公式)'!$A$7)/365))</f>
        <v>0.74019963841767344</v>
      </c>
      <c r="I34" s="50">
        <f>IF(OR(H33="",'实盘净值数据(iFinD公式)'!$A34="",'实盘净值数据(iFinD公式)'!$B34=""),"",(SUMPRODUCT(实盘持仓配置!$B$6:$X$6,'实盘净值数据(iFinD公式)'!$B33:$X33/'实盘净值数据(iFinD公式)'!$B$7:$X$7,'实盘净值数据(iFinD公式)'!$B34:$X34/'实盘净值数据(iFinD公式)'!$B33:$X33)/SUMPRODUCT(实盘持仓配置!$B$6:$X$6,'实盘净值数据(iFinD公式)'!$B33:$X33/'实盘净值数据(iFinD公式)'!$B$7:$X$7))*(1-实盘持仓配置!$Z$6)^(('实盘净值数据(iFinD公式)'!$A34-'实盘净值数据(iFinD公式)'!$A33)/365)-1)</f>
        <v>-7.3264420730070667E-2</v>
      </c>
      <c r="J34" s="50">
        <f>IF(H34="","",H34/MAX(H$5:H34)-1)</f>
        <v>-0.33417722381961024</v>
      </c>
      <c r="K34" s="112">
        <f>IF(OR((ROW()-1)&lt;8,'实盘净值数据(iFinD公式)'!$A34="",'实盘净值数据(iFinD公式)'!$B34=""),"",SUMPRODUCT(实盘持仓配置!$B$7:$X$7,'实盘净值数据(iFinD公式)'!$B34:$X34/'实盘净值数据(iFinD公式)'!$B$8:$X$8)*(1-实盘持仓配置!$Z$7)^(('实盘净值数据(iFinD公式)'!$A34-'实盘净值数据(iFinD公式)'!$A$8)/365))</f>
        <v>0.97956365811564594</v>
      </c>
      <c r="L34" s="50">
        <f>IF(OR(K33="",'实盘净值数据(iFinD公式)'!$A34="",'实盘净值数据(iFinD公式)'!$B34=""),"",(SUMPRODUCT(实盘持仓配置!$B$7:$X$7,'实盘净值数据(iFinD公式)'!$B33:$X33/'实盘净值数据(iFinD公式)'!$B$8:$X$8,'实盘净值数据(iFinD公式)'!$B34:$X34/'实盘净值数据(iFinD公式)'!$B33:$X33)/SUMPRODUCT(实盘持仓配置!$B$7:$X$7,'实盘净值数据(iFinD公式)'!$B33:$X33/'实盘净值数据(iFinD公式)'!$B$8:$X$8))*(1-实盘持仓配置!$Z$7)^(('实盘净值数据(iFinD公式)'!$A34-'实盘净值数据(iFinD公式)'!$A33)/365)-1)</f>
        <v>-3.1378193858329073E-3</v>
      </c>
      <c r="M34" s="50">
        <f>IF(K34="","",K34/MAX(K$5:K34)-1)</f>
        <v>-2.3631014985605825E-2</v>
      </c>
      <c r="N34" s="112">
        <f>IF(OR((ROW()-1)&lt;5,'实盘净值数据(iFinD公式)'!$A34="",'实盘净值数据(iFinD公式)'!$B34=""),"",SUMPRODUCT(实盘持仓配置!$B$8:$X$8,'实盘净值数据(iFinD公式)'!$B34:$X34/'实盘净值数据(iFinD公式)'!$B$5:$X$5)*(1-实盘持仓配置!$Z$8)^(('实盘净值数据(iFinD公式)'!$A34-'实盘净值数据(iFinD公式)'!$A$5)/365))</f>
        <v>0.97751283431808456</v>
      </c>
      <c r="O34" s="50">
        <f>IF(OR(N33="",'实盘净值数据(iFinD公式)'!$A34="",'实盘净值数据(iFinD公式)'!$B34=""),"",(SUMPRODUCT(实盘持仓配置!$B$8:$X$8,'实盘净值数据(iFinD公式)'!$B33:$X33/'实盘净值数据(iFinD公式)'!$B$5:$X$5,'实盘净值数据(iFinD公式)'!$B34:$X34/'实盘净值数据(iFinD公式)'!$B33:$X33)/SUMPRODUCT(实盘持仓配置!$B$8:$X$8,'实盘净值数据(iFinD公式)'!$B33:$X33/'实盘净值数据(iFinD公式)'!$B$5:$X$5))*(1-实盘持仓配置!$Z$8)^(('实盘净值数据(iFinD公式)'!$A34-'实盘净值数据(iFinD公式)'!$A33)/365)-1)</f>
        <v>-3.3330910989958218E-3</v>
      </c>
      <c r="P34" s="50">
        <f>IF(N34="","",N34/MAX(N$5:N34)-1)</f>
        <v>-2.5129201192632067E-2</v>
      </c>
      <c r="Q34" s="112">
        <f>IF(OR((ROW()-1)&lt;8,'实盘净值数据(iFinD公式)'!$A34="",'实盘净值数据(iFinD公式)'!$B34=""),"",SUMPRODUCT(实盘持仓配置!$B$9:$X$9,'实盘净值数据(iFinD公式)'!$B34:$X34/'实盘净值数据(iFinD公式)'!$B$8:$X$8)*(1-实盘持仓配置!$Z$9)^(('实盘净值数据(iFinD公式)'!$A34-'实盘净值数据(iFinD公式)'!$A$8)/365))</f>
        <v>0.93070639721979376</v>
      </c>
      <c r="R34" s="50">
        <f>IF(OR(Q33="",'实盘净值数据(iFinD公式)'!$A34="",'实盘净值数据(iFinD公式)'!$B34=""),"",(SUMPRODUCT(实盘持仓配置!$B$9:$X$9,'实盘净值数据(iFinD公式)'!$B33:$X33/'实盘净值数据(iFinD公式)'!$B$8:$X$8,'实盘净值数据(iFinD公式)'!$B34:$X34/'实盘净值数据(iFinD公式)'!$B33:$X33)/SUMPRODUCT(实盘持仓配置!$B$9:$X$9,'实盘净值数据(iFinD公式)'!$B33:$X33/'实盘净值数据(iFinD公式)'!$B$8:$X$8))*(1-实盘持仓配置!$Z$9)^(('实盘净值数据(iFinD公式)'!$A34-'实盘净值数据(iFinD公式)'!$A33)/365)-1)</f>
        <v>-1.1992473812708071E-2</v>
      </c>
      <c r="S34" s="50">
        <f>IF(Q34="","",Q34/MAX(Q$5:Q34)-1)</f>
        <v>-7.7377502216889549E-2</v>
      </c>
    </row>
    <row r="35" spans="1:19">
      <c r="A35" s="113">
        <f>IF('实盘净值数据(iFinD公式)'!A35="","",'实盘净值数据(iFinD公式)'!A35)</f>
        <v>46234</v>
      </c>
      <c r="B35" s="112">
        <f>IF(OR((ROW()-1)&lt;6,'实盘净值数据(iFinD公式)'!$A35="",'实盘净值数据(iFinD公式)'!$B35=""),"",SUMPRODUCT(实盘持仓配置!$B$4:$X$4,'实盘净值数据(iFinD公式)'!$B35:$X35/'实盘净值数据(iFinD公式)'!$B$6:$X$6)*(1-实盘持仓配置!$Z$4)^(('实盘净值数据(iFinD公式)'!$A35-'实盘净值数据(iFinD公式)'!$A$6)/365))</f>
        <v>0.71992798476559039</v>
      </c>
      <c r="C35" s="50">
        <f>IF(OR(B34="",'实盘净值数据(iFinD公式)'!$A35="",'实盘净值数据(iFinD公式)'!$B35=""),"",(SUMPRODUCT(实盘持仓配置!$B$4:$X$4,'实盘净值数据(iFinD公式)'!$B34:$X34/'实盘净值数据(iFinD公式)'!$B$6:$X$6,'实盘净值数据(iFinD公式)'!$B35:$X35/'实盘净值数据(iFinD公式)'!$B34:$X34)/SUMPRODUCT(实盘持仓配置!$B$4:$X$4,'实盘净值数据(iFinD公式)'!$B34:$X34/'实盘净值数据(iFinD公式)'!$B$6:$X$6))*(1-实盘持仓配置!$Z$4)^(('实盘净值数据(iFinD公式)'!$A35-'实盘净值数据(iFinD公式)'!$A34)/365)-1)</f>
        <v>3.7109101231008079E-2</v>
      </c>
      <c r="D35" s="50">
        <f>IF(B35="","",B35/MAX(B$5:B35)-1)</f>
        <v>-0.33020478812000553</v>
      </c>
      <c r="E35" s="112">
        <f>IF(OR((ROW()-1)&lt;5,'实盘净值数据(iFinD公式)'!$A35="",'实盘净值数据(iFinD公式)'!$B35=""),"",SUMPRODUCT(实盘持仓配置!$B$5:$X$5,'实盘净值数据(iFinD公式)'!$B35:$X35/'实盘净值数据(iFinD公式)'!$B$5:$X$5)*(1-实盘持仓配置!$Z$5)^(('实盘净值数据(iFinD公式)'!$A35-'实盘净值数据(iFinD公式)'!$A$5)/365))</f>
        <v>0.73649298538285146</v>
      </c>
      <c r="F35" s="50">
        <f>IF(OR(E34="",'实盘净值数据(iFinD公式)'!$A35="",'实盘净值数据(iFinD公式)'!$B35=""),"",(SUMPRODUCT(实盘持仓配置!$B$5:$X$5,'实盘净值数据(iFinD公式)'!$B34:$X34/'实盘净值数据(iFinD公式)'!$B$5:$X$5,'实盘净值数据(iFinD公式)'!$B35:$X35/'实盘净值数据(iFinD公式)'!$B34:$X34)/SUMPRODUCT(实盘持仓配置!$B$5:$X$5,'实盘净值数据(iFinD公式)'!$B34:$X34/'实盘净值数据(iFinD公式)'!$B$5:$X$5))*(1-实盘持仓配置!$Z$5)^(('实盘净值数据(iFinD公式)'!$A35-'实盘净值数据(iFinD公式)'!$A34)/365)-1)</f>
        <v>3.7168037606884141E-2</v>
      </c>
      <c r="G35" s="50">
        <f>IF(E35="","",E35/MAX(E$5:E35)-1)</f>
        <v>-0.33030072501343621</v>
      </c>
      <c r="H35" s="112">
        <f>IF(OR((ROW()-1)&lt;7,'实盘净值数据(iFinD公式)'!$A35="",'实盘净值数据(iFinD公式)'!$B35=""),"",SUMPRODUCT(实盘持仓配置!$B$6:$X$6,'实盘净值数据(iFinD公式)'!$B35:$X35/'实盘净值数据(iFinD公式)'!$B$7:$X$7)*(1-实盘持仓配置!$Z$6)^(('实盘净值数据(iFinD公式)'!$A35-'实盘净值数据(iFinD公式)'!$A$7)/365))</f>
        <v>0.76514694157091234</v>
      </c>
      <c r="I35" s="50">
        <f>IF(OR(H34="",'实盘净值数据(iFinD公式)'!$A35="",'实盘净值数据(iFinD公式)'!$B35=""),"",(SUMPRODUCT(实盘持仓配置!$B$6:$X$6,'实盘净值数据(iFinD公式)'!$B34:$X34/'实盘净值数据(iFinD公式)'!$B$7:$X$7,'实盘净值数据(iFinD公式)'!$B35:$X35/'实盘净值数据(iFinD公式)'!$B34:$X34)/SUMPRODUCT(实盘持仓配置!$B$6:$X$6,'实盘净值数据(iFinD公式)'!$B34:$X34/'实盘净值数据(iFinD公式)'!$B$7:$X$7))*(1-实盘持仓配置!$Z$6)^(('实盘净值数据(iFinD公式)'!$A35-'实盘净值数据(iFinD公式)'!$A34)/365)-1)</f>
        <v>3.3703479248609947E-2</v>
      </c>
      <c r="J35" s="50">
        <f>IF(H35="","",H35/MAX(H$5:H35)-1)</f>
        <v>-0.31173667969936236</v>
      </c>
      <c r="K35" s="112">
        <f>IF(OR((ROW()-1)&lt;8,'实盘净值数据(iFinD公式)'!$A35="",'实盘净值数据(iFinD公式)'!$B35=""),"",SUMPRODUCT(实盘持仓配置!$B$7:$X$7,'实盘净值数据(iFinD公式)'!$B35:$X35/'实盘净值数据(iFinD公式)'!$B$8:$X$8)*(1-实盘持仓配置!$Z$7)^(('实盘净值数据(iFinD公式)'!$A35-'实盘净值数据(iFinD公式)'!$A$8)/365))</f>
        <v>0.98229039221178616</v>
      </c>
      <c r="L35" s="50">
        <f>IF(OR(K34="",'实盘净值数据(iFinD公式)'!$A35="",'实盘净值数据(iFinD公式)'!$B35=""),"",(SUMPRODUCT(实盘持仓配置!$B$7:$X$7,'实盘净值数据(iFinD公式)'!$B34:$X34/'实盘净值数据(iFinD公式)'!$B$8:$X$8,'实盘净值数据(iFinD公式)'!$B35:$X35/'实盘净值数据(iFinD公式)'!$B34:$X34)/SUMPRODUCT(实盘持仓配置!$B$7:$X$7,'实盘净值数据(iFinD公式)'!$B34:$X34/'实盘净值数据(iFinD公式)'!$B$8:$X$8))*(1-实盘持仓配置!$Z$7)^(('实盘净值数据(iFinD公式)'!$A35-'实盘净值数据(iFinD公式)'!$A34)/365)-1)</f>
        <v>2.7836211292133761E-3</v>
      </c>
      <c r="M35" s="50">
        <f>IF(K35="","",K35/MAX(K$5:K35)-1)</f>
        <v>-2.091317364901113E-2</v>
      </c>
      <c r="N35" s="112">
        <f>IF(OR((ROW()-1)&lt;5,'实盘净值数据(iFinD公式)'!$A35="",'实盘净值数据(iFinD公式)'!$B35=""),"",SUMPRODUCT(实盘持仓配置!$B$8:$X$8,'实盘净值数据(iFinD公式)'!$B35:$X35/'实盘净值数据(iFinD公式)'!$B$5:$X$5)*(1-实盘持仓配置!$Z$8)^(('实盘净值数据(iFinD公式)'!$A35-'实盘净值数据(iFinD公式)'!$A$5)/365))</f>
        <v>0.98036599691968129</v>
      </c>
      <c r="O35" s="50">
        <f>IF(OR(N34="",'实盘净值数据(iFinD公式)'!$A35="",'实盘净值数据(iFinD公式)'!$B35=""),"",(SUMPRODUCT(实盘持仓配置!$B$8:$X$8,'实盘净值数据(iFinD公式)'!$B34:$X34/'实盘净值数据(iFinD公式)'!$B$5:$X$5,'实盘净值数据(iFinD公式)'!$B35:$X35/'实盘净值数据(iFinD公式)'!$B34:$X34)/SUMPRODUCT(实盘持仓配置!$B$8:$X$8,'实盘净值数据(iFinD公式)'!$B34:$X34/'实盘净值数据(iFinD公式)'!$B$5:$X$5))*(1-实盘持仓配置!$Z$8)^(('实盘净值数据(iFinD公式)'!$A35-'实盘净值数据(iFinD公式)'!$A34)/365)-1)</f>
        <v>2.918798098018982E-3</v>
      </c>
      <c r="P35" s="50">
        <f>IF(N35="","",N35/MAX(N$5:N35)-1)</f>
        <v>-2.2283750159258875E-2</v>
      </c>
      <c r="Q35" s="112">
        <f>IF(OR((ROW()-1)&lt;8,'实盘净值数据(iFinD公式)'!$A35="",'实盘净值数据(iFinD公式)'!$B35=""),"",SUMPRODUCT(实盘持仓配置!$B$9:$X$9,'实盘净值数据(iFinD公式)'!$B35:$X35/'实盘净值数据(iFinD公式)'!$B$8:$X$8)*(1-实盘持仓配置!$Z$9)^(('实盘净值数据(iFinD公式)'!$A35-'实盘净值数据(iFinD公式)'!$A$8)/365))</f>
        <v>0.93782278302830924</v>
      </c>
      <c r="R35" s="50">
        <f>IF(OR(Q34="",'实盘净值数据(iFinD公式)'!$A35="",'实盘净值数据(iFinD公式)'!$B35=""),"",(SUMPRODUCT(实盘持仓配置!$B$9:$X$9,'实盘净值数据(iFinD公式)'!$B34:$X34/'实盘净值数据(iFinD公式)'!$B$8:$X$8,'实盘净值数据(iFinD公式)'!$B35:$X35/'实盘净值数据(iFinD公式)'!$B34:$X34)/SUMPRODUCT(实盘持仓配置!$B$9:$X$9,'实盘净值数据(iFinD公式)'!$B34:$X34/'实盘净值数据(iFinD公式)'!$B$8:$X$8))*(1-实盘持仓配置!$Z$9)^(('实盘净值数据(iFinD公式)'!$A35-'实盘净值数据(iFinD公式)'!$A34)/365)-1)</f>
        <v>7.6462199354958571E-3</v>
      </c>
      <c r="S35" s="50">
        <f>IF(Q35="","",Q35/MAX(Q$5:Q35)-1)</f>
        <v>-7.0322927681403358E-2</v>
      </c>
    </row>
    <row r="36" spans="1:19">
      <c r="A36" s="113">
        <f>IF('实盘净值数据(iFinD公式)'!A36="","",'实盘净值数据(iFinD公式)'!A36)</f>
        <v>46237</v>
      </c>
      <c r="B36" s="112">
        <f>IF(OR((ROW()-1)&lt;6,'实盘净值数据(iFinD公式)'!$A36="",'实盘净值数据(iFinD公式)'!$B36=""),"",SUMPRODUCT(实盘持仓配置!$B$4:$X$4,'实盘净值数据(iFinD公式)'!$B36:$X36/'实盘净值数据(iFinD公式)'!$B$6:$X$6)*(1-实盘持仓配置!$Z$4)^(('实盘净值数据(iFinD公式)'!$A36-'实盘净值数据(iFinD公式)'!$A$6)/365))</f>
        <v>0.69518298313296134</v>
      </c>
      <c r="C36" s="50">
        <f>IF(OR(B35="",'实盘净值数据(iFinD公式)'!$A36="",'实盘净值数据(iFinD公式)'!$B36=""),"",(SUMPRODUCT(实盘持仓配置!$B$4:$X$4,'实盘净值数据(iFinD公式)'!$B35:$X35/'实盘净值数据(iFinD公式)'!$B$6:$X$6,'实盘净值数据(iFinD公式)'!$B36:$X36/'实盘净值数据(iFinD公式)'!$B35:$X35)/SUMPRODUCT(实盘持仓配置!$B$4:$X$4,'实盘净值数据(iFinD公式)'!$B35:$X35/'实盘净值数据(iFinD公式)'!$B$6:$X$6))*(1-实盘持仓配置!$Z$4)^(('实盘净值数据(iFinD公式)'!$A36-'实盘净值数据(iFinD公式)'!$A35)/365)-1)</f>
        <v>-3.4371495699929033E-2</v>
      </c>
      <c r="D36" s="50">
        <f>IF(B36="","",B36/MAX(B$5:B36)-1)</f>
        <v>-0.35322665136497178</v>
      </c>
      <c r="E36" s="112">
        <f>IF(OR((ROW()-1)&lt;5,'实盘净值数据(iFinD公式)'!$A36="",'实盘净值数据(iFinD公式)'!$B36=""),"",SUMPRODUCT(实盘持仓配置!$B$5:$X$5,'实盘净值数据(iFinD公式)'!$B36:$X36/'实盘净值数据(iFinD公式)'!$B$5:$X$5)*(1-实盘持仓配置!$Z$5)^(('实盘净值数据(iFinD公式)'!$A36-'实盘净值数据(iFinD公式)'!$A$5)/365))</f>
        <v>0.71124169950501803</v>
      </c>
      <c r="F36" s="50">
        <f>IF(OR(E35="",'实盘净值数据(iFinD公式)'!$A36="",'实盘净值数据(iFinD公式)'!$B36=""),"",(SUMPRODUCT(实盘持仓配置!$B$5:$X$5,'实盘净值数据(iFinD公式)'!$B35:$X35/'实盘净值数据(iFinD公式)'!$B$5:$X$5,'实盘净值数据(iFinD公式)'!$B36:$X36/'实盘净值数据(iFinD公式)'!$B35:$X35)/SUMPRODUCT(实盘持仓配置!$B$5:$X$5,'实盘净值数据(iFinD公式)'!$B35:$X35/'实盘净值数据(iFinD公式)'!$B$5:$X$5))*(1-实盘持仓配置!$Z$5)^(('实盘净值数据(iFinD公式)'!$A36-'实盘净值数据(iFinD公式)'!$A35)/365)-1)</f>
        <v>-3.4285847087473731E-2</v>
      </c>
      <c r="G36" s="50">
        <f>IF(E36="","",E36/MAX(E$5:E36)-1)</f>
        <v>-0.35326193195021749</v>
      </c>
      <c r="H36" s="112">
        <f>IF(OR((ROW()-1)&lt;7,'实盘净值数据(iFinD公式)'!$A36="",'实盘净值数据(iFinD公式)'!$B36=""),"",SUMPRODUCT(实盘持仓配置!$B$6:$X$6,'实盘净值数据(iFinD公式)'!$B36:$X36/'实盘净值数据(iFinD公式)'!$B$7:$X$7)*(1-实盘持仓配置!$Z$6)^(('实盘净值数据(iFinD公式)'!$A36-'实盘净值数据(iFinD公式)'!$A$7)/365))</f>
        <v>0.73148168789498236</v>
      </c>
      <c r="I36" s="50">
        <f>IF(OR(H35="",'实盘净值数据(iFinD公式)'!$A36="",'实盘净值数据(iFinD公式)'!$B36=""),"",(SUMPRODUCT(实盘持仓配置!$B$6:$X$6,'实盘净值数据(iFinD公式)'!$B35:$X35/'实盘净值数据(iFinD公式)'!$B$7:$X$7,'实盘净值数据(iFinD公式)'!$B36:$X36/'实盘净值数据(iFinD公式)'!$B35:$X35)/SUMPRODUCT(实盘持仓配置!$B$6:$X$6,'实盘净值数据(iFinD公式)'!$B35:$X35/'实盘净值数据(iFinD公式)'!$B$7:$X$7))*(1-实盘持仓配置!$Z$6)^(('实盘净值数据(iFinD公式)'!$A36-'实盘净值数据(iFinD公式)'!$A35)/365)-1)</f>
        <v>-4.3998416313097088E-2</v>
      </c>
      <c r="J36" s="50">
        <f>IF(H36="","",H36/MAX(H$5:H36)-1)</f>
        <v>-0.34201917579898433</v>
      </c>
      <c r="K36" s="112">
        <f>IF(OR((ROW()-1)&lt;8,'实盘净值数据(iFinD公式)'!$A36="",'实盘净值数据(iFinD公式)'!$B36=""),"",SUMPRODUCT(实盘持仓配置!$B$7:$X$7,'实盘净值数据(iFinD公式)'!$B36:$X36/'实盘净值数据(iFinD公式)'!$B$8:$X$8)*(1-实盘持仓配置!$Z$7)^(('实盘净值数据(iFinD公式)'!$A36-'实盘净值数据(iFinD公式)'!$A$8)/365))</f>
        <v>0.98058111923366809</v>
      </c>
      <c r="L36" s="50">
        <f>IF(OR(K35="",'实盘净值数据(iFinD公式)'!$A36="",'实盘净值数据(iFinD公式)'!$B36=""),"",(SUMPRODUCT(实盘持仓配置!$B$7:$X$7,'实盘净值数据(iFinD公式)'!$B35:$X35/'实盘净值数据(iFinD公式)'!$B$8:$X$8,'实盘净值数据(iFinD公式)'!$B36:$X36/'实盘净值数据(iFinD公式)'!$B35:$X35)/SUMPRODUCT(实盘持仓配置!$B$7:$X$7,'实盘净值数据(iFinD公式)'!$B35:$X35/'实盘净值数据(iFinD公式)'!$B$8:$X$8))*(1-实盘持仓配置!$Z$7)^(('实盘净值数据(iFinD公式)'!$A36-'实盘净值数据(iFinD公式)'!$A35)/365)-1)</f>
        <v>-1.7400892767253096E-3</v>
      </c>
      <c r="M36" s="50">
        <f>IF(K36="","",K36/MAX(K$5:K36)-1)</f>
        <v>-2.2616872136527522E-2</v>
      </c>
      <c r="N36" s="112">
        <f>IF(OR((ROW()-1)&lt;5,'实盘净值数据(iFinD公式)'!$A36="",'实盘净值数据(iFinD公式)'!$B36=""),"",SUMPRODUCT(实盘持仓配置!$B$8:$X$8,'实盘净值数据(iFinD公式)'!$B36:$X36/'实盘净值数据(iFinD公式)'!$B$5:$X$5)*(1-实盘持仓配置!$Z$8)^(('实盘净值数据(iFinD公式)'!$A36-'实盘净值数据(iFinD公式)'!$A$5)/365))</f>
        <v>0.97903097529861949</v>
      </c>
      <c r="O36" s="50">
        <f>IF(OR(N35="",'实盘净值数据(iFinD公式)'!$A36="",'实盘净值数据(iFinD公式)'!$B36=""),"",(SUMPRODUCT(实盘持仓配置!$B$8:$X$8,'实盘净值数据(iFinD公式)'!$B35:$X35/'实盘净值数据(iFinD公式)'!$B$5:$X$5,'实盘净值数据(iFinD公式)'!$B36:$X36/'实盘净值数据(iFinD公式)'!$B35:$X35)/SUMPRODUCT(实盘持仓配置!$B$8:$X$8,'实盘净值数据(iFinD公式)'!$B35:$X35/'实盘净值数据(iFinD公式)'!$B$5:$X$5))*(1-实盘持仓配置!$Z$8)^(('实盘净值数据(iFinD公式)'!$A36-'实盘净值数据(iFinD公式)'!$A35)/365)-1)</f>
        <v>-1.3617583894754981E-3</v>
      </c>
      <c r="P36" s="50">
        <f>IF(N36="","",N36/MAX(N$5:N36)-1)</f>
        <v>-2.3615163465005917E-2</v>
      </c>
      <c r="Q36" s="112">
        <f>IF(OR((ROW()-1)&lt;8,'实盘净值数据(iFinD公式)'!$A36="",'实盘净值数据(iFinD公式)'!$B36=""),"",SUMPRODUCT(实盘持仓配置!$B$9:$X$9,'实盘净值数据(iFinD公式)'!$B36:$X36/'实盘净值数据(iFinD公式)'!$B$8:$X$8)*(1-实盘持仓配置!$Z$9)^(('实盘净值数据(iFinD公式)'!$A36-'实盘净值数据(iFinD公式)'!$A$8)/365))</f>
        <v>0.93248991297372008</v>
      </c>
      <c r="R36" s="50">
        <f>IF(OR(Q35="",'实盘净值数据(iFinD公式)'!$A36="",'实盘净值数据(iFinD公式)'!$B36=""),"",(SUMPRODUCT(实盘持仓配置!$B$9:$X$9,'实盘净值数据(iFinD公式)'!$B35:$X35/'实盘净值数据(iFinD公式)'!$B$8:$X$8,'实盘净值数据(iFinD公式)'!$B36:$X36/'实盘净值数据(iFinD公式)'!$B35:$X35)/SUMPRODUCT(实盘持仓配置!$B$9:$X$9,'实盘净值数据(iFinD公式)'!$B35:$X35/'实盘净值数据(iFinD公式)'!$B$8:$X$8))*(1-实盘持仓配置!$Z$9)^(('实盘净值数据(iFinD公式)'!$A36-'实盘净值数据(iFinD公式)'!$A35)/365)-1)</f>
        <v>-5.6864368738926974E-3</v>
      </c>
      <c r="S36" s="50">
        <f>IF(Q36="","",Q36/MAX(Q$5:Q36)-1)</f>
        <v>-7.5609477666248703E-2</v>
      </c>
    </row>
    <row r="37" spans="1:19">
      <c r="A37" s="113">
        <f>IF('实盘净值数据(iFinD公式)'!A37="","",'实盘净值数据(iFinD公式)'!A37)</f>
        <v>46238</v>
      </c>
      <c r="B37" s="112">
        <f>IF(OR((ROW()-1)&lt;6,'实盘净值数据(iFinD公式)'!$A37="",'实盘净值数据(iFinD公式)'!$B37=""),"",SUMPRODUCT(实盘持仓配置!$B$4:$X$4,'实盘净值数据(iFinD公式)'!$B37:$X37/'实盘净值数据(iFinD公式)'!$B$6:$X$6)*(1-实盘持仓配置!$Z$4)^(('实盘净值数据(iFinD公式)'!$A37-'实盘净值数据(iFinD公式)'!$A$6)/365))</f>
        <v>0.7489458273522015</v>
      </c>
      <c r="C37" s="50">
        <f>IF(OR(B36="",'实盘净值数据(iFinD公式)'!$A37="",'实盘净值数据(iFinD公式)'!$B37=""),"",(SUMPRODUCT(实盘持仓配置!$B$4:$X$4,'实盘净值数据(iFinD公式)'!$B36:$X36/'实盘净值数据(iFinD公式)'!$B$6:$X$6,'实盘净值数据(iFinD公式)'!$B37:$X37/'实盘净值数据(iFinD公式)'!$B36:$X36)/SUMPRODUCT(实盘持仓配置!$B$4:$X$4,'实盘净值数据(iFinD公式)'!$B36:$X36/'实盘净值数据(iFinD公式)'!$B$6:$X$6))*(1-实盘持仓配置!$Z$4)^(('实盘净值数据(iFinD公式)'!$A37-'实盘净值数据(iFinD公式)'!$A36)/365)-1)</f>
        <v>7.7336248906652694E-2</v>
      </c>
      <c r="D37" s="50">
        <f>IF(B37="","",B37/MAX(B$5:B37)-1)</f>
        <v>-0.3032076266887439</v>
      </c>
      <c r="E37" s="112">
        <f>IF(OR((ROW()-1)&lt;5,'实盘净值数据(iFinD公式)'!$A37="",'实盘净值数据(iFinD公式)'!$B37=""),"",SUMPRODUCT(实盘持仓配置!$B$5:$X$5,'实盘净值数据(iFinD公式)'!$B37:$X37/'实盘净值数据(iFinD公式)'!$B$5:$X$5)*(1-实盘持仓配置!$Z$5)^(('实盘净值数据(iFinD公式)'!$A37-'实盘净值数据(iFinD公式)'!$A$5)/365))</f>
        <v>0.76632769990024097</v>
      </c>
      <c r="F37" s="50">
        <f>IF(OR(E36="",'实盘净值数据(iFinD公式)'!$A37="",'实盘净值数据(iFinD公式)'!$B37=""),"",(SUMPRODUCT(实盘持仓配置!$B$5:$X$5,'实盘净值数据(iFinD公式)'!$B36:$X36/'实盘净值数据(iFinD公式)'!$B$5:$X$5,'实盘净值数据(iFinD公式)'!$B37:$X37/'实盘净值数据(iFinD公式)'!$B36:$X36)/SUMPRODUCT(实盘持仓配置!$B$5:$X$5,'实盘净值数据(iFinD公式)'!$B36:$X36/'实盘净值数据(iFinD公式)'!$B$5:$X$5))*(1-实盘持仓配置!$Z$5)^(('实盘净值数据(iFinD公式)'!$A37-'实盘净值数据(iFinD公式)'!$A36)/365)-1)</f>
        <v>7.7450465057883555E-2</v>
      </c>
      <c r="G37" s="50">
        <f>IF(E37="","",E37/MAX(E$5:E37)-1)</f>
        <v>-0.30317176780912491</v>
      </c>
      <c r="H37" s="112">
        <f>IF(OR((ROW()-1)&lt;7,'实盘净值数据(iFinD公式)'!$A37="",'实盘净值数据(iFinD公式)'!$B37=""),"",SUMPRODUCT(实盘持仓配置!$B$6:$X$6,'实盘净值数据(iFinD公式)'!$B37:$X37/'实盘净值数据(iFinD公式)'!$B$7:$X$7)*(1-实盘持仓配置!$Z$6)^(('实盘净值数据(iFinD公式)'!$A37-'实盘净值数据(iFinD公式)'!$A$7)/365))</f>
        <v>0.78237392543513407</v>
      </c>
      <c r="I37" s="50">
        <f>IF(OR(H36="",'实盘净值数据(iFinD公式)'!$A37="",'实盘净值数据(iFinD公式)'!$B37=""),"",(SUMPRODUCT(实盘持仓配置!$B$6:$X$6,'实盘净值数据(iFinD公式)'!$B36:$X36/'实盘净值数据(iFinD公式)'!$B$7:$X$7,'实盘净值数据(iFinD公式)'!$B37:$X37/'实盘净值数据(iFinD公式)'!$B36:$X36)/SUMPRODUCT(实盘持仓配置!$B$6:$X$6,'实盘净值数据(iFinD公式)'!$B36:$X36/'实盘净值数据(iFinD公式)'!$B$7:$X$7))*(1-实盘持仓配置!$Z$6)^(('实盘净值数据(iFinD公式)'!$A37-'实盘净值数据(iFinD公式)'!$A36)/365)-1)</f>
        <v>6.9574178523329033E-2</v>
      </c>
      <c r="J37" s="50">
        <f>IF(H37="","",H37/MAX(H$5:H37)-1)</f>
        <v>-0.29624070047109552</v>
      </c>
      <c r="K37" s="112">
        <f>IF(OR((ROW()-1)&lt;8,'实盘净值数据(iFinD公式)'!$A37="",'实盘净值数据(iFinD公式)'!$B37=""),"",SUMPRODUCT(实盘持仓配置!$B$7:$X$7,'实盘净值数据(iFinD公式)'!$B37:$X37/'实盘净值数据(iFinD公式)'!$B$8:$X$8)*(1-实盘持仓配置!$Z$7)^(('实盘净值数据(iFinD公式)'!$A37-'实盘净值数据(iFinD公式)'!$A$8)/365))</f>
        <v>0.98445758186301557</v>
      </c>
      <c r="L37" s="50">
        <f>IF(OR(K36="",'实盘净值数据(iFinD公式)'!$A37="",'实盘净值数据(iFinD公式)'!$B37=""),"",(SUMPRODUCT(实盘持仓配置!$B$7:$X$7,'实盘净值数据(iFinD公式)'!$B36:$X36/'实盘净值数据(iFinD公式)'!$B$8:$X$8,'实盘净值数据(iFinD公式)'!$B37:$X37/'实盘净值数据(iFinD公式)'!$B36:$X36)/SUMPRODUCT(实盘持仓配置!$B$7:$X$7,'实盘净值数据(iFinD公式)'!$B36:$X36/'实盘净值数据(iFinD公式)'!$B$8:$X$8))*(1-实盘持仓配置!$Z$7)^(('实盘净值数据(iFinD公式)'!$A37-'实盘净值数据(iFinD公式)'!$A36)/365)-1)</f>
        <v>3.953229930000024E-3</v>
      </c>
      <c r="M37" s="50">
        <f>IF(K37="","",K37/MAX(K$5:K37)-1)</f>
        <v>-1.8753051902380635E-2</v>
      </c>
      <c r="N37" s="112">
        <f>IF(OR((ROW()-1)&lt;5,'实盘净值数据(iFinD公式)'!$A37="",'实盘净值数据(iFinD公式)'!$B37=""),"",SUMPRODUCT(实盘持仓配置!$B$8:$X$8,'实盘净值数据(iFinD公式)'!$B37:$X37/'实盘净值数据(iFinD公式)'!$B$5:$X$5)*(1-实盘持仓配置!$Z$8)^(('实盘净值数据(iFinD公式)'!$A37-'实盘净值数据(iFinD公式)'!$A$5)/365))</f>
        <v>0.98323524313706667</v>
      </c>
      <c r="O37" s="50">
        <f>IF(OR(N36="",'实盘净值数据(iFinD公式)'!$A37="",'实盘净值数据(iFinD公式)'!$B37=""),"",(SUMPRODUCT(实盘持仓配置!$B$8:$X$8,'实盘净值数据(iFinD公式)'!$B36:$X36/'实盘净值数据(iFinD公式)'!$B$5:$X$5,'实盘净值数据(iFinD公式)'!$B37:$X37/'实盘净值数据(iFinD公式)'!$B36:$X36)/SUMPRODUCT(实盘持仓配置!$B$8:$X$8,'实盘净值数据(iFinD公式)'!$B36:$X36/'实盘净值数据(iFinD公式)'!$B$5:$X$5))*(1-实盘持仓配置!$Z$8)^(('实盘净值数据(iFinD公式)'!$A37-'实盘净值数据(iFinD公式)'!$A36)/365)-1)</f>
        <v>4.294315445090735E-3</v>
      </c>
      <c r="P37" s="50">
        <f>IF(N37="","",N37/MAX(N$5:N37)-1)</f>
        <v>-1.9422258981121265E-2</v>
      </c>
      <c r="Q37" s="112">
        <f>IF(OR((ROW()-1)&lt;8,'实盘净值数据(iFinD公式)'!$A37="",'实盘净值数据(iFinD公式)'!$B37=""),"",SUMPRODUCT(实盘持仓配置!$B$9:$X$9,'实盘净值数据(iFinD公式)'!$B37:$X37/'实盘净值数据(iFinD公式)'!$B$8:$X$8)*(1-实盘持仓配置!$Z$9)^(('实盘净值数据(iFinD公式)'!$A37-'实盘净值数据(iFinD公式)'!$A$8)/365))</f>
        <v>0.94344620310229588</v>
      </c>
      <c r="R37" s="50">
        <f>IF(OR(Q36="",'实盘净值数据(iFinD公式)'!$A37="",'实盘净值数据(iFinD公式)'!$B37=""),"",(SUMPRODUCT(实盘持仓配置!$B$9:$X$9,'实盘净值数据(iFinD公式)'!$B36:$X36/'实盘净值数据(iFinD公式)'!$B$8:$X$8,'实盘净值数据(iFinD公式)'!$B37:$X37/'实盘净值数据(iFinD公式)'!$B36:$X36)/SUMPRODUCT(实盘持仓配置!$B$9:$X$9,'实盘净值数据(iFinD公式)'!$B36:$X36/'实盘净值数据(iFinD公式)'!$B$8:$X$8))*(1-实盘持仓配置!$Z$9)^(('实盘净值数据(iFinD公式)'!$A37-'实盘净值数据(iFinD公式)'!$A36)/365)-1)</f>
        <v>1.1749499888568105E-2</v>
      </c>
      <c r="S37" s="50">
        <f>IF(Q37="","",Q37/MAX(Q$5:Q37)-1)</f>
        <v>-6.4748351327094666E-2</v>
      </c>
    </row>
    <row r="38" spans="1:19">
      <c r="A38" s="113">
        <f>IF('实盘净值数据(iFinD公式)'!A38="","",'实盘净值数据(iFinD公式)'!A38)</f>
        <v>46239</v>
      </c>
      <c r="B38" s="112">
        <f>IF(OR((ROW()-1)&lt;6,'实盘净值数据(iFinD公式)'!$A38="",'实盘净值数据(iFinD公式)'!$B38=""),"",SUMPRODUCT(实盘持仓配置!$B$4:$X$4,'实盘净值数据(iFinD公式)'!$B38:$X38/'实盘净值数据(iFinD公式)'!$B$6:$X$6)*(1-实盘持仓配置!$Z$4)^(('实盘净值数据(iFinD公式)'!$A38-'实盘净值数据(iFinD公式)'!$A$6)/365))</f>
        <v>0.77793525570176403</v>
      </c>
      <c r="C38" s="50">
        <f>IF(OR(B37="",'实盘净值数据(iFinD公式)'!$A38="",'实盘净值数据(iFinD公式)'!$B38=""),"",(SUMPRODUCT(实盘持仓配置!$B$4:$X$4,'实盘净值数据(iFinD公式)'!$B37:$X37/'实盘净值数据(iFinD公式)'!$B$6:$X$6,'实盘净值数据(iFinD公式)'!$B38:$X38/'实盘净值数据(iFinD公式)'!$B37:$X37)/SUMPRODUCT(实盘持仓配置!$B$4:$X$4,'实盘净值数据(iFinD公式)'!$B37:$X37/'实盘净值数据(iFinD公式)'!$B$6:$X$6))*(1-实盘持仓配置!$Z$4)^(('实盘净值数据(iFinD公式)'!$A38-'实盘净值数据(iFinD公式)'!$A37)/365)-1)</f>
        <v>3.8706976246934754E-2</v>
      </c>
      <c r="D38" s="50">
        <f>IF(B38="","",B38/MAX(B$5:B38)-1)</f>
        <v>-0.27623690084593988</v>
      </c>
      <c r="E38" s="112">
        <f>IF(OR((ROW()-1)&lt;5,'实盘净值数据(iFinD公式)'!$A38="",'实盘净值数据(iFinD公式)'!$B38=""),"",SUMPRODUCT(实盘持仓配置!$B$5:$X$5,'实盘净值数据(iFinD公式)'!$B38:$X38/'实盘净值数据(iFinD公式)'!$B$5:$X$5)*(1-实盘持仓配置!$Z$5)^(('实盘净值数据(iFinD公式)'!$A38-'实盘净值数据(iFinD公式)'!$A$5)/365))</f>
        <v>0.7959626721520755</v>
      </c>
      <c r="F38" s="50">
        <f>IF(OR(E37="",'实盘净值数据(iFinD公式)'!$A38="",'实盘净值数据(iFinD公式)'!$B38=""),"",(SUMPRODUCT(实盘持仓配置!$B$5:$X$5,'实盘净值数据(iFinD公式)'!$B37:$X37/'实盘净值数据(iFinD公式)'!$B$5:$X$5,'实盘净值数据(iFinD公式)'!$B38:$X38/'实盘净值数据(iFinD公式)'!$B37:$X37)/SUMPRODUCT(实盘持仓配置!$B$5:$X$5,'实盘净值数据(iFinD公式)'!$B37:$X37/'实盘净值数据(iFinD公式)'!$B$5:$X$5))*(1-实盘持仓配置!$Z$5)^(('实盘净值数据(iFinD公式)'!$A38-'实盘净值数据(iFinD公式)'!$A37)/365)-1)</f>
        <v>3.8671409444931193E-2</v>
      </c>
      <c r="G38" s="50">
        <f>IF(E38="","",E38/MAX(E$5:E38)-1)</f>
        <v>-0.27622443792928397</v>
      </c>
      <c r="H38" s="112">
        <f>IF(OR((ROW()-1)&lt;7,'实盘净值数据(iFinD公式)'!$A38="",'实盘净值数据(iFinD公式)'!$B38=""),"",SUMPRODUCT(实盘持仓配置!$B$6:$X$6,'实盘净值数据(iFinD公式)'!$B38:$X38/'实盘净值数据(iFinD公式)'!$B$7:$X$7)*(1-实盘持仓配置!$Z$6)^(('实盘净值数据(iFinD公式)'!$A38-'实盘净值数据(iFinD公式)'!$A$7)/365))</f>
        <v>0.81549732114079887</v>
      </c>
      <c r="I38" s="50">
        <f>IF(OR(H37="",'实盘净值数据(iFinD公式)'!$A38="",'实盘净值数据(iFinD公式)'!$B38=""),"",(SUMPRODUCT(实盘持仓配置!$B$6:$X$6,'实盘净值数据(iFinD公式)'!$B37:$X37/'实盘净值数据(iFinD公式)'!$B$7:$X$7,'实盘净值数据(iFinD公式)'!$B38:$X38/'实盘净值数据(iFinD公式)'!$B37:$X37)/SUMPRODUCT(实盘持仓配置!$B$6:$X$6,'实盘净值数据(iFinD公式)'!$B37:$X37/'实盘净值数据(iFinD公式)'!$B$7:$X$7))*(1-实盘持仓配置!$Z$6)^(('实盘净值数据(iFinD公式)'!$A38-'实盘净值数据(iFinD公式)'!$A37)/365)-1)</f>
        <v>4.2337039398702592E-2</v>
      </c>
      <c r="J38" s="50">
        <f>IF(H38="","",H38/MAX(H$5:H38)-1)</f>
        <v>-0.26644561527973709</v>
      </c>
      <c r="K38" s="112">
        <f>IF(OR((ROW()-1)&lt;8,'实盘净值数据(iFinD公式)'!$A38="",'实盘净值数据(iFinD公式)'!$B38=""),"",SUMPRODUCT(实盘持仓配置!$B$7:$X$7,'实盘净值数据(iFinD公式)'!$B38:$X38/'实盘净值数据(iFinD公式)'!$B$8:$X$8)*(1-实盘持仓配置!$Z$7)^(('实盘净值数据(iFinD公式)'!$A38-'实盘净值数据(iFinD公式)'!$A$8)/365))</f>
        <v>0.98816353376308408</v>
      </c>
      <c r="L38" s="50">
        <f>IF(OR(K37="",'实盘净值数据(iFinD公式)'!$A38="",'实盘净值数据(iFinD公式)'!$B38=""),"",(SUMPRODUCT(实盘持仓配置!$B$7:$X$7,'实盘净值数据(iFinD公式)'!$B37:$X37/'实盘净值数据(iFinD公式)'!$B$8:$X$8,'实盘净值数据(iFinD公式)'!$B38:$X38/'实盘净值数据(iFinD公式)'!$B37:$X37)/SUMPRODUCT(实盘持仓配置!$B$7:$X$7,'实盘净值数据(iFinD公式)'!$B37:$X37/'实盘净值数据(iFinD公式)'!$B$8:$X$8))*(1-实盘持仓配置!$Z$7)^(('实盘净值数据(iFinD公式)'!$A38-'实盘净值数据(iFinD公式)'!$A37)/365)-1)</f>
        <v>3.7644607226805515E-3</v>
      </c>
      <c r="M38" s="50">
        <f>IF(K38="","",K38/MAX(K$5:K38)-1)</f>
        <v>-1.5059186307016859E-2</v>
      </c>
      <c r="N38" s="112">
        <f>IF(OR((ROW()-1)&lt;5,'实盘净值数据(iFinD公式)'!$A38="",'实盘净值数据(iFinD公式)'!$B38=""),"",SUMPRODUCT(实盘持仓配置!$B$8:$X$8,'实盘净值数据(iFinD公式)'!$B38:$X38/'实盘净值数据(iFinD公式)'!$B$5:$X$5)*(1-实盘持仓配置!$Z$8)^(('实盘净值数据(iFinD公式)'!$A38-'实盘净值数据(iFinD公式)'!$A$5)/365))</f>
        <v>0.98681529887549746</v>
      </c>
      <c r="O38" s="50">
        <f>IF(OR(N37="",'实盘净值数据(iFinD公式)'!$A38="",'实盘净值数据(iFinD公式)'!$B38=""),"",(SUMPRODUCT(实盘持仓配置!$B$8:$X$8,'实盘净值数据(iFinD公式)'!$B37:$X37/'实盘净值数据(iFinD公式)'!$B$5:$X$5,'实盘净值数据(iFinD公式)'!$B38:$X38/'实盘净值数据(iFinD公式)'!$B37:$X37)/SUMPRODUCT(实盘持仓配置!$B$8:$X$8,'实盘净值数据(iFinD公式)'!$B37:$X37/'实盘净值数据(iFinD公式)'!$B$5:$X$5))*(1-实盘持仓配置!$Z$8)^(('实盘净值数据(iFinD公式)'!$A38-'实盘净值数据(iFinD公式)'!$A37)/365)-1)</f>
        <v>3.6410978587466669E-3</v>
      </c>
      <c r="P38" s="50">
        <f>IF(N38="","",N38/MAX(N$5:N38)-1)</f>
        <v>-1.5851879467962626E-2</v>
      </c>
      <c r="Q38" s="112">
        <f>IF(OR((ROW()-1)&lt;8,'实盘净值数据(iFinD公式)'!$A38="",'实盘净值数据(iFinD公式)'!$B38=""),"",SUMPRODUCT(实盘持仓配置!$B$9:$X$9,'实盘净值数据(iFinD公式)'!$B38:$X38/'实盘净值数据(iFinD公式)'!$B$8:$X$8)*(1-实盘持仓配置!$Z$9)^(('实盘净值数据(iFinD公式)'!$A38-'实盘净值数据(iFinD公式)'!$A$8)/365))</f>
        <v>0.95357648829475472</v>
      </c>
      <c r="R38" s="50">
        <f>IF(OR(Q37="",'实盘净值数据(iFinD公式)'!$A38="",'实盘净值数据(iFinD公式)'!$B38=""),"",(SUMPRODUCT(实盘持仓配置!$B$9:$X$9,'实盘净值数据(iFinD公式)'!$B37:$X37/'实盘净值数据(iFinD公式)'!$B$8:$X$8,'实盘净值数据(iFinD公式)'!$B38:$X38/'实盘净值数据(iFinD公式)'!$B37:$X37)/SUMPRODUCT(实盘持仓配置!$B$9:$X$9,'实盘净值数据(iFinD公式)'!$B37:$X37/'实盘净值数据(iFinD公式)'!$B$8:$X$8))*(1-实盘持仓配置!$Z$9)^(('实盘净值数据(iFinD公式)'!$A38-'实盘净值数据(iFinD公式)'!$A37)/365)-1)</f>
        <v>1.0737533480073225E-2</v>
      </c>
      <c r="S38" s="50">
        <f>IF(Q38="","",Q38/MAX(Q$5:Q38)-1)</f>
        <v>-5.470605543717566E-2</v>
      </c>
    </row>
    <row r="39" spans="1:19">
      <c r="A39" s="113">
        <f>IF('实盘净值数据(iFinD公式)'!A39="","",'实盘净值数据(iFinD公式)'!A39)</f>
        <v>46240</v>
      </c>
      <c r="B39" s="112">
        <f>IF(OR((ROW()-1)&lt;6,'实盘净值数据(iFinD公式)'!$A39="",'实盘净值数据(iFinD公式)'!$B39=""),"",SUMPRODUCT(实盘持仓配置!$B$4:$X$4,'实盘净值数据(iFinD公式)'!$B39:$X39/'实盘净值数据(iFinD公式)'!$B$6:$X$6)*(1-实盘持仓配置!$Z$4)^(('实盘净值数据(iFinD公式)'!$A39-'实盘净值数据(iFinD公式)'!$A$6)/365))</f>
        <v>0.78952761566457497</v>
      </c>
      <c r="C39" s="50">
        <f>IF(OR(B38="",'实盘净值数据(iFinD公式)'!$A39="",'实盘净值数据(iFinD公式)'!$B39=""),"",(SUMPRODUCT(实盘持仓配置!$B$4:$X$4,'实盘净值数据(iFinD公式)'!$B38:$X38/'实盘净值数据(iFinD公式)'!$B$6:$X$6,'实盘净值数据(iFinD公式)'!$B39:$X39/'实盘净值数据(iFinD公式)'!$B38:$X38)/SUMPRODUCT(实盘持仓配置!$B$4:$X$4,'实盘净值数据(iFinD公式)'!$B38:$X38/'实盘净值数据(iFinD公式)'!$B$6:$X$6))*(1-实盘持仓配置!$Z$4)^(('实盘净值数据(iFinD公式)'!$A39-'实盘净值数据(iFinD公式)'!$A38)/365)-1)</f>
        <v>1.4901445689530668E-2</v>
      </c>
      <c r="D39" s="50">
        <f>IF(B39="","",B39/MAX(B$5:B39)-1)</f>
        <v>-0.26545178433180927</v>
      </c>
      <c r="E39" s="112">
        <f>IF(OR((ROW()-1)&lt;5,'实盘净值数据(iFinD公式)'!$A39="",'实盘净值数据(iFinD公式)'!$B39=""),"",SUMPRODUCT(实盘持仓配置!$B$5:$X$5,'实盘净值数据(iFinD公式)'!$B39:$X39/'实盘净值数据(iFinD公式)'!$B$5:$X$5)*(1-实盘持仓配置!$Z$5)^(('实盘净值数据(iFinD公式)'!$A39-'实盘净值数据(iFinD公式)'!$A$5)/365))</f>
        <v>0.8078502629871801</v>
      </c>
      <c r="F39" s="50">
        <f>IF(OR(E38="",'实盘净值数据(iFinD公式)'!$A39="",'实盘净值数据(iFinD公式)'!$B39=""),"",(SUMPRODUCT(实盘持仓配置!$B$5:$X$5,'实盘净值数据(iFinD公式)'!$B38:$X38/'实盘净值数据(iFinD公式)'!$B$5:$X$5,'实盘净值数据(iFinD公式)'!$B39:$X39/'实盘净值数据(iFinD公式)'!$B38:$X38)/SUMPRODUCT(实盘持仓配置!$B$5:$X$5,'实盘净值数据(iFinD公式)'!$B38:$X38/'实盘净值数据(iFinD公式)'!$B$5:$X$5))*(1-实盘持仓配置!$Z$5)^(('实盘净值数据(iFinD公式)'!$A39-'实盘净值数据(iFinD公式)'!$A38)/365)-1)</f>
        <v>1.4934859700095782E-2</v>
      </c>
      <c r="G39" s="50">
        <f>IF(E39="","",E39/MAX(E$5:E39)-1)</f>
        <v>-0.26541495145539984</v>
      </c>
      <c r="H39" s="112">
        <f>IF(OR((ROW()-1)&lt;7,'实盘净值数据(iFinD公式)'!$A39="",'实盘净值数据(iFinD公式)'!$B39=""),"",SUMPRODUCT(实盘持仓配置!$B$6:$X$6,'实盘净值数据(iFinD公式)'!$B39:$X39/'实盘净值数据(iFinD公式)'!$B$7:$X$7)*(1-实盘持仓配置!$Z$6)^(('实盘净值数据(iFinD公式)'!$A39-'实盘净值数据(iFinD公式)'!$A$7)/365))</f>
        <v>0.82623719287026332</v>
      </c>
      <c r="I39" s="50">
        <f>IF(OR(H38="",'实盘净值数据(iFinD公式)'!$A39="",'实盘净值数据(iFinD公式)'!$B39=""),"",(SUMPRODUCT(实盘持仓配置!$B$6:$X$6,'实盘净值数据(iFinD公式)'!$B38:$X38/'实盘净值数据(iFinD公式)'!$B$7:$X$7,'实盘净值数据(iFinD公式)'!$B39:$X39/'实盘净值数据(iFinD公式)'!$B38:$X38)/SUMPRODUCT(实盘持仓配置!$B$6:$X$6,'实盘净值数据(iFinD公式)'!$B38:$X38/'实盘净值数据(iFinD公式)'!$B$7:$X$7))*(1-实盘持仓配置!$Z$6)^(('实盘净值数据(iFinD公式)'!$A39-'实盘净值数据(iFinD公式)'!$A38)/365)-1)</f>
        <v>1.3169720428315213E-2</v>
      </c>
      <c r="J39" s="50">
        <f>IF(H39="","",H39/MAX(H$5:H39)-1)</f>
        <v>-0.25678490911400631</v>
      </c>
      <c r="K39" s="112">
        <f>IF(OR((ROW()-1)&lt;8,'实盘净值数据(iFinD公式)'!$A39="",'实盘净值数据(iFinD公式)'!$B39=""),"",SUMPRODUCT(实盘持仓配置!$B$7:$X$7,'实盘净值数据(iFinD公式)'!$B39:$X39/'实盘净值数据(iFinD公式)'!$B$8:$X$8)*(1-实盘持仓配置!$Z$7)^(('实盘净值数据(iFinD公式)'!$A39-'实盘净值数据(iFinD公式)'!$A$8)/365))</f>
        <v>0.99025782406963647</v>
      </c>
      <c r="L39" s="50">
        <f>IF(OR(K38="",'实盘净值数据(iFinD公式)'!$A39="",'实盘净值数据(iFinD公式)'!$B39=""),"",(SUMPRODUCT(实盘持仓配置!$B$7:$X$7,'实盘净值数据(iFinD公式)'!$B38:$X38/'实盘净值数据(iFinD公式)'!$B$8:$X$8,'实盘净值数据(iFinD公式)'!$B39:$X39/'实盘净值数据(iFinD公式)'!$B38:$X38)/SUMPRODUCT(实盘持仓配置!$B$7:$X$7,'实盘净值数据(iFinD公式)'!$B38:$X38/'实盘净值数据(iFinD公式)'!$B$8:$X$8))*(1-实盘持仓配置!$Z$7)^(('实盘净值数据(iFinD公式)'!$A39-'实盘净值数据(iFinD公式)'!$A38)/365)-1)</f>
        <v>2.1193762317630593E-3</v>
      </c>
      <c r="M39" s="50">
        <f>IF(K39="","",K39/MAX(K$5:K39)-1)</f>
        <v>-1.2971726156782659E-2</v>
      </c>
      <c r="N39" s="112">
        <f>IF(OR((ROW()-1)&lt;5,'实盘净值数据(iFinD公式)'!$A39="",'实盘净值数据(iFinD公式)'!$B39=""),"",SUMPRODUCT(实盘持仓配置!$B$8:$X$8,'实盘净值数据(iFinD公式)'!$B39:$X39/'实盘净值数据(iFinD公式)'!$B$5:$X$5)*(1-实盘持仓配置!$Z$8)^(('实盘净值数据(iFinD公式)'!$A39-'实盘净值数据(iFinD公式)'!$A$5)/365))</f>
        <v>0.98894758451207254</v>
      </c>
      <c r="O39" s="50">
        <f>IF(OR(N38="",'实盘净值数据(iFinD公式)'!$A39="",'实盘净值数据(iFinD公式)'!$B39=""),"",(SUMPRODUCT(实盘持仓配置!$B$8:$X$8,'实盘净值数据(iFinD公式)'!$B38:$X38/'实盘净值数据(iFinD公式)'!$B$5:$X$5,'实盘净值数据(iFinD公式)'!$B39:$X39/'实盘净值数据(iFinD公式)'!$B38:$X38)/SUMPRODUCT(实盘持仓配置!$B$8:$X$8,'实盘净值数据(iFinD公式)'!$B38:$X38/'实盘净值数据(iFinD公式)'!$B$5:$X$5))*(1-实盘持仓配置!$Z$8)^(('实盘净值数据(iFinD公式)'!$A39-'实盘净值数据(iFinD公式)'!$A38)/365)-1)</f>
        <v>2.1607748065977095E-3</v>
      </c>
      <c r="P39" s="50">
        <f>IF(N39="","",N39/MAX(N$5:N39)-1)</f>
        <v>-1.3725357003156802E-2</v>
      </c>
      <c r="Q39" s="112">
        <f>IF(OR((ROW()-1)&lt;8,'实盘净值数据(iFinD公式)'!$A39="",'实盘净值数据(iFinD公式)'!$B39=""),"",SUMPRODUCT(实盘持仓配置!$B$9:$X$9,'实盘净值数据(iFinD公式)'!$B39:$X39/'实盘净值数据(iFinD公式)'!$B$8:$X$8)*(1-实盘持仓配置!$Z$9)^(('实盘净值数据(iFinD公式)'!$A39-'实盘净值数据(iFinD公式)'!$A$8)/365))</f>
        <v>0.95848428524127227</v>
      </c>
      <c r="R39" s="50">
        <f>IF(OR(Q38="",'实盘净值数据(iFinD公式)'!$A39="",'实盘净值数据(iFinD公式)'!$B39=""),"",(SUMPRODUCT(实盘持仓配置!$B$9:$X$9,'实盘净值数据(iFinD公式)'!$B38:$X38/'实盘净值数据(iFinD公式)'!$B$8:$X$8,'实盘净值数据(iFinD公式)'!$B39:$X39/'实盘净值数据(iFinD公式)'!$B38:$X38)/SUMPRODUCT(实盘持仓配置!$B$9:$X$9,'实盘净值数据(iFinD公式)'!$B38:$X38/'实盘净值数据(iFinD公式)'!$B$8:$X$8))*(1-实盘持仓配置!$Z$9)^(('实盘净值数据(iFinD公式)'!$A39-'实盘净值数据(iFinD公式)'!$A38)/365)-1)</f>
        <v>5.1467260432291884E-3</v>
      </c>
      <c r="S39" s="50">
        <f>IF(Q39="","",Q39/MAX(Q$5:Q39)-1)</f>
        <v>-4.9840886474187496E-2</v>
      </c>
    </row>
    <row r="40" spans="1:19">
      <c r="A40" s="113">
        <f>IF('实盘净值数据(iFinD公式)'!A40="","",'实盘净值数据(iFinD公式)'!A40)</f>
        <v>46241</v>
      </c>
      <c r="B40" s="112">
        <f>IF(OR((ROW()-1)&lt;6,'实盘净值数据(iFinD公式)'!$A40="",'实盘净值数据(iFinD公式)'!$B40=""),"",SUMPRODUCT(实盘持仓配置!$B$4:$X$4,'实盘净值数据(iFinD公式)'!$B40:$X40/'实盘净值数据(iFinD公式)'!$B$6:$X$6)*(1-实盘持仓配置!$Z$4)^(('实盘净值数据(iFinD公式)'!$A40-'实盘净值数据(iFinD公式)'!$A$6)/365))</f>
        <v>0.80974479122513676</v>
      </c>
      <c r="C40" s="50">
        <f>IF(OR(B39="",'实盘净值数据(iFinD公式)'!$A40="",'实盘净值数据(iFinD公式)'!$B40=""),"",(SUMPRODUCT(实盘持仓配置!$B$4:$X$4,'实盘净值数据(iFinD公式)'!$B39:$X39/'实盘净值数据(iFinD公式)'!$B$6:$X$6,'实盘净值数据(iFinD公式)'!$B40:$X40/'实盘净值数据(iFinD公式)'!$B39:$X39)/SUMPRODUCT(实盘持仓配置!$B$4:$X$4,'实盘净值数据(iFinD公式)'!$B39:$X39/'实盘净值数据(iFinD公式)'!$B$6:$X$6))*(1-实盘持仓配置!$Z$4)^(('实盘净值数据(iFinD公式)'!$A40-'实盘净值数据(iFinD公式)'!$A39)/365)-1)</f>
        <v>2.5606673103567124E-2</v>
      </c>
      <c r="D40" s="50">
        <f>IF(B40="","",B40/MAX(B$5:B40)-1)</f>
        <v>-0.2466424482943852</v>
      </c>
      <c r="E40" s="112">
        <f>IF(OR((ROW()-1)&lt;5,'实盘净值数据(iFinD公式)'!$A40="",'实盘净值数据(iFinD公式)'!$B40=""),"",SUMPRODUCT(实盘持仓配置!$B$5:$X$5,'实盘净值数据(iFinD公式)'!$B40:$X40/'实盘净值数据(iFinD公式)'!$B$5:$X$5)*(1-实盘持仓配置!$Z$5)^(('实盘净值数据(iFinD公式)'!$A40-'实盘净值数据(iFinD公式)'!$A$5)/365))</f>
        <v>0.828555939319639</v>
      </c>
      <c r="F40" s="50">
        <f>IF(OR(E39="",'实盘净值数据(iFinD公式)'!$A40="",'实盘净值数据(iFinD公式)'!$B40=""),"",(SUMPRODUCT(实盘持仓配置!$B$5:$X$5,'实盘净值数据(iFinD公式)'!$B39:$X39/'实盘净值数据(iFinD公式)'!$B$5:$X$5,'实盘净值数据(iFinD公式)'!$B40:$X40/'实盘净值数据(iFinD公式)'!$B39:$X39)/SUMPRODUCT(实盘持仓配置!$B$5:$X$5,'实盘净值数据(iFinD公式)'!$B39:$X39/'实盘净值数据(iFinD公式)'!$B$5:$X$5))*(1-实盘持仓配置!$Z$5)^(('实盘净值数据(iFinD公式)'!$A40-'实盘净值数据(iFinD公式)'!$A39)/365)-1)</f>
        <v>2.5630586856400406E-2</v>
      </c>
      <c r="G40" s="50">
        <f>IF(E40="","",E40/MAX(E$5:E40)-1)</f>
        <v>-0.24658710556526431</v>
      </c>
      <c r="H40" s="112">
        <f>IF(OR((ROW()-1)&lt;7,'实盘净值数据(iFinD公式)'!$A40="",'实盘净值数据(iFinD公式)'!$B40=""),"",SUMPRODUCT(实盘持仓配置!$B$6:$X$6,'实盘净值数据(iFinD公式)'!$B40:$X40/'实盘净值数据(iFinD公式)'!$B$7:$X$7)*(1-实盘持仓配置!$Z$6)^(('实盘净值数据(iFinD公式)'!$A40-'实盘净值数据(iFinD公式)'!$A$7)/365))</f>
        <v>0.8464517357668403</v>
      </c>
      <c r="I40" s="50">
        <f>IF(OR(H39="",'实盘净值数据(iFinD公式)'!$A40="",'实盘净值数据(iFinD公式)'!$B40=""),"",(SUMPRODUCT(实盘持仓配置!$B$6:$X$6,'实盘净值数据(iFinD公式)'!$B39:$X39/'实盘净值数据(iFinD公式)'!$B$7:$X$7,'实盘净值数据(iFinD公式)'!$B40:$X40/'实盘净值数据(iFinD公式)'!$B39:$X39)/SUMPRODUCT(实盘持仓配置!$B$6:$X$6,'实盘净值数据(iFinD公式)'!$B39:$X39/'实盘净值数据(iFinD公式)'!$B$7:$X$7))*(1-实盘持仓配置!$Z$6)^(('实盘净值数据(iFinD公式)'!$A40-'实盘净值数据(iFinD公式)'!$A39)/365)-1)</f>
        <v>2.4465786666361122E-2</v>
      </c>
      <c r="J40" s="50">
        <f>IF(H40="","",H40/MAX(H$5:H40)-1)</f>
        <v>-0.23860156725316939</v>
      </c>
      <c r="K40" s="112">
        <f>IF(OR((ROW()-1)&lt;8,'实盘净值数据(iFinD公式)'!$A40="",'实盘净值数据(iFinD公式)'!$B40=""),"",SUMPRODUCT(实盘持仓配置!$B$7:$X$7,'实盘净值数据(iFinD公式)'!$B40:$X40/'实盘净值数据(iFinD公式)'!$B$8:$X$8)*(1-实盘持仓配置!$Z$7)^(('实盘净值数据(iFinD公式)'!$A40-'实盘净值数据(iFinD公式)'!$A$8)/365))</f>
        <v>0.99284513359784132</v>
      </c>
      <c r="L40" s="50">
        <f>IF(OR(K39="",'实盘净值数据(iFinD公式)'!$A40="",'实盘净值数据(iFinD公式)'!$B40=""),"",(SUMPRODUCT(实盘持仓配置!$B$7:$X$7,'实盘净值数据(iFinD公式)'!$B39:$X39/'实盘净值数据(iFinD公式)'!$B$8:$X$8,'实盘净值数据(iFinD公式)'!$B40:$X40/'实盘净值数据(iFinD公式)'!$B39:$X39)/SUMPRODUCT(实盘持仓配置!$B$7:$X$7,'实盘净值数据(iFinD公式)'!$B39:$X39/'实盘净值数据(iFinD公式)'!$B$8:$X$8))*(1-实盘持仓配置!$Z$7)^(('实盘净值数据(iFinD公式)'!$A40-'实盘净值数据(iFinD公式)'!$A39)/365)-1)</f>
        <v>2.612763530180473E-3</v>
      </c>
      <c r="M40" s="50">
        <f>IF(K40="","",K40/MAX(K$5:K40)-1)</f>
        <v>-1.0392854679628249E-2</v>
      </c>
      <c r="N40" s="112">
        <f>IF(OR((ROW()-1)&lt;5,'实盘净值数据(iFinD公式)'!$A40="",'实盘净值数据(iFinD公式)'!$B40=""),"",SUMPRODUCT(实盘持仓配置!$B$8:$X$8,'实盘净值数据(iFinD公式)'!$B40:$X40/'实盘净值数据(iFinD公式)'!$B$5:$X$5)*(1-实盘持仓配置!$Z$8)^(('实盘净值数据(iFinD公式)'!$A40-'实盘净值数据(iFinD公式)'!$A$5)/365))</f>
        <v>0.99160964766721815</v>
      </c>
      <c r="O40" s="50">
        <f>IF(OR(N39="",'实盘净值数据(iFinD公式)'!$A40="",'实盘净值数据(iFinD公式)'!$B40=""),"",(SUMPRODUCT(实盘持仓配置!$B$8:$X$8,'实盘净值数据(iFinD公式)'!$B39:$X39/'实盘净值数据(iFinD公式)'!$B$5:$X$5,'实盘净值数据(iFinD公式)'!$B40:$X40/'实盘净值数据(iFinD公式)'!$B39:$X39)/SUMPRODUCT(实盘持仓配置!$B$8:$X$8,'实盘净值数据(iFinD公式)'!$B39:$X39/'实盘净值数据(iFinD公式)'!$B$5:$X$5))*(1-实盘持仓配置!$Z$8)^(('实盘净值数据(iFinD公式)'!$A40-'实盘净值数据(iFinD公式)'!$A39)/365)-1)</f>
        <v>2.6918142041463256E-3</v>
      </c>
      <c r="P40" s="50">
        <f>IF(N40="","",N40/MAX(N$5:N40)-1)</f>
        <v>-1.1070488909948661E-2</v>
      </c>
      <c r="Q40" s="112">
        <f>IF(OR((ROW()-1)&lt;8,'实盘净值数据(iFinD公式)'!$A40="",'实盘净值数据(iFinD公式)'!$B40=""),"",SUMPRODUCT(实盘持仓配置!$B$9:$X$9,'实盘净值数据(iFinD公式)'!$B40:$X40/'实盘净值数据(iFinD公式)'!$B$8:$X$8)*(1-实盘持仓配置!$Z$9)^(('实盘净值数据(iFinD公式)'!$A40-'实盘净值数据(iFinD公式)'!$A$8)/365))</f>
        <v>0.96473397864899557</v>
      </c>
      <c r="R40" s="50">
        <f>IF(OR(Q39="",'实盘净值数据(iFinD公式)'!$A40="",'实盘净值数据(iFinD公式)'!$B40=""),"",(SUMPRODUCT(实盘持仓配置!$B$9:$X$9,'实盘净值数据(iFinD公式)'!$B39:$X39/'实盘净值数据(iFinD公式)'!$B$8:$X$8,'实盘净值数据(iFinD公式)'!$B40:$X40/'实盘净值数据(iFinD公式)'!$B39:$X39)/SUMPRODUCT(实盘持仓配置!$B$9:$X$9,'实盘净值数据(iFinD公式)'!$B39:$X39/'实盘净值数据(iFinD公式)'!$B$8:$X$8))*(1-实盘持仓配置!$Z$9)^(('实盘净值数据(iFinD公式)'!$A40-'实盘净值数据(iFinD公式)'!$A39)/365)-1)</f>
        <v>6.520392148265719E-3</v>
      </c>
      <c r="S40" s="50">
        <f>IF(Q40="","",Q40/MAX(Q$5:Q40)-1)</f>
        <v>-4.3645476450750675E-2</v>
      </c>
    </row>
    <row r="41" spans="1:19">
      <c r="A41" s="113">
        <f>IF('实盘净值数据(iFinD公式)'!A41="","",'实盘净值数据(iFinD公式)'!A41)</f>
        <v>46244</v>
      </c>
      <c r="B41" s="112">
        <f>IF(OR((ROW()-1)&lt;6,'实盘净值数据(iFinD公式)'!$A41="",'实盘净值数据(iFinD公式)'!$B41=""),"",SUMPRODUCT(实盘持仓配置!$B$4:$X$4,'实盘净值数据(iFinD公式)'!$B41:$X41/'实盘净值数据(iFinD公式)'!$B$6:$X$6)*(1-实盘持仓配置!$Z$4)^(('实盘净值数据(iFinD公式)'!$A41-'实盘净值数据(iFinD公式)'!$A$6)/365))</f>
        <v>0.80781834587603396</v>
      </c>
      <c r="C41" s="50">
        <f>IF(OR(B40="",'实盘净值数据(iFinD公式)'!$A41="",'实盘净值数据(iFinD公式)'!$B41=""),"",(SUMPRODUCT(实盘持仓配置!$B$4:$X$4,'实盘净值数据(iFinD公式)'!$B40:$X40/'实盘净值数据(iFinD公式)'!$B$6:$X$6,'实盘净值数据(iFinD公式)'!$B41:$X41/'实盘净值数据(iFinD公式)'!$B40:$X40)/SUMPRODUCT(实盘持仓配置!$B$4:$X$4,'实盘净值数据(iFinD公式)'!$B40:$X40/'实盘净值数据(iFinD公式)'!$B$6:$X$6))*(1-实盘持仓配置!$Z$4)^(('实盘净值数据(iFinD公式)'!$A41-'实盘净值数据(iFinD公式)'!$A40)/365)-1)</f>
        <v>-2.3790771734241156E-3</v>
      </c>
      <c r="D41" s="50">
        <f>IF(B41="","",B41/MAX(B$5:B41)-1)</f>
        <v>-0.24843474404907462</v>
      </c>
      <c r="E41" s="112">
        <f>IF(OR((ROW()-1)&lt;5,'实盘净值数据(iFinD公式)'!$A41="",'实盘净值数据(iFinD公式)'!$B41=""),"",SUMPRODUCT(实盘持仓配置!$B$5:$X$5,'实盘净值数据(iFinD公式)'!$B41:$X41/'实盘净值数据(iFinD公式)'!$B$5:$X$5)*(1-实盘持仓配置!$Z$5)^(('实盘净值数据(iFinD公式)'!$A41-'实盘净值数据(iFinD公式)'!$A$5)/365))</f>
        <v>0.82655400571458459</v>
      </c>
      <c r="F41" s="50">
        <f>IF(OR(E40="",'实盘净值数据(iFinD公式)'!$A41="",'实盘净值数据(iFinD公式)'!$B41=""),"",(SUMPRODUCT(实盘持仓配置!$B$5:$X$5,'实盘净值数据(iFinD公式)'!$B40:$X40/'实盘净值数据(iFinD公式)'!$B$5:$X$5,'实盘净值数据(iFinD公式)'!$B41:$X41/'实盘净值数据(iFinD公式)'!$B40:$X40)/SUMPRODUCT(实盘持仓配置!$B$5:$X$5,'实盘净值数据(iFinD公式)'!$B40:$X40/'实盘净值数据(iFinD公式)'!$B$5:$X$5))*(1-实盘持仓配置!$Z$5)^(('实盘净值数据(iFinD公式)'!$A41-'实盘净值数据(iFinD公式)'!$A40)/365)-1)</f>
        <v>-2.4161719324566899E-3</v>
      </c>
      <c r="G41" s="50">
        <f>IF(E41="","",E41/MAX(E$5:E41)-1)</f>
        <v>-0.24840748065434848</v>
      </c>
      <c r="H41" s="112">
        <f>IF(OR((ROW()-1)&lt;7,'实盘净值数据(iFinD公式)'!$A41="",'实盘净值数据(iFinD公式)'!$B41=""),"",SUMPRODUCT(实盘持仓配置!$B$6:$X$6,'实盘净值数据(iFinD公式)'!$B41:$X41/'实盘净值数据(iFinD公式)'!$B$7:$X$7)*(1-实盘持仓配置!$Z$6)^(('实盘净值数据(iFinD公式)'!$A41-'实盘净值数据(iFinD公式)'!$A$7)/365))</f>
        <v>0.8470498038995663</v>
      </c>
      <c r="I41" s="50">
        <f>IF(OR(H40="",'实盘净值数据(iFinD公式)'!$A41="",'实盘净值数据(iFinD公式)'!$B41=""),"",(SUMPRODUCT(实盘持仓配置!$B$6:$X$6,'实盘净值数据(iFinD公式)'!$B40:$X40/'实盘净值数据(iFinD公式)'!$B$7:$X$7,'实盘净值数据(iFinD公式)'!$B41:$X41/'实盘净值数据(iFinD公式)'!$B40:$X40)/SUMPRODUCT(实盘持仓配置!$B$6:$X$6,'实盘净值数据(iFinD公式)'!$B40:$X40/'实盘净值数据(iFinD公式)'!$B$7:$X$7))*(1-实盘持仓配置!$Z$6)^(('实盘净值数据(iFinD公式)'!$A41-'实盘净值数据(iFinD公式)'!$A40)/365)-1)</f>
        <v>7.0655904814698189E-4</v>
      </c>
      <c r="J41" s="50">
        <f>IF(H41="","",H41/MAX(H$5:H41)-1)</f>
        <v>-0.23806359430126689</v>
      </c>
      <c r="K41" s="112">
        <f>IF(OR((ROW()-1)&lt;8,'实盘净值数据(iFinD公式)'!$A41="",'实盘净值数据(iFinD公式)'!$B41=""),"",SUMPRODUCT(实盘持仓配置!$B$7:$X$7,'实盘净值数据(iFinD公式)'!$B41:$X41/'实盘净值数据(iFinD公式)'!$B$8:$X$8)*(1-实盘持仓配置!$Z$7)^(('实盘净值数据(iFinD公式)'!$A41-'实盘净值数据(iFinD公式)'!$A$8)/365))</f>
        <v>0.99460298613945342</v>
      </c>
      <c r="L41" s="50">
        <f>IF(OR(K40="",'实盘净值数据(iFinD公式)'!$A41="",'实盘净值数据(iFinD公式)'!$B41=""),"",(SUMPRODUCT(实盘持仓配置!$B$7:$X$7,'实盘净值数据(iFinD公式)'!$B40:$X40/'实盘净值数据(iFinD公式)'!$B$8:$X$8,'实盘净值数据(iFinD公式)'!$B41:$X41/'实盘净值数据(iFinD公式)'!$B40:$X40)/SUMPRODUCT(实盘持仓配置!$B$7:$X$7,'实盘净值数据(iFinD公式)'!$B40:$X40/'实盘净值数据(iFinD公式)'!$B$8:$X$8))*(1-实盘持仓配置!$Z$7)^(('实盘净值数据(iFinD公式)'!$A41-'实盘净值数据(iFinD公式)'!$A40)/365)-1)</f>
        <v>1.7705203783819901E-3</v>
      </c>
      <c r="M41" s="50">
        <f>IF(K41="","",K41/MAX(K$5:K41)-1)</f>
        <v>-8.6407350622463852E-3</v>
      </c>
      <c r="N41" s="112">
        <f>IF(OR((ROW()-1)&lt;5,'实盘净值数据(iFinD公式)'!$A41="",'实盘净值数据(iFinD公式)'!$B41=""),"",SUMPRODUCT(实盘持仓配置!$B$8:$X$8,'实盘净值数据(iFinD公式)'!$B41:$X41/'实盘净值数据(iFinD公式)'!$B$5:$X$5)*(1-实盘持仓配置!$Z$8)^(('实盘净值数据(iFinD公式)'!$A41-'实盘净值数据(iFinD公式)'!$A$5)/365))</f>
        <v>0.99324205850608205</v>
      </c>
      <c r="O41" s="50">
        <f>IF(OR(N40="",'实盘净值数据(iFinD公式)'!$A41="",'实盘净值数据(iFinD公式)'!$B41=""),"",(SUMPRODUCT(实盘持仓配置!$B$8:$X$8,'实盘净值数据(iFinD公式)'!$B40:$X40/'实盘净值数据(iFinD公式)'!$B$5:$X$5,'实盘净值数据(iFinD公式)'!$B41:$X41/'实盘净值数据(iFinD公式)'!$B40:$X40)/SUMPRODUCT(实盘持仓配置!$B$8:$X$8,'实盘净值数据(iFinD公式)'!$B40:$X40/'实盘净值数据(iFinD公式)'!$B$5:$X$5))*(1-实盘持仓配置!$Z$8)^(('实盘净值数据(iFinD公式)'!$A41-'实盘净值数据(iFinD公式)'!$A40)/365)-1)</f>
        <v>1.6462232317973058E-3</v>
      </c>
      <c r="P41" s="50">
        <f>IF(N41="","",N41/MAX(N$5:N41)-1)</f>
        <v>-9.4424901741825273E-3</v>
      </c>
      <c r="Q41" s="112">
        <f>IF(OR((ROW()-1)&lt;8,'实盘净值数据(iFinD公式)'!$A41="",'实盘净值数据(iFinD公式)'!$B41=""),"",SUMPRODUCT(实盘持仓配置!$B$9:$X$9,'实盘净值数据(iFinD公式)'!$B41:$X41/'实盘净值数据(iFinD公式)'!$B$8:$X$8)*(1-实盘持仓配置!$Z$9)^(('实盘净值数据(iFinD公式)'!$A41-'实盘净值数据(iFinD公式)'!$A$8)/365))</f>
        <v>0.96749386658381564</v>
      </c>
      <c r="R41" s="50">
        <f>IF(OR(Q40="",'实盘净值数据(iFinD公式)'!$A41="",'实盘净值数据(iFinD公式)'!$B41=""),"",(SUMPRODUCT(实盘持仓配置!$B$9:$X$9,'实盘净值数据(iFinD公式)'!$B40:$X40/'实盘净值数据(iFinD公式)'!$B$8:$X$8,'实盘净值数据(iFinD公式)'!$B41:$X41/'实盘净值数据(iFinD公式)'!$B40:$X40)/SUMPRODUCT(实盘持仓配置!$B$9:$X$9,'实盘净值数据(iFinD公式)'!$B40:$X40/'实盘净值数据(iFinD公式)'!$B$8:$X$8))*(1-实盘持仓配置!$Z$9)^(('实盘净值数据(iFinD公式)'!$A41-'实盘净值数据(iFinD公式)'!$A40)/365)-1)</f>
        <v>2.8607761267880338E-3</v>
      </c>
      <c r="S41" s="50">
        <f>IF(Q41="","",Q41/MAX(Q$5:Q41)-1)</f>
        <v>-4.0909560261035427E-2</v>
      </c>
    </row>
    <row r="42" spans="1:19">
      <c r="A42" s="113">
        <f>IF('实盘净值数据(iFinD公式)'!A42="","",'实盘净值数据(iFinD公式)'!A42)</f>
        <v>46245</v>
      </c>
      <c r="B42" s="112">
        <f>IF(OR((ROW()-1)&lt;6,'实盘净值数据(iFinD公式)'!$A42="",'实盘净值数据(iFinD公式)'!$B42=""),"",SUMPRODUCT(实盘持仓配置!$B$4:$X$4,'实盘净值数据(iFinD公式)'!$B42:$X42/'实盘净值数据(iFinD公式)'!$B$6:$X$6)*(1-实盘持仓配置!$Z$4)^(('实盘净值数据(iFinD公式)'!$A42-'实盘净值数据(iFinD公式)'!$A$6)/365))</f>
        <v>0.8077848970510273</v>
      </c>
      <c r="C42" s="50">
        <f>IF(OR(B41="",'实盘净值数据(iFinD公式)'!$A42="",'实盘净值数据(iFinD公式)'!$B42=""),"",(SUMPRODUCT(实盘持仓配置!$B$4:$X$4,'实盘净值数据(iFinD公式)'!$B41:$X41/'实盘净值数据(iFinD公式)'!$B$6:$X$6,'实盘净值数据(iFinD公式)'!$B42:$X42/'实盘净值数据(iFinD公式)'!$B41:$X41)/SUMPRODUCT(实盘持仓配置!$B$4:$X$4,'实盘净值数据(iFinD公式)'!$B41:$X41/'实盘净值数据(iFinD公式)'!$B$6:$X$6))*(1-实盘持仓配置!$Z$4)^(('实盘净值数据(iFinD公式)'!$A42-'实盘净值数据(iFinD公式)'!$A41)/365)-1)</f>
        <v>-4.1406369609475746E-5</v>
      </c>
      <c r="D42" s="50">
        <f>IF(B42="","",B42/MAX(B$5:B42)-1)</f>
        <v>-0.24846586363784817</v>
      </c>
      <c r="E42" s="112">
        <f>IF(OR((ROW()-1)&lt;5,'实盘净值数据(iFinD公式)'!$A42="",'实盘净值数据(iFinD公式)'!$B42=""),"",SUMPRODUCT(实盘持仓配置!$B$5:$X$5,'实盘净值数据(iFinD公式)'!$B42:$X42/'实盘净值数据(iFinD公式)'!$B$5:$X$5)*(1-实盘持仓配置!$Z$5)^(('实盘净值数据(iFinD公式)'!$A42-'实盘净值数据(iFinD公式)'!$A$5)/365))</f>
        <v>0.82652666742593883</v>
      </c>
      <c r="F42" s="50">
        <f>IF(OR(E41="",'实盘净值数据(iFinD公式)'!$A42="",'实盘净值数据(iFinD公式)'!$B42=""),"",(SUMPRODUCT(实盘持仓配置!$B$5:$X$5,'实盘净值数据(iFinD公式)'!$B41:$X41/'实盘净值数据(iFinD公式)'!$B$5:$X$5,'实盘净值数据(iFinD公式)'!$B42:$X42/'实盘净值数据(iFinD公式)'!$B41:$X41)/SUMPRODUCT(实盘持仓配置!$B$5:$X$5,'实盘净值数据(iFinD公式)'!$B41:$X41/'实盘净值数据(iFinD公式)'!$B$5:$X$5))*(1-实盘持仓配置!$Z$5)^(('实盘净值数据(iFinD公式)'!$A42-'实盘净值数据(iFinD公式)'!$A41)/365)-1)</f>
        <v>-3.3075018034955939E-5</v>
      </c>
      <c r="G42" s="50">
        <f>IF(E42="","",E42/MAX(E$5:E42)-1)</f>
        <v>-0.24843233959048072</v>
      </c>
      <c r="H42" s="112">
        <f>IF(OR((ROW()-1)&lt;7,'实盘净值数据(iFinD公式)'!$A42="",'实盘净值数据(iFinD公式)'!$B42=""),"",SUMPRODUCT(实盘持仓配置!$B$6:$X$6,'实盘净值数据(iFinD公式)'!$B42:$X42/'实盘净值数据(iFinD公式)'!$B$7:$X$7)*(1-实盘持仓配置!$Z$6)^(('实盘净值数据(iFinD公式)'!$A42-'实盘净值数据(iFinD公式)'!$A$7)/365))</f>
        <v>0.84701473064230859</v>
      </c>
      <c r="I42" s="50">
        <f>IF(OR(H41="",'实盘净值数据(iFinD公式)'!$A42="",'实盘净值数据(iFinD公式)'!$B42=""),"",(SUMPRODUCT(实盘持仓配置!$B$6:$X$6,'实盘净值数据(iFinD公式)'!$B41:$X41/'实盘净值数据(iFinD公式)'!$B$7:$X$7,'实盘净值数据(iFinD公式)'!$B42:$X42/'实盘净值数据(iFinD公式)'!$B41:$X41)/SUMPRODUCT(实盘持仓配置!$B$6:$X$6,'实盘净值数据(iFinD公式)'!$B41:$X41/'实盘净值数据(iFinD公式)'!$B$7:$X$7))*(1-实盘持仓配置!$Z$6)^(('实盘净值数据(iFinD公式)'!$A42-'实盘净值数据(iFinD公式)'!$A41)/365)-1)</f>
        <v>-4.1406369609475746E-5</v>
      </c>
      <c r="J42" s="50">
        <f>IF(H42="","",H42/MAX(H$5:H42)-1)</f>
        <v>-0.23809514332170001</v>
      </c>
      <c r="K42" s="112">
        <f>IF(OR((ROW()-1)&lt;8,'实盘净值数据(iFinD公式)'!$A42="",'实盘净值数据(iFinD公式)'!$B42=""),"",SUMPRODUCT(实盘持仓配置!$B$7:$X$7,'实盘净值数据(iFinD公式)'!$B42:$X42/'实盘净值数据(iFinD公式)'!$B$8:$X$8)*(1-实盘持仓配置!$Z$7)^(('实盘净值数据(iFinD公式)'!$A42-'实盘净值数据(iFinD公式)'!$A$8)/365))</f>
        <v>0.99458109919683657</v>
      </c>
      <c r="L42" s="50">
        <f>IF(OR(K41="",'实盘净值数据(iFinD公式)'!$A42="",'实盘净值数据(iFinD公式)'!$B42=""),"",(SUMPRODUCT(实盘持仓配置!$B$7:$X$7,'实盘净值数据(iFinD公式)'!$B41:$X41/'实盘净值数据(iFinD公式)'!$B$8:$X$8,'实盘净值数据(iFinD公式)'!$B42:$X42/'实盘净值数据(iFinD公式)'!$B41:$X41)/SUMPRODUCT(实盘持仓配置!$B$7:$X$7,'实盘净值数据(iFinD公式)'!$B41:$X41/'实盘净值数据(iFinD公式)'!$B$8:$X$8))*(1-实盘持仓配置!$Z$7)^(('实盘净值数据(iFinD公式)'!$A42-'实盘净值数据(iFinD公式)'!$A41)/365)-1)</f>
        <v>-2.2005707726369117E-5</v>
      </c>
      <c r="M42" s="50">
        <f>IF(K42="","",K42/MAX(K$5:K42)-1)</f>
        <v>-8.6625506244825123E-3</v>
      </c>
      <c r="N42" s="112">
        <f>IF(OR((ROW()-1)&lt;5,'实盘净值数据(iFinD公式)'!$A42="",'实盘净值数据(iFinD公式)'!$B42=""),"",SUMPRODUCT(实盘持仓配置!$B$8:$X$8,'实盘净值数据(iFinD公式)'!$B42:$X42/'实盘净值数据(iFinD公式)'!$B$5:$X$5)*(1-实盘持仓配置!$Z$8)^(('实盘净值数据(iFinD公式)'!$A42-'实盘净值数据(iFinD公式)'!$A$5)/365))</f>
        <v>0.99322841841519627</v>
      </c>
      <c r="O42" s="50">
        <f>IF(OR(N41="",'实盘净值数据(iFinD公式)'!$A42="",'实盘净值数据(iFinD公式)'!$B42=""),"",(SUMPRODUCT(实盘持仓配置!$B$8:$X$8,'实盘净值数据(iFinD公式)'!$B41:$X41/'实盘净值数据(iFinD公式)'!$B$5:$X$5,'实盘净值数据(iFinD公式)'!$B42:$X42/'实盘净值数据(iFinD公式)'!$B41:$X41)/SUMPRODUCT(实盘持仓配置!$B$8:$X$8,'实盘净值数据(iFinD公式)'!$B41:$X41/'实盘净值数据(iFinD公式)'!$B$5:$X$5))*(1-实盘持仓配置!$Z$8)^(('实盘净值数据(iFinD公式)'!$A42-'实盘净值数据(iFinD公式)'!$A41)/365)-1)</f>
        <v>-1.3732897000240385E-5</v>
      </c>
      <c r="P42" s="50">
        <f>IF(N42="","",N42/MAX(N$5:N42)-1)</f>
        <v>-9.4560933984377815E-3</v>
      </c>
      <c r="Q42" s="112">
        <f>IF(OR((ROW()-1)&lt;8,'实盘净值数据(iFinD公式)'!$A42="",'实盘净值数据(iFinD公式)'!$B42=""),"",SUMPRODUCT(实盘持仓配置!$B$9:$X$9,'实盘净值数据(iFinD公式)'!$B42:$X42/'实盘净值数据(iFinD公式)'!$B$8:$X$8)*(1-实盘持仓配置!$Z$9)^(('实盘净值数据(iFinD公式)'!$A42-'实盘净值数据(iFinD公式)'!$A$8)/365))</f>
        <v>0.96746186670672984</v>
      </c>
      <c r="R42" s="50">
        <f>IF(OR(Q41="",'实盘净值数据(iFinD公式)'!$A42="",'实盘净值数据(iFinD公式)'!$B42=""),"",(SUMPRODUCT(实盘持仓配置!$B$9:$X$9,'实盘净值数据(iFinD公式)'!$B41:$X41/'实盘净值数据(iFinD公式)'!$B$8:$X$8,'实盘净值数据(iFinD公式)'!$B42:$X42/'实盘净值数据(iFinD公式)'!$B41:$X41)/SUMPRODUCT(实盘持仓配置!$B$9:$X$9,'实盘净值数据(iFinD公式)'!$B41:$X41/'实盘净值数据(iFinD公式)'!$B$8:$X$8))*(1-实盘持仓配置!$Z$9)^(('实盘净值数据(iFinD公式)'!$A42-'实盘净值数据(iFinD公式)'!$A41)/365)-1)</f>
        <v>-3.3075018034955939E-5</v>
      </c>
      <c r="S42" s="50">
        <f>IF(Q42="","",Q42/MAX(Q$5:Q42)-1)</f>
        <v>-4.0941282194626782E-2</v>
      </c>
    </row>
    <row r="43" spans="1:19">
      <c r="A43" s="113" t="str">
        <f>IF('实盘净值数据(iFinD公式)'!A43="","",'实盘净值数据(iFinD公式)'!A43)</f>
        <v/>
      </c>
      <c r="B43" s="112" t="str">
        <f>IF(OR((ROW()-1)&lt;6,'实盘净值数据(iFinD公式)'!$A43="",'实盘净值数据(iFinD公式)'!$B43=""),"",SUMPRODUCT(实盘持仓配置!$B$4:$X$4,'实盘净值数据(iFinD公式)'!$B43:$X43/'实盘净值数据(iFinD公式)'!$B$6:$X$6)*(1-实盘持仓配置!$Z$4)^(('实盘净值数据(iFinD公式)'!$A43-'实盘净值数据(iFinD公式)'!$A$6)/365))</f>
        <v/>
      </c>
      <c r="C43" s="50" t="str">
        <f>IF(OR(B42="",'实盘净值数据(iFinD公式)'!$A43="",'实盘净值数据(iFinD公式)'!$B43=""),"",(SUMPRODUCT(实盘持仓配置!$B$4:$X$4,'实盘净值数据(iFinD公式)'!$B42:$X42/'实盘净值数据(iFinD公式)'!$B$6:$X$6,'实盘净值数据(iFinD公式)'!$B43:$X43/'实盘净值数据(iFinD公式)'!$B42:$X42)/SUMPRODUCT(实盘持仓配置!$B$4:$X$4,'实盘净值数据(iFinD公式)'!$B42:$X42/'实盘净值数据(iFinD公式)'!$B$6:$X$6))*(1-实盘持仓配置!$Z$4)^(('实盘净值数据(iFinD公式)'!$A43-'实盘净值数据(iFinD公式)'!$A42)/365)-1)</f>
        <v/>
      </c>
      <c r="D43" s="50" t="str">
        <f>IF(B43="","",B43/MAX(B$5:B43)-1)</f>
        <v/>
      </c>
      <c r="E43" s="112" t="str">
        <f>IF(OR((ROW()-1)&lt;5,'实盘净值数据(iFinD公式)'!$A43="",'实盘净值数据(iFinD公式)'!$B43=""),"",SUMPRODUCT(实盘持仓配置!$B$5:$X$5,'实盘净值数据(iFinD公式)'!$B43:$X43/'实盘净值数据(iFinD公式)'!$B$5:$X$5)*(1-实盘持仓配置!$Z$5)^(('实盘净值数据(iFinD公式)'!$A43-'实盘净值数据(iFinD公式)'!$A$5)/365))</f>
        <v/>
      </c>
      <c r="F43" s="50" t="str">
        <f>IF(OR(E42="",'实盘净值数据(iFinD公式)'!$A43="",'实盘净值数据(iFinD公式)'!$B43=""),"",(SUMPRODUCT(实盘持仓配置!$B$5:$X$5,'实盘净值数据(iFinD公式)'!$B42:$X42/'实盘净值数据(iFinD公式)'!$B$5:$X$5,'实盘净值数据(iFinD公式)'!$B43:$X43/'实盘净值数据(iFinD公式)'!$B42:$X42)/SUMPRODUCT(实盘持仓配置!$B$5:$X$5,'实盘净值数据(iFinD公式)'!$B42:$X42/'实盘净值数据(iFinD公式)'!$B$5:$X$5))*(1-实盘持仓配置!$Z$5)^(('实盘净值数据(iFinD公式)'!$A43-'实盘净值数据(iFinD公式)'!$A42)/365)-1)</f>
        <v/>
      </c>
      <c r="G43" s="50" t="str">
        <f>IF(E43="","",E43/MAX(E$5:E43)-1)</f>
        <v/>
      </c>
      <c r="H43" s="112" t="str">
        <f>IF(OR((ROW()-1)&lt;7,'实盘净值数据(iFinD公式)'!$A43="",'实盘净值数据(iFinD公式)'!$B43=""),"",SUMPRODUCT(实盘持仓配置!$B$6:$X$6,'实盘净值数据(iFinD公式)'!$B43:$X43/'实盘净值数据(iFinD公式)'!$B$7:$X$7)*(1-实盘持仓配置!$Z$6)^(('实盘净值数据(iFinD公式)'!$A43-'实盘净值数据(iFinD公式)'!$A$7)/365))</f>
        <v/>
      </c>
      <c r="I43" s="50" t="str">
        <f>IF(OR(H42="",'实盘净值数据(iFinD公式)'!$A43="",'实盘净值数据(iFinD公式)'!$B43=""),"",(SUMPRODUCT(实盘持仓配置!$B$6:$X$6,'实盘净值数据(iFinD公式)'!$B42:$X42/'实盘净值数据(iFinD公式)'!$B$7:$X$7,'实盘净值数据(iFinD公式)'!$B43:$X43/'实盘净值数据(iFinD公式)'!$B42:$X42)/SUMPRODUCT(实盘持仓配置!$B$6:$X$6,'实盘净值数据(iFinD公式)'!$B42:$X42/'实盘净值数据(iFinD公式)'!$B$7:$X$7))*(1-实盘持仓配置!$Z$6)^(('实盘净值数据(iFinD公式)'!$A43-'实盘净值数据(iFinD公式)'!$A42)/365)-1)</f>
        <v/>
      </c>
      <c r="J43" s="50" t="str">
        <f>IF(H43="","",H43/MAX(H$5:H43)-1)</f>
        <v/>
      </c>
      <c r="K43" s="112" t="str">
        <f>IF(OR((ROW()-1)&lt;8,'实盘净值数据(iFinD公式)'!$A43="",'实盘净值数据(iFinD公式)'!$B43=""),"",SUMPRODUCT(实盘持仓配置!$B$7:$X$7,'实盘净值数据(iFinD公式)'!$B43:$X43/'实盘净值数据(iFinD公式)'!$B$8:$X$8)*(1-实盘持仓配置!$Z$7)^(('实盘净值数据(iFinD公式)'!$A43-'实盘净值数据(iFinD公式)'!$A$8)/365))</f>
        <v/>
      </c>
      <c r="L43" s="50" t="str">
        <f>IF(OR(K42="",'实盘净值数据(iFinD公式)'!$A43="",'实盘净值数据(iFinD公式)'!$B43=""),"",(SUMPRODUCT(实盘持仓配置!$B$7:$X$7,'实盘净值数据(iFinD公式)'!$B42:$X42/'实盘净值数据(iFinD公式)'!$B$8:$X$8,'实盘净值数据(iFinD公式)'!$B43:$X43/'实盘净值数据(iFinD公式)'!$B42:$X42)/SUMPRODUCT(实盘持仓配置!$B$7:$X$7,'实盘净值数据(iFinD公式)'!$B42:$X42/'实盘净值数据(iFinD公式)'!$B$8:$X$8))*(1-实盘持仓配置!$Z$7)^(('实盘净值数据(iFinD公式)'!$A43-'实盘净值数据(iFinD公式)'!$A42)/365)-1)</f>
        <v/>
      </c>
      <c r="M43" s="50" t="str">
        <f>IF(K43="","",K43/MAX(K$5:K43)-1)</f>
        <v/>
      </c>
      <c r="N43" s="112" t="str">
        <f>IF(OR((ROW()-1)&lt;5,'实盘净值数据(iFinD公式)'!$A43="",'实盘净值数据(iFinD公式)'!$B43=""),"",SUMPRODUCT(实盘持仓配置!$B$8:$X$8,'实盘净值数据(iFinD公式)'!$B43:$X43/'实盘净值数据(iFinD公式)'!$B$5:$X$5)*(1-实盘持仓配置!$Z$8)^(('实盘净值数据(iFinD公式)'!$A43-'实盘净值数据(iFinD公式)'!$A$5)/365))</f>
        <v/>
      </c>
      <c r="O43" s="50" t="str">
        <f>IF(OR(N42="",'实盘净值数据(iFinD公式)'!$A43="",'实盘净值数据(iFinD公式)'!$B43=""),"",(SUMPRODUCT(实盘持仓配置!$B$8:$X$8,'实盘净值数据(iFinD公式)'!$B42:$X42/'实盘净值数据(iFinD公式)'!$B$5:$X$5,'实盘净值数据(iFinD公式)'!$B43:$X43/'实盘净值数据(iFinD公式)'!$B42:$X42)/SUMPRODUCT(实盘持仓配置!$B$8:$X$8,'实盘净值数据(iFinD公式)'!$B42:$X42/'实盘净值数据(iFinD公式)'!$B$5:$X$5))*(1-实盘持仓配置!$Z$8)^(('实盘净值数据(iFinD公式)'!$A43-'实盘净值数据(iFinD公式)'!$A42)/365)-1)</f>
        <v/>
      </c>
      <c r="P43" s="50" t="str">
        <f>IF(N43="","",N43/MAX(N$5:N43)-1)</f>
        <v/>
      </c>
      <c r="Q43" s="112" t="str">
        <f>IF(OR((ROW()-1)&lt;8,'实盘净值数据(iFinD公式)'!$A43="",'实盘净值数据(iFinD公式)'!$B43=""),"",SUMPRODUCT(实盘持仓配置!$B$9:$X$9,'实盘净值数据(iFinD公式)'!$B43:$X43/'实盘净值数据(iFinD公式)'!$B$8:$X$8)*(1-实盘持仓配置!$Z$9)^(('实盘净值数据(iFinD公式)'!$A43-'实盘净值数据(iFinD公式)'!$A$8)/365))</f>
        <v/>
      </c>
      <c r="R43" s="50" t="str">
        <f>IF(OR(Q42="",'实盘净值数据(iFinD公式)'!$A43="",'实盘净值数据(iFinD公式)'!$B43=""),"",(SUMPRODUCT(实盘持仓配置!$B$9:$X$9,'实盘净值数据(iFinD公式)'!$B42:$X42/'实盘净值数据(iFinD公式)'!$B$8:$X$8,'实盘净值数据(iFinD公式)'!$B43:$X43/'实盘净值数据(iFinD公式)'!$B42:$X42)/SUMPRODUCT(实盘持仓配置!$B$9:$X$9,'实盘净值数据(iFinD公式)'!$B42:$X42/'实盘净值数据(iFinD公式)'!$B$8:$X$8))*(1-实盘持仓配置!$Z$9)^(('实盘净值数据(iFinD公式)'!$A43-'实盘净值数据(iFinD公式)'!$A42)/365)-1)</f>
        <v/>
      </c>
      <c r="S43" s="50" t="str">
        <f>IF(Q43="","",Q43/MAX(Q$5:Q43)-1)</f>
        <v/>
      </c>
    </row>
    <row r="44" spans="1:19">
      <c r="A44" s="113" t="str">
        <f>IF('实盘净值数据(iFinD公式)'!A44="","",'实盘净值数据(iFinD公式)'!A44)</f>
        <v/>
      </c>
      <c r="B44" s="112" t="str">
        <f>IF(OR((ROW()-1)&lt;6,'实盘净值数据(iFinD公式)'!$A44="",'实盘净值数据(iFinD公式)'!$B44=""),"",SUMPRODUCT(实盘持仓配置!$B$4:$X$4,'实盘净值数据(iFinD公式)'!$B44:$X44/'实盘净值数据(iFinD公式)'!$B$6:$X$6)*(1-实盘持仓配置!$Z$4)^(('实盘净值数据(iFinD公式)'!$A44-'实盘净值数据(iFinD公式)'!$A$6)/365))</f>
        <v/>
      </c>
      <c r="C44" s="50" t="str">
        <f>IF(OR(B43="",'实盘净值数据(iFinD公式)'!$A44="",'实盘净值数据(iFinD公式)'!$B44=""),"",(SUMPRODUCT(实盘持仓配置!$B$4:$X$4,'实盘净值数据(iFinD公式)'!$B43:$X43/'实盘净值数据(iFinD公式)'!$B$6:$X$6,'实盘净值数据(iFinD公式)'!$B44:$X44/'实盘净值数据(iFinD公式)'!$B43:$X43)/SUMPRODUCT(实盘持仓配置!$B$4:$X$4,'实盘净值数据(iFinD公式)'!$B43:$X43/'实盘净值数据(iFinD公式)'!$B$6:$X$6))*(1-实盘持仓配置!$Z$4)^(('实盘净值数据(iFinD公式)'!$A44-'实盘净值数据(iFinD公式)'!$A43)/365)-1)</f>
        <v/>
      </c>
      <c r="D44" s="50" t="str">
        <f>IF(B44="","",B44/MAX(B$5:B44)-1)</f>
        <v/>
      </c>
      <c r="E44" s="112" t="str">
        <f>IF(OR((ROW()-1)&lt;5,'实盘净值数据(iFinD公式)'!$A44="",'实盘净值数据(iFinD公式)'!$B44=""),"",SUMPRODUCT(实盘持仓配置!$B$5:$X$5,'实盘净值数据(iFinD公式)'!$B44:$X44/'实盘净值数据(iFinD公式)'!$B$5:$X$5)*(1-实盘持仓配置!$Z$5)^(('实盘净值数据(iFinD公式)'!$A44-'实盘净值数据(iFinD公式)'!$A$5)/365))</f>
        <v/>
      </c>
      <c r="F44" s="50" t="str">
        <f>IF(OR(E43="",'实盘净值数据(iFinD公式)'!$A44="",'实盘净值数据(iFinD公式)'!$B44=""),"",(SUMPRODUCT(实盘持仓配置!$B$5:$X$5,'实盘净值数据(iFinD公式)'!$B43:$X43/'实盘净值数据(iFinD公式)'!$B$5:$X$5,'实盘净值数据(iFinD公式)'!$B44:$X44/'实盘净值数据(iFinD公式)'!$B43:$X43)/SUMPRODUCT(实盘持仓配置!$B$5:$X$5,'实盘净值数据(iFinD公式)'!$B43:$X43/'实盘净值数据(iFinD公式)'!$B$5:$X$5))*(1-实盘持仓配置!$Z$5)^(('实盘净值数据(iFinD公式)'!$A44-'实盘净值数据(iFinD公式)'!$A43)/365)-1)</f>
        <v/>
      </c>
      <c r="G44" s="50" t="str">
        <f>IF(E44="","",E44/MAX(E$5:E44)-1)</f>
        <v/>
      </c>
      <c r="H44" s="112" t="str">
        <f>IF(OR((ROW()-1)&lt;7,'实盘净值数据(iFinD公式)'!$A44="",'实盘净值数据(iFinD公式)'!$B44=""),"",SUMPRODUCT(实盘持仓配置!$B$6:$X$6,'实盘净值数据(iFinD公式)'!$B44:$X44/'实盘净值数据(iFinD公式)'!$B$7:$X$7)*(1-实盘持仓配置!$Z$6)^(('实盘净值数据(iFinD公式)'!$A44-'实盘净值数据(iFinD公式)'!$A$7)/365))</f>
        <v/>
      </c>
      <c r="I44" s="50" t="str">
        <f>IF(OR(H43="",'实盘净值数据(iFinD公式)'!$A44="",'实盘净值数据(iFinD公式)'!$B44=""),"",(SUMPRODUCT(实盘持仓配置!$B$6:$X$6,'实盘净值数据(iFinD公式)'!$B43:$X43/'实盘净值数据(iFinD公式)'!$B$7:$X$7,'实盘净值数据(iFinD公式)'!$B44:$X44/'实盘净值数据(iFinD公式)'!$B43:$X43)/SUMPRODUCT(实盘持仓配置!$B$6:$X$6,'实盘净值数据(iFinD公式)'!$B43:$X43/'实盘净值数据(iFinD公式)'!$B$7:$X$7))*(1-实盘持仓配置!$Z$6)^(('实盘净值数据(iFinD公式)'!$A44-'实盘净值数据(iFinD公式)'!$A43)/365)-1)</f>
        <v/>
      </c>
      <c r="J44" s="50" t="str">
        <f>IF(H44="","",H44/MAX(H$5:H44)-1)</f>
        <v/>
      </c>
      <c r="K44" s="112" t="str">
        <f>IF(OR((ROW()-1)&lt;8,'实盘净值数据(iFinD公式)'!$A44="",'实盘净值数据(iFinD公式)'!$B44=""),"",SUMPRODUCT(实盘持仓配置!$B$7:$X$7,'实盘净值数据(iFinD公式)'!$B44:$X44/'实盘净值数据(iFinD公式)'!$B$8:$X$8)*(1-实盘持仓配置!$Z$7)^(('实盘净值数据(iFinD公式)'!$A44-'实盘净值数据(iFinD公式)'!$A$8)/365))</f>
        <v/>
      </c>
      <c r="L44" s="50" t="str">
        <f>IF(OR(K43="",'实盘净值数据(iFinD公式)'!$A44="",'实盘净值数据(iFinD公式)'!$B44=""),"",(SUMPRODUCT(实盘持仓配置!$B$7:$X$7,'实盘净值数据(iFinD公式)'!$B43:$X43/'实盘净值数据(iFinD公式)'!$B$8:$X$8,'实盘净值数据(iFinD公式)'!$B44:$X44/'实盘净值数据(iFinD公式)'!$B43:$X43)/SUMPRODUCT(实盘持仓配置!$B$7:$X$7,'实盘净值数据(iFinD公式)'!$B43:$X43/'实盘净值数据(iFinD公式)'!$B$8:$X$8))*(1-实盘持仓配置!$Z$7)^(('实盘净值数据(iFinD公式)'!$A44-'实盘净值数据(iFinD公式)'!$A43)/365)-1)</f>
        <v/>
      </c>
      <c r="M44" s="50" t="str">
        <f>IF(K44="","",K44/MAX(K$5:K44)-1)</f>
        <v/>
      </c>
      <c r="N44" s="112" t="str">
        <f>IF(OR((ROW()-1)&lt;5,'实盘净值数据(iFinD公式)'!$A44="",'实盘净值数据(iFinD公式)'!$B44=""),"",SUMPRODUCT(实盘持仓配置!$B$8:$X$8,'实盘净值数据(iFinD公式)'!$B44:$X44/'实盘净值数据(iFinD公式)'!$B$5:$X$5)*(1-实盘持仓配置!$Z$8)^(('实盘净值数据(iFinD公式)'!$A44-'实盘净值数据(iFinD公式)'!$A$5)/365))</f>
        <v/>
      </c>
      <c r="O44" s="50" t="str">
        <f>IF(OR(N43="",'实盘净值数据(iFinD公式)'!$A44="",'实盘净值数据(iFinD公式)'!$B44=""),"",(SUMPRODUCT(实盘持仓配置!$B$8:$X$8,'实盘净值数据(iFinD公式)'!$B43:$X43/'实盘净值数据(iFinD公式)'!$B$5:$X$5,'实盘净值数据(iFinD公式)'!$B44:$X44/'实盘净值数据(iFinD公式)'!$B43:$X43)/SUMPRODUCT(实盘持仓配置!$B$8:$X$8,'实盘净值数据(iFinD公式)'!$B43:$X43/'实盘净值数据(iFinD公式)'!$B$5:$X$5))*(1-实盘持仓配置!$Z$8)^(('实盘净值数据(iFinD公式)'!$A44-'实盘净值数据(iFinD公式)'!$A43)/365)-1)</f>
        <v/>
      </c>
      <c r="P44" s="50" t="str">
        <f>IF(N44="","",N44/MAX(N$5:N44)-1)</f>
        <v/>
      </c>
      <c r="Q44" s="112" t="str">
        <f>IF(OR((ROW()-1)&lt;8,'实盘净值数据(iFinD公式)'!$A44="",'实盘净值数据(iFinD公式)'!$B44=""),"",SUMPRODUCT(实盘持仓配置!$B$9:$X$9,'实盘净值数据(iFinD公式)'!$B44:$X44/'实盘净值数据(iFinD公式)'!$B$8:$X$8)*(1-实盘持仓配置!$Z$9)^(('实盘净值数据(iFinD公式)'!$A44-'实盘净值数据(iFinD公式)'!$A$8)/365))</f>
        <v/>
      </c>
      <c r="R44" s="50" t="str">
        <f>IF(OR(Q43="",'实盘净值数据(iFinD公式)'!$A44="",'实盘净值数据(iFinD公式)'!$B44=""),"",(SUMPRODUCT(实盘持仓配置!$B$9:$X$9,'实盘净值数据(iFinD公式)'!$B43:$X43/'实盘净值数据(iFinD公式)'!$B$8:$X$8,'实盘净值数据(iFinD公式)'!$B44:$X44/'实盘净值数据(iFinD公式)'!$B43:$X43)/SUMPRODUCT(实盘持仓配置!$B$9:$X$9,'实盘净值数据(iFinD公式)'!$B43:$X43/'实盘净值数据(iFinD公式)'!$B$8:$X$8))*(1-实盘持仓配置!$Z$9)^(('实盘净值数据(iFinD公式)'!$A44-'实盘净值数据(iFinD公式)'!$A43)/365)-1)</f>
        <v/>
      </c>
      <c r="S44" s="50" t="str">
        <f>IF(Q44="","",Q44/MAX(Q$5:Q44)-1)</f>
        <v/>
      </c>
    </row>
    <row r="45" spans="1:19">
      <c r="A45" s="113" t="str">
        <f>IF('实盘净值数据(iFinD公式)'!A45="","",'实盘净值数据(iFinD公式)'!A45)</f>
        <v/>
      </c>
      <c r="B45" s="112" t="str">
        <f>IF(OR((ROW()-1)&lt;6,'实盘净值数据(iFinD公式)'!$A45="",'实盘净值数据(iFinD公式)'!$B45=""),"",SUMPRODUCT(实盘持仓配置!$B$4:$X$4,'实盘净值数据(iFinD公式)'!$B45:$X45/'实盘净值数据(iFinD公式)'!$B$6:$X$6)*(1-实盘持仓配置!$Z$4)^(('实盘净值数据(iFinD公式)'!$A45-'实盘净值数据(iFinD公式)'!$A$6)/365))</f>
        <v/>
      </c>
      <c r="C45" s="50" t="str">
        <f>IF(OR(B44="",'实盘净值数据(iFinD公式)'!$A45="",'实盘净值数据(iFinD公式)'!$B45=""),"",(SUMPRODUCT(实盘持仓配置!$B$4:$X$4,'实盘净值数据(iFinD公式)'!$B44:$X44/'实盘净值数据(iFinD公式)'!$B$6:$X$6,'实盘净值数据(iFinD公式)'!$B45:$X45/'实盘净值数据(iFinD公式)'!$B44:$X44)/SUMPRODUCT(实盘持仓配置!$B$4:$X$4,'实盘净值数据(iFinD公式)'!$B44:$X44/'实盘净值数据(iFinD公式)'!$B$6:$X$6))*(1-实盘持仓配置!$Z$4)^(('实盘净值数据(iFinD公式)'!$A45-'实盘净值数据(iFinD公式)'!$A44)/365)-1)</f>
        <v/>
      </c>
      <c r="D45" s="50" t="str">
        <f>IF(B45="","",B45/MAX(B$5:B45)-1)</f>
        <v/>
      </c>
      <c r="E45" s="112" t="str">
        <f>IF(OR((ROW()-1)&lt;5,'实盘净值数据(iFinD公式)'!$A45="",'实盘净值数据(iFinD公式)'!$B45=""),"",SUMPRODUCT(实盘持仓配置!$B$5:$X$5,'实盘净值数据(iFinD公式)'!$B45:$X45/'实盘净值数据(iFinD公式)'!$B$5:$X$5)*(1-实盘持仓配置!$Z$5)^(('实盘净值数据(iFinD公式)'!$A45-'实盘净值数据(iFinD公式)'!$A$5)/365))</f>
        <v/>
      </c>
      <c r="F45" s="50" t="str">
        <f>IF(OR(E44="",'实盘净值数据(iFinD公式)'!$A45="",'实盘净值数据(iFinD公式)'!$B45=""),"",(SUMPRODUCT(实盘持仓配置!$B$5:$X$5,'实盘净值数据(iFinD公式)'!$B44:$X44/'实盘净值数据(iFinD公式)'!$B$5:$X$5,'实盘净值数据(iFinD公式)'!$B45:$X45/'实盘净值数据(iFinD公式)'!$B44:$X44)/SUMPRODUCT(实盘持仓配置!$B$5:$X$5,'实盘净值数据(iFinD公式)'!$B44:$X44/'实盘净值数据(iFinD公式)'!$B$5:$X$5))*(1-实盘持仓配置!$Z$5)^(('实盘净值数据(iFinD公式)'!$A45-'实盘净值数据(iFinD公式)'!$A44)/365)-1)</f>
        <v/>
      </c>
      <c r="G45" s="50" t="str">
        <f>IF(E45="","",E45/MAX(E$5:E45)-1)</f>
        <v/>
      </c>
      <c r="H45" s="112" t="str">
        <f>IF(OR((ROW()-1)&lt;7,'实盘净值数据(iFinD公式)'!$A45="",'实盘净值数据(iFinD公式)'!$B45=""),"",SUMPRODUCT(实盘持仓配置!$B$6:$X$6,'实盘净值数据(iFinD公式)'!$B45:$X45/'实盘净值数据(iFinD公式)'!$B$7:$X$7)*(1-实盘持仓配置!$Z$6)^(('实盘净值数据(iFinD公式)'!$A45-'实盘净值数据(iFinD公式)'!$A$7)/365))</f>
        <v/>
      </c>
      <c r="I45" s="50" t="str">
        <f>IF(OR(H44="",'实盘净值数据(iFinD公式)'!$A45="",'实盘净值数据(iFinD公式)'!$B45=""),"",(SUMPRODUCT(实盘持仓配置!$B$6:$X$6,'实盘净值数据(iFinD公式)'!$B44:$X44/'实盘净值数据(iFinD公式)'!$B$7:$X$7,'实盘净值数据(iFinD公式)'!$B45:$X45/'实盘净值数据(iFinD公式)'!$B44:$X44)/SUMPRODUCT(实盘持仓配置!$B$6:$X$6,'实盘净值数据(iFinD公式)'!$B44:$X44/'实盘净值数据(iFinD公式)'!$B$7:$X$7))*(1-实盘持仓配置!$Z$6)^(('实盘净值数据(iFinD公式)'!$A45-'实盘净值数据(iFinD公式)'!$A44)/365)-1)</f>
        <v/>
      </c>
      <c r="J45" s="50" t="str">
        <f>IF(H45="","",H45/MAX(H$5:H45)-1)</f>
        <v/>
      </c>
      <c r="K45" s="112" t="str">
        <f>IF(OR((ROW()-1)&lt;8,'实盘净值数据(iFinD公式)'!$A45="",'实盘净值数据(iFinD公式)'!$B45=""),"",SUMPRODUCT(实盘持仓配置!$B$7:$X$7,'实盘净值数据(iFinD公式)'!$B45:$X45/'实盘净值数据(iFinD公式)'!$B$8:$X$8)*(1-实盘持仓配置!$Z$7)^(('实盘净值数据(iFinD公式)'!$A45-'实盘净值数据(iFinD公式)'!$A$8)/365))</f>
        <v/>
      </c>
      <c r="L45" s="50" t="str">
        <f>IF(OR(K44="",'实盘净值数据(iFinD公式)'!$A45="",'实盘净值数据(iFinD公式)'!$B45=""),"",(SUMPRODUCT(实盘持仓配置!$B$7:$X$7,'实盘净值数据(iFinD公式)'!$B44:$X44/'实盘净值数据(iFinD公式)'!$B$8:$X$8,'实盘净值数据(iFinD公式)'!$B45:$X45/'实盘净值数据(iFinD公式)'!$B44:$X44)/SUMPRODUCT(实盘持仓配置!$B$7:$X$7,'实盘净值数据(iFinD公式)'!$B44:$X44/'实盘净值数据(iFinD公式)'!$B$8:$X$8))*(1-实盘持仓配置!$Z$7)^(('实盘净值数据(iFinD公式)'!$A45-'实盘净值数据(iFinD公式)'!$A44)/365)-1)</f>
        <v/>
      </c>
      <c r="M45" s="50" t="str">
        <f>IF(K45="","",K45/MAX(K$5:K45)-1)</f>
        <v/>
      </c>
      <c r="N45" s="112" t="str">
        <f>IF(OR((ROW()-1)&lt;5,'实盘净值数据(iFinD公式)'!$A45="",'实盘净值数据(iFinD公式)'!$B45=""),"",SUMPRODUCT(实盘持仓配置!$B$8:$X$8,'实盘净值数据(iFinD公式)'!$B45:$X45/'实盘净值数据(iFinD公式)'!$B$5:$X$5)*(1-实盘持仓配置!$Z$8)^(('实盘净值数据(iFinD公式)'!$A45-'实盘净值数据(iFinD公式)'!$A$5)/365))</f>
        <v/>
      </c>
      <c r="O45" s="50" t="str">
        <f>IF(OR(N44="",'实盘净值数据(iFinD公式)'!$A45="",'实盘净值数据(iFinD公式)'!$B45=""),"",(SUMPRODUCT(实盘持仓配置!$B$8:$X$8,'实盘净值数据(iFinD公式)'!$B44:$X44/'实盘净值数据(iFinD公式)'!$B$5:$X$5,'实盘净值数据(iFinD公式)'!$B45:$X45/'实盘净值数据(iFinD公式)'!$B44:$X44)/SUMPRODUCT(实盘持仓配置!$B$8:$X$8,'实盘净值数据(iFinD公式)'!$B44:$X44/'实盘净值数据(iFinD公式)'!$B$5:$X$5))*(1-实盘持仓配置!$Z$8)^(('实盘净值数据(iFinD公式)'!$A45-'实盘净值数据(iFinD公式)'!$A44)/365)-1)</f>
        <v/>
      </c>
      <c r="P45" s="50" t="str">
        <f>IF(N45="","",N45/MAX(N$5:N45)-1)</f>
        <v/>
      </c>
      <c r="Q45" s="112" t="str">
        <f>IF(OR((ROW()-1)&lt;8,'实盘净值数据(iFinD公式)'!$A45="",'实盘净值数据(iFinD公式)'!$B45=""),"",SUMPRODUCT(实盘持仓配置!$B$9:$X$9,'实盘净值数据(iFinD公式)'!$B45:$X45/'实盘净值数据(iFinD公式)'!$B$8:$X$8)*(1-实盘持仓配置!$Z$9)^(('实盘净值数据(iFinD公式)'!$A45-'实盘净值数据(iFinD公式)'!$A$8)/365))</f>
        <v/>
      </c>
      <c r="R45" s="50" t="str">
        <f>IF(OR(Q44="",'实盘净值数据(iFinD公式)'!$A45="",'实盘净值数据(iFinD公式)'!$B45=""),"",(SUMPRODUCT(实盘持仓配置!$B$9:$X$9,'实盘净值数据(iFinD公式)'!$B44:$X44/'实盘净值数据(iFinD公式)'!$B$8:$X$8,'实盘净值数据(iFinD公式)'!$B45:$X45/'实盘净值数据(iFinD公式)'!$B44:$X44)/SUMPRODUCT(实盘持仓配置!$B$9:$X$9,'实盘净值数据(iFinD公式)'!$B44:$X44/'实盘净值数据(iFinD公式)'!$B$8:$X$8))*(1-实盘持仓配置!$Z$9)^(('实盘净值数据(iFinD公式)'!$A45-'实盘净值数据(iFinD公式)'!$A44)/365)-1)</f>
        <v/>
      </c>
      <c r="S45" s="50" t="str">
        <f>IF(Q45="","",Q45/MAX(Q$5:Q45)-1)</f>
        <v/>
      </c>
    </row>
    <row r="46" spans="1:19">
      <c r="A46" s="113" t="str">
        <f>IF('实盘净值数据(iFinD公式)'!A46="","",'实盘净值数据(iFinD公式)'!A46)</f>
        <v/>
      </c>
      <c r="B46" s="112" t="str">
        <f>IF(OR((ROW()-1)&lt;6,'实盘净值数据(iFinD公式)'!$A46="",'实盘净值数据(iFinD公式)'!$B46=""),"",SUMPRODUCT(实盘持仓配置!$B$4:$X$4,'实盘净值数据(iFinD公式)'!$B46:$X46/'实盘净值数据(iFinD公式)'!$B$6:$X$6)*(1-实盘持仓配置!$Z$4)^(('实盘净值数据(iFinD公式)'!$A46-'实盘净值数据(iFinD公式)'!$A$6)/365))</f>
        <v/>
      </c>
      <c r="C46" s="50" t="str">
        <f>IF(OR(B45="",'实盘净值数据(iFinD公式)'!$A46="",'实盘净值数据(iFinD公式)'!$B46=""),"",(SUMPRODUCT(实盘持仓配置!$B$4:$X$4,'实盘净值数据(iFinD公式)'!$B45:$X45/'实盘净值数据(iFinD公式)'!$B$6:$X$6,'实盘净值数据(iFinD公式)'!$B46:$X46/'实盘净值数据(iFinD公式)'!$B45:$X45)/SUMPRODUCT(实盘持仓配置!$B$4:$X$4,'实盘净值数据(iFinD公式)'!$B45:$X45/'实盘净值数据(iFinD公式)'!$B$6:$X$6))*(1-实盘持仓配置!$Z$4)^(('实盘净值数据(iFinD公式)'!$A46-'实盘净值数据(iFinD公式)'!$A45)/365)-1)</f>
        <v/>
      </c>
      <c r="D46" s="50" t="str">
        <f>IF(B46="","",B46/MAX(B$5:B46)-1)</f>
        <v/>
      </c>
      <c r="E46" s="112" t="str">
        <f>IF(OR((ROW()-1)&lt;5,'实盘净值数据(iFinD公式)'!$A46="",'实盘净值数据(iFinD公式)'!$B46=""),"",SUMPRODUCT(实盘持仓配置!$B$5:$X$5,'实盘净值数据(iFinD公式)'!$B46:$X46/'实盘净值数据(iFinD公式)'!$B$5:$X$5)*(1-实盘持仓配置!$Z$5)^(('实盘净值数据(iFinD公式)'!$A46-'实盘净值数据(iFinD公式)'!$A$5)/365))</f>
        <v/>
      </c>
      <c r="F46" s="50" t="str">
        <f>IF(OR(E45="",'实盘净值数据(iFinD公式)'!$A46="",'实盘净值数据(iFinD公式)'!$B46=""),"",(SUMPRODUCT(实盘持仓配置!$B$5:$X$5,'实盘净值数据(iFinD公式)'!$B45:$X45/'实盘净值数据(iFinD公式)'!$B$5:$X$5,'实盘净值数据(iFinD公式)'!$B46:$X46/'实盘净值数据(iFinD公式)'!$B45:$X45)/SUMPRODUCT(实盘持仓配置!$B$5:$X$5,'实盘净值数据(iFinD公式)'!$B45:$X45/'实盘净值数据(iFinD公式)'!$B$5:$X$5))*(1-实盘持仓配置!$Z$5)^(('实盘净值数据(iFinD公式)'!$A46-'实盘净值数据(iFinD公式)'!$A45)/365)-1)</f>
        <v/>
      </c>
      <c r="G46" s="50" t="str">
        <f>IF(E46="","",E46/MAX(E$5:E46)-1)</f>
        <v/>
      </c>
      <c r="H46" s="112" t="str">
        <f>IF(OR((ROW()-1)&lt;7,'实盘净值数据(iFinD公式)'!$A46="",'实盘净值数据(iFinD公式)'!$B46=""),"",SUMPRODUCT(实盘持仓配置!$B$6:$X$6,'实盘净值数据(iFinD公式)'!$B46:$X46/'实盘净值数据(iFinD公式)'!$B$7:$X$7)*(1-实盘持仓配置!$Z$6)^(('实盘净值数据(iFinD公式)'!$A46-'实盘净值数据(iFinD公式)'!$A$7)/365))</f>
        <v/>
      </c>
      <c r="I46" s="50" t="str">
        <f>IF(OR(H45="",'实盘净值数据(iFinD公式)'!$A46="",'实盘净值数据(iFinD公式)'!$B46=""),"",(SUMPRODUCT(实盘持仓配置!$B$6:$X$6,'实盘净值数据(iFinD公式)'!$B45:$X45/'实盘净值数据(iFinD公式)'!$B$7:$X$7,'实盘净值数据(iFinD公式)'!$B46:$X46/'实盘净值数据(iFinD公式)'!$B45:$X45)/SUMPRODUCT(实盘持仓配置!$B$6:$X$6,'实盘净值数据(iFinD公式)'!$B45:$X45/'实盘净值数据(iFinD公式)'!$B$7:$X$7))*(1-实盘持仓配置!$Z$6)^(('实盘净值数据(iFinD公式)'!$A46-'实盘净值数据(iFinD公式)'!$A45)/365)-1)</f>
        <v/>
      </c>
      <c r="J46" s="50" t="str">
        <f>IF(H46="","",H46/MAX(H$5:H46)-1)</f>
        <v/>
      </c>
      <c r="K46" s="112" t="str">
        <f>IF(OR((ROW()-1)&lt;8,'实盘净值数据(iFinD公式)'!$A46="",'实盘净值数据(iFinD公式)'!$B46=""),"",SUMPRODUCT(实盘持仓配置!$B$7:$X$7,'实盘净值数据(iFinD公式)'!$B46:$X46/'实盘净值数据(iFinD公式)'!$B$8:$X$8)*(1-实盘持仓配置!$Z$7)^(('实盘净值数据(iFinD公式)'!$A46-'实盘净值数据(iFinD公式)'!$A$8)/365))</f>
        <v/>
      </c>
      <c r="L46" s="50" t="str">
        <f>IF(OR(K45="",'实盘净值数据(iFinD公式)'!$A46="",'实盘净值数据(iFinD公式)'!$B46=""),"",(SUMPRODUCT(实盘持仓配置!$B$7:$X$7,'实盘净值数据(iFinD公式)'!$B45:$X45/'实盘净值数据(iFinD公式)'!$B$8:$X$8,'实盘净值数据(iFinD公式)'!$B46:$X46/'实盘净值数据(iFinD公式)'!$B45:$X45)/SUMPRODUCT(实盘持仓配置!$B$7:$X$7,'实盘净值数据(iFinD公式)'!$B45:$X45/'实盘净值数据(iFinD公式)'!$B$8:$X$8))*(1-实盘持仓配置!$Z$7)^(('实盘净值数据(iFinD公式)'!$A46-'实盘净值数据(iFinD公式)'!$A45)/365)-1)</f>
        <v/>
      </c>
      <c r="M46" s="50" t="str">
        <f>IF(K46="","",K46/MAX(K$5:K46)-1)</f>
        <v/>
      </c>
      <c r="N46" s="112" t="str">
        <f>IF(OR((ROW()-1)&lt;5,'实盘净值数据(iFinD公式)'!$A46="",'实盘净值数据(iFinD公式)'!$B46=""),"",SUMPRODUCT(实盘持仓配置!$B$8:$X$8,'实盘净值数据(iFinD公式)'!$B46:$X46/'实盘净值数据(iFinD公式)'!$B$5:$X$5)*(1-实盘持仓配置!$Z$8)^(('实盘净值数据(iFinD公式)'!$A46-'实盘净值数据(iFinD公式)'!$A$5)/365))</f>
        <v/>
      </c>
      <c r="O46" s="50" t="str">
        <f>IF(OR(N45="",'实盘净值数据(iFinD公式)'!$A46="",'实盘净值数据(iFinD公式)'!$B46=""),"",(SUMPRODUCT(实盘持仓配置!$B$8:$X$8,'实盘净值数据(iFinD公式)'!$B45:$X45/'实盘净值数据(iFinD公式)'!$B$5:$X$5,'实盘净值数据(iFinD公式)'!$B46:$X46/'实盘净值数据(iFinD公式)'!$B45:$X45)/SUMPRODUCT(实盘持仓配置!$B$8:$X$8,'实盘净值数据(iFinD公式)'!$B45:$X45/'实盘净值数据(iFinD公式)'!$B$5:$X$5))*(1-实盘持仓配置!$Z$8)^(('实盘净值数据(iFinD公式)'!$A46-'实盘净值数据(iFinD公式)'!$A45)/365)-1)</f>
        <v/>
      </c>
      <c r="P46" s="50" t="str">
        <f>IF(N46="","",N46/MAX(N$5:N46)-1)</f>
        <v/>
      </c>
      <c r="Q46" s="112" t="str">
        <f>IF(OR((ROW()-1)&lt;8,'实盘净值数据(iFinD公式)'!$A46="",'实盘净值数据(iFinD公式)'!$B46=""),"",SUMPRODUCT(实盘持仓配置!$B$9:$X$9,'实盘净值数据(iFinD公式)'!$B46:$X46/'实盘净值数据(iFinD公式)'!$B$8:$X$8)*(1-实盘持仓配置!$Z$9)^(('实盘净值数据(iFinD公式)'!$A46-'实盘净值数据(iFinD公式)'!$A$8)/365))</f>
        <v/>
      </c>
      <c r="R46" s="50" t="str">
        <f>IF(OR(Q45="",'实盘净值数据(iFinD公式)'!$A46="",'实盘净值数据(iFinD公式)'!$B46=""),"",(SUMPRODUCT(实盘持仓配置!$B$9:$X$9,'实盘净值数据(iFinD公式)'!$B45:$X45/'实盘净值数据(iFinD公式)'!$B$8:$X$8,'实盘净值数据(iFinD公式)'!$B46:$X46/'实盘净值数据(iFinD公式)'!$B45:$X45)/SUMPRODUCT(实盘持仓配置!$B$9:$X$9,'实盘净值数据(iFinD公式)'!$B45:$X45/'实盘净值数据(iFinD公式)'!$B$8:$X$8))*(1-实盘持仓配置!$Z$9)^(('实盘净值数据(iFinD公式)'!$A46-'实盘净值数据(iFinD公式)'!$A45)/365)-1)</f>
        <v/>
      </c>
      <c r="S46" s="50" t="str">
        <f>IF(Q46="","",Q46/MAX(Q$5:Q46)-1)</f>
        <v/>
      </c>
    </row>
    <row r="47" spans="1:19">
      <c r="A47" s="113" t="str">
        <f>IF('实盘净值数据(iFinD公式)'!A47="","",'实盘净值数据(iFinD公式)'!A47)</f>
        <v/>
      </c>
      <c r="B47" s="112" t="str">
        <f>IF(OR((ROW()-1)&lt;6,'实盘净值数据(iFinD公式)'!$A47="",'实盘净值数据(iFinD公式)'!$B47=""),"",SUMPRODUCT(实盘持仓配置!$B$4:$X$4,'实盘净值数据(iFinD公式)'!$B47:$X47/'实盘净值数据(iFinD公式)'!$B$6:$X$6)*(1-实盘持仓配置!$Z$4)^(('实盘净值数据(iFinD公式)'!$A47-'实盘净值数据(iFinD公式)'!$A$6)/365))</f>
        <v/>
      </c>
      <c r="C47" s="50" t="str">
        <f>IF(OR(B46="",'实盘净值数据(iFinD公式)'!$A47="",'实盘净值数据(iFinD公式)'!$B47=""),"",(SUMPRODUCT(实盘持仓配置!$B$4:$X$4,'实盘净值数据(iFinD公式)'!$B46:$X46/'实盘净值数据(iFinD公式)'!$B$6:$X$6,'实盘净值数据(iFinD公式)'!$B47:$X47/'实盘净值数据(iFinD公式)'!$B46:$X46)/SUMPRODUCT(实盘持仓配置!$B$4:$X$4,'实盘净值数据(iFinD公式)'!$B46:$X46/'实盘净值数据(iFinD公式)'!$B$6:$X$6))*(1-实盘持仓配置!$Z$4)^(('实盘净值数据(iFinD公式)'!$A47-'实盘净值数据(iFinD公式)'!$A46)/365)-1)</f>
        <v/>
      </c>
      <c r="D47" s="50" t="str">
        <f>IF(B47="","",B47/MAX(B$5:B47)-1)</f>
        <v/>
      </c>
      <c r="E47" s="112" t="str">
        <f>IF(OR((ROW()-1)&lt;5,'实盘净值数据(iFinD公式)'!$A47="",'实盘净值数据(iFinD公式)'!$B47=""),"",SUMPRODUCT(实盘持仓配置!$B$5:$X$5,'实盘净值数据(iFinD公式)'!$B47:$X47/'实盘净值数据(iFinD公式)'!$B$5:$X$5)*(1-实盘持仓配置!$Z$5)^(('实盘净值数据(iFinD公式)'!$A47-'实盘净值数据(iFinD公式)'!$A$5)/365))</f>
        <v/>
      </c>
      <c r="F47" s="50" t="str">
        <f>IF(OR(E46="",'实盘净值数据(iFinD公式)'!$A47="",'实盘净值数据(iFinD公式)'!$B47=""),"",(SUMPRODUCT(实盘持仓配置!$B$5:$X$5,'实盘净值数据(iFinD公式)'!$B46:$X46/'实盘净值数据(iFinD公式)'!$B$5:$X$5,'实盘净值数据(iFinD公式)'!$B47:$X47/'实盘净值数据(iFinD公式)'!$B46:$X46)/SUMPRODUCT(实盘持仓配置!$B$5:$X$5,'实盘净值数据(iFinD公式)'!$B46:$X46/'实盘净值数据(iFinD公式)'!$B$5:$X$5))*(1-实盘持仓配置!$Z$5)^(('实盘净值数据(iFinD公式)'!$A47-'实盘净值数据(iFinD公式)'!$A46)/365)-1)</f>
        <v/>
      </c>
      <c r="G47" s="50" t="str">
        <f>IF(E47="","",E47/MAX(E$5:E47)-1)</f>
        <v/>
      </c>
      <c r="H47" s="112" t="str">
        <f>IF(OR((ROW()-1)&lt;7,'实盘净值数据(iFinD公式)'!$A47="",'实盘净值数据(iFinD公式)'!$B47=""),"",SUMPRODUCT(实盘持仓配置!$B$6:$X$6,'实盘净值数据(iFinD公式)'!$B47:$X47/'实盘净值数据(iFinD公式)'!$B$7:$X$7)*(1-实盘持仓配置!$Z$6)^(('实盘净值数据(iFinD公式)'!$A47-'实盘净值数据(iFinD公式)'!$A$7)/365))</f>
        <v/>
      </c>
      <c r="I47" s="50" t="str">
        <f>IF(OR(H46="",'实盘净值数据(iFinD公式)'!$A47="",'实盘净值数据(iFinD公式)'!$B47=""),"",(SUMPRODUCT(实盘持仓配置!$B$6:$X$6,'实盘净值数据(iFinD公式)'!$B46:$X46/'实盘净值数据(iFinD公式)'!$B$7:$X$7,'实盘净值数据(iFinD公式)'!$B47:$X47/'实盘净值数据(iFinD公式)'!$B46:$X46)/SUMPRODUCT(实盘持仓配置!$B$6:$X$6,'实盘净值数据(iFinD公式)'!$B46:$X46/'实盘净值数据(iFinD公式)'!$B$7:$X$7))*(1-实盘持仓配置!$Z$6)^(('实盘净值数据(iFinD公式)'!$A47-'实盘净值数据(iFinD公式)'!$A46)/365)-1)</f>
        <v/>
      </c>
      <c r="J47" s="50" t="str">
        <f>IF(H47="","",H47/MAX(H$5:H47)-1)</f>
        <v/>
      </c>
      <c r="K47" s="112" t="str">
        <f>IF(OR((ROW()-1)&lt;8,'实盘净值数据(iFinD公式)'!$A47="",'实盘净值数据(iFinD公式)'!$B47=""),"",SUMPRODUCT(实盘持仓配置!$B$7:$X$7,'实盘净值数据(iFinD公式)'!$B47:$X47/'实盘净值数据(iFinD公式)'!$B$8:$X$8)*(1-实盘持仓配置!$Z$7)^(('实盘净值数据(iFinD公式)'!$A47-'实盘净值数据(iFinD公式)'!$A$8)/365))</f>
        <v/>
      </c>
      <c r="L47" s="50" t="str">
        <f>IF(OR(K46="",'实盘净值数据(iFinD公式)'!$A47="",'实盘净值数据(iFinD公式)'!$B47=""),"",(SUMPRODUCT(实盘持仓配置!$B$7:$X$7,'实盘净值数据(iFinD公式)'!$B46:$X46/'实盘净值数据(iFinD公式)'!$B$8:$X$8,'实盘净值数据(iFinD公式)'!$B47:$X47/'实盘净值数据(iFinD公式)'!$B46:$X46)/SUMPRODUCT(实盘持仓配置!$B$7:$X$7,'实盘净值数据(iFinD公式)'!$B46:$X46/'实盘净值数据(iFinD公式)'!$B$8:$X$8))*(1-实盘持仓配置!$Z$7)^(('实盘净值数据(iFinD公式)'!$A47-'实盘净值数据(iFinD公式)'!$A46)/365)-1)</f>
        <v/>
      </c>
      <c r="M47" s="50" t="str">
        <f>IF(K47="","",K47/MAX(K$5:K47)-1)</f>
        <v/>
      </c>
      <c r="N47" s="112" t="str">
        <f>IF(OR((ROW()-1)&lt;5,'实盘净值数据(iFinD公式)'!$A47="",'实盘净值数据(iFinD公式)'!$B47=""),"",SUMPRODUCT(实盘持仓配置!$B$8:$X$8,'实盘净值数据(iFinD公式)'!$B47:$X47/'实盘净值数据(iFinD公式)'!$B$5:$X$5)*(1-实盘持仓配置!$Z$8)^(('实盘净值数据(iFinD公式)'!$A47-'实盘净值数据(iFinD公式)'!$A$5)/365))</f>
        <v/>
      </c>
      <c r="O47" s="50" t="str">
        <f>IF(OR(N46="",'实盘净值数据(iFinD公式)'!$A47="",'实盘净值数据(iFinD公式)'!$B47=""),"",(SUMPRODUCT(实盘持仓配置!$B$8:$X$8,'实盘净值数据(iFinD公式)'!$B46:$X46/'实盘净值数据(iFinD公式)'!$B$5:$X$5,'实盘净值数据(iFinD公式)'!$B47:$X47/'实盘净值数据(iFinD公式)'!$B46:$X46)/SUMPRODUCT(实盘持仓配置!$B$8:$X$8,'实盘净值数据(iFinD公式)'!$B46:$X46/'实盘净值数据(iFinD公式)'!$B$5:$X$5))*(1-实盘持仓配置!$Z$8)^(('实盘净值数据(iFinD公式)'!$A47-'实盘净值数据(iFinD公式)'!$A46)/365)-1)</f>
        <v/>
      </c>
      <c r="P47" s="50" t="str">
        <f>IF(N47="","",N47/MAX(N$5:N47)-1)</f>
        <v/>
      </c>
      <c r="Q47" s="112" t="str">
        <f>IF(OR((ROW()-1)&lt;8,'实盘净值数据(iFinD公式)'!$A47="",'实盘净值数据(iFinD公式)'!$B47=""),"",SUMPRODUCT(实盘持仓配置!$B$9:$X$9,'实盘净值数据(iFinD公式)'!$B47:$X47/'实盘净值数据(iFinD公式)'!$B$8:$X$8)*(1-实盘持仓配置!$Z$9)^(('实盘净值数据(iFinD公式)'!$A47-'实盘净值数据(iFinD公式)'!$A$8)/365))</f>
        <v/>
      </c>
      <c r="R47" s="50" t="str">
        <f>IF(OR(Q46="",'实盘净值数据(iFinD公式)'!$A47="",'实盘净值数据(iFinD公式)'!$B47=""),"",(SUMPRODUCT(实盘持仓配置!$B$9:$X$9,'实盘净值数据(iFinD公式)'!$B46:$X46/'实盘净值数据(iFinD公式)'!$B$8:$X$8,'实盘净值数据(iFinD公式)'!$B47:$X47/'实盘净值数据(iFinD公式)'!$B46:$X46)/SUMPRODUCT(实盘持仓配置!$B$9:$X$9,'实盘净值数据(iFinD公式)'!$B46:$X46/'实盘净值数据(iFinD公式)'!$B$8:$X$8))*(1-实盘持仓配置!$Z$9)^(('实盘净值数据(iFinD公式)'!$A47-'实盘净值数据(iFinD公式)'!$A46)/365)-1)</f>
        <v/>
      </c>
      <c r="S47" s="50" t="str">
        <f>IF(Q47="","",Q47/MAX(Q$5:Q47)-1)</f>
        <v/>
      </c>
    </row>
    <row r="48" spans="1:19">
      <c r="A48" s="113" t="str">
        <f>IF('实盘净值数据(iFinD公式)'!A48="","",'实盘净值数据(iFinD公式)'!A48)</f>
        <v/>
      </c>
      <c r="B48" s="112" t="str">
        <f>IF(OR((ROW()-1)&lt;6,'实盘净值数据(iFinD公式)'!$A48="",'实盘净值数据(iFinD公式)'!$B48=""),"",SUMPRODUCT(实盘持仓配置!$B$4:$X$4,'实盘净值数据(iFinD公式)'!$B48:$X48/'实盘净值数据(iFinD公式)'!$B$6:$X$6)*(1-实盘持仓配置!$Z$4)^(('实盘净值数据(iFinD公式)'!$A48-'实盘净值数据(iFinD公式)'!$A$6)/365))</f>
        <v/>
      </c>
      <c r="C48" s="50" t="str">
        <f>IF(OR(B47="",'实盘净值数据(iFinD公式)'!$A48="",'实盘净值数据(iFinD公式)'!$B48=""),"",(SUMPRODUCT(实盘持仓配置!$B$4:$X$4,'实盘净值数据(iFinD公式)'!$B47:$X47/'实盘净值数据(iFinD公式)'!$B$6:$X$6,'实盘净值数据(iFinD公式)'!$B48:$X48/'实盘净值数据(iFinD公式)'!$B47:$X47)/SUMPRODUCT(实盘持仓配置!$B$4:$X$4,'实盘净值数据(iFinD公式)'!$B47:$X47/'实盘净值数据(iFinD公式)'!$B$6:$X$6))*(1-实盘持仓配置!$Z$4)^(('实盘净值数据(iFinD公式)'!$A48-'实盘净值数据(iFinD公式)'!$A47)/365)-1)</f>
        <v/>
      </c>
      <c r="D48" s="50" t="str">
        <f>IF(B48="","",B48/MAX(B$5:B48)-1)</f>
        <v/>
      </c>
      <c r="E48" s="112" t="str">
        <f>IF(OR((ROW()-1)&lt;5,'实盘净值数据(iFinD公式)'!$A48="",'实盘净值数据(iFinD公式)'!$B48=""),"",SUMPRODUCT(实盘持仓配置!$B$5:$X$5,'实盘净值数据(iFinD公式)'!$B48:$X48/'实盘净值数据(iFinD公式)'!$B$5:$X$5)*(1-实盘持仓配置!$Z$5)^(('实盘净值数据(iFinD公式)'!$A48-'实盘净值数据(iFinD公式)'!$A$5)/365))</f>
        <v/>
      </c>
      <c r="F48" s="50" t="str">
        <f>IF(OR(E47="",'实盘净值数据(iFinD公式)'!$A48="",'实盘净值数据(iFinD公式)'!$B48=""),"",(SUMPRODUCT(实盘持仓配置!$B$5:$X$5,'实盘净值数据(iFinD公式)'!$B47:$X47/'实盘净值数据(iFinD公式)'!$B$5:$X$5,'实盘净值数据(iFinD公式)'!$B48:$X48/'实盘净值数据(iFinD公式)'!$B47:$X47)/SUMPRODUCT(实盘持仓配置!$B$5:$X$5,'实盘净值数据(iFinD公式)'!$B47:$X47/'实盘净值数据(iFinD公式)'!$B$5:$X$5))*(1-实盘持仓配置!$Z$5)^(('实盘净值数据(iFinD公式)'!$A48-'实盘净值数据(iFinD公式)'!$A47)/365)-1)</f>
        <v/>
      </c>
      <c r="G48" s="50" t="str">
        <f>IF(E48="","",E48/MAX(E$5:E48)-1)</f>
        <v/>
      </c>
      <c r="H48" s="112" t="str">
        <f>IF(OR((ROW()-1)&lt;7,'实盘净值数据(iFinD公式)'!$A48="",'实盘净值数据(iFinD公式)'!$B48=""),"",SUMPRODUCT(实盘持仓配置!$B$6:$X$6,'实盘净值数据(iFinD公式)'!$B48:$X48/'实盘净值数据(iFinD公式)'!$B$7:$X$7)*(1-实盘持仓配置!$Z$6)^(('实盘净值数据(iFinD公式)'!$A48-'实盘净值数据(iFinD公式)'!$A$7)/365))</f>
        <v/>
      </c>
      <c r="I48" s="50" t="str">
        <f>IF(OR(H47="",'实盘净值数据(iFinD公式)'!$A48="",'实盘净值数据(iFinD公式)'!$B48=""),"",(SUMPRODUCT(实盘持仓配置!$B$6:$X$6,'实盘净值数据(iFinD公式)'!$B47:$X47/'实盘净值数据(iFinD公式)'!$B$7:$X$7,'实盘净值数据(iFinD公式)'!$B48:$X48/'实盘净值数据(iFinD公式)'!$B47:$X47)/SUMPRODUCT(实盘持仓配置!$B$6:$X$6,'实盘净值数据(iFinD公式)'!$B47:$X47/'实盘净值数据(iFinD公式)'!$B$7:$X$7))*(1-实盘持仓配置!$Z$6)^(('实盘净值数据(iFinD公式)'!$A48-'实盘净值数据(iFinD公式)'!$A47)/365)-1)</f>
        <v/>
      </c>
      <c r="J48" s="50" t="str">
        <f>IF(H48="","",H48/MAX(H$5:H48)-1)</f>
        <v/>
      </c>
      <c r="K48" s="112" t="str">
        <f>IF(OR((ROW()-1)&lt;8,'实盘净值数据(iFinD公式)'!$A48="",'实盘净值数据(iFinD公式)'!$B48=""),"",SUMPRODUCT(实盘持仓配置!$B$7:$X$7,'实盘净值数据(iFinD公式)'!$B48:$X48/'实盘净值数据(iFinD公式)'!$B$8:$X$8)*(1-实盘持仓配置!$Z$7)^(('实盘净值数据(iFinD公式)'!$A48-'实盘净值数据(iFinD公式)'!$A$8)/365))</f>
        <v/>
      </c>
      <c r="L48" s="50" t="str">
        <f>IF(OR(K47="",'实盘净值数据(iFinD公式)'!$A48="",'实盘净值数据(iFinD公式)'!$B48=""),"",(SUMPRODUCT(实盘持仓配置!$B$7:$X$7,'实盘净值数据(iFinD公式)'!$B47:$X47/'实盘净值数据(iFinD公式)'!$B$8:$X$8,'实盘净值数据(iFinD公式)'!$B48:$X48/'实盘净值数据(iFinD公式)'!$B47:$X47)/SUMPRODUCT(实盘持仓配置!$B$7:$X$7,'实盘净值数据(iFinD公式)'!$B47:$X47/'实盘净值数据(iFinD公式)'!$B$8:$X$8))*(1-实盘持仓配置!$Z$7)^(('实盘净值数据(iFinD公式)'!$A48-'实盘净值数据(iFinD公式)'!$A47)/365)-1)</f>
        <v/>
      </c>
      <c r="M48" s="50" t="str">
        <f>IF(K48="","",K48/MAX(K$5:K48)-1)</f>
        <v/>
      </c>
      <c r="N48" s="112" t="str">
        <f>IF(OR((ROW()-1)&lt;5,'实盘净值数据(iFinD公式)'!$A48="",'实盘净值数据(iFinD公式)'!$B48=""),"",SUMPRODUCT(实盘持仓配置!$B$8:$X$8,'实盘净值数据(iFinD公式)'!$B48:$X48/'实盘净值数据(iFinD公式)'!$B$5:$X$5)*(1-实盘持仓配置!$Z$8)^(('实盘净值数据(iFinD公式)'!$A48-'实盘净值数据(iFinD公式)'!$A$5)/365))</f>
        <v/>
      </c>
      <c r="O48" s="50" t="str">
        <f>IF(OR(N47="",'实盘净值数据(iFinD公式)'!$A48="",'实盘净值数据(iFinD公式)'!$B48=""),"",(SUMPRODUCT(实盘持仓配置!$B$8:$X$8,'实盘净值数据(iFinD公式)'!$B47:$X47/'实盘净值数据(iFinD公式)'!$B$5:$X$5,'实盘净值数据(iFinD公式)'!$B48:$X48/'实盘净值数据(iFinD公式)'!$B47:$X47)/SUMPRODUCT(实盘持仓配置!$B$8:$X$8,'实盘净值数据(iFinD公式)'!$B47:$X47/'实盘净值数据(iFinD公式)'!$B$5:$X$5))*(1-实盘持仓配置!$Z$8)^(('实盘净值数据(iFinD公式)'!$A48-'实盘净值数据(iFinD公式)'!$A47)/365)-1)</f>
        <v/>
      </c>
      <c r="P48" s="50" t="str">
        <f>IF(N48="","",N48/MAX(N$5:N48)-1)</f>
        <v/>
      </c>
      <c r="Q48" s="112" t="str">
        <f>IF(OR((ROW()-1)&lt;8,'实盘净值数据(iFinD公式)'!$A48="",'实盘净值数据(iFinD公式)'!$B48=""),"",SUMPRODUCT(实盘持仓配置!$B$9:$X$9,'实盘净值数据(iFinD公式)'!$B48:$X48/'实盘净值数据(iFinD公式)'!$B$8:$X$8)*(1-实盘持仓配置!$Z$9)^(('实盘净值数据(iFinD公式)'!$A48-'实盘净值数据(iFinD公式)'!$A$8)/365))</f>
        <v/>
      </c>
      <c r="R48" s="50" t="str">
        <f>IF(OR(Q47="",'实盘净值数据(iFinD公式)'!$A48="",'实盘净值数据(iFinD公式)'!$B48=""),"",(SUMPRODUCT(实盘持仓配置!$B$9:$X$9,'实盘净值数据(iFinD公式)'!$B47:$X47/'实盘净值数据(iFinD公式)'!$B$8:$X$8,'实盘净值数据(iFinD公式)'!$B48:$X48/'实盘净值数据(iFinD公式)'!$B47:$X47)/SUMPRODUCT(实盘持仓配置!$B$9:$X$9,'实盘净值数据(iFinD公式)'!$B47:$X47/'实盘净值数据(iFinD公式)'!$B$8:$X$8))*(1-实盘持仓配置!$Z$9)^(('实盘净值数据(iFinD公式)'!$A48-'实盘净值数据(iFinD公式)'!$A47)/365)-1)</f>
        <v/>
      </c>
      <c r="S48" s="50" t="str">
        <f>IF(Q48="","",Q48/MAX(Q$5:Q48)-1)</f>
        <v/>
      </c>
    </row>
    <row r="49" spans="1:19">
      <c r="A49" s="113" t="str">
        <f>IF('实盘净值数据(iFinD公式)'!A49="","",'实盘净值数据(iFinD公式)'!A49)</f>
        <v/>
      </c>
      <c r="B49" s="112" t="str">
        <f>IF(OR((ROW()-1)&lt;6,'实盘净值数据(iFinD公式)'!$A49="",'实盘净值数据(iFinD公式)'!$B49=""),"",SUMPRODUCT(实盘持仓配置!$B$4:$X$4,'实盘净值数据(iFinD公式)'!$B49:$X49/'实盘净值数据(iFinD公式)'!$B$6:$X$6)*(1-实盘持仓配置!$Z$4)^(('实盘净值数据(iFinD公式)'!$A49-'实盘净值数据(iFinD公式)'!$A$6)/365))</f>
        <v/>
      </c>
      <c r="C49" s="50" t="str">
        <f>IF(OR(B48="",'实盘净值数据(iFinD公式)'!$A49="",'实盘净值数据(iFinD公式)'!$B49=""),"",(SUMPRODUCT(实盘持仓配置!$B$4:$X$4,'实盘净值数据(iFinD公式)'!$B48:$X48/'实盘净值数据(iFinD公式)'!$B$6:$X$6,'实盘净值数据(iFinD公式)'!$B49:$X49/'实盘净值数据(iFinD公式)'!$B48:$X48)/SUMPRODUCT(实盘持仓配置!$B$4:$X$4,'实盘净值数据(iFinD公式)'!$B48:$X48/'实盘净值数据(iFinD公式)'!$B$6:$X$6))*(1-实盘持仓配置!$Z$4)^(('实盘净值数据(iFinD公式)'!$A49-'实盘净值数据(iFinD公式)'!$A48)/365)-1)</f>
        <v/>
      </c>
      <c r="D49" s="50" t="str">
        <f>IF(B49="","",B49/MAX(B$5:B49)-1)</f>
        <v/>
      </c>
      <c r="E49" s="112" t="str">
        <f>IF(OR((ROW()-1)&lt;5,'实盘净值数据(iFinD公式)'!$A49="",'实盘净值数据(iFinD公式)'!$B49=""),"",SUMPRODUCT(实盘持仓配置!$B$5:$X$5,'实盘净值数据(iFinD公式)'!$B49:$X49/'实盘净值数据(iFinD公式)'!$B$5:$X$5)*(1-实盘持仓配置!$Z$5)^(('实盘净值数据(iFinD公式)'!$A49-'实盘净值数据(iFinD公式)'!$A$5)/365))</f>
        <v/>
      </c>
      <c r="F49" s="50" t="str">
        <f>IF(OR(E48="",'实盘净值数据(iFinD公式)'!$A49="",'实盘净值数据(iFinD公式)'!$B49=""),"",(SUMPRODUCT(实盘持仓配置!$B$5:$X$5,'实盘净值数据(iFinD公式)'!$B48:$X48/'实盘净值数据(iFinD公式)'!$B$5:$X$5,'实盘净值数据(iFinD公式)'!$B49:$X49/'实盘净值数据(iFinD公式)'!$B48:$X48)/SUMPRODUCT(实盘持仓配置!$B$5:$X$5,'实盘净值数据(iFinD公式)'!$B48:$X48/'实盘净值数据(iFinD公式)'!$B$5:$X$5))*(1-实盘持仓配置!$Z$5)^(('实盘净值数据(iFinD公式)'!$A49-'实盘净值数据(iFinD公式)'!$A48)/365)-1)</f>
        <v/>
      </c>
      <c r="G49" s="50" t="str">
        <f>IF(E49="","",E49/MAX(E$5:E49)-1)</f>
        <v/>
      </c>
      <c r="H49" s="112" t="str">
        <f>IF(OR((ROW()-1)&lt;7,'实盘净值数据(iFinD公式)'!$A49="",'实盘净值数据(iFinD公式)'!$B49=""),"",SUMPRODUCT(实盘持仓配置!$B$6:$X$6,'实盘净值数据(iFinD公式)'!$B49:$X49/'实盘净值数据(iFinD公式)'!$B$7:$X$7)*(1-实盘持仓配置!$Z$6)^(('实盘净值数据(iFinD公式)'!$A49-'实盘净值数据(iFinD公式)'!$A$7)/365))</f>
        <v/>
      </c>
      <c r="I49" s="50" t="str">
        <f>IF(OR(H48="",'实盘净值数据(iFinD公式)'!$A49="",'实盘净值数据(iFinD公式)'!$B49=""),"",(SUMPRODUCT(实盘持仓配置!$B$6:$X$6,'实盘净值数据(iFinD公式)'!$B48:$X48/'实盘净值数据(iFinD公式)'!$B$7:$X$7,'实盘净值数据(iFinD公式)'!$B49:$X49/'实盘净值数据(iFinD公式)'!$B48:$X48)/SUMPRODUCT(实盘持仓配置!$B$6:$X$6,'实盘净值数据(iFinD公式)'!$B48:$X48/'实盘净值数据(iFinD公式)'!$B$7:$X$7))*(1-实盘持仓配置!$Z$6)^(('实盘净值数据(iFinD公式)'!$A49-'实盘净值数据(iFinD公式)'!$A48)/365)-1)</f>
        <v/>
      </c>
      <c r="J49" s="50" t="str">
        <f>IF(H49="","",H49/MAX(H$5:H49)-1)</f>
        <v/>
      </c>
      <c r="K49" s="112" t="str">
        <f>IF(OR((ROW()-1)&lt;8,'实盘净值数据(iFinD公式)'!$A49="",'实盘净值数据(iFinD公式)'!$B49=""),"",SUMPRODUCT(实盘持仓配置!$B$7:$X$7,'实盘净值数据(iFinD公式)'!$B49:$X49/'实盘净值数据(iFinD公式)'!$B$8:$X$8)*(1-实盘持仓配置!$Z$7)^(('实盘净值数据(iFinD公式)'!$A49-'实盘净值数据(iFinD公式)'!$A$8)/365))</f>
        <v/>
      </c>
      <c r="L49" s="50" t="str">
        <f>IF(OR(K48="",'实盘净值数据(iFinD公式)'!$A49="",'实盘净值数据(iFinD公式)'!$B49=""),"",(SUMPRODUCT(实盘持仓配置!$B$7:$X$7,'实盘净值数据(iFinD公式)'!$B48:$X48/'实盘净值数据(iFinD公式)'!$B$8:$X$8,'实盘净值数据(iFinD公式)'!$B49:$X49/'实盘净值数据(iFinD公式)'!$B48:$X48)/SUMPRODUCT(实盘持仓配置!$B$7:$X$7,'实盘净值数据(iFinD公式)'!$B48:$X48/'实盘净值数据(iFinD公式)'!$B$8:$X$8))*(1-实盘持仓配置!$Z$7)^(('实盘净值数据(iFinD公式)'!$A49-'实盘净值数据(iFinD公式)'!$A48)/365)-1)</f>
        <v/>
      </c>
      <c r="M49" s="50" t="str">
        <f>IF(K49="","",K49/MAX(K$5:K49)-1)</f>
        <v/>
      </c>
      <c r="N49" s="112" t="str">
        <f>IF(OR((ROW()-1)&lt;5,'实盘净值数据(iFinD公式)'!$A49="",'实盘净值数据(iFinD公式)'!$B49=""),"",SUMPRODUCT(实盘持仓配置!$B$8:$X$8,'实盘净值数据(iFinD公式)'!$B49:$X49/'实盘净值数据(iFinD公式)'!$B$5:$X$5)*(1-实盘持仓配置!$Z$8)^(('实盘净值数据(iFinD公式)'!$A49-'实盘净值数据(iFinD公式)'!$A$5)/365))</f>
        <v/>
      </c>
      <c r="O49" s="50" t="str">
        <f>IF(OR(N48="",'实盘净值数据(iFinD公式)'!$A49="",'实盘净值数据(iFinD公式)'!$B49=""),"",(SUMPRODUCT(实盘持仓配置!$B$8:$X$8,'实盘净值数据(iFinD公式)'!$B48:$X48/'实盘净值数据(iFinD公式)'!$B$5:$X$5,'实盘净值数据(iFinD公式)'!$B49:$X49/'实盘净值数据(iFinD公式)'!$B48:$X48)/SUMPRODUCT(实盘持仓配置!$B$8:$X$8,'实盘净值数据(iFinD公式)'!$B48:$X48/'实盘净值数据(iFinD公式)'!$B$5:$X$5))*(1-实盘持仓配置!$Z$8)^(('实盘净值数据(iFinD公式)'!$A49-'实盘净值数据(iFinD公式)'!$A48)/365)-1)</f>
        <v/>
      </c>
      <c r="P49" s="50" t="str">
        <f>IF(N49="","",N49/MAX(N$5:N49)-1)</f>
        <v/>
      </c>
      <c r="Q49" s="112" t="str">
        <f>IF(OR((ROW()-1)&lt;8,'实盘净值数据(iFinD公式)'!$A49="",'实盘净值数据(iFinD公式)'!$B49=""),"",SUMPRODUCT(实盘持仓配置!$B$9:$X$9,'实盘净值数据(iFinD公式)'!$B49:$X49/'实盘净值数据(iFinD公式)'!$B$8:$X$8)*(1-实盘持仓配置!$Z$9)^(('实盘净值数据(iFinD公式)'!$A49-'实盘净值数据(iFinD公式)'!$A$8)/365))</f>
        <v/>
      </c>
      <c r="R49" s="50" t="str">
        <f>IF(OR(Q48="",'实盘净值数据(iFinD公式)'!$A49="",'实盘净值数据(iFinD公式)'!$B49=""),"",(SUMPRODUCT(实盘持仓配置!$B$9:$X$9,'实盘净值数据(iFinD公式)'!$B48:$X48/'实盘净值数据(iFinD公式)'!$B$8:$X$8,'实盘净值数据(iFinD公式)'!$B49:$X49/'实盘净值数据(iFinD公式)'!$B48:$X48)/SUMPRODUCT(实盘持仓配置!$B$9:$X$9,'实盘净值数据(iFinD公式)'!$B48:$X48/'实盘净值数据(iFinD公式)'!$B$8:$X$8))*(1-实盘持仓配置!$Z$9)^(('实盘净值数据(iFinD公式)'!$A49-'实盘净值数据(iFinD公式)'!$A48)/365)-1)</f>
        <v/>
      </c>
      <c r="S49" s="50" t="str">
        <f>IF(Q49="","",Q49/MAX(Q$5:Q49)-1)</f>
        <v/>
      </c>
    </row>
    <row r="50" spans="1:19">
      <c r="A50" s="113" t="str">
        <f>IF('实盘净值数据(iFinD公式)'!A50="","",'实盘净值数据(iFinD公式)'!A50)</f>
        <v/>
      </c>
      <c r="B50" s="112" t="str">
        <f>IF(OR((ROW()-1)&lt;6,'实盘净值数据(iFinD公式)'!$A50="",'实盘净值数据(iFinD公式)'!$B50=""),"",SUMPRODUCT(实盘持仓配置!$B$4:$X$4,'实盘净值数据(iFinD公式)'!$B50:$X50/'实盘净值数据(iFinD公式)'!$B$6:$X$6)*(1-实盘持仓配置!$Z$4)^(('实盘净值数据(iFinD公式)'!$A50-'实盘净值数据(iFinD公式)'!$A$6)/365))</f>
        <v/>
      </c>
      <c r="C50" s="50" t="str">
        <f>IF(OR(B49="",'实盘净值数据(iFinD公式)'!$A50="",'实盘净值数据(iFinD公式)'!$B50=""),"",(SUMPRODUCT(实盘持仓配置!$B$4:$X$4,'实盘净值数据(iFinD公式)'!$B49:$X49/'实盘净值数据(iFinD公式)'!$B$6:$X$6,'实盘净值数据(iFinD公式)'!$B50:$X50/'实盘净值数据(iFinD公式)'!$B49:$X49)/SUMPRODUCT(实盘持仓配置!$B$4:$X$4,'实盘净值数据(iFinD公式)'!$B49:$X49/'实盘净值数据(iFinD公式)'!$B$6:$X$6))*(1-实盘持仓配置!$Z$4)^(('实盘净值数据(iFinD公式)'!$A50-'实盘净值数据(iFinD公式)'!$A49)/365)-1)</f>
        <v/>
      </c>
      <c r="D50" s="50" t="str">
        <f>IF(B50="","",B50/MAX(B$5:B50)-1)</f>
        <v/>
      </c>
      <c r="E50" s="112" t="str">
        <f>IF(OR((ROW()-1)&lt;5,'实盘净值数据(iFinD公式)'!$A50="",'实盘净值数据(iFinD公式)'!$B50=""),"",SUMPRODUCT(实盘持仓配置!$B$5:$X$5,'实盘净值数据(iFinD公式)'!$B50:$X50/'实盘净值数据(iFinD公式)'!$B$5:$X$5)*(1-实盘持仓配置!$Z$5)^(('实盘净值数据(iFinD公式)'!$A50-'实盘净值数据(iFinD公式)'!$A$5)/365))</f>
        <v/>
      </c>
      <c r="F50" s="50" t="str">
        <f>IF(OR(E49="",'实盘净值数据(iFinD公式)'!$A50="",'实盘净值数据(iFinD公式)'!$B50=""),"",(SUMPRODUCT(实盘持仓配置!$B$5:$X$5,'实盘净值数据(iFinD公式)'!$B49:$X49/'实盘净值数据(iFinD公式)'!$B$5:$X$5,'实盘净值数据(iFinD公式)'!$B50:$X50/'实盘净值数据(iFinD公式)'!$B49:$X49)/SUMPRODUCT(实盘持仓配置!$B$5:$X$5,'实盘净值数据(iFinD公式)'!$B49:$X49/'实盘净值数据(iFinD公式)'!$B$5:$X$5))*(1-实盘持仓配置!$Z$5)^(('实盘净值数据(iFinD公式)'!$A50-'实盘净值数据(iFinD公式)'!$A49)/365)-1)</f>
        <v/>
      </c>
      <c r="G50" s="50" t="str">
        <f>IF(E50="","",E50/MAX(E$5:E50)-1)</f>
        <v/>
      </c>
      <c r="H50" s="112" t="str">
        <f>IF(OR((ROW()-1)&lt;7,'实盘净值数据(iFinD公式)'!$A50="",'实盘净值数据(iFinD公式)'!$B50=""),"",SUMPRODUCT(实盘持仓配置!$B$6:$X$6,'实盘净值数据(iFinD公式)'!$B50:$X50/'实盘净值数据(iFinD公式)'!$B$7:$X$7)*(1-实盘持仓配置!$Z$6)^(('实盘净值数据(iFinD公式)'!$A50-'实盘净值数据(iFinD公式)'!$A$7)/365))</f>
        <v/>
      </c>
      <c r="I50" s="50" t="str">
        <f>IF(OR(H49="",'实盘净值数据(iFinD公式)'!$A50="",'实盘净值数据(iFinD公式)'!$B50=""),"",(SUMPRODUCT(实盘持仓配置!$B$6:$X$6,'实盘净值数据(iFinD公式)'!$B49:$X49/'实盘净值数据(iFinD公式)'!$B$7:$X$7,'实盘净值数据(iFinD公式)'!$B50:$X50/'实盘净值数据(iFinD公式)'!$B49:$X49)/SUMPRODUCT(实盘持仓配置!$B$6:$X$6,'实盘净值数据(iFinD公式)'!$B49:$X49/'实盘净值数据(iFinD公式)'!$B$7:$X$7))*(1-实盘持仓配置!$Z$6)^(('实盘净值数据(iFinD公式)'!$A50-'实盘净值数据(iFinD公式)'!$A49)/365)-1)</f>
        <v/>
      </c>
      <c r="J50" s="50" t="str">
        <f>IF(H50="","",H50/MAX(H$5:H50)-1)</f>
        <v/>
      </c>
      <c r="K50" s="112" t="str">
        <f>IF(OR((ROW()-1)&lt;8,'实盘净值数据(iFinD公式)'!$A50="",'实盘净值数据(iFinD公式)'!$B50=""),"",SUMPRODUCT(实盘持仓配置!$B$7:$X$7,'实盘净值数据(iFinD公式)'!$B50:$X50/'实盘净值数据(iFinD公式)'!$B$8:$X$8)*(1-实盘持仓配置!$Z$7)^(('实盘净值数据(iFinD公式)'!$A50-'实盘净值数据(iFinD公式)'!$A$8)/365))</f>
        <v/>
      </c>
      <c r="L50" s="50" t="str">
        <f>IF(OR(K49="",'实盘净值数据(iFinD公式)'!$A50="",'实盘净值数据(iFinD公式)'!$B50=""),"",(SUMPRODUCT(实盘持仓配置!$B$7:$X$7,'实盘净值数据(iFinD公式)'!$B49:$X49/'实盘净值数据(iFinD公式)'!$B$8:$X$8,'实盘净值数据(iFinD公式)'!$B50:$X50/'实盘净值数据(iFinD公式)'!$B49:$X49)/SUMPRODUCT(实盘持仓配置!$B$7:$X$7,'实盘净值数据(iFinD公式)'!$B49:$X49/'实盘净值数据(iFinD公式)'!$B$8:$X$8))*(1-实盘持仓配置!$Z$7)^(('实盘净值数据(iFinD公式)'!$A50-'实盘净值数据(iFinD公式)'!$A49)/365)-1)</f>
        <v/>
      </c>
      <c r="M50" s="50" t="str">
        <f>IF(K50="","",K50/MAX(K$5:K50)-1)</f>
        <v/>
      </c>
      <c r="N50" s="112" t="str">
        <f>IF(OR((ROW()-1)&lt;5,'实盘净值数据(iFinD公式)'!$A50="",'实盘净值数据(iFinD公式)'!$B50=""),"",SUMPRODUCT(实盘持仓配置!$B$8:$X$8,'实盘净值数据(iFinD公式)'!$B50:$X50/'实盘净值数据(iFinD公式)'!$B$5:$X$5)*(1-实盘持仓配置!$Z$8)^(('实盘净值数据(iFinD公式)'!$A50-'实盘净值数据(iFinD公式)'!$A$5)/365))</f>
        <v/>
      </c>
      <c r="O50" s="50" t="str">
        <f>IF(OR(N49="",'实盘净值数据(iFinD公式)'!$A50="",'实盘净值数据(iFinD公式)'!$B50=""),"",(SUMPRODUCT(实盘持仓配置!$B$8:$X$8,'实盘净值数据(iFinD公式)'!$B49:$X49/'实盘净值数据(iFinD公式)'!$B$5:$X$5,'实盘净值数据(iFinD公式)'!$B50:$X50/'实盘净值数据(iFinD公式)'!$B49:$X49)/SUMPRODUCT(实盘持仓配置!$B$8:$X$8,'实盘净值数据(iFinD公式)'!$B49:$X49/'实盘净值数据(iFinD公式)'!$B$5:$X$5))*(1-实盘持仓配置!$Z$8)^(('实盘净值数据(iFinD公式)'!$A50-'实盘净值数据(iFinD公式)'!$A49)/365)-1)</f>
        <v/>
      </c>
      <c r="P50" s="50" t="str">
        <f>IF(N50="","",N50/MAX(N$5:N50)-1)</f>
        <v/>
      </c>
      <c r="Q50" s="112" t="str">
        <f>IF(OR((ROW()-1)&lt;8,'实盘净值数据(iFinD公式)'!$A50="",'实盘净值数据(iFinD公式)'!$B50=""),"",SUMPRODUCT(实盘持仓配置!$B$9:$X$9,'实盘净值数据(iFinD公式)'!$B50:$X50/'实盘净值数据(iFinD公式)'!$B$8:$X$8)*(1-实盘持仓配置!$Z$9)^(('实盘净值数据(iFinD公式)'!$A50-'实盘净值数据(iFinD公式)'!$A$8)/365))</f>
        <v/>
      </c>
      <c r="R50" s="50" t="str">
        <f>IF(OR(Q49="",'实盘净值数据(iFinD公式)'!$A50="",'实盘净值数据(iFinD公式)'!$B50=""),"",(SUMPRODUCT(实盘持仓配置!$B$9:$X$9,'实盘净值数据(iFinD公式)'!$B49:$X49/'实盘净值数据(iFinD公式)'!$B$8:$X$8,'实盘净值数据(iFinD公式)'!$B50:$X50/'实盘净值数据(iFinD公式)'!$B49:$X49)/SUMPRODUCT(实盘持仓配置!$B$9:$X$9,'实盘净值数据(iFinD公式)'!$B49:$X49/'实盘净值数据(iFinD公式)'!$B$8:$X$8))*(1-实盘持仓配置!$Z$9)^(('实盘净值数据(iFinD公式)'!$A50-'实盘净值数据(iFinD公式)'!$A49)/365)-1)</f>
        <v/>
      </c>
      <c r="S50" s="50" t="str">
        <f>IF(Q50="","",Q50/MAX(Q$5:Q50)-1)</f>
        <v/>
      </c>
    </row>
    <row r="51" spans="1:19">
      <c r="A51" s="113" t="str">
        <f>IF('实盘净值数据(iFinD公式)'!A51="","",'实盘净值数据(iFinD公式)'!A51)</f>
        <v/>
      </c>
      <c r="B51" s="112" t="str">
        <f>IF(OR((ROW()-1)&lt;6,'实盘净值数据(iFinD公式)'!$A51="",'实盘净值数据(iFinD公式)'!$B51=""),"",SUMPRODUCT(实盘持仓配置!$B$4:$X$4,'实盘净值数据(iFinD公式)'!$B51:$X51/'实盘净值数据(iFinD公式)'!$B$6:$X$6)*(1-实盘持仓配置!$Z$4)^(('实盘净值数据(iFinD公式)'!$A51-'实盘净值数据(iFinD公式)'!$A$6)/365))</f>
        <v/>
      </c>
      <c r="C51" s="50" t="str">
        <f>IF(OR(B50="",'实盘净值数据(iFinD公式)'!$A51="",'实盘净值数据(iFinD公式)'!$B51=""),"",(SUMPRODUCT(实盘持仓配置!$B$4:$X$4,'实盘净值数据(iFinD公式)'!$B50:$X50/'实盘净值数据(iFinD公式)'!$B$6:$X$6,'实盘净值数据(iFinD公式)'!$B51:$X51/'实盘净值数据(iFinD公式)'!$B50:$X50)/SUMPRODUCT(实盘持仓配置!$B$4:$X$4,'实盘净值数据(iFinD公式)'!$B50:$X50/'实盘净值数据(iFinD公式)'!$B$6:$X$6))*(1-实盘持仓配置!$Z$4)^(('实盘净值数据(iFinD公式)'!$A51-'实盘净值数据(iFinD公式)'!$A50)/365)-1)</f>
        <v/>
      </c>
      <c r="D51" s="50" t="str">
        <f>IF(B51="","",B51/MAX(B$5:B51)-1)</f>
        <v/>
      </c>
      <c r="E51" s="112" t="str">
        <f>IF(OR((ROW()-1)&lt;5,'实盘净值数据(iFinD公式)'!$A51="",'实盘净值数据(iFinD公式)'!$B51=""),"",SUMPRODUCT(实盘持仓配置!$B$5:$X$5,'实盘净值数据(iFinD公式)'!$B51:$X51/'实盘净值数据(iFinD公式)'!$B$5:$X$5)*(1-实盘持仓配置!$Z$5)^(('实盘净值数据(iFinD公式)'!$A51-'实盘净值数据(iFinD公式)'!$A$5)/365))</f>
        <v/>
      </c>
      <c r="F51" s="50" t="str">
        <f>IF(OR(E50="",'实盘净值数据(iFinD公式)'!$A51="",'实盘净值数据(iFinD公式)'!$B51=""),"",(SUMPRODUCT(实盘持仓配置!$B$5:$X$5,'实盘净值数据(iFinD公式)'!$B50:$X50/'实盘净值数据(iFinD公式)'!$B$5:$X$5,'实盘净值数据(iFinD公式)'!$B51:$X51/'实盘净值数据(iFinD公式)'!$B50:$X50)/SUMPRODUCT(实盘持仓配置!$B$5:$X$5,'实盘净值数据(iFinD公式)'!$B50:$X50/'实盘净值数据(iFinD公式)'!$B$5:$X$5))*(1-实盘持仓配置!$Z$5)^(('实盘净值数据(iFinD公式)'!$A51-'实盘净值数据(iFinD公式)'!$A50)/365)-1)</f>
        <v/>
      </c>
      <c r="G51" s="50" t="str">
        <f>IF(E51="","",E51/MAX(E$5:E51)-1)</f>
        <v/>
      </c>
      <c r="H51" s="112" t="str">
        <f>IF(OR((ROW()-1)&lt;7,'实盘净值数据(iFinD公式)'!$A51="",'实盘净值数据(iFinD公式)'!$B51=""),"",SUMPRODUCT(实盘持仓配置!$B$6:$X$6,'实盘净值数据(iFinD公式)'!$B51:$X51/'实盘净值数据(iFinD公式)'!$B$7:$X$7)*(1-实盘持仓配置!$Z$6)^(('实盘净值数据(iFinD公式)'!$A51-'实盘净值数据(iFinD公式)'!$A$7)/365))</f>
        <v/>
      </c>
      <c r="I51" s="50" t="str">
        <f>IF(OR(H50="",'实盘净值数据(iFinD公式)'!$A51="",'实盘净值数据(iFinD公式)'!$B51=""),"",(SUMPRODUCT(实盘持仓配置!$B$6:$X$6,'实盘净值数据(iFinD公式)'!$B50:$X50/'实盘净值数据(iFinD公式)'!$B$7:$X$7,'实盘净值数据(iFinD公式)'!$B51:$X51/'实盘净值数据(iFinD公式)'!$B50:$X50)/SUMPRODUCT(实盘持仓配置!$B$6:$X$6,'实盘净值数据(iFinD公式)'!$B50:$X50/'实盘净值数据(iFinD公式)'!$B$7:$X$7))*(1-实盘持仓配置!$Z$6)^(('实盘净值数据(iFinD公式)'!$A51-'实盘净值数据(iFinD公式)'!$A50)/365)-1)</f>
        <v/>
      </c>
      <c r="J51" s="50" t="str">
        <f>IF(H51="","",H51/MAX(H$5:H51)-1)</f>
        <v/>
      </c>
      <c r="K51" s="112" t="str">
        <f>IF(OR((ROW()-1)&lt;8,'实盘净值数据(iFinD公式)'!$A51="",'实盘净值数据(iFinD公式)'!$B51=""),"",SUMPRODUCT(实盘持仓配置!$B$7:$X$7,'实盘净值数据(iFinD公式)'!$B51:$X51/'实盘净值数据(iFinD公式)'!$B$8:$X$8)*(1-实盘持仓配置!$Z$7)^(('实盘净值数据(iFinD公式)'!$A51-'实盘净值数据(iFinD公式)'!$A$8)/365))</f>
        <v/>
      </c>
      <c r="L51" s="50" t="str">
        <f>IF(OR(K50="",'实盘净值数据(iFinD公式)'!$A51="",'实盘净值数据(iFinD公式)'!$B51=""),"",(SUMPRODUCT(实盘持仓配置!$B$7:$X$7,'实盘净值数据(iFinD公式)'!$B50:$X50/'实盘净值数据(iFinD公式)'!$B$8:$X$8,'实盘净值数据(iFinD公式)'!$B51:$X51/'实盘净值数据(iFinD公式)'!$B50:$X50)/SUMPRODUCT(实盘持仓配置!$B$7:$X$7,'实盘净值数据(iFinD公式)'!$B50:$X50/'实盘净值数据(iFinD公式)'!$B$8:$X$8))*(1-实盘持仓配置!$Z$7)^(('实盘净值数据(iFinD公式)'!$A51-'实盘净值数据(iFinD公式)'!$A50)/365)-1)</f>
        <v/>
      </c>
      <c r="M51" s="50" t="str">
        <f>IF(K51="","",K51/MAX(K$5:K51)-1)</f>
        <v/>
      </c>
      <c r="N51" s="112" t="str">
        <f>IF(OR((ROW()-1)&lt;5,'实盘净值数据(iFinD公式)'!$A51="",'实盘净值数据(iFinD公式)'!$B51=""),"",SUMPRODUCT(实盘持仓配置!$B$8:$X$8,'实盘净值数据(iFinD公式)'!$B51:$X51/'实盘净值数据(iFinD公式)'!$B$5:$X$5)*(1-实盘持仓配置!$Z$8)^(('实盘净值数据(iFinD公式)'!$A51-'实盘净值数据(iFinD公式)'!$A$5)/365))</f>
        <v/>
      </c>
      <c r="O51" s="50" t="str">
        <f>IF(OR(N50="",'实盘净值数据(iFinD公式)'!$A51="",'实盘净值数据(iFinD公式)'!$B51=""),"",(SUMPRODUCT(实盘持仓配置!$B$8:$X$8,'实盘净值数据(iFinD公式)'!$B50:$X50/'实盘净值数据(iFinD公式)'!$B$5:$X$5,'实盘净值数据(iFinD公式)'!$B51:$X51/'实盘净值数据(iFinD公式)'!$B50:$X50)/SUMPRODUCT(实盘持仓配置!$B$8:$X$8,'实盘净值数据(iFinD公式)'!$B50:$X50/'实盘净值数据(iFinD公式)'!$B$5:$X$5))*(1-实盘持仓配置!$Z$8)^(('实盘净值数据(iFinD公式)'!$A51-'实盘净值数据(iFinD公式)'!$A50)/365)-1)</f>
        <v/>
      </c>
      <c r="P51" s="50" t="str">
        <f>IF(N51="","",N51/MAX(N$5:N51)-1)</f>
        <v/>
      </c>
      <c r="Q51" s="112" t="str">
        <f>IF(OR((ROW()-1)&lt;8,'实盘净值数据(iFinD公式)'!$A51="",'实盘净值数据(iFinD公式)'!$B51=""),"",SUMPRODUCT(实盘持仓配置!$B$9:$X$9,'实盘净值数据(iFinD公式)'!$B51:$X51/'实盘净值数据(iFinD公式)'!$B$8:$X$8)*(1-实盘持仓配置!$Z$9)^(('实盘净值数据(iFinD公式)'!$A51-'实盘净值数据(iFinD公式)'!$A$8)/365))</f>
        <v/>
      </c>
      <c r="R51" s="50" t="str">
        <f>IF(OR(Q50="",'实盘净值数据(iFinD公式)'!$A51="",'实盘净值数据(iFinD公式)'!$B51=""),"",(SUMPRODUCT(实盘持仓配置!$B$9:$X$9,'实盘净值数据(iFinD公式)'!$B50:$X50/'实盘净值数据(iFinD公式)'!$B$8:$X$8,'实盘净值数据(iFinD公式)'!$B51:$X51/'实盘净值数据(iFinD公式)'!$B50:$X50)/SUMPRODUCT(实盘持仓配置!$B$9:$X$9,'实盘净值数据(iFinD公式)'!$B50:$X50/'实盘净值数据(iFinD公式)'!$B$8:$X$8))*(1-实盘持仓配置!$Z$9)^(('实盘净值数据(iFinD公式)'!$A51-'实盘净值数据(iFinD公式)'!$A50)/365)-1)</f>
        <v/>
      </c>
      <c r="S51" s="50" t="str">
        <f>IF(Q51="","",Q51/MAX(Q$5:Q51)-1)</f>
        <v/>
      </c>
    </row>
    <row r="52" spans="1:19">
      <c r="A52" s="113" t="str">
        <f>IF('实盘净值数据(iFinD公式)'!A52="","",'实盘净值数据(iFinD公式)'!A52)</f>
        <v/>
      </c>
      <c r="B52" s="112" t="str">
        <f>IF(OR((ROW()-1)&lt;6,'实盘净值数据(iFinD公式)'!$A52="",'实盘净值数据(iFinD公式)'!$B52=""),"",SUMPRODUCT(实盘持仓配置!$B$4:$X$4,'实盘净值数据(iFinD公式)'!$B52:$X52/'实盘净值数据(iFinD公式)'!$B$6:$X$6)*(1-实盘持仓配置!$Z$4)^(('实盘净值数据(iFinD公式)'!$A52-'实盘净值数据(iFinD公式)'!$A$6)/365))</f>
        <v/>
      </c>
      <c r="C52" s="50" t="str">
        <f>IF(OR(B51="",'实盘净值数据(iFinD公式)'!$A52="",'实盘净值数据(iFinD公式)'!$B52=""),"",(SUMPRODUCT(实盘持仓配置!$B$4:$X$4,'实盘净值数据(iFinD公式)'!$B51:$X51/'实盘净值数据(iFinD公式)'!$B$6:$X$6,'实盘净值数据(iFinD公式)'!$B52:$X52/'实盘净值数据(iFinD公式)'!$B51:$X51)/SUMPRODUCT(实盘持仓配置!$B$4:$X$4,'实盘净值数据(iFinD公式)'!$B51:$X51/'实盘净值数据(iFinD公式)'!$B$6:$X$6))*(1-实盘持仓配置!$Z$4)^(('实盘净值数据(iFinD公式)'!$A52-'实盘净值数据(iFinD公式)'!$A51)/365)-1)</f>
        <v/>
      </c>
      <c r="D52" s="50" t="str">
        <f>IF(B52="","",B52/MAX(B$5:B52)-1)</f>
        <v/>
      </c>
      <c r="E52" s="112" t="str">
        <f>IF(OR((ROW()-1)&lt;5,'实盘净值数据(iFinD公式)'!$A52="",'实盘净值数据(iFinD公式)'!$B52=""),"",SUMPRODUCT(实盘持仓配置!$B$5:$X$5,'实盘净值数据(iFinD公式)'!$B52:$X52/'实盘净值数据(iFinD公式)'!$B$5:$X$5)*(1-实盘持仓配置!$Z$5)^(('实盘净值数据(iFinD公式)'!$A52-'实盘净值数据(iFinD公式)'!$A$5)/365))</f>
        <v/>
      </c>
      <c r="F52" s="50" t="str">
        <f>IF(OR(E51="",'实盘净值数据(iFinD公式)'!$A52="",'实盘净值数据(iFinD公式)'!$B52=""),"",(SUMPRODUCT(实盘持仓配置!$B$5:$X$5,'实盘净值数据(iFinD公式)'!$B51:$X51/'实盘净值数据(iFinD公式)'!$B$5:$X$5,'实盘净值数据(iFinD公式)'!$B52:$X52/'实盘净值数据(iFinD公式)'!$B51:$X51)/SUMPRODUCT(实盘持仓配置!$B$5:$X$5,'实盘净值数据(iFinD公式)'!$B51:$X51/'实盘净值数据(iFinD公式)'!$B$5:$X$5))*(1-实盘持仓配置!$Z$5)^(('实盘净值数据(iFinD公式)'!$A52-'实盘净值数据(iFinD公式)'!$A51)/365)-1)</f>
        <v/>
      </c>
      <c r="G52" s="50" t="str">
        <f>IF(E52="","",E52/MAX(E$5:E52)-1)</f>
        <v/>
      </c>
      <c r="H52" s="112" t="str">
        <f>IF(OR((ROW()-1)&lt;7,'实盘净值数据(iFinD公式)'!$A52="",'实盘净值数据(iFinD公式)'!$B52=""),"",SUMPRODUCT(实盘持仓配置!$B$6:$X$6,'实盘净值数据(iFinD公式)'!$B52:$X52/'实盘净值数据(iFinD公式)'!$B$7:$X$7)*(1-实盘持仓配置!$Z$6)^(('实盘净值数据(iFinD公式)'!$A52-'实盘净值数据(iFinD公式)'!$A$7)/365))</f>
        <v/>
      </c>
      <c r="I52" s="50" t="str">
        <f>IF(OR(H51="",'实盘净值数据(iFinD公式)'!$A52="",'实盘净值数据(iFinD公式)'!$B52=""),"",(SUMPRODUCT(实盘持仓配置!$B$6:$X$6,'实盘净值数据(iFinD公式)'!$B51:$X51/'实盘净值数据(iFinD公式)'!$B$7:$X$7,'实盘净值数据(iFinD公式)'!$B52:$X52/'实盘净值数据(iFinD公式)'!$B51:$X51)/SUMPRODUCT(实盘持仓配置!$B$6:$X$6,'实盘净值数据(iFinD公式)'!$B51:$X51/'实盘净值数据(iFinD公式)'!$B$7:$X$7))*(1-实盘持仓配置!$Z$6)^(('实盘净值数据(iFinD公式)'!$A52-'实盘净值数据(iFinD公式)'!$A51)/365)-1)</f>
        <v/>
      </c>
      <c r="J52" s="50" t="str">
        <f>IF(H52="","",H52/MAX(H$5:H52)-1)</f>
        <v/>
      </c>
      <c r="K52" s="112" t="str">
        <f>IF(OR((ROW()-1)&lt;8,'实盘净值数据(iFinD公式)'!$A52="",'实盘净值数据(iFinD公式)'!$B52=""),"",SUMPRODUCT(实盘持仓配置!$B$7:$X$7,'实盘净值数据(iFinD公式)'!$B52:$X52/'实盘净值数据(iFinD公式)'!$B$8:$X$8)*(1-实盘持仓配置!$Z$7)^(('实盘净值数据(iFinD公式)'!$A52-'实盘净值数据(iFinD公式)'!$A$8)/365))</f>
        <v/>
      </c>
      <c r="L52" s="50" t="str">
        <f>IF(OR(K51="",'实盘净值数据(iFinD公式)'!$A52="",'实盘净值数据(iFinD公式)'!$B52=""),"",(SUMPRODUCT(实盘持仓配置!$B$7:$X$7,'实盘净值数据(iFinD公式)'!$B51:$X51/'实盘净值数据(iFinD公式)'!$B$8:$X$8,'实盘净值数据(iFinD公式)'!$B52:$X52/'实盘净值数据(iFinD公式)'!$B51:$X51)/SUMPRODUCT(实盘持仓配置!$B$7:$X$7,'实盘净值数据(iFinD公式)'!$B51:$X51/'实盘净值数据(iFinD公式)'!$B$8:$X$8))*(1-实盘持仓配置!$Z$7)^(('实盘净值数据(iFinD公式)'!$A52-'实盘净值数据(iFinD公式)'!$A51)/365)-1)</f>
        <v/>
      </c>
      <c r="M52" s="50" t="str">
        <f>IF(K52="","",K52/MAX(K$5:K52)-1)</f>
        <v/>
      </c>
      <c r="N52" s="112" t="str">
        <f>IF(OR((ROW()-1)&lt;5,'实盘净值数据(iFinD公式)'!$A52="",'实盘净值数据(iFinD公式)'!$B52=""),"",SUMPRODUCT(实盘持仓配置!$B$8:$X$8,'实盘净值数据(iFinD公式)'!$B52:$X52/'实盘净值数据(iFinD公式)'!$B$5:$X$5)*(1-实盘持仓配置!$Z$8)^(('实盘净值数据(iFinD公式)'!$A52-'实盘净值数据(iFinD公式)'!$A$5)/365))</f>
        <v/>
      </c>
      <c r="O52" s="50" t="str">
        <f>IF(OR(N51="",'实盘净值数据(iFinD公式)'!$A52="",'实盘净值数据(iFinD公式)'!$B52=""),"",(SUMPRODUCT(实盘持仓配置!$B$8:$X$8,'实盘净值数据(iFinD公式)'!$B51:$X51/'实盘净值数据(iFinD公式)'!$B$5:$X$5,'实盘净值数据(iFinD公式)'!$B52:$X52/'实盘净值数据(iFinD公式)'!$B51:$X51)/SUMPRODUCT(实盘持仓配置!$B$8:$X$8,'实盘净值数据(iFinD公式)'!$B51:$X51/'实盘净值数据(iFinD公式)'!$B$5:$X$5))*(1-实盘持仓配置!$Z$8)^(('实盘净值数据(iFinD公式)'!$A52-'实盘净值数据(iFinD公式)'!$A51)/365)-1)</f>
        <v/>
      </c>
      <c r="P52" s="50" t="str">
        <f>IF(N52="","",N52/MAX(N$5:N52)-1)</f>
        <v/>
      </c>
      <c r="Q52" s="112" t="str">
        <f>IF(OR((ROW()-1)&lt;8,'实盘净值数据(iFinD公式)'!$A52="",'实盘净值数据(iFinD公式)'!$B52=""),"",SUMPRODUCT(实盘持仓配置!$B$9:$X$9,'实盘净值数据(iFinD公式)'!$B52:$X52/'实盘净值数据(iFinD公式)'!$B$8:$X$8)*(1-实盘持仓配置!$Z$9)^(('实盘净值数据(iFinD公式)'!$A52-'实盘净值数据(iFinD公式)'!$A$8)/365))</f>
        <v/>
      </c>
      <c r="R52" s="50" t="str">
        <f>IF(OR(Q51="",'实盘净值数据(iFinD公式)'!$A52="",'实盘净值数据(iFinD公式)'!$B52=""),"",(SUMPRODUCT(实盘持仓配置!$B$9:$X$9,'实盘净值数据(iFinD公式)'!$B51:$X51/'实盘净值数据(iFinD公式)'!$B$8:$X$8,'实盘净值数据(iFinD公式)'!$B52:$X52/'实盘净值数据(iFinD公式)'!$B51:$X51)/SUMPRODUCT(实盘持仓配置!$B$9:$X$9,'实盘净值数据(iFinD公式)'!$B51:$X51/'实盘净值数据(iFinD公式)'!$B$8:$X$8))*(1-实盘持仓配置!$Z$9)^(('实盘净值数据(iFinD公式)'!$A52-'实盘净值数据(iFinD公式)'!$A51)/365)-1)</f>
        <v/>
      </c>
      <c r="S52" s="50" t="str">
        <f>IF(Q52="","",Q52/MAX(Q$5:Q52)-1)</f>
        <v/>
      </c>
    </row>
    <row r="53" spans="1:19">
      <c r="A53" s="113" t="str">
        <f>IF('实盘净值数据(iFinD公式)'!A53="","",'实盘净值数据(iFinD公式)'!A53)</f>
        <v/>
      </c>
      <c r="B53" s="112" t="str">
        <f>IF(OR((ROW()-1)&lt;6,'实盘净值数据(iFinD公式)'!$A53="",'实盘净值数据(iFinD公式)'!$B53=""),"",SUMPRODUCT(实盘持仓配置!$B$4:$X$4,'实盘净值数据(iFinD公式)'!$B53:$X53/'实盘净值数据(iFinD公式)'!$B$6:$X$6)*(1-实盘持仓配置!$Z$4)^(('实盘净值数据(iFinD公式)'!$A53-'实盘净值数据(iFinD公式)'!$A$6)/365))</f>
        <v/>
      </c>
      <c r="C53" s="50" t="str">
        <f>IF(OR(B52="",'实盘净值数据(iFinD公式)'!$A53="",'实盘净值数据(iFinD公式)'!$B53=""),"",(SUMPRODUCT(实盘持仓配置!$B$4:$X$4,'实盘净值数据(iFinD公式)'!$B52:$X52/'实盘净值数据(iFinD公式)'!$B$6:$X$6,'实盘净值数据(iFinD公式)'!$B53:$X53/'实盘净值数据(iFinD公式)'!$B52:$X52)/SUMPRODUCT(实盘持仓配置!$B$4:$X$4,'实盘净值数据(iFinD公式)'!$B52:$X52/'实盘净值数据(iFinD公式)'!$B$6:$X$6))*(1-实盘持仓配置!$Z$4)^(('实盘净值数据(iFinD公式)'!$A53-'实盘净值数据(iFinD公式)'!$A52)/365)-1)</f>
        <v/>
      </c>
      <c r="D53" s="50" t="str">
        <f>IF(B53="","",B53/MAX(B$5:B53)-1)</f>
        <v/>
      </c>
      <c r="E53" s="112" t="str">
        <f>IF(OR((ROW()-1)&lt;5,'实盘净值数据(iFinD公式)'!$A53="",'实盘净值数据(iFinD公式)'!$B53=""),"",SUMPRODUCT(实盘持仓配置!$B$5:$X$5,'实盘净值数据(iFinD公式)'!$B53:$X53/'实盘净值数据(iFinD公式)'!$B$5:$X$5)*(1-实盘持仓配置!$Z$5)^(('实盘净值数据(iFinD公式)'!$A53-'实盘净值数据(iFinD公式)'!$A$5)/365))</f>
        <v/>
      </c>
      <c r="F53" s="50" t="str">
        <f>IF(OR(E52="",'实盘净值数据(iFinD公式)'!$A53="",'实盘净值数据(iFinD公式)'!$B53=""),"",(SUMPRODUCT(实盘持仓配置!$B$5:$X$5,'实盘净值数据(iFinD公式)'!$B52:$X52/'实盘净值数据(iFinD公式)'!$B$5:$X$5,'实盘净值数据(iFinD公式)'!$B53:$X53/'实盘净值数据(iFinD公式)'!$B52:$X52)/SUMPRODUCT(实盘持仓配置!$B$5:$X$5,'实盘净值数据(iFinD公式)'!$B52:$X52/'实盘净值数据(iFinD公式)'!$B$5:$X$5))*(1-实盘持仓配置!$Z$5)^(('实盘净值数据(iFinD公式)'!$A53-'实盘净值数据(iFinD公式)'!$A52)/365)-1)</f>
        <v/>
      </c>
      <c r="G53" s="50" t="str">
        <f>IF(E53="","",E53/MAX(E$5:E53)-1)</f>
        <v/>
      </c>
      <c r="H53" s="112" t="str">
        <f>IF(OR((ROW()-1)&lt;7,'实盘净值数据(iFinD公式)'!$A53="",'实盘净值数据(iFinD公式)'!$B53=""),"",SUMPRODUCT(实盘持仓配置!$B$6:$X$6,'实盘净值数据(iFinD公式)'!$B53:$X53/'实盘净值数据(iFinD公式)'!$B$7:$X$7)*(1-实盘持仓配置!$Z$6)^(('实盘净值数据(iFinD公式)'!$A53-'实盘净值数据(iFinD公式)'!$A$7)/365))</f>
        <v/>
      </c>
      <c r="I53" s="50" t="str">
        <f>IF(OR(H52="",'实盘净值数据(iFinD公式)'!$A53="",'实盘净值数据(iFinD公式)'!$B53=""),"",(SUMPRODUCT(实盘持仓配置!$B$6:$X$6,'实盘净值数据(iFinD公式)'!$B52:$X52/'实盘净值数据(iFinD公式)'!$B$7:$X$7,'实盘净值数据(iFinD公式)'!$B53:$X53/'实盘净值数据(iFinD公式)'!$B52:$X52)/SUMPRODUCT(实盘持仓配置!$B$6:$X$6,'实盘净值数据(iFinD公式)'!$B52:$X52/'实盘净值数据(iFinD公式)'!$B$7:$X$7))*(1-实盘持仓配置!$Z$6)^(('实盘净值数据(iFinD公式)'!$A53-'实盘净值数据(iFinD公式)'!$A52)/365)-1)</f>
        <v/>
      </c>
      <c r="J53" s="50" t="str">
        <f>IF(H53="","",H53/MAX(H$5:H53)-1)</f>
        <v/>
      </c>
      <c r="K53" s="112" t="str">
        <f>IF(OR((ROW()-1)&lt;8,'实盘净值数据(iFinD公式)'!$A53="",'实盘净值数据(iFinD公式)'!$B53=""),"",SUMPRODUCT(实盘持仓配置!$B$7:$X$7,'实盘净值数据(iFinD公式)'!$B53:$X53/'实盘净值数据(iFinD公式)'!$B$8:$X$8)*(1-实盘持仓配置!$Z$7)^(('实盘净值数据(iFinD公式)'!$A53-'实盘净值数据(iFinD公式)'!$A$8)/365))</f>
        <v/>
      </c>
      <c r="L53" s="50" t="str">
        <f>IF(OR(K52="",'实盘净值数据(iFinD公式)'!$A53="",'实盘净值数据(iFinD公式)'!$B53=""),"",(SUMPRODUCT(实盘持仓配置!$B$7:$X$7,'实盘净值数据(iFinD公式)'!$B52:$X52/'实盘净值数据(iFinD公式)'!$B$8:$X$8,'实盘净值数据(iFinD公式)'!$B53:$X53/'实盘净值数据(iFinD公式)'!$B52:$X52)/SUMPRODUCT(实盘持仓配置!$B$7:$X$7,'实盘净值数据(iFinD公式)'!$B52:$X52/'实盘净值数据(iFinD公式)'!$B$8:$X$8))*(1-实盘持仓配置!$Z$7)^(('实盘净值数据(iFinD公式)'!$A53-'实盘净值数据(iFinD公式)'!$A52)/365)-1)</f>
        <v/>
      </c>
      <c r="M53" s="50" t="str">
        <f>IF(K53="","",K53/MAX(K$5:K53)-1)</f>
        <v/>
      </c>
      <c r="N53" s="112" t="str">
        <f>IF(OR((ROW()-1)&lt;5,'实盘净值数据(iFinD公式)'!$A53="",'实盘净值数据(iFinD公式)'!$B53=""),"",SUMPRODUCT(实盘持仓配置!$B$8:$X$8,'实盘净值数据(iFinD公式)'!$B53:$X53/'实盘净值数据(iFinD公式)'!$B$5:$X$5)*(1-实盘持仓配置!$Z$8)^(('实盘净值数据(iFinD公式)'!$A53-'实盘净值数据(iFinD公式)'!$A$5)/365))</f>
        <v/>
      </c>
      <c r="O53" s="50" t="str">
        <f>IF(OR(N52="",'实盘净值数据(iFinD公式)'!$A53="",'实盘净值数据(iFinD公式)'!$B53=""),"",(SUMPRODUCT(实盘持仓配置!$B$8:$X$8,'实盘净值数据(iFinD公式)'!$B52:$X52/'实盘净值数据(iFinD公式)'!$B$5:$X$5,'实盘净值数据(iFinD公式)'!$B53:$X53/'实盘净值数据(iFinD公式)'!$B52:$X52)/SUMPRODUCT(实盘持仓配置!$B$8:$X$8,'实盘净值数据(iFinD公式)'!$B52:$X52/'实盘净值数据(iFinD公式)'!$B$5:$X$5))*(1-实盘持仓配置!$Z$8)^(('实盘净值数据(iFinD公式)'!$A53-'实盘净值数据(iFinD公式)'!$A52)/365)-1)</f>
        <v/>
      </c>
      <c r="P53" s="50" t="str">
        <f>IF(N53="","",N53/MAX(N$5:N53)-1)</f>
        <v/>
      </c>
      <c r="Q53" s="112" t="str">
        <f>IF(OR((ROW()-1)&lt;8,'实盘净值数据(iFinD公式)'!$A53="",'实盘净值数据(iFinD公式)'!$B53=""),"",SUMPRODUCT(实盘持仓配置!$B$9:$X$9,'实盘净值数据(iFinD公式)'!$B53:$X53/'实盘净值数据(iFinD公式)'!$B$8:$X$8)*(1-实盘持仓配置!$Z$9)^(('实盘净值数据(iFinD公式)'!$A53-'实盘净值数据(iFinD公式)'!$A$8)/365))</f>
        <v/>
      </c>
      <c r="R53" s="50" t="str">
        <f>IF(OR(Q52="",'实盘净值数据(iFinD公式)'!$A53="",'实盘净值数据(iFinD公式)'!$B53=""),"",(SUMPRODUCT(实盘持仓配置!$B$9:$X$9,'实盘净值数据(iFinD公式)'!$B52:$X52/'实盘净值数据(iFinD公式)'!$B$8:$X$8,'实盘净值数据(iFinD公式)'!$B53:$X53/'实盘净值数据(iFinD公式)'!$B52:$X52)/SUMPRODUCT(实盘持仓配置!$B$9:$X$9,'实盘净值数据(iFinD公式)'!$B52:$X52/'实盘净值数据(iFinD公式)'!$B$8:$X$8))*(1-实盘持仓配置!$Z$9)^(('实盘净值数据(iFinD公式)'!$A53-'实盘净值数据(iFinD公式)'!$A52)/365)-1)</f>
        <v/>
      </c>
      <c r="S53" s="50" t="str">
        <f>IF(Q53="","",Q53/MAX(Q$5:Q53)-1)</f>
        <v/>
      </c>
    </row>
    <row r="54" spans="1:19">
      <c r="A54" s="113" t="str">
        <f>IF('实盘净值数据(iFinD公式)'!A54="","",'实盘净值数据(iFinD公式)'!A54)</f>
        <v/>
      </c>
      <c r="B54" s="112" t="str">
        <f>IF(OR((ROW()-1)&lt;6,'实盘净值数据(iFinD公式)'!$A54="",'实盘净值数据(iFinD公式)'!$B54=""),"",SUMPRODUCT(实盘持仓配置!$B$4:$X$4,'实盘净值数据(iFinD公式)'!$B54:$X54/'实盘净值数据(iFinD公式)'!$B$6:$X$6)*(1-实盘持仓配置!$Z$4)^(('实盘净值数据(iFinD公式)'!$A54-'实盘净值数据(iFinD公式)'!$A$6)/365))</f>
        <v/>
      </c>
      <c r="C54" s="50" t="str">
        <f>IF(OR(B53="",'实盘净值数据(iFinD公式)'!$A54="",'实盘净值数据(iFinD公式)'!$B54=""),"",(SUMPRODUCT(实盘持仓配置!$B$4:$X$4,'实盘净值数据(iFinD公式)'!$B53:$X53/'实盘净值数据(iFinD公式)'!$B$6:$X$6,'实盘净值数据(iFinD公式)'!$B54:$X54/'实盘净值数据(iFinD公式)'!$B53:$X53)/SUMPRODUCT(实盘持仓配置!$B$4:$X$4,'实盘净值数据(iFinD公式)'!$B53:$X53/'实盘净值数据(iFinD公式)'!$B$6:$X$6))*(1-实盘持仓配置!$Z$4)^(('实盘净值数据(iFinD公式)'!$A54-'实盘净值数据(iFinD公式)'!$A53)/365)-1)</f>
        <v/>
      </c>
      <c r="D54" s="50" t="str">
        <f>IF(B54="","",B54/MAX(B$5:B54)-1)</f>
        <v/>
      </c>
      <c r="E54" s="112" t="str">
        <f>IF(OR((ROW()-1)&lt;5,'实盘净值数据(iFinD公式)'!$A54="",'实盘净值数据(iFinD公式)'!$B54=""),"",SUMPRODUCT(实盘持仓配置!$B$5:$X$5,'实盘净值数据(iFinD公式)'!$B54:$X54/'实盘净值数据(iFinD公式)'!$B$5:$X$5)*(1-实盘持仓配置!$Z$5)^(('实盘净值数据(iFinD公式)'!$A54-'实盘净值数据(iFinD公式)'!$A$5)/365))</f>
        <v/>
      </c>
      <c r="F54" s="50" t="str">
        <f>IF(OR(E53="",'实盘净值数据(iFinD公式)'!$A54="",'实盘净值数据(iFinD公式)'!$B54=""),"",(SUMPRODUCT(实盘持仓配置!$B$5:$X$5,'实盘净值数据(iFinD公式)'!$B53:$X53/'实盘净值数据(iFinD公式)'!$B$5:$X$5,'实盘净值数据(iFinD公式)'!$B54:$X54/'实盘净值数据(iFinD公式)'!$B53:$X53)/SUMPRODUCT(实盘持仓配置!$B$5:$X$5,'实盘净值数据(iFinD公式)'!$B53:$X53/'实盘净值数据(iFinD公式)'!$B$5:$X$5))*(1-实盘持仓配置!$Z$5)^(('实盘净值数据(iFinD公式)'!$A54-'实盘净值数据(iFinD公式)'!$A53)/365)-1)</f>
        <v/>
      </c>
      <c r="G54" s="50" t="str">
        <f>IF(E54="","",E54/MAX(E$5:E54)-1)</f>
        <v/>
      </c>
      <c r="H54" s="112" t="str">
        <f>IF(OR((ROW()-1)&lt;7,'实盘净值数据(iFinD公式)'!$A54="",'实盘净值数据(iFinD公式)'!$B54=""),"",SUMPRODUCT(实盘持仓配置!$B$6:$X$6,'实盘净值数据(iFinD公式)'!$B54:$X54/'实盘净值数据(iFinD公式)'!$B$7:$X$7)*(1-实盘持仓配置!$Z$6)^(('实盘净值数据(iFinD公式)'!$A54-'实盘净值数据(iFinD公式)'!$A$7)/365))</f>
        <v/>
      </c>
      <c r="I54" s="50" t="str">
        <f>IF(OR(H53="",'实盘净值数据(iFinD公式)'!$A54="",'实盘净值数据(iFinD公式)'!$B54=""),"",(SUMPRODUCT(实盘持仓配置!$B$6:$X$6,'实盘净值数据(iFinD公式)'!$B53:$X53/'实盘净值数据(iFinD公式)'!$B$7:$X$7,'实盘净值数据(iFinD公式)'!$B54:$X54/'实盘净值数据(iFinD公式)'!$B53:$X53)/SUMPRODUCT(实盘持仓配置!$B$6:$X$6,'实盘净值数据(iFinD公式)'!$B53:$X53/'实盘净值数据(iFinD公式)'!$B$7:$X$7))*(1-实盘持仓配置!$Z$6)^(('实盘净值数据(iFinD公式)'!$A54-'实盘净值数据(iFinD公式)'!$A53)/365)-1)</f>
        <v/>
      </c>
      <c r="J54" s="50" t="str">
        <f>IF(H54="","",H54/MAX(H$5:H54)-1)</f>
        <v/>
      </c>
      <c r="K54" s="112" t="str">
        <f>IF(OR((ROW()-1)&lt;8,'实盘净值数据(iFinD公式)'!$A54="",'实盘净值数据(iFinD公式)'!$B54=""),"",SUMPRODUCT(实盘持仓配置!$B$7:$X$7,'实盘净值数据(iFinD公式)'!$B54:$X54/'实盘净值数据(iFinD公式)'!$B$8:$X$8)*(1-实盘持仓配置!$Z$7)^(('实盘净值数据(iFinD公式)'!$A54-'实盘净值数据(iFinD公式)'!$A$8)/365))</f>
        <v/>
      </c>
      <c r="L54" s="50" t="str">
        <f>IF(OR(K53="",'实盘净值数据(iFinD公式)'!$A54="",'实盘净值数据(iFinD公式)'!$B54=""),"",(SUMPRODUCT(实盘持仓配置!$B$7:$X$7,'实盘净值数据(iFinD公式)'!$B53:$X53/'实盘净值数据(iFinD公式)'!$B$8:$X$8,'实盘净值数据(iFinD公式)'!$B54:$X54/'实盘净值数据(iFinD公式)'!$B53:$X53)/SUMPRODUCT(实盘持仓配置!$B$7:$X$7,'实盘净值数据(iFinD公式)'!$B53:$X53/'实盘净值数据(iFinD公式)'!$B$8:$X$8))*(1-实盘持仓配置!$Z$7)^(('实盘净值数据(iFinD公式)'!$A54-'实盘净值数据(iFinD公式)'!$A53)/365)-1)</f>
        <v/>
      </c>
      <c r="M54" s="50" t="str">
        <f>IF(K54="","",K54/MAX(K$5:K54)-1)</f>
        <v/>
      </c>
      <c r="N54" s="112" t="str">
        <f>IF(OR((ROW()-1)&lt;5,'实盘净值数据(iFinD公式)'!$A54="",'实盘净值数据(iFinD公式)'!$B54=""),"",SUMPRODUCT(实盘持仓配置!$B$8:$X$8,'实盘净值数据(iFinD公式)'!$B54:$X54/'实盘净值数据(iFinD公式)'!$B$5:$X$5)*(1-实盘持仓配置!$Z$8)^(('实盘净值数据(iFinD公式)'!$A54-'实盘净值数据(iFinD公式)'!$A$5)/365))</f>
        <v/>
      </c>
      <c r="O54" s="50" t="str">
        <f>IF(OR(N53="",'实盘净值数据(iFinD公式)'!$A54="",'实盘净值数据(iFinD公式)'!$B54=""),"",(SUMPRODUCT(实盘持仓配置!$B$8:$X$8,'实盘净值数据(iFinD公式)'!$B53:$X53/'实盘净值数据(iFinD公式)'!$B$5:$X$5,'实盘净值数据(iFinD公式)'!$B54:$X54/'实盘净值数据(iFinD公式)'!$B53:$X53)/SUMPRODUCT(实盘持仓配置!$B$8:$X$8,'实盘净值数据(iFinD公式)'!$B53:$X53/'实盘净值数据(iFinD公式)'!$B$5:$X$5))*(1-实盘持仓配置!$Z$8)^(('实盘净值数据(iFinD公式)'!$A54-'实盘净值数据(iFinD公式)'!$A53)/365)-1)</f>
        <v/>
      </c>
      <c r="P54" s="50" t="str">
        <f>IF(N54="","",N54/MAX(N$5:N54)-1)</f>
        <v/>
      </c>
      <c r="Q54" s="112" t="str">
        <f>IF(OR((ROW()-1)&lt;8,'实盘净值数据(iFinD公式)'!$A54="",'实盘净值数据(iFinD公式)'!$B54=""),"",SUMPRODUCT(实盘持仓配置!$B$9:$X$9,'实盘净值数据(iFinD公式)'!$B54:$X54/'实盘净值数据(iFinD公式)'!$B$8:$X$8)*(1-实盘持仓配置!$Z$9)^(('实盘净值数据(iFinD公式)'!$A54-'实盘净值数据(iFinD公式)'!$A$8)/365))</f>
        <v/>
      </c>
      <c r="R54" s="50" t="str">
        <f>IF(OR(Q53="",'实盘净值数据(iFinD公式)'!$A54="",'实盘净值数据(iFinD公式)'!$B54=""),"",(SUMPRODUCT(实盘持仓配置!$B$9:$X$9,'实盘净值数据(iFinD公式)'!$B53:$X53/'实盘净值数据(iFinD公式)'!$B$8:$X$8,'实盘净值数据(iFinD公式)'!$B54:$X54/'实盘净值数据(iFinD公式)'!$B53:$X53)/SUMPRODUCT(实盘持仓配置!$B$9:$X$9,'实盘净值数据(iFinD公式)'!$B53:$X53/'实盘净值数据(iFinD公式)'!$B$8:$X$8))*(1-实盘持仓配置!$Z$9)^(('实盘净值数据(iFinD公式)'!$A54-'实盘净值数据(iFinD公式)'!$A53)/365)-1)</f>
        <v/>
      </c>
      <c r="S54" s="50" t="str">
        <f>IF(Q54="","",Q54/MAX(Q$5:Q54)-1)</f>
        <v/>
      </c>
    </row>
    <row r="55" spans="1:19">
      <c r="A55" s="113" t="str">
        <f>IF('实盘净值数据(iFinD公式)'!A55="","",'实盘净值数据(iFinD公式)'!A55)</f>
        <v/>
      </c>
      <c r="B55" s="112" t="str">
        <f>IF(OR((ROW()-1)&lt;6,'实盘净值数据(iFinD公式)'!$A55="",'实盘净值数据(iFinD公式)'!$B55=""),"",SUMPRODUCT(实盘持仓配置!$B$4:$X$4,'实盘净值数据(iFinD公式)'!$B55:$X55/'实盘净值数据(iFinD公式)'!$B$6:$X$6)*(1-实盘持仓配置!$Z$4)^(('实盘净值数据(iFinD公式)'!$A55-'实盘净值数据(iFinD公式)'!$A$6)/365))</f>
        <v/>
      </c>
      <c r="C55" s="50" t="str">
        <f>IF(OR(B54="",'实盘净值数据(iFinD公式)'!$A55="",'实盘净值数据(iFinD公式)'!$B55=""),"",(SUMPRODUCT(实盘持仓配置!$B$4:$X$4,'实盘净值数据(iFinD公式)'!$B54:$X54/'实盘净值数据(iFinD公式)'!$B$6:$X$6,'实盘净值数据(iFinD公式)'!$B55:$X55/'实盘净值数据(iFinD公式)'!$B54:$X54)/SUMPRODUCT(实盘持仓配置!$B$4:$X$4,'实盘净值数据(iFinD公式)'!$B54:$X54/'实盘净值数据(iFinD公式)'!$B$6:$X$6))*(1-实盘持仓配置!$Z$4)^(('实盘净值数据(iFinD公式)'!$A55-'实盘净值数据(iFinD公式)'!$A54)/365)-1)</f>
        <v/>
      </c>
      <c r="D55" s="50" t="str">
        <f>IF(B55="","",B55/MAX(B$5:B55)-1)</f>
        <v/>
      </c>
      <c r="E55" s="112" t="str">
        <f>IF(OR((ROW()-1)&lt;5,'实盘净值数据(iFinD公式)'!$A55="",'实盘净值数据(iFinD公式)'!$B55=""),"",SUMPRODUCT(实盘持仓配置!$B$5:$X$5,'实盘净值数据(iFinD公式)'!$B55:$X55/'实盘净值数据(iFinD公式)'!$B$5:$X$5)*(1-实盘持仓配置!$Z$5)^(('实盘净值数据(iFinD公式)'!$A55-'实盘净值数据(iFinD公式)'!$A$5)/365))</f>
        <v/>
      </c>
      <c r="F55" s="50" t="str">
        <f>IF(OR(E54="",'实盘净值数据(iFinD公式)'!$A55="",'实盘净值数据(iFinD公式)'!$B55=""),"",(SUMPRODUCT(实盘持仓配置!$B$5:$X$5,'实盘净值数据(iFinD公式)'!$B54:$X54/'实盘净值数据(iFinD公式)'!$B$5:$X$5,'实盘净值数据(iFinD公式)'!$B55:$X55/'实盘净值数据(iFinD公式)'!$B54:$X54)/SUMPRODUCT(实盘持仓配置!$B$5:$X$5,'实盘净值数据(iFinD公式)'!$B54:$X54/'实盘净值数据(iFinD公式)'!$B$5:$X$5))*(1-实盘持仓配置!$Z$5)^(('实盘净值数据(iFinD公式)'!$A55-'实盘净值数据(iFinD公式)'!$A54)/365)-1)</f>
        <v/>
      </c>
      <c r="G55" s="50" t="str">
        <f>IF(E55="","",E55/MAX(E$5:E55)-1)</f>
        <v/>
      </c>
      <c r="H55" s="112" t="str">
        <f>IF(OR((ROW()-1)&lt;7,'实盘净值数据(iFinD公式)'!$A55="",'实盘净值数据(iFinD公式)'!$B55=""),"",SUMPRODUCT(实盘持仓配置!$B$6:$X$6,'实盘净值数据(iFinD公式)'!$B55:$X55/'实盘净值数据(iFinD公式)'!$B$7:$X$7)*(1-实盘持仓配置!$Z$6)^(('实盘净值数据(iFinD公式)'!$A55-'实盘净值数据(iFinD公式)'!$A$7)/365))</f>
        <v/>
      </c>
      <c r="I55" s="50" t="str">
        <f>IF(OR(H54="",'实盘净值数据(iFinD公式)'!$A55="",'实盘净值数据(iFinD公式)'!$B55=""),"",(SUMPRODUCT(实盘持仓配置!$B$6:$X$6,'实盘净值数据(iFinD公式)'!$B54:$X54/'实盘净值数据(iFinD公式)'!$B$7:$X$7,'实盘净值数据(iFinD公式)'!$B55:$X55/'实盘净值数据(iFinD公式)'!$B54:$X54)/SUMPRODUCT(实盘持仓配置!$B$6:$X$6,'实盘净值数据(iFinD公式)'!$B54:$X54/'实盘净值数据(iFinD公式)'!$B$7:$X$7))*(1-实盘持仓配置!$Z$6)^(('实盘净值数据(iFinD公式)'!$A55-'实盘净值数据(iFinD公式)'!$A54)/365)-1)</f>
        <v/>
      </c>
      <c r="J55" s="50" t="str">
        <f>IF(H55="","",H55/MAX(H$5:H55)-1)</f>
        <v/>
      </c>
      <c r="K55" s="112" t="str">
        <f>IF(OR((ROW()-1)&lt;8,'实盘净值数据(iFinD公式)'!$A55="",'实盘净值数据(iFinD公式)'!$B55=""),"",SUMPRODUCT(实盘持仓配置!$B$7:$X$7,'实盘净值数据(iFinD公式)'!$B55:$X55/'实盘净值数据(iFinD公式)'!$B$8:$X$8)*(1-实盘持仓配置!$Z$7)^(('实盘净值数据(iFinD公式)'!$A55-'实盘净值数据(iFinD公式)'!$A$8)/365))</f>
        <v/>
      </c>
      <c r="L55" s="50" t="str">
        <f>IF(OR(K54="",'实盘净值数据(iFinD公式)'!$A55="",'实盘净值数据(iFinD公式)'!$B55=""),"",(SUMPRODUCT(实盘持仓配置!$B$7:$X$7,'实盘净值数据(iFinD公式)'!$B54:$X54/'实盘净值数据(iFinD公式)'!$B$8:$X$8,'实盘净值数据(iFinD公式)'!$B55:$X55/'实盘净值数据(iFinD公式)'!$B54:$X54)/SUMPRODUCT(实盘持仓配置!$B$7:$X$7,'实盘净值数据(iFinD公式)'!$B54:$X54/'实盘净值数据(iFinD公式)'!$B$8:$X$8))*(1-实盘持仓配置!$Z$7)^(('实盘净值数据(iFinD公式)'!$A55-'实盘净值数据(iFinD公式)'!$A54)/365)-1)</f>
        <v/>
      </c>
      <c r="M55" s="50" t="str">
        <f>IF(K55="","",K55/MAX(K$5:K55)-1)</f>
        <v/>
      </c>
      <c r="N55" s="112" t="str">
        <f>IF(OR((ROW()-1)&lt;5,'实盘净值数据(iFinD公式)'!$A55="",'实盘净值数据(iFinD公式)'!$B55=""),"",SUMPRODUCT(实盘持仓配置!$B$8:$X$8,'实盘净值数据(iFinD公式)'!$B55:$X55/'实盘净值数据(iFinD公式)'!$B$5:$X$5)*(1-实盘持仓配置!$Z$8)^(('实盘净值数据(iFinD公式)'!$A55-'实盘净值数据(iFinD公式)'!$A$5)/365))</f>
        <v/>
      </c>
      <c r="O55" s="50" t="str">
        <f>IF(OR(N54="",'实盘净值数据(iFinD公式)'!$A55="",'实盘净值数据(iFinD公式)'!$B55=""),"",(SUMPRODUCT(实盘持仓配置!$B$8:$X$8,'实盘净值数据(iFinD公式)'!$B54:$X54/'实盘净值数据(iFinD公式)'!$B$5:$X$5,'实盘净值数据(iFinD公式)'!$B55:$X55/'实盘净值数据(iFinD公式)'!$B54:$X54)/SUMPRODUCT(实盘持仓配置!$B$8:$X$8,'实盘净值数据(iFinD公式)'!$B54:$X54/'实盘净值数据(iFinD公式)'!$B$5:$X$5))*(1-实盘持仓配置!$Z$8)^(('实盘净值数据(iFinD公式)'!$A55-'实盘净值数据(iFinD公式)'!$A54)/365)-1)</f>
        <v/>
      </c>
      <c r="P55" s="50" t="str">
        <f>IF(N55="","",N55/MAX(N$5:N55)-1)</f>
        <v/>
      </c>
      <c r="Q55" s="112" t="str">
        <f>IF(OR((ROW()-1)&lt;8,'实盘净值数据(iFinD公式)'!$A55="",'实盘净值数据(iFinD公式)'!$B55=""),"",SUMPRODUCT(实盘持仓配置!$B$9:$X$9,'实盘净值数据(iFinD公式)'!$B55:$X55/'实盘净值数据(iFinD公式)'!$B$8:$X$8)*(1-实盘持仓配置!$Z$9)^(('实盘净值数据(iFinD公式)'!$A55-'实盘净值数据(iFinD公式)'!$A$8)/365))</f>
        <v/>
      </c>
      <c r="R55" s="50" t="str">
        <f>IF(OR(Q54="",'实盘净值数据(iFinD公式)'!$A55="",'实盘净值数据(iFinD公式)'!$B55=""),"",(SUMPRODUCT(实盘持仓配置!$B$9:$X$9,'实盘净值数据(iFinD公式)'!$B54:$X54/'实盘净值数据(iFinD公式)'!$B$8:$X$8,'实盘净值数据(iFinD公式)'!$B55:$X55/'实盘净值数据(iFinD公式)'!$B54:$X54)/SUMPRODUCT(实盘持仓配置!$B$9:$X$9,'实盘净值数据(iFinD公式)'!$B54:$X54/'实盘净值数据(iFinD公式)'!$B$8:$X$8))*(1-实盘持仓配置!$Z$9)^(('实盘净值数据(iFinD公式)'!$A55-'实盘净值数据(iFinD公式)'!$A54)/365)-1)</f>
        <v/>
      </c>
      <c r="S55" s="50" t="str">
        <f>IF(Q55="","",Q55/MAX(Q$5:Q55)-1)</f>
        <v/>
      </c>
    </row>
    <row r="56" spans="1:19">
      <c r="A56" s="113" t="str">
        <f>IF('实盘净值数据(iFinD公式)'!A56="","",'实盘净值数据(iFinD公式)'!A56)</f>
        <v/>
      </c>
      <c r="B56" s="112" t="str">
        <f>IF(OR((ROW()-1)&lt;6,'实盘净值数据(iFinD公式)'!$A56="",'实盘净值数据(iFinD公式)'!$B56=""),"",SUMPRODUCT(实盘持仓配置!$B$4:$X$4,'实盘净值数据(iFinD公式)'!$B56:$X56/'实盘净值数据(iFinD公式)'!$B$6:$X$6)*(1-实盘持仓配置!$Z$4)^(('实盘净值数据(iFinD公式)'!$A56-'实盘净值数据(iFinD公式)'!$A$6)/365))</f>
        <v/>
      </c>
      <c r="C56" s="50" t="str">
        <f>IF(OR(B55="",'实盘净值数据(iFinD公式)'!$A56="",'实盘净值数据(iFinD公式)'!$B56=""),"",(SUMPRODUCT(实盘持仓配置!$B$4:$X$4,'实盘净值数据(iFinD公式)'!$B55:$X55/'实盘净值数据(iFinD公式)'!$B$6:$X$6,'实盘净值数据(iFinD公式)'!$B56:$X56/'实盘净值数据(iFinD公式)'!$B55:$X55)/SUMPRODUCT(实盘持仓配置!$B$4:$X$4,'实盘净值数据(iFinD公式)'!$B55:$X55/'实盘净值数据(iFinD公式)'!$B$6:$X$6))*(1-实盘持仓配置!$Z$4)^(('实盘净值数据(iFinD公式)'!$A56-'实盘净值数据(iFinD公式)'!$A55)/365)-1)</f>
        <v/>
      </c>
      <c r="D56" s="50" t="str">
        <f>IF(B56="","",B56/MAX(B$5:B56)-1)</f>
        <v/>
      </c>
      <c r="E56" s="112" t="str">
        <f>IF(OR((ROW()-1)&lt;5,'实盘净值数据(iFinD公式)'!$A56="",'实盘净值数据(iFinD公式)'!$B56=""),"",SUMPRODUCT(实盘持仓配置!$B$5:$X$5,'实盘净值数据(iFinD公式)'!$B56:$X56/'实盘净值数据(iFinD公式)'!$B$5:$X$5)*(1-实盘持仓配置!$Z$5)^(('实盘净值数据(iFinD公式)'!$A56-'实盘净值数据(iFinD公式)'!$A$5)/365))</f>
        <v/>
      </c>
      <c r="F56" s="50" t="str">
        <f>IF(OR(E55="",'实盘净值数据(iFinD公式)'!$A56="",'实盘净值数据(iFinD公式)'!$B56=""),"",(SUMPRODUCT(实盘持仓配置!$B$5:$X$5,'实盘净值数据(iFinD公式)'!$B55:$X55/'实盘净值数据(iFinD公式)'!$B$5:$X$5,'实盘净值数据(iFinD公式)'!$B56:$X56/'实盘净值数据(iFinD公式)'!$B55:$X55)/SUMPRODUCT(实盘持仓配置!$B$5:$X$5,'实盘净值数据(iFinD公式)'!$B55:$X55/'实盘净值数据(iFinD公式)'!$B$5:$X$5))*(1-实盘持仓配置!$Z$5)^(('实盘净值数据(iFinD公式)'!$A56-'实盘净值数据(iFinD公式)'!$A55)/365)-1)</f>
        <v/>
      </c>
      <c r="G56" s="50" t="str">
        <f>IF(E56="","",E56/MAX(E$5:E56)-1)</f>
        <v/>
      </c>
      <c r="H56" s="112" t="str">
        <f>IF(OR((ROW()-1)&lt;7,'实盘净值数据(iFinD公式)'!$A56="",'实盘净值数据(iFinD公式)'!$B56=""),"",SUMPRODUCT(实盘持仓配置!$B$6:$X$6,'实盘净值数据(iFinD公式)'!$B56:$X56/'实盘净值数据(iFinD公式)'!$B$7:$X$7)*(1-实盘持仓配置!$Z$6)^(('实盘净值数据(iFinD公式)'!$A56-'实盘净值数据(iFinD公式)'!$A$7)/365))</f>
        <v/>
      </c>
      <c r="I56" s="50" t="str">
        <f>IF(OR(H55="",'实盘净值数据(iFinD公式)'!$A56="",'实盘净值数据(iFinD公式)'!$B56=""),"",(SUMPRODUCT(实盘持仓配置!$B$6:$X$6,'实盘净值数据(iFinD公式)'!$B55:$X55/'实盘净值数据(iFinD公式)'!$B$7:$X$7,'实盘净值数据(iFinD公式)'!$B56:$X56/'实盘净值数据(iFinD公式)'!$B55:$X55)/SUMPRODUCT(实盘持仓配置!$B$6:$X$6,'实盘净值数据(iFinD公式)'!$B55:$X55/'实盘净值数据(iFinD公式)'!$B$7:$X$7))*(1-实盘持仓配置!$Z$6)^(('实盘净值数据(iFinD公式)'!$A56-'实盘净值数据(iFinD公式)'!$A55)/365)-1)</f>
        <v/>
      </c>
      <c r="J56" s="50" t="str">
        <f>IF(H56="","",H56/MAX(H$5:H56)-1)</f>
        <v/>
      </c>
      <c r="K56" s="112" t="str">
        <f>IF(OR((ROW()-1)&lt;8,'实盘净值数据(iFinD公式)'!$A56="",'实盘净值数据(iFinD公式)'!$B56=""),"",SUMPRODUCT(实盘持仓配置!$B$7:$X$7,'实盘净值数据(iFinD公式)'!$B56:$X56/'实盘净值数据(iFinD公式)'!$B$8:$X$8)*(1-实盘持仓配置!$Z$7)^(('实盘净值数据(iFinD公式)'!$A56-'实盘净值数据(iFinD公式)'!$A$8)/365))</f>
        <v/>
      </c>
      <c r="L56" s="50" t="str">
        <f>IF(OR(K55="",'实盘净值数据(iFinD公式)'!$A56="",'实盘净值数据(iFinD公式)'!$B56=""),"",(SUMPRODUCT(实盘持仓配置!$B$7:$X$7,'实盘净值数据(iFinD公式)'!$B55:$X55/'实盘净值数据(iFinD公式)'!$B$8:$X$8,'实盘净值数据(iFinD公式)'!$B56:$X56/'实盘净值数据(iFinD公式)'!$B55:$X55)/SUMPRODUCT(实盘持仓配置!$B$7:$X$7,'实盘净值数据(iFinD公式)'!$B55:$X55/'实盘净值数据(iFinD公式)'!$B$8:$X$8))*(1-实盘持仓配置!$Z$7)^(('实盘净值数据(iFinD公式)'!$A56-'实盘净值数据(iFinD公式)'!$A55)/365)-1)</f>
        <v/>
      </c>
      <c r="M56" s="50" t="str">
        <f>IF(K56="","",K56/MAX(K$5:K56)-1)</f>
        <v/>
      </c>
      <c r="N56" s="112" t="str">
        <f>IF(OR((ROW()-1)&lt;5,'实盘净值数据(iFinD公式)'!$A56="",'实盘净值数据(iFinD公式)'!$B56=""),"",SUMPRODUCT(实盘持仓配置!$B$8:$X$8,'实盘净值数据(iFinD公式)'!$B56:$X56/'实盘净值数据(iFinD公式)'!$B$5:$X$5)*(1-实盘持仓配置!$Z$8)^(('实盘净值数据(iFinD公式)'!$A56-'实盘净值数据(iFinD公式)'!$A$5)/365))</f>
        <v/>
      </c>
      <c r="O56" s="50" t="str">
        <f>IF(OR(N55="",'实盘净值数据(iFinD公式)'!$A56="",'实盘净值数据(iFinD公式)'!$B56=""),"",(SUMPRODUCT(实盘持仓配置!$B$8:$X$8,'实盘净值数据(iFinD公式)'!$B55:$X55/'实盘净值数据(iFinD公式)'!$B$5:$X$5,'实盘净值数据(iFinD公式)'!$B56:$X56/'实盘净值数据(iFinD公式)'!$B55:$X55)/SUMPRODUCT(实盘持仓配置!$B$8:$X$8,'实盘净值数据(iFinD公式)'!$B55:$X55/'实盘净值数据(iFinD公式)'!$B$5:$X$5))*(1-实盘持仓配置!$Z$8)^(('实盘净值数据(iFinD公式)'!$A56-'实盘净值数据(iFinD公式)'!$A55)/365)-1)</f>
        <v/>
      </c>
      <c r="P56" s="50" t="str">
        <f>IF(N56="","",N56/MAX(N$5:N56)-1)</f>
        <v/>
      </c>
      <c r="Q56" s="112" t="str">
        <f>IF(OR((ROW()-1)&lt;8,'实盘净值数据(iFinD公式)'!$A56="",'实盘净值数据(iFinD公式)'!$B56=""),"",SUMPRODUCT(实盘持仓配置!$B$9:$X$9,'实盘净值数据(iFinD公式)'!$B56:$X56/'实盘净值数据(iFinD公式)'!$B$8:$X$8)*(1-实盘持仓配置!$Z$9)^(('实盘净值数据(iFinD公式)'!$A56-'实盘净值数据(iFinD公式)'!$A$8)/365))</f>
        <v/>
      </c>
      <c r="R56" s="50" t="str">
        <f>IF(OR(Q55="",'实盘净值数据(iFinD公式)'!$A56="",'实盘净值数据(iFinD公式)'!$B56=""),"",(SUMPRODUCT(实盘持仓配置!$B$9:$X$9,'实盘净值数据(iFinD公式)'!$B55:$X55/'实盘净值数据(iFinD公式)'!$B$8:$X$8,'实盘净值数据(iFinD公式)'!$B56:$X56/'实盘净值数据(iFinD公式)'!$B55:$X55)/SUMPRODUCT(实盘持仓配置!$B$9:$X$9,'实盘净值数据(iFinD公式)'!$B55:$X55/'实盘净值数据(iFinD公式)'!$B$8:$X$8))*(1-实盘持仓配置!$Z$9)^(('实盘净值数据(iFinD公式)'!$A56-'实盘净值数据(iFinD公式)'!$A55)/365)-1)</f>
        <v/>
      </c>
      <c r="S56" s="50" t="str">
        <f>IF(Q56="","",Q56/MAX(Q$5:Q56)-1)</f>
        <v/>
      </c>
    </row>
    <row r="57" spans="1:19">
      <c r="A57" s="113" t="str">
        <f>IF('实盘净值数据(iFinD公式)'!A57="","",'实盘净值数据(iFinD公式)'!A57)</f>
        <v/>
      </c>
      <c r="B57" s="112" t="str">
        <f>IF(OR((ROW()-1)&lt;6,'实盘净值数据(iFinD公式)'!$A57="",'实盘净值数据(iFinD公式)'!$B57=""),"",SUMPRODUCT(实盘持仓配置!$B$4:$X$4,'实盘净值数据(iFinD公式)'!$B57:$X57/'实盘净值数据(iFinD公式)'!$B$6:$X$6)*(1-实盘持仓配置!$Z$4)^(('实盘净值数据(iFinD公式)'!$A57-'实盘净值数据(iFinD公式)'!$A$6)/365))</f>
        <v/>
      </c>
      <c r="C57" s="50" t="str">
        <f>IF(OR(B56="",'实盘净值数据(iFinD公式)'!$A57="",'实盘净值数据(iFinD公式)'!$B57=""),"",(SUMPRODUCT(实盘持仓配置!$B$4:$X$4,'实盘净值数据(iFinD公式)'!$B56:$X56/'实盘净值数据(iFinD公式)'!$B$6:$X$6,'实盘净值数据(iFinD公式)'!$B57:$X57/'实盘净值数据(iFinD公式)'!$B56:$X56)/SUMPRODUCT(实盘持仓配置!$B$4:$X$4,'实盘净值数据(iFinD公式)'!$B56:$X56/'实盘净值数据(iFinD公式)'!$B$6:$X$6))*(1-实盘持仓配置!$Z$4)^(('实盘净值数据(iFinD公式)'!$A57-'实盘净值数据(iFinD公式)'!$A56)/365)-1)</f>
        <v/>
      </c>
      <c r="D57" s="50" t="str">
        <f>IF(B57="","",B57/MAX(B$5:B57)-1)</f>
        <v/>
      </c>
      <c r="E57" s="112" t="str">
        <f>IF(OR((ROW()-1)&lt;5,'实盘净值数据(iFinD公式)'!$A57="",'实盘净值数据(iFinD公式)'!$B57=""),"",SUMPRODUCT(实盘持仓配置!$B$5:$X$5,'实盘净值数据(iFinD公式)'!$B57:$X57/'实盘净值数据(iFinD公式)'!$B$5:$X$5)*(1-实盘持仓配置!$Z$5)^(('实盘净值数据(iFinD公式)'!$A57-'实盘净值数据(iFinD公式)'!$A$5)/365))</f>
        <v/>
      </c>
      <c r="F57" s="50" t="str">
        <f>IF(OR(E56="",'实盘净值数据(iFinD公式)'!$A57="",'实盘净值数据(iFinD公式)'!$B57=""),"",(SUMPRODUCT(实盘持仓配置!$B$5:$X$5,'实盘净值数据(iFinD公式)'!$B56:$X56/'实盘净值数据(iFinD公式)'!$B$5:$X$5,'实盘净值数据(iFinD公式)'!$B57:$X57/'实盘净值数据(iFinD公式)'!$B56:$X56)/SUMPRODUCT(实盘持仓配置!$B$5:$X$5,'实盘净值数据(iFinD公式)'!$B56:$X56/'实盘净值数据(iFinD公式)'!$B$5:$X$5))*(1-实盘持仓配置!$Z$5)^(('实盘净值数据(iFinD公式)'!$A57-'实盘净值数据(iFinD公式)'!$A56)/365)-1)</f>
        <v/>
      </c>
      <c r="G57" s="50" t="str">
        <f>IF(E57="","",E57/MAX(E$5:E57)-1)</f>
        <v/>
      </c>
      <c r="H57" s="112" t="str">
        <f>IF(OR((ROW()-1)&lt;7,'实盘净值数据(iFinD公式)'!$A57="",'实盘净值数据(iFinD公式)'!$B57=""),"",SUMPRODUCT(实盘持仓配置!$B$6:$X$6,'实盘净值数据(iFinD公式)'!$B57:$X57/'实盘净值数据(iFinD公式)'!$B$7:$X$7)*(1-实盘持仓配置!$Z$6)^(('实盘净值数据(iFinD公式)'!$A57-'实盘净值数据(iFinD公式)'!$A$7)/365))</f>
        <v/>
      </c>
      <c r="I57" s="50" t="str">
        <f>IF(OR(H56="",'实盘净值数据(iFinD公式)'!$A57="",'实盘净值数据(iFinD公式)'!$B57=""),"",(SUMPRODUCT(实盘持仓配置!$B$6:$X$6,'实盘净值数据(iFinD公式)'!$B56:$X56/'实盘净值数据(iFinD公式)'!$B$7:$X$7,'实盘净值数据(iFinD公式)'!$B57:$X57/'实盘净值数据(iFinD公式)'!$B56:$X56)/SUMPRODUCT(实盘持仓配置!$B$6:$X$6,'实盘净值数据(iFinD公式)'!$B56:$X56/'实盘净值数据(iFinD公式)'!$B$7:$X$7))*(1-实盘持仓配置!$Z$6)^(('实盘净值数据(iFinD公式)'!$A57-'实盘净值数据(iFinD公式)'!$A56)/365)-1)</f>
        <v/>
      </c>
      <c r="J57" s="50" t="str">
        <f>IF(H57="","",H57/MAX(H$5:H57)-1)</f>
        <v/>
      </c>
      <c r="K57" s="112" t="str">
        <f>IF(OR((ROW()-1)&lt;8,'实盘净值数据(iFinD公式)'!$A57="",'实盘净值数据(iFinD公式)'!$B57=""),"",SUMPRODUCT(实盘持仓配置!$B$7:$X$7,'实盘净值数据(iFinD公式)'!$B57:$X57/'实盘净值数据(iFinD公式)'!$B$8:$X$8)*(1-实盘持仓配置!$Z$7)^(('实盘净值数据(iFinD公式)'!$A57-'实盘净值数据(iFinD公式)'!$A$8)/365))</f>
        <v/>
      </c>
      <c r="L57" s="50" t="str">
        <f>IF(OR(K56="",'实盘净值数据(iFinD公式)'!$A57="",'实盘净值数据(iFinD公式)'!$B57=""),"",(SUMPRODUCT(实盘持仓配置!$B$7:$X$7,'实盘净值数据(iFinD公式)'!$B56:$X56/'实盘净值数据(iFinD公式)'!$B$8:$X$8,'实盘净值数据(iFinD公式)'!$B57:$X57/'实盘净值数据(iFinD公式)'!$B56:$X56)/SUMPRODUCT(实盘持仓配置!$B$7:$X$7,'实盘净值数据(iFinD公式)'!$B56:$X56/'实盘净值数据(iFinD公式)'!$B$8:$X$8))*(1-实盘持仓配置!$Z$7)^(('实盘净值数据(iFinD公式)'!$A57-'实盘净值数据(iFinD公式)'!$A56)/365)-1)</f>
        <v/>
      </c>
      <c r="M57" s="50" t="str">
        <f>IF(K57="","",K57/MAX(K$5:K57)-1)</f>
        <v/>
      </c>
      <c r="N57" s="112" t="str">
        <f>IF(OR((ROW()-1)&lt;5,'实盘净值数据(iFinD公式)'!$A57="",'实盘净值数据(iFinD公式)'!$B57=""),"",SUMPRODUCT(实盘持仓配置!$B$8:$X$8,'实盘净值数据(iFinD公式)'!$B57:$X57/'实盘净值数据(iFinD公式)'!$B$5:$X$5)*(1-实盘持仓配置!$Z$8)^(('实盘净值数据(iFinD公式)'!$A57-'实盘净值数据(iFinD公式)'!$A$5)/365))</f>
        <v/>
      </c>
      <c r="O57" s="50" t="str">
        <f>IF(OR(N56="",'实盘净值数据(iFinD公式)'!$A57="",'实盘净值数据(iFinD公式)'!$B57=""),"",(SUMPRODUCT(实盘持仓配置!$B$8:$X$8,'实盘净值数据(iFinD公式)'!$B56:$X56/'实盘净值数据(iFinD公式)'!$B$5:$X$5,'实盘净值数据(iFinD公式)'!$B57:$X57/'实盘净值数据(iFinD公式)'!$B56:$X56)/SUMPRODUCT(实盘持仓配置!$B$8:$X$8,'实盘净值数据(iFinD公式)'!$B56:$X56/'实盘净值数据(iFinD公式)'!$B$5:$X$5))*(1-实盘持仓配置!$Z$8)^(('实盘净值数据(iFinD公式)'!$A57-'实盘净值数据(iFinD公式)'!$A56)/365)-1)</f>
        <v/>
      </c>
      <c r="P57" s="50" t="str">
        <f>IF(N57="","",N57/MAX(N$5:N57)-1)</f>
        <v/>
      </c>
      <c r="Q57" s="112" t="str">
        <f>IF(OR((ROW()-1)&lt;8,'实盘净值数据(iFinD公式)'!$A57="",'实盘净值数据(iFinD公式)'!$B57=""),"",SUMPRODUCT(实盘持仓配置!$B$9:$X$9,'实盘净值数据(iFinD公式)'!$B57:$X57/'实盘净值数据(iFinD公式)'!$B$8:$X$8)*(1-实盘持仓配置!$Z$9)^(('实盘净值数据(iFinD公式)'!$A57-'实盘净值数据(iFinD公式)'!$A$8)/365))</f>
        <v/>
      </c>
      <c r="R57" s="50" t="str">
        <f>IF(OR(Q56="",'实盘净值数据(iFinD公式)'!$A57="",'实盘净值数据(iFinD公式)'!$B57=""),"",(SUMPRODUCT(实盘持仓配置!$B$9:$X$9,'实盘净值数据(iFinD公式)'!$B56:$X56/'实盘净值数据(iFinD公式)'!$B$8:$X$8,'实盘净值数据(iFinD公式)'!$B57:$X57/'实盘净值数据(iFinD公式)'!$B56:$X56)/SUMPRODUCT(实盘持仓配置!$B$9:$X$9,'实盘净值数据(iFinD公式)'!$B56:$X56/'实盘净值数据(iFinD公式)'!$B$8:$X$8))*(1-实盘持仓配置!$Z$9)^(('实盘净值数据(iFinD公式)'!$A57-'实盘净值数据(iFinD公式)'!$A56)/365)-1)</f>
        <v/>
      </c>
      <c r="S57" s="50" t="str">
        <f>IF(Q57="","",Q57/MAX(Q$5:Q57)-1)</f>
        <v/>
      </c>
    </row>
    <row r="58" spans="1:19">
      <c r="A58" s="113" t="str">
        <f>IF('实盘净值数据(iFinD公式)'!A58="","",'实盘净值数据(iFinD公式)'!A58)</f>
        <v/>
      </c>
      <c r="B58" s="112" t="str">
        <f>IF(OR((ROW()-1)&lt;6,'实盘净值数据(iFinD公式)'!$A58="",'实盘净值数据(iFinD公式)'!$B58=""),"",SUMPRODUCT(实盘持仓配置!$B$4:$X$4,'实盘净值数据(iFinD公式)'!$B58:$X58/'实盘净值数据(iFinD公式)'!$B$6:$X$6)*(1-实盘持仓配置!$Z$4)^(('实盘净值数据(iFinD公式)'!$A58-'实盘净值数据(iFinD公式)'!$A$6)/365))</f>
        <v/>
      </c>
      <c r="C58" s="50" t="str">
        <f>IF(OR(B57="",'实盘净值数据(iFinD公式)'!$A58="",'实盘净值数据(iFinD公式)'!$B58=""),"",(SUMPRODUCT(实盘持仓配置!$B$4:$X$4,'实盘净值数据(iFinD公式)'!$B57:$X57/'实盘净值数据(iFinD公式)'!$B$6:$X$6,'实盘净值数据(iFinD公式)'!$B58:$X58/'实盘净值数据(iFinD公式)'!$B57:$X57)/SUMPRODUCT(实盘持仓配置!$B$4:$X$4,'实盘净值数据(iFinD公式)'!$B57:$X57/'实盘净值数据(iFinD公式)'!$B$6:$X$6))*(1-实盘持仓配置!$Z$4)^(('实盘净值数据(iFinD公式)'!$A58-'实盘净值数据(iFinD公式)'!$A57)/365)-1)</f>
        <v/>
      </c>
      <c r="D58" s="50" t="str">
        <f>IF(B58="","",B58/MAX(B$5:B58)-1)</f>
        <v/>
      </c>
      <c r="E58" s="112" t="str">
        <f>IF(OR((ROW()-1)&lt;5,'实盘净值数据(iFinD公式)'!$A58="",'实盘净值数据(iFinD公式)'!$B58=""),"",SUMPRODUCT(实盘持仓配置!$B$5:$X$5,'实盘净值数据(iFinD公式)'!$B58:$X58/'实盘净值数据(iFinD公式)'!$B$5:$X$5)*(1-实盘持仓配置!$Z$5)^(('实盘净值数据(iFinD公式)'!$A58-'实盘净值数据(iFinD公式)'!$A$5)/365))</f>
        <v/>
      </c>
      <c r="F58" s="50" t="str">
        <f>IF(OR(E57="",'实盘净值数据(iFinD公式)'!$A58="",'实盘净值数据(iFinD公式)'!$B58=""),"",(SUMPRODUCT(实盘持仓配置!$B$5:$X$5,'实盘净值数据(iFinD公式)'!$B57:$X57/'实盘净值数据(iFinD公式)'!$B$5:$X$5,'实盘净值数据(iFinD公式)'!$B58:$X58/'实盘净值数据(iFinD公式)'!$B57:$X57)/SUMPRODUCT(实盘持仓配置!$B$5:$X$5,'实盘净值数据(iFinD公式)'!$B57:$X57/'实盘净值数据(iFinD公式)'!$B$5:$X$5))*(1-实盘持仓配置!$Z$5)^(('实盘净值数据(iFinD公式)'!$A58-'实盘净值数据(iFinD公式)'!$A57)/365)-1)</f>
        <v/>
      </c>
      <c r="G58" s="50" t="str">
        <f>IF(E58="","",E58/MAX(E$5:E58)-1)</f>
        <v/>
      </c>
      <c r="H58" s="112" t="str">
        <f>IF(OR((ROW()-1)&lt;7,'实盘净值数据(iFinD公式)'!$A58="",'实盘净值数据(iFinD公式)'!$B58=""),"",SUMPRODUCT(实盘持仓配置!$B$6:$X$6,'实盘净值数据(iFinD公式)'!$B58:$X58/'实盘净值数据(iFinD公式)'!$B$7:$X$7)*(1-实盘持仓配置!$Z$6)^(('实盘净值数据(iFinD公式)'!$A58-'实盘净值数据(iFinD公式)'!$A$7)/365))</f>
        <v/>
      </c>
      <c r="I58" s="50" t="str">
        <f>IF(OR(H57="",'实盘净值数据(iFinD公式)'!$A58="",'实盘净值数据(iFinD公式)'!$B58=""),"",(SUMPRODUCT(实盘持仓配置!$B$6:$X$6,'实盘净值数据(iFinD公式)'!$B57:$X57/'实盘净值数据(iFinD公式)'!$B$7:$X$7,'实盘净值数据(iFinD公式)'!$B58:$X58/'实盘净值数据(iFinD公式)'!$B57:$X57)/SUMPRODUCT(实盘持仓配置!$B$6:$X$6,'实盘净值数据(iFinD公式)'!$B57:$X57/'实盘净值数据(iFinD公式)'!$B$7:$X$7))*(1-实盘持仓配置!$Z$6)^(('实盘净值数据(iFinD公式)'!$A58-'实盘净值数据(iFinD公式)'!$A57)/365)-1)</f>
        <v/>
      </c>
      <c r="J58" s="50" t="str">
        <f>IF(H58="","",H58/MAX(H$5:H58)-1)</f>
        <v/>
      </c>
      <c r="K58" s="112" t="str">
        <f>IF(OR((ROW()-1)&lt;8,'实盘净值数据(iFinD公式)'!$A58="",'实盘净值数据(iFinD公式)'!$B58=""),"",SUMPRODUCT(实盘持仓配置!$B$7:$X$7,'实盘净值数据(iFinD公式)'!$B58:$X58/'实盘净值数据(iFinD公式)'!$B$8:$X$8)*(1-实盘持仓配置!$Z$7)^(('实盘净值数据(iFinD公式)'!$A58-'实盘净值数据(iFinD公式)'!$A$8)/365))</f>
        <v/>
      </c>
      <c r="L58" s="50" t="str">
        <f>IF(OR(K57="",'实盘净值数据(iFinD公式)'!$A58="",'实盘净值数据(iFinD公式)'!$B58=""),"",(SUMPRODUCT(实盘持仓配置!$B$7:$X$7,'实盘净值数据(iFinD公式)'!$B57:$X57/'实盘净值数据(iFinD公式)'!$B$8:$X$8,'实盘净值数据(iFinD公式)'!$B58:$X58/'实盘净值数据(iFinD公式)'!$B57:$X57)/SUMPRODUCT(实盘持仓配置!$B$7:$X$7,'实盘净值数据(iFinD公式)'!$B57:$X57/'实盘净值数据(iFinD公式)'!$B$8:$X$8))*(1-实盘持仓配置!$Z$7)^(('实盘净值数据(iFinD公式)'!$A58-'实盘净值数据(iFinD公式)'!$A57)/365)-1)</f>
        <v/>
      </c>
      <c r="M58" s="50" t="str">
        <f>IF(K58="","",K58/MAX(K$5:K58)-1)</f>
        <v/>
      </c>
      <c r="N58" s="112" t="str">
        <f>IF(OR((ROW()-1)&lt;5,'实盘净值数据(iFinD公式)'!$A58="",'实盘净值数据(iFinD公式)'!$B58=""),"",SUMPRODUCT(实盘持仓配置!$B$8:$X$8,'实盘净值数据(iFinD公式)'!$B58:$X58/'实盘净值数据(iFinD公式)'!$B$5:$X$5)*(1-实盘持仓配置!$Z$8)^(('实盘净值数据(iFinD公式)'!$A58-'实盘净值数据(iFinD公式)'!$A$5)/365))</f>
        <v/>
      </c>
      <c r="O58" s="50" t="str">
        <f>IF(OR(N57="",'实盘净值数据(iFinD公式)'!$A58="",'实盘净值数据(iFinD公式)'!$B58=""),"",(SUMPRODUCT(实盘持仓配置!$B$8:$X$8,'实盘净值数据(iFinD公式)'!$B57:$X57/'实盘净值数据(iFinD公式)'!$B$5:$X$5,'实盘净值数据(iFinD公式)'!$B58:$X58/'实盘净值数据(iFinD公式)'!$B57:$X57)/SUMPRODUCT(实盘持仓配置!$B$8:$X$8,'实盘净值数据(iFinD公式)'!$B57:$X57/'实盘净值数据(iFinD公式)'!$B$5:$X$5))*(1-实盘持仓配置!$Z$8)^(('实盘净值数据(iFinD公式)'!$A58-'实盘净值数据(iFinD公式)'!$A57)/365)-1)</f>
        <v/>
      </c>
      <c r="P58" s="50" t="str">
        <f>IF(N58="","",N58/MAX(N$5:N58)-1)</f>
        <v/>
      </c>
      <c r="Q58" s="112" t="str">
        <f>IF(OR((ROW()-1)&lt;8,'实盘净值数据(iFinD公式)'!$A58="",'实盘净值数据(iFinD公式)'!$B58=""),"",SUMPRODUCT(实盘持仓配置!$B$9:$X$9,'实盘净值数据(iFinD公式)'!$B58:$X58/'实盘净值数据(iFinD公式)'!$B$8:$X$8)*(1-实盘持仓配置!$Z$9)^(('实盘净值数据(iFinD公式)'!$A58-'实盘净值数据(iFinD公式)'!$A$8)/365))</f>
        <v/>
      </c>
      <c r="R58" s="50" t="str">
        <f>IF(OR(Q57="",'实盘净值数据(iFinD公式)'!$A58="",'实盘净值数据(iFinD公式)'!$B58=""),"",(SUMPRODUCT(实盘持仓配置!$B$9:$X$9,'实盘净值数据(iFinD公式)'!$B57:$X57/'实盘净值数据(iFinD公式)'!$B$8:$X$8,'实盘净值数据(iFinD公式)'!$B58:$X58/'实盘净值数据(iFinD公式)'!$B57:$X57)/SUMPRODUCT(实盘持仓配置!$B$9:$X$9,'实盘净值数据(iFinD公式)'!$B57:$X57/'实盘净值数据(iFinD公式)'!$B$8:$X$8))*(1-实盘持仓配置!$Z$9)^(('实盘净值数据(iFinD公式)'!$A58-'实盘净值数据(iFinD公式)'!$A57)/365)-1)</f>
        <v/>
      </c>
      <c r="S58" s="50" t="str">
        <f>IF(Q58="","",Q58/MAX(Q$5:Q58)-1)</f>
        <v/>
      </c>
    </row>
    <row r="59" spans="1:19">
      <c r="A59" s="113" t="str">
        <f>IF('实盘净值数据(iFinD公式)'!A59="","",'实盘净值数据(iFinD公式)'!A59)</f>
        <v/>
      </c>
      <c r="B59" s="112" t="str">
        <f>IF(OR((ROW()-1)&lt;6,'实盘净值数据(iFinD公式)'!$A59="",'实盘净值数据(iFinD公式)'!$B59=""),"",SUMPRODUCT(实盘持仓配置!$B$4:$X$4,'实盘净值数据(iFinD公式)'!$B59:$X59/'实盘净值数据(iFinD公式)'!$B$6:$X$6)*(1-实盘持仓配置!$Z$4)^(('实盘净值数据(iFinD公式)'!$A59-'实盘净值数据(iFinD公式)'!$A$6)/365))</f>
        <v/>
      </c>
      <c r="C59" s="50" t="str">
        <f>IF(OR(B58="",'实盘净值数据(iFinD公式)'!$A59="",'实盘净值数据(iFinD公式)'!$B59=""),"",(SUMPRODUCT(实盘持仓配置!$B$4:$X$4,'实盘净值数据(iFinD公式)'!$B58:$X58/'实盘净值数据(iFinD公式)'!$B$6:$X$6,'实盘净值数据(iFinD公式)'!$B59:$X59/'实盘净值数据(iFinD公式)'!$B58:$X58)/SUMPRODUCT(实盘持仓配置!$B$4:$X$4,'实盘净值数据(iFinD公式)'!$B58:$X58/'实盘净值数据(iFinD公式)'!$B$6:$X$6))*(1-实盘持仓配置!$Z$4)^(('实盘净值数据(iFinD公式)'!$A59-'实盘净值数据(iFinD公式)'!$A58)/365)-1)</f>
        <v/>
      </c>
      <c r="D59" s="50" t="str">
        <f>IF(B59="","",B59/MAX(B$5:B59)-1)</f>
        <v/>
      </c>
      <c r="E59" s="112" t="str">
        <f>IF(OR((ROW()-1)&lt;5,'实盘净值数据(iFinD公式)'!$A59="",'实盘净值数据(iFinD公式)'!$B59=""),"",SUMPRODUCT(实盘持仓配置!$B$5:$X$5,'实盘净值数据(iFinD公式)'!$B59:$X59/'实盘净值数据(iFinD公式)'!$B$5:$X$5)*(1-实盘持仓配置!$Z$5)^(('实盘净值数据(iFinD公式)'!$A59-'实盘净值数据(iFinD公式)'!$A$5)/365))</f>
        <v/>
      </c>
      <c r="F59" s="50" t="str">
        <f>IF(OR(E58="",'实盘净值数据(iFinD公式)'!$A59="",'实盘净值数据(iFinD公式)'!$B59=""),"",(SUMPRODUCT(实盘持仓配置!$B$5:$X$5,'实盘净值数据(iFinD公式)'!$B58:$X58/'实盘净值数据(iFinD公式)'!$B$5:$X$5,'实盘净值数据(iFinD公式)'!$B59:$X59/'实盘净值数据(iFinD公式)'!$B58:$X58)/SUMPRODUCT(实盘持仓配置!$B$5:$X$5,'实盘净值数据(iFinD公式)'!$B58:$X58/'实盘净值数据(iFinD公式)'!$B$5:$X$5))*(1-实盘持仓配置!$Z$5)^(('实盘净值数据(iFinD公式)'!$A59-'实盘净值数据(iFinD公式)'!$A58)/365)-1)</f>
        <v/>
      </c>
      <c r="G59" s="50" t="str">
        <f>IF(E59="","",E59/MAX(E$5:E59)-1)</f>
        <v/>
      </c>
      <c r="H59" s="112" t="str">
        <f>IF(OR((ROW()-1)&lt;7,'实盘净值数据(iFinD公式)'!$A59="",'实盘净值数据(iFinD公式)'!$B59=""),"",SUMPRODUCT(实盘持仓配置!$B$6:$X$6,'实盘净值数据(iFinD公式)'!$B59:$X59/'实盘净值数据(iFinD公式)'!$B$7:$X$7)*(1-实盘持仓配置!$Z$6)^(('实盘净值数据(iFinD公式)'!$A59-'实盘净值数据(iFinD公式)'!$A$7)/365))</f>
        <v/>
      </c>
      <c r="I59" s="50" t="str">
        <f>IF(OR(H58="",'实盘净值数据(iFinD公式)'!$A59="",'实盘净值数据(iFinD公式)'!$B59=""),"",(SUMPRODUCT(实盘持仓配置!$B$6:$X$6,'实盘净值数据(iFinD公式)'!$B58:$X58/'实盘净值数据(iFinD公式)'!$B$7:$X$7,'实盘净值数据(iFinD公式)'!$B59:$X59/'实盘净值数据(iFinD公式)'!$B58:$X58)/SUMPRODUCT(实盘持仓配置!$B$6:$X$6,'实盘净值数据(iFinD公式)'!$B58:$X58/'实盘净值数据(iFinD公式)'!$B$7:$X$7))*(1-实盘持仓配置!$Z$6)^(('实盘净值数据(iFinD公式)'!$A59-'实盘净值数据(iFinD公式)'!$A58)/365)-1)</f>
        <v/>
      </c>
      <c r="J59" s="50" t="str">
        <f>IF(H59="","",H59/MAX(H$5:H59)-1)</f>
        <v/>
      </c>
      <c r="K59" s="112" t="str">
        <f>IF(OR((ROW()-1)&lt;8,'实盘净值数据(iFinD公式)'!$A59="",'实盘净值数据(iFinD公式)'!$B59=""),"",SUMPRODUCT(实盘持仓配置!$B$7:$X$7,'实盘净值数据(iFinD公式)'!$B59:$X59/'实盘净值数据(iFinD公式)'!$B$8:$X$8)*(1-实盘持仓配置!$Z$7)^(('实盘净值数据(iFinD公式)'!$A59-'实盘净值数据(iFinD公式)'!$A$8)/365))</f>
        <v/>
      </c>
      <c r="L59" s="50" t="str">
        <f>IF(OR(K58="",'实盘净值数据(iFinD公式)'!$A59="",'实盘净值数据(iFinD公式)'!$B59=""),"",(SUMPRODUCT(实盘持仓配置!$B$7:$X$7,'实盘净值数据(iFinD公式)'!$B58:$X58/'实盘净值数据(iFinD公式)'!$B$8:$X$8,'实盘净值数据(iFinD公式)'!$B59:$X59/'实盘净值数据(iFinD公式)'!$B58:$X58)/SUMPRODUCT(实盘持仓配置!$B$7:$X$7,'实盘净值数据(iFinD公式)'!$B58:$X58/'实盘净值数据(iFinD公式)'!$B$8:$X$8))*(1-实盘持仓配置!$Z$7)^(('实盘净值数据(iFinD公式)'!$A59-'实盘净值数据(iFinD公式)'!$A58)/365)-1)</f>
        <v/>
      </c>
      <c r="M59" s="50" t="str">
        <f>IF(K59="","",K59/MAX(K$5:K59)-1)</f>
        <v/>
      </c>
      <c r="N59" s="112" t="str">
        <f>IF(OR((ROW()-1)&lt;5,'实盘净值数据(iFinD公式)'!$A59="",'实盘净值数据(iFinD公式)'!$B59=""),"",SUMPRODUCT(实盘持仓配置!$B$8:$X$8,'实盘净值数据(iFinD公式)'!$B59:$X59/'实盘净值数据(iFinD公式)'!$B$5:$X$5)*(1-实盘持仓配置!$Z$8)^(('实盘净值数据(iFinD公式)'!$A59-'实盘净值数据(iFinD公式)'!$A$5)/365))</f>
        <v/>
      </c>
      <c r="O59" s="50" t="str">
        <f>IF(OR(N58="",'实盘净值数据(iFinD公式)'!$A59="",'实盘净值数据(iFinD公式)'!$B59=""),"",(SUMPRODUCT(实盘持仓配置!$B$8:$X$8,'实盘净值数据(iFinD公式)'!$B58:$X58/'实盘净值数据(iFinD公式)'!$B$5:$X$5,'实盘净值数据(iFinD公式)'!$B59:$X59/'实盘净值数据(iFinD公式)'!$B58:$X58)/SUMPRODUCT(实盘持仓配置!$B$8:$X$8,'实盘净值数据(iFinD公式)'!$B58:$X58/'实盘净值数据(iFinD公式)'!$B$5:$X$5))*(1-实盘持仓配置!$Z$8)^(('实盘净值数据(iFinD公式)'!$A59-'实盘净值数据(iFinD公式)'!$A58)/365)-1)</f>
        <v/>
      </c>
      <c r="P59" s="50" t="str">
        <f>IF(N59="","",N59/MAX(N$5:N59)-1)</f>
        <v/>
      </c>
      <c r="Q59" s="112" t="str">
        <f>IF(OR((ROW()-1)&lt;8,'实盘净值数据(iFinD公式)'!$A59="",'实盘净值数据(iFinD公式)'!$B59=""),"",SUMPRODUCT(实盘持仓配置!$B$9:$X$9,'实盘净值数据(iFinD公式)'!$B59:$X59/'实盘净值数据(iFinD公式)'!$B$8:$X$8)*(1-实盘持仓配置!$Z$9)^(('实盘净值数据(iFinD公式)'!$A59-'实盘净值数据(iFinD公式)'!$A$8)/365))</f>
        <v/>
      </c>
      <c r="R59" s="50" t="str">
        <f>IF(OR(Q58="",'实盘净值数据(iFinD公式)'!$A59="",'实盘净值数据(iFinD公式)'!$B59=""),"",(SUMPRODUCT(实盘持仓配置!$B$9:$X$9,'实盘净值数据(iFinD公式)'!$B58:$X58/'实盘净值数据(iFinD公式)'!$B$8:$X$8,'实盘净值数据(iFinD公式)'!$B59:$X59/'实盘净值数据(iFinD公式)'!$B58:$X58)/SUMPRODUCT(实盘持仓配置!$B$9:$X$9,'实盘净值数据(iFinD公式)'!$B58:$X58/'实盘净值数据(iFinD公式)'!$B$8:$X$8))*(1-实盘持仓配置!$Z$9)^(('实盘净值数据(iFinD公式)'!$A59-'实盘净值数据(iFinD公式)'!$A58)/365)-1)</f>
        <v/>
      </c>
      <c r="S59" s="50" t="str">
        <f>IF(Q59="","",Q59/MAX(Q$5:Q59)-1)</f>
        <v/>
      </c>
    </row>
    <row r="61" spans="1:19" ht="14.5" customHeight="1">
      <c r="A61" s="97" t="s">
        <v>172</v>
      </c>
    </row>
  </sheetData>
  <mergeCells count="1">
    <mergeCell ref="A1:J2"/>
  </mergeCells>
  <phoneticPr fontId="1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4</vt:i4>
      </vt:variant>
    </vt:vector>
  </HeadingPairs>
  <TitlesOfParts>
    <vt:vector size="18" baseType="lpstr">
      <vt:lpstr>持仓配置</vt:lpstr>
      <vt:lpstr>净值数据(iFinD公式)</vt:lpstr>
      <vt:lpstr>组合净值（模拟）</vt:lpstr>
      <vt:lpstr>看板-10-90</vt:lpstr>
      <vt:lpstr>看板-20-80</vt:lpstr>
      <vt:lpstr>看板-30-70</vt:lpstr>
      <vt:lpstr>看板-增值</vt:lpstr>
      <vt:lpstr>说明</vt:lpstr>
      <vt:lpstr>vs招行</vt:lpstr>
      <vt:lpstr>vs固收+</vt:lpstr>
      <vt:lpstr>1090实盘净值</vt:lpstr>
      <vt:lpstr>实盘持仓配置</vt:lpstr>
      <vt:lpstr>实盘净值数据(iFinD公式)</vt:lpstr>
      <vt:lpstr>实盘组合净值</vt:lpstr>
      <vt:lpstr>'看板-10-90'!Print_Area</vt:lpstr>
      <vt:lpstr>'看板-20-80'!Print_Area</vt:lpstr>
      <vt:lpstr>'看板-30-70'!Print_Area</vt:lpstr>
      <vt:lpstr>'看板-增值'!Print_Area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白昕</dc:creator>
  <cp:lastModifiedBy>白昕</cp:lastModifiedBy>
  <dcterms:created xsi:type="dcterms:W3CDTF">2026-06-08T07:39:45Z</dcterms:created>
  <dcterms:modified xsi:type="dcterms:W3CDTF">2026-08-11T09:00:15Z</dcterms:modified>
</cp:coreProperties>
</file>