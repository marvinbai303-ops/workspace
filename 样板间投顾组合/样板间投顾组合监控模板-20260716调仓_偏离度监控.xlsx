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drawings/charts/chart6.xml" ContentType="application/vnd.openxmlformats-officedocument.drawingml.char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fa9ea7b6445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盘持仓配置" sheetId="1" r:id="R1348c0db5b644ebe"/>
    <x:sheet xmlns:r="http://schemas.openxmlformats.org/officeDocument/2006/relationships" name="实盘净值数据(iFinD公式)" sheetId="2" r:id="Rf54cf17b3b294e80"/>
    <x:sheet xmlns:r="http://schemas.openxmlformats.org/officeDocument/2006/relationships" name="实盘组合净值" sheetId="3" r:id="Re8fd63c7da5d4602"/>
    <x:sheet xmlns:r="http://schemas.openxmlformats.org/officeDocument/2006/relationships" name="分期持仓明细" sheetId="4" r:id="R614be319d2e849c1"/>
    <x:sheet xmlns:r="http://schemas.openxmlformats.org/officeDocument/2006/relationships" name="看板-产业趋势" sheetId="5" r:id="R5fdd917703754355"/>
    <x:sheet xmlns:r="http://schemas.openxmlformats.org/officeDocument/2006/relationships" name="看板-产业趋势基石" sheetId="6" r:id="Rfef7b3765689420f"/>
    <x:sheet xmlns:r="http://schemas.openxmlformats.org/officeDocument/2006/relationships" name="看板-产业趋势2号" sheetId="7" r:id="R21ea288f3a554c6e"/>
    <x:sheet xmlns:r="http://schemas.openxmlformats.org/officeDocument/2006/relationships" name="看板-10-90" sheetId="8" r:id="Re99d8bfc291a4588"/>
    <x:sheet xmlns:r="http://schemas.openxmlformats.org/officeDocument/2006/relationships" name="看板-10-90基石" sheetId="9" r:id="R6dbb3c77d0964e71"/>
    <x:sheet xmlns:r="http://schemas.openxmlformats.org/officeDocument/2006/relationships" name="看板-30-70" sheetId="10" r:id="Rba6203092cff4198"/>
    <x:sheet xmlns:r="http://schemas.openxmlformats.org/officeDocument/2006/relationships" name="说明" sheetId="11" r:id="R6280c274ac0d45e7"/>
    <x:sheet xmlns:r="http://schemas.openxmlformats.org/officeDocument/2006/relationships" name="持仓权重预警" sheetId="12" r:id="R7a65aaba861746f8"/>
    <x:sheet xmlns:r="http://schemas.openxmlformats.org/officeDocument/2006/relationships" name="偏离度监控" sheetId="13" r:id="R036597ead69c472b"/>
  </x:sheets>
  <x:definedNames>
    <x:definedName name="_ChartDates" localSheetId="7">实盘组合净值!$A$8:INDEX(实盘组合净值!$A$8:$A$1000,MATCH(9.99999999999999E+307,实盘组合净值!$A$8:$A$1000))</x:definedName>
    <x:definedName name="_ChartValues" localSheetId="7">实盘组合净值!$K$8:INDEX(实盘组合净值!$K$8:$K$1000,MATCH(9.99999999999999E+307,实盘组合净值!$A$8:$A$1000))</x:definedName>
    <x:definedName name="_ChartDates" localSheetId="8">实盘组合净值!$A$5:INDEX(实盘组合净值!$A$5:$A$1000,MATCH(9.99999999999999E+307,实盘组合净值!$A$5:$A$1000))</x:definedName>
    <x:definedName name="_ChartValues" localSheetId="8">实盘组合净值!$N$5:INDEX(实盘组合净值!$N$5:$N$1000,MATCH(9.99999999999999E+307,实盘组合净值!$A$5:$A$1000))</x:definedName>
    <x:definedName name="_ChartDates" localSheetId="9">实盘组合净值!$A$8:INDEX(实盘组合净值!$A$8:$A$1000,MATCH(9.99999999999999E+307,实盘组合净值!$A$8:$A$1000))</x:definedName>
    <x:definedName name="_ChartValues" localSheetId="9">实盘组合净值!$Q$8:INDEX(实盘组合净值!$Q$8:$Q$1000,MATCH(9.99999999999999E+307,实盘组合净值!$A$8:$A$1000))</x:definedName>
    <x:definedName name="_ChartDates" localSheetId="4">实盘组合净值!$A$6:INDEX(实盘组合净值!$A$6:$A$1000,MATCH(9.99999999999999E+307,实盘组合净值!$A$6:$A$1000))</x:definedName>
    <x:definedName name="_ChartValues" localSheetId="4">实盘组合净值!$B$6:INDEX(实盘组合净值!$B$6:$B$1000,MATCH(9.99999999999999E+307,实盘组合净值!$A$6:$A$1000))</x:definedName>
    <x:definedName name="_ChartDates" localSheetId="6">实盘组合净值!$A$7:INDEX(实盘组合净值!$A$7:$A$1000,MATCH(9.99999999999999E+307,实盘组合净值!$A$7:$A$1000))</x:definedName>
    <x:definedName name="_ChartValues" localSheetId="6">实盘组合净值!$H$7:INDEX(实盘组合净值!$H$7:$H$1000,MATCH(9.99999999999999E+307,实盘组合净值!$A$7:$A$1000))</x:definedName>
    <x:definedName name="_ChartDates" localSheetId="5">实盘组合净值!$A$5:INDEX(实盘组合净值!$A$5:$A$1000,MATCH(9.99999999999999E+307,实盘组合净值!$A$5:$A$1000))</x:definedName>
    <x:definedName name="_ChartValues" localSheetId="5">实盘组合净值!$E$5:INDEX(实盘组合净值!$E$5:$E$1000,MATCH(9.99999999999999E+307,实盘组合净值!$A$5:$A$1000))</x:definedName>
  </x:definedNames>
</x:workbook>
</file>

<file path=xl/sharedStrings.xml><?xml version="1.0" encoding="utf-8"?>
<x:sst xmlns:x="http://schemas.openxmlformats.org/spreadsheetml/2006/main">
  <x:si>
    <x:r>
      <x:rPr>
        <x:b/>
        <x:sz val="15"/>
        <x:color rgb="FFFFFFFF"/>
        <x:rFont val="Linux Libertine G"/>
        <x:family val="2"/>
      </x:rPr>
      <x:t xml:space="preserve">持仓配置（实盘</x:t>
    </x:r>
    <x:r>
      <x:rPr>
        <x:b/>
        <x:sz val="15"/>
        <x:color rgb="FFFFFFFF"/>
        <x:rFont val="Arial"/>
        <x:family val="2"/>
      </x:rPr>
      <x:t xml:space="preserve">·</x:t>
    </x:r>
    <x:r>
      <x:rPr>
        <x:b/>
        <x:sz val="15"/>
        <x:color rgb="FFFFFFFF"/>
        <x:rFont val="Linux Libertine G"/>
        <x:family val="2"/>
      </x:rPr>
      <x:t xml:space="preserve">初始权重）</x:t>
    </x:r>
  </x:si>
  <x:si>
    <x:t xml:space="preserve">基金简称</x:t>
  </x:si>
  <x:si>
    <x:r>
      <x:rPr>
        <x:b/>
        <x:sz val="10"/>
        <x:color rgb="FF000000"/>
        <x:rFont val="Linux Libertine G"/>
        <x:family val="2"/>
      </x:rPr>
      <x:t xml:space="preserve">华安黄金</x:t>
    </x:r>
    <x:r>
      <x:rPr>
        <x:b/>
        <x:sz val="10"/>
        <x:color rgb="FF000000"/>
        <x:rFont val="Arial"/>
        <x:family val="2"/>
      </x:rPr>
      <x:t xml:space="preserve">ETF</x:t>
    </x:r>
    <x:r>
      <x:rPr>
        <x:b/>
        <x:sz val="10"/>
        <x:color rgb="FF000000"/>
        <x:rFont val="Linux Libertine G"/>
        <x:family val="2"/>
      </x:rPr>
      <x:t xml:space="preserve">联接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</x:si>
  <x:si>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嘉实快线货币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</x:si>
  <x:si>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宏利复兴混合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</x:si>
  <x:si>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博道沪深</x:t>
    </x:r>
    <x:r>
      <x:rPr>
        <x:b/>
        <x:sz val="10"/>
        <x:color rgb="FF000000"/>
        <x:rFont val="Arial"/>
        <x:family val="2"/>
      </x:rPr>
      <x:t xml:space="preserve">300</x:t>
    </x:r>
    <x:r>
      <x:rPr>
        <x:b/>
        <x:sz val="10"/>
        <x:color rgb="FF000000"/>
        <x:rFont val="Linux Libertine G"/>
        <x:family val="2"/>
      </x:rPr>
      <x:t xml:space="preserve">增强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</x:si>
  <x:si>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博道沪深</x:t>
    </x:r>
    <x:r>
      <x:rPr>
        <x:b/>
        <x:sz val="10"/>
        <x:color rgb="FF000000"/>
        <x:rFont val="Arial"/>
        <x:family val="2"/>
      </x:rPr>
      <x:t xml:space="preserve">300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</x:si>
  <x:si>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国泰通信设备</x:t>
    </x:r>
    <x:r>
      <x:rPr>
        <x:b/>
        <x:sz val="10"/>
        <x:color rgb="FF000000"/>
        <x:rFont val="Arial"/>
        <x:family val="2"/>
      </x:rPr>
      <x:t xml:space="preserve">ETF</x:t>
    </x:r>
    <x:r>
      <x:rPr>
        <x:b/>
        <x:sz val="10"/>
        <x:color rgb="FF000000"/>
        <x:rFont val="Linux Libertine G"/>
        <x:family val="2"/>
      </x:rPr>
      <x:t xml:space="preserve">联接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</x:si>
  <x:si>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国泰通信设备</x:t>
    </x:r>
    <x:r>
      <x:rPr>
        <x:b/>
        <x:sz val="10"/>
        <x:color rgb="FF000000"/>
        <x:rFont val="Arial"/>
        <x:family val="2"/>
      </x:rPr>
      <x:t xml:space="preserve">C</x:t>
    </x:r>
  </x:si>
  <x:si>
    <x:t xml:space="preserve">嘉实前沿科技创新</x:t>
  </x:si>
  <x:si>
    <x:r>
      <x:rPr>
        <x:b/>
        <x:sz val="10"/>
        <x:color rgb="FF000000"/>
        <x:rFont val="Linux Libertine G"/>
        <x:family val="2"/>
      </x:rPr>
      <x:t xml:space="preserve">银华集成电路混合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</x:si>
  <x:si>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银华集成电路混合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</x:si>
  <x:si>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天弘中证</x:t>
    </x:r>
    <x:r>
      <x:rPr>
        <x:b/>
        <x:sz val="10"/>
        <x:color rgb="FF000000"/>
        <x:rFont val="Arial"/>
        <x:family val="2"/>
      </x:rPr>
      <x:t xml:space="preserve">1000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</x:si>
  <x:si>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天弘中证</x:t>
    </x:r>
    <x:r>
      <x:rPr>
        <x:b/>
        <x:sz val="10"/>
        <x:color rgb="FF000000"/>
        <x:rFont val="Arial"/>
        <x:family val="2"/>
      </x:rPr>
      <x:t xml:space="preserve">1000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</x:si>
  <x:si>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中欧中证</x:t>
    </x:r>
    <x:r>
      <x:rPr>
        <x:b/>
        <x:sz val="10"/>
        <x:color rgb="FF000000"/>
        <x:rFont val="Arial"/>
        <x:family val="2"/>
      </x:rPr>
      <x:t xml:space="preserve">500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</x:si>
  <x:si>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中欧中证</x:t>
    </x:r>
    <x:r>
      <x:rPr>
        <x:b/>
        <x:sz val="10"/>
        <x:color rgb="FF000000"/>
        <x:rFont val="Arial"/>
        <x:family val="2"/>
      </x:rPr>
      <x:t xml:space="preserve">500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</x:si>
  <x:si>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信澳业绩驱动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</x:si>
  <x:si>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嘉实信息产业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</x:si>
  <x:si>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嘉实信息产业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</x:si>
  <x:si>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宏利复兴伟业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</x:si>
  <x:si>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国泰半导体材料设备</x:t>
    </x:r>
    <x:r>
      <x:rPr>
        <x:b/>
        <x:sz val="10"/>
        <x:color rgb="FF000000"/>
        <x:rFont val="Arial"/>
        <x:family val="2"/>
      </x:rPr>
      <x:t xml:space="preserve">ETF</x:t>
    </x:r>
    <x:r>
      <x:rPr>
        <x:b/>
        <x:sz val="10"/>
        <x:color rgb="FF000000"/>
        <x:rFont val="Linux Libertine G"/>
        <x:family val="2"/>
      </x:rPr>
      <x:t xml:space="preserve">联接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</x:si>
  <x:si>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国泰半导体材料设备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</x:si>
  <x:si>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华泰柏瑞中证</x:t>
    </x:r>
    <x:r>
      <x:rPr>
        <x:b/>
        <x:sz val="10"/>
        <x:color rgb="FF000000"/>
        <x:rFont val="Arial"/>
        <x:family val="2"/>
      </x:rPr>
      <x:t xml:space="preserve">2000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A</x:t>
    </x:r>
  </x:si>
  <x:si>
    <x:r>
      <x:rPr>
        <x:b/>
        <x:sz val="10"/>
        <x:color rgb="FF000000"/>
        <x:rFont val="Linux Libertine G"/>
        <x:family val="2"/>
      </x:rPr>
      <x:t xml:space="preserve">华泰柏瑞中证</x:t>
    </x:r>
    <x:r>
      <x:rPr>
        <x:b/>
        <x:sz val="10"/>
        <x:color rgb="FF000000"/>
        <x:rFont val="Arial"/>
        <x:family val="2"/>
      </x:rPr>
      <x:t xml:space="preserve">2000</x:t>
    </x:r>
    <x:r>
      <x:rPr>
        <x:b/>
        <x:sz val="10"/>
        <x:color rgb="FF000000"/>
        <x:rFont val="Linux Libertine G"/>
        <x:family val="2"/>
      </x:rPr>
      <x:t xml:space="preserve">指增</x:t>
    </x:r>
    <x:r>
      <x:rPr>
        <x:b/>
        <x:sz val="10"/>
        <x:color rgb="FF000000"/>
        <x:rFont val="Arial"/>
        <x:family val="2"/>
      </x:rPr>
      <x:t xml:space="preserve">C</x:t>
    </x:r>
  </x:si>
  <x:si>
    <x:r>
      <x:rPr>
        <x:b/>
        <x:sz val="10"/>
        <x:color rgb="FF000000"/>
        <x:rFont val="Linux Libertine G"/>
        <x:family val="2"/>
      </x:rPr>
      <x:t xml:space="preserve">易方达中债新综指</x:t>
    </x:r>
    <x:r>
      <x:rPr>
        <x:b/>
        <x:sz val="10"/>
        <x:color rgb="FF000000"/>
        <x:rFont val="Arial"/>
        <x:family val="2"/>
      </x:rPr>
      <x:t xml:space="preserve">LOFA</x:t>
    </x:r>
  </x:si>
  <x:si>
    <x:t xml:space="preserve">合计</x:t>
  </x:si>
  <x:si>
    <x:t xml:space="preserve">年化费率</x:t>
  </x:si>
  <x:si>
    <x:t xml:space="preserve">净值起始日</x:t>
  </x:si>
  <x:si>
    <x:t xml:space="preserve">基金代码</x:t>
  </x:si>
  <x:si>
    <x:t xml:space="preserve">000216.OF</x:t>
  </x:si>
  <x:si>
    <x:t xml:space="preserve">000917.OF</x:t>
  </x:si>
  <x:si>
    <x:t xml:space="preserve">001170.OF</x:t>
  </x:si>
  <x:si>
    <x:t xml:space="preserve">007044.OF</x:t>
  </x:si>
  <x:si>
    <x:t xml:space="preserve">007045.OF</x:t>
  </x:si>
  <x:si>
    <x:t xml:space="preserve">007817.OF</x:t>
  </x:si>
  <x:si>
    <x:t xml:space="preserve">007818.OF</x:t>
  </x:si>
  <x:si>
    <x:t xml:space="preserve">009993.OF</x:t>
  </x:si>
  <x:si>
    <x:t xml:space="preserve">013840.OF</x:t>
  </x:si>
  <x:si>
    <x:t xml:space="preserve">013841.OF</x:t>
  </x:si>
  <x:si>
    <x:t xml:space="preserve">014201.OF</x:t>
  </x:si>
  <x:si>
    <x:t xml:space="preserve">014202.OF</x:t>
  </x:si>
  <x:si>
    <x:t xml:space="preserve">015453.OF</x:t>
  </x:si>
  <x:si>
    <x:t xml:space="preserve">015454.OF</x:t>
  </x:si>
  <x:si>
    <x:t xml:space="preserve">016370.OF</x:t>
  </x:si>
  <x:si>
    <x:t xml:space="preserve">017488.OF</x:t>
  </x:si>
  <x:si>
    <x:t xml:space="preserve">017489.OF</x:t>
  </x:si>
  <x:si>
    <x:t xml:space="preserve">017612.OF</x:t>
  </x:si>
  <x:si>
    <x:t xml:space="preserve">019632.OF</x:t>
  </x:si>
  <x:si>
    <x:t xml:space="preserve">019633.OF</x:t>
  </x:si>
  <x:si>
    <x:t xml:space="preserve">019923.OF</x:t>
  </x:si>
  <x:si>
    <x:t xml:space="preserve">019924.OF</x:t>
  </x:si>
  <x:si>
    <x:t xml:space="preserve">161119.OF</x:t>
  </x:si>
  <x:si>
    <x:t xml:space="preserve">产业趋势 权重</x:t>
  </x:si>
  <x:si>
    <x:t xml:space="preserve">产业趋势基石 权重</x:t>
  </x:si>
  <x:si>
    <x:r>
      <x:rPr>
        <x:b/>
        <x:sz val="10"/>
        <x:color rgb="FF000000"/>
        <x:rFont val="Linux Libertine G"/>
        <x:family val="2"/>
      </x:rPr>
      <x:t xml:space="preserve">产业趋势</x:t>
    </x:r>
    <x:r>
      <x:rPr>
        <x:b/>
        <x:sz val="10"/>
        <x:color rgb="FF000000"/>
        <x:rFont val="Arial"/>
        <x:family val="2"/>
      </x:rPr>
      <x:t xml:space="preserve">2</x:t>
    </x:r>
    <x:r>
      <x:rPr>
        <x:b/>
        <x:sz val="10"/>
        <x:color rgb="FF000000"/>
        <x:rFont val="Linux Libertine G"/>
        <x:family val="2"/>
      </x:rPr>
      <x:t xml:space="preserve">号 权重</x:t>
    </x:r>
  </x:si>
  <x:si>
    <x:r>
      <x:rPr>
        <x:b/>
        <x:sz val="10"/>
        <x:color rgb="FF000000"/>
        <x:rFont val="Arial"/>
        <x:family val="2"/>
      </x:rPr>
      <x:t xml:space="preserve">10-90 </x:t>
    </x:r>
    <x:r>
      <x:rPr>
        <x:b/>
        <x:sz val="10"/>
        <x:color rgb="FF000000"/>
        <x:rFont val="Linux Libertine G"/>
        <x:family val="2"/>
      </x:rPr>
      <x:t xml:space="preserve">权重</x:t>
    </x:r>
  </x:si>
  <x:si>
    <x:r>
      <x:rPr>
        <x:b/>
        <x:sz val="10"/>
        <x:color rgb="FF000000"/>
        <x:rFont val="Arial"/>
        <x:family val="2"/>
      </x:rPr>
      <x:t xml:space="preserve">10-90</x:t>
    </x:r>
    <x:r>
      <x:rPr>
        <x:b/>
        <x:sz val="10"/>
        <x:color rgb="FF000000"/>
        <x:rFont val="Linux Libertine G"/>
        <x:family val="2"/>
      </x:rPr>
      <x:t xml:space="preserve">基石 权重</x:t>
    </x:r>
  </x:si>
  <x:si>
    <x:r>
      <x:rPr>
        <x:b/>
        <x:sz val="10"/>
        <x:color rgb="FF000000"/>
        <x:rFont val="Arial"/>
        <x:family val="2"/>
      </x:rPr>
      <x:t xml:space="preserve">30-70 </x:t>
    </x:r>
    <x:r>
      <x:rPr>
        <x:b/>
        <x:sz val="10"/>
        <x:color rgb="FF000000"/>
        <x:rFont val="Linux Libertine G"/>
        <x:family val="2"/>
      </x:rPr>
      <x:t xml:space="preserve">权重</x:t>
    </x:r>
  </x:si>
  <x:si>
    <x:r>
      <x:rPr>
        <x:i/>
        <x:sz val="9"/>
        <x:color rgb="FF595959"/>
        <x:rFont val="Linux Libertine G"/>
        <x:family val="2"/>
      </x:rPr>
      <x:t xml:space="preserve">权重蓝色输入；</x:t>
    </x:r>
    <x:r>
      <x:rPr>
        <x:i/>
        <x:sz val="9"/>
        <x:color rgb="FF595959"/>
        <x:rFont val="Arial"/>
        <x:family val="2"/>
      </x:rPr>
      <x:t xml:space="preserve">Z</x:t>
    </x:r>
    <x:r>
      <x:rPr>
        <x:i/>
        <x:sz val="9"/>
        <x:color rgb="FF595959"/>
        <x:rFont val="Linux Libertine G"/>
        <x:family val="2"/>
      </x:rPr>
      <x:t xml:space="preserve">列为各组合年化费率、</x:t>
    </x:r>
    <x:r>
      <x:rPr>
        <x:i/>
        <x:sz val="9"/>
        <x:color rgb="FF595959"/>
        <x:rFont val="Arial"/>
        <x:family val="2"/>
      </x:rPr>
      <x:t xml:space="preserve">AA</x:t>
    </x:r>
    <x:r>
      <x:rPr>
        <x:i/>
        <x:sz val="9"/>
        <x:color rgb="FF595959"/>
        <x:rFont val="Linux Libertine G"/>
        <x:family val="2"/>
      </x:rPr>
      <x:t xml:space="preserve">列为各组合净值起始日</x:t>
    </x:r>
    <x:r>
      <x:rPr>
        <x:i/>
        <x:sz val="9"/>
        <x:color rgb="FF595959"/>
        <x:rFont val="Arial"/>
        <x:family val="2"/>
      </x:rPr>
      <x:t xml:space="preserve">(</x:t>
    </x:r>
    <x:r>
      <x:rPr>
        <x:i/>
        <x:sz val="9"/>
        <x:color rgb="FF595959"/>
        <x:rFont val="Linux Libertine G"/>
        <x:family val="2"/>
      </x:rPr>
      <x:t xml:space="preserve">当日净值</x:t>
    </x:r>
    <x:r>
      <x:rPr>
        <x:i/>
        <x:sz val="9"/>
        <x:color rgb="FF595959"/>
        <x:rFont val="Arial"/>
        <x:family val="2"/>
      </x:rPr>
      <x:t xml:space="preserve">=1)</x:t>
    </x:r>
    <x:r>
      <x:rPr>
        <x:i/>
        <x:sz val="9"/>
        <x:color rgb="FF595959"/>
        <x:rFont val="Linux Libertine G"/>
        <x:family val="2"/>
      </x:rPr>
      <x:t xml:space="preserve">。新增交易日下拉填充，下游净值与看板自动重算。</x:t>
    </x:r>
  </x:si>
  <x:si>
    <x:r>
      <x:rPr>
        <x:b/>
        <x:sz val="15"/>
        <x:color rgb="FFFFFFFF"/>
        <x:rFont val="Linux Libertine G"/>
        <x:family val="2"/>
      </x:rPr>
      <x:t xml:space="preserve">净值数据 </x:t>
    </x:r>
    <x:r>
      <x:rPr>
        <x:b/>
        <x:sz val="15"/>
        <x:color rgb="FFFFFFFF"/>
        <x:rFont val="Arial"/>
        <x:family val="2"/>
      </x:rPr>
      <x:t xml:space="preserve">* </x:t>
    </x:r>
    <x:r>
      <x:rPr>
        <x:b/>
        <x:sz val="15"/>
        <x:color rgb="FFFFFFFF"/>
        <x:rFont val="Linux Libertine G"/>
        <x:family val="2"/>
      </x:rPr>
      <x:t xml:space="preserve">实盘</x:t>
    </x:r>
  </x:si>
  <x:si>
    <x:t xml:space="preserve">基金代码→</x:t>
  </x:si>
  <x:si>
    <x:t xml:space="preserve">162214.OF</x:t>
  </x:si>
  <x:si>
    <x:t xml:space="preserve">宏利领先中小盘混合</x:t>
  </x:si>
  <x:si>
    <x:r>
      <x:rPr>
        <x:b/>
        <x:sz val="15"/>
        <x:color rgb="FFFFFFFF"/>
        <x:rFont val="宋体"/>
        <x:family val="3"/>
      </x:rPr>
      <x:t xml:space="preserve">组合净值</x:t>
    </x:r>
    <x:r>
      <x:rPr>
        <x:b/>
        <x:sz val="15"/>
        <x:color rgb="FFFFFFFF"/>
        <x:rFont val="Arial"/>
        <x:family val="2"/>
      </x:rPr>
      <x:t xml:space="preserve"/>
    </x:r>
  </x:si>
  <x:si>
    <x:t xml:space="preserve">组合 产业趋势</x:t>
  </x:si>
  <x:si>
    <x:t xml:space="preserve">组合 产业趋势基石</x:t>
  </x:si>
  <x:si>
    <x:r>
      <x:rPr>
        <x:b/>
        <x:sz val="11"/>
        <x:color rgb="FFFFFFFF"/>
        <x:rFont val="Linux Libertine G"/>
        <x:family val="2"/>
      </x:rPr>
      <x:t xml:space="preserve">组合 产业趋势</x:t>
    </x:r>
    <x:r>
      <x:rPr>
        <x:b/>
        <x:sz val="11"/>
        <x:color rgb="FFFFFFFF"/>
        <x:rFont val="Arial"/>
        <x:family val="2"/>
      </x:rPr>
      <x:t xml:space="preserve">2</x:t>
    </x:r>
    <x:r>
      <x:rPr>
        <x:b/>
        <x:sz val="11"/>
        <x:color rgb="FFFFFFFF"/>
        <x:rFont val="Linux Libertine G"/>
        <x:family val="2"/>
      </x:rPr>
      <x:t xml:space="preserve">号</x:t>
    </x:r>
  </x:si>
  <x:si>
    <x:r>
      <x:rPr>
        <x:b/>
        <x:sz val="11"/>
        <x:color rgb="FFFFFFFF"/>
        <x:rFont val="Linux Libertine G"/>
        <x:family val="2"/>
      </x:rPr>
      <x:t xml:space="preserve">组合 </x:t>
    </x:r>
    <x:r>
      <x:rPr>
        <x:b/>
        <x:sz val="11"/>
        <x:color rgb="FFFFFFFF"/>
        <x:rFont val="Arial"/>
        <x:family val="2"/>
      </x:rPr>
      <x:t xml:space="preserve">10-90</x:t>
    </x:r>
  </x:si>
  <x:si>
    <x:r>
      <x:rPr>
        <x:b/>
        <x:sz val="11"/>
        <x:color rgb="FFFFFFFF"/>
        <x:rFont val="Linux Libertine G"/>
        <x:family val="2"/>
      </x:rPr>
      <x:t xml:space="preserve">组合 </x:t>
    </x:r>
    <x:r>
      <x:rPr>
        <x:b/>
        <x:sz val="11"/>
        <x:color rgb="FFFFFFFF"/>
        <x:rFont val="Arial"/>
        <x:family val="2"/>
      </x:rPr>
      <x:t xml:space="preserve">10-90</x:t>
    </x:r>
    <x:r>
      <x:rPr>
        <x:b/>
        <x:sz val="11"/>
        <x:color rgb="FFFFFFFF"/>
        <x:rFont val="Linux Libertine G"/>
        <x:family val="2"/>
      </x:rPr>
      <x:t xml:space="preserve">基石</x:t>
    </x:r>
  </x:si>
  <x:si>
    <x:r>
      <x:rPr>
        <x:b/>
        <x:sz val="11"/>
        <x:color rgb="FFFFFFFF"/>
        <x:rFont val="Linux Libertine G"/>
        <x:family val="2"/>
      </x:rPr>
      <x:t xml:space="preserve">组合 </x:t>
    </x:r>
    <x:r>
      <x:rPr>
        <x:b/>
        <x:sz val="11"/>
        <x:color rgb="FFFFFFFF"/>
        <x:rFont val="Arial"/>
        <x:family val="2"/>
      </x:rPr>
      <x:t xml:space="preserve">30-70</x:t>
    </x:r>
  </x:si>
  <x:si>
    <x:t xml:space="preserve">日期</x:t>
  </x:si>
  <x:si>
    <x:t xml:space="preserve">净值</x:t>
  </x:si>
  <x:si>
    <x:t xml:space="preserve">日收益</x:t>
  </x:si>
  <x:si>
    <x:t xml:space="preserve">回撤</x:t>
  </x:si>
  <x:si>
    <x:r>
      <x:rPr>
        <x:i/>
        <x:sz val="9"/>
        <x:color rgb="FF595959"/>
        <x:rFont val="Linux Libertine G"/>
        <x:family val="2"/>
      </x:rPr>
      <x:t xml:space="preserve">各组合自其净值起始日起</x:t>
    </x:r>
    <x:r>
      <x:rPr>
        <x:i/>
        <x:sz val="9"/>
        <x:color rgb="FF595959"/>
        <x:rFont val="Arial"/>
        <x:family val="2"/>
      </x:rPr>
      <x:t xml:space="preserve">=1.0000</x:t>
    </x:r>
    <x:r>
      <x:rPr>
        <x:i/>
        <x:sz val="9"/>
        <x:color rgb="FF595959"/>
        <x:rFont val="Linux Libertine G"/>
        <x:family val="2"/>
      </x:rPr>
      <x:t xml:space="preserve">；买入持有，权重随涨跌漂移；净值已按各自年化费率折每日扣费。新增日期下拉填充。</x:t>
    </x:r>
  </x:si>
  <x:si>
    <x:r>
      <x:rPr>
        <x:sz val="10"/>
        <x:rFont val="Linux Libertine G"/>
        <x:family val="2"/>
      </x:rPr>
      <x:t xml:space="preserve">分期持仓明细（每次调仓后的组合权重；</x:t>
    </x:r>
    <x:r>
      <x:rPr>
        <x:sz val="10"/>
        <x:rFont val="Arial"/>
        <x:family val="2"/>
      </x:rPr>
      <x:t xml:space="preserve">P0=</x:t>
    </x:r>
    <x:r>
      <x:rPr>
        <x:sz val="10"/>
        <x:rFont val="Linux Libertine G"/>
        <x:family val="2"/>
      </x:rPr>
      <x:t xml:space="preserve">初始建仓，</x:t>
    </x:r>
    <x:r>
      <x:rPr>
        <x:sz val="10"/>
        <x:rFont val="Arial"/>
        <x:family val="2"/>
      </x:rPr>
      <x:t xml:space="preserve">P1=7/1</x:t>
    </x:r>
    <x:r>
      <x:rPr>
        <x:sz val="10"/>
        <x:rFont val="Linux Libertine G"/>
        <x:family val="2"/>
      </x:rPr>
      <x:t xml:space="preserve">调仓后…</x:t>
    </x:r>
    <x:r>
      <x:rPr>
        <x:sz val="10"/>
        <x:rFont val="Arial"/>
        <x:family val="2"/>
      </x:rPr>
      <x:t xml:space="preserve">P3=7/17</x:t>
    </x:r>
    <x:r>
      <x:rPr>
        <x:sz val="10"/>
        <x:rFont val="Linux Libertine G"/>
        <x:family val="2"/>
      </x:rPr>
      <x:t xml:space="preserve">调仓后）</x:t>
    </x:r>
  </x:si>
  <x:si>
    <x:r>
      <x:rPr>
        <x:sz val="11"/>
        <x:color theme="1"/>
        <x:rFont val="Linux Libertine G"/>
        <x:family val="2"/>
      </x:rPr>
      <x:t xml:space="preserve">华安黄金</x:t>
    </x:r>
    <x:r>
      <x:rPr>
        <x:sz val="11"/>
        <x:color theme="1"/>
        <x:rFont val="宋体"/>
        <x:family val="2"/>
      </x:rPr>
      <x:t xml:space="preserve">ETF</x:t>
    </x:r>
    <x:r>
      <x:rPr>
        <x:sz val="11"/>
        <x:color theme="1"/>
        <x:rFont val="Linux Libertine G"/>
        <x:family val="2"/>
      </x:rPr>
      <x:t xml:space="preserve">联接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</x:si>
  <x:si>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嘉实快线货币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</x:si>
  <x:si>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宏利复兴混合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</x:si>
  <x:si>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博道沪深</x:t>
    </x:r>
    <x:r>
      <x:rPr>
        <x:sz val="11"/>
        <x:color theme="1"/>
        <x:rFont val="宋体"/>
        <x:family val="2"/>
      </x:rPr>
      <x:t xml:space="preserve">300</x:t>
    </x:r>
    <x:r>
      <x:rPr>
        <x:sz val="11"/>
        <x:color theme="1"/>
        <x:rFont val="Linux Libertine G"/>
        <x:family val="2"/>
      </x:rPr>
      <x:t xml:space="preserve">增强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</x:si>
  <x:si>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博道沪深</x:t>
    </x:r>
    <x:r>
      <x:rPr>
        <x:sz val="11"/>
        <x:color theme="1"/>
        <x:rFont val="宋体"/>
        <x:family val="2"/>
      </x:rPr>
      <x:t xml:space="preserve">300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</x:si>
  <x:si>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国泰通信设备</x:t>
    </x:r>
    <x:r>
      <x:rPr>
        <x:sz val="11"/>
        <x:color theme="1"/>
        <x:rFont val="宋体"/>
        <x:family val="2"/>
      </x:rPr>
      <x:t xml:space="preserve">ETF</x:t>
    </x:r>
    <x:r>
      <x:rPr>
        <x:sz val="11"/>
        <x:color theme="1"/>
        <x:rFont val="Linux Libertine G"/>
        <x:family val="2"/>
      </x:rPr>
      <x:t xml:space="preserve">联接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</x:si>
  <x:si>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国泰通信设备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</x:si>
  <x:si>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银华集成电路混合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</x:si>
  <x:si>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银华集成电路混合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</x:si>
  <x:si>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天弘中证</x:t>
    </x:r>
    <x:r>
      <x:rPr>
        <x:sz val="11"/>
        <x:color theme="1"/>
        <x:rFont val="宋体"/>
        <x:family val="2"/>
      </x:rPr>
      <x:t xml:space="preserve">1000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</x:si>
  <x:si>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天弘中证</x:t>
    </x:r>
    <x:r>
      <x:rPr>
        <x:sz val="11"/>
        <x:color theme="1"/>
        <x:rFont val="宋体"/>
        <x:family val="2"/>
      </x:rPr>
      <x:t xml:space="preserve">1000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</x:si>
  <x:si>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中欧中证</x:t>
    </x:r>
    <x:r>
      <x:rPr>
        <x:sz val="11"/>
        <x:color theme="1"/>
        <x:rFont val="宋体"/>
        <x:family val="2"/>
      </x:rPr>
      <x:t xml:space="preserve">500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</x:si>
  <x:si>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中欧中证</x:t>
    </x:r>
    <x:r>
      <x:rPr>
        <x:sz val="11"/>
        <x:color theme="1"/>
        <x:rFont val="宋体"/>
        <x:family val="2"/>
      </x:rPr>
      <x:t xml:space="preserve">500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</x:si>
  <x:si>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信澳业绩驱动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</x:si>
  <x:si>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嘉实信息产业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</x:si>
  <x:si>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嘉实信息产业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</x:si>
  <x:si>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宏利复兴伟业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</x:si>
  <x:si>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国泰半导体材料设备</x:t>
    </x:r>
    <x:r>
      <x:rPr>
        <x:sz val="11"/>
        <x:color theme="1"/>
        <x:rFont val="宋体"/>
        <x:family val="2"/>
      </x:rPr>
      <x:t xml:space="preserve">ETF</x:t>
    </x:r>
    <x:r>
      <x:rPr>
        <x:sz val="11"/>
        <x:color theme="1"/>
        <x:rFont val="Linux Libertine G"/>
        <x:family val="2"/>
      </x:rPr>
      <x:t xml:space="preserve">联接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</x:si>
  <x:si>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国泰半导体材料设备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</x:si>
  <x:si>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华泰柏瑞中证</x:t>
    </x:r>
    <x:r>
      <x:rPr>
        <x:sz val="11"/>
        <x:color theme="1"/>
        <x:rFont val="宋体"/>
        <x:family val="2"/>
      </x:rPr>
      <x:t xml:space="preserve">2000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</x:si>
  <x:si>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华泰柏瑞中证</x:t>
    </x:r>
    <x:r>
      <x:rPr>
        <x:sz val="11"/>
        <x:color theme="1"/>
        <x:rFont val="宋体"/>
        <x:family val="2"/>
      </x:rPr>
      <x:t xml:space="preserve">2000</x:t>
    </x:r>
    <x:r>
      <x:rPr>
        <x:sz val="11"/>
        <x:color theme="1"/>
        <x:rFont val="Linux Libertine G"/>
        <x:family val="2"/>
      </x:rPr>
      <x:t xml:space="preserve">指增</x:t>
    </x:r>
    <x:r>
      <x:rPr>
        <x:sz val="11"/>
        <x:color theme="1"/>
        <x:rFont val="宋体"/>
        <x:family val="2"/>
      </x:rPr>
      <x:t xml:space="preserve">C</x:t>
    </x:r>
  </x:si>
  <x:si>
    <x:r>
      <x:rPr>
        <x:sz val="11"/>
        <x:color theme="1"/>
        <x:rFont val="Linux Libertine G"/>
        <x:family val="2"/>
      </x:rPr>
      <x:t xml:space="preserve">易方达中债新综指</x:t>
    </x:r>
    <x:r>
      <x:rPr>
        <x:sz val="11"/>
        <x:color theme="1"/>
        <x:rFont val="宋体"/>
        <x:family val="2"/>
      </x:rPr>
      <x:t xml:space="preserve">LOFA</x:t>
    </x:r>
  </x:si>
  <x:si>
    <x:t xml:space="preserve">生效日</x:t>
  </x:si>
  <x:si>
    <x:r>
      <x:rPr>
        <x:sz val="11"/>
        <x:color theme="1"/>
        <x:rFont val="Linux Libertine G"/>
        <x:family val="2"/>
      </x:rPr>
      <x:t xml:space="preserve">累计因子</x:t>
    </x:r>
    <x:r>
      <x:rPr>
        <x:sz val="11"/>
        <x:color theme="1"/>
        <x:rFont val="宋体"/>
        <x:family val="2"/>
      </x:rPr>
      <x:t xml:space="preserve">(</x:t>
    </x:r>
    <x:r>
      <x:rPr>
        <x:sz val="11"/>
        <x:color theme="1"/>
        <x:rFont val="Linux Libertine G"/>
        <x:family val="2"/>
      </x:rPr>
      <x:t xml:space="preserve">自动</x:t>
    </x:r>
    <x:r>
      <x:rPr>
        <x:sz val="11"/>
        <x:color theme="1"/>
        <x:rFont val="宋体"/>
        <x:family val="2"/>
      </x:rPr>
      <x:t xml:space="preserve">)</x:t>
    </x:r>
  </x:si>
  <x:si>
    <x:t xml:space="preserve">000216</x:t>
  </x:si>
  <x:si>
    <x:t xml:space="preserve">000917</x:t>
  </x:si>
  <x:si>
    <x:t xml:space="preserve">001170</x:t>
  </x:si>
  <x:si>
    <x:t xml:space="preserve">007044</x:t>
  </x:si>
  <x:si>
    <x:t xml:space="preserve">007045</x:t>
  </x:si>
  <x:si>
    <x:t xml:space="preserve">007817</x:t>
  </x:si>
  <x:si>
    <x:t xml:space="preserve">007818</x:t>
  </x:si>
  <x:si>
    <x:t xml:space="preserve">009993</x:t>
  </x:si>
  <x:si>
    <x:t xml:space="preserve">013840</x:t>
  </x:si>
  <x:si>
    <x:t xml:space="preserve">013841</x:t>
  </x:si>
  <x:si>
    <x:t xml:space="preserve">014201</x:t>
  </x:si>
  <x:si>
    <x:t xml:space="preserve">014202</x:t>
  </x:si>
  <x:si>
    <x:t xml:space="preserve">015453</x:t>
  </x:si>
  <x:si>
    <x:t xml:space="preserve">015454</x:t>
  </x:si>
  <x:si>
    <x:t xml:space="preserve">016370</x:t>
  </x:si>
  <x:si>
    <x:t xml:space="preserve">017488</x:t>
  </x:si>
  <x:si>
    <x:t xml:space="preserve">017489</x:t>
  </x:si>
  <x:si>
    <x:t xml:space="preserve">017612</x:t>
  </x:si>
  <x:si>
    <x:t xml:space="preserve">019632</x:t>
  </x:si>
  <x:si>
    <x:t xml:space="preserve">019633</x:t>
  </x:si>
  <x:si>
    <x:t xml:space="preserve">019923</x:t>
  </x:si>
  <x:si>
    <x:t xml:space="preserve">019924</x:t>
  </x:si>
  <x:si>
    <x:t xml:space="preserve">161119</x:t>
  </x:si>
  <x:si>
    <x:t xml:space="preserve">162214</x:t>
  </x:si>
  <x:si>
    <x:r>
      <x:rPr>
        <x:sz val="11"/>
        <x:color theme="1"/>
        <x:rFont val="Linux Libertine G"/>
        <x:family val="2"/>
      </x:rPr>
      <x:t xml:space="preserve">产业趋势 </x:t>
    </x:r>
    <x:r>
      <x:rPr>
        <x:sz val="11"/>
        <x:color theme="1"/>
        <x:rFont val="宋体"/>
        <x:family val="2"/>
      </x:rPr>
      <x:t xml:space="preserve">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</x:si>
  <x:si>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Linux Libertine G"/>
        <x:family val="2"/>
      </x:rPr>
      <x:t xml:space="preserve">产业趋势基石 </x:t>
    </x:r>
    <x:r>
      <x:rPr>
        <x:sz val="11"/>
        <x:color theme="1"/>
        <x:rFont val="宋体"/>
        <x:family val="2"/>
      </x:rPr>
      <x:t xml:space="preserve">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</x:si>
  <x:si>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Linux Libertine G"/>
        <x:family val="2"/>
      </x:rPr>
      <x:t xml:space="preserve">产业趋势</x:t>
    </x:r>
    <x:r>
      <x:rPr>
        <x:sz val="11"/>
        <x:color theme="1"/>
        <x:rFont val="宋体"/>
        <x:family val="2"/>
      </x:rPr>
      <x:t xml:space="preserve">2</x:t>
    </x:r>
    <x:r>
      <x:rPr>
        <x:sz val="11"/>
        <x:color theme="1"/>
        <x:rFont val="Linux Libertine G"/>
        <x:family val="2"/>
      </x:rPr>
      <x:t xml:space="preserve">号 </x:t>
    </x:r>
    <x:r>
      <x:rPr>
        <x:sz val="11"/>
        <x:color theme="1"/>
        <x:rFont val="宋体"/>
        <x:family val="2"/>
      </x:rPr>
      <x:t xml:space="preserve">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</x:si>
  <x:si>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宋体"/>
        <x:family val="2"/>
      </x:rPr>
      <x:t xml:space="preserve">10-90 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</x:si>
  <x:si>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宋体"/>
        <x:family val="2"/>
      </x:rPr>
      <x:t xml:space="preserve">10-90 · P1(7/1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</x:si>
  <x:si>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宋体"/>
        <x:family val="2"/>
      </x:rPr>
      <x:t xml:space="preserve">10-90</x:t>
    </x:r>
    <x:r>
      <x:rPr>
        <x:sz val="11"/>
        <x:color theme="1"/>
        <x:rFont val="Linux Libertine G"/>
        <x:family val="2"/>
      </x:rPr>
      <x:t xml:space="preserve">基石 </x:t>
    </x:r>
    <x:r>
      <x:rPr>
        <x:sz val="11"/>
        <x:color theme="1"/>
        <x:rFont val="宋体"/>
        <x:family val="2"/>
      </x:rPr>
      <x:t xml:space="preserve">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</x:si>
  <x:si>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宋体"/>
        <x:family val="2"/>
      </x:rPr>
      <x:t xml:space="preserve">10-90</x:t>
    </x:r>
    <x:r>
      <x:rPr>
        <x:sz val="11"/>
        <x:color theme="1"/>
        <x:rFont val="Linux Libertine G"/>
        <x:family val="2"/>
      </x:rPr>
      <x:t xml:space="preserve">基石 </x:t>
    </x:r>
    <x:r>
      <x:rPr>
        <x:sz val="11"/>
        <x:color theme="1"/>
        <x:rFont val="宋体"/>
        <x:family val="2"/>
      </x:rPr>
      <x:t xml:space="preserve">· P1(7/1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</x:si>
  <x:si>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宋体"/>
        <x:family val="2"/>
      </x:rPr>
      <x:t xml:space="preserve">30-70 · P0</x:t>
    </x:r>
    <x:r>
      <x:rPr>
        <x:sz val="11"/>
        <x:color theme="1"/>
        <x:rFont val="Linux Libertine G"/>
        <x:family val="2"/>
      </x:rPr>
      <x:t xml:space="preserve">初始</x:t>
    </x:r>
  </x:si>
  <x:si>
    <x:r>
      <x:rPr>
        <x:sz val="11"/>
        <x:color theme="1"/>
        <x:rFont val="宋体"/>
        <x:family val="2"/>
      </x:rPr>
      <x:t xml:space="preserve">30-70 · P1(7/1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</x:si>
  <x:si>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宋体"/>
        <x:family val="2"/>
      </x:rPr>
      <x:t xml:space="preserve">10-90 · P2(7/7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</x:si>
  <x:si>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宋体"/>
        <x:family val="2"/>
      </x:rPr>
      <x:t xml:space="preserve">10-90</x:t>
    </x:r>
    <x:r>
      <x:rPr>
        <x:sz val="11"/>
        <x:color theme="1"/>
        <x:rFont val="Linux Libertine G"/>
        <x:family val="2"/>
      </x:rPr>
      <x:t xml:space="preserve">基石 </x:t>
    </x:r>
    <x:r>
      <x:rPr>
        <x:sz val="11"/>
        <x:color theme="1"/>
        <x:rFont val="宋体"/>
        <x:family val="2"/>
      </x:rPr>
      <x:t xml:space="preserve">· P2(7/7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</x:si>
  <x:si>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宋体"/>
        <x:family val="2"/>
      </x:rPr>
      <x:t xml:space="preserve">30-70 · P2(7/7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</x:si>
  <x:si>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Linux Libertine G"/>
        <x:family val="2"/>
      </x:rPr>
      <x:t xml:space="preserve">产业趋势 </x:t>
    </x:r>
    <x:r>
      <x:rPr>
        <x:sz val="11"/>
        <x:color theme="1"/>
        <x:rFont val="宋体"/>
        <x:family val="2"/>
      </x:rPr>
      <x:t xml:space="preserve">· P1(7/10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</x:si>
  <x:si>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Linux Libertine G"/>
        <x:family val="2"/>
      </x:rPr>
      <x:t xml:space="preserve">产业趋势基石 </x:t>
    </x:r>
    <x:r>
      <x:rPr>
        <x:sz val="11"/>
        <x:color theme="1"/>
        <x:rFont val="宋体"/>
        <x:family val="2"/>
      </x:rPr>
      <x:t xml:space="preserve">· P1(7/10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</x:si>
  <x:si>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Linux Libertine G"/>
        <x:family val="2"/>
      </x:rPr>
      <x:t xml:space="preserve">产业趋势</x:t>
    </x:r>
    <x:r>
      <x:rPr>
        <x:sz val="11"/>
        <x:color theme="1"/>
        <x:rFont val="宋体"/>
        <x:family val="2"/>
      </x:rPr>
      <x:t xml:space="preserve">2</x:t>
    </x:r>
    <x:r>
      <x:rPr>
        <x:sz val="11"/>
        <x:color theme="1"/>
        <x:rFont val="Linux Libertine G"/>
        <x:family val="2"/>
      </x:rPr>
      <x:t xml:space="preserve">号 </x:t>
    </x:r>
    <x:r>
      <x:rPr>
        <x:sz val="11"/>
        <x:color theme="1"/>
        <x:rFont val="宋体"/>
        <x:family val="2"/>
      </x:rPr>
      <x:t xml:space="preserve">· P1(7/10</x:t>
    </x:r>
    <x:r>
      <x:rPr>
        <x:sz val="11"/>
        <x:color theme="1"/>
        <x:rFont val="Linux Libertine G"/>
        <x:family val="2"/>
      </x:rPr>
      <x:t xml:space="preserve">调仓后</x:t>
    </x:r>
    <x:r>
      <x:rPr>
        <x:sz val="11"/>
        <x:color theme="1"/>
        <x:rFont val="宋体"/>
        <x:family val="2"/>
      </x:rPr>
      <x:t xml:space="preserve">)</x:t>
    </x:r>
  </x:si>
  <x:si>
    <x:r>
      <x:rPr>
        <x:sz val="10"/>
        <x:rFont val="Arial"/>
        <x:family val="2"/>
      </x:rPr>
      <x:t xml:space="preserve">10-90 · P3(7/17</x:t>
    </x:r>
    <x:r>
      <x:rPr>
        <x:sz val="10"/>
        <x:rFont val="Linux Libertine G"/>
        <x:family val="2"/>
      </x:rPr>
      <x:t xml:space="preserve">调仓后</x:t>
    </x:r>
    <x:r>
      <x:rPr>
        <x:sz val="10"/>
        <x:rFont val="Arial"/>
        <x:family val="2"/>
      </x:rPr>
      <x:t xml:space="preserve">)</x:t>
    </x:r>
  </x:si>
  <x:si>
    <x:r>
      <x:rPr>
        <x:sz val="10"/>
        <x:rFont val="Arial"/>
        <x:family val="2"/>
      </x:rPr>
      <x:t xml:space="preserve">10-90</x:t>
    </x:r>
    <x:r>
      <x:rPr>
        <x:sz val="10"/>
        <x:rFont val="Linux Libertine G"/>
        <x:family val="2"/>
      </x:rPr>
      <x:t xml:space="preserve">基石 </x:t>
    </x:r>
    <x:r>
      <x:rPr>
        <x:sz val="10"/>
        <x:rFont val="Arial"/>
        <x:family val="2"/>
      </x:rPr>
      <x:t xml:space="preserve">· P3(7/17</x:t>
    </x:r>
    <x:r>
      <x:rPr>
        <x:sz val="10"/>
        <x:rFont val="Linux Libertine G"/>
        <x:family val="2"/>
      </x:rPr>
      <x:t xml:space="preserve">调仓后</x:t>
    </x:r>
    <x:r>
      <x:rPr>
        <x:sz val="10"/>
        <x:rFont val="Arial"/>
        <x:family val="2"/>
      </x:rPr>
      <x:t xml:space="preserve">)</x:t>
    </x:r>
  </x:si>
  <x:si>
    <x:r>
      <x:rPr>
        <x:sz val="10"/>
        <x:rFont val="Arial"/>
        <x:family val="2"/>
      </x:rPr>
      <x:t xml:space="preserve">30-70 · P3(7/17</x:t>
    </x:r>
    <x:r>
      <x:rPr>
        <x:sz val="10"/>
        <x:rFont val="Linux Libertine G"/>
        <x:family val="2"/>
      </x:rPr>
      <x:t xml:space="preserve">调仓后</x:t>
    </x:r>
    <x:r>
      <x:rPr>
        <x:sz val="10"/>
        <x:rFont val="Arial"/>
        <x:family val="2"/>
      </x:rPr>
      <x:t xml:space="preserve">)</x:t>
    </x:r>
  </x:si>
  <x:si>
    <x:t xml:space="preserve">样板间组合走势看板（产业趋势组合）</x:t>
  </x:si>
  <x:si>
    <x:t xml:space="preserve">产品业绩表现（历史表现不代表未来收益承诺）</x:t>
  </x:si>
  <x:si>
    <x:t xml:space="preserve">最新净值</x:t>
  </x:si>
  <x:si>
    <x:t xml:space="preserve">累计收益</x:t>
  </x:si>
  <x:si>
    <x:t xml:space="preserve">年化收益</x:t>
  </x:si>
  <x:si>
    <x:t xml:space="preserve">年化波动率</x:t>
  </x:si>
  <x:si>
    <x:t xml:space="preserve">最大回撤</x:t>
  </x:si>
  <x:si>
    <x:t xml:space="preserve">夏普比率</x:t>
  </x:si>
  <x:si>
    <x:t xml:space="preserve">收益表现</x:t>
  </x:si>
  <x:si>
    <x:t xml:space="preserve">风险特征</x:t>
  </x:si>
  <x:si>
    <x:t xml:space="preserve">区间</x:t>
  </x:si>
  <x:si>
    <x:t xml:space="preserve">指标</x:t>
  </x:si>
  <x:si>
    <x:t xml:space="preserve">数值</x:t>
  </x:si>
  <x:si>
    <x:t xml:space="preserve">起始以来</x:t>
  </x:si>
  <x:si>
    <x:t xml:space="preserve">2026YTD</x:t>
  </x:si>
  <x:si>
    <x:r>
      <x:rPr>
        <x:b/>
        <x:sz val="16"/>
        <x:color rgb="FF000000"/>
        <x:rFont val="Linux Libertine G"/>
        <x:family val="2"/>
      </x:rPr>
      <x:t xml:space="preserve">回撤修复天数</x:t>
    </x:r>
    <x:r>
      <x:rPr>
        <x:b/>
        <x:sz val="16"/>
        <x:color rgb="FF000000"/>
        <x:rFont val="微软雅黑"/>
        <x:family val="2"/>
      </x:rPr>
      <x:t xml:space="preserve">(</x:t>
    </x:r>
    <x:r>
      <x:rPr>
        <x:b/>
        <x:sz val="16"/>
        <x:color rgb="FF000000"/>
        <x:rFont val="Linux Libertine G"/>
        <x:family val="2"/>
      </x:rPr>
      <x:t xml:space="preserve">未创新高</x:t>
    </x:r>
    <x:r>
      <x:rPr>
        <x:b/>
        <x:sz val="16"/>
        <x:color rgb="FF000000"/>
        <x:rFont val="微软雅黑"/>
        <x:family val="2"/>
      </x:rPr>
      <x:t xml:space="preserve">)</x:t>
    </x:r>
  </x:si>
  <x:si>
    <x:r>
      <x:rPr>
        <x:b/>
        <x:sz val="16"/>
        <x:color rgb="FF000000"/>
        <x:rFont val="Linux Libertine G"/>
        <x:family val="2"/>
      </x:rPr>
      <x:t xml:space="preserve">近</x:t>
    </x:r>
    <x:r>
      <x:rPr>
        <x:b/>
        <x:sz val="16"/>
        <x:color rgb="FF000000"/>
        <x:rFont val="微软雅黑"/>
        <x:family val="2"/>
      </x:rPr>
      <x:t xml:space="preserve">3</x:t>
    </x:r>
    <x:r>
      <x:rPr>
        <x:b/>
        <x:sz val="16"/>
        <x:color rgb="FF000000"/>
        <x:rFont val="Linux Libertine G"/>
        <x:family val="2"/>
      </x:rPr>
      <x:t xml:space="preserve">个月</x:t>
    </x:r>
  </x:si>
  <x:si>
    <x:t xml:space="preserve">正收益占比</x:t>
  </x:si>
  <x:si>
    <x:r>
      <x:rPr>
        <x:b/>
        <x:sz val="16"/>
        <x:color rgb="FF000000"/>
        <x:rFont val="Linux Libertine G"/>
        <x:family val="2"/>
      </x:rPr>
      <x:t xml:space="preserve">近</x:t>
    </x:r>
    <x:r>
      <x:rPr>
        <x:b/>
        <x:sz val="16"/>
        <x:color rgb="FF000000"/>
        <x:rFont val="微软雅黑"/>
        <x:family val="2"/>
      </x:rPr>
      <x:t xml:space="preserve">6</x:t>
    </x:r>
    <x:r>
      <x:rPr>
        <x:b/>
        <x:sz val="16"/>
        <x:color rgb="FF000000"/>
        <x:rFont val="Linux Libertine G"/>
        <x:family val="2"/>
      </x:rPr>
      <x:t xml:space="preserve">个月</x:t>
    </x:r>
  </x:si>
  <x:si>
    <x:r>
      <x:rPr>
        <x:b/>
        <x:sz val="16"/>
        <x:color rgb="FF000000"/>
        <x:rFont val="Linux Libertine G"/>
        <x:family val="2"/>
      </x:rPr>
      <x:t xml:space="preserve">近</x:t>
    </x:r>
    <x:r>
      <x:rPr>
        <x:b/>
        <x:sz val="16"/>
        <x:color rgb="FF000000"/>
        <x:rFont val="微软雅黑"/>
        <x:family val="2"/>
      </x:rPr>
      <x:t xml:space="preserve">1</x:t>
    </x:r>
    <x:r>
      <x:rPr>
        <x:b/>
        <x:sz val="16"/>
        <x:color rgb="FF000000"/>
        <x:rFont val="Linux Libertine G"/>
        <x:family val="2"/>
      </x:rPr>
      <x:t xml:space="preserve">年</x:t>
    </x:r>
  </x:si>
  <x:si>
    <x:t xml:space="preserve">卡玛比率</x:t>
  </x:si>
  <x:si>
    <x:r>
      <x:rPr>
        <x:b/>
        <x:sz val="11"/>
        <x:color rgb="FFFFFFFF"/>
        <x:rFont val="Linux Libertine G"/>
        <x:family val="2"/>
      </x:rPr>
      <x:t xml:space="preserve">产品运作情况 </x:t>
    </x:r>
    <x:r>
      <x:rPr>
        <x:b/>
        <x:sz val="11"/>
        <x:color rgb="FFFFFFFF"/>
        <x:rFont val="Arial"/>
        <x:family val="2"/>
      </x:rPr>
      <x:t xml:space="preserve">· </x:t>
    </x:r>
    <x:r>
      <x:rPr>
        <x:b/>
        <x:sz val="11"/>
        <x:color rgb="FFFFFFFF"/>
        <x:rFont val="Linux Libertine G"/>
        <x:family val="2"/>
      </x:rPr>
      <x:t xml:space="preserve">组合净值曲线</x:t>
    </x:r>
  </x:si>
  <x:si>
    <x:r>
      <x:rPr>
        <x:i/>
        <x:sz val="9"/>
        <x:color rgb="FF595959"/>
        <x:rFont val="Linux Libertine G"/>
        <x:family val="2"/>
      </x:rPr>
      <x:t xml:space="preserve">统计区间自</x:t>
    </x:r>
    <x:r>
      <x:rPr>
        <x:i/>
        <x:sz val="9"/>
        <x:color rgb="FF595959"/>
        <x:rFont val="Arial"/>
        <x:family val="2"/>
      </x:rPr>
      <x:t xml:space="preserve">2026/6/1</x:t>
    </x:r>
    <x:r>
      <x:rPr>
        <x:i/>
        <x:sz val="9"/>
        <x:color rgb="FF595959"/>
        <x:rFont val="Linux Libertine G"/>
        <x:family val="2"/>
      </x:rPr>
      <x:t xml:space="preserve">起；运作初期样本少，年化类指标仅供参考。新增交易日后请同步扩展本图数据区。</x:t>
    </x:r>
  </x:si>
  <x:si>
    <x:t xml:space="preserve">样板间组合走势看板（产业趋势基石组合）</x:t>
  </x:si>
  <x:si>
    <x:r>
      <x:rPr>
        <x:b/>
        <x:sz val="17"/>
        <x:color rgb="FFFFFFFF"/>
        <x:rFont val="Linux Libertine G"/>
        <x:family val="2"/>
      </x:rPr>
      <x:t xml:space="preserve">样板间组合走势看板（产业趋势</x:t>
    </x:r>
    <x:r>
      <x:rPr>
        <x:b/>
        <x:sz val="17"/>
        <x:color rgb="FFFFFFFF"/>
        <x:rFont val="Arial"/>
        <x:family val="2"/>
      </x:rPr>
      <x:t xml:space="preserve">2</x:t>
    </x:r>
    <x:r>
      <x:rPr>
        <x:b/>
        <x:sz val="17"/>
        <x:color rgb="FFFFFFFF"/>
        <x:rFont val="Linux Libertine G"/>
        <x:family val="2"/>
      </x:rPr>
      <x:t xml:space="preserve">号组合）</x:t>
    </x:r>
  </x:si>
  <x:si>
    <x:r>
      <x:rPr>
        <x:b/>
        <x:sz val="17"/>
        <x:color rgb="FFFFFFFF"/>
        <x:rFont val="Linux Libertine G"/>
        <x:family val="2"/>
      </x:rPr>
      <x:t xml:space="preserve">样板间组合走势看板（</x:t>
    </x:r>
    <x:r>
      <x:rPr>
        <x:b/>
        <x:sz val="17"/>
        <x:color rgb="FFFFFFFF"/>
        <x:rFont val="Arial"/>
        <x:family val="2"/>
      </x:rPr>
      <x:t xml:space="preserve">10-90</x:t>
    </x:r>
    <x:r>
      <x:rPr>
        <x:b/>
        <x:sz val="17"/>
        <x:color rgb="FFFFFFFF"/>
        <x:rFont val="Linux Libertine G"/>
        <x:family val="2"/>
      </x:rPr>
      <x:t xml:space="preserve">组合）</x:t>
    </x:r>
  </x:si>
  <x:si>
    <x:r>
      <x:rPr>
        <x:b/>
        <x:sz val="17"/>
        <x:color rgb="FFFFFFFF"/>
        <x:rFont val="Linux Libertine G"/>
        <x:family val="2"/>
      </x:rPr>
      <x:t xml:space="preserve">样板间组合走势看板（</x:t>
    </x:r>
    <x:r>
      <x:rPr>
        <x:b/>
        <x:sz val="17"/>
        <x:color rgb="FFFFFFFF"/>
        <x:rFont val="Arial"/>
        <x:family val="2"/>
      </x:rPr>
      <x:t xml:space="preserve">10-90</x:t>
    </x:r>
    <x:r>
      <x:rPr>
        <x:b/>
        <x:sz val="17"/>
        <x:color rgb="FFFFFFFF"/>
        <x:rFont val="Linux Libertine G"/>
        <x:family val="2"/>
      </x:rPr>
      <x:t xml:space="preserve">基石组合）</x:t>
    </x:r>
  </x:si>
  <x:si>
    <x:r>
      <x:rPr>
        <x:b/>
        <x:sz val="17"/>
        <x:color rgb="FFFFFFFF"/>
        <x:rFont val="Linux Libertine G"/>
        <x:family val="2"/>
      </x:rPr>
      <x:t xml:space="preserve">样板间组合走势看板（</x:t>
    </x:r>
    <x:r>
      <x:rPr>
        <x:b/>
        <x:sz val="17"/>
        <x:color rgb="FFFFFFFF"/>
        <x:rFont val="Arial"/>
        <x:family val="2"/>
      </x:rPr>
      <x:t xml:space="preserve">30-70</x:t>
    </x:r>
    <x:r>
      <x:rPr>
        <x:b/>
        <x:sz val="17"/>
        <x:color rgb="FFFFFFFF"/>
        <x:rFont val="Linux Libertine G"/>
        <x:family val="2"/>
      </x:rPr>
      <x:t xml:space="preserve">组合）</x:t>
    </x:r>
  </x:si>
  <x:si>
    <x:r>
      <x:rPr>
        <x:b/>
        <x:sz val="18"/>
        <x:color rgb="FF1F3864"/>
        <x:rFont val="Linux Libertine G"/>
        <x:family val="2"/>
      </x:rPr>
      <x:t xml:space="preserve">样板间投顾组合 </x:t>
    </x:r>
    <x:r>
      <x:rPr>
        <x:b/>
        <x:sz val="18"/>
        <x:color rgb="FF1F3864"/>
        <x:rFont val="Arial"/>
        <x:family val="2"/>
      </x:rPr>
      <x:t xml:space="preserve">· </x:t>
    </x:r>
    <x:r>
      <x:rPr>
        <x:b/>
        <x:sz val="18"/>
        <x:color rgb="FF1F3864"/>
        <x:rFont val="Linux Libertine G"/>
        <x:family val="2"/>
      </x:rPr>
      <x:t xml:space="preserve">净值监控模板</x:t>
    </x:r>
  </x:si>
  <x:si>
    <x:r>
      <x:rPr>
        <x:i/>
        <x:sz val="9"/>
        <x:color rgb="FF595959"/>
        <x:rFont val="Linux Libertine G"/>
        <x:family val="2"/>
      </x:rPr>
      <x:t xml:space="preserve">运作起始日（实盘）：产业趋势基石</x:t>
    </x:r>
    <x:r>
      <x:rPr>
        <x:i/>
        <x:sz val="9"/>
        <x:color rgb="FF595959"/>
        <x:rFont val="Arial"/>
        <x:family val="2"/>
      </x:rPr>
      <x:t xml:space="preserve">/10-90</x:t>
    </x:r>
    <x:r>
      <x:rPr>
        <x:i/>
        <x:sz val="9"/>
        <x:color rgb="FF595959"/>
        <x:rFont val="Linux Libertine G"/>
        <x:family val="2"/>
      </x:rPr>
      <x:t xml:space="preserve">基石 </x:t>
    </x:r>
    <x:r>
      <x:rPr>
        <x:i/>
        <x:sz val="9"/>
        <x:color rgb="FF595959"/>
        <x:rFont val="Arial"/>
        <x:family val="2"/>
      </x:rPr>
      <x:t xml:space="preserve">2026/6/18 · </x:t>
    </x:r>
    <x:r>
      <x:rPr>
        <x:i/>
        <x:sz val="9"/>
        <x:color rgb="FF595959"/>
        <x:rFont val="Linux Libertine G"/>
        <x:family val="2"/>
      </x:rPr>
      <x:t xml:space="preserve">产业趋势 </x:t>
    </x:r>
    <x:r>
      <x:rPr>
        <x:i/>
        <x:sz val="9"/>
        <x:color rgb="FF595959"/>
        <x:rFont val="Arial"/>
        <x:family val="2"/>
      </x:rPr>
      <x:t xml:space="preserve">6/22 · </x:t>
    </x:r>
    <x:r>
      <x:rPr>
        <x:i/>
        <x:sz val="9"/>
        <x:color rgb="FF595959"/>
        <x:rFont val="Linux Libertine G"/>
        <x:family val="2"/>
      </x:rPr>
      <x:t xml:space="preserve">产业趋势</x:t>
    </x:r>
    <x:r>
      <x:rPr>
        <x:i/>
        <x:sz val="9"/>
        <x:color rgb="FF595959"/>
        <x:rFont val="Arial"/>
        <x:family val="2"/>
      </x:rPr>
      <x:t xml:space="preserve">2</x:t>
    </x:r>
    <x:r>
      <x:rPr>
        <x:i/>
        <x:sz val="9"/>
        <x:color rgb="FF595959"/>
        <x:rFont val="Linux Libertine G"/>
        <x:family val="2"/>
      </x:rPr>
      <x:t xml:space="preserve">号 </x:t>
    </x:r>
    <x:r>
      <x:rPr>
        <x:i/>
        <x:sz val="9"/>
        <x:color rgb="FF595959"/>
        <x:rFont val="Arial"/>
        <x:family val="2"/>
      </x:rPr>
      <x:t xml:space="preserve">6/23 · 10-90/30-70 6/24 </x:t>
    </x:r>
    <x:r>
      <x:rPr>
        <x:i/>
        <x:sz val="9"/>
        <x:color rgb="FF595959"/>
        <x:rFont val="Linux Libertine G"/>
        <x:family val="2"/>
      </x:rPr>
      <x:t xml:space="preserve">｜ 净值口径：复权单位净值</x:t>
    </x:r>
    <x:r>
      <x:rPr>
        <x:i/>
        <x:sz val="9"/>
        <x:color rgb="FF595959"/>
        <x:rFont val="Arial"/>
        <x:family val="2"/>
      </x:rPr>
      <x:t xml:space="preserve">(iFinD) </x:t>
    </x:r>
    <x:r>
      <x:rPr>
        <x:i/>
        <x:sz val="9"/>
        <x:color rgb="FF595959"/>
        <x:rFont val="Linux Libertine G"/>
        <x:family val="2"/>
      </x:rPr>
      <x:t xml:space="preserve">｜ 买入持有</x:t>
    </x:r>
    <x:r>
      <x:rPr>
        <x:i/>
        <x:sz val="9"/>
        <x:color rgb="FF595959"/>
        <x:rFont val="Arial"/>
        <x:family val="2"/>
      </x:rPr>
      <x:t xml:space="preserve">(</x:t>
    </x:r>
    <x:r>
      <x:rPr>
        <x:i/>
        <x:sz val="9"/>
        <x:color rgb="FF595959"/>
        <x:rFont val="Linux Libertine G"/>
        <x:family val="2"/>
      </x:rPr>
      <x:t xml:space="preserve">权重漂移</x:t>
    </x:r>
    <x:r>
      <x:rPr>
        <x:i/>
        <x:sz val="9"/>
        <x:color rgb="FF595959"/>
        <x:rFont val="Arial"/>
        <x:family val="2"/>
      </x:rPr>
      <x:t xml:space="preserve">)</x:t>
    </x:r>
    <x:r>
      <x:rPr>
        <x:i/>
        <x:sz val="9"/>
        <x:color rgb="FF595959"/>
        <x:rFont val="Linux Libertine G"/>
        <x:family val="2"/>
      </x:rPr>
      <x:t xml:space="preserve">，各组合自其起始日净值</x:t>
    </x:r>
    <x:r>
      <x:rPr>
        <x:i/>
        <x:sz val="9"/>
        <x:color rgb="FF595959"/>
        <x:rFont val="Arial"/>
        <x:family val="2"/>
      </x:rPr>
      <x:t xml:space="preserve">=1</x:t>
    </x:r>
  </x:si>
  <x:si>
    <x:t xml:space="preserve">一、模板结构</x:t>
  </x:si>
  <x:si>
    <x:t xml:space="preserve">持仓配置</x:t>
  </x:si>
  <x:si>
    <x:r>
      <x:rPr>
        <x:sz val="10"/>
        <x:color rgb="FF000000"/>
        <x:rFont val="Linux Libertine G"/>
        <x:family val="2"/>
      </x:rPr>
      <x:t xml:space="preserve">实盘</x:t>
    </x:r>
    <x:r>
      <x:rPr>
        <x:sz val="10"/>
        <x:color rgb="FF000000"/>
        <x:rFont val="微软雅黑"/>
        <x:family val="2"/>
      </x:rPr>
      <x:t xml:space="preserve">6</x:t>
    </x:r>
    <x:r>
      <x:rPr>
        <x:sz val="10"/>
        <x:color rgb="FF000000"/>
        <x:rFont val="Linux Libertine G"/>
        <x:family val="2"/>
      </x:rPr>
      <x:t xml:space="preserve">组合</x:t>
    </x:r>
    <x:r>
      <x:rPr>
        <x:sz val="10"/>
        <x:color rgb="FF000000"/>
        <x:rFont val="微软雅黑"/>
        <x:family val="2"/>
      </x:rPr>
      <x:t xml:space="preserve">(</x:t>
    </x:r>
    <x:r>
      <x:rPr>
        <x:sz val="10"/>
        <x:color rgb="FF000000"/>
        <x:rFont val="Linux Libertine G"/>
        <x:family val="2"/>
      </x:rPr>
      <x:t xml:space="preserve">产业趋势</x:t>
    </x:r>
    <x:r>
      <x:rPr>
        <x:sz val="10"/>
        <x:color rgb="FF000000"/>
        <x:rFont val="微软雅黑"/>
        <x:family val="2"/>
      </x:rPr>
      <x:t xml:space="preserve">/</x:t>
    </x:r>
    <x:r>
      <x:rPr>
        <x:sz val="10"/>
        <x:color rgb="FF000000"/>
        <x:rFont val="Linux Libertine G"/>
        <x:family val="2"/>
      </x:rPr>
      <x:t xml:space="preserve">产业趋势基石</x:t>
    </x:r>
    <x:r>
      <x:rPr>
        <x:sz val="10"/>
        <x:color rgb="FF000000"/>
        <x:rFont val="微软雅黑"/>
        <x:family val="2"/>
      </x:rPr>
      <x:t xml:space="preserve">/</x:t>
    </x:r>
    <x:r>
      <x:rPr>
        <x:sz val="10"/>
        <x:color rgb="FF000000"/>
        <x:rFont val="Linux Libertine G"/>
        <x:family val="2"/>
      </x:rPr>
      <x:t xml:space="preserve">产业趋势</x:t>
    </x:r>
    <x:r>
      <x:rPr>
        <x:sz val="10"/>
        <x:color rgb="FF000000"/>
        <x:rFont val="微软雅黑"/>
        <x:family val="2"/>
      </x:rPr>
      <x:t xml:space="preserve">2</x:t>
    </x:r>
    <x:r>
      <x:rPr>
        <x:sz val="10"/>
        <x:color rgb="FF000000"/>
        <x:rFont val="Linux Libertine G"/>
        <x:family val="2"/>
      </x:rPr>
      <x:t xml:space="preserve">号</x:t>
    </x:r>
    <x:r>
      <x:rPr>
        <x:sz val="10"/>
        <x:color rgb="FF000000"/>
        <x:rFont val="微软雅黑"/>
        <x:family val="2"/>
      </x:rPr>
      <x:t xml:space="preserve">/10-90/10-90</x:t>
    </x:r>
    <x:r>
      <x:rPr>
        <x:sz val="10"/>
        <x:color rgb="FF000000"/>
        <x:rFont val="Linux Libertine G"/>
        <x:family val="2"/>
      </x:rPr>
      <x:t xml:space="preserve">基石</x:t>
    </x:r>
    <x:r>
      <x:rPr>
        <x:sz val="10"/>
        <x:color rgb="FF000000"/>
        <x:rFont val="微软雅黑"/>
        <x:family val="2"/>
      </x:rPr>
      <x:t xml:space="preserve">/30-70)</x:t>
    </x:r>
    <x:r>
      <x:rPr>
        <x:sz val="10"/>
        <x:color rgb="FF000000"/>
        <x:rFont val="Linux Libertine G"/>
        <x:family val="2"/>
      </x:rPr>
      <x:t xml:space="preserve">成份基金、代码、初始权重、年化费率、净值起始日，可直接编辑。</x:t>
    </x:r>
  </x:si>
  <x:si>
    <x:r>
      <x:rPr>
        <x:b/>
        <x:sz val="10"/>
        <x:color rgb="FF000000"/>
        <x:rFont val="Linux Libertine G"/>
        <x:family val="2"/>
      </x:rPr>
      <x:t xml:space="preserve">净值数据</x:t>
    </x:r>
    <x:r>
      <x:rPr>
        <x:b/>
        <x:sz val="10"/>
        <x:color rgb="FF000000"/>
        <x:rFont val="Arial"/>
        <x:family val="2"/>
      </x:rPr>
      <x:t xml:space="preserve">(iFinD</x:t>
    </x:r>
    <x:r>
      <x:rPr>
        <x:b/>
        <x:sz val="10"/>
        <x:color rgb="FF000000"/>
        <x:rFont val="Linux Libertine G"/>
        <x:family val="2"/>
      </x:rPr>
      <x:t xml:space="preserve">公式</x:t>
    </x:r>
    <x:r>
      <x:rPr>
        <x:b/>
        <x:sz val="10"/>
        <x:color rgb="FF000000"/>
        <x:rFont val="Arial"/>
        <x:family val="2"/>
      </x:rPr>
      <x:t xml:space="preserve">)</x:t>
    </x:r>
  </x:si>
  <x:si>
    <x:t xml:space="preserve">同花顺公式拉取复权单位净值</x:t>
  </x:si>
  <x:si>
    <x:t xml:space="preserve">组合净值</x:t>
  </x:si>
  <x:si>
    <x:r>
      <x:rPr>
        <x:sz val="10"/>
        <x:color rgb="FF000000"/>
        <x:rFont val="Linux Libertine G"/>
        <x:family val="2"/>
      </x:rPr>
      <x:t xml:space="preserve">按买入持有逐日计算四组合净值、日收益与回撤；净值已按年化费率折每日扣费</x:t>
    </x:r>
    <x:r>
      <x:rPr>
        <x:sz val="10"/>
        <x:color rgb="FF000000"/>
        <x:rFont val="微软雅黑"/>
        <x:family val="2"/>
      </x:rPr>
      <x:t xml:space="preserve">(</x:t>
    </x:r>
    <x:r>
      <x:rPr>
        <x:sz val="10"/>
        <x:color rgb="FF000000"/>
        <x:rFont val="Linux Libertine G"/>
        <x:family val="2"/>
      </x:rPr>
      <x:t xml:space="preserve">扣费后口径</x:t>
    </x:r>
    <x:r>
      <x:rPr>
        <x:sz val="10"/>
        <x:color rgb="FF000000"/>
        <x:rFont val="微软雅黑"/>
        <x:family val="2"/>
      </x:rPr>
      <x:t xml:space="preserve">)</x:t>
    </x:r>
    <x:r>
      <x:rPr>
        <x:sz val="10"/>
        <x:color rgb="FF000000"/>
        <x:rFont val="Linux Libertine G"/>
        <x:family val="2"/>
      </x:rPr>
      <x:t xml:space="preserve">。</x:t>
    </x:r>
  </x:si>
  <x:si>
    <x:r>
      <x:rPr>
        <x:b/>
        <x:sz val="10"/>
        <x:color rgb="FF000000"/>
        <x:rFont val="Linux Libertine G"/>
        <x:family val="2"/>
      </x:rPr>
      <x:t xml:space="preserve">看板</x:t>
    </x:r>
    <x:r>
      <x:rPr>
        <x:b/>
        <x:sz val="10"/>
        <x:color rgb="FF000000"/>
        <x:rFont val="Arial"/>
        <x:family val="2"/>
      </x:rPr>
      <x:t xml:space="preserve">-10/20/30/</x:t>
    </x:r>
    <x:r>
      <x:rPr>
        <x:b/>
        <x:sz val="10"/>
        <x:color rgb="FF000000"/>
        <x:rFont val="Linux Libertine G"/>
        <x:family val="2"/>
      </x:rPr>
      <x:t xml:space="preserve">增值</x:t>
    </x:r>
  </x:si>
  <x:si>
    <x:r>
      <x:rPr>
        <x:sz val="10"/>
        <x:color rgb="FF000000"/>
        <x:rFont val="微软雅黑"/>
        <x:family val="2"/>
      </x:rPr>
      <x:t xml:space="preserve">6</x:t>
    </x:r>
    <x:r>
      <x:rPr>
        <x:sz val="10"/>
        <x:color rgb="FF000000"/>
        <x:rFont val="Linux Libertine G"/>
        <x:family val="2"/>
      </x:rPr>
      <x:t xml:space="preserve">个组合各一页：业绩</x:t>
    </x:r>
    <x:r>
      <x:rPr>
        <x:sz val="10"/>
        <x:color rgb="FF000000"/>
        <x:rFont val="微软雅黑"/>
        <x:family val="2"/>
      </x:rPr>
      <x:t xml:space="preserve">KPI</x:t>
    </x:r>
    <x:r>
      <x:rPr>
        <x:sz val="10"/>
        <x:color rgb="FF000000"/>
        <x:rFont val="Linux Libertine G"/>
        <x:family val="2"/>
      </x:rPr>
      <x:t xml:space="preserve">＋收益表现＋风险特征＋净值曲线。</x:t>
    </x:r>
  </x:si>
  <x:si>
    <x:t xml:space="preserve">二、使用说明</x:t>
  </x:si>
  <x:si>
    <x:t xml:space="preserve">每日更新</x:t>
  </x:si>
  <x:si>
    <x:r>
      <x:rPr>
        <x:sz val="10"/>
        <x:color rgb="FF000000"/>
        <x:rFont val="Linux Libertine G"/>
        <x:family val="2"/>
      </x:rPr>
      <x:t xml:space="preserve">在『净值数据』『组合净值』底部按日期顺序新增一行</x:t>
    </x:r>
    <x:r>
      <x:rPr>
        <x:sz val="10"/>
        <x:color rgb="FF000000"/>
        <x:rFont val="微软雅黑"/>
        <x:family val="2"/>
      </x:rPr>
      <x:t xml:space="preserve">(</x:t>
    </x:r>
    <x:r>
      <x:rPr>
        <x:sz val="10"/>
        <x:color rgb="FF000000"/>
        <x:rFont val="Linux Libertine G"/>
        <x:family val="2"/>
      </x:rPr>
      <x:t xml:space="preserve">公式可下拉</x:t>
    </x:r>
    <x:r>
      <x:rPr>
        <x:sz val="10"/>
        <x:color rgb="FF000000"/>
        <x:rFont val="微软雅黑"/>
        <x:family val="2"/>
      </x:rPr>
      <x:t xml:space="preserve">)</x:t>
    </x:r>
    <x:r>
      <x:rPr>
        <x:sz val="10"/>
        <x:color rgb="FF000000"/>
        <x:rFont val="Linux Libertine G"/>
        <x:family val="2"/>
      </x:rPr>
      <x:t xml:space="preserve">，看板自动刷新。</x:t>
    </x:r>
  </x:si>
  <x:si>
    <x:r>
      <x:rPr>
        <x:b/>
        <x:sz val="10"/>
        <x:color rgb="FF000000"/>
        <x:rFont val="Arial"/>
        <x:family val="2"/>
      </x:rPr>
      <x:t xml:space="preserve">iFinD</x:t>
    </x:r>
    <x:r>
      <x:rPr>
        <x:b/>
        <x:sz val="10"/>
        <x:color rgb="FF000000"/>
        <x:rFont val="Linux Libertine G"/>
        <x:family val="2"/>
      </x:rPr>
      <x:t xml:space="preserve">指标</x:t>
    </x:r>
  </x:si>
  <x:si>
    <x:r>
      <x:rPr>
        <x:sz val="10"/>
        <x:color rgb="FF000000"/>
        <x:rFont val="Linux Libertine G"/>
        <x:family val="2"/>
      </x:rPr>
      <x:t xml:space="preserve">复权净值指标代码集中在『净值数据』</x:t>
    </x:r>
    <x:r>
      <x:rPr>
        <x:sz val="10"/>
        <x:color rgb="FF000000"/>
        <x:rFont val="微软雅黑"/>
        <x:family val="2"/>
      </x:rPr>
      <x:t xml:space="preserve">B2</x:t>
    </x:r>
    <x:r>
      <x:rPr>
        <x:sz val="10"/>
        <x:color rgb="FF000000"/>
        <x:rFont val="Linux Libertine G"/>
        <x:family val="2"/>
      </x:rPr>
      <x:t xml:space="preserve">，与本地版本不符时只改此处。</x:t>
    </x:r>
  </x:si>
  <x:si>
    <x:t xml:space="preserve">买入持有口径</x:t>
  </x:si>
  <x:si>
    <x:r>
      <x:rPr>
        <x:sz val="10"/>
        <x:color rgb="FF000000"/>
        <x:rFont val="Linux Libertine G"/>
        <x:family val="2"/>
      </x:rPr>
      <x:t xml:space="preserve">起始日按初始权重买入后持有，权重随涨跌漂移；组合起始净值</x:t>
    </x:r>
    <x:r>
      <x:rPr>
        <x:sz val="10"/>
        <x:color rgb="FF000000"/>
        <x:rFont val="微软雅黑"/>
        <x:family val="2"/>
      </x:rPr>
      <x:t xml:space="preserve">=1.0000</x:t>
    </x:r>
    <x:r>
      <x:rPr>
        <x:sz val="10"/>
        <x:color rgb="FF000000"/>
        <x:rFont val="Linux Libertine G"/>
        <x:family val="2"/>
      </x:rPr>
      <x:t xml:space="preserve">。</x:t>
    </x:r>
  </x:si>
  <x:si>
    <x:t xml:space="preserve">扣费方式</x:t>
  </x:si>
  <x:si>
    <x:r>
      <x:rPr>
        <x:sz val="10"/>
        <x:color rgb="FF000000"/>
        <x:rFont val="Linux Libertine G"/>
        <x:family val="2"/>
      </x:rPr>
      <x:t xml:space="preserve">各组合年化费率见『实盘持仓配置』</x:t>
    </x:r>
    <x:r>
      <x:rPr>
        <x:sz val="10"/>
        <x:color rgb="FF000000"/>
        <x:rFont val="微软雅黑"/>
        <x:family val="2"/>
      </x:rPr>
      <x:t xml:space="preserve">Z</x:t>
    </x:r>
    <x:r>
      <x:rPr>
        <x:sz val="10"/>
        <x:color rgb="FF000000"/>
        <x:rFont val="Linux Libertine G"/>
        <x:family val="2"/>
      </x:rPr>
      <x:t xml:space="preserve">列；按 净值</x:t>
    </x:r>
    <x:r>
      <x:rPr>
        <x:sz val="10"/>
        <x:color rgb="FF000000"/>
        <x:rFont val="微软雅黑"/>
        <x:family val="2"/>
      </x:rPr>
      <x:t xml:space="preserve">×(1-</x:t>
    </x:r>
    <x:r>
      <x:rPr>
        <x:sz val="10"/>
        <x:color rgb="FF000000"/>
        <x:rFont val="Linux Libertine G"/>
        <x:family val="2"/>
      </x:rPr>
      <x:t xml:space="preserve">费率</x:t>
    </x:r>
    <x:r>
      <x:rPr>
        <x:sz val="10"/>
        <x:color rgb="FF000000"/>
        <x:rFont val="微软雅黑"/>
        <x:family val="2"/>
      </x:rPr>
      <x:t xml:space="preserve">)^(</x:t>
    </x:r>
    <x:r>
      <x:rPr>
        <x:sz val="10"/>
        <x:color rgb="FF000000"/>
        <x:rFont val="Linux Libertine G"/>
        <x:family val="2"/>
      </x:rPr>
      <x:t xml:space="preserve">已运作交易日数</x:t>
    </x:r>
    <x:r>
      <x:rPr>
        <x:sz val="10"/>
        <x:color rgb="FF000000"/>
        <x:rFont val="微软雅黑"/>
        <x:family val="2"/>
      </x:rPr>
      <x:t xml:space="preserve">/</x:t>
    </x:r>
    <x:r>
      <x:rPr>
        <x:sz val="10"/>
        <x:color rgb="FF000000"/>
        <x:rFont val="Linux Libertine G"/>
        <x:family val="2"/>
      </x:rPr>
      <x:t xml:space="preserve">年化交易日数</x:t>
    </x:r>
    <x:r>
      <x:rPr>
        <x:sz val="10"/>
        <x:color rgb="FF000000"/>
        <x:rFont val="微软雅黑"/>
        <x:family val="2"/>
      </x:rPr>
      <x:t xml:space="preserve">) </x:t>
    </x:r>
    <x:r>
      <x:rPr>
        <x:sz val="10"/>
        <x:color rgb="FF000000"/>
        <x:rFont val="Linux Libertine G"/>
        <x:family val="2"/>
      </x:rPr>
      <x:t xml:space="preserve">折每日计入，看板均为扣费后口径。</x:t>
    </x:r>
  </x:si>
  <x:si>
    <x:r>
      <x:rPr>
        <x:b/>
        <x:sz val="10"/>
        <x:color rgb="FF000000"/>
        <x:rFont val="Linux Libertine G"/>
        <x:family val="2"/>
      </x:rPr>
      <x:t xml:space="preserve">参数：无风险利率</x:t>
    </x:r>
    <x:r>
      <x:rPr>
        <x:b/>
        <x:sz val="10"/>
        <x:color rgb="FF000000"/>
        <x:rFont val="Arial"/>
        <x:family val="2"/>
      </x:rPr>
      <x:t xml:space="preserve">(</x:t>
    </x:r>
    <x:r>
      <x:rPr>
        <x:b/>
        <x:sz val="10"/>
        <x:color rgb="FF000000"/>
        <x:rFont val="Linux Libertine G"/>
        <x:family val="2"/>
      </x:rPr>
      <x:t xml:space="preserve">年化</x:t>
    </x:r>
    <x:r>
      <x:rPr>
        <x:b/>
        <x:sz val="10"/>
        <x:color rgb="FF000000"/>
        <x:rFont val="Arial"/>
        <x:family val="2"/>
      </x:rPr>
      <x:t xml:space="preserve">)</x:t>
    </x:r>
  </x:si>
  <x:si>
    <x:t xml:space="preserve">参数：年化交易日数</x:t>
  </x:si>
  <x:si>
    <x:t xml:space="preserve">净值曲线</x:t>
  </x:si>
  <x:si>
    <x:r>
      <x:rPr>
        <x:sz val="10"/>
        <x:color rgb="FF000000"/>
        <x:rFont val="Linux Libertine G"/>
        <x:family val="2"/>
      </x:rPr>
      <x:t xml:space="preserve">净值曲线改用日期轴</x:t>
    </x:r>
    <x:r>
      <x:rPr>
        <x:sz val="10"/>
        <x:color rgb="FF000000"/>
        <x:rFont val="微软雅黑"/>
        <x:family val="2"/>
      </x:rPr>
      <x:t xml:space="preserve">+</x:t>
    </x:r>
    <x:r>
      <x:rPr>
        <x:sz val="10"/>
        <x:color rgb="FF000000"/>
        <x:rFont val="Linux Libertine G"/>
        <x:family val="2"/>
      </x:rPr>
      <x:t xml:space="preserve">直接区域引用，横轴自起始日起、自动延伸到最新交易日，无需手改图表数据区。</x:t>
    </x:r>
  </x:si>
  <x:si>
    <x:r>
      <x:rPr>
        <x:i/>
        <x:sz val="9"/>
        <x:color rgb="FF595959"/>
        <x:rFont val="Linux Libertine G"/>
        <x:family val="2"/>
      </x:rPr>
      <x:t xml:space="preserve">数据来源：同花顺 </x:t>
    </x:r>
    <x:r>
      <x:rPr>
        <x:i/>
        <x:sz val="9"/>
        <x:color rgb="FF595959"/>
        <x:rFont val="Arial"/>
        <x:family val="2"/>
      </x:rPr>
      <x:t xml:space="preserve">iFinD(</x:t>
    </x:r>
    <x:r>
      <x:rPr>
        <x:i/>
        <x:sz val="9"/>
        <x:color rgb="FF595959"/>
        <x:rFont val="Linux Libertine G"/>
        <x:family val="2"/>
      </x:rPr>
      <x:t xml:space="preserve">复权单位净值</x:t>
    </x:r>
    <x:r>
      <x:rPr>
        <x:i/>
        <x:sz val="9"/>
        <x:color rgb="FF595959"/>
        <x:rFont val="Arial"/>
        <x:family val="2"/>
      </x:rPr>
      <x:t xml:space="preserve">)</x:t>
    </x:r>
  </x:si>
  <x:si>
    <x:r>
      <x:rPr>
        <x:b/>
        <x:sz val="11"/>
        <x:color theme="1"/>
        <x:rFont val="Linux Libertine G"/>
        <x:family val="2"/>
      </x:rPr>
      <x:t xml:space="preserve">三个产业趋势组合 </x:t>
    </x:r>
    <x:r>
      <x:rPr>
        <x:b/>
        <x:sz val="11"/>
        <x:color theme="1"/>
        <x:rFont val="宋体"/>
        <x:family val="2"/>
      </x:rPr>
      <x:t xml:space="preserve">· </x:t>
    </x:r>
    <x:r>
      <x:rPr>
        <x:b/>
        <x:sz val="11"/>
        <x:color theme="1"/>
        <x:rFont val="Linux Libertine G"/>
        <x:family val="2"/>
      </x:rPr>
      <x:t xml:space="preserve">动态持仓权重监控（单只权重超过</x:t>
    </x:r>
    <x:r>
      <x:rPr>
        <x:b/>
        <x:sz val="11"/>
        <x:color theme="1"/>
        <x:rFont val="宋体"/>
        <x:family val="2"/>
      </x:rPr>
      <x:t xml:space="preserve">20%</x:t>
    </x:r>
    <x:r>
      <x:rPr>
        <x:b/>
        <x:sz val="11"/>
        <x:color theme="1"/>
        <x:rFont val="Linux Libertine G"/>
        <x:family val="2"/>
      </x:rPr>
      <x:t xml:space="preserve">自动标红预警）</x:t>
    </x:r>
  </x:si>
  <x:si>
    <x:r>
      <x:rPr>
        <x:sz val="11"/>
        <x:color theme="1"/>
        <x:rFont val="Linux Libertine G"/>
        <x:family val="2"/>
      </x:rPr>
      <x:t xml:space="preserve">末行序号</x:t>
    </x:r>
    <x:r>
      <x:rPr>
        <x:sz val="11"/>
        <x:color theme="1"/>
        <x:rFont val="宋体"/>
        <x:family val="2"/>
      </x:rPr>
      <x:t xml:space="preserve">(</x:t>
    </x:r>
    <x:r>
      <x:rPr>
        <x:sz val="11"/>
        <x:color theme="1"/>
        <x:rFont val="Linux Libertine G"/>
        <x:family val="2"/>
      </x:rPr>
      <x:t xml:space="preserve">自动</x:t>
    </x:r>
    <x:r>
      <x:rPr>
        <x:sz val="11"/>
        <x:color theme="1"/>
        <x:rFont val="宋体"/>
        <x:family val="2"/>
      </x:rPr>
      <x:t xml:space="preserve">)</x:t>
    </x:r>
  </x:si>
  <x:si>
    <x:t xml:space="preserve">截止净值日期：</x:t>
  </x:si>
  <x:si>
    <x:t xml:space="preserve">产业趋势毛净值</x:t>
  </x:si>
  <x:si>
    <x:t xml:space="preserve">基石毛净值</x:t>
  </x:si>
  <x:si>
    <x:r>
      <x:rPr>
        <x:sz val="11"/>
        <x:color theme="1"/>
        <x:rFont val="宋体"/>
        <x:family val="2"/>
      </x:rPr>
      <x:t xml:space="preserve">2</x:t>
    </x:r>
    <x:r>
      <x:rPr>
        <x:sz val="11"/>
        <x:color theme="1"/>
        <x:rFont val="Linux Libertine G"/>
        <x:family val="2"/>
      </x:rPr>
      <x:t xml:space="preserve">号毛净值</x:t>
    </x:r>
  </x:si>
  <x:si>
    <x:t xml:space="preserve">初始权重</x:t>
  </x:si>
  <x:si>
    <x:r>
      <x:rPr>
        <x:b/>
        <x:sz val="11"/>
        <x:color theme="1"/>
        <x:rFont val="Linux Libertine G"/>
        <x:family val="2"/>
      </x:rPr>
      <x:t xml:space="preserve">动态权重</x:t>
    </x:r>
    <x:r>
      <x:rPr>
        <x:b/>
        <x:sz val="11"/>
        <x:color theme="1"/>
        <x:rFont val="宋体"/>
        <x:family val="2"/>
      </x:rPr>
      <x:t xml:space="preserve">(</x:t>
    </x:r>
    <x:r>
      <x:rPr>
        <x:b/>
        <x:sz val="11"/>
        <x:color theme="1"/>
        <x:rFont val="Linux Libertine G"/>
        <x:family val="2"/>
      </x:rPr>
      <x:t xml:space="preserve">截止前一交易日</x:t>
    </x:r>
    <x:r>
      <x:rPr>
        <x:b/>
        <x:sz val="11"/>
        <x:color theme="1"/>
        <x:rFont val="宋体"/>
        <x:family val="2"/>
      </x:rPr>
      <x:t xml:space="preserve">)</x:t>
    </x:r>
  </x:si>
  <x:si>
    <x:r>
      <x:rPr>
        <x:sz val="11"/>
        <x:color theme="1"/>
        <x:rFont val="Linux Libertine G"/>
        <x:family val="2"/>
      </x:rPr>
      <x:t xml:space="preserve">国泰半导体</x:t>
    </x:r>
    <x:r>
      <x:rPr>
        <x:sz val="11"/>
        <x:color theme="1"/>
        <x:rFont val="宋体"/>
        <x:family val="2"/>
      </x:rPr>
      <x:t xml:space="preserve">ETF</x:t>
    </x:r>
    <x:r>
      <x:rPr>
        <x:sz val="11"/>
        <x:color theme="1"/>
        <x:rFont val="Linux Libertine G"/>
        <x:family val="2"/>
      </x:rPr>
      <x:t xml:space="preserve">联接</x:t>
    </x:r>
    <x:r>
      <x:rPr>
        <x:sz val="11"/>
        <x:color theme="1"/>
        <x:rFont val="宋体"/>
        <x:family val="2"/>
      </x:rPr>
      <x:t xml:space="preserve">A</x:t>
    </x:r>
  </x:si>
  <x:si>
    <x:r>
      <x:rPr>
        <x:sz val="11"/>
        <x:color theme="1"/>
        <x:rFont val="Linux Libertine G"/>
        <x:family val="2"/>
      </x:rPr>
      <x:t xml:space="preserve">国泰通信</x:t>
    </x:r>
    <x:r>
      <x:rPr>
        <x:sz val="11"/>
        <x:color theme="1"/>
        <x:rFont val="宋体"/>
        <x:family val="2"/>
      </x:rPr>
      <x:t xml:space="preserve">ETF</x:t>
    </x:r>
    <x:r>
      <x:rPr>
        <x:sz val="11"/>
        <x:color theme="1"/>
        <x:rFont val="Linux Libertine G"/>
        <x:family val="2"/>
      </x:rPr>
      <x:t xml:space="preserve">联接</x:t>
    </x:r>
    <x:r>
      <x:rPr>
        <x:sz val="11"/>
        <x:color theme="1"/>
        <x:rFont val="宋体"/>
        <x:family val="2"/>
      </x:rPr>
      <x:t xml:space="preserve">A</x:t>
    </x:r>
  </x:si>
  <x:si>
    <x:r>
      <x:rPr>
        <x:b/>
        <x:sz val="11"/>
        <x:color theme="1"/>
        <x:rFont val="Linux Libertine G"/>
        <x:family val="2"/>
      </x:rPr>
      <x:t xml:space="preserve">产业趋势基石组合（起始日 </x:t>
    </x:r>
    <x:r>
      <x:rPr>
        <x:b/>
        <x:sz val="11"/>
        <x:color theme="1"/>
        <x:rFont val="宋体"/>
        <x:family val="2"/>
      </x:rPr>
      <x:t xml:space="preserve">2026-06-18</x:t>
    </x:r>
    <x:r>
      <x:rPr>
        <x:b/>
        <x:sz val="11"/>
        <x:color theme="1"/>
        <x:rFont val="Linux Libertine G"/>
        <x:family val="2"/>
      </x:rPr>
      <x:t xml:space="preserve">）</x:t>
    </x:r>
  </x:si>
  <x:si>
    <x:r>
      <x:rPr>
        <x:b/>
        <x:sz val="11"/>
        <x:color theme="1"/>
        <x:rFont val="Linux Libertine G"/>
        <x:family val="2"/>
      </x:rPr>
      <x:t xml:space="preserve">产业趋势</x:t>
    </x:r>
    <x:r>
      <x:rPr>
        <x:b/>
        <x:sz val="11"/>
        <x:color theme="1"/>
        <x:rFont val="宋体"/>
        <x:family val="2"/>
      </x:rPr>
      <x:t xml:space="preserve">2</x:t>
    </x:r>
    <x:r>
      <x:rPr>
        <x:b/>
        <x:sz val="11"/>
        <x:color theme="1"/>
        <x:rFont val="Linux Libertine G"/>
        <x:family val="2"/>
      </x:rPr>
      <x:t xml:space="preserve">号组合（起始日 </x:t>
    </x:r>
    <x:r>
      <x:rPr>
        <x:b/>
        <x:sz val="11"/>
        <x:color theme="1"/>
        <x:rFont val="宋体"/>
        <x:family val="2"/>
      </x:rPr>
      <x:t xml:space="preserve">2026-06-23</x:t>
    </x:r>
    <x:r>
      <x:rPr>
        <x:b/>
        <x:sz val="11"/>
        <x:color theme="1"/>
        <x:rFont val="Linux Libertine G"/>
        <x:family val="2"/>
      </x:rPr>
      <x:t xml:space="preserve">）</x:t>
    </x:r>
  </x:si>
  <x:si>
    <x:r>
      <x:rPr>
        <x:sz val="11"/>
        <x:color theme="1"/>
        <x:rFont val="Linux Libertine G"/>
        <x:family val="2"/>
      </x:rPr>
      <x:t xml:space="preserve">国泰半导体</x:t>
    </x:r>
    <x:r>
      <x:rPr>
        <x:sz val="11"/>
        <x:color theme="1"/>
        <x:rFont val="宋体"/>
        <x:family val="2"/>
      </x:rPr>
      <x:t xml:space="preserve">C</x:t>
    </x:r>
  </x:si>
</x:sst>
</file>

<file path=xl/styles.xml><?xml version="1.0" encoding="utf-8"?>
<x:styleSheet xmlns:x="http://schemas.openxmlformats.org/spreadsheetml/2006/main">
  <x:numFmts count="15">
    <x:numFmt numFmtId="176" formatCode="_ * #,##0.00_ ;_ * \-#,##0.00_ ;_ * \-??_ ;_ @_ "/>
    <x:numFmt numFmtId="177" formatCode="_ * #,##0_ ;_ * \-#,##0_ ;_ * \-_ ;_ @_ "/>
    <x:numFmt numFmtId="178" formatCode="_ \￥* #,##0.00_ ;_ \￥* \-#,##0.00_ ;_ \￥* \-??_ ;_ @_ "/>
    <x:numFmt numFmtId="179" formatCode="_ \￥* #,##0_ ;_ \￥* \-#,##0_ ;_ \￥* \-_ ;_ @_ "/>
    <x:numFmt numFmtId="180" formatCode="0.0%"/>
    <x:numFmt numFmtId="181" formatCode="yyyy\-mm\-dd"/>
    <x:numFmt numFmtId="182" formatCode="yyyy\-m\-d"/>
    <x:numFmt numFmtId="183" formatCode="0.0000"/>
    <x:numFmt numFmtId="184" formatCode="0.00000000%"/>
    <x:numFmt numFmtId="185" formatCode="yyyy\-mm\-dd\ h:mm:ss"/>
    <x:numFmt numFmtId="200" formatCode="yyyy-mm-dd"/>
    <x:numFmt numFmtId="201" formatCode="0.00%;[Red](0.00%);-"/>
    <x:numFmt numFmtId="202" formatCode="0.00%;(0.00%);-"/>
    <x:numFmt numFmtId="203" formatCode="0.000000"/>
    <x:numFmt numFmtId="204" formatCode="0"/>
  </x:numFmts>
  <x:fonts count="52">
    <x:font>
      <x:sz val="10"/>
      <x:name val="Linux Libertine G"/>
    </x:font>
    <x:font>
      <x:sz val="10"/>
      <x:name val="Arial"/>
    </x:font>
    <x:font>
      <x:sz val="10"/>
      <x:name val="Arial"/>
    </x:font>
    <x:font>
      <x:sz val="11"/>
      <x:color theme="1"/>
      <x:name val="Linux Libertine G"/>
    </x:font>
    <x:font>
      <x:b/>
      <x:sz val="15"/>
      <x:color rgb="FFFFFFFF"/>
      <x:name val="Linux Libertine G"/>
    </x:font>
    <x:font>
      <x:b/>
      <x:sz val="15"/>
      <x:color rgb="FFFFFFFF"/>
      <x:name val="Arial"/>
    </x:font>
    <x:font>
      <x:b/>
      <x:sz val="10"/>
      <x:color rgb="FFFFFFFF"/>
      <x:name val="Linux Libertine G"/>
    </x:font>
    <x:font>
      <x:b/>
      <x:sz val="10"/>
      <x:color rgb="FF000000"/>
      <x:name val="Linux Libertine G"/>
    </x:font>
    <x:font>
      <x:b/>
      <x:sz val="10"/>
      <x:color rgb="FF000000"/>
      <x:name val="Arial"/>
    </x:font>
    <x:font>
      <x:sz val="10"/>
      <x:color rgb="FF000000"/>
      <x:name val="Arial"/>
    </x:font>
    <x:font>
      <x:sz val="10"/>
      <x:color rgb="FF0000FF"/>
      <x:name val="Arial"/>
    </x:font>
    <x:font>
      <x:b/>
      <x:sz val="10"/>
      <x:color rgb="FF000000"/>
      <x:name val="Arial"/>
    </x:font>
    <x:font>
      <x:b/>
      <x:sz val="10"/>
      <x:color rgb="FF0000FF"/>
      <x:name val="Arial"/>
    </x:font>
    <x:font>
      <x:i/>
      <x:sz val="9"/>
      <x:color rgb="FF595959"/>
      <x:name val="Linux Libertine G"/>
    </x:font>
    <x:font>
      <x:i/>
      <x:sz val="9"/>
      <x:color rgb="FF595959"/>
      <x:name val="Arial"/>
    </x:font>
    <x:font>
      <x:sz val="11"/>
      <x:color theme="1"/>
      <x:name val="宋体"/>
    </x:font>
    <x:font>
      <x:sz val="10"/>
      <x:color rgb="FF006100"/>
      <x:name val="Arial"/>
    </x:font>
    <x:font>
      <x:b/>
      <x:sz val="11"/>
      <x:color rgb="FFFFFFFF"/>
      <x:name val="Linux Libertine G"/>
    </x:font>
    <x:font>
      <x:b/>
      <x:sz val="11"/>
      <x:color rgb="FFFFFFFF"/>
      <x:name val="Arial"/>
    </x:font>
    <x:font>
      <x:sz val="10"/>
      <x:color rgb="FF000000"/>
      <x:name val="Linux Libertine G"/>
    </x:font>
    <x:font>
      <x:sz val="11"/>
      <x:color theme="1"/>
      <x:name val="Linux Libertine G"/>
    </x:font>
    <x:font>
      <x:sz val="10"/>
      <x:name val="Arial"/>
    </x:font>
    <x:font>
      <x:sz val="11"/>
      <x:color theme="1"/>
      <x:name val="宋体"/>
    </x:font>
    <x:font>
      <x:b/>
      <x:sz val="17"/>
      <x:color rgb="FFFFFFFF"/>
      <x:name val="Linux Libertine G"/>
    </x:font>
    <x:font>
      <x:b/>
      <x:sz val="20"/>
      <x:color rgb="FF1F3864"/>
      <x:name val="微软雅黑"/>
    </x:font>
    <x:font>
      <x:b/>
      <x:sz val="20"/>
      <x:color rgb="FFC00000"/>
      <x:name val="微软雅黑"/>
    </x:font>
    <x:font>
      <x:b/>
      <x:sz val="16"/>
      <x:color rgb="FF000000"/>
      <x:name val="Linux Libertine G"/>
    </x:font>
    <x:font>
      <x:sz val="16"/>
      <x:color rgb="FF000000"/>
      <x:name val="微软雅黑"/>
    </x:font>
    <x:font>
      <x:b/>
      <x:sz val="16"/>
      <x:color rgb="FF000000"/>
      <x:name val="微软雅黑"/>
    </x:font>
    <x:font>
      <x:b/>
      <x:sz val="16"/>
      <x:color rgb="FF000000"/>
      <x:name val="微软雅黑"/>
    </x:font>
    <x:font>
      <x:sz val="16"/>
      <x:color theme="1"/>
      <x:name val="Linux Libertine G"/>
    </x:font>
    <x:font>
      <x:b/>
      <x:sz val="17"/>
      <x:color rgb="FFFFFFFF"/>
      <x:name val="Arial"/>
    </x:font>
    <x:font>
      <x:b/>
      <x:sz val="18"/>
      <x:color rgb="FF1F3864"/>
      <x:name val="Linux Libertine G"/>
    </x:font>
    <x:font>
      <x:b/>
      <x:sz val="18"/>
      <x:color rgb="FF1F3864"/>
      <x:name val="Arial"/>
    </x:font>
    <x:font>
      <x:b/>
      <x:sz val="12"/>
      <x:color rgb="FF1F3864"/>
      <x:name val="Linux Libertine G"/>
    </x:font>
    <x:font>
      <x:sz val="10"/>
      <x:color rgb="FF000000"/>
      <x:name val="微软雅黑"/>
    </x:font>
    <x:font>
      <x:b/>
      <x:sz val="11"/>
      <x:color theme="1"/>
      <x:name val="Linux Libertine G"/>
    </x:font>
    <x:font>
      <x:b/>
      <x:sz val="11"/>
      <x:color theme="1"/>
      <x:name val="宋体"/>
    </x:font>
    <x:font>
      <x:b/>
      <x:sz val="11"/>
      <x:color theme="1"/>
      <x:name val="宋体"/>
    </x:font>
    <x:font>
      <x:sz val="9"/>
      <x:name val="宋体"/>
    </x:font>
    <x:font>
      <x:b/>
      <x:sz val="15"/>
      <x:color rgb="FFFFFFFF"/>
      <x:name val="宋体"/>
    </x:font>
    <x:font>
      <x:b/>
      <x:sz val="16"/>
      <x:color rgb="FFFFFFFF"/>
      <x:name val="微软雅黑"/>
    </x:font>
    <x:font>
      <x:b/>
      <x:sz val="9"/>
      <x:color rgb="FF1F3864"/>
      <x:name val="微软雅黑"/>
    </x:font>
    <x:font>
      <x:b/>
      <x:sz val="9"/>
      <x:color rgb="FF0000FF"/>
      <x:name val="Arial"/>
    </x:font>
    <x:font>
      <x:i/>
      <x:sz val="9"/>
      <x:color rgb="FF595959"/>
      <x:name val="微软雅黑"/>
    </x:font>
    <x:font>
      <x:b/>
      <x:sz val="10"/>
      <x:color rgb="FFFFFFFF"/>
      <x:name val="微软雅黑"/>
    </x:font>
    <x:font>
      <x:b/>
      <x:sz val="9"/>
      <x:color rgb="FFFFFFFF"/>
      <x:name val="微软雅黑"/>
    </x:font>
    <x:font>
      <x:sz val="9"/>
      <x:color rgb="FF000000"/>
      <x:name val="微软雅黑"/>
    </x:font>
    <x:font>
      <x:i/>
      <x:sz val="8"/>
      <x:color rgb="FF595959"/>
      <x:name val="微软雅黑"/>
    </x:font>
    <x:font>
      <x:sz val="8"/>
      <x:color rgb="FF595959"/>
      <x:name val="微软雅黑"/>
    </x:font>
    <x:font>
      <x:b/>
      <x:sz val="8"/>
      <x:color rgb="FF1F3864"/>
      <x:name val="微软雅黑"/>
    </x:font>
    <x:font>
      <x:sz val="7"/>
      <x:color rgb="FF000000"/>
      <x:name val="微软雅黑"/>
    </x:font>
  </x:fonts>
  <x:fills count="13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E5496"/>
      </x:patternFill>
    </x:fill>
    <x:fill>
      <x:patternFill patternType="solid">
        <x:fgColor rgb="FFD9E1F2"/>
      </x:patternFill>
    </x:fill>
    <x:fill>
      <x:patternFill patternType="solid">
        <x:fgColor rgb="FFF2F4F8"/>
      </x:patternFill>
    </x:fill>
    <x:fill>
      <x:patternFill patternType="solid">
        <x:fgColor rgb="FFFFF2CC"/>
      </x:patternFill>
    </x:fill>
    <x:fill>
      <x:patternFill patternType="solid">
        <x:fgColor rgb="FF1F3864"/>
      </x:patternFill>
    </x:fill>
    <x:fill>
      <x:patternFill patternType="solid">
        <x:fgColor rgb="FFEAF0F8"/>
      </x:patternFill>
    </x:fill>
    <x:fill>
      <x:patternFill patternType="solid">
        <x:fgColor rgb="FFFFF2CC"/>
      </x:patternFill>
    </x:fill>
    <x:fill>
      <x:patternFill patternType="solid">
        <x:fgColor rgb="FF2E5496"/>
      </x:patternFill>
    </x:fill>
    <x:fill>
      <x:patternFill patternType="solid">
        <x:fgColor rgb="FFD9E2F3"/>
      </x:patternFill>
    </x:fill>
    <x:fill>
      <x:patternFill patternType="solid">
        <x:fgColor rgb="FF4472C4"/>
      </x:patternFill>
    </x:fill>
  </x:fills>
  <x:borders count="3">
    <x:border/>
    <x:border>
      <x:bottom style="thin">
        <x:color rgb="FFBFBFBF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7">
    <x:xf numFmtId="0" fontId="0" fillId="0" borderId="0"/>
    <x:xf numFmtId="176" fontId="2" fillId="0" borderId="0" applyBorder="0" applyAlignment="0" applyProtection="0"/>
    <x:xf numFmtId="177" fontId="2" fillId="0" borderId="0" applyBorder="0" applyAlignment="0" applyProtection="0"/>
    <x:xf numFmtId="178" fontId="2" fillId="0" borderId="0" applyBorder="0" applyAlignment="0" applyProtection="0"/>
    <x:xf numFmtId="179" fontId="2" fillId="0" borderId="0" applyBorder="0" applyAlignment="0" applyProtection="0"/>
    <x:xf numFmtId="0" fontId="3" fillId="0" borderId="0"/>
    <x:xf numFmtId="9" fontId="2" fillId="0" borderId="0" applyBorder="0" applyAlignment="0" applyProtection="0"/>
  </x:cellStyleXfs>
  <x:cellXfs count="132">
    <x:xf numFmtId="0" fontId="0" fillId="0" borderId="0" xfId="0"/>
    <x:xf numFmtId="0" fontId="6" fillId="3" borderId="2" xfId="5" applyFont="1" applyFill="1" applyBorder="1" applyAlignment="1">
      <x:alignment horizontal="center" vertical="center" wrapText="1"/>
    </x:xf>
    <x:xf numFmtId="0" fontId="7" fillId="4" borderId="2" xfId="5" applyFont="1" applyFill="1" applyBorder="1" applyAlignment="1">
      <x:alignment horizontal="center" vertical="center" wrapText="1"/>
    </x:xf>
    <x:xf numFmtId="0" fontId="9" fillId="5" borderId="2" xfId="5" applyFont="1" applyFill="1" applyBorder="1" applyAlignment="1">
      <x:alignment horizontal="center" vertical="center" wrapText="1"/>
    </x:xf>
    <x:xf numFmtId="0" fontId="7" fillId="4" borderId="2" xfId="5" applyFont="1" applyFill="1" applyBorder="1" applyAlignment="1">
      <x:alignment horizontal="left" vertical="center"/>
    </x:xf>
    <x:xf numFmtId="10" fontId="10" fillId="0" borderId="2" xfId="5" applyNumberFormat="1" applyFont="1" applyBorder="1" applyAlignment="1">
      <x:alignment horizontal="center" vertical="center" wrapText="1"/>
    </x:xf>
    <x:xf numFmtId="180" fontId="11" fillId="5" borderId="2" xfId="5" applyNumberFormat="1" applyFont="1" applyFill="1" applyBorder="1" applyAlignment="1">
      <x:alignment horizontal="center" vertical="center" wrapText="1"/>
    </x:xf>
    <x:xf numFmtId="180" fontId="12" fillId="6" borderId="2" xfId="5" applyNumberFormat="1" applyFont="1" applyFill="1" applyBorder="1" applyAlignment="1">
      <x:alignment horizontal="center" vertical="center"/>
    </x:xf>
    <x:xf numFmtId="181" fontId="10" fillId="5" borderId="2" xfId="5" applyNumberFormat="1" applyFont="1" applyFill="1" applyBorder="1" applyAlignment="1">
      <x:alignment horizontal="center" vertical="center" wrapText="1"/>
    </x:xf>
    <x:xf numFmtId="0" fontId="8" fillId="4" borderId="2" xfId="5" applyFont="1" applyFill="1" applyBorder="1" applyAlignment="1">
      <x:alignment horizontal="left" vertical="center"/>
    </x:xf>
    <x:xf numFmtId="0" fontId="13" fillId="0" borderId="0" xfId="5" applyFont="1" applyAlignment="1"/>
    <x:xf numFmtId="182" fontId="15" fillId="0" borderId="0" xfId="5" applyNumberFormat="1" applyFont="1" applyAlignment="1"/>
    <x:xf numFmtId="0" fontId="16" fillId="5" borderId="2" xfId="5" applyFont="1" applyFill="1" applyBorder="1" applyAlignment="1">
      <x:alignment horizontal="center" vertical="center" wrapText="1"/>
    </x:xf>
    <x:xf numFmtId="183" fontId="9" fillId="0" borderId="2" xfId="5" applyNumberFormat="1" applyFont="1" applyBorder="1" applyAlignment="1">
      <x:alignment horizontal="center" vertical="center" wrapText="1"/>
    </x:xf>
    <x:xf numFmtId="0" fontId="17" fillId="3" borderId="2" xfId="5" applyFont="1" applyFill="1" applyBorder="1" applyAlignment="1">
      <x:alignment horizontal="center" vertical="center" wrapText="1"/>
    </x:xf>
    <x:xf numFmtId="181" fontId="16" fillId="5" borderId="2" xfId="5" applyNumberFormat="1" applyFont="1" applyFill="1" applyBorder="1" applyAlignment="1">
      <x:alignment horizontal="center" vertical="center" wrapText="1"/>
    </x:xf>
    <x:xf numFmtId="10" fontId="19" fillId="0" borderId="2" xfId="5" applyNumberFormat="1" applyFont="1" applyBorder="1" applyAlignment="1">
      <x:alignment horizontal="center" vertical="center" wrapText="1"/>
    </x:xf>
    <x:xf numFmtId="10" fontId="20" fillId="0" borderId="0" xfId="5" applyNumberFormat="1" applyFont="1" applyAlignment="1"/>
    <x:xf numFmtId="184" fontId="20" fillId="0" borderId="0" xfId="5" applyNumberFormat="1" applyFont="1" applyAlignment="1"/>
    <x:xf numFmtId="0" fontId="20" fillId="0" borderId="0" xfId="0" applyFont="1"/>
    <x:xf numFmtId="0" fontId="15" fillId="0" borderId="0" xfId="5" applyFont="1" applyAlignment="1"/>
    <x:xf numFmtId="10" fontId="21" fillId="0" borderId="0" xfId="0" applyNumberFormat="1" applyFont="1"/>
    <x:xf numFmtId="185" fontId="15" fillId="0" borderId="0" xfId="5" applyNumberFormat="1" applyFont="1" applyAlignment="1"/>
    <x:xf numFmtId="0" fontId="22" fillId="0" borderId="0" xfId="5" applyFont="1" applyAlignment="1"/>
    <x:xf numFmtId="0" fontId="21" fillId="0" borderId="0" xfId="0" applyFont="1"/>
    <x:xf numFmtId="181" fontId="3" fillId="0" borderId="0" xfId="5" applyNumberFormat="1" applyFont="1" applyBorder="1" applyAlignment="1"/>
    <x:xf numFmtId="0" fontId="7" fillId="5" borderId="2" xfId="5" applyFont="1" applyFill="1" applyBorder="1" applyAlignment="1">
      <x:alignment horizontal="center" vertical="center" wrapText="1"/>
    </x:xf>
    <x:xf numFmtId="183" fontId="24" fillId="0" borderId="2" xfId="5" applyNumberFormat="1" applyFont="1" applyBorder="1" applyAlignment="1">
      <x:alignment horizontal="center" vertical="center" wrapText="1"/>
    </x:xf>
    <x:xf numFmtId="10" fontId="25" fillId="0" borderId="2" xfId="5" applyNumberFormat="1" applyFont="1" applyBorder="1" applyAlignment="1">
      <x:alignment horizontal="center" vertical="center" wrapText="1"/>
    </x:xf>
    <x:xf numFmtId="10" fontId="24" fillId="0" borderId="2" xfId="5" applyNumberFormat="1" applyFont="1" applyBorder="1" applyAlignment="1">
      <x:alignment horizontal="center" vertical="center" wrapText="1"/>
    </x:xf>
    <x:xf numFmtId="2" fontId="24" fillId="0" borderId="2" xfId="5" applyNumberFormat="1" applyFont="1" applyBorder="1" applyAlignment="1">
      <x:alignment horizontal="center" vertical="center" wrapText="1"/>
    </x:xf>
    <x:xf numFmtId="0" fontId="26" fillId="0" borderId="2" xfId="5" applyFont="1" applyBorder="1" applyAlignment="1">
      <x:alignment horizontal="left" vertical="center"/>
    </x:xf>
    <x:xf numFmtId="10" fontId="27" fillId="0" borderId="2" xfId="5" applyNumberFormat="1" applyFont="1" applyBorder="1" applyAlignment="1">
      <x:alignment horizontal="center" vertical="center" wrapText="1"/>
    </x:xf>
    <x:xf numFmtId="0" fontId="28" fillId="0" borderId="2" xfId="5" applyFont="1" applyBorder="1" applyAlignment="1">
      <x:alignment horizontal="left" vertical="center"/>
    </x:xf>
    <x:xf numFmtId="1" fontId="27" fillId="0" borderId="2" xfId="5" applyNumberFormat="1" applyFont="1" applyBorder="1" applyAlignment="1">
      <x:alignment horizontal="center" vertical="center" wrapText="1"/>
    </x:xf>
    <x:xf numFmtId="180" fontId="27" fillId="0" borderId="2" xfId="5" applyNumberFormat="1" applyFont="1" applyBorder="1" applyAlignment="1">
      <x:alignment horizontal="center" vertical="center" wrapText="1"/>
    </x:xf>
    <x:xf numFmtId="2" fontId="27" fillId="0" borderId="2" xfId="5" applyNumberFormat="1" applyFont="1" applyBorder="1" applyAlignment="1">
      <x:alignment horizontal="center" vertical="center" wrapText="1"/>
    </x:xf>
    <x:xf numFmtId="0" fontId="30" fillId="0" borderId="0" xfId="5" applyFont="1" applyAlignment="1"/>
    <x:xf numFmtId="0" fontId="32" fillId="0" borderId="0" xfId="5" applyFont="1" applyAlignment="1"/>
    <x:xf numFmtId="0" fontId="34" fillId="0" borderId="0" xfId="5" applyFont="1" applyAlignment="1">
      <x:alignment vertical="center"/>
    </x:xf>
    <x:xf numFmtId="0" fontId="7" fillId="0" borderId="0" xfId="5" applyFont="1" applyAlignment="1">
      <x:alignment vertical="center"/>
    </x:xf>
    <x:xf numFmtId="0" fontId="19" fillId="0" borderId="0" xfId="5" applyFont="1" applyAlignment="1">
      <x:alignment vertical="center"/>
    </x:xf>
    <x:xf numFmtId="0" fontId="20" fillId="0" borderId="0" xfId="5" applyFont="1" applyAlignment="1">
      <x:alignment vertical="center"/>
    </x:xf>
    <x:xf numFmtId="0" fontId="8" fillId="0" borderId="0" xfId="5" applyFont="1" applyAlignment="1">
      <x:alignment vertical="center"/>
    </x:xf>
    <x:xf numFmtId="180" fontId="10" fillId="6" borderId="2" xfId="5" applyNumberFormat="1" applyFont="1" applyFill="1" applyBorder="1" applyAlignment="1"/>
    <x:xf numFmtId="0" fontId="10" fillId="6" borderId="2" xfId="5" applyFont="1" applyFill="1" applyBorder="1" applyAlignment="1"/>
    <x:xf numFmtId="0" fontId="36" fillId="0" borderId="0" xfId="5" applyFont="1" applyAlignment="1"/>
    <x:xf numFmtId="0" fontId="20" fillId="0" borderId="0" xfId="5" applyFont="1" applyAlignment="1">
      <x:alignment horizontal="center"/>
    </x:xf>
    <x:xf numFmtId="181" fontId="38" fillId="0" borderId="0" xfId="5" applyNumberFormat="1" applyFont="1" applyAlignment="1"/>
    <x:xf numFmtId="0" fontId="22" fillId="0" borderId="0" xfId="5" applyFont="1" applyAlignment="1">
      <x:alignment horizontal="center"/>
    </x:xf>
    <x:xf numFmtId="0" fontId="36" fillId="0" borderId="0" xfId="5" applyFont="1" applyAlignment="1">
      <x:alignment horizontal="center"/>
    </x:xf>
    <x:xf numFmtId="0" fontId="15" fillId="0" borderId="0" xfId="5" applyFont="1" applyAlignment="1">
      <x:alignment horizontal="center"/>
    </x:xf>
    <x:xf numFmtId="10" fontId="15" fillId="0" borderId="0" xfId="5" applyNumberFormat="1" applyFont="1" applyAlignment="1">
      <x:alignment horizontal="center"/>
    </x:xf>
    <x:xf numFmtId="10" fontId="38" fillId="0" borderId="0" xfId="5" applyNumberFormat="1" applyFont="1" applyAlignment="1">
      <x:alignment horizontal="center"/>
    </x:xf>
    <x:xf numFmtId="0" fontId="4" fillId="2" borderId="1" xfId="5" applyFont="1" applyFill="1" applyBorder="1" applyAlignment="1">
      <x:alignment horizontal="center"/>
    </x:xf>
    <x:xf numFmtId="0" fontId="4" fillId="2" borderId="0" xfId="5" applyFont="1" applyFill="1" applyBorder="1" applyAlignment="1">
      <x:alignment horizontal="center"/>
    </x:xf>
    <x:xf numFmtId="0" fontId="4" fillId="2" borderId="0" xfId="5" applyFont="1" applyFill="1" applyBorder="1" applyAlignment="1">
      <x:alignment horizontal="center" vertical="center"/>
    </x:xf>
    <x:xf numFmtId="0" fontId="23" fillId="2" borderId="0" xfId="5" applyFont="1" applyFill="1" applyBorder="1" applyAlignment="1">
      <x:alignment horizontal="center" vertical="center" wrapText="1"/>
    </x:xf>
    <x:xf numFmtId="0" fontId="13" fillId="0" borderId="0" xfId="5" applyFont="1" applyBorder="1" applyAlignment="1"/>
    <x:xf numFmtId="0" fontId="7" fillId="0" borderId="0" xfId="5" applyFont="1" applyBorder="1" applyAlignment="1">
      <x:alignment horizontal="right"/>
    </x:xf>
    <x:xf numFmtId="0" fontId="17" fillId="3" borderId="0" xfId="5" applyFont="1" applyFill="1" applyBorder="1" applyAlignment="1">
      <x:alignment horizontal="left" vertical="center"/>
    </x:xf>
    <x:xf numFmtId="0" fontId="26" fillId="0" borderId="2" xfId="5" applyFont="1" applyBorder="1" applyAlignment="1">
      <x:alignment horizontal="left" vertical="center"/>
    </x:xf>
    <x:xf numFmtId="0" fontId="6" fillId="3" borderId="2" xfId="5" applyFont="1" applyFill="1" applyBorder="1" applyAlignment="1">
      <x:alignment horizontal="center" vertical="center" wrapText="1"/>
    </x:xf>
    <x:xf numFmtId="0" fontId="19" fillId="0" borderId="0" xfId="5" applyFont="1" applyBorder="1" applyAlignment="1">
      <x:alignment vertical="center" wrapText="1"/>
    </x:xf>
    <x:xf numFmtId="0" fontId="35" fillId="0" borderId="0" xfId="5" applyFont="1" applyBorder="1" applyAlignment="1">
      <x:alignment vertical="center" wrapText="1"/>
    </x:xf>
    <x:xf numFmtId="0" fontId="0" fillId="7" borderId="0" xfId="0" applyNumberFormat="1" applyFont="1" applyFill="1" applyBorder="1"/>
    <x:xf numFmtId="0" fontId="41" fillId="7" borderId="0" xfId="0" applyNumberFormat="1" applyFont="1" applyFill="1" applyBorder="1"/>
    <x:xf numFmtId="0" fontId="41" fillId="7" borderId="0" xfId="0" applyNumberFormat="1" applyFont="1" applyFill="1" applyBorder="1" applyAlignment="1">
      <x:alignment horizontal="center"/>
    </x:xf>
    <x:xf numFmtId="0" fontId="41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2" fillId="8" borderId="0" xfId="0" applyNumberFormat="1" applyFont="1" applyFill="1" applyBorder="1"/>
    <x:xf numFmtId="0" fontId="42" fillId="8" borderId="2" xfId="0" applyNumberFormat="1" applyFont="1" applyFill="1" applyBorder="1"/>
    <x:xf numFmtId="0" fontId="42" fillId="8" borderId="2" xfId="0" applyNumberFormat="1" applyFont="1" applyFill="1" applyBorder="1" applyAlignment="1">
      <x:alignment horizontal="center"/>
    </x:xf>
    <x:xf numFmtId="0" fontId="42" fillId="8" borderId="2" xfId="0" applyNumberFormat="1" applyFont="1" applyFill="1" applyBorder="1" applyAlignment="1">
      <x:alignment horizontal="center" vertical="center"/>
    </x:xf>
    <x:xf numFmtId="200" fontId="42" fillId="8" borderId="2" xfId="0" applyNumberFormat="1" applyFont="1" applyFill="1" applyBorder="1" applyAlignment="1">
      <x:alignment horizontal="center" vertical="center"/>
    </x:xf>
    <x:xf numFmtId="0" fontId="42" fillId="9" borderId="2" xfId="0" applyNumberFormat="1" applyFont="1" applyFill="1" applyBorder="1" applyAlignment="1">
      <x:alignment horizontal="center" vertical="center"/>
    </x:xf>
    <x:xf numFmtId="0" fontId="43" fillId="9" borderId="2" xfId="0" applyNumberFormat="1" applyFont="1" applyFill="1" applyBorder="1" applyAlignment="1">
      <x:alignment horizontal="center" vertical="center"/>
    </x:xf>
    <x:xf numFmtId="201" fontId="43" fillId="9" borderId="2" xfId="0" applyNumberFormat="1" applyFont="1" applyFill="1" applyBorder="1" applyAlignment="1">
      <x:alignment horizontal="center" vertical="center"/>
    </x:xf>
    <x:xf numFmtId="0" fontId="44" fillId="0" borderId="0" xfId="0" applyNumberFormat="1" applyFont="1" applyFill="1" applyBorder="1"/>
    <x:xf numFmtId="0" fontId="44" fillId="0" borderId="0" xfId="0" applyNumberFormat="1" applyFont="1" applyFill="1" applyBorder="1" applyAlignment="1">
      <x:alignment wrapText="1"/>
    </x:xf>
    <x:xf numFmtId="0" fontId="44" fillId="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45" fillId="10" borderId="0" xfId="0" applyNumberFormat="1" applyFont="1" applyFill="1" applyBorder="1"/>
    <x:xf numFmtId="0" fontId="45" fillId="10" borderId="0" xfId="0" applyNumberFormat="1" applyFont="1" applyFill="1" applyBorder="1" applyAlignment="1">
      <x:alignment horizontal="left"/>
    </x:xf>
    <x:xf numFmtId="0" fontId="45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42" fillId="11" borderId="0" xfId="0" applyNumberFormat="1" applyFont="1" applyFill="1" applyBorder="1"/>
    <x:xf numFmtId="0" fontId="42" fillId="11" borderId="2" xfId="0" applyNumberFormat="1" applyFont="1" applyFill="1" applyBorder="1"/>
    <x:xf numFmtId="200" fontId="42" fillId="11" borderId="2" xfId="0" applyNumberFormat="1" applyFont="1" applyFill="1" applyBorder="1"/>
    <x:xf numFmtId="200" fontId="42" fillId="11" borderId="2" xfId="0" applyNumberFormat="1" applyFont="1" applyFill="1" applyBorder="1" applyAlignment="1">
      <x:alignment horizontal="center"/>
    </x:xf>
    <x:xf numFmtId="200" fontId="42" fillId="11" borderId="2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46" fillId="12" borderId="0" xfId="0" applyNumberFormat="1" applyFont="1" applyFill="1" applyBorder="1"/>
    <x:xf numFmtId="0" fontId="46" fillId="12" borderId="2" xfId="0" applyNumberFormat="1" applyFont="1" applyFill="1" applyBorder="1"/>
    <x:xf numFmtId="0" fontId="46" fillId="12" borderId="2" xfId="0" applyNumberFormat="1" applyFont="1" applyFill="1" applyBorder="1" applyAlignment="1">
      <x:alignment wrapText="1"/>
    </x:xf>
    <x:xf numFmtId="0" fontId="46" fillId="12" borderId="2" xfId="0" applyNumberFormat="1" applyFont="1" applyFill="1" applyBorder="1" applyAlignment="1">
      <x:alignment horizontal="center" wrapText="1"/>
    </x:xf>
    <x:xf numFmtId="0" fontId="46" fillId="12" borderId="2" xfId="0" applyNumberFormat="1" applyFont="1" applyFill="1" applyBorder="1" applyAlignment="1">
      <x:alignment horizontal="center" vertical="center" wrapText="1"/>
    </x:xf>
    <x:xf numFmtId="0" fontId="47" fillId="0" borderId="0" xfId="0" applyNumberFormat="1" applyFont="1" applyFill="1" applyBorder="1"/>
    <x:xf numFmtId="0" fontId="47" fillId="0" borderId="2" xfId="0" applyNumberFormat="1" applyFont="1" applyFill="1" applyBorder="1"/>
    <x:xf numFmtId="0" fontId="47" fillId="0" borderId="2" xfId="0" applyNumberFormat="1" applyFont="1" applyFill="1" applyBorder="1" applyAlignment="1">
      <x:alignment vertical="center"/>
    </x:xf>
    <x:xf numFmtId="0" fontId="47" fillId="8" borderId="2" xfId="0" applyNumberFormat="1" applyFont="1" applyFill="1" applyBorder="1" applyAlignment="1">
      <x:alignment vertical="center"/>
    </x:xf>
    <x:xf numFmtId="0" fontId="42" fillId="8" borderId="2" xfId="0" applyNumberFormat="1" applyFont="1" applyFill="1" applyBorder="1" applyAlignment="1">
      <x:alignment vertical="center"/>
    </x:xf>
    <x:xf numFmtId="201" fontId="47" fillId="0" borderId="2" xfId="0" applyNumberFormat="1" applyFont="1" applyFill="1" applyBorder="1" applyAlignment="1">
      <x:alignment vertical="center"/>
    </x:xf>
    <x:xf numFmtId="200" fontId="47" fillId="0" borderId="2" xfId="0" applyNumberFormat="1" applyFont="1" applyFill="1" applyBorder="1" applyAlignment="1">
      <x:alignment vertical="center"/>
    </x:xf>
    <x:xf numFmtId="0" fontId="47" fillId="0" borderId="2" xfId="0" applyNumberFormat="1" applyFont="1" applyFill="1" applyBorder="1" applyAlignment="1">
      <x:alignment horizontal="center" vertical="center"/>
    </x:xf>
    <x:xf numFmtId="201" fontId="47" fillId="0" borderId="2" xfId="0" applyNumberFormat="1" applyFont="1" applyFill="1" applyBorder="1" applyAlignment="1">
      <x:alignment horizontal="right" vertical="center"/>
    </x:xf>
    <x:xf numFmtId="200" fontId="47" fillId="0" borderId="2" xfId="0" applyNumberFormat="1" applyFont="1" applyFill="1" applyBorder="1" applyAlignment="1">
      <x:alignment horizontal="center" vertical="center"/>
    </x:xf>
    <x:xf numFmtId="0" fontId="48" fillId="8" borderId="0" xfId="0" applyNumberFormat="1" applyFont="1" applyFill="1" applyBorder="1"/>
    <x:xf numFmtId="0" fontId="48" fillId="8" borderId="0" xfId="0" applyNumberFormat="1" applyFont="1" applyFill="1" applyBorder="1" applyAlignment="1">
      <x:alignment wrapText="1"/>
    </x:xf>
    <x:xf numFmtId="202" fontId="47" fillId="0" borderId="2" xfId="0" applyNumberFormat="1" applyFont="1" applyFill="1" applyBorder="1" applyAlignment="1">
      <x:alignment vertical="center"/>
    </x:xf>
    <x:xf numFmtId="202" fontId="47" fillId="0" borderId="2" xfId="0" applyNumberFormat="1" applyFont="1" applyFill="1" applyBorder="1" applyAlignment="1">
      <x:alignment horizontal="right" vertical="center"/>
    </x:xf>
    <x:xf numFmtId="0" fontId="0" fillId="9" borderId="0" xfId="0" applyNumberFormat="1" applyFont="1" applyFill="1" applyBorder="1"/>
    <x:xf numFmtId="0" fontId="49" fillId="9" borderId="0" xfId="0" applyNumberFormat="1" applyFont="1" applyFill="1" applyBorder="1"/>
    <x:xf numFmtId="0" fontId="49" fillId="9" borderId="0" xfId="0" applyNumberFormat="1" applyFont="1" applyFill="1" applyBorder="1" applyAlignment="1">
      <x:alignment wrapText="1"/>
    </x:xf>
    <x:xf numFmtId="0" fontId="49" fillId="9" borderId="0" xfId="0" applyNumberFormat="1" applyFont="1" applyFill="1" applyBorder="1" applyAlignment="1">
      <x:alignment vertical="center" wrapText="1"/>
    </x:xf>
    <x:xf numFmtId="0" fontId="47" fillId="11" borderId="2" xfId="0" applyNumberFormat="1" applyFont="1" applyFill="1" applyBorder="1" applyAlignment="1">
      <x:alignment vertical="center"/>
    </x:xf>
    <x:xf numFmtId="0" fontId="42" fillId="11" borderId="2" xfId="0" applyNumberFormat="1" applyFont="1" applyFill="1" applyBorder="1" applyAlignment="1">
      <x:alignment vertical="center"/>
    </x:xf>
    <x:xf numFmtId="201" fontId="42" fillId="11" borderId="2" xfId="0" applyNumberFormat="1" applyFont="1" applyFill="1" applyBorder="1" applyAlignment="1">
      <x:alignment vertical="center"/>
    </x:xf>
    <x:xf numFmtId="201" fontId="42" fillId="11" borderId="2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47" fillId="0" borderId="0" xfId="0" applyNumberFormat="1" applyFont="1" applyFill="1" applyBorder="1"/>
    <x:xf numFmtId="200" fontId="47" fillId="0" borderId="2" xfId="0" applyNumberFormat="1" applyFont="1" applyFill="1" applyBorder="1"/>
    <x:xf numFmtId="204" fontId="47" fillId="0" borderId="2" xfId="0" applyNumberFormat="1" applyFont="1" applyFill="1" applyBorder="1" applyAlignment="1">
      <x:alignment vertical="center"/>
    </x:xf>
    <x:xf numFmtId="203" fontId="47" fillId="0" borderId="0" xfId="0" applyNumberFormat="1" applyFont="1" applyFill="1" applyBorder="1"/>
    <x:xf numFmtId="203" fontId="47" fillId="0" borderId="2" xfId="0" applyNumberFormat="1" applyFont="1" applyFill="1" applyBorder="1"/>
    <x:xf numFmtId="203" fontId="47" fillId="0" borderId="2" xfId="0" applyNumberFormat="1" applyFont="1" applyFill="1" applyBorder="1" applyAlignment="1">
      <x:alignment vertical="center"/>
    </x:xf>
    <x:xf numFmtId="0" fontId="50" fillId="8" borderId="2" xfId="0" applyNumberFormat="1" applyFont="1" applyFill="1" applyBorder="1" applyAlignment="1">
      <x:alignment vertical="center"/>
    </x:xf>
    <x:xf numFmtId="0" fontId="50" fillId="8" borderId="2" xfId="0" applyNumberFormat="1" applyFont="1" applyFill="1" applyBorder="1" applyAlignment="1">
      <x:alignment horizontal="center" vertical="center"/>
    </x:xf>
    <x:xf numFmtId="0" fontId="51" fillId="0" borderId="2" xfId="0" applyNumberFormat="1" applyFont="1" applyFill="1" applyBorder="1" applyAlignment="1">
      <x:alignment vertical="center"/>
    </x:xf>
    <x:xf numFmtId="0" fontId="51" fillId="0" borderId="2" xfId="0" applyNumberFormat="1" applyFont="1" applyFill="1" applyBorder="1" applyAlignment="1">
      <x:alignment vertical="center" wrapText="1"/>
    </x:xf>
    <x:xf numFmtId="0" fontId="51" fillId="0" borderId="2" xfId="0" applyNumberFormat="1" applyFont="1" applyFill="1" applyBorder="1" applyAlignment="1">
      <x:alignment horizontal="center" vertical="center" wrapText="1"/>
    </x:xf>
  </x:cellXfs>
  <x:cellStyles count="7">
    <x:cellStyle name="Comma" xfId="1"/>
    <x:cellStyle name="Comma [0]" xfId="2"/>
    <x:cellStyle name="Currency" xfId="3"/>
    <x:cellStyle name="Currency [0]" xfId="4"/>
    <x:cellStyle name="Normal" xfId="5"/>
    <x:cellStyle name="Percent" xfId="6"/>
    <x:cellStyle name="常规" xfId="0"/>
  </x:cellStyles>
  <x:dxfs count="5">
    <x:dxf>
      <x:font>
        <x:color rgb="FF9C0006"/>
      </x:font>
      <x:fill>
        <x:patternFill>
          <x:bgColor rgb="FFFFC7CE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  <x:colors>
    <x:indexedColors>
      <x:rgbColor rgb="FF000000"/>
      <x:rgbColor rgb="FFFFFFFF"/>
      <x:rgbColor rgb="FFC00000"/>
      <x:rgbColor rgb="FF00FF00"/>
      <x:rgbColor rgb="FF0000FF"/>
      <x:rgbColor rgb="FFFFFF00"/>
      <x:rgbColor rgb="FFFF00FF"/>
      <x:rgbColor rgb="FF00FFFF"/>
      <x:rgbColor rgb="FF9C0006"/>
      <x:rgbColor rgb="FF006100"/>
      <x:rgbColor rgb="FF000080"/>
      <x:rgbColor rgb="FF808000"/>
      <x:rgbColor rgb="FF800080"/>
      <x:rgbColor rgb="FF008080"/>
      <x:rgbColor rgb="FFBFBFBF"/>
      <x:rgbColor rgb="FF878787"/>
      <x:rgbColor rgb="FF9999FF"/>
      <x:rgbColor rgb="FF993366"/>
      <x:rgbColor rgb="FFFFF2CC"/>
      <x:rgbColor rgb="FFF2F4F8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D9E1F2"/>
      <x:rgbColor rgb="FFCCFFCC"/>
      <x:rgbColor rgb="FFFFFF99"/>
      <x:rgbColor rgb="FF99CCFF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595959"/>
      <x:rgbColor rgb="FF969696"/>
      <x:rgbColor rgb="FF1F3864"/>
      <x:rgbColor rgb="FF339966"/>
      <x:rgbColor rgb="FF003300"/>
      <x:rgbColor rgb="FF333300"/>
      <x:rgbColor rgb="FF993300"/>
      <x:rgbColor rgb="FF993366"/>
      <x:rgbColor rgb="FF2E5496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1e6b590a1a4e3f" /><Relationship Type="http://schemas.openxmlformats.org/officeDocument/2006/relationships/theme" Target="/xl/theme/theme1.xml" Id="R59e094d5abae4650" /><Relationship Type="http://schemas.openxmlformats.org/officeDocument/2006/relationships/sharedStrings" Target="/xl/sharedStrings.xml" Id="R3f1a003c31384d7b" /><Relationship Type="http://schemas.openxmlformats.org/officeDocument/2006/relationships/worksheet" Target="/xl/worksheets/sheet1.xml" Id="R1348c0db5b644ebe" /><Relationship Type="http://schemas.openxmlformats.org/officeDocument/2006/relationships/worksheet" Target="/xl/worksheets/sheet2.xml" Id="Rf54cf17b3b294e80" /><Relationship Type="http://schemas.openxmlformats.org/officeDocument/2006/relationships/worksheet" Target="/xl/worksheets/sheet3.xml" Id="Re8fd63c7da5d4602" /><Relationship Type="http://schemas.openxmlformats.org/officeDocument/2006/relationships/worksheet" Target="/xl/worksheets/sheet4.xml" Id="R614be319d2e849c1" /><Relationship Type="http://schemas.openxmlformats.org/officeDocument/2006/relationships/worksheet" Target="/xl/worksheets/sheet5.xml" Id="R5fdd917703754355" /><Relationship Type="http://schemas.openxmlformats.org/officeDocument/2006/relationships/worksheet" Target="/xl/worksheets/sheet6.xml" Id="Rfef7b3765689420f" /><Relationship Type="http://schemas.openxmlformats.org/officeDocument/2006/relationships/worksheet" Target="/xl/worksheets/sheet7.xml" Id="R21ea288f3a554c6e" /><Relationship Type="http://schemas.openxmlformats.org/officeDocument/2006/relationships/worksheet" Target="/xl/worksheets/sheet8.xml" Id="Re99d8bfc291a4588" /><Relationship Type="http://schemas.openxmlformats.org/officeDocument/2006/relationships/worksheet" Target="/xl/worksheets/sheet9.xml" Id="R6dbb3c77d0964e71" /><Relationship Type="http://schemas.openxmlformats.org/officeDocument/2006/relationships/worksheet" Target="/xl/worksheets/sheet10.xml" Id="Rba6203092cff4198" /><Relationship Type="http://schemas.openxmlformats.org/officeDocument/2006/relationships/worksheet" Target="/xl/worksheets/sheet11.xml" Id="R6280c274ac0d45e7" /><Relationship Type="http://schemas.openxmlformats.org/officeDocument/2006/relationships/worksheet" Target="/xl/worksheets/sheet12.xml" Id="R7a65aaba861746f8" /><Relationship Type="http://schemas.openxmlformats.org/officeDocument/2006/relationships/worksheet" Target="/xl/worksheets/sheet13.xml" Id="R036597ead69c47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710b3b944a34bc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c0674cc2c60649f1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f8089c1b22c4c2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ab617c52a5a74fe1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38f17a708ff947ee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chart" Target="/xl/drawings/charts/chart6.xml" Id="R9fea0ef4b4054b47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产业趋势 组合净值</a:t>
            </a:r>
          </a:p>
        </c:rich>
      </c:tx>
      <c:overlay val="1"/>
    </c:title>
    <c:autoTitleDeleted val="0"/>
    <c:plotArea>
      <c:lineChart>
        <c:grouping val="standard"/>
        <c:varyColors val="0"/>
        <c:ser>
          <c:idx val="0"/>
          <c:order val="0"/>
          <c:tx>
            <c:v>净值</c:v>
          </c:tx>
          <c:spPr>
            <a:ln xmlns:a="http://schemas.openxmlformats.org/drawingml/2006/main"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'看板-产业趋势'!_ChartDates</c:f>
              <c:numCache>
                <c:formatCode>mm\-dd</c:formatCode>
                <c:ptCount val="36"/>
                <c:pt idx="0">
                  <c:v>46195</c:v>
                </c:pt>
                <c:pt idx="1">
                  <c:v>46196</c:v>
                </c:pt>
                <c:pt idx="2">
                  <c:v>46197</c:v>
                </c:pt>
                <c:pt idx="3">
                  <c:v>46198</c:v>
                </c:pt>
                <c:pt idx="4">
                  <c:v>46199</c:v>
                </c:pt>
                <c:pt idx="5">
                  <c:v>46202</c:v>
                </c:pt>
                <c:pt idx="6">
                  <c:v>46203</c:v>
                </c:pt>
                <c:pt idx="7">
                  <c:v>46204</c:v>
                </c:pt>
                <c:pt idx="8">
                  <c:v>46205</c:v>
                </c:pt>
                <c:pt idx="9">
                  <c:v>46206</c:v>
                </c:pt>
                <c:pt idx="10">
                  <c:v>46209</c:v>
                </c:pt>
                <c:pt idx="11">
                  <c:v>46210</c:v>
                </c:pt>
                <c:pt idx="12">
                  <c:v>46211</c:v>
                </c:pt>
                <c:pt idx="13">
                  <c:v>46212</c:v>
                </c:pt>
                <c:pt idx="14">
                  <c:v>46213</c:v>
                </c:pt>
                <c:pt idx="15">
                  <c:v>46216</c:v>
                </c:pt>
                <c:pt idx="16">
                  <c:v>46217</c:v>
                </c:pt>
                <c:pt idx="17">
                  <c:v>46218</c:v>
                </c:pt>
                <c:pt idx="18">
                  <c:v>46219</c:v>
                </c:pt>
                <c:pt idx="19">
                  <c:v>46220</c:v>
                </c:pt>
                <c:pt idx="20">
                  <c:v>46223</c:v>
                </c:pt>
                <c:pt idx="21">
                  <c:v>46224</c:v>
                </c:pt>
                <c:pt idx="22">
                  <c:v>46225</c:v>
                </c:pt>
                <c:pt idx="23">
                  <c:v>46226</c:v>
                </c:pt>
                <c:pt idx="24">
                  <c:v>46227</c:v>
                </c:pt>
                <c:pt idx="25">
                  <c:v>46230</c:v>
                </c:pt>
                <c:pt idx="26">
                  <c:v>46231</c:v>
                </c:pt>
                <c:pt idx="27">
                  <c:v>46232</c:v>
                </c:pt>
                <c:pt idx="28">
                  <c:v>46233</c:v>
                </c:pt>
                <c:pt idx="29">
                  <c:v>46234</c:v>
                </c:pt>
                <c:pt idx="30">
                  <c:v>46237</c:v>
                </c:pt>
                <c:pt idx="31">
                  <c:v>46238</c:v>
                </c:pt>
                <c:pt idx="32">
                  <c:v>46239</c:v>
                </c:pt>
                <c:pt idx="33">
                  <c:v>46240</c:v>
                </c:pt>
                <c:pt idx="34">
                  <c:v>46241</c:v>
                </c:pt>
                <c:pt idx="35">
                  <c:v>46244</c:v>
                </c:pt>
              </c:numCache>
            </c:numRef>
          </c:cat>
          <c:val>
            <c:numRef>
              <c:f>'看板-产业趋势'!_ChartValues</c:f>
              <c:numCache>
                <c:formatCode>0.0000</c:formatCode>
                <c:ptCount val="36"/>
                <c:pt idx="0">
                  <c:v>1</c:v>
                </c:pt>
                <c:pt idx="1">
                  <c:v>0.9804231881177369</c:v>
                </c:pt>
                <c:pt idx="2">
                  <c:v>1.0160197208922743</c:v>
                </c:pt>
                <c:pt idx="3">
                  <c:v>1.04944315512461</c:v>
                </c:pt>
                <c:pt idx="4">
                  <c:v>1.0194457362958647</c:v>
                </c:pt>
                <c:pt idx="5">
                  <c:v>1.0294386648056562</c:v>
                </c:pt>
                <c:pt idx="6">
                  <c:v>1.0748479117145109</c:v>
                </c:pt>
                <c:pt idx="7">
                  <c:v>1.0416673271387726</c:v>
                </c:pt>
                <c:pt idx="8">
                  <c:v>0.9502400516447862</c:v>
                </c:pt>
                <c:pt idx="9">
                  <c:v>0.9432189953847047</c:v>
                </c:pt>
                <c:pt idx="10">
                  <c:v>0.924591851394293</c:v>
                </c:pt>
                <c:pt idx="11">
                  <c:v>0.9309405194563188</c:v>
                </c:pt>
                <c:pt idx="12">
                  <c:v>0.9362416272044594</c:v>
                </c:pt>
                <c:pt idx="13">
                  <c:v>1.000119640739735</c:v>
                </c:pt>
                <c:pt idx="14">
                  <c:v>0.9517941770407373</c:v>
                </c:pt>
                <c:pt idx="15">
                  <c:v>0.9169736291321293</c:v>
                </c:pt>
                <c:pt idx="16">
                  <c:v>0.9463706236544664</c:v>
                </c:pt>
                <c:pt idx="17">
                  <c:v>0.9169968894847794</c:v>
                </c:pt>
                <c:pt idx="18">
                  <c:v>0.8755956376990559</c:v>
                </c:pt>
                <c:pt idx="19">
                  <c:v>0.8039518627588871</c:v>
                </c:pt>
                <c:pt idx="20">
                  <c:v>0.7725846198142714</c:v>
                </c:pt>
                <c:pt idx="21">
                  <c:v>0.8597778636914425</c:v>
                </c:pt>
                <c:pt idx="22">
                  <c:v>0.8340626485323767</c:v>
                </c:pt>
                <c:pt idx="23">
                  <c:v>0.8119239213491319</c:v>
                </c:pt>
                <c:pt idx="24">
                  <c:v>0.8116796559076999</c:v>
                </c:pt>
                <c:pt idx="25">
                  <c:v>0.834691240148951</c:v>
                </c:pt>
                <c:pt idx="26">
                  <c:v>0.7686928488550361</c:v>
                </c:pt>
                <c:pt idx="27">
                  <c:v>0.7590962154922472</c:v>
                </c:pt>
                <c:pt idx="28">
                  <c:v>0.7019715109110515</c:v>
                </c:pt>
                <c:pt idx="29">
                  <c:v>0.7262463200116048</c:v>
                </c:pt>
                <c:pt idx="30">
                  <c:v>0.6962683081309522</c:v>
                </c:pt>
                <c:pt idx="31">
                  <c:v>0.746144583663884</c:v>
                </c:pt>
                <c:pt idx="32">
                  <c:v>0.7789615034931219</c:v>
                </c:pt>
                <c:pt idx="33">
                  <c:v>0.790012278291383</c:v>
                </c:pt>
                <c:pt idx="34">
                  <c:v>0.8113137938313706</c:v>
                </c:pt>
                <c:pt idx="35">
                  <c:v>0.8112159407582967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0569632"/>
        <c:axId val="340573440"/>
      </c:lineChart>
      <c:dateAx>
        <c:axId val="340569632"/>
        <c:scaling>
          <c:orientation val="minMax"/>
          <c:min val="46195"/>
        </c:scaling>
        <c:delete val="0"/>
        <c:axPos val="b"/>
        <c:numFmt formatCode="mm\-dd" sourceLinked="0"/>
        <c:majorTickMark val="none"/>
        <c:minorTickMark val="none"/>
        <c:tickLblPos val="nextTo"/>
        <c:crossAx val="340573440"/>
        <c:crosses val="autoZero"/>
        <c:auto val="1"/>
        <c:baseTimeUnit val="days"/>
        <c:majorTimeUnit val="days"/>
      </c:dateAx>
      <c:valAx>
        <c:axId val="34057344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340569632"/>
        <c:crosses val="autoZero"/>
        <c:crossBetween val="between"/>
      </c:valAx>
    </c:plotArea>
    <c:plotVisOnly val="1"/>
  </c:chart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产业趋势基石 组合净值</a:t>
            </a:r>
          </a:p>
        </c:rich>
      </c:tx>
      <c:overlay val="1"/>
    </c:title>
    <c:autoTitleDeleted val="0"/>
    <c:plotArea>
      <c:lineChart>
        <c:grouping val="standard"/>
        <c:varyColors val="0"/>
        <c:ser>
          <c:idx val="0"/>
          <c:order val="0"/>
          <c:tx>
            <c:v>净值</c:v>
          </c:tx>
          <c:spPr>
            <a:ln xmlns:a="http://schemas.openxmlformats.org/drawingml/2006/main"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'看板-产业趋势基石'!_ChartDates</c:f>
              <c:numCache>
                <c:formatCode>mm\-dd</c:formatCode>
                <c:ptCount val="37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  <c:pt idx="19">
                  <c:v>46219</c:v>
                </c:pt>
                <c:pt idx="20">
                  <c:v>46220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46237</c:v>
                </c:pt>
                <c:pt idx="32">
                  <c:v>46238</c:v>
                </c:pt>
                <c:pt idx="33">
                  <c:v>46239</c:v>
                </c:pt>
                <c:pt idx="34">
                  <c:v>46240</c:v>
                </c:pt>
                <c:pt idx="35">
                  <c:v>46241</c:v>
                </c:pt>
                <c:pt idx="36">
                  <c:v>46244</c:v>
                </c:pt>
              </c:numCache>
            </c:numRef>
          </c:cat>
          <c:val>
            <c:numRef>
              <c:f>'看板-产业趋势基石'!_ChartValues</c:f>
              <c:numCache>
                <c:formatCode>0.0000</c:formatCode>
                <c:ptCount val="37"/>
                <c:pt idx="0">
                  <c:v>1</c:v>
                </c:pt>
                <c:pt idx="1">
                  <c:v>1.0234374728432394</c:v>
                </c:pt>
                <c:pt idx="2">
                  <c:v>1.003337890555695</c:v>
                </c:pt>
                <c:pt idx="3">
                  <c:v>1.0397126768191969</c:v>
                </c:pt>
                <c:pt idx="4">
                  <c:v>1.0739445334901312</c:v>
                </c:pt>
                <c:pt idx="5">
                  <c:v>1.0431451846332738</c:v>
                </c:pt>
                <c:pt idx="6">
                  <c:v>1.0532583926143868</c:v>
                </c:pt>
                <c:pt idx="7">
                  <c:v>1.0997368712958928</c:v>
                </c:pt>
                <c:pt idx="8">
                  <c:v>1.065754328020187</c:v>
                </c:pt>
                <c:pt idx="9">
                  <c:v>0.9722277703724238</c:v>
                </c:pt>
                <c:pt idx="10">
                  <c:v>0.9650764877591137</c:v>
                </c:pt>
                <c:pt idx="11">
                  <c:v>0.9459777573116196</c:v>
                </c:pt>
                <c:pt idx="12">
                  <c:v>0.952475429289013</c:v>
                </c:pt>
                <c:pt idx="13">
                  <c:v>0.9578161514912864</c:v>
                </c:pt>
                <c:pt idx="14">
                  <c:v>1.023193922304395</c:v>
                </c:pt>
                <c:pt idx="15">
                  <c:v>0.9737422822209042</c:v>
                </c:pt>
                <c:pt idx="16">
                  <c:v>0.9380813966933788</c:v>
                </c:pt>
                <c:pt idx="17">
                  <c:v>0.9683000992212676</c:v>
                </c:pt>
                <c:pt idx="18">
                  <c:v>0.9382286416620573</c:v>
                </c:pt>
                <c:pt idx="19">
                  <c:v>0.8958746502961051</c:v>
                </c:pt>
                <c:pt idx="20">
                  <c:v>0.8224809210193703</c:v>
                </c:pt>
                <c:pt idx="21">
                  <c:v>0.7903597385650825</c:v>
                </c:pt>
                <c:pt idx="22">
                  <c:v>0.8795663803470132</c:v>
                </c:pt>
                <c:pt idx="23">
                  <c:v>0.8532119679999288</c:v>
                </c:pt>
                <c:pt idx="24">
                  <c:v>0.8306041683471038</c:v>
                </c:pt>
                <c:pt idx="25">
                  <c:v>0.8302935633021382</c:v>
                </c:pt>
                <c:pt idx="26">
                  <c:v>0.8539047584133223</c:v>
                </c:pt>
                <c:pt idx="27">
                  <c:v>0.7862607541617691</c:v>
                </c:pt>
                <c:pt idx="28">
                  <c:v>0.7764481489891852</c:v>
                </c:pt>
                <c:pt idx="29">
                  <c:v>0.7179354197028244</c:v>
                </c:pt>
                <c:pt idx="30">
                  <c:v>0.7428272636622453</c:v>
                </c:pt>
                <c:pt idx="31">
                  <c:v>0.7122241057916313</c:v>
                </c:pt>
                <c:pt idx="32">
                  <c:v>0.763369476639056</c:v>
                </c:pt>
                <c:pt idx="33">
                  <c:v>0.7969234005676091</c:v>
                </c:pt>
                <c:pt idx="34">
                  <c:v>0.8082651101207579</c:v>
                </c:pt>
                <c:pt idx="35">
                  <c:v>0.8300846766923614</c:v>
                </c:pt>
                <c:pt idx="36">
                  <c:v>0.8300052390141042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0563104"/>
        <c:axId val="340563648"/>
      </c:lineChart>
      <c:dateAx>
        <c:axId val="340563104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340563648"/>
        <c:crosses val="autoZero"/>
        <c:auto val="1"/>
        <c:baseTimeUnit val="days"/>
        <c:majorTimeUnit val="days"/>
      </c:dateAx>
      <c:valAx>
        <c:axId val="34056364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340563104"/>
        <c:crosses val="autoZero"/>
        <c:crossBetween val="between"/>
      </c:valAx>
    </c:plotArea>
    <c:plotVisOnly val="1"/>
  </c:chart>
</c:chartSpace>
</file>

<file path=xl/drawings/charts/chart3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产业趋势2号 组合净值</a:t>
            </a:r>
          </a:p>
        </c:rich>
      </c:tx>
      <c:overlay val="1"/>
    </c:title>
    <c:autoTitleDeleted val="0"/>
    <c:plotArea>
      <c:lineChart>
        <c:grouping val="standard"/>
        <c:varyColors val="0"/>
        <c:ser>
          <c:idx val="0"/>
          <c:order val="0"/>
          <c:tx>
            <c:v>净值</c:v>
          </c:tx>
          <c:spPr>
            <a:ln xmlns:a="http://schemas.openxmlformats.org/drawingml/2006/main"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'看板-产业趋势2号'!_ChartDates</c:f>
              <c:numCache>
                <c:formatCode>mm\-dd</c:formatCode>
                <c:ptCount val="35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46202</c:v>
                </c:pt>
                <c:pt idx="5">
                  <c:v>46203</c:v>
                </c:pt>
                <c:pt idx="6">
                  <c:v>46204</c:v>
                </c:pt>
                <c:pt idx="7">
                  <c:v>46205</c:v>
                </c:pt>
                <c:pt idx="8">
                  <c:v>46206</c:v>
                </c:pt>
                <c:pt idx="9">
                  <c:v>46209</c:v>
                </c:pt>
                <c:pt idx="10">
                  <c:v>46210</c:v>
                </c:pt>
                <c:pt idx="11">
                  <c:v>46211</c:v>
                </c:pt>
                <c:pt idx="12">
                  <c:v>46212</c:v>
                </c:pt>
                <c:pt idx="13">
                  <c:v>46213</c:v>
                </c:pt>
                <c:pt idx="14">
                  <c:v>46216</c:v>
                </c:pt>
                <c:pt idx="15">
                  <c:v>46217</c:v>
                </c:pt>
                <c:pt idx="16">
                  <c:v>46218</c:v>
                </c:pt>
                <c:pt idx="17">
                  <c:v>46219</c:v>
                </c:pt>
                <c:pt idx="18">
                  <c:v>46220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46230</c:v>
                </c:pt>
                <c:pt idx="25">
                  <c:v>46231</c:v>
                </c:pt>
                <c:pt idx="26">
                  <c:v>46232</c:v>
                </c:pt>
                <c:pt idx="27">
                  <c:v>46233</c:v>
                </c:pt>
                <c:pt idx="28">
                  <c:v>46234</c:v>
                </c:pt>
                <c:pt idx="29">
                  <c:v>46237</c:v>
                </c:pt>
                <c:pt idx="30">
                  <c:v>46238</c:v>
                </c:pt>
                <c:pt idx="31">
                  <c:v>46239</c:v>
                </c:pt>
                <c:pt idx="32">
                  <c:v>46240</c:v>
                </c:pt>
                <c:pt idx="33">
                  <c:v>46241</c:v>
                </c:pt>
                <c:pt idx="34">
                  <c:v>46244</c:v>
                </c:pt>
              </c:numCache>
            </c:numRef>
          </c:cat>
          <c:val>
            <c:numRef>
              <c:f>'看板-产业趋势2号'!_ChartValues</c:f>
              <c:numCache>
                <c:formatCode>0.0000</c:formatCode>
                <c:ptCount val="35"/>
                <c:pt idx="0">
                  <c:v>1</c:v>
                </c:pt>
                <c:pt idx="1">
                  <c:v>1.039202963297934</c:v>
                </c:pt>
                <c:pt idx="2">
                  <c:v>1.0741076445723305</c:v>
                </c:pt>
                <c:pt idx="3">
                  <c:v>1.050645670240649</c:v>
                </c:pt>
                <c:pt idx="4">
                  <c:v>1.0685098764526948</c:v>
                </c:pt>
                <c:pt idx="5">
                  <c:v>1.1117066956825354</c:v>
                </c:pt>
                <c:pt idx="6">
                  <c:v>1.0836174881519127</c:v>
                </c:pt>
                <c:pt idx="7">
                  <c:v>0.9917522529182049</c:v>
                </c:pt>
                <c:pt idx="8">
                  <c:v>0.9887625896733044</c:v>
                </c:pt>
                <c:pt idx="9">
                  <c:v>0.9719520244211238</c:v>
                </c:pt>
                <c:pt idx="10">
                  <c:v>0.9747742707779874</c:v>
                </c:pt>
                <c:pt idx="11">
                  <c:v>0.9800129732567313</c:v>
                </c:pt>
                <c:pt idx="12">
                  <c:v>1.0473336640835054</c:v>
                </c:pt>
                <c:pt idx="13">
                  <c:v>0.993440262319023</c:v>
                </c:pt>
                <c:pt idx="14">
                  <c:v>0.955465515362161</c:v>
                </c:pt>
                <c:pt idx="15">
                  <c:v>0.9812206966546018</c:v>
                </c:pt>
                <c:pt idx="16">
                  <c:v>0.9454808705016986</c:v>
                </c:pt>
                <c:pt idx="17">
                  <c:v>0.9036061794817773</c:v>
                </c:pt>
                <c:pt idx="18">
                  <c:v>0.8372146811983534</c:v>
                </c:pt>
                <c:pt idx="19">
                  <c:v>0.8081138665027603</c:v>
                </c:pt>
                <c:pt idx="20">
                  <c:v>0.9014121198356063</c:v>
                </c:pt>
                <c:pt idx="21">
                  <c:v>0.8769245441337342</c:v>
                </c:pt>
                <c:pt idx="22">
                  <c:v>0.8519237786681105</c:v>
                </c:pt>
                <c:pt idx="23">
                  <c:v>0.8563461890866533</c:v>
                </c:pt>
                <c:pt idx="24">
                  <c:v>0.8789801761904195</c:v>
                </c:pt>
                <c:pt idx="25">
                  <c:v>0.8133151847510428</c:v>
                </c:pt>
                <c:pt idx="26">
                  <c:v>0.8051419736188107</c:v>
                </c:pt>
                <c:pt idx="27">
                  <c:v>0.7478743680283058</c:v>
                </c:pt>
                <c:pt idx="28">
                  <c:v>0.7713324953872246</c:v>
                </c:pt>
                <c:pt idx="29">
                  <c:v>0.7322249549961011</c:v>
                </c:pt>
                <c:pt idx="30">
                  <c:v>0.7791874507294276</c:v>
                </c:pt>
                <c:pt idx="31">
                  <c:v>0.8162763730870383</c:v>
                </c:pt>
                <c:pt idx="32">
                  <c:v>0.8264770472575836</c:v>
                </c:pt>
                <c:pt idx="33">
                  <c:v>0.847834593836472</c:v>
                </c:pt>
                <c:pt idx="34">
                  <c:v>0.8477321640264125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0562560"/>
        <c:axId val="340570720"/>
      </c:lineChart>
      <c:dateAx>
        <c:axId val="340562560"/>
        <c:scaling>
          <c:orientation val="minMax"/>
          <c:min val="46196"/>
        </c:scaling>
        <c:delete val="0"/>
        <c:axPos val="b"/>
        <c:numFmt formatCode="mm\-dd" sourceLinked="0"/>
        <c:majorTickMark val="none"/>
        <c:minorTickMark val="none"/>
        <c:tickLblPos val="nextTo"/>
        <c:crossAx val="340570720"/>
        <c:crosses val="autoZero"/>
        <c:auto val="1"/>
        <c:baseTimeUnit val="days"/>
        <c:majorTimeUnit val="days"/>
      </c:dateAx>
      <c:valAx>
        <c:axId val="34057072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340562560"/>
        <c:crosses val="autoZero"/>
        <c:crossBetween val="between"/>
      </c:valAx>
    </c:plotArea>
    <c:plotVisOnly val="1"/>
  </c:chart>
</c:chartSpace>
</file>

<file path=xl/drawings/charts/chart4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10-90 组合净值</a:t>
            </a:r>
          </a:p>
        </c:rich>
      </c:tx>
      <c:overlay val="1"/>
    </c:title>
    <c:autoTitleDeleted val="0"/>
    <c:plotArea>
      <c:lineChart>
        <c:grouping val="standard"/>
        <c:varyColors val="0"/>
        <c:ser>
          <c:idx val="0"/>
          <c:order val="0"/>
          <c:tx>
            <c:v>净值</c:v>
          </c:tx>
          <c:spPr>
            <a:ln xmlns:a="http://schemas.openxmlformats.org/drawingml/2006/main"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'看板-10-90'!_ChartDates</c:f>
              <c:numCache>
                <c:formatCode>mm\-dd</c:formatCode>
                <c:ptCount val="34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  <c:pt idx="16">
                  <c:v>46219</c:v>
                </c:pt>
                <c:pt idx="17">
                  <c:v>46220</c:v>
                </c:pt>
                <c:pt idx="18">
                  <c:v>46223</c:v>
                </c:pt>
                <c:pt idx="19">
                  <c:v>46224</c:v>
                </c:pt>
                <c:pt idx="20">
                  <c:v>46225</c:v>
                </c:pt>
                <c:pt idx="21">
                  <c:v>46226</c:v>
                </c:pt>
                <c:pt idx="22">
                  <c:v>46227</c:v>
                </c:pt>
                <c:pt idx="23">
                  <c:v>46230</c:v>
                </c:pt>
                <c:pt idx="24">
                  <c:v>46231</c:v>
                </c:pt>
                <c:pt idx="25">
                  <c:v>46232</c:v>
                </c:pt>
                <c:pt idx="26">
                  <c:v>46233</c:v>
                </c:pt>
                <c:pt idx="27">
                  <c:v>46234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46244</c:v>
                </c:pt>
              </c:numCache>
            </c:numRef>
          </c:cat>
          <c:val>
            <c:numRef>
              <c:f>'看板-10-90'!_ChartValues</c:f>
              <c:numCache>
                <c:formatCode>0.0000</c:formatCode>
                <c:ptCount val="34"/>
                <c:pt idx="0">
                  <c:v>1</c:v>
                </c:pt>
                <c:pt idx="1">
                  <c:v>1.0014141946107082</c:v>
                </c:pt>
                <c:pt idx="2">
                  <c:v>0.999482233533317</c:v>
                </c:pt>
                <c:pt idx="3">
                  <c:v>1.001381360351553</c:v>
                </c:pt>
                <c:pt idx="4">
                  <c:v>1.0032719936317975</c:v>
                </c:pt>
                <c:pt idx="5">
                  <c:v>1.0008642071384042</c:v>
                </c:pt>
                <c:pt idx="6">
                  <c:v>0.9953694470930653</c:v>
                </c:pt>
                <c:pt idx="7">
                  <c:v>0.9965245472082546</c:v>
                </c:pt>
                <c:pt idx="8">
                  <c:v>0.9957323662810534</c:v>
                </c:pt>
                <c:pt idx="9">
                  <c:v>0.9948959364529036</c:v>
                </c:pt>
                <c:pt idx="10">
                  <c:v>0.9950051524362421</c:v>
                </c:pt>
                <c:pt idx="11">
                  <c:v>1.0000251971614045</c:v>
                </c:pt>
                <c:pt idx="12">
                  <c:v>0.996179521171354</c:v>
                </c:pt>
                <c:pt idx="13">
                  <c:v>0.9909199976470138</c:v>
                </c:pt>
                <c:pt idx="14">
                  <c:v>0.99334753088252</c:v>
                </c:pt>
                <c:pt idx="15">
                  <c:v>0.9907172819897296</c:v>
                </c:pt>
                <c:pt idx="16">
                  <c:v>0.9867618713222716</c:v>
                </c:pt>
                <c:pt idx="17">
                  <c:v>0.9801796358017143</c:v>
                </c:pt>
                <c:pt idx="18">
                  <c:v>0.9769278540562801</c:v>
                </c:pt>
                <c:pt idx="19">
                  <c:v>0.985951613844311</c:v>
                </c:pt>
                <c:pt idx="20">
                  <c:v>0.9857985086857878</c:v>
                </c:pt>
                <c:pt idx="21">
                  <c:v>0.9844778471823327</c:v>
                </c:pt>
                <c:pt idx="22">
                  <c:v>0.9834504057910622</c:v>
                </c:pt>
                <c:pt idx="23">
                  <c:v>0.986964372283558</c:v>
                </c:pt>
                <c:pt idx="24">
                  <c:v>0.9806986308480341</c:v>
                </c:pt>
                <c:pt idx="25">
                  <c:v>0.9802690641980553</c:v>
                </c:pt>
                <c:pt idx="26">
                  <c:v>0.9761214913199201</c:v>
                </c:pt>
                <c:pt idx="27">
                  <c:v>0.9792721494489683</c:v>
                </c:pt>
                <c:pt idx="28">
                  <c:v>0.9764584047938141</c:v>
                </c:pt>
                <c:pt idx="29">
                  <c:v>0.9809307866654694</c:v>
                </c:pt>
                <c:pt idx="30">
                  <c:v>0.9857551121502536</c:v>
                </c:pt>
                <c:pt idx="31">
                  <c:v>0.9880799153102908</c:v>
                </c:pt>
                <c:pt idx="32">
                  <c:v>0.9911824322392818</c:v>
                </c:pt>
                <c:pt idx="33">
                  <c:v>0.9911198858710139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0566368"/>
        <c:axId val="340577248"/>
      </c:lineChart>
      <c:dateAx>
        <c:axId val="340566368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340577248"/>
        <c:crosses val="autoZero"/>
        <c:auto val="1"/>
        <c:baseTimeUnit val="days"/>
        <c:majorTimeUnit val="days"/>
      </c:dateAx>
      <c:valAx>
        <c:axId val="34057724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340566368"/>
        <c:crosses val="autoZero"/>
        <c:crossBetween val="between"/>
      </c:valAx>
    </c:plotArea>
    <c:plotVisOnly val="1"/>
  </c:chart>
</c:chartSpace>
</file>

<file path=xl/drawings/charts/chart5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10-90基石 组合净值</a:t>
            </a:r>
          </a:p>
        </c:rich>
      </c:tx>
      <c:overlay val="1"/>
    </c:title>
    <c:autoTitleDeleted val="0"/>
    <c:plotArea>
      <c:lineChart>
        <c:grouping val="standard"/>
        <c:varyColors val="0"/>
        <c:ser>
          <c:idx val="0"/>
          <c:order val="0"/>
          <c:tx>
            <c:v>净值</c:v>
          </c:tx>
          <c:spPr>
            <a:ln xmlns:a="http://schemas.openxmlformats.org/drawingml/2006/main"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'看板-10-90基石'!_ChartDates</c:f>
              <c:numCache>
                <c:formatCode>mm\-dd</c:formatCode>
                <c:ptCount val="37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  <c:pt idx="19">
                  <c:v>46219</c:v>
                </c:pt>
                <c:pt idx="20">
                  <c:v>46220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46237</c:v>
                </c:pt>
                <c:pt idx="32">
                  <c:v>46238</c:v>
                </c:pt>
                <c:pt idx="33">
                  <c:v>46239</c:v>
                </c:pt>
                <c:pt idx="34">
                  <c:v>46240</c:v>
                </c:pt>
                <c:pt idx="35">
                  <c:v>46241</c:v>
                </c:pt>
                <c:pt idx="36">
                  <c:v>46244</c:v>
                </c:pt>
              </c:numCache>
            </c:numRef>
          </c:cat>
          <c:val>
            <c:numRef>
              <c:f>'看板-10-90基石'!_ChartValues</c:f>
              <c:numCache>
                <c:formatCode>0.0000</c:formatCode>
                <c:ptCount val="37"/>
                <c:pt idx="0">
                  <c:v>1</c:v>
                </c:pt>
                <c:pt idx="1">
                  <c:v>1.000895531640774</c:v>
                </c:pt>
                <c:pt idx="2">
                  <c:v>0.997822638405164</c:v>
                </c:pt>
                <c:pt idx="3">
                  <c:v>0.999770568843768</c:v>
                </c:pt>
                <c:pt idx="4">
                  <c:v>1.0012779820956512</c:v>
                </c:pt>
                <c:pt idx="5">
                  <c:v>0.9989298006435622</c:v>
                </c:pt>
                <c:pt idx="6">
                  <c:v>1.000521049754879</c:v>
                </c:pt>
                <c:pt idx="7">
                  <c:v>1.0027101391424882</c:v>
                </c:pt>
                <c:pt idx="8">
                  <c:v>0.9999843673180198</c:v>
                </c:pt>
                <c:pt idx="9">
                  <c:v>0.9941527961239465</c:v>
                </c:pt>
                <c:pt idx="10">
                  <c:v>0.9950266275137456</c:v>
                </c:pt>
                <c:pt idx="11">
                  <c:v>0.9941257530343445</c:v>
                </c:pt>
                <c:pt idx="12">
                  <c:v>0.993508045742055</c:v>
                </c:pt>
                <c:pt idx="13">
                  <c:v>0.993658268958903</c:v>
                </c:pt>
                <c:pt idx="14">
                  <c:v>0.9987536792450192</c:v>
                </c:pt>
                <c:pt idx="15">
                  <c:v>0.995027963149505</c:v>
                </c:pt>
                <c:pt idx="16">
                  <c:v>0.989844018115725</c:v>
                </c:pt>
                <c:pt idx="17">
                  <c:v>0.9925957253792916</c:v>
                </c:pt>
                <c:pt idx="18">
                  <c:v>0.9902009987247299</c:v>
                </c:pt>
                <c:pt idx="19">
                  <c:v>0.9861176198208752</c:v>
                </c:pt>
                <c:pt idx="20">
                  <c:v>0.9790047810904865</c:v>
                </c:pt>
                <c:pt idx="21">
                  <c:v>0.9755160995630255</c:v>
                </c:pt>
                <c:pt idx="22">
                  <c:v>0.9845118194605104</c:v>
                </c:pt>
                <c:pt idx="23">
                  <c:v>0.9841648961696206</c:v>
                </c:pt>
                <c:pt idx="24">
                  <c:v>0.9829406750694418</c:v>
                </c:pt>
                <c:pt idx="25">
                  <c:v>0.9816707275326353</c:v>
                </c:pt>
                <c:pt idx="26">
                  <c:v>0.9853056669070563</c:v>
                </c:pt>
                <c:pt idx="27">
                  <c:v>0.9787964235118289</c:v>
                </c:pt>
                <c:pt idx="28">
                  <c:v>0.9782589797667538</c:v>
                </c:pt>
                <c:pt idx="29">
                  <c:v>0.9739032100573446</c:v>
                </c:pt>
                <c:pt idx="30">
                  <c:v>0.9771983724761962</c:v>
                </c:pt>
                <c:pt idx="31">
                  <c:v>0.9748359985566297</c:v>
                </c:pt>
                <c:pt idx="32">
                  <c:v>0.9796855733955407</c:v>
                </c:pt>
                <c:pt idx="33">
                  <c:v>0.9843568121162213</c:v>
                </c:pt>
                <c:pt idx="34">
                  <c:v>0.9867312806435433</c:v>
                </c:pt>
                <c:pt idx="35">
                  <c:v>0.9899177263544964</c:v>
                </c:pt>
                <c:pt idx="36">
                  <c:v>0.9898798291506663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0564736"/>
        <c:axId val="340565280"/>
      </c:lineChart>
      <c:dateAx>
        <c:axId val="340564736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340565280"/>
        <c:crosses val="autoZero"/>
        <c:auto val="1"/>
        <c:baseTimeUnit val="days"/>
        <c:majorTimeUnit val="days"/>
      </c:dateAx>
      <c:valAx>
        <c:axId val="34056528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340564736"/>
        <c:crosses val="autoZero"/>
        <c:crossBetween val="between"/>
      </c:valAx>
    </c:plotArea>
    <c:plotVisOnly val="1"/>
  </c:chart>
</c:chartSpace>
</file>

<file path=xl/drawings/charts/chart6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30-70 组合净值</a:t>
            </a:r>
          </a:p>
        </c:rich>
      </c:tx>
      <c:overlay val="1"/>
    </c:title>
    <c:autoTitleDeleted val="0"/>
    <c:plotArea>
      <c:lineChart>
        <c:grouping val="standard"/>
        <c:varyColors val="0"/>
        <c:ser>
          <c:idx val="0"/>
          <c:order val="0"/>
          <c:tx>
            <c:v>净值</c:v>
          </c:tx>
          <c:spPr>
            <a:ln xmlns:a="http://schemas.openxmlformats.org/drawingml/2006/main"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'看板-30-70'!_ChartDates</c:f>
              <c:numCache>
                <c:formatCode>mm\-dd</c:formatCode>
                <c:ptCount val="34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  <c:pt idx="16">
                  <c:v>46219</c:v>
                </c:pt>
                <c:pt idx="17">
                  <c:v>46220</c:v>
                </c:pt>
                <c:pt idx="18">
                  <c:v>46223</c:v>
                </c:pt>
                <c:pt idx="19">
                  <c:v>46224</c:v>
                </c:pt>
                <c:pt idx="20">
                  <c:v>46225</c:v>
                </c:pt>
                <c:pt idx="21">
                  <c:v>46226</c:v>
                </c:pt>
                <c:pt idx="22">
                  <c:v>46227</c:v>
                </c:pt>
                <c:pt idx="23">
                  <c:v>46230</c:v>
                </c:pt>
                <c:pt idx="24">
                  <c:v>46231</c:v>
                </c:pt>
                <c:pt idx="25">
                  <c:v>46232</c:v>
                </c:pt>
                <c:pt idx="26">
                  <c:v>46233</c:v>
                </c:pt>
                <c:pt idx="27">
                  <c:v>46234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46244</c:v>
                </c:pt>
              </c:numCache>
            </c:numRef>
          </c:cat>
          <c:val>
            <c:numRef>
              <c:f>'看板-30-70'!_ChartValues</c:f>
              <c:numCache>
                <c:formatCode>0.0000</c:formatCode>
                <c:ptCount val="34"/>
                <c:pt idx="0">
                  <c:v>1</c:v>
                </c:pt>
                <c:pt idx="1">
                  <c:v>1.003973208229428</c:v>
                </c:pt>
                <c:pt idx="2">
                  <c:v>0.9972080430474539</c:v>
                </c:pt>
                <c:pt idx="3">
                  <c:v>1.0009806053834995</c:v>
                </c:pt>
                <c:pt idx="4">
                  <c:v>1.0087618711402628</c:v>
                </c:pt>
                <c:pt idx="5">
                  <c:v>1.0039155476418373</c:v>
                </c:pt>
                <c:pt idx="6">
                  <c:v>0.9875221133791491</c:v>
                </c:pt>
                <c:pt idx="7">
                  <c:v>0.9903029372721969</c:v>
                </c:pt>
                <c:pt idx="8">
                  <c:v>0.98670140137911</c:v>
                </c:pt>
                <c:pt idx="9">
                  <c:v>0.9840531840077723</c:v>
                </c:pt>
                <c:pt idx="10">
                  <c:v>0.9829159879771635</c:v>
                </c:pt>
                <c:pt idx="11">
                  <c:v>0.9967740900145545</c:v>
                </c:pt>
                <c:pt idx="12">
                  <c:v>0.9860201572522912</c:v>
                </c:pt>
                <c:pt idx="13">
                  <c:v>0.9720214180170383</c:v>
                </c:pt>
                <c:pt idx="14">
                  <c:v>0.9792359223946778</c:v>
                </c:pt>
                <c:pt idx="15">
                  <c:v>0.9719417616545712</c:v>
                </c:pt>
                <c:pt idx="16">
                  <c:v>0.9615263183146966</c:v>
                </c:pt>
                <c:pt idx="17">
                  <c:v>0.9421002871065172</c:v>
                </c:pt>
                <c:pt idx="18">
                  <c:v>0.9330905763749354</c:v>
                </c:pt>
                <c:pt idx="19">
                  <c:v>0.9586286909983064</c:v>
                </c:pt>
                <c:pt idx="20">
                  <c:v>0.954735367142604</c:v>
                </c:pt>
                <c:pt idx="21">
                  <c:v>0.9505792374452339</c:v>
                </c:pt>
                <c:pt idx="22">
                  <c:v>0.9474105527369694</c:v>
                </c:pt>
                <c:pt idx="23">
                  <c:v>0.9570814216289998</c:v>
                </c:pt>
                <c:pt idx="24">
                  <c:v>0.9394669479194155</c:v>
                </c:pt>
                <c:pt idx="25">
                  <c:v>0.9386041036257209</c:v>
                </c:pt>
                <c:pt idx="26">
                  <c:v>0.924452842065355</c:v>
                </c:pt>
                <c:pt idx="27">
                  <c:v>0.9326482664466822</c:v>
                </c:pt>
                <c:pt idx="28">
                  <c:v>0.9240856594816441</c:v>
                </c:pt>
                <c:pt idx="29">
                  <c:v>0.9365246383470299</c:v>
                </c:pt>
                <c:pt idx="30">
                  <c:v>0.9497157311328217</c:v>
                </c:pt>
                <c:pt idx="31">
                  <c:v>0.9551340139407101</c:v>
                </c:pt>
                <c:pt idx="32">
                  <c:v>0.962773860599383</c:v>
                </c:pt>
                <c:pt idx="33">
                  <c:v>0.962683778800384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0575616"/>
        <c:axId val="340569088"/>
      </c:lineChart>
      <c:dateAx>
        <c:axId val="340575616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340569088"/>
        <c:crosses val="autoZero"/>
        <c:auto val="1"/>
        <c:baseTimeUnit val="days"/>
        <c:majorTimeUnit val="days"/>
      </c:dateAx>
      <c:valAx>
        <c:axId val="34056908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340575616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8</xdr:col>
      <xdr:colOff>74160</xdr:colOff>
      <xdr:row>34</xdr:row>
      <xdr:rowOff>136080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710b3b944a34bc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6</xdr:col>
      <xdr:colOff>1069700</xdr:colOff>
      <xdr:row>34</xdr:row>
      <xdr:rowOff>136080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674cc2c60649f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6</xdr:col>
      <xdr:colOff>822240</xdr:colOff>
      <xdr:row>34</xdr:row>
      <xdr:rowOff>136080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8089c1b22c4c2e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7</xdr:col>
      <xdr:colOff>91800</xdr:colOff>
      <xdr:row>34</xdr:row>
      <xdr:rowOff>136080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b617c52a5a74fe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8</xdr:col>
      <xdr:colOff>144720</xdr:colOff>
      <xdr:row>34</xdr:row>
      <xdr:rowOff>136080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f17a708ff947ee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>
  <xdr:twoCellAnchor>
    <xdr:from>
      <xdr:col>1</xdr:col>
      <xdr:colOff>0</xdr:colOff>
      <xdr:row>18</xdr:row>
      <xdr:rowOff>0</xdr:rowOff>
    </xdr:from>
    <xdr:to>
      <xdr:col>7</xdr:col>
      <xdr:colOff>56160</xdr:colOff>
      <xdr:row>34</xdr:row>
      <xdr:rowOff>136080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fea0ef4b4054b4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893f8be616954c1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dbffff788b9c4c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78db2fb407174af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4.xml" Id="R7f559ff64bf84b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5.xml" Id="R6074a333c5be4bb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6.xml" Id="Rcf57bdd6e9234c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17.453125" customWidth="1"/>
    <x:col min="2" max="24" width="12.08984375" customWidth="1"/>
    <x:col min="25" max="26" width="9.90625" customWidth="1"/>
    <x:col min="27" max="27" width="13.1796875" customWidth="1"/>
  </x:cols>
  <x:sheetData>
    <x:row r="1" ht="18.75" customHeight="1">
      <x:c r="A1" s="54" t="s">
        <x:v>0</x:v>
      </x:c>
      <x:c r="B1" s="54"/>
      <x:c r="C1" s="54"/>
    </x:row>
    <x:row r="2" ht="39" customHeight="1">
      <x:c r="A2" s="1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1" t="s">
        <x:v>25</x:v>
      </x:c>
      <x:c r="Z2" s="1" t="s">
        <x:v>26</x:v>
      </x:c>
      <x:c r="AA2" s="1" t="s">
        <x:v>27</x:v>
      </x:c>
    </x:row>
    <x:row r="3" ht="13">
      <x:c r="A3" s="1" t="s">
        <x:v>28</x:v>
      </x:c>
      <x:c r="B3" s="3" t="s">
        <x:v>29</x:v>
      </x:c>
      <x:c r="C3" s="3" t="s">
        <x:v>30</x:v>
      </x:c>
      <x:c r="D3" s="3" t="s">
        <x:v>31</x:v>
      </x:c>
      <x:c r="E3" s="3" t="s">
        <x:v>32</x:v>
      </x:c>
      <x:c r="F3" s="3" t="s">
        <x:v>33</x:v>
      </x:c>
      <x:c r="G3" s="3" t="s">
        <x:v>34</x:v>
      </x:c>
      <x:c r="H3" s="3" t="s">
        <x:v>35</x:v>
      </x:c>
      <x:c r="I3" s="3" t="s">
        <x:v>36</x:v>
      </x:c>
      <x:c r="J3" s="3" t="s">
        <x:v>37</x:v>
      </x:c>
      <x:c r="K3" s="3" t="s">
        <x:v>38</x:v>
      </x:c>
      <x:c r="L3" s="3" t="s">
        <x:v>39</x:v>
      </x:c>
      <x:c r="M3" s="3" t="s">
        <x:v>40</x:v>
      </x:c>
      <x:c r="N3" s="3" t="s">
        <x:v>41</x:v>
      </x:c>
      <x:c r="O3" s="3" t="s">
        <x:v>42</x:v>
      </x:c>
      <x:c r="P3" s="3" t="s">
        <x:v>43</x:v>
      </x:c>
      <x:c r="Q3" s="3" t="s">
        <x:v>44</x:v>
      </x:c>
      <x:c r="R3" s="3" t="s">
        <x:v>45</x:v>
      </x:c>
      <x:c r="S3" s="3" t="s">
        <x:v>46</x:v>
      </x:c>
      <x:c r="T3" s="3" t="s">
        <x:v>47</x:v>
      </x:c>
      <x:c r="U3" s="3" t="s">
        <x:v>48</x:v>
      </x:c>
      <x:c r="V3" s="3" t="s">
        <x:v>49</x:v>
      </x:c>
      <x:c r="W3" s="3" t="s">
        <x:v>50</x:v>
      </x:c>
      <x:c r="X3" s="3" t="s">
        <x:v>51</x:v>
      </x:c>
      <x:c r="Y3" s="3"/>
      <x:c r="Z3" s="3"/>
      <x:c r="AA3" s="3"/>
    </x:row>
    <x:row r="4" ht="13">
      <x:c r="A4" s="4" t="s">
        <x:v>52</x:v>
      </x:c>
      <x:c r="B4" s="5">
        <x:v>0</x:v>
      </x:c>
      <x:c r="C4" s="5">
        <x:v>0.02</x:v>
      </x:c>
      <x:c r="D4" s="5">
        <x:v>0.19</x:v>
      </x:c>
      <x:c r="E4" s="5">
        <x:v>0</x:v>
      </x:c>
      <x:c r="F4" s="5">
        <x:v>0</x:v>
      </x:c>
      <x:c r="G4" s="5">
        <x:v>0.11</x:v>
      </x:c>
      <x:c r="H4" s="5">
        <x:v>0</x:v>
      </x:c>
      <x:c r="I4" s="5">
        <x:v>0</x:v>
      </x:c>
      <x:c r="J4" s="5">
        <x:v>0.19</x:v>
      </x:c>
      <x:c r="K4" s="5">
        <x:v>0</x:v>
      </x:c>
      <x:c r="L4" s="5">
        <x:v>0</x:v>
      </x:c>
      <x:c r="M4" s="5">
        <x:v>0</x:v>
      </x:c>
      <x:c r="N4" s="5">
        <x:v>0</x:v>
      </x:c>
      <x:c r="O4" s="5">
        <x:v>0</x:v>
      </x:c>
      <x:c r="P4" s="5">
        <x:v>0.19</x:v>
      </x:c>
      <x:c r="Q4" s="5">
        <x:v>0.19</x:v>
      </x:c>
      <x:c r="R4" s="5">
        <x:v>0</x:v>
      </x:c>
      <x:c r="S4" s="5">
        <x:v>0</x:v>
      </x:c>
      <x:c r="T4" s="5">
        <x:v>0.11</x:v>
      </x:c>
      <x:c r="U4" s="5">
        <x:v>0</x:v>
      </x:c>
      <x:c r="V4" s="5">
        <x:v>0</x:v>
      </x:c>
      <x:c r="W4" s="5">
        <x:v>0</x:v>
      </x:c>
      <x:c r="X4" s="5">
        <x:v>0</x:v>
      </x:c>
      <x:c r="Y4" s="6" t="n">
        <x:f t="shared" ref="Y4:Y9" si="0">SUM(B4:X4)</x:f>
        <x:v>0.9999999999999999</x:v>
      </x:c>
      <x:c r="Z4" s="7">
        <x:v>1.4999999999999999E-2</x:v>
      </x:c>
      <x:c r="AA4" s="8">
        <x:v>46195</x:v>
      </x:c>
    </x:row>
    <x:row r="5" ht="13">
      <x:c r="A5" s="4" t="s">
        <x:v>53</x:v>
      </x:c>
      <x:c r="B5" s="5">
        <x:v>0</x:v>
      </x:c>
      <x:c r="C5" s="5">
        <x:v>0.02</x:v>
      </x:c>
      <x:c r="D5" s="5">
        <x:v>0.19</x:v>
      </x:c>
      <x:c r="E5" s="5">
        <x:v>0</x:v>
      </x:c>
      <x:c r="F5" s="5">
        <x:v>0</x:v>
      </x:c>
      <x:c r="G5" s="5">
        <x:v>0.11</x:v>
      </x:c>
      <x:c r="H5" s="5">
        <x:v>0</x:v>
      </x:c>
      <x:c r="I5" s="5">
        <x:v>0</x:v>
      </x:c>
      <x:c r="J5" s="5">
        <x:v>0.19</x:v>
      </x:c>
      <x:c r="K5" s="5">
        <x:v>0</x:v>
      </x:c>
      <x:c r="L5" s="5">
        <x:v>0</x:v>
      </x:c>
      <x:c r="M5" s="5">
        <x:v>0</x:v>
      </x:c>
      <x:c r="N5" s="5">
        <x:v>0</x:v>
      </x:c>
      <x:c r="O5" s="5">
        <x:v>0</x:v>
      </x:c>
      <x:c r="P5" s="5">
        <x:v>0.19</x:v>
      </x:c>
      <x:c r="Q5" s="5">
        <x:v>0.19</x:v>
      </x:c>
      <x:c r="R5" s="5">
        <x:v>0</x:v>
      </x:c>
      <x:c r="S5" s="5">
        <x:v>0</x:v>
      </x:c>
      <x:c r="T5" s="5">
        <x:v>0.11</x:v>
      </x:c>
      <x:c r="U5" s="5">
        <x:v>0</x:v>
      </x:c>
      <x:c r="V5" s="5">
        <x:v>0</x:v>
      </x:c>
      <x:c r="W5" s="5">
        <x:v>0</x:v>
      </x:c>
      <x:c r="X5" s="5">
        <x:v>0</x:v>
      </x:c>
      <x:c r="Y5" s="6">
        <x:f t="shared" si="0"/>
        <x:v>0.99999999999999989</x:v>
      </x:c>
      <x:c r="Z5" s="7">
        <x:v>1.2E-2</x:v>
      </x:c>
      <x:c r="AA5" s="8">
        <x:v>46191</x:v>
      </x:c>
    </x:row>
    <x:row r="6" ht="13">
      <x:c r="A6" s="4" t="s">
        <x:v>54</x:v>
      </x:c>
      <x:c r="B6" s="5">
        <x:v>0</x:v>
      </x:c>
      <x:c r="C6" s="5">
        <x:v>0.02</x:v>
      </x:c>
      <x:c r="D6" s="5">
        <x:v>0</x:v>
      </x:c>
      <x:c r="E6" s="5">
        <x:v>0</x:v>
      </x:c>
      <x:c r="F6" s="5">
        <x:v>0</x:v>
      </x:c>
      <x:c r="G6" s="5">
        <x:v>0</x:v>
      </x:c>
      <x:c r="H6" s="5">
        <x:v>0.11</x:v>
      </x:c>
      <x:c r="I6" s="5">
        <x:v>0.19</x:v>
      </x:c>
      <x:c r="J6" s="5">
        <x:v>0</x:v>
      </x:c>
      <x:c r="K6" s="5">
        <x:v>0.19</x:v>
      </x:c>
      <x:c r="L6" s="5">
        <x:v>0</x:v>
      </x:c>
      <x:c r="M6" s="5">
        <x:v>0</x:v>
      </x:c>
      <x:c r="N6" s="5">
        <x:v>0</x:v>
      </x:c>
      <x:c r="O6" s="5">
        <x:v>0</x:v>
      </x:c>
      <x:c r="P6" s="5">
        <x:v>0</x:v>
      </x:c>
      <x:c r="Q6" s="5">
        <x:v>0</x:v>
      </x:c>
      <x:c r="R6" s="5">
        <x:v>0.19</x:v>
      </x:c>
      <x:c r="S6" s="5">
        <x:v>0.19</x:v>
      </x:c>
      <x:c r="T6" s="5">
        <x:v>0</x:v>
      </x:c>
      <x:c r="U6" s="5">
        <x:v>0.11</x:v>
      </x:c>
      <x:c r="V6" s="5">
        <x:v>0</x:v>
      </x:c>
      <x:c r="W6" s="5">
        <x:v>0</x:v>
      </x:c>
      <x:c r="X6" s="5">
        <x:v>0</x:v>
      </x:c>
      <x:c r="Y6" s="6">
        <x:f t="shared" si="0"/>
        <x:v>0.99999999999999989</x:v>
      </x:c>
      <x:c r="Z6" s="7">
        <x:v>1.4999999999999999E-2</x:v>
      </x:c>
      <x:c r="AA6" s="8">
        <x:v>46196</x:v>
      </x:c>
    </x:row>
    <x:row r="7" ht="13">
      <x:c r="A7" s="9" t="s">
        <x:v>55</x:v>
      </x:c>
      <x:c r="B7" s="5">
        <x:v>0.05</x:v>
      </x:c>
      <x:c r="C7" s="5">
        <x:v>0.02</x:v>
      </x:c>
      <x:c r="D7" s="5">
        <x:v>0</x:v>
      </x:c>
      <x:c r="E7" s="5">
        <x:v>0</x:v>
      </x:c>
      <x:c r="F7" s="5">
        <x:v>1.2500000000000001E-2</x:v>
      </x:c>
      <x:c r="G7" s="5">
        <x:v>0</x:v>
      </x:c>
      <x:c r="H7" s="5">
        <x:v>5.0000000000000001E-3</x:v>
      </x:c>
      <x:c r="I7" s="5">
        <x:v>0.01</x:v>
      </x:c>
      <x:c r="J7" s="5">
        <x:v>0</x:v>
      </x:c>
      <x:c r="K7" s="5">
        <x:v>0.01</x:v>
      </x:c>
      <x:c r="L7" s="5">
        <x:v>0</x:v>
      </x:c>
      <x:c r="M7" s="5">
        <x:v>1.2500000000000001E-2</x:v>
      </x:c>
      <x:c r="N7" s="5">
        <x:v>0</x:v>
      </x:c>
      <x:c r="O7" s="5">
        <x:v>1.2500000000000001E-2</x:v>
      </x:c>
      <x:c r="P7" s="5">
        <x:v>0</x:v>
      </x:c>
      <x:c r="Q7" s="5">
        <x:v>0</x:v>
      </x:c>
      <x:c r="R7" s="5">
        <x:v>0.01</x:v>
      </x:c>
      <x:c r="S7" s="5">
        <x:v>0.01</x:v>
      </x:c>
      <x:c r="T7" s="5">
        <x:v>0</x:v>
      </x:c>
      <x:c r="U7" s="5">
        <x:v>5.0000000000000001E-3</x:v>
      </x:c>
      <x:c r="V7" s="5">
        <x:v>0</x:v>
      </x:c>
      <x:c r="W7" s="5">
        <x:v>1.2500000000000001E-2</x:v>
      </x:c>
      <x:c r="X7" s="5">
        <x:v>0.83</x:v>
      </x:c>
      <x:c r="Y7" s="6">
        <x:f t="shared" si="0"/>
        <x:v>1</x:v>
      </x:c>
      <x:c r="Z7" s="7">
        <x:v>8.0000000000000002E-3</x:v>
      </x:c>
      <x:c r="AA7" s="8">
        <x:v>46197</x:v>
      </x:c>
    </x:row>
    <x:row r="8" ht="13">
      <x:c r="A8" s="9" t="s">
        <x:v>56</x:v>
      </x:c>
      <x:c r="B8" s="5">
        <x:v>0.05</x:v>
      </x:c>
      <x:c r="C8" s="5">
        <x:v>0.02</x:v>
      </x:c>
      <x:c r="D8" s="5">
        <x:v>0.01</x:v>
      </x:c>
      <x:c r="E8" s="5">
        <x:v>1.2500000000000001E-2</x:v>
      </x:c>
      <x:c r="F8" s="5">
        <x:v>0</x:v>
      </x:c>
      <x:c r="G8" s="5">
        <x:v>5.0000000000000001E-3</x:v>
      </x:c>
      <x:c r="H8" s="5">
        <x:v>0</x:v>
      </x:c>
      <x:c r="I8" s="5">
        <x:v>0</x:v>
      </x:c>
      <x:c r="J8" s="5">
        <x:v>0.01</x:v>
      </x:c>
      <x:c r="K8" s="5">
        <x:v>0</x:v>
      </x:c>
      <x:c r="L8" s="5">
        <x:v>1.2500000000000001E-2</x:v>
      </x:c>
      <x:c r="M8" s="5">
        <x:v>0</x:v>
      </x:c>
      <x:c r="N8" s="5">
        <x:v>1.2500000000000001E-2</x:v>
      </x:c>
      <x:c r="O8" s="5">
        <x:v>0</x:v>
      </x:c>
      <x:c r="P8" s="5">
        <x:v>0.01</x:v>
      </x:c>
      <x:c r="Q8" s="5">
        <x:v>0.01</x:v>
      </x:c>
      <x:c r="R8" s="5">
        <x:v>0</x:v>
      </x:c>
      <x:c r="S8" s="5">
        <x:v>0</x:v>
      </x:c>
      <x:c r="T8" s="5">
        <x:v>5.0000000000000001E-3</x:v>
      </x:c>
      <x:c r="U8" s="5">
        <x:v>0</x:v>
      </x:c>
      <x:c r="V8" s="5">
        <x:v>1.2500000000000001E-2</x:v>
      </x:c>
      <x:c r="W8" s="5">
        <x:v>0</x:v>
      </x:c>
      <x:c r="X8" s="5">
        <x:v>0.83</x:v>
      </x:c>
      <x:c r="Y8" s="6">
        <x:f t="shared" si="0"/>
        <x:v>1</x:v>
      </x:c>
      <x:c r="Z8" s="7">
        <x:v>5.0000000000000001E-3</x:v>
      </x:c>
      <x:c r="AA8" s="8">
        <x:v>46191</x:v>
      </x:c>
    </x:row>
    <x:row r="9" ht="13">
      <x:c r="A9" s="9" t="s">
        <x:v>57</x:v>
      </x:c>
      <x:c r="B9" s="5">
        <x:v>0.1</x:v>
      </x:c>
      <x:c r="C9" s="5">
        <x:v>0.02</x:v>
      </x:c>
      <x:c r="D9" s="5">
        <x:v>0</x:v>
      </x:c>
      <x:c r="E9" s="5">
        <x:v>0</x:v>
      </x:c>
      <x:c r="F9" s="5">
        <x:v>3.7499999999999999E-2</x:v>
      </x:c>
      <x:c r="G9" s="5">
        <x:v>0</x:v>
      </x:c>
      <x:c r="H9" s="5">
        <x:v>1.4999999999999999E-2</x:v>
      </x:c>
      <x:c r="I9" s="5">
        <x:v>0.03</x:v>
      </x:c>
      <x:c r="J9" s="5">
        <x:v>0</x:v>
      </x:c>
      <x:c r="K9" s="5">
        <x:v>0.03</x:v>
      </x:c>
      <x:c r="L9" s="5">
        <x:v>0</x:v>
      </x:c>
      <x:c r="M9" s="5">
        <x:v>3.7499999999999999E-2</x:v>
      </x:c>
      <x:c r="N9" s="5">
        <x:v>0</x:v>
      </x:c>
      <x:c r="O9" s="5">
        <x:v>3.7499999999999999E-2</x:v>
      </x:c>
      <x:c r="P9" s="5">
        <x:v>0</x:v>
      </x:c>
      <x:c r="Q9" s="5">
        <x:v>0</x:v>
      </x:c>
      <x:c r="R9" s="5">
        <x:v>0.03</x:v>
      </x:c>
      <x:c r="S9" s="5">
        <x:v>0.03</x:v>
      </x:c>
      <x:c r="T9" s="5">
        <x:v>0</x:v>
      </x:c>
      <x:c r="U9" s="5">
        <x:v>1.4999999999999999E-2</x:v>
      </x:c>
      <x:c r="V9" s="5">
        <x:v>0</x:v>
      </x:c>
      <x:c r="W9" s="5">
        <x:v>3.7499999999999999E-2</x:v>
      </x:c>
      <x:c r="X9" s="5">
        <x:v>0.57999999999999996</x:v>
      </x:c>
      <x:c r="Y9" s="6">
        <x:f t="shared" si="0"/>
        <x:v>0.99999999999999989</x:v>
      </x:c>
      <x:c r="Z9" s="7">
        <x:v>1.2E-2</x:v>
      </x:c>
      <x:c r="AA9" s="8">
        <x:v>46197</x:v>
      </x:c>
    </x:row>
    <x:row r="11" ht="14.25" customHeight="1">
      <x:c r="A11" s="10" t="s">
        <x:v>58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13.1796875" customWidth="1"/>
  </x:cols>
  <x:sheetData>
    <x:row r="1" ht="19.5" customHeight="1">
      <x:c r="A1" s="55" t="s">
        <x:v>59</x:v>
      </x:c>
      <x:c r="B1" s="55"/>
      <x:c r="C1" s="55"/>
      <x:c r="D1" s="55"/>
    </x:row>
    <x:row r="2" ht="14">
      <x:c r="A2" s="11" t="n">
        <x:f ca="1">TODAY()</x:f>
        <x:v>46244</x:v>
      </x:c>
    </x:row>
    <x:row r="3" ht="24.75" customHeight="1">
      <x:c r="A3" s="1" t="s">
        <x:v>60</x:v>
      </x:c>
      <x:c r="B3" s="12" t="e">
        <x:f>实盘持仓配置!B3</x:f>
        <x:v>#NAME?</x:v>
      </x:c>
      <x:c r="C3" s="12" t="e">
        <x:f>实盘持仓配置!C3</x:f>
        <x:v>#NAME?</x:v>
      </x:c>
      <x:c r="D3" s="12" t="e">
        <x:f>实盘持仓配置!D3</x:f>
        <x:v>#NAME?</x:v>
      </x:c>
      <x:c r="E3" s="12" t="e">
        <x:f>实盘持仓配置!E3</x:f>
        <x:v>#NAME?</x:v>
      </x:c>
      <x:c r="F3" s="12" t="e">
        <x:f>实盘持仓配置!F3</x:f>
        <x:v>#NAME?</x:v>
      </x:c>
      <x:c r="G3" s="12" t="e">
        <x:f>实盘持仓配置!G3</x:f>
        <x:v>#NAME?</x:v>
      </x:c>
      <x:c r="H3" s="12" t="e">
        <x:f>实盘持仓配置!H3</x:f>
        <x:v>#NAME?</x:v>
      </x:c>
      <x:c r="I3" s="12" t="e">
        <x:f>实盘持仓配置!I3</x:f>
        <x:v>#NAME?</x:v>
      </x:c>
      <x:c r="J3" s="12" t="e">
        <x:f>实盘持仓配置!J3</x:f>
        <x:v>#NAME?</x:v>
      </x:c>
      <x:c r="K3" s="12" t="e">
        <x:f>实盘持仓配置!K3</x:f>
        <x:v>#NAME?</x:v>
      </x:c>
      <x:c r="L3" s="12" t="e">
        <x:f>实盘持仓配置!L3</x:f>
        <x:v>#NAME?</x:v>
      </x:c>
      <x:c r="M3" s="12" t="e">
        <x:f>实盘持仓配置!M3</x:f>
        <x:v>#NAME?</x:v>
      </x:c>
      <x:c r="N3" s="12" t="e">
        <x:f>实盘持仓配置!N3</x:f>
        <x:v>#NAME?</x:v>
      </x:c>
      <x:c r="O3" s="12" t="e">
        <x:f>实盘持仓配置!O3</x:f>
        <x:v>#NAME?</x:v>
      </x:c>
      <x:c r="P3" s="12" t="e">
        <x:f>实盘持仓配置!P3</x:f>
        <x:v>#NAME?</x:v>
      </x:c>
      <x:c r="Q3" s="12" t="e">
        <x:f>实盘持仓配置!Q3</x:f>
        <x:v>#NAME?</x:v>
      </x:c>
      <x:c r="R3" s="12" t="e">
        <x:f>实盘持仓配置!R3</x:f>
        <x:v>#NAME?</x:v>
      </x:c>
      <x:c r="S3" s="12" t="e">
        <x:f>实盘持仓配置!S3</x:f>
        <x:v>#NAME?</x:v>
      </x:c>
      <x:c r="T3" s="12" t="e">
        <x:f>实盘持仓配置!T3</x:f>
        <x:v>#NAME?</x:v>
      </x:c>
      <x:c r="U3" s="12" t="e">
        <x:f>实盘持仓配置!U3</x:f>
        <x:v>#NAME?</x:v>
      </x:c>
      <x:c r="V3" s="12" t="e">
        <x:f>实盘持仓配置!V3</x:f>
        <x:v>#NAME?</x:v>
      </x:c>
      <x:c r="W3" s="12" t="e">
        <x:f>实盘持仓配置!W3</x:f>
        <x:v>#NAME?</x:v>
      </x:c>
      <x:c r="X3" s="12" t="e">
        <x:f>实盘持仓配置!X3</x:f>
        <x:v>#NAME?</x:v>
      </x:c>
      <x:c r="Y3" s="12" t="s">
        <x:v>61</x:v>
      </x:c>
    </x:row>
    <x:row r="4" ht="51.75" customHeight="1">
      <x:c r="A4" s="1" t="e">
        <x:f ca="1">[1]!HX_AutoDate(1,"2026-06-18",A2,-1,-1,0,0,0,0,0,"SSE",37,0)</x:f>
        <x:v>#NAME?</x:v>
      </x:c>
      <x:c r="B4" s="2" t="s">
        <x:v>2</x:v>
      </x:c>
      <x:c r="C4" s="2" t="s">
        <x:v>3</x:v>
      </x:c>
      <x:c r="D4" s="2" t="s">
        <x:v>4</x:v>
      </x:c>
      <x:c r="E4" s="2" t="s">
        <x:v>5</x:v>
      </x:c>
      <x:c r="F4" s="2" t="s">
        <x:v>6</x:v>
      </x:c>
      <x:c r="G4" s="2" t="s">
        <x:v>7</x:v>
      </x:c>
      <x:c r="H4" s="2" t="s">
        <x:v>8</x:v>
      </x:c>
      <x:c r="I4" s="2" t="s">
        <x:v>9</x:v>
      </x:c>
      <x:c r="J4" s="2" t="s">
        <x:v>10</x:v>
      </x:c>
      <x:c r="K4" s="2" t="s">
        <x:v>11</x:v>
      </x:c>
      <x:c r="L4" s="2" t="s">
        <x:v>12</x:v>
      </x:c>
      <x:c r="M4" s="2" t="s">
        <x:v>13</x:v>
      </x:c>
      <x:c r="N4" s="2" t="s">
        <x:v>14</x:v>
      </x:c>
      <x:c r="O4" s="2" t="s">
        <x:v>15</x:v>
      </x:c>
      <x:c r="P4" s="2" t="s">
        <x:v>16</x:v>
      </x:c>
      <x:c r="Q4" s="2" t="s">
        <x:v>17</x:v>
      </x:c>
      <x:c r="R4" s="2" t="s">
        <x:v>18</x:v>
      </x:c>
      <x:c r="S4" s="2" t="s">
        <x:v>19</x:v>
      </x:c>
      <x:c r="T4" s="2" t="s">
        <x:v>20</x:v>
      </x:c>
      <x:c r="U4" s="2" t="s">
        <x:v>21</x:v>
      </x:c>
      <x:c r="V4" s="2" t="s">
        <x:v>22</x:v>
      </x:c>
      <x:c r="W4" s="2" t="s">
        <x:v>23</x:v>
      </x:c>
      <x:c r="X4" s="2" t="s">
        <x:v>24</x:v>
      </x:c>
      <x:c r="Y4" s="2" t="s">
        <x:v>62</x:v>
      </x:c>
    </x:row>
    <x:row r="5">
      <x:c r="A5" s="8">
        <x:v>46191</x:v>
      </x:c>
      <x:c r="B5" s="13" t="e">
        <x:f>IF($A5="","",[1]!thsiFinD("ths_adjustment_nv_fund",B$3,$A5))</x:f>
        <x:v>#NAME?</x:v>
      </x:c>
      <x:c r="C5" s="13" t="e">
        <x:f>IF($A5="","",[1]!thsiFinD("ths_adjustment_nv_fund",C$3,$A5))</x:f>
        <x:v>#NAME?</x:v>
      </x:c>
      <x:c r="D5" s="13" t="e">
        <x:f>IF($A5="","",[1]!thsiFinD("ths_adjustment_nv_fund",D$3,$A5))</x:f>
        <x:v>#NAME?</x:v>
      </x:c>
      <x:c r="E5" s="13" t="e">
        <x:f>IF($A5="","",[1]!thsiFinD("ths_adjustment_nv_fund",E$3,$A5))</x:f>
        <x:v>#NAME?</x:v>
      </x:c>
      <x:c r="F5" s="13" t="e">
        <x:f>IF($A5="","",[1]!thsiFinD("ths_adjustment_nv_fund",F$3,$A5))</x:f>
        <x:v>#NAME?</x:v>
      </x:c>
      <x:c r="G5" s="13" t="e">
        <x:f>IF($A5="","",[1]!thsiFinD("ths_adjustment_nv_fund",G$3,$A5))</x:f>
        <x:v>#NAME?</x:v>
      </x:c>
      <x:c r="H5" s="13" t="e">
        <x:f>IF($A5="","",[1]!thsiFinD("ths_adjustment_nv_fund",H$3,$A5))</x:f>
        <x:v>#NAME?</x:v>
      </x:c>
      <x:c r="I5" s="13" t="e">
        <x:f>IF($A5="","",[1]!thsiFinD("ths_adjustment_nv_fund",I$3,$A5))</x:f>
        <x:v>#NAME?</x:v>
      </x:c>
      <x:c r="J5" s="13" t="e">
        <x:f>IF($A5="","",[1]!thsiFinD("ths_adjustment_nv_fund",J$3,$A5))</x:f>
        <x:v>#NAME?</x:v>
      </x:c>
      <x:c r="K5" s="13" t="e">
        <x:f>IF($A5="","",[1]!thsiFinD("ths_adjustment_nv_fund",K$3,$A5))</x:f>
        <x:v>#NAME?</x:v>
      </x:c>
      <x:c r="L5" s="13" t="e">
        <x:f>IF($A5="","",[1]!thsiFinD("ths_adjustment_nv_fund",L$3,$A5))</x:f>
        <x:v>#NAME?</x:v>
      </x:c>
      <x:c r="M5" s="13" t="e">
        <x:f>IF($A5="","",[1]!thsiFinD("ths_adjustment_nv_fund",M$3,$A5))</x:f>
        <x:v>#NAME?</x:v>
      </x:c>
      <x:c r="N5" s="13" t="e">
        <x:f>IF($A5="","",[1]!thsiFinD("ths_adjustment_nv_fund",N$3,$A5))</x:f>
        <x:v>#NAME?</x:v>
      </x:c>
      <x:c r="O5" s="13" t="e">
        <x:f>IF($A5="","",[1]!thsiFinD("ths_adjustment_nv_fund",O$3,$A5))</x:f>
        <x:v>#NAME?</x:v>
      </x:c>
      <x:c r="P5" s="13" t="e">
        <x:f>IF($A5="","",[1]!thsiFinD("ths_adjustment_nv_fund",P$3,$A5))</x:f>
        <x:v>#NAME?</x:v>
      </x:c>
      <x:c r="Q5" s="13" t="e">
        <x:f>IF($A5="","",[1]!thsiFinD("ths_adjustment_nv_fund",Q$3,$A5))</x:f>
        <x:v>#NAME?</x:v>
      </x:c>
      <x:c r="R5" s="13" t="e">
        <x:f>IF($A5="","",[1]!thsiFinD("ths_adjustment_nv_fund",R$3,$A5))</x:f>
        <x:v>#NAME?</x:v>
      </x:c>
      <x:c r="S5" s="13" t="e">
        <x:f>IF($A5="","",[1]!thsiFinD("ths_adjustment_nv_fund",S$3,$A5))</x:f>
        <x:v>#NAME?</x:v>
      </x:c>
      <x:c r="T5" s="13" t="e">
        <x:f>IF($A5="","",[1]!thsiFinD("ths_adjustment_nv_fund",T$3,$A5))</x:f>
        <x:v>#NAME?</x:v>
      </x:c>
      <x:c r="U5" s="13" t="e">
        <x:f>IF($A5="","",[1]!thsiFinD("ths_adjustment_nv_fund",U$3,$A5))</x:f>
        <x:v>#NAME?</x:v>
      </x:c>
      <x:c r="V5" s="13" t="e">
        <x:f>IF($A5="","",[1]!thsiFinD("ths_adjustment_nv_fund",V$3,$A5))</x:f>
        <x:v>#NAME?</x:v>
      </x:c>
      <x:c r="W5" s="13" t="e">
        <x:f>IF($A5="","",[1]!thsiFinD("ths_adjustment_nv_fund",W$3,$A5))</x:f>
        <x:v>#NAME?</x:v>
      </x:c>
      <x:c r="X5" s="13" t="e">
        <x:f>IF($A5="","",[1]!thsiFinD("ths_adjustment_nv_fund",X$3,$A5))</x:f>
        <x:v>#NAME?</x:v>
      </x:c>
      <x:c r="Y5" s="13" t="e">
        <x:f>IF($A5="","",[1]!thsiFinD("ths_adjustment_nv_fund",Y$3,$A5))</x:f>
        <x:v>#NAME?</x:v>
      </x:c>
    </x:row>
    <x:row r="6">
      <x:c r="A6" s="8">
        <x:v>46195</x:v>
      </x:c>
      <x:c r="B6" s="13" t="e">
        <x:f>IF($A6="","",[1]!thsiFinD("ths_adjustment_nv_fund",B$3,$A6))</x:f>
        <x:v>#NAME?</x:v>
      </x:c>
      <x:c r="C6" s="13" t="e">
        <x:f>IF($A6="","",[1]!thsiFinD("ths_adjustment_nv_fund",C$3,$A6))</x:f>
        <x:v>#NAME?</x:v>
      </x:c>
      <x:c r="D6" s="13" t="e">
        <x:f>IF($A6="","",[1]!thsiFinD("ths_adjustment_nv_fund",D$3,$A6))</x:f>
        <x:v>#NAME?</x:v>
      </x:c>
      <x:c r="E6" s="13" t="e">
        <x:f>IF($A6="","",[1]!thsiFinD("ths_adjustment_nv_fund",E$3,$A6))</x:f>
        <x:v>#NAME?</x:v>
      </x:c>
      <x:c r="F6" s="13" t="e">
        <x:f>IF($A6="","",[1]!thsiFinD("ths_adjustment_nv_fund",F$3,$A6))</x:f>
        <x:v>#NAME?</x:v>
      </x:c>
      <x:c r="G6" s="13" t="e">
        <x:f>IF($A6="","",[1]!thsiFinD("ths_adjustment_nv_fund",G$3,$A6))</x:f>
        <x:v>#NAME?</x:v>
      </x:c>
      <x:c r="H6" s="13" t="e">
        <x:f>IF($A6="","",[1]!thsiFinD("ths_adjustment_nv_fund",H$3,$A6))</x:f>
        <x:v>#NAME?</x:v>
      </x:c>
      <x:c r="I6" s="13" t="e">
        <x:f>IF($A6="","",[1]!thsiFinD("ths_adjustment_nv_fund",I$3,$A6))</x:f>
        <x:v>#NAME?</x:v>
      </x:c>
      <x:c r="J6" s="13" t="e">
        <x:f>IF($A6="","",[1]!thsiFinD("ths_adjustment_nv_fund",J$3,$A6))</x:f>
        <x:v>#NAME?</x:v>
      </x:c>
      <x:c r="K6" s="13" t="e">
        <x:f>IF($A6="","",[1]!thsiFinD("ths_adjustment_nv_fund",K$3,$A6))</x:f>
        <x:v>#NAME?</x:v>
      </x:c>
      <x:c r="L6" s="13" t="e">
        <x:f>IF($A6="","",[1]!thsiFinD("ths_adjustment_nv_fund",L$3,$A6))</x:f>
        <x:v>#NAME?</x:v>
      </x:c>
      <x:c r="M6" s="13" t="e">
        <x:f>IF($A6="","",[1]!thsiFinD("ths_adjustment_nv_fund",M$3,$A6))</x:f>
        <x:v>#NAME?</x:v>
      </x:c>
      <x:c r="N6" s="13" t="e">
        <x:f>IF($A6="","",[1]!thsiFinD("ths_adjustment_nv_fund",N$3,$A6))</x:f>
        <x:v>#NAME?</x:v>
      </x:c>
      <x:c r="O6" s="13" t="e">
        <x:f>IF($A6="","",[1]!thsiFinD("ths_adjustment_nv_fund",O$3,$A6))</x:f>
        <x:v>#NAME?</x:v>
      </x:c>
      <x:c r="P6" s="13" t="e">
        <x:f>IF($A6="","",[1]!thsiFinD("ths_adjustment_nv_fund",P$3,$A6))</x:f>
        <x:v>#NAME?</x:v>
      </x:c>
      <x:c r="Q6" s="13" t="e">
        <x:f>IF($A6="","",[1]!thsiFinD("ths_adjustment_nv_fund",Q$3,$A6))</x:f>
        <x:v>#NAME?</x:v>
      </x:c>
      <x:c r="R6" s="13" t="e">
        <x:f>IF($A6="","",[1]!thsiFinD("ths_adjustment_nv_fund",R$3,$A6))</x:f>
        <x:v>#NAME?</x:v>
      </x:c>
      <x:c r="S6" s="13" t="e">
        <x:f>IF($A6="","",[1]!thsiFinD("ths_adjustment_nv_fund",S$3,$A6))</x:f>
        <x:v>#NAME?</x:v>
      </x:c>
      <x:c r="T6" s="13" t="e">
        <x:f>IF($A6="","",[1]!thsiFinD("ths_adjustment_nv_fund",T$3,$A6))</x:f>
        <x:v>#NAME?</x:v>
      </x:c>
      <x:c r="U6" s="13" t="e">
        <x:f>IF($A6="","",[1]!thsiFinD("ths_adjustment_nv_fund",U$3,$A6))</x:f>
        <x:v>#NAME?</x:v>
      </x:c>
      <x:c r="V6" s="13" t="e">
        <x:f>IF($A6="","",[1]!thsiFinD("ths_adjustment_nv_fund",V$3,$A6))</x:f>
        <x:v>#NAME?</x:v>
      </x:c>
      <x:c r="W6" s="13" t="e">
        <x:f>IF($A6="","",[1]!thsiFinD("ths_adjustment_nv_fund",W$3,$A6))</x:f>
        <x:v>#NAME?</x:v>
      </x:c>
      <x:c r="X6" s="13" t="e">
        <x:f>IF($A6="","",[1]!thsiFinD("ths_adjustment_nv_fund",X$3,$A6))</x:f>
        <x:v>#NAME?</x:v>
      </x:c>
      <x:c r="Y6" s="13" t="e">
        <x:f>IF($A6="","",[1]!thsiFinD("ths_adjustment_nv_fund",Y$3,$A6))</x:f>
        <x:v>#NAME?</x:v>
      </x:c>
    </x:row>
    <x:row r="7">
      <x:c r="A7" s="8">
        <x:v>46196</x:v>
      </x:c>
      <x:c r="B7" s="13" t="e">
        <x:f>IF($A7="","",[1]!thsiFinD("ths_adjustment_nv_fund",B$3,$A7))</x:f>
        <x:v>#NAME?</x:v>
      </x:c>
      <x:c r="C7" s="13" t="e">
        <x:f>IF($A7="","",[1]!thsiFinD("ths_adjustment_nv_fund",C$3,$A7))</x:f>
        <x:v>#NAME?</x:v>
      </x:c>
      <x:c r="D7" s="13" t="e">
        <x:f>IF($A7="","",[1]!thsiFinD("ths_adjustment_nv_fund",D$3,$A7))</x:f>
        <x:v>#NAME?</x:v>
      </x:c>
      <x:c r="E7" s="13" t="e">
        <x:f>IF($A7="","",[1]!thsiFinD("ths_adjustment_nv_fund",E$3,$A7))</x:f>
        <x:v>#NAME?</x:v>
      </x:c>
      <x:c r="F7" s="13" t="e">
        <x:f>IF($A7="","",[1]!thsiFinD("ths_adjustment_nv_fund",F$3,$A7))</x:f>
        <x:v>#NAME?</x:v>
      </x:c>
      <x:c r="G7" s="13" t="e">
        <x:f>IF($A7="","",[1]!thsiFinD("ths_adjustment_nv_fund",G$3,$A7))</x:f>
        <x:v>#NAME?</x:v>
      </x:c>
      <x:c r="H7" s="13" t="e">
        <x:f>IF($A7="","",[1]!thsiFinD("ths_adjustment_nv_fund",H$3,$A7))</x:f>
        <x:v>#NAME?</x:v>
      </x:c>
      <x:c r="I7" s="13" t="e">
        <x:f>IF($A7="","",[1]!thsiFinD("ths_adjustment_nv_fund",I$3,$A7))</x:f>
        <x:v>#NAME?</x:v>
      </x:c>
      <x:c r="J7" s="13" t="e">
        <x:f>IF($A7="","",[1]!thsiFinD("ths_adjustment_nv_fund",J$3,$A7))</x:f>
        <x:v>#NAME?</x:v>
      </x:c>
      <x:c r="K7" s="13" t="e">
        <x:f>IF($A7="","",[1]!thsiFinD("ths_adjustment_nv_fund",K$3,$A7))</x:f>
        <x:v>#NAME?</x:v>
      </x:c>
      <x:c r="L7" s="13" t="e">
        <x:f>IF($A7="","",[1]!thsiFinD("ths_adjustment_nv_fund",L$3,$A7))</x:f>
        <x:v>#NAME?</x:v>
      </x:c>
      <x:c r="M7" s="13" t="e">
        <x:f>IF($A7="","",[1]!thsiFinD("ths_adjustment_nv_fund",M$3,$A7))</x:f>
        <x:v>#NAME?</x:v>
      </x:c>
      <x:c r="N7" s="13" t="e">
        <x:f>IF($A7="","",[1]!thsiFinD("ths_adjustment_nv_fund",N$3,$A7))</x:f>
        <x:v>#NAME?</x:v>
      </x:c>
      <x:c r="O7" s="13" t="e">
        <x:f>IF($A7="","",[1]!thsiFinD("ths_adjustment_nv_fund",O$3,$A7))</x:f>
        <x:v>#NAME?</x:v>
      </x:c>
      <x:c r="P7" s="13" t="e">
        <x:f>IF($A7="","",[1]!thsiFinD("ths_adjustment_nv_fund",P$3,$A7))</x:f>
        <x:v>#NAME?</x:v>
      </x:c>
      <x:c r="Q7" s="13" t="e">
        <x:f>IF($A7="","",[1]!thsiFinD("ths_adjustment_nv_fund",Q$3,$A7))</x:f>
        <x:v>#NAME?</x:v>
      </x:c>
      <x:c r="R7" s="13" t="e">
        <x:f>IF($A7="","",[1]!thsiFinD("ths_adjustment_nv_fund",R$3,$A7))</x:f>
        <x:v>#NAME?</x:v>
      </x:c>
      <x:c r="S7" s="13" t="e">
        <x:f>IF($A7="","",[1]!thsiFinD("ths_adjustment_nv_fund",S$3,$A7))</x:f>
        <x:v>#NAME?</x:v>
      </x:c>
      <x:c r="T7" s="13" t="e">
        <x:f>IF($A7="","",[1]!thsiFinD("ths_adjustment_nv_fund",T$3,$A7))</x:f>
        <x:v>#NAME?</x:v>
      </x:c>
      <x:c r="U7" s="13" t="e">
        <x:f>IF($A7="","",[1]!thsiFinD("ths_adjustment_nv_fund",U$3,$A7))</x:f>
        <x:v>#NAME?</x:v>
      </x:c>
      <x:c r="V7" s="13" t="e">
        <x:f>IF($A7="","",[1]!thsiFinD("ths_adjustment_nv_fund",V$3,$A7))</x:f>
        <x:v>#NAME?</x:v>
      </x:c>
      <x:c r="W7" s="13" t="e">
        <x:f>IF($A7="","",[1]!thsiFinD("ths_adjustment_nv_fund",W$3,$A7))</x:f>
        <x:v>#NAME?</x:v>
      </x:c>
      <x:c r="X7" s="13" t="e">
        <x:f>IF($A7="","",[1]!thsiFinD("ths_adjustment_nv_fund",X$3,$A7))</x:f>
        <x:v>#NAME?</x:v>
      </x:c>
      <x:c r="Y7" s="13" t="e">
        <x:f>IF($A7="","",[1]!thsiFinD("ths_adjustment_nv_fund",Y$3,$A7))</x:f>
        <x:v>#NAME?</x:v>
      </x:c>
    </x:row>
    <x:row r="8">
      <x:c r="A8" s="8">
        <x:v>46197</x:v>
      </x:c>
      <x:c r="B8" s="13" t="e">
        <x:f>IF($A8="","",[1]!thsiFinD("ths_adjustment_nv_fund",B$3,$A8))</x:f>
        <x:v>#NAME?</x:v>
      </x:c>
      <x:c r="C8" s="13" t="e">
        <x:f>IF($A8="","",[1]!thsiFinD("ths_adjustment_nv_fund",C$3,$A8))</x:f>
        <x:v>#NAME?</x:v>
      </x:c>
      <x:c r="D8" s="13" t="e">
        <x:f>IF($A8="","",[1]!thsiFinD("ths_adjustment_nv_fund",D$3,$A8))</x:f>
        <x:v>#NAME?</x:v>
      </x:c>
      <x:c r="E8" s="13" t="e">
        <x:f>IF($A8="","",[1]!thsiFinD("ths_adjustment_nv_fund",E$3,$A8))</x:f>
        <x:v>#NAME?</x:v>
      </x:c>
      <x:c r="F8" s="13" t="e">
        <x:f>IF($A8="","",[1]!thsiFinD("ths_adjustment_nv_fund",F$3,$A8))</x:f>
        <x:v>#NAME?</x:v>
      </x:c>
      <x:c r="G8" s="13" t="e">
        <x:f>IF($A8="","",[1]!thsiFinD("ths_adjustment_nv_fund",G$3,$A8))</x:f>
        <x:v>#NAME?</x:v>
      </x:c>
      <x:c r="H8" s="13" t="e">
        <x:f>IF($A8="","",[1]!thsiFinD("ths_adjustment_nv_fund",H$3,$A8))</x:f>
        <x:v>#NAME?</x:v>
      </x:c>
      <x:c r="I8" s="13" t="e">
        <x:f>IF($A8="","",[1]!thsiFinD("ths_adjustment_nv_fund",I$3,$A8))</x:f>
        <x:v>#NAME?</x:v>
      </x:c>
      <x:c r="J8" s="13" t="e">
        <x:f>IF($A8="","",[1]!thsiFinD("ths_adjustment_nv_fund",J$3,$A8))</x:f>
        <x:v>#NAME?</x:v>
      </x:c>
      <x:c r="K8" s="13" t="e">
        <x:f>IF($A8="","",[1]!thsiFinD("ths_adjustment_nv_fund",K$3,$A8))</x:f>
        <x:v>#NAME?</x:v>
      </x:c>
      <x:c r="L8" s="13" t="e">
        <x:f>IF($A8="","",[1]!thsiFinD("ths_adjustment_nv_fund",L$3,$A8))</x:f>
        <x:v>#NAME?</x:v>
      </x:c>
      <x:c r="M8" s="13" t="e">
        <x:f>IF($A8="","",[1]!thsiFinD("ths_adjustment_nv_fund",M$3,$A8))</x:f>
        <x:v>#NAME?</x:v>
      </x:c>
      <x:c r="N8" s="13" t="e">
        <x:f>IF($A8="","",[1]!thsiFinD("ths_adjustment_nv_fund",N$3,$A8))</x:f>
        <x:v>#NAME?</x:v>
      </x:c>
      <x:c r="O8" s="13" t="e">
        <x:f>IF($A8="","",[1]!thsiFinD("ths_adjustment_nv_fund",O$3,$A8))</x:f>
        <x:v>#NAME?</x:v>
      </x:c>
      <x:c r="P8" s="13" t="e">
        <x:f>IF($A8="","",[1]!thsiFinD("ths_adjustment_nv_fund",P$3,$A8))</x:f>
        <x:v>#NAME?</x:v>
      </x:c>
      <x:c r="Q8" s="13" t="e">
        <x:f>IF($A8="","",[1]!thsiFinD("ths_adjustment_nv_fund",Q$3,$A8))</x:f>
        <x:v>#NAME?</x:v>
      </x:c>
      <x:c r="R8" s="13" t="e">
        <x:f>IF($A8="","",[1]!thsiFinD("ths_adjustment_nv_fund",R$3,$A8))</x:f>
        <x:v>#NAME?</x:v>
      </x:c>
      <x:c r="S8" s="13" t="e">
        <x:f>IF($A8="","",[1]!thsiFinD("ths_adjustment_nv_fund",S$3,$A8))</x:f>
        <x:v>#NAME?</x:v>
      </x:c>
      <x:c r="T8" s="13" t="e">
        <x:f>IF($A8="","",[1]!thsiFinD("ths_adjustment_nv_fund",T$3,$A8))</x:f>
        <x:v>#NAME?</x:v>
      </x:c>
      <x:c r="U8" s="13" t="e">
        <x:f>IF($A8="","",[1]!thsiFinD("ths_adjustment_nv_fund",U$3,$A8))</x:f>
        <x:v>#NAME?</x:v>
      </x:c>
      <x:c r="V8" s="13" t="e">
        <x:f>IF($A8="","",[1]!thsiFinD("ths_adjustment_nv_fund",V$3,$A8))</x:f>
        <x:v>#NAME?</x:v>
      </x:c>
      <x:c r="W8" s="13" t="e">
        <x:f>IF($A8="","",[1]!thsiFinD("ths_adjustment_nv_fund",W$3,$A8))</x:f>
        <x:v>#NAME?</x:v>
      </x:c>
      <x:c r="X8" s="13" t="e">
        <x:f>IF($A8="","",[1]!thsiFinD("ths_adjustment_nv_fund",X$3,$A8))</x:f>
        <x:v>#NAME?</x:v>
      </x:c>
      <x:c r="Y8" s="13" t="e">
        <x:f>IF($A8="","",[1]!thsiFinD("ths_adjustment_nv_fund",Y$3,$A8))</x:f>
        <x:v>#NAME?</x:v>
      </x:c>
    </x:row>
    <x:row r="9">
      <x:c r="A9" s="8">
        <x:v>46198</x:v>
      </x:c>
      <x:c r="B9" s="13" t="e">
        <x:f>IF($A9="","",[1]!thsiFinD("ths_adjustment_nv_fund",B$3,$A9))</x:f>
        <x:v>#NAME?</x:v>
      </x:c>
      <x:c r="C9" s="13" t="e">
        <x:f>IF($A9="","",[1]!thsiFinD("ths_adjustment_nv_fund",C$3,$A9))</x:f>
        <x:v>#NAME?</x:v>
      </x:c>
      <x:c r="D9" s="13" t="e">
        <x:f>IF($A9="","",[1]!thsiFinD("ths_adjustment_nv_fund",D$3,$A9))</x:f>
        <x:v>#NAME?</x:v>
      </x:c>
      <x:c r="E9" s="13" t="e">
        <x:f>IF($A9="","",[1]!thsiFinD("ths_adjustment_nv_fund",E$3,$A9))</x:f>
        <x:v>#NAME?</x:v>
      </x:c>
      <x:c r="F9" s="13" t="e">
        <x:f>IF($A9="","",[1]!thsiFinD("ths_adjustment_nv_fund",F$3,$A9))</x:f>
        <x:v>#NAME?</x:v>
      </x:c>
      <x:c r="G9" s="13" t="e">
        <x:f>IF($A9="","",[1]!thsiFinD("ths_adjustment_nv_fund",G$3,$A9))</x:f>
        <x:v>#NAME?</x:v>
      </x:c>
      <x:c r="H9" s="13" t="e">
        <x:f>IF($A9="","",[1]!thsiFinD("ths_adjustment_nv_fund",H$3,$A9))</x:f>
        <x:v>#NAME?</x:v>
      </x:c>
      <x:c r="I9" s="13" t="e">
        <x:f>IF($A9="","",[1]!thsiFinD("ths_adjustment_nv_fund",I$3,$A9))</x:f>
        <x:v>#NAME?</x:v>
      </x:c>
      <x:c r="J9" s="13" t="e">
        <x:f>IF($A9="","",[1]!thsiFinD("ths_adjustment_nv_fund",J$3,$A9))</x:f>
        <x:v>#NAME?</x:v>
      </x:c>
      <x:c r="K9" s="13" t="e">
        <x:f>IF($A9="","",[1]!thsiFinD("ths_adjustment_nv_fund",K$3,$A9))</x:f>
        <x:v>#NAME?</x:v>
      </x:c>
      <x:c r="L9" s="13" t="e">
        <x:f>IF($A9="","",[1]!thsiFinD("ths_adjustment_nv_fund",L$3,$A9))</x:f>
        <x:v>#NAME?</x:v>
      </x:c>
      <x:c r="M9" s="13" t="e">
        <x:f>IF($A9="","",[1]!thsiFinD("ths_adjustment_nv_fund",M$3,$A9))</x:f>
        <x:v>#NAME?</x:v>
      </x:c>
      <x:c r="N9" s="13" t="e">
        <x:f>IF($A9="","",[1]!thsiFinD("ths_adjustment_nv_fund",N$3,$A9))</x:f>
        <x:v>#NAME?</x:v>
      </x:c>
      <x:c r="O9" s="13" t="e">
        <x:f>IF($A9="","",[1]!thsiFinD("ths_adjustment_nv_fund",O$3,$A9))</x:f>
        <x:v>#NAME?</x:v>
      </x:c>
      <x:c r="P9" s="13" t="e">
        <x:f>IF($A9="","",[1]!thsiFinD("ths_adjustment_nv_fund",P$3,$A9))</x:f>
        <x:v>#NAME?</x:v>
      </x:c>
      <x:c r="Q9" s="13" t="e">
        <x:f>IF($A9="","",[1]!thsiFinD("ths_adjustment_nv_fund",Q$3,$A9))</x:f>
        <x:v>#NAME?</x:v>
      </x:c>
      <x:c r="R9" s="13" t="e">
        <x:f>IF($A9="","",[1]!thsiFinD("ths_adjustment_nv_fund",R$3,$A9))</x:f>
        <x:v>#NAME?</x:v>
      </x:c>
      <x:c r="S9" s="13" t="e">
        <x:f>IF($A9="","",[1]!thsiFinD("ths_adjustment_nv_fund",S$3,$A9))</x:f>
        <x:v>#NAME?</x:v>
      </x:c>
      <x:c r="T9" s="13" t="e">
        <x:f>IF($A9="","",[1]!thsiFinD("ths_adjustment_nv_fund",T$3,$A9))</x:f>
        <x:v>#NAME?</x:v>
      </x:c>
      <x:c r="U9" s="13" t="e">
        <x:f>IF($A9="","",[1]!thsiFinD("ths_adjustment_nv_fund",U$3,$A9))</x:f>
        <x:v>#NAME?</x:v>
      </x:c>
      <x:c r="V9" s="13" t="e">
        <x:f>IF($A9="","",[1]!thsiFinD("ths_adjustment_nv_fund",V$3,$A9))</x:f>
        <x:v>#NAME?</x:v>
      </x:c>
      <x:c r="W9" s="13" t="e">
        <x:f>IF($A9="","",[1]!thsiFinD("ths_adjustment_nv_fund",W$3,$A9))</x:f>
        <x:v>#NAME?</x:v>
      </x:c>
      <x:c r="X9" s="13" t="e">
        <x:f>IF($A9="","",[1]!thsiFinD("ths_adjustment_nv_fund",X$3,$A9))</x:f>
        <x:v>#NAME?</x:v>
      </x:c>
      <x:c r="Y9" s="13" t="e">
        <x:f>IF($A9="","",[1]!thsiFinD("ths_adjustment_nv_fund",Y$3,$A9))</x:f>
        <x:v>#NAME?</x:v>
      </x:c>
    </x:row>
    <x:row r="10">
      <x:c r="A10" s="8">
        <x:v>46199</x:v>
      </x:c>
      <x:c r="B10" s="13" t="e">
        <x:f>IF($A10="","",[1]!thsiFinD("ths_adjustment_nv_fund",B$3,$A10))</x:f>
        <x:v>#NAME?</x:v>
      </x:c>
      <x:c r="C10" s="13" t="e">
        <x:f>IF($A10="","",[1]!thsiFinD("ths_adjustment_nv_fund",C$3,$A10))</x:f>
        <x:v>#NAME?</x:v>
      </x:c>
      <x:c r="D10" s="13" t="e">
        <x:f>IF($A10="","",[1]!thsiFinD("ths_adjustment_nv_fund",D$3,$A10))</x:f>
        <x:v>#NAME?</x:v>
      </x:c>
      <x:c r="E10" s="13" t="e">
        <x:f>IF($A10="","",[1]!thsiFinD("ths_adjustment_nv_fund",E$3,$A10))</x:f>
        <x:v>#NAME?</x:v>
      </x:c>
      <x:c r="F10" s="13" t="e">
        <x:f>IF($A10="","",[1]!thsiFinD("ths_adjustment_nv_fund",F$3,$A10))</x:f>
        <x:v>#NAME?</x:v>
      </x:c>
      <x:c r="G10" s="13" t="e">
        <x:f>IF($A10="","",[1]!thsiFinD("ths_adjustment_nv_fund",G$3,$A10))</x:f>
        <x:v>#NAME?</x:v>
      </x:c>
      <x:c r="H10" s="13" t="e">
        <x:f>IF($A10="","",[1]!thsiFinD("ths_adjustment_nv_fund",H$3,$A10))</x:f>
        <x:v>#NAME?</x:v>
      </x:c>
      <x:c r="I10" s="13" t="e">
        <x:f>IF($A10="","",[1]!thsiFinD("ths_adjustment_nv_fund",I$3,$A10))</x:f>
        <x:v>#NAME?</x:v>
      </x:c>
      <x:c r="J10" s="13" t="e">
        <x:f>IF($A10="","",[1]!thsiFinD("ths_adjustment_nv_fund",J$3,$A10))</x:f>
        <x:v>#NAME?</x:v>
      </x:c>
      <x:c r="K10" s="13" t="e">
        <x:f>IF($A10="","",[1]!thsiFinD("ths_adjustment_nv_fund",K$3,$A10))</x:f>
        <x:v>#NAME?</x:v>
      </x:c>
      <x:c r="L10" s="13" t="e">
        <x:f>IF($A10="","",[1]!thsiFinD("ths_adjustment_nv_fund",L$3,$A10))</x:f>
        <x:v>#NAME?</x:v>
      </x:c>
      <x:c r="M10" s="13" t="e">
        <x:f>IF($A10="","",[1]!thsiFinD("ths_adjustment_nv_fund",M$3,$A10))</x:f>
        <x:v>#NAME?</x:v>
      </x:c>
      <x:c r="N10" s="13" t="e">
        <x:f>IF($A10="","",[1]!thsiFinD("ths_adjustment_nv_fund",N$3,$A10))</x:f>
        <x:v>#NAME?</x:v>
      </x:c>
      <x:c r="O10" s="13" t="e">
        <x:f>IF($A10="","",[1]!thsiFinD("ths_adjustment_nv_fund",O$3,$A10))</x:f>
        <x:v>#NAME?</x:v>
      </x:c>
      <x:c r="P10" s="13" t="e">
        <x:f>IF($A10="","",[1]!thsiFinD("ths_adjustment_nv_fund",P$3,$A10))</x:f>
        <x:v>#NAME?</x:v>
      </x:c>
      <x:c r="Q10" s="13" t="e">
        <x:f>IF($A10="","",[1]!thsiFinD("ths_adjustment_nv_fund",Q$3,$A10))</x:f>
        <x:v>#NAME?</x:v>
      </x:c>
      <x:c r="R10" s="13" t="e">
        <x:f>IF($A10="","",[1]!thsiFinD("ths_adjustment_nv_fund",R$3,$A10))</x:f>
        <x:v>#NAME?</x:v>
      </x:c>
      <x:c r="S10" s="13" t="e">
        <x:f>IF($A10="","",[1]!thsiFinD("ths_adjustment_nv_fund",S$3,$A10))</x:f>
        <x:v>#NAME?</x:v>
      </x:c>
      <x:c r="T10" s="13" t="e">
        <x:f>IF($A10="","",[1]!thsiFinD("ths_adjustment_nv_fund",T$3,$A10))</x:f>
        <x:v>#NAME?</x:v>
      </x:c>
      <x:c r="U10" s="13" t="e">
        <x:f>IF($A10="","",[1]!thsiFinD("ths_adjustment_nv_fund",U$3,$A10))</x:f>
        <x:v>#NAME?</x:v>
      </x:c>
      <x:c r="V10" s="13" t="e">
        <x:f>IF($A10="","",[1]!thsiFinD("ths_adjustment_nv_fund",V$3,$A10))</x:f>
        <x:v>#NAME?</x:v>
      </x:c>
      <x:c r="W10" s="13" t="e">
        <x:f>IF($A10="","",[1]!thsiFinD("ths_adjustment_nv_fund",W$3,$A10))</x:f>
        <x:v>#NAME?</x:v>
      </x:c>
      <x:c r="X10" s="13" t="e">
        <x:f>IF($A10="","",[1]!thsiFinD("ths_adjustment_nv_fund",X$3,$A10))</x:f>
        <x:v>#NAME?</x:v>
      </x:c>
      <x:c r="Y10" s="13" t="e">
        <x:f>IF($A10="","",[1]!thsiFinD("ths_adjustment_nv_fund",Y$3,$A10))</x:f>
        <x:v>#NAME?</x:v>
      </x:c>
    </x:row>
    <x:row r="11">
      <x:c r="A11" s="8">
        <x:v>46202</x:v>
      </x:c>
      <x:c r="B11" s="13" t="e">
        <x:f>IF($A11="","",[1]!thsiFinD("ths_adjustment_nv_fund",B$3,$A11))</x:f>
        <x:v>#NAME?</x:v>
      </x:c>
      <x:c r="C11" s="13" t="e">
        <x:f>IF($A11="","",[1]!thsiFinD("ths_adjustment_nv_fund",C$3,$A11))</x:f>
        <x:v>#NAME?</x:v>
      </x:c>
      <x:c r="D11" s="13" t="e">
        <x:f>IF($A11="","",[1]!thsiFinD("ths_adjustment_nv_fund",D$3,$A11))</x:f>
        <x:v>#NAME?</x:v>
      </x:c>
      <x:c r="E11" s="13" t="e">
        <x:f>IF($A11="","",[1]!thsiFinD("ths_adjustment_nv_fund",E$3,$A11))</x:f>
        <x:v>#NAME?</x:v>
      </x:c>
      <x:c r="F11" s="13" t="e">
        <x:f>IF($A11="","",[1]!thsiFinD("ths_adjustment_nv_fund",F$3,$A11))</x:f>
        <x:v>#NAME?</x:v>
      </x:c>
      <x:c r="G11" s="13" t="e">
        <x:f>IF($A11="","",[1]!thsiFinD("ths_adjustment_nv_fund",G$3,$A11))</x:f>
        <x:v>#NAME?</x:v>
      </x:c>
      <x:c r="H11" s="13" t="e">
        <x:f>IF($A11="","",[1]!thsiFinD("ths_adjustment_nv_fund",H$3,$A11))</x:f>
        <x:v>#NAME?</x:v>
      </x:c>
      <x:c r="I11" s="13" t="e">
        <x:f>IF($A11="","",[1]!thsiFinD("ths_adjustment_nv_fund",I$3,$A11))</x:f>
        <x:v>#NAME?</x:v>
      </x:c>
      <x:c r="J11" s="13" t="e">
        <x:f>IF($A11="","",[1]!thsiFinD("ths_adjustment_nv_fund",J$3,$A11))</x:f>
        <x:v>#NAME?</x:v>
      </x:c>
      <x:c r="K11" s="13" t="e">
        <x:f>IF($A11="","",[1]!thsiFinD("ths_adjustment_nv_fund",K$3,$A11))</x:f>
        <x:v>#NAME?</x:v>
      </x:c>
      <x:c r="L11" s="13" t="e">
        <x:f>IF($A11="","",[1]!thsiFinD("ths_adjustment_nv_fund",L$3,$A11))</x:f>
        <x:v>#NAME?</x:v>
      </x:c>
      <x:c r="M11" s="13" t="e">
        <x:f>IF($A11="","",[1]!thsiFinD("ths_adjustment_nv_fund",M$3,$A11))</x:f>
        <x:v>#NAME?</x:v>
      </x:c>
      <x:c r="N11" s="13" t="e">
        <x:f>IF($A11="","",[1]!thsiFinD("ths_adjustment_nv_fund",N$3,$A11))</x:f>
        <x:v>#NAME?</x:v>
      </x:c>
      <x:c r="O11" s="13" t="e">
        <x:f>IF($A11="","",[1]!thsiFinD("ths_adjustment_nv_fund",O$3,$A11))</x:f>
        <x:v>#NAME?</x:v>
      </x:c>
      <x:c r="P11" s="13" t="e">
        <x:f>IF($A11="","",[1]!thsiFinD("ths_adjustment_nv_fund",P$3,$A11))</x:f>
        <x:v>#NAME?</x:v>
      </x:c>
      <x:c r="Q11" s="13" t="e">
        <x:f>IF($A11="","",[1]!thsiFinD("ths_adjustment_nv_fund",Q$3,$A11))</x:f>
        <x:v>#NAME?</x:v>
      </x:c>
      <x:c r="R11" s="13" t="e">
        <x:f>IF($A11="","",[1]!thsiFinD("ths_adjustment_nv_fund",R$3,$A11))</x:f>
        <x:v>#NAME?</x:v>
      </x:c>
      <x:c r="S11" s="13" t="e">
        <x:f>IF($A11="","",[1]!thsiFinD("ths_adjustment_nv_fund",S$3,$A11))</x:f>
        <x:v>#NAME?</x:v>
      </x:c>
      <x:c r="T11" s="13" t="e">
        <x:f>IF($A11="","",[1]!thsiFinD("ths_adjustment_nv_fund",T$3,$A11))</x:f>
        <x:v>#NAME?</x:v>
      </x:c>
      <x:c r="U11" s="13" t="e">
        <x:f>IF($A11="","",[1]!thsiFinD("ths_adjustment_nv_fund",U$3,$A11))</x:f>
        <x:v>#NAME?</x:v>
      </x:c>
      <x:c r="V11" s="13" t="e">
        <x:f>IF($A11="","",[1]!thsiFinD("ths_adjustment_nv_fund",V$3,$A11))</x:f>
        <x:v>#NAME?</x:v>
      </x:c>
      <x:c r="W11" s="13" t="e">
        <x:f>IF($A11="","",[1]!thsiFinD("ths_adjustment_nv_fund",W$3,$A11))</x:f>
        <x:v>#NAME?</x:v>
      </x:c>
      <x:c r="X11" s="13" t="e">
        <x:f>IF($A11="","",[1]!thsiFinD("ths_adjustment_nv_fund",X$3,$A11))</x:f>
        <x:v>#NAME?</x:v>
      </x:c>
      <x:c r="Y11" s="13" t="e">
        <x:f>IF($A11="","",[1]!thsiFinD("ths_adjustment_nv_fund",Y$3,$A11))</x:f>
        <x:v>#NAME?</x:v>
      </x:c>
    </x:row>
    <x:row r="12">
      <x:c r="A12" s="8">
        <x:v>46203</x:v>
      </x:c>
      <x:c r="B12" s="13" t="e">
        <x:f>IF($A12="","",[1]!thsiFinD("ths_adjustment_nv_fund",B$3,$A12))</x:f>
        <x:v>#NAME?</x:v>
      </x:c>
      <x:c r="C12" s="13" t="e">
        <x:f>IF($A12="","",[1]!thsiFinD("ths_adjustment_nv_fund",C$3,$A12))</x:f>
        <x:v>#NAME?</x:v>
      </x:c>
      <x:c r="D12" s="13" t="e">
        <x:f>IF($A12="","",[1]!thsiFinD("ths_adjustment_nv_fund",D$3,$A12))</x:f>
        <x:v>#NAME?</x:v>
      </x:c>
      <x:c r="E12" s="13" t="e">
        <x:f>IF($A12="","",[1]!thsiFinD("ths_adjustment_nv_fund",E$3,$A12))</x:f>
        <x:v>#NAME?</x:v>
      </x:c>
      <x:c r="F12" s="13" t="e">
        <x:f>IF($A12="","",[1]!thsiFinD("ths_adjustment_nv_fund",F$3,$A12))</x:f>
        <x:v>#NAME?</x:v>
      </x:c>
      <x:c r="G12" s="13" t="e">
        <x:f>IF($A12="","",[1]!thsiFinD("ths_adjustment_nv_fund",G$3,$A12))</x:f>
        <x:v>#NAME?</x:v>
      </x:c>
      <x:c r="H12" s="13" t="e">
        <x:f>IF($A12="","",[1]!thsiFinD("ths_adjustment_nv_fund",H$3,$A12))</x:f>
        <x:v>#NAME?</x:v>
      </x:c>
      <x:c r="I12" s="13" t="e">
        <x:f>IF($A12="","",[1]!thsiFinD("ths_adjustment_nv_fund",I$3,$A12))</x:f>
        <x:v>#NAME?</x:v>
      </x:c>
      <x:c r="J12" s="13" t="e">
        <x:f>IF($A12="","",[1]!thsiFinD("ths_adjustment_nv_fund",J$3,$A12))</x:f>
        <x:v>#NAME?</x:v>
      </x:c>
      <x:c r="K12" s="13" t="e">
        <x:f>IF($A12="","",[1]!thsiFinD("ths_adjustment_nv_fund",K$3,$A12))</x:f>
        <x:v>#NAME?</x:v>
      </x:c>
      <x:c r="L12" s="13" t="e">
        <x:f>IF($A12="","",[1]!thsiFinD("ths_adjustment_nv_fund",L$3,$A12))</x:f>
        <x:v>#NAME?</x:v>
      </x:c>
      <x:c r="M12" s="13" t="e">
        <x:f>IF($A12="","",[1]!thsiFinD("ths_adjustment_nv_fund",M$3,$A12))</x:f>
        <x:v>#NAME?</x:v>
      </x:c>
      <x:c r="N12" s="13" t="e">
        <x:f>IF($A12="","",[1]!thsiFinD("ths_adjustment_nv_fund",N$3,$A12))</x:f>
        <x:v>#NAME?</x:v>
      </x:c>
      <x:c r="O12" s="13" t="e">
        <x:f>IF($A12="","",[1]!thsiFinD("ths_adjustment_nv_fund",O$3,$A12))</x:f>
        <x:v>#NAME?</x:v>
      </x:c>
      <x:c r="P12" s="13" t="e">
        <x:f>IF($A12="","",[1]!thsiFinD("ths_adjustment_nv_fund",P$3,$A12))</x:f>
        <x:v>#NAME?</x:v>
      </x:c>
      <x:c r="Q12" s="13" t="e">
        <x:f>IF($A12="","",[1]!thsiFinD("ths_adjustment_nv_fund",Q$3,$A12))</x:f>
        <x:v>#NAME?</x:v>
      </x:c>
      <x:c r="R12" s="13" t="e">
        <x:f>IF($A12="","",[1]!thsiFinD("ths_adjustment_nv_fund",R$3,$A12))</x:f>
        <x:v>#NAME?</x:v>
      </x:c>
      <x:c r="S12" s="13" t="e">
        <x:f>IF($A12="","",[1]!thsiFinD("ths_adjustment_nv_fund",S$3,$A12))</x:f>
        <x:v>#NAME?</x:v>
      </x:c>
      <x:c r="T12" s="13" t="e">
        <x:f>IF($A12="","",[1]!thsiFinD("ths_adjustment_nv_fund",T$3,$A12))</x:f>
        <x:v>#NAME?</x:v>
      </x:c>
      <x:c r="U12" s="13" t="e">
        <x:f>IF($A12="","",[1]!thsiFinD("ths_adjustment_nv_fund",U$3,$A12))</x:f>
        <x:v>#NAME?</x:v>
      </x:c>
      <x:c r="V12" s="13" t="e">
        <x:f>IF($A12="","",[1]!thsiFinD("ths_adjustment_nv_fund",V$3,$A12))</x:f>
        <x:v>#NAME?</x:v>
      </x:c>
      <x:c r="W12" s="13" t="e">
        <x:f>IF($A12="","",[1]!thsiFinD("ths_adjustment_nv_fund",W$3,$A12))</x:f>
        <x:v>#NAME?</x:v>
      </x:c>
      <x:c r="X12" s="13" t="e">
        <x:f>IF($A12="","",[1]!thsiFinD("ths_adjustment_nv_fund",X$3,$A12))</x:f>
        <x:v>#NAME?</x:v>
      </x:c>
      <x:c r="Y12" s="13" t="e">
        <x:f>IF($A12="","",[1]!thsiFinD("ths_adjustment_nv_fund",Y$3,$A12))</x:f>
        <x:v>#NAME?</x:v>
      </x:c>
    </x:row>
    <x:row r="13">
      <x:c r="A13" s="8">
        <x:v>46204</x:v>
      </x:c>
      <x:c r="B13" s="13" t="e">
        <x:f>IF($A13="","",[1]!thsiFinD("ths_adjustment_nv_fund",B$3,$A13))</x:f>
        <x:v>#NAME?</x:v>
      </x:c>
      <x:c r="C13" s="13" t="e">
        <x:f>IF($A13="","",[1]!thsiFinD("ths_adjustment_nv_fund",C$3,$A13))</x:f>
        <x:v>#NAME?</x:v>
      </x:c>
      <x:c r="D13" s="13" t="e">
        <x:f>IF($A13="","",[1]!thsiFinD("ths_adjustment_nv_fund",D$3,$A13))</x:f>
        <x:v>#NAME?</x:v>
      </x:c>
      <x:c r="E13" s="13" t="e">
        <x:f>IF($A13="","",[1]!thsiFinD("ths_adjustment_nv_fund",E$3,$A13))</x:f>
        <x:v>#NAME?</x:v>
      </x:c>
      <x:c r="F13" s="13" t="e">
        <x:f>IF($A13="","",[1]!thsiFinD("ths_adjustment_nv_fund",F$3,$A13))</x:f>
        <x:v>#NAME?</x:v>
      </x:c>
      <x:c r="G13" s="13" t="e">
        <x:f>IF($A13="","",[1]!thsiFinD("ths_adjustment_nv_fund",G$3,$A13))</x:f>
        <x:v>#NAME?</x:v>
      </x:c>
      <x:c r="H13" s="13" t="e">
        <x:f>IF($A13="","",[1]!thsiFinD("ths_adjustment_nv_fund",H$3,$A13))</x:f>
        <x:v>#NAME?</x:v>
      </x:c>
      <x:c r="I13" s="13" t="e">
        <x:f>IF($A13="","",[1]!thsiFinD("ths_adjustment_nv_fund",I$3,$A13))</x:f>
        <x:v>#NAME?</x:v>
      </x:c>
      <x:c r="J13" s="13" t="e">
        <x:f>IF($A13="","",[1]!thsiFinD("ths_adjustment_nv_fund",J$3,$A13))</x:f>
        <x:v>#NAME?</x:v>
      </x:c>
      <x:c r="K13" s="13" t="e">
        <x:f>IF($A13="","",[1]!thsiFinD("ths_adjustment_nv_fund",K$3,$A13))</x:f>
        <x:v>#NAME?</x:v>
      </x:c>
      <x:c r="L13" s="13" t="e">
        <x:f>IF($A13="","",[1]!thsiFinD("ths_adjustment_nv_fund",L$3,$A13))</x:f>
        <x:v>#NAME?</x:v>
      </x:c>
      <x:c r="M13" s="13" t="e">
        <x:f>IF($A13="","",[1]!thsiFinD("ths_adjustment_nv_fund",M$3,$A13))</x:f>
        <x:v>#NAME?</x:v>
      </x:c>
      <x:c r="N13" s="13" t="e">
        <x:f>IF($A13="","",[1]!thsiFinD("ths_adjustment_nv_fund",N$3,$A13))</x:f>
        <x:v>#NAME?</x:v>
      </x:c>
      <x:c r="O13" s="13" t="e">
        <x:f>IF($A13="","",[1]!thsiFinD("ths_adjustment_nv_fund",O$3,$A13))</x:f>
        <x:v>#NAME?</x:v>
      </x:c>
      <x:c r="P13" s="13" t="e">
        <x:f>IF($A13="","",[1]!thsiFinD("ths_adjustment_nv_fund",P$3,$A13))</x:f>
        <x:v>#NAME?</x:v>
      </x:c>
      <x:c r="Q13" s="13" t="e">
        <x:f>IF($A13="","",[1]!thsiFinD("ths_adjustment_nv_fund",Q$3,$A13))</x:f>
        <x:v>#NAME?</x:v>
      </x:c>
      <x:c r="R13" s="13" t="e">
        <x:f>IF($A13="","",[1]!thsiFinD("ths_adjustment_nv_fund",R$3,$A13))</x:f>
        <x:v>#NAME?</x:v>
      </x:c>
      <x:c r="S13" s="13" t="e">
        <x:f>IF($A13="","",[1]!thsiFinD("ths_adjustment_nv_fund",S$3,$A13))</x:f>
        <x:v>#NAME?</x:v>
      </x:c>
      <x:c r="T13" s="13" t="e">
        <x:f>IF($A13="","",[1]!thsiFinD("ths_adjustment_nv_fund",T$3,$A13))</x:f>
        <x:v>#NAME?</x:v>
      </x:c>
      <x:c r="U13" s="13" t="e">
        <x:f>IF($A13="","",[1]!thsiFinD("ths_adjustment_nv_fund",U$3,$A13))</x:f>
        <x:v>#NAME?</x:v>
      </x:c>
      <x:c r="V13" s="13" t="e">
        <x:f>IF($A13="","",[1]!thsiFinD("ths_adjustment_nv_fund",V$3,$A13))</x:f>
        <x:v>#NAME?</x:v>
      </x:c>
      <x:c r="W13" s="13" t="e">
        <x:f>IF($A13="","",[1]!thsiFinD("ths_adjustment_nv_fund",W$3,$A13))</x:f>
        <x:v>#NAME?</x:v>
      </x:c>
      <x:c r="X13" s="13" t="e">
        <x:f>IF($A13="","",[1]!thsiFinD("ths_adjustment_nv_fund",X$3,$A13))</x:f>
        <x:v>#NAME?</x:v>
      </x:c>
      <x:c r="Y13" s="13" t="e">
        <x:f>IF($A13="","",[1]!thsiFinD("ths_adjustment_nv_fund",Y$3,$A13))</x:f>
        <x:v>#NAME?</x:v>
      </x:c>
    </x:row>
    <x:row r="14">
      <x:c r="A14" s="8">
        <x:v>46205</x:v>
      </x:c>
      <x:c r="B14" s="13" t="e">
        <x:f>IF($A14="","",[1]!thsiFinD("ths_adjustment_nv_fund",B$3,$A14))</x:f>
        <x:v>#NAME?</x:v>
      </x:c>
      <x:c r="C14" s="13" t="e">
        <x:f>IF($A14="","",[1]!thsiFinD("ths_adjustment_nv_fund",C$3,$A14))</x:f>
        <x:v>#NAME?</x:v>
      </x:c>
      <x:c r="D14" s="13" t="e">
        <x:f>IF($A14="","",[1]!thsiFinD("ths_adjustment_nv_fund",D$3,$A14))</x:f>
        <x:v>#NAME?</x:v>
      </x:c>
      <x:c r="E14" s="13" t="e">
        <x:f>IF($A14="","",[1]!thsiFinD("ths_adjustment_nv_fund",E$3,$A14))</x:f>
        <x:v>#NAME?</x:v>
      </x:c>
      <x:c r="F14" s="13" t="e">
        <x:f>IF($A14="","",[1]!thsiFinD("ths_adjustment_nv_fund",F$3,$A14))</x:f>
        <x:v>#NAME?</x:v>
      </x:c>
      <x:c r="G14" s="13" t="e">
        <x:f>IF($A14="","",[1]!thsiFinD("ths_adjustment_nv_fund",G$3,$A14))</x:f>
        <x:v>#NAME?</x:v>
      </x:c>
      <x:c r="H14" s="13" t="e">
        <x:f>IF($A14="","",[1]!thsiFinD("ths_adjustment_nv_fund",H$3,$A14))</x:f>
        <x:v>#NAME?</x:v>
      </x:c>
      <x:c r="I14" s="13" t="e">
        <x:f>IF($A14="","",[1]!thsiFinD("ths_adjustment_nv_fund",I$3,$A14))</x:f>
        <x:v>#NAME?</x:v>
      </x:c>
      <x:c r="J14" s="13" t="e">
        <x:f>IF($A14="","",[1]!thsiFinD("ths_adjustment_nv_fund",J$3,$A14))</x:f>
        <x:v>#NAME?</x:v>
      </x:c>
      <x:c r="K14" s="13" t="e">
        <x:f>IF($A14="","",[1]!thsiFinD("ths_adjustment_nv_fund",K$3,$A14))</x:f>
        <x:v>#NAME?</x:v>
      </x:c>
      <x:c r="L14" s="13" t="e">
        <x:f>IF($A14="","",[1]!thsiFinD("ths_adjustment_nv_fund",L$3,$A14))</x:f>
        <x:v>#NAME?</x:v>
      </x:c>
      <x:c r="M14" s="13" t="e">
        <x:f>IF($A14="","",[1]!thsiFinD("ths_adjustment_nv_fund",M$3,$A14))</x:f>
        <x:v>#NAME?</x:v>
      </x:c>
      <x:c r="N14" s="13" t="e">
        <x:f>IF($A14="","",[1]!thsiFinD("ths_adjustment_nv_fund",N$3,$A14))</x:f>
        <x:v>#NAME?</x:v>
      </x:c>
      <x:c r="O14" s="13" t="e">
        <x:f>IF($A14="","",[1]!thsiFinD("ths_adjustment_nv_fund",O$3,$A14))</x:f>
        <x:v>#NAME?</x:v>
      </x:c>
      <x:c r="P14" s="13" t="e">
        <x:f>IF($A14="","",[1]!thsiFinD("ths_adjustment_nv_fund",P$3,$A14))</x:f>
        <x:v>#NAME?</x:v>
      </x:c>
      <x:c r="Q14" s="13" t="e">
        <x:f>IF($A14="","",[1]!thsiFinD("ths_adjustment_nv_fund",Q$3,$A14))</x:f>
        <x:v>#NAME?</x:v>
      </x:c>
      <x:c r="R14" s="13" t="e">
        <x:f>IF($A14="","",[1]!thsiFinD("ths_adjustment_nv_fund",R$3,$A14))</x:f>
        <x:v>#NAME?</x:v>
      </x:c>
      <x:c r="S14" s="13" t="e">
        <x:f>IF($A14="","",[1]!thsiFinD("ths_adjustment_nv_fund",S$3,$A14))</x:f>
        <x:v>#NAME?</x:v>
      </x:c>
      <x:c r="T14" s="13" t="e">
        <x:f>IF($A14="","",[1]!thsiFinD("ths_adjustment_nv_fund",T$3,$A14))</x:f>
        <x:v>#NAME?</x:v>
      </x:c>
      <x:c r="U14" s="13" t="e">
        <x:f>IF($A14="","",[1]!thsiFinD("ths_adjustment_nv_fund",U$3,$A14))</x:f>
        <x:v>#NAME?</x:v>
      </x:c>
      <x:c r="V14" s="13" t="e">
        <x:f>IF($A14="","",[1]!thsiFinD("ths_adjustment_nv_fund",V$3,$A14))</x:f>
        <x:v>#NAME?</x:v>
      </x:c>
      <x:c r="W14" s="13" t="e">
        <x:f>IF($A14="","",[1]!thsiFinD("ths_adjustment_nv_fund",W$3,$A14))</x:f>
        <x:v>#NAME?</x:v>
      </x:c>
      <x:c r="X14" s="13" t="e">
        <x:f>IF($A14="","",[1]!thsiFinD("ths_adjustment_nv_fund",X$3,$A14))</x:f>
        <x:v>#NAME?</x:v>
      </x:c>
      <x:c r="Y14" s="13" t="e">
        <x:f>IF($A14="","",[1]!thsiFinD("ths_adjustment_nv_fund",Y$3,$A14))</x:f>
        <x:v>#NAME?</x:v>
      </x:c>
    </x:row>
    <x:row r="15">
      <x:c r="A15" s="8">
        <x:v>46206</x:v>
      </x:c>
      <x:c r="B15" s="13" t="e">
        <x:f>IF($A15="","",[1]!thsiFinD("ths_adjustment_nv_fund",B$3,$A15))</x:f>
        <x:v>#NAME?</x:v>
      </x:c>
      <x:c r="C15" s="13" t="e">
        <x:f>IF($A15="","",[1]!thsiFinD("ths_adjustment_nv_fund",C$3,$A15))</x:f>
        <x:v>#NAME?</x:v>
      </x:c>
      <x:c r="D15" s="13" t="e">
        <x:f>IF($A15="","",[1]!thsiFinD("ths_adjustment_nv_fund",D$3,$A15))</x:f>
        <x:v>#NAME?</x:v>
      </x:c>
      <x:c r="E15" s="13" t="e">
        <x:f>IF($A15="","",[1]!thsiFinD("ths_adjustment_nv_fund",E$3,$A15))</x:f>
        <x:v>#NAME?</x:v>
      </x:c>
      <x:c r="F15" s="13" t="e">
        <x:f>IF($A15="","",[1]!thsiFinD("ths_adjustment_nv_fund",F$3,$A15))</x:f>
        <x:v>#NAME?</x:v>
      </x:c>
      <x:c r="G15" s="13" t="e">
        <x:f>IF($A15="","",[1]!thsiFinD("ths_adjustment_nv_fund",G$3,$A15))</x:f>
        <x:v>#NAME?</x:v>
      </x:c>
      <x:c r="H15" s="13" t="e">
        <x:f>IF($A15="","",[1]!thsiFinD("ths_adjustment_nv_fund",H$3,$A15))</x:f>
        <x:v>#NAME?</x:v>
      </x:c>
      <x:c r="I15" s="13" t="e">
        <x:f>IF($A15="","",[1]!thsiFinD("ths_adjustment_nv_fund",I$3,$A15))</x:f>
        <x:v>#NAME?</x:v>
      </x:c>
      <x:c r="J15" s="13" t="e">
        <x:f>IF($A15="","",[1]!thsiFinD("ths_adjustment_nv_fund",J$3,$A15))</x:f>
        <x:v>#NAME?</x:v>
      </x:c>
      <x:c r="K15" s="13" t="e">
        <x:f>IF($A15="","",[1]!thsiFinD("ths_adjustment_nv_fund",K$3,$A15))</x:f>
        <x:v>#NAME?</x:v>
      </x:c>
      <x:c r="L15" s="13" t="e">
        <x:f>IF($A15="","",[1]!thsiFinD("ths_adjustment_nv_fund",L$3,$A15))</x:f>
        <x:v>#NAME?</x:v>
      </x:c>
      <x:c r="M15" s="13" t="e">
        <x:f>IF($A15="","",[1]!thsiFinD("ths_adjustment_nv_fund",M$3,$A15))</x:f>
        <x:v>#NAME?</x:v>
      </x:c>
      <x:c r="N15" s="13" t="e">
        <x:f>IF($A15="","",[1]!thsiFinD("ths_adjustment_nv_fund",N$3,$A15))</x:f>
        <x:v>#NAME?</x:v>
      </x:c>
      <x:c r="O15" s="13" t="e">
        <x:f>IF($A15="","",[1]!thsiFinD("ths_adjustment_nv_fund",O$3,$A15))</x:f>
        <x:v>#NAME?</x:v>
      </x:c>
      <x:c r="P15" s="13" t="e">
        <x:f>IF($A15="","",[1]!thsiFinD("ths_adjustment_nv_fund",P$3,$A15))</x:f>
        <x:v>#NAME?</x:v>
      </x:c>
      <x:c r="Q15" s="13" t="e">
        <x:f>IF($A15="","",[1]!thsiFinD("ths_adjustment_nv_fund",Q$3,$A15))</x:f>
        <x:v>#NAME?</x:v>
      </x:c>
      <x:c r="R15" s="13" t="e">
        <x:f>IF($A15="","",[1]!thsiFinD("ths_adjustment_nv_fund",R$3,$A15))</x:f>
        <x:v>#NAME?</x:v>
      </x:c>
      <x:c r="S15" s="13" t="e">
        <x:f>IF($A15="","",[1]!thsiFinD("ths_adjustment_nv_fund",S$3,$A15))</x:f>
        <x:v>#NAME?</x:v>
      </x:c>
      <x:c r="T15" s="13" t="e">
        <x:f>IF($A15="","",[1]!thsiFinD("ths_adjustment_nv_fund",T$3,$A15))</x:f>
        <x:v>#NAME?</x:v>
      </x:c>
      <x:c r="U15" s="13" t="e">
        <x:f>IF($A15="","",[1]!thsiFinD("ths_adjustment_nv_fund",U$3,$A15))</x:f>
        <x:v>#NAME?</x:v>
      </x:c>
      <x:c r="V15" s="13" t="e">
        <x:f>IF($A15="","",[1]!thsiFinD("ths_adjustment_nv_fund",V$3,$A15))</x:f>
        <x:v>#NAME?</x:v>
      </x:c>
      <x:c r="W15" s="13" t="e">
        <x:f>IF($A15="","",[1]!thsiFinD("ths_adjustment_nv_fund",W$3,$A15))</x:f>
        <x:v>#NAME?</x:v>
      </x:c>
      <x:c r="X15" s="13" t="e">
        <x:f>IF($A15="","",[1]!thsiFinD("ths_adjustment_nv_fund",X$3,$A15))</x:f>
        <x:v>#NAME?</x:v>
      </x:c>
      <x:c r="Y15" s="13" t="e">
        <x:f>IF($A15="","",[1]!thsiFinD("ths_adjustment_nv_fund",Y$3,$A15))</x:f>
        <x:v>#NAME?</x:v>
      </x:c>
    </x:row>
    <x:row r="16">
      <x:c r="A16" s="8">
        <x:v>46209</x:v>
      </x:c>
      <x:c r="B16" s="13" t="e">
        <x:f>IF($A16="","",[1]!thsiFinD("ths_adjustment_nv_fund",B$3,$A16))</x:f>
        <x:v>#NAME?</x:v>
      </x:c>
      <x:c r="C16" s="13" t="e">
        <x:f>IF($A16="","",[1]!thsiFinD("ths_adjustment_nv_fund",C$3,$A16))</x:f>
        <x:v>#NAME?</x:v>
      </x:c>
      <x:c r="D16" s="13" t="e">
        <x:f>IF($A16="","",[1]!thsiFinD("ths_adjustment_nv_fund",D$3,$A16))</x:f>
        <x:v>#NAME?</x:v>
      </x:c>
      <x:c r="E16" s="13" t="e">
        <x:f>IF($A16="","",[1]!thsiFinD("ths_adjustment_nv_fund",E$3,$A16))</x:f>
        <x:v>#NAME?</x:v>
      </x:c>
      <x:c r="F16" s="13" t="e">
        <x:f>IF($A16="","",[1]!thsiFinD("ths_adjustment_nv_fund",F$3,$A16))</x:f>
        <x:v>#NAME?</x:v>
      </x:c>
      <x:c r="G16" s="13" t="e">
        <x:f>IF($A16="","",[1]!thsiFinD("ths_adjustment_nv_fund",G$3,$A16))</x:f>
        <x:v>#NAME?</x:v>
      </x:c>
      <x:c r="H16" s="13" t="e">
        <x:f>IF($A16="","",[1]!thsiFinD("ths_adjustment_nv_fund",H$3,$A16))</x:f>
        <x:v>#NAME?</x:v>
      </x:c>
      <x:c r="I16" s="13" t="e">
        <x:f>IF($A16="","",[1]!thsiFinD("ths_adjustment_nv_fund",I$3,$A16))</x:f>
        <x:v>#NAME?</x:v>
      </x:c>
      <x:c r="J16" s="13" t="e">
        <x:f>IF($A16="","",[1]!thsiFinD("ths_adjustment_nv_fund",J$3,$A16))</x:f>
        <x:v>#NAME?</x:v>
      </x:c>
      <x:c r="K16" s="13" t="e">
        <x:f>IF($A16="","",[1]!thsiFinD("ths_adjustment_nv_fund",K$3,$A16))</x:f>
        <x:v>#NAME?</x:v>
      </x:c>
      <x:c r="L16" s="13" t="e">
        <x:f>IF($A16="","",[1]!thsiFinD("ths_adjustment_nv_fund",L$3,$A16))</x:f>
        <x:v>#NAME?</x:v>
      </x:c>
      <x:c r="M16" s="13" t="e">
        <x:f>IF($A16="","",[1]!thsiFinD("ths_adjustment_nv_fund",M$3,$A16))</x:f>
        <x:v>#NAME?</x:v>
      </x:c>
      <x:c r="N16" s="13" t="e">
        <x:f>IF($A16="","",[1]!thsiFinD("ths_adjustment_nv_fund",N$3,$A16))</x:f>
        <x:v>#NAME?</x:v>
      </x:c>
      <x:c r="O16" s="13" t="e">
        <x:f>IF($A16="","",[1]!thsiFinD("ths_adjustment_nv_fund",O$3,$A16))</x:f>
        <x:v>#NAME?</x:v>
      </x:c>
      <x:c r="P16" s="13" t="e">
        <x:f>IF($A16="","",[1]!thsiFinD("ths_adjustment_nv_fund",P$3,$A16))</x:f>
        <x:v>#NAME?</x:v>
      </x:c>
      <x:c r="Q16" s="13" t="e">
        <x:f>IF($A16="","",[1]!thsiFinD("ths_adjustment_nv_fund",Q$3,$A16))</x:f>
        <x:v>#NAME?</x:v>
      </x:c>
      <x:c r="R16" s="13" t="e">
        <x:f>IF($A16="","",[1]!thsiFinD("ths_adjustment_nv_fund",R$3,$A16))</x:f>
        <x:v>#NAME?</x:v>
      </x:c>
      <x:c r="S16" s="13" t="e">
        <x:f>IF($A16="","",[1]!thsiFinD("ths_adjustment_nv_fund",S$3,$A16))</x:f>
        <x:v>#NAME?</x:v>
      </x:c>
      <x:c r="T16" s="13" t="e">
        <x:f>IF($A16="","",[1]!thsiFinD("ths_adjustment_nv_fund",T$3,$A16))</x:f>
        <x:v>#NAME?</x:v>
      </x:c>
      <x:c r="U16" s="13" t="e">
        <x:f>IF($A16="","",[1]!thsiFinD("ths_adjustment_nv_fund",U$3,$A16))</x:f>
        <x:v>#NAME?</x:v>
      </x:c>
      <x:c r="V16" s="13" t="e">
        <x:f>IF($A16="","",[1]!thsiFinD("ths_adjustment_nv_fund",V$3,$A16))</x:f>
        <x:v>#NAME?</x:v>
      </x:c>
      <x:c r="W16" s="13" t="e">
        <x:f>IF($A16="","",[1]!thsiFinD("ths_adjustment_nv_fund",W$3,$A16))</x:f>
        <x:v>#NAME?</x:v>
      </x:c>
      <x:c r="X16" s="13" t="e">
        <x:f>IF($A16="","",[1]!thsiFinD("ths_adjustment_nv_fund",X$3,$A16))</x:f>
        <x:v>#NAME?</x:v>
      </x:c>
      <x:c r="Y16" s="13" t="e">
        <x:f>IF($A16="","",[1]!thsiFinD("ths_adjustment_nv_fund",Y$3,$A16))</x:f>
        <x:v>#NAME?</x:v>
      </x:c>
    </x:row>
    <x:row r="17">
      <x:c r="A17" s="8">
        <x:v>46210</x:v>
      </x:c>
      <x:c r="B17" s="13" t="e">
        <x:f>IF($A17="","",[1]!thsiFinD("ths_adjustment_nv_fund",B$3,$A17))</x:f>
        <x:v>#NAME?</x:v>
      </x:c>
      <x:c r="C17" s="13" t="e">
        <x:f>IF($A17="","",[1]!thsiFinD("ths_adjustment_nv_fund",C$3,$A17))</x:f>
        <x:v>#NAME?</x:v>
      </x:c>
      <x:c r="D17" s="13" t="e">
        <x:f>IF($A17="","",[1]!thsiFinD("ths_adjustment_nv_fund",D$3,$A17))</x:f>
        <x:v>#NAME?</x:v>
      </x:c>
      <x:c r="E17" s="13" t="e">
        <x:f>IF($A17="","",[1]!thsiFinD("ths_adjustment_nv_fund",E$3,$A17))</x:f>
        <x:v>#NAME?</x:v>
      </x:c>
      <x:c r="F17" s="13" t="e">
        <x:f>IF($A17="","",[1]!thsiFinD("ths_adjustment_nv_fund",F$3,$A17))</x:f>
        <x:v>#NAME?</x:v>
      </x:c>
      <x:c r="G17" s="13" t="e">
        <x:f>IF($A17="","",[1]!thsiFinD("ths_adjustment_nv_fund",G$3,$A17))</x:f>
        <x:v>#NAME?</x:v>
      </x:c>
      <x:c r="H17" s="13" t="e">
        <x:f>IF($A17="","",[1]!thsiFinD("ths_adjustment_nv_fund",H$3,$A17))</x:f>
        <x:v>#NAME?</x:v>
      </x:c>
      <x:c r="I17" s="13" t="e">
        <x:f>IF($A17="","",[1]!thsiFinD("ths_adjustment_nv_fund",I$3,$A17))</x:f>
        <x:v>#NAME?</x:v>
      </x:c>
      <x:c r="J17" s="13" t="e">
        <x:f>IF($A17="","",[1]!thsiFinD("ths_adjustment_nv_fund",J$3,$A17))</x:f>
        <x:v>#NAME?</x:v>
      </x:c>
      <x:c r="K17" s="13" t="e">
        <x:f>IF($A17="","",[1]!thsiFinD("ths_adjustment_nv_fund",K$3,$A17))</x:f>
        <x:v>#NAME?</x:v>
      </x:c>
      <x:c r="L17" s="13" t="e">
        <x:f>IF($A17="","",[1]!thsiFinD("ths_adjustment_nv_fund",L$3,$A17))</x:f>
        <x:v>#NAME?</x:v>
      </x:c>
      <x:c r="M17" s="13" t="e">
        <x:f>IF($A17="","",[1]!thsiFinD("ths_adjustment_nv_fund",M$3,$A17))</x:f>
        <x:v>#NAME?</x:v>
      </x:c>
      <x:c r="N17" s="13" t="e">
        <x:f>IF($A17="","",[1]!thsiFinD("ths_adjustment_nv_fund",N$3,$A17))</x:f>
        <x:v>#NAME?</x:v>
      </x:c>
      <x:c r="O17" s="13" t="e">
        <x:f>IF($A17="","",[1]!thsiFinD("ths_adjustment_nv_fund",O$3,$A17))</x:f>
        <x:v>#NAME?</x:v>
      </x:c>
      <x:c r="P17" s="13" t="e">
        <x:f>IF($A17="","",[1]!thsiFinD("ths_adjustment_nv_fund",P$3,$A17))</x:f>
        <x:v>#NAME?</x:v>
      </x:c>
      <x:c r="Q17" s="13" t="e">
        <x:f>IF($A17="","",[1]!thsiFinD("ths_adjustment_nv_fund",Q$3,$A17))</x:f>
        <x:v>#NAME?</x:v>
      </x:c>
      <x:c r="R17" s="13" t="e">
        <x:f>IF($A17="","",[1]!thsiFinD("ths_adjustment_nv_fund",R$3,$A17))</x:f>
        <x:v>#NAME?</x:v>
      </x:c>
      <x:c r="S17" s="13" t="e">
        <x:f>IF($A17="","",[1]!thsiFinD("ths_adjustment_nv_fund",S$3,$A17))</x:f>
        <x:v>#NAME?</x:v>
      </x:c>
      <x:c r="T17" s="13" t="e">
        <x:f>IF($A17="","",[1]!thsiFinD("ths_adjustment_nv_fund",T$3,$A17))</x:f>
        <x:v>#NAME?</x:v>
      </x:c>
      <x:c r="U17" s="13" t="e">
        <x:f>IF($A17="","",[1]!thsiFinD("ths_adjustment_nv_fund",U$3,$A17))</x:f>
        <x:v>#NAME?</x:v>
      </x:c>
      <x:c r="V17" s="13" t="e">
        <x:f>IF($A17="","",[1]!thsiFinD("ths_adjustment_nv_fund",V$3,$A17))</x:f>
        <x:v>#NAME?</x:v>
      </x:c>
      <x:c r="W17" s="13" t="e">
        <x:f>IF($A17="","",[1]!thsiFinD("ths_adjustment_nv_fund",W$3,$A17))</x:f>
        <x:v>#NAME?</x:v>
      </x:c>
      <x:c r="X17" s="13" t="e">
        <x:f>IF($A17="","",[1]!thsiFinD("ths_adjustment_nv_fund",X$3,$A17))</x:f>
        <x:v>#NAME?</x:v>
      </x:c>
      <x:c r="Y17" s="13" t="e">
        <x:f>IF($A17="","",[1]!thsiFinD("ths_adjustment_nv_fund",Y$3,$A17))</x:f>
        <x:v>#NAME?</x:v>
      </x:c>
    </x:row>
    <x:row r="18">
      <x:c r="A18" s="8">
        <x:v>46211</x:v>
      </x:c>
      <x:c r="B18" s="13" t="e">
        <x:f>IF($A18="","",[1]!thsiFinD("ths_adjustment_nv_fund",B$3,$A18))</x:f>
        <x:v>#NAME?</x:v>
      </x:c>
      <x:c r="C18" s="13" t="e">
        <x:f>IF($A18="","",[1]!thsiFinD("ths_adjustment_nv_fund",C$3,$A18))</x:f>
        <x:v>#NAME?</x:v>
      </x:c>
      <x:c r="D18" s="13" t="e">
        <x:f>IF($A18="","",[1]!thsiFinD("ths_adjustment_nv_fund",D$3,$A18))</x:f>
        <x:v>#NAME?</x:v>
      </x:c>
      <x:c r="E18" s="13" t="e">
        <x:f>IF($A18="","",[1]!thsiFinD("ths_adjustment_nv_fund",E$3,$A18))</x:f>
        <x:v>#NAME?</x:v>
      </x:c>
      <x:c r="F18" s="13" t="e">
        <x:f>IF($A18="","",[1]!thsiFinD("ths_adjustment_nv_fund",F$3,$A18))</x:f>
        <x:v>#NAME?</x:v>
      </x:c>
      <x:c r="G18" s="13" t="e">
        <x:f>IF($A18="","",[1]!thsiFinD("ths_adjustment_nv_fund",G$3,$A18))</x:f>
        <x:v>#NAME?</x:v>
      </x:c>
      <x:c r="H18" s="13" t="e">
        <x:f>IF($A18="","",[1]!thsiFinD("ths_adjustment_nv_fund",H$3,$A18))</x:f>
        <x:v>#NAME?</x:v>
      </x:c>
      <x:c r="I18" s="13" t="e">
        <x:f>IF($A18="","",[1]!thsiFinD("ths_adjustment_nv_fund",I$3,$A18))</x:f>
        <x:v>#NAME?</x:v>
      </x:c>
      <x:c r="J18" s="13" t="e">
        <x:f>IF($A18="","",[1]!thsiFinD("ths_adjustment_nv_fund",J$3,$A18))</x:f>
        <x:v>#NAME?</x:v>
      </x:c>
      <x:c r="K18" s="13" t="e">
        <x:f>IF($A18="","",[1]!thsiFinD("ths_adjustment_nv_fund",K$3,$A18))</x:f>
        <x:v>#NAME?</x:v>
      </x:c>
      <x:c r="L18" s="13" t="e">
        <x:f>IF($A18="","",[1]!thsiFinD("ths_adjustment_nv_fund",L$3,$A18))</x:f>
        <x:v>#NAME?</x:v>
      </x:c>
      <x:c r="M18" s="13" t="e">
        <x:f>IF($A18="","",[1]!thsiFinD("ths_adjustment_nv_fund",M$3,$A18))</x:f>
        <x:v>#NAME?</x:v>
      </x:c>
      <x:c r="N18" s="13" t="e">
        <x:f>IF($A18="","",[1]!thsiFinD("ths_adjustment_nv_fund",N$3,$A18))</x:f>
        <x:v>#NAME?</x:v>
      </x:c>
      <x:c r="O18" s="13" t="e">
        <x:f>IF($A18="","",[1]!thsiFinD("ths_adjustment_nv_fund",O$3,$A18))</x:f>
        <x:v>#NAME?</x:v>
      </x:c>
      <x:c r="P18" s="13" t="e">
        <x:f>IF($A18="","",[1]!thsiFinD("ths_adjustment_nv_fund",P$3,$A18))</x:f>
        <x:v>#NAME?</x:v>
      </x:c>
      <x:c r="Q18" s="13" t="e">
        <x:f>IF($A18="","",[1]!thsiFinD("ths_adjustment_nv_fund",Q$3,$A18))</x:f>
        <x:v>#NAME?</x:v>
      </x:c>
      <x:c r="R18" s="13" t="e">
        <x:f>IF($A18="","",[1]!thsiFinD("ths_adjustment_nv_fund",R$3,$A18))</x:f>
        <x:v>#NAME?</x:v>
      </x:c>
      <x:c r="S18" s="13" t="e">
        <x:f>IF($A18="","",[1]!thsiFinD("ths_adjustment_nv_fund",S$3,$A18))</x:f>
        <x:v>#NAME?</x:v>
      </x:c>
      <x:c r="T18" s="13" t="e">
        <x:f>IF($A18="","",[1]!thsiFinD("ths_adjustment_nv_fund",T$3,$A18))</x:f>
        <x:v>#NAME?</x:v>
      </x:c>
      <x:c r="U18" s="13" t="e">
        <x:f>IF($A18="","",[1]!thsiFinD("ths_adjustment_nv_fund",U$3,$A18))</x:f>
        <x:v>#NAME?</x:v>
      </x:c>
      <x:c r="V18" s="13" t="e">
        <x:f>IF($A18="","",[1]!thsiFinD("ths_adjustment_nv_fund",V$3,$A18))</x:f>
        <x:v>#NAME?</x:v>
      </x:c>
      <x:c r="W18" s="13" t="e">
        <x:f>IF($A18="","",[1]!thsiFinD("ths_adjustment_nv_fund",W$3,$A18))</x:f>
        <x:v>#NAME?</x:v>
      </x:c>
      <x:c r="X18" s="13" t="e">
        <x:f>IF($A18="","",[1]!thsiFinD("ths_adjustment_nv_fund",X$3,$A18))</x:f>
        <x:v>#NAME?</x:v>
      </x:c>
      <x:c r="Y18" s="13" t="e">
        <x:f>IF($A18="","",[1]!thsiFinD("ths_adjustment_nv_fund",Y$3,$A18))</x:f>
        <x:v>#NAME?</x:v>
      </x:c>
    </x:row>
    <x:row r="19">
      <x:c r="A19" s="8">
        <x:v>46212</x:v>
      </x:c>
      <x:c r="B19" s="13" t="e">
        <x:f>IF($A19="","",[1]!thsiFinD("ths_adjustment_nv_fund",B$3,$A19))</x:f>
        <x:v>#NAME?</x:v>
      </x:c>
      <x:c r="C19" s="13" t="e">
        <x:f>IF($A19="","",[1]!thsiFinD("ths_adjustment_nv_fund",C$3,$A19))</x:f>
        <x:v>#NAME?</x:v>
      </x:c>
      <x:c r="D19" s="13" t="e">
        <x:f>IF($A19="","",[1]!thsiFinD("ths_adjustment_nv_fund",D$3,$A19))</x:f>
        <x:v>#NAME?</x:v>
      </x:c>
      <x:c r="E19" s="13" t="e">
        <x:f>IF($A19="","",[1]!thsiFinD("ths_adjustment_nv_fund",E$3,$A19))</x:f>
        <x:v>#NAME?</x:v>
      </x:c>
      <x:c r="F19" s="13" t="e">
        <x:f>IF($A19="","",[1]!thsiFinD("ths_adjustment_nv_fund",F$3,$A19))</x:f>
        <x:v>#NAME?</x:v>
      </x:c>
      <x:c r="G19" s="13" t="e">
        <x:f>IF($A19="","",[1]!thsiFinD("ths_adjustment_nv_fund",G$3,$A19))</x:f>
        <x:v>#NAME?</x:v>
      </x:c>
      <x:c r="H19" s="13" t="e">
        <x:f>IF($A19="","",[1]!thsiFinD("ths_adjustment_nv_fund",H$3,$A19))</x:f>
        <x:v>#NAME?</x:v>
      </x:c>
      <x:c r="I19" s="13" t="e">
        <x:f>IF($A19="","",[1]!thsiFinD("ths_adjustment_nv_fund",I$3,$A19))</x:f>
        <x:v>#NAME?</x:v>
      </x:c>
      <x:c r="J19" s="13" t="e">
        <x:f>IF($A19="","",[1]!thsiFinD("ths_adjustment_nv_fund",J$3,$A19))</x:f>
        <x:v>#NAME?</x:v>
      </x:c>
      <x:c r="K19" s="13" t="e">
        <x:f>IF($A19="","",[1]!thsiFinD("ths_adjustment_nv_fund",K$3,$A19))</x:f>
        <x:v>#NAME?</x:v>
      </x:c>
      <x:c r="L19" s="13" t="e">
        <x:f>IF($A19="","",[1]!thsiFinD("ths_adjustment_nv_fund",L$3,$A19))</x:f>
        <x:v>#NAME?</x:v>
      </x:c>
      <x:c r="M19" s="13" t="e">
        <x:f>IF($A19="","",[1]!thsiFinD("ths_adjustment_nv_fund",M$3,$A19))</x:f>
        <x:v>#NAME?</x:v>
      </x:c>
      <x:c r="N19" s="13" t="e">
        <x:f>IF($A19="","",[1]!thsiFinD("ths_adjustment_nv_fund",N$3,$A19))</x:f>
        <x:v>#NAME?</x:v>
      </x:c>
      <x:c r="O19" s="13" t="e">
        <x:f>IF($A19="","",[1]!thsiFinD("ths_adjustment_nv_fund",O$3,$A19))</x:f>
        <x:v>#NAME?</x:v>
      </x:c>
      <x:c r="P19" s="13" t="e">
        <x:f>IF($A19="","",[1]!thsiFinD("ths_adjustment_nv_fund",P$3,$A19))</x:f>
        <x:v>#NAME?</x:v>
      </x:c>
      <x:c r="Q19" s="13" t="e">
        <x:f>IF($A19="","",[1]!thsiFinD("ths_adjustment_nv_fund",Q$3,$A19))</x:f>
        <x:v>#NAME?</x:v>
      </x:c>
      <x:c r="R19" s="13" t="e">
        <x:f>IF($A19="","",[1]!thsiFinD("ths_adjustment_nv_fund",R$3,$A19))</x:f>
        <x:v>#NAME?</x:v>
      </x:c>
      <x:c r="S19" s="13" t="e">
        <x:f>IF($A19="","",[1]!thsiFinD("ths_adjustment_nv_fund",S$3,$A19))</x:f>
        <x:v>#NAME?</x:v>
      </x:c>
      <x:c r="T19" s="13" t="e">
        <x:f>IF($A19="","",[1]!thsiFinD("ths_adjustment_nv_fund",T$3,$A19))</x:f>
        <x:v>#NAME?</x:v>
      </x:c>
      <x:c r="U19" s="13" t="e">
        <x:f>IF($A19="","",[1]!thsiFinD("ths_adjustment_nv_fund",U$3,$A19))</x:f>
        <x:v>#NAME?</x:v>
      </x:c>
      <x:c r="V19" s="13" t="e">
        <x:f>IF($A19="","",[1]!thsiFinD("ths_adjustment_nv_fund",V$3,$A19))</x:f>
        <x:v>#NAME?</x:v>
      </x:c>
      <x:c r="W19" s="13" t="e">
        <x:f>IF($A19="","",[1]!thsiFinD("ths_adjustment_nv_fund",W$3,$A19))</x:f>
        <x:v>#NAME?</x:v>
      </x:c>
      <x:c r="X19" s="13" t="e">
        <x:f>IF($A19="","",[1]!thsiFinD("ths_adjustment_nv_fund",X$3,$A19))</x:f>
        <x:v>#NAME?</x:v>
      </x:c>
      <x:c r="Y19" s="13" t="e">
        <x:f>IF($A19="","",[1]!thsiFinD("ths_adjustment_nv_fund",Y$3,$A19))</x:f>
        <x:v>#NAME?</x:v>
      </x:c>
    </x:row>
    <x:row r="20">
      <x:c r="A20" s="8">
        <x:v>46213</x:v>
      </x:c>
      <x:c r="B20" s="13" t="e">
        <x:f>IF($A20="","",[1]!thsiFinD("ths_adjustment_nv_fund",B$3,$A20))</x:f>
        <x:v>#NAME?</x:v>
      </x:c>
      <x:c r="C20" s="13" t="e">
        <x:f>IF($A20="","",[1]!thsiFinD("ths_adjustment_nv_fund",C$3,$A20))</x:f>
        <x:v>#NAME?</x:v>
      </x:c>
      <x:c r="D20" s="13" t="e">
        <x:f>IF($A20="","",[1]!thsiFinD("ths_adjustment_nv_fund",D$3,$A20))</x:f>
        <x:v>#NAME?</x:v>
      </x:c>
      <x:c r="E20" s="13" t="e">
        <x:f>IF($A20="","",[1]!thsiFinD("ths_adjustment_nv_fund",E$3,$A20))</x:f>
        <x:v>#NAME?</x:v>
      </x:c>
      <x:c r="F20" s="13" t="e">
        <x:f>IF($A20="","",[1]!thsiFinD("ths_adjustment_nv_fund",F$3,$A20))</x:f>
        <x:v>#NAME?</x:v>
      </x:c>
      <x:c r="G20" s="13" t="e">
        <x:f>IF($A20="","",[1]!thsiFinD("ths_adjustment_nv_fund",G$3,$A20))</x:f>
        <x:v>#NAME?</x:v>
      </x:c>
      <x:c r="H20" s="13" t="e">
        <x:f>IF($A20="","",[1]!thsiFinD("ths_adjustment_nv_fund",H$3,$A20))</x:f>
        <x:v>#NAME?</x:v>
      </x:c>
      <x:c r="I20" s="13" t="e">
        <x:f>IF($A20="","",[1]!thsiFinD("ths_adjustment_nv_fund",I$3,$A20))</x:f>
        <x:v>#NAME?</x:v>
      </x:c>
      <x:c r="J20" s="13" t="e">
        <x:f>IF($A20="","",[1]!thsiFinD("ths_adjustment_nv_fund",J$3,$A20))</x:f>
        <x:v>#NAME?</x:v>
      </x:c>
      <x:c r="K20" s="13" t="e">
        <x:f>IF($A20="","",[1]!thsiFinD("ths_adjustment_nv_fund",K$3,$A20))</x:f>
        <x:v>#NAME?</x:v>
      </x:c>
      <x:c r="L20" s="13" t="e">
        <x:f>IF($A20="","",[1]!thsiFinD("ths_adjustment_nv_fund",L$3,$A20))</x:f>
        <x:v>#NAME?</x:v>
      </x:c>
      <x:c r="M20" s="13" t="e">
        <x:f>IF($A20="","",[1]!thsiFinD("ths_adjustment_nv_fund",M$3,$A20))</x:f>
        <x:v>#NAME?</x:v>
      </x:c>
      <x:c r="N20" s="13" t="e">
        <x:f>IF($A20="","",[1]!thsiFinD("ths_adjustment_nv_fund",N$3,$A20))</x:f>
        <x:v>#NAME?</x:v>
      </x:c>
      <x:c r="O20" s="13" t="e">
        <x:f>IF($A20="","",[1]!thsiFinD("ths_adjustment_nv_fund",O$3,$A20))</x:f>
        <x:v>#NAME?</x:v>
      </x:c>
      <x:c r="P20" s="13" t="e">
        <x:f>IF($A20="","",[1]!thsiFinD("ths_adjustment_nv_fund",P$3,$A20))</x:f>
        <x:v>#NAME?</x:v>
      </x:c>
      <x:c r="Q20" s="13" t="e">
        <x:f>IF($A20="","",[1]!thsiFinD("ths_adjustment_nv_fund",Q$3,$A20))</x:f>
        <x:v>#NAME?</x:v>
      </x:c>
      <x:c r="R20" s="13" t="e">
        <x:f>IF($A20="","",[1]!thsiFinD("ths_adjustment_nv_fund",R$3,$A20))</x:f>
        <x:v>#NAME?</x:v>
      </x:c>
      <x:c r="S20" s="13" t="e">
        <x:f>IF($A20="","",[1]!thsiFinD("ths_adjustment_nv_fund",S$3,$A20))</x:f>
        <x:v>#NAME?</x:v>
      </x:c>
      <x:c r="T20" s="13" t="e">
        <x:f>IF($A20="","",[1]!thsiFinD("ths_adjustment_nv_fund",T$3,$A20))</x:f>
        <x:v>#NAME?</x:v>
      </x:c>
      <x:c r="U20" s="13" t="e">
        <x:f>IF($A20="","",[1]!thsiFinD("ths_adjustment_nv_fund",U$3,$A20))</x:f>
        <x:v>#NAME?</x:v>
      </x:c>
      <x:c r="V20" s="13" t="e">
        <x:f>IF($A20="","",[1]!thsiFinD("ths_adjustment_nv_fund",V$3,$A20))</x:f>
        <x:v>#NAME?</x:v>
      </x:c>
      <x:c r="W20" s="13" t="e">
        <x:f>IF($A20="","",[1]!thsiFinD("ths_adjustment_nv_fund",W$3,$A20))</x:f>
        <x:v>#NAME?</x:v>
      </x:c>
      <x:c r="X20" s="13" t="e">
        <x:f>IF($A20="","",[1]!thsiFinD("ths_adjustment_nv_fund",X$3,$A20))</x:f>
        <x:v>#NAME?</x:v>
      </x:c>
      <x:c r="Y20" s="13" t="e">
        <x:f>IF($A20="","",[1]!thsiFinD("ths_adjustment_nv_fund",Y$3,$A20))</x:f>
        <x:v>#NAME?</x:v>
      </x:c>
    </x:row>
    <x:row r="21">
      <x:c r="A21" s="8">
        <x:v>46216</x:v>
      </x:c>
      <x:c r="B21" s="13" t="e">
        <x:f>IF($A21="","",[1]!thsiFinD("ths_adjustment_nv_fund",B$3,$A21))</x:f>
        <x:v>#NAME?</x:v>
      </x:c>
      <x:c r="C21" s="13" t="e">
        <x:f>IF($A21="","",[1]!thsiFinD("ths_adjustment_nv_fund",C$3,$A21))</x:f>
        <x:v>#NAME?</x:v>
      </x:c>
      <x:c r="D21" s="13" t="e">
        <x:f>IF($A21="","",[1]!thsiFinD("ths_adjustment_nv_fund",D$3,$A21))</x:f>
        <x:v>#NAME?</x:v>
      </x:c>
      <x:c r="E21" s="13" t="e">
        <x:f>IF($A21="","",[1]!thsiFinD("ths_adjustment_nv_fund",E$3,$A21))</x:f>
        <x:v>#NAME?</x:v>
      </x:c>
      <x:c r="F21" s="13" t="e">
        <x:f>IF($A21="","",[1]!thsiFinD("ths_adjustment_nv_fund",F$3,$A21))</x:f>
        <x:v>#NAME?</x:v>
      </x:c>
      <x:c r="G21" s="13" t="e">
        <x:f>IF($A21="","",[1]!thsiFinD("ths_adjustment_nv_fund",G$3,$A21))</x:f>
        <x:v>#NAME?</x:v>
      </x:c>
      <x:c r="H21" s="13" t="e">
        <x:f>IF($A21="","",[1]!thsiFinD("ths_adjustment_nv_fund",H$3,$A21))</x:f>
        <x:v>#NAME?</x:v>
      </x:c>
      <x:c r="I21" s="13" t="e">
        <x:f>IF($A21="","",[1]!thsiFinD("ths_adjustment_nv_fund",I$3,$A21))</x:f>
        <x:v>#NAME?</x:v>
      </x:c>
      <x:c r="J21" s="13" t="e">
        <x:f>IF($A21="","",[1]!thsiFinD("ths_adjustment_nv_fund",J$3,$A21))</x:f>
        <x:v>#NAME?</x:v>
      </x:c>
      <x:c r="K21" s="13" t="e">
        <x:f>IF($A21="","",[1]!thsiFinD("ths_adjustment_nv_fund",K$3,$A21))</x:f>
        <x:v>#NAME?</x:v>
      </x:c>
      <x:c r="L21" s="13" t="e">
        <x:f>IF($A21="","",[1]!thsiFinD("ths_adjustment_nv_fund",L$3,$A21))</x:f>
        <x:v>#NAME?</x:v>
      </x:c>
      <x:c r="M21" s="13" t="e">
        <x:f>IF($A21="","",[1]!thsiFinD("ths_adjustment_nv_fund",M$3,$A21))</x:f>
        <x:v>#NAME?</x:v>
      </x:c>
      <x:c r="N21" s="13" t="e">
        <x:f>IF($A21="","",[1]!thsiFinD("ths_adjustment_nv_fund",N$3,$A21))</x:f>
        <x:v>#NAME?</x:v>
      </x:c>
      <x:c r="O21" s="13" t="e">
        <x:f>IF($A21="","",[1]!thsiFinD("ths_adjustment_nv_fund",O$3,$A21))</x:f>
        <x:v>#NAME?</x:v>
      </x:c>
      <x:c r="P21" s="13" t="e">
        <x:f>IF($A21="","",[1]!thsiFinD("ths_adjustment_nv_fund",P$3,$A21))</x:f>
        <x:v>#NAME?</x:v>
      </x:c>
      <x:c r="Q21" s="13" t="e">
        <x:f>IF($A21="","",[1]!thsiFinD("ths_adjustment_nv_fund",Q$3,$A21))</x:f>
        <x:v>#NAME?</x:v>
      </x:c>
      <x:c r="R21" s="13" t="e">
        <x:f>IF($A21="","",[1]!thsiFinD("ths_adjustment_nv_fund",R$3,$A21))</x:f>
        <x:v>#NAME?</x:v>
      </x:c>
      <x:c r="S21" s="13" t="e">
        <x:f>IF($A21="","",[1]!thsiFinD("ths_adjustment_nv_fund",S$3,$A21))</x:f>
        <x:v>#NAME?</x:v>
      </x:c>
      <x:c r="T21" s="13" t="e">
        <x:f>IF($A21="","",[1]!thsiFinD("ths_adjustment_nv_fund",T$3,$A21))</x:f>
        <x:v>#NAME?</x:v>
      </x:c>
      <x:c r="U21" s="13" t="e">
        <x:f>IF($A21="","",[1]!thsiFinD("ths_adjustment_nv_fund",U$3,$A21))</x:f>
        <x:v>#NAME?</x:v>
      </x:c>
      <x:c r="V21" s="13" t="e">
        <x:f>IF($A21="","",[1]!thsiFinD("ths_adjustment_nv_fund",V$3,$A21))</x:f>
        <x:v>#NAME?</x:v>
      </x:c>
      <x:c r="W21" s="13" t="e">
        <x:f>IF($A21="","",[1]!thsiFinD("ths_adjustment_nv_fund",W$3,$A21))</x:f>
        <x:v>#NAME?</x:v>
      </x:c>
      <x:c r="X21" s="13" t="e">
        <x:f>IF($A21="","",[1]!thsiFinD("ths_adjustment_nv_fund",X$3,$A21))</x:f>
        <x:v>#NAME?</x:v>
      </x:c>
      <x:c r="Y21" s="13" t="e">
        <x:f>IF($A21="","",[1]!thsiFinD("ths_adjustment_nv_fund",Y$3,$A21))</x:f>
        <x:v>#NAME?</x:v>
      </x:c>
    </x:row>
    <x:row r="22">
      <x:c r="A22" s="8">
        <x:v>46217</x:v>
      </x:c>
      <x:c r="B22" s="13" t="e">
        <x:f>IF($A22="","",[1]!thsiFinD("ths_adjustment_nv_fund",B$3,$A22))</x:f>
        <x:v>#NAME?</x:v>
      </x:c>
      <x:c r="C22" s="13" t="e">
        <x:f>IF($A22="","",[1]!thsiFinD("ths_adjustment_nv_fund",C$3,$A22))</x:f>
        <x:v>#NAME?</x:v>
      </x:c>
      <x:c r="D22" s="13" t="e">
        <x:f>IF($A22="","",[1]!thsiFinD("ths_adjustment_nv_fund",D$3,$A22))</x:f>
        <x:v>#NAME?</x:v>
      </x:c>
      <x:c r="E22" s="13" t="e">
        <x:f>IF($A22="","",[1]!thsiFinD("ths_adjustment_nv_fund",E$3,$A22))</x:f>
        <x:v>#NAME?</x:v>
      </x:c>
      <x:c r="F22" s="13" t="e">
        <x:f>IF($A22="","",[1]!thsiFinD("ths_adjustment_nv_fund",F$3,$A22))</x:f>
        <x:v>#NAME?</x:v>
      </x:c>
      <x:c r="G22" s="13" t="e">
        <x:f>IF($A22="","",[1]!thsiFinD("ths_adjustment_nv_fund",G$3,$A22))</x:f>
        <x:v>#NAME?</x:v>
      </x:c>
      <x:c r="H22" s="13" t="e">
        <x:f>IF($A22="","",[1]!thsiFinD("ths_adjustment_nv_fund",H$3,$A22))</x:f>
        <x:v>#NAME?</x:v>
      </x:c>
      <x:c r="I22" s="13" t="e">
        <x:f>IF($A22="","",[1]!thsiFinD("ths_adjustment_nv_fund",I$3,$A22))</x:f>
        <x:v>#NAME?</x:v>
      </x:c>
      <x:c r="J22" s="13" t="e">
        <x:f>IF($A22="","",[1]!thsiFinD("ths_adjustment_nv_fund",J$3,$A22))</x:f>
        <x:v>#NAME?</x:v>
      </x:c>
      <x:c r="K22" s="13" t="e">
        <x:f>IF($A22="","",[1]!thsiFinD("ths_adjustment_nv_fund",K$3,$A22))</x:f>
        <x:v>#NAME?</x:v>
      </x:c>
      <x:c r="L22" s="13" t="e">
        <x:f>IF($A22="","",[1]!thsiFinD("ths_adjustment_nv_fund",L$3,$A22))</x:f>
        <x:v>#NAME?</x:v>
      </x:c>
      <x:c r="M22" s="13" t="e">
        <x:f>IF($A22="","",[1]!thsiFinD("ths_adjustment_nv_fund",M$3,$A22))</x:f>
        <x:v>#NAME?</x:v>
      </x:c>
      <x:c r="N22" s="13" t="e">
        <x:f>IF($A22="","",[1]!thsiFinD("ths_adjustment_nv_fund",N$3,$A22))</x:f>
        <x:v>#NAME?</x:v>
      </x:c>
      <x:c r="O22" s="13" t="e">
        <x:f>IF($A22="","",[1]!thsiFinD("ths_adjustment_nv_fund",O$3,$A22))</x:f>
        <x:v>#NAME?</x:v>
      </x:c>
      <x:c r="P22" s="13" t="e">
        <x:f>IF($A22="","",[1]!thsiFinD("ths_adjustment_nv_fund",P$3,$A22))</x:f>
        <x:v>#NAME?</x:v>
      </x:c>
      <x:c r="Q22" s="13" t="e">
        <x:f>IF($A22="","",[1]!thsiFinD("ths_adjustment_nv_fund",Q$3,$A22))</x:f>
        <x:v>#NAME?</x:v>
      </x:c>
      <x:c r="R22" s="13" t="e">
        <x:f>IF($A22="","",[1]!thsiFinD("ths_adjustment_nv_fund",R$3,$A22))</x:f>
        <x:v>#NAME?</x:v>
      </x:c>
      <x:c r="S22" s="13" t="e">
        <x:f>IF($A22="","",[1]!thsiFinD("ths_adjustment_nv_fund",S$3,$A22))</x:f>
        <x:v>#NAME?</x:v>
      </x:c>
      <x:c r="T22" s="13" t="e">
        <x:f>IF($A22="","",[1]!thsiFinD("ths_adjustment_nv_fund",T$3,$A22))</x:f>
        <x:v>#NAME?</x:v>
      </x:c>
      <x:c r="U22" s="13" t="e">
        <x:f>IF($A22="","",[1]!thsiFinD("ths_adjustment_nv_fund",U$3,$A22))</x:f>
        <x:v>#NAME?</x:v>
      </x:c>
      <x:c r="V22" s="13" t="e">
        <x:f>IF($A22="","",[1]!thsiFinD("ths_adjustment_nv_fund",V$3,$A22))</x:f>
        <x:v>#NAME?</x:v>
      </x:c>
      <x:c r="W22" s="13" t="e">
        <x:f>IF($A22="","",[1]!thsiFinD("ths_adjustment_nv_fund",W$3,$A22))</x:f>
        <x:v>#NAME?</x:v>
      </x:c>
      <x:c r="X22" s="13" t="e">
        <x:f>IF($A22="","",[1]!thsiFinD("ths_adjustment_nv_fund",X$3,$A22))</x:f>
        <x:v>#NAME?</x:v>
      </x:c>
      <x:c r="Y22" s="13" t="e">
        <x:f>IF($A22="","",[1]!thsiFinD("ths_adjustment_nv_fund",Y$3,$A22))</x:f>
        <x:v>#NAME?</x:v>
      </x:c>
    </x:row>
    <x:row r="23">
      <x:c r="A23" s="8">
        <x:v>46218</x:v>
      </x:c>
      <x:c r="B23" s="13" t="e">
        <x:f>IF($A23="","",[1]!thsiFinD("ths_adjustment_nv_fund",B$3,$A23))</x:f>
        <x:v>#NAME?</x:v>
      </x:c>
      <x:c r="C23" s="13" t="e">
        <x:f>IF($A23="","",[1]!thsiFinD("ths_adjustment_nv_fund",C$3,$A23))</x:f>
        <x:v>#NAME?</x:v>
      </x:c>
      <x:c r="D23" s="13" t="e">
        <x:f>IF($A23="","",[1]!thsiFinD("ths_adjustment_nv_fund",D$3,$A23))</x:f>
        <x:v>#NAME?</x:v>
      </x:c>
      <x:c r="E23" s="13" t="e">
        <x:f>IF($A23="","",[1]!thsiFinD("ths_adjustment_nv_fund",E$3,$A23))</x:f>
        <x:v>#NAME?</x:v>
      </x:c>
      <x:c r="F23" s="13" t="e">
        <x:f>IF($A23="","",[1]!thsiFinD("ths_adjustment_nv_fund",F$3,$A23))</x:f>
        <x:v>#NAME?</x:v>
      </x:c>
      <x:c r="G23" s="13" t="e">
        <x:f>IF($A23="","",[1]!thsiFinD("ths_adjustment_nv_fund",G$3,$A23))</x:f>
        <x:v>#NAME?</x:v>
      </x:c>
      <x:c r="H23" s="13" t="e">
        <x:f>IF($A23="","",[1]!thsiFinD("ths_adjustment_nv_fund",H$3,$A23))</x:f>
        <x:v>#NAME?</x:v>
      </x:c>
      <x:c r="I23" s="13" t="e">
        <x:f>IF($A23="","",[1]!thsiFinD("ths_adjustment_nv_fund",I$3,$A23))</x:f>
        <x:v>#NAME?</x:v>
      </x:c>
      <x:c r="J23" s="13" t="e">
        <x:f>IF($A23="","",[1]!thsiFinD("ths_adjustment_nv_fund",J$3,$A23))</x:f>
        <x:v>#NAME?</x:v>
      </x:c>
      <x:c r="K23" s="13" t="e">
        <x:f>IF($A23="","",[1]!thsiFinD("ths_adjustment_nv_fund",K$3,$A23))</x:f>
        <x:v>#NAME?</x:v>
      </x:c>
      <x:c r="L23" s="13" t="e">
        <x:f>IF($A23="","",[1]!thsiFinD("ths_adjustment_nv_fund",L$3,$A23))</x:f>
        <x:v>#NAME?</x:v>
      </x:c>
      <x:c r="M23" s="13" t="e">
        <x:f>IF($A23="","",[1]!thsiFinD("ths_adjustment_nv_fund",M$3,$A23))</x:f>
        <x:v>#NAME?</x:v>
      </x:c>
      <x:c r="N23" s="13" t="e">
        <x:f>IF($A23="","",[1]!thsiFinD("ths_adjustment_nv_fund",N$3,$A23))</x:f>
        <x:v>#NAME?</x:v>
      </x:c>
      <x:c r="O23" s="13" t="e">
        <x:f>IF($A23="","",[1]!thsiFinD("ths_adjustment_nv_fund",O$3,$A23))</x:f>
        <x:v>#NAME?</x:v>
      </x:c>
      <x:c r="P23" s="13" t="e">
        <x:f>IF($A23="","",[1]!thsiFinD("ths_adjustment_nv_fund",P$3,$A23))</x:f>
        <x:v>#NAME?</x:v>
      </x:c>
      <x:c r="Q23" s="13" t="e">
        <x:f>IF($A23="","",[1]!thsiFinD("ths_adjustment_nv_fund",Q$3,$A23))</x:f>
        <x:v>#NAME?</x:v>
      </x:c>
      <x:c r="R23" s="13" t="e">
        <x:f>IF($A23="","",[1]!thsiFinD("ths_adjustment_nv_fund",R$3,$A23))</x:f>
        <x:v>#NAME?</x:v>
      </x:c>
      <x:c r="S23" s="13" t="e">
        <x:f>IF($A23="","",[1]!thsiFinD("ths_adjustment_nv_fund",S$3,$A23))</x:f>
        <x:v>#NAME?</x:v>
      </x:c>
      <x:c r="T23" s="13" t="e">
        <x:f>IF($A23="","",[1]!thsiFinD("ths_adjustment_nv_fund",T$3,$A23))</x:f>
        <x:v>#NAME?</x:v>
      </x:c>
      <x:c r="U23" s="13" t="e">
        <x:f>IF($A23="","",[1]!thsiFinD("ths_adjustment_nv_fund",U$3,$A23))</x:f>
        <x:v>#NAME?</x:v>
      </x:c>
      <x:c r="V23" s="13" t="e">
        <x:f>IF($A23="","",[1]!thsiFinD("ths_adjustment_nv_fund",V$3,$A23))</x:f>
        <x:v>#NAME?</x:v>
      </x:c>
      <x:c r="W23" s="13" t="e">
        <x:f>IF($A23="","",[1]!thsiFinD("ths_adjustment_nv_fund",W$3,$A23))</x:f>
        <x:v>#NAME?</x:v>
      </x:c>
      <x:c r="X23" s="13" t="e">
        <x:f>IF($A23="","",[1]!thsiFinD("ths_adjustment_nv_fund",X$3,$A23))</x:f>
        <x:v>#NAME?</x:v>
      </x:c>
      <x:c r="Y23" s="13" t="e">
        <x:f>IF($A23="","",[1]!thsiFinD("ths_adjustment_nv_fund",Y$3,$A23))</x:f>
        <x:v>#NAME?</x:v>
      </x:c>
    </x:row>
    <x:row r="24">
      <x:c r="A24" s="8">
        <x:v>46219</x:v>
      </x:c>
      <x:c r="B24" s="13" t="e">
        <x:f>IF($A24="","",[1]!thsiFinD("ths_adjustment_nv_fund",B$3,$A24))</x:f>
        <x:v>#NAME?</x:v>
      </x:c>
      <x:c r="C24" s="13" t="e">
        <x:f>IF($A24="","",[1]!thsiFinD("ths_adjustment_nv_fund",C$3,$A24))</x:f>
        <x:v>#NAME?</x:v>
      </x:c>
      <x:c r="D24" s="13" t="e">
        <x:f>IF($A24="","",[1]!thsiFinD("ths_adjustment_nv_fund",D$3,$A24))</x:f>
        <x:v>#NAME?</x:v>
      </x:c>
      <x:c r="E24" s="13" t="e">
        <x:f>IF($A24="","",[1]!thsiFinD("ths_adjustment_nv_fund",E$3,$A24))</x:f>
        <x:v>#NAME?</x:v>
      </x:c>
      <x:c r="F24" s="13" t="e">
        <x:f>IF($A24="","",[1]!thsiFinD("ths_adjustment_nv_fund",F$3,$A24))</x:f>
        <x:v>#NAME?</x:v>
      </x:c>
      <x:c r="G24" s="13" t="e">
        <x:f>IF($A24="","",[1]!thsiFinD("ths_adjustment_nv_fund",G$3,$A24))</x:f>
        <x:v>#NAME?</x:v>
      </x:c>
      <x:c r="H24" s="13" t="e">
        <x:f>IF($A24="","",[1]!thsiFinD("ths_adjustment_nv_fund",H$3,$A24))</x:f>
        <x:v>#NAME?</x:v>
      </x:c>
      <x:c r="I24" s="13" t="e">
        <x:f>IF($A24="","",[1]!thsiFinD("ths_adjustment_nv_fund",I$3,$A24))</x:f>
        <x:v>#NAME?</x:v>
      </x:c>
      <x:c r="J24" s="13" t="e">
        <x:f>IF($A24="","",[1]!thsiFinD("ths_adjustment_nv_fund",J$3,$A24))</x:f>
        <x:v>#NAME?</x:v>
      </x:c>
      <x:c r="K24" s="13" t="e">
        <x:f>IF($A24="","",[1]!thsiFinD("ths_adjustment_nv_fund",K$3,$A24))</x:f>
        <x:v>#NAME?</x:v>
      </x:c>
      <x:c r="L24" s="13" t="e">
        <x:f>IF($A24="","",[1]!thsiFinD("ths_adjustment_nv_fund",L$3,$A24))</x:f>
        <x:v>#NAME?</x:v>
      </x:c>
      <x:c r="M24" s="13" t="e">
        <x:f>IF($A24="","",[1]!thsiFinD("ths_adjustment_nv_fund",M$3,$A24))</x:f>
        <x:v>#NAME?</x:v>
      </x:c>
      <x:c r="N24" s="13" t="e">
        <x:f>IF($A24="","",[1]!thsiFinD("ths_adjustment_nv_fund",N$3,$A24))</x:f>
        <x:v>#NAME?</x:v>
      </x:c>
      <x:c r="O24" s="13" t="e">
        <x:f>IF($A24="","",[1]!thsiFinD("ths_adjustment_nv_fund",O$3,$A24))</x:f>
        <x:v>#NAME?</x:v>
      </x:c>
      <x:c r="P24" s="13" t="e">
        <x:f>IF($A24="","",[1]!thsiFinD("ths_adjustment_nv_fund",P$3,$A24))</x:f>
        <x:v>#NAME?</x:v>
      </x:c>
      <x:c r="Q24" s="13" t="e">
        <x:f>IF($A24="","",[1]!thsiFinD("ths_adjustment_nv_fund",Q$3,$A24))</x:f>
        <x:v>#NAME?</x:v>
      </x:c>
      <x:c r="R24" s="13" t="e">
        <x:f>IF($A24="","",[1]!thsiFinD("ths_adjustment_nv_fund",R$3,$A24))</x:f>
        <x:v>#NAME?</x:v>
      </x:c>
      <x:c r="S24" s="13" t="e">
        <x:f>IF($A24="","",[1]!thsiFinD("ths_adjustment_nv_fund",S$3,$A24))</x:f>
        <x:v>#NAME?</x:v>
      </x:c>
      <x:c r="T24" s="13" t="e">
        <x:f>IF($A24="","",[1]!thsiFinD("ths_adjustment_nv_fund",T$3,$A24))</x:f>
        <x:v>#NAME?</x:v>
      </x:c>
      <x:c r="U24" s="13" t="e">
        <x:f>IF($A24="","",[1]!thsiFinD("ths_adjustment_nv_fund",U$3,$A24))</x:f>
        <x:v>#NAME?</x:v>
      </x:c>
      <x:c r="V24" s="13" t="e">
        <x:f>IF($A24="","",[1]!thsiFinD("ths_adjustment_nv_fund",V$3,$A24))</x:f>
        <x:v>#NAME?</x:v>
      </x:c>
      <x:c r="W24" s="13" t="e">
        <x:f>IF($A24="","",[1]!thsiFinD("ths_adjustment_nv_fund",W$3,$A24))</x:f>
        <x:v>#NAME?</x:v>
      </x:c>
      <x:c r="X24" s="13" t="e">
        <x:f>IF($A24="","",[1]!thsiFinD("ths_adjustment_nv_fund",X$3,$A24))</x:f>
        <x:v>#NAME?</x:v>
      </x:c>
      <x:c r="Y24" s="13" t="e">
        <x:f>IF($A24="","",[1]!thsiFinD("ths_adjustment_nv_fund",Y$3,$A24))</x:f>
        <x:v>#NAME?</x:v>
      </x:c>
    </x:row>
    <x:row r="25">
      <x:c r="A25" s="8">
        <x:v>46220</x:v>
      </x:c>
      <x:c r="B25" s="13" t="e">
        <x:f>IF($A25="","",[1]!thsiFinD("ths_adjustment_nv_fund",B$3,$A25))</x:f>
        <x:v>#NAME?</x:v>
      </x:c>
      <x:c r="C25" s="13" t="e">
        <x:f>IF($A25="","",[1]!thsiFinD("ths_adjustment_nv_fund",C$3,$A25))</x:f>
        <x:v>#NAME?</x:v>
      </x:c>
      <x:c r="D25" s="13" t="e">
        <x:f>IF($A25="","",[1]!thsiFinD("ths_adjustment_nv_fund",D$3,$A25))</x:f>
        <x:v>#NAME?</x:v>
      </x:c>
      <x:c r="E25" s="13" t="e">
        <x:f>IF($A25="","",[1]!thsiFinD("ths_adjustment_nv_fund",E$3,$A25))</x:f>
        <x:v>#NAME?</x:v>
      </x:c>
      <x:c r="F25" s="13" t="e">
        <x:f>IF($A25="","",[1]!thsiFinD("ths_adjustment_nv_fund",F$3,$A25))</x:f>
        <x:v>#NAME?</x:v>
      </x:c>
      <x:c r="G25" s="13" t="e">
        <x:f>IF($A25="","",[1]!thsiFinD("ths_adjustment_nv_fund",G$3,$A25))</x:f>
        <x:v>#NAME?</x:v>
      </x:c>
      <x:c r="H25" s="13" t="e">
        <x:f>IF($A25="","",[1]!thsiFinD("ths_adjustment_nv_fund",H$3,$A25))</x:f>
        <x:v>#NAME?</x:v>
      </x:c>
      <x:c r="I25" s="13" t="e">
        <x:f>IF($A25="","",[1]!thsiFinD("ths_adjustment_nv_fund",I$3,$A25))</x:f>
        <x:v>#NAME?</x:v>
      </x:c>
      <x:c r="J25" s="13" t="e">
        <x:f>IF($A25="","",[1]!thsiFinD("ths_adjustment_nv_fund",J$3,$A25))</x:f>
        <x:v>#NAME?</x:v>
      </x:c>
      <x:c r="K25" s="13" t="e">
        <x:f>IF($A25="","",[1]!thsiFinD("ths_adjustment_nv_fund",K$3,$A25))</x:f>
        <x:v>#NAME?</x:v>
      </x:c>
      <x:c r="L25" s="13" t="e">
        <x:f>IF($A25="","",[1]!thsiFinD("ths_adjustment_nv_fund",L$3,$A25))</x:f>
        <x:v>#NAME?</x:v>
      </x:c>
      <x:c r="M25" s="13" t="e">
        <x:f>IF($A25="","",[1]!thsiFinD("ths_adjustment_nv_fund",M$3,$A25))</x:f>
        <x:v>#NAME?</x:v>
      </x:c>
      <x:c r="N25" s="13" t="e">
        <x:f>IF($A25="","",[1]!thsiFinD("ths_adjustment_nv_fund",N$3,$A25))</x:f>
        <x:v>#NAME?</x:v>
      </x:c>
      <x:c r="O25" s="13" t="e">
        <x:f>IF($A25="","",[1]!thsiFinD("ths_adjustment_nv_fund",O$3,$A25))</x:f>
        <x:v>#NAME?</x:v>
      </x:c>
      <x:c r="P25" s="13" t="e">
        <x:f>IF($A25="","",[1]!thsiFinD("ths_adjustment_nv_fund",P$3,$A25))</x:f>
        <x:v>#NAME?</x:v>
      </x:c>
      <x:c r="Q25" s="13" t="e">
        <x:f>IF($A25="","",[1]!thsiFinD("ths_adjustment_nv_fund",Q$3,$A25))</x:f>
        <x:v>#NAME?</x:v>
      </x:c>
      <x:c r="R25" s="13" t="e">
        <x:f>IF($A25="","",[1]!thsiFinD("ths_adjustment_nv_fund",R$3,$A25))</x:f>
        <x:v>#NAME?</x:v>
      </x:c>
      <x:c r="S25" s="13" t="e">
        <x:f>IF($A25="","",[1]!thsiFinD("ths_adjustment_nv_fund",S$3,$A25))</x:f>
        <x:v>#NAME?</x:v>
      </x:c>
      <x:c r="T25" s="13" t="e">
        <x:f>IF($A25="","",[1]!thsiFinD("ths_adjustment_nv_fund",T$3,$A25))</x:f>
        <x:v>#NAME?</x:v>
      </x:c>
      <x:c r="U25" s="13" t="e">
        <x:f>IF($A25="","",[1]!thsiFinD("ths_adjustment_nv_fund",U$3,$A25))</x:f>
        <x:v>#NAME?</x:v>
      </x:c>
      <x:c r="V25" s="13" t="e">
        <x:f>IF($A25="","",[1]!thsiFinD("ths_adjustment_nv_fund",V$3,$A25))</x:f>
        <x:v>#NAME?</x:v>
      </x:c>
      <x:c r="W25" s="13" t="e">
        <x:f>IF($A25="","",[1]!thsiFinD("ths_adjustment_nv_fund",W$3,$A25))</x:f>
        <x:v>#NAME?</x:v>
      </x:c>
      <x:c r="X25" s="13" t="e">
        <x:f>IF($A25="","",[1]!thsiFinD("ths_adjustment_nv_fund",X$3,$A25))</x:f>
        <x:v>#NAME?</x:v>
      </x:c>
      <x:c r="Y25" s="13" t="e">
        <x:f>IF($A25="","",[1]!thsiFinD("ths_adjustment_nv_fund",Y$3,$A25))</x:f>
        <x:v>#NAME?</x:v>
      </x:c>
    </x:row>
    <x:row r="26">
      <x:c r="A26" s="8">
        <x:v>46223</x:v>
      </x:c>
      <x:c r="B26" s="13" t="e">
        <x:f>IF($A26="","",[1]!thsiFinD("ths_adjustment_nv_fund",B$3,$A26))</x:f>
        <x:v>#NAME?</x:v>
      </x:c>
      <x:c r="C26" s="13" t="e">
        <x:f>IF($A26="","",[1]!thsiFinD("ths_adjustment_nv_fund",C$3,$A26))</x:f>
        <x:v>#NAME?</x:v>
      </x:c>
      <x:c r="D26" s="13" t="e">
        <x:f>IF($A26="","",[1]!thsiFinD("ths_adjustment_nv_fund",D$3,$A26))</x:f>
        <x:v>#NAME?</x:v>
      </x:c>
      <x:c r="E26" s="13" t="e">
        <x:f>IF($A26="","",[1]!thsiFinD("ths_adjustment_nv_fund",E$3,$A26))</x:f>
        <x:v>#NAME?</x:v>
      </x:c>
      <x:c r="F26" s="13" t="e">
        <x:f>IF($A26="","",[1]!thsiFinD("ths_adjustment_nv_fund",F$3,$A26))</x:f>
        <x:v>#NAME?</x:v>
      </x:c>
      <x:c r="G26" s="13" t="e">
        <x:f>IF($A26="","",[1]!thsiFinD("ths_adjustment_nv_fund",G$3,$A26))</x:f>
        <x:v>#NAME?</x:v>
      </x:c>
      <x:c r="H26" s="13" t="e">
        <x:f>IF($A26="","",[1]!thsiFinD("ths_adjustment_nv_fund",H$3,$A26))</x:f>
        <x:v>#NAME?</x:v>
      </x:c>
      <x:c r="I26" s="13" t="e">
        <x:f>IF($A26="","",[1]!thsiFinD("ths_adjustment_nv_fund",I$3,$A26))</x:f>
        <x:v>#NAME?</x:v>
      </x:c>
      <x:c r="J26" s="13" t="e">
        <x:f>IF($A26="","",[1]!thsiFinD("ths_adjustment_nv_fund",J$3,$A26))</x:f>
        <x:v>#NAME?</x:v>
      </x:c>
      <x:c r="K26" s="13" t="e">
        <x:f>IF($A26="","",[1]!thsiFinD("ths_adjustment_nv_fund",K$3,$A26))</x:f>
        <x:v>#NAME?</x:v>
      </x:c>
      <x:c r="L26" s="13" t="e">
        <x:f>IF($A26="","",[1]!thsiFinD("ths_adjustment_nv_fund",L$3,$A26))</x:f>
        <x:v>#NAME?</x:v>
      </x:c>
      <x:c r="M26" s="13" t="e">
        <x:f>IF($A26="","",[1]!thsiFinD("ths_adjustment_nv_fund",M$3,$A26))</x:f>
        <x:v>#NAME?</x:v>
      </x:c>
      <x:c r="N26" s="13" t="e">
        <x:f>IF($A26="","",[1]!thsiFinD("ths_adjustment_nv_fund",N$3,$A26))</x:f>
        <x:v>#NAME?</x:v>
      </x:c>
      <x:c r="O26" s="13" t="e">
        <x:f>IF($A26="","",[1]!thsiFinD("ths_adjustment_nv_fund",O$3,$A26))</x:f>
        <x:v>#NAME?</x:v>
      </x:c>
      <x:c r="P26" s="13" t="e">
        <x:f>IF($A26="","",[1]!thsiFinD("ths_adjustment_nv_fund",P$3,$A26))</x:f>
        <x:v>#NAME?</x:v>
      </x:c>
      <x:c r="Q26" s="13" t="e">
        <x:f>IF($A26="","",[1]!thsiFinD("ths_adjustment_nv_fund",Q$3,$A26))</x:f>
        <x:v>#NAME?</x:v>
      </x:c>
      <x:c r="R26" s="13" t="e">
        <x:f>IF($A26="","",[1]!thsiFinD("ths_adjustment_nv_fund",R$3,$A26))</x:f>
        <x:v>#NAME?</x:v>
      </x:c>
      <x:c r="S26" s="13" t="e">
        <x:f>IF($A26="","",[1]!thsiFinD("ths_adjustment_nv_fund",S$3,$A26))</x:f>
        <x:v>#NAME?</x:v>
      </x:c>
      <x:c r="T26" s="13" t="e">
        <x:f>IF($A26="","",[1]!thsiFinD("ths_adjustment_nv_fund",T$3,$A26))</x:f>
        <x:v>#NAME?</x:v>
      </x:c>
      <x:c r="U26" s="13" t="e">
        <x:f>IF($A26="","",[1]!thsiFinD("ths_adjustment_nv_fund",U$3,$A26))</x:f>
        <x:v>#NAME?</x:v>
      </x:c>
      <x:c r="V26" s="13" t="e">
        <x:f>IF($A26="","",[1]!thsiFinD("ths_adjustment_nv_fund",V$3,$A26))</x:f>
        <x:v>#NAME?</x:v>
      </x:c>
      <x:c r="W26" s="13" t="e">
        <x:f>IF($A26="","",[1]!thsiFinD("ths_adjustment_nv_fund",W$3,$A26))</x:f>
        <x:v>#NAME?</x:v>
      </x:c>
      <x:c r="X26" s="13" t="e">
        <x:f>IF($A26="","",[1]!thsiFinD("ths_adjustment_nv_fund",X$3,$A26))</x:f>
        <x:v>#NAME?</x:v>
      </x:c>
      <x:c r="Y26" s="13" t="e">
        <x:f>IF($A26="","",[1]!thsiFinD("ths_adjustment_nv_fund",Y$3,$A26))</x:f>
        <x:v>#NAME?</x:v>
      </x:c>
    </x:row>
    <x:row r="27">
      <x:c r="A27" s="8">
        <x:v>46224</x:v>
      </x:c>
      <x:c r="B27" s="13" t="e">
        <x:f>IF($A27="","",[1]!thsiFinD("ths_adjustment_nv_fund",B$3,$A27))</x:f>
        <x:v>#NAME?</x:v>
      </x:c>
      <x:c r="C27" s="13" t="e">
        <x:f>IF($A27="","",[1]!thsiFinD("ths_adjustment_nv_fund",C$3,$A27))</x:f>
        <x:v>#NAME?</x:v>
      </x:c>
      <x:c r="D27" s="13" t="e">
        <x:f>IF($A27="","",[1]!thsiFinD("ths_adjustment_nv_fund",D$3,$A27))</x:f>
        <x:v>#NAME?</x:v>
      </x:c>
      <x:c r="E27" s="13" t="e">
        <x:f>IF($A27="","",[1]!thsiFinD("ths_adjustment_nv_fund",E$3,$A27))</x:f>
        <x:v>#NAME?</x:v>
      </x:c>
      <x:c r="F27" s="13" t="e">
        <x:f>IF($A27="","",[1]!thsiFinD("ths_adjustment_nv_fund",F$3,$A27))</x:f>
        <x:v>#NAME?</x:v>
      </x:c>
      <x:c r="G27" s="13" t="e">
        <x:f>IF($A27="","",[1]!thsiFinD("ths_adjustment_nv_fund",G$3,$A27))</x:f>
        <x:v>#NAME?</x:v>
      </x:c>
      <x:c r="H27" s="13" t="e">
        <x:f>IF($A27="","",[1]!thsiFinD("ths_adjustment_nv_fund",H$3,$A27))</x:f>
        <x:v>#NAME?</x:v>
      </x:c>
      <x:c r="I27" s="13" t="e">
        <x:f>IF($A27="","",[1]!thsiFinD("ths_adjustment_nv_fund",I$3,$A27))</x:f>
        <x:v>#NAME?</x:v>
      </x:c>
      <x:c r="J27" s="13" t="e">
        <x:f>IF($A27="","",[1]!thsiFinD("ths_adjustment_nv_fund",J$3,$A27))</x:f>
        <x:v>#NAME?</x:v>
      </x:c>
      <x:c r="K27" s="13" t="e">
        <x:f>IF($A27="","",[1]!thsiFinD("ths_adjustment_nv_fund",K$3,$A27))</x:f>
        <x:v>#NAME?</x:v>
      </x:c>
      <x:c r="L27" s="13" t="e">
        <x:f>IF($A27="","",[1]!thsiFinD("ths_adjustment_nv_fund",L$3,$A27))</x:f>
        <x:v>#NAME?</x:v>
      </x:c>
      <x:c r="M27" s="13" t="e">
        <x:f>IF($A27="","",[1]!thsiFinD("ths_adjustment_nv_fund",M$3,$A27))</x:f>
        <x:v>#NAME?</x:v>
      </x:c>
      <x:c r="N27" s="13" t="e">
        <x:f>IF($A27="","",[1]!thsiFinD("ths_adjustment_nv_fund",N$3,$A27))</x:f>
        <x:v>#NAME?</x:v>
      </x:c>
      <x:c r="O27" s="13" t="e">
        <x:f>IF($A27="","",[1]!thsiFinD("ths_adjustment_nv_fund",O$3,$A27))</x:f>
        <x:v>#NAME?</x:v>
      </x:c>
      <x:c r="P27" s="13" t="e">
        <x:f>IF($A27="","",[1]!thsiFinD("ths_adjustment_nv_fund",P$3,$A27))</x:f>
        <x:v>#NAME?</x:v>
      </x:c>
      <x:c r="Q27" s="13" t="e">
        <x:f>IF($A27="","",[1]!thsiFinD("ths_adjustment_nv_fund",Q$3,$A27))</x:f>
        <x:v>#NAME?</x:v>
      </x:c>
      <x:c r="R27" s="13" t="e">
        <x:f>IF($A27="","",[1]!thsiFinD("ths_adjustment_nv_fund",R$3,$A27))</x:f>
        <x:v>#NAME?</x:v>
      </x:c>
      <x:c r="S27" s="13" t="e">
        <x:f>IF($A27="","",[1]!thsiFinD("ths_adjustment_nv_fund",S$3,$A27))</x:f>
        <x:v>#NAME?</x:v>
      </x:c>
      <x:c r="T27" s="13" t="e">
        <x:f>IF($A27="","",[1]!thsiFinD("ths_adjustment_nv_fund",T$3,$A27))</x:f>
        <x:v>#NAME?</x:v>
      </x:c>
      <x:c r="U27" s="13" t="e">
        <x:f>IF($A27="","",[1]!thsiFinD("ths_adjustment_nv_fund",U$3,$A27))</x:f>
        <x:v>#NAME?</x:v>
      </x:c>
      <x:c r="V27" s="13" t="e">
        <x:f>IF($A27="","",[1]!thsiFinD("ths_adjustment_nv_fund",V$3,$A27))</x:f>
        <x:v>#NAME?</x:v>
      </x:c>
      <x:c r="W27" s="13" t="e">
        <x:f>IF($A27="","",[1]!thsiFinD("ths_adjustment_nv_fund",W$3,$A27))</x:f>
        <x:v>#NAME?</x:v>
      </x:c>
      <x:c r="X27" s="13" t="e">
        <x:f>IF($A27="","",[1]!thsiFinD("ths_adjustment_nv_fund",X$3,$A27))</x:f>
        <x:v>#NAME?</x:v>
      </x:c>
      <x:c r="Y27" s="13" t="e">
        <x:f>IF($A27="","",[1]!thsiFinD("ths_adjustment_nv_fund",Y$3,$A27))</x:f>
        <x:v>#NAME?</x:v>
      </x:c>
    </x:row>
    <x:row r="28">
      <x:c r="A28" s="8">
        <x:v>46225</x:v>
      </x:c>
      <x:c r="B28" s="13" t="e">
        <x:f>IF($A28="","",[1]!thsiFinD("ths_adjustment_nv_fund",B$3,$A28))</x:f>
        <x:v>#NAME?</x:v>
      </x:c>
      <x:c r="C28" s="13" t="e">
        <x:f>IF($A28="","",[1]!thsiFinD("ths_adjustment_nv_fund",C$3,$A28))</x:f>
        <x:v>#NAME?</x:v>
      </x:c>
      <x:c r="D28" s="13" t="e">
        <x:f>IF($A28="","",[1]!thsiFinD("ths_adjustment_nv_fund",D$3,$A28))</x:f>
        <x:v>#NAME?</x:v>
      </x:c>
      <x:c r="E28" s="13" t="e">
        <x:f>IF($A28="","",[1]!thsiFinD("ths_adjustment_nv_fund",E$3,$A28))</x:f>
        <x:v>#NAME?</x:v>
      </x:c>
      <x:c r="F28" s="13" t="e">
        <x:f>IF($A28="","",[1]!thsiFinD("ths_adjustment_nv_fund",F$3,$A28))</x:f>
        <x:v>#NAME?</x:v>
      </x:c>
      <x:c r="G28" s="13" t="e">
        <x:f>IF($A28="","",[1]!thsiFinD("ths_adjustment_nv_fund",G$3,$A28))</x:f>
        <x:v>#NAME?</x:v>
      </x:c>
      <x:c r="H28" s="13" t="e">
        <x:f>IF($A28="","",[1]!thsiFinD("ths_adjustment_nv_fund",H$3,$A28))</x:f>
        <x:v>#NAME?</x:v>
      </x:c>
      <x:c r="I28" s="13" t="e">
        <x:f>IF($A28="","",[1]!thsiFinD("ths_adjustment_nv_fund",I$3,$A28))</x:f>
        <x:v>#NAME?</x:v>
      </x:c>
      <x:c r="J28" s="13" t="e">
        <x:f>IF($A28="","",[1]!thsiFinD("ths_adjustment_nv_fund",J$3,$A28))</x:f>
        <x:v>#NAME?</x:v>
      </x:c>
      <x:c r="K28" s="13" t="e">
        <x:f>IF($A28="","",[1]!thsiFinD("ths_adjustment_nv_fund",K$3,$A28))</x:f>
        <x:v>#NAME?</x:v>
      </x:c>
      <x:c r="L28" s="13" t="e">
        <x:f>IF($A28="","",[1]!thsiFinD("ths_adjustment_nv_fund",L$3,$A28))</x:f>
        <x:v>#NAME?</x:v>
      </x:c>
      <x:c r="M28" s="13" t="e">
        <x:f>IF($A28="","",[1]!thsiFinD("ths_adjustment_nv_fund",M$3,$A28))</x:f>
        <x:v>#NAME?</x:v>
      </x:c>
      <x:c r="N28" s="13" t="e">
        <x:f>IF($A28="","",[1]!thsiFinD("ths_adjustment_nv_fund",N$3,$A28))</x:f>
        <x:v>#NAME?</x:v>
      </x:c>
      <x:c r="O28" s="13" t="e">
        <x:f>IF($A28="","",[1]!thsiFinD("ths_adjustment_nv_fund",O$3,$A28))</x:f>
        <x:v>#NAME?</x:v>
      </x:c>
      <x:c r="P28" s="13" t="e">
        <x:f>IF($A28="","",[1]!thsiFinD("ths_adjustment_nv_fund",P$3,$A28))</x:f>
        <x:v>#NAME?</x:v>
      </x:c>
      <x:c r="Q28" s="13" t="e">
        <x:f>IF($A28="","",[1]!thsiFinD("ths_adjustment_nv_fund",Q$3,$A28))</x:f>
        <x:v>#NAME?</x:v>
      </x:c>
      <x:c r="R28" s="13" t="e">
        <x:f>IF($A28="","",[1]!thsiFinD("ths_adjustment_nv_fund",R$3,$A28))</x:f>
        <x:v>#NAME?</x:v>
      </x:c>
      <x:c r="S28" s="13" t="e">
        <x:f>IF($A28="","",[1]!thsiFinD("ths_adjustment_nv_fund",S$3,$A28))</x:f>
        <x:v>#NAME?</x:v>
      </x:c>
      <x:c r="T28" s="13" t="e">
        <x:f>IF($A28="","",[1]!thsiFinD("ths_adjustment_nv_fund",T$3,$A28))</x:f>
        <x:v>#NAME?</x:v>
      </x:c>
      <x:c r="U28" s="13" t="e">
        <x:f>IF($A28="","",[1]!thsiFinD("ths_adjustment_nv_fund",U$3,$A28))</x:f>
        <x:v>#NAME?</x:v>
      </x:c>
      <x:c r="V28" s="13" t="e">
        <x:f>IF($A28="","",[1]!thsiFinD("ths_adjustment_nv_fund",V$3,$A28))</x:f>
        <x:v>#NAME?</x:v>
      </x:c>
      <x:c r="W28" s="13" t="e">
        <x:f>IF($A28="","",[1]!thsiFinD("ths_adjustment_nv_fund",W$3,$A28))</x:f>
        <x:v>#NAME?</x:v>
      </x:c>
      <x:c r="X28" s="13" t="e">
        <x:f>IF($A28="","",[1]!thsiFinD("ths_adjustment_nv_fund",X$3,$A28))</x:f>
        <x:v>#NAME?</x:v>
      </x:c>
      <x:c r="Y28" s="13" t="e">
        <x:f>IF($A28="","",[1]!thsiFinD("ths_adjustment_nv_fund",Y$3,$A28))</x:f>
        <x:v>#NAME?</x:v>
      </x:c>
    </x:row>
    <x:row r="29">
      <x:c r="A29" s="8">
        <x:v>46226</x:v>
      </x:c>
      <x:c r="B29" s="13" t="e">
        <x:f>IF($A29="","",[1]!thsiFinD("ths_adjustment_nv_fund",B$3,$A29))</x:f>
        <x:v>#NAME?</x:v>
      </x:c>
      <x:c r="C29" s="13" t="e">
        <x:f>IF($A29="","",[1]!thsiFinD("ths_adjustment_nv_fund",C$3,$A29))</x:f>
        <x:v>#NAME?</x:v>
      </x:c>
      <x:c r="D29" s="13" t="e">
        <x:f>IF($A29="","",[1]!thsiFinD("ths_adjustment_nv_fund",D$3,$A29))</x:f>
        <x:v>#NAME?</x:v>
      </x:c>
      <x:c r="E29" s="13" t="e">
        <x:f>IF($A29="","",[1]!thsiFinD("ths_adjustment_nv_fund",E$3,$A29))</x:f>
        <x:v>#NAME?</x:v>
      </x:c>
      <x:c r="F29" s="13" t="e">
        <x:f>IF($A29="","",[1]!thsiFinD("ths_adjustment_nv_fund",F$3,$A29))</x:f>
        <x:v>#NAME?</x:v>
      </x:c>
      <x:c r="G29" s="13" t="e">
        <x:f>IF($A29="","",[1]!thsiFinD("ths_adjustment_nv_fund",G$3,$A29))</x:f>
        <x:v>#NAME?</x:v>
      </x:c>
      <x:c r="H29" s="13" t="e">
        <x:f>IF($A29="","",[1]!thsiFinD("ths_adjustment_nv_fund",H$3,$A29))</x:f>
        <x:v>#NAME?</x:v>
      </x:c>
      <x:c r="I29" s="13" t="e">
        <x:f>IF($A29="","",[1]!thsiFinD("ths_adjustment_nv_fund",I$3,$A29))</x:f>
        <x:v>#NAME?</x:v>
      </x:c>
      <x:c r="J29" s="13" t="e">
        <x:f>IF($A29="","",[1]!thsiFinD("ths_adjustment_nv_fund",J$3,$A29))</x:f>
        <x:v>#NAME?</x:v>
      </x:c>
      <x:c r="K29" s="13" t="e">
        <x:f>IF($A29="","",[1]!thsiFinD("ths_adjustment_nv_fund",K$3,$A29))</x:f>
        <x:v>#NAME?</x:v>
      </x:c>
      <x:c r="L29" s="13" t="e">
        <x:f>IF($A29="","",[1]!thsiFinD("ths_adjustment_nv_fund",L$3,$A29))</x:f>
        <x:v>#NAME?</x:v>
      </x:c>
      <x:c r="M29" s="13" t="e">
        <x:f>IF($A29="","",[1]!thsiFinD("ths_adjustment_nv_fund",M$3,$A29))</x:f>
        <x:v>#NAME?</x:v>
      </x:c>
      <x:c r="N29" s="13" t="e">
        <x:f>IF($A29="","",[1]!thsiFinD("ths_adjustment_nv_fund",N$3,$A29))</x:f>
        <x:v>#NAME?</x:v>
      </x:c>
      <x:c r="O29" s="13" t="e">
        <x:f>IF($A29="","",[1]!thsiFinD("ths_adjustment_nv_fund",O$3,$A29))</x:f>
        <x:v>#NAME?</x:v>
      </x:c>
      <x:c r="P29" s="13" t="e">
        <x:f>IF($A29="","",[1]!thsiFinD("ths_adjustment_nv_fund",P$3,$A29))</x:f>
        <x:v>#NAME?</x:v>
      </x:c>
      <x:c r="Q29" s="13" t="e">
        <x:f>IF($A29="","",[1]!thsiFinD("ths_adjustment_nv_fund",Q$3,$A29))</x:f>
        <x:v>#NAME?</x:v>
      </x:c>
      <x:c r="R29" s="13" t="e">
        <x:f>IF($A29="","",[1]!thsiFinD("ths_adjustment_nv_fund",R$3,$A29))</x:f>
        <x:v>#NAME?</x:v>
      </x:c>
      <x:c r="S29" s="13" t="e">
        <x:f>IF($A29="","",[1]!thsiFinD("ths_adjustment_nv_fund",S$3,$A29))</x:f>
        <x:v>#NAME?</x:v>
      </x:c>
      <x:c r="T29" s="13" t="e">
        <x:f>IF($A29="","",[1]!thsiFinD("ths_adjustment_nv_fund",T$3,$A29))</x:f>
        <x:v>#NAME?</x:v>
      </x:c>
      <x:c r="U29" s="13" t="e">
        <x:f>IF($A29="","",[1]!thsiFinD("ths_adjustment_nv_fund",U$3,$A29))</x:f>
        <x:v>#NAME?</x:v>
      </x:c>
      <x:c r="V29" s="13" t="e">
        <x:f>IF($A29="","",[1]!thsiFinD("ths_adjustment_nv_fund",V$3,$A29))</x:f>
        <x:v>#NAME?</x:v>
      </x:c>
      <x:c r="W29" s="13" t="e">
        <x:f>IF($A29="","",[1]!thsiFinD("ths_adjustment_nv_fund",W$3,$A29))</x:f>
        <x:v>#NAME?</x:v>
      </x:c>
      <x:c r="X29" s="13" t="e">
        <x:f>IF($A29="","",[1]!thsiFinD("ths_adjustment_nv_fund",X$3,$A29))</x:f>
        <x:v>#NAME?</x:v>
      </x:c>
      <x:c r="Y29" s="13" t="e">
        <x:f>IF($A29="","",[1]!thsiFinD("ths_adjustment_nv_fund",Y$3,$A29))</x:f>
        <x:v>#NAME?</x:v>
      </x:c>
    </x:row>
    <x:row r="30">
      <x:c r="A30" s="8">
        <x:v>46227</x:v>
      </x:c>
      <x:c r="B30" s="13" t="e">
        <x:f>IF($A30="","",[1]!thsiFinD("ths_adjustment_nv_fund",B$3,$A30))</x:f>
        <x:v>#NAME?</x:v>
      </x:c>
      <x:c r="C30" s="13" t="e">
        <x:f>IF($A30="","",[1]!thsiFinD("ths_adjustment_nv_fund",C$3,$A30))</x:f>
        <x:v>#NAME?</x:v>
      </x:c>
      <x:c r="D30" s="13" t="e">
        <x:f>IF($A30="","",[1]!thsiFinD("ths_adjustment_nv_fund",D$3,$A30))</x:f>
        <x:v>#NAME?</x:v>
      </x:c>
      <x:c r="E30" s="13" t="e">
        <x:f>IF($A30="","",[1]!thsiFinD("ths_adjustment_nv_fund",E$3,$A30))</x:f>
        <x:v>#NAME?</x:v>
      </x:c>
      <x:c r="F30" s="13" t="e">
        <x:f>IF($A30="","",[1]!thsiFinD("ths_adjustment_nv_fund",F$3,$A30))</x:f>
        <x:v>#NAME?</x:v>
      </x:c>
      <x:c r="G30" s="13" t="e">
        <x:f>IF($A30="","",[1]!thsiFinD("ths_adjustment_nv_fund",G$3,$A30))</x:f>
        <x:v>#NAME?</x:v>
      </x:c>
      <x:c r="H30" s="13" t="e">
        <x:f>IF($A30="","",[1]!thsiFinD("ths_adjustment_nv_fund",H$3,$A30))</x:f>
        <x:v>#NAME?</x:v>
      </x:c>
      <x:c r="I30" s="13" t="e">
        <x:f>IF($A30="","",[1]!thsiFinD("ths_adjustment_nv_fund",I$3,$A30))</x:f>
        <x:v>#NAME?</x:v>
      </x:c>
      <x:c r="J30" s="13" t="e">
        <x:f>IF($A30="","",[1]!thsiFinD("ths_adjustment_nv_fund",J$3,$A30))</x:f>
        <x:v>#NAME?</x:v>
      </x:c>
      <x:c r="K30" s="13" t="e">
        <x:f>IF($A30="","",[1]!thsiFinD("ths_adjustment_nv_fund",K$3,$A30))</x:f>
        <x:v>#NAME?</x:v>
      </x:c>
      <x:c r="L30" s="13" t="e">
        <x:f>IF($A30="","",[1]!thsiFinD("ths_adjustment_nv_fund",L$3,$A30))</x:f>
        <x:v>#NAME?</x:v>
      </x:c>
      <x:c r="M30" s="13" t="e">
        <x:f>IF($A30="","",[1]!thsiFinD("ths_adjustment_nv_fund",M$3,$A30))</x:f>
        <x:v>#NAME?</x:v>
      </x:c>
      <x:c r="N30" s="13" t="e">
        <x:f>IF($A30="","",[1]!thsiFinD("ths_adjustment_nv_fund",N$3,$A30))</x:f>
        <x:v>#NAME?</x:v>
      </x:c>
      <x:c r="O30" s="13" t="e">
        <x:f>IF($A30="","",[1]!thsiFinD("ths_adjustment_nv_fund",O$3,$A30))</x:f>
        <x:v>#NAME?</x:v>
      </x:c>
      <x:c r="P30" s="13" t="e">
        <x:f>IF($A30="","",[1]!thsiFinD("ths_adjustment_nv_fund",P$3,$A30))</x:f>
        <x:v>#NAME?</x:v>
      </x:c>
      <x:c r="Q30" s="13" t="e">
        <x:f>IF($A30="","",[1]!thsiFinD("ths_adjustment_nv_fund",Q$3,$A30))</x:f>
        <x:v>#NAME?</x:v>
      </x:c>
      <x:c r="R30" s="13" t="e">
        <x:f>IF($A30="","",[1]!thsiFinD("ths_adjustment_nv_fund",R$3,$A30))</x:f>
        <x:v>#NAME?</x:v>
      </x:c>
      <x:c r="S30" s="13" t="e">
        <x:f>IF($A30="","",[1]!thsiFinD("ths_adjustment_nv_fund",S$3,$A30))</x:f>
        <x:v>#NAME?</x:v>
      </x:c>
      <x:c r="T30" s="13" t="e">
        <x:f>IF($A30="","",[1]!thsiFinD("ths_adjustment_nv_fund",T$3,$A30))</x:f>
        <x:v>#NAME?</x:v>
      </x:c>
      <x:c r="U30" s="13" t="e">
        <x:f>IF($A30="","",[1]!thsiFinD("ths_adjustment_nv_fund",U$3,$A30))</x:f>
        <x:v>#NAME?</x:v>
      </x:c>
      <x:c r="V30" s="13" t="e">
        <x:f>IF($A30="","",[1]!thsiFinD("ths_adjustment_nv_fund",V$3,$A30))</x:f>
        <x:v>#NAME?</x:v>
      </x:c>
      <x:c r="W30" s="13" t="e">
        <x:f>IF($A30="","",[1]!thsiFinD("ths_adjustment_nv_fund",W$3,$A30))</x:f>
        <x:v>#NAME?</x:v>
      </x:c>
      <x:c r="X30" s="13" t="e">
        <x:f>IF($A30="","",[1]!thsiFinD("ths_adjustment_nv_fund",X$3,$A30))</x:f>
        <x:v>#NAME?</x:v>
      </x:c>
      <x:c r="Y30" s="13" t="e">
        <x:f>IF($A30="","",[1]!thsiFinD("ths_adjustment_nv_fund",Y$3,$A30))</x:f>
        <x:v>#NAME?</x:v>
      </x:c>
    </x:row>
    <x:row r="31">
      <x:c r="A31" s="8">
        <x:v>46230</x:v>
      </x:c>
      <x:c r="B31" s="13" t="e">
        <x:f>IF($A31="","",[1]!thsiFinD("ths_adjustment_nv_fund",B$3,$A31))</x:f>
        <x:v>#NAME?</x:v>
      </x:c>
      <x:c r="C31" s="13" t="e">
        <x:f>IF($A31="","",[1]!thsiFinD("ths_adjustment_nv_fund",C$3,$A31))</x:f>
        <x:v>#NAME?</x:v>
      </x:c>
      <x:c r="D31" s="13" t="e">
        <x:f>IF($A31="","",[1]!thsiFinD("ths_adjustment_nv_fund",D$3,$A31))</x:f>
        <x:v>#NAME?</x:v>
      </x:c>
      <x:c r="E31" s="13" t="e">
        <x:f>IF($A31="","",[1]!thsiFinD("ths_adjustment_nv_fund",E$3,$A31))</x:f>
        <x:v>#NAME?</x:v>
      </x:c>
      <x:c r="F31" s="13" t="e">
        <x:f>IF($A31="","",[1]!thsiFinD("ths_adjustment_nv_fund",F$3,$A31))</x:f>
        <x:v>#NAME?</x:v>
      </x:c>
      <x:c r="G31" s="13" t="e">
        <x:f>IF($A31="","",[1]!thsiFinD("ths_adjustment_nv_fund",G$3,$A31))</x:f>
        <x:v>#NAME?</x:v>
      </x:c>
      <x:c r="H31" s="13" t="e">
        <x:f>IF($A31="","",[1]!thsiFinD("ths_adjustment_nv_fund",H$3,$A31))</x:f>
        <x:v>#NAME?</x:v>
      </x:c>
      <x:c r="I31" s="13" t="e">
        <x:f>IF($A31="","",[1]!thsiFinD("ths_adjustment_nv_fund",I$3,$A31))</x:f>
        <x:v>#NAME?</x:v>
      </x:c>
      <x:c r="J31" s="13" t="e">
        <x:f>IF($A31="","",[1]!thsiFinD("ths_adjustment_nv_fund",J$3,$A31))</x:f>
        <x:v>#NAME?</x:v>
      </x:c>
      <x:c r="K31" s="13" t="e">
        <x:f>IF($A31="","",[1]!thsiFinD("ths_adjustment_nv_fund",K$3,$A31))</x:f>
        <x:v>#NAME?</x:v>
      </x:c>
      <x:c r="L31" s="13" t="e">
        <x:f>IF($A31="","",[1]!thsiFinD("ths_adjustment_nv_fund",L$3,$A31))</x:f>
        <x:v>#NAME?</x:v>
      </x:c>
      <x:c r="M31" s="13" t="e">
        <x:f>IF($A31="","",[1]!thsiFinD("ths_adjustment_nv_fund",M$3,$A31))</x:f>
        <x:v>#NAME?</x:v>
      </x:c>
      <x:c r="N31" s="13" t="e">
        <x:f>IF($A31="","",[1]!thsiFinD("ths_adjustment_nv_fund",N$3,$A31))</x:f>
        <x:v>#NAME?</x:v>
      </x:c>
      <x:c r="O31" s="13" t="e">
        <x:f>IF($A31="","",[1]!thsiFinD("ths_adjustment_nv_fund",O$3,$A31))</x:f>
        <x:v>#NAME?</x:v>
      </x:c>
      <x:c r="P31" s="13" t="e">
        <x:f>IF($A31="","",[1]!thsiFinD("ths_adjustment_nv_fund",P$3,$A31))</x:f>
        <x:v>#NAME?</x:v>
      </x:c>
      <x:c r="Q31" s="13" t="e">
        <x:f>IF($A31="","",[1]!thsiFinD("ths_adjustment_nv_fund",Q$3,$A31))</x:f>
        <x:v>#NAME?</x:v>
      </x:c>
      <x:c r="R31" s="13" t="e">
        <x:f>IF($A31="","",[1]!thsiFinD("ths_adjustment_nv_fund",R$3,$A31))</x:f>
        <x:v>#NAME?</x:v>
      </x:c>
      <x:c r="S31" s="13" t="e">
        <x:f>IF($A31="","",[1]!thsiFinD("ths_adjustment_nv_fund",S$3,$A31))</x:f>
        <x:v>#NAME?</x:v>
      </x:c>
      <x:c r="T31" s="13" t="e">
        <x:f>IF($A31="","",[1]!thsiFinD("ths_adjustment_nv_fund",T$3,$A31))</x:f>
        <x:v>#NAME?</x:v>
      </x:c>
      <x:c r="U31" s="13" t="e">
        <x:f>IF($A31="","",[1]!thsiFinD("ths_adjustment_nv_fund",U$3,$A31))</x:f>
        <x:v>#NAME?</x:v>
      </x:c>
      <x:c r="V31" s="13" t="e">
        <x:f>IF($A31="","",[1]!thsiFinD("ths_adjustment_nv_fund",V$3,$A31))</x:f>
        <x:v>#NAME?</x:v>
      </x:c>
      <x:c r="W31" s="13" t="e">
        <x:f>IF($A31="","",[1]!thsiFinD("ths_adjustment_nv_fund",W$3,$A31))</x:f>
        <x:v>#NAME?</x:v>
      </x:c>
      <x:c r="X31" s="13" t="e">
        <x:f>IF($A31="","",[1]!thsiFinD("ths_adjustment_nv_fund",X$3,$A31))</x:f>
        <x:v>#NAME?</x:v>
      </x:c>
      <x:c r="Y31" s="13" t="e">
        <x:f>IF($A31="","",[1]!thsiFinD("ths_adjustment_nv_fund",Y$3,$A31))</x:f>
        <x:v>#NAME?</x:v>
      </x:c>
    </x:row>
    <x:row r="32">
      <x:c r="A32" s="8">
        <x:v>46231</x:v>
      </x:c>
      <x:c r="B32" s="13" t="e">
        <x:f>IF($A32="","",[1]!thsiFinD("ths_adjustment_nv_fund",B$3,$A32))</x:f>
        <x:v>#NAME?</x:v>
      </x:c>
      <x:c r="C32" s="13" t="e">
        <x:f>IF($A32="","",[1]!thsiFinD("ths_adjustment_nv_fund",C$3,$A32))</x:f>
        <x:v>#NAME?</x:v>
      </x:c>
      <x:c r="D32" s="13" t="e">
        <x:f>IF($A32="","",[1]!thsiFinD("ths_adjustment_nv_fund",D$3,$A32))</x:f>
        <x:v>#NAME?</x:v>
      </x:c>
      <x:c r="E32" s="13" t="e">
        <x:f>IF($A32="","",[1]!thsiFinD("ths_adjustment_nv_fund",E$3,$A32))</x:f>
        <x:v>#NAME?</x:v>
      </x:c>
      <x:c r="F32" s="13" t="e">
        <x:f>IF($A32="","",[1]!thsiFinD("ths_adjustment_nv_fund",F$3,$A32))</x:f>
        <x:v>#NAME?</x:v>
      </x:c>
      <x:c r="G32" s="13" t="e">
        <x:f>IF($A32="","",[1]!thsiFinD("ths_adjustment_nv_fund",G$3,$A32))</x:f>
        <x:v>#NAME?</x:v>
      </x:c>
      <x:c r="H32" s="13" t="e">
        <x:f>IF($A32="","",[1]!thsiFinD("ths_adjustment_nv_fund",H$3,$A32))</x:f>
        <x:v>#NAME?</x:v>
      </x:c>
      <x:c r="I32" s="13" t="e">
        <x:f>IF($A32="","",[1]!thsiFinD("ths_adjustment_nv_fund",I$3,$A32))</x:f>
        <x:v>#NAME?</x:v>
      </x:c>
      <x:c r="J32" s="13" t="e">
        <x:f>IF($A32="","",[1]!thsiFinD("ths_adjustment_nv_fund",J$3,$A32))</x:f>
        <x:v>#NAME?</x:v>
      </x:c>
      <x:c r="K32" s="13" t="e">
        <x:f>IF($A32="","",[1]!thsiFinD("ths_adjustment_nv_fund",K$3,$A32))</x:f>
        <x:v>#NAME?</x:v>
      </x:c>
      <x:c r="L32" s="13" t="e">
        <x:f>IF($A32="","",[1]!thsiFinD("ths_adjustment_nv_fund",L$3,$A32))</x:f>
        <x:v>#NAME?</x:v>
      </x:c>
      <x:c r="M32" s="13" t="e">
        <x:f>IF($A32="","",[1]!thsiFinD("ths_adjustment_nv_fund",M$3,$A32))</x:f>
        <x:v>#NAME?</x:v>
      </x:c>
      <x:c r="N32" s="13" t="e">
        <x:f>IF($A32="","",[1]!thsiFinD("ths_adjustment_nv_fund",N$3,$A32))</x:f>
        <x:v>#NAME?</x:v>
      </x:c>
      <x:c r="O32" s="13" t="e">
        <x:f>IF($A32="","",[1]!thsiFinD("ths_adjustment_nv_fund",O$3,$A32))</x:f>
        <x:v>#NAME?</x:v>
      </x:c>
      <x:c r="P32" s="13" t="e">
        <x:f>IF($A32="","",[1]!thsiFinD("ths_adjustment_nv_fund",P$3,$A32))</x:f>
        <x:v>#NAME?</x:v>
      </x:c>
      <x:c r="Q32" s="13" t="e">
        <x:f>IF($A32="","",[1]!thsiFinD("ths_adjustment_nv_fund",Q$3,$A32))</x:f>
        <x:v>#NAME?</x:v>
      </x:c>
      <x:c r="R32" s="13" t="e">
        <x:f>IF($A32="","",[1]!thsiFinD("ths_adjustment_nv_fund",R$3,$A32))</x:f>
        <x:v>#NAME?</x:v>
      </x:c>
      <x:c r="S32" s="13" t="e">
        <x:f>IF($A32="","",[1]!thsiFinD("ths_adjustment_nv_fund",S$3,$A32))</x:f>
        <x:v>#NAME?</x:v>
      </x:c>
      <x:c r="T32" s="13" t="e">
        <x:f>IF($A32="","",[1]!thsiFinD("ths_adjustment_nv_fund",T$3,$A32))</x:f>
        <x:v>#NAME?</x:v>
      </x:c>
      <x:c r="U32" s="13" t="e">
        <x:f>IF($A32="","",[1]!thsiFinD("ths_adjustment_nv_fund",U$3,$A32))</x:f>
        <x:v>#NAME?</x:v>
      </x:c>
      <x:c r="V32" s="13" t="e">
        <x:f>IF($A32="","",[1]!thsiFinD("ths_adjustment_nv_fund",V$3,$A32))</x:f>
        <x:v>#NAME?</x:v>
      </x:c>
      <x:c r="W32" s="13" t="e">
        <x:f>IF($A32="","",[1]!thsiFinD("ths_adjustment_nv_fund",W$3,$A32))</x:f>
        <x:v>#NAME?</x:v>
      </x:c>
      <x:c r="X32" s="13" t="e">
        <x:f>IF($A32="","",[1]!thsiFinD("ths_adjustment_nv_fund",X$3,$A32))</x:f>
        <x:v>#NAME?</x:v>
      </x:c>
      <x:c r="Y32" s="13" t="e">
        <x:f>IF($A32="","",[1]!thsiFinD("ths_adjustment_nv_fund",Y$3,$A32))</x:f>
        <x:v>#NAME?</x:v>
      </x:c>
    </x:row>
    <x:row r="33">
      <x:c r="A33" s="8">
        <x:v>46232</x:v>
      </x:c>
      <x:c r="B33" s="13" t="e">
        <x:f>IF($A33="","",[1]!thsiFinD("ths_adjustment_nv_fund",B$3,$A33))</x:f>
        <x:v>#NAME?</x:v>
      </x:c>
      <x:c r="C33" s="13" t="e">
        <x:f>IF($A33="","",[1]!thsiFinD("ths_adjustment_nv_fund",C$3,$A33))</x:f>
        <x:v>#NAME?</x:v>
      </x:c>
      <x:c r="D33" s="13" t="e">
        <x:f>IF($A33="","",[1]!thsiFinD("ths_adjustment_nv_fund",D$3,$A33))</x:f>
        <x:v>#NAME?</x:v>
      </x:c>
      <x:c r="E33" s="13" t="e">
        <x:f>IF($A33="","",[1]!thsiFinD("ths_adjustment_nv_fund",E$3,$A33))</x:f>
        <x:v>#NAME?</x:v>
      </x:c>
      <x:c r="F33" s="13" t="e">
        <x:f>IF($A33="","",[1]!thsiFinD("ths_adjustment_nv_fund",F$3,$A33))</x:f>
        <x:v>#NAME?</x:v>
      </x:c>
      <x:c r="G33" s="13" t="e">
        <x:f>IF($A33="","",[1]!thsiFinD("ths_adjustment_nv_fund",G$3,$A33))</x:f>
        <x:v>#NAME?</x:v>
      </x:c>
      <x:c r="H33" s="13" t="e">
        <x:f>IF($A33="","",[1]!thsiFinD("ths_adjustment_nv_fund",H$3,$A33))</x:f>
        <x:v>#NAME?</x:v>
      </x:c>
      <x:c r="I33" s="13" t="e">
        <x:f>IF($A33="","",[1]!thsiFinD("ths_adjustment_nv_fund",I$3,$A33))</x:f>
        <x:v>#NAME?</x:v>
      </x:c>
      <x:c r="J33" s="13" t="e">
        <x:f>IF($A33="","",[1]!thsiFinD("ths_adjustment_nv_fund",J$3,$A33))</x:f>
        <x:v>#NAME?</x:v>
      </x:c>
      <x:c r="K33" s="13" t="e">
        <x:f>IF($A33="","",[1]!thsiFinD("ths_adjustment_nv_fund",K$3,$A33))</x:f>
        <x:v>#NAME?</x:v>
      </x:c>
      <x:c r="L33" s="13" t="e">
        <x:f>IF($A33="","",[1]!thsiFinD("ths_adjustment_nv_fund",L$3,$A33))</x:f>
        <x:v>#NAME?</x:v>
      </x:c>
      <x:c r="M33" s="13" t="e">
        <x:f>IF($A33="","",[1]!thsiFinD("ths_adjustment_nv_fund",M$3,$A33))</x:f>
        <x:v>#NAME?</x:v>
      </x:c>
      <x:c r="N33" s="13" t="e">
        <x:f>IF($A33="","",[1]!thsiFinD("ths_adjustment_nv_fund",N$3,$A33))</x:f>
        <x:v>#NAME?</x:v>
      </x:c>
      <x:c r="O33" s="13" t="e">
        <x:f>IF($A33="","",[1]!thsiFinD("ths_adjustment_nv_fund",O$3,$A33))</x:f>
        <x:v>#NAME?</x:v>
      </x:c>
      <x:c r="P33" s="13" t="e">
        <x:f>IF($A33="","",[1]!thsiFinD("ths_adjustment_nv_fund",P$3,$A33))</x:f>
        <x:v>#NAME?</x:v>
      </x:c>
      <x:c r="Q33" s="13" t="e">
        <x:f>IF($A33="","",[1]!thsiFinD("ths_adjustment_nv_fund",Q$3,$A33))</x:f>
        <x:v>#NAME?</x:v>
      </x:c>
      <x:c r="R33" s="13" t="e">
        <x:f>IF($A33="","",[1]!thsiFinD("ths_adjustment_nv_fund",R$3,$A33))</x:f>
        <x:v>#NAME?</x:v>
      </x:c>
      <x:c r="S33" s="13" t="e">
        <x:f>IF($A33="","",[1]!thsiFinD("ths_adjustment_nv_fund",S$3,$A33))</x:f>
        <x:v>#NAME?</x:v>
      </x:c>
      <x:c r="T33" s="13" t="e">
        <x:f>IF($A33="","",[1]!thsiFinD("ths_adjustment_nv_fund",T$3,$A33))</x:f>
        <x:v>#NAME?</x:v>
      </x:c>
      <x:c r="U33" s="13" t="e">
        <x:f>IF($A33="","",[1]!thsiFinD("ths_adjustment_nv_fund",U$3,$A33))</x:f>
        <x:v>#NAME?</x:v>
      </x:c>
      <x:c r="V33" s="13" t="e">
        <x:f>IF($A33="","",[1]!thsiFinD("ths_adjustment_nv_fund",V$3,$A33))</x:f>
        <x:v>#NAME?</x:v>
      </x:c>
      <x:c r="W33" s="13" t="e">
        <x:f>IF($A33="","",[1]!thsiFinD("ths_adjustment_nv_fund",W$3,$A33))</x:f>
        <x:v>#NAME?</x:v>
      </x:c>
      <x:c r="X33" s="13" t="e">
        <x:f>IF($A33="","",[1]!thsiFinD("ths_adjustment_nv_fund",X$3,$A33))</x:f>
        <x:v>#NAME?</x:v>
      </x:c>
      <x:c r="Y33" s="13" t="e">
        <x:f>IF($A33="","",[1]!thsiFinD("ths_adjustment_nv_fund",Y$3,$A33))</x:f>
        <x:v>#NAME?</x:v>
      </x:c>
    </x:row>
    <x:row r="34">
      <x:c r="A34" s="8">
        <x:v>46233</x:v>
      </x:c>
      <x:c r="B34" s="13" t="e">
        <x:f>IF($A34="","",[1]!thsiFinD("ths_adjustment_nv_fund",B$3,$A34))</x:f>
        <x:v>#NAME?</x:v>
      </x:c>
      <x:c r="C34" s="13" t="e">
        <x:f>IF($A34="","",[1]!thsiFinD("ths_adjustment_nv_fund",C$3,$A34))</x:f>
        <x:v>#NAME?</x:v>
      </x:c>
      <x:c r="D34" s="13" t="e">
        <x:f>IF($A34="","",[1]!thsiFinD("ths_adjustment_nv_fund",D$3,$A34))</x:f>
        <x:v>#NAME?</x:v>
      </x:c>
      <x:c r="E34" s="13" t="e">
        <x:f>IF($A34="","",[1]!thsiFinD("ths_adjustment_nv_fund",E$3,$A34))</x:f>
        <x:v>#NAME?</x:v>
      </x:c>
      <x:c r="F34" s="13" t="e">
        <x:f>IF($A34="","",[1]!thsiFinD("ths_adjustment_nv_fund",F$3,$A34))</x:f>
        <x:v>#NAME?</x:v>
      </x:c>
      <x:c r="G34" s="13" t="e">
        <x:f>IF($A34="","",[1]!thsiFinD("ths_adjustment_nv_fund",G$3,$A34))</x:f>
        <x:v>#NAME?</x:v>
      </x:c>
      <x:c r="H34" s="13" t="e">
        <x:f>IF($A34="","",[1]!thsiFinD("ths_adjustment_nv_fund",H$3,$A34))</x:f>
        <x:v>#NAME?</x:v>
      </x:c>
      <x:c r="I34" s="13" t="e">
        <x:f>IF($A34="","",[1]!thsiFinD("ths_adjustment_nv_fund",I$3,$A34))</x:f>
        <x:v>#NAME?</x:v>
      </x:c>
      <x:c r="J34" s="13" t="e">
        <x:f>IF($A34="","",[1]!thsiFinD("ths_adjustment_nv_fund",J$3,$A34))</x:f>
        <x:v>#NAME?</x:v>
      </x:c>
      <x:c r="K34" s="13" t="e">
        <x:f>IF($A34="","",[1]!thsiFinD("ths_adjustment_nv_fund",K$3,$A34))</x:f>
        <x:v>#NAME?</x:v>
      </x:c>
      <x:c r="L34" s="13" t="e">
        <x:f>IF($A34="","",[1]!thsiFinD("ths_adjustment_nv_fund",L$3,$A34))</x:f>
        <x:v>#NAME?</x:v>
      </x:c>
      <x:c r="M34" s="13" t="e">
        <x:f>IF($A34="","",[1]!thsiFinD("ths_adjustment_nv_fund",M$3,$A34))</x:f>
        <x:v>#NAME?</x:v>
      </x:c>
      <x:c r="N34" s="13" t="e">
        <x:f>IF($A34="","",[1]!thsiFinD("ths_adjustment_nv_fund",N$3,$A34))</x:f>
        <x:v>#NAME?</x:v>
      </x:c>
      <x:c r="O34" s="13" t="e">
        <x:f>IF($A34="","",[1]!thsiFinD("ths_adjustment_nv_fund",O$3,$A34))</x:f>
        <x:v>#NAME?</x:v>
      </x:c>
      <x:c r="P34" s="13" t="e">
        <x:f>IF($A34="","",[1]!thsiFinD("ths_adjustment_nv_fund",P$3,$A34))</x:f>
        <x:v>#NAME?</x:v>
      </x:c>
      <x:c r="Q34" s="13" t="e">
        <x:f>IF($A34="","",[1]!thsiFinD("ths_adjustment_nv_fund",Q$3,$A34))</x:f>
        <x:v>#NAME?</x:v>
      </x:c>
      <x:c r="R34" s="13" t="e">
        <x:f>IF($A34="","",[1]!thsiFinD("ths_adjustment_nv_fund",R$3,$A34))</x:f>
        <x:v>#NAME?</x:v>
      </x:c>
      <x:c r="S34" s="13" t="e">
        <x:f>IF($A34="","",[1]!thsiFinD("ths_adjustment_nv_fund",S$3,$A34))</x:f>
        <x:v>#NAME?</x:v>
      </x:c>
      <x:c r="T34" s="13" t="e">
        <x:f>IF($A34="","",[1]!thsiFinD("ths_adjustment_nv_fund",T$3,$A34))</x:f>
        <x:v>#NAME?</x:v>
      </x:c>
      <x:c r="U34" s="13" t="e">
        <x:f>IF($A34="","",[1]!thsiFinD("ths_adjustment_nv_fund",U$3,$A34))</x:f>
        <x:v>#NAME?</x:v>
      </x:c>
      <x:c r="V34" s="13" t="e">
        <x:f>IF($A34="","",[1]!thsiFinD("ths_adjustment_nv_fund",V$3,$A34))</x:f>
        <x:v>#NAME?</x:v>
      </x:c>
      <x:c r="W34" s="13" t="e">
        <x:f>IF($A34="","",[1]!thsiFinD("ths_adjustment_nv_fund",W$3,$A34))</x:f>
        <x:v>#NAME?</x:v>
      </x:c>
      <x:c r="X34" s="13" t="e">
        <x:f>IF($A34="","",[1]!thsiFinD("ths_adjustment_nv_fund",X$3,$A34))</x:f>
        <x:v>#NAME?</x:v>
      </x:c>
      <x:c r="Y34" s="13" t="e">
        <x:f>IF($A34="","",[1]!thsiFinD("ths_adjustment_nv_fund",Y$3,$A34))</x:f>
        <x:v>#NAME?</x:v>
      </x:c>
    </x:row>
    <x:row r="35">
      <x:c r="A35" s="8">
        <x:v>46234</x:v>
      </x:c>
      <x:c r="B35" s="13" t="e">
        <x:f>IF($A35="","",[1]!thsiFinD("ths_adjustment_nv_fund",B$3,$A35))</x:f>
        <x:v>#NAME?</x:v>
      </x:c>
      <x:c r="C35" s="13" t="e">
        <x:f>IF($A35="","",[1]!thsiFinD("ths_adjustment_nv_fund",C$3,$A35))</x:f>
        <x:v>#NAME?</x:v>
      </x:c>
      <x:c r="D35" s="13" t="e">
        <x:f>IF($A35="","",[1]!thsiFinD("ths_adjustment_nv_fund",D$3,$A35))</x:f>
        <x:v>#NAME?</x:v>
      </x:c>
      <x:c r="E35" s="13" t="e">
        <x:f>IF($A35="","",[1]!thsiFinD("ths_adjustment_nv_fund",E$3,$A35))</x:f>
        <x:v>#NAME?</x:v>
      </x:c>
      <x:c r="F35" s="13" t="e">
        <x:f>IF($A35="","",[1]!thsiFinD("ths_adjustment_nv_fund",F$3,$A35))</x:f>
        <x:v>#NAME?</x:v>
      </x:c>
      <x:c r="G35" s="13" t="e">
        <x:f>IF($A35="","",[1]!thsiFinD("ths_adjustment_nv_fund",G$3,$A35))</x:f>
        <x:v>#NAME?</x:v>
      </x:c>
      <x:c r="H35" s="13" t="e">
        <x:f>IF($A35="","",[1]!thsiFinD("ths_adjustment_nv_fund",H$3,$A35))</x:f>
        <x:v>#NAME?</x:v>
      </x:c>
      <x:c r="I35" s="13" t="e">
        <x:f>IF($A35="","",[1]!thsiFinD("ths_adjustment_nv_fund",I$3,$A35))</x:f>
        <x:v>#NAME?</x:v>
      </x:c>
      <x:c r="J35" s="13" t="e">
        <x:f>IF($A35="","",[1]!thsiFinD("ths_adjustment_nv_fund",J$3,$A35))</x:f>
        <x:v>#NAME?</x:v>
      </x:c>
      <x:c r="K35" s="13" t="e">
        <x:f>IF($A35="","",[1]!thsiFinD("ths_adjustment_nv_fund",K$3,$A35))</x:f>
        <x:v>#NAME?</x:v>
      </x:c>
      <x:c r="L35" s="13" t="e">
        <x:f>IF($A35="","",[1]!thsiFinD("ths_adjustment_nv_fund",L$3,$A35))</x:f>
        <x:v>#NAME?</x:v>
      </x:c>
      <x:c r="M35" s="13" t="e">
        <x:f>IF($A35="","",[1]!thsiFinD("ths_adjustment_nv_fund",M$3,$A35))</x:f>
        <x:v>#NAME?</x:v>
      </x:c>
      <x:c r="N35" s="13" t="e">
        <x:f>IF($A35="","",[1]!thsiFinD("ths_adjustment_nv_fund",N$3,$A35))</x:f>
        <x:v>#NAME?</x:v>
      </x:c>
      <x:c r="O35" s="13" t="e">
        <x:f>IF($A35="","",[1]!thsiFinD("ths_adjustment_nv_fund",O$3,$A35))</x:f>
        <x:v>#NAME?</x:v>
      </x:c>
      <x:c r="P35" s="13" t="e">
        <x:f>IF($A35="","",[1]!thsiFinD("ths_adjustment_nv_fund",P$3,$A35))</x:f>
        <x:v>#NAME?</x:v>
      </x:c>
      <x:c r="Q35" s="13" t="e">
        <x:f>IF($A35="","",[1]!thsiFinD("ths_adjustment_nv_fund",Q$3,$A35))</x:f>
        <x:v>#NAME?</x:v>
      </x:c>
      <x:c r="R35" s="13" t="e">
        <x:f>IF($A35="","",[1]!thsiFinD("ths_adjustment_nv_fund",R$3,$A35))</x:f>
        <x:v>#NAME?</x:v>
      </x:c>
      <x:c r="S35" s="13" t="e">
        <x:f>IF($A35="","",[1]!thsiFinD("ths_adjustment_nv_fund",S$3,$A35))</x:f>
        <x:v>#NAME?</x:v>
      </x:c>
      <x:c r="T35" s="13" t="e">
        <x:f>IF($A35="","",[1]!thsiFinD("ths_adjustment_nv_fund",T$3,$A35))</x:f>
        <x:v>#NAME?</x:v>
      </x:c>
      <x:c r="U35" s="13" t="e">
        <x:f>IF($A35="","",[1]!thsiFinD("ths_adjustment_nv_fund",U$3,$A35))</x:f>
        <x:v>#NAME?</x:v>
      </x:c>
      <x:c r="V35" s="13" t="e">
        <x:f>IF($A35="","",[1]!thsiFinD("ths_adjustment_nv_fund",V$3,$A35))</x:f>
        <x:v>#NAME?</x:v>
      </x:c>
      <x:c r="W35" s="13" t="e">
        <x:f>IF($A35="","",[1]!thsiFinD("ths_adjustment_nv_fund",W$3,$A35))</x:f>
        <x:v>#NAME?</x:v>
      </x:c>
      <x:c r="X35" s="13" t="e">
        <x:f>IF($A35="","",[1]!thsiFinD("ths_adjustment_nv_fund",X$3,$A35))</x:f>
        <x:v>#NAME?</x:v>
      </x:c>
      <x:c r="Y35" s="13" t="e">
        <x:f>IF($A35="","",[1]!thsiFinD("ths_adjustment_nv_fund",Y$3,$A35))</x:f>
        <x:v>#NAME?</x:v>
      </x:c>
    </x:row>
    <x:row r="36">
      <x:c r="A36" s="8">
        <x:v>46237</x:v>
      </x:c>
      <x:c r="B36" s="13" t="e">
        <x:f>IF($A36="","",[1]!thsiFinD("ths_adjustment_nv_fund",B$3,$A36))</x:f>
        <x:v>#NAME?</x:v>
      </x:c>
      <x:c r="C36" s="13" t="e">
        <x:f>IF($A36="","",[1]!thsiFinD("ths_adjustment_nv_fund",C$3,$A36))</x:f>
        <x:v>#NAME?</x:v>
      </x:c>
      <x:c r="D36" s="13" t="e">
        <x:f>IF($A36="","",[1]!thsiFinD("ths_adjustment_nv_fund",D$3,$A36))</x:f>
        <x:v>#NAME?</x:v>
      </x:c>
      <x:c r="E36" s="13" t="e">
        <x:f>IF($A36="","",[1]!thsiFinD("ths_adjustment_nv_fund",E$3,$A36))</x:f>
        <x:v>#NAME?</x:v>
      </x:c>
      <x:c r="F36" s="13" t="e">
        <x:f>IF($A36="","",[1]!thsiFinD("ths_adjustment_nv_fund",F$3,$A36))</x:f>
        <x:v>#NAME?</x:v>
      </x:c>
      <x:c r="G36" s="13" t="e">
        <x:f>IF($A36="","",[1]!thsiFinD("ths_adjustment_nv_fund",G$3,$A36))</x:f>
        <x:v>#NAME?</x:v>
      </x:c>
      <x:c r="H36" s="13" t="e">
        <x:f>IF($A36="","",[1]!thsiFinD("ths_adjustment_nv_fund",H$3,$A36))</x:f>
        <x:v>#NAME?</x:v>
      </x:c>
      <x:c r="I36" s="13" t="e">
        <x:f>IF($A36="","",[1]!thsiFinD("ths_adjustment_nv_fund",I$3,$A36))</x:f>
        <x:v>#NAME?</x:v>
      </x:c>
      <x:c r="J36" s="13" t="e">
        <x:f>IF($A36="","",[1]!thsiFinD("ths_adjustment_nv_fund",J$3,$A36))</x:f>
        <x:v>#NAME?</x:v>
      </x:c>
      <x:c r="K36" s="13" t="e">
        <x:f>IF($A36="","",[1]!thsiFinD("ths_adjustment_nv_fund",K$3,$A36))</x:f>
        <x:v>#NAME?</x:v>
      </x:c>
      <x:c r="L36" s="13" t="e">
        <x:f>IF($A36="","",[1]!thsiFinD("ths_adjustment_nv_fund",L$3,$A36))</x:f>
        <x:v>#NAME?</x:v>
      </x:c>
      <x:c r="M36" s="13" t="e">
        <x:f>IF($A36="","",[1]!thsiFinD("ths_adjustment_nv_fund",M$3,$A36))</x:f>
        <x:v>#NAME?</x:v>
      </x:c>
      <x:c r="N36" s="13" t="e">
        <x:f>IF($A36="","",[1]!thsiFinD("ths_adjustment_nv_fund",N$3,$A36))</x:f>
        <x:v>#NAME?</x:v>
      </x:c>
      <x:c r="O36" s="13" t="e">
        <x:f>IF($A36="","",[1]!thsiFinD("ths_adjustment_nv_fund",O$3,$A36))</x:f>
        <x:v>#NAME?</x:v>
      </x:c>
      <x:c r="P36" s="13" t="e">
        <x:f>IF($A36="","",[1]!thsiFinD("ths_adjustment_nv_fund",P$3,$A36))</x:f>
        <x:v>#NAME?</x:v>
      </x:c>
      <x:c r="Q36" s="13" t="e">
        <x:f>IF($A36="","",[1]!thsiFinD("ths_adjustment_nv_fund",Q$3,$A36))</x:f>
        <x:v>#NAME?</x:v>
      </x:c>
      <x:c r="R36" s="13" t="e">
        <x:f>IF($A36="","",[1]!thsiFinD("ths_adjustment_nv_fund",R$3,$A36))</x:f>
        <x:v>#NAME?</x:v>
      </x:c>
      <x:c r="S36" s="13" t="e">
        <x:f>IF($A36="","",[1]!thsiFinD("ths_adjustment_nv_fund",S$3,$A36))</x:f>
        <x:v>#NAME?</x:v>
      </x:c>
      <x:c r="T36" s="13" t="e">
        <x:f>IF($A36="","",[1]!thsiFinD("ths_adjustment_nv_fund",T$3,$A36))</x:f>
        <x:v>#NAME?</x:v>
      </x:c>
      <x:c r="U36" s="13" t="e">
        <x:f>IF($A36="","",[1]!thsiFinD("ths_adjustment_nv_fund",U$3,$A36))</x:f>
        <x:v>#NAME?</x:v>
      </x:c>
      <x:c r="V36" s="13" t="e">
        <x:f>IF($A36="","",[1]!thsiFinD("ths_adjustment_nv_fund",V$3,$A36))</x:f>
        <x:v>#NAME?</x:v>
      </x:c>
      <x:c r="W36" s="13" t="e">
        <x:f>IF($A36="","",[1]!thsiFinD("ths_adjustment_nv_fund",W$3,$A36))</x:f>
        <x:v>#NAME?</x:v>
      </x:c>
      <x:c r="X36" s="13" t="e">
        <x:f>IF($A36="","",[1]!thsiFinD("ths_adjustment_nv_fund",X$3,$A36))</x:f>
        <x:v>#NAME?</x:v>
      </x:c>
      <x:c r="Y36" s="13" t="e">
        <x:f>IF($A36="","",[1]!thsiFinD("ths_adjustment_nv_fund",Y$3,$A36))</x:f>
        <x:v>#NAME?</x:v>
      </x:c>
    </x:row>
    <x:row r="37">
      <x:c r="A37" s="8">
        <x:v>46238</x:v>
      </x:c>
      <x:c r="B37" s="13" t="e">
        <x:f>IF($A37="","",[1]!thsiFinD("ths_adjustment_nv_fund",B$3,$A37))</x:f>
        <x:v>#NAME?</x:v>
      </x:c>
      <x:c r="C37" s="13" t="e">
        <x:f>IF($A37="","",[1]!thsiFinD("ths_adjustment_nv_fund",C$3,$A37))</x:f>
        <x:v>#NAME?</x:v>
      </x:c>
      <x:c r="D37" s="13" t="e">
        <x:f>IF($A37="","",[1]!thsiFinD("ths_adjustment_nv_fund",D$3,$A37))</x:f>
        <x:v>#NAME?</x:v>
      </x:c>
      <x:c r="E37" s="13" t="e">
        <x:f>IF($A37="","",[1]!thsiFinD("ths_adjustment_nv_fund",E$3,$A37))</x:f>
        <x:v>#NAME?</x:v>
      </x:c>
      <x:c r="F37" s="13" t="e">
        <x:f>IF($A37="","",[1]!thsiFinD("ths_adjustment_nv_fund",F$3,$A37))</x:f>
        <x:v>#NAME?</x:v>
      </x:c>
      <x:c r="G37" s="13" t="e">
        <x:f>IF($A37="","",[1]!thsiFinD("ths_adjustment_nv_fund",G$3,$A37))</x:f>
        <x:v>#NAME?</x:v>
      </x:c>
      <x:c r="H37" s="13" t="e">
        <x:f>IF($A37="","",[1]!thsiFinD("ths_adjustment_nv_fund",H$3,$A37))</x:f>
        <x:v>#NAME?</x:v>
      </x:c>
      <x:c r="I37" s="13" t="e">
        <x:f>IF($A37="","",[1]!thsiFinD("ths_adjustment_nv_fund",I$3,$A37))</x:f>
        <x:v>#NAME?</x:v>
      </x:c>
      <x:c r="J37" s="13" t="e">
        <x:f>IF($A37="","",[1]!thsiFinD("ths_adjustment_nv_fund",J$3,$A37))</x:f>
        <x:v>#NAME?</x:v>
      </x:c>
      <x:c r="K37" s="13" t="e">
        <x:f>IF($A37="","",[1]!thsiFinD("ths_adjustment_nv_fund",K$3,$A37))</x:f>
        <x:v>#NAME?</x:v>
      </x:c>
      <x:c r="L37" s="13" t="e">
        <x:f>IF($A37="","",[1]!thsiFinD("ths_adjustment_nv_fund",L$3,$A37))</x:f>
        <x:v>#NAME?</x:v>
      </x:c>
      <x:c r="M37" s="13" t="e">
        <x:f>IF($A37="","",[1]!thsiFinD("ths_adjustment_nv_fund",M$3,$A37))</x:f>
        <x:v>#NAME?</x:v>
      </x:c>
      <x:c r="N37" s="13" t="e">
        <x:f>IF($A37="","",[1]!thsiFinD("ths_adjustment_nv_fund",N$3,$A37))</x:f>
        <x:v>#NAME?</x:v>
      </x:c>
      <x:c r="O37" s="13" t="e">
        <x:f>IF($A37="","",[1]!thsiFinD("ths_adjustment_nv_fund",O$3,$A37))</x:f>
        <x:v>#NAME?</x:v>
      </x:c>
      <x:c r="P37" s="13" t="e">
        <x:f>IF($A37="","",[1]!thsiFinD("ths_adjustment_nv_fund",P$3,$A37))</x:f>
        <x:v>#NAME?</x:v>
      </x:c>
      <x:c r="Q37" s="13" t="e">
        <x:f>IF($A37="","",[1]!thsiFinD("ths_adjustment_nv_fund",Q$3,$A37))</x:f>
        <x:v>#NAME?</x:v>
      </x:c>
      <x:c r="R37" s="13" t="e">
        <x:f>IF($A37="","",[1]!thsiFinD("ths_adjustment_nv_fund",R$3,$A37))</x:f>
        <x:v>#NAME?</x:v>
      </x:c>
      <x:c r="S37" s="13" t="e">
        <x:f>IF($A37="","",[1]!thsiFinD("ths_adjustment_nv_fund",S$3,$A37))</x:f>
        <x:v>#NAME?</x:v>
      </x:c>
      <x:c r="T37" s="13" t="e">
        <x:f>IF($A37="","",[1]!thsiFinD("ths_adjustment_nv_fund",T$3,$A37))</x:f>
        <x:v>#NAME?</x:v>
      </x:c>
      <x:c r="U37" s="13" t="e">
        <x:f>IF($A37="","",[1]!thsiFinD("ths_adjustment_nv_fund",U$3,$A37))</x:f>
        <x:v>#NAME?</x:v>
      </x:c>
      <x:c r="V37" s="13" t="e">
        <x:f>IF($A37="","",[1]!thsiFinD("ths_adjustment_nv_fund",V$3,$A37))</x:f>
        <x:v>#NAME?</x:v>
      </x:c>
      <x:c r="W37" s="13" t="e">
        <x:f>IF($A37="","",[1]!thsiFinD("ths_adjustment_nv_fund",W$3,$A37))</x:f>
        <x:v>#NAME?</x:v>
      </x:c>
      <x:c r="X37" s="13" t="e">
        <x:f>IF($A37="","",[1]!thsiFinD("ths_adjustment_nv_fund",X$3,$A37))</x:f>
        <x:v>#NAME?</x:v>
      </x:c>
      <x:c r="Y37" s="13" t="e">
        <x:f>IF($A37="","",[1]!thsiFinD("ths_adjustment_nv_fund",Y$3,$A37))</x:f>
        <x:v>#NAME?</x:v>
      </x:c>
    </x:row>
    <x:row r="38">
      <x:c r="A38" s="8">
        <x:v>46239</x:v>
      </x:c>
      <x:c r="B38" s="13" t="e">
        <x:f>IF($A38="","",[1]!thsiFinD("ths_adjustment_nv_fund",B$3,$A38))</x:f>
        <x:v>#NAME?</x:v>
      </x:c>
      <x:c r="C38" s="13" t="e">
        <x:f>IF($A38="","",[1]!thsiFinD("ths_adjustment_nv_fund",C$3,$A38))</x:f>
        <x:v>#NAME?</x:v>
      </x:c>
      <x:c r="D38" s="13" t="e">
        <x:f>IF($A38="","",[1]!thsiFinD("ths_adjustment_nv_fund",D$3,$A38))</x:f>
        <x:v>#NAME?</x:v>
      </x:c>
      <x:c r="E38" s="13" t="e">
        <x:f>IF($A38="","",[1]!thsiFinD("ths_adjustment_nv_fund",E$3,$A38))</x:f>
        <x:v>#NAME?</x:v>
      </x:c>
      <x:c r="F38" s="13" t="e">
        <x:f>IF($A38="","",[1]!thsiFinD("ths_adjustment_nv_fund",F$3,$A38))</x:f>
        <x:v>#NAME?</x:v>
      </x:c>
      <x:c r="G38" s="13" t="e">
        <x:f>IF($A38="","",[1]!thsiFinD("ths_adjustment_nv_fund",G$3,$A38))</x:f>
        <x:v>#NAME?</x:v>
      </x:c>
      <x:c r="H38" s="13" t="e">
        <x:f>IF($A38="","",[1]!thsiFinD("ths_adjustment_nv_fund",H$3,$A38))</x:f>
        <x:v>#NAME?</x:v>
      </x:c>
      <x:c r="I38" s="13" t="e">
        <x:f>IF($A38="","",[1]!thsiFinD("ths_adjustment_nv_fund",I$3,$A38))</x:f>
        <x:v>#NAME?</x:v>
      </x:c>
      <x:c r="J38" s="13" t="e">
        <x:f>IF($A38="","",[1]!thsiFinD("ths_adjustment_nv_fund",J$3,$A38))</x:f>
        <x:v>#NAME?</x:v>
      </x:c>
      <x:c r="K38" s="13" t="e">
        <x:f>IF($A38="","",[1]!thsiFinD("ths_adjustment_nv_fund",K$3,$A38))</x:f>
        <x:v>#NAME?</x:v>
      </x:c>
      <x:c r="L38" s="13" t="e">
        <x:f>IF($A38="","",[1]!thsiFinD("ths_adjustment_nv_fund",L$3,$A38))</x:f>
        <x:v>#NAME?</x:v>
      </x:c>
      <x:c r="M38" s="13" t="e">
        <x:f>IF($A38="","",[1]!thsiFinD("ths_adjustment_nv_fund",M$3,$A38))</x:f>
        <x:v>#NAME?</x:v>
      </x:c>
      <x:c r="N38" s="13" t="e">
        <x:f>IF($A38="","",[1]!thsiFinD("ths_adjustment_nv_fund",N$3,$A38))</x:f>
        <x:v>#NAME?</x:v>
      </x:c>
      <x:c r="O38" s="13" t="e">
        <x:f>IF($A38="","",[1]!thsiFinD("ths_adjustment_nv_fund",O$3,$A38))</x:f>
        <x:v>#NAME?</x:v>
      </x:c>
      <x:c r="P38" s="13" t="e">
        <x:f>IF($A38="","",[1]!thsiFinD("ths_adjustment_nv_fund",P$3,$A38))</x:f>
        <x:v>#NAME?</x:v>
      </x:c>
      <x:c r="Q38" s="13" t="e">
        <x:f>IF($A38="","",[1]!thsiFinD("ths_adjustment_nv_fund",Q$3,$A38))</x:f>
        <x:v>#NAME?</x:v>
      </x:c>
      <x:c r="R38" s="13" t="e">
        <x:f>IF($A38="","",[1]!thsiFinD("ths_adjustment_nv_fund",R$3,$A38))</x:f>
        <x:v>#NAME?</x:v>
      </x:c>
      <x:c r="S38" s="13" t="e">
        <x:f>IF($A38="","",[1]!thsiFinD("ths_adjustment_nv_fund",S$3,$A38))</x:f>
        <x:v>#NAME?</x:v>
      </x:c>
      <x:c r="T38" s="13" t="e">
        <x:f>IF($A38="","",[1]!thsiFinD("ths_adjustment_nv_fund",T$3,$A38))</x:f>
        <x:v>#NAME?</x:v>
      </x:c>
      <x:c r="U38" s="13" t="e">
        <x:f>IF($A38="","",[1]!thsiFinD("ths_adjustment_nv_fund",U$3,$A38))</x:f>
        <x:v>#NAME?</x:v>
      </x:c>
      <x:c r="V38" s="13" t="e">
        <x:f>IF($A38="","",[1]!thsiFinD("ths_adjustment_nv_fund",V$3,$A38))</x:f>
        <x:v>#NAME?</x:v>
      </x:c>
      <x:c r="W38" s="13" t="e">
        <x:f>IF($A38="","",[1]!thsiFinD("ths_adjustment_nv_fund",W$3,$A38))</x:f>
        <x:v>#NAME?</x:v>
      </x:c>
      <x:c r="X38" s="13" t="e">
        <x:f>IF($A38="","",[1]!thsiFinD("ths_adjustment_nv_fund",X$3,$A38))</x:f>
        <x:v>#NAME?</x:v>
      </x:c>
      <x:c r="Y38" s="13" t="e">
        <x:f>IF($A38="","",[1]!thsiFinD("ths_adjustment_nv_fund",Y$3,$A38))</x:f>
        <x:v>#NAME?</x:v>
      </x:c>
    </x:row>
    <x:row r="39">
      <x:c r="A39" s="8">
        <x:v>46240</x:v>
      </x:c>
      <x:c r="B39" s="13" t="e">
        <x:f>IF($A39="","",[1]!thsiFinD("ths_adjustment_nv_fund",B$3,$A39))</x:f>
        <x:v>#NAME?</x:v>
      </x:c>
      <x:c r="C39" s="13" t="e">
        <x:f>IF($A39="","",[1]!thsiFinD("ths_adjustment_nv_fund",C$3,$A39))</x:f>
        <x:v>#NAME?</x:v>
      </x:c>
      <x:c r="D39" s="13" t="e">
        <x:f>IF($A39="","",[1]!thsiFinD("ths_adjustment_nv_fund",D$3,$A39))</x:f>
        <x:v>#NAME?</x:v>
      </x:c>
      <x:c r="E39" s="13" t="e">
        <x:f>IF($A39="","",[1]!thsiFinD("ths_adjustment_nv_fund",E$3,$A39))</x:f>
        <x:v>#NAME?</x:v>
      </x:c>
      <x:c r="F39" s="13" t="e">
        <x:f>IF($A39="","",[1]!thsiFinD("ths_adjustment_nv_fund",F$3,$A39))</x:f>
        <x:v>#NAME?</x:v>
      </x:c>
      <x:c r="G39" s="13" t="e">
        <x:f>IF($A39="","",[1]!thsiFinD("ths_adjustment_nv_fund",G$3,$A39))</x:f>
        <x:v>#NAME?</x:v>
      </x:c>
      <x:c r="H39" s="13" t="e">
        <x:f>IF($A39="","",[1]!thsiFinD("ths_adjustment_nv_fund",H$3,$A39))</x:f>
        <x:v>#NAME?</x:v>
      </x:c>
      <x:c r="I39" s="13" t="e">
        <x:f>IF($A39="","",[1]!thsiFinD("ths_adjustment_nv_fund",I$3,$A39))</x:f>
        <x:v>#NAME?</x:v>
      </x:c>
      <x:c r="J39" s="13" t="e">
        <x:f>IF($A39="","",[1]!thsiFinD("ths_adjustment_nv_fund",J$3,$A39))</x:f>
        <x:v>#NAME?</x:v>
      </x:c>
      <x:c r="K39" s="13" t="e">
        <x:f>IF($A39="","",[1]!thsiFinD("ths_adjustment_nv_fund",K$3,$A39))</x:f>
        <x:v>#NAME?</x:v>
      </x:c>
      <x:c r="L39" s="13" t="e">
        <x:f>IF($A39="","",[1]!thsiFinD("ths_adjustment_nv_fund",L$3,$A39))</x:f>
        <x:v>#NAME?</x:v>
      </x:c>
      <x:c r="M39" s="13" t="e">
        <x:f>IF($A39="","",[1]!thsiFinD("ths_adjustment_nv_fund",M$3,$A39))</x:f>
        <x:v>#NAME?</x:v>
      </x:c>
      <x:c r="N39" s="13" t="e">
        <x:f>IF($A39="","",[1]!thsiFinD("ths_adjustment_nv_fund",N$3,$A39))</x:f>
        <x:v>#NAME?</x:v>
      </x:c>
      <x:c r="O39" s="13" t="e">
        <x:f>IF($A39="","",[1]!thsiFinD("ths_adjustment_nv_fund",O$3,$A39))</x:f>
        <x:v>#NAME?</x:v>
      </x:c>
      <x:c r="P39" s="13" t="e">
        <x:f>IF($A39="","",[1]!thsiFinD("ths_adjustment_nv_fund",P$3,$A39))</x:f>
        <x:v>#NAME?</x:v>
      </x:c>
      <x:c r="Q39" s="13" t="e">
        <x:f>IF($A39="","",[1]!thsiFinD("ths_adjustment_nv_fund",Q$3,$A39))</x:f>
        <x:v>#NAME?</x:v>
      </x:c>
      <x:c r="R39" s="13" t="e">
        <x:f>IF($A39="","",[1]!thsiFinD("ths_adjustment_nv_fund",R$3,$A39))</x:f>
        <x:v>#NAME?</x:v>
      </x:c>
      <x:c r="S39" s="13" t="e">
        <x:f>IF($A39="","",[1]!thsiFinD("ths_adjustment_nv_fund",S$3,$A39))</x:f>
        <x:v>#NAME?</x:v>
      </x:c>
      <x:c r="T39" s="13" t="e">
        <x:f>IF($A39="","",[1]!thsiFinD("ths_adjustment_nv_fund",T$3,$A39))</x:f>
        <x:v>#NAME?</x:v>
      </x:c>
      <x:c r="U39" s="13" t="e">
        <x:f>IF($A39="","",[1]!thsiFinD("ths_adjustment_nv_fund",U$3,$A39))</x:f>
        <x:v>#NAME?</x:v>
      </x:c>
      <x:c r="V39" s="13" t="e">
        <x:f>IF($A39="","",[1]!thsiFinD("ths_adjustment_nv_fund",V$3,$A39))</x:f>
        <x:v>#NAME?</x:v>
      </x:c>
      <x:c r="W39" s="13" t="e">
        <x:f>IF($A39="","",[1]!thsiFinD("ths_adjustment_nv_fund",W$3,$A39))</x:f>
        <x:v>#NAME?</x:v>
      </x:c>
      <x:c r="X39" s="13" t="e">
        <x:f>IF($A39="","",[1]!thsiFinD("ths_adjustment_nv_fund",X$3,$A39))</x:f>
        <x:v>#NAME?</x:v>
      </x:c>
      <x:c r="Y39" s="13" t="e">
        <x:f>IF($A39="","",[1]!thsiFinD("ths_adjustment_nv_fund",Y$3,$A39))</x:f>
        <x:v>#NAME?</x:v>
      </x:c>
    </x:row>
    <x:row r="40">
      <x:c r="A40" s="8">
        <x:v>46241</x:v>
      </x:c>
      <x:c r="B40" s="13" t="e">
        <x:f>IF($A40="","",[1]!thsiFinD("ths_adjustment_nv_fund",B$3,$A40))</x:f>
        <x:v>#NAME?</x:v>
      </x:c>
      <x:c r="C40" s="13" t="e">
        <x:f>IF($A40="","",[1]!thsiFinD("ths_adjustment_nv_fund",C$3,$A40))</x:f>
        <x:v>#NAME?</x:v>
      </x:c>
      <x:c r="D40" s="13" t="e">
        <x:f>IF($A40="","",[1]!thsiFinD("ths_adjustment_nv_fund",D$3,$A40))</x:f>
        <x:v>#NAME?</x:v>
      </x:c>
      <x:c r="E40" s="13" t="e">
        <x:f>IF($A40="","",[1]!thsiFinD("ths_adjustment_nv_fund",E$3,$A40))</x:f>
        <x:v>#NAME?</x:v>
      </x:c>
      <x:c r="F40" s="13" t="e">
        <x:f>IF($A40="","",[1]!thsiFinD("ths_adjustment_nv_fund",F$3,$A40))</x:f>
        <x:v>#NAME?</x:v>
      </x:c>
      <x:c r="G40" s="13" t="e">
        <x:f>IF($A40="","",[1]!thsiFinD("ths_adjustment_nv_fund",G$3,$A40))</x:f>
        <x:v>#NAME?</x:v>
      </x:c>
      <x:c r="H40" s="13" t="e">
        <x:f>IF($A40="","",[1]!thsiFinD("ths_adjustment_nv_fund",H$3,$A40))</x:f>
        <x:v>#NAME?</x:v>
      </x:c>
      <x:c r="I40" s="13" t="e">
        <x:f>IF($A40="","",[1]!thsiFinD("ths_adjustment_nv_fund",I$3,$A40))</x:f>
        <x:v>#NAME?</x:v>
      </x:c>
      <x:c r="J40" s="13" t="e">
        <x:f>IF($A40="","",[1]!thsiFinD("ths_adjustment_nv_fund",J$3,$A40))</x:f>
        <x:v>#NAME?</x:v>
      </x:c>
      <x:c r="K40" s="13" t="e">
        <x:f>IF($A40="","",[1]!thsiFinD("ths_adjustment_nv_fund",K$3,$A40))</x:f>
        <x:v>#NAME?</x:v>
      </x:c>
      <x:c r="L40" s="13" t="e">
        <x:f>IF($A40="","",[1]!thsiFinD("ths_adjustment_nv_fund",L$3,$A40))</x:f>
        <x:v>#NAME?</x:v>
      </x:c>
      <x:c r="M40" s="13" t="e">
        <x:f>IF($A40="","",[1]!thsiFinD("ths_adjustment_nv_fund",M$3,$A40))</x:f>
        <x:v>#NAME?</x:v>
      </x:c>
      <x:c r="N40" s="13" t="e">
        <x:f>IF($A40="","",[1]!thsiFinD("ths_adjustment_nv_fund",N$3,$A40))</x:f>
        <x:v>#NAME?</x:v>
      </x:c>
      <x:c r="O40" s="13" t="e">
        <x:f>IF($A40="","",[1]!thsiFinD("ths_adjustment_nv_fund",O$3,$A40))</x:f>
        <x:v>#NAME?</x:v>
      </x:c>
      <x:c r="P40" s="13" t="e">
        <x:f>IF($A40="","",[1]!thsiFinD("ths_adjustment_nv_fund",P$3,$A40))</x:f>
        <x:v>#NAME?</x:v>
      </x:c>
      <x:c r="Q40" s="13" t="e">
        <x:f>IF($A40="","",[1]!thsiFinD("ths_adjustment_nv_fund",Q$3,$A40))</x:f>
        <x:v>#NAME?</x:v>
      </x:c>
      <x:c r="R40" s="13" t="e">
        <x:f>IF($A40="","",[1]!thsiFinD("ths_adjustment_nv_fund",R$3,$A40))</x:f>
        <x:v>#NAME?</x:v>
      </x:c>
      <x:c r="S40" s="13" t="e">
        <x:f>IF($A40="","",[1]!thsiFinD("ths_adjustment_nv_fund",S$3,$A40))</x:f>
        <x:v>#NAME?</x:v>
      </x:c>
      <x:c r="T40" s="13" t="e">
        <x:f>IF($A40="","",[1]!thsiFinD("ths_adjustment_nv_fund",T$3,$A40))</x:f>
        <x:v>#NAME?</x:v>
      </x:c>
      <x:c r="U40" s="13" t="e">
        <x:f>IF($A40="","",[1]!thsiFinD("ths_adjustment_nv_fund",U$3,$A40))</x:f>
        <x:v>#NAME?</x:v>
      </x:c>
      <x:c r="V40" s="13" t="e">
        <x:f>IF($A40="","",[1]!thsiFinD("ths_adjustment_nv_fund",V$3,$A40))</x:f>
        <x:v>#NAME?</x:v>
      </x:c>
      <x:c r="W40" s="13" t="e">
        <x:f>IF($A40="","",[1]!thsiFinD("ths_adjustment_nv_fund",W$3,$A40))</x:f>
        <x:v>#NAME?</x:v>
      </x:c>
      <x:c r="X40" s="13" t="e">
        <x:f>IF($A40="","",[1]!thsiFinD("ths_adjustment_nv_fund",X$3,$A40))</x:f>
        <x:v>#NAME?</x:v>
      </x:c>
      <x:c r="Y40" s="13" t="e">
        <x:f>IF($A40="","",[1]!thsiFinD("ths_adjustment_nv_fund",Y$3,$A40))</x:f>
        <x:v>#NAME?</x:v>
      </x:c>
    </x:row>
    <x:row r="41">
      <x:c r="A41" s="8">
        <x:v>46244</x:v>
      </x:c>
      <x:c r="B41" s="13" t="e">
        <x:f>IF($A41="","",[1]!thsiFinD("ths_adjustment_nv_fund",B$3,$A41))</x:f>
        <x:v>#NAME?</x:v>
      </x:c>
      <x:c r="C41" s="13" t="e">
        <x:f>IF($A41="","",[1]!thsiFinD("ths_adjustment_nv_fund",C$3,$A41))</x:f>
        <x:v>#NAME?</x:v>
      </x:c>
      <x:c r="D41" s="13" t="e">
        <x:f>IF($A41="","",[1]!thsiFinD("ths_adjustment_nv_fund",D$3,$A41))</x:f>
        <x:v>#NAME?</x:v>
      </x:c>
      <x:c r="E41" s="13" t="e">
        <x:f>IF($A41="","",[1]!thsiFinD("ths_adjustment_nv_fund",E$3,$A41))</x:f>
        <x:v>#NAME?</x:v>
      </x:c>
      <x:c r="F41" s="13" t="e">
        <x:f>IF($A41="","",[1]!thsiFinD("ths_adjustment_nv_fund",F$3,$A41))</x:f>
        <x:v>#NAME?</x:v>
      </x:c>
      <x:c r="G41" s="13" t="e">
        <x:f>IF($A41="","",[1]!thsiFinD("ths_adjustment_nv_fund",G$3,$A41))</x:f>
        <x:v>#NAME?</x:v>
      </x:c>
      <x:c r="H41" s="13" t="e">
        <x:f>IF($A41="","",[1]!thsiFinD("ths_adjustment_nv_fund",H$3,$A41))</x:f>
        <x:v>#NAME?</x:v>
      </x:c>
      <x:c r="I41" s="13" t="e">
        <x:f>IF($A41="","",[1]!thsiFinD("ths_adjustment_nv_fund",I$3,$A41))</x:f>
        <x:v>#NAME?</x:v>
      </x:c>
      <x:c r="J41" s="13" t="e">
        <x:f>IF($A41="","",[1]!thsiFinD("ths_adjustment_nv_fund",J$3,$A41))</x:f>
        <x:v>#NAME?</x:v>
      </x:c>
      <x:c r="K41" s="13" t="e">
        <x:f>IF($A41="","",[1]!thsiFinD("ths_adjustment_nv_fund",K$3,$A41))</x:f>
        <x:v>#NAME?</x:v>
      </x:c>
      <x:c r="L41" s="13" t="e">
        <x:f>IF($A41="","",[1]!thsiFinD("ths_adjustment_nv_fund",L$3,$A41))</x:f>
        <x:v>#NAME?</x:v>
      </x:c>
      <x:c r="M41" s="13" t="e">
        <x:f>IF($A41="","",[1]!thsiFinD("ths_adjustment_nv_fund",M$3,$A41))</x:f>
        <x:v>#NAME?</x:v>
      </x:c>
      <x:c r="N41" s="13" t="e">
        <x:f>IF($A41="","",[1]!thsiFinD("ths_adjustment_nv_fund",N$3,$A41))</x:f>
        <x:v>#NAME?</x:v>
      </x:c>
      <x:c r="O41" s="13" t="e">
        <x:f>IF($A41="","",[1]!thsiFinD("ths_adjustment_nv_fund",O$3,$A41))</x:f>
        <x:v>#NAME?</x:v>
      </x:c>
      <x:c r="P41" s="13" t="e">
        <x:f>IF($A41="","",[1]!thsiFinD("ths_adjustment_nv_fund",P$3,$A41))</x:f>
        <x:v>#NAME?</x:v>
      </x:c>
      <x:c r="Q41" s="13" t="e">
        <x:f>IF($A41="","",[1]!thsiFinD("ths_adjustment_nv_fund",Q$3,$A41))</x:f>
        <x:v>#NAME?</x:v>
      </x:c>
      <x:c r="R41" s="13" t="e">
        <x:f>IF($A41="","",[1]!thsiFinD("ths_adjustment_nv_fund",R$3,$A41))</x:f>
        <x:v>#NAME?</x:v>
      </x:c>
      <x:c r="S41" s="13" t="e">
        <x:f>IF($A41="","",[1]!thsiFinD("ths_adjustment_nv_fund",S$3,$A41))</x:f>
        <x:v>#NAME?</x:v>
      </x:c>
      <x:c r="T41" s="13" t="e">
        <x:f>IF($A41="","",[1]!thsiFinD("ths_adjustment_nv_fund",T$3,$A41))</x:f>
        <x:v>#NAME?</x:v>
      </x:c>
      <x:c r="U41" s="13" t="e">
        <x:f>IF($A41="","",[1]!thsiFinD("ths_adjustment_nv_fund",U$3,$A41))</x:f>
        <x:v>#NAME?</x:v>
      </x:c>
      <x:c r="V41" s="13" t="e">
        <x:f>IF($A41="","",[1]!thsiFinD("ths_adjustment_nv_fund",V$3,$A41))</x:f>
        <x:v>#NAME?</x:v>
      </x:c>
      <x:c r="W41" s="13" t="e">
        <x:f>IF($A41="","",[1]!thsiFinD("ths_adjustment_nv_fund",W$3,$A41))</x:f>
        <x:v>#NAME?</x:v>
      </x:c>
      <x:c r="X41" s="13" t="e">
        <x:f>IF($A41="","",[1]!thsiFinD("ths_adjustment_nv_fund",X$3,$A41))</x:f>
        <x:v>#NAME?</x:v>
      </x:c>
      <x:c r="Y41" s="13" t="e">
        <x:f>IF($A41="","",[1]!thsiFinD("ths_adjustment_nv_fund",Y$3,$A41))</x:f>
        <x:v>#NAME?</x:v>
      </x:c>
    </x:row>
    <x:row r="42">
      <x:c r="A42" s="8"/>
      <x:c r="B42" s="13" t="e">
        <x:f>IF($A42="","",[1]!thsiFinD("ths_adjustment_nv_fund",B$3,$A42))</x:f>
        <x:v>#NAME?</x:v>
      </x:c>
      <x:c r="C42" s="13" t="e">
        <x:f>IF($A42="","",[1]!thsiFinD("ths_adjustment_nv_fund",C$3,$A42))</x:f>
        <x:v>#NAME?</x:v>
      </x:c>
      <x:c r="D42" s="13" t="e">
        <x:f>IF($A42="","",[1]!thsiFinD("ths_adjustment_nv_fund",D$3,$A42))</x:f>
        <x:v>#NAME?</x:v>
      </x:c>
      <x:c r="E42" s="13" t="e">
        <x:f>IF($A42="","",[1]!thsiFinD("ths_adjustment_nv_fund",E$3,$A42))</x:f>
        <x:v>#NAME?</x:v>
      </x:c>
      <x:c r="F42" s="13" t="e">
        <x:f>IF($A42="","",[1]!thsiFinD("ths_adjustment_nv_fund",F$3,$A42))</x:f>
        <x:v>#NAME?</x:v>
      </x:c>
      <x:c r="G42" s="13" t="e">
        <x:f>IF($A42="","",[1]!thsiFinD("ths_adjustment_nv_fund",G$3,$A42))</x:f>
        <x:v>#NAME?</x:v>
      </x:c>
      <x:c r="H42" s="13" t="e">
        <x:f>IF($A42="","",[1]!thsiFinD("ths_adjustment_nv_fund",H$3,$A42))</x:f>
        <x:v>#NAME?</x:v>
      </x:c>
      <x:c r="I42" s="13" t="e">
        <x:f>IF($A42="","",[1]!thsiFinD("ths_adjustment_nv_fund",I$3,$A42))</x:f>
        <x:v>#NAME?</x:v>
      </x:c>
      <x:c r="J42" s="13" t="e">
        <x:f>IF($A42="","",[1]!thsiFinD("ths_adjustment_nv_fund",J$3,$A42))</x:f>
        <x:v>#NAME?</x:v>
      </x:c>
      <x:c r="K42" s="13" t="e">
        <x:f>IF($A42="","",[1]!thsiFinD("ths_adjustment_nv_fund",K$3,$A42))</x:f>
        <x:v>#NAME?</x:v>
      </x:c>
      <x:c r="L42" s="13" t="e">
        <x:f>IF($A42="","",[1]!thsiFinD("ths_adjustment_nv_fund",L$3,$A42))</x:f>
        <x:v>#NAME?</x:v>
      </x:c>
      <x:c r="M42" s="13" t="e">
        <x:f>IF($A42="","",[1]!thsiFinD("ths_adjustment_nv_fund",M$3,$A42))</x:f>
        <x:v>#NAME?</x:v>
      </x:c>
      <x:c r="N42" s="13" t="e">
        <x:f>IF($A42="","",[1]!thsiFinD("ths_adjustment_nv_fund",N$3,$A42))</x:f>
        <x:v>#NAME?</x:v>
      </x:c>
      <x:c r="O42" s="13" t="e">
        <x:f>IF($A42="","",[1]!thsiFinD("ths_adjustment_nv_fund",O$3,$A42))</x:f>
        <x:v>#NAME?</x:v>
      </x:c>
      <x:c r="P42" s="13" t="e">
        <x:f>IF($A42="","",[1]!thsiFinD("ths_adjustment_nv_fund",P$3,$A42))</x:f>
        <x:v>#NAME?</x:v>
      </x:c>
      <x:c r="Q42" s="13" t="e">
        <x:f>IF($A42="","",[1]!thsiFinD("ths_adjustment_nv_fund",Q$3,$A42))</x:f>
        <x:v>#NAME?</x:v>
      </x:c>
      <x:c r="R42" s="13" t="e">
        <x:f>IF($A42="","",[1]!thsiFinD("ths_adjustment_nv_fund",R$3,$A42))</x:f>
        <x:v>#NAME?</x:v>
      </x:c>
      <x:c r="S42" s="13" t="e">
        <x:f>IF($A42="","",[1]!thsiFinD("ths_adjustment_nv_fund",S$3,$A42))</x:f>
        <x:v>#NAME?</x:v>
      </x:c>
      <x:c r="T42" s="13" t="e">
        <x:f>IF($A42="","",[1]!thsiFinD("ths_adjustment_nv_fund",T$3,$A42))</x:f>
        <x:v>#NAME?</x:v>
      </x:c>
      <x:c r="U42" s="13" t="e">
        <x:f>IF($A42="","",[1]!thsiFinD("ths_adjustment_nv_fund",U$3,$A42))</x:f>
        <x:v>#NAME?</x:v>
      </x:c>
      <x:c r="V42" s="13" t="e">
        <x:f>IF($A42="","",[1]!thsiFinD("ths_adjustment_nv_fund",V$3,$A42))</x:f>
        <x:v>#NAME?</x:v>
      </x:c>
      <x:c r="W42" s="13" t="e">
        <x:f>IF($A42="","",[1]!thsiFinD("ths_adjustment_nv_fund",W$3,$A42))</x:f>
        <x:v>#NAME?</x:v>
      </x:c>
      <x:c r="X42" s="13" t="e">
        <x:f>IF($A42="","",[1]!thsiFinD("ths_adjustment_nv_fund",X$3,$A42))</x:f>
        <x:v>#NAME?</x:v>
      </x:c>
      <x:c r="Y42" s="13" t="e">
        <x:f>IF($A42="","",[1]!thsiFinD("ths_adjustment_nv_fund",Y$3,$A42))</x:f>
        <x:v>#NAME?</x:v>
      </x:c>
    </x:row>
    <x:row r="43">
      <x:c r="A43" s="8"/>
      <x:c r="B43" s="13" t="e">
        <x:f>IF($A43="","",[1]!thsiFinD("ths_adjustment_nv_fund",B$3,$A43))</x:f>
        <x:v>#NAME?</x:v>
      </x:c>
      <x:c r="C43" s="13" t="e">
        <x:f>IF($A43="","",[1]!thsiFinD("ths_adjustment_nv_fund",C$3,$A43))</x:f>
        <x:v>#NAME?</x:v>
      </x:c>
      <x:c r="D43" s="13" t="e">
        <x:f>IF($A43="","",[1]!thsiFinD("ths_adjustment_nv_fund",D$3,$A43))</x:f>
        <x:v>#NAME?</x:v>
      </x:c>
      <x:c r="E43" s="13" t="e">
        <x:f>IF($A43="","",[1]!thsiFinD("ths_adjustment_nv_fund",E$3,$A43))</x:f>
        <x:v>#NAME?</x:v>
      </x:c>
      <x:c r="F43" s="13" t="e">
        <x:f>IF($A43="","",[1]!thsiFinD("ths_adjustment_nv_fund",F$3,$A43))</x:f>
        <x:v>#NAME?</x:v>
      </x:c>
      <x:c r="G43" s="13" t="e">
        <x:f>IF($A43="","",[1]!thsiFinD("ths_adjustment_nv_fund",G$3,$A43))</x:f>
        <x:v>#NAME?</x:v>
      </x:c>
      <x:c r="H43" s="13" t="e">
        <x:f>IF($A43="","",[1]!thsiFinD("ths_adjustment_nv_fund",H$3,$A43))</x:f>
        <x:v>#NAME?</x:v>
      </x:c>
      <x:c r="I43" s="13" t="e">
        <x:f>IF($A43="","",[1]!thsiFinD("ths_adjustment_nv_fund",I$3,$A43))</x:f>
        <x:v>#NAME?</x:v>
      </x:c>
      <x:c r="J43" s="13" t="e">
        <x:f>IF($A43="","",[1]!thsiFinD("ths_adjustment_nv_fund",J$3,$A43))</x:f>
        <x:v>#NAME?</x:v>
      </x:c>
      <x:c r="K43" s="13" t="e">
        <x:f>IF($A43="","",[1]!thsiFinD("ths_adjustment_nv_fund",K$3,$A43))</x:f>
        <x:v>#NAME?</x:v>
      </x:c>
      <x:c r="L43" s="13" t="e">
        <x:f>IF($A43="","",[1]!thsiFinD("ths_adjustment_nv_fund",L$3,$A43))</x:f>
        <x:v>#NAME?</x:v>
      </x:c>
      <x:c r="M43" s="13" t="e">
        <x:f>IF($A43="","",[1]!thsiFinD("ths_adjustment_nv_fund",M$3,$A43))</x:f>
        <x:v>#NAME?</x:v>
      </x:c>
      <x:c r="N43" s="13" t="e">
        <x:f>IF($A43="","",[1]!thsiFinD("ths_adjustment_nv_fund",N$3,$A43))</x:f>
        <x:v>#NAME?</x:v>
      </x:c>
      <x:c r="O43" s="13" t="e">
        <x:f>IF($A43="","",[1]!thsiFinD("ths_adjustment_nv_fund",O$3,$A43))</x:f>
        <x:v>#NAME?</x:v>
      </x:c>
      <x:c r="P43" s="13" t="e">
        <x:f>IF($A43="","",[1]!thsiFinD("ths_adjustment_nv_fund",P$3,$A43))</x:f>
        <x:v>#NAME?</x:v>
      </x:c>
      <x:c r="Q43" s="13" t="e">
        <x:f>IF($A43="","",[1]!thsiFinD("ths_adjustment_nv_fund",Q$3,$A43))</x:f>
        <x:v>#NAME?</x:v>
      </x:c>
      <x:c r="R43" s="13" t="e">
        <x:f>IF($A43="","",[1]!thsiFinD("ths_adjustment_nv_fund",R$3,$A43))</x:f>
        <x:v>#NAME?</x:v>
      </x:c>
      <x:c r="S43" s="13" t="e">
        <x:f>IF($A43="","",[1]!thsiFinD("ths_adjustment_nv_fund",S$3,$A43))</x:f>
        <x:v>#NAME?</x:v>
      </x:c>
      <x:c r="T43" s="13" t="e">
        <x:f>IF($A43="","",[1]!thsiFinD("ths_adjustment_nv_fund",T$3,$A43))</x:f>
        <x:v>#NAME?</x:v>
      </x:c>
      <x:c r="U43" s="13" t="e">
        <x:f>IF($A43="","",[1]!thsiFinD("ths_adjustment_nv_fund",U$3,$A43))</x:f>
        <x:v>#NAME?</x:v>
      </x:c>
      <x:c r="V43" s="13" t="e">
        <x:f>IF($A43="","",[1]!thsiFinD("ths_adjustment_nv_fund",V$3,$A43))</x:f>
        <x:v>#NAME?</x:v>
      </x:c>
      <x:c r="W43" s="13" t="e">
        <x:f>IF($A43="","",[1]!thsiFinD("ths_adjustment_nv_fund",W$3,$A43))</x:f>
        <x:v>#NAME?</x:v>
      </x:c>
      <x:c r="X43" s="13" t="e">
        <x:f>IF($A43="","",[1]!thsiFinD("ths_adjustment_nv_fund",X$3,$A43))</x:f>
        <x:v>#NAME?</x:v>
      </x:c>
      <x:c r="Y43" s="13" t="e">
        <x:f>IF($A43="","",[1]!thsiFinD("ths_adjustment_nv_fund",Y$3,$A43))</x:f>
        <x:v>#NAME?</x:v>
      </x:c>
    </x:row>
    <x:row r="44">
      <x:c r="A44" s="8"/>
      <x:c r="B44" s="13" t="e">
        <x:f>IF($A44="","",[1]!thsiFinD("ths_adjustment_nv_fund",B$3,$A44))</x:f>
        <x:v>#NAME?</x:v>
      </x:c>
      <x:c r="C44" s="13" t="e">
        <x:f>IF($A44="","",[1]!thsiFinD("ths_adjustment_nv_fund",C$3,$A44))</x:f>
        <x:v>#NAME?</x:v>
      </x:c>
      <x:c r="D44" s="13" t="e">
        <x:f>IF($A44="","",[1]!thsiFinD("ths_adjustment_nv_fund",D$3,$A44))</x:f>
        <x:v>#NAME?</x:v>
      </x:c>
      <x:c r="E44" s="13" t="e">
        <x:f>IF($A44="","",[1]!thsiFinD("ths_adjustment_nv_fund",E$3,$A44))</x:f>
        <x:v>#NAME?</x:v>
      </x:c>
      <x:c r="F44" s="13" t="e">
        <x:f>IF($A44="","",[1]!thsiFinD("ths_adjustment_nv_fund",F$3,$A44))</x:f>
        <x:v>#NAME?</x:v>
      </x:c>
      <x:c r="G44" s="13" t="e">
        <x:f>IF($A44="","",[1]!thsiFinD("ths_adjustment_nv_fund",G$3,$A44))</x:f>
        <x:v>#NAME?</x:v>
      </x:c>
      <x:c r="H44" s="13" t="e">
        <x:f>IF($A44="","",[1]!thsiFinD("ths_adjustment_nv_fund",H$3,$A44))</x:f>
        <x:v>#NAME?</x:v>
      </x:c>
      <x:c r="I44" s="13" t="e">
        <x:f>IF($A44="","",[1]!thsiFinD("ths_adjustment_nv_fund",I$3,$A44))</x:f>
        <x:v>#NAME?</x:v>
      </x:c>
      <x:c r="J44" s="13" t="e">
        <x:f>IF($A44="","",[1]!thsiFinD("ths_adjustment_nv_fund",J$3,$A44))</x:f>
        <x:v>#NAME?</x:v>
      </x:c>
      <x:c r="K44" s="13" t="e">
        <x:f>IF($A44="","",[1]!thsiFinD("ths_adjustment_nv_fund",K$3,$A44))</x:f>
        <x:v>#NAME?</x:v>
      </x:c>
      <x:c r="L44" s="13" t="e">
        <x:f>IF($A44="","",[1]!thsiFinD("ths_adjustment_nv_fund",L$3,$A44))</x:f>
        <x:v>#NAME?</x:v>
      </x:c>
      <x:c r="M44" s="13" t="e">
        <x:f>IF($A44="","",[1]!thsiFinD("ths_adjustment_nv_fund",M$3,$A44))</x:f>
        <x:v>#NAME?</x:v>
      </x:c>
      <x:c r="N44" s="13" t="e">
        <x:f>IF($A44="","",[1]!thsiFinD("ths_adjustment_nv_fund",N$3,$A44))</x:f>
        <x:v>#NAME?</x:v>
      </x:c>
      <x:c r="O44" s="13" t="e">
        <x:f>IF($A44="","",[1]!thsiFinD("ths_adjustment_nv_fund",O$3,$A44))</x:f>
        <x:v>#NAME?</x:v>
      </x:c>
      <x:c r="P44" s="13" t="e">
        <x:f>IF($A44="","",[1]!thsiFinD("ths_adjustment_nv_fund",P$3,$A44))</x:f>
        <x:v>#NAME?</x:v>
      </x:c>
      <x:c r="Q44" s="13" t="e">
        <x:f>IF($A44="","",[1]!thsiFinD("ths_adjustment_nv_fund",Q$3,$A44))</x:f>
        <x:v>#NAME?</x:v>
      </x:c>
      <x:c r="R44" s="13" t="e">
        <x:f>IF($A44="","",[1]!thsiFinD("ths_adjustment_nv_fund",R$3,$A44))</x:f>
        <x:v>#NAME?</x:v>
      </x:c>
      <x:c r="S44" s="13" t="e">
        <x:f>IF($A44="","",[1]!thsiFinD("ths_adjustment_nv_fund",S$3,$A44))</x:f>
        <x:v>#NAME?</x:v>
      </x:c>
      <x:c r="T44" s="13" t="e">
        <x:f>IF($A44="","",[1]!thsiFinD("ths_adjustment_nv_fund",T$3,$A44))</x:f>
        <x:v>#NAME?</x:v>
      </x:c>
      <x:c r="U44" s="13" t="e">
        <x:f>IF($A44="","",[1]!thsiFinD("ths_adjustment_nv_fund",U$3,$A44))</x:f>
        <x:v>#NAME?</x:v>
      </x:c>
      <x:c r="V44" s="13" t="e">
        <x:f>IF($A44="","",[1]!thsiFinD("ths_adjustment_nv_fund",V$3,$A44))</x:f>
        <x:v>#NAME?</x:v>
      </x:c>
      <x:c r="W44" s="13" t="e">
        <x:f>IF($A44="","",[1]!thsiFinD("ths_adjustment_nv_fund",W$3,$A44))</x:f>
        <x:v>#NAME?</x:v>
      </x:c>
      <x:c r="X44" s="13" t="e">
        <x:f>IF($A44="","",[1]!thsiFinD("ths_adjustment_nv_fund",X$3,$A44))</x:f>
        <x:v>#NAME?</x:v>
      </x:c>
      <x:c r="Y44" s="13" t="e">
        <x:f>IF($A44="","",[1]!thsiFinD("ths_adjustment_nv_fund",Y$3,$A44))</x:f>
        <x:v>#NAME?</x:v>
      </x:c>
    </x:row>
    <x:row r="45">
      <x:c r="A45" s="8"/>
      <x:c r="B45" s="13" t="e">
        <x:f>IF($A45="","",[1]!thsiFinD("ths_adjustment_nv_fund",B$3,$A45))</x:f>
        <x:v>#NAME?</x:v>
      </x:c>
      <x:c r="C45" s="13" t="e">
        <x:f>IF($A45="","",[1]!thsiFinD("ths_adjustment_nv_fund",C$3,$A45))</x:f>
        <x:v>#NAME?</x:v>
      </x:c>
      <x:c r="D45" s="13" t="e">
        <x:f>IF($A45="","",[1]!thsiFinD("ths_adjustment_nv_fund",D$3,$A45))</x:f>
        <x:v>#NAME?</x:v>
      </x:c>
      <x:c r="E45" s="13" t="e">
        <x:f>IF($A45="","",[1]!thsiFinD("ths_adjustment_nv_fund",E$3,$A45))</x:f>
        <x:v>#NAME?</x:v>
      </x:c>
      <x:c r="F45" s="13" t="e">
        <x:f>IF($A45="","",[1]!thsiFinD("ths_adjustment_nv_fund",F$3,$A45))</x:f>
        <x:v>#NAME?</x:v>
      </x:c>
      <x:c r="G45" s="13" t="e">
        <x:f>IF($A45="","",[1]!thsiFinD("ths_adjustment_nv_fund",G$3,$A45))</x:f>
        <x:v>#NAME?</x:v>
      </x:c>
      <x:c r="H45" s="13" t="e">
        <x:f>IF($A45="","",[1]!thsiFinD("ths_adjustment_nv_fund",H$3,$A45))</x:f>
        <x:v>#NAME?</x:v>
      </x:c>
      <x:c r="I45" s="13" t="e">
        <x:f>IF($A45="","",[1]!thsiFinD("ths_adjustment_nv_fund",I$3,$A45))</x:f>
        <x:v>#NAME?</x:v>
      </x:c>
      <x:c r="J45" s="13" t="e">
        <x:f>IF($A45="","",[1]!thsiFinD("ths_adjustment_nv_fund",J$3,$A45))</x:f>
        <x:v>#NAME?</x:v>
      </x:c>
      <x:c r="K45" s="13" t="e">
        <x:f>IF($A45="","",[1]!thsiFinD("ths_adjustment_nv_fund",K$3,$A45))</x:f>
        <x:v>#NAME?</x:v>
      </x:c>
      <x:c r="L45" s="13" t="e">
        <x:f>IF($A45="","",[1]!thsiFinD("ths_adjustment_nv_fund",L$3,$A45))</x:f>
        <x:v>#NAME?</x:v>
      </x:c>
      <x:c r="M45" s="13" t="e">
        <x:f>IF($A45="","",[1]!thsiFinD("ths_adjustment_nv_fund",M$3,$A45))</x:f>
        <x:v>#NAME?</x:v>
      </x:c>
      <x:c r="N45" s="13" t="e">
        <x:f>IF($A45="","",[1]!thsiFinD("ths_adjustment_nv_fund",N$3,$A45))</x:f>
        <x:v>#NAME?</x:v>
      </x:c>
      <x:c r="O45" s="13" t="e">
        <x:f>IF($A45="","",[1]!thsiFinD("ths_adjustment_nv_fund",O$3,$A45))</x:f>
        <x:v>#NAME?</x:v>
      </x:c>
      <x:c r="P45" s="13" t="e">
        <x:f>IF($A45="","",[1]!thsiFinD("ths_adjustment_nv_fund",P$3,$A45))</x:f>
        <x:v>#NAME?</x:v>
      </x:c>
      <x:c r="Q45" s="13" t="e">
        <x:f>IF($A45="","",[1]!thsiFinD("ths_adjustment_nv_fund",Q$3,$A45))</x:f>
        <x:v>#NAME?</x:v>
      </x:c>
      <x:c r="R45" s="13" t="e">
        <x:f>IF($A45="","",[1]!thsiFinD("ths_adjustment_nv_fund",R$3,$A45))</x:f>
        <x:v>#NAME?</x:v>
      </x:c>
      <x:c r="S45" s="13" t="e">
        <x:f>IF($A45="","",[1]!thsiFinD("ths_adjustment_nv_fund",S$3,$A45))</x:f>
        <x:v>#NAME?</x:v>
      </x:c>
      <x:c r="T45" s="13" t="e">
        <x:f>IF($A45="","",[1]!thsiFinD("ths_adjustment_nv_fund",T$3,$A45))</x:f>
        <x:v>#NAME?</x:v>
      </x:c>
      <x:c r="U45" s="13" t="e">
        <x:f>IF($A45="","",[1]!thsiFinD("ths_adjustment_nv_fund",U$3,$A45))</x:f>
        <x:v>#NAME?</x:v>
      </x:c>
      <x:c r="V45" s="13" t="e">
        <x:f>IF($A45="","",[1]!thsiFinD("ths_adjustment_nv_fund",V$3,$A45))</x:f>
        <x:v>#NAME?</x:v>
      </x:c>
      <x:c r="W45" s="13" t="e">
        <x:f>IF($A45="","",[1]!thsiFinD("ths_adjustment_nv_fund",W$3,$A45))</x:f>
        <x:v>#NAME?</x:v>
      </x:c>
      <x:c r="X45" s="13" t="e">
        <x:f>IF($A45="","",[1]!thsiFinD("ths_adjustment_nv_fund",X$3,$A45))</x:f>
        <x:v>#NAME?</x:v>
      </x:c>
      <x:c r="Y45" s="13" t="e">
        <x:f>IF($A45="","",[1]!thsiFinD("ths_adjustment_nv_fund",Y$3,$A45))</x:f>
        <x:v>#NAME?</x:v>
      </x:c>
    </x:row>
    <x:row r="46">
      <x:c r="A46" s="8"/>
      <x:c r="B46" s="13" t="e">
        <x:f>IF($A46="","",[1]!thsiFinD("ths_adjustment_nv_fund",B$3,$A46))</x:f>
        <x:v>#NAME?</x:v>
      </x:c>
      <x:c r="C46" s="13" t="e">
        <x:f>IF($A46="","",[1]!thsiFinD("ths_adjustment_nv_fund",C$3,$A46))</x:f>
        <x:v>#NAME?</x:v>
      </x:c>
      <x:c r="D46" s="13" t="e">
        <x:f>IF($A46="","",[1]!thsiFinD("ths_adjustment_nv_fund",D$3,$A46))</x:f>
        <x:v>#NAME?</x:v>
      </x:c>
      <x:c r="E46" s="13" t="e">
        <x:f>IF($A46="","",[1]!thsiFinD("ths_adjustment_nv_fund",E$3,$A46))</x:f>
        <x:v>#NAME?</x:v>
      </x:c>
      <x:c r="F46" s="13" t="e">
        <x:f>IF($A46="","",[1]!thsiFinD("ths_adjustment_nv_fund",F$3,$A46))</x:f>
        <x:v>#NAME?</x:v>
      </x:c>
      <x:c r="G46" s="13" t="e">
        <x:f>IF($A46="","",[1]!thsiFinD("ths_adjustment_nv_fund",G$3,$A46))</x:f>
        <x:v>#NAME?</x:v>
      </x:c>
      <x:c r="H46" s="13" t="e">
        <x:f>IF($A46="","",[1]!thsiFinD("ths_adjustment_nv_fund",H$3,$A46))</x:f>
        <x:v>#NAME?</x:v>
      </x:c>
      <x:c r="I46" s="13" t="e">
        <x:f>IF($A46="","",[1]!thsiFinD("ths_adjustment_nv_fund",I$3,$A46))</x:f>
        <x:v>#NAME?</x:v>
      </x:c>
      <x:c r="J46" s="13" t="e">
        <x:f>IF($A46="","",[1]!thsiFinD("ths_adjustment_nv_fund",J$3,$A46))</x:f>
        <x:v>#NAME?</x:v>
      </x:c>
      <x:c r="K46" s="13" t="e">
        <x:f>IF($A46="","",[1]!thsiFinD("ths_adjustment_nv_fund",K$3,$A46))</x:f>
        <x:v>#NAME?</x:v>
      </x:c>
      <x:c r="L46" s="13" t="e">
        <x:f>IF($A46="","",[1]!thsiFinD("ths_adjustment_nv_fund",L$3,$A46))</x:f>
        <x:v>#NAME?</x:v>
      </x:c>
      <x:c r="M46" s="13" t="e">
        <x:f>IF($A46="","",[1]!thsiFinD("ths_adjustment_nv_fund",M$3,$A46))</x:f>
        <x:v>#NAME?</x:v>
      </x:c>
      <x:c r="N46" s="13" t="e">
        <x:f>IF($A46="","",[1]!thsiFinD("ths_adjustment_nv_fund",N$3,$A46))</x:f>
        <x:v>#NAME?</x:v>
      </x:c>
      <x:c r="O46" s="13" t="e">
        <x:f>IF($A46="","",[1]!thsiFinD("ths_adjustment_nv_fund",O$3,$A46))</x:f>
        <x:v>#NAME?</x:v>
      </x:c>
      <x:c r="P46" s="13" t="e">
        <x:f>IF($A46="","",[1]!thsiFinD("ths_adjustment_nv_fund",P$3,$A46))</x:f>
        <x:v>#NAME?</x:v>
      </x:c>
      <x:c r="Q46" s="13" t="e">
        <x:f>IF($A46="","",[1]!thsiFinD("ths_adjustment_nv_fund",Q$3,$A46))</x:f>
        <x:v>#NAME?</x:v>
      </x:c>
      <x:c r="R46" s="13" t="e">
        <x:f>IF($A46="","",[1]!thsiFinD("ths_adjustment_nv_fund",R$3,$A46))</x:f>
        <x:v>#NAME?</x:v>
      </x:c>
      <x:c r="S46" s="13" t="e">
        <x:f>IF($A46="","",[1]!thsiFinD("ths_adjustment_nv_fund",S$3,$A46))</x:f>
        <x:v>#NAME?</x:v>
      </x:c>
      <x:c r="T46" s="13" t="e">
        <x:f>IF($A46="","",[1]!thsiFinD("ths_adjustment_nv_fund",T$3,$A46))</x:f>
        <x:v>#NAME?</x:v>
      </x:c>
      <x:c r="U46" s="13" t="e">
        <x:f>IF($A46="","",[1]!thsiFinD("ths_adjustment_nv_fund",U$3,$A46))</x:f>
        <x:v>#NAME?</x:v>
      </x:c>
      <x:c r="V46" s="13" t="e">
        <x:f>IF($A46="","",[1]!thsiFinD("ths_adjustment_nv_fund",V$3,$A46))</x:f>
        <x:v>#NAME?</x:v>
      </x:c>
      <x:c r="W46" s="13" t="e">
        <x:f>IF($A46="","",[1]!thsiFinD("ths_adjustment_nv_fund",W$3,$A46))</x:f>
        <x:v>#NAME?</x:v>
      </x:c>
      <x:c r="X46" s="13" t="e">
        <x:f>IF($A46="","",[1]!thsiFinD("ths_adjustment_nv_fund",X$3,$A46))</x:f>
        <x:v>#NAME?</x:v>
      </x:c>
      <x:c r="Y46" s="13" t="e">
        <x:f>IF($A46="","",[1]!thsiFinD("ths_adjustment_nv_fund",Y$3,$A46))</x:f>
        <x:v>#NAME?</x:v>
      </x:c>
    </x:row>
    <x:row r="47">
      <x:c r="A47" s="8"/>
      <x:c r="B47" s="13" t="e">
        <x:f>IF($A47="","",[1]!thsiFinD("ths_adjustment_nv_fund",B$3,$A47))</x:f>
        <x:v>#NAME?</x:v>
      </x:c>
      <x:c r="C47" s="13" t="e">
        <x:f>IF($A47="","",[1]!thsiFinD("ths_adjustment_nv_fund",C$3,$A47))</x:f>
        <x:v>#NAME?</x:v>
      </x:c>
      <x:c r="D47" s="13" t="e">
        <x:f>IF($A47="","",[1]!thsiFinD("ths_adjustment_nv_fund",D$3,$A47))</x:f>
        <x:v>#NAME?</x:v>
      </x:c>
      <x:c r="E47" s="13" t="e">
        <x:f>IF($A47="","",[1]!thsiFinD("ths_adjustment_nv_fund",E$3,$A47))</x:f>
        <x:v>#NAME?</x:v>
      </x:c>
      <x:c r="F47" s="13" t="e">
        <x:f>IF($A47="","",[1]!thsiFinD("ths_adjustment_nv_fund",F$3,$A47))</x:f>
        <x:v>#NAME?</x:v>
      </x:c>
      <x:c r="G47" s="13" t="e">
        <x:f>IF($A47="","",[1]!thsiFinD("ths_adjustment_nv_fund",G$3,$A47))</x:f>
        <x:v>#NAME?</x:v>
      </x:c>
      <x:c r="H47" s="13" t="e">
        <x:f>IF($A47="","",[1]!thsiFinD("ths_adjustment_nv_fund",H$3,$A47))</x:f>
        <x:v>#NAME?</x:v>
      </x:c>
      <x:c r="I47" s="13" t="e">
        <x:f>IF($A47="","",[1]!thsiFinD("ths_adjustment_nv_fund",I$3,$A47))</x:f>
        <x:v>#NAME?</x:v>
      </x:c>
      <x:c r="J47" s="13" t="e">
        <x:f>IF($A47="","",[1]!thsiFinD("ths_adjustment_nv_fund",J$3,$A47))</x:f>
        <x:v>#NAME?</x:v>
      </x:c>
      <x:c r="K47" s="13" t="e">
        <x:f>IF($A47="","",[1]!thsiFinD("ths_adjustment_nv_fund",K$3,$A47))</x:f>
        <x:v>#NAME?</x:v>
      </x:c>
      <x:c r="L47" s="13" t="e">
        <x:f>IF($A47="","",[1]!thsiFinD("ths_adjustment_nv_fund",L$3,$A47))</x:f>
        <x:v>#NAME?</x:v>
      </x:c>
      <x:c r="M47" s="13" t="e">
        <x:f>IF($A47="","",[1]!thsiFinD("ths_adjustment_nv_fund",M$3,$A47))</x:f>
        <x:v>#NAME?</x:v>
      </x:c>
      <x:c r="N47" s="13" t="e">
        <x:f>IF($A47="","",[1]!thsiFinD("ths_adjustment_nv_fund",N$3,$A47))</x:f>
        <x:v>#NAME?</x:v>
      </x:c>
      <x:c r="O47" s="13" t="e">
        <x:f>IF($A47="","",[1]!thsiFinD("ths_adjustment_nv_fund",O$3,$A47))</x:f>
        <x:v>#NAME?</x:v>
      </x:c>
      <x:c r="P47" s="13" t="e">
        <x:f>IF($A47="","",[1]!thsiFinD("ths_adjustment_nv_fund",P$3,$A47))</x:f>
        <x:v>#NAME?</x:v>
      </x:c>
      <x:c r="Q47" s="13" t="e">
        <x:f>IF($A47="","",[1]!thsiFinD("ths_adjustment_nv_fund",Q$3,$A47))</x:f>
        <x:v>#NAME?</x:v>
      </x:c>
      <x:c r="R47" s="13" t="e">
        <x:f>IF($A47="","",[1]!thsiFinD("ths_adjustment_nv_fund",R$3,$A47))</x:f>
        <x:v>#NAME?</x:v>
      </x:c>
      <x:c r="S47" s="13" t="e">
        <x:f>IF($A47="","",[1]!thsiFinD("ths_adjustment_nv_fund",S$3,$A47))</x:f>
        <x:v>#NAME?</x:v>
      </x:c>
      <x:c r="T47" s="13" t="e">
        <x:f>IF($A47="","",[1]!thsiFinD("ths_adjustment_nv_fund",T$3,$A47))</x:f>
        <x:v>#NAME?</x:v>
      </x:c>
      <x:c r="U47" s="13" t="e">
        <x:f>IF($A47="","",[1]!thsiFinD("ths_adjustment_nv_fund",U$3,$A47))</x:f>
        <x:v>#NAME?</x:v>
      </x:c>
      <x:c r="V47" s="13" t="e">
        <x:f>IF($A47="","",[1]!thsiFinD("ths_adjustment_nv_fund",V$3,$A47))</x:f>
        <x:v>#NAME?</x:v>
      </x:c>
      <x:c r="W47" s="13" t="e">
        <x:f>IF($A47="","",[1]!thsiFinD("ths_adjustment_nv_fund",W$3,$A47))</x:f>
        <x:v>#NAME?</x:v>
      </x:c>
      <x:c r="X47" s="13" t="e">
        <x:f>IF($A47="","",[1]!thsiFinD("ths_adjustment_nv_fund",X$3,$A47))</x:f>
        <x:v>#NAME?</x:v>
      </x:c>
      <x:c r="Y47" s="13" t="e">
        <x:f>IF($A47="","",[1]!thsiFinD("ths_adjustment_nv_fund",Y$3,$A47))</x:f>
        <x:v>#NAME?</x:v>
      </x:c>
    </x:row>
    <x:row r="48">
      <x:c r="A48" s="8"/>
      <x:c r="B48" s="13" t="e">
        <x:f>IF($A48="","",[1]!thsiFinD("ths_adjustment_nv_fund",B$3,$A48))</x:f>
        <x:v>#NAME?</x:v>
      </x:c>
      <x:c r="C48" s="13" t="e">
        <x:f>IF($A48="","",[1]!thsiFinD("ths_adjustment_nv_fund",C$3,$A48))</x:f>
        <x:v>#NAME?</x:v>
      </x:c>
      <x:c r="D48" s="13" t="e">
        <x:f>IF($A48="","",[1]!thsiFinD("ths_adjustment_nv_fund",D$3,$A48))</x:f>
        <x:v>#NAME?</x:v>
      </x:c>
      <x:c r="E48" s="13" t="e">
        <x:f>IF($A48="","",[1]!thsiFinD("ths_adjustment_nv_fund",E$3,$A48))</x:f>
        <x:v>#NAME?</x:v>
      </x:c>
      <x:c r="F48" s="13" t="e">
        <x:f>IF($A48="","",[1]!thsiFinD("ths_adjustment_nv_fund",F$3,$A48))</x:f>
        <x:v>#NAME?</x:v>
      </x:c>
      <x:c r="G48" s="13" t="e">
        <x:f>IF($A48="","",[1]!thsiFinD("ths_adjustment_nv_fund",G$3,$A48))</x:f>
        <x:v>#NAME?</x:v>
      </x:c>
      <x:c r="H48" s="13" t="e">
        <x:f>IF($A48="","",[1]!thsiFinD("ths_adjustment_nv_fund",H$3,$A48))</x:f>
        <x:v>#NAME?</x:v>
      </x:c>
      <x:c r="I48" s="13" t="e">
        <x:f>IF($A48="","",[1]!thsiFinD("ths_adjustment_nv_fund",I$3,$A48))</x:f>
        <x:v>#NAME?</x:v>
      </x:c>
      <x:c r="J48" s="13" t="e">
        <x:f>IF($A48="","",[1]!thsiFinD("ths_adjustment_nv_fund",J$3,$A48))</x:f>
        <x:v>#NAME?</x:v>
      </x:c>
      <x:c r="K48" s="13" t="e">
        <x:f>IF($A48="","",[1]!thsiFinD("ths_adjustment_nv_fund",K$3,$A48))</x:f>
        <x:v>#NAME?</x:v>
      </x:c>
      <x:c r="L48" s="13" t="e">
        <x:f>IF($A48="","",[1]!thsiFinD("ths_adjustment_nv_fund",L$3,$A48))</x:f>
        <x:v>#NAME?</x:v>
      </x:c>
      <x:c r="M48" s="13" t="e">
        <x:f>IF($A48="","",[1]!thsiFinD("ths_adjustment_nv_fund",M$3,$A48))</x:f>
        <x:v>#NAME?</x:v>
      </x:c>
      <x:c r="N48" s="13" t="e">
        <x:f>IF($A48="","",[1]!thsiFinD("ths_adjustment_nv_fund",N$3,$A48))</x:f>
        <x:v>#NAME?</x:v>
      </x:c>
      <x:c r="O48" s="13" t="e">
        <x:f>IF($A48="","",[1]!thsiFinD("ths_adjustment_nv_fund",O$3,$A48))</x:f>
        <x:v>#NAME?</x:v>
      </x:c>
      <x:c r="P48" s="13" t="e">
        <x:f>IF($A48="","",[1]!thsiFinD("ths_adjustment_nv_fund",P$3,$A48))</x:f>
        <x:v>#NAME?</x:v>
      </x:c>
      <x:c r="Q48" s="13" t="e">
        <x:f>IF($A48="","",[1]!thsiFinD("ths_adjustment_nv_fund",Q$3,$A48))</x:f>
        <x:v>#NAME?</x:v>
      </x:c>
      <x:c r="R48" s="13" t="e">
        <x:f>IF($A48="","",[1]!thsiFinD("ths_adjustment_nv_fund",R$3,$A48))</x:f>
        <x:v>#NAME?</x:v>
      </x:c>
      <x:c r="S48" s="13" t="e">
        <x:f>IF($A48="","",[1]!thsiFinD("ths_adjustment_nv_fund",S$3,$A48))</x:f>
        <x:v>#NAME?</x:v>
      </x:c>
      <x:c r="T48" s="13" t="e">
        <x:f>IF($A48="","",[1]!thsiFinD("ths_adjustment_nv_fund",T$3,$A48))</x:f>
        <x:v>#NAME?</x:v>
      </x:c>
      <x:c r="U48" s="13" t="e">
        <x:f>IF($A48="","",[1]!thsiFinD("ths_adjustment_nv_fund",U$3,$A48))</x:f>
        <x:v>#NAME?</x:v>
      </x:c>
      <x:c r="V48" s="13" t="e">
        <x:f>IF($A48="","",[1]!thsiFinD("ths_adjustment_nv_fund",V$3,$A48))</x:f>
        <x:v>#NAME?</x:v>
      </x:c>
      <x:c r="W48" s="13" t="e">
        <x:f>IF($A48="","",[1]!thsiFinD("ths_adjustment_nv_fund",W$3,$A48))</x:f>
        <x:v>#NAME?</x:v>
      </x:c>
      <x:c r="X48" s="13" t="e">
        <x:f>IF($A48="","",[1]!thsiFinD("ths_adjustment_nv_fund",X$3,$A48))</x:f>
        <x:v>#NAME?</x:v>
      </x:c>
      <x:c r="Y48" s="13" t="e">
        <x:f>IF($A48="","",[1]!thsiFinD("ths_adjustment_nv_fund",Y$3,$A48))</x:f>
        <x:v>#NAME?</x:v>
      </x:c>
    </x:row>
    <x:row r="49">
      <x:c r="A49" s="8"/>
      <x:c r="B49" s="13" t="e">
        <x:f>IF($A49="","",[1]!thsiFinD("ths_adjustment_nv_fund",B$3,$A49))</x:f>
        <x:v>#NAME?</x:v>
      </x:c>
      <x:c r="C49" s="13" t="e">
        <x:f>IF($A49="","",[1]!thsiFinD("ths_adjustment_nv_fund",C$3,$A49))</x:f>
        <x:v>#NAME?</x:v>
      </x:c>
      <x:c r="D49" s="13" t="e">
        <x:f>IF($A49="","",[1]!thsiFinD("ths_adjustment_nv_fund",D$3,$A49))</x:f>
        <x:v>#NAME?</x:v>
      </x:c>
      <x:c r="E49" s="13" t="e">
        <x:f>IF($A49="","",[1]!thsiFinD("ths_adjustment_nv_fund",E$3,$A49))</x:f>
        <x:v>#NAME?</x:v>
      </x:c>
      <x:c r="F49" s="13" t="e">
        <x:f>IF($A49="","",[1]!thsiFinD("ths_adjustment_nv_fund",F$3,$A49))</x:f>
        <x:v>#NAME?</x:v>
      </x:c>
      <x:c r="G49" s="13" t="e">
        <x:f>IF($A49="","",[1]!thsiFinD("ths_adjustment_nv_fund",G$3,$A49))</x:f>
        <x:v>#NAME?</x:v>
      </x:c>
      <x:c r="H49" s="13" t="e">
        <x:f>IF($A49="","",[1]!thsiFinD("ths_adjustment_nv_fund",H$3,$A49))</x:f>
        <x:v>#NAME?</x:v>
      </x:c>
      <x:c r="I49" s="13" t="e">
        <x:f>IF($A49="","",[1]!thsiFinD("ths_adjustment_nv_fund",I$3,$A49))</x:f>
        <x:v>#NAME?</x:v>
      </x:c>
      <x:c r="J49" s="13" t="e">
        <x:f>IF($A49="","",[1]!thsiFinD("ths_adjustment_nv_fund",J$3,$A49))</x:f>
        <x:v>#NAME?</x:v>
      </x:c>
      <x:c r="K49" s="13" t="e">
        <x:f>IF($A49="","",[1]!thsiFinD("ths_adjustment_nv_fund",K$3,$A49))</x:f>
        <x:v>#NAME?</x:v>
      </x:c>
      <x:c r="L49" s="13" t="e">
        <x:f>IF($A49="","",[1]!thsiFinD("ths_adjustment_nv_fund",L$3,$A49))</x:f>
        <x:v>#NAME?</x:v>
      </x:c>
      <x:c r="M49" s="13" t="e">
        <x:f>IF($A49="","",[1]!thsiFinD("ths_adjustment_nv_fund",M$3,$A49))</x:f>
        <x:v>#NAME?</x:v>
      </x:c>
      <x:c r="N49" s="13" t="e">
        <x:f>IF($A49="","",[1]!thsiFinD("ths_adjustment_nv_fund",N$3,$A49))</x:f>
        <x:v>#NAME?</x:v>
      </x:c>
      <x:c r="O49" s="13" t="e">
        <x:f>IF($A49="","",[1]!thsiFinD("ths_adjustment_nv_fund",O$3,$A49))</x:f>
        <x:v>#NAME?</x:v>
      </x:c>
      <x:c r="P49" s="13" t="e">
        <x:f>IF($A49="","",[1]!thsiFinD("ths_adjustment_nv_fund",P$3,$A49))</x:f>
        <x:v>#NAME?</x:v>
      </x:c>
      <x:c r="Q49" s="13" t="e">
        <x:f>IF($A49="","",[1]!thsiFinD("ths_adjustment_nv_fund",Q$3,$A49))</x:f>
        <x:v>#NAME?</x:v>
      </x:c>
      <x:c r="R49" s="13" t="e">
        <x:f>IF($A49="","",[1]!thsiFinD("ths_adjustment_nv_fund",R$3,$A49))</x:f>
        <x:v>#NAME?</x:v>
      </x:c>
      <x:c r="S49" s="13" t="e">
        <x:f>IF($A49="","",[1]!thsiFinD("ths_adjustment_nv_fund",S$3,$A49))</x:f>
        <x:v>#NAME?</x:v>
      </x:c>
      <x:c r="T49" s="13" t="e">
        <x:f>IF($A49="","",[1]!thsiFinD("ths_adjustment_nv_fund",T$3,$A49))</x:f>
        <x:v>#NAME?</x:v>
      </x:c>
      <x:c r="U49" s="13" t="e">
        <x:f>IF($A49="","",[1]!thsiFinD("ths_adjustment_nv_fund",U$3,$A49))</x:f>
        <x:v>#NAME?</x:v>
      </x:c>
      <x:c r="V49" s="13" t="e">
        <x:f>IF($A49="","",[1]!thsiFinD("ths_adjustment_nv_fund",V$3,$A49))</x:f>
        <x:v>#NAME?</x:v>
      </x:c>
      <x:c r="W49" s="13" t="e">
        <x:f>IF($A49="","",[1]!thsiFinD("ths_adjustment_nv_fund",W$3,$A49))</x:f>
        <x:v>#NAME?</x:v>
      </x:c>
      <x:c r="X49" s="13" t="e">
        <x:f>IF($A49="","",[1]!thsiFinD("ths_adjustment_nv_fund",X$3,$A49))</x:f>
        <x:v>#NAME?</x:v>
      </x:c>
      <x:c r="Y49" s="13" t="e">
        <x:f>IF($A49="","",[1]!thsiFinD("ths_adjustment_nv_fund",Y$3,$A49))</x:f>
        <x:v>#NAME?</x:v>
      </x:c>
    </x:row>
    <x:row r="50">
      <x:c r="A50" s="8"/>
      <x:c r="B50" s="13" t="e">
        <x:f>IF($A50="","",[1]!thsiFinD("ths_adjustment_nv_fund",B$3,$A50))</x:f>
        <x:v>#NAME?</x:v>
      </x:c>
      <x:c r="C50" s="13" t="e">
        <x:f>IF($A50="","",[1]!thsiFinD("ths_adjustment_nv_fund",C$3,$A50))</x:f>
        <x:v>#NAME?</x:v>
      </x:c>
      <x:c r="D50" s="13" t="e">
        <x:f>IF($A50="","",[1]!thsiFinD("ths_adjustment_nv_fund",D$3,$A50))</x:f>
        <x:v>#NAME?</x:v>
      </x:c>
      <x:c r="E50" s="13" t="e">
        <x:f>IF($A50="","",[1]!thsiFinD("ths_adjustment_nv_fund",E$3,$A50))</x:f>
        <x:v>#NAME?</x:v>
      </x:c>
      <x:c r="F50" s="13" t="e">
        <x:f>IF($A50="","",[1]!thsiFinD("ths_adjustment_nv_fund",F$3,$A50))</x:f>
        <x:v>#NAME?</x:v>
      </x:c>
      <x:c r="G50" s="13" t="e">
        <x:f>IF($A50="","",[1]!thsiFinD("ths_adjustment_nv_fund",G$3,$A50))</x:f>
        <x:v>#NAME?</x:v>
      </x:c>
      <x:c r="H50" s="13" t="e">
        <x:f>IF($A50="","",[1]!thsiFinD("ths_adjustment_nv_fund",H$3,$A50))</x:f>
        <x:v>#NAME?</x:v>
      </x:c>
      <x:c r="I50" s="13" t="e">
        <x:f>IF($A50="","",[1]!thsiFinD("ths_adjustment_nv_fund",I$3,$A50))</x:f>
        <x:v>#NAME?</x:v>
      </x:c>
      <x:c r="J50" s="13" t="e">
        <x:f>IF($A50="","",[1]!thsiFinD("ths_adjustment_nv_fund",J$3,$A50))</x:f>
        <x:v>#NAME?</x:v>
      </x:c>
      <x:c r="K50" s="13" t="e">
        <x:f>IF($A50="","",[1]!thsiFinD("ths_adjustment_nv_fund",K$3,$A50))</x:f>
        <x:v>#NAME?</x:v>
      </x:c>
      <x:c r="L50" s="13" t="e">
        <x:f>IF($A50="","",[1]!thsiFinD("ths_adjustment_nv_fund",L$3,$A50))</x:f>
        <x:v>#NAME?</x:v>
      </x:c>
      <x:c r="M50" s="13" t="e">
        <x:f>IF($A50="","",[1]!thsiFinD("ths_adjustment_nv_fund",M$3,$A50))</x:f>
        <x:v>#NAME?</x:v>
      </x:c>
      <x:c r="N50" s="13" t="e">
        <x:f>IF($A50="","",[1]!thsiFinD("ths_adjustment_nv_fund",N$3,$A50))</x:f>
        <x:v>#NAME?</x:v>
      </x:c>
      <x:c r="O50" s="13" t="e">
        <x:f>IF($A50="","",[1]!thsiFinD("ths_adjustment_nv_fund",O$3,$A50))</x:f>
        <x:v>#NAME?</x:v>
      </x:c>
      <x:c r="P50" s="13" t="e">
        <x:f>IF($A50="","",[1]!thsiFinD("ths_adjustment_nv_fund",P$3,$A50))</x:f>
        <x:v>#NAME?</x:v>
      </x:c>
      <x:c r="Q50" s="13" t="e">
        <x:f>IF($A50="","",[1]!thsiFinD("ths_adjustment_nv_fund",Q$3,$A50))</x:f>
        <x:v>#NAME?</x:v>
      </x:c>
      <x:c r="R50" s="13" t="e">
        <x:f>IF($A50="","",[1]!thsiFinD("ths_adjustment_nv_fund",R$3,$A50))</x:f>
        <x:v>#NAME?</x:v>
      </x:c>
      <x:c r="S50" s="13" t="e">
        <x:f>IF($A50="","",[1]!thsiFinD("ths_adjustment_nv_fund",S$3,$A50))</x:f>
        <x:v>#NAME?</x:v>
      </x:c>
      <x:c r="T50" s="13" t="e">
        <x:f>IF($A50="","",[1]!thsiFinD("ths_adjustment_nv_fund",T$3,$A50))</x:f>
        <x:v>#NAME?</x:v>
      </x:c>
      <x:c r="U50" s="13" t="e">
        <x:f>IF($A50="","",[1]!thsiFinD("ths_adjustment_nv_fund",U$3,$A50))</x:f>
        <x:v>#NAME?</x:v>
      </x:c>
      <x:c r="V50" s="13" t="e">
        <x:f>IF($A50="","",[1]!thsiFinD("ths_adjustment_nv_fund",V$3,$A50))</x:f>
        <x:v>#NAME?</x:v>
      </x:c>
      <x:c r="W50" s="13" t="e">
        <x:f>IF($A50="","",[1]!thsiFinD("ths_adjustment_nv_fund",W$3,$A50))</x:f>
        <x:v>#NAME?</x:v>
      </x:c>
      <x:c r="X50" s="13" t="e">
        <x:f>IF($A50="","",[1]!thsiFinD("ths_adjustment_nv_fund",X$3,$A50))</x:f>
        <x:v>#NAME?</x:v>
      </x:c>
      <x:c r="Y50" s="13" t="e">
        <x:f>IF($A50="","",[1]!thsiFinD("ths_adjustment_nv_fund",Y$3,$A50))</x:f>
        <x:v>#NAME?</x:v>
      </x:c>
    </x:row>
    <x:row r="51">
      <x:c r="A51" s="8"/>
      <x:c r="B51" s="13" t="e">
        <x:f>IF($A51="","",[1]!thsiFinD("ths_adjustment_nv_fund",B$3,$A51))</x:f>
        <x:v>#NAME?</x:v>
      </x:c>
      <x:c r="C51" s="13" t="e">
        <x:f>IF($A51="","",[1]!thsiFinD("ths_adjustment_nv_fund",C$3,$A51))</x:f>
        <x:v>#NAME?</x:v>
      </x:c>
      <x:c r="D51" s="13" t="e">
        <x:f>IF($A51="","",[1]!thsiFinD("ths_adjustment_nv_fund",D$3,$A51))</x:f>
        <x:v>#NAME?</x:v>
      </x:c>
      <x:c r="E51" s="13" t="e">
        <x:f>IF($A51="","",[1]!thsiFinD("ths_adjustment_nv_fund",E$3,$A51))</x:f>
        <x:v>#NAME?</x:v>
      </x:c>
      <x:c r="F51" s="13" t="e">
        <x:f>IF($A51="","",[1]!thsiFinD("ths_adjustment_nv_fund",F$3,$A51))</x:f>
        <x:v>#NAME?</x:v>
      </x:c>
      <x:c r="G51" s="13" t="e">
        <x:f>IF($A51="","",[1]!thsiFinD("ths_adjustment_nv_fund",G$3,$A51))</x:f>
        <x:v>#NAME?</x:v>
      </x:c>
      <x:c r="H51" s="13" t="e">
        <x:f>IF($A51="","",[1]!thsiFinD("ths_adjustment_nv_fund",H$3,$A51))</x:f>
        <x:v>#NAME?</x:v>
      </x:c>
      <x:c r="I51" s="13" t="e">
        <x:f>IF($A51="","",[1]!thsiFinD("ths_adjustment_nv_fund",I$3,$A51))</x:f>
        <x:v>#NAME?</x:v>
      </x:c>
      <x:c r="J51" s="13" t="e">
        <x:f>IF($A51="","",[1]!thsiFinD("ths_adjustment_nv_fund",J$3,$A51))</x:f>
        <x:v>#NAME?</x:v>
      </x:c>
      <x:c r="K51" s="13" t="e">
        <x:f>IF($A51="","",[1]!thsiFinD("ths_adjustment_nv_fund",K$3,$A51))</x:f>
        <x:v>#NAME?</x:v>
      </x:c>
      <x:c r="L51" s="13" t="e">
        <x:f>IF($A51="","",[1]!thsiFinD("ths_adjustment_nv_fund",L$3,$A51))</x:f>
        <x:v>#NAME?</x:v>
      </x:c>
      <x:c r="M51" s="13" t="e">
        <x:f>IF($A51="","",[1]!thsiFinD("ths_adjustment_nv_fund",M$3,$A51))</x:f>
        <x:v>#NAME?</x:v>
      </x:c>
      <x:c r="N51" s="13" t="e">
        <x:f>IF($A51="","",[1]!thsiFinD("ths_adjustment_nv_fund",N$3,$A51))</x:f>
        <x:v>#NAME?</x:v>
      </x:c>
      <x:c r="O51" s="13" t="e">
        <x:f>IF($A51="","",[1]!thsiFinD("ths_adjustment_nv_fund",O$3,$A51))</x:f>
        <x:v>#NAME?</x:v>
      </x:c>
      <x:c r="P51" s="13" t="e">
        <x:f>IF($A51="","",[1]!thsiFinD("ths_adjustment_nv_fund",P$3,$A51))</x:f>
        <x:v>#NAME?</x:v>
      </x:c>
      <x:c r="Q51" s="13" t="e">
        <x:f>IF($A51="","",[1]!thsiFinD("ths_adjustment_nv_fund",Q$3,$A51))</x:f>
        <x:v>#NAME?</x:v>
      </x:c>
      <x:c r="R51" s="13" t="e">
        <x:f>IF($A51="","",[1]!thsiFinD("ths_adjustment_nv_fund",R$3,$A51))</x:f>
        <x:v>#NAME?</x:v>
      </x:c>
      <x:c r="S51" s="13" t="e">
        <x:f>IF($A51="","",[1]!thsiFinD("ths_adjustment_nv_fund",S$3,$A51))</x:f>
        <x:v>#NAME?</x:v>
      </x:c>
      <x:c r="T51" s="13" t="e">
        <x:f>IF($A51="","",[1]!thsiFinD("ths_adjustment_nv_fund",T$3,$A51))</x:f>
        <x:v>#NAME?</x:v>
      </x:c>
      <x:c r="U51" s="13" t="e">
        <x:f>IF($A51="","",[1]!thsiFinD("ths_adjustment_nv_fund",U$3,$A51))</x:f>
        <x:v>#NAME?</x:v>
      </x:c>
      <x:c r="V51" s="13" t="e">
        <x:f>IF($A51="","",[1]!thsiFinD("ths_adjustment_nv_fund",V$3,$A51))</x:f>
        <x:v>#NAME?</x:v>
      </x:c>
      <x:c r="W51" s="13" t="e">
        <x:f>IF($A51="","",[1]!thsiFinD("ths_adjustment_nv_fund",W$3,$A51))</x:f>
        <x:v>#NAME?</x:v>
      </x:c>
      <x:c r="X51" s="13" t="e">
        <x:f>IF($A51="","",[1]!thsiFinD("ths_adjustment_nv_fund",X$3,$A51))</x:f>
        <x:v>#NAME?</x:v>
      </x:c>
      <x:c r="Y51" s="13" t="e">
        <x:f>IF($A51="","",[1]!thsiFinD("ths_adjustment_nv_fund",Y$3,$A51))</x:f>
        <x:v>#NAME?</x:v>
      </x:c>
    </x:row>
    <x:row r="52">
      <x:c r="A52" s="8"/>
      <x:c r="B52" s="13" t="e">
        <x:f>IF($A52="","",[1]!thsiFinD("ths_adjustment_nv_fund",B$3,$A52))</x:f>
        <x:v>#NAME?</x:v>
      </x:c>
      <x:c r="C52" s="13" t="e">
        <x:f>IF($A52="","",[1]!thsiFinD("ths_adjustment_nv_fund",C$3,$A52))</x:f>
        <x:v>#NAME?</x:v>
      </x:c>
      <x:c r="D52" s="13" t="e">
        <x:f>IF($A52="","",[1]!thsiFinD("ths_adjustment_nv_fund",D$3,$A52))</x:f>
        <x:v>#NAME?</x:v>
      </x:c>
      <x:c r="E52" s="13" t="e">
        <x:f>IF($A52="","",[1]!thsiFinD("ths_adjustment_nv_fund",E$3,$A52))</x:f>
        <x:v>#NAME?</x:v>
      </x:c>
      <x:c r="F52" s="13" t="e">
        <x:f>IF($A52="","",[1]!thsiFinD("ths_adjustment_nv_fund",F$3,$A52))</x:f>
        <x:v>#NAME?</x:v>
      </x:c>
      <x:c r="G52" s="13" t="e">
        <x:f>IF($A52="","",[1]!thsiFinD("ths_adjustment_nv_fund",G$3,$A52))</x:f>
        <x:v>#NAME?</x:v>
      </x:c>
      <x:c r="H52" s="13" t="e">
        <x:f>IF($A52="","",[1]!thsiFinD("ths_adjustment_nv_fund",H$3,$A52))</x:f>
        <x:v>#NAME?</x:v>
      </x:c>
      <x:c r="I52" s="13" t="e">
        <x:f>IF($A52="","",[1]!thsiFinD("ths_adjustment_nv_fund",I$3,$A52))</x:f>
        <x:v>#NAME?</x:v>
      </x:c>
      <x:c r="J52" s="13" t="e">
        <x:f>IF($A52="","",[1]!thsiFinD("ths_adjustment_nv_fund",J$3,$A52))</x:f>
        <x:v>#NAME?</x:v>
      </x:c>
      <x:c r="K52" s="13" t="e">
        <x:f>IF($A52="","",[1]!thsiFinD("ths_adjustment_nv_fund",K$3,$A52))</x:f>
        <x:v>#NAME?</x:v>
      </x:c>
      <x:c r="L52" s="13" t="e">
        <x:f>IF($A52="","",[1]!thsiFinD("ths_adjustment_nv_fund",L$3,$A52))</x:f>
        <x:v>#NAME?</x:v>
      </x:c>
      <x:c r="M52" s="13" t="e">
        <x:f>IF($A52="","",[1]!thsiFinD("ths_adjustment_nv_fund",M$3,$A52))</x:f>
        <x:v>#NAME?</x:v>
      </x:c>
      <x:c r="N52" s="13" t="e">
        <x:f>IF($A52="","",[1]!thsiFinD("ths_adjustment_nv_fund",N$3,$A52))</x:f>
        <x:v>#NAME?</x:v>
      </x:c>
      <x:c r="O52" s="13" t="e">
        <x:f>IF($A52="","",[1]!thsiFinD("ths_adjustment_nv_fund",O$3,$A52))</x:f>
        <x:v>#NAME?</x:v>
      </x:c>
      <x:c r="P52" s="13" t="e">
        <x:f>IF($A52="","",[1]!thsiFinD("ths_adjustment_nv_fund",P$3,$A52))</x:f>
        <x:v>#NAME?</x:v>
      </x:c>
      <x:c r="Q52" s="13" t="e">
        <x:f>IF($A52="","",[1]!thsiFinD("ths_adjustment_nv_fund",Q$3,$A52))</x:f>
        <x:v>#NAME?</x:v>
      </x:c>
      <x:c r="R52" s="13" t="e">
        <x:f>IF($A52="","",[1]!thsiFinD("ths_adjustment_nv_fund",R$3,$A52))</x:f>
        <x:v>#NAME?</x:v>
      </x:c>
      <x:c r="S52" s="13" t="e">
        <x:f>IF($A52="","",[1]!thsiFinD("ths_adjustment_nv_fund",S$3,$A52))</x:f>
        <x:v>#NAME?</x:v>
      </x:c>
      <x:c r="T52" s="13" t="e">
        <x:f>IF($A52="","",[1]!thsiFinD("ths_adjustment_nv_fund",T$3,$A52))</x:f>
        <x:v>#NAME?</x:v>
      </x:c>
      <x:c r="U52" s="13" t="e">
        <x:f>IF($A52="","",[1]!thsiFinD("ths_adjustment_nv_fund",U$3,$A52))</x:f>
        <x:v>#NAME?</x:v>
      </x:c>
      <x:c r="V52" s="13" t="e">
        <x:f>IF($A52="","",[1]!thsiFinD("ths_adjustment_nv_fund",V$3,$A52))</x:f>
        <x:v>#NAME?</x:v>
      </x:c>
      <x:c r="W52" s="13" t="e">
        <x:f>IF($A52="","",[1]!thsiFinD("ths_adjustment_nv_fund",W$3,$A52))</x:f>
        <x:v>#NAME?</x:v>
      </x:c>
      <x:c r="X52" s="13" t="e">
        <x:f>IF($A52="","",[1]!thsiFinD("ths_adjustment_nv_fund",X$3,$A52))</x:f>
        <x:v>#NAME?</x:v>
      </x:c>
      <x:c r="Y52" s="13" t="e">
        <x:f>IF($A52="","",[1]!thsiFinD("ths_adjustment_nv_fund",Y$3,$A52))</x:f>
        <x:v>#NAME?</x:v>
      </x:c>
    </x:row>
    <x:row r="53">
      <x:c r="A53" s="8"/>
      <x:c r="B53" s="13" t="e">
        <x:f>IF($A53="","",[1]!thsiFinD("ths_adjustment_nv_fund",B$3,$A53))</x:f>
        <x:v>#NAME?</x:v>
      </x:c>
      <x:c r="C53" s="13" t="e">
        <x:f>IF($A53="","",[1]!thsiFinD("ths_adjustment_nv_fund",C$3,$A53))</x:f>
        <x:v>#NAME?</x:v>
      </x:c>
      <x:c r="D53" s="13" t="e">
        <x:f>IF($A53="","",[1]!thsiFinD("ths_adjustment_nv_fund",D$3,$A53))</x:f>
        <x:v>#NAME?</x:v>
      </x:c>
      <x:c r="E53" s="13" t="e">
        <x:f>IF($A53="","",[1]!thsiFinD("ths_adjustment_nv_fund",E$3,$A53))</x:f>
        <x:v>#NAME?</x:v>
      </x:c>
      <x:c r="F53" s="13" t="e">
        <x:f>IF($A53="","",[1]!thsiFinD("ths_adjustment_nv_fund",F$3,$A53))</x:f>
        <x:v>#NAME?</x:v>
      </x:c>
      <x:c r="G53" s="13" t="e">
        <x:f>IF($A53="","",[1]!thsiFinD("ths_adjustment_nv_fund",G$3,$A53))</x:f>
        <x:v>#NAME?</x:v>
      </x:c>
      <x:c r="H53" s="13" t="e">
        <x:f>IF($A53="","",[1]!thsiFinD("ths_adjustment_nv_fund",H$3,$A53))</x:f>
        <x:v>#NAME?</x:v>
      </x:c>
      <x:c r="I53" s="13" t="e">
        <x:f>IF($A53="","",[1]!thsiFinD("ths_adjustment_nv_fund",I$3,$A53))</x:f>
        <x:v>#NAME?</x:v>
      </x:c>
      <x:c r="J53" s="13" t="e">
        <x:f>IF($A53="","",[1]!thsiFinD("ths_adjustment_nv_fund",J$3,$A53))</x:f>
        <x:v>#NAME?</x:v>
      </x:c>
      <x:c r="K53" s="13" t="e">
        <x:f>IF($A53="","",[1]!thsiFinD("ths_adjustment_nv_fund",K$3,$A53))</x:f>
        <x:v>#NAME?</x:v>
      </x:c>
      <x:c r="L53" s="13" t="e">
        <x:f>IF($A53="","",[1]!thsiFinD("ths_adjustment_nv_fund",L$3,$A53))</x:f>
        <x:v>#NAME?</x:v>
      </x:c>
      <x:c r="M53" s="13" t="e">
        <x:f>IF($A53="","",[1]!thsiFinD("ths_adjustment_nv_fund",M$3,$A53))</x:f>
        <x:v>#NAME?</x:v>
      </x:c>
      <x:c r="N53" s="13" t="e">
        <x:f>IF($A53="","",[1]!thsiFinD("ths_adjustment_nv_fund",N$3,$A53))</x:f>
        <x:v>#NAME?</x:v>
      </x:c>
      <x:c r="O53" s="13" t="e">
        <x:f>IF($A53="","",[1]!thsiFinD("ths_adjustment_nv_fund",O$3,$A53))</x:f>
        <x:v>#NAME?</x:v>
      </x:c>
      <x:c r="P53" s="13" t="e">
        <x:f>IF($A53="","",[1]!thsiFinD("ths_adjustment_nv_fund",P$3,$A53))</x:f>
        <x:v>#NAME?</x:v>
      </x:c>
      <x:c r="Q53" s="13" t="e">
        <x:f>IF($A53="","",[1]!thsiFinD("ths_adjustment_nv_fund",Q$3,$A53))</x:f>
        <x:v>#NAME?</x:v>
      </x:c>
      <x:c r="R53" s="13" t="e">
        <x:f>IF($A53="","",[1]!thsiFinD("ths_adjustment_nv_fund",R$3,$A53))</x:f>
        <x:v>#NAME?</x:v>
      </x:c>
      <x:c r="S53" s="13" t="e">
        <x:f>IF($A53="","",[1]!thsiFinD("ths_adjustment_nv_fund",S$3,$A53))</x:f>
        <x:v>#NAME?</x:v>
      </x:c>
      <x:c r="T53" s="13" t="e">
        <x:f>IF($A53="","",[1]!thsiFinD("ths_adjustment_nv_fund",T$3,$A53))</x:f>
        <x:v>#NAME?</x:v>
      </x:c>
      <x:c r="U53" s="13" t="e">
        <x:f>IF($A53="","",[1]!thsiFinD("ths_adjustment_nv_fund",U$3,$A53))</x:f>
        <x:v>#NAME?</x:v>
      </x:c>
      <x:c r="V53" s="13" t="e">
        <x:f>IF($A53="","",[1]!thsiFinD("ths_adjustment_nv_fund",V$3,$A53))</x:f>
        <x:v>#NAME?</x:v>
      </x:c>
      <x:c r="W53" s="13" t="e">
        <x:f>IF($A53="","",[1]!thsiFinD("ths_adjustment_nv_fund",W$3,$A53))</x:f>
        <x:v>#NAME?</x:v>
      </x:c>
      <x:c r="X53" s="13" t="e">
        <x:f>IF($A53="","",[1]!thsiFinD("ths_adjustment_nv_fund",X$3,$A53))</x:f>
        <x:v>#NAME?</x:v>
      </x:c>
      <x:c r="Y53" s="13" t="e">
        <x:f>IF($A53="","",[1]!thsiFinD("ths_adjustment_nv_fund",Y$3,$A53))</x:f>
        <x:v>#NAME?</x:v>
      </x:c>
    </x:row>
    <x:row r="54">
      <x:c r="A54" s="8"/>
      <x:c r="B54" s="13" t="e">
        <x:f>IF($A54="","",[1]!thsiFinD("ths_adjustment_nv_fund",B$3,$A54))</x:f>
        <x:v>#NAME?</x:v>
      </x:c>
      <x:c r="C54" s="13" t="e">
        <x:f>IF($A54="","",[1]!thsiFinD("ths_adjustment_nv_fund",C$3,$A54))</x:f>
        <x:v>#NAME?</x:v>
      </x:c>
      <x:c r="D54" s="13" t="e">
        <x:f>IF($A54="","",[1]!thsiFinD("ths_adjustment_nv_fund",D$3,$A54))</x:f>
        <x:v>#NAME?</x:v>
      </x:c>
      <x:c r="E54" s="13" t="e">
        <x:f>IF($A54="","",[1]!thsiFinD("ths_adjustment_nv_fund",E$3,$A54))</x:f>
        <x:v>#NAME?</x:v>
      </x:c>
      <x:c r="F54" s="13" t="e">
        <x:f>IF($A54="","",[1]!thsiFinD("ths_adjustment_nv_fund",F$3,$A54))</x:f>
        <x:v>#NAME?</x:v>
      </x:c>
      <x:c r="G54" s="13" t="e">
        <x:f>IF($A54="","",[1]!thsiFinD("ths_adjustment_nv_fund",G$3,$A54))</x:f>
        <x:v>#NAME?</x:v>
      </x:c>
      <x:c r="H54" s="13" t="e">
        <x:f>IF($A54="","",[1]!thsiFinD("ths_adjustment_nv_fund",H$3,$A54))</x:f>
        <x:v>#NAME?</x:v>
      </x:c>
      <x:c r="I54" s="13" t="e">
        <x:f>IF($A54="","",[1]!thsiFinD("ths_adjustment_nv_fund",I$3,$A54))</x:f>
        <x:v>#NAME?</x:v>
      </x:c>
      <x:c r="J54" s="13" t="e">
        <x:f>IF($A54="","",[1]!thsiFinD("ths_adjustment_nv_fund",J$3,$A54))</x:f>
        <x:v>#NAME?</x:v>
      </x:c>
      <x:c r="K54" s="13" t="e">
        <x:f>IF($A54="","",[1]!thsiFinD("ths_adjustment_nv_fund",K$3,$A54))</x:f>
        <x:v>#NAME?</x:v>
      </x:c>
      <x:c r="L54" s="13" t="e">
        <x:f>IF($A54="","",[1]!thsiFinD("ths_adjustment_nv_fund",L$3,$A54))</x:f>
        <x:v>#NAME?</x:v>
      </x:c>
      <x:c r="M54" s="13" t="e">
        <x:f>IF($A54="","",[1]!thsiFinD("ths_adjustment_nv_fund",M$3,$A54))</x:f>
        <x:v>#NAME?</x:v>
      </x:c>
      <x:c r="N54" s="13" t="e">
        <x:f>IF($A54="","",[1]!thsiFinD("ths_adjustment_nv_fund",N$3,$A54))</x:f>
        <x:v>#NAME?</x:v>
      </x:c>
      <x:c r="O54" s="13" t="e">
        <x:f>IF($A54="","",[1]!thsiFinD("ths_adjustment_nv_fund",O$3,$A54))</x:f>
        <x:v>#NAME?</x:v>
      </x:c>
      <x:c r="P54" s="13" t="e">
        <x:f>IF($A54="","",[1]!thsiFinD("ths_adjustment_nv_fund",P$3,$A54))</x:f>
        <x:v>#NAME?</x:v>
      </x:c>
      <x:c r="Q54" s="13" t="e">
        <x:f>IF($A54="","",[1]!thsiFinD("ths_adjustment_nv_fund",Q$3,$A54))</x:f>
        <x:v>#NAME?</x:v>
      </x:c>
      <x:c r="R54" s="13" t="e">
        <x:f>IF($A54="","",[1]!thsiFinD("ths_adjustment_nv_fund",R$3,$A54))</x:f>
        <x:v>#NAME?</x:v>
      </x:c>
      <x:c r="S54" s="13" t="e">
        <x:f>IF($A54="","",[1]!thsiFinD("ths_adjustment_nv_fund",S$3,$A54))</x:f>
        <x:v>#NAME?</x:v>
      </x:c>
      <x:c r="T54" s="13" t="e">
        <x:f>IF($A54="","",[1]!thsiFinD("ths_adjustment_nv_fund",T$3,$A54))</x:f>
        <x:v>#NAME?</x:v>
      </x:c>
      <x:c r="U54" s="13" t="e">
        <x:f>IF($A54="","",[1]!thsiFinD("ths_adjustment_nv_fund",U$3,$A54))</x:f>
        <x:v>#NAME?</x:v>
      </x:c>
      <x:c r="V54" s="13" t="e">
        <x:f>IF($A54="","",[1]!thsiFinD("ths_adjustment_nv_fund",V$3,$A54))</x:f>
        <x:v>#NAME?</x:v>
      </x:c>
      <x:c r="W54" s="13" t="e">
        <x:f>IF($A54="","",[1]!thsiFinD("ths_adjustment_nv_fund",W$3,$A54))</x:f>
        <x:v>#NAME?</x:v>
      </x:c>
      <x:c r="X54" s="13" t="e">
        <x:f>IF($A54="","",[1]!thsiFinD("ths_adjustment_nv_fund",X$3,$A54))</x:f>
        <x:v>#NAME?</x:v>
      </x:c>
      <x:c r="Y54" s="13" t="e">
        <x:f>IF($A54="","",[1]!thsiFinD("ths_adjustment_nv_fund",Y$3,$A54))</x:f>
        <x:v>#NAME?</x:v>
      </x:c>
    </x:row>
    <x:row r="55">
      <x:c r="A55" s="8"/>
      <x:c r="B55" s="13" t="e">
        <x:f>IF($A55="","",[1]!thsiFinD("ths_adjustment_nv_fund",B$3,$A55))</x:f>
        <x:v>#NAME?</x:v>
      </x:c>
      <x:c r="C55" s="13" t="e">
        <x:f>IF($A55="","",[1]!thsiFinD("ths_adjustment_nv_fund",C$3,$A55))</x:f>
        <x:v>#NAME?</x:v>
      </x:c>
      <x:c r="D55" s="13" t="e">
        <x:f>IF($A55="","",[1]!thsiFinD("ths_adjustment_nv_fund",D$3,$A55))</x:f>
        <x:v>#NAME?</x:v>
      </x:c>
      <x:c r="E55" s="13" t="e">
        <x:f>IF($A55="","",[1]!thsiFinD("ths_adjustment_nv_fund",E$3,$A55))</x:f>
        <x:v>#NAME?</x:v>
      </x:c>
      <x:c r="F55" s="13" t="e">
        <x:f>IF($A55="","",[1]!thsiFinD("ths_adjustment_nv_fund",F$3,$A55))</x:f>
        <x:v>#NAME?</x:v>
      </x:c>
      <x:c r="G55" s="13" t="e">
        <x:f>IF($A55="","",[1]!thsiFinD("ths_adjustment_nv_fund",G$3,$A55))</x:f>
        <x:v>#NAME?</x:v>
      </x:c>
      <x:c r="H55" s="13" t="e">
        <x:f>IF($A55="","",[1]!thsiFinD("ths_adjustment_nv_fund",H$3,$A55))</x:f>
        <x:v>#NAME?</x:v>
      </x:c>
      <x:c r="I55" s="13" t="e">
        <x:f>IF($A55="","",[1]!thsiFinD("ths_adjustment_nv_fund",I$3,$A55))</x:f>
        <x:v>#NAME?</x:v>
      </x:c>
      <x:c r="J55" s="13" t="e">
        <x:f>IF($A55="","",[1]!thsiFinD("ths_adjustment_nv_fund",J$3,$A55))</x:f>
        <x:v>#NAME?</x:v>
      </x:c>
      <x:c r="K55" s="13" t="e">
        <x:f>IF($A55="","",[1]!thsiFinD("ths_adjustment_nv_fund",K$3,$A55))</x:f>
        <x:v>#NAME?</x:v>
      </x:c>
      <x:c r="L55" s="13" t="e">
        <x:f>IF($A55="","",[1]!thsiFinD("ths_adjustment_nv_fund",L$3,$A55))</x:f>
        <x:v>#NAME?</x:v>
      </x:c>
      <x:c r="M55" s="13" t="e">
        <x:f>IF($A55="","",[1]!thsiFinD("ths_adjustment_nv_fund",M$3,$A55))</x:f>
        <x:v>#NAME?</x:v>
      </x:c>
      <x:c r="N55" s="13" t="e">
        <x:f>IF($A55="","",[1]!thsiFinD("ths_adjustment_nv_fund",N$3,$A55))</x:f>
        <x:v>#NAME?</x:v>
      </x:c>
      <x:c r="O55" s="13" t="e">
        <x:f>IF($A55="","",[1]!thsiFinD("ths_adjustment_nv_fund",O$3,$A55))</x:f>
        <x:v>#NAME?</x:v>
      </x:c>
      <x:c r="P55" s="13" t="e">
        <x:f>IF($A55="","",[1]!thsiFinD("ths_adjustment_nv_fund",P$3,$A55))</x:f>
        <x:v>#NAME?</x:v>
      </x:c>
      <x:c r="Q55" s="13" t="e">
        <x:f>IF($A55="","",[1]!thsiFinD("ths_adjustment_nv_fund",Q$3,$A55))</x:f>
        <x:v>#NAME?</x:v>
      </x:c>
      <x:c r="R55" s="13" t="e">
        <x:f>IF($A55="","",[1]!thsiFinD("ths_adjustment_nv_fund",R$3,$A55))</x:f>
        <x:v>#NAME?</x:v>
      </x:c>
      <x:c r="S55" s="13" t="e">
        <x:f>IF($A55="","",[1]!thsiFinD("ths_adjustment_nv_fund",S$3,$A55))</x:f>
        <x:v>#NAME?</x:v>
      </x:c>
      <x:c r="T55" s="13" t="e">
        <x:f>IF($A55="","",[1]!thsiFinD("ths_adjustment_nv_fund",T$3,$A55))</x:f>
        <x:v>#NAME?</x:v>
      </x:c>
      <x:c r="U55" s="13" t="e">
        <x:f>IF($A55="","",[1]!thsiFinD("ths_adjustment_nv_fund",U$3,$A55))</x:f>
        <x:v>#NAME?</x:v>
      </x:c>
      <x:c r="V55" s="13" t="e">
        <x:f>IF($A55="","",[1]!thsiFinD("ths_adjustment_nv_fund",V$3,$A55))</x:f>
        <x:v>#NAME?</x:v>
      </x:c>
      <x:c r="W55" s="13" t="e">
        <x:f>IF($A55="","",[1]!thsiFinD("ths_adjustment_nv_fund",W$3,$A55))</x:f>
        <x:v>#NAME?</x:v>
      </x:c>
      <x:c r="X55" s="13" t="e">
        <x:f>IF($A55="","",[1]!thsiFinD("ths_adjustment_nv_fund",X$3,$A55))</x:f>
        <x:v>#NAME?</x:v>
      </x:c>
      <x:c r="Y55" s="13" t="e">
        <x:f>IF($A55="","",[1]!thsiFinD("ths_adjustment_nv_fund",Y$3,$A55))</x:f>
        <x:v>#NAME?</x:v>
      </x:c>
    </x:row>
    <x:row r="56">
      <x:c r="A56" s="8"/>
      <x:c r="B56" s="13" t="e">
        <x:f>IF($A56="","",[1]!thsiFinD("ths_adjustment_nv_fund",B$3,$A56))</x:f>
        <x:v>#NAME?</x:v>
      </x:c>
      <x:c r="C56" s="13" t="e">
        <x:f>IF($A56="","",[1]!thsiFinD("ths_adjustment_nv_fund",C$3,$A56))</x:f>
        <x:v>#NAME?</x:v>
      </x:c>
      <x:c r="D56" s="13" t="e">
        <x:f>IF($A56="","",[1]!thsiFinD("ths_adjustment_nv_fund",D$3,$A56))</x:f>
        <x:v>#NAME?</x:v>
      </x:c>
      <x:c r="E56" s="13" t="e">
        <x:f>IF($A56="","",[1]!thsiFinD("ths_adjustment_nv_fund",E$3,$A56))</x:f>
        <x:v>#NAME?</x:v>
      </x:c>
      <x:c r="F56" s="13" t="e">
        <x:f>IF($A56="","",[1]!thsiFinD("ths_adjustment_nv_fund",F$3,$A56))</x:f>
        <x:v>#NAME?</x:v>
      </x:c>
      <x:c r="G56" s="13" t="e">
        <x:f>IF($A56="","",[1]!thsiFinD("ths_adjustment_nv_fund",G$3,$A56))</x:f>
        <x:v>#NAME?</x:v>
      </x:c>
      <x:c r="H56" s="13" t="e">
        <x:f>IF($A56="","",[1]!thsiFinD("ths_adjustment_nv_fund",H$3,$A56))</x:f>
        <x:v>#NAME?</x:v>
      </x:c>
      <x:c r="I56" s="13" t="e">
        <x:f>IF($A56="","",[1]!thsiFinD("ths_adjustment_nv_fund",I$3,$A56))</x:f>
        <x:v>#NAME?</x:v>
      </x:c>
      <x:c r="J56" s="13" t="e">
        <x:f>IF($A56="","",[1]!thsiFinD("ths_adjustment_nv_fund",J$3,$A56))</x:f>
        <x:v>#NAME?</x:v>
      </x:c>
      <x:c r="K56" s="13" t="e">
        <x:f>IF($A56="","",[1]!thsiFinD("ths_adjustment_nv_fund",K$3,$A56))</x:f>
        <x:v>#NAME?</x:v>
      </x:c>
      <x:c r="L56" s="13" t="e">
        <x:f>IF($A56="","",[1]!thsiFinD("ths_adjustment_nv_fund",L$3,$A56))</x:f>
        <x:v>#NAME?</x:v>
      </x:c>
      <x:c r="M56" s="13" t="e">
        <x:f>IF($A56="","",[1]!thsiFinD("ths_adjustment_nv_fund",M$3,$A56))</x:f>
        <x:v>#NAME?</x:v>
      </x:c>
      <x:c r="N56" s="13" t="e">
        <x:f>IF($A56="","",[1]!thsiFinD("ths_adjustment_nv_fund",N$3,$A56))</x:f>
        <x:v>#NAME?</x:v>
      </x:c>
      <x:c r="O56" s="13" t="e">
        <x:f>IF($A56="","",[1]!thsiFinD("ths_adjustment_nv_fund",O$3,$A56))</x:f>
        <x:v>#NAME?</x:v>
      </x:c>
      <x:c r="P56" s="13" t="e">
        <x:f>IF($A56="","",[1]!thsiFinD("ths_adjustment_nv_fund",P$3,$A56))</x:f>
        <x:v>#NAME?</x:v>
      </x:c>
      <x:c r="Q56" s="13" t="e">
        <x:f>IF($A56="","",[1]!thsiFinD("ths_adjustment_nv_fund",Q$3,$A56))</x:f>
        <x:v>#NAME?</x:v>
      </x:c>
      <x:c r="R56" s="13" t="e">
        <x:f>IF($A56="","",[1]!thsiFinD("ths_adjustment_nv_fund",R$3,$A56))</x:f>
        <x:v>#NAME?</x:v>
      </x:c>
      <x:c r="S56" s="13" t="e">
        <x:f>IF($A56="","",[1]!thsiFinD("ths_adjustment_nv_fund",S$3,$A56))</x:f>
        <x:v>#NAME?</x:v>
      </x:c>
      <x:c r="T56" s="13" t="e">
        <x:f>IF($A56="","",[1]!thsiFinD("ths_adjustment_nv_fund",T$3,$A56))</x:f>
        <x:v>#NAME?</x:v>
      </x:c>
      <x:c r="U56" s="13" t="e">
        <x:f>IF($A56="","",[1]!thsiFinD("ths_adjustment_nv_fund",U$3,$A56))</x:f>
        <x:v>#NAME?</x:v>
      </x:c>
      <x:c r="V56" s="13" t="e">
        <x:f>IF($A56="","",[1]!thsiFinD("ths_adjustment_nv_fund",V$3,$A56))</x:f>
        <x:v>#NAME?</x:v>
      </x:c>
      <x:c r="W56" s="13" t="e">
        <x:f>IF($A56="","",[1]!thsiFinD("ths_adjustment_nv_fund",W$3,$A56))</x:f>
        <x:v>#NAME?</x:v>
      </x:c>
      <x:c r="X56" s="13" t="e">
        <x:f>IF($A56="","",[1]!thsiFinD("ths_adjustment_nv_fund",X$3,$A56))</x:f>
        <x:v>#NAME?</x:v>
      </x:c>
      <x:c r="Y56" s="13" t="e">
        <x:f>IF($A56="","",[1]!thsiFinD("ths_adjustment_nv_fund",Y$3,$A56))</x:f>
        <x:v>#NAME?</x:v>
      </x:c>
    </x:row>
    <x:row r="57">
      <x:c r="A57" s="8"/>
      <x:c r="B57" s="13" t="e">
        <x:f>IF($A57="","",[1]!thsiFinD("ths_adjustment_nv_fund",B$3,$A57))</x:f>
        <x:v>#NAME?</x:v>
      </x:c>
      <x:c r="C57" s="13" t="e">
        <x:f>IF($A57="","",[1]!thsiFinD("ths_adjustment_nv_fund",C$3,$A57))</x:f>
        <x:v>#NAME?</x:v>
      </x:c>
      <x:c r="D57" s="13" t="e">
        <x:f>IF($A57="","",[1]!thsiFinD("ths_adjustment_nv_fund",D$3,$A57))</x:f>
        <x:v>#NAME?</x:v>
      </x:c>
      <x:c r="E57" s="13" t="e">
        <x:f>IF($A57="","",[1]!thsiFinD("ths_adjustment_nv_fund",E$3,$A57))</x:f>
        <x:v>#NAME?</x:v>
      </x:c>
      <x:c r="F57" s="13" t="e">
        <x:f>IF($A57="","",[1]!thsiFinD("ths_adjustment_nv_fund",F$3,$A57))</x:f>
        <x:v>#NAME?</x:v>
      </x:c>
      <x:c r="G57" s="13" t="e">
        <x:f>IF($A57="","",[1]!thsiFinD("ths_adjustment_nv_fund",G$3,$A57))</x:f>
        <x:v>#NAME?</x:v>
      </x:c>
      <x:c r="H57" s="13" t="e">
        <x:f>IF($A57="","",[1]!thsiFinD("ths_adjustment_nv_fund",H$3,$A57))</x:f>
        <x:v>#NAME?</x:v>
      </x:c>
      <x:c r="I57" s="13" t="e">
        <x:f>IF($A57="","",[1]!thsiFinD("ths_adjustment_nv_fund",I$3,$A57))</x:f>
        <x:v>#NAME?</x:v>
      </x:c>
      <x:c r="J57" s="13" t="e">
        <x:f>IF($A57="","",[1]!thsiFinD("ths_adjustment_nv_fund",J$3,$A57))</x:f>
        <x:v>#NAME?</x:v>
      </x:c>
      <x:c r="K57" s="13" t="e">
        <x:f>IF($A57="","",[1]!thsiFinD("ths_adjustment_nv_fund",K$3,$A57))</x:f>
        <x:v>#NAME?</x:v>
      </x:c>
      <x:c r="L57" s="13" t="e">
        <x:f>IF($A57="","",[1]!thsiFinD("ths_adjustment_nv_fund",L$3,$A57))</x:f>
        <x:v>#NAME?</x:v>
      </x:c>
      <x:c r="M57" s="13" t="e">
        <x:f>IF($A57="","",[1]!thsiFinD("ths_adjustment_nv_fund",M$3,$A57))</x:f>
        <x:v>#NAME?</x:v>
      </x:c>
      <x:c r="N57" s="13" t="e">
        <x:f>IF($A57="","",[1]!thsiFinD("ths_adjustment_nv_fund",N$3,$A57))</x:f>
        <x:v>#NAME?</x:v>
      </x:c>
      <x:c r="O57" s="13" t="e">
        <x:f>IF($A57="","",[1]!thsiFinD("ths_adjustment_nv_fund",O$3,$A57))</x:f>
        <x:v>#NAME?</x:v>
      </x:c>
      <x:c r="P57" s="13" t="e">
        <x:f>IF($A57="","",[1]!thsiFinD("ths_adjustment_nv_fund",P$3,$A57))</x:f>
        <x:v>#NAME?</x:v>
      </x:c>
      <x:c r="Q57" s="13" t="e">
        <x:f>IF($A57="","",[1]!thsiFinD("ths_adjustment_nv_fund",Q$3,$A57))</x:f>
        <x:v>#NAME?</x:v>
      </x:c>
      <x:c r="R57" s="13" t="e">
        <x:f>IF($A57="","",[1]!thsiFinD("ths_adjustment_nv_fund",R$3,$A57))</x:f>
        <x:v>#NAME?</x:v>
      </x:c>
      <x:c r="S57" s="13" t="e">
        <x:f>IF($A57="","",[1]!thsiFinD("ths_adjustment_nv_fund",S$3,$A57))</x:f>
        <x:v>#NAME?</x:v>
      </x:c>
      <x:c r="T57" s="13" t="e">
        <x:f>IF($A57="","",[1]!thsiFinD("ths_adjustment_nv_fund",T$3,$A57))</x:f>
        <x:v>#NAME?</x:v>
      </x:c>
      <x:c r="U57" s="13" t="e">
        <x:f>IF($A57="","",[1]!thsiFinD("ths_adjustment_nv_fund",U$3,$A57))</x:f>
        <x:v>#NAME?</x:v>
      </x:c>
      <x:c r="V57" s="13" t="e">
        <x:f>IF($A57="","",[1]!thsiFinD("ths_adjustment_nv_fund",V$3,$A57))</x:f>
        <x:v>#NAME?</x:v>
      </x:c>
      <x:c r="W57" s="13" t="e">
        <x:f>IF($A57="","",[1]!thsiFinD("ths_adjustment_nv_fund",W$3,$A57))</x:f>
        <x:v>#NAME?</x:v>
      </x:c>
      <x:c r="X57" s="13" t="e">
        <x:f>IF($A57="","",[1]!thsiFinD("ths_adjustment_nv_fund",X$3,$A57))</x:f>
        <x:v>#NAME?</x:v>
      </x:c>
      <x:c r="Y57" s="13" t="e">
        <x:f>IF($A57="","",[1]!thsiFinD("ths_adjustment_nv_fund",Y$3,$A57))</x:f>
        <x:v>#NAME?</x:v>
      </x:c>
    </x:row>
    <x:row r="58">
      <x:c r="A58" s="8"/>
      <x:c r="B58" s="13" t="e">
        <x:f>IF($A58="","",[1]!thsiFinD("ths_adjustment_nv_fund",B$3,$A58))</x:f>
        <x:v>#NAME?</x:v>
      </x:c>
      <x:c r="C58" s="13" t="e">
        <x:f>IF($A58="","",[1]!thsiFinD("ths_adjustment_nv_fund",C$3,$A58))</x:f>
        <x:v>#NAME?</x:v>
      </x:c>
      <x:c r="D58" s="13" t="e">
        <x:f>IF($A58="","",[1]!thsiFinD("ths_adjustment_nv_fund",D$3,$A58))</x:f>
        <x:v>#NAME?</x:v>
      </x:c>
      <x:c r="E58" s="13" t="e">
        <x:f>IF($A58="","",[1]!thsiFinD("ths_adjustment_nv_fund",E$3,$A58))</x:f>
        <x:v>#NAME?</x:v>
      </x:c>
      <x:c r="F58" s="13" t="e">
        <x:f>IF($A58="","",[1]!thsiFinD("ths_adjustment_nv_fund",F$3,$A58))</x:f>
        <x:v>#NAME?</x:v>
      </x:c>
      <x:c r="G58" s="13" t="e">
        <x:f>IF($A58="","",[1]!thsiFinD("ths_adjustment_nv_fund",G$3,$A58))</x:f>
        <x:v>#NAME?</x:v>
      </x:c>
      <x:c r="H58" s="13" t="e">
        <x:f>IF($A58="","",[1]!thsiFinD("ths_adjustment_nv_fund",H$3,$A58))</x:f>
        <x:v>#NAME?</x:v>
      </x:c>
      <x:c r="I58" s="13" t="e">
        <x:f>IF($A58="","",[1]!thsiFinD("ths_adjustment_nv_fund",I$3,$A58))</x:f>
        <x:v>#NAME?</x:v>
      </x:c>
      <x:c r="J58" s="13" t="e">
        <x:f>IF($A58="","",[1]!thsiFinD("ths_adjustment_nv_fund",J$3,$A58))</x:f>
        <x:v>#NAME?</x:v>
      </x:c>
      <x:c r="K58" s="13" t="e">
        <x:f>IF($A58="","",[1]!thsiFinD("ths_adjustment_nv_fund",K$3,$A58))</x:f>
        <x:v>#NAME?</x:v>
      </x:c>
      <x:c r="L58" s="13" t="e">
        <x:f>IF($A58="","",[1]!thsiFinD("ths_adjustment_nv_fund",L$3,$A58))</x:f>
        <x:v>#NAME?</x:v>
      </x:c>
      <x:c r="M58" s="13" t="e">
        <x:f>IF($A58="","",[1]!thsiFinD("ths_adjustment_nv_fund",M$3,$A58))</x:f>
        <x:v>#NAME?</x:v>
      </x:c>
      <x:c r="N58" s="13" t="e">
        <x:f>IF($A58="","",[1]!thsiFinD("ths_adjustment_nv_fund",N$3,$A58))</x:f>
        <x:v>#NAME?</x:v>
      </x:c>
      <x:c r="O58" s="13" t="e">
        <x:f>IF($A58="","",[1]!thsiFinD("ths_adjustment_nv_fund",O$3,$A58))</x:f>
        <x:v>#NAME?</x:v>
      </x:c>
      <x:c r="P58" s="13" t="e">
        <x:f>IF($A58="","",[1]!thsiFinD("ths_adjustment_nv_fund",P$3,$A58))</x:f>
        <x:v>#NAME?</x:v>
      </x:c>
      <x:c r="Q58" s="13" t="e">
        <x:f>IF($A58="","",[1]!thsiFinD("ths_adjustment_nv_fund",Q$3,$A58))</x:f>
        <x:v>#NAME?</x:v>
      </x:c>
      <x:c r="R58" s="13" t="e">
        <x:f>IF($A58="","",[1]!thsiFinD("ths_adjustment_nv_fund",R$3,$A58))</x:f>
        <x:v>#NAME?</x:v>
      </x:c>
      <x:c r="S58" s="13" t="e">
        <x:f>IF($A58="","",[1]!thsiFinD("ths_adjustment_nv_fund",S$3,$A58))</x:f>
        <x:v>#NAME?</x:v>
      </x:c>
      <x:c r="T58" s="13" t="e">
        <x:f>IF($A58="","",[1]!thsiFinD("ths_adjustment_nv_fund",T$3,$A58))</x:f>
        <x:v>#NAME?</x:v>
      </x:c>
      <x:c r="U58" s="13" t="e">
        <x:f>IF($A58="","",[1]!thsiFinD("ths_adjustment_nv_fund",U$3,$A58))</x:f>
        <x:v>#NAME?</x:v>
      </x:c>
      <x:c r="V58" s="13" t="e">
        <x:f>IF($A58="","",[1]!thsiFinD("ths_adjustment_nv_fund",V$3,$A58))</x:f>
        <x:v>#NAME?</x:v>
      </x:c>
      <x:c r="W58" s="13" t="e">
        <x:f>IF($A58="","",[1]!thsiFinD("ths_adjustment_nv_fund",W$3,$A58))</x:f>
        <x:v>#NAME?</x:v>
      </x:c>
      <x:c r="X58" s="13" t="e">
        <x:f>IF($A58="","",[1]!thsiFinD("ths_adjustment_nv_fund",X$3,$A58))</x:f>
        <x:v>#NAME?</x:v>
      </x:c>
      <x:c r="Y58" s="13" t="e">
        <x:f>IF($A58="","",[1]!thsiFinD("ths_adjustment_nv_fund",Y$3,$A58))</x:f>
        <x:v>#NAME?</x:v>
      </x:c>
    </x:row>
    <x:row r="59">
      <x:c r="A59" s="8"/>
      <x:c r="B59" s="13" t="e">
        <x:f>IF($A59="","",[1]!thsiFinD("ths_adjustment_nv_fund",B$3,$A59))</x:f>
        <x:v>#NAME?</x:v>
      </x:c>
      <x:c r="C59" s="13" t="e">
        <x:f>IF($A59="","",[1]!thsiFinD("ths_adjustment_nv_fund",C$3,$A59))</x:f>
        <x:v>#NAME?</x:v>
      </x:c>
      <x:c r="D59" s="13" t="e">
        <x:f>IF($A59="","",[1]!thsiFinD("ths_adjustment_nv_fund",D$3,$A59))</x:f>
        <x:v>#NAME?</x:v>
      </x:c>
      <x:c r="E59" s="13" t="e">
        <x:f>IF($A59="","",[1]!thsiFinD("ths_adjustment_nv_fund",E$3,$A59))</x:f>
        <x:v>#NAME?</x:v>
      </x:c>
      <x:c r="F59" s="13" t="e">
        <x:f>IF($A59="","",[1]!thsiFinD("ths_adjustment_nv_fund",F$3,$A59))</x:f>
        <x:v>#NAME?</x:v>
      </x:c>
      <x:c r="G59" s="13" t="e">
        <x:f>IF($A59="","",[1]!thsiFinD("ths_adjustment_nv_fund",G$3,$A59))</x:f>
        <x:v>#NAME?</x:v>
      </x:c>
      <x:c r="H59" s="13" t="e">
        <x:f>IF($A59="","",[1]!thsiFinD("ths_adjustment_nv_fund",H$3,$A59))</x:f>
        <x:v>#NAME?</x:v>
      </x:c>
      <x:c r="I59" s="13" t="e">
        <x:f>IF($A59="","",[1]!thsiFinD("ths_adjustment_nv_fund",I$3,$A59))</x:f>
        <x:v>#NAME?</x:v>
      </x:c>
      <x:c r="J59" s="13" t="e">
        <x:f>IF($A59="","",[1]!thsiFinD("ths_adjustment_nv_fund",J$3,$A59))</x:f>
        <x:v>#NAME?</x:v>
      </x:c>
      <x:c r="K59" s="13" t="e">
        <x:f>IF($A59="","",[1]!thsiFinD("ths_adjustment_nv_fund",K$3,$A59))</x:f>
        <x:v>#NAME?</x:v>
      </x:c>
      <x:c r="L59" s="13" t="e">
        <x:f>IF($A59="","",[1]!thsiFinD("ths_adjustment_nv_fund",L$3,$A59))</x:f>
        <x:v>#NAME?</x:v>
      </x:c>
      <x:c r="M59" s="13" t="e">
        <x:f>IF($A59="","",[1]!thsiFinD("ths_adjustment_nv_fund",M$3,$A59))</x:f>
        <x:v>#NAME?</x:v>
      </x:c>
      <x:c r="N59" s="13" t="e">
        <x:f>IF($A59="","",[1]!thsiFinD("ths_adjustment_nv_fund",N$3,$A59))</x:f>
        <x:v>#NAME?</x:v>
      </x:c>
      <x:c r="O59" s="13" t="e">
        <x:f>IF($A59="","",[1]!thsiFinD("ths_adjustment_nv_fund",O$3,$A59))</x:f>
        <x:v>#NAME?</x:v>
      </x:c>
      <x:c r="P59" s="13" t="e">
        <x:f>IF($A59="","",[1]!thsiFinD("ths_adjustment_nv_fund",P$3,$A59))</x:f>
        <x:v>#NAME?</x:v>
      </x:c>
      <x:c r="Q59" s="13" t="e">
        <x:f>IF($A59="","",[1]!thsiFinD("ths_adjustment_nv_fund",Q$3,$A59))</x:f>
        <x:v>#NAME?</x:v>
      </x:c>
      <x:c r="R59" s="13" t="e">
        <x:f>IF($A59="","",[1]!thsiFinD("ths_adjustment_nv_fund",R$3,$A59))</x:f>
        <x:v>#NAME?</x:v>
      </x:c>
      <x:c r="S59" s="13" t="e">
        <x:f>IF($A59="","",[1]!thsiFinD("ths_adjustment_nv_fund",S$3,$A59))</x:f>
        <x:v>#NAME?</x:v>
      </x:c>
      <x:c r="T59" s="13" t="e">
        <x:f>IF($A59="","",[1]!thsiFinD("ths_adjustment_nv_fund",T$3,$A59))</x:f>
        <x:v>#NAME?</x:v>
      </x:c>
      <x:c r="U59" s="13" t="e">
        <x:f>IF($A59="","",[1]!thsiFinD("ths_adjustment_nv_fund",U$3,$A59))</x:f>
        <x:v>#NAME?</x:v>
      </x:c>
      <x:c r="V59" s="13" t="e">
        <x:f>IF($A59="","",[1]!thsiFinD("ths_adjustment_nv_fund",V$3,$A59))</x:f>
        <x:v>#NAME?</x:v>
      </x:c>
      <x:c r="W59" s="13" t="e">
        <x:f>IF($A59="","",[1]!thsiFinD("ths_adjustment_nv_fund",W$3,$A59))</x:f>
        <x:v>#NAME?</x:v>
      </x:c>
      <x:c r="X59" s="13" t="e">
        <x:f>IF($A59="","",[1]!thsiFinD("ths_adjustment_nv_fund",X$3,$A59))</x:f>
        <x:v>#NAME?</x:v>
      </x:c>
      <x:c r="Y59" s="13" t="e">
        <x:f>IF($A59="","",[1]!thsiFinD("ths_adjustment_nv_fund",Y$3,$A59))</x:f>
        <x:v>#NAME?</x:v>
      </x:c>
    </x:row>
    <x:row r="60">
      <x:c r="A60" s="8"/>
      <x:c r="B60" s="13" t="e">
        <x:f>IF($A60="","",[1]!thsiFinD("ths_adjustment_nv_fund",B$3,$A60))</x:f>
        <x:v>#NAME?</x:v>
      </x:c>
      <x:c r="C60" s="13" t="e">
        <x:f>IF($A60="","",[1]!thsiFinD("ths_adjustment_nv_fund",C$3,$A60))</x:f>
        <x:v>#NAME?</x:v>
      </x:c>
      <x:c r="D60" s="13" t="e">
        <x:f>IF($A60="","",[1]!thsiFinD("ths_adjustment_nv_fund",D$3,$A60))</x:f>
        <x:v>#NAME?</x:v>
      </x:c>
      <x:c r="E60" s="13" t="e">
        <x:f>IF($A60="","",[1]!thsiFinD("ths_adjustment_nv_fund",E$3,$A60))</x:f>
        <x:v>#NAME?</x:v>
      </x:c>
      <x:c r="F60" s="13" t="e">
        <x:f>IF($A60="","",[1]!thsiFinD("ths_adjustment_nv_fund",F$3,$A60))</x:f>
        <x:v>#NAME?</x:v>
      </x:c>
      <x:c r="G60" s="13" t="e">
        <x:f>IF($A60="","",[1]!thsiFinD("ths_adjustment_nv_fund",G$3,$A60))</x:f>
        <x:v>#NAME?</x:v>
      </x:c>
      <x:c r="H60" s="13" t="e">
        <x:f>IF($A60="","",[1]!thsiFinD("ths_adjustment_nv_fund",H$3,$A60))</x:f>
        <x:v>#NAME?</x:v>
      </x:c>
      <x:c r="I60" s="13" t="e">
        <x:f>IF($A60="","",[1]!thsiFinD("ths_adjustment_nv_fund",I$3,$A60))</x:f>
        <x:v>#NAME?</x:v>
      </x:c>
      <x:c r="J60" s="13" t="e">
        <x:f>IF($A60="","",[1]!thsiFinD("ths_adjustment_nv_fund",J$3,$A60))</x:f>
        <x:v>#NAME?</x:v>
      </x:c>
      <x:c r="K60" s="13" t="e">
        <x:f>IF($A60="","",[1]!thsiFinD("ths_adjustment_nv_fund",K$3,$A60))</x:f>
        <x:v>#NAME?</x:v>
      </x:c>
      <x:c r="L60" s="13" t="e">
        <x:f>IF($A60="","",[1]!thsiFinD("ths_adjustment_nv_fund",L$3,$A60))</x:f>
        <x:v>#NAME?</x:v>
      </x:c>
      <x:c r="M60" s="13" t="e">
        <x:f>IF($A60="","",[1]!thsiFinD("ths_adjustment_nv_fund",M$3,$A60))</x:f>
        <x:v>#NAME?</x:v>
      </x:c>
      <x:c r="N60" s="13" t="e">
        <x:f>IF($A60="","",[1]!thsiFinD("ths_adjustment_nv_fund",N$3,$A60))</x:f>
        <x:v>#NAME?</x:v>
      </x:c>
      <x:c r="O60" s="13" t="e">
        <x:f>IF($A60="","",[1]!thsiFinD("ths_adjustment_nv_fund",O$3,$A60))</x:f>
        <x:v>#NAME?</x:v>
      </x:c>
      <x:c r="P60" s="13" t="e">
        <x:f>IF($A60="","",[1]!thsiFinD("ths_adjustment_nv_fund",P$3,$A60))</x:f>
        <x:v>#NAME?</x:v>
      </x:c>
      <x:c r="Q60" s="13" t="e">
        <x:f>IF($A60="","",[1]!thsiFinD("ths_adjustment_nv_fund",Q$3,$A60))</x:f>
        <x:v>#NAME?</x:v>
      </x:c>
      <x:c r="R60" s="13" t="e">
        <x:f>IF($A60="","",[1]!thsiFinD("ths_adjustment_nv_fund",R$3,$A60))</x:f>
        <x:v>#NAME?</x:v>
      </x:c>
      <x:c r="S60" s="13" t="e">
        <x:f>IF($A60="","",[1]!thsiFinD("ths_adjustment_nv_fund",S$3,$A60))</x:f>
        <x:v>#NAME?</x:v>
      </x:c>
      <x:c r="T60" s="13" t="e">
        <x:f>IF($A60="","",[1]!thsiFinD("ths_adjustment_nv_fund",T$3,$A60))</x:f>
        <x:v>#NAME?</x:v>
      </x:c>
      <x:c r="U60" s="13" t="e">
        <x:f>IF($A60="","",[1]!thsiFinD("ths_adjustment_nv_fund",U$3,$A60))</x:f>
        <x:v>#NAME?</x:v>
      </x:c>
      <x:c r="V60" s="13" t="e">
        <x:f>IF($A60="","",[1]!thsiFinD("ths_adjustment_nv_fund",V$3,$A60))</x:f>
        <x:v>#NAME?</x:v>
      </x:c>
      <x:c r="W60" s="13" t="e">
        <x:f>IF($A60="","",[1]!thsiFinD("ths_adjustment_nv_fund",W$3,$A60))</x:f>
        <x:v>#NAME?</x:v>
      </x:c>
      <x:c r="X60" s="13" t="e">
        <x:f>IF($A60="","",[1]!thsiFinD("ths_adjustment_nv_fund",X$3,$A60))</x:f>
        <x:v>#NAME?</x:v>
      </x:c>
      <x:c r="Y60" t="e">
        <x:f>IF($A60="","",[1]!thsiFinD("ths_adjustment_nv_fund",Y$3,$A60))</x:f>
        <x:v>#NAME?</x:v>
      </x:c>
    </x:row>
    <x:row r="61">
      <x:c r="B61" t="e">
        <x:f>IF($A61="","",[1]!thsiFinD("ths_adjustment_nv_fund",B$3,$A61))</x:f>
        <x:v>#NAME?</x:v>
      </x:c>
      <x:c r="C61" t="e">
        <x:f>IF($A61="","",[1]!thsiFinD("ths_adjustment_nv_fund",C$3,$A61))</x:f>
        <x:v>#NAME?</x:v>
      </x:c>
      <x:c r="D61" t="e">
        <x:f>IF($A61="","",[1]!thsiFinD("ths_adjustment_nv_fund",D$3,$A61))</x:f>
        <x:v>#NAME?</x:v>
      </x:c>
      <x:c r="E61" t="e">
        <x:f>IF($A61="","",[1]!thsiFinD("ths_adjustment_nv_fund",E$3,$A61))</x:f>
        <x:v>#NAME?</x:v>
      </x:c>
      <x:c r="F61" t="e">
        <x:f>IF($A61="","",[1]!thsiFinD("ths_adjustment_nv_fund",F$3,$A61))</x:f>
        <x:v>#NAME?</x:v>
      </x:c>
      <x:c r="G61" t="e">
        <x:f>IF($A61="","",[1]!thsiFinD("ths_adjustment_nv_fund",G$3,$A61))</x:f>
        <x:v>#NAME?</x:v>
      </x:c>
      <x:c r="H61" t="e">
        <x:f>IF($A61="","",[1]!thsiFinD("ths_adjustment_nv_fund",H$3,$A61))</x:f>
        <x:v>#NAME?</x:v>
      </x:c>
      <x:c r="I61" t="e">
        <x:f>IF($A61="","",[1]!thsiFinD("ths_adjustment_nv_fund",I$3,$A61))</x:f>
        <x:v>#NAME?</x:v>
      </x:c>
      <x:c r="J61" t="e">
        <x:f>IF($A61="","",[1]!thsiFinD("ths_adjustment_nv_fund",J$3,$A61))</x:f>
        <x:v>#NAME?</x:v>
      </x:c>
      <x:c r="K61" t="e">
        <x:f>IF($A61="","",[1]!thsiFinD("ths_adjustment_nv_fund",K$3,$A61))</x:f>
        <x:v>#NAME?</x:v>
      </x:c>
      <x:c r="L61" t="e">
        <x:f>IF($A61="","",[1]!thsiFinD("ths_adjustment_nv_fund",L$3,$A61))</x:f>
        <x:v>#NAME?</x:v>
      </x:c>
      <x:c r="M61" t="e">
        <x:f>IF($A61="","",[1]!thsiFinD("ths_adjustment_nv_fund",M$3,$A61))</x:f>
        <x:v>#NAME?</x:v>
      </x:c>
      <x:c r="N61" t="e">
        <x:f>IF($A61="","",[1]!thsiFinD("ths_adjustment_nv_fund",N$3,$A61))</x:f>
        <x:v>#NAME?</x:v>
      </x:c>
      <x:c r="O61" t="e">
        <x:f>IF($A61="","",[1]!thsiFinD("ths_adjustment_nv_fund",O$3,$A61))</x:f>
        <x:v>#NAME?</x:v>
      </x:c>
      <x:c r="P61" t="e">
        <x:f>IF($A61="","",[1]!thsiFinD("ths_adjustment_nv_fund",P$3,$A61))</x:f>
        <x:v>#NAME?</x:v>
      </x:c>
      <x:c r="Q61" t="e">
        <x:f>IF($A61="","",[1]!thsiFinD("ths_adjustment_nv_fund",Q$3,$A61))</x:f>
        <x:v>#NAME?</x:v>
      </x:c>
      <x:c r="R61" t="e">
        <x:f>IF($A61="","",[1]!thsiFinD("ths_adjustment_nv_fund",R$3,$A61))</x:f>
        <x:v>#NAME?</x:v>
      </x:c>
      <x:c r="S61" t="e">
        <x:f>IF($A61="","",[1]!thsiFinD("ths_adjustment_nv_fund",S$3,$A61))</x:f>
        <x:v>#NAME?</x:v>
      </x:c>
      <x:c r="T61" t="e">
        <x:f>IF($A61="","",[1]!thsiFinD("ths_adjustment_nv_fund",T$3,$A61))</x:f>
        <x:v>#NAME?</x:v>
      </x:c>
      <x:c r="U61" t="e">
        <x:f>IF($A61="","",[1]!thsiFinD("ths_adjustment_nv_fund",U$3,$A61))</x:f>
        <x:v>#NAME?</x:v>
      </x:c>
      <x:c r="V61" t="e">
        <x:f>IF($A61="","",[1]!thsiFinD("ths_adjustment_nv_fund",V$3,$A61))</x:f>
        <x:v>#NAME?</x:v>
      </x:c>
      <x:c r="W61" t="e">
        <x:f>IF($A61="","",[1]!thsiFinD("ths_adjustment_nv_fund",W$3,$A61))</x:f>
        <x:v>#NAME?</x:v>
      </x:c>
      <x:c r="X61" t="e">
        <x:f>IF($A61="","",[1]!thsiFinD("ths_adjustment_nv_fund",X$3,$A61))</x:f>
        <x:v>#NAME?</x:v>
      </x:c>
      <x:c r="Y61" t="e">
        <x:f>IF($A61="","",[1]!thsiFinD("ths_adjustment_nv_fund",Y$3,$A61))</x:f>
        <x:v>#NAME?</x:v>
      </x:c>
    </x:row>
    <x:row r="62">
      <x:c r="B62" t="e">
        <x:f>IF($A62="","",[1]!thsiFinD("ths_adjustment_nv_fund",B$3,$A62))</x:f>
        <x:v>#NAME?</x:v>
      </x:c>
      <x:c r="C62" t="e">
        <x:f>IF($A62="","",[1]!thsiFinD("ths_adjustment_nv_fund",C$3,$A62))</x:f>
        <x:v>#NAME?</x:v>
      </x:c>
      <x:c r="D62" t="e">
        <x:f>IF($A62="","",[1]!thsiFinD("ths_adjustment_nv_fund",D$3,$A62))</x:f>
        <x:v>#NAME?</x:v>
      </x:c>
      <x:c r="E62" t="e">
        <x:f>IF($A62="","",[1]!thsiFinD("ths_adjustment_nv_fund",E$3,$A62))</x:f>
        <x:v>#NAME?</x:v>
      </x:c>
      <x:c r="F62" t="e">
        <x:f>IF($A62="","",[1]!thsiFinD("ths_adjustment_nv_fund",F$3,$A62))</x:f>
        <x:v>#NAME?</x:v>
      </x:c>
      <x:c r="G62" t="e">
        <x:f>IF($A62="","",[1]!thsiFinD("ths_adjustment_nv_fund",G$3,$A62))</x:f>
        <x:v>#NAME?</x:v>
      </x:c>
      <x:c r="H62" t="e">
        <x:f>IF($A62="","",[1]!thsiFinD("ths_adjustment_nv_fund",H$3,$A62))</x:f>
        <x:v>#NAME?</x:v>
      </x:c>
      <x:c r="I62" t="e">
        <x:f>IF($A62="","",[1]!thsiFinD("ths_adjustment_nv_fund",I$3,$A62))</x:f>
        <x:v>#NAME?</x:v>
      </x:c>
      <x:c r="J62" t="e">
        <x:f>IF($A62="","",[1]!thsiFinD("ths_adjustment_nv_fund",J$3,$A62))</x:f>
        <x:v>#NAME?</x:v>
      </x:c>
      <x:c r="K62" t="e">
        <x:f>IF($A62="","",[1]!thsiFinD("ths_adjustment_nv_fund",K$3,$A62))</x:f>
        <x:v>#NAME?</x:v>
      </x:c>
      <x:c r="L62" t="e">
        <x:f>IF($A62="","",[1]!thsiFinD("ths_adjustment_nv_fund",L$3,$A62))</x:f>
        <x:v>#NAME?</x:v>
      </x:c>
      <x:c r="M62" t="e">
        <x:f>IF($A62="","",[1]!thsiFinD("ths_adjustment_nv_fund",M$3,$A62))</x:f>
        <x:v>#NAME?</x:v>
      </x:c>
      <x:c r="N62" t="e">
        <x:f>IF($A62="","",[1]!thsiFinD("ths_adjustment_nv_fund",N$3,$A62))</x:f>
        <x:v>#NAME?</x:v>
      </x:c>
      <x:c r="O62" t="e">
        <x:f>IF($A62="","",[1]!thsiFinD("ths_adjustment_nv_fund",O$3,$A62))</x:f>
        <x:v>#NAME?</x:v>
      </x:c>
      <x:c r="P62" t="e">
        <x:f>IF($A62="","",[1]!thsiFinD("ths_adjustment_nv_fund",P$3,$A62))</x:f>
        <x:v>#NAME?</x:v>
      </x:c>
      <x:c r="Q62" t="e">
        <x:f>IF($A62="","",[1]!thsiFinD("ths_adjustment_nv_fund",Q$3,$A62))</x:f>
        <x:v>#NAME?</x:v>
      </x:c>
      <x:c r="R62" t="e">
        <x:f>IF($A62="","",[1]!thsiFinD("ths_adjustment_nv_fund",R$3,$A62))</x:f>
        <x:v>#NAME?</x:v>
      </x:c>
      <x:c r="S62" t="e">
        <x:f>IF($A62="","",[1]!thsiFinD("ths_adjustment_nv_fund",S$3,$A62))</x:f>
        <x:v>#NAME?</x:v>
      </x:c>
      <x:c r="T62" t="e">
        <x:f>IF($A62="","",[1]!thsiFinD("ths_adjustment_nv_fund",T$3,$A62))</x:f>
        <x:v>#NAME?</x:v>
      </x:c>
      <x:c r="U62" t="e">
        <x:f>IF($A62="","",[1]!thsiFinD("ths_adjustment_nv_fund",U$3,$A62))</x:f>
        <x:v>#NAME?</x:v>
      </x:c>
      <x:c r="V62" t="e">
        <x:f>IF($A62="","",[1]!thsiFinD("ths_adjustment_nv_fund",V$3,$A62))</x:f>
        <x:v>#NAME?</x:v>
      </x:c>
      <x:c r="W62" t="e">
        <x:f>IF($A62="","",[1]!thsiFinD("ths_adjustment_nv_fund",W$3,$A62))</x:f>
        <x:v>#NAME?</x:v>
      </x:c>
      <x:c r="X62" t="e">
        <x:f>IF($A62="","",[1]!thsiFinD("ths_adjustment_nv_fund",X$3,$A62))</x:f>
        <x:v>#NAME?</x:v>
      </x:c>
      <x:c r="Y62" t="e">
        <x:f>IF($A62="","",[1]!thsiFinD("ths_adjustment_nv_fund",Y$3,$A62))</x:f>
        <x:v>#NAME?</x:v>
      </x:c>
    </x:row>
    <x:row r="63">
      <x:c r="B63" t="e">
        <x:f>IF($A63="","",[1]!thsiFinD("ths_adjustment_nv_fund",B$3,$A63))</x:f>
        <x:v>#NAME?</x:v>
      </x:c>
      <x:c r="C63" t="e">
        <x:f>IF($A63="","",[1]!thsiFinD("ths_adjustment_nv_fund",C$3,$A63))</x:f>
        <x:v>#NAME?</x:v>
      </x:c>
      <x:c r="D63" t="e">
        <x:f>IF($A63="","",[1]!thsiFinD("ths_adjustment_nv_fund",D$3,$A63))</x:f>
        <x:v>#NAME?</x:v>
      </x:c>
      <x:c r="E63" t="e">
        <x:f>IF($A63="","",[1]!thsiFinD("ths_adjustment_nv_fund",E$3,$A63))</x:f>
        <x:v>#NAME?</x:v>
      </x:c>
      <x:c r="F63" t="e">
        <x:f>IF($A63="","",[1]!thsiFinD("ths_adjustment_nv_fund",F$3,$A63))</x:f>
        <x:v>#NAME?</x:v>
      </x:c>
      <x:c r="G63" t="e">
        <x:f>IF($A63="","",[1]!thsiFinD("ths_adjustment_nv_fund",G$3,$A63))</x:f>
        <x:v>#NAME?</x:v>
      </x:c>
      <x:c r="H63" t="e">
        <x:f>IF($A63="","",[1]!thsiFinD("ths_adjustment_nv_fund",H$3,$A63))</x:f>
        <x:v>#NAME?</x:v>
      </x:c>
      <x:c r="I63" t="e">
        <x:f>IF($A63="","",[1]!thsiFinD("ths_adjustment_nv_fund",I$3,$A63))</x:f>
        <x:v>#NAME?</x:v>
      </x:c>
      <x:c r="J63" t="e">
        <x:f>IF($A63="","",[1]!thsiFinD("ths_adjustment_nv_fund",J$3,$A63))</x:f>
        <x:v>#NAME?</x:v>
      </x:c>
      <x:c r="K63" t="e">
        <x:f>IF($A63="","",[1]!thsiFinD("ths_adjustment_nv_fund",K$3,$A63))</x:f>
        <x:v>#NAME?</x:v>
      </x:c>
      <x:c r="L63" t="e">
        <x:f>IF($A63="","",[1]!thsiFinD("ths_adjustment_nv_fund",L$3,$A63))</x:f>
        <x:v>#NAME?</x:v>
      </x:c>
      <x:c r="M63" t="e">
        <x:f>IF($A63="","",[1]!thsiFinD("ths_adjustment_nv_fund",M$3,$A63))</x:f>
        <x:v>#NAME?</x:v>
      </x:c>
      <x:c r="N63" t="e">
        <x:f>IF($A63="","",[1]!thsiFinD("ths_adjustment_nv_fund",N$3,$A63))</x:f>
        <x:v>#NAME?</x:v>
      </x:c>
      <x:c r="O63" t="e">
        <x:f>IF($A63="","",[1]!thsiFinD("ths_adjustment_nv_fund",O$3,$A63))</x:f>
        <x:v>#NAME?</x:v>
      </x:c>
      <x:c r="P63" t="e">
        <x:f>IF($A63="","",[1]!thsiFinD("ths_adjustment_nv_fund",P$3,$A63))</x:f>
        <x:v>#NAME?</x:v>
      </x:c>
      <x:c r="Q63" t="e">
        <x:f>IF($A63="","",[1]!thsiFinD("ths_adjustment_nv_fund",Q$3,$A63))</x:f>
        <x:v>#NAME?</x:v>
      </x:c>
      <x:c r="R63" t="e">
        <x:f>IF($A63="","",[1]!thsiFinD("ths_adjustment_nv_fund",R$3,$A63))</x:f>
        <x:v>#NAME?</x:v>
      </x:c>
      <x:c r="S63" t="e">
        <x:f>IF($A63="","",[1]!thsiFinD("ths_adjustment_nv_fund",S$3,$A63))</x:f>
        <x:v>#NAME?</x:v>
      </x:c>
      <x:c r="T63" t="e">
        <x:f>IF($A63="","",[1]!thsiFinD("ths_adjustment_nv_fund",T$3,$A63))</x:f>
        <x:v>#NAME?</x:v>
      </x:c>
      <x:c r="U63" t="e">
        <x:f>IF($A63="","",[1]!thsiFinD("ths_adjustment_nv_fund",U$3,$A63))</x:f>
        <x:v>#NAME?</x:v>
      </x:c>
      <x:c r="V63" t="e">
        <x:f>IF($A63="","",[1]!thsiFinD("ths_adjustment_nv_fund",V$3,$A63))</x:f>
        <x:v>#NAME?</x:v>
      </x:c>
      <x:c r="W63" t="e">
        <x:f>IF($A63="","",[1]!thsiFinD("ths_adjustment_nv_fund",W$3,$A63))</x:f>
        <x:v>#NAME?</x:v>
      </x:c>
      <x:c r="X63" t="e">
        <x:f>IF($A63="","",[1]!thsiFinD("ths_adjustment_nv_fund",X$3,$A63))</x:f>
        <x:v>#NAME?</x:v>
      </x:c>
      <x:c r="Y63" t="e">
        <x:f>IF($A63="","",[1]!thsiFinD("ths_adjustment_nv_fund",Y$3,$A63))</x:f>
        <x:v>#NAME?</x:v>
      </x:c>
    </x:row>
    <x:row r="64">
      <x:c r="B64" t="e">
        <x:f>IF($A64="","",[1]!thsiFinD("ths_adjustment_nv_fund",B$3,$A64))</x:f>
        <x:v>#NAME?</x:v>
      </x:c>
      <x:c r="C64" t="e">
        <x:f>IF($A64="","",[1]!thsiFinD("ths_adjustment_nv_fund",C$3,$A64))</x:f>
        <x:v>#NAME?</x:v>
      </x:c>
      <x:c r="D64" t="e">
        <x:f>IF($A64="","",[1]!thsiFinD("ths_adjustment_nv_fund",D$3,$A64))</x:f>
        <x:v>#NAME?</x:v>
      </x:c>
      <x:c r="E64" t="e">
        <x:f>IF($A64="","",[1]!thsiFinD("ths_adjustment_nv_fund",E$3,$A64))</x:f>
        <x:v>#NAME?</x:v>
      </x:c>
      <x:c r="F64" t="e">
        <x:f>IF($A64="","",[1]!thsiFinD("ths_adjustment_nv_fund",F$3,$A64))</x:f>
        <x:v>#NAME?</x:v>
      </x:c>
      <x:c r="G64" t="e">
        <x:f>IF($A64="","",[1]!thsiFinD("ths_adjustment_nv_fund",G$3,$A64))</x:f>
        <x:v>#NAME?</x:v>
      </x:c>
      <x:c r="H64" t="e">
        <x:f>IF($A64="","",[1]!thsiFinD("ths_adjustment_nv_fund",H$3,$A64))</x:f>
        <x:v>#NAME?</x:v>
      </x:c>
      <x:c r="I64" t="e">
        <x:f>IF($A64="","",[1]!thsiFinD("ths_adjustment_nv_fund",I$3,$A64))</x:f>
        <x:v>#NAME?</x:v>
      </x:c>
      <x:c r="J64" t="e">
        <x:f>IF($A64="","",[1]!thsiFinD("ths_adjustment_nv_fund",J$3,$A64))</x:f>
        <x:v>#NAME?</x:v>
      </x:c>
      <x:c r="K64" t="e">
        <x:f>IF($A64="","",[1]!thsiFinD("ths_adjustment_nv_fund",K$3,$A64))</x:f>
        <x:v>#NAME?</x:v>
      </x:c>
      <x:c r="L64" t="e">
        <x:f>IF($A64="","",[1]!thsiFinD("ths_adjustment_nv_fund",L$3,$A64))</x:f>
        <x:v>#NAME?</x:v>
      </x:c>
      <x:c r="M64" t="e">
        <x:f>IF($A64="","",[1]!thsiFinD("ths_adjustment_nv_fund",M$3,$A64))</x:f>
        <x:v>#NAME?</x:v>
      </x:c>
      <x:c r="N64" t="e">
        <x:f>IF($A64="","",[1]!thsiFinD("ths_adjustment_nv_fund",N$3,$A64))</x:f>
        <x:v>#NAME?</x:v>
      </x:c>
      <x:c r="O64" t="e">
        <x:f>IF($A64="","",[1]!thsiFinD("ths_adjustment_nv_fund",O$3,$A64))</x:f>
        <x:v>#NAME?</x:v>
      </x:c>
      <x:c r="P64" t="e">
        <x:f>IF($A64="","",[1]!thsiFinD("ths_adjustment_nv_fund",P$3,$A64))</x:f>
        <x:v>#NAME?</x:v>
      </x:c>
      <x:c r="Q64" t="e">
        <x:f>IF($A64="","",[1]!thsiFinD("ths_adjustment_nv_fund",Q$3,$A64))</x:f>
        <x:v>#NAME?</x:v>
      </x:c>
      <x:c r="R64" t="e">
        <x:f>IF($A64="","",[1]!thsiFinD("ths_adjustment_nv_fund",R$3,$A64))</x:f>
        <x:v>#NAME?</x:v>
      </x:c>
      <x:c r="S64" t="e">
        <x:f>IF($A64="","",[1]!thsiFinD("ths_adjustment_nv_fund",S$3,$A64))</x:f>
        <x:v>#NAME?</x:v>
      </x:c>
      <x:c r="T64" t="e">
        <x:f>IF($A64="","",[1]!thsiFinD("ths_adjustment_nv_fund",T$3,$A64))</x:f>
        <x:v>#NAME?</x:v>
      </x:c>
      <x:c r="U64" t="e">
        <x:f>IF($A64="","",[1]!thsiFinD("ths_adjustment_nv_fund",U$3,$A64))</x:f>
        <x:v>#NAME?</x:v>
      </x:c>
      <x:c r="V64" t="e">
        <x:f>IF($A64="","",[1]!thsiFinD("ths_adjustment_nv_fund",V$3,$A64))</x:f>
        <x:v>#NAME?</x:v>
      </x:c>
      <x:c r="W64" t="e">
        <x:f>IF($A64="","",[1]!thsiFinD("ths_adjustment_nv_fund",W$3,$A64))</x:f>
        <x:v>#NAME?</x:v>
      </x:c>
      <x:c r="X64" t="e">
        <x:f>IF($A64="","",[1]!thsiFinD("ths_adjustment_nv_fund",X$3,$A64))</x:f>
        <x:v>#NAME?</x:v>
      </x:c>
      <x:c r="Y64" t="e">
        <x:f>IF($A64="","",[1]!thsiFinD("ths_adjustment_nv_fund",Y$3,$A64))</x:f>
        <x:v>#NAME?</x:v>
      </x:c>
    </x:row>
    <x:row r="65">
      <x:c r="B65" t="e">
        <x:f>IF($A65="","",[1]!thsiFinD("ths_adjustment_nv_fund",B$3,$A65))</x:f>
        <x:v>#NAME?</x:v>
      </x:c>
      <x:c r="C65" t="e">
        <x:f>IF($A65="","",[1]!thsiFinD("ths_adjustment_nv_fund",C$3,$A65))</x:f>
        <x:v>#NAME?</x:v>
      </x:c>
      <x:c r="D65" t="e">
        <x:f>IF($A65="","",[1]!thsiFinD("ths_adjustment_nv_fund",D$3,$A65))</x:f>
        <x:v>#NAME?</x:v>
      </x:c>
      <x:c r="E65" t="e">
        <x:f>IF($A65="","",[1]!thsiFinD("ths_adjustment_nv_fund",E$3,$A65))</x:f>
        <x:v>#NAME?</x:v>
      </x:c>
      <x:c r="F65" t="e">
        <x:f>IF($A65="","",[1]!thsiFinD("ths_adjustment_nv_fund",F$3,$A65))</x:f>
        <x:v>#NAME?</x:v>
      </x:c>
      <x:c r="G65" t="e">
        <x:f>IF($A65="","",[1]!thsiFinD("ths_adjustment_nv_fund",G$3,$A65))</x:f>
        <x:v>#NAME?</x:v>
      </x:c>
      <x:c r="H65" t="e">
        <x:f>IF($A65="","",[1]!thsiFinD("ths_adjustment_nv_fund",H$3,$A65))</x:f>
        <x:v>#NAME?</x:v>
      </x:c>
      <x:c r="I65" t="e">
        <x:f>IF($A65="","",[1]!thsiFinD("ths_adjustment_nv_fund",I$3,$A65))</x:f>
        <x:v>#NAME?</x:v>
      </x:c>
      <x:c r="J65" t="e">
        <x:f>IF($A65="","",[1]!thsiFinD("ths_adjustment_nv_fund",J$3,$A65))</x:f>
        <x:v>#NAME?</x:v>
      </x:c>
      <x:c r="K65" t="e">
        <x:f>IF($A65="","",[1]!thsiFinD("ths_adjustment_nv_fund",K$3,$A65))</x:f>
        <x:v>#NAME?</x:v>
      </x:c>
      <x:c r="L65" t="e">
        <x:f>IF($A65="","",[1]!thsiFinD("ths_adjustment_nv_fund",L$3,$A65))</x:f>
        <x:v>#NAME?</x:v>
      </x:c>
      <x:c r="M65" t="e">
        <x:f>IF($A65="","",[1]!thsiFinD("ths_adjustment_nv_fund",M$3,$A65))</x:f>
        <x:v>#NAME?</x:v>
      </x:c>
      <x:c r="N65" t="e">
        <x:f>IF($A65="","",[1]!thsiFinD("ths_adjustment_nv_fund",N$3,$A65))</x:f>
        <x:v>#NAME?</x:v>
      </x:c>
      <x:c r="O65" t="e">
        <x:f>IF($A65="","",[1]!thsiFinD("ths_adjustment_nv_fund",O$3,$A65))</x:f>
        <x:v>#NAME?</x:v>
      </x:c>
      <x:c r="P65" t="e">
        <x:f>IF($A65="","",[1]!thsiFinD("ths_adjustment_nv_fund",P$3,$A65))</x:f>
        <x:v>#NAME?</x:v>
      </x:c>
      <x:c r="Q65" t="e">
        <x:f>IF($A65="","",[1]!thsiFinD("ths_adjustment_nv_fund",Q$3,$A65))</x:f>
        <x:v>#NAME?</x:v>
      </x:c>
      <x:c r="R65" t="e">
        <x:f>IF($A65="","",[1]!thsiFinD("ths_adjustment_nv_fund",R$3,$A65))</x:f>
        <x:v>#NAME?</x:v>
      </x:c>
      <x:c r="S65" t="e">
        <x:f>IF($A65="","",[1]!thsiFinD("ths_adjustment_nv_fund",S$3,$A65))</x:f>
        <x:v>#NAME?</x:v>
      </x:c>
      <x:c r="T65" t="e">
        <x:f>IF($A65="","",[1]!thsiFinD("ths_adjustment_nv_fund",T$3,$A65))</x:f>
        <x:v>#NAME?</x:v>
      </x:c>
      <x:c r="U65" t="e">
        <x:f>IF($A65="","",[1]!thsiFinD("ths_adjustment_nv_fund",U$3,$A65))</x:f>
        <x:v>#NAME?</x:v>
      </x:c>
      <x:c r="V65" t="e">
        <x:f>IF($A65="","",[1]!thsiFinD("ths_adjustment_nv_fund",V$3,$A65))</x:f>
        <x:v>#NAME?</x:v>
      </x:c>
      <x:c r="W65" t="e">
        <x:f>IF($A65="","",[1]!thsiFinD("ths_adjustment_nv_fund",W$3,$A65))</x:f>
        <x:v>#NAME?</x:v>
      </x:c>
      <x:c r="X65" t="e">
        <x:f>IF($A65="","",[1]!thsiFinD("ths_adjustment_nv_fund",X$3,$A65))</x:f>
        <x:v>#NAME?</x:v>
      </x:c>
      <x:c r="Y65" t="e">
        <x:f>IF($A65="","",[1]!thsiFinD("ths_adjustment_nv_fund",Y$3,$A65))</x:f>
        <x:v>#NAME?</x:v>
      </x:c>
    </x:row>
    <x:row r="66">
      <x:c r="B66" t="e">
        <x:f>IF($A66="","",[1]!thsiFinD("ths_adjustment_nv_fund",B$3,$A66))</x:f>
        <x:v>#NAME?</x:v>
      </x:c>
      <x:c r="C66" t="e">
        <x:f>IF($A66="","",[1]!thsiFinD("ths_adjustment_nv_fund",C$3,$A66))</x:f>
        <x:v>#NAME?</x:v>
      </x:c>
      <x:c r="D66" t="e">
        <x:f>IF($A66="","",[1]!thsiFinD("ths_adjustment_nv_fund",D$3,$A66))</x:f>
        <x:v>#NAME?</x:v>
      </x:c>
      <x:c r="E66" t="e">
        <x:f>IF($A66="","",[1]!thsiFinD("ths_adjustment_nv_fund",E$3,$A66))</x:f>
        <x:v>#NAME?</x:v>
      </x:c>
      <x:c r="F66" t="e">
        <x:f>IF($A66="","",[1]!thsiFinD("ths_adjustment_nv_fund",F$3,$A66))</x:f>
        <x:v>#NAME?</x:v>
      </x:c>
      <x:c r="G66" t="e">
        <x:f>IF($A66="","",[1]!thsiFinD("ths_adjustment_nv_fund",G$3,$A66))</x:f>
        <x:v>#NAME?</x:v>
      </x:c>
      <x:c r="H66" t="e">
        <x:f>IF($A66="","",[1]!thsiFinD("ths_adjustment_nv_fund",H$3,$A66))</x:f>
        <x:v>#NAME?</x:v>
      </x:c>
      <x:c r="I66" t="e">
        <x:f>IF($A66="","",[1]!thsiFinD("ths_adjustment_nv_fund",I$3,$A66))</x:f>
        <x:v>#NAME?</x:v>
      </x:c>
      <x:c r="J66" t="e">
        <x:f>IF($A66="","",[1]!thsiFinD("ths_adjustment_nv_fund",J$3,$A66))</x:f>
        <x:v>#NAME?</x:v>
      </x:c>
      <x:c r="K66" t="e">
        <x:f>IF($A66="","",[1]!thsiFinD("ths_adjustment_nv_fund",K$3,$A66))</x:f>
        <x:v>#NAME?</x:v>
      </x:c>
      <x:c r="L66" t="e">
        <x:f>IF($A66="","",[1]!thsiFinD("ths_adjustment_nv_fund",L$3,$A66))</x:f>
        <x:v>#NAME?</x:v>
      </x:c>
      <x:c r="M66" t="e">
        <x:f>IF($A66="","",[1]!thsiFinD("ths_adjustment_nv_fund",M$3,$A66))</x:f>
        <x:v>#NAME?</x:v>
      </x:c>
      <x:c r="N66" t="e">
        <x:f>IF($A66="","",[1]!thsiFinD("ths_adjustment_nv_fund",N$3,$A66))</x:f>
        <x:v>#NAME?</x:v>
      </x:c>
      <x:c r="O66" t="e">
        <x:f>IF($A66="","",[1]!thsiFinD("ths_adjustment_nv_fund",O$3,$A66))</x:f>
        <x:v>#NAME?</x:v>
      </x:c>
      <x:c r="P66" t="e">
        <x:f>IF($A66="","",[1]!thsiFinD("ths_adjustment_nv_fund",P$3,$A66))</x:f>
        <x:v>#NAME?</x:v>
      </x:c>
      <x:c r="Q66" t="e">
        <x:f>IF($A66="","",[1]!thsiFinD("ths_adjustment_nv_fund",Q$3,$A66))</x:f>
        <x:v>#NAME?</x:v>
      </x:c>
      <x:c r="R66" t="e">
        <x:f>IF($A66="","",[1]!thsiFinD("ths_adjustment_nv_fund",R$3,$A66))</x:f>
        <x:v>#NAME?</x:v>
      </x:c>
      <x:c r="S66" t="e">
        <x:f>IF($A66="","",[1]!thsiFinD("ths_adjustment_nv_fund",S$3,$A66))</x:f>
        <x:v>#NAME?</x:v>
      </x:c>
      <x:c r="T66" t="e">
        <x:f>IF($A66="","",[1]!thsiFinD("ths_adjustment_nv_fund",T$3,$A66))</x:f>
        <x:v>#NAME?</x:v>
      </x:c>
      <x:c r="U66" t="e">
        <x:f>IF($A66="","",[1]!thsiFinD("ths_adjustment_nv_fund",U$3,$A66))</x:f>
        <x:v>#NAME?</x:v>
      </x:c>
      <x:c r="V66" t="e">
        <x:f>IF($A66="","",[1]!thsiFinD("ths_adjustment_nv_fund",V$3,$A66))</x:f>
        <x:v>#NAME?</x:v>
      </x:c>
      <x:c r="W66" t="e">
        <x:f>IF($A66="","",[1]!thsiFinD("ths_adjustment_nv_fund",W$3,$A66))</x:f>
        <x:v>#NAME?</x:v>
      </x:c>
      <x:c r="X66" t="e">
        <x:f>IF($A66="","",[1]!thsiFinD("ths_adjustment_nv_fund",X$3,$A66))</x:f>
        <x:v>#NAME?</x:v>
      </x:c>
      <x:c r="Y66" t="e">
        <x:f>IF($A66="","",[1]!thsiFinD("ths_adjustment_nv_fund",Y$3,$A66))</x:f>
        <x:v>#NAME?</x:v>
      </x:c>
    </x:row>
    <x:row r="67">
      <x:c r="B67" t="e">
        <x:f>IF($A67="","",[1]!thsiFinD("ths_adjustment_nv_fund",B$3,$A67))</x:f>
        <x:v>#NAME?</x:v>
      </x:c>
      <x:c r="C67" t="e">
        <x:f>IF($A67="","",[1]!thsiFinD("ths_adjustment_nv_fund",C$3,$A67))</x:f>
        <x:v>#NAME?</x:v>
      </x:c>
      <x:c r="D67" t="e">
        <x:f>IF($A67="","",[1]!thsiFinD("ths_adjustment_nv_fund",D$3,$A67))</x:f>
        <x:v>#NAME?</x:v>
      </x:c>
      <x:c r="E67" t="e">
        <x:f>IF($A67="","",[1]!thsiFinD("ths_adjustment_nv_fund",E$3,$A67))</x:f>
        <x:v>#NAME?</x:v>
      </x:c>
      <x:c r="F67" t="e">
        <x:f>IF($A67="","",[1]!thsiFinD("ths_adjustment_nv_fund",F$3,$A67))</x:f>
        <x:v>#NAME?</x:v>
      </x:c>
      <x:c r="G67" t="e">
        <x:f>IF($A67="","",[1]!thsiFinD("ths_adjustment_nv_fund",G$3,$A67))</x:f>
        <x:v>#NAME?</x:v>
      </x:c>
      <x:c r="H67" t="e">
        <x:f>IF($A67="","",[1]!thsiFinD("ths_adjustment_nv_fund",H$3,$A67))</x:f>
        <x:v>#NAME?</x:v>
      </x:c>
      <x:c r="I67" t="e">
        <x:f>IF($A67="","",[1]!thsiFinD("ths_adjustment_nv_fund",I$3,$A67))</x:f>
        <x:v>#NAME?</x:v>
      </x:c>
      <x:c r="J67" t="e">
        <x:f>IF($A67="","",[1]!thsiFinD("ths_adjustment_nv_fund",J$3,$A67))</x:f>
        <x:v>#NAME?</x:v>
      </x:c>
      <x:c r="K67" t="e">
        <x:f>IF($A67="","",[1]!thsiFinD("ths_adjustment_nv_fund",K$3,$A67))</x:f>
        <x:v>#NAME?</x:v>
      </x:c>
      <x:c r="L67" t="e">
        <x:f>IF($A67="","",[1]!thsiFinD("ths_adjustment_nv_fund",L$3,$A67))</x:f>
        <x:v>#NAME?</x:v>
      </x:c>
      <x:c r="M67" t="e">
        <x:f>IF($A67="","",[1]!thsiFinD("ths_adjustment_nv_fund",M$3,$A67))</x:f>
        <x:v>#NAME?</x:v>
      </x:c>
      <x:c r="N67" t="e">
        <x:f>IF($A67="","",[1]!thsiFinD("ths_adjustment_nv_fund",N$3,$A67))</x:f>
        <x:v>#NAME?</x:v>
      </x:c>
      <x:c r="O67" t="e">
        <x:f>IF($A67="","",[1]!thsiFinD("ths_adjustment_nv_fund",O$3,$A67))</x:f>
        <x:v>#NAME?</x:v>
      </x:c>
      <x:c r="P67" t="e">
        <x:f>IF($A67="","",[1]!thsiFinD("ths_adjustment_nv_fund",P$3,$A67))</x:f>
        <x:v>#NAME?</x:v>
      </x:c>
      <x:c r="Q67" t="e">
        <x:f>IF($A67="","",[1]!thsiFinD("ths_adjustment_nv_fund",Q$3,$A67))</x:f>
        <x:v>#NAME?</x:v>
      </x:c>
      <x:c r="R67" t="e">
        <x:f>IF($A67="","",[1]!thsiFinD("ths_adjustment_nv_fund",R$3,$A67))</x:f>
        <x:v>#NAME?</x:v>
      </x:c>
      <x:c r="S67" t="e">
        <x:f>IF($A67="","",[1]!thsiFinD("ths_adjustment_nv_fund",S$3,$A67))</x:f>
        <x:v>#NAME?</x:v>
      </x:c>
      <x:c r="T67" t="e">
        <x:f>IF($A67="","",[1]!thsiFinD("ths_adjustment_nv_fund",T$3,$A67))</x:f>
        <x:v>#NAME?</x:v>
      </x:c>
      <x:c r="U67" t="e">
        <x:f>IF($A67="","",[1]!thsiFinD("ths_adjustment_nv_fund",U$3,$A67))</x:f>
        <x:v>#NAME?</x:v>
      </x:c>
      <x:c r="V67" t="e">
        <x:f>IF($A67="","",[1]!thsiFinD("ths_adjustment_nv_fund",V$3,$A67))</x:f>
        <x:v>#NAME?</x:v>
      </x:c>
      <x:c r="W67" t="e">
        <x:f>IF($A67="","",[1]!thsiFinD("ths_adjustment_nv_fund",W$3,$A67))</x:f>
        <x:v>#NAME?</x:v>
      </x:c>
      <x:c r="X67" t="e">
        <x:f>IF($A67="","",[1]!thsiFinD("ths_adjustment_nv_fund",X$3,$A67))</x:f>
        <x:v>#NAME?</x:v>
      </x:c>
      <x:c r="Y67" t="e">
        <x:f>IF($A67="","",[1]!thsiFinD("ths_adjustment_nv_fund",Y$3,$A67))</x:f>
        <x:v>#NAME?</x:v>
      </x:c>
    </x:row>
    <x:row r="68">
      <x:c r="B68" t="e">
        <x:f>IF($A68="","",[1]!thsiFinD("ths_adjustment_nv_fund",B$3,$A68))</x:f>
        <x:v>#NAME?</x:v>
      </x:c>
      <x:c r="C68" t="e">
        <x:f>IF($A68="","",[1]!thsiFinD("ths_adjustment_nv_fund",C$3,$A68))</x:f>
        <x:v>#NAME?</x:v>
      </x:c>
      <x:c r="D68" t="e">
        <x:f>IF($A68="","",[1]!thsiFinD("ths_adjustment_nv_fund",D$3,$A68))</x:f>
        <x:v>#NAME?</x:v>
      </x:c>
      <x:c r="E68" t="e">
        <x:f>IF($A68="","",[1]!thsiFinD("ths_adjustment_nv_fund",E$3,$A68))</x:f>
        <x:v>#NAME?</x:v>
      </x:c>
      <x:c r="F68" t="e">
        <x:f>IF($A68="","",[1]!thsiFinD("ths_adjustment_nv_fund",F$3,$A68))</x:f>
        <x:v>#NAME?</x:v>
      </x:c>
      <x:c r="G68" t="e">
        <x:f>IF($A68="","",[1]!thsiFinD("ths_adjustment_nv_fund",G$3,$A68))</x:f>
        <x:v>#NAME?</x:v>
      </x:c>
      <x:c r="H68" t="e">
        <x:f>IF($A68="","",[1]!thsiFinD("ths_adjustment_nv_fund",H$3,$A68))</x:f>
        <x:v>#NAME?</x:v>
      </x:c>
      <x:c r="I68" t="e">
        <x:f>IF($A68="","",[1]!thsiFinD("ths_adjustment_nv_fund",I$3,$A68))</x:f>
        <x:v>#NAME?</x:v>
      </x:c>
      <x:c r="J68" t="e">
        <x:f>IF($A68="","",[1]!thsiFinD("ths_adjustment_nv_fund",J$3,$A68))</x:f>
        <x:v>#NAME?</x:v>
      </x:c>
      <x:c r="K68" t="e">
        <x:f>IF($A68="","",[1]!thsiFinD("ths_adjustment_nv_fund",K$3,$A68))</x:f>
        <x:v>#NAME?</x:v>
      </x:c>
      <x:c r="L68" t="e">
        <x:f>IF($A68="","",[1]!thsiFinD("ths_adjustment_nv_fund",L$3,$A68))</x:f>
        <x:v>#NAME?</x:v>
      </x:c>
      <x:c r="M68" t="e">
        <x:f>IF($A68="","",[1]!thsiFinD("ths_adjustment_nv_fund",M$3,$A68))</x:f>
        <x:v>#NAME?</x:v>
      </x:c>
      <x:c r="N68" t="e">
        <x:f>IF($A68="","",[1]!thsiFinD("ths_adjustment_nv_fund",N$3,$A68))</x:f>
        <x:v>#NAME?</x:v>
      </x:c>
      <x:c r="O68" t="e">
        <x:f>IF($A68="","",[1]!thsiFinD("ths_adjustment_nv_fund",O$3,$A68))</x:f>
        <x:v>#NAME?</x:v>
      </x:c>
      <x:c r="P68" t="e">
        <x:f>IF($A68="","",[1]!thsiFinD("ths_adjustment_nv_fund",P$3,$A68))</x:f>
        <x:v>#NAME?</x:v>
      </x:c>
      <x:c r="Q68" t="e">
        <x:f>IF($A68="","",[1]!thsiFinD("ths_adjustment_nv_fund",Q$3,$A68))</x:f>
        <x:v>#NAME?</x:v>
      </x:c>
      <x:c r="R68" t="e">
        <x:f>IF($A68="","",[1]!thsiFinD("ths_adjustment_nv_fund",R$3,$A68))</x:f>
        <x:v>#NAME?</x:v>
      </x:c>
      <x:c r="S68" t="e">
        <x:f>IF($A68="","",[1]!thsiFinD("ths_adjustment_nv_fund",S$3,$A68))</x:f>
        <x:v>#NAME?</x:v>
      </x:c>
      <x:c r="T68" t="e">
        <x:f>IF($A68="","",[1]!thsiFinD("ths_adjustment_nv_fund",T$3,$A68))</x:f>
        <x:v>#NAME?</x:v>
      </x:c>
      <x:c r="U68" t="e">
        <x:f>IF($A68="","",[1]!thsiFinD("ths_adjustment_nv_fund",U$3,$A68))</x:f>
        <x:v>#NAME?</x:v>
      </x:c>
      <x:c r="V68" t="e">
        <x:f>IF($A68="","",[1]!thsiFinD("ths_adjustment_nv_fund",V$3,$A68))</x:f>
        <x:v>#NAME?</x:v>
      </x:c>
      <x:c r="W68" t="e">
        <x:f>IF($A68="","",[1]!thsiFinD("ths_adjustment_nv_fund",W$3,$A68))</x:f>
        <x:v>#NAME?</x:v>
      </x:c>
      <x:c r="X68" t="e">
        <x:f>IF($A68="","",[1]!thsiFinD("ths_adjustment_nv_fund",X$3,$A68))</x:f>
        <x:v>#NAME?</x:v>
      </x:c>
      <x:c r="Y68" t="e">
        <x:f>IF($A68="","",[1]!thsiFinD("ths_adjustment_nv_fund",Y$3,$A68))</x:f>
        <x:v>#NAME?</x:v>
      </x:c>
    </x:row>
    <x:row r="69">
      <x:c r="B69" t="e">
        <x:f>IF($A69="","",[1]!thsiFinD("ths_adjustment_nv_fund",B$3,$A69))</x:f>
        <x:v>#NAME?</x:v>
      </x:c>
      <x:c r="C69" t="e">
        <x:f>IF($A69="","",[1]!thsiFinD("ths_adjustment_nv_fund",C$3,$A69))</x:f>
        <x:v>#NAME?</x:v>
      </x:c>
      <x:c r="D69" t="e">
        <x:f>IF($A69="","",[1]!thsiFinD("ths_adjustment_nv_fund",D$3,$A69))</x:f>
        <x:v>#NAME?</x:v>
      </x:c>
      <x:c r="E69" t="e">
        <x:f>IF($A69="","",[1]!thsiFinD("ths_adjustment_nv_fund",E$3,$A69))</x:f>
        <x:v>#NAME?</x:v>
      </x:c>
      <x:c r="F69" t="e">
        <x:f>IF($A69="","",[1]!thsiFinD("ths_adjustment_nv_fund",F$3,$A69))</x:f>
        <x:v>#NAME?</x:v>
      </x:c>
      <x:c r="G69" t="e">
        <x:f>IF($A69="","",[1]!thsiFinD("ths_adjustment_nv_fund",G$3,$A69))</x:f>
        <x:v>#NAME?</x:v>
      </x:c>
      <x:c r="H69" t="e">
        <x:f>IF($A69="","",[1]!thsiFinD("ths_adjustment_nv_fund",H$3,$A69))</x:f>
        <x:v>#NAME?</x:v>
      </x:c>
      <x:c r="I69" t="e">
        <x:f>IF($A69="","",[1]!thsiFinD("ths_adjustment_nv_fund",I$3,$A69))</x:f>
        <x:v>#NAME?</x:v>
      </x:c>
      <x:c r="J69" t="e">
        <x:f>IF($A69="","",[1]!thsiFinD("ths_adjustment_nv_fund",J$3,$A69))</x:f>
        <x:v>#NAME?</x:v>
      </x:c>
      <x:c r="K69" t="e">
        <x:f>IF($A69="","",[1]!thsiFinD("ths_adjustment_nv_fund",K$3,$A69))</x:f>
        <x:v>#NAME?</x:v>
      </x:c>
      <x:c r="L69" t="e">
        <x:f>IF($A69="","",[1]!thsiFinD("ths_adjustment_nv_fund",L$3,$A69))</x:f>
        <x:v>#NAME?</x:v>
      </x:c>
      <x:c r="M69" t="e">
        <x:f>IF($A69="","",[1]!thsiFinD("ths_adjustment_nv_fund",M$3,$A69))</x:f>
        <x:v>#NAME?</x:v>
      </x:c>
      <x:c r="N69" t="e">
        <x:f>IF($A69="","",[1]!thsiFinD("ths_adjustment_nv_fund",N$3,$A69))</x:f>
        <x:v>#NAME?</x:v>
      </x:c>
      <x:c r="O69" t="e">
        <x:f>IF($A69="","",[1]!thsiFinD("ths_adjustment_nv_fund",O$3,$A69))</x:f>
        <x:v>#NAME?</x:v>
      </x:c>
      <x:c r="P69" t="e">
        <x:f>IF($A69="","",[1]!thsiFinD("ths_adjustment_nv_fund",P$3,$A69))</x:f>
        <x:v>#NAME?</x:v>
      </x:c>
      <x:c r="Q69" t="e">
        <x:f>IF($A69="","",[1]!thsiFinD("ths_adjustment_nv_fund",Q$3,$A69))</x:f>
        <x:v>#NAME?</x:v>
      </x:c>
      <x:c r="R69" t="e">
        <x:f>IF($A69="","",[1]!thsiFinD("ths_adjustment_nv_fund",R$3,$A69))</x:f>
        <x:v>#NAME?</x:v>
      </x:c>
      <x:c r="S69" t="e">
        <x:f>IF($A69="","",[1]!thsiFinD("ths_adjustment_nv_fund",S$3,$A69))</x:f>
        <x:v>#NAME?</x:v>
      </x:c>
      <x:c r="T69" t="e">
        <x:f>IF($A69="","",[1]!thsiFinD("ths_adjustment_nv_fund",T$3,$A69))</x:f>
        <x:v>#NAME?</x:v>
      </x:c>
      <x:c r="U69" t="e">
        <x:f>IF($A69="","",[1]!thsiFinD("ths_adjustment_nv_fund",U$3,$A69))</x:f>
        <x:v>#NAME?</x:v>
      </x:c>
      <x:c r="V69" t="e">
        <x:f>IF($A69="","",[1]!thsiFinD("ths_adjustment_nv_fund",V$3,$A69))</x:f>
        <x:v>#NAME?</x:v>
      </x:c>
      <x:c r="W69" t="e">
        <x:f>IF($A69="","",[1]!thsiFinD("ths_adjustment_nv_fund",W$3,$A69))</x:f>
        <x:v>#NAME?</x:v>
      </x:c>
      <x:c r="X69" t="e">
        <x:f>IF($A69="","",[1]!thsiFinD("ths_adjustment_nv_fund",X$3,$A69))</x:f>
        <x:v>#NAME?</x:v>
      </x:c>
      <x:c r="Y69" t="e">
        <x:f>IF($A69="","",[1]!thsiFinD("ths_adjustment_nv_fund",Y$3,$A69))</x:f>
        <x:v>#NAME?</x:v>
      </x:c>
    </x:row>
    <x:row r="70">
      <x:c r="B70" t="e">
        <x:f>IF($A70="","",[1]!thsiFinD("ths_adjustment_nv_fund",B$3,$A70))</x:f>
        <x:v>#NAME?</x:v>
      </x:c>
      <x:c r="C70" t="e">
        <x:f>IF($A70="","",[1]!thsiFinD("ths_adjustment_nv_fund",C$3,$A70))</x:f>
        <x:v>#NAME?</x:v>
      </x:c>
      <x:c r="D70" t="e">
        <x:f>IF($A70="","",[1]!thsiFinD("ths_adjustment_nv_fund",D$3,$A70))</x:f>
        <x:v>#NAME?</x:v>
      </x:c>
      <x:c r="E70" t="e">
        <x:f>IF($A70="","",[1]!thsiFinD("ths_adjustment_nv_fund",E$3,$A70))</x:f>
        <x:v>#NAME?</x:v>
      </x:c>
      <x:c r="F70" t="e">
        <x:f>IF($A70="","",[1]!thsiFinD("ths_adjustment_nv_fund",F$3,$A70))</x:f>
        <x:v>#NAME?</x:v>
      </x:c>
      <x:c r="G70" t="e">
        <x:f>IF($A70="","",[1]!thsiFinD("ths_adjustment_nv_fund",G$3,$A70))</x:f>
        <x:v>#NAME?</x:v>
      </x:c>
      <x:c r="H70" t="e">
        <x:f>IF($A70="","",[1]!thsiFinD("ths_adjustment_nv_fund",H$3,$A70))</x:f>
        <x:v>#NAME?</x:v>
      </x:c>
      <x:c r="I70" t="e">
        <x:f>IF($A70="","",[1]!thsiFinD("ths_adjustment_nv_fund",I$3,$A70))</x:f>
        <x:v>#NAME?</x:v>
      </x:c>
      <x:c r="J70" t="e">
        <x:f>IF($A70="","",[1]!thsiFinD("ths_adjustment_nv_fund",J$3,$A70))</x:f>
        <x:v>#NAME?</x:v>
      </x:c>
      <x:c r="K70" t="e">
        <x:f>IF($A70="","",[1]!thsiFinD("ths_adjustment_nv_fund",K$3,$A70))</x:f>
        <x:v>#NAME?</x:v>
      </x:c>
      <x:c r="L70" t="e">
        <x:f>IF($A70="","",[1]!thsiFinD("ths_adjustment_nv_fund",L$3,$A70))</x:f>
        <x:v>#NAME?</x:v>
      </x:c>
      <x:c r="M70" t="e">
        <x:f>IF($A70="","",[1]!thsiFinD("ths_adjustment_nv_fund",M$3,$A70))</x:f>
        <x:v>#NAME?</x:v>
      </x:c>
      <x:c r="N70" t="e">
        <x:f>IF($A70="","",[1]!thsiFinD("ths_adjustment_nv_fund",N$3,$A70))</x:f>
        <x:v>#NAME?</x:v>
      </x:c>
      <x:c r="O70" t="e">
        <x:f>IF($A70="","",[1]!thsiFinD("ths_adjustment_nv_fund",O$3,$A70))</x:f>
        <x:v>#NAME?</x:v>
      </x:c>
      <x:c r="P70" t="e">
        <x:f>IF($A70="","",[1]!thsiFinD("ths_adjustment_nv_fund",P$3,$A70))</x:f>
        <x:v>#NAME?</x:v>
      </x:c>
      <x:c r="Q70" t="e">
        <x:f>IF($A70="","",[1]!thsiFinD("ths_adjustment_nv_fund",Q$3,$A70))</x:f>
        <x:v>#NAME?</x:v>
      </x:c>
      <x:c r="R70" t="e">
        <x:f>IF($A70="","",[1]!thsiFinD("ths_adjustment_nv_fund",R$3,$A70))</x:f>
        <x:v>#NAME?</x:v>
      </x:c>
      <x:c r="S70" t="e">
        <x:f>IF($A70="","",[1]!thsiFinD("ths_adjustment_nv_fund",S$3,$A70))</x:f>
        <x:v>#NAME?</x:v>
      </x:c>
      <x:c r="T70" t="e">
        <x:f>IF($A70="","",[1]!thsiFinD("ths_adjustment_nv_fund",T$3,$A70))</x:f>
        <x:v>#NAME?</x:v>
      </x:c>
      <x:c r="U70" t="e">
        <x:f>IF($A70="","",[1]!thsiFinD("ths_adjustment_nv_fund",U$3,$A70))</x:f>
        <x:v>#NAME?</x:v>
      </x:c>
      <x:c r="V70" t="e">
        <x:f>IF($A70="","",[1]!thsiFinD("ths_adjustment_nv_fund",V$3,$A70))</x:f>
        <x:v>#NAME?</x:v>
      </x:c>
      <x:c r="W70" t="e">
        <x:f>IF($A70="","",[1]!thsiFinD("ths_adjustment_nv_fund",W$3,$A70))</x:f>
        <x:v>#NAME?</x:v>
      </x:c>
      <x:c r="X70" t="e">
        <x:f>IF($A70="","",[1]!thsiFinD("ths_adjustment_nv_fund",X$3,$A70))</x:f>
        <x:v>#NAME?</x:v>
      </x:c>
      <x:c r="Y70" t="e">
        <x:f>IF($A70="","",[1]!thsiFinD("ths_adjustment_nv_fund",Y$3,$A70))</x:f>
        <x:v>#NAME?</x:v>
      </x:c>
    </x:row>
    <x:row r="71">
      <x:c r="B71" t="e">
        <x:f>IF($A71="","",[1]!thsiFinD("ths_adjustment_nv_fund",B$3,$A71))</x:f>
        <x:v>#NAME?</x:v>
      </x:c>
      <x:c r="C71" t="e">
        <x:f>IF($A71="","",[1]!thsiFinD("ths_adjustment_nv_fund",C$3,$A71))</x:f>
        <x:v>#NAME?</x:v>
      </x:c>
      <x:c r="D71" t="e">
        <x:f>IF($A71="","",[1]!thsiFinD("ths_adjustment_nv_fund",D$3,$A71))</x:f>
        <x:v>#NAME?</x:v>
      </x:c>
      <x:c r="E71" t="e">
        <x:f>IF($A71="","",[1]!thsiFinD("ths_adjustment_nv_fund",E$3,$A71))</x:f>
        <x:v>#NAME?</x:v>
      </x:c>
      <x:c r="F71" t="e">
        <x:f>IF($A71="","",[1]!thsiFinD("ths_adjustment_nv_fund",F$3,$A71))</x:f>
        <x:v>#NAME?</x:v>
      </x:c>
      <x:c r="G71" t="e">
        <x:f>IF($A71="","",[1]!thsiFinD("ths_adjustment_nv_fund",G$3,$A71))</x:f>
        <x:v>#NAME?</x:v>
      </x:c>
      <x:c r="H71" t="e">
        <x:f>IF($A71="","",[1]!thsiFinD("ths_adjustment_nv_fund",H$3,$A71))</x:f>
        <x:v>#NAME?</x:v>
      </x:c>
      <x:c r="I71" t="e">
        <x:f>IF($A71="","",[1]!thsiFinD("ths_adjustment_nv_fund",I$3,$A71))</x:f>
        <x:v>#NAME?</x:v>
      </x:c>
      <x:c r="J71" t="e">
        <x:f>IF($A71="","",[1]!thsiFinD("ths_adjustment_nv_fund",J$3,$A71))</x:f>
        <x:v>#NAME?</x:v>
      </x:c>
      <x:c r="K71" t="e">
        <x:f>IF($A71="","",[1]!thsiFinD("ths_adjustment_nv_fund",K$3,$A71))</x:f>
        <x:v>#NAME?</x:v>
      </x:c>
      <x:c r="L71" t="e">
        <x:f>IF($A71="","",[1]!thsiFinD("ths_adjustment_nv_fund",L$3,$A71))</x:f>
        <x:v>#NAME?</x:v>
      </x:c>
      <x:c r="M71" t="e">
        <x:f>IF($A71="","",[1]!thsiFinD("ths_adjustment_nv_fund",M$3,$A71))</x:f>
        <x:v>#NAME?</x:v>
      </x:c>
      <x:c r="N71" t="e">
        <x:f>IF($A71="","",[1]!thsiFinD("ths_adjustment_nv_fund",N$3,$A71))</x:f>
        <x:v>#NAME?</x:v>
      </x:c>
      <x:c r="O71" t="e">
        <x:f>IF($A71="","",[1]!thsiFinD("ths_adjustment_nv_fund",O$3,$A71))</x:f>
        <x:v>#NAME?</x:v>
      </x:c>
      <x:c r="P71" t="e">
        <x:f>IF($A71="","",[1]!thsiFinD("ths_adjustment_nv_fund",P$3,$A71))</x:f>
        <x:v>#NAME?</x:v>
      </x:c>
      <x:c r="Q71" t="e">
        <x:f>IF($A71="","",[1]!thsiFinD("ths_adjustment_nv_fund",Q$3,$A71))</x:f>
        <x:v>#NAME?</x:v>
      </x:c>
      <x:c r="R71" t="e">
        <x:f>IF($A71="","",[1]!thsiFinD("ths_adjustment_nv_fund",R$3,$A71))</x:f>
        <x:v>#NAME?</x:v>
      </x:c>
      <x:c r="S71" t="e">
        <x:f>IF($A71="","",[1]!thsiFinD("ths_adjustment_nv_fund",S$3,$A71))</x:f>
        <x:v>#NAME?</x:v>
      </x:c>
      <x:c r="T71" t="e">
        <x:f>IF($A71="","",[1]!thsiFinD("ths_adjustment_nv_fund",T$3,$A71))</x:f>
        <x:v>#NAME?</x:v>
      </x:c>
      <x:c r="U71" t="e">
        <x:f>IF($A71="","",[1]!thsiFinD("ths_adjustment_nv_fund",U$3,$A71))</x:f>
        <x:v>#NAME?</x:v>
      </x:c>
      <x:c r="V71" t="e">
        <x:f>IF($A71="","",[1]!thsiFinD("ths_adjustment_nv_fund",V$3,$A71))</x:f>
        <x:v>#NAME?</x:v>
      </x:c>
      <x:c r="W71" t="e">
        <x:f>IF($A71="","",[1]!thsiFinD("ths_adjustment_nv_fund",W$3,$A71))</x:f>
        <x:v>#NAME?</x:v>
      </x:c>
      <x:c r="X71" t="e">
        <x:f>IF($A71="","",[1]!thsiFinD("ths_adjustment_nv_fund",X$3,$A71))</x:f>
        <x:v>#NAME?</x:v>
      </x:c>
      <x:c r="Y71" t="e">
        <x:f>IF($A71="","",[1]!thsiFinD("ths_adjustment_nv_fund",Y$3,$A71))</x:f>
        <x:v>#NAME?</x:v>
      </x:c>
    </x:row>
    <x:row r="72">
      <x:c r="B72" t="e">
        <x:f>IF($A72="","",[1]!thsiFinD("ths_adjustment_nv_fund",B$3,$A72))</x:f>
        <x:v>#NAME?</x:v>
      </x:c>
      <x:c r="C72" t="e">
        <x:f>IF($A72="","",[1]!thsiFinD("ths_adjustment_nv_fund",C$3,$A72))</x:f>
        <x:v>#NAME?</x:v>
      </x:c>
      <x:c r="D72" t="e">
        <x:f>IF($A72="","",[1]!thsiFinD("ths_adjustment_nv_fund",D$3,$A72))</x:f>
        <x:v>#NAME?</x:v>
      </x:c>
      <x:c r="E72" t="e">
        <x:f>IF($A72="","",[1]!thsiFinD("ths_adjustment_nv_fund",E$3,$A72))</x:f>
        <x:v>#NAME?</x:v>
      </x:c>
      <x:c r="F72" t="e">
        <x:f>IF($A72="","",[1]!thsiFinD("ths_adjustment_nv_fund",F$3,$A72))</x:f>
        <x:v>#NAME?</x:v>
      </x:c>
      <x:c r="G72" t="e">
        <x:f>IF($A72="","",[1]!thsiFinD("ths_adjustment_nv_fund",G$3,$A72))</x:f>
        <x:v>#NAME?</x:v>
      </x:c>
      <x:c r="H72" t="e">
        <x:f>IF($A72="","",[1]!thsiFinD("ths_adjustment_nv_fund",H$3,$A72))</x:f>
        <x:v>#NAME?</x:v>
      </x:c>
      <x:c r="I72" t="e">
        <x:f>IF($A72="","",[1]!thsiFinD("ths_adjustment_nv_fund",I$3,$A72))</x:f>
        <x:v>#NAME?</x:v>
      </x:c>
      <x:c r="J72" t="e">
        <x:f>IF($A72="","",[1]!thsiFinD("ths_adjustment_nv_fund",J$3,$A72))</x:f>
        <x:v>#NAME?</x:v>
      </x:c>
      <x:c r="K72" t="e">
        <x:f>IF($A72="","",[1]!thsiFinD("ths_adjustment_nv_fund",K$3,$A72))</x:f>
        <x:v>#NAME?</x:v>
      </x:c>
      <x:c r="L72" t="e">
        <x:f>IF($A72="","",[1]!thsiFinD("ths_adjustment_nv_fund",L$3,$A72))</x:f>
        <x:v>#NAME?</x:v>
      </x:c>
      <x:c r="M72" t="e">
        <x:f>IF($A72="","",[1]!thsiFinD("ths_adjustment_nv_fund",M$3,$A72))</x:f>
        <x:v>#NAME?</x:v>
      </x:c>
      <x:c r="N72" t="e">
        <x:f>IF($A72="","",[1]!thsiFinD("ths_adjustment_nv_fund",N$3,$A72))</x:f>
        <x:v>#NAME?</x:v>
      </x:c>
      <x:c r="O72" t="e">
        <x:f>IF($A72="","",[1]!thsiFinD("ths_adjustment_nv_fund",O$3,$A72))</x:f>
        <x:v>#NAME?</x:v>
      </x:c>
      <x:c r="P72" t="e">
        <x:f>IF($A72="","",[1]!thsiFinD("ths_adjustment_nv_fund",P$3,$A72))</x:f>
        <x:v>#NAME?</x:v>
      </x:c>
      <x:c r="Q72" t="e">
        <x:f>IF($A72="","",[1]!thsiFinD("ths_adjustment_nv_fund",Q$3,$A72))</x:f>
        <x:v>#NAME?</x:v>
      </x:c>
      <x:c r="R72" t="e">
        <x:f>IF($A72="","",[1]!thsiFinD("ths_adjustment_nv_fund",R$3,$A72))</x:f>
        <x:v>#NAME?</x:v>
      </x:c>
      <x:c r="S72" t="e">
        <x:f>IF($A72="","",[1]!thsiFinD("ths_adjustment_nv_fund",S$3,$A72))</x:f>
        <x:v>#NAME?</x:v>
      </x:c>
      <x:c r="T72" t="e">
        <x:f>IF($A72="","",[1]!thsiFinD("ths_adjustment_nv_fund",T$3,$A72))</x:f>
        <x:v>#NAME?</x:v>
      </x:c>
      <x:c r="U72" t="e">
        <x:f>IF($A72="","",[1]!thsiFinD("ths_adjustment_nv_fund",U$3,$A72))</x:f>
        <x:v>#NAME?</x:v>
      </x:c>
      <x:c r="V72" t="e">
        <x:f>IF($A72="","",[1]!thsiFinD("ths_adjustment_nv_fund",V$3,$A72))</x:f>
        <x:v>#NAME?</x:v>
      </x:c>
      <x:c r="W72" t="e">
        <x:f>IF($A72="","",[1]!thsiFinD("ths_adjustment_nv_fund",W$3,$A72))</x:f>
        <x:v>#NAME?</x:v>
      </x:c>
      <x:c r="X72" t="e">
        <x:f>IF($A72="","",[1]!thsiFinD("ths_adjustment_nv_fund",X$3,$A72))</x:f>
        <x:v>#NAME?</x:v>
      </x:c>
      <x:c r="Y72" t="e">
        <x:f>IF($A72="","",[1]!thsiFinD("ths_adjustment_nv_fund",Y$3,$A72))</x:f>
        <x:v>#NAME?</x:v>
      </x:c>
    </x:row>
    <x:row r="73">
      <x:c r="B73" t="e">
        <x:f>IF($A73="","",[1]!thsiFinD("ths_adjustment_nv_fund",B$3,$A73))</x:f>
        <x:v>#NAME?</x:v>
      </x:c>
      <x:c r="C73" t="e">
        <x:f>IF($A73="","",[1]!thsiFinD("ths_adjustment_nv_fund",C$3,$A73))</x:f>
        <x:v>#NAME?</x:v>
      </x:c>
      <x:c r="D73" t="e">
        <x:f>IF($A73="","",[1]!thsiFinD("ths_adjustment_nv_fund",D$3,$A73))</x:f>
        <x:v>#NAME?</x:v>
      </x:c>
      <x:c r="E73" t="e">
        <x:f>IF($A73="","",[1]!thsiFinD("ths_adjustment_nv_fund",E$3,$A73))</x:f>
        <x:v>#NAME?</x:v>
      </x:c>
      <x:c r="F73" t="e">
        <x:f>IF($A73="","",[1]!thsiFinD("ths_adjustment_nv_fund",F$3,$A73))</x:f>
        <x:v>#NAME?</x:v>
      </x:c>
      <x:c r="G73" t="e">
        <x:f>IF($A73="","",[1]!thsiFinD("ths_adjustment_nv_fund",G$3,$A73))</x:f>
        <x:v>#NAME?</x:v>
      </x:c>
      <x:c r="H73" t="e">
        <x:f>IF($A73="","",[1]!thsiFinD("ths_adjustment_nv_fund",H$3,$A73))</x:f>
        <x:v>#NAME?</x:v>
      </x:c>
      <x:c r="I73" t="e">
        <x:f>IF($A73="","",[1]!thsiFinD("ths_adjustment_nv_fund",I$3,$A73))</x:f>
        <x:v>#NAME?</x:v>
      </x:c>
      <x:c r="J73" t="e">
        <x:f>IF($A73="","",[1]!thsiFinD("ths_adjustment_nv_fund",J$3,$A73))</x:f>
        <x:v>#NAME?</x:v>
      </x:c>
      <x:c r="K73" t="e">
        <x:f>IF($A73="","",[1]!thsiFinD("ths_adjustment_nv_fund",K$3,$A73))</x:f>
        <x:v>#NAME?</x:v>
      </x:c>
      <x:c r="L73" t="e">
        <x:f>IF($A73="","",[1]!thsiFinD("ths_adjustment_nv_fund",L$3,$A73))</x:f>
        <x:v>#NAME?</x:v>
      </x:c>
      <x:c r="M73" t="e">
        <x:f>IF($A73="","",[1]!thsiFinD("ths_adjustment_nv_fund",M$3,$A73))</x:f>
        <x:v>#NAME?</x:v>
      </x:c>
      <x:c r="N73" t="e">
        <x:f>IF($A73="","",[1]!thsiFinD("ths_adjustment_nv_fund",N$3,$A73))</x:f>
        <x:v>#NAME?</x:v>
      </x:c>
      <x:c r="O73" t="e">
        <x:f>IF($A73="","",[1]!thsiFinD("ths_adjustment_nv_fund",O$3,$A73))</x:f>
        <x:v>#NAME?</x:v>
      </x:c>
      <x:c r="P73" t="e">
        <x:f>IF($A73="","",[1]!thsiFinD("ths_adjustment_nv_fund",P$3,$A73))</x:f>
        <x:v>#NAME?</x:v>
      </x:c>
      <x:c r="Q73" t="e">
        <x:f>IF($A73="","",[1]!thsiFinD("ths_adjustment_nv_fund",Q$3,$A73))</x:f>
        <x:v>#NAME?</x:v>
      </x:c>
      <x:c r="R73" t="e">
        <x:f>IF($A73="","",[1]!thsiFinD("ths_adjustment_nv_fund",R$3,$A73))</x:f>
        <x:v>#NAME?</x:v>
      </x:c>
      <x:c r="S73" t="e">
        <x:f>IF($A73="","",[1]!thsiFinD("ths_adjustment_nv_fund",S$3,$A73))</x:f>
        <x:v>#NAME?</x:v>
      </x:c>
      <x:c r="T73" t="e">
        <x:f>IF($A73="","",[1]!thsiFinD("ths_adjustment_nv_fund",T$3,$A73))</x:f>
        <x:v>#NAME?</x:v>
      </x:c>
      <x:c r="U73" t="e">
        <x:f>IF($A73="","",[1]!thsiFinD("ths_adjustment_nv_fund",U$3,$A73))</x:f>
        <x:v>#NAME?</x:v>
      </x:c>
      <x:c r="V73" t="e">
        <x:f>IF($A73="","",[1]!thsiFinD("ths_adjustment_nv_fund",V$3,$A73))</x:f>
        <x:v>#NAME?</x:v>
      </x:c>
      <x:c r="W73" t="e">
        <x:f>IF($A73="","",[1]!thsiFinD("ths_adjustment_nv_fund",W$3,$A73))</x:f>
        <x:v>#NAME?</x:v>
      </x:c>
      <x:c r="X73" t="e">
        <x:f>IF($A73="","",[1]!thsiFinD("ths_adjustment_nv_fund",X$3,$A73))</x:f>
        <x:v>#NAME?</x:v>
      </x:c>
      <x:c r="Y73" t="e">
        <x:f>IF($A73="","",[1]!thsiFinD("ths_adjustment_nv_fund",Y$3,$A73))</x:f>
        <x:v>#NAME?</x:v>
      </x:c>
    </x:row>
    <x:row r="74">
      <x:c r="B74" t="e">
        <x:f>IF($A74="","",[1]!thsiFinD("ths_adjustment_nv_fund",B$3,$A74))</x:f>
        <x:v>#NAME?</x:v>
      </x:c>
      <x:c r="C74" t="e">
        <x:f>IF($A74="","",[1]!thsiFinD("ths_adjustment_nv_fund",C$3,$A74))</x:f>
        <x:v>#NAME?</x:v>
      </x:c>
      <x:c r="D74" t="e">
        <x:f>IF($A74="","",[1]!thsiFinD("ths_adjustment_nv_fund",D$3,$A74))</x:f>
        <x:v>#NAME?</x:v>
      </x:c>
      <x:c r="E74" t="e">
        <x:f>IF($A74="","",[1]!thsiFinD("ths_adjustment_nv_fund",E$3,$A74))</x:f>
        <x:v>#NAME?</x:v>
      </x:c>
      <x:c r="F74" t="e">
        <x:f>IF($A74="","",[1]!thsiFinD("ths_adjustment_nv_fund",F$3,$A74))</x:f>
        <x:v>#NAME?</x:v>
      </x:c>
      <x:c r="G74" t="e">
        <x:f>IF($A74="","",[1]!thsiFinD("ths_adjustment_nv_fund",G$3,$A74))</x:f>
        <x:v>#NAME?</x:v>
      </x:c>
      <x:c r="H74" t="e">
        <x:f>IF($A74="","",[1]!thsiFinD("ths_adjustment_nv_fund",H$3,$A74))</x:f>
        <x:v>#NAME?</x:v>
      </x:c>
      <x:c r="I74" t="e">
        <x:f>IF($A74="","",[1]!thsiFinD("ths_adjustment_nv_fund",I$3,$A74))</x:f>
        <x:v>#NAME?</x:v>
      </x:c>
      <x:c r="J74" t="e">
        <x:f>IF($A74="","",[1]!thsiFinD("ths_adjustment_nv_fund",J$3,$A74))</x:f>
        <x:v>#NAME?</x:v>
      </x:c>
      <x:c r="K74" t="e">
        <x:f>IF($A74="","",[1]!thsiFinD("ths_adjustment_nv_fund",K$3,$A74))</x:f>
        <x:v>#NAME?</x:v>
      </x:c>
      <x:c r="L74" t="e">
        <x:f>IF($A74="","",[1]!thsiFinD("ths_adjustment_nv_fund",L$3,$A74))</x:f>
        <x:v>#NAME?</x:v>
      </x:c>
      <x:c r="M74" t="e">
        <x:f>IF($A74="","",[1]!thsiFinD("ths_adjustment_nv_fund",M$3,$A74))</x:f>
        <x:v>#NAME?</x:v>
      </x:c>
      <x:c r="N74" t="e">
        <x:f>IF($A74="","",[1]!thsiFinD("ths_adjustment_nv_fund",N$3,$A74))</x:f>
        <x:v>#NAME?</x:v>
      </x:c>
      <x:c r="O74" t="e">
        <x:f>IF($A74="","",[1]!thsiFinD("ths_adjustment_nv_fund",O$3,$A74))</x:f>
        <x:v>#NAME?</x:v>
      </x:c>
      <x:c r="P74" t="e">
        <x:f>IF($A74="","",[1]!thsiFinD("ths_adjustment_nv_fund",P$3,$A74))</x:f>
        <x:v>#NAME?</x:v>
      </x:c>
      <x:c r="Q74" t="e">
        <x:f>IF($A74="","",[1]!thsiFinD("ths_adjustment_nv_fund",Q$3,$A74))</x:f>
        <x:v>#NAME?</x:v>
      </x:c>
      <x:c r="R74" t="e">
        <x:f>IF($A74="","",[1]!thsiFinD("ths_adjustment_nv_fund",R$3,$A74))</x:f>
        <x:v>#NAME?</x:v>
      </x:c>
      <x:c r="S74" t="e">
        <x:f>IF($A74="","",[1]!thsiFinD("ths_adjustment_nv_fund",S$3,$A74))</x:f>
        <x:v>#NAME?</x:v>
      </x:c>
      <x:c r="T74" t="e">
        <x:f>IF($A74="","",[1]!thsiFinD("ths_adjustment_nv_fund",T$3,$A74))</x:f>
        <x:v>#NAME?</x:v>
      </x:c>
      <x:c r="U74" t="e">
        <x:f>IF($A74="","",[1]!thsiFinD("ths_adjustment_nv_fund",U$3,$A74))</x:f>
        <x:v>#NAME?</x:v>
      </x:c>
      <x:c r="V74" t="e">
        <x:f>IF($A74="","",[1]!thsiFinD("ths_adjustment_nv_fund",V$3,$A74))</x:f>
        <x:v>#NAME?</x:v>
      </x:c>
      <x:c r="W74" t="e">
        <x:f>IF($A74="","",[1]!thsiFinD("ths_adjustment_nv_fund",W$3,$A74))</x:f>
        <x:v>#NAME?</x:v>
      </x:c>
      <x:c r="X74" t="e">
        <x:f>IF($A74="","",[1]!thsiFinD("ths_adjustment_nv_fund",X$3,$A74))</x:f>
        <x:v>#NAME?</x:v>
      </x:c>
      <x:c r="Y74" t="e">
        <x:f>IF($A74="","",[1]!thsiFinD("ths_adjustment_nv_fund",Y$3,$A74))</x:f>
        <x:v>#NAME?</x:v>
      </x:c>
    </x:row>
    <x:row r="75">
      <x:c r="B75" t="e">
        <x:f>IF($A75="","",[1]!thsiFinD("ths_adjustment_nv_fund",B$3,$A75))</x:f>
        <x:v>#NAME?</x:v>
      </x:c>
      <x:c r="C75" t="e">
        <x:f>IF($A75="","",[1]!thsiFinD("ths_adjustment_nv_fund",C$3,$A75))</x:f>
        <x:v>#NAME?</x:v>
      </x:c>
      <x:c r="D75" t="e">
        <x:f>IF($A75="","",[1]!thsiFinD("ths_adjustment_nv_fund",D$3,$A75))</x:f>
        <x:v>#NAME?</x:v>
      </x:c>
      <x:c r="E75" t="e">
        <x:f>IF($A75="","",[1]!thsiFinD("ths_adjustment_nv_fund",E$3,$A75))</x:f>
        <x:v>#NAME?</x:v>
      </x:c>
      <x:c r="F75" t="e">
        <x:f>IF($A75="","",[1]!thsiFinD("ths_adjustment_nv_fund",F$3,$A75))</x:f>
        <x:v>#NAME?</x:v>
      </x:c>
      <x:c r="G75" t="e">
        <x:f>IF($A75="","",[1]!thsiFinD("ths_adjustment_nv_fund",G$3,$A75))</x:f>
        <x:v>#NAME?</x:v>
      </x:c>
      <x:c r="H75" t="e">
        <x:f>IF($A75="","",[1]!thsiFinD("ths_adjustment_nv_fund",H$3,$A75))</x:f>
        <x:v>#NAME?</x:v>
      </x:c>
      <x:c r="I75" t="e">
        <x:f>IF($A75="","",[1]!thsiFinD("ths_adjustment_nv_fund",I$3,$A75))</x:f>
        <x:v>#NAME?</x:v>
      </x:c>
      <x:c r="J75" t="e">
        <x:f>IF($A75="","",[1]!thsiFinD("ths_adjustment_nv_fund",J$3,$A75))</x:f>
        <x:v>#NAME?</x:v>
      </x:c>
      <x:c r="K75" t="e">
        <x:f>IF($A75="","",[1]!thsiFinD("ths_adjustment_nv_fund",K$3,$A75))</x:f>
        <x:v>#NAME?</x:v>
      </x:c>
      <x:c r="L75" t="e">
        <x:f>IF($A75="","",[1]!thsiFinD("ths_adjustment_nv_fund",L$3,$A75))</x:f>
        <x:v>#NAME?</x:v>
      </x:c>
      <x:c r="M75" t="e">
        <x:f>IF($A75="","",[1]!thsiFinD("ths_adjustment_nv_fund",M$3,$A75))</x:f>
        <x:v>#NAME?</x:v>
      </x:c>
      <x:c r="N75" t="e">
        <x:f>IF($A75="","",[1]!thsiFinD("ths_adjustment_nv_fund",N$3,$A75))</x:f>
        <x:v>#NAME?</x:v>
      </x:c>
      <x:c r="O75" t="e">
        <x:f>IF($A75="","",[1]!thsiFinD("ths_adjustment_nv_fund",O$3,$A75))</x:f>
        <x:v>#NAME?</x:v>
      </x:c>
      <x:c r="P75" t="e">
        <x:f>IF($A75="","",[1]!thsiFinD("ths_adjustment_nv_fund",P$3,$A75))</x:f>
        <x:v>#NAME?</x:v>
      </x:c>
      <x:c r="Q75" t="e">
        <x:f>IF($A75="","",[1]!thsiFinD("ths_adjustment_nv_fund",Q$3,$A75))</x:f>
        <x:v>#NAME?</x:v>
      </x:c>
      <x:c r="R75" t="e">
        <x:f>IF($A75="","",[1]!thsiFinD("ths_adjustment_nv_fund",R$3,$A75))</x:f>
        <x:v>#NAME?</x:v>
      </x:c>
      <x:c r="S75" t="e">
        <x:f>IF($A75="","",[1]!thsiFinD("ths_adjustment_nv_fund",S$3,$A75))</x:f>
        <x:v>#NAME?</x:v>
      </x:c>
      <x:c r="T75" t="e">
        <x:f>IF($A75="","",[1]!thsiFinD("ths_adjustment_nv_fund",T$3,$A75))</x:f>
        <x:v>#NAME?</x:v>
      </x:c>
      <x:c r="U75" t="e">
        <x:f>IF($A75="","",[1]!thsiFinD("ths_adjustment_nv_fund",U$3,$A75))</x:f>
        <x:v>#NAME?</x:v>
      </x:c>
      <x:c r="V75" t="e">
        <x:f>IF($A75="","",[1]!thsiFinD("ths_adjustment_nv_fund",V$3,$A75))</x:f>
        <x:v>#NAME?</x:v>
      </x:c>
      <x:c r="W75" t="e">
        <x:f>IF($A75="","",[1]!thsiFinD("ths_adjustment_nv_fund",W$3,$A75))</x:f>
        <x:v>#NAME?</x:v>
      </x:c>
      <x:c r="X75" t="e">
        <x:f>IF($A75="","",[1]!thsiFinD("ths_adjustment_nv_fund",X$3,$A75))</x:f>
        <x:v>#NAME?</x:v>
      </x:c>
      <x:c r="Y75" t="e">
        <x:f>IF($A75="","",[1]!thsiFinD("ths_adjustment_nv_fund",Y$3,$A75))</x:f>
        <x:v>#NAME?</x:v>
      </x:c>
    </x:row>
    <x:row r="76">
      <x:c r="B76" t="e">
        <x:f>IF($A76="","",[1]!thsiFinD("ths_adjustment_nv_fund",B$3,$A76))</x:f>
        <x:v>#NAME?</x:v>
      </x:c>
      <x:c r="C76" t="e">
        <x:f>IF($A76="","",[1]!thsiFinD("ths_adjustment_nv_fund",C$3,$A76))</x:f>
        <x:v>#NAME?</x:v>
      </x:c>
      <x:c r="D76" t="e">
        <x:f>IF($A76="","",[1]!thsiFinD("ths_adjustment_nv_fund",D$3,$A76))</x:f>
        <x:v>#NAME?</x:v>
      </x:c>
      <x:c r="E76" t="e">
        <x:f>IF($A76="","",[1]!thsiFinD("ths_adjustment_nv_fund",E$3,$A76))</x:f>
        <x:v>#NAME?</x:v>
      </x:c>
      <x:c r="F76" t="e">
        <x:f>IF($A76="","",[1]!thsiFinD("ths_adjustment_nv_fund",F$3,$A76))</x:f>
        <x:v>#NAME?</x:v>
      </x:c>
      <x:c r="G76" t="e">
        <x:f>IF($A76="","",[1]!thsiFinD("ths_adjustment_nv_fund",G$3,$A76))</x:f>
        <x:v>#NAME?</x:v>
      </x:c>
      <x:c r="H76" t="e">
        <x:f>IF($A76="","",[1]!thsiFinD("ths_adjustment_nv_fund",H$3,$A76))</x:f>
        <x:v>#NAME?</x:v>
      </x:c>
      <x:c r="I76" t="e">
        <x:f>IF($A76="","",[1]!thsiFinD("ths_adjustment_nv_fund",I$3,$A76))</x:f>
        <x:v>#NAME?</x:v>
      </x:c>
      <x:c r="J76" t="e">
        <x:f>IF($A76="","",[1]!thsiFinD("ths_adjustment_nv_fund",J$3,$A76))</x:f>
        <x:v>#NAME?</x:v>
      </x:c>
      <x:c r="K76" t="e">
        <x:f>IF($A76="","",[1]!thsiFinD("ths_adjustment_nv_fund",K$3,$A76))</x:f>
        <x:v>#NAME?</x:v>
      </x:c>
      <x:c r="L76" t="e">
        <x:f>IF($A76="","",[1]!thsiFinD("ths_adjustment_nv_fund",L$3,$A76))</x:f>
        <x:v>#NAME?</x:v>
      </x:c>
      <x:c r="M76" t="e">
        <x:f>IF($A76="","",[1]!thsiFinD("ths_adjustment_nv_fund",M$3,$A76))</x:f>
        <x:v>#NAME?</x:v>
      </x:c>
      <x:c r="N76" t="e">
        <x:f>IF($A76="","",[1]!thsiFinD("ths_adjustment_nv_fund",N$3,$A76))</x:f>
        <x:v>#NAME?</x:v>
      </x:c>
      <x:c r="O76" t="e">
        <x:f>IF($A76="","",[1]!thsiFinD("ths_adjustment_nv_fund",O$3,$A76))</x:f>
        <x:v>#NAME?</x:v>
      </x:c>
      <x:c r="P76" t="e">
        <x:f>IF($A76="","",[1]!thsiFinD("ths_adjustment_nv_fund",P$3,$A76))</x:f>
        <x:v>#NAME?</x:v>
      </x:c>
      <x:c r="Q76" t="e">
        <x:f>IF($A76="","",[1]!thsiFinD("ths_adjustment_nv_fund",Q$3,$A76))</x:f>
        <x:v>#NAME?</x:v>
      </x:c>
      <x:c r="R76" t="e">
        <x:f>IF($A76="","",[1]!thsiFinD("ths_adjustment_nv_fund",R$3,$A76))</x:f>
        <x:v>#NAME?</x:v>
      </x:c>
      <x:c r="S76" t="e">
        <x:f>IF($A76="","",[1]!thsiFinD("ths_adjustment_nv_fund",S$3,$A76))</x:f>
        <x:v>#NAME?</x:v>
      </x:c>
      <x:c r="T76" t="e">
        <x:f>IF($A76="","",[1]!thsiFinD("ths_adjustment_nv_fund",T$3,$A76))</x:f>
        <x:v>#NAME?</x:v>
      </x:c>
      <x:c r="U76" t="e">
        <x:f>IF($A76="","",[1]!thsiFinD("ths_adjustment_nv_fund",U$3,$A76))</x:f>
        <x:v>#NAME?</x:v>
      </x:c>
      <x:c r="V76" t="e">
        <x:f>IF($A76="","",[1]!thsiFinD("ths_adjustment_nv_fund",V$3,$A76))</x:f>
        <x:v>#NAME?</x:v>
      </x:c>
      <x:c r="W76" t="e">
        <x:f>IF($A76="","",[1]!thsiFinD("ths_adjustment_nv_fund",W$3,$A76))</x:f>
        <x:v>#NAME?</x:v>
      </x:c>
      <x:c r="X76" t="e">
        <x:f>IF($A76="","",[1]!thsiFinD("ths_adjustment_nv_fund",X$3,$A76))</x:f>
        <x:v>#NAME?</x:v>
      </x:c>
      <x:c r="Y76" t="e">
        <x:f>IF($A76="","",[1]!thsiFinD("ths_adjustment_nv_fund",Y$3,$A76))</x:f>
        <x:v>#NAME?</x:v>
      </x:c>
    </x:row>
    <x:row r="77">
      <x:c r="B77" t="e">
        <x:f>IF($A77="","",[1]!thsiFinD("ths_adjustment_nv_fund",B$3,$A77))</x:f>
        <x:v>#NAME?</x:v>
      </x:c>
      <x:c r="C77" t="e">
        <x:f>IF($A77="","",[1]!thsiFinD("ths_adjustment_nv_fund",C$3,$A77))</x:f>
        <x:v>#NAME?</x:v>
      </x:c>
      <x:c r="D77" t="e">
        <x:f>IF($A77="","",[1]!thsiFinD("ths_adjustment_nv_fund",D$3,$A77))</x:f>
        <x:v>#NAME?</x:v>
      </x:c>
      <x:c r="E77" t="e">
        <x:f>IF($A77="","",[1]!thsiFinD("ths_adjustment_nv_fund",E$3,$A77))</x:f>
        <x:v>#NAME?</x:v>
      </x:c>
      <x:c r="F77" t="e">
        <x:f>IF($A77="","",[1]!thsiFinD("ths_adjustment_nv_fund",F$3,$A77))</x:f>
        <x:v>#NAME?</x:v>
      </x:c>
      <x:c r="G77" t="e">
        <x:f>IF($A77="","",[1]!thsiFinD("ths_adjustment_nv_fund",G$3,$A77))</x:f>
        <x:v>#NAME?</x:v>
      </x:c>
      <x:c r="H77" t="e">
        <x:f>IF($A77="","",[1]!thsiFinD("ths_adjustment_nv_fund",H$3,$A77))</x:f>
        <x:v>#NAME?</x:v>
      </x:c>
      <x:c r="I77" t="e">
        <x:f>IF($A77="","",[1]!thsiFinD("ths_adjustment_nv_fund",I$3,$A77))</x:f>
        <x:v>#NAME?</x:v>
      </x:c>
      <x:c r="J77" t="e">
        <x:f>IF($A77="","",[1]!thsiFinD("ths_adjustment_nv_fund",J$3,$A77))</x:f>
        <x:v>#NAME?</x:v>
      </x:c>
      <x:c r="K77" t="e">
        <x:f>IF($A77="","",[1]!thsiFinD("ths_adjustment_nv_fund",K$3,$A77))</x:f>
        <x:v>#NAME?</x:v>
      </x:c>
      <x:c r="L77" t="e">
        <x:f>IF($A77="","",[1]!thsiFinD("ths_adjustment_nv_fund",L$3,$A77))</x:f>
        <x:v>#NAME?</x:v>
      </x:c>
      <x:c r="M77" t="e">
        <x:f>IF($A77="","",[1]!thsiFinD("ths_adjustment_nv_fund",M$3,$A77))</x:f>
        <x:v>#NAME?</x:v>
      </x:c>
      <x:c r="N77" t="e">
        <x:f>IF($A77="","",[1]!thsiFinD("ths_adjustment_nv_fund",N$3,$A77))</x:f>
        <x:v>#NAME?</x:v>
      </x:c>
      <x:c r="O77" t="e">
        <x:f>IF($A77="","",[1]!thsiFinD("ths_adjustment_nv_fund",O$3,$A77))</x:f>
        <x:v>#NAME?</x:v>
      </x:c>
      <x:c r="P77" t="e">
        <x:f>IF($A77="","",[1]!thsiFinD("ths_adjustment_nv_fund",P$3,$A77))</x:f>
        <x:v>#NAME?</x:v>
      </x:c>
      <x:c r="Q77" t="e">
        <x:f>IF($A77="","",[1]!thsiFinD("ths_adjustment_nv_fund",Q$3,$A77))</x:f>
        <x:v>#NAME?</x:v>
      </x:c>
      <x:c r="R77" t="e">
        <x:f>IF($A77="","",[1]!thsiFinD("ths_adjustment_nv_fund",R$3,$A77))</x:f>
        <x:v>#NAME?</x:v>
      </x:c>
      <x:c r="S77" t="e">
        <x:f>IF($A77="","",[1]!thsiFinD("ths_adjustment_nv_fund",S$3,$A77))</x:f>
        <x:v>#NAME?</x:v>
      </x:c>
      <x:c r="T77" t="e">
        <x:f>IF($A77="","",[1]!thsiFinD("ths_adjustment_nv_fund",T$3,$A77))</x:f>
        <x:v>#NAME?</x:v>
      </x:c>
      <x:c r="U77" t="e">
        <x:f>IF($A77="","",[1]!thsiFinD("ths_adjustment_nv_fund",U$3,$A77))</x:f>
        <x:v>#NAME?</x:v>
      </x:c>
      <x:c r="V77" t="e">
        <x:f>IF($A77="","",[1]!thsiFinD("ths_adjustment_nv_fund",V$3,$A77))</x:f>
        <x:v>#NAME?</x:v>
      </x:c>
      <x:c r="W77" t="e">
        <x:f>IF($A77="","",[1]!thsiFinD("ths_adjustment_nv_fund",W$3,$A77))</x:f>
        <x:v>#NAME?</x:v>
      </x:c>
      <x:c r="X77" t="e">
        <x:f>IF($A77="","",[1]!thsiFinD("ths_adjustment_nv_fund",X$3,$A77))</x:f>
        <x:v>#NAME?</x:v>
      </x:c>
      <x:c r="Y77" t="e">
        <x:f>IF($A77="","",[1]!thsiFinD("ths_adjustment_nv_fund",Y$3,$A77))</x:f>
        <x:v>#NAME?</x:v>
      </x:c>
    </x:row>
    <x:row r="78">
      <x:c r="B78" t="e">
        <x:f>IF($A78="","",[1]!thsiFinD("ths_adjustment_nv_fund",B$3,$A78))</x:f>
        <x:v>#NAME?</x:v>
      </x:c>
      <x:c r="C78" t="e">
        <x:f>IF($A78="","",[1]!thsiFinD("ths_adjustment_nv_fund",C$3,$A78))</x:f>
        <x:v>#NAME?</x:v>
      </x:c>
      <x:c r="D78" t="e">
        <x:f>IF($A78="","",[1]!thsiFinD("ths_adjustment_nv_fund",D$3,$A78))</x:f>
        <x:v>#NAME?</x:v>
      </x:c>
      <x:c r="E78" t="e">
        <x:f>IF($A78="","",[1]!thsiFinD("ths_adjustment_nv_fund",E$3,$A78))</x:f>
        <x:v>#NAME?</x:v>
      </x:c>
      <x:c r="F78" t="e">
        <x:f>IF($A78="","",[1]!thsiFinD("ths_adjustment_nv_fund",F$3,$A78))</x:f>
        <x:v>#NAME?</x:v>
      </x:c>
      <x:c r="G78" t="e">
        <x:f>IF($A78="","",[1]!thsiFinD("ths_adjustment_nv_fund",G$3,$A78))</x:f>
        <x:v>#NAME?</x:v>
      </x:c>
      <x:c r="H78" t="e">
        <x:f>IF($A78="","",[1]!thsiFinD("ths_adjustment_nv_fund",H$3,$A78))</x:f>
        <x:v>#NAME?</x:v>
      </x:c>
      <x:c r="I78" t="e">
        <x:f>IF($A78="","",[1]!thsiFinD("ths_adjustment_nv_fund",I$3,$A78))</x:f>
        <x:v>#NAME?</x:v>
      </x:c>
      <x:c r="J78" t="e">
        <x:f>IF($A78="","",[1]!thsiFinD("ths_adjustment_nv_fund",J$3,$A78))</x:f>
        <x:v>#NAME?</x:v>
      </x:c>
      <x:c r="K78" t="e">
        <x:f>IF($A78="","",[1]!thsiFinD("ths_adjustment_nv_fund",K$3,$A78))</x:f>
        <x:v>#NAME?</x:v>
      </x:c>
      <x:c r="L78" t="e">
        <x:f>IF($A78="","",[1]!thsiFinD("ths_adjustment_nv_fund",L$3,$A78))</x:f>
        <x:v>#NAME?</x:v>
      </x:c>
      <x:c r="M78" t="e">
        <x:f>IF($A78="","",[1]!thsiFinD("ths_adjustment_nv_fund",M$3,$A78))</x:f>
        <x:v>#NAME?</x:v>
      </x:c>
      <x:c r="N78" t="e">
        <x:f>IF($A78="","",[1]!thsiFinD("ths_adjustment_nv_fund",N$3,$A78))</x:f>
        <x:v>#NAME?</x:v>
      </x:c>
      <x:c r="O78" t="e">
        <x:f>IF($A78="","",[1]!thsiFinD("ths_adjustment_nv_fund",O$3,$A78))</x:f>
        <x:v>#NAME?</x:v>
      </x:c>
      <x:c r="P78" t="e">
        <x:f>IF($A78="","",[1]!thsiFinD("ths_adjustment_nv_fund",P$3,$A78))</x:f>
        <x:v>#NAME?</x:v>
      </x:c>
      <x:c r="Q78" t="e">
        <x:f>IF($A78="","",[1]!thsiFinD("ths_adjustment_nv_fund",Q$3,$A78))</x:f>
        <x:v>#NAME?</x:v>
      </x:c>
      <x:c r="R78" t="e">
        <x:f>IF($A78="","",[1]!thsiFinD("ths_adjustment_nv_fund",R$3,$A78))</x:f>
        <x:v>#NAME?</x:v>
      </x:c>
      <x:c r="S78" t="e">
        <x:f>IF($A78="","",[1]!thsiFinD("ths_adjustment_nv_fund",S$3,$A78))</x:f>
        <x:v>#NAME?</x:v>
      </x:c>
      <x:c r="T78" t="e">
        <x:f>IF($A78="","",[1]!thsiFinD("ths_adjustment_nv_fund",T$3,$A78))</x:f>
        <x:v>#NAME?</x:v>
      </x:c>
      <x:c r="U78" t="e">
        <x:f>IF($A78="","",[1]!thsiFinD("ths_adjustment_nv_fund",U$3,$A78))</x:f>
        <x:v>#NAME?</x:v>
      </x:c>
      <x:c r="V78" t="e">
        <x:f>IF($A78="","",[1]!thsiFinD("ths_adjustment_nv_fund",V$3,$A78))</x:f>
        <x:v>#NAME?</x:v>
      </x:c>
      <x:c r="W78" t="e">
        <x:f>IF($A78="","",[1]!thsiFinD("ths_adjustment_nv_fund",W$3,$A78))</x:f>
        <x:v>#NAME?</x:v>
      </x:c>
      <x:c r="X78" t="e">
        <x:f>IF($A78="","",[1]!thsiFinD("ths_adjustment_nv_fund",X$3,$A78))</x:f>
        <x:v>#NAME?</x:v>
      </x:c>
      <x:c r="Y78" t="e">
        <x:f>IF($A78="","",[1]!thsiFinD("ths_adjustment_nv_fund",Y$3,$A78))</x:f>
        <x:v>#NAME?</x:v>
      </x:c>
    </x:row>
    <x:row r="79">
      <x:c r="B79" t="e">
        <x:f>IF($A79="","",[1]!thsiFinD("ths_adjustment_nv_fund",B$3,$A79))</x:f>
        <x:v>#NAME?</x:v>
      </x:c>
      <x:c r="C79" t="e">
        <x:f>IF($A79="","",[1]!thsiFinD("ths_adjustment_nv_fund",C$3,$A79))</x:f>
        <x:v>#NAME?</x:v>
      </x:c>
      <x:c r="D79" t="e">
        <x:f>IF($A79="","",[1]!thsiFinD("ths_adjustment_nv_fund",D$3,$A79))</x:f>
        <x:v>#NAME?</x:v>
      </x:c>
      <x:c r="E79" t="e">
        <x:f>IF($A79="","",[1]!thsiFinD("ths_adjustment_nv_fund",E$3,$A79))</x:f>
        <x:v>#NAME?</x:v>
      </x:c>
      <x:c r="F79" t="e">
        <x:f>IF($A79="","",[1]!thsiFinD("ths_adjustment_nv_fund",F$3,$A79))</x:f>
        <x:v>#NAME?</x:v>
      </x:c>
      <x:c r="G79" t="e">
        <x:f>IF($A79="","",[1]!thsiFinD("ths_adjustment_nv_fund",G$3,$A79))</x:f>
        <x:v>#NAME?</x:v>
      </x:c>
      <x:c r="H79" t="e">
        <x:f>IF($A79="","",[1]!thsiFinD("ths_adjustment_nv_fund",H$3,$A79))</x:f>
        <x:v>#NAME?</x:v>
      </x:c>
      <x:c r="I79" t="e">
        <x:f>IF($A79="","",[1]!thsiFinD("ths_adjustment_nv_fund",I$3,$A79))</x:f>
        <x:v>#NAME?</x:v>
      </x:c>
      <x:c r="J79" t="e">
        <x:f>IF($A79="","",[1]!thsiFinD("ths_adjustment_nv_fund",J$3,$A79))</x:f>
        <x:v>#NAME?</x:v>
      </x:c>
      <x:c r="K79" t="e">
        <x:f>IF($A79="","",[1]!thsiFinD("ths_adjustment_nv_fund",K$3,$A79))</x:f>
        <x:v>#NAME?</x:v>
      </x:c>
      <x:c r="L79" t="e">
        <x:f>IF($A79="","",[1]!thsiFinD("ths_adjustment_nv_fund",L$3,$A79))</x:f>
        <x:v>#NAME?</x:v>
      </x:c>
      <x:c r="M79" t="e">
        <x:f>IF($A79="","",[1]!thsiFinD("ths_adjustment_nv_fund",M$3,$A79))</x:f>
        <x:v>#NAME?</x:v>
      </x:c>
      <x:c r="N79" t="e">
        <x:f>IF($A79="","",[1]!thsiFinD("ths_adjustment_nv_fund",N$3,$A79))</x:f>
        <x:v>#NAME?</x:v>
      </x:c>
      <x:c r="O79" t="e">
        <x:f>IF($A79="","",[1]!thsiFinD("ths_adjustment_nv_fund",O$3,$A79))</x:f>
        <x:v>#NAME?</x:v>
      </x:c>
      <x:c r="P79" t="e">
        <x:f>IF($A79="","",[1]!thsiFinD("ths_adjustment_nv_fund",P$3,$A79))</x:f>
        <x:v>#NAME?</x:v>
      </x:c>
      <x:c r="Q79" t="e">
        <x:f>IF($A79="","",[1]!thsiFinD("ths_adjustment_nv_fund",Q$3,$A79))</x:f>
        <x:v>#NAME?</x:v>
      </x:c>
      <x:c r="R79" t="e">
        <x:f>IF($A79="","",[1]!thsiFinD("ths_adjustment_nv_fund",R$3,$A79))</x:f>
        <x:v>#NAME?</x:v>
      </x:c>
      <x:c r="S79" t="e">
        <x:f>IF($A79="","",[1]!thsiFinD("ths_adjustment_nv_fund",S$3,$A79))</x:f>
        <x:v>#NAME?</x:v>
      </x:c>
      <x:c r="T79" t="e">
        <x:f>IF($A79="","",[1]!thsiFinD("ths_adjustment_nv_fund",T$3,$A79))</x:f>
        <x:v>#NAME?</x:v>
      </x:c>
      <x:c r="U79" t="e">
        <x:f>IF($A79="","",[1]!thsiFinD("ths_adjustment_nv_fund",U$3,$A79))</x:f>
        <x:v>#NAME?</x:v>
      </x:c>
      <x:c r="V79" t="e">
        <x:f>IF($A79="","",[1]!thsiFinD("ths_adjustment_nv_fund",V$3,$A79))</x:f>
        <x:v>#NAME?</x:v>
      </x:c>
      <x:c r="W79" t="e">
        <x:f>IF($A79="","",[1]!thsiFinD("ths_adjustment_nv_fund",W$3,$A79))</x:f>
        <x:v>#NAME?</x:v>
      </x:c>
      <x:c r="X79" t="e">
        <x:f>IF($A79="","",[1]!thsiFinD("ths_adjustment_nv_fund",X$3,$A79))</x:f>
        <x:v>#NAME?</x:v>
      </x:c>
      <x:c r="Y79" t="e">
        <x:f>IF($A79="","",[1]!thsiFinD("ths_adjustment_nv_fund",Y$3,$A79))</x:f>
        <x:v>#NAME?</x:v>
      </x:c>
    </x:row>
    <x:row r="80">
      <x:c r="B80" t="e">
        <x:f>IF($A80="","",[1]!thsiFinD("ths_adjustment_nv_fund",B$3,$A80))</x:f>
        <x:v>#NAME?</x:v>
      </x:c>
      <x:c r="C80" t="e">
        <x:f>IF($A80="","",[1]!thsiFinD("ths_adjustment_nv_fund",C$3,$A80))</x:f>
        <x:v>#NAME?</x:v>
      </x:c>
      <x:c r="D80" t="e">
        <x:f>IF($A80="","",[1]!thsiFinD("ths_adjustment_nv_fund",D$3,$A80))</x:f>
        <x:v>#NAME?</x:v>
      </x:c>
      <x:c r="E80" t="e">
        <x:f>IF($A80="","",[1]!thsiFinD("ths_adjustment_nv_fund",E$3,$A80))</x:f>
        <x:v>#NAME?</x:v>
      </x:c>
      <x:c r="F80" t="e">
        <x:f>IF($A80="","",[1]!thsiFinD("ths_adjustment_nv_fund",F$3,$A80))</x:f>
        <x:v>#NAME?</x:v>
      </x:c>
      <x:c r="G80" t="e">
        <x:f>IF($A80="","",[1]!thsiFinD("ths_adjustment_nv_fund",G$3,$A80))</x:f>
        <x:v>#NAME?</x:v>
      </x:c>
      <x:c r="H80" t="e">
        <x:f>IF($A80="","",[1]!thsiFinD("ths_adjustment_nv_fund",H$3,$A80))</x:f>
        <x:v>#NAME?</x:v>
      </x:c>
      <x:c r="I80" t="e">
        <x:f>IF($A80="","",[1]!thsiFinD("ths_adjustment_nv_fund",I$3,$A80))</x:f>
        <x:v>#NAME?</x:v>
      </x:c>
      <x:c r="J80" t="e">
        <x:f>IF($A80="","",[1]!thsiFinD("ths_adjustment_nv_fund",J$3,$A80))</x:f>
        <x:v>#NAME?</x:v>
      </x:c>
      <x:c r="K80" t="e">
        <x:f>IF($A80="","",[1]!thsiFinD("ths_adjustment_nv_fund",K$3,$A80))</x:f>
        <x:v>#NAME?</x:v>
      </x:c>
      <x:c r="L80" t="e">
        <x:f>IF($A80="","",[1]!thsiFinD("ths_adjustment_nv_fund",L$3,$A80))</x:f>
        <x:v>#NAME?</x:v>
      </x:c>
      <x:c r="M80" t="e">
        <x:f>IF($A80="","",[1]!thsiFinD("ths_adjustment_nv_fund",M$3,$A80))</x:f>
        <x:v>#NAME?</x:v>
      </x:c>
      <x:c r="N80" t="e">
        <x:f>IF($A80="","",[1]!thsiFinD("ths_adjustment_nv_fund",N$3,$A80))</x:f>
        <x:v>#NAME?</x:v>
      </x:c>
      <x:c r="O80" t="e">
        <x:f>IF($A80="","",[1]!thsiFinD("ths_adjustment_nv_fund",O$3,$A80))</x:f>
        <x:v>#NAME?</x:v>
      </x:c>
      <x:c r="P80" t="e">
        <x:f>IF($A80="","",[1]!thsiFinD("ths_adjustment_nv_fund",P$3,$A80))</x:f>
        <x:v>#NAME?</x:v>
      </x:c>
      <x:c r="Q80" t="e">
        <x:f>IF($A80="","",[1]!thsiFinD("ths_adjustment_nv_fund",Q$3,$A80))</x:f>
        <x:v>#NAME?</x:v>
      </x:c>
      <x:c r="R80" t="e">
        <x:f>IF($A80="","",[1]!thsiFinD("ths_adjustment_nv_fund",R$3,$A80))</x:f>
        <x:v>#NAME?</x:v>
      </x:c>
      <x:c r="S80" t="e">
        <x:f>IF($A80="","",[1]!thsiFinD("ths_adjustment_nv_fund",S$3,$A80))</x:f>
        <x:v>#NAME?</x:v>
      </x:c>
      <x:c r="T80" t="e">
        <x:f>IF($A80="","",[1]!thsiFinD("ths_adjustment_nv_fund",T$3,$A80))</x:f>
        <x:v>#NAME?</x:v>
      </x:c>
      <x:c r="U80" t="e">
        <x:f>IF($A80="","",[1]!thsiFinD("ths_adjustment_nv_fund",U$3,$A80))</x:f>
        <x:v>#NAME?</x:v>
      </x:c>
      <x:c r="V80" t="e">
        <x:f>IF($A80="","",[1]!thsiFinD("ths_adjustment_nv_fund",V$3,$A80))</x:f>
        <x:v>#NAME?</x:v>
      </x:c>
      <x:c r="W80" t="e">
        <x:f>IF($A80="","",[1]!thsiFinD("ths_adjustment_nv_fund",W$3,$A80))</x:f>
        <x:v>#NAME?</x:v>
      </x:c>
      <x:c r="X80" t="e">
        <x:f>IF($A80="","",[1]!thsiFinD("ths_adjustment_nv_fund",X$3,$A80))</x:f>
        <x:v>#NAME?</x:v>
      </x:c>
      <x:c r="Y80" t="e">
        <x:f>IF($A80="","",[1]!thsiFinD("ths_adjustment_nv_fund",Y$3,$A80))</x:f>
        <x:v>#NAME?</x:v>
      </x:c>
    </x:row>
    <x:row r="81">
      <x:c r="B81" t="e">
        <x:f>IF($A81="","",[1]!thsiFinD("ths_adjustment_nv_fund",B$3,$A81))</x:f>
        <x:v>#NAME?</x:v>
      </x:c>
      <x:c r="C81" t="e">
        <x:f>IF($A81="","",[1]!thsiFinD("ths_adjustment_nv_fund",C$3,$A81))</x:f>
        <x:v>#NAME?</x:v>
      </x:c>
      <x:c r="D81" t="e">
        <x:f>IF($A81="","",[1]!thsiFinD("ths_adjustment_nv_fund",D$3,$A81))</x:f>
        <x:v>#NAME?</x:v>
      </x:c>
      <x:c r="E81" t="e">
        <x:f>IF($A81="","",[1]!thsiFinD("ths_adjustment_nv_fund",E$3,$A81))</x:f>
        <x:v>#NAME?</x:v>
      </x:c>
      <x:c r="F81" t="e">
        <x:f>IF($A81="","",[1]!thsiFinD("ths_adjustment_nv_fund",F$3,$A81))</x:f>
        <x:v>#NAME?</x:v>
      </x:c>
      <x:c r="G81" t="e">
        <x:f>IF($A81="","",[1]!thsiFinD("ths_adjustment_nv_fund",G$3,$A81))</x:f>
        <x:v>#NAME?</x:v>
      </x:c>
      <x:c r="H81" t="e">
        <x:f>IF($A81="","",[1]!thsiFinD("ths_adjustment_nv_fund",H$3,$A81))</x:f>
        <x:v>#NAME?</x:v>
      </x:c>
      <x:c r="I81" t="e">
        <x:f>IF($A81="","",[1]!thsiFinD("ths_adjustment_nv_fund",I$3,$A81))</x:f>
        <x:v>#NAME?</x:v>
      </x:c>
      <x:c r="J81" t="e">
        <x:f>IF($A81="","",[1]!thsiFinD("ths_adjustment_nv_fund",J$3,$A81))</x:f>
        <x:v>#NAME?</x:v>
      </x:c>
      <x:c r="K81" t="e">
        <x:f>IF($A81="","",[1]!thsiFinD("ths_adjustment_nv_fund",K$3,$A81))</x:f>
        <x:v>#NAME?</x:v>
      </x:c>
      <x:c r="L81" t="e">
        <x:f>IF($A81="","",[1]!thsiFinD("ths_adjustment_nv_fund",L$3,$A81))</x:f>
        <x:v>#NAME?</x:v>
      </x:c>
      <x:c r="M81" t="e">
        <x:f>IF($A81="","",[1]!thsiFinD("ths_adjustment_nv_fund",M$3,$A81))</x:f>
        <x:v>#NAME?</x:v>
      </x:c>
      <x:c r="N81" t="e">
        <x:f>IF($A81="","",[1]!thsiFinD("ths_adjustment_nv_fund",N$3,$A81))</x:f>
        <x:v>#NAME?</x:v>
      </x:c>
      <x:c r="O81" t="e">
        <x:f>IF($A81="","",[1]!thsiFinD("ths_adjustment_nv_fund",O$3,$A81))</x:f>
        <x:v>#NAME?</x:v>
      </x:c>
      <x:c r="P81" t="e">
        <x:f>IF($A81="","",[1]!thsiFinD("ths_adjustment_nv_fund",P$3,$A81))</x:f>
        <x:v>#NAME?</x:v>
      </x:c>
      <x:c r="Q81" t="e">
        <x:f>IF($A81="","",[1]!thsiFinD("ths_adjustment_nv_fund",Q$3,$A81))</x:f>
        <x:v>#NAME?</x:v>
      </x:c>
      <x:c r="R81" t="e">
        <x:f>IF($A81="","",[1]!thsiFinD("ths_adjustment_nv_fund",R$3,$A81))</x:f>
        <x:v>#NAME?</x:v>
      </x:c>
      <x:c r="S81" t="e">
        <x:f>IF($A81="","",[1]!thsiFinD("ths_adjustment_nv_fund",S$3,$A81))</x:f>
        <x:v>#NAME?</x:v>
      </x:c>
      <x:c r="T81" t="e">
        <x:f>IF($A81="","",[1]!thsiFinD("ths_adjustment_nv_fund",T$3,$A81))</x:f>
        <x:v>#NAME?</x:v>
      </x:c>
      <x:c r="U81" t="e">
        <x:f>IF($A81="","",[1]!thsiFinD("ths_adjustment_nv_fund",U$3,$A81))</x:f>
        <x:v>#NAME?</x:v>
      </x:c>
      <x:c r="V81" t="e">
        <x:f>IF($A81="","",[1]!thsiFinD("ths_adjustment_nv_fund",V$3,$A81))</x:f>
        <x:v>#NAME?</x:v>
      </x:c>
      <x:c r="W81" t="e">
        <x:f>IF($A81="","",[1]!thsiFinD("ths_adjustment_nv_fund",W$3,$A81))</x:f>
        <x:v>#NAME?</x:v>
      </x:c>
      <x:c r="X81" t="e">
        <x:f>IF($A81="","",[1]!thsiFinD("ths_adjustment_nv_fund",X$3,$A81))</x:f>
        <x:v>#NAME?</x:v>
      </x:c>
      <x:c r="Y81" t="e">
        <x:f>IF($A81="","",[1]!thsiFinD("ths_adjustment_nv_fund",Y$3,$A81))</x:f>
        <x:v>#NAME?</x:v>
      </x:c>
    </x:row>
    <x:row r="82">
      <x:c r="B82" t="e">
        <x:f>IF($A82="","",[1]!thsiFinD("ths_adjustment_nv_fund",B$3,$A82))</x:f>
        <x:v>#NAME?</x:v>
      </x:c>
      <x:c r="C82" t="e">
        <x:f>IF($A82="","",[1]!thsiFinD("ths_adjustment_nv_fund",C$3,$A82))</x:f>
        <x:v>#NAME?</x:v>
      </x:c>
      <x:c r="D82" t="e">
        <x:f>IF($A82="","",[1]!thsiFinD("ths_adjustment_nv_fund",D$3,$A82))</x:f>
        <x:v>#NAME?</x:v>
      </x:c>
      <x:c r="E82" t="e">
        <x:f>IF($A82="","",[1]!thsiFinD("ths_adjustment_nv_fund",E$3,$A82))</x:f>
        <x:v>#NAME?</x:v>
      </x:c>
      <x:c r="F82" t="e">
        <x:f>IF($A82="","",[1]!thsiFinD("ths_adjustment_nv_fund",F$3,$A82))</x:f>
        <x:v>#NAME?</x:v>
      </x:c>
      <x:c r="G82" t="e">
        <x:f>IF($A82="","",[1]!thsiFinD("ths_adjustment_nv_fund",G$3,$A82))</x:f>
        <x:v>#NAME?</x:v>
      </x:c>
      <x:c r="H82" t="e">
        <x:f>IF($A82="","",[1]!thsiFinD("ths_adjustment_nv_fund",H$3,$A82))</x:f>
        <x:v>#NAME?</x:v>
      </x:c>
      <x:c r="I82" t="e">
        <x:f>IF($A82="","",[1]!thsiFinD("ths_adjustment_nv_fund",I$3,$A82))</x:f>
        <x:v>#NAME?</x:v>
      </x:c>
      <x:c r="J82" t="e">
        <x:f>IF($A82="","",[1]!thsiFinD("ths_adjustment_nv_fund",J$3,$A82))</x:f>
        <x:v>#NAME?</x:v>
      </x:c>
      <x:c r="K82" t="e">
        <x:f>IF($A82="","",[1]!thsiFinD("ths_adjustment_nv_fund",K$3,$A82))</x:f>
        <x:v>#NAME?</x:v>
      </x:c>
      <x:c r="L82" t="e">
        <x:f>IF($A82="","",[1]!thsiFinD("ths_adjustment_nv_fund",L$3,$A82))</x:f>
        <x:v>#NAME?</x:v>
      </x:c>
      <x:c r="M82" t="e">
        <x:f>IF($A82="","",[1]!thsiFinD("ths_adjustment_nv_fund",M$3,$A82))</x:f>
        <x:v>#NAME?</x:v>
      </x:c>
      <x:c r="N82" t="e">
        <x:f>IF($A82="","",[1]!thsiFinD("ths_adjustment_nv_fund",N$3,$A82))</x:f>
        <x:v>#NAME?</x:v>
      </x:c>
      <x:c r="O82" t="e">
        <x:f>IF($A82="","",[1]!thsiFinD("ths_adjustment_nv_fund",O$3,$A82))</x:f>
        <x:v>#NAME?</x:v>
      </x:c>
      <x:c r="P82" t="e">
        <x:f>IF($A82="","",[1]!thsiFinD("ths_adjustment_nv_fund",P$3,$A82))</x:f>
        <x:v>#NAME?</x:v>
      </x:c>
      <x:c r="Q82" t="e">
        <x:f>IF($A82="","",[1]!thsiFinD("ths_adjustment_nv_fund",Q$3,$A82))</x:f>
        <x:v>#NAME?</x:v>
      </x:c>
      <x:c r="R82" t="e">
        <x:f>IF($A82="","",[1]!thsiFinD("ths_adjustment_nv_fund",R$3,$A82))</x:f>
        <x:v>#NAME?</x:v>
      </x:c>
      <x:c r="S82" t="e">
        <x:f>IF($A82="","",[1]!thsiFinD("ths_adjustment_nv_fund",S$3,$A82))</x:f>
        <x:v>#NAME?</x:v>
      </x:c>
      <x:c r="T82" t="e">
        <x:f>IF($A82="","",[1]!thsiFinD("ths_adjustment_nv_fund",T$3,$A82))</x:f>
        <x:v>#NAME?</x:v>
      </x:c>
      <x:c r="U82" t="e">
        <x:f>IF($A82="","",[1]!thsiFinD("ths_adjustment_nv_fund",U$3,$A82))</x:f>
        <x:v>#NAME?</x:v>
      </x:c>
      <x:c r="V82" t="e">
        <x:f>IF($A82="","",[1]!thsiFinD("ths_adjustment_nv_fund",V$3,$A82))</x:f>
        <x:v>#NAME?</x:v>
      </x:c>
      <x:c r="W82" t="e">
        <x:f>IF($A82="","",[1]!thsiFinD("ths_adjustment_nv_fund",W$3,$A82))</x:f>
        <x:v>#NAME?</x:v>
      </x:c>
      <x:c r="X82" t="e">
        <x:f>IF($A82="","",[1]!thsiFinD("ths_adjustment_nv_fund",X$3,$A82))</x:f>
        <x:v>#NAME?</x:v>
      </x:c>
      <x:c r="Y82" t="e">
        <x:f>IF($A82="","",[1]!thsiFinD("ths_adjustment_nv_fund",Y$3,$A82))</x:f>
        <x:v>#NAME?</x:v>
      </x:c>
    </x:row>
    <x:row r="83">
      <x:c r="B83" t="e">
        <x:f>IF($A83="","",[1]!thsiFinD("ths_adjustment_nv_fund",B$3,$A83))</x:f>
        <x:v>#NAME?</x:v>
      </x:c>
      <x:c r="C83" t="e">
        <x:f>IF($A83="","",[1]!thsiFinD("ths_adjustment_nv_fund",C$3,$A83))</x:f>
        <x:v>#NAME?</x:v>
      </x:c>
      <x:c r="D83" t="e">
        <x:f>IF($A83="","",[1]!thsiFinD("ths_adjustment_nv_fund",D$3,$A83))</x:f>
        <x:v>#NAME?</x:v>
      </x:c>
      <x:c r="E83" t="e">
        <x:f>IF($A83="","",[1]!thsiFinD("ths_adjustment_nv_fund",E$3,$A83))</x:f>
        <x:v>#NAME?</x:v>
      </x:c>
      <x:c r="F83" t="e">
        <x:f>IF($A83="","",[1]!thsiFinD("ths_adjustment_nv_fund",F$3,$A83))</x:f>
        <x:v>#NAME?</x:v>
      </x:c>
      <x:c r="G83" t="e">
        <x:f>IF($A83="","",[1]!thsiFinD("ths_adjustment_nv_fund",G$3,$A83))</x:f>
        <x:v>#NAME?</x:v>
      </x:c>
      <x:c r="H83" t="e">
        <x:f>IF($A83="","",[1]!thsiFinD("ths_adjustment_nv_fund",H$3,$A83))</x:f>
        <x:v>#NAME?</x:v>
      </x:c>
      <x:c r="I83" t="e">
        <x:f>IF($A83="","",[1]!thsiFinD("ths_adjustment_nv_fund",I$3,$A83))</x:f>
        <x:v>#NAME?</x:v>
      </x:c>
      <x:c r="J83" t="e">
        <x:f>IF($A83="","",[1]!thsiFinD("ths_adjustment_nv_fund",J$3,$A83))</x:f>
        <x:v>#NAME?</x:v>
      </x:c>
      <x:c r="K83" t="e">
        <x:f>IF($A83="","",[1]!thsiFinD("ths_adjustment_nv_fund",K$3,$A83))</x:f>
        <x:v>#NAME?</x:v>
      </x:c>
      <x:c r="L83" t="e">
        <x:f>IF($A83="","",[1]!thsiFinD("ths_adjustment_nv_fund",L$3,$A83))</x:f>
        <x:v>#NAME?</x:v>
      </x:c>
      <x:c r="M83" t="e">
        <x:f>IF($A83="","",[1]!thsiFinD("ths_adjustment_nv_fund",M$3,$A83))</x:f>
        <x:v>#NAME?</x:v>
      </x:c>
      <x:c r="N83" t="e">
        <x:f>IF($A83="","",[1]!thsiFinD("ths_adjustment_nv_fund",N$3,$A83))</x:f>
        <x:v>#NAME?</x:v>
      </x:c>
      <x:c r="O83" t="e">
        <x:f>IF($A83="","",[1]!thsiFinD("ths_adjustment_nv_fund",O$3,$A83))</x:f>
        <x:v>#NAME?</x:v>
      </x:c>
      <x:c r="P83" t="e">
        <x:f>IF($A83="","",[1]!thsiFinD("ths_adjustment_nv_fund",P$3,$A83))</x:f>
        <x:v>#NAME?</x:v>
      </x:c>
      <x:c r="Q83" t="e">
        <x:f>IF($A83="","",[1]!thsiFinD("ths_adjustment_nv_fund",Q$3,$A83))</x:f>
        <x:v>#NAME?</x:v>
      </x:c>
      <x:c r="R83" t="e">
        <x:f>IF($A83="","",[1]!thsiFinD("ths_adjustment_nv_fund",R$3,$A83))</x:f>
        <x:v>#NAME?</x:v>
      </x:c>
      <x:c r="S83" t="e">
        <x:f>IF($A83="","",[1]!thsiFinD("ths_adjustment_nv_fund",S$3,$A83))</x:f>
        <x:v>#NAME?</x:v>
      </x:c>
      <x:c r="T83" t="e">
        <x:f>IF($A83="","",[1]!thsiFinD("ths_adjustment_nv_fund",T$3,$A83))</x:f>
        <x:v>#NAME?</x:v>
      </x:c>
      <x:c r="U83" t="e">
        <x:f>IF($A83="","",[1]!thsiFinD("ths_adjustment_nv_fund",U$3,$A83))</x:f>
        <x:v>#NAME?</x:v>
      </x:c>
      <x:c r="V83" t="e">
        <x:f>IF($A83="","",[1]!thsiFinD("ths_adjustment_nv_fund",V$3,$A83))</x:f>
        <x:v>#NAME?</x:v>
      </x:c>
      <x:c r="W83" t="e">
        <x:f>IF($A83="","",[1]!thsiFinD("ths_adjustment_nv_fund",W$3,$A83))</x:f>
        <x:v>#NAME?</x:v>
      </x:c>
      <x:c r="X83" t="e">
        <x:f>IF($A83="","",[1]!thsiFinD("ths_adjustment_nv_fund",X$3,$A83))</x:f>
        <x:v>#NAME?</x:v>
      </x:c>
      <x:c r="Y83" t="e">
        <x:f>IF($A83="","",[1]!thsiFinD("ths_adjustment_nv_fund",Y$3,$A83))</x:f>
        <x:v>#NAME?</x:v>
      </x:c>
    </x:row>
    <x:row r="84">
      <x:c r="B84" t="e">
        <x:f>IF($A84="","",[1]!thsiFinD("ths_adjustment_nv_fund",B$3,$A84))</x:f>
        <x:v>#NAME?</x:v>
      </x:c>
      <x:c r="C84" t="e">
        <x:f>IF($A84="","",[1]!thsiFinD("ths_adjustment_nv_fund",C$3,$A84))</x:f>
        <x:v>#NAME?</x:v>
      </x:c>
      <x:c r="D84" t="e">
        <x:f>IF($A84="","",[1]!thsiFinD("ths_adjustment_nv_fund",D$3,$A84))</x:f>
        <x:v>#NAME?</x:v>
      </x:c>
      <x:c r="E84" t="e">
        <x:f>IF($A84="","",[1]!thsiFinD("ths_adjustment_nv_fund",E$3,$A84))</x:f>
        <x:v>#NAME?</x:v>
      </x:c>
      <x:c r="F84" t="e">
        <x:f>IF($A84="","",[1]!thsiFinD("ths_adjustment_nv_fund",F$3,$A84))</x:f>
        <x:v>#NAME?</x:v>
      </x:c>
      <x:c r="G84" t="e">
        <x:f>IF($A84="","",[1]!thsiFinD("ths_adjustment_nv_fund",G$3,$A84))</x:f>
        <x:v>#NAME?</x:v>
      </x:c>
      <x:c r="H84" t="e">
        <x:f>IF($A84="","",[1]!thsiFinD("ths_adjustment_nv_fund",H$3,$A84))</x:f>
        <x:v>#NAME?</x:v>
      </x:c>
      <x:c r="I84" t="e">
        <x:f>IF($A84="","",[1]!thsiFinD("ths_adjustment_nv_fund",I$3,$A84))</x:f>
        <x:v>#NAME?</x:v>
      </x:c>
      <x:c r="J84" t="e">
        <x:f>IF($A84="","",[1]!thsiFinD("ths_adjustment_nv_fund",J$3,$A84))</x:f>
        <x:v>#NAME?</x:v>
      </x:c>
      <x:c r="K84" t="e">
        <x:f>IF($A84="","",[1]!thsiFinD("ths_adjustment_nv_fund",K$3,$A84))</x:f>
        <x:v>#NAME?</x:v>
      </x:c>
      <x:c r="L84" t="e">
        <x:f>IF($A84="","",[1]!thsiFinD("ths_adjustment_nv_fund",L$3,$A84))</x:f>
        <x:v>#NAME?</x:v>
      </x:c>
      <x:c r="M84" t="e">
        <x:f>IF($A84="","",[1]!thsiFinD("ths_adjustment_nv_fund",M$3,$A84))</x:f>
        <x:v>#NAME?</x:v>
      </x:c>
      <x:c r="N84" t="e">
        <x:f>IF($A84="","",[1]!thsiFinD("ths_adjustment_nv_fund",N$3,$A84))</x:f>
        <x:v>#NAME?</x:v>
      </x:c>
      <x:c r="O84" t="e">
        <x:f>IF($A84="","",[1]!thsiFinD("ths_adjustment_nv_fund",O$3,$A84))</x:f>
        <x:v>#NAME?</x:v>
      </x:c>
      <x:c r="P84" t="e">
        <x:f>IF($A84="","",[1]!thsiFinD("ths_adjustment_nv_fund",P$3,$A84))</x:f>
        <x:v>#NAME?</x:v>
      </x:c>
      <x:c r="Q84" t="e">
        <x:f>IF($A84="","",[1]!thsiFinD("ths_adjustment_nv_fund",Q$3,$A84))</x:f>
        <x:v>#NAME?</x:v>
      </x:c>
      <x:c r="R84" t="e">
        <x:f>IF($A84="","",[1]!thsiFinD("ths_adjustment_nv_fund",R$3,$A84))</x:f>
        <x:v>#NAME?</x:v>
      </x:c>
      <x:c r="S84" t="e">
        <x:f>IF($A84="","",[1]!thsiFinD("ths_adjustment_nv_fund",S$3,$A84))</x:f>
        <x:v>#NAME?</x:v>
      </x:c>
      <x:c r="T84" t="e">
        <x:f>IF($A84="","",[1]!thsiFinD("ths_adjustment_nv_fund",T$3,$A84))</x:f>
        <x:v>#NAME?</x:v>
      </x:c>
      <x:c r="U84" t="e">
        <x:f>IF($A84="","",[1]!thsiFinD("ths_adjustment_nv_fund",U$3,$A84))</x:f>
        <x:v>#NAME?</x:v>
      </x:c>
      <x:c r="V84" t="e">
        <x:f>IF($A84="","",[1]!thsiFinD("ths_adjustment_nv_fund",V$3,$A84))</x:f>
        <x:v>#NAME?</x:v>
      </x:c>
      <x:c r="W84" t="e">
        <x:f>IF($A84="","",[1]!thsiFinD("ths_adjustment_nv_fund",W$3,$A84))</x:f>
        <x:v>#NAME?</x:v>
      </x:c>
      <x:c r="X84" t="e">
        <x:f>IF($A84="","",[1]!thsiFinD("ths_adjustment_nv_fund",X$3,$A84))</x:f>
        <x:v>#NAME?</x:v>
      </x:c>
      <x:c r="Y84" t="e">
        <x:f>IF($A84="","",[1]!thsiFinD("ths_adjustment_nv_fund",Y$3,$A84))</x:f>
        <x:v>#NAME?</x:v>
      </x:c>
    </x:row>
    <x:row r="85">
      <x:c r="B85" t="e">
        <x:f>IF($A85="","",[1]!thsiFinD("ths_adjustment_nv_fund",B$3,$A85))</x:f>
        <x:v>#NAME?</x:v>
      </x:c>
      <x:c r="C85" t="e">
        <x:f>IF($A85="","",[1]!thsiFinD("ths_adjustment_nv_fund",C$3,$A85))</x:f>
        <x:v>#NAME?</x:v>
      </x:c>
      <x:c r="D85" t="e">
        <x:f>IF($A85="","",[1]!thsiFinD("ths_adjustment_nv_fund",D$3,$A85))</x:f>
        <x:v>#NAME?</x:v>
      </x:c>
      <x:c r="E85" t="e">
        <x:f>IF($A85="","",[1]!thsiFinD("ths_adjustment_nv_fund",E$3,$A85))</x:f>
        <x:v>#NAME?</x:v>
      </x:c>
      <x:c r="F85" t="e">
        <x:f>IF($A85="","",[1]!thsiFinD("ths_adjustment_nv_fund",F$3,$A85))</x:f>
        <x:v>#NAME?</x:v>
      </x:c>
      <x:c r="G85" t="e">
        <x:f>IF($A85="","",[1]!thsiFinD("ths_adjustment_nv_fund",G$3,$A85))</x:f>
        <x:v>#NAME?</x:v>
      </x:c>
      <x:c r="H85" t="e">
        <x:f>IF($A85="","",[1]!thsiFinD("ths_adjustment_nv_fund",H$3,$A85))</x:f>
        <x:v>#NAME?</x:v>
      </x:c>
      <x:c r="I85" t="e">
        <x:f>IF($A85="","",[1]!thsiFinD("ths_adjustment_nv_fund",I$3,$A85))</x:f>
        <x:v>#NAME?</x:v>
      </x:c>
      <x:c r="J85" t="e">
        <x:f>IF($A85="","",[1]!thsiFinD("ths_adjustment_nv_fund",J$3,$A85))</x:f>
        <x:v>#NAME?</x:v>
      </x:c>
      <x:c r="K85" t="e">
        <x:f>IF($A85="","",[1]!thsiFinD("ths_adjustment_nv_fund",K$3,$A85))</x:f>
        <x:v>#NAME?</x:v>
      </x:c>
      <x:c r="L85" t="e">
        <x:f>IF($A85="","",[1]!thsiFinD("ths_adjustment_nv_fund",L$3,$A85))</x:f>
        <x:v>#NAME?</x:v>
      </x:c>
      <x:c r="M85" t="e">
        <x:f>IF($A85="","",[1]!thsiFinD("ths_adjustment_nv_fund",M$3,$A85))</x:f>
        <x:v>#NAME?</x:v>
      </x:c>
      <x:c r="N85" t="e">
        <x:f>IF($A85="","",[1]!thsiFinD("ths_adjustment_nv_fund",N$3,$A85))</x:f>
        <x:v>#NAME?</x:v>
      </x:c>
      <x:c r="O85" t="e">
        <x:f>IF($A85="","",[1]!thsiFinD("ths_adjustment_nv_fund",O$3,$A85))</x:f>
        <x:v>#NAME?</x:v>
      </x:c>
      <x:c r="P85" t="e">
        <x:f>IF($A85="","",[1]!thsiFinD("ths_adjustment_nv_fund",P$3,$A85))</x:f>
        <x:v>#NAME?</x:v>
      </x:c>
      <x:c r="Q85" t="e">
        <x:f>IF($A85="","",[1]!thsiFinD("ths_adjustment_nv_fund",Q$3,$A85))</x:f>
        <x:v>#NAME?</x:v>
      </x:c>
      <x:c r="R85" t="e">
        <x:f>IF($A85="","",[1]!thsiFinD("ths_adjustment_nv_fund",R$3,$A85))</x:f>
        <x:v>#NAME?</x:v>
      </x:c>
      <x:c r="S85" t="e">
        <x:f>IF($A85="","",[1]!thsiFinD("ths_adjustment_nv_fund",S$3,$A85))</x:f>
        <x:v>#NAME?</x:v>
      </x:c>
      <x:c r="T85" t="e">
        <x:f>IF($A85="","",[1]!thsiFinD("ths_adjustment_nv_fund",T$3,$A85))</x:f>
        <x:v>#NAME?</x:v>
      </x:c>
      <x:c r="U85" t="e">
        <x:f>IF($A85="","",[1]!thsiFinD("ths_adjustment_nv_fund",U$3,$A85))</x:f>
        <x:v>#NAME?</x:v>
      </x:c>
      <x:c r="V85" t="e">
        <x:f>IF($A85="","",[1]!thsiFinD("ths_adjustment_nv_fund",V$3,$A85))</x:f>
        <x:v>#NAME?</x:v>
      </x:c>
      <x:c r="W85" t="e">
        <x:f>IF($A85="","",[1]!thsiFinD("ths_adjustment_nv_fund",W$3,$A85))</x:f>
        <x:v>#NAME?</x:v>
      </x:c>
      <x:c r="X85" t="e">
        <x:f>IF($A85="","",[1]!thsiFinD("ths_adjustment_nv_fund",X$3,$A85))</x:f>
        <x:v>#NAME?</x:v>
      </x:c>
      <x:c r="Y85" t="e">
        <x:f>IF($A85="","",[1]!thsiFinD("ths_adjustment_nv_fund",Y$3,$A85))</x:f>
        <x:v>#NAME?</x:v>
      </x:c>
    </x:row>
    <x:row r="86">
      <x:c r="B86" t="e">
        <x:f>IF($A86="","",[1]!thsiFinD("ths_adjustment_nv_fund",B$3,$A86))</x:f>
        <x:v>#NAME?</x:v>
      </x:c>
      <x:c r="C86" t="e">
        <x:f>IF($A86="","",[1]!thsiFinD("ths_adjustment_nv_fund",C$3,$A86))</x:f>
        <x:v>#NAME?</x:v>
      </x:c>
      <x:c r="D86" t="e">
        <x:f>IF($A86="","",[1]!thsiFinD("ths_adjustment_nv_fund",D$3,$A86))</x:f>
        <x:v>#NAME?</x:v>
      </x:c>
      <x:c r="E86" t="e">
        <x:f>IF($A86="","",[1]!thsiFinD("ths_adjustment_nv_fund",E$3,$A86))</x:f>
        <x:v>#NAME?</x:v>
      </x:c>
      <x:c r="F86" t="e">
        <x:f>IF($A86="","",[1]!thsiFinD("ths_adjustment_nv_fund",F$3,$A86))</x:f>
        <x:v>#NAME?</x:v>
      </x:c>
      <x:c r="G86" t="e">
        <x:f>IF($A86="","",[1]!thsiFinD("ths_adjustment_nv_fund",G$3,$A86))</x:f>
        <x:v>#NAME?</x:v>
      </x:c>
      <x:c r="H86" t="e">
        <x:f>IF($A86="","",[1]!thsiFinD("ths_adjustment_nv_fund",H$3,$A86))</x:f>
        <x:v>#NAME?</x:v>
      </x:c>
      <x:c r="I86" t="e">
        <x:f>IF($A86="","",[1]!thsiFinD("ths_adjustment_nv_fund",I$3,$A86))</x:f>
        <x:v>#NAME?</x:v>
      </x:c>
      <x:c r="J86" t="e">
        <x:f>IF($A86="","",[1]!thsiFinD("ths_adjustment_nv_fund",J$3,$A86))</x:f>
        <x:v>#NAME?</x:v>
      </x:c>
      <x:c r="K86" t="e">
        <x:f>IF($A86="","",[1]!thsiFinD("ths_adjustment_nv_fund",K$3,$A86))</x:f>
        <x:v>#NAME?</x:v>
      </x:c>
      <x:c r="L86" t="e">
        <x:f>IF($A86="","",[1]!thsiFinD("ths_adjustment_nv_fund",L$3,$A86))</x:f>
        <x:v>#NAME?</x:v>
      </x:c>
      <x:c r="M86" t="e">
        <x:f>IF($A86="","",[1]!thsiFinD("ths_adjustment_nv_fund",M$3,$A86))</x:f>
        <x:v>#NAME?</x:v>
      </x:c>
      <x:c r="N86" t="e">
        <x:f>IF($A86="","",[1]!thsiFinD("ths_adjustment_nv_fund",N$3,$A86))</x:f>
        <x:v>#NAME?</x:v>
      </x:c>
      <x:c r="O86" t="e">
        <x:f>IF($A86="","",[1]!thsiFinD("ths_adjustment_nv_fund",O$3,$A86))</x:f>
        <x:v>#NAME?</x:v>
      </x:c>
      <x:c r="P86" t="e">
        <x:f>IF($A86="","",[1]!thsiFinD("ths_adjustment_nv_fund",P$3,$A86))</x:f>
        <x:v>#NAME?</x:v>
      </x:c>
      <x:c r="Q86" t="e">
        <x:f>IF($A86="","",[1]!thsiFinD("ths_adjustment_nv_fund",Q$3,$A86))</x:f>
        <x:v>#NAME?</x:v>
      </x:c>
      <x:c r="R86" t="e">
        <x:f>IF($A86="","",[1]!thsiFinD("ths_adjustment_nv_fund",R$3,$A86))</x:f>
        <x:v>#NAME?</x:v>
      </x:c>
      <x:c r="S86" t="e">
        <x:f>IF($A86="","",[1]!thsiFinD("ths_adjustment_nv_fund",S$3,$A86))</x:f>
        <x:v>#NAME?</x:v>
      </x:c>
      <x:c r="T86" t="e">
        <x:f>IF($A86="","",[1]!thsiFinD("ths_adjustment_nv_fund",T$3,$A86))</x:f>
        <x:v>#NAME?</x:v>
      </x:c>
      <x:c r="U86" t="e">
        <x:f>IF($A86="","",[1]!thsiFinD("ths_adjustment_nv_fund",U$3,$A86))</x:f>
        <x:v>#NAME?</x:v>
      </x:c>
      <x:c r="V86" t="e">
        <x:f>IF($A86="","",[1]!thsiFinD("ths_adjustment_nv_fund",V$3,$A86))</x:f>
        <x:v>#NAME?</x:v>
      </x:c>
      <x:c r="W86" t="e">
        <x:f>IF($A86="","",[1]!thsiFinD("ths_adjustment_nv_fund",W$3,$A86))</x:f>
        <x:v>#NAME?</x:v>
      </x:c>
      <x:c r="X86" t="e">
        <x:f>IF($A86="","",[1]!thsiFinD("ths_adjustment_nv_fund",X$3,$A86))</x:f>
        <x:v>#NAME?</x:v>
      </x:c>
      <x:c r="Y86" t="e">
        <x:f>IF($A86="","",[1]!thsiFinD("ths_adjustment_nv_fund",Y$3,$A86))</x:f>
        <x:v>#NAME?</x:v>
      </x:c>
    </x:row>
    <x:row r="87">
      <x:c r="B87" t="e">
        <x:f>IF($A87="","",[1]!thsiFinD("ths_adjustment_nv_fund",B$3,$A87))</x:f>
        <x:v>#NAME?</x:v>
      </x:c>
      <x:c r="C87" t="e">
        <x:f>IF($A87="","",[1]!thsiFinD("ths_adjustment_nv_fund",C$3,$A87))</x:f>
        <x:v>#NAME?</x:v>
      </x:c>
      <x:c r="D87" t="e">
        <x:f>IF($A87="","",[1]!thsiFinD("ths_adjustment_nv_fund",D$3,$A87))</x:f>
        <x:v>#NAME?</x:v>
      </x:c>
      <x:c r="E87" t="e">
        <x:f>IF($A87="","",[1]!thsiFinD("ths_adjustment_nv_fund",E$3,$A87))</x:f>
        <x:v>#NAME?</x:v>
      </x:c>
      <x:c r="F87" t="e">
        <x:f>IF($A87="","",[1]!thsiFinD("ths_adjustment_nv_fund",F$3,$A87))</x:f>
        <x:v>#NAME?</x:v>
      </x:c>
      <x:c r="G87" t="e">
        <x:f>IF($A87="","",[1]!thsiFinD("ths_adjustment_nv_fund",G$3,$A87))</x:f>
        <x:v>#NAME?</x:v>
      </x:c>
      <x:c r="H87" t="e">
        <x:f>IF($A87="","",[1]!thsiFinD("ths_adjustment_nv_fund",H$3,$A87))</x:f>
        <x:v>#NAME?</x:v>
      </x:c>
      <x:c r="I87" t="e">
        <x:f>IF($A87="","",[1]!thsiFinD("ths_adjustment_nv_fund",I$3,$A87))</x:f>
        <x:v>#NAME?</x:v>
      </x:c>
      <x:c r="J87" t="e">
        <x:f>IF($A87="","",[1]!thsiFinD("ths_adjustment_nv_fund",J$3,$A87))</x:f>
        <x:v>#NAME?</x:v>
      </x:c>
      <x:c r="K87" t="e">
        <x:f>IF($A87="","",[1]!thsiFinD("ths_adjustment_nv_fund",K$3,$A87))</x:f>
        <x:v>#NAME?</x:v>
      </x:c>
      <x:c r="L87" t="e">
        <x:f>IF($A87="","",[1]!thsiFinD("ths_adjustment_nv_fund",L$3,$A87))</x:f>
        <x:v>#NAME?</x:v>
      </x:c>
      <x:c r="M87" t="e">
        <x:f>IF($A87="","",[1]!thsiFinD("ths_adjustment_nv_fund",M$3,$A87))</x:f>
        <x:v>#NAME?</x:v>
      </x:c>
      <x:c r="N87" t="e">
        <x:f>IF($A87="","",[1]!thsiFinD("ths_adjustment_nv_fund",N$3,$A87))</x:f>
        <x:v>#NAME?</x:v>
      </x:c>
      <x:c r="O87" t="e">
        <x:f>IF($A87="","",[1]!thsiFinD("ths_adjustment_nv_fund",O$3,$A87))</x:f>
        <x:v>#NAME?</x:v>
      </x:c>
      <x:c r="P87" t="e">
        <x:f>IF($A87="","",[1]!thsiFinD("ths_adjustment_nv_fund",P$3,$A87))</x:f>
        <x:v>#NAME?</x:v>
      </x:c>
      <x:c r="Q87" t="e">
        <x:f>IF($A87="","",[1]!thsiFinD("ths_adjustment_nv_fund",Q$3,$A87))</x:f>
        <x:v>#NAME?</x:v>
      </x:c>
      <x:c r="R87" t="e">
        <x:f>IF($A87="","",[1]!thsiFinD("ths_adjustment_nv_fund",R$3,$A87))</x:f>
        <x:v>#NAME?</x:v>
      </x:c>
      <x:c r="S87" t="e">
        <x:f>IF($A87="","",[1]!thsiFinD("ths_adjustment_nv_fund",S$3,$A87))</x:f>
        <x:v>#NAME?</x:v>
      </x:c>
      <x:c r="T87" t="e">
        <x:f>IF($A87="","",[1]!thsiFinD("ths_adjustment_nv_fund",T$3,$A87))</x:f>
        <x:v>#NAME?</x:v>
      </x:c>
      <x:c r="U87" t="e">
        <x:f>IF($A87="","",[1]!thsiFinD("ths_adjustment_nv_fund",U$3,$A87))</x:f>
        <x:v>#NAME?</x:v>
      </x:c>
      <x:c r="V87" t="e">
        <x:f>IF($A87="","",[1]!thsiFinD("ths_adjustment_nv_fund",V$3,$A87))</x:f>
        <x:v>#NAME?</x:v>
      </x:c>
      <x:c r="W87" t="e">
        <x:f>IF($A87="","",[1]!thsiFinD("ths_adjustment_nv_fund",W$3,$A87))</x:f>
        <x:v>#NAME?</x:v>
      </x:c>
      <x:c r="X87" t="e">
        <x:f>IF($A87="","",[1]!thsiFinD("ths_adjustment_nv_fund",X$3,$A87))</x:f>
        <x:v>#NAME?</x:v>
      </x:c>
      <x:c r="Y87" t="e">
        <x:f>IF($A87="","",[1]!thsiFinD("ths_adjustment_nv_fund",Y$3,$A87))</x:f>
        <x:v>#NAME?</x:v>
      </x:c>
    </x:row>
    <x:row r="88">
      <x:c r="B88" t="e">
        <x:f>IF($A88="","",[1]!thsiFinD("ths_adjustment_nv_fund",B$3,$A88))</x:f>
        <x:v>#NAME?</x:v>
      </x:c>
      <x:c r="C88" t="e">
        <x:f>IF($A88="","",[1]!thsiFinD("ths_adjustment_nv_fund",C$3,$A88))</x:f>
        <x:v>#NAME?</x:v>
      </x:c>
      <x:c r="D88" t="e">
        <x:f>IF($A88="","",[1]!thsiFinD("ths_adjustment_nv_fund",D$3,$A88))</x:f>
        <x:v>#NAME?</x:v>
      </x:c>
      <x:c r="E88" t="e">
        <x:f>IF($A88="","",[1]!thsiFinD("ths_adjustment_nv_fund",E$3,$A88))</x:f>
        <x:v>#NAME?</x:v>
      </x:c>
      <x:c r="F88" t="e">
        <x:f>IF($A88="","",[1]!thsiFinD("ths_adjustment_nv_fund",F$3,$A88))</x:f>
        <x:v>#NAME?</x:v>
      </x:c>
      <x:c r="G88" t="e">
        <x:f>IF($A88="","",[1]!thsiFinD("ths_adjustment_nv_fund",G$3,$A88))</x:f>
        <x:v>#NAME?</x:v>
      </x:c>
      <x:c r="H88" t="e">
        <x:f>IF($A88="","",[1]!thsiFinD("ths_adjustment_nv_fund",H$3,$A88))</x:f>
        <x:v>#NAME?</x:v>
      </x:c>
      <x:c r="I88" t="e">
        <x:f>IF($A88="","",[1]!thsiFinD("ths_adjustment_nv_fund",I$3,$A88))</x:f>
        <x:v>#NAME?</x:v>
      </x:c>
      <x:c r="J88" t="e">
        <x:f>IF($A88="","",[1]!thsiFinD("ths_adjustment_nv_fund",J$3,$A88))</x:f>
        <x:v>#NAME?</x:v>
      </x:c>
      <x:c r="K88" t="e">
        <x:f>IF($A88="","",[1]!thsiFinD("ths_adjustment_nv_fund",K$3,$A88))</x:f>
        <x:v>#NAME?</x:v>
      </x:c>
      <x:c r="L88" t="e">
        <x:f>IF($A88="","",[1]!thsiFinD("ths_adjustment_nv_fund",L$3,$A88))</x:f>
        <x:v>#NAME?</x:v>
      </x:c>
      <x:c r="M88" t="e">
        <x:f>IF($A88="","",[1]!thsiFinD("ths_adjustment_nv_fund",M$3,$A88))</x:f>
        <x:v>#NAME?</x:v>
      </x:c>
      <x:c r="N88" t="e">
        <x:f>IF($A88="","",[1]!thsiFinD("ths_adjustment_nv_fund",N$3,$A88))</x:f>
        <x:v>#NAME?</x:v>
      </x:c>
      <x:c r="O88" t="e">
        <x:f>IF($A88="","",[1]!thsiFinD("ths_adjustment_nv_fund",O$3,$A88))</x:f>
        <x:v>#NAME?</x:v>
      </x:c>
      <x:c r="P88" t="e">
        <x:f>IF($A88="","",[1]!thsiFinD("ths_adjustment_nv_fund",P$3,$A88))</x:f>
        <x:v>#NAME?</x:v>
      </x:c>
      <x:c r="Q88" t="e">
        <x:f>IF($A88="","",[1]!thsiFinD("ths_adjustment_nv_fund",Q$3,$A88))</x:f>
        <x:v>#NAME?</x:v>
      </x:c>
      <x:c r="R88" t="e">
        <x:f>IF($A88="","",[1]!thsiFinD("ths_adjustment_nv_fund",R$3,$A88))</x:f>
        <x:v>#NAME?</x:v>
      </x:c>
      <x:c r="S88" t="e">
        <x:f>IF($A88="","",[1]!thsiFinD("ths_adjustment_nv_fund",S$3,$A88))</x:f>
        <x:v>#NAME?</x:v>
      </x:c>
      <x:c r="T88" t="e">
        <x:f>IF($A88="","",[1]!thsiFinD("ths_adjustment_nv_fund",T$3,$A88))</x:f>
        <x:v>#NAME?</x:v>
      </x:c>
      <x:c r="U88" t="e">
        <x:f>IF($A88="","",[1]!thsiFinD("ths_adjustment_nv_fund",U$3,$A88))</x:f>
        <x:v>#NAME?</x:v>
      </x:c>
      <x:c r="V88" t="e">
        <x:f>IF($A88="","",[1]!thsiFinD("ths_adjustment_nv_fund",V$3,$A88))</x:f>
        <x:v>#NAME?</x:v>
      </x:c>
      <x:c r="W88" t="e">
        <x:f>IF($A88="","",[1]!thsiFinD("ths_adjustment_nv_fund",W$3,$A88))</x:f>
        <x:v>#NAME?</x:v>
      </x:c>
      <x:c r="X88" t="e">
        <x:f>IF($A88="","",[1]!thsiFinD("ths_adjustment_nv_fund",X$3,$A88))</x:f>
        <x:v>#NAME?</x:v>
      </x:c>
      <x:c r="Y88" t="e">
        <x:f>IF($A88="","",[1]!thsiFinD("ths_adjustment_nv_fund",Y$3,$A88))</x:f>
        <x:v>#NAME?</x:v>
      </x:c>
    </x:row>
    <x:row r="89">
      <x:c r="B89" t="e">
        <x:f>IF($A89="","",[1]!thsiFinD("ths_adjustment_nv_fund",B$3,$A89))</x:f>
        <x:v>#NAME?</x:v>
      </x:c>
      <x:c r="C89" t="e">
        <x:f>IF($A89="","",[1]!thsiFinD("ths_adjustment_nv_fund",C$3,$A89))</x:f>
        <x:v>#NAME?</x:v>
      </x:c>
      <x:c r="D89" t="e">
        <x:f>IF($A89="","",[1]!thsiFinD("ths_adjustment_nv_fund",D$3,$A89))</x:f>
        <x:v>#NAME?</x:v>
      </x:c>
      <x:c r="E89" t="e">
        <x:f>IF($A89="","",[1]!thsiFinD("ths_adjustment_nv_fund",E$3,$A89))</x:f>
        <x:v>#NAME?</x:v>
      </x:c>
      <x:c r="F89" t="e">
        <x:f>IF($A89="","",[1]!thsiFinD("ths_adjustment_nv_fund",F$3,$A89))</x:f>
        <x:v>#NAME?</x:v>
      </x:c>
      <x:c r="G89" t="e">
        <x:f>IF($A89="","",[1]!thsiFinD("ths_adjustment_nv_fund",G$3,$A89))</x:f>
        <x:v>#NAME?</x:v>
      </x:c>
      <x:c r="H89" t="e">
        <x:f>IF($A89="","",[1]!thsiFinD("ths_adjustment_nv_fund",H$3,$A89))</x:f>
        <x:v>#NAME?</x:v>
      </x:c>
      <x:c r="I89" t="e">
        <x:f>IF($A89="","",[1]!thsiFinD("ths_adjustment_nv_fund",I$3,$A89))</x:f>
        <x:v>#NAME?</x:v>
      </x:c>
      <x:c r="J89" t="e">
        <x:f>IF($A89="","",[1]!thsiFinD("ths_adjustment_nv_fund",J$3,$A89))</x:f>
        <x:v>#NAME?</x:v>
      </x:c>
      <x:c r="K89" t="e">
        <x:f>IF($A89="","",[1]!thsiFinD("ths_adjustment_nv_fund",K$3,$A89))</x:f>
        <x:v>#NAME?</x:v>
      </x:c>
      <x:c r="L89" t="e">
        <x:f>IF($A89="","",[1]!thsiFinD("ths_adjustment_nv_fund",L$3,$A89))</x:f>
        <x:v>#NAME?</x:v>
      </x:c>
      <x:c r="M89" t="e">
        <x:f>IF($A89="","",[1]!thsiFinD("ths_adjustment_nv_fund",M$3,$A89))</x:f>
        <x:v>#NAME?</x:v>
      </x:c>
      <x:c r="N89" t="e">
        <x:f>IF($A89="","",[1]!thsiFinD("ths_adjustment_nv_fund",N$3,$A89))</x:f>
        <x:v>#NAME?</x:v>
      </x:c>
      <x:c r="O89" t="e">
        <x:f>IF($A89="","",[1]!thsiFinD("ths_adjustment_nv_fund",O$3,$A89))</x:f>
        <x:v>#NAME?</x:v>
      </x:c>
      <x:c r="P89" t="e">
        <x:f>IF($A89="","",[1]!thsiFinD("ths_adjustment_nv_fund",P$3,$A89))</x:f>
        <x:v>#NAME?</x:v>
      </x:c>
      <x:c r="Q89" t="e">
        <x:f>IF($A89="","",[1]!thsiFinD("ths_adjustment_nv_fund",Q$3,$A89))</x:f>
        <x:v>#NAME?</x:v>
      </x:c>
      <x:c r="R89" t="e">
        <x:f>IF($A89="","",[1]!thsiFinD("ths_adjustment_nv_fund",R$3,$A89))</x:f>
        <x:v>#NAME?</x:v>
      </x:c>
      <x:c r="S89" t="e">
        <x:f>IF($A89="","",[1]!thsiFinD("ths_adjustment_nv_fund",S$3,$A89))</x:f>
        <x:v>#NAME?</x:v>
      </x:c>
      <x:c r="T89" t="e">
        <x:f>IF($A89="","",[1]!thsiFinD("ths_adjustment_nv_fund",T$3,$A89))</x:f>
        <x:v>#NAME?</x:v>
      </x:c>
      <x:c r="U89" t="e">
        <x:f>IF($A89="","",[1]!thsiFinD("ths_adjustment_nv_fund",U$3,$A89))</x:f>
        <x:v>#NAME?</x:v>
      </x:c>
      <x:c r="V89" t="e">
        <x:f>IF($A89="","",[1]!thsiFinD("ths_adjustment_nv_fund",V$3,$A89))</x:f>
        <x:v>#NAME?</x:v>
      </x:c>
      <x:c r="W89" t="e">
        <x:f>IF($A89="","",[1]!thsiFinD("ths_adjustment_nv_fund",W$3,$A89))</x:f>
        <x:v>#NAME?</x:v>
      </x:c>
      <x:c r="X89" t="e">
        <x:f>IF($A89="","",[1]!thsiFinD("ths_adjustment_nv_fund",X$3,$A89))</x:f>
        <x:v>#NAME?</x:v>
      </x:c>
      <x:c r="Y89" t="e">
        <x:f>IF($A89="","",[1]!thsiFinD("ths_adjustment_nv_fund",Y$3,$A89))</x:f>
        <x:v>#NAME?</x:v>
      </x:c>
    </x:row>
    <x:row r="90">
      <x:c r="B90" t="e">
        <x:f>IF($A90="","",[1]!thsiFinD("ths_adjustment_nv_fund",B$3,$A90))</x:f>
        <x:v>#NAME?</x:v>
      </x:c>
      <x:c r="C90" t="e">
        <x:f>IF($A90="","",[1]!thsiFinD("ths_adjustment_nv_fund",C$3,$A90))</x:f>
        <x:v>#NAME?</x:v>
      </x:c>
      <x:c r="D90" t="e">
        <x:f>IF($A90="","",[1]!thsiFinD("ths_adjustment_nv_fund",D$3,$A90))</x:f>
        <x:v>#NAME?</x:v>
      </x:c>
      <x:c r="E90" t="e">
        <x:f>IF($A90="","",[1]!thsiFinD("ths_adjustment_nv_fund",E$3,$A90))</x:f>
        <x:v>#NAME?</x:v>
      </x:c>
      <x:c r="F90" t="e">
        <x:f>IF($A90="","",[1]!thsiFinD("ths_adjustment_nv_fund",F$3,$A90))</x:f>
        <x:v>#NAME?</x:v>
      </x:c>
      <x:c r="G90" t="e">
        <x:f>IF($A90="","",[1]!thsiFinD("ths_adjustment_nv_fund",G$3,$A90))</x:f>
        <x:v>#NAME?</x:v>
      </x:c>
      <x:c r="H90" t="e">
        <x:f>IF($A90="","",[1]!thsiFinD("ths_adjustment_nv_fund",H$3,$A90))</x:f>
        <x:v>#NAME?</x:v>
      </x:c>
      <x:c r="I90" t="e">
        <x:f>IF($A90="","",[1]!thsiFinD("ths_adjustment_nv_fund",I$3,$A90))</x:f>
        <x:v>#NAME?</x:v>
      </x:c>
      <x:c r="J90" t="e">
        <x:f>IF($A90="","",[1]!thsiFinD("ths_adjustment_nv_fund",J$3,$A90))</x:f>
        <x:v>#NAME?</x:v>
      </x:c>
      <x:c r="K90" t="e">
        <x:f>IF($A90="","",[1]!thsiFinD("ths_adjustment_nv_fund",K$3,$A90))</x:f>
        <x:v>#NAME?</x:v>
      </x:c>
      <x:c r="L90" t="e">
        <x:f>IF($A90="","",[1]!thsiFinD("ths_adjustment_nv_fund",L$3,$A90))</x:f>
        <x:v>#NAME?</x:v>
      </x:c>
      <x:c r="M90" t="e">
        <x:f>IF($A90="","",[1]!thsiFinD("ths_adjustment_nv_fund",M$3,$A90))</x:f>
        <x:v>#NAME?</x:v>
      </x:c>
      <x:c r="N90" t="e">
        <x:f>IF($A90="","",[1]!thsiFinD("ths_adjustment_nv_fund",N$3,$A90))</x:f>
        <x:v>#NAME?</x:v>
      </x:c>
      <x:c r="O90" t="e">
        <x:f>IF($A90="","",[1]!thsiFinD("ths_adjustment_nv_fund",O$3,$A90))</x:f>
        <x:v>#NAME?</x:v>
      </x:c>
      <x:c r="P90" t="e">
        <x:f>IF($A90="","",[1]!thsiFinD("ths_adjustment_nv_fund",P$3,$A90))</x:f>
        <x:v>#NAME?</x:v>
      </x:c>
      <x:c r="Q90" t="e">
        <x:f>IF($A90="","",[1]!thsiFinD("ths_adjustment_nv_fund",Q$3,$A90))</x:f>
        <x:v>#NAME?</x:v>
      </x:c>
      <x:c r="R90" t="e">
        <x:f>IF($A90="","",[1]!thsiFinD("ths_adjustment_nv_fund",R$3,$A90))</x:f>
        <x:v>#NAME?</x:v>
      </x:c>
      <x:c r="S90" t="e">
        <x:f>IF($A90="","",[1]!thsiFinD("ths_adjustment_nv_fund",S$3,$A90))</x:f>
        <x:v>#NAME?</x:v>
      </x:c>
      <x:c r="T90" t="e">
        <x:f>IF($A90="","",[1]!thsiFinD("ths_adjustment_nv_fund",T$3,$A90))</x:f>
        <x:v>#NAME?</x:v>
      </x:c>
      <x:c r="U90" t="e">
        <x:f>IF($A90="","",[1]!thsiFinD("ths_adjustment_nv_fund",U$3,$A90))</x:f>
        <x:v>#NAME?</x:v>
      </x:c>
      <x:c r="V90" t="e">
        <x:f>IF($A90="","",[1]!thsiFinD("ths_adjustment_nv_fund",V$3,$A90))</x:f>
        <x:v>#NAME?</x:v>
      </x:c>
      <x:c r="W90" t="e">
        <x:f>IF($A90="","",[1]!thsiFinD("ths_adjustment_nv_fund",W$3,$A90))</x:f>
        <x:v>#NAME?</x:v>
      </x:c>
      <x:c r="X90" t="e">
        <x:f>IF($A90="","",[1]!thsiFinD("ths_adjustment_nv_fund",X$3,$A90))</x:f>
        <x:v>#NAME?</x:v>
      </x:c>
      <x:c r="Y90" t="e">
        <x:f>IF($A90="","",[1]!thsiFinD("ths_adjustment_nv_fund",Y$3,$A90))</x:f>
        <x:v>#NAME?</x:v>
      </x:c>
    </x:row>
    <x:row r="91">
      <x:c r="B91" t="e">
        <x:f>IF($A91="","",[1]!thsiFinD("ths_adjustment_nv_fund",B$3,$A91))</x:f>
        <x:v>#NAME?</x:v>
      </x:c>
      <x:c r="C91" t="e">
        <x:f>IF($A91="","",[1]!thsiFinD("ths_adjustment_nv_fund",C$3,$A91))</x:f>
        <x:v>#NAME?</x:v>
      </x:c>
      <x:c r="D91" t="e">
        <x:f>IF($A91="","",[1]!thsiFinD("ths_adjustment_nv_fund",D$3,$A91))</x:f>
        <x:v>#NAME?</x:v>
      </x:c>
      <x:c r="E91" t="e">
        <x:f>IF($A91="","",[1]!thsiFinD("ths_adjustment_nv_fund",E$3,$A91))</x:f>
        <x:v>#NAME?</x:v>
      </x:c>
      <x:c r="F91" t="e">
        <x:f>IF($A91="","",[1]!thsiFinD("ths_adjustment_nv_fund",F$3,$A91))</x:f>
        <x:v>#NAME?</x:v>
      </x:c>
      <x:c r="G91" t="e">
        <x:f>IF($A91="","",[1]!thsiFinD("ths_adjustment_nv_fund",G$3,$A91))</x:f>
        <x:v>#NAME?</x:v>
      </x:c>
      <x:c r="H91" t="e">
        <x:f>IF($A91="","",[1]!thsiFinD("ths_adjustment_nv_fund",H$3,$A91))</x:f>
        <x:v>#NAME?</x:v>
      </x:c>
      <x:c r="I91" t="e">
        <x:f>IF($A91="","",[1]!thsiFinD("ths_adjustment_nv_fund",I$3,$A91))</x:f>
        <x:v>#NAME?</x:v>
      </x:c>
      <x:c r="J91" t="e">
        <x:f>IF($A91="","",[1]!thsiFinD("ths_adjustment_nv_fund",J$3,$A91))</x:f>
        <x:v>#NAME?</x:v>
      </x:c>
      <x:c r="K91" t="e">
        <x:f>IF($A91="","",[1]!thsiFinD("ths_adjustment_nv_fund",K$3,$A91))</x:f>
        <x:v>#NAME?</x:v>
      </x:c>
      <x:c r="L91" t="e">
        <x:f>IF($A91="","",[1]!thsiFinD("ths_adjustment_nv_fund",L$3,$A91))</x:f>
        <x:v>#NAME?</x:v>
      </x:c>
      <x:c r="M91" t="e">
        <x:f>IF($A91="","",[1]!thsiFinD("ths_adjustment_nv_fund",M$3,$A91))</x:f>
        <x:v>#NAME?</x:v>
      </x:c>
      <x:c r="N91" t="e">
        <x:f>IF($A91="","",[1]!thsiFinD("ths_adjustment_nv_fund",N$3,$A91))</x:f>
        <x:v>#NAME?</x:v>
      </x:c>
      <x:c r="O91" t="e">
        <x:f>IF($A91="","",[1]!thsiFinD("ths_adjustment_nv_fund",O$3,$A91))</x:f>
        <x:v>#NAME?</x:v>
      </x:c>
      <x:c r="P91" t="e">
        <x:f>IF($A91="","",[1]!thsiFinD("ths_adjustment_nv_fund",P$3,$A91))</x:f>
        <x:v>#NAME?</x:v>
      </x:c>
      <x:c r="Q91" t="e">
        <x:f>IF($A91="","",[1]!thsiFinD("ths_adjustment_nv_fund",Q$3,$A91))</x:f>
        <x:v>#NAME?</x:v>
      </x:c>
      <x:c r="R91" t="e">
        <x:f>IF($A91="","",[1]!thsiFinD("ths_adjustment_nv_fund",R$3,$A91))</x:f>
        <x:v>#NAME?</x:v>
      </x:c>
      <x:c r="S91" t="e">
        <x:f>IF($A91="","",[1]!thsiFinD("ths_adjustment_nv_fund",S$3,$A91))</x:f>
        <x:v>#NAME?</x:v>
      </x:c>
      <x:c r="T91" t="e">
        <x:f>IF($A91="","",[1]!thsiFinD("ths_adjustment_nv_fund",T$3,$A91))</x:f>
        <x:v>#NAME?</x:v>
      </x:c>
      <x:c r="U91" t="e">
        <x:f>IF($A91="","",[1]!thsiFinD("ths_adjustment_nv_fund",U$3,$A91))</x:f>
        <x:v>#NAME?</x:v>
      </x:c>
      <x:c r="V91" t="e">
        <x:f>IF($A91="","",[1]!thsiFinD("ths_adjustment_nv_fund",V$3,$A91))</x:f>
        <x:v>#NAME?</x:v>
      </x:c>
      <x:c r="W91" t="e">
        <x:f>IF($A91="","",[1]!thsiFinD("ths_adjustment_nv_fund",W$3,$A91))</x:f>
        <x:v>#NAME?</x:v>
      </x:c>
      <x:c r="X91" t="e">
        <x:f>IF($A91="","",[1]!thsiFinD("ths_adjustment_nv_fund",X$3,$A91))</x:f>
        <x:v>#NAME?</x:v>
      </x:c>
      <x:c r="Y91" t="e">
        <x:f>IF($A91="","",[1]!thsiFinD("ths_adjustment_nv_fund",Y$3,$A91))</x:f>
        <x:v>#NAME?</x:v>
      </x:c>
    </x:row>
    <x:row r="92">
      <x:c r="B92" t="e">
        <x:f>IF($A92="","",[1]!thsiFinD("ths_adjustment_nv_fund",B$3,$A92))</x:f>
        <x:v>#NAME?</x:v>
      </x:c>
      <x:c r="C92" t="e">
        <x:f>IF($A92="","",[1]!thsiFinD("ths_adjustment_nv_fund",C$3,$A92))</x:f>
        <x:v>#NAME?</x:v>
      </x:c>
      <x:c r="D92" t="e">
        <x:f>IF($A92="","",[1]!thsiFinD("ths_adjustment_nv_fund",D$3,$A92))</x:f>
        <x:v>#NAME?</x:v>
      </x:c>
      <x:c r="E92" t="e">
        <x:f>IF($A92="","",[1]!thsiFinD("ths_adjustment_nv_fund",E$3,$A92))</x:f>
        <x:v>#NAME?</x:v>
      </x:c>
      <x:c r="F92" t="e">
        <x:f>IF($A92="","",[1]!thsiFinD("ths_adjustment_nv_fund",F$3,$A92))</x:f>
        <x:v>#NAME?</x:v>
      </x:c>
      <x:c r="G92" t="e">
        <x:f>IF($A92="","",[1]!thsiFinD("ths_adjustment_nv_fund",G$3,$A92))</x:f>
        <x:v>#NAME?</x:v>
      </x:c>
      <x:c r="H92" t="e">
        <x:f>IF($A92="","",[1]!thsiFinD("ths_adjustment_nv_fund",H$3,$A92))</x:f>
        <x:v>#NAME?</x:v>
      </x:c>
      <x:c r="I92" t="e">
        <x:f>IF($A92="","",[1]!thsiFinD("ths_adjustment_nv_fund",I$3,$A92))</x:f>
        <x:v>#NAME?</x:v>
      </x:c>
      <x:c r="J92" t="e">
        <x:f>IF($A92="","",[1]!thsiFinD("ths_adjustment_nv_fund",J$3,$A92))</x:f>
        <x:v>#NAME?</x:v>
      </x:c>
      <x:c r="K92" t="e">
        <x:f>IF($A92="","",[1]!thsiFinD("ths_adjustment_nv_fund",K$3,$A92))</x:f>
        <x:v>#NAME?</x:v>
      </x:c>
      <x:c r="L92" t="e">
        <x:f>IF($A92="","",[1]!thsiFinD("ths_adjustment_nv_fund",L$3,$A92))</x:f>
        <x:v>#NAME?</x:v>
      </x:c>
      <x:c r="M92" t="e">
        <x:f>IF($A92="","",[1]!thsiFinD("ths_adjustment_nv_fund",M$3,$A92))</x:f>
        <x:v>#NAME?</x:v>
      </x:c>
      <x:c r="N92" t="e">
        <x:f>IF($A92="","",[1]!thsiFinD("ths_adjustment_nv_fund",N$3,$A92))</x:f>
        <x:v>#NAME?</x:v>
      </x:c>
      <x:c r="O92" t="e">
        <x:f>IF($A92="","",[1]!thsiFinD("ths_adjustment_nv_fund",O$3,$A92))</x:f>
        <x:v>#NAME?</x:v>
      </x:c>
      <x:c r="P92" t="e">
        <x:f>IF($A92="","",[1]!thsiFinD("ths_adjustment_nv_fund",P$3,$A92))</x:f>
        <x:v>#NAME?</x:v>
      </x:c>
      <x:c r="Q92" t="e">
        <x:f>IF($A92="","",[1]!thsiFinD("ths_adjustment_nv_fund",Q$3,$A92))</x:f>
        <x:v>#NAME?</x:v>
      </x:c>
      <x:c r="R92" t="e">
        <x:f>IF($A92="","",[1]!thsiFinD("ths_adjustment_nv_fund",R$3,$A92))</x:f>
        <x:v>#NAME?</x:v>
      </x:c>
      <x:c r="S92" t="e">
        <x:f>IF($A92="","",[1]!thsiFinD("ths_adjustment_nv_fund",S$3,$A92))</x:f>
        <x:v>#NAME?</x:v>
      </x:c>
      <x:c r="T92" t="e">
        <x:f>IF($A92="","",[1]!thsiFinD("ths_adjustment_nv_fund",T$3,$A92))</x:f>
        <x:v>#NAME?</x:v>
      </x:c>
      <x:c r="U92" t="e">
        <x:f>IF($A92="","",[1]!thsiFinD("ths_adjustment_nv_fund",U$3,$A92))</x:f>
        <x:v>#NAME?</x:v>
      </x:c>
      <x:c r="V92" t="e">
        <x:f>IF($A92="","",[1]!thsiFinD("ths_adjustment_nv_fund",V$3,$A92))</x:f>
        <x:v>#NAME?</x:v>
      </x:c>
      <x:c r="W92" t="e">
        <x:f>IF($A92="","",[1]!thsiFinD("ths_adjustment_nv_fund",W$3,$A92))</x:f>
        <x:v>#NAME?</x:v>
      </x:c>
      <x:c r="X92" t="e">
        <x:f>IF($A92="","",[1]!thsiFinD("ths_adjustment_nv_fund",X$3,$A92))</x:f>
        <x:v>#NAME?</x:v>
      </x:c>
      <x:c r="Y92" t="e">
        <x:f>IF($A92="","",[1]!thsiFinD("ths_adjustment_nv_fund",Y$3,$A92))</x:f>
        <x:v>#NAME?</x:v>
      </x:c>
    </x:row>
    <x:row r="93">
      <x:c r="B93" t="e">
        <x:f>IF($A93="","",[1]!thsiFinD("ths_adjustment_nv_fund",B$3,$A93))</x:f>
        <x:v>#NAME?</x:v>
      </x:c>
      <x:c r="C93" t="e">
        <x:f>IF($A93="","",[1]!thsiFinD("ths_adjustment_nv_fund",C$3,$A93))</x:f>
        <x:v>#NAME?</x:v>
      </x:c>
      <x:c r="D93" t="e">
        <x:f>IF($A93="","",[1]!thsiFinD("ths_adjustment_nv_fund",D$3,$A93))</x:f>
        <x:v>#NAME?</x:v>
      </x:c>
      <x:c r="E93" t="e">
        <x:f>IF($A93="","",[1]!thsiFinD("ths_adjustment_nv_fund",E$3,$A93))</x:f>
        <x:v>#NAME?</x:v>
      </x:c>
      <x:c r="F93" t="e">
        <x:f>IF($A93="","",[1]!thsiFinD("ths_adjustment_nv_fund",F$3,$A93))</x:f>
        <x:v>#NAME?</x:v>
      </x:c>
      <x:c r="G93" t="e">
        <x:f>IF($A93="","",[1]!thsiFinD("ths_adjustment_nv_fund",G$3,$A93))</x:f>
        <x:v>#NAME?</x:v>
      </x:c>
      <x:c r="H93" t="e">
        <x:f>IF($A93="","",[1]!thsiFinD("ths_adjustment_nv_fund",H$3,$A93))</x:f>
        <x:v>#NAME?</x:v>
      </x:c>
      <x:c r="I93" t="e">
        <x:f>IF($A93="","",[1]!thsiFinD("ths_adjustment_nv_fund",I$3,$A93))</x:f>
        <x:v>#NAME?</x:v>
      </x:c>
      <x:c r="J93" t="e">
        <x:f>IF($A93="","",[1]!thsiFinD("ths_adjustment_nv_fund",J$3,$A93))</x:f>
        <x:v>#NAME?</x:v>
      </x:c>
      <x:c r="K93" t="e">
        <x:f>IF($A93="","",[1]!thsiFinD("ths_adjustment_nv_fund",K$3,$A93))</x:f>
        <x:v>#NAME?</x:v>
      </x:c>
      <x:c r="L93" t="e">
        <x:f>IF($A93="","",[1]!thsiFinD("ths_adjustment_nv_fund",L$3,$A93))</x:f>
        <x:v>#NAME?</x:v>
      </x:c>
      <x:c r="M93" t="e">
        <x:f>IF($A93="","",[1]!thsiFinD("ths_adjustment_nv_fund",M$3,$A93))</x:f>
        <x:v>#NAME?</x:v>
      </x:c>
      <x:c r="N93" t="e">
        <x:f>IF($A93="","",[1]!thsiFinD("ths_adjustment_nv_fund",N$3,$A93))</x:f>
        <x:v>#NAME?</x:v>
      </x:c>
      <x:c r="O93" t="e">
        <x:f>IF($A93="","",[1]!thsiFinD("ths_adjustment_nv_fund",O$3,$A93))</x:f>
        <x:v>#NAME?</x:v>
      </x:c>
      <x:c r="P93" t="e">
        <x:f>IF($A93="","",[1]!thsiFinD("ths_adjustment_nv_fund",P$3,$A93))</x:f>
        <x:v>#NAME?</x:v>
      </x:c>
      <x:c r="Q93" t="e">
        <x:f>IF($A93="","",[1]!thsiFinD("ths_adjustment_nv_fund",Q$3,$A93))</x:f>
        <x:v>#NAME?</x:v>
      </x:c>
      <x:c r="R93" t="e">
        <x:f>IF($A93="","",[1]!thsiFinD("ths_adjustment_nv_fund",R$3,$A93))</x:f>
        <x:v>#NAME?</x:v>
      </x:c>
      <x:c r="S93" t="e">
        <x:f>IF($A93="","",[1]!thsiFinD("ths_adjustment_nv_fund",S$3,$A93))</x:f>
        <x:v>#NAME?</x:v>
      </x:c>
      <x:c r="T93" t="e">
        <x:f>IF($A93="","",[1]!thsiFinD("ths_adjustment_nv_fund",T$3,$A93))</x:f>
        <x:v>#NAME?</x:v>
      </x:c>
      <x:c r="U93" t="e">
        <x:f>IF($A93="","",[1]!thsiFinD("ths_adjustment_nv_fund",U$3,$A93))</x:f>
        <x:v>#NAME?</x:v>
      </x:c>
      <x:c r="V93" t="e">
        <x:f>IF($A93="","",[1]!thsiFinD("ths_adjustment_nv_fund",V$3,$A93))</x:f>
        <x:v>#NAME?</x:v>
      </x:c>
      <x:c r="W93" t="e">
        <x:f>IF($A93="","",[1]!thsiFinD("ths_adjustment_nv_fund",W$3,$A93))</x:f>
        <x:v>#NAME?</x:v>
      </x:c>
      <x:c r="X93" t="e">
        <x:f>IF($A93="","",[1]!thsiFinD("ths_adjustment_nv_fund",X$3,$A93))</x:f>
        <x:v>#NAME?</x:v>
      </x:c>
      <x:c r="Y93" t="e">
        <x:f>IF($A93="","",[1]!thsiFinD("ths_adjustment_nv_fund",Y$3,$A93))</x:f>
        <x:v>#NAME?</x:v>
      </x:c>
    </x:row>
    <x:row r="94">
      <x:c r="B94" t="e">
        <x:f>IF($A94="","",[1]!thsiFinD("ths_adjustment_nv_fund",B$3,$A94))</x:f>
        <x:v>#NAME?</x:v>
      </x:c>
      <x:c r="C94" t="e">
        <x:f>IF($A94="","",[1]!thsiFinD("ths_adjustment_nv_fund",C$3,$A94))</x:f>
        <x:v>#NAME?</x:v>
      </x:c>
      <x:c r="D94" t="e">
        <x:f>IF($A94="","",[1]!thsiFinD("ths_adjustment_nv_fund",D$3,$A94))</x:f>
        <x:v>#NAME?</x:v>
      </x:c>
      <x:c r="E94" t="e">
        <x:f>IF($A94="","",[1]!thsiFinD("ths_adjustment_nv_fund",E$3,$A94))</x:f>
        <x:v>#NAME?</x:v>
      </x:c>
      <x:c r="F94" t="e">
        <x:f>IF($A94="","",[1]!thsiFinD("ths_adjustment_nv_fund",F$3,$A94))</x:f>
        <x:v>#NAME?</x:v>
      </x:c>
      <x:c r="G94" t="e">
        <x:f>IF($A94="","",[1]!thsiFinD("ths_adjustment_nv_fund",G$3,$A94))</x:f>
        <x:v>#NAME?</x:v>
      </x:c>
      <x:c r="H94" t="e">
        <x:f>IF($A94="","",[1]!thsiFinD("ths_adjustment_nv_fund",H$3,$A94))</x:f>
        <x:v>#NAME?</x:v>
      </x:c>
      <x:c r="I94" t="e">
        <x:f>IF($A94="","",[1]!thsiFinD("ths_adjustment_nv_fund",I$3,$A94))</x:f>
        <x:v>#NAME?</x:v>
      </x:c>
      <x:c r="J94" t="e">
        <x:f>IF($A94="","",[1]!thsiFinD("ths_adjustment_nv_fund",J$3,$A94))</x:f>
        <x:v>#NAME?</x:v>
      </x:c>
      <x:c r="K94" t="e">
        <x:f>IF($A94="","",[1]!thsiFinD("ths_adjustment_nv_fund",K$3,$A94))</x:f>
        <x:v>#NAME?</x:v>
      </x:c>
      <x:c r="L94" t="e">
        <x:f>IF($A94="","",[1]!thsiFinD("ths_adjustment_nv_fund",L$3,$A94))</x:f>
        <x:v>#NAME?</x:v>
      </x:c>
      <x:c r="M94" t="e">
        <x:f>IF($A94="","",[1]!thsiFinD("ths_adjustment_nv_fund",M$3,$A94))</x:f>
        <x:v>#NAME?</x:v>
      </x:c>
      <x:c r="N94" t="e">
        <x:f>IF($A94="","",[1]!thsiFinD("ths_adjustment_nv_fund",N$3,$A94))</x:f>
        <x:v>#NAME?</x:v>
      </x:c>
      <x:c r="O94" t="e">
        <x:f>IF($A94="","",[1]!thsiFinD("ths_adjustment_nv_fund",O$3,$A94))</x:f>
        <x:v>#NAME?</x:v>
      </x:c>
      <x:c r="P94" t="e">
        <x:f>IF($A94="","",[1]!thsiFinD("ths_adjustment_nv_fund",P$3,$A94))</x:f>
        <x:v>#NAME?</x:v>
      </x:c>
      <x:c r="Q94" t="e">
        <x:f>IF($A94="","",[1]!thsiFinD("ths_adjustment_nv_fund",Q$3,$A94))</x:f>
        <x:v>#NAME?</x:v>
      </x:c>
      <x:c r="R94" t="e">
        <x:f>IF($A94="","",[1]!thsiFinD("ths_adjustment_nv_fund",R$3,$A94))</x:f>
        <x:v>#NAME?</x:v>
      </x:c>
      <x:c r="S94" t="e">
        <x:f>IF($A94="","",[1]!thsiFinD("ths_adjustment_nv_fund",S$3,$A94))</x:f>
        <x:v>#NAME?</x:v>
      </x:c>
      <x:c r="T94" t="e">
        <x:f>IF($A94="","",[1]!thsiFinD("ths_adjustment_nv_fund",T$3,$A94))</x:f>
        <x:v>#NAME?</x:v>
      </x:c>
      <x:c r="U94" t="e">
        <x:f>IF($A94="","",[1]!thsiFinD("ths_adjustment_nv_fund",U$3,$A94))</x:f>
        <x:v>#NAME?</x:v>
      </x:c>
      <x:c r="V94" t="e">
        <x:f>IF($A94="","",[1]!thsiFinD("ths_adjustment_nv_fund",V$3,$A94))</x:f>
        <x:v>#NAME?</x:v>
      </x:c>
      <x:c r="W94" t="e">
        <x:f>IF($A94="","",[1]!thsiFinD("ths_adjustment_nv_fund",W$3,$A94))</x:f>
        <x:v>#NAME?</x:v>
      </x:c>
      <x:c r="X94" t="e">
        <x:f>IF($A94="","",[1]!thsiFinD("ths_adjustment_nv_fund",X$3,$A94))</x:f>
        <x:v>#NAME?</x:v>
      </x:c>
      <x:c r="Y94" t="e">
        <x:f>IF($A94="","",[1]!thsiFinD("ths_adjustment_nv_fund",Y$3,$A94))</x:f>
        <x:v>#NAME?</x:v>
      </x:c>
    </x:row>
    <x:row r="95">
      <x:c r="B95" t="e">
        <x:f>IF($A95="","",[1]!thsiFinD("ths_adjustment_nv_fund",B$3,$A95))</x:f>
        <x:v>#NAME?</x:v>
      </x:c>
      <x:c r="C95" t="e">
        <x:f>IF($A95="","",[1]!thsiFinD("ths_adjustment_nv_fund",C$3,$A95))</x:f>
        <x:v>#NAME?</x:v>
      </x:c>
      <x:c r="D95" t="e">
        <x:f>IF($A95="","",[1]!thsiFinD("ths_adjustment_nv_fund",D$3,$A95))</x:f>
        <x:v>#NAME?</x:v>
      </x:c>
      <x:c r="E95" t="e">
        <x:f>IF($A95="","",[1]!thsiFinD("ths_adjustment_nv_fund",E$3,$A95))</x:f>
        <x:v>#NAME?</x:v>
      </x:c>
      <x:c r="F95" t="e">
        <x:f>IF($A95="","",[1]!thsiFinD("ths_adjustment_nv_fund",F$3,$A95))</x:f>
        <x:v>#NAME?</x:v>
      </x:c>
      <x:c r="G95" t="e">
        <x:f>IF($A95="","",[1]!thsiFinD("ths_adjustment_nv_fund",G$3,$A95))</x:f>
        <x:v>#NAME?</x:v>
      </x:c>
      <x:c r="H95" t="e">
        <x:f>IF($A95="","",[1]!thsiFinD("ths_adjustment_nv_fund",H$3,$A95))</x:f>
        <x:v>#NAME?</x:v>
      </x:c>
      <x:c r="I95" t="e">
        <x:f>IF($A95="","",[1]!thsiFinD("ths_adjustment_nv_fund",I$3,$A95))</x:f>
        <x:v>#NAME?</x:v>
      </x:c>
      <x:c r="J95" t="e">
        <x:f>IF($A95="","",[1]!thsiFinD("ths_adjustment_nv_fund",J$3,$A95))</x:f>
        <x:v>#NAME?</x:v>
      </x:c>
      <x:c r="K95" t="e">
        <x:f>IF($A95="","",[1]!thsiFinD("ths_adjustment_nv_fund",K$3,$A95))</x:f>
        <x:v>#NAME?</x:v>
      </x:c>
      <x:c r="L95" t="e">
        <x:f>IF($A95="","",[1]!thsiFinD("ths_adjustment_nv_fund",L$3,$A95))</x:f>
        <x:v>#NAME?</x:v>
      </x:c>
      <x:c r="M95" t="e">
        <x:f>IF($A95="","",[1]!thsiFinD("ths_adjustment_nv_fund",M$3,$A95))</x:f>
        <x:v>#NAME?</x:v>
      </x:c>
      <x:c r="N95" t="e">
        <x:f>IF($A95="","",[1]!thsiFinD("ths_adjustment_nv_fund",N$3,$A95))</x:f>
        <x:v>#NAME?</x:v>
      </x:c>
      <x:c r="O95" t="e">
        <x:f>IF($A95="","",[1]!thsiFinD("ths_adjustment_nv_fund",O$3,$A95))</x:f>
        <x:v>#NAME?</x:v>
      </x:c>
      <x:c r="P95" t="e">
        <x:f>IF($A95="","",[1]!thsiFinD("ths_adjustment_nv_fund",P$3,$A95))</x:f>
        <x:v>#NAME?</x:v>
      </x:c>
      <x:c r="Q95" t="e">
        <x:f>IF($A95="","",[1]!thsiFinD("ths_adjustment_nv_fund",Q$3,$A95))</x:f>
        <x:v>#NAME?</x:v>
      </x:c>
      <x:c r="R95" t="e">
        <x:f>IF($A95="","",[1]!thsiFinD("ths_adjustment_nv_fund",R$3,$A95))</x:f>
        <x:v>#NAME?</x:v>
      </x:c>
      <x:c r="S95" t="e">
        <x:f>IF($A95="","",[1]!thsiFinD("ths_adjustment_nv_fund",S$3,$A95))</x:f>
        <x:v>#NAME?</x:v>
      </x:c>
      <x:c r="T95" t="e">
        <x:f>IF($A95="","",[1]!thsiFinD("ths_adjustment_nv_fund",T$3,$A95))</x:f>
        <x:v>#NAME?</x:v>
      </x:c>
      <x:c r="U95" t="e">
        <x:f>IF($A95="","",[1]!thsiFinD("ths_adjustment_nv_fund",U$3,$A95))</x:f>
        <x:v>#NAME?</x:v>
      </x:c>
      <x:c r="V95" t="e">
        <x:f>IF($A95="","",[1]!thsiFinD("ths_adjustment_nv_fund",V$3,$A95))</x:f>
        <x:v>#NAME?</x:v>
      </x:c>
      <x:c r="W95" t="e">
        <x:f>IF($A95="","",[1]!thsiFinD("ths_adjustment_nv_fund",W$3,$A95))</x:f>
        <x:v>#NAME?</x:v>
      </x:c>
      <x:c r="X95" t="e">
        <x:f>IF($A95="","",[1]!thsiFinD("ths_adjustment_nv_fund",X$3,$A95))</x:f>
        <x:v>#NAME?</x:v>
      </x:c>
      <x:c r="Y95" t="e">
        <x:f>IF($A95="","",[1]!thsiFinD("ths_adjustment_nv_fund",Y$3,$A95))</x:f>
        <x:v>#NAME?</x:v>
      </x:c>
    </x:row>
    <x:row r="96">
      <x:c r="B96" t="e">
        <x:f>IF($A96="","",[1]!thsiFinD("ths_adjustment_nv_fund",B$3,$A96))</x:f>
        <x:v>#NAME?</x:v>
      </x:c>
      <x:c r="C96" t="e">
        <x:f>IF($A96="","",[1]!thsiFinD("ths_adjustment_nv_fund",C$3,$A96))</x:f>
        <x:v>#NAME?</x:v>
      </x:c>
      <x:c r="D96" t="e">
        <x:f>IF($A96="","",[1]!thsiFinD("ths_adjustment_nv_fund",D$3,$A96))</x:f>
        <x:v>#NAME?</x:v>
      </x:c>
      <x:c r="E96" t="e">
        <x:f>IF($A96="","",[1]!thsiFinD("ths_adjustment_nv_fund",E$3,$A96))</x:f>
        <x:v>#NAME?</x:v>
      </x:c>
      <x:c r="F96" t="e">
        <x:f>IF($A96="","",[1]!thsiFinD("ths_adjustment_nv_fund",F$3,$A96))</x:f>
        <x:v>#NAME?</x:v>
      </x:c>
      <x:c r="G96" t="e">
        <x:f>IF($A96="","",[1]!thsiFinD("ths_adjustment_nv_fund",G$3,$A96))</x:f>
        <x:v>#NAME?</x:v>
      </x:c>
      <x:c r="H96" t="e">
        <x:f>IF($A96="","",[1]!thsiFinD("ths_adjustment_nv_fund",H$3,$A96))</x:f>
        <x:v>#NAME?</x:v>
      </x:c>
      <x:c r="I96" t="e">
        <x:f>IF($A96="","",[1]!thsiFinD("ths_adjustment_nv_fund",I$3,$A96))</x:f>
        <x:v>#NAME?</x:v>
      </x:c>
      <x:c r="J96" t="e">
        <x:f>IF($A96="","",[1]!thsiFinD("ths_adjustment_nv_fund",J$3,$A96))</x:f>
        <x:v>#NAME?</x:v>
      </x:c>
      <x:c r="K96" t="e">
        <x:f>IF($A96="","",[1]!thsiFinD("ths_adjustment_nv_fund",K$3,$A96))</x:f>
        <x:v>#NAME?</x:v>
      </x:c>
      <x:c r="L96" t="e">
        <x:f>IF($A96="","",[1]!thsiFinD("ths_adjustment_nv_fund",L$3,$A96))</x:f>
        <x:v>#NAME?</x:v>
      </x:c>
      <x:c r="M96" t="e">
        <x:f>IF($A96="","",[1]!thsiFinD("ths_adjustment_nv_fund",M$3,$A96))</x:f>
        <x:v>#NAME?</x:v>
      </x:c>
      <x:c r="N96" t="e">
        <x:f>IF($A96="","",[1]!thsiFinD("ths_adjustment_nv_fund",N$3,$A96))</x:f>
        <x:v>#NAME?</x:v>
      </x:c>
      <x:c r="O96" t="e">
        <x:f>IF($A96="","",[1]!thsiFinD("ths_adjustment_nv_fund",O$3,$A96))</x:f>
        <x:v>#NAME?</x:v>
      </x:c>
      <x:c r="P96" t="e">
        <x:f>IF($A96="","",[1]!thsiFinD("ths_adjustment_nv_fund",P$3,$A96))</x:f>
        <x:v>#NAME?</x:v>
      </x:c>
      <x:c r="Q96" t="e">
        <x:f>IF($A96="","",[1]!thsiFinD("ths_adjustment_nv_fund",Q$3,$A96))</x:f>
        <x:v>#NAME?</x:v>
      </x:c>
      <x:c r="R96" t="e">
        <x:f>IF($A96="","",[1]!thsiFinD("ths_adjustment_nv_fund",R$3,$A96))</x:f>
        <x:v>#NAME?</x:v>
      </x:c>
      <x:c r="S96" t="e">
        <x:f>IF($A96="","",[1]!thsiFinD("ths_adjustment_nv_fund",S$3,$A96))</x:f>
        <x:v>#NAME?</x:v>
      </x:c>
      <x:c r="T96" t="e">
        <x:f>IF($A96="","",[1]!thsiFinD("ths_adjustment_nv_fund",T$3,$A96))</x:f>
        <x:v>#NAME?</x:v>
      </x:c>
      <x:c r="U96" t="e">
        <x:f>IF($A96="","",[1]!thsiFinD("ths_adjustment_nv_fund",U$3,$A96))</x:f>
        <x:v>#NAME?</x:v>
      </x:c>
      <x:c r="V96" t="e">
        <x:f>IF($A96="","",[1]!thsiFinD("ths_adjustment_nv_fund",V$3,$A96))</x:f>
        <x:v>#NAME?</x:v>
      </x:c>
      <x:c r="W96" t="e">
        <x:f>IF($A96="","",[1]!thsiFinD("ths_adjustment_nv_fund",W$3,$A96))</x:f>
        <x:v>#NAME?</x:v>
      </x:c>
      <x:c r="X96" t="e">
        <x:f>IF($A96="","",[1]!thsiFinD("ths_adjustment_nv_fund",X$3,$A96))</x:f>
        <x:v>#NAME?</x:v>
      </x:c>
      <x:c r="Y96" t="e">
        <x:f>IF($A96="","",[1]!thsiFinD("ths_adjustment_nv_fund",Y$3,$A96))</x:f>
        <x:v>#NAME?</x:v>
      </x:c>
    </x:row>
    <x:row r="97">
      <x:c r="B97" t="e">
        <x:f>IF($A97="","",[1]!thsiFinD("ths_adjustment_nv_fund",B$3,$A97))</x:f>
        <x:v>#NAME?</x:v>
      </x:c>
      <x:c r="C97" t="e">
        <x:f>IF($A97="","",[1]!thsiFinD("ths_adjustment_nv_fund",C$3,$A97))</x:f>
        <x:v>#NAME?</x:v>
      </x:c>
      <x:c r="D97" t="e">
        <x:f>IF($A97="","",[1]!thsiFinD("ths_adjustment_nv_fund",D$3,$A97))</x:f>
        <x:v>#NAME?</x:v>
      </x:c>
      <x:c r="E97" t="e">
        <x:f>IF($A97="","",[1]!thsiFinD("ths_adjustment_nv_fund",E$3,$A97))</x:f>
        <x:v>#NAME?</x:v>
      </x:c>
      <x:c r="F97" t="e">
        <x:f>IF($A97="","",[1]!thsiFinD("ths_adjustment_nv_fund",F$3,$A97))</x:f>
        <x:v>#NAME?</x:v>
      </x:c>
      <x:c r="G97" t="e">
        <x:f>IF($A97="","",[1]!thsiFinD("ths_adjustment_nv_fund",G$3,$A97))</x:f>
        <x:v>#NAME?</x:v>
      </x:c>
      <x:c r="H97" t="e">
        <x:f>IF($A97="","",[1]!thsiFinD("ths_adjustment_nv_fund",H$3,$A97))</x:f>
        <x:v>#NAME?</x:v>
      </x:c>
      <x:c r="I97" t="e">
        <x:f>IF($A97="","",[1]!thsiFinD("ths_adjustment_nv_fund",I$3,$A97))</x:f>
        <x:v>#NAME?</x:v>
      </x:c>
      <x:c r="J97" t="e">
        <x:f>IF($A97="","",[1]!thsiFinD("ths_adjustment_nv_fund",J$3,$A97))</x:f>
        <x:v>#NAME?</x:v>
      </x:c>
      <x:c r="K97" t="e">
        <x:f>IF($A97="","",[1]!thsiFinD("ths_adjustment_nv_fund",K$3,$A97))</x:f>
        <x:v>#NAME?</x:v>
      </x:c>
      <x:c r="L97" t="e">
        <x:f>IF($A97="","",[1]!thsiFinD("ths_adjustment_nv_fund",L$3,$A97))</x:f>
        <x:v>#NAME?</x:v>
      </x:c>
      <x:c r="M97" t="e">
        <x:f>IF($A97="","",[1]!thsiFinD("ths_adjustment_nv_fund",M$3,$A97))</x:f>
        <x:v>#NAME?</x:v>
      </x:c>
      <x:c r="N97" t="e">
        <x:f>IF($A97="","",[1]!thsiFinD("ths_adjustment_nv_fund",N$3,$A97))</x:f>
        <x:v>#NAME?</x:v>
      </x:c>
      <x:c r="O97" t="e">
        <x:f>IF($A97="","",[1]!thsiFinD("ths_adjustment_nv_fund",O$3,$A97))</x:f>
        <x:v>#NAME?</x:v>
      </x:c>
      <x:c r="P97" t="e">
        <x:f>IF($A97="","",[1]!thsiFinD("ths_adjustment_nv_fund",P$3,$A97))</x:f>
        <x:v>#NAME?</x:v>
      </x:c>
      <x:c r="Q97" t="e">
        <x:f>IF($A97="","",[1]!thsiFinD("ths_adjustment_nv_fund",Q$3,$A97))</x:f>
        <x:v>#NAME?</x:v>
      </x:c>
      <x:c r="R97" t="e">
        <x:f>IF($A97="","",[1]!thsiFinD("ths_adjustment_nv_fund",R$3,$A97))</x:f>
        <x:v>#NAME?</x:v>
      </x:c>
      <x:c r="S97" t="e">
        <x:f>IF($A97="","",[1]!thsiFinD("ths_adjustment_nv_fund",S$3,$A97))</x:f>
        <x:v>#NAME?</x:v>
      </x:c>
      <x:c r="T97" t="e">
        <x:f>IF($A97="","",[1]!thsiFinD("ths_adjustment_nv_fund",T$3,$A97))</x:f>
        <x:v>#NAME?</x:v>
      </x:c>
      <x:c r="U97" t="e">
        <x:f>IF($A97="","",[1]!thsiFinD("ths_adjustment_nv_fund",U$3,$A97))</x:f>
        <x:v>#NAME?</x:v>
      </x:c>
      <x:c r="V97" t="e">
        <x:f>IF($A97="","",[1]!thsiFinD("ths_adjustment_nv_fund",V$3,$A97))</x:f>
        <x:v>#NAME?</x:v>
      </x:c>
      <x:c r="W97" t="e">
        <x:f>IF($A97="","",[1]!thsiFinD("ths_adjustment_nv_fund",W$3,$A97))</x:f>
        <x:v>#NAME?</x:v>
      </x:c>
      <x:c r="X97" t="e">
        <x:f>IF($A97="","",[1]!thsiFinD("ths_adjustment_nv_fund",X$3,$A97))</x:f>
        <x:v>#NAME?</x:v>
      </x:c>
      <x:c r="Y97" t="e">
        <x:f>IF($A97="","",[1]!thsiFinD("ths_adjustment_nv_fund",Y$3,$A97))</x:f>
        <x:v>#NAME?</x:v>
      </x:c>
    </x:row>
    <x:row r="98">
      <x:c r="B98" t="e">
        <x:f>IF($A98="","",[1]!thsiFinD("ths_adjustment_nv_fund",B$3,$A98))</x:f>
        <x:v>#NAME?</x:v>
      </x:c>
      <x:c r="C98" t="e">
        <x:f>IF($A98="","",[1]!thsiFinD("ths_adjustment_nv_fund",C$3,$A98))</x:f>
        <x:v>#NAME?</x:v>
      </x:c>
      <x:c r="D98" t="e">
        <x:f>IF($A98="","",[1]!thsiFinD("ths_adjustment_nv_fund",D$3,$A98))</x:f>
        <x:v>#NAME?</x:v>
      </x:c>
      <x:c r="E98" t="e">
        <x:f>IF($A98="","",[1]!thsiFinD("ths_adjustment_nv_fund",E$3,$A98))</x:f>
        <x:v>#NAME?</x:v>
      </x:c>
      <x:c r="F98" t="e">
        <x:f>IF($A98="","",[1]!thsiFinD("ths_adjustment_nv_fund",F$3,$A98))</x:f>
        <x:v>#NAME?</x:v>
      </x:c>
      <x:c r="G98" t="e">
        <x:f>IF($A98="","",[1]!thsiFinD("ths_adjustment_nv_fund",G$3,$A98))</x:f>
        <x:v>#NAME?</x:v>
      </x:c>
      <x:c r="H98" t="e">
        <x:f>IF($A98="","",[1]!thsiFinD("ths_adjustment_nv_fund",H$3,$A98))</x:f>
        <x:v>#NAME?</x:v>
      </x:c>
      <x:c r="I98" t="e">
        <x:f>IF($A98="","",[1]!thsiFinD("ths_adjustment_nv_fund",I$3,$A98))</x:f>
        <x:v>#NAME?</x:v>
      </x:c>
      <x:c r="J98" t="e">
        <x:f>IF($A98="","",[1]!thsiFinD("ths_adjustment_nv_fund",J$3,$A98))</x:f>
        <x:v>#NAME?</x:v>
      </x:c>
      <x:c r="K98" t="e">
        <x:f>IF($A98="","",[1]!thsiFinD("ths_adjustment_nv_fund",K$3,$A98))</x:f>
        <x:v>#NAME?</x:v>
      </x:c>
      <x:c r="L98" t="e">
        <x:f>IF($A98="","",[1]!thsiFinD("ths_adjustment_nv_fund",L$3,$A98))</x:f>
        <x:v>#NAME?</x:v>
      </x:c>
      <x:c r="M98" t="e">
        <x:f>IF($A98="","",[1]!thsiFinD("ths_adjustment_nv_fund",M$3,$A98))</x:f>
        <x:v>#NAME?</x:v>
      </x:c>
      <x:c r="N98" t="e">
        <x:f>IF($A98="","",[1]!thsiFinD("ths_adjustment_nv_fund",N$3,$A98))</x:f>
        <x:v>#NAME?</x:v>
      </x:c>
      <x:c r="O98" t="e">
        <x:f>IF($A98="","",[1]!thsiFinD("ths_adjustment_nv_fund",O$3,$A98))</x:f>
        <x:v>#NAME?</x:v>
      </x:c>
      <x:c r="P98" t="e">
        <x:f>IF($A98="","",[1]!thsiFinD("ths_adjustment_nv_fund",P$3,$A98))</x:f>
        <x:v>#NAME?</x:v>
      </x:c>
      <x:c r="Q98" t="e">
        <x:f>IF($A98="","",[1]!thsiFinD("ths_adjustment_nv_fund",Q$3,$A98))</x:f>
        <x:v>#NAME?</x:v>
      </x:c>
      <x:c r="R98" t="e">
        <x:f>IF($A98="","",[1]!thsiFinD("ths_adjustment_nv_fund",R$3,$A98))</x:f>
        <x:v>#NAME?</x:v>
      </x:c>
      <x:c r="S98" t="e">
        <x:f>IF($A98="","",[1]!thsiFinD("ths_adjustment_nv_fund",S$3,$A98))</x:f>
        <x:v>#NAME?</x:v>
      </x:c>
      <x:c r="T98" t="e">
        <x:f>IF($A98="","",[1]!thsiFinD("ths_adjustment_nv_fund",T$3,$A98))</x:f>
        <x:v>#NAME?</x:v>
      </x:c>
      <x:c r="U98" t="e">
        <x:f>IF($A98="","",[1]!thsiFinD("ths_adjustment_nv_fund",U$3,$A98))</x:f>
        <x:v>#NAME?</x:v>
      </x:c>
      <x:c r="V98" t="e">
        <x:f>IF($A98="","",[1]!thsiFinD("ths_adjustment_nv_fund",V$3,$A98))</x:f>
        <x:v>#NAME?</x:v>
      </x:c>
      <x:c r="W98" t="e">
        <x:f>IF($A98="","",[1]!thsiFinD("ths_adjustment_nv_fund",W$3,$A98))</x:f>
        <x:v>#NAME?</x:v>
      </x:c>
      <x:c r="X98" t="e">
        <x:f>IF($A98="","",[1]!thsiFinD("ths_adjustment_nv_fund",X$3,$A98))</x:f>
        <x:v>#NAME?</x:v>
      </x:c>
      <x:c r="Y98" t="e">
        <x:f>IF($A98="","",[1]!thsiFinD("ths_adjustment_nv_fund",Y$3,$A98))</x:f>
        <x:v>#NAME?</x:v>
      </x:c>
    </x:row>
    <x:row r="99">
      <x:c r="B99" t="e">
        <x:f>IF($A99="","",[1]!thsiFinD("ths_adjustment_nv_fund",B$3,$A99))</x:f>
        <x:v>#NAME?</x:v>
      </x:c>
      <x:c r="C99" t="e">
        <x:f>IF($A99="","",[1]!thsiFinD("ths_adjustment_nv_fund",C$3,$A99))</x:f>
        <x:v>#NAME?</x:v>
      </x:c>
      <x:c r="D99" t="e">
        <x:f>IF($A99="","",[1]!thsiFinD("ths_adjustment_nv_fund",D$3,$A99))</x:f>
        <x:v>#NAME?</x:v>
      </x:c>
      <x:c r="E99" t="e">
        <x:f>IF($A99="","",[1]!thsiFinD("ths_adjustment_nv_fund",E$3,$A99))</x:f>
        <x:v>#NAME?</x:v>
      </x:c>
      <x:c r="F99" t="e">
        <x:f>IF($A99="","",[1]!thsiFinD("ths_adjustment_nv_fund",F$3,$A99))</x:f>
        <x:v>#NAME?</x:v>
      </x:c>
      <x:c r="G99" t="e">
        <x:f>IF($A99="","",[1]!thsiFinD("ths_adjustment_nv_fund",G$3,$A99))</x:f>
        <x:v>#NAME?</x:v>
      </x:c>
      <x:c r="H99" t="e">
        <x:f>IF($A99="","",[1]!thsiFinD("ths_adjustment_nv_fund",H$3,$A99))</x:f>
        <x:v>#NAME?</x:v>
      </x:c>
      <x:c r="I99" t="e">
        <x:f>IF($A99="","",[1]!thsiFinD("ths_adjustment_nv_fund",I$3,$A99))</x:f>
        <x:v>#NAME?</x:v>
      </x:c>
      <x:c r="J99" t="e">
        <x:f>IF($A99="","",[1]!thsiFinD("ths_adjustment_nv_fund",J$3,$A99))</x:f>
        <x:v>#NAME?</x:v>
      </x:c>
      <x:c r="K99" t="e">
        <x:f>IF($A99="","",[1]!thsiFinD("ths_adjustment_nv_fund",K$3,$A99))</x:f>
        <x:v>#NAME?</x:v>
      </x:c>
      <x:c r="L99" t="e">
        <x:f>IF($A99="","",[1]!thsiFinD("ths_adjustment_nv_fund",L$3,$A99))</x:f>
        <x:v>#NAME?</x:v>
      </x:c>
      <x:c r="M99" t="e">
        <x:f>IF($A99="","",[1]!thsiFinD("ths_adjustment_nv_fund",M$3,$A99))</x:f>
        <x:v>#NAME?</x:v>
      </x:c>
      <x:c r="N99" t="e">
        <x:f>IF($A99="","",[1]!thsiFinD("ths_adjustment_nv_fund",N$3,$A99))</x:f>
        <x:v>#NAME?</x:v>
      </x:c>
      <x:c r="O99" t="e">
        <x:f>IF($A99="","",[1]!thsiFinD("ths_adjustment_nv_fund",O$3,$A99))</x:f>
        <x:v>#NAME?</x:v>
      </x:c>
      <x:c r="P99" t="e">
        <x:f>IF($A99="","",[1]!thsiFinD("ths_adjustment_nv_fund",P$3,$A99))</x:f>
        <x:v>#NAME?</x:v>
      </x:c>
      <x:c r="Q99" t="e">
        <x:f>IF($A99="","",[1]!thsiFinD("ths_adjustment_nv_fund",Q$3,$A99))</x:f>
        <x:v>#NAME?</x:v>
      </x:c>
      <x:c r="R99" t="e">
        <x:f>IF($A99="","",[1]!thsiFinD("ths_adjustment_nv_fund",R$3,$A99))</x:f>
        <x:v>#NAME?</x:v>
      </x:c>
      <x:c r="S99" t="e">
        <x:f>IF($A99="","",[1]!thsiFinD("ths_adjustment_nv_fund",S$3,$A99))</x:f>
        <x:v>#NAME?</x:v>
      </x:c>
      <x:c r="T99" t="e">
        <x:f>IF($A99="","",[1]!thsiFinD("ths_adjustment_nv_fund",T$3,$A99))</x:f>
        <x:v>#NAME?</x:v>
      </x:c>
      <x:c r="U99" t="e">
        <x:f>IF($A99="","",[1]!thsiFinD("ths_adjustment_nv_fund",U$3,$A99))</x:f>
        <x:v>#NAME?</x:v>
      </x:c>
      <x:c r="V99" t="e">
        <x:f>IF($A99="","",[1]!thsiFinD("ths_adjustment_nv_fund",V$3,$A99))</x:f>
        <x:v>#NAME?</x:v>
      </x:c>
      <x:c r="W99" t="e">
        <x:f>IF($A99="","",[1]!thsiFinD("ths_adjustment_nv_fund",W$3,$A99))</x:f>
        <x:v>#NAME?</x:v>
      </x:c>
      <x:c r="X99" t="e">
        <x:f>IF($A99="","",[1]!thsiFinD("ths_adjustment_nv_fund",X$3,$A99))</x:f>
        <x:v>#NAME?</x:v>
      </x:c>
      <x:c r="Y99" t="e">
        <x:f>IF($A99="","",[1]!thsiFinD("ths_adjustment_nv_fund",Y$3,$A99))</x:f>
        <x:v>#NAME?</x:v>
      </x:c>
    </x:row>
    <x:row r="100">
      <x:c r="B100" t="e">
        <x:f>IF($A100="","",[1]!thsiFinD("ths_adjustment_nv_fund",B$3,$A100))</x:f>
        <x:v>#NAME?</x:v>
      </x:c>
      <x:c r="C100" t="e">
        <x:f>IF($A100="","",[1]!thsiFinD("ths_adjustment_nv_fund",C$3,$A100))</x:f>
        <x:v>#NAME?</x:v>
      </x:c>
      <x:c r="D100" t="e">
        <x:f>IF($A100="","",[1]!thsiFinD("ths_adjustment_nv_fund",D$3,$A100))</x:f>
        <x:v>#NAME?</x:v>
      </x:c>
      <x:c r="E100" t="e">
        <x:f>IF($A100="","",[1]!thsiFinD("ths_adjustment_nv_fund",E$3,$A100))</x:f>
        <x:v>#NAME?</x:v>
      </x:c>
      <x:c r="F100" t="e">
        <x:f>IF($A100="","",[1]!thsiFinD("ths_adjustment_nv_fund",F$3,$A100))</x:f>
        <x:v>#NAME?</x:v>
      </x:c>
      <x:c r="G100" t="e">
        <x:f>IF($A100="","",[1]!thsiFinD("ths_adjustment_nv_fund",G$3,$A100))</x:f>
        <x:v>#NAME?</x:v>
      </x:c>
      <x:c r="H100" t="e">
        <x:f>IF($A100="","",[1]!thsiFinD("ths_adjustment_nv_fund",H$3,$A100))</x:f>
        <x:v>#NAME?</x:v>
      </x:c>
      <x:c r="I100" t="e">
        <x:f>IF($A100="","",[1]!thsiFinD("ths_adjustment_nv_fund",I$3,$A100))</x:f>
        <x:v>#NAME?</x:v>
      </x:c>
      <x:c r="J100" t="e">
        <x:f>IF($A100="","",[1]!thsiFinD("ths_adjustment_nv_fund",J$3,$A100))</x:f>
        <x:v>#NAME?</x:v>
      </x:c>
      <x:c r="K100" t="e">
        <x:f>IF($A100="","",[1]!thsiFinD("ths_adjustment_nv_fund",K$3,$A100))</x:f>
        <x:v>#NAME?</x:v>
      </x:c>
      <x:c r="L100" t="e">
        <x:f>IF($A100="","",[1]!thsiFinD("ths_adjustment_nv_fund",L$3,$A100))</x:f>
        <x:v>#NAME?</x:v>
      </x:c>
      <x:c r="M100" t="e">
        <x:f>IF($A100="","",[1]!thsiFinD("ths_adjustment_nv_fund",M$3,$A100))</x:f>
        <x:v>#NAME?</x:v>
      </x:c>
      <x:c r="N100" t="e">
        <x:f>IF($A100="","",[1]!thsiFinD("ths_adjustment_nv_fund",N$3,$A100))</x:f>
        <x:v>#NAME?</x:v>
      </x:c>
      <x:c r="O100" t="e">
        <x:f>IF($A100="","",[1]!thsiFinD("ths_adjustment_nv_fund",O$3,$A100))</x:f>
        <x:v>#NAME?</x:v>
      </x:c>
      <x:c r="P100" t="e">
        <x:f>IF($A100="","",[1]!thsiFinD("ths_adjustment_nv_fund",P$3,$A100))</x:f>
        <x:v>#NAME?</x:v>
      </x:c>
      <x:c r="Q100" t="e">
        <x:f>IF($A100="","",[1]!thsiFinD("ths_adjustment_nv_fund",Q$3,$A100))</x:f>
        <x:v>#NAME?</x:v>
      </x:c>
      <x:c r="R100" t="e">
        <x:f>IF($A100="","",[1]!thsiFinD("ths_adjustment_nv_fund",R$3,$A100))</x:f>
        <x:v>#NAME?</x:v>
      </x:c>
      <x:c r="S100" t="e">
        <x:f>IF($A100="","",[1]!thsiFinD("ths_adjustment_nv_fund",S$3,$A100))</x:f>
        <x:v>#NAME?</x:v>
      </x:c>
      <x:c r="T100" t="e">
        <x:f>IF($A100="","",[1]!thsiFinD("ths_adjustment_nv_fund",T$3,$A100))</x:f>
        <x:v>#NAME?</x:v>
      </x:c>
      <x:c r="U100" t="e">
        <x:f>IF($A100="","",[1]!thsiFinD("ths_adjustment_nv_fund",U$3,$A100))</x:f>
        <x:v>#NAME?</x:v>
      </x:c>
      <x:c r="V100" t="e">
        <x:f>IF($A100="","",[1]!thsiFinD("ths_adjustment_nv_fund",V$3,$A100))</x:f>
        <x:v>#NAME?</x:v>
      </x:c>
      <x:c r="W100" t="e">
        <x:f>IF($A100="","",[1]!thsiFinD("ths_adjustment_nv_fund",W$3,$A100))</x:f>
        <x:v>#NAME?</x:v>
      </x:c>
      <x:c r="X100" t="e">
        <x:f>IF($A100="","",[1]!thsiFinD("ths_adjustment_nv_fund",X$3,$A100))</x:f>
        <x:v>#NAME?</x:v>
      </x:c>
      <x:c r="Y100" t="e">
        <x:f>IF($A100="","",[1]!thsiFinD("ths_adjustment_nv_fund",Y$3,$A100))</x:f>
        <x:v>#NAME?</x:v>
      </x:c>
    </x:row>
    <x:row r="101">
      <x:c r="B101" t="e">
        <x:f>IF($A101="","",[1]!thsiFinD("ths_adjustment_nv_fund",B$3,$A101))</x:f>
        <x:v>#NAME?</x:v>
      </x:c>
      <x:c r="C101" t="e">
        <x:f>IF($A101="","",[1]!thsiFinD("ths_adjustment_nv_fund",C$3,$A101))</x:f>
        <x:v>#NAME?</x:v>
      </x:c>
      <x:c r="D101" t="e">
        <x:f>IF($A101="","",[1]!thsiFinD("ths_adjustment_nv_fund",D$3,$A101))</x:f>
        <x:v>#NAME?</x:v>
      </x:c>
      <x:c r="E101" t="e">
        <x:f>IF($A101="","",[1]!thsiFinD("ths_adjustment_nv_fund",E$3,$A101))</x:f>
        <x:v>#NAME?</x:v>
      </x:c>
      <x:c r="F101" t="e">
        <x:f>IF($A101="","",[1]!thsiFinD("ths_adjustment_nv_fund",F$3,$A101))</x:f>
        <x:v>#NAME?</x:v>
      </x:c>
      <x:c r="G101" t="e">
        <x:f>IF($A101="","",[1]!thsiFinD("ths_adjustment_nv_fund",G$3,$A101))</x:f>
        <x:v>#NAME?</x:v>
      </x:c>
      <x:c r="H101" t="e">
        <x:f>IF($A101="","",[1]!thsiFinD("ths_adjustment_nv_fund",H$3,$A101))</x:f>
        <x:v>#NAME?</x:v>
      </x:c>
      <x:c r="I101" t="e">
        <x:f>IF($A101="","",[1]!thsiFinD("ths_adjustment_nv_fund",I$3,$A101))</x:f>
        <x:v>#NAME?</x:v>
      </x:c>
      <x:c r="J101" t="e">
        <x:f>IF($A101="","",[1]!thsiFinD("ths_adjustment_nv_fund",J$3,$A101))</x:f>
        <x:v>#NAME?</x:v>
      </x:c>
      <x:c r="K101" t="e">
        <x:f>IF($A101="","",[1]!thsiFinD("ths_adjustment_nv_fund",K$3,$A101))</x:f>
        <x:v>#NAME?</x:v>
      </x:c>
      <x:c r="L101" t="e">
        <x:f>IF($A101="","",[1]!thsiFinD("ths_adjustment_nv_fund",L$3,$A101))</x:f>
        <x:v>#NAME?</x:v>
      </x:c>
      <x:c r="M101" t="e">
        <x:f>IF($A101="","",[1]!thsiFinD("ths_adjustment_nv_fund",M$3,$A101))</x:f>
        <x:v>#NAME?</x:v>
      </x:c>
      <x:c r="N101" t="e">
        <x:f>IF($A101="","",[1]!thsiFinD("ths_adjustment_nv_fund",N$3,$A101))</x:f>
        <x:v>#NAME?</x:v>
      </x:c>
      <x:c r="O101" t="e">
        <x:f>IF($A101="","",[1]!thsiFinD("ths_adjustment_nv_fund",O$3,$A101))</x:f>
        <x:v>#NAME?</x:v>
      </x:c>
      <x:c r="P101" t="e">
        <x:f>IF($A101="","",[1]!thsiFinD("ths_adjustment_nv_fund",P$3,$A101))</x:f>
        <x:v>#NAME?</x:v>
      </x:c>
      <x:c r="Q101" t="e">
        <x:f>IF($A101="","",[1]!thsiFinD("ths_adjustment_nv_fund",Q$3,$A101))</x:f>
        <x:v>#NAME?</x:v>
      </x:c>
      <x:c r="R101" t="e">
        <x:f>IF($A101="","",[1]!thsiFinD("ths_adjustment_nv_fund",R$3,$A101))</x:f>
        <x:v>#NAME?</x:v>
      </x:c>
      <x:c r="S101" t="e">
        <x:f>IF($A101="","",[1]!thsiFinD("ths_adjustment_nv_fund",S$3,$A101))</x:f>
        <x:v>#NAME?</x:v>
      </x:c>
      <x:c r="T101" t="e">
        <x:f>IF($A101="","",[1]!thsiFinD("ths_adjustment_nv_fund",T$3,$A101))</x:f>
        <x:v>#NAME?</x:v>
      </x:c>
      <x:c r="U101" t="e">
        <x:f>IF($A101="","",[1]!thsiFinD("ths_adjustment_nv_fund",U$3,$A101))</x:f>
        <x:v>#NAME?</x:v>
      </x:c>
      <x:c r="V101" t="e">
        <x:f>IF($A101="","",[1]!thsiFinD("ths_adjustment_nv_fund",V$3,$A101))</x:f>
        <x:v>#NAME?</x:v>
      </x:c>
      <x:c r="W101" t="e">
        <x:f>IF($A101="","",[1]!thsiFinD("ths_adjustment_nv_fund",W$3,$A101))</x:f>
        <x:v>#NAME?</x:v>
      </x:c>
      <x:c r="X101" t="e">
        <x:f>IF($A101="","",[1]!thsiFinD("ths_adjustment_nv_fund",X$3,$A101))</x:f>
        <x:v>#NAME?</x:v>
      </x:c>
      <x:c r="Y101" t="e">
        <x:f>IF($A101="","",[1]!thsiFinD("ths_adjustment_nv_fund",Y$3,$A101))</x:f>
        <x:v>#NAME?</x:v>
      </x:c>
    </x:row>
    <x:row r="102">
      <x:c r="B102" t="e">
        <x:f>IF($A102="","",[1]!thsiFinD("ths_adjustment_nv_fund",B$3,$A102))</x:f>
        <x:v>#NAME?</x:v>
      </x:c>
      <x:c r="C102" t="e">
        <x:f>IF($A102="","",[1]!thsiFinD("ths_adjustment_nv_fund",C$3,$A102))</x:f>
        <x:v>#NAME?</x:v>
      </x:c>
      <x:c r="D102" t="e">
        <x:f>IF($A102="","",[1]!thsiFinD("ths_adjustment_nv_fund",D$3,$A102))</x:f>
        <x:v>#NAME?</x:v>
      </x:c>
      <x:c r="E102" t="e">
        <x:f>IF($A102="","",[1]!thsiFinD("ths_adjustment_nv_fund",E$3,$A102))</x:f>
        <x:v>#NAME?</x:v>
      </x:c>
      <x:c r="F102" t="e">
        <x:f>IF($A102="","",[1]!thsiFinD("ths_adjustment_nv_fund",F$3,$A102))</x:f>
        <x:v>#NAME?</x:v>
      </x:c>
      <x:c r="G102" t="e">
        <x:f>IF($A102="","",[1]!thsiFinD("ths_adjustment_nv_fund",G$3,$A102))</x:f>
        <x:v>#NAME?</x:v>
      </x:c>
      <x:c r="H102" t="e">
        <x:f>IF($A102="","",[1]!thsiFinD("ths_adjustment_nv_fund",H$3,$A102))</x:f>
        <x:v>#NAME?</x:v>
      </x:c>
      <x:c r="I102" t="e">
        <x:f>IF($A102="","",[1]!thsiFinD("ths_adjustment_nv_fund",I$3,$A102))</x:f>
        <x:v>#NAME?</x:v>
      </x:c>
      <x:c r="J102" t="e">
        <x:f>IF($A102="","",[1]!thsiFinD("ths_adjustment_nv_fund",J$3,$A102))</x:f>
        <x:v>#NAME?</x:v>
      </x:c>
      <x:c r="K102" t="e">
        <x:f>IF($A102="","",[1]!thsiFinD("ths_adjustment_nv_fund",K$3,$A102))</x:f>
        <x:v>#NAME?</x:v>
      </x:c>
      <x:c r="L102" t="e">
        <x:f>IF($A102="","",[1]!thsiFinD("ths_adjustment_nv_fund",L$3,$A102))</x:f>
        <x:v>#NAME?</x:v>
      </x:c>
      <x:c r="M102" t="e">
        <x:f>IF($A102="","",[1]!thsiFinD("ths_adjustment_nv_fund",M$3,$A102))</x:f>
        <x:v>#NAME?</x:v>
      </x:c>
      <x:c r="N102" t="e">
        <x:f>IF($A102="","",[1]!thsiFinD("ths_adjustment_nv_fund",N$3,$A102))</x:f>
        <x:v>#NAME?</x:v>
      </x:c>
      <x:c r="O102" t="e">
        <x:f>IF($A102="","",[1]!thsiFinD("ths_adjustment_nv_fund",O$3,$A102))</x:f>
        <x:v>#NAME?</x:v>
      </x:c>
      <x:c r="P102" t="e">
        <x:f>IF($A102="","",[1]!thsiFinD("ths_adjustment_nv_fund",P$3,$A102))</x:f>
        <x:v>#NAME?</x:v>
      </x:c>
      <x:c r="Q102" t="e">
        <x:f>IF($A102="","",[1]!thsiFinD("ths_adjustment_nv_fund",Q$3,$A102))</x:f>
        <x:v>#NAME?</x:v>
      </x:c>
      <x:c r="R102" t="e">
        <x:f>IF($A102="","",[1]!thsiFinD("ths_adjustment_nv_fund",R$3,$A102))</x:f>
        <x:v>#NAME?</x:v>
      </x:c>
      <x:c r="S102" t="e">
        <x:f>IF($A102="","",[1]!thsiFinD("ths_adjustment_nv_fund",S$3,$A102))</x:f>
        <x:v>#NAME?</x:v>
      </x:c>
      <x:c r="T102" t="e">
        <x:f>IF($A102="","",[1]!thsiFinD("ths_adjustment_nv_fund",T$3,$A102))</x:f>
        <x:v>#NAME?</x:v>
      </x:c>
      <x:c r="U102" t="e">
        <x:f>IF($A102="","",[1]!thsiFinD("ths_adjustment_nv_fund",U$3,$A102))</x:f>
        <x:v>#NAME?</x:v>
      </x:c>
      <x:c r="V102" t="e">
        <x:f>IF($A102="","",[1]!thsiFinD("ths_adjustment_nv_fund",V$3,$A102))</x:f>
        <x:v>#NAME?</x:v>
      </x:c>
      <x:c r="W102" t="e">
        <x:f>IF($A102="","",[1]!thsiFinD("ths_adjustment_nv_fund",W$3,$A102))</x:f>
        <x:v>#NAME?</x:v>
      </x:c>
      <x:c r="X102" t="e">
        <x:f>IF($A102="","",[1]!thsiFinD("ths_adjustment_nv_fund",X$3,$A102))</x:f>
        <x:v>#NAME?</x:v>
      </x:c>
      <x:c r="Y102" t="e">
        <x:f>IF($A102="","",[1]!thsiFinD("ths_adjustment_nv_fund",Y$3,$A102))</x:f>
        <x:v>#NAME?</x:v>
      </x:c>
    </x:row>
    <x:row r="103">
      <x:c r="B103" t="e">
        <x:f>IF($A103="","",[1]!thsiFinD("ths_adjustment_nv_fund",B$3,$A103))</x:f>
        <x:v>#NAME?</x:v>
      </x:c>
      <x:c r="C103" t="e">
        <x:f>IF($A103="","",[1]!thsiFinD("ths_adjustment_nv_fund",C$3,$A103))</x:f>
        <x:v>#NAME?</x:v>
      </x:c>
      <x:c r="D103" t="e">
        <x:f>IF($A103="","",[1]!thsiFinD("ths_adjustment_nv_fund",D$3,$A103))</x:f>
        <x:v>#NAME?</x:v>
      </x:c>
      <x:c r="E103" t="e">
        <x:f>IF($A103="","",[1]!thsiFinD("ths_adjustment_nv_fund",E$3,$A103))</x:f>
        <x:v>#NAME?</x:v>
      </x:c>
      <x:c r="F103" t="e">
        <x:f>IF($A103="","",[1]!thsiFinD("ths_adjustment_nv_fund",F$3,$A103))</x:f>
        <x:v>#NAME?</x:v>
      </x:c>
      <x:c r="G103" t="e">
        <x:f>IF($A103="","",[1]!thsiFinD("ths_adjustment_nv_fund",G$3,$A103))</x:f>
        <x:v>#NAME?</x:v>
      </x:c>
      <x:c r="H103" t="e">
        <x:f>IF($A103="","",[1]!thsiFinD("ths_adjustment_nv_fund",H$3,$A103))</x:f>
        <x:v>#NAME?</x:v>
      </x:c>
      <x:c r="I103" t="e">
        <x:f>IF($A103="","",[1]!thsiFinD("ths_adjustment_nv_fund",I$3,$A103))</x:f>
        <x:v>#NAME?</x:v>
      </x:c>
      <x:c r="J103" t="e">
        <x:f>IF($A103="","",[1]!thsiFinD("ths_adjustment_nv_fund",J$3,$A103))</x:f>
        <x:v>#NAME?</x:v>
      </x:c>
      <x:c r="K103" t="e">
        <x:f>IF($A103="","",[1]!thsiFinD("ths_adjustment_nv_fund",K$3,$A103))</x:f>
        <x:v>#NAME?</x:v>
      </x:c>
      <x:c r="L103" t="e">
        <x:f>IF($A103="","",[1]!thsiFinD("ths_adjustment_nv_fund",L$3,$A103))</x:f>
        <x:v>#NAME?</x:v>
      </x:c>
      <x:c r="M103" t="e">
        <x:f>IF($A103="","",[1]!thsiFinD("ths_adjustment_nv_fund",M$3,$A103))</x:f>
        <x:v>#NAME?</x:v>
      </x:c>
      <x:c r="N103" t="e">
        <x:f>IF($A103="","",[1]!thsiFinD("ths_adjustment_nv_fund",N$3,$A103))</x:f>
        <x:v>#NAME?</x:v>
      </x:c>
      <x:c r="O103" t="e">
        <x:f>IF($A103="","",[1]!thsiFinD("ths_adjustment_nv_fund",O$3,$A103))</x:f>
        <x:v>#NAME?</x:v>
      </x:c>
      <x:c r="P103" t="e">
        <x:f>IF($A103="","",[1]!thsiFinD("ths_adjustment_nv_fund",P$3,$A103))</x:f>
        <x:v>#NAME?</x:v>
      </x:c>
      <x:c r="Q103" t="e">
        <x:f>IF($A103="","",[1]!thsiFinD("ths_adjustment_nv_fund",Q$3,$A103))</x:f>
        <x:v>#NAME?</x:v>
      </x:c>
      <x:c r="R103" t="e">
        <x:f>IF($A103="","",[1]!thsiFinD("ths_adjustment_nv_fund",R$3,$A103))</x:f>
        <x:v>#NAME?</x:v>
      </x:c>
      <x:c r="S103" t="e">
        <x:f>IF($A103="","",[1]!thsiFinD("ths_adjustment_nv_fund",S$3,$A103))</x:f>
        <x:v>#NAME?</x:v>
      </x:c>
      <x:c r="T103" t="e">
        <x:f>IF($A103="","",[1]!thsiFinD("ths_adjustment_nv_fund",T$3,$A103))</x:f>
        <x:v>#NAME?</x:v>
      </x:c>
      <x:c r="U103" t="e">
        <x:f>IF($A103="","",[1]!thsiFinD("ths_adjustment_nv_fund",U$3,$A103))</x:f>
        <x:v>#NAME?</x:v>
      </x:c>
      <x:c r="V103" t="e">
        <x:f>IF($A103="","",[1]!thsiFinD("ths_adjustment_nv_fund",V$3,$A103))</x:f>
        <x:v>#NAME?</x:v>
      </x:c>
      <x:c r="W103" t="e">
        <x:f>IF($A103="","",[1]!thsiFinD("ths_adjustment_nv_fund",W$3,$A103))</x:f>
        <x:v>#NAME?</x:v>
      </x:c>
      <x:c r="X103" t="e">
        <x:f>IF($A103="","",[1]!thsiFinD("ths_adjustment_nv_fund",X$3,$A103))</x:f>
        <x:v>#NAME?</x:v>
      </x:c>
      <x:c r="Y103" t="e">
        <x:f>IF($A103="","",[1]!thsiFinD("ths_adjustment_nv_fund",Y$3,$A103))</x:f>
        <x:v>#NAME?</x:v>
      </x:c>
    </x:row>
    <x:row r="104">
      <x:c r="B104" t="e">
        <x:f>IF($A104="","",[1]!thsiFinD("ths_adjustment_nv_fund",B$3,$A104))</x:f>
        <x:v>#NAME?</x:v>
      </x:c>
      <x:c r="C104" t="e">
        <x:f>IF($A104="","",[1]!thsiFinD("ths_adjustment_nv_fund",C$3,$A104))</x:f>
        <x:v>#NAME?</x:v>
      </x:c>
      <x:c r="D104" t="e">
        <x:f>IF($A104="","",[1]!thsiFinD("ths_adjustment_nv_fund",D$3,$A104))</x:f>
        <x:v>#NAME?</x:v>
      </x:c>
      <x:c r="E104" t="e">
        <x:f>IF($A104="","",[1]!thsiFinD("ths_adjustment_nv_fund",E$3,$A104))</x:f>
        <x:v>#NAME?</x:v>
      </x:c>
      <x:c r="F104" t="e">
        <x:f>IF($A104="","",[1]!thsiFinD("ths_adjustment_nv_fund",F$3,$A104))</x:f>
        <x:v>#NAME?</x:v>
      </x:c>
      <x:c r="G104" t="e">
        <x:f>IF($A104="","",[1]!thsiFinD("ths_adjustment_nv_fund",G$3,$A104))</x:f>
        <x:v>#NAME?</x:v>
      </x:c>
      <x:c r="H104" t="e">
        <x:f>IF($A104="","",[1]!thsiFinD("ths_adjustment_nv_fund",H$3,$A104))</x:f>
        <x:v>#NAME?</x:v>
      </x:c>
      <x:c r="I104" t="e">
        <x:f>IF($A104="","",[1]!thsiFinD("ths_adjustment_nv_fund",I$3,$A104))</x:f>
        <x:v>#NAME?</x:v>
      </x:c>
      <x:c r="J104" t="e">
        <x:f>IF($A104="","",[1]!thsiFinD("ths_adjustment_nv_fund",J$3,$A104))</x:f>
        <x:v>#NAME?</x:v>
      </x:c>
      <x:c r="K104" t="e">
        <x:f>IF($A104="","",[1]!thsiFinD("ths_adjustment_nv_fund",K$3,$A104))</x:f>
        <x:v>#NAME?</x:v>
      </x:c>
      <x:c r="L104" t="e">
        <x:f>IF($A104="","",[1]!thsiFinD("ths_adjustment_nv_fund",L$3,$A104))</x:f>
        <x:v>#NAME?</x:v>
      </x:c>
      <x:c r="M104" t="e">
        <x:f>IF($A104="","",[1]!thsiFinD("ths_adjustment_nv_fund",M$3,$A104))</x:f>
        <x:v>#NAME?</x:v>
      </x:c>
      <x:c r="N104" t="e">
        <x:f>IF($A104="","",[1]!thsiFinD("ths_adjustment_nv_fund",N$3,$A104))</x:f>
        <x:v>#NAME?</x:v>
      </x:c>
      <x:c r="O104" t="e">
        <x:f>IF($A104="","",[1]!thsiFinD("ths_adjustment_nv_fund",O$3,$A104))</x:f>
        <x:v>#NAME?</x:v>
      </x:c>
      <x:c r="P104" t="e">
        <x:f>IF($A104="","",[1]!thsiFinD("ths_adjustment_nv_fund",P$3,$A104))</x:f>
        <x:v>#NAME?</x:v>
      </x:c>
      <x:c r="Q104" t="e">
        <x:f>IF($A104="","",[1]!thsiFinD("ths_adjustment_nv_fund",Q$3,$A104))</x:f>
        <x:v>#NAME?</x:v>
      </x:c>
      <x:c r="R104" t="e">
        <x:f>IF($A104="","",[1]!thsiFinD("ths_adjustment_nv_fund",R$3,$A104))</x:f>
        <x:v>#NAME?</x:v>
      </x:c>
      <x:c r="S104" t="e">
        <x:f>IF($A104="","",[1]!thsiFinD("ths_adjustment_nv_fund",S$3,$A104))</x:f>
        <x:v>#NAME?</x:v>
      </x:c>
      <x:c r="T104" t="e">
        <x:f>IF($A104="","",[1]!thsiFinD("ths_adjustment_nv_fund",T$3,$A104))</x:f>
        <x:v>#NAME?</x:v>
      </x:c>
      <x:c r="U104" t="e">
        <x:f>IF($A104="","",[1]!thsiFinD("ths_adjustment_nv_fund",U$3,$A104))</x:f>
        <x:v>#NAME?</x:v>
      </x:c>
      <x:c r="V104" t="e">
        <x:f>IF($A104="","",[1]!thsiFinD("ths_adjustment_nv_fund",V$3,$A104))</x:f>
        <x:v>#NAME?</x:v>
      </x:c>
      <x:c r="W104" t="e">
        <x:f>IF($A104="","",[1]!thsiFinD("ths_adjustment_nv_fund",W$3,$A104))</x:f>
        <x:v>#NAME?</x:v>
      </x:c>
      <x:c r="X104" t="e">
        <x:f>IF($A104="","",[1]!thsiFinD("ths_adjustment_nv_fund",X$3,$A104))</x:f>
        <x:v>#NAME?</x:v>
      </x:c>
      <x:c r="Y104" t="e">
        <x:f>IF($A104="","",[1]!thsiFinD("ths_adjustment_nv_fund",Y$3,$A104))</x:f>
        <x:v>#NAME?</x:v>
      </x:c>
    </x:row>
    <x:row r="105">
      <x:c r="B105" t="e">
        <x:f>IF($A105="","",[1]!thsiFinD("ths_adjustment_nv_fund",B$3,$A105))</x:f>
        <x:v>#NAME?</x:v>
      </x:c>
      <x:c r="C105" t="e">
        <x:f>IF($A105="","",[1]!thsiFinD("ths_adjustment_nv_fund",C$3,$A105))</x:f>
        <x:v>#NAME?</x:v>
      </x:c>
      <x:c r="D105" t="e">
        <x:f>IF($A105="","",[1]!thsiFinD("ths_adjustment_nv_fund",D$3,$A105))</x:f>
        <x:v>#NAME?</x:v>
      </x:c>
      <x:c r="E105" t="e">
        <x:f>IF($A105="","",[1]!thsiFinD("ths_adjustment_nv_fund",E$3,$A105))</x:f>
        <x:v>#NAME?</x:v>
      </x:c>
      <x:c r="F105" t="e">
        <x:f>IF($A105="","",[1]!thsiFinD("ths_adjustment_nv_fund",F$3,$A105))</x:f>
        <x:v>#NAME?</x:v>
      </x:c>
      <x:c r="G105" t="e">
        <x:f>IF($A105="","",[1]!thsiFinD("ths_adjustment_nv_fund",G$3,$A105))</x:f>
        <x:v>#NAME?</x:v>
      </x:c>
      <x:c r="H105" t="e">
        <x:f>IF($A105="","",[1]!thsiFinD("ths_adjustment_nv_fund",H$3,$A105))</x:f>
        <x:v>#NAME?</x:v>
      </x:c>
      <x:c r="I105" t="e">
        <x:f>IF($A105="","",[1]!thsiFinD("ths_adjustment_nv_fund",I$3,$A105))</x:f>
        <x:v>#NAME?</x:v>
      </x:c>
      <x:c r="J105" t="e">
        <x:f>IF($A105="","",[1]!thsiFinD("ths_adjustment_nv_fund",J$3,$A105))</x:f>
        <x:v>#NAME?</x:v>
      </x:c>
      <x:c r="K105" t="e">
        <x:f>IF($A105="","",[1]!thsiFinD("ths_adjustment_nv_fund",K$3,$A105))</x:f>
        <x:v>#NAME?</x:v>
      </x:c>
      <x:c r="L105" t="e">
        <x:f>IF($A105="","",[1]!thsiFinD("ths_adjustment_nv_fund",L$3,$A105))</x:f>
        <x:v>#NAME?</x:v>
      </x:c>
      <x:c r="M105" t="e">
        <x:f>IF($A105="","",[1]!thsiFinD("ths_adjustment_nv_fund",M$3,$A105))</x:f>
        <x:v>#NAME?</x:v>
      </x:c>
      <x:c r="N105" t="e">
        <x:f>IF($A105="","",[1]!thsiFinD("ths_adjustment_nv_fund",N$3,$A105))</x:f>
        <x:v>#NAME?</x:v>
      </x:c>
      <x:c r="O105" t="e">
        <x:f>IF($A105="","",[1]!thsiFinD("ths_adjustment_nv_fund",O$3,$A105))</x:f>
        <x:v>#NAME?</x:v>
      </x:c>
      <x:c r="P105" t="e">
        <x:f>IF($A105="","",[1]!thsiFinD("ths_adjustment_nv_fund",P$3,$A105))</x:f>
        <x:v>#NAME?</x:v>
      </x:c>
      <x:c r="Q105" t="e">
        <x:f>IF($A105="","",[1]!thsiFinD("ths_adjustment_nv_fund",Q$3,$A105))</x:f>
        <x:v>#NAME?</x:v>
      </x:c>
      <x:c r="R105" t="e">
        <x:f>IF($A105="","",[1]!thsiFinD("ths_adjustment_nv_fund",R$3,$A105))</x:f>
        <x:v>#NAME?</x:v>
      </x:c>
      <x:c r="S105" t="e">
        <x:f>IF($A105="","",[1]!thsiFinD("ths_adjustment_nv_fund",S$3,$A105))</x:f>
        <x:v>#NAME?</x:v>
      </x:c>
      <x:c r="T105" t="e">
        <x:f>IF($A105="","",[1]!thsiFinD("ths_adjustment_nv_fund",T$3,$A105))</x:f>
        <x:v>#NAME?</x:v>
      </x:c>
      <x:c r="U105" t="e">
        <x:f>IF($A105="","",[1]!thsiFinD("ths_adjustment_nv_fund",U$3,$A105))</x:f>
        <x:v>#NAME?</x:v>
      </x:c>
      <x:c r="V105" t="e">
        <x:f>IF($A105="","",[1]!thsiFinD("ths_adjustment_nv_fund",V$3,$A105))</x:f>
        <x:v>#NAME?</x:v>
      </x:c>
      <x:c r="W105" t="e">
        <x:f>IF($A105="","",[1]!thsiFinD("ths_adjustment_nv_fund",W$3,$A105))</x:f>
        <x:v>#NAME?</x:v>
      </x:c>
      <x:c r="X105" t="e">
        <x:f>IF($A105="","",[1]!thsiFinD("ths_adjustment_nv_fund",X$3,$A105))</x:f>
        <x:v>#NAME?</x:v>
      </x:c>
      <x:c r="Y105" t="e">
        <x:f>IF($A105="","",[1]!thsiFinD("ths_adjustment_nv_fund",Y$3,$A105))</x:f>
        <x:v>#NAME?</x:v>
      </x:c>
    </x:row>
    <x:row r="106">
      <x:c r="B106" t="e">
        <x:f>IF($A106="","",[1]!thsiFinD("ths_adjustment_nv_fund",B$3,$A106))</x:f>
        <x:v>#NAME?</x:v>
      </x:c>
      <x:c r="C106" t="e">
        <x:f>IF($A106="","",[1]!thsiFinD("ths_adjustment_nv_fund",C$3,$A106))</x:f>
        <x:v>#NAME?</x:v>
      </x:c>
      <x:c r="D106" t="e">
        <x:f>IF($A106="","",[1]!thsiFinD("ths_adjustment_nv_fund",D$3,$A106))</x:f>
        <x:v>#NAME?</x:v>
      </x:c>
      <x:c r="E106" t="e">
        <x:f>IF($A106="","",[1]!thsiFinD("ths_adjustment_nv_fund",E$3,$A106))</x:f>
        <x:v>#NAME?</x:v>
      </x:c>
      <x:c r="F106" t="e">
        <x:f>IF($A106="","",[1]!thsiFinD("ths_adjustment_nv_fund",F$3,$A106))</x:f>
        <x:v>#NAME?</x:v>
      </x:c>
      <x:c r="G106" t="e">
        <x:f>IF($A106="","",[1]!thsiFinD("ths_adjustment_nv_fund",G$3,$A106))</x:f>
        <x:v>#NAME?</x:v>
      </x:c>
      <x:c r="H106" t="e">
        <x:f>IF($A106="","",[1]!thsiFinD("ths_adjustment_nv_fund",H$3,$A106))</x:f>
        <x:v>#NAME?</x:v>
      </x:c>
      <x:c r="I106" t="e">
        <x:f>IF($A106="","",[1]!thsiFinD("ths_adjustment_nv_fund",I$3,$A106))</x:f>
        <x:v>#NAME?</x:v>
      </x:c>
      <x:c r="J106" t="e">
        <x:f>IF($A106="","",[1]!thsiFinD("ths_adjustment_nv_fund",J$3,$A106))</x:f>
        <x:v>#NAME?</x:v>
      </x:c>
      <x:c r="K106" t="e">
        <x:f>IF($A106="","",[1]!thsiFinD("ths_adjustment_nv_fund",K$3,$A106))</x:f>
        <x:v>#NAME?</x:v>
      </x:c>
      <x:c r="L106" t="e">
        <x:f>IF($A106="","",[1]!thsiFinD("ths_adjustment_nv_fund",L$3,$A106))</x:f>
        <x:v>#NAME?</x:v>
      </x:c>
      <x:c r="M106" t="e">
        <x:f>IF($A106="","",[1]!thsiFinD("ths_adjustment_nv_fund",M$3,$A106))</x:f>
        <x:v>#NAME?</x:v>
      </x:c>
      <x:c r="N106" t="e">
        <x:f>IF($A106="","",[1]!thsiFinD("ths_adjustment_nv_fund",N$3,$A106))</x:f>
        <x:v>#NAME?</x:v>
      </x:c>
      <x:c r="O106" t="e">
        <x:f>IF($A106="","",[1]!thsiFinD("ths_adjustment_nv_fund",O$3,$A106))</x:f>
        <x:v>#NAME?</x:v>
      </x:c>
      <x:c r="P106" t="e">
        <x:f>IF($A106="","",[1]!thsiFinD("ths_adjustment_nv_fund",P$3,$A106))</x:f>
        <x:v>#NAME?</x:v>
      </x:c>
      <x:c r="Q106" t="e">
        <x:f>IF($A106="","",[1]!thsiFinD("ths_adjustment_nv_fund",Q$3,$A106))</x:f>
        <x:v>#NAME?</x:v>
      </x:c>
      <x:c r="R106" t="e">
        <x:f>IF($A106="","",[1]!thsiFinD("ths_adjustment_nv_fund",R$3,$A106))</x:f>
        <x:v>#NAME?</x:v>
      </x:c>
      <x:c r="S106" t="e">
        <x:f>IF($A106="","",[1]!thsiFinD("ths_adjustment_nv_fund",S$3,$A106))</x:f>
        <x:v>#NAME?</x:v>
      </x:c>
      <x:c r="T106" t="e">
        <x:f>IF($A106="","",[1]!thsiFinD("ths_adjustment_nv_fund",T$3,$A106))</x:f>
        <x:v>#NAME?</x:v>
      </x:c>
      <x:c r="U106" t="e">
        <x:f>IF($A106="","",[1]!thsiFinD("ths_adjustment_nv_fund",U$3,$A106))</x:f>
        <x:v>#NAME?</x:v>
      </x:c>
      <x:c r="V106" t="e">
        <x:f>IF($A106="","",[1]!thsiFinD("ths_adjustment_nv_fund",V$3,$A106))</x:f>
        <x:v>#NAME?</x:v>
      </x:c>
      <x:c r="W106" t="e">
        <x:f>IF($A106="","",[1]!thsiFinD("ths_adjustment_nv_fund",W$3,$A106))</x:f>
        <x:v>#NAME?</x:v>
      </x:c>
      <x:c r="X106" t="e">
        <x:f>IF($A106="","",[1]!thsiFinD("ths_adjustment_nv_fund",X$3,$A106))</x:f>
        <x:v>#NAME?</x:v>
      </x:c>
      <x:c r="Y106" t="e">
        <x:f>IF($A106="","",[1]!thsiFinD("ths_adjustment_nv_fund",Y$3,$A106))</x:f>
        <x:v>#NAME?</x:v>
      </x:c>
    </x:row>
    <x:row r="107">
      <x:c r="B107" t="e">
        <x:f>IF($A107="","",[1]!thsiFinD("ths_adjustment_nv_fund",B$3,$A107))</x:f>
        <x:v>#NAME?</x:v>
      </x:c>
      <x:c r="C107" t="e">
        <x:f>IF($A107="","",[1]!thsiFinD("ths_adjustment_nv_fund",C$3,$A107))</x:f>
        <x:v>#NAME?</x:v>
      </x:c>
      <x:c r="D107" t="e">
        <x:f>IF($A107="","",[1]!thsiFinD("ths_adjustment_nv_fund",D$3,$A107))</x:f>
        <x:v>#NAME?</x:v>
      </x:c>
      <x:c r="E107" t="e">
        <x:f>IF($A107="","",[1]!thsiFinD("ths_adjustment_nv_fund",E$3,$A107))</x:f>
        <x:v>#NAME?</x:v>
      </x:c>
      <x:c r="F107" t="e">
        <x:f>IF($A107="","",[1]!thsiFinD("ths_adjustment_nv_fund",F$3,$A107))</x:f>
        <x:v>#NAME?</x:v>
      </x:c>
      <x:c r="G107" t="e">
        <x:f>IF($A107="","",[1]!thsiFinD("ths_adjustment_nv_fund",G$3,$A107))</x:f>
        <x:v>#NAME?</x:v>
      </x:c>
      <x:c r="H107" t="e">
        <x:f>IF($A107="","",[1]!thsiFinD("ths_adjustment_nv_fund",H$3,$A107))</x:f>
        <x:v>#NAME?</x:v>
      </x:c>
      <x:c r="I107" t="e">
        <x:f>IF($A107="","",[1]!thsiFinD("ths_adjustment_nv_fund",I$3,$A107))</x:f>
        <x:v>#NAME?</x:v>
      </x:c>
      <x:c r="J107" t="e">
        <x:f>IF($A107="","",[1]!thsiFinD("ths_adjustment_nv_fund",J$3,$A107))</x:f>
        <x:v>#NAME?</x:v>
      </x:c>
      <x:c r="K107" t="e">
        <x:f>IF($A107="","",[1]!thsiFinD("ths_adjustment_nv_fund",K$3,$A107))</x:f>
        <x:v>#NAME?</x:v>
      </x:c>
      <x:c r="L107" t="e">
        <x:f>IF($A107="","",[1]!thsiFinD("ths_adjustment_nv_fund",L$3,$A107))</x:f>
        <x:v>#NAME?</x:v>
      </x:c>
      <x:c r="M107" t="e">
        <x:f>IF($A107="","",[1]!thsiFinD("ths_adjustment_nv_fund",M$3,$A107))</x:f>
        <x:v>#NAME?</x:v>
      </x:c>
      <x:c r="N107" t="e">
        <x:f>IF($A107="","",[1]!thsiFinD("ths_adjustment_nv_fund",N$3,$A107))</x:f>
        <x:v>#NAME?</x:v>
      </x:c>
      <x:c r="O107" t="e">
        <x:f>IF($A107="","",[1]!thsiFinD("ths_adjustment_nv_fund",O$3,$A107))</x:f>
        <x:v>#NAME?</x:v>
      </x:c>
      <x:c r="P107" t="e">
        <x:f>IF($A107="","",[1]!thsiFinD("ths_adjustment_nv_fund",P$3,$A107))</x:f>
        <x:v>#NAME?</x:v>
      </x:c>
      <x:c r="Q107" t="e">
        <x:f>IF($A107="","",[1]!thsiFinD("ths_adjustment_nv_fund",Q$3,$A107))</x:f>
        <x:v>#NAME?</x:v>
      </x:c>
      <x:c r="R107" t="e">
        <x:f>IF($A107="","",[1]!thsiFinD("ths_adjustment_nv_fund",R$3,$A107))</x:f>
        <x:v>#NAME?</x:v>
      </x:c>
      <x:c r="S107" t="e">
        <x:f>IF($A107="","",[1]!thsiFinD("ths_adjustment_nv_fund",S$3,$A107))</x:f>
        <x:v>#NAME?</x:v>
      </x:c>
      <x:c r="T107" t="e">
        <x:f>IF($A107="","",[1]!thsiFinD("ths_adjustment_nv_fund",T$3,$A107))</x:f>
        <x:v>#NAME?</x:v>
      </x:c>
      <x:c r="U107" t="e">
        <x:f>IF($A107="","",[1]!thsiFinD("ths_adjustment_nv_fund",U$3,$A107))</x:f>
        <x:v>#NAME?</x:v>
      </x:c>
      <x:c r="V107" t="e">
        <x:f>IF($A107="","",[1]!thsiFinD("ths_adjustment_nv_fund",V$3,$A107))</x:f>
        <x:v>#NAME?</x:v>
      </x:c>
      <x:c r="W107" t="e">
        <x:f>IF($A107="","",[1]!thsiFinD("ths_adjustment_nv_fund",W$3,$A107))</x:f>
        <x:v>#NAME?</x:v>
      </x:c>
      <x:c r="X107" t="e">
        <x:f>IF($A107="","",[1]!thsiFinD("ths_adjustment_nv_fund",X$3,$A107))</x:f>
        <x:v>#NAME?</x:v>
      </x:c>
      <x:c r="Y107" t="e">
        <x:f>IF($A107="","",[1]!thsiFinD("ths_adjustment_nv_fund",Y$3,$A107))</x:f>
        <x:v>#NAME?</x:v>
      </x:c>
    </x:row>
    <x:row r="108">
      <x:c r="B108" t="e">
        <x:f>IF($A108="","",[1]!thsiFinD("ths_adjustment_nv_fund",B$3,$A108))</x:f>
        <x:v>#NAME?</x:v>
      </x:c>
      <x:c r="C108" t="e">
        <x:f>IF($A108="","",[1]!thsiFinD("ths_adjustment_nv_fund",C$3,$A108))</x:f>
        <x:v>#NAME?</x:v>
      </x:c>
      <x:c r="D108" t="e">
        <x:f>IF($A108="","",[1]!thsiFinD("ths_adjustment_nv_fund",D$3,$A108))</x:f>
        <x:v>#NAME?</x:v>
      </x:c>
      <x:c r="E108" t="e">
        <x:f>IF($A108="","",[1]!thsiFinD("ths_adjustment_nv_fund",E$3,$A108))</x:f>
        <x:v>#NAME?</x:v>
      </x:c>
      <x:c r="F108" t="e">
        <x:f>IF($A108="","",[1]!thsiFinD("ths_adjustment_nv_fund",F$3,$A108))</x:f>
        <x:v>#NAME?</x:v>
      </x:c>
      <x:c r="G108" t="e">
        <x:f>IF($A108="","",[1]!thsiFinD("ths_adjustment_nv_fund",G$3,$A108))</x:f>
        <x:v>#NAME?</x:v>
      </x:c>
      <x:c r="H108" t="e">
        <x:f>IF($A108="","",[1]!thsiFinD("ths_adjustment_nv_fund",H$3,$A108))</x:f>
        <x:v>#NAME?</x:v>
      </x:c>
      <x:c r="I108" t="e">
        <x:f>IF($A108="","",[1]!thsiFinD("ths_adjustment_nv_fund",I$3,$A108))</x:f>
        <x:v>#NAME?</x:v>
      </x:c>
      <x:c r="J108" t="e">
        <x:f>IF($A108="","",[1]!thsiFinD("ths_adjustment_nv_fund",J$3,$A108))</x:f>
        <x:v>#NAME?</x:v>
      </x:c>
      <x:c r="K108" t="e">
        <x:f>IF($A108="","",[1]!thsiFinD("ths_adjustment_nv_fund",K$3,$A108))</x:f>
        <x:v>#NAME?</x:v>
      </x:c>
      <x:c r="L108" t="e">
        <x:f>IF($A108="","",[1]!thsiFinD("ths_adjustment_nv_fund",L$3,$A108))</x:f>
        <x:v>#NAME?</x:v>
      </x:c>
      <x:c r="M108" t="e">
        <x:f>IF($A108="","",[1]!thsiFinD("ths_adjustment_nv_fund",M$3,$A108))</x:f>
        <x:v>#NAME?</x:v>
      </x:c>
      <x:c r="N108" t="e">
        <x:f>IF($A108="","",[1]!thsiFinD("ths_adjustment_nv_fund",N$3,$A108))</x:f>
        <x:v>#NAME?</x:v>
      </x:c>
      <x:c r="O108" t="e">
        <x:f>IF($A108="","",[1]!thsiFinD("ths_adjustment_nv_fund",O$3,$A108))</x:f>
        <x:v>#NAME?</x:v>
      </x:c>
      <x:c r="P108" t="e">
        <x:f>IF($A108="","",[1]!thsiFinD("ths_adjustment_nv_fund",P$3,$A108))</x:f>
        <x:v>#NAME?</x:v>
      </x:c>
      <x:c r="Q108" t="e">
        <x:f>IF($A108="","",[1]!thsiFinD("ths_adjustment_nv_fund",Q$3,$A108))</x:f>
        <x:v>#NAME?</x:v>
      </x:c>
      <x:c r="R108" t="e">
        <x:f>IF($A108="","",[1]!thsiFinD("ths_adjustment_nv_fund",R$3,$A108))</x:f>
        <x:v>#NAME?</x:v>
      </x:c>
      <x:c r="S108" t="e">
        <x:f>IF($A108="","",[1]!thsiFinD("ths_adjustment_nv_fund",S$3,$A108))</x:f>
        <x:v>#NAME?</x:v>
      </x:c>
      <x:c r="T108" t="e">
        <x:f>IF($A108="","",[1]!thsiFinD("ths_adjustment_nv_fund",T$3,$A108))</x:f>
        <x:v>#NAME?</x:v>
      </x:c>
      <x:c r="U108" t="e">
        <x:f>IF($A108="","",[1]!thsiFinD("ths_adjustment_nv_fund",U$3,$A108))</x:f>
        <x:v>#NAME?</x:v>
      </x:c>
      <x:c r="V108" t="e">
        <x:f>IF($A108="","",[1]!thsiFinD("ths_adjustment_nv_fund",V$3,$A108))</x:f>
        <x:v>#NAME?</x:v>
      </x:c>
      <x:c r="W108" t="e">
        <x:f>IF($A108="","",[1]!thsiFinD("ths_adjustment_nv_fund",W$3,$A108))</x:f>
        <x:v>#NAME?</x:v>
      </x:c>
      <x:c r="X108" t="e">
        <x:f>IF($A108="","",[1]!thsiFinD("ths_adjustment_nv_fund",X$3,$A108))</x:f>
        <x:v>#NAME?</x:v>
      </x:c>
      <x:c r="Y108" t="e">
        <x:f>IF($A108="","",[1]!thsiFinD("ths_adjustment_nv_fund",Y$3,$A108))</x:f>
        <x:v>#NAME?</x:v>
      </x:c>
    </x:row>
    <x:row r="109">
      <x:c r="B109" t="e">
        <x:f>IF($A109="","",[1]!thsiFinD("ths_adjustment_nv_fund",B$3,$A109))</x:f>
        <x:v>#NAME?</x:v>
      </x:c>
      <x:c r="C109" t="e">
        <x:f>IF($A109="","",[1]!thsiFinD("ths_adjustment_nv_fund",C$3,$A109))</x:f>
        <x:v>#NAME?</x:v>
      </x:c>
      <x:c r="D109" t="e">
        <x:f>IF($A109="","",[1]!thsiFinD("ths_adjustment_nv_fund",D$3,$A109))</x:f>
        <x:v>#NAME?</x:v>
      </x:c>
      <x:c r="E109" t="e">
        <x:f>IF($A109="","",[1]!thsiFinD("ths_adjustment_nv_fund",E$3,$A109))</x:f>
        <x:v>#NAME?</x:v>
      </x:c>
      <x:c r="F109" t="e">
        <x:f>IF($A109="","",[1]!thsiFinD("ths_adjustment_nv_fund",F$3,$A109))</x:f>
        <x:v>#NAME?</x:v>
      </x:c>
      <x:c r="G109" t="e">
        <x:f>IF($A109="","",[1]!thsiFinD("ths_adjustment_nv_fund",G$3,$A109))</x:f>
        <x:v>#NAME?</x:v>
      </x:c>
      <x:c r="H109" t="e">
        <x:f>IF($A109="","",[1]!thsiFinD("ths_adjustment_nv_fund",H$3,$A109))</x:f>
        <x:v>#NAME?</x:v>
      </x:c>
      <x:c r="I109" t="e">
        <x:f>IF($A109="","",[1]!thsiFinD("ths_adjustment_nv_fund",I$3,$A109))</x:f>
        <x:v>#NAME?</x:v>
      </x:c>
      <x:c r="J109" t="e">
        <x:f>IF($A109="","",[1]!thsiFinD("ths_adjustment_nv_fund",J$3,$A109))</x:f>
        <x:v>#NAME?</x:v>
      </x:c>
      <x:c r="K109" t="e">
        <x:f>IF($A109="","",[1]!thsiFinD("ths_adjustment_nv_fund",K$3,$A109))</x:f>
        <x:v>#NAME?</x:v>
      </x:c>
      <x:c r="L109" t="e">
        <x:f>IF($A109="","",[1]!thsiFinD("ths_adjustment_nv_fund",L$3,$A109))</x:f>
        <x:v>#NAME?</x:v>
      </x:c>
      <x:c r="M109" t="e">
        <x:f>IF($A109="","",[1]!thsiFinD("ths_adjustment_nv_fund",M$3,$A109))</x:f>
        <x:v>#NAME?</x:v>
      </x:c>
      <x:c r="N109" t="e">
        <x:f>IF($A109="","",[1]!thsiFinD("ths_adjustment_nv_fund",N$3,$A109))</x:f>
        <x:v>#NAME?</x:v>
      </x:c>
      <x:c r="O109" t="e">
        <x:f>IF($A109="","",[1]!thsiFinD("ths_adjustment_nv_fund",O$3,$A109))</x:f>
        <x:v>#NAME?</x:v>
      </x:c>
      <x:c r="P109" t="e">
        <x:f>IF($A109="","",[1]!thsiFinD("ths_adjustment_nv_fund",P$3,$A109))</x:f>
        <x:v>#NAME?</x:v>
      </x:c>
      <x:c r="Q109" t="e">
        <x:f>IF($A109="","",[1]!thsiFinD("ths_adjustment_nv_fund",Q$3,$A109))</x:f>
        <x:v>#NAME?</x:v>
      </x:c>
      <x:c r="R109" t="e">
        <x:f>IF($A109="","",[1]!thsiFinD("ths_adjustment_nv_fund",R$3,$A109))</x:f>
        <x:v>#NAME?</x:v>
      </x:c>
      <x:c r="S109" t="e">
        <x:f>IF($A109="","",[1]!thsiFinD("ths_adjustment_nv_fund",S$3,$A109))</x:f>
        <x:v>#NAME?</x:v>
      </x:c>
      <x:c r="T109" t="e">
        <x:f>IF($A109="","",[1]!thsiFinD("ths_adjustment_nv_fund",T$3,$A109))</x:f>
        <x:v>#NAME?</x:v>
      </x:c>
      <x:c r="U109" t="e">
        <x:f>IF($A109="","",[1]!thsiFinD("ths_adjustment_nv_fund",U$3,$A109))</x:f>
        <x:v>#NAME?</x:v>
      </x:c>
      <x:c r="V109" t="e">
        <x:f>IF($A109="","",[1]!thsiFinD("ths_adjustment_nv_fund",V$3,$A109))</x:f>
        <x:v>#NAME?</x:v>
      </x:c>
      <x:c r="W109" t="e">
        <x:f>IF($A109="","",[1]!thsiFinD("ths_adjustment_nv_fund",W$3,$A109))</x:f>
        <x:v>#NAME?</x:v>
      </x:c>
      <x:c r="X109" t="e">
        <x:f>IF($A109="","",[1]!thsiFinD("ths_adjustment_nv_fund",X$3,$A109))</x:f>
        <x:v>#NAME?</x:v>
      </x:c>
      <x:c r="Y109" t="e">
        <x:f>IF($A109="","",[1]!thsiFinD("ths_adjustment_nv_fund",Y$3,$A109))</x:f>
        <x:v>#NAME?</x:v>
      </x:c>
    </x:row>
    <x:row r="110">
      <x:c r="B110" t="e">
        <x:f>IF($A110="","",[1]!thsiFinD("ths_adjustment_nv_fund",B$3,$A110))</x:f>
        <x:v>#NAME?</x:v>
      </x:c>
      <x:c r="C110" t="e">
        <x:f>IF($A110="","",[1]!thsiFinD("ths_adjustment_nv_fund",C$3,$A110))</x:f>
        <x:v>#NAME?</x:v>
      </x:c>
      <x:c r="D110" t="e">
        <x:f>IF($A110="","",[1]!thsiFinD("ths_adjustment_nv_fund",D$3,$A110))</x:f>
        <x:v>#NAME?</x:v>
      </x:c>
      <x:c r="E110" t="e">
        <x:f>IF($A110="","",[1]!thsiFinD("ths_adjustment_nv_fund",E$3,$A110))</x:f>
        <x:v>#NAME?</x:v>
      </x:c>
      <x:c r="F110" t="e">
        <x:f>IF($A110="","",[1]!thsiFinD("ths_adjustment_nv_fund",F$3,$A110))</x:f>
        <x:v>#NAME?</x:v>
      </x:c>
      <x:c r="G110" t="e">
        <x:f>IF($A110="","",[1]!thsiFinD("ths_adjustment_nv_fund",G$3,$A110))</x:f>
        <x:v>#NAME?</x:v>
      </x:c>
      <x:c r="H110" t="e">
        <x:f>IF($A110="","",[1]!thsiFinD("ths_adjustment_nv_fund",H$3,$A110))</x:f>
        <x:v>#NAME?</x:v>
      </x:c>
      <x:c r="I110" t="e">
        <x:f>IF($A110="","",[1]!thsiFinD("ths_adjustment_nv_fund",I$3,$A110))</x:f>
        <x:v>#NAME?</x:v>
      </x:c>
      <x:c r="J110" t="e">
        <x:f>IF($A110="","",[1]!thsiFinD("ths_adjustment_nv_fund",J$3,$A110))</x:f>
        <x:v>#NAME?</x:v>
      </x:c>
      <x:c r="K110" t="e">
        <x:f>IF($A110="","",[1]!thsiFinD("ths_adjustment_nv_fund",K$3,$A110))</x:f>
        <x:v>#NAME?</x:v>
      </x:c>
      <x:c r="L110" t="e">
        <x:f>IF($A110="","",[1]!thsiFinD("ths_adjustment_nv_fund",L$3,$A110))</x:f>
        <x:v>#NAME?</x:v>
      </x:c>
      <x:c r="M110" t="e">
        <x:f>IF($A110="","",[1]!thsiFinD("ths_adjustment_nv_fund",M$3,$A110))</x:f>
        <x:v>#NAME?</x:v>
      </x:c>
      <x:c r="N110" t="e">
        <x:f>IF($A110="","",[1]!thsiFinD("ths_adjustment_nv_fund",N$3,$A110))</x:f>
        <x:v>#NAME?</x:v>
      </x:c>
      <x:c r="O110" t="e">
        <x:f>IF($A110="","",[1]!thsiFinD("ths_adjustment_nv_fund",O$3,$A110))</x:f>
        <x:v>#NAME?</x:v>
      </x:c>
      <x:c r="P110" t="e">
        <x:f>IF($A110="","",[1]!thsiFinD("ths_adjustment_nv_fund",P$3,$A110))</x:f>
        <x:v>#NAME?</x:v>
      </x:c>
      <x:c r="Q110" t="e">
        <x:f>IF($A110="","",[1]!thsiFinD("ths_adjustment_nv_fund",Q$3,$A110))</x:f>
        <x:v>#NAME?</x:v>
      </x:c>
      <x:c r="R110" t="e">
        <x:f>IF($A110="","",[1]!thsiFinD("ths_adjustment_nv_fund",R$3,$A110))</x:f>
        <x:v>#NAME?</x:v>
      </x:c>
      <x:c r="S110" t="e">
        <x:f>IF($A110="","",[1]!thsiFinD("ths_adjustment_nv_fund",S$3,$A110))</x:f>
        <x:v>#NAME?</x:v>
      </x:c>
      <x:c r="T110" t="e">
        <x:f>IF($A110="","",[1]!thsiFinD("ths_adjustment_nv_fund",T$3,$A110))</x:f>
        <x:v>#NAME?</x:v>
      </x:c>
      <x:c r="U110" t="e">
        <x:f>IF($A110="","",[1]!thsiFinD("ths_adjustment_nv_fund",U$3,$A110))</x:f>
        <x:v>#NAME?</x:v>
      </x:c>
      <x:c r="V110" t="e">
        <x:f>IF($A110="","",[1]!thsiFinD("ths_adjustment_nv_fund",V$3,$A110))</x:f>
        <x:v>#NAME?</x:v>
      </x:c>
      <x:c r="W110" t="e">
        <x:f>IF($A110="","",[1]!thsiFinD("ths_adjustment_nv_fund",W$3,$A110))</x:f>
        <x:v>#NAME?</x:v>
      </x:c>
      <x:c r="X110" t="e">
        <x:f>IF($A110="","",[1]!thsiFinD("ths_adjustment_nv_fund",X$3,$A110))</x:f>
        <x:v>#NAME?</x:v>
      </x:c>
      <x:c r="Y110" t="e">
        <x:f>IF($A110="","",[1]!thsiFinD("ths_adjustment_nv_fund",Y$3,$A110))</x:f>
        <x:v>#NAME?</x:v>
      </x:c>
    </x:row>
    <x:row r="111">
      <x:c r="B111" t="e">
        <x:f>IF($A111="","",[1]!thsiFinD("ths_adjustment_nv_fund",B$3,$A111))</x:f>
        <x:v>#NAME?</x:v>
      </x:c>
      <x:c r="C111" t="e">
        <x:f>IF($A111="","",[1]!thsiFinD("ths_adjustment_nv_fund",C$3,$A111))</x:f>
        <x:v>#NAME?</x:v>
      </x:c>
      <x:c r="D111" t="e">
        <x:f>IF($A111="","",[1]!thsiFinD("ths_adjustment_nv_fund",D$3,$A111))</x:f>
        <x:v>#NAME?</x:v>
      </x:c>
      <x:c r="E111" t="e">
        <x:f>IF($A111="","",[1]!thsiFinD("ths_adjustment_nv_fund",E$3,$A111))</x:f>
        <x:v>#NAME?</x:v>
      </x:c>
      <x:c r="F111" t="e">
        <x:f>IF($A111="","",[1]!thsiFinD("ths_adjustment_nv_fund",F$3,$A111))</x:f>
        <x:v>#NAME?</x:v>
      </x:c>
      <x:c r="G111" t="e">
        <x:f>IF($A111="","",[1]!thsiFinD("ths_adjustment_nv_fund",G$3,$A111))</x:f>
        <x:v>#NAME?</x:v>
      </x:c>
      <x:c r="H111" t="e">
        <x:f>IF($A111="","",[1]!thsiFinD("ths_adjustment_nv_fund",H$3,$A111))</x:f>
        <x:v>#NAME?</x:v>
      </x:c>
      <x:c r="I111" t="e">
        <x:f>IF($A111="","",[1]!thsiFinD("ths_adjustment_nv_fund",I$3,$A111))</x:f>
        <x:v>#NAME?</x:v>
      </x:c>
      <x:c r="J111" t="e">
        <x:f>IF($A111="","",[1]!thsiFinD("ths_adjustment_nv_fund",J$3,$A111))</x:f>
        <x:v>#NAME?</x:v>
      </x:c>
      <x:c r="K111" t="e">
        <x:f>IF($A111="","",[1]!thsiFinD("ths_adjustment_nv_fund",K$3,$A111))</x:f>
        <x:v>#NAME?</x:v>
      </x:c>
      <x:c r="L111" t="e">
        <x:f>IF($A111="","",[1]!thsiFinD("ths_adjustment_nv_fund",L$3,$A111))</x:f>
        <x:v>#NAME?</x:v>
      </x:c>
      <x:c r="M111" t="e">
        <x:f>IF($A111="","",[1]!thsiFinD("ths_adjustment_nv_fund",M$3,$A111))</x:f>
        <x:v>#NAME?</x:v>
      </x:c>
      <x:c r="N111" t="e">
        <x:f>IF($A111="","",[1]!thsiFinD("ths_adjustment_nv_fund",N$3,$A111))</x:f>
        <x:v>#NAME?</x:v>
      </x:c>
      <x:c r="O111" t="e">
        <x:f>IF($A111="","",[1]!thsiFinD("ths_adjustment_nv_fund",O$3,$A111))</x:f>
        <x:v>#NAME?</x:v>
      </x:c>
      <x:c r="P111" t="e">
        <x:f>IF($A111="","",[1]!thsiFinD("ths_adjustment_nv_fund",P$3,$A111))</x:f>
        <x:v>#NAME?</x:v>
      </x:c>
      <x:c r="Q111" t="e">
        <x:f>IF($A111="","",[1]!thsiFinD("ths_adjustment_nv_fund",Q$3,$A111))</x:f>
        <x:v>#NAME?</x:v>
      </x:c>
      <x:c r="R111" t="e">
        <x:f>IF($A111="","",[1]!thsiFinD("ths_adjustment_nv_fund",R$3,$A111))</x:f>
        <x:v>#NAME?</x:v>
      </x:c>
      <x:c r="S111" t="e">
        <x:f>IF($A111="","",[1]!thsiFinD("ths_adjustment_nv_fund",S$3,$A111))</x:f>
        <x:v>#NAME?</x:v>
      </x:c>
      <x:c r="T111" t="e">
        <x:f>IF($A111="","",[1]!thsiFinD("ths_adjustment_nv_fund",T$3,$A111))</x:f>
        <x:v>#NAME?</x:v>
      </x:c>
      <x:c r="U111" t="e">
        <x:f>IF($A111="","",[1]!thsiFinD("ths_adjustment_nv_fund",U$3,$A111))</x:f>
        <x:v>#NAME?</x:v>
      </x:c>
      <x:c r="V111" t="e">
        <x:f>IF($A111="","",[1]!thsiFinD("ths_adjustment_nv_fund",V$3,$A111))</x:f>
        <x:v>#NAME?</x:v>
      </x:c>
      <x:c r="W111" t="e">
        <x:f>IF($A111="","",[1]!thsiFinD("ths_adjustment_nv_fund",W$3,$A111))</x:f>
        <x:v>#NAME?</x:v>
      </x:c>
      <x:c r="X111" t="e">
        <x:f>IF($A111="","",[1]!thsiFinD("ths_adjustment_nv_fund",X$3,$A111))</x:f>
        <x:v>#NAME?</x:v>
      </x:c>
      <x:c r="Y111" t="e">
        <x:f>IF($A111="","",[1]!thsiFinD("ths_adjustment_nv_fund",Y$3,$A111))</x:f>
        <x:v>#NAME?</x:v>
      </x:c>
    </x:row>
    <x:row r="112">
      <x:c r="B112" t="e">
        <x:f>IF($A112="","",[1]!thsiFinD("ths_adjustment_nv_fund",B$3,$A112))</x:f>
        <x:v>#NAME?</x:v>
      </x:c>
      <x:c r="C112" t="e">
        <x:f>IF($A112="","",[1]!thsiFinD("ths_adjustment_nv_fund",C$3,$A112))</x:f>
        <x:v>#NAME?</x:v>
      </x:c>
      <x:c r="D112" t="e">
        <x:f>IF($A112="","",[1]!thsiFinD("ths_adjustment_nv_fund",D$3,$A112))</x:f>
        <x:v>#NAME?</x:v>
      </x:c>
      <x:c r="E112" t="e">
        <x:f>IF($A112="","",[1]!thsiFinD("ths_adjustment_nv_fund",E$3,$A112))</x:f>
        <x:v>#NAME?</x:v>
      </x:c>
      <x:c r="F112" t="e">
        <x:f>IF($A112="","",[1]!thsiFinD("ths_adjustment_nv_fund",F$3,$A112))</x:f>
        <x:v>#NAME?</x:v>
      </x:c>
      <x:c r="G112" t="e">
        <x:f>IF($A112="","",[1]!thsiFinD("ths_adjustment_nv_fund",G$3,$A112))</x:f>
        <x:v>#NAME?</x:v>
      </x:c>
      <x:c r="H112" t="e">
        <x:f>IF($A112="","",[1]!thsiFinD("ths_adjustment_nv_fund",H$3,$A112))</x:f>
        <x:v>#NAME?</x:v>
      </x:c>
      <x:c r="I112" t="e">
        <x:f>IF($A112="","",[1]!thsiFinD("ths_adjustment_nv_fund",I$3,$A112))</x:f>
        <x:v>#NAME?</x:v>
      </x:c>
      <x:c r="J112" t="e">
        <x:f>IF($A112="","",[1]!thsiFinD("ths_adjustment_nv_fund",J$3,$A112))</x:f>
        <x:v>#NAME?</x:v>
      </x:c>
      <x:c r="K112" t="e">
        <x:f>IF($A112="","",[1]!thsiFinD("ths_adjustment_nv_fund",K$3,$A112))</x:f>
        <x:v>#NAME?</x:v>
      </x:c>
      <x:c r="L112" t="e">
        <x:f>IF($A112="","",[1]!thsiFinD("ths_adjustment_nv_fund",L$3,$A112))</x:f>
        <x:v>#NAME?</x:v>
      </x:c>
      <x:c r="M112" t="e">
        <x:f>IF($A112="","",[1]!thsiFinD("ths_adjustment_nv_fund",M$3,$A112))</x:f>
        <x:v>#NAME?</x:v>
      </x:c>
      <x:c r="N112" t="e">
        <x:f>IF($A112="","",[1]!thsiFinD("ths_adjustment_nv_fund",N$3,$A112))</x:f>
        <x:v>#NAME?</x:v>
      </x:c>
      <x:c r="O112" t="e">
        <x:f>IF($A112="","",[1]!thsiFinD("ths_adjustment_nv_fund",O$3,$A112))</x:f>
        <x:v>#NAME?</x:v>
      </x:c>
      <x:c r="P112" t="e">
        <x:f>IF($A112="","",[1]!thsiFinD("ths_adjustment_nv_fund",P$3,$A112))</x:f>
        <x:v>#NAME?</x:v>
      </x:c>
      <x:c r="Q112" t="e">
        <x:f>IF($A112="","",[1]!thsiFinD("ths_adjustment_nv_fund",Q$3,$A112))</x:f>
        <x:v>#NAME?</x:v>
      </x:c>
      <x:c r="R112" t="e">
        <x:f>IF($A112="","",[1]!thsiFinD("ths_adjustment_nv_fund",R$3,$A112))</x:f>
        <x:v>#NAME?</x:v>
      </x:c>
      <x:c r="S112" t="e">
        <x:f>IF($A112="","",[1]!thsiFinD("ths_adjustment_nv_fund",S$3,$A112))</x:f>
        <x:v>#NAME?</x:v>
      </x:c>
      <x:c r="T112" t="e">
        <x:f>IF($A112="","",[1]!thsiFinD("ths_adjustment_nv_fund",T$3,$A112))</x:f>
        <x:v>#NAME?</x:v>
      </x:c>
      <x:c r="U112" t="e">
        <x:f>IF($A112="","",[1]!thsiFinD("ths_adjustment_nv_fund",U$3,$A112))</x:f>
        <x:v>#NAME?</x:v>
      </x:c>
      <x:c r="V112" t="e">
        <x:f>IF($A112="","",[1]!thsiFinD("ths_adjustment_nv_fund",V$3,$A112))</x:f>
        <x:v>#NAME?</x:v>
      </x:c>
      <x:c r="W112" t="e">
        <x:f>IF($A112="","",[1]!thsiFinD("ths_adjustment_nv_fund",W$3,$A112))</x:f>
        <x:v>#NAME?</x:v>
      </x:c>
      <x:c r="X112" t="e">
        <x:f>IF($A112="","",[1]!thsiFinD("ths_adjustment_nv_fund",X$3,$A112))</x:f>
        <x:v>#NAME?</x:v>
      </x:c>
      <x:c r="Y112" t="e">
        <x:f>IF($A112="","",[1]!thsiFinD("ths_adjustment_nv_fund",Y$3,$A112))</x:f>
        <x:v>#NAME?</x:v>
      </x:c>
    </x:row>
    <x:row r="113">
      <x:c r="B113" t="e">
        <x:f>IF($A113="","",[1]!thsiFinD("ths_adjustment_nv_fund",B$3,$A113))</x:f>
        <x:v>#NAME?</x:v>
      </x:c>
      <x:c r="C113" t="e">
        <x:f>IF($A113="","",[1]!thsiFinD("ths_adjustment_nv_fund",C$3,$A113))</x:f>
        <x:v>#NAME?</x:v>
      </x:c>
      <x:c r="D113" t="e">
        <x:f>IF($A113="","",[1]!thsiFinD("ths_adjustment_nv_fund",D$3,$A113))</x:f>
        <x:v>#NAME?</x:v>
      </x:c>
      <x:c r="E113" t="e">
        <x:f>IF($A113="","",[1]!thsiFinD("ths_adjustment_nv_fund",E$3,$A113))</x:f>
        <x:v>#NAME?</x:v>
      </x:c>
      <x:c r="F113" t="e">
        <x:f>IF($A113="","",[1]!thsiFinD("ths_adjustment_nv_fund",F$3,$A113))</x:f>
        <x:v>#NAME?</x:v>
      </x:c>
      <x:c r="G113" t="e">
        <x:f>IF($A113="","",[1]!thsiFinD("ths_adjustment_nv_fund",G$3,$A113))</x:f>
        <x:v>#NAME?</x:v>
      </x:c>
      <x:c r="H113" t="e">
        <x:f>IF($A113="","",[1]!thsiFinD("ths_adjustment_nv_fund",H$3,$A113))</x:f>
        <x:v>#NAME?</x:v>
      </x:c>
      <x:c r="I113" t="e">
        <x:f>IF($A113="","",[1]!thsiFinD("ths_adjustment_nv_fund",I$3,$A113))</x:f>
        <x:v>#NAME?</x:v>
      </x:c>
      <x:c r="J113" t="e">
        <x:f>IF($A113="","",[1]!thsiFinD("ths_adjustment_nv_fund",J$3,$A113))</x:f>
        <x:v>#NAME?</x:v>
      </x:c>
      <x:c r="K113" t="e">
        <x:f>IF($A113="","",[1]!thsiFinD("ths_adjustment_nv_fund",K$3,$A113))</x:f>
        <x:v>#NAME?</x:v>
      </x:c>
      <x:c r="L113" t="e">
        <x:f>IF($A113="","",[1]!thsiFinD("ths_adjustment_nv_fund",L$3,$A113))</x:f>
        <x:v>#NAME?</x:v>
      </x:c>
      <x:c r="M113" t="e">
        <x:f>IF($A113="","",[1]!thsiFinD("ths_adjustment_nv_fund",M$3,$A113))</x:f>
        <x:v>#NAME?</x:v>
      </x:c>
      <x:c r="N113" t="e">
        <x:f>IF($A113="","",[1]!thsiFinD("ths_adjustment_nv_fund",N$3,$A113))</x:f>
        <x:v>#NAME?</x:v>
      </x:c>
      <x:c r="O113" t="e">
        <x:f>IF($A113="","",[1]!thsiFinD("ths_adjustment_nv_fund",O$3,$A113))</x:f>
        <x:v>#NAME?</x:v>
      </x:c>
      <x:c r="P113" t="e">
        <x:f>IF($A113="","",[1]!thsiFinD("ths_adjustment_nv_fund",P$3,$A113))</x:f>
        <x:v>#NAME?</x:v>
      </x:c>
      <x:c r="Q113" t="e">
        <x:f>IF($A113="","",[1]!thsiFinD("ths_adjustment_nv_fund",Q$3,$A113))</x:f>
        <x:v>#NAME?</x:v>
      </x:c>
      <x:c r="R113" t="e">
        <x:f>IF($A113="","",[1]!thsiFinD("ths_adjustment_nv_fund",R$3,$A113))</x:f>
        <x:v>#NAME?</x:v>
      </x:c>
      <x:c r="S113" t="e">
        <x:f>IF($A113="","",[1]!thsiFinD("ths_adjustment_nv_fund",S$3,$A113))</x:f>
        <x:v>#NAME?</x:v>
      </x:c>
      <x:c r="T113" t="e">
        <x:f>IF($A113="","",[1]!thsiFinD("ths_adjustment_nv_fund",T$3,$A113))</x:f>
        <x:v>#NAME?</x:v>
      </x:c>
      <x:c r="U113" t="e">
        <x:f>IF($A113="","",[1]!thsiFinD("ths_adjustment_nv_fund",U$3,$A113))</x:f>
        <x:v>#NAME?</x:v>
      </x:c>
      <x:c r="V113" t="e">
        <x:f>IF($A113="","",[1]!thsiFinD("ths_adjustment_nv_fund",V$3,$A113))</x:f>
        <x:v>#NAME?</x:v>
      </x:c>
      <x:c r="W113" t="e">
        <x:f>IF($A113="","",[1]!thsiFinD("ths_adjustment_nv_fund",W$3,$A113))</x:f>
        <x:v>#NAME?</x:v>
      </x:c>
      <x:c r="X113" t="e">
        <x:f>IF($A113="","",[1]!thsiFinD("ths_adjustment_nv_fund",X$3,$A113))</x:f>
        <x:v>#NAME?</x:v>
      </x:c>
      <x:c r="Y113" t="e">
        <x:f>IF($A113="","",[1]!thsiFinD("ths_adjustment_nv_fund",Y$3,$A113))</x:f>
        <x:v>#NAME?</x:v>
      </x:c>
    </x:row>
    <x:row r="114">
      <x:c r="B114" t="e">
        <x:f>IF($A114="","",[1]!thsiFinD("ths_adjustment_nv_fund",B$3,$A114))</x:f>
        <x:v>#NAME?</x:v>
      </x:c>
      <x:c r="C114" t="e">
        <x:f>IF($A114="","",[1]!thsiFinD("ths_adjustment_nv_fund",C$3,$A114))</x:f>
        <x:v>#NAME?</x:v>
      </x:c>
      <x:c r="D114" t="e">
        <x:f>IF($A114="","",[1]!thsiFinD("ths_adjustment_nv_fund",D$3,$A114))</x:f>
        <x:v>#NAME?</x:v>
      </x:c>
      <x:c r="E114" t="e">
        <x:f>IF($A114="","",[1]!thsiFinD("ths_adjustment_nv_fund",E$3,$A114))</x:f>
        <x:v>#NAME?</x:v>
      </x:c>
      <x:c r="F114" t="e">
        <x:f>IF($A114="","",[1]!thsiFinD("ths_adjustment_nv_fund",F$3,$A114))</x:f>
        <x:v>#NAME?</x:v>
      </x:c>
      <x:c r="G114" t="e">
        <x:f>IF($A114="","",[1]!thsiFinD("ths_adjustment_nv_fund",G$3,$A114))</x:f>
        <x:v>#NAME?</x:v>
      </x:c>
      <x:c r="H114" t="e">
        <x:f>IF($A114="","",[1]!thsiFinD("ths_adjustment_nv_fund",H$3,$A114))</x:f>
        <x:v>#NAME?</x:v>
      </x:c>
      <x:c r="I114" t="e">
        <x:f>IF($A114="","",[1]!thsiFinD("ths_adjustment_nv_fund",I$3,$A114))</x:f>
        <x:v>#NAME?</x:v>
      </x:c>
      <x:c r="J114" t="e">
        <x:f>IF($A114="","",[1]!thsiFinD("ths_adjustment_nv_fund",J$3,$A114))</x:f>
        <x:v>#NAME?</x:v>
      </x:c>
      <x:c r="K114" t="e">
        <x:f>IF($A114="","",[1]!thsiFinD("ths_adjustment_nv_fund",K$3,$A114))</x:f>
        <x:v>#NAME?</x:v>
      </x:c>
      <x:c r="L114" t="e">
        <x:f>IF($A114="","",[1]!thsiFinD("ths_adjustment_nv_fund",L$3,$A114))</x:f>
        <x:v>#NAME?</x:v>
      </x:c>
      <x:c r="M114" t="e">
        <x:f>IF($A114="","",[1]!thsiFinD("ths_adjustment_nv_fund",M$3,$A114))</x:f>
        <x:v>#NAME?</x:v>
      </x:c>
      <x:c r="N114" t="e">
        <x:f>IF($A114="","",[1]!thsiFinD("ths_adjustment_nv_fund",N$3,$A114))</x:f>
        <x:v>#NAME?</x:v>
      </x:c>
      <x:c r="O114" t="e">
        <x:f>IF($A114="","",[1]!thsiFinD("ths_adjustment_nv_fund",O$3,$A114))</x:f>
        <x:v>#NAME?</x:v>
      </x:c>
      <x:c r="P114" t="e">
        <x:f>IF($A114="","",[1]!thsiFinD("ths_adjustment_nv_fund",P$3,$A114))</x:f>
        <x:v>#NAME?</x:v>
      </x:c>
      <x:c r="Q114" t="e">
        <x:f>IF($A114="","",[1]!thsiFinD("ths_adjustment_nv_fund",Q$3,$A114))</x:f>
        <x:v>#NAME?</x:v>
      </x:c>
      <x:c r="R114" t="e">
        <x:f>IF($A114="","",[1]!thsiFinD("ths_adjustment_nv_fund",R$3,$A114))</x:f>
        <x:v>#NAME?</x:v>
      </x:c>
      <x:c r="S114" t="e">
        <x:f>IF($A114="","",[1]!thsiFinD("ths_adjustment_nv_fund",S$3,$A114))</x:f>
        <x:v>#NAME?</x:v>
      </x:c>
      <x:c r="T114" t="e">
        <x:f>IF($A114="","",[1]!thsiFinD("ths_adjustment_nv_fund",T$3,$A114))</x:f>
        <x:v>#NAME?</x:v>
      </x:c>
      <x:c r="U114" t="e">
        <x:f>IF($A114="","",[1]!thsiFinD("ths_adjustment_nv_fund",U$3,$A114))</x:f>
        <x:v>#NAME?</x:v>
      </x:c>
      <x:c r="V114" t="e">
        <x:f>IF($A114="","",[1]!thsiFinD("ths_adjustment_nv_fund",V$3,$A114))</x:f>
        <x:v>#NAME?</x:v>
      </x:c>
      <x:c r="W114" t="e">
        <x:f>IF($A114="","",[1]!thsiFinD("ths_adjustment_nv_fund",W$3,$A114))</x:f>
        <x:v>#NAME?</x:v>
      </x:c>
      <x:c r="X114" t="e">
        <x:f>IF($A114="","",[1]!thsiFinD("ths_adjustment_nv_fund",X$3,$A114))</x:f>
        <x:v>#NAME?</x:v>
      </x:c>
      <x:c r="Y114" t="e">
        <x:f>IF($A114="","",[1]!thsiFinD("ths_adjustment_nv_fund",Y$3,$A114))</x:f>
        <x:v>#NAME?</x:v>
      </x:c>
    </x:row>
    <x:row r="115">
      <x:c r="B115" t="e">
        <x:f>IF($A115="","",[1]!thsiFinD("ths_adjustment_nv_fund",B$3,$A115))</x:f>
        <x:v>#NAME?</x:v>
      </x:c>
      <x:c r="C115" t="e">
        <x:f>IF($A115="","",[1]!thsiFinD("ths_adjustment_nv_fund",C$3,$A115))</x:f>
        <x:v>#NAME?</x:v>
      </x:c>
      <x:c r="D115" t="e">
        <x:f>IF($A115="","",[1]!thsiFinD("ths_adjustment_nv_fund",D$3,$A115))</x:f>
        <x:v>#NAME?</x:v>
      </x:c>
      <x:c r="E115" t="e">
        <x:f>IF($A115="","",[1]!thsiFinD("ths_adjustment_nv_fund",E$3,$A115))</x:f>
        <x:v>#NAME?</x:v>
      </x:c>
      <x:c r="F115" t="e">
        <x:f>IF($A115="","",[1]!thsiFinD("ths_adjustment_nv_fund",F$3,$A115))</x:f>
        <x:v>#NAME?</x:v>
      </x:c>
      <x:c r="G115" t="e">
        <x:f>IF($A115="","",[1]!thsiFinD("ths_adjustment_nv_fund",G$3,$A115))</x:f>
        <x:v>#NAME?</x:v>
      </x:c>
      <x:c r="H115" t="e">
        <x:f>IF($A115="","",[1]!thsiFinD("ths_adjustment_nv_fund",H$3,$A115))</x:f>
        <x:v>#NAME?</x:v>
      </x:c>
      <x:c r="I115" t="e">
        <x:f>IF($A115="","",[1]!thsiFinD("ths_adjustment_nv_fund",I$3,$A115))</x:f>
        <x:v>#NAME?</x:v>
      </x:c>
      <x:c r="J115" t="e">
        <x:f>IF($A115="","",[1]!thsiFinD("ths_adjustment_nv_fund",J$3,$A115))</x:f>
        <x:v>#NAME?</x:v>
      </x:c>
      <x:c r="K115" t="e">
        <x:f>IF($A115="","",[1]!thsiFinD("ths_adjustment_nv_fund",K$3,$A115))</x:f>
        <x:v>#NAME?</x:v>
      </x:c>
      <x:c r="L115" t="e">
        <x:f>IF($A115="","",[1]!thsiFinD("ths_adjustment_nv_fund",L$3,$A115))</x:f>
        <x:v>#NAME?</x:v>
      </x:c>
      <x:c r="M115" t="e">
        <x:f>IF($A115="","",[1]!thsiFinD("ths_adjustment_nv_fund",M$3,$A115))</x:f>
        <x:v>#NAME?</x:v>
      </x:c>
      <x:c r="N115" t="e">
        <x:f>IF($A115="","",[1]!thsiFinD("ths_adjustment_nv_fund",N$3,$A115))</x:f>
        <x:v>#NAME?</x:v>
      </x:c>
      <x:c r="O115" t="e">
        <x:f>IF($A115="","",[1]!thsiFinD("ths_adjustment_nv_fund",O$3,$A115))</x:f>
        <x:v>#NAME?</x:v>
      </x:c>
      <x:c r="P115" t="e">
        <x:f>IF($A115="","",[1]!thsiFinD("ths_adjustment_nv_fund",P$3,$A115))</x:f>
        <x:v>#NAME?</x:v>
      </x:c>
      <x:c r="Q115" t="e">
        <x:f>IF($A115="","",[1]!thsiFinD("ths_adjustment_nv_fund",Q$3,$A115))</x:f>
        <x:v>#NAME?</x:v>
      </x:c>
      <x:c r="R115" t="e">
        <x:f>IF($A115="","",[1]!thsiFinD("ths_adjustment_nv_fund",R$3,$A115))</x:f>
        <x:v>#NAME?</x:v>
      </x:c>
      <x:c r="S115" t="e">
        <x:f>IF($A115="","",[1]!thsiFinD("ths_adjustment_nv_fund",S$3,$A115))</x:f>
        <x:v>#NAME?</x:v>
      </x:c>
      <x:c r="T115" t="e">
        <x:f>IF($A115="","",[1]!thsiFinD("ths_adjustment_nv_fund",T$3,$A115))</x:f>
        <x:v>#NAME?</x:v>
      </x:c>
      <x:c r="U115" t="e">
        <x:f>IF($A115="","",[1]!thsiFinD("ths_adjustment_nv_fund",U$3,$A115))</x:f>
        <x:v>#NAME?</x:v>
      </x:c>
      <x:c r="V115" t="e">
        <x:f>IF($A115="","",[1]!thsiFinD("ths_adjustment_nv_fund",V$3,$A115))</x:f>
        <x:v>#NAME?</x:v>
      </x:c>
      <x:c r="W115" t="e">
        <x:f>IF($A115="","",[1]!thsiFinD("ths_adjustment_nv_fund",W$3,$A115))</x:f>
        <x:v>#NAME?</x:v>
      </x:c>
      <x:c r="X115" t="e">
        <x:f>IF($A115="","",[1]!thsiFinD("ths_adjustment_nv_fund",X$3,$A115))</x:f>
        <x:v>#NAME?</x:v>
      </x:c>
      <x:c r="Y115" t="e">
        <x:f>IF($A115="","",[1]!thsiFinD("ths_adjustment_nv_fund",Y$3,$A115))</x:f>
        <x:v>#NAME?</x:v>
      </x:c>
    </x:row>
    <x:row r="116">
      <x:c r="B116" t="e">
        <x:f>IF($A116="","",[1]!thsiFinD("ths_adjustment_nv_fund",B$3,$A116))</x:f>
        <x:v>#NAME?</x:v>
      </x:c>
      <x:c r="C116" t="e">
        <x:f>IF($A116="","",[1]!thsiFinD("ths_adjustment_nv_fund",C$3,$A116))</x:f>
        <x:v>#NAME?</x:v>
      </x:c>
      <x:c r="D116" t="e">
        <x:f>IF($A116="","",[1]!thsiFinD("ths_adjustment_nv_fund",D$3,$A116))</x:f>
        <x:v>#NAME?</x:v>
      </x:c>
      <x:c r="E116" t="e">
        <x:f>IF($A116="","",[1]!thsiFinD("ths_adjustment_nv_fund",E$3,$A116))</x:f>
        <x:v>#NAME?</x:v>
      </x:c>
      <x:c r="F116" t="e">
        <x:f>IF($A116="","",[1]!thsiFinD("ths_adjustment_nv_fund",F$3,$A116))</x:f>
        <x:v>#NAME?</x:v>
      </x:c>
      <x:c r="G116" t="e">
        <x:f>IF($A116="","",[1]!thsiFinD("ths_adjustment_nv_fund",G$3,$A116))</x:f>
        <x:v>#NAME?</x:v>
      </x:c>
      <x:c r="H116" t="e">
        <x:f>IF($A116="","",[1]!thsiFinD("ths_adjustment_nv_fund",H$3,$A116))</x:f>
        <x:v>#NAME?</x:v>
      </x:c>
      <x:c r="I116" t="e">
        <x:f>IF($A116="","",[1]!thsiFinD("ths_adjustment_nv_fund",I$3,$A116))</x:f>
        <x:v>#NAME?</x:v>
      </x:c>
      <x:c r="J116" t="e">
        <x:f>IF($A116="","",[1]!thsiFinD("ths_adjustment_nv_fund",J$3,$A116))</x:f>
        <x:v>#NAME?</x:v>
      </x:c>
      <x:c r="K116" t="e">
        <x:f>IF($A116="","",[1]!thsiFinD("ths_adjustment_nv_fund",K$3,$A116))</x:f>
        <x:v>#NAME?</x:v>
      </x:c>
      <x:c r="L116" t="e">
        <x:f>IF($A116="","",[1]!thsiFinD("ths_adjustment_nv_fund",L$3,$A116))</x:f>
        <x:v>#NAME?</x:v>
      </x:c>
      <x:c r="M116" t="e">
        <x:f>IF($A116="","",[1]!thsiFinD("ths_adjustment_nv_fund",M$3,$A116))</x:f>
        <x:v>#NAME?</x:v>
      </x:c>
      <x:c r="N116" t="e">
        <x:f>IF($A116="","",[1]!thsiFinD("ths_adjustment_nv_fund",N$3,$A116))</x:f>
        <x:v>#NAME?</x:v>
      </x:c>
      <x:c r="O116" t="e">
        <x:f>IF($A116="","",[1]!thsiFinD("ths_adjustment_nv_fund",O$3,$A116))</x:f>
        <x:v>#NAME?</x:v>
      </x:c>
      <x:c r="P116" t="e">
        <x:f>IF($A116="","",[1]!thsiFinD("ths_adjustment_nv_fund",P$3,$A116))</x:f>
        <x:v>#NAME?</x:v>
      </x:c>
      <x:c r="Q116" t="e">
        <x:f>IF($A116="","",[1]!thsiFinD("ths_adjustment_nv_fund",Q$3,$A116))</x:f>
        <x:v>#NAME?</x:v>
      </x:c>
      <x:c r="R116" t="e">
        <x:f>IF($A116="","",[1]!thsiFinD("ths_adjustment_nv_fund",R$3,$A116))</x:f>
        <x:v>#NAME?</x:v>
      </x:c>
      <x:c r="S116" t="e">
        <x:f>IF($A116="","",[1]!thsiFinD("ths_adjustment_nv_fund",S$3,$A116))</x:f>
        <x:v>#NAME?</x:v>
      </x:c>
      <x:c r="T116" t="e">
        <x:f>IF($A116="","",[1]!thsiFinD("ths_adjustment_nv_fund",T$3,$A116))</x:f>
        <x:v>#NAME?</x:v>
      </x:c>
      <x:c r="U116" t="e">
        <x:f>IF($A116="","",[1]!thsiFinD("ths_adjustment_nv_fund",U$3,$A116))</x:f>
        <x:v>#NAME?</x:v>
      </x:c>
      <x:c r="V116" t="e">
        <x:f>IF($A116="","",[1]!thsiFinD("ths_adjustment_nv_fund",V$3,$A116))</x:f>
        <x:v>#NAME?</x:v>
      </x:c>
      <x:c r="W116" t="e">
        <x:f>IF($A116="","",[1]!thsiFinD("ths_adjustment_nv_fund",W$3,$A116))</x:f>
        <x:v>#NAME?</x:v>
      </x:c>
      <x:c r="X116" t="e">
        <x:f>IF($A116="","",[1]!thsiFinD("ths_adjustment_nv_fund",X$3,$A116))</x:f>
        <x:v>#NAME?</x:v>
      </x:c>
      <x:c r="Y116" t="e">
        <x:f>IF($A116="","",[1]!thsiFinD("ths_adjustment_nv_fund",Y$3,$A116))</x:f>
        <x:v>#NAME?</x:v>
      </x:c>
    </x:row>
    <x:row r="117">
      <x:c r="B117" t="e">
        <x:f>IF($A117="","",[1]!thsiFinD("ths_adjustment_nv_fund",B$3,$A117))</x:f>
        <x:v>#NAME?</x:v>
      </x:c>
      <x:c r="C117" t="e">
        <x:f>IF($A117="","",[1]!thsiFinD("ths_adjustment_nv_fund",C$3,$A117))</x:f>
        <x:v>#NAME?</x:v>
      </x:c>
      <x:c r="D117" t="e">
        <x:f>IF($A117="","",[1]!thsiFinD("ths_adjustment_nv_fund",D$3,$A117))</x:f>
        <x:v>#NAME?</x:v>
      </x:c>
      <x:c r="E117" t="e">
        <x:f>IF($A117="","",[1]!thsiFinD("ths_adjustment_nv_fund",E$3,$A117))</x:f>
        <x:v>#NAME?</x:v>
      </x:c>
      <x:c r="F117" t="e">
        <x:f>IF($A117="","",[1]!thsiFinD("ths_adjustment_nv_fund",F$3,$A117))</x:f>
        <x:v>#NAME?</x:v>
      </x:c>
      <x:c r="G117" t="e">
        <x:f>IF($A117="","",[1]!thsiFinD("ths_adjustment_nv_fund",G$3,$A117))</x:f>
        <x:v>#NAME?</x:v>
      </x:c>
      <x:c r="H117" t="e">
        <x:f>IF($A117="","",[1]!thsiFinD("ths_adjustment_nv_fund",H$3,$A117))</x:f>
        <x:v>#NAME?</x:v>
      </x:c>
      <x:c r="I117" t="e">
        <x:f>IF($A117="","",[1]!thsiFinD("ths_adjustment_nv_fund",I$3,$A117))</x:f>
        <x:v>#NAME?</x:v>
      </x:c>
      <x:c r="J117" t="e">
        <x:f>IF($A117="","",[1]!thsiFinD("ths_adjustment_nv_fund",J$3,$A117))</x:f>
        <x:v>#NAME?</x:v>
      </x:c>
      <x:c r="K117" t="e">
        <x:f>IF($A117="","",[1]!thsiFinD("ths_adjustment_nv_fund",K$3,$A117))</x:f>
        <x:v>#NAME?</x:v>
      </x:c>
      <x:c r="L117" t="e">
        <x:f>IF($A117="","",[1]!thsiFinD("ths_adjustment_nv_fund",L$3,$A117))</x:f>
        <x:v>#NAME?</x:v>
      </x:c>
      <x:c r="M117" t="e">
        <x:f>IF($A117="","",[1]!thsiFinD("ths_adjustment_nv_fund",M$3,$A117))</x:f>
        <x:v>#NAME?</x:v>
      </x:c>
      <x:c r="N117" t="e">
        <x:f>IF($A117="","",[1]!thsiFinD("ths_adjustment_nv_fund",N$3,$A117))</x:f>
        <x:v>#NAME?</x:v>
      </x:c>
      <x:c r="O117" t="e">
        <x:f>IF($A117="","",[1]!thsiFinD("ths_adjustment_nv_fund",O$3,$A117))</x:f>
        <x:v>#NAME?</x:v>
      </x:c>
      <x:c r="P117" t="e">
        <x:f>IF($A117="","",[1]!thsiFinD("ths_adjustment_nv_fund",P$3,$A117))</x:f>
        <x:v>#NAME?</x:v>
      </x:c>
      <x:c r="Q117" t="e">
        <x:f>IF($A117="","",[1]!thsiFinD("ths_adjustment_nv_fund",Q$3,$A117))</x:f>
        <x:v>#NAME?</x:v>
      </x:c>
      <x:c r="R117" t="e">
        <x:f>IF($A117="","",[1]!thsiFinD("ths_adjustment_nv_fund",R$3,$A117))</x:f>
        <x:v>#NAME?</x:v>
      </x:c>
      <x:c r="S117" t="e">
        <x:f>IF($A117="","",[1]!thsiFinD("ths_adjustment_nv_fund",S$3,$A117))</x:f>
        <x:v>#NAME?</x:v>
      </x:c>
      <x:c r="T117" t="e">
        <x:f>IF($A117="","",[1]!thsiFinD("ths_adjustment_nv_fund",T$3,$A117))</x:f>
        <x:v>#NAME?</x:v>
      </x:c>
      <x:c r="U117" t="e">
        <x:f>IF($A117="","",[1]!thsiFinD("ths_adjustment_nv_fund",U$3,$A117))</x:f>
        <x:v>#NAME?</x:v>
      </x:c>
      <x:c r="V117" t="e">
        <x:f>IF($A117="","",[1]!thsiFinD("ths_adjustment_nv_fund",V$3,$A117))</x:f>
        <x:v>#NAME?</x:v>
      </x:c>
      <x:c r="W117" t="e">
        <x:f>IF($A117="","",[1]!thsiFinD("ths_adjustment_nv_fund",W$3,$A117))</x:f>
        <x:v>#NAME?</x:v>
      </x:c>
      <x:c r="X117" t="e">
        <x:f>IF($A117="","",[1]!thsiFinD("ths_adjustment_nv_fund",X$3,$A117))</x:f>
        <x:v>#NAME?</x:v>
      </x:c>
      <x:c r="Y117" t="e">
        <x:f>IF($A117="","",[1]!thsiFinD("ths_adjustment_nv_fund",Y$3,$A117))</x:f>
        <x:v>#NAME?</x:v>
      </x:c>
    </x:row>
    <x:row r="118">
      <x:c r="B118" t="e">
        <x:f>IF($A118="","",[1]!thsiFinD("ths_adjustment_nv_fund",B$3,$A118))</x:f>
        <x:v>#NAME?</x:v>
      </x:c>
      <x:c r="C118" t="e">
        <x:f>IF($A118="","",[1]!thsiFinD("ths_adjustment_nv_fund",C$3,$A118))</x:f>
        <x:v>#NAME?</x:v>
      </x:c>
      <x:c r="D118" t="e">
        <x:f>IF($A118="","",[1]!thsiFinD("ths_adjustment_nv_fund",D$3,$A118))</x:f>
        <x:v>#NAME?</x:v>
      </x:c>
      <x:c r="E118" t="e">
        <x:f>IF($A118="","",[1]!thsiFinD("ths_adjustment_nv_fund",E$3,$A118))</x:f>
        <x:v>#NAME?</x:v>
      </x:c>
      <x:c r="F118" t="e">
        <x:f>IF($A118="","",[1]!thsiFinD("ths_adjustment_nv_fund",F$3,$A118))</x:f>
        <x:v>#NAME?</x:v>
      </x:c>
      <x:c r="G118" t="e">
        <x:f>IF($A118="","",[1]!thsiFinD("ths_adjustment_nv_fund",G$3,$A118))</x:f>
        <x:v>#NAME?</x:v>
      </x:c>
      <x:c r="H118" t="e">
        <x:f>IF($A118="","",[1]!thsiFinD("ths_adjustment_nv_fund",H$3,$A118))</x:f>
        <x:v>#NAME?</x:v>
      </x:c>
      <x:c r="I118" t="e">
        <x:f>IF($A118="","",[1]!thsiFinD("ths_adjustment_nv_fund",I$3,$A118))</x:f>
        <x:v>#NAME?</x:v>
      </x:c>
      <x:c r="J118" t="e">
        <x:f>IF($A118="","",[1]!thsiFinD("ths_adjustment_nv_fund",J$3,$A118))</x:f>
        <x:v>#NAME?</x:v>
      </x:c>
      <x:c r="K118" t="e">
        <x:f>IF($A118="","",[1]!thsiFinD("ths_adjustment_nv_fund",K$3,$A118))</x:f>
        <x:v>#NAME?</x:v>
      </x:c>
      <x:c r="L118" t="e">
        <x:f>IF($A118="","",[1]!thsiFinD("ths_adjustment_nv_fund",L$3,$A118))</x:f>
        <x:v>#NAME?</x:v>
      </x:c>
      <x:c r="M118" t="e">
        <x:f>IF($A118="","",[1]!thsiFinD("ths_adjustment_nv_fund",M$3,$A118))</x:f>
        <x:v>#NAME?</x:v>
      </x:c>
      <x:c r="N118" t="e">
        <x:f>IF($A118="","",[1]!thsiFinD("ths_adjustment_nv_fund",N$3,$A118))</x:f>
        <x:v>#NAME?</x:v>
      </x:c>
      <x:c r="O118" t="e">
        <x:f>IF($A118="","",[1]!thsiFinD("ths_adjustment_nv_fund",O$3,$A118))</x:f>
        <x:v>#NAME?</x:v>
      </x:c>
      <x:c r="P118" t="e">
        <x:f>IF($A118="","",[1]!thsiFinD("ths_adjustment_nv_fund",P$3,$A118))</x:f>
        <x:v>#NAME?</x:v>
      </x:c>
      <x:c r="Q118" t="e">
        <x:f>IF($A118="","",[1]!thsiFinD("ths_adjustment_nv_fund",Q$3,$A118))</x:f>
        <x:v>#NAME?</x:v>
      </x:c>
      <x:c r="R118" t="e">
        <x:f>IF($A118="","",[1]!thsiFinD("ths_adjustment_nv_fund",R$3,$A118))</x:f>
        <x:v>#NAME?</x:v>
      </x:c>
      <x:c r="S118" t="e">
        <x:f>IF($A118="","",[1]!thsiFinD("ths_adjustment_nv_fund",S$3,$A118))</x:f>
        <x:v>#NAME?</x:v>
      </x:c>
      <x:c r="T118" t="e">
        <x:f>IF($A118="","",[1]!thsiFinD("ths_adjustment_nv_fund",T$3,$A118))</x:f>
        <x:v>#NAME?</x:v>
      </x:c>
      <x:c r="U118" t="e">
        <x:f>IF($A118="","",[1]!thsiFinD("ths_adjustment_nv_fund",U$3,$A118))</x:f>
        <x:v>#NAME?</x:v>
      </x:c>
      <x:c r="V118" t="e">
        <x:f>IF($A118="","",[1]!thsiFinD("ths_adjustment_nv_fund",V$3,$A118))</x:f>
        <x:v>#NAME?</x:v>
      </x:c>
      <x:c r="W118" t="e">
        <x:f>IF($A118="","",[1]!thsiFinD("ths_adjustment_nv_fund",W$3,$A118))</x:f>
        <x:v>#NAME?</x:v>
      </x:c>
      <x:c r="X118" t="e">
        <x:f>IF($A118="","",[1]!thsiFinD("ths_adjustment_nv_fund",X$3,$A118))</x:f>
        <x:v>#NAME?</x:v>
      </x:c>
      <x:c r="Y118" t="e">
        <x:f>IF($A118="","",[1]!thsiFinD("ths_adjustment_nv_fund",Y$3,$A118))</x:f>
        <x:v>#NAME?</x:v>
      </x:c>
    </x:row>
    <x:row r="119">
      <x:c r="B119" t="e">
        <x:f>IF($A119="","",[1]!thsiFinD("ths_adjustment_nv_fund",B$3,$A119))</x:f>
        <x:v>#NAME?</x:v>
      </x:c>
      <x:c r="C119" t="e">
        <x:f>IF($A119="","",[1]!thsiFinD("ths_adjustment_nv_fund",C$3,$A119))</x:f>
        <x:v>#NAME?</x:v>
      </x:c>
      <x:c r="D119" t="e">
        <x:f>IF($A119="","",[1]!thsiFinD("ths_adjustment_nv_fund",D$3,$A119))</x:f>
        <x:v>#NAME?</x:v>
      </x:c>
      <x:c r="E119" t="e">
        <x:f>IF($A119="","",[1]!thsiFinD("ths_adjustment_nv_fund",E$3,$A119))</x:f>
        <x:v>#NAME?</x:v>
      </x:c>
      <x:c r="F119" t="e">
        <x:f>IF($A119="","",[1]!thsiFinD("ths_adjustment_nv_fund",F$3,$A119))</x:f>
        <x:v>#NAME?</x:v>
      </x:c>
      <x:c r="G119" t="e">
        <x:f>IF($A119="","",[1]!thsiFinD("ths_adjustment_nv_fund",G$3,$A119))</x:f>
        <x:v>#NAME?</x:v>
      </x:c>
      <x:c r="H119" t="e">
        <x:f>IF($A119="","",[1]!thsiFinD("ths_adjustment_nv_fund",H$3,$A119))</x:f>
        <x:v>#NAME?</x:v>
      </x:c>
      <x:c r="I119" t="e">
        <x:f>IF($A119="","",[1]!thsiFinD("ths_adjustment_nv_fund",I$3,$A119))</x:f>
        <x:v>#NAME?</x:v>
      </x:c>
      <x:c r="J119" t="e">
        <x:f>IF($A119="","",[1]!thsiFinD("ths_adjustment_nv_fund",J$3,$A119))</x:f>
        <x:v>#NAME?</x:v>
      </x:c>
      <x:c r="K119" t="e">
        <x:f>IF($A119="","",[1]!thsiFinD("ths_adjustment_nv_fund",K$3,$A119))</x:f>
        <x:v>#NAME?</x:v>
      </x:c>
      <x:c r="L119" t="e">
        <x:f>IF($A119="","",[1]!thsiFinD("ths_adjustment_nv_fund",L$3,$A119))</x:f>
        <x:v>#NAME?</x:v>
      </x:c>
      <x:c r="M119" t="e">
        <x:f>IF($A119="","",[1]!thsiFinD("ths_adjustment_nv_fund",M$3,$A119))</x:f>
        <x:v>#NAME?</x:v>
      </x:c>
      <x:c r="N119" t="e">
        <x:f>IF($A119="","",[1]!thsiFinD("ths_adjustment_nv_fund",N$3,$A119))</x:f>
        <x:v>#NAME?</x:v>
      </x:c>
      <x:c r="O119" t="e">
        <x:f>IF($A119="","",[1]!thsiFinD("ths_adjustment_nv_fund",O$3,$A119))</x:f>
        <x:v>#NAME?</x:v>
      </x:c>
      <x:c r="P119" t="e">
        <x:f>IF($A119="","",[1]!thsiFinD("ths_adjustment_nv_fund",P$3,$A119))</x:f>
        <x:v>#NAME?</x:v>
      </x:c>
      <x:c r="Q119" t="e">
        <x:f>IF($A119="","",[1]!thsiFinD("ths_adjustment_nv_fund",Q$3,$A119))</x:f>
        <x:v>#NAME?</x:v>
      </x:c>
      <x:c r="R119" t="e">
        <x:f>IF($A119="","",[1]!thsiFinD("ths_adjustment_nv_fund",R$3,$A119))</x:f>
        <x:v>#NAME?</x:v>
      </x:c>
      <x:c r="S119" t="e">
        <x:f>IF($A119="","",[1]!thsiFinD("ths_adjustment_nv_fund",S$3,$A119))</x:f>
        <x:v>#NAME?</x:v>
      </x:c>
      <x:c r="T119" t="e">
        <x:f>IF($A119="","",[1]!thsiFinD("ths_adjustment_nv_fund",T$3,$A119))</x:f>
        <x:v>#NAME?</x:v>
      </x:c>
      <x:c r="U119" t="e">
        <x:f>IF($A119="","",[1]!thsiFinD("ths_adjustment_nv_fund",U$3,$A119))</x:f>
        <x:v>#NAME?</x:v>
      </x:c>
      <x:c r="V119" t="e">
        <x:f>IF($A119="","",[1]!thsiFinD("ths_adjustment_nv_fund",V$3,$A119))</x:f>
        <x:v>#NAME?</x:v>
      </x:c>
      <x:c r="W119" t="e">
        <x:f>IF($A119="","",[1]!thsiFinD("ths_adjustment_nv_fund",W$3,$A119))</x:f>
        <x:v>#NAME?</x:v>
      </x:c>
      <x:c r="X119" t="e">
        <x:f>IF($A119="","",[1]!thsiFinD("ths_adjustment_nv_fund",X$3,$A119))</x:f>
        <x:v>#NAME?</x:v>
      </x:c>
      <x:c r="Y119" t="e">
        <x:f>IF($A119="","",[1]!thsiFinD("ths_adjustment_nv_fund",Y$3,$A119))</x:f>
        <x:v>#NAME?</x:v>
      </x:c>
    </x:row>
    <x:row r="120">
      <x:c r="B120" t="e">
        <x:f>IF($A120="","",[1]!thsiFinD("ths_adjustment_nv_fund",B$3,$A120))</x:f>
        <x:v>#NAME?</x:v>
      </x:c>
      <x:c r="C120" t="e">
        <x:f>IF($A120="","",[1]!thsiFinD("ths_adjustment_nv_fund",C$3,$A120))</x:f>
        <x:v>#NAME?</x:v>
      </x:c>
      <x:c r="D120" t="e">
        <x:f>IF($A120="","",[1]!thsiFinD("ths_adjustment_nv_fund",D$3,$A120))</x:f>
        <x:v>#NAME?</x:v>
      </x:c>
      <x:c r="E120" t="e">
        <x:f>IF($A120="","",[1]!thsiFinD("ths_adjustment_nv_fund",E$3,$A120))</x:f>
        <x:v>#NAME?</x:v>
      </x:c>
      <x:c r="F120" t="e">
        <x:f>IF($A120="","",[1]!thsiFinD("ths_adjustment_nv_fund",F$3,$A120))</x:f>
        <x:v>#NAME?</x:v>
      </x:c>
      <x:c r="G120" t="e">
        <x:f>IF($A120="","",[1]!thsiFinD("ths_adjustment_nv_fund",G$3,$A120))</x:f>
        <x:v>#NAME?</x:v>
      </x:c>
      <x:c r="H120" t="e">
        <x:f>IF($A120="","",[1]!thsiFinD("ths_adjustment_nv_fund",H$3,$A120))</x:f>
        <x:v>#NAME?</x:v>
      </x:c>
      <x:c r="I120" t="e">
        <x:f>IF($A120="","",[1]!thsiFinD("ths_adjustment_nv_fund",I$3,$A120))</x:f>
        <x:v>#NAME?</x:v>
      </x:c>
      <x:c r="J120" t="e">
        <x:f>IF($A120="","",[1]!thsiFinD("ths_adjustment_nv_fund",J$3,$A120))</x:f>
        <x:v>#NAME?</x:v>
      </x:c>
      <x:c r="K120" t="e">
        <x:f>IF($A120="","",[1]!thsiFinD("ths_adjustment_nv_fund",K$3,$A120))</x:f>
        <x:v>#NAME?</x:v>
      </x:c>
      <x:c r="L120" t="e">
        <x:f>IF($A120="","",[1]!thsiFinD("ths_adjustment_nv_fund",L$3,$A120))</x:f>
        <x:v>#NAME?</x:v>
      </x:c>
      <x:c r="M120" t="e">
        <x:f>IF($A120="","",[1]!thsiFinD("ths_adjustment_nv_fund",M$3,$A120))</x:f>
        <x:v>#NAME?</x:v>
      </x:c>
      <x:c r="N120" t="e">
        <x:f>IF($A120="","",[1]!thsiFinD("ths_adjustment_nv_fund",N$3,$A120))</x:f>
        <x:v>#NAME?</x:v>
      </x:c>
      <x:c r="O120" t="e">
        <x:f>IF($A120="","",[1]!thsiFinD("ths_adjustment_nv_fund",O$3,$A120))</x:f>
        <x:v>#NAME?</x:v>
      </x:c>
      <x:c r="P120" t="e">
        <x:f>IF($A120="","",[1]!thsiFinD("ths_adjustment_nv_fund",P$3,$A120))</x:f>
        <x:v>#NAME?</x:v>
      </x:c>
      <x:c r="Q120" t="e">
        <x:f>IF($A120="","",[1]!thsiFinD("ths_adjustment_nv_fund",Q$3,$A120))</x:f>
        <x:v>#NAME?</x:v>
      </x:c>
      <x:c r="R120" t="e">
        <x:f>IF($A120="","",[1]!thsiFinD("ths_adjustment_nv_fund",R$3,$A120))</x:f>
        <x:v>#NAME?</x:v>
      </x:c>
      <x:c r="S120" t="e">
        <x:f>IF($A120="","",[1]!thsiFinD("ths_adjustment_nv_fund",S$3,$A120))</x:f>
        <x:v>#NAME?</x:v>
      </x:c>
      <x:c r="T120" t="e">
        <x:f>IF($A120="","",[1]!thsiFinD("ths_adjustment_nv_fund",T$3,$A120))</x:f>
        <x:v>#NAME?</x:v>
      </x:c>
      <x:c r="U120" t="e">
        <x:f>IF($A120="","",[1]!thsiFinD("ths_adjustment_nv_fund",U$3,$A120))</x:f>
        <x:v>#NAME?</x:v>
      </x:c>
      <x:c r="V120" t="e">
        <x:f>IF($A120="","",[1]!thsiFinD("ths_adjustment_nv_fund",V$3,$A120))</x:f>
        <x:v>#NAME?</x:v>
      </x:c>
      <x:c r="W120" t="e">
        <x:f>IF($A120="","",[1]!thsiFinD("ths_adjustment_nv_fund",W$3,$A120))</x:f>
        <x:v>#NAME?</x:v>
      </x:c>
      <x:c r="X120" t="e">
        <x:f>IF($A120="","",[1]!thsiFinD("ths_adjustment_nv_fund",X$3,$A120))</x:f>
        <x:v>#NAME?</x:v>
      </x:c>
      <x:c r="Y120" t="e">
        <x:f>IF($A120="","",[1]!thsiFinD("ths_adjustment_nv_fund",Y$3,$A120))</x:f>
        <x:v>#NAME?</x:v>
      </x:c>
    </x:row>
    <x:row r="121">
      <x:c r="B121" t="e">
        <x:f>IF($A121="","",[1]!thsiFinD("ths_adjustment_nv_fund",B$3,$A121))</x:f>
        <x:v>#NAME?</x:v>
      </x:c>
      <x:c r="C121" t="e">
        <x:f>IF($A121="","",[1]!thsiFinD("ths_adjustment_nv_fund",C$3,$A121))</x:f>
        <x:v>#NAME?</x:v>
      </x:c>
      <x:c r="D121" t="e">
        <x:f>IF($A121="","",[1]!thsiFinD("ths_adjustment_nv_fund",D$3,$A121))</x:f>
        <x:v>#NAME?</x:v>
      </x:c>
      <x:c r="E121" t="e">
        <x:f>IF($A121="","",[1]!thsiFinD("ths_adjustment_nv_fund",E$3,$A121))</x:f>
        <x:v>#NAME?</x:v>
      </x:c>
      <x:c r="F121" t="e">
        <x:f>IF($A121="","",[1]!thsiFinD("ths_adjustment_nv_fund",F$3,$A121))</x:f>
        <x:v>#NAME?</x:v>
      </x:c>
      <x:c r="G121" t="e">
        <x:f>IF($A121="","",[1]!thsiFinD("ths_adjustment_nv_fund",G$3,$A121))</x:f>
        <x:v>#NAME?</x:v>
      </x:c>
      <x:c r="H121" t="e">
        <x:f>IF($A121="","",[1]!thsiFinD("ths_adjustment_nv_fund",H$3,$A121))</x:f>
        <x:v>#NAME?</x:v>
      </x:c>
      <x:c r="I121" t="e">
        <x:f>IF($A121="","",[1]!thsiFinD("ths_adjustment_nv_fund",I$3,$A121))</x:f>
        <x:v>#NAME?</x:v>
      </x:c>
      <x:c r="J121" t="e">
        <x:f>IF($A121="","",[1]!thsiFinD("ths_adjustment_nv_fund",J$3,$A121))</x:f>
        <x:v>#NAME?</x:v>
      </x:c>
      <x:c r="K121" t="e">
        <x:f>IF($A121="","",[1]!thsiFinD("ths_adjustment_nv_fund",K$3,$A121))</x:f>
        <x:v>#NAME?</x:v>
      </x:c>
      <x:c r="L121" t="e">
        <x:f>IF($A121="","",[1]!thsiFinD("ths_adjustment_nv_fund",L$3,$A121))</x:f>
        <x:v>#NAME?</x:v>
      </x:c>
      <x:c r="M121" t="e">
        <x:f>IF($A121="","",[1]!thsiFinD("ths_adjustment_nv_fund",M$3,$A121))</x:f>
        <x:v>#NAME?</x:v>
      </x:c>
      <x:c r="N121" t="e">
        <x:f>IF($A121="","",[1]!thsiFinD("ths_adjustment_nv_fund",N$3,$A121))</x:f>
        <x:v>#NAME?</x:v>
      </x:c>
      <x:c r="O121" t="e">
        <x:f>IF($A121="","",[1]!thsiFinD("ths_adjustment_nv_fund",O$3,$A121))</x:f>
        <x:v>#NAME?</x:v>
      </x:c>
      <x:c r="P121" t="e">
        <x:f>IF($A121="","",[1]!thsiFinD("ths_adjustment_nv_fund",P$3,$A121))</x:f>
        <x:v>#NAME?</x:v>
      </x:c>
      <x:c r="Q121" t="e">
        <x:f>IF($A121="","",[1]!thsiFinD("ths_adjustment_nv_fund",Q$3,$A121))</x:f>
        <x:v>#NAME?</x:v>
      </x:c>
      <x:c r="R121" t="e">
        <x:f>IF($A121="","",[1]!thsiFinD("ths_adjustment_nv_fund",R$3,$A121))</x:f>
        <x:v>#NAME?</x:v>
      </x:c>
      <x:c r="S121" t="e">
        <x:f>IF($A121="","",[1]!thsiFinD("ths_adjustment_nv_fund",S$3,$A121))</x:f>
        <x:v>#NAME?</x:v>
      </x:c>
      <x:c r="T121" t="e">
        <x:f>IF($A121="","",[1]!thsiFinD("ths_adjustment_nv_fund",T$3,$A121))</x:f>
        <x:v>#NAME?</x:v>
      </x:c>
      <x:c r="U121" t="e">
        <x:f>IF($A121="","",[1]!thsiFinD("ths_adjustment_nv_fund",U$3,$A121))</x:f>
        <x:v>#NAME?</x:v>
      </x:c>
      <x:c r="V121" t="e">
        <x:f>IF($A121="","",[1]!thsiFinD("ths_adjustment_nv_fund",V$3,$A121))</x:f>
        <x:v>#NAME?</x:v>
      </x:c>
      <x:c r="W121" t="e">
        <x:f>IF($A121="","",[1]!thsiFinD("ths_adjustment_nv_fund",W$3,$A121))</x:f>
        <x:v>#NAME?</x:v>
      </x:c>
      <x:c r="X121" t="e">
        <x:f>IF($A121="","",[1]!thsiFinD("ths_adjustment_nv_fund",X$3,$A121))</x:f>
        <x:v>#NAME?</x:v>
      </x:c>
      <x:c r="Y121" t="e">
        <x:f>IF($A121="","",[1]!thsiFinD("ths_adjustment_nv_fund",Y$3,$A121))</x:f>
        <x:v>#NAME?</x:v>
      </x:c>
    </x:row>
    <x:row r="122">
      <x:c r="B122" t="e">
        <x:f>IF($A122="","",[1]!thsiFinD("ths_adjustment_nv_fund",B$3,$A122))</x:f>
        <x:v>#NAME?</x:v>
      </x:c>
      <x:c r="C122" t="e">
        <x:f>IF($A122="","",[1]!thsiFinD("ths_adjustment_nv_fund",C$3,$A122))</x:f>
        <x:v>#NAME?</x:v>
      </x:c>
      <x:c r="D122" t="e">
        <x:f>IF($A122="","",[1]!thsiFinD("ths_adjustment_nv_fund",D$3,$A122))</x:f>
        <x:v>#NAME?</x:v>
      </x:c>
      <x:c r="E122" t="e">
        <x:f>IF($A122="","",[1]!thsiFinD("ths_adjustment_nv_fund",E$3,$A122))</x:f>
        <x:v>#NAME?</x:v>
      </x:c>
      <x:c r="F122" t="e">
        <x:f>IF($A122="","",[1]!thsiFinD("ths_adjustment_nv_fund",F$3,$A122))</x:f>
        <x:v>#NAME?</x:v>
      </x:c>
      <x:c r="G122" t="e">
        <x:f>IF($A122="","",[1]!thsiFinD("ths_adjustment_nv_fund",G$3,$A122))</x:f>
        <x:v>#NAME?</x:v>
      </x:c>
      <x:c r="H122" t="e">
        <x:f>IF($A122="","",[1]!thsiFinD("ths_adjustment_nv_fund",H$3,$A122))</x:f>
        <x:v>#NAME?</x:v>
      </x:c>
      <x:c r="I122" t="e">
        <x:f>IF($A122="","",[1]!thsiFinD("ths_adjustment_nv_fund",I$3,$A122))</x:f>
        <x:v>#NAME?</x:v>
      </x:c>
      <x:c r="J122" t="e">
        <x:f>IF($A122="","",[1]!thsiFinD("ths_adjustment_nv_fund",J$3,$A122))</x:f>
        <x:v>#NAME?</x:v>
      </x:c>
      <x:c r="K122" t="e">
        <x:f>IF($A122="","",[1]!thsiFinD("ths_adjustment_nv_fund",K$3,$A122))</x:f>
        <x:v>#NAME?</x:v>
      </x:c>
      <x:c r="L122" t="e">
        <x:f>IF($A122="","",[1]!thsiFinD("ths_adjustment_nv_fund",L$3,$A122))</x:f>
        <x:v>#NAME?</x:v>
      </x:c>
      <x:c r="M122" t="e">
        <x:f>IF($A122="","",[1]!thsiFinD("ths_adjustment_nv_fund",M$3,$A122))</x:f>
        <x:v>#NAME?</x:v>
      </x:c>
      <x:c r="N122" t="e">
        <x:f>IF($A122="","",[1]!thsiFinD("ths_adjustment_nv_fund",N$3,$A122))</x:f>
        <x:v>#NAME?</x:v>
      </x:c>
      <x:c r="O122" t="e">
        <x:f>IF($A122="","",[1]!thsiFinD("ths_adjustment_nv_fund",O$3,$A122))</x:f>
        <x:v>#NAME?</x:v>
      </x:c>
      <x:c r="P122" t="e">
        <x:f>IF($A122="","",[1]!thsiFinD("ths_adjustment_nv_fund",P$3,$A122))</x:f>
        <x:v>#NAME?</x:v>
      </x:c>
      <x:c r="Q122" t="e">
        <x:f>IF($A122="","",[1]!thsiFinD("ths_adjustment_nv_fund",Q$3,$A122))</x:f>
        <x:v>#NAME?</x:v>
      </x:c>
      <x:c r="R122" t="e">
        <x:f>IF($A122="","",[1]!thsiFinD("ths_adjustment_nv_fund",R$3,$A122))</x:f>
        <x:v>#NAME?</x:v>
      </x:c>
      <x:c r="S122" t="e">
        <x:f>IF($A122="","",[1]!thsiFinD("ths_adjustment_nv_fund",S$3,$A122))</x:f>
        <x:v>#NAME?</x:v>
      </x:c>
      <x:c r="T122" t="e">
        <x:f>IF($A122="","",[1]!thsiFinD("ths_adjustment_nv_fund",T$3,$A122))</x:f>
        <x:v>#NAME?</x:v>
      </x:c>
      <x:c r="U122" t="e">
        <x:f>IF($A122="","",[1]!thsiFinD("ths_adjustment_nv_fund",U$3,$A122))</x:f>
        <x:v>#NAME?</x:v>
      </x:c>
      <x:c r="V122" t="e">
        <x:f>IF($A122="","",[1]!thsiFinD("ths_adjustment_nv_fund",V$3,$A122))</x:f>
        <x:v>#NAME?</x:v>
      </x:c>
      <x:c r="W122" t="e">
        <x:f>IF($A122="","",[1]!thsiFinD("ths_adjustment_nv_fund",W$3,$A122))</x:f>
        <x:v>#NAME?</x:v>
      </x:c>
      <x:c r="X122" t="e">
        <x:f>IF($A122="","",[1]!thsiFinD("ths_adjustment_nv_fund",X$3,$A122))</x:f>
        <x:v>#NAME?</x:v>
      </x:c>
      <x:c r="Y122" t="e">
        <x:f>IF($A122="","",[1]!thsiFinD("ths_adjustment_nv_fund",Y$3,$A122))</x:f>
        <x:v>#NAME?</x:v>
      </x:c>
    </x:row>
    <x:row r="123">
      <x:c r="B123" t="e">
        <x:f>IF($A123="","",[1]!thsiFinD("ths_adjustment_nv_fund",B$3,$A123))</x:f>
        <x:v>#NAME?</x:v>
      </x:c>
      <x:c r="C123" t="e">
        <x:f>IF($A123="","",[1]!thsiFinD("ths_adjustment_nv_fund",C$3,$A123))</x:f>
        <x:v>#NAME?</x:v>
      </x:c>
      <x:c r="D123" t="e">
        <x:f>IF($A123="","",[1]!thsiFinD("ths_adjustment_nv_fund",D$3,$A123))</x:f>
        <x:v>#NAME?</x:v>
      </x:c>
      <x:c r="E123" t="e">
        <x:f>IF($A123="","",[1]!thsiFinD("ths_adjustment_nv_fund",E$3,$A123))</x:f>
        <x:v>#NAME?</x:v>
      </x:c>
      <x:c r="F123" t="e">
        <x:f>IF($A123="","",[1]!thsiFinD("ths_adjustment_nv_fund",F$3,$A123))</x:f>
        <x:v>#NAME?</x:v>
      </x:c>
      <x:c r="G123" t="e">
        <x:f>IF($A123="","",[1]!thsiFinD("ths_adjustment_nv_fund",G$3,$A123))</x:f>
        <x:v>#NAME?</x:v>
      </x:c>
      <x:c r="H123" t="e">
        <x:f>IF($A123="","",[1]!thsiFinD("ths_adjustment_nv_fund",H$3,$A123))</x:f>
        <x:v>#NAME?</x:v>
      </x:c>
      <x:c r="I123" t="e">
        <x:f>IF($A123="","",[1]!thsiFinD("ths_adjustment_nv_fund",I$3,$A123))</x:f>
        <x:v>#NAME?</x:v>
      </x:c>
      <x:c r="J123" t="e">
        <x:f>IF($A123="","",[1]!thsiFinD("ths_adjustment_nv_fund",J$3,$A123))</x:f>
        <x:v>#NAME?</x:v>
      </x:c>
      <x:c r="K123" t="e">
        <x:f>IF($A123="","",[1]!thsiFinD("ths_adjustment_nv_fund",K$3,$A123))</x:f>
        <x:v>#NAME?</x:v>
      </x:c>
      <x:c r="L123" t="e">
        <x:f>IF($A123="","",[1]!thsiFinD("ths_adjustment_nv_fund",L$3,$A123))</x:f>
        <x:v>#NAME?</x:v>
      </x:c>
      <x:c r="M123" t="e">
        <x:f>IF($A123="","",[1]!thsiFinD("ths_adjustment_nv_fund",M$3,$A123))</x:f>
        <x:v>#NAME?</x:v>
      </x:c>
      <x:c r="N123" t="e">
        <x:f>IF($A123="","",[1]!thsiFinD("ths_adjustment_nv_fund",N$3,$A123))</x:f>
        <x:v>#NAME?</x:v>
      </x:c>
      <x:c r="O123" t="e">
        <x:f>IF($A123="","",[1]!thsiFinD("ths_adjustment_nv_fund",O$3,$A123))</x:f>
        <x:v>#NAME?</x:v>
      </x:c>
      <x:c r="P123" t="e">
        <x:f>IF($A123="","",[1]!thsiFinD("ths_adjustment_nv_fund",P$3,$A123))</x:f>
        <x:v>#NAME?</x:v>
      </x:c>
      <x:c r="Q123" t="e">
        <x:f>IF($A123="","",[1]!thsiFinD("ths_adjustment_nv_fund",Q$3,$A123))</x:f>
        <x:v>#NAME?</x:v>
      </x:c>
      <x:c r="R123" t="e">
        <x:f>IF($A123="","",[1]!thsiFinD("ths_adjustment_nv_fund",R$3,$A123))</x:f>
        <x:v>#NAME?</x:v>
      </x:c>
      <x:c r="S123" t="e">
        <x:f>IF($A123="","",[1]!thsiFinD("ths_adjustment_nv_fund",S$3,$A123))</x:f>
        <x:v>#NAME?</x:v>
      </x:c>
      <x:c r="T123" t="e">
        <x:f>IF($A123="","",[1]!thsiFinD("ths_adjustment_nv_fund",T$3,$A123))</x:f>
        <x:v>#NAME?</x:v>
      </x:c>
      <x:c r="U123" t="e">
        <x:f>IF($A123="","",[1]!thsiFinD("ths_adjustment_nv_fund",U$3,$A123))</x:f>
        <x:v>#NAME?</x:v>
      </x:c>
      <x:c r="V123" t="e">
        <x:f>IF($A123="","",[1]!thsiFinD("ths_adjustment_nv_fund",V$3,$A123))</x:f>
        <x:v>#NAME?</x:v>
      </x:c>
      <x:c r="W123" t="e">
        <x:f>IF($A123="","",[1]!thsiFinD("ths_adjustment_nv_fund",W$3,$A123))</x:f>
        <x:v>#NAME?</x:v>
      </x:c>
      <x:c r="X123" t="e">
        <x:f>IF($A123="","",[1]!thsiFinD("ths_adjustment_nv_fund",X$3,$A123))</x:f>
        <x:v>#NAME?</x:v>
      </x:c>
      <x:c r="Y123" t="e">
        <x:f>IF($A123="","",[1]!thsiFinD("ths_adjustment_nv_fund",Y$3,$A123))</x:f>
        <x:v>#NAME?</x:v>
      </x:c>
    </x:row>
    <x:row r="124">
      <x:c r="B124" t="e">
        <x:f>IF($A124="","",[1]!thsiFinD("ths_adjustment_nv_fund",B$3,$A124))</x:f>
        <x:v>#NAME?</x:v>
      </x:c>
      <x:c r="C124" t="e">
        <x:f>IF($A124="","",[1]!thsiFinD("ths_adjustment_nv_fund",C$3,$A124))</x:f>
        <x:v>#NAME?</x:v>
      </x:c>
      <x:c r="D124" t="e">
        <x:f>IF($A124="","",[1]!thsiFinD("ths_adjustment_nv_fund",D$3,$A124))</x:f>
        <x:v>#NAME?</x:v>
      </x:c>
      <x:c r="E124" t="e">
        <x:f>IF($A124="","",[1]!thsiFinD("ths_adjustment_nv_fund",E$3,$A124))</x:f>
        <x:v>#NAME?</x:v>
      </x:c>
      <x:c r="F124" t="e">
        <x:f>IF($A124="","",[1]!thsiFinD("ths_adjustment_nv_fund",F$3,$A124))</x:f>
        <x:v>#NAME?</x:v>
      </x:c>
      <x:c r="G124" t="e">
        <x:f>IF($A124="","",[1]!thsiFinD("ths_adjustment_nv_fund",G$3,$A124))</x:f>
        <x:v>#NAME?</x:v>
      </x:c>
      <x:c r="H124" t="e">
        <x:f>IF($A124="","",[1]!thsiFinD("ths_adjustment_nv_fund",H$3,$A124))</x:f>
        <x:v>#NAME?</x:v>
      </x:c>
      <x:c r="I124" t="e">
        <x:f>IF($A124="","",[1]!thsiFinD("ths_adjustment_nv_fund",I$3,$A124))</x:f>
        <x:v>#NAME?</x:v>
      </x:c>
      <x:c r="J124" t="e">
        <x:f>IF($A124="","",[1]!thsiFinD("ths_adjustment_nv_fund",J$3,$A124))</x:f>
        <x:v>#NAME?</x:v>
      </x:c>
      <x:c r="K124" t="e">
        <x:f>IF($A124="","",[1]!thsiFinD("ths_adjustment_nv_fund",K$3,$A124))</x:f>
        <x:v>#NAME?</x:v>
      </x:c>
      <x:c r="L124" t="e">
        <x:f>IF($A124="","",[1]!thsiFinD("ths_adjustment_nv_fund",L$3,$A124))</x:f>
        <x:v>#NAME?</x:v>
      </x:c>
      <x:c r="M124" t="e">
        <x:f>IF($A124="","",[1]!thsiFinD("ths_adjustment_nv_fund",M$3,$A124))</x:f>
        <x:v>#NAME?</x:v>
      </x:c>
      <x:c r="N124" t="e">
        <x:f>IF($A124="","",[1]!thsiFinD("ths_adjustment_nv_fund",N$3,$A124))</x:f>
        <x:v>#NAME?</x:v>
      </x:c>
      <x:c r="O124" t="e">
        <x:f>IF($A124="","",[1]!thsiFinD("ths_adjustment_nv_fund",O$3,$A124))</x:f>
        <x:v>#NAME?</x:v>
      </x:c>
      <x:c r="P124" t="e">
        <x:f>IF($A124="","",[1]!thsiFinD("ths_adjustment_nv_fund",P$3,$A124))</x:f>
        <x:v>#NAME?</x:v>
      </x:c>
      <x:c r="Q124" t="e">
        <x:f>IF($A124="","",[1]!thsiFinD("ths_adjustment_nv_fund",Q$3,$A124))</x:f>
        <x:v>#NAME?</x:v>
      </x:c>
      <x:c r="R124" t="e">
        <x:f>IF($A124="","",[1]!thsiFinD("ths_adjustment_nv_fund",R$3,$A124))</x:f>
        <x:v>#NAME?</x:v>
      </x:c>
      <x:c r="S124" t="e">
        <x:f>IF($A124="","",[1]!thsiFinD("ths_adjustment_nv_fund",S$3,$A124))</x:f>
        <x:v>#NAME?</x:v>
      </x:c>
      <x:c r="T124" t="e">
        <x:f>IF($A124="","",[1]!thsiFinD("ths_adjustment_nv_fund",T$3,$A124))</x:f>
        <x:v>#NAME?</x:v>
      </x:c>
      <x:c r="U124" t="e">
        <x:f>IF($A124="","",[1]!thsiFinD("ths_adjustment_nv_fund",U$3,$A124))</x:f>
        <x:v>#NAME?</x:v>
      </x:c>
      <x:c r="V124" t="e">
        <x:f>IF($A124="","",[1]!thsiFinD("ths_adjustment_nv_fund",V$3,$A124))</x:f>
        <x:v>#NAME?</x:v>
      </x:c>
      <x:c r="W124" t="e">
        <x:f>IF($A124="","",[1]!thsiFinD("ths_adjustment_nv_fund",W$3,$A124))</x:f>
        <x:v>#NAME?</x:v>
      </x:c>
      <x:c r="X124" t="e">
        <x:f>IF($A124="","",[1]!thsiFinD("ths_adjustment_nv_fund",X$3,$A124))</x:f>
        <x:v>#NAME?</x:v>
      </x:c>
      <x:c r="Y124" t="e">
        <x:f>IF($A124="","",[1]!thsiFinD("ths_adjustment_nv_fund",Y$3,$A124))</x:f>
        <x:v>#NAME?</x:v>
      </x:c>
    </x:row>
    <x:row r="125">
      <x:c r="B125" t="e">
        <x:f>IF($A125="","",[1]!thsiFinD("ths_adjustment_nv_fund",B$3,$A125))</x:f>
        <x:v>#NAME?</x:v>
      </x:c>
      <x:c r="C125" t="e">
        <x:f>IF($A125="","",[1]!thsiFinD("ths_adjustment_nv_fund",C$3,$A125))</x:f>
        <x:v>#NAME?</x:v>
      </x:c>
      <x:c r="D125" t="e">
        <x:f>IF($A125="","",[1]!thsiFinD("ths_adjustment_nv_fund",D$3,$A125))</x:f>
        <x:v>#NAME?</x:v>
      </x:c>
      <x:c r="E125" t="e">
        <x:f>IF($A125="","",[1]!thsiFinD("ths_adjustment_nv_fund",E$3,$A125))</x:f>
        <x:v>#NAME?</x:v>
      </x:c>
      <x:c r="F125" t="e">
        <x:f>IF($A125="","",[1]!thsiFinD("ths_adjustment_nv_fund",F$3,$A125))</x:f>
        <x:v>#NAME?</x:v>
      </x:c>
      <x:c r="G125" t="e">
        <x:f>IF($A125="","",[1]!thsiFinD("ths_adjustment_nv_fund",G$3,$A125))</x:f>
        <x:v>#NAME?</x:v>
      </x:c>
      <x:c r="H125" t="e">
        <x:f>IF($A125="","",[1]!thsiFinD("ths_adjustment_nv_fund",H$3,$A125))</x:f>
        <x:v>#NAME?</x:v>
      </x:c>
      <x:c r="I125" t="e">
        <x:f>IF($A125="","",[1]!thsiFinD("ths_adjustment_nv_fund",I$3,$A125))</x:f>
        <x:v>#NAME?</x:v>
      </x:c>
      <x:c r="J125" t="e">
        <x:f>IF($A125="","",[1]!thsiFinD("ths_adjustment_nv_fund",J$3,$A125))</x:f>
        <x:v>#NAME?</x:v>
      </x:c>
      <x:c r="K125" t="e">
        <x:f>IF($A125="","",[1]!thsiFinD("ths_adjustment_nv_fund",K$3,$A125))</x:f>
        <x:v>#NAME?</x:v>
      </x:c>
      <x:c r="L125" t="e">
        <x:f>IF($A125="","",[1]!thsiFinD("ths_adjustment_nv_fund",L$3,$A125))</x:f>
        <x:v>#NAME?</x:v>
      </x:c>
      <x:c r="M125" t="e">
        <x:f>IF($A125="","",[1]!thsiFinD("ths_adjustment_nv_fund",M$3,$A125))</x:f>
        <x:v>#NAME?</x:v>
      </x:c>
      <x:c r="N125" t="e">
        <x:f>IF($A125="","",[1]!thsiFinD("ths_adjustment_nv_fund",N$3,$A125))</x:f>
        <x:v>#NAME?</x:v>
      </x:c>
      <x:c r="O125" t="e">
        <x:f>IF($A125="","",[1]!thsiFinD("ths_adjustment_nv_fund",O$3,$A125))</x:f>
        <x:v>#NAME?</x:v>
      </x:c>
      <x:c r="P125" t="e">
        <x:f>IF($A125="","",[1]!thsiFinD("ths_adjustment_nv_fund",P$3,$A125))</x:f>
        <x:v>#NAME?</x:v>
      </x:c>
      <x:c r="Q125" t="e">
        <x:f>IF($A125="","",[1]!thsiFinD("ths_adjustment_nv_fund",Q$3,$A125))</x:f>
        <x:v>#NAME?</x:v>
      </x:c>
      <x:c r="R125" t="e">
        <x:f>IF($A125="","",[1]!thsiFinD("ths_adjustment_nv_fund",R$3,$A125))</x:f>
        <x:v>#NAME?</x:v>
      </x:c>
      <x:c r="S125" t="e">
        <x:f>IF($A125="","",[1]!thsiFinD("ths_adjustment_nv_fund",S$3,$A125))</x:f>
        <x:v>#NAME?</x:v>
      </x:c>
      <x:c r="T125" t="e">
        <x:f>IF($A125="","",[1]!thsiFinD("ths_adjustment_nv_fund",T$3,$A125))</x:f>
        <x:v>#NAME?</x:v>
      </x:c>
      <x:c r="U125" t="e">
        <x:f>IF($A125="","",[1]!thsiFinD("ths_adjustment_nv_fund",U$3,$A125))</x:f>
        <x:v>#NAME?</x:v>
      </x:c>
      <x:c r="V125" t="e">
        <x:f>IF($A125="","",[1]!thsiFinD("ths_adjustment_nv_fund",V$3,$A125))</x:f>
        <x:v>#NAME?</x:v>
      </x:c>
      <x:c r="W125" t="e">
        <x:f>IF($A125="","",[1]!thsiFinD("ths_adjustment_nv_fund",W$3,$A125))</x:f>
        <x:v>#NAME?</x:v>
      </x:c>
      <x:c r="X125" t="e">
        <x:f>IF($A125="","",[1]!thsiFinD("ths_adjustment_nv_fund",X$3,$A125))</x:f>
        <x:v>#NAME?</x:v>
      </x:c>
      <x:c r="Y125" t="e">
        <x:f>IF($A125="","",[1]!thsiFinD("ths_adjustment_nv_fund",Y$3,$A125))</x:f>
        <x:v>#NAME?</x:v>
      </x:c>
    </x:row>
    <x:row r="126">
      <x:c r="B126" t="e">
        <x:f>IF($A126="","",[1]!thsiFinD("ths_adjustment_nv_fund",B$3,$A126))</x:f>
        <x:v>#NAME?</x:v>
      </x:c>
      <x:c r="C126" t="e">
        <x:f>IF($A126="","",[1]!thsiFinD("ths_adjustment_nv_fund",C$3,$A126))</x:f>
        <x:v>#NAME?</x:v>
      </x:c>
      <x:c r="D126" t="e">
        <x:f>IF($A126="","",[1]!thsiFinD("ths_adjustment_nv_fund",D$3,$A126))</x:f>
        <x:v>#NAME?</x:v>
      </x:c>
      <x:c r="E126" t="e">
        <x:f>IF($A126="","",[1]!thsiFinD("ths_adjustment_nv_fund",E$3,$A126))</x:f>
        <x:v>#NAME?</x:v>
      </x:c>
      <x:c r="F126" t="e">
        <x:f>IF($A126="","",[1]!thsiFinD("ths_adjustment_nv_fund",F$3,$A126))</x:f>
        <x:v>#NAME?</x:v>
      </x:c>
      <x:c r="G126" t="e">
        <x:f>IF($A126="","",[1]!thsiFinD("ths_adjustment_nv_fund",G$3,$A126))</x:f>
        <x:v>#NAME?</x:v>
      </x:c>
      <x:c r="H126" t="e">
        <x:f>IF($A126="","",[1]!thsiFinD("ths_adjustment_nv_fund",H$3,$A126))</x:f>
        <x:v>#NAME?</x:v>
      </x:c>
      <x:c r="I126" t="e">
        <x:f>IF($A126="","",[1]!thsiFinD("ths_adjustment_nv_fund",I$3,$A126))</x:f>
        <x:v>#NAME?</x:v>
      </x:c>
      <x:c r="J126" t="e">
        <x:f>IF($A126="","",[1]!thsiFinD("ths_adjustment_nv_fund",J$3,$A126))</x:f>
        <x:v>#NAME?</x:v>
      </x:c>
      <x:c r="K126" t="e">
        <x:f>IF($A126="","",[1]!thsiFinD("ths_adjustment_nv_fund",K$3,$A126))</x:f>
        <x:v>#NAME?</x:v>
      </x:c>
      <x:c r="L126" t="e">
        <x:f>IF($A126="","",[1]!thsiFinD("ths_adjustment_nv_fund",L$3,$A126))</x:f>
        <x:v>#NAME?</x:v>
      </x:c>
      <x:c r="M126" t="e">
        <x:f>IF($A126="","",[1]!thsiFinD("ths_adjustment_nv_fund",M$3,$A126))</x:f>
        <x:v>#NAME?</x:v>
      </x:c>
      <x:c r="N126" t="e">
        <x:f>IF($A126="","",[1]!thsiFinD("ths_adjustment_nv_fund",N$3,$A126))</x:f>
        <x:v>#NAME?</x:v>
      </x:c>
      <x:c r="O126" t="e">
        <x:f>IF($A126="","",[1]!thsiFinD("ths_adjustment_nv_fund",O$3,$A126))</x:f>
        <x:v>#NAME?</x:v>
      </x:c>
      <x:c r="P126" t="e">
        <x:f>IF($A126="","",[1]!thsiFinD("ths_adjustment_nv_fund",P$3,$A126))</x:f>
        <x:v>#NAME?</x:v>
      </x:c>
      <x:c r="Q126" t="e">
        <x:f>IF($A126="","",[1]!thsiFinD("ths_adjustment_nv_fund",Q$3,$A126))</x:f>
        <x:v>#NAME?</x:v>
      </x:c>
      <x:c r="R126" t="e">
        <x:f>IF($A126="","",[1]!thsiFinD("ths_adjustment_nv_fund",R$3,$A126))</x:f>
        <x:v>#NAME?</x:v>
      </x:c>
      <x:c r="S126" t="e">
        <x:f>IF($A126="","",[1]!thsiFinD("ths_adjustment_nv_fund",S$3,$A126))</x:f>
        <x:v>#NAME?</x:v>
      </x:c>
      <x:c r="T126" t="e">
        <x:f>IF($A126="","",[1]!thsiFinD("ths_adjustment_nv_fund",T$3,$A126))</x:f>
        <x:v>#NAME?</x:v>
      </x:c>
      <x:c r="U126" t="e">
        <x:f>IF($A126="","",[1]!thsiFinD("ths_adjustment_nv_fund",U$3,$A126))</x:f>
        <x:v>#NAME?</x:v>
      </x:c>
      <x:c r="V126" t="e">
        <x:f>IF($A126="","",[1]!thsiFinD("ths_adjustment_nv_fund",V$3,$A126))</x:f>
        <x:v>#NAME?</x:v>
      </x:c>
      <x:c r="W126" t="e">
        <x:f>IF($A126="","",[1]!thsiFinD("ths_adjustment_nv_fund",W$3,$A126))</x:f>
        <x:v>#NAME?</x:v>
      </x:c>
      <x:c r="X126" t="e">
        <x:f>IF($A126="","",[1]!thsiFinD("ths_adjustment_nv_fund",X$3,$A126))</x:f>
        <x:v>#NAME?</x:v>
      </x:c>
      <x:c r="Y126" t="e">
        <x:f>IF($A126="","",[1]!thsiFinD("ths_adjustment_nv_fund",Y$3,$A126))</x:f>
        <x:v>#NAME?</x:v>
      </x:c>
    </x:row>
    <x:row r="127">
      <x:c r="B127" t="e">
        <x:f>IF($A127="","",[1]!thsiFinD("ths_adjustment_nv_fund",B$3,$A127))</x:f>
        <x:v>#NAME?</x:v>
      </x:c>
      <x:c r="C127" t="e">
        <x:f>IF($A127="","",[1]!thsiFinD("ths_adjustment_nv_fund",C$3,$A127))</x:f>
        <x:v>#NAME?</x:v>
      </x:c>
      <x:c r="D127" t="e">
        <x:f>IF($A127="","",[1]!thsiFinD("ths_adjustment_nv_fund",D$3,$A127))</x:f>
        <x:v>#NAME?</x:v>
      </x:c>
      <x:c r="E127" t="e">
        <x:f>IF($A127="","",[1]!thsiFinD("ths_adjustment_nv_fund",E$3,$A127))</x:f>
        <x:v>#NAME?</x:v>
      </x:c>
      <x:c r="F127" t="e">
        <x:f>IF($A127="","",[1]!thsiFinD("ths_adjustment_nv_fund",F$3,$A127))</x:f>
        <x:v>#NAME?</x:v>
      </x:c>
      <x:c r="G127" t="e">
        <x:f>IF($A127="","",[1]!thsiFinD("ths_adjustment_nv_fund",G$3,$A127))</x:f>
        <x:v>#NAME?</x:v>
      </x:c>
      <x:c r="H127" t="e">
        <x:f>IF($A127="","",[1]!thsiFinD("ths_adjustment_nv_fund",H$3,$A127))</x:f>
        <x:v>#NAME?</x:v>
      </x:c>
      <x:c r="I127" t="e">
        <x:f>IF($A127="","",[1]!thsiFinD("ths_adjustment_nv_fund",I$3,$A127))</x:f>
        <x:v>#NAME?</x:v>
      </x:c>
      <x:c r="J127" t="e">
        <x:f>IF($A127="","",[1]!thsiFinD("ths_adjustment_nv_fund",J$3,$A127))</x:f>
        <x:v>#NAME?</x:v>
      </x:c>
      <x:c r="K127" t="e">
        <x:f>IF($A127="","",[1]!thsiFinD("ths_adjustment_nv_fund",K$3,$A127))</x:f>
        <x:v>#NAME?</x:v>
      </x:c>
      <x:c r="L127" t="e">
        <x:f>IF($A127="","",[1]!thsiFinD("ths_adjustment_nv_fund",L$3,$A127))</x:f>
        <x:v>#NAME?</x:v>
      </x:c>
      <x:c r="M127" t="e">
        <x:f>IF($A127="","",[1]!thsiFinD("ths_adjustment_nv_fund",M$3,$A127))</x:f>
        <x:v>#NAME?</x:v>
      </x:c>
      <x:c r="N127" t="e">
        <x:f>IF($A127="","",[1]!thsiFinD("ths_adjustment_nv_fund",N$3,$A127))</x:f>
        <x:v>#NAME?</x:v>
      </x:c>
      <x:c r="O127" t="e">
        <x:f>IF($A127="","",[1]!thsiFinD("ths_adjustment_nv_fund",O$3,$A127))</x:f>
        <x:v>#NAME?</x:v>
      </x:c>
      <x:c r="P127" t="e">
        <x:f>IF($A127="","",[1]!thsiFinD("ths_adjustment_nv_fund",P$3,$A127))</x:f>
        <x:v>#NAME?</x:v>
      </x:c>
      <x:c r="Q127" t="e">
        <x:f>IF($A127="","",[1]!thsiFinD("ths_adjustment_nv_fund",Q$3,$A127))</x:f>
        <x:v>#NAME?</x:v>
      </x:c>
      <x:c r="R127" t="e">
        <x:f>IF($A127="","",[1]!thsiFinD("ths_adjustment_nv_fund",R$3,$A127))</x:f>
        <x:v>#NAME?</x:v>
      </x:c>
      <x:c r="S127" t="e">
        <x:f>IF($A127="","",[1]!thsiFinD("ths_adjustment_nv_fund",S$3,$A127))</x:f>
        <x:v>#NAME?</x:v>
      </x:c>
      <x:c r="T127" t="e">
        <x:f>IF($A127="","",[1]!thsiFinD("ths_adjustment_nv_fund",T$3,$A127))</x:f>
        <x:v>#NAME?</x:v>
      </x:c>
      <x:c r="U127" t="e">
        <x:f>IF($A127="","",[1]!thsiFinD("ths_adjustment_nv_fund",U$3,$A127))</x:f>
        <x:v>#NAME?</x:v>
      </x:c>
      <x:c r="V127" t="e">
        <x:f>IF($A127="","",[1]!thsiFinD("ths_adjustment_nv_fund",V$3,$A127))</x:f>
        <x:v>#NAME?</x:v>
      </x:c>
      <x:c r="W127" t="e">
        <x:f>IF($A127="","",[1]!thsiFinD("ths_adjustment_nv_fund",W$3,$A127))</x:f>
        <x:v>#NAME?</x:v>
      </x:c>
      <x:c r="X127" t="e">
        <x:f>IF($A127="","",[1]!thsiFinD("ths_adjustment_nv_fund",X$3,$A127))</x:f>
        <x:v>#NAME?</x:v>
      </x:c>
      <x:c r="Y127" t="e">
        <x:f>IF($A127="","",[1]!thsiFinD("ths_adjustment_nv_fund",Y$3,$A127))</x:f>
        <x:v>#NAME?</x:v>
      </x:c>
    </x:row>
    <x:row r="128">
      <x:c r="B128" t="e">
        <x:f>IF($A128="","",[1]!thsiFinD("ths_adjustment_nv_fund",B$3,$A128))</x:f>
        <x:v>#NAME?</x:v>
      </x:c>
      <x:c r="C128" t="e">
        <x:f>IF($A128="","",[1]!thsiFinD("ths_adjustment_nv_fund",C$3,$A128))</x:f>
        <x:v>#NAME?</x:v>
      </x:c>
      <x:c r="D128" t="e">
        <x:f>IF($A128="","",[1]!thsiFinD("ths_adjustment_nv_fund",D$3,$A128))</x:f>
        <x:v>#NAME?</x:v>
      </x:c>
      <x:c r="E128" t="e">
        <x:f>IF($A128="","",[1]!thsiFinD("ths_adjustment_nv_fund",E$3,$A128))</x:f>
        <x:v>#NAME?</x:v>
      </x:c>
      <x:c r="F128" t="e">
        <x:f>IF($A128="","",[1]!thsiFinD("ths_adjustment_nv_fund",F$3,$A128))</x:f>
        <x:v>#NAME?</x:v>
      </x:c>
      <x:c r="G128" t="e">
        <x:f>IF($A128="","",[1]!thsiFinD("ths_adjustment_nv_fund",G$3,$A128))</x:f>
        <x:v>#NAME?</x:v>
      </x:c>
      <x:c r="H128" t="e">
        <x:f>IF($A128="","",[1]!thsiFinD("ths_adjustment_nv_fund",H$3,$A128))</x:f>
        <x:v>#NAME?</x:v>
      </x:c>
      <x:c r="I128" t="e">
        <x:f>IF($A128="","",[1]!thsiFinD("ths_adjustment_nv_fund",I$3,$A128))</x:f>
        <x:v>#NAME?</x:v>
      </x:c>
      <x:c r="J128" t="e">
        <x:f>IF($A128="","",[1]!thsiFinD("ths_adjustment_nv_fund",J$3,$A128))</x:f>
        <x:v>#NAME?</x:v>
      </x:c>
      <x:c r="K128" t="e">
        <x:f>IF($A128="","",[1]!thsiFinD("ths_adjustment_nv_fund",K$3,$A128))</x:f>
        <x:v>#NAME?</x:v>
      </x:c>
      <x:c r="L128" t="e">
        <x:f>IF($A128="","",[1]!thsiFinD("ths_adjustment_nv_fund",L$3,$A128))</x:f>
        <x:v>#NAME?</x:v>
      </x:c>
      <x:c r="M128" t="e">
        <x:f>IF($A128="","",[1]!thsiFinD("ths_adjustment_nv_fund",M$3,$A128))</x:f>
        <x:v>#NAME?</x:v>
      </x:c>
      <x:c r="N128" t="e">
        <x:f>IF($A128="","",[1]!thsiFinD("ths_adjustment_nv_fund",N$3,$A128))</x:f>
        <x:v>#NAME?</x:v>
      </x:c>
      <x:c r="O128" t="e">
        <x:f>IF($A128="","",[1]!thsiFinD("ths_adjustment_nv_fund",O$3,$A128))</x:f>
        <x:v>#NAME?</x:v>
      </x:c>
      <x:c r="P128" t="e">
        <x:f>IF($A128="","",[1]!thsiFinD("ths_adjustment_nv_fund",P$3,$A128))</x:f>
        <x:v>#NAME?</x:v>
      </x:c>
      <x:c r="Q128" t="e">
        <x:f>IF($A128="","",[1]!thsiFinD("ths_adjustment_nv_fund",Q$3,$A128))</x:f>
        <x:v>#NAME?</x:v>
      </x:c>
      <x:c r="R128" t="e">
        <x:f>IF($A128="","",[1]!thsiFinD("ths_adjustment_nv_fund",R$3,$A128))</x:f>
        <x:v>#NAME?</x:v>
      </x:c>
      <x:c r="S128" t="e">
        <x:f>IF($A128="","",[1]!thsiFinD("ths_adjustment_nv_fund",S$3,$A128))</x:f>
        <x:v>#NAME?</x:v>
      </x:c>
      <x:c r="T128" t="e">
        <x:f>IF($A128="","",[1]!thsiFinD("ths_adjustment_nv_fund",T$3,$A128))</x:f>
        <x:v>#NAME?</x:v>
      </x:c>
      <x:c r="U128" t="e">
        <x:f>IF($A128="","",[1]!thsiFinD("ths_adjustment_nv_fund",U$3,$A128))</x:f>
        <x:v>#NAME?</x:v>
      </x:c>
      <x:c r="V128" t="e">
        <x:f>IF($A128="","",[1]!thsiFinD("ths_adjustment_nv_fund",V$3,$A128))</x:f>
        <x:v>#NAME?</x:v>
      </x:c>
      <x:c r="W128" t="e">
        <x:f>IF($A128="","",[1]!thsiFinD("ths_adjustment_nv_fund",W$3,$A128))</x:f>
        <x:v>#NAME?</x:v>
      </x:c>
      <x:c r="X128" t="e">
        <x:f>IF($A128="","",[1]!thsiFinD("ths_adjustment_nv_fund",X$3,$A128))</x:f>
        <x:v>#NAME?</x:v>
      </x:c>
      <x:c r="Y128" t="e">
        <x:f>IF($A128="","",[1]!thsiFinD("ths_adjustment_nv_fund",Y$3,$A128))</x:f>
        <x:v>#NAME?</x:v>
      </x:c>
    </x:row>
    <x:row r="129">
      <x:c r="B129" t="e">
        <x:f>IF($A129="","",[1]!thsiFinD("ths_adjustment_nv_fund",B$3,$A129))</x:f>
        <x:v>#NAME?</x:v>
      </x:c>
      <x:c r="C129" t="e">
        <x:f>IF($A129="","",[1]!thsiFinD("ths_adjustment_nv_fund",C$3,$A129))</x:f>
        <x:v>#NAME?</x:v>
      </x:c>
      <x:c r="D129" t="e">
        <x:f>IF($A129="","",[1]!thsiFinD("ths_adjustment_nv_fund",D$3,$A129))</x:f>
        <x:v>#NAME?</x:v>
      </x:c>
      <x:c r="E129" t="e">
        <x:f>IF($A129="","",[1]!thsiFinD("ths_adjustment_nv_fund",E$3,$A129))</x:f>
        <x:v>#NAME?</x:v>
      </x:c>
      <x:c r="F129" t="e">
        <x:f>IF($A129="","",[1]!thsiFinD("ths_adjustment_nv_fund",F$3,$A129))</x:f>
        <x:v>#NAME?</x:v>
      </x:c>
      <x:c r="G129" t="e">
        <x:f>IF($A129="","",[1]!thsiFinD("ths_adjustment_nv_fund",G$3,$A129))</x:f>
        <x:v>#NAME?</x:v>
      </x:c>
      <x:c r="H129" t="e">
        <x:f>IF($A129="","",[1]!thsiFinD("ths_adjustment_nv_fund",H$3,$A129))</x:f>
        <x:v>#NAME?</x:v>
      </x:c>
      <x:c r="I129" t="e">
        <x:f>IF($A129="","",[1]!thsiFinD("ths_adjustment_nv_fund",I$3,$A129))</x:f>
        <x:v>#NAME?</x:v>
      </x:c>
      <x:c r="J129" t="e">
        <x:f>IF($A129="","",[1]!thsiFinD("ths_adjustment_nv_fund",J$3,$A129))</x:f>
        <x:v>#NAME?</x:v>
      </x:c>
      <x:c r="K129" t="e">
        <x:f>IF($A129="","",[1]!thsiFinD("ths_adjustment_nv_fund",K$3,$A129))</x:f>
        <x:v>#NAME?</x:v>
      </x:c>
      <x:c r="L129" t="e">
        <x:f>IF($A129="","",[1]!thsiFinD("ths_adjustment_nv_fund",L$3,$A129))</x:f>
        <x:v>#NAME?</x:v>
      </x:c>
      <x:c r="M129" t="e">
        <x:f>IF($A129="","",[1]!thsiFinD("ths_adjustment_nv_fund",M$3,$A129))</x:f>
        <x:v>#NAME?</x:v>
      </x:c>
      <x:c r="N129" t="e">
        <x:f>IF($A129="","",[1]!thsiFinD("ths_adjustment_nv_fund",N$3,$A129))</x:f>
        <x:v>#NAME?</x:v>
      </x:c>
      <x:c r="O129" t="e">
        <x:f>IF($A129="","",[1]!thsiFinD("ths_adjustment_nv_fund",O$3,$A129))</x:f>
        <x:v>#NAME?</x:v>
      </x:c>
      <x:c r="P129" t="e">
        <x:f>IF($A129="","",[1]!thsiFinD("ths_adjustment_nv_fund",P$3,$A129))</x:f>
        <x:v>#NAME?</x:v>
      </x:c>
      <x:c r="Q129" t="e">
        <x:f>IF($A129="","",[1]!thsiFinD("ths_adjustment_nv_fund",Q$3,$A129))</x:f>
        <x:v>#NAME?</x:v>
      </x:c>
      <x:c r="R129" t="e">
        <x:f>IF($A129="","",[1]!thsiFinD("ths_adjustment_nv_fund",R$3,$A129))</x:f>
        <x:v>#NAME?</x:v>
      </x:c>
      <x:c r="S129" t="e">
        <x:f>IF($A129="","",[1]!thsiFinD("ths_adjustment_nv_fund",S$3,$A129))</x:f>
        <x:v>#NAME?</x:v>
      </x:c>
      <x:c r="T129" t="e">
        <x:f>IF($A129="","",[1]!thsiFinD("ths_adjustment_nv_fund",T$3,$A129))</x:f>
        <x:v>#NAME?</x:v>
      </x:c>
      <x:c r="U129" t="e">
        <x:f>IF($A129="","",[1]!thsiFinD("ths_adjustment_nv_fund",U$3,$A129))</x:f>
        <x:v>#NAME?</x:v>
      </x:c>
      <x:c r="V129" t="e">
        <x:f>IF($A129="","",[1]!thsiFinD("ths_adjustment_nv_fund",V$3,$A129))</x:f>
        <x:v>#NAME?</x:v>
      </x:c>
      <x:c r="W129" t="e">
        <x:f>IF($A129="","",[1]!thsiFinD("ths_adjustment_nv_fund",W$3,$A129))</x:f>
        <x:v>#NAME?</x:v>
      </x:c>
      <x:c r="X129" t="e">
        <x:f>IF($A129="","",[1]!thsiFinD("ths_adjustment_nv_fund",X$3,$A129))</x:f>
        <x:v>#NAME?</x:v>
      </x:c>
      <x:c r="Y129" t="e">
        <x:f>IF($A129="","",[1]!thsiFinD("ths_adjustment_nv_fund",Y$3,$A129))</x:f>
        <x:v>#NAME?</x:v>
      </x:c>
    </x:row>
    <x:row r="130">
      <x:c r="B130" t="e">
        <x:f>IF($A130="","",[1]!thsiFinD("ths_adjustment_nv_fund",B$3,$A130))</x:f>
        <x:v>#NAME?</x:v>
      </x:c>
      <x:c r="C130" t="e">
        <x:f>IF($A130="","",[1]!thsiFinD("ths_adjustment_nv_fund",C$3,$A130))</x:f>
        <x:v>#NAME?</x:v>
      </x:c>
      <x:c r="D130" t="e">
        <x:f>IF($A130="","",[1]!thsiFinD("ths_adjustment_nv_fund",D$3,$A130))</x:f>
        <x:v>#NAME?</x:v>
      </x:c>
      <x:c r="E130" t="e">
        <x:f>IF($A130="","",[1]!thsiFinD("ths_adjustment_nv_fund",E$3,$A130))</x:f>
        <x:v>#NAME?</x:v>
      </x:c>
      <x:c r="F130" t="e">
        <x:f>IF($A130="","",[1]!thsiFinD("ths_adjustment_nv_fund",F$3,$A130))</x:f>
        <x:v>#NAME?</x:v>
      </x:c>
      <x:c r="G130" t="e">
        <x:f>IF($A130="","",[1]!thsiFinD("ths_adjustment_nv_fund",G$3,$A130))</x:f>
        <x:v>#NAME?</x:v>
      </x:c>
      <x:c r="H130" t="e">
        <x:f>IF($A130="","",[1]!thsiFinD("ths_adjustment_nv_fund",H$3,$A130))</x:f>
        <x:v>#NAME?</x:v>
      </x:c>
      <x:c r="I130" t="e">
        <x:f>IF($A130="","",[1]!thsiFinD("ths_adjustment_nv_fund",I$3,$A130))</x:f>
        <x:v>#NAME?</x:v>
      </x:c>
      <x:c r="J130" t="e">
        <x:f>IF($A130="","",[1]!thsiFinD("ths_adjustment_nv_fund",J$3,$A130))</x:f>
        <x:v>#NAME?</x:v>
      </x:c>
      <x:c r="K130" t="e">
        <x:f>IF($A130="","",[1]!thsiFinD("ths_adjustment_nv_fund",K$3,$A130))</x:f>
        <x:v>#NAME?</x:v>
      </x:c>
      <x:c r="L130" t="e">
        <x:f>IF($A130="","",[1]!thsiFinD("ths_adjustment_nv_fund",L$3,$A130))</x:f>
        <x:v>#NAME?</x:v>
      </x:c>
      <x:c r="M130" t="e">
        <x:f>IF($A130="","",[1]!thsiFinD("ths_adjustment_nv_fund",M$3,$A130))</x:f>
        <x:v>#NAME?</x:v>
      </x:c>
      <x:c r="N130" t="e">
        <x:f>IF($A130="","",[1]!thsiFinD("ths_adjustment_nv_fund",N$3,$A130))</x:f>
        <x:v>#NAME?</x:v>
      </x:c>
      <x:c r="O130" t="e">
        <x:f>IF($A130="","",[1]!thsiFinD("ths_adjustment_nv_fund",O$3,$A130))</x:f>
        <x:v>#NAME?</x:v>
      </x:c>
      <x:c r="P130" t="e">
        <x:f>IF($A130="","",[1]!thsiFinD("ths_adjustment_nv_fund",P$3,$A130))</x:f>
        <x:v>#NAME?</x:v>
      </x:c>
      <x:c r="Q130" t="e">
        <x:f>IF($A130="","",[1]!thsiFinD("ths_adjustment_nv_fund",Q$3,$A130))</x:f>
        <x:v>#NAME?</x:v>
      </x:c>
      <x:c r="R130" t="e">
        <x:f>IF($A130="","",[1]!thsiFinD("ths_adjustment_nv_fund",R$3,$A130))</x:f>
        <x:v>#NAME?</x:v>
      </x:c>
      <x:c r="S130" t="e">
        <x:f>IF($A130="","",[1]!thsiFinD("ths_adjustment_nv_fund",S$3,$A130))</x:f>
        <x:v>#NAME?</x:v>
      </x:c>
      <x:c r="T130" t="e">
        <x:f>IF($A130="","",[1]!thsiFinD("ths_adjustment_nv_fund",T$3,$A130))</x:f>
        <x:v>#NAME?</x:v>
      </x:c>
      <x:c r="U130" t="e">
        <x:f>IF($A130="","",[1]!thsiFinD("ths_adjustment_nv_fund",U$3,$A130))</x:f>
        <x:v>#NAME?</x:v>
      </x:c>
      <x:c r="V130" t="e">
        <x:f>IF($A130="","",[1]!thsiFinD("ths_adjustment_nv_fund",V$3,$A130))</x:f>
        <x:v>#NAME?</x:v>
      </x:c>
      <x:c r="W130" t="e">
        <x:f>IF($A130="","",[1]!thsiFinD("ths_adjustment_nv_fund",W$3,$A130))</x:f>
        <x:v>#NAME?</x:v>
      </x:c>
      <x:c r="X130" t="e">
        <x:f>IF($A130="","",[1]!thsiFinD("ths_adjustment_nv_fund",X$3,$A130))</x:f>
        <x:v>#NAME?</x:v>
      </x:c>
      <x:c r="Y130" t="e">
        <x:f>IF($A130="","",[1]!thsiFinD("ths_adjustment_nv_fund",Y$3,$A130))</x:f>
        <x:v>#NAME?</x:v>
      </x:c>
    </x:row>
    <x:row r="131">
      <x:c r="B131" t="e">
        <x:f>IF($A131="","",[1]!thsiFinD("ths_adjustment_nv_fund",B$3,$A131))</x:f>
        <x:v>#NAME?</x:v>
      </x:c>
      <x:c r="C131" t="e">
        <x:f>IF($A131="","",[1]!thsiFinD("ths_adjustment_nv_fund",C$3,$A131))</x:f>
        <x:v>#NAME?</x:v>
      </x:c>
      <x:c r="D131" t="e">
        <x:f>IF($A131="","",[1]!thsiFinD("ths_adjustment_nv_fund",D$3,$A131))</x:f>
        <x:v>#NAME?</x:v>
      </x:c>
      <x:c r="E131" t="e">
        <x:f>IF($A131="","",[1]!thsiFinD("ths_adjustment_nv_fund",E$3,$A131))</x:f>
        <x:v>#NAME?</x:v>
      </x:c>
      <x:c r="F131" t="e">
        <x:f>IF($A131="","",[1]!thsiFinD("ths_adjustment_nv_fund",F$3,$A131))</x:f>
        <x:v>#NAME?</x:v>
      </x:c>
      <x:c r="G131" t="e">
        <x:f>IF($A131="","",[1]!thsiFinD("ths_adjustment_nv_fund",G$3,$A131))</x:f>
        <x:v>#NAME?</x:v>
      </x:c>
      <x:c r="H131" t="e">
        <x:f>IF($A131="","",[1]!thsiFinD("ths_adjustment_nv_fund",H$3,$A131))</x:f>
        <x:v>#NAME?</x:v>
      </x:c>
      <x:c r="I131" t="e">
        <x:f>IF($A131="","",[1]!thsiFinD("ths_adjustment_nv_fund",I$3,$A131))</x:f>
        <x:v>#NAME?</x:v>
      </x:c>
      <x:c r="J131" t="e">
        <x:f>IF($A131="","",[1]!thsiFinD("ths_adjustment_nv_fund",J$3,$A131))</x:f>
        <x:v>#NAME?</x:v>
      </x:c>
      <x:c r="K131" t="e">
        <x:f>IF($A131="","",[1]!thsiFinD("ths_adjustment_nv_fund",K$3,$A131))</x:f>
        <x:v>#NAME?</x:v>
      </x:c>
      <x:c r="L131" t="e">
        <x:f>IF($A131="","",[1]!thsiFinD("ths_adjustment_nv_fund",L$3,$A131))</x:f>
        <x:v>#NAME?</x:v>
      </x:c>
      <x:c r="M131" t="e">
        <x:f>IF($A131="","",[1]!thsiFinD("ths_adjustment_nv_fund",M$3,$A131))</x:f>
        <x:v>#NAME?</x:v>
      </x:c>
      <x:c r="N131" t="e">
        <x:f>IF($A131="","",[1]!thsiFinD("ths_adjustment_nv_fund",N$3,$A131))</x:f>
        <x:v>#NAME?</x:v>
      </x:c>
      <x:c r="O131" t="e">
        <x:f>IF($A131="","",[1]!thsiFinD("ths_adjustment_nv_fund",O$3,$A131))</x:f>
        <x:v>#NAME?</x:v>
      </x:c>
      <x:c r="P131" t="e">
        <x:f>IF($A131="","",[1]!thsiFinD("ths_adjustment_nv_fund",P$3,$A131))</x:f>
        <x:v>#NAME?</x:v>
      </x:c>
      <x:c r="Q131" t="e">
        <x:f>IF($A131="","",[1]!thsiFinD("ths_adjustment_nv_fund",Q$3,$A131))</x:f>
        <x:v>#NAME?</x:v>
      </x:c>
      <x:c r="R131" t="e">
        <x:f>IF($A131="","",[1]!thsiFinD("ths_adjustment_nv_fund",R$3,$A131))</x:f>
        <x:v>#NAME?</x:v>
      </x:c>
      <x:c r="S131" t="e">
        <x:f>IF($A131="","",[1]!thsiFinD("ths_adjustment_nv_fund",S$3,$A131))</x:f>
        <x:v>#NAME?</x:v>
      </x:c>
      <x:c r="T131" t="e">
        <x:f>IF($A131="","",[1]!thsiFinD("ths_adjustment_nv_fund",T$3,$A131))</x:f>
        <x:v>#NAME?</x:v>
      </x:c>
      <x:c r="U131" t="e">
        <x:f>IF($A131="","",[1]!thsiFinD("ths_adjustment_nv_fund",U$3,$A131))</x:f>
        <x:v>#NAME?</x:v>
      </x:c>
      <x:c r="V131" t="e">
        <x:f>IF($A131="","",[1]!thsiFinD("ths_adjustment_nv_fund",V$3,$A131))</x:f>
        <x:v>#NAME?</x:v>
      </x:c>
      <x:c r="W131" t="e">
        <x:f>IF($A131="","",[1]!thsiFinD("ths_adjustment_nv_fund",W$3,$A131))</x:f>
        <x:v>#NAME?</x:v>
      </x:c>
      <x:c r="X131" t="e">
        <x:f>IF($A131="","",[1]!thsiFinD("ths_adjustment_nv_fund",X$3,$A131))</x:f>
        <x:v>#NAME?</x:v>
      </x:c>
      <x:c r="Y131" t="e">
        <x:f>IF($A131="","",[1]!thsiFinD("ths_adjustment_nv_fund",Y$3,$A131))</x:f>
        <x:v>#NAME?</x:v>
      </x:c>
    </x:row>
    <x:row r="132">
      <x:c r="B132" t="e">
        <x:f>IF($A132="","",[1]!thsiFinD("ths_adjustment_nv_fund",B$3,$A132))</x:f>
        <x:v>#NAME?</x:v>
      </x:c>
      <x:c r="C132" t="e">
        <x:f>IF($A132="","",[1]!thsiFinD("ths_adjustment_nv_fund",C$3,$A132))</x:f>
        <x:v>#NAME?</x:v>
      </x:c>
      <x:c r="D132" t="e">
        <x:f>IF($A132="","",[1]!thsiFinD("ths_adjustment_nv_fund",D$3,$A132))</x:f>
        <x:v>#NAME?</x:v>
      </x:c>
      <x:c r="E132" t="e">
        <x:f>IF($A132="","",[1]!thsiFinD("ths_adjustment_nv_fund",E$3,$A132))</x:f>
        <x:v>#NAME?</x:v>
      </x:c>
      <x:c r="F132" t="e">
        <x:f>IF($A132="","",[1]!thsiFinD("ths_adjustment_nv_fund",F$3,$A132))</x:f>
        <x:v>#NAME?</x:v>
      </x:c>
      <x:c r="G132" t="e">
        <x:f>IF($A132="","",[1]!thsiFinD("ths_adjustment_nv_fund",G$3,$A132))</x:f>
        <x:v>#NAME?</x:v>
      </x:c>
      <x:c r="H132" t="e">
        <x:f>IF($A132="","",[1]!thsiFinD("ths_adjustment_nv_fund",H$3,$A132))</x:f>
        <x:v>#NAME?</x:v>
      </x:c>
      <x:c r="I132" t="e">
        <x:f>IF($A132="","",[1]!thsiFinD("ths_adjustment_nv_fund",I$3,$A132))</x:f>
        <x:v>#NAME?</x:v>
      </x:c>
      <x:c r="J132" t="e">
        <x:f>IF($A132="","",[1]!thsiFinD("ths_adjustment_nv_fund",J$3,$A132))</x:f>
        <x:v>#NAME?</x:v>
      </x:c>
      <x:c r="K132" t="e">
        <x:f>IF($A132="","",[1]!thsiFinD("ths_adjustment_nv_fund",K$3,$A132))</x:f>
        <x:v>#NAME?</x:v>
      </x:c>
      <x:c r="L132" t="e">
        <x:f>IF($A132="","",[1]!thsiFinD("ths_adjustment_nv_fund",L$3,$A132))</x:f>
        <x:v>#NAME?</x:v>
      </x:c>
      <x:c r="M132" t="e">
        <x:f>IF($A132="","",[1]!thsiFinD("ths_adjustment_nv_fund",M$3,$A132))</x:f>
        <x:v>#NAME?</x:v>
      </x:c>
      <x:c r="N132" t="e">
        <x:f>IF($A132="","",[1]!thsiFinD("ths_adjustment_nv_fund",N$3,$A132))</x:f>
        <x:v>#NAME?</x:v>
      </x:c>
      <x:c r="O132" t="e">
        <x:f>IF($A132="","",[1]!thsiFinD("ths_adjustment_nv_fund",O$3,$A132))</x:f>
        <x:v>#NAME?</x:v>
      </x:c>
      <x:c r="P132" t="e">
        <x:f>IF($A132="","",[1]!thsiFinD("ths_adjustment_nv_fund",P$3,$A132))</x:f>
        <x:v>#NAME?</x:v>
      </x:c>
      <x:c r="Q132" t="e">
        <x:f>IF($A132="","",[1]!thsiFinD("ths_adjustment_nv_fund",Q$3,$A132))</x:f>
        <x:v>#NAME?</x:v>
      </x:c>
      <x:c r="R132" t="e">
        <x:f>IF($A132="","",[1]!thsiFinD("ths_adjustment_nv_fund",R$3,$A132))</x:f>
        <x:v>#NAME?</x:v>
      </x:c>
      <x:c r="S132" t="e">
        <x:f>IF($A132="","",[1]!thsiFinD("ths_adjustment_nv_fund",S$3,$A132))</x:f>
        <x:v>#NAME?</x:v>
      </x:c>
      <x:c r="T132" t="e">
        <x:f>IF($A132="","",[1]!thsiFinD("ths_adjustment_nv_fund",T$3,$A132))</x:f>
        <x:v>#NAME?</x:v>
      </x:c>
      <x:c r="U132" t="e">
        <x:f>IF($A132="","",[1]!thsiFinD("ths_adjustment_nv_fund",U$3,$A132))</x:f>
        <x:v>#NAME?</x:v>
      </x:c>
      <x:c r="V132" t="e">
        <x:f>IF($A132="","",[1]!thsiFinD("ths_adjustment_nv_fund",V$3,$A132))</x:f>
        <x:v>#NAME?</x:v>
      </x:c>
      <x:c r="W132" t="e">
        <x:f>IF($A132="","",[1]!thsiFinD("ths_adjustment_nv_fund",W$3,$A132))</x:f>
        <x:v>#NAME?</x:v>
      </x:c>
      <x:c r="X132" t="e">
        <x:f>IF($A132="","",[1]!thsiFinD("ths_adjustment_nv_fund",X$3,$A132))</x:f>
        <x:v>#NAME?</x:v>
      </x:c>
      <x:c r="Y132" t="e">
        <x:f>IF($A132="","",[1]!thsiFinD("ths_adjustment_nv_fund",Y$3,$A132))</x:f>
        <x:v>#NAME?</x:v>
      </x:c>
    </x:row>
    <x:row r="133">
      <x:c r="B133" t="e">
        <x:f>IF($A133="","",[1]!thsiFinD("ths_adjustment_nv_fund",B$3,$A133))</x:f>
        <x:v>#NAME?</x:v>
      </x:c>
      <x:c r="C133" t="e">
        <x:f>IF($A133="","",[1]!thsiFinD("ths_adjustment_nv_fund",C$3,$A133))</x:f>
        <x:v>#NAME?</x:v>
      </x:c>
      <x:c r="D133" t="e">
        <x:f>IF($A133="","",[1]!thsiFinD("ths_adjustment_nv_fund",D$3,$A133))</x:f>
        <x:v>#NAME?</x:v>
      </x:c>
      <x:c r="E133" t="e">
        <x:f>IF($A133="","",[1]!thsiFinD("ths_adjustment_nv_fund",E$3,$A133))</x:f>
        <x:v>#NAME?</x:v>
      </x:c>
      <x:c r="F133" t="e">
        <x:f>IF($A133="","",[1]!thsiFinD("ths_adjustment_nv_fund",F$3,$A133))</x:f>
        <x:v>#NAME?</x:v>
      </x:c>
      <x:c r="G133" t="e">
        <x:f>IF($A133="","",[1]!thsiFinD("ths_adjustment_nv_fund",G$3,$A133))</x:f>
        <x:v>#NAME?</x:v>
      </x:c>
      <x:c r="H133" t="e">
        <x:f>IF($A133="","",[1]!thsiFinD("ths_adjustment_nv_fund",H$3,$A133))</x:f>
        <x:v>#NAME?</x:v>
      </x:c>
      <x:c r="I133" t="e">
        <x:f>IF($A133="","",[1]!thsiFinD("ths_adjustment_nv_fund",I$3,$A133))</x:f>
        <x:v>#NAME?</x:v>
      </x:c>
      <x:c r="J133" t="e">
        <x:f>IF($A133="","",[1]!thsiFinD("ths_adjustment_nv_fund",J$3,$A133))</x:f>
        <x:v>#NAME?</x:v>
      </x:c>
      <x:c r="K133" t="e">
        <x:f>IF($A133="","",[1]!thsiFinD("ths_adjustment_nv_fund",K$3,$A133))</x:f>
        <x:v>#NAME?</x:v>
      </x:c>
      <x:c r="L133" t="e">
        <x:f>IF($A133="","",[1]!thsiFinD("ths_adjustment_nv_fund",L$3,$A133))</x:f>
        <x:v>#NAME?</x:v>
      </x:c>
      <x:c r="M133" t="e">
        <x:f>IF($A133="","",[1]!thsiFinD("ths_adjustment_nv_fund",M$3,$A133))</x:f>
        <x:v>#NAME?</x:v>
      </x:c>
      <x:c r="N133" t="e">
        <x:f>IF($A133="","",[1]!thsiFinD("ths_adjustment_nv_fund",N$3,$A133))</x:f>
        <x:v>#NAME?</x:v>
      </x:c>
      <x:c r="O133" t="e">
        <x:f>IF($A133="","",[1]!thsiFinD("ths_adjustment_nv_fund",O$3,$A133))</x:f>
        <x:v>#NAME?</x:v>
      </x:c>
      <x:c r="P133" t="e">
        <x:f>IF($A133="","",[1]!thsiFinD("ths_adjustment_nv_fund",P$3,$A133))</x:f>
        <x:v>#NAME?</x:v>
      </x:c>
      <x:c r="Q133" t="e">
        <x:f>IF($A133="","",[1]!thsiFinD("ths_adjustment_nv_fund",Q$3,$A133))</x:f>
        <x:v>#NAME?</x:v>
      </x:c>
      <x:c r="R133" t="e">
        <x:f>IF($A133="","",[1]!thsiFinD("ths_adjustment_nv_fund",R$3,$A133))</x:f>
        <x:v>#NAME?</x:v>
      </x:c>
      <x:c r="S133" t="e">
        <x:f>IF($A133="","",[1]!thsiFinD("ths_adjustment_nv_fund",S$3,$A133))</x:f>
        <x:v>#NAME?</x:v>
      </x:c>
      <x:c r="T133" t="e">
        <x:f>IF($A133="","",[1]!thsiFinD("ths_adjustment_nv_fund",T$3,$A133))</x:f>
        <x:v>#NAME?</x:v>
      </x:c>
      <x:c r="U133" t="e">
        <x:f>IF($A133="","",[1]!thsiFinD("ths_adjustment_nv_fund",U$3,$A133))</x:f>
        <x:v>#NAME?</x:v>
      </x:c>
      <x:c r="V133" t="e">
        <x:f>IF($A133="","",[1]!thsiFinD("ths_adjustment_nv_fund",V$3,$A133))</x:f>
        <x:v>#NAME?</x:v>
      </x:c>
      <x:c r="W133" t="e">
        <x:f>IF($A133="","",[1]!thsiFinD("ths_adjustment_nv_fund",W$3,$A133))</x:f>
        <x:v>#NAME?</x:v>
      </x:c>
      <x:c r="X133" t="e">
        <x:f>IF($A133="","",[1]!thsiFinD("ths_adjustment_nv_fund",X$3,$A133))</x:f>
        <x:v>#NAME?</x:v>
      </x:c>
      <x:c r="Y133" t="e">
        <x:f>IF($A133="","",[1]!thsiFinD("ths_adjustment_nv_fund",Y$3,$A133))</x:f>
        <x:v>#NAME?</x:v>
      </x:c>
    </x:row>
    <x:row r="134">
      <x:c r="B134" t="e">
        <x:f>IF($A134="","",[1]!thsiFinD("ths_adjustment_nv_fund",B$3,$A134))</x:f>
        <x:v>#NAME?</x:v>
      </x:c>
      <x:c r="C134" t="e">
        <x:f>IF($A134="","",[1]!thsiFinD("ths_adjustment_nv_fund",C$3,$A134))</x:f>
        <x:v>#NAME?</x:v>
      </x:c>
      <x:c r="D134" t="e">
        <x:f>IF($A134="","",[1]!thsiFinD("ths_adjustment_nv_fund",D$3,$A134))</x:f>
        <x:v>#NAME?</x:v>
      </x:c>
      <x:c r="E134" t="e">
        <x:f>IF($A134="","",[1]!thsiFinD("ths_adjustment_nv_fund",E$3,$A134))</x:f>
        <x:v>#NAME?</x:v>
      </x:c>
      <x:c r="F134" t="e">
        <x:f>IF($A134="","",[1]!thsiFinD("ths_adjustment_nv_fund",F$3,$A134))</x:f>
        <x:v>#NAME?</x:v>
      </x:c>
      <x:c r="G134" t="e">
        <x:f>IF($A134="","",[1]!thsiFinD("ths_adjustment_nv_fund",G$3,$A134))</x:f>
        <x:v>#NAME?</x:v>
      </x:c>
      <x:c r="H134" t="e">
        <x:f>IF($A134="","",[1]!thsiFinD("ths_adjustment_nv_fund",H$3,$A134))</x:f>
        <x:v>#NAME?</x:v>
      </x:c>
      <x:c r="I134" t="e">
        <x:f>IF($A134="","",[1]!thsiFinD("ths_adjustment_nv_fund",I$3,$A134))</x:f>
        <x:v>#NAME?</x:v>
      </x:c>
      <x:c r="J134" t="e">
        <x:f>IF($A134="","",[1]!thsiFinD("ths_adjustment_nv_fund",J$3,$A134))</x:f>
        <x:v>#NAME?</x:v>
      </x:c>
      <x:c r="K134" t="e">
        <x:f>IF($A134="","",[1]!thsiFinD("ths_adjustment_nv_fund",K$3,$A134))</x:f>
        <x:v>#NAME?</x:v>
      </x:c>
      <x:c r="L134" t="e">
        <x:f>IF($A134="","",[1]!thsiFinD("ths_adjustment_nv_fund",L$3,$A134))</x:f>
        <x:v>#NAME?</x:v>
      </x:c>
      <x:c r="M134" t="e">
        <x:f>IF($A134="","",[1]!thsiFinD("ths_adjustment_nv_fund",M$3,$A134))</x:f>
        <x:v>#NAME?</x:v>
      </x:c>
      <x:c r="N134" t="e">
        <x:f>IF($A134="","",[1]!thsiFinD("ths_adjustment_nv_fund",N$3,$A134))</x:f>
        <x:v>#NAME?</x:v>
      </x:c>
      <x:c r="O134" t="e">
        <x:f>IF($A134="","",[1]!thsiFinD("ths_adjustment_nv_fund",O$3,$A134))</x:f>
        <x:v>#NAME?</x:v>
      </x:c>
      <x:c r="P134" t="e">
        <x:f>IF($A134="","",[1]!thsiFinD("ths_adjustment_nv_fund",P$3,$A134))</x:f>
        <x:v>#NAME?</x:v>
      </x:c>
      <x:c r="Q134" t="e">
        <x:f>IF($A134="","",[1]!thsiFinD("ths_adjustment_nv_fund",Q$3,$A134))</x:f>
        <x:v>#NAME?</x:v>
      </x:c>
      <x:c r="R134" t="e">
        <x:f>IF($A134="","",[1]!thsiFinD("ths_adjustment_nv_fund",R$3,$A134))</x:f>
        <x:v>#NAME?</x:v>
      </x:c>
      <x:c r="S134" t="e">
        <x:f>IF($A134="","",[1]!thsiFinD("ths_adjustment_nv_fund",S$3,$A134))</x:f>
        <x:v>#NAME?</x:v>
      </x:c>
      <x:c r="T134" t="e">
        <x:f>IF($A134="","",[1]!thsiFinD("ths_adjustment_nv_fund",T$3,$A134))</x:f>
        <x:v>#NAME?</x:v>
      </x:c>
      <x:c r="U134" t="e">
        <x:f>IF($A134="","",[1]!thsiFinD("ths_adjustment_nv_fund",U$3,$A134))</x:f>
        <x:v>#NAME?</x:v>
      </x:c>
      <x:c r="V134" t="e">
        <x:f>IF($A134="","",[1]!thsiFinD("ths_adjustment_nv_fund",V$3,$A134))</x:f>
        <x:v>#NAME?</x:v>
      </x:c>
      <x:c r="W134" t="e">
        <x:f>IF($A134="","",[1]!thsiFinD("ths_adjustment_nv_fund",W$3,$A134))</x:f>
        <x:v>#NAME?</x:v>
      </x:c>
      <x:c r="X134" t="e">
        <x:f>IF($A134="","",[1]!thsiFinD("ths_adjustment_nv_fund",X$3,$A134))</x:f>
        <x:v>#NAME?</x:v>
      </x:c>
      <x:c r="Y134" t="e">
        <x:f>IF($A134="","",[1]!thsiFinD("ths_adjustment_nv_fund",Y$3,$A134))</x:f>
        <x:v>#NAME?</x:v>
      </x:c>
    </x:row>
    <x:row r="135">
      <x:c r="B135" t="e">
        <x:f>IF($A135="","",[1]!thsiFinD("ths_adjustment_nv_fund",B$3,$A135))</x:f>
        <x:v>#NAME?</x:v>
      </x:c>
      <x:c r="C135" t="e">
        <x:f>IF($A135="","",[1]!thsiFinD("ths_adjustment_nv_fund",C$3,$A135))</x:f>
        <x:v>#NAME?</x:v>
      </x:c>
      <x:c r="D135" t="e">
        <x:f>IF($A135="","",[1]!thsiFinD("ths_adjustment_nv_fund",D$3,$A135))</x:f>
        <x:v>#NAME?</x:v>
      </x:c>
      <x:c r="E135" t="e">
        <x:f>IF($A135="","",[1]!thsiFinD("ths_adjustment_nv_fund",E$3,$A135))</x:f>
        <x:v>#NAME?</x:v>
      </x:c>
      <x:c r="F135" t="e">
        <x:f>IF($A135="","",[1]!thsiFinD("ths_adjustment_nv_fund",F$3,$A135))</x:f>
        <x:v>#NAME?</x:v>
      </x:c>
      <x:c r="G135" t="e">
        <x:f>IF($A135="","",[1]!thsiFinD("ths_adjustment_nv_fund",G$3,$A135))</x:f>
        <x:v>#NAME?</x:v>
      </x:c>
      <x:c r="H135" t="e">
        <x:f>IF($A135="","",[1]!thsiFinD("ths_adjustment_nv_fund",H$3,$A135))</x:f>
        <x:v>#NAME?</x:v>
      </x:c>
      <x:c r="I135" t="e">
        <x:f>IF($A135="","",[1]!thsiFinD("ths_adjustment_nv_fund",I$3,$A135))</x:f>
        <x:v>#NAME?</x:v>
      </x:c>
      <x:c r="J135" t="e">
        <x:f>IF($A135="","",[1]!thsiFinD("ths_adjustment_nv_fund",J$3,$A135))</x:f>
        <x:v>#NAME?</x:v>
      </x:c>
      <x:c r="K135" t="e">
        <x:f>IF($A135="","",[1]!thsiFinD("ths_adjustment_nv_fund",K$3,$A135))</x:f>
        <x:v>#NAME?</x:v>
      </x:c>
      <x:c r="L135" t="e">
        <x:f>IF($A135="","",[1]!thsiFinD("ths_adjustment_nv_fund",L$3,$A135))</x:f>
        <x:v>#NAME?</x:v>
      </x:c>
      <x:c r="M135" t="e">
        <x:f>IF($A135="","",[1]!thsiFinD("ths_adjustment_nv_fund",M$3,$A135))</x:f>
        <x:v>#NAME?</x:v>
      </x:c>
      <x:c r="N135" t="e">
        <x:f>IF($A135="","",[1]!thsiFinD("ths_adjustment_nv_fund",N$3,$A135))</x:f>
        <x:v>#NAME?</x:v>
      </x:c>
      <x:c r="O135" t="e">
        <x:f>IF($A135="","",[1]!thsiFinD("ths_adjustment_nv_fund",O$3,$A135))</x:f>
        <x:v>#NAME?</x:v>
      </x:c>
      <x:c r="P135" t="e">
        <x:f>IF($A135="","",[1]!thsiFinD("ths_adjustment_nv_fund",P$3,$A135))</x:f>
        <x:v>#NAME?</x:v>
      </x:c>
      <x:c r="Q135" t="e">
        <x:f>IF($A135="","",[1]!thsiFinD("ths_adjustment_nv_fund",Q$3,$A135))</x:f>
        <x:v>#NAME?</x:v>
      </x:c>
      <x:c r="R135" t="e">
        <x:f>IF($A135="","",[1]!thsiFinD("ths_adjustment_nv_fund",R$3,$A135))</x:f>
        <x:v>#NAME?</x:v>
      </x:c>
      <x:c r="S135" t="e">
        <x:f>IF($A135="","",[1]!thsiFinD("ths_adjustment_nv_fund",S$3,$A135))</x:f>
        <x:v>#NAME?</x:v>
      </x:c>
      <x:c r="T135" t="e">
        <x:f>IF($A135="","",[1]!thsiFinD("ths_adjustment_nv_fund",T$3,$A135))</x:f>
        <x:v>#NAME?</x:v>
      </x:c>
      <x:c r="U135" t="e">
        <x:f>IF($A135="","",[1]!thsiFinD("ths_adjustment_nv_fund",U$3,$A135))</x:f>
        <x:v>#NAME?</x:v>
      </x:c>
      <x:c r="V135" t="e">
        <x:f>IF($A135="","",[1]!thsiFinD("ths_adjustment_nv_fund",V$3,$A135))</x:f>
        <x:v>#NAME?</x:v>
      </x:c>
      <x:c r="W135" t="e">
        <x:f>IF($A135="","",[1]!thsiFinD("ths_adjustment_nv_fund",W$3,$A135))</x:f>
        <x:v>#NAME?</x:v>
      </x:c>
      <x:c r="X135" t="e">
        <x:f>IF($A135="","",[1]!thsiFinD("ths_adjustment_nv_fund",X$3,$A135))</x:f>
        <x:v>#NAME?</x:v>
      </x:c>
      <x:c r="Y135" t="e">
        <x:f>IF($A135="","",[1]!thsiFinD("ths_adjustment_nv_fund",Y$3,$A135))</x:f>
        <x:v>#NAME?</x:v>
      </x:c>
    </x:row>
    <x:row r="136">
      <x:c r="B136" t="e">
        <x:f>IF($A136="","",[1]!thsiFinD("ths_adjustment_nv_fund",B$3,$A136))</x:f>
        <x:v>#NAME?</x:v>
      </x:c>
      <x:c r="C136" t="e">
        <x:f>IF($A136="","",[1]!thsiFinD("ths_adjustment_nv_fund",C$3,$A136))</x:f>
        <x:v>#NAME?</x:v>
      </x:c>
      <x:c r="D136" t="e">
        <x:f>IF($A136="","",[1]!thsiFinD("ths_adjustment_nv_fund",D$3,$A136))</x:f>
        <x:v>#NAME?</x:v>
      </x:c>
      <x:c r="E136" t="e">
        <x:f>IF($A136="","",[1]!thsiFinD("ths_adjustment_nv_fund",E$3,$A136))</x:f>
        <x:v>#NAME?</x:v>
      </x:c>
      <x:c r="F136" t="e">
        <x:f>IF($A136="","",[1]!thsiFinD("ths_adjustment_nv_fund",F$3,$A136))</x:f>
        <x:v>#NAME?</x:v>
      </x:c>
      <x:c r="G136" t="e">
        <x:f>IF($A136="","",[1]!thsiFinD("ths_adjustment_nv_fund",G$3,$A136))</x:f>
        <x:v>#NAME?</x:v>
      </x:c>
      <x:c r="H136" t="e">
        <x:f>IF($A136="","",[1]!thsiFinD("ths_adjustment_nv_fund",H$3,$A136))</x:f>
        <x:v>#NAME?</x:v>
      </x:c>
      <x:c r="I136" t="e">
        <x:f>IF($A136="","",[1]!thsiFinD("ths_adjustment_nv_fund",I$3,$A136))</x:f>
        <x:v>#NAME?</x:v>
      </x:c>
      <x:c r="J136" t="e">
        <x:f>IF($A136="","",[1]!thsiFinD("ths_adjustment_nv_fund",J$3,$A136))</x:f>
        <x:v>#NAME?</x:v>
      </x:c>
      <x:c r="K136" t="e">
        <x:f>IF($A136="","",[1]!thsiFinD("ths_adjustment_nv_fund",K$3,$A136))</x:f>
        <x:v>#NAME?</x:v>
      </x:c>
      <x:c r="L136" t="e">
        <x:f>IF($A136="","",[1]!thsiFinD("ths_adjustment_nv_fund",L$3,$A136))</x:f>
        <x:v>#NAME?</x:v>
      </x:c>
      <x:c r="M136" t="e">
        <x:f>IF($A136="","",[1]!thsiFinD("ths_adjustment_nv_fund",M$3,$A136))</x:f>
        <x:v>#NAME?</x:v>
      </x:c>
      <x:c r="N136" t="e">
        <x:f>IF($A136="","",[1]!thsiFinD("ths_adjustment_nv_fund",N$3,$A136))</x:f>
        <x:v>#NAME?</x:v>
      </x:c>
      <x:c r="O136" t="e">
        <x:f>IF($A136="","",[1]!thsiFinD("ths_adjustment_nv_fund",O$3,$A136))</x:f>
        <x:v>#NAME?</x:v>
      </x:c>
      <x:c r="P136" t="e">
        <x:f>IF($A136="","",[1]!thsiFinD("ths_adjustment_nv_fund",P$3,$A136))</x:f>
        <x:v>#NAME?</x:v>
      </x:c>
      <x:c r="Q136" t="e">
        <x:f>IF($A136="","",[1]!thsiFinD("ths_adjustment_nv_fund",Q$3,$A136))</x:f>
        <x:v>#NAME?</x:v>
      </x:c>
      <x:c r="R136" t="e">
        <x:f>IF($A136="","",[1]!thsiFinD("ths_adjustment_nv_fund",R$3,$A136))</x:f>
        <x:v>#NAME?</x:v>
      </x:c>
      <x:c r="S136" t="e">
        <x:f>IF($A136="","",[1]!thsiFinD("ths_adjustment_nv_fund",S$3,$A136))</x:f>
        <x:v>#NAME?</x:v>
      </x:c>
      <x:c r="T136" t="e">
        <x:f>IF($A136="","",[1]!thsiFinD("ths_adjustment_nv_fund",T$3,$A136))</x:f>
        <x:v>#NAME?</x:v>
      </x:c>
      <x:c r="U136" t="e">
        <x:f>IF($A136="","",[1]!thsiFinD("ths_adjustment_nv_fund",U$3,$A136))</x:f>
        <x:v>#NAME?</x:v>
      </x:c>
      <x:c r="V136" t="e">
        <x:f>IF($A136="","",[1]!thsiFinD("ths_adjustment_nv_fund",V$3,$A136))</x:f>
        <x:v>#NAME?</x:v>
      </x:c>
      <x:c r="W136" t="e">
        <x:f>IF($A136="","",[1]!thsiFinD("ths_adjustment_nv_fund",W$3,$A136))</x:f>
        <x:v>#NAME?</x:v>
      </x:c>
      <x:c r="X136" t="e">
        <x:f>IF($A136="","",[1]!thsiFinD("ths_adjustment_nv_fund",X$3,$A136))</x:f>
        <x:v>#NAME?</x:v>
      </x:c>
      <x:c r="Y136" t="e">
        <x:f>IF($A136="","",[1]!thsiFinD("ths_adjustment_nv_fund",Y$3,$A136))</x:f>
        <x:v>#NAME?</x:v>
      </x:c>
    </x:row>
    <x:row r="137">
      <x:c r="B137" t="e">
        <x:f>IF($A137="","",[1]!thsiFinD("ths_adjustment_nv_fund",B$3,$A137))</x:f>
        <x:v>#NAME?</x:v>
      </x:c>
      <x:c r="C137" t="e">
        <x:f>IF($A137="","",[1]!thsiFinD("ths_adjustment_nv_fund",C$3,$A137))</x:f>
        <x:v>#NAME?</x:v>
      </x:c>
      <x:c r="D137" t="e">
        <x:f>IF($A137="","",[1]!thsiFinD("ths_adjustment_nv_fund",D$3,$A137))</x:f>
        <x:v>#NAME?</x:v>
      </x:c>
      <x:c r="E137" t="e">
        <x:f>IF($A137="","",[1]!thsiFinD("ths_adjustment_nv_fund",E$3,$A137))</x:f>
        <x:v>#NAME?</x:v>
      </x:c>
      <x:c r="F137" t="e">
        <x:f>IF($A137="","",[1]!thsiFinD("ths_adjustment_nv_fund",F$3,$A137))</x:f>
        <x:v>#NAME?</x:v>
      </x:c>
      <x:c r="G137" t="e">
        <x:f>IF($A137="","",[1]!thsiFinD("ths_adjustment_nv_fund",G$3,$A137))</x:f>
        <x:v>#NAME?</x:v>
      </x:c>
      <x:c r="H137" t="e">
        <x:f>IF($A137="","",[1]!thsiFinD("ths_adjustment_nv_fund",H$3,$A137))</x:f>
        <x:v>#NAME?</x:v>
      </x:c>
      <x:c r="I137" t="e">
        <x:f>IF($A137="","",[1]!thsiFinD("ths_adjustment_nv_fund",I$3,$A137))</x:f>
        <x:v>#NAME?</x:v>
      </x:c>
      <x:c r="J137" t="e">
        <x:f>IF($A137="","",[1]!thsiFinD("ths_adjustment_nv_fund",J$3,$A137))</x:f>
        <x:v>#NAME?</x:v>
      </x:c>
      <x:c r="K137" t="e">
        <x:f>IF($A137="","",[1]!thsiFinD("ths_adjustment_nv_fund",K$3,$A137))</x:f>
        <x:v>#NAME?</x:v>
      </x:c>
      <x:c r="L137" t="e">
        <x:f>IF($A137="","",[1]!thsiFinD("ths_adjustment_nv_fund",L$3,$A137))</x:f>
        <x:v>#NAME?</x:v>
      </x:c>
      <x:c r="M137" t="e">
        <x:f>IF($A137="","",[1]!thsiFinD("ths_adjustment_nv_fund",M$3,$A137))</x:f>
        <x:v>#NAME?</x:v>
      </x:c>
      <x:c r="N137" t="e">
        <x:f>IF($A137="","",[1]!thsiFinD("ths_adjustment_nv_fund",N$3,$A137))</x:f>
        <x:v>#NAME?</x:v>
      </x:c>
      <x:c r="O137" t="e">
        <x:f>IF($A137="","",[1]!thsiFinD("ths_adjustment_nv_fund",O$3,$A137))</x:f>
        <x:v>#NAME?</x:v>
      </x:c>
      <x:c r="P137" t="e">
        <x:f>IF($A137="","",[1]!thsiFinD("ths_adjustment_nv_fund",P$3,$A137))</x:f>
        <x:v>#NAME?</x:v>
      </x:c>
      <x:c r="Q137" t="e">
        <x:f>IF($A137="","",[1]!thsiFinD("ths_adjustment_nv_fund",Q$3,$A137))</x:f>
        <x:v>#NAME?</x:v>
      </x:c>
      <x:c r="R137" t="e">
        <x:f>IF($A137="","",[1]!thsiFinD("ths_adjustment_nv_fund",R$3,$A137))</x:f>
        <x:v>#NAME?</x:v>
      </x:c>
      <x:c r="S137" t="e">
        <x:f>IF($A137="","",[1]!thsiFinD("ths_adjustment_nv_fund",S$3,$A137))</x:f>
        <x:v>#NAME?</x:v>
      </x:c>
      <x:c r="T137" t="e">
        <x:f>IF($A137="","",[1]!thsiFinD("ths_adjustment_nv_fund",T$3,$A137))</x:f>
        <x:v>#NAME?</x:v>
      </x:c>
      <x:c r="U137" t="e">
        <x:f>IF($A137="","",[1]!thsiFinD("ths_adjustment_nv_fund",U$3,$A137))</x:f>
        <x:v>#NAME?</x:v>
      </x:c>
      <x:c r="V137" t="e">
        <x:f>IF($A137="","",[1]!thsiFinD("ths_adjustment_nv_fund",V$3,$A137))</x:f>
        <x:v>#NAME?</x:v>
      </x:c>
      <x:c r="W137" t="e">
        <x:f>IF($A137="","",[1]!thsiFinD("ths_adjustment_nv_fund",W$3,$A137))</x:f>
        <x:v>#NAME?</x:v>
      </x:c>
      <x:c r="X137" t="e">
        <x:f>IF($A137="","",[1]!thsiFinD("ths_adjustment_nv_fund",X$3,$A137))</x:f>
        <x:v>#NAME?</x:v>
      </x:c>
      <x:c r="Y137" t="e">
        <x:f>IF($A137="","",[1]!thsiFinD("ths_adjustment_nv_fund",Y$3,$A137))</x:f>
        <x:v>#NAME?</x:v>
      </x:c>
    </x:row>
    <x:row r="138">
      <x:c r="B138" t="e">
        <x:f>IF($A138="","",[1]!thsiFinD("ths_adjustment_nv_fund",B$3,$A138))</x:f>
        <x:v>#NAME?</x:v>
      </x:c>
      <x:c r="C138" t="e">
        <x:f>IF($A138="","",[1]!thsiFinD("ths_adjustment_nv_fund",C$3,$A138))</x:f>
        <x:v>#NAME?</x:v>
      </x:c>
      <x:c r="D138" t="e">
        <x:f>IF($A138="","",[1]!thsiFinD("ths_adjustment_nv_fund",D$3,$A138))</x:f>
        <x:v>#NAME?</x:v>
      </x:c>
      <x:c r="E138" t="e">
        <x:f>IF($A138="","",[1]!thsiFinD("ths_adjustment_nv_fund",E$3,$A138))</x:f>
        <x:v>#NAME?</x:v>
      </x:c>
      <x:c r="F138" t="e">
        <x:f>IF($A138="","",[1]!thsiFinD("ths_adjustment_nv_fund",F$3,$A138))</x:f>
        <x:v>#NAME?</x:v>
      </x:c>
      <x:c r="G138" t="e">
        <x:f>IF($A138="","",[1]!thsiFinD("ths_adjustment_nv_fund",G$3,$A138))</x:f>
        <x:v>#NAME?</x:v>
      </x:c>
      <x:c r="H138" t="e">
        <x:f>IF($A138="","",[1]!thsiFinD("ths_adjustment_nv_fund",H$3,$A138))</x:f>
        <x:v>#NAME?</x:v>
      </x:c>
      <x:c r="I138" t="e">
        <x:f>IF($A138="","",[1]!thsiFinD("ths_adjustment_nv_fund",I$3,$A138))</x:f>
        <x:v>#NAME?</x:v>
      </x:c>
      <x:c r="J138" t="e">
        <x:f>IF($A138="","",[1]!thsiFinD("ths_adjustment_nv_fund",J$3,$A138))</x:f>
        <x:v>#NAME?</x:v>
      </x:c>
      <x:c r="K138" t="e">
        <x:f>IF($A138="","",[1]!thsiFinD("ths_adjustment_nv_fund",K$3,$A138))</x:f>
        <x:v>#NAME?</x:v>
      </x:c>
      <x:c r="L138" t="e">
        <x:f>IF($A138="","",[1]!thsiFinD("ths_adjustment_nv_fund",L$3,$A138))</x:f>
        <x:v>#NAME?</x:v>
      </x:c>
      <x:c r="M138" t="e">
        <x:f>IF($A138="","",[1]!thsiFinD("ths_adjustment_nv_fund",M$3,$A138))</x:f>
        <x:v>#NAME?</x:v>
      </x:c>
      <x:c r="N138" t="e">
        <x:f>IF($A138="","",[1]!thsiFinD("ths_adjustment_nv_fund",N$3,$A138))</x:f>
        <x:v>#NAME?</x:v>
      </x:c>
      <x:c r="O138" t="e">
        <x:f>IF($A138="","",[1]!thsiFinD("ths_adjustment_nv_fund",O$3,$A138))</x:f>
        <x:v>#NAME?</x:v>
      </x:c>
      <x:c r="P138" t="e">
        <x:f>IF($A138="","",[1]!thsiFinD("ths_adjustment_nv_fund",P$3,$A138))</x:f>
        <x:v>#NAME?</x:v>
      </x:c>
      <x:c r="Q138" t="e">
        <x:f>IF($A138="","",[1]!thsiFinD("ths_adjustment_nv_fund",Q$3,$A138))</x:f>
        <x:v>#NAME?</x:v>
      </x:c>
      <x:c r="R138" t="e">
        <x:f>IF($A138="","",[1]!thsiFinD("ths_adjustment_nv_fund",R$3,$A138))</x:f>
        <x:v>#NAME?</x:v>
      </x:c>
      <x:c r="S138" t="e">
        <x:f>IF($A138="","",[1]!thsiFinD("ths_adjustment_nv_fund",S$3,$A138))</x:f>
        <x:v>#NAME?</x:v>
      </x:c>
      <x:c r="T138" t="e">
        <x:f>IF($A138="","",[1]!thsiFinD("ths_adjustment_nv_fund",T$3,$A138))</x:f>
        <x:v>#NAME?</x:v>
      </x:c>
      <x:c r="U138" t="e">
        <x:f>IF($A138="","",[1]!thsiFinD("ths_adjustment_nv_fund",U$3,$A138))</x:f>
        <x:v>#NAME?</x:v>
      </x:c>
      <x:c r="V138" t="e">
        <x:f>IF($A138="","",[1]!thsiFinD("ths_adjustment_nv_fund",V$3,$A138))</x:f>
        <x:v>#NAME?</x:v>
      </x:c>
      <x:c r="W138" t="e">
        <x:f>IF($A138="","",[1]!thsiFinD("ths_adjustment_nv_fund",W$3,$A138))</x:f>
        <x:v>#NAME?</x:v>
      </x:c>
      <x:c r="X138" t="e">
        <x:f>IF($A138="","",[1]!thsiFinD("ths_adjustment_nv_fund",X$3,$A138))</x:f>
        <x:v>#NAME?</x:v>
      </x:c>
      <x:c r="Y138" t="e">
        <x:f>IF($A138="","",[1]!thsiFinD("ths_adjustment_nv_fund",Y$3,$A138))</x:f>
        <x:v>#NAME?</x:v>
      </x:c>
    </x:row>
    <x:row r="139">
      <x:c r="B139" t="e">
        <x:f>IF($A139="","",[1]!thsiFinD("ths_adjustment_nv_fund",B$3,$A139))</x:f>
        <x:v>#NAME?</x:v>
      </x:c>
      <x:c r="C139" t="e">
        <x:f>IF($A139="","",[1]!thsiFinD("ths_adjustment_nv_fund",C$3,$A139))</x:f>
        <x:v>#NAME?</x:v>
      </x:c>
      <x:c r="D139" t="e">
        <x:f>IF($A139="","",[1]!thsiFinD("ths_adjustment_nv_fund",D$3,$A139))</x:f>
        <x:v>#NAME?</x:v>
      </x:c>
      <x:c r="E139" t="e">
        <x:f>IF($A139="","",[1]!thsiFinD("ths_adjustment_nv_fund",E$3,$A139))</x:f>
        <x:v>#NAME?</x:v>
      </x:c>
      <x:c r="F139" t="e">
        <x:f>IF($A139="","",[1]!thsiFinD("ths_adjustment_nv_fund",F$3,$A139))</x:f>
        <x:v>#NAME?</x:v>
      </x:c>
      <x:c r="G139" t="e">
        <x:f>IF($A139="","",[1]!thsiFinD("ths_adjustment_nv_fund",G$3,$A139))</x:f>
        <x:v>#NAME?</x:v>
      </x:c>
      <x:c r="H139" t="e">
        <x:f>IF($A139="","",[1]!thsiFinD("ths_adjustment_nv_fund",H$3,$A139))</x:f>
        <x:v>#NAME?</x:v>
      </x:c>
      <x:c r="I139" t="e">
        <x:f>IF($A139="","",[1]!thsiFinD("ths_adjustment_nv_fund",I$3,$A139))</x:f>
        <x:v>#NAME?</x:v>
      </x:c>
      <x:c r="J139" t="e">
        <x:f>IF($A139="","",[1]!thsiFinD("ths_adjustment_nv_fund",J$3,$A139))</x:f>
        <x:v>#NAME?</x:v>
      </x:c>
      <x:c r="K139" t="e">
        <x:f>IF($A139="","",[1]!thsiFinD("ths_adjustment_nv_fund",K$3,$A139))</x:f>
        <x:v>#NAME?</x:v>
      </x:c>
      <x:c r="L139" t="e">
        <x:f>IF($A139="","",[1]!thsiFinD("ths_adjustment_nv_fund",L$3,$A139))</x:f>
        <x:v>#NAME?</x:v>
      </x:c>
      <x:c r="M139" t="e">
        <x:f>IF($A139="","",[1]!thsiFinD("ths_adjustment_nv_fund",M$3,$A139))</x:f>
        <x:v>#NAME?</x:v>
      </x:c>
      <x:c r="N139" t="e">
        <x:f>IF($A139="","",[1]!thsiFinD("ths_adjustment_nv_fund",N$3,$A139))</x:f>
        <x:v>#NAME?</x:v>
      </x:c>
      <x:c r="O139" t="e">
        <x:f>IF($A139="","",[1]!thsiFinD("ths_adjustment_nv_fund",O$3,$A139))</x:f>
        <x:v>#NAME?</x:v>
      </x:c>
      <x:c r="P139" t="e">
        <x:f>IF($A139="","",[1]!thsiFinD("ths_adjustment_nv_fund",P$3,$A139))</x:f>
        <x:v>#NAME?</x:v>
      </x:c>
      <x:c r="Q139" t="e">
        <x:f>IF($A139="","",[1]!thsiFinD("ths_adjustment_nv_fund",Q$3,$A139))</x:f>
        <x:v>#NAME?</x:v>
      </x:c>
      <x:c r="R139" t="e">
        <x:f>IF($A139="","",[1]!thsiFinD("ths_adjustment_nv_fund",R$3,$A139))</x:f>
        <x:v>#NAME?</x:v>
      </x:c>
      <x:c r="S139" t="e">
        <x:f>IF($A139="","",[1]!thsiFinD("ths_adjustment_nv_fund",S$3,$A139))</x:f>
        <x:v>#NAME?</x:v>
      </x:c>
      <x:c r="T139" t="e">
        <x:f>IF($A139="","",[1]!thsiFinD("ths_adjustment_nv_fund",T$3,$A139))</x:f>
        <x:v>#NAME?</x:v>
      </x:c>
      <x:c r="U139" t="e">
        <x:f>IF($A139="","",[1]!thsiFinD("ths_adjustment_nv_fund",U$3,$A139))</x:f>
        <x:v>#NAME?</x:v>
      </x:c>
      <x:c r="V139" t="e">
        <x:f>IF($A139="","",[1]!thsiFinD("ths_adjustment_nv_fund",V$3,$A139))</x:f>
        <x:v>#NAME?</x:v>
      </x:c>
      <x:c r="W139" t="e">
        <x:f>IF($A139="","",[1]!thsiFinD("ths_adjustment_nv_fund",W$3,$A139))</x:f>
        <x:v>#NAME?</x:v>
      </x:c>
      <x:c r="X139" t="e">
        <x:f>IF($A139="","",[1]!thsiFinD("ths_adjustment_nv_fund",X$3,$A139))</x:f>
        <x:v>#NAME?</x:v>
      </x:c>
      <x:c r="Y139" t="e">
        <x:f>IF($A139="","",[1]!thsiFinD("ths_adjustment_nv_fund",Y$3,$A139))</x:f>
        <x:v>#NAME?</x:v>
      </x:c>
    </x:row>
    <x:row r="140">
      <x:c r="B140" t="e">
        <x:f>IF($A140="","",[1]!thsiFinD("ths_adjustment_nv_fund",B$3,$A140))</x:f>
        <x:v>#NAME?</x:v>
      </x:c>
      <x:c r="C140" t="e">
        <x:f>IF($A140="","",[1]!thsiFinD("ths_adjustment_nv_fund",C$3,$A140))</x:f>
        <x:v>#NAME?</x:v>
      </x:c>
      <x:c r="D140" t="e">
        <x:f>IF($A140="","",[1]!thsiFinD("ths_adjustment_nv_fund",D$3,$A140))</x:f>
        <x:v>#NAME?</x:v>
      </x:c>
      <x:c r="E140" t="e">
        <x:f>IF($A140="","",[1]!thsiFinD("ths_adjustment_nv_fund",E$3,$A140))</x:f>
        <x:v>#NAME?</x:v>
      </x:c>
      <x:c r="F140" t="e">
        <x:f>IF($A140="","",[1]!thsiFinD("ths_adjustment_nv_fund",F$3,$A140))</x:f>
        <x:v>#NAME?</x:v>
      </x:c>
      <x:c r="G140" t="e">
        <x:f>IF($A140="","",[1]!thsiFinD("ths_adjustment_nv_fund",G$3,$A140))</x:f>
        <x:v>#NAME?</x:v>
      </x:c>
      <x:c r="H140" t="e">
        <x:f>IF($A140="","",[1]!thsiFinD("ths_adjustment_nv_fund",H$3,$A140))</x:f>
        <x:v>#NAME?</x:v>
      </x:c>
      <x:c r="I140" t="e">
        <x:f>IF($A140="","",[1]!thsiFinD("ths_adjustment_nv_fund",I$3,$A140))</x:f>
        <x:v>#NAME?</x:v>
      </x:c>
      <x:c r="J140" t="e">
        <x:f>IF($A140="","",[1]!thsiFinD("ths_adjustment_nv_fund",J$3,$A140))</x:f>
        <x:v>#NAME?</x:v>
      </x:c>
      <x:c r="K140" t="e">
        <x:f>IF($A140="","",[1]!thsiFinD("ths_adjustment_nv_fund",K$3,$A140))</x:f>
        <x:v>#NAME?</x:v>
      </x:c>
      <x:c r="L140" t="e">
        <x:f>IF($A140="","",[1]!thsiFinD("ths_adjustment_nv_fund",L$3,$A140))</x:f>
        <x:v>#NAME?</x:v>
      </x:c>
      <x:c r="M140" t="e">
        <x:f>IF($A140="","",[1]!thsiFinD("ths_adjustment_nv_fund",M$3,$A140))</x:f>
        <x:v>#NAME?</x:v>
      </x:c>
      <x:c r="N140" t="e">
        <x:f>IF($A140="","",[1]!thsiFinD("ths_adjustment_nv_fund",N$3,$A140))</x:f>
        <x:v>#NAME?</x:v>
      </x:c>
      <x:c r="O140" t="e">
        <x:f>IF($A140="","",[1]!thsiFinD("ths_adjustment_nv_fund",O$3,$A140))</x:f>
        <x:v>#NAME?</x:v>
      </x:c>
      <x:c r="P140" t="e">
        <x:f>IF($A140="","",[1]!thsiFinD("ths_adjustment_nv_fund",P$3,$A140))</x:f>
        <x:v>#NAME?</x:v>
      </x:c>
      <x:c r="Q140" t="e">
        <x:f>IF($A140="","",[1]!thsiFinD("ths_adjustment_nv_fund",Q$3,$A140))</x:f>
        <x:v>#NAME?</x:v>
      </x:c>
      <x:c r="R140" t="e">
        <x:f>IF($A140="","",[1]!thsiFinD("ths_adjustment_nv_fund",R$3,$A140))</x:f>
        <x:v>#NAME?</x:v>
      </x:c>
      <x:c r="S140" t="e">
        <x:f>IF($A140="","",[1]!thsiFinD("ths_adjustment_nv_fund",S$3,$A140))</x:f>
        <x:v>#NAME?</x:v>
      </x:c>
      <x:c r="T140" t="e">
        <x:f>IF($A140="","",[1]!thsiFinD("ths_adjustment_nv_fund",T$3,$A140))</x:f>
        <x:v>#NAME?</x:v>
      </x:c>
      <x:c r="U140" t="e">
        <x:f>IF($A140="","",[1]!thsiFinD("ths_adjustment_nv_fund",U$3,$A140))</x:f>
        <x:v>#NAME?</x:v>
      </x:c>
      <x:c r="V140" t="e">
        <x:f>IF($A140="","",[1]!thsiFinD("ths_adjustment_nv_fund",V$3,$A140))</x:f>
        <x:v>#NAME?</x:v>
      </x:c>
      <x:c r="W140" t="e">
        <x:f>IF($A140="","",[1]!thsiFinD("ths_adjustment_nv_fund",W$3,$A140))</x:f>
        <x:v>#NAME?</x:v>
      </x:c>
      <x:c r="X140" t="e">
        <x:f>IF($A140="","",[1]!thsiFinD("ths_adjustment_nv_fund",X$3,$A140))</x:f>
        <x:v>#NAME?</x:v>
      </x:c>
      <x:c r="Y140" t="e">
        <x:f>IF($A140="","",[1]!thsiFinD("ths_adjustment_nv_fund",Y$3,$A140))</x:f>
        <x:v>#NAME?</x:v>
      </x:c>
    </x:row>
    <x:row r="141">
      <x:c r="B141" t="e">
        <x:f>IF($A141="","",[1]!thsiFinD("ths_adjustment_nv_fund",B$3,$A141))</x:f>
        <x:v>#NAME?</x:v>
      </x:c>
      <x:c r="C141" t="e">
        <x:f>IF($A141="","",[1]!thsiFinD("ths_adjustment_nv_fund",C$3,$A141))</x:f>
        <x:v>#NAME?</x:v>
      </x:c>
      <x:c r="D141" t="e">
        <x:f>IF($A141="","",[1]!thsiFinD("ths_adjustment_nv_fund",D$3,$A141))</x:f>
        <x:v>#NAME?</x:v>
      </x:c>
      <x:c r="E141" t="e">
        <x:f>IF($A141="","",[1]!thsiFinD("ths_adjustment_nv_fund",E$3,$A141))</x:f>
        <x:v>#NAME?</x:v>
      </x:c>
      <x:c r="F141" t="e">
        <x:f>IF($A141="","",[1]!thsiFinD("ths_adjustment_nv_fund",F$3,$A141))</x:f>
        <x:v>#NAME?</x:v>
      </x:c>
      <x:c r="G141" t="e">
        <x:f>IF($A141="","",[1]!thsiFinD("ths_adjustment_nv_fund",G$3,$A141))</x:f>
        <x:v>#NAME?</x:v>
      </x:c>
      <x:c r="H141" t="e">
        <x:f>IF($A141="","",[1]!thsiFinD("ths_adjustment_nv_fund",H$3,$A141))</x:f>
        <x:v>#NAME?</x:v>
      </x:c>
      <x:c r="I141" t="e">
        <x:f>IF($A141="","",[1]!thsiFinD("ths_adjustment_nv_fund",I$3,$A141))</x:f>
        <x:v>#NAME?</x:v>
      </x:c>
      <x:c r="J141" t="e">
        <x:f>IF($A141="","",[1]!thsiFinD("ths_adjustment_nv_fund",J$3,$A141))</x:f>
        <x:v>#NAME?</x:v>
      </x:c>
      <x:c r="K141" t="e">
        <x:f>IF($A141="","",[1]!thsiFinD("ths_adjustment_nv_fund",K$3,$A141))</x:f>
        <x:v>#NAME?</x:v>
      </x:c>
      <x:c r="L141" t="e">
        <x:f>IF($A141="","",[1]!thsiFinD("ths_adjustment_nv_fund",L$3,$A141))</x:f>
        <x:v>#NAME?</x:v>
      </x:c>
      <x:c r="M141" t="e">
        <x:f>IF($A141="","",[1]!thsiFinD("ths_adjustment_nv_fund",M$3,$A141))</x:f>
        <x:v>#NAME?</x:v>
      </x:c>
      <x:c r="N141" t="e">
        <x:f>IF($A141="","",[1]!thsiFinD("ths_adjustment_nv_fund",N$3,$A141))</x:f>
        <x:v>#NAME?</x:v>
      </x:c>
      <x:c r="O141" t="e">
        <x:f>IF($A141="","",[1]!thsiFinD("ths_adjustment_nv_fund",O$3,$A141))</x:f>
        <x:v>#NAME?</x:v>
      </x:c>
      <x:c r="P141" t="e">
        <x:f>IF($A141="","",[1]!thsiFinD("ths_adjustment_nv_fund",P$3,$A141))</x:f>
        <x:v>#NAME?</x:v>
      </x:c>
      <x:c r="Q141" t="e">
        <x:f>IF($A141="","",[1]!thsiFinD("ths_adjustment_nv_fund",Q$3,$A141))</x:f>
        <x:v>#NAME?</x:v>
      </x:c>
      <x:c r="R141" t="e">
        <x:f>IF($A141="","",[1]!thsiFinD("ths_adjustment_nv_fund",R$3,$A141))</x:f>
        <x:v>#NAME?</x:v>
      </x:c>
      <x:c r="S141" t="e">
        <x:f>IF($A141="","",[1]!thsiFinD("ths_adjustment_nv_fund",S$3,$A141))</x:f>
        <x:v>#NAME?</x:v>
      </x:c>
      <x:c r="T141" t="e">
        <x:f>IF($A141="","",[1]!thsiFinD("ths_adjustment_nv_fund",T$3,$A141))</x:f>
        <x:v>#NAME?</x:v>
      </x:c>
      <x:c r="U141" t="e">
        <x:f>IF($A141="","",[1]!thsiFinD("ths_adjustment_nv_fund",U$3,$A141))</x:f>
        <x:v>#NAME?</x:v>
      </x:c>
      <x:c r="V141" t="e">
        <x:f>IF($A141="","",[1]!thsiFinD("ths_adjustment_nv_fund",V$3,$A141))</x:f>
        <x:v>#NAME?</x:v>
      </x:c>
      <x:c r="W141" t="e">
        <x:f>IF($A141="","",[1]!thsiFinD("ths_adjustment_nv_fund",W$3,$A141))</x:f>
        <x:v>#NAME?</x:v>
      </x:c>
      <x:c r="X141" t="e">
        <x:f>IF($A141="","",[1]!thsiFinD("ths_adjustment_nv_fund",X$3,$A141))</x:f>
        <x:v>#NAME?</x:v>
      </x:c>
      <x:c r="Y141" t="e">
        <x:f>IF($A141="","",[1]!thsiFinD("ths_adjustment_nv_fund",Y$3,$A141))</x:f>
        <x:v>#NAME?</x:v>
      </x:c>
    </x:row>
    <x:row r="142">
      <x:c r="B142" t="e">
        <x:f>IF($A142="","",[1]!thsiFinD("ths_adjustment_nv_fund",B$3,$A142))</x:f>
        <x:v>#NAME?</x:v>
      </x:c>
      <x:c r="C142" t="e">
        <x:f>IF($A142="","",[1]!thsiFinD("ths_adjustment_nv_fund",C$3,$A142))</x:f>
        <x:v>#NAME?</x:v>
      </x:c>
      <x:c r="D142" t="e">
        <x:f>IF($A142="","",[1]!thsiFinD("ths_adjustment_nv_fund",D$3,$A142))</x:f>
        <x:v>#NAME?</x:v>
      </x:c>
      <x:c r="E142" t="e">
        <x:f>IF($A142="","",[1]!thsiFinD("ths_adjustment_nv_fund",E$3,$A142))</x:f>
        <x:v>#NAME?</x:v>
      </x:c>
      <x:c r="F142" t="e">
        <x:f>IF($A142="","",[1]!thsiFinD("ths_adjustment_nv_fund",F$3,$A142))</x:f>
        <x:v>#NAME?</x:v>
      </x:c>
      <x:c r="G142" t="e">
        <x:f>IF($A142="","",[1]!thsiFinD("ths_adjustment_nv_fund",G$3,$A142))</x:f>
        <x:v>#NAME?</x:v>
      </x:c>
      <x:c r="H142" t="e">
        <x:f>IF($A142="","",[1]!thsiFinD("ths_adjustment_nv_fund",H$3,$A142))</x:f>
        <x:v>#NAME?</x:v>
      </x:c>
      <x:c r="I142" t="e">
        <x:f>IF($A142="","",[1]!thsiFinD("ths_adjustment_nv_fund",I$3,$A142))</x:f>
        <x:v>#NAME?</x:v>
      </x:c>
      <x:c r="J142" t="e">
        <x:f>IF($A142="","",[1]!thsiFinD("ths_adjustment_nv_fund",J$3,$A142))</x:f>
        <x:v>#NAME?</x:v>
      </x:c>
      <x:c r="K142" t="e">
        <x:f>IF($A142="","",[1]!thsiFinD("ths_adjustment_nv_fund",K$3,$A142))</x:f>
        <x:v>#NAME?</x:v>
      </x:c>
      <x:c r="L142" t="e">
        <x:f>IF($A142="","",[1]!thsiFinD("ths_adjustment_nv_fund",L$3,$A142))</x:f>
        <x:v>#NAME?</x:v>
      </x:c>
      <x:c r="M142" t="e">
        <x:f>IF($A142="","",[1]!thsiFinD("ths_adjustment_nv_fund",M$3,$A142))</x:f>
        <x:v>#NAME?</x:v>
      </x:c>
      <x:c r="N142" t="e">
        <x:f>IF($A142="","",[1]!thsiFinD("ths_adjustment_nv_fund",N$3,$A142))</x:f>
        <x:v>#NAME?</x:v>
      </x:c>
      <x:c r="O142" t="e">
        <x:f>IF($A142="","",[1]!thsiFinD("ths_adjustment_nv_fund",O$3,$A142))</x:f>
        <x:v>#NAME?</x:v>
      </x:c>
      <x:c r="P142" t="e">
        <x:f>IF($A142="","",[1]!thsiFinD("ths_adjustment_nv_fund",P$3,$A142))</x:f>
        <x:v>#NAME?</x:v>
      </x:c>
      <x:c r="Q142" t="e">
        <x:f>IF($A142="","",[1]!thsiFinD("ths_adjustment_nv_fund",Q$3,$A142))</x:f>
        <x:v>#NAME?</x:v>
      </x:c>
      <x:c r="R142" t="e">
        <x:f>IF($A142="","",[1]!thsiFinD("ths_adjustment_nv_fund",R$3,$A142))</x:f>
        <x:v>#NAME?</x:v>
      </x:c>
      <x:c r="S142" t="e">
        <x:f>IF($A142="","",[1]!thsiFinD("ths_adjustment_nv_fund",S$3,$A142))</x:f>
        <x:v>#NAME?</x:v>
      </x:c>
      <x:c r="T142" t="e">
        <x:f>IF($A142="","",[1]!thsiFinD("ths_adjustment_nv_fund",T$3,$A142))</x:f>
        <x:v>#NAME?</x:v>
      </x:c>
      <x:c r="U142" t="e">
        <x:f>IF($A142="","",[1]!thsiFinD("ths_adjustment_nv_fund",U$3,$A142))</x:f>
        <x:v>#NAME?</x:v>
      </x:c>
      <x:c r="V142" t="e">
        <x:f>IF($A142="","",[1]!thsiFinD("ths_adjustment_nv_fund",V$3,$A142))</x:f>
        <x:v>#NAME?</x:v>
      </x:c>
      <x:c r="W142" t="e">
        <x:f>IF($A142="","",[1]!thsiFinD("ths_adjustment_nv_fund",W$3,$A142))</x:f>
        <x:v>#NAME?</x:v>
      </x:c>
      <x:c r="X142" t="e">
        <x:f>IF($A142="","",[1]!thsiFinD("ths_adjustment_nv_fund",X$3,$A142))</x:f>
        <x:v>#NAME?</x:v>
      </x:c>
      <x:c r="Y142" t="e">
        <x:f>IF($A142="","",[1]!thsiFinD("ths_adjustment_nv_fund",Y$3,$A142))</x:f>
        <x:v>#NAME?</x:v>
      </x:c>
    </x:row>
    <x:row r="143">
      <x:c r="B143" t="e">
        <x:f>IF($A143="","",[1]!thsiFinD("ths_adjustment_nv_fund",B$3,$A143))</x:f>
        <x:v>#NAME?</x:v>
      </x:c>
      <x:c r="C143" t="e">
        <x:f>IF($A143="","",[1]!thsiFinD("ths_adjustment_nv_fund",C$3,$A143))</x:f>
        <x:v>#NAME?</x:v>
      </x:c>
      <x:c r="D143" t="e">
        <x:f>IF($A143="","",[1]!thsiFinD("ths_adjustment_nv_fund",D$3,$A143))</x:f>
        <x:v>#NAME?</x:v>
      </x:c>
      <x:c r="E143" t="e">
        <x:f>IF($A143="","",[1]!thsiFinD("ths_adjustment_nv_fund",E$3,$A143))</x:f>
        <x:v>#NAME?</x:v>
      </x:c>
      <x:c r="F143" t="e">
        <x:f>IF($A143="","",[1]!thsiFinD("ths_adjustment_nv_fund",F$3,$A143))</x:f>
        <x:v>#NAME?</x:v>
      </x:c>
      <x:c r="G143" t="e">
        <x:f>IF($A143="","",[1]!thsiFinD("ths_adjustment_nv_fund",G$3,$A143))</x:f>
        <x:v>#NAME?</x:v>
      </x:c>
      <x:c r="H143" t="e">
        <x:f>IF($A143="","",[1]!thsiFinD("ths_adjustment_nv_fund",H$3,$A143))</x:f>
        <x:v>#NAME?</x:v>
      </x:c>
      <x:c r="I143" t="e">
        <x:f>IF($A143="","",[1]!thsiFinD("ths_adjustment_nv_fund",I$3,$A143))</x:f>
        <x:v>#NAME?</x:v>
      </x:c>
      <x:c r="J143" t="e">
        <x:f>IF($A143="","",[1]!thsiFinD("ths_adjustment_nv_fund",J$3,$A143))</x:f>
        <x:v>#NAME?</x:v>
      </x:c>
      <x:c r="K143" t="e">
        <x:f>IF($A143="","",[1]!thsiFinD("ths_adjustment_nv_fund",K$3,$A143))</x:f>
        <x:v>#NAME?</x:v>
      </x:c>
      <x:c r="L143" t="e">
        <x:f>IF($A143="","",[1]!thsiFinD("ths_adjustment_nv_fund",L$3,$A143))</x:f>
        <x:v>#NAME?</x:v>
      </x:c>
      <x:c r="M143" t="e">
        <x:f>IF($A143="","",[1]!thsiFinD("ths_adjustment_nv_fund",M$3,$A143))</x:f>
        <x:v>#NAME?</x:v>
      </x:c>
      <x:c r="N143" t="e">
        <x:f>IF($A143="","",[1]!thsiFinD("ths_adjustment_nv_fund",N$3,$A143))</x:f>
        <x:v>#NAME?</x:v>
      </x:c>
      <x:c r="O143" t="e">
        <x:f>IF($A143="","",[1]!thsiFinD("ths_adjustment_nv_fund",O$3,$A143))</x:f>
        <x:v>#NAME?</x:v>
      </x:c>
      <x:c r="P143" t="e">
        <x:f>IF($A143="","",[1]!thsiFinD("ths_adjustment_nv_fund",P$3,$A143))</x:f>
        <x:v>#NAME?</x:v>
      </x:c>
      <x:c r="Q143" t="e">
        <x:f>IF($A143="","",[1]!thsiFinD("ths_adjustment_nv_fund",Q$3,$A143))</x:f>
        <x:v>#NAME?</x:v>
      </x:c>
      <x:c r="R143" t="e">
        <x:f>IF($A143="","",[1]!thsiFinD("ths_adjustment_nv_fund",R$3,$A143))</x:f>
        <x:v>#NAME?</x:v>
      </x:c>
      <x:c r="S143" t="e">
        <x:f>IF($A143="","",[1]!thsiFinD("ths_adjustment_nv_fund",S$3,$A143))</x:f>
        <x:v>#NAME?</x:v>
      </x:c>
      <x:c r="T143" t="e">
        <x:f>IF($A143="","",[1]!thsiFinD("ths_adjustment_nv_fund",T$3,$A143))</x:f>
        <x:v>#NAME?</x:v>
      </x:c>
      <x:c r="U143" t="e">
        <x:f>IF($A143="","",[1]!thsiFinD("ths_adjustment_nv_fund",U$3,$A143))</x:f>
        <x:v>#NAME?</x:v>
      </x:c>
      <x:c r="V143" t="e">
        <x:f>IF($A143="","",[1]!thsiFinD("ths_adjustment_nv_fund",V$3,$A143))</x:f>
        <x:v>#NAME?</x:v>
      </x:c>
      <x:c r="W143" t="e">
        <x:f>IF($A143="","",[1]!thsiFinD("ths_adjustment_nv_fund",W$3,$A143))</x:f>
        <x:v>#NAME?</x:v>
      </x:c>
      <x:c r="X143" t="e">
        <x:f>IF($A143="","",[1]!thsiFinD("ths_adjustment_nv_fund",X$3,$A143))</x:f>
        <x:v>#NAME?</x:v>
      </x:c>
      <x:c r="Y143" t="e">
        <x:f>IF($A143="","",[1]!thsiFinD("ths_adjustment_nv_fund",Y$3,$A143))</x:f>
        <x:v>#NAME?</x:v>
      </x:c>
    </x:row>
    <x:row r="144">
      <x:c r="B144" t="e">
        <x:f>IF($A144="","",[1]!thsiFinD("ths_adjustment_nv_fund",B$3,$A144))</x:f>
        <x:v>#NAME?</x:v>
      </x:c>
      <x:c r="C144" t="e">
        <x:f>IF($A144="","",[1]!thsiFinD("ths_adjustment_nv_fund",C$3,$A144))</x:f>
        <x:v>#NAME?</x:v>
      </x:c>
      <x:c r="D144" t="e">
        <x:f>IF($A144="","",[1]!thsiFinD("ths_adjustment_nv_fund",D$3,$A144))</x:f>
        <x:v>#NAME?</x:v>
      </x:c>
      <x:c r="E144" t="e">
        <x:f>IF($A144="","",[1]!thsiFinD("ths_adjustment_nv_fund",E$3,$A144))</x:f>
        <x:v>#NAME?</x:v>
      </x:c>
      <x:c r="F144" t="e">
        <x:f>IF($A144="","",[1]!thsiFinD("ths_adjustment_nv_fund",F$3,$A144))</x:f>
        <x:v>#NAME?</x:v>
      </x:c>
      <x:c r="G144" t="e">
        <x:f>IF($A144="","",[1]!thsiFinD("ths_adjustment_nv_fund",G$3,$A144))</x:f>
        <x:v>#NAME?</x:v>
      </x:c>
      <x:c r="H144" t="e">
        <x:f>IF($A144="","",[1]!thsiFinD("ths_adjustment_nv_fund",H$3,$A144))</x:f>
        <x:v>#NAME?</x:v>
      </x:c>
      <x:c r="I144" t="e">
        <x:f>IF($A144="","",[1]!thsiFinD("ths_adjustment_nv_fund",I$3,$A144))</x:f>
        <x:v>#NAME?</x:v>
      </x:c>
      <x:c r="J144" t="e">
        <x:f>IF($A144="","",[1]!thsiFinD("ths_adjustment_nv_fund",J$3,$A144))</x:f>
        <x:v>#NAME?</x:v>
      </x:c>
      <x:c r="K144" t="e">
        <x:f>IF($A144="","",[1]!thsiFinD("ths_adjustment_nv_fund",K$3,$A144))</x:f>
        <x:v>#NAME?</x:v>
      </x:c>
      <x:c r="L144" t="e">
        <x:f>IF($A144="","",[1]!thsiFinD("ths_adjustment_nv_fund",L$3,$A144))</x:f>
        <x:v>#NAME?</x:v>
      </x:c>
      <x:c r="M144" t="e">
        <x:f>IF($A144="","",[1]!thsiFinD("ths_adjustment_nv_fund",M$3,$A144))</x:f>
        <x:v>#NAME?</x:v>
      </x:c>
      <x:c r="N144" t="e">
        <x:f>IF($A144="","",[1]!thsiFinD("ths_adjustment_nv_fund",N$3,$A144))</x:f>
        <x:v>#NAME?</x:v>
      </x:c>
      <x:c r="O144" t="e">
        <x:f>IF($A144="","",[1]!thsiFinD("ths_adjustment_nv_fund",O$3,$A144))</x:f>
        <x:v>#NAME?</x:v>
      </x:c>
      <x:c r="P144" t="e">
        <x:f>IF($A144="","",[1]!thsiFinD("ths_adjustment_nv_fund",P$3,$A144))</x:f>
        <x:v>#NAME?</x:v>
      </x:c>
      <x:c r="Q144" t="e">
        <x:f>IF($A144="","",[1]!thsiFinD("ths_adjustment_nv_fund",Q$3,$A144))</x:f>
        <x:v>#NAME?</x:v>
      </x:c>
      <x:c r="R144" t="e">
        <x:f>IF($A144="","",[1]!thsiFinD("ths_adjustment_nv_fund",R$3,$A144))</x:f>
        <x:v>#NAME?</x:v>
      </x:c>
      <x:c r="S144" t="e">
        <x:f>IF($A144="","",[1]!thsiFinD("ths_adjustment_nv_fund",S$3,$A144))</x:f>
        <x:v>#NAME?</x:v>
      </x:c>
      <x:c r="T144" t="e">
        <x:f>IF($A144="","",[1]!thsiFinD("ths_adjustment_nv_fund",T$3,$A144))</x:f>
        <x:v>#NAME?</x:v>
      </x:c>
      <x:c r="U144" t="e">
        <x:f>IF($A144="","",[1]!thsiFinD("ths_adjustment_nv_fund",U$3,$A144))</x:f>
        <x:v>#NAME?</x:v>
      </x:c>
      <x:c r="V144" t="e">
        <x:f>IF($A144="","",[1]!thsiFinD("ths_adjustment_nv_fund",V$3,$A144))</x:f>
        <x:v>#NAME?</x:v>
      </x:c>
      <x:c r="W144" t="e">
        <x:f>IF($A144="","",[1]!thsiFinD("ths_adjustment_nv_fund",W$3,$A144))</x:f>
        <x:v>#NAME?</x:v>
      </x:c>
      <x:c r="X144" t="e">
        <x:f>IF($A144="","",[1]!thsiFinD("ths_adjustment_nv_fund",X$3,$A144))</x:f>
        <x:v>#NAME?</x:v>
      </x:c>
      <x:c r="Y144" t="e">
        <x:f>IF($A144="","",[1]!thsiFinD("ths_adjustment_nv_fund",Y$3,$A144))</x:f>
        <x:v>#NAME?</x:v>
      </x:c>
    </x:row>
    <x:row r="145">
      <x:c r="B145" t="e">
        <x:f>IF($A145="","",[1]!thsiFinD("ths_adjustment_nv_fund",B$3,$A145))</x:f>
        <x:v>#NAME?</x:v>
      </x:c>
      <x:c r="C145" t="e">
        <x:f>IF($A145="","",[1]!thsiFinD("ths_adjustment_nv_fund",C$3,$A145))</x:f>
        <x:v>#NAME?</x:v>
      </x:c>
      <x:c r="D145" t="e">
        <x:f>IF($A145="","",[1]!thsiFinD("ths_adjustment_nv_fund",D$3,$A145))</x:f>
        <x:v>#NAME?</x:v>
      </x:c>
      <x:c r="E145" t="e">
        <x:f>IF($A145="","",[1]!thsiFinD("ths_adjustment_nv_fund",E$3,$A145))</x:f>
        <x:v>#NAME?</x:v>
      </x:c>
      <x:c r="F145" t="e">
        <x:f>IF($A145="","",[1]!thsiFinD("ths_adjustment_nv_fund",F$3,$A145))</x:f>
        <x:v>#NAME?</x:v>
      </x:c>
      <x:c r="G145" t="e">
        <x:f>IF($A145="","",[1]!thsiFinD("ths_adjustment_nv_fund",G$3,$A145))</x:f>
        <x:v>#NAME?</x:v>
      </x:c>
      <x:c r="H145" t="e">
        <x:f>IF($A145="","",[1]!thsiFinD("ths_adjustment_nv_fund",H$3,$A145))</x:f>
        <x:v>#NAME?</x:v>
      </x:c>
      <x:c r="I145" t="e">
        <x:f>IF($A145="","",[1]!thsiFinD("ths_adjustment_nv_fund",I$3,$A145))</x:f>
        <x:v>#NAME?</x:v>
      </x:c>
      <x:c r="J145" t="e">
        <x:f>IF($A145="","",[1]!thsiFinD("ths_adjustment_nv_fund",J$3,$A145))</x:f>
        <x:v>#NAME?</x:v>
      </x:c>
      <x:c r="K145" t="e">
        <x:f>IF($A145="","",[1]!thsiFinD("ths_adjustment_nv_fund",K$3,$A145))</x:f>
        <x:v>#NAME?</x:v>
      </x:c>
      <x:c r="L145" t="e">
        <x:f>IF($A145="","",[1]!thsiFinD("ths_adjustment_nv_fund",L$3,$A145))</x:f>
        <x:v>#NAME?</x:v>
      </x:c>
      <x:c r="M145" t="e">
        <x:f>IF($A145="","",[1]!thsiFinD("ths_adjustment_nv_fund",M$3,$A145))</x:f>
        <x:v>#NAME?</x:v>
      </x:c>
      <x:c r="N145" t="e">
        <x:f>IF($A145="","",[1]!thsiFinD("ths_adjustment_nv_fund",N$3,$A145))</x:f>
        <x:v>#NAME?</x:v>
      </x:c>
      <x:c r="O145" t="e">
        <x:f>IF($A145="","",[1]!thsiFinD("ths_adjustment_nv_fund",O$3,$A145))</x:f>
        <x:v>#NAME?</x:v>
      </x:c>
      <x:c r="P145" t="e">
        <x:f>IF($A145="","",[1]!thsiFinD("ths_adjustment_nv_fund",P$3,$A145))</x:f>
        <x:v>#NAME?</x:v>
      </x:c>
      <x:c r="Q145" t="e">
        <x:f>IF($A145="","",[1]!thsiFinD("ths_adjustment_nv_fund",Q$3,$A145))</x:f>
        <x:v>#NAME?</x:v>
      </x:c>
      <x:c r="R145" t="e">
        <x:f>IF($A145="","",[1]!thsiFinD("ths_adjustment_nv_fund",R$3,$A145))</x:f>
        <x:v>#NAME?</x:v>
      </x:c>
      <x:c r="S145" t="e">
        <x:f>IF($A145="","",[1]!thsiFinD("ths_adjustment_nv_fund",S$3,$A145))</x:f>
        <x:v>#NAME?</x:v>
      </x:c>
      <x:c r="T145" t="e">
        <x:f>IF($A145="","",[1]!thsiFinD("ths_adjustment_nv_fund",T$3,$A145))</x:f>
        <x:v>#NAME?</x:v>
      </x:c>
      <x:c r="U145" t="e">
        <x:f>IF($A145="","",[1]!thsiFinD("ths_adjustment_nv_fund",U$3,$A145))</x:f>
        <x:v>#NAME?</x:v>
      </x:c>
      <x:c r="V145" t="e">
        <x:f>IF($A145="","",[1]!thsiFinD("ths_adjustment_nv_fund",V$3,$A145))</x:f>
        <x:v>#NAME?</x:v>
      </x:c>
      <x:c r="W145" t="e">
        <x:f>IF($A145="","",[1]!thsiFinD("ths_adjustment_nv_fund",W$3,$A145))</x:f>
        <x:v>#NAME?</x:v>
      </x:c>
      <x:c r="X145" t="e">
        <x:f>IF($A145="","",[1]!thsiFinD("ths_adjustment_nv_fund",X$3,$A145))</x:f>
        <x:v>#NAME?</x:v>
      </x:c>
      <x:c r="Y145" t="e">
        <x:f>IF($A145="","",[1]!thsiFinD("ths_adjustment_nv_fund",Y$3,$A145))</x:f>
        <x:v>#NAME?</x:v>
      </x:c>
    </x:row>
    <x:row r="146">
      <x:c r="B146" t="e">
        <x:f>IF($A146="","",[1]!thsiFinD("ths_adjustment_nv_fund",B$3,$A146))</x:f>
        <x:v>#NAME?</x:v>
      </x:c>
      <x:c r="C146" t="e">
        <x:f>IF($A146="","",[1]!thsiFinD("ths_adjustment_nv_fund",C$3,$A146))</x:f>
        <x:v>#NAME?</x:v>
      </x:c>
      <x:c r="D146" t="e">
        <x:f>IF($A146="","",[1]!thsiFinD("ths_adjustment_nv_fund",D$3,$A146))</x:f>
        <x:v>#NAME?</x:v>
      </x:c>
      <x:c r="E146" t="e">
        <x:f>IF($A146="","",[1]!thsiFinD("ths_adjustment_nv_fund",E$3,$A146))</x:f>
        <x:v>#NAME?</x:v>
      </x:c>
      <x:c r="F146" t="e">
        <x:f>IF($A146="","",[1]!thsiFinD("ths_adjustment_nv_fund",F$3,$A146))</x:f>
        <x:v>#NAME?</x:v>
      </x:c>
      <x:c r="G146" t="e">
        <x:f>IF($A146="","",[1]!thsiFinD("ths_adjustment_nv_fund",G$3,$A146))</x:f>
        <x:v>#NAME?</x:v>
      </x:c>
      <x:c r="H146" t="e">
        <x:f>IF($A146="","",[1]!thsiFinD("ths_adjustment_nv_fund",H$3,$A146))</x:f>
        <x:v>#NAME?</x:v>
      </x:c>
      <x:c r="I146" t="e">
        <x:f>IF($A146="","",[1]!thsiFinD("ths_adjustment_nv_fund",I$3,$A146))</x:f>
        <x:v>#NAME?</x:v>
      </x:c>
      <x:c r="J146" t="e">
        <x:f>IF($A146="","",[1]!thsiFinD("ths_adjustment_nv_fund",J$3,$A146))</x:f>
        <x:v>#NAME?</x:v>
      </x:c>
      <x:c r="K146" t="e">
        <x:f>IF($A146="","",[1]!thsiFinD("ths_adjustment_nv_fund",K$3,$A146))</x:f>
        <x:v>#NAME?</x:v>
      </x:c>
      <x:c r="L146" t="e">
        <x:f>IF($A146="","",[1]!thsiFinD("ths_adjustment_nv_fund",L$3,$A146))</x:f>
        <x:v>#NAME?</x:v>
      </x:c>
      <x:c r="M146" t="e">
        <x:f>IF($A146="","",[1]!thsiFinD("ths_adjustment_nv_fund",M$3,$A146))</x:f>
        <x:v>#NAME?</x:v>
      </x:c>
      <x:c r="N146" t="e">
        <x:f>IF($A146="","",[1]!thsiFinD("ths_adjustment_nv_fund",N$3,$A146))</x:f>
        <x:v>#NAME?</x:v>
      </x:c>
      <x:c r="O146" t="e">
        <x:f>IF($A146="","",[1]!thsiFinD("ths_adjustment_nv_fund",O$3,$A146))</x:f>
        <x:v>#NAME?</x:v>
      </x:c>
      <x:c r="P146" t="e">
        <x:f>IF($A146="","",[1]!thsiFinD("ths_adjustment_nv_fund",P$3,$A146))</x:f>
        <x:v>#NAME?</x:v>
      </x:c>
      <x:c r="Q146" t="e">
        <x:f>IF($A146="","",[1]!thsiFinD("ths_adjustment_nv_fund",Q$3,$A146))</x:f>
        <x:v>#NAME?</x:v>
      </x:c>
      <x:c r="R146" t="e">
        <x:f>IF($A146="","",[1]!thsiFinD("ths_adjustment_nv_fund",R$3,$A146))</x:f>
        <x:v>#NAME?</x:v>
      </x:c>
      <x:c r="S146" t="e">
        <x:f>IF($A146="","",[1]!thsiFinD("ths_adjustment_nv_fund",S$3,$A146))</x:f>
        <x:v>#NAME?</x:v>
      </x:c>
      <x:c r="T146" t="e">
        <x:f>IF($A146="","",[1]!thsiFinD("ths_adjustment_nv_fund",T$3,$A146))</x:f>
        <x:v>#NAME?</x:v>
      </x:c>
      <x:c r="U146" t="e">
        <x:f>IF($A146="","",[1]!thsiFinD("ths_adjustment_nv_fund",U$3,$A146))</x:f>
        <x:v>#NAME?</x:v>
      </x:c>
      <x:c r="V146" t="e">
        <x:f>IF($A146="","",[1]!thsiFinD("ths_adjustment_nv_fund",V$3,$A146))</x:f>
        <x:v>#NAME?</x:v>
      </x:c>
      <x:c r="W146" t="e">
        <x:f>IF($A146="","",[1]!thsiFinD("ths_adjustment_nv_fund",W$3,$A146))</x:f>
        <x:v>#NAME?</x:v>
      </x:c>
      <x:c r="X146" t="e">
        <x:f>IF($A146="","",[1]!thsiFinD("ths_adjustment_nv_fund",X$3,$A146))</x:f>
        <x:v>#NAME?</x:v>
      </x:c>
      <x:c r="Y146" t="e">
        <x:f>IF($A146="","",[1]!thsiFinD("ths_adjustment_nv_fund",Y$3,$A146))</x:f>
        <x:v>#NAME?</x:v>
      </x:c>
    </x:row>
    <x:row r="147">
      <x:c r="B147" t="e">
        <x:f>IF($A147="","",[1]!thsiFinD("ths_adjustment_nv_fund",B$3,$A147))</x:f>
        <x:v>#NAME?</x:v>
      </x:c>
      <x:c r="C147" t="e">
        <x:f>IF($A147="","",[1]!thsiFinD("ths_adjustment_nv_fund",C$3,$A147))</x:f>
        <x:v>#NAME?</x:v>
      </x:c>
      <x:c r="D147" t="e">
        <x:f>IF($A147="","",[1]!thsiFinD("ths_adjustment_nv_fund",D$3,$A147))</x:f>
        <x:v>#NAME?</x:v>
      </x:c>
      <x:c r="E147" t="e">
        <x:f>IF($A147="","",[1]!thsiFinD("ths_adjustment_nv_fund",E$3,$A147))</x:f>
        <x:v>#NAME?</x:v>
      </x:c>
      <x:c r="F147" t="e">
        <x:f>IF($A147="","",[1]!thsiFinD("ths_adjustment_nv_fund",F$3,$A147))</x:f>
        <x:v>#NAME?</x:v>
      </x:c>
      <x:c r="G147" t="e">
        <x:f>IF($A147="","",[1]!thsiFinD("ths_adjustment_nv_fund",G$3,$A147))</x:f>
        <x:v>#NAME?</x:v>
      </x:c>
      <x:c r="H147" t="e">
        <x:f>IF($A147="","",[1]!thsiFinD("ths_adjustment_nv_fund",H$3,$A147))</x:f>
        <x:v>#NAME?</x:v>
      </x:c>
      <x:c r="I147" t="e">
        <x:f>IF($A147="","",[1]!thsiFinD("ths_adjustment_nv_fund",I$3,$A147))</x:f>
        <x:v>#NAME?</x:v>
      </x:c>
      <x:c r="J147" t="e">
        <x:f>IF($A147="","",[1]!thsiFinD("ths_adjustment_nv_fund",J$3,$A147))</x:f>
        <x:v>#NAME?</x:v>
      </x:c>
      <x:c r="K147" t="e">
        <x:f>IF($A147="","",[1]!thsiFinD("ths_adjustment_nv_fund",K$3,$A147))</x:f>
        <x:v>#NAME?</x:v>
      </x:c>
      <x:c r="L147" t="e">
        <x:f>IF($A147="","",[1]!thsiFinD("ths_adjustment_nv_fund",L$3,$A147))</x:f>
        <x:v>#NAME?</x:v>
      </x:c>
      <x:c r="M147" t="e">
        <x:f>IF($A147="","",[1]!thsiFinD("ths_adjustment_nv_fund",M$3,$A147))</x:f>
        <x:v>#NAME?</x:v>
      </x:c>
      <x:c r="N147" t="e">
        <x:f>IF($A147="","",[1]!thsiFinD("ths_adjustment_nv_fund",N$3,$A147))</x:f>
        <x:v>#NAME?</x:v>
      </x:c>
      <x:c r="O147" t="e">
        <x:f>IF($A147="","",[1]!thsiFinD("ths_adjustment_nv_fund",O$3,$A147))</x:f>
        <x:v>#NAME?</x:v>
      </x:c>
      <x:c r="P147" t="e">
        <x:f>IF($A147="","",[1]!thsiFinD("ths_adjustment_nv_fund",P$3,$A147))</x:f>
        <x:v>#NAME?</x:v>
      </x:c>
      <x:c r="Q147" t="e">
        <x:f>IF($A147="","",[1]!thsiFinD("ths_adjustment_nv_fund",Q$3,$A147))</x:f>
        <x:v>#NAME?</x:v>
      </x:c>
      <x:c r="R147" t="e">
        <x:f>IF($A147="","",[1]!thsiFinD("ths_adjustment_nv_fund",R$3,$A147))</x:f>
        <x:v>#NAME?</x:v>
      </x:c>
      <x:c r="S147" t="e">
        <x:f>IF($A147="","",[1]!thsiFinD("ths_adjustment_nv_fund",S$3,$A147))</x:f>
        <x:v>#NAME?</x:v>
      </x:c>
      <x:c r="T147" t="e">
        <x:f>IF($A147="","",[1]!thsiFinD("ths_adjustment_nv_fund",T$3,$A147))</x:f>
        <x:v>#NAME?</x:v>
      </x:c>
      <x:c r="U147" t="e">
        <x:f>IF($A147="","",[1]!thsiFinD("ths_adjustment_nv_fund",U$3,$A147))</x:f>
        <x:v>#NAME?</x:v>
      </x:c>
      <x:c r="V147" t="e">
        <x:f>IF($A147="","",[1]!thsiFinD("ths_adjustment_nv_fund",V$3,$A147))</x:f>
        <x:v>#NAME?</x:v>
      </x:c>
      <x:c r="W147" t="e">
        <x:f>IF($A147="","",[1]!thsiFinD("ths_adjustment_nv_fund",W$3,$A147))</x:f>
        <x:v>#NAME?</x:v>
      </x:c>
      <x:c r="X147" t="e">
        <x:f>IF($A147="","",[1]!thsiFinD("ths_adjustment_nv_fund",X$3,$A147))</x:f>
        <x:v>#NAME?</x:v>
      </x:c>
      <x:c r="Y147" t="e">
        <x:f>IF($A147="","",[1]!thsiFinD("ths_adjustment_nv_fund",Y$3,$A147))</x:f>
        <x:v>#NAME?</x:v>
      </x:c>
    </x:row>
    <x:row r="148">
      <x:c r="B148" t="e">
        <x:f>IF($A148="","",[1]!thsiFinD("ths_adjustment_nv_fund",B$3,$A148))</x:f>
        <x:v>#NAME?</x:v>
      </x:c>
      <x:c r="C148" t="e">
        <x:f>IF($A148="","",[1]!thsiFinD("ths_adjustment_nv_fund",C$3,$A148))</x:f>
        <x:v>#NAME?</x:v>
      </x:c>
      <x:c r="D148" t="e">
        <x:f>IF($A148="","",[1]!thsiFinD("ths_adjustment_nv_fund",D$3,$A148))</x:f>
        <x:v>#NAME?</x:v>
      </x:c>
      <x:c r="E148" t="e">
        <x:f>IF($A148="","",[1]!thsiFinD("ths_adjustment_nv_fund",E$3,$A148))</x:f>
        <x:v>#NAME?</x:v>
      </x:c>
      <x:c r="F148" t="e">
        <x:f>IF($A148="","",[1]!thsiFinD("ths_adjustment_nv_fund",F$3,$A148))</x:f>
        <x:v>#NAME?</x:v>
      </x:c>
      <x:c r="G148" t="e">
        <x:f>IF($A148="","",[1]!thsiFinD("ths_adjustment_nv_fund",G$3,$A148))</x:f>
        <x:v>#NAME?</x:v>
      </x:c>
      <x:c r="H148" t="e">
        <x:f>IF($A148="","",[1]!thsiFinD("ths_adjustment_nv_fund",H$3,$A148))</x:f>
        <x:v>#NAME?</x:v>
      </x:c>
      <x:c r="I148" t="e">
        <x:f>IF($A148="","",[1]!thsiFinD("ths_adjustment_nv_fund",I$3,$A148))</x:f>
        <x:v>#NAME?</x:v>
      </x:c>
      <x:c r="J148" t="e">
        <x:f>IF($A148="","",[1]!thsiFinD("ths_adjustment_nv_fund",J$3,$A148))</x:f>
        <x:v>#NAME?</x:v>
      </x:c>
      <x:c r="K148" t="e">
        <x:f>IF($A148="","",[1]!thsiFinD("ths_adjustment_nv_fund",K$3,$A148))</x:f>
        <x:v>#NAME?</x:v>
      </x:c>
      <x:c r="L148" t="e">
        <x:f>IF($A148="","",[1]!thsiFinD("ths_adjustment_nv_fund",L$3,$A148))</x:f>
        <x:v>#NAME?</x:v>
      </x:c>
      <x:c r="M148" t="e">
        <x:f>IF($A148="","",[1]!thsiFinD("ths_adjustment_nv_fund",M$3,$A148))</x:f>
        <x:v>#NAME?</x:v>
      </x:c>
      <x:c r="N148" t="e">
        <x:f>IF($A148="","",[1]!thsiFinD("ths_adjustment_nv_fund",N$3,$A148))</x:f>
        <x:v>#NAME?</x:v>
      </x:c>
      <x:c r="O148" t="e">
        <x:f>IF($A148="","",[1]!thsiFinD("ths_adjustment_nv_fund",O$3,$A148))</x:f>
        <x:v>#NAME?</x:v>
      </x:c>
      <x:c r="P148" t="e">
        <x:f>IF($A148="","",[1]!thsiFinD("ths_adjustment_nv_fund",P$3,$A148))</x:f>
        <x:v>#NAME?</x:v>
      </x:c>
      <x:c r="Q148" t="e">
        <x:f>IF($A148="","",[1]!thsiFinD("ths_adjustment_nv_fund",Q$3,$A148))</x:f>
        <x:v>#NAME?</x:v>
      </x:c>
      <x:c r="R148" t="e">
        <x:f>IF($A148="","",[1]!thsiFinD("ths_adjustment_nv_fund",R$3,$A148))</x:f>
        <x:v>#NAME?</x:v>
      </x:c>
      <x:c r="S148" t="e">
        <x:f>IF($A148="","",[1]!thsiFinD("ths_adjustment_nv_fund",S$3,$A148))</x:f>
        <x:v>#NAME?</x:v>
      </x:c>
      <x:c r="T148" t="e">
        <x:f>IF($A148="","",[1]!thsiFinD("ths_adjustment_nv_fund",T$3,$A148))</x:f>
        <x:v>#NAME?</x:v>
      </x:c>
      <x:c r="U148" t="e">
        <x:f>IF($A148="","",[1]!thsiFinD("ths_adjustment_nv_fund",U$3,$A148))</x:f>
        <x:v>#NAME?</x:v>
      </x:c>
      <x:c r="V148" t="e">
        <x:f>IF($A148="","",[1]!thsiFinD("ths_adjustment_nv_fund",V$3,$A148))</x:f>
        <x:v>#NAME?</x:v>
      </x:c>
      <x:c r="W148" t="e">
        <x:f>IF($A148="","",[1]!thsiFinD("ths_adjustment_nv_fund",W$3,$A148))</x:f>
        <x:v>#NAME?</x:v>
      </x:c>
      <x:c r="X148" t="e">
        <x:f>IF($A148="","",[1]!thsiFinD("ths_adjustment_nv_fund",X$3,$A148))</x:f>
        <x:v>#NAME?</x:v>
      </x:c>
      <x:c r="Y148" t="e">
        <x:f>IF($A148="","",[1]!thsiFinD("ths_adjustment_nv_fund",Y$3,$A148))</x:f>
        <x:v>#NAME?</x:v>
      </x:c>
    </x:row>
    <x:row r="149">
      <x:c r="B149" t="e">
        <x:f>IF($A149="","",[1]!thsiFinD("ths_adjustment_nv_fund",B$3,$A149))</x:f>
        <x:v>#NAME?</x:v>
      </x:c>
      <x:c r="C149" t="e">
        <x:f>IF($A149="","",[1]!thsiFinD("ths_adjustment_nv_fund",C$3,$A149))</x:f>
        <x:v>#NAME?</x:v>
      </x:c>
      <x:c r="D149" t="e">
        <x:f>IF($A149="","",[1]!thsiFinD("ths_adjustment_nv_fund",D$3,$A149))</x:f>
        <x:v>#NAME?</x:v>
      </x:c>
      <x:c r="E149" t="e">
        <x:f>IF($A149="","",[1]!thsiFinD("ths_adjustment_nv_fund",E$3,$A149))</x:f>
        <x:v>#NAME?</x:v>
      </x:c>
      <x:c r="F149" t="e">
        <x:f>IF($A149="","",[1]!thsiFinD("ths_adjustment_nv_fund",F$3,$A149))</x:f>
        <x:v>#NAME?</x:v>
      </x:c>
      <x:c r="G149" t="e">
        <x:f>IF($A149="","",[1]!thsiFinD("ths_adjustment_nv_fund",G$3,$A149))</x:f>
        <x:v>#NAME?</x:v>
      </x:c>
      <x:c r="H149" t="e">
        <x:f>IF($A149="","",[1]!thsiFinD("ths_adjustment_nv_fund",H$3,$A149))</x:f>
        <x:v>#NAME?</x:v>
      </x:c>
      <x:c r="I149" t="e">
        <x:f>IF($A149="","",[1]!thsiFinD("ths_adjustment_nv_fund",I$3,$A149))</x:f>
        <x:v>#NAME?</x:v>
      </x:c>
      <x:c r="J149" t="e">
        <x:f>IF($A149="","",[1]!thsiFinD("ths_adjustment_nv_fund",J$3,$A149))</x:f>
        <x:v>#NAME?</x:v>
      </x:c>
      <x:c r="K149" t="e">
        <x:f>IF($A149="","",[1]!thsiFinD("ths_adjustment_nv_fund",K$3,$A149))</x:f>
        <x:v>#NAME?</x:v>
      </x:c>
      <x:c r="L149" t="e">
        <x:f>IF($A149="","",[1]!thsiFinD("ths_adjustment_nv_fund",L$3,$A149))</x:f>
        <x:v>#NAME?</x:v>
      </x:c>
      <x:c r="M149" t="e">
        <x:f>IF($A149="","",[1]!thsiFinD("ths_adjustment_nv_fund",M$3,$A149))</x:f>
        <x:v>#NAME?</x:v>
      </x:c>
      <x:c r="N149" t="e">
        <x:f>IF($A149="","",[1]!thsiFinD("ths_adjustment_nv_fund",N$3,$A149))</x:f>
        <x:v>#NAME?</x:v>
      </x:c>
      <x:c r="O149" t="e">
        <x:f>IF($A149="","",[1]!thsiFinD("ths_adjustment_nv_fund",O$3,$A149))</x:f>
        <x:v>#NAME?</x:v>
      </x:c>
      <x:c r="P149" t="e">
        <x:f>IF($A149="","",[1]!thsiFinD("ths_adjustment_nv_fund",P$3,$A149))</x:f>
        <x:v>#NAME?</x:v>
      </x:c>
      <x:c r="Q149" t="e">
        <x:f>IF($A149="","",[1]!thsiFinD("ths_adjustment_nv_fund",Q$3,$A149))</x:f>
        <x:v>#NAME?</x:v>
      </x:c>
      <x:c r="R149" t="e">
        <x:f>IF($A149="","",[1]!thsiFinD("ths_adjustment_nv_fund",R$3,$A149))</x:f>
        <x:v>#NAME?</x:v>
      </x:c>
      <x:c r="S149" t="e">
        <x:f>IF($A149="","",[1]!thsiFinD("ths_adjustment_nv_fund",S$3,$A149))</x:f>
        <x:v>#NAME?</x:v>
      </x:c>
      <x:c r="T149" t="e">
        <x:f>IF($A149="","",[1]!thsiFinD("ths_adjustment_nv_fund",T$3,$A149))</x:f>
        <x:v>#NAME?</x:v>
      </x:c>
      <x:c r="U149" t="e">
        <x:f>IF($A149="","",[1]!thsiFinD("ths_adjustment_nv_fund",U$3,$A149))</x:f>
        <x:v>#NAME?</x:v>
      </x:c>
      <x:c r="V149" t="e">
        <x:f>IF($A149="","",[1]!thsiFinD("ths_adjustment_nv_fund",V$3,$A149))</x:f>
        <x:v>#NAME?</x:v>
      </x:c>
      <x:c r="W149" t="e">
        <x:f>IF($A149="","",[1]!thsiFinD("ths_adjustment_nv_fund",W$3,$A149))</x:f>
        <x:v>#NAME?</x:v>
      </x:c>
      <x:c r="X149" t="e">
        <x:f>IF($A149="","",[1]!thsiFinD("ths_adjustment_nv_fund",X$3,$A149))</x:f>
        <x:v>#NAME?</x:v>
      </x:c>
      <x:c r="Y149" t="e">
        <x:f>IF($A149="","",[1]!thsiFinD("ths_adjustment_nv_fund",Y$3,$A149))</x:f>
        <x:v>#NAME?</x:v>
      </x:c>
    </x:row>
    <x:row r="150">
      <x:c r="B150" t="e">
        <x:f>IF($A150="","",[1]!thsiFinD("ths_adjustment_nv_fund",B$3,$A150))</x:f>
        <x:v>#NAME?</x:v>
      </x:c>
      <x:c r="C150" t="e">
        <x:f>IF($A150="","",[1]!thsiFinD("ths_adjustment_nv_fund",C$3,$A150))</x:f>
        <x:v>#NAME?</x:v>
      </x:c>
      <x:c r="D150" t="e">
        <x:f>IF($A150="","",[1]!thsiFinD("ths_adjustment_nv_fund",D$3,$A150))</x:f>
        <x:v>#NAME?</x:v>
      </x:c>
      <x:c r="E150" t="e">
        <x:f>IF($A150="","",[1]!thsiFinD("ths_adjustment_nv_fund",E$3,$A150))</x:f>
        <x:v>#NAME?</x:v>
      </x:c>
      <x:c r="F150" t="e">
        <x:f>IF($A150="","",[1]!thsiFinD("ths_adjustment_nv_fund",F$3,$A150))</x:f>
        <x:v>#NAME?</x:v>
      </x:c>
      <x:c r="G150" t="e">
        <x:f>IF($A150="","",[1]!thsiFinD("ths_adjustment_nv_fund",G$3,$A150))</x:f>
        <x:v>#NAME?</x:v>
      </x:c>
      <x:c r="H150" t="e">
        <x:f>IF($A150="","",[1]!thsiFinD("ths_adjustment_nv_fund",H$3,$A150))</x:f>
        <x:v>#NAME?</x:v>
      </x:c>
      <x:c r="I150" t="e">
        <x:f>IF($A150="","",[1]!thsiFinD("ths_adjustment_nv_fund",I$3,$A150))</x:f>
        <x:v>#NAME?</x:v>
      </x:c>
      <x:c r="J150" t="e">
        <x:f>IF($A150="","",[1]!thsiFinD("ths_adjustment_nv_fund",J$3,$A150))</x:f>
        <x:v>#NAME?</x:v>
      </x:c>
      <x:c r="K150" t="e">
        <x:f>IF($A150="","",[1]!thsiFinD("ths_adjustment_nv_fund",K$3,$A150))</x:f>
        <x:v>#NAME?</x:v>
      </x:c>
      <x:c r="L150" t="e">
        <x:f>IF($A150="","",[1]!thsiFinD("ths_adjustment_nv_fund",L$3,$A150))</x:f>
        <x:v>#NAME?</x:v>
      </x:c>
      <x:c r="M150" t="e">
        <x:f>IF($A150="","",[1]!thsiFinD("ths_adjustment_nv_fund",M$3,$A150))</x:f>
        <x:v>#NAME?</x:v>
      </x:c>
      <x:c r="N150" t="e">
        <x:f>IF($A150="","",[1]!thsiFinD("ths_adjustment_nv_fund",N$3,$A150))</x:f>
        <x:v>#NAME?</x:v>
      </x:c>
      <x:c r="O150" t="e">
        <x:f>IF($A150="","",[1]!thsiFinD("ths_adjustment_nv_fund",O$3,$A150))</x:f>
        <x:v>#NAME?</x:v>
      </x:c>
      <x:c r="P150" t="e">
        <x:f>IF($A150="","",[1]!thsiFinD("ths_adjustment_nv_fund",P$3,$A150))</x:f>
        <x:v>#NAME?</x:v>
      </x:c>
      <x:c r="Q150" t="e">
        <x:f>IF($A150="","",[1]!thsiFinD("ths_adjustment_nv_fund",Q$3,$A150))</x:f>
        <x:v>#NAME?</x:v>
      </x:c>
      <x:c r="R150" t="e">
        <x:f>IF($A150="","",[1]!thsiFinD("ths_adjustment_nv_fund",R$3,$A150))</x:f>
        <x:v>#NAME?</x:v>
      </x:c>
      <x:c r="S150" t="e">
        <x:f>IF($A150="","",[1]!thsiFinD("ths_adjustment_nv_fund",S$3,$A150))</x:f>
        <x:v>#NAME?</x:v>
      </x:c>
      <x:c r="T150" t="e">
        <x:f>IF($A150="","",[1]!thsiFinD("ths_adjustment_nv_fund",T$3,$A150))</x:f>
        <x:v>#NAME?</x:v>
      </x:c>
      <x:c r="U150" t="e">
        <x:f>IF($A150="","",[1]!thsiFinD("ths_adjustment_nv_fund",U$3,$A150))</x:f>
        <x:v>#NAME?</x:v>
      </x:c>
      <x:c r="V150" t="e">
        <x:f>IF($A150="","",[1]!thsiFinD("ths_adjustment_nv_fund",V$3,$A150))</x:f>
        <x:v>#NAME?</x:v>
      </x:c>
      <x:c r="W150" t="e">
        <x:f>IF($A150="","",[1]!thsiFinD("ths_adjustment_nv_fund",W$3,$A150))</x:f>
        <x:v>#NAME?</x:v>
      </x:c>
      <x:c r="X150" t="e">
        <x:f>IF($A150="","",[1]!thsiFinD("ths_adjustment_nv_fund",X$3,$A150))</x:f>
        <x:v>#NAME?</x:v>
      </x:c>
      <x:c r="Y150" t="e">
        <x:f>IF($A150="","",[1]!thsiFinD("ths_adjustment_nv_fund",Y$3,$A150))</x:f>
        <x:v>#NAME?</x:v>
      </x:c>
    </x:row>
    <x:row r="151">
      <x:c r="B151" t="e">
        <x:f>IF($A151="","",[1]!thsiFinD("ths_adjustment_nv_fund",B$3,$A151))</x:f>
        <x:v>#NAME?</x:v>
      </x:c>
      <x:c r="C151" t="e">
        <x:f>IF($A151="","",[1]!thsiFinD("ths_adjustment_nv_fund",C$3,$A151))</x:f>
        <x:v>#NAME?</x:v>
      </x:c>
      <x:c r="D151" t="e">
        <x:f>IF($A151="","",[1]!thsiFinD("ths_adjustment_nv_fund",D$3,$A151))</x:f>
        <x:v>#NAME?</x:v>
      </x:c>
      <x:c r="E151" t="e">
        <x:f>IF($A151="","",[1]!thsiFinD("ths_adjustment_nv_fund",E$3,$A151))</x:f>
        <x:v>#NAME?</x:v>
      </x:c>
      <x:c r="F151" t="e">
        <x:f>IF($A151="","",[1]!thsiFinD("ths_adjustment_nv_fund",F$3,$A151))</x:f>
        <x:v>#NAME?</x:v>
      </x:c>
      <x:c r="G151" t="e">
        <x:f>IF($A151="","",[1]!thsiFinD("ths_adjustment_nv_fund",G$3,$A151))</x:f>
        <x:v>#NAME?</x:v>
      </x:c>
      <x:c r="H151" t="e">
        <x:f>IF($A151="","",[1]!thsiFinD("ths_adjustment_nv_fund",H$3,$A151))</x:f>
        <x:v>#NAME?</x:v>
      </x:c>
      <x:c r="I151" t="e">
        <x:f>IF($A151="","",[1]!thsiFinD("ths_adjustment_nv_fund",I$3,$A151))</x:f>
        <x:v>#NAME?</x:v>
      </x:c>
      <x:c r="J151" t="e">
        <x:f>IF($A151="","",[1]!thsiFinD("ths_adjustment_nv_fund",J$3,$A151))</x:f>
        <x:v>#NAME?</x:v>
      </x:c>
      <x:c r="K151" t="e">
        <x:f>IF($A151="","",[1]!thsiFinD("ths_adjustment_nv_fund",K$3,$A151))</x:f>
        <x:v>#NAME?</x:v>
      </x:c>
      <x:c r="L151" t="e">
        <x:f>IF($A151="","",[1]!thsiFinD("ths_adjustment_nv_fund",L$3,$A151))</x:f>
        <x:v>#NAME?</x:v>
      </x:c>
      <x:c r="M151" t="e">
        <x:f>IF($A151="","",[1]!thsiFinD("ths_adjustment_nv_fund",M$3,$A151))</x:f>
        <x:v>#NAME?</x:v>
      </x:c>
      <x:c r="N151" t="e">
        <x:f>IF($A151="","",[1]!thsiFinD("ths_adjustment_nv_fund",N$3,$A151))</x:f>
        <x:v>#NAME?</x:v>
      </x:c>
      <x:c r="O151" t="e">
        <x:f>IF($A151="","",[1]!thsiFinD("ths_adjustment_nv_fund",O$3,$A151))</x:f>
        <x:v>#NAME?</x:v>
      </x:c>
      <x:c r="P151" t="e">
        <x:f>IF($A151="","",[1]!thsiFinD("ths_adjustment_nv_fund",P$3,$A151))</x:f>
        <x:v>#NAME?</x:v>
      </x:c>
      <x:c r="Q151" t="e">
        <x:f>IF($A151="","",[1]!thsiFinD("ths_adjustment_nv_fund",Q$3,$A151))</x:f>
        <x:v>#NAME?</x:v>
      </x:c>
      <x:c r="R151" t="e">
        <x:f>IF($A151="","",[1]!thsiFinD("ths_adjustment_nv_fund",R$3,$A151))</x:f>
        <x:v>#NAME?</x:v>
      </x:c>
      <x:c r="S151" t="e">
        <x:f>IF($A151="","",[1]!thsiFinD("ths_adjustment_nv_fund",S$3,$A151))</x:f>
        <x:v>#NAME?</x:v>
      </x:c>
      <x:c r="T151" t="e">
        <x:f>IF($A151="","",[1]!thsiFinD("ths_adjustment_nv_fund",T$3,$A151))</x:f>
        <x:v>#NAME?</x:v>
      </x:c>
      <x:c r="U151" t="e">
        <x:f>IF($A151="","",[1]!thsiFinD("ths_adjustment_nv_fund",U$3,$A151))</x:f>
        <x:v>#NAME?</x:v>
      </x:c>
      <x:c r="V151" t="e">
        <x:f>IF($A151="","",[1]!thsiFinD("ths_adjustment_nv_fund",V$3,$A151))</x:f>
        <x:v>#NAME?</x:v>
      </x:c>
      <x:c r="W151" t="e">
        <x:f>IF($A151="","",[1]!thsiFinD("ths_adjustment_nv_fund",W$3,$A151))</x:f>
        <x:v>#NAME?</x:v>
      </x:c>
      <x:c r="X151" t="e">
        <x:f>IF($A151="","",[1]!thsiFinD("ths_adjustment_nv_fund",X$3,$A151))</x:f>
        <x:v>#NAME?</x:v>
      </x:c>
      <x:c r="Y151" t="e">
        <x:f>IF($A151="","",[1]!thsiFinD("ths_adjustment_nv_fund",Y$3,$A151))</x:f>
        <x:v>#NAME?</x:v>
      </x:c>
    </x:row>
    <x:row r="152">
      <x:c r="B152" t="e">
        <x:f>IF($A152="","",[1]!thsiFinD("ths_adjustment_nv_fund",B$3,$A152))</x:f>
        <x:v>#NAME?</x:v>
      </x:c>
      <x:c r="C152" t="e">
        <x:f>IF($A152="","",[1]!thsiFinD("ths_adjustment_nv_fund",C$3,$A152))</x:f>
        <x:v>#NAME?</x:v>
      </x:c>
      <x:c r="D152" t="e">
        <x:f>IF($A152="","",[1]!thsiFinD("ths_adjustment_nv_fund",D$3,$A152))</x:f>
        <x:v>#NAME?</x:v>
      </x:c>
      <x:c r="E152" t="e">
        <x:f>IF($A152="","",[1]!thsiFinD("ths_adjustment_nv_fund",E$3,$A152))</x:f>
        <x:v>#NAME?</x:v>
      </x:c>
      <x:c r="F152" t="e">
        <x:f>IF($A152="","",[1]!thsiFinD("ths_adjustment_nv_fund",F$3,$A152))</x:f>
        <x:v>#NAME?</x:v>
      </x:c>
      <x:c r="G152" t="e">
        <x:f>IF($A152="","",[1]!thsiFinD("ths_adjustment_nv_fund",G$3,$A152))</x:f>
        <x:v>#NAME?</x:v>
      </x:c>
      <x:c r="H152" t="e">
        <x:f>IF($A152="","",[1]!thsiFinD("ths_adjustment_nv_fund",H$3,$A152))</x:f>
        <x:v>#NAME?</x:v>
      </x:c>
      <x:c r="I152" t="e">
        <x:f>IF($A152="","",[1]!thsiFinD("ths_adjustment_nv_fund",I$3,$A152))</x:f>
        <x:v>#NAME?</x:v>
      </x:c>
      <x:c r="J152" t="e">
        <x:f>IF($A152="","",[1]!thsiFinD("ths_adjustment_nv_fund",J$3,$A152))</x:f>
        <x:v>#NAME?</x:v>
      </x:c>
      <x:c r="K152" t="e">
        <x:f>IF($A152="","",[1]!thsiFinD("ths_adjustment_nv_fund",K$3,$A152))</x:f>
        <x:v>#NAME?</x:v>
      </x:c>
      <x:c r="L152" t="e">
        <x:f>IF($A152="","",[1]!thsiFinD("ths_adjustment_nv_fund",L$3,$A152))</x:f>
        <x:v>#NAME?</x:v>
      </x:c>
      <x:c r="M152" t="e">
        <x:f>IF($A152="","",[1]!thsiFinD("ths_adjustment_nv_fund",M$3,$A152))</x:f>
        <x:v>#NAME?</x:v>
      </x:c>
      <x:c r="N152" t="e">
        <x:f>IF($A152="","",[1]!thsiFinD("ths_adjustment_nv_fund",N$3,$A152))</x:f>
        <x:v>#NAME?</x:v>
      </x:c>
      <x:c r="O152" t="e">
        <x:f>IF($A152="","",[1]!thsiFinD("ths_adjustment_nv_fund",O$3,$A152))</x:f>
        <x:v>#NAME?</x:v>
      </x:c>
      <x:c r="P152" t="e">
        <x:f>IF($A152="","",[1]!thsiFinD("ths_adjustment_nv_fund",P$3,$A152))</x:f>
        <x:v>#NAME?</x:v>
      </x:c>
      <x:c r="Q152" t="e">
        <x:f>IF($A152="","",[1]!thsiFinD("ths_adjustment_nv_fund",Q$3,$A152))</x:f>
        <x:v>#NAME?</x:v>
      </x:c>
      <x:c r="R152" t="e">
        <x:f>IF($A152="","",[1]!thsiFinD("ths_adjustment_nv_fund",R$3,$A152))</x:f>
        <x:v>#NAME?</x:v>
      </x:c>
      <x:c r="S152" t="e">
        <x:f>IF($A152="","",[1]!thsiFinD("ths_adjustment_nv_fund",S$3,$A152))</x:f>
        <x:v>#NAME?</x:v>
      </x:c>
      <x:c r="T152" t="e">
        <x:f>IF($A152="","",[1]!thsiFinD("ths_adjustment_nv_fund",T$3,$A152))</x:f>
        <x:v>#NAME?</x:v>
      </x:c>
      <x:c r="U152" t="e">
        <x:f>IF($A152="","",[1]!thsiFinD("ths_adjustment_nv_fund",U$3,$A152))</x:f>
        <x:v>#NAME?</x:v>
      </x:c>
      <x:c r="V152" t="e">
        <x:f>IF($A152="","",[1]!thsiFinD("ths_adjustment_nv_fund",V$3,$A152))</x:f>
        <x:v>#NAME?</x:v>
      </x:c>
      <x:c r="W152" t="e">
        <x:f>IF($A152="","",[1]!thsiFinD("ths_adjustment_nv_fund",W$3,$A152))</x:f>
        <x:v>#NAME?</x:v>
      </x:c>
      <x:c r="X152" t="e">
        <x:f>IF($A152="","",[1]!thsiFinD("ths_adjustment_nv_fund",X$3,$A152))</x:f>
        <x:v>#NAME?</x:v>
      </x:c>
      <x:c r="Y152" t="e">
        <x:f>IF($A152="","",[1]!thsiFinD("ths_adjustment_nv_fund",Y$3,$A152))</x:f>
        <x:v>#NAME?</x:v>
      </x:c>
    </x:row>
    <x:row r="153">
      <x:c r="B153" t="e">
        <x:f>IF($A153="","",[1]!thsiFinD("ths_adjustment_nv_fund",B$3,$A153))</x:f>
        <x:v>#NAME?</x:v>
      </x:c>
      <x:c r="C153" t="e">
        <x:f>IF($A153="","",[1]!thsiFinD("ths_adjustment_nv_fund",C$3,$A153))</x:f>
        <x:v>#NAME?</x:v>
      </x:c>
      <x:c r="D153" t="e">
        <x:f>IF($A153="","",[1]!thsiFinD("ths_adjustment_nv_fund",D$3,$A153))</x:f>
        <x:v>#NAME?</x:v>
      </x:c>
      <x:c r="E153" t="e">
        <x:f>IF($A153="","",[1]!thsiFinD("ths_adjustment_nv_fund",E$3,$A153))</x:f>
        <x:v>#NAME?</x:v>
      </x:c>
      <x:c r="F153" t="e">
        <x:f>IF($A153="","",[1]!thsiFinD("ths_adjustment_nv_fund",F$3,$A153))</x:f>
        <x:v>#NAME?</x:v>
      </x:c>
      <x:c r="G153" t="e">
        <x:f>IF($A153="","",[1]!thsiFinD("ths_adjustment_nv_fund",G$3,$A153))</x:f>
        <x:v>#NAME?</x:v>
      </x:c>
      <x:c r="H153" t="e">
        <x:f>IF($A153="","",[1]!thsiFinD("ths_adjustment_nv_fund",H$3,$A153))</x:f>
        <x:v>#NAME?</x:v>
      </x:c>
      <x:c r="I153" t="e">
        <x:f>IF($A153="","",[1]!thsiFinD("ths_adjustment_nv_fund",I$3,$A153))</x:f>
        <x:v>#NAME?</x:v>
      </x:c>
      <x:c r="J153" t="e">
        <x:f>IF($A153="","",[1]!thsiFinD("ths_adjustment_nv_fund",J$3,$A153))</x:f>
        <x:v>#NAME?</x:v>
      </x:c>
      <x:c r="K153" t="e">
        <x:f>IF($A153="","",[1]!thsiFinD("ths_adjustment_nv_fund",K$3,$A153))</x:f>
        <x:v>#NAME?</x:v>
      </x:c>
      <x:c r="L153" t="e">
        <x:f>IF($A153="","",[1]!thsiFinD("ths_adjustment_nv_fund",L$3,$A153))</x:f>
        <x:v>#NAME?</x:v>
      </x:c>
      <x:c r="M153" t="e">
        <x:f>IF($A153="","",[1]!thsiFinD("ths_adjustment_nv_fund",M$3,$A153))</x:f>
        <x:v>#NAME?</x:v>
      </x:c>
      <x:c r="N153" t="e">
        <x:f>IF($A153="","",[1]!thsiFinD("ths_adjustment_nv_fund",N$3,$A153))</x:f>
        <x:v>#NAME?</x:v>
      </x:c>
      <x:c r="O153" t="e">
        <x:f>IF($A153="","",[1]!thsiFinD("ths_adjustment_nv_fund",O$3,$A153))</x:f>
        <x:v>#NAME?</x:v>
      </x:c>
      <x:c r="P153" t="e">
        <x:f>IF($A153="","",[1]!thsiFinD("ths_adjustment_nv_fund",P$3,$A153))</x:f>
        <x:v>#NAME?</x:v>
      </x:c>
      <x:c r="Q153" t="e">
        <x:f>IF($A153="","",[1]!thsiFinD("ths_adjustment_nv_fund",Q$3,$A153))</x:f>
        <x:v>#NAME?</x:v>
      </x:c>
      <x:c r="R153" t="e">
        <x:f>IF($A153="","",[1]!thsiFinD("ths_adjustment_nv_fund",R$3,$A153))</x:f>
        <x:v>#NAME?</x:v>
      </x:c>
      <x:c r="S153" t="e">
        <x:f>IF($A153="","",[1]!thsiFinD("ths_adjustment_nv_fund",S$3,$A153))</x:f>
        <x:v>#NAME?</x:v>
      </x:c>
      <x:c r="T153" t="e">
        <x:f>IF($A153="","",[1]!thsiFinD("ths_adjustment_nv_fund",T$3,$A153))</x:f>
        <x:v>#NAME?</x:v>
      </x:c>
      <x:c r="U153" t="e">
        <x:f>IF($A153="","",[1]!thsiFinD("ths_adjustment_nv_fund",U$3,$A153))</x:f>
        <x:v>#NAME?</x:v>
      </x:c>
      <x:c r="V153" t="e">
        <x:f>IF($A153="","",[1]!thsiFinD("ths_adjustment_nv_fund",V$3,$A153))</x:f>
        <x:v>#NAME?</x:v>
      </x:c>
      <x:c r="W153" t="e">
        <x:f>IF($A153="","",[1]!thsiFinD("ths_adjustment_nv_fund",W$3,$A153))</x:f>
        <x:v>#NAME?</x:v>
      </x:c>
      <x:c r="X153" t="e">
        <x:f>IF($A153="","",[1]!thsiFinD("ths_adjustment_nv_fund",X$3,$A153))</x:f>
        <x:v>#NAME?</x:v>
      </x:c>
      <x:c r="Y153" t="e">
        <x:f>IF($A153="","",[1]!thsiFinD("ths_adjustment_nv_fund",Y$3,$A153))</x:f>
        <x:v>#NAME?</x:v>
      </x:c>
    </x:row>
    <x:row r="154">
      <x:c r="B154" t="e">
        <x:f>IF($A154="","",[1]!thsiFinD("ths_adjustment_nv_fund",B$3,$A154))</x:f>
        <x:v>#NAME?</x:v>
      </x:c>
      <x:c r="C154" t="e">
        <x:f>IF($A154="","",[1]!thsiFinD("ths_adjustment_nv_fund",C$3,$A154))</x:f>
        <x:v>#NAME?</x:v>
      </x:c>
      <x:c r="D154" t="e">
        <x:f>IF($A154="","",[1]!thsiFinD("ths_adjustment_nv_fund",D$3,$A154))</x:f>
        <x:v>#NAME?</x:v>
      </x:c>
      <x:c r="E154" t="e">
        <x:f>IF($A154="","",[1]!thsiFinD("ths_adjustment_nv_fund",E$3,$A154))</x:f>
        <x:v>#NAME?</x:v>
      </x:c>
      <x:c r="F154" t="e">
        <x:f>IF($A154="","",[1]!thsiFinD("ths_adjustment_nv_fund",F$3,$A154))</x:f>
        <x:v>#NAME?</x:v>
      </x:c>
      <x:c r="G154" t="e">
        <x:f>IF($A154="","",[1]!thsiFinD("ths_adjustment_nv_fund",G$3,$A154))</x:f>
        <x:v>#NAME?</x:v>
      </x:c>
      <x:c r="H154" t="e">
        <x:f>IF($A154="","",[1]!thsiFinD("ths_adjustment_nv_fund",H$3,$A154))</x:f>
        <x:v>#NAME?</x:v>
      </x:c>
      <x:c r="I154" t="e">
        <x:f>IF($A154="","",[1]!thsiFinD("ths_adjustment_nv_fund",I$3,$A154))</x:f>
        <x:v>#NAME?</x:v>
      </x:c>
      <x:c r="J154" t="e">
        <x:f>IF($A154="","",[1]!thsiFinD("ths_adjustment_nv_fund",J$3,$A154))</x:f>
        <x:v>#NAME?</x:v>
      </x:c>
      <x:c r="K154" t="e">
        <x:f>IF($A154="","",[1]!thsiFinD("ths_adjustment_nv_fund",K$3,$A154))</x:f>
        <x:v>#NAME?</x:v>
      </x:c>
      <x:c r="L154" t="e">
        <x:f>IF($A154="","",[1]!thsiFinD("ths_adjustment_nv_fund",L$3,$A154))</x:f>
        <x:v>#NAME?</x:v>
      </x:c>
      <x:c r="M154" t="e">
        <x:f>IF($A154="","",[1]!thsiFinD("ths_adjustment_nv_fund",M$3,$A154))</x:f>
        <x:v>#NAME?</x:v>
      </x:c>
      <x:c r="N154" t="e">
        <x:f>IF($A154="","",[1]!thsiFinD("ths_adjustment_nv_fund",N$3,$A154))</x:f>
        <x:v>#NAME?</x:v>
      </x:c>
      <x:c r="O154" t="e">
        <x:f>IF($A154="","",[1]!thsiFinD("ths_adjustment_nv_fund",O$3,$A154))</x:f>
        <x:v>#NAME?</x:v>
      </x:c>
      <x:c r="P154" t="e">
        <x:f>IF($A154="","",[1]!thsiFinD("ths_adjustment_nv_fund",P$3,$A154))</x:f>
        <x:v>#NAME?</x:v>
      </x:c>
      <x:c r="Q154" t="e">
        <x:f>IF($A154="","",[1]!thsiFinD("ths_adjustment_nv_fund",Q$3,$A154))</x:f>
        <x:v>#NAME?</x:v>
      </x:c>
      <x:c r="R154" t="e">
        <x:f>IF($A154="","",[1]!thsiFinD("ths_adjustment_nv_fund",R$3,$A154))</x:f>
        <x:v>#NAME?</x:v>
      </x:c>
      <x:c r="S154" t="e">
        <x:f>IF($A154="","",[1]!thsiFinD("ths_adjustment_nv_fund",S$3,$A154))</x:f>
        <x:v>#NAME?</x:v>
      </x:c>
      <x:c r="T154" t="e">
        <x:f>IF($A154="","",[1]!thsiFinD("ths_adjustment_nv_fund",T$3,$A154))</x:f>
        <x:v>#NAME?</x:v>
      </x:c>
      <x:c r="U154" t="e">
        <x:f>IF($A154="","",[1]!thsiFinD("ths_adjustment_nv_fund",U$3,$A154))</x:f>
        <x:v>#NAME?</x:v>
      </x:c>
      <x:c r="V154" t="e">
        <x:f>IF($A154="","",[1]!thsiFinD("ths_adjustment_nv_fund",V$3,$A154))</x:f>
        <x:v>#NAME?</x:v>
      </x:c>
      <x:c r="W154" t="e">
        <x:f>IF($A154="","",[1]!thsiFinD("ths_adjustment_nv_fund",W$3,$A154))</x:f>
        <x:v>#NAME?</x:v>
      </x:c>
      <x:c r="X154" t="e">
        <x:f>IF($A154="","",[1]!thsiFinD("ths_adjustment_nv_fund",X$3,$A154))</x:f>
        <x:v>#NAME?</x:v>
      </x:c>
      <x:c r="Y154" t="e">
        <x:f>IF($A154="","",[1]!thsiFinD("ths_adjustment_nv_fund",Y$3,$A154))</x:f>
        <x:v>#NAME?</x:v>
      </x:c>
    </x:row>
    <x:row r="155">
      <x:c r="B155" t="e">
        <x:f>IF($A155="","",[1]!thsiFinD("ths_adjustment_nv_fund",B$3,$A155))</x:f>
        <x:v>#NAME?</x:v>
      </x:c>
      <x:c r="C155" t="e">
        <x:f>IF($A155="","",[1]!thsiFinD("ths_adjustment_nv_fund",C$3,$A155))</x:f>
        <x:v>#NAME?</x:v>
      </x:c>
      <x:c r="D155" t="e">
        <x:f>IF($A155="","",[1]!thsiFinD("ths_adjustment_nv_fund",D$3,$A155))</x:f>
        <x:v>#NAME?</x:v>
      </x:c>
      <x:c r="E155" t="e">
        <x:f>IF($A155="","",[1]!thsiFinD("ths_adjustment_nv_fund",E$3,$A155))</x:f>
        <x:v>#NAME?</x:v>
      </x:c>
      <x:c r="F155" t="e">
        <x:f>IF($A155="","",[1]!thsiFinD("ths_adjustment_nv_fund",F$3,$A155))</x:f>
        <x:v>#NAME?</x:v>
      </x:c>
      <x:c r="G155" t="e">
        <x:f>IF($A155="","",[1]!thsiFinD("ths_adjustment_nv_fund",G$3,$A155))</x:f>
        <x:v>#NAME?</x:v>
      </x:c>
      <x:c r="H155" t="e">
        <x:f>IF($A155="","",[1]!thsiFinD("ths_adjustment_nv_fund",H$3,$A155))</x:f>
        <x:v>#NAME?</x:v>
      </x:c>
      <x:c r="I155" t="e">
        <x:f>IF($A155="","",[1]!thsiFinD("ths_adjustment_nv_fund",I$3,$A155))</x:f>
        <x:v>#NAME?</x:v>
      </x:c>
      <x:c r="J155" t="e">
        <x:f>IF($A155="","",[1]!thsiFinD("ths_adjustment_nv_fund",J$3,$A155))</x:f>
        <x:v>#NAME?</x:v>
      </x:c>
      <x:c r="K155" t="e">
        <x:f>IF($A155="","",[1]!thsiFinD("ths_adjustment_nv_fund",K$3,$A155))</x:f>
        <x:v>#NAME?</x:v>
      </x:c>
      <x:c r="L155" t="e">
        <x:f>IF($A155="","",[1]!thsiFinD("ths_adjustment_nv_fund",L$3,$A155))</x:f>
        <x:v>#NAME?</x:v>
      </x:c>
      <x:c r="M155" t="e">
        <x:f>IF($A155="","",[1]!thsiFinD("ths_adjustment_nv_fund",M$3,$A155))</x:f>
        <x:v>#NAME?</x:v>
      </x:c>
      <x:c r="N155" t="e">
        <x:f>IF($A155="","",[1]!thsiFinD("ths_adjustment_nv_fund",N$3,$A155))</x:f>
        <x:v>#NAME?</x:v>
      </x:c>
      <x:c r="O155" t="e">
        <x:f>IF($A155="","",[1]!thsiFinD("ths_adjustment_nv_fund",O$3,$A155))</x:f>
        <x:v>#NAME?</x:v>
      </x:c>
      <x:c r="P155" t="e">
        <x:f>IF($A155="","",[1]!thsiFinD("ths_adjustment_nv_fund",P$3,$A155))</x:f>
        <x:v>#NAME?</x:v>
      </x:c>
      <x:c r="Q155" t="e">
        <x:f>IF($A155="","",[1]!thsiFinD("ths_adjustment_nv_fund",Q$3,$A155))</x:f>
        <x:v>#NAME?</x:v>
      </x:c>
      <x:c r="R155" t="e">
        <x:f>IF($A155="","",[1]!thsiFinD("ths_adjustment_nv_fund",R$3,$A155))</x:f>
        <x:v>#NAME?</x:v>
      </x:c>
      <x:c r="S155" t="e">
        <x:f>IF($A155="","",[1]!thsiFinD("ths_adjustment_nv_fund",S$3,$A155))</x:f>
        <x:v>#NAME?</x:v>
      </x:c>
      <x:c r="T155" t="e">
        <x:f>IF($A155="","",[1]!thsiFinD("ths_adjustment_nv_fund",T$3,$A155))</x:f>
        <x:v>#NAME?</x:v>
      </x:c>
      <x:c r="U155" t="e">
        <x:f>IF($A155="","",[1]!thsiFinD("ths_adjustment_nv_fund",U$3,$A155))</x:f>
        <x:v>#NAME?</x:v>
      </x:c>
      <x:c r="V155" t="e">
        <x:f>IF($A155="","",[1]!thsiFinD("ths_adjustment_nv_fund",V$3,$A155))</x:f>
        <x:v>#NAME?</x:v>
      </x:c>
      <x:c r="W155" t="e">
        <x:f>IF($A155="","",[1]!thsiFinD("ths_adjustment_nv_fund",W$3,$A155))</x:f>
        <x:v>#NAME?</x:v>
      </x:c>
      <x:c r="X155" t="e">
        <x:f>IF($A155="","",[1]!thsiFinD("ths_adjustment_nv_fund",X$3,$A155))</x:f>
        <x:v>#NAME?</x:v>
      </x:c>
      <x:c r="Y155" t="e">
        <x:f>IF($A155="","",[1]!thsiFinD("ths_adjustment_nv_fund",Y$3,$A155))</x:f>
        <x:v>#NAME?</x:v>
      </x:c>
    </x:row>
    <x:row r="156">
      <x:c r="B156" t="e">
        <x:f>IF($A156="","",[1]!thsiFinD("ths_adjustment_nv_fund",B$3,$A156))</x:f>
        <x:v>#NAME?</x:v>
      </x:c>
      <x:c r="C156" t="e">
        <x:f>IF($A156="","",[1]!thsiFinD("ths_adjustment_nv_fund",C$3,$A156))</x:f>
        <x:v>#NAME?</x:v>
      </x:c>
      <x:c r="D156" t="e">
        <x:f>IF($A156="","",[1]!thsiFinD("ths_adjustment_nv_fund",D$3,$A156))</x:f>
        <x:v>#NAME?</x:v>
      </x:c>
      <x:c r="E156" t="e">
        <x:f>IF($A156="","",[1]!thsiFinD("ths_adjustment_nv_fund",E$3,$A156))</x:f>
        <x:v>#NAME?</x:v>
      </x:c>
      <x:c r="F156" t="e">
        <x:f>IF($A156="","",[1]!thsiFinD("ths_adjustment_nv_fund",F$3,$A156))</x:f>
        <x:v>#NAME?</x:v>
      </x:c>
      <x:c r="G156" t="e">
        <x:f>IF($A156="","",[1]!thsiFinD("ths_adjustment_nv_fund",G$3,$A156))</x:f>
        <x:v>#NAME?</x:v>
      </x:c>
      <x:c r="H156" t="e">
        <x:f>IF($A156="","",[1]!thsiFinD("ths_adjustment_nv_fund",H$3,$A156))</x:f>
        <x:v>#NAME?</x:v>
      </x:c>
      <x:c r="I156" t="e">
        <x:f>IF($A156="","",[1]!thsiFinD("ths_adjustment_nv_fund",I$3,$A156))</x:f>
        <x:v>#NAME?</x:v>
      </x:c>
      <x:c r="J156" t="e">
        <x:f>IF($A156="","",[1]!thsiFinD("ths_adjustment_nv_fund",J$3,$A156))</x:f>
        <x:v>#NAME?</x:v>
      </x:c>
      <x:c r="K156" t="e">
        <x:f>IF($A156="","",[1]!thsiFinD("ths_adjustment_nv_fund",K$3,$A156))</x:f>
        <x:v>#NAME?</x:v>
      </x:c>
      <x:c r="L156" t="e">
        <x:f>IF($A156="","",[1]!thsiFinD("ths_adjustment_nv_fund",L$3,$A156))</x:f>
        <x:v>#NAME?</x:v>
      </x:c>
      <x:c r="M156" t="e">
        <x:f>IF($A156="","",[1]!thsiFinD("ths_adjustment_nv_fund",M$3,$A156))</x:f>
        <x:v>#NAME?</x:v>
      </x:c>
      <x:c r="N156" t="e">
        <x:f>IF($A156="","",[1]!thsiFinD("ths_adjustment_nv_fund",N$3,$A156))</x:f>
        <x:v>#NAME?</x:v>
      </x:c>
      <x:c r="O156" t="e">
        <x:f>IF($A156="","",[1]!thsiFinD("ths_adjustment_nv_fund",O$3,$A156))</x:f>
        <x:v>#NAME?</x:v>
      </x:c>
      <x:c r="P156" t="e">
        <x:f>IF($A156="","",[1]!thsiFinD("ths_adjustment_nv_fund",P$3,$A156))</x:f>
        <x:v>#NAME?</x:v>
      </x:c>
      <x:c r="Q156" t="e">
        <x:f>IF($A156="","",[1]!thsiFinD("ths_adjustment_nv_fund",Q$3,$A156))</x:f>
        <x:v>#NAME?</x:v>
      </x:c>
      <x:c r="R156" t="e">
        <x:f>IF($A156="","",[1]!thsiFinD("ths_adjustment_nv_fund",R$3,$A156))</x:f>
        <x:v>#NAME?</x:v>
      </x:c>
      <x:c r="S156" t="e">
        <x:f>IF($A156="","",[1]!thsiFinD("ths_adjustment_nv_fund",S$3,$A156))</x:f>
        <x:v>#NAME?</x:v>
      </x:c>
      <x:c r="T156" t="e">
        <x:f>IF($A156="","",[1]!thsiFinD("ths_adjustment_nv_fund",T$3,$A156))</x:f>
        <x:v>#NAME?</x:v>
      </x:c>
      <x:c r="U156" t="e">
        <x:f>IF($A156="","",[1]!thsiFinD("ths_adjustment_nv_fund",U$3,$A156))</x:f>
        <x:v>#NAME?</x:v>
      </x:c>
      <x:c r="V156" t="e">
        <x:f>IF($A156="","",[1]!thsiFinD("ths_adjustment_nv_fund",V$3,$A156))</x:f>
        <x:v>#NAME?</x:v>
      </x:c>
      <x:c r="W156" t="e">
        <x:f>IF($A156="","",[1]!thsiFinD("ths_adjustment_nv_fund",W$3,$A156))</x:f>
        <x:v>#NAME?</x:v>
      </x:c>
      <x:c r="X156" t="e">
        <x:f>IF($A156="","",[1]!thsiFinD("ths_adjustment_nv_fund",X$3,$A156))</x:f>
        <x:v>#NAME?</x:v>
      </x:c>
      <x:c r="Y156" t="e">
        <x:f>IF($A156="","",[1]!thsiFinD("ths_adjustment_nv_fund",Y$3,$A156))</x:f>
        <x:v>#NAME?</x:v>
      </x:c>
    </x:row>
    <x:row r="157">
      <x:c r="B157" t="e">
        <x:f>IF($A157="","",[1]!thsiFinD("ths_adjustment_nv_fund",B$3,$A157))</x:f>
        <x:v>#NAME?</x:v>
      </x:c>
      <x:c r="C157" t="e">
        <x:f>IF($A157="","",[1]!thsiFinD("ths_adjustment_nv_fund",C$3,$A157))</x:f>
        <x:v>#NAME?</x:v>
      </x:c>
      <x:c r="D157" t="e">
        <x:f>IF($A157="","",[1]!thsiFinD("ths_adjustment_nv_fund",D$3,$A157))</x:f>
        <x:v>#NAME?</x:v>
      </x:c>
      <x:c r="E157" t="e">
        <x:f>IF($A157="","",[1]!thsiFinD("ths_adjustment_nv_fund",E$3,$A157))</x:f>
        <x:v>#NAME?</x:v>
      </x:c>
      <x:c r="F157" t="e">
        <x:f>IF($A157="","",[1]!thsiFinD("ths_adjustment_nv_fund",F$3,$A157))</x:f>
        <x:v>#NAME?</x:v>
      </x:c>
      <x:c r="G157" t="e">
        <x:f>IF($A157="","",[1]!thsiFinD("ths_adjustment_nv_fund",G$3,$A157))</x:f>
        <x:v>#NAME?</x:v>
      </x:c>
      <x:c r="H157" t="e">
        <x:f>IF($A157="","",[1]!thsiFinD("ths_adjustment_nv_fund",H$3,$A157))</x:f>
        <x:v>#NAME?</x:v>
      </x:c>
      <x:c r="I157" t="e">
        <x:f>IF($A157="","",[1]!thsiFinD("ths_adjustment_nv_fund",I$3,$A157))</x:f>
        <x:v>#NAME?</x:v>
      </x:c>
      <x:c r="J157" t="e">
        <x:f>IF($A157="","",[1]!thsiFinD("ths_adjustment_nv_fund",J$3,$A157))</x:f>
        <x:v>#NAME?</x:v>
      </x:c>
      <x:c r="K157" t="e">
        <x:f>IF($A157="","",[1]!thsiFinD("ths_adjustment_nv_fund",K$3,$A157))</x:f>
        <x:v>#NAME?</x:v>
      </x:c>
      <x:c r="L157" t="e">
        <x:f>IF($A157="","",[1]!thsiFinD("ths_adjustment_nv_fund",L$3,$A157))</x:f>
        <x:v>#NAME?</x:v>
      </x:c>
      <x:c r="M157" t="e">
        <x:f>IF($A157="","",[1]!thsiFinD("ths_adjustment_nv_fund",M$3,$A157))</x:f>
        <x:v>#NAME?</x:v>
      </x:c>
      <x:c r="N157" t="e">
        <x:f>IF($A157="","",[1]!thsiFinD("ths_adjustment_nv_fund",N$3,$A157))</x:f>
        <x:v>#NAME?</x:v>
      </x:c>
      <x:c r="O157" t="e">
        <x:f>IF($A157="","",[1]!thsiFinD("ths_adjustment_nv_fund",O$3,$A157))</x:f>
        <x:v>#NAME?</x:v>
      </x:c>
      <x:c r="P157" t="e">
        <x:f>IF($A157="","",[1]!thsiFinD("ths_adjustment_nv_fund",P$3,$A157))</x:f>
        <x:v>#NAME?</x:v>
      </x:c>
      <x:c r="Q157" t="e">
        <x:f>IF($A157="","",[1]!thsiFinD("ths_adjustment_nv_fund",Q$3,$A157))</x:f>
        <x:v>#NAME?</x:v>
      </x:c>
      <x:c r="R157" t="e">
        <x:f>IF($A157="","",[1]!thsiFinD("ths_adjustment_nv_fund",R$3,$A157))</x:f>
        <x:v>#NAME?</x:v>
      </x:c>
      <x:c r="S157" t="e">
        <x:f>IF($A157="","",[1]!thsiFinD("ths_adjustment_nv_fund",S$3,$A157))</x:f>
        <x:v>#NAME?</x:v>
      </x:c>
      <x:c r="T157" t="e">
        <x:f>IF($A157="","",[1]!thsiFinD("ths_adjustment_nv_fund",T$3,$A157))</x:f>
        <x:v>#NAME?</x:v>
      </x:c>
      <x:c r="U157" t="e">
        <x:f>IF($A157="","",[1]!thsiFinD("ths_adjustment_nv_fund",U$3,$A157))</x:f>
        <x:v>#NAME?</x:v>
      </x:c>
      <x:c r="V157" t="e">
        <x:f>IF($A157="","",[1]!thsiFinD("ths_adjustment_nv_fund",V$3,$A157))</x:f>
        <x:v>#NAME?</x:v>
      </x:c>
      <x:c r="W157" t="e">
        <x:f>IF($A157="","",[1]!thsiFinD("ths_adjustment_nv_fund",W$3,$A157))</x:f>
        <x:v>#NAME?</x:v>
      </x:c>
      <x:c r="X157" t="e">
        <x:f>IF($A157="","",[1]!thsiFinD("ths_adjustment_nv_fund",X$3,$A157))</x:f>
        <x:v>#NAME?</x:v>
      </x:c>
      <x:c r="Y157" t="e">
        <x:f>IF($A157="","",[1]!thsiFinD("ths_adjustment_nv_fund",Y$3,$A157))</x:f>
        <x:v>#NAME?</x:v>
      </x:c>
    </x:row>
    <x:row r="158">
      <x:c r="B158" t="e">
        <x:f>IF($A158="","",[1]!thsiFinD("ths_adjustment_nv_fund",B$3,$A158))</x:f>
        <x:v>#NAME?</x:v>
      </x:c>
      <x:c r="C158" t="e">
        <x:f>IF($A158="","",[1]!thsiFinD("ths_adjustment_nv_fund",C$3,$A158))</x:f>
        <x:v>#NAME?</x:v>
      </x:c>
      <x:c r="D158" t="e">
        <x:f>IF($A158="","",[1]!thsiFinD("ths_adjustment_nv_fund",D$3,$A158))</x:f>
        <x:v>#NAME?</x:v>
      </x:c>
      <x:c r="E158" t="e">
        <x:f>IF($A158="","",[1]!thsiFinD("ths_adjustment_nv_fund",E$3,$A158))</x:f>
        <x:v>#NAME?</x:v>
      </x:c>
      <x:c r="F158" t="e">
        <x:f>IF($A158="","",[1]!thsiFinD("ths_adjustment_nv_fund",F$3,$A158))</x:f>
        <x:v>#NAME?</x:v>
      </x:c>
      <x:c r="G158" t="e">
        <x:f>IF($A158="","",[1]!thsiFinD("ths_adjustment_nv_fund",G$3,$A158))</x:f>
        <x:v>#NAME?</x:v>
      </x:c>
      <x:c r="H158" t="e">
        <x:f>IF($A158="","",[1]!thsiFinD("ths_adjustment_nv_fund",H$3,$A158))</x:f>
        <x:v>#NAME?</x:v>
      </x:c>
      <x:c r="I158" t="e">
        <x:f>IF($A158="","",[1]!thsiFinD("ths_adjustment_nv_fund",I$3,$A158))</x:f>
        <x:v>#NAME?</x:v>
      </x:c>
      <x:c r="J158" t="e">
        <x:f>IF($A158="","",[1]!thsiFinD("ths_adjustment_nv_fund",J$3,$A158))</x:f>
        <x:v>#NAME?</x:v>
      </x:c>
      <x:c r="K158" t="e">
        <x:f>IF($A158="","",[1]!thsiFinD("ths_adjustment_nv_fund",K$3,$A158))</x:f>
        <x:v>#NAME?</x:v>
      </x:c>
      <x:c r="L158" t="e">
        <x:f>IF($A158="","",[1]!thsiFinD("ths_adjustment_nv_fund",L$3,$A158))</x:f>
        <x:v>#NAME?</x:v>
      </x:c>
      <x:c r="M158" t="e">
        <x:f>IF($A158="","",[1]!thsiFinD("ths_adjustment_nv_fund",M$3,$A158))</x:f>
        <x:v>#NAME?</x:v>
      </x:c>
      <x:c r="N158" t="e">
        <x:f>IF($A158="","",[1]!thsiFinD("ths_adjustment_nv_fund",N$3,$A158))</x:f>
        <x:v>#NAME?</x:v>
      </x:c>
      <x:c r="O158" t="e">
        <x:f>IF($A158="","",[1]!thsiFinD("ths_adjustment_nv_fund",O$3,$A158))</x:f>
        <x:v>#NAME?</x:v>
      </x:c>
      <x:c r="P158" t="e">
        <x:f>IF($A158="","",[1]!thsiFinD("ths_adjustment_nv_fund",P$3,$A158))</x:f>
        <x:v>#NAME?</x:v>
      </x:c>
      <x:c r="Q158" t="e">
        <x:f>IF($A158="","",[1]!thsiFinD("ths_adjustment_nv_fund",Q$3,$A158))</x:f>
        <x:v>#NAME?</x:v>
      </x:c>
      <x:c r="R158" t="e">
        <x:f>IF($A158="","",[1]!thsiFinD("ths_adjustment_nv_fund",R$3,$A158))</x:f>
        <x:v>#NAME?</x:v>
      </x:c>
      <x:c r="S158" t="e">
        <x:f>IF($A158="","",[1]!thsiFinD("ths_adjustment_nv_fund",S$3,$A158))</x:f>
        <x:v>#NAME?</x:v>
      </x:c>
      <x:c r="T158" t="e">
        <x:f>IF($A158="","",[1]!thsiFinD("ths_adjustment_nv_fund",T$3,$A158))</x:f>
        <x:v>#NAME?</x:v>
      </x:c>
      <x:c r="U158" t="e">
        <x:f>IF($A158="","",[1]!thsiFinD("ths_adjustment_nv_fund",U$3,$A158))</x:f>
        <x:v>#NAME?</x:v>
      </x:c>
      <x:c r="V158" t="e">
        <x:f>IF($A158="","",[1]!thsiFinD("ths_adjustment_nv_fund",V$3,$A158))</x:f>
        <x:v>#NAME?</x:v>
      </x:c>
      <x:c r="W158" t="e">
        <x:f>IF($A158="","",[1]!thsiFinD("ths_adjustment_nv_fund",W$3,$A158))</x:f>
        <x:v>#NAME?</x:v>
      </x:c>
      <x:c r="X158" t="e">
        <x:f>IF($A158="","",[1]!thsiFinD("ths_adjustment_nv_fund",X$3,$A158))</x:f>
        <x:v>#NAME?</x:v>
      </x:c>
      <x:c r="Y158" t="e">
        <x:f>IF($A158="","",[1]!thsiFinD("ths_adjustment_nv_fund",Y$3,$A158))</x:f>
        <x:v>#NAME?</x:v>
      </x:c>
    </x:row>
    <x:row r="159">
      <x:c r="B159" t="e">
        <x:f>IF($A159="","",[1]!thsiFinD("ths_adjustment_nv_fund",B$3,$A159))</x:f>
        <x:v>#NAME?</x:v>
      </x:c>
      <x:c r="C159" t="e">
        <x:f>IF($A159="","",[1]!thsiFinD("ths_adjustment_nv_fund",C$3,$A159))</x:f>
        <x:v>#NAME?</x:v>
      </x:c>
      <x:c r="D159" t="e">
        <x:f>IF($A159="","",[1]!thsiFinD("ths_adjustment_nv_fund",D$3,$A159))</x:f>
        <x:v>#NAME?</x:v>
      </x:c>
      <x:c r="E159" t="e">
        <x:f>IF($A159="","",[1]!thsiFinD("ths_adjustment_nv_fund",E$3,$A159))</x:f>
        <x:v>#NAME?</x:v>
      </x:c>
      <x:c r="F159" t="e">
        <x:f>IF($A159="","",[1]!thsiFinD("ths_adjustment_nv_fund",F$3,$A159))</x:f>
        <x:v>#NAME?</x:v>
      </x:c>
      <x:c r="G159" t="e">
        <x:f>IF($A159="","",[1]!thsiFinD("ths_adjustment_nv_fund",G$3,$A159))</x:f>
        <x:v>#NAME?</x:v>
      </x:c>
      <x:c r="H159" t="e">
        <x:f>IF($A159="","",[1]!thsiFinD("ths_adjustment_nv_fund",H$3,$A159))</x:f>
        <x:v>#NAME?</x:v>
      </x:c>
      <x:c r="I159" t="e">
        <x:f>IF($A159="","",[1]!thsiFinD("ths_adjustment_nv_fund",I$3,$A159))</x:f>
        <x:v>#NAME?</x:v>
      </x:c>
      <x:c r="J159" t="e">
        <x:f>IF($A159="","",[1]!thsiFinD("ths_adjustment_nv_fund",J$3,$A159))</x:f>
        <x:v>#NAME?</x:v>
      </x:c>
      <x:c r="K159" t="e">
        <x:f>IF($A159="","",[1]!thsiFinD("ths_adjustment_nv_fund",K$3,$A159))</x:f>
        <x:v>#NAME?</x:v>
      </x:c>
      <x:c r="L159" t="e">
        <x:f>IF($A159="","",[1]!thsiFinD("ths_adjustment_nv_fund",L$3,$A159))</x:f>
        <x:v>#NAME?</x:v>
      </x:c>
      <x:c r="M159" t="e">
        <x:f>IF($A159="","",[1]!thsiFinD("ths_adjustment_nv_fund",M$3,$A159))</x:f>
        <x:v>#NAME?</x:v>
      </x:c>
      <x:c r="N159" t="e">
        <x:f>IF($A159="","",[1]!thsiFinD("ths_adjustment_nv_fund",N$3,$A159))</x:f>
        <x:v>#NAME?</x:v>
      </x:c>
      <x:c r="O159" t="e">
        <x:f>IF($A159="","",[1]!thsiFinD("ths_adjustment_nv_fund",O$3,$A159))</x:f>
        <x:v>#NAME?</x:v>
      </x:c>
      <x:c r="P159" t="e">
        <x:f>IF($A159="","",[1]!thsiFinD("ths_adjustment_nv_fund",P$3,$A159))</x:f>
        <x:v>#NAME?</x:v>
      </x:c>
      <x:c r="Q159" t="e">
        <x:f>IF($A159="","",[1]!thsiFinD("ths_adjustment_nv_fund",Q$3,$A159))</x:f>
        <x:v>#NAME?</x:v>
      </x:c>
      <x:c r="R159" t="e">
        <x:f>IF($A159="","",[1]!thsiFinD("ths_adjustment_nv_fund",R$3,$A159))</x:f>
        <x:v>#NAME?</x:v>
      </x:c>
      <x:c r="S159" t="e">
        <x:f>IF($A159="","",[1]!thsiFinD("ths_adjustment_nv_fund",S$3,$A159))</x:f>
        <x:v>#NAME?</x:v>
      </x:c>
      <x:c r="T159" t="e">
        <x:f>IF($A159="","",[1]!thsiFinD("ths_adjustment_nv_fund",T$3,$A159))</x:f>
        <x:v>#NAME?</x:v>
      </x:c>
      <x:c r="U159" t="e">
        <x:f>IF($A159="","",[1]!thsiFinD("ths_adjustment_nv_fund",U$3,$A159))</x:f>
        <x:v>#NAME?</x:v>
      </x:c>
      <x:c r="V159" t="e">
        <x:f>IF($A159="","",[1]!thsiFinD("ths_adjustment_nv_fund",V$3,$A159))</x:f>
        <x:v>#NAME?</x:v>
      </x:c>
      <x:c r="W159" t="e">
        <x:f>IF($A159="","",[1]!thsiFinD("ths_adjustment_nv_fund",W$3,$A159))</x:f>
        <x:v>#NAME?</x:v>
      </x:c>
      <x:c r="X159" t="e">
        <x:f>IF($A159="","",[1]!thsiFinD("ths_adjustment_nv_fund",X$3,$A159))</x:f>
        <x:v>#NAME?</x:v>
      </x:c>
      <x:c r="Y159" t="e">
        <x:f>IF($A159="","",[1]!thsiFinD("ths_adjustment_nv_fund",Y$3,$A159))</x:f>
        <x:v>#NAME?</x:v>
      </x:c>
    </x:row>
    <x:row r="160">
      <x:c r="B160" t="e">
        <x:f>IF($A160="","",[1]!thsiFinD("ths_adjustment_nv_fund",B$3,$A160))</x:f>
        <x:v>#NAME?</x:v>
      </x:c>
      <x:c r="C160" t="e">
        <x:f>IF($A160="","",[1]!thsiFinD("ths_adjustment_nv_fund",C$3,$A160))</x:f>
        <x:v>#NAME?</x:v>
      </x:c>
      <x:c r="D160" t="e">
        <x:f>IF($A160="","",[1]!thsiFinD("ths_adjustment_nv_fund",D$3,$A160))</x:f>
        <x:v>#NAME?</x:v>
      </x:c>
      <x:c r="E160" t="e">
        <x:f>IF($A160="","",[1]!thsiFinD("ths_adjustment_nv_fund",E$3,$A160))</x:f>
        <x:v>#NAME?</x:v>
      </x:c>
      <x:c r="F160" t="e">
        <x:f>IF($A160="","",[1]!thsiFinD("ths_adjustment_nv_fund",F$3,$A160))</x:f>
        <x:v>#NAME?</x:v>
      </x:c>
      <x:c r="G160" t="e">
        <x:f>IF($A160="","",[1]!thsiFinD("ths_adjustment_nv_fund",G$3,$A160))</x:f>
        <x:v>#NAME?</x:v>
      </x:c>
      <x:c r="H160" t="e">
        <x:f>IF($A160="","",[1]!thsiFinD("ths_adjustment_nv_fund",H$3,$A160))</x:f>
        <x:v>#NAME?</x:v>
      </x:c>
      <x:c r="I160" t="e">
        <x:f>IF($A160="","",[1]!thsiFinD("ths_adjustment_nv_fund",I$3,$A160))</x:f>
        <x:v>#NAME?</x:v>
      </x:c>
      <x:c r="J160" t="e">
        <x:f>IF($A160="","",[1]!thsiFinD("ths_adjustment_nv_fund",J$3,$A160))</x:f>
        <x:v>#NAME?</x:v>
      </x:c>
      <x:c r="K160" t="e">
        <x:f>IF($A160="","",[1]!thsiFinD("ths_adjustment_nv_fund",K$3,$A160))</x:f>
        <x:v>#NAME?</x:v>
      </x:c>
      <x:c r="L160" t="e">
        <x:f>IF($A160="","",[1]!thsiFinD("ths_adjustment_nv_fund",L$3,$A160))</x:f>
        <x:v>#NAME?</x:v>
      </x:c>
      <x:c r="M160" t="e">
        <x:f>IF($A160="","",[1]!thsiFinD("ths_adjustment_nv_fund",M$3,$A160))</x:f>
        <x:v>#NAME?</x:v>
      </x:c>
      <x:c r="N160" t="e">
        <x:f>IF($A160="","",[1]!thsiFinD("ths_adjustment_nv_fund",N$3,$A160))</x:f>
        <x:v>#NAME?</x:v>
      </x:c>
      <x:c r="O160" t="e">
        <x:f>IF($A160="","",[1]!thsiFinD("ths_adjustment_nv_fund",O$3,$A160))</x:f>
        <x:v>#NAME?</x:v>
      </x:c>
      <x:c r="P160" t="e">
        <x:f>IF($A160="","",[1]!thsiFinD("ths_adjustment_nv_fund",P$3,$A160))</x:f>
        <x:v>#NAME?</x:v>
      </x:c>
      <x:c r="Q160" t="e">
        <x:f>IF($A160="","",[1]!thsiFinD("ths_adjustment_nv_fund",Q$3,$A160))</x:f>
        <x:v>#NAME?</x:v>
      </x:c>
      <x:c r="R160" t="e">
        <x:f>IF($A160="","",[1]!thsiFinD("ths_adjustment_nv_fund",R$3,$A160))</x:f>
        <x:v>#NAME?</x:v>
      </x:c>
      <x:c r="S160" t="e">
        <x:f>IF($A160="","",[1]!thsiFinD("ths_adjustment_nv_fund",S$3,$A160))</x:f>
        <x:v>#NAME?</x:v>
      </x:c>
      <x:c r="T160" t="e">
        <x:f>IF($A160="","",[1]!thsiFinD("ths_adjustment_nv_fund",T$3,$A160))</x:f>
        <x:v>#NAME?</x:v>
      </x:c>
      <x:c r="U160" t="e">
        <x:f>IF($A160="","",[1]!thsiFinD("ths_adjustment_nv_fund",U$3,$A160))</x:f>
        <x:v>#NAME?</x:v>
      </x:c>
      <x:c r="V160" t="e">
        <x:f>IF($A160="","",[1]!thsiFinD("ths_adjustment_nv_fund",V$3,$A160))</x:f>
        <x:v>#NAME?</x:v>
      </x:c>
      <x:c r="W160" t="e">
        <x:f>IF($A160="","",[1]!thsiFinD("ths_adjustment_nv_fund",W$3,$A160))</x:f>
        <x:v>#NAME?</x:v>
      </x:c>
      <x:c r="X160" t="e">
        <x:f>IF($A160="","",[1]!thsiFinD("ths_adjustment_nv_fund",X$3,$A160))</x:f>
        <x:v>#NAME?</x:v>
      </x:c>
      <x:c r="Y160" t="e">
        <x:f>IF($A160="","",[1]!thsiFinD("ths_adjustment_nv_fund",Y$3,$A160))</x:f>
        <x:v>#NAME?</x:v>
      </x:c>
    </x:row>
    <x:row r="161">
      <x:c r="B161" t="e">
        <x:f>IF($A161="","",[1]!thsiFinD("ths_adjustment_nv_fund",B$3,$A161))</x:f>
        <x:v>#NAME?</x:v>
      </x:c>
      <x:c r="C161" t="e">
        <x:f>IF($A161="","",[1]!thsiFinD("ths_adjustment_nv_fund",C$3,$A161))</x:f>
        <x:v>#NAME?</x:v>
      </x:c>
      <x:c r="D161" t="e">
        <x:f>IF($A161="","",[1]!thsiFinD("ths_adjustment_nv_fund",D$3,$A161))</x:f>
        <x:v>#NAME?</x:v>
      </x:c>
      <x:c r="E161" t="e">
        <x:f>IF($A161="","",[1]!thsiFinD("ths_adjustment_nv_fund",E$3,$A161))</x:f>
        <x:v>#NAME?</x:v>
      </x:c>
      <x:c r="F161" t="e">
        <x:f>IF($A161="","",[1]!thsiFinD("ths_adjustment_nv_fund",F$3,$A161))</x:f>
        <x:v>#NAME?</x:v>
      </x:c>
      <x:c r="G161" t="e">
        <x:f>IF($A161="","",[1]!thsiFinD("ths_adjustment_nv_fund",G$3,$A161))</x:f>
        <x:v>#NAME?</x:v>
      </x:c>
      <x:c r="H161" t="e">
        <x:f>IF($A161="","",[1]!thsiFinD("ths_adjustment_nv_fund",H$3,$A161))</x:f>
        <x:v>#NAME?</x:v>
      </x:c>
      <x:c r="I161" t="e">
        <x:f>IF($A161="","",[1]!thsiFinD("ths_adjustment_nv_fund",I$3,$A161))</x:f>
        <x:v>#NAME?</x:v>
      </x:c>
      <x:c r="J161" t="e">
        <x:f>IF($A161="","",[1]!thsiFinD("ths_adjustment_nv_fund",J$3,$A161))</x:f>
        <x:v>#NAME?</x:v>
      </x:c>
      <x:c r="K161" t="e">
        <x:f>IF($A161="","",[1]!thsiFinD("ths_adjustment_nv_fund",K$3,$A161))</x:f>
        <x:v>#NAME?</x:v>
      </x:c>
      <x:c r="L161" t="e">
        <x:f>IF($A161="","",[1]!thsiFinD("ths_adjustment_nv_fund",L$3,$A161))</x:f>
        <x:v>#NAME?</x:v>
      </x:c>
      <x:c r="M161" t="e">
        <x:f>IF($A161="","",[1]!thsiFinD("ths_adjustment_nv_fund",M$3,$A161))</x:f>
        <x:v>#NAME?</x:v>
      </x:c>
      <x:c r="N161" t="e">
        <x:f>IF($A161="","",[1]!thsiFinD("ths_adjustment_nv_fund",N$3,$A161))</x:f>
        <x:v>#NAME?</x:v>
      </x:c>
      <x:c r="O161" t="e">
        <x:f>IF($A161="","",[1]!thsiFinD("ths_adjustment_nv_fund",O$3,$A161))</x:f>
        <x:v>#NAME?</x:v>
      </x:c>
      <x:c r="P161" t="e">
        <x:f>IF($A161="","",[1]!thsiFinD("ths_adjustment_nv_fund",P$3,$A161))</x:f>
        <x:v>#NAME?</x:v>
      </x:c>
      <x:c r="Q161" t="e">
        <x:f>IF($A161="","",[1]!thsiFinD("ths_adjustment_nv_fund",Q$3,$A161))</x:f>
        <x:v>#NAME?</x:v>
      </x:c>
      <x:c r="R161" t="e">
        <x:f>IF($A161="","",[1]!thsiFinD("ths_adjustment_nv_fund",R$3,$A161))</x:f>
        <x:v>#NAME?</x:v>
      </x:c>
      <x:c r="S161" t="e">
        <x:f>IF($A161="","",[1]!thsiFinD("ths_adjustment_nv_fund",S$3,$A161))</x:f>
        <x:v>#NAME?</x:v>
      </x:c>
      <x:c r="T161" t="e">
        <x:f>IF($A161="","",[1]!thsiFinD("ths_adjustment_nv_fund",T$3,$A161))</x:f>
        <x:v>#NAME?</x:v>
      </x:c>
      <x:c r="U161" t="e">
        <x:f>IF($A161="","",[1]!thsiFinD("ths_adjustment_nv_fund",U$3,$A161))</x:f>
        <x:v>#NAME?</x:v>
      </x:c>
      <x:c r="V161" t="e">
        <x:f>IF($A161="","",[1]!thsiFinD("ths_adjustment_nv_fund",V$3,$A161))</x:f>
        <x:v>#NAME?</x:v>
      </x:c>
      <x:c r="W161" t="e">
        <x:f>IF($A161="","",[1]!thsiFinD("ths_adjustment_nv_fund",W$3,$A161))</x:f>
        <x:v>#NAME?</x:v>
      </x:c>
      <x:c r="X161" t="e">
        <x:f>IF($A161="","",[1]!thsiFinD("ths_adjustment_nv_fund",X$3,$A161))</x:f>
        <x:v>#NAME?</x:v>
      </x:c>
      <x:c r="Y161" t="e">
        <x:f>IF($A161="","",[1]!thsiFinD("ths_adjustment_nv_fund",Y$3,$A161))</x:f>
        <x:v>#NAME?</x:v>
      </x:c>
    </x:row>
    <x:row r="162">
      <x:c r="B162" t="e">
        <x:f>IF($A162="","",[1]!thsiFinD("ths_adjustment_nv_fund",B$3,$A162))</x:f>
        <x:v>#NAME?</x:v>
      </x:c>
      <x:c r="C162" t="e">
        <x:f>IF($A162="","",[1]!thsiFinD("ths_adjustment_nv_fund",C$3,$A162))</x:f>
        <x:v>#NAME?</x:v>
      </x:c>
      <x:c r="D162" t="e">
        <x:f>IF($A162="","",[1]!thsiFinD("ths_adjustment_nv_fund",D$3,$A162))</x:f>
        <x:v>#NAME?</x:v>
      </x:c>
      <x:c r="E162" t="e">
        <x:f>IF($A162="","",[1]!thsiFinD("ths_adjustment_nv_fund",E$3,$A162))</x:f>
        <x:v>#NAME?</x:v>
      </x:c>
      <x:c r="F162" t="e">
        <x:f>IF($A162="","",[1]!thsiFinD("ths_adjustment_nv_fund",F$3,$A162))</x:f>
        <x:v>#NAME?</x:v>
      </x:c>
      <x:c r="G162" t="e">
        <x:f>IF($A162="","",[1]!thsiFinD("ths_adjustment_nv_fund",G$3,$A162))</x:f>
        <x:v>#NAME?</x:v>
      </x:c>
      <x:c r="H162" t="e">
        <x:f>IF($A162="","",[1]!thsiFinD("ths_adjustment_nv_fund",H$3,$A162))</x:f>
        <x:v>#NAME?</x:v>
      </x:c>
      <x:c r="I162" t="e">
        <x:f>IF($A162="","",[1]!thsiFinD("ths_adjustment_nv_fund",I$3,$A162))</x:f>
        <x:v>#NAME?</x:v>
      </x:c>
      <x:c r="J162" t="e">
        <x:f>IF($A162="","",[1]!thsiFinD("ths_adjustment_nv_fund",J$3,$A162))</x:f>
        <x:v>#NAME?</x:v>
      </x:c>
      <x:c r="K162" t="e">
        <x:f>IF($A162="","",[1]!thsiFinD("ths_adjustment_nv_fund",K$3,$A162))</x:f>
        <x:v>#NAME?</x:v>
      </x:c>
      <x:c r="L162" t="e">
        <x:f>IF($A162="","",[1]!thsiFinD("ths_adjustment_nv_fund",L$3,$A162))</x:f>
        <x:v>#NAME?</x:v>
      </x:c>
      <x:c r="M162" t="e">
        <x:f>IF($A162="","",[1]!thsiFinD("ths_adjustment_nv_fund",M$3,$A162))</x:f>
        <x:v>#NAME?</x:v>
      </x:c>
      <x:c r="N162" t="e">
        <x:f>IF($A162="","",[1]!thsiFinD("ths_adjustment_nv_fund",N$3,$A162))</x:f>
        <x:v>#NAME?</x:v>
      </x:c>
      <x:c r="O162" t="e">
        <x:f>IF($A162="","",[1]!thsiFinD("ths_adjustment_nv_fund",O$3,$A162))</x:f>
        <x:v>#NAME?</x:v>
      </x:c>
      <x:c r="P162" t="e">
        <x:f>IF($A162="","",[1]!thsiFinD("ths_adjustment_nv_fund",P$3,$A162))</x:f>
        <x:v>#NAME?</x:v>
      </x:c>
      <x:c r="Q162" t="e">
        <x:f>IF($A162="","",[1]!thsiFinD("ths_adjustment_nv_fund",Q$3,$A162))</x:f>
        <x:v>#NAME?</x:v>
      </x:c>
      <x:c r="R162" t="e">
        <x:f>IF($A162="","",[1]!thsiFinD("ths_adjustment_nv_fund",R$3,$A162))</x:f>
        <x:v>#NAME?</x:v>
      </x:c>
      <x:c r="S162" t="e">
        <x:f>IF($A162="","",[1]!thsiFinD("ths_adjustment_nv_fund",S$3,$A162))</x:f>
        <x:v>#NAME?</x:v>
      </x:c>
      <x:c r="T162" t="e">
        <x:f>IF($A162="","",[1]!thsiFinD("ths_adjustment_nv_fund",T$3,$A162))</x:f>
        <x:v>#NAME?</x:v>
      </x:c>
      <x:c r="U162" t="e">
        <x:f>IF($A162="","",[1]!thsiFinD("ths_adjustment_nv_fund",U$3,$A162))</x:f>
        <x:v>#NAME?</x:v>
      </x:c>
      <x:c r="V162" t="e">
        <x:f>IF($A162="","",[1]!thsiFinD("ths_adjustment_nv_fund",V$3,$A162))</x:f>
        <x:v>#NAME?</x:v>
      </x:c>
      <x:c r="W162" t="e">
        <x:f>IF($A162="","",[1]!thsiFinD("ths_adjustment_nv_fund",W$3,$A162))</x:f>
        <x:v>#NAME?</x:v>
      </x:c>
      <x:c r="X162" t="e">
        <x:f>IF($A162="","",[1]!thsiFinD("ths_adjustment_nv_fund",X$3,$A162))</x:f>
        <x:v>#NAME?</x:v>
      </x:c>
      <x:c r="Y162" t="e">
        <x:f>IF($A162="","",[1]!thsiFinD("ths_adjustment_nv_fund",Y$3,$A162))</x:f>
        <x:v>#NAME?</x:v>
      </x:c>
    </x:row>
    <x:row r="163">
      <x:c r="B163" t="e">
        <x:f>IF($A163="","",[1]!thsiFinD("ths_adjustment_nv_fund",B$3,$A163))</x:f>
        <x:v>#NAME?</x:v>
      </x:c>
      <x:c r="C163" t="e">
        <x:f>IF($A163="","",[1]!thsiFinD("ths_adjustment_nv_fund",C$3,$A163))</x:f>
        <x:v>#NAME?</x:v>
      </x:c>
      <x:c r="D163" t="e">
        <x:f>IF($A163="","",[1]!thsiFinD("ths_adjustment_nv_fund",D$3,$A163))</x:f>
        <x:v>#NAME?</x:v>
      </x:c>
      <x:c r="E163" t="e">
        <x:f>IF($A163="","",[1]!thsiFinD("ths_adjustment_nv_fund",E$3,$A163))</x:f>
        <x:v>#NAME?</x:v>
      </x:c>
      <x:c r="F163" t="e">
        <x:f>IF($A163="","",[1]!thsiFinD("ths_adjustment_nv_fund",F$3,$A163))</x:f>
        <x:v>#NAME?</x:v>
      </x:c>
      <x:c r="G163" t="e">
        <x:f>IF($A163="","",[1]!thsiFinD("ths_adjustment_nv_fund",G$3,$A163))</x:f>
        <x:v>#NAME?</x:v>
      </x:c>
      <x:c r="H163" t="e">
        <x:f>IF($A163="","",[1]!thsiFinD("ths_adjustment_nv_fund",H$3,$A163))</x:f>
        <x:v>#NAME?</x:v>
      </x:c>
      <x:c r="I163" t="e">
        <x:f>IF($A163="","",[1]!thsiFinD("ths_adjustment_nv_fund",I$3,$A163))</x:f>
        <x:v>#NAME?</x:v>
      </x:c>
      <x:c r="J163" t="e">
        <x:f>IF($A163="","",[1]!thsiFinD("ths_adjustment_nv_fund",J$3,$A163))</x:f>
        <x:v>#NAME?</x:v>
      </x:c>
      <x:c r="K163" t="e">
        <x:f>IF($A163="","",[1]!thsiFinD("ths_adjustment_nv_fund",K$3,$A163))</x:f>
        <x:v>#NAME?</x:v>
      </x:c>
      <x:c r="L163" t="e">
        <x:f>IF($A163="","",[1]!thsiFinD("ths_adjustment_nv_fund",L$3,$A163))</x:f>
        <x:v>#NAME?</x:v>
      </x:c>
      <x:c r="M163" t="e">
        <x:f>IF($A163="","",[1]!thsiFinD("ths_adjustment_nv_fund",M$3,$A163))</x:f>
        <x:v>#NAME?</x:v>
      </x:c>
      <x:c r="N163" t="e">
        <x:f>IF($A163="","",[1]!thsiFinD("ths_adjustment_nv_fund",N$3,$A163))</x:f>
        <x:v>#NAME?</x:v>
      </x:c>
      <x:c r="O163" t="e">
        <x:f>IF($A163="","",[1]!thsiFinD("ths_adjustment_nv_fund",O$3,$A163))</x:f>
        <x:v>#NAME?</x:v>
      </x:c>
      <x:c r="P163" t="e">
        <x:f>IF($A163="","",[1]!thsiFinD("ths_adjustment_nv_fund",P$3,$A163))</x:f>
        <x:v>#NAME?</x:v>
      </x:c>
      <x:c r="Q163" t="e">
        <x:f>IF($A163="","",[1]!thsiFinD("ths_adjustment_nv_fund",Q$3,$A163))</x:f>
        <x:v>#NAME?</x:v>
      </x:c>
      <x:c r="R163" t="e">
        <x:f>IF($A163="","",[1]!thsiFinD("ths_adjustment_nv_fund",R$3,$A163))</x:f>
        <x:v>#NAME?</x:v>
      </x:c>
      <x:c r="S163" t="e">
        <x:f>IF($A163="","",[1]!thsiFinD("ths_adjustment_nv_fund",S$3,$A163))</x:f>
        <x:v>#NAME?</x:v>
      </x:c>
      <x:c r="T163" t="e">
        <x:f>IF($A163="","",[1]!thsiFinD("ths_adjustment_nv_fund",T$3,$A163))</x:f>
        <x:v>#NAME?</x:v>
      </x:c>
      <x:c r="U163" t="e">
        <x:f>IF($A163="","",[1]!thsiFinD("ths_adjustment_nv_fund",U$3,$A163))</x:f>
        <x:v>#NAME?</x:v>
      </x:c>
      <x:c r="V163" t="e">
        <x:f>IF($A163="","",[1]!thsiFinD("ths_adjustment_nv_fund",V$3,$A163))</x:f>
        <x:v>#NAME?</x:v>
      </x:c>
      <x:c r="W163" t="e">
        <x:f>IF($A163="","",[1]!thsiFinD("ths_adjustment_nv_fund",W$3,$A163))</x:f>
        <x:v>#NAME?</x:v>
      </x:c>
      <x:c r="X163" t="e">
        <x:f>IF($A163="","",[1]!thsiFinD("ths_adjustment_nv_fund",X$3,$A163))</x:f>
        <x:v>#NAME?</x:v>
      </x:c>
      <x:c r="Y163" t="e">
        <x:f>IF($A163="","",[1]!thsiFinD("ths_adjustment_nv_fund",Y$3,$A163))</x:f>
        <x:v>#NAME?</x:v>
      </x:c>
    </x:row>
    <x:row r="164">
      <x:c r="B164" t="e">
        <x:f>IF($A164="","",[1]!thsiFinD("ths_adjustment_nv_fund",B$3,$A164))</x:f>
        <x:v>#NAME?</x:v>
      </x:c>
      <x:c r="C164" t="e">
        <x:f>IF($A164="","",[1]!thsiFinD("ths_adjustment_nv_fund",C$3,$A164))</x:f>
        <x:v>#NAME?</x:v>
      </x:c>
      <x:c r="D164" t="e">
        <x:f>IF($A164="","",[1]!thsiFinD("ths_adjustment_nv_fund",D$3,$A164))</x:f>
        <x:v>#NAME?</x:v>
      </x:c>
      <x:c r="E164" t="e">
        <x:f>IF($A164="","",[1]!thsiFinD("ths_adjustment_nv_fund",E$3,$A164))</x:f>
        <x:v>#NAME?</x:v>
      </x:c>
      <x:c r="F164" t="e">
        <x:f>IF($A164="","",[1]!thsiFinD("ths_adjustment_nv_fund",F$3,$A164))</x:f>
        <x:v>#NAME?</x:v>
      </x:c>
      <x:c r="G164" t="e">
        <x:f>IF($A164="","",[1]!thsiFinD("ths_adjustment_nv_fund",G$3,$A164))</x:f>
        <x:v>#NAME?</x:v>
      </x:c>
      <x:c r="H164" t="e">
        <x:f>IF($A164="","",[1]!thsiFinD("ths_adjustment_nv_fund",H$3,$A164))</x:f>
        <x:v>#NAME?</x:v>
      </x:c>
      <x:c r="I164" t="e">
        <x:f>IF($A164="","",[1]!thsiFinD("ths_adjustment_nv_fund",I$3,$A164))</x:f>
        <x:v>#NAME?</x:v>
      </x:c>
      <x:c r="J164" t="e">
        <x:f>IF($A164="","",[1]!thsiFinD("ths_adjustment_nv_fund",J$3,$A164))</x:f>
        <x:v>#NAME?</x:v>
      </x:c>
      <x:c r="K164" t="e">
        <x:f>IF($A164="","",[1]!thsiFinD("ths_adjustment_nv_fund",K$3,$A164))</x:f>
        <x:v>#NAME?</x:v>
      </x:c>
      <x:c r="L164" t="e">
        <x:f>IF($A164="","",[1]!thsiFinD("ths_adjustment_nv_fund",L$3,$A164))</x:f>
        <x:v>#NAME?</x:v>
      </x:c>
      <x:c r="M164" t="e">
        <x:f>IF($A164="","",[1]!thsiFinD("ths_adjustment_nv_fund",M$3,$A164))</x:f>
        <x:v>#NAME?</x:v>
      </x:c>
      <x:c r="N164" t="e">
        <x:f>IF($A164="","",[1]!thsiFinD("ths_adjustment_nv_fund",N$3,$A164))</x:f>
        <x:v>#NAME?</x:v>
      </x:c>
      <x:c r="O164" t="e">
        <x:f>IF($A164="","",[1]!thsiFinD("ths_adjustment_nv_fund",O$3,$A164))</x:f>
        <x:v>#NAME?</x:v>
      </x:c>
      <x:c r="P164" t="e">
        <x:f>IF($A164="","",[1]!thsiFinD("ths_adjustment_nv_fund",P$3,$A164))</x:f>
        <x:v>#NAME?</x:v>
      </x:c>
      <x:c r="Q164" t="e">
        <x:f>IF($A164="","",[1]!thsiFinD("ths_adjustment_nv_fund",Q$3,$A164))</x:f>
        <x:v>#NAME?</x:v>
      </x:c>
      <x:c r="R164" t="e">
        <x:f>IF($A164="","",[1]!thsiFinD("ths_adjustment_nv_fund",R$3,$A164))</x:f>
        <x:v>#NAME?</x:v>
      </x:c>
      <x:c r="S164" t="e">
        <x:f>IF($A164="","",[1]!thsiFinD("ths_adjustment_nv_fund",S$3,$A164))</x:f>
        <x:v>#NAME?</x:v>
      </x:c>
      <x:c r="T164" t="e">
        <x:f>IF($A164="","",[1]!thsiFinD("ths_adjustment_nv_fund",T$3,$A164))</x:f>
        <x:v>#NAME?</x:v>
      </x:c>
      <x:c r="U164" t="e">
        <x:f>IF($A164="","",[1]!thsiFinD("ths_adjustment_nv_fund",U$3,$A164))</x:f>
        <x:v>#NAME?</x:v>
      </x:c>
      <x:c r="V164" t="e">
        <x:f>IF($A164="","",[1]!thsiFinD("ths_adjustment_nv_fund",V$3,$A164))</x:f>
        <x:v>#NAME?</x:v>
      </x:c>
      <x:c r="W164" t="e">
        <x:f>IF($A164="","",[1]!thsiFinD("ths_adjustment_nv_fund",W$3,$A164))</x:f>
        <x:v>#NAME?</x:v>
      </x:c>
      <x:c r="X164" t="e">
        <x:f>IF($A164="","",[1]!thsiFinD("ths_adjustment_nv_fund",X$3,$A164))</x:f>
        <x:v>#NAME?</x:v>
      </x:c>
      <x:c r="Y164" t="e">
        <x:f>IF($A164="","",[1]!thsiFinD("ths_adjustment_nv_fund",Y$3,$A164))</x:f>
        <x:v>#NAME?</x:v>
      </x:c>
    </x:row>
    <x:row r="165">
      <x:c r="B165" t="e">
        <x:f>IF($A165="","",[1]!thsiFinD("ths_adjustment_nv_fund",B$3,$A165))</x:f>
        <x:v>#NAME?</x:v>
      </x:c>
      <x:c r="C165" t="e">
        <x:f>IF($A165="","",[1]!thsiFinD("ths_adjustment_nv_fund",C$3,$A165))</x:f>
        <x:v>#NAME?</x:v>
      </x:c>
      <x:c r="D165" t="e">
        <x:f>IF($A165="","",[1]!thsiFinD("ths_adjustment_nv_fund",D$3,$A165))</x:f>
        <x:v>#NAME?</x:v>
      </x:c>
      <x:c r="E165" t="e">
        <x:f>IF($A165="","",[1]!thsiFinD("ths_adjustment_nv_fund",E$3,$A165))</x:f>
        <x:v>#NAME?</x:v>
      </x:c>
      <x:c r="F165" t="e">
        <x:f>IF($A165="","",[1]!thsiFinD("ths_adjustment_nv_fund",F$3,$A165))</x:f>
        <x:v>#NAME?</x:v>
      </x:c>
      <x:c r="G165" t="e">
        <x:f>IF($A165="","",[1]!thsiFinD("ths_adjustment_nv_fund",G$3,$A165))</x:f>
        <x:v>#NAME?</x:v>
      </x:c>
      <x:c r="H165" t="e">
        <x:f>IF($A165="","",[1]!thsiFinD("ths_adjustment_nv_fund",H$3,$A165))</x:f>
        <x:v>#NAME?</x:v>
      </x:c>
      <x:c r="I165" t="e">
        <x:f>IF($A165="","",[1]!thsiFinD("ths_adjustment_nv_fund",I$3,$A165))</x:f>
        <x:v>#NAME?</x:v>
      </x:c>
      <x:c r="J165" t="e">
        <x:f>IF($A165="","",[1]!thsiFinD("ths_adjustment_nv_fund",J$3,$A165))</x:f>
        <x:v>#NAME?</x:v>
      </x:c>
      <x:c r="K165" t="e">
        <x:f>IF($A165="","",[1]!thsiFinD("ths_adjustment_nv_fund",K$3,$A165))</x:f>
        <x:v>#NAME?</x:v>
      </x:c>
      <x:c r="L165" t="e">
        <x:f>IF($A165="","",[1]!thsiFinD("ths_adjustment_nv_fund",L$3,$A165))</x:f>
        <x:v>#NAME?</x:v>
      </x:c>
      <x:c r="M165" t="e">
        <x:f>IF($A165="","",[1]!thsiFinD("ths_adjustment_nv_fund",M$3,$A165))</x:f>
        <x:v>#NAME?</x:v>
      </x:c>
      <x:c r="N165" t="e">
        <x:f>IF($A165="","",[1]!thsiFinD("ths_adjustment_nv_fund",N$3,$A165))</x:f>
        <x:v>#NAME?</x:v>
      </x:c>
      <x:c r="O165" t="e">
        <x:f>IF($A165="","",[1]!thsiFinD("ths_adjustment_nv_fund",O$3,$A165))</x:f>
        <x:v>#NAME?</x:v>
      </x:c>
      <x:c r="P165" t="e">
        <x:f>IF($A165="","",[1]!thsiFinD("ths_adjustment_nv_fund",P$3,$A165))</x:f>
        <x:v>#NAME?</x:v>
      </x:c>
      <x:c r="Q165" t="e">
        <x:f>IF($A165="","",[1]!thsiFinD("ths_adjustment_nv_fund",Q$3,$A165))</x:f>
        <x:v>#NAME?</x:v>
      </x:c>
      <x:c r="R165" t="e">
        <x:f>IF($A165="","",[1]!thsiFinD("ths_adjustment_nv_fund",R$3,$A165))</x:f>
        <x:v>#NAME?</x:v>
      </x:c>
      <x:c r="S165" t="e">
        <x:f>IF($A165="","",[1]!thsiFinD("ths_adjustment_nv_fund",S$3,$A165))</x:f>
        <x:v>#NAME?</x:v>
      </x:c>
      <x:c r="T165" t="e">
        <x:f>IF($A165="","",[1]!thsiFinD("ths_adjustment_nv_fund",T$3,$A165))</x:f>
        <x:v>#NAME?</x:v>
      </x:c>
      <x:c r="U165" t="e">
        <x:f>IF($A165="","",[1]!thsiFinD("ths_adjustment_nv_fund",U$3,$A165))</x:f>
        <x:v>#NAME?</x:v>
      </x:c>
      <x:c r="V165" t="e">
        <x:f>IF($A165="","",[1]!thsiFinD("ths_adjustment_nv_fund",V$3,$A165))</x:f>
        <x:v>#NAME?</x:v>
      </x:c>
      <x:c r="W165" t="e">
        <x:f>IF($A165="","",[1]!thsiFinD("ths_adjustment_nv_fund",W$3,$A165))</x:f>
        <x:v>#NAME?</x:v>
      </x:c>
      <x:c r="X165" t="e">
        <x:f>IF($A165="","",[1]!thsiFinD("ths_adjustment_nv_fund",X$3,$A165))</x:f>
        <x:v>#NAME?</x:v>
      </x:c>
      <x:c r="Y165" t="e">
        <x:f>IF($A165="","",[1]!thsiFinD("ths_adjustment_nv_fund",Y$3,$A165))</x:f>
        <x:v>#NAME?</x:v>
      </x:c>
    </x:row>
    <x:row r="166">
      <x:c r="B166" t="e">
        <x:f>IF($A166="","",[1]!thsiFinD("ths_adjustment_nv_fund",B$3,$A166))</x:f>
        <x:v>#NAME?</x:v>
      </x:c>
      <x:c r="C166" t="e">
        <x:f>IF($A166="","",[1]!thsiFinD("ths_adjustment_nv_fund",C$3,$A166))</x:f>
        <x:v>#NAME?</x:v>
      </x:c>
      <x:c r="D166" t="e">
        <x:f>IF($A166="","",[1]!thsiFinD("ths_adjustment_nv_fund",D$3,$A166))</x:f>
        <x:v>#NAME?</x:v>
      </x:c>
      <x:c r="E166" t="e">
        <x:f>IF($A166="","",[1]!thsiFinD("ths_adjustment_nv_fund",E$3,$A166))</x:f>
        <x:v>#NAME?</x:v>
      </x:c>
      <x:c r="F166" t="e">
        <x:f>IF($A166="","",[1]!thsiFinD("ths_adjustment_nv_fund",F$3,$A166))</x:f>
        <x:v>#NAME?</x:v>
      </x:c>
      <x:c r="G166" t="e">
        <x:f>IF($A166="","",[1]!thsiFinD("ths_adjustment_nv_fund",G$3,$A166))</x:f>
        <x:v>#NAME?</x:v>
      </x:c>
      <x:c r="H166" t="e">
        <x:f>IF($A166="","",[1]!thsiFinD("ths_adjustment_nv_fund",H$3,$A166))</x:f>
        <x:v>#NAME?</x:v>
      </x:c>
      <x:c r="I166" t="e">
        <x:f>IF($A166="","",[1]!thsiFinD("ths_adjustment_nv_fund",I$3,$A166))</x:f>
        <x:v>#NAME?</x:v>
      </x:c>
      <x:c r="J166" t="e">
        <x:f>IF($A166="","",[1]!thsiFinD("ths_adjustment_nv_fund",J$3,$A166))</x:f>
        <x:v>#NAME?</x:v>
      </x:c>
      <x:c r="K166" t="e">
        <x:f>IF($A166="","",[1]!thsiFinD("ths_adjustment_nv_fund",K$3,$A166))</x:f>
        <x:v>#NAME?</x:v>
      </x:c>
      <x:c r="L166" t="e">
        <x:f>IF($A166="","",[1]!thsiFinD("ths_adjustment_nv_fund",L$3,$A166))</x:f>
        <x:v>#NAME?</x:v>
      </x:c>
      <x:c r="M166" t="e">
        <x:f>IF($A166="","",[1]!thsiFinD("ths_adjustment_nv_fund",M$3,$A166))</x:f>
        <x:v>#NAME?</x:v>
      </x:c>
      <x:c r="N166" t="e">
        <x:f>IF($A166="","",[1]!thsiFinD("ths_adjustment_nv_fund",N$3,$A166))</x:f>
        <x:v>#NAME?</x:v>
      </x:c>
      <x:c r="O166" t="e">
        <x:f>IF($A166="","",[1]!thsiFinD("ths_adjustment_nv_fund",O$3,$A166))</x:f>
        <x:v>#NAME?</x:v>
      </x:c>
      <x:c r="P166" t="e">
        <x:f>IF($A166="","",[1]!thsiFinD("ths_adjustment_nv_fund",P$3,$A166))</x:f>
        <x:v>#NAME?</x:v>
      </x:c>
      <x:c r="Q166" t="e">
        <x:f>IF($A166="","",[1]!thsiFinD("ths_adjustment_nv_fund",Q$3,$A166))</x:f>
        <x:v>#NAME?</x:v>
      </x:c>
      <x:c r="R166" t="e">
        <x:f>IF($A166="","",[1]!thsiFinD("ths_adjustment_nv_fund",R$3,$A166))</x:f>
        <x:v>#NAME?</x:v>
      </x:c>
      <x:c r="S166" t="e">
        <x:f>IF($A166="","",[1]!thsiFinD("ths_adjustment_nv_fund",S$3,$A166))</x:f>
        <x:v>#NAME?</x:v>
      </x:c>
      <x:c r="T166" t="e">
        <x:f>IF($A166="","",[1]!thsiFinD("ths_adjustment_nv_fund",T$3,$A166))</x:f>
        <x:v>#NAME?</x:v>
      </x:c>
      <x:c r="U166" t="e">
        <x:f>IF($A166="","",[1]!thsiFinD("ths_adjustment_nv_fund",U$3,$A166))</x:f>
        <x:v>#NAME?</x:v>
      </x:c>
      <x:c r="V166" t="e">
        <x:f>IF($A166="","",[1]!thsiFinD("ths_adjustment_nv_fund",V$3,$A166))</x:f>
        <x:v>#NAME?</x:v>
      </x:c>
      <x:c r="W166" t="e">
        <x:f>IF($A166="","",[1]!thsiFinD("ths_adjustment_nv_fund",W$3,$A166))</x:f>
        <x:v>#NAME?</x:v>
      </x:c>
      <x:c r="X166" t="e">
        <x:f>IF($A166="","",[1]!thsiFinD("ths_adjustment_nv_fund",X$3,$A166))</x:f>
        <x:v>#NAME?</x:v>
      </x:c>
      <x:c r="Y166" t="e">
        <x:f>IF($A166="","",[1]!thsiFinD("ths_adjustment_nv_fund",Y$3,$A166))</x:f>
        <x:v>#NAME?</x:v>
      </x:c>
    </x:row>
    <x:row r="167">
      <x:c r="B167" t="e">
        <x:f>IF($A167="","",[1]!thsiFinD("ths_adjustment_nv_fund",B$3,$A167))</x:f>
        <x:v>#NAME?</x:v>
      </x:c>
      <x:c r="C167" t="e">
        <x:f>IF($A167="","",[1]!thsiFinD("ths_adjustment_nv_fund",C$3,$A167))</x:f>
        <x:v>#NAME?</x:v>
      </x:c>
      <x:c r="D167" t="e">
        <x:f>IF($A167="","",[1]!thsiFinD("ths_adjustment_nv_fund",D$3,$A167))</x:f>
        <x:v>#NAME?</x:v>
      </x:c>
      <x:c r="E167" t="e">
        <x:f>IF($A167="","",[1]!thsiFinD("ths_adjustment_nv_fund",E$3,$A167))</x:f>
        <x:v>#NAME?</x:v>
      </x:c>
      <x:c r="F167" t="e">
        <x:f>IF($A167="","",[1]!thsiFinD("ths_adjustment_nv_fund",F$3,$A167))</x:f>
        <x:v>#NAME?</x:v>
      </x:c>
      <x:c r="G167" t="e">
        <x:f>IF($A167="","",[1]!thsiFinD("ths_adjustment_nv_fund",G$3,$A167))</x:f>
        <x:v>#NAME?</x:v>
      </x:c>
      <x:c r="H167" t="e">
        <x:f>IF($A167="","",[1]!thsiFinD("ths_adjustment_nv_fund",H$3,$A167))</x:f>
        <x:v>#NAME?</x:v>
      </x:c>
      <x:c r="I167" t="e">
        <x:f>IF($A167="","",[1]!thsiFinD("ths_adjustment_nv_fund",I$3,$A167))</x:f>
        <x:v>#NAME?</x:v>
      </x:c>
      <x:c r="J167" t="e">
        <x:f>IF($A167="","",[1]!thsiFinD("ths_adjustment_nv_fund",J$3,$A167))</x:f>
        <x:v>#NAME?</x:v>
      </x:c>
      <x:c r="K167" t="e">
        <x:f>IF($A167="","",[1]!thsiFinD("ths_adjustment_nv_fund",K$3,$A167))</x:f>
        <x:v>#NAME?</x:v>
      </x:c>
      <x:c r="L167" t="e">
        <x:f>IF($A167="","",[1]!thsiFinD("ths_adjustment_nv_fund",L$3,$A167))</x:f>
        <x:v>#NAME?</x:v>
      </x:c>
      <x:c r="M167" t="e">
        <x:f>IF($A167="","",[1]!thsiFinD("ths_adjustment_nv_fund",M$3,$A167))</x:f>
        <x:v>#NAME?</x:v>
      </x:c>
      <x:c r="N167" t="e">
        <x:f>IF($A167="","",[1]!thsiFinD("ths_adjustment_nv_fund",N$3,$A167))</x:f>
        <x:v>#NAME?</x:v>
      </x:c>
      <x:c r="O167" t="e">
        <x:f>IF($A167="","",[1]!thsiFinD("ths_adjustment_nv_fund",O$3,$A167))</x:f>
        <x:v>#NAME?</x:v>
      </x:c>
      <x:c r="P167" t="e">
        <x:f>IF($A167="","",[1]!thsiFinD("ths_adjustment_nv_fund",P$3,$A167))</x:f>
        <x:v>#NAME?</x:v>
      </x:c>
      <x:c r="Q167" t="e">
        <x:f>IF($A167="","",[1]!thsiFinD("ths_adjustment_nv_fund",Q$3,$A167))</x:f>
        <x:v>#NAME?</x:v>
      </x:c>
      <x:c r="R167" t="e">
        <x:f>IF($A167="","",[1]!thsiFinD("ths_adjustment_nv_fund",R$3,$A167))</x:f>
        <x:v>#NAME?</x:v>
      </x:c>
      <x:c r="S167" t="e">
        <x:f>IF($A167="","",[1]!thsiFinD("ths_adjustment_nv_fund",S$3,$A167))</x:f>
        <x:v>#NAME?</x:v>
      </x:c>
      <x:c r="T167" t="e">
        <x:f>IF($A167="","",[1]!thsiFinD("ths_adjustment_nv_fund",T$3,$A167))</x:f>
        <x:v>#NAME?</x:v>
      </x:c>
      <x:c r="U167" t="e">
        <x:f>IF($A167="","",[1]!thsiFinD("ths_adjustment_nv_fund",U$3,$A167))</x:f>
        <x:v>#NAME?</x:v>
      </x:c>
      <x:c r="V167" t="e">
        <x:f>IF($A167="","",[1]!thsiFinD("ths_adjustment_nv_fund",V$3,$A167))</x:f>
        <x:v>#NAME?</x:v>
      </x:c>
      <x:c r="W167" t="e">
        <x:f>IF($A167="","",[1]!thsiFinD("ths_adjustment_nv_fund",W$3,$A167))</x:f>
        <x:v>#NAME?</x:v>
      </x:c>
      <x:c r="X167" t="e">
        <x:f>IF($A167="","",[1]!thsiFinD("ths_adjustment_nv_fund",X$3,$A167))</x:f>
        <x:v>#NAME?</x:v>
      </x:c>
      <x:c r="Y167" t="e">
        <x:f>IF($A167="","",[1]!thsiFinD("ths_adjustment_nv_fund",Y$3,$A167))</x:f>
        <x:v>#NAME?</x:v>
      </x:c>
    </x:row>
    <x:row r="168">
      <x:c r="B168" t="e">
        <x:f>IF($A168="","",[1]!thsiFinD("ths_adjustment_nv_fund",B$3,$A168))</x:f>
        <x:v>#NAME?</x:v>
      </x:c>
      <x:c r="C168" t="e">
        <x:f>IF($A168="","",[1]!thsiFinD("ths_adjustment_nv_fund",C$3,$A168))</x:f>
        <x:v>#NAME?</x:v>
      </x:c>
      <x:c r="D168" t="e">
        <x:f>IF($A168="","",[1]!thsiFinD("ths_adjustment_nv_fund",D$3,$A168))</x:f>
        <x:v>#NAME?</x:v>
      </x:c>
      <x:c r="E168" t="e">
        <x:f>IF($A168="","",[1]!thsiFinD("ths_adjustment_nv_fund",E$3,$A168))</x:f>
        <x:v>#NAME?</x:v>
      </x:c>
      <x:c r="F168" t="e">
        <x:f>IF($A168="","",[1]!thsiFinD("ths_adjustment_nv_fund",F$3,$A168))</x:f>
        <x:v>#NAME?</x:v>
      </x:c>
      <x:c r="G168" t="e">
        <x:f>IF($A168="","",[1]!thsiFinD("ths_adjustment_nv_fund",G$3,$A168))</x:f>
        <x:v>#NAME?</x:v>
      </x:c>
      <x:c r="H168" t="e">
        <x:f>IF($A168="","",[1]!thsiFinD("ths_adjustment_nv_fund",H$3,$A168))</x:f>
        <x:v>#NAME?</x:v>
      </x:c>
      <x:c r="I168" t="e">
        <x:f>IF($A168="","",[1]!thsiFinD("ths_adjustment_nv_fund",I$3,$A168))</x:f>
        <x:v>#NAME?</x:v>
      </x:c>
      <x:c r="J168" t="e">
        <x:f>IF($A168="","",[1]!thsiFinD("ths_adjustment_nv_fund",J$3,$A168))</x:f>
        <x:v>#NAME?</x:v>
      </x:c>
      <x:c r="K168" t="e">
        <x:f>IF($A168="","",[1]!thsiFinD("ths_adjustment_nv_fund",K$3,$A168))</x:f>
        <x:v>#NAME?</x:v>
      </x:c>
      <x:c r="L168" t="e">
        <x:f>IF($A168="","",[1]!thsiFinD("ths_adjustment_nv_fund",L$3,$A168))</x:f>
        <x:v>#NAME?</x:v>
      </x:c>
      <x:c r="M168" t="e">
        <x:f>IF($A168="","",[1]!thsiFinD("ths_adjustment_nv_fund",M$3,$A168))</x:f>
        <x:v>#NAME?</x:v>
      </x:c>
      <x:c r="N168" t="e">
        <x:f>IF($A168="","",[1]!thsiFinD("ths_adjustment_nv_fund",N$3,$A168))</x:f>
        <x:v>#NAME?</x:v>
      </x:c>
      <x:c r="O168" t="e">
        <x:f>IF($A168="","",[1]!thsiFinD("ths_adjustment_nv_fund",O$3,$A168))</x:f>
        <x:v>#NAME?</x:v>
      </x:c>
      <x:c r="P168" t="e">
        <x:f>IF($A168="","",[1]!thsiFinD("ths_adjustment_nv_fund",P$3,$A168))</x:f>
        <x:v>#NAME?</x:v>
      </x:c>
      <x:c r="Q168" t="e">
        <x:f>IF($A168="","",[1]!thsiFinD("ths_adjustment_nv_fund",Q$3,$A168))</x:f>
        <x:v>#NAME?</x:v>
      </x:c>
      <x:c r="R168" t="e">
        <x:f>IF($A168="","",[1]!thsiFinD("ths_adjustment_nv_fund",R$3,$A168))</x:f>
        <x:v>#NAME?</x:v>
      </x:c>
      <x:c r="S168" t="e">
        <x:f>IF($A168="","",[1]!thsiFinD("ths_adjustment_nv_fund",S$3,$A168))</x:f>
        <x:v>#NAME?</x:v>
      </x:c>
      <x:c r="T168" t="e">
        <x:f>IF($A168="","",[1]!thsiFinD("ths_adjustment_nv_fund",T$3,$A168))</x:f>
        <x:v>#NAME?</x:v>
      </x:c>
      <x:c r="U168" t="e">
        <x:f>IF($A168="","",[1]!thsiFinD("ths_adjustment_nv_fund",U$3,$A168))</x:f>
        <x:v>#NAME?</x:v>
      </x:c>
      <x:c r="V168" t="e">
        <x:f>IF($A168="","",[1]!thsiFinD("ths_adjustment_nv_fund",V$3,$A168))</x:f>
        <x:v>#NAME?</x:v>
      </x:c>
      <x:c r="W168" t="e">
        <x:f>IF($A168="","",[1]!thsiFinD("ths_adjustment_nv_fund",W$3,$A168))</x:f>
        <x:v>#NAME?</x:v>
      </x:c>
      <x:c r="X168" t="e">
        <x:f>IF($A168="","",[1]!thsiFinD("ths_adjustment_nv_fund",X$3,$A168))</x:f>
        <x:v>#NAME?</x:v>
      </x:c>
      <x:c r="Y168" t="e">
        <x:f>IF($A168="","",[1]!thsiFinD("ths_adjustment_nv_fund",Y$3,$A168))</x:f>
        <x:v>#NAME?</x:v>
      </x:c>
    </x:row>
    <x:row r="169">
      <x:c r="B169" t="e">
        <x:f>IF($A169="","",[1]!thsiFinD("ths_adjustment_nv_fund",B$3,$A169))</x:f>
        <x:v>#NAME?</x:v>
      </x:c>
      <x:c r="C169" t="e">
        <x:f>IF($A169="","",[1]!thsiFinD("ths_adjustment_nv_fund",C$3,$A169))</x:f>
        <x:v>#NAME?</x:v>
      </x:c>
      <x:c r="D169" t="e">
        <x:f>IF($A169="","",[1]!thsiFinD("ths_adjustment_nv_fund",D$3,$A169))</x:f>
        <x:v>#NAME?</x:v>
      </x:c>
      <x:c r="E169" t="e">
        <x:f>IF($A169="","",[1]!thsiFinD("ths_adjustment_nv_fund",E$3,$A169))</x:f>
        <x:v>#NAME?</x:v>
      </x:c>
      <x:c r="F169" t="e">
        <x:f>IF($A169="","",[1]!thsiFinD("ths_adjustment_nv_fund",F$3,$A169))</x:f>
        <x:v>#NAME?</x:v>
      </x:c>
      <x:c r="G169" t="e">
        <x:f>IF($A169="","",[1]!thsiFinD("ths_adjustment_nv_fund",G$3,$A169))</x:f>
        <x:v>#NAME?</x:v>
      </x:c>
      <x:c r="H169" t="e">
        <x:f>IF($A169="","",[1]!thsiFinD("ths_adjustment_nv_fund",H$3,$A169))</x:f>
        <x:v>#NAME?</x:v>
      </x:c>
      <x:c r="I169" t="e">
        <x:f>IF($A169="","",[1]!thsiFinD("ths_adjustment_nv_fund",I$3,$A169))</x:f>
        <x:v>#NAME?</x:v>
      </x:c>
      <x:c r="J169" t="e">
        <x:f>IF($A169="","",[1]!thsiFinD("ths_adjustment_nv_fund",J$3,$A169))</x:f>
        <x:v>#NAME?</x:v>
      </x:c>
      <x:c r="K169" t="e">
        <x:f>IF($A169="","",[1]!thsiFinD("ths_adjustment_nv_fund",K$3,$A169))</x:f>
        <x:v>#NAME?</x:v>
      </x:c>
      <x:c r="L169" t="e">
        <x:f>IF($A169="","",[1]!thsiFinD("ths_adjustment_nv_fund",L$3,$A169))</x:f>
        <x:v>#NAME?</x:v>
      </x:c>
      <x:c r="M169" t="e">
        <x:f>IF($A169="","",[1]!thsiFinD("ths_adjustment_nv_fund",M$3,$A169))</x:f>
        <x:v>#NAME?</x:v>
      </x:c>
      <x:c r="N169" t="e">
        <x:f>IF($A169="","",[1]!thsiFinD("ths_adjustment_nv_fund",N$3,$A169))</x:f>
        <x:v>#NAME?</x:v>
      </x:c>
      <x:c r="O169" t="e">
        <x:f>IF($A169="","",[1]!thsiFinD("ths_adjustment_nv_fund",O$3,$A169))</x:f>
        <x:v>#NAME?</x:v>
      </x:c>
      <x:c r="P169" t="e">
        <x:f>IF($A169="","",[1]!thsiFinD("ths_adjustment_nv_fund",P$3,$A169))</x:f>
        <x:v>#NAME?</x:v>
      </x:c>
      <x:c r="Q169" t="e">
        <x:f>IF($A169="","",[1]!thsiFinD("ths_adjustment_nv_fund",Q$3,$A169))</x:f>
        <x:v>#NAME?</x:v>
      </x:c>
      <x:c r="R169" t="e">
        <x:f>IF($A169="","",[1]!thsiFinD("ths_adjustment_nv_fund",R$3,$A169))</x:f>
        <x:v>#NAME?</x:v>
      </x:c>
      <x:c r="S169" t="e">
        <x:f>IF($A169="","",[1]!thsiFinD("ths_adjustment_nv_fund",S$3,$A169))</x:f>
        <x:v>#NAME?</x:v>
      </x:c>
      <x:c r="T169" t="e">
        <x:f>IF($A169="","",[1]!thsiFinD("ths_adjustment_nv_fund",T$3,$A169))</x:f>
        <x:v>#NAME?</x:v>
      </x:c>
      <x:c r="U169" t="e">
        <x:f>IF($A169="","",[1]!thsiFinD("ths_adjustment_nv_fund",U$3,$A169))</x:f>
        <x:v>#NAME?</x:v>
      </x:c>
      <x:c r="V169" t="e">
        <x:f>IF($A169="","",[1]!thsiFinD("ths_adjustment_nv_fund",V$3,$A169))</x:f>
        <x:v>#NAME?</x:v>
      </x:c>
      <x:c r="W169" t="e">
        <x:f>IF($A169="","",[1]!thsiFinD("ths_adjustment_nv_fund",W$3,$A169))</x:f>
        <x:v>#NAME?</x:v>
      </x:c>
      <x:c r="X169" t="e">
        <x:f>IF($A169="","",[1]!thsiFinD("ths_adjustment_nv_fund",X$3,$A169))</x:f>
        <x:v>#NAME?</x:v>
      </x:c>
      <x:c r="Y169" t="e">
        <x:f>IF($A169="","",[1]!thsiFinD("ths_adjustment_nv_fund",Y$3,$A169))</x:f>
        <x:v>#NAME?</x:v>
      </x:c>
    </x:row>
    <x:row r="170">
      <x:c r="B170" t="e">
        <x:f>IF($A170="","",[1]!thsiFinD("ths_adjustment_nv_fund",B$3,$A170))</x:f>
        <x:v>#NAME?</x:v>
      </x:c>
      <x:c r="C170" t="e">
        <x:f>IF($A170="","",[1]!thsiFinD("ths_adjustment_nv_fund",C$3,$A170))</x:f>
        <x:v>#NAME?</x:v>
      </x:c>
      <x:c r="D170" t="e">
        <x:f>IF($A170="","",[1]!thsiFinD("ths_adjustment_nv_fund",D$3,$A170))</x:f>
        <x:v>#NAME?</x:v>
      </x:c>
      <x:c r="E170" t="e">
        <x:f>IF($A170="","",[1]!thsiFinD("ths_adjustment_nv_fund",E$3,$A170))</x:f>
        <x:v>#NAME?</x:v>
      </x:c>
      <x:c r="F170" t="e">
        <x:f>IF($A170="","",[1]!thsiFinD("ths_adjustment_nv_fund",F$3,$A170))</x:f>
        <x:v>#NAME?</x:v>
      </x:c>
      <x:c r="G170" t="e">
        <x:f>IF($A170="","",[1]!thsiFinD("ths_adjustment_nv_fund",G$3,$A170))</x:f>
        <x:v>#NAME?</x:v>
      </x:c>
      <x:c r="H170" t="e">
        <x:f>IF($A170="","",[1]!thsiFinD("ths_adjustment_nv_fund",H$3,$A170))</x:f>
        <x:v>#NAME?</x:v>
      </x:c>
      <x:c r="I170" t="e">
        <x:f>IF($A170="","",[1]!thsiFinD("ths_adjustment_nv_fund",I$3,$A170))</x:f>
        <x:v>#NAME?</x:v>
      </x:c>
      <x:c r="J170" t="e">
        <x:f>IF($A170="","",[1]!thsiFinD("ths_adjustment_nv_fund",J$3,$A170))</x:f>
        <x:v>#NAME?</x:v>
      </x:c>
      <x:c r="K170" t="e">
        <x:f>IF($A170="","",[1]!thsiFinD("ths_adjustment_nv_fund",K$3,$A170))</x:f>
        <x:v>#NAME?</x:v>
      </x:c>
      <x:c r="L170" t="e">
        <x:f>IF($A170="","",[1]!thsiFinD("ths_adjustment_nv_fund",L$3,$A170))</x:f>
        <x:v>#NAME?</x:v>
      </x:c>
      <x:c r="M170" t="e">
        <x:f>IF($A170="","",[1]!thsiFinD("ths_adjustment_nv_fund",M$3,$A170))</x:f>
        <x:v>#NAME?</x:v>
      </x:c>
      <x:c r="N170" t="e">
        <x:f>IF($A170="","",[1]!thsiFinD("ths_adjustment_nv_fund",N$3,$A170))</x:f>
        <x:v>#NAME?</x:v>
      </x:c>
      <x:c r="O170" t="e">
        <x:f>IF($A170="","",[1]!thsiFinD("ths_adjustment_nv_fund",O$3,$A170))</x:f>
        <x:v>#NAME?</x:v>
      </x:c>
      <x:c r="P170" t="e">
        <x:f>IF($A170="","",[1]!thsiFinD("ths_adjustment_nv_fund",P$3,$A170))</x:f>
        <x:v>#NAME?</x:v>
      </x:c>
      <x:c r="Q170" t="e">
        <x:f>IF($A170="","",[1]!thsiFinD("ths_adjustment_nv_fund",Q$3,$A170))</x:f>
        <x:v>#NAME?</x:v>
      </x:c>
      <x:c r="R170" t="e">
        <x:f>IF($A170="","",[1]!thsiFinD("ths_adjustment_nv_fund",R$3,$A170))</x:f>
        <x:v>#NAME?</x:v>
      </x:c>
      <x:c r="S170" t="e">
        <x:f>IF($A170="","",[1]!thsiFinD("ths_adjustment_nv_fund",S$3,$A170))</x:f>
        <x:v>#NAME?</x:v>
      </x:c>
      <x:c r="T170" t="e">
        <x:f>IF($A170="","",[1]!thsiFinD("ths_adjustment_nv_fund",T$3,$A170))</x:f>
        <x:v>#NAME?</x:v>
      </x:c>
      <x:c r="U170" t="e">
        <x:f>IF($A170="","",[1]!thsiFinD("ths_adjustment_nv_fund",U$3,$A170))</x:f>
        <x:v>#NAME?</x:v>
      </x:c>
      <x:c r="V170" t="e">
        <x:f>IF($A170="","",[1]!thsiFinD("ths_adjustment_nv_fund",V$3,$A170))</x:f>
        <x:v>#NAME?</x:v>
      </x:c>
      <x:c r="W170" t="e">
        <x:f>IF($A170="","",[1]!thsiFinD("ths_adjustment_nv_fund",W$3,$A170))</x:f>
        <x:v>#NAME?</x:v>
      </x:c>
      <x:c r="X170" t="e">
        <x:f>IF($A170="","",[1]!thsiFinD("ths_adjustment_nv_fund",X$3,$A170))</x:f>
        <x:v>#NAME?</x:v>
      </x:c>
      <x:c r="Y170" t="e">
        <x:f>IF($A170="","",[1]!thsiFinD("ths_adjustment_nv_fund",Y$3,$A170))</x:f>
        <x:v>#NAME?</x:v>
      </x:c>
    </x:row>
    <x:row r="171">
      <x:c r="B171" t="e">
        <x:f>IF($A171="","",[1]!thsiFinD("ths_adjustment_nv_fund",B$3,$A171))</x:f>
        <x:v>#NAME?</x:v>
      </x:c>
      <x:c r="C171" t="e">
        <x:f>IF($A171="","",[1]!thsiFinD("ths_adjustment_nv_fund",C$3,$A171))</x:f>
        <x:v>#NAME?</x:v>
      </x:c>
      <x:c r="D171" t="e">
        <x:f>IF($A171="","",[1]!thsiFinD("ths_adjustment_nv_fund",D$3,$A171))</x:f>
        <x:v>#NAME?</x:v>
      </x:c>
      <x:c r="E171" t="e">
        <x:f>IF($A171="","",[1]!thsiFinD("ths_adjustment_nv_fund",E$3,$A171))</x:f>
        <x:v>#NAME?</x:v>
      </x:c>
      <x:c r="F171" t="e">
        <x:f>IF($A171="","",[1]!thsiFinD("ths_adjustment_nv_fund",F$3,$A171))</x:f>
        <x:v>#NAME?</x:v>
      </x:c>
      <x:c r="G171" t="e">
        <x:f>IF($A171="","",[1]!thsiFinD("ths_adjustment_nv_fund",G$3,$A171))</x:f>
        <x:v>#NAME?</x:v>
      </x:c>
      <x:c r="H171" t="e">
        <x:f>IF($A171="","",[1]!thsiFinD("ths_adjustment_nv_fund",H$3,$A171))</x:f>
        <x:v>#NAME?</x:v>
      </x:c>
      <x:c r="I171" t="e">
        <x:f>IF($A171="","",[1]!thsiFinD("ths_adjustment_nv_fund",I$3,$A171))</x:f>
        <x:v>#NAME?</x:v>
      </x:c>
      <x:c r="J171" t="e">
        <x:f>IF($A171="","",[1]!thsiFinD("ths_adjustment_nv_fund",J$3,$A171))</x:f>
        <x:v>#NAME?</x:v>
      </x:c>
      <x:c r="K171" t="e">
        <x:f>IF($A171="","",[1]!thsiFinD("ths_adjustment_nv_fund",K$3,$A171))</x:f>
        <x:v>#NAME?</x:v>
      </x:c>
      <x:c r="L171" t="e">
        <x:f>IF($A171="","",[1]!thsiFinD("ths_adjustment_nv_fund",L$3,$A171))</x:f>
        <x:v>#NAME?</x:v>
      </x:c>
      <x:c r="M171" t="e">
        <x:f>IF($A171="","",[1]!thsiFinD("ths_adjustment_nv_fund",M$3,$A171))</x:f>
        <x:v>#NAME?</x:v>
      </x:c>
      <x:c r="N171" t="e">
        <x:f>IF($A171="","",[1]!thsiFinD("ths_adjustment_nv_fund",N$3,$A171))</x:f>
        <x:v>#NAME?</x:v>
      </x:c>
      <x:c r="O171" t="e">
        <x:f>IF($A171="","",[1]!thsiFinD("ths_adjustment_nv_fund",O$3,$A171))</x:f>
        <x:v>#NAME?</x:v>
      </x:c>
      <x:c r="P171" t="e">
        <x:f>IF($A171="","",[1]!thsiFinD("ths_adjustment_nv_fund",P$3,$A171))</x:f>
        <x:v>#NAME?</x:v>
      </x:c>
      <x:c r="Q171" t="e">
        <x:f>IF($A171="","",[1]!thsiFinD("ths_adjustment_nv_fund",Q$3,$A171))</x:f>
        <x:v>#NAME?</x:v>
      </x:c>
      <x:c r="R171" t="e">
        <x:f>IF($A171="","",[1]!thsiFinD("ths_adjustment_nv_fund",R$3,$A171))</x:f>
        <x:v>#NAME?</x:v>
      </x:c>
      <x:c r="S171" t="e">
        <x:f>IF($A171="","",[1]!thsiFinD("ths_adjustment_nv_fund",S$3,$A171))</x:f>
        <x:v>#NAME?</x:v>
      </x:c>
      <x:c r="T171" t="e">
        <x:f>IF($A171="","",[1]!thsiFinD("ths_adjustment_nv_fund",T$3,$A171))</x:f>
        <x:v>#NAME?</x:v>
      </x:c>
      <x:c r="U171" t="e">
        <x:f>IF($A171="","",[1]!thsiFinD("ths_adjustment_nv_fund",U$3,$A171))</x:f>
        <x:v>#NAME?</x:v>
      </x:c>
      <x:c r="V171" t="e">
        <x:f>IF($A171="","",[1]!thsiFinD("ths_adjustment_nv_fund",V$3,$A171))</x:f>
        <x:v>#NAME?</x:v>
      </x:c>
      <x:c r="W171" t="e">
        <x:f>IF($A171="","",[1]!thsiFinD("ths_adjustment_nv_fund",W$3,$A171))</x:f>
        <x:v>#NAME?</x:v>
      </x:c>
      <x:c r="X171" t="e">
        <x:f>IF($A171="","",[1]!thsiFinD("ths_adjustment_nv_fund",X$3,$A171))</x:f>
        <x:v>#NAME?</x:v>
      </x:c>
      <x:c r="Y171" t="e">
        <x:f>IF($A171="","",[1]!thsiFinD("ths_adjustment_nv_fund",Y$3,$A171))</x:f>
        <x:v>#NAME?</x:v>
      </x:c>
    </x:row>
    <x:row r="172">
      <x:c r="B172" t="e">
        <x:f>IF($A172="","",[1]!thsiFinD("ths_adjustment_nv_fund",B$3,$A172))</x:f>
        <x:v>#NAME?</x:v>
      </x:c>
      <x:c r="C172" t="e">
        <x:f>IF($A172="","",[1]!thsiFinD("ths_adjustment_nv_fund",C$3,$A172))</x:f>
        <x:v>#NAME?</x:v>
      </x:c>
      <x:c r="D172" t="e">
        <x:f>IF($A172="","",[1]!thsiFinD("ths_adjustment_nv_fund",D$3,$A172))</x:f>
        <x:v>#NAME?</x:v>
      </x:c>
      <x:c r="E172" t="e">
        <x:f>IF($A172="","",[1]!thsiFinD("ths_adjustment_nv_fund",E$3,$A172))</x:f>
        <x:v>#NAME?</x:v>
      </x:c>
      <x:c r="F172" t="e">
        <x:f>IF($A172="","",[1]!thsiFinD("ths_adjustment_nv_fund",F$3,$A172))</x:f>
        <x:v>#NAME?</x:v>
      </x:c>
      <x:c r="G172" t="e">
        <x:f>IF($A172="","",[1]!thsiFinD("ths_adjustment_nv_fund",G$3,$A172))</x:f>
        <x:v>#NAME?</x:v>
      </x:c>
      <x:c r="H172" t="e">
        <x:f>IF($A172="","",[1]!thsiFinD("ths_adjustment_nv_fund",H$3,$A172))</x:f>
        <x:v>#NAME?</x:v>
      </x:c>
      <x:c r="I172" t="e">
        <x:f>IF($A172="","",[1]!thsiFinD("ths_adjustment_nv_fund",I$3,$A172))</x:f>
        <x:v>#NAME?</x:v>
      </x:c>
      <x:c r="J172" t="e">
        <x:f>IF($A172="","",[1]!thsiFinD("ths_adjustment_nv_fund",J$3,$A172))</x:f>
        <x:v>#NAME?</x:v>
      </x:c>
      <x:c r="K172" t="e">
        <x:f>IF($A172="","",[1]!thsiFinD("ths_adjustment_nv_fund",K$3,$A172))</x:f>
        <x:v>#NAME?</x:v>
      </x:c>
      <x:c r="L172" t="e">
        <x:f>IF($A172="","",[1]!thsiFinD("ths_adjustment_nv_fund",L$3,$A172))</x:f>
        <x:v>#NAME?</x:v>
      </x:c>
      <x:c r="M172" t="e">
        <x:f>IF($A172="","",[1]!thsiFinD("ths_adjustment_nv_fund",M$3,$A172))</x:f>
        <x:v>#NAME?</x:v>
      </x:c>
      <x:c r="N172" t="e">
        <x:f>IF($A172="","",[1]!thsiFinD("ths_adjustment_nv_fund",N$3,$A172))</x:f>
        <x:v>#NAME?</x:v>
      </x:c>
      <x:c r="O172" t="e">
        <x:f>IF($A172="","",[1]!thsiFinD("ths_adjustment_nv_fund",O$3,$A172))</x:f>
        <x:v>#NAME?</x:v>
      </x:c>
      <x:c r="P172" t="e">
        <x:f>IF($A172="","",[1]!thsiFinD("ths_adjustment_nv_fund",P$3,$A172))</x:f>
        <x:v>#NAME?</x:v>
      </x:c>
      <x:c r="Q172" t="e">
        <x:f>IF($A172="","",[1]!thsiFinD("ths_adjustment_nv_fund",Q$3,$A172))</x:f>
        <x:v>#NAME?</x:v>
      </x:c>
      <x:c r="R172" t="e">
        <x:f>IF($A172="","",[1]!thsiFinD("ths_adjustment_nv_fund",R$3,$A172))</x:f>
        <x:v>#NAME?</x:v>
      </x:c>
      <x:c r="S172" t="e">
        <x:f>IF($A172="","",[1]!thsiFinD("ths_adjustment_nv_fund",S$3,$A172))</x:f>
        <x:v>#NAME?</x:v>
      </x:c>
      <x:c r="T172" t="e">
        <x:f>IF($A172="","",[1]!thsiFinD("ths_adjustment_nv_fund",T$3,$A172))</x:f>
        <x:v>#NAME?</x:v>
      </x:c>
      <x:c r="U172" t="e">
        <x:f>IF($A172="","",[1]!thsiFinD("ths_adjustment_nv_fund",U$3,$A172))</x:f>
        <x:v>#NAME?</x:v>
      </x:c>
      <x:c r="V172" t="e">
        <x:f>IF($A172="","",[1]!thsiFinD("ths_adjustment_nv_fund",V$3,$A172))</x:f>
        <x:v>#NAME?</x:v>
      </x:c>
      <x:c r="W172" t="e">
        <x:f>IF($A172="","",[1]!thsiFinD("ths_adjustment_nv_fund",W$3,$A172))</x:f>
        <x:v>#NAME?</x:v>
      </x:c>
      <x:c r="X172" t="e">
        <x:f>IF($A172="","",[1]!thsiFinD("ths_adjustment_nv_fund",X$3,$A172))</x:f>
        <x:v>#NAME?</x:v>
      </x:c>
      <x:c r="Y172" t="e">
        <x:f>IF($A172="","",[1]!thsiFinD("ths_adjustment_nv_fund",Y$3,$A172))</x:f>
        <x:v>#NAME?</x:v>
      </x:c>
    </x:row>
    <x:row r="173">
      <x:c r="B173" t="e">
        <x:f>IF($A173="","",[1]!thsiFinD("ths_adjustment_nv_fund",B$3,$A173))</x:f>
        <x:v>#NAME?</x:v>
      </x:c>
      <x:c r="C173" t="e">
        <x:f>IF($A173="","",[1]!thsiFinD("ths_adjustment_nv_fund",C$3,$A173))</x:f>
        <x:v>#NAME?</x:v>
      </x:c>
      <x:c r="D173" t="e">
        <x:f>IF($A173="","",[1]!thsiFinD("ths_adjustment_nv_fund",D$3,$A173))</x:f>
        <x:v>#NAME?</x:v>
      </x:c>
      <x:c r="E173" t="e">
        <x:f>IF($A173="","",[1]!thsiFinD("ths_adjustment_nv_fund",E$3,$A173))</x:f>
        <x:v>#NAME?</x:v>
      </x:c>
      <x:c r="F173" t="e">
        <x:f>IF($A173="","",[1]!thsiFinD("ths_adjustment_nv_fund",F$3,$A173))</x:f>
        <x:v>#NAME?</x:v>
      </x:c>
      <x:c r="G173" t="e">
        <x:f>IF($A173="","",[1]!thsiFinD("ths_adjustment_nv_fund",G$3,$A173))</x:f>
        <x:v>#NAME?</x:v>
      </x:c>
      <x:c r="H173" t="e">
        <x:f>IF($A173="","",[1]!thsiFinD("ths_adjustment_nv_fund",H$3,$A173))</x:f>
        <x:v>#NAME?</x:v>
      </x:c>
      <x:c r="I173" t="e">
        <x:f>IF($A173="","",[1]!thsiFinD("ths_adjustment_nv_fund",I$3,$A173))</x:f>
        <x:v>#NAME?</x:v>
      </x:c>
      <x:c r="J173" t="e">
        <x:f>IF($A173="","",[1]!thsiFinD("ths_adjustment_nv_fund",J$3,$A173))</x:f>
        <x:v>#NAME?</x:v>
      </x:c>
      <x:c r="K173" t="e">
        <x:f>IF($A173="","",[1]!thsiFinD("ths_adjustment_nv_fund",K$3,$A173))</x:f>
        <x:v>#NAME?</x:v>
      </x:c>
      <x:c r="L173" t="e">
        <x:f>IF($A173="","",[1]!thsiFinD("ths_adjustment_nv_fund",L$3,$A173))</x:f>
        <x:v>#NAME?</x:v>
      </x:c>
      <x:c r="M173" t="e">
        <x:f>IF($A173="","",[1]!thsiFinD("ths_adjustment_nv_fund",M$3,$A173))</x:f>
        <x:v>#NAME?</x:v>
      </x:c>
      <x:c r="N173" t="e">
        <x:f>IF($A173="","",[1]!thsiFinD("ths_adjustment_nv_fund",N$3,$A173))</x:f>
        <x:v>#NAME?</x:v>
      </x:c>
      <x:c r="O173" t="e">
        <x:f>IF($A173="","",[1]!thsiFinD("ths_adjustment_nv_fund",O$3,$A173))</x:f>
        <x:v>#NAME?</x:v>
      </x:c>
      <x:c r="P173" t="e">
        <x:f>IF($A173="","",[1]!thsiFinD("ths_adjustment_nv_fund",P$3,$A173))</x:f>
        <x:v>#NAME?</x:v>
      </x:c>
      <x:c r="Q173" t="e">
        <x:f>IF($A173="","",[1]!thsiFinD("ths_adjustment_nv_fund",Q$3,$A173))</x:f>
        <x:v>#NAME?</x:v>
      </x:c>
      <x:c r="R173" t="e">
        <x:f>IF($A173="","",[1]!thsiFinD("ths_adjustment_nv_fund",R$3,$A173))</x:f>
        <x:v>#NAME?</x:v>
      </x:c>
      <x:c r="S173" t="e">
        <x:f>IF($A173="","",[1]!thsiFinD("ths_adjustment_nv_fund",S$3,$A173))</x:f>
        <x:v>#NAME?</x:v>
      </x:c>
      <x:c r="T173" t="e">
        <x:f>IF($A173="","",[1]!thsiFinD("ths_adjustment_nv_fund",T$3,$A173))</x:f>
        <x:v>#NAME?</x:v>
      </x:c>
      <x:c r="U173" t="e">
        <x:f>IF($A173="","",[1]!thsiFinD("ths_adjustment_nv_fund",U$3,$A173))</x:f>
        <x:v>#NAME?</x:v>
      </x:c>
      <x:c r="V173" t="e">
        <x:f>IF($A173="","",[1]!thsiFinD("ths_adjustment_nv_fund",V$3,$A173))</x:f>
        <x:v>#NAME?</x:v>
      </x:c>
      <x:c r="W173" t="e">
        <x:f>IF($A173="","",[1]!thsiFinD("ths_adjustment_nv_fund",W$3,$A173))</x:f>
        <x:v>#NAME?</x:v>
      </x:c>
      <x:c r="X173" t="e">
        <x:f>IF($A173="","",[1]!thsiFinD("ths_adjustment_nv_fund",X$3,$A173))</x:f>
        <x:v>#NAME?</x:v>
      </x:c>
      <x:c r="Y173" t="e">
        <x:f>IF($A173="","",[1]!thsiFinD("ths_adjustment_nv_fund",Y$3,$A173))</x:f>
        <x:v>#NAME?</x:v>
      </x:c>
    </x:row>
    <x:row r="174">
      <x:c r="B174" t="e">
        <x:f>IF($A174="","",[1]!thsiFinD("ths_adjustment_nv_fund",B$3,$A174))</x:f>
        <x:v>#NAME?</x:v>
      </x:c>
      <x:c r="C174" t="e">
        <x:f>IF($A174="","",[1]!thsiFinD("ths_adjustment_nv_fund",C$3,$A174))</x:f>
        <x:v>#NAME?</x:v>
      </x:c>
      <x:c r="D174" t="e">
        <x:f>IF($A174="","",[1]!thsiFinD("ths_adjustment_nv_fund",D$3,$A174))</x:f>
        <x:v>#NAME?</x:v>
      </x:c>
      <x:c r="E174" t="e">
        <x:f>IF($A174="","",[1]!thsiFinD("ths_adjustment_nv_fund",E$3,$A174))</x:f>
        <x:v>#NAME?</x:v>
      </x:c>
      <x:c r="F174" t="e">
        <x:f>IF($A174="","",[1]!thsiFinD("ths_adjustment_nv_fund",F$3,$A174))</x:f>
        <x:v>#NAME?</x:v>
      </x:c>
      <x:c r="G174" t="e">
        <x:f>IF($A174="","",[1]!thsiFinD("ths_adjustment_nv_fund",G$3,$A174))</x:f>
        <x:v>#NAME?</x:v>
      </x:c>
      <x:c r="H174" t="e">
        <x:f>IF($A174="","",[1]!thsiFinD("ths_adjustment_nv_fund",H$3,$A174))</x:f>
        <x:v>#NAME?</x:v>
      </x:c>
      <x:c r="I174" t="e">
        <x:f>IF($A174="","",[1]!thsiFinD("ths_adjustment_nv_fund",I$3,$A174))</x:f>
        <x:v>#NAME?</x:v>
      </x:c>
      <x:c r="J174" t="e">
        <x:f>IF($A174="","",[1]!thsiFinD("ths_adjustment_nv_fund",J$3,$A174))</x:f>
        <x:v>#NAME?</x:v>
      </x:c>
      <x:c r="K174" t="e">
        <x:f>IF($A174="","",[1]!thsiFinD("ths_adjustment_nv_fund",K$3,$A174))</x:f>
        <x:v>#NAME?</x:v>
      </x:c>
      <x:c r="L174" t="e">
        <x:f>IF($A174="","",[1]!thsiFinD("ths_adjustment_nv_fund",L$3,$A174))</x:f>
        <x:v>#NAME?</x:v>
      </x:c>
      <x:c r="M174" t="e">
        <x:f>IF($A174="","",[1]!thsiFinD("ths_adjustment_nv_fund",M$3,$A174))</x:f>
        <x:v>#NAME?</x:v>
      </x:c>
      <x:c r="N174" t="e">
        <x:f>IF($A174="","",[1]!thsiFinD("ths_adjustment_nv_fund",N$3,$A174))</x:f>
        <x:v>#NAME?</x:v>
      </x:c>
      <x:c r="O174" t="e">
        <x:f>IF($A174="","",[1]!thsiFinD("ths_adjustment_nv_fund",O$3,$A174))</x:f>
        <x:v>#NAME?</x:v>
      </x:c>
      <x:c r="P174" t="e">
        <x:f>IF($A174="","",[1]!thsiFinD("ths_adjustment_nv_fund",P$3,$A174))</x:f>
        <x:v>#NAME?</x:v>
      </x:c>
      <x:c r="Q174" t="e">
        <x:f>IF($A174="","",[1]!thsiFinD("ths_adjustment_nv_fund",Q$3,$A174))</x:f>
        <x:v>#NAME?</x:v>
      </x:c>
      <x:c r="R174" t="e">
        <x:f>IF($A174="","",[1]!thsiFinD("ths_adjustment_nv_fund",R$3,$A174))</x:f>
        <x:v>#NAME?</x:v>
      </x:c>
      <x:c r="S174" t="e">
        <x:f>IF($A174="","",[1]!thsiFinD("ths_adjustment_nv_fund",S$3,$A174))</x:f>
        <x:v>#NAME?</x:v>
      </x:c>
      <x:c r="T174" t="e">
        <x:f>IF($A174="","",[1]!thsiFinD("ths_adjustment_nv_fund",T$3,$A174))</x:f>
        <x:v>#NAME?</x:v>
      </x:c>
      <x:c r="U174" t="e">
        <x:f>IF($A174="","",[1]!thsiFinD("ths_adjustment_nv_fund",U$3,$A174))</x:f>
        <x:v>#NAME?</x:v>
      </x:c>
      <x:c r="V174" t="e">
        <x:f>IF($A174="","",[1]!thsiFinD("ths_adjustment_nv_fund",V$3,$A174))</x:f>
        <x:v>#NAME?</x:v>
      </x:c>
      <x:c r="W174" t="e">
        <x:f>IF($A174="","",[1]!thsiFinD("ths_adjustment_nv_fund",W$3,$A174))</x:f>
        <x:v>#NAME?</x:v>
      </x:c>
      <x:c r="X174" t="e">
        <x:f>IF($A174="","",[1]!thsiFinD("ths_adjustment_nv_fund",X$3,$A174))</x:f>
        <x:v>#NAME?</x:v>
      </x:c>
      <x:c r="Y174" t="e">
        <x:f>IF($A174="","",[1]!thsiFinD("ths_adjustment_nv_fund",Y$3,$A174))</x:f>
        <x:v>#NAME?</x:v>
      </x:c>
    </x:row>
    <x:row r="175">
      <x:c r="B175" t="e">
        <x:f>IF($A175="","",[1]!thsiFinD("ths_adjustment_nv_fund",B$3,$A175))</x:f>
        <x:v>#NAME?</x:v>
      </x:c>
      <x:c r="C175" t="e">
        <x:f>IF($A175="","",[1]!thsiFinD("ths_adjustment_nv_fund",C$3,$A175))</x:f>
        <x:v>#NAME?</x:v>
      </x:c>
      <x:c r="D175" t="e">
        <x:f>IF($A175="","",[1]!thsiFinD("ths_adjustment_nv_fund",D$3,$A175))</x:f>
        <x:v>#NAME?</x:v>
      </x:c>
      <x:c r="E175" t="e">
        <x:f>IF($A175="","",[1]!thsiFinD("ths_adjustment_nv_fund",E$3,$A175))</x:f>
        <x:v>#NAME?</x:v>
      </x:c>
      <x:c r="F175" t="e">
        <x:f>IF($A175="","",[1]!thsiFinD("ths_adjustment_nv_fund",F$3,$A175))</x:f>
        <x:v>#NAME?</x:v>
      </x:c>
      <x:c r="G175" t="e">
        <x:f>IF($A175="","",[1]!thsiFinD("ths_adjustment_nv_fund",G$3,$A175))</x:f>
        <x:v>#NAME?</x:v>
      </x:c>
      <x:c r="H175" t="e">
        <x:f>IF($A175="","",[1]!thsiFinD("ths_adjustment_nv_fund",H$3,$A175))</x:f>
        <x:v>#NAME?</x:v>
      </x:c>
      <x:c r="I175" t="e">
        <x:f>IF($A175="","",[1]!thsiFinD("ths_adjustment_nv_fund",I$3,$A175))</x:f>
        <x:v>#NAME?</x:v>
      </x:c>
      <x:c r="J175" t="e">
        <x:f>IF($A175="","",[1]!thsiFinD("ths_adjustment_nv_fund",J$3,$A175))</x:f>
        <x:v>#NAME?</x:v>
      </x:c>
      <x:c r="K175" t="e">
        <x:f>IF($A175="","",[1]!thsiFinD("ths_adjustment_nv_fund",K$3,$A175))</x:f>
        <x:v>#NAME?</x:v>
      </x:c>
      <x:c r="L175" t="e">
        <x:f>IF($A175="","",[1]!thsiFinD("ths_adjustment_nv_fund",L$3,$A175))</x:f>
        <x:v>#NAME?</x:v>
      </x:c>
      <x:c r="M175" t="e">
        <x:f>IF($A175="","",[1]!thsiFinD("ths_adjustment_nv_fund",M$3,$A175))</x:f>
        <x:v>#NAME?</x:v>
      </x:c>
      <x:c r="N175" t="e">
        <x:f>IF($A175="","",[1]!thsiFinD("ths_adjustment_nv_fund",N$3,$A175))</x:f>
        <x:v>#NAME?</x:v>
      </x:c>
      <x:c r="O175" t="e">
        <x:f>IF($A175="","",[1]!thsiFinD("ths_adjustment_nv_fund",O$3,$A175))</x:f>
        <x:v>#NAME?</x:v>
      </x:c>
      <x:c r="P175" t="e">
        <x:f>IF($A175="","",[1]!thsiFinD("ths_adjustment_nv_fund",P$3,$A175))</x:f>
        <x:v>#NAME?</x:v>
      </x:c>
      <x:c r="Q175" t="e">
        <x:f>IF($A175="","",[1]!thsiFinD("ths_adjustment_nv_fund",Q$3,$A175))</x:f>
        <x:v>#NAME?</x:v>
      </x:c>
      <x:c r="R175" t="e">
        <x:f>IF($A175="","",[1]!thsiFinD("ths_adjustment_nv_fund",R$3,$A175))</x:f>
        <x:v>#NAME?</x:v>
      </x:c>
      <x:c r="S175" t="e">
        <x:f>IF($A175="","",[1]!thsiFinD("ths_adjustment_nv_fund",S$3,$A175))</x:f>
        <x:v>#NAME?</x:v>
      </x:c>
      <x:c r="T175" t="e">
        <x:f>IF($A175="","",[1]!thsiFinD("ths_adjustment_nv_fund",T$3,$A175))</x:f>
        <x:v>#NAME?</x:v>
      </x:c>
      <x:c r="U175" t="e">
        <x:f>IF($A175="","",[1]!thsiFinD("ths_adjustment_nv_fund",U$3,$A175))</x:f>
        <x:v>#NAME?</x:v>
      </x:c>
      <x:c r="V175" t="e">
        <x:f>IF($A175="","",[1]!thsiFinD("ths_adjustment_nv_fund",V$3,$A175))</x:f>
        <x:v>#NAME?</x:v>
      </x:c>
      <x:c r="W175" t="e">
        <x:f>IF($A175="","",[1]!thsiFinD("ths_adjustment_nv_fund",W$3,$A175))</x:f>
        <x:v>#NAME?</x:v>
      </x:c>
      <x:c r="X175" t="e">
        <x:f>IF($A175="","",[1]!thsiFinD("ths_adjustment_nv_fund",X$3,$A175))</x:f>
        <x:v>#NAME?</x:v>
      </x:c>
      <x:c r="Y175" t="e">
        <x:f>IF($A175="","",[1]!thsiFinD("ths_adjustment_nv_fund",Y$3,$A175))</x:f>
        <x:v>#NAME?</x:v>
      </x:c>
    </x:row>
    <x:row r="176">
      <x:c r="B176" t="e">
        <x:f>IF($A176="","",[1]!thsiFinD("ths_adjustment_nv_fund",B$3,$A176))</x:f>
        <x:v>#NAME?</x:v>
      </x:c>
      <x:c r="C176" t="e">
        <x:f>IF($A176="","",[1]!thsiFinD("ths_adjustment_nv_fund",C$3,$A176))</x:f>
        <x:v>#NAME?</x:v>
      </x:c>
      <x:c r="D176" t="e">
        <x:f>IF($A176="","",[1]!thsiFinD("ths_adjustment_nv_fund",D$3,$A176))</x:f>
        <x:v>#NAME?</x:v>
      </x:c>
      <x:c r="E176" t="e">
        <x:f>IF($A176="","",[1]!thsiFinD("ths_adjustment_nv_fund",E$3,$A176))</x:f>
        <x:v>#NAME?</x:v>
      </x:c>
      <x:c r="F176" t="e">
        <x:f>IF($A176="","",[1]!thsiFinD("ths_adjustment_nv_fund",F$3,$A176))</x:f>
        <x:v>#NAME?</x:v>
      </x:c>
      <x:c r="G176" t="e">
        <x:f>IF($A176="","",[1]!thsiFinD("ths_adjustment_nv_fund",G$3,$A176))</x:f>
        <x:v>#NAME?</x:v>
      </x:c>
      <x:c r="H176" t="e">
        <x:f>IF($A176="","",[1]!thsiFinD("ths_adjustment_nv_fund",H$3,$A176))</x:f>
        <x:v>#NAME?</x:v>
      </x:c>
      <x:c r="I176" t="e">
        <x:f>IF($A176="","",[1]!thsiFinD("ths_adjustment_nv_fund",I$3,$A176))</x:f>
        <x:v>#NAME?</x:v>
      </x:c>
      <x:c r="J176" t="e">
        <x:f>IF($A176="","",[1]!thsiFinD("ths_adjustment_nv_fund",J$3,$A176))</x:f>
        <x:v>#NAME?</x:v>
      </x:c>
      <x:c r="K176" t="e">
        <x:f>IF($A176="","",[1]!thsiFinD("ths_adjustment_nv_fund",K$3,$A176))</x:f>
        <x:v>#NAME?</x:v>
      </x:c>
      <x:c r="L176" t="e">
        <x:f>IF($A176="","",[1]!thsiFinD("ths_adjustment_nv_fund",L$3,$A176))</x:f>
        <x:v>#NAME?</x:v>
      </x:c>
      <x:c r="M176" t="e">
        <x:f>IF($A176="","",[1]!thsiFinD("ths_adjustment_nv_fund",M$3,$A176))</x:f>
        <x:v>#NAME?</x:v>
      </x:c>
      <x:c r="N176" t="e">
        <x:f>IF($A176="","",[1]!thsiFinD("ths_adjustment_nv_fund",N$3,$A176))</x:f>
        <x:v>#NAME?</x:v>
      </x:c>
      <x:c r="O176" t="e">
        <x:f>IF($A176="","",[1]!thsiFinD("ths_adjustment_nv_fund",O$3,$A176))</x:f>
        <x:v>#NAME?</x:v>
      </x:c>
      <x:c r="P176" t="e">
        <x:f>IF($A176="","",[1]!thsiFinD("ths_adjustment_nv_fund",P$3,$A176))</x:f>
        <x:v>#NAME?</x:v>
      </x:c>
      <x:c r="Q176" t="e">
        <x:f>IF($A176="","",[1]!thsiFinD("ths_adjustment_nv_fund",Q$3,$A176))</x:f>
        <x:v>#NAME?</x:v>
      </x:c>
      <x:c r="R176" t="e">
        <x:f>IF($A176="","",[1]!thsiFinD("ths_adjustment_nv_fund",R$3,$A176))</x:f>
        <x:v>#NAME?</x:v>
      </x:c>
      <x:c r="S176" t="e">
        <x:f>IF($A176="","",[1]!thsiFinD("ths_adjustment_nv_fund",S$3,$A176))</x:f>
        <x:v>#NAME?</x:v>
      </x:c>
      <x:c r="T176" t="e">
        <x:f>IF($A176="","",[1]!thsiFinD("ths_adjustment_nv_fund",T$3,$A176))</x:f>
        <x:v>#NAME?</x:v>
      </x:c>
      <x:c r="U176" t="e">
        <x:f>IF($A176="","",[1]!thsiFinD("ths_adjustment_nv_fund",U$3,$A176))</x:f>
        <x:v>#NAME?</x:v>
      </x:c>
      <x:c r="V176" t="e">
        <x:f>IF($A176="","",[1]!thsiFinD("ths_adjustment_nv_fund",V$3,$A176))</x:f>
        <x:v>#NAME?</x:v>
      </x:c>
      <x:c r="W176" t="e">
        <x:f>IF($A176="","",[1]!thsiFinD("ths_adjustment_nv_fund",W$3,$A176))</x:f>
        <x:v>#NAME?</x:v>
      </x:c>
      <x:c r="X176" t="e">
        <x:f>IF($A176="","",[1]!thsiFinD("ths_adjustment_nv_fund",X$3,$A176))</x:f>
        <x:v>#NAME?</x:v>
      </x:c>
      <x:c r="Y176" t="e">
        <x:f>IF($A176="","",[1]!thsiFinD("ths_adjustment_nv_fund",Y$3,$A176))</x:f>
        <x:v>#NAME?</x:v>
      </x:c>
    </x:row>
    <x:row r="177">
      <x:c r="B177" t="e">
        <x:f>IF($A177="","",[1]!thsiFinD("ths_adjustment_nv_fund",B$3,$A177))</x:f>
        <x:v>#NAME?</x:v>
      </x:c>
      <x:c r="C177" t="e">
        <x:f>IF($A177="","",[1]!thsiFinD("ths_adjustment_nv_fund",C$3,$A177))</x:f>
        <x:v>#NAME?</x:v>
      </x:c>
      <x:c r="D177" t="e">
        <x:f>IF($A177="","",[1]!thsiFinD("ths_adjustment_nv_fund",D$3,$A177))</x:f>
        <x:v>#NAME?</x:v>
      </x:c>
      <x:c r="E177" t="e">
        <x:f>IF($A177="","",[1]!thsiFinD("ths_adjustment_nv_fund",E$3,$A177))</x:f>
        <x:v>#NAME?</x:v>
      </x:c>
      <x:c r="F177" t="e">
        <x:f>IF($A177="","",[1]!thsiFinD("ths_adjustment_nv_fund",F$3,$A177))</x:f>
        <x:v>#NAME?</x:v>
      </x:c>
      <x:c r="G177" t="e">
        <x:f>IF($A177="","",[1]!thsiFinD("ths_adjustment_nv_fund",G$3,$A177))</x:f>
        <x:v>#NAME?</x:v>
      </x:c>
      <x:c r="H177" t="e">
        <x:f>IF($A177="","",[1]!thsiFinD("ths_adjustment_nv_fund",H$3,$A177))</x:f>
        <x:v>#NAME?</x:v>
      </x:c>
      <x:c r="I177" t="e">
        <x:f>IF($A177="","",[1]!thsiFinD("ths_adjustment_nv_fund",I$3,$A177))</x:f>
        <x:v>#NAME?</x:v>
      </x:c>
      <x:c r="J177" t="e">
        <x:f>IF($A177="","",[1]!thsiFinD("ths_adjustment_nv_fund",J$3,$A177))</x:f>
        <x:v>#NAME?</x:v>
      </x:c>
      <x:c r="K177" t="e">
        <x:f>IF($A177="","",[1]!thsiFinD("ths_adjustment_nv_fund",K$3,$A177))</x:f>
        <x:v>#NAME?</x:v>
      </x:c>
      <x:c r="L177" t="e">
        <x:f>IF($A177="","",[1]!thsiFinD("ths_adjustment_nv_fund",L$3,$A177))</x:f>
        <x:v>#NAME?</x:v>
      </x:c>
      <x:c r="M177" t="e">
        <x:f>IF($A177="","",[1]!thsiFinD("ths_adjustment_nv_fund",M$3,$A177))</x:f>
        <x:v>#NAME?</x:v>
      </x:c>
      <x:c r="N177" t="e">
        <x:f>IF($A177="","",[1]!thsiFinD("ths_adjustment_nv_fund",N$3,$A177))</x:f>
        <x:v>#NAME?</x:v>
      </x:c>
      <x:c r="O177" t="e">
        <x:f>IF($A177="","",[1]!thsiFinD("ths_adjustment_nv_fund",O$3,$A177))</x:f>
        <x:v>#NAME?</x:v>
      </x:c>
      <x:c r="P177" t="e">
        <x:f>IF($A177="","",[1]!thsiFinD("ths_adjustment_nv_fund",P$3,$A177))</x:f>
        <x:v>#NAME?</x:v>
      </x:c>
      <x:c r="Q177" t="e">
        <x:f>IF($A177="","",[1]!thsiFinD("ths_adjustment_nv_fund",Q$3,$A177))</x:f>
        <x:v>#NAME?</x:v>
      </x:c>
      <x:c r="R177" t="e">
        <x:f>IF($A177="","",[1]!thsiFinD("ths_adjustment_nv_fund",R$3,$A177))</x:f>
        <x:v>#NAME?</x:v>
      </x:c>
      <x:c r="S177" t="e">
        <x:f>IF($A177="","",[1]!thsiFinD("ths_adjustment_nv_fund",S$3,$A177))</x:f>
        <x:v>#NAME?</x:v>
      </x:c>
      <x:c r="T177" t="e">
        <x:f>IF($A177="","",[1]!thsiFinD("ths_adjustment_nv_fund",T$3,$A177))</x:f>
        <x:v>#NAME?</x:v>
      </x:c>
      <x:c r="U177" t="e">
        <x:f>IF($A177="","",[1]!thsiFinD("ths_adjustment_nv_fund",U$3,$A177))</x:f>
        <x:v>#NAME?</x:v>
      </x:c>
      <x:c r="V177" t="e">
        <x:f>IF($A177="","",[1]!thsiFinD("ths_adjustment_nv_fund",V$3,$A177))</x:f>
        <x:v>#NAME?</x:v>
      </x:c>
      <x:c r="W177" t="e">
        <x:f>IF($A177="","",[1]!thsiFinD("ths_adjustment_nv_fund",W$3,$A177))</x:f>
        <x:v>#NAME?</x:v>
      </x:c>
      <x:c r="X177" t="e">
        <x:f>IF($A177="","",[1]!thsiFinD("ths_adjustment_nv_fund",X$3,$A177))</x:f>
        <x:v>#NAME?</x:v>
      </x:c>
      <x:c r="Y177" t="e">
        <x:f>IF($A177="","",[1]!thsiFinD("ths_adjustment_nv_fund",Y$3,$A177))</x:f>
        <x:v>#NAME?</x:v>
      </x:c>
    </x:row>
    <x:row r="178">
      <x:c r="B178" t="e">
        <x:f>IF($A178="","",[1]!thsiFinD("ths_adjustment_nv_fund",B$3,$A178))</x:f>
        <x:v>#NAME?</x:v>
      </x:c>
      <x:c r="C178" t="e">
        <x:f>IF($A178="","",[1]!thsiFinD("ths_adjustment_nv_fund",C$3,$A178))</x:f>
        <x:v>#NAME?</x:v>
      </x:c>
      <x:c r="D178" t="e">
        <x:f>IF($A178="","",[1]!thsiFinD("ths_adjustment_nv_fund",D$3,$A178))</x:f>
        <x:v>#NAME?</x:v>
      </x:c>
      <x:c r="E178" t="e">
        <x:f>IF($A178="","",[1]!thsiFinD("ths_adjustment_nv_fund",E$3,$A178))</x:f>
        <x:v>#NAME?</x:v>
      </x:c>
      <x:c r="F178" t="e">
        <x:f>IF($A178="","",[1]!thsiFinD("ths_adjustment_nv_fund",F$3,$A178))</x:f>
        <x:v>#NAME?</x:v>
      </x:c>
      <x:c r="G178" t="e">
        <x:f>IF($A178="","",[1]!thsiFinD("ths_adjustment_nv_fund",G$3,$A178))</x:f>
        <x:v>#NAME?</x:v>
      </x:c>
      <x:c r="H178" t="e">
        <x:f>IF($A178="","",[1]!thsiFinD("ths_adjustment_nv_fund",H$3,$A178))</x:f>
        <x:v>#NAME?</x:v>
      </x:c>
      <x:c r="I178" t="e">
        <x:f>IF($A178="","",[1]!thsiFinD("ths_adjustment_nv_fund",I$3,$A178))</x:f>
        <x:v>#NAME?</x:v>
      </x:c>
      <x:c r="J178" t="e">
        <x:f>IF($A178="","",[1]!thsiFinD("ths_adjustment_nv_fund",J$3,$A178))</x:f>
        <x:v>#NAME?</x:v>
      </x:c>
      <x:c r="K178" t="e">
        <x:f>IF($A178="","",[1]!thsiFinD("ths_adjustment_nv_fund",K$3,$A178))</x:f>
        <x:v>#NAME?</x:v>
      </x:c>
      <x:c r="L178" t="e">
        <x:f>IF($A178="","",[1]!thsiFinD("ths_adjustment_nv_fund",L$3,$A178))</x:f>
        <x:v>#NAME?</x:v>
      </x:c>
      <x:c r="M178" t="e">
        <x:f>IF($A178="","",[1]!thsiFinD("ths_adjustment_nv_fund",M$3,$A178))</x:f>
        <x:v>#NAME?</x:v>
      </x:c>
      <x:c r="N178" t="e">
        <x:f>IF($A178="","",[1]!thsiFinD("ths_adjustment_nv_fund",N$3,$A178))</x:f>
        <x:v>#NAME?</x:v>
      </x:c>
      <x:c r="O178" t="e">
        <x:f>IF($A178="","",[1]!thsiFinD("ths_adjustment_nv_fund",O$3,$A178))</x:f>
        <x:v>#NAME?</x:v>
      </x:c>
      <x:c r="P178" t="e">
        <x:f>IF($A178="","",[1]!thsiFinD("ths_adjustment_nv_fund",P$3,$A178))</x:f>
        <x:v>#NAME?</x:v>
      </x:c>
      <x:c r="Q178" t="e">
        <x:f>IF($A178="","",[1]!thsiFinD("ths_adjustment_nv_fund",Q$3,$A178))</x:f>
        <x:v>#NAME?</x:v>
      </x:c>
      <x:c r="R178" t="e">
        <x:f>IF($A178="","",[1]!thsiFinD("ths_adjustment_nv_fund",R$3,$A178))</x:f>
        <x:v>#NAME?</x:v>
      </x:c>
      <x:c r="S178" t="e">
        <x:f>IF($A178="","",[1]!thsiFinD("ths_adjustment_nv_fund",S$3,$A178))</x:f>
        <x:v>#NAME?</x:v>
      </x:c>
      <x:c r="T178" t="e">
        <x:f>IF($A178="","",[1]!thsiFinD("ths_adjustment_nv_fund",T$3,$A178))</x:f>
        <x:v>#NAME?</x:v>
      </x:c>
      <x:c r="U178" t="e">
        <x:f>IF($A178="","",[1]!thsiFinD("ths_adjustment_nv_fund",U$3,$A178))</x:f>
        <x:v>#NAME?</x:v>
      </x:c>
      <x:c r="V178" t="e">
        <x:f>IF($A178="","",[1]!thsiFinD("ths_adjustment_nv_fund",V$3,$A178))</x:f>
        <x:v>#NAME?</x:v>
      </x:c>
      <x:c r="W178" t="e">
        <x:f>IF($A178="","",[1]!thsiFinD("ths_adjustment_nv_fund",W$3,$A178))</x:f>
        <x:v>#NAME?</x:v>
      </x:c>
      <x:c r="X178" t="e">
        <x:f>IF($A178="","",[1]!thsiFinD("ths_adjustment_nv_fund",X$3,$A178))</x:f>
        <x:v>#NAME?</x:v>
      </x:c>
      <x:c r="Y178" t="e">
        <x:f>IF($A178="","",[1]!thsiFinD("ths_adjustment_nv_fund",Y$3,$A178))</x:f>
        <x:v>#NAME?</x:v>
      </x:c>
    </x:row>
    <x:row r="179">
      <x:c r="B179" t="e">
        <x:f>IF($A179="","",[1]!thsiFinD("ths_adjustment_nv_fund",B$3,$A179))</x:f>
        <x:v>#NAME?</x:v>
      </x:c>
      <x:c r="C179" t="e">
        <x:f>IF($A179="","",[1]!thsiFinD("ths_adjustment_nv_fund",C$3,$A179))</x:f>
        <x:v>#NAME?</x:v>
      </x:c>
      <x:c r="D179" t="e">
        <x:f>IF($A179="","",[1]!thsiFinD("ths_adjustment_nv_fund",D$3,$A179))</x:f>
        <x:v>#NAME?</x:v>
      </x:c>
      <x:c r="E179" t="e">
        <x:f>IF($A179="","",[1]!thsiFinD("ths_adjustment_nv_fund",E$3,$A179))</x:f>
        <x:v>#NAME?</x:v>
      </x:c>
      <x:c r="F179" t="e">
        <x:f>IF($A179="","",[1]!thsiFinD("ths_adjustment_nv_fund",F$3,$A179))</x:f>
        <x:v>#NAME?</x:v>
      </x:c>
      <x:c r="G179" t="e">
        <x:f>IF($A179="","",[1]!thsiFinD("ths_adjustment_nv_fund",G$3,$A179))</x:f>
        <x:v>#NAME?</x:v>
      </x:c>
      <x:c r="H179" t="e">
        <x:f>IF($A179="","",[1]!thsiFinD("ths_adjustment_nv_fund",H$3,$A179))</x:f>
        <x:v>#NAME?</x:v>
      </x:c>
      <x:c r="I179" t="e">
        <x:f>IF($A179="","",[1]!thsiFinD("ths_adjustment_nv_fund",I$3,$A179))</x:f>
        <x:v>#NAME?</x:v>
      </x:c>
      <x:c r="J179" t="e">
        <x:f>IF($A179="","",[1]!thsiFinD("ths_adjustment_nv_fund",J$3,$A179))</x:f>
        <x:v>#NAME?</x:v>
      </x:c>
      <x:c r="K179" t="e">
        <x:f>IF($A179="","",[1]!thsiFinD("ths_adjustment_nv_fund",K$3,$A179))</x:f>
        <x:v>#NAME?</x:v>
      </x:c>
      <x:c r="L179" t="e">
        <x:f>IF($A179="","",[1]!thsiFinD("ths_adjustment_nv_fund",L$3,$A179))</x:f>
        <x:v>#NAME?</x:v>
      </x:c>
      <x:c r="M179" t="e">
        <x:f>IF($A179="","",[1]!thsiFinD("ths_adjustment_nv_fund",M$3,$A179))</x:f>
        <x:v>#NAME?</x:v>
      </x:c>
      <x:c r="N179" t="e">
        <x:f>IF($A179="","",[1]!thsiFinD("ths_adjustment_nv_fund",N$3,$A179))</x:f>
        <x:v>#NAME?</x:v>
      </x:c>
      <x:c r="O179" t="e">
        <x:f>IF($A179="","",[1]!thsiFinD("ths_adjustment_nv_fund",O$3,$A179))</x:f>
        <x:v>#NAME?</x:v>
      </x:c>
      <x:c r="P179" t="e">
        <x:f>IF($A179="","",[1]!thsiFinD("ths_adjustment_nv_fund",P$3,$A179))</x:f>
        <x:v>#NAME?</x:v>
      </x:c>
      <x:c r="Q179" t="e">
        <x:f>IF($A179="","",[1]!thsiFinD("ths_adjustment_nv_fund",Q$3,$A179))</x:f>
        <x:v>#NAME?</x:v>
      </x:c>
      <x:c r="R179" t="e">
        <x:f>IF($A179="","",[1]!thsiFinD("ths_adjustment_nv_fund",R$3,$A179))</x:f>
        <x:v>#NAME?</x:v>
      </x:c>
      <x:c r="S179" t="e">
        <x:f>IF($A179="","",[1]!thsiFinD("ths_adjustment_nv_fund",S$3,$A179))</x:f>
        <x:v>#NAME?</x:v>
      </x:c>
      <x:c r="T179" t="e">
        <x:f>IF($A179="","",[1]!thsiFinD("ths_adjustment_nv_fund",T$3,$A179))</x:f>
        <x:v>#NAME?</x:v>
      </x:c>
      <x:c r="U179" t="e">
        <x:f>IF($A179="","",[1]!thsiFinD("ths_adjustment_nv_fund",U$3,$A179))</x:f>
        <x:v>#NAME?</x:v>
      </x:c>
      <x:c r="V179" t="e">
        <x:f>IF($A179="","",[1]!thsiFinD("ths_adjustment_nv_fund",V$3,$A179))</x:f>
        <x:v>#NAME?</x:v>
      </x:c>
      <x:c r="W179" t="e">
        <x:f>IF($A179="","",[1]!thsiFinD("ths_adjustment_nv_fund",W$3,$A179))</x:f>
        <x:v>#NAME?</x:v>
      </x:c>
      <x:c r="X179" t="e">
        <x:f>IF($A179="","",[1]!thsiFinD("ths_adjustment_nv_fund",X$3,$A179))</x:f>
        <x:v>#NAME?</x:v>
      </x:c>
      <x:c r="Y179" t="e">
        <x:f>IF($A179="","",[1]!thsiFinD("ths_adjustment_nv_fund",Y$3,$A179))</x:f>
        <x:v>#NAME?</x:v>
      </x:c>
    </x:row>
    <x:row r="180">
      <x:c r="B180" t="e">
        <x:f>IF($A180="","",[1]!thsiFinD("ths_adjustment_nv_fund",B$3,$A180))</x:f>
        <x:v>#NAME?</x:v>
      </x:c>
      <x:c r="C180" t="e">
        <x:f>IF($A180="","",[1]!thsiFinD("ths_adjustment_nv_fund",C$3,$A180))</x:f>
        <x:v>#NAME?</x:v>
      </x:c>
      <x:c r="D180" t="e">
        <x:f>IF($A180="","",[1]!thsiFinD("ths_adjustment_nv_fund",D$3,$A180))</x:f>
        <x:v>#NAME?</x:v>
      </x:c>
      <x:c r="E180" t="e">
        <x:f>IF($A180="","",[1]!thsiFinD("ths_adjustment_nv_fund",E$3,$A180))</x:f>
        <x:v>#NAME?</x:v>
      </x:c>
      <x:c r="F180" t="e">
        <x:f>IF($A180="","",[1]!thsiFinD("ths_adjustment_nv_fund",F$3,$A180))</x:f>
        <x:v>#NAME?</x:v>
      </x:c>
      <x:c r="G180" t="e">
        <x:f>IF($A180="","",[1]!thsiFinD("ths_adjustment_nv_fund",G$3,$A180))</x:f>
        <x:v>#NAME?</x:v>
      </x:c>
      <x:c r="H180" t="e">
        <x:f>IF($A180="","",[1]!thsiFinD("ths_adjustment_nv_fund",H$3,$A180))</x:f>
        <x:v>#NAME?</x:v>
      </x:c>
      <x:c r="I180" t="e">
        <x:f>IF($A180="","",[1]!thsiFinD("ths_adjustment_nv_fund",I$3,$A180))</x:f>
        <x:v>#NAME?</x:v>
      </x:c>
      <x:c r="J180" t="e">
        <x:f>IF($A180="","",[1]!thsiFinD("ths_adjustment_nv_fund",J$3,$A180))</x:f>
        <x:v>#NAME?</x:v>
      </x:c>
      <x:c r="K180" t="e">
        <x:f>IF($A180="","",[1]!thsiFinD("ths_adjustment_nv_fund",K$3,$A180))</x:f>
        <x:v>#NAME?</x:v>
      </x:c>
      <x:c r="L180" t="e">
        <x:f>IF($A180="","",[1]!thsiFinD("ths_adjustment_nv_fund",L$3,$A180))</x:f>
        <x:v>#NAME?</x:v>
      </x:c>
      <x:c r="M180" t="e">
        <x:f>IF($A180="","",[1]!thsiFinD("ths_adjustment_nv_fund",M$3,$A180))</x:f>
        <x:v>#NAME?</x:v>
      </x:c>
      <x:c r="N180" t="e">
        <x:f>IF($A180="","",[1]!thsiFinD("ths_adjustment_nv_fund",N$3,$A180))</x:f>
        <x:v>#NAME?</x:v>
      </x:c>
      <x:c r="O180" t="e">
        <x:f>IF($A180="","",[1]!thsiFinD("ths_adjustment_nv_fund",O$3,$A180))</x:f>
        <x:v>#NAME?</x:v>
      </x:c>
      <x:c r="P180" t="e">
        <x:f>IF($A180="","",[1]!thsiFinD("ths_adjustment_nv_fund",P$3,$A180))</x:f>
        <x:v>#NAME?</x:v>
      </x:c>
      <x:c r="Q180" t="e">
        <x:f>IF($A180="","",[1]!thsiFinD("ths_adjustment_nv_fund",Q$3,$A180))</x:f>
        <x:v>#NAME?</x:v>
      </x:c>
      <x:c r="R180" t="e">
        <x:f>IF($A180="","",[1]!thsiFinD("ths_adjustment_nv_fund",R$3,$A180))</x:f>
        <x:v>#NAME?</x:v>
      </x:c>
      <x:c r="S180" t="e">
        <x:f>IF($A180="","",[1]!thsiFinD("ths_adjustment_nv_fund",S$3,$A180))</x:f>
        <x:v>#NAME?</x:v>
      </x:c>
      <x:c r="T180" t="e">
        <x:f>IF($A180="","",[1]!thsiFinD("ths_adjustment_nv_fund",T$3,$A180))</x:f>
        <x:v>#NAME?</x:v>
      </x:c>
      <x:c r="U180" t="e">
        <x:f>IF($A180="","",[1]!thsiFinD("ths_adjustment_nv_fund",U$3,$A180))</x:f>
        <x:v>#NAME?</x:v>
      </x:c>
      <x:c r="V180" t="e">
        <x:f>IF($A180="","",[1]!thsiFinD("ths_adjustment_nv_fund",V$3,$A180))</x:f>
        <x:v>#NAME?</x:v>
      </x:c>
      <x:c r="W180" t="e">
        <x:f>IF($A180="","",[1]!thsiFinD("ths_adjustment_nv_fund",W$3,$A180))</x:f>
        <x:v>#NAME?</x:v>
      </x:c>
      <x:c r="X180" t="e">
        <x:f>IF($A180="","",[1]!thsiFinD("ths_adjustment_nv_fund",X$3,$A180))</x:f>
        <x:v>#NAME?</x:v>
      </x:c>
      <x:c r="Y180" t="e">
        <x:f>IF($A180="","",[1]!thsiFinD("ths_adjustment_nv_fund",Y$3,$A180))</x:f>
        <x:v>#NAME?</x:v>
      </x:c>
    </x:row>
    <x:row r="181">
      <x:c r="B181" t="e">
        <x:f>IF($A181="","",[1]!thsiFinD("ths_adjustment_nv_fund",B$3,$A181))</x:f>
        <x:v>#NAME?</x:v>
      </x:c>
      <x:c r="C181" t="e">
        <x:f>IF($A181="","",[1]!thsiFinD("ths_adjustment_nv_fund",C$3,$A181))</x:f>
        <x:v>#NAME?</x:v>
      </x:c>
      <x:c r="D181" t="e">
        <x:f>IF($A181="","",[1]!thsiFinD("ths_adjustment_nv_fund",D$3,$A181))</x:f>
        <x:v>#NAME?</x:v>
      </x:c>
      <x:c r="E181" t="e">
        <x:f>IF($A181="","",[1]!thsiFinD("ths_adjustment_nv_fund",E$3,$A181))</x:f>
        <x:v>#NAME?</x:v>
      </x:c>
      <x:c r="F181" t="e">
        <x:f>IF($A181="","",[1]!thsiFinD("ths_adjustment_nv_fund",F$3,$A181))</x:f>
        <x:v>#NAME?</x:v>
      </x:c>
      <x:c r="G181" t="e">
        <x:f>IF($A181="","",[1]!thsiFinD("ths_adjustment_nv_fund",G$3,$A181))</x:f>
        <x:v>#NAME?</x:v>
      </x:c>
      <x:c r="H181" t="e">
        <x:f>IF($A181="","",[1]!thsiFinD("ths_adjustment_nv_fund",H$3,$A181))</x:f>
        <x:v>#NAME?</x:v>
      </x:c>
      <x:c r="I181" t="e">
        <x:f>IF($A181="","",[1]!thsiFinD("ths_adjustment_nv_fund",I$3,$A181))</x:f>
        <x:v>#NAME?</x:v>
      </x:c>
      <x:c r="J181" t="e">
        <x:f>IF($A181="","",[1]!thsiFinD("ths_adjustment_nv_fund",J$3,$A181))</x:f>
        <x:v>#NAME?</x:v>
      </x:c>
      <x:c r="K181" t="e">
        <x:f>IF($A181="","",[1]!thsiFinD("ths_adjustment_nv_fund",K$3,$A181))</x:f>
        <x:v>#NAME?</x:v>
      </x:c>
      <x:c r="L181" t="e">
        <x:f>IF($A181="","",[1]!thsiFinD("ths_adjustment_nv_fund",L$3,$A181))</x:f>
        <x:v>#NAME?</x:v>
      </x:c>
      <x:c r="M181" t="e">
        <x:f>IF($A181="","",[1]!thsiFinD("ths_adjustment_nv_fund",M$3,$A181))</x:f>
        <x:v>#NAME?</x:v>
      </x:c>
      <x:c r="N181" t="e">
        <x:f>IF($A181="","",[1]!thsiFinD("ths_adjustment_nv_fund",N$3,$A181))</x:f>
        <x:v>#NAME?</x:v>
      </x:c>
      <x:c r="O181" t="e">
        <x:f>IF($A181="","",[1]!thsiFinD("ths_adjustment_nv_fund",O$3,$A181))</x:f>
        <x:v>#NAME?</x:v>
      </x:c>
      <x:c r="P181" t="e">
        <x:f>IF($A181="","",[1]!thsiFinD("ths_adjustment_nv_fund",P$3,$A181))</x:f>
        <x:v>#NAME?</x:v>
      </x:c>
      <x:c r="Q181" t="e">
        <x:f>IF($A181="","",[1]!thsiFinD("ths_adjustment_nv_fund",Q$3,$A181))</x:f>
        <x:v>#NAME?</x:v>
      </x:c>
      <x:c r="R181" t="e">
        <x:f>IF($A181="","",[1]!thsiFinD("ths_adjustment_nv_fund",R$3,$A181))</x:f>
        <x:v>#NAME?</x:v>
      </x:c>
      <x:c r="S181" t="e">
        <x:f>IF($A181="","",[1]!thsiFinD("ths_adjustment_nv_fund",S$3,$A181))</x:f>
        <x:v>#NAME?</x:v>
      </x:c>
      <x:c r="T181" t="e">
        <x:f>IF($A181="","",[1]!thsiFinD("ths_adjustment_nv_fund",T$3,$A181))</x:f>
        <x:v>#NAME?</x:v>
      </x:c>
      <x:c r="U181" t="e">
        <x:f>IF($A181="","",[1]!thsiFinD("ths_adjustment_nv_fund",U$3,$A181))</x:f>
        <x:v>#NAME?</x:v>
      </x:c>
      <x:c r="V181" t="e">
        <x:f>IF($A181="","",[1]!thsiFinD("ths_adjustment_nv_fund",V$3,$A181))</x:f>
        <x:v>#NAME?</x:v>
      </x:c>
      <x:c r="W181" t="e">
        <x:f>IF($A181="","",[1]!thsiFinD("ths_adjustment_nv_fund",W$3,$A181))</x:f>
        <x:v>#NAME?</x:v>
      </x:c>
      <x:c r="X181" t="e">
        <x:f>IF($A181="","",[1]!thsiFinD("ths_adjustment_nv_fund",X$3,$A181))</x:f>
        <x:v>#NAME?</x:v>
      </x:c>
      <x:c r="Y181" t="e">
        <x:f>IF($A181="","",[1]!thsiFinD("ths_adjustment_nv_fund",Y$3,$A181))</x:f>
        <x:v>#NAME?</x:v>
      </x:c>
    </x:row>
    <x:row r="182">
      <x:c r="B182" t="e">
        <x:f>IF($A182="","",[1]!thsiFinD("ths_adjustment_nv_fund",B$3,$A182))</x:f>
        <x:v>#NAME?</x:v>
      </x:c>
      <x:c r="C182" t="e">
        <x:f>IF($A182="","",[1]!thsiFinD("ths_adjustment_nv_fund",C$3,$A182))</x:f>
        <x:v>#NAME?</x:v>
      </x:c>
      <x:c r="D182" t="e">
        <x:f>IF($A182="","",[1]!thsiFinD("ths_adjustment_nv_fund",D$3,$A182))</x:f>
        <x:v>#NAME?</x:v>
      </x:c>
      <x:c r="E182" t="e">
        <x:f>IF($A182="","",[1]!thsiFinD("ths_adjustment_nv_fund",E$3,$A182))</x:f>
        <x:v>#NAME?</x:v>
      </x:c>
      <x:c r="F182" t="e">
        <x:f>IF($A182="","",[1]!thsiFinD("ths_adjustment_nv_fund",F$3,$A182))</x:f>
        <x:v>#NAME?</x:v>
      </x:c>
      <x:c r="G182" t="e">
        <x:f>IF($A182="","",[1]!thsiFinD("ths_adjustment_nv_fund",G$3,$A182))</x:f>
        <x:v>#NAME?</x:v>
      </x:c>
      <x:c r="H182" t="e">
        <x:f>IF($A182="","",[1]!thsiFinD("ths_adjustment_nv_fund",H$3,$A182))</x:f>
        <x:v>#NAME?</x:v>
      </x:c>
      <x:c r="I182" t="e">
        <x:f>IF($A182="","",[1]!thsiFinD("ths_adjustment_nv_fund",I$3,$A182))</x:f>
        <x:v>#NAME?</x:v>
      </x:c>
      <x:c r="J182" t="e">
        <x:f>IF($A182="","",[1]!thsiFinD("ths_adjustment_nv_fund",J$3,$A182))</x:f>
        <x:v>#NAME?</x:v>
      </x:c>
      <x:c r="K182" t="e">
        <x:f>IF($A182="","",[1]!thsiFinD("ths_adjustment_nv_fund",K$3,$A182))</x:f>
        <x:v>#NAME?</x:v>
      </x:c>
      <x:c r="L182" t="e">
        <x:f>IF($A182="","",[1]!thsiFinD("ths_adjustment_nv_fund",L$3,$A182))</x:f>
        <x:v>#NAME?</x:v>
      </x:c>
      <x:c r="M182" t="e">
        <x:f>IF($A182="","",[1]!thsiFinD("ths_adjustment_nv_fund",M$3,$A182))</x:f>
        <x:v>#NAME?</x:v>
      </x:c>
      <x:c r="N182" t="e">
        <x:f>IF($A182="","",[1]!thsiFinD("ths_adjustment_nv_fund",N$3,$A182))</x:f>
        <x:v>#NAME?</x:v>
      </x:c>
      <x:c r="O182" t="e">
        <x:f>IF($A182="","",[1]!thsiFinD("ths_adjustment_nv_fund",O$3,$A182))</x:f>
        <x:v>#NAME?</x:v>
      </x:c>
      <x:c r="P182" t="e">
        <x:f>IF($A182="","",[1]!thsiFinD("ths_adjustment_nv_fund",P$3,$A182))</x:f>
        <x:v>#NAME?</x:v>
      </x:c>
      <x:c r="Q182" t="e">
        <x:f>IF($A182="","",[1]!thsiFinD("ths_adjustment_nv_fund",Q$3,$A182))</x:f>
        <x:v>#NAME?</x:v>
      </x:c>
      <x:c r="R182" t="e">
        <x:f>IF($A182="","",[1]!thsiFinD("ths_adjustment_nv_fund",R$3,$A182))</x:f>
        <x:v>#NAME?</x:v>
      </x:c>
      <x:c r="S182" t="e">
        <x:f>IF($A182="","",[1]!thsiFinD("ths_adjustment_nv_fund",S$3,$A182))</x:f>
        <x:v>#NAME?</x:v>
      </x:c>
      <x:c r="T182" t="e">
        <x:f>IF($A182="","",[1]!thsiFinD("ths_adjustment_nv_fund",T$3,$A182))</x:f>
        <x:v>#NAME?</x:v>
      </x:c>
      <x:c r="U182" t="e">
        <x:f>IF($A182="","",[1]!thsiFinD("ths_adjustment_nv_fund",U$3,$A182))</x:f>
        <x:v>#NAME?</x:v>
      </x:c>
      <x:c r="V182" t="e">
        <x:f>IF($A182="","",[1]!thsiFinD("ths_adjustment_nv_fund",V$3,$A182))</x:f>
        <x:v>#NAME?</x:v>
      </x:c>
      <x:c r="W182" t="e">
        <x:f>IF($A182="","",[1]!thsiFinD("ths_adjustment_nv_fund",W$3,$A182))</x:f>
        <x:v>#NAME?</x:v>
      </x:c>
      <x:c r="X182" t="e">
        <x:f>IF($A182="","",[1]!thsiFinD("ths_adjustment_nv_fund",X$3,$A182))</x:f>
        <x:v>#NAME?</x:v>
      </x:c>
      <x:c r="Y182" t="e">
        <x:f>IF($A182="","",[1]!thsiFinD("ths_adjustment_nv_fund",Y$3,$A182))</x:f>
        <x:v>#NAME?</x:v>
      </x:c>
    </x:row>
    <x:row r="183">
      <x:c r="B183" t="e">
        <x:f>IF($A183="","",[1]!thsiFinD("ths_adjustment_nv_fund",B$3,$A183))</x:f>
        <x:v>#NAME?</x:v>
      </x:c>
      <x:c r="C183" t="e">
        <x:f>IF($A183="","",[1]!thsiFinD("ths_adjustment_nv_fund",C$3,$A183))</x:f>
        <x:v>#NAME?</x:v>
      </x:c>
      <x:c r="D183" t="e">
        <x:f>IF($A183="","",[1]!thsiFinD("ths_adjustment_nv_fund",D$3,$A183))</x:f>
        <x:v>#NAME?</x:v>
      </x:c>
      <x:c r="E183" t="e">
        <x:f>IF($A183="","",[1]!thsiFinD("ths_adjustment_nv_fund",E$3,$A183))</x:f>
        <x:v>#NAME?</x:v>
      </x:c>
      <x:c r="F183" t="e">
        <x:f>IF($A183="","",[1]!thsiFinD("ths_adjustment_nv_fund",F$3,$A183))</x:f>
        <x:v>#NAME?</x:v>
      </x:c>
      <x:c r="G183" t="e">
        <x:f>IF($A183="","",[1]!thsiFinD("ths_adjustment_nv_fund",G$3,$A183))</x:f>
        <x:v>#NAME?</x:v>
      </x:c>
      <x:c r="H183" t="e">
        <x:f>IF($A183="","",[1]!thsiFinD("ths_adjustment_nv_fund",H$3,$A183))</x:f>
        <x:v>#NAME?</x:v>
      </x:c>
      <x:c r="I183" t="e">
        <x:f>IF($A183="","",[1]!thsiFinD("ths_adjustment_nv_fund",I$3,$A183))</x:f>
        <x:v>#NAME?</x:v>
      </x:c>
      <x:c r="J183" t="e">
        <x:f>IF($A183="","",[1]!thsiFinD("ths_adjustment_nv_fund",J$3,$A183))</x:f>
        <x:v>#NAME?</x:v>
      </x:c>
      <x:c r="K183" t="e">
        <x:f>IF($A183="","",[1]!thsiFinD("ths_adjustment_nv_fund",K$3,$A183))</x:f>
        <x:v>#NAME?</x:v>
      </x:c>
      <x:c r="L183" t="e">
        <x:f>IF($A183="","",[1]!thsiFinD("ths_adjustment_nv_fund",L$3,$A183))</x:f>
        <x:v>#NAME?</x:v>
      </x:c>
      <x:c r="M183" t="e">
        <x:f>IF($A183="","",[1]!thsiFinD("ths_adjustment_nv_fund",M$3,$A183))</x:f>
        <x:v>#NAME?</x:v>
      </x:c>
      <x:c r="N183" t="e">
        <x:f>IF($A183="","",[1]!thsiFinD("ths_adjustment_nv_fund",N$3,$A183))</x:f>
        <x:v>#NAME?</x:v>
      </x:c>
      <x:c r="O183" t="e">
        <x:f>IF($A183="","",[1]!thsiFinD("ths_adjustment_nv_fund",O$3,$A183))</x:f>
        <x:v>#NAME?</x:v>
      </x:c>
      <x:c r="P183" t="e">
        <x:f>IF($A183="","",[1]!thsiFinD("ths_adjustment_nv_fund",P$3,$A183))</x:f>
        <x:v>#NAME?</x:v>
      </x:c>
      <x:c r="Q183" t="e">
        <x:f>IF($A183="","",[1]!thsiFinD("ths_adjustment_nv_fund",Q$3,$A183))</x:f>
        <x:v>#NAME?</x:v>
      </x:c>
      <x:c r="R183" t="e">
        <x:f>IF($A183="","",[1]!thsiFinD("ths_adjustment_nv_fund",R$3,$A183))</x:f>
        <x:v>#NAME?</x:v>
      </x:c>
      <x:c r="S183" t="e">
        <x:f>IF($A183="","",[1]!thsiFinD("ths_adjustment_nv_fund",S$3,$A183))</x:f>
        <x:v>#NAME?</x:v>
      </x:c>
      <x:c r="T183" t="e">
        <x:f>IF($A183="","",[1]!thsiFinD("ths_adjustment_nv_fund",T$3,$A183))</x:f>
        <x:v>#NAME?</x:v>
      </x:c>
      <x:c r="U183" t="e">
        <x:f>IF($A183="","",[1]!thsiFinD("ths_adjustment_nv_fund",U$3,$A183))</x:f>
        <x:v>#NAME?</x:v>
      </x:c>
      <x:c r="V183" t="e">
        <x:f>IF($A183="","",[1]!thsiFinD("ths_adjustment_nv_fund",V$3,$A183))</x:f>
        <x:v>#NAME?</x:v>
      </x:c>
      <x:c r="W183" t="e">
        <x:f>IF($A183="","",[1]!thsiFinD("ths_adjustment_nv_fund",W$3,$A183))</x:f>
        <x:v>#NAME?</x:v>
      </x:c>
      <x:c r="X183" t="e">
        <x:f>IF($A183="","",[1]!thsiFinD("ths_adjustment_nv_fund",X$3,$A183))</x:f>
        <x:v>#NAME?</x:v>
      </x:c>
      <x:c r="Y183" t="e">
        <x:f>IF($A183="","",[1]!thsiFinD("ths_adjustment_nv_fund",Y$3,$A183))</x:f>
        <x:v>#NAME?</x:v>
      </x:c>
    </x:row>
    <x:row r="184">
      <x:c r="B184" t="e">
        <x:f>IF($A184="","",[1]!thsiFinD("ths_adjustment_nv_fund",B$3,$A184))</x:f>
        <x:v>#NAME?</x:v>
      </x:c>
      <x:c r="C184" t="e">
        <x:f>IF($A184="","",[1]!thsiFinD("ths_adjustment_nv_fund",C$3,$A184))</x:f>
        <x:v>#NAME?</x:v>
      </x:c>
      <x:c r="D184" t="e">
        <x:f>IF($A184="","",[1]!thsiFinD("ths_adjustment_nv_fund",D$3,$A184))</x:f>
        <x:v>#NAME?</x:v>
      </x:c>
      <x:c r="E184" t="e">
        <x:f>IF($A184="","",[1]!thsiFinD("ths_adjustment_nv_fund",E$3,$A184))</x:f>
        <x:v>#NAME?</x:v>
      </x:c>
      <x:c r="F184" t="e">
        <x:f>IF($A184="","",[1]!thsiFinD("ths_adjustment_nv_fund",F$3,$A184))</x:f>
        <x:v>#NAME?</x:v>
      </x:c>
      <x:c r="G184" t="e">
        <x:f>IF($A184="","",[1]!thsiFinD("ths_adjustment_nv_fund",G$3,$A184))</x:f>
        <x:v>#NAME?</x:v>
      </x:c>
      <x:c r="H184" t="e">
        <x:f>IF($A184="","",[1]!thsiFinD("ths_adjustment_nv_fund",H$3,$A184))</x:f>
        <x:v>#NAME?</x:v>
      </x:c>
      <x:c r="I184" t="e">
        <x:f>IF($A184="","",[1]!thsiFinD("ths_adjustment_nv_fund",I$3,$A184))</x:f>
        <x:v>#NAME?</x:v>
      </x:c>
      <x:c r="J184" t="e">
        <x:f>IF($A184="","",[1]!thsiFinD("ths_adjustment_nv_fund",J$3,$A184))</x:f>
        <x:v>#NAME?</x:v>
      </x:c>
      <x:c r="K184" t="e">
        <x:f>IF($A184="","",[1]!thsiFinD("ths_adjustment_nv_fund",K$3,$A184))</x:f>
        <x:v>#NAME?</x:v>
      </x:c>
      <x:c r="L184" t="e">
        <x:f>IF($A184="","",[1]!thsiFinD("ths_adjustment_nv_fund",L$3,$A184))</x:f>
        <x:v>#NAME?</x:v>
      </x:c>
      <x:c r="M184" t="e">
        <x:f>IF($A184="","",[1]!thsiFinD("ths_adjustment_nv_fund",M$3,$A184))</x:f>
        <x:v>#NAME?</x:v>
      </x:c>
      <x:c r="N184" t="e">
        <x:f>IF($A184="","",[1]!thsiFinD("ths_adjustment_nv_fund",N$3,$A184))</x:f>
        <x:v>#NAME?</x:v>
      </x:c>
      <x:c r="O184" t="e">
        <x:f>IF($A184="","",[1]!thsiFinD("ths_adjustment_nv_fund",O$3,$A184))</x:f>
        <x:v>#NAME?</x:v>
      </x:c>
      <x:c r="P184" t="e">
        <x:f>IF($A184="","",[1]!thsiFinD("ths_adjustment_nv_fund",P$3,$A184))</x:f>
        <x:v>#NAME?</x:v>
      </x:c>
      <x:c r="Q184" t="e">
        <x:f>IF($A184="","",[1]!thsiFinD("ths_adjustment_nv_fund",Q$3,$A184))</x:f>
        <x:v>#NAME?</x:v>
      </x:c>
      <x:c r="R184" t="e">
        <x:f>IF($A184="","",[1]!thsiFinD("ths_adjustment_nv_fund",R$3,$A184))</x:f>
        <x:v>#NAME?</x:v>
      </x:c>
      <x:c r="S184" t="e">
        <x:f>IF($A184="","",[1]!thsiFinD("ths_adjustment_nv_fund",S$3,$A184))</x:f>
        <x:v>#NAME?</x:v>
      </x:c>
      <x:c r="T184" t="e">
        <x:f>IF($A184="","",[1]!thsiFinD("ths_adjustment_nv_fund",T$3,$A184))</x:f>
        <x:v>#NAME?</x:v>
      </x:c>
      <x:c r="U184" t="e">
        <x:f>IF($A184="","",[1]!thsiFinD("ths_adjustment_nv_fund",U$3,$A184))</x:f>
        <x:v>#NAME?</x:v>
      </x:c>
      <x:c r="V184" t="e">
        <x:f>IF($A184="","",[1]!thsiFinD("ths_adjustment_nv_fund",V$3,$A184))</x:f>
        <x:v>#NAME?</x:v>
      </x:c>
      <x:c r="W184" t="e">
        <x:f>IF($A184="","",[1]!thsiFinD("ths_adjustment_nv_fund",W$3,$A184))</x:f>
        <x:v>#NAME?</x:v>
      </x:c>
      <x:c r="X184" t="e">
        <x:f>IF($A184="","",[1]!thsiFinD("ths_adjustment_nv_fund",X$3,$A184))</x:f>
        <x:v>#NAME?</x:v>
      </x:c>
      <x:c r="Y184" t="e">
        <x:f>IF($A184="","",[1]!thsiFinD("ths_adjustment_nv_fund",Y$3,$A184))</x:f>
        <x:v>#NAME?</x:v>
      </x:c>
    </x:row>
    <x:row r="185">
      <x:c r="B185" t="e">
        <x:f>IF($A185="","",[1]!thsiFinD("ths_adjustment_nv_fund",B$3,$A185))</x:f>
        <x:v>#NAME?</x:v>
      </x:c>
      <x:c r="C185" t="e">
        <x:f>IF($A185="","",[1]!thsiFinD("ths_adjustment_nv_fund",C$3,$A185))</x:f>
        <x:v>#NAME?</x:v>
      </x:c>
      <x:c r="D185" t="e">
        <x:f>IF($A185="","",[1]!thsiFinD("ths_adjustment_nv_fund",D$3,$A185))</x:f>
        <x:v>#NAME?</x:v>
      </x:c>
      <x:c r="E185" t="e">
        <x:f>IF($A185="","",[1]!thsiFinD("ths_adjustment_nv_fund",E$3,$A185))</x:f>
        <x:v>#NAME?</x:v>
      </x:c>
      <x:c r="F185" t="e">
        <x:f>IF($A185="","",[1]!thsiFinD("ths_adjustment_nv_fund",F$3,$A185))</x:f>
        <x:v>#NAME?</x:v>
      </x:c>
      <x:c r="G185" t="e">
        <x:f>IF($A185="","",[1]!thsiFinD("ths_adjustment_nv_fund",G$3,$A185))</x:f>
        <x:v>#NAME?</x:v>
      </x:c>
      <x:c r="H185" t="e">
        <x:f>IF($A185="","",[1]!thsiFinD("ths_adjustment_nv_fund",H$3,$A185))</x:f>
        <x:v>#NAME?</x:v>
      </x:c>
      <x:c r="I185" t="e">
        <x:f>IF($A185="","",[1]!thsiFinD("ths_adjustment_nv_fund",I$3,$A185))</x:f>
        <x:v>#NAME?</x:v>
      </x:c>
      <x:c r="J185" t="e">
        <x:f>IF($A185="","",[1]!thsiFinD("ths_adjustment_nv_fund",J$3,$A185))</x:f>
        <x:v>#NAME?</x:v>
      </x:c>
      <x:c r="K185" t="e">
        <x:f>IF($A185="","",[1]!thsiFinD("ths_adjustment_nv_fund",K$3,$A185))</x:f>
        <x:v>#NAME?</x:v>
      </x:c>
      <x:c r="L185" t="e">
        <x:f>IF($A185="","",[1]!thsiFinD("ths_adjustment_nv_fund",L$3,$A185))</x:f>
        <x:v>#NAME?</x:v>
      </x:c>
      <x:c r="M185" t="e">
        <x:f>IF($A185="","",[1]!thsiFinD("ths_adjustment_nv_fund",M$3,$A185))</x:f>
        <x:v>#NAME?</x:v>
      </x:c>
      <x:c r="N185" t="e">
        <x:f>IF($A185="","",[1]!thsiFinD("ths_adjustment_nv_fund",N$3,$A185))</x:f>
        <x:v>#NAME?</x:v>
      </x:c>
      <x:c r="O185" t="e">
        <x:f>IF($A185="","",[1]!thsiFinD("ths_adjustment_nv_fund",O$3,$A185))</x:f>
        <x:v>#NAME?</x:v>
      </x:c>
      <x:c r="P185" t="e">
        <x:f>IF($A185="","",[1]!thsiFinD("ths_adjustment_nv_fund",P$3,$A185))</x:f>
        <x:v>#NAME?</x:v>
      </x:c>
      <x:c r="Q185" t="e">
        <x:f>IF($A185="","",[1]!thsiFinD("ths_adjustment_nv_fund",Q$3,$A185))</x:f>
        <x:v>#NAME?</x:v>
      </x:c>
      <x:c r="R185" t="e">
        <x:f>IF($A185="","",[1]!thsiFinD("ths_adjustment_nv_fund",R$3,$A185))</x:f>
        <x:v>#NAME?</x:v>
      </x:c>
      <x:c r="S185" t="e">
        <x:f>IF($A185="","",[1]!thsiFinD("ths_adjustment_nv_fund",S$3,$A185))</x:f>
        <x:v>#NAME?</x:v>
      </x:c>
      <x:c r="T185" t="e">
        <x:f>IF($A185="","",[1]!thsiFinD("ths_adjustment_nv_fund",T$3,$A185))</x:f>
        <x:v>#NAME?</x:v>
      </x:c>
      <x:c r="U185" t="e">
        <x:f>IF($A185="","",[1]!thsiFinD("ths_adjustment_nv_fund",U$3,$A185))</x:f>
        <x:v>#NAME?</x:v>
      </x:c>
      <x:c r="V185" t="e">
        <x:f>IF($A185="","",[1]!thsiFinD("ths_adjustment_nv_fund",V$3,$A185))</x:f>
        <x:v>#NAME?</x:v>
      </x:c>
      <x:c r="W185" t="e">
        <x:f>IF($A185="","",[1]!thsiFinD("ths_adjustment_nv_fund",W$3,$A185))</x:f>
        <x:v>#NAME?</x:v>
      </x:c>
      <x:c r="X185" t="e">
        <x:f>IF($A185="","",[1]!thsiFinD("ths_adjustment_nv_fund",X$3,$A185))</x:f>
        <x:v>#NAME?</x:v>
      </x:c>
      <x:c r="Y185" t="e">
        <x:f>IF($A185="","",[1]!thsiFinD("ths_adjustment_nv_fund",Y$3,$A185))</x:f>
        <x:v>#NAME?</x:v>
      </x:c>
    </x:row>
    <x:row r="186">
      <x:c r="B186" t="e">
        <x:f>IF($A186="","",[1]!thsiFinD("ths_adjustment_nv_fund",B$3,$A186))</x:f>
        <x:v>#NAME?</x:v>
      </x:c>
      <x:c r="C186" t="e">
        <x:f>IF($A186="","",[1]!thsiFinD("ths_adjustment_nv_fund",C$3,$A186))</x:f>
        <x:v>#NAME?</x:v>
      </x:c>
      <x:c r="D186" t="e">
        <x:f>IF($A186="","",[1]!thsiFinD("ths_adjustment_nv_fund",D$3,$A186))</x:f>
        <x:v>#NAME?</x:v>
      </x:c>
      <x:c r="E186" t="e">
        <x:f>IF($A186="","",[1]!thsiFinD("ths_adjustment_nv_fund",E$3,$A186))</x:f>
        <x:v>#NAME?</x:v>
      </x:c>
      <x:c r="F186" t="e">
        <x:f>IF($A186="","",[1]!thsiFinD("ths_adjustment_nv_fund",F$3,$A186))</x:f>
        <x:v>#NAME?</x:v>
      </x:c>
      <x:c r="G186" t="e">
        <x:f>IF($A186="","",[1]!thsiFinD("ths_adjustment_nv_fund",G$3,$A186))</x:f>
        <x:v>#NAME?</x:v>
      </x:c>
      <x:c r="H186" t="e">
        <x:f>IF($A186="","",[1]!thsiFinD("ths_adjustment_nv_fund",H$3,$A186))</x:f>
        <x:v>#NAME?</x:v>
      </x:c>
      <x:c r="I186" t="e">
        <x:f>IF($A186="","",[1]!thsiFinD("ths_adjustment_nv_fund",I$3,$A186))</x:f>
        <x:v>#NAME?</x:v>
      </x:c>
      <x:c r="J186" t="e">
        <x:f>IF($A186="","",[1]!thsiFinD("ths_adjustment_nv_fund",J$3,$A186))</x:f>
        <x:v>#NAME?</x:v>
      </x:c>
      <x:c r="K186" t="e">
        <x:f>IF($A186="","",[1]!thsiFinD("ths_adjustment_nv_fund",K$3,$A186))</x:f>
        <x:v>#NAME?</x:v>
      </x:c>
      <x:c r="L186" t="e">
        <x:f>IF($A186="","",[1]!thsiFinD("ths_adjustment_nv_fund",L$3,$A186))</x:f>
        <x:v>#NAME?</x:v>
      </x:c>
      <x:c r="M186" t="e">
        <x:f>IF($A186="","",[1]!thsiFinD("ths_adjustment_nv_fund",M$3,$A186))</x:f>
        <x:v>#NAME?</x:v>
      </x:c>
      <x:c r="N186" t="e">
        <x:f>IF($A186="","",[1]!thsiFinD("ths_adjustment_nv_fund",N$3,$A186))</x:f>
        <x:v>#NAME?</x:v>
      </x:c>
      <x:c r="O186" t="e">
        <x:f>IF($A186="","",[1]!thsiFinD("ths_adjustment_nv_fund",O$3,$A186))</x:f>
        <x:v>#NAME?</x:v>
      </x:c>
      <x:c r="P186" t="e">
        <x:f>IF($A186="","",[1]!thsiFinD("ths_adjustment_nv_fund",P$3,$A186))</x:f>
        <x:v>#NAME?</x:v>
      </x:c>
      <x:c r="Q186" t="e">
        <x:f>IF($A186="","",[1]!thsiFinD("ths_adjustment_nv_fund",Q$3,$A186))</x:f>
        <x:v>#NAME?</x:v>
      </x:c>
      <x:c r="R186" t="e">
        <x:f>IF($A186="","",[1]!thsiFinD("ths_adjustment_nv_fund",R$3,$A186))</x:f>
        <x:v>#NAME?</x:v>
      </x:c>
      <x:c r="S186" t="e">
        <x:f>IF($A186="","",[1]!thsiFinD("ths_adjustment_nv_fund",S$3,$A186))</x:f>
        <x:v>#NAME?</x:v>
      </x:c>
      <x:c r="T186" t="e">
        <x:f>IF($A186="","",[1]!thsiFinD("ths_adjustment_nv_fund",T$3,$A186))</x:f>
        <x:v>#NAME?</x:v>
      </x:c>
      <x:c r="U186" t="e">
        <x:f>IF($A186="","",[1]!thsiFinD("ths_adjustment_nv_fund",U$3,$A186))</x:f>
        <x:v>#NAME?</x:v>
      </x:c>
      <x:c r="V186" t="e">
        <x:f>IF($A186="","",[1]!thsiFinD("ths_adjustment_nv_fund",V$3,$A186))</x:f>
        <x:v>#NAME?</x:v>
      </x:c>
      <x:c r="W186" t="e">
        <x:f>IF($A186="","",[1]!thsiFinD("ths_adjustment_nv_fund",W$3,$A186))</x:f>
        <x:v>#NAME?</x:v>
      </x:c>
      <x:c r="X186" t="e">
        <x:f>IF($A186="","",[1]!thsiFinD("ths_adjustment_nv_fund",X$3,$A186))</x:f>
        <x:v>#NAME?</x:v>
      </x:c>
      <x:c r="Y186" t="e">
        <x:f>IF($A186="","",[1]!thsiFinD("ths_adjustment_nv_fund",Y$3,$A186))</x:f>
        <x:v>#NAME?</x:v>
      </x:c>
    </x:row>
    <x:row r="187">
      <x:c r="B187" t="e">
        <x:f>IF($A187="","",[1]!thsiFinD("ths_adjustment_nv_fund",B$3,$A187))</x:f>
        <x:v>#NAME?</x:v>
      </x:c>
      <x:c r="C187" t="e">
        <x:f>IF($A187="","",[1]!thsiFinD("ths_adjustment_nv_fund",C$3,$A187))</x:f>
        <x:v>#NAME?</x:v>
      </x:c>
      <x:c r="D187" t="e">
        <x:f>IF($A187="","",[1]!thsiFinD("ths_adjustment_nv_fund",D$3,$A187))</x:f>
        <x:v>#NAME?</x:v>
      </x:c>
      <x:c r="E187" t="e">
        <x:f>IF($A187="","",[1]!thsiFinD("ths_adjustment_nv_fund",E$3,$A187))</x:f>
        <x:v>#NAME?</x:v>
      </x:c>
      <x:c r="F187" t="e">
        <x:f>IF($A187="","",[1]!thsiFinD("ths_adjustment_nv_fund",F$3,$A187))</x:f>
        <x:v>#NAME?</x:v>
      </x:c>
      <x:c r="G187" t="e">
        <x:f>IF($A187="","",[1]!thsiFinD("ths_adjustment_nv_fund",G$3,$A187))</x:f>
        <x:v>#NAME?</x:v>
      </x:c>
      <x:c r="H187" t="e">
        <x:f>IF($A187="","",[1]!thsiFinD("ths_adjustment_nv_fund",H$3,$A187))</x:f>
        <x:v>#NAME?</x:v>
      </x:c>
      <x:c r="I187" t="e">
        <x:f>IF($A187="","",[1]!thsiFinD("ths_adjustment_nv_fund",I$3,$A187))</x:f>
        <x:v>#NAME?</x:v>
      </x:c>
      <x:c r="J187" t="e">
        <x:f>IF($A187="","",[1]!thsiFinD("ths_adjustment_nv_fund",J$3,$A187))</x:f>
        <x:v>#NAME?</x:v>
      </x:c>
      <x:c r="K187" t="e">
        <x:f>IF($A187="","",[1]!thsiFinD("ths_adjustment_nv_fund",K$3,$A187))</x:f>
        <x:v>#NAME?</x:v>
      </x:c>
      <x:c r="L187" t="e">
        <x:f>IF($A187="","",[1]!thsiFinD("ths_adjustment_nv_fund",L$3,$A187))</x:f>
        <x:v>#NAME?</x:v>
      </x:c>
      <x:c r="M187" t="e">
        <x:f>IF($A187="","",[1]!thsiFinD("ths_adjustment_nv_fund",M$3,$A187))</x:f>
        <x:v>#NAME?</x:v>
      </x:c>
      <x:c r="N187" t="e">
        <x:f>IF($A187="","",[1]!thsiFinD("ths_adjustment_nv_fund",N$3,$A187))</x:f>
        <x:v>#NAME?</x:v>
      </x:c>
      <x:c r="O187" t="e">
        <x:f>IF($A187="","",[1]!thsiFinD("ths_adjustment_nv_fund",O$3,$A187))</x:f>
        <x:v>#NAME?</x:v>
      </x:c>
      <x:c r="P187" t="e">
        <x:f>IF($A187="","",[1]!thsiFinD("ths_adjustment_nv_fund",P$3,$A187))</x:f>
        <x:v>#NAME?</x:v>
      </x:c>
      <x:c r="Q187" t="e">
        <x:f>IF($A187="","",[1]!thsiFinD("ths_adjustment_nv_fund",Q$3,$A187))</x:f>
        <x:v>#NAME?</x:v>
      </x:c>
      <x:c r="R187" t="e">
        <x:f>IF($A187="","",[1]!thsiFinD("ths_adjustment_nv_fund",R$3,$A187))</x:f>
        <x:v>#NAME?</x:v>
      </x:c>
      <x:c r="S187" t="e">
        <x:f>IF($A187="","",[1]!thsiFinD("ths_adjustment_nv_fund",S$3,$A187))</x:f>
        <x:v>#NAME?</x:v>
      </x:c>
      <x:c r="T187" t="e">
        <x:f>IF($A187="","",[1]!thsiFinD("ths_adjustment_nv_fund",T$3,$A187))</x:f>
        <x:v>#NAME?</x:v>
      </x:c>
      <x:c r="U187" t="e">
        <x:f>IF($A187="","",[1]!thsiFinD("ths_adjustment_nv_fund",U$3,$A187))</x:f>
        <x:v>#NAME?</x:v>
      </x:c>
      <x:c r="V187" t="e">
        <x:f>IF($A187="","",[1]!thsiFinD("ths_adjustment_nv_fund",V$3,$A187))</x:f>
        <x:v>#NAME?</x:v>
      </x:c>
      <x:c r="W187" t="e">
        <x:f>IF($A187="","",[1]!thsiFinD("ths_adjustment_nv_fund",W$3,$A187))</x:f>
        <x:v>#NAME?</x:v>
      </x:c>
      <x:c r="X187" t="e">
        <x:f>IF($A187="","",[1]!thsiFinD("ths_adjustment_nv_fund",X$3,$A187))</x:f>
        <x:v>#NAME?</x:v>
      </x:c>
      <x:c r="Y187" t="e">
        <x:f>IF($A187="","",[1]!thsiFinD("ths_adjustment_nv_fund",Y$3,$A187))</x:f>
        <x:v>#NAME?</x:v>
      </x:c>
    </x:row>
    <x:row r="188">
      <x:c r="B188" t="e">
        <x:f>IF($A188="","",[1]!thsiFinD("ths_adjustment_nv_fund",B$3,$A188))</x:f>
        <x:v>#NAME?</x:v>
      </x:c>
      <x:c r="C188" t="e">
        <x:f>IF($A188="","",[1]!thsiFinD("ths_adjustment_nv_fund",C$3,$A188))</x:f>
        <x:v>#NAME?</x:v>
      </x:c>
      <x:c r="D188" t="e">
        <x:f>IF($A188="","",[1]!thsiFinD("ths_adjustment_nv_fund",D$3,$A188))</x:f>
        <x:v>#NAME?</x:v>
      </x:c>
      <x:c r="E188" t="e">
        <x:f>IF($A188="","",[1]!thsiFinD("ths_adjustment_nv_fund",E$3,$A188))</x:f>
        <x:v>#NAME?</x:v>
      </x:c>
      <x:c r="F188" t="e">
        <x:f>IF($A188="","",[1]!thsiFinD("ths_adjustment_nv_fund",F$3,$A188))</x:f>
        <x:v>#NAME?</x:v>
      </x:c>
      <x:c r="G188" t="e">
        <x:f>IF($A188="","",[1]!thsiFinD("ths_adjustment_nv_fund",G$3,$A188))</x:f>
        <x:v>#NAME?</x:v>
      </x:c>
      <x:c r="H188" t="e">
        <x:f>IF($A188="","",[1]!thsiFinD("ths_adjustment_nv_fund",H$3,$A188))</x:f>
        <x:v>#NAME?</x:v>
      </x:c>
      <x:c r="I188" t="e">
        <x:f>IF($A188="","",[1]!thsiFinD("ths_adjustment_nv_fund",I$3,$A188))</x:f>
        <x:v>#NAME?</x:v>
      </x:c>
      <x:c r="J188" t="e">
        <x:f>IF($A188="","",[1]!thsiFinD("ths_adjustment_nv_fund",J$3,$A188))</x:f>
        <x:v>#NAME?</x:v>
      </x:c>
      <x:c r="K188" t="e">
        <x:f>IF($A188="","",[1]!thsiFinD("ths_adjustment_nv_fund",K$3,$A188))</x:f>
        <x:v>#NAME?</x:v>
      </x:c>
      <x:c r="L188" t="e">
        <x:f>IF($A188="","",[1]!thsiFinD("ths_adjustment_nv_fund",L$3,$A188))</x:f>
        <x:v>#NAME?</x:v>
      </x:c>
      <x:c r="M188" t="e">
        <x:f>IF($A188="","",[1]!thsiFinD("ths_adjustment_nv_fund",M$3,$A188))</x:f>
        <x:v>#NAME?</x:v>
      </x:c>
      <x:c r="N188" t="e">
        <x:f>IF($A188="","",[1]!thsiFinD("ths_adjustment_nv_fund",N$3,$A188))</x:f>
        <x:v>#NAME?</x:v>
      </x:c>
      <x:c r="O188" t="e">
        <x:f>IF($A188="","",[1]!thsiFinD("ths_adjustment_nv_fund",O$3,$A188))</x:f>
        <x:v>#NAME?</x:v>
      </x:c>
      <x:c r="P188" t="e">
        <x:f>IF($A188="","",[1]!thsiFinD("ths_adjustment_nv_fund",P$3,$A188))</x:f>
        <x:v>#NAME?</x:v>
      </x:c>
      <x:c r="Q188" t="e">
        <x:f>IF($A188="","",[1]!thsiFinD("ths_adjustment_nv_fund",Q$3,$A188))</x:f>
        <x:v>#NAME?</x:v>
      </x:c>
      <x:c r="R188" t="e">
        <x:f>IF($A188="","",[1]!thsiFinD("ths_adjustment_nv_fund",R$3,$A188))</x:f>
        <x:v>#NAME?</x:v>
      </x:c>
      <x:c r="S188" t="e">
        <x:f>IF($A188="","",[1]!thsiFinD("ths_adjustment_nv_fund",S$3,$A188))</x:f>
        <x:v>#NAME?</x:v>
      </x:c>
      <x:c r="T188" t="e">
        <x:f>IF($A188="","",[1]!thsiFinD("ths_adjustment_nv_fund",T$3,$A188))</x:f>
        <x:v>#NAME?</x:v>
      </x:c>
      <x:c r="U188" t="e">
        <x:f>IF($A188="","",[1]!thsiFinD("ths_adjustment_nv_fund",U$3,$A188))</x:f>
        <x:v>#NAME?</x:v>
      </x:c>
      <x:c r="V188" t="e">
        <x:f>IF($A188="","",[1]!thsiFinD("ths_adjustment_nv_fund",V$3,$A188))</x:f>
        <x:v>#NAME?</x:v>
      </x:c>
      <x:c r="W188" t="e">
        <x:f>IF($A188="","",[1]!thsiFinD("ths_adjustment_nv_fund",W$3,$A188))</x:f>
        <x:v>#NAME?</x:v>
      </x:c>
      <x:c r="X188" t="e">
        <x:f>IF($A188="","",[1]!thsiFinD("ths_adjustment_nv_fund",X$3,$A188))</x:f>
        <x:v>#NAME?</x:v>
      </x:c>
      <x:c r="Y188" t="e">
        <x:f>IF($A188="","",[1]!thsiFinD("ths_adjustment_nv_fund",Y$3,$A188))</x:f>
        <x:v>#NAME?</x:v>
      </x:c>
    </x:row>
    <x:row r="189">
      <x:c r="B189" t="e">
        <x:f>IF($A189="","",[1]!thsiFinD("ths_adjustment_nv_fund",B$3,$A189))</x:f>
        <x:v>#NAME?</x:v>
      </x:c>
      <x:c r="C189" t="e">
        <x:f>IF($A189="","",[1]!thsiFinD("ths_adjustment_nv_fund",C$3,$A189))</x:f>
        <x:v>#NAME?</x:v>
      </x:c>
      <x:c r="D189" t="e">
        <x:f>IF($A189="","",[1]!thsiFinD("ths_adjustment_nv_fund",D$3,$A189))</x:f>
        <x:v>#NAME?</x:v>
      </x:c>
      <x:c r="E189" t="e">
        <x:f>IF($A189="","",[1]!thsiFinD("ths_adjustment_nv_fund",E$3,$A189))</x:f>
        <x:v>#NAME?</x:v>
      </x:c>
      <x:c r="F189" t="e">
        <x:f>IF($A189="","",[1]!thsiFinD("ths_adjustment_nv_fund",F$3,$A189))</x:f>
        <x:v>#NAME?</x:v>
      </x:c>
      <x:c r="G189" t="e">
        <x:f>IF($A189="","",[1]!thsiFinD("ths_adjustment_nv_fund",G$3,$A189))</x:f>
        <x:v>#NAME?</x:v>
      </x:c>
      <x:c r="H189" t="e">
        <x:f>IF($A189="","",[1]!thsiFinD("ths_adjustment_nv_fund",H$3,$A189))</x:f>
        <x:v>#NAME?</x:v>
      </x:c>
      <x:c r="I189" t="e">
        <x:f>IF($A189="","",[1]!thsiFinD("ths_adjustment_nv_fund",I$3,$A189))</x:f>
        <x:v>#NAME?</x:v>
      </x:c>
      <x:c r="J189" t="e">
        <x:f>IF($A189="","",[1]!thsiFinD("ths_adjustment_nv_fund",J$3,$A189))</x:f>
        <x:v>#NAME?</x:v>
      </x:c>
      <x:c r="K189" t="e">
        <x:f>IF($A189="","",[1]!thsiFinD("ths_adjustment_nv_fund",K$3,$A189))</x:f>
        <x:v>#NAME?</x:v>
      </x:c>
      <x:c r="L189" t="e">
        <x:f>IF($A189="","",[1]!thsiFinD("ths_adjustment_nv_fund",L$3,$A189))</x:f>
        <x:v>#NAME?</x:v>
      </x:c>
      <x:c r="M189" t="e">
        <x:f>IF($A189="","",[1]!thsiFinD("ths_adjustment_nv_fund",M$3,$A189))</x:f>
        <x:v>#NAME?</x:v>
      </x:c>
      <x:c r="N189" t="e">
        <x:f>IF($A189="","",[1]!thsiFinD("ths_adjustment_nv_fund",N$3,$A189))</x:f>
        <x:v>#NAME?</x:v>
      </x:c>
      <x:c r="O189" t="e">
        <x:f>IF($A189="","",[1]!thsiFinD("ths_adjustment_nv_fund",O$3,$A189))</x:f>
        <x:v>#NAME?</x:v>
      </x:c>
      <x:c r="P189" t="e">
        <x:f>IF($A189="","",[1]!thsiFinD("ths_adjustment_nv_fund",P$3,$A189))</x:f>
        <x:v>#NAME?</x:v>
      </x:c>
      <x:c r="Q189" t="e">
        <x:f>IF($A189="","",[1]!thsiFinD("ths_adjustment_nv_fund",Q$3,$A189))</x:f>
        <x:v>#NAME?</x:v>
      </x:c>
      <x:c r="R189" t="e">
        <x:f>IF($A189="","",[1]!thsiFinD("ths_adjustment_nv_fund",R$3,$A189))</x:f>
        <x:v>#NAME?</x:v>
      </x:c>
      <x:c r="S189" t="e">
        <x:f>IF($A189="","",[1]!thsiFinD("ths_adjustment_nv_fund",S$3,$A189))</x:f>
        <x:v>#NAME?</x:v>
      </x:c>
      <x:c r="T189" t="e">
        <x:f>IF($A189="","",[1]!thsiFinD("ths_adjustment_nv_fund",T$3,$A189))</x:f>
        <x:v>#NAME?</x:v>
      </x:c>
      <x:c r="U189" t="e">
        <x:f>IF($A189="","",[1]!thsiFinD("ths_adjustment_nv_fund",U$3,$A189))</x:f>
        <x:v>#NAME?</x:v>
      </x:c>
      <x:c r="V189" t="e">
        <x:f>IF($A189="","",[1]!thsiFinD("ths_adjustment_nv_fund",V$3,$A189))</x:f>
        <x:v>#NAME?</x:v>
      </x:c>
      <x:c r="W189" t="e">
        <x:f>IF($A189="","",[1]!thsiFinD("ths_adjustment_nv_fund",W$3,$A189))</x:f>
        <x:v>#NAME?</x:v>
      </x:c>
      <x:c r="X189" t="e">
        <x:f>IF($A189="","",[1]!thsiFinD("ths_adjustment_nv_fund",X$3,$A189))</x:f>
        <x:v>#NAME?</x:v>
      </x:c>
      <x:c r="Y189" t="e">
        <x:f>IF($A189="","",[1]!thsiFinD("ths_adjustment_nv_fund",Y$3,$A189))</x:f>
        <x:v>#NAME?</x:v>
      </x:c>
    </x:row>
    <x:row r="190">
      <x:c r="B190" t="e">
        <x:f>IF($A190="","",[1]!thsiFinD("ths_adjustment_nv_fund",B$3,$A190))</x:f>
        <x:v>#NAME?</x:v>
      </x:c>
      <x:c r="C190" t="e">
        <x:f>IF($A190="","",[1]!thsiFinD("ths_adjustment_nv_fund",C$3,$A190))</x:f>
        <x:v>#NAME?</x:v>
      </x:c>
      <x:c r="D190" t="e">
        <x:f>IF($A190="","",[1]!thsiFinD("ths_adjustment_nv_fund",D$3,$A190))</x:f>
        <x:v>#NAME?</x:v>
      </x:c>
      <x:c r="E190" t="e">
        <x:f>IF($A190="","",[1]!thsiFinD("ths_adjustment_nv_fund",E$3,$A190))</x:f>
        <x:v>#NAME?</x:v>
      </x:c>
      <x:c r="F190" t="e">
        <x:f>IF($A190="","",[1]!thsiFinD("ths_adjustment_nv_fund",F$3,$A190))</x:f>
        <x:v>#NAME?</x:v>
      </x:c>
      <x:c r="G190" t="e">
        <x:f>IF($A190="","",[1]!thsiFinD("ths_adjustment_nv_fund",G$3,$A190))</x:f>
        <x:v>#NAME?</x:v>
      </x:c>
      <x:c r="H190" t="e">
        <x:f>IF($A190="","",[1]!thsiFinD("ths_adjustment_nv_fund",H$3,$A190))</x:f>
        <x:v>#NAME?</x:v>
      </x:c>
      <x:c r="I190" t="e">
        <x:f>IF($A190="","",[1]!thsiFinD("ths_adjustment_nv_fund",I$3,$A190))</x:f>
        <x:v>#NAME?</x:v>
      </x:c>
      <x:c r="J190" t="e">
        <x:f>IF($A190="","",[1]!thsiFinD("ths_adjustment_nv_fund",J$3,$A190))</x:f>
        <x:v>#NAME?</x:v>
      </x:c>
      <x:c r="K190" t="e">
        <x:f>IF($A190="","",[1]!thsiFinD("ths_adjustment_nv_fund",K$3,$A190))</x:f>
        <x:v>#NAME?</x:v>
      </x:c>
      <x:c r="L190" t="e">
        <x:f>IF($A190="","",[1]!thsiFinD("ths_adjustment_nv_fund",L$3,$A190))</x:f>
        <x:v>#NAME?</x:v>
      </x:c>
      <x:c r="M190" t="e">
        <x:f>IF($A190="","",[1]!thsiFinD("ths_adjustment_nv_fund",M$3,$A190))</x:f>
        <x:v>#NAME?</x:v>
      </x:c>
      <x:c r="N190" t="e">
        <x:f>IF($A190="","",[1]!thsiFinD("ths_adjustment_nv_fund",N$3,$A190))</x:f>
        <x:v>#NAME?</x:v>
      </x:c>
      <x:c r="O190" t="e">
        <x:f>IF($A190="","",[1]!thsiFinD("ths_adjustment_nv_fund",O$3,$A190))</x:f>
        <x:v>#NAME?</x:v>
      </x:c>
      <x:c r="P190" t="e">
        <x:f>IF($A190="","",[1]!thsiFinD("ths_adjustment_nv_fund",P$3,$A190))</x:f>
        <x:v>#NAME?</x:v>
      </x:c>
      <x:c r="Q190" t="e">
        <x:f>IF($A190="","",[1]!thsiFinD("ths_adjustment_nv_fund",Q$3,$A190))</x:f>
        <x:v>#NAME?</x:v>
      </x:c>
      <x:c r="R190" t="e">
        <x:f>IF($A190="","",[1]!thsiFinD("ths_adjustment_nv_fund",R$3,$A190))</x:f>
        <x:v>#NAME?</x:v>
      </x:c>
      <x:c r="S190" t="e">
        <x:f>IF($A190="","",[1]!thsiFinD("ths_adjustment_nv_fund",S$3,$A190))</x:f>
        <x:v>#NAME?</x:v>
      </x:c>
      <x:c r="T190" t="e">
        <x:f>IF($A190="","",[1]!thsiFinD("ths_adjustment_nv_fund",T$3,$A190))</x:f>
        <x:v>#NAME?</x:v>
      </x:c>
      <x:c r="U190" t="e">
        <x:f>IF($A190="","",[1]!thsiFinD("ths_adjustment_nv_fund",U$3,$A190))</x:f>
        <x:v>#NAME?</x:v>
      </x:c>
      <x:c r="V190" t="e">
        <x:f>IF($A190="","",[1]!thsiFinD("ths_adjustment_nv_fund",V$3,$A190))</x:f>
        <x:v>#NAME?</x:v>
      </x:c>
      <x:c r="W190" t="e">
        <x:f>IF($A190="","",[1]!thsiFinD("ths_adjustment_nv_fund",W$3,$A190))</x:f>
        <x:v>#NAME?</x:v>
      </x:c>
      <x:c r="X190" t="e">
        <x:f>IF($A190="","",[1]!thsiFinD("ths_adjustment_nv_fund",X$3,$A190))</x:f>
        <x:v>#NAME?</x:v>
      </x:c>
      <x:c r="Y190" t="e">
        <x:f>IF($A190="","",[1]!thsiFinD("ths_adjustment_nv_fund",Y$3,$A190))</x:f>
        <x:v>#NAME?</x:v>
      </x:c>
    </x:row>
    <x:row r="191">
      <x:c r="B191" t="e">
        <x:f>IF($A191="","",[1]!thsiFinD("ths_adjustment_nv_fund",B$3,$A191))</x:f>
        <x:v>#NAME?</x:v>
      </x:c>
      <x:c r="C191" t="e">
        <x:f>IF($A191="","",[1]!thsiFinD("ths_adjustment_nv_fund",C$3,$A191))</x:f>
        <x:v>#NAME?</x:v>
      </x:c>
      <x:c r="D191" t="e">
        <x:f>IF($A191="","",[1]!thsiFinD("ths_adjustment_nv_fund",D$3,$A191))</x:f>
        <x:v>#NAME?</x:v>
      </x:c>
      <x:c r="E191" t="e">
        <x:f>IF($A191="","",[1]!thsiFinD("ths_adjustment_nv_fund",E$3,$A191))</x:f>
        <x:v>#NAME?</x:v>
      </x:c>
      <x:c r="F191" t="e">
        <x:f>IF($A191="","",[1]!thsiFinD("ths_adjustment_nv_fund",F$3,$A191))</x:f>
        <x:v>#NAME?</x:v>
      </x:c>
      <x:c r="G191" t="e">
        <x:f>IF($A191="","",[1]!thsiFinD("ths_adjustment_nv_fund",G$3,$A191))</x:f>
        <x:v>#NAME?</x:v>
      </x:c>
      <x:c r="H191" t="e">
        <x:f>IF($A191="","",[1]!thsiFinD("ths_adjustment_nv_fund",H$3,$A191))</x:f>
        <x:v>#NAME?</x:v>
      </x:c>
      <x:c r="I191" t="e">
        <x:f>IF($A191="","",[1]!thsiFinD("ths_adjustment_nv_fund",I$3,$A191))</x:f>
        <x:v>#NAME?</x:v>
      </x:c>
      <x:c r="J191" t="e">
        <x:f>IF($A191="","",[1]!thsiFinD("ths_adjustment_nv_fund",J$3,$A191))</x:f>
        <x:v>#NAME?</x:v>
      </x:c>
      <x:c r="K191" t="e">
        <x:f>IF($A191="","",[1]!thsiFinD("ths_adjustment_nv_fund",K$3,$A191))</x:f>
        <x:v>#NAME?</x:v>
      </x:c>
      <x:c r="L191" t="e">
        <x:f>IF($A191="","",[1]!thsiFinD("ths_adjustment_nv_fund",L$3,$A191))</x:f>
        <x:v>#NAME?</x:v>
      </x:c>
      <x:c r="M191" t="e">
        <x:f>IF($A191="","",[1]!thsiFinD("ths_adjustment_nv_fund",M$3,$A191))</x:f>
        <x:v>#NAME?</x:v>
      </x:c>
      <x:c r="N191" t="e">
        <x:f>IF($A191="","",[1]!thsiFinD("ths_adjustment_nv_fund",N$3,$A191))</x:f>
        <x:v>#NAME?</x:v>
      </x:c>
      <x:c r="O191" t="e">
        <x:f>IF($A191="","",[1]!thsiFinD("ths_adjustment_nv_fund",O$3,$A191))</x:f>
        <x:v>#NAME?</x:v>
      </x:c>
      <x:c r="P191" t="e">
        <x:f>IF($A191="","",[1]!thsiFinD("ths_adjustment_nv_fund",P$3,$A191))</x:f>
        <x:v>#NAME?</x:v>
      </x:c>
      <x:c r="Q191" t="e">
        <x:f>IF($A191="","",[1]!thsiFinD("ths_adjustment_nv_fund",Q$3,$A191))</x:f>
        <x:v>#NAME?</x:v>
      </x:c>
      <x:c r="R191" t="e">
        <x:f>IF($A191="","",[1]!thsiFinD("ths_adjustment_nv_fund",R$3,$A191))</x:f>
        <x:v>#NAME?</x:v>
      </x:c>
      <x:c r="S191" t="e">
        <x:f>IF($A191="","",[1]!thsiFinD("ths_adjustment_nv_fund",S$3,$A191))</x:f>
        <x:v>#NAME?</x:v>
      </x:c>
      <x:c r="T191" t="e">
        <x:f>IF($A191="","",[1]!thsiFinD("ths_adjustment_nv_fund",T$3,$A191))</x:f>
        <x:v>#NAME?</x:v>
      </x:c>
      <x:c r="U191" t="e">
        <x:f>IF($A191="","",[1]!thsiFinD("ths_adjustment_nv_fund",U$3,$A191))</x:f>
        <x:v>#NAME?</x:v>
      </x:c>
      <x:c r="V191" t="e">
        <x:f>IF($A191="","",[1]!thsiFinD("ths_adjustment_nv_fund",V$3,$A191))</x:f>
        <x:v>#NAME?</x:v>
      </x:c>
      <x:c r="W191" t="e">
        <x:f>IF($A191="","",[1]!thsiFinD("ths_adjustment_nv_fund",W$3,$A191))</x:f>
        <x:v>#NAME?</x:v>
      </x:c>
      <x:c r="X191" t="e">
        <x:f>IF($A191="","",[1]!thsiFinD("ths_adjustment_nv_fund",X$3,$A191))</x:f>
        <x:v>#NAME?</x:v>
      </x:c>
      <x:c r="Y191" t="e">
        <x:f>IF($A191="","",[1]!thsiFinD("ths_adjustment_nv_fund",Y$3,$A191))</x:f>
        <x:v>#NAME?</x:v>
      </x:c>
    </x:row>
    <x:row r="192">
      <x:c r="B192" t="e">
        <x:f>IF($A192="","",[1]!thsiFinD("ths_adjustment_nv_fund",B$3,$A192))</x:f>
        <x:v>#NAME?</x:v>
      </x:c>
      <x:c r="C192" t="e">
        <x:f>IF($A192="","",[1]!thsiFinD("ths_adjustment_nv_fund",C$3,$A192))</x:f>
        <x:v>#NAME?</x:v>
      </x:c>
      <x:c r="D192" t="e">
        <x:f>IF($A192="","",[1]!thsiFinD("ths_adjustment_nv_fund",D$3,$A192))</x:f>
        <x:v>#NAME?</x:v>
      </x:c>
      <x:c r="E192" t="e">
        <x:f>IF($A192="","",[1]!thsiFinD("ths_adjustment_nv_fund",E$3,$A192))</x:f>
        <x:v>#NAME?</x:v>
      </x:c>
      <x:c r="F192" t="e">
        <x:f>IF($A192="","",[1]!thsiFinD("ths_adjustment_nv_fund",F$3,$A192))</x:f>
        <x:v>#NAME?</x:v>
      </x:c>
      <x:c r="G192" t="e">
        <x:f>IF($A192="","",[1]!thsiFinD("ths_adjustment_nv_fund",G$3,$A192))</x:f>
        <x:v>#NAME?</x:v>
      </x:c>
      <x:c r="H192" t="e">
        <x:f>IF($A192="","",[1]!thsiFinD("ths_adjustment_nv_fund",H$3,$A192))</x:f>
        <x:v>#NAME?</x:v>
      </x:c>
      <x:c r="I192" t="e">
        <x:f>IF($A192="","",[1]!thsiFinD("ths_adjustment_nv_fund",I$3,$A192))</x:f>
        <x:v>#NAME?</x:v>
      </x:c>
      <x:c r="J192" t="e">
        <x:f>IF($A192="","",[1]!thsiFinD("ths_adjustment_nv_fund",J$3,$A192))</x:f>
        <x:v>#NAME?</x:v>
      </x:c>
      <x:c r="K192" t="e">
        <x:f>IF($A192="","",[1]!thsiFinD("ths_adjustment_nv_fund",K$3,$A192))</x:f>
        <x:v>#NAME?</x:v>
      </x:c>
      <x:c r="L192" t="e">
        <x:f>IF($A192="","",[1]!thsiFinD("ths_adjustment_nv_fund",L$3,$A192))</x:f>
        <x:v>#NAME?</x:v>
      </x:c>
      <x:c r="M192" t="e">
        <x:f>IF($A192="","",[1]!thsiFinD("ths_adjustment_nv_fund",M$3,$A192))</x:f>
        <x:v>#NAME?</x:v>
      </x:c>
      <x:c r="N192" t="e">
        <x:f>IF($A192="","",[1]!thsiFinD("ths_adjustment_nv_fund",N$3,$A192))</x:f>
        <x:v>#NAME?</x:v>
      </x:c>
      <x:c r="O192" t="e">
        <x:f>IF($A192="","",[1]!thsiFinD("ths_adjustment_nv_fund",O$3,$A192))</x:f>
        <x:v>#NAME?</x:v>
      </x:c>
      <x:c r="P192" t="e">
        <x:f>IF($A192="","",[1]!thsiFinD("ths_adjustment_nv_fund",P$3,$A192))</x:f>
        <x:v>#NAME?</x:v>
      </x:c>
      <x:c r="Q192" t="e">
        <x:f>IF($A192="","",[1]!thsiFinD("ths_adjustment_nv_fund",Q$3,$A192))</x:f>
        <x:v>#NAME?</x:v>
      </x:c>
      <x:c r="R192" t="e">
        <x:f>IF($A192="","",[1]!thsiFinD("ths_adjustment_nv_fund",R$3,$A192))</x:f>
        <x:v>#NAME?</x:v>
      </x:c>
      <x:c r="S192" t="e">
        <x:f>IF($A192="","",[1]!thsiFinD("ths_adjustment_nv_fund",S$3,$A192))</x:f>
        <x:v>#NAME?</x:v>
      </x:c>
      <x:c r="T192" t="e">
        <x:f>IF($A192="","",[1]!thsiFinD("ths_adjustment_nv_fund",T$3,$A192))</x:f>
        <x:v>#NAME?</x:v>
      </x:c>
      <x:c r="U192" t="e">
        <x:f>IF($A192="","",[1]!thsiFinD("ths_adjustment_nv_fund",U$3,$A192))</x:f>
        <x:v>#NAME?</x:v>
      </x:c>
      <x:c r="V192" t="e">
        <x:f>IF($A192="","",[1]!thsiFinD("ths_adjustment_nv_fund",V$3,$A192))</x:f>
        <x:v>#NAME?</x:v>
      </x:c>
      <x:c r="W192" t="e">
        <x:f>IF($A192="","",[1]!thsiFinD("ths_adjustment_nv_fund",W$3,$A192))</x:f>
        <x:v>#NAME?</x:v>
      </x:c>
      <x:c r="X192" t="e">
        <x:f>IF($A192="","",[1]!thsiFinD("ths_adjustment_nv_fund",X$3,$A192))</x:f>
        <x:v>#NAME?</x:v>
      </x:c>
      <x:c r="Y192" t="e">
        <x:f>IF($A192="","",[1]!thsiFinD("ths_adjustment_nv_fund",Y$3,$A192))</x:f>
        <x:v>#NAME?</x:v>
      </x:c>
    </x:row>
    <x:row r="193">
      <x:c r="B193" t="e">
        <x:f>IF($A193="","",[1]!thsiFinD("ths_adjustment_nv_fund",B$3,$A193))</x:f>
        <x:v>#NAME?</x:v>
      </x:c>
      <x:c r="C193" t="e">
        <x:f>IF($A193="","",[1]!thsiFinD("ths_adjustment_nv_fund",C$3,$A193))</x:f>
        <x:v>#NAME?</x:v>
      </x:c>
      <x:c r="D193" t="e">
        <x:f>IF($A193="","",[1]!thsiFinD("ths_adjustment_nv_fund",D$3,$A193))</x:f>
        <x:v>#NAME?</x:v>
      </x:c>
      <x:c r="E193" t="e">
        <x:f>IF($A193="","",[1]!thsiFinD("ths_adjustment_nv_fund",E$3,$A193))</x:f>
        <x:v>#NAME?</x:v>
      </x:c>
      <x:c r="F193" t="e">
        <x:f>IF($A193="","",[1]!thsiFinD("ths_adjustment_nv_fund",F$3,$A193))</x:f>
        <x:v>#NAME?</x:v>
      </x:c>
      <x:c r="G193" t="e">
        <x:f>IF($A193="","",[1]!thsiFinD("ths_adjustment_nv_fund",G$3,$A193))</x:f>
        <x:v>#NAME?</x:v>
      </x:c>
      <x:c r="H193" t="e">
        <x:f>IF($A193="","",[1]!thsiFinD("ths_adjustment_nv_fund",H$3,$A193))</x:f>
        <x:v>#NAME?</x:v>
      </x:c>
      <x:c r="I193" t="e">
        <x:f>IF($A193="","",[1]!thsiFinD("ths_adjustment_nv_fund",I$3,$A193))</x:f>
        <x:v>#NAME?</x:v>
      </x:c>
      <x:c r="J193" t="e">
        <x:f>IF($A193="","",[1]!thsiFinD("ths_adjustment_nv_fund",J$3,$A193))</x:f>
        <x:v>#NAME?</x:v>
      </x:c>
      <x:c r="K193" t="e">
        <x:f>IF($A193="","",[1]!thsiFinD("ths_adjustment_nv_fund",K$3,$A193))</x:f>
        <x:v>#NAME?</x:v>
      </x:c>
      <x:c r="L193" t="e">
        <x:f>IF($A193="","",[1]!thsiFinD("ths_adjustment_nv_fund",L$3,$A193))</x:f>
        <x:v>#NAME?</x:v>
      </x:c>
      <x:c r="M193" t="e">
        <x:f>IF($A193="","",[1]!thsiFinD("ths_adjustment_nv_fund",M$3,$A193))</x:f>
        <x:v>#NAME?</x:v>
      </x:c>
      <x:c r="N193" t="e">
        <x:f>IF($A193="","",[1]!thsiFinD("ths_adjustment_nv_fund",N$3,$A193))</x:f>
        <x:v>#NAME?</x:v>
      </x:c>
      <x:c r="O193" t="e">
        <x:f>IF($A193="","",[1]!thsiFinD("ths_adjustment_nv_fund",O$3,$A193))</x:f>
        <x:v>#NAME?</x:v>
      </x:c>
      <x:c r="P193" t="e">
        <x:f>IF($A193="","",[1]!thsiFinD("ths_adjustment_nv_fund",P$3,$A193))</x:f>
        <x:v>#NAME?</x:v>
      </x:c>
      <x:c r="Q193" t="e">
        <x:f>IF($A193="","",[1]!thsiFinD("ths_adjustment_nv_fund",Q$3,$A193))</x:f>
        <x:v>#NAME?</x:v>
      </x:c>
      <x:c r="R193" t="e">
        <x:f>IF($A193="","",[1]!thsiFinD("ths_adjustment_nv_fund",R$3,$A193))</x:f>
        <x:v>#NAME?</x:v>
      </x:c>
      <x:c r="S193" t="e">
        <x:f>IF($A193="","",[1]!thsiFinD("ths_adjustment_nv_fund",S$3,$A193))</x:f>
        <x:v>#NAME?</x:v>
      </x:c>
      <x:c r="T193" t="e">
        <x:f>IF($A193="","",[1]!thsiFinD("ths_adjustment_nv_fund",T$3,$A193))</x:f>
        <x:v>#NAME?</x:v>
      </x:c>
      <x:c r="U193" t="e">
        <x:f>IF($A193="","",[1]!thsiFinD("ths_adjustment_nv_fund",U$3,$A193))</x:f>
        <x:v>#NAME?</x:v>
      </x:c>
      <x:c r="V193" t="e">
        <x:f>IF($A193="","",[1]!thsiFinD("ths_adjustment_nv_fund",V$3,$A193))</x:f>
        <x:v>#NAME?</x:v>
      </x:c>
      <x:c r="W193" t="e">
        <x:f>IF($A193="","",[1]!thsiFinD("ths_adjustment_nv_fund",W$3,$A193))</x:f>
        <x:v>#NAME?</x:v>
      </x:c>
      <x:c r="X193" t="e">
        <x:f>IF($A193="","",[1]!thsiFinD("ths_adjustment_nv_fund",X$3,$A193))</x:f>
        <x:v>#NAME?</x:v>
      </x:c>
      <x:c r="Y193" t="e">
        <x:f>IF($A193="","",[1]!thsiFinD("ths_adjustment_nv_fund",Y$3,$A193))</x:f>
        <x:v>#NAME?</x:v>
      </x:c>
    </x:row>
    <x:row r="194">
      <x:c r="B194" t="e">
        <x:f>IF($A194="","",[1]!thsiFinD("ths_adjustment_nv_fund",B$3,$A194))</x:f>
        <x:v>#NAME?</x:v>
      </x:c>
      <x:c r="C194" t="e">
        <x:f>IF($A194="","",[1]!thsiFinD("ths_adjustment_nv_fund",C$3,$A194))</x:f>
        <x:v>#NAME?</x:v>
      </x:c>
      <x:c r="D194" t="e">
        <x:f>IF($A194="","",[1]!thsiFinD("ths_adjustment_nv_fund",D$3,$A194))</x:f>
        <x:v>#NAME?</x:v>
      </x:c>
      <x:c r="E194" t="e">
        <x:f>IF($A194="","",[1]!thsiFinD("ths_adjustment_nv_fund",E$3,$A194))</x:f>
        <x:v>#NAME?</x:v>
      </x:c>
      <x:c r="F194" t="e">
        <x:f>IF($A194="","",[1]!thsiFinD("ths_adjustment_nv_fund",F$3,$A194))</x:f>
        <x:v>#NAME?</x:v>
      </x:c>
      <x:c r="G194" t="e">
        <x:f>IF($A194="","",[1]!thsiFinD("ths_adjustment_nv_fund",G$3,$A194))</x:f>
        <x:v>#NAME?</x:v>
      </x:c>
      <x:c r="H194" t="e">
        <x:f>IF($A194="","",[1]!thsiFinD("ths_adjustment_nv_fund",H$3,$A194))</x:f>
        <x:v>#NAME?</x:v>
      </x:c>
      <x:c r="I194" t="e">
        <x:f>IF($A194="","",[1]!thsiFinD("ths_adjustment_nv_fund",I$3,$A194))</x:f>
        <x:v>#NAME?</x:v>
      </x:c>
      <x:c r="J194" t="e">
        <x:f>IF($A194="","",[1]!thsiFinD("ths_adjustment_nv_fund",J$3,$A194))</x:f>
        <x:v>#NAME?</x:v>
      </x:c>
      <x:c r="K194" t="e">
        <x:f>IF($A194="","",[1]!thsiFinD("ths_adjustment_nv_fund",K$3,$A194))</x:f>
        <x:v>#NAME?</x:v>
      </x:c>
      <x:c r="L194" t="e">
        <x:f>IF($A194="","",[1]!thsiFinD("ths_adjustment_nv_fund",L$3,$A194))</x:f>
        <x:v>#NAME?</x:v>
      </x:c>
      <x:c r="M194" t="e">
        <x:f>IF($A194="","",[1]!thsiFinD("ths_adjustment_nv_fund",M$3,$A194))</x:f>
        <x:v>#NAME?</x:v>
      </x:c>
      <x:c r="N194" t="e">
        <x:f>IF($A194="","",[1]!thsiFinD("ths_adjustment_nv_fund",N$3,$A194))</x:f>
        <x:v>#NAME?</x:v>
      </x:c>
      <x:c r="O194" t="e">
        <x:f>IF($A194="","",[1]!thsiFinD("ths_adjustment_nv_fund",O$3,$A194))</x:f>
        <x:v>#NAME?</x:v>
      </x:c>
      <x:c r="P194" t="e">
        <x:f>IF($A194="","",[1]!thsiFinD("ths_adjustment_nv_fund",P$3,$A194))</x:f>
        <x:v>#NAME?</x:v>
      </x:c>
      <x:c r="Q194" t="e">
        <x:f>IF($A194="","",[1]!thsiFinD("ths_adjustment_nv_fund",Q$3,$A194))</x:f>
        <x:v>#NAME?</x:v>
      </x:c>
      <x:c r="R194" t="e">
        <x:f>IF($A194="","",[1]!thsiFinD("ths_adjustment_nv_fund",R$3,$A194))</x:f>
        <x:v>#NAME?</x:v>
      </x:c>
      <x:c r="S194" t="e">
        <x:f>IF($A194="","",[1]!thsiFinD("ths_adjustment_nv_fund",S$3,$A194))</x:f>
        <x:v>#NAME?</x:v>
      </x:c>
      <x:c r="T194" t="e">
        <x:f>IF($A194="","",[1]!thsiFinD("ths_adjustment_nv_fund",T$3,$A194))</x:f>
        <x:v>#NAME?</x:v>
      </x:c>
      <x:c r="U194" t="e">
        <x:f>IF($A194="","",[1]!thsiFinD("ths_adjustment_nv_fund",U$3,$A194))</x:f>
        <x:v>#NAME?</x:v>
      </x:c>
      <x:c r="V194" t="e">
        <x:f>IF($A194="","",[1]!thsiFinD("ths_adjustment_nv_fund",V$3,$A194))</x:f>
        <x:v>#NAME?</x:v>
      </x:c>
      <x:c r="W194" t="e">
        <x:f>IF($A194="","",[1]!thsiFinD("ths_adjustment_nv_fund",W$3,$A194))</x:f>
        <x:v>#NAME?</x:v>
      </x:c>
      <x:c r="X194" t="e">
        <x:f>IF($A194="","",[1]!thsiFinD("ths_adjustment_nv_fund",X$3,$A194))</x:f>
        <x:v>#NAME?</x:v>
      </x:c>
      <x:c r="Y194" t="e">
        <x:f>IF($A194="","",[1]!thsiFinD("ths_adjustment_nv_fund",Y$3,$A194))</x:f>
        <x:v>#NAME?</x:v>
      </x:c>
    </x:row>
    <x:row r="195">
      <x:c r="B195" t="e">
        <x:f>IF($A195="","",[1]!thsiFinD("ths_adjustment_nv_fund",B$3,$A195))</x:f>
        <x:v>#NAME?</x:v>
      </x:c>
      <x:c r="C195" t="e">
        <x:f>IF($A195="","",[1]!thsiFinD("ths_adjustment_nv_fund",C$3,$A195))</x:f>
        <x:v>#NAME?</x:v>
      </x:c>
      <x:c r="D195" t="e">
        <x:f>IF($A195="","",[1]!thsiFinD("ths_adjustment_nv_fund",D$3,$A195))</x:f>
        <x:v>#NAME?</x:v>
      </x:c>
      <x:c r="E195" t="e">
        <x:f>IF($A195="","",[1]!thsiFinD("ths_adjustment_nv_fund",E$3,$A195))</x:f>
        <x:v>#NAME?</x:v>
      </x:c>
      <x:c r="F195" t="e">
        <x:f>IF($A195="","",[1]!thsiFinD("ths_adjustment_nv_fund",F$3,$A195))</x:f>
        <x:v>#NAME?</x:v>
      </x:c>
      <x:c r="G195" t="e">
        <x:f>IF($A195="","",[1]!thsiFinD("ths_adjustment_nv_fund",G$3,$A195))</x:f>
        <x:v>#NAME?</x:v>
      </x:c>
      <x:c r="H195" t="e">
        <x:f>IF($A195="","",[1]!thsiFinD("ths_adjustment_nv_fund",H$3,$A195))</x:f>
        <x:v>#NAME?</x:v>
      </x:c>
      <x:c r="I195" t="e">
        <x:f>IF($A195="","",[1]!thsiFinD("ths_adjustment_nv_fund",I$3,$A195))</x:f>
        <x:v>#NAME?</x:v>
      </x:c>
      <x:c r="J195" t="e">
        <x:f>IF($A195="","",[1]!thsiFinD("ths_adjustment_nv_fund",J$3,$A195))</x:f>
        <x:v>#NAME?</x:v>
      </x:c>
      <x:c r="K195" t="e">
        <x:f>IF($A195="","",[1]!thsiFinD("ths_adjustment_nv_fund",K$3,$A195))</x:f>
        <x:v>#NAME?</x:v>
      </x:c>
      <x:c r="L195" t="e">
        <x:f>IF($A195="","",[1]!thsiFinD("ths_adjustment_nv_fund",L$3,$A195))</x:f>
        <x:v>#NAME?</x:v>
      </x:c>
      <x:c r="M195" t="e">
        <x:f>IF($A195="","",[1]!thsiFinD("ths_adjustment_nv_fund",M$3,$A195))</x:f>
        <x:v>#NAME?</x:v>
      </x:c>
      <x:c r="N195" t="e">
        <x:f>IF($A195="","",[1]!thsiFinD("ths_adjustment_nv_fund",N$3,$A195))</x:f>
        <x:v>#NAME?</x:v>
      </x:c>
      <x:c r="O195" t="e">
        <x:f>IF($A195="","",[1]!thsiFinD("ths_adjustment_nv_fund",O$3,$A195))</x:f>
        <x:v>#NAME?</x:v>
      </x:c>
      <x:c r="P195" t="e">
        <x:f>IF($A195="","",[1]!thsiFinD("ths_adjustment_nv_fund",P$3,$A195))</x:f>
        <x:v>#NAME?</x:v>
      </x:c>
      <x:c r="Q195" t="e">
        <x:f>IF($A195="","",[1]!thsiFinD("ths_adjustment_nv_fund",Q$3,$A195))</x:f>
        <x:v>#NAME?</x:v>
      </x:c>
      <x:c r="R195" t="e">
        <x:f>IF($A195="","",[1]!thsiFinD("ths_adjustment_nv_fund",R$3,$A195))</x:f>
        <x:v>#NAME?</x:v>
      </x:c>
      <x:c r="S195" t="e">
        <x:f>IF($A195="","",[1]!thsiFinD("ths_adjustment_nv_fund",S$3,$A195))</x:f>
        <x:v>#NAME?</x:v>
      </x:c>
      <x:c r="T195" t="e">
        <x:f>IF($A195="","",[1]!thsiFinD("ths_adjustment_nv_fund",T$3,$A195))</x:f>
        <x:v>#NAME?</x:v>
      </x:c>
      <x:c r="U195" t="e">
        <x:f>IF($A195="","",[1]!thsiFinD("ths_adjustment_nv_fund",U$3,$A195))</x:f>
        <x:v>#NAME?</x:v>
      </x:c>
      <x:c r="V195" t="e">
        <x:f>IF($A195="","",[1]!thsiFinD("ths_adjustment_nv_fund",V$3,$A195))</x:f>
        <x:v>#NAME?</x:v>
      </x:c>
      <x:c r="W195" t="e">
        <x:f>IF($A195="","",[1]!thsiFinD("ths_adjustment_nv_fund",W$3,$A195))</x:f>
        <x:v>#NAME?</x:v>
      </x:c>
      <x:c r="X195" t="e">
        <x:f>IF($A195="","",[1]!thsiFinD("ths_adjustment_nv_fund",X$3,$A195))</x:f>
        <x:v>#NAME?</x:v>
      </x:c>
      <x:c r="Y195" t="e">
        <x:f>IF($A195="","",[1]!thsiFinD("ths_adjustment_nv_fund",Y$3,$A195))</x:f>
        <x:v>#NAME?</x:v>
      </x:c>
    </x:row>
    <x:row r="196">
      <x:c r="B196" t="e">
        <x:f>IF($A196="","",[1]!thsiFinD("ths_adjustment_nv_fund",B$3,$A196))</x:f>
        <x:v>#NAME?</x:v>
      </x:c>
      <x:c r="C196" t="e">
        <x:f>IF($A196="","",[1]!thsiFinD("ths_adjustment_nv_fund",C$3,$A196))</x:f>
        <x:v>#NAME?</x:v>
      </x:c>
      <x:c r="D196" t="e">
        <x:f>IF($A196="","",[1]!thsiFinD("ths_adjustment_nv_fund",D$3,$A196))</x:f>
        <x:v>#NAME?</x:v>
      </x:c>
      <x:c r="E196" t="e">
        <x:f>IF($A196="","",[1]!thsiFinD("ths_adjustment_nv_fund",E$3,$A196))</x:f>
        <x:v>#NAME?</x:v>
      </x:c>
      <x:c r="F196" t="e">
        <x:f>IF($A196="","",[1]!thsiFinD("ths_adjustment_nv_fund",F$3,$A196))</x:f>
        <x:v>#NAME?</x:v>
      </x:c>
      <x:c r="G196" t="e">
        <x:f>IF($A196="","",[1]!thsiFinD("ths_adjustment_nv_fund",G$3,$A196))</x:f>
        <x:v>#NAME?</x:v>
      </x:c>
      <x:c r="H196" t="e">
        <x:f>IF($A196="","",[1]!thsiFinD("ths_adjustment_nv_fund",H$3,$A196))</x:f>
        <x:v>#NAME?</x:v>
      </x:c>
      <x:c r="I196" t="e">
        <x:f>IF($A196="","",[1]!thsiFinD("ths_adjustment_nv_fund",I$3,$A196))</x:f>
        <x:v>#NAME?</x:v>
      </x:c>
      <x:c r="J196" t="e">
        <x:f>IF($A196="","",[1]!thsiFinD("ths_adjustment_nv_fund",J$3,$A196))</x:f>
        <x:v>#NAME?</x:v>
      </x:c>
      <x:c r="K196" t="e">
        <x:f>IF($A196="","",[1]!thsiFinD("ths_adjustment_nv_fund",K$3,$A196))</x:f>
        <x:v>#NAME?</x:v>
      </x:c>
      <x:c r="L196" t="e">
        <x:f>IF($A196="","",[1]!thsiFinD("ths_adjustment_nv_fund",L$3,$A196))</x:f>
        <x:v>#NAME?</x:v>
      </x:c>
      <x:c r="M196" t="e">
        <x:f>IF($A196="","",[1]!thsiFinD("ths_adjustment_nv_fund",M$3,$A196))</x:f>
        <x:v>#NAME?</x:v>
      </x:c>
      <x:c r="N196" t="e">
        <x:f>IF($A196="","",[1]!thsiFinD("ths_adjustment_nv_fund",N$3,$A196))</x:f>
        <x:v>#NAME?</x:v>
      </x:c>
      <x:c r="O196" t="e">
        <x:f>IF($A196="","",[1]!thsiFinD("ths_adjustment_nv_fund",O$3,$A196))</x:f>
        <x:v>#NAME?</x:v>
      </x:c>
      <x:c r="P196" t="e">
        <x:f>IF($A196="","",[1]!thsiFinD("ths_adjustment_nv_fund",P$3,$A196))</x:f>
        <x:v>#NAME?</x:v>
      </x:c>
      <x:c r="Q196" t="e">
        <x:f>IF($A196="","",[1]!thsiFinD("ths_adjustment_nv_fund",Q$3,$A196))</x:f>
        <x:v>#NAME?</x:v>
      </x:c>
      <x:c r="R196" t="e">
        <x:f>IF($A196="","",[1]!thsiFinD("ths_adjustment_nv_fund",R$3,$A196))</x:f>
        <x:v>#NAME?</x:v>
      </x:c>
      <x:c r="S196" t="e">
        <x:f>IF($A196="","",[1]!thsiFinD("ths_adjustment_nv_fund",S$3,$A196))</x:f>
        <x:v>#NAME?</x:v>
      </x:c>
      <x:c r="T196" t="e">
        <x:f>IF($A196="","",[1]!thsiFinD("ths_adjustment_nv_fund",T$3,$A196))</x:f>
        <x:v>#NAME?</x:v>
      </x:c>
      <x:c r="U196" t="e">
        <x:f>IF($A196="","",[1]!thsiFinD("ths_adjustment_nv_fund",U$3,$A196))</x:f>
        <x:v>#NAME?</x:v>
      </x:c>
      <x:c r="V196" t="e">
        <x:f>IF($A196="","",[1]!thsiFinD("ths_adjustment_nv_fund",V$3,$A196))</x:f>
        <x:v>#NAME?</x:v>
      </x:c>
      <x:c r="W196" t="e">
        <x:f>IF($A196="","",[1]!thsiFinD("ths_adjustment_nv_fund",W$3,$A196))</x:f>
        <x:v>#NAME?</x:v>
      </x:c>
      <x:c r="X196" t="e">
        <x:f>IF($A196="","",[1]!thsiFinD("ths_adjustment_nv_fund",X$3,$A196))</x:f>
        <x:v>#NAME?</x:v>
      </x:c>
      <x:c r="Y196" t="e">
        <x:f>IF($A196="","",[1]!thsiFinD("ths_adjustment_nv_fund",Y$3,$A196))</x:f>
        <x:v>#NAME?</x:v>
      </x:c>
    </x:row>
    <x:row r="197">
      <x:c r="B197" t="e">
        <x:f>IF($A197="","",[1]!thsiFinD("ths_adjustment_nv_fund",B$3,$A197))</x:f>
        <x:v>#NAME?</x:v>
      </x:c>
      <x:c r="C197" t="e">
        <x:f>IF($A197="","",[1]!thsiFinD("ths_adjustment_nv_fund",C$3,$A197))</x:f>
        <x:v>#NAME?</x:v>
      </x:c>
      <x:c r="D197" t="e">
        <x:f>IF($A197="","",[1]!thsiFinD("ths_adjustment_nv_fund",D$3,$A197))</x:f>
        <x:v>#NAME?</x:v>
      </x:c>
      <x:c r="E197" t="e">
        <x:f>IF($A197="","",[1]!thsiFinD("ths_adjustment_nv_fund",E$3,$A197))</x:f>
        <x:v>#NAME?</x:v>
      </x:c>
      <x:c r="F197" t="e">
        <x:f>IF($A197="","",[1]!thsiFinD("ths_adjustment_nv_fund",F$3,$A197))</x:f>
        <x:v>#NAME?</x:v>
      </x:c>
      <x:c r="G197" t="e">
        <x:f>IF($A197="","",[1]!thsiFinD("ths_adjustment_nv_fund",G$3,$A197))</x:f>
        <x:v>#NAME?</x:v>
      </x:c>
      <x:c r="H197" t="e">
        <x:f>IF($A197="","",[1]!thsiFinD("ths_adjustment_nv_fund",H$3,$A197))</x:f>
        <x:v>#NAME?</x:v>
      </x:c>
      <x:c r="I197" t="e">
        <x:f>IF($A197="","",[1]!thsiFinD("ths_adjustment_nv_fund",I$3,$A197))</x:f>
        <x:v>#NAME?</x:v>
      </x:c>
      <x:c r="J197" t="e">
        <x:f>IF($A197="","",[1]!thsiFinD("ths_adjustment_nv_fund",J$3,$A197))</x:f>
        <x:v>#NAME?</x:v>
      </x:c>
      <x:c r="K197" t="e">
        <x:f>IF($A197="","",[1]!thsiFinD("ths_adjustment_nv_fund",K$3,$A197))</x:f>
        <x:v>#NAME?</x:v>
      </x:c>
      <x:c r="L197" t="e">
        <x:f>IF($A197="","",[1]!thsiFinD("ths_adjustment_nv_fund",L$3,$A197))</x:f>
        <x:v>#NAME?</x:v>
      </x:c>
      <x:c r="M197" t="e">
        <x:f>IF($A197="","",[1]!thsiFinD("ths_adjustment_nv_fund",M$3,$A197))</x:f>
        <x:v>#NAME?</x:v>
      </x:c>
      <x:c r="N197" t="e">
        <x:f>IF($A197="","",[1]!thsiFinD("ths_adjustment_nv_fund",N$3,$A197))</x:f>
        <x:v>#NAME?</x:v>
      </x:c>
      <x:c r="O197" t="e">
        <x:f>IF($A197="","",[1]!thsiFinD("ths_adjustment_nv_fund",O$3,$A197))</x:f>
        <x:v>#NAME?</x:v>
      </x:c>
      <x:c r="P197" t="e">
        <x:f>IF($A197="","",[1]!thsiFinD("ths_adjustment_nv_fund",P$3,$A197))</x:f>
        <x:v>#NAME?</x:v>
      </x:c>
      <x:c r="Q197" t="e">
        <x:f>IF($A197="","",[1]!thsiFinD("ths_adjustment_nv_fund",Q$3,$A197))</x:f>
        <x:v>#NAME?</x:v>
      </x:c>
      <x:c r="R197" t="e">
        <x:f>IF($A197="","",[1]!thsiFinD("ths_adjustment_nv_fund",R$3,$A197))</x:f>
        <x:v>#NAME?</x:v>
      </x:c>
      <x:c r="S197" t="e">
        <x:f>IF($A197="","",[1]!thsiFinD("ths_adjustment_nv_fund",S$3,$A197))</x:f>
        <x:v>#NAME?</x:v>
      </x:c>
      <x:c r="T197" t="e">
        <x:f>IF($A197="","",[1]!thsiFinD("ths_adjustment_nv_fund",T$3,$A197))</x:f>
        <x:v>#NAME?</x:v>
      </x:c>
      <x:c r="U197" t="e">
        <x:f>IF($A197="","",[1]!thsiFinD("ths_adjustment_nv_fund",U$3,$A197))</x:f>
        <x:v>#NAME?</x:v>
      </x:c>
      <x:c r="V197" t="e">
        <x:f>IF($A197="","",[1]!thsiFinD("ths_adjustment_nv_fund",V$3,$A197))</x:f>
        <x:v>#NAME?</x:v>
      </x:c>
      <x:c r="W197" t="e">
        <x:f>IF($A197="","",[1]!thsiFinD("ths_adjustment_nv_fund",W$3,$A197))</x:f>
        <x:v>#NAME?</x:v>
      </x:c>
      <x:c r="X197" t="e">
        <x:f>IF($A197="","",[1]!thsiFinD("ths_adjustment_nv_fund",X$3,$A197))</x:f>
        <x:v>#NAME?</x:v>
      </x:c>
      <x:c r="Y197" t="e">
        <x:f>IF($A197="","",[1]!thsiFinD("ths_adjustment_nv_fund",Y$3,$A197))</x:f>
        <x:v>#NAME?</x:v>
      </x:c>
    </x:row>
    <x:row r="198">
      <x:c r="B198" t="e">
        <x:f>IF($A198="","",[1]!thsiFinD("ths_adjustment_nv_fund",B$3,$A198))</x:f>
        <x:v>#NAME?</x:v>
      </x:c>
      <x:c r="C198" t="e">
        <x:f>IF($A198="","",[1]!thsiFinD("ths_adjustment_nv_fund",C$3,$A198))</x:f>
        <x:v>#NAME?</x:v>
      </x:c>
      <x:c r="D198" t="e">
        <x:f>IF($A198="","",[1]!thsiFinD("ths_adjustment_nv_fund",D$3,$A198))</x:f>
        <x:v>#NAME?</x:v>
      </x:c>
      <x:c r="E198" t="e">
        <x:f>IF($A198="","",[1]!thsiFinD("ths_adjustment_nv_fund",E$3,$A198))</x:f>
        <x:v>#NAME?</x:v>
      </x:c>
      <x:c r="F198" t="e">
        <x:f>IF($A198="","",[1]!thsiFinD("ths_adjustment_nv_fund",F$3,$A198))</x:f>
        <x:v>#NAME?</x:v>
      </x:c>
      <x:c r="G198" t="e">
        <x:f>IF($A198="","",[1]!thsiFinD("ths_adjustment_nv_fund",G$3,$A198))</x:f>
        <x:v>#NAME?</x:v>
      </x:c>
      <x:c r="H198" t="e">
        <x:f>IF($A198="","",[1]!thsiFinD("ths_adjustment_nv_fund",H$3,$A198))</x:f>
        <x:v>#NAME?</x:v>
      </x:c>
      <x:c r="I198" t="e">
        <x:f>IF($A198="","",[1]!thsiFinD("ths_adjustment_nv_fund",I$3,$A198))</x:f>
        <x:v>#NAME?</x:v>
      </x:c>
      <x:c r="J198" t="e">
        <x:f>IF($A198="","",[1]!thsiFinD("ths_adjustment_nv_fund",J$3,$A198))</x:f>
        <x:v>#NAME?</x:v>
      </x:c>
      <x:c r="K198" t="e">
        <x:f>IF($A198="","",[1]!thsiFinD("ths_adjustment_nv_fund",K$3,$A198))</x:f>
        <x:v>#NAME?</x:v>
      </x:c>
      <x:c r="L198" t="e">
        <x:f>IF($A198="","",[1]!thsiFinD("ths_adjustment_nv_fund",L$3,$A198))</x:f>
        <x:v>#NAME?</x:v>
      </x:c>
      <x:c r="M198" t="e">
        <x:f>IF($A198="","",[1]!thsiFinD("ths_adjustment_nv_fund",M$3,$A198))</x:f>
        <x:v>#NAME?</x:v>
      </x:c>
      <x:c r="N198" t="e">
        <x:f>IF($A198="","",[1]!thsiFinD("ths_adjustment_nv_fund",N$3,$A198))</x:f>
        <x:v>#NAME?</x:v>
      </x:c>
      <x:c r="O198" t="e">
        <x:f>IF($A198="","",[1]!thsiFinD("ths_adjustment_nv_fund",O$3,$A198))</x:f>
        <x:v>#NAME?</x:v>
      </x:c>
      <x:c r="P198" t="e">
        <x:f>IF($A198="","",[1]!thsiFinD("ths_adjustment_nv_fund",P$3,$A198))</x:f>
        <x:v>#NAME?</x:v>
      </x:c>
      <x:c r="Q198" t="e">
        <x:f>IF($A198="","",[1]!thsiFinD("ths_adjustment_nv_fund",Q$3,$A198))</x:f>
        <x:v>#NAME?</x:v>
      </x:c>
      <x:c r="R198" t="e">
        <x:f>IF($A198="","",[1]!thsiFinD("ths_adjustment_nv_fund",R$3,$A198))</x:f>
        <x:v>#NAME?</x:v>
      </x:c>
      <x:c r="S198" t="e">
        <x:f>IF($A198="","",[1]!thsiFinD("ths_adjustment_nv_fund",S$3,$A198))</x:f>
        <x:v>#NAME?</x:v>
      </x:c>
      <x:c r="T198" t="e">
        <x:f>IF($A198="","",[1]!thsiFinD("ths_adjustment_nv_fund",T$3,$A198))</x:f>
        <x:v>#NAME?</x:v>
      </x:c>
      <x:c r="U198" t="e">
        <x:f>IF($A198="","",[1]!thsiFinD("ths_adjustment_nv_fund",U$3,$A198))</x:f>
        <x:v>#NAME?</x:v>
      </x:c>
      <x:c r="V198" t="e">
        <x:f>IF($A198="","",[1]!thsiFinD("ths_adjustment_nv_fund",V$3,$A198))</x:f>
        <x:v>#NAME?</x:v>
      </x:c>
      <x:c r="W198" t="e">
        <x:f>IF($A198="","",[1]!thsiFinD("ths_adjustment_nv_fund",W$3,$A198))</x:f>
        <x:v>#NAME?</x:v>
      </x:c>
      <x:c r="X198" t="e">
        <x:f>IF($A198="","",[1]!thsiFinD("ths_adjustment_nv_fund",X$3,$A198))</x:f>
        <x:v>#NAME?</x:v>
      </x:c>
      <x:c r="Y198" t="e">
        <x:f>IF($A198="","",[1]!thsiFinD("ths_adjustment_nv_fund",Y$3,$A198))</x:f>
        <x:v>#NAME?</x:v>
      </x:c>
    </x:row>
    <x:row r="199">
      <x:c r="B199" t="e">
        <x:f>IF($A199="","",[1]!thsiFinD("ths_adjustment_nv_fund",B$3,$A199))</x:f>
        <x:v>#NAME?</x:v>
      </x:c>
      <x:c r="C199" t="e">
        <x:f>IF($A199="","",[1]!thsiFinD("ths_adjustment_nv_fund",C$3,$A199))</x:f>
        <x:v>#NAME?</x:v>
      </x:c>
      <x:c r="D199" t="e">
        <x:f>IF($A199="","",[1]!thsiFinD("ths_adjustment_nv_fund",D$3,$A199))</x:f>
        <x:v>#NAME?</x:v>
      </x:c>
      <x:c r="E199" t="e">
        <x:f>IF($A199="","",[1]!thsiFinD("ths_adjustment_nv_fund",E$3,$A199))</x:f>
        <x:v>#NAME?</x:v>
      </x:c>
      <x:c r="F199" t="e">
        <x:f>IF($A199="","",[1]!thsiFinD("ths_adjustment_nv_fund",F$3,$A199))</x:f>
        <x:v>#NAME?</x:v>
      </x:c>
      <x:c r="G199" t="e">
        <x:f>IF($A199="","",[1]!thsiFinD("ths_adjustment_nv_fund",G$3,$A199))</x:f>
        <x:v>#NAME?</x:v>
      </x:c>
      <x:c r="H199" t="e">
        <x:f>IF($A199="","",[1]!thsiFinD("ths_adjustment_nv_fund",H$3,$A199))</x:f>
        <x:v>#NAME?</x:v>
      </x:c>
      <x:c r="I199" t="e">
        <x:f>IF($A199="","",[1]!thsiFinD("ths_adjustment_nv_fund",I$3,$A199))</x:f>
        <x:v>#NAME?</x:v>
      </x:c>
      <x:c r="J199" t="e">
        <x:f>IF($A199="","",[1]!thsiFinD("ths_adjustment_nv_fund",J$3,$A199))</x:f>
        <x:v>#NAME?</x:v>
      </x:c>
      <x:c r="K199" t="e">
        <x:f>IF($A199="","",[1]!thsiFinD("ths_adjustment_nv_fund",K$3,$A199))</x:f>
        <x:v>#NAME?</x:v>
      </x:c>
      <x:c r="L199" t="e">
        <x:f>IF($A199="","",[1]!thsiFinD("ths_adjustment_nv_fund",L$3,$A199))</x:f>
        <x:v>#NAME?</x:v>
      </x:c>
      <x:c r="M199" t="e">
        <x:f>IF($A199="","",[1]!thsiFinD("ths_adjustment_nv_fund",M$3,$A199))</x:f>
        <x:v>#NAME?</x:v>
      </x:c>
      <x:c r="N199" t="e">
        <x:f>IF($A199="","",[1]!thsiFinD("ths_adjustment_nv_fund",N$3,$A199))</x:f>
        <x:v>#NAME?</x:v>
      </x:c>
      <x:c r="O199" t="e">
        <x:f>IF($A199="","",[1]!thsiFinD("ths_adjustment_nv_fund",O$3,$A199))</x:f>
        <x:v>#NAME?</x:v>
      </x:c>
      <x:c r="P199" t="e">
        <x:f>IF($A199="","",[1]!thsiFinD("ths_adjustment_nv_fund",P$3,$A199))</x:f>
        <x:v>#NAME?</x:v>
      </x:c>
      <x:c r="Q199" t="e">
        <x:f>IF($A199="","",[1]!thsiFinD("ths_adjustment_nv_fund",Q$3,$A199))</x:f>
        <x:v>#NAME?</x:v>
      </x:c>
      <x:c r="R199" t="e">
        <x:f>IF($A199="","",[1]!thsiFinD("ths_adjustment_nv_fund",R$3,$A199))</x:f>
        <x:v>#NAME?</x:v>
      </x:c>
      <x:c r="S199" t="e">
        <x:f>IF($A199="","",[1]!thsiFinD("ths_adjustment_nv_fund",S$3,$A199))</x:f>
        <x:v>#NAME?</x:v>
      </x:c>
      <x:c r="T199" t="e">
        <x:f>IF($A199="","",[1]!thsiFinD("ths_adjustment_nv_fund",T$3,$A199))</x:f>
        <x:v>#NAME?</x:v>
      </x:c>
      <x:c r="U199" t="e">
        <x:f>IF($A199="","",[1]!thsiFinD("ths_adjustment_nv_fund",U$3,$A199))</x:f>
        <x:v>#NAME?</x:v>
      </x:c>
      <x:c r="V199" t="e">
        <x:f>IF($A199="","",[1]!thsiFinD("ths_adjustment_nv_fund",V$3,$A199))</x:f>
        <x:v>#NAME?</x:v>
      </x:c>
      <x:c r="W199" t="e">
        <x:f>IF($A199="","",[1]!thsiFinD("ths_adjustment_nv_fund",W$3,$A199))</x:f>
        <x:v>#NAME?</x:v>
      </x:c>
      <x:c r="X199" t="e">
        <x:f>IF($A199="","",[1]!thsiFinD("ths_adjustment_nv_fund",X$3,$A199))</x:f>
        <x:v>#NAME?</x:v>
      </x:c>
      <x:c r="Y199" t="e">
        <x:f>IF($A199="","",[1]!thsiFinD("ths_adjustment_nv_fund",Y$3,$A199))</x:f>
        <x:v>#NAME?</x:v>
      </x:c>
    </x:row>
    <x:row r="200">
      <x:c r="B200" t="e">
        <x:f>IF($A200="","",[1]!thsiFinD("ths_adjustment_nv_fund",B$3,$A200))</x:f>
        <x:v>#NAME?</x:v>
      </x:c>
      <x:c r="C200" t="e">
        <x:f>IF($A200="","",[1]!thsiFinD("ths_adjustment_nv_fund",C$3,$A200))</x:f>
        <x:v>#NAME?</x:v>
      </x:c>
      <x:c r="D200" t="e">
        <x:f>IF($A200="","",[1]!thsiFinD("ths_adjustment_nv_fund",D$3,$A200))</x:f>
        <x:v>#NAME?</x:v>
      </x:c>
      <x:c r="E200" t="e">
        <x:f>IF($A200="","",[1]!thsiFinD("ths_adjustment_nv_fund",E$3,$A200))</x:f>
        <x:v>#NAME?</x:v>
      </x:c>
      <x:c r="F200" t="e">
        <x:f>IF($A200="","",[1]!thsiFinD("ths_adjustment_nv_fund",F$3,$A200))</x:f>
        <x:v>#NAME?</x:v>
      </x:c>
      <x:c r="G200" t="e">
        <x:f>IF($A200="","",[1]!thsiFinD("ths_adjustment_nv_fund",G$3,$A200))</x:f>
        <x:v>#NAME?</x:v>
      </x:c>
      <x:c r="H200" t="e">
        <x:f>IF($A200="","",[1]!thsiFinD("ths_adjustment_nv_fund",H$3,$A200))</x:f>
        <x:v>#NAME?</x:v>
      </x:c>
      <x:c r="I200" t="e">
        <x:f>IF($A200="","",[1]!thsiFinD("ths_adjustment_nv_fund",I$3,$A200))</x:f>
        <x:v>#NAME?</x:v>
      </x:c>
      <x:c r="J200" t="e">
        <x:f>IF($A200="","",[1]!thsiFinD("ths_adjustment_nv_fund",J$3,$A200))</x:f>
        <x:v>#NAME?</x:v>
      </x:c>
      <x:c r="K200" t="e">
        <x:f>IF($A200="","",[1]!thsiFinD("ths_adjustment_nv_fund",K$3,$A200))</x:f>
        <x:v>#NAME?</x:v>
      </x:c>
      <x:c r="L200" t="e">
        <x:f>IF($A200="","",[1]!thsiFinD("ths_adjustment_nv_fund",L$3,$A200))</x:f>
        <x:v>#NAME?</x:v>
      </x:c>
      <x:c r="M200" t="e">
        <x:f>IF($A200="","",[1]!thsiFinD("ths_adjustment_nv_fund",M$3,$A200))</x:f>
        <x:v>#NAME?</x:v>
      </x:c>
      <x:c r="N200" t="e">
        <x:f>IF($A200="","",[1]!thsiFinD("ths_adjustment_nv_fund",N$3,$A200))</x:f>
        <x:v>#NAME?</x:v>
      </x:c>
      <x:c r="O200" t="e">
        <x:f>IF($A200="","",[1]!thsiFinD("ths_adjustment_nv_fund",O$3,$A200))</x:f>
        <x:v>#NAME?</x:v>
      </x:c>
      <x:c r="P200" t="e">
        <x:f>IF($A200="","",[1]!thsiFinD("ths_adjustment_nv_fund",P$3,$A200))</x:f>
        <x:v>#NAME?</x:v>
      </x:c>
      <x:c r="Q200" t="e">
        <x:f>IF($A200="","",[1]!thsiFinD("ths_adjustment_nv_fund",Q$3,$A200))</x:f>
        <x:v>#NAME?</x:v>
      </x:c>
      <x:c r="R200" t="e">
        <x:f>IF($A200="","",[1]!thsiFinD("ths_adjustment_nv_fund",R$3,$A200))</x:f>
        <x:v>#NAME?</x:v>
      </x:c>
      <x:c r="S200" t="e">
        <x:f>IF($A200="","",[1]!thsiFinD("ths_adjustment_nv_fund",S$3,$A200))</x:f>
        <x:v>#NAME?</x:v>
      </x:c>
      <x:c r="T200" t="e">
        <x:f>IF($A200="","",[1]!thsiFinD("ths_adjustment_nv_fund",T$3,$A200))</x:f>
        <x:v>#NAME?</x:v>
      </x:c>
      <x:c r="U200" t="e">
        <x:f>IF($A200="","",[1]!thsiFinD("ths_adjustment_nv_fund",U$3,$A200))</x:f>
        <x:v>#NAME?</x:v>
      </x:c>
      <x:c r="V200" t="e">
        <x:f>IF($A200="","",[1]!thsiFinD("ths_adjustment_nv_fund",V$3,$A200))</x:f>
        <x:v>#NAME?</x:v>
      </x:c>
      <x:c r="W200" t="e">
        <x:f>IF($A200="","",[1]!thsiFinD("ths_adjustment_nv_fund",W$3,$A200))</x:f>
        <x:v>#NAME?</x:v>
      </x:c>
      <x:c r="X200" t="e">
        <x:f>IF($A200="","",[1]!thsiFinD("ths_adjustment_nv_fund",X$3,$A200))</x:f>
        <x:v>#NAME?</x:v>
      </x:c>
      <x:c r="Y200" t="e">
        <x:f>IF($A200="","",[1]!thsiFinD("ths_adjustment_nv_fund",Y$3,$A200))</x:f>
        <x:v>#NAME?</x:v>
      </x:c>
    </x:row>
    <x:row r="201">
      <x:c r="B201" t="e">
        <x:f>IF($A201="","",[1]!thsiFinD("ths_adjustment_nv_fund",B$3,$A201))</x:f>
        <x:v>#NAME?</x:v>
      </x:c>
      <x:c r="C201" t="e">
        <x:f>IF($A201="","",[1]!thsiFinD("ths_adjustment_nv_fund",C$3,$A201))</x:f>
        <x:v>#NAME?</x:v>
      </x:c>
      <x:c r="D201" t="e">
        <x:f>IF($A201="","",[1]!thsiFinD("ths_adjustment_nv_fund",D$3,$A201))</x:f>
        <x:v>#NAME?</x:v>
      </x:c>
      <x:c r="E201" t="e">
        <x:f>IF($A201="","",[1]!thsiFinD("ths_adjustment_nv_fund",E$3,$A201))</x:f>
        <x:v>#NAME?</x:v>
      </x:c>
      <x:c r="F201" t="e">
        <x:f>IF($A201="","",[1]!thsiFinD("ths_adjustment_nv_fund",F$3,$A201))</x:f>
        <x:v>#NAME?</x:v>
      </x:c>
      <x:c r="G201" t="e">
        <x:f>IF($A201="","",[1]!thsiFinD("ths_adjustment_nv_fund",G$3,$A201))</x:f>
        <x:v>#NAME?</x:v>
      </x:c>
      <x:c r="H201" t="e">
        <x:f>IF($A201="","",[1]!thsiFinD("ths_adjustment_nv_fund",H$3,$A201))</x:f>
        <x:v>#NAME?</x:v>
      </x:c>
      <x:c r="I201" t="e">
        <x:f>IF($A201="","",[1]!thsiFinD("ths_adjustment_nv_fund",I$3,$A201))</x:f>
        <x:v>#NAME?</x:v>
      </x:c>
      <x:c r="J201" t="e">
        <x:f>IF($A201="","",[1]!thsiFinD("ths_adjustment_nv_fund",J$3,$A201))</x:f>
        <x:v>#NAME?</x:v>
      </x:c>
      <x:c r="K201" t="e">
        <x:f>IF($A201="","",[1]!thsiFinD("ths_adjustment_nv_fund",K$3,$A201))</x:f>
        <x:v>#NAME?</x:v>
      </x:c>
      <x:c r="L201" t="e">
        <x:f>IF($A201="","",[1]!thsiFinD("ths_adjustment_nv_fund",L$3,$A201))</x:f>
        <x:v>#NAME?</x:v>
      </x:c>
      <x:c r="M201" t="e">
        <x:f>IF($A201="","",[1]!thsiFinD("ths_adjustment_nv_fund",M$3,$A201))</x:f>
        <x:v>#NAME?</x:v>
      </x:c>
      <x:c r="N201" t="e">
        <x:f>IF($A201="","",[1]!thsiFinD("ths_adjustment_nv_fund",N$3,$A201))</x:f>
        <x:v>#NAME?</x:v>
      </x:c>
      <x:c r="O201" t="e">
        <x:f>IF($A201="","",[1]!thsiFinD("ths_adjustment_nv_fund",O$3,$A201))</x:f>
        <x:v>#NAME?</x:v>
      </x:c>
      <x:c r="P201" t="e">
        <x:f>IF($A201="","",[1]!thsiFinD("ths_adjustment_nv_fund",P$3,$A201))</x:f>
        <x:v>#NAME?</x:v>
      </x:c>
      <x:c r="Q201" t="e">
        <x:f>IF($A201="","",[1]!thsiFinD("ths_adjustment_nv_fund",Q$3,$A201))</x:f>
        <x:v>#NAME?</x:v>
      </x:c>
      <x:c r="R201" t="e">
        <x:f>IF($A201="","",[1]!thsiFinD("ths_adjustment_nv_fund",R$3,$A201))</x:f>
        <x:v>#NAME?</x:v>
      </x:c>
      <x:c r="S201" t="e">
        <x:f>IF($A201="","",[1]!thsiFinD("ths_adjustment_nv_fund",S$3,$A201))</x:f>
        <x:v>#NAME?</x:v>
      </x:c>
      <x:c r="T201" t="e">
        <x:f>IF($A201="","",[1]!thsiFinD("ths_adjustment_nv_fund",T$3,$A201))</x:f>
        <x:v>#NAME?</x:v>
      </x:c>
      <x:c r="U201" t="e">
        <x:f>IF($A201="","",[1]!thsiFinD("ths_adjustment_nv_fund",U$3,$A201))</x:f>
        <x:v>#NAME?</x:v>
      </x:c>
      <x:c r="V201" t="e">
        <x:f>IF($A201="","",[1]!thsiFinD("ths_adjustment_nv_fund",V$3,$A201))</x:f>
        <x:v>#NAME?</x:v>
      </x:c>
      <x:c r="W201" t="e">
        <x:f>IF($A201="","",[1]!thsiFinD("ths_adjustment_nv_fund",W$3,$A201))</x:f>
        <x:v>#NAME?</x:v>
      </x:c>
      <x:c r="X201" t="e">
        <x:f>IF($A201="","",[1]!thsiFinD("ths_adjustment_nv_fund",X$3,$A201))</x:f>
        <x:v>#NAME?</x:v>
      </x:c>
      <x:c r="Y201" t="e">
        <x:f>IF($A201="","",[1]!thsiFinD("ths_adjustment_nv_fund",Y$3,$A201))</x:f>
        <x:v>#NAME?</x:v>
      </x:c>
    </x:row>
    <x:row r="202">
      <x:c r="B202" t="e">
        <x:f>IF($A202="","",[1]!thsiFinD("ths_adjustment_nv_fund",B$3,$A202))</x:f>
        <x:v>#NAME?</x:v>
      </x:c>
      <x:c r="C202" t="e">
        <x:f>IF($A202="","",[1]!thsiFinD("ths_adjustment_nv_fund",C$3,$A202))</x:f>
        <x:v>#NAME?</x:v>
      </x:c>
      <x:c r="D202" t="e">
        <x:f>IF($A202="","",[1]!thsiFinD("ths_adjustment_nv_fund",D$3,$A202))</x:f>
        <x:v>#NAME?</x:v>
      </x:c>
      <x:c r="E202" t="e">
        <x:f>IF($A202="","",[1]!thsiFinD("ths_adjustment_nv_fund",E$3,$A202))</x:f>
        <x:v>#NAME?</x:v>
      </x:c>
      <x:c r="F202" t="e">
        <x:f>IF($A202="","",[1]!thsiFinD("ths_adjustment_nv_fund",F$3,$A202))</x:f>
        <x:v>#NAME?</x:v>
      </x:c>
      <x:c r="G202" t="e">
        <x:f>IF($A202="","",[1]!thsiFinD("ths_adjustment_nv_fund",G$3,$A202))</x:f>
        <x:v>#NAME?</x:v>
      </x:c>
      <x:c r="H202" t="e">
        <x:f>IF($A202="","",[1]!thsiFinD("ths_adjustment_nv_fund",H$3,$A202))</x:f>
        <x:v>#NAME?</x:v>
      </x:c>
      <x:c r="I202" t="e">
        <x:f>IF($A202="","",[1]!thsiFinD("ths_adjustment_nv_fund",I$3,$A202))</x:f>
        <x:v>#NAME?</x:v>
      </x:c>
      <x:c r="J202" t="e">
        <x:f>IF($A202="","",[1]!thsiFinD("ths_adjustment_nv_fund",J$3,$A202))</x:f>
        <x:v>#NAME?</x:v>
      </x:c>
      <x:c r="K202" t="e">
        <x:f>IF($A202="","",[1]!thsiFinD("ths_adjustment_nv_fund",K$3,$A202))</x:f>
        <x:v>#NAME?</x:v>
      </x:c>
      <x:c r="L202" t="e">
        <x:f>IF($A202="","",[1]!thsiFinD("ths_adjustment_nv_fund",L$3,$A202))</x:f>
        <x:v>#NAME?</x:v>
      </x:c>
      <x:c r="M202" t="e">
        <x:f>IF($A202="","",[1]!thsiFinD("ths_adjustment_nv_fund",M$3,$A202))</x:f>
        <x:v>#NAME?</x:v>
      </x:c>
      <x:c r="N202" t="e">
        <x:f>IF($A202="","",[1]!thsiFinD("ths_adjustment_nv_fund",N$3,$A202))</x:f>
        <x:v>#NAME?</x:v>
      </x:c>
      <x:c r="O202" t="e">
        <x:f>IF($A202="","",[1]!thsiFinD("ths_adjustment_nv_fund",O$3,$A202))</x:f>
        <x:v>#NAME?</x:v>
      </x:c>
      <x:c r="P202" t="e">
        <x:f>IF($A202="","",[1]!thsiFinD("ths_adjustment_nv_fund",P$3,$A202))</x:f>
        <x:v>#NAME?</x:v>
      </x:c>
      <x:c r="Q202" t="e">
        <x:f>IF($A202="","",[1]!thsiFinD("ths_adjustment_nv_fund",Q$3,$A202))</x:f>
        <x:v>#NAME?</x:v>
      </x:c>
      <x:c r="R202" t="e">
        <x:f>IF($A202="","",[1]!thsiFinD("ths_adjustment_nv_fund",R$3,$A202))</x:f>
        <x:v>#NAME?</x:v>
      </x:c>
      <x:c r="S202" t="e">
        <x:f>IF($A202="","",[1]!thsiFinD("ths_adjustment_nv_fund",S$3,$A202))</x:f>
        <x:v>#NAME?</x:v>
      </x:c>
      <x:c r="T202" t="e">
        <x:f>IF($A202="","",[1]!thsiFinD("ths_adjustment_nv_fund",T$3,$A202))</x:f>
        <x:v>#NAME?</x:v>
      </x:c>
      <x:c r="U202" t="e">
        <x:f>IF($A202="","",[1]!thsiFinD("ths_adjustment_nv_fund",U$3,$A202))</x:f>
        <x:v>#NAME?</x:v>
      </x:c>
      <x:c r="V202" t="e">
        <x:f>IF($A202="","",[1]!thsiFinD("ths_adjustment_nv_fund",V$3,$A202))</x:f>
        <x:v>#NAME?</x:v>
      </x:c>
      <x:c r="W202" t="e">
        <x:f>IF($A202="","",[1]!thsiFinD("ths_adjustment_nv_fund",W$3,$A202))</x:f>
        <x:v>#NAME?</x:v>
      </x:c>
      <x:c r="X202" t="e">
        <x:f>IF($A202="","",[1]!thsiFinD("ths_adjustment_nv_fund",X$3,$A202))</x:f>
        <x:v>#NAME?</x:v>
      </x:c>
      <x:c r="Y202" t="e">
        <x:f>IF($A202="","",[1]!thsiFinD("ths_adjustment_nv_fund",Y$3,$A202))</x:f>
        <x:v>#NAME?</x:v>
      </x:c>
    </x:row>
    <x:row r="203">
      <x:c r="B203" t="e">
        <x:f>IF($A203="","",[1]!thsiFinD("ths_adjustment_nv_fund",B$3,$A203))</x:f>
        <x:v>#NAME?</x:v>
      </x:c>
      <x:c r="C203" t="e">
        <x:f>IF($A203="","",[1]!thsiFinD("ths_adjustment_nv_fund",C$3,$A203))</x:f>
        <x:v>#NAME?</x:v>
      </x:c>
      <x:c r="D203" t="e">
        <x:f>IF($A203="","",[1]!thsiFinD("ths_adjustment_nv_fund",D$3,$A203))</x:f>
        <x:v>#NAME?</x:v>
      </x:c>
      <x:c r="E203" t="e">
        <x:f>IF($A203="","",[1]!thsiFinD("ths_adjustment_nv_fund",E$3,$A203))</x:f>
        <x:v>#NAME?</x:v>
      </x:c>
      <x:c r="F203" t="e">
        <x:f>IF($A203="","",[1]!thsiFinD("ths_adjustment_nv_fund",F$3,$A203))</x:f>
        <x:v>#NAME?</x:v>
      </x:c>
      <x:c r="G203" t="e">
        <x:f>IF($A203="","",[1]!thsiFinD("ths_adjustment_nv_fund",G$3,$A203))</x:f>
        <x:v>#NAME?</x:v>
      </x:c>
      <x:c r="H203" t="e">
        <x:f>IF($A203="","",[1]!thsiFinD("ths_adjustment_nv_fund",H$3,$A203))</x:f>
        <x:v>#NAME?</x:v>
      </x:c>
      <x:c r="I203" t="e">
        <x:f>IF($A203="","",[1]!thsiFinD("ths_adjustment_nv_fund",I$3,$A203))</x:f>
        <x:v>#NAME?</x:v>
      </x:c>
      <x:c r="J203" t="e">
        <x:f>IF($A203="","",[1]!thsiFinD("ths_adjustment_nv_fund",J$3,$A203))</x:f>
        <x:v>#NAME?</x:v>
      </x:c>
      <x:c r="K203" t="e">
        <x:f>IF($A203="","",[1]!thsiFinD("ths_adjustment_nv_fund",K$3,$A203))</x:f>
        <x:v>#NAME?</x:v>
      </x:c>
      <x:c r="L203" t="e">
        <x:f>IF($A203="","",[1]!thsiFinD("ths_adjustment_nv_fund",L$3,$A203))</x:f>
        <x:v>#NAME?</x:v>
      </x:c>
      <x:c r="M203" t="e">
        <x:f>IF($A203="","",[1]!thsiFinD("ths_adjustment_nv_fund",M$3,$A203))</x:f>
        <x:v>#NAME?</x:v>
      </x:c>
      <x:c r="N203" t="e">
        <x:f>IF($A203="","",[1]!thsiFinD("ths_adjustment_nv_fund",N$3,$A203))</x:f>
        <x:v>#NAME?</x:v>
      </x:c>
      <x:c r="O203" t="e">
        <x:f>IF($A203="","",[1]!thsiFinD("ths_adjustment_nv_fund",O$3,$A203))</x:f>
        <x:v>#NAME?</x:v>
      </x:c>
      <x:c r="P203" t="e">
        <x:f>IF($A203="","",[1]!thsiFinD("ths_adjustment_nv_fund",P$3,$A203))</x:f>
        <x:v>#NAME?</x:v>
      </x:c>
      <x:c r="Q203" t="e">
        <x:f>IF($A203="","",[1]!thsiFinD("ths_adjustment_nv_fund",Q$3,$A203))</x:f>
        <x:v>#NAME?</x:v>
      </x:c>
      <x:c r="R203" t="e">
        <x:f>IF($A203="","",[1]!thsiFinD("ths_adjustment_nv_fund",R$3,$A203))</x:f>
        <x:v>#NAME?</x:v>
      </x:c>
      <x:c r="S203" t="e">
        <x:f>IF($A203="","",[1]!thsiFinD("ths_adjustment_nv_fund",S$3,$A203))</x:f>
        <x:v>#NAME?</x:v>
      </x:c>
      <x:c r="T203" t="e">
        <x:f>IF($A203="","",[1]!thsiFinD("ths_adjustment_nv_fund",T$3,$A203))</x:f>
        <x:v>#NAME?</x:v>
      </x:c>
      <x:c r="U203" t="e">
        <x:f>IF($A203="","",[1]!thsiFinD("ths_adjustment_nv_fund",U$3,$A203))</x:f>
        <x:v>#NAME?</x:v>
      </x:c>
      <x:c r="V203" t="e">
        <x:f>IF($A203="","",[1]!thsiFinD("ths_adjustment_nv_fund",V$3,$A203))</x:f>
        <x:v>#NAME?</x:v>
      </x:c>
      <x:c r="W203" t="e">
        <x:f>IF($A203="","",[1]!thsiFinD("ths_adjustment_nv_fund",W$3,$A203))</x:f>
        <x:v>#NAME?</x:v>
      </x:c>
      <x:c r="X203" t="e">
        <x:f>IF($A203="","",[1]!thsiFinD("ths_adjustment_nv_fund",X$3,$A203))</x:f>
        <x:v>#NAME?</x:v>
      </x:c>
      <x:c r="Y203" t="e">
        <x:f>IF($A203="","",[1]!thsiFinD("ths_adjustment_nv_fund",Y$3,$A203))</x:f>
        <x:v>#NAME?</x:v>
      </x:c>
    </x:row>
    <x:row r="204">
      <x:c r="B204" t="e">
        <x:f>IF($A204="","",[1]!thsiFinD("ths_adjustment_nv_fund",B$3,$A204))</x:f>
        <x:v>#NAME?</x:v>
      </x:c>
      <x:c r="C204" t="e">
        <x:f>IF($A204="","",[1]!thsiFinD("ths_adjustment_nv_fund",C$3,$A204))</x:f>
        <x:v>#NAME?</x:v>
      </x:c>
      <x:c r="D204" t="e">
        <x:f>IF($A204="","",[1]!thsiFinD("ths_adjustment_nv_fund",D$3,$A204))</x:f>
        <x:v>#NAME?</x:v>
      </x:c>
      <x:c r="E204" t="e">
        <x:f>IF($A204="","",[1]!thsiFinD("ths_adjustment_nv_fund",E$3,$A204))</x:f>
        <x:v>#NAME?</x:v>
      </x:c>
      <x:c r="F204" t="e">
        <x:f>IF($A204="","",[1]!thsiFinD("ths_adjustment_nv_fund",F$3,$A204))</x:f>
        <x:v>#NAME?</x:v>
      </x:c>
      <x:c r="G204" t="e">
        <x:f>IF($A204="","",[1]!thsiFinD("ths_adjustment_nv_fund",G$3,$A204))</x:f>
        <x:v>#NAME?</x:v>
      </x:c>
      <x:c r="H204" t="e">
        <x:f>IF($A204="","",[1]!thsiFinD("ths_adjustment_nv_fund",H$3,$A204))</x:f>
        <x:v>#NAME?</x:v>
      </x:c>
      <x:c r="I204" t="e">
        <x:f>IF($A204="","",[1]!thsiFinD("ths_adjustment_nv_fund",I$3,$A204))</x:f>
        <x:v>#NAME?</x:v>
      </x:c>
      <x:c r="J204" t="e">
        <x:f>IF($A204="","",[1]!thsiFinD("ths_adjustment_nv_fund",J$3,$A204))</x:f>
        <x:v>#NAME?</x:v>
      </x:c>
      <x:c r="K204" t="e">
        <x:f>IF($A204="","",[1]!thsiFinD("ths_adjustment_nv_fund",K$3,$A204))</x:f>
        <x:v>#NAME?</x:v>
      </x:c>
      <x:c r="L204" t="e">
        <x:f>IF($A204="","",[1]!thsiFinD("ths_adjustment_nv_fund",L$3,$A204))</x:f>
        <x:v>#NAME?</x:v>
      </x:c>
      <x:c r="M204" t="e">
        <x:f>IF($A204="","",[1]!thsiFinD("ths_adjustment_nv_fund",M$3,$A204))</x:f>
        <x:v>#NAME?</x:v>
      </x:c>
      <x:c r="N204" t="e">
        <x:f>IF($A204="","",[1]!thsiFinD("ths_adjustment_nv_fund",N$3,$A204))</x:f>
        <x:v>#NAME?</x:v>
      </x:c>
      <x:c r="O204" t="e">
        <x:f>IF($A204="","",[1]!thsiFinD("ths_adjustment_nv_fund",O$3,$A204))</x:f>
        <x:v>#NAME?</x:v>
      </x:c>
      <x:c r="P204" t="e">
        <x:f>IF($A204="","",[1]!thsiFinD("ths_adjustment_nv_fund",P$3,$A204))</x:f>
        <x:v>#NAME?</x:v>
      </x:c>
      <x:c r="Q204" t="e">
        <x:f>IF($A204="","",[1]!thsiFinD("ths_adjustment_nv_fund",Q$3,$A204))</x:f>
        <x:v>#NAME?</x:v>
      </x:c>
      <x:c r="R204" t="e">
        <x:f>IF($A204="","",[1]!thsiFinD("ths_adjustment_nv_fund",R$3,$A204))</x:f>
        <x:v>#NAME?</x:v>
      </x:c>
      <x:c r="S204" t="e">
        <x:f>IF($A204="","",[1]!thsiFinD("ths_adjustment_nv_fund",S$3,$A204))</x:f>
        <x:v>#NAME?</x:v>
      </x:c>
      <x:c r="T204" t="e">
        <x:f>IF($A204="","",[1]!thsiFinD("ths_adjustment_nv_fund",T$3,$A204))</x:f>
        <x:v>#NAME?</x:v>
      </x:c>
      <x:c r="U204" t="e">
        <x:f>IF($A204="","",[1]!thsiFinD("ths_adjustment_nv_fund",U$3,$A204))</x:f>
        <x:v>#NAME?</x:v>
      </x:c>
      <x:c r="V204" t="e">
        <x:f>IF($A204="","",[1]!thsiFinD("ths_adjustment_nv_fund",V$3,$A204))</x:f>
        <x:v>#NAME?</x:v>
      </x:c>
      <x:c r="W204" t="e">
        <x:f>IF($A204="","",[1]!thsiFinD("ths_adjustment_nv_fund",W$3,$A204))</x:f>
        <x:v>#NAME?</x:v>
      </x:c>
      <x:c r="X204" t="e">
        <x:f>IF($A204="","",[1]!thsiFinD("ths_adjustment_nv_fund",X$3,$A204))</x:f>
        <x:v>#NAME?</x:v>
      </x:c>
      <x:c r="Y204" t="e">
        <x:f>IF($A204="","",[1]!thsiFinD("ths_adjustment_nv_fund",Y$3,$A204))</x:f>
        <x:v>#NAME?</x:v>
      </x:c>
    </x:row>
    <x:row r="205">
      <x:c r="B205" t="e">
        <x:f>IF($A205="","",[1]!thsiFinD("ths_adjustment_nv_fund",B$3,$A205))</x:f>
        <x:v>#NAME?</x:v>
      </x:c>
      <x:c r="C205" t="e">
        <x:f>IF($A205="","",[1]!thsiFinD("ths_adjustment_nv_fund",C$3,$A205))</x:f>
        <x:v>#NAME?</x:v>
      </x:c>
      <x:c r="D205" t="e">
        <x:f>IF($A205="","",[1]!thsiFinD("ths_adjustment_nv_fund",D$3,$A205))</x:f>
        <x:v>#NAME?</x:v>
      </x:c>
      <x:c r="E205" t="e">
        <x:f>IF($A205="","",[1]!thsiFinD("ths_adjustment_nv_fund",E$3,$A205))</x:f>
        <x:v>#NAME?</x:v>
      </x:c>
      <x:c r="F205" t="e">
        <x:f>IF($A205="","",[1]!thsiFinD("ths_adjustment_nv_fund",F$3,$A205))</x:f>
        <x:v>#NAME?</x:v>
      </x:c>
      <x:c r="G205" t="e">
        <x:f>IF($A205="","",[1]!thsiFinD("ths_adjustment_nv_fund",G$3,$A205))</x:f>
        <x:v>#NAME?</x:v>
      </x:c>
      <x:c r="H205" t="e">
        <x:f>IF($A205="","",[1]!thsiFinD("ths_adjustment_nv_fund",H$3,$A205))</x:f>
        <x:v>#NAME?</x:v>
      </x:c>
      <x:c r="I205" t="e">
        <x:f>IF($A205="","",[1]!thsiFinD("ths_adjustment_nv_fund",I$3,$A205))</x:f>
        <x:v>#NAME?</x:v>
      </x:c>
      <x:c r="J205" t="e">
        <x:f>IF($A205="","",[1]!thsiFinD("ths_adjustment_nv_fund",J$3,$A205))</x:f>
        <x:v>#NAME?</x:v>
      </x:c>
      <x:c r="K205" t="e">
        <x:f>IF($A205="","",[1]!thsiFinD("ths_adjustment_nv_fund",K$3,$A205))</x:f>
        <x:v>#NAME?</x:v>
      </x:c>
      <x:c r="L205" t="e">
        <x:f>IF($A205="","",[1]!thsiFinD("ths_adjustment_nv_fund",L$3,$A205))</x:f>
        <x:v>#NAME?</x:v>
      </x:c>
      <x:c r="M205" t="e">
        <x:f>IF($A205="","",[1]!thsiFinD("ths_adjustment_nv_fund",M$3,$A205))</x:f>
        <x:v>#NAME?</x:v>
      </x:c>
      <x:c r="N205" t="e">
        <x:f>IF($A205="","",[1]!thsiFinD("ths_adjustment_nv_fund",N$3,$A205))</x:f>
        <x:v>#NAME?</x:v>
      </x:c>
      <x:c r="O205" t="e">
        <x:f>IF($A205="","",[1]!thsiFinD("ths_adjustment_nv_fund",O$3,$A205))</x:f>
        <x:v>#NAME?</x:v>
      </x:c>
      <x:c r="P205" t="e">
        <x:f>IF($A205="","",[1]!thsiFinD("ths_adjustment_nv_fund",P$3,$A205))</x:f>
        <x:v>#NAME?</x:v>
      </x:c>
      <x:c r="Q205" t="e">
        <x:f>IF($A205="","",[1]!thsiFinD("ths_adjustment_nv_fund",Q$3,$A205))</x:f>
        <x:v>#NAME?</x:v>
      </x:c>
      <x:c r="R205" t="e">
        <x:f>IF($A205="","",[1]!thsiFinD("ths_adjustment_nv_fund",R$3,$A205))</x:f>
        <x:v>#NAME?</x:v>
      </x:c>
      <x:c r="S205" t="e">
        <x:f>IF($A205="","",[1]!thsiFinD("ths_adjustment_nv_fund",S$3,$A205))</x:f>
        <x:v>#NAME?</x:v>
      </x:c>
      <x:c r="T205" t="e">
        <x:f>IF($A205="","",[1]!thsiFinD("ths_adjustment_nv_fund",T$3,$A205))</x:f>
        <x:v>#NAME?</x:v>
      </x:c>
      <x:c r="U205" t="e">
        <x:f>IF($A205="","",[1]!thsiFinD("ths_adjustment_nv_fund",U$3,$A205))</x:f>
        <x:v>#NAME?</x:v>
      </x:c>
      <x:c r="V205" t="e">
        <x:f>IF($A205="","",[1]!thsiFinD("ths_adjustment_nv_fund",V$3,$A205))</x:f>
        <x:v>#NAME?</x:v>
      </x:c>
      <x:c r="W205" t="e">
        <x:f>IF($A205="","",[1]!thsiFinD("ths_adjustment_nv_fund",W$3,$A205))</x:f>
        <x:v>#NAME?</x:v>
      </x:c>
      <x:c r="X205" t="e">
        <x:f>IF($A205="","",[1]!thsiFinD("ths_adjustment_nv_fund",X$3,$A205))</x:f>
        <x:v>#NAME?</x:v>
      </x:c>
      <x:c r="Y205" t="e">
        <x:f>IF($A205="","",[1]!thsiFinD("ths_adjustment_nv_fund",Y$3,$A205))</x:f>
        <x:v>#NAME?</x:v>
      </x:c>
    </x:row>
    <x:row r="206">
      <x:c r="B206" t="e">
        <x:f>IF($A206="","",[1]!thsiFinD("ths_adjustment_nv_fund",B$3,$A206))</x:f>
        <x:v>#NAME?</x:v>
      </x:c>
      <x:c r="C206" t="e">
        <x:f>IF($A206="","",[1]!thsiFinD("ths_adjustment_nv_fund",C$3,$A206))</x:f>
        <x:v>#NAME?</x:v>
      </x:c>
      <x:c r="D206" t="e">
        <x:f>IF($A206="","",[1]!thsiFinD("ths_adjustment_nv_fund",D$3,$A206))</x:f>
        <x:v>#NAME?</x:v>
      </x:c>
      <x:c r="E206" t="e">
        <x:f>IF($A206="","",[1]!thsiFinD("ths_adjustment_nv_fund",E$3,$A206))</x:f>
        <x:v>#NAME?</x:v>
      </x:c>
      <x:c r="F206" t="e">
        <x:f>IF($A206="","",[1]!thsiFinD("ths_adjustment_nv_fund",F$3,$A206))</x:f>
        <x:v>#NAME?</x:v>
      </x:c>
      <x:c r="G206" t="e">
        <x:f>IF($A206="","",[1]!thsiFinD("ths_adjustment_nv_fund",G$3,$A206))</x:f>
        <x:v>#NAME?</x:v>
      </x:c>
      <x:c r="H206" t="e">
        <x:f>IF($A206="","",[1]!thsiFinD("ths_adjustment_nv_fund",H$3,$A206))</x:f>
        <x:v>#NAME?</x:v>
      </x:c>
      <x:c r="I206" t="e">
        <x:f>IF($A206="","",[1]!thsiFinD("ths_adjustment_nv_fund",I$3,$A206))</x:f>
        <x:v>#NAME?</x:v>
      </x:c>
      <x:c r="J206" t="e">
        <x:f>IF($A206="","",[1]!thsiFinD("ths_adjustment_nv_fund",J$3,$A206))</x:f>
        <x:v>#NAME?</x:v>
      </x:c>
      <x:c r="K206" t="e">
        <x:f>IF($A206="","",[1]!thsiFinD("ths_adjustment_nv_fund",K$3,$A206))</x:f>
        <x:v>#NAME?</x:v>
      </x:c>
      <x:c r="L206" t="e">
        <x:f>IF($A206="","",[1]!thsiFinD("ths_adjustment_nv_fund",L$3,$A206))</x:f>
        <x:v>#NAME?</x:v>
      </x:c>
      <x:c r="M206" t="e">
        <x:f>IF($A206="","",[1]!thsiFinD("ths_adjustment_nv_fund",M$3,$A206))</x:f>
        <x:v>#NAME?</x:v>
      </x:c>
      <x:c r="N206" t="e">
        <x:f>IF($A206="","",[1]!thsiFinD("ths_adjustment_nv_fund",N$3,$A206))</x:f>
        <x:v>#NAME?</x:v>
      </x:c>
      <x:c r="O206" t="e">
        <x:f>IF($A206="","",[1]!thsiFinD("ths_adjustment_nv_fund",O$3,$A206))</x:f>
        <x:v>#NAME?</x:v>
      </x:c>
      <x:c r="P206" t="e">
        <x:f>IF($A206="","",[1]!thsiFinD("ths_adjustment_nv_fund",P$3,$A206))</x:f>
        <x:v>#NAME?</x:v>
      </x:c>
      <x:c r="Q206" t="e">
        <x:f>IF($A206="","",[1]!thsiFinD("ths_adjustment_nv_fund",Q$3,$A206))</x:f>
        <x:v>#NAME?</x:v>
      </x:c>
      <x:c r="R206" t="e">
        <x:f>IF($A206="","",[1]!thsiFinD("ths_adjustment_nv_fund",R$3,$A206))</x:f>
        <x:v>#NAME?</x:v>
      </x:c>
      <x:c r="S206" t="e">
        <x:f>IF($A206="","",[1]!thsiFinD("ths_adjustment_nv_fund",S$3,$A206))</x:f>
        <x:v>#NAME?</x:v>
      </x:c>
      <x:c r="T206" t="e">
        <x:f>IF($A206="","",[1]!thsiFinD("ths_adjustment_nv_fund",T$3,$A206))</x:f>
        <x:v>#NAME?</x:v>
      </x:c>
      <x:c r="U206" t="e">
        <x:f>IF($A206="","",[1]!thsiFinD("ths_adjustment_nv_fund",U$3,$A206))</x:f>
        <x:v>#NAME?</x:v>
      </x:c>
      <x:c r="V206" t="e">
        <x:f>IF($A206="","",[1]!thsiFinD("ths_adjustment_nv_fund",V$3,$A206))</x:f>
        <x:v>#NAME?</x:v>
      </x:c>
      <x:c r="W206" t="e">
        <x:f>IF($A206="","",[1]!thsiFinD("ths_adjustment_nv_fund",W$3,$A206))</x:f>
        <x:v>#NAME?</x:v>
      </x:c>
      <x:c r="X206" t="e">
        <x:f>IF($A206="","",[1]!thsiFinD("ths_adjustment_nv_fund",X$3,$A206))</x:f>
        <x:v>#NAME?</x:v>
      </x:c>
      <x:c r="Y206" t="e">
        <x:f>IF($A206="","",[1]!thsiFinD("ths_adjustment_nv_fund",Y$3,$A206))</x:f>
        <x:v>#NAME?</x:v>
      </x:c>
    </x:row>
    <x:row r="207">
      <x:c r="B207" t="e">
        <x:f>IF($A207="","",[1]!thsiFinD("ths_adjustment_nv_fund",B$3,$A207))</x:f>
        <x:v>#NAME?</x:v>
      </x:c>
      <x:c r="C207" t="e">
        <x:f>IF($A207="","",[1]!thsiFinD("ths_adjustment_nv_fund",C$3,$A207))</x:f>
        <x:v>#NAME?</x:v>
      </x:c>
      <x:c r="D207" t="e">
        <x:f>IF($A207="","",[1]!thsiFinD("ths_adjustment_nv_fund",D$3,$A207))</x:f>
        <x:v>#NAME?</x:v>
      </x:c>
      <x:c r="E207" t="e">
        <x:f>IF($A207="","",[1]!thsiFinD("ths_adjustment_nv_fund",E$3,$A207))</x:f>
        <x:v>#NAME?</x:v>
      </x:c>
      <x:c r="F207" t="e">
        <x:f>IF($A207="","",[1]!thsiFinD("ths_adjustment_nv_fund",F$3,$A207))</x:f>
        <x:v>#NAME?</x:v>
      </x:c>
      <x:c r="G207" t="e">
        <x:f>IF($A207="","",[1]!thsiFinD("ths_adjustment_nv_fund",G$3,$A207))</x:f>
        <x:v>#NAME?</x:v>
      </x:c>
      <x:c r="H207" t="e">
        <x:f>IF($A207="","",[1]!thsiFinD("ths_adjustment_nv_fund",H$3,$A207))</x:f>
        <x:v>#NAME?</x:v>
      </x:c>
      <x:c r="I207" t="e">
        <x:f>IF($A207="","",[1]!thsiFinD("ths_adjustment_nv_fund",I$3,$A207))</x:f>
        <x:v>#NAME?</x:v>
      </x:c>
      <x:c r="J207" t="e">
        <x:f>IF($A207="","",[1]!thsiFinD("ths_adjustment_nv_fund",J$3,$A207))</x:f>
        <x:v>#NAME?</x:v>
      </x:c>
      <x:c r="K207" t="e">
        <x:f>IF($A207="","",[1]!thsiFinD("ths_adjustment_nv_fund",K$3,$A207))</x:f>
        <x:v>#NAME?</x:v>
      </x:c>
      <x:c r="L207" t="e">
        <x:f>IF($A207="","",[1]!thsiFinD("ths_adjustment_nv_fund",L$3,$A207))</x:f>
        <x:v>#NAME?</x:v>
      </x:c>
      <x:c r="M207" t="e">
        <x:f>IF($A207="","",[1]!thsiFinD("ths_adjustment_nv_fund",M$3,$A207))</x:f>
        <x:v>#NAME?</x:v>
      </x:c>
      <x:c r="N207" t="e">
        <x:f>IF($A207="","",[1]!thsiFinD("ths_adjustment_nv_fund",N$3,$A207))</x:f>
        <x:v>#NAME?</x:v>
      </x:c>
      <x:c r="O207" t="e">
        <x:f>IF($A207="","",[1]!thsiFinD("ths_adjustment_nv_fund",O$3,$A207))</x:f>
        <x:v>#NAME?</x:v>
      </x:c>
      <x:c r="P207" t="e">
        <x:f>IF($A207="","",[1]!thsiFinD("ths_adjustment_nv_fund",P$3,$A207))</x:f>
        <x:v>#NAME?</x:v>
      </x:c>
      <x:c r="Q207" t="e">
        <x:f>IF($A207="","",[1]!thsiFinD("ths_adjustment_nv_fund",Q$3,$A207))</x:f>
        <x:v>#NAME?</x:v>
      </x:c>
      <x:c r="R207" t="e">
        <x:f>IF($A207="","",[1]!thsiFinD("ths_adjustment_nv_fund",R$3,$A207))</x:f>
        <x:v>#NAME?</x:v>
      </x:c>
      <x:c r="S207" t="e">
        <x:f>IF($A207="","",[1]!thsiFinD("ths_adjustment_nv_fund",S$3,$A207))</x:f>
        <x:v>#NAME?</x:v>
      </x:c>
      <x:c r="T207" t="e">
        <x:f>IF($A207="","",[1]!thsiFinD("ths_adjustment_nv_fund",T$3,$A207))</x:f>
        <x:v>#NAME?</x:v>
      </x:c>
      <x:c r="U207" t="e">
        <x:f>IF($A207="","",[1]!thsiFinD("ths_adjustment_nv_fund",U$3,$A207))</x:f>
        <x:v>#NAME?</x:v>
      </x:c>
      <x:c r="V207" t="e">
        <x:f>IF($A207="","",[1]!thsiFinD("ths_adjustment_nv_fund",V$3,$A207))</x:f>
        <x:v>#NAME?</x:v>
      </x:c>
      <x:c r="W207" t="e">
        <x:f>IF($A207="","",[1]!thsiFinD("ths_adjustment_nv_fund",W$3,$A207))</x:f>
        <x:v>#NAME?</x:v>
      </x:c>
      <x:c r="X207" t="e">
        <x:f>IF($A207="","",[1]!thsiFinD("ths_adjustment_nv_fund",X$3,$A207))</x:f>
        <x:v>#NAME?</x:v>
      </x:c>
      <x:c r="Y207" t="e">
        <x:f>IF($A207="","",[1]!thsiFinD("ths_adjustment_nv_fund",Y$3,$A207))</x:f>
        <x:v>#NAME?</x:v>
      </x:c>
    </x:row>
    <x:row r="208">
      <x:c r="B208" t="e">
        <x:f>IF($A208="","",[1]!thsiFinD("ths_adjustment_nv_fund",B$3,$A208))</x:f>
        <x:v>#NAME?</x:v>
      </x:c>
      <x:c r="C208" t="e">
        <x:f>IF($A208="","",[1]!thsiFinD("ths_adjustment_nv_fund",C$3,$A208))</x:f>
        <x:v>#NAME?</x:v>
      </x:c>
      <x:c r="D208" t="e">
        <x:f>IF($A208="","",[1]!thsiFinD("ths_adjustment_nv_fund",D$3,$A208))</x:f>
        <x:v>#NAME?</x:v>
      </x:c>
      <x:c r="E208" t="e">
        <x:f>IF($A208="","",[1]!thsiFinD("ths_adjustment_nv_fund",E$3,$A208))</x:f>
        <x:v>#NAME?</x:v>
      </x:c>
      <x:c r="F208" t="e">
        <x:f>IF($A208="","",[1]!thsiFinD("ths_adjustment_nv_fund",F$3,$A208))</x:f>
        <x:v>#NAME?</x:v>
      </x:c>
      <x:c r="G208" t="e">
        <x:f>IF($A208="","",[1]!thsiFinD("ths_adjustment_nv_fund",G$3,$A208))</x:f>
        <x:v>#NAME?</x:v>
      </x:c>
      <x:c r="H208" t="e">
        <x:f>IF($A208="","",[1]!thsiFinD("ths_adjustment_nv_fund",H$3,$A208))</x:f>
        <x:v>#NAME?</x:v>
      </x:c>
      <x:c r="I208" t="e">
        <x:f>IF($A208="","",[1]!thsiFinD("ths_adjustment_nv_fund",I$3,$A208))</x:f>
        <x:v>#NAME?</x:v>
      </x:c>
      <x:c r="J208" t="e">
        <x:f>IF($A208="","",[1]!thsiFinD("ths_adjustment_nv_fund",J$3,$A208))</x:f>
        <x:v>#NAME?</x:v>
      </x:c>
      <x:c r="K208" t="e">
        <x:f>IF($A208="","",[1]!thsiFinD("ths_adjustment_nv_fund",K$3,$A208))</x:f>
        <x:v>#NAME?</x:v>
      </x:c>
      <x:c r="L208" t="e">
        <x:f>IF($A208="","",[1]!thsiFinD("ths_adjustment_nv_fund",L$3,$A208))</x:f>
        <x:v>#NAME?</x:v>
      </x:c>
      <x:c r="M208" t="e">
        <x:f>IF($A208="","",[1]!thsiFinD("ths_adjustment_nv_fund",M$3,$A208))</x:f>
        <x:v>#NAME?</x:v>
      </x:c>
      <x:c r="N208" t="e">
        <x:f>IF($A208="","",[1]!thsiFinD("ths_adjustment_nv_fund",N$3,$A208))</x:f>
        <x:v>#NAME?</x:v>
      </x:c>
      <x:c r="O208" t="e">
        <x:f>IF($A208="","",[1]!thsiFinD("ths_adjustment_nv_fund",O$3,$A208))</x:f>
        <x:v>#NAME?</x:v>
      </x:c>
      <x:c r="P208" t="e">
        <x:f>IF($A208="","",[1]!thsiFinD("ths_adjustment_nv_fund",P$3,$A208))</x:f>
        <x:v>#NAME?</x:v>
      </x:c>
      <x:c r="Q208" t="e">
        <x:f>IF($A208="","",[1]!thsiFinD("ths_adjustment_nv_fund",Q$3,$A208))</x:f>
        <x:v>#NAME?</x:v>
      </x:c>
      <x:c r="R208" t="e">
        <x:f>IF($A208="","",[1]!thsiFinD("ths_adjustment_nv_fund",R$3,$A208))</x:f>
        <x:v>#NAME?</x:v>
      </x:c>
      <x:c r="S208" t="e">
        <x:f>IF($A208="","",[1]!thsiFinD("ths_adjustment_nv_fund",S$3,$A208))</x:f>
        <x:v>#NAME?</x:v>
      </x:c>
      <x:c r="T208" t="e">
        <x:f>IF($A208="","",[1]!thsiFinD("ths_adjustment_nv_fund",T$3,$A208))</x:f>
        <x:v>#NAME?</x:v>
      </x:c>
      <x:c r="U208" t="e">
        <x:f>IF($A208="","",[1]!thsiFinD("ths_adjustment_nv_fund",U$3,$A208))</x:f>
        <x:v>#NAME?</x:v>
      </x:c>
      <x:c r="V208" t="e">
        <x:f>IF($A208="","",[1]!thsiFinD("ths_adjustment_nv_fund",V$3,$A208))</x:f>
        <x:v>#NAME?</x:v>
      </x:c>
      <x:c r="W208" t="e">
        <x:f>IF($A208="","",[1]!thsiFinD("ths_adjustment_nv_fund",W$3,$A208))</x:f>
        <x:v>#NAME?</x:v>
      </x:c>
      <x:c r="X208" t="e">
        <x:f>IF($A208="","",[1]!thsiFinD("ths_adjustment_nv_fund",X$3,$A208))</x:f>
        <x:v>#NAME?</x:v>
      </x:c>
      <x:c r="Y208" t="e">
        <x:f>IF($A208="","",[1]!thsiFinD("ths_adjustment_nv_fund",Y$3,$A208))</x:f>
        <x:v>#NAME?</x:v>
      </x:c>
    </x:row>
    <x:row r="209">
      <x:c r="B209" t="e">
        <x:f>IF($A209="","",[1]!thsiFinD("ths_adjustment_nv_fund",B$3,$A209))</x:f>
        <x:v>#NAME?</x:v>
      </x:c>
      <x:c r="C209" t="e">
        <x:f>IF($A209="","",[1]!thsiFinD("ths_adjustment_nv_fund",C$3,$A209))</x:f>
        <x:v>#NAME?</x:v>
      </x:c>
      <x:c r="D209" t="e">
        <x:f>IF($A209="","",[1]!thsiFinD("ths_adjustment_nv_fund",D$3,$A209))</x:f>
        <x:v>#NAME?</x:v>
      </x:c>
      <x:c r="E209" t="e">
        <x:f>IF($A209="","",[1]!thsiFinD("ths_adjustment_nv_fund",E$3,$A209))</x:f>
        <x:v>#NAME?</x:v>
      </x:c>
      <x:c r="F209" t="e">
        <x:f>IF($A209="","",[1]!thsiFinD("ths_adjustment_nv_fund",F$3,$A209))</x:f>
        <x:v>#NAME?</x:v>
      </x:c>
      <x:c r="G209" t="e">
        <x:f>IF($A209="","",[1]!thsiFinD("ths_adjustment_nv_fund",G$3,$A209))</x:f>
        <x:v>#NAME?</x:v>
      </x:c>
      <x:c r="H209" t="e">
        <x:f>IF($A209="","",[1]!thsiFinD("ths_adjustment_nv_fund",H$3,$A209))</x:f>
        <x:v>#NAME?</x:v>
      </x:c>
      <x:c r="I209" t="e">
        <x:f>IF($A209="","",[1]!thsiFinD("ths_adjustment_nv_fund",I$3,$A209))</x:f>
        <x:v>#NAME?</x:v>
      </x:c>
      <x:c r="J209" t="e">
        <x:f>IF($A209="","",[1]!thsiFinD("ths_adjustment_nv_fund",J$3,$A209))</x:f>
        <x:v>#NAME?</x:v>
      </x:c>
      <x:c r="K209" t="e">
        <x:f>IF($A209="","",[1]!thsiFinD("ths_adjustment_nv_fund",K$3,$A209))</x:f>
        <x:v>#NAME?</x:v>
      </x:c>
      <x:c r="L209" t="e">
        <x:f>IF($A209="","",[1]!thsiFinD("ths_adjustment_nv_fund",L$3,$A209))</x:f>
        <x:v>#NAME?</x:v>
      </x:c>
      <x:c r="M209" t="e">
        <x:f>IF($A209="","",[1]!thsiFinD("ths_adjustment_nv_fund",M$3,$A209))</x:f>
        <x:v>#NAME?</x:v>
      </x:c>
      <x:c r="N209" t="e">
        <x:f>IF($A209="","",[1]!thsiFinD("ths_adjustment_nv_fund",N$3,$A209))</x:f>
        <x:v>#NAME?</x:v>
      </x:c>
      <x:c r="O209" t="e">
        <x:f>IF($A209="","",[1]!thsiFinD("ths_adjustment_nv_fund",O$3,$A209))</x:f>
        <x:v>#NAME?</x:v>
      </x:c>
      <x:c r="P209" t="e">
        <x:f>IF($A209="","",[1]!thsiFinD("ths_adjustment_nv_fund",P$3,$A209))</x:f>
        <x:v>#NAME?</x:v>
      </x:c>
      <x:c r="Q209" t="e">
        <x:f>IF($A209="","",[1]!thsiFinD("ths_adjustment_nv_fund",Q$3,$A209))</x:f>
        <x:v>#NAME?</x:v>
      </x:c>
      <x:c r="R209" t="e">
        <x:f>IF($A209="","",[1]!thsiFinD("ths_adjustment_nv_fund",R$3,$A209))</x:f>
        <x:v>#NAME?</x:v>
      </x:c>
      <x:c r="S209" t="e">
        <x:f>IF($A209="","",[1]!thsiFinD("ths_adjustment_nv_fund",S$3,$A209))</x:f>
        <x:v>#NAME?</x:v>
      </x:c>
      <x:c r="T209" t="e">
        <x:f>IF($A209="","",[1]!thsiFinD("ths_adjustment_nv_fund",T$3,$A209))</x:f>
        <x:v>#NAME?</x:v>
      </x:c>
      <x:c r="U209" t="e">
        <x:f>IF($A209="","",[1]!thsiFinD("ths_adjustment_nv_fund",U$3,$A209))</x:f>
        <x:v>#NAME?</x:v>
      </x:c>
      <x:c r="V209" t="e">
        <x:f>IF($A209="","",[1]!thsiFinD("ths_adjustment_nv_fund",V$3,$A209))</x:f>
        <x:v>#NAME?</x:v>
      </x:c>
      <x:c r="W209" t="e">
        <x:f>IF($A209="","",[1]!thsiFinD("ths_adjustment_nv_fund",W$3,$A209))</x:f>
        <x:v>#NAME?</x:v>
      </x:c>
      <x:c r="X209" t="e">
        <x:f>IF($A209="","",[1]!thsiFinD("ths_adjustment_nv_fund",X$3,$A209))</x:f>
        <x:v>#NAME?</x:v>
      </x:c>
      <x:c r="Y209" t="e">
        <x:f>IF($A209="","",[1]!thsiFinD("ths_adjustment_nv_fund",Y$3,$A209))</x:f>
        <x:v>#NAME?</x:v>
      </x:c>
    </x:row>
    <x:row r="210">
      <x:c r="B210" t="e">
        <x:f>IF($A210="","",[1]!thsiFinD("ths_adjustment_nv_fund",B$3,$A210))</x:f>
        <x:v>#NAME?</x:v>
      </x:c>
      <x:c r="C210" t="e">
        <x:f>IF($A210="","",[1]!thsiFinD("ths_adjustment_nv_fund",C$3,$A210))</x:f>
        <x:v>#NAME?</x:v>
      </x:c>
      <x:c r="D210" t="e">
        <x:f>IF($A210="","",[1]!thsiFinD("ths_adjustment_nv_fund",D$3,$A210))</x:f>
        <x:v>#NAME?</x:v>
      </x:c>
      <x:c r="E210" t="e">
        <x:f>IF($A210="","",[1]!thsiFinD("ths_adjustment_nv_fund",E$3,$A210))</x:f>
        <x:v>#NAME?</x:v>
      </x:c>
      <x:c r="F210" t="e">
        <x:f>IF($A210="","",[1]!thsiFinD("ths_adjustment_nv_fund",F$3,$A210))</x:f>
        <x:v>#NAME?</x:v>
      </x:c>
      <x:c r="G210" t="e">
        <x:f>IF($A210="","",[1]!thsiFinD("ths_adjustment_nv_fund",G$3,$A210))</x:f>
        <x:v>#NAME?</x:v>
      </x:c>
      <x:c r="H210" t="e">
        <x:f>IF($A210="","",[1]!thsiFinD("ths_adjustment_nv_fund",H$3,$A210))</x:f>
        <x:v>#NAME?</x:v>
      </x:c>
      <x:c r="I210" t="e">
        <x:f>IF($A210="","",[1]!thsiFinD("ths_adjustment_nv_fund",I$3,$A210))</x:f>
        <x:v>#NAME?</x:v>
      </x:c>
      <x:c r="J210" t="e">
        <x:f>IF($A210="","",[1]!thsiFinD("ths_adjustment_nv_fund",J$3,$A210))</x:f>
        <x:v>#NAME?</x:v>
      </x:c>
      <x:c r="K210" t="e">
        <x:f>IF($A210="","",[1]!thsiFinD("ths_adjustment_nv_fund",K$3,$A210))</x:f>
        <x:v>#NAME?</x:v>
      </x:c>
      <x:c r="L210" t="e">
        <x:f>IF($A210="","",[1]!thsiFinD("ths_adjustment_nv_fund",L$3,$A210))</x:f>
        <x:v>#NAME?</x:v>
      </x:c>
      <x:c r="M210" t="e">
        <x:f>IF($A210="","",[1]!thsiFinD("ths_adjustment_nv_fund",M$3,$A210))</x:f>
        <x:v>#NAME?</x:v>
      </x:c>
      <x:c r="N210" t="e">
        <x:f>IF($A210="","",[1]!thsiFinD("ths_adjustment_nv_fund",N$3,$A210))</x:f>
        <x:v>#NAME?</x:v>
      </x:c>
      <x:c r="O210" t="e">
        <x:f>IF($A210="","",[1]!thsiFinD("ths_adjustment_nv_fund",O$3,$A210))</x:f>
        <x:v>#NAME?</x:v>
      </x:c>
      <x:c r="P210" t="e">
        <x:f>IF($A210="","",[1]!thsiFinD("ths_adjustment_nv_fund",P$3,$A210))</x:f>
        <x:v>#NAME?</x:v>
      </x:c>
      <x:c r="Q210" t="e">
        <x:f>IF($A210="","",[1]!thsiFinD("ths_adjustment_nv_fund",Q$3,$A210))</x:f>
        <x:v>#NAME?</x:v>
      </x:c>
      <x:c r="R210" t="e">
        <x:f>IF($A210="","",[1]!thsiFinD("ths_adjustment_nv_fund",R$3,$A210))</x:f>
        <x:v>#NAME?</x:v>
      </x:c>
      <x:c r="S210" t="e">
        <x:f>IF($A210="","",[1]!thsiFinD("ths_adjustment_nv_fund",S$3,$A210))</x:f>
        <x:v>#NAME?</x:v>
      </x:c>
      <x:c r="T210" t="e">
        <x:f>IF($A210="","",[1]!thsiFinD("ths_adjustment_nv_fund",T$3,$A210))</x:f>
        <x:v>#NAME?</x:v>
      </x:c>
      <x:c r="U210" t="e">
        <x:f>IF($A210="","",[1]!thsiFinD("ths_adjustment_nv_fund",U$3,$A210))</x:f>
        <x:v>#NAME?</x:v>
      </x:c>
      <x:c r="V210" t="e">
        <x:f>IF($A210="","",[1]!thsiFinD("ths_adjustment_nv_fund",V$3,$A210))</x:f>
        <x:v>#NAME?</x:v>
      </x:c>
      <x:c r="W210" t="e">
        <x:f>IF($A210="","",[1]!thsiFinD("ths_adjustment_nv_fund",W$3,$A210))</x:f>
        <x:v>#NAME?</x:v>
      </x:c>
      <x:c r="X210" t="e">
        <x:f>IF($A210="","",[1]!thsiFinD("ths_adjustment_nv_fund",X$3,$A210))</x:f>
        <x:v>#NAME?</x:v>
      </x:c>
      <x:c r="Y210" t="e">
        <x:f>IF($A210="","",[1]!thsiFinD("ths_adjustment_nv_fund",Y$3,$A210))</x:f>
        <x:v>#NAME?</x:v>
      </x:c>
    </x:row>
    <x:row r="211">
      <x:c r="B211" t="e">
        <x:f>IF($A211="","",[1]!thsiFinD("ths_adjustment_nv_fund",B$3,$A211))</x:f>
        <x:v>#NAME?</x:v>
      </x:c>
      <x:c r="C211" t="e">
        <x:f>IF($A211="","",[1]!thsiFinD("ths_adjustment_nv_fund",C$3,$A211))</x:f>
        <x:v>#NAME?</x:v>
      </x:c>
      <x:c r="D211" t="e">
        <x:f>IF($A211="","",[1]!thsiFinD("ths_adjustment_nv_fund",D$3,$A211))</x:f>
        <x:v>#NAME?</x:v>
      </x:c>
      <x:c r="E211" t="e">
        <x:f>IF($A211="","",[1]!thsiFinD("ths_adjustment_nv_fund",E$3,$A211))</x:f>
        <x:v>#NAME?</x:v>
      </x:c>
      <x:c r="F211" t="e">
        <x:f>IF($A211="","",[1]!thsiFinD("ths_adjustment_nv_fund",F$3,$A211))</x:f>
        <x:v>#NAME?</x:v>
      </x:c>
      <x:c r="G211" t="e">
        <x:f>IF($A211="","",[1]!thsiFinD("ths_adjustment_nv_fund",G$3,$A211))</x:f>
        <x:v>#NAME?</x:v>
      </x:c>
      <x:c r="H211" t="e">
        <x:f>IF($A211="","",[1]!thsiFinD("ths_adjustment_nv_fund",H$3,$A211))</x:f>
        <x:v>#NAME?</x:v>
      </x:c>
      <x:c r="I211" t="e">
        <x:f>IF($A211="","",[1]!thsiFinD("ths_adjustment_nv_fund",I$3,$A211))</x:f>
        <x:v>#NAME?</x:v>
      </x:c>
      <x:c r="J211" t="e">
        <x:f>IF($A211="","",[1]!thsiFinD("ths_adjustment_nv_fund",J$3,$A211))</x:f>
        <x:v>#NAME?</x:v>
      </x:c>
      <x:c r="K211" t="e">
        <x:f>IF($A211="","",[1]!thsiFinD("ths_adjustment_nv_fund",K$3,$A211))</x:f>
        <x:v>#NAME?</x:v>
      </x:c>
      <x:c r="L211" t="e">
        <x:f>IF($A211="","",[1]!thsiFinD("ths_adjustment_nv_fund",L$3,$A211))</x:f>
        <x:v>#NAME?</x:v>
      </x:c>
      <x:c r="M211" t="e">
        <x:f>IF($A211="","",[1]!thsiFinD("ths_adjustment_nv_fund",M$3,$A211))</x:f>
        <x:v>#NAME?</x:v>
      </x:c>
      <x:c r="N211" t="e">
        <x:f>IF($A211="","",[1]!thsiFinD("ths_adjustment_nv_fund",N$3,$A211))</x:f>
        <x:v>#NAME?</x:v>
      </x:c>
      <x:c r="O211" t="e">
        <x:f>IF($A211="","",[1]!thsiFinD("ths_adjustment_nv_fund",O$3,$A211))</x:f>
        <x:v>#NAME?</x:v>
      </x:c>
      <x:c r="P211" t="e">
        <x:f>IF($A211="","",[1]!thsiFinD("ths_adjustment_nv_fund",P$3,$A211))</x:f>
        <x:v>#NAME?</x:v>
      </x:c>
      <x:c r="Q211" t="e">
        <x:f>IF($A211="","",[1]!thsiFinD("ths_adjustment_nv_fund",Q$3,$A211))</x:f>
        <x:v>#NAME?</x:v>
      </x:c>
      <x:c r="R211" t="e">
        <x:f>IF($A211="","",[1]!thsiFinD("ths_adjustment_nv_fund",R$3,$A211))</x:f>
        <x:v>#NAME?</x:v>
      </x:c>
      <x:c r="S211" t="e">
        <x:f>IF($A211="","",[1]!thsiFinD("ths_adjustment_nv_fund",S$3,$A211))</x:f>
        <x:v>#NAME?</x:v>
      </x:c>
      <x:c r="T211" t="e">
        <x:f>IF($A211="","",[1]!thsiFinD("ths_adjustment_nv_fund",T$3,$A211))</x:f>
        <x:v>#NAME?</x:v>
      </x:c>
      <x:c r="U211" t="e">
        <x:f>IF($A211="","",[1]!thsiFinD("ths_adjustment_nv_fund",U$3,$A211))</x:f>
        <x:v>#NAME?</x:v>
      </x:c>
      <x:c r="V211" t="e">
        <x:f>IF($A211="","",[1]!thsiFinD("ths_adjustment_nv_fund",V$3,$A211))</x:f>
        <x:v>#NAME?</x:v>
      </x:c>
      <x:c r="W211" t="e">
        <x:f>IF($A211="","",[1]!thsiFinD("ths_adjustment_nv_fund",W$3,$A211))</x:f>
        <x:v>#NAME?</x:v>
      </x:c>
      <x:c r="X211" t="e">
        <x:f>IF($A211="","",[1]!thsiFinD("ths_adjustment_nv_fund",X$3,$A211))</x:f>
        <x:v>#NAME?</x:v>
      </x:c>
      <x:c r="Y211" t="e">
        <x:f>IF($A211="","",[1]!thsiFinD("ths_adjustment_nv_fund",Y$3,$A211))</x:f>
        <x:v>#NAME?</x:v>
      </x:c>
    </x:row>
    <x:row r="212">
      <x:c r="B212" t="e">
        <x:f>IF($A212="","",[1]!thsiFinD("ths_adjustment_nv_fund",B$3,$A212))</x:f>
        <x:v>#NAME?</x:v>
      </x:c>
      <x:c r="C212" t="e">
        <x:f>IF($A212="","",[1]!thsiFinD("ths_adjustment_nv_fund",C$3,$A212))</x:f>
        <x:v>#NAME?</x:v>
      </x:c>
      <x:c r="D212" t="e">
        <x:f>IF($A212="","",[1]!thsiFinD("ths_adjustment_nv_fund",D$3,$A212))</x:f>
        <x:v>#NAME?</x:v>
      </x:c>
      <x:c r="E212" t="e">
        <x:f>IF($A212="","",[1]!thsiFinD("ths_adjustment_nv_fund",E$3,$A212))</x:f>
        <x:v>#NAME?</x:v>
      </x:c>
      <x:c r="F212" t="e">
        <x:f>IF($A212="","",[1]!thsiFinD("ths_adjustment_nv_fund",F$3,$A212))</x:f>
        <x:v>#NAME?</x:v>
      </x:c>
      <x:c r="G212" t="e">
        <x:f>IF($A212="","",[1]!thsiFinD("ths_adjustment_nv_fund",G$3,$A212))</x:f>
        <x:v>#NAME?</x:v>
      </x:c>
      <x:c r="H212" t="e">
        <x:f>IF($A212="","",[1]!thsiFinD("ths_adjustment_nv_fund",H$3,$A212))</x:f>
        <x:v>#NAME?</x:v>
      </x:c>
      <x:c r="I212" t="e">
        <x:f>IF($A212="","",[1]!thsiFinD("ths_adjustment_nv_fund",I$3,$A212))</x:f>
        <x:v>#NAME?</x:v>
      </x:c>
      <x:c r="J212" t="e">
        <x:f>IF($A212="","",[1]!thsiFinD("ths_adjustment_nv_fund",J$3,$A212))</x:f>
        <x:v>#NAME?</x:v>
      </x:c>
      <x:c r="K212" t="e">
        <x:f>IF($A212="","",[1]!thsiFinD("ths_adjustment_nv_fund",K$3,$A212))</x:f>
        <x:v>#NAME?</x:v>
      </x:c>
      <x:c r="L212" t="e">
        <x:f>IF($A212="","",[1]!thsiFinD("ths_adjustment_nv_fund",L$3,$A212))</x:f>
        <x:v>#NAME?</x:v>
      </x:c>
      <x:c r="M212" t="e">
        <x:f>IF($A212="","",[1]!thsiFinD("ths_adjustment_nv_fund",M$3,$A212))</x:f>
        <x:v>#NAME?</x:v>
      </x:c>
      <x:c r="N212" t="e">
        <x:f>IF($A212="","",[1]!thsiFinD("ths_adjustment_nv_fund",N$3,$A212))</x:f>
        <x:v>#NAME?</x:v>
      </x:c>
      <x:c r="O212" t="e">
        <x:f>IF($A212="","",[1]!thsiFinD("ths_adjustment_nv_fund",O$3,$A212))</x:f>
        <x:v>#NAME?</x:v>
      </x:c>
      <x:c r="P212" t="e">
        <x:f>IF($A212="","",[1]!thsiFinD("ths_adjustment_nv_fund",P$3,$A212))</x:f>
        <x:v>#NAME?</x:v>
      </x:c>
      <x:c r="Q212" t="e">
        <x:f>IF($A212="","",[1]!thsiFinD("ths_adjustment_nv_fund",Q$3,$A212))</x:f>
        <x:v>#NAME?</x:v>
      </x:c>
      <x:c r="R212" t="e">
        <x:f>IF($A212="","",[1]!thsiFinD("ths_adjustment_nv_fund",R$3,$A212))</x:f>
        <x:v>#NAME?</x:v>
      </x:c>
      <x:c r="S212" t="e">
        <x:f>IF($A212="","",[1]!thsiFinD("ths_adjustment_nv_fund",S$3,$A212))</x:f>
        <x:v>#NAME?</x:v>
      </x:c>
      <x:c r="T212" t="e">
        <x:f>IF($A212="","",[1]!thsiFinD("ths_adjustment_nv_fund",T$3,$A212))</x:f>
        <x:v>#NAME?</x:v>
      </x:c>
      <x:c r="U212" t="e">
        <x:f>IF($A212="","",[1]!thsiFinD("ths_adjustment_nv_fund",U$3,$A212))</x:f>
        <x:v>#NAME?</x:v>
      </x:c>
      <x:c r="V212" t="e">
        <x:f>IF($A212="","",[1]!thsiFinD("ths_adjustment_nv_fund",V$3,$A212))</x:f>
        <x:v>#NAME?</x:v>
      </x:c>
      <x:c r="W212" t="e">
        <x:f>IF($A212="","",[1]!thsiFinD("ths_adjustment_nv_fund",W$3,$A212))</x:f>
        <x:v>#NAME?</x:v>
      </x:c>
      <x:c r="X212" t="e">
        <x:f>IF($A212="","",[1]!thsiFinD("ths_adjustment_nv_fund",X$3,$A212))</x:f>
        <x:v>#NAME?</x:v>
      </x:c>
      <x:c r="Y212" t="e">
        <x:f>IF($A212="","",[1]!thsiFinD("ths_adjustment_nv_fund",Y$3,$A212))</x:f>
        <x:v>#NAME?</x:v>
      </x:c>
    </x:row>
    <x:row r="213">
      <x:c r="B213" t="e">
        <x:f>IF($A213="","",[1]!thsiFinD("ths_adjustment_nv_fund",B$3,$A213))</x:f>
        <x:v>#NAME?</x:v>
      </x:c>
      <x:c r="C213" t="e">
        <x:f>IF($A213="","",[1]!thsiFinD("ths_adjustment_nv_fund",C$3,$A213))</x:f>
        <x:v>#NAME?</x:v>
      </x:c>
      <x:c r="D213" t="e">
        <x:f>IF($A213="","",[1]!thsiFinD("ths_adjustment_nv_fund",D$3,$A213))</x:f>
        <x:v>#NAME?</x:v>
      </x:c>
      <x:c r="E213" t="e">
        <x:f>IF($A213="","",[1]!thsiFinD("ths_adjustment_nv_fund",E$3,$A213))</x:f>
        <x:v>#NAME?</x:v>
      </x:c>
      <x:c r="F213" t="e">
        <x:f>IF($A213="","",[1]!thsiFinD("ths_adjustment_nv_fund",F$3,$A213))</x:f>
        <x:v>#NAME?</x:v>
      </x:c>
      <x:c r="G213" t="e">
        <x:f>IF($A213="","",[1]!thsiFinD("ths_adjustment_nv_fund",G$3,$A213))</x:f>
        <x:v>#NAME?</x:v>
      </x:c>
      <x:c r="H213" t="e">
        <x:f>IF($A213="","",[1]!thsiFinD("ths_adjustment_nv_fund",H$3,$A213))</x:f>
        <x:v>#NAME?</x:v>
      </x:c>
      <x:c r="I213" t="e">
        <x:f>IF($A213="","",[1]!thsiFinD("ths_adjustment_nv_fund",I$3,$A213))</x:f>
        <x:v>#NAME?</x:v>
      </x:c>
      <x:c r="J213" t="e">
        <x:f>IF($A213="","",[1]!thsiFinD("ths_adjustment_nv_fund",J$3,$A213))</x:f>
        <x:v>#NAME?</x:v>
      </x:c>
      <x:c r="K213" t="e">
        <x:f>IF($A213="","",[1]!thsiFinD("ths_adjustment_nv_fund",K$3,$A213))</x:f>
        <x:v>#NAME?</x:v>
      </x:c>
      <x:c r="L213" t="e">
        <x:f>IF($A213="","",[1]!thsiFinD("ths_adjustment_nv_fund",L$3,$A213))</x:f>
        <x:v>#NAME?</x:v>
      </x:c>
      <x:c r="M213" t="e">
        <x:f>IF($A213="","",[1]!thsiFinD("ths_adjustment_nv_fund",M$3,$A213))</x:f>
        <x:v>#NAME?</x:v>
      </x:c>
      <x:c r="N213" t="e">
        <x:f>IF($A213="","",[1]!thsiFinD("ths_adjustment_nv_fund",N$3,$A213))</x:f>
        <x:v>#NAME?</x:v>
      </x:c>
      <x:c r="O213" t="e">
        <x:f>IF($A213="","",[1]!thsiFinD("ths_adjustment_nv_fund",O$3,$A213))</x:f>
        <x:v>#NAME?</x:v>
      </x:c>
      <x:c r="P213" t="e">
        <x:f>IF($A213="","",[1]!thsiFinD("ths_adjustment_nv_fund",P$3,$A213))</x:f>
        <x:v>#NAME?</x:v>
      </x:c>
      <x:c r="Q213" t="e">
        <x:f>IF($A213="","",[1]!thsiFinD("ths_adjustment_nv_fund",Q$3,$A213))</x:f>
        <x:v>#NAME?</x:v>
      </x:c>
      <x:c r="R213" t="e">
        <x:f>IF($A213="","",[1]!thsiFinD("ths_adjustment_nv_fund",R$3,$A213))</x:f>
        <x:v>#NAME?</x:v>
      </x:c>
      <x:c r="S213" t="e">
        <x:f>IF($A213="","",[1]!thsiFinD("ths_adjustment_nv_fund",S$3,$A213))</x:f>
        <x:v>#NAME?</x:v>
      </x:c>
      <x:c r="T213" t="e">
        <x:f>IF($A213="","",[1]!thsiFinD("ths_adjustment_nv_fund",T$3,$A213))</x:f>
        <x:v>#NAME?</x:v>
      </x:c>
      <x:c r="U213" t="e">
        <x:f>IF($A213="","",[1]!thsiFinD("ths_adjustment_nv_fund",U$3,$A213))</x:f>
        <x:v>#NAME?</x:v>
      </x:c>
      <x:c r="V213" t="e">
        <x:f>IF($A213="","",[1]!thsiFinD("ths_adjustment_nv_fund",V$3,$A213))</x:f>
        <x:v>#NAME?</x:v>
      </x:c>
      <x:c r="W213" t="e">
        <x:f>IF($A213="","",[1]!thsiFinD("ths_adjustment_nv_fund",W$3,$A213))</x:f>
        <x:v>#NAME?</x:v>
      </x:c>
      <x:c r="X213" t="e">
        <x:f>IF($A213="","",[1]!thsiFinD("ths_adjustment_nv_fund",X$3,$A213))</x:f>
        <x:v>#NAME?</x:v>
      </x:c>
      <x:c r="Y213" t="e">
        <x:f>IF($A213="","",[1]!thsiFinD("ths_adjustment_nv_fund",Y$3,$A213))</x:f>
        <x:v>#NAME?</x:v>
      </x:c>
    </x:row>
    <x:row r="214">
      <x:c r="B214" t="e">
        <x:f>IF($A214="","",[1]!thsiFinD("ths_adjustment_nv_fund",B$3,$A214))</x:f>
        <x:v>#NAME?</x:v>
      </x:c>
      <x:c r="C214" t="e">
        <x:f>IF($A214="","",[1]!thsiFinD("ths_adjustment_nv_fund",C$3,$A214))</x:f>
        <x:v>#NAME?</x:v>
      </x:c>
      <x:c r="D214" t="e">
        <x:f>IF($A214="","",[1]!thsiFinD("ths_adjustment_nv_fund",D$3,$A214))</x:f>
        <x:v>#NAME?</x:v>
      </x:c>
      <x:c r="E214" t="e">
        <x:f>IF($A214="","",[1]!thsiFinD("ths_adjustment_nv_fund",E$3,$A214))</x:f>
        <x:v>#NAME?</x:v>
      </x:c>
      <x:c r="F214" t="e">
        <x:f>IF($A214="","",[1]!thsiFinD("ths_adjustment_nv_fund",F$3,$A214))</x:f>
        <x:v>#NAME?</x:v>
      </x:c>
      <x:c r="G214" t="e">
        <x:f>IF($A214="","",[1]!thsiFinD("ths_adjustment_nv_fund",G$3,$A214))</x:f>
        <x:v>#NAME?</x:v>
      </x:c>
      <x:c r="H214" t="e">
        <x:f>IF($A214="","",[1]!thsiFinD("ths_adjustment_nv_fund",H$3,$A214))</x:f>
        <x:v>#NAME?</x:v>
      </x:c>
      <x:c r="I214" t="e">
        <x:f>IF($A214="","",[1]!thsiFinD("ths_adjustment_nv_fund",I$3,$A214))</x:f>
        <x:v>#NAME?</x:v>
      </x:c>
      <x:c r="J214" t="e">
        <x:f>IF($A214="","",[1]!thsiFinD("ths_adjustment_nv_fund",J$3,$A214))</x:f>
        <x:v>#NAME?</x:v>
      </x:c>
      <x:c r="K214" t="e">
        <x:f>IF($A214="","",[1]!thsiFinD("ths_adjustment_nv_fund",K$3,$A214))</x:f>
        <x:v>#NAME?</x:v>
      </x:c>
      <x:c r="L214" t="e">
        <x:f>IF($A214="","",[1]!thsiFinD("ths_adjustment_nv_fund",L$3,$A214))</x:f>
        <x:v>#NAME?</x:v>
      </x:c>
      <x:c r="M214" t="e">
        <x:f>IF($A214="","",[1]!thsiFinD("ths_adjustment_nv_fund",M$3,$A214))</x:f>
        <x:v>#NAME?</x:v>
      </x:c>
      <x:c r="N214" t="e">
        <x:f>IF($A214="","",[1]!thsiFinD("ths_adjustment_nv_fund",N$3,$A214))</x:f>
        <x:v>#NAME?</x:v>
      </x:c>
      <x:c r="O214" t="e">
        <x:f>IF($A214="","",[1]!thsiFinD("ths_adjustment_nv_fund",O$3,$A214))</x:f>
        <x:v>#NAME?</x:v>
      </x:c>
      <x:c r="P214" t="e">
        <x:f>IF($A214="","",[1]!thsiFinD("ths_adjustment_nv_fund",P$3,$A214))</x:f>
        <x:v>#NAME?</x:v>
      </x:c>
      <x:c r="Q214" t="e">
        <x:f>IF($A214="","",[1]!thsiFinD("ths_adjustment_nv_fund",Q$3,$A214))</x:f>
        <x:v>#NAME?</x:v>
      </x:c>
      <x:c r="R214" t="e">
        <x:f>IF($A214="","",[1]!thsiFinD("ths_adjustment_nv_fund",R$3,$A214))</x:f>
        <x:v>#NAME?</x:v>
      </x:c>
      <x:c r="S214" t="e">
        <x:f>IF($A214="","",[1]!thsiFinD("ths_adjustment_nv_fund",S$3,$A214))</x:f>
        <x:v>#NAME?</x:v>
      </x:c>
      <x:c r="T214" t="e">
        <x:f>IF($A214="","",[1]!thsiFinD("ths_adjustment_nv_fund",T$3,$A214))</x:f>
        <x:v>#NAME?</x:v>
      </x:c>
      <x:c r="U214" t="e">
        <x:f>IF($A214="","",[1]!thsiFinD("ths_adjustment_nv_fund",U$3,$A214))</x:f>
        <x:v>#NAME?</x:v>
      </x:c>
      <x:c r="V214" t="e">
        <x:f>IF($A214="","",[1]!thsiFinD("ths_adjustment_nv_fund",V$3,$A214))</x:f>
        <x:v>#NAME?</x:v>
      </x:c>
      <x:c r="W214" t="e">
        <x:f>IF($A214="","",[1]!thsiFinD("ths_adjustment_nv_fund",W$3,$A214))</x:f>
        <x:v>#NAME?</x:v>
      </x:c>
      <x:c r="X214" t="e">
        <x:f>IF($A214="","",[1]!thsiFinD("ths_adjustment_nv_fund",X$3,$A214))</x:f>
        <x:v>#NAME?</x:v>
      </x:c>
      <x:c r="Y214" t="e">
        <x:f>IF($A214="","",[1]!thsiFinD("ths_adjustment_nv_fund",Y$3,$A214))</x:f>
        <x:v>#NAME?</x:v>
      </x:c>
    </x:row>
    <x:row r="215">
      <x:c r="B215" t="e">
        <x:f>IF($A215="","",[1]!thsiFinD("ths_adjustment_nv_fund",B$3,$A215))</x:f>
        <x:v>#NAME?</x:v>
      </x:c>
      <x:c r="C215" t="e">
        <x:f>IF($A215="","",[1]!thsiFinD("ths_adjustment_nv_fund",C$3,$A215))</x:f>
        <x:v>#NAME?</x:v>
      </x:c>
      <x:c r="D215" t="e">
        <x:f>IF($A215="","",[1]!thsiFinD("ths_adjustment_nv_fund",D$3,$A215))</x:f>
        <x:v>#NAME?</x:v>
      </x:c>
      <x:c r="E215" t="e">
        <x:f>IF($A215="","",[1]!thsiFinD("ths_adjustment_nv_fund",E$3,$A215))</x:f>
        <x:v>#NAME?</x:v>
      </x:c>
      <x:c r="F215" t="e">
        <x:f>IF($A215="","",[1]!thsiFinD("ths_adjustment_nv_fund",F$3,$A215))</x:f>
        <x:v>#NAME?</x:v>
      </x:c>
      <x:c r="G215" t="e">
        <x:f>IF($A215="","",[1]!thsiFinD("ths_adjustment_nv_fund",G$3,$A215))</x:f>
        <x:v>#NAME?</x:v>
      </x:c>
      <x:c r="H215" t="e">
        <x:f>IF($A215="","",[1]!thsiFinD("ths_adjustment_nv_fund",H$3,$A215))</x:f>
        <x:v>#NAME?</x:v>
      </x:c>
      <x:c r="I215" t="e">
        <x:f>IF($A215="","",[1]!thsiFinD("ths_adjustment_nv_fund",I$3,$A215))</x:f>
        <x:v>#NAME?</x:v>
      </x:c>
      <x:c r="J215" t="e">
        <x:f>IF($A215="","",[1]!thsiFinD("ths_adjustment_nv_fund",J$3,$A215))</x:f>
        <x:v>#NAME?</x:v>
      </x:c>
      <x:c r="K215" t="e">
        <x:f>IF($A215="","",[1]!thsiFinD("ths_adjustment_nv_fund",K$3,$A215))</x:f>
        <x:v>#NAME?</x:v>
      </x:c>
      <x:c r="L215" t="e">
        <x:f>IF($A215="","",[1]!thsiFinD("ths_adjustment_nv_fund",L$3,$A215))</x:f>
        <x:v>#NAME?</x:v>
      </x:c>
      <x:c r="M215" t="e">
        <x:f>IF($A215="","",[1]!thsiFinD("ths_adjustment_nv_fund",M$3,$A215))</x:f>
        <x:v>#NAME?</x:v>
      </x:c>
      <x:c r="N215" t="e">
        <x:f>IF($A215="","",[1]!thsiFinD("ths_adjustment_nv_fund",N$3,$A215))</x:f>
        <x:v>#NAME?</x:v>
      </x:c>
      <x:c r="O215" t="e">
        <x:f>IF($A215="","",[1]!thsiFinD("ths_adjustment_nv_fund",O$3,$A215))</x:f>
        <x:v>#NAME?</x:v>
      </x:c>
      <x:c r="P215" t="e">
        <x:f>IF($A215="","",[1]!thsiFinD("ths_adjustment_nv_fund",P$3,$A215))</x:f>
        <x:v>#NAME?</x:v>
      </x:c>
      <x:c r="Q215" t="e">
        <x:f>IF($A215="","",[1]!thsiFinD("ths_adjustment_nv_fund",Q$3,$A215))</x:f>
        <x:v>#NAME?</x:v>
      </x:c>
      <x:c r="R215" t="e">
        <x:f>IF($A215="","",[1]!thsiFinD("ths_adjustment_nv_fund",R$3,$A215))</x:f>
        <x:v>#NAME?</x:v>
      </x:c>
      <x:c r="S215" t="e">
        <x:f>IF($A215="","",[1]!thsiFinD("ths_adjustment_nv_fund",S$3,$A215))</x:f>
        <x:v>#NAME?</x:v>
      </x:c>
      <x:c r="T215" t="e">
        <x:f>IF($A215="","",[1]!thsiFinD("ths_adjustment_nv_fund",T$3,$A215))</x:f>
        <x:v>#NAME?</x:v>
      </x:c>
      <x:c r="U215" t="e">
        <x:f>IF($A215="","",[1]!thsiFinD("ths_adjustment_nv_fund",U$3,$A215))</x:f>
        <x:v>#NAME?</x:v>
      </x:c>
      <x:c r="V215" t="e">
        <x:f>IF($A215="","",[1]!thsiFinD("ths_adjustment_nv_fund",V$3,$A215))</x:f>
        <x:v>#NAME?</x:v>
      </x:c>
      <x:c r="W215" t="e">
        <x:f>IF($A215="","",[1]!thsiFinD("ths_adjustment_nv_fund",W$3,$A215))</x:f>
        <x:v>#NAME?</x:v>
      </x:c>
      <x:c r="X215" t="e">
        <x:f>IF($A215="","",[1]!thsiFinD("ths_adjustment_nv_fund",X$3,$A215))</x:f>
        <x:v>#NAME?</x:v>
      </x:c>
      <x:c r="Y215" t="e">
        <x:f>IF($A215="","",[1]!thsiFinD("ths_adjustment_nv_fund",Y$3,$A215))</x:f>
        <x:v>#NAME?</x:v>
      </x:c>
    </x:row>
    <x:row r="216">
      <x:c r="B216" t="e">
        <x:f>IF($A216="","",[1]!thsiFinD("ths_adjustment_nv_fund",B$3,$A216))</x:f>
        <x:v>#NAME?</x:v>
      </x:c>
      <x:c r="C216" t="e">
        <x:f>IF($A216="","",[1]!thsiFinD("ths_adjustment_nv_fund",C$3,$A216))</x:f>
        <x:v>#NAME?</x:v>
      </x:c>
      <x:c r="D216" t="e">
        <x:f>IF($A216="","",[1]!thsiFinD("ths_adjustment_nv_fund",D$3,$A216))</x:f>
        <x:v>#NAME?</x:v>
      </x:c>
      <x:c r="E216" t="e">
        <x:f>IF($A216="","",[1]!thsiFinD("ths_adjustment_nv_fund",E$3,$A216))</x:f>
        <x:v>#NAME?</x:v>
      </x:c>
      <x:c r="F216" t="e">
        <x:f>IF($A216="","",[1]!thsiFinD("ths_adjustment_nv_fund",F$3,$A216))</x:f>
        <x:v>#NAME?</x:v>
      </x:c>
      <x:c r="G216" t="e">
        <x:f>IF($A216="","",[1]!thsiFinD("ths_adjustment_nv_fund",G$3,$A216))</x:f>
        <x:v>#NAME?</x:v>
      </x:c>
      <x:c r="H216" t="e">
        <x:f>IF($A216="","",[1]!thsiFinD("ths_adjustment_nv_fund",H$3,$A216))</x:f>
        <x:v>#NAME?</x:v>
      </x:c>
      <x:c r="I216" t="e">
        <x:f>IF($A216="","",[1]!thsiFinD("ths_adjustment_nv_fund",I$3,$A216))</x:f>
        <x:v>#NAME?</x:v>
      </x:c>
      <x:c r="J216" t="e">
        <x:f>IF($A216="","",[1]!thsiFinD("ths_adjustment_nv_fund",J$3,$A216))</x:f>
        <x:v>#NAME?</x:v>
      </x:c>
      <x:c r="K216" t="e">
        <x:f>IF($A216="","",[1]!thsiFinD("ths_adjustment_nv_fund",K$3,$A216))</x:f>
        <x:v>#NAME?</x:v>
      </x:c>
      <x:c r="L216" t="e">
        <x:f>IF($A216="","",[1]!thsiFinD("ths_adjustment_nv_fund",L$3,$A216))</x:f>
        <x:v>#NAME?</x:v>
      </x:c>
      <x:c r="M216" t="e">
        <x:f>IF($A216="","",[1]!thsiFinD("ths_adjustment_nv_fund",M$3,$A216))</x:f>
        <x:v>#NAME?</x:v>
      </x:c>
      <x:c r="N216" t="e">
        <x:f>IF($A216="","",[1]!thsiFinD("ths_adjustment_nv_fund",N$3,$A216))</x:f>
        <x:v>#NAME?</x:v>
      </x:c>
      <x:c r="O216" t="e">
        <x:f>IF($A216="","",[1]!thsiFinD("ths_adjustment_nv_fund",O$3,$A216))</x:f>
        <x:v>#NAME?</x:v>
      </x:c>
      <x:c r="P216" t="e">
        <x:f>IF($A216="","",[1]!thsiFinD("ths_adjustment_nv_fund",P$3,$A216))</x:f>
        <x:v>#NAME?</x:v>
      </x:c>
      <x:c r="Q216" t="e">
        <x:f>IF($A216="","",[1]!thsiFinD("ths_adjustment_nv_fund",Q$3,$A216))</x:f>
        <x:v>#NAME?</x:v>
      </x:c>
      <x:c r="R216" t="e">
        <x:f>IF($A216="","",[1]!thsiFinD("ths_adjustment_nv_fund",R$3,$A216))</x:f>
        <x:v>#NAME?</x:v>
      </x:c>
      <x:c r="S216" t="e">
        <x:f>IF($A216="","",[1]!thsiFinD("ths_adjustment_nv_fund",S$3,$A216))</x:f>
        <x:v>#NAME?</x:v>
      </x:c>
      <x:c r="T216" t="e">
        <x:f>IF($A216="","",[1]!thsiFinD("ths_adjustment_nv_fund",T$3,$A216))</x:f>
        <x:v>#NAME?</x:v>
      </x:c>
      <x:c r="U216" t="e">
        <x:f>IF($A216="","",[1]!thsiFinD("ths_adjustment_nv_fund",U$3,$A216))</x:f>
        <x:v>#NAME?</x:v>
      </x:c>
      <x:c r="V216" t="e">
        <x:f>IF($A216="","",[1]!thsiFinD("ths_adjustment_nv_fund",V$3,$A216))</x:f>
        <x:v>#NAME?</x:v>
      </x:c>
      <x:c r="W216" t="e">
        <x:f>IF($A216="","",[1]!thsiFinD("ths_adjustment_nv_fund",W$3,$A216))</x:f>
        <x:v>#NAME?</x:v>
      </x:c>
      <x:c r="X216" t="e">
        <x:f>IF($A216="","",[1]!thsiFinD("ths_adjustment_nv_fund",X$3,$A216))</x:f>
        <x:v>#NAME?</x:v>
      </x:c>
      <x:c r="Y216" t="e">
        <x:f>IF($A216="","",[1]!thsiFinD("ths_adjustment_nv_fund",Y$3,$A216))</x:f>
        <x:v>#NAME?</x:v>
      </x:c>
    </x:row>
    <x:row r="217">
      <x:c r="B217" t="e">
        <x:f>IF($A217="","",[1]!thsiFinD("ths_adjustment_nv_fund",B$3,$A217))</x:f>
        <x:v>#NAME?</x:v>
      </x:c>
      <x:c r="C217" t="e">
        <x:f>IF($A217="","",[1]!thsiFinD("ths_adjustment_nv_fund",C$3,$A217))</x:f>
        <x:v>#NAME?</x:v>
      </x:c>
      <x:c r="D217" t="e">
        <x:f>IF($A217="","",[1]!thsiFinD("ths_adjustment_nv_fund",D$3,$A217))</x:f>
        <x:v>#NAME?</x:v>
      </x:c>
      <x:c r="E217" t="e">
        <x:f>IF($A217="","",[1]!thsiFinD("ths_adjustment_nv_fund",E$3,$A217))</x:f>
        <x:v>#NAME?</x:v>
      </x:c>
      <x:c r="F217" t="e">
        <x:f>IF($A217="","",[1]!thsiFinD("ths_adjustment_nv_fund",F$3,$A217))</x:f>
        <x:v>#NAME?</x:v>
      </x:c>
      <x:c r="G217" t="e">
        <x:f>IF($A217="","",[1]!thsiFinD("ths_adjustment_nv_fund",G$3,$A217))</x:f>
        <x:v>#NAME?</x:v>
      </x:c>
      <x:c r="H217" t="e">
        <x:f>IF($A217="","",[1]!thsiFinD("ths_adjustment_nv_fund",H$3,$A217))</x:f>
        <x:v>#NAME?</x:v>
      </x:c>
      <x:c r="I217" t="e">
        <x:f>IF($A217="","",[1]!thsiFinD("ths_adjustment_nv_fund",I$3,$A217))</x:f>
        <x:v>#NAME?</x:v>
      </x:c>
      <x:c r="J217" t="e">
        <x:f>IF($A217="","",[1]!thsiFinD("ths_adjustment_nv_fund",J$3,$A217))</x:f>
        <x:v>#NAME?</x:v>
      </x:c>
      <x:c r="K217" t="e">
        <x:f>IF($A217="","",[1]!thsiFinD("ths_adjustment_nv_fund",K$3,$A217))</x:f>
        <x:v>#NAME?</x:v>
      </x:c>
      <x:c r="L217" t="e">
        <x:f>IF($A217="","",[1]!thsiFinD("ths_adjustment_nv_fund",L$3,$A217))</x:f>
        <x:v>#NAME?</x:v>
      </x:c>
      <x:c r="M217" t="e">
        <x:f>IF($A217="","",[1]!thsiFinD("ths_adjustment_nv_fund",M$3,$A217))</x:f>
        <x:v>#NAME?</x:v>
      </x:c>
      <x:c r="N217" t="e">
        <x:f>IF($A217="","",[1]!thsiFinD("ths_adjustment_nv_fund",N$3,$A217))</x:f>
        <x:v>#NAME?</x:v>
      </x:c>
      <x:c r="O217" t="e">
        <x:f>IF($A217="","",[1]!thsiFinD("ths_adjustment_nv_fund",O$3,$A217))</x:f>
        <x:v>#NAME?</x:v>
      </x:c>
      <x:c r="P217" t="e">
        <x:f>IF($A217="","",[1]!thsiFinD("ths_adjustment_nv_fund",P$3,$A217))</x:f>
        <x:v>#NAME?</x:v>
      </x:c>
      <x:c r="Q217" t="e">
        <x:f>IF($A217="","",[1]!thsiFinD("ths_adjustment_nv_fund",Q$3,$A217))</x:f>
        <x:v>#NAME?</x:v>
      </x:c>
      <x:c r="R217" t="e">
        <x:f>IF($A217="","",[1]!thsiFinD("ths_adjustment_nv_fund",R$3,$A217))</x:f>
        <x:v>#NAME?</x:v>
      </x:c>
      <x:c r="S217" t="e">
        <x:f>IF($A217="","",[1]!thsiFinD("ths_adjustment_nv_fund",S$3,$A217))</x:f>
        <x:v>#NAME?</x:v>
      </x:c>
      <x:c r="T217" t="e">
        <x:f>IF($A217="","",[1]!thsiFinD("ths_adjustment_nv_fund",T$3,$A217))</x:f>
        <x:v>#NAME?</x:v>
      </x:c>
      <x:c r="U217" t="e">
        <x:f>IF($A217="","",[1]!thsiFinD("ths_adjustment_nv_fund",U$3,$A217))</x:f>
        <x:v>#NAME?</x:v>
      </x:c>
      <x:c r="V217" t="e">
        <x:f>IF($A217="","",[1]!thsiFinD("ths_adjustment_nv_fund",V$3,$A217))</x:f>
        <x:v>#NAME?</x:v>
      </x:c>
      <x:c r="W217" t="e">
        <x:f>IF($A217="","",[1]!thsiFinD("ths_adjustment_nv_fund",W$3,$A217))</x:f>
        <x:v>#NAME?</x:v>
      </x:c>
      <x:c r="X217" t="e">
        <x:f>IF($A217="","",[1]!thsiFinD("ths_adjustment_nv_fund",X$3,$A217))</x:f>
        <x:v>#NAME?</x:v>
      </x:c>
      <x:c r="Y217" t="e">
        <x:f>IF($A217="","",[1]!thsiFinD("ths_adjustment_nv_fund",Y$3,$A217))</x:f>
        <x:v>#NAME?</x:v>
      </x:c>
    </x:row>
    <x:row r="218">
      <x:c r="B218" t="e">
        <x:f>IF($A218="","",[1]!thsiFinD("ths_adjustment_nv_fund",B$3,$A218))</x:f>
        <x:v>#NAME?</x:v>
      </x:c>
      <x:c r="C218" t="e">
        <x:f>IF($A218="","",[1]!thsiFinD("ths_adjustment_nv_fund",C$3,$A218))</x:f>
        <x:v>#NAME?</x:v>
      </x:c>
      <x:c r="D218" t="e">
        <x:f>IF($A218="","",[1]!thsiFinD("ths_adjustment_nv_fund",D$3,$A218))</x:f>
        <x:v>#NAME?</x:v>
      </x:c>
      <x:c r="E218" t="e">
        <x:f>IF($A218="","",[1]!thsiFinD("ths_adjustment_nv_fund",E$3,$A218))</x:f>
        <x:v>#NAME?</x:v>
      </x:c>
      <x:c r="F218" t="e">
        <x:f>IF($A218="","",[1]!thsiFinD("ths_adjustment_nv_fund",F$3,$A218))</x:f>
        <x:v>#NAME?</x:v>
      </x:c>
      <x:c r="G218" t="e">
        <x:f>IF($A218="","",[1]!thsiFinD("ths_adjustment_nv_fund",G$3,$A218))</x:f>
        <x:v>#NAME?</x:v>
      </x:c>
      <x:c r="H218" t="e">
        <x:f>IF($A218="","",[1]!thsiFinD("ths_adjustment_nv_fund",H$3,$A218))</x:f>
        <x:v>#NAME?</x:v>
      </x:c>
      <x:c r="I218" t="e">
        <x:f>IF($A218="","",[1]!thsiFinD("ths_adjustment_nv_fund",I$3,$A218))</x:f>
        <x:v>#NAME?</x:v>
      </x:c>
      <x:c r="J218" t="e">
        <x:f>IF($A218="","",[1]!thsiFinD("ths_adjustment_nv_fund",J$3,$A218))</x:f>
        <x:v>#NAME?</x:v>
      </x:c>
      <x:c r="K218" t="e">
        <x:f>IF($A218="","",[1]!thsiFinD("ths_adjustment_nv_fund",K$3,$A218))</x:f>
        <x:v>#NAME?</x:v>
      </x:c>
      <x:c r="L218" t="e">
        <x:f>IF($A218="","",[1]!thsiFinD("ths_adjustment_nv_fund",L$3,$A218))</x:f>
        <x:v>#NAME?</x:v>
      </x:c>
      <x:c r="M218" t="e">
        <x:f>IF($A218="","",[1]!thsiFinD("ths_adjustment_nv_fund",M$3,$A218))</x:f>
        <x:v>#NAME?</x:v>
      </x:c>
      <x:c r="N218" t="e">
        <x:f>IF($A218="","",[1]!thsiFinD("ths_adjustment_nv_fund",N$3,$A218))</x:f>
        <x:v>#NAME?</x:v>
      </x:c>
      <x:c r="O218" t="e">
        <x:f>IF($A218="","",[1]!thsiFinD("ths_adjustment_nv_fund",O$3,$A218))</x:f>
        <x:v>#NAME?</x:v>
      </x:c>
      <x:c r="P218" t="e">
        <x:f>IF($A218="","",[1]!thsiFinD("ths_adjustment_nv_fund",P$3,$A218))</x:f>
        <x:v>#NAME?</x:v>
      </x:c>
      <x:c r="Q218" t="e">
        <x:f>IF($A218="","",[1]!thsiFinD("ths_adjustment_nv_fund",Q$3,$A218))</x:f>
        <x:v>#NAME?</x:v>
      </x:c>
      <x:c r="R218" t="e">
        <x:f>IF($A218="","",[1]!thsiFinD("ths_adjustment_nv_fund",R$3,$A218))</x:f>
        <x:v>#NAME?</x:v>
      </x:c>
      <x:c r="S218" t="e">
        <x:f>IF($A218="","",[1]!thsiFinD("ths_adjustment_nv_fund",S$3,$A218))</x:f>
        <x:v>#NAME?</x:v>
      </x:c>
      <x:c r="T218" t="e">
        <x:f>IF($A218="","",[1]!thsiFinD("ths_adjustment_nv_fund",T$3,$A218))</x:f>
        <x:v>#NAME?</x:v>
      </x:c>
      <x:c r="U218" t="e">
        <x:f>IF($A218="","",[1]!thsiFinD("ths_adjustment_nv_fund",U$3,$A218))</x:f>
        <x:v>#NAME?</x:v>
      </x:c>
      <x:c r="V218" t="e">
        <x:f>IF($A218="","",[1]!thsiFinD("ths_adjustment_nv_fund",V$3,$A218))</x:f>
        <x:v>#NAME?</x:v>
      </x:c>
      <x:c r="W218" t="e">
        <x:f>IF($A218="","",[1]!thsiFinD("ths_adjustment_nv_fund",W$3,$A218))</x:f>
        <x:v>#NAME?</x:v>
      </x:c>
      <x:c r="X218" t="e">
        <x:f>IF($A218="","",[1]!thsiFinD("ths_adjustment_nv_fund",X$3,$A218))</x:f>
        <x:v>#NAME?</x:v>
      </x:c>
      <x:c r="Y218" t="e">
        <x:f>IF($A218="","",[1]!thsiFinD("ths_adjustment_nv_fund",Y$3,$A218))</x:f>
        <x:v>#NAME?</x:v>
      </x:c>
    </x:row>
    <x:row r="219">
      <x:c r="B219" t="e">
        <x:f>IF($A219="","",[1]!thsiFinD("ths_adjustment_nv_fund",B$3,$A219))</x:f>
        <x:v>#NAME?</x:v>
      </x:c>
      <x:c r="C219" t="e">
        <x:f>IF($A219="","",[1]!thsiFinD("ths_adjustment_nv_fund",C$3,$A219))</x:f>
        <x:v>#NAME?</x:v>
      </x:c>
      <x:c r="D219" t="e">
        <x:f>IF($A219="","",[1]!thsiFinD("ths_adjustment_nv_fund",D$3,$A219))</x:f>
        <x:v>#NAME?</x:v>
      </x:c>
      <x:c r="E219" t="e">
        <x:f>IF($A219="","",[1]!thsiFinD("ths_adjustment_nv_fund",E$3,$A219))</x:f>
        <x:v>#NAME?</x:v>
      </x:c>
      <x:c r="F219" t="e">
        <x:f>IF($A219="","",[1]!thsiFinD("ths_adjustment_nv_fund",F$3,$A219))</x:f>
        <x:v>#NAME?</x:v>
      </x:c>
      <x:c r="G219" t="e">
        <x:f>IF($A219="","",[1]!thsiFinD("ths_adjustment_nv_fund",G$3,$A219))</x:f>
        <x:v>#NAME?</x:v>
      </x:c>
      <x:c r="H219" t="e">
        <x:f>IF($A219="","",[1]!thsiFinD("ths_adjustment_nv_fund",H$3,$A219))</x:f>
        <x:v>#NAME?</x:v>
      </x:c>
      <x:c r="I219" t="e">
        <x:f>IF($A219="","",[1]!thsiFinD("ths_adjustment_nv_fund",I$3,$A219))</x:f>
        <x:v>#NAME?</x:v>
      </x:c>
      <x:c r="J219" t="e">
        <x:f>IF($A219="","",[1]!thsiFinD("ths_adjustment_nv_fund",J$3,$A219))</x:f>
        <x:v>#NAME?</x:v>
      </x:c>
      <x:c r="K219" t="e">
        <x:f>IF($A219="","",[1]!thsiFinD("ths_adjustment_nv_fund",K$3,$A219))</x:f>
        <x:v>#NAME?</x:v>
      </x:c>
      <x:c r="L219" t="e">
        <x:f>IF($A219="","",[1]!thsiFinD("ths_adjustment_nv_fund",L$3,$A219))</x:f>
        <x:v>#NAME?</x:v>
      </x:c>
      <x:c r="M219" t="e">
        <x:f>IF($A219="","",[1]!thsiFinD("ths_adjustment_nv_fund",M$3,$A219))</x:f>
        <x:v>#NAME?</x:v>
      </x:c>
      <x:c r="N219" t="e">
        <x:f>IF($A219="","",[1]!thsiFinD("ths_adjustment_nv_fund",N$3,$A219))</x:f>
        <x:v>#NAME?</x:v>
      </x:c>
      <x:c r="O219" t="e">
        <x:f>IF($A219="","",[1]!thsiFinD("ths_adjustment_nv_fund",O$3,$A219))</x:f>
        <x:v>#NAME?</x:v>
      </x:c>
      <x:c r="P219" t="e">
        <x:f>IF($A219="","",[1]!thsiFinD("ths_adjustment_nv_fund",P$3,$A219))</x:f>
        <x:v>#NAME?</x:v>
      </x:c>
      <x:c r="Q219" t="e">
        <x:f>IF($A219="","",[1]!thsiFinD("ths_adjustment_nv_fund",Q$3,$A219))</x:f>
        <x:v>#NAME?</x:v>
      </x:c>
      <x:c r="R219" t="e">
        <x:f>IF($A219="","",[1]!thsiFinD("ths_adjustment_nv_fund",R$3,$A219))</x:f>
        <x:v>#NAME?</x:v>
      </x:c>
      <x:c r="S219" t="e">
        <x:f>IF($A219="","",[1]!thsiFinD("ths_adjustment_nv_fund",S$3,$A219))</x:f>
        <x:v>#NAME?</x:v>
      </x:c>
      <x:c r="T219" t="e">
        <x:f>IF($A219="","",[1]!thsiFinD("ths_adjustment_nv_fund",T$3,$A219))</x:f>
        <x:v>#NAME?</x:v>
      </x:c>
      <x:c r="U219" t="e">
        <x:f>IF($A219="","",[1]!thsiFinD("ths_adjustment_nv_fund",U$3,$A219))</x:f>
        <x:v>#NAME?</x:v>
      </x:c>
      <x:c r="V219" t="e">
        <x:f>IF($A219="","",[1]!thsiFinD("ths_adjustment_nv_fund",V$3,$A219))</x:f>
        <x:v>#NAME?</x:v>
      </x:c>
      <x:c r="W219" t="e">
        <x:f>IF($A219="","",[1]!thsiFinD("ths_adjustment_nv_fund",W$3,$A219))</x:f>
        <x:v>#NAME?</x:v>
      </x:c>
      <x:c r="X219" t="e">
        <x:f>IF($A219="","",[1]!thsiFinD("ths_adjustment_nv_fund",X$3,$A219))</x:f>
        <x:v>#NAME?</x:v>
      </x:c>
      <x:c r="Y219" t="e">
        <x:f>IF($A219="","",[1]!thsiFinD("ths_adjustment_nv_fund",Y$3,$A219))</x:f>
        <x:v>#NAME?</x:v>
      </x:c>
    </x:row>
    <x:row r="220">
      <x:c r="B220" t="e">
        <x:f>IF($A220="","",[1]!thsiFinD("ths_adjustment_nv_fund",B$3,$A220))</x:f>
        <x:v>#NAME?</x:v>
      </x:c>
      <x:c r="C220" t="e">
        <x:f>IF($A220="","",[1]!thsiFinD("ths_adjustment_nv_fund",C$3,$A220))</x:f>
        <x:v>#NAME?</x:v>
      </x:c>
      <x:c r="D220" t="e">
        <x:f>IF($A220="","",[1]!thsiFinD("ths_adjustment_nv_fund",D$3,$A220))</x:f>
        <x:v>#NAME?</x:v>
      </x:c>
      <x:c r="E220" t="e">
        <x:f>IF($A220="","",[1]!thsiFinD("ths_adjustment_nv_fund",E$3,$A220))</x:f>
        <x:v>#NAME?</x:v>
      </x:c>
      <x:c r="F220" t="e">
        <x:f>IF($A220="","",[1]!thsiFinD("ths_adjustment_nv_fund",F$3,$A220))</x:f>
        <x:v>#NAME?</x:v>
      </x:c>
      <x:c r="G220" t="e">
        <x:f>IF($A220="","",[1]!thsiFinD("ths_adjustment_nv_fund",G$3,$A220))</x:f>
        <x:v>#NAME?</x:v>
      </x:c>
      <x:c r="H220" t="e">
        <x:f>IF($A220="","",[1]!thsiFinD("ths_adjustment_nv_fund",H$3,$A220))</x:f>
        <x:v>#NAME?</x:v>
      </x:c>
      <x:c r="I220" t="e">
        <x:f>IF($A220="","",[1]!thsiFinD("ths_adjustment_nv_fund",I$3,$A220))</x:f>
        <x:v>#NAME?</x:v>
      </x:c>
      <x:c r="J220" t="e">
        <x:f>IF($A220="","",[1]!thsiFinD("ths_adjustment_nv_fund",J$3,$A220))</x:f>
        <x:v>#NAME?</x:v>
      </x:c>
      <x:c r="K220" t="e">
        <x:f>IF($A220="","",[1]!thsiFinD("ths_adjustment_nv_fund",K$3,$A220))</x:f>
        <x:v>#NAME?</x:v>
      </x:c>
      <x:c r="L220" t="e">
        <x:f>IF($A220="","",[1]!thsiFinD("ths_adjustment_nv_fund",L$3,$A220))</x:f>
        <x:v>#NAME?</x:v>
      </x:c>
      <x:c r="M220" t="e">
        <x:f>IF($A220="","",[1]!thsiFinD("ths_adjustment_nv_fund",M$3,$A220))</x:f>
        <x:v>#NAME?</x:v>
      </x:c>
      <x:c r="N220" t="e">
        <x:f>IF($A220="","",[1]!thsiFinD("ths_adjustment_nv_fund",N$3,$A220))</x:f>
        <x:v>#NAME?</x:v>
      </x:c>
      <x:c r="O220" t="e">
        <x:f>IF($A220="","",[1]!thsiFinD("ths_adjustment_nv_fund",O$3,$A220))</x:f>
        <x:v>#NAME?</x:v>
      </x:c>
      <x:c r="P220" t="e">
        <x:f>IF($A220="","",[1]!thsiFinD("ths_adjustment_nv_fund",P$3,$A220))</x:f>
        <x:v>#NAME?</x:v>
      </x:c>
      <x:c r="Q220" t="e">
        <x:f>IF($A220="","",[1]!thsiFinD("ths_adjustment_nv_fund",Q$3,$A220))</x:f>
        <x:v>#NAME?</x:v>
      </x:c>
      <x:c r="R220" t="e">
        <x:f>IF($A220="","",[1]!thsiFinD("ths_adjustment_nv_fund",R$3,$A220))</x:f>
        <x:v>#NAME?</x:v>
      </x:c>
      <x:c r="S220" t="e">
        <x:f>IF($A220="","",[1]!thsiFinD("ths_adjustment_nv_fund",S$3,$A220))</x:f>
        <x:v>#NAME?</x:v>
      </x:c>
      <x:c r="T220" t="e">
        <x:f>IF($A220="","",[1]!thsiFinD("ths_adjustment_nv_fund",T$3,$A220))</x:f>
        <x:v>#NAME?</x:v>
      </x:c>
      <x:c r="U220" t="e">
        <x:f>IF($A220="","",[1]!thsiFinD("ths_adjustment_nv_fund",U$3,$A220))</x:f>
        <x:v>#NAME?</x:v>
      </x:c>
      <x:c r="V220" t="e">
        <x:f>IF($A220="","",[1]!thsiFinD("ths_adjustment_nv_fund",V$3,$A220))</x:f>
        <x:v>#NAME?</x:v>
      </x:c>
      <x:c r="W220" t="e">
        <x:f>IF($A220="","",[1]!thsiFinD("ths_adjustment_nv_fund",W$3,$A220))</x:f>
        <x:v>#NAME?</x:v>
      </x:c>
      <x:c r="X220" t="e">
        <x:f>IF($A220="","",[1]!thsiFinD("ths_adjustment_nv_fund",X$3,$A220))</x:f>
        <x:v>#NAME?</x:v>
      </x:c>
      <x:c r="Y220" t="e">
        <x:f>IF($A220="","",[1]!thsiFinD("ths_adjustment_nv_fund",Y$3,$A220))</x:f>
        <x:v>#NAME?</x:v>
      </x:c>
    </x:row>
    <x:row r="221">
      <x:c r="B221" t="e">
        <x:f>IF($A221="","",[1]!thsiFinD("ths_adjustment_nv_fund",B$3,$A221))</x:f>
        <x:v>#NAME?</x:v>
      </x:c>
      <x:c r="C221" t="e">
        <x:f>IF($A221="","",[1]!thsiFinD("ths_adjustment_nv_fund",C$3,$A221))</x:f>
        <x:v>#NAME?</x:v>
      </x:c>
      <x:c r="D221" t="e">
        <x:f>IF($A221="","",[1]!thsiFinD("ths_adjustment_nv_fund",D$3,$A221))</x:f>
        <x:v>#NAME?</x:v>
      </x:c>
      <x:c r="E221" t="e">
        <x:f>IF($A221="","",[1]!thsiFinD("ths_adjustment_nv_fund",E$3,$A221))</x:f>
        <x:v>#NAME?</x:v>
      </x:c>
      <x:c r="F221" t="e">
        <x:f>IF($A221="","",[1]!thsiFinD("ths_adjustment_nv_fund",F$3,$A221))</x:f>
        <x:v>#NAME?</x:v>
      </x:c>
      <x:c r="G221" t="e">
        <x:f>IF($A221="","",[1]!thsiFinD("ths_adjustment_nv_fund",G$3,$A221))</x:f>
        <x:v>#NAME?</x:v>
      </x:c>
      <x:c r="H221" t="e">
        <x:f>IF($A221="","",[1]!thsiFinD("ths_adjustment_nv_fund",H$3,$A221))</x:f>
        <x:v>#NAME?</x:v>
      </x:c>
      <x:c r="I221" t="e">
        <x:f>IF($A221="","",[1]!thsiFinD("ths_adjustment_nv_fund",I$3,$A221))</x:f>
        <x:v>#NAME?</x:v>
      </x:c>
      <x:c r="J221" t="e">
        <x:f>IF($A221="","",[1]!thsiFinD("ths_adjustment_nv_fund",J$3,$A221))</x:f>
        <x:v>#NAME?</x:v>
      </x:c>
      <x:c r="K221" t="e">
        <x:f>IF($A221="","",[1]!thsiFinD("ths_adjustment_nv_fund",K$3,$A221))</x:f>
        <x:v>#NAME?</x:v>
      </x:c>
      <x:c r="L221" t="e">
        <x:f>IF($A221="","",[1]!thsiFinD("ths_adjustment_nv_fund",L$3,$A221))</x:f>
        <x:v>#NAME?</x:v>
      </x:c>
      <x:c r="M221" t="e">
        <x:f>IF($A221="","",[1]!thsiFinD("ths_adjustment_nv_fund",M$3,$A221))</x:f>
        <x:v>#NAME?</x:v>
      </x:c>
      <x:c r="N221" t="e">
        <x:f>IF($A221="","",[1]!thsiFinD("ths_adjustment_nv_fund",N$3,$A221))</x:f>
        <x:v>#NAME?</x:v>
      </x:c>
      <x:c r="O221" t="e">
        <x:f>IF($A221="","",[1]!thsiFinD("ths_adjustment_nv_fund",O$3,$A221))</x:f>
        <x:v>#NAME?</x:v>
      </x:c>
      <x:c r="P221" t="e">
        <x:f>IF($A221="","",[1]!thsiFinD("ths_adjustment_nv_fund",P$3,$A221))</x:f>
        <x:v>#NAME?</x:v>
      </x:c>
      <x:c r="Q221" t="e">
        <x:f>IF($A221="","",[1]!thsiFinD("ths_adjustment_nv_fund",Q$3,$A221))</x:f>
        <x:v>#NAME?</x:v>
      </x:c>
      <x:c r="R221" t="e">
        <x:f>IF($A221="","",[1]!thsiFinD("ths_adjustment_nv_fund",R$3,$A221))</x:f>
        <x:v>#NAME?</x:v>
      </x:c>
      <x:c r="S221" t="e">
        <x:f>IF($A221="","",[1]!thsiFinD("ths_adjustment_nv_fund",S$3,$A221))</x:f>
        <x:v>#NAME?</x:v>
      </x:c>
      <x:c r="T221" t="e">
        <x:f>IF($A221="","",[1]!thsiFinD("ths_adjustment_nv_fund",T$3,$A221))</x:f>
        <x:v>#NAME?</x:v>
      </x:c>
      <x:c r="U221" t="e">
        <x:f>IF($A221="","",[1]!thsiFinD("ths_adjustment_nv_fund",U$3,$A221))</x:f>
        <x:v>#NAME?</x:v>
      </x:c>
      <x:c r="V221" t="e">
        <x:f>IF($A221="","",[1]!thsiFinD("ths_adjustment_nv_fund",V$3,$A221))</x:f>
        <x:v>#NAME?</x:v>
      </x:c>
      <x:c r="W221" t="e">
        <x:f>IF($A221="","",[1]!thsiFinD("ths_adjustment_nv_fund",W$3,$A221))</x:f>
        <x:v>#NAME?</x:v>
      </x:c>
      <x:c r="X221" t="e">
        <x:f>IF($A221="","",[1]!thsiFinD("ths_adjustment_nv_fund",X$3,$A221))</x:f>
        <x:v>#NAME?</x:v>
      </x:c>
      <x:c r="Y221" t="e">
        <x:f>IF($A221="","",[1]!thsiFinD("ths_adjustment_nv_fund",Y$3,$A221))</x:f>
        <x:v>#NAME?</x:v>
      </x:c>
    </x:row>
    <x:row r="222">
      <x:c r="B222" t="e">
        <x:f>IF($A222="","",[1]!thsiFinD("ths_adjustment_nv_fund",B$3,$A222))</x:f>
        <x:v>#NAME?</x:v>
      </x:c>
      <x:c r="C222" t="e">
        <x:f>IF($A222="","",[1]!thsiFinD("ths_adjustment_nv_fund",C$3,$A222))</x:f>
        <x:v>#NAME?</x:v>
      </x:c>
      <x:c r="D222" t="e">
        <x:f>IF($A222="","",[1]!thsiFinD("ths_adjustment_nv_fund",D$3,$A222))</x:f>
        <x:v>#NAME?</x:v>
      </x:c>
      <x:c r="E222" t="e">
        <x:f>IF($A222="","",[1]!thsiFinD("ths_adjustment_nv_fund",E$3,$A222))</x:f>
        <x:v>#NAME?</x:v>
      </x:c>
      <x:c r="F222" t="e">
        <x:f>IF($A222="","",[1]!thsiFinD("ths_adjustment_nv_fund",F$3,$A222))</x:f>
        <x:v>#NAME?</x:v>
      </x:c>
      <x:c r="G222" t="e">
        <x:f>IF($A222="","",[1]!thsiFinD("ths_adjustment_nv_fund",G$3,$A222))</x:f>
        <x:v>#NAME?</x:v>
      </x:c>
      <x:c r="H222" t="e">
        <x:f>IF($A222="","",[1]!thsiFinD("ths_adjustment_nv_fund",H$3,$A222))</x:f>
        <x:v>#NAME?</x:v>
      </x:c>
      <x:c r="I222" t="e">
        <x:f>IF($A222="","",[1]!thsiFinD("ths_adjustment_nv_fund",I$3,$A222))</x:f>
        <x:v>#NAME?</x:v>
      </x:c>
      <x:c r="J222" t="e">
        <x:f>IF($A222="","",[1]!thsiFinD("ths_adjustment_nv_fund",J$3,$A222))</x:f>
        <x:v>#NAME?</x:v>
      </x:c>
      <x:c r="K222" t="e">
        <x:f>IF($A222="","",[1]!thsiFinD("ths_adjustment_nv_fund",K$3,$A222))</x:f>
        <x:v>#NAME?</x:v>
      </x:c>
      <x:c r="L222" t="e">
        <x:f>IF($A222="","",[1]!thsiFinD("ths_adjustment_nv_fund",L$3,$A222))</x:f>
        <x:v>#NAME?</x:v>
      </x:c>
      <x:c r="M222" t="e">
        <x:f>IF($A222="","",[1]!thsiFinD("ths_adjustment_nv_fund",M$3,$A222))</x:f>
        <x:v>#NAME?</x:v>
      </x:c>
      <x:c r="N222" t="e">
        <x:f>IF($A222="","",[1]!thsiFinD("ths_adjustment_nv_fund",N$3,$A222))</x:f>
        <x:v>#NAME?</x:v>
      </x:c>
      <x:c r="O222" t="e">
        <x:f>IF($A222="","",[1]!thsiFinD("ths_adjustment_nv_fund",O$3,$A222))</x:f>
        <x:v>#NAME?</x:v>
      </x:c>
      <x:c r="P222" t="e">
        <x:f>IF($A222="","",[1]!thsiFinD("ths_adjustment_nv_fund",P$3,$A222))</x:f>
        <x:v>#NAME?</x:v>
      </x:c>
      <x:c r="Q222" t="e">
        <x:f>IF($A222="","",[1]!thsiFinD("ths_adjustment_nv_fund",Q$3,$A222))</x:f>
        <x:v>#NAME?</x:v>
      </x:c>
      <x:c r="R222" t="e">
        <x:f>IF($A222="","",[1]!thsiFinD("ths_adjustment_nv_fund",R$3,$A222))</x:f>
        <x:v>#NAME?</x:v>
      </x:c>
      <x:c r="S222" t="e">
        <x:f>IF($A222="","",[1]!thsiFinD("ths_adjustment_nv_fund",S$3,$A222))</x:f>
        <x:v>#NAME?</x:v>
      </x:c>
      <x:c r="T222" t="e">
        <x:f>IF($A222="","",[1]!thsiFinD("ths_adjustment_nv_fund",T$3,$A222))</x:f>
        <x:v>#NAME?</x:v>
      </x:c>
      <x:c r="U222" t="e">
        <x:f>IF($A222="","",[1]!thsiFinD("ths_adjustment_nv_fund",U$3,$A222))</x:f>
        <x:v>#NAME?</x:v>
      </x:c>
      <x:c r="V222" t="e">
        <x:f>IF($A222="","",[1]!thsiFinD("ths_adjustment_nv_fund",V$3,$A222))</x:f>
        <x:v>#NAME?</x:v>
      </x:c>
      <x:c r="W222" t="e">
        <x:f>IF($A222="","",[1]!thsiFinD("ths_adjustment_nv_fund",W$3,$A222))</x:f>
        <x:v>#NAME?</x:v>
      </x:c>
      <x:c r="X222" t="e">
        <x:f>IF($A222="","",[1]!thsiFinD("ths_adjustment_nv_fund",X$3,$A222))</x:f>
        <x:v>#NAME?</x:v>
      </x:c>
      <x:c r="Y222" t="e">
        <x:f>IF($A222="","",[1]!thsiFinD("ths_adjustment_nv_fund",Y$3,$A222))</x:f>
        <x:v>#NAME?</x:v>
      </x:c>
    </x:row>
    <x:row r="223">
      <x:c r="B223" t="e">
        <x:f>IF($A223="","",[1]!thsiFinD("ths_adjustment_nv_fund",B$3,$A223))</x:f>
        <x:v>#NAME?</x:v>
      </x:c>
      <x:c r="C223" t="e">
        <x:f>IF($A223="","",[1]!thsiFinD("ths_adjustment_nv_fund",C$3,$A223))</x:f>
        <x:v>#NAME?</x:v>
      </x:c>
      <x:c r="D223" t="e">
        <x:f>IF($A223="","",[1]!thsiFinD("ths_adjustment_nv_fund",D$3,$A223))</x:f>
        <x:v>#NAME?</x:v>
      </x:c>
      <x:c r="E223" t="e">
        <x:f>IF($A223="","",[1]!thsiFinD("ths_adjustment_nv_fund",E$3,$A223))</x:f>
        <x:v>#NAME?</x:v>
      </x:c>
      <x:c r="F223" t="e">
        <x:f>IF($A223="","",[1]!thsiFinD("ths_adjustment_nv_fund",F$3,$A223))</x:f>
        <x:v>#NAME?</x:v>
      </x:c>
      <x:c r="G223" t="e">
        <x:f>IF($A223="","",[1]!thsiFinD("ths_adjustment_nv_fund",G$3,$A223))</x:f>
        <x:v>#NAME?</x:v>
      </x:c>
      <x:c r="H223" t="e">
        <x:f>IF($A223="","",[1]!thsiFinD("ths_adjustment_nv_fund",H$3,$A223))</x:f>
        <x:v>#NAME?</x:v>
      </x:c>
      <x:c r="I223" t="e">
        <x:f>IF($A223="","",[1]!thsiFinD("ths_adjustment_nv_fund",I$3,$A223))</x:f>
        <x:v>#NAME?</x:v>
      </x:c>
      <x:c r="J223" t="e">
        <x:f>IF($A223="","",[1]!thsiFinD("ths_adjustment_nv_fund",J$3,$A223))</x:f>
        <x:v>#NAME?</x:v>
      </x:c>
      <x:c r="K223" t="e">
        <x:f>IF($A223="","",[1]!thsiFinD("ths_adjustment_nv_fund",K$3,$A223))</x:f>
        <x:v>#NAME?</x:v>
      </x:c>
      <x:c r="L223" t="e">
        <x:f>IF($A223="","",[1]!thsiFinD("ths_adjustment_nv_fund",L$3,$A223))</x:f>
        <x:v>#NAME?</x:v>
      </x:c>
      <x:c r="M223" t="e">
        <x:f>IF($A223="","",[1]!thsiFinD("ths_adjustment_nv_fund",M$3,$A223))</x:f>
        <x:v>#NAME?</x:v>
      </x:c>
      <x:c r="N223" t="e">
        <x:f>IF($A223="","",[1]!thsiFinD("ths_adjustment_nv_fund",N$3,$A223))</x:f>
        <x:v>#NAME?</x:v>
      </x:c>
      <x:c r="O223" t="e">
        <x:f>IF($A223="","",[1]!thsiFinD("ths_adjustment_nv_fund",O$3,$A223))</x:f>
        <x:v>#NAME?</x:v>
      </x:c>
      <x:c r="P223" t="e">
        <x:f>IF($A223="","",[1]!thsiFinD("ths_adjustment_nv_fund",P$3,$A223))</x:f>
        <x:v>#NAME?</x:v>
      </x:c>
      <x:c r="Q223" t="e">
        <x:f>IF($A223="","",[1]!thsiFinD("ths_adjustment_nv_fund",Q$3,$A223))</x:f>
        <x:v>#NAME?</x:v>
      </x:c>
      <x:c r="R223" t="e">
        <x:f>IF($A223="","",[1]!thsiFinD("ths_adjustment_nv_fund",R$3,$A223))</x:f>
        <x:v>#NAME?</x:v>
      </x:c>
      <x:c r="S223" t="e">
        <x:f>IF($A223="","",[1]!thsiFinD("ths_adjustment_nv_fund",S$3,$A223))</x:f>
        <x:v>#NAME?</x:v>
      </x:c>
      <x:c r="T223" t="e">
        <x:f>IF($A223="","",[1]!thsiFinD("ths_adjustment_nv_fund",T$3,$A223))</x:f>
        <x:v>#NAME?</x:v>
      </x:c>
      <x:c r="U223" t="e">
        <x:f>IF($A223="","",[1]!thsiFinD("ths_adjustment_nv_fund",U$3,$A223))</x:f>
        <x:v>#NAME?</x:v>
      </x:c>
      <x:c r="V223" t="e">
        <x:f>IF($A223="","",[1]!thsiFinD("ths_adjustment_nv_fund",V$3,$A223))</x:f>
        <x:v>#NAME?</x:v>
      </x:c>
      <x:c r="W223" t="e">
        <x:f>IF($A223="","",[1]!thsiFinD("ths_adjustment_nv_fund",W$3,$A223))</x:f>
        <x:v>#NAME?</x:v>
      </x:c>
      <x:c r="X223" t="e">
        <x:f>IF($A223="","",[1]!thsiFinD("ths_adjustment_nv_fund",X$3,$A223))</x:f>
        <x:v>#NAME?</x:v>
      </x:c>
      <x:c r="Y223" t="e">
        <x:f>IF($A223="","",[1]!thsiFinD("ths_adjustment_nv_fund",Y$3,$A223))</x:f>
        <x:v>#NAME?</x:v>
      </x:c>
    </x:row>
    <x:row r="224">
      <x:c r="B224" t="e">
        <x:f>IF($A224="","",[1]!thsiFinD("ths_adjustment_nv_fund",B$3,$A224))</x:f>
        <x:v>#NAME?</x:v>
      </x:c>
      <x:c r="C224" t="e">
        <x:f>IF($A224="","",[1]!thsiFinD("ths_adjustment_nv_fund",C$3,$A224))</x:f>
        <x:v>#NAME?</x:v>
      </x:c>
      <x:c r="D224" t="e">
        <x:f>IF($A224="","",[1]!thsiFinD("ths_adjustment_nv_fund",D$3,$A224))</x:f>
        <x:v>#NAME?</x:v>
      </x:c>
      <x:c r="E224" t="e">
        <x:f>IF($A224="","",[1]!thsiFinD("ths_adjustment_nv_fund",E$3,$A224))</x:f>
        <x:v>#NAME?</x:v>
      </x:c>
      <x:c r="F224" t="e">
        <x:f>IF($A224="","",[1]!thsiFinD("ths_adjustment_nv_fund",F$3,$A224))</x:f>
        <x:v>#NAME?</x:v>
      </x:c>
      <x:c r="G224" t="e">
        <x:f>IF($A224="","",[1]!thsiFinD("ths_adjustment_nv_fund",G$3,$A224))</x:f>
        <x:v>#NAME?</x:v>
      </x:c>
      <x:c r="H224" t="e">
        <x:f>IF($A224="","",[1]!thsiFinD("ths_adjustment_nv_fund",H$3,$A224))</x:f>
        <x:v>#NAME?</x:v>
      </x:c>
      <x:c r="I224" t="e">
        <x:f>IF($A224="","",[1]!thsiFinD("ths_adjustment_nv_fund",I$3,$A224))</x:f>
        <x:v>#NAME?</x:v>
      </x:c>
      <x:c r="J224" t="e">
        <x:f>IF($A224="","",[1]!thsiFinD("ths_adjustment_nv_fund",J$3,$A224))</x:f>
        <x:v>#NAME?</x:v>
      </x:c>
      <x:c r="K224" t="e">
        <x:f>IF($A224="","",[1]!thsiFinD("ths_adjustment_nv_fund",K$3,$A224))</x:f>
        <x:v>#NAME?</x:v>
      </x:c>
      <x:c r="L224" t="e">
        <x:f>IF($A224="","",[1]!thsiFinD("ths_adjustment_nv_fund",L$3,$A224))</x:f>
        <x:v>#NAME?</x:v>
      </x:c>
      <x:c r="M224" t="e">
        <x:f>IF($A224="","",[1]!thsiFinD("ths_adjustment_nv_fund",M$3,$A224))</x:f>
        <x:v>#NAME?</x:v>
      </x:c>
      <x:c r="N224" t="e">
        <x:f>IF($A224="","",[1]!thsiFinD("ths_adjustment_nv_fund",N$3,$A224))</x:f>
        <x:v>#NAME?</x:v>
      </x:c>
      <x:c r="O224" t="e">
        <x:f>IF($A224="","",[1]!thsiFinD("ths_adjustment_nv_fund",O$3,$A224))</x:f>
        <x:v>#NAME?</x:v>
      </x:c>
      <x:c r="P224" t="e">
        <x:f>IF($A224="","",[1]!thsiFinD("ths_adjustment_nv_fund",P$3,$A224))</x:f>
        <x:v>#NAME?</x:v>
      </x:c>
      <x:c r="Q224" t="e">
        <x:f>IF($A224="","",[1]!thsiFinD("ths_adjustment_nv_fund",Q$3,$A224))</x:f>
        <x:v>#NAME?</x:v>
      </x:c>
      <x:c r="R224" t="e">
        <x:f>IF($A224="","",[1]!thsiFinD("ths_adjustment_nv_fund",R$3,$A224))</x:f>
        <x:v>#NAME?</x:v>
      </x:c>
      <x:c r="S224" t="e">
        <x:f>IF($A224="","",[1]!thsiFinD("ths_adjustment_nv_fund",S$3,$A224))</x:f>
        <x:v>#NAME?</x:v>
      </x:c>
      <x:c r="T224" t="e">
        <x:f>IF($A224="","",[1]!thsiFinD("ths_adjustment_nv_fund",T$3,$A224))</x:f>
        <x:v>#NAME?</x:v>
      </x:c>
      <x:c r="U224" t="e">
        <x:f>IF($A224="","",[1]!thsiFinD("ths_adjustment_nv_fund",U$3,$A224))</x:f>
        <x:v>#NAME?</x:v>
      </x:c>
      <x:c r="V224" t="e">
        <x:f>IF($A224="","",[1]!thsiFinD("ths_adjustment_nv_fund",V$3,$A224))</x:f>
        <x:v>#NAME?</x:v>
      </x:c>
      <x:c r="W224" t="e">
        <x:f>IF($A224="","",[1]!thsiFinD("ths_adjustment_nv_fund",W$3,$A224))</x:f>
        <x:v>#NAME?</x:v>
      </x:c>
      <x:c r="X224" t="e">
        <x:f>IF($A224="","",[1]!thsiFinD("ths_adjustment_nv_fund",X$3,$A224))</x:f>
        <x:v>#NAME?</x:v>
      </x:c>
      <x:c r="Y224" t="e">
        <x:f>IF($A224="","",[1]!thsiFinD("ths_adjustment_nv_fund",Y$3,$A224))</x:f>
        <x:v>#NAME?</x:v>
      </x:c>
    </x:row>
    <x:row r="225">
      <x:c r="B225" t="e">
        <x:f>IF($A225="","",[1]!thsiFinD("ths_adjustment_nv_fund",B$3,$A225))</x:f>
        <x:v>#NAME?</x:v>
      </x:c>
      <x:c r="C225" t="e">
        <x:f>IF($A225="","",[1]!thsiFinD("ths_adjustment_nv_fund",C$3,$A225))</x:f>
        <x:v>#NAME?</x:v>
      </x:c>
      <x:c r="D225" t="e">
        <x:f>IF($A225="","",[1]!thsiFinD("ths_adjustment_nv_fund",D$3,$A225))</x:f>
        <x:v>#NAME?</x:v>
      </x:c>
      <x:c r="E225" t="e">
        <x:f>IF($A225="","",[1]!thsiFinD("ths_adjustment_nv_fund",E$3,$A225))</x:f>
        <x:v>#NAME?</x:v>
      </x:c>
      <x:c r="F225" t="e">
        <x:f>IF($A225="","",[1]!thsiFinD("ths_adjustment_nv_fund",F$3,$A225))</x:f>
        <x:v>#NAME?</x:v>
      </x:c>
      <x:c r="G225" t="e">
        <x:f>IF($A225="","",[1]!thsiFinD("ths_adjustment_nv_fund",G$3,$A225))</x:f>
        <x:v>#NAME?</x:v>
      </x:c>
      <x:c r="H225" t="e">
        <x:f>IF($A225="","",[1]!thsiFinD("ths_adjustment_nv_fund",H$3,$A225))</x:f>
        <x:v>#NAME?</x:v>
      </x:c>
      <x:c r="I225" t="e">
        <x:f>IF($A225="","",[1]!thsiFinD("ths_adjustment_nv_fund",I$3,$A225))</x:f>
        <x:v>#NAME?</x:v>
      </x:c>
      <x:c r="J225" t="e">
        <x:f>IF($A225="","",[1]!thsiFinD("ths_adjustment_nv_fund",J$3,$A225))</x:f>
        <x:v>#NAME?</x:v>
      </x:c>
      <x:c r="K225" t="e">
        <x:f>IF($A225="","",[1]!thsiFinD("ths_adjustment_nv_fund",K$3,$A225))</x:f>
        <x:v>#NAME?</x:v>
      </x:c>
      <x:c r="L225" t="e">
        <x:f>IF($A225="","",[1]!thsiFinD("ths_adjustment_nv_fund",L$3,$A225))</x:f>
        <x:v>#NAME?</x:v>
      </x:c>
      <x:c r="M225" t="e">
        <x:f>IF($A225="","",[1]!thsiFinD("ths_adjustment_nv_fund",M$3,$A225))</x:f>
        <x:v>#NAME?</x:v>
      </x:c>
      <x:c r="N225" t="e">
        <x:f>IF($A225="","",[1]!thsiFinD("ths_adjustment_nv_fund",N$3,$A225))</x:f>
        <x:v>#NAME?</x:v>
      </x:c>
      <x:c r="O225" t="e">
        <x:f>IF($A225="","",[1]!thsiFinD("ths_adjustment_nv_fund",O$3,$A225))</x:f>
        <x:v>#NAME?</x:v>
      </x:c>
      <x:c r="P225" t="e">
        <x:f>IF($A225="","",[1]!thsiFinD("ths_adjustment_nv_fund",P$3,$A225))</x:f>
        <x:v>#NAME?</x:v>
      </x:c>
      <x:c r="Q225" t="e">
        <x:f>IF($A225="","",[1]!thsiFinD("ths_adjustment_nv_fund",Q$3,$A225))</x:f>
        <x:v>#NAME?</x:v>
      </x:c>
      <x:c r="R225" t="e">
        <x:f>IF($A225="","",[1]!thsiFinD("ths_adjustment_nv_fund",R$3,$A225))</x:f>
        <x:v>#NAME?</x:v>
      </x:c>
      <x:c r="S225" t="e">
        <x:f>IF($A225="","",[1]!thsiFinD("ths_adjustment_nv_fund",S$3,$A225))</x:f>
        <x:v>#NAME?</x:v>
      </x:c>
      <x:c r="T225" t="e">
        <x:f>IF($A225="","",[1]!thsiFinD("ths_adjustment_nv_fund",T$3,$A225))</x:f>
        <x:v>#NAME?</x:v>
      </x:c>
      <x:c r="U225" t="e">
        <x:f>IF($A225="","",[1]!thsiFinD("ths_adjustment_nv_fund",U$3,$A225))</x:f>
        <x:v>#NAME?</x:v>
      </x:c>
      <x:c r="V225" t="e">
        <x:f>IF($A225="","",[1]!thsiFinD("ths_adjustment_nv_fund",V$3,$A225))</x:f>
        <x:v>#NAME?</x:v>
      </x:c>
      <x:c r="W225" t="e">
        <x:f>IF($A225="","",[1]!thsiFinD("ths_adjustment_nv_fund",W$3,$A225))</x:f>
        <x:v>#NAME?</x:v>
      </x:c>
      <x:c r="X225" t="e">
        <x:f>IF($A225="","",[1]!thsiFinD("ths_adjustment_nv_fund",X$3,$A225))</x:f>
        <x:v>#NAME?</x:v>
      </x:c>
      <x:c r="Y225" t="e">
        <x:f>IF($A225="","",[1]!thsiFinD("ths_adjustment_nv_fund",Y$3,$A225))</x:f>
        <x:v>#NAME?</x:v>
      </x:c>
    </x:row>
    <x:row r="226">
      <x:c r="B226" t="e">
        <x:f>IF($A226="","",[1]!thsiFinD("ths_adjustment_nv_fund",B$3,$A226))</x:f>
        <x:v>#NAME?</x:v>
      </x:c>
      <x:c r="C226" t="e">
        <x:f>IF($A226="","",[1]!thsiFinD("ths_adjustment_nv_fund",C$3,$A226))</x:f>
        <x:v>#NAME?</x:v>
      </x:c>
      <x:c r="D226" t="e">
        <x:f>IF($A226="","",[1]!thsiFinD("ths_adjustment_nv_fund",D$3,$A226))</x:f>
        <x:v>#NAME?</x:v>
      </x:c>
      <x:c r="E226" t="e">
        <x:f>IF($A226="","",[1]!thsiFinD("ths_adjustment_nv_fund",E$3,$A226))</x:f>
        <x:v>#NAME?</x:v>
      </x:c>
      <x:c r="F226" t="e">
        <x:f>IF($A226="","",[1]!thsiFinD("ths_adjustment_nv_fund",F$3,$A226))</x:f>
        <x:v>#NAME?</x:v>
      </x:c>
      <x:c r="G226" t="e">
        <x:f>IF($A226="","",[1]!thsiFinD("ths_adjustment_nv_fund",G$3,$A226))</x:f>
        <x:v>#NAME?</x:v>
      </x:c>
      <x:c r="H226" t="e">
        <x:f>IF($A226="","",[1]!thsiFinD("ths_adjustment_nv_fund",H$3,$A226))</x:f>
        <x:v>#NAME?</x:v>
      </x:c>
      <x:c r="I226" t="e">
        <x:f>IF($A226="","",[1]!thsiFinD("ths_adjustment_nv_fund",I$3,$A226))</x:f>
        <x:v>#NAME?</x:v>
      </x:c>
      <x:c r="J226" t="e">
        <x:f>IF($A226="","",[1]!thsiFinD("ths_adjustment_nv_fund",J$3,$A226))</x:f>
        <x:v>#NAME?</x:v>
      </x:c>
      <x:c r="K226" t="e">
        <x:f>IF($A226="","",[1]!thsiFinD("ths_adjustment_nv_fund",K$3,$A226))</x:f>
        <x:v>#NAME?</x:v>
      </x:c>
      <x:c r="L226" t="e">
        <x:f>IF($A226="","",[1]!thsiFinD("ths_adjustment_nv_fund",L$3,$A226))</x:f>
        <x:v>#NAME?</x:v>
      </x:c>
      <x:c r="M226" t="e">
        <x:f>IF($A226="","",[1]!thsiFinD("ths_adjustment_nv_fund",M$3,$A226))</x:f>
        <x:v>#NAME?</x:v>
      </x:c>
      <x:c r="N226" t="e">
        <x:f>IF($A226="","",[1]!thsiFinD("ths_adjustment_nv_fund",N$3,$A226))</x:f>
        <x:v>#NAME?</x:v>
      </x:c>
      <x:c r="O226" t="e">
        <x:f>IF($A226="","",[1]!thsiFinD("ths_adjustment_nv_fund",O$3,$A226))</x:f>
        <x:v>#NAME?</x:v>
      </x:c>
      <x:c r="P226" t="e">
        <x:f>IF($A226="","",[1]!thsiFinD("ths_adjustment_nv_fund",P$3,$A226))</x:f>
        <x:v>#NAME?</x:v>
      </x:c>
      <x:c r="Q226" t="e">
        <x:f>IF($A226="","",[1]!thsiFinD("ths_adjustment_nv_fund",Q$3,$A226))</x:f>
        <x:v>#NAME?</x:v>
      </x:c>
      <x:c r="R226" t="e">
        <x:f>IF($A226="","",[1]!thsiFinD("ths_adjustment_nv_fund",R$3,$A226))</x:f>
        <x:v>#NAME?</x:v>
      </x:c>
      <x:c r="S226" t="e">
        <x:f>IF($A226="","",[1]!thsiFinD("ths_adjustment_nv_fund",S$3,$A226))</x:f>
        <x:v>#NAME?</x:v>
      </x:c>
      <x:c r="T226" t="e">
        <x:f>IF($A226="","",[1]!thsiFinD("ths_adjustment_nv_fund",T$3,$A226))</x:f>
        <x:v>#NAME?</x:v>
      </x:c>
      <x:c r="U226" t="e">
        <x:f>IF($A226="","",[1]!thsiFinD("ths_adjustment_nv_fund",U$3,$A226))</x:f>
        <x:v>#NAME?</x:v>
      </x:c>
      <x:c r="V226" t="e">
        <x:f>IF($A226="","",[1]!thsiFinD("ths_adjustment_nv_fund",V$3,$A226))</x:f>
        <x:v>#NAME?</x:v>
      </x:c>
      <x:c r="W226" t="e">
        <x:f>IF($A226="","",[1]!thsiFinD("ths_adjustment_nv_fund",W$3,$A226))</x:f>
        <x:v>#NAME?</x:v>
      </x:c>
      <x:c r="X226" t="e">
        <x:f>IF($A226="","",[1]!thsiFinD("ths_adjustment_nv_fund",X$3,$A226))</x:f>
        <x:v>#NAME?</x:v>
      </x:c>
      <x:c r="Y226" t="e">
        <x:f>IF($A226="","",[1]!thsiFinD("ths_adjustment_nv_fund",Y$3,$A226))</x:f>
        <x:v>#NAME?</x:v>
      </x:c>
    </x:row>
    <x:row r="227">
      <x:c r="B227" t="e">
        <x:f>IF($A227="","",[1]!thsiFinD("ths_adjustment_nv_fund",B$3,$A227))</x:f>
        <x:v>#NAME?</x:v>
      </x:c>
      <x:c r="C227" t="e">
        <x:f>IF($A227="","",[1]!thsiFinD("ths_adjustment_nv_fund",C$3,$A227))</x:f>
        <x:v>#NAME?</x:v>
      </x:c>
      <x:c r="D227" t="e">
        <x:f>IF($A227="","",[1]!thsiFinD("ths_adjustment_nv_fund",D$3,$A227))</x:f>
        <x:v>#NAME?</x:v>
      </x:c>
      <x:c r="E227" t="e">
        <x:f>IF($A227="","",[1]!thsiFinD("ths_adjustment_nv_fund",E$3,$A227))</x:f>
        <x:v>#NAME?</x:v>
      </x:c>
      <x:c r="F227" t="e">
        <x:f>IF($A227="","",[1]!thsiFinD("ths_adjustment_nv_fund",F$3,$A227))</x:f>
        <x:v>#NAME?</x:v>
      </x:c>
      <x:c r="G227" t="e">
        <x:f>IF($A227="","",[1]!thsiFinD("ths_adjustment_nv_fund",G$3,$A227))</x:f>
        <x:v>#NAME?</x:v>
      </x:c>
      <x:c r="H227" t="e">
        <x:f>IF($A227="","",[1]!thsiFinD("ths_adjustment_nv_fund",H$3,$A227))</x:f>
        <x:v>#NAME?</x:v>
      </x:c>
      <x:c r="I227" t="e">
        <x:f>IF($A227="","",[1]!thsiFinD("ths_adjustment_nv_fund",I$3,$A227))</x:f>
        <x:v>#NAME?</x:v>
      </x:c>
      <x:c r="J227" t="e">
        <x:f>IF($A227="","",[1]!thsiFinD("ths_adjustment_nv_fund",J$3,$A227))</x:f>
        <x:v>#NAME?</x:v>
      </x:c>
      <x:c r="K227" t="e">
        <x:f>IF($A227="","",[1]!thsiFinD("ths_adjustment_nv_fund",K$3,$A227))</x:f>
        <x:v>#NAME?</x:v>
      </x:c>
      <x:c r="L227" t="e">
        <x:f>IF($A227="","",[1]!thsiFinD("ths_adjustment_nv_fund",L$3,$A227))</x:f>
        <x:v>#NAME?</x:v>
      </x:c>
      <x:c r="M227" t="e">
        <x:f>IF($A227="","",[1]!thsiFinD("ths_adjustment_nv_fund",M$3,$A227))</x:f>
        <x:v>#NAME?</x:v>
      </x:c>
      <x:c r="N227" t="e">
        <x:f>IF($A227="","",[1]!thsiFinD("ths_adjustment_nv_fund",N$3,$A227))</x:f>
        <x:v>#NAME?</x:v>
      </x:c>
      <x:c r="O227" t="e">
        <x:f>IF($A227="","",[1]!thsiFinD("ths_adjustment_nv_fund",O$3,$A227))</x:f>
        <x:v>#NAME?</x:v>
      </x:c>
      <x:c r="P227" t="e">
        <x:f>IF($A227="","",[1]!thsiFinD("ths_adjustment_nv_fund",P$3,$A227))</x:f>
        <x:v>#NAME?</x:v>
      </x:c>
      <x:c r="Q227" t="e">
        <x:f>IF($A227="","",[1]!thsiFinD("ths_adjustment_nv_fund",Q$3,$A227))</x:f>
        <x:v>#NAME?</x:v>
      </x:c>
      <x:c r="R227" t="e">
        <x:f>IF($A227="","",[1]!thsiFinD("ths_adjustment_nv_fund",R$3,$A227))</x:f>
        <x:v>#NAME?</x:v>
      </x:c>
      <x:c r="S227" t="e">
        <x:f>IF($A227="","",[1]!thsiFinD("ths_adjustment_nv_fund",S$3,$A227))</x:f>
        <x:v>#NAME?</x:v>
      </x:c>
      <x:c r="T227" t="e">
        <x:f>IF($A227="","",[1]!thsiFinD("ths_adjustment_nv_fund",T$3,$A227))</x:f>
        <x:v>#NAME?</x:v>
      </x:c>
      <x:c r="U227" t="e">
        <x:f>IF($A227="","",[1]!thsiFinD("ths_adjustment_nv_fund",U$3,$A227))</x:f>
        <x:v>#NAME?</x:v>
      </x:c>
      <x:c r="V227" t="e">
        <x:f>IF($A227="","",[1]!thsiFinD("ths_adjustment_nv_fund",V$3,$A227))</x:f>
        <x:v>#NAME?</x:v>
      </x:c>
      <x:c r="W227" t="e">
        <x:f>IF($A227="","",[1]!thsiFinD("ths_adjustment_nv_fund",W$3,$A227))</x:f>
        <x:v>#NAME?</x:v>
      </x:c>
      <x:c r="X227" t="e">
        <x:f>IF($A227="","",[1]!thsiFinD("ths_adjustment_nv_fund",X$3,$A227))</x:f>
        <x:v>#NAME?</x:v>
      </x:c>
      <x:c r="Y227" t="e">
        <x:f>IF($A227="","",[1]!thsiFinD("ths_adjustment_nv_fund",Y$3,$A227))</x:f>
        <x:v>#NAME?</x:v>
      </x:c>
    </x:row>
    <x:row r="228">
      <x:c r="B228" t="e">
        <x:f>IF($A228="","",[1]!thsiFinD("ths_adjustment_nv_fund",B$3,$A228))</x:f>
        <x:v>#NAME?</x:v>
      </x:c>
      <x:c r="C228" t="e">
        <x:f>IF($A228="","",[1]!thsiFinD("ths_adjustment_nv_fund",C$3,$A228))</x:f>
        <x:v>#NAME?</x:v>
      </x:c>
      <x:c r="D228" t="e">
        <x:f>IF($A228="","",[1]!thsiFinD("ths_adjustment_nv_fund",D$3,$A228))</x:f>
        <x:v>#NAME?</x:v>
      </x:c>
      <x:c r="E228" t="e">
        <x:f>IF($A228="","",[1]!thsiFinD("ths_adjustment_nv_fund",E$3,$A228))</x:f>
        <x:v>#NAME?</x:v>
      </x:c>
      <x:c r="F228" t="e">
        <x:f>IF($A228="","",[1]!thsiFinD("ths_adjustment_nv_fund",F$3,$A228))</x:f>
        <x:v>#NAME?</x:v>
      </x:c>
      <x:c r="G228" t="e">
        <x:f>IF($A228="","",[1]!thsiFinD("ths_adjustment_nv_fund",G$3,$A228))</x:f>
        <x:v>#NAME?</x:v>
      </x:c>
      <x:c r="H228" t="e">
        <x:f>IF($A228="","",[1]!thsiFinD("ths_adjustment_nv_fund",H$3,$A228))</x:f>
        <x:v>#NAME?</x:v>
      </x:c>
      <x:c r="I228" t="e">
        <x:f>IF($A228="","",[1]!thsiFinD("ths_adjustment_nv_fund",I$3,$A228))</x:f>
        <x:v>#NAME?</x:v>
      </x:c>
      <x:c r="J228" t="e">
        <x:f>IF($A228="","",[1]!thsiFinD("ths_adjustment_nv_fund",J$3,$A228))</x:f>
        <x:v>#NAME?</x:v>
      </x:c>
      <x:c r="K228" t="e">
        <x:f>IF($A228="","",[1]!thsiFinD("ths_adjustment_nv_fund",K$3,$A228))</x:f>
        <x:v>#NAME?</x:v>
      </x:c>
      <x:c r="L228" t="e">
        <x:f>IF($A228="","",[1]!thsiFinD("ths_adjustment_nv_fund",L$3,$A228))</x:f>
        <x:v>#NAME?</x:v>
      </x:c>
      <x:c r="M228" t="e">
        <x:f>IF($A228="","",[1]!thsiFinD("ths_adjustment_nv_fund",M$3,$A228))</x:f>
        <x:v>#NAME?</x:v>
      </x:c>
      <x:c r="N228" t="e">
        <x:f>IF($A228="","",[1]!thsiFinD("ths_adjustment_nv_fund",N$3,$A228))</x:f>
        <x:v>#NAME?</x:v>
      </x:c>
      <x:c r="O228" t="e">
        <x:f>IF($A228="","",[1]!thsiFinD("ths_adjustment_nv_fund",O$3,$A228))</x:f>
        <x:v>#NAME?</x:v>
      </x:c>
      <x:c r="P228" t="e">
        <x:f>IF($A228="","",[1]!thsiFinD("ths_adjustment_nv_fund",P$3,$A228))</x:f>
        <x:v>#NAME?</x:v>
      </x:c>
      <x:c r="Q228" t="e">
        <x:f>IF($A228="","",[1]!thsiFinD("ths_adjustment_nv_fund",Q$3,$A228))</x:f>
        <x:v>#NAME?</x:v>
      </x:c>
      <x:c r="R228" t="e">
        <x:f>IF($A228="","",[1]!thsiFinD("ths_adjustment_nv_fund",R$3,$A228))</x:f>
        <x:v>#NAME?</x:v>
      </x:c>
      <x:c r="S228" t="e">
        <x:f>IF($A228="","",[1]!thsiFinD("ths_adjustment_nv_fund",S$3,$A228))</x:f>
        <x:v>#NAME?</x:v>
      </x:c>
      <x:c r="T228" t="e">
        <x:f>IF($A228="","",[1]!thsiFinD("ths_adjustment_nv_fund",T$3,$A228))</x:f>
        <x:v>#NAME?</x:v>
      </x:c>
      <x:c r="U228" t="e">
        <x:f>IF($A228="","",[1]!thsiFinD("ths_adjustment_nv_fund",U$3,$A228))</x:f>
        <x:v>#NAME?</x:v>
      </x:c>
      <x:c r="V228" t="e">
        <x:f>IF($A228="","",[1]!thsiFinD("ths_adjustment_nv_fund",V$3,$A228))</x:f>
        <x:v>#NAME?</x:v>
      </x:c>
      <x:c r="W228" t="e">
        <x:f>IF($A228="","",[1]!thsiFinD("ths_adjustment_nv_fund",W$3,$A228))</x:f>
        <x:v>#NAME?</x:v>
      </x:c>
      <x:c r="X228" t="e">
        <x:f>IF($A228="","",[1]!thsiFinD("ths_adjustment_nv_fund",X$3,$A228))</x:f>
        <x:v>#NAME?</x:v>
      </x:c>
      <x:c r="Y228" t="e">
        <x:f>IF($A228="","",[1]!thsiFinD("ths_adjustment_nv_fund",Y$3,$A228))</x:f>
        <x:v>#NAME?</x:v>
      </x:c>
    </x:row>
    <x:row r="229">
      <x:c r="B229" t="e">
        <x:f>IF($A229="","",[1]!thsiFinD("ths_adjustment_nv_fund",B$3,$A229))</x:f>
        <x:v>#NAME?</x:v>
      </x:c>
      <x:c r="C229" t="e">
        <x:f>IF($A229="","",[1]!thsiFinD("ths_adjustment_nv_fund",C$3,$A229))</x:f>
        <x:v>#NAME?</x:v>
      </x:c>
      <x:c r="D229" t="e">
        <x:f>IF($A229="","",[1]!thsiFinD("ths_adjustment_nv_fund",D$3,$A229))</x:f>
        <x:v>#NAME?</x:v>
      </x:c>
      <x:c r="E229" t="e">
        <x:f>IF($A229="","",[1]!thsiFinD("ths_adjustment_nv_fund",E$3,$A229))</x:f>
        <x:v>#NAME?</x:v>
      </x:c>
      <x:c r="F229" t="e">
        <x:f>IF($A229="","",[1]!thsiFinD("ths_adjustment_nv_fund",F$3,$A229))</x:f>
        <x:v>#NAME?</x:v>
      </x:c>
      <x:c r="G229" t="e">
        <x:f>IF($A229="","",[1]!thsiFinD("ths_adjustment_nv_fund",G$3,$A229))</x:f>
        <x:v>#NAME?</x:v>
      </x:c>
      <x:c r="H229" t="e">
        <x:f>IF($A229="","",[1]!thsiFinD("ths_adjustment_nv_fund",H$3,$A229))</x:f>
        <x:v>#NAME?</x:v>
      </x:c>
      <x:c r="I229" t="e">
        <x:f>IF($A229="","",[1]!thsiFinD("ths_adjustment_nv_fund",I$3,$A229))</x:f>
        <x:v>#NAME?</x:v>
      </x:c>
      <x:c r="J229" t="e">
        <x:f>IF($A229="","",[1]!thsiFinD("ths_adjustment_nv_fund",J$3,$A229))</x:f>
        <x:v>#NAME?</x:v>
      </x:c>
      <x:c r="K229" t="e">
        <x:f>IF($A229="","",[1]!thsiFinD("ths_adjustment_nv_fund",K$3,$A229))</x:f>
        <x:v>#NAME?</x:v>
      </x:c>
      <x:c r="L229" t="e">
        <x:f>IF($A229="","",[1]!thsiFinD("ths_adjustment_nv_fund",L$3,$A229))</x:f>
        <x:v>#NAME?</x:v>
      </x:c>
      <x:c r="M229" t="e">
        <x:f>IF($A229="","",[1]!thsiFinD("ths_adjustment_nv_fund",M$3,$A229))</x:f>
        <x:v>#NAME?</x:v>
      </x:c>
      <x:c r="N229" t="e">
        <x:f>IF($A229="","",[1]!thsiFinD("ths_adjustment_nv_fund",N$3,$A229))</x:f>
        <x:v>#NAME?</x:v>
      </x:c>
      <x:c r="O229" t="e">
        <x:f>IF($A229="","",[1]!thsiFinD("ths_adjustment_nv_fund",O$3,$A229))</x:f>
        <x:v>#NAME?</x:v>
      </x:c>
      <x:c r="P229" t="e">
        <x:f>IF($A229="","",[1]!thsiFinD("ths_adjustment_nv_fund",P$3,$A229))</x:f>
        <x:v>#NAME?</x:v>
      </x:c>
      <x:c r="Q229" t="e">
        <x:f>IF($A229="","",[1]!thsiFinD("ths_adjustment_nv_fund",Q$3,$A229))</x:f>
        <x:v>#NAME?</x:v>
      </x:c>
      <x:c r="R229" t="e">
        <x:f>IF($A229="","",[1]!thsiFinD("ths_adjustment_nv_fund",R$3,$A229))</x:f>
        <x:v>#NAME?</x:v>
      </x:c>
      <x:c r="S229" t="e">
        <x:f>IF($A229="","",[1]!thsiFinD("ths_adjustment_nv_fund",S$3,$A229))</x:f>
        <x:v>#NAME?</x:v>
      </x:c>
      <x:c r="T229" t="e">
        <x:f>IF($A229="","",[1]!thsiFinD("ths_adjustment_nv_fund",T$3,$A229))</x:f>
        <x:v>#NAME?</x:v>
      </x:c>
      <x:c r="U229" t="e">
        <x:f>IF($A229="","",[1]!thsiFinD("ths_adjustment_nv_fund",U$3,$A229))</x:f>
        <x:v>#NAME?</x:v>
      </x:c>
      <x:c r="V229" t="e">
        <x:f>IF($A229="","",[1]!thsiFinD("ths_adjustment_nv_fund",V$3,$A229))</x:f>
        <x:v>#NAME?</x:v>
      </x:c>
      <x:c r="W229" t="e">
        <x:f>IF($A229="","",[1]!thsiFinD("ths_adjustment_nv_fund",W$3,$A229))</x:f>
        <x:v>#NAME?</x:v>
      </x:c>
      <x:c r="X229" t="e">
        <x:f>IF($A229="","",[1]!thsiFinD("ths_adjustment_nv_fund",X$3,$A229))</x:f>
        <x:v>#NAME?</x:v>
      </x:c>
      <x:c r="Y229" t="e">
        <x:f>IF($A229="","",[1]!thsiFinD("ths_adjustment_nv_fund",Y$3,$A229))</x:f>
        <x:v>#NAME?</x:v>
      </x:c>
    </x:row>
    <x:row r="230">
      <x:c r="B230" t="e">
        <x:f>IF($A230="","",[1]!thsiFinD("ths_adjustment_nv_fund",B$3,$A230))</x:f>
        <x:v>#NAME?</x:v>
      </x:c>
      <x:c r="C230" t="e">
        <x:f>IF($A230="","",[1]!thsiFinD("ths_adjustment_nv_fund",C$3,$A230))</x:f>
        <x:v>#NAME?</x:v>
      </x:c>
      <x:c r="D230" t="e">
        <x:f>IF($A230="","",[1]!thsiFinD("ths_adjustment_nv_fund",D$3,$A230))</x:f>
        <x:v>#NAME?</x:v>
      </x:c>
      <x:c r="E230" t="e">
        <x:f>IF($A230="","",[1]!thsiFinD("ths_adjustment_nv_fund",E$3,$A230))</x:f>
        <x:v>#NAME?</x:v>
      </x:c>
      <x:c r="F230" t="e">
        <x:f>IF($A230="","",[1]!thsiFinD("ths_adjustment_nv_fund",F$3,$A230))</x:f>
        <x:v>#NAME?</x:v>
      </x:c>
      <x:c r="G230" t="e">
        <x:f>IF($A230="","",[1]!thsiFinD("ths_adjustment_nv_fund",G$3,$A230))</x:f>
        <x:v>#NAME?</x:v>
      </x:c>
      <x:c r="H230" t="e">
        <x:f>IF($A230="","",[1]!thsiFinD("ths_adjustment_nv_fund",H$3,$A230))</x:f>
        <x:v>#NAME?</x:v>
      </x:c>
      <x:c r="I230" t="e">
        <x:f>IF($A230="","",[1]!thsiFinD("ths_adjustment_nv_fund",I$3,$A230))</x:f>
        <x:v>#NAME?</x:v>
      </x:c>
      <x:c r="J230" t="e">
        <x:f>IF($A230="","",[1]!thsiFinD("ths_adjustment_nv_fund",J$3,$A230))</x:f>
        <x:v>#NAME?</x:v>
      </x:c>
      <x:c r="K230" t="e">
        <x:f>IF($A230="","",[1]!thsiFinD("ths_adjustment_nv_fund",K$3,$A230))</x:f>
        <x:v>#NAME?</x:v>
      </x:c>
      <x:c r="L230" t="e">
        <x:f>IF($A230="","",[1]!thsiFinD("ths_adjustment_nv_fund",L$3,$A230))</x:f>
        <x:v>#NAME?</x:v>
      </x:c>
      <x:c r="M230" t="e">
        <x:f>IF($A230="","",[1]!thsiFinD("ths_adjustment_nv_fund",M$3,$A230))</x:f>
        <x:v>#NAME?</x:v>
      </x:c>
      <x:c r="N230" t="e">
        <x:f>IF($A230="","",[1]!thsiFinD("ths_adjustment_nv_fund",N$3,$A230))</x:f>
        <x:v>#NAME?</x:v>
      </x:c>
      <x:c r="O230" t="e">
        <x:f>IF($A230="","",[1]!thsiFinD("ths_adjustment_nv_fund",O$3,$A230))</x:f>
        <x:v>#NAME?</x:v>
      </x:c>
      <x:c r="P230" t="e">
        <x:f>IF($A230="","",[1]!thsiFinD("ths_adjustment_nv_fund",P$3,$A230))</x:f>
        <x:v>#NAME?</x:v>
      </x:c>
      <x:c r="Q230" t="e">
        <x:f>IF($A230="","",[1]!thsiFinD("ths_adjustment_nv_fund",Q$3,$A230))</x:f>
        <x:v>#NAME?</x:v>
      </x:c>
      <x:c r="R230" t="e">
        <x:f>IF($A230="","",[1]!thsiFinD("ths_adjustment_nv_fund",R$3,$A230))</x:f>
        <x:v>#NAME?</x:v>
      </x:c>
      <x:c r="S230" t="e">
        <x:f>IF($A230="","",[1]!thsiFinD("ths_adjustment_nv_fund",S$3,$A230))</x:f>
        <x:v>#NAME?</x:v>
      </x:c>
      <x:c r="T230" t="e">
        <x:f>IF($A230="","",[1]!thsiFinD("ths_adjustment_nv_fund",T$3,$A230))</x:f>
        <x:v>#NAME?</x:v>
      </x:c>
      <x:c r="U230" t="e">
        <x:f>IF($A230="","",[1]!thsiFinD("ths_adjustment_nv_fund",U$3,$A230))</x:f>
        <x:v>#NAME?</x:v>
      </x:c>
      <x:c r="V230" t="e">
        <x:f>IF($A230="","",[1]!thsiFinD("ths_adjustment_nv_fund",V$3,$A230))</x:f>
        <x:v>#NAME?</x:v>
      </x:c>
      <x:c r="W230" t="e">
        <x:f>IF($A230="","",[1]!thsiFinD("ths_adjustment_nv_fund",W$3,$A230))</x:f>
        <x:v>#NAME?</x:v>
      </x:c>
      <x:c r="X230" t="e">
        <x:f>IF($A230="","",[1]!thsiFinD("ths_adjustment_nv_fund",X$3,$A230))</x:f>
        <x:v>#NAME?</x:v>
      </x:c>
      <x:c r="Y230" t="e">
        <x:f>IF($A230="","",[1]!thsiFinD("ths_adjustment_nv_fund",Y$3,$A230))</x:f>
        <x:v>#NAME?</x:v>
      </x:c>
    </x:row>
    <x:row r="231">
      <x:c r="B231" t="e">
        <x:f>IF($A231="","",[1]!thsiFinD("ths_adjustment_nv_fund",B$3,$A231))</x:f>
        <x:v>#NAME?</x:v>
      </x:c>
      <x:c r="C231" t="e">
        <x:f>IF($A231="","",[1]!thsiFinD("ths_adjustment_nv_fund",C$3,$A231))</x:f>
        <x:v>#NAME?</x:v>
      </x:c>
      <x:c r="D231" t="e">
        <x:f>IF($A231="","",[1]!thsiFinD("ths_adjustment_nv_fund",D$3,$A231))</x:f>
        <x:v>#NAME?</x:v>
      </x:c>
      <x:c r="E231" t="e">
        <x:f>IF($A231="","",[1]!thsiFinD("ths_adjustment_nv_fund",E$3,$A231))</x:f>
        <x:v>#NAME?</x:v>
      </x:c>
      <x:c r="F231" t="e">
        <x:f>IF($A231="","",[1]!thsiFinD("ths_adjustment_nv_fund",F$3,$A231))</x:f>
        <x:v>#NAME?</x:v>
      </x:c>
      <x:c r="G231" t="e">
        <x:f>IF($A231="","",[1]!thsiFinD("ths_adjustment_nv_fund",G$3,$A231))</x:f>
        <x:v>#NAME?</x:v>
      </x:c>
      <x:c r="H231" t="e">
        <x:f>IF($A231="","",[1]!thsiFinD("ths_adjustment_nv_fund",H$3,$A231))</x:f>
        <x:v>#NAME?</x:v>
      </x:c>
      <x:c r="I231" t="e">
        <x:f>IF($A231="","",[1]!thsiFinD("ths_adjustment_nv_fund",I$3,$A231))</x:f>
        <x:v>#NAME?</x:v>
      </x:c>
      <x:c r="J231" t="e">
        <x:f>IF($A231="","",[1]!thsiFinD("ths_adjustment_nv_fund",J$3,$A231))</x:f>
        <x:v>#NAME?</x:v>
      </x:c>
      <x:c r="K231" t="e">
        <x:f>IF($A231="","",[1]!thsiFinD("ths_adjustment_nv_fund",K$3,$A231))</x:f>
        <x:v>#NAME?</x:v>
      </x:c>
      <x:c r="L231" t="e">
        <x:f>IF($A231="","",[1]!thsiFinD("ths_adjustment_nv_fund",L$3,$A231))</x:f>
        <x:v>#NAME?</x:v>
      </x:c>
      <x:c r="M231" t="e">
        <x:f>IF($A231="","",[1]!thsiFinD("ths_adjustment_nv_fund",M$3,$A231))</x:f>
        <x:v>#NAME?</x:v>
      </x:c>
      <x:c r="N231" t="e">
        <x:f>IF($A231="","",[1]!thsiFinD("ths_adjustment_nv_fund",N$3,$A231))</x:f>
        <x:v>#NAME?</x:v>
      </x:c>
      <x:c r="O231" t="e">
        <x:f>IF($A231="","",[1]!thsiFinD("ths_adjustment_nv_fund",O$3,$A231))</x:f>
        <x:v>#NAME?</x:v>
      </x:c>
      <x:c r="P231" t="e">
        <x:f>IF($A231="","",[1]!thsiFinD("ths_adjustment_nv_fund",P$3,$A231))</x:f>
        <x:v>#NAME?</x:v>
      </x:c>
      <x:c r="Q231" t="e">
        <x:f>IF($A231="","",[1]!thsiFinD("ths_adjustment_nv_fund",Q$3,$A231))</x:f>
        <x:v>#NAME?</x:v>
      </x:c>
      <x:c r="R231" t="e">
        <x:f>IF($A231="","",[1]!thsiFinD("ths_adjustment_nv_fund",R$3,$A231))</x:f>
        <x:v>#NAME?</x:v>
      </x:c>
      <x:c r="S231" t="e">
        <x:f>IF($A231="","",[1]!thsiFinD("ths_adjustment_nv_fund",S$3,$A231))</x:f>
        <x:v>#NAME?</x:v>
      </x:c>
      <x:c r="T231" t="e">
        <x:f>IF($A231="","",[1]!thsiFinD("ths_adjustment_nv_fund",T$3,$A231))</x:f>
        <x:v>#NAME?</x:v>
      </x:c>
      <x:c r="U231" t="e">
        <x:f>IF($A231="","",[1]!thsiFinD("ths_adjustment_nv_fund",U$3,$A231))</x:f>
        <x:v>#NAME?</x:v>
      </x:c>
      <x:c r="V231" t="e">
        <x:f>IF($A231="","",[1]!thsiFinD("ths_adjustment_nv_fund",V$3,$A231))</x:f>
        <x:v>#NAME?</x:v>
      </x:c>
      <x:c r="W231" t="e">
        <x:f>IF($A231="","",[1]!thsiFinD("ths_adjustment_nv_fund",W$3,$A231))</x:f>
        <x:v>#NAME?</x:v>
      </x:c>
      <x:c r="X231" t="e">
        <x:f>IF($A231="","",[1]!thsiFinD("ths_adjustment_nv_fund",X$3,$A231))</x:f>
        <x:v>#NAME?</x:v>
      </x:c>
      <x:c r="Y231" t="e">
        <x:f>IF($A231="","",[1]!thsiFinD("ths_adjustment_nv_fund",Y$3,$A231))</x:f>
        <x:v>#NAME?</x:v>
      </x:c>
    </x:row>
    <x:row r="232">
      <x:c r="B232" t="e">
        <x:f>IF($A232="","",[1]!thsiFinD("ths_adjustment_nv_fund",B$3,$A232))</x:f>
        <x:v>#NAME?</x:v>
      </x:c>
      <x:c r="C232" t="e">
        <x:f>IF($A232="","",[1]!thsiFinD("ths_adjustment_nv_fund",C$3,$A232))</x:f>
        <x:v>#NAME?</x:v>
      </x:c>
      <x:c r="D232" t="e">
        <x:f>IF($A232="","",[1]!thsiFinD("ths_adjustment_nv_fund",D$3,$A232))</x:f>
        <x:v>#NAME?</x:v>
      </x:c>
      <x:c r="E232" t="e">
        <x:f>IF($A232="","",[1]!thsiFinD("ths_adjustment_nv_fund",E$3,$A232))</x:f>
        <x:v>#NAME?</x:v>
      </x:c>
      <x:c r="F232" t="e">
        <x:f>IF($A232="","",[1]!thsiFinD("ths_adjustment_nv_fund",F$3,$A232))</x:f>
        <x:v>#NAME?</x:v>
      </x:c>
      <x:c r="G232" t="e">
        <x:f>IF($A232="","",[1]!thsiFinD("ths_adjustment_nv_fund",G$3,$A232))</x:f>
        <x:v>#NAME?</x:v>
      </x:c>
      <x:c r="H232" t="e">
        <x:f>IF($A232="","",[1]!thsiFinD("ths_adjustment_nv_fund",H$3,$A232))</x:f>
        <x:v>#NAME?</x:v>
      </x:c>
      <x:c r="I232" t="e">
        <x:f>IF($A232="","",[1]!thsiFinD("ths_adjustment_nv_fund",I$3,$A232))</x:f>
        <x:v>#NAME?</x:v>
      </x:c>
      <x:c r="J232" t="e">
        <x:f>IF($A232="","",[1]!thsiFinD("ths_adjustment_nv_fund",J$3,$A232))</x:f>
        <x:v>#NAME?</x:v>
      </x:c>
      <x:c r="K232" t="e">
        <x:f>IF($A232="","",[1]!thsiFinD("ths_adjustment_nv_fund",K$3,$A232))</x:f>
        <x:v>#NAME?</x:v>
      </x:c>
      <x:c r="L232" t="e">
        <x:f>IF($A232="","",[1]!thsiFinD("ths_adjustment_nv_fund",L$3,$A232))</x:f>
        <x:v>#NAME?</x:v>
      </x:c>
      <x:c r="M232" t="e">
        <x:f>IF($A232="","",[1]!thsiFinD("ths_adjustment_nv_fund",M$3,$A232))</x:f>
        <x:v>#NAME?</x:v>
      </x:c>
      <x:c r="N232" t="e">
        <x:f>IF($A232="","",[1]!thsiFinD("ths_adjustment_nv_fund",N$3,$A232))</x:f>
        <x:v>#NAME?</x:v>
      </x:c>
      <x:c r="O232" t="e">
        <x:f>IF($A232="","",[1]!thsiFinD("ths_adjustment_nv_fund",O$3,$A232))</x:f>
        <x:v>#NAME?</x:v>
      </x:c>
      <x:c r="P232" t="e">
        <x:f>IF($A232="","",[1]!thsiFinD("ths_adjustment_nv_fund",P$3,$A232))</x:f>
        <x:v>#NAME?</x:v>
      </x:c>
      <x:c r="Q232" t="e">
        <x:f>IF($A232="","",[1]!thsiFinD("ths_adjustment_nv_fund",Q$3,$A232))</x:f>
        <x:v>#NAME?</x:v>
      </x:c>
      <x:c r="R232" t="e">
        <x:f>IF($A232="","",[1]!thsiFinD("ths_adjustment_nv_fund",R$3,$A232))</x:f>
        <x:v>#NAME?</x:v>
      </x:c>
      <x:c r="S232" t="e">
        <x:f>IF($A232="","",[1]!thsiFinD("ths_adjustment_nv_fund",S$3,$A232))</x:f>
        <x:v>#NAME?</x:v>
      </x:c>
      <x:c r="T232" t="e">
        <x:f>IF($A232="","",[1]!thsiFinD("ths_adjustment_nv_fund",T$3,$A232))</x:f>
        <x:v>#NAME?</x:v>
      </x:c>
      <x:c r="U232" t="e">
        <x:f>IF($A232="","",[1]!thsiFinD("ths_adjustment_nv_fund",U$3,$A232))</x:f>
        <x:v>#NAME?</x:v>
      </x:c>
      <x:c r="V232" t="e">
        <x:f>IF($A232="","",[1]!thsiFinD("ths_adjustment_nv_fund",V$3,$A232))</x:f>
        <x:v>#NAME?</x:v>
      </x:c>
      <x:c r="W232" t="e">
        <x:f>IF($A232="","",[1]!thsiFinD("ths_adjustment_nv_fund",W$3,$A232))</x:f>
        <x:v>#NAME?</x:v>
      </x:c>
      <x:c r="X232" t="e">
        <x:f>IF($A232="","",[1]!thsiFinD("ths_adjustment_nv_fund",X$3,$A232))</x:f>
        <x:v>#NAME?</x:v>
      </x:c>
      <x:c r="Y232" t="e">
        <x:f>IF($A232="","",[1]!thsiFinD("ths_adjustment_nv_fund",Y$3,$A232))</x:f>
        <x:v>#NAME?</x:v>
      </x:c>
    </x:row>
    <x:row r="233">
      <x:c r="B233" t="e">
        <x:f>IF($A233="","",[1]!thsiFinD("ths_adjustment_nv_fund",B$3,$A233))</x:f>
        <x:v>#NAME?</x:v>
      </x:c>
      <x:c r="C233" t="e">
        <x:f>IF($A233="","",[1]!thsiFinD("ths_adjustment_nv_fund",C$3,$A233))</x:f>
        <x:v>#NAME?</x:v>
      </x:c>
      <x:c r="D233" t="e">
        <x:f>IF($A233="","",[1]!thsiFinD("ths_adjustment_nv_fund",D$3,$A233))</x:f>
        <x:v>#NAME?</x:v>
      </x:c>
      <x:c r="E233" t="e">
        <x:f>IF($A233="","",[1]!thsiFinD("ths_adjustment_nv_fund",E$3,$A233))</x:f>
        <x:v>#NAME?</x:v>
      </x:c>
      <x:c r="F233" t="e">
        <x:f>IF($A233="","",[1]!thsiFinD("ths_adjustment_nv_fund",F$3,$A233))</x:f>
        <x:v>#NAME?</x:v>
      </x:c>
      <x:c r="G233" t="e">
        <x:f>IF($A233="","",[1]!thsiFinD("ths_adjustment_nv_fund",G$3,$A233))</x:f>
        <x:v>#NAME?</x:v>
      </x:c>
      <x:c r="H233" t="e">
        <x:f>IF($A233="","",[1]!thsiFinD("ths_adjustment_nv_fund",H$3,$A233))</x:f>
        <x:v>#NAME?</x:v>
      </x:c>
      <x:c r="I233" t="e">
        <x:f>IF($A233="","",[1]!thsiFinD("ths_adjustment_nv_fund",I$3,$A233))</x:f>
        <x:v>#NAME?</x:v>
      </x:c>
      <x:c r="J233" t="e">
        <x:f>IF($A233="","",[1]!thsiFinD("ths_adjustment_nv_fund",J$3,$A233))</x:f>
        <x:v>#NAME?</x:v>
      </x:c>
      <x:c r="K233" t="e">
        <x:f>IF($A233="","",[1]!thsiFinD("ths_adjustment_nv_fund",K$3,$A233))</x:f>
        <x:v>#NAME?</x:v>
      </x:c>
      <x:c r="L233" t="e">
        <x:f>IF($A233="","",[1]!thsiFinD("ths_adjustment_nv_fund",L$3,$A233))</x:f>
        <x:v>#NAME?</x:v>
      </x:c>
      <x:c r="M233" t="e">
        <x:f>IF($A233="","",[1]!thsiFinD("ths_adjustment_nv_fund",M$3,$A233))</x:f>
        <x:v>#NAME?</x:v>
      </x:c>
      <x:c r="N233" t="e">
        <x:f>IF($A233="","",[1]!thsiFinD("ths_adjustment_nv_fund",N$3,$A233))</x:f>
        <x:v>#NAME?</x:v>
      </x:c>
      <x:c r="O233" t="e">
        <x:f>IF($A233="","",[1]!thsiFinD("ths_adjustment_nv_fund",O$3,$A233))</x:f>
        <x:v>#NAME?</x:v>
      </x:c>
      <x:c r="P233" t="e">
        <x:f>IF($A233="","",[1]!thsiFinD("ths_adjustment_nv_fund",P$3,$A233))</x:f>
        <x:v>#NAME?</x:v>
      </x:c>
      <x:c r="Q233" t="e">
        <x:f>IF($A233="","",[1]!thsiFinD("ths_adjustment_nv_fund",Q$3,$A233))</x:f>
        <x:v>#NAME?</x:v>
      </x:c>
      <x:c r="R233" t="e">
        <x:f>IF($A233="","",[1]!thsiFinD("ths_adjustment_nv_fund",R$3,$A233))</x:f>
        <x:v>#NAME?</x:v>
      </x:c>
      <x:c r="S233" t="e">
        <x:f>IF($A233="","",[1]!thsiFinD("ths_adjustment_nv_fund",S$3,$A233))</x:f>
        <x:v>#NAME?</x:v>
      </x:c>
      <x:c r="T233" t="e">
        <x:f>IF($A233="","",[1]!thsiFinD("ths_adjustment_nv_fund",T$3,$A233))</x:f>
        <x:v>#NAME?</x:v>
      </x:c>
      <x:c r="U233" t="e">
        <x:f>IF($A233="","",[1]!thsiFinD("ths_adjustment_nv_fund",U$3,$A233))</x:f>
        <x:v>#NAME?</x:v>
      </x:c>
      <x:c r="V233" t="e">
        <x:f>IF($A233="","",[1]!thsiFinD("ths_adjustment_nv_fund",V$3,$A233))</x:f>
        <x:v>#NAME?</x:v>
      </x:c>
      <x:c r="W233" t="e">
        <x:f>IF($A233="","",[1]!thsiFinD("ths_adjustment_nv_fund",W$3,$A233))</x:f>
        <x:v>#NAME?</x:v>
      </x:c>
      <x:c r="X233" t="e">
        <x:f>IF($A233="","",[1]!thsiFinD("ths_adjustment_nv_fund",X$3,$A233))</x:f>
        <x:v>#NAME?</x:v>
      </x:c>
      <x:c r="Y233" t="e">
        <x:f>IF($A233="","",[1]!thsiFinD("ths_adjustment_nv_fund",Y$3,$A233))</x:f>
        <x:v>#NAME?</x:v>
      </x:c>
    </x:row>
    <x:row r="234">
      <x:c r="B234" t="e">
        <x:f>IF($A234="","",[1]!thsiFinD("ths_adjustment_nv_fund",B$3,$A234))</x:f>
        <x:v>#NAME?</x:v>
      </x:c>
      <x:c r="C234" t="e">
        <x:f>IF($A234="","",[1]!thsiFinD("ths_adjustment_nv_fund",C$3,$A234))</x:f>
        <x:v>#NAME?</x:v>
      </x:c>
      <x:c r="D234" t="e">
        <x:f>IF($A234="","",[1]!thsiFinD("ths_adjustment_nv_fund",D$3,$A234))</x:f>
        <x:v>#NAME?</x:v>
      </x:c>
      <x:c r="E234" t="e">
        <x:f>IF($A234="","",[1]!thsiFinD("ths_adjustment_nv_fund",E$3,$A234))</x:f>
        <x:v>#NAME?</x:v>
      </x:c>
      <x:c r="F234" t="e">
        <x:f>IF($A234="","",[1]!thsiFinD("ths_adjustment_nv_fund",F$3,$A234))</x:f>
        <x:v>#NAME?</x:v>
      </x:c>
      <x:c r="G234" t="e">
        <x:f>IF($A234="","",[1]!thsiFinD("ths_adjustment_nv_fund",G$3,$A234))</x:f>
        <x:v>#NAME?</x:v>
      </x:c>
      <x:c r="H234" t="e">
        <x:f>IF($A234="","",[1]!thsiFinD("ths_adjustment_nv_fund",H$3,$A234))</x:f>
        <x:v>#NAME?</x:v>
      </x:c>
      <x:c r="I234" t="e">
        <x:f>IF($A234="","",[1]!thsiFinD("ths_adjustment_nv_fund",I$3,$A234))</x:f>
        <x:v>#NAME?</x:v>
      </x:c>
      <x:c r="J234" t="e">
        <x:f>IF($A234="","",[1]!thsiFinD("ths_adjustment_nv_fund",J$3,$A234))</x:f>
        <x:v>#NAME?</x:v>
      </x:c>
      <x:c r="K234" t="e">
        <x:f>IF($A234="","",[1]!thsiFinD("ths_adjustment_nv_fund",K$3,$A234))</x:f>
        <x:v>#NAME?</x:v>
      </x:c>
      <x:c r="L234" t="e">
        <x:f>IF($A234="","",[1]!thsiFinD("ths_adjustment_nv_fund",L$3,$A234))</x:f>
        <x:v>#NAME?</x:v>
      </x:c>
      <x:c r="M234" t="e">
        <x:f>IF($A234="","",[1]!thsiFinD("ths_adjustment_nv_fund",M$3,$A234))</x:f>
        <x:v>#NAME?</x:v>
      </x:c>
      <x:c r="N234" t="e">
        <x:f>IF($A234="","",[1]!thsiFinD("ths_adjustment_nv_fund",N$3,$A234))</x:f>
        <x:v>#NAME?</x:v>
      </x:c>
      <x:c r="O234" t="e">
        <x:f>IF($A234="","",[1]!thsiFinD("ths_adjustment_nv_fund",O$3,$A234))</x:f>
        <x:v>#NAME?</x:v>
      </x:c>
      <x:c r="P234" t="e">
        <x:f>IF($A234="","",[1]!thsiFinD("ths_adjustment_nv_fund",P$3,$A234))</x:f>
        <x:v>#NAME?</x:v>
      </x:c>
      <x:c r="Q234" t="e">
        <x:f>IF($A234="","",[1]!thsiFinD("ths_adjustment_nv_fund",Q$3,$A234))</x:f>
        <x:v>#NAME?</x:v>
      </x:c>
      <x:c r="R234" t="e">
        <x:f>IF($A234="","",[1]!thsiFinD("ths_adjustment_nv_fund",R$3,$A234))</x:f>
        <x:v>#NAME?</x:v>
      </x:c>
      <x:c r="S234" t="e">
        <x:f>IF($A234="","",[1]!thsiFinD("ths_adjustment_nv_fund",S$3,$A234))</x:f>
        <x:v>#NAME?</x:v>
      </x:c>
      <x:c r="T234" t="e">
        <x:f>IF($A234="","",[1]!thsiFinD("ths_adjustment_nv_fund",T$3,$A234))</x:f>
        <x:v>#NAME?</x:v>
      </x:c>
      <x:c r="U234" t="e">
        <x:f>IF($A234="","",[1]!thsiFinD("ths_adjustment_nv_fund",U$3,$A234))</x:f>
        <x:v>#NAME?</x:v>
      </x:c>
      <x:c r="V234" t="e">
        <x:f>IF($A234="","",[1]!thsiFinD("ths_adjustment_nv_fund",V$3,$A234))</x:f>
        <x:v>#NAME?</x:v>
      </x:c>
      <x:c r="W234" t="e">
        <x:f>IF($A234="","",[1]!thsiFinD("ths_adjustment_nv_fund",W$3,$A234))</x:f>
        <x:v>#NAME?</x:v>
      </x:c>
      <x:c r="X234" t="e">
        <x:f>IF($A234="","",[1]!thsiFinD("ths_adjustment_nv_fund",X$3,$A234))</x:f>
        <x:v>#NAME?</x:v>
      </x:c>
      <x:c r="Y234" t="e">
        <x:f>IF($A234="","",[1]!thsiFinD("ths_adjustment_nv_fund",Y$3,$A234))</x:f>
        <x:v>#NAME?</x:v>
      </x:c>
    </x:row>
    <x:row r="235">
      <x:c r="B235" t="e">
        <x:f>IF($A235="","",[1]!thsiFinD("ths_adjustment_nv_fund",B$3,$A235))</x:f>
        <x:v>#NAME?</x:v>
      </x:c>
      <x:c r="C235" t="e">
        <x:f>IF($A235="","",[1]!thsiFinD("ths_adjustment_nv_fund",C$3,$A235))</x:f>
        <x:v>#NAME?</x:v>
      </x:c>
      <x:c r="D235" t="e">
        <x:f>IF($A235="","",[1]!thsiFinD("ths_adjustment_nv_fund",D$3,$A235))</x:f>
        <x:v>#NAME?</x:v>
      </x:c>
      <x:c r="E235" t="e">
        <x:f>IF($A235="","",[1]!thsiFinD("ths_adjustment_nv_fund",E$3,$A235))</x:f>
        <x:v>#NAME?</x:v>
      </x:c>
      <x:c r="F235" t="e">
        <x:f>IF($A235="","",[1]!thsiFinD("ths_adjustment_nv_fund",F$3,$A235))</x:f>
        <x:v>#NAME?</x:v>
      </x:c>
      <x:c r="G235" t="e">
        <x:f>IF($A235="","",[1]!thsiFinD("ths_adjustment_nv_fund",G$3,$A235))</x:f>
        <x:v>#NAME?</x:v>
      </x:c>
      <x:c r="H235" t="e">
        <x:f>IF($A235="","",[1]!thsiFinD("ths_adjustment_nv_fund",H$3,$A235))</x:f>
        <x:v>#NAME?</x:v>
      </x:c>
      <x:c r="I235" t="e">
        <x:f>IF($A235="","",[1]!thsiFinD("ths_adjustment_nv_fund",I$3,$A235))</x:f>
        <x:v>#NAME?</x:v>
      </x:c>
      <x:c r="J235" t="e">
        <x:f>IF($A235="","",[1]!thsiFinD("ths_adjustment_nv_fund",J$3,$A235))</x:f>
        <x:v>#NAME?</x:v>
      </x:c>
      <x:c r="K235" t="e">
        <x:f>IF($A235="","",[1]!thsiFinD("ths_adjustment_nv_fund",K$3,$A235))</x:f>
        <x:v>#NAME?</x:v>
      </x:c>
      <x:c r="L235" t="e">
        <x:f>IF($A235="","",[1]!thsiFinD("ths_adjustment_nv_fund",L$3,$A235))</x:f>
        <x:v>#NAME?</x:v>
      </x:c>
      <x:c r="M235" t="e">
        <x:f>IF($A235="","",[1]!thsiFinD("ths_adjustment_nv_fund",M$3,$A235))</x:f>
        <x:v>#NAME?</x:v>
      </x:c>
      <x:c r="N235" t="e">
        <x:f>IF($A235="","",[1]!thsiFinD("ths_adjustment_nv_fund",N$3,$A235))</x:f>
        <x:v>#NAME?</x:v>
      </x:c>
      <x:c r="O235" t="e">
        <x:f>IF($A235="","",[1]!thsiFinD("ths_adjustment_nv_fund",O$3,$A235))</x:f>
        <x:v>#NAME?</x:v>
      </x:c>
      <x:c r="P235" t="e">
        <x:f>IF($A235="","",[1]!thsiFinD("ths_adjustment_nv_fund",P$3,$A235))</x:f>
        <x:v>#NAME?</x:v>
      </x:c>
      <x:c r="Q235" t="e">
        <x:f>IF($A235="","",[1]!thsiFinD("ths_adjustment_nv_fund",Q$3,$A235))</x:f>
        <x:v>#NAME?</x:v>
      </x:c>
      <x:c r="R235" t="e">
        <x:f>IF($A235="","",[1]!thsiFinD("ths_adjustment_nv_fund",R$3,$A235))</x:f>
        <x:v>#NAME?</x:v>
      </x:c>
      <x:c r="S235" t="e">
        <x:f>IF($A235="","",[1]!thsiFinD("ths_adjustment_nv_fund",S$3,$A235))</x:f>
        <x:v>#NAME?</x:v>
      </x:c>
      <x:c r="T235" t="e">
        <x:f>IF($A235="","",[1]!thsiFinD("ths_adjustment_nv_fund",T$3,$A235))</x:f>
        <x:v>#NAME?</x:v>
      </x:c>
      <x:c r="U235" t="e">
        <x:f>IF($A235="","",[1]!thsiFinD("ths_adjustment_nv_fund",U$3,$A235))</x:f>
        <x:v>#NAME?</x:v>
      </x:c>
      <x:c r="V235" t="e">
        <x:f>IF($A235="","",[1]!thsiFinD("ths_adjustment_nv_fund",V$3,$A235))</x:f>
        <x:v>#NAME?</x:v>
      </x:c>
      <x:c r="W235" t="e">
        <x:f>IF($A235="","",[1]!thsiFinD("ths_adjustment_nv_fund",W$3,$A235))</x:f>
        <x:v>#NAME?</x:v>
      </x:c>
      <x:c r="X235" t="e">
        <x:f>IF($A235="","",[1]!thsiFinD("ths_adjustment_nv_fund",X$3,$A235))</x:f>
        <x:v>#NAME?</x:v>
      </x:c>
      <x:c r="Y235" t="e">
        <x:f>IF($A235="","",[1]!thsiFinD("ths_adjustment_nv_fund",Y$3,$A235))</x:f>
        <x:v>#NAME?</x:v>
      </x:c>
    </x:row>
    <x:row r="236">
      <x:c r="B236" t="e">
        <x:f>IF($A236="","",[1]!thsiFinD("ths_adjustment_nv_fund",B$3,$A236))</x:f>
        <x:v>#NAME?</x:v>
      </x:c>
      <x:c r="C236" t="e">
        <x:f>IF($A236="","",[1]!thsiFinD("ths_adjustment_nv_fund",C$3,$A236))</x:f>
        <x:v>#NAME?</x:v>
      </x:c>
      <x:c r="D236" t="e">
        <x:f>IF($A236="","",[1]!thsiFinD("ths_adjustment_nv_fund",D$3,$A236))</x:f>
        <x:v>#NAME?</x:v>
      </x:c>
      <x:c r="E236" t="e">
        <x:f>IF($A236="","",[1]!thsiFinD("ths_adjustment_nv_fund",E$3,$A236))</x:f>
        <x:v>#NAME?</x:v>
      </x:c>
      <x:c r="F236" t="e">
        <x:f>IF($A236="","",[1]!thsiFinD("ths_adjustment_nv_fund",F$3,$A236))</x:f>
        <x:v>#NAME?</x:v>
      </x:c>
      <x:c r="G236" t="e">
        <x:f>IF($A236="","",[1]!thsiFinD("ths_adjustment_nv_fund",G$3,$A236))</x:f>
        <x:v>#NAME?</x:v>
      </x:c>
      <x:c r="H236" t="e">
        <x:f>IF($A236="","",[1]!thsiFinD("ths_adjustment_nv_fund",H$3,$A236))</x:f>
        <x:v>#NAME?</x:v>
      </x:c>
      <x:c r="I236" t="e">
        <x:f>IF($A236="","",[1]!thsiFinD("ths_adjustment_nv_fund",I$3,$A236))</x:f>
        <x:v>#NAME?</x:v>
      </x:c>
      <x:c r="J236" t="e">
        <x:f>IF($A236="","",[1]!thsiFinD("ths_adjustment_nv_fund",J$3,$A236))</x:f>
        <x:v>#NAME?</x:v>
      </x:c>
      <x:c r="K236" t="e">
        <x:f>IF($A236="","",[1]!thsiFinD("ths_adjustment_nv_fund",K$3,$A236))</x:f>
        <x:v>#NAME?</x:v>
      </x:c>
      <x:c r="L236" t="e">
        <x:f>IF($A236="","",[1]!thsiFinD("ths_adjustment_nv_fund",L$3,$A236))</x:f>
        <x:v>#NAME?</x:v>
      </x:c>
      <x:c r="M236" t="e">
        <x:f>IF($A236="","",[1]!thsiFinD("ths_adjustment_nv_fund",M$3,$A236))</x:f>
        <x:v>#NAME?</x:v>
      </x:c>
      <x:c r="N236" t="e">
        <x:f>IF($A236="","",[1]!thsiFinD("ths_adjustment_nv_fund",N$3,$A236))</x:f>
        <x:v>#NAME?</x:v>
      </x:c>
      <x:c r="O236" t="e">
        <x:f>IF($A236="","",[1]!thsiFinD("ths_adjustment_nv_fund",O$3,$A236))</x:f>
        <x:v>#NAME?</x:v>
      </x:c>
      <x:c r="P236" t="e">
        <x:f>IF($A236="","",[1]!thsiFinD("ths_adjustment_nv_fund",P$3,$A236))</x:f>
        <x:v>#NAME?</x:v>
      </x:c>
      <x:c r="Q236" t="e">
        <x:f>IF($A236="","",[1]!thsiFinD("ths_adjustment_nv_fund",Q$3,$A236))</x:f>
        <x:v>#NAME?</x:v>
      </x:c>
      <x:c r="R236" t="e">
        <x:f>IF($A236="","",[1]!thsiFinD("ths_adjustment_nv_fund",R$3,$A236))</x:f>
        <x:v>#NAME?</x:v>
      </x:c>
      <x:c r="S236" t="e">
        <x:f>IF($A236="","",[1]!thsiFinD("ths_adjustment_nv_fund",S$3,$A236))</x:f>
        <x:v>#NAME?</x:v>
      </x:c>
      <x:c r="T236" t="e">
        <x:f>IF($A236="","",[1]!thsiFinD("ths_adjustment_nv_fund",T$3,$A236))</x:f>
        <x:v>#NAME?</x:v>
      </x:c>
      <x:c r="U236" t="e">
        <x:f>IF($A236="","",[1]!thsiFinD("ths_adjustment_nv_fund",U$3,$A236))</x:f>
        <x:v>#NAME?</x:v>
      </x:c>
      <x:c r="V236" t="e">
        <x:f>IF($A236="","",[1]!thsiFinD("ths_adjustment_nv_fund",V$3,$A236))</x:f>
        <x:v>#NAME?</x:v>
      </x:c>
      <x:c r="W236" t="e">
        <x:f>IF($A236="","",[1]!thsiFinD("ths_adjustment_nv_fund",W$3,$A236))</x:f>
        <x:v>#NAME?</x:v>
      </x:c>
      <x:c r="X236" t="e">
        <x:f>IF($A236="","",[1]!thsiFinD("ths_adjustment_nv_fund",X$3,$A236))</x:f>
        <x:v>#NAME?</x:v>
      </x:c>
      <x:c r="Y236" t="e">
        <x:f>IF($A236="","",[1]!thsiFinD("ths_adjustment_nv_fund",Y$3,$A236))</x:f>
        <x:v>#NAME?</x:v>
      </x:c>
    </x:row>
    <x:row r="237">
      <x:c r="B237" t="e">
        <x:f>IF($A237="","",[1]!thsiFinD("ths_adjustment_nv_fund",B$3,$A237))</x:f>
        <x:v>#NAME?</x:v>
      </x:c>
      <x:c r="C237" t="e">
        <x:f>IF($A237="","",[1]!thsiFinD("ths_adjustment_nv_fund",C$3,$A237))</x:f>
        <x:v>#NAME?</x:v>
      </x:c>
      <x:c r="D237" t="e">
        <x:f>IF($A237="","",[1]!thsiFinD("ths_adjustment_nv_fund",D$3,$A237))</x:f>
        <x:v>#NAME?</x:v>
      </x:c>
      <x:c r="E237" t="e">
        <x:f>IF($A237="","",[1]!thsiFinD("ths_adjustment_nv_fund",E$3,$A237))</x:f>
        <x:v>#NAME?</x:v>
      </x:c>
      <x:c r="F237" t="e">
        <x:f>IF($A237="","",[1]!thsiFinD("ths_adjustment_nv_fund",F$3,$A237))</x:f>
        <x:v>#NAME?</x:v>
      </x:c>
      <x:c r="G237" t="e">
        <x:f>IF($A237="","",[1]!thsiFinD("ths_adjustment_nv_fund",G$3,$A237))</x:f>
        <x:v>#NAME?</x:v>
      </x:c>
      <x:c r="H237" t="e">
        <x:f>IF($A237="","",[1]!thsiFinD("ths_adjustment_nv_fund",H$3,$A237))</x:f>
        <x:v>#NAME?</x:v>
      </x:c>
      <x:c r="I237" t="e">
        <x:f>IF($A237="","",[1]!thsiFinD("ths_adjustment_nv_fund",I$3,$A237))</x:f>
        <x:v>#NAME?</x:v>
      </x:c>
      <x:c r="J237" t="e">
        <x:f>IF($A237="","",[1]!thsiFinD("ths_adjustment_nv_fund",J$3,$A237))</x:f>
        <x:v>#NAME?</x:v>
      </x:c>
      <x:c r="K237" t="e">
        <x:f>IF($A237="","",[1]!thsiFinD("ths_adjustment_nv_fund",K$3,$A237))</x:f>
        <x:v>#NAME?</x:v>
      </x:c>
      <x:c r="L237" t="e">
        <x:f>IF($A237="","",[1]!thsiFinD("ths_adjustment_nv_fund",L$3,$A237))</x:f>
        <x:v>#NAME?</x:v>
      </x:c>
      <x:c r="M237" t="e">
        <x:f>IF($A237="","",[1]!thsiFinD("ths_adjustment_nv_fund",M$3,$A237))</x:f>
        <x:v>#NAME?</x:v>
      </x:c>
      <x:c r="N237" t="e">
        <x:f>IF($A237="","",[1]!thsiFinD("ths_adjustment_nv_fund",N$3,$A237))</x:f>
        <x:v>#NAME?</x:v>
      </x:c>
      <x:c r="O237" t="e">
        <x:f>IF($A237="","",[1]!thsiFinD("ths_adjustment_nv_fund",O$3,$A237))</x:f>
        <x:v>#NAME?</x:v>
      </x:c>
      <x:c r="P237" t="e">
        <x:f>IF($A237="","",[1]!thsiFinD("ths_adjustment_nv_fund",P$3,$A237))</x:f>
        <x:v>#NAME?</x:v>
      </x:c>
      <x:c r="Q237" t="e">
        <x:f>IF($A237="","",[1]!thsiFinD("ths_adjustment_nv_fund",Q$3,$A237))</x:f>
        <x:v>#NAME?</x:v>
      </x:c>
      <x:c r="R237" t="e">
        <x:f>IF($A237="","",[1]!thsiFinD("ths_adjustment_nv_fund",R$3,$A237))</x:f>
        <x:v>#NAME?</x:v>
      </x:c>
      <x:c r="S237" t="e">
        <x:f>IF($A237="","",[1]!thsiFinD("ths_adjustment_nv_fund",S$3,$A237))</x:f>
        <x:v>#NAME?</x:v>
      </x:c>
      <x:c r="T237" t="e">
        <x:f>IF($A237="","",[1]!thsiFinD("ths_adjustment_nv_fund",T$3,$A237))</x:f>
        <x:v>#NAME?</x:v>
      </x:c>
      <x:c r="U237" t="e">
        <x:f>IF($A237="","",[1]!thsiFinD("ths_adjustment_nv_fund",U$3,$A237))</x:f>
        <x:v>#NAME?</x:v>
      </x:c>
      <x:c r="V237" t="e">
        <x:f>IF($A237="","",[1]!thsiFinD("ths_adjustment_nv_fund",V$3,$A237))</x:f>
        <x:v>#NAME?</x:v>
      </x:c>
      <x:c r="W237" t="e">
        <x:f>IF($A237="","",[1]!thsiFinD("ths_adjustment_nv_fund",W$3,$A237))</x:f>
        <x:v>#NAME?</x:v>
      </x:c>
      <x:c r="X237" t="e">
        <x:f>IF($A237="","",[1]!thsiFinD("ths_adjustment_nv_fund",X$3,$A237))</x:f>
        <x:v>#NAME?</x:v>
      </x:c>
      <x:c r="Y237" t="e">
        <x:f>IF($A237="","",[1]!thsiFinD("ths_adjustment_nv_fund",Y$3,$A237))</x:f>
        <x:v>#NAME?</x:v>
      </x:c>
    </x:row>
    <x:row r="238">
      <x:c r="B238" t="e">
        <x:f>IF($A238="","",[1]!thsiFinD("ths_adjustment_nv_fund",B$3,$A238))</x:f>
        <x:v>#NAME?</x:v>
      </x:c>
      <x:c r="C238" t="e">
        <x:f>IF($A238="","",[1]!thsiFinD("ths_adjustment_nv_fund",C$3,$A238))</x:f>
        <x:v>#NAME?</x:v>
      </x:c>
      <x:c r="D238" t="e">
        <x:f>IF($A238="","",[1]!thsiFinD("ths_adjustment_nv_fund",D$3,$A238))</x:f>
        <x:v>#NAME?</x:v>
      </x:c>
      <x:c r="E238" t="e">
        <x:f>IF($A238="","",[1]!thsiFinD("ths_adjustment_nv_fund",E$3,$A238))</x:f>
        <x:v>#NAME?</x:v>
      </x:c>
      <x:c r="F238" t="e">
        <x:f>IF($A238="","",[1]!thsiFinD("ths_adjustment_nv_fund",F$3,$A238))</x:f>
        <x:v>#NAME?</x:v>
      </x:c>
      <x:c r="G238" t="e">
        <x:f>IF($A238="","",[1]!thsiFinD("ths_adjustment_nv_fund",G$3,$A238))</x:f>
        <x:v>#NAME?</x:v>
      </x:c>
      <x:c r="H238" t="e">
        <x:f>IF($A238="","",[1]!thsiFinD("ths_adjustment_nv_fund",H$3,$A238))</x:f>
        <x:v>#NAME?</x:v>
      </x:c>
      <x:c r="I238" t="e">
        <x:f>IF($A238="","",[1]!thsiFinD("ths_adjustment_nv_fund",I$3,$A238))</x:f>
        <x:v>#NAME?</x:v>
      </x:c>
      <x:c r="J238" t="e">
        <x:f>IF($A238="","",[1]!thsiFinD("ths_adjustment_nv_fund",J$3,$A238))</x:f>
        <x:v>#NAME?</x:v>
      </x:c>
      <x:c r="K238" t="e">
        <x:f>IF($A238="","",[1]!thsiFinD("ths_adjustment_nv_fund",K$3,$A238))</x:f>
        <x:v>#NAME?</x:v>
      </x:c>
      <x:c r="L238" t="e">
        <x:f>IF($A238="","",[1]!thsiFinD("ths_adjustment_nv_fund",L$3,$A238))</x:f>
        <x:v>#NAME?</x:v>
      </x:c>
      <x:c r="M238" t="e">
        <x:f>IF($A238="","",[1]!thsiFinD("ths_adjustment_nv_fund",M$3,$A238))</x:f>
        <x:v>#NAME?</x:v>
      </x:c>
      <x:c r="N238" t="e">
        <x:f>IF($A238="","",[1]!thsiFinD("ths_adjustment_nv_fund",N$3,$A238))</x:f>
        <x:v>#NAME?</x:v>
      </x:c>
      <x:c r="O238" t="e">
        <x:f>IF($A238="","",[1]!thsiFinD("ths_adjustment_nv_fund",O$3,$A238))</x:f>
        <x:v>#NAME?</x:v>
      </x:c>
      <x:c r="P238" t="e">
        <x:f>IF($A238="","",[1]!thsiFinD("ths_adjustment_nv_fund",P$3,$A238))</x:f>
        <x:v>#NAME?</x:v>
      </x:c>
      <x:c r="Q238" t="e">
        <x:f>IF($A238="","",[1]!thsiFinD("ths_adjustment_nv_fund",Q$3,$A238))</x:f>
        <x:v>#NAME?</x:v>
      </x:c>
      <x:c r="R238" t="e">
        <x:f>IF($A238="","",[1]!thsiFinD("ths_adjustment_nv_fund",R$3,$A238))</x:f>
        <x:v>#NAME?</x:v>
      </x:c>
      <x:c r="S238" t="e">
        <x:f>IF($A238="","",[1]!thsiFinD("ths_adjustment_nv_fund",S$3,$A238))</x:f>
        <x:v>#NAME?</x:v>
      </x:c>
      <x:c r="T238" t="e">
        <x:f>IF($A238="","",[1]!thsiFinD("ths_adjustment_nv_fund",T$3,$A238))</x:f>
        <x:v>#NAME?</x:v>
      </x:c>
      <x:c r="U238" t="e">
        <x:f>IF($A238="","",[1]!thsiFinD("ths_adjustment_nv_fund",U$3,$A238))</x:f>
        <x:v>#NAME?</x:v>
      </x:c>
      <x:c r="V238" t="e">
        <x:f>IF($A238="","",[1]!thsiFinD("ths_adjustment_nv_fund",V$3,$A238))</x:f>
        <x:v>#NAME?</x:v>
      </x:c>
      <x:c r="W238" t="e">
        <x:f>IF($A238="","",[1]!thsiFinD("ths_adjustment_nv_fund",W$3,$A238))</x:f>
        <x:v>#NAME?</x:v>
      </x:c>
      <x:c r="X238" t="e">
        <x:f>IF($A238="","",[1]!thsiFinD("ths_adjustment_nv_fund",X$3,$A238))</x:f>
        <x:v>#NAME?</x:v>
      </x:c>
      <x:c r="Y238" t="e">
        <x:f>IF($A238="","",[1]!thsiFinD("ths_adjustment_nv_fund",Y$3,$A238))</x:f>
        <x:v>#NAME?</x:v>
      </x:c>
    </x:row>
    <x:row r="239">
      <x:c r="B239" t="e">
        <x:f>IF($A239="","",[1]!thsiFinD("ths_adjustment_nv_fund",B$3,$A239))</x:f>
        <x:v>#NAME?</x:v>
      </x:c>
      <x:c r="C239" t="e">
        <x:f>IF($A239="","",[1]!thsiFinD("ths_adjustment_nv_fund",C$3,$A239))</x:f>
        <x:v>#NAME?</x:v>
      </x:c>
      <x:c r="D239" t="e">
        <x:f>IF($A239="","",[1]!thsiFinD("ths_adjustment_nv_fund",D$3,$A239))</x:f>
        <x:v>#NAME?</x:v>
      </x:c>
      <x:c r="E239" t="e">
        <x:f>IF($A239="","",[1]!thsiFinD("ths_adjustment_nv_fund",E$3,$A239))</x:f>
        <x:v>#NAME?</x:v>
      </x:c>
      <x:c r="F239" t="e">
        <x:f>IF($A239="","",[1]!thsiFinD("ths_adjustment_nv_fund",F$3,$A239))</x:f>
        <x:v>#NAME?</x:v>
      </x:c>
      <x:c r="G239" t="e">
        <x:f>IF($A239="","",[1]!thsiFinD("ths_adjustment_nv_fund",G$3,$A239))</x:f>
        <x:v>#NAME?</x:v>
      </x:c>
      <x:c r="H239" t="e">
        <x:f>IF($A239="","",[1]!thsiFinD("ths_adjustment_nv_fund",H$3,$A239))</x:f>
        <x:v>#NAME?</x:v>
      </x:c>
      <x:c r="I239" t="e">
        <x:f>IF($A239="","",[1]!thsiFinD("ths_adjustment_nv_fund",I$3,$A239))</x:f>
        <x:v>#NAME?</x:v>
      </x:c>
      <x:c r="J239" t="e">
        <x:f>IF($A239="","",[1]!thsiFinD("ths_adjustment_nv_fund",J$3,$A239))</x:f>
        <x:v>#NAME?</x:v>
      </x:c>
      <x:c r="K239" t="e">
        <x:f>IF($A239="","",[1]!thsiFinD("ths_adjustment_nv_fund",K$3,$A239))</x:f>
        <x:v>#NAME?</x:v>
      </x:c>
      <x:c r="L239" t="e">
        <x:f>IF($A239="","",[1]!thsiFinD("ths_adjustment_nv_fund",L$3,$A239))</x:f>
        <x:v>#NAME?</x:v>
      </x:c>
      <x:c r="M239" t="e">
        <x:f>IF($A239="","",[1]!thsiFinD("ths_adjustment_nv_fund",M$3,$A239))</x:f>
        <x:v>#NAME?</x:v>
      </x:c>
      <x:c r="N239" t="e">
        <x:f>IF($A239="","",[1]!thsiFinD("ths_adjustment_nv_fund",N$3,$A239))</x:f>
        <x:v>#NAME?</x:v>
      </x:c>
      <x:c r="O239" t="e">
        <x:f>IF($A239="","",[1]!thsiFinD("ths_adjustment_nv_fund",O$3,$A239))</x:f>
        <x:v>#NAME?</x:v>
      </x:c>
      <x:c r="P239" t="e">
        <x:f>IF($A239="","",[1]!thsiFinD("ths_adjustment_nv_fund",P$3,$A239))</x:f>
        <x:v>#NAME?</x:v>
      </x:c>
      <x:c r="Q239" t="e">
        <x:f>IF($A239="","",[1]!thsiFinD("ths_adjustment_nv_fund",Q$3,$A239))</x:f>
        <x:v>#NAME?</x:v>
      </x:c>
      <x:c r="R239" t="e">
        <x:f>IF($A239="","",[1]!thsiFinD("ths_adjustment_nv_fund",R$3,$A239))</x:f>
        <x:v>#NAME?</x:v>
      </x:c>
      <x:c r="S239" t="e">
        <x:f>IF($A239="","",[1]!thsiFinD("ths_adjustment_nv_fund",S$3,$A239))</x:f>
        <x:v>#NAME?</x:v>
      </x:c>
      <x:c r="T239" t="e">
        <x:f>IF($A239="","",[1]!thsiFinD("ths_adjustment_nv_fund",T$3,$A239))</x:f>
        <x:v>#NAME?</x:v>
      </x:c>
      <x:c r="U239" t="e">
        <x:f>IF($A239="","",[1]!thsiFinD("ths_adjustment_nv_fund",U$3,$A239))</x:f>
        <x:v>#NAME?</x:v>
      </x:c>
      <x:c r="V239" t="e">
        <x:f>IF($A239="","",[1]!thsiFinD("ths_adjustment_nv_fund",V$3,$A239))</x:f>
        <x:v>#NAME?</x:v>
      </x:c>
      <x:c r="W239" t="e">
        <x:f>IF($A239="","",[1]!thsiFinD("ths_adjustment_nv_fund",W$3,$A239))</x:f>
        <x:v>#NAME?</x:v>
      </x:c>
      <x:c r="X239" t="e">
        <x:f>IF($A239="","",[1]!thsiFinD("ths_adjustment_nv_fund",X$3,$A239))</x:f>
        <x:v>#NAME?</x:v>
      </x:c>
      <x:c r="Y239" t="e">
        <x:f>IF($A239="","",[1]!thsiFinD("ths_adjustment_nv_fund",Y$3,$A239))</x:f>
        <x:v>#NAME?</x:v>
      </x:c>
    </x:row>
    <x:row r="240">
      <x:c r="B240" t="e">
        <x:f>IF($A240="","",[1]!thsiFinD("ths_adjustment_nv_fund",B$3,$A240))</x:f>
        <x:v>#NAME?</x:v>
      </x:c>
      <x:c r="C240" t="e">
        <x:f>IF($A240="","",[1]!thsiFinD("ths_adjustment_nv_fund",C$3,$A240))</x:f>
        <x:v>#NAME?</x:v>
      </x:c>
      <x:c r="D240" t="e">
        <x:f>IF($A240="","",[1]!thsiFinD("ths_adjustment_nv_fund",D$3,$A240))</x:f>
        <x:v>#NAME?</x:v>
      </x:c>
      <x:c r="E240" t="e">
        <x:f>IF($A240="","",[1]!thsiFinD("ths_adjustment_nv_fund",E$3,$A240))</x:f>
        <x:v>#NAME?</x:v>
      </x:c>
      <x:c r="F240" t="e">
        <x:f>IF($A240="","",[1]!thsiFinD("ths_adjustment_nv_fund",F$3,$A240))</x:f>
        <x:v>#NAME?</x:v>
      </x:c>
      <x:c r="G240" t="e">
        <x:f>IF($A240="","",[1]!thsiFinD("ths_adjustment_nv_fund",G$3,$A240))</x:f>
        <x:v>#NAME?</x:v>
      </x:c>
      <x:c r="H240" t="e">
        <x:f>IF($A240="","",[1]!thsiFinD("ths_adjustment_nv_fund",H$3,$A240))</x:f>
        <x:v>#NAME?</x:v>
      </x:c>
      <x:c r="I240" t="e">
        <x:f>IF($A240="","",[1]!thsiFinD("ths_adjustment_nv_fund",I$3,$A240))</x:f>
        <x:v>#NAME?</x:v>
      </x:c>
      <x:c r="J240" t="e">
        <x:f>IF($A240="","",[1]!thsiFinD("ths_adjustment_nv_fund",J$3,$A240))</x:f>
        <x:v>#NAME?</x:v>
      </x:c>
      <x:c r="K240" t="e">
        <x:f>IF($A240="","",[1]!thsiFinD("ths_adjustment_nv_fund",K$3,$A240))</x:f>
        <x:v>#NAME?</x:v>
      </x:c>
      <x:c r="L240" t="e">
        <x:f>IF($A240="","",[1]!thsiFinD("ths_adjustment_nv_fund",L$3,$A240))</x:f>
        <x:v>#NAME?</x:v>
      </x:c>
      <x:c r="M240" t="e">
        <x:f>IF($A240="","",[1]!thsiFinD("ths_adjustment_nv_fund",M$3,$A240))</x:f>
        <x:v>#NAME?</x:v>
      </x:c>
      <x:c r="N240" t="e">
        <x:f>IF($A240="","",[1]!thsiFinD("ths_adjustment_nv_fund",N$3,$A240))</x:f>
        <x:v>#NAME?</x:v>
      </x:c>
      <x:c r="O240" t="e">
        <x:f>IF($A240="","",[1]!thsiFinD("ths_adjustment_nv_fund",O$3,$A240))</x:f>
        <x:v>#NAME?</x:v>
      </x:c>
      <x:c r="P240" t="e">
        <x:f>IF($A240="","",[1]!thsiFinD("ths_adjustment_nv_fund",P$3,$A240))</x:f>
        <x:v>#NAME?</x:v>
      </x:c>
      <x:c r="Q240" t="e">
        <x:f>IF($A240="","",[1]!thsiFinD("ths_adjustment_nv_fund",Q$3,$A240))</x:f>
        <x:v>#NAME?</x:v>
      </x:c>
      <x:c r="R240" t="e">
        <x:f>IF($A240="","",[1]!thsiFinD("ths_adjustment_nv_fund",R$3,$A240))</x:f>
        <x:v>#NAME?</x:v>
      </x:c>
      <x:c r="S240" t="e">
        <x:f>IF($A240="","",[1]!thsiFinD("ths_adjustment_nv_fund",S$3,$A240))</x:f>
        <x:v>#NAME?</x:v>
      </x:c>
      <x:c r="T240" t="e">
        <x:f>IF($A240="","",[1]!thsiFinD("ths_adjustment_nv_fund",T$3,$A240))</x:f>
        <x:v>#NAME?</x:v>
      </x:c>
      <x:c r="U240" t="e">
        <x:f>IF($A240="","",[1]!thsiFinD("ths_adjustment_nv_fund",U$3,$A240))</x:f>
        <x:v>#NAME?</x:v>
      </x:c>
      <x:c r="V240" t="e">
        <x:f>IF($A240="","",[1]!thsiFinD("ths_adjustment_nv_fund",V$3,$A240))</x:f>
        <x:v>#NAME?</x:v>
      </x:c>
      <x:c r="W240" t="e">
        <x:f>IF($A240="","",[1]!thsiFinD("ths_adjustment_nv_fund",W$3,$A240))</x:f>
        <x:v>#NAME?</x:v>
      </x:c>
      <x:c r="X240" t="e">
        <x:f>IF($A240="","",[1]!thsiFinD("ths_adjustment_nv_fund",X$3,$A240))</x:f>
        <x:v>#NAME?</x:v>
      </x:c>
      <x:c r="Y240" t="e">
        <x:f>IF($A240="","",[1]!thsiFinD("ths_adjustment_nv_fund",Y$3,$A240))</x:f>
        <x:v>#NAME?</x:v>
      </x:c>
    </x:row>
    <x:row r="241">
      <x:c r="B241" t="e">
        <x:f>IF($A241="","",[1]!thsiFinD("ths_adjustment_nv_fund",B$3,$A241))</x:f>
        <x:v>#NAME?</x:v>
      </x:c>
      <x:c r="C241" t="e">
        <x:f>IF($A241="","",[1]!thsiFinD("ths_adjustment_nv_fund",C$3,$A241))</x:f>
        <x:v>#NAME?</x:v>
      </x:c>
      <x:c r="D241" t="e">
        <x:f>IF($A241="","",[1]!thsiFinD("ths_adjustment_nv_fund",D$3,$A241))</x:f>
        <x:v>#NAME?</x:v>
      </x:c>
      <x:c r="E241" t="e">
        <x:f>IF($A241="","",[1]!thsiFinD("ths_adjustment_nv_fund",E$3,$A241))</x:f>
        <x:v>#NAME?</x:v>
      </x:c>
      <x:c r="F241" t="e">
        <x:f>IF($A241="","",[1]!thsiFinD("ths_adjustment_nv_fund",F$3,$A241))</x:f>
        <x:v>#NAME?</x:v>
      </x:c>
      <x:c r="G241" t="e">
        <x:f>IF($A241="","",[1]!thsiFinD("ths_adjustment_nv_fund",G$3,$A241))</x:f>
        <x:v>#NAME?</x:v>
      </x:c>
      <x:c r="H241" t="e">
        <x:f>IF($A241="","",[1]!thsiFinD("ths_adjustment_nv_fund",H$3,$A241))</x:f>
        <x:v>#NAME?</x:v>
      </x:c>
      <x:c r="I241" t="e">
        <x:f>IF($A241="","",[1]!thsiFinD("ths_adjustment_nv_fund",I$3,$A241))</x:f>
        <x:v>#NAME?</x:v>
      </x:c>
      <x:c r="J241" t="e">
        <x:f>IF($A241="","",[1]!thsiFinD("ths_adjustment_nv_fund",J$3,$A241))</x:f>
        <x:v>#NAME?</x:v>
      </x:c>
      <x:c r="K241" t="e">
        <x:f>IF($A241="","",[1]!thsiFinD("ths_adjustment_nv_fund",K$3,$A241))</x:f>
        <x:v>#NAME?</x:v>
      </x:c>
      <x:c r="L241" t="e">
        <x:f>IF($A241="","",[1]!thsiFinD("ths_adjustment_nv_fund",L$3,$A241))</x:f>
        <x:v>#NAME?</x:v>
      </x:c>
      <x:c r="M241" t="e">
        <x:f>IF($A241="","",[1]!thsiFinD("ths_adjustment_nv_fund",M$3,$A241))</x:f>
        <x:v>#NAME?</x:v>
      </x:c>
      <x:c r="N241" t="e">
        <x:f>IF($A241="","",[1]!thsiFinD("ths_adjustment_nv_fund",N$3,$A241))</x:f>
        <x:v>#NAME?</x:v>
      </x:c>
      <x:c r="O241" t="e">
        <x:f>IF($A241="","",[1]!thsiFinD("ths_adjustment_nv_fund",O$3,$A241))</x:f>
        <x:v>#NAME?</x:v>
      </x:c>
      <x:c r="P241" t="e">
        <x:f>IF($A241="","",[1]!thsiFinD("ths_adjustment_nv_fund",P$3,$A241))</x:f>
        <x:v>#NAME?</x:v>
      </x:c>
      <x:c r="Q241" t="e">
        <x:f>IF($A241="","",[1]!thsiFinD("ths_adjustment_nv_fund",Q$3,$A241))</x:f>
        <x:v>#NAME?</x:v>
      </x:c>
      <x:c r="R241" t="e">
        <x:f>IF($A241="","",[1]!thsiFinD("ths_adjustment_nv_fund",R$3,$A241))</x:f>
        <x:v>#NAME?</x:v>
      </x:c>
      <x:c r="S241" t="e">
        <x:f>IF($A241="","",[1]!thsiFinD("ths_adjustment_nv_fund",S$3,$A241))</x:f>
        <x:v>#NAME?</x:v>
      </x:c>
      <x:c r="T241" t="e">
        <x:f>IF($A241="","",[1]!thsiFinD("ths_adjustment_nv_fund",T$3,$A241))</x:f>
        <x:v>#NAME?</x:v>
      </x:c>
      <x:c r="U241" t="e">
        <x:f>IF($A241="","",[1]!thsiFinD("ths_adjustment_nv_fund",U$3,$A241))</x:f>
        <x:v>#NAME?</x:v>
      </x:c>
      <x:c r="V241" t="e">
        <x:f>IF($A241="","",[1]!thsiFinD("ths_adjustment_nv_fund",V$3,$A241))</x:f>
        <x:v>#NAME?</x:v>
      </x:c>
      <x:c r="W241" t="e">
        <x:f>IF($A241="","",[1]!thsiFinD("ths_adjustment_nv_fund",W$3,$A241))</x:f>
        <x:v>#NAME?</x:v>
      </x:c>
      <x:c r="X241" t="e">
        <x:f>IF($A241="","",[1]!thsiFinD("ths_adjustment_nv_fund",X$3,$A241))</x:f>
        <x:v>#NAME?</x:v>
      </x:c>
      <x:c r="Y241" t="e">
        <x:f>IF($A241="","",[1]!thsiFinD("ths_adjustment_nv_fund",Y$3,$A241))</x:f>
        <x:v>#NAME?</x:v>
      </x:c>
    </x:row>
    <x:row r="242">
      <x:c r="B242" t="e">
        <x:f>IF($A242="","",[1]!thsiFinD("ths_adjustment_nv_fund",B$3,$A242))</x:f>
        <x:v>#NAME?</x:v>
      </x:c>
      <x:c r="C242" t="e">
        <x:f>IF($A242="","",[1]!thsiFinD("ths_adjustment_nv_fund",C$3,$A242))</x:f>
        <x:v>#NAME?</x:v>
      </x:c>
      <x:c r="D242" t="e">
        <x:f>IF($A242="","",[1]!thsiFinD("ths_adjustment_nv_fund",D$3,$A242))</x:f>
        <x:v>#NAME?</x:v>
      </x:c>
      <x:c r="E242" t="e">
        <x:f>IF($A242="","",[1]!thsiFinD("ths_adjustment_nv_fund",E$3,$A242))</x:f>
        <x:v>#NAME?</x:v>
      </x:c>
      <x:c r="F242" t="e">
        <x:f>IF($A242="","",[1]!thsiFinD("ths_adjustment_nv_fund",F$3,$A242))</x:f>
        <x:v>#NAME?</x:v>
      </x:c>
      <x:c r="G242" t="e">
        <x:f>IF($A242="","",[1]!thsiFinD("ths_adjustment_nv_fund",G$3,$A242))</x:f>
        <x:v>#NAME?</x:v>
      </x:c>
      <x:c r="H242" t="e">
        <x:f>IF($A242="","",[1]!thsiFinD("ths_adjustment_nv_fund",H$3,$A242))</x:f>
        <x:v>#NAME?</x:v>
      </x:c>
      <x:c r="I242" t="e">
        <x:f>IF($A242="","",[1]!thsiFinD("ths_adjustment_nv_fund",I$3,$A242))</x:f>
        <x:v>#NAME?</x:v>
      </x:c>
      <x:c r="J242" t="e">
        <x:f>IF($A242="","",[1]!thsiFinD("ths_adjustment_nv_fund",J$3,$A242))</x:f>
        <x:v>#NAME?</x:v>
      </x:c>
      <x:c r="K242" t="e">
        <x:f>IF($A242="","",[1]!thsiFinD("ths_adjustment_nv_fund",K$3,$A242))</x:f>
        <x:v>#NAME?</x:v>
      </x:c>
      <x:c r="L242" t="e">
        <x:f>IF($A242="","",[1]!thsiFinD("ths_adjustment_nv_fund",L$3,$A242))</x:f>
        <x:v>#NAME?</x:v>
      </x:c>
      <x:c r="M242" t="e">
        <x:f>IF($A242="","",[1]!thsiFinD("ths_adjustment_nv_fund",M$3,$A242))</x:f>
        <x:v>#NAME?</x:v>
      </x:c>
      <x:c r="N242" t="e">
        <x:f>IF($A242="","",[1]!thsiFinD("ths_adjustment_nv_fund",N$3,$A242))</x:f>
        <x:v>#NAME?</x:v>
      </x:c>
      <x:c r="O242" t="e">
        <x:f>IF($A242="","",[1]!thsiFinD("ths_adjustment_nv_fund",O$3,$A242))</x:f>
        <x:v>#NAME?</x:v>
      </x:c>
      <x:c r="P242" t="e">
        <x:f>IF($A242="","",[1]!thsiFinD("ths_adjustment_nv_fund",P$3,$A242))</x:f>
        <x:v>#NAME?</x:v>
      </x:c>
      <x:c r="Q242" t="e">
        <x:f>IF($A242="","",[1]!thsiFinD("ths_adjustment_nv_fund",Q$3,$A242))</x:f>
        <x:v>#NAME?</x:v>
      </x:c>
      <x:c r="R242" t="e">
        <x:f>IF($A242="","",[1]!thsiFinD("ths_adjustment_nv_fund",R$3,$A242))</x:f>
        <x:v>#NAME?</x:v>
      </x:c>
      <x:c r="S242" t="e">
        <x:f>IF($A242="","",[1]!thsiFinD("ths_adjustment_nv_fund",S$3,$A242))</x:f>
        <x:v>#NAME?</x:v>
      </x:c>
      <x:c r="T242" t="e">
        <x:f>IF($A242="","",[1]!thsiFinD("ths_adjustment_nv_fund",T$3,$A242))</x:f>
        <x:v>#NAME?</x:v>
      </x:c>
      <x:c r="U242" t="e">
        <x:f>IF($A242="","",[1]!thsiFinD("ths_adjustment_nv_fund",U$3,$A242))</x:f>
        <x:v>#NAME?</x:v>
      </x:c>
      <x:c r="V242" t="e">
        <x:f>IF($A242="","",[1]!thsiFinD("ths_adjustment_nv_fund",V$3,$A242))</x:f>
        <x:v>#NAME?</x:v>
      </x:c>
      <x:c r="W242" t="e">
        <x:f>IF($A242="","",[1]!thsiFinD("ths_adjustment_nv_fund",W$3,$A242))</x:f>
        <x:v>#NAME?</x:v>
      </x:c>
      <x:c r="X242" t="e">
        <x:f>IF($A242="","",[1]!thsiFinD("ths_adjustment_nv_fund",X$3,$A242))</x:f>
        <x:v>#NAME?</x:v>
      </x:c>
      <x:c r="Y242" t="e">
        <x:f>IF($A242="","",[1]!thsiFinD("ths_adjustment_nv_fund",Y$3,$A242))</x:f>
        <x:v>#NAME?</x:v>
      </x:c>
    </x:row>
    <x:row r="243">
      <x:c r="B243" t="e">
        <x:f>IF($A243="","",[1]!thsiFinD("ths_adjustment_nv_fund",B$3,$A243))</x:f>
        <x:v>#NAME?</x:v>
      </x:c>
      <x:c r="C243" t="e">
        <x:f>IF($A243="","",[1]!thsiFinD("ths_adjustment_nv_fund",C$3,$A243))</x:f>
        <x:v>#NAME?</x:v>
      </x:c>
      <x:c r="D243" t="e">
        <x:f>IF($A243="","",[1]!thsiFinD("ths_adjustment_nv_fund",D$3,$A243))</x:f>
        <x:v>#NAME?</x:v>
      </x:c>
      <x:c r="E243" t="e">
        <x:f>IF($A243="","",[1]!thsiFinD("ths_adjustment_nv_fund",E$3,$A243))</x:f>
        <x:v>#NAME?</x:v>
      </x:c>
      <x:c r="F243" t="e">
        <x:f>IF($A243="","",[1]!thsiFinD("ths_adjustment_nv_fund",F$3,$A243))</x:f>
        <x:v>#NAME?</x:v>
      </x:c>
      <x:c r="G243" t="e">
        <x:f>IF($A243="","",[1]!thsiFinD("ths_adjustment_nv_fund",G$3,$A243))</x:f>
        <x:v>#NAME?</x:v>
      </x:c>
      <x:c r="H243" t="e">
        <x:f>IF($A243="","",[1]!thsiFinD("ths_adjustment_nv_fund",H$3,$A243))</x:f>
        <x:v>#NAME?</x:v>
      </x:c>
      <x:c r="I243" t="e">
        <x:f>IF($A243="","",[1]!thsiFinD("ths_adjustment_nv_fund",I$3,$A243))</x:f>
        <x:v>#NAME?</x:v>
      </x:c>
      <x:c r="J243" t="e">
        <x:f>IF($A243="","",[1]!thsiFinD("ths_adjustment_nv_fund",J$3,$A243))</x:f>
        <x:v>#NAME?</x:v>
      </x:c>
      <x:c r="K243" t="e">
        <x:f>IF($A243="","",[1]!thsiFinD("ths_adjustment_nv_fund",K$3,$A243))</x:f>
        <x:v>#NAME?</x:v>
      </x:c>
      <x:c r="L243" t="e">
        <x:f>IF($A243="","",[1]!thsiFinD("ths_adjustment_nv_fund",L$3,$A243))</x:f>
        <x:v>#NAME?</x:v>
      </x:c>
      <x:c r="M243" t="e">
        <x:f>IF($A243="","",[1]!thsiFinD("ths_adjustment_nv_fund",M$3,$A243))</x:f>
        <x:v>#NAME?</x:v>
      </x:c>
      <x:c r="N243" t="e">
        <x:f>IF($A243="","",[1]!thsiFinD("ths_adjustment_nv_fund",N$3,$A243))</x:f>
        <x:v>#NAME?</x:v>
      </x:c>
      <x:c r="O243" t="e">
        <x:f>IF($A243="","",[1]!thsiFinD("ths_adjustment_nv_fund",O$3,$A243))</x:f>
        <x:v>#NAME?</x:v>
      </x:c>
      <x:c r="P243" t="e">
        <x:f>IF($A243="","",[1]!thsiFinD("ths_adjustment_nv_fund",P$3,$A243))</x:f>
        <x:v>#NAME?</x:v>
      </x:c>
      <x:c r="Q243" t="e">
        <x:f>IF($A243="","",[1]!thsiFinD("ths_adjustment_nv_fund",Q$3,$A243))</x:f>
        <x:v>#NAME?</x:v>
      </x:c>
      <x:c r="R243" t="e">
        <x:f>IF($A243="","",[1]!thsiFinD("ths_adjustment_nv_fund",R$3,$A243))</x:f>
        <x:v>#NAME?</x:v>
      </x:c>
      <x:c r="S243" t="e">
        <x:f>IF($A243="","",[1]!thsiFinD("ths_adjustment_nv_fund",S$3,$A243))</x:f>
        <x:v>#NAME?</x:v>
      </x:c>
      <x:c r="T243" t="e">
        <x:f>IF($A243="","",[1]!thsiFinD("ths_adjustment_nv_fund",T$3,$A243))</x:f>
        <x:v>#NAME?</x:v>
      </x:c>
      <x:c r="U243" t="e">
        <x:f>IF($A243="","",[1]!thsiFinD("ths_adjustment_nv_fund",U$3,$A243))</x:f>
        <x:v>#NAME?</x:v>
      </x:c>
      <x:c r="V243" t="e">
        <x:f>IF($A243="","",[1]!thsiFinD("ths_adjustment_nv_fund",V$3,$A243))</x:f>
        <x:v>#NAME?</x:v>
      </x:c>
      <x:c r="W243" t="e">
        <x:f>IF($A243="","",[1]!thsiFinD("ths_adjustment_nv_fund",W$3,$A243))</x:f>
        <x:v>#NAME?</x:v>
      </x:c>
      <x:c r="X243" t="e">
        <x:f>IF($A243="","",[1]!thsiFinD("ths_adjustment_nv_fund",X$3,$A243))</x:f>
        <x:v>#NAME?</x:v>
      </x:c>
      <x:c r="Y243" t="e">
        <x:f>IF($A243="","",[1]!thsiFinD("ths_adjustment_nv_fund",Y$3,$A243))</x:f>
        <x:v>#NAME?</x:v>
      </x:c>
    </x:row>
    <x:row r="244">
      <x:c r="B244" t="e">
        <x:f>IF($A244="","",[1]!thsiFinD("ths_adjustment_nv_fund",B$3,$A244))</x:f>
        <x:v>#NAME?</x:v>
      </x:c>
      <x:c r="C244" t="e">
        <x:f>IF($A244="","",[1]!thsiFinD("ths_adjustment_nv_fund",C$3,$A244))</x:f>
        <x:v>#NAME?</x:v>
      </x:c>
      <x:c r="D244" t="e">
        <x:f>IF($A244="","",[1]!thsiFinD("ths_adjustment_nv_fund",D$3,$A244))</x:f>
        <x:v>#NAME?</x:v>
      </x:c>
      <x:c r="E244" t="e">
        <x:f>IF($A244="","",[1]!thsiFinD("ths_adjustment_nv_fund",E$3,$A244))</x:f>
        <x:v>#NAME?</x:v>
      </x:c>
      <x:c r="F244" t="e">
        <x:f>IF($A244="","",[1]!thsiFinD("ths_adjustment_nv_fund",F$3,$A244))</x:f>
        <x:v>#NAME?</x:v>
      </x:c>
      <x:c r="G244" t="e">
        <x:f>IF($A244="","",[1]!thsiFinD("ths_adjustment_nv_fund",G$3,$A244))</x:f>
        <x:v>#NAME?</x:v>
      </x:c>
      <x:c r="H244" t="e">
        <x:f>IF($A244="","",[1]!thsiFinD("ths_adjustment_nv_fund",H$3,$A244))</x:f>
        <x:v>#NAME?</x:v>
      </x:c>
      <x:c r="I244" t="e">
        <x:f>IF($A244="","",[1]!thsiFinD("ths_adjustment_nv_fund",I$3,$A244))</x:f>
        <x:v>#NAME?</x:v>
      </x:c>
      <x:c r="J244" t="e">
        <x:f>IF($A244="","",[1]!thsiFinD("ths_adjustment_nv_fund",J$3,$A244))</x:f>
        <x:v>#NAME?</x:v>
      </x:c>
      <x:c r="K244" t="e">
        <x:f>IF($A244="","",[1]!thsiFinD("ths_adjustment_nv_fund",K$3,$A244))</x:f>
        <x:v>#NAME?</x:v>
      </x:c>
      <x:c r="L244" t="e">
        <x:f>IF($A244="","",[1]!thsiFinD("ths_adjustment_nv_fund",L$3,$A244))</x:f>
        <x:v>#NAME?</x:v>
      </x:c>
      <x:c r="M244" t="e">
        <x:f>IF($A244="","",[1]!thsiFinD("ths_adjustment_nv_fund",M$3,$A244))</x:f>
        <x:v>#NAME?</x:v>
      </x:c>
      <x:c r="N244" t="e">
        <x:f>IF($A244="","",[1]!thsiFinD("ths_adjustment_nv_fund",N$3,$A244))</x:f>
        <x:v>#NAME?</x:v>
      </x:c>
      <x:c r="O244" t="e">
        <x:f>IF($A244="","",[1]!thsiFinD("ths_adjustment_nv_fund",O$3,$A244))</x:f>
        <x:v>#NAME?</x:v>
      </x:c>
      <x:c r="P244" t="e">
        <x:f>IF($A244="","",[1]!thsiFinD("ths_adjustment_nv_fund",P$3,$A244))</x:f>
        <x:v>#NAME?</x:v>
      </x:c>
      <x:c r="Q244" t="e">
        <x:f>IF($A244="","",[1]!thsiFinD("ths_adjustment_nv_fund",Q$3,$A244))</x:f>
        <x:v>#NAME?</x:v>
      </x:c>
      <x:c r="R244" t="e">
        <x:f>IF($A244="","",[1]!thsiFinD("ths_adjustment_nv_fund",R$3,$A244))</x:f>
        <x:v>#NAME?</x:v>
      </x:c>
      <x:c r="S244" t="e">
        <x:f>IF($A244="","",[1]!thsiFinD("ths_adjustment_nv_fund",S$3,$A244))</x:f>
        <x:v>#NAME?</x:v>
      </x:c>
      <x:c r="T244" t="e">
        <x:f>IF($A244="","",[1]!thsiFinD("ths_adjustment_nv_fund",T$3,$A244))</x:f>
        <x:v>#NAME?</x:v>
      </x:c>
      <x:c r="U244" t="e">
        <x:f>IF($A244="","",[1]!thsiFinD("ths_adjustment_nv_fund",U$3,$A244))</x:f>
        <x:v>#NAME?</x:v>
      </x:c>
      <x:c r="V244" t="e">
        <x:f>IF($A244="","",[1]!thsiFinD("ths_adjustment_nv_fund",V$3,$A244))</x:f>
        <x:v>#NAME?</x:v>
      </x:c>
      <x:c r="W244" t="e">
        <x:f>IF($A244="","",[1]!thsiFinD("ths_adjustment_nv_fund",W$3,$A244))</x:f>
        <x:v>#NAME?</x:v>
      </x:c>
      <x:c r="X244" t="e">
        <x:f>IF($A244="","",[1]!thsiFinD("ths_adjustment_nv_fund",X$3,$A244))</x:f>
        <x:v>#NAME?</x:v>
      </x:c>
      <x:c r="Y244" t="e">
        <x:f>IF($A244="","",[1]!thsiFinD("ths_adjustment_nv_fund",Y$3,$A244))</x:f>
        <x:v>#NAME?</x:v>
      </x:c>
    </x:row>
    <x:row r="245">
      <x:c r="B245" t="e">
        <x:f>IF($A245="","",[1]!thsiFinD("ths_adjustment_nv_fund",B$3,$A245))</x:f>
        <x:v>#NAME?</x:v>
      </x:c>
      <x:c r="C245" t="e">
        <x:f>IF($A245="","",[1]!thsiFinD("ths_adjustment_nv_fund",C$3,$A245))</x:f>
        <x:v>#NAME?</x:v>
      </x:c>
      <x:c r="D245" t="e">
        <x:f>IF($A245="","",[1]!thsiFinD("ths_adjustment_nv_fund",D$3,$A245))</x:f>
        <x:v>#NAME?</x:v>
      </x:c>
      <x:c r="E245" t="e">
        <x:f>IF($A245="","",[1]!thsiFinD("ths_adjustment_nv_fund",E$3,$A245))</x:f>
        <x:v>#NAME?</x:v>
      </x:c>
      <x:c r="F245" t="e">
        <x:f>IF($A245="","",[1]!thsiFinD("ths_adjustment_nv_fund",F$3,$A245))</x:f>
        <x:v>#NAME?</x:v>
      </x:c>
      <x:c r="G245" t="e">
        <x:f>IF($A245="","",[1]!thsiFinD("ths_adjustment_nv_fund",G$3,$A245))</x:f>
        <x:v>#NAME?</x:v>
      </x:c>
      <x:c r="H245" t="e">
        <x:f>IF($A245="","",[1]!thsiFinD("ths_adjustment_nv_fund",H$3,$A245))</x:f>
        <x:v>#NAME?</x:v>
      </x:c>
      <x:c r="I245" t="e">
        <x:f>IF($A245="","",[1]!thsiFinD("ths_adjustment_nv_fund",I$3,$A245))</x:f>
        <x:v>#NAME?</x:v>
      </x:c>
      <x:c r="J245" t="e">
        <x:f>IF($A245="","",[1]!thsiFinD("ths_adjustment_nv_fund",J$3,$A245))</x:f>
        <x:v>#NAME?</x:v>
      </x:c>
      <x:c r="K245" t="e">
        <x:f>IF($A245="","",[1]!thsiFinD("ths_adjustment_nv_fund",K$3,$A245))</x:f>
        <x:v>#NAME?</x:v>
      </x:c>
      <x:c r="L245" t="e">
        <x:f>IF($A245="","",[1]!thsiFinD("ths_adjustment_nv_fund",L$3,$A245))</x:f>
        <x:v>#NAME?</x:v>
      </x:c>
      <x:c r="M245" t="e">
        <x:f>IF($A245="","",[1]!thsiFinD("ths_adjustment_nv_fund",M$3,$A245))</x:f>
        <x:v>#NAME?</x:v>
      </x:c>
      <x:c r="N245" t="e">
        <x:f>IF($A245="","",[1]!thsiFinD("ths_adjustment_nv_fund",N$3,$A245))</x:f>
        <x:v>#NAME?</x:v>
      </x:c>
      <x:c r="O245" t="e">
        <x:f>IF($A245="","",[1]!thsiFinD("ths_adjustment_nv_fund",O$3,$A245))</x:f>
        <x:v>#NAME?</x:v>
      </x:c>
      <x:c r="P245" t="e">
        <x:f>IF($A245="","",[1]!thsiFinD("ths_adjustment_nv_fund",P$3,$A245))</x:f>
        <x:v>#NAME?</x:v>
      </x:c>
      <x:c r="Q245" t="e">
        <x:f>IF($A245="","",[1]!thsiFinD("ths_adjustment_nv_fund",Q$3,$A245))</x:f>
        <x:v>#NAME?</x:v>
      </x:c>
      <x:c r="R245" t="e">
        <x:f>IF($A245="","",[1]!thsiFinD("ths_adjustment_nv_fund",R$3,$A245))</x:f>
        <x:v>#NAME?</x:v>
      </x:c>
      <x:c r="S245" t="e">
        <x:f>IF($A245="","",[1]!thsiFinD("ths_adjustment_nv_fund",S$3,$A245))</x:f>
        <x:v>#NAME?</x:v>
      </x:c>
      <x:c r="T245" t="e">
        <x:f>IF($A245="","",[1]!thsiFinD("ths_adjustment_nv_fund",T$3,$A245))</x:f>
        <x:v>#NAME?</x:v>
      </x:c>
      <x:c r="U245" t="e">
        <x:f>IF($A245="","",[1]!thsiFinD("ths_adjustment_nv_fund",U$3,$A245))</x:f>
        <x:v>#NAME?</x:v>
      </x:c>
      <x:c r="V245" t="e">
        <x:f>IF($A245="","",[1]!thsiFinD("ths_adjustment_nv_fund",V$3,$A245))</x:f>
        <x:v>#NAME?</x:v>
      </x:c>
      <x:c r="W245" t="e">
        <x:f>IF($A245="","",[1]!thsiFinD("ths_adjustment_nv_fund",W$3,$A245))</x:f>
        <x:v>#NAME?</x:v>
      </x:c>
      <x:c r="X245" t="e">
        <x:f>IF($A245="","",[1]!thsiFinD("ths_adjustment_nv_fund",X$3,$A245))</x:f>
        <x:v>#NAME?</x:v>
      </x:c>
      <x:c r="Y245" t="e">
        <x:f>IF($A245="","",[1]!thsiFinD("ths_adjustment_nv_fund",Y$3,$A245))</x:f>
        <x:v>#NAME?</x:v>
      </x:c>
    </x:row>
    <x:row r="246">
      <x:c r="B246" t="e">
        <x:f>IF($A246="","",[1]!thsiFinD("ths_adjustment_nv_fund",B$3,$A246))</x:f>
        <x:v>#NAME?</x:v>
      </x:c>
      <x:c r="C246" t="e">
        <x:f>IF($A246="","",[1]!thsiFinD("ths_adjustment_nv_fund",C$3,$A246))</x:f>
        <x:v>#NAME?</x:v>
      </x:c>
      <x:c r="D246" t="e">
        <x:f>IF($A246="","",[1]!thsiFinD("ths_adjustment_nv_fund",D$3,$A246))</x:f>
        <x:v>#NAME?</x:v>
      </x:c>
      <x:c r="E246" t="e">
        <x:f>IF($A246="","",[1]!thsiFinD("ths_adjustment_nv_fund",E$3,$A246))</x:f>
        <x:v>#NAME?</x:v>
      </x:c>
      <x:c r="F246" t="e">
        <x:f>IF($A246="","",[1]!thsiFinD("ths_adjustment_nv_fund",F$3,$A246))</x:f>
        <x:v>#NAME?</x:v>
      </x:c>
      <x:c r="G246" t="e">
        <x:f>IF($A246="","",[1]!thsiFinD("ths_adjustment_nv_fund",G$3,$A246))</x:f>
        <x:v>#NAME?</x:v>
      </x:c>
      <x:c r="H246" t="e">
        <x:f>IF($A246="","",[1]!thsiFinD("ths_adjustment_nv_fund",H$3,$A246))</x:f>
        <x:v>#NAME?</x:v>
      </x:c>
      <x:c r="I246" t="e">
        <x:f>IF($A246="","",[1]!thsiFinD("ths_adjustment_nv_fund",I$3,$A246))</x:f>
        <x:v>#NAME?</x:v>
      </x:c>
      <x:c r="J246" t="e">
        <x:f>IF($A246="","",[1]!thsiFinD("ths_adjustment_nv_fund",J$3,$A246))</x:f>
        <x:v>#NAME?</x:v>
      </x:c>
      <x:c r="K246" t="e">
        <x:f>IF($A246="","",[1]!thsiFinD("ths_adjustment_nv_fund",K$3,$A246))</x:f>
        <x:v>#NAME?</x:v>
      </x:c>
      <x:c r="L246" t="e">
        <x:f>IF($A246="","",[1]!thsiFinD("ths_adjustment_nv_fund",L$3,$A246))</x:f>
        <x:v>#NAME?</x:v>
      </x:c>
      <x:c r="M246" t="e">
        <x:f>IF($A246="","",[1]!thsiFinD("ths_adjustment_nv_fund",M$3,$A246))</x:f>
        <x:v>#NAME?</x:v>
      </x:c>
      <x:c r="N246" t="e">
        <x:f>IF($A246="","",[1]!thsiFinD("ths_adjustment_nv_fund",N$3,$A246))</x:f>
        <x:v>#NAME?</x:v>
      </x:c>
      <x:c r="O246" t="e">
        <x:f>IF($A246="","",[1]!thsiFinD("ths_adjustment_nv_fund",O$3,$A246))</x:f>
        <x:v>#NAME?</x:v>
      </x:c>
      <x:c r="P246" t="e">
        <x:f>IF($A246="","",[1]!thsiFinD("ths_adjustment_nv_fund",P$3,$A246))</x:f>
        <x:v>#NAME?</x:v>
      </x:c>
      <x:c r="Q246" t="e">
        <x:f>IF($A246="","",[1]!thsiFinD("ths_adjustment_nv_fund",Q$3,$A246))</x:f>
        <x:v>#NAME?</x:v>
      </x:c>
      <x:c r="R246" t="e">
        <x:f>IF($A246="","",[1]!thsiFinD("ths_adjustment_nv_fund",R$3,$A246))</x:f>
        <x:v>#NAME?</x:v>
      </x:c>
      <x:c r="S246" t="e">
        <x:f>IF($A246="","",[1]!thsiFinD("ths_adjustment_nv_fund",S$3,$A246))</x:f>
        <x:v>#NAME?</x:v>
      </x:c>
      <x:c r="T246" t="e">
        <x:f>IF($A246="","",[1]!thsiFinD("ths_adjustment_nv_fund",T$3,$A246))</x:f>
        <x:v>#NAME?</x:v>
      </x:c>
      <x:c r="U246" t="e">
        <x:f>IF($A246="","",[1]!thsiFinD("ths_adjustment_nv_fund",U$3,$A246))</x:f>
        <x:v>#NAME?</x:v>
      </x:c>
      <x:c r="V246" t="e">
        <x:f>IF($A246="","",[1]!thsiFinD("ths_adjustment_nv_fund",V$3,$A246))</x:f>
        <x:v>#NAME?</x:v>
      </x:c>
      <x:c r="W246" t="e">
        <x:f>IF($A246="","",[1]!thsiFinD("ths_adjustment_nv_fund",W$3,$A246))</x:f>
        <x:v>#NAME?</x:v>
      </x:c>
      <x:c r="X246" t="e">
        <x:f>IF($A246="","",[1]!thsiFinD("ths_adjustment_nv_fund",X$3,$A246))</x:f>
        <x:v>#NAME?</x:v>
      </x:c>
      <x:c r="Y246" t="e">
        <x:f>IF($A246="","",[1]!thsiFinD("ths_adjustment_nv_fund",Y$3,$A246))</x:f>
        <x:v>#NAME?</x:v>
      </x:c>
    </x:row>
    <x:row r="247">
      <x:c r="B247" t="e">
        <x:f>IF($A247="","",[1]!thsiFinD("ths_adjustment_nv_fund",B$3,$A247))</x:f>
        <x:v>#NAME?</x:v>
      </x:c>
      <x:c r="C247" t="e">
        <x:f>IF($A247="","",[1]!thsiFinD("ths_adjustment_nv_fund",C$3,$A247))</x:f>
        <x:v>#NAME?</x:v>
      </x:c>
      <x:c r="D247" t="e">
        <x:f>IF($A247="","",[1]!thsiFinD("ths_adjustment_nv_fund",D$3,$A247))</x:f>
        <x:v>#NAME?</x:v>
      </x:c>
      <x:c r="E247" t="e">
        <x:f>IF($A247="","",[1]!thsiFinD("ths_adjustment_nv_fund",E$3,$A247))</x:f>
        <x:v>#NAME?</x:v>
      </x:c>
      <x:c r="F247" t="e">
        <x:f>IF($A247="","",[1]!thsiFinD("ths_adjustment_nv_fund",F$3,$A247))</x:f>
        <x:v>#NAME?</x:v>
      </x:c>
      <x:c r="G247" t="e">
        <x:f>IF($A247="","",[1]!thsiFinD("ths_adjustment_nv_fund",G$3,$A247))</x:f>
        <x:v>#NAME?</x:v>
      </x:c>
      <x:c r="H247" t="e">
        <x:f>IF($A247="","",[1]!thsiFinD("ths_adjustment_nv_fund",H$3,$A247))</x:f>
        <x:v>#NAME?</x:v>
      </x:c>
      <x:c r="I247" t="e">
        <x:f>IF($A247="","",[1]!thsiFinD("ths_adjustment_nv_fund",I$3,$A247))</x:f>
        <x:v>#NAME?</x:v>
      </x:c>
      <x:c r="J247" t="e">
        <x:f>IF($A247="","",[1]!thsiFinD("ths_adjustment_nv_fund",J$3,$A247))</x:f>
        <x:v>#NAME?</x:v>
      </x:c>
      <x:c r="K247" t="e">
        <x:f>IF($A247="","",[1]!thsiFinD("ths_adjustment_nv_fund",K$3,$A247))</x:f>
        <x:v>#NAME?</x:v>
      </x:c>
      <x:c r="L247" t="e">
        <x:f>IF($A247="","",[1]!thsiFinD("ths_adjustment_nv_fund",L$3,$A247))</x:f>
        <x:v>#NAME?</x:v>
      </x:c>
      <x:c r="M247" t="e">
        <x:f>IF($A247="","",[1]!thsiFinD("ths_adjustment_nv_fund",M$3,$A247))</x:f>
        <x:v>#NAME?</x:v>
      </x:c>
      <x:c r="N247" t="e">
        <x:f>IF($A247="","",[1]!thsiFinD("ths_adjustment_nv_fund",N$3,$A247))</x:f>
        <x:v>#NAME?</x:v>
      </x:c>
      <x:c r="O247" t="e">
        <x:f>IF($A247="","",[1]!thsiFinD("ths_adjustment_nv_fund",O$3,$A247))</x:f>
        <x:v>#NAME?</x:v>
      </x:c>
      <x:c r="P247" t="e">
        <x:f>IF($A247="","",[1]!thsiFinD("ths_adjustment_nv_fund",P$3,$A247))</x:f>
        <x:v>#NAME?</x:v>
      </x:c>
      <x:c r="Q247" t="e">
        <x:f>IF($A247="","",[1]!thsiFinD("ths_adjustment_nv_fund",Q$3,$A247))</x:f>
        <x:v>#NAME?</x:v>
      </x:c>
      <x:c r="R247" t="e">
        <x:f>IF($A247="","",[1]!thsiFinD("ths_adjustment_nv_fund",R$3,$A247))</x:f>
        <x:v>#NAME?</x:v>
      </x:c>
      <x:c r="S247" t="e">
        <x:f>IF($A247="","",[1]!thsiFinD("ths_adjustment_nv_fund",S$3,$A247))</x:f>
        <x:v>#NAME?</x:v>
      </x:c>
      <x:c r="T247" t="e">
        <x:f>IF($A247="","",[1]!thsiFinD("ths_adjustment_nv_fund",T$3,$A247))</x:f>
        <x:v>#NAME?</x:v>
      </x:c>
      <x:c r="U247" t="e">
        <x:f>IF($A247="","",[1]!thsiFinD("ths_adjustment_nv_fund",U$3,$A247))</x:f>
        <x:v>#NAME?</x:v>
      </x:c>
      <x:c r="V247" t="e">
        <x:f>IF($A247="","",[1]!thsiFinD("ths_adjustment_nv_fund",V$3,$A247))</x:f>
        <x:v>#NAME?</x:v>
      </x:c>
      <x:c r="W247" t="e">
        <x:f>IF($A247="","",[1]!thsiFinD("ths_adjustment_nv_fund",W$3,$A247))</x:f>
        <x:v>#NAME?</x:v>
      </x:c>
      <x:c r="X247" t="e">
        <x:f>IF($A247="","",[1]!thsiFinD("ths_adjustment_nv_fund",X$3,$A247))</x:f>
        <x:v>#NAME?</x:v>
      </x:c>
      <x:c r="Y247" t="e">
        <x:f>IF($A247="","",[1]!thsiFinD("ths_adjustment_nv_fund",Y$3,$A247))</x:f>
        <x:v>#NAME?</x:v>
      </x:c>
    </x:row>
    <x:row r="248">
      <x:c r="B248" t="e">
        <x:f>IF($A248="","",[1]!thsiFinD("ths_adjustment_nv_fund",B$3,$A248))</x:f>
        <x:v>#NAME?</x:v>
      </x:c>
      <x:c r="C248" t="e">
        <x:f>IF($A248="","",[1]!thsiFinD("ths_adjustment_nv_fund",C$3,$A248))</x:f>
        <x:v>#NAME?</x:v>
      </x:c>
      <x:c r="D248" t="e">
        <x:f>IF($A248="","",[1]!thsiFinD("ths_adjustment_nv_fund",D$3,$A248))</x:f>
        <x:v>#NAME?</x:v>
      </x:c>
      <x:c r="E248" t="e">
        <x:f>IF($A248="","",[1]!thsiFinD("ths_adjustment_nv_fund",E$3,$A248))</x:f>
        <x:v>#NAME?</x:v>
      </x:c>
      <x:c r="F248" t="e">
        <x:f>IF($A248="","",[1]!thsiFinD("ths_adjustment_nv_fund",F$3,$A248))</x:f>
        <x:v>#NAME?</x:v>
      </x:c>
      <x:c r="G248" t="e">
        <x:f>IF($A248="","",[1]!thsiFinD("ths_adjustment_nv_fund",G$3,$A248))</x:f>
        <x:v>#NAME?</x:v>
      </x:c>
      <x:c r="H248" t="e">
        <x:f>IF($A248="","",[1]!thsiFinD("ths_adjustment_nv_fund",H$3,$A248))</x:f>
        <x:v>#NAME?</x:v>
      </x:c>
      <x:c r="I248" t="e">
        <x:f>IF($A248="","",[1]!thsiFinD("ths_adjustment_nv_fund",I$3,$A248))</x:f>
        <x:v>#NAME?</x:v>
      </x:c>
      <x:c r="J248" t="e">
        <x:f>IF($A248="","",[1]!thsiFinD("ths_adjustment_nv_fund",J$3,$A248))</x:f>
        <x:v>#NAME?</x:v>
      </x:c>
      <x:c r="K248" t="e">
        <x:f>IF($A248="","",[1]!thsiFinD("ths_adjustment_nv_fund",K$3,$A248))</x:f>
        <x:v>#NAME?</x:v>
      </x:c>
      <x:c r="L248" t="e">
        <x:f>IF($A248="","",[1]!thsiFinD("ths_adjustment_nv_fund",L$3,$A248))</x:f>
        <x:v>#NAME?</x:v>
      </x:c>
      <x:c r="M248" t="e">
        <x:f>IF($A248="","",[1]!thsiFinD("ths_adjustment_nv_fund",M$3,$A248))</x:f>
        <x:v>#NAME?</x:v>
      </x:c>
      <x:c r="N248" t="e">
        <x:f>IF($A248="","",[1]!thsiFinD("ths_adjustment_nv_fund",N$3,$A248))</x:f>
        <x:v>#NAME?</x:v>
      </x:c>
      <x:c r="O248" t="e">
        <x:f>IF($A248="","",[1]!thsiFinD("ths_adjustment_nv_fund",O$3,$A248))</x:f>
        <x:v>#NAME?</x:v>
      </x:c>
      <x:c r="P248" t="e">
        <x:f>IF($A248="","",[1]!thsiFinD("ths_adjustment_nv_fund",P$3,$A248))</x:f>
        <x:v>#NAME?</x:v>
      </x:c>
      <x:c r="Q248" t="e">
        <x:f>IF($A248="","",[1]!thsiFinD("ths_adjustment_nv_fund",Q$3,$A248))</x:f>
        <x:v>#NAME?</x:v>
      </x:c>
      <x:c r="R248" t="e">
        <x:f>IF($A248="","",[1]!thsiFinD("ths_adjustment_nv_fund",R$3,$A248))</x:f>
        <x:v>#NAME?</x:v>
      </x:c>
      <x:c r="S248" t="e">
        <x:f>IF($A248="","",[1]!thsiFinD("ths_adjustment_nv_fund",S$3,$A248))</x:f>
        <x:v>#NAME?</x:v>
      </x:c>
      <x:c r="T248" t="e">
        <x:f>IF($A248="","",[1]!thsiFinD("ths_adjustment_nv_fund",T$3,$A248))</x:f>
        <x:v>#NAME?</x:v>
      </x:c>
      <x:c r="U248" t="e">
        <x:f>IF($A248="","",[1]!thsiFinD("ths_adjustment_nv_fund",U$3,$A248))</x:f>
        <x:v>#NAME?</x:v>
      </x:c>
      <x:c r="V248" t="e">
        <x:f>IF($A248="","",[1]!thsiFinD("ths_adjustment_nv_fund",V$3,$A248))</x:f>
        <x:v>#NAME?</x:v>
      </x:c>
      <x:c r="W248" t="e">
        <x:f>IF($A248="","",[1]!thsiFinD("ths_adjustment_nv_fund",W$3,$A248))</x:f>
        <x:v>#NAME?</x:v>
      </x:c>
      <x:c r="X248" t="e">
        <x:f>IF($A248="","",[1]!thsiFinD("ths_adjustment_nv_fund",X$3,$A248))</x:f>
        <x:v>#NAME?</x:v>
      </x:c>
      <x:c r="Y248" t="e">
        <x:f>IF($A248="","",[1]!thsiFinD("ths_adjustment_nv_fund",Y$3,$A248))</x:f>
        <x:v>#NAME?</x:v>
      </x:c>
    </x:row>
    <x:row r="249">
      <x:c r="B249" t="e">
        <x:f>IF($A249="","",[1]!thsiFinD("ths_adjustment_nv_fund",B$3,$A249))</x:f>
        <x:v>#NAME?</x:v>
      </x:c>
      <x:c r="C249" t="e">
        <x:f>IF($A249="","",[1]!thsiFinD("ths_adjustment_nv_fund",C$3,$A249))</x:f>
        <x:v>#NAME?</x:v>
      </x:c>
      <x:c r="D249" t="e">
        <x:f>IF($A249="","",[1]!thsiFinD("ths_adjustment_nv_fund",D$3,$A249))</x:f>
        <x:v>#NAME?</x:v>
      </x:c>
      <x:c r="E249" t="e">
        <x:f>IF($A249="","",[1]!thsiFinD("ths_adjustment_nv_fund",E$3,$A249))</x:f>
        <x:v>#NAME?</x:v>
      </x:c>
      <x:c r="F249" t="e">
        <x:f>IF($A249="","",[1]!thsiFinD("ths_adjustment_nv_fund",F$3,$A249))</x:f>
        <x:v>#NAME?</x:v>
      </x:c>
      <x:c r="G249" t="e">
        <x:f>IF($A249="","",[1]!thsiFinD("ths_adjustment_nv_fund",G$3,$A249))</x:f>
        <x:v>#NAME?</x:v>
      </x:c>
      <x:c r="H249" t="e">
        <x:f>IF($A249="","",[1]!thsiFinD("ths_adjustment_nv_fund",H$3,$A249))</x:f>
        <x:v>#NAME?</x:v>
      </x:c>
      <x:c r="I249" t="e">
        <x:f>IF($A249="","",[1]!thsiFinD("ths_adjustment_nv_fund",I$3,$A249))</x:f>
        <x:v>#NAME?</x:v>
      </x:c>
      <x:c r="J249" t="e">
        <x:f>IF($A249="","",[1]!thsiFinD("ths_adjustment_nv_fund",J$3,$A249))</x:f>
        <x:v>#NAME?</x:v>
      </x:c>
      <x:c r="K249" t="e">
        <x:f>IF($A249="","",[1]!thsiFinD("ths_adjustment_nv_fund",K$3,$A249))</x:f>
        <x:v>#NAME?</x:v>
      </x:c>
      <x:c r="L249" t="e">
        <x:f>IF($A249="","",[1]!thsiFinD("ths_adjustment_nv_fund",L$3,$A249))</x:f>
        <x:v>#NAME?</x:v>
      </x:c>
      <x:c r="M249" t="e">
        <x:f>IF($A249="","",[1]!thsiFinD("ths_adjustment_nv_fund",M$3,$A249))</x:f>
        <x:v>#NAME?</x:v>
      </x:c>
      <x:c r="N249" t="e">
        <x:f>IF($A249="","",[1]!thsiFinD("ths_adjustment_nv_fund",N$3,$A249))</x:f>
        <x:v>#NAME?</x:v>
      </x:c>
      <x:c r="O249" t="e">
        <x:f>IF($A249="","",[1]!thsiFinD("ths_adjustment_nv_fund",O$3,$A249))</x:f>
        <x:v>#NAME?</x:v>
      </x:c>
      <x:c r="P249" t="e">
        <x:f>IF($A249="","",[1]!thsiFinD("ths_adjustment_nv_fund",P$3,$A249))</x:f>
        <x:v>#NAME?</x:v>
      </x:c>
      <x:c r="Q249" t="e">
        <x:f>IF($A249="","",[1]!thsiFinD("ths_adjustment_nv_fund",Q$3,$A249))</x:f>
        <x:v>#NAME?</x:v>
      </x:c>
      <x:c r="R249" t="e">
        <x:f>IF($A249="","",[1]!thsiFinD("ths_adjustment_nv_fund",R$3,$A249))</x:f>
        <x:v>#NAME?</x:v>
      </x:c>
      <x:c r="S249" t="e">
        <x:f>IF($A249="","",[1]!thsiFinD("ths_adjustment_nv_fund",S$3,$A249))</x:f>
        <x:v>#NAME?</x:v>
      </x:c>
      <x:c r="T249" t="e">
        <x:f>IF($A249="","",[1]!thsiFinD("ths_adjustment_nv_fund",T$3,$A249))</x:f>
        <x:v>#NAME?</x:v>
      </x:c>
      <x:c r="U249" t="e">
        <x:f>IF($A249="","",[1]!thsiFinD("ths_adjustment_nv_fund",U$3,$A249))</x:f>
        <x:v>#NAME?</x:v>
      </x:c>
      <x:c r="V249" t="e">
        <x:f>IF($A249="","",[1]!thsiFinD("ths_adjustment_nv_fund",V$3,$A249))</x:f>
        <x:v>#NAME?</x:v>
      </x:c>
      <x:c r="W249" t="e">
        <x:f>IF($A249="","",[1]!thsiFinD("ths_adjustment_nv_fund",W$3,$A249))</x:f>
        <x:v>#NAME?</x:v>
      </x:c>
      <x:c r="X249" t="e">
        <x:f>IF($A249="","",[1]!thsiFinD("ths_adjustment_nv_fund",X$3,$A249))</x:f>
        <x:v>#NAME?</x:v>
      </x:c>
      <x:c r="Y249" t="e">
        <x:f>IF($A249="","",[1]!thsiFinD("ths_adjustment_nv_fund",Y$3,$A249))</x:f>
        <x:v>#NAME?</x:v>
      </x:c>
    </x:row>
    <x:row r="250">
      <x:c r="B250" t="e">
        <x:f>IF($A250="","",[1]!thsiFinD("ths_adjustment_nv_fund",B$3,$A250))</x:f>
        <x:v>#NAME?</x:v>
      </x:c>
      <x:c r="C250" t="e">
        <x:f>IF($A250="","",[1]!thsiFinD("ths_adjustment_nv_fund",C$3,$A250))</x:f>
        <x:v>#NAME?</x:v>
      </x:c>
      <x:c r="D250" t="e">
        <x:f>IF($A250="","",[1]!thsiFinD("ths_adjustment_nv_fund",D$3,$A250))</x:f>
        <x:v>#NAME?</x:v>
      </x:c>
      <x:c r="E250" t="e">
        <x:f>IF($A250="","",[1]!thsiFinD("ths_adjustment_nv_fund",E$3,$A250))</x:f>
        <x:v>#NAME?</x:v>
      </x:c>
      <x:c r="F250" t="e">
        <x:f>IF($A250="","",[1]!thsiFinD("ths_adjustment_nv_fund",F$3,$A250))</x:f>
        <x:v>#NAME?</x:v>
      </x:c>
      <x:c r="G250" t="e">
        <x:f>IF($A250="","",[1]!thsiFinD("ths_adjustment_nv_fund",G$3,$A250))</x:f>
        <x:v>#NAME?</x:v>
      </x:c>
      <x:c r="H250" t="e">
        <x:f>IF($A250="","",[1]!thsiFinD("ths_adjustment_nv_fund",H$3,$A250))</x:f>
        <x:v>#NAME?</x:v>
      </x:c>
      <x:c r="I250" t="e">
        <x:f>IF($A250="","",[1]!thsiFinD("ths_adjustment_nv_fund",I$3,$A250))</x:f>
        <x:v>#NAME?</x:v>
      </x:c>
      <x:c r="J250" t="e">
        <x:f>IF($A250="","",[1]!thsiFinD("ths_adjustment_nv_fund",J$3,$A250))</x:f>
        <x:v>#NAME?</x:v>
      </x:c>
      <x:c r="K250" t="e">
        <x:f>IF($A250="","",[1]!thsiFinD("ths_adjustment_nv_fund",K$3,$A250))</x:f>
        <x:v>#NAME?</x:v>
      </x:c>
      <x:c r="L250" t="e">
        <x:f>IF($A250="","",[1]!thsiFinD("ths_adjustment_nv_fund",L$3,$A250))</x:f>
        <x:v>#NAME?</x:v>
      </x:c>
      <x:c r="M250" t="e">
        <x:f>IF($A250="","",[1]!thsiFinD("ths_adjustment_nv_fund",M$3,$A250))</x:f>
        <x:v>#NAME?</x:v>
      </x:c>
      <x:c r="N250" t="e">
        <x:f>IF($A250="","",[1]!thsiFinD("ths_adjustment_nv_fund",N$3,$A250))</x:f>
        <x:v>#NAME?</x:v>
      </x:c>
      <x:c r="O250" t="e">
        <x:f>IF($A250="","",[1]!thsiFinD("ths_adjustment_nv_fund",O$3,$A250))</x:f>
        <x:v>#NAME?</x:v>
      </x:c>
      <x:c r="P250" t="e">
        <x:f>IF($A250="","",[1]!thsiFinD("ths_adjustment_nv_fund",P$3,$A250))</x:f>
        <x:v>#NAME?</x:v>
      </x:c>
      <x:c r="Q250" t="e">
        <x:f>IF($A250="","",[1]!thsiFinD("ths_adjustment_nv_fund",Q$3,$A250))</x:f>
        <x:v>#NAME?</x:v>
      </x:c>
      <x:c r="R250" t="e">
        <x:f>IF($A250="","",[1]!thsiFinD("ths_adjustment_nv_fund",R$3,$A250))</x:f>
        <x:v>#NAME?</x:v>
      </x:c>
      <x:c r="S250" t="e">
        <x:f>IF($A250="","",[1]!thsiFinD("ths_adjustment_nv_fund",S$3,$A250))</x:f>
        <x:v>#NAME?</x:v>
      </x:c>
      <x:c r="T250" t="e">
        <x:f>IF($A250="","",[1]!thsiFinD("ths_adjustment_nv_fund",T$3,$A250))</x:f>
        <x:v>#NAME?</x:v>
      </x:c>
      <x:c r="U250" t="e">
        <x:f>IF($A250="","",[1]!thsiFinD("ths_adjustment_nv_fund",U$3,$A250))</x:f>
        <x:v>#NAME?</x:v>
      </x:c>
      <x:c r="V250" t="e">
        <x:f>IF($A250="","",[1]!thsiFinD("ths_adjustment_nv_fund",V$3,$A250))</x:f>
        <x:v>#NAME?</x:v>
      </x:c>
      <x:c r="W250" t="e">
        <x:f>IF($A250="","",[1]!thsiFinD("ths_adjustment_nv_fund",W$3,$A250))</x:f>
        <x:v>#NAME?</x:v>
      </x:c>
      <x:c r="X250" t="e">
        <x:f>IF($A250="","",[1]!thsiFinD("ths_adjustment_nv_fund",X$3,$A250))</x:f>
        <x:v>#NAME?</x:v>
      </x:c>
      <x:c r="Y250" t="e">
        <x:f>IF($A250="","",[1]!thsiFinD("ths_adjustment_nv_fund",Y$3,$A250))</x:f>
        <x:v>#NAME?</x:v>
      </x:c>
    </x:row>
    <x:row r="251">
      <x:c r="B251" t="e">
        <x:f>IF($A251="","",[1]!thsiFinD("ths_adjustment_nv_fund",B$3,$A251))</x:f>
        <x:v>#NAME?</x:v>
      </x:c>
      <x:c r="C251" t="e">
        <x:f>IF($A251="","",[1]!thsiFinD("ths_adjustment_nv_fund",C$3,$A251))</x:f>
        <x:v>#NAME?</x:v>
      </x:c>
      <x:c r="D251" t="e">
        <x:f>IF($A251="","",[1]!thsiFinD("ths_adjustment_nv_fund",D$3,$A251))</x:f>
        <x:v>#NAME?</x:v>
      </x:c>
      <x:c r="E251" t="e">
        <x:f>IF($A251="","",[1]!thsiFinD("ths_adjustment_nv_fund",E$3,$A251))</x:f>
        <x:v>#NAME?</x:v>
      </x:c>
      <x:c r="F251" t="e">
        <x:f>IF($A251="","",[1]!thsiFinD("ths_adjustment_nv_fund",F$3,$A251))</x:f>
        <x:v>#NAME?</x:v>
      </x:c>
      <x:c r="G251" t="e">
        <x:f>IF($A251="","",[1]!thsiFinD("ths_adjustment_nv_fund",G$3,$A251))</x:f>
        <x:v>#NAME?</x:v>
      </x:c>
      <x:c r="H251" t="e">
        <x:f>IF($A251="","",[1]!thsiFinD("ths_adjustment_nv_fund",H$3,$A251))</x:f>
        <x:v>#NAME?</x:v>
      </x:c>
      <x:c r="I251" t="e">
        <x:f>IF($A251="","",[1]!thsiFinD("ths_adjustment_nv_fund",I$3,$A251))</x:f>
        <x:v>#NAME?</x:v>
      </x:c>
      <x:c r="J251" t="e">
        <x:f>IF($A251="","",[1]!thsiFinD("ths_adjustment_nv_fund",J$3,$A251))</x:f>
        <x:v>#NAME?</x:v>
      </x:c>
      <x:c r="K251" t="e">
        <x:f>IF($A251="","",[1]!thsiFinD("ths_adjustment_nv_fund",K$3,$A251))</x:f>
        <x:v>#NAME?</x:v>
      </x:c>
      <x:c r="L251" t="e">
        <x:f>IF($A251="","",[1]!thsiFinD("ths_adjustment_nv_fund",L$3,$A251))</x:f>
        <x:v>#NAME?</x:v>
      </x:c>
      <x:c r="M251" t="e">
        <x:f>IF($A251="","",[1]!thsiFinD("ths_adjustment_nv_fund",M$3,$A251))</x:f>
        <x:v>#NAME?</x:v>
      </x:c>
      <x:c r="N251" t="e">
        <x:f>IF($A251="","",[1]!thsiFinD("ths_adjustment_nv_fund",N$3,$A251))</x:f>
        <x:v>#NAME?</x:v>
      </x:c>
      <x:c r="O251" t="e">
        <x:f>IF($A251="","",[1]!thsiFinD("ths_adjustment_nv_fund",O$3,$A251))</x:f>
        <x:v>#NAME?</x:v>
      </x:c>
      <x:c r="P251" t="e">
        <x:f>IF($A251="","",[1]!thsiFinD("ths_adjustment_nv_fund",P$3,$A251))</x:f>
        <x:v>#NAME?</x:v>
      </x:c>
      <x:c r="Q251" t="e">
        <x:f>IF($A251="","",[1]!thsiFinD("ths_adjustment_nv_fund",Q$3,$A251))</x:f>
        <x:v>#NAME?</x:v>
      </x:c>
      <x:c r="R251" t="e">
        <x:f>IF($A251="","",[1]!thsiFinD("ths_adjustment_nv_fund",R$3,$A251))</x:f>
        <x:v>#NAME?</x:v>
      </x:c>
      <x:c r="S251" t="e">
        <x:f>IF($A251="","",[1]!thsiFinD("ths_adjustment_nv_fund",S$3,$A251))</x:f>
        <x:v>#NAME?</x:v>
      </x:c>
      <x:c r="T251" t="e">
        <x:f>IF($A251="","",[1]!thsiFinD("ths_adjustment_nv_fund",T$3,$A251))</x:f>
        <x:v>#NAME?</x:v>
      </x:c>
      <x:c r="U251" t="e">
        <x:f>IF($A251="","",[1]!thsiFinD("ths_adjustment_nv_fund",U$3,$A251))</x:f>
        <x:v>#NAME?</x:v>
      </x:c>
      <x:c r="V251" t="e">
        <x:f>IF($A251="","",[1]!thsiFinD("ths_adjustment_nv_fund",V$3,$A251))</x:f>
        <x:v>#NAME?</x:v>
      </x:c>
      <x:c r="W251" t="e">
        <x:f>IF($A251="","",[1]!thsiFinD("ths_adjustment_nv_fund",W$3,$A251))</x:f>
        <x:v>#NAME?</x:v>
      </x:c>
      <x:c r="X251" t="e">
        <x:f>IF($A251="","",[1]!thsiFinD("ths_adjustment_nv_fund",X$3,$A251))</x:f>
        <x:v>#NAME?</x:v>
      </x:c>
      <x:c r="Y251" t="e">
        <x:f>IF($A251="","",[1]!thsiFinD("ths_adjustment_nv_fund",Y$3,$A251))</x:f>
        <x:v>#NAME?</x:v>
      </x:c>
    </x:row>
    <x:row r="252">
      <x:c r="B252" t="e">
        <x:f>IF($A252="","",[1]!thsiFinD("ths_adjustment_nv_fund",B$3,$A252))</x:f>
        <x:v>#NAME?</x:v>
      </x:c>
      <x:c r="C252" t="e">
        <x:f>IF($A252="","",[1]!thsiFinD("ths_adjustment_nv_fund",C$3,$A252))</x:f>
        <x:v>#NAME?</x:v>
      </x:c>
      <x:c r="D252" t="e">
        <x:f>IF($A252="","",[1]!thsiFinD("ths_adjustment_nv_fund",D$3,$A252))</x:f>
        <x:v>#NAME?</x:v>
      </x:c>
      <x:c r="E252" t="e">
        <x:f>IF($A252="","",[1]!thsiFinD("ths_adjustment_nv_fund",E$3,$A252))</x:f>
        <x:v>#NAME?</x:v>
      </x:c>
      <x:c r="F252" t="e">
        <x:f>IF($A252="","",[1]!thsiFinD("ths_adjustment_nv_fund",F$3,$A252))</x:f>
        <x:v>#NAME?</x:v>
      </x:c>
      <x:c r="G252" t="e">
        <x:f>IF($A252="","",[1]!thsiFinD("ths_adjustment_nv_fund",G$3,$A252))</x:f>
        <x:v>#NAME?</x:v>
      </x:c>
      <x:c r="H252" t="e">
        <x:f>IF($A252="","",[1]!thsiFinD("ths_adjustment_nv_fund",H$3,$A252))</x:f>
        <x:v>#NAME?</x:v>
      </x:c>
      <x:c r="I252" t="e">
        <x:f>IF($A252="","",[1]!thsiFinD("ths_adjustment_nv_fund",I$3,$A252))</x:f>
        <x:v>#NAME?</x:v>
      </x:c>
      <x:c r="J252" t="e">
        <x:f>IF($A252="","",[1]!thsiFinD("ths_adjustment_nv_fund",J$3,$A252))</x:f>
        <x:v>#NAME?</x:v>
      </x:c>
      <x:c r="K252" t="e">
        <x:f>IF($A252="","",[1]!thsiFinD("ths_adjustment_nv_fund",K$3,$A252))</x:f>
        <x:v>#NAME?</x:v>
      </x:c>
      <x:c r="L252" t="e">
        <x:f>IF($A252="","",[1]!thsiFinD("ths_adjustment_nv_fund",L$3,$A252))</x:f>
        <x:v>#NAME?</x:v>
      </x:c>
      <x:c r="M252" t="e">
        <x:f>IF($A252="","",[1]!thsiFinD("ths_adjustment_nv_fund",M$3,$A252))</x:f>
        <x:v>#NAME?</x:v>
      </x:c>
      <x:c r="N252" t="e">
        <x:f>IF($A252="","",[1]!thsiFinD("ths_adjustment_nv_fund",N$3,$A252))</x:f>
        <x:v>#NAME?</x:v>
      </x:c>
      <x:c r="O252" t="e">
        <x:f>IF($A252="","",[1]!thsiFinD("ths_adjustment_nv_fund",O$3,$A252))</x:f>
        <x:v>#NAME?</x:v>
      </x:c>
      <x:c r="P252" t="e">
        <x:f>IF($A252="","",[1]!thsiFinD("ths_adjustment_nv_fund",P$3,$A252))</x:f>
        <x:v>#NAME?</x:v>
      </x:c>
      <x:c r="Q252" t="e">
        <x:f>IF($A252="","",[1]!thsiFinD("ths_adjustment_nv_fund",Q$3,$A252))</x:f>
        <x:v>#NAME?</x:v>
      </x:c>
      <x:c r="R252" t="e">
        <x:f>IF($A252="","",[1]!thsiFinD("ths_adjustment_nv_fund",R$3,$A252))</x:f>
        <x:v>#NAME?</x:v>
      </x:c>
      <x:c r="S252" t="e">
        <x:f>IF($A252="","",[1]!thsiFinD("ths_adjustment_nv_fund",S$3,$A252))</x:f>
        <x:v>#NAME?</x:v>
      </x:c>
      <x:c r="T252" t="e">
        <x:f>IF($A252="","",[1]!thsiFinD("ths_adjustment_nv_fund",T$3,$A252))</x:f>
        <x:v>#NAME?</x:v>
      </x:c>
      <x:c r="U252" t="e">
        <x:f>IF($A252="","",[1]!thsiFinD("ths_adjustment_nv_fund",U$3,$A252))</x:f>
        <x:v>#NAME?</x:v>
      </x:c>
      <x:c r="V252" t="e">
        <x:f>IF($A252="","",[1]!thsiFinD("ths_adjustment_nv_fund",V$3,$A252))</x:f>
        <x:v>#NAME?</x:v>
      </x:c>
      <x:c r="W252" t="e">
        <x:f>IF($A252="","",[1]!thsiFinD("ths_adjustment_nv_fund",W$3,$A252))</x:f>
        <x:v>#NAME?</x:v>
      </x:c>
      <x:c r="X252" t="e">
        <x:f>IF($A252="","",[1]!thsiFinD("ths_adjustment_nv_fund",X$3,$A252))</x:f>
        <x:v>#NAME?</x:v>
      </x:c>
      <x:c r="Y252" t="e">
        <x:f>IF($A252="","",[1]!thsiFinD("ths_adjustment_nv_fund",Y$3,$A252))</x:f>
        <x:v>#NAME?</x:v>
      </x:c>
    </x:row>
    <x:row r="253">
      <x:c r="B253" t="e">
        <x:f>IF($A253="","",[1]!thsiFinD("ths_adjustment_nv_fund",B$3,$A253))</x:f>
        <x:v>#NAME?</x:v>
      </x:c>
      <x:c r="C253" t="e">
        <x:f>IF($A253="","",[1]!thsiFinD("ths_adjustment_nv_fund",C$3,$A253))</x:f>
        <x:v>#NAME?</x:v>
      </x:c>
      <x:c r="D253" t="e">
        <x:f>IF($A253="","",[1]!thsiFinD("ths_adjustment_nv_fund",D$3,$A253))</x:f>
        <x:v>#NAME?</x:v>
      </x:c>
      <x:c r="E253" t="e">
        <x:f>IF($A253="","",[1]!thsiFinD("ths_adjustment_nv_fund",E$3,$A253))</x:f>
        <x:v>#NAME?</x:v>
      </x:c>
      <x:c r="F253" t="e">
        <x:f>IF($A253="","",[1]!thsiFinD("ths_adjustment_nv_fund",F$3,$A253))</x:f>
        <x:v>#NAME?</x:v>
      </x:c>
      <x:c r="G253" t="e">
        <x:f>IF($A253="","",[1]!thsiFinD("ths_adjustment_nv_fund",G$3,$A253))</x:f>
        <x:v>#NAME?</x:v>
      </x:c>
      <x:c r="H253" t="e">
        <x:f>IF($A253="","",[1]!thsiFinD("ths_adjustment_nv_fund",H$3,$A253))</x:f>
        <x:v>#NAME?</x:v>
      </x:c>
      <x:c r="I253" t="e">
        <x:f>IF($A253="","",[1]!thsiFinD("ths_adjustment_nv_fund",I$3,$A253))</x:f>
        <x:v>#NAME?</x:v>
      </x:c>
      <x:c r="J253" t="e">
        <x:f>IF($A253="","",[1]!thsiFinD("ths_adjustment_nv_fund",J$3,$A253))</x:f>
        <x:v>#NAME?</x:v>
      </x:c>
      <x:c r="K253" t="e">
        <x:f>IF($A253="","",[1]!thsiFinD("ths_adjustment_nv_fund",K$3,$A253))</x:f>
        <x:v>#NAME?</x:v>
      </x:c>
      <x:c r="L253" t="e">
        <x:f>IF($A253="","",[1]!thsiFinD("ths_adjustment_nv_fund",L$3,$A253))</x:f>
        <x:v>#NAME?</x:v>
      </x:c>
      <x:c r="M253" t="e">
        <x:f>IF($A253="","",[1]!thsiFinD("ths_adjustment_nv_fund",M$3,$A253))</x:f>
        <x:v>#NAME?</x:v>
      </x:c>
      <x:c r="N253" t="e">
        <x:f>IF($A253="","",[1]!thsiFinD("ths_adjustment_nv_fund",N$3,$A253))</x:f>
        <x:v>#NAME?</x:v>
      </x:c>
      <x:c r="O253" t="e">
        <x:f>IF($A253="","",[1]!thsiFinD("ths_adjustment_nv_fund",O$3,$A253))</x:f>
        <x:v>#NAME?</x:v>
      </x:c>
      <x:c r="P253" t="e">
        <x:f>IF($A253="","",[1]!thsiFinD("ths_adjustment_nv_fund",P$3,$A253))</x:f>
        <x:v>#NAME?</x:v>
      </x:c>
      <x:c r="Q253" t="e">
        <x:f>IF($A253="","",[1]!thsiFinD("ths_adjustment_nv_fund",Q$3,$A253))</x:f>
        <x:v>#NAME?</x:v>
      </x:c>
      <x:c r="R253" t="e">
        <x:f>IF($A253="","",[1]!thsiFinD("ths_adjustment_nv_fund",R$3,$A253))</x:f>
        <x:v>#NAME?</x:v>
      </x:c>
      <x:c r="S253" t="e">
        <x:f>IF($A253="","",[1]!thsiFinD("ths_adjustment_nv_fund",S$3,$A253))</x:f>
        <x:v>#NAME?</x:v>
      </x:c>
      <x:c r="T253" t="e">
        <x:f>IF($A253="","",[1]!thsiFinD("ths_adjustment_nv_fund",T$3,$A253))</x:f>
        <x:v>#NAME?</x:v>
      </x:c>
      <x:c r="U253" t="e">
        <x:f>IF($A253="","",[1]!thsiFinD("ths_adjustment_nv_fund",U$3,$A253))</x:f>
        <x:v>#NAME?</x:v>
      </x:c>
      <x:c r="V253" t="e">
        <x:f>IF($A253="","",[1]!thsiFinD("ths_adjustment_nv_fund",V$3,$A253))</x:f>
        <x:v>#NAME?</x:v>
      </x:c>
      <x:c r="W253" t="e">
        <x:f>IF($A253="","",[1]!thsiFinD("ths_adjustment_nv_fund",W$3,$A253))</x:f>
        <x:v>#NAME?</x:v>
      </x:c>
      <x:c r="X253" t="e">
        <x:f>IF($A253="","",[1]!thsiFinD("ths_adjustment_nv_fund",X$3,$A253))</x:f>
        <x:v>#NAME?</x:v>
      </x:c>
      <x:c r="Y253" t="e">
        <x:f>IF($A253="","",[1]!thsiFinD("ths_adjustment_nv_fund",Y$3,$A253))</x:f>
        <x:v>#NAME?</x:v>
      </x:c>
    </x:row>
    <x:row r="254">
      <x:c r="B254" t="e">
        <x:f>IF($A254="","",[1]!thsiFinD("ths_adjustment_nv_fund",B$3,$A254))</x:f>
        <x:v>#NAME?</x:v>
      </x:c>
      <x:c r="C254" t="e">
        <x:f>IF($A254="","",[1]!thsiFinD("ths_adjustment_nv_fund",C$3,$A254))</x:f>
        <x:v>#NAME?</x:v>
      </x:c>
      <x:c r="D254" t="e">
        <x:f>IF($A254="","",[1]!thsiFinD("ths_adjustment_nv_fund",D$3,$A254))</x:f>
        <x:v>#NAME?</x:v>
      </x:c>
      <x:c r="E254" t="e">
        <x:f>IF($A254="","",[1]!thsiFinD("ths_adjustment_nv_fund",E$3,$A254))</x:f>
        <x:v>#NAME?</x:v>
      </x:c>
      <x:c r="F254" t="e">
        <x:f>IF($A254="","",[1]!thsiFinD("ths_adjustment_nv_fund",F$3,$A254))</x:f>
        <x:v>#NAME?</x:v>
      </x:c>
      <x:c r="G254" t="e">
        <x:f>IF($A254="","",[1]!thsiFinD("ths_adjustment_nv_fund",G$3,$A254))</x:f>
        <x:v>#NAME?</x:v>
      </x:c>
      <x:c r="H254" t="e">
        <x:f>IF($A254="","",[1]!thsiFinD("ths_adjustment_nv_fund",H$3,$A254))</x:f>
        <x:v>#NAME?</x:v>
      </x:c>
      <x:c r="I254" t="e">
        <x:f>IF($A254="","",[1]!thsiFinD("ths_adjustment_nv_fund",I$3,$A254))</x:f>
        <x:v>#NAME?</x:v>
      </x:c>
      <x:c r="J254" t="e">
        <x:f>IF($A254="","",[1]!thsiFinD("ths_adjustment_nv_fund",J$3,$A254))</x:f>
        <x:v>#NAME?</x:v>
      </x:c>
      <x:c r="K254" t="e">
        <x:f>IF($A254="","",[1]!thsiFinD("ths_adjustment_nv_fund",K$3,$A254))</x:f>
        <x:v>#NAME?</x:v>
      </x:c>
      <x:c r="L254" t="e">
        <x:f>IF($A254="","",[1]!thsiFinD("ths_adjustment_nv_fund",L$3,$A254))</x:f>
        <x:v>#NAME?</x:v>
      </x:c>
      <x:c r="M254" t="e">
        <x:f>IF($A254="","",[1]!thsiFinD("ths_adjustment_nv_fund",M$3,$A254))</x:f>
        <x:v>#NAME?</x:v>
      </x:c>
      <x:c r="N254" t="e">
        <x:f>IF($A254="","",[1]!thsiFinD("ths_adjustment_nv_fund",N$3,$A254))</x:f>
        <x:v>#NAME?</x:v>
      </x:c>
      <x:c r="O254" t="e">
        <x:f>IF($A254="","",[1]!thsiFinD("ths_adjustment_nv_fund",O$3,$A254))</x:f>
        <x:v>#NAME?</x:v>
      </x:c>
      <x:c r="P254" t="e">
        <x:f>IF($A254="","",[1]!thsiFinD("ths_adjustment_nv_fund",P$3,$A254))</x:f>
        <x:v>#NAME?</x:v>
      </x:c>
      <x:c r="Q254" t="e">
        <x:f>IF($A254="","",[1]!thsiFinD("ths_adjustment_nv_fund",Q$3,$A254))</x:f>
        <x:v>#NAME?</x:v>
      </x:c>
      <x:c r="R254" t="e">
        <x:f>IF($A254="","",[1]!thsiFinD("ths_adjustment_nv_fund",R$3,$A254))</x:f>
        <x:v>#NAME?</x:v>
      </x:c>
      <x:c r="S254" t="e">
        <x:f>IF($A254="","",[1]!thsiFinD("ths_adjustment_nv_fund",S$3,$A254))</x:f>
        <x:v>#NAME?</x:v>
      </x:c>
      <x:c r="T254" t="e">
        <x:f>IF($A254="","",[1]!thsiFinD("ths_adjustment_nv_fund",T$3,$A254))</x:f>
        <x:v>#NAME?</x:v>
      </x:c>
      <x:c r="U254" t="e">
        <x:f>IF($A254="","",[1]!thsiFinD("ths_adjustment_nv_fund",U$3,$A254))</x:f>
        <x:v>#NAME?</x:v>
      </x:c>
      <x:c r="V254" t="e">
        <x:f>IF($A254="","",[1]!thsiFinD("ths_adjustment_nv_fund",V$3,$A254))</x:f>
        <x:v>#NAME?</x:v>
      </x:c>
      <x:c r="W254" t="e">
        <x:f>IF($A254="","",[1]!thsiFinD("ths_adjustment_nv_fund",W$3,$A254))</x:f>
        <x:v>#NAME?</x:v>
      </x:c>
      <x:c r="X254" t="e">
        <x:f>IF($A254="","",[1]!thsiFinD("ths_adjustment_nv_fund",X$3,$A254))</x:f>
        <x:v>#NAME?</x:v>
      </x:c>
      <x:c r="Y254" t="e">
        <x:f>IF($A254="","",[1]!thsiFinD("ths_adjustment_nv_fund",Y$3,$A254))</x:f>
        <x:v>#NAME?</x:v>
      </x:c>
    </x:row>
    <x:row r="255">
      <x:c r="B255" t="e">
        <x:f>IF($A255="","",[1]!thsiFinD("ths_adjustment_nv_fund",B$3,$A255))</x:f>
        <x:v>#NAME?</x:v>
      </x:c>
      <x:c r="C255" t="e">
        <x:f>IF($A255="","",[1]!thsiFinD("ths_adjustment_nv_fund",C$3,$A255))</x:f>
        <x:v>#NAME?</x:v>
      </x:c>
      <x:c r="D255" t="e">
        <x:f>IF($A255="","",[1]!thsiFinD("ths_adjustment_nv_fund",D$3,$A255))</x:f>
        <x:v>#NAME?</x:v>
      </x:c>
      <x:c r="E255" t="e">
        <x:f>IF($A255="","",[1]!thsiFinD("ths_adjustment_nv_fund",E$3,$A255))</x:f>
        <x:v>#NAME?</x:v>
      </x:c>
      <x:c r="F255" t="e">
        <x:f>IF($A255="","",[1]!thsiFinD("ths_adjustment_nv_fund",F$3,$A255))</x:f>
        <x:v>#NAME?</x:v>
      </x:c>
      <x:c r="G255" t="e">
        <x:f>IF($A255="","",[1]!thsiFinD("ths_adjustment_nv_fund",G$3,$A255))</x:f>
        <x:v>#NAME?</x:v>
      </x:c>
      <x:c r="H255" t="e">
        <x:f>IF($A255="","",[1]!thsiFinD("ths_adjustment_nv_fund",H$3,$A255))</x:f>
        <x:v>#NAME?</x:v>
      </x:c>
      <x:c r="I255" t="e">
        <x:f>IF($A255="","",[1]!thsiFinD("ths_adjustment_nv_fund",I$3,$A255))</x:f>
        <x:v>#NAME?</x:v>
      </x:c>
      <x:c r="J255" t="e">
        <x:f>IF($A255="","",[1]!thsiFinD("ths_adjustment_nv_fund",J$3,$A255))</x:f>
        <x:v>#NAME?</x:v>
      </x:c>
      <x:c r="K255" t="e">
        <x:f>IF($A255="","",[1]!thsiFinD("ths_adjustment_nv_fund",K$3,$A255))</x:f>
        <x:v>#NAME?</x:v>
      </x:c>
      <x:c r="L255" t="e">
        <x:f>IF($A255="","",[1]!thsiFinD("ths_adjustment_nv_fund",L$3,$A255))</x:f>
        <x:v>#NAME?</x:v>
      </x:c>
      <x:c r="M255" t="e">
        <x:f>IF($A255="","",[1]!thsiFinD("ths_adjustment_nv_fund",M$3,$A255))</x:f>
        <x:v>#NAME?</x:v>
      </x:c>
      <x:c r="N255" t="e">
        <x:f>IF($A255="","",[1]!thsiFinD("ths_adjustment_nv_fund",N$3,$A255))</x:f>
        <x:v>#NAME?</x:v>
      </x:c>
      <x:c r="O255" t="e">
        <x:f>IF($A255="","",[1]!thsiFinD("ths_adjustment_nv_fund",O$3,$A255))</x:f>
        <x:v>#NAME?</x:v>
      </x:c>
      <x:c r="P255" t="e">
        <x:f>IF($A255="","",[1]!thsiFinD("ths_adjustment_nv_fund",P$3,$A255))</x:f>
        <x:v>#NAME?</x:v>
      </x:c>
      <x:c r="Q255" t="e">
        <x:f>IF($A255="","",[1]!thsiFinD("ths_adjustment_nv_fund",Q$3,$A255))</x:f>
        <x:v>#NAME?</x:v>
      </x:c>
      <x:c r="R255" t="e">
        <x:f>IF($A255="","",[1]!thsiFinD("ths_adjustment_nv_fund",R$3,$A255))</x:f>
        <x:v>#NAME?</x:v>
      </x:c>
      <x:c r="S255" t="e">
        <x:f>IF($A255="","",[1]!thsiFinD("ths_adjustment_nv_fund",S$3,$A255))</x:f>
        <x:v>#NAME?</x:v>
      </x:c>
      <x:c r="T255" t="e">
        <x:f>IF($A255="","",[1]!thsiFinD("ths_adjustment_nv_fund",T$3,$A255))</x:f>
        <x:v>#NAME?</x:v>
      </x:c>
      <x:c r="U255" t="e">
        <x:f>IF($A255="","",[1]!thsiFinD("ths_adjustment_nv_fund",U$3,$A255))</x:f>
        <x:v>#NAME?</x:v>
      </x:c>
      <x:c r="V255" t="e">
        <x:f>IF($A255="","",[1]!thsiFinD("ths_adjustment_nv_fund",V$3,$A255))</x:f>
        <x:v>#NAME?</x:v>
      </x:c>
      <x:c r="W255" t="e">
        <x:f>IF($A255="","",[1]!thsiFinD("ths_adjustment_nv_fund",W$3,$A255))</x:f>
        <x:v>#NAME?</x:v>
      </x:c>
      <x:c r="X255" t="e">
        <x:f>IF($A255="","",[1]!thsiFinD("ths_adjustment_nv_fund",X$3,$A255))</x:f>
        <x:v>#NAME?</x:v>
      </x:c>
      <x:c r="Y255" t="e">
        <x:f>IF($A255="","",[1]!thsiFinD("ths_adjustment_nv_fund",Y$3,$A255))</x:f>
        <x:v>#NAME?</x:v>
      </x:c>
    </x:row>
    <x:row r="256">
      <x:c r="B256" t="e">
        <x:f>IF($A256="","",[1]!thsiFinD("ths_adjustment_nv_fund",B$3,$A256))</x:f>
        <x:v>#NAME?</x:v>
      </x:c>
      <x:c r="C256" t="e">
        <x:f>IF($A256="","",[1]!thsiFinD("ths_adjustment_nv_fund",C$3,$A256))</x:f>
        <x:v>#NAME?</x:v>
      </x:c>
      <x:c r="D256" t="e">
        <x:f>IF($A256="","",[1]!thsiFinD("ths_adjustment_nv_fund",D$3,$A256))</x:f>
        <x:v>#NAME?</x:v>
      </x:c>
      <x:c r="E256" t="e">
        <x:f>IF($A256="","",[1]!thsiFinD("ths_adjustment_nv_fund",E$3,$A256))</x:f>
        <x:v>#NAME?</x:v>
      </x:c>
      <x:c r="F256" t="e">
        <x:f>IF($A256="","",[1]!thsiFinD("ths_adjustment_nv_fund",F$3,$A256))</x:f>
        <x:v>#NAME?</x:v>
      </x:c>
      <x:c r="G256" t="e">
        <x:f>IF($A256="","",[1]!thsiFinD("ths_adjustment_nv_fund",G$3,$A256))</x:f>
        <x:v>#NAME?</x:v>
      </x:c>
      <x:c r="H256" t="e">
        <x:f>IF($A256="","",[1]!thsiFinD("ths_adjustment_nv_fund",H$3,$A256))</x:f>
        <x:v>#NAME?</x:v>
      </x:c>
      <x:c r="I256" t="e">
        <x:f>IF($A256="","",[1]!thsiFinD("ths_adjustment_nv_fund",I$3,$A256))</x:f>
        <x:v>#NAME?</x:v>
      </x:c>
      <x:c r="J256" t="e">
        <x:f>IF($A256="","",[1]!thsiFinD("ths_adjustment_nv_fund",J$3,$A256))</x:f>
        <x:v>#NAME?</x:v>
      </x:c>
      <x:c r="K256" t="e">
        <x:f>IF($A256="","",[1]!thsiFinD("ths_adjustment_nv_fund",K$3,$A256))</x:f>
        <x:v>#NAME?</x:v>
      </x:c>
      <x:c r="L256" t="e">
        <x:f>IF($A256="","",[1]!thsiFinD("ths_adjustment_nv_fund",L$3,$A256))</x:f>
        <x:v>#NAME?</x:v>
      </x:c>
      <x:c r="M256" t="e">
        <x:f>IF($A256="","",[1]!thsiFinD("ths_adjustment_nv_fund",M$3,$A256))</x:f>
        <x:v>#NAME?</x:v>
      </x:c>
      <x:c r="N256" t="e">
        <x:f>IF($A256="","",[1]!thsiFinD("ths_adjustment_nv_fund",N$3,$A256))</x:f>
        <x:v>#NAME?</x:v>
      </x:c>
      <x:c r="O256" t="e">
        <x:f>IF($A256="","",[1]!thsiFinD("ths_adjustment_nv_fund",O$3,$A256))</x:f>
        <x:v>#NAME?</x:v>
      </x:c>
      <x:c r="P256" t="e">
        <x:f>IF($A256="","",[1]!thsiFinD("ths_adjustment_nv_fund",P$3,$A256))</x:f>
        <x:v>#NAME?</x:v>
      </x:c>
      <x:c r="Q256" t="e">
        <x:f>IF($A256="","",[1]!thsiFinD("ths_adjustment_nv_fund",Q$3,$A256))</x:f>
        <x:v>#NAME?</x:v>
      </x:c>
      <x:c r="R256" t="e">
        <x:f>IF($A256="","",[1]!thsiFinD("ths_adjustment_nv_fund",R$3,$A256))</x:f>
        <x:v>#NAME?</x:v>
      </x:c>
      <x:c r="S256" t="e">
        <x:f>IF($A256="","",[1]!thsiFinD("ths_adjustment_nv_fund",S$3,$A256))</x:f>
        <x:v>#NAME?</x:v>
      </x:c>
      <x:c r="T256" t="e">
        <x:f>IF($A256="","",[1]!thsiFinD("ths_adjustment_nv_fund",T$3,$A256))</x:f>
        <x:v>#NAME?</x:v>
      </x:c>
      <x:c r="U256" t="e">
        <x:f>IF($A256="","",[1]!thsiFinD("ths_adjustment_nv_fund",U$3,$A256))</x:f>
        <x:v>#NAME?</x:v>
      </x:c>
      <x:c r="V256" t="e">
        <x:f>IF($A256="","",[1]!thsiFinD("ths_adjustment_nv_fund",V$3,$A256))</x:f>
        <x:v>#NAME?</x:v>
      </x:c>
      <x:c r="W256" t="e">
        <x:f>IF($A256="","",[1]!thsiFinD("ths_adjustment_nv_fund",W$3,$A256))</x:f>
        <x:v>#NAME?</x:v>
      </x:c>
      <x:c r="X256" t="e">
        <x:f>IF($A256="","",[1]!thsiFinD("ths_adjustment_nv_fund",X$3,$A256))</x:f>
        <x:v>#NAME?</x:v>
      </x:c>
      <x:c r="Y256" t="e">
        <x:f>IF($A256="","",[1]!thsiFinD("ths_adjustment_nv_fund",Y$3,$A256))</x:f>
        <x:v>#NAME?</x:v>
      </x:c>
    </x:row>
    <x:row r="257">
      <x:c r="B257" t="e">
        <x:f>IF($A257="","",[1]!thsiFinD("ths_adjustment_nv_fund",B$3,$A257))</x:f>
        <x:v>#NAME?</x:v>
      </x:c>
      <x:c r="C257" t="e">
        <x:f>IF($A257="","",[1]!thsiFinD("ths_adjustment_nv_fund",C$3,$A257))</x:f>
        <x:v>#NAME?</x:v>
      </x:c>
      <x:c r="D257" t="e">
        <x:f>IF($A257="","",[1]!thsiFinD("ths_adjustment_nv_fund",D$3,$A257))</x:f>
        <x:v>#NAME?</x:v>
      </x:c>
      <x:c r="E257" t="e">
        <x:f>IF($A257="","",[1]!thsiFinD("ths_adjustment_nv_fund",E$3,$A257))</x:f>
        <x:v>#NAME?</x:v>
      </x:c>
      <x:c r="F257" t="e">
        <x:f>IF($A257="","",[1]!thsiFinD("ths_adjustment_nv_fund",F$3,$A257))</x:f>
        <x:v>#NAME?</x:v>
      </x:c>
      <x:c r="G257" t="e">
        <x:f>IF($A257="","",[1]!thsiFinD("ths_adjustment_nv_fund",G$3,$A257))</x:f>
        <x:v>#NAME?</x:v>
      </x:c>
      <x:c r="H257" t="e">
        <x:f>IF($A257="","",[1]!thsiFinD("ths_adjustment_nv_fund",H$3,$A257))</x:f>
        <x:v>#NAME?</x:v>
      </x:c>
      <x:c r="I257" t="e">
        <x:f>IF($A257="","",[1]!thsiFinD("ths_adjustment_nv_fund",I$3,$A257))</x:f>
        <x:v>#NAME?</x:v>
      </x:c>
      <x:c r="J257" t="e">
        <x:f>IF($A257="","",[1]!thsiFinD("ths_adjustment_nv_fund",J$3,$A257))</x:f>
        <x:v>#NAME?</x:v>
      </x:c>
      <x:c r="K257" t="e">
        <x:f>IF($A257="","",[1]!thsiFinD("ths_adjustment_nv_fund",K$3,$A257))</x:f>
        <x:v>#NAME?</x:v>
      </x:c>
      <x:c r="L257" t="e">
        <x:f>IF($A257="","",[1]!thsiFinD("ths_adjustment_nv_fund",L$3,$A257))</x:f>
        <x:v>#NAME?</x:v>
      </x:c>
      <x:c r="M257" t="e">
        <x:f>IF($A257="","",[1]!thsiFinD("ths_adjustment_nv_fund",M$3,$A257))</x:f>
        <x:v>#NAME?</x:v>
      </x:c>
      <x:c r="N257" t="e">
        <x:f>IF($A257="","",[1]!thsiFinD("ths_adjustment_nv_fund",N$3,$A257))</x:f>
        <x:v>#NAME?</x:v>
      </x:c>
      <x:c r="O257" t="e">
        <x:f>IF($A257="","",[1]!thsiFinD("ths_adjustment_nv_fund",O$3,$A257))</x:f>
        <x:v>#NAME?</x:v>
      </x:c>
      <x:c r="P257" t="e">
        <x:f>IF($A257="","",[1]!thsiFinD("ths_adjustment_nv_fund",P$3,$A257))</x:f>
        <x:v>#NAME?</x:v>
      </x:c>
      <x:c r="Q257" t="e">
        <x:f>IF($A257="","",[1]!thsiFinD("ths_adjustment_nv_fund",Q$3,$A257))</x:f>
        <x:v>#NAME?</x:v>
      </x:c>
      <x:c r="R257" t="e">
        <x:f>IF($A257="","",[1]!thsiFinD("ths_adjustment_nv_fund",R$3,$A257))</x:f>
        <x:v>#NAME?</x:v>
      </x:c>
      <x:c r="S257" t="e">
        <x:f>IF($A257="","",[1]!thsiFinD("ths_adjustment_nv_fund",S$3,$A257))</x:f>
        <x:v>#NAME?</x:v>
      </x:c>
      <x:c r="T257" t="e">
        <x:f>IF($A257="","",[1]!thsiFinD("ths_adjustment_nv_fund",T$3,$A257))</x:f>
        <x:v>#NAME?</x:v>
      </x:c>
      <x:c r="U257" t="e">
        <x:f>IF($A257="","",[1]!thsiFinD("ths_adjustment_nv_fund",U$3,$A257))</x:f>
        <x:v>#NAME?</x:v>
      </x:c>
      <x:c r="V257" t="e">
        <x:f>IF($A257="","",[1]!thsiFinD("ths_adjustment_nv_fund",V$3,$A257))</x:f>
        <x:v>#NAME?</x:v>
      </x:c>
      <x:c r="W257" t="e">
        <x:f>IF($A257="","",[1]!thsiFinD("ths_adjustment_nv_fund",W$3,$A257))</x:f>
        <x:v>#NAME?</x:v>
      </x:c>
      <x:c r="X257" t="e">
        <x:f>IF($A257="","",[1]!thsiFinD("ths_adjustment_nv_fund",X$3,$A257))</x:f>
        <x:v>#NAME?</x:v>
      </x:c>
      <x:c r="Y257" t="e">
        <x:f>IF($A257="","",[1]!thsiFinD("ths_adjustment_nv_fund",Y$3,$A257))</x:f>
        <x:v>#NAME?</x:v>
      </x:c>
    </x:row>
    <x:row r="258">
      <x:c r="B258" t="e">
        <x:f>IF($A258="","",[1]!thsiFinD("ths_adjustment_nv_fund",B$3,$A258))</x:f>
        <x:v>#NAME?</x:v>
      </x:c>
      <x:c r="C258" t="e">
        <x:f>IF($A258="","",[1]!thsiFinD("ths_adjustment_nv_fund",C$3,$A258))</x:f>
        <x:v>#NAME?</x:v>
      </x:c>
      <x:c r="D258" t="e">
        <x:f>IF($A258="","",[1]!thsiFinD("ths_adjustment_nv_fund",D$3,$A258))</x:f>
        <x:v>#NAME?</x:v>
      </x:c>
      <x:c r="E258" t="e">
        <x:f>IF($A258="","",[1]!thsiFinD("ths_adjustment_nv_fund",E$3,$A258))</x:f>
        <x:v>#NAME?</x:v>
      </x:c>
      <x:c r="F258" t="e">
        <x:f>IF($A258="","",[1]!thsiFinD("ths_adjustment_nv_fund",F$3,$A258))</x:f>
        <x:v>#NAME?</x:v>
      </x:c>
      <x:c r="G258" t="e">
        <x:f>IF($A258="","",[1]!thsiFinD("ths_adjustment_nv_fund",G$3,$A258))</x:f>
        <x:v>#NAME?</x:v>
      </x:c>
      <x:c r="H258" t="e">
        <x:f>IF($A258="","",[1]!thsiFinD("ths_adjustment_nv_fund",H$3,$A258))</x:f>
        <x:v>#NAME?</x:v>
      </x:c>
      <x:c r="I258" t="e">
        <x:f>IF($A258="","",[1]!thsiFinD("ths_adjustment_nv_fund",I$3,$A258))</x:f>
        <x:v>#NAME?</x:v>
      </x:c>
      <x:c r="J258" t="e">
        <x:f>IF($A258="","",[1]!thsiFinD("ths_adjustment_nv_fund",J$3,$A258))</x:f>
        <x:v>#NAME?</x:v>
      </x:c>
      <x:c r="K258" t="e">
        <x:f>IF($A258="","",[1]!thsiFinD("ths_adjustment_nv_fund",K$3,$A258))</x:f>
        <x:v>#NAME?</x:v>
      </x:c>
      <x:c r="L258" t="e">
        <x:f>IF($A258="","",[1]!thsiFinD("ths_adjustment_nv_fund",L$3,$A258))</x:f>
        <x:v>#NAME?</x:v>
      </x:c>
      <x:c r="M258" t="e">
        <x:f>IF($A258="","",[1]!thsiFinD("ths_adjustment_nv_fund",M$3,$A258))</x:f>
        <x:v>#NAME?</x:v>
      </x:c>
      <x:c r="N258" t="e">
        <x:f>IF($A258="","",[1]!thsiFinD("ths_adjustment_nv_fund",N$3,$A258))</x:f>
        <x:v>#NAME?</x:v>
      </x:c>
      <x:c r="O258" t="e">
        <x:f>IF($A258="","",[1]!thsiFinD("ths_adjustment_nv_fund",O$3,$A258))</x:f>
        <x:v>#NAME?</x:v>
      </x:c>
      <x:c r="P258" t="e">
        <x:f>IF($A258="","",[1]!thsiFinD("ths_adjustment_nv_fund",P$3,$A258))</x:f>
        <x:v>#NAME?</x:v>
      </x:c>
      <x:c r="Q258" t="e">
        <x:f>IF($A258="","",[1]!thsiFinD("ths_adjustment_nv_fund",Q$3,$A258))</x:f>
        <x:v>#NAME?</x:v>
      </x:c>
      <x:c r="R258" t="e">
        <x:f>IF($A258="","",[1]!thsiFinD("ths_adjustment_nv_fund",R$3,$A258))</x:f>
        <x:v>#NAME?</x:v>
      </x:c>
      <x:c r="S258" t="e">
        <x:f>IF($A258="","",[1]!thsiFinD("ths_adjustment_nv_fund",S$3,$A258))</x:f>
        <x:v>#NAME?</x:v>
      </x:c>
      <x:c r="T258" t="e">
        <x:f>IF($A258="","",[1]!thsiFinD("ths_adjustment_nv_fund",T$3,$A258))</x:f>
        <x:v>#NAME?</x:v>
      </x:c>
      <x:c r="U258" t="e">
        <x:f>IF($A258="","",[1]!thsiFinD("ths_adjustment_nv_fund",U$3,$A258))</x:f>
        <x:v>#NAME?</x:v>
      </x:c>
      <x:c r="V258" t="e">
        <x:f>IF($A258="","",[1]!thsiFinD("ths_adjustment_nv_fund",V$3,$A258))</x:f>
        <x:v>#NAME?</x:v>
      </x:c>
      <x:c r="W258" t="e">
        <x:f>IF($A258="","",[1]!thsiFinD("ths_adjustment_nv_fund",W$3,$A258))</x:f>
        <x:v>#NAME?</x:v>
      </x:c>
      <x:c r="X258" t="e">
        <x:f>IF($A258="","",[1]!thsiFinD("ths_adjustment_nv_fund",X$3,$A258))</x:f>
        <x:v>#NAME?</x:v>
      </x:c>
      <x:c r="Y258" t="e">
        <x:f>IF($A258="","",[1]!thsiFinD("ths_adjustment_nv_fund",Y$3,$A258))</x:f>
        <x:v>#NAME?</x:v>
      </x:c>
    </x:row>
    <x:row r="259">
      <x:c r="B259" t="e">
        <x:f>IF($A259="","",[1]!thsiFinD("ths_adjustment_nv_fund",B$3,$A259))</x:f>
        <x:v>#NAME?</x:v>
      </x:c>
      <x:c r="C259" t="e">
        <x:f>IF($A259="","",[1]!thsiFinD("ths_adjustment_nv_fund",C$3,$A259))</x:f>
        <x:v>#NAME?</x:v>
      </x:c>
      <x:c r="D259" t="e">
        <x:f>IF($A259="","",[1]!thsiFinD("ths_adjustment_nv_fund",D$3,$A259))</x:f>
        <x:v>#NAME?</x:v>
      </x:c>
      <x:c r="E259" t="e">
        <x:f>IF($A259="","",[1]!thsiFinD("ths_adjustment_nv_fund",E$3,$A259))</x:f>
        <x:v>#NAME?</x:v>
      </x:c>
      <x:c r="F259" t="e">
        <x:f>IF($A259="","",[1]!thsiFinD("ths_adjustment_nv_fund",F$3,$A259))</x:f>
        <x:v>#NAME?</x:v>
      </x:c>
      <x:c r="G259" t="e">
        <x:f>IF($A259="","",[1]!thsiFinD("ths_adjustment_nv_fund",G$3,$A259))</x:f>
        <x:v>#NAME?</x:v>
      </x:c>
      <x:c r="H259" t="e">
        <x:f>IF($A259="","",[1]!thsiFinD("ths_adjustment_nv_fund",H$3,$A259))</x:f>
        <x:v>#NAME?</x:v>
      </x:c>
      <x:c r="I259" t="e">
        <x:f>IF($A259="","",[1]!thsiFinD("ths_adjustment_nv_fund",I$3,$A259))</x:f>
        <x:v>#NAME?</x:v>
      </x:c>
      <x:c r="J259" t="e">
        <x:f>IF($A259="","",[1]!thsiFinD("ths_adjustment_nv_fund",J$3,$A259))</x:f>
        <x:v>#NAME?</x:v>
      </x:c>
      <x:c r="K259" t="e">
        <x:f>IF($A259="","",[1]!thsiFinD("ths_adjustment_nv_fund",K$3,$A259))</x:f>
        <x:v>#NAME?</x:v>
      </x:c>
      <x:c r="L259" t="e">
        <x:f>IF($A259="","",[1]!thsiFinD("ths_adjustment_nv_fund",L$3,$A259))</x:f>
        <x:v>#NAME?</x:v>
      </x:c>
      <x:c r="M259" t="e">
        <x:f>IF($A259="","",[1]!thsiFinD("ths_adjustment_nv_fund",M$3,$A259))</x:f>
        <x:v>#NAME?</x:v>
      </x:c>
      <x:c r="N259" t="e">
        <x:f>IF($A259="","",[1]!thsiFinD("ths_adjustment_nv_fund",N$3,$A259))</x:f>
        <x:v>#NAME?</x:v>
      </x:c>
      <x:c r="O259" t="e">
        <x:f>IF($A259="","",[1]!thsiFinD("ths_adjustment_nv_fund",O$3,$A259))</x:f>
        <x:v>#NAME?</x:v>
      </x:c>
      <x:c r="P259" t="e">
        <x:f>IF($A259="","",[1]!thsiFinD("ths_adjustment_nv_fund",P$3,$A259))</x:f>
        <x:v>#NAME?</x:v>
      </x:c>
      <x:c r="Q259" t="e">
        <x:f>IF($A259="","",[1]!thsiFinD("ths_adjustment_nv_fund",Q$3,$A259))</x:f>
        <x:v>#NAME?</x:v>
      </x:c>
      <x:c r="R259" t="e">
        <x:f>IF($A259="","",[1]!thsiFinD("ths_adjustment_nv_fund",R$3,$A259))</x:f>
        <x:v>#NAME?</x:v>
      </x:c>
      <x:c r="S259" t="e">
        <x:f>IF($A259="","",[1]!thsiFinD("ths_adjustment_nv_fund",S$3,$A259))</x:f>
        <x:v>#NAME?</x:v>
      </x:c>
      <x:c r="T259" t="e">
        <x:f>IF($A259="","",[1]!thsiFinD("ths_adjustment_nv_fund",T$3,$A259))</x:f>
        <x:v>#NAME?</x:v>
      </x:c>
      <x:c r="U259" t="e">
        <x:f>IF($A259="","",[1]!thsiFinD("ths_adjustment_nv_fund",U$3,$A259))</x:f>
        <x:v>#NAME?</x:v>
      </x:c>
      <x:c r="V259" t="e">
        <x:f>IF($A259="","",[1]!thsiFinD("ths_adjustment_nv_fund",V$3,$A259))</x:f>
        <x:v>#NAME?</x:v>
      </x:c>
      <x:c r="W259" t="e">
        <x:f>IF($A259="","",[1]!thsiFinD("ths_adjustment_nv_fund",W$3,$A259))</x:f>
        <x:v>#NAME?</x:v>
      </x:c>
      <x:c r="X259" t="e">
        <x:f>IF($A259="","",[1]!thsiFinD("ths_adjustment_nv_fund",X$3,$A259))</x:f>
        <x:v>#NAME?</x:v>
      </x:c>
      <x:c r="Y259" t="e">
        <x:f>IF($A259="","",[1]!thsiFinD("ths_adjustment_nv_fund",Y$3,$A259))</x:f>
        <x:v>#NAME?</x:v>
      </x:c>
    </x:row>
    <x:row r="260">
      <x:c r="B260" t="e">
        <x:f>IF($A260="","",[1]!thsiFinD("ths_adjustment_nv_fund",B$3,$A260))</x:f>
        <x:v>#NAME?</x:v>
      </x:c>
      <x:c r="C260" t="e">
        <x:f>IF($A260="","",[1]!thsiFinD("ths_adjustment_nv_fund",C$3,$A260))</x:f>
        <x:v>#NAME?</x:v>
      </x:c>
      <x:c r="D260" t="e">
        <x:f>IF($A260="","",[1]!thsiFinD("ths_adjustment_nv_fund",D$3,$A260))</x:f>
        <x:v>#NAME?</x:v>
      </x:c>
      <x:c r="E260" t="e">
        <x:f>IF($A260="","",[1]!thsiFinD("ths_adjustment_nv_fund",E$3,$A260))</x:f>
        <x:v>#NAME?</x:v>
      </x:c>
      <x:c r="F260" t="e">
        <x:f>IF($A260="","",[1]!thsiFinD("ths_adjustment_nv_fund",F$3,$A260))</x:f>
        <x:v>#NAME?</x:v>
      </x:c>
      <x:c r="G260" t="e">
        <x:f>IF($A260="","",[1]!thsiFinD("ths_adjustment_nv_fund",G$3,$A260))</x:f>
        <x:v>#NAME?</x:v>
      </x:c>
      <x:c r="H260" t="e">
        <x:f>IF($A260="","",[1]!thsiFinD("ths_adjustment_nv_fund",H$3,$A260))</x:f>
        <x:v>#NAME?</x:v>
      </x:c>
      <x:c r="I260" t="e">
        <x:f>IF($A260="","",[1]!thsiFinD("ths_adjustment_nv_fund",I$3,$A260))</x:f>
        <x:v>#NAME?</x:v>
      </x:c>
      <x:c r="J260" t="e">
        <x:f>IF($A260="","",[1]!thsiFinD("ths_adjustment_nv_fund",J$3,$A260))</x:f>
        <x:v>#NAME?</x:v>
      </x:c>
      <x:c r="K260" t="e">
        <x:f>IF($A260="","",[1]!thsiFinD("ths_adjustment_nv_fund",K$3,$A260))</x:f>
        <x:v>#NAME?</x:v>
      </x:c>
      <x:c r="L260" t="e">
        <x:f>IF($A260="","",[1]!thsiFinD("ths_adjustment_nv_fund",L$3,$A260))</x:f>
        <x:v>#NAME?</x:v>
      </x:c>
      <x:c r="M260" t="e">
        <x:f>IF($A260="","",[1]!thsiFinD("ths_adjustment_nv_fund",M$3,$A260))</x:f>
        <x:v>#NAME?</x:v>
      </x:c>
      <x:c r="N260" t="e">
        <x:f>IF($A260="","",[1]!thsiFinD("ths_adjustment_nv_fund",N$3,$A260))</x:f>
        <x:v>#NAME?</x:v>
      </x:c>
      <x:c r="O260" t="e">
        <x:f>IF($A260="","",[1]!thsiFinD("ths_adjustment_nv_fund",O$3,$A260))</x:f>
        <x:v>#NAME?</x:v>
      </x:c>
      <x:c r="P260" t="e">
        <x:f>IF($A260="","",[1]!thsiFinD("ths_adjustment_nv_fund",P$3,$A260))</x:f>
        <x:v>#NAME?</x:v>
      </x:c>
      <x:c r="Q260" t="e">
        <x:f>IF($A260="","",[1]!thsiFinD("ths_adjustment_nv_fund",Q$3,$A260))</x:f>
        <x:v>#NAME?</x:v>
      </x:c>
      <x:c r="R260" t="e">
        <x:f>IF($A260="","",[1]!thsiFinD("ths_adjustment_nv_fund",R$3,$A260))</x:f>
        <x:v>#NAME?</x:v>
      </x:c>
      <x:c r="S260" t="e">
        <x:f>IF($A260="","",[1]!thsiFinD("ths_adjustment_nv_fund",S$3,$A260))</x:f>
        <x:v>#NAME?</x:v>
      </x:c>
      <x:c r="T260" t="e">
        <x:f>IF($A260="","",[1]!thsiFinD("ths_adjustment_nv_fund",T$3,$A260))</x:f>
        <x:v>#NAME?</x:v>
      </x:c>
      <x:c r="U260" t="e">
        <x:f>IF($A260="","",[1]!thsiFinD("ths_adjustment_nv_fund",U$3,$A260))</x:f>
        <x:v>#NAME?</x:v>
      </x:c>
      <x:c r="V260" t="e">
        <x:f>IF($A260="","",[1]!thsiFinD("ths_adjustment_nv_fund",V$3,$A260))</x:f>
        <x:v>#NAME?</x:v>
      </x:c>
      <x:c r="W260" t="e">
        <x:f>IF($A260="","",[1]!thsiFinD("ths_adjustment_nv_fund",W$3,$A260))</x:f>
        <x:v>#NAME?</x:v>
      </x:c>
      <x:c r="X260" t="e">
        <x:f>IF($A260="","",[1]!thsiFinD("ths_adjustment_nv_fund",X$3,$A260))</x:f>
        <x:v>#NAME?</x:v>
      </x:c>
      <x:c r="Y260" t="e">
        <x:f>IF($A260="","",[1]!thsiFinD("ths_adjustment_nv_fund",Y$3,$A260))</x:f>
        <x:v>#NAME?</x:v>
      </x:c>
    </x:row>
    <x:row r="261">
      <x:c r="B261" t="e">
        <x:f>IF($A261="","",[1]!thsiFinD("ths_adjustment_nv_fund",B$3,$A261))</x:f>
        <x:v>#NAME?</x:v>
      </x:c>
      <x:c r="C261" t="e">
        <x:f>IF($A261="","",[1]!thsiFinD("ths_adjustment_nv_fund",C$3,$A261))</x:f>
        <x:v>#NAME?</x:v>
      </x:c>
      <x:c r="D261" t="e">
        <x:f>IF($A261="","",[1]!thsiFinD("ths_adjustment_nv_fund",D$3,$A261))</x:f>
        <x:v>#NAME?</x:v>
      </x:c>
      <x:c r="E261" t="e">
        <x:f>IF($A261="","",[1]!thsiFinD("ths_adjustment_nv_fund",E$3,$A261))</x:f>
        <x:v>#NAME?</x:v>
      </x:c>
      <x:c r="F261" t="e">
        <x:f>IF($A261="","",[1]!thsiFinD("ths_adjustment_nv_fund",F$3,$A261))</x:f>
        <x:v>#NAME?</x:v>
      </x:c>
      <x:c r="G261" t="e">
        <x:f>IF($A261="","",[1]!thsiFinD("ths_adjustment_nv_fund",G$3,$A261))</x:f>
        <x:v>#NAME?</x:v>
      </x:c>
      <x:c r="H261" t="e">
        <x:f>IF($A261="","",[1]!thsiFinD("ths_adjustment_nv_fund",H$3,$A261))</x:f>
        <x:v>#NAME?</x:v>
      </x:c>
      <x:c r="I261" t="e">
        <x:f>IF($A261="","",[1]!thsiFinD("ths_adjustment_nv_fund",I$3,$A261))</x:f>
        <x:v>#NAME?</x:v>
      </x:c>
      <x:c r="J261" t="e">
        <x:f>IF($A261="","",[1]!thsiFinD("ths_adjustment_nv_fund",J$3,$A261))</x:f>
        <x:v>#NAME?</x:v>
      </x:c>
      <x:c r="K261" t="e">
        <x:f>IF($A261="","",[1]!thsiFinD("ths_adjustment_nv_fund",K$3,$A261))</x:f>
        <x:v>#NAME?</x:v>
      </x:c>
      <x:c r="L261" t="e">
        <x:f>IF($A261="","",[1]!thsiFinD("ths_adjustment_nv_fund",L$3,$A261))</x:f>
        <x:v>#NAME?</x:v>
      </x:c>
      <x:c r="M261" t="e">
        <x:f>IF($A261="","",[1]!thsiFinD("ths_adjustment_nv_fund",M$3,$A261))</x:f>
        <x:v>#NAME?</x:v>
      </x:c>
      <x:c r="N261" t="e">
        <x:f>IF($A261="","",[1]!thsiFinD("ths_adjustment_nv_fund",N$3,$A261))</x:f>
        <x:v>#NAME?</x:v>
      </x:c>
      <x:c r="O261" t="e">
        <x:f>IF($A261="","",[1]!thsiFinD("ths_adjustment_nv_fund",O$3,$A261))</x:f>
        <x:v>#NAME?</x:v>
      </x:c>
      <x:c r="P261" t="e">
        <x:f>IF($A261="","",[1]!thsiFinD("ths_adjustment_nv_fund",P$3,$A261))</x:f>
        <x:v>#NAME?</x:v>
      </x:c>
      <x:c r="Q261" t="e">
        <x:f>IF($A261="","",[1]!thsiFinD("ths_adjustment_nv_fund",Q$3,$A261))</x:f>
        <x:v>#NAME?</x:v>
      </x:c>
      <x:c r="R261" t="e">
        <x:f>IF($A261="","",[1]!thsiFinD("ths_adjustment_nv_fund",R$3,$A261))</x:f>
        <x:v>#NAME?</x:v>
      </x:c>
      <x:c r="S261" t="e">
        <x:f>IF($A261="","",[1]!thsiFinD("ths_adjustment_nv_fund",S$3,$A261))</x:f>
        <x:v>#NAME?</x:v>
      </x:c>
      <x:c r="T261" t="e">
        <x:f>IF($A261="","",[1]!thsiFinD("ths_adjustment_nv_fund",T$3,$A261))</x:f>
        <x:v>#NAME?</x:v>
      </x:c>
      <x:c r="U261" t="e">
        <x:f>IF($A261="","",[1]!thsiFinD("ths_adjustment_nv_fund",U$3,$A261))</x:f>
        <x:v>#NAME?</x:v>
      </x:c>
      <x:c r="V261" t="e">
        <x:f>IF($A261="","",[1]!thsiFinD("ths_adjustment_nv_fund",V$3,$A261))</x:f>
        <x:v>#NAME?</x:v>
      </x:c>
      <x:c r="W261" t="e">
        <x:f>IF($A261="","",[1]!thsiFinD("ths_adjustment_nv_fund",W$3,$A261))</x:f>
        <x:v>#NAME?</x:v>
      </x:c>
      <x:c r="X261" t="e">
        <x:f>IF($A261="","",[1]!thsiFinD("ths_adjustment_nv_fund",X$3,$A261))</x:f>
        <x:v>#NAME?</x:v>
      </x:c>
      <x:c r="Y261" t="e">
        <x:f>IF($A261="","",[1]!thsiFinD("ths_adjustment_nv_fund",Y$3,$A261))</x:f>
        <x:v>#NAME?</x:v>
      </x:c>
    </x:row>
    <x:row r="262">
      <x:c r="B262" t="e">
        <x:f>IF($A262="","",[1]!thsiFinD("ths_adjustment_nv_fund",B$3,$A262))</x:f>
        <x:v>#NAME?</x:v>
      </x:c>
      <x:c r="C262" t="e">
        <x:f>IF($A262="","",[1]!thsiFinD("ths_adjustment_nv_fund",C$3,$A262))</x:f>
        <x:v>#NAME?</x:v>
      </x:c>
      <x:c r="D262" t="e">
        <x:f>IF($A262="","",[1]!thsiFinD("ths_adjustment_nv_fund",D$3,$A262))</x:f>
        <x:v>#NAME?</x:v>
      </x:c>
      <x:c r="E262" t="e">
        <x:f>IF($A262="","",[1]!thsiFinD("ths_adjustment_nv_fund",E$3,$A262))</x:f>
        <x:v>#NAME?</x:v>
      </x:c>
      <x:c r="F262" t="e">
        <x:f>IF($A262="","",[1]!thsiFinD("ths_adjustment_nv_fund",F$3,$A262))</x:f>
        <x:v>#NAME?</x:v>
      </x:c>
      <x:c r="G262" t="e">
        <x:f>IF($A262="","",[1]!thsiFinD("ths_adjustment_nv_fund",G$3,$A262))</x:f>
        <x:v>#NAME?</x:v>
      </x:c>
      <x:c r="H262" t="e">
        <x:f>IF($A262="","",[1]!thsiFinD("ths_adjustment_nv_fund",H$3,$A262))</x:f>
        <x:v>#NAME?</x:v>
      </x:c>
      <x:c r="I262" t="e">
        <x:f>IF($A262="","",[1]!thsiFinD("ths_adjustment_nv_fund",I$3,$A262))</x:f>
        <x:v>#NAME?</x:v>
      </x:c>
      <x:c r="J262" t="e">
        <x:f>IF($A262="","",[1]!thsiFinD("ths_adjustment_nv_fund",J$3,$A262))</x:f>
        <x:v>#NAME?</x:v>
      </x:c>
      <x:c r="K262" t="e">
        <x:f>IF($A262="","",[1]!thsiFinD("ths_adjustment_nv_fund",K$3,$A262))</x:f>
        <x:v>#NAME?</x:v>
      </x:c>
      <x:c r="L262" t="e">
        <x:f>IF($A262="","",[1]!thsiFinD("ths_adjustment_nv_fund",L$3,$A262))</x:f>
        <x:v>#NAME?</x:v>
      </x:c>
      <x:c r="M262" t="e">
        <x:f>IF($A262="","",[1]!thsiFinD("ths_adjustment_nv_fund",M$3,$A262))</x:f>
        <x:v>#NAME?</x:v>
      </x:c>
      <x:c r="N262" t="e">
        <x:f>IF($A262="","",[1]!thsiFinD("ths_adjustment_nv_fund",N$3,$A262))</x:f>
        <x:v>#NAME?</x:v>
      </x:c>
      <x:c r="O262" t="e">
        <x:f>IF($A262="","",[1]!thsiFinD("ths_adjustment_nv_fund",O$3,$A262))</x:f>
        <x:v>#NAME?</x:v>
      </x:c>
      <x:c r="P262" t="e">
        <x:f>IF($A262="","",[1]!thsiFinD("ths_adjustment_nv_fund",P$3,$A262))</x:f>
        <x:v>#NAME?</x:v>
      </x:c>
      <x:c r="Q262" t="e">
        <x:f>IF($A262="","",[1]!thsiFinD("ths_adjustment_nv_fund",Q$3,$A262))</x:f>
        <x:v>#NAME?</x:v>
      </x:c>
      <x:c r="R262" t="e">
        <x:f>IF($A262="","",[1]!thsiFinD("ths_adjustment_nv_fund",R$3,$A262))</x:f>
        <x:v>#NAME?</x:v>
      </x:c>
      <x:c r="S262" t="e">
        <x:f>IF($A262="","",[1]!thsiFinD("ths_adjustment_nv_fund",S$3,$A262))</x:f>
        <x:v>#NAME?</x:v>
      </x:c>
      <x:c r="T262" t="e">
        <x:f>IF($A262="","",[1]!thsiFinD("ths_adjustment_nv_fund",T$3,$A262))</x:f>
        <x:v>#NAME?</x:v>
      </x:c>
      <x:c r="U262" t="e">
        <x:f>IF($A262="","",[1]!thsiFinD("ths_adjustment_nv_fund",U$3,$A262))</x:f>
        <x:v>#NAME?</x:v>
      </x:c>
      <x:c r="V262" t="e">
        <x:f>IF($A262="","",[1]!thsiFinD("ths_adjustment_nv_fund",V$3,$A262))</x:f>
        <x:v>#NAME?</x:v>
      </x:c>
      <x:c r="W262" t="e">
        <x:f>IF($A262="","",[1]!thsiFinD("ths_adjustment_nv_fund",W$3,$A262))</x:f>
        <x:v>#NAME?</x:v>
      </x:c>
      <x:c r="X262" t="e">
        <x:f>IF($A262="","",[1]!thsiFinD("ths_adjustment_nv_fund",X$3,$A262))</x:f>
        <x:v>#NAME?</x:v>
      </x:c>
      <x:c r="Y262" t="e">
        <x:f>IF($A262="","",[1]!thsiFinD("ths_adjustment_nv_fund",Y$3,$A262))</x:f>
        <x:v>#NAME?</x:v>
      </x:c>
    </x:row>
    <x:row r="263">
      <x:c r="B263" t="e">
        <x:f>IF($A263="","",[1]!thsiFinD("ths_adjustment_nv_fund",B$3,$A263))</x:f>
        <x:v>#NAME?</x:v>
      </x:c>
      <x:c r="C263" t="e">
        <x:f>IF($A263="","",[1]!thsiFinD("ths_adjustment_nv_fund",C$3,$A263))</x:f>
        <x:v>#NAME?</x:v>
      </x:c>
      <x:c r="D263" t="e">
        <x:f>IF($A263="","",[1]!thsiFinD("ths_adjustment_nv_fund",D$3,$A263))</x:f>
        <x:v>#NAME?</x:v>
      </x:c>
      <x:c r="E263" t="e">
        <x:f>IF($A263="","",[1]!thsiFinD("ths_adjustment_nv_fund",E$3,$A263))</x:f>
        <x:v>#NAME?</x:v>
      </x:c>
      <x:c r="F263" t="e">
        <x:f>IF($A263="","",[1]!thsiFinD("ths_adjustment_nv_fund",F$3,$A263))</x:f>
        <x:v>#NAME?</x:v>
      </x:c>
      <x:c r="G263" t="e">
        <x:f>IF($A263="","",[1]!thsiFinD("ths_adjustment_nv_fund",G$3,$A263))</x:f>
        <x:v>#NAME?</x:v>
      </x:c>
      <x:c r="H263" t="e">
        <x:f>IF($A263="","",[1]!thsiFinD("ths_adjustment_nv_fund",H$3,$A263))</x:f>
        <x:v>#NAME?</x:v>
      </x:c>
      <x:c r="I263" t="e">
        <x:f>IF($A263="","",[1]!thsiFinD("ths_adjustment_nv_fund",I$3,$A263))</x:f>
        <x:v>#NAME?</x:v>
      </x:c>
      <x:c r="J263" t="e">
        <x:f>IF($A263="","",[1]!thsiFinD("ths_adjustment_nv_fund",J$3,$A263))</x:f>
        <x:v>#NAME?</x:v>
      </x:c>
      <x:c r="K263" t="e">
        <x:f>IF($A263="","",[1]!thsiFinD("ths_adjustment_nv_fund",K$3,$A263))</x:f>
        <x:v>#NAME?</x:v>
      </x:c>
      <x:c r="L263" t="e">
        <x:f>IF($A263="","",[1]!thsiFinD("ths_adjustment_nv_fund",L$3,$A263))</x:f>
        <x:v>#NAME?</x:v>
      </x:c>
      <x:c r="M263" t="e">
        <x:f>IF($A263="","",[1]!thsiFinD("ths_adjustment_nv_fund",M$3,$A263))</x:f>
        <x:v>#NAME?</x:v>
      </x:c>
      <x:c r="N263" t="e">
        <x:f>IF($A263="","",[1]!thsiFinD("ths_adjustment_nv_fund",N$3,$A263))</x:f>
        <x:v>#NAME?</x:v>
      </x:c>
      <x:c r="O263" t="e">
        <x:f>IF($A263="","",[1]!thsiFinD("ths_adjustment_nv_fund",O$3,$A263))</x:f>
        <x:v>#NAME?</x:v>
      </x:c>
      <x:c r="P263" t="e">
        <x:f>IF($A263="","",[1]!thsiFinD("ths_adjustment_nv_fund",P$3,$A263))</x:f>
        <x:v>#NAME?</x:v>
      </x:c>
      <x:c r="Q263" t="e">
        <x:f>IF($A263="","",[1]!thsiFinD("ths_adjustment_nv_fund",Q$3,$A263))</x:f>
        <x:v>#NAME?</x:v>
      </x:c>
      <x:c r="R263" t="e">
        <x:f>IF($A263="","",[1]!thsiFinD("ths_adjustment_nv_fund",R$3,$A263))</x:f>
        <x:v>#NAME?</x:v>
      </x:c>
      <x:c r="S263" t="e">
        <x:f>IF($A263="","",[1]!thsiFinD("ths_adjustment_nv_fund",S$3,$A263))</x:f>
        <x:v>#NAME?</x:v>
      </x:c>
      <x:c r="T263" t="e">
        <x:f>IF($A263="","",[1]!thsiFinD("ths_adjustment_nv_fund",T$3,$A263))</x:f>
        <x:v>#NAME?</x:v>
      </x:c>
      <x:c r="U263" t="e">
        <x:f>IF($A263="","",[1]!thsiFinD("ths_adjustment_nv_fund",U$3,$A263))</x:f>
        <x:v>#NAME?</x:v>
      </x:c>
      <x:c r="V263" t="e">
        <x:f>IF($A263="","",[1]!thsiFinD("ths_adjustment_nv_fund",V$3,$A263))</x:f>
        <x:v>#NAME?</x:v>
      </x:c>
      <x:c r="W263" t="e">
        <x:f>IF($A263="","",[1]!thsiFinD("ths_adjustment_nv_fund",W$3,$A263))</x:f>
        <x:v>#NAME?</x:v>
      </x:c>
      <x:c r="X263" t="e">
        <x:f>IF($A263="","",[1]!thsiFinD("ths_adjustment_nv_fund",X$3,$A263))</x:f>
        <x:v>#NAME?</x:v>
      </x:c>
      <x:c r="Y263" t="e">
        <x:f>IF($A263="","",[1]!thsiFinD("ths_adjustment_nv_fund",Y$3,$A263))</x:f>
        <x:v>#NAME?</x:v>
      </x:c>
    </x:row>
    <x:row r="264">
      <x:c r="B264" t="e">
        <x:f>IF($A264="","",[1]!thsiFinD("ths_adjustment_nv_fund",B$3,$A264))</x:f>
        <x:v>#NAME?</x:v>
      </x:c>
      <x:c r="C264" t="e">
        <x:f>IF($A264="","",[1]!thsiFinD("ths_adjustment_nv_fund",C$3,$A264))</x:f>
        <x:v>#NAME?</x:v>
      </x:c>
      <x:c r="D264" t="e">
        <x:f>IF($A264="","",[1]!thsiFinD("ths_adjustment_nv_fund",D$3,$A264))</x:f>
        <x:v>#NAME?</x:v>
      </x:c>
      <x:c r="E264" t="e">
        <x:f>IF($A264="","",[1]!thsiFinD("ths_adjustment_nv_fund",E$3,$A264))</x:f>
        <x:v>#NAME?</x:v>
      </x:c>
      <x:c r="F264" t="e">
        <x:f>IF($A264="","",[1]!thsiFinD("ths_adjustment_nv_fund",F$3,$A264))</x:f>
        <x:v>#NAME?</x:v>
      </x:c>
      <x:c r="G264" t="e">
        <x:f>IF($A264="","",[1]!thsiFinD("ths_adjustment_nv_fund",G$3,$A264))</x:f>
        <x:v>#NAME?</x:v>
      </x:c>
      <x:c r="H264" t="e">
        <x:f>IF($A264="","",[1]!thsiFinD("ths_adjustment_nv_fund",H$3,$A264))</x:f>
        <x:v>#NAME?</x:v>
      </x:c>
      <x:c r="I264" t="e">
        <x:f>IF($A264="","",[1]!thsiFinD("ths_adjustment_nv_fund",I$3,$A264))</x:f>
        <x:v>#NAME?</x:v>
      </x:c>
      <x:c r="J264" t="e">
        <x:f>IF($A264="","",[1]!thsiFinD("ths_adjustment_nv_fund",J$3,$A264))</x:f>
        <x:v>#NAME?</x:v>
      </x:c>
      <x:c r="K264" t="e">
        <x:f>IF($A264="","",[1]!thsiFinD("ths_adjustment_nv_fund",K$3,$A264))</x:f>
        <x:v>#NAME?</x:v>
      </x:c>
      <x:c r="L264" t="e">
        <x:f>IF($A264="","",[1]!thsiFinD("ths_adjustment_nv_fund",L$3,$A264))</x:f>
        <x:v>#NAME?</x:v>
      </x:c>
      <x:c r="M264" t="e">
        <x:f>IF($A264="","",[1]!thsiFinD("ths_adjustment_nv_fund",M$3,$A264))</x:f>
        <x:v>#NAME?</x:v>
      </x:c>
      <x:c r="N264" t="e">
        <x:f>IF($A264="","",[1]!thsiFinD("ths_adjustment_nv_fund",N$3,$A264))</x:f>
        <x:v>#NAME?</x:v>
      </x:c>
      <x:c r="O264" t="e">
        <x:f>IF($A264="","",[1]!thsiFinD("ths_adjustment_nv_fund",O$3,$A264))</x:f>
        <x:v>#NAME?</x:v>
      </x:c>
      <x:c r="P264" t="e">
        <x:f>IF($A264="","",[1]!thsiFinD("ths_adjustment_nv_fund",P$3,$A264))</x:f>
        <x:v>#NAME?</x:v>
      </x:c>
      <x:c r="Q264" t="e">
        <x:f>IF($A264="","",[1]!thsiFinD("ths_adjustment_nv_fund",Q$3,$A264))</x:f>
        <x:v>#NAME?</x:v>
      </x:c>
      <x:c r="R264" t="e">
        <x:f>IF($A264="","",[1]!thsiFinD("ths_adjustment_nv_fund",R$3,$A264))</x:f>
        <x:v>#NAME?</x:v>
      </x:c>
      <x:c r="S264" t="e">
        <x:f>IF($A264="","",[1]!thsiFinD("ths_adjustment_nv_fund",S$3,$A264))</x:f>
        <x:v>#NAME?</x:v>
      </x:c>
      <x:c r="T264" t="e">
        <x:f>IF($A264="","",[1]!thsiFinD("ths_adjustment_nv_fund",T$3,$A264))</x:f>
        <x:v>#NAME?</x:v>
      </x:c>
      <x:c r="U264" t="e">
        <x:f>IF($A264="","",[1]!thsiFinD("ths_adjustment_nv_fund",U$3,$A264))</x:f>
        <x:v>#NAME?</x:v>
      </x:c>
      <x:c r="V264" t="e">
        <x:f>IF($A264="","",[1]!thsiFinD("ths_adjustment_nv_fund",V$3,$A264))</x:f>
        <x:v>#NAME?</x:v>
      </x:c>
      <x:c r="W264" t="e">
        <x:f>IF($A264="","",[1]!thsiFinD("ths_adjustment_nv_fund",W$3,$A264))</x:f>
        <x:v>#NAME?</x:v>
      </x:c>
      <x:c r="X264" t="e">
        <x:f>IF($A264="","",[1]!thsiFinD("ths_adjustment_nv_fund",X$3,$A264))</x:f>
        <x:v>#NAME?</x:v>
      </x:c>
      <x:c r="Y264" t="e">
        <x:f>IF($A264="","",[1]!thsiFinD("ths_adjustment_nv_fund",Y$3,$A264))</x:f>
        <x:v>#NAME?</x:v>
      </x:c>
    </x:row>
    <x:row r="265">
      <x:c r="B265" t="e">
        <x:f>IF($A265="","",[1]!thsiFinD("ths_adjustment_nv_fund",B$3,$A265))</x:f>
        <x:v>#NAME?</x:v>
      </x:c>
      <x:c r="C265" t="e">
        <x:f>IF($A265="","",[1]!thsiFinD("ths_adjustment_nv_fund",C$3,$A265))</x:f>
        <x:v>#NAME?</x:v>
      </x:c>
      <x:c r="D265" t="e">
        <x:f>IF($A265="","",[1]!thsiFinD("ths_adjustment_nv_fund",D$3,$A265))</x:f>
        <x:v>#NAME?</x:v>
      </x:c>
      <x:c r="E265" t="e">
        <x:f>IF($A265="","",[1]!thsiFinD("ths_adjustment_nv_fund",E$3,$A265))</x:f>
        <x:v>#NAME?</x:v>
      </x:c>
      <x:c r="F265" t="e">
        <x:f>IF($A265="","",[1]!thsiFinD("ths_adjustment_nv_fund",F$3,$A265))</x:f>
        <x:v>#NAME?</x:v>
      </x:c>
      <x:c r="G265" t="e">
        <x:f>IF($A265="","",[1]!thsiFinD("ths_adjustment_nv_fund",G$3,$A265))</x:f>
        <x:v>#NAME?</x:v>
      </x:c>
      <x:c r="H265" t="e">
        <x:f>IF($A265="","",[1]!thsiFinD("ths_adjustment_nv_fund",H$3,$A265))</x:f>
        <x:v>#NAME?</x:v>
      </x:c>
      <x:c r="I265" t="e">
        <x:f>IF($A265="","",[1]!thsiFinD("ths_adjustment_nv_fund",I$3,$A265))</x:f>
        <x:v>#NAME?</x:v>
      </x:c>
      <x:c r="J265" t="e">
        <x:f>IF($A265="","",[1]!thsiFinD("ths_adjustment_nv_fund",J$3,$A265))</x:f>
        <x:v>#NAME?</x:v>
      </x:c>
      <x:c r="K265" t="e">
        <x:f>IF($A265="","",[1]!thsiFinD("ths_adjustment_nv_fund",K$3,$A265))</x:f>
        <x:v>#NAME?</x:v>
      </x:c>
      <x:c r="L265" t="e">
        <x:f>IF($A265="","",[1]!thsiFinD("ths_adjustment_nv_fund",L$3,$A265))</x:f>
        <x:v>#NAME?</x:v>
      </x:c>
      <x:c r="M265" t="e">
        <x:f>IF($A265="","",[1]!thsiFinD("ths_adjustment_nv_fund",M$3,$A265))</x:f>
        <x:v>#NAME?</x:v>
      </x:c>
      <x:c r="N265" t="e">
        <x:f>IF($A265="","",[1]!thsiFinD("ths_adjustment_nv_fund",N$3,$A265))</x:f>
        <x:v>#NAME?</x:v>
      </x:c>
      <x:c r="O265" t="e">
        <x:f>IF($A265="","",[1]!thsiFinD("ths_adjustment_nv_fund",O$3,$A265))</x:f>
        <x:v>#NAME?</x:v>
      </x:c>
      <x:c r="P265" t="e">
        <x:f>IF($A265="","",[1]!thsiFinD("ths_adjustment_nv_fund",P$3,$A265))</x:f>
        <x:v>#NAME?</x:v>
      </x:c>
      <x:c r="Q265" t="e">
        <x:f>IF($A265="","",[1]!thsiFinD("ths_adjustment_nv_fund",Q$3,$A265))</x:f>
        <x:v>#NAME?</x:v>
      </x:c>
      <x:c r="R265" t="e">
        <x:f>IF($A265="","",[1]!thsiFinD("ths_adjustment_nv_fund",R$3,$A265))</x:f>
        <x:v>#NAME?</x:v>
      </x:c>
      <x:c r="S265" t="e">
        <x:f>IF($A265="","",[1]!thsiFinD("ths_adjustment_nv_fund",S$3,$A265))</x:f>
        <x:v>#NAME?</x:v>
      </x:c>
      <x:c r="T265" t="e">
        <x:f>IF($A265="","",[1]!thsiFinD("ths_adjustment_nv_fund",T$3,$A265))</x:f>
        <x:v>#NAME?</x:v>
      </x:c>
      <x:c r="U265" t="e">
        <x:f>IF($A265="","",[1]!thsiFinD("ths_adjustment_nv_fund",U$3,$A265))</x:f>
        <x:v>#NAME?</x:v>
      </x:c>
      <x:c r="V265" t="e">
        <x:f>IF($A265="","",[1]!thsiFinD("ths_adjustment_nv_fund",V$3,$A265))</x:f>
        <x:v>#NAME?</x:v>
      </x:c>
      <x:c r="W265" t="e">
        <x:f>IF($A265="","",[1]!thsiFinD("ths_adjustment_nv_fund",W$3,$A265))</x:f>
        <x:v>#NAME?</x:v>
      </x:c>
      <x:c r="X265" t="e">
        <x:f>IF($A265="","",[1]!thsiFinD("ths_adjustment_nv_fund",X$3,$A265))</x:f>
        <x:v>#NAME?</x:v>
      </x:c>
      <x:c r="Y265" t="e">
        <x:f>IF($A265="","",[1]!thsiFinD("ths_adjustment_nv_fund",Y$3,$A265))</x:f>
        <x:v>#NAME?</x:v>
      </x:c>
    </x:row>
    <x:row r="266">
      <x:c r="B266" t="e">
        <x:f>IF($A266="","",[1]!thsiFinD("ths_adjustment_nv_fund",B$3,$A266))</x:f>
        <x:v>#NAME?</x:v>
      </x:c>
      <x:c r="C266" t="e">
        <x:f>IF($A266="","",[1]!thsiFinD("ths_adjustment_nv_fund",C$3,$A266))</x:f>
        <x:v>#NAME?</x:v>
      </x:c>
      <x:c r="D266" t="e">
        <x:f>IF($A266="","",[1]!thsiFinD("ths_adjustment_nv_fund",D$3,$A266))</x:f>
        <x:v>#NAME?</x:v>
      </x:c>
      <x:c r="E266" t="e">
        <x:f>IF($A266="","",[1]!thsiFinD("ths_adjustment_nv_fund",E$3,$A266))</x:f>
        <x:v>#NAME?</x:v>
      </x:c>
      <x:c r="F266" t="e">
        <x:f>IF($A266="","",[1]!thsiFinD("ths_adjustment_nv_fund",F$3,$A266))</x:f>
        <x:v>#NAME?</x:v>
      </x:c>
      <x:c r="G266" t="e">
        <x:f>IF($A266="","",[1]!thsiFinD("ths_adjustment_nv_fund",G$3,$A266))</x:f>
        <x:v>#NAME?</x:v>
      </x:c>
      <x:c r="H266" t="e">
        <x:f>IF($A266="","",[1]!thsiFinD("ths_adjustment_nv_fund",H$3,$A266))</x:f>
        <x:v>#NAME?</x:v>
      </x:c>
      <x:c r="I266" t="e">
        <x:f>IF($A266="","",[1]!thsiFinD("ths_adjustment_nv_fund",I$3,$A266))</x:f>
        <x:v>#NAME?</x:v>
      </x:c>
      <x:c r="J266" t="e">
        <x:f>IF($A266="","",[1]!thsiFinD("ths_adjustment_nv_fund",J$3,$A266))</x:f>
        <x:v>#NAME?</x:v>
      </x:c>
      <x:c r="K266" t="e">
        <x:f>IF($A266="","",[1]!thsiFinD("ths_adjustment_nv_fund",K$3,$A266))</x:f>
        <x:v>#NAME?</x:v>
      </x:c>
      <x:c r="L266" t="e">
        <x:f>IF($A266="","",[1]!thsiFinD("ths_adjustment_nv_fund",L$3,$A266))</x:f>
        <x:v>#NAME?</x:v>
      </x:c>
      <x:c r="M266" t="e">
        <x:f>IF($A266="","",[1]!thsiFinD("ths_adjustment_nv_fund",M$3,$A266))</x:f>
        <x:v>#NAME?</x:v>
      </x:c>
      <x:c r="N266" t="e">
        <x:f>IF($A266="","",[1]!thsiFinD("ths_adjustment_nv_fund",N$3,$A266))</x:f>
        <x:v>#NAME?</x:v>
      </x:c>
      <x:c r="O266" t="e">
        <x:f>IF($A266="","",[1]!thsiFinD("ths_adjustment_nv_fund",O$3,$A266))</x:f>
        <x:v>#NAME?</x:v>
      </x:c>
      <x:c r="P266" t="e">
        <x:f>IF($A266="","",[1]!thsiFinD("ths_adjustment_nv_fund",P$3,$A266))</x:f>
        <x:v>#NAME?</x:v>
      </x:c>
      <x:c r="Q266" t="e">
        <x:f>IF($A266="","",[1]!thsiFinD("ths_adjustment_nv_fund",Q$3,$A266))</x:f>
        <x:v>#NAME?</x:v>
      </x:c>
      <x:c r="R266" t="e">
        <x:f>IF($A266="","",[1]!thsiFinD("ths_adjustment_nv_fund",R$3,$A266))</x:f>
        <x:v>#NAME?</x:v>
      </x:c>
      <x:c r="S266" t="e">
        <x:f>IF($A266="","",[1]!thsiFinD("ths_adjustment_nv_fund",S$3,$A266))</x:f>
        <x:v>#NAME?</x:v>
      </x:c>
      <x:c r="T266" t="e">
        <x:f>IF($A266="","",[1]!thsiFinD("ths_adjustment_nv_fund",T$3,$A266))</x:f>
        <x:v>#NAME?</x:v>
      </x:c>
      <x:c r="U266" t="e">
        <x:f>IF($A266="","",[1]!thsiFinD("ths_adjustment_nv_fund",U$3,$A266))</x:f>
        <x:v>#NAME?</x:v>
      </x:c>
      <x:c r="V266" t="e">
        <x:f>IF($A266="","",[1]!thsiFinD("ths_adjustment_nv_fund",V$3,$A266))</x:f>
        <x:v>#NAME?</x:v>
      </x:c>
      <x:c r="W266" t="e">
        <x:f>IF($A266="","",[1]!thsiFinD("ths_adjustment_nv_fund",W$3,$A266))</x:f>
        <x:v>#NAME?</x:v>
      </x:c>
      <x:c r="X266" t="e">
        <x:f>IF($A266="","",[1]!thsiFinD("ths_adjustment_nv_fund",X$3,$A266))</x:f>
        <x:v>#NAME?</x:v>
      </x:c>
      <x:c r="Y266" t="e">
        <x:f>IF($A266="","",[1]!thsiFinD("ths_adjustment_nv_fund",Y$3,$A266))</x:f>
        <x:v>#NAME?</x:v>
      </x:c>
    </x:row>
    <x:row r="267">
      <x:c r="B267" t="e">
        <x:f>IF($A267="","",[1]!thsiFinD("ths_adjustment_nv_fund",B$3,$A267))</x:f>
        <x:v>#NAME?</x:v>
      </x:c>
      <x:c r="C267" t="e">
        <x:f>IF($A267="","",[1]!thsiFinD("ths_adjustment_nv_fund",C$3,$A267))</x:f>
        <x:v>#NAME?</x:v>
      </x:c>
      <x:c r="D267" t="e">
        <x:f>IF($A267="","",[1]!thsiFinD("ths_adjustment_nv_fund",D$3,$A267))</x:f>
        <x:v>#NAME?</x:v>
      </x:c>
      <x:c r="E267" t="e">
        <x:f>IF($A267="","",[1]!thsiFinD("ths_adjustment_nv_fund",E$3,$A267))</x:f>
        <x:v>#NAME?</x:v>
      </x:c>
      <x:c r="F267" t="e">
        <x:f>IF($A267="","",[1]!thsiFinD("ths_adjustment_nv_fund",F$3,$A267))</x:f>
        <x:v>#NAME?</x:v>
      </x:c>
      <x:c r="G267" t="e">
        <x:f>IF($A267="","",[1]!thsiFinD("ths_adjustment_nv_fund",G$3,$A267))</x:f>
        <x:v>#NAME?</x:v>
      </x:c>
      <x:c r="H267" t="e">
        <x:f>IF($A267="","",[1]!thsiFinD("ths_adjustment_nv_fund",H$3,$A267))</x:f>
        <x:v>#NAME?</x:v>
      </x:c>
      <x:c r="I267" t="e">
        <x:f>IF($A267="","",[1]!thsiFinD("ths_adjustment_nv_fund",I$3,$A267))</x:f>
        <x:v>#NAME?</x:v>
      </x:c>
      <x:c r="J267" t="e">
        <x:f>IF($A267="","",[1]!thsiFinD("ths_adjustment_nv_fund",J$3,$A267))</x:f>
        <x:v>#NAME?</x:v>
      </x:c>
      <x:c r="K267" t="e">
        <x:f>IF($A267="","",[1]!thsiFinD("ths_adjustment_nv_fund",K$3,$A267))</x:f>
        <x:v>#NAME?</x:v>
      </x:c>
      <x:c r="L267" t="e">
        <x:f>IF($A267="","",[1]!thsiFinD("ths_adjustment_nv_fund",L$3,$A267))</x:f>
        <x:v>#NAME?</x:v>
      </x:c>
      <x:c r="M267" t="e">
        <x:f>IF($A267="","",[1]!thsiFinD("ths_adjustment_nv_fund",M$3,$A267))</x:f>
        <x:v>#NAME?</x:v>
      </x:c>
      <x:c r="N267" t="e">
        <x:f>IF($A267="","",[1]!thsiFinD("ths_adjustment_nv_fund",N$3,$A267))</x:f>
        <x:v>#NAME?</x:v>
      </x:c>
      <x:c r="O267" t="e">
        <x:f>IF($A267="","",[1]!thsiFinD("ths_adjustment_nv_fund",O$3,$A267))</x:f>
        <x:v>#NAME?</x:v>
      </x:c>
      <x:c r="P267" t="e">
        <x:f>IF($A267="","",[1]!thsiFinD("ths_adjustment_nv_fund",P$3,$A267))</x:f>
        <x:v>#NAME?</x:v>
      </x:c>
      <x:c r="Q267" t="e">
        <x:f>IF($A267="","",[1]!thsiFinD("ths_adjustment_nv_fund",Q$3,$A267))</x:f>
        <x:v>#NAME?</x:v>
      </x:c>
      <x:c r="R267" t="e">
        <x:f>IF($A267="","",[1]!thsiFinD("ths_adjustment_nv_fund",R$3,$A267))</x:f>
        <x:v>#NAME?</x:v>
      </x:c>
      <x:c r="S267" t="e">
        <x:f>IF($A267="","",[1]!thsiFinD("ths_adjustment_nv_fund",S$3,$A267))</x:f>
        <x:v>#NAME?</x:v>
      </x:c>
      <x:c r="T267" t="e">
        <x:f>IF($A267="","",[1]!thsiFinD("ths_adjustment_nv_fund",T$3,$A267))</x:f>
        <x:v>#NAME?</x:v>
      </x:c>
      <x:c r="U267" t="e">
        <x:f>IF($A267="","",[1]!thsiFinD("ths_adjustment_nv_fund",U$3,$A267))</x:f>
        <x:v>#NAME?</x:v>
      </x:c>
      <x:c r="V267" t="e">
        <x:f>IF($A267="","",[1]!thsiFinD("ths_adjustment_nv_fund",V$3,$A267))</x:f>
        <x:v>#NAME?</x:v>
      </x:c>
      <x:c r="W267" t="e">
        <x:f>IF($A267="","",[1]!thsiFinD("ths_adjustment_nv_fund",W$3,$A267))</x:f>
        <x:v>#NAME?</x:v>
      </x:c>
      <x:c r="X267" t="e">
        <x:f>IF($A267="","",[1]!thsiFinD("ths_adjustment_nv_fund",X$3,$A267))</x:f>
        <x:v>#NAME?</x:v>
      </x:c>
      <x:c r="Y267" t="e">
        <x:f>IF($A267="","",[1]!thsiFinD("ths_adjustment_nv_fund",Y$3,$A267))</x:f>
        <x:v>#NAME?</x:v>
      </x:c>
    </x:row>
    <x:row r="268">
      <x:c r="B268" t="e">
        <x:f>IF($A268="","",[1]!thsiFinD("ths_adjustment_nv_fund",B$3,$A268))</x:f>
        <x:v>#NAME?</x:v>
      </x:c>
      <x:c r="C268" t="e">
        <x:f>IF($A268="","",[1]!thsiFinD("ths_adjustment_nv_fund",C$3,$A268))</x:f>
        <x:v>#NAME?</x:v>
      </x:c>
      <x:c r="D268" t="e">
        <x:f>IF($A268="","",[1]!thsiFinD("ths_adjustment_nv_fund",D$3,$A268))</x:f>
        <x:v>#NAME?</x:v>
      </x:c>
      <x:c r="E268" t="e">
        <x:f>IF($A268="","",[1]!thsiFinD("ths_adjustment_nv_fund",E$3,$A268))</x:f>
        <x:v>#NAME?</x:v>
      </x:c>
      <x:c r="F268" t="e">
        <x:f>IF($A268="","",[1]!thsiFinD("ths_adjustment_nv_fund",F$3,$A268))</x:f>
        <x:v>#NAME?</x:v>
      </x:c>
      <x:c r="G268" t="e">
        <x:f>IF($A268="","",[1]!thsiFinD("ths_adjustment_nv_fund",G$3,$A268))</x:f>
        <x:v>#NAME?</x:v>
      </x:c>
      <x:c r="H268" t="e">
        <x:f>IF($A268="","",[1]!thsiFinD("ths_adjustment_nv_fund",H$3,$A268))</x:f>
        <x:v>#NAME?</x:v>
      </x:c>
      <x:c r="I268" t="e">
        <x:f>IF($A268="","",[1]!thsiFinD("ths_adjustment_nv_fund",I$3,$A268))</x:f>
        <x:v>#NAME?</x:v>
      </x:c>
      <x:c r="J268" t="e">
        <x:f>IF($A268="","",[1]!thsiFinD("ths_adjustment_nv_fund",J$3,$A268))</x:f>
        <x:v>#NAME?</x:v>
      </x:c>
      <x:c r="K268" t="e">
        <x:f>IF($A268="","",[1]!thsiFinD("ths_adjustment_nv_fund",K$3,$A268))</x:f>
        <x:v>#NAME?</x:v>
      </x:c>
      <x:c r="L268" t="e">
        <x:f>IF($A268="","",[1]!thsiFinD("ths_adjustment_nv_fund",L$3,$A268))</x:f>
        <x:v>#NAME?</x:v>
      </x:c>
      <x:c r="M268" t="e">
        <x:f>IF($A268="","",[1]!thsiFinD("ths_adjustment_nv_fund",M$3,$A268))</x:f>
        <x:v>#NAME?</x:v>
      </x:c>
      <x:c r="N268" t="e">
        <x:f>IF($A268="","",[1]!thsiFinD("ths_adjustment_nv_fund",N$3,$A268))</x:f>
        <x:v>#NAME?</x:v>
      </x:c>
      <x:c r="O268" t="e">
        <x:f>IF($A268="","",[1]!thsiFinD("ths_adjustment_nv_fund",O$3,$A268))</x:f>
        <x:v>#NAME?</x:v>
      </x:c>
      <x:c r="P268" t="e">
        <x:f>IF($A268="","",[1]!thsiFinD("ths_adjustment_nv_fund",P$3,$A268))</x:f>
        <x:v>#NAME?</x:v>
      </x:c>
      <x:c r="Q268" t="e">
        <x:f>IF($A268="","",[1]!thsiFinD("ths_adjustment_nv_fund",Q$3,$A268))</x:f>
        <x:v>#NAME?</x:v>
      </x:c>
      <x:c r="R268" t="e">
        <x:f>IF($A268="","",[1]!thsiFinD("ths_adjustment_nv_fund",R$3,$A268))</x:f>
        <x:v>#NAME?</x:v>
      </x:c>
      <x:c r="S268" t="e">
        <x:f>IF($A268="","",[1]!thsiFinD("ths_adjustment_nv_fund",S$3,$A268))</x:f>
        <x:v>#NAME?</x:v>
      </x:c>
      <x:c r="T268" t="e">
        <x:f>IF($A268="","",[1]!thsiFinD("ths_adjustment_nv_fund",T$3,$A268))</x:f>
        <x:v>#NAME?</x:v>
      </x:c>
      <x:c r="U268" t="e">
        <x:f>IF($A268="","",[1]!thsiFinD("ths_adjustment_nv_fund",U$3,$A268))</x:f>
        <x:v>#NAME?</x:v>
      </x:c>
      <x:c r="V268" t="e">
        <x:f>IF($A268="","",[1]!thsiFinD("ths_adjustment_nv_fund",V$3,$A268))</x:f>
        <x:v>#NAME?</x:v>
      </x:c>
      <x:c r="W268" t="e">
        <x:f>IF($A268="","",[1]!thsiFinD("ths_adjustment_nv_fund",W$3,$A268))</x:f>
        <x:v>#NAME?</x:v>
      </x:c>
      <x:c r="X268" t="e">
        <x:f>IF($A268="","",[1]!thsiFinD("ths_adjustment_nv_fund",X$3,$A268))</x:f>
        <x:v>#NAME?</x:v>
      </x:c>
      <x:c r="Y268" t="e">
        <x:f>IF($A268="","",[1]!thsiFinD("ths_adjustment_nv_fund",Y$3,$A268))</x:f>
        <x:v>#NAME?</x:v>
      </x:c>
    </x:row>
    <x:row r="269">
      <x:c r="B269" t="e">
        <x:f>IF($A269="","",[1]!thsiFinD("ths_adjustment_nv_fund",B$3,$A269))</x:f>
        <x:v>#NAME?</x:v>
      </x:c>
      <x:c r="C269" t="e">
        <x:f>IF($A269="","",[1]!thsiFinD("ths_adjustment_nv_fund",C$3,$A269))</x:f>
        <x:v>#NAME?</x:v>
      </x:c>
      <x:c r="D269" t="e">
        <x:f>IF($A269="","",[1]!thsiFinD("ths_adjustment_nv_fund",D$3,$A269))</x:f>
        <x:v>#NAME?</x:v>
      </x:c>
      <x:c r="E269" t="e">
        <x:f>IF($A269="","",[1]!thsiFinD("ths_adjustment_nv_fund",E$3,$A269))</x:f>
        <x:v>#NAME?</x:v>
      </x:c>
      <x:c r="F269" t="e">
        <x:f>IF($A269="","",[1]!thsiFinD("ths_adjustment_nv_fund",F$3,$A269))</x:f>
        <x:v>#NAME?</x:v>
      </x:c>
      <x:c r="G269" t="e">
        <x:f>IF($A269="","",[1]!thsiFinD("ths_adjustment_nv_fund",G$3,$A269))</x:f>
        <x:v>#NAME?</x:v>
      </x:c>
      <x:c r="H269" t="e">
        <x:f>IF($A269="","",[1]!thsiFinD("ths_adjustment_nv_fund",H$3,$A269))</x:f>
        <x:v>#NAME?</x:v>
      </x:c>
      <x:c r="I269" t="e">
        <x:f>IF($A269="","",[1]!thsiFinD("ths_adjustment_nv_fund",I$3,$A269))</x:f>
        <x:v>#NAME?</x:v>
      </x:c>
      <x:c r="J269" t="e">
        <x:f>IF($A269="","",[1]!thsiFinD("ths_adjustment_nv_fund",J$3,$A269))</x:f>
        <x:v>#NAME?</x:v>
      </x:c>
      <x:c r="K269" t="e">
        <x:f>IF($A269="","",[1]!thsiFinD("ths_adjustment_nv_fund",K$3,$A269))</x:f>
        <x:v>#NAME?</x:v>
      </x:c>
      <x:c r="L269" t="e">
        <x:f>IF($A269="","",[1]!thsiFinD("ths_adjustment_nv_fund",L$3,$A269))</x:f>
        <x:v>#NAME?</x:v>
      </x:c>
      <x:c r="M269" t="e">
        <x:f>IF($A269="","",[1]!thsiFinD("ths_adjustment_nv_fund",M$3,$A269))</x:f>
        <x:v>#NAME?</x:v>
      </x:c>
      <x:c r="N269" t="e">
        <x:f>IF($A269="","",[1]!thsiFinD("ths_adjustment_nv_fund",N$3,$A269))</x:f>
        <x:v>#NAME?</x:v>
      </x:c>
      <x:c r="O269" t="e">
        <x:f>IF($A269="","",[1]!thsiFinD("ths_adjustment_nv_fund",O$3,$A269))</x:f>
        <x:v>#NAME?</x:v>
      </x:c>
      <x:c r="P269" t="e">
        <x:f>IF($A269="","",[1]!thsiFinD("ths_adjustment_nv_fund",P$3,$A269))</x:f>
        <x:v>#NAME?</x:v>
      </x:c>
      <x:c r="Q269" t="e">
        <x:f>IF($A269="","",[1]!thsiFinD("ths_adjustment_nv_fund",Q$3,$A269))</x:f>
        <x:v>#NAME?</x:v>
      </x:c>
      <x:c r="R269" t="e">
        <x:f>IF($A269="","",[1]!thsiFinD("ths_adjustment_nv_fund",R$3,$A269))</x:f>
        <x:v>#NAME?</x:v>
      </x:c>
      <x:c r="S269" t="e">
        <x:f>IF($A269="","",[1]!thsiFinD("ths_adjustment_nv_fund",S$3,$A269))</x:f>
        <x:v>#NAME?</x:v>
      </x:c>
      <x:c r="T269" t="e">
        <x:f>IF($A269="","",[1]!thsiFinD("ths_adjustment_nv_fund",T$3,$A269))</x:f>
        <x:v>#NAME?</x:v>
      </x:c>
      <x:c r="U269" t="e">
        <x:f>IF($A269="","",[1]!thsiFinD("ths_adjustment_nv_fund",U$3,$A269))</x:f>
        <x:v>#NAME?</x:v>
      </x:c>
      <x:c r="V269" t="e">
        <x:f>IF($A269="","",[1]!thsiFinD("ths_adjustment_nv_fund",V$3,$A269))</x:f>
        <x:v>#NAME?</x:v>
      </x:c>
      <x:c r="W269" t="e">
        <x:f>IF($A269="","",[1]!thsiFinD("ths_adjustment_nv_fund",W$3,$A269))</x:f>
        <x:v>#NAME?</x:v>
      </x:c>
      <x:c r="X269" t="e">
        <x:f>IF($A269="","",[1]!thsiFinD("ths_adjustment_nv_fund",X$3,$A269))</x:f>
        <x:v>#NAME?</x:v>
      </x:c>
      <x:c r="Y269" t="e">
        <x:f>IF($A269="","",[1]!thsiFinD("ths_adjustment_nv_fund",Y$3,$A269))</x:f>
        <x:v>#NAME?</x:v>
      </x:c>
    </x:row>
    <x:row r="270">
      <x:c r="B270" t="e">
        <x:f>IF($A270="","",[1]!thsiFinD("ths_adjustment_nv_fund",B$3,$A270))</x:f>
        <x:v>#NAME?</x:v>
      </x:c>
      <x:c r="C270" t="e">
        <x:f>IF($A270="","",[1]!thsiFinD("ths_adjustment_nv_fund",C$3,$A270))</x:f>
        <x:v>#NAME?</x:v>
      </x:c>
      <x:c r="D270" t="e">
        <x:f>IF($A270="","",[1]!thsiFinD("ths_adjustment_nv_fund",D$3,$A270))</x:f>
        <x:v>#NAME?</x:v>
      </x:c>
      <x:c r="E270" t="e">
        <x:f>IF($A270="","",[1]!thsiFinD("ths_adjustment_nv_fund",E$3,$A270))</x:f>
        <x:v>#NAME?</x:v>
      </x:c>
      <x:c r="F270" t="e">
        <x:f>IF($A270="","",[1]!thsiFinD("ths_adjustment_nv_fund",F$3,$A270))</x:f>
        <x:v>#NAME?</x:v>
      </x:c>
      <x:c r="G270" t="e">
        <x:f>IF($A270="","",[1]!thsiFinD("ths_adjustment_nv_fund",G$3,$A270))</x:f>
        <x:v>#NAME?</x:v>
      </x:c>
      <x:c r="H270" t="e">
        <x:f>IF($A270="","",[1]!thsiFinD("ths_adjustment_nv_fund",H$3,$A270))</x:f>
        <x:v>#NAME?</x:v>
      </x:c>
      <x:c r="I270" t="e">
        <x:f>IF($A270="","",[1]!thsiFinD("ths_adjustment_nv_fund",I$3,$A270))</x:f>
        <x:v>#NAME?</x:v>
      </x:c>
      <x:c r="J270" t="e">
        <x:f>IF($A270="","",[1]!thsiFinD("ths_adjustment_nv_fund",J$3,$A270))</x:f>
        <x:v>#NAME?</x:v>
      </x:c>
      <x:c r="K270" t="e">
        <x:f>IF($A270="","",[1]!thsiFinD("ths_adjustment_nv_fund",K$3,$A270))</x:f>
        <x:v>#NAME?</x:v>
      </x:c>
      <x:c r="L270" t="e">
        <x:f>IF($A270="","",[1]!thsiFinD("ths_adjustment_nv_fund",L$3,$A270))</x:f>
        <x:v>#NAME?</x:v>
      </x:c>
      <x:c r="M270" t="e">
        <x:f>IF($A270="","",[1]!thsiFinD("ths_adjustment_nv_fund",M$3,$A270))</x:f>
        <x:v>#NAME?</x:v>
      </x:c>
      <x:c r="N270" t="e">
        <x:f>IF($A270="","",[1]!thsiFinD("ths_adjustment_nv_fund",N$3,$A270))</x:f>
        <x:v>#NAME?</x:v>
      </x:c>
      <x:c r="O270" t="e">
        <x:f>IF($A270="","",[1]!thsiFinD("ths_adjustment_nv_fund",O$3,$A270))</x:f>
        <x:v>#NAME?</x:v>
      </x:c>
      <x:c r="P270" t="e">
        <x:f>IF($A270="","",[1]!thsiFinD("ths_adjustment_nv_fund",P$3,$A270))</x:f>
        <x:v>#NAME?</x:v>
      </x:c>
      <x:c r="Q270" t="e">
        <x:f>IF($A270="","",[1]!thsiFinD("ths_adjustment_nv_fund",Q$3,$A270))</x:f>
        <x:v>#NAME?</x:v>
      </x:c>
      <x:c r="R270" t="e">
        <x:f>IF($A270="","",[1]!thsiFinD("ths_adjustment_nv_fund",R$3,$A270))</x:f>
        <x:v>#NAME?</x:v>
      </x:c>
      <x:c r="S270" t="e">
        <x:f>IF($A270="","",[1]!thsiFinD("ths_adjustment_nv_fund",S$3,$A270))</x:f>
        <x:v>#NAME?</x:v>
      </x:c>
      <x:c r="T270" t="e">
        <x:f>IF($A270="","",[1]!thsiFinD("ths_adjustment_nv_fund",T$3,$A270))</x:f>
        <x:v>#NAME?</x:v>
      </x:c>
      <x:c r="U270" t="e">
        <x:f>IF($A270="","",[1]!thsiFinD("ths_adjustment_nv_fund",U$3,$A270))</x:f>
        <x:v>#NAME?</x:v>
      </x:c>
      <x:c r="V270" t="e">
        <x:f>IF($A270="","",[1]!thsiFinD("ths_adjustment_nv_fund",V$3,$A270))</x:f>
        <x:v>#NAME?</x:v>
      </x:c>
      <x:c r="W270" t="e">
        <x:f>IF($A270="","",[1]!thsiFinD("ths_adjustment_nv_fund",W$3,$A270))</x:f>
        <x:v>#NAME?</x:v>
      </x:c>
      <x:c r="X270" t="e">
        <x:f>IF($A270="","",[1]!thsiFinD("ths_adjustment_nv_fund",X$3,$A270))</x:f>
        <x:v>#NAME?</x:v>
      </x:c>
      <x:c r="Y270" t="e">
        <x:f>IF($A270="","",[1]!thsiFinD("ths_adjustment_nv_fund",Y$3,$A270))</x:f>
        <x:v>#NAME?</x:v>
      </x:c>
    </x:row>
    <x:row r="271">
      <x:c r="B271" t="e">
        <x:f>IF($A271="","",[1]!thsiFinD("ths_adjustment_nv_fund",B$3,$A271))</x:f>
        <x:v>#NAME?</x:v>
      </x:c>
      <x:c r="C271" t="e">
        <x:f>IF($A271="","",[1]!thsiFinD("ths_adjustment_nv_fund",C$3,$A271))</x:f>
        <x:v>#NAME?</x:v>
      </x:c>
      <x:c r="D271" t="e">
        <x:f>IF($A271="","",[1]!thsiFinD("ths_adjustment_nv_fund",D$3,$A271))</x:f>
        <x:v>#NAME?</x:v>
      </x:c>
      <x:c r="E271" t="e">
        <x:f>IF($A271="","",[1]!thsiFinD("ths_adjustment_nv_fund",E$3,$A271))</x:f>
        <x:v>#NAME?</x:v>
      </x:c>
      <x:c r="F271" t="e">
        <x:f>IF($A271="","",[1]!thsiFinD("ths_adjustment_nv_fund",F$3,$A271))</x:f>
        <x:v>#NAME?</x:v>
      </x:c>
      <x:c r="G271" t="e">
        <x:f>IF($A271="","",[1]!thsiFinD("ths_adjustment_nv_fund",G$3,$A271))</x:f>
        <x:v>#NAME?</x:v>
      </x:c>
      <x:c r="H271" t="e">
        <x:f>IF($A271="","",[1]!thsiFinD("ths_adjustment_nv_fund",H$3,$A271))</x:f>
        <x:v>#NAME?</x:v>
      </x:c>
      <x:c r="I271" t="e">
        <x:f>IF($A271="","",[1]!thsiFinD("ths_adjustment_nv_fund",I$3,$A271))</x:f>
        <x:v>#NAME?</x:v>
      </x:c>
      <x:c r="J271" t="e">
        <x:f>IF($A271="","",[1]!thsiFinD("ths_adjustment_nv_fund",J$3,$A271))</x:f>
        <x:v>#NAME?</x:v>
      </x:c>
      <x:c r="K271" t="e">
        <x:f>IF($A271="","",[1]!thsiFinD("ths_adjustment_nv_fund",K$3,$A271))</x:f>
        <x:v>#NAME?</x:v>
      </x:c>
      <x:c r="L271" t="e">
        <x:f>IF($A271="","",[1]!thsiFinD("ths_adjustment_nv_fund",L$3,$A271))</x:f>
        <x:v>#NAME?</x:v>
      </x:c>
      <x:c r="M271" t="e">
        <x:f>IF($A271="","",[1]!thsiFinD("ths_adjustment_nv_fund",M$3,$A271))</x:f>
        <x:v>#NAME?</x:v>
      </x:c>
      <x:c r="N271" t="e">
        <x:f>IF($A271="","",[1]!thsiFinD("ths_adjustment_nv_fund",N$3,$A271))</x:f>
        <x:v>#NAME?</x:v>
      </x:c>
      <x:c r="O271" t="e">
        <x:f>IF($A271="","",[1]!thsiFinD("ths_adjustment_nv_fund",O$3,$A271))</x:f>
        <x:v>#NAME?</x:v>
      </x:c>
      <x:c r="P271" t="e">
        <x:f>IF($A271="","",[1]!thsiFinD("ths_adjustment_nv_fund",P$3,$A271))</x:f>
        <x:v>#NAME?</x:v>
      </x:c>
      <x:c r="Q271" t="e">
        <x:f>IF($A271="","",[1]!thsiFinD("ths_adjustment_nv_fund",Q$3,$A271))</x:f>
        <x:v>#NAME?</x:v>
      </x:c>
      <x:c r="R271" t="e">
        <x:f>IF($A271="","",[1]!thsiFinD("ths_adjustment_nv_fund",R$3,$A271))</x:f>
        <x:v>#NAME?</x:v>
      </x:c>
      <x:c r="S271" t="e">
        <x:f>IF($A271="","",[1]!thsiFinD("ths_adjustment_nv_fund",S$3,$A271))</x:f>
        <x:v>#NAME?</x:v>
      </x:c>
      <x:c r="T271" t="e">
        <x:f>IF($A271="","",[1]!thsiFinD("ths_adjustment_nv_fund",T$3,$A271))</x:f>
        <x:v>#NAME?</x:v>
      </x:c>
      <x:c r="U271" t="e">
        <x:f>IF($A271="","",[1]!thsiFinD("ths_adjustment_nv_fund",U$3,$A271))</x:f>
        <x:v>#NAME?</x:v>
      </x:c>
      <x:c r="V271" t="e">
        <x:f>IF($A271="","",[1]!thsiFinD("ths_adjustment_nv_fund",V$3,$A271))</x:f>
        <x:v>#NAME?</x:v>
      </x:c>
      <x:c r="W271" t="e">
        <x:f>IF($A271="","",[1]!thsiFinD("ths_adjustment_nv_fund",W$3,$A271))</x:f>
        <x:v>#NAME?</x:v>
      </x:c>
      <x:c r="X271" t="e">
        <x:f>IF($A271="","",[1]!thsiFinD("ths_adjustment_nv_fund",X$3,$A271))</x:f>
        <x:v>#NAME?</x:v>
      </x:c>
      <x:c r="Y271" t="e">
        <x:f>IF($A271="","",[1]!thsiFinD("ths_adjustment_nv_fund",Y$3,$A271))</x:f>
        <x:v>#NAME?</x:v>
      </x:c>
    </x:row>
    <x:row r="272">
      <x:c r="B272" t="e">
        <x:f>IF($A272="","",[1]!thsiFinD("ths_adjustment_nv_fund",B$3,$A272))</x:f>
        <x:v>#NAME?</x:v>
      </x:c>
      <x:c r="C272" t="e">
        <x:f>IF($A272="","",[1]!thsiFinD("ths_adjustment_nv_fund",C$3,$A272))</x:f>
        <x:v>#NAME?</x:v>
      </x:c>
      <x:c r="D272" t="e">
        <x:f>IF($A272="","",[1]!thsiFinD("ths_adjustment_nv_fund",D$3,$A272))</x:f>
        <x:v>#NAME?</x:v>
      </x:c>
      <x:c r="E272" t="e">
        <x:f>IF($A272="","",[1]!thsiFinD("ths_adjustment_nv_fund",E$3,$A272))</x:f>
        <x:v>#NAME?</x:v>
      </x:c>
      <x:c r="F272" t="e">
        <x:f>IF($A272="","",[1]!thsiFinD("ths_adjustment_nv_fund",F$3,$A272))</x:f>
        <x:v>#NAME?</x:v>
      </x:c>
      <x:c r="G272" t="e">
        <x:f>IF($A272="","",[1]!thsiFinD("ths_adjustment_nv_fund",G$3,$A272))</x:f>
        <x:v>#NAME?</x:v>
      </x:c>
      <x:c r="H272" t="e">
        <x:f>IF($A272="","",[1]!thsiFinD("ths_adjustment_nv_fund",H$3,$A272))</x:f>
        <x:v>#NAME?</x:v>
      </x:c>
      <x:c r="I272" t="e">
        <x:f>IF($A272="","",[1]!thsiFinD("ths_adjustment_nv_fund",I$3,$A272))</x:f>
        <x:v>#NAME?</x:v>
      </x:c>
      <x:c r="J272" t="e">
        <x:f>IF($A272="","",[1]!thsiFinD("ths_adjustment_nv_fund",J$3,$A272))</x:f>
        <x:v>#NAME?</x:v>
      </x:c>
      <x:c r="K272" t="e">
        <x:f>IF($A272="","",[1]!thsiFinD("ths_adjustment_nv_fund",K$3,$A272))</x:f>
        <x:v>#NAME?</x:v>
      </x:c>
      <x:c r="L272" t="e">
        <x:f>IF($A272="","",[1]!thsiFinD("ths_adjustment_nv_fund",L$3,$A272))</x:f>
        <x:v>#NAME?</x:v>
      </x:c>
      <x:c r="M272" t="e">
        <x:f>IF($A272="","",[1]!thsiFinD("ths_adjustment_nv_fund",M$3,$A272))</x:f>
        <x:v>#NAME?</x:v>
      </x:c>
      <x:c r="N272" t="e">
        <x:f>IF($A272="","",[1]!thsiFinD("ths_adjustment_nv_fund",N$3,$A272))</x:f>
        <x:v>#NAME?</x:v>
      </x:c>
      <x:c r="O272" t="e">
        <x:f>IF($A272="","",[1]!thsiFinD("ths_adjustment_nv_fund",O$3,$A272))</x:f>
        <x:v>#NAME?</x:v>
      </x:c>
      <x:c r="P272" t="e">
        <x:f>IF($A272="","",[1]!thsiFinD("ths_adjustment_nv_fund",P$3,$A272))</x:f>
        <x:v>#NAME?</x:v>
      </x:c>
      <x:c r="Q272" t="e">
        <x:f>IF($A272="","",[1]!thsiFinD("ths_adjustment_nv_fund",Q$3,$A272))</x:f>
        <x:v>#NAME?</x:v>
      </x:c>
      <x:c r="R272" t="e">
        <x:f>IF($A272="","",[1]!thsiFinD("ths_adjustment_nv_fund",R$3,$A272))</x:f>
        <x:v>#NAME?</x:v>
      </x:c>
      <x:c r="S272" t="e">
        <x:f>IF($A272="","",[1]!thsiFinD("ths_adjustment_nv_fund",S$3,$A272))</x:f>
        <x:v>#NAME?</x:v>
      </x:c>
      <x:c r="T272" t="e">
        <x:f>IF($A272="","",[1]!thsiFinD("ths_adjustment_nv_fund",T$3,$A272))</x:f>
        <x:v>#NAME?</x:v>
      </x:c>
      <x:c r="U272" t="e">
        <x:f>IF($A272="","",[1]!thsiFinD("ths_adjustment_nv_fund",U$3,$A272))</x:f>
        <x:v>#NAME?</x:v>
      </x:c>
      <x:c r="V272" t="e">
        <x:f>IF($A272="","",[1]!thsiFinD("ths_adjustment_nv_fund",V$3,$A272))</x:f>
        <x:v>#NAME?</x:v>
      </x:c>
      <x:c r="W272" t="e">
        <x:f>IF($A272="","",[1]!thsiFinD("ths_adjustment_nv_fund",W$3,$A272))</x:f>
        <x:v>#NAME?</x:v>
      </x:c>
      <x:c r="X272" t="e">
        <x:f>IF($A272="","",[1]!thsiFinD("ths_adjustment_nv_fund",X$3,$A272))</x:f>
        <x:v>#NAME?</x:v>
      </x:c>
      <x:c r="Y272" t="e">
        <x:f>IF($A272="","",[1]!thsiFinD("ths_adjustment_nv_fund",Y$3,$A272))</x:f>
        <x:v>#NAME?</x:v>
      </x:c>
    </x:row>
    <x:row r="273">
      <x:c r="B273" t="e">
        <x:f>IF($A273="","",[1]!thsiFinD("ths_adjustment_nv_fund",B$3,$A273))</x:f>
        <x:v>#NAME?</x:v>
      </x:c>
      <x:c r="C273" t="e">
        <x:f>IF($A273="","",[1]!thsiFinD("ths_adjustment_nv_fund",C$3,$A273))</x:f>
        <x:v>#NAME?</x:v>
      </x:c>
      <x:c r="D273" t="e">
        <x:f>IF($A273="","",[1]!thsiFinD("ths_adjustment_nv_fund",D$3,$A273))</x:f>
        <x:v>#NAME?</x:v>
      </x:c>
      <x:c r="E273" t="e">
        <x:f>IF($A273="","",[1]!thsiFinD("ths_adjustment_nv_fund",E$3,$A273))</x:f>
        <x:v>#NAME?</x:v>
      </x:c>
      <x:c r="F273" t="e">
        <x:f>IF($A273="","",[1]!thsiFinD("ths_adjustment_nv_fund",F$3,$A273))</x:f>
        <x:v>#NAME?</x:v>
      </x:c>
      <x:c r="G273" t="e">
        <x:f>IF($A273="","",[1]!thsiFinD("ths_adjustment_nv_fund",G$3,$A273))</x:f>
        <x:v>#NAME?</x:v>
      </x:c>
      <x:c r="H273" t="e">
        <x:f>IF($A273="","",[1]!thsiFinD("ths_adjustment_nv_fund",H$3,$A273))</x:f>
        <x:v>#NAME?</x:v>
      </x:c>
      <x:c r="I273" t="e">
        <x:f>IF($A273="","",[1]!thsiFinD("ths_adjustment_nv_fund",I$3,$A273))</x:f>
        <x:v>#NAME?</x:v>
      </x:c>
      <x:c r="J273" t="e">
        <x:f>IF($A273="","",[1]!thsiFinD("ths_adjustment_nv_fund",J$3,$A273))</x:f>
        <x:v>#NAME?</x:v>
      </x:c>
      <x:c r="K273" t="e">
        <x:f>IF($A273="","",[1]!thsiFinD("ths_adjustment_nv_fund",K$3,$A273))</x:f>
        <x:v>#NAME?</x:v>
      </x:c>
      <x:c r="L273" t="e">
        <x:f>IF($A273="","",[1]!thsiFinD("ths_adjustment_nv_fund",L$3,$A273))</x:f>
        <x:v>#NAME?</x:v>
      </x:c>
      <x:c r="M273" t="e">
        <x:f>IF($A273="","",[1]!thsiFinD("ths_adjustment_nv_fund",M$3,$A273))</x:f>
        <x:v>#NAME?</x:v>
      </x:c>
      <x:c r="N273" t="e">
        <x:f>IF($A273="","",[1]!thsiFinD("ths_adjustment_nv_fund",N$3,$A273))</x:f>
        <x:v>#NAME?</x:v>
      </x:c>
      <x:c r="O273" t="e">
        <x:f>IF($A273="","",[1]!thsiFinD("ths_adjustment_nv_fund",O$3,$A273))</x:f>
        <x:v>#NAME?</x:v>
      </x:c>
      <x:c r="P273" t="e">
        <x:f>IF($A273="","",[1]!thsiFinD("ths_adjustment_nv_fund",P$3,$A273))</x:f>
        <x:v>#NAME?</x:v>
      </x:c>
      <x:c r="Q273" t="e">
        <x:f>IF($A273="","",[1]!thsiFinD("ths_adjustment_nv_fund",Q$3,$A273))</x:f>
        <x:v>#NAME?</x:v>
      </x:c>
      <x:c r="R273" t="e">
        <x:f>IF($A273="","",[1]!thsiFinD("ths_adjustment_nv_fund",R$3,$A273))</x:f>
        <x:v>#NAME?</x:v>
      </x:c>
      <x:c r="S273" t="e">
        <x:f>IF($A273="","",[1]!thsiFinD("ths_adjustment_nv_fund",S$3,$A273))</x:f>
        <x:v>#NAME?</x:v>
      </x:c>
      <x:c r="T273" t="e">
        <x:f>IF($A273="","",[1]!thsiFinD("ths_adjustment_nv_fund",T$3,$A273))</x:f>
        <x:v>#NAME?</x:v>
      </x:c>
      <x:c r="U273" t="e">
        <x:f>IF($A273="","",[1]!thsiFinD("ths_adjustment_nv_fund",U$3,$A273))</x:f>
        <x:v>#NAME?</x:v>
      </x:c>
      <x:c r="V273" t="e">
        <x:f>IF($A273="","",[1]!thsiFinD("ths_adjustment_nv_fund",V$3,$A273))</x:f>
        <x:v>#NAME?</x:v>
      </x:c>
      <x:c r="W273" t="e">
        <x:f>IF($A273="","",[1]!thsiFinD("ths_adjustment_nv_fund",W$3,$A273))</x:f>
        <x:v>#NAME?</x:v>
      </x:c>
      <x:c r="X273" t="e">
        <x:f>IF($A273="","",[1]!thsiFinD("ths_adjustment_nv_fund",X$3,$A273))</x:f>
        <x:v>#NAME?</x:v>
      </x:c>
      <x:c r="Y273" t="e">
        <x:f>IF($A273="","",[1]!thsiFinD("ths_adjustment_nv_fund",Y$3,$A273))</x:f>
        <x:v>#NAME?</x:v>
      </x:c>
    </x:row>
    <x:row r="274">
      <x:c r="B274" t="e">
        <x:f>IF($A274="","",[1]!thsiFinD("ths_adjustment_nv_fund",B$3,$A274))</x:f>
        <x:v>#NAME?</x:v>
      </x:c>
      <x:c r="C274" t="e">
        <x:f>IF($A274="","",[1]!thsiFinD("ths_adjustment_nv_fund",C$3,$A274))</x:f>
        <x:v>#NAME?</x:v>
      </x:c>
      <x:c r="D274" t="e">
        <x:f>IF($A274="","",[1]!thsiFinD("ths_adjustment_nv_fund",D$3,$A274))</x:f>
        <x:v>#NAME?</x:v>
      </x:c>
      <x:c r="E274" t="e">
        <x:f>IF($A274="","",[1]!thsiFinD("ths_adjustment_nv_fund",E$3,$A274))</x:f>
        <x:v>#NAME?</x:v>
      </x:c>
      <x:c r="F274" t="e">
        <x:f>IF($A274="","",[1]!thsiFinD("ths_adjustment_nv_fund",F$3,$A274))</x:f>
        <x:v>#NAME?</x:v>
      </x:c>
      <x:c r="G274" t="e">
        <x:f>IF($A274="","",[1]!thsiFinD("ths_adjustment_nv_fund",G$3,$A274))</x:f>
        <x:v>#NAME?</x:v>
      </x:c>
      <x:c r="H274" t="e">
        <x:f>IF($A274="","",[1]!thsiFinD("ths_adjustment_nv_fund",H$3,$A274))</x:f>
        <x:v>#NAME?</x:v>
      </x:c>
      <x:c r="I274" t="e">
        <x:f>IF($A274="","",[1]!thsiFinD("ths_adjustment_nv_fund",I$3,$A274))</x:f>
        <x:v>#NAME?</x:v>
      </x:c>
      <x:c r="J274" t="e">
        <x:f>IF($A274="","",[1]!thsiFinD("ths_adjustment_nv_fund",J$3,$A274))</x:f>
        <x:v>#NAME?</x:v>
      </x:c>
      <x:c r="K274" t="e">
        <x:f>IF($A274="","",[1]!thsiFinD("ths_adjustment_nv_fund",K$3,$A274))</x:f>
        <x:v>#NAME?</x:v>
      </x:c>
      <x:c r="L274" t="e">
        <x:f>IF($A274="","",[1]!thsiFinD("ths_adjustment_nv_fund",L$3,$A274))</x:f>
        <x:v>#NAME?</x:v>
      </x:c>
      <x:c r="M274" t="e">
        <x:f>IF($A274="","",[1]!thsiFinD("ths_adjustment_nv_fund",M$3,$A274))</x:f>
        <x:v>#NAME?</x:v>
      </x:c>
      <x:c r="N274" t="e">
        <x:f>IF($A274="","",[1]!thsiFinD("ths_adjustment_nv_fund",N$3,$A274))</x:f>
        <x:v>#NAME?</x:v>
      </x:c>
      <x:c r="O274" t="e">
        <x:f>IF($A274="","",[1]!thsiFinD("ths_adjustment_nv_fund",O$3,$A274))</x:f>
        <x:v>#NAME?</x:v>
      </x:c>
      <x:c r="P274" t="e">
        <x:f>IF($A274="","",[1]!thsiFinD("ths_adjustment_nv_fund",P$3,$A274))</x:f>
        <x:v>#NAME?</x:v>
      </x:c>
      <x:c r="Q274" t="e">
        <x:f>IF($A274="","",[1]!thsiFinD("ths_adjustment_nv_fund",Q$3,$A274))</x:f>
        <x:v>#NAME?</x:v>
      </x:c>
      <x:c r="R274" t="e">
        <x:f>IF($A274="","",[1]!thsiFinD("ths_adjustment_nv_fund",R$3,$A274))</x:f>
        <x:v>#NAME?</x:v>
      </x:c>
      <x:c r="S274" t="e">
        <x:f>IF($A274="","",[1]!thsiFinD("ths_adjustment_nv_fund",S$3,$A274))</x:f>
        <x:v>#NAME?</x:v>
      </x:c>
      <x:c r="T274" t="e">
        <x:f>IF($A274="","",[1]!thsiFinD("ths_adjustment_nv_fund",T$3,$A274))</x:f>
        <x:v>#NAME?</x:v>
      </x:c>
      <x:c r="U274" t="e">
        <x:f>IF($A274="","",[1]!thsiFinD("ths_adjustment_nv_fund",U$3,$A274))</x:f>
        <x:v>#NAME?</x:v>
      </x:c>
      <x:c r="V274" t="e">
        <x:f>IF($A274="","",[1]!thsiFinD("ths_adjustment_nv_fund",V$3,$A274))</x:f>
        <x:v>#NAME?</x:v>
      </x:c>
      <x:c r="W274" t="e">
        <x:f>IF($A274="","",[1]!thsiFinD("ths_adjustment_nv_fund",W$3,$A274))</x:f>
        <x:v>#NAME?</x:v>
      </x:c>
      <x:c r="X274" t="e">
        <x:f>IF($A274="","",[1]!thsiFinD("ths_adjustment_nv_fund",X$3,$A274))</x:f>
        <x:v>#NAME?</x:v>
      </x:c>
      <x:c r="Y274" t="e">
        <x:f>IF($A274="","",[1]!thsiFinD("ths_adjustment_nv_fund",Y$3,$A274))</x:f>
        <x:v>#NAME?</x:v>
      </x:c>
    </x:row>
    <x:row r="275">
      <x:c r="B275" t="e">
        <x:f>IF($A275="","",[1]!thsiFinD("ths_adjustment_nv_fund",B$3,$A275))</x:f>
        <x:v>#NAME?</x:v>
      </x:c>
      <x:c r="C275" t="e">
        <x:f>IF($A275="","",[1]!thsiFinD("ths_adjustment_nv_fund",C$3,$A275))</x:f>
        <x:v>#NAME?</x:v>
      </x:c>
      <x:c r="D275" t="e">
        <x:f>IF($A275="","",[1]!thsiFinD("ths_adjustment_nv_fund",D$3,$A275))</x:f>
        <x:v>#NAME?</x:v>
      </x:c>
      <x:c r="E275" t="e">
        <x:f>IF($A275="","",[1]!thsiFinD("ths_adjustment_nv_fund",E$3,$A275))</x:f>
        <x:v>#NAME?</x:v>
      </x:c>
      <x:c r="F275" t="e">
        <x:f>IF($A275="","",[1]!thsiFinD("ths_adjustment_nv_fund",F$3,$A275))</x:f>
        <x:v>#NAME?</x:v>
      </x:c>
      <x:c r="G275" t="e">
        <x:f>IF($A275="","",[1]!thsiFinD("ths_adjustment_nv_fund",G$3,$A275))</x:f>
        <x:v>#NAME?</x:v>
      </x:c>
      <x:c r="H275" t="e">
        <x:f>IF($A275="","",[1]!thsiFinD("ths_adjustment_nv_fund",H$3,$A275))</x:f>
        <x:v>#NAME?</x:v>
      </x:c>
      <x:c r="I275" t="e">
        <x:f>IF($A275="","",[1]!thsiFinD("ths_adjustment_nv_fund",I$3,$A275))</x:f>
        <x:v>#NAME?</x:v>
      </x:c>
      <x:c r="J275" t="e">
        <x:f>IF($A275="","",[1]!thsiFinD("ths_adjustment_nv_fund",J$3,$A275))</x:f>
        <x:v>#NAME?</x:v>
      </x:c>
      <x:c r="K275" t="e">
        <x:f>IF($A275="","",[1]!thsiFinD("ths_adjustment_nv_fund",K$3,$A275))</x:f>
        <x:v>#NAME?</x:v>
      </x:c>
      <x:c r="L275" t="e">
        <x:f>IF($A275="","",[1]!thsiFinD("ths_adjustment_nv_fund",L$3,$A275))</x:f>
        <x:v>#NAME?</x:v>
      </x:c>
      <x:c r="M275" t="e">
        <x:f>IF($A275="","",[1]!thsiFinD("ths_adjustment_nv_fund",M$3,$A275))</x:f>
        <x:v>#NAME?</x:v>
      </x:c>
      <x:c r="N275" t="e">
        <x:f>IF($A275="","",[1]!thsiFinD("ths_adjustment_nv_fund",N$3,$A275))</x:f>
        <x:v>#NAME?</x:v>
      </x:c>
      <x:c r="O275" t="e">
        <x:f>IF($A275="","",[1]!thsiFinD("ths_adjustment_nv_fund",O$3,$A275))</x:f>
        <x:v>#NAME?</x:v>
      </x:c>
      <x:c r="P275" t="e">
        <x:f>IF($A275="","",[1]!thsiFinD("ths_adjustment_nv_fund",P$3,$A275))</x:f>
        <x:v>#NAME?</x:v>
      </x:c>
      <x:c r="Q275" t="e">
        <x:f>IF($A275="","",[1]!thsiFinD("ths_adjustment_nv_fund",Q$3,$A275))</x:f>
        <x:v>#NAME?</x:v>
      </x:c>
      <x:c r="R275" t="e">
        <x:f>IF($A275="","",[1]!thsiFinD("ths_adjustment_nv_fund",R$3,$A275))</x:f>
        <x:v>#NAME?</x:v>
      </x:c>
      <x:c r="S275" t="e">
        <x:f>IF($A275="","",[1]!thsiFinD("ths_adjustment_nv_fund",S$3,$A275))</x:f>
        <x:v>#NAME?</x:v>
      </x:c>
      <x:c r="T275" t="e">
        <x:f>IF($A275="","",[1]!thsiFinD("ths_adjustment_nv_fund",T$3,$A275))</x:f>
        <x:v>#NAME?</x:v>
      </x:c>
      <x:c r="U275" t="e">
        <x:f>IF($A275="","",[1]!thsiFinD("ths_adjustment_nv_fund",U$3,$A275))</x:f>
        <x:v>#NAME?</x:v>
      </x:c>
      <x:c r="V275" t="e">
        <x:f>IF($A275="","",[1]!thsiFinD("ths_adjustment_nv_fund",V$3,$A275))</x:f>
        <x:v>#NAME?</x:v>
      </x:c>
      <x:c r="W275" t="e">
        <x:f>IF($A275="","",[1]!thsiFinD("ths_adjustment_nv_fund",W$3,$A275))</x:f>
        <x:v>#NAME?</x:v>
      </x:c>
      <x:c r="X275" t="e">
        <x:f>IF($A275="","",[1]!thsiFinD("ths_adjustment_nv_fund",X$3,$A275))</x:f>
        <x:v>#NAME?</x:v>
      </x:c>
      <x:c r="Y275" t="e">
        <x:f>IF($A275="","",[1]!thsiFinD("ths_adjustment_nv_fund",Y$3,$A275))</x:f>
        <x:v>#NAME?</x:v>
      </x:c>
    </x:row>
    <x:row r="276">
      <x:c r="B276" t="e">
        <x:f>IF($A276="","",[1]!thsiFinD("ths_adjustment_nv_fund",B$3,$A276))</x:f>
        <x:v>#NAME?</x:v>
      </x:c>
      <x:c r="C276" t="e">
        <x:f>IF($A276="","",[1]!thsiFinD("ths_adjustment_nv_fund",C$3,$A276))</x:f>
        <x:v>#NAME?</x:v>
      </x:c>
      <x:c r="D276" t="e">
        <x:f>IF($A276="","",[1]!thsiFinD("ths_adjustment_nv_fund",D$3,$A276))</x:f>
        <x:v>#NAME?</x:v>
      </x:c>
      <x:c r="E276" t="e">
        <x:f>IF($A276="","",[1]!thsiFinD("ths_adjustment_nv_fund",E$3,$A276))</x:f>
        <x:v>#NAME?</x:v>
      </x:c>
      <x:c r="F276" t="e">
        <x:f>IF($A276="","",[1]!thsiFinD("ths_adjustment_nv_fund",F$3,$A276))</x:f>
        <x:v>#NAME?</x:v>
      </x:c>
      <x:c r="G276" t="e">
        <x:f>IF($A276="","",[1]!thsiFinD("ths_adjustment_nv_fund",G$3,$A276))</x:f>
        <x:v>#NAME?</x:v>
      </x:c>
      <x:c r="H276" t="e">
        <x:f>IF($A276="","",[1]!thsiFinD("ths_adjustment_nv_fund",H$3,$A276))</x:f>
        <x:v>#NAME?</x:v>
      </x:c>
      <x:c r="I276" t="e">
        <x:f>IF($A276="","",[1]!thsiFinD("ths_adjustment_nv_fund",I$3,$A276))</x:f>
        <x:v>#NAME?</x:v>
      </x:c>
      <x:c r="J276" t="e">
        <x:f>IF($A276="","",[1]!thsiFinD("ths_adjustment_nv_fund",J$3,$A276))</x:f>
        <x:v>#NAME?</x:v>
      </x:c>
      <x:c r="K276" t="e">
        <x:f>IF($A276="","",[1]!thsiFinD("ths_adjustment_nv_fund",K$3,$A276))</x:f>
        <x:v>#NAME?</x:v>
      </x:c>
      <x:c r="L276" t="e">
        <x:f>IF($A276="","",[1]!thsiFinD("ths_adjustment_nv_fund",L$3,$A276))</x:f>
        <x:v>#NAME?</x:v>
      </x:c>
      <x:c r="M276" t="e">
        <x:f>IF($A276="","",[1]!thsiFinD("ths_adjustment_nv_fund",M$3,$A276))</x:f>
        <x:v>#NAME?</x:v>
      </x:c>
      <x:c r="N276" t="e">
        <x:f>IF($A276="","",[1]!thsiFinD("ths_adjustment_nv_fund",N$3,$A276))</x:f>
        <x:v>#NAME?</x:v>
      </x:c>
      <x:c r="O276" t="e">
        <x:f>IF($A276="","",[1]!thsiFinD("ths_adjustment_nv_fund",O$3,$A276))</x:f>
        <x:v>#NAME?</x:v>
      </x:c>
      <x:c r="P276" t="e">
        <x:f>IF($A276="","",[1]!thsiFinD("ths_adjustment_nv_fund",P$3,$A276))</x:f>
        <x:v>#NAME?</x:v>
      </x:c>
      <x:c r="Q276" t="e">
        <x:f>IF($A276="","",[1]!thsiFinD("ths_adjustment_nv_fund",Q$3,$A276))</x:f>
        <x:v>#NAME?</x:v>
      </x:c>
      <x:c r="R276" t="e">
        <x:f>IF($A276="","",[1]!thsiFinD("ths_adjustment_nv_fund",R$3,$A276))</x:f>
        <x:v>#NAME?</x:v>
      </x:c>
      <x:c r="S276" t="e">
        <x:f>IF($A276="","",[1]!thsiFinD("ths_adjustment_nv_fund",S$3,$A276))</x:f>
        <x:v>#NAME?</x:v>
      </x:c>
      <x:c r="T276" t="e">
        <x:f>IF($A276="","",[1]!thsiFinD("ths_adjustment_nv_fund",T$3,$A276))</x:f>
        <x:v>#NAME?</x:v>
      </x:c>
      <x:c r="U276" t="e">
        <x:f>IF($A276="","",[1]!thsiFinD("ths_adjustment_nv_fund",U$3,$A276))</x:f>
        <x:v>#NAME?</x:v>
      </x:c>
      <x:c r="V276" t="e">
        <x:f>IF($A276="","",[1]!thsiFinD("ths_adjustment_nv_fund",V$3,$A276))</x:f>
        <x:v>#NAME?</x:v>
      </x:c>
      <x:c r="W276" t="e">
        <x:f>IF($A276="","",[1]!thsiFinD("ths_adjustment_nv_fund",W$3,$A276))</x:f>
        <x:v>#NAME?</x:v>
      </x:c>
      <x:c r="X276" t="e">
        <x:f>IF($A276="","",[1]!thsiFinD("ths_adjustment_nv_fund",X$3,$A276))</x:f>
        <x:v>#NAME?</x:v>
      </x:c>
      <x:c r="Y276" t="e">
        <x:f>IF($A276="","",[1]!thsiFinD("ths_adjustment_nv_fund",Y$3,$A276))</x:f>
        <x:v>#NAME?</x:v>
      </x:c>
    </x:row>
    <x:row r="277">
      <x:c r="B277" t="e">
        <x:f>IF($A277="","",[1]!thsiFinD("ths_adjustment_nv_fund",B$3,$A277))</x:f>
        <x:v>#NAME?</x:v>
      </x:c>
      <x:c r="C277" t="e">
        <x:f>IF($A277="","",[1]!thsiFinD("ths_adjustment_nv_fund",C$3,$A277))</x:f>
        <x:v>#NAME?</x:v>
      </x:c>
      <x:c r="D277" t="e">
        <x:f>IF($A277="","",[1]!thsiFinD("ths_adjustment_nv_fund",D$3,$A277))</x:f>
        <x:v>#NAME?</x:v>
      </x:c>
      <x:c r="E277" t="e">
        <x:f>IF($A277="","",[1]!thsiFinD("ths_adjustment_nv_fund",E$3,$A277))</x:f>
        <x:v>#NAME?</x:v>
      </x:c>
      <x:c r="F277" t="e">
        <x:f>IF($A277="","",[1]!thsiFinD("ths_adjustment_nv_fund",F$3,$A277))</x:f>
        <x:v>#NAME?</x:v>
      </x:c>
      <x:c r="G277" t="e">
        <x:f>IF($A277="","",[1]!thsiFinD("ths_adjustment_nv_fund",G$3,$A277))</x:f>
        <x:v>#NAME?</x:v>
      </x:c>
      <x:c r="H277" t="e">
        <x:f>IF($A277="","",[1]!thsiFinD("ths_adjustment_nv_fund",H$3,$A277))</x:f>
        <x:v>#NAME?</x:v>
      </x:c>
      <x:c r="I277" t="e">
        <x:f>IF($A277="","",[1]!thsiFinD("ths_adjustment_nv_fund",I$3,$A277))</x:f>
        <x:v>#NAME?</x:v>
      </x:c>
      <x:c r="J277" t="e">
        <x:f>IF($A277="","",[1]!thsiFinD("ths_adjustment_nv_fund",J$3,$A277))</x:f>
        <x:v>#NAME?</x:v>
      </x:c>
      <x:c r="K277" t="e">
        <x:f>IF($A277="","",[1]!thsiFinD("ths_adjustment_nv_fund",K$3,$A277))</x:f>
        <x:v>#NAME?</x:v>
      </x:c>
      <x:c r="L277" t="e">
        <x:f>IF($A277="","",[1]!thsiFinD("ths_adjustment_nv_fund",L$3,$A277))</x:f>
        <x:v>#NAME?</x:v>
      </x:c>
      <x:c r="M277" t="e">
        <x:f>IF($A277="","",[1]!thsiFinD("ths_adjustment_nv_fund",M$3,$A277))</x:f>
        <x:v>#NAME?</x:v>
      </x:c>
      <x:c r="N277" t="e">
        <x:f>IF($A277="","",[1]!thsiFinD("ths_adjustment_nv_fund",N$3,$A277))</x:f>
        <x:v>#NAME?</x:v>
      </x:c>
      <x:c r="O277" t="e">
        <x:f>IF($A277="","",[1]!thsiFinD("ths_adjustment_nv_fund",O$3,$A277))</x:f>
        <x:v>#NAME?</x:v>
      </x:c>
      <x:c r="P277" t="e">
        <x:f>IF($A277="","",[1]!thsiFinD("ths_adjustment_nv_fund",P$3,$A277))</x:f>
        <x:v>#NAME?</x:v>
      </x:c>
      <x:c r="Q277" t="e">
        <x:f>IF($A277="","",[1]!thsiFinD("ths_adjustment_nv_fund",Q$3,$A277))</x:f>
        <x:v>#NAME?</x:v>
      </x:c>
      <x:c r="R277" t="e">
        <x:f>IF($A277="","",[1]!thsiFinD("ths_adjustment_nv_fund",R$3,$A277))</x:f>
        <x:v>#NAME?</x:v>
      </x:c>
      <x:c r="S277" t="e">
        <x:f>IF($A277="","",[1]!thsiFinD("ths_adjustment_nv_fund",S$3,$A277))</x:f>
        <x:v>#NAME?</x:v>
      </x:c>
      <x:c r="T277" t="e">
        <x:f>IF($A277="","",[1]!thsiFinD("ths_adjustment_nv_fund",T$3,$A277))</x:f>
        <x:v>#NAME?</x:v>
      </x:c>
      <x:c r="U277" t="e">
        <x:f>IF($A277="","",[1]!thsiFinD("ths_adjustment_nv_fund",U$3,$A277))</x:f>
        <x:v>#NAME?</x:v>
      </x:c>
      <x:c r="V277" t="e">
        <x:f>IF($A277="","",[1]!thsiFinD("ths_adjustment_nv_fund",V$3,$A277))</x:f>
        <x:v>#NAME?</x:v>
      </x:c>
      <x:c r="W277" t="e">
        <x:f>IF($A277="","",[1]!thsiFinD("ths_adjustment_nv_fund",W$3,$A277))</x:f>
        <x:v>#NAME?</x:v>
      </x:c>
      <x:c r="X277" t="e">
        <x:f>IF($A277="","",[1]!thsiFinD("ths_adjustment_nv_fund",X$3,$A277))</x:f>
        <x:v>#NAME?</x:v>
      </x:c>
      <x:c r="Y277" t="e">
        <x:f>IF($A277="","",[1]!thsiFinD("ths_adjustment_nv_fund",Y$3,$A277))</x:f>
        <x:v>#NAME?</x:v>
      </x:c>
    </x:row>
    <x:row r="278">
      <x:c r="B278" t="e">
        <x:f>IF($A278="","",[1]!thsiFinD("ths_adjustment_nv_fund",B$3,$A278))</x:f>
        <x:v>#NAME?</x:v>
      </x:c>
      <x:c r="C278" t="e">
        <x:f>IF($A278="","",[1]!thsiFinD("ths_adjustment_nv_fund",C$3,$A278))</x:f>
        <x:v>#NAME?</x:v>
      </x:c>
      <x:c r="D278" t="e">
        <x:f>IF($A278="","",[1]!thsiFinD("ths_adjustment_nv_fund",D$3,$A278))</x:f>
        <x:v>#NAME?</x:v>
      </x:c>
      <x:c r="E278" t="e">
        <x:f>IF($A278="","",[1]!thsiFinD("ths_adjustment_nv_fund",E$3,$A278))</x:f>
        <x:v>#NAME?</x:v>
      </x:c>
      <x:c r="F278" t="e">
        <x:f>IF($A278="","",[1]!thsiFinD("ths_adjustment_nv_fund",F$3,$A278))</x:f>
        <x:v>#NAME?</x:v>
      </x:c>
      <x:c r="G278" t="e">
        <x:f>IF($A278="","",[1]!thsiFinD("ths_adjustment_nv_fund",G$3,$A278))</x:f>
        <x:v>#NAME?</x:v>
      </x:c>
      <x:c r="H278" t="e">
        <x:f>IF($A278="","",[1]!thsiFinD("ths_adjustment_nv_fund",H$3,$A278))</x:f>
        <x:v>#NAME?</x:v>
      </x:c>
      <x:c r="I278" t="e">
        <x:f>IF($A278="","",[1]!thsiFinD("ths_adjustment_nv_fund",I$3,$A278))</x:f>
        <x:v>#NAME?</x:v>
      </x:c>
      <x:c r="J278" t="e">
        <x:f>IF($A278="","",[1]!thsiFinD("ths_adjustment_nv_fund",J$3,$A278))</x:f>
        <x:v>#NAME?</x:v>
      </x:c>
      <x:c r="K278" t="e">
        <x:f>IF($A278="","",[1]!thsiFinD("ths_adjustment_nv_fund",K$3,$A278))</x:f>
        <x:v>#NAME?</x:v>
      </x:c>
      <x:c r="L278" t="e">
        <x:f>IF($A278="","",[1]!thsiFinD("ths_adjustment_nv_fund",L$3,$A278))</x:f>
        <x:v>#NAME?</x:v>
      </x:c>
      <x:c r="M278" t="e">
        <x:f>IF($A278="","",[1]!thsiFinD("ths_adjustment_nv_fund",M$3,$A278))</x:f>
        <x:v>#NAME?</x:v>
      </x:c>
      <x:c r="N278" t="e">
        <x:f>IF($A278="","",[1]!thsiFinD("ths_adjustment_nv_fund",N$3,$A278))</x:f>
        <x:v>#NAME?</x:v>
      </x:c>
      <x:c r="O278" t="e">
        <x:f>IF($A278="","",[1]!thsiFinD("ths_adjustment_nv_fund",O$3,$A278))</x:f>
        <x:v>#NAME?</x:v>
      </x:c>
      <x:c r="P278" t="e">
        <x:f>IF($A278="","",[1]!thsiFinD("ths_adjustment_nv_fund",P$3,$A278))</x:f>
        <x:v>#NAME?</x:v>
      </x:c>
      <x:c r="Q278" t="e">
        <x:f>IF($A278="","",[1]!thsiFinD("ths_adjustment_nv_fund",Q$3,$A278))</x:f>
        <x:v>#NAME?</x:v>
      </x:c>
      <x:c r="R278" t="e">
        <x:f>IF($A278="","",[1]!thsiFinD("ths_adjustment_nv_fund",R$3,$A278))</x:f>
        <x:v>#NAME?</x:v>
      </x:c>
      <x:c r="S278" t="e">
        <x:f>IF($A278="","",[1]!thsiFinD("ths_adjustment_nv_fund",S$3,$A278))</x:f>
        <x:v>#NAME?</x:v>
      </x:c>
      <x:c r="T278" t="e">
        <x:f>IF($A278="","",[1]!thsiFinD("ths_adjustment_nv_fund",T$3,$A278))</x:f>
        <x:v>#NAME?</x:v>
      </x:c>
      <x:c r="U278" t="e">
        <x:f>IF($A278="","",[1]!thsiFinD("ths_adjustment_nv_fund",U$3,$A278))</x:f>
        <x:v>#NAME?</x:v>
      </x:c>
      <x:c r="V278" t="e">
        <x:f>IF($A278="","",[1]!thsiFinD("ths_adjustment_nv_fund",V$3,$A278))</x:f>
        <x:v>#NAME?</x:v>
      </x:c>
      <x:c r="W278" t="e">
        <x:f>IF($A278="","",[1]!thsiFinD("ths_adjustment_nv_fund",W$3,$A278))</x:f>
        <x:v>#NAME?</x:v>
      </x:c>
      <x:c r="X278" t="e">
        <x:f>IF($A278="","",[1]!thsiFinD("ths_adjustment_nv_fund",X$3,$A278))</x:f>
        <x:v>#NAME?</x:v>
      </x:c>
      <x:c r="Y278" t="e">
        <x:f>IF($A278="","",[1]!thsiFinD("ths_adjustment_nv_fund",Y$3,$A278))</x:f>
        <x:v>#NAME?</x:v>
      </x:c>
    </x:row>
    <x:row r="279">
      <x:c r="B279" t="e">
        <x:f>IF($A279="","",[1]!thsiFinD("ths_adjustment_nv_fund",B$3,$A279))</x:f>
        <x:v>#NAME?</x:v>
      </x:c>
      <x:c r="C279" t="e">
        <x:f>IF($A279="","",[1]!thsiFinD("ths_adjustment_nv_fund",C$3,$A279))</x:f>
        <x:v>#NAME?</x:v>
      </x:c>
      <x:c r="D279" t="e">
        <x:f>IF($A279="","",[1]!thsiFinD("ths_adjustment_nv_fund",D$3,$A279))</x:f>
        <x:v>#NAME?</x:v>
      </x:c>
      <x:c r="E279" t="e">
        <x:f>IF($A279="","",[1]!thsiFinD("ths_adjustment_nv_fund",E$3,$A279))</x:f>
        <x:v>#NAME?</x:v>
      </x:c>
      <x:c r="F279" t="e">
        <x:f>IF($A279="","",[1]!thsiFinD("ths_adjustment_nv_fund",F$3,$A279))</x:f>
        <x:v>#NAME?</x:v>
      </x:c>
      <x:c r="G279" t="e">
        <x:f>IF($A279="","",[1]!thsiFinD("ths_adjustment_nv_fund",G$3,$A279))</x:f>
        <x:v>#NAME?</x:v>
      </x:c>
      <x:c r="H279" t="e">
        <x:f>IF($A279="","",[1]!thsiFinD("ths_adjustment_nv_fund",H$3,$A279))</x:f>
        <x:v>#NAME?</x:v>
      </x:c>
      <x:c r="I279" t="e">
        <x:f>IF($A279="","",[1]!thsiFinD("ths_adjustment_nv_fund",I$3,$A279))</x:f>
        <x:v>#NAME?</x:v>
      </x:c>
      <x:c r="J279" t="e">
        <x:f>IF($A279="","",[1]!thsiFinD("ths_adjustment_nv_fund",J$3,$A279))</x:f>
        <x:v>#NAME?</x:v>
      </x:c>
      <x:c r="K279" t="e">
        <x:f>IF($A279="","",[1]!thsiFinD("ths_adjustment_nv_fund",K$3,$A279))</x:f>
        <x:v>#NAME?</x:v>
      </x:c>
      <x:c r="L279" t="e">
        <x:f>IF($A279="","",[1]!thsiFinD("ths_adjustment_nv_fund",L$3,$A279))</x:f>
        <x:v>#NAME?</x:v>
      </x:c>
      <x:c r="M279" t="e">
        <x:f>IF($A279="","",[1]!thsiFinD("ths_adjustment_nv_fund",M$3,$A279))</x:f>
        <x:v>#NAME?</x:v>
      </x:c>
      <x:c r="N279" t="e">
        <x:f>IF($A279="","",[1]!thsiFinD("ths_adjustment_nv_fund",N$3,$A279))</x:f>
        <x:v>#NAME?</x:v>
      </x:c>
      <x:c r="O279" t="e">
        <x:f>IF($A279="","",[1]!thsiFinD("ths_adjustment_nv_fund",O$3,$A279))</x:f>
        <x:v>#NAME?</x:v>
      </x:c>
      <x:c r="P279" t="e">
        <x:f>IF($A279="","",[1]!thsiFinD("ths_adjustment_nv_fund",P$3,$A279))</x:f>
        <x:v>#NAME?</x:v>
      </x:c>
      <x:c r="Q279" t="e">
        <x:f>IF($A279="","",[1]!thsiFinD("ths_adjustment_nv_fund",Q$3,$A279))</x:f>
        <x:v>#NAME?</x:v>
      </x:c>
      <x:c r="R279" t="e">
        <x:f>IF($A279="","",[1]!thsiFinD("ths_adjustment_nv_fund",R$3,$A279))</x:f>
        <x:v>#NAME?</x:v>
      </x:c>
      <x:c r="S279" t="e">
        <x:f>IF($A279="","",[1]!thsiFinD("ths_adjustment_nv_fund",S$3,$A279))</x:f>
        <x:v>#NAME?</x:v>
      </x:c>
      <x:c r="T279" t="e">
        <x:f>IF($A279="","",[1]!thsiFinD("ths_adjustment_nv_fund",T$3,$A279))</x:f>
        <x:v>#NAME?</x:v>
      </x:c>
      <x:c r="U279" t="e">
        <x:f>IF($A279="","",[1]!thsiFinD("ths_adjustment_nv_fund",U$3,$A279))</x:f>
        <x:v>#NAME?</x:v>
      </x:c>
      <x:c r="V279" t="e">
        <x:f>IF($A279="","",[1]!thsiFinD("ths_adjustment_nv_fund",V$3,$A279))</x:f>
        <x:v>#NAME?</x:v>
      </x:c>
      <x:c r="W279" t="e">
        <x:f>IF($A279="","",[1]!thsiFinD("ths_adjustment_nv_fund",W$3,$A279))</x:f>
        <x:v>#NAME?</x:v>
      </x:c>
      <x:c r="X279" t="e">
        <x:f>IF($A279="","",[1]!thsiFinD("ths_adjustment_nv_fund",X$3,$A279))</x:f>
        <x:v>#NAME?</x:v>
      </x:c>
      <x:c r="Y279" t="e">
        <x:f>IF($A279="","",[1]!thsiFinD("ths_adjustment_nv_fund",Y$3,$A279))</x:f>
        <x:v>#NAME?</x:v>
      </x:c>
    </x:row>
    <x:row r="280">
      <x:c r="B280" t="e">
        <x:f>IF($A280="","",[1]!thsiFinD("ths_adjustment_nv_fund",B$3,$A280))</x:f>
        <x:v>#NAME?</x:v>
      </x:c>
      <x:c r="C280" t="e">
        <x:f>IF($A280="","",[1]!thsiFinD("ths_adjustment_nv_fund",C$3,$A280))</x:f>
        <x:v>#NAME?</x:v>
      </x:c>
      <x:c r="D280" t="e">
        <x:f>IF($A280="","",[1]!thsiFinD("ths_adjustment_nv_fund",D$3,$A280))</x:f>
        <x:v>#NAME?</x:v>
      </x:c>
      <x:c r="E280" t="e">
        <x:f>IF($A280="","",[1]!thsiFinD("ths_adjustment_nv_fund",E$3,$A280))</x:f>
        <x:v>#NAME?</x:v>
      </x:c>
      <x:c r="F280" t="e">
        <x:f>IF($A280="","",[1]!thsiFinD("ths_adjustment_nv_fund",F$3,$A280))</x:f>
        <x:v>#NAME?</x:v>
      </x:c>
      <x:c r="G280" t="e">
        <x:f>IF($A280="","",[1]!thsiFinD("ths_adjustment_nv_fund",G$3,$A280))</x:f>
        <x:v>#NAME?</x:v>
      </x:c>
      <x:c r="H280" t="e">
        <x:f>IF($A280="","",[1]!thsiFinD("ths_adjustment_nv_fund",H$3,$A280))</x:f>
        <x:v>#NAME?</x:v>
      </x:c>
      <x:c r="I280" t="e">
        <x:f>IF($A280="","",[1]!thsiFinD("ths_adjustment_nv_fund",I$3,$A280))</x:f>
        <x:v>#NAME?</x:v>
      </x:c>
      <x:c r="J280" t="e">
        <x:f>IF($A280="","",[1]!thsiFinD("ths_adjustment_nv_fund",J$3,$A280))</x:f>
        <x:v>#NAME?</x:v>
      </x:c>
      <x:c r="K280" t="e">
        <x:f>IF($A280="","",[1]!thsiFinD("ths_adjustment_nv_fund",K$3,$A280))</x:f>
        <x:v>#NAME?</x:v>
      </x:c>
      <x:c r="L280" t="e">
        <x:f>IF($A280="","",[1]!thsiFinD("ths_adjustment_nv_fund",L$3,$A280))</x:f>
        <x:v>#NAME?</x:v>
      </x:c>
      <x:c r="M280" t="e">
        <x:f>IF($A280="","",[1]!thsiFinD("ths_adjustment_nv_fund",M$3,$A280))</x:f>
        <x:v>#NAME?</x:v>
      </x:c>
      <x:c r="N280" t="e">
        <x:f>IF($A280="","",[1]!thsiFinD("ths_adjustment_nv_fund",N$3,$A280))</x:f>
        <x:v>#NAME?</x:v>
      </x:c>
      <x:c r="O280" t="e">
        <x:f>IF($A280="","",[1]!thsiFinD("ths_adjustment_nv_fund",O$3,$A280))</x:f>
        <x:v>#NAME?</x:v>
      </x:c>
      <x:c r="P280" t="e">
        <x:f>IF($A280="","",[1]!thsiFinD("ths_adjustment_nv_fund",P$3,$A280))</x:f>
        <x:v>#NAME?</x:v>
      </x:c>
      <x:c r="Q280" t="e">
        <x:f>IF($A280="","",[1]!thsiFinD("ths_adjustment_nv_fund",Q$3,$A280))</x:f>
        <x:v>#NAME?</x:v>
      </x:c>
      <x:c r="R280" t="e">
        <x:f>IF($A280="","",[1]!thsiFinD("ths_adjustment_nv_fund",R$3,$A280))</x:f>
        <x:v>#NAME?</x:v>
      </x:c>
      <x:c r="S280" t="e">
        <x:f>IF($A280="","",[1]!thsiFinD("ths_adjustment_nv_fund",S$3,$A280))</x:f>
        <x:v>#NAME?</x:v>
      </x:c>
      <x:c r="T280" t="e">
        <x:f>IF($A280="","",[1]!thsiFinD("ths_adjustment_nv_fund",T$3,$A280))</x:f>
        <x:v>#NAME?</x:v>
      </x:c>
      <x:c r="U280" t="e">
        <x:f>IF($A280="","",[1]!thsiFinD("ths_adjustment_nv_fund",U$3,$A280))</x:f>
        <x:v>#NAME?</x:v>
      </x:c>
      <x:c r="V280" t="e">
        <x:f>IF($A280="","",[1]!thsiFinD("ths_adjustment_nv_fund",V$3,$A280))</x:f>
        <x:v>#NAME?</x:v>
      </x:c>
      <x:c r="W280" t="e">
        <x:f>IF($A280="","",[1]!thsiFinD("ths_adjustment_nv_fund",W$3,$A280))</x:f>
        <x:v>#NAME?</x:v>
      </x:c>
      <x:c r="X280" t="e">
        <x:f>IF($A280="","",[1]!thsiFinD("ths_adjustment_nv_fund",X$3,$A280))</x:f>
        <x:v>#NAME?</x:v>
      </x:c>
      <x:c r="Y280" t="e">
        <x:f>IF($A280="","",[1]!thsiFinD("ths_adjustment_nv_fund",Y$3,$A280))</x:f>
        <x:v>#NAME?</x:v>
      </x:c>
    </x:row>
    <x:row r="281">
      <x:c r="B281" t="e">
        <x:f>IF($A281="","",[1]!thsiFinD("ths_adjustment_nv_fund",B$3,$A281))</x:f>
        <x:v>#NAME?</x:v>
      </x:c>
      <x:c r="C281" t="e">
        <x:f>IF($A281="","",[1]!thsiFinD("ths_adjustment_nv_fund",C$3,$A281))</x:f>
        <x:v>#NAME?</x:v>
      </x:c>
      <x:c r="D281" t="e">
        <x:f>IF($A281="","",[1]!thsiFinD("ths_adjustment_nv_fund",D$3,$A281))</x:f>
        <x:v>#NAME?</x:v>
      </x:c>
      <x:c r="E281" t="e">
        <x:f>IF($A281="","",[1]!thsiFinD("ths_adjustment_nv_fund",E$3,$A281))</x:f>
        <x:v>#NAME?</x:v>
      </x:c>
      <x:c r="F281" t="e">
        <x:f>IF($A281="","",[1]!thsiFinD("ths_adjustment_nv_fund",F$3,$A281))</x:f>
        <x:v>#NAME?</x:v>
      </x:c>
      <x:c r="G281" t="e">
        <x:f>IF($A281="","",[1]!thsiFinD("ths_adjustment_nv_fund",G$3,$A281))</x:f>
        <x:v>#NAME?</x:v>
      </x:c>
      <x:c r="H281" t="e">
        <x:f>IF($A281="","",[1]!thsiFinD("ths_adjustment_nv_fund",H$3,$A281))</x:f>
        <x:v>#NAME?</x:v>
      </x:c>
      <x:c r="I281" t="e">
        <x:f>IF($A281="","",[1]!thsiFinD("ths_adjustment_nv_fund",I$3,$A281))</x:f>
        <x:v>#NAME?</x:v>
      </x:c>
      <x:c r="J281" t="e">
        <x:f>IF($A281="","",[1]!thsiFinD("ths_adjustment_nv_fund",J$3,$A281))</x:f>
        <x:v>#NAME?</x:v>
      </x:c>
      <x:c r="K281" t="e">
        <x:f>IF($A281="","",[1]!thsiFinD("ths_adjustment_nv_fund",K$3,$A281))</x:f>
        <x:v>#NAME?</x:v>
      </x:c>
      <x:c r="L281" t="e">
        <x:f>IF($A281="","",[1]!thsiFinD("ths_adjustment_nv_fund",L$3,$A281))</x:f>
        <x:v>#NAME?</x:v>
      </x:c>
      <x:c r="M281" t="e">
        <x:f>IF($A281="","",[1]!thsiFinD("ths_adjustment_nv_fund",M$3,$A281))</x:f>
        <x:v>#NAME?</x:v>
      </x:c>
      <x:c r="N281" t="e">
        <x:f>IF($A281="","",[1]!thsiFinD("ths_adjustment_nv_fund",N$3,$A281))</x:f>
        <x:v>#NAME?</x:v>
      </x:c>
      <x:c r="O281" t="e">
        <x:f>IF($A281="","",[1]!thsiFinD("ths_adjustment_nv_fund",O$3,$A281))</x:f>
        <x:v>#NAME?</x:v>
      </x:c>
      <x:c r="P281" t="e">
        <x:f>IF($A281="","",[1]!thsiFinD("ths_adjustment_nv_fund",P$3,$A281))</x:f>
        <x:v>#NAME?</x:v>
      </x:c>
      <x:c r="Q281" t="e">
        <x:f>IF($A281="","",[1]!thsiFinD("ths_adjustment_nv_fund",Q$3,$A281))</x:f>
        <x:v>#NAME?</x:v>
      </x:c>
      <x:c r="R281" t="e">
        <x:f>IF($A281="","",[1]!thsiFinD("ths_adjustment_nv_fund",R$3,$A281))</x:f>
        <x:v>#NAME?</x:v>
      </x:c>
      <x:c r="S281" t="e">
        <x:f>IF($A281="","",[1]!thsiFinD("ths_adjustment_nv_fund",S$3,$A281))</x:f>
        <x:v>#NAME?</x:v>
      </x:c>
      <x:c r="T281" t="e">
        <x:f>IF($A281="","",[1]!thsiFinD("ths_adjustment_nv_fund",T$3,$A281))</x:f>
        <x:v>#NAME?</x:v>
      </x:c>
      <x:c r="U281" t="e">
        <x:f>IF($A281="","",[1]!thsiFinD("ths_adjustment_nv_fund",U$3,$A281))</x:f>
        <x:v>#NAME?</x:v>
      </x:c>
      <x:c r="V281" t="e">
        <x:f>IF($A281="","",[1]!thsiFinD("ths_adjustment_nv_fund",V$3,$A281))</x:f>
        <x:v>#NAME?</x:v>
      </x:c>
      <x:c r="W281" t="e">
        <x:f>IF($A281="","",[1]!thsiFinD("ths_adjustment_nv_fund",W$3,$A281))</x:f>
        <x:v>#NAME?</x:v>
      </x:c>
      <x:c r="X281" t="e">
        <x:f>IF($A281="","",[1]!thsiFinD("ths_adjustment_nv_fund",X$3,$A281))</x:f>
        <x:v>#NAME?</x:v>
      </x:c>
      <x:c r="Y281" t="e">
        <x:f>IF($A281="","",[1]!thsiFinD("ths_adjustment_nv_fund",Y$3,$A281))</x:f>
        <x:v>#NAME?</x:v>
      </x:c>
    </x:row>
    <x:row r="282">
      <x:c r="B282" t="e">
        <x:f>IF($A282="","",[1]!thsiFinD("ths_adjustment_nv_fund",B$3,$A282))</x:f>
        <x:v>#NAME?</x:v>
      </x:c>
      <x:c r="C282" t="e">
        <x:f>IF($A282="","",[1]!thsiFinD("ths_adjustment_nv_fund",C$3,$A282))</x:f>
        <x:v>#NAME?</x:v>
      </x:c>
      <x:c r="D282" t="e">
        <x:f>IF($A282="","",[1]!thsiFinD("ths_adjustment_nv_fund",D$3,$A282))</x:f>
        <x:v>#NAME?</x:v>
      </x:c>
      <x:c r="E282" t="e">
        <x:f>IF($A282="","",[1]!thsiFinD("ths_adjustment_nv_fund",E$3,$A282))</x:f>
        <x:v>#NAME?</x:v>
      </x:c>
      <x:c r="F282" t="e">
        <x:f>IF($A282="","",[1]!thsiFinD("ths_adjustment_nv_fund",F$3,$A282))</x:f>
        <x:v>#NAME?</x:v>
      </x:c>
      <x:c r="G282" t="e">
        <x:f>IF($A282="","",[1]!thsiFinD("ths_adjustment_nv_fund",G$3,$A282))</x:f>
        <x:v>#NAME?</x:v>
      </x:c>
      <x:c r="H282" t="e">
        <x:f>IF($A282="","",[1]!thsiFinD("ths_adjustment_nv_fund",H$3,$A282))</x:f>
        <x:v>#NAME?</x:v>
      </x:c>
      <x:c r="I282" t="e">
        <x:f>IF($A282="","",[1]!thsiFinD("ths_adjustment_nv_fund",I$3,$A282))</x:f>
        <x:v>#NAME?</x:v>
      </x:c>
      <x:c r="J282" t="e">
        <x:f>IF($A282="","",[1]!thsiFinD("ths_adjustment_nv_fund",J$3,$A282))</x:f>
        <x:v>#NAME?</x:v>
      </x:c>
      <x:c r="K282" t="e">
        <x:f>IF($A282="","",[1]!thsiFinD("ths_adjustment_nv_fund",K$3,$A282))</x:f>
        <x:v>#NAME?</x:v>
      </x:c>
      <x:c r="L282" t="e">
        <x:f>IF($A282="","",[1]!thsiFinD("ths_adjustment_nv_fund",L$3,$A282))</x:f>
        <x:v>#NAME?</x:v>
      </x:c>
      <x:c r="M282" t="e">
        <x:f>IF($A282="","",[1]!thsiFinD("ths_adjustment_nv_fund",M$3,$A282))</x:f>
        <x:v>#NAME?</x:v>
      </x:c>
      <x:c r="N282" t="e">
        <x:f>IF($A282="","",[1]!thsiFinD("ths_adjustment_nv_fund",N$3,$A282))</x:f>
        <x:v>#NAME?</x:v>
      </x:c>
      <x:c r="O282" t="e">
        <x:f>IF($A282="","",[1]!thsiFinD("ths_adjustment_nv_fund",O$3,$A282))</x:f>
        <x:v>#NAME?</x:v>
      </x:c>
      <x:c r="P282" t="e">
        <x:f>IF($A282="","",[1]!thsiFinD("ths_adjustment_nv_fund",P$3,$A282))</x:f>
        <x:v>#NAME?</x:v>
      </x:c>
      <x:c r="Q282" t="e">
        <x:f>IF($A282="","",[1]!thsiFinD("ths_adjustment_nv_fund",Q$3,$A282))</x:f>
        <x:v>#NAME?</x:v>
      </x:c>
      <x:c r="R282" t="e">
        <x:f>IF($A282="","",[1]!thsiFinD("ths_adjustment_nv_fund",R$3,$A282))</x:f>
        <x:v>#NAME?</x:v>
      </x:c>
      <x:c r="S282" t="e">
        <x:f>IF($A282="","",[1]!thsiFinD("ths_adjustment_nv_fund",S$3,$A282))</x:f>
        <x:v>#NAME?</x:v>
      </x:c>
      <x:c r="T282" t="e">
        <x:f>IF($A282="","",[1]!thsiFinD("ths_adjustment_nv_fund",T$3,$A282))</x:f>
        <x:v>#NAME?</x:v>
      </x:c>
      <x:c r="U282" t="e">
        <x:f>IF($A282="","",[1]!thsiFinD("ths_adjustment_nv_fund",U$3,$A282))</x:f>
        <x:v>#NAME?</x:v>
      </x:c>
      <x:c r="V282" t="e">
        <x:f>IF($A282="","",[1]!thsiFinD("ths_adjustment_nv_fund",V$3,$A282))</x:f>
        <x:v>#NAME?</x:v>
      </x:c>
      <x:c r="W282" t="e">
        <x:f>IF($A282="","",[1]!thsiFinD("ths_adjustment_nv_fund",W$3,$A282))</x:f>
        <x:v>#NAME?</x:v>
      </x:c>
      <x:c r="X282" t="e">
        <x:f>IF($A282="","",[1]!thsiFinD("ths_adjustment_nv_fund",X$3,$A282))</x:f>
        <x:v>#NAME?</x:v>
      </x:c>
      <x:c r="Y282" t="e">
        <x:f>IF($A282="","",[1]!thsiFinD("ths_adjustment_nv_fund",Y$3,$A282))</x:f>
        <x:v>#NAME?</x:v>
      </x:c>
    </x:row>
    <x:row r="283">
      <x:c r="B283" t="e">
        <x:f>IF($A283="","",[1]!thsiFinD("ths_adjustment_nv_fund",B$3,$A283))</x:f>
        <x:v>#NAME?</x:v>
      </x:c>
      <x:c r="C283" t="e">
        <x:f>IF($A283="","",[1]!thsiFinD("ths_adjustment_nv_fund",C$3,$A283))</x:f>
        <x:v>#NAME?</x:v>
      </x:c>
      <x:c r="D283" t="e">
        <x:f>IF($A283="","",[1]!thsiFinD("ths_adjustment_nv_fund",D$3,$A283))</x:f>
        <x:v>#NAME?</x:v>
      </x:c>
      <x:c r="E283" t="e">
        <x:f>IF($A283="","",[1]!thsiFinD("ths_adjustment_nv_fund",E$3,$A283))</x:f>
        <x:v>#NAME?</x:v>
      </x:c>
      <x:c r="F283" t="e">
        <x:f>IF($A283="","",[1]!thsiFinD("ths_adjustment_nv_fund",F$3,$A283))</x:f>
        <x:v>#NAME?</x:v>
      </x:c>
      <x:c r="G283" t="e">
        <x:f>IF($A283="","",[1]!thsiFinD("ths_adjustment_nv_fund",G$3,$A283))</x:f>
        <x:v>#NAME?</x:v>
      </x:c>
      <x:c r="H283" t="e">
        <x:f>IF($A283="","",[1]!thsiFinD("ths_adjustment_nv_fund",H$3,$A283))</x:f>
        <x:v>#NAME?</x:v>
      </x:c>
      <x:c r="I283" t="e">
        <x:f>IF($A283="","",[1]!thsiFinD("ths_adjustment_nv_fund",I$3,$A283))</x:f>
        <x:v>#NAME?</x:v>
      </x:c>
      <x:c r="J283" t="e">
        <x:f>IF($A283="","",[1]!thsiFinD("ths_adjustment_nv_fund",J$3,$A283))</x:f>
        <x:v>#NAME?</x:v>
      </x:c>
      <x:c r="K283" t="e">
        <x:f>IF($A283="","",[1]!thsiFinD("ths_adjustment_nv_fund",K$3,$A283))</x:f>
        <x:v>#NAME?</x:v>
      </x:c>
      <x:c r="L283" t="e">
        <x:f>IF($A283="","",[1]!thsiFinD("ths_adjustment_nv_fund",L$3,$A283))</x:f>
        <x:v>#NAME?</x:v>
      </x:c>
      <x:c r="M283" t="e">
        <x:f>IF($A283="","",[1]!thsiFinD("ths_adjustment_nv_fund",M$3,$A283))</x:f>
        <x:v>#NAME?</x:v>
      </x:c>
      <x:c r="N283" t="e">
        <x:f>IF($A283="","",[1]!thsiFinD("ths_adjustment_nv_fund",N$3,$A283))</x:f>
        <x:v>#NAME?</x:v>
      </x:c>
      <x:c r="O283" t="e">
        <x:f>IF($A283="","",[1]!thsiFinD("ths_adjustment_nv_fund",O$3,$A283))</x:f>
        <x:v>#NAME?</x:v>
      </x:c>
      <x:c r="P283" t="e">
        <x:f>IF($A283="","",[1]!thsiFinD("ths_adjustment_nv_fund",P$3,$A283))</x:f>
        <x:v>#NAME?</x:v>
      </x:c>
      <x:c r="Q283" t="e">
        <x:f>IF($A283="","",[1]!thsiFinD("ths_adjustment_nv_fund",Q$3,$A283))</x:f>
        <x:v>#NAME?</x:v>
      </x:c>
      <x:c r="R283" t="e">
        <x:f>IF($A283="","",[1]!thsiFinD("ths_adjustment_nv_fund",R$3,$A283))</x:f>
        <x:v>#NAME?</x:v>
      </x:c>
      <x:c r="S283" t="e">
        <x:f>IF($A283="","",[1]!thsiFinD("ths_adjustment_nv_fund",S$3,$A283))</x:f>
        <x:v>#NAME?</x:v>
      </x:c>
      <x:c r="T283" t="e">
        <x:f>IF($A283="","",[1]!thsiFinD("ths_adjustment_nv_fund",T$3,$A283))</x:f>
        <x:v>#NAME?</x:v>
      </x:c>
      <x:c r="U283" t="e">
        <x:f>IF($A283="","",[1]!thsiFinD("ths_adjustment_nv_fund",U$3,$A283))</x:f>
        <x:v>#NAME?</x:v>
      </x:c>
      <x:c r="V283" t="e">
        <x:f>IF($A283="","",[1]!thsiFinD("ths_adjustment_nv_fund",V$3,$A283))</x:f>
        <x:v>#NAME?</x:v>
      </x:c>
      <x:c r="W283" t="e">
        <x:f>IF($A283="","",[1]!thsiFinD("ths_adjustment_nv_fund",W$3,$A283))</x:f>
        <x:v>#NAME?</x:v>
      </x:c>
      <x:c r="X283" t="e">
        <x:f>IF($A283="","",[1]!thsiFinD("ths_adjustment_nv_fund",X$3,$A283))</x:f>
        <x:v>#NAME?</x:v>
      </x:c>
      <x:c r="Y283" t="e">
        <x:f>IF($A283="","",[1]!thsiFinD("ths_adjustment_nv_fund",Y$3,$A283))</x:f>
        <x:v>#NAME?</x:v>
      </x:c>
    </x:row>
    <x:row r="284">
      <x:c r="B284" t="e">
        <x:f>IF($A284="","",[1]!thsiFinD("ths_adjustment_nv_fund",B$3,$A284))</x:f>
        <x:v>#NAME?</x:v>
      </x:c>
      <x:c r="C284" t="e">
        <x:f>IF($A284="","",[1]!thsiFinD("ths_adjustment_nv_fund",C$3,$A284))</x:f>
        <x:v>#NAME?</x:v>
      </x:c>
      <x:c r="D284" t="e">
        <x:f>IF($A284="","",[1]!thsiFinD("ths_adjustment_nv_fund",D$3,$A284))</x:f>
        <x:v>#NAME?</x:v>
      </x:c>
      <x:c r="E284" t="e">
        <x:f>IF($A284="","",[1]!thsiFinD("ths_adjustment_nv_fund",E$3,$A284))</x:f>
        <x:v>#NAME?</x:v>
      </x:c>
      <x:c r="F284" t="e">
        <x:f>IF($A284="","",[1]!thsiFinD("ths_adjustment_nv_fund",F$3,$A284))</x:f>
        <x:v>#NAME?</x:v>
      </x:c>
      <x:c r="G284" t="e">
        <x:f>IF($A284="","",[1]!thsiFinD("ths_adjustment_nv_fund",G$3,$A284))</x:f>
        <x:v>#NAME?</x:v>
      </x:c>
      <x:c r="H284" t="e">
        <x:f>IF($A284="","",[1]!thsiFinD("ths_adjustment_nv_fund",H$3,$A284))</x:f>
        <x:v>#NAME?</x:v>
      </x:c>
      <x:c r="I284" t="e">
        <x:f>IF($A284="","",[1]!thsiFinD("ths_adjustment_nv_fund",I$3,$A284))</x:f>
        <x:v>#NAME?</x:v>
      </x:c>
      <x:c r="J284" t="e">
        <x:f>IF($A284="","",[1]!thsiFinD("ths_adjustment_nv_fund",J$3,$A284))</x:f>
        <x:v>#NAME?</x:v>
      </x:c>
      <x:c r="K284" t="e">
        <x:f>IF($A284="","",[1]!thsiFinD("ths_adjustment_nv_fund",K$3,$A284))</x:f>
        <x:v>#NAME?</x:v>
      </x:c>
      <x:c r="L284" t="e">
        <x:f>IF($A284="","",[1]!thsiFinD("ths_adjustment_nv_fund",L$3,$A284))</x:f>
        <x:v>#NAME?</x:v>
      </x:c>
      <x:c r="M284" t="e">
        <x:f>IF($A284="","",[1]!thsiFinD("ths_adjustment_nv_fund",M$3,$A284))</x:f>
        <x:v>#NAME?</x:v>
      </x:c>
      <x:c r="N284" t="e">
        <x:f>IF($A284="","",[1]!thsiFinD("ths_adjustment_nv_fund",N$3,$A284))</x:f>
        <x:v>#NAME?</x:v>
      </x:c>
      <x:c r="O284" t="e">
        <x:f>IF($A284="","",[1]!thsiFinD("ths_adjustment_nv_fund",O$3,$A284))</x:f>
        <x:v>#NAME?</x:v>
      </x:c>
      <x:c r="P284" t="e">
        <x:f>IF($A284="","",[1]!thsiFinD("ths_adjustment_nv_fund",P$3,$A284))</x:f>
        <x:v>#NAME?</x:v>
      </x:c>
      <x:c r="Q284" t="e">
        <x:f>IF($A284="","",[1]!thsiFinD("ths_adjustment_nv_fund",Q$3,$A284))</x:f>
        <x:v>#NAME?</x:v>
      </x:c>
      <x:c r="R284" t="e">
        <x:f>IF($A284="","",[1]!thsiFinD("ths_adjustment_nv_fund",R$3,$A284))</x:f>
        <x:v>#NAME?</x:v>
      </x:c>
      <x:c r="S284" t="e">
        <x:f>IF($A284="","",[1]!thsiFinD("ths_adjustment_nv_fund",S$3,$A284))</x:f>
        <x:v>#NAME?</x:v>
      </x:c>
      <x:c r="T284" t="e">
        <x:f>IF($A284="","",[1]!thsiFinD("ths_adjustment_nv_fund",T$3,$A284))</x:f>
        <x:v>#NAME?</x:v>
      </x:c>
      <x:c r="U284" t="e">
        <x:f>IF($A284="","",[1]!thsiFinD("ths_adjustment_nv_fund",U$3,$A284))</x:f>
        <x:v>#NAME?</x:v>
      </x:c>
      <x:c r="V284" t="e">
        <x:f>IF($A284="","",[1]!thsiFinD("ths_adjustment_nv_fund",V$3,$A284))</x:f>
        <x:v>#NAME?</x:v>
      </x:c>
      <x:c r="W284" t="e">
        <x:f>IF($A284="","",[1]!thsiFinD("ths_adjustment_nv_fund",W$3,$A284))</x:f>
        <x:v>#NAME?</x:v>
      </x:c>
      <x:c r="X284" t="e">
        <x:f>IF($A284="","",[1]!thsiFinD("ths_adjustment_nv_fund",X$3,$A284))</x:f>
        <x:v>#NAME?</x:v>
      </x:c>
      <x:c r="Y284" t="e">
        <x:f>IF($A284="","",[1]!thsiFinD("ths_adjustment_nv_fund",Y$3,$A284))</x:f>
        <x:v>#NAME?</x:v>
      </x:c>
    </x:row>
    <x:row r="285">
      <x:c r="B285" t="e">
        <x:f>IF($A285="","",[1]!thsiFinD("ths_adjustment_nv_fund",B$3,$A285))</x:f>
        <x:v>#NAME?</x:v>
      </x:c>
      <x:c r="C285" t="e">
        <x:f>IF($A285="","",[1]!thsiFinD("ths_adjustment_nv_fund",C$3,$A285))</x:f>
        <x:v>#NAME?</x:v>
      </x:c>
      <x:c r="D285" t="e">
        <x:f>IF($A285="","",[1]!thsiFinD("ths_adjustment_nv_fund",D$3,$A285))</x:f>
        <x:v>#NAME?</x:v>
      </x:c>
      <x:c r="E285" t="e">
        <x:f>IF($A285="","",[1]!thsiFinD("ths_adjustment_nv_fund",E$3,$A285))</x:f>
        <x:v>#NAME?</x:v>
      </x:c>
      <x:c r="F285" t="e">
        <x:f>IF($A285="","",[1]!thsiFinD("ths_adjustment_nv_fund",F$3,$A285))</x:f>
        <x:v>#NAME?</x:v>
      </x:c>
      <x:c r="G285" t="e">
        <x:f>IF($A285="","",[1]!thsiFinD("ths_adjustment_nv_fund",G$3,$A285))</x:f>
        <x:v>#NAME?</x:v>
      </x:c>
      <x:c r="H285" t="e">
        <x:f>IF($A285="","",[1]!thsiFinD("ths_adjustment_nv_fund",H$3,$A285))</x:f>
        <x:v>#NAME?</x:v>
      </x:c>
      <x:c r="I285" t="e">
        <x:f>IF($A285="","",[1]!thsiFinD("ths_adjustment_nv_fund",I$3,$A285))</x:f>
        <x:v>#NAME?</x:v>
      </x:c>
      <x:c r="J285" t="e">
        <x:f>IF($A285="","",[1]!thsiFinD("ths_adjustment_nv_fund",J$3,$A285))</x:f>
        <x:v>#NAME?</x:v>
      </x:c>
      <x:c r="K285" t="e">
        <x:f>IF($A285="","",[1]!thsiFinD("ths_adjustment_nv_fund",K$3,$A285))</x:f>
        <x:v>#NAME?</x:v>
      </x:c>
      <x:c r="L285" t="e">
        <x:f>IF($A285="","",[1]!thsiFinD("ths_adjustment_nv_fund",L$3,$A285))</x:f>
        <x:v>#NAME?</x:v>
      </x:c>
      <x:c r="M285" t="e">
        <x:f>IF($A285="","",[1]!thsiFinD("ths_adjustment_nv_fund",M$3,$A285))</x:f>
        <x:v>#NAME?</x:v>
      </x:c>
      <x:c r="N285" t="e">
        <x:f>IF($A285="","",[1]!thsiFinD("ths_adjustment_nv_fund",N$3,$A285))</x:f>
        <x:v>#NAME?</x:v>
      </x:c>
      <x:c r="O285" t="e">
        <x:f>IF($A285="","",[1]!thsiFinD("ths_adjustment_nv_fund",O$3,$A285))</x:f>
        <x:v>#NAME?</x:v>
      </x:c>
      <x:c r="P285" t="e">
        <x:f>IF($A285="","",[1]!thsiFinD("ths_adjustment_nv_fund",P$3,$A285))</x:f>
        <x:v>#NAME?</x:v>
      </x:c>
      <x:c r="Q285" t="e">
        <x:f>IF($A285="","",[1]!thsiFinD("ths_adjustment_nv_fund",Q$3,$A285))</x:f>
        <x:v>#NAME?</x:v>
      </x:c>
      <x:c r="R285" t="e">
        <x:f>IF($A285="","",[1]!thsiFinD("ths_adjustment_nv_fund",R$3,$A285))</x:f>
        <x:v>#NAME?</x:v>
      </x:c>
      <x:c r="S285" t="e">
        <x:f>IF($A285="","",[1]!thsiFinD("ths_adjustment_nv_fund",S$3,$A285))</x:f>
        <x:v>#NAME?</x:v>
      </x:c>
      <x:c r="T285" t="e">
        <x:f>IF($A285="","",[1]!thsiFinD("ths_adjustment_nv_fund",T$3,$A285))</x:f>
        <x:v>#NAME?</x:v>
      </x:c>
      <x:c r="U285" t="e">
        <x:f>IF($A285="","",[1]!thsiFinD("ths_adjustment_nv_fund",U$3,$A285))</x:f>
        <x:v>#NAME?</x:v>
      </x:c>
      <x:c r="V285" t="e">
        <x:f>IF($A285="","",[1]!thsiFinD("ths_adjustment_nv_fund",V$3,$A285))</x:f>
        <x:v>#NAME?</x:v>
      </x:c>
      <x:c r="W285" t="e">
        <x:f>IF($A285="","",[1]!thsiFinD("ths_adjustment_nv_fund",W$3,$A285))</x:f>
        <x:v>#NAME?</x:v>
      </x:c>
      <x:c r="X285" t="e">
        <x:f>IF($A285="","",[1]!thsiFinD("ths_adjustment_nv_fund",X$3,$A285))</x:f>
        <x:v>#NAME?</x:v>
      </x:c>
      <x:c r="Y285" t="e">
        <x:f>IF($A285="","",[1]!thsiFinD("ths_adjustment_nv_fund",Y$3,$A285))</x:f>
        <x:v>#NAME?</x:v>
      </x:c>
    </x:row>
    <x:row r="286">
      <x:c r="B286" t="e">
        <x:f>IF($A286="","",[1]!thsiFinD("ths_adjustment_nv_fund",B$3,$A286))</x:f>
        <x:v>#NAME?</x:v>
      </x:c>
      <x:c r="C286" t="e">
        <x:f>IF($A286="","",[1]!thsiFinD("ths_adjustment_nv_fund",C$3,$A286))</x:f>
        <x:v>#NAME?</x:v>
      </x:c>
      <x:c r="D286" t="e">
        <x:f>IF($A286="","",[1]!thsiFinD("ths_adjustment_nv_fund",D$3,$A286))</x:f>
        <x:v>#NAME?</x:v>
      </x:c>
      <x:c r="E286" t="e">
        <x:f>IF($A286="","",[1]!thsiFinD("ths_adjustment_nv_fund",E$3,$A286))</x:f>
        <x:v>#NAME?</x:v>
      </x:c>
      <x:c r="F286" t="e">
        <x:f>IF($A286="","",[1]!thsiFinD("ths_adjustment_nv_fund",F$3,$A286))</x:f>
        <x:v>#NAME?</x:v>
      </x:c>
      <x:c r="G286" t="e">
        <x:f>IF($A286="","",[1]!thsiFinD("ths_adjustment_nv_fund",G$3,$A286))</x:f>
        <x:v>#NAME?</x:v>
      </x:c>
      <x:c r="H286" t="e">
        <x:f>IF($A286="","",[1]!thsiFinD("ths_adjustment_nv_fund",H$3,$A286))</x:f>
        <x:v>#NAME?</x:v>
      </x:c>
      <x:c r="I286" t="e">
        <x:f>IF($A286="","",[1]!thsiFinD("ths_adjustment_nv_fund",I$3,$A286))</x:f>
        <x:v>#NAME?</x:v>
      </x:c>
      <x:c r="J286" t="e">
        <x:f>IF($A286="","",[1]!thsiFinD("ths_adjustment_nv_fund",J$3,$A286))</x:f>
        <x:v>#NAME?</x:v>
      </x:c>
      <x:c r="K286" t="e">
        <x:f>IF($A286="","",[1]!thsiFinD("ths_adjustment_nv_fund",K$3,$A286))</x:f>
        <x:v>#NAME?</x:v>
      </x:c>
      <x:c r="L286" t="e">
        <x:f>IF($A286="","",[1]!thsiFinD("ths_adjustment_nv_fund",L$3,$A286))</x:f>
        <x:v>#NAME?</x:v>
      </x:c>
      <x:c r="M286" t="e">
        <x:f>IF($A286="","",[1]!thsiFinD("ths_adjustment_nv_fund",M$3,$A286))</x:f>
        <x:v>#NAME?</x:v>
      </x:c>
      <x:c r="N286" t="e">
        <x:f>IF($A286="","",[1]!thsiFinD("ths_adjustment_nv_fund",N$3,$A286))</x:f>
        <x:v>#NAME?</x:v>
      </x:c>
      <x:c r="O286" t="e">
        <x:f>IF($A286="","",[1]!thsiFinD("ths_adjustment_nv_fund",O$3,$A286))</x:f>
        <x:v>#NAME?</x:v>
      </x:c>
      <x:c r="P286" t="e">
        <x:f>IF($A286="","",[1]!thsiFinD("ths_adjustment_nv_fund",P$3,$A286))</x:f>
        <x:v>#NAME?</x:v>
      </x:c>
      <x:c r="Q286" t="e">
        <x:f>IF($A286="","",[1]!thsiFinD("ths_adjustment_nv_fund",Q$3,$A286))</x:f>
        <x:v>#NAME?</x:v>
      </x:c>
      <x:c r="R286" t="e">
        <x:f>IF($A286="","",[1]!thsiFinD("ths_adjustment_nv_fund",R$3,$A286))</x:f>
        <x:v>#NAME?</x:v>
      </x:c>
      <x:c r="S286" t="e">
        <x:f>IF($A286="","",[1]!thsiFinD("ths_adjustment_nv_fund",S$3,$A286))</x:f>
        <x:v>#NAME?</x:v>
      </x:c>
      <x:c r="T286" t="e">
        <x:f>IF($A286="","",[1]!thsiFinD("ths_adjustment_nv_fund",T$3,$A286))</x:f>
        <x:v>#NAME?</x:v>
      </x:c>
      <x:c r="U286" t="e">
        <x:f>IF($A286="","",[1]!thsiFinD("ths_adjustment_nv_fund",U$3,$A286))</x:f>
        <x:v>#NAME?</x:v>
      </x:c>
      <x:c r="V286" t="e">
        <x:f>IF($A286="","",[1]!thsiFinD("ths_adjustment_nv_fund",V$3,$A286))</x:f>
        <x:v>#NAME?</x:v>
      </x:c>
      <x:c r="W286" t="e">
        <x:f>IF($A286="","",[1]!thsiFinD("ths_adjustment_nv_fund",W$3,$A286))</x:f>
        <x:v>#NAME?</x:v>
      </x:c>
      <x:c r="X286" t="e">
        <x:f>IF($A286="","",[1]!thsiFinD("ths_adjustment_nv_fund",X$3,$A286))</x:f>
        <x:v>#NAME?</x:v>
      </x:c>
      <x:c r="Y286" t="e">
        <x:f>IF($A286="","",[1]!thsiFinD("ths_adjustment_nv_fund",Y$3,$A286))</x:f>
        <x:v>#NAME?</x:v>
      </x:c>
    </x:row>
    <x:row r="287">
      <x:c r="B287" t="e">
        <x:f>IF($A287="","",[1]!thsiFinD("ths_adjustment_nv_fund",B$3,$A287))</x:f>
        <x:v>#NAME?</x:v>
      </x:c>
      <x:c r="C287" t="e">
        <x:f>IF($A287="","",[1]!thsiFinD("ths_adjustment_nv_fund",C$3,$A287))</x:f>
        <x:v>#NAME?</x:v>
      </x:c>
      <x:c r="D287" t="e">
        <x:f>IF($A287="","",[1]!thsiFinD("ths_adjustment_nv_fund",D$3,$A287))</x:f>
        <x:v>#NAME?</x:v>
      </x:c>
      <x:c r="E287" t="e">
        <x:f>IF($A287="","",[1]!thsiFinD("ths_adjustment_nv_fund",E$3,$A287))</x:f>
        <x:v>#NAME?</x:v>
      </x:c>
      <x:c r="F287" t="e">
        <x:f>IF($A287="","",[1]!thsiFinD("ths_adjustment_nv_fund",F$3,$A287))</x:f>
        <x:v>#NAME?</x:v>
      </x:c>
      <x:c r="G287" t="e">
        <x:f>IF($A287="","",[1]!thsiFinD("ths_adjustment_nv_fund",G$3,$A287))</x:f>
        <x:v>#NAME?</x:v>
      </x:c>
      <x:c r="H287" t="e">
        <x:f>IF($A287="","",[1]!thsiFinD("ths_adjustment_nv_fund",H$3,$A287))</x:f>
        <x:v>#NAME?</x:v>
      </x:c>
      <x:c r="I287" t="e">
        <x:f>IF($A287="","",[1]!thsiFinD("ths_adjustment_nv_fund",I$3,$A287))</x:f>
        <x:v>#NAME?</x:v>
      </x:c>
      <x:c r="J287" t="e">
        <x:f>IF($A287="","",[1]!thsiFinD("ths_adjustment_nv_fund",J$3,$A287))</x:f>
        <x:v>#NAME?</x:v>
      </x:c>
      <x:c r="K287" t="e">
        <x:f>IF($A287="","",[1]!thsiFinD("ths_adjustment_nv_fund",K$3,$A287))</x:f>
        <x:v>#NAME?</x:v>
      </x:c>
      <x:c r="L287" t="e">
        <x:f>IF($A287="","",[1]!thsiFinD("ths_adjustment_nv_fund",L$3,$A287))</x:f>
        <x:v>#NAME?</x:v>
      </x:c>
      <x:c r="M287" t="e">
        <x:f>IF($A287="","",[1]!thsiFinD("ths_adjustment_nv_fund",M$3,$A287))</x:f>
        <x:v>#NAME?</x:v>
      </x:c>
      <x:c r="N287" t="e">
        <x:f>IF($A287="","",[1]!thsiFinD("ths_adjustment_nv_fund",N$3,$A287))</x:f>
        <x:v>#NAME?</x:v>
      </x:c>
      <x:c r="O287" t="e">
        <x:f>IF($A287="","",[1]!thsiFinD("ths_adjustment_nv_fund",O$3,$A287))</x:f>
        <x:v>#NAME?</x:v>
      </x:c>
      <x:c r="P287" t="e">
        <x:f>IF($A287="","",[1]!thsiFinD("ths_adjustment_nv_fund",P$3,$A287))</x:f>
        <x:v>#NAME?</x:v>
      </x:c>
      <x:c r="Q287" t="e">
        <x:f>IF($A287="","",[1]!thsiFinD("ths_adjustment_nv_fund",Q$3,$A287))</x:f>
        <x:v>#NAME?</x:v>
      </x:c>
      <x:c r="R287" t="e">
        <x:f>IF($A287="","",[1]!thsiFinD("ths_adjustment_nv_fund",R$3,$A287))</x:f>
        <x:v>#NAME?</x:v>
      </x:c>
      <x:c r="S287" t="e">
        <x:f>IF($A287="","",[1]!thsiFinD("ths_adjustment_nv_fund",S$3,$A287))</x:f>
        <x:v>#NAME?</x:v>
      </x:c>
      <x:c r="T287" t="e">
        <x:f>IF($A287="","",[1]!thsiFinD("ths_adjustment_nv_fund",T$3,$A287))</x:f>
        <x:v>#NAME?</x:v>
      </x:c>
      <x:c r="U287" t="e">
        <x:f>IF($A287="","",[1]!thsiFinD("ths_adjustment_nv_fund",U$3,$A287))</x:f>
        <x:v>#NAME?</x:v>
      </x:c>
      <x:c r="V287" t="e">
        <x:f>IF($A287="","",[1]!thsiFinD("ths_adjustment_nv_fund",V$3,$A287))</x:f>
        <x:v>#NAME?</x:v>
      </x:c>
      <x:c r="W287" t="e">
        <x:f>IF($A287="","",[1]!thsiFinD("ths_adjustment_nv_fund",W$3,$A287))</x:f>
        <x:v>#NAME?</x:v>
      </x:c>
      <x:c r="X287" t="e">
        <x:f>IF($A287="","",[1]!thsiFinD("ths_adjustment_nv_fund",X$3,$A287))</x:f>
        <x:v>#NAME?</x:v>
      </x:c>
      <x:c r="Y287" t="e">
        <x:f>IF($A287="","",[1]!thsiFinD("ths_adjustment_nv_fund",Y$3,$A287))</x:f>
        <x:v>#NAME?</x:v>
      </x:c>
    </x:row>
    <x:row r="288">
      <x:c r="B288" t="e">
        <x:f>IF($A288="","",[1]!thsiFinD("ths_adjustment_nv_fund",B$3,$A288))</x:f>
        <x:v>#NAME?</x:v>
      </x:c>
      <x:c r="C288" t="e">
        <x:f>IF($A288="","",[1]!thsiFinD("ths_adjustment_nv_fund",C$3,$A288))</x:f>
        <x:v>#NAME?</x:v>
      </x:c>
      <x:c r="D288" t="e">
        <x:f>IF($A288="","",[1]!thsiFinD("ths_adjustment_nv_fund",D$3,$A288))</x:f>
        <x:v>#NAME?</x:v>
      </x:c>
      <x:c r="E288" t="e">
        <x:f>IF($A288="","",[1]!thsiFinD("ths_adjustment_nv_fund",E$3,$A288))</x:f>
        <x:v>#NAME?</x:v>
      </x:c>
      <x:c r="F288" t="e">
        <x:f>IF($A288="","",[1]!thsiFinD("ths_adjustment_nv_fund",F$3,$A288))</x:f>
        <x:v>#NAME?</x:v>
      </x:c>
      <x:c r="G288" t="e">
        <x:f>IF($A288="","",[1]!thsiFinD("ths_adjustment_nv_fund",G$3,$A288))</x:f>
        <x:v>#NAME?</x:v>
      </x:c>
      <x:c r="H288" t="e">
        <x:f>IF($A288="","",[1]!thsiFinD("ths_adjustment_nv_fund",H$3,$A288))</x:f>
        <x:v>#NAME?</x:v>
      </x:c>
      <x:c r="I288" t="e">
        <x:f>IF($A288="","",[1]!thsiFinD("ths_adjustment_nv_fund",I$3,$A288))</x:f>
        <x:v>#NAME?</x:v>
      </x:c>
      <x:c r="J288" t="e">
        <x:f>IF($A288="","",[1]!thsiFinD("ths_adjustment_nv_fund",J$3,$A288))</x:f>
        <x:v>#NAME?</x:v>
      </x:c>
      <x:c r="K288" t="e">
        <x:f>IF($A288="","",[1]!thsiFinD("ths_adjustment_nv_fund",K$3,$A288))</x:f>
        <x:v>#NAME?</x:v>
      </x:c>
      <x:c r="L288" t="e">
        <x:f>IF($A288="","",[1]!thsiFinD("ths_adjustment_nv_fund",L$3,$A288))</x:f>
        <x:v>#NAME?</x:v>
      </x:c>
      <x:c r="M288" t="e">
        <x:f>IF($A288="","",[1]!thsiFinD("ths_adjustment_nv_fund",M$3,$A288))</x:f>
        <x:v>#NAME?</x:v>
      </x:c>
      <x:c r="N288" t="e">
        <x:f>IF($A288="","",[1]!thsiFinD("ths_adjustment_nv_fund",N$3,$A288))</x:f>
        <x:v>#NAME?</x:v>
      </x:c>
      <x:c r="O288" t="e">
        <x:f>IF($A288="","",[1]!thsiFinD("ths_adjustment_nv_fund",O$3,$A288))</x:f>
        <x:v>#NAME?</x:v>
      </x:c>
      <x:c r="P288" t="e">
        <x:f>IF($A288="","",[1]!thsiFinD("ths_adjustment_nv_fund",P$3,$A288))</x:f>
        <x:v>#NAME?</x:v>
      </x:c>
      <x:c r="Q288" t="e">
        <x:f>IF($A288="","",[1]!thsiFinD("ths_adjustment_nv_fund",Q$3,$A288))</x:f>
        <x:v>#NAME?</x:v>
      </x:c>
      <x:c r="R288" t="e">
        <x:f>IF($A288="","",[1]!thsiFinD("ths_adjustment_nv_fund",R$3,$A288))</x:f>
        <x:v>#NAME?</x:v>
      </x:c>
      <x:c r="S288" t="e">
        <x:f>IF($A288="","",[1]!thsiFinD("ths_adjustment_nv_fund",S$3,$A288))</x:f>
        <x:v>#NAME?</x:v>
      </x:c>
      <x:c r="T288" t="e">
        <x:f>IF($A288="","",[1]!thsiFinD("ths_adjustment_nv_fund",T$3,$A288))</x:f>
        <x:v>#NAME?</x:v>
      </x:c>
      <x:c r="U288" t="e">
        <x:f>IF($A288="","",[1]!thsiFinD("ths_adjustment_nv_fund",U$3,$A288))</x:f>
        <x:v>#NAME?</x:v>
      </x:c>
      <x:c r="V288" t="e">
        <x:f>IF($A288="","",[1]!thsiFinD("ths_adjustment_nv_fund",V$3,$A288))</x:f>
        <x:v>#NAME?</x:v>
      </x:c>
      <x:c r="W288" t="e">
        <x:f>IF($A288="","",[1]!thsiFinD("ths_adjustment_nv_fund",W$3,$A288))</x:f>
        <x:v>#NAME?</x:v>
      </x:c>
      <x:c r="X288" t="e">
        <x:f>IF($A288="","",[1]!thsiFinD("ths_adjustment_nv_fund",X$3,$A288))</x:f>
        <x:v>#NAME?</x:v>
      </x:c>
      <x:c r="Y288" t="e">
        <x:f>IF($A288="","",[1]!thsiFinD("ths_adjustment_nv_fund",Y$3,$A288))</x:f>
        <x:v>#NAME?</x:v>
      </x:c>
    </x:row>
    <x:row r="289">
      <x:c r="B289" t="e">
        <x:f>IF($A289="","",[1]!thsiFinD("ths_adjustment_nv_fund",B$3,$A289))</x:f>
        <x:v>#NAME?</x:v>
      </x:c>
      <x:c r="C289" t="e">
        <x:f>IF($A289="","",[1]!thsiFinD("ths_adjustment_nv_fund",C$3,$A289))</x:f>
        <x:v>#NAME?</x:v>
      </x:c>
      <x:c r="D289" t="e">
        <x:f>IF($A289="","",[1]!thsiFinD("ths_adjustment_nv_fund",D$3,$A289))</x:f>
        <x:v>#NAME?</x:v>
      </x:c>
      <x:c r="E289" t="e">
        <x:f>IF($A289="","",[1]!thsiFinD("ths_adjustment_nv_fund",E$3,$A289))</x:f>
        <x:v>#NAME?</x:v>
      </x:c>
      <x:c r="F289" t="e">
        <x:f>IF($A289="","",[1]!thsiFinD("ths_adjustment_nv_fund",F$3,$A289))</x:f>
        <x:v>#NAME?</x:v>
      </x:c>
      <x:c r="G289" t="e">
        <x:f>IF($A289="","",[1]!thsiFinD("ths_adjustment_nv_fund",G$3,$A289))</x:f>
        <x:v>#NAME?</x:v>
      </x:c>
      <x:c r="H289" t="e">
        <x:f>IF($A289="","",[1]!thsiFinD("ths_adjustment_nv_fund",H$3,$A289))</x:f>
        <x:v>#NAME?</x:v>
      </x:c>
      <x:c r="I289" t="e">
        <x:f>IF($A289="","",[1]!thsiFinD("ths_adjustment_nv_fund",I$3,$A289))</x:f>
        <x:v>#NAME?</x:v>
      </x:c>
      <x:c r="J289" t="e">
        <x:f>IF($A289="","",[1]!thsiFinD("ths_adjustment_nv_fund",J$3,$A289))</x:f>
        <x:v>#NAME?</x:v>
      </x:c>
      <x:c r="K289" t="e">
        <x:f>IF($A289="","",[1]!thsiFinD("ths_adjustment_nv_fund",K$3,$A289))</x:f>
        <x:v>#NAME?</x:v>
      </x:c>
      <x:c r="L289" t="e">
        <x:f>IF($A289="","",[1]!thsiFinD("ths_adjustment_nv_fund",L$3,$A289))</x:f>
        <x:v>#NAME?</x:v>
      </x:c>
      <x:c r="M289" t="e">
        <x:f>IF($A289="","",[1]!thsiFinD("ths_adjustment_nv_fund",M$3,$A289))</x:f>
        <x:v>#NAME?</x:v>
      </x:c>
      <x:c r="N289" t="e">
        <x:f>IF($A289="","",[1]!thsiFinD("ths_adjustment_nv_fund",N$3,$A289))</x:f>
        <x:v>#NAME?</x:v>
      </x:c>
      <x:c r="O289" t="e">
        <x:f>IF($A289="","",[1]!thsiFinD("ths_adjustment_nv_fund",O$3,$A289))</x:f>
        <x:v>#NAME?</x:v>
      </x:c>
      <x:c r="P289" t="e">
        <x:f>IF($A289="","",[1]!thsiFinD("ths_adjustment_nv_fund",P$3,$A289))</x:f>
        <x:v>#NAME?</x:v>
      </x:c>
      <x:c r="Q289" t="e">
        <x:f>IF($A289="","",[1]!thsiFinD("ths_adjustment_nv_fund",Q$3,$A289))</x:f>
        <x:v>#NAME?</x:v>
      </x:c>
      <x:c r="R289" t="e">
        <x:f>IF($A289="","",[1]!thsiFinD("ths_adjustment_nv_fund",R$3,$A289))</x:f>
        <x:v>#NAME?</x:v>
      </x:c>
      <x:c r="S289" t="e">
        <x:f>IF($A289="","",[1]!thsiFinD("ths_adjustment_nv_fund",S$3,$A289))</x:f>
        <x:v>#NAME?</x:v>
      </x:c>
      <x:c r="T289" t="e">
        <x:f>IF($A289="","",[1]!thsiFinD("ths_adjustment_nv_fund",T$3,$A289))</x:f>
        <x:v>#NAME?</x:v>
      </x:c>
      <x:c r="U289" t="e">
        <x:f>IF($A289="","",[1]!thsiFinD("ths_adjustment_nv_fund",U$3,$A289))</x:f>
        <x:v>#NAME?</x:v>
      </x:c>
      <x:c r="V289" t="e">
        <x:f>IF($A289="","",[1]!thsiFinD("ths_adjustment_nv_fund",V$3,$A289))</x:f>
        <x:v>#NAME?</x:v>
      </x:c>
      <x:c r="W289" t="e">
        <x:f>IF($A289="","",[1]!thsiFinD("ths_adjustment_nv_fund",W$3,$A289))</x:f>
        <x:v>#NAME?</x:v>
      </x:c>
      <x:c r="X289" t="e">
        <x:f>IF($A289="","",[1]!thsiFinD("ths_adjustment_nv_fund",X$3,$A289))</x:f>
        <x:v>#NAME?</x:v>
      </x:c>
      <x:c r="Y289" t="e">
        <x:f>IF($A289="","",[1]!thsiFinD("ths_adjustment_nv_fund",Y$3,$A289))</x:f>
        <x:v>#NAME?</x:v>
      </x:c>
    </x:row>
    <x:row r="290">
      <x:c r="B290" t="e">
        <x:f>IF($A290="","",[1]!thsiFinD("ths_adjustment_nv_fund",B$3,$A290))</x:f>
        <x:v>#NAME?</x:v>
      </x:c>
      <x:c r="C290" t="e">
        <x:f>IF($A290="","",[1]!thsiFinD("ths_adjustment_nv_fund",C$3,$A290))</x:f>
        <x:v>#NAME?</x:v>
      </x:c>
      <x:c r="D290" t="e">
        <x:f>IF($A290="","",[1]!thsiFinD("ths_adjustment_nv_fund",D$3,$A290))</x:f>
        <x:v>#NAME?</x:v>
      </x:c>
      <x:c r="E290" t="e">
        <x:f>IF($A290="","",[1]!thsiFinD("ths_adjustment_nv_fund",E$3,$A290))</x:f>
        <x:v>#NAME?</x:v>
      </x:c>
      <x:c r="F290" t="e">
        <x:f>IF($A290="","",[1]!thsiFinD("ths_adjustment_nv_fund",F$3,$A290))</x:f>
        <x:v>#NAME?</x:v>
      </x:c>
      <x:c r="G290" t="e">
        <x:f>IF($A290="","",[1]!thsiFinD("ths_adjustment_nv_fund",G$3,$A290))</x:f>
        <x:v>#NAME?</x:v>
      </x:c>
      <x:c r="H290" t="e">
        <x:f>IF($A290="","",[1]!thsiFinD("ths_adjustment_nv_fund",H$3,$A290))</x:f>
        <x:v>#NAME?</x:v>
      </x:c>
      <x:c r="I290" t="e">
        <x:f>IF($A290="","",[1]!thsiFinD("ths_adjustment_nv_fund",I$3,$A290))</x:f>
        <x:v>#NAME?</x:v>
      </x:c>
      <x:c r="J290" t="e">
        <x:f>IF($A290="","",[1]!thsiFinD("ths_adjustment_nv_fund",J$3,$A290))</x:f>
        <x:v>#NAME?</x:v>
      </x:c>
      <x:c r="K290" t="e">
        <x:f>IF($A290="","",[1]!thsiFinD("ths_adjustment_nv_fund",K$3,$A290))</x:f>
        <x:v>#NAME?</x:v>
      </x:c>
      <x:c r="L290" t="e">
        <x:f>IF($A290="","",[1]!thsiFinD("ths_adjustment_nv_fund",L$3,$A290))</x:f>
        <x:v>#NAME?</x:v>
      </x:c>
      <x:c r="M290" t="e">
        <x:f>IF($A290="","",[1]!thsiFinD("ths_adjustment_nv_fund",M$3,$A290))</x:f>
        <x:v>#NAME?</x:v>
      </x:c>
      <x:c r="N290" t="e">
        <x:f>IF($A290="","",[1]!thsiFinD("ths_adjustment_nv_fund",N$3,$A290))</x:f>
        <x:v>#NAME?</x:v>
      </x:c>
      <x:c r="O290" t="e">
        <x:f>IF($A290="","",[1]!thsiFinD("ths_adjustment_nv_fund",O$3,$A290))</x:f>
        <x:v>#NAME?</x:v>
      </x:c>
      <x:c r="P290" t="e">
        <x:f>IF($A290="","",[1]!thsiFinD("ths_adjustment_nv_fund",P$3,$A290))</x:f>
        <x:v>#NAME?</x:v>
      </x:c>
      <x:c r="Q290" t="e">
        <x:f>IF($A290="","",[1]!thsiFinD("ths_adjustment_nv_fund",Q$3,$A290))</x:f>
        <x:v>#NAME?</x:v>
      </x:c>
      <x:c r="R290" t="e">
        <x:f>IF($A290="","",[1]!thsiFinD("ths_adjustment_nv_fund",R$3,$A290))</x:f>
        <x:v>#NAME?</x:v>
      </x:c>
      <x:c r="S290" t="e">
        <x:f>IF($A290="","",[1]!thsiFinD("ths_adjustment_nv_fund",S$3,$A290))</x:f>
        <x:v>#NAME?</x:v>
      </x:c>
      <x:c r="T290" t="e">
        <x:f>IF($A290="","",[1]!thsiFinD("ths_adjustment_nv_fund",T$3,$A290))</x:f>
        <x:v>#NAME?</x:v>
      </x:c>
      <x:c r="U290" t="e">
        <x:f>IF($A290="","",[1]!thsiFinD("ths_adjustment_nv_fund",U$3,$A290))</x:f>
        <x:v>#NAME?</x:v>
      </x:c>
      <x:c r="V290" t="e">
        <x:f>IF($A290="","",[1]!thsiFinD("ths_adjustment_nv_fund",V$3,$A290))</x:f>
        <x:v>#NAME?</x:v>
      </x:c>
      <x:c r="W290" t="e">
        <x:f>IF($A290="","",[1]!thsiFinD("ths_adjustment_nv_fund",W$3,$A290))</x:f>
        <x:v>#NAME?</x:v>
      </x:c>
      <x:c r="X290" t="e">
        <x:f>IF($A290="","",[1]!thsiFinD("ths_adjustment_nv_fund",X$3,$A290))</x:f>
        <x:v>#NAME?</x:v>
      </x:c>
      <x:c r="Y290" t="e">
        <x:f>IF($A290="","",[1]!thsiFinD("ths_adjustment_nv_fund",Y$3,$A290))</x:f>
        <x:v>#NAME?</x:v>
      </x:c>
    </x:row>
    <x:row r="291">
      <x:c r="B291" t="e">
        <x:f>IF($A291="","",[1]!thsiFinD("ths_adjustment_nv_fund",B$3,$A291))</x:f>
        <x:v>#NAME?</x:v>
      </x:c>
      <x:c r="C291" t="e">
        <x:f>IF($A291="","",[1]!thsiFinD("ths_adjustment_nv_fund",C$3,$A291))</x:f>
        <x:v>#NAME?</x:v>
      </x:c>
      <x:c r="D291" t="e">
        <x:f>IF($A291="","",[1]!thsiFinD("ths_adjustment_nv_fund",D$3,$A291))</x:f>
        <x:v>#NAME?</x:v>
      </x:c>
      <x:c r="E291" t="e">
        <x:f>IF($A291="","",[1]!thsiFinD("ths_adjustment_nv_fund",E$3,$A291))</x:f>
        <x:v>#NAME?</x:v>
      </x:c>
      <x:c r="F291" t="e">
        <x:f>IF($A291="","",[1]!thsiFinD("ths_adjustment_nv_fund",F$3,$A291))</x:f>
        <x:v>#NAME?</x:v>
      </x:c>
      <x:c r="G291" t="e">
        <x:f>IF($A291="","",[1]!thsiFinD("ths_adjustment_nv_fund",G$3,$A291))</x:f>
        <x:v>#NAME?</x:v>
      </x:c>
      <x:c r="H291" t="e">
        <x:f>IF($A291="","",[1]!thsiFinD("ths_adjustment_nv_fund",H$3,$A291))</x:f>
        <x:v>#NAME?</x:v>
      </x:c>
      <x:c r="I291" t="e">
        <x:f>IF($A291="","",[1]!thsiFinD("ths_adjustment_nv_fund",I$3,$A291))</x:f>
        <x:v>#NAME?</x:v>
      </x:c>
      <x:c r="J291" t="e">
        <x:f>IF($A291="","",[1]!thsiFinD("ths_adjustment_nv_fund",J$3,$A291))</x:f>
        <x:v>#NAME?</x:v>
      </x:c>
      <x:c r="K291" t="e">
        <x:f>IF($A291="","",[1]!thsiFinD("ths_adjustment_nv_fund",K$3,$A291))</x:f>
        <x:v>#NAME?</x:v>
      </x:c>
      <x:c r="L291" t="e">
        <x:f>IF($A291="","",[1]!thsiFinD("ths_adjustment_nv_fund",L$3,$A291))</x:f>
        <x:v>#NAME?</x:v>
      </x:c>
      <x:c r="M291" t="e">
        <x:f>IF($A291="","",[1]!thsiFinD("ths_adjustment_nv_fund",M$3,$A291))</x:f>
        <x:v>#NAME?</x:v>
      </x:c>
      <x:c r="N291" t="e">
        <x:f>IF($A291="","",[1]!thsiFinD("ths_adjustment_nv_fund",N$3,$A291))</x:f>
        <x:v>#NAME?</x:v>
      </x:c>
      <x:c r="O291" t="e">
        <x:f>IF($A291="","",[1]!thsiFinD("ths_adjustment_nv_fund",O$3,$A291))</x:f>
        <x:v>#NAME?</x:v>
      </x:c>
      <x:c r="P291" t="e">
        <x:f>IF($A291="","",[1]!thsiFinD("ths_adjustment_nv_fund",P$3,$A291))</x:f>
        <x:v>#NAME?</x:v>
      </x:c>
      <x:c r="Q291" t="e">
        <x:f>IF($A291="","",[1]!thsiFinD("ths_adjustment_nv_fund",Q$3,$A291))</x:f>
        <x:v>#NAME?</x:v>
      </x:c>
      <x:c r="R291" t="e">
        <x:f>IF($A291="","",[1]!thsiFinD("ths_adjustment_nv_fund",R$3,$A291))</x:f>
        <x:v>#NAME?</x:v>
      </x:c>
      <x:c r="S291" t="e">
        <x:f>IF($A291="","",[1]!thsiFinD("ths_adjustment_nv_fund",S$3,$A291))</x:f>
        <x:v>#NAME?</x:v>
      </x:c>
      <x:c r="T291" t="e">
        <x:f>IF($A291="","",[1]!thsiFinD("ths_adjustment_nv_fund",T$3,$A291))</x:f>
        <x:v>#NAME?</x:v>
      </x:c>
      <x:c r="U291" t="e">
        <x:f>IF($A291="","",[1]!thsiFinD("ths_adjustment_nv_fund",U$3,$A291))</x:f>
        <x:v>#NAME?</x:v>
      </x:c>
      <x:c r="V291" t="e">
        <x:f>IF($A291="","",[1]!thsiFinD("ths_adjustment_nv_fund",V$3,$A291))</x:f>
        <x:v>#NAME?</x:v>
      </x:c>
      <x:c r="W291" t="e">
        <x:f>IF($A291="","",[1]!thsiFinD("ths_adjustment_nv_fund",W$3,$A291))</x:f>
        <x:v>#NAME?</x:v>
      </x:c>
      <x:c r="X291" t="e">
        <x:f>IF($A291="","",[1]!thsiFinD("ths_adjustment_nv_fund",X$3,$A291))</x:f>
        <x:v>#NAME?</x:v>
      </x:c>
      <x:c r="Y291" t="e">
        <x:f>IF($A291="","",[1]!thsiFinD("ths_adjustment_nv_fund",Y$3,$A291))</x:f>
        <x:v>#NAME?</x:v>
      </x:c>
    </x:row>
    <x:row r="292">
      <x:c r="B292" t="e">
        <x:f>IF($A292="","",[1]!thsiFinD("ths_adjustment_nv_fund",B$3,$A292))</x:f>
        <x:v>#NAME?</x:v>
      </x:c>
      <x:c r="C292" t="e">
        <x:f>IF($A292="","",[1]!thsiFinD("ths_adjustment_nv_fund",C$3,$A292))</x:f>
        <x:v>#NAME?</x:v>
      </x:c>
      <x:c r="D292" t="e">
        <x:f>IF($A292="","",[1]!thsiFinD("ths_adjustment_nv_fund",D$3,$A292))</x:f>
        <x:v>#NAME?</x:v>
      </x:c>
      <x:c r="E292" t="e">
        <x:f>IF($A292="","",[1]!thsiFinD("ths_adjustment_nv_fund",E$3,$A292))</x:f>
        <x:v>#NAME?</x:v>
      </x:c>
      <x:c r="F292" t="e">
        <x:f>IF($A292="","",[1]!thsiFinD("ths_adjustment_nv_fund",F$3,$A292))</x:f>
        <x:v>#NAME?</x:v>
      </x:c>
      <x:c r="G292" t="e">
        <x:f>IF($A292="","",[1]!thsiFinD("ths_adjustment_nv_fund",G$3,$A292))</x:f>
        <x:v>#NAME?</x:v>
      </x:c>
      <x:c r="H292" t="e">
        <x:f>IF($A292="","",[1]!thsiFinD("ths_adjustment_nv_fund",H$3,$A292))</x:f>
        <x:v>#NAME?</x:v>
      </x:c>
      <x:c r="I292" t="e">
        <x:f>IF($A292="","",[1]!thsiFinD("ths_adjustment_nv_fund",I$3,$A292))</x:f>
        <x:v>#NAME?</x:v>
      </x:c>
      <x:c r="J292" t="e">
        <x:f>IF($A292="","",[1]!thsiFinD("ths_adjustment_nv_fund",J$3,$A292))</x:f>
        <x:v>#NAME?</x:v>
      </x:c>
      <x:c r="K292" t="e">
        <x:f>IF($A292="","",[1]!thsiFinD("ths_adjustment_nv_fund",K$3,$A292))</x:f>
        <x:v>#NAME?</x:v>
      </x:c>
      <x:c r="L292" t="e">
        <x:f>IF($A292="","",[1]!thsiFinD("ths_adjustment_nv_fund",L$3,$A292))</x:f>
        <x:v>#NAME?</x:v>
      </x:c>
      <x:c r="M292" t="e">
        <x:f>IF($A292="","",[1]!thsiFinD("ths_adjustment_nv_fund",M$3,$A292))</x:f>
        <x:v>#NAME?</x:v>
      </x:c>
      <x:c r="N292" t="e">
        <x:f>IF($A292="","",[1]!thsiFinD("ths_adjustment_nv_fund",N$3,$A292))</x:f>
        <x:v>#NAME?</x:v>
      </x:c>
      <x:c r="O292" t="e">
        <x:f>IF($A292="","",[1]!thsiFinD("ths_adjustment_nv_fund",O$3,$A292))</x:f>
        <x:v>#NAME?</x:v>
      </x:c>
      <x:c r="P292" t="e">
        <x:f>IF($A292="","",[1]!thsiFinD("ths_adjustment_nv_fund",P$3,$A292))</x:f>
        <x:v>#NAME?</x:v>
      </x:c>
      <x:c r="Q292" t="e">
        <x:f>IF($A292="","",[1]!thsiFinD("ths_adjustment_nv_fund",Q$3,$A292))</x:f>
        <x:v>#NAME?</x:v>
      </x:c>
      <x:c r="R292" t="e">
        <x:f>IF($A292="","",[1]!thsiFinD("ths_adjustment_nv_fund",R$3,$A292))</x:f>
        <x:v>#NAME?</x:v>
      </x:c>
      <x:c r="S292" t="e">
        <x:f>IF($A292="","",[1]!thsiFinD("ths_adjustment_nv_fund",S$3,$A292))</x:f>
        <x:v>#NAME?</x:v>
      </x:c>
      <x:c r="T292" t="e">
        <x:f>IF($A292="","",[1]!thsiFinD("ths_adjustment_nv_fund",T$3,$A292))</x:f>
        <x:v>#NAME?</x:v>
      </x:c>
      <x:c r="U292" t="e">
        <x:f>IF($A292="","",[1]!thsiFinD("ths_adjustment_nv_fund",U$3,$A292))</x:f>
        <x:v>#NAME?</x:v>
      </x:c>
      <x:c r="V292" t="e">
        <x:f>IF($A292="","",[1]!thsiFinD("ths_adjustment_nv_fund",V$3,$A292))</x:f>
        <x:v>#NAME?</x:v>
      </x:c>
      <x:c r="W292" t="e">
        <x:f>IF($A292="","",[1]!thsiFinD("ths_adjustment_nv_fund",W$3,$A292))</x:f>
        <x:v>#NAME?</x:v>
      </x:c>
      <x:c r="X292" t="e">
        <x:f>IF($A292="","",[1]!thsiFinD("ths_adjustment_nv_fund",X$3,$A292))</x:f>
        <x:v>#NAME?</x:v>
      </x:c>
      <x:c r="Y292" t="e">
        <x:f>IF($A292="","",[1]!thsiFinD("ths_adjustment_nv_fund",Y$3,$A292))</x:f>
        <x:v>#NAME?</x:v>
      </x:c>
    </x:row>
    <x:row r="293">
      <x:c r="B293" t="e">
        <x:f>IF($A293="","",[1]!thsiFinD("ths_adjustment_nv_fund",B$3,$A293))</x:f>
        <x:v>#NAME?</x:v>
      </x:c>
      <x:c r="C293" t="e">
        <x:f>IF($A293="","",[1]!thsiFinD("ths_adjustment_nv_fund",C$3,$A293))</x:f>
        <x:v>#NAME?</x:v>
      </x:c>
      <x:c r="D293" t="e">
        <x:f>IF($A293="","",[1]!thsiFinD("ths_adjustment_nv_fund",D$3,$A293))</x:f>
        <x:v>#NAME?</x:v>
      </x:c>
      <x:c r="E293" t="e">
        <x:f>IF($A293="","",[1]!thsiFinD("ths_adjustment_nv_fund",E$3,$A293))</x:f>
        <x:v>#NAME?</x:v>
      </x:c>
      <x:c r="F293" t="e">
        <x:f>IF($A293="","",[1]!thsiFinD("ths_adjustment_nv_fund",F$3,$A293))</x:f>
        <x:v>#NAME?</x:v>
      </x:c>
      <x:c r="G293" t="e">
        <x:f>IF($A293="","",[1]!thsiFinD("ths_adjustment_nv_fund",G$3,$A293))</x:f>
        <x:v>#NAME?</x:v>
      </x:c>
      <x:c r="H293" t="e">
        <x:f>IF($A293="","",[1]!thsiFinD("ths_adjustment_nv_fund",H$3,$A293))</x:f>
        <x:v>#NAME?</x:v>
      </x:c>
      <x:c r="I293" t="e">
        <x:f>IF($A293="","",[1]!thsiFinD("ths_adjustment_nv_fund",I$3,$A293))</x:f>
        <x:v>#NAME?</x:v>
      </x:c>
      <x:c r="J293" t="e">
        <x:f>IF($A293="","",[1]!thsiFinD("ths_adjustment_nv_fund",J$3,$A293))</x:f>
        <x:v>#NAME?</x:v>
      </x:c>
      <x:c r="K293" t="e">
        <x:f>IF($A293="","",[1]!thsiFinD("ths_adjustment_nv_fund",K$3,$A293))</x:f>
        <x:v>#NAME?</x:v>
      </x:c>
      <x:c r="L293" t="e">
        <x:f>IF($A293="","",[1]!thsiFinD("ths_adjustment_nv_fund",L$3,$A293))</x:f>
        <x:v>#NAME?</x:v>
      </x:c>
      <x:c r="M293" t="e">
        <x:f>IF($A293="","",[1]!thsiFinD("ths_adjustment_nv_fund",M$3,$A293))</x:f>
        <x:v>#NAME?</x:v>
      </x:c>
      <x:c r="N293" t="e">
        <x:f>IF($A293="","",[1]!thsiFinD("ths_adjustment_nv_fund",N$3,$A293))</x:f>
        <x:v>#NAME?</x:v>
      </x:c>
      <x:c r="O293" t="e">
        <x:f>IF($A293="","",[1]!thsiFinD("ths_adjustment_nv_fund",O$3,$A293))</x:f>
        <x:v>#NAME?</x:v>
      </x:c>
      <x:c r="P293" t="e">
        <x:f>IF($A293="","",[1]!thsiFinD("ths_adjustment_nv_fund",P$3,$A293))</x:f>
        <x:v>#NAME?</x:v>
      </x:c>
      <x:c r="Q293" t="e">
        <x:f>IF($A293="","",[1]!thsiFinD("ths_adjustment_nv_fund",Q$3,$A293))</x:f>
        <x:v>#NAME?</x:v>
      </x:c>
      <x:c r="R293" t="e">
        <x:f>IF($A293="","",[1]!thsiFinD("ths_adjustment_nv_fund",R$3,$A293))</x:f>
        <x:v>#NAME?</x:v>
      </x:c>
      <x:c r="S293" t="e">
        <x:f>IF($A293="","",[1]!thsiFinD("ths_adjustment_nv_fund",S$3,$A293))</x:f>
        <x:v>#NAME?</x:v>
      </x:c>
      <x:c r="T293" t="e">
        <x:f>IF($A293="","",[1]!thsiFinD("ths_adjustment_nv_fund",T$3,$A293))</x:f>
        <x:v>#NAME?</x:v>
      </x:c>
      <x:c r="U293" t="e">
        <x:f>IF($A293="","",[1]!thsiFinD("ths_adjustment_nv_fund",U$3,$A293))</x:f>
        <x:v>#NAME?</x:v>
      </x:c>
      <x:c r="V293" t="e">
        <x:f>IF($A293="","",[1]!thsiFinD("ths_adjustment_nv_fund",V$3,$A293))</x:f>
        <x:v>#NAME?</x:v>
      </x:c>
      <x:c r="W293" t="e">
        <x:f>IF($A293="","",[1]!thsiFinD("ths_adjustment_nv_fund",W$3,$A293))</x:f>
        <x:v>#NAME?</x:v>
      </x:c>
      <x:c r="X293" t="e">
        <x:f>IF($A293="","",[1]!thsiFinD("ths_adjustment_nv_fund",X$3,$A293))</x:f>
        <x:v>#NAME?</x:v>
      </x:c>
      <x:c r="Y293" t="e">
        <x:f>IF($A293="","",[1]!thsiFinD("ths_adjustment_nv_fund",Y$3,$A293))</x:f>
        <x:v>#NAME?</x:v>
      </x:c>
    </x:row>
    <x:row r="294">
      <x:c r="B294" t="e">
        <x:f>IF($A294="","",[1]!thsiFinD("ths_adjustment_nv_fund",B$3,$A294))</x:f>
        <x:v>#NAME?</x:v>
      </x:c>
      <x:c r="C294" t="e">
        <x:f>IF($A294="","",[1]!thsiFinD("ths_adjustment_nv_fund",C$3,$A294))</x:f>
        <x:v>#NAME?</x:v>
      </x:c>
      <x:c r="D294" t="e">
        <x:f>IF($A294="","",[1]!thsiFinD("ths_adjustment_nv_fund",D$3,$A294))</x:f>
        <x:v>#NAME?</x:v>
      </x:c>
      <x:c r="E294" t="e">
        <x:f>IF($A294="","",[1]!thsiFinD("ths_adjustment_nv_fund",E$3,$A294))</x:f>
        <x:v>#NAME?</x:v>
      </x:c>
      <x:c r="F294" t="e">
        <x:f>IF($A294="","",[1]!thsiFinD("ths_adjustment_nv_fund",F$3,$A294))</x:f>
        <x:v>#NAME?</x:v>
      </x:c>
      <x:c r="G294" t="e">
        <x:f>IF($A294="","",[1]!thsiFinD("ths_adjustment_nv_fund",G$3,$A294))</x:f>
        <x:v>#NAME?</x:v>
      </x:c>
      <x:c r="H294" t="e">
        <x:f>IF($A294="","",[1]!thsiFinD("ths_adjustment_nv_fund",H$3,$A294))</x:f>
        <x:v>#NAME?</x:v>
      </x:c>
      <x:c r="I294" t="e">
        <x:f>IF($A294="","",[1]!thsiFinD("ths_adjustment_nv_fund",I$3,$A294))</x:f>
        <x:v>#NAME?</x:v>
      </x:c>
      <x:c r="J294" t="e">
        <x:f>IF($A294="","",[1]!thsiFinD("ths_adjustment_nv_fund",J$3,$A294))</x:f>
        <x:v>#NAME?</x:v>
      </x:c>
      <x:c r="K294" t="e">
        <x:f>IF($A294="","",[1]!thsiFinD("ths_adjustment_nv_fund",K$3,$A294))</x:f>
        <x:v>#NAME?</x:v>
      </x:c>
      <x:c r="L294" t="e">
        <x:f>IF($A294="","",[1]!thsiFinD("ths_adjustment_nv_fund",L$3,$A294))</x:f>
        <x:v>#NAME?</x:v>
      </x:c>
      <x:c r="M294" t="e">
        <x:f>IF($A294="","",[1]!thsiFinD("ths_adjustment_nv_fund",M$3,$A294))</x:f>
        <x:v>#NAME?</x:v>
      </x:c>
      <x:c r="N294" t="e">
        <x:f>IF($A294="","",[1]!thsiFinD("ths_adjustment_nv_fund",N$3,$A294))</x:f>
        <x:v>#NAME?</x:v>
      </x:c>
      <x:c r="O294" t="e">
        <x:f>IF($A294="","",[1]!thsiFinD("ths_adjustment_nv_fund",O$3,$A294))</x:f>
        <x:v>#NAME?</x:v>
      </x:c>
      <x:c r="P294" t="e">
        <x:f>IF($A294="","",[1]!thsiFinD("ths_adjustment_nv_fund",P$3,$A294))</x:f>
        <x:v>#NAME?</x:v>
      </x:c>
      <x:c r="Q294" t="e">
        <x:f>IF($A294="","",[1]!thsiFinD("ths_adjustment_nv_fund",Q$3,$A294))</x:f>
        <x:v>#NAME?</x:v>
      </x:c>
      <x:c r="R294" t="e">
        <x:f>IF($A294="","",[1]!thsiFinD("ths_adjustment_nv_fund",R$3,$A294))</x:f>
        <x:v>#NAME?</x:v>
      </x:c>
      <x:c r="S294" t="e">
        <x:f>IF($A294="","",[1]!thsiFinD("ths_adjustment_nv_fund",S$3,$A294))</x:f>
        <x:v>#NAME?</x:v>
      </x:c>
      <x:c r="T294" t="e">
        <x:f>IF($A294="","",[1]!thsiFinD("ths_adjustment_nv_fund",T$3,$A294))</x:f>
        <x:v>#NAME?</x:v>
      </x:c>
      <x:c r="U294" t="e">
        <x:f>IF($A294="","",[1]!thsiFinD("ths_adjustment_nv_fund",U$3,$A294))</x:f>
        <x:v>#NAME?</x:v>
      </x:c>
      <x:c r="V294" t="e">
        <x:f>IF($A294="","",[1]!thsiFinD("ths_adjustment_nv_fund",V$3,$A294))</x:f>
        <x:v>#NAME?</x:v>
      </x:c>
      <x:c r="W294" t="e">
        <x:f>IF($A294="","",[1]!thsiFinD("ths_adjustment_nv_fund",W$3,$A294))</x:f>
        <x:v>#NAME?</x:v>
      </x:c>
      <x:c r="X294" t="e">
        <x:f>IF($A294="","",[1]!thsiFinD("ths_adjustment_nv_fund",X$3,$A294))</x:f>
        <x:v>#NAME?</x:v>
      </x:c>
      <x:c r="Y294" t="e">
        <x:f>IF($A294="","",[1]!thsiFinD("ths_adjustment_nv_fund",Y$3,$A294))</x:f>
        <x:v>#NAME?</x:v>
      </x:c>
    </x:row>
    <x:row r="295">
      <x:c r="B295" t="e">
        <x:f>IF($A295="","",[1]!thsiFinD("ths_adjustment_nv_fund",B$3,$A295))</x:f>
        <x:v>#NAME?</x:v>
      </x:c>
      <x:c r="C295" t="e">
        <x:f>IF($A295="","",[1]!thsiFinD("ths_adjustment_nv_fund",C$3,$A295))</x:f>
        <x:v>#NAME?</x:v>
      </x:c>
      <x:c r="D295" t="e">
        <x:f>IF($A295="","",[1]!thsiFinD("ths_adjustment_nv_fund",D$3,$A295))</x:f>
        <x:v>#NAME?</x:v>
      </x:c>
      <x:c r="E295" t="e">
        <x:f>IF($A295="","",[1]!thsiFinD("ths_adjustment_nv_fund",E$3,$A295))</x:f>
        <x:v>#NAME?</x:v>
      </x:c>
      <x:c r="F295" t="e">
        <x:f>IF($A295="","",[1]!thsiFinD("ths_adjustment_nv_fund",F$3,$A295))</x:f>
        <x:v>#NAME?</x:v>
      </x:c>
      <x:c r="G295" t="e">
        <x:f>IF($A295="","",[1]!thsiFinD("ths_adjustment_nv_fund",G$3,$A295))</x:f>
        <x:v>#NAME?</x:v>
      </x:c>
      <x:c r="H295" t="e">
        <x:f>IF($A295="","",[1]!thsiFinD("ths_adjustment_nv_fund",H$3,$A295))</x:f>
        <x:v>#NAME?</x:v>
      </x:c>
      <x:c r="I295" t="e">
        <x:f>IF($A295="","",[1]!thsiFinD("ths_adjustment_nv_fund",I$3,$A295))</x:f>
        <x:v>#NAME?</x:v>
      </x:c>
      <x:c r="J295" t="e">
        <x:f>IF($A295="","",[1]!thsiFinD("ths_adjustment_nv_fund",J$3,$A295))</x:f>
        <x:v>#NAME?</x:v>
      </x:c>
      <x:c r="K295" t="e">
        <x:f>IF($A295="","",[1]!thsiFinD("ths_adjustment_nv_fund",K$3,$A295))</x:f>
        <x:v>#NAME?</x:v>
      </x:c>
      <x:c r="L295" t="e">
        <x:f>IF($A295="","",[1]!thsiFinD("ths_adjustment_nv_fund",L$3,$A295))</x:f>
        <x:v>#NAME?</x:v>
      </x:c>
      <x:c r="M295" t="e">
        <x:f>IF($A295="","",[1]!thsiFinD("ths_adjustment_nv_fund",M$3,$A295))</x:f>
        <x:v>#NAME?</x:v>
      </x:c>
      <x:c r="N295" t="e">
        <x:f>IF($A295="","",[1]!thsiFinD("ths_adjustment_nv_fund",N$3,$A295))</x:f>
        <x:v>#NAME?</x:v>
      </x:c>
      <x:c r="O295" t="e">
        <x:f>IF($A295="","",[1]!thsiFinD("ths_adjustment_nv_fund",O$3,$A295))</x:f>
        <x:v>#NAME?</x:v>
      </x:c>
      <x:c r="P295" t="e">
        <x:f>IF($A295="","",[1]!thsiFinD("ths_adjustment_nv_fund",P$3,$A295))</x:f>
        <x:v>#NAME?</x:v>
      </x:c>
      <x:c r="Q295" t="e">
        <x:f>IF($A295="","",[1]!thsiFinD("ths_adjustment_nv_fund",Q$3,$A295))</x:f>
        <x:v>#NAME?</x:v>
      </x:c>
      <x:c r="R295" t="e">
        <x:f>IF($A295="","",[1]!thsiFinD("ths_adjustment_nv_fund",R$3,$A295))</x:f>
        <x:v>#NAME?</x:v>
      </x:c>
      <x:c r="S295" t="e">
        <x:f>IF($A295="","",[1]!thsiFinD("ths_adjustment_nv_fund",S$3,$A295))</x:f>
        <x:v>#NAME?</x:v>
      </x:c>
      <x:c r="T295" t="e">
        <x:f>IF($A295="","",[1]!thsiFinD("ths_adjustment_nv_fund",T$3,$A295))</x:f>
        <x:v>#NAME?</x:v>
      </x:c>
      <x:c r="U295" t="e">
        <x:f>IF($A295="","",[1]!thsiFinD("ths_adjustment_nv_fund",U$3,$A295))</x:f>
        <x:v>#NAME?</x:v>
      </x:c>
      <x:c r="V295" t="e">
        <x:f>IF($A295="","",[1]!thsiFinD("ths_adjustment_nv_fund",V$3,$A295))</x:f>
        <x:v>#NAME?</x:v>
      </x:c>
      <x:c r="W295" t="e">
        <x:f>IF($A295="","",[1]!thsiFinD("ths_adjustment_nv_fund",W$3,$A295))</x:f>
        <x:v>#NAME?</x:v>
      </x:c>
      <x:c r="X295" t="e">
        <x:f>IF($A295="","",[1]!thsiFinD("ths_adjustment_nv_fund",X$3,$A295))</x:f>
        <x:v>#NAME?</x:v>
      </x:c>
      <x:c r="Y295" t="e">
        <x:f>IF($A295="","",[1]!thsiFinD("ths_adjustment_nv_fund",Y$3,$A295))</x:f>
        <x:v>#NAME?</x:v>
      </x:c>
    </x:row>
    <x:row r="296">
      <x:c r="B296" t="e">
        <x:f>IF($A296="","",[1]!thsiFinD("ths_adjustment_nv_fund",B$3,$A296))</x:f>
        <x:v>#NAME?</x:v>
      </x:c>
      <x:c r="C296" t="e">
        <x:f>IF($A296="","",[1]!thsiFinD("ths_adjustment_nv_fund",C$3,$A296))</x:f>
        <x:v>#NAME?</x:v>
      </x:c>
      <x:c r="D296" t="e">
        <x:f>IF($A296="","",[1]!thsiFinD("ths_adjustment_nv_fund",D$3,$A296))</x:f>
        <x:v>#NAME?</x:v>
      </x:c>
      <x:c r="E296" t="e">
        <x:f>IF($A296="","",[1]!thsiFinD("ths_adjustment_nv_fund",E$3,$A296))</x:f>
        <x:v>#NAME?</x:v>
      </x:c>
      <x:c r="F296" t="e">
        <x:f>IF($A296="","",[1]!thsiFinD("ths_adjustment_nv_fund",F$3,$A296))</x:f>
        <x:v>#NAME?</x:v>
      </x:c>
      <x:c r="G296" t="e">
        <x:f>IF($A296="","",[1]!thsiFinD("ths_adjustment_nv_fund",G$3,$A296))</x:f>
        <x:v>#NAME?</x:v>
      </x:c>
      <x:c r="H296" t="e">
        <x:f>IF($A296="","",[1]!thsiFinD("ths_adjustment_nv_fund",H$3,$A296))</x:f>
        <x:v>#NAME?</x:v>
      </x:c>
      <x:c r="I296" t="e">
        <x:f>IF($A296="","",[1]!thsiFinD("ths_adjustment_nv_fund",I$3,$A296))</x:f>
        <x:v>#NAME?</x:v>
      </x:c>
      <x:c r="J296" t="e">
        <x:f>IF($A296="","",[1]!thsiFinD("ths_adjustment_nv_fund",J$3,$A296))</x:f>
        <x:v>#NAME?</x:v>
      </x:c>
      <x:c r="K296" t="e">
        <x:f>IF($A296="","",[1]!thsiFinD("ths_adjustment_nv_fund",K$3,$A296))</x:f>
        <x:v>#NAME?</x:v>
      </x:c>
      <x:c r="L296" t="e">
        <x:f>IF($A296="","",[1]!thsiFinD("ths_adjustment_nv_fund",L$3,$A296))</x:f>
        <x:v>#NAME?</x:v>
      </x:c>
      <x:c r="M296" t="e">
        <x:f>IF($A296="","",[1]!thsiFinD("ths_adjustment_nv_fund",M$3,$A296))</x:f>
        <x:v>#NAME?</x:v>
      </x:c>
      <x:c r="N296" t="e">
        <x:f>IF($A296="","",[1]!thsiFinD("ths_adjustment_nv_fund",N$3,$A296))</x:f>
        <x:v>#NAME?</x:v>
      </x:c>
      <x:c r="O296" t="e">
        <x:f>IF($A296="","",[1]!thsiFinD("ths_adjustment_nv_fund",O$3,$A296))</x:f>
        <x:v>#NAME?</x:v>
      </x:c>
      <x:c r="P296" t="e">
        <x:f>IF($A296="","",[1]!thsiFinD("ths_adjustment_nv_fund",P$3,$A296))</x:f>
        <x:v>#NAME?</x:v>
      </x:c>
      <x:c r="Q296" t="e">
        <x:f>IF($A296="","",[1]!thsiFinD("ths_adjustment_nv_fund",Q$3,$A296))</x:f>
        <x:v>#NAME?</x:v>
      </x:c>
      <x:c r="R296" t="e">
        <x:f>IF($A296="","",[1]!thsiFinD("ths_adjustment_nv_fund",R$3,$A296))</x:f>
        <x:v>#NAME?</x:v>
      </x:c>
      <x:c r="S296" t="e">
        <x:f>IF($A296="","",[1]!thsiFinD("ths_adjustment_nv_fund",S$3,$A296))</x:f>
        <x:v>#NAME?</x:v>
      </x:c>
      <x:c r="T296" t="e">
        <x:f>IF($A296="","",[1]!thsiFinD("ths_adjustment_nv_fund",T$3,$A296))</x:f>
        <x:v>#NAME?</x:v>
      </x:c>
      <x:c r="U296" t="e">
        <x:f>IF($A296="","",[1]!thsiFinD("ths_adjustment_nv_fund",U$3,$A296))</x:f>
        <x:v>#NAME?</x:v>
      </x:c>
      <x:c r="V296" t="e">
        <x:f>IF($A296="","",[1]!thsiFinD("ths_adjustment_nv_fund",V$3,$A296))</x:f>
        <x:v>#NAME?</x:v>
      </x:c>
      <x:c r="W296" t="e">
        <x:f>IF($A296="","",[1]!thsiFinD("ths_adjustment_nv_fund",W$3,$A296))</x:f>
        <x:v>#NAME?</x:v>
      </x:c>
      <x:c r="X296" t="e">
        <x:f>IF($A296="","",[1]!thsiFinD("ths_adjustment_nv_fund",X$3,$A296))</x:f>
        <x:v>#NAME?</x:v>
      </x:c>
      <x:c r="Y296" t="e">
        <x:f>IF($A296="","",[1]!thsiFinD("ths_adjustment_nv_fund",Y$3,$A296))</x:f>
        <x:v>#NAME?</x:v>
      </x:c>
    </x:row>
    <x:row r="297">
      <x:c r="B297" t="e">
        <x:f>IF($A297="","",[1]!thsiFinD("ths_adjustment_nv_fund",B$3,$A297))</x:f>
        <x:v>#NAME?</x:v>
      </x:c>
      <x:c r="C297" t="e">
        <x:f>IF($A297="","",[1]!thsiFinD("ths_adjustment_nv_fund",C$3,$A297))</x:f>
        <x:v>#NAME?</x:v>
      </x:c>
      <x:c r="D297" t="e">
        <x:f>IF($A297="","",[1]!thsiFinD("ths_adjustment_nv_fund",D$3,$A297))</x:f>
        <x:v>#NAME?</x:v>
      </x:c>
      <x:c r="E297" t="e">
        <x:f>IF($A297="","",[1]!thsiFinD("ths_adjustment_nv_fund",E$3,$A297))</x:f>
        <x:v>#NAME?</x:v>
      </x:c>
      <x:c r="F297" t="e">
        <x:f>IF($A297="","",[1]!thsiFinD("ths_adjustment_nv_fund",F$3,$A297))</x:f>
        <x:v>#NAME?</x:v>
      </x:c>
      <x:c r="G297" t="e">
        <x:f>IF($A297="","",[1]!thsiFinD("ths_adjustment_nv_fund",G$3,$A297))</x:f>
        <x:v>#NAME?</x:v>
      </x:c>
      <x:c r="H297" t="e">
        <x:f>IF($A297="","",[1]!thsiFinD("ths_adjustment_nv_fund",H$3,$A297))</x:f>
        <x:v>#NAME?</x:v>
      </x:c>
      <x:c r="I297" t="e">
        <x:f>IF($A297="","",[1]!thsiFinD("ths_adjustment_nv_fund",I$3,$A297))</x:f>
        <x:v>#NAME?</x:v>
      </x:c>
      <x:c r="J297" t="e">
        <x:f>IF($A297="","",[1]!thsiFinD("ths_adjustment_nv_fund",J$3,$A297))</x:f>
        <x:v>#NAME?</x:v>
      </x:c>
      <x:c r="K297" t="e">
        <x:f>IF($A297="","",[1]!thsiFinD("ths_adjustment_nv_fund",K$3,$A297))</x:f>
        <x:v>#NAME?</x:v>
      </x:c>
      <x:c r="L297" t="e">
        <x:f>IF($A297="","",[1]!thsiFinD("ths_adjustment_nv_fund",L$3,$A297))</x:f>
        <x:v>#NAME?</x:v>
      </x:c>
      <x:c r="M297" t="e">
        <x:f>IF($A297="","",[1]!thsiFinD("ths_adjustment_nv_fund",M$3,$A297))</x:f>
        <x:v>#NAME?</x:v>
      </x:c>
      <x:c r="N297" t="e">
        <x:f>IF($A297="","",[1]!thsiFinD("ths_adjustment_nv_fund",N$3,$A297))</x:f>
        <x:v>#NAME?</x:v>
      </x:c>
      <x:c r="O297" t="e">
        <x:f>IF($A297="","",[1]!thsiFinD("ths_adjustment_nv_fund",O$3,$A297))</x:f>
        <x:v>#NAME?</x:v>
      </x:c>
      <x:c r="P297" t="e">
        <x:f>IF($A297="","",[1]!thsiFinD("ths_adjustment_nv_fund",P$3,$A297))</x:f>
        <x:v>#NAME?</x:v>
      </x:c>
      <x:c r="Q297" t="e">
        <x:f>IF($A297="","",[1]!thsiFinD("ths_adjustment_nv_fund",Q$3,$A297))</x:f>
        <x:v>#NAME?</x:v>
      </x:c>
      <x:c r="R297" t="e">
        <x:f>IF($A297="","",[1]!thsiFinD("ths_adjustment_nv_fund",R$3,$A297))</x:f>
        <x:v>#NAME?</x:v>
      </x:c>
      <x:c r="S297" t="e">
        <x:f>IF($A297="","",[1]!thsiFinD("ths_adjustment_nv_fund",S$3,$A297))</x:f>
        <x:v>#NAME?</x:v>
      </x:c>
      <x:c r="T297" t="e">
        <x:f>IF($A297="","",[1]!thsiFinD("ths_adjustment_nv_fund",T$3,$A297))</x:f>
        <x:v>#NAME?</x:v>
      </x:c>
      <x:c r="U297" t="e">
        <x:f>IF($A297="","",[1]!thsiFinD("ths_adjustment_nv_fund",U$3,$A297))</x:f>
        <x:v>#NAME?</x:v>
      </x:c>
      <x:c r="V297" t="e">
        <x:f>IF($A297="","",[1]!thsiFinD("ths_adjustment_nv_fund",V$3,$A297))</x:f>
        <x:v>#NAME?</x:v>
      </x:c>
      <x:c r="W297" t="e">
        <x:f>IF($A297="","",[1]!thsiFinD("ths_adjustment_nv_fund",W$3,$A297))</x:f>
        <x:v>#NAME?</x:v>
      </x:c>
      <x:c r="X297" t="e">
        <x:f>IF($A297="","",[1]!thsiFinD("ths_adjustment_nv_fund",X$3,$A297))</x:f>
        <x:v>#NAME?</x:v>
      </x:c>
      <x:c r="Y297" t="e">
        <x:f>IF($A297="","",[1]!thsiFinD("ths_adjustment_nv_fund",Y$3,$A297))</x:f>
        <x:v>#NAME?</x:v>
      </x:c>
    </x:row>
    <x:row r="298">
      <x:c r="B298" t="e">
        <x:f>IF($A298="","",[1]!thsiFinD("ths_adjustment_nv_fund",B$3,$A298))</x:f>
        <x:v>#NAME?</x:v>
      </x:c>
      <x:c r="C298" t="e">
        <x:f>IF($A298="","",[1]!thsiFinD("ths_adjustment_nv_fund",C$3,$A298))</x:f>
        <x:v>#NAME?</x:v>
      </x:c>
      <x:c r="D298" t="e">
        <x:f>IF($A298="","",[1]!thsiFinD("ths_adjustment_nv_fund",D$3,$A298))</x:f>
        <x:v>#NAME?</x:v>
      </x:c>
      <x:c r="E298" t="e">
        <x:f>IF($A298="","",[1]!thsiFinD("ths_adjustment_nv_fund",E$3,$A298))</x:f>
        <x:v>#NAME?</x:v>
      </x:c>
      <x:c r="F298" t="e">
        <x:f>IF($A298="","",[1]!thsiFinD("ths_adjustment_nv_fund",F$3,$A298))</x:f>
        <x:v>#NAME?</x:v>
      </x:c>
      <x:c r="G298" t="e">
        <x:f>IF($A298="","",[1]!thsiFinD("ths_adjustment_nv_fund",G$3,$A298))</x:f>
        <x:v>#NAME?</x:v>
      </x:c>
      <x:c r="H298" t="e">
        <x:f>IF($A298="","",[1]!thsiFinD("ths_adjustment_nv_fund",H$3,$A298))</x:f>
        <x:v>#NAME?</x:v>
      </x:c>
      <x:c r="I298" t="e">
        <x:f>IF($A298="","",[1]!thsiFinD("ths_adjustment_nv_fund",I$3,$A298))</x:f>
        <x:v>#NAME?</x:v>
      </x:c>
      <x:c r="J298" t="e">
        <x:f>IF($A298="","",[1]!thsiFinD("ths_adjustment_nv_fund",J$3,$A298))</x:f>
        <x:v>#NAME?</x:v>
      </x:c>
      <x:c r="K298" t="e">
        <x:f>IF($A298="","",[1]!thsiFinD("ths_adjustment_nv_fund",K$3,$A298))</x:f>
        <x:v>#NAME?</x:v>
      </x:c>
      <x:c r="L298" t="e">
        <x:f>IF($A298="","",[1]!thsiFinD("ths_adjustment_nv_fund",L$3,$A298))</x:f>
        <x:v>#NAME?</x:v>
      </x:c>
      <x:c r="M298" t="e">
        <x:f>IF($A298="","",[1]!thsiFinD("ths_adjustment_nv_fund",M$3,$A298))</x:f>
        <x:v>#NAME?</x:v>
      </x:c>
      <x:c r="N298" t="e">
        <x:f>IF($A298="","",[1]!thsiFinD("ths_adjustment_nv_fund",N$3,$A298))</x:f>
        <x:v>#NAME?</x:v>
      </x:c>
      <x:c r="O298" t="e">
        <x:f>IF($A298="","",[1]!thsiFinD("ths_adjustment_nv_fund",O$3,$A298))</x:f>
        <x:v>#NAME?</x:v>
      </x:c>
      <x:c r="P298" t="e">
        <x:f>IF($A298="","",[1]!thsiFinD("ths_adjustment_nv_fund",P$3,$A298))</x:f>
        <x:v>#NAME?</x:v>
      </x:c>
      <x:c r="Q298" t="e">
        <x:f>IF($A298="","",[1]!thsiFinD("ths_adjustment_nv_fund",Q$3,$A298))</x:f>
        <x:v>#NAME?</x:v>
      </x:c>
      <x:c r="R298" t="e">
        <x:f>IF($A298="","",[1]!thsiFinD("ths_adjustment_nv_fund",R$3,$A298))</x:f>
        <x:v>#NAME?</x:v>
      </x:c>
      <x:c r="S298" t="e">
        <x:f>IF($A298="","",[1]!thsiFinD("ths_adjustment_nv_fund",S$3,$A298))</x:f>
        <x:v>#NAME?</x:v>
      </x:c>
      <x:c r="T298" t="e">
        <x:f>IF($A298="","",[1]!thsiFinD("ths_adjustment_nv_fund",T$3,$A298))</x:f>
        <x:v>#NAME?</x:v>
      </x:c>
      <x:c r="U298" t="e">
        <x:f>IF($A298="","",[1]!thsiFinD("ths_adjustment_nv_fund",U$3,$A298))</x:f>
        <x:v>#NAME?</x:v>
      </x:c>
      <x:c r="V298" t="e">
        <x:f>IF($A298="","",[1]!thsiFinD("ths_adjustment_nv_fund",V$3,$A298))</x:f>
        <x:v>#NAME?</x:v>
      </x:c>
      <x:c r="W298" t="e">
        <x:f>IF($A298="","",[1]!thsiFinD("ths_adjustment_nv_fund",W$3,$A298))</x:f>
        <x:v>#NAME?</x:v>
      </x:c>
      <x:c r="X298" t="e">
        <x:f>IF($A298="","",[1]!thsiFinD("ths_adjustment_nv_fund",X$3,$A298))</x:f>
        <x:v>#NAME?</x:v>
      </x:c>
      <x:c r="Y298" t="e">
        <x:f>IF($A298="","",[1]!thsiFinD("ths_adjustment_nv_fund",Y$3,$A298))</x:f>
        <x:v>#NAME?</x:v>
      </x:c>
    </x:row>
    <x:row r="299">
      <x:c r="B299" t="e">
        <x:f>IF($A299="","",[1]!thsiFinD("ths_adjustment_nv_fund",B$3,$A299))</x:f>
        <x:v>#NAME?</x:v>
      </x:c>
      <x:c r="C299" t="e">
        <x:f>IF($A299="","",[1]!thsiFinD("ths_adjustment_nv_fund",C$3,$A299))</x:f>
        <x:v>#NAME?</x:v>
      </x:c>
      <x:c r="D299" t="e">
        <x:f>IF($A299="","",[1]!thsiFinD("ths_adjustment_nv_fund",D$3,$A299))</x:f>
        <x:v>#NAME?</x:v>
      </x:c>
      <x:c r="E299" t="e">
        <x:f>IF($A299="","",[1]!thsiFinD("ths_adjustment_nv_fund",E$3,$A299))</x:f>
        <x:v>#NAME?</x:v>
      </x:c>
      <x:c r="F299" t="e">
        <x:f>IF($A299="","",[1]!thsiFinD("ths_adjustment_nv_fund",F$3,$A299))</x:f>
        <x:v>#NAME?</x:v>
      </x:c>
      <x:c r="G299" t="e">
        <x:f>IF($A299="","",[1]!thsiFinD("ths_adjustment_nv_fund",G$3,$A299))</x:f>
        <x:v>#NAME?</x:v>
      </x:c>
      <x:c r="H299" t="e">
        <x:f>IF($A299="","",[1]!thsiFinD("ths_adjustment_nv_fund",H$3,$A299))</x:f>
        <x:v>#NAME?</x:v>
      </x:c>
      <x:c r="I299" t="e">
        <x:f>IF($A299="","",[1]!thsiFinD("ths_adjustment_nv_fund",I$3,$A299))</x:f>
        <x:v>#NAME?</x:v>
      </x:c>
      <x:c r="J299" t="e">
        <x:f>IF($A299="","",[1]!thsiFinD("ths_adjustment_nv_fund",J$3,$A299))</x:f>
        <x:v>#NAME?</x:v>
      </x:c>
      <x:c r="K299" t="e">
        <x:f>IF($A299="","",[1]!thsiFinD("ths_adjustment_nv_fund",K$3,$A299))</x:f>
        <x:v>#NAME?</x:v>
      </x:c>
      <x:c r="L299" t="e">
        <x:f>IF($A299="","",[1]!thsiFinD("ths_adjustment_nv_fund",L$3,$A299))</x:f>
        <x:v>#NAME?</x:v>
      </x:c>
      <x:c r="M299" t="e">
        <x:f>IF($A299="","",[1]!thsiFinD("ths_adjustment_nv_fund",M$3,$A299))</x:f>
        <x:v>#NAME?</x:v>
      </x:c>
      <x:c r="N299" t="e">
        <x:f>IF($A299="","",[1]!thsiFinD("ths_adjustment_nv_fund",N$3,$A299))</x:f>
        <x:v>#NAME?</x:v>
      </x:c>
      <x:c r="O299" t="e">
        <x:f>IF($A299="","",[1]!thsiFinD("ths_adjustment_nv_fund",O$3,$A299))</x:f>
        <x:v>#NAME?</x:v>
      </x:c>
      <x:c r="P299" t="e">
        <x:f>IF($A299="","",[1]!thsiFinD("ths_adjustment_nv_fund",P$3,$A299))</x:f>
        <x:v>#NAME?</x:v>
      </x:c>
      <x:c r="Q299" t="e">
        <x:f>IF($A299="","",[1]!thsiFinD("ths_adjustment_nv_fund",Q$3,$A299))</x:f>
        <x:v>#NAME?</x:v>
      </x:c>
      <x:c r="R299" t="e">
        <x:f>IF($A299="","",[1]!thsiFinD("ths_adjustment_nv_fund",R$3,$A299))</x:f>
        <x:v>#NAME?</x:v>
      </x:c>
      <x:c r="S299" t="e">
        <x:f>IF($A299="","",[1]!thsiFinD("ths_adjustment_nv_fund",S$3,$A299))</x:f>
        <x:v>#NAME?</x:v>
      </x:c>
      <x:c r="T299" t="e">
        <x:f>IF($A299="","",[1]!thsiFinD("ths_adjustment_nv_fund",T$3,$A299))</x:f>
        <x:v>#NAME?</x:v>
      </x:c>
      <x:c r="U299" t="e">
        <x:f>IF($A299="","",[1]!thsiFinD("ths_adjustment_nv_fund",U$3,$A299))</x:f>
        <x:v>#NAME?</x:v>
      </x:c>
      <x:c r="V299" t="e">
        <x:f>IF($A299="","",[1]!thsiFinD("ths_adjustment_nv_fund",V$3,$A299))</x:f>
        <x:v>#NAME?</x:v>
      </x:c>
      <x:c r="W299" t="e">
        <x:f>IF($A299="","",[1]!thsiFinD("ths_adjustment_nv_fund",W$3,$A299))</x:f>
        <x:v>#NAME?</x:v>
      </x:c>
      <x:c r="X299" t="e">
        <x:f>IF($A299="","",[1]!thsiFinD("ths_adjustment_nv_fund",X$3,$A299))</x:f>
        <x:v>#NAME?</x:v>
      </x:c>
      <x:c r="Y299" t="e">
        <x:f>IF($A299="","",[1]!thsiFinD("ths_adjustment_nv_fund",Y$3,$A299))</x:f>
        <x:v>#NAME?</x:v>
      </x:c>
    </x:row>
    <x:row r="300">
      <x:c r="B300" t="e">
        <x:f>IF($A300="","",[1]!thsiFinD("ths_adjustment_nv_fund",B$3,$A300))</x:f>
        <x:v>#NAME?</x:v>
      </x:c>
      <x:c r="C300" t="e">
        <x:f>IF($A300="","",[1]!thsiFinD("ths_adjustment_nv_fund",C$3,$A300))</x:f>
        <x:v>#NAME?</x:v>
      </x:c>
      <x:c r="D300" t="e">
        <x:f>IF($A300="","",[1]!thsiFinD("ths_adjustment_nv_fund",D$3,$A300))</x:f>
        <x:v>#NAME?</x:v>
      </x:c>
      <x:c r="E300" t="e">
        <x:f>IF($A300="","",[1]!thsiFinD("ths_adjustment_nv_fund",E$3,$A300))</x:f>
        <x:v>#NAME?</x:v>
      </x:c>
      <x:c r="F300" t="e">
        <x:f>IF($A300="","",[1]!thsiFinD("ths_adjustment_nv_fund",F$3,$A300))</x:f>
        <x:v>#NAME?</x:v>
      </x:c>
      <x:c r="G300" t="e">
        <x:f>IF($A300="","",[1]!thsiFinD("ths_adjustment_nv_fund",G$3,$A300))</x:f>
        <x:v>#NAME?</x:v>
      </x:c>
      <x:c r="H300" t="e">
        <x:f>IF($A300="","",[1]!thsiFinD("ths_adjustment_nv_fund",H$3,$A300))</x:f>
        <x:v>#NAME?</x:v>
      </x:c>
      <x:c r="I300" t="e">
        <x:f>IF($A300="","",[1]!thsiFinD("ths_adjustment_nv_fund",I$3,$A300))</x:f>
        <x:v>#NAME?</x:v>
      </x:c>
      <x:c r="J300" t="e">
        <x:f>IF($A300="","",[1]!thsiFinD("ths_adjustment_nv_fund",J$3,$A300))</x:f>
        <x:v>#NAME?</x:v>
      </x:c>
      <x:c r="K300" t="e">
        <x:f>IF($A300="","",[1]!thsiFinD("ths_adjustment_nv_fund",K$3,$A300))</x:f>
        <x:v>#NAME?</x:v>
      </x:c>
      <x:c r="L300" t="e">
        <x:f>IF($A300="","",[1]!thsiFinD("ths_adjustment_nv_fund",L$3,$A300))</x:f>
        <x:v>#NAME?</x:v>
      </x:c>
      <x:c r="M300" t="e">
        <x:f>IF($A300="","",[1]!thsiFinD("ths_adjustment_nv_fund",M$3,$A300))</x:f>
        <x:v>#NAME?</x:v>
      </x:c>
      <x:c r="N300" t="e">
        <x:f>IF($A300="","",[1]!thsiFinD("ths_adjustment_nv_fund",N$3,$A300))</x:f>
        <x:v>#NAME?</x:v>
      </x:c>
      <x:c r="O300" t="e">
        <x:f>IF($A300="","",[1]!thsiFinD("ths_adjustment_nv_fund",O$3,$A300))</x:f>
        <x:v>#NAME?</x:v>
      </x:c>
      <x:c r="P300" t="e">
        <x:f>IF($A300="","",[1]!thsiFinD("ths_adjustment_nv_fund",P$3,$A300))</x:f>
        <x:v>#NAME?</x:v>
      </x:c>
      <x:c r="Q300" t="e">
        <x:f>IF($A300="","",[1]!thsiFinD("ths_adjustment_nv_fund",Q$3,$A300))</x:f>
        <x:v>#NAME?</x:v>
      </x:c>
      <x:c r="R300" t="e">
        <x:f>IF($A300="","",[1]!thsiFinD("ths_adjustment_nv_fund",R$3,$A300))</x:f>
        <x:v>#NAME?</x:v>
      </x:c>
      <x:c r="S300" t="e">
        <x:f>IF($A300="","",[1]!thsiFinD("ths_adjustment_nv_fund",S$3,$A300))</x:f>
        <x:v>#NAME?</x:v>
      </x:c>
      <x:c r="T300" t="e">
        <x:f>IF($A300="","",[1]!thsiFinD("ths_adjustment_nv_fund",T$3,$A300))</x:f>
        <x:v>#NAME?</x:v>
      </x:c>
      <x:c r="U300" t="e">
        <x:f>IF($A300="","",[1]!thsiFinD("ths_adjustment_nv_fund",U$3,$A300))</x:f>
        <x:v>#NAME?</x:v>
      </x:c>
      <x:c r="V300" t="e">
        <x:f>IF($A300="","",[1]!thsiFinD("ths_adjustment_nv_fund",V$3,$A300))</x:f>
        <x:v>#NAME?</x:v>
      </x:c>
      <x:c r="W300" t="e">
        <x:f>IF($A300="","",[1]!thsiFinD("ths_adjustment_nv_fund",W$3,$A300))</x:f>
        <x:v>#NAME?</x:v>
      </x:c>
      <x:c r="X300" t="e">
        <x:f>IF($A300="","",[1]!thsiFinD("ths_adjustment_nv_fund",X$3,$A300))</x:f>
        <x:v>#NAME?</x:v>
      </x:c>
      <x:c r="Y300" t="e">
        <x:f>IF($A300="","",[1]!thsiFinD("ths_adjustment_nv_fund",Y$3,$A300))</x:f>
        <x:v>#NAME?</x:v>
      </x:c>
    </x:row>
    <x:row r="301">
      <x:c r="B301" t="e">
        <x:f>IF($A301="","",[1]!thsiFinD("ths_adjustment_nv_fund",B$3,$A301))</x:f>
        <x:v>#NAME?</x:v>
      </x:c>
      <x:c r="C301" t="e">
        <x:f>IF($A301="","",[1]!thsiFinD("ths_adjustment_nv_fund",C$3,$A301))</x:f>
        <x:v>#NAME?</x:v>
      </x:c>
      <x:c r="D301" t="e">
        <x:f>IF($A301="","",[1]!thsiFinD("ths_adjustment_nv_fund",D$3,$A301))</x:f>
        <x:v>#NAME?</x:v>
      </x:c>
      <x:c r="E301" t="e">
        <x:f>IF($A301="","",[1]!thsiFinD("ths_adjustment_nv_fund",E$3,$A301))</x:f>
        <x:v>#NAME?</x:v>
      </x:c>
      <x:c r="F301" t="e">
        <x:f>IF($A301="","",[1]!thsiFinD("ths_adjustment_nv_fund",F$3,$A301))</x:f>
        <x:v>#NAME?</x:v>
      </x:c>
      <x:c r="G301" t="e">
        <x:f>IF($A301="","",[1]!thsiFinD("ths_adjustment_nv_fund",G$3,$A301))</x:f>
        <x:v>#NAME?</x:v>
      </x:c>
      <x:c r="H301" t="e">
        <x:f>IF($A301="","",[1]!thsiFinD("ths_adjustment_nv_fund",H$3,$A301))</x:f>
        <x:v>#NAME?</x:v>
      </x:c>
      <x:c r="I301" t="e">
        <x:f>IF($A301="","",[1]!thsiFinD("ths_adjustment_nv_fund",I$3,$A301))</x:f>
        <x:v>#NAME?</x:v>
      </x:c>
      <x:c r="J301" t="e">
        <x:f>IF($A301="","",[1]!thsiFinD("ths_adjustment_nv_fund",J$3,$A301))</x:f>
        <x:v>#NAME?</x:v>
      </x:c>
      <x:c r="K301" t="e">
        <x:f>IF($A301="","",[1]!thsiFinD("ths_adjustment_nv_fund",K$3,$A301))</x:f>
        <x:v>#NAME?</x:v>
      </x:c>
      <x:c r="L301" t="e">
        <x:f>IF($A301="","",[1]!thsiFinD("ths_adjustment_nv_fund",L$3,$A301))</x:f>
        <x:v>#NAME?</x:v>
      </x:c>
      <x:c r="M301" t="e">
        <x:f>IF($A301="","",[1]!thsiFinD("ths_adjustment_nv_fund",M$3,$A301))</x:f>
        <x:v>#NAME?</x:v>
      </x:c>
      <x:c r="N301" t="e">
        <x:f>IF($A301="","",[1]!thsiFinD("ths_adjustment_nv_fund",N$3,$A301))</x:f>
        <x:v>#NAME?</x:v>
      </x:c>
      <x:c r="O301" t="e">
        <x:f>IF($A301="","",[1]!thsiFinD("ths_adjustment_nv_fund",O$3,$A301))</x:f>
        <x:v>#NAME?</x:v>
      </x:c>
      <x:c r="P301" t="e">
        <x:f>IF($A301="","",[1]!thsiFinD("ths_adjustment_nv_fund",P$3,$A301))</x:f>
        <x:v>#NAME?</x:v>
      </x:c>
      <x:c r="Q301" t="e">
        <x:f>IF($A301="","",[1]!thsiFinD("ths_adjustment_nv_fund",Q$3,$A301))</x:f>
        <x:v>#NAME?</x:v>
      </x:c>
      <x:c r="R301" t="e">
        <x:f>IF($A301="","",[1]!thsiFinD("ths_adjustment_nv_fund",R$3,$A301))</x:f>
        <x:v>#NAME?</x:v>
      </x:c>
      <x:c r="S301" t="e">
        <x:f>IF($A301="","",[1]!thsiFinD("ths_adjustment_nv_fund",S$3,$A301))</x:f>
        <x:v>#NAME?</x:v>
      </x:c>
      <x:c r="T301" t="e">
        <x:f>IF($A301="","",[1]!thsiFinD("ths_adjustment_nv_fund",T$3,$A301))</x:f>
        <x:v>#NAME?</x:v>
      </x:c>
      <x:c r="U301" t="e">
        <x:f>IF($A301="","",[1]!thsiFinD("ths_adjustment_nv_fund",U$3,$A301))</x:f>
        <x:v>#NAME?</x:v>
      </x:c>
      <x:c r="V301" t="e">
        <x:f>IF($A301="","",[1]!thsiFinD("ths_adjustment_nv_fund",V$3,$A301))</x:f>
        <x:v>#NAME?</x:v>
      </x:c>
      <x:c r="W301" t="e">
        <x:f>IF($A301="","",[1]!thsiFinD("ths_adjustment_nv_fund",W$3,$A301))</x:f>
        <x:v>#NAME?</x:v>
      </x:c>
      <x:c r="X301" t="e">
        <x:f>IF($A301="","",[1]!thsiFinD("ths_adjustment_nv_fund",X$3,$A301))</x:f>
        <x:v>#NAME?</x:v>
      </x:c>
      <x:c r="Y301" t="e">
        <x:f>IF($A301="","",[1]!thsiFinD("ths_adjustment_nv_fund",Y$3,$A301))</x:f>
        <x:v>#NAME?</x:v>
      </x:c>
    </x:row>
    <x:row r="302">
      <x:c r="B302" t="e">
        <x:f>IF($A302="","",[1]!thsiFinD("ths_adjustment_nv_fund",B$3,$A302))</x:f>
        <x:v>#NAME?</x:v>
      </x:c>
      <x:c r="C302" t="e">
        <x:f>IF($A302="","",[1]!thsiFinD("ths_adjustment_nv_fund",C$3,$A302))</x:f>
        <x:v>#NAME?</x:v>
      </x:c>
      <x:c r="D302" t="e">
        <x:f>IF($A302="","",[1]!thsiFinD("ths_adjustment_nv_fund",D$3,$A302))</x:f>
        <x:v>#NAME?</x:v>
      </x:c>
      <x:c r="E302" t="e">
        <x:f>IF($A302="","",[1]!thsiFinD("ths_adjustment_nv_fund",E$3,$A302))</x:f>
        <x:v>#NAME?</x:v>
      </x:c>
      <x:c r="F302" t="e">
        <x:f>IF($A302="","",[1]!thsiFinD("ths_adjustment_nv_fund",F$3,$A302))</x:f>
        <x:v>#NAME?</x:v>
      </x:c>
      <x:c r="G302" t="e">
        <x:f>IF($A302="","",[1]!thsiFinD("ths_adjustment_nv_fund",G$3,$A302))</x:f>
        <x:v>#NAME?</x:v>
      </x:c>
      <x:c r="H302" t="e">
        <x:f>IF($A302="","",[1]!thsiFinD("ths_adjustment_nv_fund",H$3,$A302))</x:f>
        <x:v>#NAME?</x:v>
      </x:c>
      <x:c r="I302" t="e">
        <x:f>IF($A302="","",[1]!thsiFinD("ths_adjustment_nv_fund",I$3,$A302))</x:f>
        <x:v>#NAME?</x:v>
      </x:c>
      <x:c r="J302" t="e">
        <x:f>IF($A302="","",[1]!thsiFinD("ths_adjustment_nv_fund",J$3,$A302))</x:f>
        <x:v>#NAME?</x:v>
      </x:c>
      <x:c r="K302" t="e">
        <x:f>IF($A302="","",[1]!thsiFinD("ths_adjustment_nv_fund",K$3,$A302))</x:f>
        <x:v>#NAME?</x:v>
      </x:c>
      <x:c r="L302" t="e">
        <x:f>IF($A302="","",[1]!thsiFinD("ths_adjustment_nv_fund",L$3,$A302))</x:f>
        <x:v>#NAME?</x:v>
      </x:c>
      <x:c r="M302" t="e">
        <x:f>IF($A302="","",[1]!thsiFinD("ths_adjustment_nv_fund",M$3,$A302))</x:f>
        <x:v>#NAME?</x:v>
      </x:c>
      <x:c r="N302" t="e">
        <x:f>IF($A302="","",[1]!thsiFinD("ths_adjustment_nv_fund",N$3,$A302))</x:f>
        <x:v>#NAME?</x:v>
      </x:c>
      <x:c r="O302" t="e">
        <x:f>IF($A302="","",[1]!thsiFinD("ths_adjustment_nv_fund",O$3,$A302))</x:f>
        <x:v>#NAME?</x:v>
      </x:c>
      <x:c r="P302" t="e">
        <x:f>IF($A302="","",[1]!thsiFinD("ths_adjustment_nv_fund",P$3,$A302))</x:f>
        <x:v>#NAME?</x:v>
      </x:c>
      <x:c r="Q302" t="e">
        <x:f>IF($A302="","",[1]!thsiFinD("ths_adjustment_nv_fund",Q$3,$A302))</x:f>
        <x:v>#NAME?</x:v>
      </x:c>
      <x:c r="R302" t="e">
        <x:f>IF($A302="","",[1]!thsiFinD("ths_adjustment_nv_fund",R$3,$A302))</x:f>
        <x:v>#NAME?</x:v>
      </x:c>
      <x:c r="S302" t="e">
        <x:f>IF($A302="","",[1]!thsiFinD("ths_adjustment_nv_fund",S$3,$A302))</x:f>
        <x:v>#NAME?</x:v>
      </x:c>
      <x:c r="T302" t="e">
        <x:f>IF($A302="","",[1]!thsiFinD("ths_adjustment_nv_fund",T$3,$A302))</x:f>
        <x:v>#NAME?</x:v>
      </x:c>
      <x:c r="U302" t="e">
        <x:f>IF($A302="","",[1]!thsiFinD("ths_adjustment_nv_fund",U$3,$A302))</x:f>
        <x:v>#NAME?</x:v>
      </x:c>
      <x:c r="V302" t="e">
        <x:f>IF($A302="","",[1]!thsiFinD("ths_adjustment_nv_fund",V$3,$A302))</x:f>
        <x:v>#NAME?</x:v>
      </x:c>
      <x:c r="W302" t="e">
        <x:f>IF($A302="","",[1]!thsiFinD("ths_adjustment_nv_fund",W$3,$A302))</x:f>
        <x:v>#NAME?</x:v>
      </x:c>
      <x:c r="X302" t="e">
        <x:f>IF($A302="","",[1]!thsiFinD("ths_adjustment_nv_fund",X$3,$A302))</x:f>
        <x:v>#NAME?</x:v>
      </x:c>
      <x:c r="Y302" t="e">
        <x:f>IF($A302="","",[1]!thsiFinD("ths_adjustment_nv_fund",Y$3,$A302))</x:f>
        <x:v>#NAME?</x:v>
      </x:c>
    </x:row>
    <x:row r="303">
      <x:c r="B303" t="e">
        <x:f>IF($A303="","",[1]!thsiFinD("ths_adjustment_nv_fund",B$3,$A303))</x:f>
        <x:v>#NAME?</x:v>
      </x:c>
      <x:c r="C303" t="e">
        <x:f>IF($A303="","",[1]!thsiFinD("ths_adjustment_nv_fund",C$3,$A303))</x:f>
        <x:v>#NAME?</x:v>
      </x:c>
      <x:c r="D303" t="e">
        <x:f>IF($A303="","",[1]!thsiFinD("ths_adjustment_nv_fund",D$3,$A303))</x:f>
        <x:v>#NAME?</x:v>
      </x:c>
      <x:c r="E303" t="e">
        <x:f>IF($A303="","",[1]!thsiFinD("ths_adjustment_nv_fund",E$3,$A303))</x:f>
        <x:v>#NAME?</x:v>
      </x:c>
      <x:c r="F303" t="e">
        <x:f>IF($A303="","",[1]!thsiFinD("ths_adjustment_nv_fund",F$3,$A303))</x:f>
        <x:v>#NAME?</x:v>
      </x:c>
      <x:c r="G303" t="e">
        <x:f>IF($A303="","",[1]!thsiFinD("ths_adjustment_nv_fund",G$3,$A303))</x:f>
        <x:v>#NAME?</x:v>
      </x:c>
      <x:c r="H303" t="e">
        <x:f>IF($A303="","",[1]!thsiFinD("ths_adjustment_nv_fund",H$3,$A303))</x:f>
        <x:v>#NAME?</x:v>
      </x:c>
      <x:c r="I303" t="e">
        <x:f>IF($A303="","",[1]!thsiFinD("ths_adjustment_nv_fund",I$3,$A303))</x:f>
        <x:v>#NAME?</x:v>
      </x:c>
      <x:c r="J303" t="e">
        <x:f>IF($A303="","",[1]!thsiFinD("ths_adjustment_nv_fund",J$3,$A303))</x:f>
        <x:v>#NAME?</x:v>
      </x:c>
      <x:c r="K303" t="e">
        <x:f>IF($A303="","",[1]!thsiFinD("ths_adjustment_nv_fund",K$3,$A303))</x:f>
        <x:v>#NAME?</x:v>
      </x:c>
      <x:c r="L303" t="e">
        <x:f>IF($A303="","",[1]!thsiFinD("ths_adjustment_nv_fund",L$3,$A303))</x:f>
        <x:v>#NAME?</x:v>
      </x:c>
      <x:c r="M303" t="e">
        <x:f>IF($A303="","",[1]!thsiFinD("ths_adjustment_nv_fund",M$3,$A303))</x:f>
        <x:v>#NAME?</x:v>
      </x:c>
      <x:c r="N303" t="e">
        <x:f>IF($A303="","",[1]!thsiFinD("ths_adjustment_nv_fund",N$3,$A303))</x:f>
        <x:v>#NAME?</x:v>
      </x:c>
      <x:c r="O303" t="e">
        <x:f>IF($A303="","",[1]!thsiFinD("ths_adjustment_nv_fund",O$3,$A303))</x:f>
        <x:v>#NAME?</x:v>
      </x:c>
      <x:c r="P303" t="e">
        <x:f>IF($A303="","",[1]!thsiFinD("ths_adjustment_nv_fund",P$3,$A303))</x:f>
        <x:v>#NAME?</x:v>
      </x:c>
      <x:c r="Q303" t="e">
        <x:f>IF($A303="","",[1]!thsiFinD("ths_adjustment_nv_fund",Q$3,$A303))</x:f>
        <x:v>#NAME?</x:v>
      </x:c>
      <x:c r="R303" t="e">
        <x:f>IF($A303="","",[1]!thsiFinD("ths_adjustment_nv_fund",R$3,$A303))</x:f>
        <x:v>#NAME?</x:v>
      </x:c>
      <x:c r="S303" t="e">
        <x:f>IF($A303="","",[1]!thsiFinD("ths_adjustment_nv_fund",S$3,$A303))</x:f>
        <x:v>#NAME?</x:v>
      </x:c>
      <x:c r="T303" t="e">
        <x:f>IF($A303="","",[1]!thsiFinD("ths_adjustment_nv_fund",T$3,$A303))</x:f>
        <x:v>#NAME?</x:v>
      </x:c>
      <x:c r="U303" t="e">
        <x:f>IF($A303="","",[1]!thsiFinD("ths_adjustment_nv_fund",U$3,$A303))</x:f>
        <x:v>#NAME?</x:v>
      </x:c>
      <x:c r="V303" t="e">
        <x:f>IF($A303="","",[1]!thsiFinD("ths_adjustment_nv_fund",V$3,$A303))</x:f>
        <x:v>#NAME?</x:v>
      </x:c>
      <x:c r="W303" t="e">
        <x:f>IF($A303="","",[1]!thsiFinD("ths_adjustment_nv_fund",W$3,$A303))</x:f>
        <x:v>#NAME?</x:v>
      </x:c>
      <x:c r="X303" t="e">
        <x:f>IF($A303="","",[1]!thsiFinD("ths_adjustment_nv_fund",X$3,$A303))</x:f>
        <x:v>#NAME?</x:v>
      </x:c>
      <x:c r="Y303" t="e">
        <x:f>IF($A303="","",[1]!thsiFinD("ths_adjustment_nv_fund",Y$3,$A303))</x:f>
        <x:v>#NAME?</x:v>
      </x:c>
    </x:row>
    <x:row r="304">
      <x:c r="B304" t="e">
        <x:f>IF($A304="","",[1]!thsiFinD("ths_adjustment_nv_fund",B$3,$A304))</x:f>
        <x:v>#NAME?</x:v>
      </x:c>
      <x:c r="C304" t="e">
        <x:f>IF($A304="","",[1]!thsiFinD("ths_adjustment_nv_fund",C$3,$A304))</x:f>
        <x:v>#NAME?</x:v>
      </x:c>
      <x:c r="D304" t="e">
        <x:f>IF($A304="","",[1]!thsiFinD("ths_adjustment_nv_fund",D$3,$A304))</x:f>
        <x:v>#NAME?</x:v>
      </x:c>
      <x:c r="E304" t="e">
        <x:f>IF($A304="","",[1]!thsiFinD("ths_adjustment_nv_fund",E$3,$A304))</x:f>
        <x:v>#NAME?</x:v>
      </x:c>
      <x:c r="F304" t="e">
        <x:f>IF($A304="","",[1]!thsiFinD("ths_adjustment_nv_fund",F$3,$A304))</x:f>
        <x:v>#NAME?</x:v>
      </x:c>
      <x:c r="G304" t="e">
        <x:f>IF($A304="","",[1]!thsiFinD("ths_adjustment_nv_fund",G$3,$A304))</x:f>
        <x:v>#NAME?</x:v>
      </x:c>
      <x:c r="H304" t="e">
        <x:f>IF($A304="","",[1]!thsiFinD("ths_adjustment_nv_fund",H$3,$A304))</x:f>
        <x:v>#NAME?</x:v>
      </x:c>
      <x:c r="I304" t="e">
        <x:f>IF($A304="","",[1]!thsiFinD("ths_adjustment_nv_fund",I$3,$A304))</x:f>
        <x:v>#NAME?</x:v>
      </x:c>
      <x:c r="J304" t="e">
        <x:f>IF($A304="","",[1]!thsiFinD("ths_adjustment_nv_fund",J$3,$A304))</x:f>
        <x:v>#NAME?</x:v>
      </x:c>
      <x:c r="K304" t="e">
        <x:f>IF($A304="","",[1]!thsiFinD("ths_adjustment_nv_fund",K$3,$A304))</x:f>
        <x:v>#NAME?</x:v>
      </x:c>
      <x:c r="L304" t="e">
        <x:f>IF($A304="","",[1]!thsiFinD("ths_adjustment_nv_fund",L$3,$A304))</x:f>
        <x:v>#NAME?</x:v>
      </x:c>
      <x:c r="M304" t="e">
        <x:f>IF($A304="","",[1]!thsiFinD("ths_adjustment_nv_fund",M$3,$A304))</x:f>
        <x:v>#NAME?</x:v>
      </x:c>
      <x:c r="N304" t="e">
        <x:f>IF($A304="","",[1]!thsiFinD("ths_adjustment_nv_fund",N$3,$A304))</x:f>
        <x:v>#NAME?</x:v>
      </x:c>
      <x:c r="O304" t="e">
        <x:f>IF($A304="","",[1]!thsiFinD("ths_adjustment_nv_fund",O$3,$A304))</x:f>
        <x:v>#NAME?</x:v>
      </x:c>
      <x:c r="P304" t="e">
        <x:f>IF($A304="","",[1]!thsiFinD("ths_adjustment_nv_fund",P$3,$A304))</x:f>
        <x:v>#NAME?</x:v>
      </x:c>
      <x:c r="Q304" t="e">
        <x:f>IF($A304="","",[1]!thsiFinD("ths_adjustment_nv_fund",Q$3,$A304))</x:f>
        <x:v>#NAME?</x:v>
      </x:c>
      <x:c r="R304" t="e">
        <x:f>IF($A304="","",[1]!thsiFinD("ths_adjustment_nv_fund",R$3,$A304))</x:f>
        <x:v>#NAME?</x:v>
      </x:c>
      <x:c r="S304" t="e">
        <x:f>IF($A304="","",[1]!thsiFinD("ths_adjustment_nv_fund",S$3,$A304))</x:f>
        <x:v>#NAME?</x:v>
      </x:c>
      <x:c r="T304" t="e">
        <x:f>IF($A304="","",[1]!thsiFinD("ths_adjustment_nv_fund",T$3,$A304))</x:f>
        <x:v>#NAME?</x:v>
      </x:c>
      <x:c r="U304" t="e">
        <x:f>IF($A304="","",[1]!thsiFinD("ths_adjustment_nv_fund",U$3,$A304))</x:f>
        <x:v>#NAME?</x:v>
      </x:c>
      <x:c r="V304" t="e">
        <x:f>IF($A304="","",[1]!thsiFinD("ths_adjustment_nv_fund",V$3,$A304))</x:f>
        <x:v>#NAME?</x:v>
      </x:c>
      <x:c r="W304" t="e">
        <x:f>IF($A304="","",[1]!thsiFinD("ths_adjustment_nv_fund",W$3,$A304))</x:f>
        <x:v>#NAME?</x:v>
      </x:c>
      <x:c r="X304" t="e">
        <x:f>IF($A304="","",[1]!thsiFinD("ths_adjustment_nv_fund",X$3,$A304))</x:f>
        <x:v>#NAME?</x:v>
      </x:c>
      <x:c r="Y304" t="e">
        <x:f>IF($A304="","",[1]!thsiFinD("ths_adjustment_nv_fund",Y$3,$A304))</x:f>
        <x:v>#NAME?</x:v>
      </x:c>
    </x:row>
    <x:row r="305">
      <x:c r="B305" t="e">
        <x:f>IF($A305="","",[1]!thsiFinD("ths_adjustment_nv_fund",B$3,$A305))</x:f>
        <x:v>#NAME?</x:v>
      </x:c>
      <x:c r="C305" t="e">
        <x:f>IF($A305="","",[1]!thsiFinD("ths_adjustment_nv_fund",C$3,$A305))</x:f>
        <x:v>#NAME?</x:v>
      </x:c>
      <x:c r="D305" t="e">
        <x:f>IF($A305="","",[1]!thsiFinD("ths_adjustment_nv_fund",D$3,$A305))</x:f>
        <x:v>#NAME?</x:v>
      </x:c>
      <x:c r="E305" t="e">
        <x:f>IF($A305="","",[1]!thsiFinD("ths_adjustment_nv_fund",E$3,$A305))</x:f>
        <x:v>#NAME?</x:v>
      </x:c>
      <x:c r="F305" t="e">
        <x:f>IF($A305="","",[1]!thsiFinD("ths_adjustment_nv_fund",F$3,$A305))</x:f>
        <x:v>#NAME?</x:v>
      </x:c>
      <x:c r="G305" t="e">
        <x:f>IF($A305="","",[1]!thsiFinD("ths_adjustment_nv_fund",G$3,$A305))</x:f>
        <x:v>#NAME?</x:v>
      </x:c>
      <x:c r="H305" t="e">
        <x:f>IF($A305="","",[1]!thsiFinD("ths_adjustment_nv_fund",H$3,$A305))</x:f>
        <x:v>#NAME?</x:v>
      </x:c>
      <x:c r="I305" t="e">
        <x:f>IF($A305="","",[1]!thsiFinD("ths_adjustment_nv_fund",I$3,$A305))</x:f>
        <x:v>#NAME?</x:v>
      </x:c>
      <x:c r="J305" t="e">
        <x:f>IF($A305="","",[1]!thsiFinD("ths_adjustment_nv_fund",J$3,$A305))</x:f>
        <x:v>#NAME?</x:v>
      </x:c>
      <x:c r="K305" t="e">
        <x:f>IF($A305="","",[1]!thsiFinD("ths_adjustment_nv_fund",K$3,$A305))</x:f>
        <x:v>#NAME?</x:v>
      </x:c>
      <x:c r="L305" t="e">
        <x:f>IF($A305="","",[1]!thsiFinD("ths_adjustment_nv_fund",L$3,$A305))</x:f>
        <x:v>#NAME?</x:v>
      </x:c>
      <x:c r="M305" t="e">
        <x:f>IF($A305="","",[1]!thsiFinD("ths_adjustment_nv_fund",M$3,$A305))</x:f>
        <x:v>#NAME?</x:v>
      </x:c>
      <x:c r="N305" t="e">
        <x:f>IF($A305="","",[1]!thsiFinD("ths_adjustment_nv_fund",N$3,$A305))</x:f>
        <x:v>#NAME?</x:v>
      </x:c>
      <x:c r="O305" t="e">
        <x:f>IF($A305="","",[1]!thsiFinD("ths_adjustment_nv_fund",O$3,$A305))</x:f>
        <x:v>#NAME?</x:v>
      </x:c>
      <x:c r="P305" t="e">
        <x:f>IF($A305="","",[1]!thsiFinD("ths_adjustment_nv_fund",P$3,$A305))</x:f>
        <x:v>#NAME?</x:v>
      </x:c>
      <x:c r="Q305" t="e">
        <x:f>IF($A305="","",[1]!thsiFinD("ths_adjustment_nv_fund",Q$3,$A305))</x:f>
        <x:v>#NAME?</x:v>
      </x:c>
      <x:c r="R305" t="e">
        <x:f>IF($A305="","",[1]!thsiFinD("ths_adjustment_nv_fund",R$3,$A305))</x:f>
        <x:v>#NAME?</x:v>
      </x:c>
      <x:c r="S305" t="e">
        <x:f>IF($A305="","",[1]!thsiFinD("ths_adjustment_nv_fund",S$3,$A305))</x:f>
        <x:v>#NAME?</x:v>
      </x:c>
      <x:c r="T305" t="e">
        <x:f>IF($A305="","",[1]!thsiFinD("ths_adjustment_nv_fund",T$3,$A305))</x:f>
        <x:v>#NAME?</x:v>
      </x:c>
      <x:c r="U305" t="e">
        <x:f>IF($A305="","",[1]!thsiFinD("ths_adjustment_nv_fund",U$3,$A305))</x:f>
        <x:v>#NAME?</x:v>
      </x:c>
      <x:c r="V305" t="e">
        <x:f>IF($A305="","",[1]!thsiFinD("ths_adjustment_nv_fund",V$3,$A305))</x:f>
        <x:v>#NAME?</x:v>
      </x:c>
      <x:c r="W305" t="e">
        <x:f>IF($A305="","",[1]!thsiFinD("ths_adjustment_nv_fund",W$3,$A305))</x:f>
        <x:v>#NAME?</x:v>
      </x:c>
      <x:c r="X305" t="e">
        <x:f>IF($A305="","",[1]!thsiFinD("ths_adjustment_nv_fund",X$3,$A305))</x:f>
        <x:v>#NAME?</x:v>
      </x:c>
      <x:c r="Y305" t="e">
        <x:f>IF($A305="","",[1]!thsiFinD("ths_adjustment_nv_fund",Y$3,$A305))</x:f>
        <x:v>#NAME?</x:v>
      </x:c>
    </x:row>
    <x:row r="306">
      <x:c r="B306" t="e">
        <x:f>IF($A306="","",[1]!thsiFinD("ths_adjustment_nv_fund",B$3,$A306))</x:f>
        <x:v>#NAME?</x:v>
      </x:c>
      <x:c r="C306" t="e">
        <x:f>IF($A306="","",[1]!thsiFinD("ths_adjustment_nv_fund",C$3,$A306))</x:f>
        <x:v>#NAME?</x:v>
      </x:c>
      <x:c r="D306" t="e">
        <x:f>IF($A306="","",[1]!thsiFinD("ths_adjustment_nv_fund",D$3,$A306))</x:f>
        <x:v>#NAME?</x:v>
      </x:c>
      <x:c r="E306" t="e">
        <x:f>IF($A306="","",[1]!thsiFinD("ths_adjustment_nv_fund",E$3,$A306))</x:f>
        <x:v>#NAME?</x:v>
      </x:c>
      <x:c r="F306" t="e">
        <x:f>IF($A306="","",[1]!thsiFinD("ths_adjustment_nv_fund",F$3,$A306))</x:f>
        <x:v>#NAME?</x:v>
      </x:c>
      <x:c r="G306" t="e">
        <x:f>IF($A306="","",[1]!thsiFinD("ths_adjustment_nv_fund",G$3,$A306))</x:f>
        <x:v>#NAME?</x:v>
      </x:c>
      <x:c r="H306" t="e">
        <x:f>IF($A306="","",[1]!thsiFinD("ths_adjustment_nv_fund",H$3,$A306))</x:f>
        <x:v>#NAME?</x:v>
      </x:c>
      <x:c r="I306" t="e">
        <x:f>IF($A306="","",[1]!thsiFinD("ths_adjustment_nv_fund",I$3,$A306))</x:f>
        <x:v>#NAME?</x:v>
      </x:c>
      <x:c r="J306" t="e">
        <x:f>IF($A306="","",[1]!thsiFinD("ths_adjustment_nv_fund",J$3,$A306))</x:f>
        <x:v>#NAME?</x:v>
      </x:c>
      <x:c r="K306" t="e">
        <x:f>IF($A306="","",[1]!thsiFinD("ths_adjustment_nv_fund",K$3,$A306))</x:f>
        <x:v>#NAME?</x:v>
      </x:c>
      <x:c r="L306" t="e">
        <x:f>IF($A306="","",[1]!thsiFinD("ths_adjustment_nv_fund",L$3,$A306))</x:f>
        <x:v>#NAME?</x:v>
      </x:c>
      <x:c r="M306" t="e">
        <x:f>IF($A306="","",[1]!thsiFinD("ths_adjustment_nv_fund",M$3,$A306))</x:f>
        <x:v>#NAME?</x:v>
      </x:c>
      <x:c r="N306" t="e">
        <x:f>IF($A306="","",[1]!thsiFinD("ths_adjustment_nv_fund",N$3,$A306))</x:f>
        <x:v>#NAME?</x:v>
      </x:c>
      <x:c r="O306" t="e">
        <x:f>IF($A306="","",[1]!thsiFinD("ths_adjustment_nv_fund",O$3,$A306))</x:f>
        <x:v>#NAME?</x:v>
      </x:c>
      <x:c r="P306" t="e">
        <x:f>IF($A306="","",[1]!thsiFinD("ths_adjustment_nv_fund",P$3,$A306))</x:f>
        <x:v>#NAME?</x:v>
      </x:c>
      <x:c r="Q306" t="e">
        <x:f>IF($A306="","",[1]!thsiFinD("ths_adjustment_nv_fund",Q$3,$A306))</x:f>
        <x:v>#NAME?</x:v>
      </x:c>
      <x:c r="R306" t="e">
        <x:f>IF($A306="","",[1]!thsiFinD("ths_adjustment_nv_fund",R$3,$A306))</x:f>
        <x:v>#NAME?</x:v>
      </x:c>
      <x:c r="S306" t="e">
        <x:f>IF($A306="","",[1]!thsiFinD("ths_adjustment_nv_fund",S$3,$A306))</x:f>
        <x:v>#NAME?</x:v>
      </x:c>
      <x:c r="T306" t="e">
        <x:f>IF($A306="","",[1]!thsiFinD("ths_adjustment_nv_fund",T$3,$A306))</x:f>
        <x:v>#NAME?</x:v>
      </x:c>
      <x:c r="U306" t="e">
        <x:f>IF($A306="","",[1]!thsiFinD("ths_adjustment_nv_fund",U$3,$A306))</x:f>
        <x:v>#NAME?</x:v>
      </x:c>
      <x:c r="V306" t="e">
        <x:f>IF($A306="","",[1]!thsiFinD("ths_adjustment_nv_fund",V$3,$A306))</x:f>
        <x:v>#NAME?</x:v>
      </x:c>
      <x:c r="W306" t="e">
        <x:f>IF($A306="","",[1]!thsiFinD("ths_adjustment_nv_fund",W$3,$A306))</x:f>
        <x:v>#NAME?</x:v>
      </x:c>
      <x:c r="X306" t="e">
        <x:f>IF($A306="","",[1]!thsiFinD("ths_adjustment_nv_fund",X$3,$A306))</x:f>
        <x:v>#NAME?</x:v>
      </x:c>
      <x:c r="Y306" t="e">
        <x:f>IF($A306="","",[1]!thsiFinD("ths_adjustment_nv_fund",Y$3,$A306))</x:f>
        <x:v>#NAME?</x:v>
      </x:c>
    </x:row>
    <x:row r="307">
      <x:c r="B307" t="e">
        <x:f>IF($A307="","",[1]!thsiFinD("ths_adjustment_nv_fund",B$3,$A307))</x:f>
        <x:v>#NAME?</x:v>
      </x:c>
      <x:c r="C307" t="e">
        <x:f>IF($A307="","",[1]!thsiFinD("ths_adjustment_nv_fund",C$3,$A307))</x:f>
        <x:v>#NAME?</x:v>
      </x:c>
      <x:c r="D307" t="e">
        <x:f>IF($A307="","",[1]!thsiFinD("ths_adjustment_nv_fund",D$3,$A307))</x:f>
        <x:v>#NAME?</x:v>
      </x:c>
      <x:c r="E307" t="e">
        <x:f>IF($A307="","",[1]!thsiFinD("ths_adjustment_nv_fund",E$3,$A307))</x:f>
        <x:v>#NAME?</x:v>
      </x:c>
      <x:c r="F307" t="e">
        <x:f>IF($A307="","",[1]!thsiFinD("ths_adjustment_nv_fund",F$3,$A307))</x:f>
        <x:v>#NAME?</x:v>
      </x:c>
      <x:c r="G307" t="e">
        <x:f>IF($A307="","",[1]!thsiFinD("ths_adjustment_nv_fund",G$3,$A307))</x:f>
        <x:v>#NAME?</x:v>
      </x:c>
      <x:c r="H307" t="e">
        <x:f>IF($A307="","",[1]!thsiFinD("ths_adjustment_nv_fund",H$3,$A307))</x:f>
        <x:v>#NAME?</x:v>
      </x:c>
      <x:c r="I307" t="e">
        <x:f>IF($A307="","",[1]!thsiFinD("ths_adjustment_nv_fund",I$3,$A307))</x:f>
        <x:v>#NAME?</x:v>
      </x:c>
      <x:c r="J307" t="e">
        <x:f>IF($A307="","",[1]!thsiFinD("ths_adjustment_nv_fund",J$3,$A307))</x:f>
        <x:v>#NAME?</x:v>
      </x:c>
      <x:c r="K307" t="e">
        <x:f>IF($A307="","",[1]!thsiFinD("ths_adjustment_nv_fund",K$3,$A307))</x:f>
        <x:v>#NAME?</x:v>
      </x:c>
      <x:c r="L307" t="e">
        <x:f>IF($A307="","",[1]!thsiFinD("ths_adjustment_nv_fund",L$3,$A307))</x:f>
        <x:v>#NAME?</x:v>
      </x:c>
      <x:c r="M307" t="e">
        <x:f>IF($A307="","",[1]!thsiFinD("ths_adjustment_nv_fund",M$3,$A307))</x:f>
        <x:v>#NAME?</x:v>
      </x:c>
      <x:c r="N307" t="e">
        <x:f>IF($A307="","",[1]!thsiFinD("ths_adjustment_nv_fund",N$3,$A307))</x:f>
        <x:v>#NAME?</x:v>
      </x:c>
      <x:c r="O307" t="e">
        <x:f>IF($A307="","",[1]!thsiFinD("ths_adjustment_nv_fund",O$3,$A307))</x:f>
        <x:v>#NAME?</x:v>
      </x:c>
      <x:c r="P307" t="e">
        <x:f>IF($A307="","",[1]!thsiFinD("ths_adjustment_nv_fund",P$3,$A307))</x:f>
        <x:v>#NAME?</x:v>
      </x:c>
      <x:c r="Q307" t="e">
        <x:f>IF($A307="","",[1]!thsiFinD("ths_adjustment_nv_fund",Q$3,$A307))</x:f>
        <x:v>#NAME?</x:v>
      </x:c>
      <x:c r="R307" t="e">
        <x:f>IF($A307="","",[1]!thsiFinD("ths_adjustment_nv_fund",R$3,$A307))</x:f>
        <x:v>#NAME?</x:v>
      </x:c>
      <x:c r="S307" t="e">
        <x:f>IF($A307="","",[1]!thsiFinD("ths_adjustment_nv_fund",S$3,$A307))</x:f>
        <x:v>#NAME?</x:v>
      </x:c>
      <x:c r="T307" t="e">
        <x:f>IF($A307="","",[1]!thsiFinD("ths_adjustment_nv_fund",T$3,$A307))</x:f>
        <x:v>#NAME?</x:v>
      </x:c>
      <x:c r="U307" t="e">
        <x:f>IF($A307="","",[1]!thsiFinD("ths_adjustment_nv_fund",U$3,$A307))</x:f>
        <x:v>#NAME?</x:v>
      </x:c>
      <x:c r="V307" t="e">
        <x:f>IF($A307="","",[1]!thsiFinD("ths_adjustment_nv_fund",V$3,$A307))</x:f>
        <x:v>#NAME?</x:v>
      </x:c>
      <x:c r="W307" t="e">
        <x:f>IF($A307="","",[1]!thsiFinD("ths_adjustment_nv_fund",W$3,$A307))</x:f>
        <x:v>#NAME?</x:v>
      </x:c>
      <x:c r="X307" t="e">
        <x:f>IF($A307="","",[1]!thsiFinD("ths_adjustment_nv_fund",X$3,$A307))</x:f>
        <x:v>#NAME?</x:v>
      </x:c>
      <x:c r="Y307" t="e">
        <x:f>IF($A307="","",[1]!thsiFinD("ths_adjustment_nv_fund",Y$3,$A307))</x:f>
        <x:v>#NAME?</x:v>
      </x:c>
    </x:row>
    <x:row r="308">
      <x:c r="B308" t="e">
        <x:f>IF($A308="","",[1]!thsiFinD("ths_adjustment_nv_fund",B$3,$A308))</x:f>
        <x:v>#NAME?</x:v>
      </x:c>
      <x:c r="C308" t="e">
        <x:f>IF($A308="","",[1]!thsiFinD("ths_adjustment_nv_fund",C$3,$A308))</x:f>
        <x:v>#NAME?</x:v>
      </x:c>
      <x:c r="D308" t="e">
        <x:f>IF($A308="","",[1]!thsiFinD("ths_adjustment_nv_fund",D$3,$A308))</x:f>
        <x:v>#NAME?</x:v>
      </x:c>
      <x:c r="E308" t="e">
        <x:f>IF($A308="","",[1]!thsiFinD("ths_adjustment_nv_fund",E$3,$A308))</x:f>
        <x:v>#NAME?</x:v>
      </x:c>
      <x:c r="F308" t="e">
        <x:f>IF($A308="","",[1]!thsiFinD("ths_adjustment_nv_fund",F$3,$A308))</x:f>
        <x:v>#NAME?</x:v>
      </x:c>
      <x:c r="G308" t="e">
        <x:f>IF($A308="","",[1]!thsiFinD("ths_adjustment_nv_fund",G$3,$A308))</x:f>
        <x:v>#NAME?</x:v>
      </x:c>
      <x:c r="H308" t="e">
        <x:f>IF($A308="","",[1]!thsiFinD("ths_adjustment_nv_fund",H$3,$A308))</x:f>
        <x:v>#NAME?</x:v>
      </x:c>
      <x:c r="I308" t="e">
        <x:f>IF($A308="","",[1]!thsiFinD("ths_adjustment_nv_fund",I$3,$A308))</x:f>
        <x:v>#NAME?</x:v>
      </x:c>
      <x:c r="J308" t="e">
        <x:f>IF($A308="","",[1]!thsiFinD("ths_adjustment_nv_fund",J$3,$A308))</x:f>
        <x:v>#NAME?</x:v>
      </x:c>
      <x:c r="K308" t="e">
        <x:f>IF($A308="","",[1]!thsiFinD("ths_adjustment_nv_fund",K$3,$A308))</x:f>
        <x:v>#NAME?</x:v>
      </x:c>
      <x:c r="L308" t="e">
        <x:f>IF($A308="","",[1]!thsiFinD("ths_adjustment_nv_fund",L$3,$A308))</x:f>
        <x:v>#NAME?</x:v>
      </x:c>
      <x:c r="M308" t="e">
        <x:f>IF($A308="","",[1]!thsiFinD("ths_adjustment_nv_fund",M$3,$A308))</x:f>
        <x:v>#NAME?</x:v>
      </x:c>
      <x:c r="N308" t="e">
        <x:f>IF($A308="","",[1]!thsiFinD("ths_adjustment_nv_fund",N$3,$A308))</x:f>
        <x:v>#NAME?</x:v>
      </x:c>
      <x:c r="O308" t="e">
        <x:f>IF($A308="","",[1]!thsiFinD("ths_adjustment_nv_fund",O$3,$A308))</x:f>
        <x:v>#NAME?</x:v>
      </x:c>
      <x:c r="P308" t="e">
        <x:f>IF($A308="","",[1]!thsiFinD("ths_adjustment_nv_fund",P$3,$A308))</x:f>
        <x:v>#NAME?</x:v>
      </x:c>
      <x:c r="Q308" t="e">
        <x:f>IF($A308="","",[1]!thsiFinD("ths_adjustment_nv_fund",Q$3,$A308))</x:f>
        <x:v>#NAME?</x:v>
      </x:c>
      <x:c r="R308" t="e">
        <x:f>IF($A308="","",[1]!thsiFinD("ths_adjustment_nv_fund",R$3,$A308))</x:f>
        <x:v>#NAME?</x:v>
      </x:c>
      <x:c r="S308" t="e">
        <x:f>IF($A308="","",[1]!thsiFinD("ths_adjustment_nv_fund",S$3,$A308))</x:f>
        <x:v>#NAME?</x:v>
      </x:c>
      <x:c r="T308" t="e">
        <x:f>IF($A308="","",[1]!thsiFinD("ths_adjustment_nv_fund",T$3,$A308))</x:f>
        <x:v>#NAME?</x:v>
      </x:c>
      <x:c r="U308" t="e">
        <x:f>IF($A308="","",[1]!thsiFinD("ths_adjustment_nv_fund",U$3,$A308))</x:f>
        <x:v>#NAME?</x:v>
      </x:c>
      <x:c r="V308" t="e">
        <x:f>IF($A308="","",[1]!thsiFinD("ths_adjustment_nv_fund",V$3,$A308))</x:f>
        <x:v>#NAME?</x:v>
      </x:c>
      <x:c r="W308" t="e">
        <x:f>IF($A308="","",[1]!thsiFinD("ths_adjustment_nv_fund",W$3,$A308))</x:f>
        <x:v>#NAME?</x:v>
      </x:c>
      <x:c r="X308" t="e">
        <x:f>IF($A308="","",[1]!thsiFinD("ths_adjustment_nv_fund",X$3,$A308))</x:f>
        <x:v>#NAME?</x:v>
      </x:c>
      <x:c r="Y308" t="e">
        <x:f>IF($A308="","",[1]!thsiFinD("ths_adjustment_nv_fund",Y$3,$A308))</x:f>
        <x:v>#NAME?</x:v>
      </x:c>
    </x:row>
    <x:row r="309">
      <x:c r="B309" t="e">
        <x:f>IF($A309="","",[1]!thsiFinD("ths_adjustment_nv_fund",B$3,$A309))</x:f>
        <x:v>#NAME?</x:v>
      </x:c>
      <x:c r="C309" t="e">
        <x:f>IF($A309="","",[1]!thsiFinD("ths_adjustment_nv_fund",C$3,$A309))</x:f>
        <x:v>#NAME?</x:v>
      </x:c>
      <x:c r="D309" t="e">
        <x:f>IF($A309="","",[1]!thsiFinD("ths_adjustment_nv_fund",D$3,$A309))</x:f>
        <x:v>#NAME?</x:v>
      </x:c>
      <x:c r="E309" t="e">
        <x:f>IF($A309="","",[1]!thsiFinD("ths_adjustment_nv_fund",E$3,$A309))</x:f>
        <x:v>#NAME?</x:v>
      </x:c>
      <x:c r="F309" t="e">
        <x:f>IF($A309="","",[1]!thsiFinD("ths_adjustment_nv_fund",F$3,$A309))</x:f>
        <x:v>#NAME?</x:v>
      </x:c>
      <x:c r="G309" t="e">
        <x:f>IF($A309="","",[1]!thsiFinD("ths_adjustment_nv_fund",G$3,$A309))</x:f>
        <x:v>#NAME?</x:v>
      </x:c>
      <x:c r="H309" t="e">
        <x:f>IF($A309="","",[1]!thsiFinD("ths_adjustment_nv_fund",H$3,$A309))</x:f>
        <x:v>#NAME?</x:v>
      </x:c>
      <x:c r="I309" t="e">
        <x:f>IF($A309="","",[1]!thsiFinD("ths_adjustment_nv_fund",I$3,$A309))</x:f>
        <x:v>#NAME?</x:v>
      </x:c>
      <x:c r="J309" t="e">
        <x:f>IF($A309="","",[1]!thsiFinD("ths_adjustment_nv_fund",J$3,$A309))</x:f>
        <x:v>#NAME?</x:v>
      </x:c>
      <x:c r="K309" t="e">
        <x:f>IF($A309="","",[1]!thsiFinD("ths_adjustment_nv_fund",K$3,$A309))</x:f>
        <x:v>#NAME?</x:v>
      </x:c>
      <x:c r="L309" t="e">
        <x:f>IF($A309="","",[1]!thsiFinD("ths_adjustment_nv_fund",L$3,$A309))</x:f>
        <x:v>#NAME?</x:v>
      </x:c>
      <x:c r="M309" t="e">
        <x:f>IF($A309="","",[1]!thsiFinD("ths_adjustment_nv_fund",M$3,$A309))</x:f>
        <x:v>#NAME?</x:v>
      </x:c>
      <x:c r="N309" t="e">
        <x:f>IF($A309="","",[1]!thsiFinD("ths_adjustment_nv_fund",N$3,$A309))</x:f>
        <x:v>#NAME?</x:v>
      </x:c>
      <x:c r="O309" t="e">
        <x:f>IF($A309="","",[1]!thsiFinD("ths_adjustment_nv_fund",O$3,$A309))</x:f>
        <x:v>#NAME?</x:v>
      </x:c>
      <x:c r="P309" t="e">
        <x:f>IF($A309="","",[1]!thsiFinD("ths_adjustment_nv_fund",P$3,$A309))</x:f>
        <x:v>#NAME?</x:v>
      </x:c>
      <x:c r="Q309" t="e">
        <x:f>IF($A309="","",[1]!thsiFinD("ths_adjustment_nv_fund",Q$3,$A309))</x:f>
        <x:v>#NAME?</x:v>
      </x:c>
      <x:c r="R309" t="e">
        <x:f>IF($A309="","",[1]!thsiFinD("ths_adjustment_nv_fund",R$3,$A309))</x:f>
        <x:v>#NAME?</x:v>
      </x:c>
      <x:c r="S309" t="e">
        <x:f>IF($A309="","",[1]!thsiFinD("ths_adjustment_nv_fund",S$3,$A309))</x:f>
        <x:v>#NAME?</x:v>
      </x:c>
      <x:c r="T309" t="e">
        <x:f>IF($A309="","",[1]!thsiFinD("ths_adjustment_nv_fund",T$3,$A309))</x:f>
        <x:v>#NAME?</x:v>
      </x:c>
      <x:c r="U309" t="e">
        <x:f>IF($A309="","",[1]!thsiFinD("ths_adjustment_nv_fund",U$3,$A309))</x:f>
        <x:v>#NAME?</x:v>
      </x:c>
      <x:c r="V309" t="e">
        <x:f>IF($A309="","",[1]!thsiFinD("ths_adjustment_nv_fund",V$3,$A309))</x:f>
        <x:v>#NAME?</x:v>
      </x:c>
      <x:c r="W309" t="e">
        <x:f>IF($A309="","",[1]!thsiFinD("ths_adjustment_nv_fund",W$3,$A309))</x:f>
        <x:v>#NAME?</x:v>
      </x:c>
      <x:c r="X309" t="e">
        <x:f>IF($A309="","",[1]!thsiFinD("ths_adjustment_nv_fund",X$3,$A309))</x:f>
        <x:v>#NAME?</x:v>
      </x:c>
      <x:c r="Y309" t="e">
        <x:f>IF($A309="","",[1]!thsiFinD("ths_adjustment_nv_fund",Y$3,$A309))</x:f>
        <x:v>#NAME?</x:v>
      </x:c>
    </x:row>
    <x:row r="310">
      <x:c r="B310" t="e">
        <x:f>IF($A310="","",[1]!thsiFinD("ths_adjustment_nv_fund",B$3,$A310))</x:f>
        <x:v>#NAME?</x:v>
      </x:c>
      <x:c r="C310" t="e">
        <x:f>IF($A310="","",[1]!thsiFinD("ths_adjustment_nv_fund",C$3,$A310))</x:f>
        <x:v>#NAME?</x:v>
      </x:c>
      <x:c r="D310" t="e">
        <x:f>IF($A310="","",[1]!thsiFinD("ths_adjustment_nv_fund",D$3,$A310))</x:f>
        <x:v>#NAME?</x:v>
      </x:c>
      <x:c r="E310" t="e">
        <x:f>IF($A310="","",[1]!thsiFinD("ths_adjustment_nv_fund",E$3,$A310))</x:f>
        <x:v>#NAME?</x:v>
      </x:c>
      <x:c r="F310" t="e">
        <x:f>IF($A310="","",[1]!thsiFinD("ths_adjustment_nv_fund",F$3,$A310))</x:f>
        <x:v>#NAME?</x:v>
      </x:c>
      <x:c r="G310" t="e">
        <x:f>IF($A310="","",[1]!thsiFinD("ths_adjustment_nv_fund",G$3,$A310))</x:f>
        <x:v>#NAME?</x:v>
      </x:c>
      <x:c r="H310" t="e">
        <x:f>IF($A310="","",[1]!thsiFinD("ths_adjustment_nv_fund",H$3,$A310))</x:f>
        <x:v>#NAME?</x:v>
      </x:c>
      <x:c r="I310" t="e">
        <x:f>IF($A310="","",[1]!thsiFinD("ths_adjustment_nv_fund",I$3,$A310))</x:f>
        <x:v>#NAME?</x:v>
      </x:c>
      <x:c r="J310" t="e">
        <x:f>IF($A310="","",[1]!thsiFinD("ths_adjustment_nv_fund",J$3,$A310))</x:f>
        <x:v>#NAME?</x:v>
      </x:c>
      <x:c r="K310" t="e">
        <x:f>IF($A310="","",[1]!thsiFinD("ths_adjustment_nv_fund",K$3,$A310))</x:f>
        <x:v>#NAME?</x:v>
      </x:c>
      <x:c r="L310" t="e">
        <x:f>IF($A310="","",[1]!thsiFinD("ths_adjustment_nv_fund",L$3,$A310))</x:f>
        <x:v>#NAME?</x:v>
      </x:c>
      <x:c r="M310" t="e">
        <x:f>IF($A310="","",[1]!thsiFinD("ths_adjustment_nv_fund",M$3,$A310))</x:f>
        <x:v>#NAME?</x:v>
      </x:c>
      <x:c r="N310" t="e">
        <x:f>IF($A310="","",[1]!thsiFinD("ths_adjustment_nv_fund",N$3,$A310))</x:f>
        <x:v>#NAME?</x:v>
      </x:c>
      <x:c r="O310" t="e">
        <x:f>IF($A310="","",[1]!thsiFinD("ths_adjustment_nv_fund",O$3,$A310))</x:f>
        <x:v>#NAME?</x:v>
      </x:c>
      <x:c r="P310" t="e">
        <x:f>IF($A310="","",[1]!thsiFinD("ths_adjustment_nv_fund",P$3,$A310))</x:f>
        <x:v>#NAME?</x:v>
      </x:c>
      <x:c r="Q310" t="e">
        <x:f>IF($A310="","",[1]!thsiFinD("ths_adjustment_nv_fund",Q$3,$A310))</x:f>
        <x:v>#NAME?</x:v>
      </x:c>
      <x:c r="R310" t="e">
        <x:f>IF($A310="","",[1]!thsiFinD("ths_adjustment_nv_fund",R$3,$A310))</x:f>
        <x:v>#NAME?</x:v>
      </x:c>
      <x:c r="S310" t="e">
        <x:f>IF($A310="","",[1]!thsiFinD("ths_adjustment_nv_fund",S$3,$A310))</x:f>
        <x:v>#NAME?</x:v>
      </x:c>
      <x:c r="T310" t="e">
        <x:f>IF($A310="","",[1]!thsiFinD("ths_adjustment_nv_fund",T$3,$A310))</x:f>
        <x:v>#NAME?</x:v>
      </x:c>
      <x:c r="U310" t="e">
        <x:f>IF($A310="","",[1]!thsiFinD("ths_adjustment_nv_fund",U$3,$A310))</x:f>
        <x:v>#NAME?</x:v>
      </x:c>
      <x:c r="V310" t="e">
        <x:f>IF($A310="","",[1]!thsiFinD("ths_adjustment_nv_fund",V$3,$A310))</x:f>
        <x:v>#NAME?</x:v>
      </x:c>
      <x:c r="W310" t="e">
        <x:f>IF($A310="","",[1]!thsiFinD("ths_adjustment_nv_fund",W$3,$A310))</x:f>
        <x:v>#NAME?</x:v>
      </x:c>
      <x:c r="X310" t="e">
        <x:f>IF($A310="","",[1]!thsiFinD("ths_adjustment_nv_fund",X$3,$A310))</x:f>
        <x:v>#NAME?</x:v>
      </x:c>
      <x:c r="Y310" t="e">
        <x:f>IF($A310="","",[1]!thsiFinD("ths_adjustment_nv_fund",Y$3,$A310))</x:f>
        <x:v>#NAME?</x:v>
      </x:c>
    </x:row>
    <x:row r="311">
      <x:c r="B311" t="e">
        <x:f>IF($A311="","",[1]!thsiFinD("ths_adjustment_nv_fund",B$3,$A311))</x:f>
        <x:v>#NAME?</x:v>
      </x:c>
      <x:c r="C311" t="e">
        <x:f>IF($A311="","",[1]!thsiFinD("ths_adjustment_nv_fund",C$3,$A311))</x:f>
        <x:v>#NAME?</x:v>
      </x:c>
      <x:c r="D311" t="e">
        <x:f>IF($A311="","",[1]!thsiFinD("ths_adjustment_nv_fund",D$3,$A311))</x:f>
        <x:v>#NAME?</x:v>
      </x:c>
      <x:c r="E311" t="e">
        <x:f>IF($A311="","",[1]!thsiFinD("ths_adjustment_nv_fund",E$3,$A311))</x:f>
        <x:v>#NAME?</x:v>
      </x:c>
      <x:c r="F311" t="e">
        <x:f>IF($A311="","",[1]!thsiFinD("ths_adjustment_nv_fund",F$3,$A311))</x:f>
        <x:v>#NAME?</x:v>
      </x:c>
      <x:c r="G311" t="e">
        <x:f>IF($A311="","",[1]!thsiFinD("ths_adjustment_nv_fund",G$3,$A311))</x:f>
        <x:v>#NAME?</x:v>
      </x:c>
      <x:c r="H311" t="e">
        <x:f>IF($A311="","",[1]!thsiFinD("ths_adjustment_nv_fund",H$3,$A311))</x:f>
        <x:v>#NAME?</x:v>
      </x:c>
      <x:c r="I311" t="e">
        <x:f>IF($A311="","",[1]!thsiFinD("ths_adjustment_nv_fund",I$3,$A311))</x:f>
        <x:v>#NAME?</x:v>
      </x:c>
      <x:c r="J311" t="e">
        <x:f>IF($A311="","",[1]!thsiFinD("ths_adjustment_nv_fund",J$3,$A311))</x:f>
        <x:v>#NAME?</x:v>
      </x:c>
      <x:c r="K311" t="e">
        <x:f>IF($A311="","",[1]!thsiFinD("ths_adjustment_nv_fund",K$3,$A311))</x:f>
        <x:v>#NAME?</x:v>
      </x:c>
      <x:c r="L311" t="e">
        <x:f>IF($A311="","",[1]!thsiFinD("ths_adjustment_nv_fund",L$3,$A311))</x:f>
        <x:v>#NAME?</x:v>
      </x:c>
      <x:c r="M311" t="e">
        <x:f>IF($A311="","",[1]!thsiFinD("ths_adjustment_nv_fund",M$3,$A311))</x:f>
        <x:v>#NAME?</x:v>
      </x:c>
      <x:c r="N311" t="e">
        <x:f>IF($A311="","",[1]!thsiFinD("ths_adjustment_nv_fund",N$3,$A311))</x:f>
        <x:v>#NAME?</x:v>
      </x:c>
      <x:c r="O311" t="e">
        <x:f>IF($A311="","",[1]!thsiFinD("ths_adjustment_nv_fund",O$3,$A311))</x:f>
        <x:v>#NAME?</x:v>
      </x:c>
      <x:c r="P311" t="e">
        <x:f>IF($A311="","",[1]!thsiFinD("ths_adjustment_nv_fund",P$3,$A311))</x:f>
        <x:v>#NAME?</x:v>
      </x:c>
      <x:c r="Q311" t="e">
        <x:f>IF($A311="","",[1]!thsiFinD("ths_adjustment_nv_fund",Q$3,$A311))</x:f>
        <x:v>#NAME?</x:v>
      </x:c>
      <x:c r="R311" t="e">
        <x:f>IF($A311="","",[1]!thsiFinD("ths_adjustment_nv_fund",R$3,$A311))</x:f>
        <x:v>#NAME?</x:v>
      </x:c>
      <x:c r="S311" t="e">
        <x:f>IF($A311="","",[1]!thsiFinD("ths_adjustment_nv_fund",S$3,$A311))</x:f>
        <x:v>#NAME?</x:v>
      </x:c>
      <x:c r="T311" t="e">
        <x:f>IF($A311="","",[1]!thsiFinD("ths_adjustment_nv_fund",T$3,$A311))</x:f>
        <x:v>#NAME?</x:v>
      </x:c>
      <x:c r="U311" t="e">
        <x:f>IF($A311="","",[1]!thsiFinD("ths_adjustment_nv_fund",U$3,$A311))</x:f>
        <x:v>#NAME?</x:v>
      </x:c>
      <x:c r="V311" t="e">
        <x:f>IF($A311="","",[1]!thsiFinD("ths_adjustment_nv_fund",V$3,$A311))</x:f>
        <x:v>#NAME?</x:v>
      </x:c>
      <x:c r="W311" t="e">
        <x:f>IF($A311="","",[1]!thsiFinD("ths_adjustment_nv_fund",W$3,$A311))</x:f>
        <x:v>#NAME?</x:v>
      </x:c>
      <x:c r="X311" t="e">
        <x:f>IF($A311="","",[1]!thsiFinD("ths_adjustment_nv_fund",X$3,$A311))</x:f>
        <x:v>#NAME?</x:v>
      </x:c>
      <x:c r="Y311" t="e">
        <x:f>IF($A311="","",[1]!thsiFinD("ths_adjustment_nv_fund",Y$3,$A311))</x:f>
        <x:v>#NAME?</x:v>
      </x:c>
    </x:row>
    <x:row r="312">
      <x:c r="B312" t="e">
        <x:f>IF($A312="","",[1]!thsiFinD("ths_adjustment_nv_fund",B$3,$A312))</x:f>
        <x:v>#NAME?</x:v>
      </x:c>
      <x:c r="C312" t="e">
        <x:f>IF($A312="","",[1]!thsiFinD("ths_adjustment_nv_fund",C$3,$A312))</x:f>
        <x:v>#NAME?</x:v>
      </x:c>
      <x:c r="D312" t="e">
        <x:f>IF($A312="","",[1]!thsiFinD("ths_adjustment_nv_fund",D$3,$A312))</x:f>
        <x:v>#NAME?</x:v>
      </x:c>
      <x:c r="E312" t="e">
        <x:f>IF($A312="","",[1]!thsiFinD("ths_adjustment_nv_fund",E$3,$A312))</x:f>
        <x:v>#NAME?</x:v>
      </x:c>
      <x:c r="F312" t="e">
        <x:f>IF($A312="","",[1]!thsiFinD("ths_adjustment_nv_fund",F$3,$A312))</x:f>
        <x:v>#NAME?</x:v>
      </x:c>
      <x:c r="G312" t="e">
        <x:f>IF($A312="","",[1]!thsiFinD("ths_adjustment_nv_fund",G$3,$A312))</x:f>
        <x:v>#NAME?</x:v>
      </x:c>
      <x:c r="H312" t="e">
        <x:f>IF($A312="","",[1]!thsiFinD("ths_adjustment_nv_fund",H$3,$A312))</x:f>
        <x:v>#NAME?</x:v>
      </x:c>
      <x:c r="I312" t="e">
        <x:f>IF($A312="","",[1]!thsiFinD("ths_adjustment_nv_fund",I$3,$A312))</x:f>
        <x:v>#NAME?</x:v>
      </x:c>
      <x:c r="J312" t="e">
        <x:f>IF($A312="","",[1]!thsiFinD("ths_adjustment_nv_fund",J$3,$A312))</x:f>
        <x:v>#NAME?</x:v>
      </x:c>
      <x:c r="K312" t="e">
        <x:f>IF($A312="","",[1]!thsiFinD("ths_adjustment_nv_fund",K$3,$A312))</x:f>
        <x:v>#NAME?</x:v>
      </x:c>
      <x:c r="L312" t="e">
        <x:f>IF($A312="","",[1]!thsiFinD("ths_adjustment_nv_fund",L$3,$A312))</x:f>
        <x:v>#NAME?</x:v>
      </x:c>
      <x:c r="M312" t="e">
        <x:f>IF($A312="","",[1]!thsiFinD("ths_adjustment_nv_fund",M$3,$A312))</x:f>
        <x:v>#NAME?</x:v>
      </x:c>
      <x:c r="N312" t="e">
        <x:f>IF($A312="","",[1]!thsiFinD("ths_adjustment_nv_fund",N$3,$A312))</x:f>
        <x:v>#NAME?</x:v>
      </x:c>
      <x:c r="O312" t="e">
        <x:f>IF($A312="","",[1]!thsiFinD("ths_adjustment_nv_fund",O$3,$A312))</x:f>
        <x:v>#NAME?</x:v>
      </x:c>
      <x:c r="P312" t="e">
        <x:f>IF($A312="","",[1]!thsiFinD("ths_adjustment_nv_fund",P$3,$A312))</x:f>
        <x:v>#NAME?</x:v>
      </x:c>
      <x:c r="Q312" t="e">
        <x:f>IF($A312="","",[1]!thsiFinD("ths_adjustment_nv_fund",Q$3,$A312))</x:f>
        <x:v>#NAME?</x:v>
      </x:c>
      <x:c r="R312" t="e">
        <x:f>IF($A312="","",[1]!thsiFinD("ths_adjustment_nv_fund",R$3,$A312))</x:f>
        <x:v>#NAME?</x:v>
      </x:c>
      <x:c r="S312" t="e">
        <x:f>IF($A312="","",[1]!thsiFinD("ths_adjustment_nv_fund",S$3,$A312))</x:f>
        <x:v>#NAME?</x:v>
      </x:c>
      <x:c r="T312" t="e">
        <x:f>IF($A312="","",[1]!thsiFinD("ths_adjustment_nv_fund",T$3,$A312))</x:f>
        <x:v>#NAME?</x:v>
      </x:c>
      <x:c r="U312" t="e">
        <x:f>IF($A312="","",[1]!thsiFinD("ths_adjustment_nv_fund",U$3,$A312))</x:f>
        <x:v>#NAME?</x:v>
      </x:c>
      <x:c r="V312" t="e">
        <x:f>IF($A312="","",[1]!thsiFinD("ths_adjustment_nv_fund",V$3,$A312))</x:f>
        <x:v>#NAME?</x:v>
      </x:c>
      <x:c r="W312" t="e">
        <x:f>IF($A312="","",[1]!thsiFinD("ths_adjustment_nv_fund",W$3,$A312))</x:f>
        <x:v>#NAME?</x:v>
      </x:c>
      <x:c r="X312" t="e">
        <x:f>IF($A312="","",[1]!thsiFinD("ths_adjustment_nv_fund",X$3,$A312))</x:f>
        <x:v>#NAME?</x:v>
      </x:c>
      <x:c r="Y312" t="e">
        <x:f>IF($A312="","",[1]!thsiFinD("ths_adjustment_nv_fund",Y$3,$A312))</x:f>
        <x:v>#NAME?</x:v>
      </x:c>
    </x:row>
    <x:row r="313">
      <x:c r="B313" t="e">
        <x:f>IF($A313="","",[1]!thsiFinD("ths_adjustment_nv_fund",B$3,$A313))</x:f>
        <x:v>#NAME?</x:v>
      </x:c>
      <x:c r="C313" t="e">
        <x:f>IF($A313="","",[1]!thsiFinD("ths_adjustment_nv_fund",C$3,$A313))</x:f>
        <x:v>#NAME?</x:v>
      </x:c>
      <x:c r="D313" t="e">
        <x:f>IF($A313="","",[1]!thsiFinD("ths_adjustment_nv_fund",D$3,$A313))</x:f>
        <x:v>#NAME?</x:v>
      </x:c>
      <x:c r="E313" t="e">
        <x:f>IF($A313="","",[1]!thsiFinD("ths_adjustment_nv_fund",E$3,$A313))</x:f>
        <x:v>#NAME?</x:v>
      </x:c>
      <x:c r="F313" t="e">
        <x:f>IF($A313="","",[1]!thsiFinD("ths_adjustment_nv_fund",F$3,$A313))</x:f>
        <x:v>#NAME?</x:v>
      </x:c>
      <x:c r="G313" t="e">
        <x:f>IF($A313="","",[1]!thsiFinD("ths_adjustment_nv_fund",G$3,$A313))</x:f>
        <x:v>#NAME?</x:v>
      </x:c>
      <x:c r="H313" t="e">
        <x:f>IF($A313="","",[1]!thsiFinD("ths_adjustment_nv_fund",H$3,$A313))</x:f>
        <x:v>#NAME?</x:v>
      </x:c>
      <x:c r="I313" t="e">
        <x:f>IF($A313="","",[1]!thsiFinD("ths_adjustment_nv_fund",I$3,$A313))</x:f>
        <x:v>#NAME?</x:v>
      </x:c>
      <x:c r="J313" t="e">
        <x:f>IF($A313="","",[1]!thsiFinD("ths_adjustment_nv_fund",J$3,$A313))</x:f>
        <x:v>#NAME?</x:v>
      </x:c>
      <x:c r="K313" t="e">
        <x:f>IF($A313="","",[1]!thsiFinD("ths_adjustment_nv_fund",K$3,$A313))</x:f>
        <x:v>#NAME?</x:v>
      </x:c>
      <x:c r="L313" t="e">
        <x:f>IF($A313="","",[1]!thsiFinD("ths_adjustment_nv_fund",L$3,$A313))</x:f>
        <x:v>#NAME?</x:v>
      </x:c>
      <x:c r="M313" t="e">
        <x:f>IF($A313="","",[1]!thsiFinD("ths_adjustment_nv_fund",M$3,$A313))</x:f>
        <x:v>#NAME?</x:v>
      </x:c>
      <x:c r="N313" t="e">
        <x:f>IF($A313="","",[1]!thsiFinD("ths_adjustment_nv_fund",N$3,$A313))</x:f>
        <x:v>#NAME?</x:v>
      </x:c>
      <x:c r="O313" t="e">
        <x:f>IF($A313="","",[1]!thsiFinD("ths_adjustment_nv_fund",O$3,$A313))</x:f>
        <x:v>#NAME?</x:v>
      </x:c>
      <x:c r="P313" t="e">
        <x:f>IF($A313="","",[1]!thsiFinD("ths_adjustment_nv_fund",P$3,$A313))</x:f>
        <x:v>#NAME?</x:v>
      </x:c>
      <x:c r="Q313" t="e">
        <x:f>IF($A313="","",[1]!thsiFinD("ths_adjustment_nv_fund",Q$3,$A313))</x:f>
        <x:v>#NAME?</x:v>
      </x:c>
      <x:c r="R313" t="e">
        <x:f>IF($A313="","",[1]!thsiFinD("ths_adjustment_nv_fund",R$3,$A313))</x:f>
        <x:v>#NAME?</x:v>
      </x:c>
      <x:c r="S313" t="e">
        <x:f>IF($A313="","",[1]!thsiFinD("ths_adjustment_nv_fund",S$3,$A313))</x:f>
        <x:v>#NAME?</x:v>
      </x:c>
      <x:c r="T313" t="e">
        <x:f>IF($A313="","",[1]!thsiFinD("ths_adjustment_nv_fund",T$3,$A313))</x:f>
        <x:v>#NAME?</x:v>
      </x:c>
      <x:c r="U313" t="e">
        <x:f>IF($A313="","",[1]!thsiFinD("ths_adjustment_nv_fund",U$3,$A313))</x:f>
        <x:v>#NAME?</x:v>
      </x:c>
      <x:c r="V313" t="e">
        <x:f>IF($A313="","",[1]!thsiFinD("ths_adjustment_nv_fund",V$3,$A313))</x:f>
        <x:v>#NAME?</x:v>
      </x:c>
      <x:c r="W313" t="e">
        <x:f>IF($A313="","",[1]!thsiFinD("ths_adjustment_nv_fund",W$3,$A313))</x:f>
        <x:v>#NAME?</x:v>
      </x:c>
      <x:c r="X313" t="e">
        <x:f>IF($A313="","",[1]!thsiFinD("ths_adjustment_nv_fund",X$3,$A313))</x:f>
        <x:v>#NAME?</x:v>
      </x:c>
      <x:c r="Y313" t="e">
        <x:f>IF($A313="","",[1]!thsiFinD("ths_adjustment_nv_fund",Y$3,$A313))</x:f>
        <x:v>#NAME?</x:v>
      </x:c>
    </x:row>
    <x:row r="314">
      <x:c r="B314" t="e">
        <x:f>IF($A314="","",[1]!thsiFinD("ths_adjustment_nv_fund",B$3,$A314))</x:f>
        <x:v>#NAME?</x:v>
      </x:c>
      <x:c r="C314" t="e">
        <x:f>IF($A314="","",[1]!thsiFinD("ths_adjustment_nv_fund",C$3,$A314))</x:f>
        <x:v>#NAME?</x:v>
      </x:c>
      <x:c r="D314" t="e">
        <x:f>IF($A314="","",[1]!thsiFinD("ths_adjustment_nv_fund",D$3,$A314))</x:f>
        <x:v>#NAME?</x:v>
      </x:c>
      <x:c r="E314" t="e">
        <x:f>IF($A314="","",[1]!thsiFinD("ths_adjustment_nv_fund",E$3,$A314))</x:f>
        <x:v>#NAME?</x:v>
      </x:c>
      <x:c r="F314" t="e">
        <x:f>IF($A314="","",[1]!thsiFinD("ths_adjustment_nv_fund",F$3,$A314))</x:f>
        <x:v>#NAME?</x:v>
      </x:c>
      <x:c r="G314" t="e">
        <x:f>IF($A314="","",[1]!thsiFinD("ths_adjustment_nv_fund",G$3,$A314))</x:f>
        <x:v>#NAME?</x:v>
      </x:c>
      <x:c r="H314" t="e">
        <x:f>IF($A314="","",[1]!thsiFinD("ths_adjustment_nv_fund",H$3,$A314))</x:f>
        <x:v>#NAME?</x:v>
      </x:c>
      <x:c r="I314" t="e">
        <x:f>IF($A314="","",[1]!thsiFinD("ths_adjustment_nv_fund",I$3,$A314))</x:f>
        <x:v>#NAME?</x:v>
      </x:c>
      <x:c r="J314" t="e">
        <x:f>IF($A314="","",[1]!thsiFinD("ths_adjustment_nv_fund",J$3,$A314))</x:f>
        <x:v>#NAME?</x:v>
      </x:c>
      <x:c r="K314" t="e">
        <x:f>IF($A314="","",[1]!thsiFinD("ths_adjustment_nv_fund",K$3,$A314))</x:f>
        <x:v>#NAME?</x:v>
      </x:c>
      <x:c r="L314" t="e">
        <x:f>IF($A314="","",[1]!thsiFinD("ths_adjustment_nv_fund",L$3,$A314))</x:f>
        <x:v>#NAME?</x:v>
      </x:c>
      <x:c r="M314" t="e">
        <x:f>IF($A314="","",[1]!thsiFinD("ths_adjustment_nv_fund",M$3,$A314))</x:f>
        <x:v>#NAME?</x:v>
      </x:c>
      <x:c r="N314" t="e">
        <x:f>IF($A314="","",[1]!thsiFinD("ths_adjustment_nv_fund",N$3,$A314))</x:f>
        <x:v>#NAME?</x:v>
      </x:c>
      <x:c r="O314" t="e">
        <x:f>IF($A314="","",[1]!thsiFinD("ths_adjustment_nv_fund",O$3,$A314))</x:f>
        <x:v>#NAME?</x:v>
      </x:c>
      <x:c r="P314" t="e">
        <x:f>IF($A314="","",[1]!thsiFinD("ths_adjustment_nv_fund",P$3,$A314))</x:f>
        <x:v>#NAME?</x:v>
      </x:c>
      <x:c r="Q314" t="e">
        <x:f>IF($A314="","",[1]!thsiFinD("ths_adjustment_nv_fund",Q$3,$A314))</x:f>
        <x:v>#NAME?</x:v>
      </x:c>
      <x:c r="R314" t="e">
        <x:f>IF($A314="","",[1]!thsiFinD("ths_adjustment_nv_fund",R$3,$A314))</x:f>
        <x:v>#NAME?</x:v>
      </x:c>
      <x:c r="S314" t="e">
        <x:f>IF($A314="","",[1]!thsiFinD("ths_adjustment_nv_fund",S$3,$A314))</x:f>
        <x:v>#NAME?</x:v>
      </x:c>
      <x:c r="T314" t="e">
        <x:f>IF($A314="","",[1]!thsiFinD("ths_adjustment_nv_fund",T$3,$A314))</x:f>
        <x:v>#NAME?</x:v>
      </x:c>
      <x:c r="U314" t="e">
        <x:f>IF($A314="","",[1]!thsiFinD("ths_adjustment_nv_fund",U$3,$A314))</x:f>
        <x:v>#NAME?</x:v>
      </x:c>
      <x:c r="V314" t="e">
        <x:f>IF($A314="","",[1]!thsiFinD("ths_adjustment_nv_fund",V$3,$A314))</x:f>
        <x:v>#NAME?</x:v>
      </x:c>
      <x:c r="W314" t="e">
        <x:f>IF($A314="","",[1]!thsiFinD("ths_adjustment_nv_fund",W$3,$A314))</x:f>
        <x:v>#NAME?</x:v>
      </x:c>
      <x:c r="X314" t="e">
        <x:f>IF($A314="","",[1]!thsiFinD("ths_adjustment_nv_fund",X$3,$A314))</x:f>
        <x:v>#NAME?</x:v>
      </x:c>
      <x:c r="Y314" t="e">
        <x:f>IF($A314="","",[1]!thsiFinD("ths_adjustment_nv_fund",Y$3,$A314))</x:f>
        <x:v>#NAME?</x:v>
      </x:c>
    </x:row>
    <x:row r="315">
      <x:c r="B315" t="e">
        <x:f>IF($A315="","",[1]!thsiFinD("ths_adjustment_nv_fund",B$3,$A315))</x:f>
        <x:v>#NAME?</x:v>
      </x:c>
      <x:c r="C315" t="e">
        <x:f>IF($A315="","",[1]!thsiFinD("ths_adjustment_nv_fund",C$3,$A315))</x:f>
        <x:v>#NAME?</x:v>
      </x:c>
      <x:c r="D315" t="e">
        <x:f>IF($A315="","",[1]!thsiFinD("ths_adjustment_nv_fund",D$3,$A315))</x:f>
        <x:v>#NAME?</x:v>
      </x:c>
      <x:c r="E315" t="e">
        <x:f>IF($A315="","",[1]!thsiFinD("ths_adjustment_nv_fund",E$3,$A315))</x:f>
        <x:v>#NAME?</x:v>
      </x:c>
      <x:c r="F315" t="e">
        <x:f>IF($A315="","",[1]!thsiFinD("ths_adjustment_nv_fund",F$3,$A315))</x:f>
        <x:v>#NAME?</x:v>
      </x:c>
      <x:c r="G315" t="e">
        <x:f>IF($A315="","",[1]!thsiFinD("ths_adjustment_nv_fund",G$3,$A315))</x:f>
        <x:v>#NAME?</x:v>
      </x:c>
      <x:c r="H315" t="e">
        <x:f>IF($A315="","",[1]!thsiFinD("ths_adjustment_nv_fund",H$3,$A315))</x:f>
        <x:v>#NAME?</x:v>
      </x:c>
      <x:c r="I315" t="e">
        <x:f>IF($A315="","",[1]!thsiFinD("ths_adjustment_nv_fund",I$3,$A315))</x:f>
        <x:v>#NAME?</x:v>
      </x:c>
      <x:c r="J315" t="e">
        <x:f>IF($A315="","",[1]!thsiFinD("ths_adjustment_nv_fund",J$3,$A315))</x:f>
        <x:v>#NAME?</x:v>
      </x:c>
      <x:c r="K315" t="e">
        <x:f>IF($A315="","",[1]!thsiFinD("ths_adjustment_nv_fund",K$3,$A315))</x:f>
        <x:v>#NAME?</x:v>
      </x:c>
      <x:c r="L315" t="e">
        <x:f>IF($A315="","",[1]!thsiFinD("ths_adjustment_nv_fund",L$3,$A315))</x:f>
        <x:v>#NAME?</x:v>
      </x:c>
      <x:c r="M315" t="e">
        <x:f>IF($A315="","",[1]!thsiFinD("ths_adjustment_nv_fund",M$3,$A315))</x:f>
        <x:v>#NAME?</x:v>
      </x:c>
      <x:c r="N315" t="e">
        <x:f>IF($A315="","",[1]!thsiFinD("ths_adjustment_nv_fund",N$3,$A315))</x:f>
        <x:v>#NAME?</x:v>
      </x:c>
      <x:c r="O315" t="e">
        <x:f>IF($A315="","",[1]!thsiFinD("ths_adjustment_nv_fund",O$3,$A315))</x:f>
        <x:v>#NAME?</x:v>
      </x:c>
      <x:c r="P315" t="e">
        <x:f>IF($A315="","",[1]!thsiFinD("ths_adjustment_nv_fund",P$3,$A315))</x:f>
        <x:v>#NAME?</x:v>
      </x:c>
      <x:c r="Q315" t="e">
        <x:f>IF($A315="","",[1]!thsiFinD("ths_adjustment_nv_fund",Q$3,$A315))</x:f>
        <x:v>#NAME?</x:v>
      </x:c>
      <x:c r="R315" t="e">
        <x:f>IF($A315="","",[1]!thsiFinD("ths_adjustment_nv_fund",R$3,$A315))</x:f>
        <x:v>#NAME?</x:v>
      </x:c>
      <x:c r="S315" t="e">
        <x:f>IF($A315="","",[1]!thsiFinD("ths_adjustment_nv_fund",S$3,$A315))</x:f>
        <x:v>#NAME?</x:v>
      </x:c>
      <x:c r="T315" t="e">
        <x:f>IF($A315="","",[1]!thsiFinD("ths_adjustment_nv_fund",T$3,$A315))</x:f>
        <x:v>#NAME?</x:v>
      </x:c>
      <x:c r="U315" t="e">
        <x:f>IF($A315="","",[1]!thsiFinD("ths_adjustment_nv_fund",U$3,$A315))</x:f>
        <x:v>#NAME?</x:v>
      </x:c>
      <x:c r="V315" t="e">
        <x:f>IF($A315="","",[1]!thsiFinD("ths_adjustment_nv_fund",V$3,$A315))</x:f>
        <x:v>#NAME?</x:v>
      </x:c>
      <x:c r="W315" t="e">
        <x:f>IF($A315="","",[1]!thsiFinD("ths_adjustment_nv_fund",W$3,$A315))</x:f>
        <x:v>#NAME?</x:v>
      </x:c>
      <x:c r="X315" t="e">
        <x:f>IF($A315="","",[1]!thsiFinD("ths_adjustment_nv_fund",X$3,$A315))</x:f>
        <x:v>#NAME?</x:v>
      </x:c>
      <x:c r="Y315" t="e">
        <x:f>IF($A315="","",[1]!thsiFinD("ths_adjustment_nv_fund",Y$3,$A315))</x:f>
        <x:v>#NAME?</x:v>
      </x:c>
    </x:row>
    <x:row r="316">
      <x:c r="B316" t="e">
        <x:f>IF($A316="","",[1]!thsiFinD("ths_adjustment_nv_fund",B$3,$A316))</x:f>
        <x:v>#NAME?</x:v>
      </x:c>
      <x:c r="C316" t="e">
        <x:f>IF($A316="","",[1]!thsiFinD("ths_adjustment_nv_fund",C$3,$A316))</x:f>
        <x:v>#NAME?</x:v>
      </x:c>
      <x:c r="D316" t="e">
        <x:f>IF($A316="","",[1]!thsiFinD("ths_adjustment_nv_fund",D$3,$A316))</x:f>
        <x:v>#NAME?</x:v>
      </x:c>
      <x:c r="E316" t="e">
        <x:f>IF($A316="","",[1]!thsiFinD("ths_adjustment_nv_fund",E$3,$A316))</x:f>
        <x:v>#NAME?</x:v>
      </x:c>
      <x:c r="F316" t="e">
        <x:f>IF($A316="","",[1]!thsiFinD("ths_adjustment_nv_fund",F$3,$A316))</x:f>
        <x:v>#NAME?</x:v>
      </x:c>
      <x:c r="G316" t="e">
        <x:f>IF($A316="","",[1]!thsiFinD("ths_adjustment_nv_fund",G$3,$A316))</x:f>
        <x:v>#NAME?</x:v>
      </x:c>
      <x:c r="H316" t="e">
        <x:f>IF($A316="","",[1]!thsiFinD("ths_adjustment_nv_fund",H$3,$A316))</x:f>
        <x:v>#NAME?</x:v>
      </x:c>
      <x:c r="I316" t="e">
        <x:f>IF($A316="","",[1]!thsiFinD("ths_adjustment_nv_fund",I$3,$A316))</x:f>
        <x:v>#NAME?</x:v>
      </x:c>
      <x:c r="J316" t="e">
        <x:f>IF($A316="","",[1]!thsiFinD("ths_adjustment_nv_fund",J$3,$A316))</x:f>
        <x:v>#NAME?</x:v>
      </x:c>
      <x:c r="K316" t="e">
        <x:f>IF($A316="","",[1]!thsiFinD("ths_adjustment_nv_fund",K$3,$A316))</x:f>
        <x:v>#NAME?</x:v>
      </x:c>
      <x:c r="L316" t="e">
        <x:f>IF($A316="","",[1]!thsiFinD("ths_adjustment_nv_fund",L$3,$A316))</x:f>
        <x:v>#NAME?</x:v>
      </x:c>
      <x:c r="M316" t="e">
        <x:f>IF($A316="","",[1]!thsiFinD("ths_adjustment_nv_fund",M$3,$A316))</x:f>
        <x:v>#NAME?</x:v>
      </x:c>
      <x:c r="N316" t="e">
        <x:f>IF($A316="","",[1]!thsiFinD("ths_adjustment_nv_fund",N$3,$A316))</x:f>
        <x:v>#NAME?</x:v>
      </x:c>
      <x:c r="O316" t="e">
        <x:f>IF($A316="","",[1]!thsiFinD("ths_adjustment_nv_fund",O$3,$A316))</x:f>
        <x:v>#NAME?</x:v>
      </x:c>
      <x:c r="P316" t="e">
        <x:f>IF($A316="","",[1]!thsiFinD("ths_adjustment_nv_fund",P$3,$A316))</x:f>
        <x:v>#NAME?</x:v>
      </x:c>
      <x:c r="Q316" t="e">
        <x:f>IF($A316="","",[1]!thsiFinD("ths_adjustment_nv_fund",Q$3,$A316))</x:f>
        <x:v>#NAME?</x:v>
      </x:c>
      <x:c r="R316" t="e">
        <x:f>IF($A316="","",[1]!thsiFinD("ths_adjustment_nv_fund",R$3,$A316))</x:f>
        <x:v>#NAME?</x:v>
      </x:c>
      <x:c r="S316" t="e">
        <x:f>IF($A316="","",[1]!thsiFinD("ths_adjustment_nv_fund",S$3,$A316))</x:f>
        <x:v>#NAME?</x:v>
      </x:c>
      <x:c r="T316" t="e">
        <x:f>IF($A316="","",[1]!thsiFinD("ths_adjustment_nv_fund",T$3,$A316))</x:f>
        <x:v>#NAME?</x:v>
      </x:c>
      <x:c r="U316" t="e">
        <x:f>IF($A316="","",[1]!thsiFinD("ths_adjustment_nv_fund",U$3,$A316))</x:f>
        <x:v>#NAME?</x:v>
      </x:c>
      <x:c r="V316" t="e">
        <x:f>IF($A316="","",[1]!thsiFinD("ths_adjustment_nv_fund",V$3,$A316))</x:f>
        <x:v>#NAME?</x:v>
      </x:c>
      <x:c r="W316" t="e">
        <x:f>IF($A316="","",[1]!thsiFinD("ths_adjustment_nv_fund",W$3,$A316))</x:f>
        <x:v>#NAME?</x:v>
      </x:c>
      <x:c r="X316" t="e">
        <x:f>IF($A316="","",[1]!thsiFinD("ths_adjustment_nv_fund",X$3,$A316))</x:f>
        <x:v>#NAME?</x:v>
      </x:c>
      <x:c r="Y316" t="e">
        <x:f>IF($A316="","",[1]!thsiFinD("ths_adjustment_nv_fund",Y$3,$A316))</x:f>
        <x:v>#NAME?</x:v>
      </x:c>
    </x:row>
    <x:row r="317">
      <x:c r="B317" t="e">
        <x:f>IF($A317="","",[1]!thsiFinD("ths_adjustment_nv_fund",B$3,$A317))</x:f>
        <x:v>#NAME?</x:v>
      </x:c>
      <x:c r="C317" t="e">
        <x:f>IF($A317="","",[1]!thsiFinD("ths_adjustment_nv_fund",C$3,$A317))</x:f>
        <x:v>#NAME?</x:v>
      </x:c>
      <x:c r="D317" t="e">
        <x:f>IF($A317="","",[1]!thsiFinD("ths_adjustment_nv_fund",D$3,$A317))</x:f>
        <x:v>#NAME?</x:v>
      </x:c>
      <x:c r="E317" t="e">
        <x:f>IF($A317="","",[1]!thsiFinD("ths_adjustment_nv_fund",E$3,$A317))</x:f>
        <x:v>#NAME?</x:v>
      </x:c>
      <x:c r="F317" t="e">
        <x:f>IF($A317="","",[1]!thsiFinD("ths_adjustment_nv_fund",F$3,$A317))</x:f>
        <x:v>#NAME?</x:v>
      </x:c>
      <x:c r="G317" t="e">
        <x:f>IF($A317="","",[1]!thsiFinD("ths_adjustment_nv_fund",G$3,$A317))</x:f>
        <x:v>#NAME?</x:v>
      </x:c>
      <x:c r="H317" t="e">
        <x:f>IF($A317="","",[1]!thsiFinD("ths_adjustment_nv_fund",H$3,$A317))</x:f>
        <x:v>#NAME?</x:v>
      </x:c>
      <x:c r="I317" t="e">
        <x:f>IF($A317="","",[1]!thsiFinD("ths_adjustment_nv_fund",I$3,$A317))</x:f>
        <x:v>#NAME?</x:v>
      </x:c>
      <x:c r="J317" t="e">
        <x:f>IF($A317="","",[1]!thsiFinD("ths_adjustment_nv_fund",J$3,$A317))</x:f>
        <x:v>#NAME?</x:v>
      </x:c>
      <x:c r="K317" t="e">
        <x:f>IF($A317="","",[1]!thsiFinD("ths_adjustment_nv_fund",K$3,$A317))</x:f>
        <x:v>#NAME?</x:v>
      </x:c>
      <x:c r="L317" t="e">
        <x:f>IF($A317="","",[1]!thsiFinD("ths_adjustment_nv_fund",L$3,$A317))</x:f>
        <x:v>#NAME?</x:v>
      </x:c>
      <x:c r="M317" t="e">
        <x:f>IF($A317="","",[1]!thsiFinD("ths_adjustment_nv_fund",M$3,$A317))</x:f>
        <x:v>#NAME?</x:v>
      </x:c>
      <x:c r="N317" t="e">
        <x:f>IF($A317="","",[1]!thsiFinD("ths_adjustment_nv_fund",N$3,$A317))</x:f>
        <x:v>#NAME?</x:v>
      </x:c>
      <x:c r="O317" t="e">
        <x:f>IF($A317="","",[1]!thsiFinD("ths_adjustment_nv_fund",O$3,$A317))</x:f>
        <x:v>#NAME?</x:v>
      </x:c>
      <x:c r="P317" t="e">
        <x:f>IF($A317="","",[1]!thsiFinD("ths_adjustment_nv_fund",P$3,$A317))</x:f>
        <x:v>#NAME?</x:v>
      </x:c>
      <x:c r="Q317" t="e">
        <x:f>IF($A317="","",[1]!thsiFinD("ths_adjustment_nv_fund",Q$3,$A317))</x:f>
        <x:v>#NAME?</x:v>
      </x:c>
      <x:c r="R317" t="e">
        <x:f>IF($A317="","",[1]!thsiFinD("ths_adjustment_nv_fund",R$3,$A317))</x:f>
        <x:v>#NAME?</x:v>
      </x:c>
      <x:c r="S317" t="e">
        <x:f>IF($A317="","",[1]!thsiFinD("ths_adjustment_nv_fund",S$3,$A317))</x:f>
        <x:v>#NAME?</x:v>
      </x:c>
      <x:c r="T317" t="e">
        <x:f>IF($A317="","",[1]!thsiFinD("ths_adjustment_nv_fund",T$3,$A317))</x:f>
        <x:v>#NAME?</x:v>
      </x:c>
      <x:c r="U317" t="e">
        <x:f>IF($A317="","",[1]!thsiFinD("ths_adjustment_nv_fund",U$3,$A317))</x:f>
        <x:v>#NAME?</x:v>
      </x:c>
      <x:c r="V317" t="e">
        <x:f>IF($A317="","",[1]!thsiFinD("ths_adjustment_nv_fund",V$3,$A317))</x:f>
        <x:v>#NAME?</x:v>
      </x:c>
      <x:c r="W317" t="e">
        <x:f>IF($A317="","",[1]!thsiFinD("ths_adjustment_nv_fund",W$3,$A317))</x:f>
        <x:v>#NAME?</x:v>
      </x:c>
      <x:c r="X317" t="e">
        <x:f>IF($A317="","",[1]!thsiFinD("ths_adjustment_nv_fund",X$3,$A317))</x:f>
        <x:v>#NAME?</x:v>
      </x:c>
      <x:c r="Y317" t="e">
        <x:f>IF($A317="","",[1]!thsiFinD("ths_adjustment_nv_fund",Y$3,$A317))</x:f>
        <x:v>#NAME?</x:v>
      </x:c>
    </x:row>
    <x:row r="318">
      <x:c r="B318" t="e">
        <x:f>IF($A318="","",[1]!thsiFinD("ths_adjustment_nv_fund",B$3,$A318))</x:f>
        <x:v>#NAME?</x:v>
      </x:c>
      <x:c r="C318" t="e">
        <x:f>IF($A318="","",[1]!thsiFinD("ths_adjustment_nv_fund",C$3,$A318))</x:f>
        <x:v>#NAME?</x:v>
      </x:c>
      <x:c r="D318" t="e">
        <x:f>IF($A318="","",[1]!thsiFinD("ths_adjustment_nv_fund",D$3,$A318))</x:f>
        <x:v>#NAME?</x:v>
      </x:c>
      <x:c r="E318" t="e">
        <x:f>IF($A318="","",[1]!thsiFinD("ths_adjustment_nv_fund",E$3,$A318))</x:f>
        <x:v>#NAME?</x:v>
      </x:c>
      <x:c r="F318" t="e">
        <x:f>IF($A318="","",[1]!thsiFinD("ths_adjustment_nv_fund",F$3,$A318))</x:f>
        <x:v>#NAME?</x:v>
      </x:c>
      <x:c r="G318" t="e">
        <x:f>IF($A318="","",[1]!thsiFinD("ths_adjustment_nv_fund",G$3,$A318))</x:f>
        <x:v>#NAME?</x:v>
      </x:c>
      <x:c r="H318" t="e">
        <x:f>IF($A318="","",[1]!thsiFinD("ths_adjustment_nv_fund",H$3,$A318))</x:f>
        <x:v>#NAME?</x:v>
      </x:c>
      <x:c r="I318" t="e">
        <x:f>IF($A318="","",[1]!thsiFinD("ths_adjustment_nv_fund",I$3,$A318))</x:f>
        <x:v>#NAME?</x:v>
      </x:c>
      <x:c r="J318" t="e">
        <x:f>IF($A318="","",[1]!thsiFinD("ths_adjustment_nv_fund",J$3,$A318))</x:f>
        <x:v>#NAME?</x:v>
      </x:c>
      <x:c r="K318" t="e">
        <x:f>IF($A318="","",[1]!thsiFinD("ths_adjustment_nv_fund",K$3,$A318))</x:f>
        <x:v>#NAME?</x:v>
      </x:c>
      <x:c r="L318" t="e">
        <x:f>IF($A318="","",[1]!thsiFinD("ths_adjustment_nv_fund",L$3,$A318))</x:f>
        <x:v>#NAME?</x:v>
      </x:c>
      <x:c r="M318" t="e">
        <x:f>IF($A318="","",[1]!thsiFinD("ths_adjustment_nv_fund",M$3,$A318))</x:f>
        <x:v>#NAME?</x:v>
      </x:c>
      <x:c r="N318" t="e">
        <x:f>IF($A318="","",[1]!thsiFinD("ths_adjustment_nv_fund",N$3,$A318))</x:f>
        <x:v>#NAME?</x:v>
      </x:c>
      <x:c r="O318" t="e">
        <x:f>IF($A318="","",[1]!thsiFinD("ths_adjustment_nv_fund",O$3,$A318))</x:f>
        <x:v>#NAME?</x:v>
      </x:c>
      <x:c r="P318" t="e">
        <x:f>IF($A318="","",[1]!thsiFinD("ths_adjustment_nv_fund",P$3,$A318))</x:f>
        <x:v>#NAME?</x:v>
      </x:c>
      <x:c r="Q318" t="e">
        <x:f>IF($A318="","",[1]!thsiFinD("ths_adjustment_nv_fund",Q$3,$A318))</x:f>
        <x:v>#NAME?</x:v>
      </x:c>
      <x:c r="R318" t="e">
        <x:f>IF($A318="","",[1]!thsiFinD("ths_adjustment_nv_fund",R$3,$A318))</x:f>
        <x:v>#NAME?</x:v>
      </x:c>
      <x:c r="S318" t="e">
        <x:f>IF($A318="","",[1]!thsiFinD("ths_adjustment_nv_fund",S$3,$A318))</x:f>
        <x:v>#NAME?</x:v>
      </x:c>
      <x:c r="T318" t="e">
        <x:f>IF($A318="","",[1]!thsiFinD("ths_adjustment_nv_fund",T$3,$A318))</x:f>
        <x:v>#NAME?</x:v>
      </x:c>
      <x:c r="U318" t="e">
        <x:f>IF($A318="","",[1]!thsiFinD("ths_adjustment_nv_fund",U$3,$A318))</x:f>
        <x:v>#NAME?</x:v>
      </x:c>
      <x:c r="V318" t="e">
        <x:f>IF($A318="","",[1]!thsiFinD("ths_adjustment_nv_fund",V$3,$A318))</x:f>
        <x:v>#NAME?</x:v>
      </x:c>
      <x:c r="W318" t="e">
        <x:f>IF($A318="","",[1]!thsiFinD("ths_adjustment_nv_fund",W$3,$A318))</x:f>
        <x:v>#NAME?</x:v>
      </x:c>
      <x:c r="X318" t="e">
        <x:f>IF($A318="","",[1]!thsiFinD("ths_adjustment_nv_fund",X$3,$A318))</x:f>
        <x:v>#NAME?</x:v>
      </x:c>
      <x:c r="Y318" t="e">
        <x:f>IF($A318="","",[1]!thsiFinD("ths_adjustment_nv_fund",Y$3,$A318))</x:f>
        <x:v>#NAME?</x:v>
      </x:c>
    </x:row>
    <x:row r="319">
      <x:c r="B319" t="e">
        <x:f>IF($A319="","",[1]!thsiFinD("ths_adjustment_nv_fund",B$3,$A319))</x:f>
        <x:v>#NAME?</x:v>
      </x:c>
      <x:c r="C319" t="e">
        <x:f>IF($A319="","",[1]!thsiFinD("ths_adjustment_nv_fund",C$3,$A319))</x:f>
        <x:v>#NAME?</x:v>
      </x:c>
      <x:c r="D319" t="e">
        <x:f>IF($A319="","",[1]!thsiFinD("ths_adjustment_nv_fund",D$3,$A319))</x:f>
        <x:v>#NAME?</x:v>
      </x:c>
      <x:c r="E319" t="e">
        <x:f>IF($A319="","",[1]!thsiFinD("ths_adjustment_nv_fund",E$3,$A319))</x:f>
        <x:v>#NAME?</x:v>
      </x:c>
      <x:c r="F319" t="e">
        <x:f>IF($A319="","",[1]!thsiFinD("ths_adjustment_nv_fund",F$3,$A319))</x:f>
        <x:v>#NAME?</x:v>
      </x:c>
      <x:c r="G319" t="e">
        <x:f>IF($A319="","",[1]!thsiFinD("ths_adjustment_nv_fund",G$3,$A319))</x:f>
        <x:v>#NAME?</x:v>
      </x:c>
      <x:c r="H319" t="e">
        <x:f>IF($A319="","",[1]!thsiFinD("ths_adjustment_nv_fund",H$3,$A319))</x:f>
        <x:v>#NAME?</x:v>
      </x:c>
      <x:c r="I319" t="e">
        <x:f>IF($A319="","",[1]!thsiFinD("ths_adjustment_nv_fund",I$3,$A319))</x:f>
        <x:v>#NAME?</x:v>
      </x:c>
      <x:c r="J319" t="e">
        <x:f>IF($A319="","",[1]!thsiFinD("ths_adjustment_nv_fund",J$3,$A319))</x:f>
        <x:v>#NAME?</x:v>
      </x:c>
      <x:c r="K319" t="e">
        <x:f>IF($A319="","",[1]!thsiFinD("ths_adjustment_nv_fund",K$3,$A319))</x:f>
        <x:v>#NAME?</x:v>
      </x:c>
      <x:c r="L319" t="e">
        <x:f>IF($A319="","",[1]!thsiFinD("ths_adjustment_nv_fund",L$3,$A319))</x:f>
        <x:v>#NAME?</x:v>
      </x:c>
      <x:c r="M319" t="e">
        <x:f>IF($A319="","",[1]!thsiFinD("ths_adjustment_nv_fund",M$3,$A319))</x:f>
        <x:v>#NAME?</x:v>
      </x:c>
      <x:c r="N319" t="e">
        <x:f>IF($A319="","",[1]!thsiFinD("ths_adjustment_nv_fund",N$3,$A319))</x:f>
        <x:v>#NAME?</x:v>
      </x:c>
      <x:c r="O319" t="e">
        <x:f>IF($A319="","",[1]!thsiFinD("ths_adjustment_nv_fund",O$3,$A319))</x:f>
        <x:v>#NAME?</x:v>
      </x:c>
      <x:c r="P319" t="e">
        <x:f>IF($A319="","",[1]!thsiFinD("ths_adjustment_nv_fund",P$3,$A319))</x:f>
        <x:v>#NAME?</x:v>
      </x:c>
      <x:c r="Q319" t="e">
        <x:f>IF($A319="","",[1]!thsiFinD("ths_adjustment_nv_fund",Q$3,$A319))</x:f>
        <x:v>#NAME?</x:v>
      </x:c>
      <x:c r="R319" t="e">
        <x:f>IF($A319="","",[1]!thsiFinD("ths_adjustment_nv_fund",R$3,$A319))</x:f>
        <x:v>#NAME?</x:v>
      </x:c>
      <x:c r="S319" t="e">
        <x:f>IF($A319="","",[1]!thsiFinD("ths_adjustment_nv_fund",S$3,$A319))</x:f>
        <x:v>#NAME?</x:v>
      </x:c>
      <x:c r="T319" t="e">
        <x:f>IF($A319="","",[1]!thsiFinD("ths_adjustment_nv_fund",T$3,$A319))</x:f>
        <x:v>#NAME?</x:v>
      </x:c>
      <x:c r="U319" t="e">
        <x:f>IF($A319="","",[1]!thsiFinD("ths_adjustment_nv_fund",U$3,$A319))</x:f>
        <x:v>#NAME?</x:v>
      </x:c>
      <x:c r="V319" t="e">
        <x:f>IF($A319="","",[1]!thsiFinD("ths_adjustment_nv_fund",V$3,$A319))</x:f>
        <x:v>#NAME?</x:v>
      </x:c>
      <x:c r="W319" t="e">
        <x:f>IF($A319="","",[1]!thsiFinD("ths_adjustment_nv_fund",W$3,$A319))</x:f>
        <x:v>#NAME?</x:v>
      </x:c>
      <x:c r="X319" t="e">
        <x:f>IF($A319="","",[1]!thsiFinD("ths_adjustment_nv_fund",X$3,$A319))</x:f>
        <x:v>#NAME?</x:v>
      </x:c>
      <x:c r="Y319" t="e">
        <x:f>IF($A319="","",[1]!thsiFinD("ths_adjustment_nv_fund",Y$3,$A319))</x:f>
        <x:v>#NAME?</x:v>
      </x:c>
    </x:row>
    <x:row r="320">
      <x:c r="B320" t="e">
        <x:f>IF($A320="","",[1]!thsiFinD("ths_adjustment_nv_fund",B$3,$A320))</x:f>
        <x:v>#NAME?</x:v>
      </x:c>
      <x:c r="C320" t="e">
        <x:f>IF($A320="","",[1]!thsiFinD("ths_adjustment_nv_fund",C$3,$A320))</x:f>
        <x:v>#NAME?</x:v>
      </x:c>
      <x:c r="D320" t="e">
        <x:f>IF($A320="","",[1]!thsiFinD("ths_adjustment_nv_fund",D$3,$A320))</x:f>
        <x:v>#NAME?</x:v>
      </x:c>
      <x:c r="E320" t="e">
        <x:f>IF($A320="","",[1]!thsiFinD("ths_adjustment_nv_fund",E$3,$A320))</x:f>
        <x:v>#NAME?</x:v>
      </x:c>
      <x:c r="F320" t="e">
        <x:f>IF($A320="","",[1]!thsiFinD("ths_adjustment_nv_fund",F$3,$A320))</x:f>
        <x:v>#NAME?</x:v>
      </x:c>
      <x:c r="G320" t="e">
        <x:f>IF($A320="","",[1]!thsiFinD("ths_adjustment_nv_fund",G$3,$A320))</x:f>
        <x:v>#NAME?</x:v>
      </x:c>
      <x:c r="H320" t="e">
        <x:f>IF($A320="","",[1]!thsiFinD("ths_adjustment_nv_fund",H$3,$A320))</x:f>
        <x:v>#NAME?</x:v>
      </x:c>
      <x:c r="I320" t="e">
        <x:f>IF($A320="","",[1]!thsiFinD("ths_adjustment_nv_fund",I$3,$A320))</x:f>
        <x:v>#NAME?</x:v>
      </x:c>
      <x:c r="J320" t="e">
        <x:f>IF($A320="","",[1]!thsiFinD("ths_adjustment_nv_fund",J$3,$A320))</x:f>
        <x:v>#NAME?</x:v>
      </x:c>
      <x:c r="K320" t="e">
        <x:f>IF($A320="","",[1]!thsiFinD("ths_adjustment_nv_fund",K$3,$A320))</x:f>
        <x:v>#NAME?</x:v>
      </x:c>
      <x:c r="L320" t="e">
        <x:f>IF($A320="","",[1]!thsiFinD("ths_adjustment_nv_fund",L$3,$A320))</x:f>
        <x:v>#NAME?</x:v>
      </x:c>
      <x:c r="M320" t="e">
        <x:f>IF($A320="","",[1]!thsiFinD("ths_adjustment_nv_fund",M$3,$A320))</x:f>
        <x:v>#NAME?</x:v>
      </x:c>
      <x:c r="N320" t="e">
        <x:f>IF($A320="","",[1]!thsiFinD("ths_adjustment_nv_fund",N$3,$A320))</x:f>
        <x:v>#NAME?</x:v>
      </x:c>
      <x:c r="O320" t="e">
        <x:f>IF($A320="","",[1]!thsiFinD("ths_adjustment_nv_fund",O$3,$A320))</x:f>
        <x:v>#NAME?</x:v>
      </x:c>
      <x:c r="P320" t="e">
        <x:f>IF($A320="","",[1]!thsiFinD("ths_adjustment_nv_fund",P$3,$A320))</x:f>
        <x:v>#NAME?</x:v>
      </x:c>
      <x:c r="Q320" t="e">
        <x:f>IF($A320="","",[1]!thsiFinD("ths_adjustment_nv_fund",Q$3,$A320))</x:f>
        <x:v>#NAME?</x:v>
      </x:c>
      <x:c r="R320" t="e">
        <x:f>IF($A320="","",[1]!thsiFinD("ths_adjustment_nv_fund",R$3,$A320))</x:f>
        <x:v>#NAME?</x:v>
      </x:c>
      <x:c r="S320" t="e">
        <x:f>IF($A320="","",[1]!thsiFinD("ths_adjustment_nv_fund",S$3,$A320))</x:f>
        <x:v>#NAME?</x:v>
      </x:c>
      <x:c r="T320" t="e">
        <x:f>IF($A320="","",[1]!thsiFinD("ths_adjustment_nv_fund",T$3,$A320))</x:f>
        <x:v>#NAME?</x:v>
      </x:c>
      <x:c r="U320" t="e">
        <x:f>IF($A320="","",[1]!thsiFinD("ths_adjustment_nv_fund",U$3,$A320))</x:f>
        <x:v>#NAME?</x:v>
      </x:c>
      <x:c r="V320" t="e">
        <x:f>IF($A320="","",[1]!thsiFinD("ths_adjustment_nv_fund",V$3,$A320))</x:f>
        <x:v>#NAME?</x:v>
      </x:c>
      <x:c r="W320" t="e">
        <x:f>IF($A320="","",[1]!thsiFinD("ths_adjustment_nv_fund",W$3,$A320))</x:f>
        <x:v>#NAME?</x:v>
      </x:c>
      <x:c r="X320" t="e">
        <x:f>IF($A320="","",[1]!thsiFinD("ths_adjustment_nv_fund",X$3,$A320))</x:f>
        <x:v>#NAME?</x:v>
      </x:c>
      <x:c r="Y320" t="e">
        <x:f>IF($A320="","",[1]!thsiFinD("ths_adjustment_nv_fund",Y$3,$A320))</x:f>
        <x:v>#NAME?</x:v>
      </x:c>
    </x:row>
    <x:row r="321">
      <x:c r="B321" t="e">
        <x:f>IF($A321="","",[1]!thsiFinD("ths_adjustment_nv_fund",B$3,$A321))</x:f>
        <x:v>#NAME?</x:v>
      </x:c>
      <x:c r="C321" t="e">
        <x:f>IF($A321="","",[1]!thsiFinD("ths_adjustment_nv_fund",C$3,$A321))</x:f>
        <x:v>#NAME?</x:v>
      </x:c>
      <x:c r="D321" t="e">
        <x:f>IF($A321="","",[1]!thsiFinD("ths_adjustment_nv_fund",D$3,$A321))</x:f>
        <x:v>#NAME?</x:v>
      </x:c>
      <x:c r="E321" t="e">
        <x:f>IF($A321="","",[1]!thsiFinD("ths_adjustment_nv_fund",E$3,$A321))</x:f>
        <x:v>#NAME?</x:v>
      </x:c>
      <x:c r="F321" t="e">
        <x:f>IF($A321="","",[1]!thsiFinD("ths_adjustment_nv_fund",F$3,$A321))</x:f>
        <x:v>#NAME?</x:v>
      </x:c>
      <x:c r="G321" t="e">
        <x:f>IF($A321="","",[1]!thsiFinD("ths_adjustment_nv_fund",G$3,$A321))</x:f>
        <x:v>#NAME?</x:v>
      </x:c>
      <x:c r="H321" t="e">
        <x:f>IF($A321="","",[1]!thsiFinD("ths_adjustment_nv_fund",H$3,$A321))</x:f>
        <x:v>#NAME?</x:v>
      </x:c>
      <x:c r="I321" t="e">
        <x:f>IF($A321="","",[1]!thsiFinD("ths_adjustment_nv_fund",I$3,$A321))</x:f>
        <x:v>#NAME?</x:v>
      </x:c>
      <x:c r="J321" t="e">
        <x:f>IF($A321="","",[1]!thsiFinD("ths_adjustment_nv_fund",J$3,$A321))</x:f>
        <x:v>#NAME?</x:v>
      </x:c>
      <x:c r="K321" t="e">
        <x:f>IF($A321="","",[1]!thsiFinD("ths_adjustment_nv_fund",K$3,$A321))</x:f>
        <x:v>#NAME?</x:v>
      </x:c>
      <x:c r="L321" t="e">
        <x:f>IF($A321="","",[1]!thsiFinD("ths_adjustment_nv_fund",L$3,$A321))</x:f>
        <x:v>#NAME?</x:v>
      </x:c>
      <x:c r="M321" t="e">
        <x:f>IF($A321="","",[1]!thsiFinD("ths_adjustment_nv_fund",M$3,$A321))</x:f>
        <x:v>#NAME?</x:v>
      </x:c>
      <x:c r="N321" t="e">
        <x:f>IF($A321="","",[1]!thsiFinD("ths_adjustment_nv_fund",N$3,$A321))</x:f>
        <x:v>#NAME?</x:v>
      </x:c>
      <x:c r="O321" t="e">
        <x:f>IF($A321="","",[1]!thsiFinD("ths_adjustment_nv_fund",O$3,$A321))</x:f>
        <x:v>#NAME?</x:v>
      </x:c>
      <x:c r="P321" t="e">
        <x:f>IF($A321="","",[1]!thsiFinD("ths_adjustment_nv_fund",P$3,$A321))</x:f>
        <x:v>#NAME?</x:v>
      </x:c>
      <x:c r="Q321" t="e">
        <x:f>IF($A321="","",[1]!thsiFinD("ths_adjustment_nv_fund",Q$3,$A321))</x:f>
        <x:v>#NAME?</x:v>
      </x:c>
      <x:c r="R321" t="e">
        <x:f>IF($A321="","",[1]!thsiFinD("ths_adjustment_nv_fund",R$3,$A321))</x:f>
        <x:v>#NAME?</x:v>
      </x:c>
      <x:c r="S321" t="e">
        <x:f>IF($A321="","",[1]!thsiFinD("ths_adjustment_nv_fund",S$3,$A321))</x:f>
        <x:v>#NAME?</x:v>
      </x:c>
      <x:c r="T321" t="e">
        <x:f>IF($A321="","",[1]!thsiFinD("ths_adjustment_nv_fund",T$3,$A321))</x:f>
        <x:v>#NAME?</x:v>
      </x:c>
      <x:c r="U321" t="e">
        <x:f>IF($A321="","",[1]!thsiFinD("ths_adjustment_nv_fund",U$3,$A321))</x:f>
        <x:v>#NAME?</x:v>
      </x:c>
      <x:c r="V321" t="e">
        <x:f>IF($A321="","",[1]!thsiFinD("ths_adjustment_nv_fund",V$3,$A321))</x:f>
        <x:v>#NAME?</x:v>
      </x:c>
      <x:c r="W321" t="e">
        <x:f>IF($A321="","",[1]!thsiFinD("ths_adjustment_nv_fund",W$3,$A321))</x:f>
        <x:v>#NAME?</x:v>
      </x:c>
      <x:c r="X321" t="e">
        <x:f>IF($A321="","",[1]!thsiFinD("ths_adjustment_nv_fund",X$3,$A321))</x:f>
        <x:v>#NAME?</x:v>
      </x:c>
      <x:c r="Y321" t="e">
        <x:f>IF($A321="","",[1]!thsiFinD("ths_adjustment_nv_fund",Y$3,$A321))</x:f>
        <x:v>#NAME?</x:v>
      </x:c>
    </x:row>
    <x:row r="322">
      <x:c r="B322" t="e">
        <x:f>IF($A322="","",[1]!thsiFinD("ths_adjustment_nv_fund",B$3,$A322))</x:f>
        <x:v>#NAME?</x:v>
      </x:c>
      <x:c r="C322" t="e">
        <x:f>IF($A322="","",[1]!thsiFinD("ths_adjustment_nv_fund",C$3,$A322))</x:f>
        <x:v>#NAME?</x:v>
      </x:c>
      <x:c r="D322" t="e">
        <x:f>IF($A322="","",[1]!thsiFinD("ths_adjustment_nv_fund",D$3,$A322))</x:f>
        <x:v>#NAME?</x:v>
      </x:c>
      <x:c r="E322" t="e">
        <x:f>IF($A322="","",[1]!thsiFinD("ths_adjustment_nv_fund",E$3,$A322))</x:f>
        <x:v>#NAME?</x:v>
      </x:c>
      <x:c r="F322" t="e">
        <x:f>IF($A322="","",[1]!thsiFinD("ths_adjustment_nv_fund",F$3,$A322))</x:f>
        <x:v>#NAME?</x:v>
      </x:c>
      <x:c r="G322" t="e">
        <x:f>IF($A322="","",[1]!thsiFinD("ths_adjustment_nv_fund",G$3,$A322))</x:f>
        <x:v>#NAME?</x:v>
      </x:c>
      <x:c r="H322" t="e">
        <x:f>IF($A322="","",[1]!thsiFinD("ths_adjustment_nv_fund",H$3,$A322))</x:f>
        <x:v>#NAME?</x:v>
      </x:c>
      <x:c r="I322" t="e">
        <x:f>IF($A322="","",[1]!thsiFinD("ths_adjustment_nv_fund",I$3,$A322))</x:f>
        <x:v>#NAME?</x:v>
      </x:c>
      <x:c r="J322" t="e">
        <x:f>IF($A322="","",[1]!thsiFinD("ths_adjustment_nv_fund",J$3,$A322))</x:f>
        <x:v>#NAME?</x:v>
      </x:c>
      <x:c r="K322" t="e">
        <x:f>IF($A322="","",[1]!thsiFinD("ths_adjustment_nv_fund",K$3,$A322))</x:f>
        <x:v>#NAME?</x:v>
      </x:c>
      <x:c r="L322" t="e">
        <x:f>IF($A322="","",[1]!thsiFinD("ths_adjustment_nv_fund",L$3,$A322))</x:f>
        <x:v>#NAME?</x:v>
      </x:c>
      <x:c r="M322" t="e">
        <x:f>IF($A322="","",[1]!thsiFinD("ths_adjustment_nv_fund",M$3,$A322))</x:f>
        <x:v>#NAME?</x:v>
      </x:c>
      <x:c r="N322" t="e">
        <x:f>IF($A322="","",[1]!thsiFinD("ths_adjustment_nv_fund",N$3,$A322))</x:f>
        <x:v>#NAME?</x:v>
      </x:c>
      <x:c r="O322" t="e">
        <x:f>IF($A322="","",[1]!thsiFinD("ths_adjustment_nv_fund",O$3,$A322))</x:f>
        <x:v>#NAME?</x:v>
      </x:c>
      <x:c r="P322" t="e">
        <x:f>IF($A322="","",[1]!thsiFinD("ths_adjustment_nv_fund",P$3,$A322))</x:f>
        <x:v>#NAME?</x:v>
      </x:c>
      <x:c r="Q322" t="e">
        <x:f>IF($A322="","",[1]!thsiFinD("ths_adjustment_nv_fund",Q$3,$A322))</x:f>
        <x:v>#NAME?</x:v>
      </x:c>
      <x:c r="R322" t="e">
        <x:f>IF($A322="","",[1]!thsiFinD("ths_adjustment_nv_fund",R$3,$A322))</x:f>
        <x:v>#NAME?</x:v>
      </x:c>
      <x:c r="S322" t="e">
        <x:f>IF($A322="","",[1]!thsiFinD("ths_adjustment_nv_fund",S$3,$A322))</x:f>
        <x:v>#NAME?</x:v>
      </x:c>
      <x:c r="T322" t="e">
        <x:f>IF($A322="","",[1]!thsiFinD("ths_adjustment_nv_fund",T$3,$A322))</x:f>
        <x:v>#NAME?</x:v>
      </x:c>
      <x:c r="U322" t="e">
        <x:f>IF($A322="","",[1]!thsiFinD("ths_adjustment_nv_fund",U$3,$A322))</x:f>
        <x:v>#NAME?</x:v>
      </x:c>
      <x:c r="V322" t="e">
        <x:f>IF($A322="","",[1]!thsiFinD("ths_adjustment_nv_fund",V$3,$A322))</x:f>
        <x:v>#NAME?</x:v>
      </x:c>
      <x:c r="W322" t="e">
        <x:f>IF($A322="","",[1]!thsiFinD("ths_adjustment_nv_fund",W$3,$A322))</x:f>
        <x:v>#NAME?</x:v>
      </x:c>
      <x:c r="X322" t="e">
        <x:f>IF($A322="","",[1]!thsiFinD("ths_adjustment_nv_fund",X$3,$A322))</x:f>
        <x:v>#NAME?</x:v>
      </x:c>
      <x:c r="Y322" t="e">
        <x:f>IF($A322="","",[1]!thsiFinD("ths_adjustment_nv_fund",Y$3,$A322))</x:f>
        <x:v>#NAME?</x:v>
      </x:c>
    </x:row>
    <x:row r="323">
      <x:c r="B323" t="e">
        <x:f>IF($A323="","",[1]!thsiFinD("ths_adjustment_nv_fund",B$3,$A323))</x:f>
        <x:v>#NAME?</x:v>
      </x:c>
      <x:c r="C323" t="e">
        <x:f>IF($A323="","",[1]!thsiFinD("ths_adjustment_nv_fund",C$3,$A323))</x:f>
        <x:v>#NAME?</x:v>
      </x:c>
      <x:c r="D323" t="e">
        <x:f>IF($A323="","",[1]!thsiFinD("ths_adjustment_nv_fund",D$3,$A323))</x:f>
        <x:v>#NAME?</x:v>
      </x:c>
      <x:c r="E323" t="e">
        <x:f>IF($A323="","",[1]!thsiFinD("ths_adjustment_nv_fund",E$3,$A323))</x:f>
        <x:v>#NAME?</x:v>
      </x:c>
      <x:c r="F323" t="e">
        <x:f>IF($A323="","",[1]!thsiFinD("ths_adjustment_nv_fund",F$3,$A323))</x:f>
        <x:v>#NAME?</x:v>
      </x:c>
      <x:c r="G323" t="e">
        <x:f>IF($A323="","",[1]!thsiFinD("ths_adjustment_nv_fund",G$3,$A323))</x:f>
        <x:v>#NAME?</x:v>
      </x:c>
      <x:c r="H323" t="e">
        <x:f>IF($A323="","",[1]!thsiFinD("ths_adjustment_nv_fund",H$3,$A323))</x:f>
        <x:v>#NAME?</x:v>
      </x:c>
      <x:c r="I323" t="e">
        <x:f>IF($A323="","",[1]!thsiFinD("ths_adjustment_nv_fund",I$3,$A323))</x:f>
        <x:v>#NAME?</x:v>
      </x:c>
      <x:c r="J323" t="e">
        <x:f>IF($A323="","",[1]!thsiFinD("ths_adjustment_nv_fund",J$3,$A323))</x:f>
        <x:v>#NAME?</x:v>
      </x:c>
      <x:c r="K323" t="e">
        <x:f>IF($A323="","",[1]!thsiFinD("ths_adjustment_nv_fund",K$3,$A323))</x:f>
        <x:v>#NAME?</x:v>
      </x:c>
      <x:c r="L323" t="e">
        <x:f>IF($A323="","",[1]!thsiFinD("ths_adjustment_nv_fund",L$3,$A323))</x:f>
        <x:v>#NAME?</x:v>
      </x:c>
      <x:c r="M323" t="e">
        <x:f>IF($A323="","",[1]!thsiFinD("ths_adjustment_nv_fund",M$3,$A323))</x:f>
        <x:v>#NAME?</x:v>
      </x:c>
      <x:c r="N323" t="e">
        <x:f>IF($A323="","",[1]!thsiFinD("ths_adjustment_nv_fund",N$3,$A323))</x:f>
        <x:v>#NAME?</x:v>
      </x:c>
      <x:c r="O323" t="e">
        <x:f>IF($A323="","",[1]!thsiFinD("ths_adjustment_nv_fund",O$3,$A323))</x:f>
        <x:v>#NAME?</x:v>
      </x:c>
      <x:c r="P323" t="e">
        <x:f>IF($A323="","",[1]!thsiFinD("ths_adjustment_nv_fund",P$3,$A323))</x:f>
        <x:v>#NAME?</x:v>
      </x:c>
      <x:c r="Q323" t="e">
        <x:f>IF($A323="","",[1]!thsiFinD("ths_adjustment_nv_fund",Q$3,$A323))</x:f>
        <x:v>#NAME?</x:v>
      </x:c>
      <x:c r="R323" t="e">
        <x:f>IF($A323="","",[1]!thsiFinD("ths_adjustment_nv_fund",R$3,$A323))</x:f>
        <x:v>#NAME?</x:v>
      </x:c>
      <x:c r="S323" t="e">
        <x:f>IF($A323="","",[1]!thsiFinD("ths_adjustment_nv_fund",S$3,$A323))</x:f>
        <x:v>#NAME?</x:v>
      </x:c>
      <x:c r="T323" t="e">
        <x:f>IF($A323="","",[1]!thsiFinD("ths_adjustment_nv_fund",T$3,$A323))</x:f>
        <x:v>#NAME?</x:v>
      </x:c>
      <x:c r="U323" t="e">
        <x:f>IF($A323="","",[1]!thsiFinD("ths_adjustment_nv_fund",U$3,$A323))</x:f>
        <x:v>#NAME?</x:v>
      </x:c>
      <x:c r="V323" t="e">
        <x:f>IF($A323="","",[1]!thsiFinD("ths_adjustment_nv_fund",V$3,$A323))</x:f>
        <x:v>#NAME?</x:v>
      </x:c>
      <x:c r="W323" t="e">
        <x:f>IF($A323="","",[1]!thsiFinD("ths_adjustment_nv_fund",W$3,$A323))</x:f>
        <x:v>#NAME?</x:v>
      </x:c>
      <x:c r="X323" t="e">
        <x:f>IF($A323="","",[1]!thsiFinD("ths_adjustment_nv_fund",X$3,$A323))</x:f>
        <x:v>#NAME?</x:v>
      </x:c>
      <x:c r="Y323" t="e">
        <x:f>IF($A323="","",[1]!thsiFinD("ths_adjustment_nv_fund",Y$3,$A323))</x:f>
        <x:v>#NAME?</x:v>
      </x:c>
    </x:row>
    <x:row r="324">
      <x:c r="B324" t="e">
        <x:f>IF($A324="","",[1]!thsiFinD("ths_adjustment_nv_fund",B$3,$A324))</x:f>
        <x:v>#NAME?</x:v>
      </x:c>
      <x:c r="C324" t="e">
        <x:f>IF($A324="","",[1]!thsiFinD("ths_adjustment_nv_fund",C$3,$A324))</x:f>
        <x:v>#NAME?</x:v>
      </x:c>
      <x:c r="D324" t="e">
        <x:f>IF($A324="","",[1]!thsiFinD("ths_adjustment_nv_fund",D$3,$A324))</x:f>
        <x:v>#NAME?</x:v>
      </x:c>
      <x:c r="E324" t="e">
        <x:f>IF($A324="","",[1]!thsiFinD("ths_adjustment_nv_fund",E$3,$A324))</x:f>
        <x:v>#NAME?</x:v>
      </x:c>
      <x:c r="F324" t="e">
        <x:f>IF($A324="","",[1]!thsiFinD("ths_adjustment_nv_fund",F$3,$A324))</x:f>
        <x:v>#NAME?</x:v>
      </x:c>
      <x:c r="G324" t="e">
        <x:f>IF($A324="","",[1]!thsiFinD("ths_adjustment_nv_fund",G$3,$A324))</x:f>
        <x:v>#NAME?</x:v>
      </x:c>
      <x:c r="H324" t="e">
        <x:f>IF($A324="","",[1]!thsiFinD("ths_adjustment_nv_fund",H$3,$A324))</x:f>
        <x:v>#NAME?</x:v>
      </x:c>
      <x:c r="I324" t="e">
        <x:f>IF($A324="","",[1]!thsiFinD("ths_adjustment_nv_fund",I$3,$A324))</x:f>
        <x:v>#NAME?</x:v>
      </x:c>
      <x:c r="J324" t="e">
        <x:f>IF($A324="","",[1]!thsiFinD("ths_adjustment_nv_fund",J$3,$A324))</x:f>
        <x:v>#NAME?</x:v>
      </x:c>
      <x:c r="K324" t="e">
        <x:f>IF($A324="","",[1]!thsiFinD("ths_adjustment_nv_fund",K$3,$A324))</x:f>
        <x:v>#NAME?</x:v>
      </x:c>
      <x:c r="L324" t="e">
        <x:f>IF($A324="","",[1]!thsiFinD("ths_adjustment_nv_fund",L$3,$A324))</x:f>
        <x:v>#NAME?</x:v>
      </x:c>
      <x:c r="M324" t="e">
        <x:f>IF($A324="","",[1]!thsiFinD("ths_adjustment_nv_fund",M$3,$A324))</x:f>
        <x:v>#NAME?</x:v>
      </x:c>
      <x:c r="N324" t="e">
        <x:f>IF($A324="","",[1]!thsiFinD("ths_adjustment_nv_fund",N$3,$A324))</x:f>
        <x:v>#NAME?</x:v>
      </x:c>
      <x:c r="O324" t="e">
        <x:f>IF($A324="","",[1]!thsiFinD("ths_adjustment_nv_fund",O$3,$A324))</x:f>
        <x:v>#NAME?</x:v>
      </x:c>
      <x:c r="P324" t="e">
        <x:f>IF($A324="","",[1]!thsiFinD("ths_adjustment_nv_fund",P$3,$A324))</x:f>
        <x:v>#NAME?</x:v>
      </x:c>
      <x:c r="Q324" t="e">
        <x:f>IF($A324="","",[1]!thsiFinD("ths_adjustment_nv_fund",Q$3,$A324))</x:f>
        <x:v>#NAME?</x:v>
      </x:c>
      <x:c r="R324" t="e">
        <x:f>IF($A324="","",[1]!thsiFinD("ths_adjustment_nv_fund",R$3,$A324))</x:f>
        <x:v>#NAME?</x:v>
      </x:c>
      <x:c r="S324" t="e">
        <x:f>IF($A324="","",[1]!thsiFinD("ths_adjustment_nv_fund",S$3,$A324))</x:f>
        <x:v>#NAME?</x:v>
      </x:c>
      <x:c r="T324" t="e">
        <x:f>IF($A324="","",[1]!thsiFinD("ths_adjustment_nv_fund",T$3,$A324))</x:f>
        <x:v>#NAME?</x:v>
      </x:c>
      <x:c r="U324" t="e">
        <x:f>IF($A324="","",[1]!thsiFinD("ths_adjustment_nv_fund",U$3,$A324))</x:f>
        <x:v>#NAME?</x:v>
      </x:c>
      <x:c r="V324" t="e">
        <x:f>IF($A324="","",[1]!thsiFinD("ths_adjustment_nv_fund",V$3,$A324))</x:f>
        <x:v>#NAME?</x:v>
      </x:c>
      <x:c r="W324" t="e">
        <x:f>IF($A324="","",[1]!thsiFinD("ths_adjustment_nv_fund",W$3,$A324))</x:f>
        <x:v>#NAME?</x:v>
      </x:c>
      <x:c r="X324" t="e">
        <x:f>IF($A324="","",[1]!thsiFinD("ths_adjustment_nv_fund",X$3,$A324))</x:f>
        <x:v>#NAME?</x:v>
      </x:c>
      <x:c r="Y324" t="e">
        <x:f>IF($A324="","",[1]!thsiFinD("ths_adjustment_nv_fund",Y$3,$A324))</x:f>
        <x:v>#NAME?</x:v>
      </x:c>
    </x:row>
    <x:row r="325">
      <x:c r="B325" t="e">
        <x:f>IF($A325="","",[1]!thsiFinD("ths_adjustment_nv_fund",B$3,$A325))</x:f>
        <x:v>#NAME?</x:v>
      </x:c>
      <x:c r="C325" t="e">
        <x:f>IF($A325="","",[1]!thsiFinD("ths_adjustment_nv_fund",C$3,$A325))</x:f>
        <x:v>#NAME?</x:v>
      </x:c>
      <x:c r="D325" t="e">
        <x:f>IF($A325="","",[1]!thsiFinD("ths_adjustment_nv_fund",D$3,$A325))</x:f>
        <x:v>#NAME?</x:v>
      </x:c>
      <x:c r="E325" t="e">
        <x:f>IF($A325="","",[1]!thsiFinD("ths_adjustment_nv_fund",E$3,$A325))</x:f>
        <x:v>#NAME?</x:v>
      </x:c>
      <x:c r="F325" t="e">
        <x:f>IF($A325="","",[1]!thsiFinD("ths_adjustment_nv_fund",F$3,$A325))</x:f>
        <x:v>#NAME?</x:v>
      </x:c>
      <x:c r="G325" t="e">
        <x:f>IF($A325="","",[1]!thsiFinD("ths_adjustment_nv_fund",G$3,$A325))</x:f>
        <x:v>#NAME?</x:v>
      </x:c>
      <x:c r="H325" t="e">
        <x:f>IF($A325="","",[1]!thsiFinD("ths_adjustment_nv_fund",H$3,$A325))</x:f>
        <x:v>#NAME?</x:v>
      </x:c>
      <x:c r="I325" t="e">
        <x:f>IF($A325="","",[1]!thsiFinD("ths_adjustment_nv_fund",I$3,$A325))</x:f>
        <x:v>#NAME?</x:v>
      </x:c>
      <x:c r="J325" t="e">
        <x:f>IF($A325="","",[1]!thsiFinD("ths_adjustment_nv_fund",J$3,$A325))</x:f>
        <x:v>#NAME?</x:v>
      </x:c>
      <x:c r="K325" t="e">
        <x:f>IF($A325="","",[1]!thsiFinD("ths_adjustment_nv_fund",K$3,$A325))</x:f>
        <x:v>#NAME?</x:v>
      </x:c>
      <x:c r="L325" t="e">
        <x:f>IF($A325="","",[1]!thsiFinD("ths_adjustment_nv_fund",L$3,$A325))</x:f>
        <x:v>#NAME?</x:v>
      </x:c>
      <x:c r="M325" t="e">
        <x:f>IF($A325="","",[1]!thsiFinD("ths_adjustment_nv_fund",M$3,$A325))</x:f>
        <x:v>#NAME?</x:v>
      </x:c>
      <x:c r="N325" t="e">
        <x:f>IF($A325="","",[1]!thsiFinD("ths_adjustment_nv_fund",N$3,$A325))</x:f>
        <x:v>#NAME?</x:v>
      </x:c>
      <x:c r="O325" t="e">
        <x:f>IF($A325="","",[1]!thsiFinD("ths_adjustment_nv_fund",O$3,$A325))</x:f>
        <x:v>#NAME?</x:v>
      </x:c>
      <x:c r="P325" t="e">
        <x:f>IF($A325="","",[1]!thsiFinD("ths_adjustment_nv_fund",P$3,$A325))</x:f>
        <x:v>#NAME?</x:v>
      </x:c>
      <x:c r="Q325" t="e">
        <x:f>IF($A325="","",[1]!thsiFinD("ths_adjustment_nv_fund",Q$3,$A325))</x:f>
        <x:v>#NAME?</x:v>
      </x:c>
      <x:c r="R325" t="e">
        <x:f>IF($A325="","",[1]!thsiFinD("ths_adjustment_nv_fund",R$3,$A325))</x:f>
        <x:v>#NAME?</x:v>
      </x:c>
      <x:c r="S325" t="e">
        <x:f>IF($A325="","",[1]!thsiFinD("ths_adjustment_nv_fund",S$3,$A325))</x:f>
        <x:v>#NAME?</x:v>
      </x:c>
      <x:c r="T325" t="e">
        <x:f>IF($A325="","",[1]!thsiFinD("ths_adjustment_nv_fund",T$3,$A325))</x:f>
        <x:v>#NAME?</x:v>
      </x:c>
      <x:c r="U325" t="e">
        <x:f>IF($A325="","",[1]!thsiFinD("ths_adjustment_nv_fund",U$3,$A325))</x:f>
        <x:v>#NAME?</x:v>
      </x:c>
      <x:c r="V325" t="e">
        <x:f>IF($A325="","",[1]!thsiFinD("ths_adjustment_nv_fund",V$3,$A325))</x:f>
        <x:v>#NAME?</x:v>
      </x:c>
      <x:c r="W325" t="e">
        <x:f>IF($A325="","",[1]!thsiFinD("ths_adjustment_nv_fund",W$3,$A325))</x:f>
        <x:v>#NAME?</x:v>
      </x:c>
      <x:c r="X325" t="e">
        <x:f>IF($A325="","",[1]!thsiFinD("ths_adjustment_nv_fund",X$3,$A325))</x:f>
        <x:v>#NAME?</x:v>
      </x:c>
      <x:c r="Y325" t="e">
        <x:f>IF($A325="","",[1]!thsiFinD("ths_adjustment_nv_fund",Y$3,$A325))</x:f>
        <x:v>#NAME?</x:v>
      </x:c>
    </x:row>
    <x:row r="326">
      <x:c r="B326" t="e">
        <x:f>IF($A326="","",[1]!thsiFinD("ths_adjustment_nv_fund",B$3,$A326))</x:f>
        <x:v>#NAME?</x:v>
      </x:c>
      <x:c r="C326" t="e">
        <x:f>IF($A326="","",[1]!thsiFinD("ths_adjustment_nv_fund",C$3,$A326))</x:f>
        <x:v>#NAME?</x:v>
      </x:c>
      <x:c r="D326" t="e">
        <x:f>IF($A326="","",[1]!thsiFinD("ths_adjustment_nv_fund",D$3,$A326))</x:f>
        <x:v>#NAME?</x:v>
      </x:c>
      <x:c r="E326" t="e">
        <x:f>IF($A326="","",[1]!thsiFinD("ths_adjustment_nv_fund",E$3,$A326))</x:f>
        <x:v>#NAME?</x:v>
      </x:c>
      <x:c r="F326" t="e">
        <x:f>IF($A326="","",[1]!thsiFinD("ths_adjustment_nv_fund",F$3,$A326))</x:f>
        <x:v>#NAME?</x:v>
      </x:c>
      <x:c r="G326" t="e">
        <x:f>IF($A326="","",[1]!thsiFinD("ths_adjustment_nv_fund",G$3,$A326))</x:f>
        <x:v>#NAME?</x:v>
      </x:c>
      <x:c r="H326" t="e">
        <x:f>IF($A326="","",[1]!thsiFinD("ths_adjustment_nv_fund",H$3,$A326))</x:f>
        <x:v>#NAME?</x:v>
      </x:c>
      <x:c r="I326" t="e">
        <x:f>IF($A326="","",[1]!thsiFinD("ths_adjustment_nv_fund",I$3,$A326))</x:f>
        <x:v>#NAME?</x:v>
      </x:c>
      <x:c r="J326" t="e">
        <x:f>IF($A326="","",[1]!thsiFinD("ths_adjustment_nv_fund",J$3,$A326))</x:f>
        <x:v>#NAME?</x:v>
      </x:c>
      <x:c r="K326" t="e">
        <x:f>IF($A326="","",[1]!thsiFinD("ths_adjustment_nv_fund",K$3,$A326))</x:f>
        <x:v>#NAME?</x:v>
      </x:c>
      <x:c r="L326" t="e">
        <x:f>IF($A326="","",[1]!thsiFinD("ths_adjustment_nv_fund",L$3,$A326))</x:f>
        <x:v>#NAME?</x:v>
      </x:c>
      <x:c r="M326" t="e">
        <x:f>IF($A326="","",[1]!thsiFinD("ths_adjustment_nv_fund",M$3,$A326))</x:f>
        <x:v>#NAME?</x:v>
      </x:c>
      <x:c r="N326" t="e">
        <x:f>IF($A326="","",[1]!thsiFinD("ths_adjustment_nv_fund",N$3,$A326))</x:f>
        <x:v>#NAME?</x:v>
      </x:c>
      <x:c r="O326" t="e">
        <x:f>IF($A326="","",[1]!thsiFinD("ths_adjustment_nv_fund",O$3,$A326))</x:f>
        <x:v>#NAME?</x:v>
      </x:c>
      <x:c r="P326" t="e">
        <x:f>IF($A326="","",[1]!thsiFinD("ths_adjustment_nv_fund",P$3,$A326))</x:f>
        <x:v>#NAME?</x:v>
      </x:c>
      <x:c r="Q326" t="e">
        <x:f>IF($A326="","",[1]!thsiFinD("ths_adjustment_nv_fund",Q$3,$A326))</x:f>
        <x:v>#NAME?</x:v>
      </x:c>
      <x:c r="R326" t="e">
        <x:f>IF($A326="","",[1]!thsiFinD("ths_adjustment_nv_fund",R$3,$A326))</x:f>
        <x:v>#NAME?</x:v>
      </x:c>
      <x:c r="S326" t="e">
        <x:f>IF($A326="","",[1]!thsiFinD("ths_adjustment_nv_fund",S$3,$A326))</x:f>
        <x:v>#NAME?</x:v>
      </x:c>
      <x:c r="T326" t="e">
        <x:f>IF($A326="","",[1]!thsiFinD("ths_adjustment_nv_fund",T$3,$A326))</x:f>
        <x:v>#NAME?</x:v>
      </x:c>
      <x:c r="U326" t="e">
        <x:f>IF($A326="","",[1]!thsiFinD("ths_adjustment_nv_fund",U$3,$A326))</x:f>
        <x:v>#NAME?</x:v>
      </x:c>
      <x:c r="V326" t="e">
        <x:f>IF($A326="","",[1]!thsiFinD("ths_adjustment_nv_fund",V$3,$A326))</x:f>
        <x:v>#NAME?</x:v>
      </x:c>
      <x:c r="W326" t="e">
        <x:f>IF($A326="","",[1]!thsiFinD("ths_adjustment_nv_fund",W$3,$A326))</x:f>
        <x:v>#NAME?</x:v>
      </x:c>
      <x:c r="X326" t="e">
        <x:f>IF($A326="","",[1]!thsiFinD("ths_adjustment_nv_fund",X$3,$A326))</x:f>
        <x:v>#NAME?</x:v>
      </x:c>
      <x:c r="Y326" t="e">
        <x:f>IF($A326="","",[1]!thsiFinD("ths_adjustment_nv_fund",Y$3,$A326))</x:f>
        <x:v>#NAME?</x:v>
      </x:c>
    </x:row>
    <x:row r="327">
      <x:c r="B327" t="e">
        <x:f>IF($A327="","",[1]!thsiFinD("ths_adjustment_nv_fund",B$3,$A327))</x:f>
        <x:v>#NAME?</x:v>
      </x:c>
      <x:c r="C327" t="e">
        <x:f>IF($A327="","",[1]!thsiFinD("ths_adjustment_nv_fund",C$3,$A327))</x:f>
        <x:v>#NAME?</x:v>
      </x:c>
      <x:c r="D327" t="e">
        <x:f>IF($A327="","",[1]!thsiFinD("ths_adjustment_nv_fund",D$3,$A327))</x:f>
        <x:v>#NAME?</x:v>
      </x:c>
      <x:c r="E327" t="e">
        <x:f>IF($A327="","",[1]!thsiFinD("ths_adjustment_nv_fund",E$3,$A327))</x:f>
        <x:v>#NAME?</x:v>
      </x:c>
      <x:c r="F327" t="e">
        <x:f>IF($A327="","",[1]!thsiFinD("ths_adjustment_nv_fund",F$3,$A327))</x:f>
        <x:v>#NAME?</x:v>
      </x:c>
      <x:c r="G327" t="e">
        <x:f>IF($A327="","",[1]!thsiFinD("ths_adjustment_nv_fund",G$3,$A327))</x:f>
        <x:v>#NAME?</x:v>
      </x:c>
      <x:c r="H327" t="e">
        <x:f>IF($A327="","",[1]!thsiFinD("ths_adjustment_nv_fund",H$3,$A327))</x:f>
        <x:v>#NAME?</x:v>
      </x:c>
      <x:c r="I327" t="e">
        <x:f>IF($A327="","",[1]!thsiFinD("ths_adjustment_nv_fund",I$3,$A327))</x:f>
        <x:v>#NAME?</x:v>
      </x:c>
      <x:c r="J327" t="e">
        <x:f>IF($A327="","",[1]!thsiFinD("ths_adjustment_nv_fund",J$3,$A327))</x:f>
        <x:v>#NAME?</x:v>
      </x:c>
      <x:c r="K327" t="e">
        <x:f>IF($A327="","",[1]!thsiFinD("ths_adjustment_nv_fund",K$3,$A327))</x:f>
        <x:v>#NAME?</x:v>
      </x:c>
      <x:c r="L327" t="e">
        <x:f>IF($A327="","",[1]!thsiFinD("ths_adjustment_nv_fund",L$3,$A327))</x:f>
        <x:v>#NAME?</x:v>
      </x:c>
      <x:c r="M327" t="e">
        <x:f>IF($A327="","",[1]!thsiFinD("ths_adjustment_nv_fund",M$3,$A327))</x:f>
        <x:v>#NAME?</x:v>
      </x:c>
      <x:c r="N327" t="e">
        <x:f>IF($A327="","",[1]!thsiFinD("ths_adjustment_nv_fund",N$3,$A327))</x:f>
        <x:v>#NAME?</x:v>
      </x:c>
      <x:c r="O327" t="e">
        <x:f>IF($A327="","",[1]!thsiFinD("ths_adjustment_nv_fund",O$3,$A327))</x:f>
        <x:v>#NAME?</x:v>
      </x:c>
      <x:c r="P327" t="e">
        <x:f>IF($A327="","",[1]!thsiFinD("ths_adjustment_nv_fund",P$3,$A327))</x:f>
        <x:v>#NAME?</x:v>
      </x:c>
      <x:c r="Q327" t="e">
        <x:f>IF($A327="","",[1]!thsiFinD("ths_adjustment_nv_fund",Q$3,$A327))</x:f>
        <x:v>#NAME?</x:v>
      </x:c>
      <x:c r="R327" t="e">
        <x:f>IF($A327="","",[1]!thsiFinD("ths_adjustment_nv_fund",R$3,$A327))</x:f>
        <x:v>#NAME?</x:v>
      </x:c>
      <x:c r="S327" t="e">
        <x:f>IF($A327="","",[1]!thsiFinD("ths_adjustment_nv_fund",S$3,$A327))</x:f>
        <x:v>#NAME?</x:v>
      </x:c>
      <x:c r="T327" t="e">
        <x:f>IF($A327="","",[1]!thsiFinD("ths_adjustment_nv_fund",T$3,$A327))</x:f>
        <x:v>#NAME?</x:v>
      </x:c>
      <x:c r="U327" t="e">
        <x:f>IF($A327="","",[1]!thsiFinD("ths_adjustment_nv_fund",U$3,$A327))</x:f>
        <x:v>#NAME?</x:v>
      </x:c>
      <x:c r="V327" t="e">
        <x:f>IF($A327="","",[1]!thsiFinD("ths_adjustment_nv_fund",V$3,$A327))</x:f>
        <x:v>#NAME?</x:v>
      </x:c>
      <x:c r="W327" t="e">
        <x:f>IF($A327="","",[1]!thsiFinD("ths_adjustment_nv_fund",W$3,$A327))</x:f>
        <x:v>#NAME?</x:v>
      </x:c>
      <x:c r="X327" t="e">
        <x:f>IF($A327="","",[1]!thsiFinD("ths_adjustment_nv_fund",X$3,$A327))</x:f>
        <x:v>#NAME?</x:v>
      </x:c>
      <x:c r="Y327" t="e">
        <x:f>IF($A327="","",[1]!thsiFinD("ths_adjustment_nv_fund",Y$3,$A327))</x:f>
        <x:v>#NAME?</x:v>
      </x:c>
    </x:row>
    <x:row r="328">
      <x:c r="B328" t="e">
        <x:f>IF($A328="","",[1]!thsiFinD("ths_adjustment_nv_fund",B$3,$A328))</x:f>
        <x:v>#NAME?</x:v>
      </x:c>
      <x:c r="C328" t="e">
        <x:f>IF($A328="","",[1]!thsiFinD("ths_adjustment_nv_fund",C$3,$A328))</x:f>
        <x:v>#NAME?</x:v>
      </x:c>
      <x:c r="D328" t="e">
        <x:f>IF($A328="","",[1]!thsiFinD("ths_adjustment_nv_fund",D$3,$A328))</x:f>
        <x:v>#NAME?</x:v>
      </x:c>
      <x:c r="E328" t="e">
        <x:f>IF($A328="","",[1]!thsiFinD("ths_adjustment_nv_fund",E$3,$A328))</x:f>
        <x:v>#NAME?</x:v>
      </x:c>
      <x:c r="F328" t="e">
        <x:f>IF($A328="","",[1]!thsiFinD("ths_adjustment_nv_fund",F$3,$A328))</x:f>
        <x:v>#NAME?</x:v>
      </x:c>
      <x:c r="G328" t="e">
        <x:f>IF($A328="","",[1]!thsiFinD("ths_adjustment_nv_fund",G$3,$A328))</x:f>
        <x:v>#NAME?</x:v>
      </x:c>
      <x:c r="H328" t="e">
        <x:f>IF($A328="","",[1]!thsiFinD("ths_adjustment_nv_fund",H$3,$A328))</x:f>
        <x:v>#NAME?</x:v>
      </x:c>
      <x:c r="I328" t="e">
        <x:f>IF($A328="","",[1]!thsiFinD("ths_adjustment_nv_fund",I$3,$A328))</x:f>
        <x:v>#NAME?</x:v>
      </x:c>
      <x:c r="J328" t="e">
        <x:f>IF($A328="","",[1]!thsiFinD("ths_adjustment_nv_fund",J$3,$A328))</x:f>
        <x:v>#NAME?</x:v>
      </x:c>
      <x:c r="K328" t="e">
        <x:f>IF($A328="","",[1]!thsiFinD("ths_adjustment_nv_fund",K$3,$A328))</x:f>
        <x:v>#NAME?</x:v>
      </x:c>
      <x:c r="L328" t="e">
        <x:f>IF($A328="","",[1]!thsiFinD("ths_adjustment_nv_fund",L$3,$A328))</x:f>
        <x:v>#NAME?</x:v>
      </x:c>
      <x:c r="M328" t="e">
        <x:f>IF($A328="","",[1]!thsiFinD("ths_adjustment_nv_fund",M$3,$A328))</x:f>
        <x:v>#NAME?</x:v>
      </x:c>
      <x:c r="N328" t="e">
        <x:f>IF($A328="","",[1]!thsiFinD("ths_adjustment_nv_fund",N$3,$A328))</x:f>
        <x:v>#NAME?</x:v>
      </x:c>
      <x:c r="O328" t="e">
        <x:f>IF($A328="","",[1]!thsiFinD("ths_adjustment_nv_fund",O$3,$A328))</x:f>
        <x:v>#NAME?</x:v>
      </x:c>
      <x:c r="P328" t="e">
        <x:f>IF($A328="","",[1]!thsiFinD("ths_adjustment_nv_fund",P$3,$A328))</x:f>
        <x:v>#NAME?</x:v>
      </x:c>
      <x:c r="Q328" t="e">
        <x:f>IF($A328="","",[1]!thsiFinD("ths_adjustment_nv_fund",Q$3,$A328))</x:f>
        <x:v>#NAME?</x:v>
      </x:c>
      <x:c r="R328" t="e">
        <x:f>IF($A328="","",[1]!thsiFinD("ths_adjustment_nv_fund",R$3,$A328))</x:f>
        <x:v>#NAME?</x:v>
      </x:c>
      <x:c r="S328" t="e">
        <x:f>IF($A328="","",[1]!thsiFinD("ths_adjustment_nv_fund",S$3,$A328))</x:f>
        <x:v>#NAME?</x:v>
      </x:c>
      <x:c r="T328" t="e">
        <x:f>IF($A328="","",[1]!thsiFinD("ths_adjustment_nv_fund",T$3,$A328))</x:f>
        <x:v>#NAME?</x:v>
      </x:c>
      <x:c r="U328" t="e">
        <x:f>IF($A328="","",[1]!thsiFinD("ths_adjustment_nv_fund",U$3,$A328))</x:f>
        <x:v>#NAME?</x:v>
      </x:c>
      <x:c r="V328" t="e">
        <x:f>IF($A328="","",[1]!thsiFinD("ths_adjustment_nv_fund",V$3,$A328))</x:f>
        <x:v>#NAME?</x:v>
      </x:c>
      <x:c r="W328" t="e">
        <x:f>IF($A328="","",[1]!thsiFinD("ths_adjustment_nv_fund",W$3,$A328))</x:f>
        <x:v>#NAME?</x:v>
      </x:c>
      <x:c r="X328" t="e">
        <x:f>IF($A328="","",[1]!thsiFinD("ths_adjustment_nv_fund",X$3,$A328))</x:f>
        <x:v>#NAME?</x:v>
      </x:c>
      <x:c r="Y328" t="e">
        <x:f>IF($A328="","",[1]!thsiFinD("ths_adjustment_nv_fund",Y$3,$A328))</x:f>
        <x:v>#NAME?</x:v>
      </x:c>
    </x:row>
    <x:row r="329">
      <x:c r="B329" t="e">
        <x:f>IF($A329="","",[1]!thsiFinD("ths_adjustment_nv_fund",B$3,$A329))</x:f>
        <x:v>#NAME?</x:v>
      </x:c>
      <x:c r="C329" t="e">
        <x:f>IF($A329="","",[1]!thsiFinD("ths_adjustment_nv_fund",C$3,$A329))</x:f>
        <x:v>#NAME?</x:v>
      </x:c>
      <x:c r="D329" t="e">
        <x:f>IF($A329="","",[1]!thsiFinD("ths_adjustment_nv_fund",D$3,$A329))</x:f>
        <x:v>#NAME?</x:v>
      </x:c>
      <x:c r="E329" t="e">
        <x:f>IF($A329="","",[1]!thsiFinD("ths_adjustment_nv_fund",E$3,$A329))</x:f>
        <x:v>#NAME?</x:v>
      </x:c>
      <x:c r="F329" t="e">
        <x:f>IF($A329="","",[1]!thsiFinD("ths_adjustment_nv_fund",F$3,$A329))</x:f>
        <x:v>#NAME?</x:v>
      </x:c>
      <x:c r="G329" t="e">
        <x:f>IF($A329="","",[1]!thsiFinD("ths_adjustment_nv_fund",G$3,$A329))</x:f>
        <x:v>#NAME?</x:v>
      </x:c>
      <x:c r="H329" t="e">
        <x:f>IF($A329="","",[1]!thsiFinD("ths_adjustment_nv_fund",H$3,$A329))</x:f>
        <x:v>#NAME?</x:v>
      </x:c>
      <x:c r="I329" t="e">
        <x:f>IF($A329="","",[1]!thsiFinD("ths_adjustment_nv_fund",I$3,$A329))</x:f>
        <x:v>#NAME?</x:v>
      </x:c>
      <x:c r="J329" t="e">
        <x:f>IF($A329="","",[1]!thsiFinD("ths_adjustment_nv_fund",J$3,$A329))</x:f>
        <x:v>#NAME?</x:v>
      </x:c>
      <x:c r="K329" t="e">
        <x:f>IF($A329="","",[1]!thsiFinD("ths_adjustment_nv_fund",K$3,$A329))</x:f>
        <x:v>#NAME?</x:v>
      </x:c>
      <x:c r="L329" t="e">
        <x:f>IF($A329="","",[1]!thsiFinD("ths_adjustment_nv_fund",L$3,$A329))</x:f>
        <x:v>#NAME?</x:v>
      </x:c>
      <x:c r="M329" t="e">
        <x:f>IF($A329="","",[1]!thsiFinD("ths_adjustment_nv_fund",M$3,$A329))</x:f>
        <x:v>#NAME?</x:v>
      </x:c>
      <x:c r="N329" t="e">
        <x:f>IF($A329="","",[1]!thsiFinD("ths_adjustment_nv_fund",N$3,$A329))</x:f>
        <x:v>#NAME?</x:v>
      </x:c>
      <x:c r="O329" t="e">
        <x:f>IF($A329="","",[1]!thsiFinD("ths_adjustment_nv_fund",O$3,$A329))</x:f>
        <x:v>#NAME?</x:v>
      </x:c>
      <x:c r="P329" t="e">
        <x:f>IF($A329="","",[1]!thsiFinD("ths_adjustment_nv_fund",P$3,$A329))</x:f>
        <x:v>#NAME?</x:v>
      </x:c>
      <x:c r="Q329" t="e">
        <x:f>IF($A329="","",[1]!thsiFinD("ths_adjustment_nv_fund",Q$3,$A329))</x:f>
        <x:v>#NAME?</x:v>
      </x:c>
      <x:c r="R329" t="e">
        <x:f>IF($A329="","",[1]!thsiFinD("ths_adjustment_nv_fund",R$3,$A329))</x:f>
        <x:v>#NAME?</x:v>
      </x:c>
      <x:c r="S329" t="e">
        <x:f>IF($A329="","",[1]!thsiFinD("ths_adjustment_nv_fund",S$3,$A329))</x:f>
        <x:v>#NAME?</x:v>
      </x:c>
      <x:c r="T329" t="e">
        <x:f>IF($A329="","",[1]!thsiFinD("ths_adjustment_nv_fund",T$3,$A329))</x:f>
        <x:v>#NAME?</x:v>
      </x:c>
      <x:c r="U329" t="e">
        <x:f>IF($A329="","",[1]!thsiFinD("ths_adjustment_nv_fund",U$3,$A329))</x:f>
        <x:v>#NAME?</x:v>
      </x:c>
      <x:c r="V329" t="e">
        <x:f>IF($A329="","",[1]!thsiFinD("ths_adjustment_nv_fund",V$3,$A329))</x:f>
        <x:v>#NAME?</x:v>
      </x:c>
      <x:c r="W329" t="e">
        <x:f>IF($A329="","",[1]!thsiFinD("ths_adjustment_nv_fund",W$3,$A329))</x:f>
        <x:v>#NAME?</x:v>
      </x:c>
      <x:c r="X329" t="e">
        <x:f>IF($A329="","",[1]!thsiFinD("ths_adjustment_nv_fund",X$3,$A329))</x:f>
        <x:v>#NAME?</x:v>
      </x:c>
      <x:c r="Y329" t="e">
        <x:f>IF($A329="","",[1]!thsiFinD("ths_adjustment_nv_fund",Y$3,$A329))</x:f>
        <x:v>#NAME?</x:v>
      </x:c>
    </x:row>
    <x:row r="330">
      <x:c r="B330" t="e">
        <x:f>IF($A330="","",[1]!thsiFinD("ths_adjustment_nv_fund",B$3,$A330))</x:f>
        <x:v>#NAME?</x:v>
      </x:c>
      <x:c r="C330" t="e">
        <x:f>IF($A330="","",[1]!thsiFinD("ths_adjustment_nv_fund",C$3,$A330))</x:f>
        <x:v>#NAME?</x:v>
      </x:c>
      <x:c r="D330" t="e">
        <x:f>IF($A330="","",[1]!thsiFinD("ths_adjustment_nv_fund",D$3,$A330))</x:f>
        <x:v>#NAME?</x:v>
      </x:c>
      <x:c r="E330" t="e">
        <x:f>IF($A330="","",[1]!thsiFinD("ths_adjustment_nv_fund",E$3,$A330))</x:f>
        <x:v>#NAME?</x:v>
      </x:c>
      <x:c r="F330" t="e">
        <x:f>IF($A330="","",[1]!thsiFinD("ths_adjustment_nv_fund",F$3,$A330))</x:f>
        <x:v>#NAME?</x:v>
      </x:c>
      <x:c r="G330" t="e">
        <x:f>IF($A330="","",[1]!thsiFinD("ths_adjustment_nv_fund",G$3,$A330))</x:f>
        <x:v>#NAME?</x:v>
      </x:c>
      <x:c r="H330" t="e">
        <x:f>IF($A330="","",[1]!thsiFinD("ths_adjustment_nv_fund",H$3,$A330))</x:f>
        <x:v>#NAME?</x:v>
      </x:c>
      <x:c r="I330" t="e">
        <x:f>IF($A330="","",[1]!thsiFinD("ths_adjustment_nv_fund",I$3,$A330))</x:f>
        <x:v>#NAME?</x:v>
      </x:c>
      <x:c r="J330" t="e">
        <x:f>IF($A330="","",[1]!thsiFinD("ths_adjustment_nv_fund",J$3,$A330))</x:f>
        <x:v>#NAME?</x:v>
      </x:c>
      <x:c r="K330" t="e">
        <x:f>IF($A330="","",[1]!thsiFinD("ths_adjustment_nv_fund",K$3,$A330))</x:f>
        <x:v>#NAME?</x:v>
      </x:c>
      <x:c r="L330" t="e">
        <x:f>IF($A330="","",[1]!thsiFinD("ths_adjustment_nv_fund",L$3,$A330))</x:f>
        <x:v>#NAME?</x:v>
      </x:c>
      <x:c r="M330" t="e">
        <x:f>IF($A330="","",[1]!thsiFinD("ths_adjustment_nv_fund",M$3,$A330))</x:f>
        <x:v>#NAME?</x:v>
      </x:c>
      <x:c r="N330" t="e">
        <x:f>IF($A330="","",[1]!thsiFinD("ths_adjustment_nv_fund",N$3,$A330))</x:f>
        <x:v>#NAME?</x:v>
      </x:c>
      <x:c r="O330" t="e">
        <x:f>IF($A330="","",[1]!thsiFinD("ths_adjustment_nv_fund",O$3,$A330))</x:f>
        <x:v>#NAME?</x:v>
      </x:c>
      <x:c r="P330" t="e">
        <x:f>IF($A330="","",[1]!thsiFinD("ths_adjustment_nv_fund",P$3,$A330))</x:f>
        <x:v>#NAME?</x:v>
      </x:c>
      <x:c r="Q330" t="e">
        <x:f>IF($A330="","",[1]!thsiFinD("ths_adjustment_nv_fund",Q$3,$A330))</x:f>
        <x:v>#NAME?</x:v>
      </x:c>
      <x:c r="R330" t="e">
        <x:f>IF($A330="","",[1]!thsiFinD("ths_adjustment_nv_fund",R$3,$A330))</x:f>
        <x:v>#NAME?</x:v>
      </x:c>
      <x:c r="S330" t="e">
        <x:f>IF($A330="","",[1]!thsiFinD("ths_adjustment_nv_fund",S$3,$A330))</x:f>
        <x:v>#NAME?</x:v>
      </x:c>
      <x:c r="T330" t="e">
        <x:f>IF($A330="","",[1]!thsiFinD("ths_adjustment_nv_fund",T$3,$A330))</x:f>
        <x:v>#NAME?</x:v>
      </x:c>
      <x:c r="U330" t="e">
        <x:f>IF($A330="","",[1]!thsiFinD("ths_adjustment_nv_fund",U$3,$A330))</x:f>
        <x:v>#NAME?</x:v>
      </x:c>
      <x:c r="V330" t="e">
        <x:f>IF($A330="","",[1]!thsiFinD("ths_adjustment_nv_fund",V$3,$A330))</x:f>
        <x:v>#NAME?</x:v>
      </x:c>
      <x:c r="W330" t="e">
        <x:f>IF($A330="","",[1]!thsiFinD("ths_adjustment_nv_fund",W$3,$A330))</x:f>
        <x:v>#NAME?</x:v>
      </x:c>
      <x:c r="X330" t="e">
        <x:f>IF($A330="","",[1]!thsiFinD("ths_adjustment_nv_fund",X$3,$A330))</x:f>
        <x:v>#NAME?</x:v>
      </x:c>
      <x:c r="Y330" t="e">
        <x:f>IF($A330="","",[1]!thsiFinD("ths_adjustment_nv_fund",Y$3,$A330))</x:f>
        <x:v>#NAME?</x:v>
      </x:c>
    </x:row>
    <x:row r="331">
      <x:c r="B331" t="e">
        <x:f>IF($A331="","",[1]!thsiFinD("ths_adjustment_nv_fund",B$3,$A331))</x:f>
        <x:v>#NAME?</x:v>
      </x:c>
      <x:c r="C331" t="e">
        <x:f>IF($A331="","",[1]!thsiFinD("ths_adjustment_nv_fund",C$3,$A331))</x:f>
        <x:v>#NAME?</x:v>
      </x:c>
      <x:c r="D331" t="e">
        <x:f>IF($A331="","",[1]!thsiFinD("ths_adjustment_nv_fund",D$3,$A331))</x:f>
        <x:v>#NAME?</x:v>
      </x:c>
      <x:c r="E331" t="e">
        <x:f>IF($A331="","",[1]!thsiFinD("ths_adjustment_nv_fund",E$3,$A331))</x:f>
        <x:v>#NAME?</x:v>
      </x:c>
      <x:c r="F331" t="e">
        <x:f>IF($A331="","",[1]!thsiFinD("ths_adjustment_nv_fund",F$3,$A331))</x:f>
        <x:v>#NAME?</x:v>
      </x:c>
      <x:c r="G331" t="e">
        <x:f>IF($A331="","",[1]!thsiFinD("ths_adjustment_nv_fund",G$3,$A331))</x:f>
        <x:v>#NAME?</x:v>
      </x:c>
      <x:c r="H331" t="e">
        <x:f>IF($A331="","",[1]!thsiFinD("ths_adjustment_nv_fund",H$3,$A331))</x:f>
        <x:v>#NAME?</x:v>
      </x:c>
      <x:c r="I331" t="e">
        <x:f>IF($A331="","",[1]!thsiFinD("ths_adjustment_nv_fund",I$3,$A331))</x:f>
        <x:v>#NAME?</x:v>
      </x:c>
      <x:c r="J331" t="e">
        <x:f>IF($A331="","",[1]!thsiFinD("ths_adjustment_nv_fund",J$3,$A331))</x:f>
        <x:v>#NAME?</x:v>
      </x:c>
      <x:c r="K331" t="e">
        <x:f>IF($A331="","",[1]!thsiFinD("ths_adjustment_nv_fund",K$3,$A331))</x:f>
        <x:v>#NAME?</x:v>
      </x:c>
      <x:c r="L331" t="e">
        <x:f>IF($A331="","",[1]!thsiFinD("ths_adjustment_nv_fund",L$3,$A331))</x:f>
        <x:v>#NAME?</x:v>
      </x:c>
      <x:c r="M331" t="e">
        <x:f>IF($A331="","",[1]!thsiFinD("ths_adjustment_nv_fund",M$3,$A331))</x:f>
        <x:v>#NAME?</x:v>
      </x:c>
      <x:c r="N331" t="e">
        <x:f>IF($A331="","",[1]!thsiFinD("ths_adjustment_nv_fund",N$3,$A331))</x:f>
        <x:v>#NAME?</x:v>
      </x:c>
      <x:c r="O331" t="e">
        <x:f>IF($A331="","",[1]!thsiFinD("ths_adjustment_nv_fund",O$3,$A331))</x:f>
        <x:v>#NAME?</x:v>
      </x:c>
      <x:c r="P331" t="e">
        <x:f>IF($A331="","",[1]!thsiFinD("ths_adjustment_nv_fund",P$3,$A331))</x:f>
        <x:v>#NAME?</x:v>
      </x:c>
      <x:c r="Q331" t="e">
        <x:f>IF($A331="","",[1]!thsiFinD("ths_adjustment_nv_fund",Q$3,$A331))</x:f>
        <x:v>#NAME?</x:v>
      </x:c>
      <x:c r="R331" t="e">
        <x:f>IF($A331="","",[1]!thsiFinD("ths_adjustment_nv_fund",R$3,$A331))</x:f>
        <x:v>#NAME?</x:v>
      </x:c>
      <x:c r="S331" t="e">
        <x:f>IF($A331="","",[1]!thsiFinD("ths_adjustment_nv_fund",S$3,$A331))</x:f>
        <x:v>#NAME?</x:v>
      </x:c>
      <x:c r="T331" t="e">
        <x:f>IF($A331="","",[1]!thsiFinD("ths_adjustment_nv_fund",T$3,$A331))</x:f>
        <x:v>#NAME?</x:v>
      </x:c>
      <x:c r="U331" t="e">
        <x:f>IF($A331="","",[1]!thsiFinD("ths_adjustment_nv_fund",U$3,$A331))</x:f>
        <x:v>#NAME?</x:v>
      </x:c>
      <x:c r="V331" t="e">
        <x:f>IF($A331="","",[1]!thsiFinD("ths_adjustment_nv_fund",V$3,$A331))</x:f>
        <x:v>#NAME?</x:v>
      </x:c>
      <x:c r="W331" t="e">
        <x:f>IF($A331="","",[1]!thsiFinD("ths_adjustment_nv_fund",W$3,$A331))</x:f>
        <x:v>#NAME?</x:v>
      </x:c>
      <x:c r="X331" t="e">
        <x:f>IF($A331="","",[1]!thsiFinD("ths_adjustment_nv_fund",X$3,$A331))</x:f>
        <x:v>#NAME?</x:v>
      </x:c>
      <x:c r="Y331" t="e">
        <x:f>IF($A331="","",[1]!thsiFinD("ths_adjustment_nv_fund",Y$3,$A331))</x:f>
        <x:v>#NAME?</x:v>
      </x:c>
    </x:row>
    <x:row r="332">
      <x:c r="B332" t="e">
        <x:f>IF($A332="","",[1]!thsiFinD("ths_adjustment_nv_fund",B$3,$A332))</x:f>
        <x:v>#NAME?</x:v>
      </x:c>
      <x:c r="C332" t="e">
        <x:f>IF($A332="","",[1]!thsiFinD("ths_adjustment_nv_fund",C$3,$A332))</x:f>
        <x:v>#NAME?</x:v>
      </x:c>
      <x:c r="D332" t="e">
        <x:f>IF($A332="","",[1]!thsiFinD("ths_adjustment_nv_fund",D$3,$A332))</x:f>
        <x:v>#NAME?</x:v>
      </x:c>
      <x:c r="E332" t="e">
        <x:f>IF($A332="","",[1]!thsiFinD("ths_adjustment_nv_fund",E$3,$A332))</x:f>
        <x:v>#NAME?</x:v>
      </x:c>
      <x:c r="F332" t="e">
        <x:f>IF($A332="","",[1]!thsiFinD("ths_adjustment_nv_fund",F$3,$A332))</x:f>
        <x:v>#NAME?</x:v>
      </x:c>
      <x:c r="G332" t="e">
        <x:f>IF($A332="","",[1]!thsiFinD("ths_adjustment_nv_fund",G$3,$A332))</x:f>
        <x:v>#NAME?</x:v>
      </x:c>
      <x:c r="H332" t="e">
        <x:f>IF($A332="","",[1]!thsiFinD("ths_adjustment_nv_fund",H$3,$A332))</x:f>
        <x:v>#NAME?</x:v>
      </x:c>
      <x:c r="I332" t="e">
        <x:f>IF($A332="","",[1]!thsiFinD("ths_adjustment_nv_fund",I$3,$A332))</x:f>
        <x:v>#NAME?</x:v>
      </x:c>
      <x:c r="J332" t="e">
        <x:f>IF($A332="","",[1]!thsiFinD("ths_adjustment_nv_fund",J$3,$A332))</x:f>
        <x:v>#NAME?</x:v>
      </x:c>
      <x:c r="K332" t="e">
        <x:f>IF($A332="","",[1]!thsiFinD("ths_adjustment_nv_fund",K$3,$A332))</x:f>
        <x:v>#NAME?</x:v>
      </x:c>
      <x:c r="L332" t="e">
        <x:f>IF($A332="","",[1]!thsiFinD("ths_adjustment_nv_fund",L$3,$A332))</x:f>
        <x:v>#NAME?</x:v>
      </x:c>
      <x:c r="M332" t="e">
        <x:f>IF($A332="","",[1]!thsiFinD("ths_adjustment_nv_fund",M$3,$A332))</x:f>
        <x:v>#NAME?</x:v>
      </x:c>
      <x:c r="N332" t="e">
        <x:f>IF($A332="","",[1]!thsiFinD("ths_adjustment_nv_fund",N$3,$A332))</x:f>
        <x:v>#NAME?</x:v>
      </x:c>
      <x:c r="O332" t="e">
        <x:f>IF($A332="","",[1]!thsiFinD("ths_adjustment_nv_fund",O$3,$A332))</x:f>
        <x:v>#NAME?</x:v>
      </x:c>
      <x:c r="P332" t="e">
        <x:f>IF($A332="","",[1]!thsiFinD("ths_adjustment_nv_fund",P$3,$A332))</x:f>
        <x:v>#NAME?</x:v>
      </x:c>
      <x:c r="Q332" t="e">
        <x:f>IF($A332="","",[1]!thsiFinD("ths_adjustment_nv_fund",Q$3,$A332))</x:f>
        <x:v>#NAME?</x:v>
      </x:c>
      <x:c r="R332" t="e">
        <x:f>IF($A332="","",[1]!thsiFinD("ths_adjustment_nv_fund",R$3,$A332))</x:f>
        <x:v>#NAME?</x:v>
      </x:c>
      <x:c r="S332" t="e">
        <x:f>IF($A332="","",[1]!thsiFinD("ths_adjustment_nv_fund",S$3,$A332))</x:f>
        <x:v>#NAME?</x:v>
      </x:c>
      <x:c r="T332" t="e">
        <x:f>IF($A332="","",[1]!thsiFinD("ths_adjustment_nv_fund",T$3,$A332))</x:f>
        <x:v>#NAME?</x:v>
      </x:c>
      <x:c r="U332" t="e">
        <x:f>IF($A332="","",[1]!thsiFinD("ths_adjustment_nv_fund",U$3,$A332))</x:f>
        <x:v>#NAME?</x:v>
      </x:c>
      <x:c r="V332" t="e">
        <x:f>IF($A332="","",[1]!thsiFinD("ths_adjustment_nv_fund",V$3,$A332))</x:f>
        <x:v>#NAME?</x:v>
      </x:c>
      <x:c r="W332" t="e">
        <x:f>IF($A332="","",[1]!thsiFinD("ths_adjustment_nv_fund",W$3,$A332))</x:f>
        <x:v>#NAME?</x:v>
      </x:c>
      <x:c r="X332" t="e">
        <x:f>IF($A332="","",[1]!thsiFinD("ths_adjustment_nv_fund",X$3,$A332))</x:f>
        <x:v>#NAME?</x:v>
      </x:c>
      <x:c r="Y332" t="e">
        <x:f>IF($A332="","",[1]!thsiFinD("ths_adjustment_nv_fund",Y$3,$A332))</x:f>
        <x:v>#NAME?</x:v>
      </x:c>
    </x:row>
    <x:row r="333">
      <x:c r="B333" t="e">
        <x:f>IF($A333="","",[1]!thsiFinD("ths_adjustment_nv_fund",B$3,$A333))</x:f>
        <x:v>#NAME?</x:v>
      </x:c>
      <x:c r="C333" t="e">
        <x:f>IF($A333="","",[1]!thsiFinD("ths_adjustment_nv_fund",C$3,$A333))</x:f>
        <x:v>#NAME?</x:v>
      </x:c>
      <x:c r="D333" t="e">
        <x:f>IF($A333="","",[1]!thsiFinD("ths_adjustment_nv_fund",D$3,$A333))</x:f>
        <x:v>#NAME?</x:v>
      </x:c>
      <x:c r="E333" t="e">
        <x:f>IF($A333="","",[1]!thsiFinD("ths_adjustment_nv_fund",E$3,$A333))</x:f>
        <x:v>#NAME?</x:v>
      </x:c>
      <x:c r="F333" t="e">
        <x:f>IF($A333="","",[1]!thsiFinD("ths_adjustment_nv_fund",F$3,$A333))</x:f>
        <x:v>#NAME?</x:v>
      </x:c>
      <x:c r="G333" t="e">
        <x:f>IF($A333="","",[1]!thsiFinD("ths_adjustment_nv_fund",G$3,$A333))</x:f>
        <x:v>#NAME?</x:v>
      </x:c>
      <x:c r="H333" t="e">
        <x:f>IF($A333="","",[1]!thsiFinD("ths_adjustment_nv_fund",H$3,$A333))</x:f>
        <x:v>#NAME?</x:v>
      </x:c>
      <x:c r="I333" t="e">
        <x:f>IF($A333="","",[1]!thsiFinD("ths_adjustment_nv_fund",I$3,$A333))</x:f>
        <x:v>#NAME?</x:v>
      </x:c>
      <x:c r="J333" t="e">
        <x:f>IF($A333="","",[1]!thsiFinD("ths_adjustment_nv_fund",J$3,$A333))</x:f>
        <x:v>#NAME?</x:v>
      </x:c>
      <x:c r="K333" t="e">
        <x:f>IF($A333="","",[1]!thsiFinD("ths_adjustment_nv_fund",K$3,$A333))</x:f>
        <x:v>#NAME?</x:v>
      </x:c>
      <x:c r="L333" t="e">
        <x:f>IF($A333="","",[1]!thsiFinD("ths_adjustment_nv_fund",L$3,$A333))</x:f>
        <x:v>#NAME?</x:v>
      </x:c>
      <x:c r="M333" t="e">
        <x:f>IF($A333="","",[1]!thsiFinD("ths_adjustment_nv_fund",M$3,$A333))</x:f>
        <x:v>#NAME?</x:v>
      </x:c>
      <x:c r="N333" t="e">
        <x:f>IF($A333="","",[1]!thsiFinD("ths_adjustment_nv_fund",N$3,$A333))</x:f>
        <x:v>#NAME?</x:v>
      </x:c>
      <x:c r="O333" t="e">
        <x:f>IF($A333="","",[1]!thsiFinD("ths_adjustment_nv_fund",O$3,$A333))</x:f>
        <x:v>#NAME?</x:v>
      </x:c>
      <x:c r="P333" t="e">
        <x:f>IF($A333="","",[1]!thsiFinD("ths_adjustment_nv_fund",P$3,$A333))</x:f>
        <x:v>#NAME?</x:v>
      </x:c>
      <x:c r="Q333" t="e">
        <x:f>IF($A333="","",[1]!thsiFinD("ths_adjustment_nv_fund",Q$3,$A333))</x:f>
        <x:v>#NAME?</x:v>
      </x:c>
      <x:c r="R333" t="e">
        <x:f>IF($A333="","",[1]!thsiFinD("ths_adjustment_nv_fund",R$3,$A333))</x:f>
        <x:v>#NAME?</x:v>
      </x:c>
      <x:c r="S333" t="e">
        <x:f>IF($A333="","",[1]!thsiFinD("ths_adjustment_nv_fund",S$3,$A333))</x:f>
        <x:v>#NAME?</x:v>
      </x:c>
      <x:c r="T333" t="e">
        <x:f>IF($A333="","",[1]!thsiFinD("ths_adjustment_nv_fund",T$3,$A333))</x:f>
        <x:v>#NAME?</x:v>
      </x:c>
      <x:c r="U333" t="e">
        <x:f>IF($A333="","",[1]!thsiFinD("ths_adjustment_nv_fund",U$3,$A333))</x:f>
        <x:v>#NAME?</x:v>
      </x:c>
      <x:c r="V333" t="e">
        <x:f>IF($A333="","",[1]!thsiFinD("ths_adjustment_nv_fund",V$3,$A333))</x:f>
        <x:v>#NAME?</x:v>
      </x:c>
      <x:c r="W333" t="e">
        <x:f>IF($A333="","",[1]!thsiFinD("ths_adjustment_nv_fund",W$3,$A333))</x:f>
        <x:v>#NAME?</x:v>
      </x:c>
      <x:c r="X333" t="e">
        <x:f>IF($A333="","",[1]!thsiFinD("ths_adjustment_nv_fund",X$3,$A333))</x:f>
        <x:v>#NAME?</x:v>
      </x:c>
      <x:c r="Y333" t="e">
        <x:f>IF($A333="","",[1]!thsiFinD("ths_adjustment_nv_fund",Y$3,$A333))</x:f>
        <x:v>#NAME?</x:v>
      </x:c>
    </x:row>
    <x:row r="334">
      <x:c r="B334" t="e">
        <x:f>IF($A334="","",[1]!thsiFinD("ths_adjustment_nv_fund",B$3,$A334))</x:f>
        <x:v>#NAME?</x:v>
      </x:c>
      <x:c r="C334" t="e">
        <x:f>IF($A334="","",[1]!thsiFinD("ths_adjustment_nv_fund",C$3,$A334))</x:f>
        <x:v>#NAME?</x:v>
      </x:c>
      <x:c r="D334" t="e">
        <x:f>IF($A334="","",[1]!thsiFinD("ths_adjustment_nv_fund",D$3,$A334))</x:f>
        <x:v>#NAME?</x:v>
      </x:c>
      <x:c r="E334" t="e">
        <x:f>IF($A334="","",[1]!thsiFinD("ths_adjustment_nv_fund",E$3,$A334))</x:f>
        <x:v>#NAME?</x:v>
      </x:c>
      <x:c r="F334" t="e">
        <x:f>IF($A334="","",[1]!thsiFinD("ths_adjustment_nv_fund",F$3,$A334))</x:f>
        <x:v>#NAME?</x:v>
      </x:c>
      <x:c r="G334" t="e">
        <x:f>IF($A334="","",[1]!thsiFinD("ths_adjustment_nv_fund",G$3,$A334))</x:f>
        <x:v>#NAME?</x:v>
      </x:c>
      <x:c r="H334" t="e">
        <x:f>IF($A334="","",[1]!thsiFinD("ths_adjustment_nv_fund",H$3,$A334))</x:f>
        <x:v>#NAME?</x:v>
      </x:c>
      <x:c r="I334" t="e">
        <x:f>IF($A334="","",[1]!thsiFinD("ths_adjustment_nv_fund",I$3,$A334))</x:f>
        <x:v>#NAME?</x:v>
      </x:c>
      <x:c r="J334" t="e">
        <x:f>IF($A334="","",[1]!thsiFinD("ths_adjustment_nv_fund",J$3,$A334))</x:f>
        <x:v>#NAME?</x:v>
      </x:c>
      <x:c r="K334" t="e">
        <x:f>IF($A334="","",[1]!thsiFinD("ths_adjustment_nv_fund",K$3,$A334))</x:f>
        <x:v>#NAME?</x:v>
      </x:c>
      <x:c r="L334" t="e">
        <x:f>IF($A334="","",[1]!thsiFinD("ths_adjustment_nv_fund",L$3,$A334))</x:f>
        <x:v>#NAME?</x:v>
      </x:c>
      <x:c r="M334" t="e">
        <x:f>IF($A334="","",[1]!thsiFinD("ths_adjustment_nv_fund",M$3,$A334))</x:f>
        <x:v>#NAME?</x:v>
      </x:c>
      <x:c r="N334" t="e">
        <x:f>IF($A334="","",[1]!thsiFinD("ths_adjustment_nv_fund",N$3,$A334))</x:f>
        <x:v>#NAME?</x:v>
      </x:c>
      <x:c r="O334" t="e">
        <x:f>IF($A334="","",[1]!thsiFinD("ths_adjustment_nv_fund",O$3,$A334))</x:f>
        <x:v>#NAME?</x:v>
      </x:c>
      <x:c r="P334" t="e">
        <x:f>IF($A334="","",[1]!thsiFinD("ths_adjustment_nv_fund",P$3,$A334))</x:f>
        <x:v>#NAME?</x:v>
      </x:c>
      <x:c r="Q334" t="e">
        <x:f>IF($A334="","",[1]!thsiFinD("ths_adjustment_nv_fund",Q$3,$A334))</x:f>
        <x:v>#NAME?</x:v>
      </x:c>
      <x:c r="R334" t="e">
        <x:f>IF($A334="","",[1]!thsiFinD("ths_adjustment_nv_fund",R$3,$A334))</x:f>
        <x:v>#NAME?</x:v>
      </x:c>
      <x:c r="S334" t="e">
        <x:f>IF($A334="","",[1]!thsiFinD("ths_adjustment_nv_fund",S$3,$A334))</x:f>
        <x:v>#NAME?</x:v>
      </x:c>
      <x:c r="T334" t="e">
        <x:f>IF($A334="","",[1]!thsiFinD("ths_adjustment_nv_fund",T$3,$A334))</x:f>
        <x:v>#NAME?</x:v>
      </x:c>
      <x:c r="U334" t="e">
        <x:f>IF($A334="","",[1]!thsiFinD("ths_adjustment_nv_fund",U$3,$A334))</x:f>
        <x:v>#NAME?</x:v>
      </x:c>
      <x:c r="V334" t="e">
        <x:f>IF($A334="","",[1]!thsiFinD("ths_adjustment_nv_fund",V$3,$A334))</x:f>
        <x:v>#NAME?</x:v>
      </x:c>
      <x:c r="W334" t="e">
        <x:f>IF($A334="","",[1]!thsiFinD("ths_adjustment_nv_fund",W$3,$A334))</x:f>
        <x:v>#NAME?</x:v>
      </x:c>
      <x:c r="X334" t="e">
        <x:f>IF($A334="","",[1]!thsiFinD("ths_adjustment_nv_fund",X$3,$A334))</x:f>
        <x:v>#NAME?</x:v>
      </x:c>
      <x:c r="Y334" t="e">
        <x:f>IF($A334="","",[1]!thsiFinD("ths_adjustment_nv_fund",Y$3,$A334))</x:f>
        <x:v>#NAME?</x:v>
      </x:c>
    </x:row>
    <x:row r="335">
      <x:c r="B335" t="e">
        <x:f>IF($A335="","",[1]!thsiFinD("ths_adjustment_nv_fund",B$3,$A335))</x:f>
        <x:v>#NAME?</x:v>
      </x:c>
      <x:c r="C335" t="e">
        <x:f>IF($A335="","",[1]!thsiFinD("ths_adjustment_nv_fund",C$3,$A335))</x:f>
        <x:v>#NAME?</x:v>
      </x:c>
      <x:c r="D335" t="e">
        <x:f>IF($A335="","",[1]!thsiFinD("ths_adjustment_nv_fund",D$3,$A335))</x:f>
        <x:v>#NAME?</x:v>
      </x:c>
      <x:c r="E335" t="e">
        <x:f>IF($A335="","",[1]!thsiFinD("ths_adjustment_nv_fund",E$3,$A335))</x:f>
        <x:v>#NAME?</x:v>
      </x:c>
      <x:c r="F335" t="e">
        <x:f>IF($A335="","",[1]!thsiFinD("ths_adjustment_nv_fund",F$3,$A335))</x:f>
        <x:v>#NAME?</x:v>
      </x:c>
      <x:c r="G335" t="e">
        <x:f>IF($A335="","",[1]!thsiFinD("ths_adjustment_nv_fund",G$3,$A335))</x:f>
        <x:v>#NAME?</x:v>
      </x:c>
      <x:c r="H335" t="e">
        <x:f>IF($A335="","",[1]!thsiFinD("ths_adjustment_nv_fund",H$3,$A335))</x:f>
        <x:v>#NAME?</x:v>
      </x:c>
      <x:c r="I335" t="e">
        <x:f>IF($A335="","",[1]!thsiFinD("ths_adjustment_nv_fund",I$3,$A335))</x:f>
        <x:v>#NAME?</x:v>
      </x:c>
      <x:c r="J335" t="e">
        <x:f>IF($A335="","",[1]!thsiFinD("ths_adjustment_nv_fund",J$3,$A335))</x:f>
        <x:v>#NAME?</x:v>
      </x:c>
      <x:c r="K335" t="e">
        <x:f>IF($A335="","",[1]!thsiFinD("ths_adjustment_nv_fund",K$3,$A335))</x:f>
        <x:v>#NAME?</x:v>
      </x:c>
      <x:c r="L335" t="e">
        <x:f>IF($A335="","",[1]!thsiFinD("ths_adjustment_nv_fund",L$3,$A335))</x:f>
        <x:v>#NAME?</x:v>
      </x:c>
      <x:c r="M335" t="e">
        <x:f>IF($A335="","",[1]!thsiFinD("ths_adjustment_nv_fund",M$3,$A335))</x:f>
        <x:v>#NAME?</x:v>
      </x:c>
      <x:c r="N335" t="e">
        <x:f>IF($A335="","",[1]!thsiFinD("ths_adjustment_nv_fund",N$3,$A335))</x:f>
        <x:v>#NAME?</x:v>
      </x:c>
      <x:c r="O335" t="e">
        <x:f>IF($A335="","",[1]!thsiFinD("ths_adjustment_nv_fund",O$3,$A335))</x:f>
        <x:v>#NAME?</x:v>
      </x:c>
      <x:c r="P335" t="e">
        <x:f>IF($A335="","",[1]!thsiFinD("ths_adjustment_nv_fund",P$3,$A335))</x:f>
        <x:v>#NAME?</x:v>
      </x:c>
      <x:c r="Q335" t="e">
        <x:f>IF($A335="","",[1]!thsiFinD("ths_adjustment_nv_fund",Q$3,$A335))</x:f>
        <x:v>#NAME?</x:v>
      </x:c>
      <x:c r="R335" t="e">
        <x:f>IF($A335="","",[1]!thsiFinD("ths_adjustment_nv_fund",R$3,$A335))</x:f>
        <x:v>#NAME?</x:v>
      </x:c>
      <x:c r="S335" t="e">
        <x:f>IF($A335="","",[1]!thsiFinD("ths_adjustment_nv_fund",S$3,$A335))</x:f>
        <x:v>#NAME?</x:v>
      </x:c>
      <x:c r="T335" t="e">
        <x:f>IF($A335="","",[1]!thsiFinD("ths_adjustment_nv_fund",T$3,$A335))</x:f>
        <x:v>#NAME?</x:v>
      </x:c>
      <x:c r="U335" t="e">
        <x:f>IF($A335="","",[1]!thsiFinD("ths_adjustment_nv_fund",U$3,$A335))</x:f>
        <x:v>#NAME?</x:v>
      </x:c>
      <x:c r="V335" t="e">
        <x:f>IF($A335="","",[1]!thsiFinD("ths_adjustment_nv_fund",V$3,$A335))</x:f>
        <x:v>#NAME?</x:v>
      </x:c>
      <x:c r="W335" t="e">
        <x:f>IF($A335="","",[1]!thsiFinD("ths_adjustment_nv_fund",W$3,$A335))</x:f>
        <x:v>#NAME?</x:v>
      </x:c>
      <x:c r="X335" t="e">
        <x:f>IF($A335="","",[1]!thsiFinD("ths_adjustment_nv_fund",X$3,$A335))</x:f>
        <x:v>#NAME?</x:v>
      </x:c>
      <x:c r="Y335" t="e">
        <x:f>IF($A335="","",[1]!thsiFinD("ths_adjustment_nv_fund",Y$3,$A335))</x:f>
        <x:v>#NAME?</x:v>
      </x:c>
    </x:row>
    <x:row r="336">
      <x:c r="B336" t="e">
        <x:f>IF($A336="","",[1]!thsiFinD("ths_adjustment_nv_fund",B$3,$A336))</x:f>
        <x:v>#NAME?</x:v>
      </x:c>
      <x:c r="C336" t="e">
        <x:f>IF($A336="","",[1]!thsiFinD("ths_adjustment_nv_fund",C$3,$A336))</x:f>
        <x:v>#NAME?</x:v>
      </x:c>
      <x:c r="D336" t="e">
        <x:f>IF($A336="","",[1]!thsiFinD("ths_adjustment_nv_fund",D$3,$A336))</x:f>
        <x:v>#NAME?</x:v>
      </x:c>
      <x:c r="E336" t="e">
        <x:f>IF($A336="","",[1]!thsiFinD("ths_adjustment_nv_fund",E$3,$A336))</x:f>
        <x:v>#NAME?</x:v>
      </x:c>
      <x:c r="F336" t="e">
        <x:f>IF($A336="","",[1]!thsiFinD("ths_adjustment_nv_fund",F$3,$A336))</x:f>
        <x:v>#NAME?</x:v>
      </x:c>
      <x:c r="G336" t="e">
        <x:f>IF($A336="","",[1]!thsiFinD("ths_adjustment_nv_fund",G$3,$A336))</x:f>
        <x:v>#NAME?</x:v>
      </x:c>
      <x:c r="H336" t="e">
        <x:f>IF($A336="","",[1]!thsiFinD("ths_adjustment_nv_fund",H$3,$A336))</x:f>
        <x:v>#NAME?</x:v>
      </x:c>
      <x:c r="I336" t="e">
        <x:f>IF($A336="","",[1]!thsiFinD("ths_adjustment_nv_fund",I$3,$A336))</x:f>
        <x:v>#NAME?</x:v>
      </x:c>
      <x:c r="J336" t="e">
        <x:f>IF($A336="","",[1]!thsiFinD("ths_adjustment_nv_fund",J$3,$A336))</x:f>
        <x:v>#NAME?</x:v>
      </x:c>
      <x:c r="K336" t="e">
        <x:f>IF($A336="","",[1]!thsiFinD("ths_adjustment_nv_fund",K$3,$A336))</x:f>
        <x:v>#NAME?</x:v>
      </x:c>
      <x:c r="L336" t="e">
        <x:f>IF($A336="","",[1]!thsiFinD("ths_adjustment_nv_fund",L$3,$A336))</x:f>
        <x:v>#NAME?</x:v>
      </x:c>
      <x:c r="M336" t="e">
        <x:f>IF($A336="","",[1]!thsiFinD("ths_adjustment_nv_fund",M$3,$A336))</x:f>
        <x:v>#NAME?</x:v>
      </x:c>
      <x:c r="N336" t="e">
        <x:f>IF($A336="","",[1]!thsiFinD("ths_adjustment_nv_fund",N$3,$A336))</x:f>
        <x:v>#NAME?</x:v>
      </x:c>
      <x:c r="O336" t="e">
        <x:f>IF($A336="","",[1]!thsiFinD("ths_adjustment_nv_fund",O$3,$A336))</x:f>
        <x:v>#NAME?</x:v>
      </x:c>
      <x:c r="P336" t="e">
        <x:f>IF($A336="","",[1]!thsiFinD("ths_adjustment_nv_fund",P$3,$A336))</x:f>
        <x:v>#NAME?</x:v>
      </x:c>
      <x:c r="Q336" t="e">
        <x:f>IF($A336="","",[1]!thsiFinD("ths_adjustment_nv_fund",Q$3,$A336))</x:f>
        <x:v>#NAME?</x:v>
      </x:c>
      <x:c r="R336" t="e">
        <x:f>IF($A336="","",[1]!thsiFinD("ths_adjustment_nv_fund",R$3,$A336))</x:f>
        <x:v>#NAME?</x:v>
      </x:c>
      <x:c r="S336" t="e">
        <x:f>IF($A336="","",[1]!thsiFinD("ths_adjustment_nv_fund",S$3,$A336))</x:f>
        <x:v>#NAME?</x:v>
      </x:c>
      <x:c r="T336" t="e">
        <x:f>IF($A336="","",[1]!thsiFinD("ths_adjustment_nv_fund",T$3,$A336))</x:f>
        <x:v>#NAME?</x:v>
      </x:c>
      <x:c r="U336" t="e">
        <x:f>IF($A336="","",[1]!thsiFinD("ths_adjustment_nv_fund",U$3,$A336))</x:f>
        <x:v>#NAME?</x:v>
      </x:c>
      <x:c r="V336" t="e">
        <x:f>IF($A336="","",[1]!thsiFinD("ths_adjustment_nv_fund",V$3,$A336))</x:f>
        <x:v>#NAME?</x:v>
      </x:c>
      <x:c r="W336" t="e">
        <x:f>IF($A336="","",[1]!thsiFinD("ths_adjustment_nv_fund",W$3,$A336))</x:f>
        <x:v>#NAME?</x:v>
      </x:c>
      <x:c r="X336" t="e">
        <x:f>IF($A336="","",[1]!thsiFinD("ths_adjustment_nv_fund",X$3,$A336))</x:f>
        <x:v>#NAME?</x:v>
      </x:c>
      <x:c r="Y336" t="e">
        <x:f>IF($A336="","",[1]!thsiFinD("ths_adjustment_nv_fund",Y$3,$A336))</x:f>
        <x:v>#NAME?</x:v>
      </x:c>
    </x:row>
    <x:row r="337">
      <x:c r="B337" t="e">
        <x:f>IF($A337="","",[1]!thsiFinD("ths_adjustment_nv_fund",B$3,$A337))</x:f>
        <x:v>#NAME?</x:v>
      </x:c>
      <x:c r="C337" t="e">
        <x:f>IF($A337="","",[1]!thsiFinD("ths_adjustment_nv_fund",C$3,$A337))</x:f>
        <x:v>#NAME?</x:v>
      </x:c>
      <x:c r="D337" t="e">
        <x:f>IF($A337="","",[1]!thsiFinD("ths_adjustment_nv_fund",D$3,$A337))</x:f>
        <x:v>#NAME?</x:v>
      </x:c>
      <x:c r="E337" t="e">
        <x:f>IF($A337="","",[1]!thsiFinD("ths_adjustment_nv_fund",E$3,$A337))</x:f>
        <x:v>#NAME?</x:v>
      </x:c>
      <x:c r="F337" t="e">
        <x:f>IF($A337="","",[1]!thsiFinD("ths_adjustment_nv_fund",F$3,$A337))</x:f>
        <x:v>#NAME?</x:v>
      </x:c>
      <x:c r="G337" t="e">
        <x:f>IF($A337="","",[1]!thsiFinD("ths_adjustment_nv_fund",G$3,$A337))</x:f>
        <x:v>#NAME?</x:v>
      </x:c>
      <x:c r="H337" t="e">
        <x:f>IF($A337="","",[1]!thsiFinD("ths_adjustment_nv_fund",H$3,$A337))</x:f>
        <x:v>#NAME?</x:v>
      </x:c>
      <x:c r="I337" t="e">
        <x:f>IF($A337="","",[1]!thsiFinD("ths_adjustment_nv_fund",I$3,$A337))</x:f>
        <x:v>#NAME?</x:v>
      </x:c>
      <x:c r="J337" t="e">
        <x:f>IF($A337="","",[1]!thsiFinD("ths_adjustment_nv_fund",J$3,$A337))</x:f>
        <x:v>#NAME?</x:v>
      </x:c>
      <x:c r="K337" t="e">
        <x:f>IF($A337="","",[1]!thsiFinD("ths_adjustment_nv_fund",K$3,$A337))</x:f>
        <x:v>#NAME?</x:v>
      </x:c>
      <x:c r="L337" t="e">
        <x:f>IF($A337="","",[1]!thsiFinD("ths_adjustment_nv_fund",L$3,$A337))</x:f>
        <x:v>#NAME?</x:v>
      </x:c>
      <x:c r="M337" t="e">
        <x:f>IF($A337="","",[1]!thsiFinD("ths_adjustment_nv_fund",M$3,$A337))</x:f>
        <x:v>#NAME?</x:v>
      </x:c>
      <x:c r="N337" t="e">
        <x:f>IF($A337="","",[1]!thsiFinD("ths_adjustment_nv_fund",N$3,$A337))</x:f>
        <x:v>#NAME?</x:v>
      </x:c>
      <x:c r="O337" t="e">
        <x:f>IF($A337="","",[1]!thsiFinD("ths_adjustment_nv_fund",O$3,$A337))</x:f>
        <x:v>#NAME?</x:v>
      </x:c>
      <x:c r="P337" t="e">
        <x:f>IF($A337="","",[1]!thsiFinD("ths_adjustment_nv_fund",P$3,$A337))</x:f>
        <x:v>#NAME?</x:v>
      </x:c>
      <x:c r="Q337" t="e">
        <x:f>IF($A337="","",[1]!thsiFinD("ths_adjustment_nv_fund",Q$3,$A337))</x:f>
        <x:v>#NAME?</x:v>
      </x:c>
      <x:c r="R337" t="e">
        <x:f>IF($A337="","",[1]!thsiFinD("ths_adjustment_nv_fund",R$3,$A337))</x:f>
        <x:v>#NAME?</x:v>
      </x:c>
      <x:c r="S337" t="e">
        <x:f>IF($A337="","",[1]!thsiFinD("ths_adjustment_nv_fund",S$3,$A337))</x:f>
        <x:v>#NAME?</x:v>
      </x:c>
      <x:c r="T337" t="e">
        <x:f>IF($A337="","",[1]!thsiFinD("ths_adjustment_nv_fund",T$3,$A337))</x:f>
        <x:v>#NAME?</x:v>
      </x:c>
      <x:c r="U337" t="e">
        <x:f>IF($A337="","",[1]!thsiFinD("ths_adjustment_nv_fund",U$3,$A337))</x:f>
        <x:v>#NAME?</x:v>
      </x:c>
      <x:c r="V337" t="e">
        <x:f>IF($A337="","",[1]!thsiFinD("ths_adjustment_nv_fund",V$3,$A337))</x:f>
        <x:v>#NAME?</x:v>
      </x:c>
      <x:c r="W337" t="e">
        <x:f>IF($A337="","",[1]!thsiFinD("ths_adjustment_nv_fund",W$3,$A337))</x:f>
        <x:v>#NAME?</x:v>
      </x:c>
      <x:c r="X337" t="e">
        <x:f>IF($A337="","",[1]!thsiFinD("ths_adjustment_nv_fund",X$3,$A337))</x:f>
        <x:v>#NAME?</x:v>
      </x:c>
      <x:c r="Y337" t="e">
        <x:f>IF($A337="","",[1]!thsiFinD("ths_adjustment_nv_fund",Y$3,$A337))</x:f>
        <x:v>#NAME?</x:v>
      </x:c>
    </x:row>
    <x:row r="338">
      <x:c r="B338" t="e">
        <x:f>IF($A338="","",[1]!thsiFinD("ths_adjustment_nv_fund",B$3,$A338))</x:f>
        <x:v>#NAME?</x:v>
      </x:c>
      <x:c r="C338" t="e">
        <x:f>IF($A338="","",[1]!thsiFinD("ths_adjustment_nv_fund",C$3,$A338))</x:f>
        <x:v>#NAME?</x:v>
      </x:c>
      <x:c r="D338" t="e">
        <x:f>IF($A338="","",[1]!thsiFinD("ths_adjustment_nv_fund",D$3,$A338))</x:f>
        <x:v>#NAME?</x:v>
      </x:c>
      <x:c r="E338" t="e">
        <x:f>IF($A338="","",[1]!thsiFinD("ths_adjustment_nv_fund",E$3,$A338))</x:f>
        <x:v>#NAME?</x:v>
      </x:c>
      <x:c r="F338" t="e">
        <x:f>IF($A338="","",[1]!thsiFinD("ths_adjustment_nv_fund",F$3,$A338))</x:f>
        <x:v>#NAME?</x:v>
      </x:c>
      <x:c r="G338" t="e">
        <x:f>IF($A338="","",[1]!thsiFinD("ths_adjustment_nv_fund",G$3,$A338))</x:f>
        <x:v>#NAME?</x:v>
      </x:c>
      <x:c r="H338" t="e">
        <x:f>IF($A338="","",[1]!thsiFinD("ths_adjustment_nv_fund",H$3,$A338))</x:f>
        <x:v>#NAME?</x:v>
      </x:c>
      <x:c r="I338" t="e">
        <x:f>IF($A338="","",[1]!thsiFinD("ths_adjustment_nv_fund",I$3,$A338))</x:f>
        <x:v>#NAME?</x:v>
      </x:c>
      <x:c r="J338" t="e">
        <x:f>IF($A338="","",[1]!thsiFinD("ths_adjustment_nv_fund",J$3,$A338))</x:f>
        <x:v>#NAME?</x:v>
      </x:c>
      <x:c r="K338" t="e">
        <x:f>IF($A338="","",[1]!thsiFinD("ths_adjustment_nv_fund",K$3,$A338))</x:f>
        <x:v>#NAME?</x:v>
      </x:c>
      <x:c r="L338" t="e">
        <x:f>IF($A338="","",[1]!thsiFinD("ths_adjustment_nv_fund",L$3,$A338))</x:f>
        <x:v>#NAME?</x:v>
      </x:c>
      <x:c r="M338" t="e">
        <x:f>IF($A338="","",[1]!thsiFinD("ths_adjustment_nv_fund",M$3,$A338))</x:f>
        <x:v>#NAME?</x:v>
      </x:c>
      <x:c r="N338" t="e">
        <x:f>IF($A338="","",[1]!thsiFinD("ths_adjustment_nv_fund",N$3,$A338))</x:f>
        <x:v>#NAME?</x:v>
      </x:c>
      <x:c r="O338" t="e">
        <x:f>IF($A338="","",[1]!thsiFinD("ths_adjustment_nv_fund",O$3,$A338))</x:f>
        <x:v>#NAME?</x:v>
      </x:c>
      <x:c r="P338" t="e">
        <x:f>IF($A338="","",[1]!thsiFinD("ths_adjustment_nv_fund",P$3,$A338))</x:f>
        <x:v>#NAME?</x:v>
      </x:c>
      <x:c r="Q338" t="e">
        <x:f>IF($A338="","",[1]!thsiFinD("ths_adjustment_nv_fund",Q$3,$A338))</x:f>
        <x:v>#NAME?</x:v>
      </x:c>
      <x:c r="R338" t="e">
        <x:f>IF($A338="","",[1]!thsiFinD("ths_adjustment_nv_fund",R$3,$A338))</x:f>
        <x:v>#NAME?</x:v>
      </x:c>
      <x:c r="S338" t="e">
        <x:f>IF($A338="","",[1]!thsiFinD("ths_adjustment_nv_fund",S$3,$A338))</x:f>
        <x:v>#NAME?</x:v>
      </x:c>
      <x:c r="T338" t="e">
        <x:f>IF($A338="","",[1]!thsiFinD("ths_adjustment_nv_fund",T$3,$A338))</x:f>
        <x:v>#NAME?</x:v>
      </x:c>
      <x:c r="U338" t="e">
        <x:f>IF($A338="","",[1]!thsiFinD("ths_adjustment_nv_fund",U$3,$A338))</x:f>
        <x:v>#NAME?</x:v>
      </x:c>
      <x:c r="V338" t="e">
        <x:f>IF($A338="","",[1]!thsiFinD("ths_adjustment_nv_fund",V$3,$A338))</x:f>
        <x:v>#NAME?</x:v>
      </x:c>
      <x:c r="W338" t="e">
        <x:f>IF($A338="","",[1]!thsiFinD("ths_adjustment_nv_fund",W$3,$A338))</x:f>
        <x:v>#NAME?</x:v>
      </x:c>
      <x:c r="X338" t="e">
        <x:f>IF($A338="","",[1]!thsiFinD("ths_adjustment_nv_fund",X$3,$A338))</x:f>
        <x:v>#NAME?</x:v>
      </x:c>
      <x:c r="Y338" t="e">
        <x:f>IF($A338="","",[1]!thsiFinD("ths_adjustment_nv_fund",Y$3,$A338))</x:f>
        <x:v>#NAME?</x:v>
      </x:c>
    </x:row>
    <x:row r="339">
      <x:c r="B339" t="e">
        <x:f>IF($A339="","",[1]!thsiFinD("ths_adjustment_nv_fund",B$3,$A339))</x:f>
        <x:v>#NAME?</x:v>
      </x:c>
      <x:c r="C339" t="e">
        <x:f>IF($A339="","",[1]!thsiFinD("ths_adjustment_nv_fund",C$3,$A339))</x:f>
        <x:v>#NAME?</x:v>
      </x:c>
      <x:c r="D339" t="e">
        <x:f>IF($A339="","",[1]!thsiFinD("ths_adjustment_nv_fund",D$3,$A339))</x:f>
        <x:v>#NAME?</x:v>
      </x:c>
      <x:c r="E339" t="e">
        <x:f>IF($A339="","",[1]!thsiFinD("ths_adjustment_nv_fund",E$3,$A339))</x:f>
        <x:v>#NAME?</x:v>
      </x:c>
      <x:c r="F339" t="e">
        <x:f>IF($A339="","",[1]!thsiFinD("ths_adjustment_nv_fund",F$3,$A339))</x:f>
        <x:v>#NAME?</x:v>
      </x:c>
      <x:c r="G339" t="e">
        <x:f>IF($A339="","",[1]!thsiFinD("ths_adjustment_nv_fund",G$3,$A339))</x:f>
        <x:v>#NAME?</x:v>
      </x:c>
      <x:c r="H339" t="e">
        <x:f>IF($A339="","",[1]!thsiFinD("ths_adjustment_nv_fund",H$3,$A339))</x:f>
        <x:v>#NAME?</x:v>
      </x:c>
      <x:c r="I339" t="e">
        <x:f>IF($A339="","",[1]!thsiFinD("ths_adjustment_nv_fund",I$3,$A339))</x:f>
        <x:v>#NAME?</x:v>
      </x:c>
      <x:c r="J339" t="e">
        <x:f>IF($A339="","",[1]!thsiFinD("ths_adjustment_nv_fund",J$3,$A339))</x:f>
        <x:v>#NAME?</x:v>
      </x:c>
      <x:c r="K339" t="e">
        <x:f>IF($A339="","",[1]!thsiFinD("ths_adjustment_nv_fund",K$3,$A339))</x:f>
        <x:v>#NAME?</x:v>
      </x:c>
      <x:c r="L339" t="e">
        <x:f>IF($A339="","",[1]!thsiFinD("ths_adjustment_nv_fund",L$3,$A339))</x:f>
        <x:v>#NAME?</x:v>
      </x:c>
      <x:c r="M339" t="e">
        <x:f>IF($A339="","",[1]!thsiFinD("ths_adjustment_nv_fund",M$3,$A339))</x:f>
        <x:v>#NAME?</x:v>
      </x:c>
      <x:c r="N339" t="e">
        <x:f>IF($A339="","",[1]!thsiFinD("ths_adjustment_nv_fund",N$3,$A339))</x:f>
        <x:v>#NAME?</x:v>
      </x:c>
      <x:c r="O339" t="e">
        <x:f>IF($A339="","",[1]!thsiFinD("ths_adjustment_nv_fund",O$3,$A339))</x:f>
        <x:v>#NAME?</x:v>
      </x:c>
      <x:c r="P339" t="e">
        <x:f>IF($A339="","",[1]!thsiFinD("ths_adjustment_nv_fund",P$3,$A339))</x:f>
        <x:v>#NAME?</x:v>
      </x:c>
      <x:c r="Q339" t="e">
        <x:f>IF($A339="","",[1]!thsiFinD("ths_adjustment_nv_fund",Q$3,$A339))</x:f>
        <x:v>#NAME?</x:v>
      </x:c>
      <x:c r="R339" t="e">
        <x:f>IF($A339="","",[1]!thsiFinD("ths_adjustment_nv_fund",R$3,$A339))</x:f>
        <x:v>#NAME?</x:v>
      </x:c>
      <x:c r="S339" t="e">
        <x:f>IF($A339="","",[1]!thsiFinD("ths_adjustment_nv_fund",S$3,$A339))</x:f>
        <x:v>#NAME?</x:v>
      </x:c>
      <x:c r="T339" t="e">
        <x:f>IF($A339="","",[1]!thsiFinD("ths_adjustment_nv_fund",T$3,$A339))</x:f>
        <x:v>#NAME?</x:v>
      </x:c>
      <x:c r="U339" t="e">
        <x:f>IF($A339="","",[1]!thsiFinD("ths_adjustment_nv_fund",U$3,$A339))</x:f>
        <x:v>#NAME?</x:v>
      </x:c>
      <x:c r="V339" t="e">
        <x:f>IF($A339="","",[1]!thsiFinD("ths_adjustment_nv_fund",V$3,$A339))</x:f>
        <x:v>#NAME?</x:v>
      </x:c>
      <x:c r="W339" t="e">
        <x:f>IF($A339="","",[1]!thsiFinD("ths_adjustment_nv_fund",W$3,$A339))</x:f>
        <x:v>#NAME?</x:v>
      </x:c>
      <x:c r="X339" t="e">
        <x:f>IF($A339="","",[1]!thsiFinD("ths_adjustment_nv_fund",X$3,$A339))</x:f>
        <x:v>#NAME?</x:v>
      </x:c>
      <x:c r="Y339" t="e">
        <x:f>IF($A339="","",[1]!thsiFinD("ths_adjustment_nv_fund",Y$3,$A339))</x:f>
        <x:v>#NAME?</x:v>
      </x:c>
    </x:row>
    <x:row r="340">
      <x:c r="B340" t="e">
        <x:f>IF($A340="","",[1]!thsiFinD("ths_adjustment_nv_fund",B$3,$A340))</x:f>
        <x:v>#NAME?</x:v>
      </x:c>
      <x:c r="C340" t="e">
        <x:f>IF($A340="","",[1]!thsiFinD("ths_adjustment_nv_fund",C$3,$A340))</x:f>
        <x:v>#NAME?</x:v>
      </x:c>
      <x:c r="D340" t="e">
        <x:f>IF($A340="","",[1]!thsiFinD("ths_adjustment_nv_fund",D$3,$A340))</x:f>
        <x:v>#NAME?</x:v>
      </x:c>
      <x:c r="E340" t="e">
        <x:f>IF($A340="","",[1]!thsiFinD("ths_adjustment_nv_fund",E$3,$A340))</x:f>
        <x:v>#NAME?</x:v>
      </x:c>
      <x:c r="F340" t="e">
        <x:f>IF($A340="","",[1]!thsiFinD("ths_adjustment_nv_fund",F$3,$A340))</x:f>
        <x:v>#NAME?</x:v>
      </x:c>
      <x:c r="G340" t="e">
        <x:f>IF($A340="","",[1]!thsiFinD("ths_adjustment_nv_fund",G$3,$A340))</x:f>
        <x:v>#NAME?</x:v>
      </x:c>
      <x:c r="H340" t="e">
        <x:f>IF($A340="","",[1]!thsiFinD("ths_adjustment_nv_fund",H$3,$A340))</x:f>
        <x:v>#NAME?</x:v>
      </x:c>
      <x:c r="I340" t="e">
        <x:f>IF($A340="","",[1]!thsiFinD("ths_adjustment_nv_fund",I$3,$A340))</x:f>
        <x:v>#NAME?</x:v>
      </x:c>
      <x:c r="J340" t="e">
        <x:f>IF($A340="","",[1]!thsiFinD("ths_adjustment_nv_fund",J$3,$A340))</x:f>
        <x:v>#NAME?</x:v>
      </x:c>
      <x:c r="K340" t="e">
        <x:f>IF($A340="","",[1]!thsiFinD("ths_adjustment_nv_fund",K$3,$A340))</x:f>
        <x:v>#NAME?</x:v>
      </x:c>
      <x:c r="L340" t="e">
        <x:f>IF($A340="","",[1]!thsiFinD("ths_adjustment_nv_fund",L$3,$A340))</x:f>
        <x:v>#NAME?</x:v>
      </x:c>
      <x:c r="M340" t="e">
        <x:f>IF($A340="","",[1]!thsiFinD("ths_adjustment_nv_fund",M$3,$A340))</x:f>
        <x:v>#NAME?</x:v>
      </x:c>
      <x:c r="N340" t="e">
        <x:f>IF($A340="","",[1]!thsiFinD("ths_adjustment_nv_fund",N$3,$A340))</x:f>
        <x:v>#NAME?</x:v>
      </x:c>
      <x:c r="O340" t="e">
        <x:f>IF($A340="","",[1]!thsiFinD("ths_adjustment_nv_fund",O$3,$A340))</x:f>
        <x:v>#NAME?</x:v>
      </x:c>
      <x:c r="P340" t="e">
        <x:f>IF($A340="","",[1]!thsiFinD("ths_adjustment_nv_fund",P$3,$A340))</x:f>
        <x:v>#NAME?</x:v>
      </x:c>
      <x:c r="Q340" t="e">
        <x:f>IF($A340="","",[1]!thsiFinD("ths_adjustment_nv_fund",Q$3,$A340))</x:f>
        <x:v>#NAME?</x:v>
      </x:c>
      <x:c r="R340" t="e">
        <x:f>IF($A340="","",[1]!thsiFinD("ths_adjustment_nv_fund",R$3,$A340))</x:f>
        <x:v>#NAME?</x:v>
      </x:c>
      <x:c r="S340" t="e">
        <x:f>IF($A340="","",[1]!thsiFinD("ths_adjustment_nv_fund",S$3,$A340))</x:f>
        <x:v>#NAME?</x:v>
      </x:c>
      <x:c r="T340" t="e">
        <x:f>IF($A340="","",[1]!thsiFinD("ths_adjustment_nv_fund",T$3,$A340))</x:f>
        <x:v>#NAME?</x:v>
      </x:c>
      <x:c r="U340" t="e">
        <x:f>IF($A340="","",[1]!thsiFinD("ths_adjustment_nv_fund",U$3,$A340))</x:f>
        <x:v>#NAME?</x:v>
      </x:c>
      <x:c r="V340" t="e">
        <x:f>IF($A340="","",[1]!thsiFinD("ths_adjustment_nv_fund",V$3,$A340))</x:f>
        <x:v>#NAME?</x:v>
      </x:c>
      <x:c r="W340" t="e">
        <x:f>IF($A340="","",[1]!thsiFinD("ths_adjustment_nv_fund",W$3,$A340))</x:f>
        <x:v>#NAME?</x:v>
      </x:c>
      <x:c r="X340" t="e">
        <x:f>IF($A340="","",[1]!thsiFinD("ths_adjustment_nv_fund",X$3,$A340))</x:f>
        <x:v>#NAME?</x:v>
      </x:c>
      <x:c r="Y340" t="e">
        <x:f>IF($A340="","",[1]!thsiFinD("ths_adjustment_nv_fund",Y$3,$A340))</x:f>
        <x:v>#NAME?</x:v>
      </x:c>
    </x:row>
    <x:row r="341">
      <x:c r="B341" t="e">
        <x:f>IF($A341="","",[1]!thsiFinD("ths_adjustment_nv_fund",B$3,$A341))</x:f>
        <x:v>#NAME?</x:v>
      </x:c>
      <x:c r="C341" t="e">
        <x:f>IF($A341="","",[1]!thsiFinD("ths_adjustment_nv_fund",C$3,$A341))</x:f>
        <x:v>#NAME?</x:v>
      </x:c>
      <x:c r="D341" t="e">
        <x:f>IF($A341="","",[1]!thsiFinD("ths_adjustment_nv_fund",D$3,$A341))</x:f>
        <x:v>#NAME?</x:v>
      </x:c>
      <x:c r="E341" t="e">
        <x:f>IF($A341="","",[1]!thsiFinD("ths_adjustment_nv_fund",E$3,$A341))</x:f>
        <x:v>#NAME?</x:v>
      </x:c>
      <x:c r="F341" t="e">
        <x:f>IF($A341="","",[1]!thsiFinD("ths_adjustment_nv_fund",F$3,$A341))</x:f>
        <x:v>#NAME?</x:v>
      </x:c>
      <x:c r="G341" t="e">
        <x:f>IF($A341="","",[1]!thsiFinD("ths_adjustment_nv_fund",G$3,$A341))</x:f>
        <x:v>#NAME?</x:v>
      </x:c>
      <x:c r="H341" t="e">
        <x:f>IF($A341="","",[1]!thsiFinD("ths_adjustment_nv_fund",H$3,$A341))</x:f>
        <x:v>#NAME?</x:v>
      </x:c>
      <x:c r="I341" t="e">
        <x:f>IF($A341="","",[1]!thsiFinD("ths_adjustment_nv_fund",I$3,$A341))</x:f>
        <x:v>#NAME?</x:v>
      </x:c>
      <x:c r="J341" t="e">
        <x:f>IF($A341="","",[1]!thsiFinD("ths_adjustment_nv_fund",J$3,$A341))</x:f>
        <x:v>#NAME?</x:v>
      </x:c>
      <x:c r="K341" t="e">
        <x:f>IF($A341="","",[1]!thsiFinD("ths_adjustment_nv_fund",K$3,$A341))</x:f>
        <x:v>#NAME?</x:v>
      </x:c>
      <x:c r="L341" t="e">
        <x:f>IF($A341="","",[1]!thsiFinD("ths_adjustment_nv_fund",L$3,$A341))</x:f>
        <x:v>#NAME?</x:v>
      </x:c>
      <x:c r="M341" t="e">
        <x:f>IF($A341="","",[1]!thsiFinD("ths_adjustment_nv_fund",M$3,$A341))</x:f>
        <x:v>#NAME?</x:v>
      </x:c>
      <x:c r="N341" t="e">
        <x:f>IF($A341="","",[1]!thsiFinD("ths_adjustment_nv_fund",N$3,$A341))</x:f>
        <x:v>#NAME?</x:v>
      </x:c>
      <x:c r="O341" t="e">
        <x:f>IF($A341="","",[1]!thsiFinD("ths_adjustment_nv_fund",O$3,$A341))</x:f>
        <x:v>#NAME?</x:v>
      </x:c>
      <x:c r="P341" t="e">
        <x:f>IF($A341="","",[1]!thsiFinD("ths_adjustment_nv_fund",P$3,$A341))</x:f>
        <x:v>#NAME?</x:v>
      </x:c>
      <x:c r="Q341" t="e">
        <x:f>IF($A341="","",[1]!thsiFinD("ths_adjustment_nv_fund",Q$3,$A341))</x:f>
        <x:v>#NAME?</x:v>
      </x:c>
      <x:c r="R341" t="e">
        <x:f>IF($A341="","",[1]!thsiFinD("ths_adjustment_nv_fund",R$3,$A341))</x:f>
        <x:v>#NAME?</x:v>
      </x:c>
      <x:c r="S341" t="e">
        <x:f>IF($A341="","",[1]!thsiFinD("ths_adjustment_nv_fund",S$3,$A341))</x:f>
        <x:v>#NAME?</x:v>
      </x:c>
      <x:c r="T341" t="e">
        <x:f>IF($A341="","",[1]!thsiFinD("ths_adjustment_nv_fund",T$3,$A341))</x:f>
        <x:v>#NAME?</x:v>
      </x:c>
      <x:c r="U341" t="e">
        <x:f>IF($A341="","",[1]!thsiFinD("ths_adjustment_nv_fund",U$3,$A341))</x:f>
        <x:v>#NAME?</x:v>
      </x:c>
      <x:c r="V341" t="e">
        <x:f>IF($A341="","",[1]!thsiFinD("ths_adjustment_nv_fund",V$3,$A341))</x:f>
        <x:v>#NAME?</x:v>
      </x:c>
      <x:c r="W341" t="e">
        <x:f>IF($A341="","",[1]!thsiFinD("ths_adjustment_nv_fund",W$3,$A341))</x:f>
        <x:v>#NAME?</x:v>
      </x:c>
      <x:c r="X341" t="e">
        <x:f>IF($A341="","",[1]!thsiFinD("ths_adjustment_nv_fund",X$3,$A341))</x:f>
        <x:v>#NAME?</x:v>
      </x:c>
      <x:c r="Y341" t="e">
        <x:f>IF($A341="","",[1]!thsiFinD("ths_adjustment_nv_fund",Y$3,$A341))</x:f>
        <x:v>#NAME?</x:v>
      </x:c>
    </x:row>
    <x:row r="342">
      <x:c r="B342" t="e">
        <x:f>IF($A342="","",[1]!thsiFinD("ths_adjustment_nv_fund",B$3,$A342))</x:f>
        <x:v>#NAME?</x:v>
      </x:c>
      <x:c r="C342" t="e">
        <x:f>IF($A342="","",[1]!thsiFinD("ths_adjustment_nv_fund",C$3,$A342))</x:f>
        <x:v>#NAME?</x:v>
      </x:c>
      <x:c r="D342" t="e">
        <x:f>IF($A342="","",[1]!thsiFinD("ths_adjustment_nv_fund",D$3,$A342))</x:f>
        <x:v>#NAME?</x:v>
      </x:c>
      <x:c r="E342" t="e">
        <x:f>IF($A342="","",[1]!thsiFinD("ths_adjustment_nv_fund",E$3,$A342))</x:f>
        <x:v>#NAME?</x:v>
      </x:c>
      <x:c r="F342" t="e">
        <x:f>IF($A342="","",[1]!thsiFinD("ths_adjustment_nv_fund",F$3,$A342))</x:f>
        <x:v>#NAME?</x:v>
      </x:c>
      <x:c r="G342" t="e">
        <x:f>IF($A342="","",[1]!thsiFinD("ths_adjustment_nv_fund",G$3,$A342))</x:f>
        <x:v>#NAME?</x:v>
      </x:c>
      <x:c r="H342" t="e">
        <x:f>IF($A342="","",[1]!thsiFinD("ths_adjustment_nv_fund",H$3,$A342))</x:f>
        <x:v>#NAME?</x:v>
      </x:c>
      <x:c r="I342" t="e">
        <x:f>IF($A342="","",[1]!thsiFinD("ths_adjustment_nv_fund",I$3,$A342))</x:f>
        <x:v>#NAME?</x:v>
      </x:c>
      <x:c r="J342" t="e">
        <x:f>IF($A342="","",[1]!thsiFinD("ths_adjustment_nv_fund",J$3,$A342))</x:f>
        <x:v>#NAME?</x:v>
      </x:c>
      <x:c r="K342" t="e">
        <x:f>IF($A342="","",[1]!thsiFinD("ths_adjustment_nv_fund",K$3,$A342))</x:f>
        <x:v>#NAME?</x:v>
      </x:c>
      <x:c r="L342" t="e">
        <x:f>IF($A342="","",[1]!thsiFinD("ths_adjustment_nv_fund",L$3,$A342))</x:f>
        <x:v>#NAME?</x:v>
      </x:c>
      <x:c r="M342" t="e">
        <x:f>IF($A342="","",[1]!thsiFinD("ths_adjustment_nv_fund",M$3,$A342))</x:f>
        <x:v>#NAME?</x:v>
      </x:c>
      <x:c r="N342" t="e">
        <x:f>IF($A342="","",[1]!thsiFinD("ths_adjustment_nv_fund",N$3,$A342))</x:f>
        <x:v>#NAME?</x:v>
      </x:c>
      <x:c r="O342" t="e">
        <x:f>IF($A342="","",[1]!thsiFinD("ths_adjustment_nv_fund",O$3,$A342))</x:f>
        <x:v>#NAME?</x:v>
      </x:c>
      <x:c r="P342" t="e">
        <x:f>IF($A342="","",[1]!thsiFinD("ths_adjustment_nv_fund",P$3,$A342))</x:f>
        <x:v>#NAME?</x:v>
      </x:c>
      <x:c r="Q342" t="e">
        <x:f>IF($A342="","",[1]!thsiFinD("ths_adjustment_nv_fund",Q$3,$A342))</x:f>
        <x:v>#NAME?</x:v>
      </x:c>
      <x:c r="R342" t="e">
        <x:f>IF($A342="","",[1]!thsiFinD("ths_adjustment_nv_fund",R$3,$A342))</x:f>
        <x:v>#NAME?</x:v>
      </x:c>
      <x:c r="S342" t="e">
        <x:f>IF($A342="","",[1]!thsiFinD("ths_adjustment_nv_fund",S$3,$A342))</x:f>
        <x:v>#NAME?</x:v>
      </x:c>
      <x:c r="T342" t="e">
        <x:f>IF($A342="","",[1]!thsiFinD("ths_adjustment_nv_fund",T$3,$A342))</x:f>
        <x:v>#NAME?</x:v>
      </x:c>
      <x:c r="U342" t="e">
        <x:f>IF($A342="","",[1]!thsiFinD("ths_adjustment_nv_fund",U$3,$A342))</x:f>
        <x:v>#NAME?</x:v>
      </x:c>
      <x:c r="V342" t="e">
        <x:f>IF($A342="","",[1]!thsiFinD("ths_adjustment_nv_fund",V$3,$A342))</x:f>
        <x:v>#NAME?</x:v>
      </x:c>
      <x:c r="W342" t="e">
        <x:f>IF($A342="","",[1]!thsiFinD("ths_adjustment_nv_fund",W$3,$A342))</x:f>
        <x:v>#NAME?</x:v>
      </x:c>
      <x:c r="X342" t="e">
        <x:f>IF($A342="","",[1]!thsiFinD("ths_adjustment_nv_fund",X$3,$A342))</x:f>
        <x:v>#NAME?</x:v>
      </x:c>
      <x:c r="Y342" t="e">
        <x:f>IF($A342="","",[1]!thsiFinD("ths_adjustment_nv_fund",Y$3,$A342))</x:f>
        <x:v>#NAME?</x:v>
      </x:c>
    </x:row>
    <x:row r="343">
      <x:c r="B343" t="e">
        <x:f>IF($A343="","",[1]!thsiFinD("ths_adjustment_nv_fund",B$3,$A343))</x:f>
        <x:v>#NAME?</x:v>
      </x:c>
      <x:c r="C343" t="e">
        <x:f>IF($A343="","",[1]!thsiFinD("ths_adjustment_nv_fund",C$3,$A343))</x:f>
        <x:v>#NAME?</x:v>
      </x:c>
      <x:c r="D343" t="e">
        <x:f>IF($A343="","",[1]!thsiFinD("ths_adjustment_nv_fund",D$3,$A343))</x:f>
        <x:v>#NAME?</x:v>
      </x:c>
      <x:c r="E343" t="e">
        <x:f>IF($A343="","",[1]!thsiFinD("ths_adjustment_nv_fund",E$3,$A343))</x:f>
        <x:v>#NAME?</x:v>
      </x:c>
      <x:c r="F343" t="e">
        <x:f>IF($A343="","",[1]!thsiFinD("ths_adjustment_nv_fund",F$3,$A343))</x:f>
        <x:v>#NAME?</x:v>
      </x:c>
      <x:c r="G343" t="e">
        <x:f>IF($A343="","",[1]!thsiFinD("ths_adjustment_nv_fund",G$3,$A343))</x:f>
        <x:v>#NAME?</x:v>
      </x:c>
      <x:c r="H343" t="e">
        <x:f>IF($A343="","",[1]!thsiFinD("ths_adjustment_nv_fund",H$3,$A343))</x:f>
        <x:v>#NAME?</x:v>
      </x:c>
      <x:c r="I343" t="e">
        <x:f>IF($A343="","",[1]!thsiFinD("ths_adjustment_nv_fund",I$3,$A343))</x:f>
        <x:v>#NAME?</x:v>
      </x:c>
      <x:c r="J343" t="e">
        <x:f>IF($A343="","",[1]!thsiFinD("ths_adjustment_nv_fund",J$3,$A343))</x:f>
        <x:v>#NAME?</x:v>
      </x:c>
      <x:c r="K343" t="e">
        <x:f>IF($A343="","",[1]!thsiFinD("ths_adjustment_nv_fund",K$3,$A343))</x:f>
        <x:v>#NAME?</x:v>
      </x:c>
      <x:c r="L343" t="e">
        <x:f>IF($A343="","",[1]!thsiFinD("ths_adjustment_nv_fund",L$3,$A343))</x:f>
        <x:v>#NAME?</x:v>
      </x:c>
      <x:c r="M343" t="e">
        <x:f>IF($A343="","",[1]!thsiFinD("ths_adjustment_nv_fund",M$3,$A343))</x:f>
        <x:v>#NAME?</x:v>
      </x:c>
      <x:c r="N343" t="e">
        <x:f>IF($A343="","",[1]!thsiFinD("ths_adjustment_nv_fund",N$3,$A343))</x:f>
        <x:v>#NAME?</x:v>
      </x:c>
      <x:c r="O343" t="e">
        <x:f>IF($A343="","",[1]!thsiFinD("ths_adjustment_nv_fund",O$3,$A343))</x:f>
        <x:v>#NAME?</x:v>
      </x:c>
      <x:c r="P343" t="e">
        <x:f>IF($A343="","",[1]!thsiFinD("ths_adjustment_nv_fund",P$3,$A343))</x:f>
        <x:v>#NAME?</x:v>
      </x:c>
      <x:c r="Q343" t="e">
        <x:f>IF($A343="","",[1]!thsiFinD("ths_adjustment_nv_fund",Q$3,$A343))</x:f>
        <x:v>#NAME?</x:v>
      </x:c>
      <x:c r="R343" t="e">
        <x:f>IF($A343="","",[1]!thsiFinD("ths_adjustment_nv_fund",R$3,$A343))</x:f>
        <x:v>#NAME?</x:v>
      </x:c>
      <x:c r="S343" t="e">
        <x:f>IF($A343="","",[1]!thsiFinD("ths_adjustment_nv_fund",S$3,$A343))</x:f>
        <x:v>#NAME?</x:v>
      </x:c>
      <x:c r="T343" t="e">
        <x:f>IF($A343="","",[1]!thsiFinD("ths_adjustment_nv_fund",T$3,$A343))</x:f>
        <x:v>#NAME?</x:v>
      </x:c>
      <x:c r="U343" t="e">
        <x:f>IF($A343="","",[1]!thsiFinD("ths_adjustment_nv_fund",U$3,$A343))</x:f>
        <x:v>#NAME?</x:v>
      </x:c>
      <x:c r="V343" t="e">
        <x:f>IF($A343="","",[1]!thsiFinD("ths_adjustment_nv_fund",V$3,$A343))</x:f>
        <x:v>#NAME?</x:v>
      </x:c>
      <x:c r="W343" t="e">
        <x:f>IF($A343="","",[1]!thsiFinD("ths_adjustment_nv_fund",W$3,$A343))</x:f>
        <x:v>#NAME?</x:v>
      </x:c>
      <x:c r="X343" t="e">
        <x:f>IF($A343="","",[1]!thsiFinD("ths_adjustment_nv_fund",X$3,$A343))</x:f>
        <x:v>#NAME?</x:v>
      </x:c>
      <x:c r="Y343" t="e">
        <x:f>IF($A343="","",[1]!thsiFinD("ths_adjustment_nv_fund",Y$3,$A343))</x:f>
        <x:v>#NAME?</x:v>
      </x:c>
    </x:row>
    <x:row r="344">
      <x:c r="B344" t="e">
        <x:f>IF($A344="","",[1]!thsiFinD("ths_adjustment_nv_fund",B$3,$A344))</x:f>
        <x:v>#NAME?</x:v>
      </x:c>
      <x:c r="C344" t="e">
        <x:f>IF($A344="","",[1]!thsiFinD("ths_adjustment_nv_fund",C$3,$A344))</x:f>
        <x:v>#NAME?</x:v>
      </x:c>
      <x:c r="D344" t="e">
        <x:f>IF($A344="","",[1]!thsiFinD("ths_adjustment_nv_fund",D$3,$A344))</x:f>
        <x:v>#NAME?</x:v>
      </x:c>
      <x:c r="E344" t="e">
        <x:f>IF($A344="","",[1]!thsiFinD("ths_adjustment_nv_fund",E$3,$A344))</x:f>
        <x:v>#NAME?</x:v>
      </x:c>
      <x:c r="F344" t="e">
        <x:f>IF($A344="","",[1]!thsiFinD("ths_adjustment_nv_fund",F$3,$A344))</x:f>
        <x:v>#NAME?</x:v>
      </x:c>
      <x:c r="G344" t="e">
        <x:f>IF($A344="","",[1]!thsiFinD("ths_adjustment_nv_fund",G$3,$A344))</x:f>
        <x:v>#NAME?</x:v>
      </x:c>
      <x:c r="H344" t="e">
        <x:f>IF($A344="","",[1]!thsiFinD("ths_adjustment_nv_fund",H$3,$A344))</x:f>
        <x:v>#NAME?</x:v>
      </x:c>
      <x:c r="I344" t="e">
        <x:f>IF($A344="","",[1]!thsiFinD("ths_adjustment_nv_fund",I$3,$A344))</x:f>
        <x:v>#NAME?</x:v>
      </x:c>
      <x:c r="J344" t="e">
        <x:f>IF($A344="","",[1]!thsiFinD("ths_adjustment_nv_fund",J$3,$A344))</x:f>
        <x:v>#NAME?</x:v>
      </x:c>
      <x:c r="K344" t="e">
        <x:f>IF($A344="","",[1]!thsiFinD("ths_adjustment_nv_fund",K$3,$A344))</x:f>
        <x:v>#NAME?</x:v>
      </x:c>
      <x:c r="L344" t="e">
        <x:f>IF($A344="","",[1]!thsiFinD("ths_adjustment_nv_fund",L$3,$A344))</x:f>
        <x:v>#NAME?</x:v>
      </x:c>
      <x:c r="M344" t="e">
        <x:f>IF($A344="","",[1]!thsiFinD("ths_adjustment_nv_fund",M$3,$A344))</x:f>
        <x:v>#NAME?</x:v>
      </x:c>
      <x:c r="N344" t="e">
        <x:f>IF($A344="","",[1]!thsiFinD("ths_adjustment_nv_fund",N$3,$A344))</x:f>
        <x:v>#NAME?</x:v>
      </x:c>
      <x:c r="O344" t="e">
        <x:f>IF($A344="","",[1]!thsiFinD("ths_adjustment_nv_fund",O$3,$A344))</x:f>
        <x:v>#NAME?</x:v>
      </x:c>
      <x:c r="P344" t="e">
        <x:f>IF($A344="","",[1]!thsiFinD("ths_adjustment_nv_fund",P$3,$A344))</x:f>
        <x:v>#NAME?</x:v>
      </x:c>
      <x:c r="Q344" t="e">
        <x:f>IF($A344="","",[1]!thsiFinD("ths_adjustment_nv_fund",Q$3,$A344))</x:f>
        <x:v>#NAME?</x:v>
      </x:c>
      <x:c r="R344" t="e">
        <x:f>IF($A344="","",[1]!thsiFinD("ths_adjustment_nv_fund",R$3,$A344))</x:f>
        <x:v>#NAME?</x:v>
      </x:c>
      <x:c r="S344" t="e">
        <x:f>IF($A344="","",[1]!thsiFinD("ths_adjustment_nv_fund",S$3,$A344))</x:f>
        <x:v>#NAME?</x:v>
      </x:c>
      <x:c r="T344" t="e">
        <x:f>IF($A344="","",[1]!thsiFinD("ths_adjustment_nv_fund",T$3,$A344))</x:f>
        <x:v>#NAME?</x:v>
      </x:c>
      <x:c r="U344" t="e">
        <x:f>IF($A344="","",[1]!thsiFinD("ths_adjustment_nv_fund",U$3,$A344))</x:f>
        <x:v>#NAME?</x:v>
      </x:c>
      <x:c r="V344" t="e">
        <x:f>IF($A344="","",[1]!thsiFinD("ths_adjustment_nv_fund",V$3,$A344))</x:f>
        <x:v>#NAME?</x:v>
      </x:c>
      <x:c r="W344" t="e">
        <x:f>IF($A344="","",[1]!thsiFinD("ths_adjustment_nv_fund",W$3,$A344))</x:f>
        <x:v>#NAME?</x:v>
      </x:c>
      <x:c r="X344" t="e">
        <x:f>IF($A344="","",[1]!thsiFinD("ths_adjustment_nv_fund",X$3,$A344))</x:f>
        <x:v>#NAME?</x:v>
      </x:c>
      <x:c r="Y344" t="e">
        <x:f>IF($A344="","",[1]!thsiFinD("ths_adjustment_nv_fund",Y$3,$A344))</x:f>
        <x:v>#NAME?</x:v>
      </x:c>
    </x:row>
    <x:row r="345">
      <x:c r="B345" t="e">
        <x:f>IF($A345="","",[1]!thsiFinD("ths_adjustment_nv_fund",B$3,$A345))</x:f>
        <x:v>#NAME?</x:v>
      </x:c>
      <x:c r="C345" t="e">
        <x:f>IF($A345="","",[1]!thsiFinD("ths_adjustment_nv_fund",C$3,$A345))</x:f>
        <x:v>#NAME?</x:v>
      </x:c>
      <x:c r="D345" t="e">
        <x:f>IF($A345="","",[1]!thsiFinD("ths_adjustment_nv_fund",D$3,$A345))</x:f>
        <x:v>#NAME?</x:v>
      </x:c>
      <x:c r="E345" t="e">
        <x:f>IF($A345="","",[1]!thsiFinD("ths_adjustment_nv_fund",E$3,$A345))</x:f>
        <x:v>#NAME?</x:v>
      </x:c>
      <x:c r="F345" t="e">
        <x:f>IF($A345="","",[1]!thsiFinD("ths_adjustment_nv_fund",F$3,$A345))</x:f>
        <x:v>#NAME?</x:v>
      </x:c>
      <x:c r="G345" t="e">
        <x:f>IF($A345="","",[1]!thsiFinD("ths_adjustment_nv_fund",G$3,$A345))</x:f>
        <x:v>#NAME?</x:v>
      </x:c>
      <x:c r="H345" t="e">
        <x:f>IF($A345="","",[1]!thsiFinD("ths_adjustment_nv_fund",H$3,$A345))</x:f>
        <x:v>#NAME?</x:v>
      </x:c>
      <x:c r="I345" t="e">
        <x:f>IF($A345="","",[1]!thsiFinD("ths_adjustment_nv_fund",I$3,$A345))</x:f>
        <x:v>#NAME?</x:v>
      </x:c>
      <x:c r="J345" t="e">
        <x:f>IF($A345="","",[1]!thsiFinD("ths_adjustment_nv_fund",J$3,$A345))</x:f>
        <x:v>#NAME?</x:v>
      </x:c>
      <x:c r="K345" t="e">
        <x:f>IF($A345="","",[1]!thsiFinD("ths_adjustment_nv_fund",K$3,$A345))</x:f>
        <x:v>#NAME?</x:v>
      </x:c>
      <x:c r="L345" t="e">
        <x:f>IF($A345="","",[1]!thsiFinD("ths_adjustment_nv_fund",L$3,$A345))</x:f>
        <x:v>#NAME?</x:v>
      </x:c>
      <x:c r="M345" t="e">
        <x:f>IF($A345="","",[1]!thsiFinD("ths_adjustment_nv_fund",M$3,$A345))</x:f>
        <x:v>#NAME?</x:v>
      </x:c>
      <x:c r="N345" t="e">
        <x:f>IF($A345="","",[1]!thsiFinD("ths_adjustment_nv_fund",N$3,$A345))</x:f>
        <x:v>#NAME?</x:v>
      </x:c>
      <x:c r="O345" t="e">
        <x:f>IF($A345="","",[1]!thsiFinD("ths_adjustment_nv_fund",O$3,$A345))</x:f>
        <x:v>#NAME?</x:v>
      </x:c>
      <x:c r="P345" t="e">
        <x:f>IF($A345="","",[1]!thsiFinD("ths_adjustment_nv_fund",P$3,$A345))</x:f>
        <x:v>#NAME?</x:v>
      </x:c>
      <x:c r="Q345" t="e">
        <x:f>IF($A345="","",[1]!thsiFinD("ths_adjustment_nv_fund",Q$3,$A345))</x:f>
        <x:v>#NAME?</x:v>
      </x:c>
      <x:c r="R345" t="e">
        <x:f>IF($A345="","",[1]!thsiFinD("ths_adjustment_nv_fund",R$3,$A345))</x:f>
        <x:v>#NAME?</x:v>
      </x:c>
      <x:c r="S345" t="e">
        <x:f>IF($A345="","",[1]!thsiFinD("ths_adjustment_nv_fund",S$3,$A345))</x:f>
        <x:v>#NAME?</x:v>
      </x:c>
      <x:c r="T345" t="e">
        <x:f>IF($A345="","",[1]!thsiFinD("ths_adjustment_nv_fund",T$3,$A345))</x:f>
        <x:v>#NAME?</x:v>
      </x:c>
      <x:c r="U345" t="e">
        <x:f>IF($A345="","",[1]!thsiFinD("ths_adjustment_nv_fund",U$3,$A345))</x:f>
        <x:v>#NAME?</x:v>
      </x:c>
      <x:c r="V345" t="e">
        <x:f>IF($A345="","",[1]!thsiFinD("ths_adjustment_nv_fund",V$3,$A345))</x:f>
        <x:v>#NAME?</x:v>
      </x:c>
      <x:c r="W345" t="e">
        <x:f>IF($A345="","",[1]!thsiFinD("ths_adjustment_nv_fund",W$3,$A345))</x:f>
        <x:v>#NAME?</x:v>
      </x:c>
      <x:c r="X345" t="e">
        <x:f>IF($A345="","",[1]!thsiFinD("ths_adjustment_nv_fund",X$3,$A345))</x:f>
        <x:v>#NAME?</x:v>
      </x:c>
      <x:c r="Y345" t="e">
        <x:f>IF($A345="","",[1]!thsiFinD("ths_adjustment_nv_fund",Y$3,$A345))</x:f>
        <x:v>#NAME?</x:v>
      </x:c>
    </x:row>
    <x:row r="346">
      <x:c r="B346" t="e">
        <x:f>IF($A346="","",[1]!thsiFinD("ths_adjustment_nv_fund",B$3,$A346))</x:f>
        <x:v>#NAME?</x:v>
      </x:c>
      <x:c r="C346" t="e">
        <x:f>IF($A346="","",[1]!thsiFinD("ths_adjustment_nv_fund",C$3,$A346))</x:f>
        <x:v>#NAME?</x:v>
      </x:c>
      <x:c r="D346" t="e">
        <x:f>IF($A346="","",[1]!thsiFinD("ths_adjustment_nv_fund",D$3,$A346))</x:f>
        <x:v>#NAME?</x:v>
      </x:c>
      <x:c r="E346" t="e">
        <x:f>IF($A346="","",[1]!thsiFinD("ths_adjustment_nv_fund",E$3,$A346))</x:f>
        <x:v>#NAME?</x:v>
      </x:c>
      <x:c r="F346" t="e">
        <x:f>IF($A346="","",[1]!thsiFinD("ths_adjustment_nv_fund",F$3,$A346))</x:f>
        <x:v>#NAME?</x:v>
      </x:c>
      <x:c r="G346" t="e">
        <x:f>IF($A346="","",[1]!thsiFinD("ths_adjustment_nv_fund",G$3,$A346))</x:f>
        <x:v>#NAME?</x:v>
      </x:c>
      <x:c r="H346" t="e">
        <x:f>IF($A346="","",[1]!thsiFinD("ths_adjustment_nv_fund",H$3,$A346))</x:f>
        <x:v>#NAME?</x:v>
      </x:c>
      <x:c r="I346" t="e">
        <x:f>IF($A346="","",[1]!thsiFinD("ths_adjustment_nv_fund",I$3,$A346))</x:f>
        <x:v>#NAME?</x:v>
      </x:c>
      <x:c r="J346" t="e">
        <x:f>IF($A346="","",[1]!thsiFinD("ths_adjustment_nv_fund",J$3,$A346))</x:f>
        <x:v>#NAME?</x:v>
      </x:c>
      <x:c r="K346" t="e">
        <x:f>IF($A346="","",[1]!thsiFinD("ths_adjustment_nv_fund",K$3,$A346))</x:f>
        <x:v>#NAME?</x:v>
      </x:c>
      <x:c r="L346" t="e">
        <x:f>IF($A346="","",[1]!thsiFinD("ths_adjustment_nv_fund",L$3,$A346))</x:f>
        <x:v>#NAME?</x:v>
      </x:c>
      <x:c r="M346" t="e">
        <x:f>IF($A346="","",[1]!thsiFinD("ths_adjustment_nv_fund",M$3,$A346))</x:f>
        <x:v>#NAME?</x:v>
      </x:c>
      <x:c r="N346" t="e">
        <x:f>IF($A346="","",[1]!thsiFinD("ths_adjustment_nv_fund",N$3,$A346))</x:f>
        <x:v>#NAME?</x:v>
      </x:c>
      <x:c r="O346" t="e">
        <x:f>IF($A346="","",[1]!thsiFinD("ths_adjustment_nv_fund",O$3,$A346))</x:f>
        <x:v>#NAME?</x:v>
      </x:c>
      <x:c r="P346" t="e">
        <x:f>IF($A346="","",[1]!thsiFinD("ths_adjustment_nv_fund",P$3,$A346))</x:f>
        <x:v>#NAME?</x:v>
      </x:c>
      <x:c r="Q346" t="e">
        <x:f>IF($A346="","",[1]!thsiFinD("ths_adjustment_nv_fund",Q$3,$A346))</x:f>
        <x:v>#NAME?</x:v>
      </x:c>
      <x:c r="R346" t="e">
        <x:f>IF($A346="","",[1]!thsiFinD("ths_adjustment_nv_fund",R$3,$A346))</x:f>
        <x:v>#NAME?</x:v>
      </x:c>
      <x:c r="S346" t="e">
        <x:f>IF($A346="","",[1]!thsiFinD("ths_adjustment_nv_fund",S$3,$A346))</x:f>
        <x:v>#NAME?</x:v>
      </x:c>
      <x:c r="T346" t="e">
        <x:f>IF($A346="","",[1]!thsiFinD("ths_adjustment_nv_fund",T$3,$A346))</x:f>
        <x:v>#NAME?</x:v>
      </x:c>
      <x:c r="U346" t="e">
        <x:f>IF($A346="","",[1]!thsiFinD("ths_adjustment_nv_fund",U$3,$A346))</x:f>
        <x:v>#NAME?</x:v>
      </x:c>
      <x:c r="V346" t="e">
        <x:f>IF($A346="","",[1]!thsiFinD("ths_adjustment_nv_fund",V$3,$A346))</x:f>
        <x:v>#NAME?</x:v>
      </x:c>
      <x:c r="W346" t="e">
        <x:f>IF($A346="","",[1]!thsiFinD("ths_adjustment_nv_fund",W$3,$A346))</x:f>
        <x:v>#NAME?</x:v>
      </x:c>
      <x:c r="X346" t="e">
        <x:f>IF($A346="","",[1]!thsiFinD("ths_adjustment_nv_fund",X$3,$A346))</x:f>
        <x:v>#NAME?</x:v>
      </x:c>
      <x:c r="Y346" t="e">
        <x:f>IF($A346="","",[1]!thsiFinD("ths_adjustment_nv_fund",Y$3,$A346))</x:f>
        <x:v>#NAME?</x:v>
      </x:c>
    </x:row>
    <x:row r="347">
      <x:c r="B347" t="e">
        <x:f>IF($A347="","",[1]!thsiFinD("ths_adjustment_nv_fund",B$3,$A347))</x:f>
        <x:v>#NAME?</x:v>
      </x:c>
      <x:c r="C347" t="e">
        <x:f>IF($A347="","",[1]!thsiFinD("ths_adjustment_nv_fund",C$3,$A347))</x:f>
        <x:v>#NAME?</x:v>
      </x:c>
      <x:c r="D347" t="e">
        <x:f>IF($A347="","",[1]!thsiFinD("ths_adjustment_nv_fund",D$3,$A347))</x:f>
        <x:v>#NAME?</x:v>
      </x:c>
      <x:c r="E347" t="e">
        <x:f>IF($A347="","",[1]!thsiFinD("ths_adjustment_nv_fund",E$3,$A347))</x:f>
        <x:v>#NAME?</x:v>
      </x:c>
      <x:c r="F347" t="e">
        <x:f>IF($A347="","",[1]!thsiFinD("ths_adjustment_nv_fund",F$3,$A347))</x:f>
        <x:v>#NAME?</x:v>
      </x:c>
      <x:c r="G347" t="e">
        <x:f>IF($A347="","",[1]!thsiFinD("ths_adjustment_nv_fund",G$3,$A347))</x:f>
        <x:v>#NAME?</x:v>
      </x:c>
      <x:c r="H347" t="e">
        <x:f>IF($A347="","",[1]!thsiFinD("ths_adjustment_nv_fund",H$3,$A347))</x:f>
        <x:v>#NAME?</x:v>
      </x:c>
      <x:c r="I347" t="e">
        <x:f>IF($A347="","",[1]!thsiFinD("ths_adjustment_nv_fund",I$3,$A347))</x:f>
        <x:v>#NAME?</x:v>
      </x:c>
      <x:c r="J347" t="e">
        <x:f>IF($A347="","",[1]!thsiFinD("ths_adjustment_nv_fund",J$3,$A347))</x:f>
        <x:v>#NAME?</x:v>
      </x:c>
      <x:c r="K347" t="e">
        <x:f>IF($A347="","",[1]!thsiFinD("ths_adjustment_nv_fund",K$3,$A347))</x:f>
        <x:v>#NAME?</x:v>
      </x:c>
      <x:c r="L347" t="e">
        <x:f>IF($A347="","",[1]!thsiFinD("ths_adjustment_nv_fund",L$3,$A347))</x:f>
        <x:v>#NAME?</x:v>
      </x:c>
      <x:c r="M347" t="e">
        <x:f>IF($A347="","",[1]!thsiFinD("ths_adjustment_nv_fund",M$3,$A347))</x:f>
        <x:v>#NAME?</x:v>
      </x:c>
      <x:c r="N347" t="e">
        <x:f>IF($A347="","",[1]!thsiFinD("ths_adjustment_nv_fund",N$3,$A347))</x:f>
        <x:v>#NAME?</x:v>
      </x:c>
      <x:c r="O347" t="e">
        <x:f>IF($A347="","",[1]!thsiFinD("ths_adjustment_nv_fund",O$3,$A347))</x:f>
        <x:v>#NAME?</x:v>
      </x:c>
      <x:c r="P347" t="e">
        <x:f>IF($A347="","",[1]!thsiFinD("ths_adjustment_nv_fund",P$3,$A347))</x:f>
        <x:v>#NAME?</x:v>
      </x:c>
      <x:c r="Q347" t="e">
        <x:f>IF($A347="","",[1]!thsiFinD("ths_adjustment_nv_fund",Q$3,$A347))</x:f>
        <x:v>#NAME?</x:v>
      </x:c>
      <x:c r="R347" t="e">
        <x:f>IF($A347="","",[1]!thsiFinD("ths_adjustment_nv_fund",R$3,$A347))</x:f>
        <x:v>#NAME?</x:v>
      </x:c>
      <x:c r="S347" t="e">
        <x:f>IF($A347="","",[1]!thsiFinD("ths_adjustment_nv_fund",S$3,$A347))</x:f>
        <x:v>#NAME?</x:v>
      </x:c>
      <x:c r="T347" t="e">
        <x:f>IF($A347="","",[1]!thsiFinD("ths_adjustment_nv_fund",T$3,$A347))</x:f>
        <x:v>#NAME?</x:v>
      </x:c>
      <x:c r="U347" t="e">
        <x:f>IF($A347="","",[1]!thsiFinD("ths_adjustment_nv_fund",U$3,$A347))</x:f>
        <x:v>#NAME?</x:v>
      </x:c>
      <x:c r="V347" t="e">
        <x:f>IF($A347="","",[1]!thsiFinD("ths_adjustment_nv_fund",V$3,$A347))</x:f>
        <x:v>#NAME?</x:v>
      </x:c>
      <x:c r="W347" t="e">
        <x:f>IF($A347="","",[1]!thsiFinD("ths_adjustment_nv_fund",W$3,$A347))</x:f>
        <x:v>#NAME?</x:v>
      </x:c>
      <x:c r="X347" t="e">
        <x:f>IF($A347="","",[1]!thsiFinD("ths_adjustment_nv_fund",X$3,$A347))</x:f>
        <x:v>#NAME?</x:v>
      </x:c>
      <x:c r="Y347" t="e">
        <x:f>IF($A347="","",[1]!thsiFinD("ths_adjustment_nv_fund",Y$3,$A347))</x:f>
        <x:v>#NAME?</x:v>
      </x:c>
    </x:row>
    <x:row r="348">
      <x:c r="B348" t="e">
        <x:f>IF($A348="","",[1]!thsiFinD("ths_adjustment_nv_fund",B$3,$A348))</x:f>
        <x:v>#NAME?</x:v>
      </x:c>
      <x:c r="C348" t="e">
        <x:f>IF($A348="","",[1]!thsiFinD("ths_adjustment_nv_fund",C$3,$A348))</x:f>
        <x:v>#NAME?</x:v>
      </x:c>
      <x:c r="D348" t="e">
        <x:f>IF($A348="","",[1]!thsiFinD("ths_adjustment_nv_fund",D$3,$A348))</x:f>
        <x:v>#NAME?</x:v>
      </x:c>
      <x:c r="E348" t="e">
        <x:f>IF($A348="","",[1]!thsiFinD("ths_adjustment_nv_fund",E$3,$A348))</x:f>
        <x:v>#NAME?</x:v>
      </x:c>
      <x:c r="F348" t="e">
        <x:f>IF($A348="","",[1]!thsiFinD("ths_adjustment_nv_fund",F$3,$A348))</x:f>
        <x:v>#NAME?</x:v>
      </x:c>
      <x:c r="G348" t="e">
        <x:f>IF($A348="","",[1]!thsiFinD("ths_adjustment_nv_fund",G$3,$A348))</x:f>
        <x:v>#NAME?</x:v>
      </x:c>
      <x:c r="H348" t="e">
        <x:f>IF($A348="","",[1]!thsiFinD("ths_adjustment_nv_fund",H$3,$A348))</x:f>
        <x:v>#NAME?</x:v>
      </x:c>
      <x:c r="I348" t="e">
        <x:f>IF($A348="","",[1]!thsiFinD("ths_adjustment_nv_fund",I$3,$A348))</x:f>
        <x:v>#NAME?</x:v>
      </x:c>
      <x:c r="J348" t="e">
        <x:f>IF($A348="","",[1]!thsiFinD("ths_adjustment_nv_fund",J$3,$A348))</x:f>
        <x:v>#NAME?</x:v>
      </x:c>
      <x:c r="K348" t="e">
        <x:f>IF($A348="","",[1]!thsiFinD("ths_adjustment_nv_fund",K$3,$A348))</x:f>
        <x:v>#NAME?</x:v>
      </x:c>
      <x:c r="L348" t="e">
        <x:f>IF($A348="","",[1]!thsiFinD("ths_adjustment_nv_fund",L$3,$A348))</x:f>
        <x:v>#NAME?</x:v>
      </x:c>
      <x:c r="M348" t="e">
        <x:f>IF($A348="","",[1]!thsiFinD("ths_adjustment_nv_fund",M$3,$A348))</x:f>
        <x:v>#NAME?</x:v>
      </x:c>
      <x:c r="N348" t="e">
        <x:f>IF($A348="","",[1]!thsiFinD("ths_adjustment_nv_fund",N$3,$A348))</x:f>
        <x:v>#NAME?</x:v>
      </x:c>
      <x:c r="O348" t="e">
        <x:f>IF($A348="","",[1]!thsiFinD("ths_adjustment_nv_fund",O$3,$A348))</x:f>
        <x:v>#NAME?</x:v>
      </x:c>
      <x:c r="P348" t="e">
        <x:f>IF($A348="","",[1]!thsiFinD("ths_adjustment_nv_fund",P$3,$A348))</x:f>
        <x:v>#NAME?</x:v>
      </x:c>
      <x:c r="Q348" t="e">
        <x:f>IF($A348="","",[1]!thsiFinD("ths_adjustment_nv_fund",Q$3,$A348))</x:f>
        <x:v>#NAME?</x:v>
      </x:c>
      <x:c r="R348" t="e">
        <x:f>IF($A348="","",[1]!thsiFinD("ths_adjustment_nv_fund",R$3,$A348))</x:f>
        <x:v>#NAME?</x:v>
      </x:c>
      <x:c r="S348" t="e">
        <x:f>IF($A348="","",[1]!thsiFinD("ths_adjustment_nv_fund",S$3,$A348))</x:f>
        <x:v>#NAME?</x:v>
      </x:c>
      <x:c r="T348" t="e">
        <x:f>IF($A348="","",[1]!thsiFinD("ths_adjustment_nv_fund",T$3,$A348))</x:f>
        <x:v>#NAME?</x:v>
      </x:c>
      <x:c r="U348" t="e">
        <x:f>IF($A348="","",[1]!thsiFinD("ths_adjustment_nv_fund",U$3,$A348))</x:f>
        <x:v>#NAME?</x:v>
      </x:c>
      <x:c r="V348" t="e">
        <x:f>IF($A348="","",[1]!thsiFinD("ths_adjustment_nv_fund",V$3,$A348))</x:f>
        <x:v>#NAME?</x:v>
      </x:c>
      <x:c r="W348" t="e">
        <x:f>IF($A348="","",[1]!thsiFinD("ths_adjustment_nv_fund",W$3,$A348))</x:f>
        <x:v>#NAME?</x:v>
      </x:c>
      <x:c r="X348" t="e">
        <x:f>IF($A348="","",[1]!thsiFinD("ths_adjustment_nv_fund",X$3,$A348))</x:f>
        <x:v>#NAME?</x:v>
      </x:c>
      <x:c r="Y348" t="e">
        <x:f>IF($A348="","",[1]!thsiFinD("ths_adjustment_nv_fund",Y$3,$A348))</x:f>
        <x:v>#NAME?</x:v>
      </x:c>
    </x:row>
    <x:row r="349">
      <x:c r="B349" t="e">
        <x:f>IF($A349="","",[1]!thsiFinD("ths_adjustment_nv_fund",B$3,$A349))</x:f>
        <x:v>#NAME?</x:v>
      </x:c>
      <x:c r="C349" t="e">
        <x:f>IF($A349="","",[1]!thsiFinD("ths_adjustment_nv_fund",C$3,$A349))</x:f>
        <x:v>#NAME?</x:v>
      </x:c>
      <x:c r="D349" t="e">
        <x:f>IF($A349="","",[1]!thsiFinD("ths_adjustment_nv_fund",D$3,$A349))</x:f>
        <x:v>#NAME?</x:v>
      </x:c>
      <x:c r="E349" t="e">
        <x:f>IF($A349="","",[1]!thsiFinD("ths_adjustment_nv_fund",E$3,$A349))</x:f>
        <x:v>#NAME?</x:v>
      </x:c>
      <x:c r="F349" t="e">
        <x:f>IF($A349="","",[1]!thsiFinD("ths_adjustment_nv_fund",F$3,$A349))</x:f>
        <x:v>#NAME?</x:v>
      </x:c>
      <x:c r="G349" t="e">
        <x:f>IF($A349="","",[1]!thsiFinD("ths_adjustment_nv_fund",G$3,$A349))</x:f>
        <x:v>#NAME?</x:v>
      </x:c>
      <x:c r="H349" t="e">
        <x:f>IF($A349="","",[1]!thsiFinD("ths_adjustment_nv_fund",H$3,$A349))</x:f>
        <x:v>#NAME?</x:v>
      </x:c>
      <x:c r="I349" t="e">
        <x:f>IF($A349="","",[1]!thsiFinD("ths_adjustment_nv_fund",I$3,$A349))</x:f>
        <x:v>#NAME?</x:v>
      </x:c>
      <x:c r="J349" t="e">
        <x:f>IF($A349="","",[1]!thsiFinD("ths_adjustment_nv_fund",J$3,$A349))</x:f>
        <x:v>#NAME?</x:v>
      </x:c>
      <x:c r="K349" t="e">
        <x:f>IF($A349="","",[1]!thsiFinD("ths_adjustment_nv_fund",K$3,$A349))</x:f>
        <x:v>#NAME?</x:v>
      </x:c>
      <x:c r="L349" t="e">
        <x:f>IF($A349="","",[1]!thsiFinD("ths_adjustment_nv_fund",L$3,$A349))</x:f>
        <x:v>#NAME?</x:v>
      </x:c>
      <x:c r="M349" t="e">
        <x:f>IF($A349="","",[1]!thsiFinD("ths_adjustment_nv_fund",M$3,$A349))</x:f>
        <x:v>#NAME?</x:v>
      </x:c>
      <x:c r="N349" t="e">
        <x:f>IF($A349="","",[1]!thsiFinD("ths_adjustment_nv_fund",N$3,$A349))</x:f>
        <x:v>#NAME?</x:v>
      </x:c>
      <x:c r="O349" t="e">
        <x:f>IF($A349="","",[1]!thsiFinD("ths_adjustment_nv_fund",O$3,$A349))</x:f>
        <x:v>#NAME?</x:v>
      </x:c>
      <x:c r="P349" t="e">
        <x:f>IF($A349="","",[1]!thsiFinD("ths_adjustment_nv_fund",P$3,$A349))</x:f>
        <x:v>#NAME?</x:v>
      </x:c>
      <x:c r="Q349" t="e">
        <x:f>IF($A349="","",[1]!thsiFinD("ths_adjustment_nv_fund",Q$3,$A349))</x:f>
        <x:v>#NAME?</x:v>
      </x:c>
      <x:c r="R349" t="e">
        <x:f>IF($A349="","",[1]!thsiFinD("ths_adjustment_nv_fund",R$3,$A349))</x:f>
        <x:v>#NAME?</x:v>
      </x:c>
      <x:c r="S349" t="e">
        <x:f>IF($A349="","",[1]!thsiFinD("ths_adjustment_nv_fund",S$3,$A349))</x:f>
        <x:v>#NAME?</x:v>
      </x:c>
      <x:c r="T349" t="e">
        <x:f>IF($A349="","",[1]!thsiFinD("ths_adjustment_nv_fund",T$3,$A349))</x:f>
        <x:v>#NAME?</x:v>
      </x:c>
      <x:c r="U349" t="e">
        <x:f>IF($A349="","",[1]!thsiFinD("ths_adjustment_nv_fund",U$3,$A349))</x:f>
        <x:v>#NAME?</x:v>
      </x:c>
      <x:c r="V349" t="e">
        <x:f>IF($A349="","",[1]!thsiFinD("ths_adjustment_nv_fund",V$3,$A349))</x:f>
        <x:v>#NAME?</x:v>
      </x:c>
      <x:c r="W349" t="e">
        <x:f>IF($A349="","",[1]!thsiFinD("ths_adjustment_nv_fund",W$3,$A349))</x:f>
        <x:v>#NAME?</x:v>
      </x:c>
      <x:c r="X349" t="e">
        <x:f>IF($A349="","",[1]!thsiFinD("ths_adjustment_nv_fund",X$3,$A349))</x:f>
        <x:v>#NAME?</x:v>
      </x:c>
      <x:c r="Y349" t="e">
        <x:f>IF($A349="","",[1]!thsiFinD("ths_adjustment_nv_fund",Y$3,$A349))</x:f>
        <x:v>#NAME?</x:v>
      </x:c>
    </x:row>
    <x:row r="350">
      <x:c r="B350" t="e">
        <x:f>IF($A350="","",[1]!thsiFinD("ths_adjustment_nv_fund",B$3,$A350))</x:f>
        <x:v>#NAME?</x:v>
      </x:c>
      <x:c r="C350" t="e">
        <x:f>IF($A350="","",[1]!thsiFinD("ths_adjustment_nv_fund",C$3,$A350))</x:f>
        <x:v>#NAME?</x:v>
      </x:c>
      <x:c r="D350" t="e">
        <x:f>IF($A350="","",[1]!thsiFinD("ths_adjustment_nv_fund",D$3,$A350))</x:f>
        <x:v>#NAME?</x:v>
      </x:c>
      <x:c r="E350" t="e">
        <x:f>IF($A350="","",[1]!thsiFinD("ths_adjustment_nv_fund",E$3,$A350))</x:f>
        <x:v>#NAME?</x:v>
      </x:c>
      <x:c r="F350" t="e">
        <x:f>IF($A350="","",[1]!thsiFinD("ths_adjustment_nv_fund",F$3,$A350))</x:f>
        <x:v>#NAME?</x:v>
      </x:c>
      <x:c r="G350" t="e">
        <x:f>IF($A350="","",[1]!thsiFinD("ths_adjustment_nv_fund",G$3,$A350))</x:f>
        <x:v>#NAME?</x:v>
      </x:c>
      <x:c r="H350" t="e">
        <x:f>IF($A350="","",[1]!thsiFinD("ths_adjustment_nv_fund",H$3,$A350))</x:f>
        <x:v>#NAME?</x:v>
      </x:c>
      <x:c r="I350" t="e">
        <x:f>IF($A350="","",[1]!thsiFinD("ths_adjustment_nv_fund",I$3,$A350))</x:f>
        <x:v>#NAME?</x:v>
      </x:c>
      <x:c r="J350" t="e">
        <x:f>IF($A350="","",[1]!thsiFinD("ths_adjustment_nv_fund",J$3,$A350))</x:f>
        <x:v>#NAME?</x:v>
      </x:c>
      <x:c r="K350" t="e">
        <x:f>IF($A350="","",[1]!thsiFinD("ths_adjustment_nv_fund",K$3,$A350))</x:f>
        <x:v>#NAME?</x:v>
      </x:c>
      <x:c r="L350" t="e">
        <x:f>IF($A350="","",[1]!thsiFinD("ths_adjustment_nv_fund",L$3,$A350))</x:f>
        <x:v>#NAME?</x:v>
      </x:c>
      <x:c r="M350" t="e">
        <x:f>IF($A350="","",[1]!thsiFinD("ths_adjustment_nv_fund",M$3,$A350))</x:f>
        <x:v>#NAME?</x:v>
      </x:c>
      <x:c r="N350" t="e">
        <x:f>IF($A350="","",[1]!thsiFinD("ths_adjustment_nv_fund",N$3,$A350))</x:f>
        <x:v>#NAME?</x:v>
      </x:c>
      <x:c r="O350" t="e">
        <x:f>IF($A350="","",[1]!thsiFinD("ths_adjustment_nv_fund",O$3,$A350))</x:f>
        <x:v>#NAME?</x:v>
      </x:c>
      <x:c r="P350" t="e">
        <x:f>IF($A350="","",[1]!thsiFinD("ths_adjustment_nv_fund",P$3,$A350))</x:f>
        <x:v>#NAME?</x:v>
      </x:c>
      <x:c r="Q350" t="e">
        <x:f>IF($A350="","",[1]!thsiFinD("ths_adjustment_nv_fund",Q$3,$A350))</x:f>
        <x:v>#NAME?</x:v>
      </x:c>
      <x:c r="R350" t="e">
        <x:f>IF($A350="","",[1]!thsiFinD("ths_adjustment_nv_fund",R$3,$A350))</x:f>
        <x:v>#NAME?</x:v>
      </x:c>
      <x:c r="S350" t="e">
        <x:f>IF($A350="","",[1]!thsiFinD("ths_adjustment_nv_fund",S$3,$A350))</x:f>
        <x:v>#NAME?</x:v>
      </x:c>
      <x:c r="T350" t="e">
        <x:f>IF($A350="","",[1]!thsiFinD("ths_adjustment_nv_fund",T$3,$A350))</x:f>
        <x:v>#NAME?</x:v>
      </x:c>
      <x:c r="U350" t="e">
        <x:f>IF($A350="","",[1]!thsiFinD("ths_adjustment_nv_fund",U$3,$A350))</x:f>
        <x:v>#NAME?</x:v>
      </x:c>
      <x:c r="V350" t="e">
        <x:f>IF($A350="","",[1]!thsiFinD("ths_adjustment_nv_fund",V$3,$A350))</x:f>
        <x:v>#NAME?</x:v>
      </x:c>
      <x:c r="W350" t="e">
        <x:f>IF($A350="","",[1]!thsiFinD("ths_adjustment_nv_fund",W$3,$A350))</x:f>
        <x:v>#NAME?</x:v>
      </x:c>
      <x:c r="X350" t="e">
        <x:f>IF($A350="","",[1]!thsiFinD("ths_adjustment_nv_fund",X$3,$A350))</x:f>
        <x:v>#NAME?</x:v>
      </x:c>
      <x:c r="Y350" t="e">
        <x:f>IF($A350="","",[1]!thsiFinD("ths_adjustment_nv_fund",Y$3,$A350))</x:f>
        <x:v>#NAME?</x:v>
      </x:c>
    </x:row>
    <x:row r="351">
      <x:c r="B351" t="e">
        <x:f>IF($A351="","",[1]!thsiFinD("ths_adjustment_nv_fund",B$3,$A351))</x:f>
        <x:v>#NAME?</x:v>
      </x:c>
      <x:c r="C351" t="e">
        <x:f>IF($A351="","",[1]!thsiFinD("ths_adjustment_nv_fund",C$3,$A351))</x:f>
        <x:v>#NAME?</x:v>
      </x:c>
      <x:c r="D351" t="e">
        <x:f>IF($A351="","",[1]!thsiFinD("ths_adjustment_nv_fund",D$3,$A351))</x:f>
        <x:v>#NAME?</x:v>
      </x:c>
      <x:c r="E351" t="e">
        <x:f>IF($A351="","",[1]!thsiFinD("ths_adjustment_nv_fund",E$3,$A351))</x:f>
        <x:v>#NAME?</x:v>
      </x:c>
      <x:c r="F351" t="e">
        <x:f>IF($A351="","",[1]!thsiFinD("ths_adjustment_nv_fund",F$3,$A351))</x:f>
        <x:v>#NAME?</x:v>
      </x:c>
      <x:c r="G351" t="e">
        <x:f>IF($A351="","",[1]!thsiFinD("ths_adjustment_nv_fund",G$3,$A351))</x:f>
        <x:v>#NAME?</x:v>
      </x:c>
      <x:c r="H351" t="e">
        <x:f>IF($A351="","",[1]!thsiFinD("ths_adjustment_nv_fund",H$3,$A351))</x:f>
        <x:v>#NAME?</x:v>
      </x:c>
      <x:c r="I351" t="e">
        <x:f>IF($A351="","",[1]!thsiFinD("ths_adjustment_nv_fund",I$3,$A351))</x:f>
        <x:v>#NAME?</x:v>
      </x:c>
      <x:c r="J351" t="e">
        <x:f>IF($A351="","",[1]!thsiFinD("ths_adjustment_nv_fund",J$3,$A351))</x:f>
        <x:v>#NAME?</x:v>
      </x:c>
      <x:c r="K351" t="e">
        <x:f>IF($A351="","",[1]!thsiFinD("ths_adjustment_nv_fund",K$3,$A351))</x:f>
        <x:v>#NAME?</x:v>
      </x:c>
      <x:c r="L351" t="e">
        <x:f>IF($A351="","",[1]!thsiFinD("ths_adjustment_nv_fund",L$3,$A351))</x:f>
        <x:v>#NAME?</x:v>
      </x:c>
      <x:c r="M351" t="e">
        <x:f>IF($A351="","",[1]!thsiFinD("ths_adjustment_nv_fund",M$3,$A351))</x:f>
        <x:v>#NAME?</x:v>
      </x:c>
      <x:c r="N351" t="e">
        <x:f>IF($A351="","",[1]!thsiFinD("ths_adjustment_nv_fund",N$3,$A351))</x:f>
        <x:v>#NAME?</x:v>
      </x:c>
      <x:c r="O351" t="e">
        <x:f>IF($A351="","",[1]!thsiFinD("ths_adjustment_nv_fund",O$3,$A351))</x:f>
        <x:v>#NAME?</x:v>
      </x:c>
      <x:c r="P351" t="e">
        <x:f>IF($A351="","",[1]!thsiFinD("ths_adjustment_nv_fund",P$3,$A351))</x:f>
        <x:v>#NAME?</x:v>
      </x:c>
      <x:c r="Q351" t="e">
        <x:f>IF($A351="","",[1]!thsiFinD("ths_adjustment_nv_fund",Q$3,$A351))</x:f>
        <x:v>#NAME?</x:v>
      </x:c>
      <x:c r="R351" t="e">
        <x:f>IF($A351="","",[1]!thsiFinD("ths_adjustment_nv_fund",R$3,$A351))</x:f>
        <x:v>#NAME?</x:v>
      </x:c>
      <x:c r="S351" t="e">
        <x:f>IF($A351="","",[1]!thsiFinD("ths_adjustment_nv_fund",S$3,$A351))</x:f>
        <x:v>#NAME?</x:v>
      </x:c>
      <x:c r="T351" t="e">
        <x:f>IF($A351="","",[1]!thsiFinD("ths_adjustment_nv_fund",T$3,$A351))</x:f>
        <x:v>#NAME?</x:v>
      </x:c>
      <x:c r="U351" t="e">
        <x:f>IF($A351="","",[1]!thsiFinD("ths_adjustment_nv_fund",U$3,$A351))</x:f>
        <x:v>#NAME?</x:v>
      </x:c>
      <x:c r="V351" t="e">
        <x:f>IF($A351="","",[1]!thsiFinD("ths_adjustment_nv_fund",V$3,$A351))</x:f>
        <x:v>#NAME?</x:v>
      </x:c>
      <x:c r="W351" t="e">
        <x:f>IF($A351="","",[1]!thsiFinD("ths_adjustment_nv_fund",W$3,$A351))</x:f>
        <x:v>#NAME?</x:v>
      </x:c>
      <x:c r="X351" t="e">
        <x:f>IF($A351="","",[1]!thsiFinD("ths_adjustment_nv_fund",X$3,$A351))</x:f>
        <x:v>#NAME?</x:v>
      </x:c>
      <x:c r="Y351" t="e">
        <x:f>IF($A351="","",[1]!thsiFinD("ths_adjustment_nv_fund",Y$3,$A351))</x:f>
        <x:v>#NAME?</x:v>
      </x:c>
    </x:row>
    <x:row r="352">
      <x:c r="B352" t="e">
        <x:f>IF($A352="","",[1]!thsiFinD("ths_adjustment_nv_fund",B$3,$A352))</x:f>
        <x:v>#NAME?</x:v>
      </x:c>
      <x:c r="C352" t="e">
        <x:f>IF($A352="","",[1]!thsiFinD("ths_adjustment_nv_fund",C$3,$A352))</x:f>
        <x:v>#NAME?</x:v>
      </x:c>
      <x:c r="D352" t="e">
        <x:f>IF($A352="","",[1]!thsiFinD("ths_adjustment_nv_fund",D$3,$A352))</x:f>
        <x:v>#NAME?</x:v>
      </x:c>
      <x:c r="E352" t="e">
        <x:f>IF($A352="","",[1]!thsiFinD("ths_adjustment_nv_fund",E$3,$A352))</x:f>
        <x:v>#NAME?</x:v>
      </x:c>
      <x:c r="F352" t="e">
        <x:f>IF($A352="","",[1]!thsiFinD("ths_adjustment_nv_fund",F$3,$A352))</x:f>
        <x:v>#NAME?</x:v>
      </x:c>
      <x:c r="G352" t="e">
        <x:f>IF($A352="","",[1]!thsiFinD("ths_adjustment_nv_fund",G$3,$A352))</x:f>
        <x:v>#NAME?</x:v>
      </x:c>
      <x:c r="H352" t="e">
        <x:f>IF($A352="","",[1]!thsiFinD("ths_adjustment_nv_fund",H$3,$A352))</x:f>
        <x:v>#NAME?</x:v>
      </x:c>
      <x:c r="I352" t="e">
        <x:f>IF($A352="","",[1]!thsiFinD("ths_adjustment_nv_fund",I$3,$A352))</x:f>
        <x:v>#NAME?</x:v>
      </x:c>
      <x:c r="J352" t="e">
        <x:f>IF($A352="","",[1]!thsiFinD("ths_adjustment_nv_fund",J$3,$A352))</x:f>
        <x:v>#NAME?</x:v>
      </x:c>
      <x:c r="K352" t="e">
        <x:f>IF($A352="","",[1]!thsiFinD("ths_adjustment_nv_fund",K$3,$A352))</x:f>
        <x:v>#NAME?</x:v>
      </x:c>
      <x:c r="L352" t="e">
        <x:f>IF($A352="","",[1]!thsiFinD("ths_adjustment_nv_fund",L$3,$A352))</x:f>
        <x:v>#NAME?</x:v>
      </x:c>
      <x:c r="M352" t="e">
        <x:f>IF($A352="","",[1]!thsiFinD("ths_adjustment_nv_fund",M$3,$A352))</x:f>
        <x:v>#NAME?</x:v>
      </x:c>
      <x:c r="N352" t="e">
        <x:f>IF($A352="","",[1]!thsiFinD("ths_adjustment_nv_fund",N$3,$A352))</x:f>
        <x:v>#NAME?</x:v>
      </x:c>
      <x:c r="O352" t="e">
        <x:f>IF($A352="","",[1]!thsiFinD("ths_adjustment_nv_fund",O$3,$A352))</x:f>
        <x:v>#NAME?</x:v>
      </x:c>
      <x:c r="P352" t="e">
        <x:f>IF($A352="","",[1]!thsiFinD("ths_adjustment_nv_fund",P$3,$A352))</x:f>
        <x:v>#NAME?</x:v>
      </x:c>
      <x:c r="Q352" t="e">
        <x:f>IF($A352="","",[1]!thsiFinD("ths_adjustment_nv_fund",Q$3,$A352))</x:f>
        <x:v>#NAME?</x:v>
      </x:c>
      <x:c r="R352" t="e">
        <x:f>IF($A352="","",[1]!thsiFinD("ths_adjustment_nv_fund",R$3,$A352))</x:f>
        <x:v>#NAME?</x:v>
      </x:c>
      <x:c r="S352" t="e">
        <x:f>IF($A352="","",[1]!thsiFinD("ths_adjustment_nv_fund",S$3,$A352))</x:f>
        <x:v>#NAME?</x:v>
      </x:c>
      <x:c r="T352" t="e">
        <x:f>IF($A352="","",[1]!thsiFinD("ths_adjustment_nv_fund",T$3,$A352))</x:f>
        <x:v>#NAME?</x:v>
      </x:c>
      <x:c r="U352" t="e">
        <x:f>IF($A352="","",[1]!thsiFinD("ths_adjustment_nv_fund",U$3,$A352))</x:f>
        <x:v>#NAME?</x:v>
      </x:c>
      <x:c r="V352" t="e">
        <x:f>IF($A352="","",[1]!thsiFinD("ths_adjustment_nv_fund",V$3,$A352))</x:f>
        <x:v>#NAME?</x:v>
      </x:c>
      <x:c r="W352" t="e">
        <x:f>IF($A352="","",[1]!thsiFinD("ths_adjustment_nv_fund",W$3,$A352))</x:f>
        <x:v>#NAME?</x:v>
      </x:c>
      <x:c r="X352" t="e">
        <x:f>IF($A352="","",[1]!thsiFinD("ths_adjustment_nv_fund",X$3,$A352))</x:f>
        <x:v>#NAME?</x:v>
      </x:c>
      <x:c r="Y352" t="e">
        <x:f>IF($A352="","",[1]!thsiFinD("ths_adjustment_nv_fund",Y$3,$A352))</x:f>
        <x:v>#NAME?</x:v>
      </x:c>
    </x:row>
    <x:row r="353">
      <x:c r="B353" t="e">
        <x:f>IF($A353="","",[1]!thsiFinD("ths_adjustment_nv_fund",B$3,$A353))</x:f>
        <x:v>#NAME?</x:v>
      </x:c>
      <x:c r="C353" t="e">
        <x:f>IF($A353="","",[1]!thsiFinD("ths_adjustment_nv_fund",C$3,$A353))</x:f>
        <x:v>#NAME?</x:v>
      </x:c>
      <x:c r="D353" t="e">
        <x:f>IF($A353="","",[1]!thsiFinD("ths_adjustment_nv_fund",D$3,$A353))</x:f>
        <x:v>#NAME?</x:v>
      </x:c>
      <x:c r="E353" t="e">
        <x:f>IF($A353="","",[1]!thsiFinD("ths_adjustment_nv_fund",E$3,$A353))</x:f>
        <x:v>#NAME?</x:v>
      </x:c>
      <x:c r="F353" t="e">
        <x:f>IF($A353="","",[1]!thsiFinD("ths_adjustment_nv_fund",F$3,$A353))</x:f>
        <x:v>#NAME?</x:v>
      </x:c>
      <x:c r="G353" t="e">
        <x:f>IF($A353="","",[1]!thsiFinD("ths_adjustment_nv_fund",G$3,$A353))</x:f>
        <x:v>#NAME?</x:v>
      </x:c>
      <x:c r="H353" t="e">
        <x:f>IF($A353="","",[1]!thsiFinD("ths_adjustment_nv_fund",H$3,$A353))</x:f>
        <x:v>#NAME?</x:v>
      </x:c>
      <x:c r="I353" t="e">
        <x:f>IF($A353="","",[1]!thsiFinD("ths_adjustment_nv_fund",I$3,$A353))</x:f>
        <x:v>#NAME?</x:v>
      </x:c>
      <x:c r="J353" t="e">
        <x:f>IF($A353="","",[1]!thsiFinD("ths_adjustment_nv_fund",J$3,$A353))</x:f>
        <x:v>#NAME?</x:v>
      </x:c>
      <x:c r="K353" t="e">
        <x:f>IF($A353="","",[1]!thsiFinD("ths_adjustment_nv_fund",K$3,$A353))</x:f>
        <x:v>#NAME?</x:v>
      </x:c>
      <x:c r="L353" t="e">
        <x:f>IF($A353="","",[1]!thsiFinD("ths_adjustment_nv_fund",L$3,$A353))</x:f>
        <x:v>#NAME?</x:v>
      </x:c>
      <x:c r="M353" t="e">
        <x:f>IF($A353="","",[1]!thsiFinD("ths_adjustment_nv_fund",M$3,$A353))</x:f>
        <x:v>#NAME?</x:v>
      </x:c>
      <x:c r="N353" t="e">
        <x:f>IF($A353="","",[1]!thsiFinD("ths_adjustment_nv_fund",N$3,$A353))</x:f>
        <x:v>#NAME?</x:v>
      </x:c>
      <x:c r="O353" t="e">
        <x:f>IF($A353="","",[1]!thsiFinD("ths_adjustment_nv_fund",O$3,$A353))</x:f>
        <x:v>#NAME?</x:v>
      </x:c>
      <x:c r="P353" t="e">
        <x:f>IF($A353="","",[1]!thsiFinD("ths_adjustment_nv_fund",P$3,$A353))</x:f>
        <x:v>#NAME?</x:v>
      </x:c>
      <x:c r="Q353" t="e">
        <x:f>IF($A353="","",[1]!thsiFinD("ths_adjustment_nv_fund",Q$3,$A353))</x:f>
        <x:v>#NAME?</x:v>
      </x:c>
      <x:c r="R353" t="e">
        <x:f>IF($A353="","",[1]!thsiFinD("ths_adjustment_nv_fund",R$3,$A353))</x:f>
        <x:v>#NAME?</x:v>
      </x:c>
      <x:c r="S353" t="e">
        <x:f>IF($A353="","",[1]!thsiFinD("ths_adjustment_nv_fund",S$3,$A353))</x:f>
        <x:v>#NAME?</x:v>
      </x:c>
      <x:c r="T353" t="e">
        <x:f>IF($A353="","",[1]!thsiFinD("ths_adjustment_nv_fund",T$3,$A353))</x:f>
        <x:v>#NAME?</x:v>
      </x:c>
      <x:c r="U353" t="e">
        <x:f>IF($A353="","",[1]!thsiFinD("ths_adjustment_nv_fund",U$3,$A353))</x:f>
        <x:v>#NAME?</x:v>
      </x:c>
      <x:c r="V353" t="e">
        <x:f>IF($A353="","",[1]!thsiFinD("ths_adjustment_nv_fund",V$3,$A353))</x:f>
        <x:v>#NAME?</x:v>
      </x:c>
      <x:c r="W353" t="e">
        <x:f>IF($A353="","",[1]!thsiFinD("ths_adjustment_nv_fund",W$3,$A353))</x:f>
        <x:v>#NAME?</x:v>
      </x:c>
      <x:c r="X353" t="e">
        <x:f>IF($A353="","",[1]!thsiFinD("ths_adjustment_nv_fund",X$3,$A353))</x:f>
        <x:v>#NAME?</x:v>
      </x:c>
      <x:c r="Y353" t="e">
        <x:f>IF($A353="","",[1]!thsiFinD("ths_adjustment_nv_fund",Y$3,$A353))</x:f>
        <x:v>#NAME?</x:v>
      </x:c>
    </x:row>
    <x:row r="354">
      <x:c r="B354" t="e">
        <x:f>IF($A354="","",[1]!thsiFinD("ths_adjustment_nv_fund",B$3,$A354))</x:f>
        <x:v>#NAME?</x:v>
      </x:c>
      <x:c r="C354" t="e">
        <x:f>IF($A354="","",[1]!thsiFinD("ths_adjustment_nv_fund",C$3,$A354))</x:f>
        <x:v>#NAME?</x:v>
      </x:c>
      <x:c r="D354" t="e">
        <x:f>IF($A354="","",[1]!thsiFinD("ths_adjustment_nv_fund",D$3,$A354))</x:f>
        <x:v>#NAME?</x:v>
      </x:c>
      <x:c r="E354" t="e">
        <x:f>IF($A354="","",[1]!thsiFinD("ths_adjustment_nv_fund",E$3,$A354))</x:f>
        <x:v>#NAME?</x:v>
      </x:c>
      <x:c r="F354" t="e">
        <x:f>IF($A354="","",[1]!thsiFinD("ths_adjustment_nv_fund",F$3,$A354))</x:f>
        <x:v>#NAME?</x:v>
      </x:c>
      <x:c r="G354" t="e">
        <x:f>IF($A354="","",[1]!thsiFinD("ths_adjustment_nv_fund",G$3,$A354))</x:f>
        <x:v>#NAME?</x:v>
      </x:c>
      <x:c r="H354" t="e">
        <x:f>IF($A354="","",[1]!thsiFinD("ths_adjustment_nv_fund",H$3,$A354))</x:f>
        <x:v>#NAME?</x:v>
      </x:c>
      <x:c r="I354" t="e">
        <x:f>IF($A354="","",[1]!thsiFinD("ths_adjustment_nv_fund",I$3,$A354))</x:f>
        <x:v>#NAME?</x:v>
      </x:c>
      <x:c r="J354" t="e">
        <x:f>IF($A354="","",[1]!thsiFinD("ths_adjustment_nv_fund",J$3,$A354))</x:f>
        <x:v>#NAME?</x:v>
      </x:c>
      <x:c r="K354" t="e">
        <x:f>IF($A354="","",[1]!thsiFinD("ths_adjustment_nv_fund",K$3,$A354))</x:f>
        <x:v>#NAME?</x:v>
      </x:c>
      <x:c r="L354" t="e">
        <x:f>IF($A354="","",[1]!thsiFinD("ths_adjustment_nv_fund",L$3,$A354))</x:f>
        <x:v>#NAME?</x:v>
      </x:c>
      <x:c r="M354" t="e">
        <x:f>IF($A354="","",[1]!thsiFinD("ths_adjustment_nv_fund",M$3,$A354))</x:f>
        <x:v>#NAME?</x:v>
      </x:c>
      <x:c r="N354" t="e">
        <x:f>IF($A354="","",[1]!thsiFinD("ths_adjustment_nv_fund",N$3,$A354))</x:f>
        <x:v>#NAME?</x:v>
      </x:c>
      <x:c r="O354" t="e">
        <x:f>IF($A354="","",[1]!thsiFinD("ths_adjustment_nv_fund",O$3,$A354))</x:f>
        <x:v>#NAME?</x:v>
      </x:c>
      <x:c r="P354" t="e">
        <x:f>IF($A354="","",[1]!thsiFinD("ths_adjustment_nv_fund",P$3,$A354))</x:f>
        <x:v>#NAME?</x:v>
      </x:c>
      <x:c r="Q354" t="e">
        <x:f>IF($A354="","",[1]!thsiFinD("ths_adjustment_nv_fund",Q$3,$A354))</x:f>
        <x:v>#NAME?</x:v>
      </x:c>
      <x:c r="R354" t="e">
        <x:f>IF($A354="","",[1]!thsiFinD("ths_adjustment_nv_fund",R$3,$A354))</x:f>
        <x:v>#NAME?</x:v>
      </x:c>
      <x:c r="S354" t="e">
        <x:f>IF($A354="","",[1]!thsiFinD("ths_adjustment_nv_fund",S$3,$A354))</x:f>
        <x:v>#NAME?</x:v>
      </x:c>
      <x:c r="T354" t="e">
        <x:f>IF($A354="","",[1]!thsiFinD("ths_adjustment_nv_fund",T$3,$A354))</x:f>
        <x:v>#NAME?</x:v>
      </x:c>
      <x:c r="U354" t="e">
        <x:f>IF($A354="","",[1]!thsiFinD("ths_adjustment_nv_fund",U$3,$A354))</x:f>
        <x:v>#NAME?</x:v>
      </x:c>
      <x:c r="V354" t="e">
        <x:f>IF($A354="","",[1]!thsiFinD("ths_adjustment_nv_fund",V$3,$A354))</x:f>
        <x:v>#NAME?</x:v>
      </x:c>
      <x:c r="W354" t="e">
        <x:f>IF($A354="","",[1]!thsiFinD("ths_adjustment_nv_fund",W$3,$A354))</x:f>
        <x:v>#NAME?</x:v>
      </x:c>
      <x:c r="X354" t="e">
        <x:f>IF($A354="","",[1]!thsiFinD("ths_adjustment_nv_fund",X$3,$A354))</x:f>
        <x:v>#NAME?</x:v>
      </x:c>
      <x:c r="Y354" t="e">
        <x:f>IF($A354="","",[1]!thsiFinD("ths_adjustment_nv_fund",Y$3,$A354))</x:f>
        <x:v>#NAME?</x:v>
      </x:c>
    </x:row>
    <x:row r="355">
      <x:c r="B355" t="e">
        <x:f>IF($A355="","",[1]!thsiFinD("ths_adjustment_nv_fund",B$3,$A355))</x:f>
        <x:v>#NAME?</x:v>
      </x:c>
      <x:c r="C355" t="e">
        <x:f>IF($A355="","",[1]!thsiFinD("ths_adjustment_nv_fund",C$3,$A355))</x:f>
        <x:v>#NAME?</x:v>
      </x:c>
      <x:c r="D355" t="e">
        <x:f>IF($A355="","",[1]!thsiFinD("ths_adjustment_nv_fund",D$3,$A355))</x:f>
        <x:v>#NAME?</x:v>
      </x:c>
      <x:c r="E355" t="e">
        <x:f>IF($A355="","",[1]!thsiFinD("ths_adjustment_nv_fund",E$3,$A355))</x:f>
        <x:v>#NAME?</x:v>
      </x:c>
      <x:c r="F355" t="e">
        <x:f>IF($A355="","",[1]!thsiFinD("ths_adjustment_nv_fund",F$3,$A355))</x:f>
        <x:v>#NAME?</x:v>
      </x:c>
      <x:c r="G355" t="e">
        <x:f>IF($A355="","",[1]!thsiFinD("ths_adjustment_nv_fund",G$3,$A355))</x:f>
        <x:v>#NAME?</x:v>
      </x:c>
      <x:c r="H355" t="e">
        <x:f>IF($A355="","",[1]!thsiFinD("ths_adjustment_nv_fund",H$3,$A355))</x:f>
        <x:v>#NAME?</x:v>
      </x:c>
      <x:c r="I355" t="e">
        <x:f>IF($A355="","",[1]!thsiFinD("ths_adjustment_nv_fund",I$3,$A355))</x:f>
        <x:v>#NAME?</x:v>
      </x:c>
      <x:c r="J355" t="e">
        <x:f>IF($A355="","",[1]!thsiFinD("ths_adjustment_nv_fund",J$3,$A355))</x:f>
        <x:v>#NAME?</x:v>
      </x:c>
      <x:c r="K355" t="e">
        <x:f>IF($A355="","",[1]!thsiFinD("ths_adjustment_nv_fund",K$3,$A355))</x:f>
        <x:v>#NAME?</x:v>
      </x:c>
      <x:c r="L355" t="e">
        <x:f>IF($A355="","",[1]!thsiFinD("ths_adjustment_nv_fund",L$3,$A355))</x:f>
        <x:v>#NAME?</x:v>
      </x:c>
      <x:c r="M355" t="e">
        <x:f>IF($A355="","",[1]!thsiFinD("ths_adjustment_nv_fund",M$3,$A355))</x:f>
        <x:v>#NAME?</x:v>
      </x:c>
      <x:c r="N355" t="e">
        <x:f>IF($A355="","",[1]!thsiFinD("ths_adjustment_nv_fund",N$3,$A355))</x:f>
        <x:v>#NAME?</x:v>
      </x:c>
      <x:c r="O355" t="e">
        <x:f>IF($A355="","",[1]!thsiFinD("ths_adjustment_nv_fund",O$3,$A355))</x:f>
        <x:v>#NAME?</x:v>
      </x:c>
      <x:c r="P355" t="e">
        <x:f>IF($A355="","",[1]!thsiFinD("ths_adjustment_nv_fund",P$3,$A355))</x:f>
        <x:v>#NAME?</x:v>
      </x:c>
      <x:c r="Q355" t="e">
        <x:f>IF($A355="","",[1]!thsiFinD("ths_adjustment_nv_fund",Q$3,$A355))</x:f>
        <x:v>#NAME?</x:v>
      </x:c>
      <x:c r="R355" t="e">
        <x:f>IF($A355="","",[1]!thsiFinD("ths_adjustment_nv_fund",R$3,$A355))</x:f>
        <x:v>#NAME?</x:v>
      </x:c>
      <x:c r="S355" t="e">
        <x:f>IF($A355="","",[1]!thsiFinD("ths_adjustment_nv_fund",S$3,$A355))</x:f>
        <x:v>#NAME?</x:v>
      </x:c>
      <x:c r="T355" t="e">
        <x:f>IF($A355="","",[1]!thsiFinD("ths_adjustment_nv_fund",T$3,$A355))</x:f>
        <x:v>#NAME?</x:v>
      </x:c>
      <x:c r="U355" t="e">
        <x:f>IF($A355="","",[1]!thsiFinD("ths_adjustment_nv_fund",U$3,$A355))</x:f>
        <x:v>#NAME?</x:v>
      </x:c>
      <x:c r="V355" t="e">
        <x:f>IF($A355="","",[1]!thsiFinD("ths_adjustment_nv_fund",V$3,$A355))</x:f>
        <x:v>#NAME?</x:v>
      </x:c>
      <x:c r="W355" t="e">
        <x:f>IF($A355="","",[1]!thsiFinD("ths_adjustment_nv_fund",W$3,$A355))</x:f>
        <x:v>#NAME?</x:v>
      </x:c>
      <x:c r="X355" t="e">
        <x:f>IF($A355="","",[1]!thsiFinD("ths_adjustment_nv_fund",X$3,$A355))</x:f>
        <x:v>#NAME?</x:v>
      </x:c>
      <x:c r="Y355" t="e">
        <x:f>IF($A355="","",[1]!thsiFinD("ths_adjustment_nv_fund",Y$3,$A355))</x:f>
        <x:v>#NAME?</x:v>
      </x:c>
    </x:row>
    <x:row r="356">
      <x:c r="B356" t="e">
        <x:f>IF($A356="","",[1]!thsiFinD("ths_adjustment_nv_fund",B$3,$A356))</x:f>
        <x:v>#NAME?</x:v>
      </x:c>
      <x:c r="C356" t="e">
        <x:f>IF($A356="","",[1]!thsiFinD("ths_adjustment_nv_fund",C$3,$A356))</x:f>
        <x:v>#NAME?</x:v>
      </x:c>
      <x:c r="D356" t="e">
        <x:f>IF($A356="","",[1]!thsiFinD("ths_adjustment_nv_fund",D$3,$A356))</x:f>
        <x:v>#NAME?</x:v>
      </x:c>
      <x:c r="E356" t="e">
        <x:f>IF($A356="","",[1]!thsiFinD("ths_adjustment_nv_fund",E$3,$A356))</x:f>
        <x:v>#NAME?</x:v>
      </x:c>
      <x:c r="F356" t="e">
        <x:f>IF($A356="","",[1]!thsiFinD("ths_adjustment_nv_fund",F$3,$A356))</x:f>
        <x:v>#NAME?</x:v>
      </x:c>
      <x:c r="G356" t="e">
        <x:f>IF($A356="","",[1]!thsiFinD("ths_adjustment_nv_fund",G$3,$A356))</x:f>
        <x:v>#NAME?</x:v>
      </x:c>
      <x:c r="H356" t="e">
        <x:f>IF($A356="","",[1]!thsiFinD("ths_adjustment_nv_fund",H$3,$A356))</x:f>
        <x:v>#NAME?</x:v>
      </x:c>
      <x:c r="I356" t="e">
        <x:f>IF($A356="","",[1]!thsiFinD("ths_adjustment_nv_fund",I$3,$A356))</x:f>
        <x:v>#NAME?</x:v>
      </x:c>
      <x:c r="J356" t="e">
        <x:f>IF($A356="","",[1]!thsiFinD("ths_adjustment_nv_fund",J$3,$A356))</x:f>
        <x:v>#NAME?</x:v>
      </x:c>
      <x:c r="K356" t="e">
        <x:f>IF($A356="","",[1]!thsiFinD("ths_adjustment_nv_fund",K$3,$A356))</x:f>
        <x:v>#NAME?</x:v>
      </x:c>
      <x:c r="L356" t="e">
        <x:f>IF($A356="","",[1]!thsiFinD("ths_adjustment_nv_fund",L$3,$A356))</x:f>
        <x:v>#NAME?</x:v>
      </x:c>
      <x:c r="M356" t="e">
        <x:f>IF($A356="","",[1]!thsiFinD("ths_adjustment_nv_fund",M$3,$A356))</x:f>
        <x:v>#NAME?</x:v>
      </x:c>
      <x:c r="N356" t="e">
        <x:f>IF($A356="","",[1]!thsiFinD("ths_adjustment_nv_fund",N$3,$A356))</x:f>
        <x:v>#NAME?</x:v>
      </x:c>
      <x:c r="O356" t="e">
        <x:f>IF($A356="","",[1]!thsiFinD("ths_adjustment_nv_fund",O$3,$A356))</x:f>
        <x:v>#NAME?</x:v>
      </x:c>
      <x:c r="P356" t="e">
        <x:f>IF($A356="","",[1]!thsiFinD("ths_adjustment_nv_fund",P$3,$A356))</x:f>
        <x:v>#NAME?</x:v>
      </x:c>
      <x:c r="Q356" t="e">
        <x:f>IF($A356="","",[1]!thsiFinD("ths_adjustment_nv_fund",Q$3,$A356))</x:f>
        <x:v>#NAME?</x:v>
      </x:c>
      <x:c r="R356" t="e">
        <x:f>IF($A356="","",[1]!thsiFinD("ths_adjustment_nv_fund",R$3,$A356))</x:f>
        <x:v>#NAME?</x:v>
      </x:c>
      <x:c r="S356" t="e">
        <x:f>IF($A356="","",[1]!thsiFinD("ths_adjustment_nv_fund",S$3,$A356))</x:f>
        <x:v>#NAME?</x:v>
      </x:c>
      <x:c r="T356" t="e">
        <x:f>IF($A356="","",[1]!thsiFinD("ths_adjustment_nv_fund",T$3,$A356))</x:f>
        <x:v>#NAME?</x:v>
      </x:c>
      <x:c r="U356" t="e">
        <x:f>IF($A356="","",[1]!thsiFinD("ths_adjustment_nv_fund",U$3,$A356))</x:f>
        <x:v>#NAME?</x:v>
      </x:c>
      <x:c r="V356" t="e">
        <x:f>IF($A356="","",[1]!thsiFinD("ths_adjustment_nv_fund",V$3,$A356))</x:f>
        <x:v>#NAME?</x:v>
      </x:c>
      <x:c r="W356" t="e">
        <x:f>IF($A356="","",[1]!thsiFinD("ths_adjustment_nv_fund",W$3,$A356))</x:f>
        <x:v>#NAME?</x:v>
      </x:c>
      <x:c r="X356" t="e">
        <x:f>IF($A356="","",[1]!thsiFinD("ths_adjustment_nv_fund",X$3,$A356))</x:f>
        <x:v>#NAME?</x:v>
      </x:c>
      <x:c r="Y356" t="e">
        <x:f>IF($A356="","",[1]!thsiFinD("ths_adjustment_nv_fund",Y$3,$A356))</x:f>
        <x:v>#NAME?</x:v>
      </x:c>
    </x:row>
    <x:row r="357">
      <x:c r="B357" t="e">
        <x:f>IF($A357="","",[1]!thsiFinD("ths_adjustment_nv_fund",B$3,$A357))</x:f>
        <x:v>#NAME?</x:v>
      </x:c>
      <x:c r="C357" t="e">
        <x:f>IF($A357="","",[1]!thsiFinD("ths_adjustment_nv_fund",C$3,$A357))</x:f>
        <x:v>#NAME?</x:v>
      </x:c>
      <x:c r="D357" t="e">
        <x:f>IF($A357="","",[1]!thsiFinD("ths_adjustment_nv_fund",D$3,$A357))</x:f>
        <x:v>#NAME?</x:v>
      </x:c>
      <x:c r="E357" t="e">
        <x:f>IF($A357="","",[1]!thsiFinD("ths_adjustment_nv_fund",E$3,$A357))</x:f>
        <x:v>#NAME?</x:v>
      </x:c>
      <x:c r="F357" t="e">
        <x:f>IF($A357="","",[1]!thsiFinD("ths_adjustment_nv_fund",F$3,$A357))</x:f>
        <x:v>#NAME?</x:v>
      </x:c>
      <x:c r="G357" t="e">
        <x:f>IF($A357="","",[1]!thsiFinD("ths_adjustment_nv_fund",G$3,$A357))</x:f>
        <x:v>#NAME?</x:v>
      </x:c>
      <x:c r="H357" t="e">
        <x:f>IF($A357="","",[1]!thsiFinD("ths_adjustment_nv_fund",H$3,$A357))</x:f>
        <x:v>#NAME?</x:v>
      </x:c>
      <x:c r="I357" t="e">
        <x:f>IF($A357="","",[1]!thsiFinD("ths_adjustment_nv_fund",I$3,$A357))</x:f>
        <x:v>#NAME?</x:v>
      </x:c>
      <x:c r="J357" t="e">
        <x:f>IF($A357="","",[1]!thsiFinD("ths_adjustment_nv_fund",J$3,$A357))</x:f>
        <x:v>#NAME?</x:v>
      </x:c>
      <x:c r="K357" t="e">
        <x:f>IF($A357="","",[1]!thsiFinD("ths_adjustment_nv_fund",K$3,$A357))</x:f>
        <x:v>#NAME?</x:v>
      </x:c>
      <x:c r="L357" t="e">
        <x:f>IF($A357="","",[1]!thsiFinD("ths_adjustment_nv_fund",L$3,$A357))</x:f>
        <x:v>#NAME?</x:v>
      </x:c>
      <x:c r="M357" t="e">
        <x:f>IF($A357="","",[1]!thsiFinD("ths_adjustment_nv_fund",M$3,$A357))</x:f>
        <x:v>#NAME?</x:v>
      </x:c>
      <x:c r="N357" t="e">
        <x:f>IF($A357="","",[1]!thsiFinD("ths_adjustment_nv_fund",N$3,$A357))</x:f>
        <x:v>#NAME?</x:v>
      </x:c>
      <x:c r="O357" t="e">
        <x:f>IF($A357="","",[1]!thsiFinD("ths_adjustment_nv_fund",O$3,$A357))</x:f>
        <x:v>#NAME?</x:v>
      </x:c>
      <x:c r="P357" t="e">
        <x:f>IF($A357="","",[1]!thsiFinD("ths_adjustment_nv_fund",P$3,$A357))</x:f>
        <x:v>#NAME?</x:v>
      </x:c>
      <x:c r="Q357" t="e">
        <x:f>IF($A357="","",[1]!thsiFinD("ths_adjustment_nv_fund",Q$3,$A357))</x:f>
        <x:v>#NAME?</x:v>
      </x:c>
      <x:c r="R357" t="e">
        <x:f>IF($A357="","",[1]!thsiFinD("ths_adjustment_nv_fund",R$3,$A357))</x:f>
        <x:v>#NAME?</x:v>
      </x:c>
      <x:c r="S357" t="e">
        <x:f>IF($A357="","",[1]!thsiFinD("ths_adjustment_nv_fund",S$3,$A357))</x:f>
        <x:v>#NAME?</x:v>
      </x:c>
      <x:c r="T357" t="e">
        <x:f>IF($A357="","",[1]!thsiFinD("ths_adjustment_nv_fund",T$3,$A357))</x:f>
        <x:v>#NAME?</x:v>
      </x:c>
      <x:c r="U357" t="e">
        <x:f>IF($A357="","",[1]!thsiFinD("ths_adjustment_nv_fund",U$3,$A357))</x:f>
        <x:v>#NAME?</x:v>
      </x:c>
      <x:c r="V357" t="e">
        <x:f>IF($A357="","",[1]!thsiFinD("ths_adjustment_nv_fund",V$3,$A357))</x:f>
        <x:v>#NAME?</x:v>
      </x:c>
      <x:c r="W357" t="e">
        <x:f>IF($A357="","",[1]!thsiFinD("ths_adjustment_nv_fund",W$3,$A357))</x:f>
        <x:v>#NAME?</x:v>
      </x:c>
      <x:c r="X357" t="e">
        <x:f>IF($A357="","",[1]!thsiFinD("ths_adjustment_nv_fund",X$3,$A357))</x:f>
        <x:v>#NAME?</x:v>
      </x:c>
      <x:c r="Y357" t="e">
        <x:f>IF($A357="","",[1]!thsiFinD("ths_adjustment_nv_fund",Y$3,$A357))</x:f>
        <x:v>#NAME?</x:v>
      </x:c>
    </x:row>
    <x:row r="358">
      <x:c r="B358" t="e">
        <x:f>IF($A358="","",[1]!thsiFinD("ths_adjustment_nv_fund",B$3,$A358))</x:f>
        <x:v>#NAME?</x:v>
      </x:c>
      <x:c r="C358" t="e">
        <x:f>IF($A358="","",[1]!thsiFinD("ths_adjustment_nv_fund",C$3,$A358))</x:f>
        <x:v>#NAME?</x:v>
      </x:c>
      <x:c r="D358" t="e">
        <x:f>IF($A358="","",[1]!thsiFinD("ths_adjustment_nv_fund",D$3,$A358))</x:f>
        <x:v>#NAME?</x:v>
      </x:c>
      <x:c r="E358" t="e">
        <x:f>IF($A358="","",[1]!thsiFinD("ths_adjustment_nv_fund",E$3,$A358))</x:f>
        <x:v>#NAME?</x:v>
      </x:c>
      <x:c r="F358" t="e">
        <x:f>IF($A358="","",[1]!thsiFinD("ths_adjustment_nv_fund",F$3,$A358))</x:f>
        <x:v>#NAME?</x:v>
      </x:c>
      <x:c r="G358" t="e">
        <x:f>IF($A358="","",[1]!thsiFinD("ths_adjustment_nv_fund",G$3,$A358))</x:f>
        <x:v>#NAME?</x:v>
      </x:c>
      <x:c r="H358" t="e">
        <x:f>IF($A358="","",[1]!thsiFinD("ths_adjustment_nv_fund",H$3,$A358))</x:f>
        <x:v>#NAME?</x:v>
      </x:c>
      <x:c r="I358" t="e">
        <x:f>IF($A358="","",[1]!thsiFinD("ths_adjustment_nv_fund",I$3,$A358))</x:f>
        <x:v>#NAME?</x:v>
      </x:c>
      <x:c r="J358" t="e">
        <x:f>IF($A358="","",[1]!thsiFinD("ths_adjustment_nv_fund",J$3,$A358))</x:f>
        <x:v>#NAME?</x:v>
      </x:c>
      <x:c r="K358" t="e">
        <x:f>IF($A358="","",[1]!thsiFinD("ths_adjustment_nv_fund",K$3,$A358))</x:f>
        <x:v>#NAME?</x:v>
      </x:c>
      <x:c r="L358" t="e">
        <x:f>IF($A358="","",[1]!thsiFinD("ths_adjustment_nv_fund",L$3,$A358))</x:f>
        <x:v>#NAME?</x:v>
      </x:c>
      <x:c r="M358" t="e">
        <x:f>IF($A358="","",[1]!thsiFinD("ths_adjustment_nv_fund",M$3,$A358))</x:f>
        <x:v>#NAME?</x:v>
      </x:c>
      <x:c r="N358" t="e">
        <x:f>IF($A358="","",[1]!thsiFinD("ths_adjustment_nv_fund",N$3,$A358))</x:f>
        <x:v>#NAME?</x:v>
      </x:c>
      <x:c r="O358" t="e">
        <x:f>IF($A358="","",[1]!thsiFinD("ths_adjustment_nv_fund",O$3,$A358))</x:f>
        <x:v>#NAME?</x:v>
      </x:c>
      <x:c r="P358" t="e">
        <x:f>IF($A358="","",[1]!thsiFinD("ths_adjustment_nv_fund",P$3,$A358))</x:f>
        <x:v>#NAME?</x:v>
      </x:c>
      <x:c r="Q358" t="e">
        <x:f>IF($A358="","",[1]!thsiFinD("ths_adjustment_nv_fund",Q$3,$A358))</x:f>
        <x:v>#NAME?</x:v>
      </x:c>
      <x:c r="R358" t="e">
        <x:f>IF($A358="","",[1]!thsiFinD("ths_adjustment_nv_fund",R$3,$A358))</x:f>
        <x:v>#NAME?</x:v>
      </x:c>
      <x:c r="S358" t="e">
        <x:f>IF($A358="","",[1]!thsiFinD("ths_adjustment_nv_fund",S$3,$A358))</x:f>
        <x:v>#NAME?</x:v>
      </x:c>
      <x:c r="T358" t="e">
        <x:f>IF($A358="","",[1]!thsiFinD("ths_adjustment_nv_fund",T$3,$A358))</x:f>
        <x:v>#NAME?</x:v>
      </x:c>
      <x:c r="U358" t="e">
        <x:f>IF($A358="","",[1]!thsiFinD("ths_adjustment_nv_fund",U$3,$A358))</x:f>
        <x:v>#NAME?</x:v>
      </x:c>
      <x:c r="V358" t="e">
        <x:f>IF($A358="","",[1]!thsiFinD("ths_adjustment_nv_fund",V$3,$A358))</x:f>
        <x:v>#NAME?</x:v>
      </x:c>
      <x:c r="W358" t="e">
        <x:f>IF($A358="","",[1]!thsiFinD("ths_adjustment_nv_fund",W$3,$A358))</x:f>
        <x:v>#NAME?</x:v>
      </x:c>
      <x:c r="X358" t="e">
        <x:f>IF($A358="","",[1]!thsiFinD("ths_adjustment_nv_fund",X$3,$A358))</x:f>
        <x:v>#NAME?</x:v>
      </x:c>
      <x:c r="Y358" t="e">
        <x:f>IF($A358="","",[1]!thsiFinD("ths_adjustment_nv_fund",Y$3,$A358))</x:f>
        <x:v>#NAME?</x:v>
      </x:c>
    </x:row>
    <x:row r="359">
      <x:c r="B359" t="e">
        <x:f>IF($A359="","",[1]!thsiFinD("ths_adjustment_nv_fund",B$3,$A359))</x:f>
        <x:v>#NAME?</x:v>
      </x:c>
      <x:c r="C359" t="e">
        <x:f>IF($A359="","",[1]!thsiFinD("ths_adjustment_nv_fund",C$3,$A359))</x:f>
        <x:v>#NAME?</x:v>
      </x:c>
      <x:c r="D359" t="e">
        <x:f>IF($A359="","",[1]!thsiFinD("ths_adjustment_nv_fund",D$3,$A359))</x:f>
        <x:v>#NAME?</x:v>
      </x:c>
      <x:c r="E359" t="e">
        <x:f>IF($A359="","",[1]!thsiFinD("ths_adjustment_nv_fund",E$3,$A359))</x:f>
        <x:v>#NAME?</x:v>
      </x:c>
      <x:c r="F359" t="e">
        <x:f>IF($A359="","",[1]!thsiFinD("ths_adjustment_nv_fund",F$3,$A359))</x:f>
        <x:v>#NAME?</x:v>
      </x:c>
      <x:c r="G359" t="e">
        <x:f>IF($A359="","",[1]!thsiFinD("ths_adjustment_nv_fund",G$3,$A359))</x:f>
        <x:v>#NAME?</x:v>
      </x:c>
      <x:c r="H359" t="e">
        <x:f>IF($A359="","",[1]!thsiFinD("ths_adjustment_nv_fund",H$3,$A359))</x:f>
        <x:v>#NAME?</x:v>
      </x:c>
      <x:c r="I359" t="e">
        <x:f>IF($A359="","",[1]!thsiFinD("ths_adjustment_nv_fund",I$3,$A359))</x:f>
        <x:v>#NAME?</x:v>
      </x:c>
      <x:c r="J359" t="e">
        <x:f>IF($A359="","",[1]!thsiFinD("ths_adjustment_nv_fund",J$3,$A359))</x:f>
        <x:v>#NAME?</x:v>
      </x:c>
      <x:c r="K359" t="e">
        <x:f>IF($A359="","",[1]!thsiFinD("ths_adjustment_nv_fund",K$3,$A359))</x:f>
        <x:v>#NAME?</x:v>
      </x:c>
      <x:c r="L359" t="e">
        <x:f>IF($A359="","",[1]!thsiFinD("ths_adjustment_nv_fund",L$3,$A359))</x:f>
        <x:v>#NAME?</x:v>
      </x:c>
      <x:c r="M359" t="e">
        <x:f>IF($A359="","",[1]!thsiFinD("ths_adjustment_nv_fund",M$3,$A359))</x:f>
        <x:v>#NAME?</x:v>
      </x:c>
      <x:c r="N359" t="e">
        <x:f>IF($A359="","",[1]!thsiFinD("ths_adjustment_nv_fund",N$3,$A359))</x:f>
        <x:v>#NAME?</x:v>
      </x:c>
      <x:c r="O359" t="e">
        <x:f>IF($A359="","",[1]!thsiFinD("ths_adjustment_nv_fund",O$3,$A359))</x:f>
        <x:v>#NAME?</x:v>
      </x:c>
      <x:c r="P359" t="e">
        <x:f>IF($A359="","",[1]!thsiFinD("ths_adjustment_nv_fund",P$3,$A359))</x:f>
        <x:v>#NAME?</x:v>
      </x:c>
      <x:c r="Q359" t="e">
        <x:f>IF($A359="","",[1]!thsiFinD("ths_adjustment_nv_fund",Q$3,$A359))</x:f>
        <x:v>#NAME?</x:v>
      </x:c>
      <x:c r="R359" t="e">
        <x:f>IF($A359="","",[1]!thsiFinD("ths_adjustment_nv_fund",R$3,$A359))</x:f>
        <x:v>#NAME?</x:v>
      </x:c>
      <x:c r="S359" t="e">
        <x:f>IF($A359="","",[1]!thsiFinD("ths_adjustment_nv_fund",S$3,$A359))</x:f>
        <x:v>#NAME?</x:v>
      </x:c>
      <x:c r="T359" t="e">
        <x:f>IF($A359="","",[1]!thsiFinD("ths_adjustment_nv_fund",T$3,$A359))</x:f>
        <x:v>#NAME?</x:v>
      </x:c>
      <x:c r="U359" t="e">
        <x:f>IF($A359="","",[1]!thsiFinD("ths_adjustment_nv_fund",U$3,$A359))</x:f>
        <x:v>#NAME?</x:v>
      </x:c>
      <x:c r="V359" t="e">
        <x:f>IF($A359="","",[1]!thsiFinD("ths_adjustment_nv_fund",V$3,$A359))</x:f>
        <x:v>#NAME?</x:v>
      </x:c>
      <x:c r="W359" t="e">
        <x:f>IF($A359="","",[1]!thsiFinD("ths_adjustment_nv_fund",W$3,$A359))</x:f>
        <x:v>#NAME?</x:v>
      </x:c>
      <x:c r="X359" t="e">
        <x:f>IF($A359="","",[1]!thsiFinD("ths_adjustment_nv_fund",X$3,$A359))</x:f>
        <x:v>#NAME?</x:v>
      </x:c>
      <x:c r="Y359" t="e">
        <x:f>IF($A359="","",[1]!thsiFinD("ths_adjustment_nv_fund",Y$3,$A359))</x:f>
        <x:v>#NAME?</x:v>
      </x:c>
    </x:row>
    <x:row r="360">
      <x:c r="B360" t="e">
        <x:f>IF($A360="","",[1]!thsiFinD("ths_adjustment_nv_fund",B$3,$A360))</x:f>
        <x:v>#NAME?</x:v>
      </x:c>
      <x:c r="C360" t="e">
        <x:f>IF($A360="","",[1]!thsiFinD("ths_adjustment_nv_fund",C$3,$A360))</x:f>
        <x:v>#NAME?</x:v>
      </x:c>
      <x:c r="D360" t="e">
        <x:f>IF($A360="","",[1]!thsiFinD("ths_adjustment_nv_fund",D$3,$A360))</x:f>
        <x:v>#NAME?</x:v>
      </x:c>
      <x:c r="E360" t="e">
        <x:f>IF($A360="","",[1]!thsiFinD("ths_adjustment_nv_fund",E$3,$A360))</x:f>
        <x:v>#NAME?</x:v>
      </x:c>
      <x:c r="F360" t="e">
        <x:f>IF($A360="","",[1]!thsiFinD("ths_adjustment_nv_fund",F$3,$A360))</x:f>
        <x:v>#NAME?</x:v>
      </x:c>
      <x:c r="G360" t="e">
        <x:f>IF($A360="","",[1]!thsiFinD("ths_adjustment_nv_fund",G$3,$A360))</x:f>
        <x:v>#NAME?</x:v>
      </x:c>
      <x:c r="H360" t="e">
        <x:f>IF($A360="","",[1]!thsiFinD("ths_adjustment_nv_fund",H$3,$A360))</x:f>
        <x:v>#NAME?</x:v>
      </x:c>
      <x:c r="I360" t="e">
        <x:f>IF($A360="","",[1]!thsiFinD("ths_adjustment_nv_fund",I$3,$A360))</x:f>
        <x:v>#NAME?</x:v>
      </x:c>
      <x:c r="J360" t="e">
        <x:f>IF($A360="","",[1]!thsiFinD("ths_adjustment_nv_fund",J$3,$A360))</x:f>
        <x:v>#NAME?</x:v>
      </x:c>
      <x:c r="K360" t="e">
        <x:f>IF($A360="","",[1]!thsiFinD("ths_adjustment_nv_fund",K$3,$A360))</x:f>
        <x:v>#NAME?</x:v>
      </x:c>
      <x:c r="L360" t="e">
        <x:f>IF($A360="","",[1]!thsiFinD("ths_adjustment_nv_fund",L$3,$A360))</x:f>
        <x:v>#NAME?</x:v>
      </x:c>
      <x:c r="M360" t="e">
        <x:f>IF($A360="","",[1]!thsiFinD("ths_adjustment_nv_fund",M$3,$A360))</x:f>
        <x:v>#NAME?</x:v>
      </x:c>
      <x:c r="N360" t="e">
        <x:f>IF($A360="","",[1]!thsiFinD("ths_adjustment_nv_fund",N$3,$A360))</x:f>
        <x:v>#NAME?</x:v>
      </x:c>
      <x:c r="O360" t="e">
        <x:f>IF($A360="","",[1]!thsiFinD("ths_adjustment_nv_fund",O$3,$A360))</x:f>
        <x:v>#NAME?</x:v>
      </x:c>
      <x:c r="P360" t="e">
        <x:f>IF($A360="","",[1]!thsiFinD("ths_adjustment_nv_fund",P$3,$A360))</x:f>
        <x:v>#NAME?</x:v>
      </x:c>
      <x:c r="Q360" t="e">
        <x:f>IF($A360="","",[1]!thsiFinD("ths_adjustment_nv_fund",Q$3,$A360))</x:f>
        <x:v>#NAME?</x:v>
      </x:c>
      <x:c r="R360" t="e">
        <x:f>IF($A360="","",[1]!thsiFinD("ths_adjustment_nv_fund",R$3,$A360))</x:f>
        <x:v>#NAME?</x:v>
      </x:c>
      <x:c r="S360" t="e">
        <x:f>IF($A360="","",[1]!thsiFinD("ths_adjustment_nv_fund",S$3,$A360))</x:f>
        <x:v>#NAME?</x:v>
      </x:c>
      <x:c r="T360" t="e">
        <x:f>IF($A360="","",[1]!thsiFinD("ths_adjustment_nv_fund",T$3,$A360))</x:f>
        <x:v>#NAME?</x:v>
      </x:c>
      <x:c r="U360" t="e">
        <x:f>IF($A360="","",[1]!thsiFinD("ths_adjustment_nv_fund",U$3,$A360))</x:f>
        <x:v>#NAME?</x:v>
      </x:c>
      <x:c r="V360" t="e">
        <x:f>IF($A360="","",[1]!thsiFinD("ths_adjustment_nv_fund",V$3,$A360))</x:f>
        <x:v>#NAME?</x:v>
      </x:c>
      <x:c r="W360" t="e">
        <x:f>IF($A360="","",[1]!thsiFinD("ths_adjustment_nv_fund",W$3,$A360))</x:f>
        <x:v>#NAME?</x:v>
      </x:c>
      <x:c r="X360" t="e">
        <x:f>IF($A360="","",[1]!thsiFinD("ths_adjustment_nv_fund",X$3,$A360))</x:f>
        <x:v>#NAME?</x:v>
      </x:c>
      <x:c r="Y360" t="e">
        <x:f>IF($A360="","",[1]!thsiFinD("ths_adjustment_nv_fund",Y$3,$A360))</x:f>
        <x:v>#NAME?</x:v>
      </x:c>
    </x:row>
    <x:row r="361">
      <x:c r="B361" t="e">
        <x:f>IF($A361="","",[1]!thsiFinD("ths_adjustment_nv_fund",B$3,$A361))</x:f>
        <x:v>#NAME?</x:v>
      </x:c>
      <x:c r="C361" t="e">
        <x:f>IF($A361="","",[1]!thsiFinD("ths_adjustment_nv_fund",C$3,$A361))</x:f>
        <x:v>#NAME?</x:v>
      </x:c>
      <x:c r="D361" t="e">
        <x:f>IF($A361="","",[1]!thsiFinD("ths_adjustment_nv_fund",D$3,$A361))</x:f>
        <x:v>#NAME?</x:v>
      </x:c>
      <x:c r="E361" t="e">
        <x:f>IF($A361="","",[1]!thsiFinD("ths_adjustment_nv_fund",E$3,$A361))</x:f>
        <x:v>#NAME?</x:v>
      </x:c>
      <x:c r="F361" t="e">
        <x:f>IF($A361="","",[1]!thsiFinD("ths_adjustment_nv_fund",F$3,$A361))</x:f>
        <x:v>#NAME?</x:v>
      </x:c>
      <x:c r="G361" t="e">
        <x:f>IF($A361="","",[1]!thsiFinD("ths_adjustment_nv_fund",G$3,$A361))</x:f>
        <x:v>#NAME?</x:v>
      </x:c>
      <x:c r="H361" t="e">
        <x:f>IF($A361="","",[1]!thsiFinD("ths_adjustment_nv_fund",H$3,$A361))</x:f>
        <x:v>#NAME?</x:v>
      </x:c>
      <x:c r="I361" t="e">
        <x:f>IF($A361="","",[1]!thsiFinD("ths_adjustment_nv_fund",I$3,$A361))</x:f>
        <x:v>#NAME?</x:v>
      </x:c>
      <x:c r="J361" t="e">
        <x:f>IF($A361="","",[1]!thsiFinD("ths_adjustment_nv_fund",J$3,$A361))</x:f>
        <x:v>#NAME?</x:v>
      </x:c>
      <x:c r="K361" t="e">
        <x:f>IF($A361="","",[1]!thsiFinD("ths_adjustment_nv_fund",K$3,$A361))</x:f>
        <x:v>#NAME?</x:v>
      </x:c>
      <x:c r="L361" t="e">
        <x:f>IF($A361="","",[1]!thsiFinD("ths_adjustment_nv_fund",L$3,$A361))</x:f>
        <x:v>#NAME?</x:v>
      </x:c>
      <x:c r="M361" t="e">
        <x:f>IF($A361="","",[1]!thsiFinD("ths_adjustment_nv_fund",M$3,$A361))</x:f>
        <x:v>#NAME?</x:v>
      </x:c>
      <x:c r="N361" t="e">
        <x:f>IF($A361="","",[1]!thsiFinD("ths_adjustment_nv_fund",N$3,$A361))</x:f>
        <x:v>#NAME?</x:v>
      </x:c>
      <x:c r="O361" t="e">
        <x:f>IF($A361="","",[1]!thsiFinD("ths_adjustment_nv_fund",O$3,$A361))</x:f>
        <x:v>#NAME?</x:v>
      </x:c>
      <x:c r="P361" t="e">
        <x:f>IF($A361="","",[1]!thsiFinD("ths_adjustment_nv_fund",P$3,$A361))</x:f>
        <x:v>#NAME?</x:v>
      </x:c>
      <x:c r="Q361" t="e">
        <x:f>IF($A361="","",[1]!thsiFinD("ths_adjustment_nv_fund",Q$3,$A361))</x:f>
        <x:v>#NAME?</x:v>
      </x:c>
      <x:c r="R361" t="e">
        <x:f>IF($A361="","",[1]!thsiFinD("ths_adjustment_nv_fund",R$3,$A361))</x:f>
        <x:v>#NAME?</x:v>
      </x:c>
      <x:c r="S361" t="e">
        <x:f>IF($A361="","",[1]!thsiFinD("ths_adjustment_nv_fund",S$3,$A361))</x:f>
        <x:v>#NAME?</x:v>
      </x:c>
      <x:c r="T361" t="e">
        <x:f>IF($A361="","",[1]!thsiFinD("ths_adjustment_nv_fund",T$3,$A361))</x:f>
        <x:v>#NAME?</x:v>
      </x:c>
      <x:c r="U361" t="e">
        <x:f>IF($A361="","",[1]!thsiFinD("ths_adjustment_nv_fund",U$3,$A361))</x:f>
        <x:v>#NAME?</x:v>
      </x:c>
      <x:c r="V361" t="e">
        <x:f>IF($A361="","",[1]!thsiFinD("ths_adjustment_nv_fund",V$3,$A361))</x:f>
        <x:v>#NAME?</x:v>
      </x:c>
      <x:c r="W361" t="e">
        <x:f>IF($A361="","",[1]!thsiFinD("ths_adjustment_nv_fund",W$3,$A361))</x:f>
        <x:v>#NAME?</x:v>
      </x:c>
      <x:c r="X361" t="e">
        <x:f>IF($A361="","",[1]!thsiFinD("ths_adjustment_nv_fund",X$3,$A361))</x:f>
        <x:v>#NAME?</x:v>
      </x:c>
      <x:c r="Y361" t="e">
        <x:f>IF($A361="","",[1]!thsiFinD("ths_adjustment_nv_fund",Y$3,$A361))</x:f>
        <x:v>#NAME?</x:v>
      </x:c>
    </x:row>
    <x:row r="362">
      <x:c r="B362" t="e">
        <x:f>IF($A362="","",[1]!thsiFinD("ths_adjustment_nv_fund",B$3,$A362))</x:f>
        <x:v>#NAME?</x:v>
      </x:c>
      <x:c r="C362" t="e">
        <x:f>IF($A362="","",[1]!thsiFinD("ths_adjustment_nv_fund",C$3,$A362))</x:f>
        <x:v>#NAME?</x:v>
      </x:c>
      <x:c r="D362" t="e">
        <x:f>IF($A362="","",[1]!thsiFinD("ths_adjustment_nv_fund",D$3,$A362))</x:f>
        <x:v>#NAME?</x:v>
      </x:c>
      <x:c r="E362" t="e">
        <x:f>IF($A362="","",[1]!thsiFinD("ths_adjustment_nv_fund",E$3,$A362))</x:f>
        <x:v>#NAME?</x:v>
      </x:c>
      <x:c r="F362" t="e">
        <x:f>IF($A362="","",[1]!thsiFinD("ths_adjustment_nv_fund",F$3,$A362))</x:f>
        <x:v>#NAME?</x:v>
      </x:c>
      <x:c r="G362" t="e">
        <x:f>IF($A362="","",[1]!thsiFinD("ths_adjustment_nv_fund",G$3,$A362))</x:f>
        <x:v>#NAME?</x:v>
      </x:c>
      <x:c r="H362" t="e">
        <x:f>IF($A362="","",[1]!thsiFinD("ths_adjustment_nv_fund",H$3,$A362))</x:f>
        <x:v>#NAME?</x:v>
      </x:c>
      <x:c r="I362" t="e">
        <x:f>IF($A362="","",[1]!thsiFinD("ths_adjustment_nv_fund",I$3,$A362))</x:f>
        <x:v>#NAME?</x:v>
      </x:c>
      <x:c r="J362" t="e">
        <x:f>IF($A362="","",[1]!thsiFinD("ths_adjustment_nv_fund",J$3,$A362))</x:f>
        <x:v>#NAME?</x:v>
      </x:c>
      <x:c r="K362" t="e">
        <x:f>IF($A362="","",[1]!thsiFinD("ths_adjustment_nv_fund",K$3,$A362))</x:f>
        <x:v>#NAME?</x:v>
      </x:c>
      <x:c r="L362" t="e">
        <x:f>IF($A362="","",[1]!thsiFinD("ths_adjustment_nv_fund",L$3,$A362))</x:f>
        <x:v>#NAME?</x:v>
      </x:c>
      <x:c r="M362" t="e">
        <x:f>IF($A362="","",[1]!thsiFinD("ths_adjustment_nv_fund",M$3,$A362))</x:f>
        <x:v>#NAME?</x:v>
      </x:c>
      <x:c r="N362" t="e">
        <x:f>IF($A362="","",[1]!thsiFinD("ths_adjustment_nv_fund",N$3,$A362))</x:f>
        <x:v>#NAME?</x:v>
      </x:c>
      <x:c r="O362" t="e">
        <x:f>IF($A362="","",[1]!thsiFinD("ths_adjustment_nv_fund",O$3,$A362))</x:f>
        <x:v>#NAME?</x:v>
      </x:c>
      <x:c r="P362" t="e">
        <x:f>IF($A362="","",[1]!thsiFinD("ths_adjustment_nv_fund",P$3,$A362))</x:f>
        <x:v>#NAME?</x:v>
      </x:c>
      <x:c r="Q362" t="e">
        <x:f>IF($A362="","",[1]!thsiFinD("ths_adjustment_nv_fund",Q$3,$A362))</x:f>
        <x:v>#NAME?</x:v>
      </x:c>
      <x:c r="R362" t="e">
        <x:f>IF($A362="","",[1]!thsiFinD("ths_adjustment_nv_fund",R$3,$A362))</x:f>
        <x:v>#NAME?</x:v>
      </x:c>
      <x:c r="S362" t="e">
        <x:f>IF($A362="","",[1]!thsiFinD("ths_adjustment_nv_fund",S$3,$A362))</x:f>
        <x:v>#NAME?</x:v>
      </x:c>
      <x:c r="T362" t="e">
        <x:f>IF($A362="","",[1]!thsiFinD("ths_adjustment_nv_fund",T$3,$A362))</x:f>
        <x:v>#NAME?</x:v>
      </x:c>
      <x:c r="U362" t="e">
        <x:f>IF($A362="","",[1]!thsiFinD("ths_adjustment_nv_fund",U$3,$A362))</x:f>
        <x:v>#NAME?</x:v>
      </x:c>
      <x:c r="V362" t="e">
        <x:f>IF($A362="","",[1]!thsiFinD("ths_adjustment_nv_fund",V$3,$A362))</x:f>
        <x:v>#NAME?</x:v>
      </x:c>
      <x:c r="W362" t="e">
        <x:f>IF($A362="","",[1]!thsiFinD("ths_adjustment_nv_fund",W$3,$A362))</x:f>
        <x:v>#NAME?</x:v>
      </x:c>
      <x:c r="X362" t="e">
        <x:f>IF($A362="","",[1]!thsiFinD("ths_adjustment_nv_fund",X$3,$A362))</x:f>
        <x:v>#NAME?</x:v>
      </x:c>
      <x:c r="Y362" t="e">
        <x:f>IF($A362="","",[1]!thsiFinD("ths_adjustment_nv_fund",Y$3,$A362))</x:f>
        <x:v>#NAME?</x:v>
      </x:c>
    </x:row>
    <x:row r="363">
      <x:c r="B363" t="e">
        <x:f>IF($A363="","",[1]!thsiFinD("ths_adjustment_nv_fund",B$3,$A363))</x:f>
        <x:v>#NAME?</x:v>
      </x:c>
      <x:c r="C363" t="e">
        <x:f>IF($A363="","",[1]!thsiFinD("ths_adjustment_nv_fund",C$3,$A363))</x:f>
        <x:v>#NAME?</x:v>
      </x:c>
      <x:c r="D363" t="e">
        <x:f>IF($A363="","",[1]!thsiFinD("ths_adjustment_nv_fund",D$3,$A363))</x:f>
        <x:v>#NAME?</x:v>
      </x:c>
      <x:c r="E363" t="e">
        <x:f>IF($A363="","",[1]!thsiFinD("ths_adjustment_nv_fund",E$3,$A363))</x:f>
        <x:v>#NAME?</x:v>
      </x:c>
      <x:c r="F363" t="e">
        <x:f>IF($A363="","",[1]!thsiFinD("ths_adjustment_nv_fund",F$3,$A363))</x:f>
        <x:v>#NAME?</x:v>
      </x:c>
      <x:c r="G363" t="e">
        <x:f>IF($A363="","",[1]!thsiFinD("ths_adjustment_nv_fund",G$3,$A363))</x:f>
        <x:v>#NAME?</x:v>
      </x:c>
      <x:c r="H363" t="e">
        <x:f>IF($A363="","",[1]!thsiFinD("ths_adjustment_nv_fund",H$3,$A363))</x:f>
        <x:v>#NAME?</x:v>
      </x:c>
      <x:c r="I363" t="e">
        <x:f>IF($A363="","",[1]!thsiFinD("ths_adjustment_nv_fund",I$3,$A363))</x:f>
        <x:v>#NAME?</x:v>
      </x:c>
      <x:c r="J363" t="e">
        <x:f>IF($A363="","",[1]!thsiFinD("ths_adjustment_nv_fund",J$3,$A363))</x:f>
        <x:v>#NAME?</x:v>
      </x:c>
      <x:c r="K363" t="e">
        <x:f>IF($A363="","",[1]!thsiFinD("ths_adjustment_nv_fund",K$3,$A363))</x:f>
        <x:v>#NAME?</x:v>
      </x:c>
      <x:c r="L363" t="e">
        <x:f>IF($A363="","",[1]!thsiFinD("ths_adjustment_nv_fund",L$3,$A363))</x:f>
        <x:v>#NAME?</x:v>
      </x:c>
      <x:c r="M363" t="e">
        <x:f>IF($A363="","",[1]!thsiFinD("ths_adjustment_nv_fund",M$3,$A363))</x:f>
        <x:v>#NAME?</x:v>
      </x:c>
      <x:c r="N363" t="e">
        <x:f>IF($A363="","",[1]!thsiFinD("ths_adjustment_nv_fund",N$3,$A363))</x:f>
        <x:v>#NAME?</x:v>
      </x:c>
      <x:c r="O363" t="e">
        <x:f>IF($A363="","",[1]!thsiFinD("ths_adjustment_nv_fund",O$3,$A363))</x:f>
        <x:v>#NAME?</x:v>
      </x:c>
      <x:c r="P363" t="e">
        <x:f>IF($A363="","",[1]!thsiFinD("ths_adjustment_nv_fund",P$3,$A363))</x:f>
        <x:v>#NAME?</x:v>
      </x:c>
      <x:c r="Q363" t="e">
        <x:f>IF($A363="","",[1]!thsiFinD("ths_adjustment_nv_fund",Q$3,$A363))</x:f>
        <x:v>#NAME?</x:v>
      </x:c>
      <x:c r="R363" t="e">
        <x:f>IF($A363="","",[1]!thsiFinD("ths_adjustment_nv_fund",R$3,$A363))</x:f>
        <x:v>#NAME?</x:v>
      </x:c>
      <x:c r="S363" t="e">
        <x:f>IF($A363="","",[1]!thsiFinD("ths_adjustment_nv_fund",S$3,$A363))</x:f>
        <x:v>#NAME?</x:v>
      </x:c>
      <x:c r="T363" t="e">
        <x:f>IF($A363="","",[1]!thsiFinD("ths_adjustment_nv_fund",T$3,$A363))</x:f>
        <x:v>#NAME?</x:v>
      </x:c>
      <x:c r="U363" t="e">
        <x:f>IF($A363="","",[1]!thsiFinD("ths_adjustment_nv_fund",U$3,$A363))</x:f>
        <x:v>#NAME?</x:v>
      </x:c>
      <x:c r="V363" t="e">
        <x:f>IF($A363="","",[1]!thsiFinD("ths_adjustment_nv_fund",V$3,$A363))</x:f>
        <x:v>#NAME?</x:v>
      </x:c>
      <x:c r="W363" t="e">
        <x:f>IF($A363="","",[1]!thsiFinD("ths_adjustment_nv_fund",W$3,$A363))</x:f>
        <x:v>#NAME?</x:v>
      </x:c>
      <x:c r="X363" t="e">
        <x:f>IF($A363="","",[1]!thsiFinD("ths_adjustment_nv_fund",X$3,$A363))</x:f>
        <x:v>#NAME?</x:v>
      </x:c>
      <x:c r="Y363" t="e">
        <x:f>IF($A363="","",[1]!thsiFinD("ths_adjustment_nv_fund",Y$3,$A363))</x:f>
        <x:v>#NAME?</x:v>
      </x:c>
    </x:row>
    <x:row r="364">
      <x:c r="B364" t="e">
        <x:f>IF($A364="","",[1]!thsiFinD("ths_adjustment_nv_fund",B$3,$A364))</x:f>
        <x:v>#NAME?</x:v>
      </x:c>
      <x:c r="C364" t="e">
        <x:f>IF($A364="","",[1]!thsiFinD("ths_adjustment_nv_fund",C$3,$A364))</x:f>
        <x:v>#NAME?</x:v>
      </x:c>
      <x:c r="D364" t="e">
        <x:f>IF($A364="","",[1]!thsiFinD("ths_adjustment_nv_fund",D$3,$A364))</x:f>
        <x:v>#NAME?</x:v>
      </x:c>
      <x:c r="E364" t="e">
        <x:f>IF($A364="","",[1]!thsiFinD("ths_adjustment_nv_fund",E$3,$A364))</x:f>
        <x:v>#NAME?</x:v>
      </x:c>
      <x:c r="F364" t="e">
        <x:f>IF($A364="","",[1]!thsiFinD("ths_adjustment_nv_fund",F$3,$A364))</x:f>
        <x:v>#NAME?</x:v>
      </x:c>
      <x:c r="G364" t="e">
        <x:f>IF($A364="","",[1]!thsiFinD("ths_adjustment_nv_fund",G$3,$A364))</x:f>
        <x:v>#NAME?</x:v>
      </x:c>
      <x:c r="H364" t="e">
        <x:f>IF($A364="","",[1]!thsiFinD("ths_adjustment_nv_fund",H$3,$A364))</x:f>
        <x:v>#NAME?</x:v>
      </x:c>
      <x:c r="I364" t="e">
        <x:f>IF($A364="","",[1]!thsiFinD("ths_adjustment_nv_fund",I$3,$A364))</x:f>
        <x:v>#NAME?</x:v>
      </x:c>
      <x:c r="J364" t="e">
        <x:f>IF($A364="","",[1]!thsiFinD("ths_adjustment_nv_fund",J$3,$A364))</x:f>
        <x:v>#NAME?</x:v>
      </x:c>
      <x:c r="K364" t="e">
        <x:f>IF($A364="","",[1]!thsiFinD("ths_adjustment_nv_fund",K$3,$A364))</x:f>
        <x:v>#NAME?</x:v>
      </x:c>
      <x:c r="L364" t="e">
        <x:f>IF($A364="","",[1]!thsiFinD("ths_adjustment_nv_fund",L$3,$A364))</x:f>
        <x:v>#NAME?</x:v>
      </x:c>
      <x:c r="M364" t="e">
        <x:f>IF($A364="","",[1]!thsiFinD("ths_adjustment_nv_fund",M$3,$A364))</x:f>
        <x:v>#NAME?</x:v>
      </x:c>
      <x:c r="N364" t="e">
        <x:f>IF($A364="","",[1]!thsiFinD("ths_adjustment_nv_fund",N$3,$A364))</x:f>
        <x:v>#NAME?</x:v>
      </x:c>
      <x:c r="O364" t="e">
        <x:f>IF($A364="","",[1]!thsiFinD("ths_adjustment_nv_fund",O$3,$A364))</x:f>
        <x:v>#NAME?</x:v>
      </x:c>
      <x:c r="P364" t="e">
        <x:f>IF($A364="","",[1]!thsiFinD("ths_adjustment_nv_fund",P$3,$A364))</x:f>
        <x:v>#NAME?</x:v>
      </x:c>
      <x:c r="Q364" t="e">
        <x:f>IF($A364="","",[1]!thsiFinD("ths_adjustment_nv_fund",Q$3,$A364))</x:f>
        <x:v>#NAME?</x:v>
      </x:c>
      <x:c r="R364" t="e">
        <x:f>IF($A364="","",[1]!thsiFinD("ths_adjustment_nv_fund",R$3,$A364))</x:f>
        <x:v>#NAME?</x:v>
      </x:c>
      <x:c r="S364" t="e">
        <x:f>IF($A364="","",[1]!thsiFinD("ths_adjustment_nv_fund",S$3,$A364))</x:f>
        <x:v>#NAME?</x:v>
      </x:c>
      <x:c r="T364" t="e">
        <x:f>IF($A364="","",[1]!thsiFinD("ths_adjustment_nv_fund",T$3,$A364))</x:f>
        <x:v>#NAME?</x:v>
      </x:c>
      <x:c r="U364" t="e">
        <x:f>IF($A364="","",[1]!thsiFinD("ths_adjustment_nv_fund",U$3,$A364))</x:f>
        <x:v>#NAME?</x:v>
      </x:c>
      <x:c r="V364" t="e">
        <x:f>IF($A364="","",[1]!thsiFinD("ths_adjustment_nv_fund",V$3,$A364))</x:f>
        <x:v>#NAME?</x:v>
      </x:c>
      <x:c r="W364" t="e">
        <x:f>IF($A364="","",[1]!thsiFinD("ths_adjustment_nv_fund",W$3,$A364))</x:f>
        <x:v>#NAME?</x:v>
      </x:c>
      <x:c r="X364" t="e">
        <x:f>IF($A364="","",[1]!thsiFinD("ths_adjustment_nv_fund",X$3,$A364))</x:f>
        <x:v>#NAME?</x:v>
      </x:c>
      <x:c r="Y364" t="e">
        <x:f>IF($A364="","",[1]!thsiFinD("ths_adjustment_nv_fund",Y$3,$A364))</x:f>
        <x:v>#NAME?</x:v>
      </x:c>
    </x:row>
    <x:row r="365">
      <x:c r="B365" t="e">
        <x:f>IF($A365="","",[1]!thsiFinD("ths_adjustment_nv_fund",B$3,$A365))</x:f>
        <x:v>#NAME?</x:v>
      </x:c>
      <x:c r="C365" t="e">
        <x:f>IF($A365="","",[1]!thsiFinD("ths_adjustment_nv_fund",C$3,$A365))</x:f>
        <x:v>#NAME?</x:v>
      </x:c>
      <x:c r="D365" t="e">
        <x:f>IF($A365="","",[1]!thsiFinD("ths_adjustment_nv_fund",D$3,$A365))</x:f>
        <x:v>#NAME?</x:v>
      </x:c>
      <x:c r="E365" t="e">
        <x:f>IF($A365="","",[1]!thsiFinD("ths_adjustment_nv_fund",E$3,$A365))</x:f>
        <x:v>#NAME?</x:v>
      </x:c>
      <x:c r="F365" t="e">
        <x:f>IF($A365="","",[1]!thsiFinD("ths_adjustment_nv_fund",F$3,$A365))</x:f>
        <x:v>#NAME?</x:v>
      </x:c>
      <x:c r="G365" t="e">
        <x:f>IF($A365="","",[1]!thsiFinD("ths_adjustment_nv_fund",G$3,$A365))</x:f>
        <x:v>#NAME?</x:v>
      </x:c>
      <x:c r="H365" t="e">
        <x:f>IF($A365="","",[1]!thsiFinD("ths_adjustment_nv_fund",H$3,$A365))</x:f>
        <x:v>#NAME?</x:v>
      </x:c>
      <x:c r="I365" t="e">
        <x:f>IF($A365="","",[1]!thsiFinD("ths_adjustment_nv_fund",I$3,$A365))</x:f>
        <x:v>#NAME?</x:v>
      </x:c>
      <x:c r="J365" t="e">
        <x:f>IF($A365="","",[1]!thsiFinD("ths_adjustment_nv_fund",J$3,$A365))</x:f>
        <x:v>#NAME?</x:v>
      </x:c>
      <x:c r="K365" t="e">
        <x:f>IF($A365="","",[1]!thsiFinD("ths_adjustment_nv_fund",K$3,$A365))</x:f>
        <x:v>#NAME?</x:v>
      </x:c>
      <x:c r="L365" t="e">
        <x:f>IF($A365="","",[1]!thsiFinD("ths_adjustment_nv_fund",L$3,$A365))</x:f>
        <x:v>#NAME?</x:v>
      </x:c>
      <x:c r="M365" t="e">
        <x:f>IF($A365="","",[1]!thsiFinD("ths_adjustment_nv_fund",M$3,$A365))</x:f>
        <x:v>#NAME?</x:v>
      </x:c>
      <x:c r="N365" t="e">
        <x:f>IF($A365="","",[1]!thsiFinD("ths_adjustment_nv_fund",N$3,$A365))</x:f>
        <x:v>#NAME?</x:v>
      </x:c>
      <x:c r="O365" t="e">
        <x:f>IF($A365="","",[1]!thsiFinD("ths_adjustment_nv_fund",O$3,$A365))</x:f>
        <x:v>#NAME?</x:v>
      </x:c>
      <x:c r="P365" t="e">
        <x:f>IF($A365="","",[1]!thsiFinD("ths_adjustment_nv_fund",P$3,$A365))</x:f>
        <x:v>#NAME?</x:v>
      </x:c>
      <x:c r="Q365" t="e">
        <x:f>IF($A365="","",[1]!thsiFinD("ths_adjustment_nv_fund",Q$3,$A365))</x:f>
        <x:v>#NAME?</x:v>
      </x:c>
      <x:c r="R365" t="e">
        <x:f>IF($A365="","",[1]!thsiFinD("ths_adjustment_nv_fund",R$3,$A365))</x:f>
        <x:v>#NAME?</x:v>
      </x:c>
      <x:c r="S365" t="e">
        <x:f>IF($A365="","",[1]!thsiFinD("ths_adjustment_nv_fund",S$3,$A365))</x:f>
        <x:v>#NAME?</x:v>
      </x:c>
      <x:c r="T365" t="e">
        <x:f>IF($A365="","",[1]!thsiFinD("ths_adjustment_nv_fund",T$3,$A365))</x:f>
        <x:v>#NAME?</x:v>
      </x:c>
      <x:c r="U365" t="e">
        <x:f>IF($A365="","",[1]!thsiFinD("ths_adjustment_nv_fund",U$3,$A365))</x:f>
        <x:v>#NAME?</x:v>
      </x:c>
      <x:c r="V365" t="e">
        <x:f>IF($A365="","",[1]!thsiFinD("ths_adjustment_nv_fund",V$3,$A365))</x:f>
        <x:v>#NAME?</x:v>
      </x:c>
      <x:c r="W365" t="e">
        <x:f>IF($A365="","",[1]!thsiFinD("ths_adjustment_nv_fund",W$3,$A365))</x:f>
        <x:v>#NAME?</x:v>
      </x:c>
      <x:c r="X365" t="e">
        <x:f>IF($A365="","",[1]!thsiFinD("ths_adjustment_nv_fund",X$3,$A365))</x:f>
        <x:v>#NAME?</x:v>
      </x:c>
      <x:c r="Y365" t="e">
        <x:f>IF($A365="","",[1]!thsiFinD("ths_adjustment_nv_fund",Y$3,$A365))</x:f>
        <x:v>#NAME?</x:v>
      </x:c>
    </x:row>
    <x:row r="366">
      <x:c r="B366" t="e">
        <x:f>IF($A366="","",[1]!thsiFinD("ths_adjustment_nv_fund",B$3,$A366))</x:f>
        <x:v>#NAME?</x:v>
      </x:c>
      <x:c r="C366" t="e">
        <x:f>IF($A366="","",[1]!thsiFinD("ths_adjustment_nv_fund",C$3,$A366))</x:f>
        <x:v>#NAME?</x:v>
      </x:c>
      <x:c r="D366" t="e">
        <x:f>IF($A366="","",[1]!thsiFinD("ths_adjustment_nv_fund",D$3,$A366))</x:f>
        <x:v>#NAME?</x:v>
      </x:c>
      <x:c r="E366" t="e">
        <x:f>IF($A366="","",[1]!thsiFinD("ths_adjustment_nv_fund",E$3,$A366))</x:f>
        <x:v>#NAME?</x:v>
      </x:c>
      <x:c r="F366" t="e">
        <x:f>IF($A366="","",[1]!thsiFinD("ths_adjustment_nv_fund",F$3,$A366))</x:f>
        <x:v>#NAME?</x:v>
      </x:c>
      <x:c r="G366" t="e">
        <x:f>IF($A366="","",[1]!thsiFinD("ths_adjustment_nv_fund",G$3,$A366))</x:f>
        <x:v>#NAME?</x:v>
      </x:c>
      <x:c r="H366" t="e">
        <x:f>IF($A366="","",[1]!thsiFinD("ths_adjustment_nv_fund",H$3,$A366))</x:f>
        <x:v>#NAME?</x:v>
      </x:c>
      <x:c r="I366" t="e">
        <x:f>IF($A366="","",[1]!thsiFinD("ths_adjustment_nv_fund",I$3,$A366))</x:f>
        <x:v>#NAME?</x:v>
      </x:c>
      <x:c r="J366" t="e">
        <x:f>IF($A366="","",[1]!thsiFinD("ths_adjustment_nv_fund",J$3,$A366))</x:f>
        <x:v>#NAME?</x:v>
      </x:c>
      <x:c r="K366" t="e">
        <x:f>IF($A366="","",[1]!thsiFinD("ths_adjustment_nv_fund",K$3,$A366))</x:f>
        <x:v>#NAME?</x:v>
      </x:c>
      <x:c r="L366" t="e">
        <x:f>IF($A366="","",[1]!thsiFinD("ths_adjustment_nv_fund",L$3,$A366))</x:f>
        <x:v>#NAME?</x:v>
      </x:c>
      <x:c r="M366" t="e">
        <x:f>IF($A366="","",[1]!thsiFinD("ths_adjustment_nv_fund",M$3,$A366))</x:f>
        <x:v>#NAME?</x:v>
      </x:c>
      <x:c r="N366" t="e">
        <x:f>IF($A366="","",[1]!thsiFinD("ths_adjustment_nv_fund",N$3,$A366))</x:f>
        <x:v>#NAME?</x:v>
      </x:c>
      <x:c r="O366" t="e">
        <x:f>IF($A366="","",[1]!thsiFinD("ths_adjustment_nv_fund",O$3,$A366))</x:f>
        <x:v>#NAME?</x:v>
      </x:c>
      <x:c r="P366" t="e">
        <x:f>IF($A366="","",[1]!thsiFinD("ths_adjustment_nv_fund",P$3,$A366))</x:f>
        <x:v>#NAME?</x:v>
      </x:c>
      <x:c r="Q366" t="e">
        <x:f>IF($A366="","",[1]!thsiFinD("ths_adjustment_nv_fund",Q$3,$A366))</x:f>
        <x:v>#NAME?</x:v>
      </x:c>
      <x:c r="R366" t="e">
        <x:f>IF($A366="","",[1]!thsiFinD("ths_adjustment_nv_fund",R$3,$A366))</x:f>
        <x:v>#NAME?</x:v>
      </x:c>
      <x:c r="S366" t="e">
        <x:f>IF($A366="","",[1]!thsiFinD("ths_adjustment_nv_fund",S$3,$A366))</x:f>
        <x:v>#NAME?</x:v>
      </x:c>
      <x:c r="T366" t="e">
        <x:f>IF($A366="","",[1]!thsiFinD("ths_adjustment_nv_fund",T$3,$A366))</x:f>
        <x:v>#NAME?</x:v>
      </x:c>
      <x:c r="U366" t="e">
        <x:f>IF($A366="","",[1]!thsiFinD("ths_adjustment_nv_fund",U$3,$A366))</x:f>
        <x:v>#NAME?</x:v>
      </x:c>
      <x:c r="V366" t="e">
        <x:f>IF($A366="","",[1]!thsiFinD("ths_adjustment_nv_fund",V$3,$A366))</x:f>
        <x:v>#NAME?</x:v>
      </x:c>
      <x:c r="W366" t="e">
        <x:f>IF($A366="","",[1]!thsiFinD("ths_adjustment_nv_fund",W$3,$A366))</x:f>
        <x:v>#NAME?</x:v>
      </x:c>
      <x:c r="X366" t="e">
        <x:f>IF($A366="","",[1]!thsiFinD("ths_adjustment_nv_fund",X$3,$A366))</x:f>
        <x:v>#NAME?</x:v>
      </x:c>
      <x:c r="Y366" t="e">
        <x:f>IF($A366="","",[1]!thsiFinD("ths_adjustment_nv_fund",Y$3,$A366))</x:f>
        <x:v>#NAME?</x:v>
      </x:c>
    </x:row>
    <x:row r="367">
      <x:c r="B367" t="e">
        <x:f>IF($A367="","",[1]!thsiFinD("ths_adjustment_nv_fund",B$3,$A367))</x:f>
        <x:v>#NAME?</x:v>
      </x:c>
      <x:c r="C367" t="e">
        <x:f>IF($A367="","",[1]!thsiFinD("ths_adjustment_nv_fund",C$3,$A367))</x:f>
        <x:v>#NAME?</x:v>
      </x:c>
      <x:c r="D367" t="e">
        <x:f>IF($A367="","",[1]!thsiFinD("ths_adjustment_nv_fund",D$3,$A367))</x:f>
        <x:v>#NAME?</x:v>
      </x:c>
      <x:c r="E367" t="e">
        <x:f>IF($A367="","",[1]!thsiFinD("ths_adjustment_nv_fund",E$3,$A367))</x:f>
        <x:v>#NAME?</x:v>
      </x:c>
      <x:c r="F367" t="e">
        <x:f>IF($A367="","",[1]!thsiFinD("ths_adjustment_nv_fund",F$3,$A367))</x:f>
        <x:v>#NAME?</x:v>
      </x:c>
      <x:c r="G367" t="e">
        <x:f>IF($A367="","",[1]!thsiFinD("ths_adjustment_nv_fund",G$3,$A367))</x:f>
        <x:v>#NAME?</x:v>
      </x:c>
      <x:c r="H367" t="e">
        <x:f>IF($A367="","",[1]!thsiFinD("ths_adjustment_nv_fund",H$3,$A367))</x:f>
        <x:v>#NAME?</x:v>
      </x:c>
      <x:c r="I367" t="e">
        <x:f>IF($A367="","",[1]!thsiFinD("ths_adjustment_nv_fund",I$3,$A367))</x:f>
        <x:v>#NAME?</x:v>
      </x:c>
      <x:c r="J367" t="e">
        <x:f>IF($A367="","",[1]!thsiFinD("ths_adjustment_nv_fund",J$3,$A367))</x:f>
        <x:v>#NAME?</x:v>
      </x:c>
      <x:c r="K367" t="e">
        <x:f>IF($A367="","",[1]!thsiFinD("ths_adjustment_nv_fund",K$3,$A367))</x:f>
        <x:v>#NAME?</x:v>
      </x:c>
      <x:c r="L367" t="e">
        <x:f>IF($A367="","",[1]!thsiFinD("ths_adjustment_nv_fund",L$3,$A367))</x:f>
        <x:v>#NAME?</x:v>
      </x:c>
      <x:c r="M367" t="e">
        <x:f>IF($A367="","",[1]!thsiFinD("ths_adjustment_nv_fund",M$3,$A367))</x:f>
        <x:v>#NAME?</x:v>
      </x:c>
      <x:c r="N367" t="e">
        <x:f>IF($A367="","",[1]!thsiFinD("ths_adjustment_nv_fund",N$3,$A367))</x:f>
        <x:v>#NAME?</x:v>
      </x:c>
      <x:c r="O367" t="e">
        <x:f>IF($A367="","",[1]!thsiFinD("ths_adjustment_nv_fund",O$3,$A367))</x:f>
        <x:v>#NAME?</x:v>
      </x:c>
      <x:c r="P367" t="e">
        <x:f>IF($A367="","",[1]!thsiFinD("ths_adjustment_nv_fund",P$3,$A367))</x:f>
        <x:v>#NAME?</x:v>
      </x:c>
      <x:c r="Q367" t="e">
        <x:f>IF($A367="","",[1]!thsiFinD("ths_adjustment_nv_fund",Q$3,$A367))</x:f>
        <x:v>#NAME?</x:v>
      </x:c>
      <x:c r="R367" t="e">
        <x:f>IF($A367="","",[1]!thsiFinD("ths_adjustment_nv_fund",R$3,$A367))</x:f>
        <x:v>#NAME?</x:v>
      </x:c>
      <x:c r="S367" t="e">
        <x:f>IF($A367="","",[1]!thsiFinD("ths_adjustment_nv_fund",S$3,$A367))</x:f>
        <x:v>#NAME?</x:v>
      </x:c>
      <x:c r="T367" t="e">
        <x:f>IF($A367="","",[1]!thsiFinD("ths_adjustment_nv_fund",T$3,$A367))</x:f>
        <x:v>#NAME?</x:v>
      </x:c>
      <x:c r="U367" t="e">
        <x:f>IF($A367="","",[1]!thsiFinD("ths_adjustment_nv_fund",U$3,$A367))</x:f>
        <x:v>#NAME?</x:v>
      </x:c>
      <x:c r="V367" t="e">
        <x:f>IF($A367="","",[1]!thsiFinD("ths_adjustment_nv_fund",V$3,$A367))</x:f>
        <x:v>#NAME?</x:v>
      </x:c>
      <x:c r="W367" t="e">
        <x:f>IF($A367="","",[1]!thsiFinD("ths_adjustment_nv_fund",W$3,$A367))</x:f>
        <x:v>#NAME?</x:v>
      </x:c>
      <x:c r="X367" t="e">
        <x:f>IF($A367="","",[1]!thsiFinD("ths_adjustment_nv_fund",X$3,$A367))</x:f>
        <x:v>#NAME?</x:v>
      </x:c>
      <x:c r="Y367" t="e">
        <x:f>IF($A367="","",[1]!thsiFinD("ths_adjustment_nv_fund",Y$3,$A367))</x:f>
        <x:v>#NAME?</x:v>
      </x:c>
    </x:row>
    <x:row r="368">
      <x:c r="B368" t="e">
        <x:f>IF($A368="","",[1]!thsiFinD("ths_adjustment_nv_fund",B$3,$A368))</x:f>
        <x:v>#NAME?</x:v>
      </x:c>
      <x:c r="C368" t="e">
        <x:f>IF($A368="","",[1]!thsiFinD("ths_adjustment_nv_fund",C$3,$A368))</x:f>
        <x:v>#NAME?</x:v>
      </x:c>
      <x:c r="D368" t="e">
        <x:f>IF($A368="","",[1]!thsiFinD("ths_adjustment_nv_fund",D$3,$A368))</x:f>
        <x:v>#NAME?</x:v>
      </x:c>
      <x:c r="E368" t="e">
        <x:f>IF($A368="","",[1]!thsiFinD("ths_adjustment_nv_fund",E$3,$A368))</x:f>
        <x:v>#NAME?</x:v>
      </x:c>
      <x:c r="F368" t="e">
        <x:f>IF($A368="","",[1]!thsiFinD("ths_adjustment_nv_fund",F$3,$A368))</x:f>
        <x:v>#NAME?</x:v>
      </x:c>
      <x:c r="G368" t="e">
        <x:f>IF($A368="","",[1]!thsiFinD("ths_adjustment_nv_fund",G$3,$A368))</x:f>
        <x:v>#NAME?</x:v>
      </x:c>
      <x:c r="H368" t="e">
        <x:f>IF($A368="","",[1]!thsiFinD("ths_adjustment_nv_fund",H$3,$A368))</x:f>
        <x:v>#NAME?</x:v>
      </x:c>
      <x:c r="I368" t="e">
        <x:f>IF($A368="","",[1]!thsiFinD("ths_adjustment_nv_fund",I$3,$A368))</x:f>
        <x:v>#NAME?</x:v>
      </x:c>
      <x:c r="J368" t="e">
        <x:f>IF($A368="","",[1]!thsiFinD("ths_adjustment_nv_fund",J$3,$A368))</x:f>
        <x:v>#NAME?</x:v>
      </x:c>
      <x:c r="K368" t="e">
        <x:f>IF($A368="","",[1]!thsiFinD("ths_adjustment_nv_fund",K$3,$A368))</x:f>
        <x:v>#NAME?</x:v>
      </x:c>
      <x:c r="L368" t="e">
        <x:f>IF($A368="","",[1]!thsiFinD("ths_adjustment_nv_fund",L$3,$A368))</x:f>
        <x:v>#NAME?</x:v>
      </x:c>
      <x:c r="M368" t="e">
        <x:f>IF($A368="","",[1]!thsiFinD("ths_adjustment_nv_fund",M$3,$A368))</x:f>
        <x:v>#NAME?</x:v>
      </x:c>
      <x:c r="N368" t="e">
        <x:f>IF($A368="","",[1]!thsiFinD("ths_adjustment_nv_fund",N$3,$A368))</x:f>
        <x:v>#NAME?</x:v>
      </x:c>
      <x:c r="O368" t="e">
        <x:f>IF($A368="","",[1]!thsiFinD("ths_adjustment_nv_fund",O$3,$A368))</x:f>
        <x:v>#NAME?</x:v>
      </x:c>
      <x:c r="P368" t="e">
        <x:f>IF($A368="","",[1]!thsiFinD("ths_adjustment_nv_fund",P$3,$A368))</x:f>
        <x:v>#NAME?</x:v>
      </x:c>
      <x:c r="Q368" t="e">
        <x:f>IF($A368="","",[1]!thsiFinD("ths_adjustment_nv_fund",Q$3,$A368))</x:f>
        <x:v>#NAME?</x:v>
      </x:c>
      <x:c r="R368" t="e">
        <x:f>IF($A368="","",[1]!thsiFinD("ths_adjustment_nv_fund",R$3,$A368))</x:f>
        <x:v>#NAME?</x:v>
      </x:c>
      <x:c r="S368" t="e">
        <x:f>IF($A368="","",[1]!thsiFinD("ths_adjustment_nv_fund",S$3,$A368))</x:f>
        <x:v>#NAME?</x:v>
      </x:c>
      <x:c r="T368" t="e">
        <x:f>IF($A368="","",[1]!thsiFinD("ths_adjustment_nv_fund",T$3,$A368))</x:f>
        <x:v>#NAME?</x:v>
      </x:c>
      <x:c r="U368" t="e">
        <x:f>IF($A368="","",[1]!thsiFinD("ths_adjustment_nv_fund",U$3,$A368))</x:f>
        <x:v>#NAME?</x:v>
      </x:c>
      <x:c r="V368" t="e">
        <x:f>IF($A368="","",[1]!thsiFinD("ths_adjustment_nv_fund",V$3,$A368))</x:f>
        <x:v>#NAME?</x:v>
      </x:c>
      <x:c r="W368" t="e">
        <x:f>IF($A368="","",[1]!thsiFinD("ths_adjustment_nv_fund",W$3,$A368))</x:f>
        <x:v>#NAME?</x:v>
      </x:c>
      <x:c r="X368" t="e">
        <x:f>IF($A368="","",[1]!thsiFinD("ths_adjustment_nv_fund",X$3,$A368))</x:f>
        <x:v>#NAME?</x:v>
      </x:c>
      <x:c r="Y368" t="e">
        <x:f>IF($A368="","",[1]!thsiFinD("ths_adjustment_nv_fund",Y$3,$A368))</x:f>
        <x:v>#NAME?</x:v>
      </x:c>
    </x:row>
    <x:row r="369">
      <x:c r="B369" t="e">
        <x:f>IF($A369="","",[1]!thsiFinD("ths_adjustment_nv_fund",B$3,$A369))</x:f>
        <x:v>#NAME?</x:v>
      </x:c>
      <x:c r="C369" t="e">
        <x:f>IF($A369="","",[1]!thsiFinD("ths_adjustment_nv_fund",C$3,$A369))</x:f>
        <x:v>#NAME?</x:v>
      </x:c>
      <x:c r="D369" t="e">
        <x:f>IF($A369="","",[1]!thsiFinD("ths_adjustment_nv_fund",D$3,$A369))</x:f>
        <x:v>#NAME?</x:v>
      </x:c>
      <x:c r="E369" t="e">
        <x:f>IF($A369="","",[1]!thsiFinD("ths_adjustment_nv_fund",E$3,$A369))</x:f>
        <x:v>#NAME?</x:v>
      </x:c>
      <x:c r="F369" t="e">
        <x:f>IF($A369="","",[1]!thsiFinD("ths_adjustment_nv_fund",F$3,$A369))</x:f>
        <x:v>#NAME?</x:v>
      </x:c>
      <x:c r="G369" t="e">
        <x:f>IF($A369="","",[1]!thsiFinD("ths_adjustment_nv_fund",G$3,$A369))</x:f>
        <x:v>#NAME?</x:v>
      </x:c>
      <x:c r="H369" t="e">
        <x:f>IF($A369="","",[1]!thsiFinD("ths_adjustment_nv_fund",H$3,$A369))</x:f>
        <x:v>#NAME?</x:v>
      </x:c>
      <x:c r="I369" t="e">
        <x:f>IF($A369="","",[1]!thsiFinD("ths_adjustment_nv_fund",I$3,$A369))</x:f>
        <x:v>#NAME?</x:v>
      </x:c>
      <x:c r="J369" t="e">
        <x:f>IF($A369="","",[1]!thsiFinD("ths_adjustment_nv_fund",J$3,$A369))</x:f>
        <x:v>#NAME?</x:v>
      </x:c>
      <x:c r="K369" t="e">
        <x:f>IF($A369="","",[1]!thsiFinD("ths_adjustment_nv_fund",K$3,$A369))</x:f>
        <x:v>#NAME?</x:v>
      </x:c>
      <x:c r="L369" t="e">
        <x:f>IF($A369="","",[1]!thsiFinD("ths_adjustment_nv_fund",L$3,$A369))</x:f>
        <x:v>#NAME?</x:v>
      </x:c>
      <x:c r="M369" t="e">
        <x:f>IF($A369="","",[1]!thsiFinD("ths_adjustment_nv_fund",M$3,$A369))</x:f>
        <x:v>#NAME?</x:v>
      </x:c>
      <x:c r="N369" t="e">
        <x:f>IF($A369="","",[1]!thsiFinD("ths_adjustment_nv_fund",N$3,$A369))</x:f>
        <x:v>#NAME?</x:v>
      </x:c>
      <x:c r="O369" t="e">
        <x:f>IF($A369="","",[1]!thsiFinD("ths_adjustment_nv_fund",O$3,$A369))</x:f>
        <x:v>#NAME?</x:v>
      </x:c>
      <x:c r="P369" t="e">
        <x:f>IF($A369="","",[1]!thsiFinD("ths_adjustment_nv_fund",P$3,$A369))</x:f>
        <x:v>#NAME?</x:v>
      </x:c>
      <x:c r="Q369" t="e">
        <x:f>IF($A369="","",[1]!thsiFinD("ths_adjustment_nv_fund",Q$3,$A369))</x:f>
        <x:v>#NAME?</x:v>
      </x:c>
      <x:c r="R369" t="e">
        <x:f>IF($A369="","",[1]!thsiFinD("ths_adjustment_nv_fund",R$3,$A369))</x:f>
        <x:v>#NAME?</x:v>
      </x:c>
      <x:c r="S369" t="e">
        <x:f>IF($A369="","",[1]!thsiFinD("ths_adjustment_nv_fund",S$3,$A369))</x:f>
        <x:v>#NAME?</x:v>
      </x:c>
      <x:c r="T369" t="e">
        <x:f>IF($A369="","",[1]!thsiFinD("ths_adjustment_nv_fund",T$3,$A369))</x:f>
        <x:v>#NAME?</x:v>
      </x:c>
      <x:c r="U369" t="e">
        <x:f>IF($A369="","",[1]!thsiFinD("ths_adjustment_nv_fund",U$3,$A369))</x:f>
        <x:v>#NAME?</x:v>
      </x:c>
      <x:c r="V369" t="e">
        <x:f>IF($A369="","",[1]!thsiFinD("ths_adjustment_nv_fund",V$3,$A369))</x:f>
        <x:v>#NAME?</x:v>
      </x:c>
      <x:c r="W369" t="e">
        <x:f>IF($A369="","",[1]!thsiFinD("ths_adjustment_nv_fund",W$3,$A369))</x:f>
        <x:v>#NAME?</x:v>
      </x:c>
      <x:c r="X369" t="e">
        <x:f>IF($A369="","",[1]!thsiFinD("ths_adjustment_nv_fund",X$3,$A369))</x:f>
        <x:v>#NAME?</x:v>
      </x:c>
      <x:c r="Y369" t="e">
        <x:f>IF($A369="","",[1]!thsiFinD("ths_adjustment_nv_fund",Y$3,$A369))</x:f>
        <x:v>#NAME?</x:v>
      </x:c>
    </x:row>
    <x:row r="370">
      <x:c r="B370" t="e">
        <x:f>IF($A370="","",[1]!thsiFinD("ths_adjustment_nv_fund",B$3,$A370))</x:f>
        <x:v>#NAME?</x:v>
      </x:c>
      <x:c r="C370" t="e">
        <x:f>IF($A370="","",[1]!thsiFinD("ths_adjustment_nv_fund",C$3,$A370))</x:f>
        <x:v>#NAME?</x:v>
      </x:c>
      <x:c r="D370" t="e">
        <x:f>IF($A370="","",[1]!thsiFinD("ths_adjustment_nv_fund",D$3,$A370))</x:f>
        <x:v>#NAME?</x:v>
      </x:c>
      <x:c r="E370" t="e">
        <x:f>IF($A370="","",[1]!thsiFinD("ths_adjustment_nv_fund",E$3,$A370))</x:f>
        <x:v>#NAME?</x:v>
      </x:c>
      <x:c r="F370" t="e">
        <x:f>IF($A370="","",[1]!thsiFinD("ths_adjustment_nv_fund",F$3,$A370))</x:f>
        <x:v>#NAME?</x:v>
      </x:c>
      <x:c r="G370" t="e">
        <x:f>IF($A370="","",[1]!thsiFinD("ths_adjustment_nv_fund",G$3,$A370))</x:f>
        <x:v>#NAME?</x:v>
      </x:c>
      <x:c r="H370" t="e">
        <x:f>IF($A370="","",[1]!thsiFinD("ths_adjustment_nv_fund",H$3,$A370))</x:f>
        <x:v>#NAME?</x:v>
      </x:c>
      <x:c r="I370" t="e">
        <x:f>IF($A370="","",[1]!thsiFinD("ths_adjustment_nv_fund",I$3,$A370))</x:f>
        <x:v>#NAME?</x:v>
      </x:c>
      <x:c r="J370" t="e">
        <x:f>IF($A370="","",[1]!thsiFinD("ths_adjustment_nv_fund",J$3,$A370))</x:f>
        <x:v>#NAME?</x:v>
      </x:c>
      <x:c r="K370" t="e">
        <x:f>IF($A370="","",[1]!thsiFinD("ths_adjustment_nv_fund",K$3,$A370))</x:f>
        <x:v>#NAME?</x:v>
      </x:c>
      <x:c r="L370" t="e">
        <x:f>IF($A370="","",[1]!thsiFinD("ths_adjustment_nv_fund",L$3,$A370))</x:f>
        <x:v>#NAME?</x:v>
      </x:c>
      <x:c r="M370" t="e">
        <x:f>IF($A370="","",[1]!thsiFinD("ths_adjustment_nv_fund",M$3,$A370))</x:f>
        <x:v>#NAME?</x:v>
      </x:c>
      <x:c r="N370" t="e">
        <x:f>IF($A370="","",[1]!thsiFinD("ths_adjustment_nv_fund",N$3,$A370))</x:f>
        <x:v>#NAME?</x:v>
      </x:c>
      <x:c r="O370" t="e">
        <x:f>IF($A370="","",[1]!thsiFinD("ths_adjustment_nv_fund",O$3,$A370))</x:f>
        <x:v>#NAME?</x:v>
      </x:c>
      <x:c r="P370" t="e">
        <x:f>IF($A370="","",[1]!thsiFinD("ths_adjustment_nv_fund",P$3,$A370))</x:f>
        <x:v>#NAME?</x:v>
      </x:c>
      <x:c r="Q370" t="e">
        <x:f>IF($A370="","",[1]!thsiFinD("ths_adjustment_nv_fund",Q$3,$A370))</x:f>
        <x:v>#NAME?</x:v>
      </x:c>
      <x:c r="R370" t="e">
        <x:f>IF($A370="","",[1]!thsiFinD("ths_adjustment_nv_fund",R$3,$A370))</x:f>
        <x:v>#NAME?</x:v>
      </x:c>
      <x:c r="S370" t="e">
        <x:f>IF($A370="","",[1]!thsiFinD("ths_adjustment_nv_fund",S$3,$A370))</x:f>
        <x:v>#NAME?</x:v>
      </x:c>
      <x:c r="T370" t="e">
        <x:f>IF($A370="","",[1]!thsiFinD("ths_adjustment_nv_fund",T$3,$A370))</x:f>
        <x:v>#NAME?</x:v>
      </x:c>
      <x:c r="U370" t="e">
        <x:f>IF($A370="","",[1]!thsiFinD("ths_adjustment_nv_fund",U$3,$A370))</x:f>
        <x:v>#NAME?</x:v>
      </x:c>
      <x:c r="V370" t="e">
        <x:f>IF($A370="","",[1]!thsiFinD("ths_adjustment_nv_fund",V$3,$A370))</x:f>
        <x:v>#NAME?</x:v>
      </x:c>
      <x:c r="W370" t="e">
        <x:f>IF($A370="","",[1]!thsiFinD("ths_adjustment_nv_fund",W$3,$A370))</x:f>
        <x:v>#NAME?</x:v>
      </x:c>
      <x:c r="X370" t="e">
        <x:f>IF($A370="","",[1]!thsiFinD("ths_adjustment_nv_fund",X$3,$A370))</x:f>
        <x:v>#NAME?</x:v>
      </x:c>
      <x:c r="Y370" t="e">
        <x:f>IF($A370="","",[1]!thsiFinD("ths_adjustment_nv_fund",Y$3,$A370))</x:f>
        <x:v>#NAME?</x:v>
      </x:c>
    </x:row>
    <x:row r="371">
      <x:c r="B371" t="e">
        <x:f>IF($A371="","",[1]!thsiFinD("ths_adjustment_nv_fund",B$3,$A371))</x:f>
        <x:v>#NAME?</x:v>
      </x:c>
      <x:c r="C371" t="e">
        <x:f>IF($A371="","",[1]!thsiFinD("ths_adjustment_nv_fund",C$3,$A371))</x:f>
        <x:v>#NAME?</x:v>
      </x:c>
      <x:c r="D371" t="e">
        <x:f>IF($A371="","",[1]!thsiFinD("ths_adjustment_nv_fund",D$3,$A371))</x:f>
        <x:v>#NAME?</x:v>
      </x:c>
      <x:c r="E371" t="e">
        <x:f>IF($A371="","",[1]!thsiFinD("ths_adjustment_nv_fund",E$3,$A371))</x:f>
        <x:v>#NAME?</x:v>
      </x:c>
      <x:c r="F371" t="e">
        <x:f>IF($A371="","",[1]!thsiFinD("ths_adjustment_nv_fund",F$3,$A371))</x:f>
        <x:v>#NAME?</x:v>
      </x:c>
      <x:c r="G371" t="e">
        <x:f>IF($A371="","",[1]!thsiFinD("ths_adjustment_nv_fund",G$3,$A371))</x:f>
        <x:v>#NAME?</x:v>
      </x:c>
      <x:c r="H371" t="e">
        <x:f>IF($A371="","",[1]!thsiFinD("ths_adjustment_nv_fund",H$3,$A371))</x:f>
        <x:v>#NAME?</x:v>
      </x:c>
      <x:c r="I371" t="e">
        <x:f>IF($A371="","",[1]!thsiFinD("ths_adjustment_nv_fund",I$3,$A371))</x:f>
        <x:v>#NAME?</x:v>
      </x:c>
      <x:c r="J371" t="e">
        <x:f>IF($A371="","",[1]!thsiFinD("ths_adjustment_nv_fund",J$3,$A371))</x:f>
        <x:v>#NAME?</x:v>
      </x:c>
      <x:c r="K371" t="e">
        <x:f>IF($A371="","",[1]!thsiFinD("ths_adjustment_nv_fund",K$3,$A371))</x:f>
        <x:v>#NAME?</x:v>
      </x:c>
      <x:c r="L371" t="e">
        <x:f>IF($A371="","",[1]!thsiFinD("ths_adjustment_nv_fund",L$3,$A371))</x:f>
        <x:v>#NAME?</x:v>
      </x:c>
      <x:c r="M371" t="e">
        <x:f>IF($A371="","",[1]!thsiFinD("ths_adjustment_nv_fund",M$3,$A371))</x:f>
        <x:v>#NAME?</x:v>
      </x:c>
      <x:c r="N371" t="e">
        <x:f>IF($A371="","",[1]!thsiFinD("ths_adjustment_nv_fund",N$3,$A371))</x:f>
        <x:v>#NAME?</x:v>
      </x:c>
      <x:c r="O371" t="e">
        <x:f>IF($A371="","",[1]!thsiFinD("ths_adjustment_nv_fund",O$3,$A371))</x:f>
        <x:v>#NAME?</x:v>
      </x:c>
      <x:c r="P371" t="e">
        <x:f>IF($A371="","",[1]!thsiFinD("ths_adjustment_nv_fund",P$3,$A371))</x:f>
        <x:v>#NAME?</x:v>
      </x:c>
      <x:c r="Q371" t="e">
        <x:f>IF($A371="","",[1]!thsiFinD("ths_adjustment_nv_fund",Q$3,$A371))</x:f>
        <x:v>#NAME?</x:v>
      </x:c>
      <x:c r="R371" t="e">
        <x:f>IF($A371="","",[1]!thsiFinD("ths_adjustment_nv_fund",R$3,$A371))</x:f>
        <x:v>#NAME?</x:v>
      </x:c>
      <x:c r="S371" t="e">
        <x:f>IF($A371="","",[1]!thsiFinD("ths_adjustment_nv_fund",S$3,$A371))</x:f>
        <x:v>#NAME?</x:v>
      </x:c>
      <x:c r="T371" t="e">
        <x:f>IF($A371="","",[1]!thsiFinD("ths_adjustment_nv_fund",T$3,$A371))</x:f>
        <x:v>#NAME?</x:v>
      </x:c>
      <x:c r="U371" t="e">
        <x:f>IF($A371="","",[1]!thsiFinD("ths_adjustment_nv_fund",U$3,$A371))</x:f>
        <x:v>#NAME?</x:v>
      </x:c>
      <x:c r="V371" t="e">
        <x:f>IF($A371="","",[1]!thsiFinD("ths_adjustment_nv_fund",V$3,$A371))</x:f>
        <x:v>#NAME?</x:v>
      </x:c>
      <x:c r="W371" t="e">
        <x:f>IF($A371="","",[1]!thsiFinD("ths_adjustment_nv_fund",W$3,$A371))</x:f>
        <x:v>#NAME?</x:v>
      </x:c>
      <x:c r="X371" t="e">
        <x:f>IF($A371="","",[1]!thsiFinD("ths_adjustment_nv_fund",X$3,$A371))</x:f>
        <x:v>#NAME?</x:v>
      </x:c>
      <x:c r="Y371" t="e">
        <x:f>IF($A371="","",[1]!thsiFinD("ths_adjustment_nv_fund",Y$3,$A371))</x:f>
        <x:v>#NAME?</x:v>
      </x:c>
    </x:row>
    <x:row r="372">
      <x:c r="B372" t="e">
        <x:f>IF($A372="","",[1]!thsiFinD("ths_adjustment_nv_fund",B$3,$A372))</x:f>
        <x:v>#NAME?</x:v>
      </x:c>
      <x:c r="C372" t="e">
        <x:f>IF($A372="","",[1]!thsiFinD("ths_adjustment_nv_fund",C$3,$A372))</x:f>
        <x:v>#NAME?</x:v>
      </x:c>
      <x:c r="D372" t="e">
        <x:f>IF($A372="","",[1]!thsiFinD("ths_adjustment_nv_fund",D$3,$A372))</x:f>
        <x:v>#NAME?</x:v>
      </x:c>
      <x:c r="E372" t="e">
        <x:f>IF($A372="","",[1]!thsiFinD("ths_adjustment_nv_fund",E$3,$A372))</x:f>
        <x:v>#NAME?</x:v>
      </x:c>
      <x:c r="F372" t="e">
        <x:f>IF($A372="","",[1]!thsiFinD("ths_adjustment_nv_fund",F$3,$A372))</x:f>
        <x:v>#NAME?</x:v>
      </x:c>
      <x:c r="G372" t="e">
        <x:f>IF($A372="","",[1]!thsiFinD("ths_adjustment_nv_fund",G$3,$A372))</x:f>
        <x:v>#NAME?</x:v>
      </x:c>
      <x:c r="H372" t="e">
        <x:f>IF($A372="","",[1]!thsiFinD("ths_adjustment_nv_fund",H$3,$A372))</x:f>
        <x:v>#NAME?</x:v>
      </x:c>
      <x:c r="I372" t="e">
        <x:f>IF($A372="","",[1]!thsiFinD("ths_adjustment_nv_fund",I$3,$A372))</x:f>
        <x:v>#NAME?</x:v>
      </x:c>
      <x:c r="J372" t="e">
        <x:f>IF($A372="","",[1]!thsiFinD("ths_adjustment_nv_fund",J$3,$A372))</x:f>
        <x:v>#NAME?</x:v>
      </x:c>
      <x:c r="K372" t="e">
        <x:f>IF($A372="","",[1]!thsiFinD("ths_adjustment_nv_fund",K$3,$A372))</x:f>
        <x:v>#NAME?</x:v>
      </x:c>
      <x:c r="L372" t="e">
        <x:f>IF($A372="","",[1]!thsiFinD("ths_adjustment_nv_fund",L$3,$A372))</x:f>
        <x:v>#NAME?</x:v>
      </x:c>
      <x:c r="M372" t="e">
        <x:f>IF($A372="","",[1]!thsiFinD("ths_adjustment_nv_fund",M$3,$A372))</x:f>
        <x:v>#NAME?</x:v>
      </x:c>
      <x:c r="N372" t="e">
        <x:f>IF($A372="","",[1]!thsiFinD("ths_adjustment_nv_fund",N$3,$A372))</x:f>
        <x:v>#NAME?</x:v>
      </x:c>
      <x:c r="O372" t="e">
        <x:f>IF($A372="","",[1]!thsiFinD("ths_adjustment_nv_fund",O$3,$A372))</x:f>
        <x:v>#NAME?</x:v>
      </x:c>
      <x:c r="P372" t="e">
        <x:f>IF($A372="","",[1]!thsiFinD("ths_adjustment_nv_fund",P$3,$A372))</x:f>
        <x:v>#NAME?</x:v>
      </x:c>
      <x:c r="Q372" t="e">
        <x:f>IF($A372="","",[1]!thsiFinD("ths_adjustment_nv_fund",Q$3,$A372))</x:f>
        <x:v>#NAME?</x:v>
      </x:c>
      <x:c r="R372" t="e">
        <x:f>IF($A372="","",[1]!thsiFinD("ths_adjustment_nv_fund",R$3,$A372))</x:f>
        <x:v>#NAME?</x:v>
      </x:c>
      <x:c r="S372" t="e">
        <x:f>IF($A372="","",[1]!thsiFinD("ths_adjustment_nv_fund",S$3,$A372))</x:f>
        <x:v>#NAME?</x:v>
      </x:c>
      <x:c r="T372" t="e">
        <x:f>IF($A372="","",[1]!thsiFinD("ths_adjustment_nv_fund",T$3,$A372))</x:f>
        <x:v>#NAME?</x:v>
      </x:c>
      <x:c r="U372" t="e">
        <x:f>IF($A372="","",[1]!thsiFinD("ths_adjustment_nv_fund",U$3,$A372))</x:f>
        <x:v>#NAME?</x:v>
      </x:c>
      <x:c r="V372" t="e">
        <x:f>IF($A372="","",[1]!thsiFinD("ths_adjustment_nv_fund",V$3,$A372))</x:f>
        <x:v>#NAME?</x:v>
      </x:c>
      <x:c r="W372" t="e">
        <x:f>IF($A372="","",[1]!thsiFinD("ths_adjustment_nv_fund",W$3,$A372))</x:f>
        <x:v>#NAME?</x:v>
      </x:c>
      <x:c r="X372" t="e">
        <x:f>IF($A372="","",[1]!thsiFinD("ths_adjustment_nv_fund",X$3,$A372))</x:f>
        <x:v>#NAME?</x:v>
      </x:c>
      <x:c r="Y372" t="e">
        <x:f>IF($A372="","",[1]!thsiFinD("ths_adjustment_nv_fund",Y$3,$A372))</x:f>
        <x:v>#NAME?</x:v>
      </x:c>
    </x:row>
    <x:row r="373">
      <x:c r="B373" t="e">
        <x:f>IF($A373="","",[1]!thsiFinD("ths_adjustment_nv_fund",B$3,$A373))</x:f>
        <x:v>#NAME?</x:v>
      </x:c>
      <x:c r="C373" t="e">
        <x:f>IF($A373="","",[1]!thsiFinD("ths_adjustment_nv_fund",C$3,$A373))</x:f>
        <x:v>#NAME?</x:v>
      </x:c>
      <x:c r="D373" t="e">
        <x:f>IF($A373="","",[1]!thsiFinD("ths_adjustment_nv_fund",D$3,$A373))</x:f>
        <x:v>#NAME?</x:v>
      </x:c>
      <x:c r="E373" t="e">
        <x:f>IF($A373="","",[1]!thsiFinD("ths_adjustment_nv_fund",E$3,$A373))</x:f>
        <x:v>#NAME?</x:v>
      </x:c>
      <x:c r="F373" t="e">
        <x:f>IF($A373="","",[1]!thsiFinD("ths_adjustment_nv_fund",F$3,$A373))</x:f>
        <x:v>#NAME?</x:v>
      </x:c>
      <x:c r="G373" t="e">
        <x:f>IF($A373="","",[1]!thsiFinD("ths_adjustment_nv_fund",G$3,$A373))</x:f>
        <x:v>#NAME?</x:v>
      </x:c>
      <x:c r="H373" t="e">
        <x:f>IF($A373="","",[1]!thsiFinD("ths_adjustment_nv_fund",H$3,$A373))</x:f>
        <x:v>#NAME?</x:v>
      </x:c>
      <x:c r="I373" t="e">
        <x:f>IF($A373="","",[1]!thsiFinD("ths_adjustment_nv_fund",I$3,$A373))</x:f>
        <x:v>#NAME?</x:v>
      </x:c>
      <x:c r="J373" t="e">
        <x:f>IF($A373="","",[1]!thsiFinD("ths_adjustment_nv_fund",J$3,$A373))</x:f>
        <x:v>#NAME?</x:v>
      </x:c>
      <x:c r="K373" t="e">
        <x:f>IF($A373="","",[1]!thsiFinD("ths_adjustment_nv_fund",K$3,$A373))</x:f>
        <x:v>#NAME?</x:v>
      </x:c>
      <x:c r="L373" t="e">
        <x:f>IF($A373="","",[1]!thsiFinD("ths_adjustment_nv_fund",L$3,$A373))</x:f>
        <x:v>#NAME?</x:v>
      </x:c>
      <x:c r="M373" t="e">
        <x:f>IF($A373="","",[1]!thsiFinD("ths_adjustment_nv_fund",M$3,$A373))</x:f>
        <x:v>#NAME?</x:v>
      </x:c>
      <x:c r="N373" t="e">
        <x:f>IF($A373="","",[1]!thsiFinD("ths_adjustment_nv_fund",N$3,$A373))</x:f>
        <x:v>#NAME?</x:v>
      </x:c>
      <x:c r="O373" t="e">
        <x:f>IF($A373="","",[1]!thsiFinD("ths_adjustment_nv_fund",O$3,$A373))</x:f>
        <x:v>#NAME?</x:v>
      </x:c>
      <x:c r="P373" t="e">
        <x:f>IF($A373="","",[1]!thsiFinD("ths_adjustment_nv_fund",P$3,$A373))</x:f>
        <x:v>#NAME?</x:v>
      </x:c>
      <x:c r="Q373" t="e">
        <x:f>IF($A373="","",[1]!thsiFinD("ths_adjustment_nv_fund",Q$3,$A373))</x:f>
        <x:v>#NAME?</x:v>
      </x:c>
      <x:c r="R373" t="e">
        <x:f>IF($A373="","",[1]!thsiFinD("ths_adjustment_nv_fund",R$3,$A373))</x:f>
        <x:v>#NAME?</x:v>
      </x:c>
      <x:c r="S373" t="e">
        <x:f>IF($A373="","",[1]!thsiFinD("ths_adjustment_nv_fund",S$3,$A373))</x:f>
        <x:v>#NAME?</x:v>
      </x:c>
      <x:c r="T373" t="e">
        <x:f>IF($A373="","",[1]!thsiFinD("ths_adjustment_nv_fund",T$3,$A373))</x:f>
        <x:v>#NAME?</x:v>
      </x:c>
      <x:c r="U373" t="e">
        <x:f>IF($A373="","",[1]!thsiFinD("ths_adjustment_nv_fund",U$3,$A373))</x:f>
        <x:v>#NAME?</x:v>
      </x:c>
      <x:c r="V373" t="e">
        <x:f>IF($A373="","",[1]!thsiFinD("ths_adjustment_nv_fund",V$3,$A373))</x:f>
        <x:v>#NAME?</x:v>
      </x:c>
      <x:c r="W373" t="e">
        <x:f>IF($A373="","",[1]!thsiFinD("ths_adjustment_nv_fund",W$3,$A373))</x:f>
        <x:v>#NAME?</x:v>
      </x:c>
      <x:c r="X373" t="e">
        <x:f>IF($A373="","",[1]!thsiFinD("ths_adjustment_nv_fund",X$3,$A373))</x:f>
        <x:v>#NAME?</x:v>
      </x:c>
      <x:c r="Y373" t="e">
        <x:f>IF($A373="","",[1]!thsiFinD("ths_adjustment_nv_fund",Y$3,$A373))</x:f>
        <x:v>#NAME?</x:v>
      </x:c>
    </x:row>
    <x:row r="374">
      <x:c r="B374" t="e">
        <x:f>IF($A374="","",[1]!thsiFinD("ths_adjustment_nv_fund",B$3,$A374))</x:f>
        <x:v>#NAME?</x:v>
      </x:c>
      <x:c r="C374" t="e">
        <x:f>IF($A374="","",[1]!thsiFinD("ths_adjustment_nv_fund",C$3,$A374))</x:f>
        <x:v>#NAME?</x:v>
      </x:c>
      <x:c r="D374" t="e">
        <x:f>IF($A374="","",[1]!thsiFinD("ths_adjustment_nv_fund",D$3,$A374))</x:f>
        <x:v>#NAME?</x:v>
      </x:c>
      <x:c r="E374" t="e">
        <x:f>IF($A374="","",[1]!thsiFinD("ths_adjustment_nv_fund",E$3,$A374))</x:f>
        <x:v>#NAME?</x:v>
      </x:c>
      <x:c r="F374" t="e">
        <x:f>IF($A374="","",[1]!thsiFinD("ths_adjustment_nv_fund",F$3,$A374))</x:f>
        <x:v>#NAME?</x:v>
      </x:c>
      <x:c r="G374" t="e">
        <x:f>IF($A374="","",[1]!thsiFinD("ths_adjustment_nv_fund",G$3,$A374))</x:f>
        <x:v>#NAME?</x:v>
      </x:c>
      <x:c r="H374" t="e">
        <x:f>IF($A374="","",[1]!thsiFinD("ths_adjustment_nv_fund",H$3,$A374))</x:f>
        <x:v>#NAME?</x:v>
      </x:c>
      <x:c r="I374" t="e">
        <x:f>IF($A374="","",[1]!thsiFinD("ths_adjustment_nv_fund",I$3,$A374))</x:f>
        <x:v>#NAME?</x:v>
      </x:c>
      <x:c r="J374" t="e">
        <x:f>IF($A374="","",[1]!thsiFinD("ths_adjustment_nv_fund",J$3,$A374))</x:f>
        <x:v>#NAME?</x:v>
      </x:c>
      <x:c r="K374" t="e">
        <x:f>IF($A374="","",[1]!thsiFinD("ths_adjustment_nv_fund",K$3,$A374))</x:f>
        <x:v>#NAME?</x:v>
      </x:c>
      <x:c r="L374" t="e">
        <x:f>IF($A374="","",[1]!thsiFinD("ths_adjustment_nv_fund",L$3,$A374))</x:f>
        <x:v>#NAME?</x:v>
      </x:c>
      <x:c r="M374" t="e">
        <x:f>IF($A374="","",[1]!thsiFinD("ths_adjustment_nv_fund",M$3,$A374))</x:f>
        <x:v>#NAME?</x:v>
      </x:c>
      <x:c r="N374" t="e">
        <x:f>IF($A374="","",[1]!thsiFinD("ths_adjustment_nv_fund",N$3,$A374))</x:f>
        <x:v>#NAME?</x:v>
      </x:c>
      <x:c r="O374" t="e">
        <x:f>IF($A374="","",[1]!thsiFinD("ths_adjustment_nv_fund",O$3,$A374))</x:f>
        <x:v>#NAME?</x:v>
      </x:c>
      <x:c r="P374" t="e">
        <x:f>IF($A374="","",[1]!thsiFinD("ths_adjustment_nv_fund",P$3,$A374))</x:f>
        <x:v>#NAME?</x:v>
      </x:c>
      <x:c r="Q374" t="e">
        <x:f>IF($A374="","",[1]!thsiFinD("ths_adjustment_nv_fund",Q$3,$A374))</x:f>
        <x:v>#NAME?</x:v>
      </x:c>
      <x:c r="R374" t="e">
        <x:f>IF($A374="","",[1]!thsiFinD("ths_adjustment_nv_fund",R$3,$A374))</x:f>
        <x:v>#NAME?</x:v>
      </x:c>
      <x:c r="S374" t="e">
        <x:f>IF($A374="","",[1]!thsiFinD("ths_adjustment_nv_fund",S$3,$A374))</x:f>
        <x:v>#NAME?</x:v>
      </x:c>
      <x:c r="T374" t="e">
        <x:f>IF($A374="","",[1]!thsiFinD("ths_adjustment_nv_fund",T$3,$A374))</x:f>
        <x:v>#NAME?</x:v>
      </x:c>
      <x:c r="U374" t="e">
        <x:f>IF($A374="","",[1]!thsiFinD("ths_adjustment_nv_fund",U$3,$A374))</x:f>
        <x:v>#NAME?</x:v>
      </x:c>
      <x:c r="V374" t="e">
        <x:f>IF($A374="","",[1]!thsiFinD("ths_adjustment_nv_fund",V$3,$A374))</x:f>
        <x:v>#NAME?</x:v>
      </x:c>
      <x:c r="W374" t="e">
        <x:f>IF($A374="","",[1]!thsiFinD("ths_adjustment_nv_fund",W$3,$A374))</x:f>
        <x:v>#NAME?</x:v>
      </x:c>
      <x:c r="X374" t="e">
        <x:f>IF($A374="","",[1]!thsiFinD("ths_adjustment_nv_fund",X$3,$A374))</x:f>
        <x:v>#NAME?</x:v>
      </x:c>
      <x:c r="Y374" t="e">
        <x:f>IF($A374="","",[1]!thsiFinD("ths_adjustment_nv_fund",Y$3,$A374))</x:f>
        <x:v>#NAME?</x:v>
      </x:c>
    </x:row>
    <x:row r="375">
      <x:c r="B375" t="e">
        <x:f>IF($A375="","",[1]!thsiFinD("ths_adjustment_nv_fund",B$3,$A375))</x:f>
        <x:v>#NAME?</x:v>
      </x:c>
      <x:c r="C375" t="e">
        <x:f>IF($A375="","",[1]!thsiFinD("ths_adjustment_nv_fund",C$3,$A375))</x:f>
        <x:v>#NAME?</x:v>
      </x:c>
      <x:c r="D375" t="e">
        <x:f>IF($A375="","",[1]!thsiFinD("ths_adjustment_nv_fund",D$3,$A375))</x:f>
        <x:v>#NAME?</x:v>
      </x:c>
      <x:c r="E375" t="e">
        <x:f>IF($A375="","",[1]!thsiFinD("ths_adjustment_nv_fund",E$3,$A375))</x:f>
        <x:v>#NAME?</x:v>
      </x:c>
      <x:c r="F375" t="e">
        <x:f>IF($A375="","",[1]!thsiFinD("ths_adjustment_nv_fund",F$3,$A375))</x:f>
        <x:v>#NAME?</x:v>
      </x:c>
      <x:c r="G375" t="e">
        <x:f>IF($A375="","",[1]!thsiFinD("ths_adjustment_nv_fund",G$3,$A375))</x:f>
        <x:v>#NAME?</x:v>
      </x:c>
      <x:c r="H375" t="e">
        <x:f>IF($A375="","",[1]!thsiFinD("ths_adjustment_nv_fund",H$3,$A375))</x:f>
        <x:v>#NAME?</x:v>
      </x:c>
      <x:c r="I375" t="e">
        <x:f>IF($A375="","",[1]!thsiFinD("ths_adjustment_nv_fund",I$3,$A375))</x:f>
        <x:v>#NAME?</x:v>
      </x:c>
      <x:c r="J375" t="e">
        <x:f>IF($A375="","",[1]!thsiFinD("ths_adjustment_nv_fund",J$3,$A375))</x:f>
        <x:v>#NAME?</x:v>
      </x:c>
      <x:c r="K375" t="e">
        <x:f>IF($A375="","",[1]!thsiFinD("ths_adjustment_nv_fund",K$3,$A375))</x:f>
        <x:v>#NAME?</x:v>
      </x:c>
      <x:c r="L375" t="e">
        <x:f>IF($A375="","",[1]!thsiFinD("ths_adjustment_nv_fund",L$3,$A375))</x:f>
        <x:v>#NAME?</x:v>
      </x:c>
      <x:c r="M375" t="e">
        <x:f>IF($A375="","",[1]!thsiFinD("ths_adjustment_nv_fund",M$3,$A375))</x:f>
        <x:v>#NAME?</x:v>
      </x:c>
      <x:c r="N375" t="e">
        <x:f>IF($A375="","",[1]!thsiFinD("ths_adjustment_nv_fund",N$3,$A375))</x:f>
        <x:v>#NAME?</x:v>
      </x:c>
      <x:c r="O375" t="e">
        <x:f>IF($A375="","",[1]!thsiFinD("ths_adjustment_nv_fund",O$3,$A375))</x:f>
        <x:v>#NAME?</x:v>
      </x:c>
      <x:c r="P375" t="e">
        <x:f>IF($A375="","",[1]!thsiFinD("ths_adjustment_nv_fund",P$3,$A375))</x:f>
        <x:v>#NAME?</x:v>
      </x:c>
      <x:c r="Q375" t="e">
        <x:f>IF($A375="","",[1]!thsiFinD("ths_adjustment_nv_fund",Q$3,$A375))</x:f>
        <x:v>#NAME?</x:v>
      </x:c>
      <x:c r="R375" t="e">
        <x:f>IF($A375="","",[1]!thsiFinD("ths_adjustment_nv_fund",R$3,$A375))</x:f>
        <x:v>#NAME?</x:v>
      </x:c>
      <x:c r="S375" t="e">
        <x:f>IF($A375="","",[1]!thsiFinD("ths_adjustment_nv_fund",S$3,$A375))</x:f>
        <x:v>#NAME?</x:v>
      </x:c>
      <x:c r="T375" t="e">
        <x:f>IF($A375="","",[1]!thsiFinD("ths_adjustment_nv_fund",T$3,$A375))</x:f>
        <x:v>#NAME?</x:v>
      </x:c>
      <x:c r="U375" t="e">
        <x:f>IF($A375="","",[1]!thsiFinD("ths_adjustment_nv_fund",U$3,$A375))</x:f>
        <x:v>#NAME?</x:v>
      </x:c>
      <x:c r="V375" t="e">
        <x:f>IF($A375="","",[1]!thsiFinD("ths_adjustment_nv_fund",V$3,$A375))</x:f>
        <x:v>#NAME?</x:v>
      </x:c>
      <x:c r="W375" t="e">
        <x:f>IF($A375="","",[1]!thsiFinD("ths_adjustment_nv_fund",W$3,$A375))</x:f>
        <x:v>#NAME?</x:v>
      </x:c>
      <x:c r="X375" t="e">
        <x:f>IF($A375="","",[1]!thsiFinD("ths_adjustment_nv_fund",X$3,$A375))</x:f>
        <x:v>#NAME?</x:v>
      </x:c>
      <x:c r="Y375" t="e">
        <x:f>IF($A375="","",[1]!thsiFinD("ths_adjustment_nv_fund",Y$3,$A375))</x:f>
        <x:v>#NAME?</x:v>
      </x:c>
    </x:row>
    <x:row r="376">
      <x:c r="B376" t="e">
        <x:f>IF($A376="","",[1]!thsiFinD("ths_adjustment_nv_fund",B$3,$A376))</x:f>
        <x:v>#NAME?</x:v>
      </x:c>
      <x:c r="C376" t="e">
        <x:f>IF($A376="","",[1]!thsiFinD("ths_adjustment_nv_fund",C$3,$A376))</x:f>
        <x:v>#NAME?</x:v>
      </x:c>
      <x:c r="D376" t="e">
        <x:f>IF($A376="","",[1]!thsiFinD("ths_adjustment_nv_fund",D$3,$A376))</x:f>
        <x:v>#NAME?</x:v>
      </x:c>
      <x:c r="E376" t="e">
        <x:f>IF($A376="","",[1]!thsiFinD("ths_adjustment_nv_fund",E$3,$A376))</x:f>
        <x:v>#NAME?</x:v>
      </x:c>
      <x:c r="F376" t="e">
        <x:f>IF($A376="","",[1]!thsiFinD("ths_adjustment_nv_fund",F$3,$A376))</x:f>
        <x:v>#NAME?</x:v>
      </x:c>
      <x:c r="G376" t="e">
        <x:f>IF($A376="","",[1]!thsiFinD("ths_adjustment_nv_fund",G$3,$A376))</x:f>
        <x:v>#NAME?</x:v>
      </x:c>
      <x:c r="H376" t="e">
        <x:f>IF($A376="","",[1]!thsiFinD("ths_adjustment_nv_fund",H$3,$A376))</x:f>
        <x:v>#NAME?</x:v>
      </x:c>
      <x:c r="I376" t="e">
        <x:f>IF($A376="","",[1]!thsiFinD("ths_adjustment_nv_fund",I$3,$A376))</x:f>
        <x:v>#NAME?</x:v>
      </x:c>
      <x:c r="J376" t="e">
        <x:f>IF($A376="","",[1]!thsiFinD("ths_adjustment_nv_fund",J$3,$A376))</x:f>
        <x:v>#NAME?</x:v>
      </x:c>
      <x:c r="K376" t="e">
        <x:f>IF($A376="","",[1]!thsiFinD("ths_adjustment_nv_fund",K$3,$A376))</x:f>
        <x:v>#NAME?</x:v>
      </x:c>
      <x:c r="L376" t="e">
        <x:f>IF($A376="","",[1]!thsiFinD("ths_adjustment_nv_fund",L$3,$A376))</x:f>
        <x:v>#NAME?</x:v>
      </x:c>
      <x:c r="M376" t="e">
        <x:f>IF($A376="","",[1]!thsiFinD("ths_adjustment_nv_fund",M$3,$A376))</x:f>
        <x:v>#NAME?</x:v>
      </x:c>
      <x:c r="N376" t="e">
        <x:f>IF($A376="","",[1]!thsiFinD("ths_adjustment_nv_fund",N$3,$A376))</x:f>
        <x:v>#NAME?</x:v>
      </x:c>
      <x:c r="O376" t="e">
        <x:f>IF($A376="","",[1]!thsiFinD("ths_adjustment_nv_fund",O$3,$A376))</x:f>
        <x:v>#NAME?</x:v>
      </x:c>
      <x:c r="P376" t="e">
        <x:f>IF($A376="","",[1]!thsiFinD("ths_adjustment_nv_fund",P$3,$A376))</x:f>
        <x:v>#NAME?</x:v>
      </x:c>
      <x:c r="Q376" t="e">
        <x:f>IF($A376="","",[1]!thsiFinD("ths_adjustment_nv_fund",Q$3,$A376))</x:f>
        <x:v>#NAME?</x:v>
      </x:c>
      <x:c r="R376" t="e">
        <x:f>IF($A376="","",[1]!thsiFinD("ths_adjustment_nv_fund",R$3,$A376))</x:f>
        <x:v>#NAME?</x:v>
      </x:c>
      <x:c r="S376" t="e">
        <x:f>IF($A376="","",[1]!thsiFinD("ths_adjustment_nv_fund",S$3,$A376))</x:f>
        <x:v>#NAME?</x:v>
      </x:c>
      <x:c r="T376" t="e">
        <x:f>IF($A376="","",[1]!thsiFinD("ths_adjustment_nv_fund",T$3,$A376))</x:f>
        <x:v>#NAME?</x:v>
      </x:c>
      <x:c r="U376" t="e">
        <x:f>IF($A376="","",[1]!thsiFinD("ths_adjustment_nv_fund",U$3,$A376))</x:f>
        <x:v>#NAME?</x:v>
      </x:c>
      <x:c r="V376" t="e">
        <x:f>IF($A376="","",[1]!thsiFinD("ths_adjustment_nv_fund",V$3,$A376))</x:f>
        <x:v>#NAME?</x:v>
      </x:c>
      <x:c r="W376" t="e">
        <x:f>IF($A376="","",[1]!thsiFinD("ths_adjustment_nv_fund",W$3,$A376))</x:f>
        <x:v>#NAME?</x:v>
      </x:c>
      <x:c r="X376" t="e">
        <x:f>IF($A376="","",[1]!thsiFinD("ths_adjustment_nv_fund",X$3,$A376))</x:f>
        <x:v>#NAME?</x:v>
      </x:c>
      <x:c r="Y376" t="e">
        <x:f>IF($A376="","",[1]!thsiFinD("ths_adjustment_nv_fund",Y$3,$A376))</x:f>
        <x:v>#NAME?</x:v>
      </x:c>
    </x:row>
    <x:row r="377">
      <x:c r="B377" t="e">
        <x:f>IF($A377="","",[1]!thsiFinD("ths_adjustment_nv_fund",B$3,$A377))</x:f>
        <x:v>#NAME?</x:v>
      </x:c>
      <x:c r="C377" t="e">
        <x:f>IF($A377="","",[1]!thsiFinD("ths_adjustment_nv_fund",C$3,$A377))</x:f>
        <x:v>#NAME?</x:v>
      </x:c>
      <x:c r="D377" t="e">
        <x:f>IF($A377="","",[1]!thsiFinD("ths_adjustment_nv_fund",D$3,$A377))</x:f>
        <x:v>#NAME?</x:v>
      </x:c>
      <x:c r="E377" t="e">
        <x:f>IF($A377="","",[1]!thsiFinD("ths_adjustment_nv_fund",E$3,$A377))</x:f>
        <x:v>#NAME?</x:v>
      </x:c>
      <x:c r="F377" t="e">
        <x:f>IF($A377="","",[1]!thsiFinD("ths_adjustment_nv_fund",F$3,$A377))</x:f>
        <x:v>#NAME?</x:v>
      </x:c>
      <x:c r="G377" t="e">
        <x:f>IF($A377="","",[1]!thsiFinD("ths_adjustment_nv_fund",G$3,$A377))</x:f>
        <x:v>#NAME?</x:v>
      </x:c>
      <x:c r="H377" t="e">
        <x:f>IF($A377="","",[1]!thsiFinD("ths_adjustment_nv_fund",H$3,$A377))</x:f>
        <x:v>#NAME?</x:v>
      </x:c>
      <x:c r="I377" t="e">
        <x:f>IF($A377="","",[1]!thsiFinD("ths_adjustment_nv_fund",I$3,$A377))</x:f>
        <x:v>#NAME?</x:v>
      </x:c>
      <x:c r="J377" t="e">
        <x:f>IF($A377="","",[1]!thsiFinD("ths_adjustment_nv_fund",J$3,$A377))</x:f>
        <x:v>#NAME?</x:v>
      </x:c>
      <x:c r="K377" t="e">
        <x:f>IF($A377="","",[1]!thsiFinD("ths_adjustment_nv_fund",K$3,$A377))</x:f>
        <x:v>#NAME?</x:v>
      </x:c>
      <x:c r="L377" t="e">
        <x:f>IF($A377="","",[1]!thsiFinD("ths_adjustment_nv_fund",L$3,$A377))</x:f>
        <x:v>#NAME?</x:v>
      </x:c>
      <x:c r="M377" t="e">
        <x:f>IF($A377="","",[1]!thsiFinD("ths_adjustment_nv_fund",M$3,$A377))</x:f>
        <x:v>#NAME?</x:v>
      </x:c>
      <x:c r="N377" t="e">
        <x:f>IF($A377="","",[1]!thsiFinD("ths_adjustment_nv_fund",N$3,$A377))</x:f>
        <x:v>#NAME?</x:v>
      </x:c>
      <x:c r="O377" t="e">
        <x:f>IF($A377="","",[1]!thsiFinD("ths_adjustment_nv_fund",O$3,$A377))</x:f>
        <x:v>#NAME?</x:v>
      </x:c>
      <x:c r="P377" t="e">
        <x:f>IF($A377="","",[1]!thsiFinD("ths_adjustment_nv_fund",P$3,$A377))</x:f>
        <x:v>#NAME?</x:v>
      </x:c>
      <x:c r="Q377" t="e">
        <x:f>IF($A377="","",[1]!thsiFinD("ths_adjustment_nv_fund",Q$3,$A377))</x:f>
        <x:v>#NAME?</x:v>
      </x:c>
      <x:c r="R377" t="e">
        <x:f>IF($A377="","",[1]!thsiFinD("ths_adjustment_nv_fund",R$3,$A377))</x:f>
        <x:v>#NAME?</x:v>
      </x:c>
      <x:c r="S377" t="e">
        <x:f>IF($A377="","",[1]!thsiFinD("ths_adjustment_nv_fund",S$3,$A377))</x:f>
        <x:v>#NAME?</x:v>
      </x:c>
      <x:c r="T377" t="e">
        <x:f>IF($A377="","",[1]!thsiFinD("ths_adjustment_nv_fund",T$3,$A377))</x:f>
        <x:v>#NAME?</x:v>
      </x:c>
      <x:c r="U377" t="e">
        <x:f>IF($A377="","",[1]!thsiFinD("ths_adjustment_nv_fund",U$3,$A377))</x:f>
        <x:v>#NAME?</x:v>
      </x:c>
      <x:c r="V377" t="e">
        <x:f>IF($A377="","",[1]!thsiFinD("ths_adjustment_nv_fund",V$3,$A377))</x:f>
        <x:v>#NAME?</x:v>
      </x:c>
      <x:c r="W377" t="e">
        <x:f>IF($A377="","",[1]!thsiFinD("ths_adjustment_nv_fund",W$3,$A377))</x:f>
        <x:v>#NAME?</x:v>
      </x:c>
      <x:c r="X377" t="e">
        <x:f>IF($A377="","",[1]!thsiFinD("ths_adjustment_nv_fund",X$3,$A377))</x:f>
        <x:v>#NAME?</x:v>
      </x:c>
      <x:c r="Y377" t="e">
        <x:f>IF($A377="","",[1]!thsiFinD("ths_adjustment_nv_fund",Y$3,$A377))</x:f>
        <x:v>#NAME?</x:v>
      </x:c>
    </x:row>
    <x:row r="378">
      <x:c r="B378" t="e">
        <x:f>IF($A378="","",[1]!thsiFinD("ths_adjustment_nv_fund",B$3,$A378))</x:f>
        <x:v>#NAME?</x:v>
      </x:c>
      <x:c r="C378" t="e">
        <x:f>IF($A378="","",[1]!thsiFinD("ths_adjustment_nv_fund",C$3,$A378))</x:f>
        <x:v>#NAME?</x:v>
      </x:c>
      <x:c r="D378" t="e">
        <x:f>IF($A378="","",[1]!thsiFinD("ths_adjustment_nv_fund",D$3,$A378))</x:f>
        <x:v>#NAME?</x:v>
      </x:c>
      <x:c r="E378" t="e">
        <x:f>IF($A378="","",[1]!thsiFinD("ths_adjustment_nv_fund",E$3,$A378))</x:f>
        <x:v>#NAME?</x:v>
      </x:c>
      <x:c r="F378" t="e">
        <x:f>IF($A378="","",[1]!thsiFinD("ths_adjustment_nv_fund",F$3,$A378))</x:f>
        <x:v>#NAME?</x:v>
      </x:c>
      <x:c r="G378" t="e">
        <x:f>IF($A378="","",[1]!thsiFinD("ths_adjustment_nv_fund",G$3,$A378))</x:f>
        <x:v>#NAME?</x:v>
      </x:c>
      <x:c r="H378" t="e">
        <x:f>IF($A378="","",[1]!thsiFinD("ths_adjustment_nv_fund",H$3,$A378))</x:f>
        <x:v>#NAME?</x:v>
      </x:c>
      <x:c r="I378" t="e">
        <x:f>IF($A378="","",[1]!thsiFinD("ths_adjustment_nv_fund",I$3,$A378))</x:f>
        <x:v>#NAME?</x:v>
      </x:c>
      <x:c r="J378" t="e">
        <x:f>IF($A378="","",[1]!thsiFinD("ths_adjustment_nv_fund",J$3,$A378))</x:f>
        <x:v>#NAME?</x:v>
      </x:c>
      <x:c r="K378" t="e">
        <x:f>IF($A378="","",[1]!thsiFinD("ths_adjustment_nv_fund",K$3,$A378))</x:f>
        <x:v>#NAME?</x:v>
      </x:c>
      <x:c r="L378" t="e">
        <x:f>IF($A378="","",[1]!thsiFinD("ths_adjustment_nv_fund",L$3,$A378))</x:f>
        <x:v>#NAME?</x:v>
      </x:c>
      <x:c r="M378" t="e">
        <x:f>IF($A378="","",[1]!thsiFinD("ths_adjustment_nv_fund",M$3,$A378))</x:f>
        <x:v>#NAME?</x:v>
      </x:c>
      <x:c r="N378" t="e">
        <x:f>IF($A378="","",[1]!thsiFinD("ths_adjustment_nv_fund",N$3,$A378))</x:f>
        <x:v>#NAME?</x:v>
      </x:c>
      <x:c r="O378" t="e">
        <x:f>IF($A378="","",[1]!thsiFinD("ths_adjustment_nv_fund",O$3,$A378))</x:f>
        <x:v>#NAME?</x:v>
      </x:c>
      <x:c r="P378" t="e">
        <x:f>IF($A378="","",[1]!thsiFinD("ths_adjustment_nv_fund",P$3,$A378))</x:f>
        <x:v>#NAME?</x:v>
      </x:c>
      <x:c r="Q378" t="e">
        <x:f>IF($A378="","",[1]!thsiFinD("ths_adjustment_nv_fund",Q$3,$A378))</x:f>
        <x:v>#NAME?</x:v>
      </x:c>
      <x:c r="R378" t="e">
        <x:f>IF($A378="","",[1]!thsiFinD("ths_adjustment_nv_fund",R$3,$A378))</x:f>
        <x:v>#NAME?</x:v>
      </x:c>
      <x:c r="S378" t="e">
        <x:f>IF($A378="","",[1]!thsiFinD("ths_adjustment_nv_fund",S$3,$A378))</x:f>
        <x:v>#NAME?</x:v>
      </x:c>
      <x:c r="T378" t="e">
        <x:f>IF($A378="","",[1]!thsiFinD("ths_adjustment_nv_fund",T$3,$A378))</x:f>
        <x:v>#NAME?</x:v>
      </x:c>
      <x:c r="U378" t="e">
        <x:f>IF($A378="","",[1]!thsiFinD("ths_adjustment_nv_fund",U$3,$A378))</x:f>
        <x:v>#NAME?</x:v>
      </x:c>
      <x:c r="V378" t="e">
        <x:f>IF($A378="","",[1]!thsiFinD("ths_adjustment_nv_fund",V$3,$A378))</x:f>
        <x:v>#NAME?</x:v>
      </x:c>
      <x:c r="W378" t="e">
        <x:f>IF($A378="","",[1]!thsiFinD("ths_adjustment_nv_fund",W$3,$A378))</x:f>
        <x:v>#NAME?</x:v>
      </x:c>
      <x:c r="X378" t="e">
        <x:f>IF($A378="","",[1]!thsiFinD("ths_adjustment_nv_fund",X$3,$A378))</x:f>
        <x:v>#NAME?</x:v>
      </x:c>
      <x:c r="Y378" t="e">
        <x:f>IF($A378="","",[1]!thsiFinD("ths_adjustment_nv_fund",Y$3,$A378))</x:f>
        <x:v>#NAME?</x:v>
      </x:c>
    </x:row>
    <x:row r="379">
      <x:c r="B379" t="e">
        <x:f>IF($A379="","",[1]!thsiFinD("ths_adjustment_nv_fund",B$3,$A379))</x:f>
        <x:v>#NAME?</x:v>
      </x:c>
      <x:c r="C379" t="e">
        <x:f>IF($A379="","",[1]!thsiFinD("ths_adjustment_nv_fund",C$3,$A379))</x:f>
        <x:v>#NAME?</x:v>
      </x:c>
      <x:c r="D379" t="e">
        <x:f>IF($A379="","",[1]!thsiFinD("ths_adjustment_nv_fund",D$3,$A379))</x:f>
        <x:v>#NAME?</x:v>
      </x:c>
      <x:c r="E379" t="e">
        <x:f>IF($A379="","",[1]!thsiFinD("ths_adjustment_nv_fund",E$3,$A379))</x:f>
        <x:v>#NAME?</x:v>
      </x:c>
      <x:c r="F379" t="e">
        <x:f>IF($A379="","",[1]!thsiFinD("ths_adjustment_nv_fund",F$3,$A379))</x:f>
        <x:v>#NAME?</x:v>
      </x:c>
      <x:c r="G379" t="e">
        <x:f>IF($A379="","",[1]!thsiFinD("ths_adjustment_nv_fund",G$3,$A379))</x:f>
        <x:v>#NAME?</x:v>
      </x:c>
      <x:c r="H379" t="e">
        <x:f>IF($A379="","",[1]!thsiFinD("ths_adjustment_nv_fund",H$3,$A379))</x:f>
        <x:v>#NAME?</x:v>
      </x:c>
      <x:c r="I379" t="e">
        <x:f>IF($A379="","",[1]!thsiFinD("ths_adjustment_nv_fund",I$3,$A379))</x:f>
        <x:v>#NAME?</x:v>
      </x:c>
      <x:c r="J379" t="e">
        <x:f>IF($A379="","",[1]!thsiFinD("ths_adjustment_nv_fund",J$3,$A379))</x:f>
        <x:v>#NAME?</x:v>
      </x:c>
      <x:c r="K379" t="e">
        <x:f>IF($A379="","",[1]!thsiFinD("ths_adjustment_nv_fund",K$3,$A379))</x:f>
        <x:v>#NAME?</x:v>
      </x:c>
      <x:c r="L379" t="e">
        <x:f>IF($A379="","",[1]!thsiFinD("ths_adjustment_nv_fund",L$3,$A379))</x:f>
        <x:v>#NAME?</x:v>
      </x:c>
      <x:c r="M379" t="e">
        <x:f>IF($A379="","",[1]!thsiFinD("ths_adjustment_nv_fund",M$3,$A379))</x:f>
        <x:v>#NAME?</x:v>
      </x:c>
      <x:c r="N379" t="e">
        <x:f>IF($A379="","",[1]!thsiFinD("ths_adjustment_nv_fund",N$3,$A379))</x:f>
        <x:v>#NAME?</x:v>
      </x:c>
      <x:c r="O379" t="e">
        <x:f>IF($A379="","",[1]!thsiFinD("ths_adjustment_nv_fund",O$3,$A379))</x:f>
        <x:v>#NAME?</x:v>
      </x:c>
      <x:c r="P379" t="e">
        <x:f>IF($A379="","",[1]!thsiFinD("ths_adjustment_nv_fund",P$3,$A379))</x:f>
        <x:v>#NAME?</x:v>
      </x:c>
      <x:c r="Q379" t="e">
        <x:f>IF($A379="","",[1]!thsiFinD("ths_adjustment_nv_fund",Q$3,$A379))</x:f>
        <x:v>#NAME?</x:v>
      </x:c>
      <x:c r="R379" t="e">
        <x:f>IF($A379="","",[1]!thsiFinD("ths_adjustment_nv_fund",R$3,$A379))</x:f>
        <x:v>#NAME?</x:v>
      </x:c>
      <x:c r="S379" t="e">
        <x:f>IF($A379="","",[1]!thsiFinD("ths_adjustment_nv_fund",S$3,$A379))</x:f>
        <x:v>#NAME?</x:v>
      </x:c>
      <x:c r="T379" t="e">
        <x:f>IF($A379="","",[1]!thsiFinD("ths_adjustment_nv_fund",T$3,$A379))</x:f>
        <x:v>#NAME?</x:v>
      </x:c>
      <x:c r="U379" t="e">
        <x:f>IF($A379="","",[1]!thsiFinD("ths_adjustment_nv_fund",U$3,$A379))</x:f>
        <x:v>#NAME?</x:v>
      </x:c>
      <x:c r="V379" t="e">
        <x:f>IF($A379="","",[1]!thsiFinD("ths_adjustment_nv_fund",V$3,$A379))</x:f>
        <x:v>#NAME?</x:v>
      </x:c>
      <x:c r="W379" t="e">
        <x:f>IF($A379="","",[1]!thsiFinD("ths_adjustment_nv_fund",W$3,$A379))</x:f>
        <x:v>#NAME?</x:v>
      </x:c>
      <x:c r="X379" t="e">
        <x:f>IF($A379="","",[1]!thsiFinD("ths_adjustment_nv_fund",X$3,$A379))</x:f>
        <x:v>#NAME?</x:v>
      </x:c>
      <x:c r="Y379" t="e">
        <x:f>IF($A379="","",[1]!thsiFinD("ths_adjustment_nv_fund",Y$3,$A379))</x:f>
        <x:v>#NAME?</x:v>
      </x:c>
    </x:row>
    <x:row r="380">
      <x:c r="B380" t="e">
        <x:f>IF($A380="","",[1]!thsiFinD("ths_adjustment_nv_fund",B$3,$A380))</x:f>
        <x:v>#NAME?</x:v>
      </x:c>
      <x:c r="C380" t="e">
        <x:f>IF($A380="","",[1]!thsiFinD("ths_adjustment_nv_fund",C$3,$A380))</x:f>
        <x:v>#NAME?</x:v>
      </x:c>
      <x:c r="D380" t="e">
        <x:f>IF($A380="","",[1]!thsiFinD("ths_adjustment_nv_fund",D$3,$A380))</x:f>
        <x:v>#NAME?</x:v>
      </x:c>
      <x:c r="E380" t="e">
        <x:f>IF($A380="","",[1]!thsiFinD("ths_adjustment_nv_fund",E$3,$A380))</x:f>
        <x:v>#NAME?</x:v>
      </x:c>
      <x:c r="F380" t="e">
        <x:f>IF($A380="","",[1]!thsiFinD("ths_adjustment_nv_fund",F$3,$A380))</x:f>
        <x:v>#NAME?</x:v>
      </x:c>
      <x:c r="G380" t="e">
        <x:f>IF($A380="","",[1]!thsiFinD("ths_adjustment_nv_fund",G$3,$A380))</x:f>
        <x:v>#NAME?</x:v>
      </x:c>
      <x:c r="H380" t="e">
        <x:f>IF($A380="","",[1]!thsiFinD("ths_adjustment_nv_fund",H$3,$A380))</x:f>
        <x:v>#NAME?</x:v>
      </x:c>
      <x:c r="I380" t="e">
        <x:f>IF($A380="","",[1]!thsiFinD("ths_adjustment_nv_fund",I$3,$A380))</x:f>
        <x:v>#NAME?</x:v>
      </x:c>
      <x:c r="J380" t="e">
        <x:f>IF($A380="","",[1]!thsiFinD("ths_adjustment_nv_fund",J$3,$A380))</x:f>
        <x:v>#NAME?</x:v>
      </x:c>
      <x:c r="K380" t="e">
        <x:f>IF($A380="","",[1]!thsiFinD("ths_adjustment_nv_fund",K$3,$A380))</x:f>
        <x:v>#NAME?</x:v>
      </x:c>
      <x:c r="L380" t="e">
        <x:f>IF($A380="","",[1]!thsiFinD("ths_adjustment_nv_fund",L$3,$A380))</x:f>
        <x:v>#NAME?</x:v>
      </x:c>
      <x:c r="M380" t="e">
        <x:f>IF($A380="","",[1]!thsiFinD("ths_adjustment_nv_fund",M$3,$A380))</x:f>
        <x:v>#NAME?</x:v>
      </x:c>
      <x:c r="N380" t="e">
        <x:f>IF($A380="","",[1]!thsiFinD("ths_adjustment_nv_fund",N$3,$A380))</x:f>
        <x:v>#NAME?</x:v>
      </x:c>
      <x:c r="O380" t="e">
        <x:f>IF($A380="","",[1]!thsiFinD("ths_adjustment_nv_fund",O$3,$A380))</x:f>
        <x:v>#NAME?</x:v>
      </x:c>
      <x:c r="P380" t="e">
        <x:f>IF($A380="","",[1]!thsiFinD("ths_adjustment_nv_fund",P$3,$A380))</x:f>
        <x:v>#NAME?</x:v>
      </x:c>
      <x:c r="Q380" t="e">
        <x:f>IF($A380="","",[1]!thsiFinD("ths_adjustment_nv_fund",Q$3,$A380))</x:f>
        <x:v>#NAME?</x:v>
      </x:c>
      <x:c r="R380" t="e">
        <x:f>IF($A380="","",[1]!thsiFinD("ths_adjustment_nv_fund",R$3,$A380))</x:f>
        <x:v>#NAME?</x:v>
      </x:c>
      <x:c r="S380" t="e">
        <x:f>IF($A380="","",[1]!thsiFinD("ths_adjustment_nv_fund",S$3,$A380))</x:f>
        <x:v>#NAME?</x:v>
      </x:c>
      <x:c r="T380" t="e">
        <x:f>IF($A380="","",[1]!thsiFinD("ths_adjustment_nv_fund",T$3,$A380))</x:f>
        <x:v>#NAME?</x:v>
      </x:c>
      <x:c r="U380" t="e">
        <x:f>IF($A380="","",[1]!thsiFinD("ths_adjustment_nv_fund",U$3,$A380))</x:f>
        <x:v>#NAME?</x:v>
      </x:c>
      <x:c r="V380" t="e">
        <x:f>IF($A380="","",[1]!thsiFinD("ths_adjustment_nv_fund",V$3,$A380))</x:f>
        <x:v>#NAME?</x:v>
      </x:c>
      <x:c r="W380" t="e">
        <x:f>IF($A380="","",[1]!thsiFinD("ths_adjustment_nv_fund",W$3,$A380))</x:f>
        <x:v>#NAME?</x:v>
      </x:c>
      <x:c r="X380" t="e">
        <x:f>IF($A380="","",[1]!thsiFinD("ths_adjustment_nv_fund",X$3,$A380))</x:f>
        <x:v>#NAME?</x:v>
      </x:c>
      <x:c r="Y380" t="e">
        <x:f>IF($A380="","",[1]!thsiFinD("ths_adjustment_nv_fund",Y$3,$A380))</x:f>
        <x:v>#NAME?</x:v>
      </x:c>
    </x:row>
    <x:row r="381">
      <x:c r="B381" t="e">
        <x:f>IF($A381="","",[1]!thsiFinD("ths_adjustment_nv_fund",B$3,$A381))</x:f>
        <x:v>#NAME?</x:v>
      </x:c>
      <x:c r="C381" t="e">
        <x:f>IF($A381="","",[1]!thsiFinD("ths_adjustment_nv_fund",C$3,$A381))</x:f>
        <x:v>#NAME?</x:v>
      </x:c>
      <x:c r="D381" t="e">
        <x:f>IF($A381="","",[1]!thsiFinD("ths_adjustment_nv_fund",D$3,$A381))</x:f>
        <x:v>#NAME?</x:v>
      </x:c>
      <x:c r="E381" t="e">
        <x:f>IF($A381="","",[1]!thsiFinD("ths_adjustment_nv_fund",E$3,$A381))</x:f>
        <x:v>#NAME?</x:v>
      </x:c>
      <x:c r="F381" t="e">
        <x:f>IF($A381="","",[1]!thsiFinD("ths_adjustment_nv_fund",F$3,$A381))</x:f>
        <x:v>#NAME?</x:v>
      </x:c>
      <x:c r="G381" t="e">
        <x:f>IF($A381="","",[1]!thsiFinD("ths_adjustment_nv_fund",G$3,$A381))</x:f>
        <x:v>#NAME?</x:v>
      </x:c>
      <x:c r="H381" t="e">
        <x:f>IF($A381="","",[1]!thsiFinD("ths_adjustment_nv_fund",H$3,$A381))</x:f>
        <x:v>#NAME?</x:v>
      </x:c>
      <x:c r="I381" t="e">
        <x:f>IF($A381="","",[1]!thsiFinD("ths_adjustment_nv_fund",I$3,$A381))</x:f>
        <x:v>#NAME?</x:v>
      </x:c>
      <x:c r="J381" t="e">
        <x:f>IF($A381="","",[1]!thsiFinD("ths_adjustment_nv_fund",J$3,$A381))</x:f>
        <x:v>#NAME?</x:v>
      </x:c>
      <x:c r="K381" t="e">
        <x:f>IF($A381="","",[1]!thsiFinD("ths_adjustment_nv_fund",K$3,$A381))</x:f>
        <x:v>#NAME?</x:v>
      </x:c>
      <x:c r="L381" t="e">
        <x:f>IF($A381="","",[1]!thsiFinD("ths_adjustment_nv_fund",L$3,$A381))</x:f>
        <x:v>#NAME?</x:v>
      </x:c>
      <x:c r="M381" t="e">
        <x:f>IF($A381="","",[1]!thsiFinD("ths_adjustment_nv_fund",M$3,$A381))</x:f>
        <x:v>#NAME?</x:v>
      </x:c>
      <x:c r="N381" t="e">
        <x:f>IF($A381="","",[1]!thsiFinD("ths_adjustment_nv_fund",N$3,$A381))</x:f>
        <x:v>#NAME?</x:v>
      </x:c>
      <x:c r="O381" t="e">
        <x:f>IF($A381="","",[1]!thsiFinD("ths_adjustment_nv_fund",O$3,$A381))</x:f>
        <x:v>#NAME?</x:v>
      </x:c>
      <x:c r="P381" t="e">
        <x:f>IF($A381="","",[1]!thsiFinD("ths_adjustment_nv_fund",P$3,$A381))</x:f>
        <x:v>#NAME?</x:v>
      </x:c>
      <x:c r="Q381" t="e">
        <x:f>IF($A381="","",[1]!thsiFinD("ths_adjustment_nv_fund",Q$3,$A381))</x:f>
        <x:v>#NAME?</x:v>
      </x:c>
      <x:c r="R381" t="e">
        <x:f>IF($A381="","",[1]!thsiFinD("ths_adjustment_nv_fund",R$3,$A381))</x:f>
        <x:v>#NAME?</x:v>
      </x:c>
      <x:c r="S381" t="e">
        <x:f>IF($A381="","",[1]!thsiFinD("ths_adjustment_nv_fund",S$3,$A381))</x:f>
        <x:v>#NAME?</x:v>
      </x:c>
      <x:c r="T381" t="e">
        <x:f>IF($A381="","",[1]!thsiFinD("ths_adjustment_nv_fund",T$3,$A381))</x:f>
        <x:v>#NAME?</x:v>
      </x:c>
      <x:c r="U381" t="e">
        <x:f>IF($A381="","",[1]!thsiFinD("ths_adjustment_nv_fund",U$3,$A381))</x:f>
        <x:v>#NAME?</x:v>
      </x:c>
      <x:c r="V381" t="e">
        <x:f>IF($A381="","",[1]!thsiFinD("ths_adjustment_nv_fund",V$3,$A381))</x:f>
        <x:v>#NAME?</x:v>
      </x:c>
      <x:c r="W381" t="e">
        <x:f>IF($A381="","",[1]!thsiFinD("ths_adjustment_nv_fund",W$3,$A381))</x:f>
        <x:v>#NAME?</x:v>
      </x:c>
      <x:c r="X381" t="e">
        <x:f>IF($A381="","",[1]!thsiFinD("ths_adjustment_nv_fund",X$3,$A381))</x:f>
        <x:v>#NAME?</x:v>
      </x:c>
      <x:c r="Y381" t="e">
        <x:f>IF($A381="","",[1]!thsiFinD("ths_adjustment_nv_fund",Y$3,$A381))</x:f>
        <x:v>#NAME?</x:v>
      </x:c>
    </x:row>
    <x:row r="382">
      <x:c r="B382" t="e">
        <x:f>IF($A382="","",[1]!thsiFinD("ths_adjustment_nv_fund",B$3,$A382))</x:f>
        <x:v>#NAME?</x:v>
      </x:c>
      <x:c r="C382" t="e">
        <x:f>IF($A382="","",[1]!thsiFinD("ths_adjustment_nv_fund",C$3,$A382))</x:f>
        <x:v>#NAME?</x:v>
      </x:c>
      <x:c r="D382" t="e">
        <x:f>IF($A382="","",[1]!thsiFinD("ths_adjustment_nv_fund",D$3,$A382))</x:f>
        <x:v>#NAME?</x:v>
      </x:c>
      <x:c r="E382" t="e">
        <x:f>IF($A382="","",[1]!thsiFinD("ths_adjustment_nv_fund",E$3,$A382))</x:f>
        <x:v>#NAME?</x:v>
      </x:c>
      <x:c r="F382" t="e">
        <x:f>IF($A382="","",[1]!thsiFinD("ths_adjustment_nv_fund",F$3,$A382))</x:f>
        <x:v>#NAME?</x:v>
      </x:c>
      <x:c r="G382" t="e">
        <x:f>IF($A382="","",[1]!thsiFinD("ths_adjustment_nv_fund",G$3,$A382))</x:f>
        <x:v>#NAME?</x:v>
      </x:c>
      <x:c r="H382" t="e">
        <x:f>IF($A382="","",[1]!thsiFinD("ths_adjustment_nv_fund",H$3,$A382))</x:f>
        <x:v>#NAME?</x:v>
      </x:c>
      <x:c r="I382" t="e">
        <x:f>IF($A382="","",[1]!thsiFinD("ths_adjustment_nv_fund",I$3,$A382))</x:f>
        <x:v>#NAME?</x:v>
      </x:c>
      <x:c r="J382" t="e">
        <x:f>IF($A382="","",[1]!thsiFinD("ths_adjustment_nv_fund",J$3,$A382))</x:f>
        <x:v>#NAME?</x:v>
      </x:c>
      <x:c r="K382" t="e">
        <x:f>IF($A382="","",[1]!thsiFinD("ths_adjustment_nv_fund",K$3,$A382))</x:f>
        <x:v>#NAME?</x:v>
      </x:c>
      <x:c r="L382" t="e">
        <x:f>IF($A382="","",[1]!thsiFinD("ths_adjustment_nv_fund",L$3,$A382))</x:f>
        <x:v>#NAME?</x:v>
      </x:c>
      <x:c r="M382" t="e">
        <x:f>IF($A382="","",[1]!thsiFinD("ths_adjustment_nv_fund",M$3,$A382))</x:f>
        <x:v>#NAME?</x:v>
      </x:c>
      <x:c r="N382" t="e">
        <x:f>IF($A382="","",[1]!thsiFinD("ths_adjustment_nv_fund",N$3,$A382))</x:f>
        <x:v>#NAME?</x:v>
      </x:c>
      <x:c r="O382" t="e">
        <x:f>IF($A382="","",[1]!thsiFinD("ths_adjustment_nv_fund",O$3,$A382))</x:f>
        <x:v>#NAME?</x:v>
      </x:c>
      <x:c r="P382" t="e">
        <x:f>IF($A382="","",[1]!thsiFinD("ths_adjustment_nv_fund",P$3,$A382))</x:f>
        <x:v>#NAME?</x:v>
      </x:c>
      <x:c r="Q382" t="e">
        <x:f>IF($A382="","",[1]!thsiFinD("ths_adjustment_nv_fund",Q$3,$A382))</x:f>
        <x:v>#NAME?</x:v>
      </x:c>
      <x:c r="R382" t="e">
        <x:f>IF($A382="","",[1]!thsiFinD("ths_adjustment_nv_fund",R$3,$A382))</x:f>
        <x:v>#NAME?</x:v>
      </x:c>
      <x:c r="S382" t="e">
        <x:f>IF($A382="","",[1]!thsiFinD("ths_adjustment_nv_fund",S$3,$A382))</x:f>
        <x:v>#NAME?</x:v>
      </x:c>
      <x:c r="T382" t="e">
        <x:f>IF($A382="","",[1]!thsiFinD("ths_adjustment_nv_fund",T$3,$A382))</x:f>
        <x:v>#NAME?</x:v>
      </x:c>
      <x:c r="U382" t="e">
        <x:f>IF($A382="","",[1]!thsiFinD("ths_adjustment_nv_fund",U$3,$A382))</x:f>
        <x:v>#NAME?</x:v>
      </x:c>
      <x:c r="V382" t="e">
        <x:f>IF($A382="","",[1]!thsiFinD("ths_adjustment_nv_fund",V$3,$A382))</x:f>
        <x:v>#NAME?</x:v>
      </x:c>
      <x:c r="W382" t="e">
        <x:f>IF($A382="","",[1]!thsiFinD("ths_adjustment_nv_fund",W$3,$A382))</x:f>
        <x:v>#NAME?</x:v>
      </x:c>
      <x:c r="X382" t="e">
        <x:f>IF($A382="","",[1]!thsiFinD("ths_adjustment_nv_fund",X$3,$A382))</x:f>
        <x:v>#NAME?</x:v>
      </x:c>
      <x:c r="Y382" t="e">
        <x:f>IF($A382="","",[1]!thsiFinD("ths_adjustment_nv_fund",Y$3,$A382))</x:f>
        <x:v>#NAME?</x:v>
      </x:c>
    </x:row>
    <x:row r="383">
      <x:c r="B383" t="e">
        <x:f>IF($A383="","",[1]!thsiFinD("ths_adjustment_nv_fund",B$3,$A383))</x:f>
        <x:v>#NAME?</x:v>
      </x:c>
      <x:c r="C383" t="e">
        <x:f>IF($A383="","",[1]!thsiFinD("ths_adjustment_nv_fund",C$3,$A383))</x:f>
        <x:v>#NAME?</x:v>
      </x:c>
      <x:c r="D383" t="e">
        <x:f>IF($A383="","",[1]!thsiFinD("ths_adjustment_nv_fund",D$3,$A383))</x:f>
        <x:v>#NAME?</x:v>
      </x:c>
      <x:c r="E383" t="e">
        <x:f>IF($A383="","",[1]!thsiFinD("ths_adjustment_nv_fund",E$3,$A383))</x:f>
        <x:v>#NAME?</x:v>
      </x:c>
      <x:c r="F383" t="e">
        <x:f>IF($A383="","",[1]!thsiFinD("ths_adjustment_nv_fund",F$3,$A383))</x:f>
        <x:v>#NAME?</x:v>
      </x:c>
      <x:c r="G383" t="e">
        <x:f>IF($A383="","",[1]!thsiFinD("ths_adjustment_nv_fund",G$3,$A383))</x:f>
        <x:v>#NAME?</x:v>
      </x:c>
      <x:c r="H383" t="e">
        <x:f>IF($A383="","",[1]!thsiFinD("ths_adjustment_nv_fund",H$3,$A383))</x:f>
        <x:v>#NAME?</x:v>
      </x:c>
      <x:c r="I383" t="e">
        <x:f>IF($A383="","",[1]!thsiFinD("ths_adjustment_nv_fund",I$3,$A383))</x:f>
        <x:v>#NAME?</x:v>
      </x:c>
      <x:c r="J383" t="e">
        <x:f>IF($A383="","",[1]!thsiFinD("ths_adjustment_nv_fund",J$3,$A383))</x:f>
        <x:v>#NAME?</x:v>
      </x:c>
      <x:c r="K383" t="e">
        <x:f>IF($A383="","",[1]!thsiFinD("ths_adjustment_nv_fund",K$3,$A383))</x:f>
        <x:v>#NAME?</x:v>
      </x:c>
      <x:c r="L383" t="e">
        <x:f>IF($A383="","",[1]!thsiFinD("ths_adjustment_nv_fund",L$3,$A383))</x:f>
        <x:v>#NAME?</x:v>
      </x:c>
      <x:c r="M383" t="e">
        <x:f>IF($A383="","",[1]!thsiFinD("ths_adjustment_nv_fund",M$3,$A383))</x:f>
        <x:v>#NAME?</x:v>
      </x:c>
      <x:c r="N383" t="e">
        <x:f>IF($A383="","",[1]!thsiFinD("ths_adjustment_nv_fund",N$3,$A383))</x:f>
        <x:v>#NAME?</x:v>
      </x:c>
      <x:c r="O383" t="e">
        <x:f>IF($A383="","",[1]!thsiFinD("ths_adjustment_nv_fund",O$3,$A383))</x:f>
        <x:v>#NAME?</x:v>
      </x:c>
      <x:c r="P383" t="e">
        <x:f>IF($A383="","",[1]!thsiFinD("ths_adjustment_nv_fund",P$3,$A383))</x:f>
        <x:v>#NAME?</x:v>
      </x:c>
      <x:c r="Q383" t="e">
        <x:f>IF($A383="","",[1]!thsiFinD("ths_adjustment_nv_fund",Q$3,$A383))</x:f>
        <x:v>#NAME?</x:v>
      </x:c>
      <x:c r="R383" t="e">
        <x:f>IF($A383="","",[1]!thsiFinD("ths_adjustment_nv_fund",R$3,$A383))</x:f>
        <x:v>#NAME?</x:v>
      </x:c>
      <x:c r="S383" t="e">
        <x:f>IF($A383="","",[1]!thsiFinD("ths_adjustment_nv_fund",S$3,$A383))</x:f>
        <x:v>#NAME?</x:v>
      </x:c>
      <x:c r="T383" t="e">
        <x:f>IF($A383="","",[1]!thsiFinD("ths_adjustment_nv_fund",T$3,$A383))</x:f>
        <x:v>#NAME?</x:v>
      </x:c>
      <x:c r="U383" t="e">
        <x:f>IF($A383="","",[1]!thsiFinD("ths_adjustment_nv_fund",U$3,$A383))</x:f>
        <x:v>#NAME?</x:v>
      </x:c>
      <x:c r="V383" t="e">
        <x:f>IF($A383="","",[1]!thsiFinD("ths_adjustment_nv_fund",V$3,$A383))</x:f>
        <x:v>#NAME?</x:v>
      </x:c>
      <x:c r="W383" t="e">
        <x:f>IF($A383="","",[1]!thsiFinD("ths_adjustment_nv_fund",W$3,$A383))</x:f>
        <x:v>#NAME?</x:v>
      </x:c>
      <x:c r="X383" t="e">
        <x:f>IF($A383="","",[1]!thsiFinD("ths_adjustment_nv_fund",X$3,$A383))</x:f>
        <x:v>#NAME?</x:v>
      </x:c>
      <x:c r="Y383" t="e">
        <x:f>IF($A383="","",[1]!thsiFinD("ths_adjustment_nv_fund",Y$3,$A383))</x:f>
        <x:v>#NAME?</x:v>
      </x:c>
    </x:row>
    <x:row r="384">
      <x:c r="B384" t="e">
        <x:f>IF($A384="","",[1]!thsiFinD("ths_adjustment_nv_fund",B$3,$A384))</x:f>
        <x:v>#NAME?</x:v>
      </x:c>
      <x:c r="C384" t="e">
        <x:f>IF($A384="","",[1]!thsiFinD("ths_adjustment_nv_fund",C$3,$A384))</x:f>
        <x:v>#NAME?</x:v>
      </x:c>
      <x:c r="D384" t="e">
        <x:f>IF($A384="","",[1]!thsiFinD("ths_adjustment_nv_fund",D$3,$A384))</x:f>
        <x:v>#NAME?</x:v>
      </x:c>
      <x:c r="E384" t="e">
        <x:f>IF($A384="","",[1]!thsiFinD("ths_adjustment_nv_fund",E$3,$A384))</x:f>
        <x:v>#NAME?</x:v>
      </x:c>
      <x:c r="F384" t="e">
        <x:f>IF($A384="","",[1]!thsiFinD("ths_adjustment_nv_fund",F$3,$A384))</x:f>
        <x:v>#NAME?</x:v>
      </x:c>
      <x:c r="G384" t="e">
        <x:f>IF($A384="","",[1]!thsiFinD("ths_adjustment_nv_fund",G$3,$A384))</x:f>
        <x:v>#NAME?</x:v>
      </x:c>
      <x:c r="H384" t="e">
        <x:f>IF($A384="","",[1]!thsiFinD("ths_adjustment_nv_fund",H$3,$A384))</x:f>
        <x:v>#NAME?</x:v>
      </x:c>
      <x:c r="I384" t="e">
        <x:f>IF($A384="","",[1]!thsiFinD("ths_adjustment_nv_fund",I$3,$A384))</x:f>
        <x:v>#NAME?</x:v>
      </x:c>
      <x:c r="J384" t="e">
        <x:f>IF($A384="","",[1]!thsiFinD("ths_adjustment_nv_fund",J$3,$A384))</x:f>
        <x:v>#NAME?</x:v>
      </x:c>
      <x:c r="K384" t="e">
        <x:f>IF($A384="","",[1]!thsiFinD("ths_adjustment_nv_fund",K$3,$A384))</x:f>
        <x:v>#NAME?</x:v>
      </x:c>
      <x:c r="L384" t="e">
        <x:f>IF($A384="","",[1]!thsiFinD("ths_adjustment_nv_fund",L$3,$A384))</x:f>
        <x:v>#NAME?</x:v>
      </x:c>
      <x:c r="M384" t="e">
        <x:f>IF($A384="","",[1]!thsiFinD("ths_adjustment_nv_fund",M$3,$A384))</x:f>
        <x:v>#NAME?</x:v>
      </x:c>
      <x:c r="N384" t="e">
        <x:f>IF($A384="","",[1]!thsiFinD("ths_adjustment_nv_fund",N$3,$A384))</x:f>
        <x:v>#NAME?</x:v>
      </x:c>
      <x:c r="O384" t="e">
        <x:f>IF($A384="","",[1]!thsiFinD("ths_adjustment_nv_fund",O$3,$A384))</x:f>
        <x:v>#NAME?</x:v>
      </x:c>
      <x:c r="P384" t="e">
        <x:f>IF($A384="","",[1]!thsiFinD("ths_adjustment_nv_fund",P$3,$A384))</x:f>
        <x:v>#NAME?</x:v>
      </x:c>
      <x:c r="Q384" t="e">
        <x:f>IF($A384="","",[1]!thsiFinD("ths_adjustment_nv_fund",Q$3,$A384))</x:f>
        <x:v>#NAME?</x:v>
      </x:c>
      <x:c r="R384" t="e">
        <x:f>IF($A384="","",[1]!thsiFinD("ths_adjustment_nv_fund",R$3,$A384))</x:f>
        <x:v>#NAME?</x:v>
      </x:c>
      <x:c r="S384" t="e">
        <x:f>IF($A384="","",[1]!thsiFinD("ths_adjustment_nv_fund",S$3,$A384))</x:f>
        <x:v>#NAME?</x:v>
      </x:c>
      <x:c r="T384" t="e">
        <x:f>IF($A384="","",[1]!thsiFinD("ths_adjustment_nv_fund",T$3,$A384))</x:f>
        <x:v>#NAME?</x:v>
      </x:c>
      <x:c r="U384" t="e">
        <x:f>IF($A384="","",[1]!thsiFinD("ths_adjustment_nv_fund",U$3,$A384))</x:f>
        <x:v>#NAME?</x:v>
      </x:c>
      <x:c r="V384" t="e">
        <x:f>IF($A384="","",[1]!thsiFinD("ths_adjustment_nv_fund",V$3,$A384))</x:f>
        <x:v>#NAME?</x:v>
      </x:c>
      <x:c r="W384" t="e">
        <x:f>IF($A384="","",[1]!thsiFinD("ths_adjustment_nv_fund",W$3,$A384))</x:f>
        <x:v>#NAME?</x:v>
      </x:c>
      <x:c r="X384" t="e">
        <x:f>IF($A384="","",[1]!thsiFinD("ths_adjustment_nv_fund",X$3,$A384))</x:f>
        <x:v>#NAME?</x:v>
      </x:c>
      <x:c r="Y384" t="e">
        <x:f>IF($A384="","",[1]!thsiFinD("ths_adjustment_nv_fund",Y$3,$A384))</x:f>
        <x:v>#NAME?</x:v>
      </x:c>
    </x:row>
    <x:row r="385">
      <x:c r="B385" t="e">
        <x:f>IF($A385="","",[1]!thsiFinD("ths_adjustment_nv_fund",B$3,$A385))</x:f>
        <x:v>#NAME?</x:v>
      </x:c>
      <x:c r="C385" t="e">
        <x:f>IF($A385="","",[1]!thsiFinD("ths_adjustment_nv_fund",C$3,$A385))</x:f>
        <x:v>#NAME?</x:v>
      </x:c>
      <x:c r="D385" t="e">
        <x:f>IF($A385="","",[1]!thsiFinD("ths_adjustment_nv_fund",D$3,$A385))</x:f>
        <x:v>#NAME?</x:v>
      </x:c>
      <x:c r="E385" t="e">
        <x:f>IF($A385="","",[1]!thsiFinD("ths_adjustment_nv_fund",E$3,$A385))</x:f>
        <x:v>#NAME?</x:v>
      </x:c>
      <x:c r="F385" t="e">
        <x:f>IF($A385="","",[1]!thsiFinD("ths_adjustment_nv_fund",F$3,$A385))</x:f>
        <x:v>#NAME?</x:v>
      </x:c>
      <x:c r="G385" t="e">
        <x:f>IF($A385="","",[1]!thsiFinD("ths_adjustment_nv_fund",G$3,$A385))</x:f>
        <x:v>#NAME?</x:v>
      </x:c>
      <x:c r="H385" t="e">
        <x:f>IF($A385="","",[1]!thsiFinD("ths_adjustment_nv_fund",H$3,$A385))</x:f>
        <x:v>#NAME?</x:v>
      </x:c>
      <x:c r="I385" t="e">
        <x:f>IF($A385="","",[1]!thsiFinD("ths_adjustment_nv_fund",I$3,$A385))</x:f>
        <x:v>#NAME?</x:v>
      </x:c>
      <x:c r="J385" t="e">
        <x:f>IF($A385="","",[1]!thsiFinD("ths_adjustment_nv_fund",J$3,$A385))</x:f>
        <x:v>#NAME?</x:v>
      </x:c>
      <x:c r="K385" t="e">
        <x:f>IF($A385="","",[1]!thsiFinD("ths_adjustment_nv_fund",K$3,$A385))</x:f>
        <x:v>#NAME?</x:v>
      </x:c>
      <x:c r="L385" t="e">
        <x:f>IF($A385="","",[1]!thsiFinD("ths_adjustment_nv_fund",L$3,$A385))</x:f>
        <x:v>#NAME?</x:v>
      </x:c>
      <x:c r="M385" t="e">
        <x:f>IF($A385="","",[1]!thsiFinD("ths_adjustment_nv_fund",M$3,$A385))</x:f>
        <x:v>#NAME?</x:v>
      </x:c>
      <x:c r="N385" t="e">
        <x:f>IF($A385="","",[1]!thsiFinD("ths_adjustment_nv_fund",N$3,$A385))</x:f>
        <x:v>#NAME?</x:v>
      </x:c>
      <x:c r="O385" t="e">
        <x:f>IF($A385="","",[1]!thsiFinD("ths_adjustment_nv_fund",O$3,$A385))</x:f>
        <x:v>#NAME?</x:v>
      </x:c>
      <x:c r="P385" t="e">
        <x:f>IF($A385="","",[1]!thsiFinD("ths_adjustment_nv_fund",P$3,$A385))</x:f>
        <x:v>#NAME?</x:v>
      </x:c>
      <x:c r="Q385" t="e">
        <x:f>IF($A385="","",[1]!thsiFinD("ths_adjustment_nv_fund",Q$3,$A385))</x:f>
        <x:v>#NAME?</x:v>
      </x:c>
      <x:c r="R385" t="e">
        <x:f>IF($A385="","",[1]!thsiFinD("ths_adjustment_nv_fund",R$3,$A385))</x:f>
        <x:v>#NAME?</x:v>
      </x:c>
      <x:c r="S385" t="e">
        <x:f>IF($A385="","",[1]!thsiFinD("ths_adjustment_nv_fund",S$3,$A385))</x:f>
        <x:v>#NAME?</x:v>
      </x:c>
      <x:c r="T385" t="e">
        <x:f>IF($A385="","",[1]!thsiFinD("ths_adjustment_nv_fund",T$3,$A385))</x:f>
        <x:v>#NAME?</x:v>
      </x:c>
      <x:c r="U385" t="e">
        <x:f>IF($A385="","",[1]!thsiFinD("ths_adjustment_nv_fund",U$3,$A385))</x:f>
        <x:v>#NAME?</x:v>
      </x:c>
      <x:c r="V385" t="e">
        <x:f>IF($A385="","",[1]!thsiFinD("ths_adjustment_nv_fund",V$3,$A385))</x:f>
        <x:v>#NAME?</x:v>
      </x:c>
      <x:c r="W385" t="e">
        <x:f>IF($A385="","",[1]!thsiFinD("ths_adjustment_nv_fund",W$3,$A385))</x:f>
        <x:v>#NAME?</x:v>
      </x:c>
      <x:c r="X385" t="e">
        <x:f>IF($A385="","",[1]!thsiFinD("ths_adjustment_nv_fund",X$3,$A385))</x:f>
        <x:v>#NAME?</x:v>
      </x:c>
      <x:c r="Y385" t="e">
        <x:f>IF($A385="","",[1]!thsiFinD("ths_adjustment_nv_fund",Y$3,$A385))</x:f>
        <x:v>#NAME?</x:v>
      </x:c>
    </x:row>
    <x:row r="386">
      <x:c r="B386" t="e">
        <x:f>IF($A386="","",[1]!thsiFinD("ths_adjustment_nv_fund",B$3,$A386))</x:f>
        <x:v>#NAME?</x:v>
      </x:c>
      <x:c r="C386" t="e">
        <x:f>IF($A386="","",[1]!thsiFinD("ths_adjustment_nv_fund",C$3,$A386))</x:f>
        <x:v>#NAME?</x:v>
      </x:c>
      <x:c r="D386" t="e">
        <x:f>IF($A386="","",[1]!thsiFinD("ths_adjustment_nv_fund",D$3,$A386))</x:f>
        <x:v>#NAME?</x:v>
      </x:c>
      <x:c r="E386" t="e">
        <x:f>IF($A386="","",[1]!thsiFinD("ths_adjustment_nv_fund",E$3,$A386))</x:f>
        <x:v>#NAME?</x:v>
      </x:c>
      <x:c r="F386" t="e">
        <x:f>IF($A386="","",[1]!thsiFinD("ths_adjustment_nv_fund",F$3,$A386))</x:f>
        <x:v>#NAME?</x:v>
      </x:c>
      <x:c r="G386" t="e">
        <x:f>IF($A386="","",[1]!thsiFinD("ths_adjustment_nv_fund",G$3,$A386))</x:f>
        <x:v>#NAME?</x:v>
      </x:c>
      <x:c r="H386" t="e">
        <x:f>IF($A386="","",[1]!thsiFinD("ths_adjustment_nv_fund",H$3,$A386))</x:f>
        <x:v>#NAME?</x:v>
      </x:c>
      <x:c r="I386" t="e">
        <x:f>IF($A386="","",[1]!thsiFinD("ths_adjustment_nv_fund",I$3,$A386))</x:f>
        <x:v>#NAME?</x:v>
      </x:c>
      <x:c r="J386" t="e">
        <x:f>IF($A386="","",[1]!thsiFinD("ths_adjustment_nv_fund",J$3,$A386))</x:f>
        <x:v>#NAME?</x:v>
      </x:c>
      <x:c r="K386" t="e">
        <x:f>IF($A386="","",[1]!thsiFinD("ths_adjustment_nv_fund",K$3,$A386))</x:f>
        <x:v>#NAME?</x:v>
      </x:c>
      <x:c r="L386" t="e">
        <x:f>IF($A386="","",[1]!thsiFinD("ths_adjustment_nv_fund",L$3,$A386))</x:f>
        <x:v>#NAME?</x:v>
      </x:c>
      <x:c r="M386" t="e">
        <x:f>IF($A386="","",[1]!thsiFinD("ths_adjustment_nv_fund",M$3,$A386))</x:f>
        <x:v>#NAME?</x:v>
      </x:c>
      <x:c r="N386" t="e">
        <x:f>IF($A386="","",[1]!thsiFinD("ths_adjustment_nv_fund",N$3,$A386))</x:f>
        <x:v>#NAME?</x:v>
      </x:c>
      <x:c r="O386" t="e">
        <x:f>IF($A386="","",[1]!thsiFinD("ths_adjustment_nv_fund",O$3,$A386))</x:f>
        <x:v>#NAME?</x:v>
      </x:c>
      <x:c r="P386" t="e">
        <x:f>IF($A386="","",[1]!thsiFinD("ths_adjustment_nv_fund",P$3,$A386))</x:f>
        <x:v>#NAME?</x:v>
      </x:c>
      <x:c r="Q386" t="e">
        <x:f>IF($A386="","",[1]!thsiFinD("ths_adjustment_nv_fund",Q$3,$A386))</x:f>
        <x:v>#NAME?</x:v>
      </x:c>
      <x:c r="R386" t="e">
        <x:f>IF($A386="","",[1]!thsiFinD("ths_adjustment_nv_fund",R$3,$A386))</x:f>
        <x:v>#NAME?</x:v>
      </x:c>
      <x:c r="S386" t="e">
        <x:f>IF($A386="","",[1]!thsiFinD("ths_adjustment_nv_fund",S$3,$A386))</x:f>
        <x:v>#NAME?</x:v>
      </x:c>
      <x:c r="T386" t="e">
        <x:f>IF($A386="","",[1]!thsiFinD("ths_adjustment_nv_fund",T$3,$A386))</x:f>
        <x:v>#NAME?</x:v>
      </x:c>
      <x:c r="U386" t="e">
        <x:f>IF($A386="","",[1]!thsiFinD("ths_adjustment_nv_fund",U$3,$A386))</x:f>
        <x:v>#NAME?</x:v>
      </x:c>
      <x:c r="V386" t="e">
        <x:f>IF($A386="","",[1]!thsiFinD("ths_adjustment_nv_fund",V$3,$A386))</x:f>
        <x:v>#NAME?</x:v>
      </x:c>
      <x:c r="W386" t="e">
        <x:f>IF($A386="","",[1]!thsiFinD("ths_adjustment_nv_fund",W$3,$A386))</x:f>
        <x:v>#NAME?</x:v>
      </x:c>
      <x:c r="X386" t="e">
        <x:f>IF($A386="","",[1]!thsiFinD("ths_adjustment_nv_fund",X$3,$A386))</x:f>
        <x:v>#NAME?</x:v>
      </x:c>
      <x:c r="Y386" t="e">
        <x:f>IF($A386="","",[1]!thsiFinD("ths_adjustment_nv_fund",Y$3,$A386))</x:f>
        <x:v>#NAME?</x:v>
      </x:c>
    </x:row>
    <x:row r="387">
      <x:c r="B387" t="e">
        <x:f>IF($A387="","",[1]!thsiFinD("ths_adjustment_nv_fund",B$3,$A387))</x:f>
        <x:v>#NAME?</x:v>
      </x:c>
      <x:c r="C387" t="e">
        <x:f>IF($A387="","",[1]!thsiFinD("ths_adjustment_nv_fund",C$3,$A387))</x:f>
        <x:v>#NAME?</x:v>
      </x:c>
      <x:c r="D387" t="e">
        <x:f>IF($A387="","",[1]!thsiFinD("ths_adjustment_nv_fund",D$3,$A387))</x:f>
        <x:v>#NAME?</x:v>
      </x:c>
      <x:c r="E387" t="e">
        <x:f>IF($A387="","",[1]!thsiFinD("ths_adjustment_nv_fund",E$3,$A387))</x:f>
        <x:v>#NAME?</x:v>
      </x:c>
      <x:c r="F387" t="e">
        <x:f>IF($A387="","",[1]!thsiFinD("ths_adjustment_nv_fund",F$3,$A387))</x:f>
        <x:v>#NAME?</x:v>
      </x:c>
      <x:c r="G387" t="e">
        <x:f>IF($A387="","",[1]!thsiFinD("ths_adjustment_nv_fund",G$3,$A387))</x:f>
        <x:v>#NAME?</x:v>
      </x:c>
      <x:c r="H387" t="e">
        <x:f>IF($A387="","",[1]!thsiFinD("ths_adjustment_nv_fund",H$3,$A387))</x:f>
        <x:v>#NAME?</x:v>
      </x:c>
      <x:c r="I387" t="e">
        <x:f>IF($A387="","",[1]!thsiFinD("ths_adjustment_nv_fund",I$3,$A387))</x:f>
        <x:v>#NAME?</x:v>
      </x:c>
      <x:c r="J387" t="e">
        <x:f>IF($A387="","",[1]!thsiFinD("ths_adjustment_nv_fund",J$3,$A387))</x:f>
        <x:v>#NAME?</x:v>
      </x:c>
      <x:c r="K387" t="e">
        <x:f>IF($A387="","",[1]!thsiFinD("ths_adjustment_nv_fund",K$3,$A387))</x:f>
        <x:v>#NAME?</x:v>
      </x:c>
      <x:c r="L387" t="e">
        <x:f>IF($A387="","",[1]!thsiFinD("ths_adjustment_nv_fund",L$3,$A387))</x:f>
        <x:v>#NAME?</x:v>
      </x:c>
      <x:c r="M387" t="e">
        <x:f>IF($A387="","",[1]!thsiFinD("ths_adjustment_nv_fund",M$3,$A387))</x:f>
        <x:v>#NAME?</x:v>
      </x:c>
      <x:c r="N387" t="e">
        <x:f>IF($A387="","",[1]!thsiFinD("ths_adjustment_nv_fund",N$3,$A387))</x:f>
        <x:v>#NAME?</x:v>
      </x:c>
      <x:c r="O387" t="e">
        <x:f>IF($A387="","",[1]!thsiFinD("ths_adjustment_nv_fund",O$3,$A387))</x:f>
        <x:v>#NAME?</x:v>
      </x:c>
      <x:c r="P387" t="e">
        <x:f>IF($A387="","",[1]!thsiFinD("ths_adjustment_nv_fund",P$3,$A387))</x:f>
        <x:v>#NAME?</x:v>
      </x:c>
      <x:c r="Q387" t="e">
        <x:f>IF($A387="","",[1]!thsiFinD("ths_adjustment_nv_fund",Q$3,$A387))</x:f>
        <x:v>#NAME?</x:v>
      </x:c>
      <x:c r="R387" t="e">
        <x:f>IF($A387="","",[1]!thsiFinD("ths_adjustment_nv_fund",R$3,$A387))</x:f>
        <x:v>#NAME?</x:v>
      </x:c>
      <x:c r="S387" t="e">
        <x:f>IF($A387="","",[1]!thsiFinD("ths_adjustment_nv_fund",S$3,$A387))</x:f>
        <x:v>#NAME?</x:v>
      </x:c>
      <x:c r="T387" t="e">
        <x:f>IF($A387="","",[1]!thsiFinD("ths_adjustment_nv_fund",T$3,$A387))</x:f>
        <x:v>#NAME?</x:v>
      </x:c>
      <x:c r="U387" t="e">
        <x:f>IF($A387="","",[1]!thsiFinD("ths_adjustment_nv_fund",U$3,$A387))</x:f>
        <x:v>#NAME?</x:v>
      </x:c>
      <x:c r="V387" t="e">
        <x:f>IF($A387="","",[1]!thsiFinD("ths_adjustment_nv_fund",V$3,$A387))</x:f>
        <x:v>#NAME?</x:v>
      </x:c>
      <x:c r="W387" t="e">
        <x:f>IF($A387="","",[1]!thsiFinD("ths_adjustment_nv_fund",W$3,$A387))</x:f>
        <x:v>#NAME?</x:v>
      </x:c>
      <x:c r="X387" t="e">
        <x:f>IF($A387="","",[1]!thsiFinD("ths_adjustment_nv_fund",X$3,$A387))</x:f>
        <x:v>#NAME?</x:v>
      </x:c>
      <x:c r="Y387" t="e">
        <x:f>IF($A387="","",[1]!thsiFinD("ths_adjustment_nv_fund",Y$3,$A387))</x:f>
        <x:v>#NAME?</x:v>
      </x:c>
    </x:row>
    <x:row r="388">
      <x:c r="B388" t="e">
        <x:f>IF($A388="","",[1]!thsiFinD("ths_adjustment_nv_fund",B$3,$A388))</x:f>
        <x:v>#NAME?</x:v>
      </x:c>
      <x:c r="C388" t="e">
        <x:f>IF($A388="","",[1]!thsiFinD("ths_adjustment_nv_fund",C$3,$A388))</x:f>
        <x:v>#NAME?</x:v>
      </x:c>
      <x:c r="D388" t="e">
        <x:f>IF($A388="","",[1]!thsiFinD("ths_adjustment_nv_fund",D$3,$A388))</x:f>
        <x:v>#NAME?</x:v>
      </x:c>
      <x:c r="E388" t="e">
        <x:f>IF($A388="","",[1]!thsiFinD("ths_adjustment_nv_fund",E$3,$A388))</x:f>
        <x:v>#NAME?</x:v>
      </x:c>
      <x:c r="F388" t="e">
        <x:f>IF($A388="","",[1]!thsiFinD("ths_adjustment_nv_fund",F$3,$A388))</x:f>
        <x:v>#NAME?</x:v>
      </x:c>
      <x:c r="G388" t="e">
        <x:f>IF($A388="","",[1]!thsiFinD("ths_adjustment_nv_fund",G$3,$A388))</x:f>
        <x:v>#NAME?</x:v>
      </x:c>
      <x:c r="H388" t="e">
        <x:f>IF($A388="","",[1]!thsiFinD("ths_adjustment_nv_fund",H$3,$A388))</x:f>
        <x:v>#NAME?</x:v>
      </x:c>
      <x:c r="I388" t="e">
        <x:f>IF($A388="","",[1]!thsiFinD("ths_adjustment_nv_fund",I$3,$A388))</x:f>
        <x:v>#NAME?</x:v>
      </x:c>
      <x:c r="J388" t="e">
        <x:f>IF($A388="","",[1]!thsiFinD("ths_adjustment_nv_fund",J$3,$A388))</x:f>
        <x:v>#NAME?</x:v>
      </x:c>
      <x:c r="K388" t="e">
        <x:f>IF($A388="","",[1]!thsiFinD("ths_adjustment_nv_fund",K$3,$A388))</x:f>
        <x:v>#NAME?</x:v>
      </x:c>
      <x:c r="L388" t="e">
        <x:f>IF($A388="","",[1]!thsiFinD("ths_adjustment_nv_fund",L$3,$A388))</x:f>
        <x:v>#NAME?</x:v>
      </x:c>
      <x:c r="M388" t="e">
        <x:f>IF($A388="","",[1]!thsiFinD("ths_adjustment_nv_fund",M$3,$A388))</x:f>
        <x:v>#NAME?</x:v>
      </x:c>
      <x:c r="N388" t="e">
        <x:f>IF($A388="","",[1]!thsiFinD("ths_adjustment_nv_fund",N$3,$A388))</x:f>
        <x:v>#NAME?</x:v>
      </x:c>
      <x:c r="O388" t="e">
        <x:f>IF($A388="","",[1]!thsiFinD("ths_adjustment_nv_fund",O$3,$A388))</x:f>
        <x:v>#NAME?</x:v>
      </x:c>
      <x:c r="P388" t="e">
        <x:f>IF($A388="","",[1]!thsiFinD("ths_adjustment_nv_fund",P$3,$A388))</x:f>
        <x:v>#NAME?</x:v>
      </x:c>
      <x:c r="Q388" t="e">
        <x:f>IF($A388="","",[1]!thsiFinD("ths_adjustment_nv_fund",Q$3,$A388))</x:f>
        <x:v>#NAME?</x:v>
      </x:c>
      <x:c r="R388" t="e">
        <x:f>IF($A388="","",[1]!thsiFinD("ths_adjustment_nv_fund",R$3,$A388))</x:f>
        <x:v>#NAME?</x:v>
      </x:c>
      <x:c r="S388" t="e">
        <x:f>IF($A388="","",[1]!thsiFinD("ths_adjustment_nv_fund",S$3,$A388))</x:f>
        <x:v>#NAME?</x:v>
      </x:c>
      <x:c r="T388" t="e">
        <x:f>IF($A388="","",[1]!thsiFinD("ths_adjustment_nv_fund",T$3,$A388))</x:f>
        <x:v>#NAME?</x:v>
      </x:c>
      <x:c r="U388" t="e">
        <x:f>IF($A388="","",[1]!thsiFinD("ths_adjustment_nv_fund",U$3,$A388))</x:f>
        <x:v>#NAME?</x:v>
      </x:c>
      <x:c r="V388" t="e">
        <x:f>IF($A388="","",[1]!thsiFinD("ths_adjustment_nv_fund",V$3,$A388))</x:f>
        <x:v>#NAME?</x:v>
      </x:c>
      <x:c r="W388" t="e">
        <x:f>IF($A388="","",[1]!thsiFinD("ths_adjustment_nv_fund",W$3,$A388))</x:f>
        <x:v>#NAME?</x:v>
      </x:c>
      <x:c r="X388" t="e">
        <x:f>IF($A388="","",[1]!thsiFinD("ths_adjustment_nv_fund",X$3,$A388))</x:f>
        <x:v>#NAME?</x:v>
      </x:c>
      <x:c r="Y388" t="e">
        <x:f>IF($A388="","",[1]!thsiFinD("ths_adjustment_nv_fund",Y$3,$A388))</x:f>
        <x:v>#NAME?</x:v>
      </x:c>
    </x:row>
    <x:row r="389">
      <x:c r="B389" t="e">
        <x:f>IF($A389="","",[1]!thsiFinD("ths_adjustment_nv_fund",B$3,$A389))</x:f>
        <x:v>#NAME?</x:v>
      </x:c>
      <x:c r="C389" t="e">
        <x:f>IF($A389="","",[1]!thsiFinD("ths_adjustment_nv_fund",C$3,$A389))</x:f>
        <x:v>#NAME?</x:v>
      </x:c>
      <x:c r="D389" t="e">
        <x:f>IF($A389="","",[1]!thsiFinD("ths_adjustment_nv_fund",D$3,$A389))</x:f>
        <x:v>#NAME?</x:v>
      </x:c>
      <x:c r="E389" t="e">
        <x:f>IF($A389="","",[1]!thsiFinD("ths_adjustment_nv_fund",E$3,$A389))</x:f>
        <x:v>#NAME?</x:v>
      </x:c>
      <x:c r="F389" t="e">
        <x:f>IF($A389="","",[1]!thsiFinD("ths_adjustment_nv_fund",F$3,$A389))</x:f>
        <x:v>#NAME?</x:v>
      </x:c>
      <x:c r="G389" t="e">
        <x:f>IF($A389="","",[1]!thsiFinD("ths_adjustment_nv_fund",G$3,$A389))</x:f>
        <x:v>#NAME?</x:v>
      </x:c>
      <x:c r="H389" t="e">
        <x:f>IF($A389="","",[1]!thsiFinD("ths_adjustment_nv_fund",H$3,$A389))</x:f>
        <x:v>#NAME?</x:v>
      </x:c>
      <x:c r="I389" t="e">
        <x:f>IF($A389="","",[1]!thsiFinD("ths_adjustment_nv_fund",I$3,$A389))</x:f>
        <x:v>#NAME?</x:v>
      </x:c>
      <x:c r="J389" t="e">
        <x:f>IF($A389="","",[1]!thsiFinD("ths_adjustment_nv_fund",J$3,$A389))</x:f>
        <x:v>#NAME?</x:v>
      </x:c>
      <x:c r="K389" t="e">
        <x:f>IF($A389="","",[1]!thsiFinD("ths_adjustment_nv_fund",K$3,$A389))</x:f>
        <x:v>#NAME?</x:v>
      </x:c>
      <x:c r="L389" t="e">
        <x:f>IF($A389="","",[1]!thsiFinD("ths_adjustment_nv_fund",L$3,$A389))</x:f>
        <x:v>#NAME?</x:v>
      </x:c>
      <x:c r="M389" t="e">
        <x:f>IF($A389="","",[1]!thsiFinD("ths_adjustment_nv_fund",M$3,$A389))</x:f>
        <x:v>#NAME?</x:v>
      </x:c>
      <x:c r="N389" t="e">
        <x:f>IF($A389="","",[1]!thsiFinD("ths_adjustment_nv_fund",N$3,$A389))</x:f>
        <x:v>#NAME?</x:v>
      </x:c>
      <x:c r="O389" t="e">
        <x:f>IF($A389="","",[1]!thsiFinD("ths_adjustment_nv_fund",O$3,$A389))</x:f>
        <x:v>#NAME?</x:v>
      </x:c>
      <x:c r="P389" t="e">
        <x:f>IF($A389="","",[1]!thsiFinD("ths_adjustment_nv_fund",P$3,$A389))</x:f>
        <x:v>#NAME?</x:v>
      </x:c>
      <x:c r="Q389" t="e">
        <x:f>IF($A389="","",[1]!thsiFinD("ths_adjustment_nv_fund",Q$3,$A389))</x:f>
        <x:v>#NAME?</x:v>
      </x:c>
      <x:c r="R389" t="e">
        <x:f>IF($A389="","",[1]!thsiFinD("ths_adjustment_nv_fund",R$3,$A389))</x:f>
        <x:v>#NAME?</x:v>
      </x:c>
      <x:c r="S389" t="e">
        <x:f>IF($A389="","",[1]!thsiFinD("ths_adjustment_nv_fund",S$3,$A389))</x:f>
        <x:v>#NAME?</x:v>
      </x:c>
      <x:c r="T389" t="e">
        <x:f>IF($A389="","",[1]!thsiFinD("ths_adjustment_nv_fund",T$3,$A389))</x:f>
        <x:v>#NAME?</x:v>
      </x:c>
      <x:c r="U389" t="e">
        <x:f>IF($A389="","",[1]!thsiFinD("ths_adjustment_nv_fund",U$3,$A389))</x:f>
        <x:v>#NAME?</x:v>
      </x:c>
      <x:c r="V389" t="e">
        <x:f>IF($A389="","",[1]!thsiFinD("ths_adjustment_nv_fund",V$3,$A389))</x:f>
        <x:v>#NAME?</x:v>
      </x:c>
      <x:c r="W389" t="e">
        <x:f>IF($A389="","",[1]!thsiFinD("ths_adjustment_nv_fund",W$3,$A389))</x:f>
        <x:v>#NAME?</x:v>
      </x:c>
      <x:c r="X389" t="e">
        <x:f>IF($A389="","",[1]!thsiFinD("ths_adjustment_nv_fund",X$3,$A389))</x:f>
        <x:v>#NAME?</x:v>
      </x:c>
      <x:c r="Y389" t="e">
        <x:f>IF($A389="","",[1]!thsiFinD("ths_adjustment_nv_fund",Y$3,$A389))</x:f>
        <x:v>#NAME?</x:v>
      </x:c>
    </x:row>
    <x:row r="390">
      <x:c r="B390" t="e">
        <x:f>IF($A390="","",[1]!thsiFinD("ths_adjustment_nv_fund",B$3,$A390))</x:f>
        <x:v>#NAME?</x:v>
      </x:c>
      <x:c r="C390" t="e">
        <x:f>IF($A390="","",[1]!thsiFinD("ths_adjustment_nv_fund",C$3,$A390))</x:f>
        <x:v>#NAME?</x:v>
      </x:c>
      <x:c r="D390" t="e">
        <x:f>IF($A390="","",[1]!thsiFinD("ths_adjustment_nv_fund",D$3,$A390))</x:f>
        <x:v>#NAME?</x:v>
      </x:c>
      <x:c r="E390" t="e">
        <x:f>IF($A390="","",[1]!thsiFinD("ths_adjustment_nv_fund",E$3,$A390))</x:f>
        <x:v>#NAME?</x:v>
      </x:c>
      <x:c r="F390" t="e">
        <x:f>IF($A390="","",[1]!thsiFinD("ths_adjustment_nv_fund",F$3,$A390))</x:f>
        <x:v>#NAME?</x:v>
      </x:c>
      <x:c r="G390" t="e">
        <x:f>IF($A390="","",[1]!thsiFinD("ths_adjustment_nv_fund",G$3,$A390))</x:f>
        <x:v>#NAME?</x:v>
      </x:c>
      <x:c r="H390" t="e">
        <x:f>IF($A390="","",[1]!thsiFinD("ths_adjustment_nv_fund",H$3,$A390))</x:f>
        <x:v>#NAME?</x:v>
      </x:c>
      <x:c r="I390" t="e">
        <x:f>IF($A390="","",[1]!thsiFinD("ths_adjustment_nv_fund",I$3,$A390))</x:f>
        <x:v>#NAME?</x:v>
      </x:c>
      <x:c r="J390" t="e">
        <x:f>IF($A390="","",[1]!thsiFinD("ths_adjustment_nv_fund",J$3,$A390))</x:f>
        <x:v>#NAME?</x:v>
      </x:c>
      <x:c r="K390" t="e">
        <x:f>IF($A390="","",[1]!thsiFinD("ths_adjustment_nv_fund",K$3,$A390))</x:f>
        <x:v>#NAME?</x:v>
      </x:c>
      <x:c r="L390" t="e">
        <x:f>IF($A390="","",[1]!thsiFinD("ths_adjustment_nv_fund",L$3,$A390))</x:f>
        <x:v>#NAME?</x:v>
      </x:c>
      <x:c r="M390" t="e">
        <x:f>IF($A390="","",[1]!thsiFinD("ths_adjustment_nv_fund",M$3,$A390))</x:f>
        <x:v>#NAME?</x:v>
      </x:c>
      <x:c r="N390" t="e">
        <x:f>IF($A390="","",[1]!thsiFinD("ths_adjustment_nv_fund",N$3,$A390))</x:f>
        <x:v>#NAME?</x:v>
      </x:c>
      <x:c r="O390" t="e">
        <x:f>IF($A390="","",[1]!thsiFinD("ths_adjustment_nv_fund",O$3,$A390))</x:f>
        <x:v>#NAME?</x:v>
      </x:c>
      <x:c r="P390" t="e">
        <x:f>IF($A390="","",[1]!thsiFinD("ths_adjustment_nv_fund",P$3,$A390))</x:f>
        <x:v>#NAME?</x:v>
      </x:c>
      <x:c r="Q390" t="e">
        <x:f>IF($A390="","",[1]!thsiFinD("ths_adjustment_nv_fund",Q$3,$A390))</x:f>
        <x:v>#NAME?</x:v>
      </x:c>
      <x:c r="R390" t="e">
        <x:f>IF($A390="","",[1]!thsiFinD("ths_adjustment_nv_fund",R$3,$A390))</x:f>
        <x:v>#NAME?</x:v>
      </x:c>
      <x:c r="S390" t="e">
        <x:f>IF($A390="","",[1]!thsiFinD("ths_adjustment_nv_fund",S$3,$A390))</x:f>
        <x:v>#NAME?</x:v>
      </x:c>
      <x:c r="T390" t="e">
        <x:f>IF($A390="","",[1]!thsiFinD("ths_adjustment_nv_fund",T$3,$A390))</x:f>
        <x:v>#NAME?</x:v>
      </x:c>
      <x:c r="U390" t="e">
        <x:f>IF($A390="","",[1]!thsiFinD("ths_adjustment_nv_fund",U$3,$A390))</x:f>
        <x:v>#NAME?</x:v>
      </x:c>
      <x:c r="V390" t="e">
        <x:f>IF($A390="","",[1]!thsiFinD("ths_adjustment_nv_fund",V$3,$A390))</x:f>
        <x:v>#NAME?</x:v>
      </x:c>
      <x:c r="W390" t="e">
        <x:f>IF($A390="","",[1]!thsiFinD("ths_adjustment_nv_fund",W$3,$A390))</x:f>
        <x:v>#NAME?</x:v>
      </x:c>
      <x:c r="X390" t="e">
        <x:f>IF($A390="","",[1]!thsiFinD("ths_adjustment_nv_fund",X$3,$A390))</x:f>
        <x:v>#NAME?</x:v>
      </x:c>
      <x:c r="Y390" t="e">
        <x:f>IF($A390="","",[1]!thsiFinD("ths_adjustment_nv_fund",Y$3,$A390))</x:f>
        <x:v>#NAME?</x:v>
      </x:c>
    </x:row>
    <x:row r="391">
      <x:c r="B391" t="e">
        <x:f>IF($A391="","",[1]!thsiFinD("ths_adjustment_nv_fund",B$3,$A391))</x:f>
        <x:v>#NAME?</x:v>
      </x:c>
      <x:c r="C391" t="e">
        <x:f>IF($A391="","",[1]!thsiFinD("ths_adjustment_nv_fund",C$3,$A391))</x:f>
        <x:v>#NAME?</x:v>
      </x:c>
      <x:c r="D391" t="e">
        <x:f>IF($A391="","",[1]!thsiFinD("ths_adjustment_nv_fund",D$3,$A391))</x:f>
        <x:v>#NAME?</x:v>
      </x:c>
      <x:c r="E391" t="e">
        <x:f>IF($A391="","",[1]!thsiFinD("ths_adjustment_nv_fund",E$3,$A391))</x:f>
        <x:v>#NAME?</x:v>
      </x:c>
      <x:c r="F391" t="e">
        <x:f>IF($A391="","",[1]!thsiFinD("ths_adjustment_nv_fund",F$3,$A391))</x:f>
        <x:v>#NAME?</x:v>
      </x:c>
      <x:c r="G391" t="e">
        <x:f>IF($A391="","",[1]!thsiFinD("ths_adjustment_nv_fund",G$3,$A391))</x:f>
        <x:v>#NAME?</x:v>
      </x:c>
      <x:c r="H391" t="e">
        <x:f>IF($A391="","",[1]!thsiFinD("ths_adjustment_nv_fund",H$3,$A391))</x:f>
        <x:v>#NAME?</x:v>
      </x:c>
      <x:c r="I391" t="e">
        <x:f>IF($A391="","",[1]!thsiFinD("ths_adjustment_nv_fund",I$3,$A391))</x:f>
        <x:v>#NAME?</x:v>
      </x:c>
      <x:c r="J391" t="e">
        <x:f>IF($A391="","",[1]!thsiFinD("ths_adjustment_nv_fund",J$3,$A391))</x:f>
        <x:v>#NAME?</x:v>
      </x:c>
      <x:c r="K391" t="e">
        <x:f>IF($A391="","",[1]!thsiFinD("ths_adjustment_nv_fund",K$3,$A391))</x:f>
        <x:v>#NAME?</x:v>
      </x:c>
      <x:c r="L391" t="e">
        <x:f>IF($A391="","",[1]!thsiFinD("ths_adjustment_nv_fund",L$3,$A391))</x:f>
        <x:v>#NAME?</x:v>
      </x:c>
      <x:c r="M391" t="e">
        <x:f>IF($A391="","",[1]!thsiFinD("ths_adjustment_nv_fund",M$3,$A391))</x:f>
        <x:v>#NAME?</x:v>
      </x:c>
      <x:c r="N391" t="e">
        <x:f>IF($A391="","",[1]!thsiFinD("ths_adjustment_nv_fund",N$3,$A391))</x:f>
        <x:v>#NAME?</x:v>
      </x:c>
      <x:c r="O391" t="e">
        <x:f>IF($A391="","",[1]!thsiFinD("ths_adjustment_nv_fund",O$3,$A391))</x:f>
        <x:v>#NAME?</x:v>
      </x:c>
      <x:c r="P391" t="e">
        <x:f>IF($A391="","",[1]!thsiFinD("ths_adjustment_nv_fund",P$3,$A391))</x:f>
        <x:v>#NAME?</x:v>
      </x:c>
      <x:c r="Q391" t="e">
        <x:f>IF($A391="","",[1]!thsiFinD("ths_adjustment_nv_fund",Q$3,$A391))</x:f>
        <x:v>#NAME?</x:v>
      </x:c>
      <x:c r="R391" t="e">
        <x:f>IF($A391="","",[1]!thsiFinD("ths_adjustment_nv_fund",R$3,$A391))</x:f>
        <x:v>#NAME?</x:v>
      </x:c>
      <x:c r="S391" t="e">
        <x:f>IF($A391="","",[1]!thsiFinD("ths_adjustment_nv_fund",S$3,$A391))</x:f>
        <x:v>#NAME?</x:v>
      </x:c>
      <x:c r="T391" t="e">
        <x:f>IF($A391="","",[1]!thsiFinD("ths_adjustment_nv_fund",T$3,$A391))</x:f>
        <x:v>#NAME?</x:v>
      </x:c>
      <x:c r="U391" t="e">
        <x:f>IF($A391="","",[1]!thsiFinD("ths_adjustment_nv_fund",U$3,$A391))</x:f>
        <x:v>#NAME?</x:v>
      </x:c>
      <x:c r="V391" t="e">
        <x:f>IF($A391="","",[1]!thsiFinD("ths_adjustment_nv_fund",V$3,$A391))</x:f>
        <x:v>#NAME?</x:v>
      </x:c>
      <x:c r="W391" t="e">
        <x:f>IF($A391="","",[1]!thsiFinD("ths_adjustment_nv_fund",W$3,$A391))</x:f>
        <x:v>#NAME?</x:v>
      </x:c>
      <x:c r="X391" t="e">
        <x:f>IF($A391="","",[1]!thsiFinD("ths_adjustment_nv_fund",X$3,$A391))</x:f>
        <x:v>#NAME?</x:v>
      </x:c>
      <x:c r="Y391" t="e">
        <x:f>IF($A391="","",[1]!thsiFinD("ths_adjustment_nv_fund",Y$3,$A391))</x:f>
        <x:v>#NAME?</x:v>
      </x:c>
    </x:row>
    <x:row r="392">
      <x:c r="B392" t="e">
        <x:f>IF($A392="","",[1]!thsiFinD("ths_adjustment_nv_fund",B$3,$A392))</x:f>
        <x:v>#NAME?</x:v>
      </x:c>
      <x:c r="C392" t="e">
        <x:f>IF($A392="","",[1]!thsiFinD("ths_adjustment_nv_fund",C$3,$A392))</x:f>
        <x:v>#NAME?</x:v>
      </x:c>
      <x:c r="D392" t="e">
        <x:f>IF($A392="","",[1]!thsiFinD("ths_adjustment_nv_fund",D$3,$A392))</x:f>
        <x:v>#NAME?</x:v>
      </x:c>
      <x:c r="E392" t="e">
        <x:f>IF($A392="","",[1]!thsiFinD("ths_adjustment_nv_fund",E$3,$A392))</x:f>
        <x:v>#NAME?</x:v>
      </x:c>
      <x:c r="F392" t="e">
        <x:f>IF($A392="","",[1]!thsiFinD("ths_adjustment_nv_fund",F$3,$A392))</x:f>
        <x:v>#NAME?</x:v>
      </x:c>
      <x:c r="G392" t="e">
        <x:f>IF($A392="","",[1]!thsiFinD("ths_adjustment_nv_fund",G$3,$A392))</x:f>
        <x:v>#NAME?</x:v>
      </x:c>
      <x:c r="H392" t="e">
        <x:f>IF($A392="","",[1]!thsiFinD("ths_adjustment_nv_fund",H$3,$A392))</x:f>
        <x:v>#NAME?</x:v>
      </x:c>
      <x:c r="I392" t="e">
        <x:f>IF($A392="","",[1]!thsiFinD("ths_adjustment_nv_fund",I$3,$A392))</x:f>
        <x:v>#NAME?</x:v>
      </x:c>
      <x:c r="J392" t="e">
        <x:f>IF($A392="","",[1]!thsiFinD("ths_adjustment_nv_fund",J$3,$A392))</x:f>
        <x:v>#NAME?</x:v>
      </x:c>
      <x:c r="K392" t="e">
        <x:f>IF($A392="","",[1]!thsiFinD("ths_adjustment_nv_fund",K$3,$A392))</x:f>
        <x:v>#NAME?</x:v>
      </x:c>
      <x:c r="L392" t="e">
        <x:f>IF($A392="","",[1]!thsiFinD("ths_adjustment_nv_fund",L$3,$A392))</x:f>
        <x:v>#NAME?</x:v>
      </x:c>
      <x:c r="M392" t="e">
        <x:f>IF($A392="","",[1]!thsiFinD("ths_adjustment_nv_fund",M$3,$A392))</x:f>
        <x:v>#NAME?</x:v>
      </x:c>
      <x:c r="N392" t="e">
        <x:f>IF($A392="","",[1]!thsiFinD("ths_adjustment_nv_fund",N$3,$A392))</x:f>
        <x:v>#NAME?</x:v>
      </x:c>
      <x:c r="O392" t="e">
        <x:f>IF($A392="","",[1]!thsiFinD("ths_adjustment_nv_fund",O$3,$A392))</x:f>
        <x:v>#NAME?</x:v>
      </x:c>
      <x:c r="P392" t="e">
        <x:f>IF($A392="","",[1]!thsiFinD("ths_adjustment_nv_fund",P$3,$A392))</x:f>
        <x:v>#NAME?</x:v>
      </x:c>
      <x:c r="Q392" t="e">
        <x:f>IF($A392="","",[1]!thsiFinD("ths_adjustment_nv_fund",Q$3,$A392))</x:f>
        <x:v>#NAME?</x:v>
      </x:c>
      <x:c r="R392" t="e">
        <x:f>IF($A392="","",[1]!thsiFinD("ths_adjustment_nv_fund",R$3,$A392))</x:f>
        <x:v>#NAME?</x:v>
      </x:c>
      <x:c r="S392" t="e">
        <x:f>IF($A392="","",[1]!thsiFinD("ths_adjustment_nv_fund",S$3,$A392))</x:f>
        <x:v>#NAME?</x:v>
      </x:c>
      <x:c r="T392" t="e">
        <x:f>IF($A392="","",[1]!thsiFinD("ths_adjustment_nv_fund",T$3,$A392))</x:f>
        <x:v>#NAME?</x:v>
      </x:c>
      <x:c r="U392" t="e">
        <x:f>IF($A392="","",[1]!thsiFinD("ths_adjustment_nv_fund",U$3,$A392))</x:f>
        <x:v>#NAME?</x:v>
      </x:c>
      <x:c r="V392" t="e">
        <x:f>IF($A392="","",[1]!thsiFinD("ths_adjustment_nv_fund",V$3,$A392))</x:f>
        <x:v>#NAME?</x:v>
      </x:c>
      <x:c r="W392" t="e">
        <x:f>IF($A392="","",[1]!thsiFinD("ths_adjustment_nv_fund",W$3,$A392))</x:f>
        <x:v>#NAME?</x:v>
      </x:c>
      <x:c r="X392" t="e">
        <x:f>IF($A392="","",[1]!thsiFinD("ths_adjustment_nv_fund",X$3,$A392))</x:f>
        <x:v>#NAME?</x:v>
      </x:c>
      <x:c r="Y392" t="e">
        <x:f>IF($A392="","",[1]!thsiFinD("ths_adjustment_nv_fund",Y$3,$A392))</x:f>
        <x:v>#NAME?</x:v>
      </x:c>
    </x:row>
    <x:row r="393">
      <x:c r="B393" t="e">
        <x:f>IF($A393="","",[1]!thsiFinD("ths_adjustment_nv_fund",B$3,$A393))</x:f>
        <x:v>#NAME?</x:v>
      </x:c>
      <x:c r="C393" t="e">
        <x:f>IF($A393="","",[1]!thsiFinD("ths_adjustment_nv_fund",C$3,$A393))</x:f>
        <x:v>#NAME?</x:v>
      </x:c>
      <x:c r="D393" t="e">
        <x:f>IF($A393="","",[1]!thsiFinD("ths_adjustment_nv_fund",D$3,$A393))</x:f>
        <x:v>#NAME?</x:v>
      </x:c>
      <x:c r="E393" t="e">
        <x:f>IF($A393="","",[1]!thsiFinD("ths_adjustment_nv_fund",E$3,$A393))</x:f>
        <x:v>#NAME?</x:v>
      </x:c>
      <x:c r="F393" t="e">
        <x:f>IF($A393="","",[1]!thsiFinD("ths_adjustment_nv_fund",F$3,$A393))</x:f>
        <x:v>#NAME?</x:v>
      </x:c>
      <x:c r="G393" t="e">
        <x:f>IF($A393="","",[1]!thsiFinD("ths_adjustment_nv_fund",G$3,$A393))</x:f>
        <x:v>#NAME?</x:v>
      </x:c>
      <x:c r="H393" t="e">
        <x:f>IF($A393="","",[1]!thsiFinD("ths_adjustment_nv_fund",H$3,$A393))</x:f>
        <x:v>#NAME?</x:v>
      </x:c>
      <x:c r="I393" t="e">
        <x:f>IF($A393="","",[1]!thsiFinD("ths_adjustment_nv_fund",I$3,$A393))</x:f>
        <x:v>#NAME?</x:v>
      </x:c>
      <x:c r="J393" t="e">
        <x:f>IF($A393="","",[1]!thsiFinD("ths_adjustment_nv_fund",J$3,$A393))</x:f>
        <x:v>#NAME?</x:v>
      </x:c>
      <x:c r="K393" t="e">
        <x:f>IF($A393="","",[1]!thsiFinD("ths_adjustment_nv_fund",K$3,$A393))</x:f>
        <x:v>#NAME?</x:v>
      </x:c>
      <x:c r="L393" t="e">
        <x:f>IF($A393="","",[1]!thsiFinD("ths_adjustment_nv_fund",L$3,$A393))</x:f>
        <x:v>#NAME?</x:v>
      </x:c>
      <x:c r="M393" t="e">
        <x:f>IF($A393="","",[1]!thsiFinD("ths_adjustment_nv_fund",M$3,$A393))</x:f>
        <x:v>#NAME?</x:v>
      </x:c>
      <x:c r="N393" t="e">
        <x:f>IF($A393="","",[1]!thsiFinD("ths_adjustment_nv_fund",N$3,$A393))</x:f>
        <x:v>#NAME?</x:v>
      </x:c>
      <x:c r="O393" t="e">
        <x:f>IF($A393="","",[1]!thsiFinD("ths_adjustment_nv_fund",O$3,$A393))</x:f>
        <x:v>#NAME?</x:v>
      </x:c>
      <x:c r="P393" t="e">
        <x:f>IF($A393="","",[1]!thsiFinD("ths_adjustment_nv_fund",P$3,$A393))</x:f>
        <x:v>#NAME?</x:v>
      </x:c>
      <x:c r="Q393" t="e">
        <x:f>IF($A393="","",[1]!thsiFinD("ths_adjustment_nv_fund",Q$3,$A393))</x:f>
        <x:v>#NAME?</x:v>
      </x:c>
      <x:c r="R393" t="e">
        <x:f>IF($A393="","",[1]!thsiFinD("ths_adjustment_nv_fund",R$3,$A393))</x:f>
        <x:v>#NAME?</x:v>
      </x:c>
      <x:c r="S393" t="e">
        <x:f>IF($A393="","",[1]!thsiFinD("ths_adjustment_nv_fund",S$3,$A393))</x:f>
        <x:v>#NAME?</x:v>
      </x:c>
      <x:c r="T393" t="e">
        <x:f>IF($A393="","",[1]!thsiFinD("ths_adjustment_nv_fund",T$3,$A393))</x:f>
        <x:v>#NAME?</x:v>
      </x:c>
      <x:c r="U393" t="e">
        <x:f>IF($A393="","",[1]!thsiFinD("ths_adjustment_nv_fund",U$3,$A393))</x:f>
        <x:v>#NAME?</x:v>
      </x:c>
      <x:c r="V393" t="e">
        <x:f>IF($A393="","",[1]!thsiFinD("ths_adjustment_nv_fund",V$3,$A393))</x:f>
        <x:v>#NAME?</x:v>
      </x:c>
      <x:c r="W393" t="e">
        <x:f>IF($A393="","",[1]!thsiFinD("ths_adjustment_nv_fund",W$3,$A393))</x:f>
        <x:v>#NAME?</x:v>
      </x:c>
      <x:c r="X393" t="e">
        <x:f>IF($A393="","",[1]!thsiFinD("ths_adjustment_nv_fund",X$3,$A393))</x:f>
        <x:v>#NAME?</x:v>
      </x:c>
      <x:c r="Y393" t="e">
        <x:f>IF($A393="","",[1]!thsiFinD("ths_adjustment_nv_fund",Y$3,$A393))</x:f>
        <x:v>#NAME?</x:v>
      </x:c>
    </x:row>
    <x:row r="394">
      <x:c r="B394" t="e">
        <x:f>IF($A394="","",[1]!thsiFinD("ths_adjustment_nv_fund",B$3,$A394))</x:f>
        <x:v>#NAME?</x:v>
      </x:c>
      <x:c r="C394" t="e">
        <x:f>IF($A394="","",[1]!thsiFinD("ths_adjustment_nv_fund",C$3,$A394))</x:f>
        <x:v>#NAME?</x:v>
      </x:c>
      <x:c r="D394" t="e">
        <x:f>IF($A394="","",[1]!thsiFinD("ths_adjustment_nv_fund",D$3,$A394))</x:f>
        <x:v>#NAME?</x:v>
      </x:c>
      <x:c r="E394" t="e">
        <x:f>IF($A394="","",[1]!thsiFinD("ths_adjustment_nv_fund",E$3,$A394))</x:f>
        <x:v>#NAME?</x:v>
      </x:c>
      <x:c r="F394" t="e">
        <x:f>IF($A394="","",[1]!thsiFinD("ths_adjustment_nv_fund",F$3,$A394))</x:f>
        <x:v>#NAME?</x:v>
      </x:c>
      <x:c r="G394" t="e">
        <x:f>IF($A394="","",[1]!thsiFinD("ths_adjustment_nv_fund",G$3,$A394))</x:f>
        <x:v>#NAME?</x:v>
      </x:c>
      <x:c r="H394" t="e">
        <x:f>IF($A394="","",[1]!thsiFinD("ths_adjustment_nv_fund",H$3,$A394))</x:f>
        <x:v>#NAME?</x:v>
      </x:c>
      <x:c r="I394" t="e">
        <x:f>IF($A394="","",[1]!thsiFinD("ths_adjustment_nv_fund",I$3,$A394))</x:f>
        <x:v>#NAME?</x:v>
      </x:c>
      <x:c r="J394" t="e">
        <x:f>IF($A394="","",[1]!thsiFinD("ths_adjustment_nv_fund",J$3,$A394))</x:f>
        <x:v>#NAME?</x:v>
      </x:c>
      <x:c r="K394" t="e">
        <x:f>IF($A394="","",[1]!thsiFinD("ths_adjustment_nv_fund",K$3,$A394))</x:f>
        <x:v>#NAME?</x:v>
      </x:c>
      <x:c r="L394" t="e">
        <x:f>IF($A394="","",[1]!thsiFinD("ths_adjustment_nv_fund",L$3,$A394))</x:f>
        <x:v>#NAME?</x:v>
      </x:c>
      <x:c r="M394" t="e">
        <x:f>IF($A394="","",[1]!thsiFinD("ths_adjustment_nv_fund",M$3,$A394))</x:f>
        <x:v>#NAME?</x:v>
      </x:c>
      <x:c r="N394" t="e">
        <x:f>IF($A394="","",[1]!thsiFinD("ths_adjustment_nv_fund",N$3,$A394))</x:f>
        <x:v>#NAME?</x:v>
      </x:c>
      <x:c r="O394" t="e">
        <x:f>IF($A394="","",[1]!thsiFinD("ths_adjustment_nv_fund",O$3,$A394))</x:f>
        <x:v>#NAME?</x:v>
      </x:c>
      <x:c r="P394" t="e">
        <x:f>IF($A394="","",[1]!thsiFinD("ths_adjustment_nv_fund",P$3,$A394))</x:f>
        <x:v>#NAME?</x:v>
      </x:c>
      <x:c r="Q394" t="e">
        <x:f>IF($A394="","",[1]!thsiFinD("ths_adjustment_nv_fund",Q$3,$A394))</x:f>
        <x:v>#NAME?</x:v>
      </x:c>
      <x:c r="R394" t="e">
        <x:f>IF($A394="","",[1]!thsiFinD("ths_adjustment_nv_fund",R$3,$A394))</x:f>
        <x:v>#NAME?</x:v>
      </x:c>
      <x:c r="S394" t="e">
        <x:f>IF($A394="","",[1]!thsiFinD("ths_adjustment_nv_fund",S$3,$A394))</x:f>
        <x:v>#NAME?</x:v>
      </x:c>
      <x:c r="T394" t="e">
        <x:f>IF($A394="","",[1]!thsiFinD("ths_adjustment_nv_fund",T$3,$A394))</x:f>
        <x:v>#NAME?</x:v>
      </x:c>
      <x:c r="U394" t="e">
        <x:f>IF($A394="","",[1]!thsiFinD("ths_adjustment_nv_fund",U$3,$A394))</x:f>
        <x:v>#NAME?</x:v>
      </x:c>
      <x:c r="V394" t="e">
        <x:f>IF($A394="","",[1]!thsiFinD("ths_adjustment_nv_fund",V$3,$A394))</x:f>
        <x:v>#NAME?</x:v>
      </x:c>
      <x:c r="W394" t="e">
        <x:f>IF($A394="","",[1]!thsiFinD("ths_adjustment_nv_fund",W$3,$A394))</x:f>
        <x:v>#NAME?</x:v>
      </x:c>
      <x:c r="X394" t="e">
        <x:f>IF($A394="","",[1]!thsiFinD("ths_adjustment_nv_fund",X$3,$A394))</x:f>
        <x:v>#NAME?</x:v>
      </x:c>
      <x:c r="Y394" t="e">
        <x:f>IF($A394="","",[1]!thsiFinD("ths_adjustment_nv_fund",Y$3,$A394))</x:f>
        <x:v>#NAME?</x:v>
      </x:c>
    </x:row>
    <x:row r="395">
      <x:c r="B395" t="e">
        <x:f>IF($A395="","",[1]!thsiFinD("ths_adjustment_nv_fund",B$3,$A395))</x:f>
        <x:v>#NAME?</x:v>
      </x:c>
      <x:c r="C395" t="e">
        <x:f>IF($A395="","",[1]!thsiFinD("ths_adjustment_nv_fund",C$3,$A395))</x:f>
        <x:v>#NAME?</x:v>
      </x:c>
      <x:c r="D395" t="e">
        <x:f>IF($A395="","",[1]!thsiFinD("ths_adjustment_nv_fund",D$3,$A395))</x:f>
        <x:v>#NAME?</x:v>
      </x:c>
      <x:c r="E395" t="e">
        <x:f>IF($A395="","",[1]!thsiFinD("ths_adjustment_nv_fund",E$3,$A395))</x:f>
        <x:v>#NAME?</x:v>
      </x:c>
      <x:c r="F395" t="e">
        <x:f>IF($A395="","",[1]!thsiFinD("ths_adjustment_nv_fund",F$3,$A395))</x:f>
        <x:v>#NAME?</x:v>
      </x:c>
      <x:c r="G395" t="e">
        <x:f>IF($A395="","",[1]!thsiFinD("ths_adjustment_nv_fund",G$3,$A395))</x:f>
        <x:v>#NAME?</x:v>
      </x:c>
      <x:c r="H395" t="e">
        <x:f>IF($A395="","",[1]!thsiFinD("ths_adjustment_nv_fund",H$3,$A395))</x:f>
        <x:v>#NAME?</x:v>
      </x:c>
      <x:c r="I395" t="e">
        <x:f>IF($A395="","",[1]!thsiFinD("ths_adjustment_nv_fund",I$3,$A395))</x:f>
        <x:v>#NAME?</x:v>
      </x:c>
      <x:c r="J395" t="e">
        <x:f>IF($A395="","",[1]!thsiFinD("ths_adjustment_nv_fund",J$3,$A395))</x:f>
        <x:v>#NAME?</x:v>
      </x:c>
      <x:c r="K395" t="e">
        <x:f>IF($A395="","",[1]!thsiFinD("ths_adjustment_nv_fund",K$3,$A395))</x:f>
        <x:v>#NAME?</x:v>
      </x:c>
      <x:c r="L395" t="e">
        <x:f>IF($A395="","",[1]!thsiFinD("ths_adjustment_nv_fund",L$3,$A395))</x:f>
        <x:v>#NAME?</x:v>
      </x:c>
      <x:c r="M395" t="e">
        <x:f>IF($A395="","",[1]!thsiFinD("ths_adjustment_nv_fund",M$3,$A395))</x:f>
        <x:v>#NAME?</x:v>
      </x:c>
      <x:c r="N395" t="e">
        <x:f>IF($A395="","",[1]!thsiFinD("ths_adjustment_nv_fund",N$3,$A395))</x:f>
        <x:v>#NAME?</x:v>
      </x:c>
      <x:c r="O395" t="e">
        <x:f>IF($A395="","",[1]!thsiFinD("ths_adjustment_nv_fund",O$3,$A395))</x:f>
        <x:v>#NAME?</x:v>
      </x:c>
      <x:c r="P395" t="e">
        <x:f>IF($A395="","",[1]!thsiFinD("ths_adjustment_nv_fund",P$3,$A395))</x:f>
        <x:v>#NAME?</x:v>
      </x:c>
      <x:c r="Q395" t="e">
        <x:f>IF($A395="","",[1]!thsiFinD("ths_adjustment_nv_fund",Q$3,$A395))</x:f>
        <x:v>#NAME?</x:v>
      </x:c>
      <x:c r="R395" t="e">
        <x:f>IF($A395="","",[1]!thsiFinD("ths_adjustment_nv_fund",R$3,$A395))</x:f>
        <x:v>#NAME?</x:v>
      </x:c>
      <x:c r="S395" t="e">
        <x:f>IF($A395="","",[1]!thsiFinD("ths_adjustment_nv_fund",S$3,$A395))</x:f>
        <x:v>#NAME?</x:v>
      </x:c>
      <x:c r="T395" t="e">
        <x:f>IF($A395="","",[1]!thsiFinD("ths_adjustment_nv_fund",T$3,$A395))</x:f>
        <x:v>#NAME?</x:v>
      </x:c>
      <x:c r="U395" t="e">
        <x:f>IF($A395="","",[1]!thsiFinD("ths_adjustment_nv_fund",U$3,$A395))</x:f>
        <x:v>#NAME?</x:v>
      </x:c>
      <x:c r="V395" t="e">
        <x:f>IF($A395="","",[1]!thsiFinD("ths_adjustment_nv_fund",V$3,$A395))</x:f>
        <x:v>#NAME?</x:v>
      </x:c>
      <x:c r="W395" t="e">
        <x:f>IF($A395="","",[1]!thsiFinD("ths_adjustment_nv_fund",W$3,$A395))</x:f>
        <x:v>#NAME?</x:v>
      </x:c>
      <x:c r="X395" t="e">
        <x:f>IF($A395="","",[1]!thsiFinD("ths_adjustment_nv_fund",X$3,$A395))</x:f>
        <x:v>#NAME?</x:v>
      </x:c>
      <x:c r="Y395" t="e">
        <x:f>IF($A395="","",[1]!thsiFinD("ths_adjustment_nv_fund",Y$3,$A395))</x:f>
        <x:v>#NAME?</x:v>
      </x:c>
    </x:row>
    <x:row r="396">
      <x:c r="B396" t="e">
        <x:f>IF($A396="","",[1]!thsiFinD("ths_adjustment_nv_fund",B$3,$A396))</x:f>
        <x:v>#NAME?</x:v>
      </x:c>
      <x:c r="C396" t="e">
        <x:f>IF($A396="","",[1]!thsiFinD("ths_adjustment_nv_fund",C$3,$A396))</x:f>
        <x:v>#NAME?</x:v>
      </x:c>
      <x:c r="D396" t="e">
        <x:f>IF($A396="","",[1]!thsiFinD("ths_adjustment_nv_fund",D$3,$A396))</x:f>
        <x:v>#NAME?</x:v>
      </x:c>
      <x:c r="E396" t="e">
        <x:f>IF($A396="","",[1]!thsiFinD("ths_adjustment_nv_fund",E$3,$A396))</x:f>
        <x:v>#NAME?</x:v>
      </x:c>
      <x:c r="F396" t="e">
        <x:f>IF($A396="","",[1]!thsiFinD("ths_adjustment_nv_fund",F$3,$A396))</x:f>
        <x:v>#NAME?</x:v>
      </x:c>
      <x:c r="G396" t="e">
        <x:f>IF($A396="","",[1]!thsiFinD("ths_adjustment_nv_fund",G$3,$A396))</x:f>
        <x:v>#NAME?</x:v>
      </x:c>
      <x:c r="H396" t="e">
        <x:f>IF($A396="","",[1]!thsiFinD("ths_adjustment_nv_fund",H$3,$A396))</x:f>
        <x:v>#NAME?</x:v>
      </x:c>
      <x:c r="I396" t="e">
        <x:f>IF($A396="","",[1]!thsiFinD("ths_adjustment_nv_fund",I$3,$A396))</x:f>
        <x:v>#NAME?</x:v>
      </x:c>
      <x:c r="J396" t="e">
        <x:f>IF($A396="","",[1]!thsiFinD("ths_adjustment_nv_fund",J$3,$A396))</x:f>
        <x:v>#NAME?</x:v>
      </x:c>
      <x:c r="K396" t="e">
        <x:f>IF($A396="","",[1]!thsiFinD("ths_adjustment_nv_fund",K$3,$A396))</x:f>
        <x:v>#NAME?</x:v>
      </x:c>
      <x:c r="L396" t="e">
        <x:f>IF($A396="","",[1]!thsiFinD("ths_adjustment_nv_fund",L$3,$A396))</x:f>
        <x:v>#NAME?</x:v>
      </x:c>
      <x:c r="M396" t="e">
        <x:f>IF($A396="","",[1]!thsiFinD("ths_adjustment_nv_fund",M$3,$A396))</x:f>
        <x:v>#NAME?</x:v>
      </x:c>
      <x:c r="N396" t="e">
        <x:f>IF($A396="","",[1]!thsiFinD("ths_adjustment_nv_fund",N$3,$A396))</x:f>
        <x:v>#NAME?</x:v>
      </x:c>
      <x:c r="O396" t="e">
        <x:f>IF($A396="","",[1]!thsiFinD("ths_adjustment_nv_fund",O$3,$A396))</x:f>
        <x:v>#NAME?</x:v>
      </x:c>
      <x:c r="P396" t="e">
        <x:f>IF($A396="","",[1]!thsiFinD("ths_adjustment_nv_fund",P$3,$A396))</x:f>
        <x:v>#NAME?</x:v>
      </x:c>
      <x:c r="Q396" t="e">
        <x:f>IF($A396="","",[1]!thsiFinD("ths_adjustment_nv_fund",Q$3,$A396))</x:f>
        <x:v>#NAME?</x:v>
      </x:c>
      <x:c r="R396" t="e">
        <x:f>IF($A396="","",[1]!thsiFinD("ths_adjustment_nv_fund",R$3,$A396))</x:f>
        <x:v>#NAME?</x:v>
      </x:c>
      <x:c r="S396" t="e">
        <x:f>IF($A396="","",[1]!thsiFinD("ths_adjustment_nv_fund",S$3,$A396))</x:f>
        <x:v>#NAME?</x:v>
      </x:c>
      <x:c r="T396" t="e">
        <x:f>IF($A396="","",[1]!thsiFinD("ths_adjustment_nv_fund",T$3,$A396))</x:f>
        <x:v>#NAME?</x:v>
      </x:c>
      <x:c r="U396" t="e">
        <x:f>IF($A396="","",[1]!thsiFinD("ths_adjustment_nv_fund",U$3,$A396))</x:f>
        <x:v>#NAME?</x:v>
      </x:c>
      <x:c r="V396" t="e">
        <x:f>IF($A396="","",[1]!thsiFinD("ths_adjustment_nv_fund",V$3,$A396))</x:f>
        <x:v>#NAME?</x:v>
      </x:c>
      <x:c r="W396" t="e">
        <x:f>IF($A396="","",[1]!thsiFinD("ths_adjustment_nv_fund",W$3,$A396))</x:f>
        <x:v>#NAME?</x:v>
      </x:c>
      <x:c r="X396" t="e">
        <x:f>IF($A396="","",[1]!thsiFinD("ths_adjustment_nv_fund",X$3,$A396))</x:f>
        <x:v>#NAME?</x:v>
      </x:c>
      <x:c r="Y396" t="e">
        <x:f>IF($A396="","",[1]!thsiFinD("ths_adjustment_nv_fund",Y$3,$A396))</x:f>
        <x:v>#NAME?</x:v>
      </x:c>
    </x:row>
    <x:row r="397">
      <x:c r="B397" t="e">
        <x:f>IF($A397="","",[1]!thsiFinD("ths_adjustment_nv_fund",B$3,$A397))</x:f>
        <x:v>#NAME?</x:v>
      </x:c>
      <x:c r="C397" t="e">
        <x:f>IF($A397="","",[1]!thsiFinD("ths_adjustment_nv_fund",C$3,$A397))</x:f>
        <x:v>#NAME?</x:v>
      </x:c>
      <x:c r="D397" t="e">
        <x:f>IF($A397="","",[1]!thsiFinD("ths_adjustment_nv_fund",D$3,$A397))</x:f>
        <x:v>#NAME?</x:v>
      </x:c>
      <x:c r="E397" t="e">
        <x:f>IF($A397="","",[1]!thsiFinD("ths_adjustment_nv_fund",E$3,$A397))</x:f>
        <x:v>#NAME?</x:v>
      </x:c>
      <x:c r="F397" t="e">
        <x:f>IF($A397="","",[1]!thsiFinD("ths_adjustment_nv_fund",F$3,$A397))</x:f>
        <x:v>#NAME?</x:v>
      </x:c>
      <x:c r="G397" t="e">
        <x:f>IF($A397="","",[1]!thsiFinD("ths_adjustment_nv_fund",G$3,$A397))</x:f>
        <x:v>#NAME?</x:v>
      </x:c>
      <x:c r="H397" t="e">
        <x:f>IF($A397="","",[1]!thsiFinD("ths_adjustment_nv_fund",H$3,$A397))</x:f>
        <x:v>#NAME?</x:v>
      </x:c>
      <x:c r="I397" t="e">
        <x:f>IF($A397="","",[1]!thsiFinD("ths_adjustment_nv_fund",I$3,$A397))</x:f>
        <x:v>#NAME?</x:v>
      </x:c>
      <x:c r="J397" t="e">
        <x:f>IF($A397="","",[1]!thsiFinD("ths_adjustment_nv_fund",J$3,$A397))</x:f>
        <x:v>#NAME?</x:v>
      </x:c>
      <x:c r="K397" t="e">
        <x:f>IF($A397="","",[1]!thsiFinD("ths_adjustment_nv_fund",K$3,$A397))</x:f>
        <x:v>#NAME?</x:v>
      </x:c>
      <x:c r="L397" t="e">
        <x:f>IF($A397="","",[1]!thsiFinD("ths_adjustment_nv_fund",L$3,$A397))</x:f>
        <x:v>#NAME?</x:v>
      </x:c>
      <x:c r="M397" t="e">
        <x:f>IF($A397="","",[1]!thsiFinD("ths_adjustment_nv_fund",M$3,$A397))</x:f>
        <x:v>#NAME?</x:v>
      </x:c>
      <x:c r="N397" t="e">
        <x:f>IF($A397="","",[1]!thsiFinD("ths_adjustment_nv_fund",N$3,$A397))</x:f>
        <x:v>#NAME?</x:v>
      </x:c>
      <x:c r="O397" t="e">
        <x:f>IF($A397="","",[1]!thsiFinD("ths_adjustment_nv_fund",O$3,$A397))</x:f>
        <x:v>#NAME?</x:v>
      </x:c>
      <x:c r="P397" t="e">
        <x:f>IF($A397="","",[1]!thsiFinD("ths_adjustment_nv_fund",P$3,$A397))</x:f>
        <x:v>#NAME?</x:v>
      </x:c>
      <x:c r="Q397" t="e">
        <x:f>IF($A397="","",[1]!thsiFinD("ths_adjustment_nv_fund",Q$3,$A397))</x:f>
        <x:v>#NAME?</x:v>
      </x:c>
      <x:c r="R397" t="e">
        <x:f>IF($A397="","",[1]!thsiFinD("ths_adjustment_nv_fund",R$3,$A397))</x:f>
        <x:v>#NAME?</x:v>
      </x:c>
      <x:c r="S397" t="e">
        <x:f>IF($A397="","",[1]!thsiFinD("ths_adjustment_nv_fund",S$3,$A397))</x:f>
        <x:v>#NAME?</x:v>
      </x:c>
      <x:c r="T397" t="e">
        <x:f>IF($A397="","",[1]!thsiFinD("ths_adjustment_nv_fund",T$3,$A397))</x:f>
        <x:v>#NAME?</x:v>
      </x:c>
      <x:c r="U397" t="e">
        <x:f>IF($A397="","",[1]!thsiFinD("ths_adjustment_nv_fund",U$3,$A397))</x:f>
        <x:v>#NAME?</x:v>
      </x:c>
      <x:c r="V397" t="e">
        <x:f>IF($A397="","",[1]!thsiFinD("ths_adjustment_nv_fund",V$3,$A397))</x:f>
        <x:v>#NAME?</x:v>
      </x:c>
      <x:c r="W397" t="e">
        <x:f>IF($A397="","",[1]!thsiFinD("ths_adjustment_nv_fund",W$3,$A397))</x:f>
        <x:v>#NAME?</x:v>
      </x:c>
      <x:c r="X397" t="e">
        <x:f>IF($A397="","",[1]!thsiFinD("ths_adjustment_nv_fund",X$3,$A397))</x:f>
        <x:v>#NAME?</x:v>
      </x:c>
      <x:c r="Y397" t="e">
        <x:f>IF($A397="","",[1]!thsiFinD("ths_adjustment_nv_fund",Y$3,$A397))</x:f>
        <x:v>#NAME?</x:v>
      </x:c>
    </x:row>
    <x:row r="398">
      <x:c r="B398" t="e">
        <x:f>IF($A398="","",[1]!thsiFinD("ths_adjustment_nv_fund",B$3,$A398))</x:f>
        <x:v>#NAME?</x:v>
      </x:c>
      <x:c r="C398" t="e">
        <x:f>IF($A398="","",[1]!thsiFinD("ths_adjustment_nv_fund",C$3,$A398))</x:f>
        <x:v>#NAME?</x:v>
      </x:c>
      <x:c r="D398" t="e">
        <x:f>IF($A398="","",[1]!thsiFinD("ths_adjustment_nv_fund",D$3,$A398))</x:f>
        <x:v>#NAME?</x:v>
      </x:c>
      <x:c r="E398" t="e">
        <x:f>IF($A398="","",[1]!thsiFinD("ths_adjustment_nv_fund",E$3,$A398))</x:f>
        <x:v>#NAME?</x:v>
      </x:c>
      <x:c r="F398" t="e">
        <x:f>IF($A398="","",[1]!thsiFinD("ths_adjustment_nv_fund",F$3,$A398))</x:f>
        <x:v>#NAME?</x:v>
      </x:c>
      <x:c r="G398" t="e">
        <x:f>IF($A398="","",[1]!thsiFinD("ths_adjustment_nv_fund",G$3,$A398))</x:f>
        <x:v>#NAME?</x:v>
      </x:c>
      <x:c r="H398" t="e">
        <x:f>IF($A398="","",[1]!thsiFinD("ths_adjustment_nv_fund",H$3,$A398))</x:f>
        <x:v>#NAME?</x:v>
      </x:c>
      <x:c r="I398" t="e">
        <x:f>IF($A398="","",[1]!thsiFinD("ths_adjustment_nv_fund",I$3,$A398))</x:f>
        <x:v>#NAME?</x:v>
      </x:c>
      <x:c r="J398" t="e">
        <x:f>IF($A398="","",[1]!thsiFinD("ths_adjustment_nv_fund",J$3,$A398))</x:f>
        <x:v>#NAME?</x:v>
      </x:c>
      <x:c r="K398" t="e">
        <x:f>IF($A398="","",[1]!thsiFinD("ths_adjustment_nv_fund",K$3,$A398))</x:f>
        <x:v>#NAME?</x:v>
      </x:c>
      <x:c r="L398" t="e">
        <x:f>IF($A398="","",[1]!thsiFinD("ths_adjustment_nv_fund",L$3,$A398))</x:f>
        <x:v>#NAME?</x:v>
      </x:c>
      <x:c r="M398" t="e">
        <x:f>IF($A398="","",[1]!thsiFinD("ths_adjustment_nv_fund",M$3,$A398))</x:f>
        <x:v>#NAME?</x:v>
      </x:c>
      <x:c r="N398" t="e">
        <x:f>IF($A398="","",[1]!thsiFinD("ths_adjustment_nv_fund",N$3,$A398))</x:f>
        <x:v>#NAME?</x:v>
      </x:c>
      <x:c r="O398" t="e">
        <x:f>IF($A398="","",[1]!thsiFinD("ths_adjustment_nv_fund",O$3,$A398))</x:f>
        <x:v>#NAME?</x:v>
      </x:c>
      <x:c r="P398" t="e">
        <x:f>IF($A398="","",[1]!thsiFinD("ths_adjustment_nv_fund",P$3,$A398))</x:f>
        <x:v>#NAME?</x:v>
      </x:c>
      <x:c r="Q398" t="e">
        <x:f>IF($A398="","",[1]!thsiFinD("ths_adjustment_nv_fund",Q$3,$A398))</x:f>
        <x:v>#NAME?</x:v>
      </x:c>
      <x:c r="R398" t="e">
        <x:f>IF($A398="","",[1]!thsiFinD("ths_adjustment_nv_fund",R$3,$A398))</x:f>
        <x:v>#NAME?</x:v>
      </x:c>
      <x:c r="S398" t="e">
        <x:f>IF($A398="","",[1]!thsiFinD("ths_adjustment_nv_fund",S$3,$A398))</x:f>
        <x:v>#NAME?</x:v>
      </x:c>
      <x:c r="T398" t="e">
        <x:f>IF($A398="","",[1]!thsiFinD("ths_adjustment_nv_fund",T$3,$A398))</x:f>
        <x:v>#NAME?</x:v>
      </x:c>
      <x:c r="U398" t="e">
        <x:f>IF($A398="","",[1]!thsiFinD("ths_adjustment_nv_fund",U$3,$A398))</x:f>
        <x:v>#NAME?</x:v>
      </x:c>
      <x:c r="V398" t="e">
        <x:f>IF($A398="","",[1]!thsiFinD("ths_adjustment_nv_fund",V$3,$A398))</x:f>
        <x:v>#NAME?</x:v>
      </x:c>
      <x:c r="W398" t="e">
        <x:f>IF($A398="","",[1]!thsiFinD("ths_adjustment_nv_fund",W$3,$A398))</x:f>
        <x:v>#NAME?</x:v>
      </x:c>
      <x:c r="X398" t="e">
        <x:f>IF($A398="","",[1]!thsiFinD("ths_adjustment_nv_fund",X$3,$A398))</x:f>
        <x:v>#NAME?</x:v>
      </x:c>
      <x:c r="Y398" t="e">
        <x:f>IF($A398="","",[1]!thsiFinD("ths_adjustment_nv_fund",Y$3,$A398))</x:f>
        <x:v>#NAME?</x:v>
      </x:c>
    </x:row>
    <x:row r="399">
      <x:c r="B399" t="e">
        <x:f>IF($A399="","",[1]!thsiFinD("ths_adjustment_nv_fund",B$3,$A399))</x:f>
        <x:v>#NAME?</x:v>
      </x:c>
      <x:c r="C399" t="e">
        <x:f>IF($A399="","",[1]!thsiFinD("ths_adjustment_nv_fund",C$3,$A399))</x:f>
        <x:v>#NAME?</x:v>
      </x:c>
      <x:c r="D399" t="e">
        <x:f>IF($A399="","",[1]!thsiFinD("ths_adjustment_nv_fund",D$3,$A399))</x:f>
        <x:v>#NAME?</x:v>
      </x:c>
      <x:c r="E399" t="e">
        <x:f>IF($A399="","",[1]!thsiFinD("ths_adjustment_nv_fund",E$3,$A399))</x:f>
        <x:v>#NAME?</x:v>
      </x:c>
      <x:c r="F399" t="e">
        <x:f>IF($A399="","",[1]!thsiFinD("ths_adjustment_nv_fund",F$3,$A399))</x:f>
        <x:v>#NAME?</x:v>
      </x:c>
      <x:c r="G399" t="e">
        <x:f>IF($A399="","",[1]!thsiFinD("ths_adjustment_nv_fund",G$3,$A399))</x:f>
        <x:v>#NAME?</x:v>
      </x:c>
      <x:c r="H399" t="e">
        <x:f>IF($A399="","",[1]!thsiFinD("ths_adjustment_nv_fund",H$3,$A399))</x:f>
        <x:v>#NAME?</x:v>
      </x:c>
      <x:c r="I399" t="e">
        <x:f>IF($A399="","",[1]!thsiFinD("ths_adjustment_nv_fund",I$3,$A399))</x:f>
        <x:v>#NAME?</x:v>
      </x:c>
      <x:c r="J399" t="e">
        <x:f>IF($A399="","",[1]!thsiFinD("ths_adjustment_nv_fund",J$3,$A399))</x:f>
        <x:v>#NAME?</x:v>
      </x:c>
      <x:c r="K399" t="e">
        <x:f>IF($A399="","",[1]!thsiFinD("ths_adjustment_nv_fund",K$3,$A399))</x:f>
        <x:v>#NAME?</x:v>
      </x:c>
      <x:c r="L399" t="e">
        <x:f>IF($A399="","",[1]!thsiFinD("ths_adjustment_nv_fund",L$3,$A399))</x:f>
        <x:v>#NAME?</x:v>
      </x:c>
      <x:c r="M399" t="e">
        <x:f>IF($A399="","",[1]!thsiFinD("ths_adjustment_nv_fund",M$3,$A399))</x:f>
        <x:v>#NAME?</x:v>
      </x:c>
      <x:c r="N399" t="e">
        <x:f>IF($A399="","",[1]!thsiFinD("ths_adjustment_nv_fund",N$3,$A399))</x:f>
        <x:v>#NAME?</x:v>
      </x:c>
      <x:c r="O399" t="e">
        <x:f>IF($A399="","",[1]!thsiFinD("ths_adjustment_nv_fund",O$3,$A399))</x:f>
        <x:v>#NAME?</x:v>
      </x:c>
      <x:c r="P399" t="e">
        <x:f>IF($A399="","",[1]!thsiFinD("ths_adjustment_nv_fund",P$3,$A399))</x:f>
        <x:v>#NAME?</x:v>
      </x:c>
      <x:c r="Q399" t="e">
        <x:f>IF($A399="","",[1]!thsiFinD("ths_adjustment_nv_fund",Q$3,$A399))</x:f>
        <x:v>#NAME?</x:v>
      </x:c>
      <x:c r="R399" t="e">
        <x:f>IF($A399="","",[1]!thsiFinD("ths_adjustment_nv_fund",R$3,$A399))</x:f>
        <x:v>#NAME?</x:v>
      </x:c>
      <x:c r="S399" t="e">
        <x:f>IF($A399="","",[1]!thsiFinD("ths_adjustment_nv_fund",S$3,$A399))</x:f>
        <x:v>#NAME?</x:v>
      </x:c>
      <x:c r="T399" t="e">
        <x:f>IF($A399="","",[1]!thsiFinD("ths_adjustment_nv_fund",T$3,$A399))</x:f>
        <x:v>#NAME?</x:v>
      </x:c>
      <x:c r="U399" t="e">
        <x:f>IF($A399="","",[1]!thsiFinD("ths_adjustment_nv_fund",U$3,$A399))</x:f>
        <x:v>#NAME?</x:v>
      </x:c>
      <x:c r="V399" t="e">
        <x:f>IF($A399="","",[1]!thsiFinD("ths_adjustment_nv_fund",V$3,$A399))</x:f>
        <x:v>#NAME?</x:v>
      </x:c>
      <x:c r="W399" t="e">
        <x:f>IF($A399="","",[1]!thsiFinD("ths_adjustment_nv_fund",W$3,$A399))</x:f>
        <x:v>#NAME?</x:v>
      </x:c>
      <x:c r="X399" t="e">
        <x:f>IF($A399="","",[1]!thsiFinD("ths_adjustment_nv_fund",X$3,$A399))</x:f>
        <x:v>#NAME?</x:v>
      </x:c>
      <x:c r="Y399" t="e">
        <x:f>IF($A399="","",[1]!thsiFinD("ths_adjustment_nv_fund",Y$3,$A399))</x:f>
        <x:v>#NAME?</x:v>
      </x:c>
    </x:row>
    <x:row r="400">
      <x:c r="B400" t="e">
        <x:f>IF($A400="","",[1]!thsiFinD("ths_adjustment_nv_fund",B$3,$A400))</x:f>
        <x:v>#NAME?</x:v>
      </x:c>
      <x:c r="C400" t="e">
        <x:f>IF($A400="","",[1]!thsiFinD("ths_adjustment_nv_fund",C$3,$A400))</x:f>
        <x:v>#NAME?</x:v>
      </x:c>
      <x:c r="D400" t="e">
        <x:f>IF($A400="","",[1]!thsiFinD("ths_adjustment_nv_fund",D$3,$A400))</x:f>
        <x:v>#NAME?</x:v>
      </x:c>
      <x:c r="E400" t="e">
        <x:f>IF($A400="","",[1]!thsiFinD("ths_adjustment_nv_fund",E$3,$A400))</x:f>
        <x:v>#NAME?</x:v>
      </x:c>
      <x:c r="F400" t="e">
        <x:f>IF($A400="","",[1]!thsiFinD("ths_adjustment_nv_fund",F$3,$A400))</x:f>
        <x:v>#NAME?</x:v>
      </x:c>
      <x:c r="G400" t="e">
        <x:f>IF($A400="","",[1]!thsiFinD("ths_adjustment_nv_fund",G$3,$A400))</x:f>
        <x:v>#NAME?</x:v>
      </x:c>
      <x:c r="H400" t="e">
        <x:f>IF($A400="","",[1]!thsiFinD("ths_adjustment_nv_fund",H$3,$A400))</x:f>
        <x:v>#NAME?</x:v>
      </x:c>
      <x:c r="I400" t="e">
        <x:f>IF($A400="","",[1]!thsiFinD("ths_adjustment_nv_fund",I$3,$A400))</x:f>
        <x:v>#NAME?</x:v>
      </x:c>
      <x:c r="J400" t="e">
        <x:f>IF($A400="","",[1]!thsiFinD("ths_adjustment_nv_fund",J$3,$A400))</x:f>
        <x:v>#NAME?</x:v>
      </x:c>
      <x:c r="K400" t="e">
        <x:f>IF($A400="","",[1]!thsiFinD("ths_adjustment_nv_fund",K$3,$A400))</x:f>
        <x:v>#NAME?</x:v>
      </x:c>
      <x:c r="L400" t="e">
        <x:f>IF($A400="","",[1]!thsiFinD("ths_adjustment_nv_fund",L$3,$A400))</x:f>
        <x:v>#NAME?</x:v>
      </x:c>
      <x:c r="M400" t="e">
        <x:f>IF($A400="","",[1]!thsiFinD("ths_adjustment_nv_fund",M$3,$A400))</x:f>
        <x:v>#NAME?</x:v>
      </x:c>
      <x:c r="N400" t="e">
        <x:f>IF($A400="","",[1]!thsiFinD("ths_adjustment_nv_fund",N$3,$A400))</x:f>
        <x:v>#NAME?</x:v>
      </x:c>
      <x:c r="O400" t="e">
        <x:f>IF($A400="","",[1]!thsiFinD("ths_adjustment_nv_fund",O$3,$A400))</x:f>
        <x:v>#NAME?</x:v>
      </x:c>
      <x:c r="P400" t="e">
        <x:f>IF($A400="","",[1]!thsiFinD("ths_adjustment_nv_fund",P$3,$A400))</x:f>
        <x:v>#NAME?</x:v>
      </x:c>
      <x:c r="Q400" t="e">
        <x:f>IF($A400="","",[1]!thsiFinD("ths_adjustment_nv_fund",Q$3,$A400))</x:f>
        <x:v>#NAME?</x:v>
      </x:c>
      <x:c r="R400" t="e">
        <x:f>IF($A400="","",[1]!thsiFinD("ths_adjustment_nv_fund",R$3,$A400))</x:f>
        <x:v>#NAME?</x:v>
      </x:c>
      <x:c r="S400" t="e">
        <x:f>IF($A400="","",[1]!thsiFinD("ths_adjustment_nv_fund",S$3,$A400))</x:f>
        <x:v>#NAME?</x:v>
      </x:c>
      <x:c r="T400" t="e">
        <x:f>IF($A400="","",[1]!thsiFinD("ths_adjustment_nv_fund",T$3,$A400))</x:f>
        <x:v>#NAME?</x:v>
      </x:c>
      <x:c r="U400" t="e">
        <x:f>IF($A400="","",[1]!thsiFinD("ths_adjustment_nv_fund",U$3,$A400))</x:f>
        <x:v>#NAME?</x:v>
      </x:c>
      <x:c r="V400" t="e">
        <x:f>IF($A400="","",[1]!thsiFinD("ths_adjustment_nv_fund",V$3,$A400))</x:f>
        <x:v>#NAME?</x:v>
      </x:c>
      <x:c r="W400" t="e">
        <x:f>IF($A400="","",[1]!thsiFinD("ths_adjustment_nv_fund",W$3,$A400))</x:f>
        <x:v>#NAME?</x:v>
      </x:c>
      <x:c r="X400" t="e">
        <x:f>IF($A400="","",[1]!thsiFinD("ths_adjustment_nv_fund",X$3,$A400))</x:f>
        <x:v>#NAME?</x:v>
      </x:c>
      <x:c r="Y400" t="e">
        <x:f>IF($A400="","",[1]!thsiFinD("ths_adjustment_nv_fund",Y$3,$A400))</x:f>
        <x:v>#NAME?</x:v>
      </x:c>
    </x:row>
    <x:row r="401">
      <x:c r="B401" t="e">
        <x:f>IF($A401="","",[1]!thsiFinD("ths_adjustment_nv_fund",B$3,$A401))</x:f>
        <x:v>#NAME?</x:v>
      </x:c>
      <x:c r="C401" t="e">
        <x:f>IF($A401="","",[1]!thsiFinD("ths_adjustment_nv_fund",C$3,$A401))</x:f>
        <x:v>#NAME?</x:v>
      </x:c>
      <x:c r="D401" t="e">
        <x:f>IF($A401="","",[1]!thsiFinD("ths_adjustment_nv_fund",D$3,$A401))</x:f>
        <x:v>#NAME?</x:v>
      </x:c>
      <x:c r="E401" t="e">
        <x:f>IF($A401="","",[1]!thsiFinD("ths_adjustment_nv_fund",E$3,$A401))</x:f>
        <x:v>#NAME?</x:v>
      </x:c>
      <x:c r="F401" t="e">
        <x:f>IF($A401="","",[1]!thsiFinD("ths_adjustment_nv_fund",F$3,$A401))</x:f>
        <x:v>#NAME?</x:v>
      </x:c>
      <x:c r="G401" t="e">
        <x:f>IF($A401="","",[1]!thsiFinD("ths_adjustment_nv_fund",G$3,$A401))</x:f>
        <x:v>#NAME?</x:v>
      </x:c>
      <x:c r="H401" t="e">
        <x:f>IF($A401="","",[1]!thsiFinD("ths_adjustment_nv_fund",H$3,$A401))</x:f>
        <x:v>#NAME?</x:v>
      </x:c>
      <x:c r="I401" t="e">
        <x:f>IF($A401="","",[1]!thsiFinD("ths_adjustment_nv_fund",I$3,$A401))</x:f>
        <x:v>#NAME?</x:v>
      </x:c>
      <x:c r="J401" t="e">
        <x:f>IF($A401="","",[1]!thsiFinD("ths_adjustment_nv_fund",J$3,$A401))</x:f>
        <x:v>#NAME?</x:v>
      </x:c>
      <x:c r="K401" t="e">
        <x:f>IF($A401="","",[1]!thsiFinD("ths_adjustment_nv_fund",K$3,$A401))</x:f>
        <x:v>#NAME?</x:v>
      </x:c>
      <x:c r="L401" t="e">
        <x:f>IF($A401="","",[1]!thsiFinD("ths_adjustment_nv_fund",L$3,$A401))</x:f>
        <x:v>#NAME?</x:v>
      </x:c>
      <x:c r="M401" t="e">
        <x:f>IF($A401="","",[1]!thsiFinD("ths_adjustment_nv_fund",M$3,$A401))</x:f>
        <x:v>#NAME?</x:v>
      </x:c>
      <x:c r="N401" t="e">
        <x:f>IF($A401="","",[1]!thsiFinD("ths_adjustment_nv_fund",N$3,$A401))</x:f>
        <x:v>#NAME?</x:v>
      </x:c>
      <x:c r="O401" t="e">
        <x:f>IF($A401="","",[1]!thsiFinD("ths_adjustment_nv_fund",O$3,$A401))</x:f>
        <x:v>#NAME?</x:v>
      </x:c>
      <x:c r="P401" t="e">
        <x:f>IF($A401="","",[1]!thsiFinD("ths_adjustment_nv_fund",P$3,$A401))</x:f>
        <x:v>#NAME?</x:v>
      </x:c>
      <x:c r="Q401" t="e">
        <x:f>IF($A401="","",[1]!thsiFinD("ths_adjustment_nv_fund",Q$3,$A401))</x:f>
        <x:v>#NAME?</x:v>
      </x:c>
      <x:c r="R401" t="e">
        <x:f>IF($A401="","",[1]!thsiFinD("ths_adjustment_nv_fund",R$3,$A401))</x:f>
        <x:v>#NAME?</x:v>
      </x:c>
      <x:c r="S401" t="e">
        <x:f>IF($A401="","",[1]!thsiFinD("ths_adjustment_nv_fund",S$3,$A401))</x:f>
        <x:v>#NAME?</x:v>
      </x:c>
      <x:c r="T401" t="e">
        <x:f>IF($A401="","",[1]!thsiFinD("ths_adjustment_nv_fund",T$3,$A401))</x:f>
        <x:v>#NAME?</x:v>
      </x:c>
      <x:c r="U401" t="e">
        <x:f>IF($A401="","",[1]!thsiFinD("ths_adjustment_nv_fund",U$3,$A401))</x:f>
        <x:v>#NAME?</x:v>
      </x:c>
      <x:c r="V401" t="e">
        <x:f>IF($A401="","",[1]!thsiFinD("ths_adjustment_nv_fund",V$3,$A401))</x:f>
        <x:v>#NAME?</x:v>
      </x:c>
      <x:c r="W401" t="e">
        <x:f>IF($A401="","",[1]!thsiFinD("ths_adjustment_nv_fund",W$3,$A401))</x:f>
        <x:v>#NAME?</x:v>
      </x:c>
      <x:c r="X401" t="e">
        <x:f>IF($A401="","",[1]!thsiFinD("ths_adjustment_nv_fund",X$3,$A401))</x:f>
        <x:v>#NAME?</x:v>
      </x:c>
      <x:c r="Y401" t="e">
        <x:f>IF($A401="","",[1]!thsiFinD("ths_adjustment_nv_fund",Y$3,$A401))</x:f>
        <x:v>#NAME?</x:v>
      </x:c>
    </x:row>
    <x:row r="402">
      <x:c r="B402" t="e">
        <x:f>IF($A402="","",[1]!thsiFinD("ths_adjustment_nv_fund",B$3,$A402))</x:f>
        <x:v>#NAME?</x:v>
      </x:c>
      <x:c r="C402" t="e">
        <x:f>IF($A402="","",[1]!thsiFinD("ths_adjustment_nv_fund",C$3,$A402))</x:f>
        <x:v>#NAME?</x:v>
      </x:c>
      <x:c r="D402" t="e">
        <x:f>IF($A402="","",[1]!thsiFinD("ths_adjustment_nv_fund",D$3,$A402))</x:f>
        <x:v>#NAME?</x:v>
      </x:c>
      <x:c r="E402" t="e">
        <x:f>IF($A402="","",[1]!thsiFinD("ths_adjustment_nv_fund",E$3,$A402))</x:f>
        <x:v>#NAME?</x:v>
      </x:c>
      <x:c r="F402" t="e">
        <x:f>IF($A402="","",[1]!thsiFinD("ths_adjustment_nv_fund",F$3,$A402))</x:f>
        <x:v>#NAME?</x:v>
      </x:c>
      <x:c r="G402" t="e">
        <x:f>IF($A402="","",[1]!thsiFinD("ths_adjustment_nv_fund",G$3,$A402))</x:f>
        <x:v>#NAME?</x:v>
      </x:c>
      <x:c r="H402" t="e">
        <x:f>IF($A402="","",[1]!thsiFinD("ths_adjustment_nv_fund",H$3,$A402))</x:f>
        <x:v>#NAME?</x:v>
      </x:c>
      <x:c r="I402" t="e">
        <x:f>IF($A402="","",[1]!thsiFinD("ths_adjustment_nv_fund",I$3,$A402))</x:f>
        <x:v>#NAME?</x:v>
      </x:c>
      <x:c r="J402" t="e">
        <x:f>IF($A402="","",[1]!thsiFinD("ths_adjustment_nv_fund",J$3,$A402))</x:f>
        <x:v>#NAME?</x:v>
      </x:c>
      <x:c r="K402" t="e">
        <x:f>IF($A402="","",[1]!thsiFinD("ths_adjustment_nv_fund",K$3,$A402))</x:f>
        <x:v>#NAME?</x:v>
      </x:c>
      <x:c r="L402" t="e">
        <x:f>IF($A402="","",[1]!thsiFinD("ths_adjustment_nv_fund",L$3,$A402))</x:f>
        <x:v>#NAME?</x:v>
      </x:c>
      <x:c r="M402" t="e">
        <x:f>IF($A402="","",[1]!thsiFinD("ths_adjustment_nv_fund",M$3,$A402))</x:f>
        <x:v>#NAME?</x:v>
      </x:c>
      <x:c r="N402" t="e">
        <x:f>IF($A402="","",[1]!thsiFinD("ths_adjustment_nv_fund",N$3,$A402))</x:f>
        <x:v>#NAME?</x:v>
      </x:c>
      <x:c r="O402" t="e">
        <x:f>IF($A402="","",[1]!thsiFinD("ths_adjustment_nv_fund",O$3,$A402))</x:f>
        <x:v>#NAME?</x:v>
      </x:c>
      <x:c r="P402" t="e">
        <x:f>IF($A402="","",[1]!thsiFinD("ths_adjustment_nv_fund",P$3,$A402))</x:f>
        <x:v>#NAME?</x:v>
      </x:c>
      <x:c r="Q402" t="e">
        <x:f>IF($A402="","",[1]!thsiFinD("ths_adjustment_nv_fund",Q$3,$A402))</x:f>
        <x:v>#NAME?</x:v>
      </x:c>
      <x:c r="R402" t="e">
        <x:f>IF($A402="","",[1]!thsiFinD("ths_adjustment_nv_fund",R$3,$A402))</x:f>
        <x:v>#NAME?</x:v>
      </x:c>
      <x:c r="S402" t="e">
        <x:f>IF($A402="","",[1]!thsiFinD("ths_adjustment_nv_fund",S$3,$A402))</x:f>
        <x:v>#NAME?</x:v>
      </x:c>
      <x:c r="T402" t="e">
        <x:f>IF($A402="","",[1]!thsiFinD("ths_adjustment_nv_fund",T$3,$A402))</x:f>
        <x:v>#NAME?</x:v>
      </x:c>
      <x:c r="U402" t="e">
        <x:f>IF($A402="","",[1]!thsiFinD("ths_adjustment_nv_fund",U$3,$A402))</x:f>
        <x:v>#NAME?</x:v>
      </x:c>
      <x:c r="V402" t="e">
        <x:f>IF($A402="","",[1]!thsiFinD("ths_adjustment_nv_fund",V$3,$A402))</x:f>
        <x:v>#NAME?</x:v>
      </x:c>
      <x:c r="W402" t="e">
        <x:f>IF($A402="","",[1]!thsiFinD("ths_adjustment_nv_fund",W$3,$A402))</x:f>
        <x:v>#NAME?</x:v>
      </x:c>
      <x:c r="X402" t="e">
        <x:f>IF($A402="","",[1]!thsiFinD("ths_adjustment_nv_fund",X$3,$A402))</x:f>
        <x:v>#NAME?</x:v>
      </x:c>
      <x:c r="Y402" t="e">
        <x:f>IF($A402="","",[1]!thsiFinD("ths_adjustment_nv_fund",Y$3,$A402))</x:f>
        <x:v>#NAME?</x:v>
      </x:c>
    </x:row>
    <x:row r="403">
      <x:c r="B403" t="e">
        <x:f>IF($A403="","",[1]!thsiFinD("ths_adjustment_nv_fund",B$3,$A403))</x:f>
        <x:v>#NAME?</x:v>
      </x:c>
      <x:c r="C403" t="e">
        <x:f>IF($A403="","",[1]!thsiFinD("ths_adjustment_nv_fund",C$3,$A403))</x:f>
        <x:v>#NAME?</x:v>
      </x:c>
      <x:c r="D403" t="e">
        <x:f>IF($A403="","",[1]!thsiFinD("ths_adjustment_nv_fund",D$3,$A403))</x:f>
        <x:v>#NAME?</x:v>
      </x:c>
      <x:c r="E403" t="e">
        <x:f>IF($A403="","",[1]!thsiFinD("ths_adjustment_nv_fund",E$3,$A403))</x:f>
        <x:v>#NAME?</x:v>
      </x:c>
      <x:c r="F403" t="e">
        <x:f>IF($A403="","",[1]!thsiFinD("ths_adjustment_nv_fund",F$3,$A403))</x:f>
        <x:v>#NAME?</x:v>
      </x:c>
      <x:c r="G403" t="e">
        <x:f>IF($A403="","",[1]!thsiFinD("ths_adjustment_nv_fund",G$3,$A403))</x:f>
        <x:v>#NAME?</x:v>
      </x:c>
      <x:c r="H403" t="e">
        <x:f>IF($A403="","",[1]!thsiFinD("ths_adjustment_nv_fund",H$3,$A403))</x:f>
        <x:v>#NAME?</x:v>
      </x:c>
      <x:c r="I403" t="e">
        <x:f>IF($A403="","",[1]!thsiFinD("ths_adjustment_nv_fund",I$3,$A403))</x:f>
        <x:v>#NAME?</x:v>
      </x:c>
      <x:c r="J403" t="e">
        <x:f>IF($A403="","",[1]!thsiFinD("ths_adjustment_nv_fund",J$3,$A403))</x:f>
        <x:v>#NAME?</x:v>
      </x:c>
      <x:c r="K403" t="e">
        <x:f>IF($A403="","",[1]!thsiFinD("ths_adjustment_nv_fund",K$3,$A403))</x:f>
        <x:v>#NAME?</x:v>
      </x:c>
      <x:c r="L403" t="e">
        <x:f>IF($A403="","",[1]!thsiFinD("ths_adjustment_nv_fund",L$3,$A403))</x:f>
        <x:v>#NAME?</x:v>
      </x:c>
      <x:c r="M403" t="e">
        <x:f>IF($A403="","",[1]!thsiFinD("ths_adjustment_nv_fund",M$3,$A403))</x:f>
        <x:v>#NAME?</x:v>
      </x:c>
      <x:c r="N403" t="e">
        <x:f>IF($A403="","",[1]!thsiFinD("ths_adjustment_nv_fund",N$3,$A403))</x:f>
        <x:v>#NAME?</x:v>
      </x:c>
      <x:c r="O403" t="e">
        <x:f>IF($A403="","",[1]!thsiFinD("ths_adjustment_nv_fund",O$3,$A403))</x:f>
        <x:v>#NAME?</x:v>
      </x:c>
      <x:c r="P403" t="e">
        <x:f>IF($A403="","",[1]!thsiFinD("ths_adjustment_nv_fund",P$3,$A403))</x:f>
        <x:v>#NAME?</x:v>
      </x:c>
      <x:c r="Q403" t="e">
        <x:f>IF($A403="","",[1]!thsiFinD("ths_adjustment_nv_fund",Q$3,$A403))</x:f>
        <x:v>#NAME?</x:v>
      </x:c>
      <x:c r="R403" t="e">
        <x:f>IF($A403="","",[1]!thsiFinD("ths_adjustment_nv_fund",R$3,$A403))</x:f>
        <x:v>#NAME?</x:v>
      </x:c>
      <x:c r="S403" t="e">
        <x:f>IF($A403="","",[1]!thsiFinD("ths_adjustment_nv_fund",S$3,$A403))</x:f>
        <x:v>#NAME?</x:v>
      </x:c>
      <x:c r="T403" t="e">
        <x:f>IF($A403="","",[1]!thsiFinD("ths_adjustment_nv_fund",T$3,$A403))</x:f>
        <x:v>#NAME?</x:v>
      </x:c>
      <x:c r="U403" t="e">
        <x:f>IF($A403="","",[1]!thsiFinD("ths_adjustment_nv_fund",U$3,$A403))</x:f>
        <x:v>#NAME?</x:v>
      </x:c>
      <x:c r="V403" t="e">
        <x:f>IF($A403="","",[1]!thsiFinD("ths_adjustment_nv_fund",V$3,$A403))</x:f>
        <x:v>#NAME?</x:v>
      </x:c>
      <x:c r="W403" t="e">
        <x:f>IF($A403="","",[1]!thsiFinD("ths_adjustment_nv_fund",W$3,$A403))</x:f>
        <x:v>#NAME?</x:v>
      </x:c>
      <x:c r="X403" t="e">
        <x:f>IF($A403="","",[1]!thsiFinD("ths_adjustment_nv_fund",X$3,$A403))</x:f>
        <x:v>#NAME?</x:v>
      </x:c>
      <x:c r="Y403" t="e">
        <x:f>IF($A403="","",[1]!thsiFinD("ths_adjustment_nv_fund",Y$3,$A403))</x:f>
        <x:v>#NAME?</x:v>
      </x:c>
    </x:row>
    <x:row r="404">
      <x:c r="B404" t="e">
        <x:f>IF($A404="","",[1]!thsiFinD("ths_adjustment_nv_fund",B$3,$A404))</x:f>
        <x:v>#NAME?</x:v>
      </x:c>
      <x:c r="C404" t="e">
        <x:f>IF($A404="","",[1]!thsiFinD("ths_adjustment_nv_fund",C$3,$A404))</x:f>
        <x:v>#NAME?</x:v>
      </x:c>
      <x:c r="D404" t="e">
        <x:f>IF($A404="","",[1]!thsiFinD("ths_adjustment_nv_fund",D$3,$A404))</x:f>
        <x:v>#NAME?</x:v>
      </x:c>
      <x:c r="E404" t="e">
        <x:f>IF($A404="","",[1]!thsiFinD("ths_adjustment_nv_fund",E$3,$A404))</x:f>
        <x:v>#NAME?</x:v>
      </x:c>
      <x:c r="F404" t="e">
        <x:f>IF($A404="","",[1]!thsiFinD("ths_adjustment_nv_fund",F$3,$A404))</x:f>
        <x:v>#NAME?</x:v>
      </x:c>
      <x:c r="G404" t="e">
        <x:f>IF($A404="","",[1]!thsiFinD("ths_adjustment_nv_fund",G$3,$A404))</x:f>
        <x:v>#NAME?</x:v>
      </x:c>
      <x:c r="H404" t="e">
        <x:f>IF($A404="","",[1]!thsiFinD("ths_adjustment_nv_fund",H$3,$A404))</x:f>
        <x:v>#NAME?</x:v>
      </x:c>
      <x:c r="I404" t="e">
        <x:f>IF($A404="","",[1]!thsiFinD("ths_adjustment_nv_fund",I$3,$A404))</x:f>
        <x:v>#NAME?</x:v>
      </x:c>
      <x:c r="J404" t="e">
        <x:f>IF($A404="","",[1]!thsiFinD("ths_adjustment_nv_fund",J$3,$A404))</x:f>
        <x:v>#NAME?</x:v>
      </x:c>
      <x:c r="K404" t="e">
        <x:f>IF($A404="","",[1]!thsiFinD("ths_adjustment_nv_fund",K$3,$A404))</x:f>
        <x:v>#NAME?</x:v>
      </x:c>
      <x:c r="L404" t="e">
        <x:f>IF($A404="","",[1]!thsiFinD("ths_adjustment_nv_fund",L$3,$A404))</x:f>
        <x:v>#NAME?</x:v>
      </x:c>
      <x:c r="M404" t="e">
        <x:f>IF($A404="","",[1]!thsiFinD("ths_adjustment_nv_fund",M$3,$A404))</x:f>
        <x:v>#NAME?</x:v>
      </x:c>
      <x:c r="N404" t="e">
        <x:f>IF($A404="","",[1]!thsiFinD("ths_adjustment_nv_fund",N$3,$A404))</x:f>
        <x:v>#NAME?</x:v>
      </x:c>
      <x:c r="O404" t="e">
        <x:f>IF($A404="","",[1]!thsiFinD("ths_adjustment_nv_fund",O$3,$A404))</x:f>
        <x:v>#NAME?</x:v>
      </x:c>
      <x:c r="P404" t="e">
        <x:f>IF($A404="","",[1]!thsiFinD("ths_adjustment_nv_fund",P$3,$A404))</x:f>
        <x:v>#NAME?</x:v>
      </x:c>
      <x:c r="Q404" t="e">
        <x:f>IF($A404="","",[1]!thsiFinD("ths_adjustment_nv_fund",Q$3,$A404))</x:f>
        <x:v>#NAME?</x:v>
      </x:c>
      <x:c r="R404" t="e">
        <x:f>IF($A404="","",[1]!thsiFinD("ths_adjustment_nv_fund",R$3,$A404))</x:f>
        <x:v>#NAME?</x:v>
      </x:c>
      <x:c r="S404" t="e">
        <x:f>IF($A404="","",[1]!thsiFinD("ths_adjustment_nv_fund",S$3,$A404))</x:f>
        <x:v>#NAME?</x:v>
      </x:c>
      <x:c r="T404" t="e">
        <x:f>IF($A404="","",[1]!thsiFinD("ths_adjustment_nv_fund",T$3,$A404))</x:f>
        <x:v>#NAME?</x:v>
      </x:c>
      <x:c r="U404" t="e">
        <x:f>IF($A404="","",[1]!thsiFinD("ths_adjustment_nv_fund",U$3,$A404))</x:f>
        <x:v>#NAME?</x:v>
      </x:c>
      <x:c r="V404" t="e">
        <x:f>IF($A404="","",[1]!thsiFinD("ths_adjustment_nv_fund",V$3,$A404))</x:f>
        <x:v>#NAME?</x:v>
      </x:c>
      <x:c r="W404" t="e">
        <x:f>IF($A404="","",[1]!thsiFinD("ths_adjustment_nv_fund",W$3,$A404))</x:f>
        <x:v>#NAME?</x:v>
      </x:c>
      <x:c r="X404" t="e">
        <x:f>IF($A404="","",[1]!thsiFinD("ths_adjustment_nv_fund",X$3,$A404))</x:f>
        <x:v>#NAME?</x:v>
      </x:c>
      <x:c r="Y404" t="e">
        <x:f>IF($A404="","",[1]!thsiFinD("ths_adjustment_nv_fund",Y$3,$A404))</x:f>
        <x:v>#NAME?</x:v>
      </x:c>
    </x:row>
    <x:row r="405">
      <x:c r="B405" t="e">
        <x:f>IF($A405="","",[1]!thsiFinD("ths_adjustment_nv_fund",B$3,$A405))</x:f>
        <x:v>#NAME?</x:v>
      </x:c>
      <x:c r="C405" t="e">
        <x:f>IF($A405="","",[1]!thsiFinD("ths_adjustment_nv_fund",C$3,$A405))</x:f>
        <x:v>#NAME?</x:v>
      </x:c>
      <x:c r="D405" t="e">
        <x:f>IF($A405="","",[1]!thsiFinD("ths_adjustment_nv_fund",D$3,$A405))</x:f>
        <x:v>#NAME?</x:v>
      </x:c>
      <x:c r="E405" t="e">
        <x:f>IF($A405="","",[1]!thsiFinD("ths_adjustment_nv_fund",E$3,$A405))</x:f>
        <x:v>#NAME?</x:v>
      </x:c>
      <x:c r="F405" t="e">
        <x:f>IF($A405="","",[1]!thsiFinD("ths_adjustment_nv_fund",F$3,$A405))</x:f>
        <x:v>#NAME?</x:v>
      </x:c>
      <x:c r="G405" t="e">
        <x:f>IF($A405="","",[1]!thsiFinD("ths_adjustment_nv_fund",G$3,$A405))</x:f>
        <x:v>#NAME?</x:v>
      </x:c>
      <x:c r="H405" t="e">
        <x:f>IF($A405="","",[1]!thsiFinD("ths_adjustment_nv_fund",H$3,$A405))</x:f>
        <x:v>#NAME?</x:v>
      </x:c>
      <x:c r="I405" t="e">
        <x:f>IF($A405="","",[1]!thsiFinD("ths_adjustment_nv_fund",I$3,$A405))</x:f>
        <x:v>#NAME?</x:v>
      </x:c>
      <x:c r="J405" t="e">
        <x:f>IF($A405="","",[1]!thsiFinD("ths_adjustment_nv_fund",J$3,$A405))</x:f>
        <x:v>#NAME?</x:v>
      </x:c>
      <x:c r="K405" t="e">
        <x:f>IF($A405="","",[1]!thsiFinD("ths_adjustment_nv_fund",K$3,$A405))</x:f>
        <x:v>#NAME?</x:v>
      </x:c>
      <x:c r="L405" t="e">
        <x:f>IF($A405="","",[1]!thsiFinD("ths_adjustment_nv_fund",L$3,$A405))</x:f>
        <x:v>#NAME?</x:v>
      </x:c>
      <x:c r="M405" t="e">
        <x:f>IF($A405="","",[1]!thsiFinD("ths_adjustment_nv_fund",M$3,$A405))</x:f>
        <x:v>#NAME?</x:v>
      </x:c>
      <x:c r="N405" t="e">
        <x:f>IF($A405="","",[1]!thsiFinD("ths_adjustment_nv_fund",N$3,$A405))</x:f>
        <x:v>#NAME?</x:v>
      </x:c>
      <x:c r="O405" t="e">
        <x:f>IF($A405="","",[1]!thsiFinD("ths_adjustment_nv_fund",O$3,$A405))</x:f>
        <x:v>#NAME?</x:v>
      </x:c>
      <x:c r="P405" t="e">
        <x:f>IF($A405="","",[1]!thsiFinD("ths_adjustment_nv_fund",P$3,$A405))</x:f>
        <x:v>#NAME?</x:v>
      </x:c>
      <x:c r="Q405" t="e">
        <x:f>IF($A405="","",[1]!thsiFinD("ths_adjustment_nv_fund",Q$3,$A405))</x:f>
        <x:v>#NAME?</x:v>
      </x:c>
      <x:c r="R405" t="e">
        <x:f>IF($A405="","",[1]!thsiFinD("ths_adjustment_nv_fund",R$3,$A405))</x:f>
        <x:v>#NAME?</x:v>
      </x:c>
      <x:c r="S405" t="e">
        <x:f>IF($A405="","",[1]!thsiFinD("ths_adjustment_nv_fund",S$3,$A405))</x:f>
        <x:v>#NAME?</x:v>
      </x:c>
      <x:c r="T405" t="e">
        <x:f>IF($A405="","",[1]!thsiFinD("ths_adjustment_nv_fund",T$3,$A405))</x:f>
        <x:v>#NAME?</x:v>
      </x:c>
      <x:c r="U405" t="e">
        <x:f>IF($A405="","",[1]!thsiFinD("ths_adjustment_nv_fund",U$3,$A405))</x:f>
        <x:v>#NAME?</x:v>
      </x:c>
      <x:c r="V405" t="e">
        <x:f>IF($A405="","",[1]!thsiFinD("ths_adjustment_nv_fund",V$3,$A405))</x:f>
        <x:v>#NAME?</x:v>
      </x:c>
      <x:c r="W405" t="e">
        <x:f>IF($A405="","",[1]!thsiFinD("ths_adjustment_nv_fund",W$3,$A405))</x:f>
        <x:v>#NAME?</x:v>
      </x:c>
      <x:c r="X405" t="e">
        <x:f>IF($A405="","",[1]!thsiFinD("ths_adjustment_nv_fund",X$3,$A405))</x:f>
        <x:v>#NAME?</x:v>
      </x:c>
      <x:c r="Y405" t="e">
        <x:f>IF($A405="","",[1]!thsiFinD("ths_adjustment_nv_fund",Y$3,$A405))</x:f>
        <x:v>#NAME?</x:v>
      </x:c>
    </x:row>
    <x:row r="406">
      <x:c r="B406" t="e">
        <x:f>IF($A406="","",[1]!thsiFinD("ths_adjustment_nv_fund",B$3,$A406))</x:f>
        <x:v>#NAME?</x:v>
      </x:c>
      <x:c r="C406" t="e">
        <x:f>IF($A406="","",[1]!thsiFinD("ths_adjustment_nv_fund",C$3,$A406))</x:f>
        <x:v>#NAME?</x:v>
      </x:c>
      <x:c r="D406" t="e">
        <x:f>IF($A406="","",[1]!thsiFinD("ths_adjustment_nv_fund",D$3,$A406))</x:f>
        <x:v>#NAME?</x:v>
      </x:c>
      <x:c r="E406" t="e">
        <x:f>IF($A406="","",[1]!thsiFinD("ths_adjustment_nv_fund",E$3,$A406))</x:f>
        <x:v>#NAME?</x:v>
      </x:c>
      <x:c r="F406" t="e">
        <x:f>IF($A406="","",[1]!thsiFinD("ths_adjustment_nv_fund",F$3,$A406))</x:f>
        <x:v>#NAME?</x:v>
      </x:c>
      <x:c r="G406" t="e">
        <x:f>IF($A406="","",[1]!thsiFinD("ths_adjustment_nv_fund",G$3,$A406))</x:f>
        <x:v>#NAME?</x:v>
      </x:c>
      <x:c r="H406" t="e">
        <x:f>IF($A406="","",[1]!thsiFinD("ths_adjustment_nv_fund",H$3,$A406))</x:f>
        <x:v>#NAME?</x:v>
      </x:c>
      <x:c r="I406" t="e">
        <x:f>IF($A406="","",[1]!thsiFinD("ths_adjustment_nv_fund",I$3,$A406))</x:f>
        <x:v>#NAME?</x:v>
      </x:c>
      <x:c r="J406" t="e">
        <x:f>IF($A406="","",[1]!thsiFinD("ths_adjustment_nv_fund",J$3,$A406))</x:f>
        <x:v>#NAME?</x:v>
      </x:c>
      <x:c r="K406" t="e">
        <x:f>IF($A406="","",[1]!thsiFinD("ths_adjustment_nv_fund",K$3,$A406))</x:f>
        <x:v>#NAME?</x:v>
      </x:c>
      <x:c r="L406" t="e">
        <x:f>IF($A406="","",[1]!thsiFinD("ths_adjustment_nv_fund",L$3,$A406))</x:f>
        <x:v>#NAME?</x:v>
      </x:c>
      <x:c r="M406" t="e">
        <x:f>IF($A406="","",[1]!thsiFinD("ths_adjustment_nv_fund",M$3,$A406))</x:f>
        <x:v>#NAME?</x:v>
      </x:c>
      <x:c r="N406" t="e">
        <x:f>IF($A406="","",[1]!thsiFinD("ths_adjustment_nv_fund",N$3,$A406))</x:f>
        <x:v>#NAME?</x:v>
      </x:c>
      <x:c r="O406" t="e">
        <x:f>IF($A406="","",[1]!thsiFinD("ths_adjustment_nv_fund",O$3,$A406))</x:f>
        <x:v>#NAME?</x:v>
      </x:c>
      <x:c r="P406" t="e">
        <x:f>IF($A406="","",[1]!thsiFinD("ths_adjustment_nv_fund",P$3,$A406))</x:f>
        <x:v>#NAME?</x:v>
      </x:c>
      <x:c r="Q406" t="e">
        <x:f>IF($A406="","",[1]!thsiFinD("ths_adjustment_nv_fund",Q$3,$A406))</x:f>
        <x:v>#NAME?</x:v>
      </x:c>
      <x:c r="R406" t="e">
        <x:f>IF($A406="","",[1]!thsiFinD("ths_adjustment_nv_fund",R$3,$A406))</x:f>
        <x:v>#NAME?</x:v>
      </x:c>
      <x:c r="S406" t="e">
        <x:f>IF($A406="","",[1]!thsiFinD("ths_adjustment_nv_fund",S$3,$A406))</x:f>
        <x:v>#NAME?</x:v>
      </x:c>
      <x:c r="T406" t="e">
        <x:f>IF($A406="","",[1]!thsiFinD("ths_adjustment_nv_fund",T$3,$A406))</x:f>
        <x:v>#NAME?</x:v>
      </x:c>
      <x:c r="U406" t="e">
        <x:f>IF($A406="","",[1]!thsiFinD("ths_adjustment_nv_fund",U$3,$A406))</x:f>
        <x:v>#NAME?</x:v>
      </x:c>
      <x:c r="V406" t="e">
        <x:f>IF($A406="","",[1]!thsiFinD("ths_adjustment_nv_fund",V$3,$A406))</x:f>
        <x:v>#NAME?</x:v>
      </x:c>
      <x:c r="W406" t="e">
        <x:f>IF($A406="","",[1]!thsiFinD("ths_adjustment_nv_fund",W$3,$A406))</x:f>
        <x:v>#NAME?</x:v>
      </x:c>
      <x:c r="X406" t="e">
        <x:f>IF($A406="","",[1]!thsiFinD("ths_adjustment_nv_fund",X$3,$A406))</x:f>
        <x:v>#NAME?</x:v>
      </x:c>
      <x:c r="Y406" t="e">
        <x:f>IF($A406="","",[1]!thsiFinD("ths_adjustment_nv_fund",Y$3,$A406))</x:f>
        <x:v>#NAME?</x:v>
      </x:c>
    </x:row>
    <x:row r="407">
      <x:c r="B407" t="e">
        <x:f>IF($A407="","",[1]!thsiFinD("ths_adjustment_nv_fund",B$3,$A407))</x:f>
        <x:v>#NAME?</x:v>
      </x:c>
      <x:c r="C407" t="e">
        <x:f>IF($A407="","",[1]!thsiFinD("ths_adjustment_nv_fund",C$3,$A407))</x:f>
        <x:v>#NAME?</x:v>
      </x:c>
      <x:c r="D407" t="e">
        <x:f>IF($A407="","",[1]!thsiFinD("ths_adjustment_nv_fund",D$3,$A407))</x:f>
        <x:v>#NAME?</x:v>
      </x:c>
      <x:c r="E407" t="e">
        <x:f>IF($A407="","",[1]!thsiFinD("ths_adjustment_nv_fund",E$3,$A407))</x:f>
        <x:v>#NAME?</x:v>
      </x:c>
      <x:c r="F407" t="e">
        <x:f>IF($A407="","",[1]!thsiFinD("ths_adjustment_nv_fund",F$3,$A407))</x:f>
        <x:v>#NAME?</x:v>
      </x:c>
      <x:c r="G407" t="e">
        <x:f>IF($A407="","",[1]!thsiFinD("ths_adjustment_nv_fund",G$3,$A407))</x:f>
        <x:v>#NAME?</x:v>
      </x:c>
      <x:c r="H407" t="e">
        <x:f>IF($A407="","",[1]!thsiFinD("ths_adjustment_nv_fund",H$3,$A407))</x:f>
        <x:v>#NAME?</x:v>
      </x:c>
      <x:c r="I407" t="e">
        <x:f>IF($A407="","",[1]!thsiFinD("ths_adjustment_nv_fund",I$3,$A407))</x:f>
        <x:v>#NAME?</x:v>
      </x:c>
      <x:c r="J407" t="e">
        <x:f>IF($A407="","",[1]!thsiFinD("ths_adjustment_nv_fund",J$3,$A407))</x:f>
        <x:v>#NAME?</x:v>
      </x:c>
      <x:c r="K407" t="e">
        <x:f>IF($A407="","",[1]!thsiFinD("ths_adjustment_nv_fund",K$3,$A407))</x:f>
        <x:v>#NAME?</x:v>
      </x:c>
      <x:c r="L407" t="e">
        <x:f>IF($A407="","",[1]!thsiFinD("ths_adjustment_nv_fund",L$3,$A407))</x:f>
        <x:v>#NAME?</x:v>
      </x:c>
      <x:c r="M407" t="e">
        <x:f>IF($A407="","",[1]!thsiFinD("ths_adjustment_nv_fund",M$3,$A407))</x:f>
        <x:v>#NAME?</x:v>
      </x:c>
      <x:c r="N407" t="e">
        <x:f>IF($A407="","",[1]!thsiFinD("ths_adjustment_nv_fund",N$3,$A407))</x:f>
        <x:v>#NAME?</x:v>
      </x:c>
      <x:c r="O407" t="e">
        <x:f>IF($A407="","",[1]!thsiFinD("ths_adjustment_nv_fund",O$3,$A407))</x:f>
        <x:v>#NAME?</x:v>
      </x:c>
      <x:c r="P407" t="e">
        <x:f>IF($A407="","",[1]!thsiFinD("ths_adjustment_nv_fund",P$3,$A407))</x:f>
        <x:v>#NAME?</x:v>
      </x:c>
      <x:c r="Q407" t="e">
        <x:f>IF($A407="","",[1]!thsiFinD("ths_adjustment_nv_fund",Q$3,$A407))</x:f>
        <x:v>#NAME?</x:v>
      </x:c>
      <x:c r="R407" t="e">
        <x:f>IF($A407="","",[1]!thsiFinD("ths_adjustment_nv_fund",R$3,$A407))</x:f>
        <x:v>#NAME?</x:v>
      </x:c>
      <x:c r="S407" t="e">
        <x:f>IF($A407="","",[1]!thsiFinD("ths_adjustment_nv_fund",S$3,$A407))</x:f>
        <x:v>#NAME?</x:v>
      </x:c>
      <x:c r="T407" t="e">
        <x:f>IF($A407="","",[1]!thsiFinD("ths_adjustment_nv_fund",T$3,$A407))</x:f>
        <x:v>#NAME?</x:v>
      </x:c>
      <x:c r="U407" t="e">
        <x:f>IF($A407="","",[1]!thsiFinD("ths_adjustment_nv_fund",U$3,$A407))</x:f>
        <x:v>#NAME?</x:v>
      </x:c>
      <x:c r="V407" t="e">
        <x:f>IF($A407="","",[1]!thsiFinD("ths_adjustment_nv_fund",V$3,$A407))</x:f>
        <x:v>#NAME?</x:v>
      </x:c>
      <x:c r="W407" t="e">
        <x:f>IF($A407="","",[1]!thsiFinD("ths_adjustment_nv_fund",W$3,$A407))</x:f>
        <x:v>#NAME?</x:v>
      </x:c>
      <x:c r="X407" t="e">
        <x:f>IF($A407="","",[1]!thsiFinD("ths_adjustment_nv_fund",X$3,$A407))</x:f>
        <x:v>#NAME?</x:v>
      </x:c>
      <x:c r="Y407" t="e">
        <x:f>IF($A407="","",[1]!thsiFinD("ths_adjustment_nv_fund",Y$3,$A407))</x:f>
        <x:v>#NAME?</x:v>
      </x:c>
    </x:row>
    <x:row r="408">
      <x:c r="B408" t="e">
        <x:f>IF($A408="","",[1]!thsiFinD("ths_adjustment_nv_fund",B$3,$A408))</x:f>
        <x:v>#NAME?</x:v>
      </x:c>
      <x:c r="C408" t="e">
        <x:f>IF($A408="","",[1]!thsiFinD("ths_adjustment_nv_fund",C$3,$A408))</x:f>
        <x:v>#NAME?</x:v>
      </x:c>
      <x:c r="D408" t="e">
        <x:f>IF($A408="","",[1]!thsiFinD("ths_adjustment_nv_fund",D$3,$A408))</x:f>
        <x:v>#NAME?</x:v>
      </x:c>
      <x:c r="E408" t="e">
        <x:f>IF($A408="","",[1]!thsiFinD("ths_adjustment_nv_fund",E$3,$A408))</x:f>
        <x:v>#NAME?</x:v>
      </x:c>
      <x:c r="F408" t="e">
        <x:f>IF($A408="","",[1]!thsiFinD("ths_adjustment_nv_fund",F$3,$A408))</x:f>
        <x:v>#NAME?</x:v>
      </x:c>
      <x:c r="G408" t="e">
        <x:f>IF($A408="","",[1]!thsiFinD("ths_adjustment_nv_fund",G$3,$A408))</x:f>
        <x:v>#NAME?</x:v>
      </x:c>
      <x:c r="H408" t="e">
        <x:f>IF($A408="","",[1]!thsiFinD("ths_adjustment_nv_fund",H$3,$A408))</x:f>
        <x:v>#NAME?</x:v>
      </x:c>
      <x:c r="I408" t="e">
        <x:f>IF($A408="","",[1]!thsiFinD("ths_adjustment_nv_fund",I$3,$A408))</x:f>
        <x:v>#NAME?</x:v>
      </x:c>
      <x:c r="J408" t="e">
        <x:f>IF($A408="","",[1]!thsiFinD("ths_adjustment_nv_fund",J$3,$A408))</x:f>
        <x:v>#NAME?</x:v>
      </x:c>
      <x:c r="K408" t="e">
        <x:f>IF($A408="","",[1]!thsiFinD("ths_adjustment_nv_fund",K$3,$A408))</x:f>
        <x:v>#NAME?</x:v>
      </x:c>
      <x:c r="L408" t="e">
        <x:f>IF($A408="","",[1]!thsiFinD("ths_adjustment_nv_fund",L$3,$A408))</x:f>
        <x:v>#NAME?</x:v>
      </x:c>
      <x:c r="M408" t="e">
        <x:f>IF($A408="","",[1]!thsiFinD("ths_adjustment_nv_fund",M$3,$A408))</x:f>
        <x:v>#NAME?</x:v>
      </x:c>
      <x:c r="N408" t="e">
        <x:f>IF($A408="","",[1]!thsiFinD("ths_adjustment_nv_fund",N$3,$A408))</x:f>
        <x:v>#NAME?</x:v>
      </x:c>
      <x:c r="O408" t="e">
        <x:f>IF($A408="","",[1]!thsiFinD("ths_adjustment_nv_fund",O$3,$A408))</x:f>
        <x:v>#NAME?</x:v>
      </x:c>
      <x:c r="P408" t="e">
        <x:f>IF($A408="","",[1]!thsiFinD("ths_adjustment_nv_fund",P$3,$A408))</x:f>
        <x:v>#NAME?</x:v>
      </x:c>
      <x:c r="Q408" t="e">
        <x:f>IF($A408="","",[1]!thsiFinD("ths_adjustment_nv_fund",Q$3,$A408))</x:f>
        <x:v>#NAME?</x:v>
      </x:c>
      <x:c r="R408" t="e">
        <x:f>IF($A408="","",[1]!thsiFinD("ths_adjustment_nv_fund",R$3,$A408))</x:f>
        <x:v>#NAME?</x:v>
      </x:c>
      <x:c r="S408" t="e">
        <x:f>IF($A408="","",[1]!thsiFinD("ths_adjustment_nv_fund",S$3,$A408))</x:f>
        <x:v>#NAME?</x:v>
      </x:c>
      <x:c r="T408" t="e">
        <x:f>IF($A408="","",[1]!thsiFinD("ths_adjustment_nv_fund",T$3,$A408))</x:f>
        <x:v>#NAME?</x:v>
      </x:c>
      <x:c r="U408" t="e">
        <x:f>IF($A408="","",[1]!thsiFinD("ths_adjustment_nv_fund",U$3,$A408))</x:f>
        <x:v>#NAME?</x:v>
      </x:c>
      <x:c r="V408" t="e">
        <x:f>IF($A408="","",[1]!thsiFinD("ths_adjustment_nv_fund",V$3,$A408))</x:f>
        <x:v>#NAME?</x:v>
      </x:c>
      <x:c r="W408" t="e">
        <x:f>IF($A408="","",[1]!thsiFinD("ths_adjustment_nv_fund",W$3,$A408))</x:f>
        <x:v>#NAME?</x:v>
      </x:c>
      <x:c r="X408" t="e">
        <x:f>IF($A408="","",[1]!thsiFinD("ths_adjustment_nv_fund",X$3,$A408))</x:f>
        <x:v>#NAME?</x:v>
      </x:c>
      <x:c r="Y408" t="e">
        <x:f>IF($A408="","",[1]!thsiFinD("ths_adjustment_nv_fund",Y$3,$A408))</x:f>
        <x:v>#NAME?</x:v>
      </x:c>
    </x:row>
    <x:row r="409">
      <x:c r="B409" t="e">
        <x:f>IF($A409="","",[1]!thsiFinD("ths_adjustment_nv_fund",B$3,$A409))</x:f>
        <x:v>#NAME?</x:v>
      </x:c>
      <x:c r="C409" t="e">
        <x:f>IF($A409="","",[1]!thsiFinD("ths_adjustment_nv_fund",C$3,$A409))</x:f>
        <x:v>#NAME?</x:v>
      </x:c>
      <x:c r="D409" t="e">
        <x:f>IF($A409="","",[1]!thsiFinD("ths_adjustment_nv_fund",D$3,$A409))</x:f>
        <x:v>#NAME?</x:v>
      </x:c>
      <x:c r="E409" t="e">
        <x:f>IF($A409="","",[1]!thsiFinD("ths_adjustment_nv_fund",E$3,$A409))</x:f>
        <x:v>#NAME?</x:v>
      </x:c>
      <x:c r="F409" t="e">
        <x:f>IF($A409="","",[1]!thsiFinD("ths_adjustment_nv_fund",F$3,$A409))</x:f>
        <x:v>#NAME?</x:v>
      </x:c>
      <x:c r="G409" t="e">
        <x:f>IF($A409="","",[1]!thsiFinD("ths_adjustment_nv_fund",G$3,$A409))</x:f>
        <x:v>#NAME?</x:v>
      </x:c>
      <x:c r="H409" t="e">
        <x:f>IF($A409="","",[1]!thsiFinD("ths_adjustment_nv_fund",H$3,$A409))</x:f>
        <x:v>#NAME?</x:v>
      </x:c>
      <x:c r="I409" t="e">
        <x:f>IF($A409="","",[1]!thsiFinD("ths_adjustment_nv_fund",I$3,$A409))</x:f>
        <x:v>#NAME?</x:v>
      </x:c>
      <x:c r="J409" t="e">
        <x:f>IF($A409="","",[1]!thsiFinD("ths_adjustment_nv_fund",J$3,$A409))</x:f>
        <x:v>#NAME?</x:v>
      </x:c>
      <x:c r="K409" t="e">
        <x:f>IF($A409="","",[1]!thsiFinD("ths_adjustment_nv_fund",K$3,$A409))</x:f>
        <x:v>#NAME?</x:v>
      </x:c>
      <x:c r="L409" t="e">
        <x:f>IF($A409="","",[1]!thsiFinD("ths_adjustment_nv_fund",L$3,$A409))</x:f>
        <x:v>#NAME?</x:v>
      </x:c>
      <x:c r="M409" t="e">
        <x:f>IF($A409="","",[1]!thsiFinD("ths_adjustment_nv_fund",M$3,$A409))</x:f>
        <x:v>#NAME?</x:v>
      </x:c>
      <x:c r="N409" t="e">
        <x:f>IF($A409="","",[1]!thsiFinD("ths_adjustment_nv_fund",N$3,$A409))</x:f>
        <x:v>#NAME?</x:v>
      </x:c>
      <x:c r="O409" t="e">
        <x:f>IF($A409="","",[1]!thsiFinD("ths_adjustment_nv_fund",O$3,$A409))</x:f>
        <x:v>#NAME?</x:v>
      </x:c>
      <x:c r="P409" t="e">
        <x:f>IF($A409="","",[1]!thsiFinD("ths_adjustment_nv_fund",P$3,$A409))</x:f>
        <x:v>#NAME?</x:v>
      </x:c>
      <x:c r="Q409" t="e">
        <x:f>IF($A409="","",[1]!thsiFinD("ths_adjustment_nv_fund",Q$3,$A409))</x:f>
        <x:v>#NAME?</x:v>
      </x:c>
      <x:c r="R409" t="e">
        <x:f>IF($A409="","",[1]!thsiFinD("ths_adjustment_nv_fund",R$3,$A409))</x:f>
        <x:v>#NAME?</x:v>
      </x:c>
      <x:c r="S409" t="e">
        <x:f>IF($A409="","",[1]!thsiFinD("ths_adjustment_nv_fund",S$3,$A409))</x:f>
        <x:v>#NAME?</x:v>
      </x:c>
      <x:c r="T409" t="e">
        <x:f>IF($A409="","",[1]!thsiFinD("ths_adjustment_nv_fund",T$3,$A409))</x:f>
        <x:v>#NAME?</x:v>
      </x:c>
      <x:c r="U409" t="e">
        <x:f>IF($A409="","",[1]!thsiFinD("ths_adjustment_nv_fund",U$3,$A409))</x:f>
        <x:v>#NAME?</x:v>
      </x:c>
      <x:c r="V409" t="e">
        <x:f>IF($A409="","",[1]!thsiFinD("ths_adjustment_nv_fund",V$3,$A409))</x:f>
        <x:v>#NAME?</x:v>
      </x:c>
      <x:c r="W409" t="e">
        <x:f>IF($A409="","",[1]!thsiFinD("ths_adjustment_nv_fund",W$3,$A409))</x:f>
        <x:v>#NAME?</x:v>
      </x:c>
      <x:c r="X409" t="e">
        <x:f>IF($A409="","",[1]!thsiFinD("ths_adjustment_nv_fund",X$3,$A409))</x:f>
        <x:v>#NAME?</x:v>
      </x:c>
      <x:c r="Y409" t="e">
        <x:f>IF($A409="","",[1]!thsiFinD("ths_adjustment_nv_fund",Y$3,$A409))</x:f>
        <x:v>#NAME?</x:v>
      </x:c>
    </x:row>
    <x:row r="410">
      <x:c r="B410" t="e">
        <x:f>IF($A410="","",[1]!thsiFinD("ths_adjustment_nv_fund",B$3,$A410))</x:f>
        <x:v>#NAME?</x:v>
      </x:c>
      <x:c r="C410" t="e">
        <x:f>IF($A410="","",[1]!thsiFinD("ths_adjustment_nv_fund",C$3,$A410))</x:f>
        <x:v>#NAME?</x:v>
      </x:c>
      <x:c r="D410" t="e">
        <x:f>IF($A410="","",[1]!thsiFinD("ths_adjustment_nv_fund",D$3,$A410))</x:f>
        <x:v>#NAME?</x:v>
      </x:c>
      <x:c r="E410" t="e">
        <x:f>IF($A410="","",[1]!thsiFinD("ths_adjustment_nv_fund",E$3,$A410))</x:f>
        <x:v>#NAME?</x:v>
      </x:c>
      <x:c r="F410" t="e">
        <x:f>IF($A410="","",[1]!thsiFinD("ths_adjustment_nv_fund",F$3,$A410))</x:f>
        <x:v>#NAME?</x:v>
      </x:c>
      <x:c r="G410" t="e">
        <x:f>IF($A410="","",[1]!thsiFinD("ths_adjustment_nv_fund",G$3,$A410))</x:f>
        <x:v>#NAME?</x:v>
      </x:c>
      <x:c r="H410" t="e">
        <x:f>IF($A410="","",[1]!thsiFinD("ths_adjustment_nv_fund",H$3,$A410))</x:f>
        <x:v>#NAME?</x:v>
      </x:c>
      <x:c r="I410" t="e">
        <x:f>IF($A410="","",[1]!thsiFinD("ths_adjustment_nv_fund",I$3,$A410))</x:f>
        <x:v>#NAME?</x:v>
      </x:c>
      <x:c r="J410" t="e">
        <x:f>IF($A410="","",[1]!thsiFinD("ths_adjustment_nv_fund",J$3,$A410))</x:f>
        <x:v>#NAME?</x:v>
      </x:c>
      <x:c r="K410" t="e">
        <x:f>IF($A410="","",[1]!thsiFinD("ths_adjustment_nv_fund",K$3,$A410))</x:f>
        <x:v>#NAME?</x:v>
      </x:c>
      <x:c r="L410" t="e">
        <x:f>IF($A410="","",[1]!thsiFinD("ths_adjustment_nv_fund",L$3,$A410))</x:f>
        <x:v>#NAME?</x:v>
      </x:c>
      <x:c r="M410" t="e">
        <x:f>IF($A410="","",[1]!thsiFinD("ths_adjustment_nv_fund",M$3,$A410))</x:f>
        <x:v>#NAME?</x:v>
      </x:c>
      <x:c r="N410" t="e">
        <x:f>IF($A410="","",[1]!thsiFinD("ths_adjustment_nv_fund",N$3,$A410))</x:f>
        <x:v>#NAME?</x:v>
      </x:c>
      <x:c r="O410" t="e">
        <x:f>IF($A410="","",[1]!thsiFinD("ths_adjustment_nv_fund",O$3,$A410))</x:f>
        <x:v>#NAME?</x:v>
      </x:c>
      <x:c r="P410" t="e">
        <x:f>IF($A410="","",[1]!thsiFinD("ths_adjustment_nv_fund",P$3,$A410))</x:f>
        <x:v>#NAME?</x:v>
      </x:c>
      <x:c r="Q410" t="e">
        <x:f>IF($A410="","",[1]!thsiFinD("ths_adjustment_nv_fund",Q$3,$A410))</x:f>
        <x:v>#NAME?</x:v>
      </x:c>
      <x:c r="R410" t="e">
        <x:f>IF($A410="","",[1]!thsiFinD("ths_adjustment_nv_fund",R$3,$A410))</x:f>
        <x:v>#NAME?</x:v>
      </x:c>
      <x:c r="S410" t="e">
        <x:f>IF($A410="","",[1]!thsiFinD("ths_adjustment_nv_fund",S$3,$A410))</x:f>
        <x:v>#NAME?</x:v>
      </x:c>
      <x:c r="T410" t="e">
        <x:f>IF($A410="","",[1]!thsiFinD("ths_adjustment_nv_fund",T$3,$A410))</x:f>
        <x:v>#NAME?</x:v>
      </x:c>
      <x:c r="U410" t="e">
        <x:f>IF($A410="","",[1]!thsiFinD("ths_adjustment_nv_fund",U$3,$A410))</x:f>
        <x:v>#NAME?</x:v>
      </x:c>
      <x:c r="V410" t="e">
        <x:f>IF($A410="","",[1]!thsiFinD("ths_adjustment_nv_fund",V$3,$A410))</x:f>
        <x:v>#NAME?</x:v>
      </x:c>
      <x:c r="W410" t="e">
        <x:f>IF($A410="","",[1]!thsiFinD("ths_adjustment_nv_fund",W$3,$A410))</x:f>
        <x:v>#NAME?</x:v>
      </x:c>
      <x:c r="X410" t="e">
        <x:f>IF($A410="","",[1]!thsiFinD("ths_adjustment_nv_fund",X$3,$A410))</x:f>
        <x:v>#NAME?</x:v>
      </x:c>
      <x:c r="Y410" t="e">
        <x:f>IF($A410="","",[1]!thsiFinD("ths_adjustment_nv_fund",Y$3,$A410))</x:f>
        <x:v>#NAME?</x:v>
      </x:c>
    </x:row>
    <x:row r="411">
      <x:c r="B411" t="e">
        <x:f>IF($A411="","",[1]!thsiFinD("ths_adjustment_nv_fund",B$3,$A411))</x:f>
        <x:v>#NAME?</x:v>
      </x:c>
      <x:c r="C411" t="e">
        <x:f>IF($A411="","",[1]!thsiFinD("ths_adjustment_nv_fund",C$3,$A411))</x:f>
        <x:v>#NAME?</x:v>
      </x:c>
      <x:c r="D411" t="e">
        <x:f>IF($A411="","",[1]!thsiFinD("ths_adjustment_nv_fund",D$3,$A411))</x:f>
        <x:v>#NAME?</x:v>
      </x:c>
      <x:c r="E411" t="e">
        <x:f>IF($A411="","",[1]!thsiFinD("ths_adjustment_nv_fund",E$3,$A411))</x:f>
        <x:v>#NAME?</x:v>
      </x:c>
      <x:c r="F411" t="e">
        <x:f>IF($A411="","",[1]!thsiFinD("ths_adjustment_nv_fund",F$3,$A411))</x:f>
        <x:v>#NAME?</x:v>
      </x:c>
      <x:c r="G411" t="e">
        <x:f>IF($A411="","",[1]!thsiFinD("ths_adjustment_nv_fund",G$3,$A411))</x:f>
        <x:v>#NAME?</x:v>
      </x:c>
      <x:c r="H411" t="e">
        <x:f>IF($A411="","",[1]!thsiFinD("ths_adjustment_nv_fund",H$3,$A411))</x:f>
        <x:v>#NAME?</x:v>
      </x:c>
      <x:c r="I411" t="e">
        <x:f>IF($A411="","",[1]!thsiFinD("ths_adjustment_nv_fund",I$3,$A411))</x:f>
        <x:v>#NAME?</x:v>
      </x:c>
      <x:c r="J411" t="e">
        <x:f>IF($A411="","",[1]!thsiFinD("ths_adjustment_nv_fund",J$3,$A411))</x:f>
        <x:v>#NAME?</x:v>
      </x:c>
      <x:c r="K411" t="e">
        <x:f>IF($A411="","",[1]!thsiFinD("ths_adjustment_nv_fund",K$3,$A411))</x:f>
        <x:v>#NAME?</x:v>
      </x:c>
      <x:c r="L411" t="e">
        <x:f>IF($A411="","",[1]!thsiFinD("ths_adjustment_nv_fund",L$3,$A411))</x:f>
        <x:v>#NAME?</x:v>
      </x:c>
      <x:c r="M411" t="e">
        <x:f>IF($A411="","",[1]!thsiFinD("ths_adjustment_nv_fund",M$3,$A411))</x:f>
        <x:v>#NAME?</x:v>
      </x:c>
      <x:c r="N411" t="e">
        <x:f>IF($A411="","",[1]!thsiFinD("ths_adjustment_nv_fund",N$3,$A411))</x:f>
        <x:v>#NAME?</x:v>
      </x:c>
      <x:c r="O411" t="e">
        <x:f>IF($A411="","",[1]!thsiFinD("ths_adjustment_nv_fund",O$3,$A411))</x:f>
        <x:v>#NAME?</x:v>
      </x:c>
      <x:c r="P411" t="e">
        <x:f>IF($A411="","",[1]!thsiFinD("ths_adjustment_nv_fund",P$3,$A411))</x:f>
        <x:v>#NAME?</x:v>
      </x:c>
      <x:c r="Q411" t="e">
        <x:f>IF($A411="","",[1]!thsiFinD("ths_adjustment_nv_fund",Q$3,$A411))</x:f>
        <x:v>#NAME?</x:v>
      </x:c>
      <x:c r="R411" t="e">
        <x:f>IF($A411="","",[1]!thsiFinD("ths_adjustment_nv_fund",R$3,$A411))</x:f>
        <x:v>#NAME?</x:v>
      </x:c>
      <x:c r="S411" t="e">
        <x:f>IF($A411="","",[1]!thsiFinD("ths_adjustment_nv_fund",S$3,$A411))</x:f>
        <x:v>#NAME?</x:v>
      </x:c>
      <x:c r="T411" t="e">
        <x:f>IF($A411="","",[1]!thsiFinD("ths_adjustment_nv_fund",T$3,$A411))</x:f>
        <x:v>#NAME?</x:v>
      </x:c>
      <x:c r="U411" t="e">
        <x:f>IF($A411="","",[1]!thsiFinD("ths_adjustment_nv_fund",U$3,$A411))</x:f>
        <x:v>#NAME?</x:v>
      </x:c>
      <x:c r="V411" t="e">
        <x:f>IF($A411="","",[1]!thsiFinD("ths_adjustment_nv_fund",V$3,$A411))</x:f>
        <x:v>#NAME?</x:v>
      </x:c>
      <x:c r="W411" t="e">
        <x:f>IF($A411="","",[1]!thsiFinD("ths_adjustment_nv_fund",W$3,$A411))</x:f>
        <x:v>#NAME?</x:v>
      </x:c>
      <x:c r="X411" t="e">
        <x:f>IF($A411="","",[1]!thsiFinD("ths_adjustment_nv_fund",X$3,$A411))</x:f>
        <x:v>#NAME?</x:v>
      </x:c>
      <x:c r="Y411" t="e">
        <x:f>IF($A411="","",[1]!thsiFinD("ths_adjustment_nv_fund",Y$3,$A411))</x:f>
        <x:v>#NAME?</x:v>
      </x:c>
    </x:row>
    <x:row r="412">
      <x:c r="B412" t="e">
        <x:f>IF($A412="","",[1]!thsiFinD("ths_adjustment_nv_fund",B$3,$A412))</x:f>
        <x:v>#NAME?</x:v>
      </x:c>
      <x:c r="C412" t="e">
        <x:f>IF($A412="","",[1]!thsiFinD("ths_adjustment_nv_fund",C$3,$A412))</x:f>
        <x:v>#NAME?</x:v>
      </x:c>
      <x:c r="D412" t="e">
        <x:f>IF($A412="","",[1]!thsiFinD("ths_adjustment_nv_fund",D$3,$A412))</x:f>
        <x:v>#NAME?</x:v>
      </x:c>
      <x:c r="E412" t="e">
        <x:f>IF($A412="","",[1]!thsiFinD("ths_adjustment_nv_fund",E$3,$A412))</x:f>
        <x:v>#NAME?</x:v>
      </x:c>
      <x:c r="F412" t="e">
        <x:f>IF($A412="","",[1]!thsiFinD("ths_adjustment_nv_fund",F$3,$A412))</x:f>
        <x:v>#NAME?</x:v>
      </x:c>
      <x:c r="G412" t="e">
        <x:f>IF($A412="","",[1]!thsiFinD("ths_adjustment_nv_fund",G$3,$A412))</x:f>
        <x:v>#NAME?</x:v>
      </x:c>
      <x:c r="H412" t="e">
        <x:f>IF($A412="","",[1]!thsiFinD("ths_adjustment_nv_fund",H$3,$A412))</x:f>
        <x:v>#NAME?</x:v>
      </x:c>
      <x:c r="I412" t="e">
        <x:f>IF($A412="","",[1]!thsiFinD("ths_adjustment_nv_fund",I$3,$A412))</x:f>
        <x:v>#NAME?</x:v>
      </x:c>
      <x:c r="J412" t="e">
        <x:f>IF($A412="","",[1]!thsiFinD("ths_adjustment_nv_fund",J$3,$A412))</x:f>
        <x:v>#NAME?</x:v>
      </x:c>
      <x:c r="K412" t="e">
        <x:f>IF($A412="","",[1]!thsiFinD("ths_adjustment_nv_fund",K$3,$A412))</x:f>
        <x:v>#NAME?</x:v>
      </x:c>
      <x:c r="L412" t="e">
        <x:f>IF($A412="","",[1]!thsiFinD("ths_adjustment_nv_fund",L$3,$A412))</x:f>
        <x:v>#NAME?</x:v>
      </x:c>
      <x:c r="M412" t="e">
        <x:f>IF($A412="","",[1]!thsiFinD("ths_adjustment_nv_fund",M$3,$A412))</x:f>
        <x:v>#NAME?</x:v>
      </x:c>
      <x:c r="N412" t="e">
        <x:f>IF($A412="","",[1]!thsiFinD("ths_adjustment_nv_fund",N$3,$A412))</x:f>
        <x:v>#NAME?</x:v>
      </x:c>
      <x:c r="O412" t="e">
        <x:f>IF($A412="","",[1]!thsiFinD("ths_adjustment_nv_fund",O$3,$A412))</x:f>
        <x:v>#NAME?</x:v>
      </x:c>
      <x:c r="P412" t="e">
        <x:f>IF($A412="","",[1]!thsiFinD("ths_adjustment_nv_fund",P$3,$A412))</x:f>
        <x:v>#NAME?</x:v>
      </x:c>
      <x:c r="Q412" t="e">
        <x:f>IF($A412="","",[1]!thsiFinD("ths_adjustment_nv_fund",Q$3,$A412))</x:f>
        <x:v>#NAME?</x:v>
      </x:c>
      <x:c r="R412" t="e">
        <x:f>IF($A412="","",[1]!thsiFinD("ths_adjustment_nv_fund",R$3,$A412))</x:f>
        <x:v>#NAME?</x:v>
      </x:c>
      <x:c r="S412" t="e">
        <x:f>IF($A412="","",[1]!thsiFinD("ths_adjustment_nv_fund",S$3,$A412))</x:f>
        <x:v>#NAME?</x:v>
      </x:c>
      <x:c r="T412" t="e">
        <x:f>IF($A412="","",[1]!thsiFinD("ths_adjustment_nv_fund",T$3,$A412))</x:f>
        <x:v>#NAME?</x:v>
      </x:c>
      <x:c r="U412" t="e">
        <x:f>IF($A412="","",[1]!thsiFinD("ths_adjustment_nv_fund",U$3,$A412))</x:f>
        <x:v>#NAME?</x:v>
      </x:c>
      <x:c r="V412" t="e">
        <x:f>IF($A412="","",[1]!thsiFinD("ths_adjustment_nv_fund",V$3,$A412))</x:f>
        <x:v>#NAME?</x:v>
      </x:c>
      <x:c r="W412" t="e">
        <x:f>IF($A412="","",[1]!thsiFinD("ths_adjustment_nv_fund",W$3,$A412))</x:f>
        <x:v>#NAME?</x:v>
      </x:c>
      <x:c r="X412" t="e">
        <x:f>IF($A412="","",[1]!thsiFinD("ths_adjustment_nv_fund",X$3,$A412))</x:f>
        <x:v>#NAME?</x:v>
      </x:c>
      <x:c r="Y412" t="e">
        <x:f>IF($A412="","",[1]!thsiFinD("ths_adjustment_nv_fund",Y$3,$A412))</x:f>
        <x:v>#NAME?</x:v>
      </x:c>
    </x:row>
    <x:row r="413">
      <x:c r="B413" t="e">
        <x:f>IF($A413="","",[1]!thsiFinD("ths_adjustment_nv_fund",B$3,$A413))</x:f>
        <x:v>#NAME?</x:v>
      </x:c>
      <x:c r="C413" t="e">
        <x:f>IF($A413="","",[1]!thsiFinD("ths_adjustment_nv_fund",C$3,$A413))</x:f>
        <x:v>#NAME?</x:v>
      </x:c>
      <x:c r="D413" t="e">
        <x:f>IF($A413="","",[1]!thsiFinD("ths_adjustment_nv_fund",D$3,$A413))</x:f>
        <x:v>#NAME?</x:v>
      </x:c>
      <x:c r="E413" t="e">
        <x:f>IF($A413="","",[1]!thsiFinD("ths_adjustment_nv_fund",E$3,$A413))</x:f>
        <x:v>#NAME?</x:v>
      </x:c>
      <x:c r="F413" t="e">
        <x:f>IF($A413="","",[1]!thsiFinD("ths_adjustment_nv_fund",F$3,$A413))</x:f>
        <x:v>#NAME?</x:v>
      </x:c>
      <x:c r="G413" t="e">
        <x:f>IF($A413="","",[1]!thsiFinD("ths_adjustment_nv_fund",G$3,$A413))</x:f>
        <x:v>#NAME?</x:v>
      </x:c>
      <x:c r="H413" t="e">
        <x:f>IF($A413="","",[1]!thsiFinD("ths_adjustment_nv_fund",H$3,$A413))</x:f>
        <x:v>#NAME?</x:v>
      </x:c>
      <x:c r="I413" t="e">
        <x:f>IF($A413="","",[1]!thsiFinD("ths_adjustment_nv_fund",I$3,$A413))</x:f>
        <x:v>#NAME?</x:v>
      </x:c>
      <x:c r="J413" t="e">
        <x:f>IF($A413="","",[1]!thsiFinD("ths_adjustment_nv_fund",J$3,$A413))</x:f>
        <x:v>#NAME?</x:v>
      </x:c>
      <x:c r="K413" t="e">
        <x:f>IF($A413="","",[1]!thsiFinD("ths_adjustment_nv_fund",K$3,$A413))</x:f>
        <x:v>#NAME?</x:v>
      </x:c>
      <x:c r="L413" t="e">
        <x:f>IF($A413="","",[1]!thsiFinD("ths_adjustment_nv_fund",L$3,$A413))</x:f>
        <x:v>#NAME?</x:v>
      </x:c>
      <x:c r="M413" t="e">
        <x:f>IF($A413="","",[1]!thsiFinD("ths_adjustment_nv_fund",M$3,$A413))</x:f>
        <x:v>#NAME?</x:v>
      </x:c>
      <x:c r="N413" t="e">
        <x:f>IF($A413="","",[1]!thsiFinD("ths_adjustment_nv_fund",N$3,$A413))</x:f>
        <x:v>#NAME?</x:v>
      </x:c>
      <x:c r="O413" t="e">
        <x:f>IF($A413="","",[1]!thsiFinD("ths_adjustment_nv_fund",O$3,$A413))</x:f>
        <x:v>#NAME?</x:v>
      </x:c>
      <x:c r="P413" t="e">
        <x:f>IF($A413="","",[1]!thsiFinD("ths_adjustment_nv_fund",P$3,$A413))</x:f>
        <x:v>#NAME?</x:v>
      </x:c>
      <x:c r="Q413" t="e">
        <x:f>IF($A413="","",[1]!thsiFinD("ths_adjustment_nv_fund",Q$3,$A413))</x:f>
        <x:v>#NAME?</x:v>
      </x:c>
      <x:c r="R413" t="e">
        <x:f>IF($A413="","",[1]!thsiFinD("ths_adjustment_nv_fund",R$3,$A413))</x:f>
        <x:v>#NAME?</x:v>
      </x:c>
      <x:c r="S413" t="e">
        <x:f>IF($A413="","",[1]!thsiFinD("ths_adjustment_nv_fund",S$3,$A413))</x:f>
        <x:v>#NAME?</x:v>
      </x:c>
      <x:c r="T413" t="e">
        <x:f>IF($A413="","",[1]!thsiFinD("ths_adjustment_nv_fund",T$3,$A413))</x:f>
        <x:v>#NAME?</x:v>
      </x:c>
      <x:c r="U413" t="e">
        <x:f>IF($A413="","",[1]!thsiFinD("ths_adjustment_nv_fund",U$3,$A413))</x:f>
        <x:v>#NAME?</x:v>
      </x:c>
      <x:c r="V413" t="e">
        <x:f>IF($A413="","",[1]!thsiFinD("ths_adjustment_nv_fund",V$3,$A413))</x:f>
        <x:v>#NAME?</x:v>
      </x:c>
      <x:c r="W413" t="e">
        <x:f>IF($A413="","",[1]!thsiFinD("ths_adjustment_nv_fund",W$3,$A413))</x:f>
        <x:v>#NAME?</x:v>
      </x:c>
      <x:c r="X413" t="e">
        <x:f>IF($A413="","",[1]!thsiFinD("ths_adjustment_nv_fund",X$3,$A413))</x:f>
        <x:v>#NAME?</x:v>
      </x:c>
      <x:c r="Y413" t="e">
        <x:f>IF($A413="","",[1]!thsiFinD("ths_adjustment_nv_fund",Y$3,$A413))</x:f>
        <x:v>#NAME?</x:v>
      </x:c>
    </x:row>
    <x:row r="414">
      <x:c r="B414" t="e">
        <x:f>IF($A414="","",[1]!thsiFinD("ths_adjustment_nv_fund",B$3,$A414))</x:f>
        <x:v>#NAME?</x:v>
      </x:c>
      <x:c r="C414" t="e">
        <x:f>IF($A414="","",[1]!thsiFinD("ths_adjustment_nv_fund",C$3,$A414))</x:f>
        <x:v>#NAME?</x:v>
      </x:c>
      <x:c r="D414" t="e">
        <x:f>IF($A414="","",[1]!thsiFinD("ths_adjustment_nv_fund",D$3,$A414))</x:f>
        <x:v>#NAME?</x:v>
      </x:c>
      <x:c r="E414" t="e">
        <x:f>IF($A414="","",[1]!thsiFinD("ths_adjustment_nv_fund",E$3,$A414))</x:f>
        <x:v>#NAME?</x:v>
      </x:c>
      <x:c r="F414" t="e">
        <x:f>IF($A414="","",[1]!thsiFinD("ths_adjustment_nv_fund",F$3,$A414))</x:f>
        <x:v>#NAME?</x:v>
      </x:c>
      <x:c r="G414" t="e">
        <x:f>IF($A414="","",[1]!thsiFinD("ths_adjustment_nv_fund",G$3,$A414))</x:f>
        <x:v>#NAME?</x:v>
      </x:c>
      <x:c r="H414" t="e">
        <x:f>IF($A414="","",[1]!thsiFinD("ths_adjustment_nv_fund",H$3,$A414))</x:f>
        <x:v>#NAME?</x:v>
      </x:c>
      <x:c r="I414" t="e">
        <x:f>IF($A414="","",[1]!thsiFinD("ths_adjustment_nv_fund",I$3,$A414))</x:f>
        <x:v>#NAME?</x:v>
      </x:c>
      <x:c r="J414" t="e">
        <x:f>IF($A414="","",[1]!thsiFinD("ths_adjustment_nv_fund",J$3,$A414))</x:f>
        <x:v>#NAME?</x:v>
      </x:c>
      <x:c r="K414" t="e">
        <x:f>IF($A414="","",[1]!thsiFinD("ths_adjustment_nv_fund",K$3,$A414))</x:f>
        <x:v>#NAME?</x:v>
      </x:c>
      <x:c r="L414" t="e">
        <x:f>IF($A414="","",[1]!thsiFinD("ths_adjustment_nv_fund",L$3,$A414))</x:f>
        <x:v>#NAME?</x:v>
      </x:c>
      <x:c r="M414" t="e">
        <x:f>IF($A414="","",[1]!thsiFinD("ths_adjustment_nv_fund",M$3,$A414))</x:f>
        <x:v>#NAME?</x:v>
      </x:c>
      <x:c r="N414" t="e">
        <x:f>IF($A414="","",[1]!thsiFinD("ths_adjustment_nv_fund",N$3,$A414))</x:f>
        <x:v>#NAME?</x:v>
      </x:c>
      <x:c r="O414" t="e">
        <x:f>IF($A414="","",[1]!thsiFinD("ths_adjustment_nv_fund",O$3,$A414))</x:f>
        <x:v>#NAME?</x:v>
      </x:c>
      <x:c r="P414" t="e">
        <x:f>IF($A414="","",[1]!thsiFinD("ths_adjustment_nv_fund",P$3,$A414))</x:f>
        <x:v>#NAME?</x:v>
      </x:c>
      <x:c r="Q414" t="e">
        <x:f>IF($A414="","",[1]!thsiFinD("ths_adjustment_nv_fund",Q$3,$A414))</x:f>
        <x:v>#NAME?</x:v>
      </x:c>
      <x:c r="R414" t="e">
        <x:f>IF($A414="","",[1]!thsiFinD("ths_adjustment_nv_fund",R$3,$A414))</x:f>
        <x:v>#NAME?</x:v>
      </x:c>
      <x:c r="S414" t="e">
        <x:f>IF($A414="","",[1]!thsiFinD("ths_adjustment_nv_fund",S$3,$A414))</x:f>
        <x:v>#NAME?</x:v>
      </x:c>
      <x:c r="T414" t="e">
        <x:f>IF($A414="","",[1]!thsiFinD("ths_adjustment_nv_fund",T$3,$A414))</x:f>
        <x:v>#NAME?</x:v>
      </x:c>
      <x:c r="U414" t="e">
        <x:f>IF($A414="","",[1]!thsiFinD("ths_adjustment_nv_fund",U$3,$A414))</x:f>
        <x:v>#NAME?</x:v>
      </x:c>
      <x:c r="V414" t="e">
        <x:f>IF($A414="","",[1]!thsiFinD("ths_adjustment_nv_fund",V$3,$A414))</x:f>
        <x:v>#NAME?</x:v>
      </x:c>
      <x:c r="W414" t="e">
        <x:f>IF($A414="","",[1]!thsiFinD("ths_adjustment_nv_fund",W$3,$A414))</x:f>
        <x:v>#NAME?</x:v>
      </x:c>
      <x:c r="X414" t="e">
        <x:f>IF($A414="","",[1]!thsiFinD("ths_adjustment_nv_fund",X$3,$A414))</x:f>
        <x:v>#NAME?</x:v>
      </x:c>
      <x:c r="Y414" t="e">
        <x:f>IF($A414="","",[1]!thsiFinD("ths_adjustment_nv_fund",Y$3,$A414))</x:f>
        <x:v>#NAME?</x:v>
      </x:c>
    </x:row>
    <x:row r="415">
      <x:c r="B415" t="e">
        <x:f>IF($A415="","",[1]!thsiFinD("ths_adjustment_nv_fund",B$3,$A415))</x:f>
        <x:v>#NAME?</x:v>
      </x:c>
      <x:c r="C415" t="e">
        <x:f>IF($A415="","",[1]!thsiFinD("ths_adjustment_nv_fund",C$3,$A415))</x:f>
        <x:v>#NAME?</x:v>
      </x:c>
      <x:c r="D415" t="e">
        <x:f>IF($A415="","",[1]!thsiFinD("ths_adjustment_nv_fund",D$3,$A415))</x:f>
        <x:v>#NAME?</x:v>
      </x:c>
      <x:c r="E415" t="e">
        <x:f>IF($A415="","",[1]!thsiFinD("ths_adjustment_nv_fund",E$3,$A415))</x:f>
        <x:v>#NAME?</x:v>
      </x:c>
      <x:c r="F415" t="e">
        <x:f>IF($A415="","",[1]!thsiFinD("ths_adjustment_nv_fund",F$3,$A415))</x:f>
        <x:v>#NAME?</x:v>
      </x:c>
      <x:c r="G415" t="e">
        <x:f>IF($A415="","",[1]!thsiFinD("ths_adjustment_nv_fund",G$3,$A415))</x:f>
        <x:v>#NAME?</x:v>
      </x:c>
      <x:c r="H415" t="e">
        <x:f>IF($A415="","",[1]!thsiFinD("ths_adjustment_nv_fund",H$3,$A415))</x:f>
        <x:v>#NAME?</x:v>
      </x:c>
      <x:c r="I415" t="e">
        <x:f>IF($A415="","",[1]!thsiFinD("ths_adjustment_nv_fund",I$3,$A415))</x:f>
        <x:v>#NAME?</x:v>
      </x:c>
      <x:c r="J415" t="e">
        <x:f>IF($A415="","",[1]!thsiFinD("ths_adjustment_nv_fund",J$3,$A415))</x:f>
        <x:v>#NAME?</x:v>
      </x:c>
      <x:c r="K415" t="e">
        <x:f>IF($A415="","",[1]!thsiFinD("ths_adjustment_nv_fund",K$3,$A415))</x:f>
        <x:v>#NAME?</x:v>
      </x:c>
      <x:c r="L415" t="e">
        <x:f>IF($A415="","",[1]!thsiFinD("ths_adjustment_nv_fund",L$3,$A415))</x:f>
        <x:v>#NAME?</x:v>
      </x:c>
      <x:c r="M415" t="e">
        <x:f>IF($A415="","",[1]!thsiFinD("ths_adjustment_nv_fund",M$3,$A415))</x:f>
        <x:v>#NAME?</x:v>
      </x:c>
      <x:c r="N415" t="e">
        <x:f>IF($A415="","",[1]!thsiFinD("ths_adjustment_nv_fund",N$3,$A415))</x:f>
        <x:v>#NAME?</x:v>
      </x:c>
      <x:c r="O415" t="e">
        <x:f>IF($A415="","",[1]!thsiFinD("ths_adjustment_nv_fund",O$3,$A415))</x:f>
        <x:v>#NAME?</x:v>
      </x:c>
      <x:c r="P415" t="e">
        <x:f>IF($A415="","",[1]!thsiFinD("ths_adjustment_nv_fund",P$3,$A415))</x:f>
        <x:v>#NAME?</x:v>
      </x:c>
      <x:c r="Q415" t="e">
        <x:f>IF($A415="","",[1]!thsiFinD("ths_adjustment_nv_fund",Q$3,$A415))</x:f>
        <x:v>#NAME?</x:v>
      </x:c>
      <x:c r="R415" t="e">
        <x:f>IF($A415="","",[1]!thsiFinD("ths_adjustment_nv_fund",R$3,$A415))</x:f>
        <x:v>#NAME?</x:v>
      </x:c>
      <x:c r="S415" t="e">
        <x:f>IF($A415="","",[1]!thsiFinD("ths_adjustment_nv_fund",S$3,$A415))</x:f>
        <x:v>#NAME?</x:v>
      </x:c>
      <x:c r="T415" t="e">
        <x:f>IF($A415="","",[1]!thsiFinD("ths_adjustment_nv_fund",T$3,$A415))</x:f>
        <x:v>#NAME?</x:v>
      </x:c>
      <x:c r="U415" t="e">
        <x:f>IF($A415="","",[1]!thsiFinD("ths_adjustment_nv_fund",U$3,$A415))</x:f>
        <x:v>#NAME?</x:v>
      </x:c>
      <x:c r="V415" t="e">
        <x:f>IF($A415="","",[1]!thsiFinD("ths_adjustment_nv_fund",V$3,$A415))</x:f>
        <x:v>#NAME?</x:v>
      </x:c>
      <x:c r="W415" t="e">
        <x:f>IF($A415="","",[1]!thsiFinD("ths_adjustment_nv_fund",W$3,$A415))</x:f>
        <x:v>#NAME?</x:v>
      </x:c>
      <x:c r="X415" t="e">
        <x:f>IF($A415="","",[1]!thsiFinD("ths_adjustment_nv_fund",X$3,$A415))</x:f>
        <x:v>#NAME?</x:v>
      </x:c>
      <x:c r="Y415" t="e">
        <x:f>IF($A415="","",[1]!thsiFinD("ths_adjustment_nv_fund",Y$3,$A415))</x:f>
        <x:v>#NAME?</x:v>
      </x:c>
    </x:row>
    <x:row r="416">
      <x:c r="B416" t="e">
        <x:f>IF($A416="","",[1]!thsiFinD("ths_adjustment_nv_fund",B$3,$A416))</x:f>
        <x:v>#NAME?</x:v>
      </x:c>
      <x:c r="C416" t="e">
        <x:f>IF($A416="","",[1]!thsiFinD("ths_adjustment_nv_fund",C$3,$A416))</x:f>
        <x:v>#NAME?</x:v>
      </x:c>
      <x:c r="D416" t="e">
        <x:f>IF($A416="","",[1]!thsiFinD("ths_adjustment_nv_fund",D$3,$A416))</x:f>
        <x:v>#NAME?</x:v>
      </x:c>
      <x:c r="E416" t="e">
        <x:f>IF($A416="","",[1]!thsiFinD("ths_adjustment_nv_fund",E$3,$A416))</x:f>
        <x:v>#NAME?</x:v>
      </x:c>
      <x:c r="F416" t="e">
        <x:f>IF($A416="","",[1]!thsiFinD("ths_adjustment_nv_fund",F$3,$A416))</x:f>
        <x:v>#NAME?</x:v>
      </x:c>
      <x:c r="G416" t="e">
        <x:f>IF($A416="","",[1]!thsiFinD("ths_adjustment_nv_fund",G$3,$A416))</x:f>
        <x:v>#NAME?</x:v>
      </x:c>
      <x:c r="H416" t="e">
        <x:f>IF($A416="","",[1]!thsiFinD("ths_adjustment_nv_fund",H$3,$A416))</x:f>
        <x:v>#NAME?</x:v>
      </x:c>
      <x:c r="I416" t="e">
        <x:f>IF($A416="","",[1]!thsiFinD("ths_adjustment_nv_fund",I$3,$A416))</x:f>
        <x:v>#NAME?</x:v>
      </x:c>
      <x:c r="J416" t="e">
        <x:f>IF($A416="","",[1]!thsiFinD("ths_adjustment_nv_fund",J$3,$A416))</x:f>
        <x:v>#NAME?</x:v>
      </x:c>
      <x:c r="K416" t="e">
        <x:f>IF($A416="","",[1]!thsiFinD("ths_adjustment_nv_fund",K$3,$A416))</x:f>
        <x:v>#NAME?</x:v>
      </x:c>
      <x:c r="L416" t="e">
        <x:f>IF($A416="","",[1]!thsiFinD("ths_adjustment_nv_fund",L$3,$A416))</x:f>
        <x:v>#NAME?</x:v>
      </x:c>
      <x:c r="M416" t="e">
        <x:f>IF($A416="","",[1]!thsiFinD("ths_adjustment_nv_fund",M$3,$A416))</x:f>
        <x:v>#NAME?</x:v>
      </x:c>
      <x:c r="N416" t="e">
        <x:f>IF($A416="","",[1]!thsiFinD("ths_adjustment_nv_fund",N$3,$A416))</x:f>
        <x:v>#NAME?</x:v>
      </x:c>
      <x:c r="O416" t="e">
        <x:f>IF($A416="","",[1]!thsiFinD("ths_adjustment_nv_fund",O$3,$A416))</x:f>
        <x:v>#NAME?</x:v>
      </x:c>
      <x:c r="P416" t="e">
        <x:f>IF($A416="","",[1]!thsiFinD("ths_adjustment_nv_fund",P$3,$A416))</x:f>
        <x:v>#NAME?</x:v>
      </x:c>
      <x:c r="Q416" t="e">
        <x:f>IF($A416="","",[1]!thsiFinD("ths_adjustment_nv_fund",Q$3,$A416))</x:f>
        <x:v>#NAME?</x:v>
      </x:c>
      <x:c r="R416" t="e">
        <x:f>IF($A416="","",[1]!thsiFinD("ths_adjustment_nv_fund",R$3,$A416))</x:f>
        <x:v>#NAME?</x:v>
      </x:c>
      <x:c r="S416" t="e">
        <x:f>IF($A416="","",[1]!thsiFinD("ths_adjustment_nv_fund",S$3,$A416))</x:f>
        <x:v>#NAME?</x:v>
      </x:c>
      <x:c r="T416" t="e">
        <x:f>IF($A416="","",[1]!thsiFinD("ths_adjustment_nv_fund",T$3,$A416))</x:f>
        <x:v>#NAME?</x:v>
      </x:c>
      <x:c r="U416" t="e">
        <x:f>IF($A416="","",[1]!thsiFinD("ths_adjustment_nv_fund",U$3,$A416))</x:f>
        <x:v>#NAME?</x:v>
      </x:c>
      <x:c r="V416" t="e">
        <x:f>IF($A416="","",[1]!thsiFinD("ths_adjustment_nv_fund",V$3,$A416))</x:f>
        <x:v>#NAME?</x:v>
      </x:c>
      <x:c r="W416" t="e">
        <x:f>IF($A416="","",[1]!thsiFinD("ths_adjustment_nv_fund",W$3,$A416))</x:f>
        <x:v>#NAME?</x:v>
      </x:c>
      <x:c r="X416" t="e">
        <x:f>IF($A416="","",[1]!thsiFinD("ths_adjustment_nv_fund",X$3,$A416))</x:f>
        <x:v>#NAME?</x:v>
      </x:c>
      <x:c r="Y416" t="e">
        <x:f>IF($A416="","",[1]!thsiFinD("ths_adjustment_nv_fund",Y$3,$A416))</x:f>
        <x:v>#NAME?</x:v>
      </x:c>
    </x:row>
    <x:row r="417">
      <x:c r="B417" t="e">
        <x:f>IF($A417="","",[1]!thsiFinD("ths_adjustment_nv_fund",B$3,$A417))</x:f>
        <x:v>#NAME?</x:v>
      </x:c>
      <x:c r="C417" t="e">
        <x:f>IF($A417="","",[1]!thsiFinD("ths_adjustment_nv_fund",C$3,$A417))</x:f>
        <x:v>#NAME?</x:v>
      </x:c>
      <x:c r="D417" t="e">
        <x:f>IF($A417="","",[1]!thsiFinD("ths_adjustment_nv_fund",D$3,$A417))</x:f>
        <x:v>#NAME?</x:v>
      </x:c>
      <x:c r="E417" t="e">
        <x:f>IF($A417="","",[1]!thsiFinD("ths_adjustment_nv_fund",E$3,$A417))</x:f>
        <x:v>#NAME?</x:v>
      </x:c>
      <x:c r="F417" t="e">
        <x:f>IF($A417="","",[1]!thsiFinD("ths_adjustment_nv_fund",F$3,$A417))</x:f>
        <x:v>#NAME?</x:v>
      </x:c>
      <x:c r="G417" t="e">
        <x:f>IF($A417="","",[1]!thsiFinD("ths_adjustment_nv_fund",G$3,$A417))</x:f>
        <x:v>#NAME?</x:v>
      </x:c>
      <x:c r="H417" t="e">
        <x:f>IF($A417="","",[1]!thsiFinD("ths_adjustment_nv_fund",H$3,$A417))</x:f>
        <x:v>#NAME?</x:v>
      </x:c>
      <x:c r="I417" t="e">
        <x:f>IF($A417="","",[1]!thsiFinD("ths_adjustment_nv_fund",I$3,$A417))</x:f>
        <x:v>#NAME?</x:v>
      </x:c>
      <x:c r="J417" t="e">
        <x:f>IF($A417="","",[1]!thsiFinD("ths_adjustment_nv_fund",J$3,$A417))</x:f>
        <x:v>#NAME?</x:v>
      </x:c>
      <x:c r="K417" t="e">
        <x:f>IF($A417="","",[1]!thsiFinD("ths_adjustment_nv_fund",K$3,$A417))</x:f>
        <x:v>#NAME?</x:v>
      </x:c>
      <x:c r="L417" t="e">
        <x:f>IF($A417="","",[1]!thsiFinD("ths_adjustment_nv_fund",L$3,$A417))</x:f>
        <x:v>#NAME?</x:v>
      </x:c>
      <x:c r="M417" t="e">
        <x:f>IF($A417="","",[1]!thsiFinD("ths_adjustment_nv_fund",M$3,$A417))</x:f>
        <x:v>#NAME?</x:v>
      </x:c>
      <x:c r="N417" t="e">
        <x:f>IF($A417="","",[1]!thsiFinD("ths_adjustment_nv_fund",N$3,$A417))</x:f>
        <x:v>#NAME?</x:v>
      </x:c>
      <x:c r="O417" t="e">
        <x:f>IF($A417="","",[1]!thsiFinD("ths_adjustment_nv_fund",O$3,$A417))</x:f>
        <x:v>#NAME?</x:v>
      </x:c>
      <x:c r="P417" t="e">
        <x:f>IF($A417="","",[1]!thsiFinD("ths_adjustment_nv_fund",P$3,$A417))</x:f>
        <x:v>#NAME?</x:v>
      </x:c>
      <x:c r="Q417" t="e">
        <x:f>IF($A417="","",[1]!thsiFinD("ths_adjustment_nv_fund",Q$3,$A417))</x:f>
        <x:v>#NAME?</x:v>
      </x:c>
      <x:c r="R417" t="e">
        <x:f>IF($A417="","",[1]!thsiFinD("ths_adjustment_nv_fund",R$3,$A417))</x:f>
        <x:v>#NAME?</x:v>
      </x:c>
      <x:c r="S417" t="e">
        <x:f>IF($A417="","",[1]!thsiFinD("ths_adjustment_nv_fund",S$3,$A417))</x:f>
        <x:v>#NAME?</x:v>
      </x:c>
      <x:c r="T417" t="e">
        <x:f>IF($A417="","",[1]!thsiFinD("ths_adjustment_nv_fund",T$3,$A417))</x:f>
        <x:v>#NAME?</x:v>
      </x:c>
      <x:c r="U417" t="e">
        <x:f>IF($A417="","",[1]!thsiFinD("ths_adjustment_nv_fund",U$3,$A417))</x:f>
        <x:v>#NAME?</x:v>
      </x:c>
      <x:c r="V417" t="e">
        <x:f>IF($A417="","",[1]!thsiFinD("ths_adjustment_nv_fund",V$3,$A417))</x:f>
        <x:v>#NAME?</x:v>
      </x:c>
      <x:c r="W417" t="e">
        <x:f>IF($A417="","",[1]!thsiFinD("ths_adjustment_nv_fund",W$3,$A417))</x:f>
        <x:v>#NAME?</x:v>
      </x:c>
      <x:c r="X417" t="e">
        <x:f>IF($A417="","",[1]!thsiFinD("ths_adjustment_nv_fund",X$3,$A417))</x:f>
        <x:v>#NAME?</x:v>
      </x:c>
      <x:c r="Y417" t="e">
        <x:f>IF($A417="","",[1]!thsiFinD("ths_adjustment_nv_fund",Y$3,$A417))</x:f>
        <x:v>#NAME?</x:v>
      </x:c>
    </x:row>
    <x:row r="418">
      <x:c r="B418" t="e">
        <x:f>IF($A418="","",[1]!thsiFinD("ths_adjustment_nv_fund",B$3,$A418))</x:f>
        <x:v>#NAME?</x:v>
      </x:c>
      <x:c r="C418" t="e">
        <x:f>IF($A418="","",[1]!thsiFinD("ths_adjustment_nv_fund",C$3,$A418))</x:f>
        <x:v>#NAME?</x:v>
      </x:c>
      <x:c r="D418" t="e">
        <x:f>IF($A418="","",[1]!thsiFinD("ths_adjustment_nv_fund",D$3,$A418))</x:f>
        <x:v>#NAME?</x:v>
      </x:c>
      <x:c r="E418" t="e">
        <x:f>IF($A418="","",[1]!thsiFinD("ths_adjustment_nv_fund",E$3,$A418))</x:f>
        <x:v>#NAME?</x:v>
      </x:c>
      <x:c r="F418" t="e">
        <x:f>IF($A418="","",[1]!thsiFinD("ths_adjustment_nv_fund",F$3,$A418))</x:f>
        <x:v>#NAME?</x:v>
      </x:c>
      <x:c r="G418" t="e">
        <x:f>IF($A418="","",[1]!thsiFinD("ths_adjustment_nv_fund",G$3,$A418))</x:f>
        <x:v>#NAME?</x:v>
      </x:c>
      <x:c r="H418" t="e">
        <x:f>IF($A418="","",[1]!thsiFinD("ths_adjustment_nv_fund",H$3,$A418))</x:f>
        <x:v>#NAME?</x:v>
      </x:c>
      <x:c r="I418" t="e">
        <x:f>IF($A418="","",[1]!thsiFinD("ths_adjustment_nv_fund",I$3,$A418))</x:f>
        <x:v>#NAME?</x:v>
      </x:c>
      <x:c r="J418" t="e">
        <x:f>IF($A418="","",[1]!thsiFinD("ths_adjustment_nv_fund",J$3,$A418))</x:f>
        <x:v>#NAME?</x:v>
      </x:c>
      <x:c r="K418" t="e">
        <x:f>IF($A418="","",[1]!thsiFinD("ths_adjustment_nv_fund",K$3,$A418))</x:f>
        <x:v>#NAME?</x:v>
      </x:c>
      <x:c r="L418" t="e">
        <x:f>IF($A418="","",[1]!thsiFinD("ths_adjustment_nv_fund",L$3,$A418))</x:f>
        <x:v>#NAME?</x:v>
      </x:c>
      <x:c r="M418" t="e">
        <x:f>IF($A418="","",[1]!thsiFinD("ths_adjustment_nv_fund",M$3,$A418))</x:f>
        <x:v>#NAME?</x:v>
      </x:c>
      <x:c r="N418" t="e">
        <x:f>IF($A418="","",[1]!thsiFinD("ths_adjustment_nv_fund",N$3,$A418))</x:f>
        <x:v>#NAME?</x:v>
      </x:c>
      <x:c r="O418" t="e">
        <x:f>IF($A418="","",[1]!thsiFinD("ths_adjustment_nv_fund",O$3,$A418))</x:f>
        <x:v>#NAME?</x:v>
      </x:c>
      <x:c r="P418" t="e">
        <x:f>IF($A418="","",[1]!thsiFinD("ths_adjustment_nv_fund",P$3,$A418))</x:f>
        <x:v>#NAME?</x:v>
      </x:c>
      <x:c r="Q418" t="e">
        <x:f>IF($A418="","",[1]!thsiFinD("ths_adjustment_nv_fund",Q$3,$A418))</x:f>
        <x:v>#NAME?</x:v>
      </x:c>
      <x:c r="R418" t="e">
        <x:f>IF($A418="","",[1]!thsiFinD("ths_adjustment_nv_fund",R$3,$A418))</x:f>
        <x:v>#NAME?</x:v>
      </x:c>
      <x:c r="S418" t="e">
        <x:f>IF($A418="","",[1]!thsiFinD("ths_adjustment_nv_fund",S$3,$A418))</x:f>
        <x:v>#NAME?</x:v>
      </x:c>
      <x:c r="T418" t="e">
        <x:f>IF($A418="","",[1]!thsiFinD("ths_adjustment_nv_fund",T$3,$A418))</x:f>
        <x:v>#NAME?</x:v>
      </x:c>
      <x:c r="U418" t="e">
        <x:f>IF($A418="","",[1]!thsiFinD("ths_adjustment_nv_fund",U$3,$A418))</x:f>
        <x:v>#NAME?</x:v>
      </x:c>
      <x:c r="V418" t="e">
        <x:f>IF($A418="","",[1]!thsiFinD("ths_adjustment_nv_fund",V$3,$A418))</x:f>
        <x:v>#NAME?</x:v>
      </x:c>
      <x:c r="W418" t="e">
        <x:f>IF($A418="","",[1]!thsiFinD("ths_adjustment_nv_fund",W$3,$A418))</x:f>
        <x:v>#NAME?</x:v>
      </x:c>
      <x:c r="X418" t="e">
        <x:f>IF($A418="","",[1]!thsiFinD("ths_adjustment_nv_fund",X$3,$A418))</x:f>
        <x:v>#NAME?</x:v>
      </x:c>
      <x:c r="Y418" t="e">
        <x:f>IF($A418="","",[1]!thsiFinD("ths_adjustment_nv_fund",Y$3,$A418))</x:f>
        <x:v>#NAME?</x:v>
      </x:c>
    </x:row>
    <x:row r="419">
      <x:c r="B419" t="e">
        <x:f>IF($A419="","",[1]!thsiFinD("ths_adjustment_nv_fund",B$3,$A419))</x:f>
        <x:v>#NAME?</x:v>
      </x:c>
      <x:c r="C419" t="e">
        <x:f>IF($A419="","",[1]!thsiFinD("ths_adjustment_nv_fund",C$3,$A419))</x:f>
        <x:v>#NAME?</x:v>
      </x:c>
      <x:c r="D419" t="e">
        <x:f>IF($A419="","",[1]!thsiFinD("ths_adjustment_nv_fund",D$3,$A419))</x:f>
        <x:v>#NAME?</x:v>
      </x:c>
      <x:c r="E419" t="e">
        <x:f>IF($A419="","",[1]!thsiFinD("ths_adjustment_nv_fund",E$3,$A419))</x:f>
        <x:v>#NAME?</x:v>
      </x:c>
      <x:c r="F419" t="e">
        <x:f>IF($A419="","",[1]!thsiFinD("ths_adjustment_nv_fund",F$3,$A419))</x:f>
        <x:v>#NAME?</x:v>
      </x:c>
      <x:c r="G419" t="e">
        <x:f>IF($A419="","",[1]!thsiFinD("ths_adjustment_nv_fund",G$3,$A419))</x:f>
        <x:v>#NAME?</x:v>
      </x:c>
      <x:c r="H419" t="e">
        <x:f>IF($A419="","",[1]!thsiFinD("ths_adjustment_nv_fund",H$3,$A419))</x:f>
        <x:v>#NAME?</x:v>
      </x:c>
      <x:c r="I419" t="e">
        <x:f>IF($A419="","",[1]!thsiFinD("ths_adjustment_nv_fund",I$3,$A419))</x:f>
        <x:v>#NAME?</x:v>
      </x:c>
      <x:c r="J419" t="e">
        <x:f>IF($A419="","",[1]!thsiFinD("ths_adjustment_nv_fund",J$3,$A419))</x:f>
        <x:v>#NAME?</x:v>
      </x:c>
      <x:c r="K419" t="e">
        <x:f>IF($A419="","",[1]!thsiFinD("ths_adjustment_nv_fund",K$3,$A419))</x:f>
        <x:v>#NAME?</x:v>
      </x:c>
      <x:c r="L419" t="e">
        <x:f>IF($A419="","",[1]!thsiFinD("ths_adjustment_nv_fund",L$3,$A419))</x:f>
        <x:v>#NAME?</x:v>
      </x:c>
      <x:c r="M419" t="e">
        <x:f>IF($A419="","",[1]!thsiFinD("ths_adjustment_nv_fund",M$3,$A419))</x:f>
        <x:v>#NAME?</x:v>
      </x:c>
      <x:c r="N419" t="e">
        <x:f>IF($A419="","",[1]!thsiFinD("ths_adjustment_nv_fund",N$3,$A419))</x:f>
        <x:v>#NAME?</x:v>
      </x:c>
      <x:c r="O419" t="e">
        <x:f>IF($A419="","",[1]!thsiFinD("ths_adjustment_nv_fund",O$3,$A419))</x:f>
        <x:v>#NAME?</x:v>
      </x:c>
      <x:c r="P419" t="e">
        <x:f>IF($A419="","",[1]!thsiFinD("ths_adjustment_nv_fund",P$3,$A419))</x:f>
        <x:v>#NAME?</x:v>
      </x:c>
      <x:c r="Q419" t="e">
        <x:f>IF($A419="","",[1]!thsiFinD("ths_adjustment_nv_fund",Q$3,$A419))</x:f>
        <x:v>#NAME?</x:v>
      </x:c>
      <x:c r="R419" t="e">
        <x:f>IF($A419="","",[1]!thsiFinD("ths_adjustment_nv_fund",R$3,$A419))</x:f>
        <x:v>#NAME?</x:v>
      </x:c>
      <x:c r="S419" t="e">
        <x:f>IF($A419="","",[1]!thsiFinD("ths_adjustment_nv_fund",S$3,$A419))</x:f>
        <x:v>#NAME?</x:v>
      </x:c>
      <x:c r="T419" t="e">
        <x:f>IF($A419="","",[1]!thsiFinD("ths_adjustment_nv_fund",T$3,$A419))</x:f>
        <x:v>#NAME?</x:v>
      </x:c>
      <x:c r="U419" t="e">
        <x:f>IF($A419="","",[1]!thsiFinD("ths_adjustment_nv_fund",U$3,$A419))</x:f>
        <x:v>#NAME?</x:v>
      </x:c>
      <x:c r="V419" t="e">
        <x:f>IF($A419="","",[1]!thsiFinD("ths_adjustment_nv_fund",V$3,$A419))</x:f>
        <x:v>#NAME?</x:v>
      </x:c>
      <x:c r="W419" t="e">
        <x:f>IF($A419="","",[1]!thsiFinD("ths_adjustment_nv_fund",W$3,$A419))</x:f>
        <x:v>#NAME?</x:v>
      </x:c>
      <x:c r="X419" t="e">
        <x:f>IF($A419="","",[1]!thsiFinD("ths_adjustment_nv_fund",X$3,$A419))</x:f>
        <x:v>#NAME?</x:v>
      </x:c>
      <x:c r="Y419" t="e">
        <x:f>IF($A419="","",[1]!thsiFinD("ths_adjustment_nv_fund",Y$3,$A419))</x:f>
        <x:v>#NAME?</x:v>
      </x:c>
    </x:row>
    <x:row r="420">
      <x:c r="B420" t="e">
        <x:f>IF($A420="","",[1]!thsiFinD("ths_adjustment_nv_fund",B$3,$A420))</x:f>
        <x:v>#NAME?</x:v>
      </x:c>
      <x:c r="C420" t="e">
        <x:f>IF($A420="","",[1]!thsiFinD("ths_adjustment_nv_fund",C$3,$A420))</x:f>
        <x:v>#NAME?</x:v>
      </x:c>
      <x:c r="D420" t="e">
        <x:f>IF($A420="","",[1]!thsiFinD("ths_adjustment_nv_fund",D$3,$A420))</x:f>
        <x:v>#NAME?</x:v>
      </x:c>
      <x:c r="E420" t="e">
        <x:f>IF($A420="","",[1]!thsiFinD("ths_adjustment_nv_fund",E$3,$A420))</x:f>
        <x:v>#NAME?</x:v>
      </x:c>
      <x:c r="F420" t="e">
        <x:f>IF($A420="","",[1]!thsiFinD("ths_adjustment_nv_fund",F$3,$A420))</x:f>
        <x:v>#NAME?</x:v>
      </x:c>
      <x:c r="G420" t="e">
        <x:f>IF($A420="","",[1]!thsiFinD("ths_adjustment_nv_fund",G$3,$A420))</x:f>
        <x:v>#NAME?</x:v>
      </x:c>
      <x:c r="H420" t="e">
        <x:f>IF($A420="","",[1]!thsiFinD("ths_adjustment_nv_fund",H$3,$A420))</x:f>
        <x:v>#NAME?</x:v>
      </x:c>
      <x:c r="I420" t="e">
        <x:f>IF($A420="","",[1]!thsiFinD("ths_adjustment_nv_fund",I$3,$A420))</x:f>
        <x:v>#NAME?</x:v>
      </x:c>
      <x:c r="J420" t="e">
        <x:f>IF($A420="","",[1]!thsiFinD("ths_adjustment_nv_fund",J$3,$A420))</x:f>
        <x:v>#NAME?</x:v>
      </x:c>
      <x:c r="K420" t="e">
        <x:f>IF($A420="","",[1]!thsiFinD("ths_adjustment_nv_fund",K$3,$A420))</x:f>
        <x:v>#NAME?</x:v>
      </x:c>
      <x:c r="L420" t="e">
        <x:f>IF($A420="","",[1]!thsiFinD("ths_adjustment_nv_fund",L$3,$A420))</x:f>
        <x:v>#NAME?</x:v>
      </x:c>
      <x:c r="M420" t="e">
        <x:f>IF($A420="","",[1]!thsiFinD("ths_adjustment_nv_fund",M$3,$A420))</x:f>
        <x:v>#NAME?</x:v>
      </x:c>
      <x:c r="N420" t="e">
        <x:f>IF($A420="","",[1]!thsiFinD("ths_adjustment_nv_fund",N$3,$A420))</x:f>
        <x:v>#NAME?</x:v>
      </x:c>
      <x:c r="O420" t="e">
        <x:f>IF($A420="","",[1]!thsiFinD("ths_adjustment_nv_fund",O$3,$A420))</x:f>
        <x:v>#NAME?</x:v>
      </x:c>
      <x:c r="P420" t="e">
        <x:f>IF($A420="","",[1]!thsiFinD("ths_adjustment_nv_fund",P$3,$A420))</x:f>
        <x:v>#NAME?</x:v>
      </x:c>
      <x:c r="Q420" t="e">
        <x:f>IF($A420="","",[1]!thsiFinD("ths_adjustment_nv_fund",Q$3,$A420))</x:f>
        <x:v>#NAME?</x:v>
      </x:c>
      <x:c r="R420" t="e">
        <x:f>IF($A420="","",[1]!thsiFinD("ths_adjustment_nv_fund",R$3,$A420))</x:f>
        <x:v>#NAME?</x:v>
      </x:c>
      <x:c r="S420" t="e">
        <x:f>IF($A420="","",[1]!thsiFinD("ths_adjustment_nv_fund",S$3,$A420))</x:f>
        <x:v>#NAME?</x:v>
      </x:c>
      <x:c r="T420" t="e">
        <x:f>IF($A420="","",[1]!thsiFinD("ths_adjustment_nv_fund",T$3,$A420))</x:f>
        <x:v>#NAME?</x:v>
      </x:c>
      <x:c r="U420" t="e">
        <x:f>IF($A420="","",[1]!thsiFinD("ths_adjustment_nv_fund",U$3,$A420))</x:f>
        <x:v>#NAME?</x:v>
      </x:c>
      <x:c r="V420" t="e">
        <x:f>IF($A420="","",[1]!thsiFinD("ths_adjustment_nv_fund",V$3,$A420))</x:f>
        <x:v>#NAME?</x:v>
      </x:c>
      <x:c r="W420" t="e">
        <x:f>IF($A420="","",[1]!thsiFinD("ths_adjustment_nv_fund",W$3,$A420))</x:f>
        <x:v>#NAME?</x:v>
      </x:c>
      <x:c r="X420" t="e">
        <x:f>IF($A420="","",[1]!thsiFinD("ths_adjustment_nv_fund",X$3,$A420))</x:f>
        <x:v>#NAME?</x:v>
      </x:c>
      <x:c r="Y420" t="e">
        <x:f>IF($A420="","",[1]!thsiFinD("ths_adjustment_nv_fund",Y$3,$A420))</x:f>
        <x:v>#NAME?</x:v>
      </x:c>
    </x:row>
    <x:row r="421">
      <x:c r="B421" t="e">
        <x:f>IF($A421="","",[1]!thsiFinD("ths_adjustment_nv_fund",B$3,$A421))</x:f>
        <x:v>#NAME?</x:v>
      </x:c>
      <x:c r="C421" t="e">
        <x:f>IF($A421="","",[1]!thsiFinD("ths_adjustment_nv_fund",C$3,$A421))</x:f>
        <x:v>#NAME?</x:v>
      </x:c>
      <x:c r="D421" t="e">
        <x:f>IF($A421="","",[1]!thsiFinD("ths_adjustment_nv_fund",D$3,$A421))</x:f>
        <x:v>#NAME?</x:v>
      </x:c>
      <x:c r="E421" t="e">
        <x:f>IF($A421="","",[1]!thsiFinD("ths_adjustment_nv_fund",E$3,$A421))</x:f>
        <x:v>#NAME?</x:v>
      </x:c>
      <x:c r="F421" t="e">
        <x:f>IF($A421="","",[1]!thsiFinD("ths_adjustment_nv_fund",F$3,$A421))</x:f>
        <x:v>#NAME?</x:v>
      </x:c>
      <x:c r="G421" t="e">
        <x:f>IF($A421="","",[1]!thsiFinD("ths_adjustment_nv_fund",G$3,$A421))</x:f>
        <x:v>#NAME?</x:v>
      </x:c>
      <x:c r="H421" t="e">
        <x:f>IF($A421="","",[1]!thsiFinD("ths_adjustment_nv_fund",H$3,$A421))</x:f>
        <x:v>#NAME?</x:v>
      </x:c>
      <x:c r="I421" t="e">
        <x:f>IF($A421="","",[1]!thsiFinD("ths_adjustment_nv_fund",I$3,$A421))</x:f>
        <x:v>#NAME?</x:v>
      </x:c>
      <x:c r="J421" t="e">
        <x:f>IF($A421="","",[1]!thsiFinD("ths_adjustment_nv_fund",J$3,$A421))</x:f>
        <x:v>#NAME?</x:v>
      </x:c>
      <x:c r="K421" t="e">
        <x:f>IF($A421="","",[1]!thsiFinD("ths_adjustment_nv_fund",K$3,$A421))</x:f>
        <x:v>#NAME?</x:v>
      </x:c>
      <x:c r="L421" t="e">
        <x:f>IF($A421="","",[1]!thsiFinD("ths_adjustment_nv_fund",L$3,$A421))</x:f>
        <x:v>#NAME?</x:v>
      </x:c>
      <x:c r="M421" t="e">
        <x:f>IF($A421="","",[1]!thsiFinD("ths_adjustment_nv_fund",M$3,$A421))</x:f>
        <x:v>#NAME?</x:v>
      </x:c>
      <x:c r="N421" t="e">
        <x:f>IF($A421="","",[1]!thsiFinD("ths_adjustment_nv_fund",N$3,$A421))</x:f>
        <x:v>#NAME?</x:v>
      </x:c>
      <x:c r="O421" t="e">
        <x:f>IF($A421="","",[1]!thsiFinD("ths_adjustment_nv_fund",O$3,$A421))</x:f>
        <x:v>#NAME?</x:v>
      </x:c>
      <x:c r="P421" t="e">
        <x:f>IF($A421="","",[1]!thsiFinD("ths_adjustment_nv_fund",P$3,$A421))</x:f>
        <x:v>#NAME?</x:v>
      </x:c>
      <x:c r="Q421" t="e">
        <x:f>IF($A421="","",[1]!thsiFinD("ths_adjustment_nv_fund",Q$3,$A421))</x:f>
        <x:v>#NAME?</x:v>
      </x:c>
      <x:c r="R421" t="e">
        <x:f>IF($A421="","",[1]!thsiFinD("ths_adjustment_nv_fund",R$3,$A421))</x:f>
        <x:v>#NAME?</x:v>
      </x:c>
      <x:c r="S421" t="e">
        <x:f>IF($A421="","",[1]!thsiFinD("ths_adjustment_nv_fund",S$3,$A421))</x:f>
        <x:v>#NAME?</x:v>
      </x:c>
      <x:c r="T421" t="e">
        <x:f>IF($A421="","",[1]!thsiFinD("ths_adjustment_nv_fund",T$3,$A421))</x:f>
        <x:v>#NAME?</x:v>
      </x:c>
      <x:c r="U421" t="e">
        <x:f>IF($A421="","",[1]!thsiFinD("ths_adjustment_nv_fund",U$3,$A421))</x:f>
        <x:v>#NAME?</x:v>
      </x:c>
      <x:c r="V421" t="e">
        <x:f>IF($A421="","",[1]!thsiFinD("ths_adjustment_nv_fund",V$3,$A421))</x:f>
        <x:v>#NAME?</x:v>
      </x:c>
      <x:c r="W421" t="e">
        <x:f>IF($A421="","",[1]!thsiFinD("ths_adjustment_nv_fund",W$3,$A421))</x:f>
        <x:v>#NAME?</x:v>
      </x:c>
      <x:c r="X421" t="e">
        <x:f>IF($A421="","",[1]!thsiFinD("ths_adjustment_nv_fund",X$3,$A421))</x:f>
        <x:v>#NAME?</x:v>
      </x:c>
      <x:c r="Y421" t="e">
        <x:f>IF($A421="","",[1]!thsiFinD("ths_adjustment_nv_fund",Y$3,$A421))</x:f>
        <x:v>#NAME?</x:v>
      </x:c>
    </x:row>
    <x:row r="422">
      <x:c r="B422" t="e">
        <x:f>IF($A422="","",[1]!thsiFinD("ths_adjustment_nv_fund",B$3,$A422))</x:f>
        <x:v>#NAME?</x:v>
      </x:c>
      <x:c r="C422" t="e">
        <x:f>IF($A422="","",[1]!thsiFinD("ths_adjustment_nv_fund",C$3,$A422))</x:f>
        <x:v>#NAME?</x:v>
      </x:c>
      <x:c r="D422" t="e">
        <x:f>IF($A422="","",[1]!thsiFinD("ths_adjustment_nv_fund",D$3,$A422))</x:f>
        <x:v>#NAME?</x:v>
      </x:c>
      <x:c r="E422" t="e">
        <x:f>IF($A422="","",[1]!thsiFinD("ths_adjustment_nv_fund",E$3,$A422))</x:f>
        <x:v>#NAME?</x:v>
      </x:c>
      <x:c r="F422" t="e">
        <x:f>IF($A422="","",[1]!thsiFinD("ths_adjustment_nv_fund",F$3,$A422))</x:f>
        <x:v>#NAME?</x:v>
      </x:c>
      <x:c r="G422" t="e">
        <x:f>IF($A422="","",[1]!thsiFinD("ths_adjustment_nv_fund",G$3,$A422))</x:f>
        <x:v>#NAME?</x:v>
      </x:c>
      <x:c r="H422" t="e">
        <x:f>IF($A422="","",[1]!thsiFinD("ths_adjustment_nv_fund",H$3,$A422))</x:f>
        <x:v>#NAME?</x:v>
      </x:c>
      <x:c r="I422" t="e">
        <x:f>IF($A422="","",[1]!thsiFinD("ths_adjustment_nv_fund",I$3,$A422))</x:f>
        <x:v>#NAME?</x:v>
      </x:c>
      <x:c r="J422" t="e">
        <x:f>IF($A422="","",[1]!thsiFinD("ths_adjustment_nv_fund",J$3,$A422))</x:f>
        <x:v>#NAME?</x:v>
      </x:c>
      <x:c r="K422" t="e">
        <x:f>IF($A422="","",[1]!thsiFinD("ths_adjustment_nv_fund",K$3,$A422))</x:f>
        <x:v>#NAME?</x:v>
      </x:c>
      <x:c r="L422" t="e">
        <x:f>IF($A422="","",[1]!thsiFinD("ths_adjustment_nv_fund",L$3,$A422))</x:f>
        <x:v>#NAME?</x:v>
      </x:c>
      <x:c r="M422" t="e">
        <x:f>IF($A422="","",[1]!thsiFinD("ths_adjustment_nv_fund",M$3,$A422))</x:f>
        <x:v>#NAME?</x:v>
      </x:c>
      <x:c r="N422" t="e">
        <x:f>IF($A422="","",[1]!thsiFinD("ths_adjustment_nv_fund",N$3,$A422))</x:f>
        <x:v>#NAME?</x:v>
      </x:c>
      <x:c r="O422" t="e">
        <x:f>IF($A422="","",[1]!thsiFinD("ths_adjustment_nv_fund",O$3,$A422))</x:f>
        <x:v>#NAME?</x:v>
      </x:c>
      <x:c r="P422" t="e">
        <x:f>IF($A422="","",[1]!thsiFinD("ths_adjustment_nv_fund",P$3,$A422))</x:f>
        <x:v>#NAME?</x:v>
      </x:c>
      <x:c r="Q422" t="e">
        <x:f>IF($A422="","",[1]!thsiFinD("ths_adjustment_nv_fund",Q$3,$A422))</x:f>
        <x:v>#NAME?</x:v>
      </x:c>
      <x:c r="R422" t="e">
        <x:f>IF($A422="","",[1]!thsiFinD("ths_adjustment_nv_fund",R$3,$A422))</x:f>
        <x:v>#NAME?</x:v>
      </x:c>
      <x:c r="S422" t="e">
        <x:f>IF($A422="","",[1]!thsiFinD("ths_adjustment_nv_fund",S$3,$A422))</x:f>
        <x:v>#NAME?</x:v>
      </x:c>
      <x:c r="T422" t="e">
        <x:f>IF($A422="","",[1]!thsiFinD("ths_adjustment_nv_fund",T$3,$A422))</x:f>
        <x:v>#NAME?</x:v>
      </x:c>
      <x:c r="U422" t="e">
        <x:f>IF($A422="","",[1]!thsiFinD("ths_adjustment_nv_fund",U$3,$A422))</x:f>
        <x:v>#NAME?</x:v>
      </x:c>
      <x:c r="V422" t="e">
        <x:f>IF($A422="","",[1]!thsiFinD("ths_adjustment_nv_fund",V$3,$A422))</x:f>
        <x:v>#NAME?</x:v>
      </x:c>
      <x:c r="W422" t="e">
        <x:f>IF($A422="","",[1]!thsiFinD("ths_adjustment_nv_fund",W$3,$A422))</x:f>
        <x:v>#NAME?</x:v>
      </x:c>
      <x:c r="X422" t="e">
        <x:f>IF($A422="","",[1]!thsiFinD("ths_adjustment_nv_fund",X$3,$A422))</x:f>
        <x:v>#NAME?</x:v>
      </x:c>
      <x:c r="Y422" t="e">
        <x:f>IF($A422="","",[1]!thsiFinD("ths_adjustment_nv_fund",Y$3,$A422))</x:f>
        <x:v>#NAME?</x:v>
      </x:c>
    </x:row>
    <x:row r="423">
      <x:c r="B423" t="e">
        <x:f>IF($A423="","",[1]!thsiFinD("ths_adjustment_nv_fund",B$3,$A423))</x:f>
        <x:v>#NAME?</x:v>
      </x:c>
      <x:c r="C423" t="e">
        <x:f>IF($A423="","",[1]!thsiFinD("ths_adjustment_nv_fund",C$3,$A423))</x:f>
        <x:v>#NAME?</x:v>
      </x:c>
      <x:c r="D423" t="e">
        <x:f>IF($A423="","",[1]!thsiFinD("ths_adjustment_nv_fund",D$3,$A423))</x:f>
        <x:v>#NAME?</x:v>
      </x:c>
      <x:c r="E423" t="e">
        <x:f>IF($A423="","",[1]!thsiFinD("ths_adjustment_nv_fund",E$3,$A423))</x:f>
        <x:v>#NAME?</x:v>
      </x:c>
      <x:c r="F423" t="e">
        <x:f>IF($A423="","",[1]!thsiFinD("ths_adjustment_nv_fund",F$3,$A423))</x:f>
        <x:v>#NAME?</x:v>
      </x:c>
      <x:c r="G423" t="e">
        <x:f>IF($A423="","",[1]!thsiFinD("ths_adjustment_nv_fund",G$3,$A423))</x:f>
        <x:v>#NAME?</x:v>
      </x:c>
      <x:c r="H423" t="e">
        <x:f>IF($A423="","",[1]!thsiFinD("ths_adjustment_nv_fund",H$3,$A423))</x:f>
        <x:v>#NAME?</x:v>
      </x:c>
      <x:c r="I423" t="e">
        <x:f>IF($A423="","",[1]!thsiFinD("ths_adjustment_nv_fund",I$3,$A423))</x:f>
        <x:v>#NAME?</x:v>
      </x:c>
      <x:c r="J423" t="e">
        <x:f>IF($A423="","",[1]!thsiFinD("ths_adjustment_nv_fund",J$3,$A423))</x:f>
        <x:v>#NAME?</x:v>
      </x:c>
      <x:c r="K423" t="e">
        <x:f>IF($A423="","",[1]!thsiFinD("ths_adjustment_nv_fund",K$3,$A423))</x:f>
        <x:v>#NAME?</x:v>
      </x:c>
      <x:c r="L423" t="e">
        <x:f>IF($A423="","",[1]!thsiFinD("ths_adjustment_nv_fund",L$3,$A423))</x:f>
        <x:v>#NAME?</x:v>
      </x:c>
      <x:c r="M423" t="e">
        <x:f>IF($A423="","",[1]!thsiFinD("ths_adjustment_nv_fund",M$3,$A423))</x:f>
        <x:v>#NAME?</x:v>
      </x:c>
      <x:c r="N423" t="e">
        <x:f>IF($A423="","",[1]!thsiFinD("ths_adjustment_nv_fund",N$3,$A423))</x:f>
        <x:v>#NAME?</x:v>
      </x:c>
      <x:c r="O423" t="e">
        <x:f>IF($A423="","",[1]!thsiFinD("ths_adjustment_nv_fund",O$3,$A423))</x:f>
        <x:v>#NAME?</x:v>
      </x:c>
      <x:c r="P423" t="e">
        <x:f>IF($A423="","",[1]!thsiFinD("ths_adjustment_nv_fund",P$3,$A423))</x:f>
        <x:v>#NAME?</x:v>
      </x:c>
      <x:c r="Q423" t="e">
        <x:f>IF($A423="","",[1]!thsiFinD("ths_adjustment_nv_fund",Q$3,$A423))</x:f>
        <x:v>#NAME?</x:v>
      </x:c>
      <x:c r="R423" t="e">
        <x:f>IF($A423="","",[1]!thsiFinD("ths_adjustment_nv_fund",R$3,$A423))</x:f>
        <x:v>#NAME?</x:v>
      </x:c>
      <x:c r="S423" t="e">
        <x:f>IF($A423="","",[1]!thsiFinD("ths_adjustment_nv_fund",S$3,$A423))</x:f>
        <x:v>#NAME?</x:v>
      </x:c>
      <x:c r="T423" t="e">
        <x:f>IF($A423="","",[1]!thsiFinD("ths_adjustment_nv_fund",T$3,$A423))</x:f>
        <x:v>#NAME?</x:v>
      </x:c>
      <x:c r="U423" t="e">
        <x:f>IF($A423="","",[1]!thsiFinD("ths_adjustment_nv_fund",U$3,$A423))</x:f>
        <x:v>#NAME?</x:v>
      </x:c>
      <x:c r="V423" t="e">
        <x:f>IF($A423="","",[1]!thsiFinD("ths_adjustment_nv_fund",V$3,$A423))</x:f>
        <x:v>#NAME?</x:v>
      </x:c>
      <x:c r="W423" t="e">
        <x:f>IF($A423="","",[1]!thsiFinD("ths_adjustment_nv_fund",W$3,$A423))</x:f>
        <x:v>#NAME?</x:v>
      </x:c>
      <x:c r="X423" t="e">
        <x:f>IF($A423="","",[1]!thsiFinD("ths_adjustment_nv_fund",X$3,$A423))</x:f>
        <x:v>#NAME?</x:v>
      </x:c>
      <x:c r="Y423" t="e">
        <x:f>IF($A423="","",[1]!thsiFinD("ths_adjustment_nv_fund",Y$3,$A423))</x:f>
        <x:v>#NAME?</x:v>
      </x:c>
    </x:row>
    <x:row r="424">
      <x:c r="B424" t="e">
        <x:f>IF($A424="","",[1]!thsiFinD("ths_adjustment_nv_fund",B$3,$A424))</x:f>
        <x:v>#NAME?</x:v>
      </x:c>
      <x:c r="C424" t="e">
        <x:f>IF($A424="","",[1]!thsiFinD("ths_adjustment_nv_fund",C$3,$A424))</x:f>
        <x:v>#NAME?</x:v>
      </x:c>
      <x:c r="D424" t="e">
        <x:f>IF($A424="","",[1]!thsiFinD("ths_adjustment_nv_fund",D$3,$A424))</x:f>
        <x:v>#NAME?</x:v>
      </x:c>
      <x:c r="E424" t="e">
        <x:f>IF($A424="","",[1]!thsiFinD("ths_adjustment_nv_fund",E$3,$A424))</x:f>
        <x:v>#NAME?</x:v>
      </x:c>
      <x:c r="F424" t="e">
        <x:f>IF($A424="","",[1]!thsiFinD("ths_adjustment_nv_fund",F$3,$A424))</x:f>
        <x:v>#NAME?</x:v>
      </x:c>
      <x:c r="G424" t="e">
        <x:f>IF($A424="","",[1]!thsiFinD("ths_adjustment_nv_fund",G$3,$A424))</x:f>
        <x:v>#NAME?</x:v>
      </x:c>
      <x:c r="H424" t="e">
        <x:f>IF($A424="","",[1]!thsiFinD("ths_adjustment_nv_fund",H$3,$A424))</x:f>
        <x:v>#NAME?</x:v>
      </x:c>
      <x:c r="I424" t="e">
        <x:f>IF($A424="","",[1]!thsiFinD("ths_adjustment_nv_fund",I$3,$A424))</x:f>
        <x:v>#NAME?</x:v>
      </x:c>
      <x:c r="J424" t="e">
        <x:f>IF($A424="","",[1]!thsiFinD("ths_adjustment_nv_fund",J$3,$A424))</x:f>
        <x:v>#NAME?</x:v>
      </x:c>
      <x:c r="K424" t="e">
        <x:f>IF($A424="","",[1]!thsiFinD("ths_adjustment_nv_fund",K$3,$A424))</x:f>
        <x:v>#NAME?</x:v>
      </x:c>
      <x:c r="L424" t="e">
        <x:f>IF($A424="","",[1]!thsiFinD("ths_adjustment_nv_fund",L$3,$A424))</x:f>
        <x:v>#NAME?</x:v>
      </x:c>
      <x:c r="M424" t="e">
        <x:f>IF($A424="","",[1]!thsiFinD("ths_adjustment_nv_fund",M$3,$A424))</x:f>
        <x:v>#NAME?</x:v>
      </x:c>
      <x:c r="N424" t="e">
        <x:f>IF($A424="","",[1]!thsiFinD("ths_adjustment_nv_fund",N$3,$A424))</x:f>
        <x:v>#NAME?</x:v>
      </x:c>
      <x:c r="O424" t="e">
        <x:f>IF($A424="","",[1]!thsiFinD("ths_adjustment_nv_fund",O$3,$A424))</x:f>
        <x:v>#NAME?</x:v>
      </x:c>
      <x:c r="P424" t="e">
        <x:f>IF($A424="","",[1]!thsiFinD("ths_adjustment_nv_fund",P$3,$A424))</x:f>
        <x:v>#NAME?</x:v>
      </x:c>
      <x:c r="Q424" t="e">
        <x:f>IF($A424="","",[1]!thsiFinD("ths_adjustment_nv_fund",Q$3,$A424))</x:f>
        <x:v>#NAME?</x:v>
      </x:c>
      <x:c r="R424" t="e">
        <x:f>IF($A424="","",[1]!thsiFinD("ths_adjustment_nv_fund",R$3,$A424))</x:f>
        <x:v>#NAME?</x:v>
      </x:c>
      <x:c r="S424" t="e">
        <x:f>IF($A424="","",[1]!thsiFinD("ths_adjustment_nv_fund",S$3,$A424))</x:f>
        <x:v>#NAME?</x:v>
      </x:c>
      <x:c r="T424" t="e">
        <x:f>IF($A424="","",[1]!thsiFinD("ths_adjustment_nv_fund",T$3,$A424))</x:f>
        <x:v>#NAME?</x:v>
      </x:c>
      <x:c r="U424" t="e">
        <x:f>IF($A424="","",[1]!thsiFinD("ths_adjustment_nv_fund",U$3,$A424))</x:f>
        <x:v>#NAME?</x:v>
      </x:c>
      <x:c r="V424" t="e">
        <x:f>IF($A424="","",[1]!thsiFinD("ths_adjustment_nv_fund",V$3,$A424))</x:f>
        <x:v>#NAME?</x:v>
      </x:c>
      <x:c r="W424" t="e">
        <x:f>IF($A424="","",[1]!thsiFinD("ths_adjustment_nv_fund",W$3,$A424))</x:f>
        <x:v>#NAME?</x:v>
      </x:c>
      <x:c r="X424" t="e">
        <x:f>IF($A424="","",[1]!thsiFinD("ths_adjustment_nv_fund",X$3,$A424))</x:f>
        <x:v>#NAME?</x:v>
      </x:c>
      <x:c r="Y424" t="e">
        <x:f>IF($A424="","",[1]!thsiFinD("ths_adjustment_nv_fund",Y$3,$A424))</x:f>
        <x:v>#NAME?</x:v>
      </x:c>
    </x:row>
    <x:row r="425">
      <x:c r="B425" t="e">
        <x:f>IF($A425="","",[1]!thsiFinD("ths_adjustment_nv_fund",B$3,$A425))</x:f>
        <x:v>#NAME?</x:v>
      </x:c>
      <x:c r="C425" t="e">
        <x:f>IF($A425="","",[1]!thsiFinD("ths_adjustment_nv_fund",C$3,$A425))</x:f>
        <x:v>#NAME?</x:v>
      </x:c>
      <x:c r="D425" t="e">
        <x:f>IF($A425="","",[1]!thsiFinD("ths_adjustment_nv_fund",D$3,$A425))</x:f>
        <x:v>#NAME?</x:v>
      </x:c>
      <x:c r="E425" t="e">
        <x:f>IF($A425="","",[1]!thsiFinD("ths_adjustment_nv_fund",E$3,$A425))</x:f>
        <x:v>#NAME?</x:v>
      </x:c>
      <x:c r="F425" t="e">
        <x:f>IF($A425="","",[1]!thsiFinD("ths_adjustment_nv_fund",F$3,$A425))</x:f>
        <x:v>#NAME?</x:v>
      </x:c>
      <x:c r="G425" t="e">
        <x:f>IF($A425="","",[1]!thsiFinD("ths_adjustment_nv_fund",G$3,$A425))</x:f>
        <x:v>#NAME?</x:v>
      </x:c>
      <x:c r="H425" t="e">
        <x:f>IF($A425="","",[1]!thsiFinD("ths_adjustment_nv_fund",H$3,$A425))</x:f>
        <x:v>#NAME?</x:v>
      </x:c>
      <x:c r="I425" t="e">
        <x:f>IF($A425="","",[1]!thsiFinD("ths_adjustment_nv_fund",I$3,$A425))</x:f>
        <x:v>#NAME?</x:v>
      </x:c>
      <x:c r="J425" t="e">
        <x:f>IF($A425="","",[1]!thsiFinD("ths_adjustment_nv_fund",J$3,$A425))</x:f>
        <x:v>#NAME?</x:v>
      </x:c>
      <x:c r="K425" t="e">
        <x:f>IF($A425="","",[1]!thsiFinD("ths_adjustment_nv_fund",K$3,$A425))</x:f>
        <x:v>#NAME?</x:v>
      </x:c>
      <x:c r="L425" t="e">
        <x:f>IF($A425="","",[1]!thsiFinD("ths_adjustment_nv_fund",L$3,$A425))</x:f>
        <x:v>#NAME?</x:v>
      </x:c>
      <x:c r="M425" t="e">
        <x:f>IF($A425="","",[1]!thsiFinD("ths_adjustment_nv_fund",M$3,$A425))</x:f>
        <x:v>#NAME?</x:v>
      </x:c>
      <x:c r="N425" t="e">
        <x:f>IF($A425="","",[1]!thsiFinD("ths_adjustment_nv_fund",N$3,$A425))</x:f>
        <x:v>#NAME?</x:v>
      </x:c>
      <x:c r="O425" t="e">
        <x:f>IF($A425="","",[1]!thsiFinD("ths_adjustment_nv_fund",O$3,$A425))</x:f>
        <x:v>#NAME?</x:v>
      </x:c>
      <x:c r="P425" t="e">
        <x:f>IF($A425="","",[1]!thsiFinD("ths_adjustment_nv_fund",P$3,$A425))</x:f>
        <x:v>#NAME?</x:v>
      </x:c>
      <x:c r="Q425" t="e">
        <x:f>IF($A425="","",[1]!thsiFinD("ths_adjustment_nv_fund",Q$3,$A425))</x:f>
        <x:v>#NAME?</x:v>
      </x:c>
      <x:c r="R425" t="e">
        <x:f>IF($A425="","",[1]!thsiFinD("ths_adjustment_nv_fund",R$3,$A425))</x:f>
        <x:v>#NAME?</x:v>
      </x:c>
      <x:c r="S425" t="e">
        <x:f>IF($A425="","",[1]!thsiFinD("ths_adjustment_nv_fund",S$3,$A425))</x:f>
        <x:v>#NAME?</x:v>
      </x:c>
      <x:c r="T425" t="e">
        <x:f>IF($A425="","",[1]!thsiFinD("ths_adjustment_nv_fund",T$3,$A425))</x:f>
        <x:v>#NAME?</x:v>
      </x:c>
      <x:c r="U425" t="e">
        <x:f>IF($A425="","",[1]!thsiFinD("ths_adjustment_nv_fund",U$3,$A425))</x:f>
        <x:v>#NAME?</x:v>
      </x:c>
      <x:c r="V425" t="e">
        <x:f>IF($A425="","",[1]!thsiFinD("ths_adjustment_nv_fund",V$3,$A425))</x:f>
        <x:v>#NAME?</x:v>
      </x:c>
      <x:c r="W425" t="e">
        <x:f>IF($A425="","",[1]!thsiFinD("ths_adjustment_nv_fund",W$3,$A425))</x:f>
        <x:v>#NAME?</x:v>
      </x:c>
      <x:c r="X425" t="e">
        <x:f>IF($A425="","",[1]!thsiFinD("ths_adjustment_nv_fund",X$3,$A425))</x:f>
        <x:v>#NAME?</x:v>
      </x:c>
      <x:c r="Y425" t="e">
        <x:f>IF($A425="","",[1]!thsiFinD("ths_adjustment_nv_fund",Y$3,$A425))</x:f>
        <x:v>#NAME?</x:v>
      </x:c>
    </x:row>
    <x:row r="426">
      <x:c r="B426" t="e">
        <x:f>IF($A426="","",[1]!thsiFinD("ths_adjustment_nv_fund",B$3,$A426))</x:f>
        <x:v>#NAME?</x:v>
      </x:c>
      <x:c r="C426" t="e">
        <x:f>IF($A426="","",[1]!thsiFinD("ths_adjustment_nv_fund",C$3,$A426))</x:f>
        <x:v>#NAME?</x:v>
      </x:c>
      <x:c r="D426" t="e">
        <x:f>IF($A426="","",[1]!thsiFinD("ths_adjustment_nv_fund",D$3,$A426))</x:f>
        <x:v>#NAME?</x:v>
      </x:c>
      <x:c r="E426" t="e">
        <x:f>IF($A426="","",[1]!thsiFinD("ths_adjustment_nv_fund",E$3,$A426))</x:f>
        <x:v>#NAME?</x:v>
      </x:c>
      <x:c r="F426" t="e">
        <x:f>IF($A426="","",[1]!thsiFinD("ths_adjustment_nv_fund",F$3,$A426))</x:f>
        <x:v>#NAME?</x:v>
      </x:c>
      <x:c r="G426" t="e">
        <x:f>IF($A426="","",[1]!thsiFinD("ths_adjustment_nv_fund",G$3,$A426))</x:f>
        <x:v>#NAME?</x:v>
      </x:c>
      <x:c r="H426" t="e">
        <x:f>IF($A426="","",[1]!thsiFinD("ths_adjustment_nv_fund",H$3,$A426))</x:f>
        <x:v>#NAME?</x:v>
      </x:c>
      <x:c r="I426" t="e">
        <x:f>IF($A426="","",[1]!thsiFinD("ths_adjustment_nv_fund",I$3,$A426))</x:f>
        <x:v>#NAME?</x:v>
      </x:c>
      <x:c r="J426" t="e">
        <x:f>IF($A426="","",[1]!thsiFinD("ths_adjustment_nv_fund",J$3,$A426))</x:f>
        <x:v>#NAME?</x:v>
      </x:c>
      <x:c r="K426" t="e">
        <x:f>IF($A426="","",[1]!thsiFinD("ths_adjustment_nv_fund",K$3,$A426))</x:f>
        <x:v>#NAME?</x:v>
      </x:c>
      <x:c r="L426" t="e">
        <x:f>IF($A426="","",[1]!thsiFinD("ths_adjustment_nv_fund",L$3,$A426))</x:f>
        <x:v>#NAME?</x:v>
      </x:c>
      <x:c r="M426" t="e">
        <x:f>IF($A426="","",[1]!thsiFinD("ths_adjustment_nv_fund",M$3,$A426))</x:f>
        <x:v>#NAME?</x:v>
      </x:c>
      <x:c r="N426" t="e">
        <x:f>IF($A426="","",[1]!thsiFinD("ths_adjustment_nv_fund",N$3,$A426))</x:f>
        <x:v>#NAME?</x:v>
      </x:c>
      <x:c r="O426" t="e">
        <x:f>IF($A426="","",[1]!thsiFinD("ths_adjustment_nv_fund",O$3,$A426))</x:f>
        <x:v>#NAME?</x:v>
      </x:c>
      <x:c r="P426" t="e">
        <x:f>IF($A426="","",[1]!thsiFinD("ths_adjustment_nv_fund",P$3,$A426))</x:f>
        <x:v>#NAME?</x:v>
      </x:c>
      <x:c r="Q426" t="e">
        <x:f>IF($A426="","",[1]!thsiFinD("ths_adjustment_nv_fund",Q$3,$A426))</x:f>
        <x:v>#NAME?</x:v>
      </x:c>
      <x:c r="R426" t="e">
        <x:f>IF($A426="","",[1]!thsiFinD("ths_adjustment_nv_fund",R$3,$A426))</x:f>
        <x:v>#NAME?</x:v>
      </x:c>
      <x:c r="S426" t="e">
        <x:f>IF($A426="","",[1]!thsiFinD("ths_adjustment_nv_fund",S$3,$A426))</x:f>
        <x:v>#NAME?</x:v>
      </x:c>
      <x:c r="T426" t="e">
        <x:f>IF($A426="","",[1]!thsiFinD("ths_adjustment_nv_fund",T$3,$A426))</x:f>
        <x:v>#NAME?</x:v>
      </x:c>
      <x:c r="U426" t="e">
        <x:f>IF($A426="","",[1]!thsiFinD("ths_adjustment_nv_fund",U$3,$A426))</x:f>
        <x:v>#NAME?</x:v>
      </x:c>
      <x:c r="V426" t="e">
        <x:f>IF($A426="","",[1]!thsiFinD("ths_adjustment_nv_fund",V$3,$A426))</x:f>
        <x:v>#NAME?</x:v>
      </x:c>
      <x:c r="W426" t="e">
        <x:f>IF($A426="","",[1]!thsiFinD("ths_adjustment_nv_fund",W$3,$A426))</x:f>
        <x:v>#NAME?</x:v>
      </x:c>
      <x:c r="X426" t="e">
        <x:f>IF($A426="","",[1]!thsiFinD("ths_adjustment_nv_fund",X$3,$A426))</x:f>
        <x:v>#NAME?</x:v>
      </x:c>
      <x:c r="Y426" t="e">
        <x:f>IF($A426="","",[1]!thsiFinD("ths_adjustment_nv_fund",Y$3,$A426))</x:f>
        <x:v>#NAME?</x:v>
      </x:c>
    </x:row>
    <x:row r="427">
      <x:c r="B427" t="e">
        <x:f>IF($A427="","",[1]!thsiFinD("ths_adjustment_nv_fund",B$3,$A427))</x:f>
        <x:v>#NAME?</x:v>
      </x:c>
      <x:c r="C427" t="e">
        <x:f>IF($A427="","",[1]!thsiFinD("ths_adjustment_nv_fund",C$3,$A427))</x:f>
        <x:v>#NAME?</x:v>
      </x:c>
      <x:c r="D427" t="e">
        <x:f>IF($A427="","",[1]!thsiFinD("ths_adjustment_nv_fund",D$3,$A427))</x:f>
        <x:v>#NAME?</x:v>
      </x:c>
      <x:c r="E427" t="e">
        <x:f>IF($A427="","",[1]!thsiFinD("ths_adjustment_nv_fund",E$3,$A427))</x:f>
        <x:v>#NAME?</x:v>
      </x:c>
      <x:c r="F427" t="e">
        <x:f>IF($A427="","",[1]!thsiFinD("ths_adjustment_nv_fund",F$3,$A427))</x:f>
        <x:v>#NAME?</x:v>
      </x:c>
      <x:c r="G427" t="e">
        <x:f>IF($A427="","",[1]!thsiFinD("ths_adjustment_nv_fund",G$3,$A427))</x:f>
        <x:v>#NAME?</x:v>
      </x:c>
      <x:c r="H427" t="e">
        <x:f>IF($A427="","",[1]!thsiFinD("ths_adjustment_nv_fund",H$3,$A427))</x:f>
        <x:v>#NAME?</x:v>
      </x:c>
      <x:c r="I427" t="e">
        <x:f>IF($A427="","",[1]!thsiFinD("ths_adjustment_nv_fund",I$3,$A427))</x:f>
        <x:v>#NAME?</x:v>
      </x:c>
      <x:c r="J427" t="e">
        <x:f>IF($A427="","",[1]!thsiFinD("ths_adjustment_nv_fund",J$3,$A427))</x:f>
        <x:v>#NAME?</x:v>
      </x:c>
      <x:c r="K427" t="e">
        <x:f>IF($A427="","",[1]!thsiFinD("ths_adjustment_nv_fund",K$3,$A427))</x:f>
        <x:v>#NAME?</x:v>
      </x:c>
      <x:c r="L427" t="e">
        <x:f>IF($A427="","",[1]!thsiFinD("ths_adjustment_nv_fund",L$3,$A427))</x:f>
        <x:v>#NAME?</x:v>
      </x:c>
      <x:c r="M427" t="e">
        <x:f>IF($A427="","",[1]!thsiFinD("ths_adjustment_nv_fund",M$3,$A427))</x:f>
        <x:v>#NAME?</x:v>
      </x:c>
      <x:c r="N427" t="e">
        <x:f>IF($A427="","",[1]!thsiFinD("ths_adjustment_nv_fund",N$3,$A427))</x:f>
        <x:v>#NAME?</x:v>
      </x:c>
      <x:c r="O427" t="e">
        <x:f>IF($A427="","",[1]!thsiFinD("ths_adjustment_nv_fund",O$3,$A427))</x:f>
        <x:v>#NAME?</x:v>
      </x:c>
      <x:c r="P427" t="e">
        <x:f>IF($A427="","",[1]!thsiFinD("ths_adjustment_nv_fund",P$3,$A427))</x:f>
        <x:v>#NAME?</x:v>
      </x:c>
      <x:c r="Q427" t="e">
        <x:f>IF($A427="","",[1]!thsiFinD("ths_adjustment_nv_fund",Q$3,$A427))</x:f>
        <x:v>#NAME?</x:v>
      </x:c>
      <x:c r="R427" t="e">
        <x:f>IF($A427="","",[1]!thsiFinD("ths_adjustment_nv_fund",R$3,$A427))</x:f>
        <x:v>#NAME?</x:v>
      </x:c>
      <x:c r="S427" t="e">
        <x:f>IF($A427="","",[1]!thsiFinD("ths_adjustment_nv_fund",S$3,$A427))</x:f>
        <x:v>#NAME?</x:v>
      </x:c>
      <x:c r="T427" t="e">
        <x:f>IF($A427="","",[1]!thsiFinD("ths_adjustment_nv_fund",T$3,$A427))</x:f>
        <x:v>#NAME?</x:v>
      </x:c>
      <x:c r="U427" t="e">
        <x:f>IF($A427="","",[1]!thsiFinD("ths_adjustment_nv_fund",U$3,$A427))</x:f>
        <x:v>#NAME?</x:v>
      </x:c>
      <x:c r="V427" t="e">
        <x:f>IF($A427="","",[1]!thsiFinD("ths_adjustment_nv_fund",V$3,$A427))</x:f>
        <x:v>#NAME?</x:v>
      </x:c>
      <x:c r="W427" t="e">
        <x:f>IF($A427="","",[1]!thsiFinD("ths_adjustment_nv_fund",W$3,$A427))</x:f>
        <x:v>#NAME?</x:v>
      </x:c>
      <x:c r="X427" t="e">
        <x:f>IF($A427="","",[1]!thsiFinD("ths_adjustment_nv_fund",X$3,$A427))</x:f>
        <x:v>#NAME?</x:v>
      </x:c>
      <x:c r="Y427" t="e">
        <x:f>IF($A427="","",[1]!thsiFinD("ths_adjustment_nv_fund",Y$3,$A427))</x:f>
        <x:v>#NAME?</x:v>
      </x:c>
    </x:row>
    <x:row r="428">
      <x:c r="B428" t="e">
        <x:f>IF($A428="","",[1]!thsiFinD("ths_adjustment_nv_fund",B$3,$A428))</x:f>
        <x:v>#NAME?</x:v>
      </x:c>
      <x:c r="C428" t="e">
        <x:f>IF($A428="","",[1]!thsiFinD("ths_adjustment_nv_fund",C$3,$A428))</x:f>
        <x:v>#NAME?</x:v>
      </x:c>
      <x:c r="D428" t="e">
        <x:f>IF($A428="","",[1]!thsiFinD("ths_adjustment_nv_fund",D$3,$A428))</x:f>
        <x:v>#NAME?</x:v>
      </x:c>
      <x:c r="E428" t="e">
        <x:f>IF($A428="","",[1]!thsiFinD("ths_adjustment_nv_fund",E$3,$A428))</x:f>
        <x:v>#NAME?</x:v>
      </x:c>
      <x:c r="F428" t="e">
        <x:f>IF($A428="","",[1]!thsiFinD("ths_adjustment_nv_fund",F$3,$A428))</x:f>
        <x:v>#NAME?</x:v>
      </x:c>
      <x:c r="G428" t="e">
        <x:f>IF($A428="","",[1]!thsiFinD("ths_adjustment_nv_fund",G$3,$A428))</x:f>
        <x:v>#NAME?</x:v>
      </x:c>
      <x:c r="H428" t="e">
        <x:f>IF($A428="","",[1]!thsiFinD("ths_adjustment_nv_fund",H$3,$A428))</x:f>
        <x:v>#NAME?</x:v>
      </x:c>
      <x:c r="I428" t="e">
        <x:f>IF($A428="","",[1]!thsiFinD("ths_adjustment_nv_fund",I$3,$A428))</x:f>
        <x:v>#NAME?</x:v>
      </x:c>
      <x:c r="J428" t="e">
        <x:f>IF($A428="","",[1]!thsiFinD("ths_adjustment_nv_fund",J$3,$A428))</x:f>
        <x:v>#NAME?</x:v>
      </x:c>
      <x:c r="K428" t="e">
        <x:f>IF($A428="","",[1]!thsiFinD("ths_adjustment_nv_fund",K$3,$A428))</x:f>
        <x:v>#NAME?</x:v>
      </x:c>
      <x:c r="L428" t="e">
        <x:f>IF($A428="","",[1]!thsiFinD("ths_adjustment_nv_fund",L$3,$A428))</x:f>
        <x:v>#NAME?</x:v>
      </x:c>
      <x:c r="M428" t="e">
        <x:f>IF($A428="","",[1]!thsiFinD("ths_adjustment_nv_fund",M$3,$A428))</x:f>
        <x:v>#NAME?</x:v>
      </x:c>
      <x:c r="N428" t="e">
        <x:f>IF($A428="","",[1]!thsiFinD("ths_adjustment_nv_fund",N$3,$A428))</x:f>
        <x:v>#NAME?</x:v>
      </x:c>
      <x:c r="O428" t="e">
        <x:f>IF($A428="","",[1]!thsiFinD("ths_adjustment_nv_fund",O$3,$A428))</x:f>
        <x:v>#NAME?</x:v>
      </x:c>
      <x:c r="P428" t="e">
        <x:f>IF($A428="","",[1]!thsiFinD("ths_adjustment_nv_fund",P$3,$A428))</x:f>
        <x:v>#NAME?</x:v>
      </x:c>
      <x:c r="Q428" t="e">
        <x:f>IF($A428="","",[1]!thsiFinD("ths_adjustment_nv_fund",Q$3,$A428))</x:f>
        <x:v>#NAME?</x:v>
      </x:c>
      <x:c r="R428" t="e">
        <x:f>IF($A428="","",[1]!thsiFinD("ths_adjustment_nv_fund",R$3,$A428))</x:f>
        <x:v>#NAME?</x:v>
      </x:c>
      <x:c r="S428" t="e">
        <x:f>IF($A428="","",[1]!thsiFinD("ths_adjustment_nv_fund",S$3,$A428))</x:f>
        <x:v>#NAME?</x:v>
      </x:c>
      <x:c r="T428" t="e">
        <x:f>IF($A428="","",[1]!thsiFinD("ths_adjustment_nv_fund",T$3,$A428))</x:f>
        <x:v>#NAME?</x:v>
      </x:c>
      <x:c r="U428" t="e">
        <x:f>IF($A428="","",[1]!thsiFinD("ths_adjustment_nv_fund",U$3,$A428))</x:f>
        <x:v>#NAME?</x:v>
      </x:c>
      <x:c r="V428" t="e">
        <x:f>IF($A428="","",[1]!thsiFinD("ths_adjustment_nv_fund",V$3,$A428))</x:f>
        <x:v>#NAME?</x:v>
      </x:c>
      <x:c r="W428" t="e">
        <x:f>IF($A428="","",[1]!thsiFinD("ths_adjustment_nv_fund",W$3,$A428))</x:f>
        <x:v>#NAME?</x:v>
      </x:c>
      <x:c r="X428" t="e">
        <x:f>IF($A428="","",[1]!thsiFinD("ths_adjustment_nv_fund",X$3,$A428))</x:f>
        <x:v>#NAME?</x:v>
      </x:c>
      <x:c r="Y428" t="e">
        <x:f>IF($A428="","",[1]!thsiFinD("ths_adjustment_nv_fund",Y$3,$A428))</x:f>
        <x:v>#NAME?</x:v>
      </x:c>
    </x:row>
    <x:row r="429">
      <x:c r="B429" t="e">
        <x:f>IF($A429="","",[1]!thsiFinD("ths_adjustment_nv_fund",B$3,$A429))</x:f>
        <x:v>#NAME?</x:v>
      </x:c>
      <x:c r="C429" t="e">
        <x:f>IF($A429="","",[1]!thsiFinD("ths_adjustment_nv_fund",C$3,$A429))</x:f>
        <x:v>#NAME?</x:v>
      </x:c>
      <x:c r="D429" t="e">
        <x:f>IF($A429="","",[1]!thsiFinD("ths_adjustment_nv_fund",D$3,$A429))</x:f>
        <x:v>#NAME?</x:v>
      </x:c>
      <x:c r="E429" t="e">
        <x:f>IF($A429="","",[1]!thsiFinD("ths_adjustment_nv_fund",E$3,$A429))</x:f>
        <x:v>#NAME?</x:v>
      </x:c>
      <x:c r="F429" t="e">
        <x:f>IF($A429="","",[1]!thsiFinD("ths_adjustment_nv_fund",F$3,$A429))</x:f>
        <x:v>#NAME?</x:v>
      </x:c>
      <x:c r="G429" t="e">
        <x:f>IF($A429="","",[1]!thsiFinD("ths_adjustment_nv_fund",G$3,$A429))</x:f>
        <x:v>#NAME?</x:v>
      </x:c>
      <x:c r="H429" t="e">
        <x:f>IF($A429="","",[1]!thsiFinD("ths_adjustment_nv_fund",H$3,$A429))</x:f>
        <x:v>#NAME?</x:v>
      </x:c>
      <x:c r="I429" t="e">
        <x:f>IF($A429="","",[1]!thsiFinD("ths_adjustment_nv_fund",I$3,$A429))</x:f>
        <x:v>#NAME?</x:v>
      </x:c>
      <x:c r="J429" t="e">
        <x:f>IF($A429="","",[1]!thsiFinD("ths_adjustment_nv_fund",J$3,$A429))</x:f>
        <x:v>#NAME?</x:v>
      </x:c>
      <x:c r="K429" t="e">
        <x:f>IF($A429="","",[1]!thsiFinD("ths_adjustment_nv_fund",K$3,$A429))</x:f>
        <x:v>#NAME?</x:v>
      </x:c>
      <x:c r="L429" t="e">
        <x:f>IF($A429="","",[1]!thsiFinD("ths_adjustment_nv_fund",L$3,$A429))</x:f>
        <x:v>#NAME?</x:v>
      </x:c>
      <x:c r="M429" t="e">
        <x:f>IF($A429="","",[1]!thsiFinD("ths_adjustment_nv_fund",M$3,$A429))</x:f>
        <x:v>#NAME?</x:v>
      </x:c>
      <x:c r="N429" t="e">
        <x:f>IF($A429="","",[1]!thsiFinD("ths_adjustment_nv_fund",N$3,$A429))</x:f>
        <x:v>#NAME?</x:v>
      </x:c>
      <x:c r="O429" t="e">
        <x:f>IF($A429="","",[1]!thsiFinD("ths_adjustment_nv_fund",O$3,$A429))</x:f>
        <x:v>#NAME?</x:v>
      </x:c>
      <x:c r="P429" t="e">
        <x:f>IF($A429="","",[1]!thsiFinD("ths_adjustment_nv_fund",P$3,$A429))</x:f>
        <x:v>#NAME?</x:v>
      </x:c>
      <x:c r="Q429" t="e">
        <x:f>IF($A429="","",[1]!thsiFinD("ths_adjustment_nv_fund",Q$3,$A429))</x:f>
        <x:v>#NAME?</x:v>
      </x:c>
      <x:c r="R429" t="e">
        <x:f>IF($A429="","",[1]!thsiFinD("ths_adjustment_nv_fund",R$3,$A429))</x:f>
        <x:v>#NAME?</x:v>
      </x:c>
      <x:c r="S429" t="e">
        <x:f>IF($A429="","",[1]!thsiFinD("ths_adjustment_nv_fund",S$3,$A429))</x:f>
        <x:v>#NAME?</x:v>
      </x:c>
      <x:c r="T429" t="e">
        <x:f>IF($A429="","",[1]!thsiFinD("ths_adjustment_nv_fund",T$3,$A429))</x:f>
        <x:v>#NAME?</x:v>
      </x:c>
      <x:c r="U429" t="e">
        <x:f>IF($A429="","",[1]!thsiFinD("ths_adjustment_nv_fund",U$3,$A429))</x:f>
        <x:v>#NAME?</x:v>
      </x:c>
      <x:c r="V429" t="e">
        <x:f>IF($A429="","",[1]!thsiFinD("ths_adjustment_nv_fund",V$3,$A429))</x:f>
        <x:v>#NAME?</x:v>
      </x:c>
      <x:c r="W429" t="e">
        <x:f>IF($A429="","",[1]!thsiFinD("ths_adjustment_nv_fund",W$3,$A429))</x:f>
        <x:v>#NAME?</x:v>
      </x:c>
      <x:c r="X429" t="e">
        <x:f>IF($A429="","",[1]!thsiFinD("ths_adjustment_nv_fund",X$3,$A429))</x:f>
        <x:v>#NAME?</x:v>
      </x:c>
      <x:c r="Y429" t="e">
        <x:f>IF($A429="","",[1]!thsiFinD("ths_adjustment_nv_fund",Y$3,$A429))</x:f>
        <x:v>#NAME?</x:v>
      </x:c>
    </x:row>
    <x:row r="430">
      <x:c r="B430" t="e">
        <x:f>IF($A430="","",[1]!thsiFinD("ths_adjustment_nv_fund",B$3,$A430))</x:f>
        <x:v>#NAME?</x:v>
      </x:c>
      <x:c r="C430" t="e">
        <x:f>IF($A430="","",[1]!thsiFinD("ths_adjustment_nv_fund",C$3,$A430))</x:f>
        <x:v>#NAME?</x:v>
      </x:c>
      <x:c r="D430" t="e">
        <x:f>IF($A430="","",[1]!thsiFinD("ths_adjustment_nv_fund",D$3,$A430))</x:f>
        <x:v>#NAME?</x:v>
      </x:c>
      <x:c r="E430" t="e">
        <x:f>IF($A430="","",[1]!thsiFinD("ths_adjustment_nv_fund",E$3,$A430))</x:f>
        <x:v>#NAME?</x:v>
      </x:c>
      <x:c r="F430" t="e">
        <x:f>IF($A430="","",[1]!thsiFinD("ths_adjustment_nv_fund",F$3,$A430))</x:f>
        <x:v>#NAME?</x:v>
      </x:c>
      <x:c r="G430" t="e">
        <x:f>IF($A430="","",[1]!thsiFinD("ths_adjustment_nv_fund",G$3,$A430))</x:f>
        <x:v>#NAME?</x:v>
      </x:c>
      <x:c r="H430" t="e">
        <x:f>IF($A430="","",[1]!thsiFinD("ths_adjustment_nv_fund",H$3,$A430))</x:f>
        <x:v>#NAME?</x:v>
      </x:c>
      <x:c r="I430" t="e">
        <x:f>IF($A430="","",[1]!thsiFinD("ths_adjustment_nv_fund",I$3,$A430))</x:f>
        <x:v>#NAME?</x:v>
      </x:c>
      <x:c r="J430" t="e">
        <x:f>IF($A430="","",[1]!thsiFinD("ths_adjustment_nv_fund",J$3,$A430))</x:f>
        <x:v>#NAME?</x:v>
      </x:c>
      <x:c r="K430" t="e">
        <x:f>IF($A430="","",[1]!thsiFinD("ths_adjustment_nv_fund",K$3,$A430))</x:f>
        <x:v>#NAME?</x:v>
      </x:c>
      <x:c r="L430" t="e">
        <x:f>IF($A430="","",[1]!thsiFinD("ths_adjustment_nv_fund",L$3,$A430))</x:f>
        <x:v>#NAME?</x:v>
      </x:c>
      <x:c r="M430" t="e">
        <x:f>IF($A430="","",[1]!thsiFinD("ths_adjustment_nv_fund",M$3,$A430))</x:f>
        <x:v>#NAME?</x:v>
      </x:c>
      <x:c r="N430" t="e">
        <x:f>IF($A430="","",[1]!thsiFinD("ths_adjustment_nv_fund",N$3,$A430))</x:f>
        <x:v>#NAME?</x:v>
      </x:c>
      <x:c r="O430" t="e">
        <x:f>IF($A430="","",[1]!thsiFinD("ths_adjustment_nv_fund",O$3,$A430))</x:f>
        <x:v>#NAME?</x:v>
      </x:c>
      <x:c r="P430" t="e">
        <x:f>IF($A430="","",[1]!thsiFinD("ths_adjustment_nv_fund",P$3,$A430))</x:f>
        <x:v>#NAME?</x:v>
      </x:c>
      <x:c r="Q430" t="e">
        <x:f>IF($A430="","",[1]!thsiFinD("ths_adjustment_nv_fund",Q$3,$A430))</x:f>
        <x:v>#NAME?</x:v>
      </x:c>
      <x:c r="R430" t="e">
        <x:f>IF($A430="","",[1]!thsiFinD("ths_adjustment_nv_fund",R$3,$A430))</x:f>
        <x:v>#NAME?</x:v>
      </x:c>
      <x:c r="S430" t="e">
        <x:f>IF($A430="","",[1]!thsiFinD("ths_adjustment_nv_fund",S$3,$A430))</x:f>
        <x:v>#NAME?</x:v>
      </x:c>
      <x:c r="T430" t="e">
        <x:f>IF($A430="","",[1]!thsiFinD("ths_adjustment_nv_fund",T$3,$A430))</x:f>
        <x:v>#NAME?</x:v>
      </x:c>
      <x:c r="U430" t="e">
        <x:f>IF($A430="","",[1]!thsiFinD("ths_adjustment_nv_fund",U$3,$A430))</x:f>
        <x:v>#NAME?</x:v>
      </x:c>
      <x:c r="V430" t="e">
        <x:f>IF($A430="","",[1]!thsiFinD("ths_adjustment_nv_fund",V$3,$A430))</x:f>
        <x:v>#NAME?</x:v>
      </x:c>
      <x:c r="W430" t="e">
        <x:f>IF($A430="","",[1]!thsiFinD("ths_adjustment_nv_fund",W$3,$A430))</x:f>
        <x:v>#NAME?</x:v>
      </x:c>
      <x:c r="X430" t="e">
        <x:f>IF($A430="","",[1]!thsiFinD("ths_adjustment_nv_fund",X$3,$A430))</x:f>
        <x:v>#NAME?</x:v>
      </x:c>
      <x:c r="Y430" t="e">
        <x:f>IF($A430="","",[1]!thsiFinD("ths_adjustment_nv_fund",Y$3,$A430))</x:f>
        <x:v>#NAME?</x:v>
      </x:c>
    </x:row>
    <x:row r="431">
      <x:c r="B431" t="e">
        <x:f>IF($A431="","",[1]!thsiFinD("ths_adjustment_nv_fund",B$3,$A431))</x:f>
        <x:v>#NAME?</x:v>
      </x:c>
      <x:c r="C431" t="e">
        <x:f>IF($A431="","",[1]!thsiFinD("ths_adjustment_nv_fund",C$3,$A431))</x:f>
        <x:v>#NAME?</x:v>
      </x:c>
      <x:c r="D431" t="e">
        <x:f>IF($A431="","",[1]!thsiFinD("ths_adjustment_nv_fund",D$3,$A431))</x:f>
        <x:v>#NAME?</x:v>
      </x:c>
      <x:c r="E431" t="e">
        <x:f>IF($A431="","",[1]!thsiFinD("ths_adjustment_nv_fund",E$3,$A431))</x:f>
        <x:v>#NAME?</x:v>
      </x:c>
      <x:c r="F431" t="e">
        <x:f>IF($A431="","",[1]!thsiFinD("ths_adjustment_nv_fund",F$3,$A431))</x:f>
        <x:v>#NAME?</x:v>
      </x:c>
      <x:c r="G431" t="e">
        <x:f>IF($A431="","",[1]!thsiFinD("ths_adjustment_nv_fund",G$3,$A431))</x:f>
        <x:v>#NAME?</x:v>
      </x:c>
      <x:c r="H431" t="e">
        <x:f>IF($A431="","",[1]!thsiFinD("ths_adjustment_nv_fund",H$3,$A431))</x:f>
        <x:v>#NAME?</x:v>
      </x:c>
      <x:c r="I431" t="e">
        <x:f>IF($A431="","",[1]!thsiFinD("ths_adjustment_nv_fund",I$3,$A431))</x:f>
        <x:v>#NAME?</x:v>
      </x:c>
      <x:c r="J431" t="e">
        <x:f>IF($A431="","",[1]!thsiFinD("ths_adjustment_nv_fund",J$3,$A431))</x:f>
        <x:v>#NAME?</x:v>
      </x:c>
      <x:c r="K431" t="e">
        <x:f>IF($A431="","",[1]!thsiFinD("ths_adjustment_nv_fund",K$3,$A431))</x:f>
        <x:v>#NAME?</x:v>
      </x:c>
      <x:c r="L431" t="e">
        <x:f>IF($A431="","",[1]!thsiFinD("ths_adjustment_nv_fund",L$3,$A431))</x:f>
        <x:v>#NAME?</x:v>
      </x:c>
      <x:c r="M431" t="e">
        <x:f>IF($A431="","",[1]!thsiFinD("ths_adjustment_nv_fund",M$3,$A431))</x:f>
        <x:v>#NAME?</x:v>
      </x:c>
      <x:c r="N431" t="e">
        <x:f>IF($A431="","",[1]!thsiFinD("ths_adjustment_nv_fund",N$3,$A431))</x:f>
        <x:v>#NAME?</x:v>
      </x:c>
      <x:c r="O431" t="e">
        <x:f>IF($A431="","",[1]!thsiFinD("ths_adjustment_nv_fund",O$3,$A431))</x:f>
        <x:v>#NAME?</x:v>
      </x:c>
      <x:c r="P431" t="e">
        <x:f>IF($A431="","",[1]!thsiFinD("ths_adjustment_nv_fund",P$3,$A431))</x:f>
        <x:v>#NAME?</x:v>
      </x:c>
      <x:c r="Q431" t="e">
        <x:f>IF($A431="","",[1]!thsiFinD("ths_adjustment_nv_fund",Q$3,$A431))</x:f>
        <x:v>#NAME?</x:v>
      </x:c>
      <x:c r="R431" t="e">
        <x:f>IF($A431="","",[1]!thsiFinD("ths_adjustment_nv_fund",R$3,$A431))</x:f>
        <x:v>#NAME?</x:v>
      </x:c>
      <x:c r="S431" t="e">
        <x:f>IF($A431="","",[1]!thsiFinD("ths_adjustment_nv_fund",S$3,$A431))</x:f>
        <x:v>#NAME?</x:v>
      </x:c>
      <x:c r="T431" t="e">
        <x:f>IF($A431="","",[1]!thsiFinD("ths_adjustment_nv_fund",T$3,$A431))</x:f>
        <x:v>#NAME?</x:v>
      </x:c>
      <x:c r="U431" t="e">
        <x:f>IF($A431="","",[1]!thsiFinD("ths_adjustment_nv_fund",U$3,$A431))</x:f>
        <x:v>#NAME?</x:v>
      </x:c>
      <x:c r="V431" t="e">
        <x:f>IF($A431="","",[1]!thsiFinD("ths_adjustment_nv_fund",V$3,$A431))</x:f>
        <x:v>#NAME?</x:v>
      </x:c>
      <x:c r="W431" t="e">
        <x:f>IF($A431="","",[1]!thsiFinD("ths_adjustment_nv_fund",W$3,$A431))</x:f>
        <x:v>#NAME?</x:v>
      </x:c>
      <x:c r="X431" t="e">
        <x:f>IF($A431="","",[1]!thsiFinD("ths_adjustment_nv_fund",X$3,$A431))</x:f>
        <x:v>#NAME?</x:v>
      </x:c>
      <x:c r="Y431" t="e">
        <x:f>IF($A431="","",[1]!thsiFinD("ths_adjustment_nv_fund",Y$3,$A431))</x:f>
        <x:v>#NAME?</x:v>
      </x:c>
    </x:row>
    <x:row r="432">
      <x:c r="B432" t="e">
        <x:f>IF($A432="","",[1]!thsiFinD("ths_adjustment_nv_fund",B$3,$A432))</x:f>
        <x:v>#NAME?</x:v>
      </x:c>
      <x:c r="C432" t="e">
        <x:f>IF($A432="","",[1]!thsiFinD("ths_adjustment_nv_fund",C$3,$A432))</x:f>
        <x:v>#NAME?</x:v>
      </x:c>
      <x:c r="D432" t="e">
        <x:f>IF($A432="","",[1]!thsiFinD("ths_adjustment_nv_fund",D$3,$A432))</x:f>
        <x:v>#NAME?</x:v>
      </x:c>
      <x:c r="E432" t="e">
        <x:f>IF($A432="","",[1]!thsiFinD("ths_adjustment_nv_fund",E$3,$A432))</x:f>
        <x:v>#NAME?</x:v>
      </x:c>
      <x:c r="F432" t="e">
        <x:f>IF($A432="","",[1]!thsiFinD("ths_adjustment_nv_fund",F$3,$A432))</x:f>
        <x:v>#NAME?</x:v>
      </x:c>
      <x:c r="G432" t="e">
        <x:f>IF($A432="","",[1]!thsiFinD("ths_adjustment_nv_fund",G$3,$A432))</x:f>
        <x:v>#NAME?</x:v>
      </x:c>
      <x:c r="H432" t="e">
        <x:f>IF($A432="","",[1]!thsiFinD("ths_adjustment_nv_fund",H$3,$A432))</x:f>
        <x:v>#NAME?</x:v>
      </x:c>
      <x:c r="I432" t="e">
        <x:f>IF($A432="","",[1]!thsiFinD("ths_adjustment_nv_fund",I$3,$A432))</x:f>
        <x:v>#NAME?</x:v>
      </x:c>
      <x:c r="J432" t="e">
        <x:f>IF($A432="","",[1]!thsiFinD("ths_adjustment_nv_fund",J$3,$A432))</x:f>
        <x:v>#NAME?</x:v>
      </x:c>
      <x:c r="K432" t="e">
        <x:f>IF($A432="","",[1]!thsiFinD("ths_adjustment_nv_fund",K$3,$A432))</x:f>
        <x:v>#NAME?</x:v>
      </x:c>
      <x:c r="L432" t="e">
        <x:f>IF($A432="","",[1]!thsiFinD("ths_adjustment_nv_fund",L$3,$A432))</x:f>
        <x:v>#NAME?</x:v>
      </x:c>
      <x:c r="M432" t="e">
        <x:f>IF($A432="","",[1]!thsiFinD("ths_adjustment_nv_fund",M$3,$A432))</x:f>
        <x:v>#NAME?</x:v>
      </x:c>
      <x:c r="N432" t="e">
        <x:f>IF($A432="","",[1]!thsiFinD("ths_adjustment_nv_fund",N$3,$A432))</x:f>
        <x:v>#NAME?</x:v>
      </x:c>
      <x:c r="O432" t="e">
        <x:f>IF($A432="","",[1]!thsiFinD("ths_adjustment_nv_fund",O$3,$A432))</x:f>
        <x:v>#NAME?</x:v>
      </x:c>
      <x:c r="P432" t="e">
        <x:f>IF($A432="","",[1]!thsiFinD("ths_adjustment_nv_fund",P$3,$A432))</x:f>
        <x:v>#NAME?</x:v>
      </x:c>
      <x:c r="Q432" t="e">
        <x:f>IF($A432="","",[1]!thsiFinD("ths_adjustment_nv_fund",Q$3,$A432))</x:f>
        <x:v>#NAME?</x:v>
      </x:c>
      <x:c r="R432" t="e">
        <x:f>IF($A432="","",[1]!thsiFinD("ths_adjustment_nv_fund",R$3,$A432))</x:f>
        <x:v>#NAME?</x:v>
      </x:c>
      <x:c r="S432" t="e">
        <x:f>IF($A432="","",[1]!thsiFinD("ths_adjustment_nv_fund",S$3,$A432))</x:f>
        <x:v>#NAME?</x:v>
      </x:c>
      <x:c r="T432" t="e">
        <x:f>IF($A432="","",[1]!thsiFinD("ths_adjustment_nv_fund",T$3,$A432))</x:f>
        <x:v>#NAME?</x:v>
      </x:c>
      <x:c r="U432" t="e">
        <x:f>IF($A432="","",[1]!thsiFinD("ths_adjustment_nv_fund",U$3,$A432))</x:f>
        <x:v>#NAME?</x:v>
      </x:c>
      <x:c r="V432" t="e">
        <x:f>IF($A432="","",[1]!thsiFinD("ths_adjustment_nv_fund",V$3,$A432))</x:f>
        <x:v>#NAME?</x:v>
      </x:c>
      <x:c r="W432" t="e">
        <x:f>IF($A432="","",[1]!thsiFinD("ths_adjustment_nv_fund",W$3,$A432))</x:f>
        <x:v>#NAME?</x:v>
      </x:c>
      <x:c r="X432" t="e">
        <x:f>IF($A432="","",[1]!thsiFinD("ths_adjustment_nv_fund",X$3,$A432))</x:f>
        <x:v>#NAME?</x:v>
      </x:c>
      <x:c r="Y432" t="e">
        <x:f>IF($A432="","",[1]!thsiFinD("ths_adjustment_nv_fund",Y$3,$A432))</x:f>
        <x:v>#NAME?</x:v>
      </x:c>
    </x:row>
    <x:row r="433">
      <x:c r="B433" t="e">
        <x:f>IF($A433="","",[1]!thsiFinD("ths_adjustment_nv_fund",B$3,$A433))</x:f>
        <x:v>#NAME?</x:v>
      </x:c>
      <x:c r="C433" t="e">
        <x:f>IF($A433="","",[1]!thsiFinD("ths_adjustment_nv_fund",C$3,$A433))</x:f>
        <x:v>#NAME?</x:v>
      </x:c>
      <x:c r="D433" t="e">
        <x:f>IF($A433="","",[1]!thsiFinD("ths_adjustment_nv_fund",D$3,$A433))</x:f>
        <x:v>#NAME?</x:v>
      </x:c>
      <x:c r="E433" t="e">
        <x:f>IF($A433="","",[1]!thsiFinD("ths_adjustment_nv_fund",E$3,$A433))</x:f>
        <x:v>#NAME?</x:v>
      </x:c>
      <x:c r="F433" t="e">
        <x:f>IF($A433="","",[1]!thsiFinD("ths_adjustment_nv_fund",F$3,$A433))</x:f>
        <x:v>#NAME?</x:v>
      </x:c>
      <x:c r="G433" t="e">
        <x:f>IF($A433="","",[1]!thsiFinD("ths_adjustment_nv_fund",G$3,$A433))</x:f>
        <x:v>#NAME?</x:v>
      </x:c>
      <x:c r="H433" t="e">
        <x:f>IF($A433="","",[1]!thsiFinD("ths_adjustment_nv_fund",H$3,$A433))</x:f>
        <x:v>#NAME?</x:v>
      </x:c>
      <x:c r="I433" t="e">
        <x:f>IF($A433="","",[1]!thsiFinD("ths_adjustment_nv_fund",I$3,$A433))</x:f>
        <x:v>#NAME?</x:v>
      </x:c>
      <x:c r="J433" t="e">
        <x:f>IF($A433="","",[1]!thsiFinD("ths_adjustment_nv_fund",J$3,$A433))</x:f>
        <x:v>#NAME?</x:v>
      </x:c>
      <x:c r="K433" t="e">
        <x:f>IF($A433="","",[1]!thsiFinD("ths_adjustment_nv_fund",K$3,$A433))</x:f>
        <x:v>#NAME?</x:v>
      </x:c>
      <x:c r="L433" t="e">
        <x:f>IF($A433="","",[1]!thsiFinD("ths_adjustment_nv_fund",L$3,$A433))</x:f>
        <x:v>#NAME?</x:v>
      </x:c>
      <x:c r="M433" t="e">
        <x:f>IF($A433="","",[1]!thsiFinD("ths_adjustment_nv_fund",M$3,$A433))</x:f>
        <x:v>#NAME?</x:v>
      </x:c>
      <x:c r="N433" t="e">
        <x:f>IF($A433="","",[1]!thsiFinD("ths_adjustment_nv_fund",N$3,$A433))</x:f>
        <x:v>#NAME?</x:v>
      </x:c>
      <x:c r="O433" t="e">
        <x:f>IF($A433="","",[1]!thsiFinD("ths_adjustment_nv_fund",O$3,$A433))</x:f>
        <x:v>#NAME?</x:v>
      </x:c>
      <x:c r="P433" t="e">
        <x:f>IF($A433="","",[1]!thsiFinD("ths_adjustment_nv_fund",P$3,$A433))</x:f>
        <x:v>#NAME?</x:v>
      </x:c>
      <x:c r="Q433" t="e">
        <x:f>IF($A433="","",[1]!thsiFinD("ths_adjustment_nv_fund",Q$3,$A433))</x:f>
        <x:v>#NAME?</x:v>
      </x:c>
      <x:c r="R433" t="e">
        <x:f>IF($A433="","",[1]!thsiFinD("ths_adjustment_nv_fund",R$3,$A433))</x:f>
        <x:v>#NAME?</x:v>
      </x:c>
      <x:c r="S433" t="e">
        <x:f>IF($A433="","",[1]!thsiFinD("ths_adjustment_nv_fund",S$3,$A433))</x:f>
        <x:v>#NAME?</x:v>
      </x:c>
      <x:c r="T433" t="e">
        <x:f>IF($A433="","",[1]!thsiFinD("ths_adjustment_nv_fund",T$3,$A433))</x:f>
        <x:v>#NAME?</x:v>
      </x:c>
      <x:c r="U433" t="e">
        <x:f>IF($A433="","",[1]!thsiFinD("ths_adjustment_nv_fund",U$3,$A433))</x:f>
        <x:v>#NAME?</x:v>
      </x:c>
      <x:c r="V433" t="e">
        <x:f>IF($A433="","",[1]!thsiFinD("ths_adjustment_nv_fund",V$3,$A433))</x:f>
        <x:v>#NAME?</x:v>
      </x:c>
      <x:c r="W433" t="e">
        <x:f>IF($A433="","",[1]!thsiFinD("ths_adjustment_nv_fund",W$3,$A433))</x:f>
        <x:v>#NAME?</x:v>
      </x:c>
      <x:c r="X433" t="e">
        <x:f>IF($A433="","",[1]!thsiFinD("ths_adjustment_nv_fund",X$3,$A433))</x:f>
        <x:v>#NAME?</x:v>
      </x:c>
      <x:c r="Y433" t="e">
        <x:f>IF($A433="","",[1]!thsiFinD("ths_adjustment_nv_fund",Y$3,$A433))</x:f>
        <x:v>#NAME?</x:v>
      </x:c>
    </x:row>
    <x:row r="434">
      <x:c r="B434" t="e">
        <x:f>IF($A434="","",[1]!thsiFinD("ths_adjustment_nv_fund",B$3,$A434))</x:f>
        <x:v>#NAME?</x:v>
      </x:c>
      <x:c r="C434" t="e">
        <x:f>IF($A434="","",[1]!thsiFinD("ths_adjustment_nv_fund",C$3,$A434))</x:f>
        <x:v>#NAME?</x:v>
      </x:c>
      <x:c r="D434" t="e">
        <x:f>IF($A434="","",[1]!thsiFinD("ths_adjustment_nv_fund",D$3,$A434))</x:f>
        <x:v>#NAME?</x:v>
      </x:c>
      <x:c r="E434" t="e">
        <x:f>IF($A434="","",[1]!thsiFinD("ths_adjustment_nv_fund",E$3,$A434))</x:f>
        <x:v>#NAME?</x:v>
      </x:c>
      <x:c r="F434" t="e">
        <x:f>IF($A434="","",[1]!thsiFinD("ths_adjustment_nv_fund",F$3,$A434))</x:f>
        <x:v>#NAME?</x:v>
      </x:c>
      <x:c r="G434" t="e">
        <x:f>IF($A434="","",[1]!thsiFinD("ths_adjustment_nv_fund",G$3,$A434))</x:f>
        <x:v>#NAME?</x:v>
      </x:c>
      <x:c r="H434" t="e">
        <x:f>IF($A434="","",[1]!thsiFinD("ths_adjustment_nv_fund",H$3,$A434))</x:f>
        <x:v>#NAME?</x:v>
      </x:c>
      <x:c r="I434" t="e">
        <x:f>IF($A434="","",[1]!thsiFinD("ths_adjustment_nv_fund",I$3,$A434))</x:f>
        <x:v>#NAME?</x:v>
      </x:c>
      <x:c r="J434" t="e">
        <x:f>IF($A434="","",[1]!thsiFinD("ths_adjustment_nv_fund",J$3,$A434))</x:f>
        <x:v>#NAME?</x:v>
      </x:c>
      <x:c r="K434" t="e">
        <x:f>IF($A434="","",[1]!thsiFinD("ths_adjustment_nv_fund",K$3,$A434))</x:f>
        <x:v>#NAME?</x:v>
      </x:c>
      <x:c r="L434" t="e">
        <x:f>IF($A434="","",[1]!thsiFinD("ths_adjustment_nv_fund",L$3,$A434))</x:f>
        <x:v>#NAME?</x:v>
      </x:c>
      <x:c r="M434" t="e">
        <x:f>IF($A434="","",[1]!thsiFinD("ths_adjustment_nv_fund",M$3,$A434))</x:f>
        <x:v>#NAME?</x:v>
      </x:c>
      <x:c r="N434" t="e">
        <x:f>IF($A434="","",[1]!thsiFinD("ths_adjustment_nv_fund",N$3,$A434))</x:f>
        <x:v>#NAME?</x:v>
      </x:c>
      <x:c r="O434" t="e">
        <x:f>IF($A434="","",[1]!thsiFinD("ths_adjustment_nv_fund",O$3,$A434))</x:f>
        <x:v>#NAME?</x:v>
      </x:c>
      <x:c r="P434" t="e">
        <x:f>IF($A434="","",[1]!thsiFinD("ths_adjustment_nv_fund",P$3,$A434))</x:f>
        <x:v>#NAME?</x:v>
      </x:c>
      <x:c r="Q434" t="e">
        <x:f>IF($A434="","",[1]!thsiFinD("ths_adjustment_nv_fund",Q$3,$A434))</x:f>
        <x:v>#NAME?</x:v>
      </x:c>
      <x:c r="R434" t="e">
        <x:f>IF($A434="","",[1]!thsiFinD("ths_adjustment_nv_fund",R$3,$A434))</x:f>
        <x:v>#NAME?</x:v>
      </x:c>
      <x:c r="S434" t="e">
        <x:f>IF($A434="","",[1]!thsiFinD("ths_adjustment_nv_fund",S$3,$A434))</x:f>
        <x:v>#NAME?</x:v>
      </x:c>
      <x:c r="T434" t="e">
        <x:f>IF($A434="","",[1]!thsiFinD("ths_adjustment_nv_fund",T$3,$A434))</x:f>
        <x:v>#NAME?</x:v>
      </x:c>
      <x:c r="U434" t="e">
        <x:f>IF($A434="","",[1]!thsiFinD("ths_adjustment_nv_fund",U$3,$A434))</x:f>
        <x:v>#NAME?</x:v>
      </x:c>
      <x:c r="V434" t="e">
        <x:f>IF($A434="","",[1]!thsiFinD("ths_adjustment_nv_fund",V$3,$A434))</x:f>
        <x:v>#NAME?</x:v>
      </x:c>
      <x:c r="W434" t="e">
        <x:f>IF($A434="","",[1]!thsiFinD("ths_adjustment_nv_fund",W$3,$A434))</x:f>
        <x:v>#NAME?</x:v>
      </x:c>
      <x:c r="X434" t="e">
        <x:f>IF($A434="","",[1]!thsiFinD("ths_adjustment_nv_fund",X$3,$A434))</x:f>
        <x:v>#NAME?</x:v>
      </x:c>
      <x:c r="Y434" t="e">
        <x:f>IF($A434="","",[1]!thsiFinD("ths_adjustment_nv_fund",Y$3,$A434))</x:f>
        <x:v>#NAME?</x:v>
      </x:c>
    </x:row>
    <x:row r="435">
      <x:c r="B435" t="e">
        <x:f>IF($A435="","",[1]!thsiFinD("ths_adjustment_nv_fund",B$3,$A435))</x:f>
        <x:v>#NAME?</x:v>
      </x:c>
      <x:c r="C435" t="e">
        <x:f>IF($A435="","",[1]!thsiFinD("ths_adjustment_nv_fund",C$3,$A435))</x:f>
        <x:v>#NAME?</x:v>
      </x:c>
      <x:c r="D435" t="e">
        <x:f>IF($A435="","",[1]!thsiFinD("ths_adjustment_nv_fund",D$3,$A435))</x:f>
        <x:v>#NAME?</x:v>
      </x:c>
      <x:c r="E435" t="e">
        <x:f>IF($A435="","",[1]!thsiFinD("ths_adjustment_nv_fund",E$3,$A435))</x:f>
        <x:v>#NAME?</x:v>
      </x:c>
      <x:c r="F435" t="e">
        <x:f>IF($A435="","",[1]!thsiFinD("ths_adjustment_nv_fund",F$3,$A435))</x:f>
        <x:v>#NAME?</x:v>
      </x:c>
      <x:c r="G435" t="e">
        <x:f>IF($A435="","",[1]!thsiFinD("ths_adjustment_nv_fund",G$3,$A435))</x:f>
        <x:v>#NAME?</x:v>
      </x:c>
      <x:c r="H435" t="e">
        <x:f>IF($A435="","",[1]!thsiFinD("ths_adjustment_nv_fund",H$3,$A435))</x:f>
        <x:v>#NAME?</x:v>
      </x:c>
      <x:c r="I435" t="e">
        <x:f>IF($A435="","",[1]!thsiFinD("ths_adjustment_nv_fund",I$3,$A435))</x:f>
        <x:v>#NAME?</x:v>
      </x:c>
      <x:c r="J435" t="e">
        <x:f>IF($A435="","",[1]!thsiFinD("ths_adjustment_nv_fund",J$3,$A435))</x:f>
        <x:v>#NAME?</x:v>
      </x:c>
      <x:c r="K435" t="e">
        <x:f>IF($A435="","",[1]!thsiFinD("ths_adjustment_nv_fund",K$3,$A435))</x:f>
        <x:v>#NAME?</x:v>
      </x:c>
      <x:c r="L435" t="e">
        <x:f>IF($A435="","",[1]!thsiFinD("ths_adjustment_nv_fund",L$3,$A435))</x:f>
        <x:v>#NAME?</x:v>
      </x:c>
      <x:c r="M435" t="e">
        <x:f>IF($A435="","",[1]!thsiFinD("ths_adjustment_nv_fund",M$3,$A435))</x:f>
        <x:v>#NAME?</x:v>
      </x:c>
      <x:c r="N435" t="e">
        <x:f>IF($A435="","",[1]!thsiFinD("ths_adjustment_nv_fund",N$3,$A435))</x:f>
        <x:v>#NAME?</x:v>
      </x:c>
      <x:c r="O435" t="e">
        <x:f>IF($A435="","",[1]!thsiFinD("ths_adjustment_nv_fund",O$3,$A435))</x:f>
        <x:v>#NAME?</x:v>
      </x:c>
      <x:c r="P435" t="e">
        <x:f>IF($A435="","",[1]!thsiFinD("ths_adjustment_nv_fund",P$3,$A435))</x:f>
        <x:v>#NAME?</x:v>
      </x:c>
      <x:c r="Q435" t="e">
        <x:f>IF($A435="","",[1]!thsiFinD("ths_adjustment_nv_fund",Q$3,$A435))</x:f>
        <x:v>#NAME?</x:v>
      </x:c>
      <x:c r="R435" t="e">
        <x:f>IF($A435="","",[1]!thsiFinD("ths_adjustment_nv_fund",R$3,$A435))</x:f>
        <x:v>#NAME?</x:v>
      </x:c>
      <x:c r="S435" t="e">
        <x:f>IF($A435="","",[1]!thsiFinD("ths_adjustment_nv_fund",S$3,$A435))</x:f>
        <x:v>#NAME?</x:v>
      </x:c>
      <x:c r="T435" t="e">
        <x:f>IF($A435="","",[1]!thsiFinD("ths_adjustment_nv_fund",T$3,$A435))</x:f>
        <x:v>#NAME?</x:v>
      </x:c>
      <x:c r="U435" t="e">
        <x:f>IF($A435="","",[1]!thsiFinD("ths_adjustment_nv_fund",U$3,$A435))</x:f>
        <x:v>#NAME?</x:v>
      </x:c>
      <x:c r="V435" t="e">
        <x:f>IF($A435="","",[1]!thsiFinD("ths_adjustment_nv_fund",V$3,$A435))</x:f>
        <x:v>#NAME?</x:v>
      </x:c>
      <x:c r="W435" t="e">
        <x:f>IF($A435="","",[1]!thsiFinD("ths_adjustment_nv_fund",W$3,$A435))</x:f>
        <x:v>#NAME?</x:v>
      </x:c>
      <x:c r="X435" t="e">
        <x:f>IF($A435="","",[1]!thsiFinD("ths_adjustment_nv_fund",X$3,$A435))</x:f>
        <x:v>#NAME?</x:v>
      </x:c>
      <x:c r="Y435" t="e">
        <x:f>IF($A435="","",[1]!thsiFinD("ths_adjustment_nv_fund",Y$3,$A435))</x:f>
        <x:v>#NAME?</x:v>
      </x:c>
    </x:row>
    <x:row r="436">
      <x:c r="B436" t="e">
        <x:f>IF($A436="","",[1]!thsiFinD("ths_adjustment_nv_fund",B$3,$A436))</x:f>
        <x:v>#NAME?</x:v>
      </x:c>
      <x:c r="C436" t="e">
        <x:f>IF($A436="","",[1]!thsiFinD("ths_adjustment_nv_fund",C$3,$A436))</x:f>
        <x:v>#NAME?</x:v>
      </x:c>
      <x:c r="D436" t="e">
        <x:f>IF($A436="","",[1]!thsiFinD("ths_adjustment_nv_fund",D$3,$A436))</x:f>
        <x:v>#NAME?</x:v>
      </x:c>
      <x:c r="E436" t="e">
        <x:f>IF($A436="","",[1]!thsiFinD("ths_adjustment_nv_fund",E$3,$A436))</x:f>
        <x:v>#NAME?</x:v>
      </x:c>
      <x:c r="F436" t="e">
        <x:f>IF($A436="","",[1]!thsiFinD("ths_adjustment_nv_fund",F$3,$A436))</x:f>
        <x:v>#NAME?</x:v>
      </x:c>
      <x:c r="G436" t="e">
        <x:f>IF($A436="","",[1]!thsiFinD("ths_adjustment_nv_fund",G$3,$A436))</x:f>
        <x:v>#NAME?</x:v>
      </x:c>
      <x:c r="H436" t="e">
        <x:f>IF($A436="","",[1]!thsiFinD("ths_adjustment_nv_fund",H$3,$A436))</x:f>
        <x:v>#NAME?</x:v>
      </x:c>
      <x:c r="I436" t="e">
        <x:f>IF($A436="","",[1]!thsiFinD("ths_adjustment_nv_fund",I$3,$A436))</x:f>
        <x:v>#NAME?</x:v>
      </x:c>
      <x:c r="J436" t="e">
        <x:f>IF($A436="","",[1]!thsiFinD("ths_adjustment_nv_fund",J$3,$A436))</x:f>
        <x:v>#NAME?</x:v>
      </x:c>
      <x:c r="K436" t="e">
        <x:f>IF($A436="","",[1]!thsiFinD("ths_adjustment_nv_fund",K$3,$A436))</x:f>
        <x:v>#NAME?</x:v>
      </x:c>
      <x:c r="L436" t="e">
        <x:f>IF($A436="","",[1]!thsiFinD("ths_adjustment_nv_fund",L$3,$A436))</x:f>
        <x:v>#NAME?</x:v>
      </x:c>
      <x:c r="M436" t="e">
        <x:f>IF($A436="","",[1]!thsiFinD("ths_adjustment_nv_fund",M$3,$A436))</x:f>
        <x:v>#NAME?</x:v>
      </x:c>
      <x:c r="N436" t="e">
        <x:f>IF($A436="","",[1]!thsiFinD("ths_adjustment_nv_fund",N$3,$A436))</x:f>
        <x:v>#NAME?</x:v>
      </x:c>
      <x:c r="O436" t="e">
        <x:f>IF($A436="","",[1]!thsiFinD("ths_adjustment_nv_fund",O$3,$A436))</x:f>
        <x:v>#NAME?</x:v>
      </x:c>
      <x:c r="P436" t="e">
        <x:f>IF($A436="","",[1]!thsiFinD("ths_adjustment_nv_fund",P$3,$A436))</x:f>
        <x:v>#NAME?</x:v>
      </x:c>
      <x:c r="Q436" t="e">
        <x:f>IF($A436="","",[1]!thsiFinD("ths_adjustment_nv_fund",Q$3,$A436))</x:f>
        <x:v>#NAME?</x:v>
      </x:c>
      <x:c r="R436" t="e">
        <x:f>IF($A436="","",[1]!thsiFinD("ths_adjustment_nv_fund",R$3,$A436))</x:f>
        <x:v>#NAME?</x:v>
      </x:c>
      <x:c r="S436" t="e">
        <x:f>IF($A436="","",[1]!thsiFinD("ths_adjustment_nv_fund",S$3,$A436))</x:f>
        <x:v>#NAME?</x:v>
      </x:c>
      <x:c r="T436" t="e">
        <x:f>IF($A436="","",[1]!thsiFinD("ths_adjustment_nv_fund",T$3,$A436))</x:f>
        <x:v>#NAME?</x:v>
      </x:c>
      <x:c r="U436" t="e">
        <x:f>IF($A436="","",[1]!thsiFinD("ths_adjustment_nv_fund",U$3,$A436))</x:f>
        <x:v>#NAME?</x:v>
      </x:c>
      <x:c r="V436" t="e">
        <x:f>IF($A436="","",[1]!thsiFinD("ths_adjustment_nv_fund",V$3,$A436))</x:f>
        <x:v>#NAME?</x:v>
      </x:c>
      <x:c r="W436" t="e">
        <x:f>IF($A436="","",[1]!thsiFinD("ths_adjustment_nv_fund",W$3,$A436))</x:f>
        <x:v>#NAME?</x:v>
      </x:c>
      <x:c r="X436" t="e">
        <x:f>IF($A436="","",[1]!thsiFinD("ths_adjustment_nv_fund",X$3,$A436))</x:f>
        <x:v>#NAME?</x:v>
      </x:c>
      <x:c r="Y436" t="e">
        <x:f>IF($A436="","",[1]!thsiFinD("ths_adjustment_nv_fund",Y$3,$A436))</x:f>
        <x:v>#NAME?</x:v>
      </x:c>
    </x:row>
    <x:row r="437">
      <x:c r="B437" t="e">
        <x:f>IF($A437="","",[1]!thsiFinD("ths_adjustment_nv_fund",B$3,$A437))</x:f>
        <x:v>#NAME?</x:v>
      </x:c>
      <x:c r="C437" t="e">
        <x:f>IF($A437="","",[1]!thsiFinD("ths_adjustment_nv_fund",C$3,$A437))</x:f>
        <x:v>#NAME?</x:v>
      </x:c>
      <x:c r="D437" t="e">
        <x:f>IF($A437="","",[1]!thsiFinD("ths_adjustment_nv_fund",D$3,$A437))</x:f>
        <x:v>#NAME?</x:v>
      </x:c>
      <x:c r="E437" t="e">
        <x:f>IF($A437="","",[1]!thsiFinD("ths_adjustment_nv_fund",E$3,$A437))</x:f>
        <x:v>#NAME?</x:v>
      </x:c>
      <x:c r="F437" t="e">
        <x:f>IF($A437="","",[1]!thsiFinD("ths_adjustment_nv_fund",F$3,$A437))</x:f>
        <x:v>#NAME?</x:v>
      </x:c>
      <x:c r="G437" t="e">
        <x:f>IF($A437="","",[1]!thsiFinD("ths_adjustment_nv_fund",G$3,$A437))</x:f>
        <x:v>#NAME?</x:v>
      </x:c>
      <x:c r="H437" t="e">
        <x:f>IF($A437="","",[1]!thsiFinD("ths_adjustment_nv_fund",H$3,$A437))</x:f>
        <x:v>#NAME?</x:v>
      </x:c>
      <x:c r="I437" t="e">
        <x:f>IF($A437="","",[1]!thsiFinD("ths_adjustment_nv_fund",I$3,$A437))</x:f>
        <x:v>#NAME?</x:v>
      </x:c>
      <x:c r="J437" t="e">
        <x:f>IF($A437="","",[1]!thsiFinD("ths_adjustment_nv_fund",J$3,$A437))</x:f>
        <x:v>#NAME?</x:v>
      </x:c>
      <x:c r="K437" t="e">
        <x:f>IF($A437="","",[1]!thsiFinD("ths_adjustment_nv_fund",K$3,$A437))</x:f>
        <x:v>#NAME?</x:v>
      </x:c>
      <x:c r="L437" t="e">
        <x:f>IF($A437="","",[1]!thsiFinD("ths_adjustment_nv_fund",L$3,$A437))</x:f>
        <x:v>#NAME?</x:v>
      </x:c>
      <x:c r="M437" t="e">
        <x:f>IF($A437="","",[1]!thsiFinD("ths_adjustment_nv_fund",M$3,$A437))</x:f>
        <x:v>#NAME?</x:v>
      </x:c>
      <x:c r="N437" t="e">
        <x:f>IF($A437="","",[1]!thsiFinD("ths_adjustment_nv_fund",N$3,$A437))</x:f>
        <x:v>#NAME?</x:v>
      </x:c>
      <x:c r="O437" t="e">
        <x:f>IF($A437="","",[1]!thsiFinD("ths_adjustment_nv_fund",O$3,$A437))</x:f>
        <x:v>#NAME?</x:v>
      </x:c>
      <x:c r="P437" t="e">
        <x:f>IF($A437="","",[1]!thsiFinD("ths_adjustment_nv_fund",P$3,$A437))</x:f>
        <x:v>#NAME?</x:v>
      </x:c>
      <x:c r="Q437" t="e">
        <x:f>IF($A437="","",[1]!thsiFinD("ths_adjustment_nv_fund",Q$3,$A437))</x:f>
        <x:v>#NAME?</x:v>
      </x:c>
      <x:c r="R437" t="e">
        <x:f>IF($A437="","",[1]!thsiFinD("ths_adjustment_nv_fund",R$3,$A437))</x:f>
        <x:v>#NAME?</x:v>
      </x:c>
      <x:c r="S437" t="e">
        <x:f>IF($A437="","",[1]!thsiFinD("ths_adjustment_nv_fund",S$3,$A437))</x:f>
        <x:v>#NAME?</x:v>
      </x:c>
      <x:c r="T437" t="e">
        <x:f>IF($A437="","",[1]!thsiFinD("ths_adjustment_nv_fund",T$3,$A437))</x:f>
        <x:v>#NAME?</x:v>
      </x:c>
      <x:c r="U437" t="e">
        <x:f>IF($A437="","",[1]!thsiFinD("ths_adjustment_nv_fund",U$3,$A437))</x:f>
        <x:v>#NAME?</x:v>
      </x:c>
      <x:c r="V437" t="e">
        <x:f>IF($A437="","",[1]!thsiFinD("ths_adjustment_nv_fund",V$3,$A437))</x:f>
        <x:v>#NAME?</x:v>
      </x:c>
      <x:c r="W437" t="e">
        <x:f>IF($A437="","",[1]!thsiFinD("ths_adjustment_nv_fund",W$3,$A437))</x:f>
        <x:v>#NAME?</x:v>
      </x:c>
      <x:c r="X437" t="e">
        <x:f>IF($A437="","",[1]!thsiFinD("ths_adjustment_nv_fund",X$3,$A437))</x:f>
        <x:v>#NAME?</x:v>
      </x:c>
      <x:c r="Y437" t="e">
        <x:f>IF($A437="","",[1]!thsiFinD("ths_adjustment_nv_fund",Y$3,$A437))</x:f>
        <x:v>#NAME?</x:v>
      </x:c>
    </x:row>
    <x:row r="438">
      <x:c r="B438" t="e">
        <x:f>IF($A438="","",[1]!thsiFinD("ths_adjustment_nv_fund",B$3,$A438))</x:f>
        <x:v>#NAME?</x:v>
      </x:c>
      <x:c r="C438" t="e">
        <x:f>IF($A438="","",[1]!thsiFinD("ths_adjustment_nv_fund",C$3,$A438))</x:f>
        <x:v>#NAME?</x:v>
      </x:c>
      <x:c r="D438" t="e">
        <x:f>IF($A438="","",[1]!thsiFinD("ths_adjustment_nv_fund",D$3,$A438))</x:f>
        <x:v>#NAME?</x:v>
      </x:c>
      <x:c r="E438" t="e">
        <x:f>IF($A438="","",[1]!thsiFinD("ths_adjustment_nv_fund",E$3,$A438))</x:f>
        <x:v>#NAME?</x:v>
      </x:c>
      <x:c r="F438" t="e">
        <x:f>IF($A438="","",[1]!thsiFinD("ths_adjustment_nv_fund",F$3,$A438))</x:f>
        <x:v>#NAME?</x:v>
      </x:c>
      <x:c r="G438" t="e">
        <x:f>IF($A438="","",[1]!thsiFinD("ths_adjustment_nv_fund",G$3,$A438))</x:f>
        <x:v>#NAME?</x:v>
      </x:c>
      <x:c r="H438" t="e">
        <x:f>IF($A438="","",[1]!thsiFinD("ths_adjustment_nv_fund",H$3,$A438))</x:f>
        <x:v>#NAME?</x:v>
      </x:c>
      <x:c r="I438" t="e">
        <x:f>IF($A438="","",[1]!thsiFinD("ths_adjustment_nv_fund",I$3,$A438))</x:f>
        <x:v>#NAME?</x:v>
      </x:c>
      <x:c r="J438" t="e">
        <x:f>IF($A438="","",[1]!thsiFinD("ths_adjustment_nv_fund",J$3,$A438))</x:f>
        <x:v>#NAME?</x:v>
      </x:c>
      <x:c r="K438" t="e">
        <x:f>IF($A438="","",[1]!thsiFinD("ths_adjustment_nv_fund",K$3,$A438))</x:f>
        <x:v>#NAME?</x:v>
      </x:c>
      <x:c r="L438" t="e">
        <x:f>IF($A438="","",[1]!thsiFinD("ths_adjustment_nv_fund",L$3,$A438))</x:f>
        <x:v>#NAME?</x:v>
      </x:c>
      <x:c r="M438" t="e">
        <x:f>IF($A438="","",[1]!thsiFinD("ths_adjustment_nv_fund",M$3,$A438))</x:f>
        <x:v>#NAME?</x:v>
      </x:c>
      <x:c r="N438" t="e">
        <x:f>IF($A438="","",[1]!thsiFinD("ths_adjustment_nv_fund",N$3,$A438))</x:f>
        <x:v>#NAME?</x:v>
      </x:c>
      <x:c r="O438" t="e">
        <x:f>IF($A438="","",[1]!thsiFinD("ths_adjustment_nv_fund",O$3,$A438))</x:f>
        <x:v>#NAME?</x:v>
      </x:c>
      <x:c r="P438" t="e">
        <x:f>IF($A438="","",[1]!thsiFinD("ths_adjustment_nv_fund",P$3,$A438))</x:f>
        <x:v>#NAME?</x:v>
      </x:c>
      <x:c r="Q438" t="e">
        <x:f>IF($A438="","",[1]!thsiFinD("ths_adjustment_nv_fund",Q$3,$A438))</x:f>
        <x:v>#NAME?</x:v>
      </x:c>
      <x:c r="R438" t="e">
        <x:f>IF($A438="","",[1]!thsiFinD("ths_adjustment_nv_fund",R$3,$A438))</x:f>
        <x:v>#NAME?</x:v>
      </x:c>
      <x:c r="S438" t="e">
        <x:f>IF($A438="","",[1]!thsiFinD("ths_adjustment_nv_fund",S$3,$A438))</x:f>
        <x:v>#NAME?</x:v>
      </x:c>
      <x:c r="T438" t="e">
        <x:f>IF($A438="","",[1]!thsiFinD("ths_adjustment_nv_fund",T$3,$A438))</x:f>
        <x:v>#NAME?</x:v>
      </x:c>
      <x:c r="U438" t="e">
        <x:f>IF($A438="","",[1]!thsiFinD("ths_adjustment_nv_fund",U$3,$A438))</x:f>
        <x:v>#NAME?</x:v>
      </x:c>
      <x:c r="V438" t="e">
        <x:f>IF($A438="","",[1]!thsiFinD("ths_adjustment_nv_fund",V$3,$A438))</x:f>
        <x:v>#NAME?</x:v>
      </x:c>
      <x:c r="W438" t="e">
        <x:f>IF($A438="","",[1]!thsiFinD("ths_adjustment_nv_fund",W$3,$A438))</x:f>
        <x:v>#NAME?</x:v>
      </x:c>
      <x:c r="X438" t="e">
        <x:f>IF($A438="","",[1]!thsiFinD("ths_adjustment_nv_fund",X$3,$A438))</x:f>
        <x:v>#NAME?</x:v>
      </x:c>
      <x:c r="Y438" t="e">
        <x:f>IF($A438="","",[1]!thsiFinD("ths_adjustment_nv_fund",Y$3,$A438))</x:f>
        <x:v>#NAME?</x:v>
      </x:c>
    </x:row>
    <x:row r="439">
      <x:c r="B439" t="e">
        <x:f>IF($A439="","",[1]!thsiFinD("ths_adjustment_nv_fund",B$3,$A439))</x:f>
        <x:v>#NAME?</x:v>
      </x:c>
      <x:c r="C439" t="e">
        <x:f>IF($A439="","",[1]!thsiFinD("ths_adjustment_nv_fund",C$3,$A439))</x:f>
        <x:v>#NAME?</x:v>
      </x:c>
      <x:c r="D439" t="e">
        <x:f>IF($A439="","",[1]!thsiFinD("ths_adjustment_nv_fund",D$3,$A439))</x:f>
        <x:v>#NAME?</x:v>
      </x:c>
      <x:c r="E439" t="e">
        <x:f>IF($A439="","",[1]!thsiFinD("ths_adjustment_nv_fund",E$3,$A439))</x:f>
        <x:v>#NAME?</x:v>
      </x:c>
      <x:c r="F439" t="e">
        <x:f>IF($A439="","",[1]!thsiFinD("ths_adjustment_nv_fund",F$3,$A439))</x:f>
        <x:v>#NAME?</x:v>
      </x:c>
      <x:c r="G439" t="e">
        <x:f>IF($A439="","",[1]!thsiFinD("ths_adjustment_nv_fund",G$3,$A439))</x:f>
        <x:v>#NAME?</x:v>
      </x:c>
      <x:c r="H439" t="e">
        <x:f>IF($A439="","",[1]!thsiFinD("ths_adjustment_nv_fund",H$3,$A439))</x:f>
        <x:v>#NAME?</x:v>
      </x:c>
      <x:c r="I439" t="e">
        <x:f>IF($A439="","",[1]!thsiFinD("ths_adjustment_nv_fund",I$3,$A439))</x:f>
        <x:v>#NAME?</x:v>
      </x:c>
      <x:c r="J439" t="e">
        <x:f>IF($A439="","",[1]!thsiFinD("ths_adjustment_nv_fund",J$3,$A439))</x:f>
        <x:v>#NAME?</x:v>
      </x:c>
      <x:c r="K439" t="e">
        <x:f>IF($A439="","",[1]!thsiFinD("ths_adjustment_nv_fund",K$3,$A439))</x:f>
        <x:v>#NAME?</x:v>
      </x:c>
      <x:c r="L439" t="e">
        <x:f>IF($A439="","",[1]!thsiFinD("ths_adjustment_nv_fund",L$3,$A439))</x:f>
        <x:v>#NAME?</x:v>
      </x:c>
      <x:c r="M439" t="e">
        <x:f>IF($A439="","",[1]!thsiFinD("ths_adjustment_nv_fund",M$3,$A439))</x:f>
        <x:v>#NAME?</x:v>
      </x:c>
      <x:c r="N439" t="e">
        <x:f>IF($A439="","",[1]!thsiFinD("ths_adjustment_nv_fund",N$3,$A439))</x:f>
        <x:v>#NAME?</x:v>
      </x:c>
      <x:c r="O439" t="e">
        <x:f>IF($A439="","",[1]!thsiFinD("ths_adjustment_nv_fund",O$3,$A439))</x:f>
        <x:v>#NAME?</x:v>
      </x:c>
      <x:c r="P439" t="e">
        <x:f>IF($A439="","",[1]!thsiFinD("ths_adjustment_nv_fund",P$3,$A439))</x:f>
        <x:v>#NAME?</x:v>
      </x:c>
      <x:c r="Q439" t="e">
        <x:f>IF($A439="","",[1]!thsiFinD("ths_adjustment_nv_fund",Q$3,$A439))</x:f>
        <x:v>#NAME?</x:v>
      </x:c>
      <x:c r="R439" t="e">
        <x:f>IF($A439="","",[1]!thsiFinD("ths_adjustment_nv_fund",R$3,$A439))</x:f>
        <x:v>#NAME?</x:v>
      </x:c>
      <x:c r="S439" t="e">
        <x:f>IF($A439="","",[1]!thsiFinD("ths_adjustment_nv_fund",S$3,$A439))</x:f>
        <x:v>#NAME?</x:v>
      </x:c>
      <x:c r="T439" t="e">
        <x:f>IF($A439="","",[1]!thsiFinD("ths_adjustment_nv_fund",T$3,$A439))</x:f>
        <x:v>#NAME?</x:v>
      </x:c>
      <x:c r="U439" t="e">
        <x:f>IF($A439="","",[1]!thsiFinD("ths_adjustment_nv_fund",U$3,$A439))</x:f>
        <x:v>#NAME?</x:v>
      </x:c>
      <x:c r="V439" t="e">
        <x:f>IF($A439="","",[1]!thsiFinD("ths_adjustment_nv_fund",V$3,$A439))</x:f>
        <x:v>#NAME?</x:v>
      </x:c>
      <x:c r="W439" t="e">
        <x:f>IF($A439="","",[1]!thsiFinD("ths_adjustment_nv_fund",W$3,$A439))</x:f>
        <x:v>#NAME?</x:v>
      </x:c>
      <x:c r="X439" t="e">
        <x:f>IF($A439="","",[1]!thsiFinD("ths_adjustment_nv_fund",X$3,$A439))</x:f>
        <x:v>#NAME?</x:v>
      </x:c>
      <x:c r="Y439" t="e">
        <x:f>IF($A439="","",[1]!thsiFinD("ths_adjustment_nv_fund",Y$3,$A439))</x:f>
        <x:v>#NAME?</x:v>
      </x:c>
    </x:row>
    <x:row r="440">
      <x:c r="B440" t="e">
        <x:f>IF($A440="","",[1]!thsiFinD("ths_adjustment_nv_fund",B$3,$A440))</x:f>
        <x:v>#NAME?</x:v>
      </x:c>
      <x:c r="C440" t="e">
        <x:f>IF($A440="","",[1]!thsiFinD("ths_adjustment_nv_fund",C$3,$A440))</x:f>
        <x:v>#NAME?</x:v>
      </x:c>
      <x:c r="D440" t="e">
        <x:f>IF($A440="","",[1]!thsiFinD("ths_adjustment_nv_fund",D$3,$A440))</x:f>
        <x:v>#NAME?</x:v>
      </x:c>
      <x:c r="E440" t="e">
        <x:f>IF($A440="","",[1]!thsiFinD("ths_adjustment_nv_fund",E$3,$A440))</x:f>
        <x:v>#NAME?</x:v>
      </x:c>
      <x:c r="F440" t="e">
        <x:f>IF($A440="","",[1]!thsiFinD("ths_adjustment_nv_fund",F$3,$A440))</x:f>
        <x:v>#NAME?</x:v>
      </x:c>
      <x:c r="G440" t="e">
        <x:f>IF($A440="","",[1]!thsiFinD("ths_adjustment_nv_fund",G$3,$A440))</x:f>
        <x:v>#NAME?</x:v>
      </x:c>
      <x:c r="H440" t="e">
        <x:f>IF($A440="","",[1]!thsiFinD("ths_adjustment_nv_fund",H$3,$A440))</x:f>
        <x:v>#NAME?</x:v>
      </x:c>
      <x:c r="I440" t="e">
        <x:f>IF($A440="","",[1]!thsiFinD("ths_adjustment_nv_fund",I$3,$A440))</x:f>
        <x:v>#NAME?</x:v>
      </x:c>
      <x:c r="J440" t="e">
        <x:f>IF($A440="","",[1]!thsiFinD("ths_adjustment_nv_fund",J$3,$A440))</x:f>
        <x:v>#NAME?</x:v>
      </x:c>
      <x:c r="K440" t="e">
        <x:f>IF($A440="","",[1]!thsiFinD("ths_adjustment_nv_fund",K$3,$A440))</x:f>
        <x:v>#NAME?</x:v>
      </x:c>
      <x:c r="L440" t="e">
        <x:f>IF($A440="","",[1]!thsiFinD("ths_adjustment_nv_fund",L$3,$A440))</x:f>
        <x:v>#NAME?</x:v>
      </x:c>
      <x:c r="M440" t="e">
        <x:f>IF($A440="","",[1]!thsiFinD("ths_adjustment_nv_fund",M$3,$A440))</x:f>
        <x:v>#NAME?</x:v>
      </x:c>
      <x:c r="N440" t="e">
        <x:f>IF($A440="","",[1]!thsiFinD("ths_adjustment_nv_fund",N$3,$A440))</x:f>
        <x:v>#NAME?</x:v>
      </x:c>
      <x:c r="O440" t="e">
        <x:f>IF($A440="","",[1]!thsiFinD("ths_adjustment_nv_fund",O$3,$A440))</x:f>
        <x:v>#NAME?</x:v>
      </x:c>
      <x:c r="P440" t="e">
        <x:f>IF($A440="","",[1]!thsiFinD("ths_adjustment_nv_fund",P$3,$A440))</x:f>
        <x:v>#NAME?</x:v>
      </x:c>
      <x:c r="Q440" t="e">
        <x:f>IF($A440="","",[1]!thsiFinD("ths_adjustment_nv_fund",Q$3,$A440))</x:f>
        <x:v>#NAME?</x:v>
      </x:c>
      <x:c r="R440" t="e">
        <x:f>IF($A440="","",[1]!thsiFinD("ths_adjustment_nv_fund",R$3,$A440))</x:f>
        <x:v>#NAME?</x:v>
      </x:c>
      <x:c r="S440" t="e">
        <x:f>IF($A440="","",[1]!thsiFinD("ths_adjustment_nv_fund",S$3,$A440))</x:f>
        <x:v>#NAME?</x:v>
      </x:c>
      <x:c r="T440" t="e">
        <x:f>IF($A440="","",[1]!thsiFinD("ths_adjustment_nv_fund",T$3,$A440))</x:f>
        <x:v>#NAME?</x:v>
      </x:c>
      <x:c r="U440" t="e">
        <x:f>IF($A440="","",[1]!thsiFinD("ths_adjustment_nv_fund",U$3,$A440))</x:f>
        <x:v>#NAME?</x:v>
      </x:c>
      <x:c r="V440" t="e">
        <x:f>IF($A440="","",[1]!thsiFinD("ths_adjustment_nv_fund",V$3,$A440))</x:f>
        <x:v>#NAME?</x:v>
      </x:c>
      <x:c r="W440" t="e">
        <x:f>IF($A440="","",[1]!thsiFinD("ths_adjustment_nv_fund",W$3,$A440))</x:f>
        <x:v>#NAME?</x:v>
      </x:c>
      <x:c r="X440" t="e">
        <x:f>IF($A440="","",[1]!thsiFinD("ths_adjustment_nv_fund",X$3,$A440))</x:f>
        <x:v>#NAME?</x:v>
      </x:c>
      <x:c r="Y440" t="e">
        <x:f>IF($A440="","",[1]!thsiFinD("ths_adjustment_nv_fund",Y$3,$A440))</x:f>
        <x:v>#NAME?</x:v>
      </x:c>
    </x:row>
    <x:row r="441">
      <x:c r="B441" t="e">
        <x:f>IF($A441="","",[1]!thsiFinD("ths_adjustment_nv_fund",B$3,$A441))</x:f>
        <x:v>#NAME?</x:v>
      </x:c>
      <x:c r="C441" t="e">
        <x:f>IF($A441="","",[1]!thsiFinD("ths_adjustment_nv_fund",C$3,$A441))</x:f>
        <x:v>#NAME?</x:v>
      </x:c>
      <x:c r="D441" t="e">
        <x:f>IF($A441="","",[1]!thsiFinD("ths_adjustment_nv_fund",D$3,$A441))</x:f>
        <x:v>#NAME?</x:v>
      </x:c>
      <x:c r="E441" t="e">
        <x:f>IF($A441="","",[1]!thsiFinD("ths_adjustment_nv_fund",E$3,$A441))</x:f>
        <x:v>#NAME?</x:v>
      </x:c>
      <x:c r="F441" t="e">
        <x:f>IF($A441="","",[1]!thsiFinD("ths_adjustment_nv_fund",F$3,$A441))</x:f>
        <x:v>#NAME?</x:v>
      </x:c>
      <x:c r="G441" t="e">
        <x:f>IF($A441="","",[1]!thsiFinD("ths_adjustment_nv_fund",G$3,$A441))</x:f>
        <x:v>#NAME?</x:v>
      </x:c>
      <x:c r="H441" t="e">
        <x:f>IF($A441="","",[1]!thsiFinD("ths_adjustment_nv_fund",H$3,$A441))</x:f>
        <x:v>#NAME?</x:v>
      </x:c>
      <x:c r="I441" t="e">
        <x:f>IF($A441="","",[1]!thsiFinD("ths_adjustment_nv_fund",I$3,$A441))</x:f>
        <x:v>#NAME?</x:v>
      </x:c>
      <x:c r="J441" t="e">
        <x:f>IF($A441="","",[1]!thsiFinD("ths_adjustment_nv_fund",J$3,$A441))</x:f>
        <x:v>#NAME?</x:v>
      </x:c>
      <x:c r="K441" t="e">
        <x:f>IF($A441="","",[1]!thsiFinD("ths_adjustment_nv_fund",K$3,$A441))</x:f>
        <x:v>#NAME?</x:v>
      </x:c>
      <x:c r="L441" t="e">
        <x:f>IF($A441="","",[1]!thsiFinD("ths_adjustment_nv_fund",L$3,$A441))</x:f>
        <x:v>#NAME?</x:v>
      </x:c>
      <x:c r="M441" t="e">
        <x:f>IF($A441="","",[1]!thsiFinD("ths_adjustment_nv_fund",M$3,$A441))</x:f>
        <x:v>#NAME?</x:v>
      </x:c>
      <x:c r="N441" t="e">
        <x:f>IF($A441="","",[1]!thsiFinD("ths_adjustment_nv_fund",N$3,$A441))</x:f>
        <x:v>#NAME?</x:v>
      </x:c>
      <x:c r="O441" t="e">
        <x:f>IF($A441="","",[1]!thsiFinD("ths_adjustment_nv_fund",O$3,$A441))</x:f>
        <x:v>#NAME?</x:v>
      </x:c>
      <x:c r="P441" t="e">
        <x:f>IF($A441="","",[1]!thsiFinD("ths_adjustment_nv_fund",P$3,$A441))</x:f>
        <x:v>#NAME?</x:v>
      </x:c>
      <x:c r="Q441" t="e">
        <x:f>IF($A441="","",[1]!thsiFinD("ths_adjustment_nv_fund",Q$3,$A441))</x:f>
        <x:v>#NAME?</x:v>
      </x:c>
      <x:c r="R441" t="e">
        <x:f>IF($A441="","",[1]!thsiFinD("ths_adjustment_nv_fund",R$3,$A441))</x:f>
        <x:v>#NAME?</x:v>
      </x:c>
      <x:c r="S441" t="e">
        <x:f>IF($A441="","",[1]!thsiFinD("ths_adjustment_nv_fund",S$3,$A441))</x:f>
        <x:v>#NAME?</x:v>
      </x:c>
      <x:c r="T441" t="e">
        <x:f>IF($A441="","",[1]!thsiFinD("ths_adjustment_nv_fund",T$3,$A441))</x:f>
        <x:v>#NAME?</x:v>
      </x:c>
      <x:c r="U441" t="e">
        <x:f>IF($A441="","",[1]!thsiFinD("ths_adjustment_nv_fund",U$3,$A441))</x:f>
        <x:v>#NAME?</x:v>
      </x:c>
      <x:c r="V441" t="e">
        <x:f>IF($A441="","",[1]!thsiFinD("ths_adjustment_nv_fund",V$3,$A441))</x:f>
        <x:v>#NAME?</x:v>
      </x:c>
      <x:c r="W441" t="e">
        <x:f>IF($A441="","",[1]!thsiFinD("ths_adjustment_nv_fund",W$3,$A441))</x:f>
        <x:v>#NAME?</x:v>
      </x:c>
      <x:c r="X441" t="e">
        <x:f>IF($A441="","",[1]!thsiFinD("ths_adjustment_nv_fund",X$3,$A441))</x:f>
        <x:v>#NAME?</x:v>
      </x:c>
      <x:c r="Y441" t="e">
        <x:f>IF($A441="","",[1]!thsiFinD("ths_adjustment_nv_fund",Y$3,$A441))</x:f>
        <x:v>#NAME?</x:v>
      </x:c>
    </x:row>
    <x:row r="442">
      <x:c r="B442" t="e">
        <x:f>IF($A442="","",[1]!thsiFinD("ths_adjustment_nv_fund",B$3,$A442))</x:f>
        <x:v>#NAME?</x:v>
      </x:c>
      <x:c r="C442" t="e">
        <x:f>IF($A442="","",[1]!thsiFinD("ths_adjustment_nv_fund",C$3,$A442))</x:f>
        <x:v>#NAME?</x:v>
      </x:c>
      <x:c r="D442" t="e">
        <x:f>IF($A442="","",[1]!thsiFinD("ths_adjustment_nv_fund",D$3,$A442))</x:f>
        <x:v>#NAME?</x:v>
      </x:c>
      <x:c r="E442" t="e">
        <x:f>IF($A442="","",[1]!thsiFinD("ths_adjustment_nv_fund",E$3,$A442))</x:f>
        <x:v>#NAME?</x:v>
      </x:c>
      <x:c r="F442" t="e">
        <x:f>IF($A442="","",[1]!thsiFinD("ths_adjustment_nv_fund",F$3,$A442))</x:f>
        <x:v>#NAME?</x:v>
      </x:c>
      <x:c r="G442" t="e">
        <x:f>IF($A442="","",[1]!thsiFinD("ths_adjustment_nv_fund",G$3,$A442))</x:f>
        <x:v>#NAME?</x:v>
      </x:c>
      <x:c r="H442" t="e">
        <x:f>IF($A442="","",[1]!thsiFinD("ths_adjustment_nv_fund",H$3,$A442))</x:f>
        <x:v>#NAME?</x:v>
      </x:c>
      <x:c r="I442" t="e">
        <x:f>IF($A442="","",[1]!thsiFinD("ths_adjustment_nv_fund",I$3,$A442))</x:f>
        <x:v>#NAME?</x:v>
      </x:c>
      <x:c r="J442" t="e">
        <x:f>IF($A442="","",[1]!thsiFinD("ths_adjustment_nv_fund",J$3,$A442))</x:f>
        <x:v>#NAME?</x:v>
      </x:c>
      <x:c r="K442" t="e">
        <x:f>IF($A442="","",[1]!thsiFinD("ths_adjustment_nv_fund",K$3,$A442))</x:f>
        <x:v>#NAME?</x:v>
      </x:c>
      <x:c r="L442" t="e">
        <x:f>IF($A442="","",[1]!thsiFinD("ths_adjustment_nv_fund",L$3,$A442))</x:f>
        <x:v>#NAME?</x:v>
      </x:c>
      <x:c r="M442" t="e">
        <x:f>IF($A442="","",[1]!thsiFinD("ths_adjustment_nv_fund",M$3,$A442))</x:f>
        <x:v>#NAME?</x:v>
      </x:c>
      <x:c r="N442" t="e">
        <x:f>IF($A442="","",[1]!thsiFinD("ths_adjustment_nv_fund",N$3,$A442))</x:f>
        <x:v>#NAME?</x:v>
      </x:c>
      <x:c r="O442" t="e">
        <x:f>IF($A442="","",[1]!thsiFinD("ths_adjustment_nv_fund",O$3,$A442))</x:f>
        <x:v>#NAME?</x:v>
      </x:c>
      <x:c r="P442" t="e">
        <x:f>IF($A442="","",[1]!thsiFinD("ths_adjustment_nv_fund",P$3,$A442))</x:f>
        <x:v>#NAME?</x:v>
      </x:c>
      <x:c r="Q442" t="e">
        <x:f>IF($A442="","",[1]!thsiFinD("ths_adjustment_nv_fund",Q$3,$A442))</x:f>
        <x:v>#NAME?</x:v>
      </x:c>
      <x:c r="R442" t="e">
        <x:f>IF($A442="","",[1]!thsiFinD("ths_adjustment_nv_fund",R$3,$A442))</x:f>
        <x:v>#NAME?</x:v>
      </x:c>
      <x:c r="S442" t="e">
        <x:f>IF($A442="","",[1]!thsiFinD("ths_adjustment_nv_fund",S$3,$A442))</x:f>
        <x:v>#NAME?</x:v>
      </x:c>
      <x:c r="T442" t="e">
        <x:f>IF($A442="","",[1]!thsiFinD("ths_adjustment_nv_fund",T$3,$A442))</x:f>
        <x:v>#NAME?</x:v>
      </x:c>
      <x:c r="U442" t="e">
        <x:f>IF($A442="","",[1]!thsiFinD("ths_adjustment_nv_fund",U$3,$A442))</x:f>
        <x:v>#NAME?</x:v>
      </x:c>
      <x:c r="V442" t="e">
        <x:f>IF($A442="","",[1]!thsiFinD("ths_adjustment_nv_fund",V$3,$A442))</x:f>
        <x:v>#NAME?</x:v>
      </x:c>
      <x:c r="W442" t="e">
        <x:f>IF($A442="","",[1]!thsiFinD("ths_adjustment_nv_fund",W$3,$A442))</x:f>
        <x:v>#NAME?</x:v>
      </x:c>
      <x:c r="X442" t="e">
        <x:f>IF($A442="","",[1]!thsiFinD("ths_adjustment_nv_fund",X$3,$A442))</x:f>
        <x:v>#NAME?</x:v>
      </x:c>
      <x:c r="Y442" t="e">
        <x:f>IF($A442="","",[1]!thsiFinD("ths_adjustment_nv_fund",Y$3,$A442))</x:f>
        <x:v>#NAME?</x:v>
      </x:c>
    </x:row>
    <x:row r="443">
      <x:c r="B443" t="e">
        <x:f>IF($A443="","",[1]!thsiFinD("ths_adjustment_nv_fund",B$3,$A443))</x:f>
        <x:v>#NAME?</x:v>
      </x:c>
      <x:c r="C443" t="e">
        <x:f>IF($A443="","",[1]!thsiFinD("ths_adjustment_nv_fund",C$3,$A443))</x:f>
        <x:v>#NAME?</x:v>
      </x:c>
      <x:c r="D443" t="e">
        <x:f>IF($A443="","",[1]!thsiFinD("ths_adjustment_nv_fund",D$3,$A443))</x:f>
        <x:v>#NAME?</x:v>
      </x:c>
      <x:c r="E443" t="e">
        <x:f>IF($A443="","",[1]!thsiFinD("ths_adjustment_nv_fund",E$3,$A443))</x:f>
        <x:v>#NAME?</x:v>
      </x:c>
      <x:c r="F443" t="e">
        <x:f>IF($A443="","",[1]!thsiFinD("ths_adjustment_nv_fund",F$3,$A443))</x:f>
        <x:v>#NAME?</x:v>
      </x:c>
      <x:c r="G443" t="e">
        <x:f>IF($A443="","",[1]!thsiFinD("ths_adjustment_nv_fund",G$3,$A443))</x:f>
        <x:v>#NAME?</x:v>
      </x:c>
      <x:c r="H443" t="e">
        <x:f>IF($A443="","",[1]!thsiFinD("ths_adjustment_nv_fund",H$3,$A443))</x:f>
        <x:v>#NAME?</x:v>
      </x:c>
      <x:c r="I443" t="e">
        <x:f>IF($A443="","",[1]!thsiFinD("ths_adjustment_nv_fund",I$3,$A443))</x:f>
        <x:v>#NAME?</x:v>
      </x:c>
      <x:c r="J443" t="e">
        <x:f>IF($A443="","",[1]!thsiFinD("ths_adjustment_nv_fund",J$3,$A443))</x:f>
        <x:v>#NAME?</x:v>
      </x:c>
      <x:c r="K443" t="e">
        <x:f>IF($A443="","",[1]!thsiFinD("ths_adjustment_nv_fund",K$3,$A443))</x:f>
        <x:v>#NAME?</x:v>
      </x:c>
      <x:c r="L443" t="e">
        <x:f>IF($A443="","",[1]!thsiFinD("ths_adjustment_nv_fund",L$3,$A443))</x:f>
        <x:v>#NAME?</x:v>
      </x:c>
      <x:c r="M443" t="e">
        <x:f>IF($A443="","",[1]!thsiFinD("ths_adjustment_nv_fund",M$3,$A443))</x:f>
        <x:v>#NAME?</x:v>
      </x:c>
      <x:c r="N443" t="e">
        <x:f>IF($A443="","",[1]!thsiFinD("ths_adjustment_nv_fund",N$3,$A443))</x:f>
        <x:v>#NAME?</x:v>
      </x:c>
      <x:c r="O443" t="e">
        <x:f>IF($A443="","",[1]!thsiFinD("ths_adjustment_nv_fund",O$3,$A443))</x:f>
        <x:v>#NAME?</x:v>
      </x:c>
      <x:c r="P443" t="e">
        <x:f>IF($A443="","",[1]!thsiFinD("ths_adjustment_nv_fund",P$3,$A443))</x:f>
        <x:v>#NAME?</x:v>
      </x:c>
      <x:c r="Q443" t="e">
        <x:f>IF($A443="","",[1]!thsiFinD("ths_adjustment_nv_fund",Q$3,$A443))</x:f>
        <x:v>#NAME?</x:v>
      </x:c>
      <x:c r="R443" t="e">
        <x:f>IF($A443="","",[1]!thsiFinD("ths_adjustment_nv_fund",R$3,$A443))</x:f>
        <x:v>#NAME?</x:v>
      </x:c>
      <x:c r="S443" t="e">
        <x:f>IF($A443="","",[1]!thsiFinD("ths_adjustment_nv_fund",S$3,$A443))</x:f>
        <x:v>#NAME?</x:v>
      </x:c>
      <x:c r="T443" t="e">
        <x:f>IF($A443="","",[1]!thsiFinD("ths_adjustment_nv_fund",T$3,$A443))</x:f>
        <x:v>#NAME?</x:v>
      </x:c>
      <x:c r="U443" t="e">
        <x:f>IF($A443="","",[1]!thsiFinD("ths_adjustment_nv_fund",U$3,$A443))</x:f>
        <x:v>#NAME?</x:v>
      </x:c>
      <x:c r="V443" t="e">
        <x:f>IF($A443="","",[1]!thsiFinD("ths_adjustment_nv_fund",V$3,$A443))</x:f>
        <x:v>#NAME?</x:v>
      </x:c>
      <x:c r="W443" t="e">
        <x:f>IF($A443="","",[1]!thsiFinD("ths_adjustment_nv_fund",W$3,$A443))</x:f>
        <x:v>#NAME?</x:v>
      </x:c>
      <x:c r="X443" t="e">
        <x:f>IF($A443="","",[1]!thsiFinD("ths_adjustment_nv_fund",X$3,$A443))</x:f>
        <x:v>#NAME?</x:v>
      </x:c>
      <x:c r="Y443" t="e">
        <x:f>IF($A443="","",[1]!thsiFinD("ths_adjustment_nv_fund",Y$3,$A443))</x:f>
        <x:v>#NAME?</x:v>
      </x:c>
    </x:row>
    <x:row r="444">
      <x:c r="B444" t="e">
        <x:f>IF($A444="","",[1]!thsiFinD("ths_adjustment_nv_fund",B$3,$A444))</x:f>
        <x:v>#NAME?</x:v>
      </x:c>
      <x:c r="C444" t="e">
        <x:f>IF($A444="","",[1]!thsiFinD("ths_adjustment_nv_fund",C$3,$A444))</x:f>
        <x:v>#NAME?</x:v>
      </x:c>
      <x:c r="D444" t="e">
        <x:f>IF($A444="","",[1]!thsiFinD("ths_adjustment_nv_fund",D$3,$A444))</x:f>
        <x:v>#NAME?</x:v>
      </x:c>
      <x:c r="E444" t="e">
        <x:f>IF($A444="","",[1]!thsiFinD("ths_adjustment_nv_fund",E$3,$A444))</x:f>
        <x:v>#NAME?</x:v>
      </x:c>
      <x:c r="F444" t="e">
        <x:f>IF($A444="","",[1]!thsiFinD("ths_adjustment_nv_fund",F$3,$A444))</x:f>
        <x:v>#NAME?</x:v>
      </x:c>
      <x:c r="G444" t="e">
        <x:f>IF($A444="","",[1]!thsiFinD("ths_adjustment_nv_fund",G$3,$A444))</x:f>
        <x:v>#NAME?</x:v>
      </x:c>
      <x:c r="H444" t="e">
        <x:f>IF($A444="","",[1]!thsiFinD("ths_adjustment_nv_fund",H$3,$A444))</x:f>
        <x:v>#NAME?</x:v>
      </x:c>
      <x:c r="I444" t="e">
        <x:f>IF($A444="","",[1]!thsiFinD("ths_adjustment_nv_fund",I$3,$A444))</x:f>
        <x:v>#NAME?</x:v>
      </x:c>
      <x:c r="J444" t="e">
        <x:f>IF($A444="","",[1]!thsiFinD("ths_adjustment_nv_fund",J$3,$A444))</x:f>
        <x:v>#NAME?</x:v>
      </x:c>
      <x:c r="K444" t="e">
        <x:f>IF($A444="","",[1]!thsiFinD("ths_adjustment_nv_fund",K$3,$A444))</x:f>
        <x:v>#NAME?</x:v>
      </x:c>
      <x:c r="L444" t="e">
        <x:f>IF($A444="","",[1]!thsiFinD("ths_adjustment_nv_fund",L$3,$A444))</x:f>
        <x:v>#NAME?</x:v>
      </x:c>
      <x:c r="M444" t="e">
        <x:f>IF($A444="","",[1]!thsiFinD("ths_adjustment_nv_fund",M$3,$A444))</x:f>
        <x:v>#NAME?</x:v>
      </x:c>
      <x:c r="N444" t="e">
        <x:f>IF($A444="","",[1]!thsiFinD("ths_adjustment_nv_fund",N$3,$A444))</x:f>
        <x:v>#NAME?</x:v>
      </x:c>
      <x:c r="O444" t="e">
        <x:f>IF($A444="","",[1]!thsiFinD("ths_adjustment_nv_fund",O$3,$A444))</x:f>
        <x:v>#NAME?</x:v>
      </x:c>
      <x:c r="P444" t="e">
        <x:f>IF($A444="","",[1]!thsiFinD("ths_adjustment_nv_fund",P$3,$A444))</x:f>
        <x:v>#NAME?</x:v>
      </x:c>
      <x:c r="Q444" t="e">
        <x:f>IF($A444="","",[1]!thsiFinD("ths_adjustment_nv_fund",Q$3,$A444))</x:f>
        <x:v>#NAME?</x:v>
      </x:c>
      <x:c r="R444" t="e">
        <x:f>IF($A444="","",[1]!thsiFinD("ths_adjustment_nv_fund",R$3,$A444))</x:f>
        <x:v>#NAME?</x:v>
      </x:c>
      <x:c r="S444" t="e">
        <x:f>IF($A444="","",[1]!thsiFinD("ths_adjustment_nv_fund",S$3,$A444))</x:f>
        <x:v>#NAME?</x:v>
      </x:c>
      <x:c r="T444" t="e">
        <x:f>IF($A444="","",[1]!thsiFinD("ths_adjustment_nv_fund",T$3,$A444))</x:f>
        <x:v>#NAME?</x:v>
      </x:c>
      <x:c r="U444" t="e">
        <x:f>IF($A444="","",[1]!thsiFinD("ths_adjustment_nv_fund",U$3,$A444))</x:f>
        <x:v>#NAME?</x:v>
      </x:c>
      <x:c r="V444" t="e">
        <x:f>IF($A444="","",[1]!thsiFinD("ths_adjustment_nv_fund",V$3,$A444))</x:f>
        <x:v>#NAME?</x:v>
      </x:c>
      <x:c r="W444" t="e">
        <x:f>IF($A444="","",[1]!thsiFinD("ths_adjustment_nv_fund",W$3,$A444))</x:f>
        <x:v>#NAME?</x:v>
      </x:c>
      <x:c r="X444" t="e">
        <x:f>IF($A444="","",[1]!thsiFinD("ths_adjustment_nv_fund",X$3,$A444))</x:f>
        <x:v>#NAME?</x:v>
      </x:c>
      <x:c r="Y444" t="e">
        <x:f>IF($A444="","",[1]!thsiFinD("ths_adjustment_nv_fund",Y$3,$A444))</x:f>
        <x:v>#NAME?</x:v>
      </x:c>
    </x:row>
    <x:row r="445">
      <x:c r="B445" t="e">
        <x:f>IF($A445="","",[1]!thsiFinD("ths_adjustment_nv_fund",B$3,$A445))</x:f>
        <x:v>#NAME?</x:v>
      </x:c>
      <x:c r="C445" t="e">
        <x:f>IF($A445="","",[1]!thsiFinD("ths_adjustment_nv_fund",C$3,$A445))</x:f>
        <x:v>#NAME?</x:v>
      </x:c>
      <x:c r="D445" t="e">
        <x:f>IF($A445="","",[1]!thsiFinD("ths_adjustment_nv_fund",D$3,$A445))</x:f>
        <x:v>#NAME?</x:v>
      </x:c>
      <x:c r="E445" t="e">
        <x:f>IF($A445="","",[1]!thsiFinD("ths_adjustment_nv_fund",E$3,$A445))</x:f>
        <x:v>#NAME?</x:v>
      </x:c>
      <x:c r="F445" t="e">
        <x:f>IF($A445="","",[1]!thsiFinD("ths_adjustment_nv_fund",F$3,$A445))</x:f>
        <x:v>#NAME?</x:v>
      </x:c>
      <x:c r="G445" t="e">
        <x:f>IF($A445="","",[1]!thsiFinD("ths_adjustment_nv_fund",G$3,$A445))</x:f>
        <x:v>#NAME?</x:v>
      </x:c>
      <x:c r="H445" t="e">
        <x:f>IF($A445="","",[1]!thsiFinD("ths_adjustment_nv_fund",H$3,$A445))</x:f>
        <x:v>#NAME?</x:v>
      </x:c>
      <x:c r="I445" t="e">
        <x:f>IF($A445="","",[1]!thsiFinD("ths_adjustment_nv_fund",I$3,$A445))</x:f>
        <x:v>#NAME?</x:v>
      </x:c>
      <x:c r="J445" t="e">
        <x:f>IF($A445="","",[1]!thsiFinD("ths_adjustment_nv_fund",J$3,$A445))</x:f>
        <x:v>#NAME?</x:v>
      </x:c>
      <x:c r="K445" t="e">
        <x:f>IF($A445="","",[1]!thsiFinD("ths_adjustment_nv_fund",K$3,$A445))</x:f>
        <x:v>#NAME?</x:v>
      </x:c>
      <x:c r="L445" t="e">
        <x:f>IF($A445="","",[1]!thsiFinD("ths_adjustment_nv_fund",L$3,$A445))</x:f>
        <x:v>#NAME?</x:v>
      </x:c>
      <x:c r="M445" t="e">
        <x:f>IF($A445="","",[1]!thsiFinD("ths_adjustment_nv_fund",M$3,$A445))</x:f>
        <x:v>#NAME?</x:v>
      </x:c>
      <x:c r="N445" t="e">
        <x:f>IF($A445="","",[1]!thsiFinD("ths_adjustment_nv_fund",N$3,$A445))</x:f>
        <x:v>#NAME?</x:v>
      </x:c>
      <x:c r="O445" t="e">
        <x:f>IF($A445="","",[1]!thsiFinD("ths_adjustment_nv_fund",O$3,$A445))</x:f>
        <x:v>#NAME?</x:v>
      </x:c>
      <x:c r="P445" t="e">
        <x:f>IF($A445="","",[1]!thsiFinD("ths_adjustment_nv_fund",P$3,$A445))</x:f>
        <x:v>#NAME?</x:v>
      </x:c>
      <x:c r="Q445" t="e">
        <x:f>IF($A445="","",[1]!thsiFinD("ths_adjustment_nv_fund",Q$3,$A445))</x:f>
        <x:v>#NAME?</x:v>
      </x:c>
      <x:c r="R445" t="e">
        <x:f>IF($A445="","",[1]!thsiFinD("ths_adjustment_nv_fund",R$3,$A445))</x:f>
        <x:v>#NAME?</x:v>
      </x:c>
      <x:c r="S445" t="e">
        <x:f>IF($A445="","",[1]!thsiFinD("ths_adjustment_nv_fund",S$3,$A445))</x:f>
        <x:v>#NAME?</x:v>
      </x:c>
      <x:c r="T445" t="e">
        <x:f>IF($A445="","",[1]!thsiFinD("ths_adjustment_nv_fund",T$3,$A445))</x:f>
        <x:v>#NAME?</x:v>
      </x:c>
      <x:c r="U445" t="e">
        <x:f>IF($A445="","",[1]!thsiFinD("ths_adjustment_nv_fund",U$3,$A445))</x:f>
        <x:v>#NAME?</x:v>
      </x:c>
      <x:c r="V445" t="e">
        <x:f>IF($A445="","",[1]!thsiFinD("ths_adjustment_nv_fund",V$3,$A445))</x:f>
        <x:v>#NAME?</x:v>
      </x:c>
      <x:c r="W445" t="e">
        <x:f>IF($A445="","",[1]!thsiFinD("ths_adjustment_nv_fund",W$3,$A445))</x:f>
        <x:v>#NAME?</x:v>
      </x:c>
      <x:c r="X445" t="e">
        <x:f>IF($A445="","",[1]!thsiFinD("ths_adjustment_nv_fund",X$3,$A445))</x:f>
        <x:v>#NAME?</x:v>
      </x:c>
      <x:c r="Y445" t="e">
        <x:f>IF($A445="","",[1]!thsiFinD("ths_adjustment_nv_fund",Y$3,$A445))</x:f>
        <x:v>#NAME?</x:v>
      </x:c>
    </x:row>
    <x:row r="446">
      <x:c r="B446" t="e">
        <x:f>IF($A446="","",[1]!thsiFinD("ths_adjustment_nv_fund",B$3,$A446))</x:f>
        <x:v>#NAME?</x:v>
      </x:c>
      <x:c r="C446" t="e">
        <x:f>IF($A446="","",[1]!thsiFinD("ths_adjustment_nv_fund",C$3,$A446))</x:f>
        <x:v>#NAME?</x:v>
      </x:c>
      <x:c r="D446" t="e">
        <x:f>IF($A446="","",[1]!thsiFinD("ths_adjustment_nv_fund",D$3,$A446))</x:f>
        <x:v>#NAME?</x:v>
      </x:c>
      <x:c r="E446" t="e">
        <x:f>IF($A446="","",[1]!thsiFinD("ths_adjustment_nv_fund",E$3,$A446))</x:f>
        <x:v>#NAME?</x:v>
      </x:c>
      <x:c r="F446" t="e">
        <x:f>IF($A446="","",[1]!thsiFinD("ths_adjustment_nv_fund",F$3,$A446))</x:f>
        <x:v>#NAME?</x:v>
      </x:c>
      <x:c r="G446" t="e">
        <x:f>IF($A446="","",[1]!thsiFinD("ths_adjustment_nv_fund",G$3,$A446))</x:f>
        <x:v>#NAME?</x:v>
      </x:c>
      <x:c r="H446" t="e">
        <x:f>IF($A446="","",[1]!thsiFinD("ths_adjustment_nv_fund",H$3,$A446))</x:f>
        <x:v>#NAME?</x:v>
      </x:c>
      <x:c r="I446" t="e">
        <x:f>IF($A446="","",[1]!thsiFinD("ths_adjustment_nv_fund",I$3,$A446))</x:f>
        <x:v>#NAME?</x:v>
      </x:c>
      <x:c r="J446" t="e">
        <x:f>IF($A446="","",[1]!thsiFinD("ths_adjustment_nv_fund",J$3,$A446))</x:f>
        <x:v>#NAME?</x:v>
      </x:c>
      <x:c r="K446" t="e">
        <x:f>IF($A446="","",[1]!thsiFinD("ths_adjustment_nv_fund",K$3,$A446))</x:f>
        <x:v>#NAME?</x:v>
      </x:c>
      <x:c r="L446" t="e">
        <x:f>IF($A446="","",[1]!thsiFinD("ths_adjustment_nv_fund",L$3,$A446))</x:f>
        <x:v>#NAME?</x:v>
      </x:c>
      <x:c r="M446" t="e">
        <x:f>IF($A446="","",[1]!thsiFinD("ths_adjustment_nv_fund",M$3,$A446))</x:f>
        <x:v>#NAME?</x:v>
      </x:c>
      <x:c r="N446" t="e">
        <x:f>IF($A446="","",[1]!thsiFinD("ths_adjustment_nv_fund",N$3,$A446))</x:f>
        <x:v>#NAME?</x:v>
      </x:c>
      <x:c r="O446" t="e">
        <x:f>IF($A446="","",[1]!thsiFinD("ths_adjustment_nv_fund",O$3,$A446))</x:f>
        <x:v>#NAME?</x:v>
      </x:c>
      <x:c r="P446" t="e">
        <x:f>IF($A446="","",[1]!thsiFinD("ths_adjustment_nv_fund",P$3,$A446))</x:f>
        <x:v>#NAME?</x:v>
      </x:c>
      <x:c r="Q446" t="e">
        <x:f>IF($A446="","",[1]!thsiFinD("ths_adjustment_nv_fund",Q$3,$A446))</x:f>
        <x:v>#NAME?</x:v>
      </x:c>
      <x:c r="R446" t="e">
        <x:f>IF($A446="","",[1]!thsiFinD("ths_adjustment_nv_fund",R$3,$A446))</x:f>
        <x:v>#NAME?</x:v>
      </x:c>
      <x:c r="S446" t="e">
        <x:f>IF($A446="","",[1]!thsiFinD("ths_adjustment_nv_fund",S$3,$A446))</x:f>
        <x:v>#NAME?</x:v>
      </x:c>
      <x:c r="T446" t="e">
        <x:f>IF($A446="","",[1]!thsiFinD("ths_adjustment_nv_fund",T$3,$A446))</x:f>
        <x:v>#NAME?</x:v>
      </x:c>
      <x:c r="U446" t="e">
        <x:f>IF($A446="","",[1]!thsiFinD("ths_adjustment_nv_fund",U$3,$A446))</x:f>
        <x:v>#NAME?</x:v>
      </x:c>
      <x:c r="V446" t="e">
        <x:f>IF($A446="","",[1]!thsiFinD("ths_adjustment_nv_fund",V$3,$A446))</x:f>
        <x:v>#NAME?</x:v>
      </x:c>
      <x:c r="W446" t="e">
        <x:f>IF($A446="","",[1]!thsiFinD("ths_adjustment_nv_fund",W$3,$A446))</x:f>
        <x:v>#NAME?</x:v>
      </x:c>
      <x:c r="X446" t="e">
        <x:f>IF($A446="","",[1]!thsiFinD("ths_adjustment_nv_fund",X$3,$A446))</x:f>
        <x:v>#NAME?</x:v>
      </x:c>
      <x:c r="Y446" t="e">
        <x:f>IF($A446="","",[1]!thsiFinD("ths_adjustment_nv_fund",Y$3,$A446))</x:f>
        <x:v>#NAME?</x:v>
      </x:c>
    </x:row>
    <x:row r="447">
      <x:c r="B447" t="e">
        <x:f>IF($A447="","",[1]!thsiFinD("ths_adjustment_nv_fund",B$3,$A447))</x:f>
        <x:v>#NAME?</x:v>
      </x:c>
      <x:c r="C447" t="e">
        <x:f>IF($A447="","",[1]!thsiFinD("ths_adjustment_nv_fund",C$3,$A447))</x:f>
        <x:v>#NAME?</x:v>
      </x:c>
      <x:c r="D447" t="e">
        <x:f>IF($A447="","",[1]!thsiFinD("ths_adjustment_nv_fund",D$3,$A447))</x:f>
        <x:v>#NAME?</x:v>
      </x:c>
      <x:c r="E447" t="e">
        <x:f>IF($A447="","",[1]!thsiFinD("ths_adjustment_nv_fund",E$3,$A447))</x:f>
        <x:v>#NAME?</x:v>
      </x:c>
      <x:c r="F447" t="e">
        <x:f>IF($A447="","",[1]!thsiFinD("ths_adjustment_nv_fund",F$3,$A447))</x:f>
        <x:v>#NAME?</x:v>
      </x:c>
      <x:c r="G447" t="e">
        <x:f>IF($A447="","",[1]!thsiFinD("ths_adjustment_nv_fund",G$3,$A447))</x:f>
        <x:v>#NAME?</x:v>
      </x:c>
      <x:c r="H447" t="e">
        <x:f>IF($A447="","",[1]!thsiFinD("ths_adjustment_nv_fund",H$3,$A447))</x:f>
        <x:v>#NAME?</x:v>
      </x:c>
      <x:c r="I447" t="e">
        <x:f>IF($A447="","",[1]!thsiFinD("ths_adjustment_nv_fund",I$3,$A447))</x:f>
        <x:v>#NAME?</x:v>
      </x:c>
      <x:c r="J447" t="e">
        <x:f>IF($A447="","",[1]!thsiFinD("ths_adjustment_nv_fund",J$3,$A447))</x:f>
        <x:v>#NAME?</x:v>
      </x:c>
      <x:c r="K447" t="e">
        <x:f>IF($A447="","",[1]!thsiFinD("ths_adjustment_nv_fund",K$3,$A447))</x:f>
        <x:v>#NAME?</x:v>
      </x:c>
      <x:c r="L447" t="e">
        <x:f>IF($A447="","",[1]!thsiFinD("ths_adjustment_nv_fund",L$3,$A447))</x:f>
        <x:v>#NAME?</x:v>
      </x:c>
      <x:c r="M447" t="e">
        <x:f>IF($A447="","",[1]!thsiFinD("ths_adjustment_nv_fund",M$3,$A447))</x:f>
        <x:v>#NAME?</x:v>
      </x:c>
      <x:c r="N447" t="e">
        <x:f>IF($A447="","",[1]!thsiFinD("ths_adjustment_nv_fund",N$3,$A447))</x:f>
        <x:v>#NAME?</x:v>
      </x:c>
      <x:c r="O447" t="e">
        <x:f>IF($A447="","",[1]!thsiFinD("ths_adjustment_nv_fund",O$3,$A447))</x:f>
        <x:v>#NAME?</x:v>
      </x:c>
      <x:c r="P447" t="e">
        <x:f>IF($A447="","",[1]!thsiFinD("ths_adjustment_nv_fund",P$3,$A447))</x:f>
        <x:v>#NAME?</x:v>
      </x:c>
      <x:c r="Q447" t="e">
        <x:f>IF($A447="","",[1]!thsiFinD("ths_adjustment_nv_fund",Q$3,$A447))</x:f>
        <x:v>#NAME?</x:v>
      </x:c>
      <x:c r="R447" t="e">
        <x:f>IF($A447="","",[1]!thsiFinD("ths_adjustment_nv_fund",R$3,$A447))</x:f>
        <x:v>#NAME?</x:v>
      </x:c>
      <x:c r="S447" t="e">
        <x:f>IF($A447="","",[1]!thsiFinD("ths_adjustment_nv_fund",S$3,$A447))</x:f>
        <x:v>#NAME?</x:v>
      </x:c>
      <x:c r="T447" t="e">
        <x:f>IF($A447="","",[1]!thsiFinD("ths_adjustment_nv_fund",T$3,$A447))</x:f>
        <x:v>#NAME?</x:v>
      </x:c>
      <x:c r="U447" t="e">
        <x:f>IF($A447="","",[1]!thsiFinD("ths_adjustment_nv_fund",U$3,$A447))</x:f>
        <x:v>#NAME?</x:v>
      </x:c>
      <x:c r="V447" t="e">
        <x:f>IF($A447="","",[1]!thsiFinD("ths_adjustment_nv_fund",V$3,$A447))</x:f>
        <x:v>#NAME?</x:v>
      </x:c>
      <x:c r="W447" t="e">
        <x:f>IF($A447="","",[1]!thsiFinD("ths_adjustment_nv_fund",W$3,$A447))</x:f>
        <x:v>#NAME?</x:v>
      </x:c>
      <x:c r="X447" t="e">
        <x:f>IF($A447="","",[1]!thsiFinD("ths_adjustment_nv_fund",X$3,$A447))</x:f>
        <x:v>#NAME?</x:v>
      </x:c>
      <x:c r="Y447" t="e">
        <x:f>IF($A447="","",[1]!thsiFinD("ths_adjustment_nv_fund",Y$3,$A447))</x:f>
        <x:v>#NAME?</x:v>
      </x:c>
    </x:row>
    <x:row r="448">
      <x:c r="B448" t="e">
        <x:f>IF($A448="","",[1]!thsiFinD("ths_adjustment_nv_fund",B$3,$A448))</x:f>
        <x:v>#NAME?</x:v>
      </x:c>
      <x:c r="C448" t="e">
        <x:f>IF($A448="","",[1]!thsiFinD("ths_adjustment_nv_fund",C$3,$A448))</x:f>
        <x:v>#NAME?</x:v>
      </x:c>
      <x:c r="D448" t="e">
        <x:f>IF($A448="","",[1]!thsiFinD("ths_adjustment_nv_fund",D$3,$A448))</x:f>
        <x:v>#NAME?</x:v>
      </x:c>
      <x:c r="E448" t="e">
        <x:f>IF($A448="","",[1]!thsiFinD("ths_adjustment_nv_fund",E$3,$A448))</x:f>
        <x:v>#NAME?</x:v>
      </x:c>
      <x:c r="F448" t="e">
        <x:f>IF($A448="","",[1]!thsiFinD("ths_adjustment_nv_fund",F$3,$A448))</x:f>
        <x:v>#NAME?</x:v>
      </x:c>
      <x:c r="G448" t="e">
        <x:f>IF($A448="","",[1]!thsiFinD("ths_adjustment_nv_fund",G$3,$A448))</x:f>
        <x:v>#NAME?</x:v>
      </x:c>
      <x:c r="H448" t="e">
        <x:f>IF($A448="","",[1]!thsiFinD("ths_adjustment_nv_fund",H$3,$A448))</x:f>
        <x:v>#NAME?</x:v>
      </x:c>
      <x:c r="I448" t="e">
        <x:f>IF($A448="","",[1]!thsiFinD("ths_adjustment_nv_fund",I$3,$A448))</x:f>
        <x:v>#NAME?</x:v>
      </x:c>
      <x:c r="J448" t="e">
        <x:f>IF($A448="","",[1]!thsiFinD("ths_adjustment_nv_fund",J$3,$A448))</x:f>
        <x:v>#NAME?</x:v>
      </x:c>
      <x:c r="K448" t="e">
        <x:f>IF($A448="","",[1]!thsiFinD("ths_adjustment_nv_fund",K$3,$A448))</x:f>
        <x:v>#NAME?</x:v>
      </x:c>
      <x:c r="L448" t="e">
        <x:f>IF($A448="","",[1]!thsiFinD("ths_adjustment_nv_fund",L$3,$A448))</x:f>
        <x:v>#NAME?</x:v>
      </x:c>
      <x:c r="M448" t="e">
        <x:f>IF($A448="","",[1]!thsiFinD("ths_adjustment_nv_fund",M$3,$A448))</x:f>
        <x:v>#NAME?</x:v>
      </x:c>
      <x:c r="N448" t="e">
        <x:f>IF($A448="","",[1]!thsiFinD("ths_adjustment_nv_fund",N$3,$A448))</x:f>
        <x:v>#NAME?</x:v>
      </x:c>
      <x:c r="O448" t="e">
        <x:f>IF($A448="","",[1]!thsiFinD("ths_adjustment_nv_fund",O$3,$A448))</x:f>
        <x:v>#NAME?</x:v>
      </x:c>
      <x:c r="P448" t="e">
        <x:f>IF($A448="","",[1]!thsiFinD("ths_adjustment_nv_fund",P$3,$A448))</x:f>
        <x:v>#NAME?</x:v>
      </x:c>
      <x:c r="Q448" t="e">
        <x:f>IF($A448="","",[1]!thsiFinD("ths_adjustment_nv_fund",Q$3,$A448))</x:f>
        <x:v>#NAME?</x:v>
      </x:c>
      <x:c r="R448" t="e">
        <x:f>IF($A448="","",[1]!thsiFinD("ths_adjustment_nv_fund",R$3,$A448))</x:f>
        <x:v>#NAME?</x:v>
      </x:c>
      <x:c r="S448" t="e">
        <x:f>IF($A448="","",[1]!thsiFinD("ths_adjustment_nv_fund",S$3,$A448))</x:f>
        <x:v>#NAME?</x:v>
      </x:c>
      <x:c r="T448" t="e">
        <x:f>IF($A448="","",[1]!thsiFinD("ths_adjustment_nv_fund",T$3,$A448))</x:f>
        <x:v>#NAME?</x:v>
      </x:c>
      <x:c r="U448" t="e">
        <x:f>IF($A448="","",[1]!thsiFinD("ths_adjustment_nv_fund",U$3,$A448))</x:f>
        <x:v>#NAME?</x:v>
      </x:c>
      <x:c r="V448" t="e">
        <x:f>IF($A448="","",[1]!thsiFinD("ths_adjustment_nv_fund",V$3,$A448))</x:f>
        <x:v>#NAME?</x:v>
      </x:c>
      <x:c r="W448" t="e">
        <x:f>IF($A448="","",[1]!thsiFinD("ths_adjustment_nv_fund",W$3,$A448))</x:f>
        <x:v>#NAME?</x:v>
      </x:c>
      <x:c r="X448" t="e">
        <x:f>IF($A448="","",[1]!thsiFinD("ths_adjustment_nv_fund",X$3,$A448))</x:f>
        <x:v>#NAME?</x:v>
      </x:c>
      <x:c r="Y448" t="e">
        <x:f>IF($A448="","",[1]!thsiFinD("ths_adjustment_nv_fund",Y$3,$A448))</x:f>
        <x:v>#NAME?</x:v>
      </x:c>
    </x:row>
    <x:row r="449">
      <x:c r="B449" t="e">
        <x:f>IF($A449="","",[1]!thsiFinD("ths_adjustment_nv_fund",B$3,$A449))</x:f>
        <x:v>#NAME?</x:v>
      </x:c>
      <x:c r="C449" t="e">
        <x:f>IF($A449="","",[1]!thsiFinD("ths_adjustment_nv_fund",C$3,$A449))</x:f>
        <x:v>#NAME?</x:v>
      </x:c>
      <x:c r="D449" t="e">
        <x:f>IF($A449="","",[1]!thsiFinD("ths_adjustment_nv_fund",D$3,$A449))</x:f>
        <x:v>#NAME?</x:v>
      </x:c>
      <x:c r="E449" t="e">
        <x:f>IF($A449="","",[1]!thsiFinD("ths_adjustment_nv_fund",E$3,$A449))</x:f>
        <x:v>#NAME?</x:v>
      </x:c>
      <x:c r="F449" t="e">
        <x:f>IF($A449="","",[1]!thsiFinD("ths_adjustment_nv_fund",F$3,$A449))</x:f>
        <x:v>#NAME?</x:v>
      </x:c>
      <x:c r="G449" t="e">
        <x:f>IF($A449="","",[1]!thsiFinD("ths_adjustment_nv_fund",G$3,$A449))</x:f>
        <x:v>#NAME?</x:v>
      </x:c>
      <x:c r="H449" t="e">
        <x:f>IF($A449="","",[1]!thsiFinD("ths_adjustment_nv_fund",H$3,$A449))</x:f>
        <x:v>#NAME?</x:v>
      </x:c>
      <x:c r="I449" t="e">
        <x:f>IF($A449="","",[1]!thsiFinD("ths_adjustment_nv_fund",I$3,$A449))</x:f>
        <x:v>#NAME?</x:v>
      </x:c>
      <x:c r="J449" t="e">
        <x:f>IF($A449="","",[1]!thsiFinD("ths_adjustment_nv_fund",J$3,$A449))</x:f>
        <x:v>#NAME?</x:v>
      </x:c>
      <x:c r="K449" t="e">
        <x:f>IF($A449="","",[1]!thsiFinD("ths_adjustment_nv_fund",K$3,$A449))</x:f>
        <x:v>#NAME?</x:v>
      </x:c>
      <x:c r="L449" t="e">
        <x:f>IF($A449="","",[1]!thsiFinD("ths_adjustment_nv_fund",L$3,$A449))</x:f>
        <x:v>#NAME?</x:v>
      </x:c>
      <x:c r="M449" t="e">
        <x:f>IF($A449="","",[1]!thsiFinD("ths_adjustment_nv_fund",M$3,$A449))</x:f>
        <x:v>#NAME?</x:v>
      </x:c>
      <x:c r="N449" t="e">
        <x:f>IF($A449="","",[1]!thsiFinD("ths_adjustment_nv_fund",N$3,$A449))</x:f>
        <x:v>#NAME?</x:v>
      </x:c>
      <x:c r="O449" t="e">
        <x:f>IF($A449="","",[1]!thsiFinD("ths_adjustment_nv_fund",O$3,$A449))</x:f>
        <x:v>#NAME?</x:v>
      </x:c>
      <x:c r="P449" t="e">
        <x:f>IF($A449="","",[1]!thsiFinD("ths_adjustment_nv_fund",P$3,$A449))</x:f>
        <x:v>#NAME?</x:v>
      </x:c>
      <x:c r="Q449" t="e">
        <x:f>IF($A449="","",[1]!thsiFinD("ths_adjustment_nv_fund",Q$3,$A449))</x:f>
        <x:v>#NAME?</x:v>
      </x:c>
      <x:c r="R449" t="e">
        <x:f>IF($A449="","",[1]!thsiFinD("ths_adjustment_nv_fund",R$3,$A449))</x:f>
        <x:v>#NAME?</x:v>
      </x:c>
      <x:c r="S449" t="e">
        <x:f>IF($A449="","",[1]!thsiFinD("ths_adjustment_nv_fund",S$3,$A449))</x:f>
        <x:v>#NAME?</x:v>
      </x:c>
      <x:c r="T449" t="e">
        <x:f>IF($A449="","",[1]!thsiFinD("ths_adjustment_nv_fund",T$3,$A449))</x:f>
        <x:v>#NAME?</x:v>
      </x:c>
      <x:c r="U449" t="e">
        <x:f>IF($A449="","",[1]!thsiFinD("ths_adjustment_nv_fund",U$3,$A449))</x:f>
        <x:v>#NAME?</x:v>
      </x:c>
      <x:c r="V449" t="e">
        <x:f>IF($A449="","",[1]!thsiFinD("ths_adjustment_nv_fund",V$3,$A449))</x:f>
        <x:v>#NAME?</x:v>
      </x:c>
      <x:c r="W449" t="e">
        <x:f>IF($A449="","",[1]!thsiFinD("ths_adjustment_nv_fund",W$3,$A449))</x:f>
        <x:v>#NAME?</x:v>
      </x:c>
      <x:c r="X449" t="e">
        <x:f>IF($A449="","",[1]!thsiFinD("ths_adjustment_nv_fund",X$3,$A449))</x:f>
        <x:v>#NAME?</x:v>
      </x:c>
      <x:c r="Y449" t="e">
        <x:f>IF($A449="","",[1]!thsiFinD("ths_adjustment_nv_fund",Y$3,$A449))</x:f>
        <x:v>#NAME?</x:v>
      </x:c>
    </x:row>
    <x:row r="450">
      <x:c r="B450" t="e">
        <x:f>IF($A450="","",[1]!thsiFinD("ths_adjustment_nv_fund",B$3,$A450))</x:f>
        <x:v>#NAME?</x:v>
      </x:c>
      <x:c r="C450" t="e">
        <x:f>IF($A450="","",[1]!thsiFinD("ths_adjustment_nv_fund",C$3,$A450))</x:f>
        <x:v>#NAME?</x:v>
      </x:c>
      <x:c r="D450" t="e">
        <x:f>IF($A450="","",[1]!thsiFinD("ths_adjustment_nv_fund",D$3,$A450))</x:f>
        <x:v>#NAME?</x:v>
      </x:c>
      <x:c r="E450" t="e">
        <x:f>IF($A450="","",[1]!thsiFinD("ths_adjustment_nv_fund",E$3,$A450))</x:f>
        <x:v>#NAME?</x:v>
      </x:c>
      <x:c r="F450" t="e">
        <x:f>IF($A450="","",[1]!thsiFinD("ths_adjustment_nv_fund",F$3,$A450))</x:f>
        <x:v>#NAME?</x:v>
      </x:c>
      <x:c r="G450" t="e">
        <x:f>IF($A450="","",[1]!thsiFinD("ths_adjustment_nv_fund",G$3,$A450))</x:f>
        <x:v>#NAME?</x:v>
      </x:c>
      <x:c r="H450" t="e">
        <x:f>IF($A450="","",[1]!thsiFinD("ths_adjustment_nv_fund",H$3,$A450))</x:f>
        <x:v>#NAME?</x:v>
      </x:c>
      <x:c r="I450" t="e">
        <x:f>IF($A450="","",[1]!thsiFinD("ths_adjustment_nv_fund",I$3,$A450))</x:f>
        <x:v>#NAME?</x:v>
      </x:c>
      <x:c r="J450" t="e">
        <x:f>IF($A450="","",[1]!thsiFinD("ths_adjustment_nv_fund",J$3,$A450))</x:f>
        <x:v>#NAME?</x:v>
      </x:c>
      <x:c r="K450" t="e">
        <x:f>IF($A450="","",[1]!thsiFinD("ths_adjustment_nv_fund",K$3,$A450))</x:f>
        <x:v>#NAME?</x:v>
      </x:c>
      <x:c r="L450" t="e">
        <x:f>IF($A450="","",[1]!thsiFinD("ths_adjustment_nv_fund",L$3,$A450))</x:f>
        <x:v>#NAME?</x:v>
      </x:c>
      <x:c r="M450" t="e">
        <x:f>IF($A450="","",[1]!thsiFinD("ths_adjustment_nv_fund",M$3,$A450))</x:f>
        <x:v>#NAME?</x:v>
      </x:c>
      <x:c r="N450" t="e">
        <x:f>IF($A450="","",[1]!thsiFinD("ths_adjustment_nv_fund",N$3,$A450))</x:f>
        <x:v>#NAME?</x:v>
      </x:c>
      <x:c r="O450" t="e">
        <x:f>IF($A450="","",[1]!thsiFinD("ths_adjustment_nv_fund",O$3,$A450))</x:f>
        <x:v>#NAME?</x:v>
      </x:c>
      <x:c r="P450" t="e">
        <x:f>IF($A450="","",[1]!thsiFinD("ths_adjustment_nv_fund",P$3,$A450))</x:f>
        <x:v>#NAME?</x:v>
      </x:c>
      <x:c r="Q450" t="e">
        <x:f>IF($A450="","",[1]!thsiFinD("ths_adjustment_nv_fund",Q$3,$A450))</x:f>
        <x:v>#NAME?</x:v>
      </x:c>
      <x:c r="R450" t="e">
        <x:f>IF($A450="","",[1]!thsiFinD("ths_adjustment_nv_fund",R$3,$A450))</x:f>
        <x:v>#NAME?</x:v>
      </x:c>
      <x:c r="S450" t="e">
        <x:f>IF($A450="","",[1]!thsiFinD("ths_adjustment_nv_fund",S$3,$A450))</x:f>
        <x:v>#NAME?</x:v>
      </x:c>
      <x:c r="T450" t="e">
        <x:f>IF($A450="","",[1]!thsiFinD("ths_adjustment_nv_fund",T$3,$A450))</x:f>
        <x:v>#NAME?</x:v>
      </x:c>
      <x:c r="U450" t="e">
        <x:f>IF($A450="","",[1]!thsiFinD("ths_adjustment_nv_fund",U$3,$A450))</x:f>
        <x:v>#NAME?</x:v>
      </x:c>
      <x:c r="V450" t="e">
        <x:f>IF($A450="","",[1]!thsiFinD("ths_adjustment_nv_fund",V$3,$A450))</x:f>
        <x:v>#NAME?</x:v>
      </x:c>
      <x:c r="W450" t="e">
        <x:f>IF($A450="","",[1]!thsiFinD("ths_adjustment_nv_fund",W$3,$A450))</x:f>
        <x:v>#NAME?</x:v>
      </x:c>
      <x:c r="X450" t="e">
        <x:f>IF($A450="","",[1]!thsiFinD("ths_adjustment_nv_fund",X$3,$A450))</x:f>
        <x:v>#NAME?</x:v>
      </x:c>
      <x:c r="Y450" t="e">
        <x:f>IF($A450="","",[1]!thsiFinD("ths_adjustment_nv_fund",Y$3,$A450))</x:f>
        <x:v>#NAME?</x:v>
      </x:c>
    </x:row>
    <x:row r="451">
      <x:c r="B451" t="e">
        <x:f>IF($A451="","",[1]!thsiFinD("ths_adjustment_nv_fund",B$3,$A451))</x:f>
        <x:v>#NAME?</x:v>
      </x:c>
      <x:c r="C451" t="e">
        <x:f>IF($A451="","",[1]!thsiFinD("ths_adjustment_nv_fund",C$3,$A451))</x:f>
        <x:v>#NAME?</x:v>
      </x:c>
      <x:c r="D451" t="e">
        <x:f>IF($A451="","",[1]!thsiFinD("ths_adjustment_nv_fund",D$3,$A451))</x:f>
        <x:v>#NAME?</x:v>
      </x:c>
      <x:c r="E451" t="e">
        <x:f>IF($A451="","",[1]!thsiFinD("ths_adjustment_nv_fund",E$3,$A451))</x:f>
        <x:v>#NAME?</x:v>
      </x:c>
      <x:c r="F451" t="e">
        <x:f>IF($A451="","",[1]!thsiFinD("ths_adjustment_nv_fund",F$3,$A451))</x:f>
        <x:v>#NAME?</x:v>
      </x:c>
      <x:c r="G451" t="e">
        <x:f>IF($A451="","",[1]!thsiFinD("ths_adjustment_nv_fund",G$3,$A451))</x:f>
        <x:v>#NAME?</x:v>
      </x:c>
      <x:c r="H451" t="e">
        <x:f>IF($A451="","",[1]!thsiFinD("ths_adjustment_nv_fund",H$3,$A451))</x:f>
        <x:v>#NAME?</x:v>
      </x:c>
      <x:c r="I451" t="e">
        <x:f>IF($A451="","",[1]!thsiFinD("ths_adjustment_nv_fund",I$3,$A451))</x:f>
        <x:v>#NAME?</x:v>
      </x:c>
      <x:c r="J451" t="e">
        <x:f>IF($A451="","",[1]!thsiFinD("ths_adjustment_nv_fund",J$3,$A451))</x:f>
        <x:v>#NAME?</x:v>
      </x:c>
      <x:c r="K451" t="e">
        <x:f>IF($A451="","",[1]!thsiFinD("ths_adjustment_nv_fund",K$3,$A451))</x:f>
        <x:v>#NAME?</x:v>
      </x:c>
      <x:c r="L451" t="e">
        <x:f>IF($A451="","",[1]!thsiFinD("ths_adjustment_nv_fund",L$3,$A451))</x:f>
        <x:v>#NAME?</x:v>
      </x:c>
      <x:c r="M451" t="e">
        <x:f>IF($A451="","",[1]!thsiFinD("ths_adjustment_nv_fund",M$3,$A451))</x:f>
        <x:v>#NAME?</x:v>
      </x:c>
      <x:c r="N451" t="e">
        <x:f>IF($A451="","",[1]!thsiFinD("ths_adjustment_nv_fund",N$3,$A451))</x:f>
        <x:v>#NAME?</x:v>
      </x:c>
      <x:c r="O451" t="e">
        <x:f>IF($A451="","",[1]!thsiFinD("ths_adjustment_nv_fund",O$3,$A451))</x:f>
        <x:v>#NAME?</x:v>
      </x:c>
      <x:c r="P451" t="e">
        <x:f>IF($A451="","",[1]!thsiFinD("ths_adjustment_nv_fund",P$3,$A451))</x:f>
        <x:v>#NAME?</x:v>
      </x:c>
      <x:c r="Q451" t="e">
        <x:f>IF($A451="","",[1]!thsiFinD("ths_adjustment_nv_fund",Q$3,$A451))</x:f>
        <x:v>#NAME?</x:v>
      </x:c>
      <x:c r="R451" t="e">
        <x:f>IF($A451="","",[1]!thsiFinD("ths_adjustment_nv_fund",R$3,$A451))</x:f>
        <x:v>#NAME?</x:v>
      </x:c>
      <x:c r="S451" t="e">
        <x:f>IF($A451="","",[1]!thsiFinD("ths_adjustment_nv_fund",S$3,$A451))</x:f>
        <x:v>#NAME?</x:v>
      </x:c>
      <x:c r="T451" t="e">
        <x:f>IF($A451="","",[1]!thsiFinD("ths_adjustment_nv_fund",T$3,$A451))</x:f>
        <x:v>#NAME?</x:v>
      </x:c>
      <x:c r="U451" t="e">
        <x:f>IF($A451="","",[1]!thsiFinD("ths_adjustment_nv_fund",U$3,$A451))</x:f>
        <x:v>#NAME?</x:v>
      </x:c>
      <x:c r="V451" t="e">
        <x:f>IF($A451="","",[1]!thsiFinD("ths_adjustment_nv_fund",V$3,$A451))</x:f>
        <x:v>#NAME?</x:v>
      </x:c>
      <x:c r="W451" t="e">
        <x:f>IF($A451="","",[1]!thsiFinD("ths_adjustment_nv_fund",W$3,$A451))</x:f>
        <x:v>#NAME?</x:v>
      </x:c>
      <x:c r="X451" t="e">
        <x:f>IF($A451="","",[1]!thsiFinD("ths_adjustment_nv_fund",X$3,$A451))</x:f>
        <x:v>#NAME?</x:v>
      </x:c>
      <x:c r="Y451" t="e">
        <x:f>IF($A451="","",[1]!thsiFinD("ths_adjustment_nv_fund",Y$3,$A451))</x:f>
        <x:v>#NAME?</x:v>
      </x:c>
    </x:row>
    <x:row r="452">
      <x:c r="B452" t="e">
        <x:f>IF($A452="","",[1]!thsiFinD("ths_adjustment_nv_fund",B$3,$A452))</x:f>
        <x:v>#NAME?</x:v>
      </x:c>
      <x:c r="C452" t="e">
        <x:f>IF($A452="","",[1]!thsiFinD("ths_adjustment_nv_fund",C$3,$A452))</x:f>
        <x:v>#NAME?</x:v>
      </x:c>
      <x:c r="D452" t="e">
        <x:f>IF($A452="","",[1]!thsiFinD("ths_adjustment_nv_fund",D$3,$A452))</x:f>
        <x:v>#NAME?</x:v>
      </x:c>
      <x:c r="E452" t="e">
        <x:f>IF($A452="","",[1]!thsiFinD("ths_adjustment_nv_fund",E$3,$A452))</x:f>
        <x:v>#NAME?</x:v>
      </x:c>
      <x:c r="F452" t="e">
        <x:f>IF($A452="","",[1]!thsiFinD("ths_adjustment_nv_fund",F$3,$A452))</x:f>
        <x:v>#NAME?</x:v>
      </x:c>
      <x:c r="G452" t="e">
        <x:f>IF($A452="","",[1]!thsiFinD("ths_adjustment_nv_fund",G$3,$A452))</x:f>
        <x:v>#NAME?</x:v>
      </x:c>
      <x:c r="H452" t="e">
        <x:f>IF($A452="","",[1]!thsiFinD("ths_adjustment_nv_fund",H$3,$A452))</x:f>
        <x:v>#NAME?</x:v>
      </x:c>
      <x:c r="I452" t="e">
        <x:f>IF($A452="","",[1]!thsiFinD("ths_adjustment_nv_fund",I$3,$A452))</x:f>
        <x:v>#NAME?</x:v>
      </x:c>
      <x:c r="J452" t="e">
        <x:f>IF($A452="","",[1]!thsiFinD("ths_adjustment_nv_fund",J$3,$A452))</x:f>
        <x:v>#NAME?</x:v>
      </x:c>
      <x:c r="K452" t="e">
        <x:f>IF($A452="","",[1]!thsiFinD("ths_adjustment_nv_fund",K$3,$A452))</x:f>
        <x:v>#NAME?</x:v>
      </x:c>
      <x:c r="L452" t="e">
        <x:f>IF($A452="","",[1]!thsiFinD("ths_adjustment_nv_fund",L$3,$A452))</x:f>
        <x:v>#NAME?</x:v>
      </x:c>
      <x:c r="M452" t="e">
        <x:f>IF($A452="","",[1]!thsiFinD("ths_adjustment_nv_fund",M$3,$A452))</x:f>
        <x:v>#NAME?</x:v>
      </x:c>
      <x:c r="N452" t="e">
        <x:f>IF($A452="","",[1]!thsiFinD("ths_adjustment_nv_fund",N$3,$A452))</x:f>
        <x:v>#NAME?</x:v>
      </x:c>
      <x:c r="O452" t="e">
        <x:f>IF($A452="","",[1]!thsiFinD("ths_adjustment_nv_fund",O$3,$A452))</x:f>
        <x:v>#NAME?</x:v>
      </x:c>
      <x:c r="P452" t="e">
        <x:f>IF($A452="","",[1]!thsiFinD("ths_adjustment_nv_fund",P$3,$A452))</x:f>
        <x:v>#NAME?</x:v>
      </x:c>
      <x:c r="Q452" t="e">
        <x:f>IF($A452="","",[1]!thsiFinD("ths_adjustment_nv_fund",Q$3,$A452))</x:f>
        <x:v>#NAME?</x:v>
      </x:c>
      <x:c r="R452" t="e">
        <x:f>IF($A452="","",[1]!thsiFinD("ths_adjustment_nv_fund",R$3,$A452))</x:f>
        <x:v>#NAME?</x:v>
      </x:c>
      <x:c r="S452" t="e">
        <x:f>IF($A452="","",[1]!thsiFinD("ths_adjustment_nv_fund",S$3,$A452))</x:f>
        <x:v>#NAME?</x:v>
      </x:c>
      <x:c r="T452" t="e">
        <x:f>IF($A452="","",[1]!thsiFinD("ths_adjustment_nv_fund",T$3,$A452))</x:f>
        <x:v>#NAME?</x:v>
      </x:c>
      <x:c r="U452" t="e">
        <x:f>IF($A452="","",[1]!thsiFinD("ths_adjustment_nv_fund",U$3,$A452))</x:f>
        <x:v>#NAME?</x:v>
      </x:c>
      <x:c r="V452" t="e">
        <x:f>IF($A452="","",[1]!thsiFinD("ths_adjustment_nv_fund",V$3,$A452))</x:f>
        <x:v>#NAME?</x:v>
      </x:c>
      <x:c r="W452" t="e">
        <x:f>IF($A452="","",[1]!thsiFinD("ths_adjustment_nv_fund",W$3,$A452))</x:f>
        <x:v>#NAME?</x:v>
      </x:c>
      <x:c r="X452" t="e">
        <x:f>IF($A452="","",[1]!thsiFinD("ths_adjustment_nv_fund",X$3,$A452))</x:f>
        <x:v>#NAME?</x:v>
      </x:c>
      <x:c r="Y452" t="e">
        <x:f>IF($A452="","",[1]!thsiFinD("ths_adjustment_nv_fund",Y$3,$A452))</x:f>
        <x:v>#NAME?</x:v>
      </x:c>
    </x:row>
    <x:row r="453">
      <x:c r="B453" t="e">
        <x:f>IF($A453="","",[1]!thsiFinD("ths_adjustment_nv_fund",B$3,$A453))</x:f>
        <x:v>#NAME?</x:v>
      </x:c>
      <x:c r="C453" t="e">
        <x:f>IF($A453="","",[1]!thsiFinD("ths_adjustment_nv_fund",C$3,$A453))</x:f>
        <x:v>#NAME?</x:v>
      </x:c>
      <x:c r="D453" t="e">
        <x:f>IF($A453="","",[1]!thsiFinD("ths_adjustment_nv_fund",D$3,$A453))</x:f>
        <x:v>#NAME?</x:v>
      </x:c>
      <x:c r="E453" t="e">
        <x:f>IF($A453="","",[1]!thsiFinD("ths_adjustment_nv_fund",E$3,$A453))</x:f>
        <x:v>#NAME?</x:v>
      </x:c>
      <x:c r="F453" t="e">
        <x:f>IF($A453="","",[1]!thsiFinD("ths_adjustment_nv_fund",F$3,$A453))</x:f>
        <x:v>#NAME?</x:v>
      </x:c>
      <x:c r="G453" t="e">
        <x:f>IF($A453="","",[1]!thsiFinD("ths_adjustment_nv_fund",G$3,$A453))</x:f>
        <x:v>#NAME?</x:v>
      </x:c>
      <x:c r="H453" t="e">
        <x:f>IF($A453="","",[1]!thsiFinD("ths_adjustment_nv_fund",H$3,$A453))</x:f>
        <x:v>#NAME?</x:v>
      </x:c>
      <x:c r="I453" t="e">
        <x:f>IF($A453="","",[1]!thsiFinD("ths_adjustment_nv_fund",I$3,$A453))</x:f>
        <x:v>#NAME?</x:v>
      </x:c>
      <x:c r="J453" t="e">
        <x:f>IF($A453="","",[1]!thsiFinD("ths_adjustment_nv_fund",J$3,$A453))</x:f>
        <x:v>#NAME?</x:v>
      </x:c>
      <x:c r="K453" t="e">
        <x:f>IF($A453="","",[1]!thsiFinD("ths_adjustment_nv_fund",K$3,$A453))</x:f>
        <x:v>#NAME?</x:v>
      </x:c>
      <x:c r="L453" t="e">
        <x:f>IF($A453="","",[1]!thsiFinD("ths_adjustment_nv_fund",L$3,$A453))</x:f>
        <x:v>#NAME?</x:v>
      </x:c>
      <x:c r="M453" t="e">
        <x:f>IF($A453="","",[1]!thsiFinD("ths_adjustment_nv_fund",M$3,$A453))</x:f>
        <x:v>#NAME?</x:v>
      </x:c>
      <x:c r="N453" t="e">
        <x:f>IF($A453="","",[1]!thsiFinD("ths_adjustment_nv_fund",N$3,$A453))</x:f>
        <x:v>#NAME?</x:v>
      </x:c>
      <x:c r="O453" t="e">
        <x:f>IF($A453="","",[1]!thsiFinD("ths_adjustment_nv_fund",O$3,$A453))</x:f>
        <x:v>#NAME?</x:v>
      </x:c>
      <x:c r="P453" t="e">
        <x:f>IF($A453="","",[1]!thsiFinD("ths_adjustment_nv_fund",P$3,$A453))</x:f>
        <x:v>#NAME?</x:v>
      </x:c>
      <x:c r="Q453" t="e">
        <x:f>IF($A453="","",[1]!thsiFinD("ths_adjustment_nv_fund",Q$3,$A453))</x:f>
        <x:v>#NAME?</x:v>
      </x:c>
      <x:c r="R453" t="e">
        <x:f>IF($A453="","",[1]!thsiFinD("ths_adjustment_nv_fund",R$3,$A453))</x:f>
        <x:v>#NAME?</x:v>
      </x:c>
      <x:c r="S453" t="e">
        <x:f>IF($A453="","",[1]!thsiFinD("ths_adjustment_nv_fund",S$3,$A453))</x:f>
        <x:v>#NAME?</x:v>
      </x:c>
      <x:c r="T453" t="e">
        <x:f>IF($A453="","",[1]!thsiFinD("ths_adjustment_nv_fund",T$3,$A453))</x:f>
        <x:v>#NAME?</x:v>
      </x:c>
      <x:c r="U453" t="e">
        <x:f>IF($A453="","",[1]!thsiFinD("ths_adjustment_nv_fund",U$3,$A453))</x:f>
        <x:v>#NAME?</x:v>
      </x:c>
      <x:c r="V453" t="e">
        <x:f>IF($A453="","",[1]!thsiFinD("ths_adjustment_nv_fund",V$3,$A453))</x:f>
        <x:v>#NAME?</x:v>
      </x:c>
      <x:c r="W453" t="e">
        <x:f>IF($A453="","",[1]!thsiFinD("ths_adjustment_nv_fund",W$3,$A453))</x:f>
        <x:v>#NAME?</x:v>
      </x:c>
      <x:c r="X453" t="e">
        <x:f>IF($A453="","",[1]!thsiFinD("ths_adjustment_nv_fund",X$3,$A453))</x:f>
        <x:v>#NAME?</x:v>
      </x:c>
      <x:c r="Y453" t="e">
        <x:f>IF($A453="","",[1]!thsiFinD("ths_adjustment_nv_fund",Y$3,$A453))</x:f>
        <x:v>#NAME?</x:v>
      </x:c>
    </x:row>
    <x:row r="454">
      <x:c r="B454" t="e">
        <x:f>IF($A454="","",[1]!thsiFinD("ths_adjustment_nv_fund",B$3,$A454))</x:f>
        <x:v>#NAME?</x:v>
      </x:c>
      <x:c r="C454" t="e">
        <x:f>IF($A454="","",[1]!thsiFinD("ths_adjustment_nv_fund",C$3,$A454))</x:f>
        <x:v>#NAME?</x:v>
      </x:c>
      <x:c r="D454" t="e">
        <x:f>IF($A454="","",[1]!thsiFinD("ths_adjustment_nv_fund",D$3,$A454))</x:f>
        <x:v>#NAME?</x:v>
      </x:c>
      <x:c r="E454" t="e">
        <x:f>IF($A454="","",[1]!thsiFinD("ths_adjustment_nv_fund",E$3,$A454))</x:f>
        <x:v>#NAME?</x:v>
      </x:c>
      <x:c r="F454" t="e">
        <x:f>IF($A454="","",[1]!thsiFinD("ths_adjustment_nv_fund",F$3,$A454))</x:f>
        <x:v>#NAME?</x:v>
      </x:c>
      <x:c r="G454" t="e">
        <x:f>IF($A454="","",[1]!thsiFinD("ths_adjustment_nv_fund",G$3,$A454))</x:f>
        <x:v>#NAME?</x:v>
      </x:c>
      <x:c r="H454" t="e">
        <x:f>IF($A454="","",[1]!thsiFinD("ths_adjustment_nv_fund",H$3,$A454))</x:f>
        <x:v>#NAME?</x:v>
      </x:c>
      <x:c r="I454" t="e">
        <x:f>IF($A454="","",[1]!thsiFinD("ths_adjustment_nv_fund",I$3,$A454))</x:f>
        <x:v>#NAME?</x:v>
      </x:c>
      <x:c r="J454" t="e">
        <x:f>IF($A454="","",[1]!thsiFinD("ths_adjustment_nv_fund",J$3,$A454))</x:f>
        <x:v>#NAME?</x:v>
      </x:c>
      <x:c r="K454" t="e">
        <x:f>IF($A454="","",[1]!thsiFinD("ths_adjustment_nv_fund",K$3,$A454))</x:f>
        <x:v>#NAME?</x:v>
      </x:c>
      <x:c r="L454" t="e">
        <x:f>IF($A454="","",[1]!thsiFinD("ths_adjustment_nv_fund",L$3,$A454))</x:f>
        <x:v>#NAME?</x:v>
      </x:c>
      <x:c r="M454" t="e">
        <x:f>IF($A454="","",[1]!thsiFinD("ths_adjustment_nv_fund",M$3,$A454))</x:f>
        <x:v>#NAME?</x:v>
      </x:c>
      <x:c r="N454" t="e">
        <x:f>IF($A454="","",[1]!thsiFinD("ths_adjustment_nv_fund",N$3,$A454))</x:f>
        <x:v>#NAME?</x:v>
      </x:c>
      <x:c r="O454" t="e">
        <x:f>IF($A454="","",[1]!thsiFinD("ths_adjustment_nv_fund",O$3,$A454))</x:f>
        <x:v>#NAME?</x:v>
      </x:c>
      <x:c r="P454" t="e">
        <x:f>IF($A454="","",[1]!thsiFinD("ths_adjustment_nv_fund",P$3,$A454))</x:f>
        <x:v>#NAME?</x:v>
      </x:c>
      <x:c r="Q454" t="e">
        <x:f>IF($A454="","",[1]!thsiFinD("ths_adjustment_nv_fund",Q$3,$A454))</x:f>
        <x:v>#NAME?</x:v>
      </x:c>
      <x:c r="R454" t="e">
        <x:f>IF($A454="","",[1]!thsiFinD("ths_adjustment_nv_fund",R$3,$A454))</x:f>
        <x:v>#NAME?</x:v>
      </x:c>
      <x:c r="S454" t="e">
        <x:f>IF($A454="","",[1]!thsiFinD("ths_adjustment_nv_fund",S$3,$A454))</x:f>
        <x:v>#NAME?</x:v>
      </x:c>
      <x:c r="T454" t="e">
        <x:f>IF($A454="","",[1]!thsiFinD("ths_adjustment_nv_fund",T$3,$A454))</x:f>
        <x:v>#NAME?</x:v>
      </x:c>
      <x:c r="U454" t="e">
        <x:f>IF($A454="","",[1]!thsiFinD("ths_adjustment_nv_fund",U$3,$A454))</x:f>
        <x:v>#NAME?</x:v>
      </x:c>
      <x:c r="V454" t="e">
        <x:f>IF($A454="","",[1]!thsiFinD("ths_adjustment_nv_fund",V$3,$A454))</x:f>
        <x:v>#NAME?</x:v>
      </x:c>
      <x:c r="W454" t="e">
        <x:f>IF($A454="","",[1]!thsiFinD("ths_adjustment_nv_fund",W$3,$A454))</x:f>
        <x:v>#NAME?</x:v>
      </x:c>
      <x:c r="X454" t="e">
        <x:f>IF($A454="","",[1]!thsiFinD("ths_adjustment_nv_fund",X$3,$A454))</x:f>
        <x:v>#NAME?</x:v>
      </x:c>
      <x:c r="Y454" t="e">
        <x:f>IF($A454="","",[1]!thsiFinD("ths_adjustment_nv_fund",Y$3,$A454))</x:f>
        <x:v>#NAME?</x:v>
      </x:c>
    </x:row>
    <x:row r="455">
      <x:c r="B455" t="e">
        <x:f>IF($A455="","",[1]!thsiFinD("ths_adjustment_nv_fund",B$3,$A455))</x:f>
        <x:v>#NAME?</x:v>
      </x:c>
      <x:c r="C455" t="e">
        <x:f>IF($A455="","",[1]!thsiFinD("ths_adjustment_nv_fund",C$3,$A455))</x:f>
        <x:v>#NAME?</x:v>
      </x:c>
      <x:c r="D455" t="e">
        <x:f>IF($A455="","",[1]!thsiFinD("ths_adjustment_nv_fund",D$3,$A455))</x:f>
        <x:v>#NAME?</x:v>
      </x:c>
      <x:c r="E455" t="e">
        <x:f>IF($A455="","",[1]!thsiFinD("ths_adjustment_nv_fund",E$3,$A455))</x:f>
        <x:v>#NAME?</x:v>
      </x:c>
      <x:c r="F455" t="e">
        <x:f>IF($A455="","",[1]!thsiFinD("ths_adjustment_nv_fund",F$3,$A455))</x:f>
        <x:v>#NAME?</x:v>
      </x:c>
      <x:c r="G455" t="e">
        <x:f>IF($A455="","",[1]!thsiFinD("ths_adjustment_nv_fund",G$3,$A455))</x:f>
        <x:v>#NAME?</x:v>
      </x:c>
      <x:c r="H455" t="e">
        <x:f>IF($A455="","",[1]!thsiFinD("ths_adjustment_nv_fund",H$3,$A455))</x:f>
        <x:v>#NAME?</x:v>
      </x:c>
      <x:c r="I455" t="e">
        <x:f>IF($A455="","",[1]!thsiFinD("ths_adjustment_nv_fund",I$3,$A455))</x:f>
        <x:v>#NAME?</x:v>
      </x:c>
      <x:c r="J455" t="e">
        <x:f>IF($A455="","",[1]!thsiFinD("ths_adjustment_nv_fund",J$3,$A455))</x:f>
        <x:v>#NAME?</x:v>
      </x:c>
      <x:c r="K455" t="e">
        <x:f>IF($A455="","",[1]!thsiFinD("ths_adjustment_nv_fund",K$3,$A455))</x:f>
        <x:v>#NAME?</x:v>
      </x:c>
      <x:c r="L455" t="e">
        <x:f>IF($A455="","",[1]!thsiFinD("ths_adjustment_nv_fund",L$3,$A455))</x:f>
        <x:v>#NAME?</x:v>
      </x:c>
      <x:c r="M455" t="e">
        <x:f>IF($A455="","",[1]!thsiFinD("ths_adjustment_nv_fund",M$3,$A455))</x:f>
        <x:v>#NAME?</x:v>
      </x:c>
      <x:c r="N455" t="e">
        <x:f>IF($A455="","",[1]!thsiFinD("ths_adjustment_nv_fund",N$3,$A455))</x:f>
        <x:v>#NAME?</x:v>
      </x:c>
      <x:c r="O455" t="e">
        <x:f>IF($A455="","",[1]!thsiFinD("ths_adjustment_nv_fund",O$3,$A455))</x:f>
        <x:v>#NAME?</x:v>
      </x:c>
      <x:c r="P455" t="e">
        <x:f>IF($A455="","",[1]!thsiFinD("ths_adjustment_nv_fund",P$3,$A455))</x:f>
        <x:v>#NAME?</x:v>
      </x:c>
      <x:c r="Q455" t="e">
        <x:f>IF($A455="","",[1]!thsiFinD("ths_adjustment_nv_fund",Q$3,$A455))</x:f>
        <x:v>#NAME?</x:v>
      </x:c>
      <x:c r="R455" t="e">
        <x:f>IF($A455="","",[1]!thsiFinD("ths_adjustment_nv_fund",R$3,$A455))</x:f>
        <x:v>#NAME?</x:v>
      </x:c>
      <x:c r="S455" t="e">
        <x:f>IF($A455="","",[1]!thsiFinD("ths_adjustment_nv_fund",S$3,$A455))</x:f>
        <x:v>#NAME?</x:v>
      </x:c>
      <x:c r="T455" t="e">
        <x:f>IF($A455="","",[1]!thsiFinD("ths_adjustment_nv_fund",T$3,$A455))</x:f>
        <x:v>#NAME?</x:v>
      </x:c>
      <x:c r="U455" t="e">
        <x:f>IF($A455="","",[1]!thsiFinD("ths_adjustment_nv_fund",U$3,$A455))</x:f>
        <x:v>#NAME?</x:v>
      </x:c>
      <x:c r="V455" t="e">
        <x:f>IF($A455="","",[1]!thsiFinD("ths_adjustment_nv_fund",V$3,$A455))</x:f>
        <x:v>#NAME?</x:v>
      </x:c>
      <x:c r="W455" t="e">
        <x:f>IF($A455="","",[1]!thsiFinD("ths_adjustment_nv_fund",W$3,$A455))</x:f>
        <x:v>#NAME?</x:v>
      </x:c>
      <x:c r="X455" t="e">
        <x:f>IF($A455="","",[1]!thsiFinD("ths_adjustment_nv_fund",X$3,$A455))</x:f>
        <x:v>#NAME?</x:v>
      </x:c>
      <x:c r="Y455" t="e">
        <x:f>IF($A455="","",[1]!thsiFinD("ths_adjustment_nv_fund",Y$3,$A455))</x:f>
        <x:v>#NAME?</x:v>
      </x:c>
    </x:row>
    <x:row r="456">
      <x:c r="B456" t="e">
        <x:f>IF($A456="","",[1]!thsiFinD("ths_adjustment_nv_fund",B$3,$A456))</x:f>
        <x:v>#NAME?</x:v>
      </x:c>
      <x:c r="C456" t="e">
        <x:f>IF($A456="","",[1]!thsiFinD("ths_adjustment_nv_fund",C$3,$A456))</x:f>
        <x:v>#NAME?</x:v>
      </x:c>
      <x:c r="D456" t="e">
        <x:f>IF($A456="","",[1]!thsiFinD("ths_adjustment_nv_fund",D$3,$A456))</x:f>
        <x:v>#NAME?</x:v>
      </x:c>
      <x:c r="E456" t="e">
        <x:f>IF($A456="","",[1]!thsiFinD("ths_adjustment_nv_fund",E$3,$A456))</x:f>
        <x:v>#NAME?</x:v>
      </x:c>
      <x:c r="F456" t="e">
        <x:f>IF($A456="","",[1]!thsiFinD("ths_adjustment_nv_fund",F$3,$A456))</x:f>
        <x:v>#NAME?</x:v>
      </x:c>
      <x:c r="G456" t="e">
        <x:f>IF($A456="","",[1]!thsiFinD("ths_adjustment_nv_fund",G$3,$A456))</x:f>
        <x:v>#NAME?</x:v>
      </x:c>
      <x:c r="H456" t="e">
        <x:f>IF($A456="","",[1]!thsiFinD("ths_adjustment_nv_fund",H$3,$A456))</x:f>
        <x:v>#NAME?</x:v>
      </x:c>
      <x:c r="I456" t="e">
        <x:f>IF($A456="","",[1]!thsiFinD("ths_adjustment_nv_fund",I$3,$A456))</x:f>
        <x:v>#NAME?</x:v>
      </x:c>
      <x:c r="J456" t="e">
        <x:f>IF($A456="","",[1]!thsiFinD("ths_adjustment_nv_fund",J$3,$A456))</x:f>
        <x:v>#NAME?</x:v>
      </x:c>
      <x:c r="K456" t="e">
        <x:f>IF($A456="","",[1]!thsiFinD("ths_adjustment_nv_fund",K$3,$A456))</x:f>
        <x:v>#NAME?</x:v>
      </x:c>
      <x:c r="L456" t="e">
        <x:f>IF($A456="","",[1]!thsiFinD("ths_adjustment_nv_fund",L$3,$A456))</x:f>
        <x:v>#NAME?</x:v>
      </x:c>
      <x:c r="M456" t="e">
        <x:f>IF($A456="","",[1]!thsiFinD("ths_adjustment_nv_fund",M$3,$A456))</x:f>
        <x:v>#NAME?</x:v>
      </x:c>
      <x:c r="N456" t="e">
        <x:f>IF($A456="","",[1]!thsiFinD("ths_adjustment_nv_fund",N$3,$A456))</x:f>
        <x:v>#NAME?</x:v>
      </x:c>
      <x:c r="O456" t="e">
        <x:f>IF($A456="","",[1]!thsiFinD("ths_adjustment_nv_fund",O$3,$A456))</x:f>
        <x:v>#NAME?</x:v>
      </x:c>
      <x:c r="P456" t="e">
        <x:f>IF($A456="","",[1]!thsiFinD("ths_adjustment_nv_fund",P$3,$A456))</x:f>
        <x:v>#NAME?</x:v>
      </x:c>
      <x:c r="Q456" t="e">
        <x:f>IF($A456="","",[1]!thsiFinD("ths_adjustment_nv_fund",Q$3,$A456))</x:f>
        <x:v>#NAME?</x:v>
      </x:c>
      <x:c r="R456" t="e">
        <x:f>IF($A456="","",[1]!thsiFinD("ths_adjustment_nv_fund",R$3,$A456))</x:f>
        <x:v>#NAME?</x:v>
      </x:c>
      <x:c r="S456" t="e">
        <x:f>IF($A456="","",[1]!thsiFinD("ths_adjustment_nv_fund",S$3,$A456))</x:f>
        <x:v>#NAME?</x:v>
      </x:c>
      <x:c r="T456" t="e">
        <x:f>IF($A456="","",[1]!thsiFinD("ths_adjustment_nv_fund",T$3,$A456))</x:f>
        <x:v>#NAME?</x:v>
      </x:c>
      <x:c r="U456" t="e">
        <x:f>IF($A456="","",[1]!thsiFinD("ths_adjustment_nv_fund",U$3,$A456))</x:f>
        <x:v>#NAME?</x:v>
      </x:c>
      <x:c r="V456" t="e">
        <x:f>IF($A456="","",[1]!thsiFinD("ths_adjustment_nv_fund",V$3,$A456))</x:f>
        <x:v>#NAME?</x:v>
      </x:c>
      <x:c r="W456" t="e">
        <x:f>IF($A456="","",[1]!thsiFinD("ths_adjustment_nv_fund",W$3,$A456))</x:f>
        <x:v>#NAME?</x:v>
      </x:c>
      <x:c r="X456" t="e">
        <x:f>IF($A456="","",[1]!thsiFinD("ths_adjustment_nv_fund",X$3,$A456))</x:f>
        <x:v>#NAME?</x:v>
      </x:c>
      <x:c r="Y456" t="e">
        <x:f>IF($A456="","",[1]!thsiFinD("ths_adjustment_nv_fund",Y$3,$A456))</x:f>
        <x:v>#NAME?</x:v>
      </x:c>
    </x:row>
    <x:row r="457">
      <x:c r="B457" t="e">
        <x:f>IF($A457="","",[1]!thsiFinD("ths_adjustment_nv_fund",B$3,$A457))</x:f>
        <x:v>#NAME?</x:v>
      </x:c>
      <x:c r="C457" t="e">
        <x:f>IF($A457="","",[1]!thsiFinD("ths_adjustment_nv_fund",C$3,$A457))</x:f>
        <x:v>#NAME?</x:v>
      </x:c>
      <x:c r="D457" t="e">
        <x:f>IF($A457="","",[1]!thsiFinD("ths_adjustment_nv_fund",D$3,$A457))</x:f>
        <x:v>#NAME?</x:v>
      </x:c>
      <x:c r="E457" t="e">
        <x:f>IF($A457="","",[1]!thsiFinD("ths_adjustment_nv_fund",E$3,$A457))</x:f>
        <x:v>#NAME?</x:v>
      </x:c>
      <x:c r="F457" t="e">
        <x:f>IF($A457="","",[1]!thsiFinD("ths_adjustment_nv_fund",F$3,$A457))</x:f>
        <x:v>#NAME?</x:v>
      </x:c>
      <x:c r="G457" t="e">
        <x:f>IF($A457="","",[1]!thsiFinD("ths_adjustment_nv_fund",G$3,$A457))</x:f>
        <x:v>#NAME?</x:v>
      </x:c>
      <x:c r="H457" t="e">
        <x:f>IF($A457="","",[1]!thsiFinD("ths_adjustment_nv_fund",H$3,$A457))</x:f>
        <x:v>#NAME?</x:v>
      </x:c>
      <x:c r="I457" t="e">
        <x:f>IF($A457="","",[1]!thsiFinD("ths_adjustment_nv_fund",I$3,$A457))</x:f>
        <x:v>#NAME?</x:v>
      </x:c>
      <x:c r="J457" t="e">
        <x:f>IF($A457="","",[1]!thsiFinD("ths_adjustment_nv_fund",J$3,$A457))</x:f>
        <x:v>#NAME?</x:v>
      </x:c>
      <x:c r="K457" t="e">
        <x:f>IF($A457="","",[1]!thsiFinD("ths_adjustment_nv_fund",K$3,$A457))</x:f>
        <x:v>#NAME?</x:v>
      </x:c>
      <x:c r="L457" t="e">
        <x:f>IF($A457="","",[1]!thsiFinD("ths_adjustment_nv_fund",L$3,$A457))</x:f>
        <x:v>#NAME?</x:v>
      </x:c>
      <x:c r="M457" t="e">
        <x:f>IF($A457="","",[1]!thsiFinD("ths_adjustment_nv_fund",M$3,$A457))</x:f>
        <x:v>#NAME?</x:v>
      </x:c>
      <x:c r="N457" t="e">
        <x:f>IF($A457="","",[1]!thsiFinD("ths_adjustment_nv_fund",N$3,$A457))</x:f>
        <x:v>#NAME?</x:v>
      </x:c>
      <x:c r="O457" t="e">
        <x:f>IF($A457="","",[1]!thsiFinD("ths_adjustment_nv_fund",O$3,$A457))</x:f>
        <x:v>#NAME?</x:v>
      </x:c>
      <x:c r="P457" t="e">
        <x:f>IF($A457="","",[1]!thsiFinD("ths_adjustment_nv_fund",P$3,$A457))</x:f>
        <x:v>#NAME?</x:v>
      </x:c>
      <x:c r="Q457" t="e">
        <x:f>IF($A457="","",[1]!thsiFinD("ths_adjustment_nv_fund",Q$3,$A457))</x:f>
        <x:v>#NAME?</x:v>
      </x:c>
      <x:c r="R457" t="e">
        <x:f>IF($A457="","",[1]!thsiFinD("ths_adjustment_nv_fund",R$3,$A457))</x:f>
        <x:v>#NAME?</x:v>
      </x:c>
      <x:c r="S457" t="e">
        <x:f>IF($A457="","",[1]!thsiFinD("ths_adjustment_nv_fund",S$3,$A457))</x:f>
        <x:v>#NAME?</x:v>
      </x:c>
      <x:c r="T457" t="e">
        <x:f>IF($A457="","",[1]!thsiFinD("ths_adjustment_nv_fund",T$3,$A457))</x:f>
        <x:v>#NAME?</x:v>
      </x:c>
      <x:c r="U457" t="e">
        <x:f>IF($A457="","",[1]!thsiFinD("ths_adjustment_nv_fund",U$3,$A457))</x:f>
        <x:v>#NAME?</x:v>
      </x:c>
      <x:c r="V457" t="e">
        <x:f>IF($A457="","",[1]!thsiFinD("ths_adjustment_nv_fund",V$3,$A457))</x:f>
        <x:v>#NAME?</x:v>
      </x:c>
      <x:c r="W457" t="e">
        <x:f>IF($A457="","",[1]!thsiFinD("ths_adjustment_nv_fund",W$3,$A457))</x:f>
        <x:v>#NAME?</x:v>
      </x:c>
      <x:c r="X457" t="e">
        <x:f>IF($A457="","",[1]!thsiFinD("ths_adjustment_nv_fund",X$3,$A457))</x:f>
        <x:v>#NAME?</x:v>
      </x:c>
      <x:c r="Y457" t="e">
        <x:f>IF($A457="","",[1]!thsiFinD("ths_adjustment_nv_fund",Y$3,$A457))</x:f>
        <x:v>#NAME?</x:v>
      </x:c>
    </x:row>
    <x:row r="458">
      <x:c r="B458" t="e">
        <x:f>IF($A458="","",[1]!thsiFinD("ths_adjustment_nv_fund",B$3,$A458))</x:f>
        <x:v>#NAME?</x:v>
      </x:c>
      <x:c r="C458" t="e">
        <x:f>IF($A458="","",[1]!thsiFinD("ths_adjustment_nv_fund",C$3,$A458))</x:f>
        <x:v>#NAME?</x:v>
      </x:c>
      <x:c r="D458" t="e">
        <x:f>IF($A458="","",[1]!thsiFinD("ths_adjustment_nv_fund",D$3,$A458))</x:f>
        <x:v>#NAME?</x:v>
      </x:c>
      <x:c r="E458" t="e">
        <x:f>IF($A458="","",[1]!thsiFinD("ths_adjustment_nv_fund",E$3,$A458))</x:f>
        <x:v>#NAME?</x:v>
      </x:c>
      <x:c r="F458" t="e">
        <x:f>IF($A458="","",[1]!thsiFinD("ths_adjustment_nv_fund",F$3,$A458))</x:f>
        <x:v>#NAME?</x:v>
      </x:c>
      <x:c r="G458" t="e">
        <x:f>IF($A458="","",[1]!thsiFinD("ths_adjustment_nv_fund",G$3,$A458))</x:f>
        <x:v>#NAME?</x:v>
      </x:c>
      <x:c r="H458" t="e">
        <x:f>IF($A458="","",[1]!thsiFinD("ths_adjustment_nv_fund",H$3,$A458))</x:f>
        <x:v>#NAME?</x:v>
      </x:c>
      <x:c r="I458" t="e">
        <x:f>IF($A458="","",[1]!thsiFinD("ths_adjustment_nv_fund",I$3,$A458))</x:f>
        <x:v>#NAME?</x:v>
      </x:c>
      <x:c r="J458" t="e">
        <x:f>IF($A458="","",[1]!thsiFinD("ths_adjustment_nv_fund",J$3,$A458))</x:f>
        <x:v>#NAME?</x:v>
      </x:c>
      <x:c r="K458" t="e">
        <x:f>IF($A458="","",[1]!thsiFinD("ths_adjustment_nv_fund",K$3,$A458))</x:f>
        <x:v>#NAME?</x:v>
      </x:c>
      <x:c r="L458" t="e">
        <x:f>IF($A458="","",[1]!thsiFinD("ths_adjustment_nv_fund",L$3,$A458))</x:f>
        <x:v>#NAME?</x:v>
      </x:c>
      <x:c r="M458" t="e">
        <x:f>IF($A458="","",[1]!thsiFinD("ths_adjustment_nv_fund",M$3,$A458))</x:f>
        <x:v>#NAME?</x:v>
      </x:c>
      <x:c r="N458" t="e">
        <x:f>IF($A458="","",[1]!thsiFinD("ths_adjustment_nv_fund",N$3,$A458))</x:f>
        <x:v>#NAME?</x:v>
      </x:c>
      <x:c r="O458" t="e">
        <x:f>IF($A458="","",[1]!thsiFinD("ths_adjustment_nv_fund",O$3,$A458))</x:f>
        <x:v>#NAME?</x:v>
      </x:c>
      <x:c r="P458" t="e">
        <x:f>IF($A458="","",[1]!thsiFinD("ths_adjustment_nv_fund",P$3,$A458))</x:f>
        <x:v>#NAME?</x:v>
      </x:c>
      <x:c r="Q458" t="e">
        <x:f>IF($A458="","",[1]!thsiFinD("ths_adjustment_nv_fund",Q$3,$A458))</x:f>
        <x:v>#NAME?</x:v>
      </x:c>
      <x:c r="R458" t="e">
        <x:f>IF($A458="","",[1]!thsiFinD("ths_adjustment_nv_fund",R$3,$A458))</x:f>
        <x:v>#NAME?</x:v>
      </x:c>
      <x:c r="S458" t="e">
        <x:f>IF($A458="","",[1]!thsiFinD("ths_adjustment_nv_fund",S$3,$A458))</x:f>
        <x:v>#NAME?</x:v>
      </x:c>
      <x:c r="T458" t="e">
        <x:f>IF($A458="","",[1]!thsiFinD("ths_adjustment_nv_fund",T$3,$A458))</x:f>
        <x:v>#NAME?</x:v>
      </x:c>
      <x:c r="U458" t="e">
        <x:f>IF($A458="","",[1]!thsiFinD("ths_adjustment_nv_fund",U$3,$A458))</x:f>
        <x:v>#NAME?</x:v>
      </x:c>
      <x:c r="V458" t="e">
        <x:f>IF($A458="","",[1]!thsiFinD("ths_adjustment_nv_fund",V$3,$A458))</x:f>
        <x:v>#NAME?</x:v>
      </x:c>
      <x:c r="W458" t="e">
        <x:f>IF($A458="","",[1]!thsiFinD("ths_adjustment_nv_fund",W$3,$A458))</x:f>
        <x:v>#NAME?</x:v>
      </x:c>
      <x:c r="X458" t="e">
        <x:f>IF($A458="","",[1]!thsiFinD("ths_adjustment_nv_fund",X$3,$A458))</x:f>
        <x:v>#NAME?</x:v>
      </x:c>
      <x:c r="Y458" t="e">
        <x:f>IF($A458="","",[1]!thsiFinD("ths_adjustment_nv_fund",Y$3,$A458))</x:f>
        <x:v>#NAME?</x:v>
      </x:c>
    </x:row>
    <x:row r="459">
      <x:c r="B459" t="e">
        <x:f>IF($A459="","",[1]!thsiFinD("ths_adjustment_nv_fund",B$3,$A459))</x:f>
        <x:v>#NAME?</x:v>
      </x:c>
      <x:c r="C459" t="e">
        <x:f>IF($A459="","",[1]!thsiFinD("ths_adjustment_nv_fund",C$3,$A459))</x:f>
        <x:v>#NAME?</x:v>
      </x:c>
      <x:c r="D459" t="e">
        <x:f>IF($A459="","",[1]!thsiFinD("ths_adjustment_nv_fund",D$3,$A459))</x:f>
        <x:v>#NAME?</x:v>
      </x:c>
      <x:c r="E459" t="e">
        <x:f>IF($A459="","",[1]!thsiFinD("ths_adjustment_nv_fund",E$3,$A459))</x:f>
        <x:v>#NAME?</x:v>
      </x:c>
      <x:c r="F459" t="e">
        <x:f>IF($A459="","",[1]!thsiFinD("ths_adjustment_nv_fund",F$3,$A459))</x:f>
        <x:v>#NAME?</x:v>
      </x:c>
      <x:c r="G459" t="e">
        <x:f>IF($A459="","",[1]!thsiFinD("ths_adjustment_nv_fund",G$3,$A459))</x:f>
        <x:v>#NAME?</x:v>
      </x:c>
      <x:c r="H459" t="e">
        <x:f>IF($A459="","",[1]!thsiFinD("ths_adjustment_nv_fund",H$3,$A459))</x:f>
        <x:v>#NAME?</x:v>
      </x:c>
      <x:c r="I459" t="e">
        <x:f>IF($A459="","",[1]!thsiFinD("ths_adjustment_nv_fund",I$3,$A459))</x:f>
        <x:v>#NAME?</x:v>
      </x:c>
      <x:c r="J459" t="e">
        <x:f>IF($A459="","",[1]!thsiFinD("ths_adjustment_nv_fund",J$3,$A459))</x:f>
        <x:v>#NAME?</x:v>
      </x:c>
      <x:c r="K459" t="e">
        <x:f>IF($A459="","",[1]!thsiFinD("ths_adjustment_nv_fund",K$3,$A459))</x:f>
        <x:v>#NAME?</x:v>
      </x:c>
      <x:c r="L459" t="e">
        <x:f>IF($A459="","",[1]!thsiFinD("ths_adjustment_nv_fund",L$3,$A459))</x:f>
        <x:v>#NAME?</x:v>
      </x:c>
      <x:c r="M459" t="e">
        <x:f>IF($A459="","",[1]!thsiFinD("ths_adjustment_nv_fund",M$3,$A459))</x:f>
        <x:v>#NAME?</x:v>
      </x:c>
      <x:c r="N459" t="e">
        <x:f>IF($A459="","",[1]!thsiFinD("ths_adjustment_nv_fund",N$3,$A459))</x:f>
        <x:v>#NAME?</x:v>
      </x:c>
      <x:c r="O459" t="e">
        <x:f>IF($A459="","",[1]!thsiFinD("ths_adjustment_nv_fund",O$3,$A459))</x:f>
        <x:v>#NAME?</x:v>
      </x:c>
      <x:c r="P459" t="e">
        <x:f>IF($A459="","",[1]!thsiFinD("ths_adjustment_nv_fund",P$3,$A459))</x:f>
        <x:v>#NAME?</x:v>
      </x:c>
      <x:c r="Q459" t="e">
        <x:f>IF($A459="","",[1]!thsiFinD("ths_adjustment_nv_fund",Q$3,$A459))</x:f>
        <x:v>#NAME?</x:v>
      </x:c>
      <x:c r="R459" t="e">
        <x:f>IF($A459="","",[1]!thsiFinD("ths_adjustment_nv_fund",R$3,$A459))</x:f>
        <x:v>#NAME?</x:v>
      </x:c>
      <x:c r="S459" t="e">
        <x:f>IF($A459="","",[1]!thsiFinD("ths_adjustment_nv_fund",S$3,$A459))</x:f>
        <x:v>#NAME?</x:v>
      </x:c>
      <x:c r="T459" t="e">
        <x:f>IF($A459="","",[1]!thsiFinD("ths_adjustment_nv_fund",T$3,$A459))</x:f>
        <x:v>#NAME?</x:v>
      </x:c>
      <x:c r="U459" t="e">
        <x:f>IF($A459="","",[1]!thsiFinD("ths_adjustment_nv_fund",U$3,$A459))</x:f>
        <x:v>#NAME?</x:v>
      </x:c>
      <x:c r="V459" t="e">
        <x:f>IF($A459="","",[1]!thsiFinD("ths_adjustment_nv_fund",V$3,$A459))</x:f>
        <x:v>#NAME?</x:v>
      </x:c>
      <x:c r="W459" t="e">
        <x:f>IF($A459="","",[1]!thsiFinD("ths_adjustment_nv_fund",W$3,$A459))</x:f>
        <x:v>#NAME?</x:v>
      </x:c>
      <x:c r="X459" t="e">
        <x:f>IF($A459="","",[1]!thsiFinD("ths_adjustment_nv_fund",X$3,$A459))</x:f>
        <x:v>#NAME?</x:v>
      </x:c>
      <x:c r="Y459" t="e">
        <x:f>IF($A459="","",[1]!thsiFinD("ths_adjustment_nv_fund",Y$3,$A459))</x:f>
        <x:v>#NAME?</x:v>
      </x:c>
    </x:row>
    <x:row r="460">
      <x:c r="B460" t="e">
        <x:f>IF($A460="","",[1]!thsiFinD("ths_adjustment_nv_fund",B$3,$A460))</x:f>
        <x:v>#NAME?</x:v>
      </x:c>
      <x:c r="C460" t="e">
        <x:f>IF($A460="","",[1]!thsiFinD("ths_adjustment_nv_fund",C$3,$A460))</x:f>
        <x:v>#NAME?</x:v>
      </x:c>
      <x:c r="D460" t="e">
        <x:f>IF($A460="","",[1]!thsiFinD("ths_adjustment_nv_fund",D$3,$A460))</x:f>
        <x:v>#NAME?</x:v>
      </x:c>
      <x:c r="E460" t="e">
        <x:f>IF($A460="","",[1]!thsiFinD("ths_adjustment_nv_fund",E$3,$A460))</x:f>
        <x:v>#NAME?</x:v>
      </x:c>
      <x:c r="F460" t="e">
        <x:f>IF($A460="","",[1]!thsiFinD("ths_adjustment_nv_fund",F$3,$A460))</x:f>
        <x:v>#NAME?</x:v>
      </x:c>
      <x:c r="G460" t="e">
        <x:f>IF($A460="","",[1]!thsiFinD("ths_adjustment_nv_fund",G$3,$A460))</x:f>
        <x:v>#NAME?</x:v>
      </x:c>
      <x:c r="H460" t="e">
        <x:f>IF($A460="","",[1]!thsiFinD("ths_adjustment_nv_fund",H$3,$A460))</x:f>
        <x:v>#NAME?</x:v>
      </x:c>
      <x:c r="I460" t="e">
        <x:f>IF($A460="","",[1]!thsiFinD("ths_adjustment_nv_fund",I$3,$A460))</x:f>
        <x:v>#NAME?</x:v>
      </x:c>
      <x:c r="J460" t="e">
        <x:f>IF($A460="","",[1]!thsiFinD("ths_adjustment_nv_fund",J$3,$A460))</x:f>
        <x:v>#NAME?</x:v>
      </x:c>
      <x:c r="K460" t="e">
        <x:f>IF($A460="","",[1]!thsiFinD("ths_adjustment_nv_fund",K$3,$A460))</x:f>
        <x:v>#NAME?</x:v>
      </x:c>
      <x:c r="L460" t="e">
        <x:f>IF($A460="","",[1]!thsiFinD("ths_adjustment_nv_fund",L$3,$A460))</x:f>
        <x:v>#NAME?</x:v>
      </x:c>
      <x:c r="M460" t="e">
        <x:f>IF($A460="","",[1]!thsiFinD("ths_adjustment_nv_fund",M$3,$A460))</x:f>
        <x:v>#NAME?</x:v>
      </x:c>
      <x:c r="N460" t="e">
        <x:f>IF($A460="","",[1]!thsiFinD("ths_adjustment_nv_fund",N$3,$A460))</x:f>
        <x:v>#NAME?</x:v>
      </x:c>
      <x:c r="O460" t="e">
        <x:f>IF($A460="","",[1]!thsiFinD("ths_adjustment_nv_fund",O$3,$A460))</x:f>
        <x:v>#NAME?</x:v>
      </x:c>
      <x:c r="P460" t="e">
        <x:f>IF($A460="","",[1]!thsiFinD("ths_adjustment_nv_fund",P$3,$A460))</x:f>
        <x:v>#NAME?</x:v>
      </x:c>
      <x:c r="Q460" t="e">
        <x:f>IF($A460="","",[1]!thsiFinD("ths_adjustment_nv_fund",Q$3,$A460))</x:f>
        <x:v>#NAME?</x:v>
      </x:c>
      <x:c r="R460" t="e">
        <x:f>IF($A460="","",[1]!thsiFinD("ths_adjustment_nv_fund",R$3,$A460))</x:f>
        <x:v>#NAME?</x:v>
      </x:c>
      <x:c r="S460" t="e">
        <x:f>IF($A460="","",[1]!thsiFinD("ths_adjustment_nv_fund",S$3,$A460))</x:f>
        <x:v>#NAME?</x:v>
      </x:c>
      <x:c r="T460" t="e">
        <x:f>IF($A460="","",[1]!thsiFinD("ths_adjustment_nv_fund",T$3,$A460))</x:f>
        <x:v>#NAME?</x:v>
      </x:c>
      <x:c r="U460" t="e">
        <x:f>IF($A460="","",[1]!thsiFinD("ths_adjustment_nv_fund",U$3,$A460))</x:f>
        <x:v>#NAME?</x:v>
      </x:c>
      <x:c r="V460" t="e">
        <x:f>IF($A460="","",[1]!thsiFinD("ths_adjustment_nv_fund",V$3,$A460))</x:f>
        <x:v>#NAME?</x:v>
      </x:c>
      <x:c r="W460" t="e">
        <x:f>IF($A460="","",[1]!thsiFinD("ths_adjustment_nv_fund",W$3,$A460))</x:f>
        <x:v>#NAME?</x:v>
      </x:c>
      <x:c r="X460" t="e">
        <x:f>IF($A460="","",[1]!thsiFinD("ths_adjustment_nv_fund",X$3,$A460))</x:f>
        <x:v>#NAME?</x:v>
      </x:c>
      <x:c r="Y460" t="e">
        <x:f>IF($A460="","",[1]!thsiFinD("ths_adjustment_nv_fund",Y$3,$A460))</x:f>
        <x:v>#NAME?</x:v>
      </x:c>
    </x:row>
    <x:row r="461">
      <x:c r="B461" t="e">
        <x:f>IF($A461="","",[1]!thsiFinD("ths_adjustment_nv_fund",B$3,$A461))</x:f>
        <x:v>#NAME?</x:v>
      </x:c>
      <x:c r="C461" t="e">
        <x:f>IF($A461="","",[1]!thsiFinD("ths_adjustment_nv_fund",C$3,$A461))</x:f>
        <x:v>#NAME?</x:v>
      </x:c>
      <x:c r="D461" t="e">
        <x:f>IF($A461="","",[1]!thsiFinD("ths_adjustment_nv_fund",D$3,$A461))</x:f>
        <x:v>#NAME?</x:v>
      </x:c>
      <x:c r="E461" t="e">
        <x:f>IF($A461="","",[1]!thsiFinD("ths_adjustment_nv_fund",E$3,$A461))</x:f>
        <x:v>#NAME?</x:v>
      </x:c>
      <x:c r="F461" t="e">
        <x:f>IF($A461="","",[1]!thsiFinD("ths_adjustment_nv_fund",F$3,$A461))</x:f>
        <x:v>#NAME?</x:v>
      </x:c>
      <x:c r="G461" t="e">
        <x:f>IF($A461="","",[1]!thsiFinD("ths_adjustment_nv_fund",G$3,$A461))</x:f>
        <x:v>#NAME?</x:v>
      </x:c>
      <x:c r="H461" t="e">
        <x:f>IF($A461="","",[1]!thsiFinD("ths_adjustment_nv_fund",H$3,$A461))</x:f>
        <x:v>#NAME?</x:v>
      </x:c>
      <x:c r="I461" t="e">
        <x:f>IF($A461="","",[1]!thsiFinD("ths_adjustment_nv_fund",I$3,$A461))</x:f>
        <x:v>#NAME?</x:v>
      </x:c>
      <x:c r="J461" t="e">
        <x:f>IF($A461="","",[1]!thsiFinD("ths_adjustment_nv_fund",J$3,$A461))</x:f>
        <x:v>#NAME?</x:v>
      </x:c>
      <x:c r="K461" t="e">
        <x:f>IF($A461="","",[1]!thsiFinD("ths_adjustment_nv_fund",K$3,$A461))</x:f>
        <x:v>#NAME?</x:v>
      </x:c>
      <x:c r="L461" t="e">
        <x:f>IF($A461="","",[1]!thsiFinD("ths_adjustment_nv_fund",L$3,$A461))</x:f>
        <x:v>#NAME?</x:v>
      </x:c>
      <x:c r="M461" t="e">
        <x:f>IF($A461="","",[1]!thsiFinD("ths_adjustment_nv_fund",M$3,$A461))</x:f>
        <x:v>#NAME?</x:v>
      </x:c>
      <x:c r="N461" t="e">
        <x:f>IF($A461="","",[1]!thsiFinD("ths_adjustment_nv_fund",N$3,$A461))</x:f>
        <x:v>#NAME?</x:v>
      </x:c>
      <x:c r="O461" t="e">
        <x:f>IF($A461="","",[1]!thsiFinD("ths_adjustment_nv_fund",O$3,$A461))</x:f>
        <x:v>#NAME?</x:v>
      </x:c>
      <x:c r="P461" t="e">
        <x:f>IF($A461="","",[1]!thsiFinD("ths_adjustment_nv_fund",P$3,$A461))</x:f>
        <x:v>#NAME?</x:v>
      </x:c>
      <x:c r="Q461" t="e">
        <x:f>IF($A461="","",[1]!thsiFinD("ths_adjustment_nv_fund",Q$3,$A461))</x:f>
        <x:v>#NAME?</x:v>
      </x:c>
      <x:c r="R461" t="e">
        <x:f>IF($A461="","",[1]!thsiFinD("ths_adjustment_nv_fund",R$3,$A461))</x:f>
        <x:v>#NAME?</x:v>
      </x:c>
      <x:c r="S461" t="e">
        <x:f>IF($A461="","",[1]!thsiFinD("ths_adjustment_nv_fund",S$3,$A461))</x:f>
        <x:v>#NAME?</x:v>
      </x:c>
      <x:c r="T461" t="e">
        <x:f>IF($A461="","",[1]!thsiFinD("ths_adjustment_nv_fund",T$3,$A461))</x:f>
        <x:v>#NAME?</x:v>
      </x:c>
      <x:c r="U461" t="e">
        <x:f>IF($A461="","",[1]!thsiFinD("ths_adjustment_nv_fund",U$3,$A461))</x:f>
        <x:v>#NAME?</x:v>
      </x:c>
      <x:c r="V461" t="e">
        <x:f>IF($A461="","",[1]!thsiFinD("ths_adjustment_nv_fund",V$3,$A461))</x:f>
        <x:v>#NAME?</x:v>
      </x:c>
      <x:c r="W461" t="e">
        <x:f>IF($A461="","",[1]!thsiFinD("ths_adjustment_nv_fund",W$3,$A461))</x:f>
        <x:v>#NAME?</x:v>
      </x:c>
      <x:c r="X461" t="e">
        <x:f>IF($A461="","",[1]!thsiFinD("ths_adjustment_nv_fund",X$3,$A461))</x:f>
        <x:v>#NAME?</x:v>
      </x:c>
      <x:c r="Y461" t="e">
        <x:f>IF($A461="","",[1]!thsiFinD("ths_adjustment_nv_fund",Y$3,$A461))</x:f>
        <x:v>#NAME?</x:v>
      </x:c>
    </x:row>
    <x:row r="462">
      <x:c r="B462" t="e">
        <x:f>IF($A462="","",[1]!thsiFinD("ths_adjustment_nv_fund",B$3,$A462))</x:f>
        <x:v>#NAME?</x:v>
      </x:c>
      <x:c r="C462" t="e">
        <x:f>IF($A462="","",[1]!thsiFinD("ths_adjustment_nv_fund",C$3,$A462))</x:f>
        <x:v>#NAME?</x:v>
      </x:c>
      <x:c r="D462" t="e">
        <x:f>IF($A462="","",[1]!thsiFinD("ths_adjustment_nv_fund",D$3,$A462))</x:f>
        <x:v>#NAME?</x:v>
      </x:c>
      <x:c r="E462" t="e">
        <x:f>IF($A462="","",[1]!thsiFinD("ths_adjustment_nv_fund",E$3,$A462))</x:f>
        <x:v>#NAME?</x:v>
      </x:c>
      <x:c r="F462" t="e">
        <x:f>IF($A462="","",[1]!thsiFinD("ths_adjustment_nv_fund",F$3,$A462))</x:f>
        <x:v>#NAME?</x:v>
      </x:c>
      <x:c r="G462" t="e">
        <x:f>IF($A462="","",[1]!thsiFinD("ths_adjustment_nv_fund",G$3,$A462))</x:f>
        <x:v>#NAME?</x:v>
      </x:c>
      <x:c r="H462" t="e">
        <x:f>IF($A462="","",[1]!thsiFinD("ths_adjustment_nv_fund",H$3,$A462))</x:f>
        <x:v>#NAME?</x:v>
      </x:c>
      <x:c r="I462" t="e">
        <x:f>IF($A462="","",[1]!thsiFinD("ths_adjustment_nv_fund",I$3,$A462))</x:f>
        <x:v>#NAME?</x:v>
      </x:c>
      <x:c r="J462" t="e">
        <x:f>IF($A462="","",[1]!thsiFinD("ths_adjustment_nv_fund",J$3,$A462))</x:f>
        <x:v>#NAME?</x:v>
      </x:c>
      <x:c r="K462" t="e">
        <x:f>IF($A462="","",[1]!thsiFinD("ths_adjustment_nv_fund",K$3,$A462))</x:f>
        <x:v>#NAME?</x:v>
      </x:c>
      <x:c r="L462" t="e">
        <x:f>IF($A462="","",[1]!thsiFinD("ths_adjustment_nv_fund",L$3,$A462))</x:f>
        <x:v>#NAME?</x:v>
      </x:c>
      <x:c r="M462" t="e">
        <x:f>IF($A462="","",[1]!thsiFinD("ths_adjustment_nv_fund",M$3,$A462))</x:f>
        <x:v>#NAME?</x:v>
      </x:c>
      <x:c r="N462" t="e">
        <x:f>IF($A462="","",[1]!thsiFinD("ths_adjustment_nv_fund",N$3,$A462))</x:f>
        <x:v>#NAME?</x:v>
      </x:c>
      <x:c r="O462" t="e">
        <x:f>IF($A462="","",[1]!thsiFinD("ths_adjustment_nv_fund",O$3,$A462))</x:f>
        <x:v>#NAME?</x:v>
      </x:c>
      <x:c r="P462" t="e">
        <x:f>IF($A462="","",[1]!thsiFinD("ths_adjustment_nv_fund",P$3,$A462))</x:f>
        <x:v>#NAME?</x:v>
      </x:c>
      <x:c r="Q462" t="e">
        <x:f>IF($A462="","",[1]!thsiFinD("ths_adjustment_nv_fund",Q$3,$A462))</x:f>
        <x:v>#NAME?</x:v>
      </x:c>
      <x:c r="R462" t="e">
        <x:f>IF($A462="","",[1]!thsiFinD("ths_adjustment_nv_fund",R$3,$A462))</x:f>
        <x:v>#NAME?</x:v>
      </x:c>
      <x:c r="S462" t="e">
        <x:f>IF($A462="","",[1]!thsiFinD("ths_adjustment_nv_fund",S$3,$A462))</x:f>
        <x:v>#NAME?</x:v>
      </x:c>
      <x:c r="T462" t="e">
        <x:f>IF($A462="","",[1]!thsiFinD("ths_adjustment_nv_fund",T$3,$A462))</x:f>
        <x:v>#NAME?</x:v>
      </x:c>
      <x:c r="U462" t="e">
        <x:f>IF($A462="","",[1]!thsiFinD("ths_adjustment_nv_fund",U$3,$A462))</x:f>
        <x:v>#NAME?</x:v>
      </x:c>
      <x:c r="V462" t="e">
        <x:f>IF($A462="","",[1]!thsiFinD("ths_adjustment_nv_fund",V$3,$A462))</x:f>
        <x:v>#NAME?</x:v>
      </x:c>
      <x:c r="W462" t="e">
        <x:f>IF($A462="","",[1]!thsiFinD("ths_adjustment_nv_fund",W$3,$A462))</x:f>
        <x:v>#NAME?</x:v>
      </x:c>
      <x:c r="X462" t="e">
        <x:f>IF($A462="","",[1]!thsiFinD("ths_adjustment_nv_fund",X$3,$A462))</x:f>
        <x:v>#NAME?</x:v>
      </x:c>
      <x:c r="Y462" t="e">
        <x:f>IF($A462="","",[1]!thsiFinD("ths_adjustment_nv_fund",Y$3,$A462))</x:f>
        <x:v>#NAME?</x:v>
      </x:c>
    </x:row>
    <x:row r="463">
      <x:c r="B463" t="e">
        <x:f>IF($A463="","",[1]!thsiFinD("ths_adjustment_nv_fund",B$3,$A463))</x:f>
        <x:v>#NAME?</x:v>
      </x:c>
      <x:c r="C463" t="e">
        <x:f>IF($A463="","",[1]!thsiFinD("ths_adjustment_nv_fund",C$3,$A463))</x:f>
        <x:v>#NAME?</x:v>
      </x:c>
      <x:c r="D463" t="e">
        <x:f>IF($A463="","",[1]!thsiFinD("ths_adjustment_nv_fund",D$3,$A463))</x:f>
        <x:v>#NAME?</x:v>
      </x:c>
      <x:c r="E463" t="e">
        <x:f>IF($A463="","",[1]!thsiFinD("ths_adjustment_nv_fund",E$3,$A463))</x:f>
        <x:v>#NAME?</x:v>
      </x:c>
      <x:c r="F463" t="e">
        <x:f>IF($A463="","",[1]!thsiFinD("ths_adjustment_nv_fund",F$3,$A463))</x:f>
        <x:v>#NAME?</x:v>
      </x:c>
      <x:c r="G463" t="e">
        <x:f>IF($A463="","",[1]!thsiFinD("ths_adjustment_nv_fund",G$3,$A463))</x:f>
        <x:v>#NAME?</x:v>
      </x:c>
      <x:c r="H463" t="e">
        <x:f>IF($A463="","",[1]!thsiFinD("ths_adjustment_nv_fund",H$3,$A463))</x:f>
        <x:v>#NAME?</x:v>
      </x:c>
      <x:c r="I463" t="e">
        <x:f>IF($A463="","",[1]!thsiFinD("ths_adjustment_nv_fund",I$3,$A463))</x:f>
        <x:v>#NAME?</x:v>
      </x:c>
      <x:c r="J463" t="e">
        <x:f>IF($A463="","",[1]!thsiFinD("ths_adjustment_nv_fund",J$3,$A463))</x:f>
        <x:v>#NAME?</x:v>
      </x:c>
      <x:c r="K463" t="e">
        <x:f>IF($A463="","",[1]!thsiFinD("ths_adjustment_nv_fund",K$3,$A463))</x:f>
        <x:v>#NAME?</x:v>
      </x:c>
      <x:c r="L463" t="e">
        <x:f>IF($A463="","",[1]!thsiFinD("ths_adjustment_nv_fund",L$3,$A463))</x:f>
        <x:v>#NAME?</x:v>
      </x:c>
      <x:c r="M463" t="e">
        <x:f>IF($A463="","",[1]!thsiFinD("ths_adjustment_nv_fund",M$3,$A463))</x:f>
        <x:v>#NAME?</x:v>
      </x:c>
      <x:c r="N463" t="e">
        <x:f>IF($A463="","",[1]!thsiFinD("ths_adjustment_nv_fund",N$3,$A463))</x:f>
        <x:v>#NAME?</x:v>
      </x:c>
      <x:c r="O463" t="e">
        <x:f>IF($A463="","",[1]!thsiFinD("ths_adjustment_nv_fund",O$3,$A463))</x:f>
        <x:v>#NAME?</x:v>
      </x:c>
      <x:c r="P463" t="e">
        <x:f>IF($A463="","",[1]!thsiFinD("ths_adjustment_nv_fund",P$3,$A463))</x:f>
        <x:v>#NAME?</x:v>
      </x:c>
      <x:c r="Q463" t="e">
        <x:f>IF($A463="","",[1]!thsiFinD("ths_adjustment_nv_fund",Q$3,$A463))</x:f>
        <x:v>#NAME?</x:v>
      </x:c>
      <x:c r="R463" t="e">
        <x:f>IF($A463="","",[1]!thsiFinD("ths_adjustment_nv_fund",R$3,$A463))</x:f>
        <x:v>#NAME?</x:v>
      </x:c>
      <x:c r="S463" t="e">
        <x:f>IF($A463="","",[1]!thsiFinD("ths_adjustment_nv_fund",S$3,$A463))</x:f>
        <x:v>#NAME?</x:v>
      </x:c>
      <x:c r="T463" t="e">
        <x:f>IF($A463="","",[1]!thsiFinD("ths_adjustment_nv_fund",T$3,$A463))</x:f>
        <x:v>#NAME?</x:v>
      </x:c>
      <x:c r="U463" t="e">
        <x:f>IF($A463="","",[1]!thsiFinD("ths_adjustment_nv_fund",U$3,$A463))</x:f>
        <x:v>#NAME?</x:v>
      </x:c>
      <x:c r="V463" t="e">
        <x:f>IF($A463="","",[1]!thsiFinD("ths_adjustment_nv_fund",V$3,$A463))</x:f>
        <x:v>#NAME?</x:v>
      </x:c>
      <x:c r="W463" t="e">
        <x:f>IF($A463="","",[1]!thsiFinD("ths_adjustment_nv_fund",W$3,$A463))</x:f>
        <x:v>#NAME?</x:v>
      </x:c>
      <x:c r="X463" t="e">
        <x:f>IF($A463="","",[1]!thsiFinD("ths_adjustment_nv_fund",X$3,$A463))</x:f>
        <x:v>#NAME?</x:v>
      </x:c>
      <x:c r="Y463" t="e">
        <x:f>IF($A463="","",[1]!thsiFinD("ths_adjustment_nv_fund",Y$3,$A463))</x:f>
        <x:v>#NAME?</x:v>
      </x:c>
    </x:row>
    <x:row r="464">
      <x:c r="B464" t="e">
        <x:f>IF($A464="","",[1]!thsiFinD("ths_adjustment_nv_fund",B$3,$A464))</x:f>
        <x:v>#NAME?</x:v>
      </x:c>
      <x:c r="C464" t="e">
        <x:f>IF($A464="","",[1]!thsiFinD("ths_adjustment_nv_fund",C$3,$A464))</x:f>
        <x:v>#NAME?</x:v>
      </x:c>
      <x:c r="D464" t="e">
        <x:f>IF($A464="","",[1]!thsiFinD("ths_adjustment_nv_fund",D$3,$A464))</x:f>
        <x:v>#NAME?</x:v>
      </x:c>
      <x:c r="E464" t="e">
        <x:f>IF($A464="","",[1]!thsiFinD("ths_adjustment_nv_fund",E$3,$A464))</x:f>
        <x:v>#NAME?</x:v>
      </x:c>
      <x:c r="F464" t="e">
        <x:f>IF($A464="","",[1]!thsiFinD("ths_adjustment_nv_fund",F$3,$A464))</x:f>
        <x:v>#NAME?</x:v>
      </x:c>
      <x:c r="G464" t="e">
        <x:f>IF($A464="","",[1]!thsiFinD("ths_adjustment_nv_fund",G$3,$A464))</x:f>
        <x:v>#NAME?</x:v>
      </x:c>
      <x:c r="H464" t="e">
        <x:f>IF($A464="","",[1]!thsiFinD("ths_adjustment_nv_fund",H$3,$A464))</x:f>
        <x:v>#NAME?</x:v>
      </x:c>
      <x:c r="I464" t="e">
        <x:f>IF($A464="","",[1]!thsiFinD("ths_adjustment_nv_fund",I$3,$A464))</x:f>
        <x:v>#NAME?</x:v>
      </x:c>
      <x:c r="J464" t="e">
        <x:f>IF($A464="","",[1]!thsiFinD("ths_adjustment_nv_fund",J$3,$A464))</x:f>
        <x:v>#NAME?</x:v>
      </x:c>
      <x:c r="K464" t="e">
        <x:f>IF($A464="","",[1]!thsiFinD("ths_adjustment_nv_fund",K$3,$A464))</x:f>
        <x:v>#NAME?</x:v>
      </x:c>
      <x:c r="L464" t="e">
        <x:f>IF($A464="","",[1]!thsiFinD("ths_adjustment_nv_fund",L$3,$A464))</x:f>
        <x:v>#NAME?</x:v>
      </x:c>
      <x:c r="M464" t="e">
        <x:f>IF($A464="","",[1]!thsiFinD("ths_adjustment_nv_fund",M$3,$A464))</x:f>
        <x:v>#NAME?</x:v>
      </x:c>
      <x:c r="N464" t="e">
        <x:f>IF($A464="","",[1]!thsiFinD("ths_adjustment_nv_fund",N$3,$A464))</x:f>
        <x:v>#NAME?</x:v>
      </x:c>
      <x:c r="O464" t="e">
        <x:f>IF($A464="","",[1]!thsiFinD("ths_adjustment_nv_fund",O$3,$A464))</x:f>
        <x:v>#NAME?</x:v>
      </x:c>
      <x:c r="P464" t="e">
        <x:f>IF($A464="","",[1]!thsiFinD("ths_adjustment_nv_fund",P$3,$A464))</x:f>
        <x:v>#NAME?</x:v>
      </x:c>
      <x:c r="Q464" t="e">
        <x:f>IF($A464="","",[1]!thsiFinD("ths_adjustment_nv_fund",Q$3,$A464))</x:f>
        <x:v>#NAME?</x:v>
      </x:c>
      <x:c r="R464" t="e">
        <x:f>IF($A464="","",[1]!thsiFinD("ths_adjustment_nv_fund",R$3,$A464))</x:f>
        <x:v>#NAME?</x:v>
      </x:c>
      <x:c r="S464" t="e">
        <x:f>IF($A464="","",[1]!thsiFinD("ths_adjustment_nv_fund",S$3,$A464))</x:f>
        <x:v>#NAME?</x:v>
      </x:c>
      <x:c r="T464" t="e">
        <x:f>IF($A464="","",[1]!thsiFinD("ths_adjustment_nv_fund",T$3,$A464))</x:f>
        <x:v>#NAME?</x:v>
      </x:c>
      <x:c r="U464" t="e">
        <x:f>IF($A464="","",[1]!thsiFinD("ths_adjustment_nv_fund",U$3,$A464))</x:f>
        <x:v>#NAME?</x:v>
      </x:c>
      <x:c r="V464" t="e">
        <x:f>IF($A464="","",[1]!thsiFinD("ths_adjustment_nv_fund",V$3,$A464))</x:f>
        <x:v>#NAME?</x:v>
      </x:c>
      <x:c r="W464" t="e">
        <x:f>IF($A464="","",[1]!thsiFinD("ths_adjustment_nv_fund",W$3,$A464))</x:f>
        <x:v>#NAME?</x:v>
      </x:c>
      <x:c r="X464" t="e">
        <x:f>IF($A464="","",[1]!thsiFinD("ths_adjustment_nv_fund",X$3,$A464))</x:f>
        <x:v>#NAME?</x:v>
      </x:c>
      <x:c r="Y464" t="e">
        <x:f>IF($A464="","",[1]!thsiFinD("ths_adjustment_nv_fund",Y$3,$A464))</x:f>
        <x:v>#NAME?</x:v>
      </x:c>
    </x:row>
    <x:row r="465">
      <x:c r="B465" t="e">
        <x:f>IF($A465="","",[1]!thsiFinD("ths_adjustment_nv_fund",B$3,$A465))</x:f>
        <x:v>#NAME?</x:v>
      </x:c>
      <x:c r="C465" t="e">
        <x:f>IF($A465="","",[1]!thsiFinD("ths_adjustment_nv_fund",C$3,$A465))</x:f>
        <x:v>#NAME?</x:v>
      </x:c>
      <x:c r="D465" t="e">
        <x:f>IF($A465="","",[1]!thsiFinD("ths_adjustment_nv_fund",D$3,$A465))</x:f>
        <x:v>#NAME?</x:v>
      </x:c>
      <x:c r="E465" t="e">
        <x:f>IF($A465="","",[1]!thsiFinD("ths_adjustment_nv_fund",E$3,$A465))</x:f>
        <x:v>#NAME?</x:v>
      </x:c>
      <x:c r="F465" t="e">
        <x:f>IF($A465="","",[1]!thsiFinD("ths_adjustment_nv_fund",F$3,$A465))</x:f>
        <x:v>#NAME?</x:v>
      </x:c>
      <x:c r="G465" t="e">
        <x:f>IF($A465="","",[1]!thsiFinD("ths_adjustment_nv_fund",G$3,$A465))</x:f>
        <x:v>#NAME?</x:v>
      </x:c>
      <x:c r="H465" t="e">
        <x:f>IF($A465="","",[1]!thsiFinD("ths_adjustment_nv_fund",H$3,$A465))</x:f>
        <x:v>#NAME?</x:v>
      </x:c>
      <x:c r="I465" t="e">
        <x:f>IF($A465="","",[1]!thsiFinD("ths_adjustment_nv_fund",I$3,$A465))</x:f>
        <x:v>#NAME?</x:v>
      </x:c>
      <x:c r="J465" t="e">
        <x:f>IF($A465="","",[1]!thsiFinD("ths_adjustment_nv_fund",J$3,$A465))</x:f>
        <x:v>#NAME?</x:v>
      </x:c>
      <x:c r="K465" t="e">
        <x:f>IF($A465="","",[1]!thsiFinD("ths_adjustment_nv_fund",K$3,$A465))</x:f>
        <x:v>#NAME?</x:v>
      </x:c>
      <x:c r="L465" t="e">
        <x:f>IF($A465="","",[1]!thsiFinD("ths_adjustment_nv_fund",L$3,$A465))</x:f>
        <x:v>#NAME?</x:v>
      </x:c>
      <x:c r="M465" t="e">
        <x:f>IF($A465="","",[1]!thsiFinD("ths_adjustment_nv_fund",M$3,$A465))</x:f>
        <x:v>#NAME?</x:v>
      </x:c>
      <x:c r="N465" t="e">
        <x:f>IF($A465="","",[1]!thsiFinD("ths_adjustment_nv_fund",N$3,$A465))</x:f>
        <x:v>#NAME?</x:v>
      </x:c>
      <x:c r="O465" t="e">
        <x:f>IF($A465="","",[1]!thsiFinD("ths_adjustment_nv_fund",O$3,$A465))</x:f>
        <x:v>#NAME?</x:v>
      </x:c>
      <x:c r="P465" t="e">
        <x:f>IF($A465="","",[1]!thsiFinD("ths_adjustment_nv_fund",P$3,$A465))</x:f>
        <x:v>#NAME?</x:v>
      </x:c>
      <x:c r="Q465" t="e">
        <x:f>IF($A465="","",[1]!thsiFinD("ths_adjustment_nv_fund",Q$3,$A465))</x:f>
        <x:v>#NAME?</x:v>
      </x:c>
      <x:c r="R465" t="e">
        <x:f>IF($A465="","",[1]!thsiFinD("ths_adjustment_nv_fund",R$3,$A465))</x:f>
        <x:v>#NAME?</x:v>
      </x:c>
      <x:c r="S465" t="e">
        <x:f>IF($A465="","",[1]!thsiFinD("ths_adjustment_nv_fund",S$3,$A465))</x:f>
        <x:v>#NAME?</x:v>
      </x:c>
      <x:c r="T465" t="e">
        <x:f>IF($A465="","",[1]!thsiFinD("ths_adjustment_nv_fund",T$3,$A465))</x:f>
        <x:v>#NAME?</x:v>
      </x:c>
      <x:c r="U465" t="e">
        <x:f>IF($A465="","",[1]!thsiFinD("ths_adjustment_nv_fund",U$3,$A465))</x:f>
        <x:v>#NAME?</x:v>
      </x:c>
      <x:c r="V465" t="e">
        <x:f>IF($A465="","",[1]!thsiFinD("ths_adjustment_nv_fund",V$3,$A465))</x:f>
        <x:v>#NAME?</x:v>
      </x:c>
      <x:c r="W465" t="e">
        <x:f>IF($A465="","",[1]!thsiFinD("ths_adjustment_nv_fund",W$3,$A465))</x:f>
        <x:v>#NAME?</x:v>
      </x:c>
      <x:c r="X465" t="e">
        <x:f>IF($A465="","",[1]!thsiFinD("ths_adjustment_nv_fund",X$3,$A465))</x:f>
        <x:v>#NAME?</x:v>
      </x:c>
      <x:c r="Y465" t="e">
        <x:f>IF($A465="","",[1]!thsiFinD("ths_adjustment_nv_fund",Y$3,$A465))</x:f>
        <x:v>#NAME?</x:v>
      </x:c>
    </x:row>
    <x:row r="466">
      <x:c r="B466" t="e">
        <x:f>IF($A466="","",[1]!thsiFinD("ths_adjustment_nv_fund",B$3,$A466))</x:f>
        <x:v>#NAME?</x:v>
      </x:c>
      <x:c r="C466" t="e">
        <x:f>IF($A466="","",[1]!thsiFinD("ths_adjustment_nv_fund",C$3,$A466))</x:f>
        <x:v>#NAME?</x:v>
      </x:c>
      <x:c r="D466" t="e">
        <x:f>IF($A466="","",[1]!thsiFinD("ths_adjustment_nv_fund",D$3,$A466))</x:f>
        <x:v>#NAME?</x:v>
      </x:c>
      <x:c r="E466" t="e">
        <x:f>IF($A466="","",[1]!thsiFinD("ths_adjustment_nv_fund",E$3,$A466))</x:f>
        <x:v>#NAME?</x:v>
      </x:c>
      <x:c r="F466" t="e">
        <x:f>IF($A466="","",[1]!thsiFinD("ths_adjustment_nv_fund",F$3,$A466))</x:f>
        <x:v>#NAME?</x:v>
      </x:c>
      <x:c r="G466" t="e">
        <x:f>IF($A466="","",[1]!thsiFinD("ths_adjustment_nv_fund",G$3,$A466))</x:f>
        <x:v>#NAME?</x:v>
      </x:c>
      <x:c r="H466" t="e">
        <x:f>IF($A466="","",[1]!thsiFinD("ths_adjustment_nv_fund",H$3,$A466))</x:f>
        <x:v>#NAME?</x:v>
      </x:c>
      <x:c r="I466" t="e">
        <x:f>IF($A466="","",[1]!thsiFinD("ths_adjustment_nv_fund",I$3,$A466))</x:f>
        <x:v>#NAME?</x:v>
      </x:c>
      <x:c r="J466" t="e">
        <x:f>IF($A466="","",[1]!thsiFinD("ths_adjustment_nv_fund",J$3,$A466))</x:f>
        <x:v>#NAME?</x:v>
      </x:c>
      <x:c r="K466" t="e">
        <x:f>IF($A466="","",[1]!thsiFinD("ths_adjustment_nv_fund",K$3,$A466))</x:f>
        <x:v>#NAME?</x:v>
      </x:c>
      <x:c r="L466" t="e">
        <x:f>IF($A466="","",[1]!thsiFinD("ths_adjustment_nv_fund",L$3,$A466))</x:f>
        <x:v>#NAME?</x:v>
      </x:c>
      <x:c r="M466" t="e">
        <x:f>IF($A466="","",[1]!thsiFinD("ths_adjustment_nv_fund",M$3,$A466))</x:f>
        <x:v>#NAME?</x:v>
      </x:c>
      <x:c r="N466" t="e">
        <x:f>IF($A466="","",[1]!thsiFinD("ths_adjustment_nv_fund",N$3,$A466))</x:f>
        <x:v>#NAME?</x:v>
      </x:c>
      <x:c r="O466" t="e">
        <x:f>IF($A466="","",[1]!thsiFinD("ths_adjustment_nv_fund",O$3,$A466))</x:f>
        <x:v>#NAME?</x:v>
      </x:c>
      <x:c r="P466" t="e">
        <x:f>IF($A466="","",[1]!thsiFinD("ths_adjustment_nv_fund",P$3,$A466))</x:f>
        <x:v>#NAME?</x:v>
      </x:c>
      <x:c r="Q466" t="e">
        <x:f>IF($A466="","",[1]!thsiFinD("ths_adjustment_nv_fund",Q$3,$A466))</x:f>
        <x:v>#NAME?</x:v>
      </x:c>
      <x:c r="R466" t="e">
        <x:f>IF($A466="","",[1]!thsiFinD("ths_adjustment_nv_fund",R$3,$A466))</x:f>
        <x:v>#NAME?</x:v>
      </x:c>
      <x:c r="S466" t="e">
        <x:f>IF($A466="","",[1]!thsiFinD("ths_adjustment_nv_fund",S$3,$A466))</x:f>
        <x:v>#NAME?</x:v>
      </x:c>
      <x:c r="T466" t="e">
        <x:f>IF($A466="","",[1]!thsiFinD("ths_adjustment_nv_fund",T$3,$A466))</x:f>
        <x:v>#NAME?</x:v>
      </x:c>
      <x:c r="U466" t="e">
        <x:f>IF($A466="","",[1]!thsiFinD("ths_adjustment_nv_fund",U$3,$A466))</x:f>
        <x:v>#NAME?</x:v>
      </x:c>
      <x:c r="V466" t="e">
        <x:f>IF($A466="","",[1]!thsiFinD("ths_adjustment_nv_fund",V$3,$A466))</x:f>
        <x:v>#NAME?</x:v>
      </x:c>
      <x:c r="W466" t="e">
        <x:f>IF($A466="","",[1]!thsiFinD("ths_adjustment_nv_fund",W$3,$A466))</x:f>
        <x:v>#NAME?</x:v>
      </x:c>
      <x:c r="X466" t="e">
        <x:f>IF($A466="","",[1]!thsiFinD("ths_adjustment_nv_fund",X$3,$A466))</x:f>
        <x:v>#NAME?</x:v>
      </x:c>
      <x:c r="Y466" t="e">
        <x:f>IF($A466="","",[1]!thsiFinD("ths_adjustment_nv_fund",Y$3,$A466))</x:f>
        <x:v>#NAME?</x:v>
      </x:c>
    </x:row>
    <x:row r="467">
      <x:c r="B467" t="e">
        <x:f>IF($A467="","",[1]!thsiFinD("ths_adjustment_nv_fund",B$3,$A467))</x:f>
        <x:v>#NAME?</x:v>
      </x:c>
      <x:c r="C467" t="e">
        <x:f>IF($A467="","",[1]!thsiFinD("ths_adjustment_nv_fund",C$3,$A467))</x:f>
        <x:v>#NAME?</x:v>
      </x:c>
      <x:c r="D467" t="e">
        <x:f>IF($A467="","",[1]!thsiFinD("ths_adjustment_nv_fund",D$3,$A467))</x:f>
        <x:v>#NAME?</x:v>
      </x:c>
      <x:c r="E467" t="e">
        <x:f>IF($A467="","",[1]!thsiFinD("ths_adjustment_nv_fund",E$3,$A467))</x:f>
        <x:v>#NAME?</x:v>
      </x:c>
      <x:c r="F467" t="e">
        <x:f>IF($A467="","",[1]!thsiFinD("ths_adjustment_nv_fund",F$3,$A467))</x:f>
        <x:v>#NAME?</x:v>
      </x:c>
      <x:c r="G467" t="e">
        <x:f>IF($A467="","",[1]!thsiFinD("ths_adjustment_nv_fund",G$3,$A467))</x:f>
        <x:v>#NAME?</x:v>
      </x:c>
      <x:c r="H467" t="e">
        <x:f>IF($A467="","",[1]!thsiFinD("ths_adjustment_nv_fund",H$3,$A467))</x:f>
        <x:v>#NAME?</x:v>
      </x:c>
      <x:c r="I467" t="e">
        <x:f>IF($A467="","",[1]!thsiFinD("ths_adjustment_nv_fund",I$3,$A467))</x:f>
        <x:v>#NAME?</x:v>
      </x:c>
      <x:c r="J467" t="e">
        <x:f>IF($A467="","",[1]!thsiFinD("ths_adjustment_nv_fund",J$3,$A467))</x:f>
        <x:v>#NAME?</x:v>
      </x:c>
      <x:c r="K467" t="e">
        <x:f>IF($A467="","",[1]!thsiFinD("ths_adjustment_nv_fund",K$3,$A467))</x:f>
        <x:v>#NAME?</x:v>
      </x:c>
      <x:c r="L467" t="e">
        <x:f>IF($A467="","",[1]!thsiFinD("ths_adjustment_nv_fund",L$3,$A467))</x:f>
        <x:v>#NAME?</x:v>
      </x:c>
      <x:c r="M467" t="e">
        <x:f>IF($A467="","",[1]!thsiFinD("ths_adjustment_nv_fund",M$3,$A467))</x:f>
        <x:v>#NAME?</x:v>
      </x:c>
      <x:c r="N467" t="e">
        <x:f>IF($A467="","",[1]!thsiFinD("ths_adjustment_nv_fund",N$3,$A467))</x:f>
        <x:v>#NAME?</x:v>
      </x:c>
      <x:c r="O467" t="e">
        <x:f>IF($A467="","",[1]!thsiFinD("ths_adjustment_nv_fund",O$3,$A467))</x:f>
        <x:v>#NAME?</x:v>
      </x:c>
      <x:c r="P467" t="e">
        <x:f>IF($A467="","",[1]!thsiFinD("ths_adjustment_nv_fund",P$3,$A467))</x:f>
        <x:v>#NAME?</x:v>
      </x:c>
      <x:c r="Q467" t="e">
        <x:f>IF($A467="","",[1]!thsiFinD("ths_adjustment_nv_fund",Q$3,$A467))</x:f>
        <x:v>#NAME?</x:v>
      </x:c>
      <x:c r="R467" t="e">
        <x:f>IF($A467="","",[1]!thsiFinD("ths_adjustment_nv_fund",R$3,$A467))</x:f>
        <x:v>#NAME?</x:v>
      </x:c>
      <x:c r="S467" t="e">
        <x:f>IF($A467="","",[1]!thsiFinD("ths_adjustment_nv_fund",S$3,$A467))</x:f>
        <x:v>#NAME?</x:v>
      </x:c>
      <x:c r="T467" t="e">
        <x:f>IF($A467="","",[1]!thsiFinD("ths_adjustment_nv_fund",T$3,$A467))</x:f>
        <x:v>#NAME?</x:v>
      </x:c>
      <x:c r="U467" t="e">
        <x:f>IF($A467="","",[1]!thsiFinD("ths_adjustment_nv_fund",U$3,$A467))</x:f>
        <x:v>#NAME?</x:v>
      </x:c>
      <x:c r="V467" t="e">
        <x:f>IF($A467="","",[1]!thsiFinD("ths_adjustment_nv_fund",V$3,$A467))</x:f>
        <x:v>#NAME?</x:v>
      </x:c>
      <x:c r="W467" t="e">
        <x:f>IF($A467="","",[1]!thsiFinD("ths_adjustment_nv_fund",W$3,$A467))</x:f>
        <x:v>#NAME?</x:v>
      </x:c>
      <x:c r="X467" t="e">
        <x:f>IF($A467="","",[1]!thsiFinD("ths_adjustment_nv_fund",X$3,$A467))</x:f>
        <x:v>#NAME?</x:v>
      </x:c>
      <x:c r="Y467" t="e">
        <x:f>IF($A467="","",[1]!thsiFinD("ths_adjustment_nv_fund",Y$3,$A467))</x:f>
        <x:v>#NAME?</x:v>
      </x:c>
    </x:row>
    <x:row r="468">
      <x:c r="B468" t="e">
        <x:f>IF($A468="","",[1]!thsiFinD("ths_adjustment_nv_fund",B$3,$A468))</x:f>
        <x:v>#NAME?</x:v>
      </x:c>
      <x:c r="C468" t="e">
        <x:f>IF($A468="","",[1]!thsiFinD("ths_adjustment_nv_fund",C$3,$A468))</x:f>
        <x:v>#NAME?</x:v>
      </x:c>
      <x:c r="D468" t="e">
        <x:f>IF($A468="","",[1]!thsiFinD("ths_adjustment_nv_fund",D$3,$A468))</x:f>
        <x:v>#NAME?</x:v>
      </x:c>
      <x:c r="E468" t="e">
        <x:f>IF($A468="","",[1]!thsiFinD("ths_adjustment_nv_fund",E$3,$A468))</x:f>
        <x:v>#NAME?</x:v>
      </x:c>
      <x:c r="F468" t="e">
        <x:f>IF($A468="","",[1]!thsiFinD("ths_adjustment_nv_fund",F$3,$A468))</x:f>
        <x:v>#NAME?</x:v>
      </x:c>
      <x:c r="G468" t="e">
        <x:f>IF($A468="","",[1]!thsiFinD("ths_adjustment_nv_fund",G$3,$A468))</x:f>
        <x:v>#NAME?</x:v>
      </x:c>
      <x:c r="H468" t="e">
        <x:f>IF($A468="","",[1]!thsiFinD("ths_adjustment_nv_fund",H$3,$A468))</x:f>
        <x:v>#NAME?</x:v>
      </x:c>
      <x:c r="I468" t="e">
        <x:f>IF($A468="","",[1]!thsiFinD("ths_adjustment_nv_fund",I$3,$A468))</x:f>
        <x:v>#NAME?</x:v>
      </x:c>
      <x:c r="J468" t="e">
        <x:f>IF($A468="","",[1]!thsiFinD("ths_adjustment_nv_fund",J$3,$A468))</x:f>
        <x:v>#NAME?</x:v>
      </x:c>
      <x:c r="K468" t="e">
        <x:f>IF($A468="","",[1]!thsiFinD("ths_adjustment_nv_fund",K$3,$A468))</x:f>
        <x:v>#NAME?</x:v>
      </x:c>
      <x:c r="L468" t="e">
        <x:f>IF($A468="","",[1]!thsiFinD("ths_adjustment_nv_fund",L$3,$A468))</x:f>
        <x:v>#NAME?</x:v>
      </x:c>
      <x:c r="M468" t="e">
        <x:f>IF($A468="","",[1]!thsiFinD("ths_adjustment_nv_fund",M$3,$A468))</x:f>
        <x:v>#NAME?</x:v>
      </x:c>
      <x:c r="N468" t="e">
        <x:f>IF($A468="","",[1]!thsiFinD("ths_adjustment_nv_fund",N$3,$A468))</x:f>
        <x:v>#NAME?</x:v>
      </x:c>
      <x:c r="O468" t="e">
        <x:f>IF($A468="","",[1]!thsiFinD("ths_adjustment_nv_fund",O$3,$A468))</x:f>
        <x:v>#NAME?</x:v>
      </x:c>
      <x:c r="P468" t="e">
        <x:f>IF($A468="","",[1]!thsiFinD("ths_adjustment_nv_fund",P$3,$A468))</x:f>
        <x:v>#NAME?</x:v>
      </x:c>
      <x:c r="Q468" t="e">
        <x:f>IF($A468="","",[1]!thsiFinD("ths_adjustment_nv_fund",Q$3,$A468))</x:f>
        <x:v>#NAME?</x:v>
      </x:c>
      <x:c r="R468" t="e">
        <x:f>IF($A468="","",[1]!thsiFinD("ths_adjustment_nv_fund",R$3,$A468))</x:f>
        <x:v>#NAME?</x:v>
      </x:c>
      <x:c r="S468" t="e">
        <x:f>IF($A468="","",[1]!thsiFinD("ths_adjustment_nv_fund",S$3,$A468))</x:f>
        <x:v>#NAME?</x:v>
      </x:c>
      <x:c r="T468" t="e">
        <x:f>IF($A468="","",[1]!thsiFinD("ths_adjustment_nv_fund",T$3,$A468))</x:f>
        <x:v>#NAME?</x:v>
      </x:c>
      <x:c r="U468" t="e">
        <x:f>IF($A468="","",[1]!thsiFinD("ths_adjustment_nv_fund",U$3,$A468))</x:f>
        <x:v>#NAME?</x:v>
      </x:c>
      <x:c r="V468" t="e">
        <x:f>IF($A468="","",[1]!thsiFinD("ths_adjustment_nv_fund",V$3,$A468))</x:f>
        <x:v>#NAME?</x:v>
      </x:c>
      <x:c r="W468" t="e">
        <x:f>IF($A468="","",[1]!thsiFinD("ths_adjustment_nv_fund",W$3,$A468))</x:f>
        <x:v>#NAME?</x:v>
      </x:c>
      <x:c r="X468" t="e">
        <x:f>IF($A468="","",[1]!thsiFinD("ths_adjustment_nv_fund",X$3,$A468))</x:f>
        <x:v>#NAME?</x:v>
      </x:c>
      <x:c r="Y468" t="e">
        <x:f>IF($A468="","",[1]!thsiFinD("ths_adjustment_nv_fund",Y$3,$A468))</x:f>
        <x:v>#NAME?</x:v>
      </x:c>
    </x:row>
    <x:row r="469">
      <x:c r="B469" t="e">
        <x:f>IF($A469="","",[1]!thsiFinD("ths_adjustment_nv_fund",B$3,$A469))</x:f>
        <x:v>#NAME?</x:v>
      </x:c>
      <x:c r="C469" t="e">
        <x:f>IF($A469="","",[1]!thsiFinD("ths_adjustment_nv_fund",C$3,$A469))</x:f>
        <x:v>#NAME?</x:v>
      </x:c>
      <x:c r="D469" t="e">
        <x:f>IF($A469="","",[1]!thsiFinD("ths_adjustment_nv_fund",D$3,$A469))</x:f>
        <x:v>#NAME?</x:v>
      </x:c>
      <x:c r="E469" t="e">
        <x:f>IF($A469="","",[1]!thsiFinD("ths_adjustment_nv_fund",E$3,$A469))</x:f>
        <x:v>#NAME?</x:v>
      </x:c>
      <x:c r="F469" t="e">
        <x:f>IF($A469="","",[1]!thsiFinD("ths_adjustment_nv_fund",F$3,$A469))</x:f>
        <x:v>#NAME?</x:v>
      </x:c>
      <x:c r="G469" t="e">
        <x:f>IF($A469="","",[1]!thsiFinD("ths_adjustment_nv_fund",G$3,$A469))</x:f>
        <x:v>#NAME?</x:v>
      </x:c>
      <x:c r="H469" t="e">
        <x:f>IF($A469="","",[1]!thsiFinD("ths_adjustment_nv_fund",H$3,$A469))</x:f>
        <x:v>#NAME?</x:v>
      </x:c>
      <x:c r="I469" t="e">
        <x:f>IF($A469="","",[1]!thsiFinD("ths_adjustment_nv_fund",I$3,$A469))</x:f>
        <x:v>#NAME?</x:v>
      </x:c>
      <x:c r="J469" t="e">
        <x:f>IF($A469="","",[1]!thsiFinD("ths_adjustment_nv_fund",J$3,$A469))</x:f>
        <x:v>#NAME?</x:v>
      </x:c>
      <x:c r="K469" t="e">
        <x:f>IF($A469="","",[1]!thsiFinD("ths_adjustment_nv_fund",K$3,$A469))</x:f>
        <x:v>#NAME?</x:v>
      </x:c>
      <x:c r="L469" t="e">
        <x:f>IF($A469="","",[1]!thsiFinD("ths_adjustment_nv_fund",L$3,$A469))</x:f>
        <x:v>#NAME?</x:v>
      </x:c>
      <x:c r="M469" t="e">
        <x:f>IF($A469="","",[1]!thsiFinD("ths_adjustment_nv_fund",M$3,$A469))</x:f>
        <x:v>#NAME?</x:v>
      </x:c>
      <x:c r="N469" t="e">
        <x:f>IF($A469="","",[1]!thsiFinD("ths_adjustment_nv_fund",N$3,$A469))</x:f>
        <x:v>#NAME?</x:v>
      </x:c>
      <x:c r="O469" t="e">
        <x:f>IF($A469="","",[1]!thsiFinD("ths_adjustment_nv_fund",O$3,$A469))</x:f>
        <x:v>#NAME?</x:v>
      </x:c>
      <x:c r="P469" t="e">
        <x:f>IF($A469="","",[1]!thsiFinD("ths_adjustment_nv_fund",P$3,$A469))</x:f>
        <x:v>#NAME?</x:v>
      </x:c>
      <x:c r="Q469" t="e">
        <x:f>IF($A469="","",[1]!thsiFinD("ths_adjustment_nv_fund",Q$3,$A469))</x:f>
        <x:v>#NAME?</x:v>
      </x:c>
      <x:c r="R469" t="e">
        <x:f>IF($A469="","",[1]!thsiFinD("ths_adjustment_nv_fund",R$3,$A469))</x:f>
        <x:v>#NAME?</x:v>
      </x:c>
      <x:c r="S469" t="e">
        <x:f>IF($A469="","",[1]!thsiFinD("ths_adjustment_nv_fund",S$3,$A469))</x:f>
        <x:v>#NAME?</x:v>
      </x:c>
      <x:c r="T469" t="e">
        <x:f>IF($A469="","",[1]!thsiFinD("ths_adjustment_nv_fund",T$3,$A469))</x:f>
        <x:v>#NAME?</x:v>
      </x:c>
      <x:c r="U469" t="e">
        <x:f>IF($A469="","",[1]!thsiFinD("ths_adjustment_nv_fund",U$3,$A469))</x:f>
        <x:v>#NAME?</x:v>
      </x:c>
      <x:c r="V469" t="e">
        <x:f>IF($A469="","",[1]!thsiFinD("ths_adjustment_nv_fund",V$3,$A469))</x:f>
        <x:v>#NAME?</x:v>
      </x:c>
      <x:c r="W469" t="e">
        <x:f>IF($A469="","",[1]!thsiFinD("ths_adjustment_nv_fund",W$3,$A469))</x:f>
        <x:v>#NAME?</x:v>
      </x:c>
      <x:c r="X469" t="e">
        <x:f>IF($A469="","",[1]!thsiFinD("ths_adjustment_nv_fund",X$3,$A469))</x:f>
        <x:v>#NAME?</x:v>
      </x:c>
      <x:c r="Y469" t="e">
        <x:f>IF($A469="","",[1]!thsiFinD("ths_adjustment_nv_fund",Y$3,$A469))</x:f>
        <x:v>#NAME?</x:v>
      </x:c>
    </x:row>
    <x:row r="470">
      <x:c r="B470" t="e">
        <x:f>IF($A470="","",[1]!thsiFinD("ths_adjustment_nv_fund",B$3,$A470))</x:f>
        <x:v>#NAME?</x:v>
      </x:c>
      <x:c r="C470" t="e">
        <x:f>IF($A470="","",[1]!thsiFinD("ths_adjustment_nv_fund",C$3,$A470))</x:f>
        <x:v>#NAME?</x:v>
      </x:c>
      <x:c r="D470" t="e">
        <x:f>IF($A470="","",[1]!thsiFinD("ths_adjustment_nv_fund",D$3,$A470))</x:f>
        <x:v>#NAME?</x:v>
      </x:c>
      <x:c r="E470" t="e">
        <x:f>IF($A470="","",[1]!thsiFinD("ths_adjustment_nv_fund",E$3,$A470))</x:f>
        <x:v>#NAME?</x:v>
      </x:c>
      <x:c r="F470" t="e">
        <x:f>IF($A470="","",[1]!thsiFinD("ths_adjustment_nv_fund",F$3,$A470))</x:f>
        <x:v>#NAME?</x:v>
      </x:c>
      <x:c r="G470" t="e">
        <x:f>IF($A470="","",[1]!thsiFinD("ths_adjustment_nv_fund",G$3,$A470))</x:f>
        <x:v>#NAME?</x:v>
      </x:c>
      <x:c r="H470" t="e">
        <x:f>IF($A470="","",[1]!thsiFinD("ths_adjustment_nv_fund",H$3,$A470))</x:f>
        <x:v>#NAME?</x:v>
      </x:c>
      <x:c r="I470" t="e">
        <x:f>IF($A470="","",[1]!thsiFinD("ths_adjustment_nv_fund",I$3,$A470))</x:f>
        <x:v>#NAME?</x:v>
      </x:c>
      <x:c r="J470" t="e">
        <x:f>IF($A470="","",[1]!thsiFinD("ths_adjustment_nv_fund",J$3,$A470))</x:f>
        <x:v>#NAME?</x:v>
      </x:c>
      <x:c r="K470" t="e">
        <x:f>IF($A470="","",[1]!thsiFinD("ths_adjustment_nv_fund",K$3,$A470))</x:f>
        <x:v>#NAME?</x:v>
      </x:c>
      <x:c r="L470" t="e">
        <x:f>IF($A470="","",[1]!thsiFinD("ths_adjustment_nv_fund",L$3,$A470))</x:f>
        <x:v>#NAME?</x:v>
      </x:c>
      <x:c r="M470" t="e">
        <x:f>IF($A470="","",[1]!thsiFinD("ths_adjustment_nv_fund",M$3,$A470))</x:f>
        <x:v>#NAME?</x:v>
      </x:c>
      <x:c r="N470" t="e">
        <x:f>IF($A470="","",[1]!thsiFinD("ths_adjustment_nv_fund",N$3,$A470))</x:f>
        <x:v>#NAME?</x:v>
      </x:c>
      <x:c r="O470" t="e">
        <x:f>IF($A470="","",[1]!thsiFinD("ths_adjustment_nv_fund",O$3,$A470))</x:f>
        <x:v>#NAME?</x:v>
      </x:c>
      <x:c r="P470" t="e">
        <x:f>IF($A470="","",[1]!thsiFinD("ths_adjustment_nv_fund",P$3,$A470))</x:f>
        <x:v>#NAME?</x:v>
      </x:c>
      <x:c r="Q470" t="e">
        <x:f>IF($A470="","",[1]!thsiFinD("ths_adjustment_nv_fund",Q$3,$A470))</x:f>
        <x:v>#NAME?</x:v>
      </x:c>
      <x:c r="R470" t="e">
        <x:f>IF($A470="","",[1]!thsiFinD("ths_adjustment_nv_fund",R$3,$A470))</x:f>
        <x:v>#NAME?</x:v>
      </x:c>
      <x:c r="S470" t="e">
        <x:f>IF($A470="","",[1]!thsiFinD("ths_adjustment_nv_fund",S$3,$A470))</x:f>
        <x:v>#NAME?</x:v>
      </x:c>
      <x:c r="T470" t="e">
        <x:f>IF($A470="","",[1]!thsiFinD("ths_adjustment_nv_fund",T$3,$A470))</x:f>
        <x:v>#NAME?</x:v>
      </x:c>
      <x:c r="U470" t="e">
        <x:f>IF($A470="","",[1]!thsiFinD("ths_adjustment_nv_fund",U$3,$A470))</x:f>
        <x:v>#NAME?</x:v>
      </x:c>
      <x:c r="V470" t="e">
        <x:f>IF($A470="","",[1]!thsiFinD("ths_adjustment_nv_fund",V$3,$A470))</x:f>
        <x:v>#NAME?</x:v>
      </x:c>
      <x:c r="W470" t="e">
        <x:f>IF($A470="","",[1]!thsiFinD("ths_adjustment_nv_fund",W$3,$A470))</x:f>
        <x:v>#NAME?</x:v>
      </x:c>
      <x:c r="X470" t="e">
        <x:f>IF($A470="","",[1]!thsiFinD("ths_adjustment_nv_fund",X$3,$A470))</x:f>
        <x:v>#NAME?</x:v>
      </x:c>
      <x:c r="Y470" t="e">
        <x:f>IF($A470="","",[1]!thsiFinD("ths_adjustment_nv_fund",Y$3,$A470))</x:f>
        <x:v>#NAME?</x:v>
      </x:c>
    </x:row>
    <x:row r="471">
      <x:c r="B471" t="e">
        <x:f>IF($A471="","",[1]!thsiFinD("ths_adjustment_nv_fund",B$3,$A471))</x:f>
        <x:v>#NAME?</x:v>
      </x:c>
      <x:c r="C471" t="e">
        <x:f>IF($A471="","",[1]!thsiFinD("ths_adjustment_nv_fund",C$3,$A471))</x:f>
        <x:v>#NAME?</x:v>
      </x:c>
      <x:c r="D471" t="e">
        <x:f>IF($A471="","",[1]!thsiFinD("ths_adjustment_nv_fund",D$3,$A471))</x:f>
        <x:v>#NAME?</x:v>
      </x:c>
      <x:c r="E471" t="e">
        <x:f>IF($A471="","",[1]!thsiFinD("ths_adjustment_nv_fund",E$3,$A471))</x:f>
        <x:v>#NAME?</x:v>
      </x:c>
      <x:c r="F471" t="e">
        <x:f>IF($A471="","",[1]!thsiFinD("ths_adjustment_nv_fund",F$3,$A471))</x:f>
        <x:v>#NAME?</x:v>
      </x:c>
      <x:c r="G471" t="e">
        <x:f>IF($A471="","",[1]!thsiFinD("ths_adjustment_nv_fund",G$3,$A471))</x:f>
        <x:v>#NAME?</x:v>
      </x:c>
      <x:c r="H471" t="e">
        <x:f>IF($A471="","",[1]!thsiFinD("ths_adjustment_nv_fund",H$3,$A471))</x:f>
        <x:v>#NAME?</x:v>
      </x:c>
      <x:c r="I471" t="e">
        <x:f>IF($A471="","",[1]!thsiFinD("ths_adjustment_nv_fund",I$3,$A471))</x:f>
        <x:v>#NAME?</x:v>
      </x:c>
      <x:c r="J471" t="e">
        <x:f>IF($A471="","",[1]!thsiFinD("ths_adjustment_nv_fund",J$3,$A471))</x:f>
        <x:v>#NAME?</x:v>
      </x:c>
      <x:c r="K471" t="e">
        <x:f>IF($A471="","",[1]!thsiFinD("ths_adjustment_nv_fund",K$3,$A471))</x:f>
        <x:v>#NAME?</x:v>
      </x:c>
      <x:c r="L471" t="e">
        <x:f>IF($A471="","",[1]!thsiFinD("ths_adjustment_nv_fund",L$3,$A471))</x:f>
        <x:v>#NAME?</x:v>
      </x:c>
      <x:c r="M471" t="e">
        <x:f>IF($A471="","",[1]!thsiFinD("ths_adjustment_nv_fund",M$3,$A471))</x:f>
        <x:v>#NAME?</x:v>
      </x:c>
      <x:c r="N471" t="e">
        <x:f>IF($A471="","",[1]!thsiFinD("ths_adjustment_nv_fund",N$3,$A471))</x:f>
        <x:v>#NAME?</x:v>
      </x:c>
      <x:c r="O471" t="e">
        <x:f>IF($A471="","",[1]!thsiFinD("ths_adjustment_nv_fund",O$3,$A471))</x:f>
        <x:v>#NAME?</x:v>
      </x:c>
      <x:c r="P471" t="e">
        <x:f>IF($A471="","",[1]!thsiFinD("ths_adjustment_nv_fund",P$3,$A471))</x:f>
        <x:v>#NAME?</x:v>
      </x:c>
      <x:c r="Q471" t="e">
        <x:f>IF($A471="","",[1]!thsiFinD("ths_adjustment_nv_fund",Q$3,$A471))</x:f>
        <x:v>#NAME?</x:v>
      </x:c>
      <x:c r="R471" t="e">
        <x:f>IF($A471="","",[1]!thsiFinD("ths_adjustment_nv_fund",R$3,$A471))</x:f>
        <x:v>#NAME?</x:v>
      </x:c>
      <x:c r="S471" t="e">
        <x:f>IF($A471="","",[1]!thsiFinD("ths_adjustment_nv_fund",S$3,$A471))</x:f>
        <x:v>#NAME?</x:v>
      </x:c>
      <x:c r="T471" t="e">
        <x:f>IF($A471="","",[1]!thsiFinD("ths_adjustment_nv_fund",T$3,$A471))</x:f>
        <x:v>#NAME?</x:v>
      </x:c>
      <x:c r="U471" t="e">
        <x:f>IF($A471="","",[1]!thsiFinD("ths_adjustment_nv_fund",U$3,$A471))</x:f>
        <x:v>#NAME?</x:v>
      </x:c>
      <x:c r="V471" t="e">
        <x:f>IF($A471="","",[1]!thsiFinD("ths_adjustment_nv_fund",V$3,$A471))</x:f>
        <x:v>#NAME?</x:v>
      </x:c>
      <x:c r="W471" t="e">
        <x:f>IF($A471="","",[1]!thsiFinD("ths_adjustment_nv_fund",W$3,$A471))</x:f>
        <x:v>#NAME?</x:v>
      </x:c>
      <x:c r="X471" t="e">
        <x:f>IF($A471="","",[1]!thsiFinD("ths_adjustment_nv_fund",X$3,$A471))</x:f>
        <x:v>#NAME?</x:v>
      </x:c>
      <x:c r="Y471" t="e">
        <x:f>IF($A471="","",[1]!thsiFinD("ths_adjustment_nv_fund",Y$3,$A471))</x:f>
        <x:v>#NAME?</x:v>
      </x:c>
    </x:row>
    <x:row r="472">
      <x:c r="B472" t="e">
        <x:f>IF($A472="","",[1]!thsiFinD("ths_adjustment_nv_fund",B$3,$A472))</x:f>
        <x:v>#NAME?</x:v>
      </x:c>
      <x:c r="C472" t="e">
        <x:f>IF($A472="","",[1]!thsiFinD("ths_adjustment_nv_fund",C$3,$A472))</x:f>
        <x:v>#NAME?</x:v>
      </x:c>
      <x:c r="D472" t="e">
        <x:f>IF($A472="","",[1]!thsiFinD("ths_adjustment_nv_fund",D$3,$A472))</x:f>
        <x:v>#NAME?</x:v>
      </x:c>
      <x:c r="E472" t="e">
        <x:f>IF($A472="","",[1]!thsiFinD("ths_adjustment_nv_fund",E$3,$A472))</x:f>
        <x:v>#NAME?</x:v>
      </x:c>
      <x:c r="F472" t="e">
        <x:f>IF($A472="","",[1]!thsiFinD("ths_adjustment_nv_fund",F$3,$A472))</x:f>
        <x:v>#NAME?</x:v>
      </x:c>
      <x:c r="G472" t="e">
        <x:f>IF($A472="","",[1]!thsiFinD("ths_adjustment_nv_fund",G$3,$A472))</x:f>
        <x:v>#NAME?</x:v>
      </x:c>
      <x:c r="H472" t="e">
        <x:f>IF($A472="","",[1]!thsiFinD("ths_adjustment_nv_fund",H$3,$A472))</x:f>
        <x:v>#NAME?</x:v>
      </x:c>
      <x:c r="I472" t="e">
        <x:f>IF($A472="","",[1]!thsiFinD("ths_adjustment_nv_fund",I$3,$A472))</x:f>
        <x:v>#NAME?</x:v>
      </x:c>
      <x:c r="J472" t="e">
        <x:f>IF($A472="","",[1]!thsiFinD("ths_adjustment_nv_fund",J$3,$A472))</x:f>
        <x:v>#NAME?</x:v>
      </x:c>
      <x:c r="K472" t="e">
        <x:f>IF($A472="","",[1]!thsiFinD("ths_adjustment_nv_fund",K$3,$A472))</x:f>
        <x:v>#NAME?</x:v>
      </x:c>
      <x:c r="L472" t="e">
        <x:f>IF($A472="","",[1]!thsiFinD("ths_adjustment_nv_fund",L$3,$A472))</x:f>
        <x:v>#NAME?</x:v>
      </x:c>
      <x:c r="M472" t="e">
        <x:f>IF($A472="","",[1]!thsiFinD("ths_adjustment_nv_fund",M$3,$A472))</x:f>
        <x:v>#NAME?</x:v>
      </x:c>
      <x:c r="N472" t="e">
        <x:f>IF($A472="","",[1]!thsiFinD("ths_adjustment_nv_fund",N$3,$A472))</x:f>
        <x:v>#NAME?</x:v>
      </x:c>
      <x:c r="O472" t="e">
        <x:f>IF($A472="","",[1]!thsiFinD("ths_adjustment_nv_fund",O$3,$A472))</x:f>
        <x:v>#NAME?</x:v>
      </x:c>
      <x:c r="P472" t="e">
        <x:f>IF($A472="","",[1]!thsiFinD("ths_adjustment_nv_fund",P$3,$A472))</x:f>
        <x:v>#NAME?</x:v>
      </x:c>
      <x:c r="Q472" t="e">
        <x:f>IF($A472="","",[1]!thsiFinD("ths_adjustment_nv_fund",Q$3,$A472))</x:f>
        <x:v>#NAME?</x:v>
      </x:c>
      <x:c r="R472" t="e">
        <x:f>IF($A472="","",[1]!thsiFinD("ths_adjustment_nv_fund",R$3,$A472))</x:f>
        <x:v>#NAME?</x:v>
      </x:c>
      <x:c r="S472" t="e">
        <x:f>IF($A472="","",[1]!thsiFinD("ths_adjustment_nv_fund",S$3,$A472))</x:f>
        <x:v>#NAME?</x:v>
      </x:c>
      <x:c r="T472" t="e">
        <x:f>IF($A472="","",[1]!thsiFinD("ths_adjustment_nv_fund",T$3,$A472))</x:f>
        <x:v>#NAME?</x:v>
      </x:c>
      <x:c r="U472" t="e">
        <x:f>IF($A472="","",[1]!thsiFinD("ths_adjustment_nv_fund",U$3,$A472))</x:f>
        <x:v>#NAME?</x:v>
      </x:c>
      <x:c r="V472" t="e">
        <x:f>IF($A472="","",[1]!thsiFinD("ths_adjustment_nv_fund",V$3,$A472))</x:f>
        <x:v>#NAME?</x:v>
      </x:c>
      <x:c r="W472" t="e">
        <x:f>IF($A472="","",[1]!thsiFinD("ths_adjustment_nv_fund",W$3,$A472))</x:f>
        <x:v>#NAME?</x:v>
      </x:c>
      <x:c r="X472" t="e">
        <x:f>IF($A472="","",[1]!thsiFinD("ths_adjustment_nv_fund",X$3,$A472))</x:f>
        <x:v>#NAME?</x:v>
      </x:c>
      <x:c r="Y472" t="e">
        <x:f>IF($A472="","",[1]!thsiFinD("ths_adjustment_nv_fund",Y$3,$A472))</x:f>
        <x:v>#NAME?</x:v>
      </x:c>
    </x:row>
    <x:row r="473">
      <x:c r="B473" t="e">
        <x:f>IF($A473="","",[1]!thsiFinD("ths_adjustment_nv_fund",B$3,$A473))</x:f>
        <x:v>#NAME?</x:v>
      </x:c>
      <x:c r="C473" t="e">
        <x:f>IF($A473="","",[1]!thsiFinD("ths_adjustment_nv_fund",C$3,$A473))</x:f>
        <x:v>#NAME?</x:v>
      </x:c>
      <x:c r="D473" t="e">
        <x:f>IF($A473="","",[1]!thsiFinD("ths_adjustment_nv_fund",D$3,$A473))</x:f>
        <x:v>#NAME?</x:v>
      </x:c>
      <x:c r="E473" t="e">
        <x:f>IF($A473="","",[1]!thsiFinD("ths_adjustment_nv_fund",E$3,$A473))</x:f>
        <x:v>#NAME?</x:v>
      </x:c>
      <x:c r="F473" t="e">
        <x:f>IF($A473="","",[1]!thsiFinD("ths_adjustment_nv_fund",F$3,$A473))</x:f>
        <x:v>#NAME?</x:v>
      </x:c>
      <x:c r="G473" t="e">
        <x:f>IF($A473="","",[1]!thsiFinD("ths_adjustment_nv_fund",G$3,$A473))</x:f>
        <x:v>#NAME?</x:v>
      </x:c>
      <x:c r="H473" t="e">
        <x:f>IF($A473="","",[1]!thsiFinD("ths_adjustment_nv_fund",H$3,$A473))</x:f>
        <x:v>#NAME?</x:v>
      </x:c>
      <x:c r="I473" t="e">
        <x:f>IF($A473="","",[1]!thsiFinD("ths_adjustment_nv_fund",I$3,$A473))</x:f>
        <x:v>#NAME?</x:v>
      </x:c>
      <x:c r="J473" t="e">
        <x:f>IF($A473="","",[1]!thsiFinD("ths_adjustment_nv_fund",J$3,$A473))</x:f>
        <x:v>#NAME?</x:v>
      </x:c>
      <x:c r="K473" t="e">
        <x:f>IF($A473="","",[1]!thsiFinD("ths_adjustment_nv_fund",K$3,$A473))</x:f>
        <x:v>#NAME?</x:v>
      </x:c>
      <x:c r="L473" t="e">
        <x:f>IF($A473="","",[1]!thsiFinD("ths_adjustment_nv_fund",L$3,$A473))</x:f>
        <x:v>#NAME?</x:v>
      </x:c>
      <x:c r="M473" t="e">
        <x:f>IF($A473="","",[1]!thsiFinD("ths_adjustment_nv_fund",M$3,$A473))</x:f>
        <x:v>#NAME?</x:v>
      </x:c>
      <x:c r="N473" t="e">
        <x:f>IF($A473="","",[1]!thsiFinD("ths_adjustment_nv_fund",N$3,$A473))</x:f>
        <x:v>#NAME?</x:v>
      </x:c>
      <x:c r="O473" t="e">
        <x:f>IF($A473="","",[1]!thsiFinD("ths_adjustment_nv_fund",O$3,$A473))</x:f>
        <x:v>#NAME?</x:v>
      </x:c>
      <x:c r="P473" t="e">
        <x:f>IF($A473="","",[1]!thsiFinD("ths_adjustment_nv_fund",P$3,$A473))</x:f>
        <x:v>#NAME?</x:v>
      </x:c>
      <x:c r="Q473" t="e">
        <x:f>IF($A473="","",[1]!thsiFinD("ths_adjustment_nv_fund",Q$3,$A473))</x:f>
        <x:v>#NAME?</x:v>
      </x:c>
      <x:c r="R473" t="e">
        <x:f>IF($A473="","",[1]!thsiFinD("ths_adjustment_nv_fund",R$3,$A473))</x:f>
        <x:v>#NAME?</x:v>
      </x:c>
      <x:c r="S473" t="e">
        <x:f>IF($A473="","",[1]!thsiFinD("ths_adjustment_nv_fund",S$3,$A473))</x:f>
        <x:v>#NAME?</x:v>
      </x:c>
      <x:c r="T473" t="e">
        <x:f>IF($A473="","",[1]!thsiFinD("ths_adjustment_nv_fund",T$3,$A473))</x:f>
        <x:v>#NAME?</x:v>
      </x:c>
      <x:c r="U473" t="e">
        <x:f>IF($A473="","",[1]!thsiFinD("ths_adjustment_nv_fund",U$3,$A473))</x:f>
        <x:v>#NAME?</x:v>
      </x:c>
      <x:c r="V473" t="e">
        <x:f>IF($A473="","",[1]!thsiFinD("ths_adjustment_nv_fund",V$3,$A473))</x:f>
        <x:v>#NAME?</x:v>
      </x:c>
      <x:c r="W473" t="e">
        <x:f>IF($A473="","",[1]!thsiFinD("ths_adjustment_nv_fund",W$3,$A473))</x:f>
        <x:v>#NAME?</x:v>
      </x:c>
      <x:c r="X473" t="e">
        <x:f>IF($A473="","",[1]!thsiFinD("ths_adjustment_nv_fund",X$3,$A473))</x:f>
        <x:v>#NAME?</x:v>
      </x:c>
      <x:c r="Y473" t="e">
        <x:f>IF($A473="","",[1]!thsiFinD("ths_adjustment_nv_fund",Y$3,$A473))</x:f>
        <x:v>#NAME?</x:v>
      </x:c>
    </x:row>
    <x:row r="474">
      <x:c r="B474" t="e">
        <x:f>IF($A474="","",[1]!thsiFinD("ths_adjustment_nv_fund",B$3,$A474))</x:f>
        <x:v>#NAME?</x:v>
      </x:c>
      <x:c r="C474" t="e">
        <x:f>IF($A474="","",[1]!thsiFinD("ths_adjustment_nv_fund",C$3,$A474))</x:f>
        <x:v>#NAME?</x:v>
      </x:c>
      <x:c r="D474" t="e">
        <x:f>IF($A474="","",[1]!thsiFinD("ths_adjustment_nv_fund",D$3,$A474))</x:f>
        <x:v>#NAME?</x:v>
      </x:c>
      <x:c r="E474" t="e">
        <x:f>IF($A474="","",[1]!thsiFinD("ths_adjustment_nv_fund",E$3,$A474))</x:f>
        <x:v>#NAME?</x:v>
      </x:c>
      <x:c r="F474" t="e">
        <x:f>IF($A474="","",[1]!thsiFinD("ths_adjustment_nv_fund",F$3,$A474))</x:f>
        <x:v>#NAME?</x:v>
      </x:c>
      <x:c r="G474" t="e">
        <x:f>IF($A474="","",[1]!thsiFinD("ths_adjustment_nv_fund",G$3,$A474))</x:f>
        <x:v>#NAME?</x:v>
      </x:c>
      <x:c r="H474" t="e">
        <x:f>IF($A474="","",[1]!thsiFinD("ths_adjustment_nv_fund",H$3,$A474))</x:f>
        <x:v>#NAME?</x:v>
      </x:c>
      <x:c r="I474" t="e">
        <x:f>IF($A474="","",[1]!thsiFinD("ths_adjustment_nv_fund",I$3,$A474))</x:f>
        <x:v>#NAME?</x:v>
      </x:c>
      <x:c r="J474" t="e">
        <x:f>IF($A474="","",[1]!thsiFinD("ths_adjustment_nv_fund",J$3,$A474))</x:f>
        <x:v>#NAME?</x:v>
      </x:c>
      <x:c r="K474" t="e">
        <x:f>IF($A474="","",[1]!thsiFinD("ths_adjustment_nv_fund",K$3,$A474))</x:f>
        <x:v>#NAME?</x:v>
      </x:c>
      <x:c r="L474" t="e">
        <x:f>IF($A474="","",[1]!thsiFinD("ths_adjustment_nv_fund",L$3,$A474))</x:f>
        <x:v>#NAME?</x:v>
      </x:c>
      <x:c r="M474" t="e">
        <x:f>IF($A474="","",[1]!thsiFinD("ths_adjustment_nv_fund",M$3,$A474))</x:f>
        <x:v>#NAME?</x:v>
      </x:c>
      <x:c r="N474" t="e">
        <x:f>IF($A474="","",[1]!thsiFinD("ths_adjustment_nv_fund",N$3,$A474))</x:f>
        <x:v>#NAME?</x:v>
      </x:c>
      <x:c r="O474" t="e">
        <x:f>IF($A474="","",[1]!thsiFinD("ths_adjustment_nv_fund",O$3,$A474))</x:f>
        <x:v>#NAME?</x:v>
      </x:c>
      <x:c r="P474" t="e">
        <x:f>IF($A474="","",[1]!thsiFinD("ths_adjustment_nv_fund",P$3,$A474))</x:f>
        <x:v>#NAME?</x:v>
      </x:c>
      <x:c r="Q474" t="e">
        <x:f>IF($A474="","",[1]!thsiFinD("ths_adjustment_nv_fund",Q$3,$A474))</x:f>
        <x:v>#NAME?</x:v>
      </x:c>
      <x:c r="R474" t="e">
        <x:f>IF($A474="","",[1]!thsiFinD("ths_adjustment_nv_fund",R$3,$A474))</x:f>
        <x:v>#NAME?</x:v>
      </x:c>
      <x:c r="S474" t="e">
        <x:f>IF($A474="","",[1]!thsiFinD("ths_adjustment_nv_fund",S$3,$A474))</x:f>
        <x:v>#NAME?</x:v>
      </x:c>
      <x:c r="T474" t="e">
        <x:f>IF($A474="","",[1]!thsiFinD("ths_adjustment_nv_fund",T$3,$A474))</x:f>
        <x:v>#NAME?</x:v>
      </x:c>
      <x:c r="U474" t="e">
        <x:f>IF($A474="","",[1]!thsiFinD("ths_adjustment_nv_fund",U$3,$A474))</x:f>
        <x:v>#NAME?</x:v>
      </x:c>
      <x:c r="V474" t="e">
        <x:f>IF($A474="","",[1]!thsiFinD("ths_adjustment_nv_fund",V$3,$A474))</x:f>
        <x:v>#NAME?</x:v>
      </x:c>
      <x:c r="W474" t="e">
        <x:f>IF($A474="","",[1]!thsiFinD("ths_adjustment_nv_fund",W$3,$A474))</x:f>
        <x:v>#NAME?</x:v>
      </x:c>
      <x:c r="X474" t="e">
        <x:f>IF($A474="","",[1]!thsiFinD("ths_adjustment_nv_fund",X$3,$A474))</x:f>
        <x:v>#NAME?</x:v>
      </x:c>
      <x:c r="Y474" t="e">
        <x:f>IF($A474="","",[1]!thsiFinD("ths_adjustment_nv_fund",Y$3,$A474))</x:f>
        <x:v>#NAME?</x:v>
      </x:c>
    </x:row>
    <x:row r="475">
      <x:c r="B475" t="e">
        <x:f>IF($A475="","",[1]!thsiFinD("ths_adjustment_nv_fund",B$3,$A475))</x:f>
        <x:v>#NAME?</x:v>
      </x:c>
      <x:c r="C475" t="e">
        <x:f>IF($A475="","",[1]!thsiFinD("ths_adjustment_nv_fund",C$3,$A475))</x:f>
        <x:v>#NAME?</x:v>
      </x:c>
      <x:c r="D475" t="e">
        <x:f>IF($A475="","",[1]!thsiFinD("ths_adjustment_nv_fund",D$3,$A475))</x:f>
        <x:v>#NAME?</x:v>
      </x:c>
      <x:c r="E475" t="e">
        <x:f>IF($A475="","",[1]!thsiFinD("ths_adjustment_nv_fund",E$3,$A475))</x:f>
        <x:v>#NAME?</x:v>
      </x:c>
      <x:c r="F475" t="e">
        <x:f>IF($A475="","",[1]!thsiFinD("ths_adjustment_nv_fund",F$3,$A475))</x:f>
        <x:v>#NAME?</x:v>
      </x:c>
      <x:c r="G475" t="e">
        <x:f>IF($A475="","",[1]!thsiFinD("ths_adjustment_nv_fund",G$3,$A475))</x:f>
        <x:v>#NAME?</x:v>
      </x:c>
      <x:c r="H475" t="e">
        <x:f>IF($A475="","",[1]!thsiFinD("ths_adjustment_nv_fund",H$3,$A475))</x:f>
        <x:v>#NAME?</x:v>
      </x:c>
      <x:c r="I475" t="e">
        <x:f>IF($A475="","",[1]!thsiFinD("ths_adjustment_nv_fund",I$3,$A475))</x:f>
        <x:v>#NAME?</x:v>
      </x:c>
      <x:c r="J475" t="e">
        <x:f>IF($A475="","",[1]!thsiFinD("ths_adjustment_nv_fund",J$3,$A475))</x:f>
        <x:v>#NAME?</x:v>
      </x:c>
      <x:c r="K475" t="e">
        <x:f>IF($A475="","",[1]!thsiFinD("ths_adjustment_nv_fund",K$3,$A475))</x:f>
        <x:v>#NAME?</x:v>
      </x:c>
      <x:c r="L475" t="e">
        <x:f>IF($A475="","",[1]!thsiFinD("ths_adjustment_nv_fund",L$3,$A475))</x:f>
        <x:v>#NAME?</x:v>
      </x:c>
      <x:c r="M475" t="e">
        <x:f>IF($A475="","",[1]!thsiFinD("ths_adjustment_nv_fund",M$3,$A475))</x:f>
        <x:v>#NAME?</x:v>
      </x:c>
      <x:c r="N475" t="e">
        <x:f>IF($A475="","",[1]!thsiFinD("ths_adjustment_nv_fund",N$3,$A475))</x:f>
        <x:v>#NAME?</x:v>
      </x:c>
      <x:c r="O475" t="e">
        <x:f>IF($A475="","",[1]!thsiFinD("ths_adjustment_nv_fund",O$3,$A475))</x:f>
        <x:v>#NAME?</x:v>
      </x:c>
      <x:c r="P475" t="e">
        <x:f>IF($A475="","",[1]!thsiFinD("ths_adjustment_nv_fund",P$3,$A475))</x:f>
        <x:v>#NAME?</x:v>
      </x:c>
      <x:c r="Q475" t="e">
        <x:f>IF($A475="","",[1]!thsiFinD("ths_adjustment_nv_fund",Q$3,$A475))</x:f>
        <x:v>#NAME?</x:v>
      </x:c>
      <x:c r="R475" t="e">
        <x:f>IF($A475="","",[1]!thsiFinD("ths_adjustment_nv_fund",R$3,$A475))</x:f>
        <x:v>#NAME?</x:v>
      </x:c>
      <x:c r="S475" t="e">
        <x:f>IF($A475="","",[1]!thsiFinD("ths_adjustment_nv_fund",S$3,$A475))</x:f>
        <x:v>#NAME?</x:v>
      </x:c>
      <x:c r="T475" t="e">
        <x:f>IF($A475="","",[1]!thsiFinD("ths_adjustment_nv_fund",T$3,$A475))</x:f>
        <x:v>#NAME?</x:v>
      </x:c>
      <x:c r="U475" t="e">
        <x:f>IF($A475="","",[1]!thsiFinD("ths_adjustment_nv_fund",U$3,$A475))</x:f>
        <x:v>#NAME?</x:v>
      </x:c>
      <x:c r="V475" t="e">
        <x:f>IF($A475="","",[1]!thsiFinD("ths_adjustment_nv_fund",V$3,$A475))</x:f>
        <x:v>#NAME?</x:v>
      </x:c>
      <x:c r="W475" t="e">
        <x:f>IF($A475="","",[1]!thsiFinD("ths_adjustment_nv_fund",W$3,$A475))</x:f>
        <x:v>#NAME?</x:v>
      </x:c>
      <x:c r="X475" t="e">
        <x:f>IF($A475="","",[1]!thsiFinD("ths_adjustment_nv_fund",X$3,$A475))</x:f>
        <x:v>#NAME?</x:v>
      </x:c>
      <x:c r="Y475" t="e">
        <x:f>IF($A475="","",[1]!thsiFinD("ths_adjustment_nv_fund",Y$3,$A475))</x:f>
        <x:v>#NAME?</x:v>
      </x:c>
    </x:row>
    <x:row r="476">
      <x:c r="B476" t="e">
        <x:f>IF($A476="","",[1]!thsiFinD("ths_adjustment_nv_fund",B$3,$A476))</x:f>
        <x:v>#NAME?</x:v>
      </x:c>
      <x:c r="C476" t="e">
        <x:f>IF($A476="","",[1]!thsiFinD("ths_adjustment_nv_fund",C$3,$A476))</x:f>
        <x:v>#NAME?</x:v>
      </x:c>
      <x:c r="D476" t="e">
        <x:f>IF($A476="","",[1]!thsiFinD("ths_adjustment_nv_fund",D$3,$A476))</x:f>
        <x:v>#NAME?</x:v>
      </x:c>
      <x:c r="E476" t="e">
        <x:f>IF($A476="","",[1]!thsiFinD("ths_adjustment_nv_fund",E$3,$A476))</x:f>
        <x:v>#NAME?</x:v>
      </x:c>
      <x:c r="F476" t="e">
        <x:f>IF($A476="","",[1]!thsiFinD("ths_adjustment_nv_fund",F$3,$A476))</x:f>
        <x:v>#NAME?</x:v>
      </x:c>
      <x:c r="G476" t="e">
        <x:f>IF($A476="","",[1]!thsiFinD("ths_adjustment_nv_fund",G$3,$A476))</x:f>
        <x:v>#NAME?</x:v>
      </x:c>
      <x:c r="H476" t="e">
        <x:f>IF($A476="","",[1]!thsiFinD("ths_adjustment_nv_fund",H$3,$A476))</x:f>
        <x:v>#NAME?</x:v>
      </x:c>
      <x:c r="I476" t="e">
        <x:f>IF($A476="","",[1]!thsiFinD("ths_adjustment_nv_fund",I$3,$A476))</x:f>
        <x:v>#NAME?</x:v>
      </x:c>
      <x:c r="J476" t="e">
        <x:f>IF($A476="","",[1]!thsiFinD("ths_adjustment_nv_fund",J$3,$A476))</x:f>
        <x:v>#NAME?</x:v>
      </x:c>
      <x:c r="K476" t="e">
        <x:f>IF($A476="","",[1]!thsiFinD("ths_adjustment_nv_fund",K$3,$A476))</x:f>
        <x:v>#NAME?</x:v>
      </x:c>
      <x:c r="L476" t="e">
        <x:f>IF($A476="","",[1]!thsiFinD("ths_adjustment_nv_fund",L$3,$A476))</x:f>
        <x:v>#NAME?</x:v>
      </x:c>
      <x:c r="M476" t="e">
        <x:f>IF($A476="","",[1]!thsiFinD("ths_adjustment_nv_fund",M$3,$A476))</x:f>
        <x:v>#NAME?</x:v>
      </x:c>
      <x:c r="N476" t="e">
        <x:f>IF($A476="","",[1]!thsiFinD("ths_adjustment_nv_fund",N$3,$A476))</x:f>
        <x:v>#NAME?</x:v>
      </x:c>
      <x:c r="O476" t="e">
        <x:f>IF($A476="","",[1]!thsiFinD("ths_adjustment_nv_fund",O$3,$A476))</x:f>
        <x:v>#NAME?</x:v>
      </x:c>
      <x:c r="P476" t="e">
        <x:f>IF($A476="","",[1]!thsiFinD("ths_adjustment_nv_fund",P$3,$A476))</x:f>
        <x:v>#NAME?</x:v>
      </x:c>
      <x:c r="Q476" t="e">
        <x:f>IF($A476="","",[1]!thsiFinD("ths_adjustment_nv_fund",Q$3,$A476))</x:f>
        <x:v>#NAME?</x:v>
      </x:c>
      <x:c r="R476" t="e">
        <x:f>IF($A476="","",[1]!thsiFinD("ths_adjustment_nv_fund",R$3,$A476))</x:f>
        <x:v>#NAME?</x:v>
      </x:c>
      <x:c r="S476" t="e">
        <x:f>IF($A476="","",[1]!thsiFinD("ths_adjustment_nv_fund",S$3,$A476))</x:f>
        <x:v>#NAME?</x:v>
      </x:c>
      <x:c r="T476" t="e">
        <x:f>IF($A476="","",[1]!thsiFinD("ths_adjustment_nv_fund",T$3,$A476))</x:f>
        <x:v>#NAME?</x:v>
      </x:c>
      <x:c r="U476" t="e">
        <x:f>IF($A476="","",[1]!thsiFinD("ths_adjustment_nv_fund",U$3,$A476))</x:f>
        <x:v>#NAME?</x:v>
      </x:c>
      <x:c r="V476" t="e">
        <x:f>IF($A476="","",[1]!thsiFinD("ths_adjustment_nv_fund",V$3,$A476))</x:f>
        <x:v>#NAME?</x:v>
      </x:c>
      <x:c r="W476" t="e">
        <x:f>IF($A476="","",[1]!thsiFinD("ths_adjustment_nv_fund",W$3,$A476))</x:f>
        <x:v>#NAME?</x:v>
      </x:c>
      <x:c r="X476" t="e">
        <x:f>IF($A476="","",[1]!thsiFinD("ths_adjustment_nv_fund",X$3,$A476))</x:f>
        <x:v>#NAME?</x:v>
      </x:c>
      <x:c r="Y476" t="e">
        <x:f>IF($A476="","",[1]!thsiFinD("ths_adjustment_nv_fund",Y$3,$A476))</x:f>
        <x:v>#NAME?</x:v>
      </x:c>
    </x:row>
    <x:row r="477">
      <x:c r="B477" t="e">
        <x:f>IF($A477="","",[1]!thsiFinD("ths_adjustment_nv_fund",B$3,$A477))</x:f>
        <x:v>#NAME?</x:v>
      </x:c>
      <x:c r="C477" t="e">
        <x:f>IF($A477="","",[1]!thsiFinD("ths_adjustment_nv_fund",C$3,$A477))</x:f>
        <x:v>#NAME?</x:v>
      </x:c>
      <x:c r="D477" t="e">
        <x:f>IF($A477="","",[1]!thsiFinD("ths_adjustment_nv_fund",D$3,$A477))</x:f>
        <x:v>#NAME?</x:v>
      </x:c>
      <x:c r="E477" t="e">
        <x:f>IF($A477="","",[1]!thsiFinD("ths_adjustment_nv_fund",E$3,$A477))</x:f>
        <x:v>#NAME?</x:v>
      </x:c>
      <x:c r="F477" t="e">
        <x:f>IF($A477="","",[1]!thsiFinD("ths_adjustment_nv_fund",F$3,$A477))</x:f>
        <x:v>#NAME?</x:v>
      </x:c>
      <x:c r="G477" t="e">
        <x:f>IF($A477="","",[1]!thsiFinD("ths_adjustment_nv_fund",G$3,$A477))</x:f>
        <x:v>#NAME?</x:v>
      </x:c>
      <x:c r="H477" t="e">
        <x:f>IF($A477="","",[1]!thsiFinD("ths_adjustment_nv_fund",H$3,$A477))</x:f>
        <x:v>#NAME?</x:v>
      </x:c>
      <x:c r="I477" t="e">
        <x:f>IF($A477="","",[1]!thsiFinD("ths_adjustment_nv_fund",I$3,$A477))</x:f>
        <x:v>#NAME?</x:v>
      </x:c>
      <x:c r="J477" t="e">
        <x:f>IF($A477="","",[1]!thsiFinD("ths_adjustment_nv_fund",J$3,$A477))</x:f>
        <x:v>#NAME?</x:v>
      </x:c>
      <x:c r="K477" t="e">
        <x:f>IF($A477="","",[1]!thsiFinD("ths_adjustment_nv_fund",K$3,$A477))</x:f>
        <x:v>#NAME?</x:v>
      </x:c>
      <x:c r="L477" t="e">
        <x:f>IF($A477="","",[1]!thsiFinD("ths_adjustment_nv_fund",L$3,$A477))</x:f>
        <x:v>#NAME?</x:v>
      </x:c>
      <x:c r="M477" t="e">
        <x:f>IF($A477="","",[1]!thsiFinD("ths_adjustment_nv_fund",M$3,$A477))</x:f>
        <x:v>#NAME?</x:v>
      </x:c>
      <x:c r="N477" t="e">
        <x:f>IF($A477="","",[1]!thsiFinD("ths_adjustment_nv_fund",N$3,$A477))</x:f>
        <x:v>#NAME?</x:v>
      </x:c>
      <x:c r="O477" t="e">
        <x:f>IF($A477="","",[1]!thsiFinD("ths_adjustment_nv_fund",O$3,$A477))</x:f>
        <x:v>#NAME?</x:v>
      </x:c>
      <x:c r="P477" t="e">
        <x:f>IF($A477="","",[1]!thsiFinD("ths_adjustment_nv_fund",P$3,$A477))</x:f>
        <x:v>#NAME?</x:v>
      </x:c>
      <x:c r="Q477" t="e">
        <x:f>IF($A477="","",[1]!thsiFinD("ths_adjustment_nv_fund",Q$3,$A477))</x:f>
        <x:v>#NAME?</x:v>
      </x:c>
      <x:c r="R477" t="e">
        <x:f>IF($A477="","",[1]!thsiFinD("ths_adjustment_nv_fund",R$3,$A477))</x:f>
        <x:v>#NAME?</x:v>
      </x:c>
      <x:c r="S477" t="e">
        <x:f>IF($A477="","",[1]!thsiFinD("ths_adjustment_nv_fund",S$3,$A477))</x:f>
        <x:v>#NAME?</x:v>
      </x:c>
      <x:c r="T477" t="e">
        <x:f>IF($A477="","",[1]!thsiFinD("ths_adjustment_nv_fund",T$3,$A477))</x:f>
        <x:v>#NAME?</x:v>
      </x:c>
      <x:c r="U477" t="e">
        <x:f>IF($A477="","",[1]!thsiFinD("ths_adjustment_nv_fund",U$3,$A477))</x:f>
        <x:v>#NAME?</x:v>
      </x:c>
      <x:c r="V477" t="e">
        <x:f>IF($A477="","",[1]!thsiFinD("ths_adjustment_nv_fund",V$3,$A477))</x:f>
        <x:v>#NAME?</x:v>
      </x:c>
      <x:c r="W477" t="e">
        <x:f>IF($A477="","",[1]!thsiFinD("ths_adjustment_nv_fund",W$3,$A477))</x:f>
        <x:v>#NAME?</x:v>
      </x:c>
      <x:c r="X477" t="e">
        <x:f>IF($A477="","",[1]!thsiFinD("ths_adjustment_nv_fund",X$3,$A477))</x:f>
        <x:v>#NAME?</x:v>
      </x:c>
      <x:c r="Y477" t="e">
        <x:f>IF($A477="","",[1]!thsiFinD("ths_adjustment_nv_fund",Y$3,$A477))</x:f>
        <x:v>#NAME?</x:v>
      </x:c>
    </x:row>
    <x:row r="478">
      <x:c r="B478" t="e">
        <x:f>IF($A478="","",[1]!thsiFinD("ths_adjustment_nv_fund",B$3,$A478))</x:f>
        <x:v>#NAME?</x:v>
      </x:c>
      <x:c r="C478" t="e">
        <x:f>IF($A478="","",[1]!thsiFinD("ths_adjustment_nv_fund",C$3,$A478))</x:f>
        <x:v>#NAME?</x:v>
      </x:c>
      <x:c r="D478" t="e">
        <x:f>IF($A478="","",[1]!thsiFinD("ths_adjustment_nv_fund",D$3,$A478))</x:f>
        <x:v>#NAME?</x:v>
      </x:c>
      <x:c r="E478" t="e">
        <x:f>IF($A478="","",[1]!thsiFinD("ths_adjustment_nv_fund",E$3,$A478))</x:f>
        <x:v>#NAME?</x:v>
      </x:c>
      <x:c r="F478" t="e">
        <x:f>IF($A478="","",[1]!thsiFinD("ths_adjustment_nv_fund",F$3,$A478))</x:f>
        <x:v>#NAME?</x:v>
      </x:c>
      <x:c r="G478" t="e">
        <x:f>IF($A478="","",[1]!thsiFinD("ths_adjustment_nv_fund",G$3,$A478))</x:f>
        <x:v>#NAME?</x:v>
      </x:c>
      <x:c r="H478" t="e">
        <x:f>IF($A478="","",[1]!thsiFinD("ths_adjustment_nv_fund",H$3,$A478))</x:f>
        <x:v>#NAME?</x:v>
      </x:c>
      <x:c r="I478" t="e">
        <x:f>IF($A478="","",[1]!thsiFinD("ths_adjustment_nv_fund",I$3,$A478))</x:f>
        <x:v>#NAME?</x:v>
      </x:c>
      <x:c r="J478" t="e">
        <x:f>IF($A478="","",[1]!thsiFinD("ths_adjustment_nv_fund",J$3,$A478))</x:f>
        <x:v>#NAME?</x:v>
      </x:c>
      <x:c r="K478" t="e">
        <x:f>IF($A478="","",[1]!thsiFinD("ths_adjustment_nv_fund",K$3,$A478))</x:f>
        <x:v>#NAME?</x:v>
      </x:c>
      <x:c r="L478" t="e">
        <x:f>IF($A478="","",[1]!thsiFinD("ths_adjustment_nv_fund",L$3,$A478))</x:f>
        <x:v>#NAME?</x:v>
      </x:c>
      <x:c r="M478" t="e">
        <x:f>IF($A478="","",[1]!thsiFinD("ths_adjustment_nv_fund",M$3,$A478))</x:f>
        <x:v>#NAME?</x:v>
      </x:c>
      <x:c r="N478" t="e">
        <x:f>IF($A478="","",[1]!thsiFinD("ths_adjustment_nv_fund",N$3,$A478))</x:f>
        <x:v>#NAME?</x:v>
      </x:c>
      <x:c r="O478" t="e">
        <x:f>IF($A478="","",[1]!thsiFinD("ths_adjustment_nv_fund",O$3,$A478))</x:f>
        <x:v>#NAME?</x:v>
      </x:c>
      <x:c r="P478" t="e">
        <x:f>IF($A478="","",[1]!thsiFinD("ths_adjustment_nv_fund",P$3,$A478))</x:f>
        <x:v>#NAME?</x:v>
      </x:c>
      <x:c r="Q478" t="e">
        <x:f>IF($A478="","",[1]!thsiFinD("ths_adjustment_nv_fund",Q$3,$A478))</x:f>
        <x:v>#NAME?</x:v>
      </x:c>
      <x:c r="R478" t="e">
        <x:f>IF($A478="","",[1]!thsiFinD("ths_adjustment_nv_fund",R$3,$A478))</x:f>
        <x:v>#NAME?</x:v>
      </x:c>
      <x:c r="S478" t="e">
        <x:f>IF($A478="","",[1]!thsiFinD("ths_adjustment_nv_fund",S$3,$A478))</x:f>
        <x:v>#NAME?</x:v>
      </x:c>
      <x:c r="T478" t="e">
        <x:f>IF($A478="","",[1]!thsiFinD("ths_adjustment_nv_fund",T$3,$A478))</x:f>
        <x:v>#NAME?</x:v>
      </x:c>
      <x:c r="U478" t="e">
        <x:f>IF($A478="","",[1]!thsiFinD("ths_adjustment_nv_fund",U$3,$A478))</x:f>
        <x:v>#NAME?</x:v>
      </x:c>
      <x:c r="V478" t="e">
        <x:f>IF($A478="","",[1]!thsiFinD("ths_adjustment_nv_fund",V$3,$A478))</x:f>
        <x:v>#NAME?</x:v>
      </x:c>
      <x:c r="W478" t="e">
        <x:f>IF($A478="","",[1]!thsiFinD("ths_adjustment_nv_fund",W$3,$A478))</x:f>
        <x:v>#NAME?</x:v>
      </x:c>
      <x:c r="X478" t="e">
        <x:f>IF($A478="","",[1]!thsiFinD("ths_adjustment_nv_fund",X$3,$A478))</x:f>
        <x:v>#NAME?</x:v>
      </x:c>
      <x:c r="Y478" t="e">
        <x:f>IF($A478="","",[1]!thsiFinD("ths_adjustment_nv_fund",Y$3,$A478))</x:f>
        <x:v>#NAME?</x:v>
      </x:c>
    </x:row>
    <x:row r="479">
      <x:c r="B479" t="e">
        <x:f>IF($A479="","",[1]!thsiFinD("ths_adjustment_nv_fund",B$3,$A479))</x:f>
        <x:v>#NAME?</x:v>
      </x:c>
      <x:c r="C479" t="e">
        <x:f>IF($A479="","",[1]!thsiFinD("ths_adjustment_nv_fund",C$3,$A479))</x:f>
        <x:v>#NAME?</x:v>
      </x:c>
      <x:c r="D479" t="e">
        <x:f>IF($A479="","",[1]!thsiFinD("ths_adjustment_nv_fund",D$3,$A479))</x:f>
        <x:v>#NAME?</x:v>
      </x:c>
      <x:c r="E479" t="e">
        <x:f>IF($A479="","",[1]!thsiFinD("ths_adjustment_nv_fund",E$3,$A479))</x:f>
        <x:v>#NAME?</x:v>
      </x:c>
      <x:c r="F479" t="e">
        <x:f>IF($A479="","",[1]!thsiFinD("ths_adjustment_nv_fund",F$3,$A479))</x:f>
        <x:v>#NAME?</x:v>
      </x:c>
      <x:c r="G479" t="e">
        <x:f>IF($A479="","",[1]!thsiFinD("ths_adjustment_nv_fund",G$3,$A479))</x:f>
        <x:v>#NAME?</x:v>
      </x:c>
      <x:c r="H479" t="e">
        <x:f>IF($A479="","",[1]!thsiFinD("ths_adjustment_nv_fund",H$3,$A479))</x:f>
        <x:v>#NAME?</x:v>
      </x:c>
      <x:c r="I479" t="e">
        <x:f>IF($A479="","",[1]!thsiFinD("ths_adjustment_nv_fund",I$3,$A479))</x:f>
        <x:v>#NAME?</x:v>
      </x:c>
      <x:c r="J479" t="e">
        <x:f>IF($A479="","",[1]!thsiFinD("ths_adjustment_nv_fund",J$3,$A479))</x:f>
        <x:v>#NAME?</x:v>
      </x:c>
      <x:c r="K479" t="e">
        <x:f>IF($A479="","",[1]!thsiFinD("ths_adjustment_nv_fund",K$3,$A479))</x:f>
        <x:v>#NAME?</x:v>
      </x:c>
      <x:c r="L479" t="e">
        <x:f>IF($A479="","",[1]!thsiFinD("ths_adjustment_nv_fund",L$3,$A479))</x:f>
        <x:v>#NAME?</x:v>
      </x:c>
      <x:c r="M479" t="e">
        <x:f>IF($A479="","",[1]!thsiFinD("ths_adjustment_nv_fund",M$3,$A479))</x:f>
        <x:v>#NAME?</x:v>
      </x:c>
      <x:c r="N479" t="e">
        <x:f>IF($A479="","",[1]!thsiFinD("ths_adjustment_nv_fund",N$3,$A479))</x:f>
        <x:v>#NAME?</x:v>
      </x:c>
      <x:c r="O479" t="e">
        <x:f>IF($A479="","",[1]!thsiFinD("ths_adjustment_nv_fund",O$3,$A479))</x:f>
        <x:v>#NAME?</x:v>
      </x:c>
      <x:c r="P479" t="e">
        <x:f>IF($A479="","",[1]!thsiFinD("ths_adjustment_nv_fund",P$3,$A479))</x:f>
        <x:v>#NAME?</x:v>
      </x:c>
      <x:c r="Q479" t="e">
        <x:f>IF($A479="","",[1]!thsiFinD("ths_adjustment_nv_fund",Q$3,$A479))</x:f>
        <x:v>#NAME?</x:v>
      </x:c>
      <x:c r="R479" t="e">
        <x:f>IF($A479="","",[1]!thsiFinD("ths_adjustment_nv_fund",R$3,$A479))</x:f>
        <x:v>#NAME?</x:v>
      </x:c>
      <x:c r="S479" t="e">
        <x:f>IF($A479="","",[1]!thsiFinD("ths_adjustment_nv_fund",S$3,$A479))</x:f>
        <x:v>#NAME?</x:v>
      </x:c>
      <x:c r="T479" t="e">
        <x:f>IF($A479="","",[1]!thsiFinD("ths_adjustment_nv_fund",T$3,$A479))</x:f>
        <x:v>#NAME?</x:v>
      </x:c>
      <x:c r="U479" t="e">
        <x:f>IF($A479="","",[1]!thsiFinD("ths_adjustment_nv_fund",U$3,$A479))</x:f>
        <x:v>#NAME?</x:v>
      </x:c>
      <x:c r="V479" t="e">
        <x:f>IF($A479="","",[1]!thsiFinD("ths_adjustment_nv_fund",V$3,$A479))</x:f>
        <x:v>#NAME?</x:v>
      </x:c>
      <x:c r="W479" t="e">
        <x:f>IF($A479="","",[1]!thsiFinD("ths_adjustment_nv_fund",W$3,$A479))</x:f>
        <x:v>#NAME?</x:v>
      </x:c>
      <x:c r="X479" t="e">
        <x:f>IF($A479="","",[1]!thsiFinD("ths_adjustment_nv_fund",X$3,$A479))</x:f>
        <x:v>#NAME?</x:v>
      </x:c>
      <x:c r="Y479" t="e">
        <x:f>IF($A479="","",[1]!thsiFinD("ths_adjustment_nv_fund",Y$3,$A479))</x:f>
        <x:v>#NAME?</x:v>
      </x:c>
    </x:row>
    <x:row r="480">
      <x:c r="B480" t="e">
        <x:f>IF($A480="","",[1]!thsiFinD("ths_adjustment_nv_fund",B$3,$A480))</x:f>
        <x:v>#NAME?</x:v>
      </x:c>
      <x:c r="C480" t="e">
        <x:f>IF($A480="","",[1]!thsiFinD("ths_adjustment_nv_fund",C$3,$A480))</x:f>
        <x:v>#NAME?</x:v>
      </x:c>
      <x:c r="D480" t="e">
        <x:f>IF($A480="","",[1]!thsiFinD("ths_adjustment_nv_fund",D$3,$A480))</x:f>
        <x:v>#NAME?</x:v>
      </x:c>
      <x:c r="E480" t="e">
        <x:f>IF($A480="","",[1]!thsiFinD("ths_adjustment_nv_fund",E$3,$A480))</x:f>
        <x:v>#NAME?</x:v>
      </x:c>
      <x:c r="F480" t="e">
        <x:f>IF($A480="","",[1]!thsiFinD("ths_adjustment_nv_fund",F$3,$A480))</x:f>
        <x:v>#NAME?</x:v>
      </x:c>
      <x:c r="G480" t="e">
        <x:f>IF($A480="","",[1]!thsiFinD("ths_adjustment_nv_fund",G$3,$A480))</x:f>
        <x:v>#NAME?</x:v>
      </x:c>
      <x:c r="H480" t="e">
        <x:f>IF($A480="","",[1]!thsiFinD("ths_adjustment_nv_fund",H$3,$A480))</x:f>
        <x:v>#NAME?</x:v>
      </x:c>
      <x:c r="I480" t="e">
        <x:f>IF($A480="","",[1]!thsiFinD("ths_adjustment_nv_fund",I$3,$A480))</x:f>
        <x:v>#NAME?</x:v>
      </x:c>
      <x:c r="J480" t="e">
        <x:f>IF($A480="","",[1]!thsiFinD("ths_adjustment_nv_fund",J$3,$A480))</x:f>
        <x:v>#NAME?</x:v>
      </x:c>
      <x:c r="K480" t="e">
        <x:f>IF($A480="","",[1]!thsiFinD("ths_adjustment_nv_fund",K$3,$A480))</x:f>
        <x:v>#NAME?</x:v>
      </x:c>
      <x:c r="L480" t="e">
        <x:f>IF($A480="","",[1]!thsiFinD("ths_adjustment_nv_fund",L$3,$A480))</x:f>
        <x:v>#NAME?</x:v>
      </x:c>
      <x:c r="M480" t="e">
        <x:f>IF($A480="","",[1]!thsiFinD("ths_adjustment_nv_fund",M$3,$A480))</x:f>
        <x:v>#NAME?</x:v>
      </x:c>
      <x:c r="N480" t="e">
        <x:f>IF($A480="","",[1]!thsiFinD("ths_adjustment_nv_fund",N$3,$A480))</x:f>
        <x:v>#NAME?</x:v>
      </x:c>
      <x:c r="O480" t="e">
        <x:f>IF($A480="","",[1]!thsiFinD("ths_adjustment_nv_fund",O$3,$A480))</x:f>
        <x:v>#NAME?</x:v>
      </x:c>
      <x:c r="P480" t="e">
        <x:f>IF($A480="","",[1]!thsiFinD("ths_adjustment_nv_fund",P$3,$A480))</x:f>
        <x:v>#NAME?</x:v>
      </x:c>
      <x:c r="Q480" t="e">
        <x:f>IF($A480="","",[1]!thsiFinD("ths_adjustment_nv_fund",Q$3,$A480))</x:f>
        <x:v>#NAME?</x:v>
      </x:c>
      <x:c r="R480" t="e">
        <x:f>IF($A480="","",[1]!thsiFinD("ths_adjustment_nv_fund",R$3,$A480))</x:f>
        <x:v>#NAME?</x:v>
      </x:c>
      <x:c r="S480" t="e">
        <x:f>IF($A480="","",[1]!thsiFinD("ths_adjustment_nv_fund",S$3,$A480))</x:f>
        <x:v>#NAME?</x:v>
      </x:c>
      <x:c r="T480" t="e">
        <x:f>IF($A480="","",[1]!thsiFinD("ths_adjustment_nv_fund",T$3,$A480))</x:f>
        <x:v>#NAME?</x:v>
      </x:c>
      <x:c r="U480" t="e">
        <x:f>IF($A480="","",[1]!thsiFinD("ths_adjustment_nv_fund",U$3,$A480))</x:f>
        <x:v>#NAME?</x:v>
      </x:c>
      <x:c r="V480" t="e">
        <x:f>IF($A480="","",[1]!thsiFinD("ths_adjustment_nv_fund",V$3,$A480))</x:f>
        <x:v>#NAME?</x:v>
      </x:c>
      <x:c r="W480" t="e">
        <x:f>IF($A480="","",[1]!thsiFinD("ths_adjustment_nv_fund",W$3,$A480))</x:f>
        <x:v>#NAME?</x:v>
      </x:c>
      <x:c r="X480" t="e">
        <x:f>IF($A480="","",[1]!thsiFinD("ths_adjustment_nv_fund",X$3,$A480))</x:f>
        <x:v>#NAME?</x:v>
      </x:c>
      <x:c r="Y480" t="e">
        <x:f>IF($A480="","",[1]!thsiFinD("ths_adjustment_nv_fund",Y$3,$A480))</x:f>
        <x:v>#NAME?</x:v>
      </x:c>
    </x:row>
    <x:row r="481">
      <x:c r="B481" t="e">
        <x:f>IF($A481="","",[1]!thsiFinD("ths_adjustment_nv_fund",B$3,$A481))</x:f>
        <x:v>#NAME?</x:v>
      </x:c>
      <x:c r="C481" t="e">
        <x:f>IF($A481="","",[1]!thsiFinD("ths_adjustment_nv_fund",C$3,$A481))</x:f>
        <x:v>#NAME?</x:v>
      </x:c>
      <x:c r="D481" t="e">
        <x:f>IF($A481="","",[1]!thsiFinD("ths_adjustment_nv_fund",D$3,$A481))</x:f>
        <x:v>#NAME?</x:v>
      </x:c>
      <x:c r="E481" t="e">
        <x:f>IF($A481="","",[1]!thsiFinD("ths_adjustment_nv_fund",E$3,$A481))</x:f>
        <x:v>#NAME?</x:v>
      </x:c>
      <x:c r="F481" t="e">
        <x:f>IF($A481="","",[1]!thsiFinD("ths_adjustment_nv_fund",F$3,$A481))</x:f>
        <x:v>#NAME?</x:v>
      </x:c>
      <x:c r="G481" t="e">
        <x:f>IF($A481="","",[1]!thsiFinD("ths_adjustment_nv_fund",G$3,$A481))</x:f>
        <x:v>#NAME?</x:v>
      </x:c>
      <x:c r="H481" t="e">
        <x:f>IF($A481="","",[1]!thsiFinD("ths_adjustment_nv_fund",H$3,$A481))</x:f>
        <x:v>#NAME?</x:v>
      </x:c>
      <x:c r="I481" t="e">
        <x:f>IF($A481="","",[1]!thsiFinD("ths_adjustment_nv_fund",I$3,$A481))</x:f>
        <x:v>#NAME?</x:v>
      </x:c>
      <x:c r="J481" t="e">
        <x:f>IF($A481="","",[1]!thsiFinD("ths_adjustment_nv_fund",J$3,$A481))</x:f>
        <x:v>#NAME?</x:v>
      </x:c>
      <x:c r="K481" t="e">
        <x:f>IF($A481="","",[1]!thsiFinD("ths_adjustment_nv_fund",K$3,$A481))</x:f>
        <x:v>#NAME?</x:v>
      </x:c>
      <x:c r="L481" t="e">
        <x:f>IF($A481="","",[1]!thsiFinD("ths_adjustment_nv_fund",L$3,$A481))</x:f>
        <x:v>#NAME?</x:v>
      </x:c>
      <x:c r="M481" t="e">
        <x:f>IF($A481="","",[1]!thsiFinD("ths_adjustment_nv_fund",M$3,$A481))</x:f>
        <x:v>#NAME?</x:v>
      </x:c>
      <x:c r="N481" t="e">
        <x:f>IF($A481="","",[1]!thsiFinD("ths_adjustment_nv_fund",N$3,$A481))</x:f>
        <x:v>#NAME?</x:v>
      </x:c>
      <x:c r="O481" t="e">
        <x:f>IF($A481="","",[1]!thsiFinD("ths_adjustment_nv_fund",O$3,$A481))</x:f>
        <x:v>#NAME?</x:v>
      </x:c>
      <x:c r="P481" t="e">
        <x:f>IF($A481="","",[1]!thsiFinD("ths_adjustment_nv_fund",P$3,$A481))</x:f>
        <x:v>#NAME?</x:v>
      </x:c>
      <x:c r="Q481" t="e">
        <x:f>IF($A481="","",[1]!thsiFinD("ths_adjustment_nv_fund",Q$3,$A481))</x:f>
        <x:v>#NAME?</x:v>
      </x:c>
      <x:c r="R481" t="e">
        <x:f>IF($A481="","",[1]!thsiFinD("ths_adjustment_nv_fund",R$3,$A481))</x:f>
        <x:v>#NAME?</x:v>
      </x:c>
      <x:c r="S481" t="e">
        <x:f>IF($A481="","",[1]!thsiFinD("ths_adjustment_nv_fund",S$3,$A481))</x:f>
        <x:v>#NAME?</x:v>
      </x:c>
      <x:c r="T481" t="e">
        <x:f>IF($A481="","",[1]!thsiFinD("ths_adjustment_nv_fund",T$3,$A481))</x:f>
        <x:v>#NAME?</x:v>
      </x:c>
      <x:c r="U481" t="e">
        <x:f>IF($A481="","",[1]!thsiFinD("ths_adjustment_nv_fund",U$3,$A481))</x:f>
        <x:v>#NAME?</x:v>
      </x:c>
      <x:c r="V481" t="e">
        <x:f>IF($A481="","",[1]!thsiFinD("ths_adjustment_nv_fund",V$3,$A481))</x:f>
        <x:v>#NAME?</x:v>
      </x:c>
      <x:c r="W481" t="e">
        <x:f>IF($A481="","",[1]!thsiFinD("ths_adjustment_nv_fund",W$3,$A481))</x:f>
        <x:v>#NAME?</x:v>
      </x:c>
      <x:c r="X481" t="e">
        <x:f>IF($A481="","",[1]!thsiFinD("ths_adjustment_nv_fund",X$3,$A481))</x:f>
        <x:v>#NAME?</x:v>
      </x:c>
      <x:c r="Y481" t="e">
        <x:f>IF($A481="","",[1]!thsiFinD("ths_adjustment_nv_fund",Y$3,$A481))</x:f>
        <x:v>#NAME?</x:v>
      </x:c>
    </x:row>
    <x:row r="482">
      <x:c r="B482" t="e">
        <x:f>IF($A482="","",[1]!thsiFinD("ths_adjustment_nv_fund",B$3,$A482))</x:f>
        <x:v>#NAME?</x:v>
      </x:c>
      <x:c r="C482" t="e">
        <x:f>IF($A482="","",[1]!thsiFinD("ths_adjustment_nv_fund",C$3,$A482))</x:f>
        <x:v>#NAME?</x:v>
      </x:c>
      <x:c r="D482" t="e">
        <x:f>IF($A482="","",[1]!thsiFinD("ths_adjustment_nv_fund",D$3,$A482))</x:f>
        <x:v>#NAME?</x:v>
      </x:c>
      <x:c r="E482" t="e">
        <x:f>IF($A482="","",[1]!thsiFinD("ths_adjustment_nv_fund",E$3,$A482))</x:f>
        <x:v>#NAME?</x:v>
      </x:c>
      <x:c r="F482" t="e">
        <x:f>IF($A482="","",[1]!thsiFinD("ths_adjustment_nv_fund",F$3,$A482))</x:f>
        <x:v>#NAME?</x:v>
      </x:c>
      <x:c r="G482" t="e">
        <x:f>IF($A482="","",[1]!thsiFinD("ths_adjustment_nv_fund",G$3,$A482))</x:f>
        <x:v>#NAME?</x:v>
      </x:c>
      <x:c r="H482" t="e">
        <x:f>IF($A482="","",[1]!thsiFinD("ths_adjustment_nv_fund",H$3,$A482))</x:f>
        <x:v>#NAME?</x:v>
      </x:c>
      <x:c r="I482" t="e">
        <x:f>IF($A482="","",[1]!thsiFinD("ths_adjustment_nv_fund",I$3,$A482))</x:f>
        <x:v>#NAME?</x:v>
      </x:c>
      <x:c r="J482" t="e">
        <x:f>IF($A482="","",[1]!thsiFinD("ths_adjustment_nv_fund",J$3,$A482))</x:f>
        <x:v>#NAME?</x:v>
      </x:c>
      <x:c r="K482" t="e">
        <x:f>IF($A482="","",[1]!thsiFinD("ths_adjustment_nv_fund",K$3,$A482))</x:f>
        <x:v>#NAME?</x:v>
      </x:c>
      <x:c r="L482" t="e">
        <x:f>IF($A482="","",[1]!thsiFinD("ths_adjustment_nv_fund",L$3,$A482))</x:f>
        <x:v>#NAME?</x:v>
      </x:c>
      <x:c r="M482" t="e">
        <x:f>IF($A482="","",[1]!thsiFinD("ths_adjustment_nv_fund",M$3,$A482))</x:f>
        <x:v>#NAME?</x:v>
      </x:c>
      <x:c r="N482" t="e">
        <x:f>IF($A482="","",[1]!thsiFinD("ths_adjustment_nv_fund",N$3,$A482))</x:f>
        <x:v>#NAME?</x:v>
      </x:c>
      <x:c r="O482" t="e">
        <x:f>IF($A482="","",[1]!thsiFinD("ths_adjustment_nv_fund",O$3,$A482))</x:f>
        <x:v>#NAME?</x:v>
      </x:c>
      <x:c r="P482" t="e">
        <x:f>IF($A482="","",[1]!thsiFinD("ths_adjustment_nv_fund",P$3,$A482))</x:f>
        <x:v>#NAME?</x:v>
      </x:c>
      <x:c r="Q482" t="e">
        <x:f>IF($A482="","",[1]!thsiFinD("ths_adjustment_nv_fund",Q$3,$A482))</x:f>
        <x:v>#NAME?</x:v>
      </x:c>
      <x:c r="R482" t="e">
        <x:f>IF($A482="","",[1]!thsiFinD("ths_adjustment_nv_fund",R$3,$A482))</x:f>
        <x:v>#NAME?</x:v>
      </x:c>
      <x:c r="S482" t="e">
        <x:f>IF($A482="","",[1]!thsiFinD("ths_adjustment_nv_fund",S$3,$A482))</x:f>
        <x:v>#NAME?</x:v>
      </x:c>
      <x:c r="T482" t="e">
        <x:f>IF($A482="","",[1]!thsiFinD("ths_adjustment_nv_fund",T$3,$A482))</x:f>
        <x:v>#NAME?</x:v>
      </x:c>
      <x:c r="U482" t="e">
        <x:f>IF($A482="","",[1]!thsiFinD("ths_adjustment_nv_fund",U$3,$A482))</x:f>
        <x:v>#NAME?</x:v>
      </x:c>
      <x:c r="V482" t="e">
        <x:f>IF($A482="","",[1]!thsiFinD("ths_adjustment_nv_fund",V$3,$A482))</x:f>
        <x:v>#NAME?</x:v>
      </x:c>
      <x:c r="W482" t="e">
        <x:f>IF($A482="","",[1]!thsiFinD("ths_adjustment_nv_fund",W$3,$A482))</x:f>
        <x:v>#NAME?</x:v>
      </x:c>
      <x:c r="X482" t="e">
        <x:f>IF($A482="","",[1]!thsiFinD("ths_adjustment_nv_fund",X$3,$A482))</x:f>
        <x:v>#NAME?</x:v>
      </x:c>
      <x:c r="Y482" t="e">
        <x:f>IF($A482="","",[1]!thsiFinD("ths_adjustment_nv_fund",Y$3,$A482))</x:f>
        <x:v>#NAME?</x:v>
      </x:c>
    </x:row>
    <x:row r="483">
      <x:c r="B483" t="e">
        <x:f>IF($A483="","",[1]!thsiFinD("ths_adjustment_nv_fund",B$3,$A483))</x:f>
        <x:v>#NAME?</x:v>
      </x:c>
      <x:c r="C483" t="e">
        <x:f>IF($A483="","",[1]!thsiFinD("ths_adjustment_nv_fund",C$3,$A483))</x:f>
        <x:v>#NAME?</x:v>
      </x:c>
      <x:c r="D483" t="e">
        <x:f>IF($A483="","",[1]!thsiFinD("ths_adjustment_nv_fund",D$3,$A483))</x:f>
        <x:v>#NAME?</x:v>
      </x:c>
      <x:c r="E483" t="e">
        <x:f>IF($A483="","",[1]!thsiFinD("ths_adjustment_nv_fund",E$3,$A483))</x:f>
        <x:v>#NAME?</x:v>
      </x:c>
      <x:c r="F483" t="e">
        <x:f>IF($A483="","",[1]!thsiFinD("ths_adjustment_nv_fund",F$3,$A483))</x:f>
        <x:v>#NAME?</x:v>
      </x:c>
      <x:c r="G483" t="e">
        <x:f>IF($A483="","",[1]!thsiFinD("ths_adjustment_nv_fund",G$3,$A483))</x:f>
        <x:v>#NAME?</x:v>
      </x:c>
      <x:c r="H483" t="e">
        <x:f>IF($A483="","",[1]!thsiFinD("ths_adjustment_nv_fund",H$3,$A483))</x:f>
        <x:v>#NAME?</x:v>
      </x:c>
      <x:c r="I483" t="e">
        <x:f>IF($A483="","",[1]!thsiFinD("ths_adjustment_nv_fund",I$3,$A483))</x:f>
        <x:v>#NAME?</x:v>
      </x:c>
      <x:c r="J483" t="e">
        <x:f>IF($A483="","",[1]!thsiFinD("ths_adjustment_nv_fund",J$3,$A483))</x:f>
        <x:v>#NAME?</x:v>
      </x:c>
      <x:c r="K483" t="e">
        <x:f>IF($A483="","",[1]!thsiFinD("ths_adjustment_nv_fund",K$3,$A483))</x:f>
        <x:v>#NAME?</x:v>
      </x:c>
      <x:c r="L483" t="e">
        <x:f>IF($A483="","",[1]!thsiFinD("ths_adjustment_nv_fund",L$3,$A483))</x:f>
        <x:v>#NAME?</x:v>
      </x:c>
      <x:c r="M483" t="e">
        <x:f>IF($A483="","",[1]!thsiFinD("ths_adjustment_nv_fund",M$3,$A483))</x:f>
        <x:v>#NAME?</x:v>
      </x:c>
      <x:c r="N483" t="e">
        <x:f>IF($A483="","",[1]!thsiFinD("ths_adjustment_nv_fund",N$3,$A483))</x:f>
        <x:v>#NAME?</x:v>
      </x:c>
      <x:c r="O483" t="e">
        <x:f>IF($A483="","",[1]!thsiFinD("ths_adjustment_nv_fund",O$3,$A483))</x:f>
        <x:v>#NAME?</x:v>
      </x:c>
      <x:c r="P483" t="e">
        <x:f>IF($A483="","",[1]!thsiFinD("ths_adjustment_nv_fund",P$3,$A483))</x:f>
        <x:v>#NAME?</x:v>
      </x:c>
      <x:c r="Q483" t="e">
        <x:f>IF($A483="","",[1]!thsiFinD("ths_adjustment_nv_fund",Q$3,$A483))</x:f>
        <x:v>#NAME?</x:v>
      </x:c>
      <x:c r="R483" t="e">
        <x:f>IF($A483="","",[1]!thsiFinD("ths_adjustment_nv_fund",R$3,$A483))</x:f>
        <x:v>#NAME?</x:v>
      </x:c>
      <x:c r="S483" t="e">
        <x:f>IF($A483="","",[1]!thsiFinD("ths_adjustment_nv_fund",S$3,$A483))</x:f>
        <x:v>#NAME?</x:v>
      </x:c>
      <x:c r="T483" t="e">
        <x:f>IF($A483="","",[1]!thsiFinD("ths_adjustment_nv_fund",T$3,$A483))</x:f>
        <x:v>#NAME?</x:v>
      </x:c>
      <x:c r="U483" t="e">
        <x:f>IF($A483="","",[1]!thsiFinD("ths_adjustment_nv_fund",U$3,$A483))</x:f>
        <x:v>#NAME?</x:v>
      </x:c>
      <x:c r="V483" t="e">
        <x:f>IF($A483="","",[1]!thsiFinD("ths_adjustment_nv_fund",V$3,$A483))</x:f>
        <x:v>#NAME?</x:v>
      </x:c>
      <x:c r="W483" t="e">
        <x:f>IF($A483="","",[1]!thsiFinD("ths_adjustment_nv_fund",W$3,$A483))</x:f>
        <x:v>#NAME?</x:v>
      </x:c>
      <x:c r="X483" t="e">
        <x:f>IF($A483="","",[1]!thsiFinD("ths_adjustment_nv_fund",X$3,$A483))</x:f>
        <x:v>#NAME?</x:v>
      </x:c>
      <x:c r="Y483" t="e">
        <x:f>IF($A483="","",[1]!thsiFinD("ths_adjustment_nv_fund",Y$3,$A483))</x:f>
        <x:v>#NAME?</x:v>
      </x:c>
    </x:row>
    <x:row r="484">
      <x:c r="B484" t="e">
        <x:f>IF($A484="","",[1]!thsiFinD("ths_adjustment_nv_fund",B$3,$A484))</x:f>
        <x:v>#NAME?</x:v>
      </x:c>
      <x:c r="C484" t="e">
        <x:f>IF($A484="","",[1]!thsiFinD("ths_adjustment_nv_fund",C$3,$A484))</x:f>
        <x:v>#NAME?</x:v>
      </x:c>
      <x:c r="D484" t="e">
        <x:f>IF($A484="","",[1]!thsiFinD("ths_adjustment_nv_fund",D$3,$A484))</x:f>
        <x:v>#NAME?</x:v>
      </x:c>
      <x:c r="E484" t="e">
        <x:f>IF($A484="","",[1]!thsiFinD("ths_adjustment_nv_fund",E$3,$A484))</x:f>
        <x:v>#NAME?</x:v>
      </x:c>
      <x:c r="F484" t="e">
        <x:f>IF($A484="","",[1]!thsiFinD("ths_adjustment_nv_fund",F$3,$A484))</x:f>
        <x:v>#NAME?</x:v>
      </x:c>
      <x:c r="G484" t="e">
        <x:f>IF($A484="","",[1]!thsiFinD("ths_adjustment_nv_fund",G$3,$A484))</x:f>
        <x:v>#NAME?</x:v>
      </x:c>
      <x:c r="H484" t="e">
        <x:f>IF($A484="","",[1]!thsiFinD("ths_adjustment_nv_fund",H$3,$A484))</x:f>
        <x:v>#NAME?</x:v>
      </x:c>
      <x:c r="I484" t="e">
        <x:f>IF($A484="","",[1]!thsiFinD("ths_adjustment_nv_fund",I$3,$A484))</x:f>
        <x:v>#NAME?</x:v>
      </x:c>
      <x:c r="J484" t="e">
        <x:f>IF($A484="","",[1]!thsiFinD("ths_adjustment_nv_fund",J$3,$A484))</x:f>
        <x:v>#NAME?</x:v>
      </x:c>
      <x:c r="K484" t="e">
        <x:f>IF($A484="","",[1]!thsiFinD("ths_adjustment_nv_fund",K$3,$A484))</x:f>
        <x:v>#NAME?</x:v>
      </x:c>
      <x:c r="L484" t="e">
        <x:f>IF($A484="","",[1]!thsiFinD("ths_adjustment_nv_fund",L$3,$A484))</x:f>
        <x:v>#NAME?</x:v>
      </x:c>
      <x:c r="M484" t="e">
        <x:f>IF($A484="","",[1]!thsiFinD("ths_adjustment_nv_fund",M$3,$A484))</x:f>
        <x:v>#NAME?</x:v>
      </x:c>
      <x:c r="N484" t="e">
        <x:f>IF($A484="","",[1]!thsiFinD("ths_adjustment_nv_fund",N$3,$A484))</x:f>
        <x:v>#NAME?</x:v>
      </x:c>
      <x:c r="O484" t="e">
        <x:f>IF($A484="","",[1]!thsiFinD("ths_adjustment_nv_fund",O$3,$A484))</x:f>
        <x:v>#NAME?</x:v>
      </x:c>
      <x:c r="P484" t="e">
        <x:f>IF($A484="","",[1]!thsiFinD("ths_adjustment_nv_fund",P$3,$A484))</x:f>
        <x:v>#NAME?</x:v>
      </x:c>
      <x:c r="Q484" t="e">
        <x:f>IF($A484="","",[1]!thsiFinD("ths_adjustment_nv_fund",Q$3,$A484))</x:f>
        <x:v>#NAME?</x:v>
      </x:c>
      <x:c r="R484" t="e">
        <x:f>IF($A484="","",[1]!thsiFinD("ths_adjustment_nv_fund",R$3,$A484))</x:f>
        <x:v>#NAME?</x:v>
      </x:c>
      <x:c r="S484" t="e">
        <x:f>IF($A484="","",[1]!thsiFinD("ths_adjustment_nv_fund",S$3,$A484))</x:f>
        <x:v>#NAME?</x:v>
      </x:c>
      <x:c r="T484" t="e">
        <x:f>IF($A484="","",[1]!thsiFinD("ths_adjustment_nv_fund",T$3,$A484))</x:f>
        <x:v>#NAME?</x:v>
      </x:c>
      <x:c r="U484" t="e">
        <x:f>IF($A484="","",[1]!thsiFinD("ths_adjustment_nv_fund",U$3,$A484))</x:f>
        <x:v>#NAME?</x:v>
      </x:c>
      <x:c r="V484" t="e">
        <x:f>IF($A484="","",[1]!thsiFinD("ths_adjustment_nv_fund",V$3,$A484))</x:f>
        <x:v>#NAME?</x:v>
      </x:c>
      <x:c r="W484" t="e">
        <x:f>IF($A484="","",[1]!thsiFinD("ths_adjustment_nv_fund",W$3,$A484))</x:f>
        <x:v>#NAME?</x:v>
      </x:c>
      <x:c r="X484" t="e">
        <x:f>IF($A484="","",[1]!thsiFinD("ths_adjustment_nv_fund",X$3,$A484))</x:f>
        <x:v>#NAME?</x:v>
      </x:c>
      <x:c r="Y484" t="e">
        <x:f>IF($A484="","",[1]!thsiFinD("ths_adjustment_nv_fund",Y$3,$A484))</x:f>
        <x:v>#NAME?</x:v>
      </x:c>
    </x:row>
    <x:row r="485">
      <x:c r="B485" t="e">
        <x:f>IF($A485="","",[1]!thsiFinD("ths_adjustment_nv_fund",B$3,$A485))</x:f>
        <x:v>#NAME?</x:v>
      </x:c>
      <x:c r="C485" t="e">
        <x:f>IF($A485="","",[1]!thsiFinD("ths_adjustment_nv_fund",C$3,$A485))</x:f>
        <x:v>#NAME?</x:v>
      </x:c>
      <x:c r="D485" t="e">
        <x:f>IF($A485="","",[1]!thsiFinD("ths_adjustment_nv_fund",D$3,$A485))</x:f>
        <x:v>#NAME?</x:v>
      </x:c>
      <x:c r="E485" t="e">
        <x:f>IF($A485="","",[1]!thsiFinD("ths_adjustment_nv_fund",E$3,$A485))</x:f>
        <x:v>#NAME?</x:v>
      </x:c>
      <x:c r="F485" t="e">
        <x:f>IF($A485="","",[1]!thsiFinD("ths_adjustment_nv_fund",F$3,$A485))</x:f>
        <x:v>#NAME?</x:v>
      </x:c>
      <x:c r="G485" t="e">
        <x:f>IF($A485="","",[1]!thsiFinD("ths_adjustment_nv_fund",G$3,$A485))</x:f>
        <x:v>#NAME?</x:v>
      </x:c>
      <x:c r="H485" t="e">
        <x:f>IF($A485="","",[1]!thsiFinD("ths_adjustment_nv_fund",H$3,$A485))</x:f>
        <x:v>#NAME?</x:v>
      </x:c>
      <x:c r="I485" t="e">
        <x:f>IF($A485="","",[1]!thsiFinD("ths_adjustment_nv_fund",I$3,$A485))</x:f>
        <x:v>#NAME?</x:v>
      </x:c>
      <x:c r="J485" t="e">
        <x:f>IF($A485="","",[1]!thsiFinD("ths_adjustment_nv_fund",J$3,$A485))</x:f>
        <x:v>#NAME?</x:v>
      </x:c>
      <x:c r="K485" t="e">
        <x:f>IF($A485="","",[1]!thsiFinD("ths_adjustment_nv_fund",K$3,$A485))</x:f>
        <x:v>#NAME?</x:v>
      </x:c>
      <x:c r="L485" t="e">
        <x:f>IF($A485="","",[1]!thsiFinD("ths_adjustment_nv_fund",L$3,$A485))</x:f>
        <x:v>#NAME?</x:v>
      </x:c>
      <x:c r="M485" t="e">
        <x:f>IF($A485="","",[1]!thsiFinD("ths_adjustment_nv_fund",M$3,$A485))</x:f>
        <x:v>#NAME?</x:v>
      </x:c>
      <x:c r="N485" t="e">
        <x:f>IF($A485="","",[1]!thsiFinD("ths_adjustment_nv_fund",N$3,$A485))</x:f>
        <x:v>#NAME?</x:v>
      </x:c>
      <x:c r="O485" t="e">
        <x:f>IF($A485="","",[1]!thsiFinD("ths_adjustment_nv_fund",O$3,$A485))</x:f>
        <x:v>#NAME?</x:v>
      </x:c>
      <x:c r="P485" t="e">
        <x:f>IF($A485="","",[1]!thsiFinD("ths_adjustment_nv_fund",P$3,$A485))</x:f>
        <x:v>#NAME?</x:v>
      </x:c>
      <x:c r="Q485" t="e">
        <x:f>IF($A485="","",[1]!thsiFinD("ths_adjustment_nv_fund",Q$3,$A485))</x:f>
        <x:v>#NAME?</x:v>
      </x:c>
      <x:c r="R485" t="e">
        <x:f>IF($A485="","",[1]!thsiFinD("ths_adjustment_nv_fund",R$3,$A485))</x:f>
        <x:v>#NAME?</x:v>
      </x:c>
      <x:c r="S485" t="e">
        <x:f>IF($A485="","",[1]!thsiFinD("ths_adjustment_nv_fund",S$3,$A485))</x:f>
        <x:v>#NAME?</x:v>
      </x:c>
      <x:c r="T485" t="e">
        <x:f>IF($A485="","",[1]!thsiFinD("ths_adjustment_nv_fund",T$3,$A485))</x:f>
        <x:v>#NAME?</x:v>
      </x:c>
      <x:c r="U485" t="e">
        <x:f>IF($A485="","",[1]!thsiFinD("ths_adjustment_nv_fund",U$3,$A485))</x:f>
        <x:v>#NAME?</x:v>
      </x:c>
      <x:c r="V485" t="e">
        <x:f>IF($A485="","",[1]!thsiFinD("ths_adjustment_nv_fund",V$3,$A485))</x:f>
        <x:v>#NAME?</x:v>
      </x:c>
      <x:c r="W485" t="e">
        <x:f>IF($A485="","",[1]!thsiFinD("ths_adjustment_nv_fund",W$3,$A485))</x:f>
        <x:v>#NAME?</x:v>
      </x:c>
      <x:c r="X485" t="e">
        <x:f>IF($A485="","",[1]!thsiFinD("ths_adjustment_nv_fund",X$3,$A485))</x:f>
        <x:v>#NAME?</x:v>
      </x:c>
      <x:c r="Y485" t="e">
        <x:f>IF($A485="","",[1]!thsiFinD("ths_adjustment_nv_fund",Y$3,$A485))</x:f>
        <x:v>#NAME?</x:v>
      </x:c>
    </x:row>
    <x:row r="486">
      <x:c r="B486" t="e">
        <x:f>IF($A486="","",[1]!thsiFinD("ths_adjustment_nv_fund",B$3,$A486))</x:f>
        <x:v>#NAME?</x:v>
      </x:c>
      <x:c r="C486" t="e">
        <x:f>IF($A486="","",[1]!thsiFinD("ths_adjustment_nv_fund",C$3,$A486))</x:f>
        <x:v>#NAME?</x:v>
      </x:c>
      <x:c r="D486" t="e">
        <x:f>IF($A486="","",[1]!thsiFinD("ths_adjustment_nv_fund",D$3,$A486))</x:f>
        <x:v>#NAME?</x:v>
      </x:c>
      <x:c r="E486" t="e">
        <x:f>IF($A486="","",[1]!thsiFinD("ths_adjustment_nv_fund",E$3,$A486))</x:f>
        <x:v>#NAME?</x:v>
      </x:c>
      <x:c r="F486" t="e">
        <x:f>IF($A486="","",[1]!thsiFinD("ths_adjustment_nv_fund",F$3,$A486))</x:f>
        <x:v>#NAME?</x:v>
      </x:c>
      <x:c r="G486" t="e">
        <x:f>IF($A486="","",[1]!thsiFinD("ths_adjustment_nv_fund",G$3,$A486))</x:f>
        <x:v>#NAME?</x:v>
      </x:c>
      <x:c r="H486" t="e">
        <x:f>IF($A486="","",[1]!thsiFinD("ths_adjustment_nv_fund",H$3,$A486))</x:f>
        <x:v>#NAME?</x:v>
      </x:c>
      <x:c r="I486" t="e">
        <x:f>IF($A486="","",[1]!thsiFinD("ths_adjustment_nv_fund",I$3,$A486))</x:f>
        <x:v>#NAME?</x:v>
      </x:c>
      <x:c r="J486" t="e">
        <x:f>IF($A486="","",[1]!thsiFinD("ths_adjustment_nv_fund",J$3,$A486))</x:f>
        <x:v>#NAME?</x:v>
      </x:c>
      <x:c r="K486" t="e">
        <x:f>IF($A486="","",[1]!thsiFinD("ths_adjustment_nv_fund",K$3,$A486))</x:f>
        <x:v>#NAME?</x:v>
      </x:c>
      <x:c r="L486" t="e">
        <x:f>IF($A486="","",[1]!thsiFinD("ths_adjustment_nv_fund",L$3,$A486))</x:f>
        <x:v>#NAME?</x:v>
      </x:c>
      <x:c r="M486" t="e">
        <x:f>IF($A486="","",[1]!thsiFinD("ths_adjustment_nv_fund",M$3,$A486))</x:f>
        <x:v>#NAME?</x:v>
      </x:c>
      <x:c r="N486" t="e">
        <x:f>IF($A486="","",[1]!thsiFinD("ths_adjustment_nv_fund",N$3,$A486))</x:f>
        <x:v>#NAME?</x:v>
      </x:c>
      <x:c r="O486" t="e">
        <x:f>IF($A486="","",[1]!thsiFinD("ths_adjustment_nv_fund",O$3,$A486))</x:f>
        <x:v>#NAME?</x:v>
      </x:c>
      <x:c r="P486" t="e">
        <x:f>IF($A486="","",[1]!thsiFinD("ths_adjustment_nv_fund",P$3,$A486))</x:f>
        <x:v>#NAME?</x:v>
      </x:c>
      <x:c r="Q486" t="e">
        <x:f>IF($A486="","",[1]!thsiFinD("ths_adjustment_nv_fund",Q$3,$A486))</x:f>
        <x:v>#NAME?</x:v>
      </x:c>
      <x:c r="R486" t="e">
        <x:f>IF($A486="","",[1]!thsiFinD("ths_adjustment_nv_fund",R$3,$A486))</x:f>
        <x:v>#NAME?</x:v>
      </x:c>
      <x:c r="S486" t="e">
        <x:f>IF($A486="","",[1]!thsiFinD("ths_adjustment_nv_fund",S$3,$A486))</x:f>
        <x:v>#NAME?</x:v>
      </x:c>
      <x:c r="T486" t="e">
        <x:f>IF($A486="","",[1]!thsiFinD("ths_adjustment_nv_fund",T$3,$A486))</x:f>
        <x:v>#NAME?</x:v>
      </x:c>
      <x:c r="U486" t="e">
        <x:f>IF($A486="","",[1]!thsiFinD("ths_adjustment_nv_fund",U$3,$A486))</x:f>
        <x:v>#NAME?</x:v>
      </x:c>
      <x:c r="V486" t="e">
        <x:f>IF($A486="","",[1]!thsiFinD("ths_adjustment_nv_fund",V$3,$A486))</x:f>
        <x:v>#NAME?</x:v>
      </x:c>
      <x:c r="W486" t="e">
        <x:f>IF($A486="","",[1]!thsiFinD("ths_adjustment_nv_fund",W$3,$A486))</x:f>
        <x:v>#NAME?</x:v>
      </x:c>
      <x:c r="X486" t="e">
        <x:f>IF($A486="","",[1]!thsiFinD("ths_adjustment_nv_fund",X$3,$A486))</x:f>
        <x:v>#NAME?</x:v>
      </x:c>
      <x:c r="Y486" t="e">
        <x:f>IF($A486="","",[1]!thsiFinD("ths_adjustment_nv_fund",Y$3,$A486))</x:f>
        <x:v>#NAME?</x:v>
      </x:c>
    </x:row>
    <x:row r="487">
      <x:c r="B487" t="e">
        <x:f>IF($A487="","",[1]!thsiFinD("ths_adjustment_nv_fund",B$3,$A487))</x:f>
        <x:v>#NAME?</x:v>
      </x:c>
      <x:c r="C487" t="e">
        <x:f>IF($A487="","",[1]!thsiFinD("ths_adjustment_nv_fund",C$3,$A487))</x:f>
        <x:v>#NAME?</x:v>
      </x:c>
      <x:c r="D487" t="e">
        <x:f>IF($A487="","",[1]!thsiFinD("ths_adjustment_nv_fund",D$3,$A487))</x:f>
        <x:v>#NAME?</x:v>
      </x:c>
      <x:c r="E487" t="e">
        <x:f>IF($A487="","",[1]!thsiFinD("ths_adjustment_nv_fund",E$3,$A487))</x:f>
        <x:v>#NAME?</x:v>
      </x:c>
      <x:c r="F487" t="e">
        <x:f>IF($A487="","",[1]!thsiFinD("ths_adjustment_nv_fund",F$3,$A487))</x:f>
        <x:v>#NAME?</x:v>
      </x:c>
      <x:c r="G487" t="e">
        <x:f>IF($A487="","",[1]!thsiFinD("ths_adjustment_nv_fund",G$3,$A487))</x:f>
        <x:v>#NAME?</x:v>
      </x:c>
      <x:c r="H487" t="e">
        <x:f>IF($A487="","",[1]!thsiFinD("ths_adjustment_nv_fund",H$3,$A487))</x:f>
        <x:v>#NAME?</x:v>
      </x:c>
      <x:c r="I487" t="e">
        <x:f>IF($A487="","",[1]!thsiFinD("ths_adjustment_nv_fund",I$3,$A487))</x:f>
        <x:v>#NAME?</x:v>
      </x:c>
      <x:c r="J487" t="e">
        <x:f>IF($A487="","",[1]!thsiFinD("ths_adjustment_nv_fund",J$3,$A487))</x:f>
        <x:v>#NAME?</x:v>
      </x:c>
      <x:c r="K487" t="e">
        <x:f>IF($A487="","",[1]!thsiFinD("ths_adjustment_nv_fund",K$3,$A487))</x:f>
        <x:v>#NAME?</x:v>
      </x:c>
      <x:c r="L487" t="e">
        <x:f>IF($A487="","",[1]!thsiFinD("ths_adjustment_nv_fund",L$3,$A487))</x:f>
        <x:v>#NAME?</x:v>
      </x:c>
      <x:c r="M487" t="e">
        <x:f>IF($A487="","",[1]!thsiFinD("ths_adjustment_nv_fund",M$3,$A487))</x:f>
        <x:v>#NAME?</x:v>
      </x:c>
      <x:c r="N487" t="e">
        <x:f>IF($A487="","",[1]!thsiFinD("ths_adjustment_nv_fund",N$3,$A487))</x:f>
        <x:v>#NAME?</x:v>
      </x:c>
      <x:c r="O487" t="e">
        <x:f>IF($A487="","",[1]!thsiFinD("ths_adjustment_nv_fund",O$3,$A487))</x:f>
        <x:v>#NAME?</x:v>
      </x:c>
      <x:c r="P487" t="e">
        <x:f>IF($A487="","",[1]!thsiFinD("ths_adjustment_nv_fund",P$3,$A487))</x:f>
        <x:v>#NAME?</x:v>
      </x:c>
      <x:c r="Q487" t="e">
        <x:f>IF($A487="","",[1]!thsiFinD("ths_adjustment_nv_fund",Q$3,$A487))</x:f>
        <x:v>#NAME?</x:v>
      </x:c>
      <x:c r="R487" t="e">
        <x:f>IF($A487="","",[1]!thsiFinD("ths_adjustment_nv_fund",R$3,$A487))</x:f>
        <x:v>#NAME?</x:v>
      </x:c>
      <x:c r="S487" t="e">
        <x:f>IF($A487="","",[1]!thsiFinD("ths_adjustment_nv_fund",S$3,$A487))</x:f>
        <x:v>#NAME?</x:v>
      </x:c>
      <x:c r="T487" t="e">
        <x:f>IF($A487="","",[1]!thsiFinD("ths_adjustment_nv_fund",T$3,$A487))</x:f>
        <x:v>#NAME?</x:v>
      </x:c>
      <x:c r="U487" t="e">
        <x:f>IF($A487="","",[1]!thsiFinD("ths_adjustment_nv_fund",U$3,$A487))</x:f>
        <x:v>#NAME?</x:v>
      </x:c>
      <x:c r="V487" t="e">
        <x:f>IF($A487="","",[1]!thsiFinD("ths_adjustment_nv_fund",V$3,$A487))</x:f>
        <x:v>#NAME?</x:v>
      </x:c>
      <x:c r="W487" t="e">
        <x:f>IF($A487="","",[1]!thsiFinD("ths_adjustment_nv_fund",W$3,$A487))</x:f>
        <x:v>#NAME?</x:v>
      </x:c>
      <x:c r="X487" t="e">
        <x:f>IF($A487="","",[1]!thsiFinD("ths_adjustment_nv_fund",X$3,$A487))</x:f>
        <x:v>#NAME?</x:v>
      </x:c>
      <x:c r="Y487" t="e">
        <x:f>IF($A487="","",[1]!thsiFinD("ths_adjustment_nv_fund",Y$3,$A487))</x:f>
        <x:v>#NAME?</x:v>
      </x:c>
    </x:row>
    <x:row r="488">
      <x:c r="B488" t="e">
        <x:f>IF($A488="","",[1]!thsiFinD("ths_adjustment_nv_fund",B$3,$A488))</x:f>
        <x:v>#NAME?</x:v>
      </x:c>
      <x:c r="C488" t="e">
        <x:f>IF($A488="","",[1]!thsiFinD("ths_adjustment_nv_fund",C$3,$A488))</x:f>
        <x:v>#NAME?</x:v>
      </x:c>
      <x:c r="D488" t="e">
        <x:f>IF($A488="","",[1]!thsiFinD("ths_adjustment_nv_fund",D$3,$A488))</x:f>
        <x:v>#NAME?</x:v>
      </x:c>
      <x:c r="E488" t="e">
        <x:f>IF($A488="","",[1]!thsiFinD("ths_adjustment_nv_fund",E$3,$A488))</x:f>
        <x:v>#NAME?</x:v>
      </x:c>
      <x:c r="F488" t="e">
        <x:f>IF($A488="","",[1]!thsiFinD("ths_adjustment_nv_fund",F$3,$A488))</x:f>
        <x:v>#NAME?</x:v>
      </x:c>
      <x:c r="G488" t="e">
        <x:f>IF($A488="","",[1]!thsiFinD("ths_adjustment_nv_fund",G$3,$A488))</x:f>
        <x:v>#NAME?</x:v>
      </x:c>
      <x:c r="H488" t="e">
        <x:f>IF($A488="","",[1]!thsiFinD("ths_adjustment_nv_fund",H$3,$A488))</x:f>
        <x:v>#NAME?</x:v>
      </x:c>
      <x:c r="I488" t="e">
        <x:f>IF($A488="","",[1]!thsiFinD("ths_adjustment_nv_fund",I$3,$A488))</x:f>
        <x:v>#NAME?</x:v>
      </x:c>
      <x:c r="J488" t="e">
        <x:f>IF($A488="","",[1]!thsiFinD("ths_adjustment_nv_fund",J$3,$A488))</x:f>
        <x:v>#NAME?</x:v>
      </x:c>
      <x:c r="K488" t="e">
        <x:f>IF($A488="","",[1]!thsiFinD("ths_adjustment_nv_fund",K$3,$A488))</x:f>
        <x:v>#NAME?</x:v>
      </x:c>
      <x:c r="L488" t="e">
        <x:f>IF($A488="","",[1]!thsiFinD("ths_adjustment_nv_fund",L$3,$A488))</x:f>
        <x:v>#NAME?</x:v>
      </x:c>
      <x:c r="M488" t="e">
        <x:f>IF($A488="","",[1]!thsiFinD("ths_adjustment_nv_fund",M$3,$A488))</x:f>
        <x:v>#NAME?</x:v>
      </x:c>
      <x:c r="N488" t="e">
        <x:f>IF($A488="","",[1]!thsiFinD("ths_adjustment_nv_fund",N$3,$A488))</x:f>
        <x:v>#NAME?</x:v>
      </x:c>
      <x:c r="O488" t="e">
        <x:f>IF($A488="","",[1]!thsiFinD("ths_adjustment_nv_fund",O$3,$A488))</x:f>
        <x:v>#NAME?</x:v>
      </x:c>
      <x:c r="P488" t="e">
        <x:f>IF($A488="","",[1]!thsiFinD("ths_adjustment_nv_fund",P$3,$A488))</x:f>
        <x:v>#NAME?</x:v>
      </x:c>
      <x:c r="Q488" t="e">
        <x:f>IF($A488="","",[1]!thsiFinD("ths_adjustment_nv_fund",Q$3,$A488))</x:f>
        <x:v>#NAME?</x:v>
      </x:c>
      <x:c r="R488" t="e">
        <x:f>IF($A488="","",[1]!thsiFinD("ths_adjustment_nv_fund",R$3,$A488))</x:f>
        <x:v>#NAME?</x:v>
      </x:c>
      <x:c r="S488" t="e">
        <x:f>IF($A488="","",[1]!thsiFinD("ths_adjustment_nv_fund",S$3,$A488))</x:f>
        <x:v>#NAME?</x:v>
      </x:c>
      <x:c r="T488" t="e">
        <x:f>IF($A488="","",[1]!thsiFinD("ths_adjustment_nv_fund",T$3,$A488))</x:f>
        <x:v>#NAME?</x:v>
      </x:c>
      <x:c r="U488" t="e">
        <x:f>IF($A488="","",[1]!thsiFinD("ths_adjustment_nv_fund",U$3,$A488))</x:f>
        <x:v>#NAME?</x:v>
      </x:c>
      <x:c r="V488" t="e">
        <x:f>IF($A488="","",[1]!thsiFinD("ths_adjustment_nv_fund",V$3,$A488))</x:f>
        <x:v>#NAME?</x:v>
      </x:c>
      <x:c r="W488" t="e">
        <x:f>IF($A488="","",[1]!thsiFinD("ths_adjustment_nv_fund",W$3,$A488))</x:f>
        <x:v>#NAME?</x:v>
      </x:c>
      <x:c r="X488" t="e">
        <x:f>IF($A488="","",[1]!thsiFinD("ths_adjustment_nv_fund",X$3,$A488))</x:f>
        <x:v>#NAME?</x:v>
      </x:c>
      <x:c r="Y488" t="e">
        <x:f>IF($A488="","",[1]!thsiFinD("ths_adjustment_nv_fund",Y$3,$A488))</x:f>
        <x:v>#NAME?</x:v>
      </x:c>
    </x:row>
    <x:row r="489">
      <x:c r="B489" t="e">
        <x:f>IF($A489="","",[1]!thsiFinD("ths_adjustment_nv_fund",B$3,$A489))</x:f>
        <x:v>#NAME?</x:v>
      </x:c>
      <x:c r="C489" t="e">
        <x:f>IF($A489="","",[1]!thsiFinD("ths_adjustment_nv_fund",C$3,$A489))</x:f>
        <x:v>#NAME?</x:v>
      </x:c>
      <x:c r="D489" t="e">
        <x:f>IF($A489="","",[1]!thsiFinD("ths_adjustment_nv_fund",D$3,$A489))</x:f>
        <x:v>#NAME?</x:v>
      </x:c>
      <x:c r="E489" t="e">
        <x:f>IF($A489="","",[1]!thsiFinD("ths_adjustment_nv_fund",E$3,$A489))</x:f>
        <x:v>#NAME?</x:v>
      </x:c>
      <x:c r="F489" t="e">
        <x:f>IF($A489="","",[1]!thsiFinD("ths_adjustment_nv_fund",F$3,$A489))</x:f>
        <x:v>#NAME?</x:v>
      </x:c>
      <x:c r="G489" t="e">
        <x:f>IF($A489="","",[1]!thsiFinD("ths_adjustment_nv_fund",G$3,$A489))</x:f>
        <x:v>#NAME?</x:v>
      </x:c>
      <x:c r="H489" t="e">
        <x:f>IF($A489="","",[1]!thsiFinD("ths_adjustment_nv_fund",H$3,$A489))</x:f>
        <x:v>#NAME?</x:v>
      </x:c>
      <x:c r="I489" t="e">
        <x:f>IF($A489="","",[1]!thsiFinD("ths_adjustment_nv_fund",I$3,$A489))</x:f>
        <x:v>#NAME?</x:v>
      </x:c>
      <x:c r="J489" t="e">
        <x:f>IF($A489="","",[1]!thsiFinD("ths_adjustment_nv_fund",J$3,$A489))</x:f>
        <x:v>#NAME?</x:v>
      </x:c>
      <x:c r="K489" t="e">
        <x:f>IF($A489="","",[1]!thsiFinD("ths_adjustment_nv_fund",K$3,$A489))</x:f>
        <x:v>#NAME?</x:v>
      </x:c>
      <x:c r="L489" t="e">
        <x:f>IF($A489="","",[1]!thsiFinD("ths_adjustment_nv_fund",L$3,$A489))</x:f>
        <x:v>#NAME?</x:v>
      </x:c>
      <x:c r="M489" t="e">
        <x:f>IF($A489="","",[1]!thsiFinD("ths_adjustment_nv_fund",M$3,$A489))</x:f>
        <x:v>#NAME?</x:v>
      </x:c>
      <x:c r="N489" t="e">
        <x:f>IF($A489="","",[1]!thsiFinD("ths_adjustment_nv_fund",N$3,$A489))</x:f>
        <x:v>#NAME?</x:v>
      </x:c>
      <x:c r="O489" t="e">
        <x:f>IF($A489="","",[1]!thsiFinD("ths_adjustment_nv_fund",O$3,$A489))</x:f>
        <x:v>#NAME?</x:v>
      </x:c>
      <x:c r="P489" t="e">
        <x:f>IF($A489="","",[1]!thsiFinD("ths_adjustment_nv_fund",P$3,$A489))</x:f>
        <x:v>#NAME?</x:v>
      </x:c>
      <x:c r="Q489" t="e">
        <x:f>IF($A489="","",[1]!thsiFinD("ths_adjustment_nv_fund",Q$3,$A489))</x:f>
        <x:v>#NAME?</x:v>
      </x:c>
      <x:c r="R489" t="e">
        <x:f>IF($A489="","",[1]!thsiFinD("ths_adjustment_nv_fund",R$3,$A489))</x:f>
        <x:v>#NAME?</x:v>
      </x:c>
      <x:c r="S489" t="e">
        <x:f>IF($A489="","",[1]!thsiFinD("ths_adjustment_nv_fund",S$3,$A489))</x:f>
        <x:v>#NAME?</x:v>
      </x:c>
      <x:c r="T489" t="e">
        <x:f>IF($A489="","",[1]!thsiFinD("ths_adjustment_nv_fund",T$3,$A489))</x:f>
        <x:v>#NAME?</x:v>
      </x:c>
      <x:c r="U489" t="e">
        <x:f>IF($A489="","",[1]!thsiFinD("ths_adjustment_nv_fund",U$3,$A489))</x:f>
        <x:v>#NAME?</x:v>
      </x:c>
      <x:c r="V489" t="e">
        <x:f>IF($A489="","",[1]!thsiFinD("ths_adjustment_nv_fund",V$3,$A489))</x:f>
        <x:v>#NAME?</x:v>
      </x:c>
      <x:c r="W489" t="e">
        <x:f>IF($A489="","",[1]!thsiFinD("ths_adjustment_nv_fund",W$3,$A489))</x:f>
        <x:v>#NAME?</x:v>
      </x:c>
      <x:c r="X489" t="e">
        <x:f>IF($A489="","",[1]!thsiFinD("ths_adjustment_nv_fund",X$3,$A489))</x:f>
        <x:v>#NAME?</x:v>
      </x:c>
      <x:c r="Y489" t="e">
        <x:f>IF($A489="","",[1]!thsiFinD("ths_adjustment_nv_fund",Y$3,$A489))</x:f>
        <x:v>#NAME?</x:v>
      </x:c>
    </x:row>
    <x:row r="490">
      <x:c r="B490" t="e">
        <x:f>IF($A490="","",[1]!thsiFinD("ths_adjustment_nv_fund",B$3,$A490))</x:f>
        <x:v>#NAME?</x:v>
      </x:c>
      <x:c r="C490" t="e">
        <x:f>IF($A490="","",[1]!thsiFinD("ths_adjustment_nv_fund",C$3,$A490))</x:f>
        <x:v>#NAME?</x:v>
      </x:c>
      <x:c r="D490" t="e">
        <x:f>IF($A490="","",[1]!thsiFinD("ths_adjustment_nv_fund",D$3,$A490))</x:f>
        <x:v>#NAME?</x:v>
      </x:c>
      <x:c r="E490" t="e">
        <x:f>IF($A490="","",[1]!thsiFinD("ths_adjustment_nv_fund",E$3,$A490))</x:f>
        <x:v>#NAME?</x:v>
      </x:c>
      <x:c r="F490" t="e">
        <x:f>IF($A490="","",[1]!thsiFinD("ths_adjustment_nv_fund",F$3,$A490))</x:f>
        <x:v>#NAME?</x:v>
      </x:c>
      <x:c r="G490" t="e">
        <x:f>IF($A490="","",[1]!thsiFinD("ths_adjustment_nv_fund",G$3,$A490))</x:f>
        <x:v>#NAME?</x:v>
      </x:c>
      <x:c r="H490" t="e">
        <x:f>IF($A490="","",[1]!thsiFinD("ths_adjustment_nv_fund",H$3,$A490))</x:f>
        <x:v>#NAME?</x:v>
      </x:c>
      <x:c r="I490" t="e">
        <x:f>IF($A490="","",[1]!thsiFinD("ths_adjustment_nv_fund",I$3,$A490))</x:f>
        <x:v>#NAME?</x:v>
      </x:c>
      <x:c r="J490" t="e">
        <x:f>IF($A490="","",[1]!thsiFinD("ths_adjustment_nv_fund",J$3,$A490))</x:f>
        <x:v>#NAME?</x:v>
      </x:c>
      <x:c r="K490" t="e">
        <x:f>IF($A490="","",[1]!thsiFinD("ths_adjustment_nv_fund",K$3,$A490))</x:f>
        <x:v>#NAME?</x:v>
      </x:c>
      <x:c r="L490" t="e">
        <x:f>IF($A490="","",[1]!thsiFinD("ths_adjustment_nv_fund",L$3,$A490))</x:f>
        <x:v>#NAME?</x:v>
      </x:c>
      <x:c r="M490" t="e">
        <x:f>IF($A490="","",[1]!thsiFinD("ths_adjustment_nv_fund",M$3,$A490))</x:f>
        <x:v>#NAME?</x:v>
      </x:c>
      <x:c r="N490" t="e">
        <x:f>IF($A490="","",[1]!thsiFinD("ths_adjustment_nv_fund",N$3,$A490))</x:f>
        <x:v>#NAME?</x:v>
      </x:c>
      <x:c r="O490" t="e">
        <x:f>IF($A490="","",[1]!thsiFinD("ths_adjustment_nv_fund",O$3,$A490))</x:f>
        <x:v>#NAME?</x:v>
      </x:c>
      <x:c r="P490" t="e">
        <x:f>IF($A490="","",[1]!thsiFinD("ths_adjustment_nv_fund",P$3,$A490))</x:f>
        <x:v>#NAME?</x:v>
      </x:c>
      <x:c r="Q490" t="e">
        <x:f>IF($A490="","",[1]!thsiFinD("ths_adjustment_nv_fund",Q$3,$A490))</x:f>
        <x:v>#NAME?</x:v>
      </x:c>
      <x:c r="R490" t="e">
        <x:f>IF($A490="","",[1]!thsiFinD("ths_adjustment_nv_fund",R$3,$A490))</x:f>
        <x:v>#NAME?</x:v>
      </x:c>
      <x:c r="S490" t="e">
        <x:f>IF($A490="","",[1]!thsiFinD("ths_adjustment_nv_fund",S$3,$A490))</x:f>
        <x:v>#NAME?</x:v>
      </x:c>
      <x:c r="T490" t="e">
        <x:f>IF($A490="","",[1]!thsiFinD("ths_adjustment_nv_fund",T$3,$A490))</x:f>
        <x:v>#NAME?</x:v>
      </x:c>
      <x:c r="U490" t="e">
        <x:f>IF($A490="","",[1]!thsiFinD("ths_adjustment_nv_fund",U$3,$A490))</x:f>
        <x:v>#NAME?</x:v>
      </x:c>
      <x:c r="V490" t="e">
        <x:f>IF($A490="","",[1]!thsiFinD("ths_adjustment_nv_fund",V$3,$A490))</x:f>
        <x:v>#NAME?</x:v>
      </x:c>
      <x:c r="W490" t="e">
        <x:f>IF($A490="","",[1]!thsiFinD("ths_adjustment_nv_fund",W$3,$A490))</x:f>
        <x:v>#NAME?</x:v>
      </x:c>
      <x:c r="X490" t="e">
        <x:f>IF($A490="","",[1]!thsiFinD("ths_adjustment_nv_fund",X$3,$A490))</x:f>
        <x:v>#NAME?</x:v>
      </x:c>
      <x:c r="Y490" t="e">
        <x:f>IF($A490="","",[1]!thsiFinD("ths_adjustment_nv_fund",Y$3,$A490))</x:f>
        <x:v>#NAME?</x:v>
      </x:c>
    </x:row>
    <x:row r="491">
      <x:c r="B491" t="e">
        <x:f>IF($A491="","",[1]!thsiFinD("ths_adjustment_nv_fund",B$3,$A491))</x:f>
        <x:v>#NAME?</x:v>
      </x:c>
      <x:c r="C491" t="e">
        <x:f>IF($A491="","",[1]!thsiFinD("ths_adjustment_nv_fund",C$3,$A491))</x:f>
        <x:v>#NAME?</x:v>
      </x:c>
      <x:c r="D491" t="e">
        <x:f>IF($A491="","",[1]!thsiFinD("ths_adjustment_nv_fund",D$3,$A491))</x:f>
        <x:v>#NAME?</x:v>
      </x:c>
      <x:c r="E491" t="e">
        <x:f>IF($A491="","",[1]!thsiFinD("ths_adjustment_nv_fund",E$3,$A491))</x:f>
        <x:v>#NAME?</x:v>
      </x:c>
      <x:c r="F491" t="e">
        <x:f>IF($A491="","",[1]!thsiFinD("ths_adjustment_nv_fund",F$3,$A491))</x:f>
        <x:v>#NAME?</x:v>
      </x:c>
      <x:c r="G491" t="e">
        <x:f>IF($A491="","",[1]!thsiFinD("ths_adjustment_nv_fund",G$3,$A491))</x:f>
        <x:v>#NAME?</x:v>
      </x:c>
      <x:c r="H491" t="e">
        <x:f>IF($A491="","",[1]!thsiFinD("ths_adjustment_nv_fund",H$3,$A491))</x:f>
        <x:v>#NAME?</x:v>
      </x:c>
      <x:c r="I491" t="e">
        <x:f>IF($A491="","",[1]!thsiFinD("ths_adjustment_nv_fund",I$3,$A491))</x:f>
        <x:v>#NAME?</x:v>
      </x:c>
      <x:c r="J491" t="e">
        <x:f>IF($A491="","",[1]!thsiFinD("ths_adjustment_nv_fund",J$3,$A491))</x:f>
        <x:v>#NAME?</x:v>
      </x:c>
      <x:c r="K491" t="e">
        <x:f>IF($A491="","",[1]!thsiFinD("ths_adjustment_nv_fund",K$3,$A491))</x:f>
        <x:v>#NAME?</x:v>
      </x:c>
      <x:c r="L491" t="e">
        <x:f>IF($A491="","",[1]!thsiFinD("ths_adjustment_nv_fund",L$3,$A491))</x:f>
        <x:v>#NAME?</x:v>
      </x:c>
      <x:c r="M491" t="e">
        <x:f>IF($A491="","",[1]!thsiFinD("ths_adjustment_nv_fund",M$3,$A491))</x:f>
        <x:v>#NAME?</x:v>
      </x:c>
      <x:c r="N491" t="e">
        <x:f>IF($A491="","",[1]!thsiFinD("ths_adjustment_nv_fund",N$3,$A491))</x:f>
        <x:v>#NAME?</x:v>
      </x:c>
      <x:c r="O491" t="e">
        <x:f>IF($A491="","",[1]!thsiFinD("ths_adjustment_nv_fund",O$3,$A491))</x:f>
        <x:v>#NAME?</x:v>
      </x:c>
      <x:c r="P491" t="e">
        <x:f>IF($A491="","",[1]!thsiFinD("ths_adjustment_nv_fund",P$3,$A491))</x:f>
        <x:v>#NAME?</x:v>
      </x:c>
      <x:c r="Q491" t="e">
        <x:f>IF($A491="","",[1]!thsiFinD("ths_adjustment_nv_fund",Q$3,$A491))</x:f>
        <x:v>#NAME?</x:v>
      </x:c>
      <x:c r="R491" t="e">
        <x:f>IF($A491="","",[1]!thsiFinD("ths_adjustment_nv_fund",R$3,$A491))</x:f>
        <x:v>#NAME?</x:v>
      </x:c>
      <x:c r="S491" t="e">
        <x:f>IF($A491="","",[1]!thsiFinD("ths_adjustment_nv_fund",S$3,$A491))</x:f>
        <x:v>#NAME?</x:v>
      </x:c>
      <x:c r="T491" t="e">
        <x:f>IF($A491="","",[1]!thsiFinD("ths_adjustment_nv_fund",T$3,$A491))</x:f>
        <x:v>#NAME?</x:v>
      </x:c>
      <x:c r="U491" t="e">
        <x:f>IF($A491="","",[1]!thsiFinD("ths_adjustment_nv_fund",U$3,$A491))</x:f>
        <x:v>#NAME?</x:v>
      </x:c>
      <x:c r="V491" t="e">
        <x:f>IF($A491="","",[1]!thsiFinD("ths_adjustment_nv_fund",V$3,$A491))</x:f>
        <x:v>#NAME?</x:v>
      </x:c>
      <x:c r="W491" t="e">
        <x:f>IF($A491="","",[1]!thsiFinD("ths_adjustment_nv_fund",W$3,$A491))</x:f>
        <x:v>#NAME?</x:v>
      </x:c>
      <x:c r="X491" t="e">
        <x:f>IF($A491="","",[1]!thsiFinD("ths_adjustment_nv_fund",X$3,$A491))</x:f>
        <x:v>#NAME?</x:v>
      </x:c>
      <x:c r="Y491" t="e">
        <x:f>IF($A491="","",[1]!thsiFinD("ths_adjustment_nv_fund",Y$3,$A491))</x:f>
        <x:v>#NAME?</x:v>
      </x:c>
    </x:row>
    <x:row r="492">
      <x:c r="B492" t="e">
        <x:f>IF($A492="","",[1]!thsiFinD("ths_adjustment_nv_fund",B$3,$A492))</x:f>
        <x:v>#NAME?</x:v>
      </x:c>
      <x:c r="C492" t="e">
        <x:f>IF($A492="","",[1]!thsiFinD("ths_adjustment_nv_fund",C$3,$A492))</x:f>
        <x:v>#NAME?</x:v>
      </x:c>
      <x:c r="D492" t="e">
        <x:f>IF($A492="","",[1]!thsiFinD("ths_adjustment_nv_fund",D$3,$A492))</x:f>
        <x:v>#NAME?</x:v>
      </x:c>
      <x:c r="E492" t="e">
        <x:f>IF($A492="","",[1]!thsiFinD("ths_adjustment_nv_fund",E$3,$A492))</x:f>
        <x:v>#NAME?</x:v>
      </x:c>
      <x:c r="F492" t="e">
        <x:f>IF($A492="","",[1]!thsiFinD("ths_adjustment_nv_fund",F$3,$A492))</x:f>
        <x:v>#NAME?</x:v>
      </x:c>
      <x:c r="G492" t="e">
        <x:f>IF($A492="","",[1]!thsiFinD("ths_adjustment_nv_fund",G$3,$A492))</x:f>
        <x:v>#NAME?</x:v>
      </x:c>
      <x:c r="H492" t="e">
        <x:f>IF($A492="","",[1]!thsiFinD("ths_adjustment_nv_fund",H$3,$A492))</x:f>
        <x:v>#NAME?</x:v>
      </x:c>
      <x:c r="I492" t="e">
        <x:f>IF($A492="","",[1]!thsiFinD("ths_adjustment_nv_fund",I$3,$A492))</x:f>
        <x:v>#NAME?</x:v>
      </x:c>
      <x:c r="J492" t="e">
        <x:f>IF($A492="","",[1]!thsiFinD("ths_adjustment_nv_fund",J$3,$A492))</x:f>
        <x:v>#NAME?</x:v>
      </x:c>
      <x:c r="K492" t="e">
        <x:f>IF($A492="","",[1]!thsiFinD("ths_adjustment_nv_fund",K$3,$A492))</x:f>
        <x:v>#NAME?</x:v>
      </x:c>
      <x:c r="L492" t="e">
        <x:f>IF($A492="","",[1]!thsiFinD("ths_adjustment_nv_fund",L$3,$A492))</x:f>
        <x:v>#NAME?</x:v>
      </x:c>
      <x:c r="M492" t="e">
        <x:f>IF($A492="","",[1]!thsiFinD("ths_adjustment_nv_fund",M$3,$A492))</x:f>
        <x:v>#NAME?</x:v>
      </x:c>
      <x:c r="N492" t="e">
        <x:f>IF($A492="","",[1]!thsiFinD("ths_adjustment_nv_fund",N$3,$A492))</x:f>
        <x:v>#NAME?</x:v>
      </x:c>
      <x:c r="O492" t="e">
        <x:f>IF($A492="","",[1]!thsiFinD("ths_adjustment_nv_fund",O$3,$A492))</x:f>
        <x:v>#NAME?</x:v>
      </x:c>
      <x:c r="P492" t="e">
        <x:f>IF($A492="","",[1]!thsiFinD("ths_adjustment_nv_fund",P$3,$A492))</x:f>
        <x:v>#NAME?</x:v>
      </x:c>
      <x:c r="Q492" t="e">
        <x:f>IF($A492="","",[1]!thsiFinD("ths_adjustment_nv_fund",Q$3,$A492))</x:f>
        <x:v>#NAME?</x:v>
      </x:c>
      <x:c r="R492" t="e">
        <x:f>IF($A492="","",[1]!thsiFinD("ths_adjustment_nv_fund",R$3,$A492))</x:f>
        <x:v>#NAME?</x:v>
      </x:c>
      <x:c r="S492" t="e">
        <x:f>IF($A492="","",[1]!thsiFinD("ths_adjustment_nv_fund",S$3,$A492))</x:f>
        <x:v>#NAME?</x:v>
      </x:c>
      <x:c r="T492" t="e">
        <x:f>IF($A492="","",[1]!thsiFinD("ths_adjustment_nv_fund",T$3,$A492))</x:f>
        <x:v>#NAME?</x:v>
      </x:c>
      <x:c r="U492" t="e">
        <x:f>IF($A492="","",[1]!thsiFinD("ths_adjustment_nv_fund",U$3,$A492))</x:f>
        <x:v>#NAME?</x:v>
      </x:c>
      <x:c r="V492" t="e">
        <x:f>IF($A492="","",[1]!thsiFinD("ths_adjustment_nv_fund",V$3,$A492))</x:f>
        <x:v>#NAME?</x:v>
      </x:c>
      <x:c r="W492" t="e">
        <x:f>IF($A492="","",[1]!thsiFinD("ths_adjustment_nv_fund",W$3,$A492))</x:f>
        <x:v>#NAME?</x:v>
      </x:c>
      <x:c r="X492" t="e">
        <x:f>IF($A492="","",[1]!thsiFinD("ths_adjustment_nv_fund",X$3,$A492))</x:f>
        <x:v>#NAME?</x:v>
      </x:c>
      <x:c r="Y492" t="e">
        <x:f>IF($A492="","",[1]!thsiFinD("ths_adjustment_nv_fund",Y$3,$A492))</x:f>
        <x:v>#NAME?</x:v>
      </x:c>
    </x:row>
    <x:row r="493">
      <x:c r="B493" t="e">
        <x:f>IF($A493="","",[1]!thsiFinD("ths_adjustment_nv_fund",B$3,$A493))</x:f>
        <x:v>#NAME?</x:v>
      </x:c>
      <x:c r="C493" t="e">
        <x:f>IF($A493="","",[1]!thsiFinD("ths_adjustment_nv_fund",C$3,$A493))</x:f>
        <x:v>#NAME?</x:v>
      </x:c>
      <x:c r="D493" t="e">
        <x:f>IF($A493="","",[1]!thsiFinD("ths_adjustment_nv_fund",D$3,$A493))</x:f>
        <x:v>#NAME?</x:v>
      </x:c>
      <x:c r="E493" t="e">
        <x:f>IF($A493="","",[1]!thsiFinD("ths_adjustment_nv_fund",E$3,$A493))</x:f>
        <x:v>#NAME?</x:v>
      </x:c>
      <x:c r="F493" t="e">
        <x:f>IF($A493="","",[1]!thsiFinD("ths_adjustment_nv_fund",F$3,$A493))</x:f>
        <x:v>#NAME?</x:v>
      </x:c>
      <x:c r="G493" t="e">
        <x:f>IF($A493="","",[1]!thsiFinD("ths_adjustment_nv_fund",G$3,$A493))</x:f>
        <x:v>#NAME?</x:v>
      </x:c>
      <x:c r="H493" t="e">
        <x:f>IF($A493="","",[1]!thsiFinD("ths_adjustment_nv_fund",H$3,$A493))</x:f>
        <x:v>#NAME?</x:v>
      </x:c>
      <x:c r="I493" t="e">
        <x:f>IF($A493="","",[1]!thsiFinD("ths_adjustment_nv_fund",I$3,$A493))</x:f>
        <x:v>#NAME?</x:v>
      </x:c>
      <x:c r="J493" t="e">
        <x:f>IF($A493="","",[1]!thsiFinD("ths_adjustment_nv_fund",J$3,$A493))</x:f>
        <x:v>#NAME?</x:v>
      </x:c>
      <x:c r="K493" t="e">
        <x:f>IF($A493="","",[1]!thsiFinD("ths_adjustment_nv_fund",K$3,$A493))</x:f>
        <x:v>#NAME?</x:v>
      </x:c>
      <x:c r="L493" t="e">
        <x:f>IF($A493="","",[1]!thsiFinD("ths_adjustment_nv_fund",L$3,$A493))</x:f>
        <x:v>#NAME?</x:v>
      </x:c>
      <x:c r="M493" t="e">
        <x:f>IF($A493="","",[1]!thsiFinD("ths_adjustment_nv_fund",M$3,$A493))</x:f>
        <x:v>#NAME?</x:v>
      </x:c>
      <x:c r="N493" t="e">
        <x:f>IF($A493="","",[1]!thsiFinD("ths_adjustment_nv_fund",N$3,$A493))</x:f>
        <x:v>#NAME?</x:v>
      </x:c>
      <x:c r="O493" t="e">
        <x:f>IF($A493="","",[1]!thsiFinD("ths_adjustment_nv_fund",O$3,$A493))</x:f>
        <x:v>#NAME?</x:v>
      </x:c>
      <x:c r="P493" t="e">
        <x:f>IF($A493="","",[1]!thsiFinD("ths_adjustment_nv_fund",P$3,$A493))</x:f>
        <x:v>#NAME?</x:v>
      </x:c>
      <x:c r="Q493" t="e">
        <x:f>IF($A493="","",[1]!thsiFinD("ths_adjustment_nv_fund",Q$3,$A493))</x:f>
        <x:v>#NAME?</x:v>
      </x:c>
      <x:c r="R493" t="e">
        <x:f>IF($A493="","",[1]!thsiFinD("ths_adjustment_nv_fund",R$3,$A493))</x:f>
        <x:v>#NAME?</x:v>
      </x:c>
      <x:c r="S493" t="e">
        <x:f>IF($A493="","",[1]!thsiFinD("ths_adjustment_nv_fund",S$3,$A493))</x:f>
        <x:v>#NAME?</x:v>
      </x:c>
      <x:c r="T493" t="e">
        <x:f>IF($A493="","",[1]!thsiFinD("ths_adjustment_nv_fund",T$3,$A493))</x:f>
        <x:v>#NAME?</x:v>
      </x:c>
      <x:c r="U493" t="e">
        <x:f>IF($A493="","",[1]!thsiFinD("ths_adjustment_nv_fund",U$3,$A493))</x:f>
        <x:v>#NAME?</x:v>
      </x:c>
      <x:c r="V493" t="e">
        <x:f>IF($A493="","",[1]!thsiFinD("ths_adjustment_nv_fund",V$3,$A493))</x:f>
        <x:v>#NAME?</x:v>
      </x:c>
      <x:c r="W493" t="e">
        <x:f>IF($A493="","",[1]!thsiFinD("ths_adjustment_nv_fund",W$3,$A493))</x:f>
        <x:v>#NAME?</x:v>
      </x:c>
      <x:c r="X493" t="e">
        <x:f>IF($A493="","",[1]!thsiFinD("ths_adjustment_nv_fund",X$3,$A493))</x:f>
        <x:v>#NAME?</x:v>
      </x:c>
      <x:c r="Y493" t="e">
        <x:f>IF($A493="","",[1]!thsiFinD("ths_adjustment_nv_fund",Y$3,$A493))</x:f>
        <x:v>#NAME?</x:v>
      </x:c>
    </x:row>
    <x:row r="494">
      <x:c r="B494" t="e">
        <x:f>IF($A494="","",[1]!thsiFinD("ths_adjustment_nv_fund",B$3,$A494))</x:f>
        <x:v>#NAME?</x:v>
      </x:c>
      <x:c r="C494" t="e">
        <x:f>IF($A494="","",[1]!thsiFinD("ths_adjustment_nv_fund",C$3,$A494))</x:f>
        <x:v>#NAME?</x:v>
      </x:c>
      <x:c r="D494" t="e">
        <x:f>IF($A494="","",[1]!thsiFinD("ths_adjustment_nv_fund",D$3,$A494))</x:f>
        <x:v>#NAME?</x:v>
      </x:c>
      <x:c r="E494" t="e">
        <x:f>IF($A494="","",[1]!thsiFinD("ths_adjustment_nv_fund",E$3,$A494))</x:f>
        <x:v>#NAME?</x:v>
      </x:c>
      <x:c r="F494" t="e">
        <x:f>IF($A494="","",[1]!thsiFinD("ths_adjustment_nv_fund",F$3,$A494))</x:f>
        <x:v>#NAME?</x:v>
      </x:c>
      <x:c r="G494" t="e">
        <x:f>IF($A494="","",[1]!thsiFinD("ths_adjustment_nv_fund",G$3,$A494))</x:f>
        <x:v>#NAME?</x:v>
      </x:c>
      <x:c r="H494" t="e">
        <x:f>IF($A494="","",[1]!thsiFinD("ths_adjustment_nv_fund",H$3,$A494))</x:f>
        <x:v>#NAME?</x:v>
      </x:c>
      <x:c r="I494" t="e">
        <x:f>IF($A494="","",[1]!thsiFinD("ths_adjustment_nv_fund",I$3,$A494))</x:f>
        <x:v>#NAME?</x:v>
      </x:c>
      <x:c r="J494" t="e">
        <x:f>IF($A494="","",[1]!thsiFinD("ths_adjustment_nv_fund",J$3,$A494))</x:f>
        <x:v>#NAME?</x:v>
      </x:c>
      <x:c r="K494" t="e">
        <x:f>IF($A494="","",[1]!thsiFinD("ths_adjustment_nv_fund",K$3,$A494))</x:f>
        <x:v>#NAME?</x:v>
      </x:c>
      <x:c r="L494" t="e">
        <x:f>IF($A494="","",[1]!thsiFinD("ths_adjustment_nv_fund",L$3,$A494))</x:f>
        <x:v>#NAME?</x:v>
      </x:c>
      <x:c r="M494" t="e">
        <x:f>IF($A494="","",[1]!thsiFinD("ths_adjustment_nv_fund",M$3,$A494))</x:f>
        <x:v>#NAME?</x:v>
      </x:c>
      <x:c r="N494" t="e">
        <x:f>IF($A494="","",[1]!thsiFinD("ths_adjustment_nv_fund",N$3,$A494))</x:f>
        <x:v>#NAME?</x:v>
      </x:c>
      <x:c r="O494" t="e">
        <x:f>IF($A494="","",[1]!thsiFinD("ths_adjustment_nv_fund",O$3,$A494))</x:f>
        <x:v>#NAME?</x:v>
      </x:c>
      <x:c r="P494" t="e">
        <x:f>IF($A494="","",[1]!thsiFinD("ths_adjustment_nv_fund",P$3,$A494))</x:f>
        <x:v>#NAME?</x:v>
      </x:c>
      <x:c r="Q494" t="e">
        <x:f>IF($A494="","",[1]!thsiFinD("ths_adjustment_nv_fund",Q$3,$A494))</x:f>
        <x:v>#NAME?</x:v>
      </x:c>
      <x:c r="R494" t="e">
        <x:f>IF($A494="","",[1]!thsiFinD("ths_adjustment_nv_fund",R$3,$A494))</x:f>
        <x:v>#NAME?</x:v>
      </x:c>
      <x:c r="S494" t="e">
        <x:f>IF($A494="","",[1]!thsiFinD("ths_adjustment_nv_fund",S$3,$A494))</x:f>
        <x:v>#NAME?</x:v>
      </x:c>
      <x:c r="T494" t="e">
        <x:f>IF($A494="","",[1]!thsiFinD("ths_adjustment_nv_fund",T$3,$A494))</x:f>
        <x:v>#NAME?</x:v>
      </x:c>
      <x:c r="U494" t="e">
        <x:f>IF($A494="","",[1]!thsiFinD("ths_adjustment_nv_fund",U$3,$A494))</x:f>
        <x:v>#NAME?</x:v>
      </x:c>
      <x:c r="V494" t="e">
        <x:f>IF($A494="","",[1]!thsiFinD("ths_adjustment_nv_fund",V$3,$A494))</x:f>
        <x:v>#NAME?</x:v>
      </x:c>
      <x:c r="W494" t="e">
        <x:f>IF($A494="","",[1]!thsiFinD("ths_adjustment_nv_fund",W$3,$A494))</x:f>
        <x:v>#NAME?</x:v>
      </x:c>
      <x:c r="X494" t="e">
        <x:f>IF($A494="","",[1]!thsiFinD("ths_adjustment_nv_fund",X$3,$A494))</x:f>
        <x:v>#NAME?</x:v>
      </x:c>
      <x:c r="Y494" t="e">
        <x:f>IF($A494="","",[1]!thsiFinD("ths_adjustment_nv_fund",Y$3,$A494))</x:f>
        <x:v>#NAME?</x:v>
      </x:c>
    </x:row>
    <x:row r="495">
      <x:c r="B495" t="e">
        <x:f>IF($A495="","",[1]!thsiFinD("ths_adjustment_nv_fund",B$3,$A495))</x:f>
        <x:v>#NAME?</x:v>
      </x:c>
      <x:c r="C495" t="e">
        <x:f>IF($A495="","",[1]!thsiFinD("ths_adjustment_nv_fund",C$3,$A495))</x:f>
        <x:v>#NAME?</x:v>
      </x:c>
      <x:c r="D495" t="e">
        <x:f>IF($A495="","",[1]!thsiFinD("ths_adjustment_nv_fund",D$3,$A495))</x:f>
        <x:v>#NAME?</x:v>
      </x:c>
      <x:c r="E495" t="e">
        <x:f>IF($A495="","",[1]!thsiFinD("ths_adjustment_nv_fund",E$3,$A495))</x:f>
        <x:v>#NAME?</x:v>
      </x:c>
      <x:c r="F495" t="e">
        <x:f>IF($A495="","",[1]!thsiFinD("ths_adjustment_nv_fund",F$3,$A495))</x:f>
        <x:v>#NAME?</x:v>
      </x:c>
      <x:c r="G495" t="e">
        <x:f>IF($A495="","",[1]!thsiFinD("ths_adjustment_nv_fund",G$3,$A495))</x:f>
        <x:v>#NAME?</x:v>
      </x:c>
      <x:c r="H495" t="e">
        <x:f>IF($A495="","",[1]!thsiFinD("ths_adjustment_nv_fund",H$3,$A495))</x:f>
        <x:v>#NAME?</x:v>
      </x:c>
      <x:c r="I495" t="e">
        <x:f>IF($A495="","",[1]!thsiFinD("ths_adjustment_nv_fund",I$3,$A495))</x:f>
        <x:v>#NAME?</x:v>
      </x:c>
      <x:c r="J495" t="e">
        <x:f>IF($A495="","",[1]!thsiFinD("ths_adjustment_nv_fund",J$3,$A495))</x:f>
        <x:v>#NAME?</x:v>
      </x:c>
      <x:c r="K495" t="e">
        <x:f>IF($A495="","",[1]!thsiFinD("ths_adjustment_nv_fund",K$3,$A495))</x:f>
        <x:v>#NAME?</x:v>
      </x:c>
      <x:c r="L495" t="e">
        <x:f>IF($A495="","",[1]!thsiFinD("ths_adjustment_nv_fund",L$3,$A495))</x:f>
        <x:v>#NAME?</x:v>
      </x:c>
      <x:c r="M495" t="e">
        <x:f>IF($A495="","",[1]!thsiFinD("ths_adjustment_nv_fund",M$3,$A495))</x:f>
        <x:v>#NAME?</x:v>
      </x:c>
      <x:c r="N495" t="e">
        <x:f>IF($A495="","",[1]!thsiFinD("ths_adjustment_nv_fund",N$3,$A495))</x:f>
        <x:v>#NAME?</x:v>
      </x:c>
      <x:c r="O495" t="e">
        <x:f>IF($A495="","",[1]!thsiFinD("ths_adjustment_nv_fund",O$3,$A495))</x:f>
        <x:v>#NAME?</x:v>
      </x:c>
      <x:c r="P495" t="e">
        <x:f>IF($A495="","",[1]!thsiFinD("ths_adjustment_nv_fund",P$3,$A495))</x:f>
        <x:v>#NAME?</x:v>
      </x:c>
      <x:c r="Q495" t="e">
        <x:f>IF($A495="","",[1]!thsiFinD("ths_adjustment_nv_fund",Q$3,$A495))</x:f>
        <x:v>#NAME?</x:v>
      </x:c>
      <x:c r="R495" t="e">
        <x:f>IF($A495="","",[1]!thsiFinD("ths_adjustment_nv_fund",R$3,$A495))</x:f>
        <x:v>#NAME?</x:v>
      </x:c>
      <x:c r="S495" t="e">
        <x:f>IF($A495="","",[1]!thsiFinD("ths_adjustment_nv_fund",S$3,$A495))</x:f>
        <x:v>#NAME?</x:v>
      </x:c>
      <x:c r="T495" t="e">
        <x:f>IF($A495="","",[1]!thsiFinD("ths_adjustment_nv_fund",T$3,$A495))</x:f>
        <x:v>#NAME?</x:v>
      </x:c>
      <x:c r="U495" t="e">
        <x:f>IF($A495="","",[1]!thsiFinD("ths_adjustment_nv_fund",U$3,$A495))</x:f>
        <x:v>#NAME?</x:v>
      </x:c>
      <x:c r="V495" t="e">
        <x:f>IF($A495="","",[1]!thsiFinD("ths_adjustment_nv_fund",V$3,$A495))</x:f>
        <x:v>#NAME?</x:v>
      </x:c>
      <x:c r="W495" t="e">
        <x:f>IF($A495="","",[1]!thsiFinD("ths_adjustment_nv_fund",W$3,$A495))</x:f>
        <x:v>#NAME?</x:v>
      </x:c>
      <x:c r="X495" t="e">
        <x:f>IF($A495="","",[1]!thsiFinD("ths_adjustment_nv_fund",X$3,$A495))</x:f>
        <x:v>#NAME?</x:v>
      </x:c>
      <x:c r="Y495" t="e">
        <x:f>IF($A495="","",[1]!thsiFinD("ths_adjustment_nv_fund",Y$3,$A495))</x:f>
        <x:v>#NAME?</x:v>
      </x:c>
    </x:row>
    <x:row r="496">
      <x:c r="B496" t="e">
        <x:f>IF($A496="","",[1]!thsiFinD("ths_adjustment_nv_fund",B$3,$A496))</x:f>
        <x:v>#NAME?</x:v>
      </x:c>
      <x:c r="C496" t="e">
        <x:f>IF($A496="","",[1]!thsiFinD("ths_adjustment_nv_fund",C$3,$A496))</x:f>
        <x:v>#NAME?</x:v>
      </x:c>
      <x:c r="D496" t="e">
        <x:f>IF($A496="","",[1]!thsiFinD("ths_adjustment_nv_fund",D$3,$A496))</x:f>
        <x:v>#NAME?</x:v>
      </x:c>
      <x:c r="E496" t="e">
        <x:f>IF($A496="","",[1]!thsiFinD("ths_adjustment_nv_fund",E$3,$A496))</x:f>
        <x:v>#NAME?</x:v>
      </x:c>
      <x:c r="F496" t="e">
        <x:f>IF($A496="","",[1]!thsiFinD("ths_adjustment_nv_fund",F$3,$A496))</x:f>
        <x:v>#NAME?</x:v>
      </x:c>
      <x:c r="G496" t="e">
        <x:f>IF($A496="","",[1]!thsiFinD("ths_adjustment_nv_fund",G$3,$A496))</x:f>
        <x:v>#NAME?</x:v>
      </x:c>
      <x:c r="H496" t="e">
        <x:f>IF($A496="","",[1]!thsiFinD("ths_adjustment_nv_fund",H$3,$A496))</x:f>
        <x:v>#NAME?</x:v>
      </x:c>
      <x:c r="I496" t="e">
        <x:f>IF($A496="","",[1]!thsiFinD("ths_adjustment_nv_fund",I$3,$A496))</x:f>
        <x:v>#NAME?</x:v>
      </x:c>
      <x:c r="J496" t="e">
        <x:f>IF($A496="","",[1]!thsiFinD("ths_adjustment_nv_fund",J$3,$A496))</x:f>
        <x:v>#NAME?</x:v>
      </x:c>
      <x:c r="K496" t="e">
        <x:f>IF($A496="","",[1]!thsiFinD("ths_adjustment_nv_fund",K$3,$A496))</x:f>
        <x:v>#NAME?</x:v>
      </x:c>
      <x:c r="L496" t="e">
        <x:f>IF($A496="","",[1]!thsiFinD("ths_adjustment_nv_fund",L$3,$A496))</x:f>
        <x:v>#NAME?</x:v>
      </x:c>
      <x:c r="M496" t="e">
        <x:f>IF($A496="","",[1]!thsiFinD("ths_adjustment_nv_fund",M$3,$A496))</x:f>
        <x:v>#NAME?</x:v>
      </x:c>
      <x:c r="N496" t="e">
        <x:f>IF($A496="","",[1]!thsiFinD("ths_adjustment_nv_fund",N$3,$A496))</x:f>
        <x:v>#NAME?</x:v>
      </x:c>
      <x:c r="O496" t="e">
        <x:f>IF($A496="","",[1]!thsiFinD("ths_adjustment_nv_fund",O$3,$A496))</x:f>
        <x:v>#NAME?</x:v>
      </x:c>
      <x:c r="P496" t="e">
        <x:f>IF($A496="","",[1]!thsiFinD("ths_adjustment_nv_fund",P$3,$A496))</x:f>
        <x:v>#NAME?</x:v>
      </x:c>
      <x:c r="Q496" t="e">
        <x:f>IF($A496="","",[1]!thsiFinD("ths_adjustment_nv_fund",Q$3,$A496))</x:f>
        <x:v>#NAME?</x:v>
      </x:c>
      <x:c r="R496" t="e">
        <x:f>IF($A496="","",[1]!thsiFinD("ths_adjustment_nv_fund",R$3,$A496))</x:f>
        <x:v>#NAME?</x:v>
      </x:c>
      <x:c r="S496" t="e">
        <x:f>IF($A496="","",[1]!thsiFinD("ths_adjustment_nv_fund",S$3,$A496))</x:f>
        <x:v>#NAME?</x:v>
      </x:c>
      <x:c r="T496" t="e">
        <x:f>IF($A496="","",[1]!thsiFinD("ths_adjustment_nv_fund",T$3,$A496))</x:f>
        <x:v>#NAME?</x:v>
      </x:c>
      <x:c r="U496" t="e">
        <x:f>IF($A496="","",[1]!thsiFinD("ths_adjustment_nv_fund",U$3,$A496))</x:f>
        <x:v>#NAME?</x:v>
      </x:c>
      <x:c r="V496" t="e">
        <x:f>IF($A496="","",[1]!thsiFinD("ths_adjustment_nv_fund",V$3,$A496))</x:f>
        <x:v>#NAME?</x:v>
      </x:c>
      <x:c r="W496" t="e">
        <x:f>IF($A496="","",[1]!thsiFinD("ths_adjustment_nv_fund",W$3,$A496))</x:f>
        <x:v>#NAME?</x:v>
      </x:c>
      <x:c r="X496" t="e">
        <x:f>IF($A496="","",[1]!thsiFinD("ths_adjustment_nv_fund",X$3,$A496))</x:f>
        <x:v>#NAME?</x:v>
      </x:c>
      <x:c r="Y496" t="e">
        <x:f>IF($A496="","",[1]!thsiFinD("ths_adjustment_nv_fund",Y$3,$A496))</x:f>
        <x:v>#NAME?</x:v>
      </x:c>
    </x:row>
    <x:row r="497">
      <x:c r="B497" t="e">
        <x:f>IF($A497="","",[1]!thsiFinD("ths_adjustment_nv_fund",B$3,$A497))</x:f>
        <x:v>#NAME?</x:v>
      </x:c>
      <x:c r="C497" t="e">
        <x:f>IF($A497="","",[1]!thsiFinD("ths_adjustment_nv_fund",C$3,$A497))</x:f>
        <x:v>#NAME?</x:v>
      </x:c>
      <x:c r="D497" t="e">
        <x:f>IF($A497="","",[1]!thsiFinD("ths_adjustment_nv_fund",D$3,$A497))</x:f>
        <x:v>#NAME?</x:v>
      </x:c>
      <x:c r="E497" t="e">
        <x:f>IF($A497="","",[1]!thsiFinD("ths_adjustment_nv_fund",E$3,$A497))</x:f>
        <x:v>#NAME?</x:v>
      </x:c>
      <x:c r="F497" t="e">
        <x:f>IF($A497="","",[1]!thsiFinD("ths_adjustment_nv_fund",F$3,$A497))</x:f>
        <x:v>#NAME?</x:v>
      </x:c>
      <x:c r="G497" t="e">
        <x:f>IF($A497="","",[1]!thsiFinD("ths_adjustment_nv_fund",G$3,$A497))</x:f>
        <x:v>#NAME?</x:v>
      </x:c>
      <x:c r="H497" t="e">
        <x:f>IF($A497="","",[1]!thsiFinD("ths_adjustment_nv_fund",H$3,$A497))</x:f>
        <x:v>#NAME?</x:v>
      </x:c>
      <x:c r="I497" t="e">
        <x:f>IF($A497="","",[1]!thsiFinD("ths_adjustment_nv_fund",I$3,$A497))</x:f>
        <x:v>#NAME?</x:v>
      </x:c>
      <x:c r="J497" t="e">
        <x:f>IF($A497="","",[1]!thsiFinD("ths_adjustment_nv_fund",J$3,$A497))</x:f>
        <x:v>#NAME?</x:v>
      </x:c>
      <x:c r="K497" t="e">
        <x:f>IF($A497="","",[1]!thsiFinD("ths_adjustment_nv_fund",K$3,$A497))</x:f>
        <x:v>#NAME?</x:v>
      </x:c>
      <x:c r="L497" t="e">
        <x:f>IF($A497="","",[1]!thsiFinD("ths_adjustment_nv_fund",L$3,$A497))</x:f>
        <x:v>#NAME?</x:v>
      </x:c>
      <x:c r="M497" t="e">
        <x:f>IF($A497="","",[1]!thsiFinD("ths_adjustment_nv_fund",M$3,$A497))</x:f>
        <x:v>#NAME?</x:v>
      </x:c>
      <x:c r="N497" t="e">
        <x:f>IF($A497="","",[1]!thsiFinD("ths_adjustment_nv_fund",N$3,$A497))</x:f>
        <x:v>#NAME?</x:v>
      </x:c>
      <x:c r="O497" t="e">
        <x:f>IF($A497="","",[1]!thsiFinD("ths_adjustment_nv_fund",O$3,$A497))</x:f>
        <x:v>#NAME?</x:v>
      </x:c>
      <x:c r="P497" t="e">
        <x:f>IF($A497="","",[1]!thsiFinD("ths_adjustment_nv_fund",P$3,$A497))</x:f>
        <x:v>#NAME?</x:v>
      </x:c>
      <x:c r="Q497" t="e">
        <x:f>IF($A497="","",[1]!thsiFinD("ths_adjustment_nv_fund",Q$3,$A497))</x:f>
        <x:v>#NAME?</x:v>
      </x:c>
      <x:c r="R497" t="e">
        <x:f>IF($A497="","",[1]!thsiFinD("ths_adjustment_nv_fund",R$3,$A497))</x:f>
        <x:v>#NAME?</x:v>
      </x:c>
      <x:c r="S497" t="e">
        <x:f>IF($A497="","",[1]!thsiFinD("ths_adjustment_nv_fund",S$3,$A497))</x:f>
        <x:v>#NAME?</x:v>
      </x:c>
      <x:c r="T497" t="e">
        <x:f>IF($A497="","",[1]!thsiFinD("ths_adjustment_nv_fund",T$3,$A497))</x:f>
        <x:v>#NAME?</x:v>
      </x:c>
      <x:c r="U497" t="e">
        <x:f>IF($A497="","",[1]!thsiFinD("ths_adjustment_nv_fund",U$3,$A497))</x:f>
        <x:v>#NAME?</x:v>
      </x:c>
      <x:c r="V497" t="e">
        <x:f>IF($A497="","",[1]!thsiFinD("ths_adjustment_nv_fund",V$3,$A497))</x:f>
        <x:v>#NAME?</x:v>
      </x:c>
      <x:c r="W497" t="e">
        <x:f>IF($A497="","",[1]!thsiFinD("ths_adjustment_nv_fund",W$3,$A497))</x:f>
        <x:v>#NAME?</x:v>
      </x:c>
      <x:c r="X497" t="e">
        <x:f>IF($A497="","",[1]!thsiFinD("ths_adjustment_nv_fund",X$3,$A497))</x:f>
        <x:v>#NAME?</x:v>
      </x:c>
      <x:c r="Y497" t="e">
        <x:f>IF($A497="","",[1]!thsiFinD("ths_adjustment_nv_fund",Y$3,$A497))</x:f>
        <x:v>#NAME?</x:v>
      </x:c>
    </x:row>
    <x:row r="498">
      <x:c r="B498" t="e">
        <x:f>IF($A498="","",[1]!thsiFinD("ths_adjustment_nv_fund",B$3,$A498))</x:f>
        <x:v>#NAME?</x:v>
      </x:c>
      <x:c r="C498" t="e">
        <x:f>IF($A498="","",[1]!thsiFinD("ths_adjustment_nv_fund",C$3,$A498))</x:f>
        <x:v>#NAME?</x:v>
      </x:c>
      <x:c r="D498" t="e">
        <x:f>IF($A498="","",[1]!thsiFinD("ths_adjustment_nv_fund",D$3,$A498))</x:f>
        <x:v>#NAME?</x:v>
      </x:c>
      <x:c r="E498" t="e">
        <x:f>IF($A498="","",[1]!thsiFinD("ths_adjustment_nv_fund",E$3,$A498))</x:f>
        <x:v>#NAME?</x:v>
      </x:c>
      <x:c r="F498" t="e">
        <x:f>IF($A498="","",[1]!thsiFinD("ths_adjustment_nv_fund",F$3,$A498))</x:f>
        <x:v>#NAME?</x:v>
      </x:c>
      <x:c r="G498" t="e">
        <x:f>IF($A498="","",[1]!thsiFinD("ths_adjustment_nv_fund",G$3,$A498))</x:f>
        <x:v>#NAME?</x:v>
      </x:c>
      <x:c r="H498" t="e">
        <x:f>IF($A498="","",[1]!thsiFinD("ths_adjustment_nv_fund",H$3,$A498))</x:f>
        <x:v>#NAME?</x:v>
      </x:c>
      <x:c r="I498" t="e">
        <x:f>IF($A498="","",[1]!thsiFinD("ths_adjustment_nv_fund",I$3,$A498))</x:f>
        <x:v>#NAME?</x:v>
      </x:c>
      <x:c r="J498" t="e">
        <x:f>IF($A498="","",[1]!thsiFinD("ths_adjustment_nv_fund",J$3,$A498))</x:f>
        <x:v>#NAME?</x:v>
      </x:c>
      <x:c r="K498" t="e">
        <x:f>IF($A498="","",[1]!thsiFinD("ths_adjustment_nv_fund",K$3,$A498))</x:f>
        <x:v>#NAME?</x:v>
      </x:c>
      <x:c r="L498" t="e">
        <x:f>IF($A498="","",[1]!thsiFinD("ths_adjustment_nv_fund",L$3,$A498))</x:f>
        <x:v>#NAME?</x:v>
      </x:c>
      <x:c r="M498" t="e">
        <x:f>IF($A498="","",[1]!thsiFinD("ths_adjustment_nv_fund",M$3,$A498))</x:f>
        <x:v>#NAME?</x:v>
      </x:c>
      <x:c r="N498" t="e">
        <x:f>IF($A498="","",[1]!thsiFinD("ths_adjustment_nv_fund",N$3,$A498))</x:f>
        <x:v>#NAME?</x:v>
      </x:c>
      <x:c r="O498" t="e">
        <x:f>IF($A498="","",[1]!thsiFinD("ths_adjustment_nv_fund",O$3,$A498))</x:f>
        <x:v>#NAME?</x:v>
      </x:c>
      <x:c r="P498" t="e">
        <x:f>IF($A498="","",[1]!thsiFinD("ths_adjustment_nv_fund",P$3,$A498))</x:f>
        <x:v>#NAME?</x:v>
      </x:c>
      <x:c r="Q498" t="e">
        <x:f>IF($A498="","",[1]!thsiFinD("ths_adjustment_nv_fund",Q$3,$A498))</x:f>
        <x:v>#NAME?</x:v>
      </x:c>
      <x:c r="R498" t="e">
        <x:f>IF($A498="","",[1]!thsiFinD("ths_adjustment_nv_fund",R$3,$A498))</x:f>
        <x:v>#NAME?</x:v>
      </x:c>
      <x:c r="S498" t="e">
        <x:f>IF($A498="","",[1]!thsiFinD("ths_adjustment_nv_fund",S$3,$A498))</x:f>
        <x:v>#NAME?</x:v>
      </x:c>
      <x:c r="T498" t="e">
        <x:f>IF($A498="","",[1]!thsiFinD("ths_adjustment_nv_fund",T$3,$A498))</x:f>
        <x:v>#NAME?</x:v>
      </x:c>
      <x:c r="U498" t="e">
        <x:f>IF($A498="","",[1]!thsiFinD("ths_adjustment_nv_fund",U$3,$A498))</x:f>
        <x:v>#NAME?</x:v>
      </x:c>
      <x:c r="V498" t="e">
        <x:f>IF($A498="","",[1]!thsiFinD("ths_adjustment_nv_fund",V$3,$A498))</x:f>
        <x:v>#NAME?</x:v>
      </x:c>
      <x:c r="W498" t="e">
        <x:f>IF($A498="","",[1]!thsiFinD("ths_adjustment_nv_fund",W$3,$A498))</x:f>
        <x:v>#NAME?</x:v>
      </x:c>
      <x:c r="X498" t="e">
        <x:f>IF($A498="","",[1]!thsiFinD("ths_adjustment_nv_fund",X$3,$A498))</x:f>
        <x:v>#NAME?</x:v>
      </x:c>
      <x:c r="Y498" t="e">
        <x:f>IF($A498="","",[1]!thsiFinD("ths_adjustment_nv_fund",Y$3,$A498))</x:f>
        <x:v>#NAME?</x:v>
      </x:c>
    </x:row>
    <x:row r="499">
      <x:c r="B499" t="e">
        <x:f>IF($A499="","",[1]!thsiFinD("ths_adjustment_nv_fund",B$3,$A499))</x:f>
        <x:v>#NAME?</x:v>
      </x:c>
      <x:c r="C499" t="e">
        <x:f>IF($A499="","",[1]!thsiFinD("ths_adjustment_nv_fund",C$3,$A499))</x:f>
        <x:v>#NAME?</x:v>
      </x:c>
      <x:c r="D499" t="e">
        <x:f>IF($A499="","",[1]!thsiFinD("ths_adjustment_nv_fund",D$3,$A499))</x:f>
        <x:v>#NAME?</x:v>
      </x:c>
      <x:c r="E499" t="e">
        <x:f>IF($A499="","",[1]!thsiFinD("ths_adjustment_nv_fund",E$3,$A499))</x:f>
        <x:v>#NAME?</x:v>
      </x:c>
      <x:c r="F499" t="e">
        <x:f>IF($A499="","",[1]!thsiFinD("ths_adjustment_nv_fund",F$3,$A499))</x:f>
        <x:v>#NAME?</x:v>
      </x:c>
      <x:c r="G499" t="e">
        <x:f>IF($A499="","",[1]!thsiFinD("ths_adjustment_nv_fund",G$3,$A499))</x:f>
        <x:v>#NAME?</x:v>
      </x:c>
      <x:c r="H499" t="e">
        <x:f>IF($A499="","",[1]!thsiFinD("ths_adjustment_nv_fund",H$3,$A499))</x:f>
        <x:v>#NAME?</x:v>
      </x:c>
      <x:c r="I499" t="e">
        <x:f>IF($A499="","",[1]!thsiFinD("ths_adjustment_nv_fund",I$3,$A499))</x:f>
        <x:v>#NAME?</x:v>
      </x:c>
      <x:c r="J499" t="e">
        <x:f>IF($A499="","",[1]!thsiFinD("ths_adjustment_nv_fund",J$3,$A499))</x:f>
        <x:v>#NAME?</x:v>
      </x:c>
      <x:c r="K499" t="e">
        <x:f>IF($A499="","",[1]!thsiFinD("ths_adjustment_nv_fund",K$3,$A499))</x:f>
        <x:v>#NAME?</x:v>
      </x:c>
      <x:c r="L499" t="e">
        <x:f>IF($A499="","",[1]!thsiFinD("ths_adjustment_nv_fund",L$3,$A499))</x:f>
        <x:v>#NAME?</x:v>
      </x:c>
      <x:c r="M499" t="e">
        <x:f>IF($A499="","",[1]!thsiFinD("ths_adjustment_nv_fund",M$3,$A499))</x:f>
        <x:v>#NAME?</x:v>
      </x:c>
      <x:c r="N499" t="e">
        <x:f>IF($A499="","",[1]!thsiFinD("ths_adjustment_nv_fund",N$3,$A499))</x:f>
        <x:v>#NAME?</x:v>
      </x:c>
      <x:c r="O499" t="e">
        <x:f>IF($A499="","",[1]!thsiFinD("ths_adjustment_nv_fund",O$3,$A499))</x:f>
        <x:v>#NAME?</x:v>
      </x:c>
      <x:c r="P499" t="e">
        <x:f>IF($A499="","",[1]!thsiFinD("ths_adjustment_nv_fund",P$3,$A499))</x:f>
        <x:v>#NAME?</x:v>
      </x:c>
      <x:c r="Q499" t="e">
        <x:f>IF($A499="","",[1]!thsiFinD("ths_adjustment_nv_fund",Q$3,$A499))</x:f>
        <x:v>#NAME?</x:v>
      </x:c>
      <x:c r="R499" t="e">
        <x:f>IF($A499="","",[1]!thsiFinD("ths_adjustment_nv_fund",R$3,$A499))</x:f>
        <x:v>#NAME?</x:v>
      </x:c>
      <x:c r="S499" t="e">
        <x:f>IF($A499="","",[1]!thsiFinD("ths_adjustment_nv_fund",S$3,$A499))</x:f>
        <x:v>#NAME?</x:v>
      </x:c>
      <x:c r="T499" t="e">
        <x:f>IF($A499="","",[1]!thsiFinD("ths_adjustment_nv_fund",T$3,$A499))</x:f>
        <x:v>#NAME?</x:v>
      </x:c>
      <x:c r="U499" t="e">
        <x:f>IF($A499="","",[1]!thsiFinD("ths_adjustment_nv_fund",U$3,$A499))</x:f>
        <x:v>#NAME?</x:v>
      </x:c>
      <x:c r="V499" t="e">
        <x:f>IF($A499="","",[1]!thsiFinD("ths_adjustment_nv_fund",V$3,$A499))</x:f>
        <x:v>#NAME?</x:v>
      </x:c>
      <x:c r="W499" t="e">
        <x:f>IF($A499="","",[1]!thsiFinD("ths_adjustment_nv_fund",W$3,$A499))</x:f>
        <x:v>#NAME?</x:v>
      </x:c>
      <x:c r="X499" t="e">
        <x:f>IF($A499="","",[1]!thsiFinD("ths_adjustment_nv_fund",X$3,$A499))</x:f>
        <x:v>#NAME?</x:v>
      </x:c>
      <x:c r="Y499" t="e">
        <x:f>IF($A499="","",[1]!thsiFinD("ths_adjustment_nv_fund",Y$3,$A499))</x:f>
        <x:v>#NAME?</x:v>
      </x:c>
    </x:row>
    <x:row r="500">
      <x:c r="B500" t="e">
        <x:f>IF($A500="","",[1]!thsiFinD("ths_adjustment_nv_fund",B$3,$A500))</x:f>
        <x:v>#NAME?</x:v>
      </x:c>
      <x:c r="C500" t="e">
        <x:f>IF($A500="","",[1]!thsiFinD("ths_adjustment_nv_fund",C$3,$A500))</x:f>
        <x:v>#NAME?</x:v>
      </x:c>
      <x:c r="D500" t="e">
        <x:f>IF($A500="","",[1]!thsiFinD("ths_adjustment_nv_fund",D$3,$A500))</x:f>
        <x:v>#NAME?</x:v>
      </x:c>
      <x:c r="E500" t="e">
        <x:f>IF($A500="","",[1]!thsiFinD("ths_adjustment_nv_fund",E$3,$A500))</x:f>
        <x:v>#NAME?</x:v>
      </x:c>
      <x:c r="F500" t="e">
        <x:f>IF($A500="","",[1]!thsiFinD("ths_adjustment_nv_fund",F$3,$A500))</x:f>
        <x:v>#NAME?</x:v>
      </x:c>
      <x:c r="G500" t="e">
        <x:f>IF($A500="","",[1]!thsiFinD("ths_adjustment_nv_fund",G$3,$A500))</x:f>
        <x:v>#NAME?</x:v>
      </x:c>
      <x:c r="H500" t="e">
        <x:f>IF($A500="","",[1]!thsiFinD("ths_adjustment_nv_fund",H$3,$A500))</x:f>
        <x:v>#NAME?</x:v>
      </x:c>
      <x:c r="I500" t="e">
        <x:f>IF($A500="","",[1]!thsiFinD("ths_adjustment_nv_fund",I$3,$A500))</x:f>
        <x:v>#NAME?</x:v>
      </x:c>
      <x:c r="J500" t="e">
        <x:f>IF($A500="","",[1]!thsiFinD("ths_adjustment_nv_fund",J$3,$A500))</x:f>
        <x:v>#NAME?</x:v>
      </x:c>
      <x:c r="K500" t="e">
        <x:f>IF($A500="","",[1]!thsiFinD("ths_adjustment_nv_fund",K$3,$A500))</x:f>
        <x:v>#NAME?</x:v>
      </x:c>
      <x:c r="L500" t="e">
        <x:f>IF($A500="","",[1]!thsiFinD("ths_adjustment_nv_fund",L$3,$A500))</x:f>
        <x:v>#NAME?</x:v>
      </x:c>
      <x:c r="M500" t="e">
        <x:f>IF($A500="","",[1]!thsiFinD("ths_adjustment_nv_fund",M$3,$A500))</x:f>
        <x:v>#NAME?</x:v>
      </x:c>
      <x:c r="N500" t="e">
        <x:f>IF($A500="","",[1]!thsiFinD("ths_adjustment_nv_fund",N$3,$A500))</x:f>
        <x:v>#NAME?</x:v>
      </x:c>
      <x:c r="O500" t="e">
        <x:f>IF($A500="","",[1]!thsiFinD("ths_adjustment_nv_fund",O$3,$A500))</x:f>
        <x:v>#NAME?</x:v>
      </x:c>
      <x:c r="P500" t="e">
        <x:f>IF($A500="","",[1]!thsiFinD("ths_adjustment_nv_fund",P$3,$A500))</x:f>
        <x:v>#NAME?</x:v>
      </x:c>
      <x:c r="Q500" t="e">
        <x:f>IF($A500="","",[1]!thsiFinD("ths_adjustment_nv_fund",Q$3,$A500))</x:f>
        <x:v>#NAME?</x:v>
      </x:c>
      <x:c r="R500" t="e">
        <x:f>IF($A500="","",[1]!thsiFinD("ths_adjustment_nv_fund",R$3,$A500))</x:f>
        <x:v>#NAME?</x:v>
      </x:c>
      <x:c r="S500" t="e">
        <x:f>IF($A500="","",[1]!thsiFinD("ths_adjustment_nv_fund",S$3,$A500))</x:f>
        <x:v>#NAME?</x:v>
      </x:c>
      <x:c r="T500" t="e">
        <x:f>IF($A500="","",[1]!thsiFinD("ths_adjustment_nv_fund",T$3,$A500))</x:f>
        <x:v>#NAME?</x:v>
      </x:c>
      <x:c r="U500" t="e">
        <x:f>IF($A500="","",[1]!thsiFinD("ths_adjustment_nv_fund",U$3,$A500))</x:f>
        <x:v>#NAME?</x:v>
      </x:c>
      <x:c r="V500" t="e">
        <x:f>IF($A500="","",[1]!thsiFinD("ths_adjustment_nv_fund",V$3,$A500))</x:f>
        <x:v>#NAME?</x:v>
      </x:c>
      <x:c r="W500" t="e">
        <x:f>IF($A500="","",[1]!thsiFinD("ths_adjustment_nv_fund",W$3,$A500))</x:f>
        <x:v>#NAME?</x:v>
      </x:c>
      <x:c r="X500" t="e">
        <x:f>IF($A500="","",[1]!thsiFinD("ths_adjustment_nv_fund",X$3,$A500))</x:f>
        <x:v>#NAME?</x:v>
      </x:c>
      <x:c r="Y500" t="e">
        <x:f>IF($A500="","",[1]!thsiFinD("ths_adjustment_nv_fund",Y$3,$A500))</x:f>
        <x:v>#NAME?</x:v>
      </x:c>
    </x:row>
    <x:row r="501">
      <x:c r="B501" t="e">
        <x:f>IF($A501="","",[1]!thsiFinD("ths_adjustment_nv_fund",B$3,$A501))</x:f>
        <x:v>#NAME?</x:v>
      </x:c>
      <x:c r="C501" t="e">
        <x:f>IF($A501="","",[1]!thsiFinD("ths_adjustment_nv_fund",C$3,$A501))</x:f>
        <x:v>#NAME?</x:v>
      </x:c>
      <x:c r="D501" t="e">
        <x:f>IF($A501="","",[1]!thsiFinD("ths_adjustment_nv_fund",D$3,$A501))</x:f>
        <x:v>#NAME?</x:v>
      </x:c>
      <x:c r="E501" t="e">
        <x:f>IF($A501="","",[1]!thsiFinD("ths_adjustment_nv_fund",E$3,$A501))</x:f>
        <x:v>#NAME?</x:v>
      </x:c>
      <x:c r="F501" t="e">
        <x:f>IF($A501="","",[1]!thsiFinD("ths_adjustment_nv_fund",F$3,$A501))</x:f>
        <x:v>#NAME?</x:v>
      </x:c>
      <x:c r="G501" t="e">
        <x:f>IF($A501="","",[1]!thsiFinD("ths_adjustment_nv_fund",G$3,$A501))</x:f>
        <x:v>#NAME?</x:v>
      </x:c>
      <x:c r="H501" t="e">
        <x:f>IF($A501="","",[1]!thsiFinD("ths_adjustment_nv_fund",H$3,$A501))</x:f>
        <x:v>#NAME?</x:v>
      </x:c>
      <x:c r="I501" t="e">
        <x:f>IF($A501="","",[1]!thsiFinD("ths_adjustment_nv_fund",I$3,$A501))</x:f>
        <x:v>#NAME?</x:v>
      </x:c>
      <x:c r="J501" t="e">
        <x:f>IF($A501="","",[1]!thsiFinD("ths_adjustment_nv_fund",J$3,$A501))</x:f>
        <x:v>#NAME?</x:v>
      </x:c>
      <x:c r="K501" t="e">
        <x:f>IF($A501="","",[1]!thsiFinD("ths_adjustment_nv_fund",K$3,$A501))</x:f>
        <x:v>#NAME?</x:v>
      </x:c>
      <x:c r="L501" t="e">
        <x:f>IF($A501="","",[1]!thsiFinD("ths_adjustment_nv_fund",L$3,$A501))</x:f>
        <x:v>#NAME?</x:v>
      </x:c>
      <x:c r="M501" t="e">
        <x:f>IF($A501="","",[1]!thsiFinD("ths_adjustment_nv_fund",M$3,$A501))</x:f>
        <x:v>#NAME?</x:v>
      </x:c>
      <x:c r="N501" t="e">
        <x:f>IF($A501="","",[1]!thsiFinD("ths_adjustment_nv_fund",N$3,$A501))</x:f>
        <x:v>#NAME?</x:v>
      </x:c>
      <x:c r="O501" t="e">
        <x:f>IF($A501="","",[1]!thsiFinD("ths_adjustment_nv_fund",O$3,$A501))</x:f>
        <x:v>#NAME?</x:v>
      </x:c>
      <x:c r="P501" t="e">
        <x:f>IF($A501="","",[1]!thsiFinD("ths_adjustment_nv_fund",P$3,$A501))</x:f>
        <x:v>#NAME?</x:v>
      </x:c>
      <x:c r="Q501" t="e">
        <x:f>IF($A501="","",[1]!thsiFinD("ths_adjustment_nv_fund",Q$3,$A501))</x:f>
        <x:v>#NAME?</x:v>
      </x:c>
      <x:c r="R501" t="e">
        <x:f>IF($A501="","",[1]!thsiFinD("ths_adjustment_nv_fund",R$3,$A501))</x:f>
        <x:v>#NAME?</x:v>
      </x:c>
      <x:c r="S501" t="e">
        <x:f>IF($A501="","",[1]!thsiFinD("ths_adjustment_nv_fund",S$3,$A501))</x:f>
        <x:v>#NAME?</x:v>
      </x:c>
      <x:c r="T501" t="e">
        <x:f>IF($A501="","",[1]!thsiFinD("ths_adjustment_nv_fund",T$3,$A501))</x:f>
        <x:v>#NAME?</x:v>
      </x:c>
      <x:c r="U501" t="e">
        <x:f>IF($A501="","",[1]!thsiFinD("ths_adjustment_nv_fund",U$3,$A501))</x:f>
        <x:v>#NAME?</x:v>
      </x:c>
      <x:c r="V501" t="e">
        <x:f>IF($A501="","",[1]!thsiFinD("ths_adjustment_nv_fund",V$3,$A501))</x:f>
        <x:v>#NAME?</x:v>
      </x:c>
      <x:c r="W501" t="e">
        <x:f>IF($A501="","",[1]!thsiFinD("ths_adjustment_nv_fund",W$3,$A501))</x:f>
        <x:v>#NAME?</x:v>
      </x:c>
      <x:c r="X501" t="e">
        <x:f>IF($A501="","",[1]!thsiFinD("ths_adjustment_nv_fund",X$3,$A501))</x:f>
        <x:v>#NAME?</x:v>
      </x:c>
      <x:c r="Y501" t="e">
        <x:f>IF($A501="","",[1]!thsiFinD("ths_adjustment_nv_fund",Y$3,$A501))</x:f>
        <x:v>#NAME?</x:v>
      </x:c>
    </x:row>
    <x:row r="502">
      <x:c r="B502" t="e">
        <x:f>IF($A502="","",[1]!thsiFinD("ths_adjustment_nv_fund",B$3,$A502))</x:f>
        <x:v>#NAME?</x:v>
      </x:c>
      <x:c r="C502" t="e">
        <x:f>IF($A502="","",[1]!thsiFinD("ths_adjustment_nv_fund",C$3,$A502))</x:f>
        <x:v>#NAME?</x:v>
      </x:c>
      <x:c r="D502" t="e">
        <x:f>IF($A502="","",[1]!thsiFinD("ths_adjustment_nv_fund",D$3,$A502))</x:f>
        <x:v>#NAME?</x:v>
      </x:c>
      <x:c r="E502" t="e">
        <x:f>IF($A502="","",[1]!thsiFinD("ths_adjustment_nv_fund",E$3,$A502))</x:f>
        <x:v>#NAME?</x:v>
      </x:c>
      <x:c r="F502" t="e">
        <x:f>IF($A502="","",[1]!thsiFinD("ths_adjustment_nv_fund",F$3,$A502))</x:f>
        <x:v>#NAME?</x:v>
      </x:c>
      <x:c r="G502" t="e">
        <x:f>IF($A502="","",[1]!thsiFinD("ths_adjustment_nv_fund",G$3,$A502))</x:f>
        <x:v>#NAME?</x:v>
      </x:c>
      <x:c r="H502" t="e">
        <x:f>IF($A502="","",[1]!thsiFinD("ths_adjustment_nv_fund",H$3,$A502))</x:f>
        <x:v>#NAME?</x:v>
      </x:c>
      <x:c r="I502" t="e">
        <x:f>IF($A502="","",[1]!thsiFinD("ths_adjustment_nv_fund",I$3,$A502))</x:f>
        <x:v>#NAME?</x:v>
      </x:c>
      <x:c r="J502" t="e">
        <x:f>IF($A502="","",[1]!thsiFinD("ths_adjustment_nv_fund",J$3,$A502))</x:f>
        <x:v>#NAME?</x:v>
      </x:c>
      <x:c r="K502" t="e">
        <x:f>IF($A502="","",[1]!thsiFinD("ths_adjustment_nv_fund",K$3,$A502))</x:f>
        <x:v>#NAME?</x:v>
      </x:c>
      <x:c r="L502" t="e">
        <x:f>IF($A502="","",[1]!thsiFinD("ths_adjustment_nv_fund",L$3,$A502))</x:f>
        <x:v>#NAME?</x:v>
      </x:c>
      <x:c r="M502" t="e">
        <x:f>IF($A502="","",[1]!thsiFinD("ths_adjustment_nv_fund",M$3,$A502))</x:f>
        <x:v>#NAME?</x:v>
      </x:c>
      <x:c r="N502" t="e">
        <x:f>IF($A502="","",[1]!thsiFinD("ths_adjustment_nv_fund",N$3,$A502))</x:f>
        <x:v>#NAME?</x:v>
      </x:c>
      <x:c r="O502" t="e">
        <x:f>IF($A502="","",[1]!thsiFinD("ths_adjustment_nv_fund",O$3,$A502))</x:f>
        <x:v>#NAME?</x:v>
      </x:c>
      <x:c r="P502" t="e">
        <x:f>IF($A502="","",[1]!thsiFinD("ths_adjustment_nv_fund",P$3,$A502))</x:f>
        <x:v>#NAME?</x:v>
      </x:c>
      <x:c r="Q502" t="e">
        <x:f>IF($A502="","",[1]!thsiFinD("ths_adjustment_nv_fund",Q$3,$A502))</x:f>
        <x:v>#NAME?</x:v>
      </x:c>
      <x:c r="R502" t="e">
        <x:f>IF($A502="","",[1]!thsiFinD("ths_adjustment_nv_fund",R$3,$A502))</x:f>
        <x:v>#NAME?</x:v>
      </x:c>
      <x:c r="S502" t="e">
        <x:f>IF($A502="","",[1]!thsiFinD("ths_adjustment_nv_fund",S$3,$A502))</x:f>
        <x:v>#NAME?</x:v>
      </x:c>
      <x:c r="T502" t="e">
        <x:f>IF($A502="","",[1]!thsiFinD("ths_adjustment_nv_fund",T$3,$A502))</x:f>
        <x:v>#NAME?</x:v>
      </x:c>
      <x:c r="U502" t="e">
        <x:f>IF($A502="","",[1]!thsiFinD("ths_adjustment_nv_fund",U$3,$A502))</x:f>
        <x:v>#NAME?</x:v>
      </x:c>
      <x:c r="V502" t="e">
        <x:f>IF($A502="","",[1]!thsiFinD("ths_adjustment_nv_fund",V$3,$A502))</x:f>
        <x:v>#NAME?</x:v>
      </x:c>
      <x:c r="W502" t="e">
        <x:f>IF($A502="","",[1]!thsiFinD("ths_adjustment_nv_fund",W$3,$A502))</x:f>
        <x:v>#NAME?</x:v>
      </x:c>
      <x:c r="X502" t="e">
        <x:f>IF($A502="","",[1]!thsiFinD("ths_adjustment_nv_fund",X$3,$A502))</x:f>
        <x:v>#NAME?</x:v>
      </x:c>
      <x:c r="Y502" t="e">
        <x:f>IF($A502="","",[1]!thsiFinD("ths_adjustment_nv_fund",Y$3,$A502))</x:f>
        <x:v>#NAME?</x:v>
      </x:c>
    </x:row>
    <x:row r="503">
      <x:c r="B503" t="e">
        <x:f>IF($A503="","",[1]!thsiFinD("ths_adjustment_nv_fund",B$3,$A503))</x:f>
        <x:v>#NAME?</x:v>
      </x:c>
      <x:c r="C503" t="e">
        <x:f>IF($A503="","",[1]!thsiFinD("ths_adjustment_nv_fund",C$3,$A503))</x:f>
        <x:v>#NAME?</x:v>
      </x:c>
      <x:c r="D503" t="e">
        <x:f>IF($A503="","",[1]!thsiFinD("ths_adjustment_nv_fund",D$3,$A503))</x:f>
        <x:v>#NAME?</x:v>
      </x:c>
      <x:c r="E503" t="e">
        <x:f>IF($A503="","",[1]!thsiFinD("ths_adjustment_nv_fund",E$3,$A503))</x:f>
        <x:v>#NAME?</x:v>
      </x:c>
      <x:c r="F503" t="e">
        <x:f>IF($A503="","",[1]!thsiFinD("ths_adjustment_nv_fund",F$3,$A503))</x:f>
        <x:v>#NAME?</x:v>
      </x:c>
      <x:c r="G503" t="e">
        <x:f>IF($A503="","",[1]!thsiFinD("ths_adjustment_nv_fund",G$3,$A503))</x:f>
        <x:v>#NAME?</x:v>
      </x:c>
      <x:c r="H503" t="e">
        <x:f>IF($A503="","",[1]!thsiFinD("ths_adjustment_nv_fund",H$3,$A503))</x:f>
        <x:v>#NAME?</x:v>
      </x:c>
      <x:c r="I503" t="e">
        <x:f>IF($A503="","",[1]!thsiFinD("ths_adjustment_nv_fund",I$3,$A503))</x:f>
        <x:v>#NAME?</x:v>
      </x:c>
      <x:c r="J503" t="e">
        <x:f>IF($A503="","",[1]!thsiFinD("ths_adjustment_nv_fund",J$3,$A503))</x:f>
        <x:v>#NAME?</x:v>
      </x:c>
      <x:c r="K503" t="e">
        <x:f>IF($A503="","",[1]!thsiFinD("ths_adjustment_nv_fund",K$3,$A503))</x:f>
        <x:v>#NAME?</x:v>
      </x:c>
      <x:c r="L503" t="e">
        <x:f>IF($A503="","",[1]!thsiFinD("ths_adjustment_nv_fund",L$3,$A503))</x:f>
        <x:v>#NAME?</x:v>
      </x:c>
      <x:c r="M503" t="e">
        <x:f>IF($A503="","",[1]!thsiFinD("ths_adjustment_nv_fund",M$3,$A503))</x:f>
        <x:v>#NAME?</x:v>
      </x:c>
      <x:c r="N503" t="e">
        <x:f>IF($A503="","",[1]!thsiFinD("ths_adjustment_nv_fund",N$3,$A503))</x:f>
        <x:v>#NAME?</x:v>
      </x:c>
      <x:c r="O503" t="e">
        <x:f>IF($A503="","",[1]!thsiFinD("ths_adjustment_nv_fund",O$3,$A503))</x:f>
        <x:v>#NAME?</x:v>
      </x:c>
      <x:c r="P503" t="e">
        <x:f>IF($A503="","",[1]!thsiFinD("ths_adjustment_nv_fund",P$3,$A503))</x:f>
        <x:v>#NAME?</x:v>
      </x:c>
      <x:c r="Q503" t="e">
        <x:f>IF($A503="","",[1]!thsiFinD("ths_adjustment_nv_fund",Q$3,$A503))</x:f>
        <x:v>#NAME?</x:v>
      </x:c>
      <x:c r="R503" t="e">
        <x:f>IF($A503="","",[1]!thsiFinD("ths_adjustment_nv_fund",R$3,$A503))</x:f>
        <x:v>#NAME?</x:v>
      </x:c>
      <x:c r="S503" t="e">
        <x:f>IF($A503="","",[1]!thsiFinD("ths_adjustment_nv_fund",S$3,$A503))</x:f>
        <x:v>#NAME?</x:v>
      </x:c>
      <x:c r="T503" t="e">
        <x:f>IF($A503="","",[1]!thsiFinD("ths_adjustment_nv_fund",T$3,$A503))</x:f>
        <x:v>#NAME?</x:v>
      </x:c>
      <x:c r="U503" t="e">
        <x:f>IF($A503="","",[1]!thsiFinD("ths_adjustment_nv_fund",U$3,$A503))</x:f>
        <x:v>#NAME?</x:v>
      </x:c>
      <x:c r="V503" t="e">
        <x:f>IF($A503="","",[1]!thsiFinD("ths_adjustment_nv_fund",V$3,$A503))</x:f>
        <x:v>#NAME?</x:v>
      </x:c>
      <x:c r="W503" t="e">
        <x:f>IF($A503="","",[1]!thsiFinD("ths_adjustment_nv_fund",W$3,$A503))</x:f>
        <x:v>#NAME?</x:v>
      </x:c>
      <x:c r="X503" t="e">
        <x:f>IF($A503="","",[1]!thsiFinD("ths_adjustment_nv_fund",X$3,$A503))</x:f>
        <x:v>#NAME?</x:v>
      </x:c>
      <x:c r="Y503" t="e">
        <x:f>IF($A503="","",[1]!thsiFinD("ths_adjustment_nv_fund",Y$3,$A503))</x:f>
        <x:v>#NAME?</x:v>
      </x:c>
    </x:row>
    <x:row r="504">
      <x:c r="B504" t="e">
        <x:f>IF($A504="","",[1]!thsiFinD("ths_adjustment_nv_fund",B$3,$A504))</x:f>
        <x:v>#NAME?</x:v>
      </x:c>
      <x:c r="C504" t="e">
        <x:f>IF($A504="","",[1]!thsiFinD("ths_adjustment_nv_fund",C$3,$A504))</x:f>
        <x:v>#NAME?</x:v>
      </x:c>
      <x:c r="D504" t="e">
        <x:f>IF($A504="","",[1]!thsiFinD("ths_adjustment_nv_fund",D$3,$A504))</x:f>
        <x:v>#NAME?</x:v>
      </x:c>
      <x:c r="E504" t="e">
        <x:f>IF($A504="","",[1]!thsiFinD("ths_adjustment_nv_fund",E$3,$A504))</x:f>
        <x:v>#NAME?</x:v>
      </x:c>
      <x:c r="F504" t="e">
        <x:f>IF($A504="","",[1]!thsiFinD("ths_adjustment_nv_fund",F$3,$A504))</x:f>
        <x:v>#NAME?</x:v>
      </x:c>
      <x:c r="G504" t="e">
        <x:f>IF($A504="","",[1]!thsiFinD("ths_adjustment_nv_fund",G$3,$A504))</x:f>
        <x:v>#NAME?</x:v>
      </x:c>
      <x:c r="H504" t="e">
        <x:f>IF($A504="","",[1]!thsiFinD("ths_adjustment_nv_fund",H$3,$A504))</x:f>
        <x:v>#NAME?</x:v>
      </x:c>
      <x:c r="I504" t="e">
        <x:f>IF($A504="","",[1]!thsiFinD("ths_adjustment_nv_fund",I$3,$A504))</x:f>
        <x:v>#NAME?</x:v>
      </x:c>
      <x:c r="J504" t="e">
        <x:f>IF($A504="","",[1]!thsiFinD("ths_adjustment_nv_fund",J$3,$A504))</x:f>
        <x:v>#NAME?</x:v>
      </x:c>
      <x:c r="K504" t="e">
        <x:f>IF($A504="","",[1]!thsiFinD("ths_adjustment_nv_fund",K$3,$A504))</x:f>
        <x:v>#NAME?</x:v>
      </x:c>
      <x:c r="L504" t="e">
        <x:f>IF($A504="","",[1]!thsiFinD("ths_adjustment_nv_fund",L$3,$A504))</x:f>
        <x:v>#NAME?</x:v>
      </x:c>
      <x:c r="M504" t="e">
        <x:f>IF($A504="","",[1]!thsiFinD("ths_adjustment_nv_fund",M$3,$A504))</x:f>
        <x:v>#NAME?</x:v>
      </x:c>
      <x:c r="N504" t="e">
        <x:f>IF($A504="","",[1]!thsiFinD("ths_adjustment_nv_fund",N$3,$A504))</x:f>
        <x:v>#NAME?</x:v>
      </x:c>
      <x:c r="O504" t="e">
        <x:f>IF($A504="","",[1]!thsiFinD("ths_adjustment_nv_fund",O$3,$A504))</x:f>
        <x:v>#NAME?</x:v>
      </x:c>
      <x:c r="P504" t="e">
        <x:f>IF($A504="","",[1]!thsiFinD("ths_adjustment_nv_fund",P$3,$A504))</x:f>
        <x:v>#NAME?</x:v>
      </x:c>
      <x:c r="Q504" t="e">
        <x:f>IF($A504="","",[1]!thsiFinD("ths_adjustment_nv_fund",Q$3,$A504))</x:f>
        <x:v>#NAME?</x:v>
      </x:c>
      <x:c r="R504" t="e">
        <x:f>IF($A504="","",[1]!thsiFinD("ths_adjustment_nv_fund",R$3,$A504))</x:f>
        <x:v>#NAME?</x:v>
      </x:c>
      <x:c r="S504" t="e">
        <x:f>IF($A504="","",[1]!thsiFinD("ths_adjustment_nv_fund",S$3,$A504))</x:f>
        <x:v>#NAME?</x:v>
      </x:c>
      <x:c r="T504" t="e">
        <x:f>IF($A504="","",[1]!thsiFinD("ths_adjustment_nv_fund",T$3,$A504))</x:f>
        <x:v>#NAME?</x:v>
      </x:c>
      <x:c r="U504" t="e">
        <x:f>IF($A504="","",[1]!thsiFinD("ths_adjustment_nv_fund",U$3,$A504))</x:f>
        <x:v>#NAME?</x:v>
      </x:c>
      <x:c r="V504" t="e">
        <x:f>IF($A504="","",[1]!thsiFinD("ths_adjustment_nv_fund",V$3,$A504))</x:f>
        <x:v>#NAME?</x:v>
      </x:c>
      <x:c r="W504" t="e">
        <x:f>IF($A504="","",[1]!thsiFinD("ths_adjustment_nv_fund",W$3,$A504))</x:f>
        <x:v>#NAME?</x:v>
      </x:c>
      <x:c r="X504" t="e">
        <x:f>IF($A504="","",[1]!thsiFinD("ths_adjustment_nv_fund",X$3,$A504))</x:f>
        <x:v>#NAME?</x:v>
      </x:c>
      <x:c r="Y504" t="e">
        <x:f>IF($A504="","",[1]!thsiFinD("ths_adjustment_nv_fund",Y$3,$A504))</x:f>
        <x:v>#NAME?</x:v>
      </x:c>
    </x:row>
    <x:row r="505">
      <x:c r="B505" t="e">
        <x:f>IF($A505="","",[1]!thsiFinD("ths_adjustment_nv_fund",B$3,$A505))</x:f>
        <x:v>#NAME?</x:v>
      </x:c>
      <x:c r="C505" t="e">
        <x:f>IF($A505="","",[1]!thsiFinD("ths_adjustment_nv_fund",C$3,$A505))</x:f>
        <x:v>#NAME?</x:v>
      </x:c>
      <x:c r="D505" t="e">
        <x:f>IF($A505="","",[1]!thsiFinD("ths_adjustment_nv_fund",D$3,$A505))</x:f>
        <x:v>#NAME?</x:v>
      </x:c>
      <x:c r="E505" t="e">
        <x:f>IF($A505="","",[1]!thsiFinD("ths_adjustment_nv_fund",E$3,$A505))</x:f>
        <x:v>#NAME?</x:v>
      </x:c>
      <x:c r="F505" t="e">
        <x:f>IF($A505="","",[1]!thsiFinD("ths_adjustment_nv_fund",F$3,$A505))</x:f>
        <x:v>#NAME?</x:v>
      </x:c>
      <x:c r="G505" t="e">
        <x:f>IF($A505="","",[1]!thsiFinD("ths_adjustment_nv_fund",G$3,$A505))</x:f>
        <x:v>#NAME?</x:v>
      </x:c>
      <x:c r="H505" t="e">
        <x:f>IF($A505="","",[1]!thsiFinD("ths_adjustment_nv_fund",H$3,$A505))</x:f>
        <x:v>#NAME?</x:v>
      </x:c>
      <x:c r="I505" t="e">
        <x:f>IF($A505="","",[1]!thsiFinD("ths_adjustment_nv_fund",I$3,$A505))</x:f>
        <x:v>#NAME?</x:v>
      </x:c>
      <x:c r="J505" t="e">
        <x:f>IF($A505="","",[1]!thsiFinD("ths_adjustment_nv_fund",J$3,$A505))</x:f>
        <x:v>#NAME?</x:v>
      </x:c>
      <x:c r="K505" t="e">
        <x:f>IF($A505="","",[1]!thsiFinD("ths_adjustment_nv_fund",K$3,$A505))</x:f>
        <x:v>#NAME?</x:v>
      </x:c>
      <x:c r="L505" t="e">
        <x:f>IF($A505="","",[1]!thsiFinD("ths_adjustment_nv_fund",L$3,$A505))</x:f>
        <x:v>#NAME?</x:v>
      </x:c>
      <x:c r="M505" t="e">
        <x:f>IF($A505="","",[1]!thsiFinD("ths_adjustment_nv_fund",M$3,$A505))</x:f>
        <x:v>#NAME?</x:v>
      </x:c>
      <x:c r="N505" t="e">
        <x:f>IF($A505="","",[1]!thsiFinD("ths_adjustment_nv_fund",N$3,$A505))</x:f>
        <x:v>#NAME?</x:v>
      </x:c>
      <x:c r="O505" t="e">
        <x:f>IF($A505="","",[1]!thsiFinD("ths_adjustment_nv_fund",O$3,$A505))</x:f>
        <x:v>#NAME?</x:v>
      </x:c>
      <x:c r="P505" t="e">
        <x:f>IF($A505="","",[1]!thsiFinD("ths_adjustment_nv_fund",P$3,$A505))</x:f>
        <x:v>#NAME?</x:v>
      </x:c>
      <x:c r="Q505" t="e">
        <x:f>IF($A505="","",[1]!thsiFinD("ths_adjustment_nv_fund",Q$3,$A505))</x:f>
        <x:v>#NAME?</x:v>
      </x:c>
      <x:c r="R505" t="e">
        <x:f>IF($A505="","",[1]!thsiFinD("ths_adjustment_nv_fund",R$3,$A505))</x:f>
        <x:v>#NAME?</x:v>
      </x:c>
      <x:c r="S505" t="e">
        <x:f>IF($A505="","",[1]!thsiFinD("ths_adjustment_nv_fund",S$3,$A505))</x:f>
        <x:v>#NAME?</x:v>
      </x:c>
      <x:c r="T505" t="e">
        <x:f>IF($A505="","",[1]!thsiFinD("ths_adjustment_nv_fund",T$3,$A505))</x:f>
        <x:v>#NAME?</x:v>
      </x:c>
      <x:c r="U505" t="e">
        <x:f>IF($A505="","",[1]!thsiFinD("ths_adjustment_nv_fund",U$3,$A505))</x:f>
        <x:v>#NAME?</x:v>
      </x:c>
      <x:c r="V505" t="e">
        <x:f>IF($A505="","",[1]!thsiFinD("ths_adjustment_nv_fund",V$3,$A505))</x:f>
        <x:v>#NAME?</x:v>
      </x:c>
      <x:c r="W505" t="e">
        <x:f>IF($A505="","",[1]!thsiFinD("ths_adjustment_nv_fund",W$3,$A505))</x:f>
        <x:v>#NAME?</x:v>
      </x:c>
      <x:c r="X505" t="e">
        <x:f>IF($A505="","",[1]!thsiFinD("ths_adjustment_nv_fund",X$3,$A505))</x:f>
        <x:v>#NAME?</x:v>
      </x:c>
      <x:c r="Y505" t="e">
        <x:f>IF($A505="","",[1]!thsiFinD("ths_adjustment_nv_fund",Y$3,$A505))</x:f>
        <x:v>#NAME?</x:v>
      </x:c>
    </x:row>
    <x:row r="506">
      <x:c r="B506" t="e">
        <x:f>IF($A506="","",[1]!thsiFinD("ths_adjustment_nv_fund",B$3,$A506))</x:f>
        <x:v>#NAME?</x:v>
      </x:c>
      <x:c r="C506" t="e">
        <x:f>IF($A506="","",[1]!thsiFinD("ths_adjustment_nv_fund",C$3,$A506))</x:f>
        <x:v>#NAME?</x:v>
      </x:c>
      <x:c r="D506" t="e">
        <x:f>IF($A506="","",[1]!thsiFinD("ths_adjustment_nv_fund",D$3,$A506))</x:f>
        <x:v>#NAME?</x:v>
      </x:c>
      <x:c r="E506" t="e">
        <x:f>IF($A506="","",[1]!thsiFinD("ths_adjustment_nv_fund",E$3,$A506))</x:f>
        <x:v>#NAME?</x:v>
      </x:c>
      <x:c r="F506" t="e">
        <x:f>IF($A506="","",[1]!thsiFinD("ths_adjustment_nv_fund",F$3,$A506))</x:f>
        <x:v>#NAME?</x:v>
      </x:c>
      <x:c r="G506" t="e">
        <x:f>IF($A506="","",[1]!thsiFinD("ths_adjustment_nv_fund",G$3,$A506))</x:f>
        <x:v>#NAME?</x:v>
      </x:c>
      <x:c r="H506" t="e">
        <x:f>IF($A506="","",[1]!thsiFinD("ths_adjustment_nv_fund",H$3,$A506))</x:f>
        <x:v>#NAME?</x:v>
      </x:c>
      <x:c r="I506" t="e">
        <x:f>IF($A506="","",[1]!thsiFinD("ths_adjustment_nv_fund",I$3,$A506))</x:f>
        <x:v>#NAME?</x:v>
      </x:c>
      <x:c r="J506" t="e">
        <x:f>IF($A506="","",[1]!thsiFinD("ths_adjustment_nv_fund",J$3,$A506))</x:f>
        <x:v>#NAME?</x:v>
      </x:c>
      <x:c r="K506" t="e">
        <x:f>IF($A506="","",[1]!thsiFinD("ths_adjustment_nv_fund",K$3,$A506))</x:f>
        <x:v>#NAME?</x:v>
      </x:c>
      <x:c r="L506" t="e">
        <x:f>IF($A506="","",[1]!thsiFinD("ths_adjustment_nv_fund",L$3,$A506))</x:f>
        <x:v>#NAME?</x:v>
      </x:c>
      <x:c r="M506" t="e">
        <x:f>IF($A506="","",[1]!thsiFinD("ths_adjustment_nv_fund",M$3,$A506))</x:f>
        <x:v>#NAME?</x:v>
      </x:c>
      <x:c r="N506" t="e">
        <x:f>IF($A506="","",[1]!thsiFinD("ths_adjustment_nv_fund",N$3,$A506))</x:f>
        <x:v>#NAME?</x:v>
      </x:c>
      <x:c r="O506" t="e">
        <x:f>IF($A506="","",[1]!thsiFinD("ths_adjustment_nv_fund",O$3,$A506))</x:f>
        <x:v>#NAME?</x:v>
      </x:c>
      <x:c r="P506" t="e">
        <x:f>IF($A506="","",[1]!thsiFinD("ths_adjustment_nv_fund",P$3,$A506))</x:f>
        <x:v>#NAME?</x:v>
      </x:c>
      <x:c r="Q506" t="e">
        <x:f>IF($A506="","",[1]!thsiFinD("ths_adjustment_nv_fund",Q$3,$A506))</x:f>
        <x:v>#NAME?</x:v>
      </x:c>
      <x:c r="R506" t="e">
        <x:f>IF($A506="","",[1]!thsiFinD("ths_adjustment_nv_fund",R$3,$A506))</x:f>
        <x:v>#NAME?</x:v>
      </x:c>
      <x:c r="S506" t="e">
        <x:f>IF($A506="","",[1]!thsiFinD("ths_adjustment_nv_fund",S$3,$A506))</x:f>
        <x:v>#NAME?</x:v>
      </x:c>
      <x:c r="T506" t="e">
        <x:f>IF($A506="","",[1]!thsiFinD("ths_adjustment_nv_fund",T$3,$A506))</x:f>
        <x:v>#NAME?</x:v>
      </x:c>
      <x:c r="U506" t="e">
        <x:f>IF($A506="","",[1]!thsiFinD("ths_adjustment_nv_fund",U$3,$A506))</x:f>
        <x:v>#NAME?</x:v>
      </x:c>
      <x:c r="V506" t="e">
        <x:f>IF($A506="","",[1]!thsiFinD("ths_adjustment_nv_fund",V$3,$A506))</x:f>
        <x:v>#NAME?</x:v>
      </x:c>
      <x:c r="W506" t="e">
        <x:f>IF($A506="","",[1]!thsiFinD("ths_adjustment_nv_fund",W$3,$A506))</x:f>
        <x:v>#NAME?</x:v>
      </x:c>
      <x:c r="X506" t="e">
        <x:f>IF($A506="","",[1]!thsiFinD("ths_adjustment_nv_fund",X$3,$A506))</x:f>
        <x:v>#NAME?</x:v>
      </x:c>
      <x:c r="Y506" t="e">
        <x:f>IF($A506="","",[1]!thsiFinD("ths_adjustment_nv_fund",Y$3,$A506))</x:f>
        <x:v>#NAME?</x:v>
      </x:c>
    </x:row>
    <x:row r="507">
      <x:c r="B507" t="e">
        <x:f>IF($A507="","",[1]!thsiFinD("ths_adjustment_nv_fund",B$3,$A507))</x:f>
        <x:v>#NAME?</x:v>
      </x:c>
      <x:c r="C507" t="e">
        <x:f>IF($A507="","",[1]!thsiFinD("ths_adjustment_nv_fund",C$3,$A507))</x:f>
        <x:v>#NAME?</x:v>
      </x:c>
      <x:c r="D507" t="e">
        <x:f>IF($A507="","",[1]!thsiFinD("ths_adjustment_nv_fund",D$3,$A507))</x:f>
        <x:v>#NAME?</x:v>
      </x:c>
      <x:c r="E507" t="e">
        <x:f>IF($A507="","",[1]!thsiFinD("ths_adjustment_nv_fund",E$3,$A507))</x:f>
        <x:v>#NAME?</x:v>
      </x:c>
      <x:c r="F507" t="e">
        <x:f>IF($A507="","",[1]!thsiFinD("ths_adjustment_nv_fund",F$3,$A507))</x:f>
        <x:v>#NAME?</x:v>
      </x:c>
      <x:c r="G507" t="e">
        <x:f>IF($A507="","",[1]!thsiFinD("ths_adjustment_nv_fund",G$3,$A507))</x:f>
        <x:v>#NAME?</x:v>
      </x:c>
      <x:c r="H507" t="e">
        <x:f>IF($A507="","",[1]!thsiFinD("ths_adjustment_nv_fund",H$3,$A507))</x:f>
        <x:v>#NAME?</x:v>
      </x:c>
      <x:c r="I507" t="e">
        <x:f>IF($A507="","",[1]!thsiFinD("ths_adjustment_nv_fund",I$3,$A507))</x:f>
        <x:v>#NAME?</x:v>
      </x:c>
      <x:c r="J507" t="e">
        <x:f>IF($A507="","",[1]!thsiFinD("ths_adjustment_nv_fund",J$3,$A507))</x:f>
        <x:v>#NAME?</x:v>
      </x:c>
      <x:c r="K507" t="e">
        <x:f>IF($A507="","",[1]!thsiFinD("ths_adjustment_nv_fund",K$3,$A507))</x:f>
        <x:v>#NAME?</x:v>
      </x:c>
      <x:c r="L507" t="e">
        <x:f>IF($A507="","",[1]!thsiFinD("ths_adjustment_nv_fund",L$3,$A507))</x:f>
        <x:v>#NAME?</x:v>
      </x:c>
      <x:c r="M507" t="e">
        <x:f>IF($A507="","",[1]!thsiFinD("ths_adjustment_nv_fund",M$3,$A507))</x:f>
        <x:v>#NAME?</x:v>
      </x:c>
      <x:c r="N507" t="e">
        <x:f>IF($A507="","",[1]!thsiFinD("ths_adjustment_nv_fund",N$3,$A507))</x:f>
        <x:v>#NAME?</x:v>
      </x:c>
      <x:c r="O507" t="e">
        <x:f>IF($A507="","",[1]!thsiFinD("ths_adjustment_nv_fund",O$3,$A507))</x:f>
        <x:v>#NAME?</x:v>
      </x:c>
      <x:c r="P507" t="e">
        <x:f>IF($A507="","",[1]!thsiFinD("ths_adjustment_nv_fund",P$3,$A507))</x:f>
        <x:v>#NAME?</x:v>
      </x:c>
      <x:c r="Q507" t="e">
        <x:f>IF($A507="","",[1]!thsiFinD("ths_adjustment_nv_fund",Q$3,$A507))</x:f>
        <x:v>#NAME?</x:v>
      </x:c>
      <x:c r="R507" t="e">
        <x:f>IF($A507="","",[1]!thsiFinD("ths_adjustment_nv_fund",R$3,$A507))</x:f>
        <x:v>#NAME?</x:v>
      </x:c>
      <x:c r="S507" t="e">
        <x:f>IF($A507="","",[1]!thsiFinD("ths_adjustment_nv_fund",S$3,$A507))</x:f>
        <x:v>#NAME?</x:v>
      </x:c>
      <x:c r="T507" t="e">
        <x:f>IF($A507="","",[1]!thsiFinD("ths_adjustment_nv_fund",T$3,$A507))</x:f>
        <x:v>#NAME?</x:v>
      </x:c>
      <x:c r="U507" t="e">
        <x:f>IF($A507="","",[1]!thsiFinD("ths_adjustment_nv_fund",U$3,$A507))</x:f>
        <x:v>#NAME?</x:v>
      </x:c>
      <x:c r="V507" t="e">
        <x:f>IF($A507="","",[1]!thsiFinD("ths_adjustment_nv_fund",V$3,$A507))</x:f>
        <x:v>#NAME?</x:v>
      </x:c>
      <x:c r="W507" t="e">
        <x:f>IF($A507="","",[1]!thsiFinD("ths_adjustment_nv_fund",W$3,$A507))</x:f>
        <x:v>#NAME?</x:v>
      </x:c>
      <x:c r="X507" t="e">
        <x:f>IF($A507="","",[1]!thsiFinD("ths_adjustment_nv_fund",X$3,$A507))</x:f>
        <x:v>#NAME?</x:v>
      </x:c>
      <x:c r="Y507" t="e">
        <x:f>IF($A507="","",[1]!thsiFinD("ths_adjustment_nv_fund",Y$3,$A507))</x:f>
        <x:v>#NAME?</x:v>
      </x:c>
    </x:row>
    <x:row r="508">
      <x:c r="B508" t="e">
        <x:f>IF($A508="","",[1]!thsiFinD("ths_adjustment_nv_fund",B$3,$A508))</x:f>
        <x:v>#NAME?</x:v>
      </x:c>
      <x:c r="C508" t="e">
        <x:f>IF($A508="","",[1]!thsiFinD("ths_adjustment_nv_fund",C$3,$A508))</x:f>
        <x:v>#NAME?</x:v>
      </x:c>
      <x:c r="D508" t="e">
        <x:f>IF($A508="","",[1]!thsiFinD("ths_adjustment_nv_fund",D$3,$A508))</x:f>
        <x:v>#NAME?</x:v>
      </x:c>
      <x:c r="E508" t="e">
        <x:f>IF($A508="","",[1]!thsiFinD("ths_adjustment_nv_fund",E$3,$A508))</x:f>
        <x:v>#NAME?</x:v>
      </x:c>
      <x:c r="F508" t="e">
        <x:f>IF($A508="","",[1]!thsiFinD("ths_adjustment_nv_fund",F$3,$A508))</x:f>
        <x:v>#NAME?</x:v>
      </x:c>
      <x:c r="G508" t="e">
        <x:f>IF($A508="","",[1]!thsiFinD("ths_adjustment_nv_fund",G$3,$A508))</x:f>
        <x:v>#NAME?</x:v>
      </x:c>
      <x:c r="H508" t="e">
        <x:f>IF($A508="","",[1]!thsiFinD("ths_adjustment_nv_fund",H$3,$A508))</x:f>
        <x:v>#NAME?</x:v>
      </x:c>
      <x:c r="I508" t="e">
        <x:f>IF($A508="","",[1]!thsiFinD("ths_adjustment_nv_fund",I$3,$A508))</x:f>
        <x:v>#NAME?</x:v>
      </x:c>
      <x:c r="J508" t="e">
        <x:f>IF($A508="","",[1]!thsiFinD("ths_adjustment_nv_fund",J$3,$A508))</x:f>
        <x:v>#NAME?</x:v>
      </x:c>
      <x:c r="K508" t="e">
        <x:f>IF($A508="","",[1]!thsiFinD("ths_adjustment_nv_fund",K$3,$A508))</x:f>
        <x:v>#NAME?</x:v>
      </x:c>
      <x:c r="L508" t="e">
        <x:f>IF($A508="","",[1]!thsiFinD("ths_adjustment_nv_fund",L$3,$A508))</x:f>
        <x:v>#NAME?</x:v>
      </x:c>
      <x:c r="M508" t="e">
        <x:f>IF($A508="","",[1]!thsiFinD("ths_adjustment_nv_fund",M$3,$A508))</x:f>
        <x:v>#NAME?</x:v>
      </x:c>
      <x:c r="N508" t="e">
        <x:f>IF($A508="","",[1]!thsiFinD("ths_adjustment_nv_fund",N$3,$A508))</x:f>
        <x:v>#NAME?</x:v>
      </x:c>
      <x:c r="O508" t="e">
        <x:f>IF($A508="","",[1]!thsiFinD("ths_adjustment_nv_fund",O$3,$A508))</x:f>
        <x:v>#NAME?</x:v>
      </x:c>
      <x:c r="P508" t="e">
        <x:f>IF($A508="","",[1]!thsiFinD("ths_adjustment_nv_fund",P$3,$A508))</x:f>
        <x:v>#NAME?</x:v>
      </x:c>
      <x:c r="Q508" t="e">
        <x:f>IF($A508="","",[1]!thsiFinD("ths_adjustment_nv_fund",Q$3,$A508))</x:f>
        <x:v>#NAME?</x:v>
      </x:c>
      <x:c r="R508" t="e">
        <x:f>IF($A508="","",[1]!thsiFinD("ths_adjustment_nv_fund",R$3,$A508))</x:f>
        <x:v>#NAME?</x:v>
      </x:c>
      <x:c r="S508" t="e">
        <x:f>IF($A508="","",[1]!thsiFinD("ths_adjustment_nv_fund",S$3,$A508))</x:f>
        <x:v>#NAME?</x:v>
      </x:c>
      <x:c r="T508" t="e">
        <x:f>IF($A508="","",[1]!thsiFinD("ths_adjustment_nv_fund",T$3,$A508))</x:f>
        <x:v>#NAME?</x:v>
      </x:c>
      <x:c r="U508" t="e">
        <x:f>IF($A508="","",[1]!thsiFinD("ths_adjustment_nv_fund",U$3,$A508))</x:f>
        <x:v>#NAME?</x:v>
      </x:c>
      <x:c r="V508" t="e">
        <x:f>IF($A508="","",[1]!thsiFinD("ths_adjustment_nv_fund",V$3,$A508))</x:f>
        <x:v>#NAME?</x:v>
      </x:c>
      <x:c r="W508" t="e">
        <x:f>IF($A508="","",[1]!thsiFinD("ths_adjustment_nv_fund",W$3,$A508))</x:f>
        <x:v>#NAME?</x:v>
      </x:c>
      <x:c r="X508" t="e">
        <x:f>IF($A508="","",[1]!thsiFinD("ths_adjustment_nv_fund",X$3,$A508))</x:f>
        <x:v>#NAME?</x:v>
      </x:c>
      <x:c r="Y508" t="e">
        <x:f>IF($A508="","",[1]!thsiFinD("ths_adjustment_nv_fund",Y$3,$A508))</x:f>
        <x:v>#NAME?</x:v>
      </x:c>
    </x:row>
    <x:row r="509">
      <x:c r="B509" t="e">
        <x:f>IF($A509="","",[1]!thsiFinD("ths_adjustment_nv_fund",B$3,$A509))</x:f>
        <x:v>#NAME?</x:v>
      </x:c>
      <x:c r="C509" t="e">
        <x:f>IF($A509="","",[1]!thsiFinD("ths_adjustment_nv_fund",C$3,$A509))</x:f>
        <x:v>#NAME?</x:v>
      </x:c>
      <x:c r="D509" t="e">
        <x:f>IF($A509="","",[1]!thsiFinD("ths_adjustment_nv_fund",D$3,$A509))</x:f>
        <x:v>#NAME?</x:v>
      </x:c>
      <x:c r="E509" t="e">
        <x:f>IF($A509="","",[1]!thsiFinD("ths_adjustment_nv_fund",E$3,$A509))</x:f>
        <x:v>#NAME?</x:v>
      </x:c>
      <x:c r="F509" t="e">
        <x:f>IF($A509="","",[1]!thsiFinD("ths_adjustment_nv_fund",F$3,$A509))</x:f>
        <x:v>#NAME?</x:v>
      </x:c>
      <x:c r="G509" t="e">
        <x:f>IF($A509="","",[1]!thsiFinD("ths_adjustment_nv_fund",G$3,$A509))</x:f>
        <x:v>#NAME?</x:v>
      </x:c>
      <x:c r="H509" t="e">
        <x:f>IF($A509="","",[1]!thsiFinD("ths_adjustment_nv_fund",H$3,$A509))</x:f>
        <x:v>#NAME?</x:v>
      </x:c>
      <x:c r="I509" t="e">
        <x:f>IF($A509="","",[1]!thsiFinD("ths_adjustment_nv_fund",I$3,$A509))</x:f>
        <x:v>#NAME?</x:v>
      </x:c>
      <x:c r="J509" t="e">
        <x:f>IF($A509="","",[1]!thsiFinD("ths_adjustment_nv_fund",J$3,$A509))</x:f>
        <x:v>#NAME?</x:v>
      </x:c>
      <x:c r="K509" t="e">
        <x:f>IF($A509="","",[1]!thsiFinD("ths_adjustment_nv_fund",K$3,$A509))</x:f>
        <x:v>#NAME?</x:v>
      </x:c>
      <x:c r="L509" t="e">
        <x:f>IF($A509="","",[1]!thsiFinD("ths_adjustment_nv_fund",L$3,$A509))</x:f>
        <x:v>#NAME?</x:v>
      </x:c>
      <x:c r="M509" t="e">
        <x:f>IF($A509="","",[1]!thsiFinD("ths_adjustment_nv_fund",M$3,$A509))</x:f>
        <x:v>#NAME?</x:v>
      </x:c>
      <x:c r="N509" t="e">
        <x:f>IF($A509="","",[1]!thsiFinD("ths_adjustment_nv_fund",N$3,$A509))</x:f>
        <x:v>#NAME?</x:v>
      </x:c>
      <x:c r="O509" t="e">
        <x:f>IF($A509="","",[1]!thsiFinD("ths_adjustment_nv_fund",O$3,$A509))</x:f>
        <x:v>#NAME?</x:v>
      </x:c>
      <x:c r="P509" t="e">
        <x:f>IF($A509="","",[1]!thsiFinD("ths_adjustment_nv_fund",P$3,$A509))</x:f>
        <x:v>#NAME?</x:v>
      </x:c>
      <x:c r="Q509" t="e">
        <x:f>IF($A509="","",[1]!thsiFinD("ths_adjustment_nv_fund",Q$3,$A509))</x:f>
        <x:v>#NAME?</x:v>
      </x:c>
      <x:c r="R509" t="e">
        <x:f>IF($A509="","",[1]!thsiFinD("ths_adjustment_nv_fund",R$3,$A509))</x:f>
        <x:v>#NAME?</x:v>
      </x:c>
      <x:c r="S509" t="e">
        <x:f>IF($A509="","",[1]!thsiFinD("ths_adjustment_nv_fund",S$3,$A509))</x:f>
        <x:v>#NAME?</x:v>
      </x:c>
      <x:c r="T509" t="e">
        <x:f>IF($A509="","",[1]!thsiFinD("ths_adjustment_nv_fund",T$3,$A509))</x:f>
        <x:v>#NAME?</x:v>
      </x:c>
      <x:c r="U509" t="e">
        <x:f>IF($A509="","",[1]!thsiFinD("ths_adjustment_nv_fund",U$3,$A509))</x:f>
        <x:v>#NAME?</x:v>
      </x:c>
      <x:c r="V509" t="e">
        <x:f>IF($A509="","",[1]!thsiFinD("ths_adjustment_nv_fund",V$3,$A509))</x:f>
        <x:v>#NAME?</x:v>
      </x:c>
      <x:c r="W509" t="e">
        <x:f>IF($A509="","",[1]!thsiFinD("ths_adjustment_nv_fund",W$3,$A509))</x:f>
        <x:v>#NAME?</x:v>
      </x:c>
      <x:c r="X509" t="e">
        <x:f>IF($A509="","",[1]!thsiFinD("ths_adjustment_nv_fund",X$3,$A509))</x:f>
        <x:v>#NAME?</x:v>
      </x:c>
      <x:c r="Y509" t="e">
        <x:f>IF($A509="","",[1]!thsiFinD("ths_adjustment_nv_fund",Y$3,$A509))</x:f>
        <x:v>#NAME?</x:v>
      </x:c>
    </x:row>
    <x:row r="510">
      <x:c r="B510" t="e">
        <x:f>IF($A510="","",[1]!thsiFinD("ths_adjustment_nv_fund",B$3,$A510))</x:f>
        <x:v>#NAME?</x:v>
      </x:c>
      <x:c r="C510" t="e">
        <x:f>IF($A510="","",[1]!thsiFinD("ths_adjustment_nv_fund",C$3,$A510))</x:f>
        <x:v>#NAME?</x:v>
      </x:c>
      <x:c r="D510" t="e">
        <x:f>IF($A510="","",[1]!thsiFinD("ths_adjustment_nv_fund",D$3,$A510))</x:f>
        <x:v>#NAME?</x:v>
      </x:c>
      <x:c r="E510" t="e">
        <x:f>IF($A510="","",[1]!thsiFinD("ths_adjustment_nv_fund",E$3,$A510))</x:f>
        <x:v>#NAME?</x:v>
      </x:c>
      <x:c r="F510" t="e">
        <x:f>IF($A510="","",[1]!thsiFinD("ths_adjustment_nv_fund",F$3,$A510))</x:f>
        <x:v>#NAME?</x:v>
      </x:c>
      <x:c r="G510" t="e">
        <x:f>IF($A510="","",[1]!thsiFinD("ths_adjustment_nv_fund",G$3,$A510))</x:f>
        <x:v>#NAME?</x:v>
      </x:c>
      <x:c r="H510" t="e">
        <x:f>IF($A510="","",[1]!thsiFinD("ths_adjustment_nv_fund",H$3,$A510))</x:f>
        <x:v>#NAME?</x:v>
      </x:c>
      <x:c r="I510" t="e">
        <x:f>IF($A510="","",[1]!thsiFinD("ths_adjustment_nv_fund",I$3,$A510))</x:f>
        <x:v>#NAME?</x:v>
      </x:c>
      <x:c r="J510" t="e">
        <x:f>IF($A510="","",[1]!thsiFinD("ths_adjustment_nv_fund",J$3,$A510))</x:f>
        <x:v>#NAME?</x:v>
      </x:c>
      <x:c r="K510" t="e">
        <x:f>IF($A510="","",[1]!thsiFinD("ths_adjustment_nv_fund",K$3,$A510))</x:f>
        <x:v>#NAME?</x:v>
      </x:c>
      <x:c r="L510" t="e">
        <x:f>IF($A510="","",[1]!thsiFinD("ths_adjustment_nv_fund",L$3,$A510))</x:f>
        <x:v>#NAME?</x:v>
      </x:c>
      <x:c r="M510" t="e">
        <x:f>IF($A510="","",[1]!thsiFinD("ths_adjustment_nv_fund",M$3,$A510))</x:f>
        <x:v>#NAME?</x:v>
      </x:c>
      <x:c r="N510" t="e">
        <x:f>IF($A510="","",[1]!thsiFinD("ths_adjustment_nv_fund",N$3,$A510))</x:f>
        <x:v>#NAME?</x:v>
      </x:c>
      <x:c r="O510" t="e">
        <x:f>IF($A510="","",[1]!thsiFinD("ths_adjustment_nv_fund",O$3,$A510))</x:f>
        <x:v>#NAME?</x:v>
      </x:c>
      <x:c r="P510" t="e">
        <x:f>IF($A510="","",[1]!thsiFinD("ths_adjustment_nv_fund",P$3,$A510))</x:f>
        <x:v>#NAME?</x:v>
      </x:c>
      <x:c r="Q510" t="e">
        <x:f>IF($A510="","",[1]!thsiFinD("ths_adjustment_nv_fund",Q$3,$A510))</x:f>
        <x:v>#NAME?</x:v>
      </x:c>
      <x:c r="R510" t="e">
        <x:f>IF($A510="","",[1]!thsiFinD("ths_adjustment_nv_fund",R$3,$A510))</x:f>
        <x:v>#NAME?</x:v>
      </x:c>
      <x:c r="S510" t="e">
        <x:f>IF($A510="","",[1]!thsiFinD("ths_adjustment_nv_fund",S$3,$A510))</x:f>
        <x:v>#NAME?</x:v>
      </x:c>
      <x:c r="T510" t="e">
        <x:f>IF($A510="","",[1]!thsiFinD("ths_adjustment_nv_fund",T$3,$A510))</x:f>
        <x:v>#NAME?</x:v>
      </x:c>
      <x:c r="U510" t="e">
        <x:f>IF($A510="","",[1]!thsiFinD("ths_adjustment_nv_fund",U$3,$A510))</x:f>
        <x:v>#NAME?</x:v>
      </x:c>
      <x:c r="V510" t="e">
        <x:f>IF($A510="","",[1]!thsiFinD("ths_adjustment_nv_fund",V$3,$A510))</x:f>
        <x:v>#NAME?</x:v>
      </x:c>
      <x:c r="W510" t="e">
        <x:f>IF($A510="","",[1]!thsiFinD("ths_adjustment_nv_fund",W$3,$A510))</x:f>
        <x:v>#NAME?</x:v>
      </x:c>
      <x:c r="X510" t="e">
        <x:f>IF($A510="","",[1]!thsiFinD("ths_adjustment_nv_fund",X$3,$A510))</x:f>
        <x:v>#NAME?</x:v>
      </x:c>
      <x:c r="Y510" t="e">
        <x:f>IF($A510="","",[1]!thsiFinD("ths_adjustment_nv_fund",Y$3,$A510))</x:f>
        <x:v>#NAME?</x:v>
      </x:c>
    </x:row>
    <x:row r="511">
      <x:c r="B511" t="e">
        <x:f>IF($A511="","",[1]!thsiFinD("ths_adjustment_nv_fund",B$3,$A511))</x:f>
        <x:v>#NAME?</x:v>
      </x:c>
      <x:c r="C511" t="e">
        <x:f>IF($A511="","",[1]!thsiFinD("ths_adjustment_nv_fund",C$3,$A511))</x:f>
        <x:v>#NAME?</x:v>
      </x:c>
      <x:c r="D511" t="e">
        <x:f>IF($A511="","",[1]!thsiFinD("ths_adjustment_nv_fund",D$3,$A511))</x:f>
        <x:v>#NAME?</x:v>
      </x:c>
      <x:c r="E511" t="e">
        <x:f>IF($A511="","",[1]!thsiFinD("ths_adjustment_nv_fund",E$3,$A511))</x:f>
        <x:v>#NAME?</x:v>
      </x:c>
      <x:c r="F511" t="e">
        <x:f>IF($A511="","",[1]!thsiFinD("ths_adjustment_nv_fund",F$3,$A511))</x:f>
        <x:v>#NAME?</x:v>
      </x:c>
      <x:c r="G511" t="e">
        <x:f>IF($A511="","",[1]!thsiFinD("ths_adjustment_nv_fund",G$3,$A511))</x:f>
        <x:v>#NAME?</x:v>
      </x:c>
      <x:c r="H511" t="e">
        <x:f>IF($A511="","",[1]!thsiFinD("ths_adjustment_nv_fund",H$3,$A511))</x:f>
        <x:v>#NAME?</x:v>
      </x:c>
      <x:c r="I511" t="e">
        <x:f>IF($A511="","",[1]!thsiFinD("ths_adjustment_nv_fund",I$3,$A511))</x:f>
        <x:v>#NAME?</x:v>
      </x:c>
      <x:c r="J511" t="e">
        <x:f>IF($A511="","",[1]!thsiFinD("ths_adjustment_nv_fund",J$3,$A511))</x:f>
        <x:v>#NAME?</x:v>
      </x:c>
      <x:c r="K511" t="e">
        <x:f>IF($A511="","",[1]!thsiFinD("ths_adjustment_nv_fund",K$3,$A511))</x:f>
        <x:v>#NAME?</x:v>
      </x:c>
      <x:c r="L511" t="e">
        <x:f>IF($A511="","",[1]!thsiFinD("ths_adjustment_nv_fund",L$3,$A511))</x:f>
        <x:v>#NAME?</x:v>
      </x:c>
      <x:c r="M511" t="e">
        <x:f>IF($A511="","",[1]!thsiFinD("ths_adjustment_nv_fund",M$3,$A511))</x:f>
        <x:v>#NAME?</x:v>
      </x:c>
      <x:c r="N511" t="e">
        <x:f>IF($A511="","",[1]!thsiFinD("ths_adjustment_nv_fund",N$3,$A511))</x:f>
        <x:v>#NAME?</x:v>
      </x:c>
      <x:c r="O511" t="e">
        <x:f>IF($A511="","",[1]!thsiFinD("ths_adjustment_nv_fund",O$3,$A511))</x:f>
        <x:v>#NAME?</x:v>
      </x:c>
      <x:c r="P511" t="e">
        <x:f>IF($A511="","",[1]!thsiFinD("ths_adjustment_nv_fund",P$3,$A511))</x:f>
        <x:v>#NAME?</x:v>
      </x:c>
      <x:c r="Q511" t="e">
        <x:f>IF($A511="","",[1]!thsiFinD("ths_adjustment_nv_fund",Q$3,$A511))</x:f>
        <x:v>#NAME?</x:v>
      </x:c>
      <x:c r="R511" t="e">
        <x:f>IF($A511="","",[1]!thsiFinD("ths_adjustment_nv_fund",R$3,$A511))</x:f>
        <x:v>#NAME?</x:v>
      </x:c>
      <x:c r="S511" t="e">
        <x:f>IF($A511="","",[1]!thsiFinD("ths_adjustment_nv_fund",S$3,$A511))</x:f>
        <x:v>#NAME?</x:v>
      </x:c>
      <x:c r="T511" t="e">
        <x:f>IF($A511="","",[1]!thsiFinD("ths_adjustment_nv_fund",T$3,$A511))</x:f>
        <x:v>#NAME?</x:v>
      </x:c>
      <x:c r="U511" t="e">
        <x:f>IF($A511="","",[1]!thsiFinD("ths_adjustment_nv_fund",U$3,$A511))</x:f>
        <x:v>#NAME?</x:v>
      </x:c>
      <x:c r="V511" t="e">
        <x:f>IF($A511="","",[1]!thsiFinD("ths_adjustment_nv_fund",V$3,$A511))</x:f>
        <x:v>#NAME?</x:v>
      </x:c>
      <x:c r="W511" t="e">
        <x:f>IF($A511="","",[1]!thsiFinD("ths_adjustment_nv_fund",W$3,$A511))</x:f>
        <x:v>#NAME?</x:v>
      </x:c>
      <x:c r="X511" t="e">
        <x:f>IF($A511="","",[1]!thsiFinD("ths_adjustment_nv_fund",X$3,$A511))</x:f>
        <x:v>#NAME?</x:v>
      </x:c>
      <x:c r="Y511" t="e">
        <x:f>IF($A511="","",[1]!thsiFinD("ths_adjustment_nv_fund",Y$3,$A511))</x:f>
        <x:v>#NAME?</x:v>
      </x:c>
    </x:row>
    <x:row r="512">
      <x:c r="B512" t="e">
        <x:f>IF($A512="","",[1]!thsiFinD("ths_adjustment_nv_fund",B$3,$A512))</x:f>
        <x:v>#NAME?</x:v>
      </x:c>
      <x:c r="C512" t="e">
        <x:f>IF($A512="","",[1]!thsiFinD("ths_adjustment_nv_fund",C$3,$A512))</x:f>
        <x:v>#NAME?</x:v>
      </x:c>
      <x:c r="D512" t="e">
        <x:f>IF($A512="","",[1]!thsiFinD("ths_adjustment_nv_fund",D$3,$A512))</x:f>
        <x:v>#NAME?</x:v>
      </x:c>
      <x:c r="E512" t="e">
        <x:f>IF($A512="","",[1]!thsiFinD("ths_adjustment_nv_fund",E$3,$A512))</x:f>
        <x:v>#NAME?</x:v>
      </x:c>
      <x:c r="F512" t="e">
        <x:f>IF($A512="","",[1]!thsiFinD("ths_adjustment_nv_fund",F$3,$A512))</x:f>
        <x:v>#NAME?</x:v>
      </x:c>
      <x:c r="G512" t="e">
        <x:f>IF($A512="","",[1]!thsiFinD("ths_adjustment_nv_fund",G$3,$A512))</x:f>
        <x:v>#NAME?</x:v>
      </x:c>
      <x:c r="H512" t="e">
        <x:f>IF($A512="","",[1]!thsiFinD("ths_adjustment_nv_fund",H$3,$A512))</x:f>
        <x:v>#NAME?</x:v>
      </x:c>
      <x:c r="I512" t="e">
        <x:f>IF($A512="","",[1]!thsiFinD("ths_adjustment_nv_fund",I$3,$A512))</x:f>
        <x:v>#NAME?</x:v>
      </x:c>
      <x:c r="J512" t="e">
        <x:f>IF($A512="","",[1]!thsiFinD("ths_adjustment_nv_fund",J$3,$A512))</x:f>
        <x:v>#NAME?</x:v>
      </x:c>
      <x:c r="K512" t="e">
        <x:f>IF($A512="","",[1]!thsiFinD("ths_adjustment_nv_fund",K$3,$A512))</x:f>
        <x:v>#NAME?</x:v>
      </x:c>
      <x:c r="L512" t="e">
        <x:f>IF($A512="","",[1]!thsiFinD("ths_adjustment_nv_fund",L$3,$A512))</x:f>
        <x:v>#NAME?</x:v>
      </x:c>
      <x:c r="M512" t="e">
        <x:f>IF($A512="","",[1]!thsiFinD("ths_adjustment_nv_fund",M$3,$A512))</x:f>
        <x:v>#NAME?</x:v>
      </x:c>
      <x:c r="N512" t="e">
        <x:f>IF($A512="","",[1]!thsiFinD("ths_adjustment_nv_fund",N$3,$A512))</x:f>
        <x:v>#NAME?</x:v>
      </x:c>
      <x:c r="O512" t="e">
        <x:f>IF($A512="","",[1]!thsiFinD("ths_adjustment_nv_fund",O$3,$A512))</x:f>
        <x:v>#NAME?</x:v>
      </x:c>
      <x:c r="P512" t="e">
        <x:f>IF($A512="","",[1]!thsiFinD("ths_adjustment_nv_fund",P$3,$A512))</x:f>
        <x:v>#NAME?</x:v>
      </x:c>
      <x:c r="Q512" t="e">
        <x:f>IF($A512="","",[1]!thsiFinD("ths_adjustment_nv_fund",Q$3,$A512))</x:f>
        <x:v>#NAME?</x:v>
      </x:c>
      <x:c r="R512" t="e">
        <x:f>IF($A512="","",[1]!thsiFinD("ths_adjustment_nv_fund",R$3,$A512))</x:f>
        <x:v>#NAME?</x:v>
      </x:c>
      <x:c r="S512" t="e">
        <x:f>IF($A512="","",[1]!thsiFinD("ths_adjustment_nv_fund",S$3,$A512))</x:f>
        <x:v>#NAME?</x:v>
      </x:c>
      <x:c r="T512" t="e">
        <x:f>IF($A512="","",[1]!thsiFinD("ths_adjustment_nv_fund",T$3,$A512))</x:f>
        <x:v>#NAME?</x:v>
      </x:c>
      <x:c r="U512" t="e">
        <x:f>IF($A512="","",[1]!thsiFinD("ths_adjustment_nv_fund",U$3,$A512))</x:f>
        <x:v>#NAME?</x:v>
      </x:c>
      <x:c r="V512" t="e">
        <x:f>IF($A512="","",[1]!thsiFinD("ths_adjustment_nv_fund",V$3,$A512))</x:f>
        <x:v>#NAME?</x:v>
      </x:c>
      <x:c r="W512" t="e">
        <x:f>IF($A512="","",[1]!thsiFinD("ths_adjustment_nv_fund",W$3,$A512))</x:f>
        <x:v>#NAME?</x:v>
      </x:c>
      <x:c r="X512" t="e">
        <x:f>IF($A512="","",[1]!thsiFinD("ths_adjustment_nv_fund",X$3,$A512))</x:f>
        <x:v>#NAME?</x:v>
      </x:c>
      <x:c r="Y512" t="e">
        <x:f>IF($A512="","",[1]!thsiFinD("ths_adjustment_nv_fund",Y$3,$A512))</x:f>
        <x:v>#NAME?</x:v>
      </x:c>
    </x:row>
    <x:row r="513">
      <x:c r="B513" t="e">
        <x:f>IF($A513="","",[1]!thsiFinD("ths_adjustment_nv_fund",B$3,$A513))</x:f>
        <x:v>#NAME?</x:v>
      </x:c>
      <x:c r="C513" t="e">
        <x:f>IF($A513="","",[1]!thsiFinD("ths_adjustment_nv_fund",C$3,$A513))</x:f>
        <x:v>#NAME?</x:v>
      </x:c>
      <x:c r="D513" t="e">
        <x:f>IF($A513="","",[1]!thsiFinD("ths_adjustment_nv_fund",D$3,$A513))</x:f>
        <x:v>#NAME?</x:v>
      </x:c>
      <x:c r="E513" t="e">
        <x:f>IF($A513="","",[1]!thsiFinD("ths_adjustment_nv_fund",E$3,$A513))</x:f>
        <x:v>#NAME?</x:v>
      </x:c>
      <x:c r="F513" t="e">
        <x:f>IF($A513="","",[1]!thsiFinD("ths_adjustment_nv_fund",F$3,$A513))</x:f>
        <x:v>#NAME?</x:v>
      </x:c>
      <x:c r="G513" t="e">
        <x:f>IF($A513="","",[1]!thsiFinD("ths_adjustment_nv_fund",G$3,$A513))</x:f>
        <x:v>#NAME?</x:v>
      </x:c>
      <x:c r="H513" t="e">
        <x:f>IF($A513="","",[1]!thsiFinD("ths_adjustment_nv_fund",H$3,$A513))</x:f>
        <x:v>#NAME?</x:v>
      </x:c>
      <x:c r="I513" t="e">
        <x:f>IF($A513="","",[1]!thsiFinD("ths_adjustment_nv_fund",I$3,$A513))</x:f>
        <x:v>#NAME?</x:v>
      </x:c>
      <x:c r="J513" t="e">
        <x:f>IF($A513="","",[1]!thsiFinD("ths_adjustment_nv_fund",J$3,$A513))</x:f>
        <x:v>#NAME?</x:v>
      </x:c>
      <x:c r="K513" t="e">
        <x:f>IF($A513="","",[1]!thsiFinD("ths_adjustment_nv_fund",K$3,$A513))</x:f>
        <x:v>#NAME?</x:v>
      </x:c>
      <x:c r="L513" t="e">
        <x:f>IF($A513="","",[1]!thsiFinD("ths_adjustment_nv_fund",L$3,$A513))</x:f>
        <x:v>#NAME?</x:v>
      </x:c>
      <x:c r="M513" t="e">
        <x:f>IF($A513="","",[1]!thsiFinD("ths_adjustment_nv_fund",M$3,$A513))</x:f>
        <x:v>#NAME?</x:v>
      </x:c>
      <x:c r="N513" t="e">
        <x:f>IF($A513="","",[1]!thsiFinD("ths_adjustment_nv_fund",N$3,$A513))</x:f>
        <x:v>#NAME?</x:v>
      </x:c>
      <x:c r="O513" t="e">
        <x:f>IF($A513="","",[1]!thsiFinD("ths_adjustment_nv_fund",O$3,$A513))</x:f>
        <x:v>#NAME?</x:v>
      </x:c>
      <x:c r="P513" t="e">
        <x:f>IF($A513="","",[1]!thsiFinD("ths_adjustment_nv_fund",P$3,$A513))</x:f>
        <x:v>#NAME?</x:v>
      </x:c>
      <x:c r="Q513" t="e">
        <x:f>IF($A513="","",[1]!thsiFinD("ths_adjustment_nv_fund",Q$3,$A513))</x:f>
        <x:v>#NAME?</x:v>
      </x:c>
      <x:c r="R513" t="e">
        <x:f>IF($A513="","",[1]!thsiFinD("ths_adjustment_nv_fund",R$3,$A513))</x:f>
        <x:v>#NAME?</x:v>
      </x:c>
      <x:c r="S513" t="e">
        <x:f>IF($A513="","",[1]!thsiFinD("ths_adjustment_nv_fund",S$3,$A513))</x:f>
        <x:v>#NAME?</x:v>
      </x:c>
      <x:c r="T513" t="e">
        <x:f>IF($A513="","",[1]!thsiFinD("ths_adjustment_nv_fund",T$3,$A513))</x:f>
        <x:v>#NAME?</x:v>
      </x:c>
      <x:c r="U513" t="e">
        <x:f>IF($A513="","",[1]!thsiFinD("ths_adjustment_nv_fund",U$3,$A513))</x:f>
        <x:v>#NAME?</x:v>
      </x:c>
      <x:c r="V513" t="e">
        <x:f>IF($A513="","",[1]!thsiFinD("ths_adjustment_nv_fund",V$3,$A513))</x:f>
        <x:v>#NAME?</x:v>
      </x:c>
      <x:c r="W513" t="e">
        <x:f>IF($A513="","",[1]!thsiFinD("ths_adjustment_nv_fund",W$3,$A513))</x:f>
        <x:v>#NAME?</x:v>
      </x:c>
      <x:c r="X513" t="e">
        <x:f>IF($A513="","",[1]!thsiFinD("ths_adjustment_nv_fund",X$3,$A513))</x:f>
        <x:v>#NAME?</x:v>
      </x:c>
      <x:c r="Y513" t="e">
        <x:f>IF($A513="","",[1]!thsiFinD("ths_adjustment_nv_fund",Y$3,$A513))</x:f>
        <x:v>#NAME?</x:v>
      </x:c>
    </x:row>
    <x:row r="514">
      <x:c r="B514" t="e">
        <x:f>IF($A514="","",[1]!thsiFinD("ths_adjustment_nv_fund",B$3,$A514))</x:f>
        <x:v>#NAME?</x:v>
      </x:c>
      <x:c r="C514" t="e">
        <x:f>IF($A514="","",[1]!thsiFinD("ths_adjustment_nv_fund",C$3,$A514))</x:f>
        <x:v>#NAME?</x:v>
      </x:c>
      <x:c r="D514" t="e">
        <x:f>IF($A514="","",[1]!thsiFinD("ths_adjustment_nv_fund",D$3,$A514))</x:f>
        <x:v>#NAME?</x:v>
      </x:c>
      <x:c r="E514" t="e">
        <x:f>IF($A514="","",[1]!thsiFinD("ths_adjustment_nv_fund",E$3,$A514))</x:f>
        <x:v>#NAME?</x:v>
      </x:c>
      <x:c r="F514" t="e">
        <x:f>IF($A514="","",[1]!thsiFinD("ths_adjustment_nv_fund",F$3,$A514))</x:f>
        <x:v>#NAME?</x:v>
      </x:c>
      <x:c r="G514" t="e">
        <x:f>IF($A514="","",[1]!thsiFinD("ths_adjustment_nv_fund",G$3,$A514))</x:f>
        <x:v>#NAME?</x:v>
      </x:c>
      <x:c r="H514" t="e">
        <x:f>IF($A514="","",[1]!thsiFinD("ths_adjustment_nv_fund",H$3,$A514))</x:f>
        <x:v>#NAME?</x:v>
      </x:c>
      <x:c r="I514" t="e">
        <x:f>IF($A514="","",[1]!thsiFinD("ths_adjustment_nv_fund",I$3,$A514))</x:f>
        <x:v>#NAME?</x:v>
      </x:c>
      <x:c r="J514" t="e">
        <x:f>IF($A514="","",[1]!thsiFinD("ths_adjustment_nv_fund",J$3,$A514))</x:f>
        <x:v>#NAME?</x:v>
      </x:c>
      <x:c r="K514" t="e">
        <x:f>IF($A514="","",[1]!thsiFinD("ths_adjustment_nv_fund",K$3,$A514))</x:f>
        <x:v>#NAME?</x:v>
      </x:c>
      <x:c r="L514" t="e">
        <x:f>IF($A514="","",[1]!thsiFinD("ths_adjustment_nv_fund",L$3,$A514))</x:f>
        <x:v>#NAME?</x:v>
      </x:c>
      <x:c r="M514" t="e">
        <x:f>IF($A514="","",[1]!thsiFinD("ths_adjustment_nv_fund",M$3,$A514))</x:f>
        <x:v>#NAME?</x:v>
      </x:c>
      <x:c r="N514" t="e">
        <x:f>IF($A514="","",[1]!thsiFinD("ths_adjustment_nv_fund",N$3,$A514))</x:f>
        <x:v>#NAME?</x:v>
      </x:c>
      <x:c r="O514" t="e">
        <x:f>IF($A514="","",[1]!thsiFinD("ths_adjustment_nv_fund",O$3,$A514))</x:f>
        <x:v>#NAME?</x:v>
      </x:c>
      <x:c r="P514" t="e">
        <x:f>IF($A514="","",[1]!thsiFinD("ths_adjustment_nv_fund",P$3,$A514))</x:f>
        <x:v>#NAME?</x:v>
      </x:c>
      <x:c r="Q514" t="e">
        <x:f>IF($A514="","",[1]!thsiFinD("ths_adjustment_nv_fund",Q$3,$A514))</x:f>
        <x:v>#NAME?</x:v>
      </x:c>
      <x:c r="R514" t="e">
        <x:f>IF($A514="","",[1]!thsiFinD("ths_adjustment_nv_fund",R$3,$A514))</x:f>
        <x:v>#NAME?</x:v>
      </x:c>
      <x:c r="S514" t="e">
        <x:f>IF($A514="","",[1]!thsiFinD("ths_adjustment_nv_fund",S$3,$A514))</x:f>
        <x:v>#NAME?</x:v>
      </x:c>
      <x:c r="T514" t="e">
        <x:f>IF($A514="","",[1]!thsiFinD("ths_adjustment_nv_fund",T$3,$A514))</x:f>
        <x:v>#NAME?</x:v>
      </x:c>
      <x:c r="U514" t="e">
        <x:f>IF($A514="","",[1]!thsiFinD("ths_adjustment_nv_fund",U$3,$A514))</x:f>
        <x:v>#NAME?</x:v>
      </x:c>
      <x:c r="V514" t="e">
        <x:f>IF($A514="","",[1]!thsiFinD("ths_adjustment_nv_fund",V$3,$A514))</x:f>
        <x:v>#NAME?</x:v>
      </x:c>
      <x:c r="W514" t="e">
        <x:f>IF($A514="","",[1]!thsiFinD("ths_adjustment_nv_fund",W$3,$A514))</x:f>
        <x:v>#NAME?</x:v>
      </x:c>
      <x:c r="X514" t="e">
        <x:f>IF($A514="","",[1]!thsiFinD("ths_adjustment_nv_fund",X$3,$A514))</x:f>
        <x:v>#NAME?</x:v>
      </x:c>
      <x:c r="Y514" t="e">
        <x:f>IF($A514="","",[1]!thsiFinD("ths_adjustment_nv_fund",Y$3,$A514))</x:f>
        <x:v>#NAME?</x:v>
      </x:c>
    </x:row>
    <x:row r="515">
      <x:c r="B515" t="e">
        <x:f>IF($A515="","",[1]!thsiFinD("ths_adjustment_nv_fund",B$3,$A515))</x:f>
        <x:v>#NAME?</x:v>
      </x:c>
      <x:c r="C515" t="e">
        <x:f>IF($A515="","",[1]!thsiFinD("ths_adjustment_nv_fund",C$3,$A515))</x:f>
        <x:v>#NAME?</x:v>
      </x:c>
      <x:c r="D515" t="e">
        <x:f>IF($A515="","",[1]!thsiFinD("ths_adjustment_nv_fund",D$3,$A515))</x:f>
        <x:v>#NAME?</x:v>
      </x:c>
      <x:c r="E515" t="e">
        <x:f>IF($A515="","",[1]!thsiFinD("ths_adjustment_nv_fund",E$3,$A515))</x:f>
        <x:v>#NAME?</x:v>
      </x:c>
      <x:c r="F515" t="e">
        <x:f>IF($A515="","",[1]!thsiFinD("ths_adjustment_nv_fund",F$3,$A515))</x:f>
        <x:v>#NAME?</x:v>
      </x:c>
      <x:c r="G515" t="e">
        <x:f>IF($A515="","",[1]!thsiFinD("ths_adjustment_nv_fund",G$3,$A515))</x:f>
        <x:v>#NAME?</x:v>
      </x:c>
      <x:c r="H515" t="e">
        <x:f>IF($A515="","",[1]!thsiFinD("ths_adjustment_nv_fund",H$3,$A515))</x:f>
        <x:v>#NAME?</x:v>
      </x:c>
      <x:c r="I515" t="e">
        <x:f>IF($A515="","",[1]!thsiFinD("ths_adjustment_nv_fund",I$3,$A515))</x:f>
        <x:v>#NAME?</x:v>
      </x:c>
      <x:c r="J515" t="e">
        <x:f>IF($A515="","",[1]!thsiFinD("ths_adjustment_nv_fund",J$3,$A515))</x:f>
        <x:v>#NAME?</x:v>
      </x:c>
      <x:c r="K515" t="e">
        <x:f>IF($A515="","",[1]!thsiFinD("ths_adjustment_nv_fund",K$3,$A515))</x:f>
        <x:v>#NAME?</x:v>
      </x:c>
      <x:c r="L515" t="e">
        <x:f>IF($A515="","",[1]!thsiFinD("ths_adjustment_nv_fund",L$3,$A515))</x:f>
        <x:v>#NAME?</x:v>
      </x:c>
      <x:c r="M515" t="e">
        <x:f>IF($A515="","",[1]!thsiFinD("ths_adjustment_nv_fund",M$3,$A515))</x:f>
        <x:v>#NAME?</x:v>
      </x:c>
      <x:c r="N515" t="e">
        <x:f>IF($A515="","",[1]!thsiFinD("ths_adjustment_nv_fund",N$3,$A515))</x:f>
        <x:v>#NAME?</x:v>
      </x:c>
      <x:c r="O515" t="e">
        <x:f>IF($A515="","",[1]!thsiFinD("ths_adjustment_nv_fund",O$3,$A515))</x:f>
        <x:v>#NAME?</x:v>
      </x:c>
      <x:c r="P515" t="e">
        <x:f>IF($A515="","",[1]!thsiFinD("ths_adjustment_nv_fund",P$3,$A515))</x:f>
        <x:v>#NAME?</x:v>
      </x:c>
      <x:c r="Q515" t="e">
        <x:f>IF($A515="","",[1]!thsiFinD("ths_adjustment_nv_fund",Q$3,$A515))</x:f>
        <x:v>#NAME?</x:v>
      </x:c>
      <x:c r="R515" t="e">
        <x:f>IF($A515="","",[1]!thsiFinD("ths_adjustment_nv_fund",R$3,$A515))</x:f>
        <x:v>#NAME?</x:v>
      </x:c>
      <x:c r="S515" t="e">
        <x:f>IF($A515="","",[1]!thsiFinD("ths_adjustment_nv_fund",S$3,$A515))</x:f>
        <x:v>#NAME?</x:v>
      </x:c>
      <x:c r="T515" t="e">
        <x:f>IF($A515="","",[1]!thsiFinD("ths_adjustment_nv_fund",T$3,$A515))</x:f>
        <x:v>#NAME?</x:v>
      </x:c>
      <x:c r="U515" t="e">
        <x:f>IF($A515="","",[1]!thsiFinD("ths_adjustment_nv_fund",U$3,$A515))</x:f>
        <x:v>#NAME?</x:v>
      </x:c>
      <x:c r="V515" t="e">
        <x:f>IF($A515="","",[1]!thsiFinD("ths_adjustment_nv_fund",V$3,$A515))</x:f>
        <x:v>#NAME?</x:v>
      </x:c>
      <x:c r="W515" t="e">
        <x:f>IF($A515="","",[1]!thsiFinD("ths_adjustment_nv_fund",W$3,$A515))</x:f>
        <x:v>#NAME?</x:v>
      </x:c>
      <x:c r="X515" t="e">
        <x:f>IF($A515="","",[1]!thsiFinD("ths_adjustment_nv_fund",X$3,$A515))</x:f>
        <x:v>#NAME?</x:v>
      </x:c>
      <x:c r="Y515" t="e">
        <x:f>IF($A515="","",[1]!thsiFinD("ths_adjustment_nv_fund",Y$3,$A515))</x:f>
        <x:v>#NAME?</x:v>
      </x:c>
    </x:row>
    <x:row r="516">
      <x:c r="B516" t="e">
        <x:f>IF($A516="","",[1]!thsiFinD("ths_adjustment_nv_fund",B$3,$A516))</x:f>
        <x:v>#NAME?</x:v>
      </x:c>
      <x:c r="C516" t="e">
        <x:f>IF($A516="","",[1]!thsiFinD("ths_adjustment_nv_fund",C$3,$A516))</x:f>
        <x:v>#NAME?</x:v>
      </x:c>
      <x:c r="D516" t="e">
        <x:f>IF($A516="","",[1]!thsiFinD("ths_adjustment_nv_fund",D$3,$A516))</x:f>
        <x:v>#NAME?</x:v>
      </x:c>
      <x:c r="E516" t="e">
        <x:f>IF($A516="","",[1]!thsiFinD("ths_adjustment_nv_fund",E$3,$A516))</x:f>
        <x:v>#NAME?</x:v>
      </x:c>
      <x:c r="F516" t="e">
        <x:f>IF($A516="","",[1]!thsiFinD("ths_adjustment_nv_fund",F$3,$A516))</x:f>
        <x:v>#NAME?</x:v>
      </x:c>
      <x:c r="G516" t="e">
        <x:f>IF($A516="","",[1]!thsiFinD("ths_adjustment_nv_fund",G$3,$A516))</x:f>
        <x:v>#NAME?</x:v>
      </x:c>
      <x:c r="H516" t="e">
        <x:f>IF($A516="","",[1]!thsiFinD("ths_adjustment_nv_fund",H$3,$A516))</x:f>
        <x:v>#NAME?</x:v>
      </x:c>
      <x:c r="I516" t="e">
        <x:f>IF($A516="","",[1]!thsiFinD("ths_adjustment_nv_fund",I$3,$A516))</x:f>
        <x:v>#NAME?</x:v>
      </x:c>
      <x:c r="J516" t="e">
        <x:f>IF($A516="","",[1]!thsiFinD("ths_adjustment_nv_fund",J$3,$A516))</x:f>
        <x:v>#NAME?</x:v>
      </x:c>
      <x:c r="K516" t="e">
        <x:f>IF($A516="","",[1]!thsiFinD("ths_adjustment_nv_fund",K$3,$A516))</x:f>
        <x:v>#NAME?</x:v>
      </x:c>
      <x:c r="L516" t="e">
        <x:f>IF($A516="","",[1]!thsiFinD("ths_adjustment_nv_fund",L$3,$A516))</x:f>
        <x:v>#NAME?</x:v>
      </x:c>
      <x:c r="M516" t="e">
        <x:f>IF($A516="","",[1]!thsiFinD("ths_adjustment_nv_fund",M$3,$A516))</x:f>
        <x:v>#NAME?</x:v>
      </x:c>
      <x:c r="N516" t="e">
        <x:f>IF($A516="","",[1]!thsiFinD("ths_adjustment_nv_fund",N$3,$A516))</x:f>
        <x:v>#NAME?</x:v>
      </x:c>
      <x:c r="O516" t="e">
        <x:f>IF($A516="","",[1]!thsiFinD("ths_adjustment_nv_fund",O$3,$A516))</x:f>
        <x:v>#NAME?</x:v>
      </x:c>
      <x:c r="P516" t="e">
        <x:f>IF($A516="","",[1]!thsiFinD("ths_adjustment_nv_fund",P$3,$A516))</x:f>
        <x:v>#NAME?</x:v>
      </x:c>
      <x:c r="Q516" t="e">
        <x:f>IF($A516="","",[1]!thsiFinD("ths_adjustment_nv_fund",Q$3,$A516))</x:f>
        <x:v>#NAME?</x:v>
      </x:c>
      <x:c r="R516" t="e">
        <x:f>IF($A516="","",[1]!thsiFinD("ths_adjustment_nv_fund",R$3,$A516))</x:f>
        <x:v>#NAME?</x:v>
      </x:c>
      <x:c r="S516" t="e">
        <x:f>IF($A516="","",[1]!thsiFinD("ths_adjustment_nv_fund",S$3,$A516))</x:f>
        <x:v>#NAME?</x:v>
      </x:c>
      <x:c r="T516" t="e">
        <x:f>IF($A516="","",[1]!thsiFinD("ths_adjustment_nv_fund",T$3,$A516))</x:f>
        <x:v>#NAME?</x:v>
      </x:c>
      <x:c r="U516" t="e">
        <x:f>IF($A516="","",[1]!thsiFinD("ths_adjustment_nv_fund",U$3,$A516))</x:f>
        <x:v>#NAME?</x:v>
      </x:c>
      <x:c r="V516" t="e">
        <x:f>IF($A516="","",[1]!thsiFinD("ths_adjustment_nv_fund",V$3,$A516))</x:f>
        <x:v>#NAME?</x:v>
      </x:c>
      <x:c r="W516" t="e">
        <x:f>IF($A516="","",[1]!thsiFinD("ths_adjustment_nv_fund",W$3,$A516))</x:f>
        <x:v>#NAME?</x:v>
      </x:c>
      <x:c r="X516" t="e">
        <x:f>IF($A516="","",[1]!thsiFinD("ths_adjustment_nv_fund",X$3,$A516))</x:f>
        <x:v>#NAME?</x:v>
      </x:c>
      <x:c r="Y516" t="e">
        <x:f>IF($A516="","",[1]!thsiFinD("ths_adjustment_nv_fund",Y$3,$A516))</x:f>
        <x:v>#NAME?</x:v>
      </x:c>
    </x:row>
    <x:row r="517">
      <x:c r="B517" t="e">
        <x:f>IF($A517="","",[1]!thsiFinD("ths_adjustment_nv_fund",B$3,$A517))</x:f>
        <x:v>#NAME?</x:v>
      </x:c>
      <x:c r="C517" t="e">
        <x:f>IF($A517="","",[1]!thsiFinD("ths_adjustment_nv_fund",C$3,$A517))</x:f>
        <x:v>#NAME?</x:v>
      </x:c>
      <x:c r="D517" t="e">
        <x:f>IF($A517="","",[1]!thsiFinD("ths_adjustment_nv_fund",D$3,$A517))</x:f>
        <x:v>#NAME?</x:v>
      </x:c>
      <x:c r="E517" t="e">
        <x:f>IF($A517="","",[1]!thsiFinD("ths_adjustment_nv_fund",E$3,$A517))</x:f>
        <x:v>#NAME?</x:v>
      </x:c>
      <x:c r="F517" t="e">
        <x:f>IF($A517="","",[1]!thsiFinD("ths_adjustment_nv_fund",F$3,$A517))</x:f>
        <x:v>#NAME?</x:v>
      </x:c>
      <x:c r="G517" t="e">
        <x:f>IF($A517="","",[1]!thsiFinD("ths_adjustment_nv_fund",G$3,$A517))</x:f>
        <x:v>#NAME?</x:v>
      </x:c>
      <x:c r="H517" t="e">
        <x:f>IF($A517="","",[1]!thsiFinD("ths_adjustment_nv_fund",H$3,$A517))</x:f>
        <x:v>#NAME?</x:v>
      </x:c>
      <x:c r="I517" t="e">
        <x:f>IF($A517="","",[1]!thsiFinD("ths_adjustment_nv_fund",I$3,$A517))</x:f>
        <x:v>#NAME?</x:v>
      </x:c>
      <x:c r="J517" t="e">
        <x:f>IF($A517="","",[1]!thsiFinD("ths_adjustment_nv_fund",J$3,$A517))</x:f>
        <x:v>#NAME?</x:v>
      </x:c>
      <x:c r="K517" t="e">
        <x:f>IF($A517="","",[1]!thsiFinD("ths_adjustment_nv_fund",K$3,$A517))</x:f>
        <x:v>#NAME?</x:v>
      </x:c>
      <x:c r="L517" t="e">
        <x:f>IF($A517="","",[1]!thsiFinD("ths_adjustment_nv_fund",L$3,$A517))</x:f>
        <x:v>#NAME?</x:v>
      </x:c>
      <x:c r="M517" t="e">
        <x:f>IF($A517="","",[1]!thsiFinD("ths_adjustment_nv_fund",M$3,$A517))</x:f>
        <x:v>#NAME?</x:v>
      </x:c>
      <x:c r="N517" t="e">
        <x:f>IF($A517="","",[1]!thsiFinD("ths_adjustment_nv_fund",N$3,$A517))</x:f>
        <x:v>#NAME?</x:v>
      </x:c>
      <x:c r="O517" t="e">
        <x:f>IF($A517="","",[1]!thsiFinD("ths_adjustment_nv_fund",O$3,$A517))</x:f>
        <x:v>#NAME?</x:v>
      </x:c>
      <x:c r="P517" t="e">
        <x:f>IF($A517="","",[1]!thsiFinD("ths_adjustment_nv_fund",P$3,$A517))</x:f>
        <x:v>#NAME?</x:v>
      </x:c>
      <x:c r="Q517" t="e">
        <x:f>IF($A517="","",[1]!thsiFinD("ths_adjustment_nv_fund",Q$3,$A517))</x:f>
        <x:v>#NAME?</x:v>
      </x:c>
      <x:c r="R517" t="e">
        <x:f>IF($A517="","",[1]!thsiFinD("ths_adjustment_nv_fund",R$3,$A517))</x:f>
        <x:v>#NAME?</x:v>
      </x:c>
      <x:c r="S517" t="e">
        <x:f>IF($A517="","",[1]!thsiFinD("ths_adjustment_nv_fund",S$3,$A517))</x:f>
        <x:v>#NAME?</x:v>
      </x:c>
      <x:c r="T517" t="e">
        <x:f>IF($A517="","",[1]!thsiFinD("ths_adjustment_nv_fund",T$3,$A517))</x:f>
        <x:v>#NAME?</x:v>
      </x:c>
      <x:c r="U517" t="e">
        <x:f>IF($A517="","",[1]!thsiFinD("ths_adjustment_nv_fund",U$3,$A517))</x:f>
        <x:v>#NAME?</x:v>
      </x:c>
      <x:c r="V517" t="e">
        <x:f>IF($A517="","",[1]!thsiFinD("ths_adjustment_nv_fund",V$3,$A517))</x:f>
        <x:v>#NAME?</x:v>
      </x:c>
      <x:c r="W517" t="e">
        <x:f>IF($A517="","",[1]!thsiFinD("ths_adjustment_nv_fund",W$3,$A517))</x:f>
        <x:v>#NAME?</x:v>
      </x:c>
      <x:c r="X517" t="e">
        <x:f>IF($A517="","",[1]!thsiFinD("ths_adjustment_nv_fund",X$3,$A517))</x:f>
        <x:v>#NAME?</x:v>
      </x:c>
      <x:c r="Y517" t="e">
        <x:f>IF($A517="","",[1]!thsiFinD("ths_adjustment_nv_fund",Y$3,$A517))</x:f>
        <x:v>#NAME?</x:v>
      </x:c>
    </x:row>
    <x:row r="518">
      <x:c r="B518" t="e">
        <x:f>IF($A518="","",[1]!thsiFinD("ths_adjustment_nv_fund",B$3,$A518))</x:f>
        <x:v>#NAME?</x:v>
      </x:c>
      <x:c r="C518" t="e">
        <x:f>IF($A518="","",[1]!thsiFinD("ths_adjustment_nv_fund",C$3,$A518))</x:f>
        <x:v>#NAME?</x:v>
      </x:c>
      <x:c r="D518" t="e">
        <x:f>IF($A518="","",[1]!thsiFinD("ths_adjustment_nv_fund",D$3,$A518))</x:f>
        <x:v>#NAME?</x:v>
      </x:c>
      <x:c r="E518" t="e">
        <x:f>IF($A518="","",[1]!thsiFinD("ths_adjustment_nv_fund",E$3,$A518))</x:f>
        <x:v>#NAME?</x:v>
      </x:c>
      <x:c r="F518" t="e">
        <x:f>IF($A518="","",[1]!thsiFinD("ths_adjustment_nv_fund",F$3,$A518))</x:f>
        <x:v>#NAME?</x:v>
      </x:c>
      <x:c r="G518" t="e">
        <x:f>IF($A518="","",[1]!thsiFinD("ths_adjustment_nv_fund",G$3,$A518))</x:f>
        <x:v>#NAME?</x:v>
      </x:c>
      <x:c r="H518" t="e">
        <x:f>IF($A518="","",[1]!thsiFinD("ths_adjustment_nv_fund",H$3,$A518))</x:f>
        <x:v>#NAME?</x:v>
      </x:c>
      <x:c r="I518" t="e">
        <x:f>IF($A518="","",[1]!thsiFinD("ths_adjustment_nv_fund",I$3,$A518))</x:f>
        <x:v>#NAME?</x:v>
      </x:c>
      <x:c r="J518" t="e">
        <x:f>IF($A518="","",[1]!thsiFinD("ths_adjustment_nv_fund",J$3,$A518))</x:f>
        <x:v>#NAME?</x:v>
      </x:c>
      <x:c r="K518" t="e">
        <x:f>IF($A518="","",[1]!thsiFinD("ths_adjustment_nv_fund",K$3,$A518))</x:f>
        <x:v>#NAME?</x:v>
      </x:c>
      <x:c r="L518" t="e">
        <x:f>IF($A518="","",[1]!thsiFinD("ths_adjustment_nv_fund",L$3,$A518))</x:f>
        <x:v>#NAME?</x:v>
      </x:c>
      <x:c r="M518" t="e">
        <x:f>IF($A518="","",[1]!thsiFinD("ths_adjustment_nv_fund",M$3,$A518))</x:f>
        <x:v>#NAME?</x:v>
      </x:c>
      <x:c r="N518" t="e">
        <x:f>IF($A518="","",[1]!thsiFinD("ths_adjustment_nv_fund",N$3,$A518))</x:f>
        <x:v>#NAME?</x:v>
      </x:c>
      <x:c r="O518" t="e">
        <x:f>IF($A518="","",[1]!thsiFinD("ths_adjustment_nv_fund",O$3,$A518))</x:f>
        <x:v>#NAME?</x:v>
      </x:c>
      <x:c r="P518" t="e">
        <x:f>IF($A518="","",[1]!thsiFinD("ths_adjustment_nv_fund",P$3,$A518))</x:f>
        <x:v>#NAME?</x:v>
      </x:c>
      <x:c r="Q518" t="e">
        <x:f>IF($A518="","",[1]!thsiFinD("ths_adjustment_nv_fund",Q$3,$A518))</x:f>
        <x:v>#NAME?</x:v>
      </x:c>
      <x:c r="R518" t="e">
        <x:f>IF($A518="","",[1]!thsiFinD("ths_adjustment_nv_fund",R$3,$A518))</x:f>
        <x:v>#NAME?</x:v>
      </x:c>
      <x:c r="S518" t="e">
        <x:f>IF($A518="","",[1]!thsiFinD("ths_adjustment_nv_fund",S$3,$A518))</x:f>
        <x:v>#NAME?</x:v>
      </x:c>
      <x:c r="T518" t="e">
        <x:f>IF($A518="","",[1]!thsiFinD("ths_adjustment_nv_fund",T$3,$A518))</x:f>
        <x:v>#NAME?</x:v>
      </x:c>
      <x:c r="U518" t="e">
        <x:f>IF($A518="","",[1]!thsiFinD("ths_adjustment_nv_fund",U$3,$A518))</x:f>
        <x:v>#NAME?</x:v>
      </x:c>
      <x:c r="V518" t="e">
        <x:f>IF($A518="","",[1]!thsiFinD("ths_adjustment_nv_fund",V$3,$A518))</x:f>
        <x:v>#NAME?</x:v>
      </x:c>
      <x:c r="W518" t="e">
        <x:f>IF($A518="","",[1]!thsiFinD("ths_adjustment_nv_fund",W$3,$A518))</x:f>
        <x:v>#NAME?</x:v>
      </x:c>
      <x:c r="X518" t="e">
        <x:f>IF($A518="","",[1]!thsiFinD("ths_adjustment_nv_fund",X$3,$A518))</x:f>
        <x:v>#NAME?</x:v>
      </x:c>
      <x:c r="Y518" t="e">
        <x:f>IF($A518="","",[1]!thsiFinD("ths_adjustment_nv_fund",Y$3,$A518))</x:f>
        <x:v>#NAME?</x:v>
      </x:c>
    </x:row>
    <x:row r="519">
      <x:c r="B519" t="e">
        <x:f>IF($A519="","",[1]!thsiFinD("ths_adjustment_nv_fund",B$3,$A519))</x:f>
        <x:v>#NAME?</x:v>
      </x:c>
      <x:c r="C519" t="e">
        <x:f>IF($A519="","",[1]!thsiFinD("ths_adjustment_nv_fund",C$3,$A519))</x:f>
        <x:v>#NAME?</x:v>
      </x:c>
      <x:c r="D519" t="e">
        <x:f>IF($A519="","",[1]!thsiFinD("ths_adjustment_nv_fund",D$3,$A519))</x:f>
        <x:v>#NAME?</x:v>
      </x:c>
      <x:c r="E519" t="e">
        <x:f>IF($A519="","",[1]!thsiFinD("ths_adjustment_nv_fund",E$3,$A519))</x:f>
        <x:v>#NAME?</x:v>
      </x:c>
      <x:c r="F519" t="e">
        <x:f>IF($A519="","",[1]!thsiFinD("ths_adjustment_nv_fund",F$3,$A519))</x:f>
        <x:v>#NAME?</x:v>
      </x:c>
      <x:c r="G519" t="e">
        <x:f>IF($A519="","",[1]!thsiFinD("ths_adjustment_nv_fund",G$3,$A519))</x:f>
        <x:v>#NAME?</x:v>
      </x:c>
      <x:c r="H519" t="e">
        <x:f>IF($A519="","",[1]!thsiFinD("ths_adjustment_nv_fund",H$3,$A519))</x:f>
        <x:v>#NAME?</x:v>
      </x:c>
      <x:c r="I519" t="e">
        <x:f>IF($A519="","",[1]!thsiFinD("ths_adjustment_nv_fund",I$3,$A519))</x:f>
        <x:v>#NAME?</x:v>
      </x:c>
      <x:c r="J519" t="e">
        <x:f>IF($A519="","",[1]!thsiFinD("ths_adjustment_nv_fund",J$3,$A519))</x:f>
        <x:v>#NAME?</x:v>
      </x:c>
      <x:c r="K519" t="e">
        <x:f>IF($A519="","",[1]!thsiFinD("ths_adjustment_nv_fund",K$3,$A519))</x:f>
        <x:v>#NAME?</x:v>
      </x:c>
      <x:c r="L519" t="e">
        <x:f>IF($A519="","",[1]!thsiFinD("ths_adjustment_nv_fund",L$3,$A519))</x:f>
        <x:v>#NAME?</x:v>
      </x:c>
      <x:c r="M519" t="e">
        <x:f>IF($A519="","",[1]!thsiFinD("ths_adjustment_nv_fund",M$3,$A519))</x:f>
        <x:v>#NAME?</x:v>
      </x:c>
      <x:c r="N519" t="e">
        <x:f>IF($A519="","",[1]!thsiFinD("ths_adjustment_nv_fund",N$3,$A519))</x:f>
        <x:v>#NAME?</x:v>
      </x:c>
      <x:c r="O519" t="e">
        <x:f>IF($A519="","",[1]!thsiFinD("ths_adjustment_nv_fund",O$3,$A519))</x:f>
        <x:v>#NAME?</x:v>
      </x:c>
      <x:c r="P519" t="e">
        <x:f>IF($A519="","",[1]!thsiFinD("ths_adjustment_nv_fund",P$3,$A519))</x:f>
        <x:v>#NAME?</x:v>
      </x:c>
      <x:c r="Q519" t="e">
        <x:f>IF($A519="","",[1]!thsiFinD("ths_adjustment_nv_fund",Q$3,$A519))</x:f>
        <x:v>#NAME?</x:v>
      </x:c>
      <x:c r="R519" t="e">
        <x:f>IF($A519="","",[1]!thsiFinD("ths_adjustment_nv_fund",R$3,$A519))</x:f>
        <x:v>#NAME?</x:v>
      </x:c>
      <x:c r="S519" t="e">
        <x:f>IF($A519="","",[1]!thsiFinD("ths_adjustment_nv_fund",S$3,$A519))</x:f>
        <x:v>#NAME?</x:v>
      </x:c>
      <x:c r="T519" t="e">
        <x:f>IF($A519="","",[1]!thsiFinD("ths_adjustment_nv_fund",T$3,$A519))</x:f>
        <x:v>#NAME?</x:v>
      </x:c>
      <x:c r="U519" t="e">
        <x:f>IF($A519="","",[1]!thsiFinD("ths_adjustment_nv_fund",U$3,$A519))</x:f>
        <x:v>#NAME?</x:v>
      </x:c>
      <x:c r="V519" t="e">
        <x:f>IF($A519="","",[1]!thsiFinD("ths_adjustment_nv_fund",V$3,$A519))</x:f>
        <x:v>#NAME?</x:v>
      </x:c>
      <x:c r="W519" t="e">
        <x:f>IF($A519="","",[1]!thsiFinD("ths_adjustment_nv_fund",W$3,$A519))</x:f>
        <x:v>#NAME?</x:v>
      </x:c>
      <x:c r="X519" t="e">
        <x:f>IF($A519="","",[1]!thsiFinD("ths_adjustment_nv_fund",X$3,$A519))</x:f>
        <x:v>#NAME?</x:v>
      </x:c>
      <x:c r="Y519" t="e">
        <x:f>IF($A519="","",[1]!thsiFinD("ths_adjustment_nv_fund",Y$3,$A519))</x:f>
        <x:v>#NAME?</x:v>
      </x:c>
    </x:row>
    <x:row r="520">
      <x:c r="B520" t="e">
        <x:f>IF($A520="","",[1]!thsiFinD("ths_adjustment_nv_fund",B$3,$A520))</x:f>
        <x:v>#NAME?</x:v>
      </x:c>
      <x:c r="C520" t="e">
        <x:f>IF($A520="","",[1]!thsiFinD("ths_adjustment_nv_fund",C$3,$A520))</x:f>
        <x:v>#NAME?</x:v>
      </x:c>
      <x:c r="D520" t="e">
        <x:f>IF($A520="","",[1]!thsiFinD("ths_adjustment_nv_fund",D$3,$A520))</x:f>
        <x:v>#NAME?</x:v>
      </x:c>
      <x:c r="E520" t="e">
        <x:f>IF($A520="","",[1]!thsiFinD("ths_adjustment_nv_fund",E$3,$A520))</x:f>
        <x:v>#NAME?</x:v>
      </x:c>
      <x:c r="F520" t="e">
        <x:f>IF($A520="","",[1]!thsiFinD("ths_adjustment_nv_fund",F$3,$A520))</x:f>
        <x:v>#NAME?</x:v>
      </x:c>
      <x:c r="G520" t="e">
        <x:f>IF($A520="","",[1]!thsiFinD("ths_adjustment_nv_fund",G$3,$A520))</x:f>
        <x:v>#NAME?</x:v>
      </x:c>
      <x:c r="H520" t="e">
        <x:f>IF($A520="","",[1]!thsiFinD("ths_adjustment_nv_fund",H$3,$A520))</x:f>
        <x:v>#NAME?</x:v>
      </x:c>
      <x:c r="I520" t="e">
        <x:f>IF($A520="","",[1]!thsiFinD("ths_adjustment_nv_fund",I$3,$A520))</x:f>
        <x:v>#NAME?</x:v>
      </x:c>
      <x:c r="J520" t="e">
        <x:f>IF($A520="","",[1]!thsiFinD("ths_adjustment_nv_fund",J$3,$A520))</x:f>
        <x:v>#NAME?</x:v>
      </x:c>
      <x:c r="K520" t="e">
        <x:f>IF($A520="","",[1]!thsiFinD("ths_adjustment_nv_fund",K$3,$A520))</x:f>
        <x:v>#NAME?</x:v>
      </x:c>
      <x:c r="L520" t="e">
        <x:f>IF($A520="","",[1]!thsiFinD("ths_adjustment_nv_fund",L$3,$A520))</x:f>
        <x:v>#NAME?</x:v>
      </x:c>
      <x:c r="M520" t="e">
        <x:f>IF($A520="","",[1]!thsiFinD("ths_adjustment_nv_fund",M$3,$A520))</x:f>
        <x:v>#NAME?</x:v>
      </x:c>
      <x:c r="N520" t="e">
        <x:f>IF($A520="","",[1]!thsiFinD("ths_adjustment_nv_fund",N$3,$A520))</x:f>
        <x:v>#NAME?</x:v>
      </x:c>
      <x:c r="O520" t="e">
        <x:f>IF($A520="","",[1]!thsiFinD("ths_adjustment_nv_fund",O$3,$A520))</x:f>
        <x:v>#NAME?</x:v>
      </x:c>
      <x:c r="P520" t="e">
        <x:f>IF($A520="","",[1]!thsiFinD("ths_adjustment_nv_fund",P$3,$A520))</x:f>
        <x:v>#NAME?</x:v>
      </x:c>
      <x:c r="Q520" t="e">
        <x:f>IF($A520="","",[1]!thsiFinD("ths_adjustment_nv_fund",Q$3,$A520))</x:f>
        <x:v>#NAME?</x:v>
      </x:c>
      <x:c r="R520" t="e">
        <x:f>IF($A520="","",[1]!thsiFinD("ths_adjustment_nv_fund",R$3,$A520))</x:f>
        <x:v>#NAME?</x:v>
      </x:c>
      <x:c r="S520" t="e">
        <x:f>IF($A520="","",[1]!thsiFinD("ths_adjustment_nv_fund",S$3,$A520))</x:f>
        <x:v>#NAME?</x:v>
      </x:c>
      <x:c r="T520" t="e">
        <x:f>IF($A520="","",[1]!thsiFinD("ths_adjustment_nv_fund",T$3,$A520))</x:f>
        <x:v>#NAME?</x:v>
      </x:c>
      <x:c r="U520" t="e">
        <x:f>IF($A520="","",[1]!thsiFinD("ths_adjustment_nv_fund",U$3,$A520))</x:f>
        <x:v>#NAME?</x:v>
      </x:c>
      <x:c r="V520" t="e">
        <x:f>IF($A520="","",[1]!thsiFinD("ths_adjustment_nv_fund",V$3,$A520))</x:f>
        <x:v>#NAME?</x:v>
      </x:c>
      <x:c r="W520" t="e">
        <x:f>IF($A520="","",[1]!thsiFinD("ths_adjustment_nv_fund",W$3,$A520))</x:f>
        <x:v>#NAME?</x:v>
      </x:c>
      <x:c r="X520" t="e">
        <x:f>IF($A520="","",[1]!thsiFinD("ths_adjustment_nv_fund",X$3,$A520))</x:f>
        <x:v>#NAME?</x:v>
      </x:c>
      <x:c r="Y520" t="e">
        <x:f>IF($A520="","",[1]!thsiFinD("ths_adjustment_nv_fund",Y$3,$A520))</x:f>
        <x:v>#NAME?</x:v>
      </x:c>
    </x:row>
    <x:row r="521">
      <x:c r="B521" t="e">
        <x:f>IF($A521="","",[1]!thsiFinD("ths_adjustment_nv_fund",B$3,$A521))</x:f>
        <x:v>#NAME?</x:v>
      </x:c>
      <x:c r="C521" t="e">
        <x:f>IF($A521="","",[1]!thsiFinD("ths_adjustment_nv_fund",C$3,$A521))</x:f>
        <x:v>#NAME?</x:v>
      </x:c>
      <x:c r="D521" t="e">
        <x:f>IF($A521="","",[1]!thsiFinD("ths_adjustment_nv_fund",D$3,$A521))</x:f>
        <x:v>#NAME?</x:v>
      </x:c>
      <x:c r="E521" t="e">
        <x:f>IF($A521="","",[1]!thsiFinD("ths_adjustment_nv_fund",E$3,$A521))</x:f>
        <x:v>#NAME?</x:v>
      </x:c>
      <x:c r="F521" t="e">
        <x:f>IF($A521="","",[1]!thsiFinD("ths_adjustment_nv_fund",F$3,$A521))</x:f>
        <x:v>#NAME?</x:v>
      </x:c>
      <x:c r="G521" t="e">
        <x:f>IF($A521="","",[1]!thsiFinD("ths_adjustment_nv_fund",G$3,$A521))</x:f>
        <x:v>#NAME?</x:v>
      </x:c>
      <x:c r="H521" t="e">
        <x:f>IF($A521="","",[1]!thsiFinD("ths_adjustment_nv_fund",H$3,$A521))</x:f>
        <x:v>#NAME?</x:v>
      </x:c>
      <x:c r="I521" t="e">
        <x:f>IF($A521="","",[1]!thsiFinD("ths_adjustment_nv_fund",I$3,$A521))</x:f>
        <x:v>#NAME?</x:v>
      </x:c>
      <x:c r="J521" t="e">
        <x:f>IF($A521="","",[1]!thsiFinD("ths_adjustment_nv_fund",J$3,$A521))</x:f>
        <x:v>#NAME?</x:v>
      </x:c>
      <x:c r="K521" t="e">
        <x:f>IF($A521="","",[1]!thsiFinD("ths_adjustment_nv_fund",K$3,$A521))</x:f>
        <x:v>#NAME?</x:v>
      </x:c>
      <x:c r="L521" t="e">
        <x:f>IF($A521="","",[1]!thsiFinD("ths_adjustment_nv_fund",L$3,$A521))</x:f>
        <x:v>#NAME?</x:v>
      </x:c>
      <x:c r="M521" t="e">
        <x:f>IF($A521="","",[1]!thsiFinD("ths_adjustment_nv_fund",M$3,$A521))</x:f>
        <x:v>#NAME?</x:v>
      </x:c>
      <x:c r="N521" t="e">
        <x:f>IF($A521="","",[1]!thsiFinD("ths_adjustment_nv_fund",N$3,$A521))</x:f>
        <x:v>#NAME?</x:v>
      </x:c>
      <x:c r="O521" t="e">
        <x:f>IF($A521="","",[1]!thsiFinD("ths_adjustment_nv_fund",O$3,$A521))</x:f>
        <x:v>#NAME?</x:v>
      </x:c>
      <x:c r="P521" t="e">
        <x:f>IF($A521="","",[1]!thsiFinD("ths_adjustment_nv_fund",P$3,$A521))</x:f>
        <x:v>#NAME?</x:v>
      </x:c>
      <x:c r="Q521" t="e">
        <x:f>IF($A521="","",[1]!thsiFinD("ths_adjustment_nv_fund",Q$3,$A521))</x:f>
        <x:v>#NAME?</x:v>
      </x:c>
      <x:c r="R521" t="e">
        <x:f>IF($A521="","",[1]!thsiFinD("ths_adjustment_nv_fund",R$3,$A521))</x:f>
        <x:v>#NAME?</x:v>
      </x:c>
      <x:c r="S521" t="e">
        <x:f>IF($A521="","",[1]!thsiFinD("ths_adjustment_nv_fund",S$3,$A521))</x:f>
        <x:v>#NAME?</x:v>
      </x:c>
      <x:c r="T521" t="e">
        <x:f>IF($A521="","",[1]!thsiFinD("ths_adjustment_nv_fund",T$3,$A521))</x:f>
        <x:v>#NAME?</x:v>
      </x:c>
      <x:c r="U521" t="e">
        <x:f>IF($A521="","",[1]!thsiFinD("ths_adjustment_nv_fund",U$3,$A521))</x:f>
        <x:v>#NAME?</x:v>
      </x:c>
      <x:c r="V521" t="e">
        <x:f>IF($A521="","",[1]!thsiFinD("ths_adjustment_nv_fund",V$3,$A521))</x:f>
        <x:v>#NAME?</x:v>
      </x:c>
      <x:c r="W521" t="e">
        <x:f>IF($A521="","",[1]!thsiFinD("ths_adjustment_nv_fund",W$3,$A521))</x:f>
        <x:v>#NAME?</x:v>
      </x:c>
      <x:c r="X521" t="e">
        <x:f>IF($A521="","",[1]!thsiFinD("ths_adjustment_nv_fund",X$3,$A521))</x:f>
        <x:v>#NAME?</x:v>
      </x:c>
      <x:c r="Y521" t="e">
        <x:f>IF($A521="","",[1]!thsiFinD("ths_adjustment_nv_fund",Y$3,$A521))</x:f>
        <x:v>#NAME?</x:v>
      </x:c>
    </x:row>
    <x:row r="522">
      <x:c r="B522" t="e">
        <x:f>IF($A522="","",[1]!thsiFinD("ths_adjustment_nv_fund",B$3,$A522))</x:f>
        <x:v>#NAME?</x:v>
      </x:c>
      <x:c r="C522" t="e">
        <x:f>IF($A522="","",[1]!thsiFinD("ths_adjustment_nv_fund",C$3,$A522))</x:f>
        <x:v>#NAME?</x:v>
      </x:c>
      <x:c r="D522" t="e">
        <x:f>IF($A522="","",[1]!thsiFinD("ths_adjustment_nv_fund",D$3,$A522))</x:f>
        <x:v>#NAME?</x:v>
      </x:c>
      <x:c r="E522" t="e">
        <x:f>IF($A522="","",[1]!thsiFinD("ths_adjustment_nv_fund",E$3,$A522))</x:f>
        <x:v>#NAME?</x:v>
      </x:c>
      <x:c r="F522" t="e">
        <x:f>IF($A522="","",[1]!thsiFinD("ths_adjustment_nv_fund",F$3,$A522))</x:f>
        <x:v>#NAME?</x:v>
      </x:c>
      <x:c r="G522" t="e">
        <x:f>IF($A522="","",[1]!thsiFinD("ths_adjustment_nv_fund",G$3,$A522))</x:f>
        <x:v>#NAME?</x:v>
      </x:c>
      <x:c r="H522" t="e">
        <x:f>IF($A522="","",[1]!thsiFinD("ths_adjustment_nv_fund",H$3,$A522))</x:f>
        <x:v>#NAME?</x:v>
      </x:c>
      <x:c r="I522" t="e">
        <x:f>IF($A522="","",[1]!thsiFinD("ths_adjustment_nv_fund",I$3,$A522))</x:f>
        <x:v>#NAME?</x:v>
      </x:c>
      <x:c r="J522" t="e">
        <x:f>IF($A522="","",[1]!thsiFinD("ths_adjustment_nv_fund",J$3,$A522))</x:f>
        <x:v>#NAME?</x:v>
      </x:c>
      <x:c r="K522" t="e">
        <x:f>IF($A522="","",[1]!thsiFinD("ths_adjustment_nv_fund",K$3,$A522))</x:f>
        <x:v>#NAME?</x:v>
      </x:c>
      <x:c r="L522" t="e">
        <x:f>IF($A522="","",[1]!thsiFinD("ths_adjustment_nv_fund",L$3,$A522))</x:f>
        <x:v>#NAME?</x:v>
      </x:c>
      <x:c r="M522" t="e">
        <x:f>IF($A522="","",[1]!thsiFinD("ths_adjustment_nv_fund",M$3,$A522))</x:f>
        <x:v>#NAME?</x:v>
      </x:c>
      <x:c r="N522" t="e">
        <x:f>IF($A522="","",[1]!thsiFinD("ths_adjustment_nv_fund",N$3,$A522))</x:f>
        <x:v>#NAME?</x:v>
      </x:c>
      <x:c r="O522" t="e">
        <x:f>IF($A522="","",[1]!thsiFinD("ths_adjustment_nv_fund",O$3,$A522))</x:f>
        <x:v>#NAME?</x:v>
      </x:c>
      <x:c r="P522" t="e">
        <x:f>IF($A522="","",[1]!thsiFinD("ths_adjustment_nv_fund",P$3,$A522))</x:f>
        <x:v>#NAME?</x:v>
      </x:c>
      <x:c r="Q522" t="e">
        <x:f>IF($A522="","",[1]!thsiFinD("ths_adjustment_nv_fund",Q$3,$A522))</x:f>
        <x:v>#NAME?</x:v>
      </x:c>
      <x:c r="R522" t="e">
        <x:f>IF($A522="","",[1]!thsiFinD("ths_adjustment_nv_fund",R$3,$A522))</x:f>
        <x:v>#NAME?</x:v>
      </x:c>
      <x:c r="S522" t="e">
        <x:f>IF($A522="","",[1]!thsiFinD("ths_adjustment_nv_fund",S$3,$A522))</x:f>
        <x:v>#NAME?</x:v>
      </x:c>
      <x:c r="T522" t="e">
        <x:f>IF($A522="","",[1]!thsiFinD("ths_adjustment_nv_fund",T$3,$A522))</x:f>
        <x:v>#NAME?</x:v>
      </x:c>
      <x:c r="U522" t="e">
        <x:f>IF($A522="","",[1]!thsiFinD("ths_adjustment_nv_fund",U$3,$A522))</x:f>
        <x:v>#NAME?</x:v>
      </x:c>
      <x:c r="V522" t="e">
        <x:f>IF($A522="","",[1]!thsiFinD("ths_adjustment_nv_fund",V$3,$A522))</x:f>
        <x:v>#NAME?</x:v>
      </x:c>
      <x:c r="W522" t="e">
        <x:f>IF($A522="","",[1]!thsiFinD("ths_adjustment_nv_fund",W$3,$A522))</x:f>
        <x:v>#NAME?</x:v>
      </x:c>
      <x:c r="X522" t="e">
        <x:f>IF($A522="","",[1]!thsiFinD("ths_adjustment_nv_fund",X$3,$A522))</x:f>
        <x:v>#NAME?</x:v>
      </x:c>
      <x:c r="Y522" t="e">
        <x:f>IF($A522="","",[1]!thsiFinD("ths_adjustment_nv_fund",Y$3,$A522))</x:f>
        <x:v>#NAME?</x:v>
      </x:c>
    </x:row>
    <x:row r="523">
      <x:c r="B523" t="e">
        <x:f>IF($A523="","",[1]!thsiFinD("ths_adjustment_nv_fund",B$3,$A523))</x:f>
        <x:v>#NAME?</x:v>
      </x:c>
      <x:c r="C523" t="e">
        <x:f>IF($A523="","",[1]!thsiFinD("ths_adjustment_nv_fund",C$3,$A523))</x:f>
        <x:v>#NAME?</x:v>
      </x:c>
      <x:c r="D523" t="e">
        <x:f>IF($A523="","",[1]!thsiFinD("ths_adjustment_nv_fund",D$3,$A523))</x:f>
        <x:v>#NAME?</x:v>
      </x:c>
      <x:c r="E523" t="e">
        <x:f>IF($A523="","",[1]!thsiFinD("ths_adjustment_nv_fund",E$3,$A523))</x:f>
        <x:v>#NAME?</x:v>
      </x:c>
      <x:c r="F523" t="e">
        <x:f>IF($A523="","",[1]!thsiFinD("ths_adjustment_nv_fund",F$3,$A523))</x:f>
        <x:v>#NAME?</x:v>
      </x:c>
      <x:c r="G523" t="e">
        <x:f>IF($A523="","",[1]!thsiFinD("ths_adjustment_nv_fund",G$3,$A523))</x:f>
        <x:v>#NAME?</x:v>
      </x:c>
      <x:c r="H523" t="e">
        <x:f>IF($A523="","",[1]!thsiFinD("ths_adjustment_nv_fund",H$3,$A523))</x:f>
        <x:v>#NAME?</x:v>
      </x:c>
      <x:c r="I523" t="e">
        <x:f>IF($A523="","",[1]!thsiFinD("ths_adjustment_nv_fund",I$3,$A523))</x:f>
        <x:v>#NAME?</x:v>
      </x:c>
      <x:c r="J523" t="e">
        <x:f>IF($A523="","",[1]!thsiFinD("ths_adjustment_nv_fund",J$3,$A523))</x:f>
        <x:v>#NAME?</x:v>
      </x:c>
      <x:c r="K523" t="e">
        <x:f>IF($A523="","",[1]!thsiFinD("ths_adjustment_nv_fund",K$3,$A523))</x:f>
        <x:v>#NAME?</x:v>
      </x:c>
      <x:c r="L523" t="e">
        <x:f>IF($A523="","",[1]!thsiFinD("ths_adjustment_nv_fund",L$3,$A523))</x:f>
        <x:v>#NAME?</x:v>
      </x:c>
      <x:c r="M523" t="e">
        <x:f>IF($A523="","",[1]!thsiFinD("ths_adjustment_nv_fund",M$3,$A523))</x:f>
        <x:v>#NAME?</x:v>
      </x:c>
      <x:c r="N523" t="e">
        <x:f>IF($A523="","",[1]!thsiFinD("ths_adjustment_nv_fund",N$3,$A523))</x:f>
        <x:v>#NAME?</x:v>
      </x:c>
      <x:c r="O523" t="e">
        <x:f>IF($A523="","",[1]!thsiFinD("ths_adjustment_nv_fund",O$3,$A523))</x:f>
        <x:v>#NAME?</x:v>
      </x:c>
      <x:c r="P523" t="e">
        <x:f>IF($A523="","",[1]!thsiFinD("ths_adjustment_nv_fund",P$3,$A523))</x:f>
        <x:v>#NAME?</x:v>
      </x:c>
      <x:c r="Q523" t="e">
        <x:f>IF($A523="","",[1]!thsiFinD("ths_adjustment_nv_fund",Q$3,$A523))</x:f>
        <x:v>#NAME?</x:v>
      </x:c>
      <x:c r="R523" t="e">
        <x:f>IF($A523="","",[1]!thsiFinD("ths_adjustment_nv_fund",R$3,$A523))</x:f>
        <x:v>#NAME?</x:v>
      </x:c>
      <x:c r="S523" t="e">
        <x:f>IF($A523="","",[1]!thsiFinD("ths_adjustment_nv_fund",S$3,$A523))</x:f>
        <x:v>#NAME?</x:v>
      </x:c>
      <x:c r="T523" t="e">
        <x:f>IF($A523="","",[1]!thsiFinD("ths_adjustment_nv_fund",T$3,$A523))</x:f>
        <x:v>#NAME?</x:v>
      </x:c>
      <x:c r="U523" t="e">
        <x:f>IF($A523="","",[1]!thsiFinD("ths_adjustment_nv_fund",U$3,$A523))</x:f>
        <x:v>#NAME?</x:v>
      </x:c>
      <x:c r="V523" t="e">
        <x:f>IF($A523="","",[1]!thsiFinD("ths_adjustment_nv_fund",V$3,$A523))</x:f>
        <x:v>#NAME?</x:v>
      </x:c>
      <x:c r="W523" t="e">
        <x:f>IF($A523="","",[1]!thsiFinD("ths_adjustment_nv_fund",W$3,$A523))</x:f>
        <x:v>#NAME?</x:v>
      </x:c>
      <x:c r="X523" t="e">
        <x:f>IF($A523="","",[1]!thsiFinD("ths_adjustment_nv_fund",X$3,$A523))</x:f>
        <x:v>#NAME?</x:v>
      </x:c>
      <x:c r="Y523" t="e">
        <x:f>IF($A523="","",[1]!thsiFinD("ths_adjustment_nv_fund",Y$3,$A523))</x:f>
        <x:v>#NAME?</x:v>
      </x:c>
    </x:row>
    <x:row r="524">
      <x:c r="B524" t="e">
        <x:f>IF($A524="","",[1]!thsiFinD("ths_adjustment_nv_fund",B$3,$A524))</x:f>
        <x:v>#NAME?</x:v>
      </x:c>
      <x:c r="C524" t="e">
        <x:f>IF($A524="","",[1]!thsiFinD("ths_adjustment_nv_fund",C$3,$A524))</x:f>
        <x:v>#NAME?</x:v>
      </x:c>
      <x:c r="D524" t="e">
        <x:f>IF($A524="","",[1]!thsiFinD("ths_adjustment_nv_fund",D$3,$A524))</x:f>
        <x:v>#NAME?</x:v>
      </x:c>
      <x:c r="E524" t="e">
        <x:f>IF($A524="","",[1]!thsiFinD("ths_adjustment_nv_fund",E$3,$A524))</x:f>
        <x:v>#NAME?</x:v>
      </x:c>
      <x:c r="F524" t="e">
        <x:f>IF($A524="","",[1]!thsiFinD("ths_adjustment_nv_fund",F$3,$A524))</x:f>
        <x:v>#NAME?</x:v>
      </x:c>
      <x:c r="G524" t="e">
        <x:f>IF($A524="","",[1]!thsiFinD("ths_adjustment_nv_fund",G$3,$A524))</x:f>
        <x:v>#NAME?</x:v>
      </x:c>
      <x:c r="H524" t="e">
        <x:f>IF($A524="","",[1]!thsiFinD("ths_adjustment_nv_fund",H$3,$A524))</x:f>
        <x:v>#NAME?</x:v>
      </x:c>
      <x:c r="I524" t="e">
        <x:f>IF($A524="","",[1]!thsiFinD("ths_adjustment_nv_fund",I$3,$A524))</x:f>
        <x:v>#NAME?</x:v>
      </x:c>
      <x:c r="J524" t="e">
        <x:f>IF($A524="","",[1]!thsiFinD("ths_adjustment_nv_fund",J$3,$A524))</x:f>
        <x:v>#NAME?</x:v>
      </x:c>
      <x:c r="K524" t="e">
        <x:f>IF($A524="","",[1]!thsiFinD("ths_adjustment_nv_fund",K$3,$A524))</x:f>
        <x:v>#NAME?</x:v>
      </x:c>
      <x:c r="L524" t="e">
        <x:f>IF($A524="","",[1]!thsiFinD("ths_adjustment_nv_fund",L$3,$A524))</x:f>
        <x:v>#NAME?</x:v>
      </x:c>
      <x:c r="M524" t="e">
        <x:f>IF($A524="","",[1]!thsiFinD("ths_adjustment_nv_fund",M$3,$A524))</x:f>
        <x:v>#NAME?</x:v>
      </x:c>
      <x:c r="N524" t="e">
        <x:f>IF($A524="","",[1]!thsiFinD("ths_adjustment_nv_fund",N$3,$A524))</x:f>
        <x:v>#NAME?</x:v>
      </x:c>
      <x:c r="O524" t="e">
        <x:f>IF($A524="","",[1]!thsiFinD("ths_adjustment_nv_fund",O$3,$A524))</x:f>
        <x:v>#NAME?</x:v>
      </x:c>
      <x:c r="P524" t="e">
        <x:f>IF($A524="","",[1]!thsiFinD("ths_adjustment_nv_fund",P$3,$A524))</x:f>
        <x:v>#NAME?</x:v>
      </x:c>
      <x:c r="Q524" t="e">
        <x:f>IF($A524="","",[1]!thsiFinD("ths_adjustment_nv_fund",Q$3,$A524))</x:f>
        <x:v>#NAME?</x:v>
      </x:c>
      <x:c r="R524" t="e">
        <x:f>IF($A524="","",[1]!thsiFinD("ths_adjustment_nv_fund",R$3,$A524))</x:f>
        <x:v>#NAME?</x:v>
      </x:c>
      <x:c r="S524" t="e">
        <x:f>IF($A524="","",[1]!thsiFinD("ths_adjustment_nv_fund",S$3,$A524))</x:f>
        <x:v>#NAME?</x:v>
      </x:c>
      <x:c r="T524" t="e">
        <x:f>IF($A524="","",[1]!thsiFinD("ths_adjustment_nv_fund",T$3,$A524))</x:f>
        <x:v>#NAME?</x:v>
      </x:c>
      <x:c r="U524" t="e">
        <x:f>IF($A524="","",[1]!thsiFinD("ths_adjustment_nv_fund",U$3,$A524))</x:f>
        <x:v>#NAME?</x:v>
      </x:c>
      <x:c r="V524" t="e">
        <x:f>IF($A524="","",[1]!thsiFinD("ths_adjustment_nv_fund",V$3,$A524))</x:f>
        <x:v>#NAME?</x:v>
      </x:c>
      <x:c r="W524" t="e">
        <x:f>IF($A524="","",[1]!thsiFinD("ths_adjustment_nv_fund",W$3,$A524))</x:f>
        <x:v>#NAME?</x:v>
      </x:c>
      <x:c r="X524" t="e">
        <x:f>IF($A524="","",[1]!thsiFinD("ths_adjustment_nv_fund",X$3,$A524))</x:f>
        <x:v>#NAME?</x:v>
      </x:c>
      <x:c r="Y524" t="e">
        <x:f>IF($A524="","",[1]!thsiFinD("ths_adjustment_nv_fund",Y$3,$A524))</x:f>
        <x:v>#NAME?</x:v>
      </x:c>
    </x:row>
    <x:row r="525">
      <x:c r="B525" t="e">
        <x:f>IF($A525="","",[1]!thsiFinD("ths_adjustment_nv_fund",B$3,$A525))</x:f>
        <x:v>#NAME?</x:v>
      </x:c>
      <x:c r="C525" t="e">
        <x:f>IF($A525="","",[1]!thsiFinD("ths_adjustment_nv_fund",C$3,$A525))</x:f>
        <x:v>#NAME?</x:v>
      </x:c>
      <x:c r="D525" t="e">
        <x:f>IF($A525="","",[1]!thsiFinD("ths_adjustment_nv_fund",D$3,$A525))</x:f>
        <x:v>#NAME?</x:v>
      </x:c>
      <x:c r="E525" t="e">
        <x:f>IF($A525="","",[1]!thsiFinD("ths_adjustment_nv_fund",E$3,$A525))</x:f>
        <x:v>#NAME?</x:v>
      </x:c>
      <x:c r="F525" t="e">
        <x:f>IF($A525="","",[1]!thsiFinD("ths_adjustment_nv_fund",F$3,$A525))</x:f>
        <x:v>#NAME?</x:v>
      </x:c>
      <x:c r="G525" t="e">
        <x:f>IF($A525="","",[1]!thsiFinD("ths_adjustment_nv_fund",G$3,$A525))</x:f>
        <x:v>#NAME?</x:v>
      </x:c>
      <x:c r="H525" t="e">
        <x:f>IF($A525="","",[1]!thsiFinD("ths_adjustment_nv_fund",H$3,$A525))</x:f>
        <x:v>#NAME?</x:v>
      </x:c>
      <x:c r="I525" t="e">
        <x:f>IF($A525="","",[1]!thsiFinD("ths_adjustment_nv_fund",I$3,$A525))</x:f>
        <x:v>#NAME?</x:v>
      </x:c>
      <x:c r="J525" t="e">
        <x:f>IF($A525="","",[1]!thsiFinD("ths_adjustment_nv_fund",J$3,$A525))</x:f>
        <x:v>#NAME?</x:v>
      </x:c>
      <x:c r="K525" t="e">
        <x:f>IF($A525="","",[1]!thsiFinD("ths_adjustment_nv_fund",K$3,$A525))</x:f>
        <x:v>#NAME?</x:v>
      </x:c>
      <x:c r="L525" t="e">
        <x:f>IF($A525="","",[1]!thsiFinD("ths_adjustment_nv_fund",L$3,$A525))</x:f>
        <x:v>#NAME?</x:v>
      </x:c>
      <x:c r="M525" t="e">
        <x:f>IF($A525="","",[1]!thsiFinD("ths_adjustment_nv_fund",M$3,$A525))</x:f>
        <x:v>#NAME?</x:v>
      </x:c>
      <x:c r="N525" t="e">
        <x:f>IF($A525="","",[1]!thsiFinD("ths_adjustment_nv_fund",N$3,$A525))</x:f>
        <x:v>#NAME?</x:v>
      </x:c>
      <x:c r="O525" t="e">
        <x:f>IF($A525="","",[1]!thsiFinD("ths_adjustment_nv_fund",O$3,$A525))</x:f>
        <x:v>#NAME?</x:v>
      </x:c>
      <x:c r="P525" t="e">
        <x:f>IF($A525="","",[1]!thsiFinD("ths_adjustment_nv_fund",P$3,$A525))</x:f>
        <x:v>#NAME?</x:v>
      </x:c>
      <x:c r="Q525" t="e">
        <x:f>IF($A525="","",[1]!thsiFinD("ths_adjustment_nv_fund",Q$3,$A525))</x:f>
        <x:v>#NAME?</x:v>
      </x:c>
      <x:c r="R525" t="e">
        <x:f>IF($A525="","",[1]!thsiFinD("ths_adjustment_nv_fund",R$3,$A525))</x:f>
        <x:v>#NAME?</x:v>
      </x:c>
      <x:c r="S525" t="e">
        <x:f>IF($A525="","",[1]!thsiFinD("ths_adjustment_nv_fund",S$3,$A525))</x:f>
        <x:v>#NAME?</x:v>
      </x:c>
      <x:c r="T525" t="e">
        <x:f>IF($A525="","",[1]!thsiFinD("ths_adjustment_nv_fund",T$3,$A525))</x:f>
        <x:v>#NAME?</x:v>
      </x:c>
      <x:c r="U525" t="e">
        <x:f>IF($A525="","",[1]!thsiFinD("ths_adjustment_nv_fund",U$3,$A525))</x:f>
        <x:v>#NAME?</x:v>
      </x:c>
      <x:c r="V525" t="e">
        <x:f>IF($A525="","",[1]!thsiFinD("ths_adjustment_nv_fund",V$3,$A525))</x:f>
        <x:v>#NAME?</x:v>
      </x:c>
      <x:c r="W525" t="e">
        <x:f>IF($A525="","",[1]!thsiFinD("ths_adjustment_nv_fund",W$3,$A525))</x:f>
        <x:v>#NAME?</x:v>
      </x:c>
      <x:c r="X525" t="e">
        <x:f>IF($A525="","",[1]!thsiFinD("ths_adjustment_nv_fund",X$3,$A525))</x:f>
        <x:v>#NAME?</x:v>
      </x:c>
      <x:c r="Y525" t="e">
        <x:f>IF($A525="","",[1]!thsiFinD("ths_adjustment_nv_fund",Y$3,$A525))</x:f>
        <x:v>#NAME?</x:v>
      </x:c>
    </x:row>
    <x:row r="526">
      <x:c r="B526" t="e">
        <x:f>IF($A526="","",[1]!thsiFinD("ths_adjustment_nv_fund",B$3,$A526))</x:f>
        <x:v>#NAME?</x:v>
      </x:c>
      <x:c r="C526" t="e">
        <x:f>IF($A526="","",[1]!thsiFinD("ths_adjustment_nv_fund",C$3,$A526))</x:f>
        <x:v>#NAME?</x:v>
      </x:c>
      <x:c r="D526" t="e">
        <x:f>IF($A526="","",[1]!thsiFinD("ths_adjustment_nv_fund",D$3,$A526))</x:f>
        <x:v>#NAME?</x:v>
      </x:c>
      <x:c r="E526" t="e">
        <x:f>IF($A526="","",[1]!thsiFinD("ths_adjustment_nv_fund",E$3,$A526))</x:f>
        <x:v>#NAME?</x:v>
      </x:c>
      <x:c r="F526" t="e">
        <x:f>IF($A526="","",[1]!thsiFinD("ths_adjustment_nv_fund",F$3,$A526))</x:f>
        <x:v>#NAME?</x:v>
      </x:c>
      <x:c r="G526" t="e">
        <x:f>IF($A526="","",[1]!thsiFinD("ths_adjustment_nv_fund",G$3,$A526))</x:f>
        <x:v>#NAME?</x:v>
      </x:c>
      <x:c r="H526" t="e">
        <x:f>IF($A526="","",[1]!thsiFinD("ths_adjustment_nv_fund",H$3,$A526))</x:f>
        <x:v>#NAME?</x:v>
      </x:c>
      <x:c r="I526" t="e">
        <x:f>IF($A526="","",[1]!thsiFinD("ths_adjustment_nv_fund",I$3,$A526))</x:f>
        <x:v>#NAME?</x:v>
      </x:c>
      <x:c r="J526" t="e">
        <x:f>IF($A526="","",[1]!thsiFinD("ths_adjustment_nv_fund",J$3,$A526))</x:f>
        <x:v>#NAME?</x:v>
      </x:c>
      <x:c r="K526" t="e">
        <x:f>IF($A526="","",[1]!thsiFinD("ths_adjustment_nv_fund",K$3,$A526))</x:f>
        <x:v>#NAME?</x:v>
      </x:c>
      <x:c r="L526" t="e">
        <x:f>IF($A526="","",[1]!thsiFinD("ths_adjustment_nv_fund",L$3,$A526))</x:f>
        <x:v>#NAME?</x:v>
      </x:c>
      <x:c r="M526" t="e">
        <x:f>IF($A526="","",[1]!thsiFinD("ths_adjustment_nv_fund",M$3,$A526))</x:f>
        <x:v>#NAME?</x:v>
      </x:c>
      <x:c r="N526" t="e">
        <x:f>IF($A526="","",[1]!thsiFinD("ths_adjustment_nv_fund",N$3,$A526))</x:f>
        <x:v>#NAME?</x:v>
      </x:c>
      <x:c r="O526" t="e">
        <x:f>IF($A526="","",[1]!thsiFinD("ths_adjustment_nv_fund",O$3,$A526))</x:f>
        <x:v>#NAME?</x:v>
      </x:c>
      <x:c r="P526" t="e">
        <x:f>IF($A526="","",[1]!thsiFinD("ths_adjustment_nv_fund",P$3,$A526))</x:f>
        <x:v>#NAME?</x:v>
      </x:c>
      <x:c r="Q526" t="e">
        <x:f>IF($A526="","",[1]!thsiFinD("ths_adjustment_nv_fund",Q$3,$A526))</x:f>
        <x:v>#NAME?</x:v>
      </x:c>
      <x:c r="R526" t="e">
        <x:f>IF($A526="","",[1]!thsiFinD("ths_adjustment_nv_fund",R$3,$A526))</x:f>
        <x:v>#NAME?</x:v>
      </x:c>
      <x:c r="S526" t="e">
        <x:f>IF($A526="","",[1]!thsiFinD("ths_adjustment_nv_fund",S$3,$A526))</x:f>
        <x:v>#NAME?</x:v>
      </x:c>
      <x:c r="T526" t="e">
        <x:f>IF($A526="","",[1]!thsiFinD("ths_adjustment_nv_fund",T$3,$A526))</x:f>
        <x:v>#NAME?</x:v>
      </x:c>
      <x:c r="U526" t="e">
        <x:f>IF($A526="","",[1]!thsiFinD("ths_adjustment_nv_fund",U$3,$A526))</x:f>
        <x:v>#NAME?</x:v>
      </x:c>
      <x:c r="V526" t="e">
        <x:f>IF($A526="","",[1]!thsiFinD("ths_adjustment_nv_fund",V$3,$A526))</x:f>
        <x:v>#NAME?</x:v>
      </x:c>
      <x:c r="W526" t="e">
        <x:f>IF($A526="","",[1]!thsiFinD("ths_adjustment_nv_fund",W$3,$A526))</x:f>
        <x:v>#NAME?</x:v>
      </x:c>
      <x:c r="X526" t="e">
        <x:f>IF($A526="","",[1]!thsiFinD("ths_adjustment_nv_fund",X$3,$A526))</x:f>
        <x:v>#NAME?</x:v>
      </x:c>
      <x:c r="Y526" t="e">
        <x:f>IF($A526="","",[1]!thsiFinD("ths_adjustment_nv_fund",Y$3,$A526))</x:f>
        <x:v>#NAME?</x:v>
      </x:c>
    </x:row>
    <x:row r="527">
      <x:c r="B527" t="e">
        <x:f>IF($A527="","",[1]!thsiFinD("ths_adjustment_nv_fund",B$3,$A527))</x:f>
        <x:v>#NAME?</x:v>
      </x:c>
      <x:c r="C527" t="e">
        <x:f>IF($A527="","",[1]!thsiFinD("ths_adjustment_nv_fund",C$3,$A527))</x:f>
        <x:v>#NAME?</x:v>
      </x:c>
      <x:c r="D527" t="e">
        <x:f>IF($A527="","",[1]!thsiFinD("ths_adjustment_nv_fund",D$3,$A527))</x:f>
        <x:v>#NAME?</x:v>
      </x:c>
      <x:c r="E527" t="e">
        <x:f>IF($A527="","",[1]!thsiFinD("ths_adjustment_nv_fund",E$3,$A527))</x:f>
        <x:v>#NAME?</x:v>
      </x:c>
      <x:c r="F527" t="e">
        <x:f>IF($A527="","",[1]!thsiFinD("ths_adjustment_nv_fund",F$3,$A527))</x:f>
        <x:v>#NAME?</x:v>
      </x:c>
      <x:c r="G527" t="e">
        <x:f>IF($A527="","",[1]!thsiFinD("ths_adjustment_nv_fund",G$3,$A527))</x:f>
        <x:v>#NAME?</x:v>
      </x:c>
      <x:c r="H527" t="e">
        <x:f>IF($A527="","",[1]!thsiFinD("ths_adjustment_nv_fund",H$3,$A527))</x:f>
        <x:v>#NAME?</x:v>
      </x:c>
      <x:c r="I527" t="e">
        <x:f>IF($A527="","",[1]!thsiFinD("ths_adjustment_nv_fund",I$3,$A527))</x:f>
        <x:v>#NAME?</x:v>
      </x:c>
      <x:c r="J527" t="e">
        <x:f>IF($A527="","",[1]!thsiFinD("ths_adjustment_nv_fund",J$3,$A527))</x:f>
        <x:v>#NAME?</x:v>
      </x:c>
      <x:c r="K527" t="e">
        <x:f>IF($A527="","",[1]!thsiFinD("ths_adjustment_nv_fund",K$3,$A527))</x:f>
        <x:v>#NAME?</x:v>
      </x:c>
      <x:c r="L527" t="e">
        <x:f>IF($A527="","",[1]!thsiFinD("ths_adjustment_nv_fund",L$3,$A527))</x:f>
        <x:v>#NAME?</x:v>
      </x:c>
      <x:c r="M527" t="e">
        <x:f>IF($A527="","",[1]!thsiFinD("ths_adjustment_nv_fund",M$3,$A527))</x:f>
        <x:v>#NAME?</x:v>
      </x:c>
      <x:c r="N527" t="e">
        <x:f>IF($A527="","",[1]!thsiFinD("ths_adjustment_nv_fund",N$3,$A527))</x:f>
        <x:v>#NAME?</x:v>
      </x:c>
      <x:c r="O527" t="e">
        <x:f>IF($A527="","",[1]!thsiFinD("ths_adjustment_nv_fund",O$3,$A527))</x:f>
        <x:v>#NAME?</x:v>
      </x:c>
      <x:c r="P527" t="e">
        <x:f>IF($A527="","",[1]!thsiFinD("ths_adjustment_nv_fund",P$3,$A527))</x:f>
        <x:v>#NAME?</x:v>
      </x:c>
      <x:c r="Q527" t="e">
        <x:f>IF($A527="","",[1]!thsiFinD("ths_adjustment_nv_fund",Q$3,$A527))</x:f>
        <x:v>#NAME?</x:v>
      </x:c>
      <x:c r="R527" t="e">
        <x:f>IF($A527="","",[1]!thsiFinD("ths_adjustment_nv_fund",R$3,$A527))</x:f>
        <x:v>#NAME?</x:v>
      </x:c>
      <x:c r="S527" t="e">
        <x:f>IF($A527="","",[1]!thsiFinD("ths_adjustment_nv_fund",S$3,$A527))</x:f>
        <x:v>#NAME?</x:v>
      </x:c>
      <x:c r="T527" t="e">
        <x:f>IF($A527="","",[1]!thsiFinD("ths_adjustment_nv_fund",T$3,$A527))</x:f>
        <x:v>#NAME?</x:v>
      </x:c>
      <x:c r="U527" t="e">
        <x:f>IF($A527="","",[1]!thsiFinD("ths_adjustment_nv_fund",U$3,$A527))</x:f>
        <x:v>#NAME?</x:v>
      </x:c>
      <x:c r="V527" t="e">
        <x:f>IF($A527="","",[1]!thsiFinD("ths_adjustment_nv_fund",V$3,$A527))</x:f>
        <x:v>#NAME?</x:v>
      </x:c>
      <x:c r="W527" t="e">
        <x:f>IF($A527="","",[1]!thsiFinD("ths_adjustment_nv_fund",W$3,$A527))</x:f>
        <x:v>#NAME?</x:v>
      </x:c>
      <x:c r="X527" t="e">
        <x:f>IF($A527="","",[1]!thsiFinD("ths_adjustment_nv_fund",X$3,$A527))</x:f>
        <x:v>#NAME?</x:v>
      </x:c>
      <x:c r="Y527" t="e">
        <x:f>IF($A527="","",[1]!thsiFinD("ths_adjustment_nv_fund",Y$3,$A527))</x:f>
        <x:v>#NAME?</x:v>
      </x:c>
    </x:row>
    <x:row r="528">
      <x:c r="B528" t="e">
        <x:f>IF($A528="","",[1]!thsiFinD("ths_adjustment_nv_fund",B$3,$A528))</x:f>
        <x:v>#NAME?</x:v>
      </x:c>
      <x:c r="C528" t="e">
        <x:f>IF($A528="","",[1]!thsiFinD("ths_adjustment_nv_fund",C$3,$A528))</x:f>
        <x:v>#NAME?</x:v>
      </x:c>
      <x:c r="D528" t="e">
        <x:f>IF($A528="","",[1]!thsiFinD("ths_adjustment_nv_fund",D$3,$A528))</x:f>
        <x:v>#NAME?</x:v>
      </x:c>
      <x:c r="E528" t="e">
        <x:f>IF($A528="","",[1]!thsiFinD("ths_adjustment_nv_fund",E$3,$A528))</x:f>
        <x:v>#NAME?</x:v>
      </x:c>
      <x:c r="F528" t="e">
        <x:f>IF($A528="","",[1]!thsiFinD("ths_adjustment_nv_fund",F$3,$A528))</x:f>
        <x:v>#NAME?</x:v>
      </x:c>
      <x:c r="G528" t="e">
        <x:f>IF($A528="","",[1]!thsiFinD("ths_adjustment_nv_fund",G$3,$A528))</x:f>
        <x:v>#NAME?</x:v>
      </x:c>
      <x:c r="H528" t="e">
        <x:f>IF($A528="","",[1]!thsiFinD("ths_adjustment_nv_fund",H$3,$A528))</x:f>
        <x:v>#NAME?</x:v>
      </x:c>
      <x:c r="I528" t="e">
        <x:f>IF($A528="","",[1]!thsiFinD("ths_adjustment_nv_fund",I$3,$A528))</x:f>
        <x:v>#NAME?</x:v>
      </x:c>
      <x:c r="J528" t="e">
        <x:f>IF($A528="","",[1]!thsiFinD("ths_adjustment_nv_fund",J$3,$A528))</x:f>
        <x:v>#NAME?</x:v>
      </x:c>
      <x:c r="K528" t="e">
        <x:f>IF($A528="","",[1]!thsiFinD("ths_adjustment_nv_fund",K$3,$A528))</x:f>
        <x:v>#NAME?</x:v>
      </x:c>
      <x:c r="L528" t="e">
        <x:f>IF($A528="","",[1]!thsiFinD("ths_adjustment_nv_fund",L$3,$A528))</x:f>
        <x:v>#NAME?</x:v>
      </x:c>
      <x:c r="M528" t="e">
        <x:f>IF($A528="","",[1]!thsiFinD("ths_adjustment_nv_fund",M$3,$A528))</x:f>
        <x:v>#NAME?</x:v>
      </x:c>
      <x:c r="N528" t="e">
        <x:f>IF($A528="","",[1]!thsiFinD("ths_adjustment_nv_fund",N$3,$A528))</x:f>
        <x:v>#NAME?</x:v>
      </x:c>
      <x:c r="O528" t="e">
        <x:f>IF($A528="","",[1]!thsiFinD("ths_adjustment_nv_fund",O$3,$A528))</x:f>
        <x:v>#NAME?</x:v>
      </x:c>
      <x:c r="P528" t="e">
        <x:f>IF($A528="","",[1]!thsiFinD("ths_adjustment_nv_fund",P$3,$A528))</x:f>
        <x:v>#NAME?</x:v>
      </x:c>
      <x:c r="Q528" t="e">
        <x:f>IF($A528="","",[1]!thsiFinD("ths_adjustment_nv_fund",Q$3,$A528))</x:f>
        <x:v>#NAME?</x:v>
      </x:c>
      <x:c r="R528" t="e">
        <x:f>IF($A528="","",[1]!thsiFinD("ths_adjustment_nv_fund",R$3,$A528))</x:f>
        <x:v>#NAME?</x:v>
      </x:c>
      <x:c r="S528" t="e">
        <x:f>IF($A528="","",[1]!thsiFinD("ths_adjustment_nv_fund",S$3,$A528))</x:f>
        <x:v>#NAME?</x:v>
      </x:c>
      <x:c r="T528" t="e">
        <x:f>IF($A528="","",[1]!thsiFinD("ths_adjustment_nv_fund",T$3,$A528))</x:f>
        <x:v>#NAME?</x:v>
      </x:c>
      <x:c r="U528" t="e">
        <x:f>IF($A528="","",[1]!thsiFinD("ths_adjustment_nv_fund",U$3,$A528))</x:f>
        <x:v>#NAME?</x:v>
      </x:c>
      <x:c r="V528" t="e">
        <x:f>IF($A528="","",[1]!thsiFinD("ths_adjustment_nv_fund",V$3,$A528))</x:f>
        <x:v>#NAME?</x:v>
      </x:c>
      <x:c r="W528" t="e">
        <x:f>IF($A528="","",[1]!thsiFinD("ths_adjustment_nv_fund",W$3,$A528))</x:f>
        <x:v>#NAME?</x:v>
      </x:c>
      <x:c r="X528" t="e">
        <x:f>IF($A528="","",[1]!thsiFinD("ths_adjustment_nv_fund",X$3,$A528))</x:f>
        <x:v>#NAME?</x:v>
      </x:c>
      <x:c r="Y528" t="e">
        <x:f>IF($A528="","",[1]!thsiFinD("ths_adjustment_nv_fund",Y$3,$A528))</x:f>
        <x:v>#NAME?</x:v>
      </x:c>
    </x:row>
    <x:row r="529">
      <x:c r="B529" t="e">
        <x:f>IF($A529="","",[1]!thsiFinD("ths_adjustment_nv_fund",B$3,$A529))</x:f>
        <x:v>#NAME?</x:v>
      </x:c>
      <x:c r="C529" t="e">
        <x:f>IF($A529="","",[1]!thsiFinD("ths_adjustment_nv_fund",C$3,$A529))</x:f>
        <x:v>#NAME?</x:v>
      </x:c>
      <x:c r="D529" t="e">
        <x:f>IF($A529="","",[1]!thsiFinD("ths_adjustment_nv_fund",D$3,$A529))</x:f>
        <x:v>#NAME?</x:v>
      </x:c>
      <x:c r="E529" t="e">
        <x:f>IF($A529="","",[1]!thsiFinD("ths_adjustment_nv_fund",E$3,$A529))</x:f>
        <x:v>#NAME?</x:v>
      </x:c>
      <x:c r="F529" t="e">
        <x:f>IF($A529="","",[1]!thsiFinD("ths_adjustment_nv_fund",F$3,$A529))</x:f>
        <x:v>#NAME?</x:v>
      </x:c>
      <x:c r="G529" t="e">
        <x:f>IF($A529="","",[1]!thsiFinD("ths_adjustment_nv_fund",G$3,$A529))</x:f>
        <x:v>#NAME?</x:v>
      </x:c>
      <x:c r="H529" t="e">
        <x:f>IF($A529="","",[1]!thsiFinD("ths_adjustment_nv_fund",H$3,$A529))</x:f>
        <x:v>#NAME?</x:v>
      </x:c>
      <x:c r="I529" t="e">
        <x:f>IF($A529="","",[1]!thsiFinD("ths_adjustment_nv_fund",I$3,$A529))</x:f>
        <x:v>#NAME?</x:v>
      </x:c>
      <x:c r="J529" t="e">
        <x:f>IF($A529="","",[1]!thsiFinD("ths_adjustment_nv_fund",J$3,$A529))</x:f>
        <x:v>#NAME?</x:v>
      </x:c>
      <x:c r="K529" t="e">
        <x:f>IF($A529="","",[1]!thsiFinD("ths_adjustment_nv_fund",K$3,$A529))</x:f>
        <x:v>#NAME?</x:v>
      </x:c>
      <x:c r="L529" t="e">
        <x:f>IF($A529="","",[1]!thsiFinD("ths_adjustment_nv_fund",L$3,$A529))</x:f>
        <x:v>#NAME?</x:v>
      </x:c>
      <x:c r="M529" t="e">
        <x:f>IF($A529="","",[1]!thsiFinD("ths_adjustment_nv_fund",M$3,$A529))</x:f>
        <x:v>#NAME?</x:v>
      </x:c>
      <x:c r="N529" t="e">
        <x:f>IF($A529="","",[1]!thsiFinD("ths_adjustment_nv_fund",N$3,$A529))</x:f>
        <x:v>#NAME?</x:v>
      </x:c>
      <x:c r="O529" t="e">
        <x:f>IF($A529="","",[1]!thsiFinD("ths_adjustment_nv_fund",O$3,$A529))</x:f>
        <x:v>#NAME?</x:v>
      </x:c>
      <x:c r="P529" t="e">
        <x:f>IF($A529="","",[1]!thsiFinD("ths_adjustment_nv_fund",P$3,$A529))</x:f>
        <x:v>#NAME?</x:v>
      </x:c>
      <x:c r="Q529" t="e">
        <x:f>IF($A529="","",[1]!thsiFinD("ths_adjustment_nv_fund",Q$3,$A529))</x:f>
        <x:v>#NAME?</x:v>
      </x:c>
      <x:c r="R529" t="e">
        <x:f>IF($A529="","",[1]!thsiFinD("ths_adjustment_nv_fund",R$3,$A529))</x:f>
        <x:v>#NAME?</x:v>
      </x:c>
      <x:c r="S529" t="e">
        <x:f>IF($A529="","",[1]!thsiFinD("ths_adjustment_nv_fund",S$3,$A529))</x:f>
        <x:v>#NAME?</x:v>
      </x:c>
      <x:c r="T529" t="e">
        <x:f>IF($A529="","",[1]!thsiFinD("ths_adjustment_nv_fund",T$3,$A529))</x:f>
        <x:v>#NAME?</x:v>
      </x:c>
      <x:c r="U529" t="e">
        <x:f>IF($A529="","",[1]!thsiFinD("ths_adjustment_nv_fund",U$3,$A529))</x:f>
        <x:v>#NAME?</x:v>
      </x:c>
      <x:c r="V529" t="e">
        <x:f>IF($A529="","",[1]!thsiFinD("ths_adjustment_nv_fund",V$3,$A529))</x:f>
        <x:v>#NAME?</x:v>
      </x:c>
      <x:c r="W529" t="e">
        <x:f>IF($A529="","",[1]!thsiFinD("ths_adjustment_nv_fund",W$3,$A529))</x:f>
        <x:v>#NAME?</x:v>
      </x:c>
      <x:c r="X529" t="e">
        <x:f>IF($A529="","",[1]!thsiFinD("ths_adjustment_nv_fund",X$3,$A529))</x:f>
        <x:v>#NAME?</x:v>
      </x:c>
      <x:c r="Y529" t="e">
        <x:f>IF($A529="","",[1]!thsiFinD("ths_adjustment_nv_fund",Y$3,$A529))</x:f>
        <x:v>#NAME?</x:v>
      </x:c>
    </x:row>
    <x:row r="530">
      <x:c r="B530" t="e">
        <x:f>IF($A530="","",[1]!thsiFinD("ths_adjustment_nv_fund",B$3,$A530))</x:f>
        <x:v>#NAME?</x:v>
      </x:c>
      <x:c r="C530" t="e">
        <x:f>IF($A530="","",[1]!thsiFinD("ths_adjustment_nv_fund",C$3,$A530))</x:f>
        <x:v>#NAME?</x:v>
      </x:c>
      <x:c r="D530" t="e">
        <x:f>IF($A530="","",[1]!thsiFinD("ths_adjustment_nv_fund",D$3,$A530))</x:f>
        <x:v>#NAME?</x:v>
      </x:c>
      <x:c r="E530" t="e">
        <x:f>IF($A530="","",[1]!thsiFinD("ths_adjustment_nv_fund",E$3,$A530))</x:f>
        <x:v>#NAME?</x:v>
      </x:c>
      <x:c r="F530" t="e">
        <x:f>IF($A530="","",[1]!thsiFinD("ths_adjustment_nv_fund",F$3,$A530))</x:f>
        <x:v>#NAME?</x:v>
      </x:c>
      <x:c r="G530" t="e">
        <x:f>IF($A530="","",[1]!thsiFinD("ths_adjustment_nv_fund",G$3,$A530))</x:f>
        <x:v>#NAME?</x:v>
      </x:c>
      <x:c r="H530" t="e">
        <x:f>IF($A530="","",[1]!thsiFinD("ths_adjustment_nv_fund",H$3,$A530))</x:f>
        <x:v>#NAME?</x:v>
      </x:c>
      <x:c r="I530" t="e">
        <x:f>IF($A530="","",[1]!thsiFinD("ths_adjustment_nv_fund",I$3,$A530))</x:f>
        <x:v>#NAME?</x:v>
      </x:c>
      <x:c r="J530" t="e">
        <x:f>IF($A530="","",[1]!thsiFinD("ths_adjustment_nv_fund",J$3,$A530))</x:f>
        <x:v>#NAME?</x:v>
      </x:c>
      <x:c r="K530" t="e">
        <x:f>IF($A530="","",[1]!thsiFinD("ths_adjustment_nv_fund",K$3,$A530))</x:f>
        <x:v>#NAME?</x:v>
      </x:c>
      <x:c r="L530" t="e">
        <x:f>IF($A530="","",[1]!thsiFinD("ths_adjustment_nv_fund",L$3,$A530))</x:f>
        <x:v>#NAME?</x:v>
      </x:c>
      <x:c r="M530" t="e">
        <x:f>IF($A530="","",[1]!thsiFinD("ths_adjustment_nv_fund",M$3,$A530))</x:f>
        <x:v>#NAME?</x:v>
      </x:c>
      <x:c r="N530" t="e">
        <x:f>IF($A530="","",[1]!thsiFinD("ths_adjustment_nv_fund",N$3,$A530))</x:f>
        <x:v>#NAME?</x:v>
      </x:c>
      <x:c r="O530" t="e">
        <x:f>IF($A530="","",[1]!thsiFinD("ths_adjustment_nv_fund",O$3,$A530))</x:f>
        <x:v>#NAME?</x:v>
      </x:c>
      <x:c r="P530" t="e">
        <x:f>IF($A530="","",[1]!thsiFinD("ths_adjustment_nv_fund",P$3,$A530))</x:f>
        <x:v>#NAME?</x:v>
      </x:c>
      <x:c r="Q530" t="e">
        <x:f>IF($A530="","",[1]!thsiFinD("ths_adjustment_nv_fund",Q$3,$A530))</x:f>
        <x:v>#NAME?</x:v>
      </x:c>
      <x:c r="R530" t="e">
        <x:f>IF($A530="","",[1]!thsiFinD("ths_adjustment_nv_fund",R$3,$A530))</x:f>
        <x:v>#NAME?</x:v>
      </x:c>
      <x:c r="S530" t="e">
        <x:f>IF($A530="","",[1]!thsiFinD("ths_adjustment_nv_fund",S$3,$A530))</x:f>
        <x:v>#NAME?</x:v>
      </x:c>
      <x:c r="T530" t="e">
        <x:f>IF($A530="","",[1]!thsiFinD("ths_adjustment_nv_fund",T$3,$A530))</x:f>
        <x:v>#NAME?</x:v>
      </x:c>
      <x:c r="U530" t="e">
        <x:f>IF($A530="","",[1]!thsiFinD("ths_adjustment_nv_fund",U$3,$A530))</x:f>
        <x:v>#NAME?</x:v>
      </x:c>
      <x:c r="V530" t="e">
        <x:f>IF($A530="","",[1]!thsiFinD("ths_adjustment_nv_fund",V$3,$A530))</x:f>
        <x:v>#NAME?</x:v>
      </x:c>
      <x:c r="W530" t="e">
        <x:f>IF($A530="","",[1]!thsiFinD("ths_adjustment_nv_fund",W$3,$A530))</x:f>
        <x:v>#NAME?</x:v>
      </x:c>
      <x:c r="X530" t="e">
        <x:f>IF($A530="","",[1]!thsiFinD("ths_adjustment_nv_fund",X$3,$A530))</x:f>
        <x:v>#NAME?</x:v>
      </x:c>
      <x:c r="Y530" t="e">
        <x:f>IF($A530="","",[1]!thsiFinD("ths_adjustment_nv_fund",Y$3,$A530))</x:f>
        <x:v>#NAME?</x:v>
      </x:c>
    </x:row>
    <x:row r="531">
      <x:c r="B531" t="e">
        <x:f>IF($A531="","",[1]!thsiFinD("ths_adjustment_nv_fund",B$3,$A531))</x:f>
        <x:v>#NAME?</x:v>
      </x:c>
      <x:c r="C531" t="e">
        <x:f>IF($A531="","",[1]!thsiFinD("ths_adjustment_nv_fund",C$3,$A531))</x:f>
        <x:v>#NAME?</x:v>
      </x:c>
      <x:c r="D531" t="e">
        <x:f>IF($A531="","",[1]!thsiFinD("ths_adjustment_nv_fund",D$3,$A531))</x:f>
        <x:v>#NAME?</x:v>
      </x:c>
      <x:c r="E531" t="e">
        <x:f>IF($A531="","",[1]!thsiFinD("ths_adjustment_nv_fund",E$3,$A531))</x:f>
        <x:v>#NAME?</x:v>
      </x:c>
      <x:c r="F531" t="e">
        <x:f>IF($A531="","",[1]!thsiFinD("ths_adjustment_nv_fund",F$3,$A531))</x:f>
        <x:v>#NAME?</x:v>
      </x:c>
      <x:c r="G531" t="e">
        <x:f>IF($A531="","",[1]!thsiFinD("ths_adjustment_nv_fund",G$3,$A531))</x:f>
        <x:v>#NAME?</x:v>
      </x:c>
      <x:c r="H531" t="e">
        <x:f>IF($A531="","",[1]!thsiFinD("ths_adjustment_nv_fund",H$3,$A531))</x:f>
        <x:v>#NAME?</x:v>
      </x:c>
      <x:c r="I531" t="e">
        <x:f>IF($A531="","",[1]!thsiFinD("ths_adjustment_nv_fund",I$3,$A531))</x:f>
        <x:v>#NAME?</x:v>
      </x:c>
      <x:c r="J531" t="e">
        <x:f>IF($A531="","",[1]!thsiFinD("ths_adjustment_nv_fund",J$3,$A531))</x:f>
        <x:v>#NAME?</x:v>
      </x:c>
      <x:c r="K531" t="e">
        <x:f>IF($A531="","",[1]!thsiFinD("ths_adjustment_nv_fund",K$3,$A531))</x:f>
        <x:v>#NAME?</x:v>
      </x:c>
      <x:c r="L531" t="e">
        <x:f>IF($A531="","",[1]!thsiFinD("ths_adjustment_nv_fund",L$3,$A531))</x:f>
        <x:v>#NAME?</x:v>
      </x:c>
      <x:c r="M531" t="e">
        <x:f>IF($A531="","",[1]!thsiFinD("ths_adjustment_nv_fund",M$3,$A531))</x:f>
        <x:v>#NAME?</x:v>
      </x:c>
      <x:c r="N531" t="e">
        <x:f>IF($A531="","",[1]!thsiFinD("ths_adjustment_nv_fund",N$3,$A531))</x:f>
        <x:v>#NAME?</x:v>
      </x:c>
      <x:c r="O531" t="e">
        <x:f>IF($A531="","",[1]!thsiFinD("ths_adjustment_nv_fund",O$3,$A531))</x:f>
        <x:v>#NAME?</x:v>
      </x:c>
      <x:c r="P531" t="e">
        <x:f>IF($A531="","",[1]!thsiFinD("ths_adjustment_nv_fund",P$3,$A531))</x:f>
        <x:v>#NAME?</x:v>
      </x:c>
      <x:c r="Q531" t="e">
        <x:f>IF($A531="","",[1]!thsiFinD("ths_adjustment_nv_fund",Q$3,$A531))</x:f>
        <x:v>#NAME?</x:v>
      </x:c>
      <x:c r="R531" t="e">
        <x:f>IF($A531="","",[1]!thsiFinD("ths_adjustment_nv_fund",R$3,$A531))</x:f>
        <x:v>#NAME?</x:v>
      </x:c>
      <x:c r="S531" t="e">
        <x:f>IF($A531="","",[1]!thsiFinD("ths_adjustment_nv_fund",S$3,$A531))</x:f>
        <x:v>#NAME?</x:v>
      </x:c>
      <x:c r="T531" t="e">
        <x:f>IF($A531="","",[1]!thsiFinD("ths_adjustment_nv_fund",T$3,$A531))</x:f>
        <x:v>#NAME?</x:v>
      </x:c>
      <x:c r="U531" t="e">
        <x:f>IF($A531="","",[1]!thsiFinD("ths_adjustment_nv_fund",U$3,$A531))</x:f>
        <x:v>#NAME?</x:v>
      </x:c>
      <x:c r="V531" t="e">
        <x:f>IF($A531="","",[1]!thsiFinD("ths_adjustment_nv_fund",V$3,$A531))</x:f>
        <x:v>#NAME?</x:v>
      </x:c>
      <x:c r="W531" t="e">
        <x:f>IF($A531="","",[1]!thsiFinD("ths_adjustment_nv_fund",W$3,$A531))</x:f>
        <x:v>#NAME?</x:v>
      </x:c>
      <x:c r="X531" t="e">
        <x:f>IF($A531="","",[1]!thsiFinD("ths_adjustment_nv_fund",X$3,$A531))</x:f>
        <x:v>#NAME?</x:v>
      </x:c>
      <x:c r="Y531" t="e">
        <x:f>IF($A531="","",[1]!thsiFinD("ths_adjustment_nv_fund",Y$3,$A531))</x:f>
        <x:v>#NAME?</x:v>
      </x:c>
    </x:row>
    <x:row r="532">
      <x:c r="B532" t="e">
        <x:f>IF($A532="","",[1]!thsiFinD("ths_adjustment_nv_fund",B$3,$A532))</x:f>
        <x:v>#NAME?</x:v>
      </x:c>
      <x:c r="C532" t="e">
        <x:f>IF($A532="","",[1]!thsiFinD("ths_adjustment_nv_fund",C$3,$A532))</x:f>
        <x:v>#NAME?</x:v>
      </x:c>
      <x:c r="D532" t="e">
        <x:f>IF($A532="","",[1]!thsiFinD("ths_adjustment_nv_fund",D$3,$A532))</x:f>
        <x:v>#NAME?</x:v>
      </x:c>
      <x:c r="E532" t="e">
        <x:f>IF($A532="","",[1]!thsiFinD("ths_adjustment_nv_fund",E$3,$A532))</x:f>
        <x:v>#NAME?</x:v>
      </x:c>
      <x:c r="F532" t="e">
        <x:f>IF($A532="","",[1]!thsiFinD("ths_adjustment_nv_fund",F$3,$A532))</x:f>
        <x:v>#NAME?</x:v>
      </x:c>
      <x:c r="G532" t="e">
        <x:f>IF($A532="","",[1]!thsiFinD("ths_adjustment_nv_fund",G$3,$A532))</x:f>
        <x:v>#NAME?</x:v>
      </x:c>
      <x:c r="H532" t="e">
        <x:f>IF($A532="","",[1]!thsiFinD("ths_adjustment_nv_fund",H$3,$A532))</x:f>
        <x:v>#NAME?</x:v>
      </x:c>
      <x:c r="I532" t="e">
        <x:f>IF($A532="","",[1]!thsiFinD("ths_adjustment_nv_fund",I$3,$A532))</x:f>
        <x:v>#NAME?</x:v>
      </x:c>
      <x:c r="J532" t="e">
        <x:f>IF($A532="","",[1]!thsiFinD("ths_adjustment_nv_fund",J$3,$A532))</x:f>
        <x:v>#NAME?</x:v>
      </x:c>
      <x:c r="K532" t="e">
        <x:f>IF($A532="","",[1]!thsiFinD("ths_adjustment_nv_fund",K$3,$A532))</x:f>
        <x:v>#NAME?</x:v>
      </x:c>
      <x:c r="L532" t="e">
        <x:f>IF($A532="","",[1]!thsiFinD("ths_adjustment_nv_fund",L$3,$A532))</x:f>
        <x:v>#NAME?</x:v>
      </x:c>
      <x:c r="M532" t="e">
        <x:f>IF($A532="","",[1]!thsiFinD("ths_adjustment_nv_fund",M$3,$A532))</x:f>
        <x:v>#NAME?</x:v>
      </x:c>
      <x:c r="N532" t="e">
        <x:f>IF($A532="","",[1]!thsiFinD("ths_adjustment_nv_fund",N$3,$A532))</x:f>
        <x:v>#NAME?</x:v>
      </x:c>
      <x:c r="O532" t="e">
        <x:f>IF($A532="","",[1]!thsiFinD("ths_adjustment_nv_fund",O$3,$A532))</x:f>
        <x:v>#NAME?</x:v>
      </x:c>
      <x:c r="P532" t="e">
        <x:f>IF($A532="","",[1]!thsiFinD("ths_adjustment_nv_fund",P$3,$A532))</x:f>
        <x:v>#NAME?</x:v>
      </x:c>
      <x:c r="Q532" t="e">
        <x:f>IF($A532="","",[1]!thsiFinD("ths_adjustment_nv_fund",Q$3,$A532))</x:f>
        <x:v>#NAME?</x:v>
      </x:c>
      <x:c r="R532" t="e">
        <x:f>IF($A532="","",[1]!thsiFinD("ths_adjustment_nv_fund",R$3,$A532))</x:f>
        <x:v>#NAME?</x:v>
      </x:c>
      <x:c r="S532" t="e">
        <x:f>IF($A532="","",[1]!thsiFinD("ths_adjustment_nv_fund",S$3,$A532))</x:f>
        <x:v>#NAME?</x:v>
      </x:c>
      <x:c r="T532" t="e">
        <x:f>IF($A532="","",[1]!thsiFinD("ths_adjustment_nv_fund",T$3,$A532))</x:f>
        <x:v>#NAME?</x:v>
      </x:c>
      <x:c r="U532" t="e">
        <x:f>IF($A532="","",[1]!thsiFinD("ths_adjustment_nv_fund",U$3,$A532))</x:f>
        <x:v>#NAME?</x:v>
      </x:c>
      <x:c r="V532" t="e">
        <x:f>IF($A532="","",[1]!thsiFinD("ths_adjustment_nv_fund",V$3,$A532))</x:f>
        <x:v>#NAME?</x:v>
      </x:c>
      <x:c r="W532" t="e">
        <x:f>IF($A532="","",[1]!thsiFinD("ths_adjustment_nv_fund",W$3,$A532))</x:f>
        <x:v>#NAME?</x:v>
      </x:c>
      <x:c r="X532" t="e">
        <x:f>IF($A532="","",[1]!thsiFinD("ths_adjustment_nv_fund",X$3,$A532))</x:f>
        <x:v>#NAME?</x:v>
      </x:c>
      <x:c r="Y532" t="e">
        <x:f>IF($A532="","",[1]!thsiFinD("ths_adjustment_nv_fund",Y$3,$A532))</x:f>
        <x:v>#NAME?</x:v>
      </x:c>
    </x:row>
    <x:row r="533">
      <x:c r="B533" t="e">
        <x:f>IF($A533="","",[1]!thsiFinD("ths_adjustment_nv_fund",B$3,$A533))</x:f>
        <x:v>#NAME?</x:v>
      </x:c>
      <x:c r="C533" t="e">
        <x:f>IF($A533="","",[1]!thsiFinD("ths_adjustment_nv_fund",C$3,$A533))</x:f>
        <x:v>#NAME?</x:v>
      </x:c>
      <x:c r="D533" t="e">
        <x:f>IF($A533="","",[1]!thsiFinD("ths_adjustment_nv_fund",D$3,$A533))</x:f>
        <x:v>#NAME?</x:v>
      </x:c>
      <x:c r="E533" t="e">
        <x:f>IF($A533="","",[1]!thsiFinD("ths_adjustment_nv_fund",E$3,$A533))</x:f>
        <x:v>#NAME?</x:v>
      </x:c>
      <x:c r="F533" t="e">
        <x:f>IF($A533="","",[1]!thsiFinD("ths_adjustment_nv_fund",F$3,$A533))</x:f>
        <x:v>#NAME?</x:v>
      </x:c>
      <x:c r="G533" t="e">
        <x:f>IF($A533="","",[1]!thsiFinD("ths_adjustment_nv_fund",G$3,$A533))</x:f>
        <x:v>#NAME?</x:v>
      </x:c>
      <x:c r="H533" t="e">
        <x:f>IF($A533="","",[1]!thsiFinD("ths_adjustment_nv_fund",H$3,$A533))</x:f>
        <x:v>#NAME?</x:v>
      </x:c>
      <x:c r="I533" t="e">
        <x:f>IF($A533="","",[1]!thsiFinD("ths_adjustment_nv_fund",I$3,$A533))</x:f>
        <x:v>#NAME?</x:v>
      </x:c>
      <x:c r="J533" t="e">
        <x:f>IF($A533="","",[1]!thsiFinD("ths_adjustment_nv_fund",J$3,$A533))</x:f>
        <x:v>#NAME?</x:v>
      </x:c>
      <x:c r="K533" t="e">
        <x:f>IF($A533="","",[1]!thsiFinD("ths_adjustment_nv_fund",K$3,$A533))</x:f>
        <x:v>#NAME?</x:v>
      </x:c>
      <x:c r="L533" t="e">
        <x:f>IF($A533="","",[1]!thsiFinD("ths_adjustment_nv_fund",L$3,$A533))</x:f>
        <x:v>#NAME?</x:v>
      </x:c>
      <x:c r="M533" t="e">
        <x:f>IF($A533="","",[1]!thsiFinD("ths_adjustment_nv_fund",M$3,$A533))</x:f>
        <x:v>#NAME?</x:v>
      </x:c>
      <x:c r="N533" t="e">
        <x:f>IF($A533="","",[1]!thsiFinD("ths_adjustment_nv_fund",N$3,$A533))</x:f>
        <x:v>#NAME?</x:v>
      </x:c>
      <x:c r="O533" t="e">
        <x:f>IF($A533="","",[1]!thsiFinD("ths_adjustment_nv_fund",O$3,$A533))</x:f>
        <x:v>#NAME?</x:v>
      </x:c>
      <x:c r="P533" t="e">
        <x:f>IF($A533="","",[1]!thsiFinD("ths_adjustment_nv_fund",P$3,$A533))</x:f>
        <x:v>#NAME?</x:v>
      </x:c>
      <x:c r="Q533" t="e">
        <x:f>IF($A533="","",[1]!thsiFinD("ths_adjustment_nv_fund",Q$3,$A533))</x:f>
        <x:v>#NAME?</x:v>
      </x:c>
      <x:c r="R533" t="e">
        <x:f>IF($A533="","",[1]!thsiFinD("ths_adjustment_nv_fund",R$3,$A533))</x:f>
        <x:v>#NAME?</x:v>
      </x:c>
      <x:c r="S533" t="e">
        <x:f>IF($A533="","",[1]!thsiFinD("ths_adjustment_nv_fund",S$3,$A533))</x:f>
        <x:v>#NAME?</x:v>
      </x:c>
      <x:c r="T533" t="e">
        <x:f>IF($A533="","",[1]!thsiFinD("ths_adjustment_nv_fund",T$3,$A533))</x:f>
        <x:v>#NAME?</x:v>
      </x:c>
      <x:c r="U533" t="e">
        <x:f>IF($A533="","",[1]!thsiFinD("ths_adjustment_nv_fund",U$3,$A533))</x:f>
        <x:v>#NAME?</x:v>
      </x:c>
      <x:c r="V533" t="e">
        <x:f>IF($A533="","",[1]!thsiFinD("ths_adjustment_nv_fund",V$3,$A533))</x:f>
        <x:v>#NAME?</x:v>
      </x:c>
      <x:c r="W533" t="e">
        <x:f>IF($A533="","",[1]!thsiFinD("ths_adjustment_nv_fund",W$3,$A533))</x:f>
        <x:v>#NAME?</x:v>
      </x:c>
      <x:c r="X533" t="e">
        <x:f>IF($A533="","",[1]!thsiFinD("ths_adjustment_nv_fund",X$3,$A533))</x:f>
        <x:v>#NAME?</x:v>
      </x:c>
      <x:c r="Y533" t="e">
        <x:f>IF($A533="","",[1]!thsiFinD("ths_adjustment_nv_fund",Y$3,$A533))</x:f>
        <x:v>#NAME?</x:v>
      </x:c>
    </x:row>
    <x:row r="534">
      <x:c r="B534" t="e">
        <x:f>IF($A534="","",[1]!thsiFinD("ths_adjustment_nv_fund",B$3,$A534))</x:f>
        <x:v>#NAME?</x:v>
      </x:c>
      <x:c r="C534" t="e">
        <x:f>IF($A534="","",[1]!thsiFinD("ths_adjustment_nv_fund",C$3,$A534))</x:f>
        <x:v>#NAME?</x:v>
      </x:c>
      <x:c r="D534" t="e">
        <x:f>IF($A534="","",[1]!thsiFinD("ths_adjustment_nv_fund",D$3,$A534))</x:f>
        <x:v>#NAME?</x:v>
      </x:c>
      <x:c r="E534" t="e">
        <x:f>IF($A534="","",[1]!thsiFinD("ths_adjustment_nv_fund",E$3,$A534))</x:f>
        <x:v>#NAME?</x:v>
      </x:c>
      <x:c r="F534" t="e">
        <x:f>IF($A534="","",[1]!thsiFinD("ths_adjustment_nv_fund",F$3,$A534))</x:f>
        <x:v>#NAME?</x:v>
      </x:c>
      <x:c r="G534" t="e">
        <x:f>IF($A534="","",[1]!thsiFinD("ths_adjustment_nv_fund",G$3,$A534))</x:f>
        <x:v>#NAME?</x:v>
      </x:c>
      <x:c r="H534" t="e">
        <x:f>IF($A534="","",[1]!thsiFinD("ths_adjustment_nv_fund",H$3,$A534))</x:f>
        <x:v>#NAME?</x:v>
      </x:c>
      <x:c r="I534" t="e">
        <x:f>IF($A534="","",[1]!thsiFinD("ths_adjustment_nv_fund",I$3,$A534))</x:f>
        <x:v>#NAME?</x:v>
      </x:c>
      <x:c r="J534" t="e">
        <x:f>IF($A534="","",[1]!thsiFinD("ths_adjustment_nv_fund",J$3,$A534))</x:f>
        <x:v>#NAME?</x:v>
      </x:c>
      <x:c r="K534" t="e">
        <x:f>IF($A534="","",[1]!thsiFinD("ths_adjustment_nv_fund",K$3,$A534))</x:f>
        <x:v>#NAME?</x:v>
      </x:c>
      <x:c r="L534" t="e">
        <x:f>IF($A534="","",[1]!thsiFinD("ths_adjustment_nv_fund",L$3,$A534))</x:f>
        <x:v>#NAME?</x:v>
      </x:c>
      <x:c r="M534" t="e">
        <x:f>IF($A534="","",[1]!thsiFinD("ths_adjustment_nv_fund",M$3,$A534))</x:f>
        <x:v>#NAME?</x:v>
      </x:c>
      <x:c r="N534" t="e">
        <x:f>IF($A534="","",[1]!thsiFinD("ths_adjustment_nv_fund",N$3,$A534))</x:f>
        <x:v>#NAME?</x:v>
      </x:c>
      <x:c r="O534" t="e">
        <x:f>IF($A534="","",[1]!thsiFinD("ths_adjustment_nv_fund",O$3,$A534))</x:f>
        <x:v>#NAME?</x:v>
      </x:c>
      <x:c r="P534" t="e">
        <x:f>IF($A534="","",[1]!thsiFinD("ths_adjustment_nv_fund",P$3,$A534))</x:f>
        <x:v>#NAME?</x:v>
      </x:c>
      <x:c r="Q534" t="e">
        <x:f>IF($A534="","",[1]!thsiFinD("ths_adjustment_nv_fund",Q$3,$A534))</x:f>
        <x:v>#NAME?</x:v>
      </x:c>
      <x:c r="R534" t="e">
        <x:f>IF($A534="","",[1]!thsiFinD("ths_adjustment_nv_fund",R$3,$A534))</x:f>
        <x:v>#NAME?</x:v>
      </x:c>
      <x:c r="S534" t="e">
        <x:f>IF($A534="","",[1]!thsiFinD("ths_adjustment_nv_fund",S$3,$A534))</x:f>
        <x:v>#NAME?</x:v>
      </x:c>
      <x:c r="T534" t="e">
        <x:f>IF($A534="","",[1]!thsiFinD("ths_adjustment_nv_fund",T$3,$A534))</x:f>
        <x:v>#NAME?</x:v>
      </x:c>
      <x:c r="U534" t="e">
        <x:f>IF($A534="","",[1]!thsiFinD("ths_adjustment_nv_fund",U$3,$A534))</x:f>
        <x:v>#NAME?</x:v>
      </x:c>
      <x:c r="V534" t="e">
        <x:f>IF($A534="","",[1]!thsiFinD("ths_adjustment_nv_fund",V$3,$A534))</x:f>
        <x:v>#NAME?</x:v>
      </x:c>
      <x:c r="W534" t="e">
        <x:f>IF($A534="","",[1]!thsiFinD("ths_adjustment_nv_fund",W$3,$A534))</x:f>
        <x:v>#NAME?</x:v>
      </x:c>
      <x:c r="X534" t="e">
        <x:f>IF($A534="","",[1]!thsiFinD("ths_adjustment_nv_fund",X$3,$A534))</x:f>
        <x:v>#NAME?</x:v>
      </x:c>
      <x:c r="Y534" t="e">
        <x:f>IF($A534="","",[1]!thsiFinD("ths_adjustment_nv_fund",Y$3,$A534))</x:f>
        <x:v>#NAME?</x:v>
      </x:c>
    </x:row>
    <x:row r="535">
      <x:c r="B535" t="e">
        <x:f>IF($A535="","",[1]!thsiFinD("ths_adjustment_nv_fund",B$3,$A535))</x:f>
        <x:v>#NAME?</x:v>
      </x:c>
      <x:c r="C535" t="e">
        <x:f>IF($A535="","",[1]!thsiFinD("ths_adjustment_nv_fund",C$3,$A535))</x:f>
        <x:v>#NAME?</x:v>
      </x:c>
      <x:c r="D535" t="e">
        <x:f>IF($A535="","",[1]!thsiFinD("ths_adjustment_nv_fund",D$3,$A535))</x:f>
        <x:v>#NAME?</x:v>
      </x:c>
      <x:c r="E535" t="e">
        <x:f>IF($A535="","",[1]!thsiFinD("ths_adjustment_nv_fund",E$3,$A535))</x:f>
        <x:v>#NAME?</x:v>
      </x:c>
      <x:c r="F535" t="e">
        <x:f>IF($A535="","",[1]!thsiFinD("ths_adjustment_nv_fund",F$3,$A535))</x:f>
        <x:v>#NAME?</x:v>
      </x:c>
      <x:c r="G535" t="e">
        <x:f>IF($A535="","",[1]!thsiFinD("ths_adjustment_nv_fund",G$3,$A535))</x:f>
        <x:v>#NAME?</x:v>
      </x:c>
      <x:c r="H535" t="e">
        <x:f>IF($A535="","",[1]!thsiFinD("ths_adjustment_nv_fund",H$3,$A535))</x:f>
        <x:v>#NAME?</x:v>
      </x:c>
      <x:c r="I535" t="e">
        <x:f>IF($A535="","",[1]!thsiFinD("ths_adjustment_nv_fund",I$3,$A535))</x:f>
        <x:v>#NAME?</x:v>
      </x:c>
      <x:c r="J535" t="e">
        <x:f>IF($A535="","",[1]!thsiFinD("ths_adjustment_nv_fund",J$3,$A535))</x:f>
        <x:v>#NAME?</x:v>
      </x:c>
      <x:c r="K535" t="e">
        <x:f>IF($A535="","",[1]!thsiFinD("ths_adjustment_nv_fund",K$3,$A535))</x:f>
        <x:v>#NAME?</x:v>
      </x:c>
      <x:c r="L535" t="e">
        <x:f>IF($A535="","",[1]!thsiFinD("ths_adjustment_nv_fund",L$3,$A535))</x:f>
        <x:v>#NAME?</x:v>
      </x:c>
      <x:c r="M535" t="e">
        <x:f>IF($A535="","",[1]!thsiFinD("ths_adjustment_nv_fund",M$3,$A535))</x:f>
        <x:v>#NAME?</x:v>
      </x:c>
      <x:c r="N535" t="e">
        <x:f>IF($A535="","",[1]!thsiFinD("ths_adjustment_nv_fund",N$3,$A535))</x:f>
        <x:v>#NAME?</x:v>
      </x:c>
      <x:c r="O535" t="e">
        <x:f>IF($A535="","",[1]!thsiFinD("ths_adjustment_nv_fund",O$3,$A535))</x:f>
        <x:v>#NAME?</x:v>
      </x:c>
      <x:c r="P535" t="e">
        <x:f>IF($A535="","",[1]!thsiFinD("ths_adjustment_nv_fund",P$3,$A535))</x:f>
        <x:v>#NAME?</x:v>
      </x:c>
      <x:c r="Q535" t="e">
        <x:f>IF($A535="","",[1]!thsiFinD("ths_adjustment_nv_fund",Q$3,$A535))</x:f>
        <x:v>#NAME?</x:v>
      </x:c>
      <x:c r="R535" t="e">
        <x:f>IF($A535="","",[1]!thsiFinD("ths_adjustment_nv_fund",R$3,$A535))</x:f>
        <x:v>#NAME?</x:v>
      </x:c>
      <x:c r="S535" t="e">
        <x:f>IF($A535="","",[1]!thsiFinD("ths_adjustment_nv_fund",S$3,$A535))</x:f>
        <x:v>#NAME?</x:v>
      </x:c>
      <x:c r="T535" t="e">
        <x:f>IF($A535="","",[1]!thsiFinD("ths_adjustment_nv_fund",T$3,$A535))</x:f>
        <x:v>#NAME?</x:v>
      </x:c>
      <x:c r="U535" t="e">
        <x:f>IF($A535="","",[1]!thsiFinD("ths_adjustment_nv_fund",U$3,$A535))</x:f>
        <x:v>#NAME?</x:v>
      </x:c>
      <x:c r="V535" t="e">
        <x:f>IF($A535="","",[1]!thsiFinD("ths_adjustment_nv_fund",V$3,$A535))</x:f>
        <x:v>#NAME?</x:v>
      </x:c>
      <x:c r="W535" t="e">
        <x:f>IF($A535="","",[1]!thsiFinD("ths_adjustment_nv_fund",W$3,$A535))</x:f>
        <x:v>#NAME?</x:v>
      </x:c>
      <x:c r="X535" t="e">
        <x:f>IF($A535="","",[1]!thsiFinD("ths_adjustment_nv_fund",X$3,$A535))</x:f>
        <x:v>#NAME?</x:v>
      </x:c>
      <x:c r="Y535" t="e">
        <x:f>IF($A535="","",[1]!thsiFinD("ths_adjustment_nv_fund",Y$3,$A535))</x:f>
        <x:v>#NAME?</x:v>
      </x:c>
    </x:row>
    <x:row r="536">
      <x:c r="B536" t="e">
        <x:f>IF($A536="","",[1]!thsiFinD("ths_adjustment_nv_fund",B$3,$A536))</x:f>
        <x:v>#NAME?</x:v>
      </x:c>
      <x:c r="C536" t="e">
        <x:f>IF($A536="","",[1]!thsiFinD("ths_adjustment_nv_fund",C$3,$A536))</x:f>
        <x:v>#NAME?</x:v>
      </x:c>
      <x:c r="D536" t="e">
        <x:f>IF($A536="","",[1]!thsiFinD("ths_adjustment_nv_fund",D$3,$A536))</x:f>
        <x:v>#NAME?</x:v>
      </x:c>
      <x:c r="E536" t="e">
        <x:f>IF($A536="","",[1]!thsiFinD("ths_adjustment_nv_fund",E$3,$A536))</x:f>
        <x:v>#NAME?</x:v>
      </x:c>
      <x:c r="F536" t="e">
        <x:f>IF($A536="","",[1]!thsiFinD("ths_adjustment_nv_fund",F$3,$A536))</x:f>
        <x:v>#NAME?</x:v>
      </x:c>
      <x:c r="G536" t="e">
        <x:f>IF($A536="","",[1]!thsiFinD("ths_adjustment_nv_fund",G$3,$A536))</x:f>
        <x:v>#NAME?</x:v>
      </x:c>
      <x:c r="H536" t="e">
        <x:f>IF($A536="","",[1]!thsiFinD("ths_adjustment_nv_fund",H$3,$A536))</x:f>
        <x:v>#NAME?</x:v>
      </x:c>
      <x:c r="I536" t="e">
        <x:f>IF($A536="","",[1]!thsiFinD("ths_adjustment_nv_fund",I$3,$A536))</x:f>
        <x:v>#NAME?</x:v>
      </x:c>
      <x:c r="J536" t="e">
        <x:f>IF($A536="","",[1]!thsiFinD("ths_adjustment_nv_fund",J$3,$A536))</x:f>
        <x:v>#NAME?</x:v>
      </x:c>
      <x:c r="K536" t="e">
        <x:f>IF($A536="","",[1]!thsiFinD("ths_adjustment_nv_fund",K$3,$A536))</x:f>
        <x:v>#NAME?</x:v>
      </x:c>
      <x:c r="L536" t="e">
        <x:f>IF($A536="","",[1]!thsiFinD("ths_adjustment_nv_fund",L$3,$A536))</x:f>
        <x:v>#NAME?</x:v>
      </x:c>
      <x:c r="M536" t="e">
        <x:f>IF($A536="","",[1]!thsiFinD("ths_adjustment_nv_fund",M$3,$A536))</x:f>
        <x:v>#NAME?</x:v>
      </x:c>
      <x:c r="N536" t="e">
        <x:f>IF($A536="","",[1]!thsiFinD("ths_adjustment_nv_fund",N$3,$A536))</x:f>
        <x:v>#NAME?</x:v>
      </x:c>
      <x:c r="O536" t="e">
        <x:f>IF($A536="","",[1]!thsiFinD("ths_adjustment_nv_fund",O$3,$A536))</x:f>
        <x:v>#NAME?</x:v>
      </x:c>
      <x:c r="P536" t="e">
        <x:f>IF($A536="","",[1]!thsiFinD("ths_adjustment_nv_fund",P$3,$A536))</x:f>
        <x:v>#NAME?</x:v>
      </x:c>
      <x:c r="Q536" t="e">
        <x:f>IF($A536="","",[1]!thsiFinD("ths_adjustment_nv_fund",Q$3,$A536))</x:f>
        <x:v>#NAME?</x:v>
      </x:c>
      <x:c r="R536" t="e">
        <x:f>IF($A536="","",[1]!thsiFinD("ths_adjustment_nv_fund",R$3,$A536))</x:f>
        <x:v>#NAME?</x:v>
      </x:c>
      <x:c r="S536" t="e">
        <x:f>IF($A536="","",[1]!thsiFinD("ths_adjustment_nv_fund",S$3,$A536))</x:f>
        <x:v>#NAME?</x:v>
      </x:c>
      <x:c r="T536" t="e">
        <x:f>IF($A536="","",[1]!thsiFinD("ths_adjustment_nv_fund",T$3,$A536))</x:f>
        <x:v>#NAME?</x:v>
      </x:c>
      <x:c r="U536" t="e">
        <x:f>IF($A536="","",[1]!thsiFinD("ths_adjustment_nv_fund",U$3,$A536))</x:f>
        <x:v>#NAME?</x:v>
      </x:c>
      <x:c r="V536" t="e">
        <x:f>IF($A536="","",[1]!thsiFinD("ths_adjustment_nv_fund",V$3,$A536))</x:f>
        <x:v>#NAME?</x:v>
      </x:c>
      <x:c r="W536" t="e">
        <x:f>IF($A536="","",[1]!thsiFinD("ths_adjustment_nv_fund",W$3,$A536))</x:f>
        <x:v>#NAME?</x:v>
      </x:c>
      <x:c r="X536" t="e">
        <x:f>IF($A536="","",[1]!thsiFinD("ths_adjustment_nv_fund",X$3,$A536))</x:f>
        <x:v>#NAME?</x:v>
      </x:c>
      <x:c r="Y536" t="e">
        <x:f>IF($A536="","",[1]!thsiFinD("ths_adjustment_nv_fund",Y$3,$A536))</x:f>
        <x:v>#NAME?</x:v>
      </x:c>
    </x:row>
    <x:row r="537">
      <x:c r="B537" t="e">
        <x:f>IF($A537="","",[1]!thsiFinD("ths_adjustment_nv_fund",B$3,$A537))</x:f>
        <x:v>#NAME?</x:v>
      </x:c>
      <x:c r="C537" t="e">
        <x:f>IF($A537="","",[1]!thsiFinD("ths_adjustment_nv_fund",C$3,$A537))</x:f>
        <x:v>#NAME?</x:v>
      </x:c>
      <x:c r="D537" t="e">
        <x:f>IF($A537="","",[1]!thsiFinD("ths_adjustment_nv_fund",D$3,$A537))</x:f>
        <x:v>#NAME?</x:v>
      </x:c>
      <x:c r="E537" t="e">
        <x:f>IF($A537="","",[1]!thsiFinD("ths_adjustment_nv_fund",E$3,$A537))</x:f>
        <x:v>#NAME?</x:v>
      </x:c>
      <x:c r="F537" t="e">
        <x:f>IF($A537="","",[1]!thsiFinD("ths_adjustment_nv_fund",F$3,$A537))</x:f>
        <x:v>#NAME?</x:v>
      </x:c>
      <x:c r="G537" t="e">
        <x:f>IF($A537="","",[1]!thsiFinD("ths_adjustment_nv_fund",G$3,$A537))</x:f>
        <x:v>#NAME?</x:v>
      </x:c>
      <x:c r="H537" t="e">
        <x:f>IF($A537="","",[1]!thsiFinD("ths_adjustment_nv_fund",H$3,$A537))</x:f>
        <x:v>#NAME?</x:v>
      </x:c>
      <x:c r="I537" t="e">
        <x:f>IF($A537="","",[1]!thsiFinD("ths_adjustment_nv_fund",I$3,$A537))</x:f>
        <x:v>#NAME?</x:v>
      </x:c>
      <x:c r="J537" t="e">
        <x:f>IF($A537="","",[1]!thsiFinD("ths_adjustment_nv_fund",J$3,$A537))</x:f>
        <x:v>#NAME?</x:v>
      </x:c>
      <x:c r="K537" t="e">
        <x:f>IF($A537="","",[1]!thsiFinD("ths_adjustment_nv_fund",K$3,$A537))</x:f>
        <x:v>#NAME?</x:v>
      </x:c>
      <x:c r="L537" t="e">
        <x:f>IF($A537="","",[1]!thsiFinD("ths_adjustment_nv_fund",L$3,$A537))</x:f>
        <x:v>#NAME?</x:v>
      </x:c>
      <x:c r="M537" t="e">
        <x:f>IF($A537="","",[1]!thsiFinD("ths_adjustment_nv_fund",M$3,$A537))</x:f>
        <x:v>#NAME?</x:v>
      </x:c>
      <x:c r="N537" t="e">
        <x:f>IF($A537="","",[1]!thsiFinD("ths_adjustment_nv_fund",N$3,$A537))</x:f>
        <x:v>#NAME?</x:v>
      </x:c>
      <x:c r="O537" t="e">
        <x:f>IF($A537="","",[1]!thsiFinD("ths_adjustment_nv_fund",O$3,$A537))</x:f>
        <x:v>#NAME?</x:v>
      </x:c>
      <x:c r="P537" t="e">
        <x:f>IF($A537="","",[1]!thsiFinD("ths_adjustment_nv_fund",P$3,$A537))</x:f>
        <x:v>#NAME?</x:v>
      </x:c>
      <x:c r="Q537" t="e">
        <x:f>IF($A537="","",[1]!thsiFinD("ths_adjustment_nv_fund",Q$3,$A537))</x:f>
        <x:v>#NAME?</x:v>
      </x:c>
      <x:c r="R537" t="e">
        <x:f>IF($A537="","",[1]!thsiFinD("ths_adjustment_nv_fund",R$3,$A537))</x:f>
        <x:v>#NAME?</x:v>
      </x:c>
      <x:c r="S537" t="e">
        <x:f>IF($A537="","",[1]!thsiFinD("ths_adjustment_nv_fund",S$3,$A537))</x:f>
        <x:v>#NAME?</x:v>
      </x:c>
      <x:c r="T537" t="e">
        <x:f>IF($A537="","",[1]!thsiFinD("ths_adjustment_nv_fund",T$3,$A537))</x:f>
        <x:v>#NAME?</x:v>
      </x:c>
      <x:c r="U537" t="e">
        <x:f>IF($A537="","",[1]!thsiFinD("ths_adjustment_nv_fund",U$3,$A537))</x:f>
        <x:v>#NAME?</x:v>
      </x:c>
      <x:c r="V537" t="e">
        <x:f>IF($A537="","",[1]!thsiFinD("ths_adjustment_nv_fund",V$3,$A537))</x:f>
        <x:v>#NAME?</x:v>
      </x:c>
      <x:c r="W537" t="e">
        <x:f>IF($A537="","",[1]!thsiFinD("ths_adjustment_nv_fund",W$3,$A537))</x:f>
        <x:v>#NAME?</x:v>
      </x:c>
      <x:c r="X537" t="e">
        <x:f>IF($A537="","",[1]!thsiFinD("ths_adjustment_nv_fund",X$3,$A537))</x:f>
        <x:v>#NAME?</x:v>
      </x:c>
      <x:c r="Y537" t="e">
        <x:f>IF($A537="","",[1]!thsiFinD("ths_adjustment_nv_fund",Y$3,$A537))</x:f>
        <x:v>#NAME?</x:v>
      </x:c>
    </x:row>
    <x:row r="538">
      <x:c r="B538" t="e">
        <x:f>IF($A538="","",[1]!thsiFinD("ths_adjustment_nv_fund",B$3,$A538))</x:f>
        <x:v>#NAME?</x:v>
      </x:c>
      <x:c r="C538" t="e">
        <x:f>IF($A538="","",[1]!thsiFinD("ths_adjustment_nv_fund",C$3,$A538))</x:f>
        <x:v>#NAME?</x:v>
      </x:c>
      <x:c r="D538" t="e">
        <x:f>IF($A538="","",[1]!thsiFinD("ths_adjustment_nv_fund",D$3,$A538))</x:f>
        <x:v>#NAME?</x:v>
      </x:c>
      <x:c r="E538" t="e">
        <x:f>IF($A538="","",[1]!thsiFinD("ths_adjustment_nv_fund",E$3,$A538))</x:f>
        <x:v>#NAME?</x:v>
      </x:c>
      <x:c r="F538" t="e">
        <x:f>IF($A538="","",[1]!thsiFinD("ths_adjustment_nv_fund",F$3,$A538))</x:f>
        <x:v>#NAME?</x:v>
      </x:c>
      <x:c r="G538" t="e">
        <x:f>IF($A538="","",[1]!thsiFinD("ths_adjustment_nv_fund",G$3,$A538))</x:f>
        <x:v>#NAME?</x:v>
      </x:c>
      <x:c r="H538" t="e">
        <x:f>IF($A538="","",[1]!thsiFinD("ths_adjustment_nv_fund",H$3,$A538))</x:f>
        <x:v>#NAME?</x:v>
      </x:c>
      <x:c r="I538" t="e">
        <x:f>IF($A538="","",[1]!thsiFinD("ths_adjustment_nv_fund",I$3,$A538))</x:f>
        <x:v>#NAME?</x:v>
      </x:c>
      <x:c r="J538" t="e">
        <x:f>IF($A538="","",[1]!thsiFinD("ths_adjustment_nv_fund",J$3,$A538))</x:f>
        <x:v>#NAME?</x:v>
      </x:c>
      <x:c r="K538" t="e">
        <x:f>IF($A538="","",[1]!thsiFinD("ths_adjustment_nv_fund",K$3,$A538))</x:f>
        <x:v>#NAME?</x:v>
      </x:c>
      <x:c r="L538" t="e">
        <x:f>IF($A538="","",[1]!thsiFinD("ths_adjustment_nv_fund",L$3,$A538))</x:f>
        <x:v>#NAME?</x:v>
      </x:c>
      <x:c r="M538" t="e">
        <x:f>IF($A538="","",[1]!thsiFinD("ths_adjustment_nv_fund",M$3,$A538))</x:f>
        <x:v>#NAME?</x:v>
      </x:c>
      <x:c r="N538" t="e">
        <x:f>IF($A538="","",[1]!thsiFinD("ths_adjustment_nv_fund",N$3,$A538))</x:f>
        <x:v>#NAME?</x:v>
      </x:c>
      <x:c r="O538" t="e">
        <x:f>IF($A538="","",[1]!thsiFinD("ths_adjustment_nv_fund",O$3,$A538))</x:f>
        <x:v>#NAME?</x:v>
      </x:c>
      <x:c r="P538" t="e">
        <x:f>IF($A538="","",[1]!thsiFinD("ths_adjustment_nv_fund",P$3,$A538))</x:f>
        <x:v>#NAME?</x:v>
      </x:c>
      <x:c r="Q538" t="e">
        <x:f>IF($A538="","",[1]!thsiFinD("ths_adjustment_nv_fund",Q$3,$A538))</x:f>
        <x:v>#NAME?</x:v>
      </x:c>
      <x:c r="R538" t="e">
        <x:f>IF($A538="","",[1]!thsiFinD("ths_adjustment_nv_fund",R$3,$A538))</x:f>
        <x:v>#NAME?</x:v>
      </x:c>
      <x:c r="S538" t="e">
        <x:f>IF($A538="","",[1]!thsiFinD("ths_adjustment_nv_fund",S$3,$A538))</x:f>
        <x:v>#NAME?</x:v>
      </x:c>
      <x:c r="T538" t="e">
        <x:f>IF($A538="","",[1]!thsiFinD("ths_adjustment_nv_fund",T$3,$A538))</x:f>
        <x:v>#NAME?</x:v>
      </x:c>
      <x:c r="U538" t="e">
        <x:f>IF($A538="","",[1]!thsiFinD("ths_adjustment_nv_fund",U$3,$A538))</x:f>
        <x:v>#NAME?</x:v>
      </x:c>
      <x:c r="V538" t="e">
        <x:f>IF($A538="","",[1]!thsiFinD("ths_adjustment_nv_fund",V$3,$A538))</x:f>
        <x:v>#NAME?</x:v>
      </x:c>
      <x:c r="W538" t="e">
        <x:f>IF($A538="","",[1]!thsiFinD("ths_adjustment_nv_fund",W$3,$A538))</x:f>
        <x:v>#NAME?</x:v>
      </x:c>
      <x:c r="X538" t="e">
        <x:f>IF($A538="","",[1]!thsiFinD("ths_adjustment_nv_fund",X$3,$A538))</x:f>
        <x:v>#NAME?</x:v>
      </x:c>
      <x:c r="Y538" t="e">
        <x:f>IF($A538="","",[1]!thsiFinD("ths_adjustment_nv_fund",Y$3,$A538))</x:f>
        <x:v>#NAME?</x:v>
      </x:c>
    </x:row>
    <x:row r="539">
      <x:c r="B539" t="e">
        <x:f>IF($A539="","",[1]!thsiFinD("ths_adjustment_nv_fund",B$3,$A539))</x:f>
        <x:v>#NAME?</x:v>
      </x:c>
      <x:c r="C539" t="e">
        <x:f>IF($A539="","",[1]!thsiFinD("ths_adjustment_nv_fund",C$3,$A539))</x:f>
        <x:v>#NAME?</x:v>
      </x:c>
      <x:c r="D539" t="e">
        <x:f>IF($A539="","",[1]!thsiFinD("ths_adjustment_nv_fund",D$3,$A539))</x:f>
        <x:v>#NAME?</x:v>
      </x:c>
      <x:c r="E539" t="e">
        <x:f>IF($A539="","",[1]!thsiFinD("ths_adjustment_nv_fund",E$3,$A539))</x:f>
        <x:v>#NAME?</x:v>
      </x:c>
      <x:c r="F539" t="e">
        <x:f>IF($A539="","",[1]!thsiFinD("ths_adjustment_nv_fund",F$3,$A539))</x:f>
        <x:v>#NAME?</x:v>
      </x:c>
      <x:c r="G539" t="e">
        <x:f>IF($A539="","",[1]!thsiFinD("ths_adjustment_nv_fund",G$3,$A539))</x:f>
        <x:v>#NAME?</x:v>
      </x:c>
      <x:c r="H539" t="e">
        <x:f>IF($A539="","",[1]!thsiFinD("ths_adjustment_nv_fund",H$3,$A539))</x:f>
        <x:v>#NAME?</x:v>
      </x:c>
      <x:c r="I539" t="e">
        <x:f>IF($A539="","",[1]!thsiFinD("ths_adjustment_nv_fund",I$3,$A539))</x:f>
        <x:v>#NAME?</x:v>
      </x:c>
      <x:c r="J539" t="e">
        <x:f>IF($A539="","",[1]!thsiFinD("ths_adjustment_nv_fund",J$3,$A539))</x:f>
        <x:v>#NAME?</x:v>
      </x:c>
      <x:c r="K539" t="e">
        <x:f>IF($A539="","",[1]!thsiFinD("ths_adjustment_nv_fund",K$3,$A539))</x:f>
        <x:v>#NAME?</x:v>
      </x:c>
      <x:c r="L539" t="e">
        <x:f>IF($A539="","",[1]!thsiFinD("ths_adjustment_nv_fund",L$3,$A539))</x:f>
        <x:v>#NAME?</x:v>
      </x:c>
      <x:c r="M539" t="e">
        <x:f>IF($A539="","",[1]!thsiFinD("ths_adjustment_nv_fund",M$3,$A539))</x:f>
        <x:v>#NAME?</x:v>
      </x:c>
      <x:c r="N539" t="e">
        <x:f>IF($A539="","",[1]!thsiFinD("ths_adjustment_nv_fund",N$3,$A539))</x:f>
        <x:v>#NAME?</x:v>
      </x:c>
      <x:c r="O539" t="e">
        <x:f>IF($A539="","",[1]!thsiFinD("ths_adjustment_nv_fund",O$3,$A539))</x:f>
        <x:v>#NAME?</x:v>
      </x:c>
      <x:c r="P539" t="e">
        <x:f>IF($A539="","",[1]!thsiFinD("ths_adjustment_nv_fund",P$3,$A539))</x:f>
        <x:v>#NAME?</x:v>
      </x:c>
      <x:c r="Q539" t="e">
        <x:f>IF($A539="","",[1]!thsiFinD("ths_adjustment_nv_fund",Q$3,$A539))</x:f>
        <x:v>#NAME?</x:v>
      </x:c>
      <x:c r="R539" t="e">
        <x:f>IF($A539="","",[1]!thsiFinD("ths_adjustment_nv_fund",R$3,$A539))</x:f>
        <x:v>#NAME?</x:v>
      </x:c>
      <x:c r="S539" t="e">
        <x:f>IF($A539="","",[1]!thsiFinD("ths_adjustment_nv_fund",S$3,$A539))</x:f>
        <x:v>#NAME?</x:v>
      </x:c>
      <x:c r="T539" t="e">
        <x:f>IF($A539="","",[1]!thsiFinD("ths_adjustment_nv_fund",T$3,$A539))</x:f>
        <x:v>#NAME?</x:v>
      </x:c>
      <x:c r="U539" t="e">
        <x:f>IF($A539="","",[1]!thsiFinD("ths_adjustment_nv_fund",U$3,$A539))</x:f>
        <x:v>#NAME?</x:v>
      </x:c>
      <x:c r="V539" t="e">
        <x:f>IF($A539="","",[1]!thsiFinD("ths_adjustment_nv_fund",V$3,$A539))</x:f>
        <x:v>#NAME?</x:v>
      </x:c>
      <x:c r="W539" t="e">
        <x:f>IF($A539="","",[1]!thsiFinD("ths_adjustment_nv_fund",W$3,$A539))</x:f>
        <x:v>#NAME?</x:v>
      </x:c>
      <x:c r="X539" t="e">
        <x:f>IF($A539="","",[1]!thsiFinD("ths_adjustment_nv_fund",X$3,$A539))</x:f>
        <x:v>#NAME?</x:v>
      </x:c>
      <x:c r="Y539" t="e">
        <x:f>IF($A539="","",[1]!thsiFinD("ths_adjustment_nv_fund",Y$3,$A539))</x:f>
        <x:v>#NAME?</x:v>
      </x:c>
    </x:row>
    <x:row r="540">
      <x:c r="B540" t="e">
        <x:f>IF($A540="","",[1]!thsiFinD("ths_adjustment_nv_fund",B$3,$A540))</x:f>
        <x:v>#NAME?</x:v>
      </x:c>
      <x:c r="C540" t="e">
        <x:f>IF($A540="","",[1]!thsiFinD("ths_adjustment_nv_fund",C$3,$A540))</x:f>
        <x:v>#NAME?</x:v>
      </x:c>
      <x:c r="D540" t="e">
        <x:f>IF($A540="","",[1]!thsiFinD("ths_adjustment_nv_fund",D$3,$A540))</x:f>
        <x:v>#NAME?</x:v>
      </x:c>
      <x:c r="E540" t="e">
        <x:f>IF($A540="","",[1]!thsiFinD("ths_adjustment_nv_fund",E$3,$A540))</x:f>
        <x:v>#NAME?</x:v>
      </x:c>
      <x:c r="F540" t="e">
        <x:f>IF($A540="","",[1]!thsiFinD("ths_adjustment_nv_fund",F$3,$A540))</x:f>
        <x:v>#NAME?</x:v>
      </x:c>
      <x:c r="G540" t="e">
        <x:f>IF($A540="","",[1]!thsiFinD("ths_adjustment_nv_fund",G$3,$A540))</x:f>
        <x:v>#NAME?</x:v>
      </x:c>
      <x:c r="H540" t="e">
        <x:f>IF($A540="","",[1]!thsiFinD("ths_adjustment_nv_fund",H$3,$A540))</x:f>
        <x:v>#NAME?</x:v>
      </x:c>
      <x:c r="I540" t="e">
        <x:f>IF($A540="","",[1]!thsiFinD("ths_adjustment_nv_fund",I$3,$A540))</x:f>
        <x:v>#NAME?</x:v>
      </x:c>
      <x:c r="J540" t="e">
        <x:f>IF($A540="","",[1]!thsiFinD("ths_adjustment_nv_fund",J$3,$A540))</x:f>
        <x:v>#NAME?</x:v>
      </x:c>
      <x:c r="K540" t="e">
        <x:f>IF($A540="","",[1]!thsiFinD("ths_adjustment_nv_fund",K$3,$A540))</x:f>
        <x:v>#NAME?</x:v>
      </x:c>
      <x:c r="L540" t="e">
        <x:f>IF($A540="","",[1]!thsiFinD("ths_adjustment_nv_fund",L$3,$A540))</x:f>
        <x:v>#NAME?</x:v>
      </x:c>
      <x:c r="M540" t="e">
        <x:f>IF($A540="","",[1]!thsiFinD("ths_adjustment_nv_fund",M$3,$A540))</x:f>
        <x:v>#NAME?</x:v>
      </x:c>
      <x:c r="N540" t="e">
        <x:f>IF($A540="","",[1]!thsiFinD("ths_adjustment_nv_fund",N$3,$A540))</x:f>
        <x:v>#NAME?</x:v>
      </x:c>
      <x:c r="O540" t="e">
        <x:f>IF($A540="","",[1]!thsiFinD("ths_adjustment_nv_fund",O$3,$A540))</x:f>
        <x:v>#NAME?</x:v>
      </x:c>
      <x:c r="P540" t="e">
        <x:f>IF($A540="","",[1]!thsiFinD("ths_adjustment_nv_fund",P$3,$A540))</x:f>
        <x:v>#NAME?</x:v>
      </x:c>
      <x:c r="Q540" t="e">
        <x:f>IF($A540="","",[1]!thsiFinD("ths_adjustment_nv_fund",Q$3,$A540))</x:f>
        <x:v>#NAME?</x:v>
      </x:c>
      <x:c r="R540" t="e">
        <x:f>IF($A540="","",[1]!thsiFinD("ths_adjustment_nv_fund",R$3,$A540))</x:f>
        <x:v>#NAME?</x:v>
      </x:c>
      <x:c r="S540" t="e">
        <x:f>IF($A540="","",[1]!thsiFinD("ths_adjustment_nv_fund",S$3,$A540))</x:f>
        <x:v>#NAME?</x:v>
      </x:c>
      <x:c r="T540" t="e">
        <x:f>IF($A540="","",[1]!thsiFinD("ths_adjustment_nv_fund",T$3,$A540))</x:f>
        <x:v>#NAME?</x:v>
      </x:c>
      <x:c r="U540" t="e">
        <x:f>IF($A540="","",[1]!thsiFinD("ths_adjustment_nv_fund",U$3,$A540))</x:f>
        <x:v>#NAME?</x:v>
      </x:c>
      <x:c r="V540" t="e">
        <x:f>IF($A540="","",[1]!thsiFinD("ths_adjustment_nv_fund",V$3,$A540))</x:f>
        <x:v>#NAME?</x:v>
      </x:c>
      <x:c r="W540" t="e">
        <x:f>IF($A540="","",[1]!thsiFinD("ths_adjustment_nv_fund",W$3,$A540))</x:f>
        <x:v>#NAME?</x:v>
      </x:c>
      <x:c r="X540" t="e">
        <x:f>IF($A540="","",[1]!thsiFinD("ths_adjustment_nv_fund",X$3,$A540))</x:f>
        <x:v>#NAME?</x:v>
      </x:c>
      <x:c r="Y540" t="e">
        <x:f>IF($A540="","",[1]!thsiFinD("ths_adjustment_nv_fund",Y$3,$A540))</x:f>
        <x:v>#NAME?</x:v>
      </x:c>
    </x:row>
    <x:row r="541">
      <x:c r="B541" t="e">
        <x:f>IF($A541="","",[1]!thsiFinD("ths_adjustment_nv_fund",B$3,$A541))</x:f>
        <x:v>#NAME?</x:v>
      </x:c>
      <x:c r="C541" t="e">
        <x:f>IF($A541="","",[1]!thsiFinD("ths_adjustment_nv_fund",C$3,$A541))</x:f>
        <x:v>#NAME?</x:v>
      </x:c>
      <x:c r="D541" t="e">
        <x:f>IF($A541="","",[1]!thsiFinD("ths_adjustment_nv_fund",D$3,$A541))</x:f>
        <x:v>#NAME?</x:v>
      </x:c>
      <x:c r="E541" t="e">
        <x:f>IF($A541="","",[1]!thsiFinD("ths_adjustment_nv_fund",E$3,$A541))</x:f>
        <x:v>#NAME?</x:v>
      </x:c>
      <x:c r="F541" t="e">
        <x:f>IF($A541="","",[1]!thsiFinD("ths_adjustment_nv_fund",F$3,$A541))</x:f>
        <x:v>#NAME?</x:v>
      </x:c>
      <x:c r="G541" t="e">
        <x:f>IF($A541="","",[1]!thsiFinD("ths_adjustment_nv_fund",G$3,$A541))</x:f>
        <x:v>#NAME?</x:v>
      </x:c>
      <x:c r="H541" t="e">
        <x:f>IF($A541="","",[1]!thsiFinD("ths_adjustment_nv_fund",H$3,$A541))</x:f>
        <x:v>#NAME?</x:v>
      </x:c>
      <x:c r="I541" t="e">
        <x:f>IF($A541="","",[1]!thsiFinD("ths_adjustment_nv_fund",I$3,$A541))</x:f>
        <x:v>#NAME?</x:v>
      </x:c>
      <x:c r="J541" t="e">
        <x:f>IF($A541="","",[1]!thsiFinD("ths_adjustment_nv_fund",J$3,$A541))</x:f>
        <x:v>#NAME?</x:v>
      </x:c>
      <x:c r="K541" t="e">
        <x:f>IF($A541="","",[1]!thsiFinD("ths_adjustment_nv_fund",K$3,$A541))</x:f>
        <x:v>#NAME?</x:v>
      </x:c>
      <x:c r="L541" t="e">
        <x:f>IF($A541="","",[1]!thsiFinD("ths_adjustment_nv_fund",L$3,$A541))</x:f>
        <x:v>#NAME?</x:v>
      </x:c>
      <x:c r="M541" t="e">
        <x:f>IF($A541="","",[1]!thsiFinD("ths_adjustment_nv_fund",M$3,$A541))</x:f>
        <x:v>#NAME?</x:v>
      </x:c>
      <x:c r="N541" t="e">
        <x:f>IF($A541="","",[1]!thsiFinD("ths_adjustment_nv_fund",N$3,$A541))</x:f>
        <x:v>#NAME?</x:v>
      </x:c>
      <x:c r="O541" t="e">
        <x:f>IF($A541="","",[1]!thsiFinD("ths_adjustment_nv_fund",O$3,$A541))</x:f>
        <x:v>#NAME?</x:v>
      </x:c>
      <x:c r="P541" t="e">
        <x:f>IF($A541="","",[1]!thsiFinD("ths_adjustment_nv_fund",P$3,$A541))</x:f>
        <x:v>#NAME?</x:v>
      </x:c>
      <x:c r="Q541" t="e">
        <x:f>IF($A541="","",[1]!thsiFinD("ths_adjustment_nv_fund",Q$3,$A541))</x:f>
        <x:v>#NAME?</x:v>
      </x:c>
      <x:c r="R541" t="e">
        <x:f>IF($A541="","",[1]!thsiFinD("ths_adjustment_nv_fund",R$3,$A541))</x:f>
        <x:v>#NAME?</x:v>
      </x:c>
      <x:c r="S541" t="e">
        <x:f>IF($A541="","",[1]!thsiFinD("ths_adjustment_nv_fund",S$3,$A541))</x:f>
        <x:v>#NAME?</x:v>
      </x:c>
      <x:c r="T541" t="e">
        <x:f>IF($A541="","",[1]!thsiFinD("ths_adjustment_nv_fund",T$3,$A541))</x:f>
        <x:v>#NAME?</x:v>
      </x:c>
      <x:c r="U541" t="e">
        <x:f>IF($A541="","",[1]!thsiFinD("ths_adjustment_nv_fund",U$3,$A541))</x:f>
        <x:v>#NAME?</x:v>
      </x:c>
      <x:c r="V541" t="e">
        <x:f>IF($A541="","",[1]!thsiFinD("ths_adjustment_nv_fund",V$3,$A541))</x:f>
        <x:v>#NAME?</x:v>
      </x:c>
      <x:c r="W541" t="e">
        <x:f>IF($A541="","",[1]!thsiFinD("ths_adjustment_nv_fund",W$3,$A541))</x:f>
        <x:v>#NAME?</x:v>
      </x:c>
      <x:c r="X541" t="e">
        <x:f>IF($A541="","",[1]!thsiFinD("ths_adjustment_nv_fund",X$3,$A541))</x:f>
        <x:v>#NAME?</x:v>
      </x:c>
      <x:c r="Y541" t="e">
        <x:f>IF($A541="","",[1]!thsiFinD("ths_adjustment_nv_fund",Y$3,$A541))</x:f>
        <x:v>#NAME?</x:v>
      </x:c>
    </x:row>
    <x:row r="542">
      <x:c r="B542" t="e">
        <x:f>IF($A542="","",[1]!thsiFinD("ths_adjustment_nv_fund",B$3,$A542))</x:f>
        <x:v>#NAME?</x:v>
      </x:c>
      <x:c r="C542" t="e">
        <x:f>IF($A542="","",[1]!thsiFinD("ths_adjustment_nv_fund",C$3,$A542))</x:f>
        <x:v>#NAME?</x:v>
      </x:c>
      <x:c r="D542" t="e">
        <x:f>IF($A542="","",[1]!thsiFinD("ths_adjustment_nv_fund",D$3,$A542))</x:f>
        <x:v>#NAME?</x:v>
      </x:c>
      <x:c r="E542" t="e">
        <x:f>IF($A542="","",[1]!thsiFinD("ths_adjustment_nv_fund",E$3,$A542))</x:f>
        <x:v>#NAME?</x:v>
      </x:c>
      <x:c r="F542" t="e">
        <x:f>IF($A542="","",[1]!thsiFinD("ths_adjustment_nv_fund",F$3,$A542))</x:f>
        <x:v>#NAME?</x:v>
      </x:c>
      <x:c r="G542" t="e">
        <x:f>IF($A542="","",[1]!thsiFinD("ths_adjustment_nv_fund",G$3,$A542))</x:f>
        <x:v>#NAME?</x:v>
      </x:c>
      <x:c r="H542" t="e">
        <x:f>IF($A542="","",[1]!thsiFinD("ths_adjustment_nv_fund",H$3,$A542))</x:f>
        <x:v>#NAME?</x:v>
      </x:c>
      <x:c r="I542" t="e">
        <x:f>IF($A542="","",[1]!thsiFinD("ths_adjustment_nv_fund",I$3,$A542))</x:f>
        <x:v>#NAME?</x:v>
      </x:c>
      <x:c r="J542" t="e">
        <x:f>IF($A542="","",[1]!thsiFinD("ths_adjustment_nv_fund",J$3,$A542))</x:f>
        <x:v>#NAME?</x:v>
      </x:c>
      <x:c r="K542" t="e">
        <x:f>IF($A542="","",[1]!thsiFinD("ths_adjustment_nv_fund",K$3,$A542))</x:f>
        <x:v>#NAME?</x:v>
      </x:c>
      <x:c r="L542" t="e">
        <x:f>IF($A542="","",[1]!thsiFinD("ths_adjustment_nv_fund",L$3,$A542))</x:f>
        <x:v>#NAME?</x:v>
      </x:c>
      <x:c r="M542" t="e">
        <x:f>IF($A542="","",[1]!thsiFinD("ths_adjustment_nv_fund",M$3,$A542))</x:f>
        <x:v>#NAME?</x:v>
      </x:c>
      <x:c r="N542" t="e">
        <x:f>IF($A542="","",[1]!thsiFinD("ths_adjustment_nv_fund",N$3,$A542))</x:f>
        <x:v>#NAME?</x:v>
      </x:c>
      <x:c r="O542" t="e">
        <x:f>IF($A542="","",[1]!thsiFinD("ths_adjustment_nv_fund",O$3,$A542))</x:f>
        <x:v>#NAME?</x:v>
      </x:c>
      <x:c r="P542" t="e">
        <x:f>IF($A542="","",[1]!thsiFinD("ths_adjustment_nv_fund",P$3,$A542))</x:f>
        <x:v>#NAME?</x:v>
      </x:c>
      <x:c r="Q542" t="e">
        <x:f>IF($A542="","",[1]!thsiFinD("ths_adjustment_nv_fund",Q$3,$A542))</x:f>
        <x:v>#NAME?</x:v>
      </x:c>
      <x:c r="R542" t="e">
        <x:f>IF($A542="","",[1]!thsiFinD("ths_adjustment_nv_fund",R$3,$A542))</x:f>
        <x:v>#NAME?</x:v>
      </x:c>
      <x:c r="S542" t="e">
        <x:f>IF($A542="","",[1]!thsiFinD("ths_adjustment_nv_fund",S$3,$A542))</x:f>
        <x:v>#NAME?</x:v>
      </x:c>
      <x:c r="T542" t="e">
        <x:f>IF($A542="","",[1]!thsiFinD("ths_adjustment_nv_fund",T$3,$A542))</x:f>
        <x:v>#NAME?</x:v>
      </x:c>
      <x:c r="U542" t="e">
        <x:f>IF($A542="","",[1]!thsiFinD("ths_adjustment_nv_fund",U$3,$A542))</x:f>
        <x:v>#NAME?</x:v>
      </x:c>
      <x:c r="V542" t="e">
        <x:f>IF($A542="","",[1]!thsiFinD("ths_adjustment_nv_fund",V$3,$A542))</x:f>
        <x:v>#NAME?</x:v>
      </x:c>
      <x:c r="W542" t="e">
        <x:f>IF($A542="","",[1]!thsiFinD("ths_adjustment_nv_fund",W$3,$A542))</x:f>
        <x:v>#NAME?</x:v>
      </x:c>
      <x:c r="X542" t="e">
        <x:f>IF($A542="","",[1]!thsiFinD("ths_adjustment_nv_fund",X$3,$A542))</x:f>
        <x:v>#NAME?</x:v>
      </x:c>
      <x:c r="Y542" t="e">
        <x:f>IF($A542="","",[1]!thsiFinD("ths_adjustment_nv_fund",Y$3,$A542))</x:f>
        <x:v>#NAME?</x:v>
      </x:c>
    </x:row>
    <x:row r="543">
      <x:c r="B543" t="e">
        <x:f>IF($A543="","",[1]!thsiFinD("ths_adjustment_nv_fund",B$3,$A543))</x:f>
        <x:v>#NAME?</x:v>
      </x:c>
      <x:c r="C543" t="e">
        <x:f>IF($A543="","",[1]!thsiFinD("ths_adjustment_nv_fund",C$3,$A543))</x:f>
        <x:v>#NAME?</x:v>
      </x:c>
      <x:c r="D543" t="e">
        <x:f>IF($A543="","",[1]!thsiFinD("ths_adjustment_nv_fund",D$3,$A543))</x:f>
        <x:v>#NAME?</x:v>
      </x:c>
      <x:c r="E543" t="e">
        <x:f>IF($A543="","",[1]!thsiFinD("ths_adjustment_nv_fund",E$3,$A543))</x:f>
        <x:v>#NAME?</x:v>
      </x:c>
      <x:c r="F543" t="e">
        <x:f>IF($A543="","",[1]!thsiFinD("ths_adjustment_nv_fund",F$3,$A543))</x:f>
        <x:v>#NAME?</x:v>
      </x:c>
      <x:c r="G543" t="e">
        <x:f>IF($A543="","",[1]!thsiFinD("ths_adjustment_nv_fund",G$3,$A543))</x:f>
        <x:v>#NAME?</x:v>
      </x:c>
      <x:c r="H543" t="e">
        <x:f>IF($A543="","",[1]!thsiFinD("ths_adjustment_nv_fund",H$3,$A543))</x:f>
        <x:v>#NAME?</x:v>
      </x:c>
      <x:c r="I543" t="e">
        <x:f>IF($A543="","",[1]!thsiFinD("ths_adjustment_nv_fund",I$3,$A543))</x:f>
        <x:v>#NAME?</x:v>
      </x:c>
      <x:c r="J543" t="e">
        <x:f>IF($A543="","",[1]!thsiFinD("ths_adjustment_nv_fund",J$3,$A543))</x:f>
        <x:v>#NAME?</x:v>
      </x:c>
      <x:c r="K543" t="e">
        <x:f>IF($A543="","",[1]!thsiFinD("ths_adjustment_nv_fund",K$3,$A543))</x:f>
        <x:v>#NAME?</x:v>
      </x:c>
      <x:c r="L543" t="e">
        <x:f>IF($A543="","",[1]!thsiFinD("ths_adjustment_nv_fund",L$3,$A543))</x:f>
        <x:v>#NAME?</x:v>
      </x:c>
      <x:c r="M543" t="e">
        <x:f>IF($A543="","",[1]!thsiFinD("ths_adjustment_nv_fund",M$3,$A543))</x:f>
        <x:v>#NAME?</x:v>
      </x:c>
      <x:c r="N543" t="e">
        <x:f>IF($A543="","",[1]!thsiFinD("ths_adjustment_nv_fund",N$3,$A543))</x:f>
        <x:v>#NAME?</x:v>
      </x:c>
      <x:c r="O543" t="e">
        <x:f>IF($A543="","",[1]!thsiFinD("ths_adjustment_nv_fund",O$3,$A543))</x:f>
        <x:v>#NAME?</x:v>
      </x:c>
      <x:c r="P543" t="e">
        <x:f>IF($A543="","",[1]!thsiFinD("ths_adjustment_nv_fund",P$3,$A543))</x:f>
        <x:v>#NAME?</x:v>
      </x:c>
      <x:c r="Q543" t="e">
        <x:f>IF($A543="","",[1]!thsiFinD("ths_adjustment_nv_fund",Q$3,$A543))</x:f>
        <x:v>#NAME?</x:v>
      </x:c>
      <x:c r="R543" t="e">
        <x:f>IF($A543="","",[1]!thsiFinD("ths_adjustment_nv_fund",R$3,$A543))</x:f>
        <x:v>#NAME?</x:v>
      </x:c>
      <x:c r="S543" t="e">
        <x:f>IF($A543="","",[1]!thsiFinD("ths_adjustment_nv_fund",S$3,$A543))</x:f>
        <x:v>#NAME?</x:v>
      </x:c>
      <x:c r="T543" t="e">
        <x:f>IF($A543="","",[1]!thsiFinD("ths_adjustment_nv_fund",T$3,$A543))</x:f>
        <x:v>#NAME?</x:v>
      </x:c>
      <x:c r="U543" t="e">
        <x:f>IF($A543="","",[1]!thsiFinD("ths_adjustment_nv_fund",U$3,$A543))</x:f>
        <x:v>#NAME?</x:v>
      </x:c>
      <x:c r="V543" t="e">
        <x:f>IF($A543="","",[1]!thsiFinD("ths_adjustment_nv_fund",V$3,$A543))</x:f>
        <x:v>#NAME?</x:v>
      </x:c>
      <x:c r="W543" t="e">
        <x:f>IF($A543="","",[1]!thsiFinD("ths_adjustment_nv_fund",W$3,$A543))</x:f>
        <x:v>#NAME?</x:v>
      </x:c>
      <x:c r="X543" t="e">
        <x:f>IF($A543="","",[1]!thsiFinD("ths_adjustment_nv_fund",X$3,$A543))</x:f>
        <x:v>#NAME?</x:v>
      </x:c>
      <x:c r="Y543" t="e">
        <x:f>IF($A543="","",[1]!thsiFinD("ths_adjustment_nv_fund",Y$3,$A543))</x:f>
        <x:v>#NAME?</x:v>
      </x:c>
    </x:row>
    <x:row r="544">
      <x:c r="B544" t="e">
        <x:f>IF($A544="","",[1]!thsiFinD("ths_adjustment_nv_fund",B$3,$A544))</x:f>
        <x:v>#NAME?</x:v>
      </x:c>
      <x:c r="C544" t="e">
        <x:f>IF($A544="","",[1]!thsiFinD("ths_adjustment_nv_fund",C$3,$A544))</x:f>
        <x:v>#NAME?</x:v>
      </x:c>
      <x:c r="D544" t="e">
        <x:f>IF($A544="","",[1]!thsiFinD("ths_adjustment_nv_fund",D$3,$A544))</x:f>
        <x:v>#NAME?</x:v>
      </x:c>
      <x:c r="E544" t="e">
        <x:f>IF($A544="","",[1]!thsiFinD("ths_adjustment_nv_fund",E$3,$A544))</x:f>
        <x:v>#NAME?</x:v>
      </x:c>
      <x:c r="F544" t="e">
        <x:f>IF($A544="","",[1]!thsiFinD("ths_adjustment_nv_fund",F$3,$A544))</x:f>
        <x:v>#NAME?</x:v>
      </x:c>
      <x:c r="G544" t="e">
        <x:f>IF($A544="","",[1]!thsiFinD("ths_adjustment_nv_fund",G$3,$A544))</x:f>
        <x:v>#NAME?</x:v>
      </x:c>
      <x:c r="H544" t="e">
        <x:f>IF($A544="","",[1]!thsiFinD("ths_adjustment_nv_fund",H$3,$A544))</x:f>
        <x:v>#NAME?</x:v>
      </x:c>
      <x:c r="I544" t="e">
        <x:f>IF($A544="","",[1]!thsiFinD("ths_adjustment_nv_fund",I$3,$A544))</x:f>
        <x:v>#NAME?</x:v>
      </x:c>
      <x:c r="J544" t="e">
        <x:f>IF($A544="","",[1]!thsiFinD("ths_adjustment_nv_fund",J$3,$A544))</x:f>
        <x:v>#NAME?</x:v>
      </x:c>
      <x:c r="K544" t="e">
        <x:f>IF($A544="","",[1]!thsiFinD("ths_adjustment_nv_fund",K$3,$A544))</x:f>
        <x:v>#NAME?</x:v>
      </x:c>
      <x:c r="L544" t="e">
        <x:f>IF($A544="","",[1]!thsiFinD("ths_adjustment_nv_fund",L$3,$A544))</x:f>
        <x:v>#NAME?</x:v>
      </x:c>
      <x:c r="M544" t="e">
        <x:f>IF($A544="","",[1]!thsiFinD("ths_adjustment_nv_fund",M$3,$A544))</x:f>
        <x:v>#NAME?</x:v>
      </x:c>
      <x:c r="N544" t="e">
        <x:f>IF($A544="","",[1]!thsiFinD("ths_adjustment_nv_fund",N$3,$A544))</x:f>
        <x:v>#NAME?</x:v>
      </x:c>
      <x:c r="O544" t="e">
        <x:f>IF($A544="","",[1]!thsiFinD("ths_adjustment_nv_fund",O$3,$A544))</x:f>
        <x:v>#NAME?</x:v>
      </x:c>
      <x:c r="P544" t="e">
        <x:f>IF($A544="","",[1]!thsiFinD("ths_adjustment_nv_fund",P$3,$A544))</x:f>
        <x:v>#NAME?</x:v>
      </x:c>
      <x:c r="Q544" t="e">
        <x:f>IF($A544="","",[1]!thsiFinD("ths_adjustment_nv_fund",Q$3,$A544))</x:f>
        <x:v>#NAME?</x:v>
      </x:c>
      <x:c r="R544" t="e">
        <x:f>IF($A544="","",[1]!thsiFinD("ths_adjustment_nv_fund",R$3,$A544))</x:f>
        <x:v>#NAME?</x:v>
      </x:c>
      <x:c r="S544" t="e">
        <x:f>IF($A544="","",[1]!thsiFinD("ths_adjustment_nv_fund",S$3,$A544))</x:f>
        <x:v>#NAME?</x:v>
      </x:c>
      <x:c r="T544" t="e">
        <x:f>IF($A544="","",[1]!thsiFinD("ths_adjustment_nv_fund",T$3,$A544))</x:f>
        <x:v>#NAME?</x:v>
      </x:c>
      <x:c r="U544" t="e">
        <x:f>IF($A544="","",[1]!thsiFinD("ths_adjustment_nv_fund",U$3,$A544))</x:f>
        <x:v>#NAME?</x:v>
      </x:c>
      <x:c r="V544" t="e">
        <x:f>IF($A544="","",[1]!thsiFinD("ths_adjustment_nv_fund",V$3,$A544))</x:f>
        <x:v>#NAME?</x:v>
      </x:c>
      <x:c r="W544" t="e">
        <x:f>IF($A544="","",[1]!thsiFinD("ths_adjustment_nv_fund",W$3,$A544))</x:f>
        <x:v>#NAME?</x:v>
      </x:c>
      <x:c r="X544" t="e">
        <x:f>IF($A544="","",[1]!thsiFinD("ths_adjustment_nv_fund",X$3,$A544))</x:f>
        <x:v>#NAME?</x:v>
      </x:c>
      <x:c r="Y544" t="e">
        <x:f>IF($A544="","",[1]!thsiFinD("ths_adjustment_nv_fund",Y$3,$A544))</x:f>
        <x:v>#NAME?</x:v>
      </x:c>
    </x:row>
    <x:row r="545">
      <x:c r="B545" t="e">
        <x:f>IF($A545="","",[1]!thsiFinD("ths_adjustment_nv_fund",B$3,$A545))</x:f>
        <x:v>#NAME?</x:v>
      </x:c>
      <x:c r="C545" t="e">
        <x:f>IF($A545="","",[1]!thsiFinD("ths_adjustment_nv_fund",C$3,$A545))</x:f>
        <x:v>#NAME?</x:v>
      </x:c>
      <x:c r="D545" t="e">
        <x:f>IF($A545="","",[1]!thsiFinD("ths_adjustment_nv_fund",D$3,$A545))</x:f>
        <x:v>#NAME?</x:v>
      </x:c>
      <x:c r="E545" t="e">
        <x:f>IF($A545="","",[1]!thsiFinD("ths_adjustment_nv_fund",E$3,$A545))</x:f>
        <x:v>#NAME?</x:v>
      </x:c>
      <x:c r="F545" t="e">
        <x:f>IF($A545="","",[1]!thsiFinD("ths_adjustment_nv_fund",F$3,$A545))</x:f>
        <x:v>#NAME?</x:v>
      </x:c>
      <x:c r="G545" t="e">
        <x:f>IF($A545="","",[1]!thsiFinD("ths_adjustment_nv_fund",G$3,$A545))</x:f>
        <x:v>#NAME?</x:v>
      </x:c>
      <x:c r="H545" t="e">
        <x:f>IF($A545="","",[1]!thsiFinD("ths_adjustment_nv_fund",H$3,$A545))</x:f>
        <x:v>#NAME?</x:v>
      </x:c>
      <x:c r="I545" t="e">
        <x:f>IF($A545="","",[1]!thsiFinD("ths_adjustment_nv_fund",I$3,$A545))</x:f>
        <x:v>#NAME?</x:v>
      </x:c>
      <x:c r="J545" t="e">
        <x:f>IF($A545="","",[1]!thsiFinD("ths_adjustment_nv_fund",J$3,$A545))</x:f>
        <x:v>#NAME?</x:v>
      </x:c>
      <x:c r="K545" t="e">
        <x:f>IF($A545="","",[1]!thsiFinD("ths_adjustment_nv_fund",K$3,$A545))</x:f>
        <x:v>#NAME?</x:v>
      </x:c>
      <x:c r="L545" t="e">
        <x:f>IF($A545="","",[1]!thsiFinD("ths_adjustment_nv_fund",L$3,$A545))</x:f>
        <x:v>#NAME?</x:v>
      </x:c>
      <x:c r="M545" t="e">
        <x:f>IF($A545="","",[1]!thsiFinD("ths_adjustment_nv_fund",M$3,$A545))</x:f>
        <x:v>#NAME?</x:v>
      </x:c>
      <x:c r="N545" t="e">
        <x:f>IF($A545="","",[1]!thsiFinD("ths_adjustment_nv_fund",N$3,$A545))</x:f>
        <x:v>#NAME?</x:v>
      </x:c>
      <x:c r="O545" t="e">
        <x:f>IF($A545="","",[1]!thsiFinD("ths_adjustment_nv_fund",O$3,$A545))</x:f>
        <x:v>#NAME?</x:v>
      </x:c>
      <x:c r="P545" t="e">
        <x:f>IF($A545="","",[1]!thsiFinD("ths_adjustment_nv_fund",P$3,$A545))</x:f>
        <x:v>#NAME?</x:v>
      </x:c>
      <x:c r="Q545" t="e">
        <x:f>IF($A545="","",[1]!thsiFinD("ths_adjustment_nv_fund",Q$3,$A545))</x:f>
        <x:v>#NAME?</x:v>
      </x:c>
      <x:c r="R545" t="e">
        <x:f>IF($A545="","",[1]!thsiFinD("ths_adjustment_nv_fund",R$3,$A545))</x:f>
        <x:v>#NAME?</x:v>
      </x:c>
      <x:c r="S545" t="e">
        <x:f>IF($A545="","",[1]!thsiFinD("ths_adjustment_nv_fund",S$3,$A545))</x:f>
        <x:v>#NAME?</x:v>
      </x:c>
      <x:c r="T545" t="e">
        <x:f>IF($A545="","",[1]!thsiFinD("ths_adjustment_nv_fund",T$3,$A545))</x:f>
        <x:v>#NAME?</x:v>
      </x:c>
      <x:c r="U545" t="e">
        <x:f>IF($A545="","",[1]!thsiFinD("ths_adjustment_nv_fund",U$3,$A545))</x:f>
        <x:v>#NAME?</x:v>
      </x:c>
      <x:c r="V545" t="e">
        <x:f>IF($A545="","",[1]!thsiFinD("ths_adjustment_nv_fund",V$3,$A545))</x:f>
        <x:v>#NAME?</x:v>
      </x:c>
      <x:c r="W545" t="e">
        <x:f>IF($A545="","",[1]!thsiFinD("ths_adjustment_nv_fund",W$3,$A545))</x:f>
        <x:v>#NAME?</x:v>
      </x:c>
      <x:c r="X545" t="e">
        <x:f>IF($A545="","",[1]!thsiFinD("ths_adjustment_nv_fund",X$3,$A545))</x:f>
        <x:v>#NAME?</x:v>
      </x:c>
      <x:c r="Y545" t="e">
        <x:f>IF($A545="","",[1]!thsiFinD("ths_adjustment_nv_fund",Y$3,$A545))</x:f>
        <x:v>#NAME?</x:v>
      </x:c>
    </x:row>
    <x:row r="546">
      <x:c r="B546" t="e">
        <x:f>IF($A546="","",[1]!thsiFinD("ths_adjustment_nv_fund",B$3,$A546))</x:f>
        <x:v>#NAME?</x:v>
      </x:c>
      <x:c r="C546" t="e">
        <x:f>IF($A546="","",[1]!thsiFinD("ths_adjustment_nv_fund",C$3,$A546))</x:f>
        <x:v>#NAME?</x:v>
      </x:c>
      <x:c r="D546" t="e">
        <x:f>IF($A546="","",[1]!thsiFinD("ths_adjustment_nv_fund",D$3,$A546))</x:f>
        <x:v>#NAME?</x:v>
      </x:c>
      <x:c r="E546" t="e">
        <x:f>IF($A546="","",[1]!thsiFinD("ths_adjustment_nv_fund",E$3,$A546))</x:f>
        <x:v>#NAME?</x:v>
      </x:c>
      <x:c r="F546" t="e">
        <x:f>IF($A546="","",[1]!thsiFinD("ths_adjustment_nv_fund",F$3,$A546))</x:f>
        <x:v>#NAME?</x:v>
      </x:c>
      <x:c r="G546" t="e">
        <x:f>IF($A546="","",[1]!thsiFinD("ths_adjustment_nv_fund",G$3,$A546))</x:f>
        <x:v>#NAME?</x:v>
      </x:c>
      <x:c r="H546" t="e">
        <x:f>IF($A546="","",[1]!thsiFinD("ths_adjustment_nv_fund",H$3,$A546))</x:f>
        <x:v>#NAME?</x:v>
      </x:c>
      <x:c r="I546" t="e">
        <x:f>IF($A546="","",[1]!thsiFinD("ths_adjustment_nv_fund",I$3,$A546))</x:f>
        <x:v>#NAME?</x:v>
      </x:c>
      <x:c r="J546" t="e">
        <x:f>IF($A546="","",[1]!thsiFinD("ths_adjustment_nv_fund",J$3,$A546))</x:f>
        <x:v>#NAME?</x:v>
      </x:c>
      <x:c r="K546" t="e">
        <x:f>IF($A546="","",[1]!thsiFinD("ths_adjustment_nv_fund",K$3,$A546))</x:f>
        <x:v>#NAME?</x:v>
      </x:c>
      <x:c r="L546" t="e">
        <x:f>IF($A546="","",[1]!thsiFinD("ths_adjustment_nv_fund",L$3,$A546))</x:f>
        <x:v>#NAME?</x:v>
      </x:c>
      <x:c r="M546" t="e">
        <x:f>IF($A546="","",[1]!thsiFinD("ths_adjustment_nv_fund",M$3,$A546))</x:f>
        <x:v>#NAME?</x:v>
      </x:c>
      <x:c r="N546" t="e">
        <x:f>IF($A546="","",[1]!thsiFinD("ths_adjustment_nv_fund",N$3,$A546))</x:f>
        <x:v>#NAME?</x:v>
      </x:c>
      <x:c r="O546" t="e">
        <x:f>IF($A546="","",[1]!thsiFinD("ths_adjustment_nv_fund",O$3,$A546))</x:f>
        <x:v>#NAME?</x:v>
      </x:c>
      <x:c r="P546" t="e">
        <x:f>IF($A546="","",[1]!thsiFinD("ths_adjustment_nv_fund",P$3,$A546))</x:f>
        <x:v>#NAME?</x:v>
      </x:c>
      <x:c r="Q546" t="e">
        <x:f>IF($A546="","",[1]!thsiFinD("ths_adjustment_nv_fund",Q$3,$A546))</x:f>
        <x:v>#NAME?</x:v>
      </x:c>
      <x:c r="R546" t="e">
        <x:f>IF($A546="","",[1]!thsiFinD("ths_adjustment_nv_fund",R$3,$A546))</x:f>
        <x:v>#NAME?</x:v>
      </x:c>
      <x:c r="S546" t="e">
        <x:f>IF($A546="","",[1]!thsiFinD("ths_adjustment_nv_fund",S$3,$A546))</x:f>
        <x:v>#NAME?</x:v>
      </x:c>
      <x:c r="T546" t="e">
        <x:f>IF($A546="","",[1]!thsiFinD("ths_adjustment_nv_fund",T$3,$A546))</x:f>
        <x:v>#NAME?</x:v>
      </x:c>
      <x:c r="U546" t="e">
        <x:f>IF($A546="","",[1]!thsiFinD("ths_adjustment_nv_fund",U$3,$A546))</x:f>
        <x:v>#NAME?</x:v>
      </x:c>
      <x:c r="V546" t="e">
        <x:f>IF($A546="","",[1]!thsiFinD("ths_adjustment_nv_fund",V$3,$A546))</x:f>
        <x:v>#NAME?</x:v>
      </x:c>
      <x:c r="W546" t="e">
        <x:f>IF($A546="","",[1]!thsiFinD("ths_adjustment_nv_fund",W$3,$A546))</x:f>
        <x:v>#NAME?</x:v>
      </x:c>
      <x:c r="X546" t="e">
        <x:f>IF($A546="","",[1]!thsiFinD("ths_adjustment_nv_fund",X$3,$A546))</x:f>
        <x:v>#NAME?</x:v>
      </x:c>
      <x:c r="Y546" t="e">
        <x:f>IF($A546="","",[1]!thsiFinD("ths_adjustment_nv_fund",Y$3,$A546))</x:f>
        <x:v>#NAME?</x:v>
      </x:c>
    </x:row>
    <x:row r="547">
      <x:c r="B547" t="e">
        <x:f>IF($A547="","",[1]!thsiFinD("ths_adjustment_nv_fund",B$3,$A547))</x:f>
        <x:v>#NAME?</x:v>
      </x:c>
      <x:c r="C547" t="e">
        <x:f>IF($A547="","",[1]!thsiFinD("ths_adjustment_nv_fund",C$3,$A547))</x:f>
        <x:v>#NAME?</x:v>
      </x:c>
      <x:c r="D547" t="e">
        <x:f>IF($A547="","",[1]!thsiFinD("ths_adjustment_nv_fund",D$3,$A547))</x:f>
        <x:v>#NAME?</x:v>
      </x:c>
      <x:c r="E547" t="e">
        <x:f>IF($A547="","",[1]!thsiFinD("ths_adjustment_nv_fund",E$3,$A547))</x:f>
        <x:v>#NAME?</x:v>
      </x:c>
      <x:c r="F547" t="e">
        <x:f>IF($A547="","",[1]!thsiFinD("ths_adjustment_nv_fund",F$3,$A547))</x:f>
        <x:v>#NAME?</x:v>
      </x:c>
      <x:c r="G547" t="e">
        <x:f>IF($A547="","",[1]!thsiFinD("ths_adjustment_nv_fund",G$3,$A547))</x:f>
        <x:v>#NAME?</x:v>
      </x:c>
      <x:c r="H547" t="e">
        <x:f>IF($A547="","",[1]!thsiFinD("ths_adjustment_nv_fund",H$3,$A547))</x:f>
        <x:v>#NAME?</x:v>
      </x:c>
      <x:c r="I547" t="e">
        <x:f>IF($A547="","",[1]!thsiFinD("ths_adjustment_nv_fund",I$3,$A547))</x:f>
        <x:v>#NAME?</x:v>
      </x:c>
      <x:c r="J547" t="e">
        <x:f>IF($A547="","",[1]!thsiFinD("ths_adjustment_nv_fund",J$3,$A547))</x:f>
        <x:v>#NAME?</x:v>
      </x:c>
      <x:c r="K547" t="e">
        <x:f>IF($A547="","",[1]!thsiFinD("ths_adjustment_nv_fund",K$3,$A547))</x:f>
        <x:v>#NAME?</x:v>
      </x:c>
      <x:c r="L547" t="e">
        <x:f>IF($A547="","",[1]!thsiFinD("ths_adjustment_nv_fund",L$3,$A547))</x:f>
        <x:v>#NAME?</x:v>
      </x:c>
      <x:c r="M547" t="e">
        <x:f>IF($A547="","",[1]!thsiFinD("ths_adjustment_nv_fund",M$3,$A547))</x:f>
        <x:v>#NAME?</x:v>
      </x:c>
      <x:c r="N547" t="e">
        <x:f>IF($A547="","",[1]!thsiFinD("ths_adjustment_nv_fund",N$3,$A547))</x:f>
        <x:v>#NAME?</x:v>
      </x:c>
      <x:c r="O547" t="e">
        <x:f>IF($A547="","",[1]!thsiFinD("ths_adjustment_nv_fund",O$3,$A547))</x:f>
        <x:v>#NAME?</x:v>
      </x:c>
      <x:c r="P547" t="e">
        <x:f>IF($A547="","",[1]!thsiFinD("ths_adjustment_nv_fund",P$3,$A547))</x:f>
        <x:v>#NAME?</x:v>
      </x:c>
      <x:c r="Q547" t="e">
        <x:f>IF($A547="","",[1]!thsiFinD("ths_adjustment_nv_fund",Q$3,$A547))</x:f>
        <x:v>#NAME?</x:v>
      </x:c>
      <x:c r="R547" t="e">
        <x:f>IF($A547="","",[1]!thsiFinD("ths_adjustment_nv_fund",R$3,$A547))</x:f>
        <x:v>#NAME?</x:v>
      </x:c>
      <x:c r="S547" t="e">
        <x:f>IF($A547="","",[1]!thsiFinD("ths_adjustment_nv_fund",S$3,$A547))</x:f>
        <x:v>#NAME?</x:v>
      </x:c>
      <x:c r="T547" t="e">
        <x:f>IF($A547="","",[1]!thsiFinD("ths_adjustment_nv_fund",T$3,$A547))</x:f>
        <x:v>#NAME?</x:v>
      </x:c>
      <x:c r="U547" t="e">
        <x:f>IF($A547="","",[1]!thsiFinD("ths_adjustment_nv_fund",U$3,$A547))</x:f>
        <x:v>#NAME?</x:v>
      </x:c>
      <x:c r="V547" t="e">
        <x:f>IF($A547="","",[1]!thsiFinD("ths_adjustment_nv_fund",V$3,$A547))</x:f>
        <x:v>#NAME?</x:v>
      </x:c>
      <x:c r="W547" t="e">
        <x:f>IF($A547="","",[1]!thsiFinD("ths_adjustment_nv_fund",W$3,$A547))</x:f>
        <x:v>#NAME?</x:v>
      </x:c>
      <x:c r="X547" t="e">
        <x:f>IF($A547="","",[1]!thsiFinD("ths_adjustment_nv_fund",X$3,$A547))</x:f>
        <x:v>#NAME?</x:v>
      </x:c>
      <x:c r="Y547" t="e">
        <x:f>IF($A547="","",[1]!thsiFinD("ths_adjustment_nv_fund",Y$3,$A547))</x:f>
        <x:v>#NAME?</x:v>
      </x:c>
    </x:row>
    <x:row r="548">
      <x:c r="B548" t="e">
        <x:f>IF($A548="","",[1]!thsiFinD("ths_adjustment_nv_fund",B$3,$A548))</x:f>
        <x:v>#NAME?</x:v>
      </x:c>
      <x:c r="C548" t="e">
        <x:f>IF($A548="","",[1]!thsiFinD("ths_adjustment_nv_fund",C$3,$A548))</x:f>
        <x:v>#NAME?</x:v>
      </x:c>
      <x:c r="D548" t="e">
        <x:f>IF($A548="","",[1]!thsiFinD("ths_adjustment_nv_fund",D$3,$A548))</x:f>
        <x:v>#NAME?</x:v>
      </x:c>
      <x:c r="E548" t="e">
        <x:f>IF($A548="","",[1]!thsiFinD("ths_adjustment_nv_fund",E$3,$A548))</x:f>
        <x:v>#NAME?</x:v>
      </x:c>
      <x:c r="F548" t="e">
        <x:f>IF($A548="","",[1]!thsiFinD("ths_adjustment_nv_fund",F$3,$A548))</x:f>
        <x:v>#NAME?</x:v>
      </x:c>
      <x:c r="G548" t="e">
        <x:f>IF($A548="","",[1]!thsiFinD("ths_adjustment_nv_fund",G$3,$A548))</x:f>
        <x:v>#NAME?</x:v>
      </x:c>
      <x:c r="H548" t="e">
        <x:f>IF($A548="","",[1]!thsiFinD("ths_adjustment_nv_fund",H$3,$A548))</x:f>
        <x:v>#NAME?</x:v>
      </x:c>
      <x:c r="I548" t="e">
        <x:f>IF($A548="","",[1]!thsiFinD("ths_adjustment_nv_fund",I$3,$A548))</x:f>
        <x:v>#NAME?</x:v>
      </x:c>
      <x:c r="J548" t="e">
        <x:f>IF($A548="","",[1]!thsiFinD("ths_adjustment_nv_fund",J$3,$A548))</x:f>
        <x:v>#NAME?</x:v>
      </x:c>
      <x:c r="K548" t="e">
        <x:f>IF($A548="","",[1]!thsiFinD("ths_adjustment_nv_fund",K$3,$A548))</x:f>
        <x:v>#NAME?</x:v>
      </x:c>
      <x:c r="L548" t="e">
        <x:f>IF($A548="","",[1]!thsiFinD("ths_adjustment_nv_fund",L$3,$A548))</x:f>
        <x:v>#NAME?</x:v>
      </x:c>
      <x:c r="M548" t="e">
        <x:f>IF($A548="","",[1]!thsiFinD("ths_adjustment_nv_fund",M$3,$A548))</x:f>
        <x:v>#NAME?</x:v>
      </x:c>
      <x:c r="N548" t="e">
        <x:f>IF($A548="","",[1]!thsiFinD("ths_adjustment_nv_fund",N$3,$A548))</x:f>
        <x:v>#NAME?</x:v>
      </x:c>
      <x:c r="O548" t="e">
        <x:f>IF($A548="","",[1]!thsiFinD("ths_adjustment_nv_fund",O$3,$A548))</x:f>
        <x:v>#NAME?</x:v>
      </x:c>
      <x:c r="P548" t="e">
        <x:f>IF($A548="","",[1]!thsiFinD("ths_adjustment_nv_fund",P$3,$A548))</x:f>
        <x:v>#NAME?</x:v>
      </x:c>
      <x:c r="Q548" t="e">
        <x:f>IF($A548="","",[1]!thsiFinD("ths_adjustment_nv_fund",Q$3,$A548))</x:f>
        <x:v>#NAME?</x:v>
      </x:c>
      <x:c r="R548" t="e">
        <x:f>IF($A548="","",[1]!thsiFinD("ths_adjustment_nv_fund",R$3,$A548))</x:f>
        <x:v>#NAME?</x:v>
      </x:c>
      <x:c r="S548" t="e">
        <x:f>IF($A548="","",[1]!thsiFinD("ths_adjustment_nv_fund",S$3,$A548))</x:f>
        <x:v>#NAME?</x:v>
      </x:c>
      <x:c r="T548" t="e">
        <x:f>IF($A548="","",[1]!thsiFinD("ths_adjustment_nv_fund",T$3,$A548))</x:f>
        <x:v>#NAME?</x:v>
      </x:c>
      <x:c r="U548" t="e">
        <x:f>IF($A548="","",[1]!thsiFinD("ths_adjustment_nv_fund",U$3,$A548))</x:f>
        <x:v>#NAME?</x:v>
      </x:c>
      <x:c r="V548" t="e">
        <x:f>IF($A548="","",[1]!thsiFinD("ths_adjustment_nv_fund",V$3,$A548))</x:f>
        <x:v>#NAME?</x:v>
      </x:c>
      <x:c r="W548" t="e">
        <x:f>IF($A548="","",[1]!thsiFinD("ths_adjustment_nv_fund",W$3,$A548))</x:f>
        <x:v>#NAME?</x:v>
      </x:c>
      <x:c r="X548" t="e">
        <x:f>IF($A548="","",[1]!thsiFinD("ths_adjustment_nv_fund",X$3,$A548))</x:f>
        <x:v>#NAME?</x:v>
      </x:c>
      <x:c r="Y548" t="e">
        <x:f>IF($A548="","",[1]!thsiFinD("ths_adjustment_nv_fund",Y$3,$A548))</x:f>
        <x:v>#NAME?</x:v>
      </x:c>
    </x:row>
    <x:row r="549">
      <x:c r="B549" t="e">
        <x:f>IF($A549="","",[1]!thsiFinD("ths_adjustment_nv_fund",B$3,$A549))</x:f>
        <x:v>#NAME?</x:v>
      </x:c>
      <x:c r="C549" t="e">
        <x:f>IF($A549="","",[1]!thsiFinD("ths_adjustment_nv_fund",C$3,$A549))</x:f>
        <x:v>#NAME?</x:v>
      </x:c>
      <x:c r="D549" t="e">
        <x:f>IF($A549="","",[1]!thsiFinD("ths_adjustment_nv_fund",D$3,$A549))</x:f>
        <x:v>#NAME?</x:v>
      </x:c>
      <x:c r="E549" t="e">
        <x:f>IF($A549="","",[1]!thsiFinD("ths_adjustment_nv_fund",E$3,$A549))</x:f>
        <x:v>#NAME?</x:v>
      </x:c>
      <x:c r="F549" t="e">
        <x:f>IF($A549="","",[1]!thsiFinD("ths_adjustment_nv_fund",F$3,$A549))</x:f>
        <x:v>#NAME?</x:v>
      </x:c>
      <x:c r="G549" t="e">
        <x:f>IF($A549="","",[1]!thsiFinD("ths_adjustment_nv_fund",G$3,$A549))</x:f>
        <x:v>#NAME?</x:v>
      </x:c>
      <x:c r="H549" t="e">
        <x:f>IF($A549="","",[1]!thsiFinD("ths_adjustment_nv_fund",H$3,$A549))</x:f>
        <x:v>#NAME?</x:v>
      </x:c>
      <x:c r="I549" t="e">
        <x:f>IF($A549="","",[1]!thsiFinD("ths_adjustment_nv_fund",I$3,$A549))</x:f>
        <x:v>#NAME?</x:v>
      </x:c>
      <x:c r="J549" t="e">
        <x:f>IF($A549="","",[1]!thsiFinD("ths_adjustment_nv_fund",J$3,$A549))</x:f>
        <x:v>#NAME?</x:v>
      </x:c>
      <x:c r="K549" t="e">
        <x:f>IF($A549="","",[1]!thsiFinD("ths_adjustment_nv_fund",K$3,$A549))</x:f>
        <x:v>#NAME?</x:v>
      </x:c>
      <x:c r="L549" t="e">
        <x:f>IF($A549="","",[1]!thsiFinD("ths_adjustment_nv_fund",L$3,$A549))</x:f>
        <x:v>#NAME?</x:v>
      </x:c>
      <x:c r="M549" t="e">
        <x:f>IF($A549="","",[1]!thsiFinD("ths_adjustment_nv_fund",M$3,$A549))</x:f>
        <x:v>#NAME?</x:v>
      </x:c>
      <x:c r="N549" t="e">
        <x:f>IF($A549="","",[1]!thsiFinD("ths_adjustment_nv_fund",N$3,$A549))</x:f>
        <x:v>#NAME?</x:v>
      </x:c>
      <x:c r="O549" t="e">
        <x:f>IF($A549="","",[1]!thsiFinD("ths_adjustment_nv_fund",O$3,$A549))</x:f>
        <x:v>#NAME?</x:v>
      </x:c>
      <x:c r="P549" t="e">
        <x:f>IF($A549="","",[1]!thsiFinD("ths_adjustment_nv_fund",P$3,$A549))</x:f>
        <x:v>#NAME?</x:v>
      </x:c>
      <x:c r="Q549" t="e">
        <x:f>IF($A549="","",[1]!thsiFinD("ths_adjustment_nv_fund",Q$3,$A549))</x:f>
        <x:v>#NAME?</x:v>
      </x:c>
      <x:c r="R549" t="e">
        <x:f>IF($A549="","",[1]!thsiFinD("ths_adjustment_nv_fund",R$3,$A549))</x:f>
        <x:v>#NAME?</x:v>
      </x:c>
      <x:c r="S549" t="e">
        <x:f>IF($A549="","",[1]!thsiFinD("ths_adjustment_nv_fund",S$3,$A549))</x:f>
        <x:v>#NAME?</x:v>
      </x:c>
      <x:c r="T549" t="e">
        <x:f>IF($A549="","",[1]!thsiFinD("ths_adjustment_nv_fund",T$3,$A549))</x:f>
        <x:v>#NAME?</x:v>
      </x:c>
      <x:c r="U549" t="e">
        <x:f>IF($A549="","",[1]!thsiFinD("ths_adjustment_nv_fund",U$3,$A549))</x:f>
        <x:v>#NAME?</x:v>
      </x:c>
      <x:c r="V549" t="e">
        <x:f>IF($A549="","",[1]!thsiFinD("ths_adjustment_nv_fund",V$3,$A549))</x:f>
        <x:v>#NAME?</x:v>
      </x:c>
      <x:c r="W549" t="e">
        <x:f>IF($A549="","",[1]!thsiFinD("ths_adjustment_nv_fund",W$3,$A549))</x:f>
        <x:v>#NAME?</x:v>
      </x:c>
      <x:c r="X549" t="e">
        <x:f>IF($A549="","",[1]!thsiFinD("ths_adjustment_nv_fund",X$3,$A549))</x:f>
        <x:v>#NAME?</x:v>
      </x:c>
      <x:c r="Y549" t="e">
        <x:f>IF($A549="","",[1]!thsiFinD("ths_adjustment_nv_fund",Y$3,$A549))</x:f>
        <x:v>#NAME?</x:v>
      </x:c>
    </x:row>
    <x:row r="550">
      <x:c r="B550" t="e">
        <x:f>IF($A550="","",[1]!thsiFinD("ths_adjustment_nv_fund",B$3,$A550))</x:f>
        <x:v>#NAME?</x:v>
      </x:c>
      <x:c r="C550" t="e">
        <x:f>IF($A550="","",[1]!thsiFinD("ths_adjustment_nv_fund",C$3,$A550))</x:f>
        <x:v>#NAME?</x:v>
      </x:c>
      <x:c r="D550" t="e">
        <x:f>IF($A550="","",[1]!thsiFinD("ths_adjustment_nv_fund",D$3,$A550))</x:f>
        <x:v>#NAME?</x:v>
      </x:c>
      <x:c r="E550" t="e">
        <x:f>IF($A550="","",[1]!thsiFinD("ths_adjustment_nv_fund",E$3,$A550))</x:f>
        <x:v>#NAME?</x:v>
      </x:c>
      <x:c r="F550" t="e">
        <x:f>IF($A550="","",[1]!thsiFinD("ths_adjustment_nv_fund",F$3,$A550))</x:f>
        <x:v>#NAME?</x:v>
      </x:c>
      <x:c r="G550" t="e">
        <x:f>IF($A550="","",[1]!thsiFinD("ths_adjustment_nv_fund",G$3,$A550))</x:f>
        <x:v>#NAME?</x:v>
      </x:c>
      <x:c r="H550" t="e">
        <x:f>IF($A550="","",[1]!thsiFinD("ths_adjustment_nv_fund",H$3,$A550))</x:f>
        <x:v>#NAME?</x:v>
      </x:c>
      <x:c r="I550" t="e">
        <x:f>IF($A550="","",[1]!thsiFinD("ths_adjustment_nv_fund",I$3,$A550))</x:f>
        <x:v>#NAME?</x:v>
      </x:c>
      <x:c r="J550" t="e">
        <x:f>IF($A550="","",[1]!thsiFinD("ths_adjustment_nv_fund",J$3,$A550))</x:f>
        <x:v>#NAME?</x:v>
      </x:c>
      <x:c r="K550" t="e">
        <x:f>IF($A550="","",[1]!thsiFinD("ths_adjustment_nv_fund",K$3,$A550))</x:f>
        <x:v>#NAME?</x:v>
      </x:c>
      <x:c r="L550" t="e">
        <x:f>IF($A550="","",[1]!thsiFinD("ths_adjustment_nv_fund",L$3,$A550))</x:f>
        <x:v>#NAME?</x:v>
      </x:c>
      <x:c r="M550" t="e">
        <x:f>IF($A550="","",[1]!thsiFinD("ths_adjustment_nv_fund",M$3,$A550))</x:f>
        <x:v>#NAME?</x:v>
      </x:c>
      <x:c r="N550" t="e">
        <x:f>IF($A550="","",[1]!thsiFinD("ths_adjustment_nv_fund",N$3,$A550))</x:f>
        <x:v>#NAME?</x:v>
      </x:c>
      <x:c r="O550" t="e">
        <x:f>IF($A550="","",[1]!thsiFinD("ths_adjustment_nv_fund",O$3,$A550))</x:f>
        <x:v>#NAME?</x:v>
      </x:c>
      <x:c r="P550" t="e">
        <x:f>IF($A550="","",[1]!thsiFinD("ths_adjustment_nv_fund",P$3,$A550))</x:f>
        <x:v>#NAME?</x:v>
      </x:c>
      <x:c r="Q550" t="e">
        <x:f>IF($A550="","",[1]!thsiFinD("ths_adjustment_nv_fund",Q$3,$A550))</x:f>
        <x:v>#NAME?</x:v>
      </x:c>
      <x:c r="R550" t="e">
        <x:f>IF($A550="","",[1]!thsiFinD("ths_adjustment_nv_fund",R$3,$A550))</x:f>
        <x:v>#NAME?</x:v>
      </x:c>
      <x:c r="S550" t="e">
        <x:f>IF($A550="","",[1]!thsiFinD("ths_adjustment_nv_fund",S$3,$A550))</x:f>
        <x:v>#NAME?</x:v>
      </x:c>
      <x:c r="T550" t="e">
        <x:f>IF($A550="","",[1]!thsiFinD("ths_adjustment_nv_fund",T$3,$A550))</x:f>
        <x:v>#NAME?</x:v>
      </x:c>
      <x:c r="U550" t="e">
        <x:f>IF($A550="","",[1]!thsiFinD("ths_adjustment_nv_fund",U$3,$A550))</x:f>
        <x:v>#NAME?</x:v>
      </x:c>
      <x:c r="V550" t="e">
        <x:f>IF($A550="","",[1]!thsiFinD("ths_adjustment_nv_fund",V$3,$A550))</x:f>
        <x:v>#NAME?</x:v>
      </x:c>
      <x:c r="W550" t="e">
        <x:f>IF($A550="","",[1]!thsiFinD("ths_adjustment_nv_fund",W$3,$A550))</x:f>
        <x:v>#NAME?</x:v>
      </x:c>
      <x:c r="X550" t="e">
        <x:f>IF($A550="","",[1]!thsiFinD("ths_adjustment_nv_fund",X$3,$A550))</x:f>
        <x:v>#NAME?</x:v>
      </x:c>
      <x:c r="Y550" t="e">
        <x:f>IF($A550="","",[1]!thsiFinD("ths_adjustment_nv_fund",Y$3,$A550))</x:f>
        <x:v>#NAME?</x:v>
      </x:c>
    </x:row>
    <x:row r="551">
      <x:c r="B551" t="e">
        <x:f>IF($A551="","",[1]!thsiFinD("ths_adjustment_nv_fund",B$3,$A551))</x:f>
        <x:v>#NAME?</x:v>
      </x:c>
      <x:c r="C551" t="e">
        <x:f>IF($A551="","",[1]!thsiFinD("ths_adjustment_nv_fund",C$3,$A551))</x:f>
        <x:v>#NAME?</x:v>
      </x:c>
      <x:c r="D551" t="e">
        <x:f>IF($A551="","",[1]!thsiFinD("ths_adjustment_nv_fund",D$3,$A551))</x:f>
        <x:v>#NAME?</x:v>
      </x:c>
      <x:c r="E551" t="e">
        <x:f>IF($A551="","",[1]!thsiFinD("ths_adjustment_nv_fund",E$3,$A551))</x:f>
        <x:v>#NAME?</x:v>
      </x:c>
      <x:c r="F551" t="e">
        <x:f>IF($A551="","",[1]!thsiFinD("ths_adjustment_nv_fund",F$3,$A551))</x:f>
        <x:v>#NAME?</x:v>
      </x:c>
      <x:c r="G551" t="e">
        <x:f>IF($A551="","",[1]!thsiFinD("ths_adjustment_nv_fund",G$3,$A551))</x:f>
        <x:v>#NAME?</x:v>
      </x:c>
      <x:c r="H551" t="e">
        <x:f>IF($A551="","",[1]!thsiFinD("ths_adjustment_nv_fund",H$3,$A551))</x:f>
        <x:v>#NAME?</x:v>
      </x:c>
      <x:c r="I551" t="e">
        <x:f>IF($A551="","",[1]!thsiFinD("ths_adjustment_nv_fund",I$3,$A551))</x:f>
        <x:v>#NAME?</x:v>
      </x:c>
      <x:c r="J551" t="e">
        <x:f>IF($A551="","",[1]!thsiFinD("ths_adjustment_nv_fund",J$3,$A551))</x:f>
        <x:v>#NAME?</x:v>
      </x:c>
      <x:c r="K551" t="e">
        <x:f>IF($A551="","",[1]!thsiFinD("ths_adjustment_nv_fund",K$3,$A551))</x:f>
        <x:v>#NAME?</x:v>
      </x:c>
      <x:c r="L551" t="e">
        <x:f>IF($A551="","",[1]!thsiFinD("ths_adjustment_nv_fund",L$3,$A551))</x:f>
        <x:v>#NAME?</x:v>
      </x:c>
      <x:c r="M551" t="e">
        <x:f>IF($A551="","",[1]!thsiFinD("ths_adjustment_nv_fund",M$3,$A551))</x:f>
        <x:v>#NAME?</x:v>
      </x:c>
      <x:c r="N551" t="e">
        <x:f>IF($A551="","",[1]!thsiFinD("ths_adjustment_nv_fund",N$3,$A551))</x:f>
        <x:v>#NAME?</x:v>
      </x:c>
      <x:c r="O551" t="e">
        <x:f>IF($A551="","",[1]!thsiFinD("ths_adjustment_nv_fund",O$3,$A551))</x:f>
        <x:v>#NAME?</x:v>
      </x:c>
      <x:c r="P551" t="e">
        <x:f>IF($A551="","",[1]!thsiFinD("ths_adjustment_nv_fund",P$3,$A551))</x:f>
        <x:v>#NAME?</x:v>
      </x:c>
      <x:c r="Q551" t="e">
        <x:f>IF($A551="","",[1]!thsiFinD("ths_adjustment_nv_fund",Q$3,$A551))</x:f>
        <x:v>#NAME?</x:v>
      </x:c>
      <x:c r="R551" t="e">
        <x:f>IF($A551="","",[1]!thsiFinD("ths_adjustment_nv_fund",R$3,$A551))</x:f>
        <x:v>#NAME?</x:v>
      </x:c>
      <x:c r="S551" t="e">
        <x:f>IF($A551="","",[1]!thsiFinD("ths_adjustment_nv_fund",S$3,$A551))</x:f>
        <x:v>#NAME?</x:v>
      </x:c>
      <x:c r="T551" t="e">
        <x:f>IF($A551="","",[1]!thsiFinD("ths_adjustment_nv_fund",T$3,$A551))</x:f>
        <x:v>#NAME?</x:v>
      </x:c>
      <x:c r="U551" t="e">
        <x:f>IF($A551="","",[1]!thsiFinD("ths_adjustment_nv_fund",U$3,$A551))</x:f>
        <x:v>#NAME?</x:v>
      </x:c>
      <x:c r="V551" t="e">
        <x:f>IF($A551="","",[1]!thsiFinD("ths_adjustment_nv_fund",V$3,$A551))</x:f>
        <x:v>#NAME?</x:v>
      </x:c>
      <x:c r="W551" t="e">
        <x:f>IF($A551="","",[1]!thsiFinD("ths_adjustment_nv_fund",W$3,$A551))</x:f>
        <x:v>#NAME?</x:v>
      </x:c>
      <x:c r="X551" t="e">
        <x:f>IF($A551="","",[1]!thsiFinD("ths_adjustment_nv_fund",X$3,$A551))</x:f>
        <x:v>#NAME?</x:v>
      </x:c>
      <x:c r="Y551" t="e">
        <x:f>IF($A551="","",[1]!thsiFinD("ths_adjustment_nv_fund",Y$3,$A551))</x:f>
        <x:v>#NAME?</x:v>
      </x:c>
    </x:row>
    <x:row r="552">
      <x:c r="B552" t="e">
        <x:f>IF($A552="","",[1]!thsiFinD("ths_adjustment_nv_fund",B$3,$A552))</x:f>
        <x:v>#NAME?</x:v>
      </x:c>
      <x:c r="C552" t="e">
        <x:f>IF($A552="","",[1]!thsiFinD("ths_adjustment_nv_fund",C$3,$A552))</x:f>
        <x:v>#NAME?</x:v>
      </x:c>
      <x:c r="D552" t="e">
        <x:f>IF($A552="","",[1]!thsiFinD("ths_adjustment_nv_fund",D$3,$A552))</x:f>
        <x:v>#NAME?</x:v>
      </x:c>
      <x:c r="E552" t="e">
        <x:f>IF($A552="","",[1]!thsiFinD("ths_adjustment_nv_fund",E$3,$A552))</x:f>
        <x:v>#NAME?</x:v>
      </x:c>
      <x:c r="F552" t="e">
        <x:f>IF($A552="","",[1]!thsiFinD("ths_adjustment_nv_fund",F$3,$A552))</x:f>
        <x:v>#NAME?</x:v>
      </x:c>
      <x:c r="G552" t="e">
        <x:f>IF($A552="","",[1]!thsiFinD("ths_adjustment_nv_fund",G$3,$A552))</x:f>
        <x:v>#NAME?</x:v>
      </x:c>
      <x:c r="H552" t="e">
        <x:f>IF($A552="","",[1]!thsiFinD("ths_adjustment_nv_fund",H$3,$A552))</x:f>
        <x:v>#NAME?</x:v>
      </x:c>
      <x:c r="I552" t="e">
        <x:f>IF($A552="","",[1]!thsiFinD("ths_adjustment_nv_fund",I$3,$A552))</x:f>
        <x:v>#NAME?</x:v>
      </x:c>
      <x:c r="J552" t="e">
        <x:f>IF($A552="","",[1]!thsiFinD("ths_adjustment_nv_fund",J$3,$A552))</x:f>
        <x:v>#NAME?</x:v>
      </x:c>
      <x:c r="K552" t="e">
        <x:f>IF($A552="","",[1]!thsiFinD("ths_adjustment_nv_fund",K$3,$A552))</x:f>
        <x:v>#NAME?</x:v>
      </x:c>
      <x:c r="L552" t="e">
        <x:f>IF($A552="","",[1]!thsiFinD("ths_adjustment_nv_fund",L$3,$A552))</x:f>
        <x:v>#NAME?</x:v>
      </x:c>
      <x:c r="M552" t="e">
        <x:f>IF($A552="","",[1]!thsiFinD("ths_adjustment_nv_fund",M$3,$A552))</x:f>
        <x:v>#NAME?</x:v>
      </x:c>
      <x:c r="N552" t="e">
        <x:f>IF($A552="","",[1]!thsiFinD("ths_adjustment_nv_fund",N$3,$A552))</x:f>
        <x:v>#NAME?</x:v>
      </x:c>
      <x:c r="O552" t="e">
        <x:f>IF($A552="","",[1]!thsiFinD("ths_adjustment_nv_fund",O$3,$A552))</x:f>
        <x:v>#NAME?</x:v>
      </x:c>
      <x:c r="P552" t="e">
        <x:f>IF($A552="","",[1]!thsiFinD("ths_adjustment_nv_fund",P$3,$A552))</x:f>
        <x:v>#NAME?</x:v>
      </x:c>
      <x:c r="Q552" t="e">
        <x:f>IF($A552="","",[1]!thsiFinD("ths_adjustment_nv_fund",Q$3,$A552))</x:f>
        <x:v>#NAME?</x:v>
      </x:c>
      <x:c r="R552" t="e">
        <x:f>IF($A552="","",[1]!thsiFinD("ths_adjustment_nv_fund",R$3,$A552))</x:f>
        <x:v>#NAME?</x:v>
      </x:c>
      <x:c r="S552" t="e">
        <x:f>IF($A552="","",[1]!thsiFinD("ths_adjustment_nv_fund",S$3,$A552))</x:f>
        <x:v>#NAME?</x:v>
      </x:c>
      <x:c r="T552" t="e">
        <x:f>IF($A552="","",[1]!thsiFinD("ths_adjustment_nv_fund",T$3,$A552))</x:f>
        <x:v>#NAME?</x:v>
      </x:c>
      <x:c r="U552" t="e">
        <x:f>IF($A552="","",[1]!thsiFinD("ths_adjustment_nv_fund",U$3,$A552))</x:f>
        <x:v>#NAME?</x:v>
      </x:c>
      <x:c r="V552" t="e">
        <x:f>IF($A552="","",[1]!thsiFinD("ths_adjustment_nv_fund",V$3,$A552))</x:f>
        <x:v>#NAME?</x:v>
      </x:c>
      <x:c r="W552" t="e">
        <x:f>IF($A552="","",[1]!thsiFinD("ths_adjustment_nv_fund",W$3,$A552))</x:f>
        <x:v>#NAME?</x:v>
      </x:c>
      <x:c r="X552" t="e">
        <x:f>IF($A552="","",[1]!thsiFinD("ths_adjustment_nv_fund",X$3,$A552))</x:f>
        <x:v>#NAME?</x:v>
      </x:c>
      <x:c r="Y552" t="e">
        <x:f>IF($A552="","",[1]!thsiFinD("ths_adjustment_nv_fund",Y$3,$A552))</x:f>
        <x:v>#NAME?</x:v>
      </x:c>
    </x:row>
    <x:row r="553">
      <x:c r="B553" t="e">
        <x:f>IF($A553="","",[1]!thsiFinD("ths_adjustment_nv_fund",B$3,$A553))</x:f>
        <x:v>#NAME?</x:v>
      </x:c>
      <x:c r="C553" t="e">
        <x:f>IF($A553="","",[1]!thsiFinD("ths_adjustment_nv_fund",C$3,$A553))</x:f>
        <x:v>#NAME?</x:v>
      </x:c>
      <x:c r="D553" t="e">
        <x:f>IF($A553="","",[1]!thsiFinD("ths_adjustment_nv_fund",D$3,$A553))</x:f>
        <x:v>#NAME?</x:v>
      </x:c>
      <x:c r="E553" t="e">
        <x:f>IF($A553="","",[1]!thsiFinD("ths_adjustment_nv_fund",E$3,$A553))</x:f>
        <x:v>#NAME?</x:v>
      </x:c>
      <x:c r="F553" t="e">
        <x:f>IF($A553="","",[1]!thsiFinD("ths_adjustment_nv_fund",F$3,$A553))</x:f>
        <x:v>#NAME?</x:v>
      </x:c>
      <x:c r="G553" t="e">
        <x:f>IF($A553="","",[1]!thsiFinD("ths_adjustment_nv_fund",G$3,$A553))</x:f>
        <x:v>#NAME?</x:v>
      </x:c>
      <x:c r="H553" t="e">
        <x:f>IF($A553="","",[1]!thsiFinD("ths_adjustment_nv_fund",H$3,$A553))</x:f>
        <x:v>#NAME?</x:v>
      </x:c>
      <x:c r="I553" t="e">
        <x:f>IF($A553="","",[1]!thsiFinD("ths_adjustment_nv_fund",I$3,$A553))</x:f>
        <x:v>#NAME?</x:v>
      </x:c>
      <x:c r="J553" t="e">
        <x:f>IF($A553="","",[1]!thsiFinD("ths_adjustment_nv_fund",J$3,$A553))</x:f>
        <x:v>#NAME?</x:v>
      </x:c>
      <x:c r="K553" t="e">
        <x:f>IF($A553="","",[1]!thsiFinD("ths_adjustment_nv_fund",K$3,$A553))</x:f>
        <x:v>#NAME?</x:v>
      </x:c>
      <x:c r="L553" t="e">
        <x:f>IF($A553="","",[1]!thsiFinD("ths_adjustment_nv_fund",L$3,$A553))</x:f>
        <x:v>#NAME?</x:v>
      </x:c>
      <x:c r="M553" t="e">
        <x:f>IF($A553="","",[1]!thsiFinD("ths_adjustment_nv_fund",M$3,$A553))</x:f>
        <x:v>#NAME?</x:v>
      </x:c>
      <x:c r="N553" t="e">
        <x:f>IF($A553="","",[1]!thsiFinD("ths_adjustment_nv_fund",N$3,$A553))</x:f>
        <x:v>#NAME?</x:v>
      </x:c>
      <x:c r="O553" t="e">
        <x:f>IF($A553="","",[1]!thsiFinD("ths_adjustment_nv_fund",O$3,$A553))</x:f>
        <x:v>#NAME?</x:v>
      </x:c>
      <x:c r="P553" t="e">
        <x:f>IF($A553="","",[1]!thsiFinD("ths_adjustment_nv_fund",P$3,$A553))</x:f>
        <x:v>#NAME?</x:v>
      </x:c>
      <x:c r="Q553" t="e">
        <x:f>IF($A553="","",[1]!thsiFinD("ths_adjustment_nv_fund",Q$3,$A553))</x:f>
        <x:v>#NAME?</x:v>
      </x:c>
      <x:c r="R553" t="e">
        <x:f>IF($A553="","",[1]!thsiFinD("ths_adjustment_nv_fund",R$3,$A553))</x:f>
        <x:v>#NAME?</x:v>
      </x:c>
      <x:c r="S553" t="e">
        <x:f>IF($A553="","",[1]!thsiFinD("ths_adjustment_nv_fund",S$3,$A553))</x:f>
        <x:v>#NAME?</x:v>
      </x:c>
      <x:c r="T553" t="e">
        <x:f>IF($A553="","",[1]!thsiFinD("ths_adjustment_nv_fund",T$3,$A553))</x:f>
        <x:v>#NAME?</x:v>
      </x:c>
      <x:c r="U553" t="e">
        <x:f>IF($A553="","",[1]!thsiFinD("ths_adjustment_nv_fund",U$3,$A553))</x:f>
        <x:v>#NAME?</x:v>
      </x:c>
      <x:c r="V553" t="e">
        <x:f>IF($A553="","",[1]!thsiFinD("ths_adjustment_nv_fund",V$3,$A553))</x:f>
        <x:v>#NAME?</x:v>
      </x:c>
      <x:c r="W553" t="e">
        <x:f>IF($A553="","",[1]!thsiFinD("ths_adjustment_nv_fund",W$3,$A553))</x:f>
        <x:v>#NAME?</x:v>
      </x:c>
      <x:c r="X553" t="e">
        <x:f>IF($A553="","",[1]!thsiFinD("ths_adjustment_nv_fund",X$3,$A553))</x:f>
        <x:v>#NAME?</x:v>
      </x:c>
      <x:c r="Y553" t="e">
        <x:f>IF($A553="","",[1]!thsiFinD("ths_adjustment_nv_fund",Y$3,$A553))</x:f>
        <x:v>#NAME?</x:v>
      </x:c>
    </x:row>
    <x:row r="554">
      <x:c r="B554" t="e">
        <x:f>IF($A554="","",[1]!thsiFinD("ths_adjustment_nv_fund",B$3,$A554))</x:f>
        <x:v>#NAME?</x:v>
      </x:c>
      <x:c r="C554" t="e">
        <x:f>IF($A554="","",[1]!thsiFinD("ths_adjustment_nv_fund",C$3,$A554))</x:f>
        <x:v>#NAME?</x:v>
      </x:c>
      <x:c r="D554" t="e">
        <x:f>IF($A554="","",[1]!thsiFinD("ths_adjustment_nv_fund",D$3,$A554))</x:f>
        <x:v>#NAME?</x:v>
      </x:c>
      <x:c r="E554" t="e">
        <x:f>IF($A554="","",[1]!thsiFinD("ths_adjustment_nv_fund",E$3,$A554))</x:f>
        <x:v>#NAME?</x:v>
      </x:c>
      <x:c r="F554" t="e">
        <x:f>IF($A554="","",[1]!thsiFinD("ths_adjustment_nv_fund",F$3,$A554))</x:f>
        <x:v>#NAME?</x:v>
      </x:c>
      <x:c r="G554" t="e">
        <x:f>IF($A554="","",[1]!thsiFinD("ths_adjustment_nv_fund",G$3,$A554))</x:f>
        <x:v>#NAME?</x:v>
      </x:c>
      <x:c r="H554" t="e">
        <x:f>IF($A554="","",[1]!thsiFinD("ths_adjustment_nv_fund",H$3,$A554))</x:f>
        <x:v>#NAME?</x:v>
      </x:c>
      <x:c r="I554" t="e">
        <x:f>IF($A554="","",[1]!thsiFinD("ths_adjustment_nv_fund",I$3,$A554))</x:f>
        <x:v>#NAME?</x:v>
      </x:c>
      <x:c r="J554" t="e">
        <x:f>IF($A554="","",[1]!thsiFinD("ths_adjustment_nv_fund",J$3,$A554))</x:f>
        <x:v>#NAME?</x:v>
      </x:c>
      <x:c r="K554" t="e">
        <x:f>IF($A554="","",[1]!thsiFinD("ths_adjustment_nv_fund",K$3,$A554))</x:f>
        <x:v>#NAME?</x:v>
      </x:c>
      <x:c r="L554" t="e">
        <x:f>IF($A554="","",[1]!thsiFinD("ths_adjustment_nv_fund",L$3,$A554))</x:f>
        <x:v>#NAME?</x:v>
      </x:c>
      <x:c r="M554" t="e">
        <x:f>IF($A554="","",[1]!thsiFinD("ths_adjustment_nv_fund",M$3,$A554))</x:f>
        <x:v>#NAME?</x:v>
      </x:c>
      <x:c r="N554" t="e">
        <x:f>IF($A554="","",[1]!thsiFinD("ths_adjustment_nv_fund",N$3,$A554))</x:f>
        <x:v>#NAME?</x:v>
      </x:c>
      <x:c r="O554" t="e">
        <x:f>IF($A554="","",[1]!thsiFinD("ths_adjustment_nv_fund",O$3,$A554))</x:f>
        <x:v>#NAME?</x:v>
      </x:c>
      <x:c r="P554" t="e">
        <x:f>IF($A554="","",[1]!thsiFinD("ths_adjustment_nv_fund",P$3,$A554))</x:f>
        <x:v>#NAME?</x:v>
      </x:c>
      <x:c r="Q554" t="e">
        <x:f>IF($A554="","",[1]!thsiFinD("ths_adjustment_nv_fund",Q$3,$A554))</x:f>
        <x:v>#NAME?</x:v>
      </x:c>
      <x:c r="R554" t="e">
        <x:f>IF($A554="","",[1]!thsiFinD("ths_adjustment_nv_fund",R$3,$A554))</x:f>
        <x:v>#NAME?</x:v>
      </x:c>
      <x:c r="S554" t="e">
        <x:f>IF($A554="","",[1]!thsiFinD("ths_adjustment_nv_fund",S$3,$A554))</x:f>
        <x:v>#NAME?</x:v>
      </x:c>
      <x:c r="T554" t="e">
        <x:f>IF($A554="","",[1]!thsiFinD("ths_adjustment_nv_fund",T$3,$A554))</x:f>
        <x:v>#NAME?</x:v>
      </x:c>
      <x:c r="U554" t="e">
        <x:f>IF($A554="","",[1]!thsiFinD("ths_adjustment_nv_fund",U$3,$A554))</x:f>
        <x:v>#NAME?</x:v>
      </x:c>
      <x:c r="V554" t="e">
        <x:f>IF($A554="","",[1]!thsiFinD("ths_adjustment_nv_fund",V$3,$A554))</x:f>
        <x:v>#NAME?</x:v>
      </x:c>
      <x:c r="W554" t="e">
        <x:f>IF($A554="","",[1]!thsiFinD("ths_adjustment_nv_fund",W$3,$A554))</x:f>
        <x:v>#NAME?</x:v>
      </x:c>
      <x:c r="X554" t="e">
        <x:f>IF($A554="","",[1]!thsiFinD("ths_adjustment_nv_fund",X$3,$A554))</x:f>
        <x:v>#NAME?</x:v>
      </x:c>
      <x:c r="Y554" t="e">
        <x:f>IF($A554="","",[1]!thsiFinD("ths_adjustment_nv_fund",Y$3,$A554))</x:f>
        <x:v>#NAME?</x:v>
      </x:c>
    </x:row>
    <x:row r="555">
      <x:c r="B555" t="e">
        <x:f>IF($A555="","",[1]!thsiFinD("ths_adjustment_nv_fund",B$3,$A555))</x:f>
        <x:v>#NAME?</x:v>
      </x:c>
      <x:c r="C555" t="e">
        <x:f>IF($A555="","",[1]!thsiFinD("ths_adjustment_nv_fund",C$3,$A555))</x:f>
        <x:v>#NAME?</x:v>
      </x:c>
      <x:c r="D555" t="e">
        <x:f>IF($A555="","",[1]!thsiFinD("ths_adjustment_nv_fund",D$3,$A555))</x:f>
        <x:v>#NAME?</x:v>
      </x:c>
      <x:c r="E555" t="e">
        <x:f>IF($A555="","",[1]!thsiFinD("ths_adjustment_nv_fund",E$3,$A555))</x:f>
        <x:v>#NAME?</x:v>
      </x:c>
      <x:c r="F555" t="e">
        <x:f>IF($A555="","",[1]!thsiFinD("ths_adjustment_nv_fund",F$3,$A555))</x:f>
        <x:v>#NAME?</x:v>
      </x:c>
      <x:c r="G555" t="e">
        <x:f>IF($A555="","",[1]!thsiFinD("ths_adjustment_nv_fund",G$3,$A555))</x:f>
        <x:v>#NAME?</x:v>
      </x:c>
      <x:c r="H555" t="e">
        <x:f>IF($A555="","",[1]!thsiFinD("ths_adjustment_nv_fund",H$3,$A555))</x:f>
        <x:v>#NAME?</x:v>
      </x:c>
      <x:c r="I555" t="e">
        <x:f>IF($A555="","",[1]!thsiFinD("ths_adjustment_nv_fund",I$3,$A555))</x:f>
        <x:v>#NAME?</x:v>
      </x:c>
      <x:c r="J555" t="e">
        <x:f>IF($A555="","",[1]!thsiFinD("ths_adjustment_nv_fund",J$3,$A555))</x:f>
        <x:v>#NAME?</x:v>
      </x:c>
      <x:c r="K555" t="e">
        <x:f>IF($A555="","",[1]!thsiFinD("ths_adjustment_nv_fund",K$3,$A555))</x:f>
        <x:v>#NAME?</x:v>
      </x:c>
      <x:c r="L555" t="e">
        <x:f>IF($A555="","",[1]!thsiFinD("ths_adjustment_nv_fund",L$3,$A555))</x:f>
        <x:v>#NAME?</x:v>
      </x:c>
      <x:c r="M555" t="e">
        <x:f>IF($A555="","",[1]!thsiFinD("ths_adjustment_nv_fund",M$3,$A555))</x:f>
        <x:v>#NAME?</x:v>
      </x:c>
      <x:c r="N555" t="e">
        <x:f>IF($A555="","",[1]!thsiFinD("ths_adjustment_nv_fund",N$3,$A555))</x:f>
        <x:v>#NAME?</x:v>
      </x:c>
      <x:c r="O555" t="e">
        <x:f>IF($A555="","",[1]!thsiFinD("ths_adjustment_nv_fund",O$3,$A555))</x:f>
        <x:v>#NAME?</x:v>
      </x:c>
      <x:c r="P555" t="e">
        <x:f>IF($A555="","",[1]!thsiFinD("ths_adjustment_nv_fund",P$3,$A555))</x:f>
        <x:v>#NAME?</x:v>
      </x:c>
      <x:c r="Q555" t="e">
        <x:f>IF($A555="","",[1]!thsiFinD("ths_adjustment_nv_fund",Q$3,$A555))</x:f>
        <x:v>#NAME?</x:v>
      </x:c>
      <x:c r="R555" t="e">
        <x:f>IF($A555="","",[1]!thsiFinD("ths_adjustment_nv_fund",R$3,$A555))</x:f>
        <x:v>#NAME?</x:v>
      </x:c>
      <x:c r="S555" t="e">
        <x:f>IF($A555="","",[1]!thsiFinD("ths_adjustment_nv_fund",S$3,$A555))</x:f>
        <x:v>#NAME?</x:v>
      </x:c>
      <x:c r="T555" t="e">
        <x:f>IF($A555="","",[1]!thsiFinD("ths_adjustment_nv_fund",T$3,$A555))</x:f>
        <x:v>#NAME?</x:v>
      </x:c>
      <x:c r="U555" t="e">
        <x:f>IF($A555="","",[1]!thsiFinD("ths_adjustment_nv_fund",U$3,$A555))</x:f>
        <x:v>#NAME?</x:v>
      </x:c>
      <x:c r="V555" t="e">
        <x:f>IF($A555="","",[1]!thsiFinD("ths_adjustment_nv_fund",V$3,$A555))</x:f>
        <x:v>#NAME?</x:v>
      </x:c>
      <x:c r="W555" t="e">
        <x:f>IF($A555="","",[1]!thsiFinD("ths_adjustment_nv_fund",W$3,$A555))</x:f>
        <x:v>#NAME?</x:v>
      </x:c>
      <x:c r="X555" t="e">
        <x:f>IF($A555="","",[1]!thsiFinD("ths_adjustment_nv_fund",X$3,$A555))</x:f>
        <x:v>#NAME?</x:v>
      </x:c>
      <x:c r="Y555" t="e">
        <x:f>IF($A555="","",[1]!thsiFinD("ths_adjustment_nv_fund",Y$3,$A555))</x:f>
        <x:v>#NAME?</x:v>
      </x:c>
    </x:row>
    <x:row r="556">
      <x:c r="B556" t="e">
        <x:f>IF($A556="","",[1]!thsiFinD("ths_adjustment_nv_fund",B$3,$A556))</x:f>
        <x:v>#NAME?</x:v>
      </x:c>
      <x:c r="C556" t="e">
        <x:f>IF($A556="","",[1]!thsiFinD("ths_adjustment_nv_fund",C$3,$A556))</x:f>
        <x:v>#NAME?</x:v>
      </x:c>
      <x:c r="D556" t="e">
        <x:f>IF($A556="","",[1]!thsiFinD("ths_adjustment_nv_fund",D$3,$A556))</x:f>
        <x:v>#NAME?</x:v>
      </x:c>
      <x:c r="E556" t="e">
        <x:f>IF($A556="","",[1]!thsiFinD("ths_adjustment_nv_fund",E$3,$A556))</x:f>
        <x:v>#NAME?</x:v>
      </x:c>
      <x:c r="F556" t="e">
        <x:f>IF($A556="","",[1]!thsiFinD("ths_adjustment_nv_fund",F$3,$A556))</x:f>
        <x:v>#NAME?</x:v>
      </x:c>
      <x:c r="G556" t="e">
        <x:f>IF($A556="","",[1]!thsiFinD("ths_adjustment_nv_fund",G$3,$A556))</x:f>
        <x:v>#NAME?</x:v>
      </x:c>
      <x:c r="H556" t="e">
        <x:f>IF($A556="","",[1]!thsiFinD("ths_adjustment_nv_fund",H$3,$A556))</x:f>
        <x:v>#NAME?</x:v>
      </x:c>
      <x:c r="I556" t="e">
        <x:f>IF($A556="","",[1]!thsiFinD("ths_adjustment_nv_fund",I$3,$A556))</x:f>
        <x:v>#NAME?</x:v>
      </x:c>
      <x:c r="J556" t="e">
        <x:f>IF($A556="","",[1]!thsiFinD("ths_adjustment_nv_fund",J$3,$A556))</x:f>
        <x:v>#NAME?</x:v>
      </x:c>
      <x:c r="K556" t="e">
        <x:f>IF($A556="","",[1]!thsiFinD("ths_adjustment_nv_fund",K$3,$A556))</x:f>
        <x:v>#NAME?</x:v>
      </x:c>
      <x:c r="L556" t="e">
        <x:f>IF($A556="","",[1]!thsiFinD("ths_adjustment_nv_fund",L$3,$A556))</x:f>
        <x:v>#NAME?</x:v>
      </x:c>
      <x:c r="M556" t="e">
        <x:f>IF($A556="","",[1]!thsiFinD("ths_adjustment_nv_fund",M$3,$A556))</x:f>
        <x:v>#NAME?</x:v>
      </x:c>
      <x:c r="N556" t="e">
        <x:f>IF($A556="","",[1]!thsiFinD("ths_adjustment_nv_fund",N$3,$A556))</x:f>
        <x:v>#NAME?</x:v>
      </x:c>
      <x:c r="O556" t="e">
        <x:f>IF($A556="","",[1]!thsiFinD("ths_adjustment_nv_fund",O$3,$A556))</x:f>
        <x:v>#NAME?</x:v>
      </x:c>
      <x:c r="P556" t="e">
        <x:f>IF($A556="","",[1]!thsiFinD("ths_adjustment_nv_fund",P$3,$A556))</x:f>
        <x:v>#NAME?</x:v>
      </x:c>
      <x:c r="Q556" t="e">
        <x:f>IF($A556="","",[1]!thsiFinD("ths_adjustment_nv_fund",Q$3,$A556))</x:f>
        <x:v>#NAME?</x:v>
      </x:c>
      <x:c r="R556" t="e">
        <x:f>IF($A556="","",[1]!thsiFinD("ths_adjustment_nv_fund",R$3,$A556))</x:f>
        <x:v>#NAME?</x:v>
      </x:c>
      <x:c r="S556" t="e">
        <x:f>IF($A556="","",[1]!thsiFinD("ths_adjustment_nv_fund",S$3,$A556))</x:f>
        <x:v>#NAME?</x:v>
      </x:c>
      <x:c r="T556" t="e">
        <x:f>IF($A556="","",[1]!thsiFinD("ths_adjustment_nv_fund",T$3,$A556))</x:f>
        <x:v>#NAME?</x:v>
      </x:c>
      <x:c r="U556" t="e">
        <x:f>IF($A556="","",[1]!thsiFinD("ths_adjustment_nv_fund",U$3,$A556))</x:f>
        <x:v>#NAME?</x:v>
      </x:c>
      <x:c r="V556" t="e">
        <x:f>IF($A556="","",[1]!thsiFinD("ths_adjustment_nv_fund",V$3,$A556))</x:f>
        <x:v>#NAME?</x:v>
      </x:c>
      <x:c r="W556" t="e">
        <x:f>IF($A556="","",[1]!thsiFinD("ths_adjustment_nv_fund",W$3,$A556))</x:f>
        <x:v>#NAME?</x:v>
      </x:c>
      <x:c r="X556" t="e">
        <x:f>IF($A556="","",[1]!thsiFinD("ths_adjustment_nv_fund",X$3,$A556))</x:f>
        <x:v>#NAME?</x:v>
      </x:c>
      <x:c r="Y556" t="e">
        <x:f>IF($A556="","",[1]!thsiFinD("ths_adjustment_nv_fund",Y$3,$A556))</x:f>
        <x:v>#NAME?</x:v>
      </x:c>
    </x:row>
    <x:row r="557">
      <x:c r="B557" t="e">
        <x:f>IF($A557="","",[1]!thsiFinD("ths_adjustment_nv_fund",B$3,$A557))</x:f>
        <x:v>#NAME?</x:v>
      </x:c>
      <x:c r="C557" t="e">
        <x:f>IF($A557="","",[1]!thsiFinD("ths_adjustment_nv_fund",C$3,$A557))</x:f>
        <x:v>#NAME?</x:v>
      </x:c>
      <x:c r="D557" t="e">
        <x:f>IF($A557="","",[1]!thsiFinD("ths_adjustment_nv_fund",D$3,$A557))</x:f>
        <x:v>#NAME?</x:v>
      </x:c>
      <x:c r="E557" t="e">
        <x:f>IF($A557="","",[1]!thsiFinD("ths_adjustment_nv_fund",E$3,$A557))</x:f>
        <x:v>#NAME?</x:v>
      </x:c>
      <x:c r="F557" t="e">
        <x:f>IF($A557="","",[1]!thsiFinD("ths_adjustment_nv_fund",F$3,$A557))</x:f>
        <x:v>#NAME?</x:v>
      </x:c>
      <x:c r="G557" t="e">
        <x:f>IF($A557="","",[1]!thsiFinD("ths_adjustment_nv_fund",G$3,$A557))</x:f>
        <x:v>#NAME?</x:v>
      </x:c>
      <x:c r="H557" t="e">
        <x:f>IF($A557="","",[1]!thsiFinD("ths_adjustment_nv_fund",H$3,$A557))</x:f>
        <x:v>#NAME?</x:v>
      </x:c>
      <x:c r="I557" t="e">
        <x:f>IF($A557="","",[1]!thsiFinD("ths_adjustment_nv_fund",I$3,$A557))</x:f>
        <x:v>#NAME?</x:v>
      </x:c>
      <x:c r="J557" t="e">
        <x:f>IF($A557="","",[1]!thsiFinD("ths_adjustment_nv_fund",J$3,$A557))</x:f>
        <x:v>#NAME?</x:v>
      </x:c>
      <x:c r="K557" t="e">
        <x:f>IF($A557="","",[1]!thsiFinD("ths_adjustment_nv_fund",K$3,$A557))</x:f>
        <x:v>#NAME?</x:v>
      </x:c>
      <x:c r="L557" t="e">
        <x:f>IF($A557="","",[1]!thsiFinD("ths_adjustment_nv_fund",L$3,$A557))</x:f>
        <x:v>#NAME?</x:v>
      </x:c>
      <x:c r="M557" t="e">
        <x:f>IF($A557="","",[1]!thsiFinD("ths_adjustment_nv_fund",M$3,$A557))</x:f>
        <x:v>#NAME?</x:v>
      </x:c>
      <x:c r="N557" t="e">
        <x:f>IF($A557="","",[1]!thsiFinD("ths_adjustment_nv_fund",N$3,$A557))</x:f>
        <x:v>#NAME?</x:v>
      </x:c>
      <x:c r="O557" t="e">
        <x:f>IF($A557="","",[1]!thsiFinD("ths_adjustment_nv_fund",O$3,$A557))</x:f>
        <x:v>#NAME?</x:v>
      </x:c>
      <x:c r="P557" t="e">
        <x:f>IF($A557="","",[1]!thsiFinD("ths_adjustment_nv_fund",P$3,$A557))</x:f>
        <x:v>#NAME?</x:v>
      </x:c>
      <x:c r="Q557" t="e">
        <x:f>IF($A557="","",[1]!thsiFinD("ths_adjustment_nv_fund",Q$3,$A557))</x:f>
        <x:v>#NAME?</x:v>
      </x:c>
      <x:c r="R557" t="e">
        <x:f>IF($A557="","",[1]!thsiFinD("ths_adjustment_nv_fund",R$3,$A557))</x:f>
        <x:v>#NAME?</x:v>
      </x:c>
      <x:c r="S557" t="e">
        <x:f>IF($A557="","",[1]!thsiFinD("ths_adjustment_nv_fund",S$3,$A557))</x:f>
        <x:v>#NAME?</x:v>
      </x:c>
      <x:c r="T557" t="e">
        <x:f>IF($A557="","",[1]!thsiFinD("ths_adjustment_nv_fund",T$3,$A557))</x:f>
        <x:v>#NAME?</x:v>
      </x:c>
      <x:c r="U557" t="e">
        <x:f>IF($A557="","",[1]!thsiFinD("ths_adjustment_nv_fund",U$3,$A557))</x:f>
        <x:v>#NAME?</x:v>
      </x:c>
      <x:c r="V557" t="e">
        <x:f>IF($A557="","",[1]!thsiFinD("ths_adjustment_nv_fund",V$3,$A557))</x:f>
        <x:v>#NAME?</x:v>
      </x:c>
      <x:c r="W557" t="e">
        <x:f>IF($A557="","",[1]!thsiFinD("ths_adjustment_nv_fund",W$3,$A557))</x:f>
        <x:v>#NAME?</x:v>
      </x:c>
      <x:c r="X557" t="e">
        <x:f>IF($A557="","",[1]!thsiFinD("ths_adjustment_nv_fund",X$3,$A557))</x:f>
        <x:v>#NAME?</x:v>
      </x:c>
      <x:c r="Y557" t="e">
        <x:f>IF($A557="","",[1]!thsiFinD("ths_adjustment_nv_fund",Y$3,$A557))</x:f>
        <x:v>#NAME?</x:v>
      </x:c>
    </x:row>
    <x:row r="558">
      <x:c r="B558" t="e">
        <x:f>IF($A558="","",[1]!thsiFinD("ths_adjustment_nv_fund",B$3,$A558))</x:f>
        <x:v>#NAME?</x:v>
      </x:c>
      <x:c r="C558" t="e">
        <x:f>IF($A558="","",[1]!thsiFinD("ths_adjustment_nv_fund",C$3,$A558))</x:f>
        <x:v>#NAME?</x:v>
      </x:c>
      <x:c r="D558" t="e">
        <x:f>IF($A558="","",[1]!thsiFinD("ths_adjustment_nv_fund",D$3,$A558))</x:f>
        <x:v>#NAME?</x:v>
      </x:c>
      <x:c r="E558" t="e">
        <x:f>IF($A558="","",[1]!thsiFinD("ths_adjustment_nv_fund",E$3,$A558))</x:f>
        <x:v>#NAME?</x:v>
      </x:c>
      <x:c r="F558" t="e">
        <x:f>IF($A558="","",[1]!thsiFinD("ths_adjustment_nv_fund",F$3,$A558))</x:f>
        <x:v>#NAME?</x:v>
      </x:c>
      <x:c r="G558" t="e">
        <x:f>IF($A558="","",[1]!thsiFinD("ths_adjustment_nv_fund",G$3,$A558))</x:f>
        <x:v>#NAME?</x:v>
      </x:c>
      <x:c r="H558" t="e">
        <x:f>IF($A558="","",[1]!thsiFinD("ths_adjustment_nv_fund",H$3,$A558))</x:f>
        <x:v>#NAME?</x:v>
      </x:c>
      <x:c r="I558" t="e">
        <x:f>IF($A558="","",[1]!thsiFinD("ths_adjustment_nv_fund",I$3,$A558))</x:f>
        <x:v>#NAME?</x:v>
      </x:c>
      <x:c r="J558" t="e">
        <x:f>IF($A558="","",[1]!thsiFinD("ths_adjustment_nv_fund",J$3,$A558))</x:f>
        <x:v>#NAME?</x:v>
      </x:c>
      <x:c r="K558" t="e">
        <x:f>IF($A558="","",[1]!thsiFinD("ths_adjustment_nv_fund",K$3,$A558))</x:f>
        <x:v>#NAME?</x:v>
      </x:c>
      <x:c r="L558" t="e">
        <x:f>IF($A558="","",[1]!thsiFinD("ths_adjustment_nv_fund",L$3,$A558))</x:f>
        <x:v>#NAME?</x:v>
      </x:c>
      <x:c r="M558" t="e">
        <x:f>IF($A558="","",[1]!thsiFinD("ths_adjustment_nv_fund",M$3,$A558))</x:f>
        <x:v>#NAME?</x:v>
      </x:c>
      <x:c r="N558" t="e">
        <x:f>IF($A558="","",[1]!thsiFinD("ths_adjustment_nv_fund",N$3,$A558))</x:f>
        <x:v>#NAME?</x:v>
      </x:c>
      <x:c r="O558" t="e">
        <x:f>IF($A558="","",[1]!thsiFinD("ths_adjustment_nv_fund",O$3,$A558))</x:f>
        <x:v>#NAME?</x:v>
      </x:c>
      <x:c r="P558" t="e">
        <x:f>IF($A558="","",[1]!thsiFinD("ths_adjustment_nv_fund",P$3,$A558))</x:f>
        <x:v>#NAME?</x:v>
      </x:c>
      <x:c r="Q558" t="e">
        <x:f>IF($A558="","",[1]!thsiFinD("ths_adjustment_nv_fund",Q$3,$A558))</x:f>
        <x:v>#NAME?</x:v>
      </x:c>
      <x:c r="R558" t="e">
        <x:f>IF($A558="","",[1]!thsiFinD("ths_adjustment_nv_fund",R$3,$A558))</x:f>
        <x:v>#NAME?</x:v>
      </x:c>
      <x:c r="S558" t="e">
        <x:f>IF($A558="","",[1]!thsiFinD("ths_adjustment_nv_fund",S$3,$A558))</x:f>
        <x:v>#NAME?</x:v>
      </x:c>
      <x:c r="T558" t="e">
        <x:f>IF($A558="","",[1]!thsiFinD("ths_adjustment_nv_fund",T$3,$A558))</x:f>
        <x:v>#NAME?</x:v>
      </x:c>
      <x:c r="U558" t="e">
        <x:f>IF($A558="","",[1]!thsiFinD("ths_adjustment_nv_fund",U$3,$A558))</x:f>
        <x:v>#NAME?</x:v>
      </x:c>
      <x:c r="V558" t="e">
        <x:f>IF($A558="","",[1]!thsiFinD("ths_adjustment_nv_fund",V$3,$A558))</x:f>
        <x:v>#NAME?</x:v>
      </x:c>
      <x:c r="W558" t="e">
        <x:f>IF($A558="","",[1]!thsiFinD("ths_adjustment_nv_fund",W$3,$A558))</x:f>
        <x:v>#NAME?</x:v>
      </x:c>
      <x:c r="X558" t="e">
        <x:f>IF($A558="","",[1]!thsiFinD("ths_adjustment_nv_fund",X$3,$A558))</x:f>
        <x:v>#NAME?</x:v>
      </x:c>
      <x:c r="Y558" t="e">
        <x:f>IF($A558="","",[1]!thsiFinD("ths_adjustment_nv_fund",Y$3,$A558))</x:f>
        <x:v>#NAME?</x:v>
      </x:c>
    </x:row>
    <x:row r="559">
      <x:c r="B559" t="e">
        <x:f>IF($A559="","",[1]!thsiFinD("ths_adjustment_nv_fund",B$3,$A559))</x:f>
        <x:v>#NAME?</x:v>
      </x:c>
      <x:c r="C559" t="e">
        <x:f>IF($A559="","",[1]!thsiFinD("ths_adjustment_nv_fund",C$3,$A559))</x:f>
        <x:v>#NAME?</x:v>
      </x:c>
      <x:c r="D559" t="e">
        <x:f>IF($A559="","",[1]!thsiFinD("ths_adjustment_nv_fund",D$3,$A559))</x:f>
        <x:v>#NAME?</x:v>
      </x:c>
      <x:c r="E559" t="e">
        <x:f>IF($A559="","",[1]!thsiFinD("ths_adjustment_nv_fund",E$3,$A559))</x:f>
        <x:v>#NAME?</x:v>
      </x:c>
      <x:c r="F559" t="e">
        <x:f>IF($A559="","",[1]!thsiFinD("ths_adjustment_nv_fund",F$3,$A559))</x:f>
        <x:v>#NAME?</x:v>
      </x:c>
      <x:c r="G559" t="e">
        <x:f>IF($A559="","",[1]!thsiFinD("ths_adjustment_nv_fund",G$3,$A559))</x:f>
        <x:v>#NAME?</x:v>
      </x:c>
      <x:c r="H559" t="e">
        <x:f>IF($A559="","",[1]!thsiFinD("ths_adjustment_nv_fund",H$3,$A559))</x:f>
        <x:v>#NAME?</x:v>
      </x:c>
      <x:c r="I559" t="e">
        <x:f>IF($A559="","",[1]!thsiFinD("ths_adjustment_nv_fund",I$3,$A559))</x:f>
        <x:v>#NAME?</x:v>
      </x:c>
      <x:c r="J559" t="e">
        <x:f>IF($A559="","",[1]!thsiFinD("ths_adjustment_nv_fund",J$3,$A559))</x:f>
        <x:v>#NAME?</x:v>
      </x:c>
      <x:c r="K559" t="e">
        <x:f>IF($A559="","",[1]!thsiFinD("ths_adjustment_nv_fund",K$3,$A559))</x:f>
        <x:v>#NAME?</x:v>
      </x:c>
      <x:c r="L559" t="e">
        <x:f>IF($A559="","",[1]!thsiFinD("ths_adjustment_nv_fund",L$3,$A559))</x:f>
        <x:v>#NAME?</x:v>
      </x:c>
      <x:c r="M559" t="e">
        <x:f>IF($A559="","",[1]!thsiFinD("ths_adjustment_nv_fund",M$3,$A559))</x:f>
        <x:v>#NAME?</x:v>
      </x:c>
      <x:c r="N559" t="e">
        <x:f>IF($A559="","",[1]!thsiFinD("ths_adjustment_nv_fund",N$3,$A559))</x:f>
        <x:v>#NAME?</x:v>
      </x:c>
      <x:c r="O559" t="e">
        <x:f>IF($A559="","",[1]!thsiFinD("ths_adjustment_nv_fund",O$3,$A559))</x:f>
        <x:v>#NAME?</x:v>
      </x:c>
      <x:c r="P559" t="e">
        <x:f>IF($A559="","",[1]!thsiFinD("ths_adjustment_nv_fund",P$3,$A559))</x:f>
        <x:v>#NAME?</x:v>
      </x:c>
      <x:c r="Q559" t="e">
        <x:f>IF($A559="","",[1]!thsiFinD("ths_adjustment_nv_fund",Q$3,$A559))</x:f>
        <x:v>#NAME?</x:v>
      </x:c>
      <x:c r="R559" t="e">
        <x:f>IF($A559="","",[1]!thsiFinD("ths_adjustment_nv_fund",R$3,$A559))</x:f>
        <x:v>#NAME?</x:v>
      </x:c>
      <x:c r="S559" t="e">
        <x:f>IF($A559="","",[1]!thsiFinD("ths_adjustment_nv_fund",S$3,$A559))</x:f>
        <x:v>#NAME?</x:v>
      </x:c>
      <x:c r="T559" t="e">
        <x:f>IF($A559="","",[1]!thsiFinD("ths_adjustment_nv_fund",T$3,$A559))</x:f>
        <x:v>#NAME?</x:v>
      </x:c>
      <x:c r="U559" t="e">
        <x:f>IF($A559="","",[1]!thsiFinD("ths_adjustment_nv_fund",U$3,$A559))</x:f>
        <x:v>#NAME?</x:v>
      </x:c>
      <x:c r="V559" t="e">
        <x:f>IF($A559="","",[1]!thsiFinD("ths_adjustment_nv_fund",V$3,$A559))</x:f>
        <x:v>#NAME?</x:v>
      </x:c>
      <x:c r="W559" t="e">
        <x:f>IF($A559="","",[1]!thsiFinD("ths_adjustment_nv_fund",W$3,$A559))</x:f>
        <x:v>#NAME?</x:v>
      </x:c>
      <x:c r="X559" t="e">
        <x:f>IF($A559="","",[1]!thsiFinD("ths_adjustment_nv_fund",X$3,$A559))</x:f>
        <x:v>#NAME?</x:v>
      </x:c>
      <x:c r="Y559" t="e">
        <x:f>IF($A559="","",[1]!thsiFinD("ths_adjustment_nv_fund",Y$3,$A559))</x:f>
        <x:v>#NAME?</x:v>
      </x:c>
    </x:row>
    <x:row r="560">
      <x:c r="B560" t="e">
        <x:f>IF($A560="","",[1]!thsiFinD("ths_adjustment_nv_fund",B$3,$A560))</x:f>
        <x:v>#NAME?</x:v>
      </x:c>
      <x:c r="C560" t="e">
        <x:f>IF($A560="","",[1]!thsiFinD("ths_adjustment_nv_fund",C$3,$A560))</x:f>
        <x:v>#NAME?</x:v>
      </x:c>
      <x:c r="D560" t="e">
        <x:f>IF($A560="","",[1]!thsiFinD("ths_adjustment_nv_fund",D$3,$A560))</x:f>
        <x:v>#NAME?</x:v>
      </x:c>
      <x:c r="E560" t="e">
        <x:f>IF($A560="","",[1]!thsiFinD("ths_adjustment_nv_fund",E$3,$A560))</x:f>
        <x:v>#NAME?</x:v>
      </x:c>
      <x:c r="F560" t="e">
        <x:f>IF($A560="","",[1]!thsiFinD("ths_adjustment_nv_fund",F$3,$A560))</x:f>
        <x:v>#NAME?</x:v>
      </x:c>
      <x:c r="G560" t="e">
        <x:f>IF($A560="","",[1]!thsiFinD("ths_adjustment_nv_fund",G$3,$A560))</x:f>
        <x:v>#NAME?</x:v>
      </x:c>
      <x:c r="H560" t="e">
        <x:f>IF($A560="","",[1]!thsiFinD("ths_adjustment_nv_fund",H$3,$A560))</x:f>
        <x:v>#NAME?</x:v>
      </x:c>
      <x:c r="I560" t="e">
        <x:f>IF($A560="","",[1]!thsiFinD("ths_adjustment_nv_fund",I$3,$A560))</x:f>
        <x:v>#NAME?</x:v>
      </x:c>
      <x:c r="J560" t="e">
        <x:f>IF($A560="","",[1]!thsiFinD("ths_adjustment_nv_fund",J$3,$A560))</x:f>
        <x:v>#NAME?</x:v>
      </x:c>
      <x:c r="K560" t="e">
        <x:f>IF($A560="","",[1]!thsiFinD("ths_adjustment_nv_fund",K$3,$A560))</x:f>
        <x:v>#NAME?</x:v>
      </x:c>
      <x:c r="L560" t="e">
        <x:f>IF($A560="","",[1]!thsiFinD("ths_adjustment_nv_fund",L$3,$A560))</x:f>
        <x:v>#NAME?</x:v>
      </x:c>
      <x:c r="M560" t="e">
        <x:f>IF($A560="","",[1]!thsiFinD("ths_adjustment_nv_fund",M$3,$A560))</x:f>
        <x:v>#NAME?</x:v>
      </x:c>
      <x:c r="N560" t="e">
        <x:f>IF($A560="","",[1]!thsiFinD("ths_adjustment_nv_fund",N$3,$A560))</x:f>
        <x:v>#NAME?</x:v>
      </x:c>
      <x:c r="O560" t="e">
        <x:f>IF($A560="","",[1]!thsiFinD("ths_adjustment_nv_fund",O$3,$A560))</x:f>
        <x:v>#NAME?</x:v>
      </x:c>
      <x:c r="P560" t="e">
        <x:f>IF($A560="","",[1]!thsiFinD("ths_adjustment_nv_fund",P$3,$A560))</x:f>
        <x:v>#NAME?</x:v>
      </x:c>
      <x:c r="Q560" t="e">
        <x:f>IF($A560="","",[1]!thsiFinD("ths_adjustment_nv_fund",Q$3,$A560))</x:f>
        <x:v>#NAME?</x:v>
      </x:c>
      <x:c r="R560" t="e">
        <x:f>IF($A560="","",[1]!thsiFinD("ths_adjustment_nv_fund",R$3,$A560))</x:f>
        <x:v>#NAME?</x:v>
      </x:c>
      <x:c r="S560" t="e">
        <x:f>IF($A560="","",[1]!thsiFinD("ths_adjustment_nv_fund",S$3,$A560))</x:f>
        <x:v>#NAME?</x:v>
      </x:c>
      <x:c r="T560" t="e">
        <x:f>IF($A560="","",[1]!thsiFinD("ths_adjustment_nv_fund",T$3,$A560))</x:f>
        <x:v>#NAME?</x:v>
      </x:c>
      <x:c r="U560" t="e">
        <x:f>IF($A560="","",[1]!thsiFinD("ths_adjustment_nv_fund",U$3,$A560))</x:f>
        <x:v>#NAME?</x:v>
      </x:c>
      <x:c r="V560" t="e">
        <x:f>IF($A560="","",[1]!thsiFinD("ths_adjustment_nv_fund",V$3,$A560))</x:f>
        <x:v>#NAME?</x:v>
      </x:c>
      <x:c r="W560" t="e">
        <x:f>IF($A560="","",[1]!thsiFinD("ths_adjustment_nv_fund",W$3,$A560))</x:f>
        <x:v>#NAME?</x:v>
      </x:c>
      <x:c r="X560" t="e">
        <x:f>IF($A560="","",[1]!thsiFinD("ths_adjustment_nv_fund",X$3,$A560))</x:f>
        <x:v>#NAME?</x:v>
      </x:c>
      <x:c r="Y560" t="e">
        <x:f>IF($A560="","",[1]!thsiFinD("ths_adjustment_nv_fund",Y$3,$A560))</x:f>
        <x:v>#NAME?</x:v>
      </x:c>
    </x:row>
    <x:row r="561">
      <x:c r="B561" t="e">
        <x:f>IF($A561="","",[1]!thsiFinD("ths_adjustment_nv_fund",B$3,$A561))</x:f>
        <x:v>#NAME?</x:v>
      </x:c>
      <x:c r="C561" t="e">
        <x:f>IF($A561="","",[1]!thsiFinD("ths_adjustment_nv_fund",C$3,$A561))</x:f>
        <x:v>#NAME?</x:v>
      </x:c>
      <x:c r="D561" t="e">
        <x:f>IF($A561="","",[1]!thsiFinD("ths_adjustment_nv_fund",D$3,$A561))</x:f>
        <x:v>#NAME?</x:v>
      </x:c>
      <x:c r="E561" t="e">
        <x:f>IF($A561="","",[1]!thsiFinD("ths_adjustment_nv_fund",E$3,$A561))</x:f>
        <x:v>#NAME?</x:v>
      </x:c>
      <x:c r="F561" t="e">
        <x:f>IF($A561="","",[1]!thsiFinD("ths_adjustment_nv_fund",F$3,$A561))</x:f>
        <x:v>#NAME?</x:v>
      </x:c>
      <x:c r="G561" t="e">
        <x:f>IF($A561="","",[1]!thsiFinD("ths_adjustment_nv_fund",G$3,$A561))</x:f>
        <x:v>#NAME?</x:v>
      </x:c>
      <x:c r="H561" t="e">
        <x:f>IF($A561="","",[1]!thsiFinD("ths_adjustment_nv_fund",H$3,$A561))</x:f>
        <x:v>#NAME?</x:v>
      </x:c>
      <x:c r="I561" t="e">
        <x:f>IF($A561="","",[1]!thsiFinD("ths_adjustment_nv_fund",I$3,$A561))</x:f>
        <x:v>#NAME?</x:v>
      </x:c>
      <x:c r="J561" t="e">
        <x:f>IF($A561="","",[1]!thsiFinD("ths_adjustment_nv_fund",J$3,$A561))</x:f>
        <x:v>#NAME?</x:v>
      </x:c>
      <x:c r="K561" t="e">
        <x:f>IF($A561="","",[1]!thsiFinD("ths_adjustment_nv_fund",K$3,$A561))</x:f>
        <x:v>#NAME?</x:v>
      </x:c>
      <x:c r="L561" t="e">
        <x:f>IF($A561="","",[1]!thsiFinD("ths_adjustment_nv_fund",L$3,$A561))</x:f>
        <x:v>#NAME?</x:v>
      </x:c>
      <x:c r="M561" t="e">
        <x:f>IF($A561="","",[1]!thsiFinD("ths_adjustment_nv_fund",M$3,$A561))</x:f>
        <x:v>#NAME?</x:v>
      </x:c>
      <x:c r="N561" t="e">
        <x:f>IF($A561="","",[1]!thsiFinD("ths_adjustment_nv_fund",N$3,$A561))</x:f>
        <x:v>#NAME?</x:v>
      </x:c>
      <x:c r="O561" t="e">
        <x:f>IF($A561="","",[1]!thsiFinD("ths_adjustment_nv_fund",O$3,$A561))</x:f>
        <x:v>#NAME?</x:v>
      </x:c>
      <x:c r="P561" t="e">
        <x:f>IF($A561="","",[1]!thsiFinD("ths_adjustment_nv_fund",P$3,$A561))</x:f>
        <x:v>#NAME?</x:v>
      </x:c>
      <x:c r="Q561" t="e">
        <x:f>IF($A561="","",[1]!thsiFinD("ths_adjustment_nv_fund",Q$3,$A561))</x:f>
        <x:v>#NAME?</x:v>
      </x:c>
      <x:c r="R561" t="e">
        <x:f>IF($A561="","",[1]!thsiFinD("ths_adjustment_nv_fund",R$3,$A561))</x:f>
        <x:v>#NAME?</x:v>
      </x:c>
      <x:c r="S561" t="e">
        <x:f>IF($A561="","",[1]!thsiFinD("ths_adjustment_nv_fund",S$3,$A561))</x:f>
        <x:v>#NAME?</x:v>
      </x:c>
      <x:c r="T561" t="e">
        <x:f>IF($A561="","",[1]!thsiFinD("ths_adjustment_nv_fund",T$3,$A561))</x:f>
        <x:v>#NAME?</x:v>
      </x:c>
      <x:c r="U561" t="e">
        <x:f>IF($A561="","",[1]!thsiFinD("ths_adjustment_nv_fund",U$3,$A561))</x:f>
        <x:v>#NAME?</x:v>
      </x:c>
      <x:c r="V561" t="e">
        <x:f>IF($A561="","",[1]!thsiFinD("ths_adjustment_nv_fund",V$3,$A561))</x:f>
        <x:v>#NAME?</x:v>
      </x:c>
      <x:c r="W561" t="e">
        <x:f>IF($A561="","",[1]!thsiFinD("ths_adjustment_nv_fund",W$3,$A561))</x:f>
        <x:v>#NAME?</x:v>
      </x:c>
      <x:c r="X561" t="e">
        <x:f>IF($A561="","",[1]!thsiFinD("ths_adjustment_nv_fund",X$3,$A561))</x:f>
        <x:v>#NAME?</x:v>
      </x:c>
      <x:c r="Y561" t="e">
        <x:f>IF($A561="","",[1]!thsiFinD("ths_adjustment_nv_fund",Y$3,$A561))</x:f>
        <x:v>#NAME?</x:v>
      </x:c>
    </x:row>
    <x:row r="562">
      <x:c r="B562" t="e">
        <x:f>IF($A562="","",[1]!thsiFinD("ths_adjustment_nv_fund",B$3,$A562))</x:f>
        <x:v>#NAME?</x:v>
      </x:c>
      <x:c r="C562" t="e">
        <x:f>IF($A562="","",[1]!thsiFinD("ths_adjustment_nv_fund",C$3,$A562))</x:f>
        <x:v>#NAME?</x:v>
      </x:c>
      <x:c r="D562" t="e">
        <x:f>IF($A562="","",[1]!thsiFinD("ths_adjustment_nv_fund",D$3,$A562))</x:f>
        <x:v>#NAME?</x:v>
      </x:c>
      <x:c r="E562" t="e">
        <x:f>IF($A562="","",[1]!thsiFinD("ths_adjustment_nv_fund",E$3,$A562))</x:f>
        <x:v>#NAME?</x:v>
      </x:c>
      <x:c r="F562" t="e">
        <x:f>IF($A562="","",[1]!thsiFinD("ths_adjustment_nv_fund",F$3,$A562))</x:f>
        <x:v>#NAME?</x:v>
      </x:c>
      <x:c r="G562" t="e">
        <x:f>IF($A562="","",[1]!thsiFinD("ths_adjustment_nv_fund",G$3,$A562))</x:f>
        <x:v>#NAME?</x:v>
      </x:c>
      <x:c r="H562" t="e">
        <x:f>IF($A562="","",[1]!thsiFinD("ths_adjustment_nv_fund",H$3,$A562))</x:f>
        <x:v>#NAME?</x:v>
      </x:c>
      <x:c r="I562" t="e">
        <x:f>IF($A562="","",[1]!thsiFinD("ths_adjustment_nv_fund",I$3,$A562))</x:f>
        <x:v>#NAME?</x:v>
      </x:c>
      <x:c r="J562" t="e">
        <x:f>IF($A562="","",[1]!thsiFinD("ths_adjustment_nv_fund",J$3,$A562))</x:f>
        <x:v>#NAME?</x:v>
      </x:c>
      <x:c r="K562" t="e">
        <x:f>IF($A562="","",[1]!thsiFinD("ths_adjustment_nv_fund",K$3,$A562))</x:f>
        <x:v>#NAME?</x:v>
      </x:c>
      <x:c r="L562" t="e">
        <x:f>IF($A562="","",[1]!thsiFinD("ths_adjustment_nv_fund",L$3,$A562))</x:f>
        <x:v>#NAME?</x:v>
      </x:c>
      <x:c r="M562" t="e">
        <x:f>IF($A562="","",[1]!thsiFinD("ths_adjustment_nv_fund",M$3,$A562))</x:f>
        <x:v>#NAME?</x:v>
      </x:c>
      <x:c r="N562" t="e">
        <x:f>IF($A562="","",[1]!thsiFinD("ths_adjustment_nv_fund",N$3,$A562))</x:f>
        <x:v>#NAME?</x:v>
      </x:c>
      <x:c r="O562" t="e">
        <x:f>IF($A562="","",[1]!thsiFinD("ths_adjustment_nv_fund",O$3,$A562))</x:f>
        <x:v>#NAME?</x:v>
      </x:c>
      <x:c r="P562" t="e">
        <x:f>IF($A562="","",[1]!thsiFinD("ths_adjustment_nv_fund",P$3,$A562))</x:f>
        <x:v>#NAME?</x:v>
      </x:c>
      <x:c r="Q562" t="e">
        <x:f>IF($A562="","",[1]!thsiFinD("ths_adjustment_nv_fund",Q$3,$A562))</x:f>
        <x:v>#NAME?</x:v>
      </x:c>
      <x:c r="R562" t="e">
        <x:f>IF($A562="","",[1]!thsiFinD("ths_adjustment_nv_fund",R$3,$A562))</x:f>
        <x:v>#NAME?</x:v>
      </x:c>
      <x:c r="S562" t="e">
        <x:f>IF($A562="","",[1]!thsiFinD("ths_adjustment_nv_fund",S$3,$A562))</x:f>
        <x:v>#NAME?</x:v>
      </x:c>
      <x:c r="T562" t="e">
        <x:f>IF($A562="","",[1]!thsiFinD("ths_adjustment_nv_fund",T$3,$A562))</x:f>
        <x:v>#NAME?</x:v>
      </x:c>
      <x:c r="U562" t="e">
        <x:f>IF($A562="","",[1]!thsiFinD("ths_adjustment_nv_fund",U$3,$A562))</x:f>
        <x:v>#NAME?</x:v>
      </x:c>
      <x:c r="V562" t="e">
        <x:f>IF($A562="","",[1]!thsiFinD("ths_adjustment_nv_fund",V$3,$A562))</x:f>
        <x:v>#NAME?</x:v>
      </x:c>
      <x:c r="W562" t="e">
        <x:f>IF($A562="","",[1]!thsiFinD("ths_adjustment_nv_fund",W$3,$A562))</x:f>
        <x:v>#NAME?</x:v>
      </x:c>
      <x:c r="X562" t="e">
        <x:f>IF($A562="","",[1]!thsiFinD("ths_adjustment_nv_fund",X$3,$A562))</x:f>
        <x:v>#NAME?</x:v>
      </x:c>
      <x:c r="Y562" t="e">
        <x:f>IF($A562="","",[1]!thsiFinD("ths_adjustment_nv_fund",Y$3,$A562))</x:f>
        <x:v>#NAME?</x:v>
      </x:c>
    </x:row>
    <x:row r="563">
      <x:c r="B563" t="e">
        <x:f>IF($A563="","",[1]!thsiFinD("ths_adjustment_nv_fund",B$3,$A563))</x:f>
        <x:v>#NAME?</x:v>
      </x:c>
      <x:c r="C563" t="e">
        <x:f>IF($A563="","",[1]!thsiFinD("ths_adjustment_nv_fund",C$3,$A563))</x:f>
        <x:v>#NAME?</x:v>
      </x:c>
      <x:c r="D563" t="e">
        <x:f>IF($A563="","",[1]!thsiFinD("ths_adjustment_nv_fund",D$3,$A563))</x:f>
        <x:v>#NAME?</x:v>
      </x:c>
      <x:c r="E563" t="e">
        <x:f>IF($A563="","",[1]!thsiFinD("ths_adjustment_nv_fund",E$3,$A563))</x:f>
        <x:v>#NAME?</x:v>
      </x:c>
      <x:c r="F563" t="e">
        <x:f>IF($A563="","",[1]!thsiFinD("ths_adjustment_nv_fund",F$3,$A563))</x:f>
        <x:v>#NAME?</x:v>
      </x:c>
      <x:c r="G563" t="e">
        <x:f>IF($A563="","",[1]!thsiFinD("ths_adjustment_nv_fund",G$3,$A563))</x:f>
        <x:v>#NAME?</x:v>
      </x:c>
      <x:c r="H563" t="e">
        <x:f>IF($A563="","",[1]!thsiFinD("ths_adjustment_nv_fund",H$3,$A563))</x:f>
        <x:v>#NAME?</x:v>
      </x:c>
      <x:c r="I563" t="e">
        <x:f>IF($A563="","",[1]!thsiFinD("ths_adjustment_nv_fund",I$3,$A563))</x:f>
        <x:v>#NAME?</x:v>
      </x:c>
      <x:c r="J563" t="e">
        <x:f>IF($A563="","",[1]!thsiFinD("ths_adjustment_nv_fund",J$3,$A563))</x:f>
        <x:v>#NAME?</x:v>
      </x:c>
      <x:c r="K563" t="e">
        <x:f>IF($A563="","",[1]!thsiFinD("ths_adjustment_nv_fund",K$3,$A563))</x:f>
        <x:v>#NAME?</x:v>
      </x:c>
      <x:c r="L563" t="e">
        <x:f>IF($A563="","",[1]!thsiFinD("ths_adjustment_nv_fund",L$3,$A563))</x:f>
        <x:v>#NAME?</x:v>
      </x:c>
      <x:c r="M563" t="e">
        <x:f>IF($A563="","",[1]!thsiFinD("ths_adjustment_nv_fund",M$3,$A563))</x:f>
        <x:v>#NAME?</x:v>
      </x:c>
      <x:c r="N563" t="e">
        <x:f>IF($A563="","",[1]!thsiFinD("ths_adjustment_nv_fund",N$3,$A563))</x:f>
        <x:v>#NAME?</x:v>
      </x:c>
      <x:c r="O563" t="e">
        <x:f>IF($A563="","",[1]!thsiFinD("ths_adjustment_nv_fund",O$3,$A563))</x:f>
        <x:v>#NAME?</x:v>
      </x:c>
      <x:c r="P563" t="e">
        <x:f>IF($A563="","",[1]!thsiFinD("ths_adjustment_nv_fund",P$3,$A563))</x:f>
        <x:v>#NAME?</x:v>
      </x:c>
      <x:c r="Q563" t="e">
        <x:f>IF($A563="","",[1]!thsiFinD("ths_adjustment_nv_fund",Q$3,$A563))</x:f>
        <x:v>#NAME?</x:v>
      </x:c>
      <x:c r="R563" t="e">
        <x:f>IF($A563="","",[1]!thsiFinD("ths_adjustment_nv_fund",R$3,$A563))</x:f>
        <x:v>#NAME?</x:v>
      </x:c>
      <x:c r="S563" t="e">
        <x:f>IF($A563="","",[1]!thsiFinD("ths_adjustment_nv_fund",S$3,$A563))</x:f>
        <x:v>#NAME?</x:v>
      </x:c>
      <x:c r="T563" t="e">
        <x:f>IF($A563="","",[1]!thsiFinD("ths_adjustment_nv_fund",T$3,$A563))</x:f>
        <x:v>#NAME?</x:v>
      </x:c>
      <x:c r="U563" t="e">
        <x:f>IF($A563="","",[1]!thsiFinD("ths_adjustment_nv_fund",U$3,$A563))</x:f>
        <x:v>#NAME?</x:v>
      </x:c>
      <x:c r="V563" t="e">
        <x:f>IF($A563="","",[1]!thsiFinD("ths_adjustment_nv_fund",V$3,$A563))</x:f>
        <x:v>#NAME?</x:v>
      </x:c>
      <x:c r="W563" t="e">
        <x:f>IF($A563="","",[1]!thsiFinD("ths_adjustment_nv_fund",W$3,$A563))</x:f>
        <x:v>#NAME?</x:v>
      </x:c>
      <x:c r="X563" t="e">
        <x:f>IF($A563="","",[1]!thsiFinD("ths_adjustment_nv_fund",X$3,$A563))</x:f>
        <x:v>#NAME?</x:v>
      </x:c>
      <x:c r="Y563" t="e">
        <x:f>IF($A563="","",[1]!thsiFinD("ths_adjustment_nv_fund",Y$3,$A563))</x:f>
        <x:v>#NAME?</x:v>
      </x:c>
    </x:row>
    <x:row r="564">
      <x:c r="B564" t="e">
        <x:f>IF($A564="","",[1]!thsiFinD("ths_adjustment_nv_fund",B$3,$A564))</x:f>
        <x:v>#NAME?</x:v>
      </x:c>
      <x:c r="C564" t="e">
        <x:f>IF($A564="","",[1]!thsiFinD("ths_adjustment_nv_fund",C$3,$A564))</x:f>
        <x:v>#NAME?</x:v>
      </x:c>
      <x:c r="D564" t="e">
        <x:f>IF($A564="","",[1]!thsiFinD("ths_adjustment_nv_fund",D$3,$A564))</x:f>
        <x:v>#NAME?</x:v>
      </x:c>
      <x:c r="E564" t="e">
        <x:f>IF($A564="","",[1]!thsiFinD("ths_adjustment_nv_fund",E$3,$A564))</x:f>
        <x:v>#NAME?</x:v>
      </x:c>
      <x:c r="F564" t="e">
        <x:f>IF($A564="","",[1]!thsiFinD("ths_adjustment_nv_fund",F$3,$A564))</x:f>
        <x:v>#NAME?</x:v>
      </x:c>
      <x:c r="G564" t="e">
        <x:f>IF($A564="","",[1]!thsiFinD("ths_adjustment_nv_fund",G$3,$A564))</x:f>
        <x:v>#NAME?</x:v>
      </x:c>
      <x:c r="H564" t="e">
        <x:f>IF($A564="","",[1]!thsiFinD("ths_adjustment_nv_fund",H$3,$A564))</x:f>
        <x:v>#NAME?</x:v>
      </x:c>
      <x:c r="I564" t="e">
        <x:f>IF($A564="","",[1]!thsiFinD("ths_adjustment_nv_fund",I$3,$A564))</x:f>
        <x:v>#NAME?</x:v>
      </x:c>
      <x:c r="J564" t="e">
        <x:f>IF($A564="","",[1]!thsiFinD("ths_adjustment_nv_fund",J$3,$A564))</x:f>
        <x:v>#NAME?</x:v>
      </x:c>
      <x:c r="K564" t="e">
        <x:f>IF($A564="","",[1]!thsiFinD("ths_adjustment_nv_fund",K$3,$A564))</x:f>
        <x:v>#NAME?</x:v>
      </x:c>
      <x:c r="L564" t="e">
        <x:f>IF($A564="","",[1]!thsiFinD("ths_adjustment_nv_fund",L$3,$A564))</x:f>
        <x:v>#NAME?</x:v>
      </x:c>
      <x:c r="M564" t="e">
        <x:f>IF($A564="","",[1]!thsiFinD("ths_adjustment_nv_fund",M$3,$A564))</x:f>
        <x:v>#NAME?</x:v>
      </x:c>
      <x:c r="N564" t="e">
        <x:f>IF($A564="","",[1]!thsiFinD("ths_adjustment_nv_fund",N$3,$A564))</x:f>
        <x:v>#NAME?</x:v>
      </x:c>
      <x:c r="O564" t="e">
        <x:f>IF($A564="","",[1]!thsiFinD("ths_adjustment_nv_fund",O$3,$A564))</x:f>
        <x:v>#NAME?</x:v>
      </x:c>
      <x:c r="P564" t="e">
        <x:f>IF($A564="","",[1]!thsiFinD("ths_adjustment_nv_fund",P$3,$A564))</x:f>
        <x:v>#NAME?</x:v>
      </x:c>
      <x:c r="Q564" t="e">
        <x:f>IF($A564="","",[1]!thsiFinD("ths_adjustment_nv_fund",Q$3,$A564))</x:f>
        <x:v>#NAME?</x:v>
      </x:c>
      <x:c r="R564" t="e">
        <x:f>IF($A564="","",[1]!thsiFinD("ths_adjustment_nv_fund",R$3,$A564))</x:f>
        <x:v>#NAME?</x:v>
      </x:c>
      <x:c r="S564" t="e">
        <x:f>IF($A564="","",[1]!thsiFinD("ths_adjustment_nv_fund",S$3,$A564))</x:f>
        <x:v>#NAME?</x:v>
      </x:c>
      <x:c r="T564" t="e">
        <x:f>IF($A564="","",[1]!thsiFinD("ths_adjustment_nv_fund",T$3,$A564))</x:f>
        <x:v>#NAME?</x:v>
      </x:c>
      <x:c r="U564" t="e">
        <x:f>IF($A564="","",[1]!thsiFinD("ths_adjustment_nv_fund",U$3,$A564))</x:f>
        <x:v>#NAME?</x:v>
      </x:c>
      <x:c r="V564" t="e">
        <x:f>IF($A564="","",[1]!thsiFinD("ths_adjustment_nv_fund",V$3,$A564))</x:f>
        <x:v>#NAME?</x:v>
      </x:c>
      <x:c r="W564" t="e">
        <x:f>IF($A564="","",[1]!thsiFinD("ths_adjustment_nv_fund",W$3,$A564))</x:f>
        <x:v>#NAME?</x:v>
      </x:c>
      <x:c r="X564" t="e">
        <x:f>IF($A564="","",[1]!thsiFinD("ths_adjustment_nv_fund",X$3,$A564))</x:f>
        <x:v>#NAME?</x:v>
      </x:c>
      <x:c r="Y564" t="e">
        <x:f>IF($A564="","",[1]!thsiFinD("ths_adjustment_nv_fund",Y$3,$A564))</x:f>
        <x:v>#NAME?</x:v>
      </x:c>
    </x:row>
    <x:row r="565">
      <x:c r="B565" t="e">
        <x:f>IF($A565="","",[1]!thsiFinD("ths_adjustment_nv_fund",B$3,$A565))</x:f>
        <x:v>#NAME?</x:v>
      </x:c>
      <x:c r="C565" t="e">
        <x:f>IF($A565="","",[1]!thsiFinD("ths_adjustment_nv_fund",C$3,$A565))</x:f>
        <x:v>#NAME?</x:v>
      </x:c>
      <x:c r="D565" t="e">
        <x:f>IF($A565="","",[1]!thsiFinD("ths_adjustment_nv_fund",D$3,$A565))</x:f>
        <x:v>#NAME?</x:v>
      </x:c>
      <x:c r="E565" t="e">
        <x:f>IF($A565="","",[1]!thsiFinD("ths_adjustment_nv_fund",E$3,$A565))</x:f>
        <x:v>#NAME?</x:v>
      </x:c>
      <x:c r="F565" t="e">
        <x:f>IF($A565="","",[1]!thsiFinD("ths_adjustment_nv_fund",F$3,$A565))</x:f>
        <x:v>#NAME?</x:v>
      </x:c>
      <x:c r="G565" t="e">
        <x:f>IF($A565="","",[1]!thsiFinD("ths_adjustment_nv_fund",G$3,$A565))</x:f>
        <x:v>#NAME?</x:v>
      </x:c>
      <x:c r="H565" t="e">
        <x:f>IF($A565="","",[1]!thsiFinD("ths_adjustment_nv_fund",H$3,$A565))</x:f>
        <x:v>#NAME?</x:v>
      </x:c>
      <x:c r="I565" t="e">
        <x:f>IF($A565="","",[1]!thsiFinD("ths_adjustment_nv_fund",I$3,$A565))</x:f>
        <x:v>#NAME?</x:v>
      </x:c>
      <x:c r="J565" t="e">
        <x:f>IF($A565="","",[1]!thsiFinD("ths_adjustment_nv_fund",J$3,$A565))</x:f>
        <x:v>#NAME?</x:v>
      </x:c>
      <x:c r="K565" t="e">
        <x:f>IF($A565="","",[1]!thsiFinD("ths_adjustment_nv_fund",K$3,$A565))</x:f>
        <x:v>#NAME?</x:v>
      </x:c>
      <x:c r="L565" t="e">
        <x:f>IF($A565="","",[1]!thsiFinD("ths_adjustment_nv_fund",L$3,$A565))</x:f>
        <x:v>#NAME?</x:v>
      </x:c>
      <x:c r="M565" t="e">
        <x:f>IF($A565="","",[1]!thsiFinD("ths_adjustment_nv_fund",M$3,$A565))</x:f>
        <x:v>#NAME?</x:v>
      </x:c>
      <x:c r="N565" t="e">
        <x:f>IF($A565="","",[1]!thsiFinD("ths_adjustment_nv_fund",N$3,$A565))</x:f>
        <x:v>#NAME?</x:v>
      </x:c>
      <x:c r="O565" t="e">
        <x:f>IF($A565="","",[1]!thsiFinD("ths_adjustment_nv_fund",O$3,$A565))</x:f>
        <x:v>#NAME?</x:v>
      </x:c>
      <x:c r="P565" t="e">
        <x:f>IF($A565="","",[1]!thsiFinD("ths_adjustment_nv_fund",P$3,$A565))</x:f>
        <x:v>#NAME?</x:v>
      </x:c>
      <x:c r="Q565" t="e">
        <x:f>IF($A565="","",[1]!thsiFinD("ths_adjustment_nv_fund",Q$3,$A565))</x:f>
        <x:v>#NAME?</x:v>
      </x:c>
      <x:c r="R565" t="e">
        <x:f>IF($A565="","",[1]!thsiFinD("ths_adjustment_nv_fund",R$3,$A565))</x:f>
        <x:v>#NAME?</x:v>
      </x:c>
      <x:c r="S565" t="e">
        <x:f>IF($A565="","",[1]!thsiFinD("ths_adjustment_nv_fund",S$3,$A565))</x:f>
        <x:v>#NAME?</x:v>
      </x:c>
      <x:c r="T565" t="e">
        <x:f>IF($A565="","",[1]!thsiFinD("ths_adjustment_nv_fund",T$3,$A565))</x:f>
        <x:v>#NAME?</x:v>
      </x:c>
      <x:c r="U565" t="e">
        <x:f>IF($A565="","",[1]!thsiFinD("ths_adjustment_nv_fund",U$3,$A565))</x:f>
        <x:v>#NAME?</x:v>
      </x:c>
      <x:c r="V565" t="e">
        <x:f>IF($A565="","",[1]!thsiFinD("ths_adjustment_nv_fund",V$3,$A565))</x:f>
        <x:v>#NAME?</x:v>
      </x:c>
      <x:c r="W565" t="e">
        <x:f>IF($A565="","",[1]!thsiFinD("ths_adjustment_nv_fund",W$3,$A565))</x:f>
        <x:v>#NAME?</x:v>
      </x:c>
      <x:c r="X565" t="e">
        <x:f>IF($A565="","",[1]!thsiFinD("ths_adjustment_nv_fund",X$3,$A565))</x:f>
        <x:v>#NAME?</x:v>
      </x:c>
      <x:c r="Y565" t="e">
        <x:f>IF($A565="","",[1]!thsiFinD("ths_adjustment_nv_fund",Y$3,$A565))</x:f>
        <x:v>#NAME?</x:v>
      </x:c>
    </x:row>
    <x:row r="566">
      <x:c r="B566" t="e">
        <x:f>IF($A566="","",[1]!thsiFinD("ths_adjustment_nv_fund",B$3,$A566))</x:f>
        <x:v>#NAME?</x:v>
      </x:c>
      <x:c r="C566" t="e">
        <x:f>IF($A566="","",[1]!thsiFinD("ths_adjustment_nv_fund",C$3,$A566))</x:f>
        <x:v>#NAME?</x:v>
      </x:c>
      <x:c r="D566" t="e">
        <x:f>IF($A566="","",[1]!thsiFinD("ths_adjustment_nv_fund",D$3,$A566))</x:f>
        <x:v>#NAME?</x:v>
      </x:c>
      <x:c r="E566" t="e">
        <x:f>IF($A566="","",[1]!thsiFinD("ths_adjustment_nv_fund",E$3,$A566))</x:f>
        <x:v>#NAME?</x:v>
      </x:c>
      <x:c r="F566" t="e">
        <x:f>IF($A566="","",[1]!thsiFinD("ths_adjustment_nv_fund",F$3,$A566))</x:f>
        <x:v>#NAME?</x:v>
      </x:c>
      <x:c r="G566" t="e">
        <x:f>IF($A566="","",[1]!thsiFinD("ths_adjustment_nv_fund",G$3,$A566))</x:f>
        <x:v>#NAME?</x:v>
      </x:c>
      <x:c r="H566" t="e">
        <x:f>IF($A566="","",[1]!thsiFinD("ths_adjustment_nv_fund",H$3,$A566))</x:f>
        <x:v>#NAME?</x:v>
      </x:c>
      <x:c r="I566" t="e">
        <x:f>IF($A566="","",[1]!thsiFinD("ths_adjustment_nv_fund",I$3,$A566))</x:f>
        <x:v>#NAME?</x:v>
      </x:c>
      <x:c r="J566" t="e">
        <x:f>IF($A566="","",[1]!thsiFinD("ths_adjustment_nv_fund",J$3,$A566))</x:f>
        <x:v>#NAME?</x:v>
      </x:c>
      <x:c r="K566" t="e">
        <x:f>IF($A566="","",[1]!thsiFinD("ths_adjustment_nv_fund",K$3,$A566))</x:f>
        <x:v>#NAME?</x:v>
      </x:c>
      <x:c r="L566" t="e">
        <x:f>IF($A566="","",[1]!thsiFinD("ths_adjustment_nv_fund",L$3,$A566))</x:f>
        <x:v>#NAME?</x:v>
      </x:c>
      <x:c r="M566" t="e">
        <x:f>IF($A566="","",[1]!thsiFinD("ths_adjustment_nv_fund",M$3,$A566))</x:f>
        <x:v>#NAME?</x:v>
      </x:c>
      <x:c r="N566" t="e">
        <x:f>IF($A566="","",[1]!thsiFinD("ths_adjustment_nv_fund",N$3,$A566))</x:f>
        <x:v>#NAME?</x:v>
      </x:c>
      <x:c r="O566" t="e">
        <x:f>IF($A566="","",[1]!thsiFinD("ths_adjustment_nv_fund",O$3,$A566))</x:f>
        <x:v>#NAME?</x:v>
      </x:c>
      <x:c r="P566" t="e">
        <x:f>IF($A566="","",[1]!thsiFinD("ths_adjustment_nv_fund",P$3,$A566))</x:f>
        <x:v>#NAME?</x:v>
      </x:c>
      <x:c r="Q566" t="e">
        <x:f>IF($A566="","",[1]!thsiFinD("ths_adjustment_nv_fund",Q$3,$A566))</x:f>
        <x:v>#NAME?</x:v>
      </x:c>
      <x:c r="R566" t="e">
        <x:f>IF($A566="","",[1]!thsiFinD("ths_adjustment_nv_fund",R$3,$A566))</x:f>
        <x:v>#NAME?</x:v>
      </x:c>
      <x:c r="S566" t="e">
        <x:f>IF($A566="","",[1]!thsiFinD("ths_adjustment_nv_fund",S$3,$A566))</x:f>
        <x:v>#NAME?</x:v>
      </x:c>
      <x:c r="T566" t="e">
        <x:f>IF($A566="","",[1]!thsiFinD("ths_adjustment_nv_fund",T$3,$A566))</x:f>
        <x:v>#NAME?</x:v>
      </x:c>
      <x:c r="U566" t="e">
        <x:f>IF($A566="","",[1]!thsiFinD("ths_adjustment_nv_fund",U$3,$A566))</x:f>
        <x:v>#NAME?</x:v>
      </x:c>
      <x:c r="V566" t="e">
        <x:f>IF($A566="","",[1]!thsiFinD("ths_adjustment_nv_fund",V$3,$A566))</x:f>
        <x:v>#NAME?</x:v>
      </x:c>
      <x:c r="W566" t="e">
        <x:f>IF($A566="","",[1]!thsiFinD("ths_adjustment_nv_fund",W$3,$A566))</x:f>
        <x:v>#NAME?</x:v>
      </x:c>
      <x:c r="X566" t="e">
        <x:f>IF($A566="","",[1]!thsiFinD("ths_adjustment_nv_fund",X$3,$A566))</x:f>
        <x:v>#NAME?</x:v>
      </x:c>
      <x:c r="Y566" t="e">
        <x:f>IF($A566="","",[1]!thsiFinD("ths_adjustment_nv_fund",Y$3,$A566))</x:f>
        <x:v>#NAME?</x:v>
      </x:c>
    </x:row>
    <x:row r="567">
      <x:c r="B567" t="e">
        <x:f>IF($A567="","",[1]!thsiFinD("ths_adjustment_nv_fund",B$3,$A567))</x:f>
        <x:v>#NAME?</x:v>
      </x:c>
      <x:c r="C567" t="e">
        <x:f>IF($A567="","",[1]!thsiFinD("ths_adjustment_nv_fund",C$3,$A567))</x:f>
        <x:v>#NAME?</x:v>
      </x:c>
      <x:c r="D567" t="e">
        <x:f>IF($A567="","",[1]!thsiFinD("ths_adjustment_nv_fund",D$3,$A567))</x:f>
        <x:v>#NAME?</x:v>
      </x:c>
      <x:c r="E567" t="e">
        <x:f>IF($A567="","",[1]!thsiFinD("ths_adjustment_nv_fund",E$3,$A567))</x:f>
        <x:v>#NAME?</x:v>
      </x:c>
      <x:c r="F567" t="e">
        <x:f>IF($A567="","",[1]!thsiFinD("ths_adjustment_nv_fund",F$3,$A567))</x:f>
        <x:v>#NAME?</x:v>
      </x:c>
      <x:c r="G567" t="e">
        <x:f>IF($A567="","",[1]!thsiFinD("ths_adjustment_nv_fund",G$3,$A567))</x:f>
        <x:v>#NAME?</x:v>
      </x:c>
      <x:c r="H567" t="e">
        <x:f>IF($A567="","",[1]!thsiFinD("ths_adjustment_nv_fund",H$3,$A567))</x:f>
        <x:v>#NAME?</x:v>
      </x:c>
      <x:c r="I567" t="e">
        <x:f>IF($A567="","",[1]!thsiFinD("ths_adjustment_nv_fund",I$3,$A567))</x:f>
        <x:v>#NAME?</x:v>
      </x:c>
      <x:c r="J567" t="e">
        <x:f>IF($A567="","",[1]!thsiFinD("ths_adjustment_nv_fund",J$3,$A567))</x:f>
        <x:v>#NAME?</x:v>
      </x:c>
      <x:c r="K567" t="e">
        <x:f>IF($A567="","",[1]!thsiFinD("ths_adjustment_nv_fund",K$3,$A567))</x:f>
        <x:v>#NAME?</x:v>
      </x:c>
      <x:c r="L567" t="e">
        <x:f>IF($A567="","",[1]!thsiFinD("ths_adjustment_nv_fund",L$3,$A567))</x:f>
        <x:v>#NAME?</x:v>
      </x:c>
      <x:c r="M567" t="e">
        <x:f>IF($A567="","",[1]!thsiFinD("ths_adjustment_nv_fund",M$3,$A567))</x:f>
        <x:v>#NAME?</x:v>
      </x:c>
      <x:c r="N567" t="e">
        <x:f>IF($A567="","",[1]!thsiFinD("ths_adjustment_nv_fund",N$3,$A567))</x:f>
        <x:v>#NAME?</x:v>
      </x:c>
      <x:c r="O567" t="e">
        <x:f>IF($A567="","",[1]!thsiFinD("ths_adjustment_nv_fund",O$3,$A567))</x:f>
        <x:v>#NAME?</x:v>
      </x:c>
      <x:c r="P567" t="e">
        <x:f>IF($A567="","",[1]!thsiFinD("ths_adjustment_nv_fund",P$3,$A567))</x:f>
        <x:v>#NAME?</x:v>
      </x:c>
      <x:c r="Q567" t="e">
        <x:f>IF($A567="","",[1]!thsiFinD("ths_adjustment_nv_fund",Q$3,$A567))</x:f>
        <x:v>#NAME?</x:v>
      </x:c>
      <x:c r="R567" t="e">
        <x:f>IF($A567="","",[1]!thsiFinD("ths_adjustment_nv_fund",R$3,$A567))</x:f>
        <x:v>#NAME?</x:v>
      </x:c>
      <x:c r="S567" t="e">
        <x:f>IF($A567="","",[1]!thsiFinD("ths_adjustment_nv_fund",S$3,$A567))</x:f>
        <x:v>#NAME?</x:v>
      </x:c>
      <x:c r="T567" t="e">
        <x:f>IF($A567="","",[1]!thsiFinD("ths_adjustment_nv_fund",T$3,$A567))</x:f>
        <x:v>#NAME?</x:v>
      </x:c>
      <x:c r="U567" t="e">
        <x:f>IF($A567="","",[1]!thsiFinD("ths_adjustment_nv_fund",U$3,$A567))</x:f>
        <x:v>#NAME?</x:v>
      </x:c>
      <x:c r="V567" t="e">
        <x:f>IF($A567="","",[1]!thsiFinD("ths_adjustment_nv_fund",V$3,$A567))</x:f>
        <x:v>#NAME?</x:v>
      </x:c>
      <x:c r="W567" t="e">
        <x:f>IF($A567="","",[1]!thsiFinD("ths_adjustment_nv_fund",W$3,$A567))</x:f>
        <x:v>#NAME?</x:v>
      </x:c>
      <x:c r="X567" t="e">
        <x:f>IF($A567="","",[1]!thsiFinD("ths_adjustment_nv_fund",X$3,$A567))</x:f>
        <x:v>#NAME?</x:v>
      </x:c>
      <x:c r="Y567" t="e">
        <x:f>IF($A567="","",[1]!thsiFinD("ths_adjustment_nv_fund",Y$3,$A567))</x:f>
        <x:v>#NAME?</x:v>
      </x:c>
    </x:row>
    <x:row r="568">
      <x:c r="B568" t="e">
        <x:f>IF($A568="","",[1]!thsiFinD("ths_adjustment_nv_fund",B$3,$A568))</x:f>
        <x:v>#NAME?</x:v>
      </x:c>
      <x:c r="C568" t="e">
        <x:f>IF($A568="","",[1]!thsiFinD("ths_adjustment_nv_fund",C$3,$A568))</x:f>
        <x:v>#NAME?</x:v>
      </x:c>
      <x:c r="D568" t="e">
        <x:f>IF($A568="","",[1]!thsiFinD("ths_adjustment_nv_fund",D$3,$A568))</x:f>
        <x:v>#NAME?</x:v>
      </x:c>
      <x:c r="E568" t="e">
        <x:f>IF($A568="","",[1]!thsiFinD("ths_adjustment_nv_fund",E$3,$A568))</x:f>
        <x:v>#NAME?</x:v>
      </x:c>
      <x:c r="F568" t="e">
        <x:f>IF($A568="","",[1]!thsiFinD("ths_adjustment_nv_fund",F$3,$A568))</x:f>
        <x:v>#NAME?</x:v>
      </x:c>
      <x:c r="G568" t="e">
        <x:f>IF($A568="","",[1]!thsiFinD("ths_adjustment_nv_fund",G$3,$A568))</x:f>
        <x:v>#NAME?</x:v>
      </x:c>
      <x:c r="H568" t="e">
        <x:f>IF($A568="","",[1]!thsiFinD("ths_adjustment_nv_fund",H$3,$A568))</x:f>
        <x:v>#NAME?</x:v>
      </x:c>
      <x:c r="I568" t="e">
        <x:f>IF($A568="","",[1]!thsiFinD("ths_adjustment_nv_fund",I$3,$A568))</x:f>
        <x:v>#NAME?</x:v>
      </x:c>
      <x:c r="J568" t="e">
        <x:f>IF($A568="","",[1]!thsiFinD("ths_adjustment_nv_fund",J$3,$A568))</x:f>
        <x:v>#NAME?</x:v>
      </x:c>
      <x:c r="K568" t="e">
        <x:f>IF($A568="","",[1]!thsiFinD("ths_adjustment_nv_fund",K$3,$A568))</x:f>
        <x:v>#NAME?</x:v>
      </x:c>
      <x:c r="L568" t="e">
        <x:f>IF($A568="","",[1]!thsiFinD("ths_adjustment_nv_fund",L$3,$A568))</x:f>
        <x:v>#NAME?</x:v>
      </x:c>
      <x:c r="M568" t="e">
        <x:f>IF($A568="","",[1]!thsiFinD("ths_adjustment_nv_fund",M$3,$A568))</x:f>
        <x:v>#NAME?</x:v>
      </x:c>
      <x:c r="N568" t="e">
        <x:f>IF($A568="","",[1]!thsiFinD("ths_adjustment_nv_fund",N$3,$A568))</x:f>
        <x:v>#NAME?</x:v>
      </x:c>
      <x:c r="O568" t="e">
        <x:f>IF($A568="","",[1]!thsiFinD("ths_adjustment_nv_fund",O$3,$A568))</x:f>
        <x:v>#NAME?</x:v>
      </x:c>
      <x:c r="P568" t="e">
        <x:f>IF($A568="","",[1]!thsiFinD("ths_adjustment_nv_fund",P$3,$A568))</x:f>
        <x:v>#NAME?</x:v>
      </x:c>
      <x:c r="Q568" t="e">
        <x:f>IF($A568="","",[1]!thsiFinD("ths_adjustment_nv_fund",Q$3,$A568))</x:f>
        <x:v>#NAME?</x:v>
      </x:c>
      <x:c r="R568" t="e">
        <x:f>IF($A568="","",[1]!thsiFinD("ths_adjustment_nv_fund",R$3,$A568))</x:f>
        <x:v>#NAME?</x:v>
      </x:c>
      <x:c r="S568" t="e">
        <x:f>IF($A568="","",[1]!thsiFinD("ths_adjustment_nv_fund",S$3,$A568))</x:f>
        <x:v>#NAME?</x:v>
      </x:c>
      <x:c r="T568" t="e">
        <x:f>IF($A568="","",[1]!thsiFinD("ths_adjustment_nv_fund",T$3,$A568))</x:f>
        <x:v>#NAME?</x:v>
      </x:c>
      <x:c r="U568" t="e">
        <x:f>IF($A568="","",[1]!thsiFinD("ths_adjustment_nv_fund",U$3,$A568))</x:f>
        <x:v>#NAME?</x:v>
      </x:c>
      <x:c r="V568" t="e">
        <x:f>IF($A568="","",[1]!thsiFinD("ths_adjustment_nv_fund",V$3,$A568))</x:f>
        <x:v>#NAME?</x:v>
      </x:c>
      <x:c r="W568" t="e">
        <x:f>IF($A568="","",[1]!thsiFinD("ths_adjustment_nv_fund",W$3,$A568))</x:f>
        <x:v>#NAME?</x:v>
      </x:c>
      <x:c r="X568" t="e">
        <x:f>IF($A568="","",[1]!thsiFinD("ths_adjustment_nv_fund",X$3,$A568))</x:f>
        <x:v>#NAME?</x:v>
      </x:c>
      <x:c r="Y568" t="e">
        <x:f>IF($A568="","",[1]!thsiFinD("ths_adjustment_nv_fund",Y$3,$A568))</x:f>
        <x:v>#NAME?</x:v>
      </x:c>
    </x:row>
    <x:row r="569">
      <x:c r="B569" t="e">
        <x:f>IF($A569="","",[1]!thsiFinD("ths_adjustment_nv_fund",B$3,$A569))</x:f>
        <x:v>#NAME?</x:v>
      </x:c>
      <x:c r="C569" t="e">
        <x:f>IF($A569="","",[1]!thsiFinD("ths_adjustment_nv_fund",C$3,$A569))</x:f>
        <x:v>#NAME?</x:v>
      </x:c>
      <x:c r="D569" t="e">
        <x:f>IF($A569="","",[1]!thsiFinD("ths_adjustment_nv_fund",D$3,$A569))</x:f>
        <x:v>#NAME?</x:v>
      </x:c>
      <x:c r="E569" t="e">
        <x:f>IF($A569="","",[1]!thsiFinD("ths_adjustment_nv_fund",E$3,$A569))</x:f>
        <x:v>#NAME?</x:v>
      </x:c>
      <x:c r="F569" t="e">
        <x:f>IF($A569="","",[1]!thsiFinD("ths_adjustment_nv_fund",F$3,$A569))</x:f>
        <x:v>#NAME?</x:v>
      </x:c>
      <x:c r="G569" t="e">
        <x:f>IF($A569="","",[1]!thsiFinD("ths_adjustment_nv_fund",G$3,$A569))</x:f>
        <x:v>#NAME?</x:v>
      </x:c>
      <x:c r="H569" t="e">
        <x:f>IF($A569="","",[1]!thsiFinD("ths_adjustment_nv_fund",H$3,$A569))</x:f>
        <x:v>#NAME?</x:v>
      </x:c>
      <x:c r="I569" t="e">
        <x:f>IF($A569="","",[1]!thsiFinD("ths_adjustment_nv_fund",I$3,$A569))</x:f>
        <x:v>#NAME?</x:v>
      </x:c>
      <x:c r="J569" t="e">
        <x:f>IF($A569="","",[1]!thsiFinD("ths_adjustment_nv_fund",J$3,$A569))</x:f>
        <x:v>#NAME?</x:v>
      </x:c>
      <x:c r="K569" t="e">
        <x:f>IF($A569="","",[1]!thsiFinD("ths_adjustment_nv_fund",K$3,$A569))</x:f>
        <x:v>#NAME?</x:v>
      </x:c>
      <x:c r="L569" t="e">
        <x:f>IF($A569="","",[1]!thsiFinD("ths_adjustment_nv_fund",L$3,$A569))</x:f>
        <x:v>#NAME?</x:v>
      </x:c>
      <x:c r="M569" t="e">
        <x:f>IF($A569="","",[1]!thsiFinD("ths_adjustment_nv_fund",M$3,$A569))</x:f>
        <x:v>#NAME?</x:v>
      </x:c>
      <x:c r="N569" t="e">
        <x:f>IF($A569="","",[1]!thsiFinD("ths_adjustment_nv_fund",N$3,$A569))</x:f>
        <x:v>#NAME?</x:v>
      </x:c>
      <x:c r="O569" t="e">
        <x:f>IF($A569="","",[1]!thsiFinD("ths_adjustment_nv_fund",O$3,$A569))</x:f>
        <x:v>#NAME?</x:v>
      </x:c>
      <x:c r="P569" t="e">
        <x:f>IF($A569="","",[1]!thsiFinD("ths_adjustment_nv_fund",P$3,$A569))</x:f>
        <x:v>#NAME?</x:v>
      </x:c>
      <x:c r="Q569" t="e">
        <x:f>IF($A569="","",[1]!thsiFinD("ths_adjustment_nv_fund",Q$3,$A569))</x:f>
        <x:v>#NAME?</x:v>
      </x:c>
      <x:c r="R569" t="e">
        <x:f>IF($A569="","",[1]!thsiFinD("ths_adjustment_nv_fund",R$3,$A569))</x:f>
        <x:v>#NAME?</x:v>
      </x:c>
      <x:c r="S569" t="e">
        <x:f>IF($A569="","",[1]!thsiFinD("ths_adjustment_nv_fund",S$3,$A569))</x:f>
        <x:v>#NAME?</x:v>
      </x:c>
      <x:c r="T569" t="e">
        <x:f>IF($A569="","",[1]!thsiFinD("ths_adjustment_nv_fund",T$3,$A569))</x:f>
        <x:v>#NAME?</x:v>
      </x:c>
      <x:c r="U569" t="e">
        <x:f>IF($A569="","",[1]!thsiFinD("ths_adjustment_nv_fund",U$3,$A569))</x:f>
        <x:v>#NAME?</x:v>
      </x:c>
      <x:c r="V569" t="e">
        <x:f>IF($A569="","",[1]!thsiFinD("ths_adjustment_nv_fund",V$3,$A569))</x:f>
        <x:v>#NAME?</x:v>
      </x:c>
      <x:c r="W569" t="e">
        <x:f>IF($A569="","",[1]!thsiFinD("ths_adjustment_nv_fund",W$3,$A569))</x:f>
        <x:v>#NAME?</x:v>
      </x:c>
      <x:c r="X569" t="e">
        <x:f>IF($A569="","",[1]!thsiFinD("ths_adjustment_nv_fund",X$3,$A569))</x:f>
        <x:v>#NAME?</x:v>
      </x:c>
      <x:c r="Y569" t="e">
        <x:f>IF($A569="","",[1]!thsiFinD("ths_adjustment_nv_fund",Y$3,$A569))</x:f>
        <x:v>#NAME?</x:v>
      </x:c>
    </x:row>
    <x:row r="570">
      <x:c r="B570" t="e">
        <x:f>IF($A570="","",[1]!thsiFinD("ths_adjustment_nv_fund",B$3,$A570))</x:f>
        <x:v>#NAME?</x:v>
      </x:c>
      <x:c r="C570" t="e">
        <x:f>IF($A570="","",[1]!thsiFinD("ths_adjustment_nv_fund",C$3,$A570))</x:f>
        <x:v>#NAME?</x:v>
      </x:c>
      <x:c r="D570" t="e">
        <x:f>IF($A570="","",[1]!thsiFinD("ths_adjustment_nv_fund",D$3,$A570))</x:f>
        <x:v>#NAME?</x:v>
      </x:c>
      <x:c r="E570" t="e">
        <x:f>IF($A570="","",[1]!thsiFinD("ths_adjustment_nv_fund",E$3,$A570))</x:f>
        <x:v>#NAME?</x:v>
      </x:c>
      <x:c r="F570" t="e">
        <x:f>IF($A570="","",[1]!thsiFinD("ths_adjustment_nv_fund",F$3,$A570))</x:f>
        <x:v>#NAME?</x:v>
      </x:c>
      <x:c r="G570" t="e">
        <x:f>IF($A570="","",[1]!thsiFinD("ths_adjustment_nv_fund",G$3,$A570))</x:f>
        <x:v>#NAME?</x:v>
      </x:c>
      <x:c r="H570" t="e">
        <x:f>IF($A570="","",[1]!thsiFinD("ths_adjustment_nv_fund",H$3,$A570))</x:f>
        <x:v>#NAME?</x:v>
      </x:c>
      <x:c r="I570" t="e">
        <x:f>IF($A570="","",[1]!thsiFinD("ths_adjustment_nv_fund",I$3,$A570))</x:f>
        <x:v>#NAME?</x:v>
      </x:c>
      <x:c r="J570" t="e">
        <x:f>IF($A570="","",[1]!thsiFinD("ths_adjustment_nv_fund",J$3,$A570))</x:f>
        <x:v>#NAME?</x:v>
      </x:c>
      <x:c r="K570" t="e">
        <x:f>IF($A570="","",[1]!thsiFinD("ths_adjustment_nv_fund",K$3,$A570))</x:f>
        <x:v>#NAME?</x:v>
      </x:c>
      <x:c r="L570" t="e">
        <x:f>IF($A570="","",[1]!thsiFinD("ths_adjustment_nv_fund",L$3,$A570))</x:f>
        <x:v>#NAME?</x:v>
      </x:c>
      <x:c r="M570" t="e">
        <x:f>IF($A570="","",[1]!thsiFinD("ths_adjustment_nv_fund",M$3,$A570))</x:f>
        <x:v>#NAME?</x:v>
      </x:c>
      <x:c r="N570" t="e">
        <x:f>IF($A570="","",[1]!thsiFinD("ths_adjustment_nv_fund",N$3,$A570))</x:f>
        <x:v>#NAME?</x:v>
      </x:c>
      <x:c r="O570" t="e">
        <x:f>IF($A570="","",[1]!thsiFinD("ths_adjustment_nv_fund",O$3,$A570))</x:f>
        <x:v>#NAME?</x:v>
      </x:c>
      <x:c r="P570" t="e">
        <x:f>IF($A570="","",[1]!thsiFinD("ths_adjustment_nv_fund",P$3,$A570))</x:f>
        <x:v>#NAME?</x:v>
      </x:c>
      <x:c r="Q570" t="e">
        <x:f>IF($A570="","",[1]!thsiFinD("ths_adjustment_nv_fund",Q$3,$A570))</x:f>
        <x:v>#NAME?</x:v>
      </x:c>
      <x:c r="R570" t="e">
        <x:f>IF($A570="","",[1]!thsiFinD("ths_adjustment_nv_fund",R$3,$A570))</x:f>
        <x:v>#NAME?</x:v>
      </x:c>
      <x:c r="S570" t="e">
        <x:f>IF($A570="","",[1]!thsiFinD("ths_adjustment_nv_fund",S$3,$A570))</x:f>
        <x:v>#NAME?</x:v>
      </x:c>
      <x:c r="T570" t="e">
        <x:f>IF($A570="","",[1]!thsiFinD("ths_adjustment_nv_fund",T$3,$A570))</x:f>
        <x:v>#NAME?</x:v>
      </x:c>
      <x:c r="U570" t="e">
        <x:f>IF($A570="","",[1]!thsiFinD("ths_adjustment_nv_fund",U$3,$A570))</x:f>
        <x:v>#NAME?</x:v>
      </x:c>
      <x:c r="V570" t="e">
        <x:f>IF($A570="","",[1]!thsiFinD("ths_adjustment_nv_fund",V$3,$A570))</x:f>
        <x:v>#NAME?</x:v>
      </x:c>
      <x:c r="W570" t="e">
        <x:f>IF($A570="","",[1]!thsiFinD("ths_adjustment_nv_fund",W$3,$A570))</x:f>
        <x:v>#NAME?</x:v>
      </x:c>
      <x:c r="X570" t="e">
        <x:f>IF($A570="","",[1]!thsiFinD("ths_adjustment_nv_fund",X$3,$A570))</x:f>
        <x:v>#NAME?</x:v>
      </x:c>
      <x:c r="Y570" t="e">
        <x:f>IF($A570="","",[1]!thsiFinD("ths_adjustment_nv_fund",Y$3,$A570))</x:f>
        <x:v>#NAME?</x:v>
      </x:c>
    </x:row>
    <x:row r="571">
      <x:c r="B571" t="e">
        <x:f>IF($A571="","",[1]!thsiFinD("ths_adjustment_nv_fund",B$3,$A571))</x:f>
        <x:v>#NAME?</x:v>
      </x:c>
      <x:c r="C571" t="e">
        <x:f>IF($A571="","",[1]!thsiFinD("ths_adjustment_nv_fund",C$3,$A571))</x:f>
        <x:v>#NAME?</x:v>
      </x:c>
      <x:c r="D571" t="e">
        <x:f>IF($A571="","",[1]!thsiFinD("ths_adjustment_nv_fund",D$3,$A571))</x:f>
        <x:v>#NAME?</x:v>
      </x:c>
      <x:c r="E571" t="e">
        <x:f>IF($A571="","",[1]!thsiFinD("ths_adjustment_nv_fund",E$3,$A571))</x:f>
        <x:v>#NAME?</x:v>
      </x:c>
      <x:c r="F571" t="e">
        <x:f>IF($A571="","",[1]!thsiFinD("ths_adjustment_nv_fund",F$3,$A571))</x:f>
        <x:v>#NAME?</x:v>
      </x:c>
      <x:c r="G571" t="e">
        <x:f>IF($A571="","",[1]!thsiFinD("ths_adjustment_nv_fund",G$3,$A571))</x:f>
        <x:v>#NAME?</x:v>
      </x:c>
      <x:c r="H571" t="e">
        <x:f>IF($A571="","",[1]!thsiFinD("ths_adjustment_nv_fund",H$3,$A571))</x:f>
        <x:v>#NAME?</x:v>
      </x:c>
      <x:c r="I571" t="e">
        <x:f>IF($A571="","",[1]!thsiFinD("ths_adjustment_nv_fund",I$3,$A571))</x:f>
        <x:v>#NAME?</x:v>
      </x:c>
      <x:c r="J571" t="e">
        <x:f>IF($A571="","",[1]!thsiFinD("ths_adjustment_nv_fund",J$3,$A571))</x:f>
        <x:v>#NAME?</x:v>
      </x:c>
      <x:c r="K571" t="e">
        <x:f>IF($A571="","",[1]!thsiFinD("ths_adjustment_nv_fund",K$3,$A571))</x:f>
        <x:v>#NAME?</x:v>
      </x:c>
      <x:c r="L571" t="e">
        <x:f>IF($A571="","",[1]!thsiFinD("ths_adjustment_nv_fund",L$3,$A571))</x:f>
        <x:v>#NAME?</x:v>
      </x:c>
      <x:c r="M571" t="e">
        <x:f>IF($A571="","",[1]!thsiFinD("ths_adjustment_nv_fund",M$3,$A571))</x:f>
        <x:v>#NAME?</x:v>
      </x:c>
      <x:c r="N571" t="e">
        <x:f>IF($A571="","",[1]!thsiFinD("ths_adjustment_nv_fund",N$3,$A571))</x:f>
        <x:v>#NAME?</x:v>
      </x:c>
      <x:c r="O571" t="e">
        <x:f>IF($A571="","",[1]!thsiFinD("ths_adjustment_nv_fund",O$3,$A571))</x:f>
        <x:v>#NAME?</x:v>
      </x:c>
      <x:c r="P571" t="e">
        <x:f>IF($A571="","",[1]!thsiFinD("ths_adjustment_nv_fund",P$3,$A571))</x:f>
        <x:v>#NAME?</x:v>
      </x:c>
      <x:c r="Q571" t="e">
        <x:f>IF($A571="","",[1]!thsiFinD("ths_adjustment_nv_fund",Q$3,$A571))</x:f>
        <x:v>#NAME?</x:v>
      </x:c>
      <x:c r="R571" t="e">
        <x:f>IF($A571="","",[1]!thsiFinD("ths_adjustment_nv_fund",R$3,$A571))</x:f>
        <x:v>#NAME?</x:v>
      </x:c>
      <x:c r="S571" t="e">
        <x:f>IF($A571="","",[1]!thsiFinD("ths_adjustment_nv_fund",S$3,$A571))</x:f>
        <x:v>#NAME?</x:v>
      </x:c>
      <x:c r="T571" t="e">
        <x:f>IF($A571="","",[1]!thsiFinD("ths_adjustment_nv_fund",T$3,$A571))</x:f>
        <x:v>#NAME?</x:v>
      </x:c>
      <x:c r="U571" t="e">
        <x:f>IF($A571="","",[1]!thsiFinD("ths_adjustment_nv_fund",U$3,$A571))</x:f>
        <x:v>#NAME?</x:v>
      </x:c>
      <x:c r="V571" t="e">
        <x:f>IF($A571="","",[1]!thsiFinD("ths_adjustment_nv_fund",V$3,$A571))</x:f>
        <x:v>#NAME?</x:v>
      </x:c>
      <x:c r="W571" t="e">
        <x:f>IF($A571="","",[1]!thsiFinD("ths_adjustment_nv_fund",W$3,$A571))</x:f>
        <x:v>#NAME?</x:v>
      </x:c>
      <x:c r="X571" t="e">
        <x:f>IF($A571="","",[1]!thsiFinD("ths_adjustment_nv_fund",X$3,$A571))</x:f>
        <x:v>#NAME?</x:v>
      </x:c>
      <x:c r="Y571" t="e">
        <x:f>IF($A571="","",[1]!thsiFinD("ths_adjustment_nv_fund",Y$3,$A571))</x:f>
        <x:v>#NAME?</x:v>
      </x:c>
    </x:row>
    <x:row r="572">
      <x:c r="B572" t="e">
        <x:f>IF($A572="","",[1]!thsiFinD("ths_adjustment_nv_fund",B$3,$A572))</x:f>
        <x:v>#NAME?</x:v>
      </x:c>
      <x:c r="C572" t="e">
        <x:f>IF($A572="","",[1]!thsiFinD("ths_adjustment_nv_fund",C$3,$A572))</x:f>
        <x:v>#NAME?</x:v>
      </x:c>
      <x:c r="D572" t="e">
        <x:f>IF($A572="","",[1]!thsiFinD("ths_adjustment_nv_fund",D$3,$A572))</x:f>
        <x:v>#NAME?</x:v>
      </x:c>
      <x:c r="E572" t="e">
        <x:f>IF($A572="","",[1]!thsiFinD("ths_adjustment_nv_fund",E$3,$A572))</x:f>
        <x:v>#NAME?</x:v>
      </x:c>
      <x:c r="F572" t="e">
        <x:f>IF($A572="","",[1]!thsiFinD("ths_adjustment_nv_fund",F$3,$A572))</x:f>
        <x:v>#NAME?</x:v>
      </x:c>
      <x:c r="G572" t="e">
        <x:f>IF($A572="","",[1]!thsiFinD("ths_adjustment_nv_fund",G$3,$A572))</x:f>
        <x:v>#NAME?</x:v>
      </x:c>
      <x:c r="H572" t="e">
        <x:f>IF($A572="","",[1]!thsiFinD("ths_adjustment_nv_fund",H$3,$A572))</x:f>
        <x:v>#NAME?</x:v>
      </x:c>
      <x:c r="I572" t="e">
        <x:f>IF($A572="","",[1]!thsiFinD("ths_adjustment_nv_fund",I$3,$A572))</x:f>
        <x:v>#NAME?</x:v>
      </x:c>
      <x:c r="J572" t="e">
        <x:f>IF($A572="","",[1]!thsiFinD("ths_adjustment_nv_fund",J$3,$A572))</x:f>
        <x:v>#NAME?</x:v>
      </x:c>
      <x:c r="K572" t="e">
        <x:f>IF($A572="","",[1]!thsiFinD("ths_adjustment_nv_fund",K$3,$A572))</x:f>
        <x:v>#NAME?</x:v>
      </x:c>
      <x:c r="L572" t="e">
        <x:f>IF($A572="","",[1]!thsiFinD("ths_adjustment_nv_fund",L$3,$A572))</x:f>
        <x:v>#NAME?</x:v>
      </x:c>
      <x:c r="M572" t="e">
        <x:f>IF($A572="","",[1]!thsiFinD("ths_adjustment_nv_fund",M$3,$A572))</x:f>
        <x:v>#NAME?</x:v>
      </x:c>
      <x:c r="N572" t="e">
        <x:f>IF($A572="","",[1]!thsiFinD("ths_adjustment_nv_fund",N$3,$A572))</x:f>
        <x:v>#NAME?</x:v>
      </x:c>
      <x:c r="O572" t="e">
        <x:f>IF($A572="","",[1]!thsiFinD("ths_adjustment_nv_fund",O$3,$A572))</x:f>
        <x:v>#NAME?</x:v>
      </x:c>
      <x:c r="P572" t="e">
        <x:f>IF($A572="","",[1]!thsiFinD("ths_adjustment_nv_fund",P$3,$A572))</x:f>
        <x:v>#NAME?</x:v>
      </x:c>
      <x:c r="Q572" t="e">
        <x:f>IF($A572="","",[1]!thsiFinD("ths_adjustment_nv_fund",Q$3,$A572))</x:f>
        <x:v>#NAME?</x:v>
      </x:c>
      <x:c r="R572" t="e">
        <x:f>IF($A572="","",[1]!thsiFinD("ths_adjustment_nv_fund",R$3,$A572))</x:f>
        <x:v>#NAME?</x:v>
      </x:c>
      <x:c r="S572" t="e">
        <x:f>IF($A572="","",[1]!thsiFinD("ths_adjustment_nv_fund",S$3,$A572))</x:f>
        <x:v>#NAME?</x:v>
      </x:c>
      <x:c r="T572" t="e">
        <x:f>IF($A572="","",[1]!thsiFinD("ths_adjustment_nv_fund",T$3,$A572))</x:f>
        <x:v>#NAME?</x:v>
      </x:c>
      <x:c r="U572" t="e">
        <x:f>IF($A572="","",[1]!thsiFinD("ths_adjustment_nv_fund",U$3,$A572))</x:f>
        <x:v>#NAME?</x:v>
      </x:c>
      <x:c r="V572" t="e">
        <x:f>IF($A572="","",[1]!thsiFinD("ths_adjustment_nv_fund",V$3,$A572))</x:f>
        <x:v>#NAME?</x:v>
      </x:c>
      <x:c r="W572" t="e">
        <x:f>IF($A572="","",[1]!thsiFinD("ths_adjustment_nv_fund",W$3,$A572))</x:f>
        <x:v>#NAME?</x:v>
      </x:c>
      <x:c r="X572" t="e">
        <x:f>IF($A572="","",[1]!thsiFinD("ths_adjustment_nv_fund",X$3,$A572))</x:f>
        <x:v>#NAME?</x:v>
      </x:c>
      <x:c r="Y572" t="e">
        <x:f>IF($A572="","",[1]!thsiFinD("ths_adjustment_nv_fund",Y$3,$A572))</x:f>
        <x:v>#NAME?</x:v>
      </x:c>
    </x:row>
    <x:row r="573">
      <x:c r="B573" t="e">
        <x:f>IF($A573="","",[1]!thsiFinD("ths_adjustment_nv_fund",B$3,$A573))</x:f>
        <x:v>#NAME?</x:v>
      </x:c>
      <x:c r="C573" t="e">
        <x:f>IF($A573="","",[1]!thsiFinD("ths_adjustment_nv_fund",C$3,$A573))</x:f>
        <x:v>#NAME?</x:v>
      </x:c>
      <x:c r="D573" t="e">
        <x:f>IF($A573="","",[1]!thsiFinD("ths_adjustment_nv_fund",D$3,$A573))</x:f>
        <x:v>#NAME?</x:v>
      </x:c>
      <x:c r="E573" t="e">
        <x:f>IF($A573="","",[1]!thsiFinD("ths_adjustment_nv_fund",E$3,$A573))</x:f>
        <x:v>#NAME?</x:v>
      </x:c>
      <x:c r="F573" t="e">
        <x:f>IF($A573="","",[1]!thsiFinD("ths_adjustment_nv_fund",F$3,$A573))</x:f>
        <x:v>#NAME?</x:v>
      </x:c>
      <x:c r="G573" t="e">
        <x:f>IF($A573="","",[1]!thsiFinD("ths_adjustment_nv_fund",G$3,$A573))</x:f>
        <x:v>#NAME?</x:v>
      </x:c>
      <x:c r="H573" t="e">
        <x:f>IF($A573="","",[1]!thsiFinD("ths_adjustment_nv_fund",H$3,$A573))</x:f>
        <x:v>#NAME?</x:v>
      </x:c>
      <x:c r="I573" t="e">
        <x:f>IF($A573="","",[1]!thsiFinD("ths_adjustment_nv_fund",I$3,$A573))</x:f>
        <x:v>#NAME?</x:v>
      </x:c>
      <x:c r="J573" t="e">
        <x:f>IF($A573="","",[1]!thsiFinD("ths_adjustment_nv_fund",J$3,$A573))</x:f>
        <x:v>#NAME?</x:v>
      </x:c>
      <x:c r="K573" t="e">
        <x:f>IF($A573="","",[1]!thsiFinD("ths_adjustment_nv_fund",K$3,$A573))</x:f>
        <x:v>#NAME?</x:v>
      </x:c>
      <x:c r="L573" t="e">
        <x:f>IF($A573="","",[1]!thsiFinD("ths_adjustment_nv_fund",L$3,$A573))</x:f>
        <x:v>#NAME?</x:v>
      </x:c>
      <x:c r="M573" t="e">
        <x:f>IF($A573="","",[1]!thsiFinD("ths_adjustment_nv_fund",M$3,$A573))</x:f>
        <x:v>#NAME?</x:v>
      </x:c>
      <x:c r="N573" t="e">
        <x:f>IF($A573="","",[1]!thsiFinD("ths_adjustment_nv_fund",N$3,$A573))</x:f>
        <x:v>#NAME?</x:v>
      </x:c>
      <x:c r="O573" t="e">
        <x:f>IF($A573="","",[1]!thsiFinD("ths_adjustment_nv_fund",O$3,$A573))</x:f>
        <x:v>#NAME?</x:v>
      </x:c>
      <x:c r="P573" t="e">
        <x:f>IF($A573="","",[1]!thsiFinD("ths_adjustment_nv_fund",P$3,$A573))</x:f>
        <x:v>#NAME?</x:v>
      </x:c>
      <x:c r="Q573" t="e">
        <x:f>IF($A573="","",[1]!thsiFinD("ths_adjustment_nv_fund",Q$3,$A573))</x:f>
        <x:v>#NAME?</x:v>
      </x:c>
      <x:c r="R573" t="e">
        <x:f>IF($A573="","",[1]!thsiFinD("ths_adjustment_nv_fund",R$3,$A573))</x:f>
        <x:v>#NAME?</x:v>
      </x:c>
      <x:c r="S573" t="e">
        <x:f>IF($A573="","",[1]!thsiFinD("ths_adjustment_nv_fund",S$3,$A573))</x:f>
        <x:v>#NAME?</x:v>
      </x:c>
      <x:c r="T573" t="e">
        <x:f>IF($A573="","",[1]!thsiFinD("ths_adjustment_nv_fund",T$3,$A573))</x:f>
        <x:v>#NAME?</x:v>
      </x:c>
      <x:c r="U573" t="e">
        <x:f>IF($A573="","",[1]!thsiFinD("ths_adjustment_nv_fund",U$3,$A573))</x:f>
        <x:v>#NAME?</x:v>
      </x:c>
      <x:c r="V573" t="e">
        <x:f>IF($A573="","",[1]!thsiFinD("ths_adjustment_nv_fund",V$3,$A573))</x:f>
        <x:v>#NAME?</x:v>
      </x:c>
      <x:c r="W573" t="e">
        <x:f>IF($A573="","",[1]!thsiFinD("ths_adjustment_nv_fund",W$3,$A573))</x:f>
        <x:v>#NAME?</x:v>
      </x:c>
      <x:c r="X573" t="e">
        <x:f>IF($A573="","",[1]!thsiFinD("ths_adjustment_nv_fund",X$3,$A573))</x:f>
        <x:v>#NAME?</x:v>
      </x:c>
      <x:c r="Y573" t="e">
        <x:f>IF($A573="","",[1]!thsiFinD("ths_adjustment_nv_fund",Y$3,$A573))</x:f>
        <x:v>#NAME?</x:v>
      </x:c>
    </x:row>
    <x:row r="574">
      <x:c r="B574" t="e">
        <x:f>IF($A574="","",[1]!thsiFinD("ths_adjustment_nv_fund",B$3,$A574))</x:f>
        <x:v>#NAME?</x:v>
      </x:c>
      <x:c r="C574" t="e">
        <x:f>IF($A574="","",[1]!thsiFinD("ths_adjustment_nv_fund",C$3,$A574))</x:f>
        <x:v>#NAME?</x:v>
      </x:c>
      <x:c r="D574" t="e">
        <x:f>IF($A574="","",[1]!thsiFinD("ths_adjustment_nv_fund",D$3,$A574))</x:f>
        <x:v>#NAME?</x:v>
      </x:c>
      <x:c r="E574" t="e">
        <x:f>IF($A574="","",[1]!thsiFinD("ths_adjustment_nv_fund",E$3,$A574))</x:f>
        <x:v>#NAME?</x:v>
      </x:c>
      <x:c r="F574" t="e">
        <x:f>IF($A574="","",[1]!thsiFinD("ths_adjustment_nv_fund",F$3,$A574))</x:f>
        <x:v>#NAME?</x:v>
      </x:c>
      <x:c r="G574" t="e">
        <x:f>IF($A574="","",[1]!thsiFinD("ths_adjustment_nv_fund",G$3,$A574))</x:f>
        <x:v>#NAME?</x:v>
      </x:c>
      <x:c r="H574" t="e">
        <x:f>IF($A574="","",[1]!thsiFinD("ths_adjustment_nv_fund",H$3,$A574))</x:f>
        <x:v>#NAME?</x:v>
      </x:c>
      <x:c r="I574" t="e">
        <x:f>IF($A574="","",[1]!thsiFinD("ths_adjustment_nv_fund",I$3,$A574))</x:f>
        <x:v>#NAME?</x:v>
      </x:c>
      <x:c r="J574" t="e">
        <x:f>IF($A574="","",[1]!thsiFinD("ths_adjustment_nv_fund",J$3,$A574))</x:f>
        <x:v>#NAME?</x:v>
      </x:c>
      <x:c r="K574" t="e">
        <x:f>IF($A574="","",[1]!thsiFinD("ths_adjustment_nv_fund",K$3,$A574))</x:f>
        <x:v>#NAME?</x:v>
      </x:c>
      <x:c r="L574" t="e">
        <x:f>IF($A574="","",[1]!thsiFinD("ths_adjustment_nv_fund",L$3,$A574))</x:f>
        <x:v>#NAME?</x:v>
      </x:c>
      <x:c r="M574" t="e">
        <x:f>IF($A574="","",[1]!thsiFinD("ths_adjustment_nv_fund",M$3,$A574))</x:f>
        <x:v>#NAME?</x:v>
      </x:c>
      <x:c r="N574" t="e">
        <x:f>IF($A574="","",[1]!thsiFinD("ths_adjustment_nv_fund",N$3,$A574))</x:f>
        <x:v>#NAME?</x:v>
      </x:c>
      <x:c r="O574" t="e">
        <x:f>IF($A574="","",[1]!thsiFinD("ths_adjustment_nv_fund",O$3,$A574))</x:f>
        <x:v>#NAME?</x:v>
      </x:c>
      <x:c r="P574" t="e">
        <x:f>IF($A574="","",[1]!thsiFinD("ths_adjustment_nv_fund",P$3,$A574))</x:f>
        <x:v>#NAME?</x:v>
      </x:c>
      <x:c r="Q574" t="e">
        <x:f>IF($A574="","",[1]!thsiFinD("ths_adjustment_nv_fund",Q$3,$A574))</x:f>
        <x:v>#NAME?</x:v>
      </x:c>
      <x:c r="R574" t="e">
        <x:f>IF($A574="","",[1]!thsiFinD("ths_adjustment_nv_fund",R$3,$A574))</x:f>
        <x:v>#NAME?</x:v>
      </x:c>
      <x:c r="S574" t="e">
        <x:f>IF($A574="","",[1]!thsiFinD("ths_adjustment_nv_fund",S$3,$A574))</x:f>
        <x:v>#NAME?</x:v>
      </x:c>
      <x:c r="T574" t="e">
        <x:f>IF($A574="","",[1]!thsiFinD("ths_adjustment_nv_fund",T$3,$A574))</x:f>
        <x:v>#NAME?</x:v>
      </x:c>
      <x:c r="U574" t="e">
        <x:f>IF($A574="","",[1]!thsiFinD("ths_adjustment_nv_fund",U$3,$A574))</x:f>
        <x:v>#NAME?</x:v>
      </x:c>
      <x:c r="V574" t="e">
        <x:f>IF($A574="","",[1]!thsiFinD("ths_adjustment_nv_fund",V$3,$A574))</x:f>
        <x:v>#NAME?</x:v>
      </x:c>
      <x:c r="W574" t="e">
        <x:f>IF($A574="","",[1]!thsiFinD("ths_adjustment_nv_fund",W$3,$A574))</x:f>
        <x:v>#NAME?</x:v>
      </x:c>
      <x:c r="X574" t="e">
        <x:f>IF($A574="","",[1]!thsiFinD("ths_adjustment_nv_fund",X$3,$A574))</x:f>
        <x:v>#NAME?</x:v>
      </x:c>
      <x:c r="Y574" t="e">
        <x:f>IF($A574="","",[1]!thsiFinD("ths_adjustment_nv_fund",Y$3,$A574))</x:f>
        <x:v>#NAME?</x:v>
      </x:c>
    </x:row>
    <x:row r="575">
      <x:c r="B575" t="e">
        <x:f>IF($A575="","",[1]!thsiFinD("ths_adjustment_nv_fund",B$3,$A575))</x:f>
        <x:v>#NAME?</x:v>
      </x:c>
      <x:c r="C575" t="e">
        <x:f>IF($A575="","",[1]!thsiFinD("ths_adjustment_nv_fund",C$3,$A575))</x:f>
        <x:v>#NAME?</x:v>
      </x:c>
      <x:c r="D575" t="e">
        <x:f>IF($A575="","",[1]!thsiFinD("ths_adjustment_nv_fund",D$3,$A575))</x:f>
        <x:v>#NAME?</x:v>
      </x:c>
      <x:c r="E575" t="e">
        <x:f>IF($A575="","",[1]!thsiFinD("ths_adjustment_nv_fund",E$3,$A575))</x:f>
        <x:v>#NAME?</x:v>
      </x:c>
      <x:c r="F575" t="e">
        <x:f>IF($A575="","",[1]!thsiFinD("ths_adjustment_nv_fund",F$3,$A575))</x:f>
        <x:v>#NAME?</x:v>
      </x:c>
      <x:c r="G575" t="e">
        <x:f>IF($A575="","",[1]!thsiFinD("ths_adjustment_nv_fund",G$3,$A575))</x:f>
        <x:v>#NAME?</x:v>
      </x:c>
      <x:c r="H575" t="e">
        <x:f>IF($A575="","",[1]!thsiFinD("ths_adjustment_nv_fund",H$3,$A575))</x:f>
        <x:v>#NAME?</x:v>
      </x:c>
      <x:c r="I575" t="e">
        <x:f>IF($A575="","",[1]!thsiFinD("ths_adjustment_nv_fund",I$3,$A575))</x:f>
        <x:v>#NAME?</x:v>
      </x:c>
      <x:c r="J575" t="e">
        <x:f>IF($A575="","",[1]!thsiFinD("ths_adjustment_nv_fund",J$3,$A575))</x:f>
        <x:v>#NAME?</x:v>
      </x:c>
      <x:c r="K575" t="e">
        <x:f>IF($A575="","",[1]!thsiFinD("ths_adjustment_nv_fund",K$3,$A575))</x:f>
        <x:v>#NAME?</x:v>
      </x:c>
      <x:c r="L575" t="e">
        <x:f>IF($A575="","",[1]!thsiFinD("ths_adjustment_nv_fund",L$3,$A575))</x:f>
        <x:v>#NAME?</x:v>
      </x:c>
      <x:c r="M575" t="e">
        <x:f>IF($A575="","",[1]!thsiFinD("ths_adjustment_nv_fund",M$3,$A575))</x:f>
        <x:v>#NAME?</x:v>
      </x:c>
      <x:c r="N575" t="e">
        <x:f>IF($A575="","",[1]!thsiFinD("ths_adjustment_nv_fund",N$3,$A575))</x:f>
        <x:v>#NAME?</x:v>
      </x:c>
      <x:c r="O575" t="e">
        <x:f>IF($A575="","",[1]!thsiFinD("ths_adjustment_nv_fund",O$3,$A575))</x:f>
        <x:v>#NAME?</x:v>
      </x:c>
      <x:c r="P575" t="e">
        <x:f>IF($A575="","",[1]!thsiFinD("ths_adjustment_nv_fund",P$3,$A575))</x:f>
        <x:v>#NAME?</x:v>
      </x:c>
      <x:c r="Q575" t="e">
        <x:f>IF($A575="","",[1]!thsiFinD("ths_adjustment_nv_fund",Q$3,$A575))</x:f>
        <x:v>#NAME?</x:v>
      </x:c>
      <x:c r="R575" t="e">
        <x:f>IF($A575="","",[1]!thsiFinD("ths_adjustment_nv_fund",R$3,$A575))</x:f>
        <x:v>#NAME?</x:v>
      </x:c>
      <x:c r="S575" t="e">
        <x:f>IF($A575="","",[1]!thsiFinD("ths_adjustment_nv_fund",S$3,$A575))</x:f>
        <x:v>#NAME?</x:v>
      </x:c>
      <x:c r="T575" t="e">
        <x:f>IF($A575="","",[1]!thsiFinD("ths_adjustment_nv_fund",T$3,$A575))</x:f>
        <x:v>#NAME?</x:v>
      </x:c>
      <x:c r="U575" t="e">
        <x:f>IF($A575="","",[1]!thsiFinD("ths_adjustment_nv_fund",U$3,$A575))</x:f>
        <x:v>#NAME?</x:v>
      </x:c>
      <x:c r="V575" t="e">
        <x:f>IF($A575="","",[1]!thsiFinD("ths_adjustment_nv_fund",V$3,$A575))</x:f>
        <x:v>#NAME?</x:v>
      </x:c>
      <x:c r="W575" t="e">
        <x:f>IF($A575="","",[1]!thsiFinD("ths_adjustment_nv_fund",W$3,$A575))</x:f>
        <x:v>#NAME?</x:v>
      </x:c>
      <x:c r="X575" t="e">
        <x:f>IF($A575="","",[1]!thsiFinD("ths_adjustment_nv_fund",X$3,$A575))</x:f>
        <x:v>#NAME?</x:v>
      </x:c>
      <x:c r="Y575" t="e">
        <x:f>IF($A575="","",[1]!thsiFinD("ths_adjustment_nv_fund",Y$3,$A575))</x:f>
        <x:v>#NAME?</x:v>
      </x:c>
    </x:row>
    <x:row r="576">
      <x:c r="B576" t="e">
        <x:f>IF($A576="","",[1]!thsiFinD("ths_adjustment_nv_fund",B$3,$A576))</x:f>
        <x:v>#NAME?</x:v>
      </x:c>
      <x:c r="C576" t="e">
        <x:f>IF($A576="","",[1]!thsiFinD("ths_adjustment_nv_fund",C$3,$A576))</x:f>
        <x:v>#NAME?</x:v>
      </x:c>
      <x:c r="D576" t="e">
        <x:f>IF($A576="","",[1]!thsiFinD("ths_adjustment_nv_fund",D$3,$A576))</x:f>
        <x:v>#NAME?</x:v>
      </x:c>
      <x:c r="E576" t="e">
        <x:f>IF($A576="","",[1]!thsiFinD("ths_adjustment_nv_fund",E$3,$A576))</x:f>
        <x:v>#NAME?</x:v>
      </x:c>
      <x:c r="F576" t="e">
        <x:f>IF($A576="","",[1]!thsiFinD("ths_adjustment_nv_fund",F$3,$A576))</x:f>
        <x:v>#NAME?</x:v>
      </x:c>
      <x:c r="G576" t="e">
        <x:f>IF($A576="","",[1]!thsiFinD("ths_adjustment_nv_fund",G$3,$A576))</x:f>
        <x:v>#NAME?</x:v>
      </x:c>
      <x:c r="H576" t="e">
        <x:f>IF($A576="","",[1]!thsiFinD("ths_adjustment_nv_fund",H$3,$A576))</x:f>
        <x:v>#NAME?</x:v>
      </x:c>
      <x:c r="I576" t="e">
        <x:f>IF($A576="","",[1]!thsiFinD("ths_adjustment_nv_fund",I$3,$A576))</x:f>
        <x:v>#NAME?</x:v>
      </x:c>
      <x:c r="J576" t="e">
        <x:f>IF($A576="","",[1]!thsiFinD("ths_adjustment_nv_fund",J$3,$A576))</x:f>
        <x:v>#NAME?</x:v>
      </x:c>
      <x:c r="K576" t="e">
        <x:f>IF($A576="","",[1]!thsiFinD("ths_adjustment_nv_fund",K$3,$A576))</x:f>
        <x:v>#NAME?</x:v>
      </x:c>
      <x:c r="L576" t="e">
        <x:f>IF($A576="","",[1]!thsiFinD("ths_adjustment_nv_fund",L$3,$A576))</x:f>
        <x:v>#NAME?</x:v>
      </x:c>
      <x:c r="M576" t="e">
        <x:f>IF($A576="","",[1]!thsiFinD("ths_adjustment_nv_fund",M$3,$A576))</x:f>
        <x:v>#NAME?</x:v>
      </x:c>
      <x:c r="N576" t="e">
        <x:f>IF($A576="","",[1]!thsiFinD("ths_adjustment_nv_fund",N$3,$A576))</x:f>
        <x:v>#NAME?</x:v>
      </x:c>
      <x:c r="O576" t="e">
        <x:f>IF($A576="","",[1]!thsiFinD("ths_adjustment_nv_fund",O$3,$A576))</x:f>
        <x:v>#NAME?</x:v>
      </x:c>
      <x:c r="P576" t="e">
        <x:f>IF($A576="","",[1]!thsiFinD("ths_adjustment_nv_fund",P$3,$A576))</x:f>
        <x:v>#NAME?</x:v>
      </x:c>
      <x:c r="Q576" t="e">
        <x:f>IF($A576="","",[1]!thsiFinD("ths_adjustment_nv_fund",Q$3,$A576))</x:f>
        <x:v>#NAME?</x:v>
      </x:c>
      <x:c r="R576" t="e">
        <x:f>IF($A576="","",[1]!thsiFinD("ths_adjustment_nv_fund",R$3,$A576))</x:f>
        <x:v>#NAME?</x:v>
      </x:c>
      <x:c r="S576" t="e">
        <x:f>IF($A576="","",[1]!thsiFinD("ths_adjustment_nv_fund",S$3,$A576))</x:f>
        <x:v>#NAME?</x:v>
      </x:c>
      <x:c r="T576" t="e">
        <x:f>IF($A576="","",[1]!thsiFinD("ths_adjustment_nv_fund",T$3,$A576))</x:f>
        <x:v>#NAME?</x:v>
      </x:c>
      <x:c r="U576" t="e">
        <x:f>IF($A576="","",[1]!thsiFinD("ths_adjustment_nv_fund",U$3,$A576))</x:f>
        <x:v>#NAME?</x:v>
      </x:c>
      <x:c r="V576" t="e">
        <x:f>IF($A576="","",[1]!thsiFinD("ths_adjustment_nv_fund",V$3,$A576))</x:f>
        <x:v>#NAME?</x:v>
      </x:c>
      <x:c r="W576" t="e">
        <x:f>IF($A576="","",[1]!thsiFinD("ths_adjustment_nv_fund",W$3,$A576))</x:f>
        <x:v>#NAME?</x:v>
      </x:c>
      <x:c r="X576" t="e">
        <x:f>IF($A576="","",[1]!thsiFinD("ths_adjustment_nv_fund",X$3,$A576))</x:f>
        <x:v>#NAME?</x:v>
      </x:c>
      <x:c r="Y576" t="e">
        <x:f>IF($A576="","",[1]!thsiFinD("ths_adjustment_nv_fund",Y$3,$A576))</x:f>
        <x:v>#NAME?</x:v>
      </x:c>
    </x:row>
    <x:row r="577">
      <x:c r="B577" t="e">
        <x:f>IF($A577="","",[1]!thsiFinD("ths_adjustment_nv_fund",B$3,$A577))</x:f>
        <x:v>#NAME?</x:v>
      </x:c>
      <x:c r="C577" t="e">
        <x:f>IF($A577="","",[1]!thsiFinD("ths_adjustment_nv_fund",C$3,$A577))</x:f>
        <x:v>#NAME?</x:v>
      </x:c>
      <x:c r="D577" t="e">
        <x:f>IF($A577="","",[1]!thsiFinD("ths_adjustment_nv_fund",D$3,$A577))</x:f>
        <x:v>#NAME?</x:v>
      </x:c>
      <x:c r="E577" t="e">
        <x:f>IF($A577="","",[1]!thsiFinD("ths_adjustment_nv_fund",E$3,$A577))</x:f>
        <x:v>#NAME?</x:v>
      </x:c>
      <x:c r="F577" t="e">
        <x:f>IF($A577="","",[1]!thsiFinD("ths_adjustment_nv_fund",F$3,$A577))</x:f>
        <x:v>#NAME?</x:v>
      </x:c>
      <x:c r="G577" t="e">
        <x:f>IF($A577="","",[1]!thsiFinD("ths_adjustment_nv_fund",G$3,$A577))</x:f>
        <x:v>#NAME?</x:v>
      </x:c>
      <x:c r="H577" t="e">
        <x:f>IF($A577="","",[1]!thsiFinD("ths_adjustment_nv_fund",H$3,$A577))</x:f>
        <x:v>#NAME?</x:v>
      </x:c>
      <x:c r="I577" t="e">
        <x:f>IF($A577="","",[1]!thsiFinD("ths_adjustment_nv_fund",I$3,$A577))</x:f>
        <x:v>#NAME?</x:v>
      </x:c>
      <x:c r="J577" t="e">
        <x:f>IF($A577="","",[1]!thsiFinD("ths_adjustment_nv_fund",J$3,$A577))</x:f>
        <x:v>#NAME?</x:v>
      </x:c>
      <x:c r="K577" t="e">
        <x:f>IF($A577="","",[1]!thsiFinD("ths_adjustment_nv_fund",K$3,$A577))</x:f>
        <x:v>#NAME?</x:v>
      </x:c>
      <x:c r="L577" t="e">
        <x:f>IF($A577="","",[1]!thsiFinD("ths_adjustment_nv_fund",L$3,$A577))</x:f>
        <x:v>#NAME?</x:v>
      </x:c>
      <x:c r="M577" t="e">
        <x:f>IF($A577="","",[1]!thsiFinD("ths_adjustment_nv_fund",M$3,$A577))</x:f>
        <x:v>#NAME?</x:v>
      </x:c>
      <x:c r="N577" t="e">
        <x:f>IF($A577="","",[1]!thsiFinD("ths_adjustment_nv_fund",N$3,$A577))</x:f>
        <x:v>#NAME?</x:v>
      </x:c>
      <x:c r="O577" t="e">
        <x:f>IF($A577="","",[1]!thsiFinD("ths_adjustment_nv_fund",O$3,$A577))</x:f>
        <x:v>#NAME?</x:v>
      </x:c>
      <x:c r="P577" t="e">
        <x:f>IF($A577="","",[1]!thsiFinD("ths_adjustment_nv_fund",P$3,$A577))</x:f>
        <x:v>#NAME?</x:v>
      </x:c>
      <x:c r="Q577" t="e">
        <x:f>IF($A577="","",[1]!thsiFinD("ths_adjustment_nv_fund",Q$3,$A577))</x:f>
        <x:v>#NAME?</x:v>
      </x:c>
      <x:c r="R577" t="e">
        <x:f>IF($A577="","",[1]!thsiFinD("ths_adjustment_nv_fund",R$3,$A577))</x:f>
        <x:v>#NAME?</x:v>
      </x:c>
      <x:c r="S577" t="e">
        <x:f>IF($A577="","",[1]!thsiFinD("ths_adjustment_nv_fund",S$3,$A577))</x:f>
        <x:v>#NAME?</x:v>
      </x:c>
      <x:c r="T577" t="e">
        <x:f>IF($A577="","",[1]!thsiFinD("ths_adjustment_nv_fund",T$3,$A577))</x:f>
        <x:v>#NAME?</x:v>
      </x:c>
      <x:c r="U577" t="e">
        <x:f>IF($A577="","",[1]!thsiFinD("ths_adjustment_nv_fund",U$3,$A577))</x:f>
        <x:v>#NAME?</x:v>
      </x:c>
      <x:c r="V577" t="e">
        <x:f>IF($A577="","",[1]!thsiFinD("ths_adjustment_nv_fund",V$3,$A577))</x:f>
        <x:v>#NAME?</x:v>
      </x:c>
      <x:c r="W577" t="e">
        <x:f>IF($A577="","",[1]!thsiFinD("ths_adjustment_nv_fund",W$3,$A577))</x:f>
        <x:v>#NAME?</x:v>
      </x:c>
      <x:c r="X577" t="e">
        <x:f>IF($A577="","",[1]!thsiFinD("ths_adjustment_nv_fund",X$3,$A577))</x:f>
        <x:v>#NAME?</x:v>
      </x:c>
      <x:c r="Y577" t="e">
        <x:f>IF($A577="","",[1]!thsiFinD("ths_adjustment_nv_fund",Y$3,$A577))</x:f>
        <x:v>#NAME?</x:v>
      </x:c>
    </x:row>
    <x:row r="578">
      <x:c r="B578" t="e">
        <x:f>IF($A578="","",[1]!thsiFinD("ths_adjustment_nv_fund",B$3,$A578))</x:f>
        <x:v>#NAME?</x:v>
      </x:c>
      <x:c r="C578" t="e">
        <x:f>IF($A578="","",[1]!thsiFinD("ths_adjustment_nv_fund",C$3,$A578))</x:f>
        <x:v>#NAME?</x:v>
      </x:c>
      <x:c r="D578" t="e">
        <x:f>IF($A578="","",[1]!thsiFinD("ths_adjustment_nv_fund",D$3,$A578))</x:f>
        <x:v>#NAME?</x:v>
      </x:c>
      <x:c r="E578" t="e">
        <x:f>IF($A578="","",[1]!thsiFinD("ths_adjustment_nv_fund",E$3,$A578))</x:f>
        <x:v>#NAME?</x:v>
      </x:c>
      <x:c r="F578" t="e">
        <x:f>IF($A578="","",[1]!thsiFinD("ths_adjustment_nv_fund",F$3,$A578))</x:f>
        <x:v>#NAME?</x:v>
      </x:c>
      <x:c r="G578" t="e">
        <x:f>IF($A578="","",[1]!thsiFinD("ths_adjustment_nv_fund",G$3,$A578))</x:f>
        <x:v>#NAME?</x:v>
      </x:c>
      <x:c r="H578" t="e">
        <x:f>IF($A578="","",[1]!thsiFinD("ths_adjustment_nv_fund",H$3,$A578))</x:f>
        <x:v>#NAME?</x:v>
      </x:c>
      <x:c r="I578" t="e">
        <x:f>IF($A578="","",[1]!thsiFinD("ths_adjustment_nv_fund",I$3,$A578))</x:f>
        <x:v>#NAME?</x:v>
      </x:c>
      <x:c r="J578" t="e">
        <x:f>IF($A578="","",[1]!thsiFinD("ths_adjustment_nv_fund",J$3,$A578))</x:f>
        <x:v>#NAME?</x:v>
      </x:c>
      <x:c r="K578" t="e">
        <x:f>IF($A578="","",[1]!thsiFinD("ths_adjustment_nv_fund",K$3,$A578))</x:f>
        <x:v>#NAME?</x:v>
      </x:c>
      <x:c r="L578" t="e">
        <x:f>IF($A578="","",[1]!thsiFinD("ths_adjustment_nv_fund",L$3,$A578))</x:f>
        <x:v>#NAME?</x:v>
      </x:c>
      <x:c r="M578" t="e">
        <x:f>IF($A578="","",[1]!thsiFinD("ths_adjustment_nv_fund",M$3,$A578))</x:f>
        <x:v>#NAME?</x:v>
      </x:c>
      <x:c r="N578" t="e">
        <x:f>IF($A578="","",[1]!thsiFinD("ths_adjustment_nv_fund",N$3,$A578))</x:f>
        <x:v>#NAME?</x:v>
      </x:c>
      <x:c r="O578" t="e">
        <x:f>IF($A578="","",[1]!thsiFinD("ths_adjustment_nv_fund",O$3,$A578))</x:f>
        <x:v>#NAME?</x:v>
      </x:c>
      <x:c r="P578" t="e">
        <x:f>IF($A578="","",[1]!thsiFinD("ths_adjustment_nv_fund",P$3,$A578))</x:f>
        <x:v>#NAME?</x:v>
      </x:c>
      <x:c r="Q578" t="e">
        <x:f>IF($A578="","",[1]!thsiFinD("ths_adjustment_nv_fund",Q$3,$A578))</x:f>
        <x:v>#NAME?</x:v>
      </x:c>
      <x:c r="R578" t="e">
        <x:f>IF($A578="","",[1]!thsiFinD("ths_adjustment_nv_fund",R$3,$A578))</x:f>
        <x:v>#NAME?</x:v>
      </x:c>
      <x:c r="S578" t="e">
        <x:f>IF($A578="","",[1]!thsiFinD("ths_adjustment_nv_fund",S$3,$A578))</x:f>
        <x:v>#NAME?</x:v>
      </x:c>
      <x:c r="T578" t="e">
        <x:f>IF($A578="","",[1]!thsiFinD("ths_adjustment_nv_fund",T$3,$A578))</x:f>
        <x:v>#NAME?</x:v>
      </x:c>
      <x:c r="U578" t="e">
        <x:f>IF($A578="","",[1]!thsiFinD("ths_adjustment_nv_fund",U$3,$A578))</x:f>
        <x:v>#NAME?</x:v>
      </x:c>
      <x:c r="V578" t="e">
        <x:f>IF($A578="","",[1]!thsiFinD("ths_adjustment_nv_fund",V$3,$A578))</x:f>
        <x:v>#NAME?</x:v>
      </x:c>
      <x:c r="W578" t="e">
        <x:f>IF($A578="","",[1]!thsiFinD("ths_adjustment_nv_fund",W$3,$A578))</x:f>
        <x:v>#NAME?</x:v>
      </x:c>
      <x:c r="X578" t="e">
        <x:f>IF($A578="","",[1]!thsiFinD("ths_adjustment_nv_fund",X$3,$A578))</x:f>
        <x:v>#NAME?</x:v>
      </x:c>
      <x:c r="Y578" t="e">
        <x:f>IF($A578="","",[1]!thsiFinD("ths_adjustment_nv_fund",Y$3,$A578))</x:f>
        <x:v>#NAME?</x:v>
      </x:c>
    </x:row>
    <x:row r="579">
      <x:c r="B579" t="e">
        <x:f>IF($A579="","",[1]!thsiFinD("ths_adjustment_nv_fund",B$3,$A579))</x:f>
        <x:v>#NAME?</x:v>
      </x:c>
      <x:c r="C579" t="e">
        <x:f>IF($A579="","",[1]!thsiFinD("ths_adjustment_nv_fund",C$3,$A579))</x:f>
        <x:v>#NAME?</x:v>
      </x:c>
      <x:c r="D579" t="e">
        <x:f>IF($A579="","",[1]!thsiFinD("ths_adjustment_nv_fund",D$3,$A579))</x:f>
        <x:v>#NAME?</x:v>
      </x:c>
      <x:c r="E579" t="e">
        <x:f>IF($A579="","",[1]!thsiFinD("ths_adjustment_nv_fund",E$3,$A579))</x:f>
        <x:v>#NAME?</x:v>
      </x:c>
      <x:c r="F579" t="e">
        <x:f>IF($A579="","",[1]!thsiFinD("ths_adjustment_nv_fund",F$3,$A579))</x:f>
        <x:v>#NAME?</x:v>
      </x:c>
      <x:c r="G579" t="e">
        <x:f>IF($A579="","",[1]!thsiFinD("ths_adjustment_nv_fund",G$3,$A579))</x:f>
        <x:v>#NAME?</x:v>
      </x:c>
      <x:c r="H579" t="e">
        <x:f>IF($A579="","",[1]!thsiFinD("ths_adjustment_nv_fund",H$3,$A579))</x:f>
        <x:v>#NAME?</x:v>
      </x:c>
      <x:c r="I579" t="e">
        <x:f>IF($A579="","",[1]!thsiFinD("ths_adjustment_nv_fund",I$3,$A579))</x:f>
        <x:v>#NAME?</x:v>
      </x:c>
      <x:c r="J579" t="e">
        <x:f>IF($A579="","",[1]!thsiFinD("ths_adjustment_nv_fund",J$3,$A579))</x:f>
        <x:v>#NAME?</x:v>
      </x:c>
      <x:c r="K579" t="e">
        <x:f>IF($A579="","",[1]!thsiFinD("ths_adjustment_nv_fund",K$3,$A579))</x:f>
        <x:v>#NAME?</x:v>
      </x:c>
      <x:c r="L579" t="e">
        <x:f>IF($A579="","",[1]!thsiFinD("ths_adjustment_nv_fund",L$3,$A579))</x:f>
        <x:v>#NAME?</x:v>
      </x:c>
      <x:c r="M579" t="e">
        <x:f>IF($A579="","",[1]!thsiFinD("ths_adjustment_nv_fund",M$3,$A579))</x:f>
        <x:v>#NAME?</x:v>
      </x:c>
      <x:c r="N579" t="e">
        <x:f>IF($A579="","",[1]!thsiFinD("ths_adjustment_nv_fund",N$3,$A579))</x:f>
        <x:v>#NAME?</x:v>
      </x:c>
      <x:c r="O579" t="e">
        <x:f>IF($A579="","",[1]!thsiFinD("ths_adjustment_nv_fund",O$3,$A579))</x:f>
        <x:v>#NAME?</x:v>
      </x:c>
      <x:c r="P579" t="e">
        <x:f>IF($A579="","",[1]!thsiFinD("ths_adjustment_nv_fund",P$3,$A579))</x:f>
        <x:v>#NAME?</x:v>
      </x:c>
      <x:c r="Q579" t="e">
        <x:f>IF($A579="","",[1]!thsiFinD("ths_adjustment_nv_fund",Q$3,$A579))</x:f>
        <x:v>#NAME?</x:v>
      </x:c>
      <x:c r="R579" t="e">
        <x:f>IF($A579="","",[1]!thsiFinD("ths_adjustment_nv_fund",R$3,$A579))</x:f>
        <x:v>#NAME?</x:v>
      </x:c>
      <x:c r="S579" t="e">
        <x:f>IF($A579="","",[1]!thsiFinD("ths_adjustment_nv_fund",S$3,$A579))</x:f>
        <x:v>#NAME?</x:v>
      </x:c>
      <x:c r="T579" t="e">
        <x:f>IF($A579="","",[1]!thsiFinD("ths_adjustment_nv_fund",T$3,$A579))</x:f>
        <x:v>#NAME?</x:v>
      </x:c>
      <x:c r="U579" t="e">
        <x:f>IF($A579="","",[1]!thsiFinD("ths_adjustment_nv_fund",U$3,$A579))</x:f>
        <x:v>#NAME?</x:v>
      </x:c>
      <x:c r="V579" t="e">
        <x:f>IF($A579="","",[1]!thsiFinD("ths_adjustment_nv_fund",V$3,$A579))</x:f>
        <x:v>#NAME?</x:v>
      </x:c>
      <x:c r="W579" t="e">
        <x:f>IF($A579="","",[1]!thsiFinD("ths_adjustment_nv_fund",W$3,$A579))</x:f>
        <x:v>#NAME?</x:v>
      </x:c>
      <x:c r="X579" t="e">
        <x:f>IF($A579="","",[1]!thsiFinD("ths_adjustment_nv_fund",X$3,$A579))</x:f>
        <x:v>#NAME?</x:v>
      </x:c>
      <x:c r="Y579" t="e">
        <x:f>IF($A579="","",[1]!thsiFinD("ths_adjustment_nv_fund",Y$3,$A579))</x:f>
        <x:v>#NAME?</x:v>
      </x:c>
    </x:row>
    <x:row r="580">
      <x:c r="B580" t="e">
        <x:f>IF($A580="","",[1]!thsiFinD("ths_adjustment_nv_fund",B$3,$A580))</x:f>
        <x:v>#NAME?</x:v>
      </x:c>
      <x:c r="C580" t="e">
        <x:f>IF($A580="","",[1]!thsiFinD("ths_adjustment_nv_fund",C$3,$A580))</x:f>
        <x:v>#NAME?</x:v>
      </x:c>
      <x:c r="D580" t="e">
        <x:f>IF($A580="","",[1]!thsiFinD("ths_adjustment_nv_fund",D$3,$A580))</x:f>
        <x:v>#NAME?</x:v>
      </x:c>
      <x:c r="E580" t="e">
        <x:f>IF($A580="","",[1]!thsiFinD("ths_adjustment_nv_fund",E$3,$A580))</x:f>
        <x:v>#NAME?</x:v>
      </x:c>
      <x:c r="F580" t="e">
        <x:f>IF($A580="","",[1]!thsiFinD("ths_adjustment_nv_fund",F$3,$A580))</x:f>
        <x:v>#NAME?</x:v>
      </x:c>
      <x:c r="G580" t="e">
        <x:f>IF($A580="","",[1]!thsiFinD("ths_adjustment_nv_fund",G$3,$A580))</x:f>
        <x:v>#NAME?</x:v>
      </x:c>
      <x:c r="H580" t="e">
        <x:f>IF($A580="","",[1]!thsiFinD("ths_adjustment_nv_fund",H$3,$A580))</x:f>
        <x:v>#NAME?</x:v>
      </x:c>
      <x:c r="I580" t="e">
        <x:f>IF($A580="","",[1]!thsiFinD("ths_adjustment_nv_fund",I$3,$A580))</x:f>
        <x:v>#NAME?</x:v>
      </x:c>
      <x:c r="J580" t="e">
        <x:f>IF($A580="","",[1]!thsiFinD("ths_adjustment_nv_fund",J$3,$A580))</x:f>
        <x:v>#NAME?</x:v>
      </x:c>
      <x:c r="K580" t="e">
        <x:f>IF($A580="","",[1]!thsiFinD("ths_adjustment_nv_fund",K$3,$A580))</x:f>
        <x:v>#NAME?</x:v>
      </x:c>
      <x:c r="L580" t="e">
        <x:f>IF($A580="","",[1]!thsiFinD("ths_adjustment_nv_fund",L$3,$A580))</x:f>
        <x:v>#NAME?</x:v>
      </x:c>
      <x:c r="M580" t="e">
        <x:f>IF($A580="","",[1]!thsiFinD("ths_adjustment_nv_fund",M$3,$A580))</x:f>
        <x:v>#NAME?</x:v>
      </x:c>
      <x:c r="N580" t="e">
        <x:f>IF($A580="","",[1]!thsiFinD("ths_adjustment_nv_fund",N$3,$A580))</x:f>
        <x:v>#NAME?</x:v>
      </x:c>
      <x:c r="O580" t="e">
        <x:f>IF($A580="","",[1]!thsiFinD("ths_adjustment_nv_fund",O$3,$A580))</x:f>
        <x:v>#NAME?</x:v>
      </x:c>
      <x:c r="P580" t="e">
        <x:f>IF($A580="","",[1]!thsiFinD("ths_adjustment_nv_fund",P$3,$A580))</x:f>
        <x:v>#NAME?</x:v>
      </x:c>
      <x:c r="Q580" t="e">
        <x:f>IF($A580="","",[1]!thsiFinD("ths_adjustment_nv_fund",Q$3,$A580))</x:f>
        <x:v>#NAME?</x:v>
      </x:c>
      <x:c r="R580" t="e">
        <x:f>IF($A580="","",[1]!thsiFinD("ths_adjustment_nv_fund",R$3,$A580))</x:f>
        <x:v>#NAME?</x:v>
      </x:c>
      <x:c r="S580" t="e">
        <x:f>IF($A580="","",[1]!thsiFinD("ths_adjustment_nv_fund",S$3,$A580))</x:f>
        <x:v>#NAME?</x:v>
      </x:c>
      <x:c r="T580" t="e">
        <x:f>IF($A580="","",[1]!thsiFinD("ths_adjustment_nv_fund",T$3,$A580))</x:f>
        <x:v>#NAME?</x:v>
      </x:c>
      <x:c r="U580" t="e">
        <x:f>IF($A580="","",[1]!thsiFinD("ths_adjustment_nv_fund",U$3,$A580))</x:f>
        <x:v>#NAME?</x:v>
      </x:c>
      <x:c r="V580" t="e">
        <x:f>IF($A580="","",[1]!thsiFinD("ths_adjustment_nv_fund",V$3,$A580))</x:f>
        <x:v>#NAME?</x:v>
      </x:c>
      <x:c r="W580" t="e">
        <x:f>IF($A580="","",[1]!thsiFinD("ths_adjustment_nv_fund",W$3,$A580))</x:f>
        <x:v>#NAME?</x:v>
      </x:c>
      <x:c r="X580" t="e">
        <x:f>IF($A580="","",[1]!thsiFinD("ths_adjustment_nv_fund",X$3,$A580))</x:f>
        <x:v>#NAME?</x:v>
      </x:c>
      <x:c r="Y580" t="e">
        <x:f>IF($A580="","",[1]!thsiFinD("ths_adjustment_nv_fund",Y$3,$A580))</x:f>
        <x:v>#NAME?</x:v>
      </x:c>
    </x:row>
    <x:row r="581">
      <x:c r="B581" t="e">
        <x:f>IF($A581="","",[1]!thsiFinD("ths_adjustment_nv_fund",B$3,$A581))</x:f>
        <x:v>#NAME?</x:v>
      </x:c>
      <x:c r="C581" t="e">
        <x:f>IF($A581="","",[1]!thsiFinD("ths_adjustment_nv_fund",C$3,$A581))</x:f>
        <x:v>#NAME?</x:v>
      </x:c>
      <x:c r="D581" t="e">
        <x:f>IF($A581="","",[1]!thsiFinD("ths_adjustment_nv_fund",D$3,$A581))</x:f>
        <x:v>#NAME?</x:v>
      </x:c>
      <x:c r="E581" t="e">
        <x:f>IF($A581="","",[1]!thsiFinD("ths_adjustment_nv_fund",E$3,$A581))</x:f>
        <x:v>#NAME?</x:v>
      </x:c>
      <x:c r="F581" t="e">
        <x:f>IF($A581="","",[1]!thsiFinD("ths_adjustment_nv_fund",F$3,$A581))</x:f>
        <x:v>#NAME?</x:v>
      </x:c>
      <x:c r="G581" t="e">
        <x:f>IF($A581="","",[1]!thsiFinD("ths_adjustment_nv_fund",G$3,$A581))</x:f>
        <x:v>#NAME?</x:v>
      </x:c>
      <x:c r="H581" t="e">
        <x:f>IF($A581="","",[1]!thsiFinD("ths_adjustment_nv_fund",H$3,$A581))</x:f>
        <x:v>#NAME?</x:v>
      </x:c>
      <x:c r="I581" t="e">
        <x:f>IF($A581="","",[1]!thsiFinD("ths_adjustment_nv_fund",I$3,$A581))</x:f>
        <x:v>#NAME?</x:v>
      </x:c>
      <x:c r="J581" t="e">
        <x:f>IF($A581="","",[1]!thsiFinD("ths_adjustment_nv_fund",J$3,$A581))</x:f>
        <x:v>#NAME?</x:v>
      </x:c>
      <x:c r="K581" t="e">
        <x:f>IF($A581="","",[1]!thsiFinD("ths_adjustment_nv_fund",K$3,$A581))</x:f>
        <x:v>#NAME?</x:v>
      </x:c>
      <x:c r="L581" t="e">
        <x:f>IF($A581="","",[1]!thsiFinD("ths_adjustment_nv_fund",L$3,$A581))</x:f>
        <x:v>#NAME?</x:v>
      </x:c>
      <x:c r="M581" t="e">
        <x:f>IF($A581="","",[1]!thsiFinD("ths_adjustment_nv_fund",M$3,$A581))</x:f>
        <x:v>#NAME?</x:v>
      </x:c>
      <x:c r="N581" t="e">
        <x:f>IF($A581="","",[1]!thsiFinD("ths_adjustment_nv_fund",N$3,$A581))</x:f>
        <x:v>#NAME?</x:v>
      </x:c>
      <x:c r="O581" t="e">
        <x:f>IF($A581="","",[1]!thsiFinD("ths_adjustment_nv_fund",O$3,$A581))</x:f>
        <x:v>#NAME?</x:v>
      </x:c>
      <x:c r="P581" t="e">
        <x:f>IF($A581="","",[1]!thsiFinD("ths_adjustment_nv_fund",P$3,$A581))</x:f>
        <x:v>#NAME?</x:v>
      </x:c>
      <x:c r="Q581" t="e">
        <x:f>IF($A581="","",[1]!thsiFinD("ths_adjustment_nv_fund",Q$3,$A581))</x:f>
        <x:v>#NAME?</x:v>
      </x:c>
      <x:c r="R581" t="e">
        <x:f>IF($A581="","",[1]!thsiFinD("ths_adjustment_nv_fund",R$3,$A581))</x:f>
        <x:v>#NAME?</x:v>
      </x:c>
      <x:c r="S581" t="e">
        <x:f>IF($A581="","",[1]!thsiFinD("ths_adjustment_nv_fund",S$3,$A581))</x:f>
        <x:v>#NAME?</x:v>
      </x:c>
      <x:c r="T581" t="e">
        <x:f>IF($A581="","",[1]!thsiFinD("ths_adjustment_nv_fund",T$3,$A581))</x:f>
        <x:v>#NAME?</x:v>
      </x:c>
      <x:c r="U581" t="e">
        <x:f>IF($A581="","",[1]!thsiFinD("ths_adjustment_nv_fund",U$3,$A581))</x:f>
        <x:v>#NAME?</x:v>
      </x:c>
      <x:c r="V581" t="e">
        <x:f>IF($A581="","",[1]!thsiFinD("ths_adjustment_nv_fund",V$3,$A581))</x:f>
        <x:v>#NAME?</x:v>
      </x:c>
      <x:c r="W581" t="e">
        <x:f>IF($A581="","",[1]!thsiFinD("ths_adjustment_nv_fund",W$3,$A581))</x:f>
        <x:v>#NAME?</x:v>
      </x:c>
      <x:c r="X581" t="e">
        <x:f>IF($A581="","",[1]!thsiFinD("ths_adjustment_nv_fund",X$3,$A581))</x:f>
        <x:v>#NAME?</x:v>
      </x:c>
      <x:c r="Y581" t="e">
        <x:f>IF($A581="","",[1]!thsiFinD("ths_adjustment_nv_fund",Y$3,$A581))</x:f>
        <x:v>#NAME?</x:v>
      </x:c>
    </x:row>
    <x:row r="582">
      <x:c r="B582" t="e">
        <x:f>IF($A582="","",[1]!thsiFinD("ths_adjustment_nv_fund",B$3,$A582))</x:f>
        <x:v>#NAME?</x:v>
      </x:c>
      <x:c r="C582" t="e">
        <x:f>IF($A582="","",[1]!thsiFinD("ths_adjustment_nv_fund",C$3,$A582))</x:f>
        <x:v>#NAME?</x:v>
      </x:c>
      <x:c r="D582" t="e">
        <x:f>IF($A582="","",[1]!thsiFinD("ths_adjustment_nv_fund",D$3,$A582))</x:f>
        <x:v>#NAME?</x:v>
      </x:c>
      <x:c r="E582" t="e">
        <x:f>IF($A582="","",[1]!thsiFinD("ths_adjustment_nv_fund",E$3,$A582))</x:f>
        <x:v>#NAME?</x:v>
      </x:c>
      <x:c r="F582" t="e">
        <x:f>IF($A582="","",[1]!thsiFinD("ths_adjustment_nv_fund",F$3,$A582))</x:f>
        <x:v>#NAME?</x:v>
      </x:c>
      <x:c r="G582" t="e">
        <x:f>IF($A582="","",[1]!thsiFinD("ths_adjustment_nv_fund",G$3,$A582))</x:f>
        <x:v>#NAME?</x:v>
      </x:c>
      <x:c r="H582" t="e">
        <x:f>IF($A582="","",[1]!thsiFinD("ths_adjustment_nv_fund",H$3,$A582))</x:f>
        <x:v>#NAME?</x:v>
      </x:c>
      <x:c r="I582" t="e">
        <x:f>IF($A582="","",[1]!thsiFinD("ths_adjustment_nv_fund",I$3,$A582))</x:f>
        <x:v>#NAME?</x:v>
      </x:c>
      <x:c r="J582" t="e">
        <x:f>IF($A582="","",[1]!thsiFinD("ths_adjustment_nv_fund",J$3,$A582))</x:f>
        <x:v>#NAME?</x:v>
      </x:c>
      <x:c r="K582" t="e">
        <x:f>IF($A582="","",[1]!thsiFinD("ths_adjustment_nv_fund",K$3,$A582))</x:f>
        <x:v>#NAME?</x:v>
      </x:c>
      <x:c r="L582" t="e">
        <x:f>IF($A582="","",[1]!thsiFinD("ths_adjustment_nv_fund",L$3,$A582))</x:f>
        <x:v>#NAME?</x:v>
      </x:c>
      <x:c r="M582" t="e">
        <x:f>IF($A582="","",[1]!thsiFinD("ths_adjustment_nv_fund",M$3,$A582))</x:f>
        <x:v>#NAME?</x:v>
      </x:c>
      <x:c r="N582" t="e">
        <x:f>IF($A582="","",[1]!thsiFinD("ths_adjustment_nv_fund",N$3,$A582))</x:f>
        <x:v>#NAME?</x:v>
      </x:c>
      <x:c r="O582" t="e">
        <x:f>IF($A582="","",[1]!thsiFinD("ths_adjustment_nv_fund",O$3,$A582))</x:f>
        <x:v>#NAME?</x:v>
      </x:c>
      <x:c r="P582" t="e">
        <x:f>IF($A582="","",[1]!thsiFinD("ths_adjustment_nv_fund",P$3,$A582))</x:f>
        <x:v>#NAME?</x:v>
      </x:c>
      <x:c r="Q582" t="e">
        <x:f>IF($A582="","",[1]!thsiFinD("ths_adjustment_nv_fund",Q$3,$A582))</x:f>
        <x:v>#NAME?</x:v>
      </x:c>
      <x:c r="R582" t="e">
        <x:f>IF($A582="","",[1]!thsiFinD("ths_adjustment_nv_fund",R$3,$A582))</x:f>
        <x:v>#NAME?</x:v>
      </x:c>
      <x:c r="S582" t="e">
        <x:f>IF($A582="","",[1]!thsiFinD("ths_adjustment_nv_fund",S$3,$A582))</x:f>
        <x:v>#NAME?</x:v>
      </x:c>
      <x:c r="T582" t="e">
        <x:f>IF($A582="","",[1]!thsiFinD("ths_adjustment_nv_fund",T$3,$A582))</x:f>
        <x:v>#NAME?</x:v>
      </x:c>
      <x:c r="U582" t="e">
        <x:f>IF($A582="","",[1]!thsiFinD("ths_adjustment_nv_fund",U$3,$A582))</x:f>
        <x:v>#NAME?</x:v>
      </x:c>
      <x:c r="V582" t="e">
        <x:f>IF($A582="","",[1]!thsiFinD("ths_adjustment_nv_fund",V$3,$A582))</x:f>
        <x:v>#NAME?</x:v>
      </x:c>
      <x:c r="W582" t="e">
        <x:f>IF($A582="","",[1]!thsiFinD("ths_adjustment_nv_fund",W$3,$A582))</x:f>
        <x:v>#NAME?</x:v>
      </x:c>
      <x:c r="X582" t="e">
        <x:f>IF($A582="","",[1]!thsiFinD("ths_adjustment_nv_fund",X$3,$A582))</x:f>
        <x:v>#NAME?</x:v>
      </x:c>
      <x:c r="Y582" t="e">
        <x:f>IF($A582="","",[1]!thsiFinD("ths_adjustment_nv_fund",Y$3,$A582))</x:f>
        <x:v>#NAME?</x:v>
      </x:c>
    </x:row>
    <x:row r="583">
      <x:c r="B583" t="e">
        <x:f>IF($A583="","",[1]!thsiFinD("ths_adjustment_nv_fund",B$3,$A583))</x:f>
        <x:v>#NAME?</x:v>
      </x:c>
      <x:c r="C583" t="e">
        <x:f>IF($A583="","",[1]!thsiFinD("ths_adjustment_nv_fund",C$3,$A583))</x:f>
        <x:v>#NAME?</x:v>
      </x:c>
      <x:c r="D583" t="e">
        <x:f>IF($A583="","",[1]!thsiFinD("ths_adjustment_nv_fund",D$3,$A583))</x:f>
        <x:v>#NAME?</x:v>
      </x:c>
      <x:c r="E583" t="e">
        <x:f>IF($A583="","",[1]!thsiFinD("ths_adjustment_nv_fund",E$3,$A583))</x:f>
        <x:v>#NAME?</x:v>
      </x:c>
      <x:c r="F583" t="e">
        <x:f>IF($A583="","",[1]!thsiFinD("ths_adjustment_nv_fund",F$3,$A583))</x:f>
        <x:v>#NAME?</x:v>
      </x:c>
      <x:c r="G583" t="e">
        <x:f>IF($A583="","",[1]!thsiFinD("ths_adjustment_nv_fund",G$3,$A583))</x:f>
        <x:v>#NAME?</x:v>
      </x:c>
      <x:c r="H583" t="e">
        <x:f>IF($A583="","",[1]!thsiFinD("ths_adjustment_nv_fund",H$3,$A583))</x:f>
        <x:v>#NAME?</x:v>
      </x:c>
      <x:c r="I583" t="e">
        <x:f>IF($A583="","",[1]!thsiFinD("ths_adjustment_nv_fund",I$3,$A583))</x:f>
        <x:v>#NAME?</x:v>
      </x:c>
      <x:c r="J583" t="e">
        <x:f>IF($A583="","",[1]!thsiFinD("ths_adjustment_nv_fund",J$3,$A583))</x:f>
        <x:v>#NAME?</x:v>
      </x:c>
      <x:c r="K583" t="e">
        <x:f>IF($A583="","",[1]!thsiFinD("ths_adjustment_nv_fund",K$3,$A583))</x:f>
        <x:v>#NAME?</x:v>
      </x:c>
      <x:c r="L583" t="e">
        <x:f>IF($A583="","",[1]!thsiFinD("ths_adjustment_nv_fund",L$3,$A583))</x:f>
        <x:v>#NAME?</x:v>
      </x:c>
      <x:c r="M583" t="e">
        <x:f>IF($A583="","",[1]!thsiFinD("ths_adjustment_nv_fund",M$3,$A583))</x:f>
        <x:v>#NAME?</x:v>
      </x:c>
      <x:c r="N583" t="e">
        <x:f>IF($A583="","",[1]!thsiFinD("ths_adjustment_nv_fund",N$3,$A583))</x:f>
        <x:v>#NAME?</x:v>
      </x:c>
      <x:c r="O583" t="e">
        <x:f>IF($A583="","",[1]!thsiFinD("ths_adjustment_nv_fund",O$3,$A583))</x:f>
        <x:v>#NAME?</x:v>
      </x:c>
      <x:c r="P583" t="e">
        <x:f>IF($A583="","",[1]!thsiFinD("ths_adjustment_nv_fund",P$3,$A583))</x:f>
        <x:v>#NAME?</x:v>
      </x:c>
      <x:c r="Q583" t="e">
        <x:f>IF($A583="","",[1]!thsiFinD("ths_adjustment_nv_fund",Q$3,$A583))</x:f>
        <x:v>#NAME?</x:v>
      </x:c>
      <x:c r="R583" t="e">
        <x:f>IF($A583="","",[1]!thsiFinD("ths_adjustment_nv_fund",R$3,$A583))</x:f>
        <x:v>#NAME?</x:v>
      </x:c>
      <x:c r="S583" t="e">
        <x:f>IF($A583="","",[1]!thsiFinD("ths_adjustment_nv_fund",S$3,$A583))</x:f>
        <x:v>#NAME?</x:v>
      </x:c>
      <x:c r="T583" t="e">
        <x:f>IF($A583="","",[1]!thsiFinD("ths_adjustment_nv_fund",T$3,$A583))</x:f>
        <x:v>#NAME?</x:v>
      </x:c>
      <x:c r="U583" t="e">
        <x:f>IF($A583="","",[1]!thsiFinD("ths_adjustment_nv_fund",U$3,$A583))</x:f>
        <x:v>#NAME?</x:v>
      </x:c>
      <x:c r="V583" t="e">
        <x:f>IF($A583="","",[1]!thsiFinD("ths_adjustment_nv_fund",V$3,$A583))</x:f>
        <x:v>#NAME?</x:v>
      </x:c>
      <x:c r="W583" t="e">
        <x:f>IF($A583="","",[1]!thsiFinD("ths_adjustment_nv_fund",W$3,$A583))</x:f>
        <x:v>#NAME?</x:v>
      </x:c>
      <x:c r="X583" t="e">
        <x:f>IF($A583="","",[1]!thsiFinD("ths_adjustment_nv_fund",X$3,$A583))</x:f>
        <x:v>#NAME?</x:v>
      </x:c>
      <x:c r="Y583" t="e">
        <x:f>IF($A583="","",[1]!thsiFinD("ths_adjustment_nv_fund",Y$3,$A583))</x:f>
        <x:v>#NAME?</x:v>
      </x:c>
    </x:row>
    <x:row r="584">
      <x:c r="B584" t="e">
        <x:f>IF($A584="","",[1]!thsiFinD("ths_adjustment_nv_fund",B$3,$A584))</x:f>
        <x:v>#NAME?</x:v>
      </x:c>
      <x:c r="C584" t="e">
        <x:f>IF($A584="","",[1]!thsiFinD("ths_adjustment_nv_fund",C$3,$A584))</x:f>
        <x:v>#NAME?</x:v>
      </x:c>
      <x:c r="D584" t="e">
        <x:f>IF($A584="","",[1]!thsiFinD("ths_adjustment_nv_fund",D$3,$A584))</x:f>
        <x:v>#NAME?</x:v>
      </x:c>
      <x:c r="E584" t="e">
        <x:f>IF($A584="","",[1]!thsiFinD("ths_adjustment_nv_fund",E$3,$A584))</x:f>
        <x:v>#NAME?</x:v>
      </x:c>
      <x:c r="F584" t="e">
        <x:f>IF($A584="","",[1]!thsiFinD("ths_adjustment_nv_fund",F$3,$A584))</x:f>
        <x:v>#NAME?</x:v>
      </x:c>
      <x:c r="G584" t="e">
        <x:f>IF($A584="","",[1]!thsiFinD("ths_adjustment_nv_fund",G$3,$A584))</x:f>
        <x:v>#NAME?</x:v>
      </x:c>
      <x:c r="H584" t="e">
        <x:f>IF($A584="","",[1]!thsiFinD("ths_adjustment_nv_fund",H$3,$A584))</x:f>
        <x:v>#NAME?</x:v>
      </x:c>
      <x:c r="I584" t="e">
        <x:f>IF($A584="","",[1]!thsiFinD("ths_adjustment_nv_fund",I$3,$A584))</x:f>
        <x:v>#NAME?</x:v>
      </x:c>
      <x:c r="J584" t="e">
        <x:f>IF($A584="","",[1]!thsiFinD("ths_adjustment_nv_fund",J$3,$A584))</x:f>
        <x:v>#NAME?</x:v>
      </x:c>
      <x:c r="K584" t="e">
        <x:f>IF($A584="","",[1]!thsiFinD("ths_adjustment_nv_fund",K$3,$A584))</x:f>
        <x:v>#NAME?</x:v>
      </x:c>
      <x:c r="L584" t="e">
        <x:f>IF($A584="","",[1]!thsiFinD("ths_adjustment_nv_fund",L$3,$A584))</x:f>
        <x:v>#NAME?</x:v>
      </x:c>
      <x:c r="M584" t="e">
        <x:f>IF($A584="","",[1]!thsiFinD("ths_adjustment_nv_fund",M$3,$A584))</x:f>
        <x:v>#NAME?</x:v>
      </x:c>
      <x:c r="N584" t="e">
        <x:f>IF($A584="","",[1]!thsiFinD("ths_adjustment_nv_fund",N$3,$A584))</x:f>
        <x:v>#NAME?</x:v>
      </x:c>
      <x:c r="O584" t="e">
        <x:f>IF($A584="","",[1]!thsiFinD("ths_adjustment_nv_fund",O$3,$A584))</x:f>
        <x:v>#NAME?</x:v>
      </x:c>
      <x:c r="P584" t="e">
        <x:f>IF($A584="","",[1]!thsiFinD("ths_adjustment_nv_fund",P$3,$A584))</x:f>
        <x:v>#NAME?</x:v>
      </x:c>
      <x:c r="Q584" t="e">
        <x:f>IF($A584="","",[1]!thsiFinD("ths_adjustment_nv_fund",Q$3,$A584))</x:f>
        <x:v>#NAME?</x:v>
      </x:c>
      <x:c r="R584" t="e">
        <x:f>IF($A584="","",[1]!thsiFinD("ths_adjustment_nv_fund",R$3,$A584))</x:f>
        <x:v>#NAME?</x:v>
      </x:c>
      <x:c r="S584" t="e">
        <x:f>IF($A584="","",[1]!thsiFinD("ths_adjustment_nv_fund",S$3,$A584))</x:f>
        <x:v>#NAME?</x:v>
      </x:c>
      <x:c r="T584" t="e">
        <x:f>IF($A584="","",[1]!thsiFinD("ths_adjustment_nv_fund",T$3,$A584))</x:f>
        <x:v>#NAME?</x:v>
      </x:c>
      <x:c r="U584" t="e">
        <x:f>IF($A584="","",[1]!thsiFinD("ths_adjustment_nv_fund",U$3,$A584))</x:f>
        <x:v>#NAME?</x:v>
      </x:c>
      <x:c r="V584" t="e">
        <x:f>IF($A584="","",[1]!thsiFinD("ths_adjustment_nv_fund",V$3,$A584))</x:f>
        <x:v>#NAME?</x:v>
      </x:c>
      <x:c r="W584" t="e">
        <x:f>IF($A584="","",[1]!thsiFinD("ths_adjustment_nv_fund",W$3,$A584))</x:f>
        <x:v>#NAME?</x:v>
      </x:c>
      <x:c r="X584" t="e">
        <x:f>IF($A584="","",[1]!thsiFinD("ths_adjustment_nv_fund",X$3,$A584))</x:f>
        <x:v>#NAME?</x:v>
      </x:c>
      <x:c r="Y584" t="e">
        <x:f>IF($A584="","",[1]!thsiFinD("ths_adjustment_nv_fund",Y$3,$A584))</x:f>
        <x:v>#NAME?</x:v>
      </x:c>
    </x:row>
    <x:row r="585">
      <x:c r="B585" t="e">
        <x:f>IF($A585="","",[1]!thsiFinD("ths_adjustment_nv_fund",B$3,$A585))</x:f>
        <x:v>#NAME?</x:v>
      </x:c>
      <x:c r="C585" t="e">
        <x:f>IF($A585="","",[1]!thsiFinD("ths_adjustment_nv_fund",C$3,$A585))</x:f>
        <x:v>#NAME?</x:v>
      </x:c>
      <x:c r="D585" t="e">
        <x:f>IF($A585="","",[1]!thsiFinD("ths_adjustment_nv_fund",D$3,$A585))</x:f>
        <x:v>#NAME?</x:v>
      </x:c>
      <x:c r="E585" t="e">
        <x:f>IF($A585="","",[1]!thsiFinD("ths_adjustment_nv_fund",E$3,$A585))</x:f>
        <x:v>#NAME?</x:v>
      </x:c>
      <x:c r="F585" t="e">
        <x:f>IF($A585="","",[1]!thsiFinD("ths_adjustment_nv_fund",F$3,$A585))</x:f>
        <x:v>#NAME?</x:v>
      </x:c>
      <x:c r="G585" t="e">
        <x:f>IF($A585="","",[1]!thsiFinD("ths_adjustment_nv_fund",G$3,$A585))</x:f>
        <x:v>#NAME?</x:v>
      </x:c>
      <x:c r="H585" t="e">
        <x:f>IF($A585="","",[1]!thsiFinD("ths_adjustment_nv_fund",H$3,$A585))</x:f>
        <x:v>#NAME?</x:v>
      </x:c>
      <x:c r="I585" t="e">
        <x:f>IF($A585="","",[1]!thsiFinD("ths_adjustment_nv_fund",I$3,$A585))</x:f>
        <x:v>#NAME?</x:v>
      </x:c>
      <x:c r="J585" t="e">
        <x:f>IF($A585="","",[1]!thsiFinD("ths_adjustment_nv_fund",J$3,$A585))</x:f>
        <x:v>#NAME?</x:v>
      </x:c>
      <x:c r="K585" t="e">
        <x:f>IF($A585="","",[1]!thsiFinD("ths_adjustment_nv_fund",K$3,$A585))</x:f>
        <x:v>#NAME?</x:v>
      </x:c>
      <x:c r="L585" t="e">
        <x:f>IF($A585="","",[1]!thsiFinD("ths_adjustment_nv_fund",L$3,$A585))</x:f>
        <x:v>#NAME?</x:v>
      </x:c>
      <x:c r="M585" t="e">
        <x:f>IF($A585="","",[1]!thsiFinD("ths_adjustment_nv_fund",M$3,$A585))</x:f>
        <x:v>#NAME?</x:v>
      </x:c>
      <x:c r="N585" t="e">
        <x:f>IF($A585="","",[1]!thsiFinD("ths_adjustment_nv_fund",N$3,$A585))</x:f>
        <x:v>#NAME?</x:v>
      </x:c>
      <x:c r="O585" t="e">
        <x:f>IF($A585="","",[1]!thsiFinD("ths_adjustment_nv_fund",O$3,$A585))</x:f>
        <x:v>#NAME?</x:v>
      </x:c>
      <x:c r="P585" t="e">
        <x:f>IF($A585="","",[1]!thsiFinD("ths_adjustment_nv_fund",P$3,$A585))</x:f>
        <x:v>#NAME?</x:v>
      </x:c>
      <x:c r="Q585" t="e">
        <x:f>IF($A585="","",[1]!thsiFinD("ths_adjustment_nv_fund",Q$3,$A585))</x:f>
        <x:v>#NAME?</x:v>
      </x:c>
      <x:c r="R585" t="e">
        <x:f>IF($A585="","",[1]!thsiFinD("ths_adjustment_nv_fund",R$3,$A585))</x:f>
        <x:v>#NAME?</x:v>
      </x:c>
      <x:c r="S585" t="e">
        <x:f>IF($A585="","",[1]!thsiFinD("ths_adjustment_nv_fund",S$3,$A585))</x:f>
        <x:v>#NAME?</x:v>
      </x:c>
      <x:c r="T585" t="e">
        <x:f>IF($A585="","",[1]!thsiFinD("ths_adjustment_nv_fund",T$3,$A585))</x:f>
        <x:v>#NAME?</x:v>
      </x:c>
      <x:c r="U585" t="e">
        <x:f>IF($A585="","",[1]!thsiFinD("ths_adjustment_nv_fund",U$3,$A585))</x:f>
        <x:v>#NAME?</x:v>
      </x:c>
      <x:c r="V585" t="e">
        <x:f>IF($A585="","",[1]!thsiFinD("ths_adjustment_nv_fund",V$3,$A585))</x:f>
        <x:v>#NAME?</x:v>
      </x:c>
      <x:c r="W585" t="e">
        <x:f>IF($A585="","",[1]!thsiFinD("ths_adjustment_nv_fund",W$3,$A585))</x:f>
        <x:v>#NAME?</x:v>
      </x:c>
      <x:c r="X585" t="e">
        <x:f>IF($A585="","",[1]!thsiFinD("ths_adjustment_nv_fund",X$3,$A585))</x:f>
        <x:v>#NAME?</x:v>
      </x:c>
      <x:c r="Y585" t="e">
        <x:f>IF($A585="","",[1]!thsiFinD("ths_adjustment_nv_fund",Y$3,$A585))</x:f>
        <x:v>#NAME?</x:v>
      </x:c>
    </x:row>
    <x:row r="586">
      <x:c r="B586" t="e">
        <x:f>IF($A586="","",[1]!thsiFinD("ths_adjustment_nv_fund",B$3,$A586))</x:f>
        <x:v>#NAME?</x:v>
      </x:c>
      <x:c r="C586" t="e">
        <x:f>IF($A586="","",[1]!thsiFinD("ths_adjustment_nv_fund",C$3,$A586))</x:f>
        <x:v>#NAME?</x:v>
      </x:c>
      <x:c r="D586" t="e">
        <x:f>IF($A586="","",[1]!thsiFinD("ths_adjustment_nv_fund",D$3,$A586))</x:f>
        <x:v>#NAME?</x:v>
      </x:c>
      <x:c r="E586" t="e">
        <x:f>IF($A586="","",[1]!thsiFinD("ths_adjustment_nv_fund",E$3,$A586))</x:f>
        <x:v>#NAME?</x:v>
      </x:c>
      <x:c r="F586" t="e">
        <x:f>IF($A586="","",[1]!thsiFinD("ths_adjustment_nv_fund",F$3,$A586))</x:f>
        <x:v>#NAME?</x:v>
      </x:c>
      <x:c r="G586" t="e">
        <x:f>IF($A586="","",[1]!thsiFinD("ths_adjustment_nv_fund",G$3,$A586))</x:f>
        <x:v>#NAME?</x:v>
      </x:c>
      <x:c r="H586" t="e">
        <x:f>IF($A586="","",[1]!thsiFinD("ths_adjustment_nv_fund",H$3,$A586))</x:f>
        <x:v>#NAME?</x:v>
      </x:c>
      <x:c r="I586" t="e">
        <x:f>IF($A586="","",[1]!thsiFinD("ths_adjustment_nv_fund",I$3,$A586))</x:f>
        <x:v>#NAME?</x:v>
      </x:c>
      <x:c r="J586" t="e">
        <x:f>IF($A586="","",[1]!thsiFinD("ths_adjustment_nv_fund",J$3,$A586))</x:f>
        <x:v>#NAME?</x:v>
      </x:c>
      <x:c r="K586" t="e">
        <x:f>IF($A586="","",[1]!thsiFinD("ths_adjustment_nv_fund",K$3,$A586))</x:f>
        <x:v>#NAME?</x:v>
      </x:c>
      <x:c r="L586" t="e">
        <x:f>IF($A586="","",[1]!thsiFinD("ths_adjustment_nv_fund",L$3,$A586))</x:f>
        <x:v>#NAME?</x:v>
      </x:c>
      <x:c r="M586" t="e">
        <x:f>IF($A586="","",[1]!thsiFinD("ths_adjustment_nv_fund",M$3,$A586))</x:f>
        <x:v>#NAME?</x:v>
      </x:c>
      <x:c r="N586" t="e">
        <x:f>IF($A586="","",[1]!thsiFinD("ths_adjustment_nv_fund",N$3,$A586))</x:f>
        <x:v>#NAME?</x:v>
      </x:c>
      <x:c r="O586" t="e">
        <x:f>IF($A586="","",[1]!thsiFinD("ths_adjustment_nv_fund",O$3,$A586))</x:f>
        <x:v>#NAME?</x:v>
      </x:c>
      <x:c r="P586" t="e">
        <x:f>IF($A586="","",[1]!thsiFinD("ths_adjustment_nv_fund",P$3,$A586))</x:f>
        <x:v>#NAME?</x:v>
      </x:c>
      <x:c r="Q586" t="e">
        <x:f>IF($A586="","",[1]!thsiFinD("ths_adjustment_nv_fund",Q$3,$A586))</x:f>
        <x:v>#NAME?</x:v>
      </x:c>
      <x:c r="R586" t="e">
        <x:f>IF($A586="","",[1]!thsiFinD("ths_adjustment_nv_fund",R$3,$A586))</x:f>
        <x:v>#NAME?</x:v>
      </x:c>
      <x:c r="S586" t="e">
        <x:f>IF($A586="","",[1]!thsiFinD("ths_adjustment_nv_fund",S$3,$A586))</x:f>
        <x:v>#NAME?</x:v>
      </x:c>
      <x:c r="T586" t="e">
        <x:f>IF($A586="","",[1]!thsiFinD("ths_adjustment_nv_fund",T$3,$A586))</x:f>
        <x:v>#NAME?</x:v>
      </x:c>
      <x:c r="U586" t="e">
        <x:f>IF($A586="","",[1]!thsiFinD("ths_adjustment_nv_fund",U$3,$A586))</x:f>
        <x:v>#NAME?</x:v>
      </x:c>
      <x:c r="V586" t="e">
        <x:f>IF($A586="","",[1]!thsiFinD("ths_adjustment_nv_fund",V$3,$A586))</x:f>
        <x:v>#NAME?</x:v>
      </x:c>
      <x:c r="W586" t="e">
        <x:f>IF($A586="","",[1]!thsiFinD("ths_adjustment_nv_fund",W$3,$A586))</x:f>
        <x:v>#NAME?</x:v>
      </x:c>
      <x:c r="X586" t="e">
        <x:f>IF($A586="","",[1]!thsiFinD("ths_adjustment_nv_fund",X$3,$A586))</x:f>
        <x:v>#NAME?</x:v>
      </x:c>
      <x:c r="Y586" t="e">
        <x:f>IF($A586="","",[1]!thsiFinD("ths_adjustment_nv_fund",Y$3,$A586))</x:f>
        <x:v>#NAME?</x:v>
      </x:c>
    </x:row>
    <x:row r="587">
      <x:c r="B587" t="e">
        <x:f>IF($A587="","",[1]!thsiFinD("ths_adjustment_nv_fund",B$3,$A587))</x:f>
        <x:v>#NAME?</x:v>
      </x:c>
      <x:c r="C587" t="e">
        <x:f>IF($A587="","",[1]!thsiFinD("ths_adjustment_nv_fund",C$3,$A587))</x:f>
        <x:v>#NAME?</x:v>
      </x:c>
      <x:c r="D587" t="e">
        <x:f>IF($A587="","",[1]!thsiFinD("ths_adjustment_nv_fund",D$3,$A587))</x:f>
        <x:v>#NAME?</x:v>
      </x:c>
      <x:c r="E587" t="e">
        <x:f>IF($A587="","",[1]!thsiFinD("ths_adjustment_nv_fund",E$3,$A587))</x:f>
        <x:v>#NAME?</x:v>
      </x:c>
      <x:c r="F587" t="e">
        <x:f>IF($A587="","",[1]!thsiFinD("ths_adjustment_nv_fund",F$3,$A587))</x:f>
        <x:v>#NAME?</x:v>
      </x:c>
      <x:c r="G587" t="e">
        <x:f>IF($A587="","",[1]!thsiFinD("ths_adjustment_nv_fund",G$3,$A587))</x:f>
        <x:v>#NAME?</x:v>
      </x:c>
      <x:c r="H587" t="e">
        <x:f>IF($A587="","",[1]!thsiFinD("ths_adjustment_nv_fund",H$3,$A587))</x:f>
        <x:v>#NAME?</x:v>
      </x:c>
      <x:c r="I587" t="e">
        <x:f>IF($A587="","",[1]!thsiFinD("ths_adjustment_nv_fund",I$3,$A587))</x:f>
        <x:v>#NAME?</x:v>
      </x:c>
      <x:c r="J587" t="e">
        <x:f>IF($A587="","",[1]!thsiFinD("ths_adjustment_nv_fund",J$3,$A587))</x:f>
        <x:v>#NAME?</x:v>
      </x:c>
      <x:c r="K587" t="e">
        <x:f>IF($A587="","",[1]!thsiFinD("ths_adjustment_nv_fund",K$3,$A587))</x:f>
        <x:v>#NAME?</x:v>
      </x:c>
      <x:c r="L587" t="e">
        <x:f>IF($A587="","",[1]!thsiFinD("ths_adjustment_nv_fund",L$3,$A587))</x:f>
        <x:v>#NAME?</x:v>
      </x:c>
      <x:c r="M587" t="e">
        <x:f>IF($A587="","",[1]!thsiFinD("ths_adjustment_nv_fund",M$3,$A587))</x:f>
        <x:v>#NAME?</x:v>
      </x:c>
      <x:c r="N587" t="e">
        <x:f>IF($A587="","",[1]!thsiFinD("ths_adjustment_nv_fund",N$3,$A587))</x:f>
        <x:v>#NAME?</x:v>
      </x:c>
      <x:c r="O587" t="e">
        <x:f>IF($A587="","",[1]!thsiFinD("ths_adjustment_nv_fund",O$3,$A587))</x:f>
        <x:v>#NAME?</x:v>
      </x:c>
      <x:c r="P587" t="e">
        <x:f>IF($A587="","",[1]!thsiFinD("ths_adjustment_nv_fund",P$3,$A587))</x:f>
        <x:v>#NAME?</x:v>
      </x:c>
      <x:c r="Q587" t="e">
        <x:f>IF($A587="","",[1]!thsiFinD("ths_adjustment_nv_fund",Q$3,$A587))</x:f>
        <x:v>#NAME?</x:v>
      </x:c>
      <x:c r="R587" t="e">
        <x:f>IF($A587="","",[1]!thsiFinD("ths_adjustment_nv_fund",R$3,$A587))</x:f>
        <x:v>#NAME?</x:v>
      </x:c>
      <x:c r="S587" t="e">
        <x:f>IF($A587="","",[1]!thsiFinD("ths_adjustment_nv_fund",S$3,$A587))</x:f>
        <x:v>#NAME?</x:v>
      </x:c>
      <x:c r="T587" t="e">
        <x:f>IF($A587="","",[1]!thsiFinD("ths_adjustment_nv_fund",T$3,$A587))</x:f>
        <x:v>#NAME?</x:v>
      </x:c>
      <x:c r="U587" t="e">
        <x:f>IF($A587="","",[1]!thsiFinD("ths_adjustment_nv_fund",U$3,$A587))</x:f>
        <x:v>#NAME?</x:v>
      </x:c>
      <x:c r="V587" t="e">
        <x:f>IF($A587="","",[1]!thsiFinD("ths_adjustment_nv_fund",V$3,$A587))</x:f>
        <x:v>#NAME?</x:v>
      </x:c>
      <x:c r="W587" t="e">
        <x:f>IF($A587="","",[1]!thsiFinD("ths_adjustment_nv_fund",W$3,$A587))</x:f>
        <x:v>#NAME?</x:v>
      </x:c>
      <x:c r="X587" t="e">
        <x:f>IF($A587="","",[1]!thsiFinD("ths_adjustment_nv_fund",X$3,$A587))</x:f>
        <x:v>#NAME?</x:v>
      </x:c>
      <x:c r="Y587" t="e">
        <x:f>IF($A587="","",[1]!thsiFinD("ths_adjustment_nv_fund",Y$3,$A587))</x:f>
        <x:v>#NAME?</x:v>
      </x:c>
    </x:row>
    <x:row r="588">
      <x:c r="B588" t="e">
        <x:f>IF($A588="","",[1]!thsiFinD("ths_adjustment_nv_fund",B$3,$A588))</x:f>
        <x:v>#NAME?</x:v>
      </x:c>
      <x:c r="C588" t="e">
        <x:f>IF($A588="","",[1]!thsiFinD("ths_adjustment_nv_fund",C$3,$A588))</x:f>
        <x:v>#NAME?</x:v>
      </x:c>
      <x:c r="D588" t="e">
        <x:f>IF($A588="","",[1]!thsiFinD("ths_adjustment_nv_fund",D$3,$A588))</x:f>
        <x:v>#NAME?</x:v>
      </x:c>
      <x:c r="E588" t="e">
        <x:f>IF($A588="","",[1]!thsiFinD("ths_adjustment_nv_fund",E$3,$A588))</x:f>
        <x:v>#NAME?</x:v>
      </x:c>
      <x:c r="F588" t="e">
        <x:f>IF($A588="","",[1]!thsiFinD("ths_adjustment_nv_fund",F$3,$A588))</x:f>
        <x:v>#NAME?</x:v>
      </x:c>
      <x:c r="G588" t="e">
        <x:f>IF($A588="","",[1]!thsiFinD("ths_adjustment_nv_fund",G$3,$A588))</x:f>
        <x:v>#NAME?</x:v>
      </x:c>
      <x:c r="H588" t="e">
        <x:f>IF($A588="","",[1]!thsiFinD("ths_adjustment_nv_fund",H$3,$A588))</x:f>
        <x:v>#NAME?</x:v>
      </x:c>
      <x:c r="I588" t="e">
        <x:f>IF($A588="","",[1]!thsiFinD("ths_adjustment_nv_fund",I$3,$A588))</x:f>
        <x:v>#NAME?</x:v>
      </x:c>
      <x:c r="J588" t="e">
        <x:f>IF($A588="","",[1]!thsiFinD("ths_adjustment_nv_fund",J$3,$A588))</x:f>
        <x:v>#NAME?</x:v>
      </x:c>
      <x:c r="K588" t="e">
        <x:f>IF($A588="","",[1]!thsiFinD("ths_adjustment_nv_fund",K$3,$A588))</x:f>
        <x:v>#NAME?</x:v>
      </x:c>
      <x:c r="L588" t="e">
        <x:f>IF($A588="","",[1]!thsiFinD("ths_adjustment_nv_fund",L$3,$A588))</x:f>
        <x:v>#NAME?</x:v>
      </x:c>
      <x:c r="M588" t="e">
        <x:f>IF($A588="","",[1]!thsiFinD("ths_adjustment_nv_fund",M$3,$A588))</x:f>
        <x:v>#NAME?</x:v>
      </x:c>
      <x:c r="N588" t="e">
        <x:f>IF($A588="","",[1]!thsiFinD("ths_adjustment_nv_fund",N$3,$A588))</x:f>
        <x:v>#NAME?</x:v>
      </x:c>
      <x:c r="O588" t="e">
        <x:f>IF($A588="","",[1]!thsiFinD("ths_adjustment_nv_fund",O$3,$A588))</x:f>
        <x:v>#NAME?</x:v>
      </x:c>
      <x:c r="P588" t="e">
        <x:f>IF($A588="","",[1]!thsiFinD("ths_adjustment_nv_fund",P$3,$A588))</x:f>
        <x:v>#NAME?</x:v>
      </x:c>
      <x:c r="Q588" t="e">
        <x:f>IF($A588="","",[1]!thsiFinD("ths_adjustment_nv_fund",Q$3,$A588))</x:f>
        <x:v>#NAME?</x:v>
      </x:c>
      <x:c r="R588" t="e">
        <x:f>IF($A588="","",[1]!thsiFinD("ths_adjustment_nv_fund",R$3,$A588))</x:f>
        <x:v>#NAME?</x:v>
      </x:c>
      <x:c r="S588" t="e">
        <x:f>IF($A588="","",[1]!thsiFinD("ths_adjustment_nv_fund",S$3,$A588))</x:f>
        <x:v>#NAME?</x:v>
      </x:c>
      <x:c r="T588" t="e">
        <x:f>IF($A588="","",[1]!thsiFinD("ths_adjustment_nv_fund",T$3,$A588))</x:f>
        <x:v>#NAME?</x:v>
      </x:c>
      <x:c r="U588" t="e">
        <x:f>IF($A588="","",[1]!thsiFinD("ths_adjustment_nv_fund",U$3,$A588))</x:f>
        <x:v>#NAME?</x:v>
      </x:c>
      <x:c r="V588" t="e">
        <x:f>IF($A588="","",[1]!thsiFinD("ths_adjustment_nv_fund",V$3,$A588))</x:f>
        <x:v>#NAME?</x:v>
      </x:c>
      <x:c r="W588" t="e">
        <x:f>IF($A588="","",[1]!thsiFinD("ths_adjustment_nv_fund",W$3,$A588))</x:f>
        <x:v>#NAME?</x:v>
      </x:c>
      <x:c r="X588" t="e">
        <x:f>IF($A588="","",[1]!thsiFinD("ths_adjustment_nv_fund",X$3,$A588))</x:f>
        <x:v>#NAME?</x:v>
      </x:c>
      <x:c r="Y588" t="e">
        <x:f>IF($A588="","",[1]!thsiFinD("ths_adjustment_nv_fund",Y$3,$A588))</x:f>
        <x:v>#NAME?</x:v>
      </x:c>
    </x:row>
    <x:row r="589">
      <x:c r="B589" t="e">
        <x:f>IF($A589="","",[1]!thsiFinD("ths_adjustment_nv_fund",B$3,$A589))</x:f>
        <x:v>#NAME?</x:v>
      </x:c>
      <x:c r="C589" t="e">
        <x:f>IF($A589="","",[1]!thsiFinD("ths_adjustment_nv_fund",C$3,$A589))</x:f>
        <x:v>#NAME?</x:v>
      </x:c>
      <x:c r="D589" t="e">
        <x:f>IF($A589="","",[1]!thsiFinD("ths_adjustment_nv_fund",D$3,$A589))</x:f>
        <x:v>#NAME?</x:v>
      </x:c>
      <x:c r="E589" t="e">
        <x:f>IF($A589="","",[1]!thsiFinD("ths_adjustment_nv_fund",E$3,$A589))</x:f>
        <x:v>#NAME?</x:v>
      </x:c>
      <x:c r="F589" t="e">
        <x:f>IF($A589="","",[1]!thsiFinD("ths_adjustment_nv_fund",F$3,$A589))</x:f>
        <x:v>#NAME?</x:v>
      </x:c>
      <x:c r="G589" t="e">
        <x:f>IF($A589="","",[1]!thsiFinD("ths_adjustment_nv_fund",G$3,$A589))</x:f>
        <x:v>#NAME?</x:v>
      </x:c>
      <x:c r="H589" t="e">
        <x:f>IF($A589="","",[1]!thsiFinD("ths_adjustment_nv_fund",H$3,$A589))</x:f>
        <x:v>#NAME?</x:v>
      </x:c>
      <x:c r="I589" t="e">
        <x:f>IF($A589="","",[1]!thsiFinD("ths_adjustment_nv_fund",I$3,$A589))</x:f>
        <x:v>#NAME?</x:v>
      </x:c>
      <x:c r="J589" t="e">
        <x:f>IF($A589="","",[1]!thsiFinD("ths_adjustment_nv_fund",J$3,$A589))</x:f>
        <x:v>#NAME?</x:v>
      </x:c>
      <x:c r="K589" t="e">
        <x:f>IF($A589="","",[1]!thsiFinD("ths_adjustment_nv_fund",K$3,$A589))</x:f>
        <x:v>#NAME?</x:v>
      </x:c>
      <x:c r="L589" t="e">
        <x:f>IF($A589="","",[1]!thsiFinD("ths_adjustment_nv_fund",L$3,$A589))</x:f>
        <x:v>#NAME?</x:v>
      </x:c>
      <x:c r="M589" t="e">
        <x:f>IF($A589="","",[1]!thsiFinD("ths_adjustment_nv_fund",M$3,$A589))</x:f>
        <x:v>#NAME?</x:v>
      </x:c>
      <x:c r="N589" t="e">
        <x:f>IF($A589="","",[1]!thsiFinD("ths_adjustment_nv_fund",N$3,$A589))</x:f>
        <x:v>#NAME?</x:v>
      </x:c>
      <x:c r="O589" t="e">
        <x:f>IF($A589="","",[1]!thsiFinD("ths_adjustment_nv_fund",O$3,$A589))</x:f>
        <x:v>#NAME?</x:v>
      </x:c>
      <x:c r="P589" t="e">
        <x:f>IF($A589="","",[1]!thsiFinD("ths_adjustment_nv_fund",P$3,$A589))</x:f>
        <x:v>#NAME?</x:v>
      </x:c>
      <x:c r="Q589" t="e">
        <x:f>IF($A589="","",[1]!thsiFinD("ths_adjustment_nv_fund",Q$3,$A589))</x:f>
        <x:v>#NAME?</x:v>
      </x:c>
      <x:c r="R589" t="e">
        <x:f>IF($A589="","",[1]!thsiFinD("ths_adjustment_nv_fund",R$3,$A589))</x:f>
        <x:v>#NAME?</x:v>
      </x:c>
      <x:c r="S589" t="e">
        <x:f>IF($A589="","",[1]!thsiFinD("ths_adjustment_nv_fund",S$3,$A589))</x:f>
        <x:v>#NAME?</x:v>
      </x:c>
      <x:c r="T589" t="e">
        <x:f>IF($A589="","",[1]!thsiFinD("ths_adjustment_nv_fund",T$3,$A589))</x:f>
        <x:v>#NAME?</x:v>
      </x:c>
      <x:c r="U589" t="e">
        <x:f>IF($A589="","",[1]!thsiFinD("ths_adjustment_nv_fund",U$3,$A589))</x:f>
        <x:v>#NAME?</x:v>
      </x:c>
      <x:c r="V589" t="e">
        <x:f>IF($A589="","",[1]!thsiFinD("ths_adjustment_nv_fund",V$3,$A589))</x:f>
        <x:v>#NAME?</x:v>
      </x:c>
      <x:c r="W589" t="e">
        <x:f>IF($A589="","",[1]!thsiFinD("ths_adjustment_nv_fund",W$3,$A589))</x:f>
        <x:v>#NAME?</x:v>
      </x:c>
      <x:c r="X589" t="e">
        <x:f>IF($A589="","",[1]!thsiFinD("ths_adjustment_nv_fund",X$3,$A589))</x:f>
        <x:v>#NAME?</x:v>
      </x:c>
      <x:c r="Y589" t="e">
        <x:f>IF($A589="","",[1]!thsiFinD("ths_adjustment_nv_fund",Y$3,$A589))</x:f>
        <x:v>#NAME?</x:v>
      </x:c>
    </x:row>
    <x:row r="590">
      <x:c r="B590" t="e">
        <x:f>IF($A590="","",[1]!thsiFinD("ths_adjustment_nv_fund",B$3,$A590))</x:f>
        <x:v>#NAME?</x:v>
      </x:c>
      <x:c r="C590" t="e">
        <x:f>IF($A590="","",[1]!thsiFinD("ths_adjustment_nv_fund",C$3,$A590))</x:f>
        <x:v>#NAME?</x:v>
      </x:c>
      <x:c r="D590" t="e">
        <x:f>IF($A590="","",[1]!thsiFinD("ths_adjustment_nv_fund",D$3,$A590))</x:f>
        <x:v>#NAME?</x:v>
      </x:c>
      <x:c r="E590" t="e">
        <x:f>IF($A590="","",[1]!thsiFinD("ths_adjustment_nv_fund",E$3,$A590))</x:f>
        <x:v>#NAME?</x:v>
      </x:c>
      <x:c r="F590" t="e">
        <x:f>IF($A590="","",[1]!thsiFinD("ths_adjustment_nv_fund",F$3,$A590))</x:f>
        <x:v>#NAME?</x:v>
      </x:c>
      <x:c r="G590" t="e">
        <x:f>IF($A590="","",[1]!thsiFinD("ths_adjustment_nv_fund",G$3,$A590))</x:f>
        <x:v>#NAME?</x:v>
      </x:c>
      <x:c r="H590" t="e">
        <x:f>IF($A590="","",[1]!thsiFinD("ths_adjustment_nv_fund",H$3,$A590))</x:f>
        <x:v>#NAME?</x:v>
      </x:c>
      <x:c r="I590" t="e">
        <x:f>IF($A590="","",[1]!thsiFinD("ths_adjustment_nv_fund",I$3,$A590))</x:f>
        <x:v>#NAME?</x:v>
      </x:c>
      <x:c r="J590" t="e">
        <x:f>IF($A590="","",[1]!thsiFinD("ths_adjustment_nv_fund",J$3,$A590))</x:f>
        <x:v>#NAME?</x:v>
      </x:c>
      <x:c r="K590" t="e">
        <x:f>IF($A590="","",[1]!thsiFinD("ths_adjustment_nv_fund",K$3,$A590))</x:f>
        <x:v>#NAME?</x:v>
      </x:c>
      <x:c r="L590" t="e">
        <x:f>IF($A590="","",[1]!thsiFinD("ths_adjustment_nv_fund",L$3,$A590))</x:f>
        <x:v>#NAME?</x:v>
      </x:c>
      <x:c r="M590" t="e">
        <x:f>IF($A590="","",[1]!thsiFinD("ths_adjustment_nv_fund",M$3,$A590))</x:f>
        <x:v>#NAME?</x:v>
      </x:c>
      <x:c r="N590" t="e">
        <x:f>IF($A590="","",[1]!thsiFinD("ths_adjustment_nv_fund",N$3,$A590))</x:f>
        <x:v>#NAME?</x:v>
      </x:c>
      <x:c r="O590" t="e">
        <x:f>IF($A590="","",[1]!thsiFinD("ths_adjustment_nv_fund",O$3,$A590))</x:f>
        <x:v>#NAME?</x:v>
      </x:c>
      <x:c r="P590" t="e">
        <x:f>IF($A590="","",[1]!thsiFinD("ths_adjustment_nv_fund",P$3,$A590))</x:f>
        <x:v>#NAME?</x:v>
      </x:c>
      <x:c r="Q590" t="e">
        <x:f>IF($A590="","",[1]!thsiFinD("ths_adjustment_nv_fund",Q$3,$A590))</x:f>
        <x:v>#NAME?</x:v>
      </x:c>
      <x:c r="R590" t="e">
        <x:f>IF($A590="","",[1]!thsiFinD("ths_adjustment_nv_fund",R$3,$A590))</x:f>
        <x:v>#NAME?</x:v>
      </x:c>
      <x:c r="S590" t="e">
        <x:f>IF($A590="","",[1]!thsiFinD("ths_adjustment_nv_fund",S$3,$A590))</x:f>
        <x:v>#NAME?</x:v>
      </x:c>
      <x:c r="T590" t="e">
        <x:f>IF($A590="","",[1]!thsiFinD("ths_adjustment_nv_fund",T$3,$A590))</x:f>
        <x:v>#NAME?</x:v>
      </x:c>
      <x:c r="U590" t="e">
        <x:f>IF($A590="","",[1]!thsiFinD("ths_adjustment_nv_fund",U$3,$A590))</x:f>
        <x:v>#NAME?</x:v>
      </x:c>
      <x:c r="V590" t="e">
        <x:f>IF($A590="","",[1]!thsiFinD("ths_adjustment_nv_fund",V$3,$A590))</x:f>
        <x:v>#NAME?</x:v>
      </x:c>
      <x:c r="W590" t="e">
        <x:f>IF($A590="","",[1]!thsiFinD("ths_adjustment_nv_fund",W$3,$A590))</x:f>
        <x:v>#NAME?</x:v>
      </x:c>
      <x:c r="X590" t="e">
        <x:f>IF($A590="","",[1]!thsiFinD("ths_adjustment_nv_fund",X$3,$A590))</x:f>
        <x:v>#NAME?</x:v>
      </x:c>
      <x:c r="Y590" t="e">
        <x:f>IF($A590="","",[1]!thsiFinD("ths_adjustment_nv_fund",Y$3,$A590))</x:f>
        <x:v>#NAME?</x:v>
      </x:c>
    </x:row>
    <x:row r="591">
      <x:c r="B591" t="e">
        <x:f>IF($A591="","",[1]!thsiFinD("ths_adjustment_nv_fund",B$3,$A591))</x:f>
        <x:v>#NAME?</x:v>
      </x:c>
      <x:c r="C591" t="e">
        <x:f>IF($A591="","",[1]!thsiFinD("ths_adjustment_nv_fund",C$3,$A591))</x:f>
        <x:v>#NAME?</x:v>
      </x:c>
      <x:c r="D591" t="e">
        <x:f>IF($A591="","",[1]!thsiFinD("ths_adjustment_nv_fund",D$3,$A591))</x:f>
        <x:v>#NAME?</x:v>
      </x:c>
      <x:c r="E591" t="e">
        <x:f>IF($A591="","",[1]!thsiFinD("ths_adjustment_nv_fund",E$3,$A591))</x:f>
        <x:v>#NAME?</x:v>
      </x:c>
      <x:c r="F591" t="e">
        <x:f>IF($A591="","",[1]!thsiFinD("ths_adjustment_nv_fund",F$3,$A591))</x:f>
        <x:v>#NAME?</x:v>
      </x:c>
      <x:c r="G591" t="e">
        <x:f>IF($A591="","",[1]!thsiFinD("ths_adjustment_nv_fund",G$3,$A591))</x:f>
        <x:v>#NAME?</x:v>
      </x:c>
      <x:c r="H591" t="e">
        <x:f>IF($A591="","",[1]!thsiFinD("ths_adjustment_nv_fund",H$3,$A591))</x:f>
        <x:v>#NAME?</x:v>
      </x:c>
      <x:c r="I591" t="e">
        <x:f>IF($A591="","",[1]!thsiFinD("ths_adjustment_nv_fund",I$3,$A591))</x:f>
        <x:v>#NAME?</x:v>
      </x:c>
      <x:c r="J591" t="e">
        <x:f>IF($A591="","",[1]!thsiFinD("ths_adjustment_nv_fund",J$3,$A591))</x:f>
        <x:v>#NAME?</x:v>
      </x:c>
      <x:c r="K591" t="e">
        <x:f>IF($A591="","",[1]!thsiFinD("ths_adjustment_nv_fund",K$3,$A591))</x:f>
        <x:v>#NAME?</x:v>
      </x:c>
      <x:c r="L591" t="e">
        <x:f>IF($A591="","",[1]!thsiFinD("ths_adjustment_nv_fund",L$3,$A591))</x:f>
        <x:v>#NAME?</x:v>
      </x:c>
      <x:c r="M591" t="e">
        <x:f>IF($A591="","",[1]!thsiFinD("ths_adjustment_nv_fund",M$3,$A591))</x:f>
        <x:v>#NAME?</x:v>
      </x:c>
      <x:c r="N591" t="e">
        <x:f>IF($A591="","",[1]!thsiFinD("ths_adjustment_nv_fund",N$3,$A591))</x:f>
        <x:v>#NAME?</x:v>
      </x:c>
      <x:c r="O591" t="e">
        <x:f>IF($A591="","",[1]!thsiFinD("ths_adjustment_nv_fund",O$3,$A591))</x:f>
        <x:v>#NAME?</x:v>
      </x:c>
      <x:c r="P591" t="e">
        <x:f>IF($A591="","",[1]!thsiFinD("ths_adjustment_nv_fund",P$3,$A591))</x:f>
        <x:v>#NAME?</x:v>
      </x:c>
      <x:c r="Q591" t="e">
        <x:f>IF($A591="","",[1]!thsiFinD("ths_adjustment_nv_fund",Q$3,$A591))</x:f>
        <x:v>#NAME?</x:v>
      </x:c>
      <x:c r="R591" t="e">
        <x:f>IF($A591="","",[1]!thsiFinD("ths_adjustment_nv_fund",R$3,$A591))</x:f>
        <x:v>#NAME?</x:v>
      </x:c>
      <x:c r="S591" t="e">
        <x:f>IF($A591="","",[1]!thsiFinD("ths_adjustment_nv_fund",S$3,$A591))</x:f>
        <x:v>#NAME?</x:v>
      </x:c>
      <x:c r="T591" t="e">
        <x:f>IF($A591="","",[1]!thsiFinD("ths_adjustment_nv_fund",T$3,$A591))</x:f>
        <x:v>#NAME?</x:v>
      </x:c>
      <x:c r="U591" t="e">
        <x:f>IF($A591="","",[1]!thsiFinD("ths_adjustment_nv_fund",U$3,$A591))</x:f>
        <x:v>#NAME?</x:v>
      </x:c>
      <x:c r="V591" t="e">
        <x:f>IF($A591="","",[1]!thsiFinD("ths_adjustment_nv_fund",V$3,$A591))</x:f>
        <x:v>#NAME?</x:v>
      </x:c>
      <x:c r="W591" t="e">
        <x:f>IF($A591="","",[1]!thsiFinD("ths_adjustment_nv_fund",W$3,$A591))</x:f>
        <x:v>#NAME?</x:v>
      </x:c>
      <x:c r="X591" t="e">
        <x:f>IF($A591="","",[1]!thsiFinD("ths_adjustment_nv_fund",X$3,$A591))</x:f>
        <x:v>#NAME?</x:v>
      </x:c>
      <x:c r="Y591" t="e">
        <x:f>IF($A591="","",[1]!thsiFinD("ths_adjustment_nv_fund",Y$3,$A591))</x:f>
        <x:v>#NAME?</x:v>
      </x:c>
    </x:row>
    <x:row r="592">
      <x:c r="B592" t="e">
        <x:f>IF($A592="","",[1]!thsiFinD("ths_adjustment_nv_fund",B$3,$A592))</x:f>
        <x:v>#NAME?</x:v>
      </x:c>
      <x:c r="C592" t="e">
        <x:f>IF($A592="","",[1]!thsiFinD("ths_adjustment_nv_fund",C$3,$A592))</x:f>
        <x:v>#NAME?</x:v>
      </x:c>
      <x:c r="D592" t="e">
        <x:f>IF($A592="","",[1]!thsiFinD("ths_adjustment_nv_fund",D$3,$A592))</x:f>
        <x:v>#NAME?</x:v>
      </x:c>
      <x:c r="E592" t="e">
        <x:f>IF($A592="","",[1]!thsiFinD("ths_adjustment_nv_fund",E$3,$A592))</x:f>
        <x:v>#NAME?</x:v>
      </x:c>
      <x:c r="F592" t="e">
        <x:f>IF($A592="","",[1]!thsiFinD("ths_adjustment_nv_fund",F$3,$A592))</x:f>
        <x:v>#NAME?</x:v>
      </x:c>
      <x:c r="G592" t="e">
        <x:f>IF($A592="","",[1]!thsiFinD("ths_adjustment_nv_fund",G$3,$A592))</x:f>
        <x:v>#NAME?</x:v>
      </x:c>
      <x:c r="H592" t="e">
        <x:f>IF($A592="","",[1]!thsiFinD("ths_adjustment_nv_fund",H$3,$A592))</x:f>
        <x:v>#NAME?</x:v>
      </x:c>
      <x:c r="I592" t="e">
        <x:f>IF($A592="","",[1]!thsiFinD("ths_adjustment_nv_fund",I$3,$A592))</x:f>
        <x:v>#NAME?</x:v>
      </x:c>
      <x:c r="J592" t="e">
        <x:f>IF($A592="","",[1]!thsiFinD("ths_adjustment_nv_fund",J$3,$A592))</x:f>
        <x:v>#NAME?</x:v>
      </x:c>
      <x:c r="K592" t="e">
        <x:f>IF($A592="","",[1]!thsiFinD("ths_adjustment_nv_fund",K$3,$A592))</x:f>
        <x:v>#NAME?</x:v>
      </x:c>
      <x:c r="L592" t="e">
        <x:f>IF($A592="","",[1]!thsiFinD("ths_adjustment_nv_fund",L$3,$A592))</x:f>
        <x:v>#NAME?</x:v>
      </x:c>
      <x:c r="M592" t="e">
        <x:f>IF($A592="","",[1]!thsiFinD("ths_adjustment_nv_fund",M$3,$A592))</x:f>
        <x:v>#NAME?</x:v>
      </x:c>
      <x:c r="N592" t="e">
        <x:f>IF($A592="","",[1]!thsiFinD("ths_adjustment_nv_fund",N$3,$A592))</x:f>
        <x:v>#NAME?</x:v>
      </x:c>
      <x:c r="O592" t="e">
        <x:f>IF($A592="","",[1]!thsiFinD("ths_adjustment_nv_fund",O$3,$A592))</x:f>
        <x:v>#NAME?</x:v>
      </x:c>
      <x:c r="P592" t="e">
        <x:f>IF($A592="","",[1]!thsiFinD("ths_adjustment_nv_fund",P$3,$A592))</x:f>
        <x:v>#NAME?</x:v>
      </x:c>
      <x:c r="Q592" t="e">
        <x:f>IF($A592="","",[1]!thsiFinD("ths_adjustment_nv_fund",Q$3,$A592))</x:f>
        <x:v>#NAME?</x:v>
      </x:c>
      <x:c r="R592" t="e">
        <x:f>IF($A592="","",[1]!thsiFinD("ths_adjustment_nv_fund",R$3,$A592))</x:f>
        <x:v>#NAME?</x:v>
      </x:c>
      <x:c r="S592" t="e">
        <x:f>IF($A592="","",[1]!thsiFinD("ths_adjustment_nv_fund",S$3,$A592))</x:f>
        <x:v>#NAME?</x:v>
      </x:c>
      <x:c r="T592" t="e">
        <x:f>IF($A592="","",[1]!thsiFinD("ths_adjustment_nv_fund",T$3,$A592))</x:f>
        <x:v>#NAME?</x:v>
      </x:c>
      <x:c r="U592" t="e">
        <x:f>IF($A592="","",[1]!thsiFinD("ths_adjustment_nv_fund",U$3,$A592))</x:f>
        <x:v>#NAME?</x:v>
      </x:c>
      <x:c r="V592" t="e">
        <x:f>IF($A592="","",[1]!thsiFinD("ths_adjustment_nv_fund",V$3,$A592))</x:f>
        <x:v>#NAME?</x:v>
      </x:c>
      <x:c r="W592" t="e">
        <x:f>IF($A592="","",[1]!thsiFinD("ths_adjustment_nv_fund",W$3,$A592))</x:f>
        <x:v>#NAME?</x:v>
      </x:c>
      <x:c r="X592" t="e">
        <x:f>IF($A592="","",[1]!thsiFinD("ths_adjustment_nv_fund",X$3,$A592))</x:f>
        <x:v>#NAME?</x:v>
      </x:c>
      <x:c r="Y592" t="e">
        <x:f>IF($A592="","",[1]!thsiFinD("ths_adjustment_nv_fund",Y$3,$A592))</x:f>
        <x:v>#NAME?</x:v>
      </x:c>
    </x:row>
    <x:row r="593">
      <x:c r="B593" t="e">
        <x:f>IF($A593="","",[1]!thsiFinD("ths_adjustment_nv_fund",B$3,$A593))</x:f>
        <x:v>#NAME?</x:v>
      </x:c>
      <x:c r="C593" t="e">
        <x:f>IF($A593="","",[1]!thsiFinD("ths_adjustment_nv_fund",C$3,$A593))</x:f>
        <x:v>#NAME?</x:v>
      </x:c>
      <x:c r="D593" t="e">
        <x:f>IF($A593="","",[1]!thsiFinD("ths_adjustment_nv_fund",D$3,$A593))</x:f>
        <x:v>#NAME?</x:v>
      </x:c>
      <x:c r="E593" t="e">
        <x:f>IF($A593="","",[1]!thsiFinD("ths_adjustment_nv_fund",E$3,$A593))</x:f>
        <x:v>#NAME?</x:v>
      </x:c>
      <x:c r="F593" t="e">
        <x:f>IF($A593="","",[1]!thsiFinD("ths_adjustment_nv_fund",F$3,$A593))</x:f>
        <x:v>#NAME?</x:v>
      </x:c>
      <x:c r="G593" t="e">
        <x:f>IF($A593="","",[1]!thsiFinD("ths_adjustment_nv_fund",G$3,$A593))</x:f>
        <x:v>#NAME?</x:v>
      </x:c>
      <x:c r="H593" t="e">
        <x:f>IF($A593="","",[1]!thsiFinD("ths_adjustment_nv_fund",H$3,$A593))</x:f>
        <x:v>#NAME?</x:v>
      </x:c>
      <x:c r="I593" t="e">
        <x:f>IF($A593="","",[1]!thsiFinD("ths_adjustment_nv_fund",I$3,$A593))</x:f>
        <x:v>#NAME?</x:v>
      </x:c>
      <x:c r="J593" t="e">
        <x:f>IF($A593="","",[1]!thsiFinD("ths_adjustment_nv_fund",J$3,$A593))</x:f>
        <x:v>#NAME?</x:v>
      </x:c>
      <x:c r="K593" t="e">
        <x:f>IF($A593="","",[1]!thsiFinD("ths_adjustment_nv_fund",K$3,$A593))</x:f>
        <x:v>#NAME?</x:v>
      </x:c>
      <x:c r="L593" t="e">
        <x:f>IF($A593="","",[1]!thsiFinD("ths_adjustment_nv_fund",L$3,$A593))</x:f>
        <x:v>#NAME?</x:v>
      </x:c>
      <x:c r="M593" t="e">
        <x:f>IF($A593="","",[1]!thsiFinD("ths_adjustment_nv_fund",M$3,$A593))</x:f>
        <x:v>#NAME?</x:v>
      </x:c>
      <x:c r="N593" t="e">
        <x:f>IF($A593="","",[1]!thsiFinD("ths_adjustment_nv_fund",N$3,$A593))</x:f>
        <x:v>#NAME?</x:v>
      </x:c>
      <x:c r="O593" t="e">
        <x:f>IF($A593="","",[1]!thsiFinD("ths_adjustment_nv_fund",O$3,$A593))</x:f>
        <x:v>#NAME?</x:v>
      </x:c>
      <x:c r="P593" t="e">
        <x:f>IF($A593="","",[1]!thsiFinD("ths_adjustment_nv_fund",P$3,$A593))</x:f>
        <x:v>#NAME?</x:v>
      </x:c>
      <x:c r="Q593" t="e">
        <x:f>IF($A593="","",[1]!thsiFinD("ths_adjustment_nv_fund",Q$3,$A593))</x:f>
        <x:v>#NAME?</x:v>
      </x:c>
      <x:c r="R593" t="e">
        <x:f>IF($A593="","",[1]!thsiFinD("ths_adjustment_nv_fund",R$3,$A593))</x:f>
        <x:v>#NAME?</x:v>
      </x:c>
      <x:c r="S593" t="e">
        <x:f>IF($A593="","",[1]!thsiFinD("ths_adjustment_nv_fund",S$3,$A593))</x:f>
        <x:v>#NAME?</x:v>
      </x:c>
      <x:c r="T593" t="e">
        <x:f>IF($A593="","",[1]!thsiFinD("ths_adjustment_nv_fund",T$3,$A593))</x:f>
        <x:v>#NAME?</x:v>
      </x:c>
      <x:c r="U593" t="e">
        <x:f>IF($A593="","",[1]!thsiFinD("ths_adjustment_nv_fund",U$3,$A593))</x:f>
        <x:v>#NAME?</x:v>
      </x:c>
      <x:c r="V593" t="e">
        <x:f>IF($A593="","",[1]!thsiFinD("ths_adjustment_nv_fund",V$3,$A593))</x:f>
        <x:v>#NAME?</x:v>
      </x:c>
      <x:c r="W593" t="e">
        <x:f>IF($A593="","",[1]!thsiFinD("ths_adjustment_nv_fund",W$3,$A593))</x:f>
        <x:v>#NAME?</x:v>
      </x:c>
      <x:c r="X593" t="e">
        <x:f>IF($A593="","",[1]!thsiFinD("ths_adjustment_nv_fund",X$3,$A593))</x:f>
        <x:v>#NAME?</x:v>
      </x:c>
      <x:c r="Y593" t="e">
        <x:f>IF($A593="","",[1]!thsiFinD("ths_adjustment_nv_fund",Y$3,$A593))</x:f>
        <x:v>#NAME?</x:v>
      </x:c>
    </x:row>
    <x:row r="594">
      <x:c r="B594" t="e">
        <x:f>IF($A594="","",[1]!thsiFinD("ths_adjustment_nv_fund",B$3,$A594))</x:f>
        <x:v>#NAME?</x:v>
      </x:c>
      <x:c r="C594" t="e">
        <x:f>IF($A594="","",[1]!thsiFinD("ths_adjustment_nv_fund",C$3,$A594))</x:f>
        <x:v>#NAME?</x:v>
      </x:c>
      <x:c r="D594" t="e">
        <x:f>IF($A594="","",[1]!thsiFinD("ths_adjustment_nv_fund",D$3,$A594))</x:f>
        <x:v>#NAME?</x:v>
      </x:c>
      <x:c r="E594" t="e">
        <x:f>IF($A594="","",[1]!thsiFinD("ths_adjustment_nv_fund",E$3,$A594))</x:f>
        <x:v>#NAME?</x:v>
      </x:c>
      <x:c r="F594" t="e">
        <x:f>IF($A594="","",[1]!thsiFinD("ths_adjustment_nv_fund",F$3,$A594))</x:f>
        <x:v>#NAME?</x:v>
      </x:c>
      <x:c r="G594" t="e">
        <x:f>IF($A594="","",[1]!thsiFinD("ths_adjustment_nv_fund",G$3,$A594))</x:f>
        <x:v>#NAME?</x:v>
      </x:c>
      <x:c r="H594" t="e">
        <x:f>IF($A594="","",[1]!thsiFinD("ths_adjustment_nv_fund",H$3,$A594))</x:f>
        <x:v>#NAME?</x:v>
      </x:c>
      <x:c r="I594" t="e">
        <x:f>IF($A594="","",[1]!thsiFinD("ths_adjustment_nv_fund",I$3,$A594))</x:f>
        <x:v>#NAME?</x:v>
      </x:c>
      <x:c r="J594" t="e">
        <x:f>IF($A594="","",[1]!thsiFinD("ths_adjustment_nv_fund",J$3,$A594))</x:f>
        <x:v>#NAME?</x:v>
      </x:c>
      <x:c r="K594" t="e">
        <x:f>IF($A594="","",[1]!thsiFinD("ths_adjustment_nv_fund",K$3,$A594))</x:f>
        <x:v>#NAME?</x:v>
      </x:c>
      <x:c r="L594" t="e">
        <x:f>IF($A594="","",[1]!thsiFinD("ths_adjustment_nv_fund",L$3,$A594))</x:f>
        <x:v>#NAME?</x:v>
      </x:c>
      <x:c r="M594" t="e">
        <x:f>IF($A594="","",[1]!thsiFinD("ths_adjustment_nv_fund",M$3,$A594))</x:f>
        <x:v>#NAME?</x:v>
      </x:c>
      <x:c r="N594" t="e">
        <x:f>IF($A594="","",[1]!thsiFinD("ths_adjustment_nv_fund",N$3,$A594))</x:f>
        <x:v>#NAME?</x:v>
      </x:c>
      <x:c r="O594" t="e">
        <x:f>IF($A594="","",[1]!thsiFinD("ths_adjustment_nv_fund",O$3,$A594))</x:f>
        <x:v>#NAME?</x:v>
      </x:c>
      <x:c r="P594" t="e">
        <x:f>IF($A594="","",[1]!thsiFinD("ths_adjustment_nv_fund",P$3,$A594))</x:f>
        <x:v>#NAME?</x:v>
      </x:c>
      <x:c r="Q594" t="e">
        <x:f>IF($A594="","",[1]!thsiFinD("ths_adjustment_nv_fund",Q$3,$A594))</x:f>
        <x:v>#NAME?</x:v>
      </x:c>
      <x:c r="R594" t="e">
        <x:f>IF($A594="","",[1]!thsiFinD("ths_adjustment_nv_fund",R$3,$A594))</x:f>
        <x:v>#NAME?</x:v>
      </x:c>
      <x:c r="S594" t="e">
        <x:f>IF($A594="","",[1]!thsiFinD("ths_adjustment_nv_fund",S$3,$A594))</x:f>
        <x:v>#NAME?</x:v>
      </x:c>
      <x:c r="T594" t="e">
        <x:f>IF($A594="","",[1]!thsiFinD("ths_adjustment_nv_fund",T$3,$A594))</x:f>
        <x:v>#NAME?</x:v>
      </x:c>
      <x:c r="U594" t="e">
        <x:f>IF($A594="","",[1]!thsiFinD("ths_adjustment_nv_fund",U$3,$A594))</x:f>
        <x:v>#NAME?</x:v>
      </x:c>
      <x:c r="V594" t="e">
        <x:f>IF($A594="","",[1]!thsiFinD("ths_adjustment_nv_fund",V$3,$A594))</x:f>
        <x:v>#NAME?</x:v>
      </x:c>
      <x:c r="W594" t="e">
        <x:f>IF($A594="","",[1]!thsiFinD("ths_adjustment_nv_fund",W$3,$A594))</x:f>
        <x:v>#NAME?</x:v>
      </x:c>
      <x:c r="X594" t="e">
        <x:f>IF($A594="","",[1]!thsiFinD("ths_adjustment_nv_fund",X$3,$A594))</x:f>
        <x:v>#NAME?</x:v>
      </x:c>
      <x:c r="Y594" t="e">
        <x:f>IF($A594="","",[1]!thsiFinD("ths_adjustment_nv_fund",Y$3,$A594))</x:f>
        <x:v>#NAME?</x:v>
      </x:c>
    </x:row>
    <x:row r="595">
      <x:c r="B595" t="e">
        <x:f>IF($A595="","",[1]!thsiFinD("ths_adjustment_nv_fund",B$3,$A595))</x:f>
        <x:v>#NAME?</x:v>
      </x:c>
      <x:c r="C595" t="e">
        <x:f>IF($A595="","",[1]!thsiFinD("ths_adjustment_nv_fund",C$3,$A595))</x:f>
        <x:v>#NAME?</x:v>
      </x:c>
      <x:c r="D595" t="e">
        <x:f>IF($A595="","",[1]!thsiFinD("ths_adjustment_nv_fund",D$3,$A595))</x:f>
        <x:v>#NAME?</x:v>
      </x:c>
      <x:c r="E595" t="e">
        <x:f>IF($A595="","",[1]!thsiFinD("ths_adjustment_nv_fund",E$3,$A595))</x:f>
        <x:v>#NAME?</x:v>
      </x:c>
      <x:c r="F595" t="e">
        <x:f>IF($A595="","",[1]!thsiFinD("ths_adjustment_nv_fund",F$3,$A595))</x:f>
        <x:v>#NAME?</x:v>
      </x:c>
      <x:c r="G595" t="e">
        <x:f>IF($A595="","",[1]!thsiFinD("ths_adjustment_nv_fund",G$3,$A595))</x:f>
        <x:v>#NAME?</x:v>
      </x:c>
      <x:c r="H595" t="e">
        <x:f>IF($A595="","",[1]!thsiFinD("ths_adjustment_nv_fund",H$3,$A595))</x:f>
        <x:v>#NAME?</x:v>
      </x:c>
      <x:c r="I595" t="e">
        <x:f>IF($A595="","",[1]!thsiFinD("ths_adjustment_nv_fund",I$3,$A595))</x:f>
        <x:v>#NAME?</x:v>
      </x:c>
      <x:c r="J595" t="e">
        <x:f>IF($A595="","",[1]!thsiFinD("ths_adjustment_nv_fund",J$3,$A595))</x:f>
        <x:v>#NAME?</x:v>
      </x:c>
      <x:c r="K595" t="e">
        <x:f>IF($A595="","",[1]!thsiFinD("ths_adjustment_nv_fund",K$3,$A595))</x:f>
        <x:v>#NAME?</x:v>
      </x:c>
      <x:c r="L595" t="e">
        <x:f>IF($A595="","",[1]!thsiFinD("ths_adjustment_nv_fund",L$3,$A595))</x:f>
        <x:v>#NAME?</x:v>
      </x:c>
      <x:c r="M595" t="e">
        <x:f>IF($A595="","",[1]!thsiFinD("ths_adjustment_nv_fund",M$3,$A595))</x:f>
        <x:v>#NAME?</x:v>
      </x:c>
      <x:c r="N595" t="e">
        <x:f>IF($A595="","",[1]!thsiFinD("ths_adjustment_nv_fund",N$3,$A595))</x:f>
        <x:v>#NAME?</x:v>
      </x:c>
      <x:c r="O595" t="e">
        <x:f>IF($A595="","",[1]!thsiFinD("ths_adjustment_nv_fund",O$3,$A595))</x:f>
        <x:v>#NAME?</x:v>
      </x:c>
      <x:c r="P595" t="e">
        <x:f>IF($A595="","",[1]!thsiFinD("ths_adjustment_nv_fund",P$3,$A595))</x:f>
        <x:v>#NAME?</x:v>
      </x:c>
      <x:c r="Q595" t="e">
        <x:f>IF($A595="","",[1]!thsiFinD("ths_adjustment_nv_fund",Q$3,$A595))</x:f>
        <x:v>#NAME?</x:v>
      </x:c>
      <x:c r="R595" t="e">
        <x:f>IF($A595="","",[1]!thsiFinD("ths_adjustment_nv_fund",R$3,$A595))</x:f>
        <x:v>#NAME?</x:v>
      </x:c>
      <x:c r="S595" t="e">
        <x:f>IF($A595="","",[1]!thsiFinD("ths_adjustment_nv_fund",S$3,$A595))</x:f>
        <x:v>#NAME?</x:v>
      </x:c>
      <x:c r="T595" t="e">
        <x:f>IF($A595="","",[1]!thsiFinD("ths_adjustment_nv_fund",T$3,$A595))</x:f>
        <x:v>#NAME?</x:v>
      </x:c>
      <x:c r="U595" t="e">
        <x:f>IF($A595="","",[1]!thsiFinD("ths_adjustment_nv_fund",U$3,$A595))</x:f>
        <x:v>#NAME?</x:v>
      </x:c>
      <x:c r="V595" t="e">
        <x:f>IF($A595="","",[1]!thsiFinD("ths_adjustment_nv_fund",V$3,$A595))</x:f>
        <x:v>#NAME?</x:v>
      </x:c>
      <x:c r="W595" t="e">
        <x:f>IF($A595="","",[1]!thsiFinD("ths_adjustment_nv_fund",W$3,$A595))</x:f>
        <x:v>#NAME?</x:v>
      </x:c>
      <x:c r="X595" t="e">
        <x:f>IF($A595="","",[1]!thsiFinD("ths_adjustment_nv_fund",X$3,$A595))</x:f>
        <x:v>#NAME?</x:v>
      </x:c>
      <x:c r="Y595" t="e">
        <x:f>IF($A595="","",[1]!thsiFinD("ths_adjustment_nv_fund",Y$3,$A595))</x:f>
        <x:v>#NAME?</x:v>
      </x:c>
    </x:row>
    <x:row r="596">
      <x:c r="B596" t="e">
        <x:f>IF($A596="","",[1]!thsiFinD("ths_adjustment_nv_fund",B$3,$A596))</x:f>
        <x:v>#NAME?</x:v>
      </x:c>
      <x:c r="C596" t="e">
        <x:f>IF($A596="","",[1]!thsiFinD("ths_adjustment_nv_fund",C$3,$A596))</x:f>
        <x:v>#NAME?</x:v>
      </x:c>
      <x:c r="D596" t="e">
        <x:f>IF($A596="","",[1]!thsiFinD("ths_adjustment_nv_fund",D$3,$A596))</x:f>
        <x:v>#NAME?</x:v>
      </x:c>
      <x:c r="E596" t="e">
        <x:f>IF($A596="","",[1]!thsiFinD("ths_adjustment_nv_fund",E$3,$A596))</x:f>
        <x:v>#NAME?</x:v>
      </x:c>
      <x:c r="F596" t="e">
        <x:f>IF($A596="","",[1]!thsiFinD("ths_adjustment_nv_fund",F$3,$A596))</x:f>
        <x:v>#NAME?</x:v>
      </x:c>
      <x:c r="G596" t="e">
        <x:f>IF($A596="","",[1]!thsiFinD("ths_adjustment_nv_fund",G$3,$A596))</x:f>
        <x:v>#NAME?</x:v>
      </x:c>
      <x:c r="H596" t="e">
        <x:f>IF($A596="","",[1]!thsiFinD("ths_adjustment_nv_fund",H$3,$A596))</x:f>
        <x:v>#NAME?</x:v>
      </x:c>
      <x:c r="I596" t="e">
        <x:f>IF($A596="","",[1]!thsiFinD("ths_adjustment_nv_fund",I$3,$A596))</x:f>
        <x:v>#NAME?</x:v>
      </x:c>
      <x:c r="J596" t="e">
        <x:f>IF($A596="","",[1]!thsiFinD("ths_adjustment_nv_fund",J$3,$A596))</x:f>
        <x:v>#NAME?</x:v>
      </x:c>
      <x:c r="K596" t="e">
        <x:f>IF($A596="","",[1]!thsiFinD("ths_adjustment_nv_fund",K$3,$A596))</x:f>
        <x:v>#NAME?</x:v>
      </x:c>
      <x:c r="L596" t="e">
        <x:f>IF($A596="","",[1]!thsiFinD("ths_adjustment_nv_fund",L$3,$A596))</x:f>
        <x:v>#NAME?</x:v>
      </x:c>
      <x:c r="M596" t="e">
        <x:f>IF($A596="","",[1]!thsiFinD("ths_adjustment_nv_fund",M$3,$A596))</x:f>
        <x:v>#NAME?</x:v>
      </x:c>
      <x:c r="N596" t="e">
        <x:f>IF($A596="","",[1]!thsiFinD("ths_adjustment_nv_fund",N$3,$A596))</x:f>
        <x:v>#NAME?</x:v>
      </x:c>
      <x:c r="O596" t="e">
        <x:f>IF($A596="","",[1]!thsiFinD("ths_adjustment_nv_fund",O$3,$A596))</x:f>
        <x:v>#NAME?</x:v>
      </x:c>
      <x:c r="P596" t="e">
        <x:f>IF($A596="","",[1]!thsiFinD("ths_adjustment_nv_fund",P$3,$A596))</x:f>
        <x:v>#NAME?</x:v>
      </x:c>
      <x:c r="Q596" t="e">
        <x:f>IF($A596="","",[1]!thsiFinD("ths_adjustment_nv_fund",Q$3,$A596))</x:f>
        <x:v>#NAME?</x:v>
      </x:c>
      <x:c r="R596" t="e">
        <x:f>IF($A596="","",[1]!thsiFinD("ths_adjustment_nv_fund",R$3,$A596))</x:f>
        <x:v>#NAME?</x:v>
      </x:c>
      <x:c r="S596" t="e">
        <x:f>IF($A596="","",[1]!thsiFinD("ths_adjustment_nv_fund",S$3,$A596))</x:f>
        <x:v>#NAME?</x:v>
      </x:c>
      <x:c r="T596" t="e">
        <x:f>IF($A596="","",[1]!thsiFinD("ths_adjustment_nv_fund",T$3,$A596))</x:f>
        <x:v>#NAME?</x:v>
      </x:c>
      <x:c r="U596" t="e">
        <x:f>IF($A596="","",[1]!thsiFinD("ths_adjustment_nv_fund",U$3,$A596))</x:f>
        <x:v>#NAME?</x:v>
      </x:c>
      <x:c r="V596" t="e">
        <x:f>IF($A596="","",[1]!thsiFinD("ths_adjustment_nv_fund",V$3,$A596))</x:f>
        <x:v>#NAME?</x:v>
      </x:c>
      <x:c r="W596" t="e">
        <x:f>IF($A596="","",[1]!thsiFinD("ths_adjustment_nv_fund",W$3,$A596))</x:f>
        <x:v>#NAME?</x:v>
      </x:c>
      <x:c r="X596" t="e">
        <x:f>IF($A596="","",[1]!thsiFinD("ths_adjustment_nv_fund",X$3,$A596))</x:f>
        <x:v>#NAME?</x:v>
      </x:c>
      <x:c r="Y596" t="e">
        <x:f>IF($A596="","",[1]!thsiFinD("ths_adjustment_nv_fund",Y$3,$A596))</x:f>
        <x:v>#NAME?</x:v>
      </x:c>
    </x:row>
    <x:row r="597">
      <x:c r="B597" t="e">
        <x:f>IF($A597="","",[1]!thsiFinD("ths_adjustment_nv_fund",B$3,$A597))</x:f>
        <x:v>#NAME?</x:v>
      </x:c>
      <x:c r="C597" t="e">
        <x:f>IF($A597="","",[1]!thsiFinD("ths_adjustment_nv_fund",C$3,$A597))</x:f>
        <x:v>#NAME?</x:v>
      </x:c>
      <x:c r="D597" t="e">
        <x:f>IF($A597="","",[1]!thsiFinD("ths_adjustment_nv_fund",D$3,$A597))</x:f>
        <x:v>#NAME?</x:v>
      </x:c>
      <x:c r="E597" t="e">
        <x:f>IF($A597="","",[1]!thsiFinD("ths_adjustment_nv_fund",E$3,$A597))</x:f>
        <x:v>#NAME?</x:v>
      </x:c>
      <x:c r="F597" t="e">
        <x:f>IF($A597="","",[1]!thsiFinD("ths_adjustment_nv_fund",F$3,$A597))</x:f>
        <x:v>#NAME?</x:v>
      </x:c>
      <x:c r="G597" t="e">
        <x:f>IF($A597="","",[1]!thsiFinD("ths_adjustment_nv_fund",G$3,$A597))</x:f>
        <x:v>#NAME?</x:v>
      </x:c>
      <x:c r="H597" t="e">
        <x:f>IF($A597="","",[1]!thsiFinD("ths_adjustment_nv_fund",H$3,$A597))</x:f>
        <x:v>#NAME?</x:v>
      </x:c>
      <x:c r="I597" t="e">
        <x:f>IF($A597="","",[1]!thsiFinD("ths_adjustment_nv_fund",I$3,$A597))</x:f>
        <x:v>#NAME?</x:v>
      </x:c>
      <x:c r="J597" t="e">
        <x:f>IF($A597="","",[1]!thsiFinD("ths_adjustment_nv_fund",J$3,$A597))</x:f>
        <x:v>#NAME?</x:v>
      </x:c>
      <x:c r="K597" t="e">
        <x:f>IF($A597="","",[1]!thsiFinD("ths_adjustment_nv_fund",K$3,$A597))</x:f>
        <x:v>#NAME?</x:v>
      </x:c>
      <x:c r="L597" t="e">
        <x:f>IF($A597="","",[1]!thsiFinD("ths_adjustment_nv_fund",L$3,$A597))</x:f>
        <x:v>#NAME?</x:v>
      </x:c>
      <x:c r="M597" t="e">
        <x:f>IF($A597="","",[1]!thsiFinD("ths_adjustment_nv_fund",M$3,$A597))</x:f>
        <x:v>#NAME?</x:v>
      </x:c>
      <x:c r="N597" t="e">
        <x:f>IF($A597="","",[1]!thsiFinD("ths_adjustment_nv_fund",N$3,$A597))</x:f>
        <x:v>#NAME?</x:v>
      </x:c>
      <x:c r="O597" t="e">
        <x:f>IF($A597="","",[1]!thsiFinD("ths_adjustment_nv_fund",O$3,$A597))</x:f>
        <x:v>#NAME?</x:v>
      </x:c>
      <x:c r="P597" t="e">
        <x:f>IF($A597="","",[1]!thsiFinD("ths_adjustment_nv_fund",P$3,$A597))</x:f>
        <x:v>#NAME?</x:v>
      </x:c>
      <x:c r="Q597" t="e">
        <x:f>IF($A597="","",[1]!thsiFinD("ths_adjustment_nv_fund",Q$3,$A597))</x:f>
        <x:v>#NAME?</x:v>
      </x:c>
      <x:c r="R597" t="e">
        <x:f>IF($A597="","",[1]!thsiFinD("ths_adjustment_nv_fund",R$3,$A597))</x:f>
        <x:v>#NAME?</x:v>
      </x:c>
      <x:c r="S597" t="e">
        <x:f>IF($A597="","",[1]!thsiFinD("ths_adjustment_nv_fund",S$3,$A597))</x:f>
        <x:v>#NAME?</x:v>
      </x:c>
      <x:c r="T597" t="e">
        <x:f>IF($A597="","",[1]!thsiFinD("ths_adjustment_nv_fund",T$3,$A597))</x:f>
        <x:v>#NAME?</x:v>
      </x:c>
      <x:c r="U597" t="e">
        <x:f>IF($A597="","",[1]!thsiFinD("ths_adjustment_nv_fund",U$3,$A597))</x:f>
        <x:v>#NAME?</x:v>
      </x:c>
      <x:c r="V597" t="e">
        <x:f>IF($A597="","",[1]!thsiFinD("ths_adjustment_nv_fund",V$3,$A597))</x:f>
        <x:v>#NAME?</x:v>
      </x:c>
      <x:c r="W597" t="e">
        <x:f>IF($A597="","",[1]!thsiFinD("ths_adjustment_nv_fund",W$3,$A597))</x:f>
        <x:v>#NAME?</x:v>
      </x:c>
      <x:c r="X597" t="e">
        <x:f>IF($A597="","",[1]!thsiFinD("ths_adjustment_nv_fund",X$3,$A597))</x:f>
        <x:v>#NAME?</x:v>
      </x:c>
      <x:c r="Y597" t="e">
        <x:f>IF($A597="","",[1]!thsiFinD("ths_adjustment_nv_fund",Y$3,$A597))</x:f>
        <x:v>#NAME?</x:v>
      </x:c>
    </x:row>
    <x:row r="598">
      <x:c r="B598" t="e">
        <x:f>IF($A598="","",[1]!thsiFinD("ths_adjustment_nv_fund",B$3,$A598))</x:f>
        <x:v>#NAME?</x:v>
      </x:c>
      <x:c r="C598" t="e">
        <x:f>IF($A598="","",[1]!thsiFinD("ths_adjustment_nv_fund",C$3,$A598))</x:f>
        <x:v>#NAME?</x:v>
      </x:c>
      <x:c r="D598" t="e">
        <x:f>IF($A598="","",[1]!thsiFinD("ths_adjustment_nv_fund",D$3,$A598))</x:f>
        <x:v>#NAME?</x:v>
      </x:c>
      <x:c r="E598" t="e">
        <x:f>IF($A598="","",[1]!thsiFinD("ths_adjustment_nv_fund",E$3,$A598))</x:f>
        <x:v>#NAME?</x:v>
      </x:c>
      <x:c r="F598" t="e">
        <x:f>IF($A598="","",[1]!thsiFinD("ths_adjustment_nv_fund",F$3,$A598))</x:f>
        <x:v>#NAME?</x:v>
      </x:c>
      <x:c r="G598" t="e">
        <x:f>IF($A598="","",[1]!thsiFinD("ths_adjustment_nv_fund",G$3,$A598))</x:f>
        <x:v>#NAME?</x:v>
      </x:c>
      <x:c r="H598" t="e">
        <x:f>IF($A598="","",[1]!thsiFinD("ths_adjustment_nv_fund",H$3,$A598))</x:f>
        <x:v>#NAME?</x:v>
      </x:c>
      <x:c r="I598" t="e">
        <x:f>IF($A598="","",[1]!thsiFinD("ths_adjustment_nv_fund",I$3,$A598))</x:f>
        <x:v>#NAME?</x:v>
      </x:c>
      <x:c r="J598" t="e">
        <x:f>IF($A598="","",[1]!thsiFinD("ths_adjustment_nv_fund",J$3,$A598))</x:f>
        <x:v>#NAME?</x:v>
      </x:c>
      <x:c r="K598" t="e">
        <x:f>IF($A598="","",[1]!thsiFinD("ths_adjustment_nv_fund",K$3,$A598))</x:f>
        <x:v>#NAME?</x:v>
      </x:c>
      <x:c r="L598" t="e">
        <x:f>IF($A598="","",[1]!thsiFinD("ths_adjustment_nv_fund",L$3,$A598))</x:f>
        <x:v>#NAME?</x:v>
      </x:c>
      <x:c r="M598" t="e">
        <x:f>IF($A598="","",[1]!thsiFinD("ths_adjustment_nv_fund",M$3,$A598))</x:f>
        <x:v>#NAME?</x:v>
      </x:c>
      <x:c r="N598" t="e">
        <x:f>IF($A598="","",[1]!thsiFinD("ths_adjustment_nv_fund",N$3,$A598))</x:f>
        <x:v>#NAME?</x:v>
      </x:c>
      <x:c r="O598" t="e">
        <x:f>IF($A598="","",[1]!thsiFinD("ths_adjustment_nv_fund",O$3,$A598))</x:f>
        <x:v>#NAME?</x:v>
      </x:c>
      <x:c r="P598" t="e">
        <x:f>IF($A598="","",[1]!thsiFinD("ths_adjustment_nv_fund",P$3,$A598))</x:f>
        <x:v>#NAME?</x:v>
      </x:c>
      <x:c r="Q598" t="e">
        <x:f>IF($A598="","",[1]!thsiFinD("ths_adjustment_nv_fund",Q$3,$A598))</x:f>
        <x:v>#NAME?</x:v>
      </x:c>
      <x:c r="R598" t="e">
        <x:f>IF($A598="","",[1]!thsiFinD("ths_adjustment_nv_fund",R$3,$A598))</x:f>
        <x:v>#NAME?</x:v>
      </x:c>
      <x:c r="S598" t="e">
        <x:f>IF($A598="","",[1]!thsiFinD("ths_adjustment_nv_fund",S$3,$A598))</x:f>
        <x:v>#NAME?</x:v>
      </x:c>
      <x:c r="T598" t="e">
        <x:f>IF($A598="","",[1]!thsiFinD("ths_adjustment_nv_fund",T$3,$A598))</x:f>
        <x:v>#NAME?</x:v>
      </x:c>
      <x:c r="U598" t="e">
        <x:f>IF($A598="","",[1]!thsiFinD("ths_adjustment_nv_fund",U$3,$A598))</x:f>
        <x:v>#NAME?</x:v>
      </x:c>
      <x:c r="V598" t="e">
        <x:f>IF($A598="","",[1]!thsiFinD("ths_adjustment_nv_fund",V$3,$A598))</x:f>
        <x:v>#NAME?</x:v>
      </x:c>
      <x:c r="W598" t="e">
        <x:f>IF($A598="","",[1]!thsiFinD("ths_adjustment_nv_fund",W$3,$A598))</x:f>
        <x:v>#NAME?</x:v>
      </x:c>
      <x:c r="X598" t="e">
        <x:f>IF($A598="","",[1]!thsiFinD("ths_adjustment_nv_fund",X$3,$A598))</x:f>
        <x:v>#NAME?</x:v>
      </x:c>
      <x:c r="Y598" t="e">
        <x:f>IF($A598="","",[1]!thsiFinD("ths_adjustment_nv_fund",Y$3,$A598))</x:f>
        <x:v>#NAME?</x:v>
      </x:c>
    </x:row>
    <x:row r="599">
      <x:c r="B599" t="e">
        <x:f>IF($A599="","",[1]!thsiFinD("ths_adjustment_nv_fund",B$3,$A599))</x:f>
        <x:v>#NAME?</x:v>
      </x:c>
      <x:c r="C599" t="e">
        <x:f>IF($A599="","",[1]!thsiFinD("ths_adjustment_nv_fund",C$3,$A599))</x:f>
        <x:v>#NAME?</x:v>
      </x:c>
      <x:c r="D599" t="e">
        <x:f>IF($A599="","",[1]!thsiFinD("ths_adjustment_nv_fund",D$3,$A599))</x:f>
        <x:v>#NAME?</x:v>
      </x:c>
      <x:c r="E599" t="e">
        <x:f>IF($A599="","",[1]!thsiFinD("ths_adjustment_nv_fund",E$3,$A599))</x:f>
        <x:v>#NAME?</x:v>
      </x:c>
      <x:c r="F599" t="e">
        <x:f>IF($A599="","",[1]!thsiFinD("ths_adjustment_nv_fund",F$3,$A599))</x:f>
        <x:v>#NAME?</x:v>
      </x:c>
      <x:c r="G599" t="e">
        <x:f>IF($A599="","",[1]!thsiFinD("ths_adjustment_nv_fund",G$3,$A599))</x:f>
        <x:v>#NAME?</x:v>
      </x:c>
      <x:c r="H599" t="e">
        <x:f>IF($A599="","",[1]!thsiFinD("ths_adjustment_nv_fund",H$3,$A599))</x:f>
        <x:v>#NAME?</x:v>
      </x:c>
      <x:c r="I599" t="e">
        <x:f>IF($A599="","",[1]!thsiFinD("ths_adjustment_nv_fund",I$3,$A599))</x:f>
        <x:v>#NAME?</x:v>
      </x:c>
      <x:c r="J599" t="e">
        <x:f>IF($A599="","",[1]!thsiFinD("ths_adjustment_nv_fund",J$3,$A599))</x:f>
        <x:v>#NAME?</x:v>
      </x:c>
      <x:c r="K599" t="e">
        <x:f>IF($A599="","",[1]!thsiFinD("ths_adjustment_nv_fund",K$3,$A599))</x:f>
        <x:v>#NAME?</x:v>
      </x:c>
      <x:c r="L599" t="e">
        <x:f>IF($A599="","",[1]!thsiFinD("ths_adjustment_nv_fund",L$3,$A599))</x:f>
        <x:v>#NAME?</x:v>
      </x:c>
      <x:c r="M599" t="e">
        <x:f>IF($A599="","",[1]!thsiFinD("ths_adjustment_nv_fund",M$3,$A599))</x:f>
        <x:v>#NAME?</x:v>
      </x:c>
      <x:c r="N599" t="e">
        <x:f>IF($A599="","",[1]!thsiFinD("ths_adjustment_nv_fund",N$3,$A599))</x:f>
        <x:v>#NAME?</x:v>
      </x:c>
      <x:c r="O599" t="e">
        <x:f>IF($A599="","",[1]!thsiFinD("ths_adjustment_nv_fund",O$3,$A599))</x:f>
        <x:v>#NAME?</x:v>
      </x:c>
      <x:c r="P599" t="e">
        <x:f>IF($A599="","",[1]!thsiFinD("ths_adjustment_nv_fund",P$3,$A599))</x:f>
        <x:v>#NAME?</x:v>
      </x:c>
      <x:c r="Q599" t="e">
        <x:f>IF($A599="","",[1]!thsiFinD("ths_adjustment_nv_fund",Q$3,$A599))</x:f>
        <x:v>#NAME?</x:v>
      </x:c>
      <x:c r="R599" t="e">
        <x:f>IF($A599="","",[1]!thsiFinD("ths_adjustment_nv_fund",R$3,$A599))</x:f>
        <x:v>#NAME?</x:v>
      </x:c>
      <x:c r="S599" t="e">
        <x:f>IF($A599="","",[1]!thsiFinD("ths_adjustment_nv_fund",S$3,$A599))</x:f>
        <x:v>#NAME?</x:v>
      </x:c>
      <x:c r="T599" t="e">
        <x:f>IF($A599="","",[1]!thsiFinD("ths_adjustment_nv_fund",T$3,$A599))</x:f>
        <x:v>#NAME?</x:v>
      </x:c>
      <x:c r="U599" t="e">
        <x:f>IF($A599="","",[1]!thsiFinD("ths_adjustment_nv_fund",U$3,$A599))</x:f>
        <x:v>#NAME?</x:v>
      </x:c>
      <x:c r="V599" t="e">
        <x:f>IF($A599="","",[1]!thsiFinD("ths_adjustment_nv_fund",V$3,$A599))</x:f>
        <x:v>#NAME?</x:v>
      </x:c>
      <x:c r="W599" t="e">
        <x:f>IF($A599="","",[1]!thsiFinD("ths_adjustment_nv_fund",W$3,$A599))</x:f>
        <x:v>#NAME?</x:v>
      </x:c>
      <x:c r="X599" t="e">
        <x:f>IF($A599="","",[1]!thsiFinD("ths_adjustment_nv_fund",X$3,$A599))</x:f>
        <x:v>#NAME?</x:v>
      </x:c>
      <x:c r="Y599" t="e">
        <x:f>IF($A599="","",[1]!thsiFinD("ths_adjustment_nv_fund",Y$3,$A599))</x:f>
        <x:v>#NAME?</x:v>
      </x:c>
    </x:row>
    <x:row r="600">
      <x:c r="B600" t="e">
        <x:f>IF($A600="","",[1]!thsiFinD("ths_adjustment_nv_fund",B$3,$A600))</x:f>
        <x:v>#NAME?</x:v>
      </x:c>
      <x:c r="C600" t="e">
        <x:f>IF($A600="","",[1]!thsiFinD("ths_adjustment_nv_fund",C$3,$A600))</x:f>
        <x:v>#NAME?</x:v>
      </x:c>
      <x:c r="D600" t="e">
        <x:f>IF($A600="","",[1]!thsiFinD("ths_adjustment_nv_fund",D$3,$A600))</x:f>
        <x:v>#NAME?</x:v>
      </x:c>
      <x:c r="E600" t="e">
        <x:f>IF($A600="","",[1]!thsiFinD("ths_adjustment_nv_fund",E$3,$A600))</x:f>
        <x:v>#NAME?</x:v>
      </x:c>
      <x:c r="F600" t="e">
        <x:f>IF($A600="","",[1]!thsiFinD("ths_adjustment_nv_fund",F$3,$A600))</x:f>
        <x:v>#NAME?</x:v>
      </x:c>
      <x:c r="G600" t="e">
        <x:f>IF($A600="","",[1]!thsiFinD("ths_adjustment_nv_fund",G$3,$A600))</x:f>
        <x:v>#NAME?</x:v>
      </x:c>
      <x:c r="H600" t="e">
        <x:f>IF($A600="","",[1]!thsiFinD("ths_adjustment_nv_fund",H$3,$A600))</x:f>
        <x:v>#NAME?</x:v>
      </x:c>
      <x:c r="I600" t="e">
        <x:f>IF($A600="","",[1]!thsiFinD("ths_adjustment_nv_fund",I$3,$A600))</x:f>
        <x:v>#NAME?</x:v>
      </x:c>
      <x:c r="J600" t="e">
        <x:f>IF($A600="","",[1]!thsiFinD("ths_adjustment_nv_fund",J$3,$A600))</x:f>
        <x:v>#NAME?</x:v>
      </x:c>
      <x:c r="K600" t="e">
        <x:f>IF($A600="","",[1]!thsiFinD("ths_adjustment_nv_fund",K$3,$A600))</x:f>
        <x:v>#NAME?</x:v>
      </x:c>
      <x:c r="L600" t="e">
        <x:f>IF($A600="","",[1]!thsiFinD("ths_adjustment_nv_fund",L$3,$A600))</x:f>
        <x:v>#NAME?</x:v>
      </x:c>
      <x:c r="M600" t="e">
        <x:f>IF($A600="","",[1]!thsiFinD("ths_adjustment_nv_fund",M$3,$A600))</x:f>
        <x:v>#NAME?</x:v>
      </x:c>
      <x:c r="N600" t="e">
        <x:f>IF($A600="","",[1]!thsiFinD("ths_adjustment_nv_fund",N$3,$A600))</x:f>
        <x:v>#NAME?</x:v>
      </x:c>
      <x:c r="O600" t="e">
        <x:f>IF($A600="","",[1]!thsiFinD("ths_adjustment_nv_fund",O$3,$A600))</x:f>
        <x:v>#NAME?</x:v>
      </x:c>
      <x:c r="P600" t="e">
        <x:f>IF($A600="","",[1]!thsiFinD("ths_adjustment_nv_fund",P$3,$A600))</x:f>
        <x:v>#NAME?</x:v>
      </x:c>
      <x:c r="Q600" t="e">
        <x:f>IF($A600="","",[1]!thsiFinD("ths_adjustment_nv_fund",Q$3,$A600))</x:f>
        <x:v>#NAME?</x:v>
      </x:c>
      <x:c r="R600" t="e">
        <x:f>IF($A600="","",[1]!thsiFinD("ths_adjustment_nv_fund",R$3,$A600))</x:f>
        <x:v>#NAME?</x:v>
      </x:c>
      <x:c r="S600" t="e">
        <x:f>IF($A600="","",[1]!thsiFinD("ths_adjustment_nv_fund",S$3,$A600))</x:f>
        <x:v>#NAME?</x:v>
      </x:c>
      <x:c r="T600" t="e">
        <x:f>IF($A600="","",[1]!thsiFinD("ths_adjustment_nv_fund",T$3,$A600))</x:f>
        <x:v>#NAME?</x:v>
      </x:c>
      <x:c r="U600" t="e">
        <x:f>IF($A600="","",[1]!thsiFinD("ths_adjustment_nv_fund",U$3,$A600))</x:f>
        <x:v>#NAME?</x:v>
      </x:c>
      <x:c r="V600" t="e">
        <x:f>IF($A600="","",[1]!thsiFinD("ths_adjustment_nv_fund",V$3,$A600))</x:f>
        <x:v>#NAME?</x:v>
      </x:c>
      <x:c r="W600" t="e">
        <x:f>IF($A600="","",[1]!thsiFinD("ths_adjustment_nv_fund",W$3,$A600))</x:f>
        <x:v>#NAME?</x:v>
      </x:c>
      <x:c r="X600" t="e">
        <x:f>IF($A600="","",[1]!thsiFinD("ths_adjustment_nv_fund",X$3,$A600))</x:f>
        <x:v>#NAME?</x:v>
      </x:c>
      <x:c r="Y600" t="e">
        <x:f>IF($A600="","",[1]!thsiFinD("ths_adjustment_nv_fund",Y$3,$A600))</x:f>
        <x:v>#NAME?</x:v>
      </x:c>
    </x:row>
    <x:row r="601">
      <x:c r="B601" t="e">
        <x:f>IF($A601="","",[1]!thsiFinD("ths_adjustment_nv_fund",B$3,$A601))</x:f>
        <x:v>#NAME?</x:v>
      </x:c>
      <x:c r="C601" t="e">
        <x:f>IF($A601="","",[1]!thsiFinD("ths_adjustment_nv_fund",C$3,$A601))</x:f>
        <x:v>#NAME?</x:v>
      </x:c>
      <x:c r="D601" t="e">
        <x:f>IF($A601="","",[1]!thsiFinD("ths_adjustment_nv_fund",D$3,$A601))</x:f>
        <x:v>#NAME?</x:v>
      </x:c>
      <x:c r="E601" t="e">
        <x:f>IF($A601="","",[1]!thsiFinD("ths_adjustment_nv_fund",E$3,$A601))</x:f>
        <x:v>#NAME?</x:v>
      </x:c>
      <x:c r="F601" t="e">
        <x:f>IF($A601="","",[1]!thsiFinD("ths_adjustment_nv_fund",F$3,$A601))</x:f>
        <x:v>#NAME?</x:v>
      </x:c>
      <x:c r="G601" t="e">
        <x:f>IF($A601="","",[1]!thsiFinD("ths_adjustment_nv_fund",G$3,$A601))</x:f>
        <x:v>#NAME?</x:v>
      </x:c>
      <x:c r="H601" t="e">
        <x:f>IF($A601="","",[1]!thsiFinD("ths_adjustment_nv_fund",H$3,$A601))</x:f>
        <x:v>#NAME?</x:v>
      </x:c>
      <x:c r="I601" t="e">
        <x:f>IF($A601="","",[1]!thsiFinD("ths_adjustment_nv_fund",I$3,$A601))</x:f>
        <x:v>#NAME?</x:v>
      </x:c>
      <x:c r="J601" t="e">
        <x:f>IF($A601="","",[1]!thsiFinD("ths_adjustment_nv_fund",J$3,$A601))</x:f>
        <x:v>#NAME?</x:v>
      </x:c>
      <x:c r="K601" t="e">
        <x:f>IF($A601="","",[1]!thsiFinD("ths_adjustment_nv_fund",K$3,$A601))</x:f>
        <x:v>#NAME?</x:v>
      </x:c>
      <x:c r="L601" t="e">
        <x:f>IF($A601="","",[1]!thsiFinD("ths_adjustment_nv_fund",L$3,$A601))</x:f>
        <x:v>#NAME?</x:v>
      </x:c>
      <x:c r="M601" t="e">
        <x:f>IF($A601="","",[1]!thsiFinD("ths_adjustment_nv_fund",M$3,$A601))</x:f>
        <x:v>#NAME?</x:v>
      </x:c>
      <x:c r="N601" t="e">
        <x:f>IF($A601="","",[1]!thsiFinD("ths_adjustment_nv_fund",N$3,$A601))</x:f>
        <x:v>#NAME?</x:v>
      </x:c>
      <x:c r="O601" t="e">
        <x:f>IF($A601="","",[1]!thsiFinD("ths_adjustment_nv_fund",O$3,$A601))</x:f>
        <x:v>#NAME?</x:v>
      </x:c>
      <x:c r="P601" t="e">
        <x:f>IF($A601="","",[1]!thsiFinD("ths_adjustment_nv_fund",P$3,$A601))</x:f>
        <x:v>#NAME?</x:v>
      </x:c>
      <x:c r="Q601" t="e">
        <x:f>IF($A601="","",[1]!thsiFinD("ths_adjustment_nv_fund",Q$3,$A601))</x:f>
        <x:v>#NAME?</x:v>
      </x:c>
      <x:c r="R601" t="e">
        <x:f>IF($A601="","",[1]!thsiFinD("ths_adjustment_nv_fund",R$3,$A601))</x:f>
        <x:v>#NAME?</x:v>
      </x:c>
      <x:c r="S601" t="e">
        <x:f>IF($A601="","",[1]!thsiFinD("ths_adjustment_nv_fund",S$3,$A601))</x:f>
        <x:v>#NAME?</x:v>
      </x:c>
      <x:c r="T601" t="e">
        <x:f>IF($A601="","",[1]!thsiFinD("ths_adjustment_nv_fund",T$3,$A601))</x:f>
        <x:v>#NAME?</x:v>
      </x:c>
      <x:c r="U601" t="e">
        <x:f>IF($A601="","",[1]!thsiFinD("ths_adjustment_nv_fund",U$3,$A601))</x:f>
        <x:v>#NAME?</x:v>
      </x:c>
      <x:c r="V601" t="e">
        <x:f>IF($A601="","",[1]!thsiFinD("ths_adjustment_nv_fund",V$3,$A601))</x:f>
        <x:v>#NAME?</x:v>
      </x:c>
      <x:c r="W601" t="e">
        <x:f>IF($A601="","",[1]!thsiFinD("ths_adjustment_nv_fund",W$3,$A601))</x:f>
        <x:v>#NAME?</x:v>
      </x:c>
      <x:c r="X601" t="e">
        <x:f>IF($A601="","",[1]!thsiFinD("ths_adjustment_nv_fund",X$3,$A601))</x:f>
        <x:v>#NAME?</x:v>
      </x:c>
      <x:c r="Y601" t="e">
        <x:f>IF($A601="","",[1]!thsiFinD("ths_adjustment_nv_fund",Y$3,$A601))</x:f>
        <x:v>#NAME?</x:v>
      </x:c>
    </x:row>
    <x:row r="602">
      <x:c r="B602" t="e">
        <x:f>IF($A602="","",[1]!thsiFinD("ths_adjustment_nv_fund",B$3,$A602))</x:f>
        <x:v>#NAME?</x:v>
      </x:c>
      <x:c r="C602" t="e">
        <x:f>IF($A602="","",[1]!thsiFinD("ths_adjustment_nv_fund",C$3,$A602))</x:f>
        <x:v>#NAME?</x:v>
      </x:c>
      <x:c r="D602" t="e">
        <x:f>IF($A602="","",[1]!thsiFinD("ths_adjustment_nv_fund",D$3,$A602))</x:f>
        <x:v>#NAME?</x:v>
      </x:c>
      <x:c r="E602" t="e">
        <x:f>IF($A602="","",[1]!thsiFinD("ths_adjustment_nv_fund",E$3,$A602))</x:f>
        <x:v>#NAME?</x:v>
      </x:c>
      <x:c r="F602" t="e">
        <x:f>IF($A602="","",[1]!thsiFinD("ths_adjustment_nv_fund",F$3,$A602))</x:f>
        <x:v>#NAME?</x:v>
      </x:c>
      <x:c r="G602" t="e">
        <x:f>IF($A602="","",[1]!thsiFinD("ths_adjustment_nv_fund",G$3,$A602))</x:f>
        <x:v>#NAME?</x:v>
      </x:c>
      <x:c r="H602" t="e">
        <x:f>IF($A602="","",[1]!thsiFinD("ths_adjustment_nv_fund",H$3,$A602))</x:f>
        <x:v>#NAME?</x:v>
      </x:c>
      <x:c r="I602" t="e">
        <x:f>IF($A602="","",[1]!thsiFinD("ths_adjustment_nv_fund",I$3,$A602))</x:f>
        <x:v>#NAME?</x:v>
      </x:c>
      <x:c r="J602" t="e">
        <x:f>IF($A602="","",[1]!thsiFinD("ths_adjustment_nv_fund",J$3,$A602))</x:f>
        <x:v>#NAME?</x:v>
      </x:c>
      <x:c r="K602" t="e">
        <x:f>IF($A602="","",[1]!thsiFinD("ths_adjustment_nv_fund",K$3,$A602))</x:f>
        <x:v>#NAME?</x:v>
      </x:c>
      <x:c r="L602" t="e">
        <x:f>IF($A602="","",[1]!thsiFinD("ths_adjustment_nv_fund",L$3,$A602))</x:f>
        <x:v>#NAME?</x:v>
      </x:c>
      <x:c r="M602" t="e">
        <x:f>IF($A602="","",[1]!thsiFinD("ths_adjustment_nv_fund",M$3,$A602))</x:f>
        <x:v>#NAME?</x:v>
      </x:c>
      <x:c r="N602" t="e">
        <x:f>IF($A602="","",[1]!thsiFinD("ths_adjustment_nv_fund",N$3,$A602))</x:f>
        <x:v>#NAME?</x:v>
      </x:c>
      <x:c r="O602" t="e">
        <x:f>IF($A602="","",[1]!thsiFinD("ths_adjustment_nv_fund",O$3,$A602))</x:f>
        <x:v>#NAME?</x:v>
      </x:c>
      <x:c r="P602" t="e">
        <x:f>IF($A602="","",[1]!thsiFinD("ths_adjustment_nv_fund",P$3,$A602))</x:f>
        <x:v>#NAME?</x:v>
      </x:c>
      <x:c r="Q602" t="e">
        <x:f>IF($A602="","",[1]!thsiFinD("ths_adjustment_nv_fund",Q$3,$A602))</x:f>
        <x:v>#NAME?</x:v>
      </x:c>
      <x:c r="R602" t="e">
        <x:f>IF($A602="","",[1]!thsiFinD("ths_adjustment_nv_fund",R$3,$A602))</x:f>
        <x:v>#NAME?</x:v>
      </x:c>
      <x:c r="S602" t="e">
        <x:f>IF($A602="","",[1]!thsiFinD("ths_adjustment_nv_fund",S$3,$A602))</x:f>
        <x:v>#NAME?</x:v>
      </x:c>
      <x:c r="T602" t="e">
        <x:f>IF($A602="","",[1]!thsiFinD("ths_adjustment_nv_fund",T$3,$A602))</x:f>
        <x:v>#NAME?</x:v>
      </x:c>
      <x:c r="U602" t="e">
        <x:f>IF($A602="","",[1]!thsiFinD("ths_adjustment_nv_fund",U$3,$A602))</x:f>
        <x:v>#NAME?</x:v>
      </x:c>
      <x:c r="V602" t="e">
        <x:f>IF($A602="","",[1]!thsiFinD("ths_adjustment_nv_fund",V$3,$A602))</x:f>
        <x:v>#NAME?</x:v>
      </x:c>
      <x:c r="W602" t="e">
        <x:f>IF($A602="","",[1]!thsiFinD("ths_adjustment_nv_fund",W$3,$A602))</x:f>
        <x:v>#NAME?</x:v>
      </x:c>
      <x:c r="X602" t="e">
        <x:f>IF($A602="","",[1]!thsiFinD("ths_adjustment_nv_fund",X$3,$A602))</x:f>
        <x:v>#NAME?</x:v>
      </x:c>
      <x:c r="Y602" t="e">
        <x:f>IF($A602="","",[1]!thsiFinD("ths_adjustment_nv_fund",Y$3,$A602))</x:f>
        <x:v>#NAME?</x:v>
      </x:c>
    </x:row>
    <x:row r="603">
      <x:c r="B603" t="e">
        <x:f>IF($A603="","",[1]!thsiFinD("ths_adjustment_nv_fund",B$3,$A603))</x:f>
        <x:v>#NAME?</x:v>
      </x:c>
      <x:c r="C603" t="e">
        <x:f>IF($A603="","",[1]!thsiFinD("ths_adjustment_nv_fund",C$3,$A603))</x:f>
        <x:v>#NAME?</x:v>
      </x:c>
      <x:c r="D603" t="e">
        <x:f>IF($A603="","",[1]!thsiFinD("ths_adjustment_nv_fund",D$3,$A603))</x:f>
        <x:v>#NAME?</x:v>
      </x:c>
      <x:c r="E603" t="e">
        <x:f>IF($A603="","",[1]!thsiFinD("ths_adjustment_nv_fund",E$3,$A603))</x:f>
        <x:v>#NAME?</x:v>
      </x:c>
      <x:c r="F603" t="e">
        <x:f>IF($A603="","",[1]!thsiFinD("ths_adjustment_nv_fund",F$3,$A603))</x:f>
        <x:v>#NAME?</x:v>
      </x:c>
      <x:c r="G603" t="e">
        <x:f>IF($A603="","",[1]!thsiFinD("ths_adjustment_nv_fund",G$3,$A603))</x:f>
        <x:v>#NAME?</x:v>
      </x:c>
      <x:c r="H603" t="e">
        <x:f>IF($A603="","",[1]!thsiFinD("ths_adjustment_nv_fund",H$3,$A603))</x:f>
        <x:v>#NAME?</x:v>
      </x:c>
      <x:c r="I603" t="e">
        <x:f>IF($A603="","",[1]!thsiFinD("ths_adjustment_nv_fund",I$3,$A603))</x:f>
        <x:v>#NAME?</x:v>
      </x:c>
      <x:c r="J603" t="e">
        <x:f>IF($A603="","",[1]!thsiFinD("ths_adjustment_nv_fund",J$3,$A603))</x:f>
        <x:v>#NAME?</x:v>
      </x:c>
      <x:c r="K603" t="e">
        <x:f>IF($A603="","",[1]!thsiFinD("ths_adjustment_nv_fund",K$3,$A603))</x:f>
        <x:v>#NAME?</x:v>
      </x:c>
      <x:c r="L603" t="e">
        <x:f>IF($A603="","",[1]!thsiFinD("ths_adjustment_nv_fund",L$3,$A603))</x:f>
        <x:v>#NAME?</x:v>
      </x:c>
      <x:c r="M603" t="e">
        <x:f>IF($A603="","",[1]!thsiFinD("ths_adjustment_nv_fund",M$3,$A603))</x:f>
        <x:v>#NAME?</x:v>
      </x:c>
      <x:c r="N603" t="e">
        <x:f>IF($A603="","",[1]!thsiFinD("ths_adjustment_nv_fund",N$3,$A603))</x:f>
        <x:v>#NAME?</x:v>
      </x:c>
      <x:c r="O603" t="e">
        <x:f>IF($A603="","",[1]!thsiFinD("ths_adjustment_nv_fund",O$3,$A603))</x:f>
        <x:v>#NAME?</x:v>
      </x:c>
      <x:c r="P603" t="e">
        <x:f>IF($A603="","",[1]!thsiFinD("ths_adjustment_nv_fund",P$3,$A603))</x:f>
        <x:v>#NAME?</x:v>
      </x:c>
      <x:c r="Q603" t="e">
        <x:f>IF($A603="","",[1]!thsiFinD("ths_adjustment_nv_fund",Q$3,$A603))</x:f>
        <x:v>#NAME?</x:v>
      </x:c>
      <x:c r="R603" t="e">
        <x:f>IF($A603="","",[1]!thsiFinD("ths_adjustment_nv_fund",R$3,$A603))</x:f>
        <x:v>#NAME?</x:v>
      </x:c>
      <x:c r="S603" t="e">
        <x:f>IF($A603="","",[1]!thsiFinD("ths_adjustment_nv_fund",S$3,$A603))</x:f>
        <x:v>#NAME?</x:v>
      </x:c>
      <x:c r="T603" t="e">
        <x:f>IF($A603="","",[1]!thsiFinD("ths_adjustment_nv_fund",T$3,$A603))</x:f>
        <x:v>#NAME?</x:v>
      </x:c>
      <x:c r="U603" t="e">
        <x:f>IF($A603="","",[1]!thsiFinD("ths_adjustment_nv_fund",U$3,$A603))</x:f>
        <x:v>#NAME?</x:v>
      </x:c>
      <x:c r="V603" t="e">
        <x:f>IF($A603="","",[1]!thsiFinD("ths_adjustment_nv_fund",V$3,$A603))</x:f>
        <x:v>#NAME?</x:v>
      </x:c>
      <x:c r="W603" t="e">
        <x:f>IF($A603="","",[1]!thsiFinD("ths_adjustment_nv_fund",W$3,$A603))</x:f>
        <x:v>#NAME?</x:v>
      </x:c>
      <x:c r="X603" t="e">
        <x:f>IF($A603="","",[1]!thsiFinD("ths_adjustment_nv_fund",X$3,$A603))</x:f>
        <x:v>#NAME?</x:v>
      </x:c>
      <x:c r="Y603" t="e">
        <x:f>IF($A603="","",[1]!thsiFinD("ths_adjustment_nv_fund",Y$3,$A603))</x:f>
        <x:v>#NAME?</x:v>
      </x:c>
    </x:row>
    <x:row r="604">
      <x:c r="B604" t="e">
        <x:f>IF($A604="","",[1]!thsiFinD("ths_adjustment_nv_fund",B$3,$A604))</x:f>
        <x:v>#NAME?</x:v>
      </x:c>
      <x:c r="C604" t="e">
        <x:f>IF($A604="","",[1]!thsiFinD("ths_adjustment_nv_fund",C$3,$A604))</x:f>
        <x:v>#NAME?</x:v>
      </x:c>
      <x:c r="D604" t="e">
        <x:f>IF($A604="","",[1]!thsiFinD("ths_adjustment_nv_fund",D$3,$A604))</x:f>
        <x:v>#NAME?</x:v>
      </x:c>
      <x:c r="E604" t="e">
        <x:f>IF($A604="","",[1]!thsiFinD("ths_adjustment_nv_fund",E$3,$A604))</x:f>
        <x:v>#NAME?</x:v>
      </x:c>
      <x:c r="F604" t="e">
        <x:f>IF($A604="","",[1]!thsiFinD("ths_adjustment_nv_fund",F$3,$A604))</x:f>
        <x:v>#NAME?</x:v>
      </x:c>
      <x:c r="G604" t="e">
        <x:f>IF($A604="","",[1]!thsiFinD("ths_adjustment_nv_fund",G$3,$A604))</x:f>
        <x:v>#NAME?</x:v>
      </x:c>
      <x:c r="H604" t="e">
        <x:f>IF($A604="","",[1]!thsiFinD("ths_adjustment_nv_fund",H$3,$A604))</x:f>
        <x:v>#NAME?</x:v>
      </x:c>
      <x:c r="I604" t="e">
        <x:f>IF($A604="","",[1]!thsiFinD("ths_adjustment_nv_fund",I$3,$A604))</x:f>
        <x:v>#NAME?</x:v>
      </x:c>
      <x:c r="J604" t="e">
        <x:f>IF($A604="","",[1]!thsiFinD("ths_adjustment_nv_fund",J$3,$A604))</x:f>
        <x:v>#NAME?</x:v>
      </x:c>
      <x:c r="K604" t="e">
        <x:f>IF($A604="","",[1]!thsiFinD("ths_adjustment_nv_fund",K$3,$A604))</x:f>
        <x:v>#NAME?</x:v>
      </x:c>
      <x:c r="L604" t="e">
        <x:f>IF($A604="","",[1]!thsiFinD("ths_adjustment_nv_fund",L$3,$A604))</x:f>
        <x:v>#NAME?</x:v>
      </x:c>
      <x:c r="M604" t="e">
        <x:f>IF($A604="","",[1]!thsiFinD("ths_adjustment_nv_fund",M$3,$A604))</x:f>
        <x:v>#NAME?</x:v>
      </x:c>
      <x:c r="N604" t="e">
        <x:f>IF($A604="","",[1]!thsiFinD("ths_adjustment_nv_fund",N$3,$A604))</x:f>
        <x:v>#NAME?</x:v>
      </x:c>
      <x:c r="O604" t="e">
        <x:f>IF($A604="","",[1]!thsiFinD("ths_adjustment_nv_fund",O$3,$A604))</x:f>
        <x:v>#NAME?</x:v>
      </x:c>
      <x:c r="P604" t="e">
        <x:f>IF($A604="","",[1]!thsiFinD("ths_adjustment_nv_fund",P$3,$A604))</x:f>
        <x:v>#NAME?</x:v>
      </x:c>
      <x:c r="Q604" t="e">
        <x:f>IF($A604="","",[1]!thsiFinD("ths_adjustment_nv_fund",Q$3,$A604))</x:f>
        <x:v>#NAME?</x:v>
      </x:c>
      <x:c r="R604" t="e">
        <x:f>IF($A604="","",[1]!thsiFinD("ths_adjustment_nv_fund",R$3,$A604))</x:f>
        <x:v>#NAME?</x:v>
      </x:c>
      <x:c r="S604" t="e">
        <x:f>IF($A604="","",[1]!thsiFinD("ths_adjustment_nv_fund",S$3,$A604))</x:f>
        <x:v>#NAME?</x:v>
      </x:c>
      <x:c r="T604" t="e">
        <x:f>IF($A604="","",[1]!thsiFinD("ths_adjustment_nv_fund",T$3,$A604))</x:f>
        <x:v>#NAME?</x:v>
      </x:c>
      <x:c r="U604" t="e">
        <x:f>IF($A604="","",[1]!thsiFinD("ths_adjustment_nv_fund",U$3,$A604))</x:f>
        <x:v>#NAME?</x:v>
      </x:c>
      <x:c r="V604" t="e">
        <x:f>IF($A604="","",[1]!thsiFinD("ths_adjustment_nv_fund",V$3,$A604))</x:f>
        <x:v>#NAME?</x:v>
      </x:c>
      <x:c r="W604" t="e">
        <x:f>IF($A604="","",[1]!thsiFinD("ths_adjustment_nv_fund",W$3,$A604))</x:f>
        <x:v>#NAME?</x:v>
      </x:c>
      <x:c r="X604" t="e">
        <x:f>IF($A604="","",[1]!thsiFinD("ths_adjustment_nv_fund",X$3,$A604))</x:f>
        <x:v>#NAME?</x:v>
      </x:c>
      <x:c r="Y604" t="e">
        <x:f>IF($A604="","",[1]!thsiFinD("ths_adjustment_nv_fund",Y$3,$A604))</x:f>
        <x:v>#NAME?</x:v>
      </x:c>
    </x:row>
    <x:row r="605">
      <x:c r="B605" t="e">
        <x:f>IF($A605="","",[1]!thsiFinD("ths_adjustment_nv_fund",B$3,$A605))</x:f>
        <x:v>#NAME?</x:v>
      </x:c>
      <x:c r="C605" t="e">
        <x:f>IF($A605="","",[1]!thsiFinD("ths_adjustment_nv_fund",C$3,$A605))</x:f>
        <x:v>#NAME?</x:v>
      </x:c>
      <x:c r="D605" t="e">
        <x:f>IF($A605="","",[1]!thsiFinD("ths_adjustment_nv_fund",D$3,$A605))</x:f>
        <x:v>#NAME?</x:v>
      </x:c>
      <x:c r="E605" t="e">
        <x:f>IF($A605="","",[1]!thsiFinD("ths_adjustment_nv_fund",E$3,$A605))</x:f>
        <x:v>#NAME?</x:v>
      </x:c>
      <x:c r="F605" t="e">
        <x:f>IF($A605="","",[1]!thsiFinD("ths_adjustment_nv_fund",F$3,$A605))</x:f>
        <x:v>#NAME?</x:v>
      </x:c>
      <x:c r="G605" t="e">
        <x:f>IF($A605="","",[1]!thsiFinD("ths_adjustment_nv_fund",G$3,$A605))</x:f>
        <x:v>#NAME?</x:v>
      </x:c>
      <x:c r="H605" t="e">
        <x:f>IF($A605="","",[1]!thsiFinD("ths_adjustment_nv_fund",H$3,$A605))</x:f>
        <x:v>#NAME?</x:v>
      </x:c>
      <x:c r="I605" t="e">
        <x:f>IF($A605="","",[1]!thsiFinD("ths_adjustment_nv_fund",I$3,$A605))</x:f>
        <x:v>#NAME?</x:v>
      </x:c>
      <x:c r="J605" t="e">
        <x:f>IF($A605="","",[1]!thsiFinD("ths_adjustment_nv_fund",J$3,$A605))</x:f>
        <x:v>#NAME?</x:v>
      </x:c>
      <x:c r="K605" t="e">
        <x:f>IF($A605="","",[1]!thsiFinD("ths_adjustment_nv_fund",K$3,$A605))</x:f>
        <x:v>#NAME?</x:v>
      </x:c>
      <x:c r="L605" t="e">
        <x:f>IF($A605="","",[1]!thsiFinD("ths_adjustment_nv_fund",L$3,$A605))</x:f>
        <x:v>#NAME?</x:v>
      </x:c>
      <x:c r="M605" t="e">
        <x:f>IF($A605="","",[1]!thsiFinD("ths_adjustment_nv_fund",M$3,$A605))</x:f>
        <x:v>#NAME?</x:v>
      </x:c>
      <x:c r="N605" t="e">
        <x:f>IF($A605="","",[1]!thsiFinD("ths_adjustment_nv_fund",N$3,$A605))</x:f>
        <x:v>#NAME?</x:v>
      </x:c>
      <x:c r="O605" t="e">
        <x:f>IF($A605="","",[1]!thsiFinD("ths_adjustment_nv_fund",O$3,$A605))</x:f>
        <x:v>#NAME?</x:v>
      </x:c>
      <x:c r="P605" t="e">
        <x:f>IF($A605="","",[1]!thsiFinD("ths_adjustment_nv_fund",P$3,$A605))</x:f>
        <x:v>#NAME?</x:v>
      </x:c>
      <x:c r="Q605" t="e">
        <x:f>IF($A605="","",[1]!thsiFinD("ths_adjustment_nv_fund",Q$3,$A605))</x:f>
        <x:v>#NAME?</x:v>
      </x:c>
      <x:c r="R605" t="e">
        <x:f>IF($A605="","",[1]!thsiFinD("ths_adjustment_nv_fund",R$3,$A605))</x:f>
        <x:v>#NAME?</x:v>
      </x:c>
      <x:c r="S605" t="e">
        <x:f>IF($A605="","",[1]!thsiFinD("ths_adjustment_nv_fund",S$3,$A605))</x:f>
        <x:v>#NAME?</x:v>
      </x:c>
      <x:c r="T605" t="e">
        <x:f>IF($A605="","",[1]!thsiFinD("ths_adjustment_nv_fund",T$3,$A605))</x:f>
        <x:v>#NAME?</x:v>
      </x:c>
      <x:c r="U605" t="e">
        <x:f>IF($A605="","",[1]!thsiFinD("ths_adjustment_nv_fund",U$3,$A605))</x:f>
        <x:v>#NAME?</x:v>
      </x:c>
      <x:c r="V605" t="e">
        <x:f>IF($A605="","",[1]!thsiFinD("ths_adjustment_nv_fund",V$3,$A605))</x:f>
        <x:v>#NAME?</x:v>
      </x:c>
      <x:c r="W605" t="e">
        <x:f>IF($A605="","",[1]!thsiFinD("ths_adjustment_nv_fund",W$3,$A605))</x:f>
        <x:v>#NAME?</x:v>
      </x:c>
      <x:c r="X605" t="e">
        <x:f>IF($A605="","",[1]!thsiFinD("ths_adjustment_nv_fund",X$3,$A605))</x:f>
        <x:v>#NAME?</x:v>
      </x:c>
      <x:c r="Y605" t="e">
        <x:f>IF($A605="","",[1]!thsiFinD("ths_adjustment_nv_fund",Y$3,$A605))</x:f>
        <x:v>#NAME?</x:v>
      </x:c>
    </x:row>
    <x:row r="606">
      <x:c r="B606" t="e">
        <x:f>IF($A606="","",[1]!thsiFinD("ths_adjustment_nv_fund",B$3,$A606))</x:f>
        <x:v>#NAME?</x:v>
      </x:c>
      <x:c r="C606" t="e">
        <x:f>IF($A606="","",[1]!thsiFinD("ths_adjustment_nv_fund",C$3,$A606))</x:f>
        <x:v>#NAME?</x:v>
      </x:c>
      <x:c r="D606" t="e">
        <x:f>IF($A606="","",[1]!thsiFinD("ths_adjustment_nv_fund",D$3,$A606))</x:f>
        <x:v>#NAME?</x:v>
      </x:c>
      <x:c r="E606" t="e">
        <x:f>IF($A606="","",[1]!thsiFinD("ths_adjustment_nv_fund",E$3,$A606))</x:f>
        <x:v>#NAME?</x:v>
      </x:c>
      <x:c r="F606" t="e">
        <x:f>IF($A606="","",[1]!thsiFinD("ths_adjustment_nv_fund",F$3,$A606))</x:f>
        <x:v>#NAME?</x:v>
      </x:c>
      <x:c r="G606" t="e">
        <x:f>IF($A606="","",[1]!thsiFinD("ths_adjustment_nv_fund",G$3,$A606))</x:f>
        <x:v>#NAME?</x:v>
      </x:c>
      <x:c r="H606" t="e">
        <x:f>IF($A606="","",[1]!thsiFinD("ths_adjustment_nv_fund",H$3,$A606))</x:f>
        <x:v>#NAME?</x:v>
      </x:c>
      <x:c r="I606" t="e">
        <x:f>IF($A606="","",[1]!thsiFinD("ths_adjustment_nv_fund",I$3,$A606))</x:f>
        <x:v>#NAME?</x:v>
      </x:c>
      <x:c r="J606" t="e">
        <x:f>IF($A606="","",[1]!thsiFinD("ths_adjustment_nv_fund",J$3,$A606))</x:f>
        <x:v>#NAME?</x:v>
      </x:c>
      <x:c r="K606" t="e">
        <x:f>IF($A606="","",[1]!thsiFinD("ths_adjustment_nv_fund",K$3,$A606))</x:f>
        <x:v>#NAME?</x:v>
      </x:c>
      <x:c r="L606" t="e">
        <x:f>IF($A606="","",[1]!thsiFinD("ths_adjustment_nv_fund",L$3,$A606))</x:f>
        <x:v>#NAME?</x:v>
      </x:c>
      <x:c r="M606" t="e">
        <x:f>IF($A606="","",[1]!thsiFinD("ths_adjustment_nv_fund",M$3,$A606))</x:f>
        <x:v>#NAME?</x:v>
      </x:c>
      <x:c r="N606" t="e">
        <x:f>IF($A606="","",[1]!thsiFinD("ths_adjustment_nv_fund",N$3,$A606))</x:f>
        <x:v>#NAME?</x:v>
      </x:c>
      <x:c r="O606" t="e">
        <x:f>IF($A606="","",[1]!thsiFinD("ths_adjustment_nv_fund",O$3,$A606))</x:f>
        <x:v>#NAME?</x:v>
      </x:c>
      <x:c r="P606" t="e">
        <x:f>IF($A606="","",[1]!thsiFinD("ths_adjustment_nv_fund",P$3,$A606))</x:f>
        <x:v>#NAME?</x:v>
      </x:c>
      <x:c r="Q606" t="e">
        <x:f>IF($A606="","",[1]!thsiFinD("ths_adjustment_nv_fund",Q$3,$A606))</x:f>
        <x:v>#NAME?</x:v>
      </x:c>
      <x:c r="R606" t="e">
        <x:f>IF($A606="","",[1]!thsiFinD("ths_adjustment_nv_fund",R$3,$A606))</x:f>
        <x:v>#NAME?</x:v>
      </x:c>
      <x:c r="S606" t="e">
        <x:f>IF($A606="","",[1]!thsiFinD("ths_adjustment_nv_fund",S$3,$A606))</x:f>
        <x:v>#NAME?</x:v>
      </x:c>
      <x:c r="T606" t="e">
        <x:f>IF($A606="","",[1]!thsiFinD("ths_adjustment_nv_fund",T$3,$A606))</x:f>
        <x:v>#NAME?</x:v>
      </x:c>
      <x:c r="U606" t="e">
        <x:f>IF($A606="","",[1]!thsiFinD("ths_adjustment_nv_fund",U$3,$A606))</x:f>
        <x:v>#NAME?</x:v>
      </x:c>
      <x:c r="V606" t="e">
        <x:f>IF($A606="","",[1]!thsiFinD("ths_adjustment_nv_fund",V$3,$A606))</x:f>
        <x:v>#NAME?</x:v>
      </x:c>
      <x:c r="W606" t="e">
        <x:f>IF($A606="","",[1]!thsiFinD("ths_adjustment_nv_fund",W$3,$A606))</x:f>
        <x:v>#NAME?</x:v>
      </x:c>
      <x:c r="X606" t="e">
        <x:f>IF($A606="","",[1]!thsiFinD("ths_adjustment_nv_fund",X$3,$A606))</x:f>
        <x:v>#NAME?</x:v>
      </x:c>
      <x:c r="Y606" t="e">
        <x:f>IF($A606="","",[1]!thsiFinD("ths_adjustment_nv_fund",Y$3,$A606))</x:f>
        <x:v>#NAME?</x:v>
      </x:c>
    </x:row>
    <x:row r="607">
      <x:c r="B607" t="e">
        <x:f>IF($A607="","",[1]!thsiFinD("ths_adjustment_nv_fund",B$3,$A607))</x:f>
        <x:v>#NAME?</x:v>
      </x:c>
      <x:c r="C607" t="e">
        <x:f>IF($A607="","",[1]!thsiFinD("ths_adjustment_nv_fund",C$3,$A607))</x:f>
        <x:v>#NAME?</x:v>
      </x:c>
      <x:c r="D607" t="e">
        <x:f>IF($A607="","",[1]!thsiFinD("ths_adjustment_nv_fund",D$3,$A607))</x:f>
        <x:v>#NAME?</x:v>
      </x:c>
      <x:c r="E607" t="e">
        <x:f>IF($A607="","",[1]!thsiFinD("ths_adjustment_nv_fund",E$3,$A607))</x:f>
        <x:v>#NAME?</x:v>
      </x:c>
      <x:c r="F607" t="e">
        <x:f>IF($A607="","",[1]!thsiFinD("ths_adjustment_nv_fund",F$3,$A607))</x:f>
        <x:v>#NAME?</x:v>
      </x:c>
      <x:c r="G607" t="e">
        <x:f>IF($A607="","",[1]!thsiFinD("ths_adjustment_nv_fund",G$3,$A607))</x:f>
        <x:v>#NAME?</x:v>
      </x:c>
      <x:c r="H607" t="e">
        <x:f>IF($A607="","",[1]!thsiFinD("ths_adjustment_nv_fund",H$3,$A607))</x:f>
        <x:v>#NAME?</x:v>
      </x:c>
      <x:c r="I607" t="e">
        <x:f>IF($A607="","",[1]!thsiFinD("ths_adjustment_nv_fund",I$3,$A607))</x:f>
        <x:v>#NAME?</x:v>
      </x:c>
      <x:c r="J607" t="e">
        <x:f>IF($A607="","",[1]!thsiFinD("ths_adjustment_nv_fund",J$3,$A607))</x:f>
        <x:v>#NAME?</x:v>
      </x:c>
      <x:c r="K607" t="e">
        <x:f>IF($A607="","",[1]!thsiFinD("ths_adjustment_nv_fund",K$3,$A607))</x:f>
        <x:v>#NAME?</x:v>
      </x:c>
      <x:c r="L607" t="e">
        <x:f>IF($A607="","",[1]!thsiFinD("ths_adjustment_nv_fund",L$3,$A607))</x:f>
        <x:v>#NAME?</x:v>
      </x:c>
      <x:c r="M607" t="e">
        <x:f>IF($A607="","",[1]!thsiFinD("ths_adjustment_nv_fund",M$3,$A607))</x:f>
        <x:v>#NAME?</x:v>
      </x:c>
      <x:c r="N607" t="e">
        <x:f>IF($A607="","",[1]!thsiFinD("ths_adjustment_nv_fund",N$3,$A607))</x:f>
        <x:v>#NAME?</x:v>
      </x:c>
      <x:c r="O607" t="e">
        <x:f>IF($A607="","",[1]!thsiFinD("ths_adjustment_nv_fund",O$3,$A607))</x:f>
        <x:v>#NAME?</x:v>
      </x:c>
      <x:c r="P607" t="e">
        <x:f>IF($A607="","",[1]!thsiFinD("ths_adjustment_nv_fund",P$3,$A607))</x:f>
        <x:v>#NAME?</x:v>
      </x:c>
      <x:c r="Q607" t="e">
        <x:f>IF($A607="","",[1]!thsiFinD("ths_adjustment_nv_fund",Q$3,$A607))</x:f>
        <x:v>#NAME?</x:v>
      </x:c>
      <x:c r="R607" t="e">
        <x:f>IF($A607="","",[1]!thsiFinD("ths_adjustment_nv_fund",R$3,$A607))</x:f>
        <x:v>#NAME?</x:v>
      </x:c>
      <x:c r="S607" t="e">
        <x:f>IF($A607="","",[1]!thsiFinD("ths_adjustment_nv_fund",S$3,$A607))</x:f>
        <x:v>#NAME?</x:v>
      </x:c>
      <x:c r="T607" t="e">
        <x:f>IF($A607="","",[1]!thsiFinD("ths_adjustment_nv_fund",T$3,$A607))</x:f>
        <x:v>#NAME?</x:v>
      </x:c>
      <x:c r="U607" t="e">
        <x:f>IF($A607="","",[1]!thsiFinD("ths_adjustment_nv_fund",U$3,$A607))</x:f>
        <x:v>#NAME?</x:v>
      </x:c>
      <x:c r="V607" t="e">
        <x:f>IF($A607="","",[1]!thsiFinD("ths_adjustment_nv_fund",V$3,$A607))</x:f>
        <x:v>#NAME?</x:v>
      </x:c>
      <x:c r="W607" t="e">
        <x:f>IF($A607="","",[1]!thsiFinD("ths_adjustment_nv_fund",W$3,$A607))</x:f>
        <x:v>#NAME?</x:v>
      </x:c>
      <x:c r="X607" t="e">
        <x:f>IF($A607="","",[1]!thsiFinD("ths_adjustment_nv_fund",X$3,$A607))</x:f>
        <x:v>#NAME?</x:v>
      </x:c>
      <x:c r="Y607" t="e">
        <x:f>IF($A607="","",[1]!thsiFinD("ths_adjustment_nv_fund",Y$3,$A607))</x:f>
        <x:v>#NAME?</x:v>
      </x:c>
    </x:row>
    <x:row r="608">
      <x:c r="B608" t="e">
        <x:f>IF($A608="","",[1]!thsiFinD("ths_adjustment_nv_fund",B$3,$A608))</x:f>
        <x:v>#NAME?</x:v>
      </x:c>
      <x:c r="C608" t="e">
        <x:f>IF($A608="","",[1]!thsiFinD("ths_adjustment_nv_fund",C$3,$A608))</x:f>
        <x:v>#NAME?</x:v>
      </x:c>
      <x:c r="D608" t="e">
        <x:f>IF($A608="","",[1]!thsiFinD("ths_adjustment_nv_fund",D$3,$A608))</x:f>
        <x:v>#NAME?</x:v>
      </x:c>
      <x:c r="E608" t="e">
        <x:f>IF($A608="","",[1]!thsiFinD("ths_adjustment_nv_fund",E$3,$A608))</x:f>
        <x:v>#NAME?</x:v>
      </x:c>
      <x:c r="F608" t="e">
        <x:f>IF($A608="","",[1]!thsiFinD("ths_adjustment_nv_fund",F$3,$A608))</x:f>
        <x:v>#NAME?</x:v>
      </x:c>
      <x:c r="G608" t="e">
        <x:f>IF($A608="","",[1]!thsiFinD("ths_adjustment_nv_fund",G$3,$A608))</x:f>
        <x:v>#NAME?</x:v>
      </x:c>
      <x:c r="H608" t="e">
        <x:f>IF($A608="","",[1]!thsiFinD("ths_adjustment_nv_fund",H$3,$A608))</x:f>
        <x:v>#NAME?</x:v>
      </x:c>
      <x:c r="I608" t="e">
        <x:f>IF($A608="","",[1]!thsiFinD("ths_adjustment_nv_fund",I$3,$A608))</x:f>
        <x:v>#NAME?</x:v>
      </x:c>
      <x:c r="J608" t="e">
        <x:f>IF($A608="","",[1]!thsiFinD("ths_adjustment_nv_fund",J$3,$A608))</x:f>
        <x:v>#NAME?</x:v>
      </x:c>
      <x:c r="K608" t="e">
        <x:f>IF($A608="","",[1]!thsiFinD("ths_adjustment_nv_fund",K$3,$A608))</x:f>
        <x:v>#NAME?</x:v>
      </x:c>
      <x:c r="L608" t="e">
        <x:f>IF($A608="","",[1]!thsiFinD("ths_adjustment_nv_fund",L$3,$A608))</x:f>
        <x:v>#NAME?</x:v>
      </x:c>
      <x:c r="M608" t="e">
        <x:f>IF($A608="","",[1]!thsiFinD("ths_adjustment_nv_fund",M$3,$A608))</x:f>
        <x:v>#NAME?</x:v>
      </x:c>
      <x:c r="N608" t="e">
        <x:f>IF($A608="","",[1]!thsiFinD("ths_adjustment_nv_fund",N$3,$A608))</x:f>
        <x:v>#NAME?</x:v>
      </x:c>
      <x:c r="O608" t="e">
        <x:f>IF($A608="","",[1]!thsiFinD("ths_adjustment_nv_fund",O$3,$A608))</x:f>
        <x:v>#NAME?</x:v>
      </x:c>
      <x:c r="P608" t="e">
        <x:f>IF($A608="","",[1]!thsiFinD("ths_adjustment_nv_fund",P$3,$A608))</x:f>
        <x:v>#NAME?</x:v>
      </x:c>
      <x:c r="Q608" t="e">
        <x:f>IF($A608="","",[1]!thsiFinD("ths_adjustment_nv_fund",Q$3,$A608))</x:f>
        <x:v>#NAME?</x:v>
      </x:c>
      <x:c r="R608" t="e">
        <x:f>IF($A608="","",[1]!thsiFinD("ths_adjustment_nv_fund",R$3,$A608))</x:f>
        <x:v>#NAME?</x:v>
      </x:c>
      <x:c r="S608" t="e">
        <x:f>IF($A608="","",[1]!thsiFinD("ths_adjustment_nv_fund",S$3,$A608))</x:f>
        <x:v>#NAME?</x:v>
      </x:c>
      <x:c r="T608" t="e">
        <x:f>IF($A608="","",[1]!thsiFinD("ths_adjustment_nv_fund",T$3,$A608))</x:f>
        <x:v>#NAME?</x:v>
      </x:c>
      <x:c r="U608" t="e">
        <x:f>IF($A608="","",[1]!thsiFinD("ths_adjustment_nv_fund",U$3,$A608))</x:f>
        <x:v>#NAME?</x:v>
      </x:c>
      <x:c r="V608" t="e">
        <x:f>IF($A608="","",[1]!thsiFinD("ths_adjustment_nv_fund",V$3,$A608))</x:f>
        <x:v>#NAME?</x:v>
      </x:c>
      <x:c r="W608" t="e">
        <x:f>IF($A608="","",[1]!thsiFinD("ths_adjustment_nv_fund",W$3,$A608))</x:f>
        <x:v>#NAME?</x:v>
      </x:c>
      <x:c r="X608" t="e">
        <x:f>IF($A608="","",[1]!thsiFinD("ths_adjustment_nv_fund",X$3,$A608))</x:f>
        <x:v>#NAME?</x:v>
      </x:c>
      <x:c r="Y608" t="e">
        <x:f>IF($A608="","",[1]!thsiFinD("ths_adjustment_nv_fund",Y$3,$A608))</x:f>
        <x:v>#NAME?</x:v>
      </x:c>
    </x:row>
    <x:row r="609">
      <x:c r="B609" t="e">
        <x:f>IF($A609="","",[1]!thsiFinD("ths_adjustment_nv_fund",B$3,$A609))</x:f>
        <x:v>#NAME?</x:v>
      </x:c>
      <x:c r="C609" t="e">
        <x:f>IF($A609="","",[1]!thsiFinD("ths_adjustment_nv_fund",C$3,$A609))</x:f>
        <x:v>#NAME?</x:v>
      </x:c>
      <x:c r="D609" t="e">
        <x:f>IF($A609="","",[1]!thsiFinD("ths_adjustment_nv_fund",D$3,$A609))</x:f>
        <x:v>#NAME?</x:v>
      </x:c>
      <x:c r="E609" t="e">
        <x:f>IF($A609="","",[1]!thsiFinD("ths_adjustment_nv_fund",E$3,$A609))</x:f>
        <x:v>#NAME?</x:v>
      </x:c>
      <x:c r="F609" t="e">
        <x:f>IF($A609="","",[1]!thsiFinD("ths_adjustment_nv_fund",F$3,$A609))</x:f>
        <x:v>#NAME?</x:v>
      </x:c>
      <x:c r="G609" t="e">
        <x:f>IF($A609="","",[1]!thsiFinD("ths_adjustment_nv_fund",G$3,$A609))</x:f>
        <x:v>#NAME?</x:v>
      </x:c>
      <x:c r="H609" t="e">
        <x:f>IF($A609="","",[1]!thsiFinD("ths_adjustment_nv_fund",H$3,$A609))</x:f>
        <x:v>#NAME?</x:v>
      </x:c>
      <x:c r="I609" t="e">
        <x:f>IF($A609="","",[1]!thsiFinD("ths_adjustment_nv_fund",I$3,$A609))</x:f>
        <x:v>#NAME?</x:v>
      </x:c>
      <x:c r="J609" t="e">
        <x:f>IF($A609="","",[1]!thsiFinD("ths_adjustment_nv_fund",J$3,$A609))</x:f>
        <x:v>#NAME?</x:v>
      </x:c>
      <x:c r="K609" t="e">
        <x:f>IF($A609="","",[1]!thsiFinD("ths_adjustment_nv_fund",K$3,$A609))</x:f>
        <x:v>#NAME?</x:v>
      </x:c>
      <x:c r="L609" t="e">
        <x:f>IF($A609="","",[1]!thsiFinD("ths_adjustment_nv_fund",L$3,$A609))</x:f>
        <x:v>#NAME?</x:v>
      </x:c>
      <x:c r="M609" t="e">
        <x:f>IF($A609="","",[1]!thsiFinD("ths_adjustment_nv_fund",M$3,$A609))</x:f>
        <x:v>#NAME?</x:v>
      </x:c>
      <x:c r="N609" t="e">
        <x:f>IF($A609="","",[1]!thsiFinD("ths_adjustment_nv_fund",N$3,$A609))</x:f>
        <x:v>#NAME?</x:v>
      </x:c>
      <x:c r="O609" t="e">
        <x:f>IF($A609="","",[1]!thsiFinD("ths_adjustment_nv_fund",O$3,$A609))</x:f>
        <x:v>#NAME?</x:v>
      </x:c>
      <x:c r="P609" t="e">
        <x:f>IF($A609="","",[1]!thsiFinD("ths_adjustment_nv_fund",P$3,$A609))</x:f>
        <x:v>#NAME?</x:v>
      </x:c>
      <x:c r="Q609" t="e">
        <x:f>IF($A609="","",[1]!thsiFinD("ths_adjustment_nv_fund",Q$3,$A609))</x:f>
        <x:v>#NAME?</x:v>
      </x:c>
      <x:c r="R609" t="e">
        <x:f>IF($A609="","",[1]!thsiFinD("ths_adjustment_nv_fund",R$3,$A609))</x:f>
        <x:v>#NAME?</x:v>
      </x:c>
      <x:c r="S609" t="e">
        <x:f>IF($A609="","",[1]!thsiFinD("ths_adjustment_nv_fund",S$3,$A609))</x:f>
        <x:v>#NAME?</x:v>
      </x:c>
      <x:c r="T609" t="e">
        <x:f>IF($A609="","",[1]!thsiFinD("ths_adjustment_nv_fund",T$3,$A609))</x:f>
        <x:v>#NAME?</x:v>
      </x:c>
      <x:c r="U609" t="e">
        <x:f>IF($A609="","",[1]!thsiFinD("ths_adjustment_nv_fund",U$3,$A609))</x:f>
        <x:v>#NAME?</x:v>
      </x:c>
      <x:c r="V609" t="e">
        <x:f>IF($A609="","",[1]!thsiFinD("ths_adjustment_nv_fund",V$3,$A609))</x:f>
        <x:v>#NAME?</x:v>
      </x:c>
      <x:c r="W609" t="e">
        <x:f>IF($A609="","",[1]!thsiFinD("ths_adjustment_nv_fund",W$3,$A609))</x:f>
        <x:v>#NAME?</x:v>
      </x:c>
      <x:c r="X609" t="e">
        <x:f>IF($A609="","",[1]!thsiFinD("ths_adjustment_nv_fund",X$3,$A609))</x:f>
        <x:v>#NAME?</x:v>
      </x:c>
      <x:c r="Y609" t="e">
        <x:f>IF($A609="","",[1]!thsiFinD("ths_adjustment_nv_fund",Y$3,$A609))</x:f>
        <x:v>#NAME?</x:v>
      </x:c>
    </x:row>
    <x:row r="610">
      <x:c r="B610" t="e">
        <x:f>IF($A610="","",[1]!thsiFinD("ths_adjustment_nv_fund",B$3,$A610))</x:f>
        <x:v>#NAME?</x:v>
      </x:c>
      <x:c r="C610" t="e">
        <x:f>IF($A610="","",[1]!thsiFinD("ths_adjustment_nv_fund",C$3,$A610))</x:f>
        <x:v>#NAME?</x:v>
      </x:c>
      <x:c r="D610" t="e">
        <x:f>IF($A610="","",[1]!thsiFinD("ths_adjustment_nv_fund",D$3,$A610))</x:f>
        <x:v>#NAME?</x:v>
      </x:c>
      <x:c r="E610" t="e">
        <x:f>IF($A610="","",[1]!thsiFinD("ths_adjustment_nv_fund",E$3,$A610))</x:f>
        <x:v>#NAME?</x:v>
      </x:c>
      <x:c r="F610" t="e">
        <x:f>IF($A610="","",[1]!thsiFinD("ths_adjustment_nv_fund",F$3,$A610))</x:f>
        <x:v>#NAME?</x:v>
      </x:c>
      <x:c r="G610" t="e">
        <x:f>IF($A610="","",[1]!thsiFinD("ths_adjustment_nv_fund",G$3,$A610))</x:f>
        <x:v>#NAME?</x:v>
      </x:c>
      <x:c r="H610" t="e">
        <x:f>IF($A610="","",[1]!thsiFinD("ths_adjustment_nv_fund",H$3,$A610))</x:f>
        <x:v>#NAME?</x:v>
      </x:c>
      <x:c r="I610" t="e">
        <x:f>IF($A610="","",[1]!thsiFinD("ths_adjustment_nv_fund",I$3,$A610))</x:f>
        <x:v>#NAME?</x:v>
      </x:c>
      <x:c r="J610" t="e">
        <x:f>IF($A610="","",[1]!thsiFinD("ths_adjustment_nv_fund",J$3,$A610))</x:f>
        <x:v>#NAME?</x:v>
      </x:c>
      <x:c r="K610" t="e">
        <x:f>IF($A610="","",[1]!thsiFinD("ths_adjustment_nv_fund",K$3,$A610))</x:f>
        <x:v>#NAME?</x:v>
      </x:c>
      <x:c r="L610" t="e">
        <x:f>IF($A610="","",[1]!thsiFinD("ths_adjustment_nv_fund",L$3,$A610))</x:f>
        <x:v>#NAME?</x:v>
      </x:c>
      <x:c r="M610" t="e">
        <x:f>IF($A610="","",[1]!thsiFinD("ths_adjustment_nv_fund",M$3,$A610))</x:f>
        <x:v>#NAME?</x:v>
      </x:c>
      <x:c r="N610" t="e">
        <x:f>IF($A610="","",[1]!thsiFinD("ths_adjustment_nv_fund",N$3,$A610))</x:f>
        <x:v>#NAME?</x:v>
      </x:c>
      <x:c r="O610" t="e">
        <x:f>IF($A610="","",[1]!thsiFinD("ths_adjustment_nv_fund",O$3,$A610))</x:f>
        <x:v>#NAME?</x:v>
      </x:c>
      <x:c r="P610" t="e">
        <x:f>IF($A610="","",[1]!thsiFinD("ths_adjustment_nv_fund",P$3,$A610))</x:f>
        <x:v>#NAME?</x:v>
      </x:c>
      <x:c r="Q610" t="e">
        <x:f>IF($A610="","",[1]!thsiFinD("ths_adjustment_nv_fund",Q$3,$A610))</x:f>
        <x:v>#NAME?</x:v>
      </x:c>
      <x:c r="R610" t="e">
        <x:f>IF($A610="","",[1]!thsiFinD("ths_adjustment_nv_fund",R$3,$A610))</x:f>
        <x:v>#NAME?</x:v>
      </x:c>
      <x:c r="S610" t="e">
        <x:f>IF($A610="","",[1]!thsiFinD("ths_adjustment_nv_fund",S$3,$A610))</x:f>
        <x:v>#NAME?</x:v>
      </x:c>
      <x:c r="T610" t="e">
        <x:f>IF($A610="","",[1]!thsiFinD("ths_adjustment_nv_fund",T$3,$A610))</x:f>
        <x:v>#NAME?</x:v>
      </x:c>
      <x:c r="U610" t="e">
        <x:f>IF($A610="","",[1]!thsiFinD("ths_adjustment_nv_fund",U$3,$A610))</x:f>
        <x:v>#NAME?</x:v>
      </x:c>
      <x:c r="V610" t="e">
        <x:f>IF($A610="","",[1]!thsiFinD("ths_adjustment_nv_fund",V$3,$A610))</x:f>
        <x:v>#NAME?</x:v>
      </x:c>
      <x:c r="W610" t="e">
        <x:f>IF($A610="","",[1]!thsiFinD("ths_adjustment_nv_fund",W$3,$A610))</x:f>
        <x:v>#NAME?</x:v>
      </x:c>
      <x:c r="X610" t="e">
        <x:f>IF($A610="","",[1]!thsiFinD("ths_adjustment_nv_fund",X$3,$A610))</x:f>
        <x:v>#NAME?</x:v>
      </x:c>
      <x:c r="Y610" t="e">
        <x:f>IF($A610="","",[1]!thsiFinD("ths_adjustment_nv_fund",Y$3,$A610))</x:f>
        <x:v>#NAME?</x:v>
      </x:c>
    </x:row>
    <x:row r="611">
      <x:c r="B611" t="e">
        <x:f>IF($A611="","",[1]!thsiFinD("ths_adjustment_nv_fund",B$3,$A611))</x:f>
        <x:v>#NAME?</x:v>
      </x:c>
      <x:c r="C611" t="e">
        <x:f>IF($A611="","",[1]!thsiFinD("ths_adjustment_nv_fund",C$3,$A611))</x:f>
        <x:v>#NAME?</x:v>
      </x:c>
      <x:c r="D611" t="e">
        <x:f>IF($A611="","",[1]!thsiFinD("ths_adjustment_nv_fund",D$3,$A611))</x:f>
        <x:v>#NAME?</x:v>
      </x:c>
      <x:c r="E611" t="e">
        <x:f>IF($A611="","",[1]!thsiFinD("ths_adjustment_nv_fund",E$3,$A611))</x:f>
        <x:v>#NAME?</x:v>
      </x:c>
      <x:c r="F611" t="e">
        <x:f>IF($A611="","",[1]!thsiFinD("ths_adjustment_nv_fund",F$3,$A611))</x:f>
        <x:v>#NAME?</x:v>
      </x:c>
      <x:c r="G611" t="e">
        <x:f>IF($A611="","",[1]!thsiFinD("ths_adjustment_nv_fund",G$3,$A611))</x:f>
        <x:v>#NAME?</x:v>
      </x:c>
      <x:c r="H611" t="e">
        <x:f>IF($A611="","",[1]!thsiFinD("ths_adjustment_nv_fund",H$3,$A611))</x:f>
        <x:v>#NAME?</x:v>
      </x:c>
      <x:c r="I611" t="e">
        <x:f>IF($A611="","",[1]!thsiFinD("ths_adjustment_nv_fund",I$3,$A611))</x:f>
        <x:v>#NAME?</x:v>
      </x:c>
      <x:c r="J611" t="e">
        <x:f>IF($A611="","",[1]!thsiFinD("ths_adjustment_nv_fund",J$3,$A611))</x:f>
        <x:v>#NAME?</x:v>
      </x:c>
      <x:c r="K611" t="e">
        <x:f>IF($A611="","",[1]!thsiFinD("ths_adjustment_nv_fund",K$3,$A611))</x:f>
        <x:v>#NAME?</x:v>
      </x:c>
      <x:c r="L611" t="e">
        <x:f>IF($A611="","",[1]!thsiFinD("ths_adjustment_nv_fund",L$3,$A611))</x:f>
        <x:v>#NAME?</x:v>
      </x:c>
      <x:c r="M611" t="e">
        <x:f>IF($A611="","",[1]!thsiFinD("ths_adjustment_nv_fund",M$3,$A611))</x:f>
        <x:v>#NAME?</x:v>
      </x:c>
      <x:c r="N611" t="e">
        <x:f>IF($A611="","",[1]!thsiFinD("ths_adjustment_nv_fund",N$3,$A611))</x:f>
        <x:v>#NAME?</x:v>
      </x:c>
      <x:c r="O611" t="e">
        <x:f>IF($A611="","",[1]!thsiFinD("ths_adjustment_nv_fund",O$3,$A611))</x:f>
        <x:v>#NAME?</x:v>
      </x:c>
      <x:c r="P611" t="e">
        <x:f>IF($A611="","",[1]!thsiFinD("ths_adjustment_nv_fund",P$3,$A611))</x:f>
        <x:v>#NAME?</x:v>
      </x:c>
      <x:c r="Q611" t="e">
        <x:f>IF($A611="","",[1]!thsiFinD("ths_adjustment_nv_fund",Q$3,$A611))</x:f>
        <x:v>#NAME?</x:v>
      </x:c>
      <x:c r="R611" t="e">
        <x:f>IF($A611="","",[1]!thsiFinD("ths_adjustment_nv_fund",R$3,$A611))</x:f>
        <x:v>#NAME?</x:v>
      </x:c>
      <x:c r="S611" t="e">
        <x:f>IF($A611="","",[1]!thsiFinD("ths_adjustment_nv_fund",S$3,$A611))</x:f>
        <x:v>#NAME?</x:v>
      </x:c>
      <x:c r="T611" t="e">
        <x:f>IF($A611="","",[1]!thsiFinD("ths_adjustment_nv_fund",T$3,$A611))</x:f>
        <x:v>#NAME?</x:v>
      </x:c>
      <x:c r="U611" t="e">
        <x:f>IF($A611="","",[1]!thsiFinD("ths_adjustment_nv_fund",U$3,$A611))</x:f>
        <x:v>#NAME?</x:v>
      </x:c>
      <x:c r="V611" t="e">
        <x:f>IF($A611="","",[1]!thsiFinD("ths_adjustment_nv_fund",V$3,$A611))</x:f>
        <x:v>#NAME?</x:v>
      </x:c>
      <x:c r="W611" t="e">
        <x:f>IF($A611="","",[1]!thsiFinD("ths_adjustment_nv_fund",W$3,$A611))</x:f>
        <x:v>#NAME?</x:v>
      </x:c>
      <x:c r="X611" t="e">
        <x:f>IF($A611="","",[1]!thsiFinD("ths_adjustment_nv_fund",X$3,$A611))</x:f>
        <x:v>#NAME?</x:v>
      </x:c>
      <x:c r="Y611" t="e">
        <x:f>IF($A611="","",[1]!thsiFinD("ths_adjustment_nv_fund",Y$3,$A611))</x:f>
        <x:v>#NAME?</x:v>
      </x:c>
    </x:row>
    <x:row r="612">
      <x:c r="B612" t="e">
        <x:f>IF($A612="","",[1]!thsiFinD("ths_adjustment_nv_fund",B$3,$A612))</x:f>
        <x:v>#NAME?</x:v>
      </x:c>
      <x:c r="C612" t="e">
        <x:f>IF($A612="","",[1]!thsiFinD("ths_adjustment_nv_fund",C$3,$A612))</x:f>
        <x:v>#NAME?</x:v>
      </x:c>
      <x:c r="D612" t="e">
        <x:f>IF($A612="","",[1]!thsiFinD("ths_adjustment_nv_fund",D$3,$A612))</x:f>
        <x:v>#NAME?</x:v>
      </x:c>
      <x:c r="E612" t="e">
        <x:f>IF($A612="","",[1]!thsiFinD("ths_adjustment_nv_fund",E$3,$A612))</x:f>
        <x:v>#NAME?</x:v>
      </x:c>
      <x:c r="F612" t="e">
        <x:f>IF($A612="","",[1]!thsiFinD("ths_adjustment_nv_fund",F$3,$A612))</x:f>
        <x:v>#NAME?</x:v>
      </x:c>
      <x:c r="G612" t="e">
        <x:f>IF($A612="","",[1]!thsiFinD("ths_adjustment_nv_fund",G$3,$A612))</x:f>
        <x:v>#NAME?</x:v>
      </x:c>
      <x:c r="H612" t="e">
        <x:f>IF($A612="","",[1]!thsiFinD("ths_adjustment_nv_fund",H$3,$A612))</x:f>
        <x:v>#NAME?</x:v>
      </x:c>
      <x:c r="I612" t="e">
        <x:f>IF($A612="","",[1]!thsiFinD("ths_adjustment_nv_fund",I$3,$A612))</x:f>
        <x:v>#NAME?</x:v>
      </x:c>
      <x:c r="J612" t="e">
        <x:f>IF($A612="","",[1]!thsiFinD("ths_adjustment_nv_fund",J$3,$A612))</x:f>
        <x:v>#NAME?</x:v>
      </x:c>
      <x:c r="K612" t="e">
        <x:f>IF($A612="","",[1]!thsiFinD("ths_adjustment_nv_fund",K$3,$A612))</x:f>
        <x:v>#NAME?</x:v>
      </x:c>
      <x:c r="L612" t="e">
        <x:f>IF($A612="","",[1]!thsiFinD("ths_adjustment_nv_fund",L$3,$A612))</x:f>
        <x:v>#NAME?</x:v>
      </x:c>
      <x:c r="M612" t="e">
        <x:f>IF($A612="","",[1]!thsiFinD("ths_adjustment_nv_fund",M$3,$A612))</x:f>
        <x:v>#NAME?</x:v>
      </x:c>
      <x:c r="N612" t="e">
        <x:f>IF($A612="","",[1]!thsiFinD("ths_adjustment_nv_fund",N$3,$A612))</x:f>
        <x:v>#NAME?</x:v>
      </x:c>
      <x:c r="O612" t="e">
        <x:f>IF($A612="","",[1]!thsiFinD("ths_adjustment_nv_fund",O$3,$A612))</x:f>
        <x:v>#NAME?</x:v>
      </x:c>
      <x:c r="P612" t="e">
        <x:f>IF($A612="","",[1]!thsiFinD("ths_adjustment_nv_fund",P$3,$A612))</x:f>
        <x:v>#NAME?</x:v>
      </x:c>
      <x:c r="Q612" t="e">
        <x:f>IF($A612="","",[1]!thsiFinD("ths_adjustment_nv_fund",Q$3,$A612))</x:f>
        <x:v>#NAME?</x:v>
      </x:c>
      <x:c r="R612" t="e">
        <x:f>IF($A612="","",[1]!thsiFinD("ths_adjustment_nv_fund",R$3,$A612))</x:f>
        <x:v>#NAME?</x:v>
      </x:c>
      <x:c r="S612" t="e">
        <x:f>IF($A612="","",[1]!thsiFinD("ths_adjustment_nv_fund",S$3,$A612))</x:f>
        <x:v>#NAME?</x:v>
      </x:c>
      <x:c r="T612" t="e">
        <x:f>IF($A612="","",[1]!thsiFinD("ths_adjustment_nv_fund",T$3,$A612))</x:f>
        <x:v>#NAME?</x:v>
      </x:c>
      <x:c r="U612" t="e">
        <x:f>IF($A612="","",[1]!thsiFinD("ths_adjustment_nv_fund",U$3,$A612))</x:f>
        <x:v>#NAME?</x:v>
      </x:c>
      <x:c r="V612" t="e">
        <x:f>IF($A612="","",[1]!thsiFinD("ths_adjustment_nv_fund",V$3,$A612))</x:f>
        <x:v>#NAME?</x:v>
      </x:c>
      <x:c r="W612" t="e">
        <x:f>IF($A612="","",[1]!thsiFinD("ths_adjustment_nv_fund",W$3,$A612))</x:f>
        <x:v>#NAME?</x:v>
      </x:c>
      <x:c r="X612" t="e">
        <x:f>IF($A612="","",[1]!thsiFinD("ths_adjustment_nv_fund",X$3,$A612))</x:f>
        <x:v>#NAME?</x:v>
      </x:c>
      <x:c r="Y612" t="e">
        <x:f>IF($A612="","",[1]!thsiFinD("ths_adjustment_nv_fund",Y$3,$A612))</x:f>
        <x:v>#NAME?</x:v>
      </x:c>
    </x:row>
    <x:row r="613">
      <x:c r="B613" t="e">
        <x:f>IF($A613="","",[1]!thsiFinD("ths_adjustment_nv_fund",B$3,$A613))</x:f>
        <x:v>#NAME?</x:v>
      </x:c>
      <x:c r="C613" t="e">
        <x:f>IF($A613="","",[1]!thsiFinD("ths_adjustment_nv_fund",C$3,$A613))</x:f>
        <x:v>#NAME?</x:v>
      </x:c>
      <x:c r="D613" t="e">
        <x:f>IF($A613="","",[1]!thsiFinD("ths_adjustment_nv_fund",D$3,$A613))</x:f>
        <x:v>#NAME?</x:v>
      </x:c>
      <x:c r="E613" t="e">
        <x:f>IF($A613="","",[1]!thsiFinD("ths_adjustment_nv_fund",E$3,$A613))</x:f>
        <x:v>#NAME?</x:v>
      </x:c>
      <x:c r="F613" t="e">
        <x:f>IF($A613="","",[1]!thsiFinD("ths_adjustment_nv_fund",F$3,$A613))</x:f>
        <x:v>#NAME?</x:v>
      </x:c>
      <x:c r="G613" t="e">
        <x:f>IF($A613="","",[1]!thsiFinD("ths_adjustment_nv_fund",G$3,$A613))</x:f>
        <x:v>#NAME?</x:v>
      </x:c>
      <x:c r="H613" t="e">
        <x:f>IF($A613="","",[1]!thsiFinD("ths_adjustment_nv_fund",H$3,$A613))</x:f>
        <x:v>#NAME?</x:v>
      </x:c>
      <x:c r="I613" t="e">
        <x:f>IF($A613="","",[1]!thsiFinD("ths_adjustment_nv_fund",I$3,$A613))</x:f>
        <x:v>#NAME?</x:v>
      </x:c>
      <x:c r="J613" t="e">
        <x:f>IF($A613="","",[1]!thsiFinD("ths_adjustment_nv_fund",J$3,$A613))</x:f>
        <x:v>#NAME?</x:v>
      </x:c>
      <x:c r="K613" t="e">
        <x:f>IF($A613="","",[1]!thsiFinD("ths_adjustment_nv_fund",K$3,$A613))</x:f>
        <x:v>#NAME?</x:v>
      </x:c>
      <x:c r="L613" t="e">
        <x:f>IF($A613="","",[1]!thsiFinD("ths_adjustment_nv_fund",L$3,$A613))</x:f>
        <x:v>#NAME?</x:v>
      </x:c>
      <x:c r="M613" t="e">
        <x:f>IF($A613="","",[1]!thsiFinD("ths_adjustment_nv_fund",M$3,$A613))</x:f>
        <x:v>#NAME?</x:v>
      </x:c>
      <x:c r="N613" t="e">
        <x:f>IF($A613="","",[1]!thsiFinD("ths_adjustment_nv_fund",N$3,$A613))</x:f>
        <x:v>#NAME?</x:v>
      </x:c>
      <x:c r="O613" t="e">
        <x:f>IF($A613="","",[1]!thsiFinD("ths_adjustment_nv_fund",O$3,$A613))</x:f>
        <x:v>#NAME?</x:v>
      </x:c>
      <x:c r="P613" t="e">
        <x:f>IF($A613="","",[1]!thsiFinD("ths_adjustment_nv_fund",P$3,$A613))</x:f>
        <x:v>#NAME?</x:v>
      </x:c>
      <x:c r="Q613" t="e">
        <x:f>IF($A613="","",[1]!thsiFinD("ths_adjustment_nv_fund",Q$3,$A613))</x:f>
        <x:v>#NAME?</x:v>
      </x:c>
      <x:c r="R613" t="e">
        <x:f>IF($A613="","",[1]!thsiFinD("ths_adjustment_nv_fund",R$3,$A613))</x:f>
        <x:v>#NAME?</x:v>
      </x:c>
      <x:c r="S613" t="e">
        <x:f>IF($A613="","",[1]!thsiFinD("ths_adjustment_nv_fund",S$3,$A613))</x:f>
        <x:v>#NAME?</x:v>
      </x:c>
      <x:c r="T613" t="e">
        <x:f>IF($A613="","",[1]!thsiFinD("ths_adjustment_nv_fund",T$3,$A613))</x:f>
        <x:v>#NAME?</x:v>
      </x:c>
      <x:c r="U613" t="e">
        <x:f>IF($A613="","",[1]!thsiFinD("ths_adjustment_nv_fund",U$3,$A613))</x:f>
        <x:v>#NAME?</x:v>
      </x:c>
      <x:c r="V613" t="e">
        <x:f>IF($A613="","",[1]!thsiFinD("ths_adjustment_nv_fund",V$3,$A613))</x:f>
        <x:v>#NAME?</x:v>
      </x:c>
      <x:c r="W613" t="e">
        <x:f>IF($A613="","",[1]!thsiFinD("ths_adjustment_nv_fund",W$3,$A613))</x:f>
        <x:v>#NAME?</x:v>
      </x:c>
      <x:c r="X613" t="e">
        <x:f>IF($A613="","",[1]!thsiFinD("ths_adjustment_nv_fund",X$3,$A613))</x:f>
        <x:v>#NAME?</x:v>
      </x:c>
      <x:c r="Y613" t="e">
        <x:f>IF($A613="","",[1]!thsiFinD("ths_adjustment_nv_fund",Y$3,$A613))</x:f>
        <x:v>#NAME?</x:v>
      </x:c>
    </x:row>
    <x:row r="614">
      <x:c r="B614" t="e">
        <x:f>IF($A614="","",[1]!thsiFinD("ths_adjustment_nv_fund",B$3,$A614))</x:f>
        <x:v>#NAME?</x:v>
      </x:c>
      <x:c r="C614" t="e">
        <x:f>IF($A614="","",[1]!thsiFinD("ths_adjustment_nv_fund",C$3,$A614))</x:f>
        <x:v>#NAME?</x:v>
      </x:c>
      <x:c r="D614" t="e">
        <x:f>IF($A614="","",[1]!thsiFinD("ths_adjustment_nv_fund",D$3,$A614))</x:f>
        <x:v>#NAME?</x:v>
      </x:c>
      <x:c r="E614" t="e">
        <x:f>IF($A614="","",[1]!thsiFinD("ths_adjustment_nv_fund",E$3,$A614))</x:f>
        <x:v>#NAME?</x:v>
      </x:c>
      <x:c r="F614" t="e">
        <x:f>IF($A614="","",[1]!thsiFinD("ths_adjustment_nv_fund",F$3,$A614))</x:f>
        <x:v>#NAME?</x:v>
      </x:c>
      <x:c r="G614" t="e">
        <x:f>IF($A614="","",[1]!thsiFinD("ths_adjustment_nv_fund",G$3,$A614))</x:f>
        <x:v>#NAME?</x:v>
      </x:c>
      <x:c r="H614" t="e">
        <x:f>IF($A614="","",[1]!thsiFinD("ths_adjustment_nv_fund",H$3,$A614))</x:f>
        <x:v>#NAME?</x:v>
      </x:c>
      <x:c r="I614" t="e">
        <x:f>IF($A614="","",[1]!thsiFinD("ths_adjustment_nv_fund",I$3,$A614))</x:f>
        <x:v>#NAME?</x:v>
      </x:c>
      <x:c r="J614" t="e">
        <x:f>IF($A614="","",[1]!thsiFinD("ths_adjustment_nv_fund",J$3,$A614))</x:f>
        <x:v>#NAME?</x:v>
      </x:c>
      <x:c r="K614" t="e">
        <x:f>IF($A614="","",[1]!thsiFinD("ths_adjustment_nv_fund",K$3,$A614))</x:f>
        <x:v>#NAME?</x:v>
      </x:c>
      <x:c r="L614" t="e">
        <x:f>IF($A614="","",[1]!thsiFinD("ths_adjustment_nv_fund",L$3,$A614))</x:f>
        <x:v>#NAME?</x:v>
      </x:c>
      <x:c r="M614" t="e">
        <x:f>IF($A614="","",[1]!thsiFinD("ths_adjustment_nv_fund",M$3,$A614))</x:f>
        <x:v>#NAME?</x:v>
      </x:c>
      <x:c r="N614" t="e">
        <x:f>IF($A614="","",[1]!thsiFinD("ths_adjustment_nv_fund",N$3,$A614))</x:f>
        <x:v>#NAME?</x:v>
      </x:c>
      <x:c r="O614" t="e">
        <x:f>IF($A614="","",[1]!thsiFinD("ths_adjustment_nv_fund",O$3,$A614))</x:f>
        <x:v>#NAME?</x:v>
      </x:c>
      <x:c r="P614" t="e">
        <x:f>IF($A614="","",[1]!thsiFinD("ths_adjustment_nv_fund",P$3,$A614))</x:f>
        <x:v>#NAME?</x:v>
      </x:c>
      <x:c r="Q614" t="e">
        <x:f>IF($A614="","",[1]!thsiFinD("ths_adjustment_nv_fund",Q$3,$A614))</x:f>
        <x:v>#NAME?</x:v>
      </x:c>
      <x:c r="R614" t="e">
        <x:f>IF($A614="","",[1]!thsiFinD("ths_adjustment_nv_fund",R$3,$A614))</x:f>
        <x:v>#NAME?</x:v>
      </x:c>
      <x:c r="S614" t="e">
        <x:f>IF($A614="","",[1]!thsiFinD("ths_adjustment_nv_fund",S$3,$A614))</x:f>
        <x:v>#NAME?</x:v>
      </x:c>
      <x:c r="T614" t="e">
        <x:f>IF($A614="","",[1]!thsiFinD("ths_adjustment_nv_fund",T$3,$A614))</x:f>
        <x:v>#NAME?</x:v>
      </x:c>
      <x:c r="U614" t="e">
        <x:f>IF($A614="","",[1]!thsiFinD("ths_adjustment_nv_fund",U$3,$A614))</x:f>
        <x:v>#NAME?</x:v>
      </x:c>
      <x:c r="V614" t="e">
        <x:f>IF($A614="","",[1]!thsiFinD("ths_adjustment_nv_fund",V$3,$A614))</x:f>
        <x:v>#NAME?</x:v>
      </x:c>
      <x:c r="W614" t="e">
        <x:f>IF($A614="","",[1]!thsiFinD("ths_adjustment_nv_fund",W$3,$A614))</x:f>
        <x:v>#NAME?</x:v>
      </x:c>
      <x:c r="X614" t="e">
        <x:f>IF($A614="","",[1]!thsiFinD("ths_adjustment_nv_fund",X$3,$A614))</x:f>
        <x:v>#NAME?</x:v>
      </x:c>
      <x:c r="Y614" t="e">
        <x:f>IF($A614="","",[1]!thsiFinD("ths_adjustment_nv_fund",Y$3,$A614))</x:f>
        <x:v>#NAME?</x:v>
      </x:c>
    </x:row>
    <x:row r="615">
      <x:c r="B615" t="e">
        <x:f>IF($A615="","",[1]!thsiFinD("ths_adjustment_nv_fund",B$3,$A615))</x:f>
        <x:v>#NAME?</x:v>
      </x:c>
      <x:c r="C615" t="e">
        <x:f>IF($A615="","",[1]!thsiFinD("ths_adjustment_nv_fund",C$3,$A615))</x:f>
        <x:v>#NAME?</x:v>
      </x:c>
      <x:c r="D615" t="e">
        <x:f>IF($A615="","",[1]!thsiFinD("ths_adjustment_nv_fund",D$3,$A615))</x:f>
        <x:v>#NAME?</x:v>
      </x:c>
      <x:c r="E615" t="e">
        <x:f>IF($A615="","",[1]!thsiFinD("ths_adjustment_nv_fund",E$3,$A615))</x:f>
        <x:v>#NAME?</x:v>
      </x:c>
      <x:c r="F615" t="e">
        <x:f>IF($A615="","",[1]!thsiFinD("ths_adjustment_nv_fund",F$3,$A615))</x:f>
        <x:v>#NAME?</x:v>
      </x:c>
      <x:c r="G615" t="e">
        <x:f>IF($A615="","",[1]!thsiFinD("ths_adjustment_nv_fund",G$3,$A615))</x:f>
        <x:v>#NAME?</x:v>
      </x:c>
      <x:c r="H615" t="e">
        <x:f>IF($A615="","",[1]!thsiFinD("ths_adjustment_nv_fund",H$3,$A615))</x:f>
        <x:v>#NAME?</x:v>
      </x:c>
      <x:c r="I615" t="e">
        <x:f>IF($A615="","",[1]!thsiFinD("ths_adjustment_nv_fund",I$3,$A615))</x:f>
        <x:v>#NAME?</x:v>
      </x:c>
      <x:c r="J615" t="e">
        <x:f>IF($A615="","",[1]!thsiFinD("ths_adjustment_nv_fund",J$3,$A615))</x:f>
        <x:v>#NAME?</x:v>
      </x:c>
      <x:c r="K615" t="e">
        <x:f>IF($A615="","",[1]!thsiFinD("ths_adjustment_nv_fund",K$3,$A615))</x:f>
        <x:v>#NAME?</x:v>
      </x:c>
      <x:c r="L615" t="e">
        <x:f>IF($A615="","",[1]!thsiFinD("ths_adjustment_nv_fund",L$3,$A615))</x:f>
        <x:v>#NAME?</x:v>
      </x:c>
      <x:c r="M615" t="e">
        <x:f>IF($A615="","",[1]!thsiFinD("ths_adjustment_nv_fund",M$3,$A615))</x:f>
        <x:v>#NAME?</x:v>
      </x:c>
      <x:c r="N615" t="e">
        <x:f>IF($A615="","",[1]!thsiFinD("ths_adjustment_nv_fund",N$3,$A615))</x:f>
        <x:v>#NAME?</x:v>
      </x:c>
      <x:c r="O615" t="e">
        <x:f>IF($A615="","",[1]!thsiFinD("ths_adjustment_nv_fund",O$3,$A615))</x:f>
        <x:v>#NAME?</x:v>
      </x:c>
      <x:c r="P615" t="e">
        <x:f>IF($A615="","",[1]!thsiFinD("ths_adjustment_nv_fund",P$3,$A615))</x:f>
        <x:v>#NAME?</x:v>
      </x:c>
      <x:c r="Q615" t="e">
        <x:f>IF($A615="","",[1]!thsiFinD("ths_adjustment_nv_fund",Q$3,$A615))</x:f>
        <x:v>#NAME?</x:v>
      </x:c>
      <x:c r="R615" t="e">
        <x:f>IF($A615="","",[1]!thsiFinD("ths_adjustment_nv_fund",R$3,$A615))</x:f>
        <x:v>#NAME?</x:v>
      </x:c>
      <x:c r="S615" t="e">
        <x:f>IF($A615="","",[1]!thsiFinD("ths_adjustment_nv_fund",S$3,$A615))</x:f>
        <x:v>#NAME?</x:v>
      </x:c>
      <x:c r="T615" t="e">
        <x:f>IF($A615="","",[1]!thsiFinD("ths_adjustment_nv_fund",T$3,$A615))</x:f>
        <x:v>#NAME?</x:v>
      </x:c>
      <x:c r="U615" t="e">
        <x:f>IF($A615="","",[1]!thsiFinD("ths_adjustment_nv_fund",U$3,$A615))</x:f>
        <x:v>#NAME?</x:v>
      </x:c>
      <x:c r="V615" t="e">
        <x:f>IF($A615="","",[1]!thsiFinD("ths_adjustment_nv_fund",V$3,$A615))</x:f>
        <x:v>#NAME?</x:v>
      </x:c>
      <x:c r="W615" t="e">
        <x:f>IF($A615="","",[1]!thsiFinD("ths_adjustment_nv_fund",W$3,$A615))</x:f>
        <x:v>#NAME?</x:v>
      </x:c>
      <x:c r="X615" t="e">
        <x:f>IF($A615="","",[1]!thsiFinD("ths_adjustment_nv_fund",X$3,$A615))</x:f>
        <x:v>#NAME?</x:v>
      </x:c>
      <x:c r="Y615" t="e">
        <x:f>IF($A615="","",[1]!thsiFinD("ths_adjustment_nv_fund",Y$3,$A615))</x:f>
        <x:v>#NAME?</x:v>
      </x:c>
    </x:row>
    <x:row r="616">
      <x:c r="B616" t="e">
        <x:f>IF($A616="","",[1]!thsiFinD("ths_adjustment_nv_fund",B$3,$A616))</x:f>
        <x:v>#NAME?</x:v>
      </x:c>
      <x:c r="C616" t="e">
        <x:f>IF($A616="","",[1]!thsiFinD("ths_adjustment_nv_fund",C$3,$A616))</x:f>
        <x:v>#NAME?</x:v>
      </x:c>
      <x:c r="D616" t="e">
        <x:f>IF($A616="","",[1]!thsiFinD("ths_adjustment_nv_fund",D$3,$A616))</x:f>
        <x:v>#NAME?</x:v>
      </x:c>
      <x:c r="E616" t="e">
        <x:f>IF($A616="","",[1]!thsiFinD("ths_adjustment_nv_fund",E$3,$A616))</x:f>
        <x:v>#NAME?</x:v>
      </x:c>
      <x:c r="F616" t="e">
        <x:f>IF($A616="","",[1]!thsiFinD("ths_adjustment_nv_fund",F$3,$A616))</x:f>
        <x:v>#NAME?</x:v>
      </x:c>
      <x:c r="G616" t="e">
        <x:f>IF($A616="","",[1]!thsiFinD("ths_adjustment_nv_fund",G$3,$A616))</x:f>
        <x:v>#NAME?</x:v>
      </x:c>
      <x:c r="H616" t="e">
        <x:f>IF($A616="","",[1]!thsiFinD("ths_adjustment_nv_fund",H$3,$A616))</x:f>
        <x:v>#NAME?</x:v>
      </x:c>
      <x:c r="I616" t="e">
        <x:f>IF($A616="","",[1]!thsiFinD("ths_adjustment_nv_fund",I$3,$A616))</x:f>
        <x:v>#NAME?</x:v>
      </x:c>
      <x:c r="J616" t="e">
        <x:f>IF($A616="","",[1]!thsiFinD("ths_adjustment_nv_fund",J$3,$A616))</x:f>
        <x:v>#NAME?</x:v>
      </x:c>
      <x:c r="K616" t="e">
        <x:f>IF($A616="","",[1]!thsiFinD("ths_adjustment_nv_fund",K$3,$A616))</x:f>
        <x:v>#NAME?</x:v>
      </x:c>
      <x:c r="L616" t="e">
        <x:f>IF($A616="","",[1]!thsiFinD("ths_adjustment_nv_fund",L$3,$A616))</x:f>
        <x:v>#NAME?</x:v>
      </x:c>
      <x:c r="M616" t="e">
        <x:f>IF($A616="","",[1]!thsiFinD("ths_adjustment_nv_fund",M$3,$A616))</x:f>
        <x:v>#NAME?</x:v>
      </x:c>
      <x:c r="N616" t="e">
        <x:f>IF($A616="","",[1]!thsiFinD("ths_adjustment_nv_fund",N$3,$A616))</x:f>
        <x:v>#NAME?</x:v>
      </x:c>
      <x:c r="O616" t="e">
        <x:f>IF($A616="","",[1]!thsiFinD("ths_adjustment_nv_fund",O$3,$A616))</x:f>
        <x:v>#NAME?</x:v>
      </x:c>
      <x:c r="P616" t="e">
        <x:f>IF($A616="","",[1]!thsiFinD("ths_adjustment_nv_fund",P$3,$A616))</x:f>
        <x:v>#NAME?</x:v>
      </x:c>
      <x:c r="Q616" t="e">
        <x:f>IF($A616="","",[1]!thsiFinD("ths_adjustment_nv_fund",Q$3,$A616))</x:f>
        <x:v>#NAME?</x:v>
      </x:c>
      <x:c r="R616" t="e">
        <x:f>IF($A616="","",[1]!thsiFinD("ths_adjustment_nv_fund",R$3,$A616))</x:f>
        <x:v>#NAME?</x:v>
      </x:c>
      <x:c r="S616" t="e">
        <x:f>IF($A616="","",[1]!thsiFinD("ths_adjustment_nv_fund",S$3,$A616))</x:f>
        <x:v>#NAME?</x:v>
      </x:c>
      <x:c r="T616" t="e">
        <x:f>IF($A616="","",[1]!thsiFinD("ths_adjustment_nv_fund",T$3,$A616))</x:f>
        <x:v>#NAME?</x:v>
      </x:c>
      <x:c r="U616" t="e">
        <x:f>IF($A616="","",[1]!thsiFinD("ths_adjustment_nv_fund",U$3,$A616))</x:f>
        <x:v>#NAME?</x:v>
      </x:c>
      <x:c r="V616" t="e">
        <x:f>IF($A616="","",[1]!thsiFinD("ths_adjustment_nv_fund",V$3,$A616))</x:f>
        <x:v>#NAME?</x:v>
      </x:c>
      <x:c r="W616" t="e">
        <x:f>IF($A616="","",[1]!thsiFinD("ths_adjustment_nv_fund",W$3,$A616))</x:f>
        <x:v>#NAME?</x:v>
      </x:c>
      <x:c r="X616" t="e">
        <x:f>IF($A616="","",[1]!thsiFinD("ths_adjustment_nv_fund",X$3,$A616))</x:f>
        <x:v>#NAME?</x:v>
      </x:c>
      <x:c r="Y616" t="e">
        <x:f>IF($A616="","",[1]!thsiFinD("ths_adjustment_nv_fund",Y$3,$A616))</x:f>
        <x:v>#NAME?</x:v>
      </x:c>
    </x:row>
    <x:row r="617">
      <x:c r="B617" t="e">
        <x:f>IF($A617="","",[1]!thsiFinD("ths_adjustment_nv_fund",B$3,$A617))</x:f>
        <x:v>#NAME?</x:v>
      </x:c>
      <x:c r="C617" t="e">
        <x:f>IF($A617="","",[1]!thsiFinD("ths_adjustment_nv_fund",C$3,$A617))</x:f>
        <x:v>#NAME?</x:v>
      </x:c>
      <x:c r="D617" t="e">
        <x:f>IF($A617="","",[1]!thsiFinD("ths_adjustment_nv_fund",D$3,$A617))</x:f>
        <x:v>#NAME?</x:v>
      </x:c>
      <x:c r="E617" t="e">
        <x:f>IF($A617="","",[1]!thsiFinD("ths_adjustment_nv_fund",E$3,$A617))</x:f>
        <x:v>#NAME?</x:v>
      </x:c>
      <x:c r="F617" t="e">
        <x:f>IF($A617="","",[1]!thsiFinD("ths_adjustment_nv_fund",F$3,$A617))</x:f>
        <x:v>#NAME?</x:v>
      </x:c>
      <x:c r="G617" t="e">
        <x:f>IF($A617="","",[1]!thsiFinD("ths_adjustment_nv_fund",G$3,$A617))</x:f>
        <x:v>#NAME?</x:v>
      </x:c>
      <x:c r="H617" t="e">
        <x:f>IF($A617="","",[1]!thsiFinD("ths_adjustment_nv_fund",H$3,$A617))</x:f>
        <x:v>#NAME?</x:v>
      </x:c>
      <x:c r="I617" t="e">
        <x:f>IF($A617="","",[1]!thsiFinD("ths_adjustment_nv_fund",I$3,$A617))</x:f>
        <x:v>#NAME?</x:v>
      </x:c>
      <x:c r="J617" t="e">
        <x:f>IF($A617="","",[1]!thsiFinD("ths_adjustment_nv_fund",J$3,$A617))</x:f>
        <x:v>#NAME?</x:v>
      </x:c>
      <x:c r="K617" t="e">
        <x:f>IF($A617="","",[1]!thsiFinD("ths_adjustment_nv_fund",K$3,$A617))</x:f>
        <x:v>#NAME?</x:v>
      </x:c>
      <x:c r="L617" t="e">
        <x:f>IF($A617="","",[1]!thsiFinD("ths_adjustment_nv_fund",L$3,$A617))</x:f>
        <x:v>#NAME?</x:v>
      </x:c>
      <x:c r="M617" t="e">
        <x:f>IF($A617="","",[1]!thsiFinD("ths_adjustment_nv_fund",M$3,$A617))</x:f>
        <x:v>#NAME?</x:v>
      </x:c>
      <x:c r="N617" t="e">
        <x:f>IF($A617="","",[1]!thsiFinD("ths_adjustment_nv_fund",N$3,$A617))</x:f>
        <x:v>#NAME?</x:v>
      </x:c>
      <x:c r="O617" t="e">
        <x:f>IF($A617="","",[1]!thsiFinD("ths_adjustment_nv_fund",O$3,$A617))</x:f>
        <x:v>#NAME?</x:v>
      </x:c>
      <x:c r="P617" t="e">
        <x:f>IF($A617="","",[1]!thsiFinD("ths_adjustment_nv_fund",P$3,$A617))</x:f>
        <x:v>#NAME?</x:v>
      </x:c>
      <x:c r="Q617" t="e">
        <x:f>IF($A617="","",[1]!thsiFinD("ths_adjustment_nv_fund",Q$3,$A617))</x:f>
        <x:v>#NAME?</x:v>
      </x:c>
      <x:c r="R617" t="e">
        <x:f>IF($A617="","",[1]!thsiFinD("ths_adjustment_nv_fund",R$3,$A617))</x:f>
        <x:v>#NAME?</x:v>
      </x:c>
      <x:c r="S617" t="e">
        <x:f>IF($A617="","",[1]!thsiFinD("ths_adjustment_nv_fund",S$3,$A617))</x:f>
        <x:v>#NAME?</x:v>
      </x:c>
      <x:c r="T617" t="e">
        <x:f>IF($A617="","",[1]!thsiFinD("ths_adjustment_nv_fund",T$3,$A617))</x:f>
        <x:v>#NAME?</x:v>
      </x:c>
      <x:c r="U617" t="e">
        <x:f>IF($A617="","",[1]!thsiFinD("ths_adjustment_nv_fund",U$3,$A617))</x:f>
        <x:v>#NAME?</x:v>
      </x:c>
      <x:c r="V617" t="e">
        <x:f>IF($A617="","",[1]!thsiFinD("ths_adjustment_nv_fund",V$3,$A617))</x:f>
        <x:v>#NAME?</x:v>
      </x:c>
      <x:c r="W617" t="e">
        <x:f>IF($A617="","",[1]!thsiFinD("ths_adjustment_nv_fund",W$3,$A617))</x:f>
        <x:v>#NAME?</x:v>
      </x:c>
      <x:c r="X617" t="e">
        <x:f>IF($A617="","",[1]!thsiFinD("ths_adjustment_nv_fund",X$3,$A617))</x:f>
        <x:v>#NAME?</x:v>
      </x:c>
      <x:c r="Y617" t="e">
        <x:f>IF($A617="","",[1]!thsiFinD("ths_adjustment_nv_fund",Y$3,$A617))</x:f>
        <x:v>#NAME?</x:v>
      </x:c>
    </x:row>
    <x:row r="618">
      <x:c r="B618" t="e">
        <x:f>IF($A618="","",[1]!thsiFinD("ths_adjustment_nv_fund",B$3,$A618))</x:f>
        <x:v>#NAME?</x:v>
      </x:c>
      <x:c r="C618" t="e">
        <x:f>IF($A618="","",[1]!thsiFinD("ths_adjustment_nv_fund",C$3,$A618))</x:f>
        <x:v>#NAME?</x:v>
      </x:c>
      <x:c r="D618" t="e">
        <x:f>IF($A618="","",[1]!thsiFinD("ths_adjustment_nv_fund",D$3,$A618))</x:f>
        <x:v>#NAME?</x:v>
      </x:c>
      <x:c r="E618" t="e">
        <x:f>IF($A618="","",[1]!thsiFinD("ths_adjustment_nv_fund",E$3,$A618))</x:f>
        <x:v>#NAME?</x:v>
      </x:c>
      <x:c r="F618" t="e">
        <x:f>IF($A618="","",[1]!thsiFinD("ths_adjustment_nv_fund",F$3,$A618))</x:f>
        <x:v>#NAME?</x:v>
      </x:c>
      <x:c r="G618" t="e">
        <x:f>IF($A618="","",[1]!thsiFinD("ths_adjustment_nv_fund",G$3,$A618))</x:f>
        <x:v>#NAME?</x:v>
      </x:c>
      <x:c r="H618" t="e">
        <x:f>IF($A618="","",[1]!thsiFinD("ths_adjustment_nv_fund",H$3,$A618))</x:f>
        <x:v>#NAME?</x:v>
      </x:c>
      <x:c r="I618" t="e">
        <x:f>IF($A618="","",[1]!thsiFinD("ths_adjustment_nv_fund",I$3,$A618))</x:f>
        <x:v>#NAME?</x:v>
      </x:c>
      <x:c r="J618" t="e">
        <x:f>IF($A618="","",[1]!thsiFinD("ths_adjustment_nv_fund",J$3,$A618))</x:f>
        <x:v>#NAME?</x:v>
      </x:c>
      <x:c r="K618" t="e">
        <x:f>IF($A618="","",[1]!thsiFinD("ths_adjustment_nv_fund",K$3,$A618))</x:f>
        <x:v>#NAME?</x:v>
      </x:c>
      <x:c r="L618" t="e">
        <x:f>IF($A618="","",[1]!thsiFinD("ths_adjustment_nv_fund",L$3,$A618))</x:f>
        <x:v>#NAME?</x:v>
      </x:c>
      <x:c r="M618" t="e">
        <x:f>IF($A618="","",[1]!thsiFinD("ths_adjustment_nv_fund",M$3,$A618))</x:f>
        <x:v>#NAME?</x:v>
      </x:c>
      <x:c r="N618" t="e">
        <x:f>IF($A618="","",[1]!thsiFinD("ths_adjustment_nv_fund",N$3,$A618))</x:f>
        <x:v>#NAME?</x:v>
      </x:c>
      <x:c r="O618" t="e">
        <x:f>IF($A618="","",[1]!thsiFinD("ths_adjustment_nv_fund",O$3,$A618))</x:f>
        <x:v>#NAME?</x:v>
      </x:c>
      <x:c r="P618" t="e">
        <x:f>IF($A618="","",[1]!thsiFinD("ths_adjustment_nv_fund",P$3,$A618))</x:f>
        <x:v>#NAME?</x:v>
      </x:c>
      <x:c r="Q618" t="e">
        <x:f>IF($A618="","",[1]!thsiFinD("ths_adjustment_nv_fund",Q$3,$A618))</x:f>
        <x:v>#NAME?</x:v>
      </x:c>
      <x:c r="R618" t="e">
        <x:f>IF($A618="","",[1]!thsiFinD("ths_adjustment_nv_fund",R$3,$A618))</x:f>
        <x:v>#NAME?</x:v>
      </x:c>
      <x:c r="S618" t="e">
        <x:f>IF($A618="","",[1]!thsiFinD("ths_adjustment_nv_fund",S$3,$A618))</x:f>
        <x:v>#NAME?</x:v>
      </x:c>
      <x:c r="T618" t="e">
        <x:f>IF($A618="","",[1]!thsiFinD("ths_adjustment_nv_fund",T$3,$A618))</x:f>
        <x:v>#NAME?</x:v>
      </x:c>
      <x:c r="U618" t="e">
        <x:f>IF($A618="","",[1]!thsiFinD("ths_adjustment_nv_fund",U$3,$A618))</x:f>
        <x:v>#NAME?</x:v>
      </x:c>
      <x:c r="V618" t="e">
        <x:f>IF($A618="","",[1]!thsiFinD("ths_adjustment_nv_fund",V$3,$A618))</x:f>
        <x:v>#NAME?</x:v>
      </x:c>
      <x:c r="W618" t="e">
        <x:f>IF($A618="","",[1]!thsiFinD("ths_adjustment_nv_fund",W$3,$A618))</x:f>
        <x:v>#NAME?</x:v>
      </x:c>
      <x:c r="X618" t="e">
        <x:f>IF($A618="","",[1]!thsiFinD("ths_adjustment_nv_fund",X$3,$A618))</x:f>
        <x:v>#NAME?</x:v>
      </x:c>
      <x:c r="Y618" t="e">
        <x:f>IF($A618="","",[1]!thsiFinD("ths_adjustment_nv_fund",Y$3,$A618))</x:f>
        <x:v>#NAME?</x:v>
      </x:c>
    </x:row>
    <x:row r="619">
      <x:c r="B619" t="e">
        <x:f>IF($A619="","",[1]!thsiFinD("ths_adjustment_nv_fund",B$3,$A619))</x:f>
        <x:v>#NAME?</x:v>
      </x:c>
      <x:c r="C619" t="e">
        <x:f>IF($A619="","",[1]!thsiFinD("ths_adjustment_nv_fund",C$3,$A619))</x:f>
        <x:v>#NAME?</x:v>
      </x:c>
      <x:c r="D619" t="e">
        <x:f>IF($A619="","",[1]!thsiFinD("ths_adjustment_nv_fund",D$3,$A619))</x:f>
        <x:v>#NAME?</x:v>
      </x:c>
      <x:c r="E619" t="e">
        <x:f>IF($A619="","",[1]!thsiFinD("ths_adjustment_nv_fund",E$3,$A619))</x:f>
        <x:v>#NAME?</x:v>
      </x:c>
      <x:c r="F619" t="e">
        <x:f>IF($A619="","",[1]!thsiFinD("ths_adjustment_nv_fund",F$3,$A619))</x:f>
        <x:v>#NAME?</x:v>
      </x:c>
      <x:c r="G619" t="e">
        <x:f>IF($A619="","",[1]!thsiFinD("ths_adjustment_nv_fund",G$3,$A619))</x:f>
        <x:v>#NAME?</x:v>
      </x:c>
      <x:c r="H619" t="e">
        <x:f>IF($A619="","",[1]!thsiFinD("ths_adjustment_nv_fund",H$3,$A619))</x:f>
        <x:v>#NAME?</x:v>
      </x:c>
      <x:c r="I619" t="e">
        <x:f>IF($A619="","",[1]!thsiFinD("ths_adjustment_nv_fund",I$3,$A619))</x:f>
        <x:v>#NAME?</x:v>
      </x:c>
      <x:c r="J619" t="e">
        <x:f>IF($A619="","",[1]!thsiFinD("ths_adjustment_nv_fund",J$3,$A619))</x:f>
        <x:v>#NAME?</x:v>
      </x:c>
      <x:c r="K619" t="e">
        <x:f>IF($A619="","",[1]!thsiFinD("ths_adjustment_nv_fund",K$3,$A619))</x:f>
        <x:v>#NAME?</x:v>
      </x:c>
      <x:c r="L619" t="e">
        <x:f>IF($A619="","",[1]!thsiFinD("ths_adjustment_nv_fund",L$3,$A619))</x:f>
        <x:v>#NAME?</x:v>
      </x:c>
      <x:c r="M619" t="e">
        <x:f>IF($A619="","",[1]!thsiFinD("ths_adjustment_nv_fund",M$3,$A619))</x:f>
        <x:v>#NAME?</x:v>
      </x:c>
      <x:c r="N619" t="e">
        <x:f>IF($A619="","",[1]!thsiFinD("ths_adjustment_nv_fund",N$3,$A619))</x:f>
        <x:v>#NAME?</x:v>
      </x:c>
      <x:c r="O619" t="e">
        <x:f>IF($A619="","",[1]!thsiFinD("ths_adjustment_nv_fund",O$3,$A619))</x:f>
        <x:v>#NAME?</x:v>
      </x:c>
      <x:c r="P619" t="e">
        <x:f>IF($A619="","",[1]!thsiFinD("ths_adjustment_nv_fund",P$3,$A619))</x:f>
        <x:v>#NAME?</x:v>
      </x:c>
      <x:c r="Q619" t="e">
        <x:f>IF($A619="","",[1]!thsiFinD("ths_adjustment_nv_fund",Q$3,$A619))</x:f>
        <x:v>#NAME?</x:v>
      </x:c>
      <x:c r="R619" t="e">
        <x:f>IF($A619="","",[1]!thsiFinD("ths_adjustment_nv_fund",R$3,$A619))</x:f>
        <x:v>#NAME?</x:v>
      </x:c>
      <x:c r="S619" t="e">
        <x:f>IF($A619="","",[1]!thsiFinD("ths_adjustment_nv_fund",S$3,$A619))</x:f>
        <x:v>#NAME?</x:v>
      </x:c>
      <x:c r="T619" t="e">
        <x:f>IF($A619="","",[1]!thsiFinD("ths_adjustment_nv_fund",T$3,$A619))</x:f>
        <x:v>#NAME?</x:v>
      </x:c>
      <x:c r="U619" t="e">
        <x:f>IF($A619="","",[1]!thsiFinD("ths_adjustment_nv_fund",U$3,$A619))</x:f>
        <x:v>#NAME?</x:v>
      </x:c>
      <x:c r="V619" t="e">
        <x:f>IF($A619="","",[1]!thsiFinD("ths_adjustment_nv_fund",V$3,$A619))</x:f>
        <x:v>#NAME?</x:v>
      </x:c>
      <x:c r="W619" t="e">
        <x:f>IF($A619="","",[1]!thsiFinD("ths_adjustment_nv_fund",W$3,$A619))</x:f>
        <x:v>#NAME?</x:v>
      </x:c>
      <x:c r="X619" t="e">
        <x:f>IF($A619="","",[1]!thsiFinD("ths_adjustment_nv_fund",X$3,$A619))</x:f>
        <x:v>#NAME?</x:v>
      </x:c>
      <x:c r="Y619" t="e">
        <x:f>IF($A619="","",[1]!thsiFinD("ths_adjustment_nv_fund",Y$3,$A619))</x:f>
        <x:v>#NAME?</x:v>
      </x:c>
    </x:row>
    <x:row r="620">
      <x:c r="B620" t="e">
        <x:f>IF($A620="","",[1]!thsiFinD("ths_adjustment_nv_fund",B$3,$A620))</x:f>
        <x:v>#NAME?</x:v>
      </x:c>
      <x:c r="C620" t="e">
        <x:f>IF($A620="","",[1]!thsiFinD("ths_adjustment_nv_fund",C$3,$A620))</x:f>
        <x:v>#NAME?</x:v>
      </x:c>
      <x:c r="D620" t="e">
        <x:f>IF($A620="","",[1]!thsiFinD("ths_adjustment_nv_fund",D$3,$A620))</x:f>
        <x:v>#NAME?</x:v>
      </x:c>
      <x:c r="E620" t="e">
        <x:f>IF($A620="","",[1]!thsiFinD("ths_adjustment_nv_fund",E$3,$A620))</x:f>
        <x:v>#NAME?</x:v>
      </x:c>
      <x:c r="F620" t="e">
        <x:f>IF($A620="","",[1]!thsiFinD("ths_adjustment_nv_fund",F$3,$A620))</x:f>
        <x:v>#NAME?</x:v>
      </x:c>
      <x:c r="G620" t="e">
        <x:f>IF($A620="","",[1]!thsiFinD("ths_adjustment_nv_fund",G$3,$A620))</x:f>
        <x:v>#NAME?</x:v>
      </x:c>
      <x:c r="H620" t="e">
        <x:f>IF($A620="","",[1]!thsiFinD("ths_adjustment_nv_fund",H$3,$A620))</x:f>
        <x:v>#NAME?</x:v>
      </x:c>
      <x:c r="I620" t="e">
        <x:f>IF($A620="","",[1]!thsiFinD("ths_adjustment_nv_fund",I$3,$A620))</x:f>
        <x:v>#NAME?</x:v>
      </x:c>
      <x:c r="J620" t="e">
        <x:f>IF($A620="","",[1]!thsiFinD("ths_adjustment_nv_fund",J$3,$A620))</x:f>
        <x:v>#NAME?</x:v>
      </x:c>
      <x:c r="K620" t="e">
        <x:f>IF($A620="","",[1]!thsiFinD("ths_adjustment_nv_fund",K$3,$A620))</x:f>
        <x:v>#NAME?</x:v>
      </x:c>
      <x:c r="L620" t="e">
        <x:f>IF($A620="","",[1]!thsiFinD("ths_adjustment_nv_fund",L$3,$A620))</x:f>
        <x:v>#NAME?</x:v>
      </x:c>
      <x:c r="M620" t="e">
        <x:f>IF($A620="","",[1]!thsiFinD("ths_adjustment_nv_fund",M$3,$A620))</x:f>
        <x:v>#NAME?</x:v>
      </x:c>
      <x:c r="N620" t="e">
        <x:f>IF($A620="","",[1]!thsiFinD("ths_adjustment_nv_fund",N$3,$A620))</x:f>
        <x:v>#NAME?</x:v>
      </x:c>
      <x:c r="O620" t="e">
        <x:f>IF($A620="","",[1]!thsiFinD("ths_adjustment_nv_fund",O$3,$A620))</x:f>
        <x:v>#NAME?</x:v>
      </x:c>
      <x:c r="P620" t="e">
        <x:f>IF($A620="","",[1]!thsiFinD("ths_adjustment_nv_fund",P$3,$A620))</x:f>
        <x:v>#NAME?</x:v>
      </x:c>
      <x:c r="Q620" t="e">
        <x:f>IF($A620="","",[1]!thsiFinD("ths_adjustment_nv_fund",Q$3,$A620))</x:f>
        <x:v>#NAME?</x:v>
      </x:c>
      <x:c r="R620" t="e">
        <x:f>IF($A620="","",[1]!thsiFinD("ths_adjustment_nv_fund",R$3,$A620))</x:f>
        <x:v>#NAME?</x:v>
      </x:c>
      <x:c r="S620" t="e">
        <x:f>IF($A620="","",[1]!thsiFinD("ths_adjustment_nv_fund",S$3,$A620))</x:f>
        <x:v>#NAME?</x:v>
      </x:c>
      <x:c r="T620" t="e">
        <x:f>IF($A620="","",[1]!thsiFinD("ths_adjustment_nv_fund",T$3,$A620))</x:f>
        <x:v>#NAME?</x:v>
      </x:c>
      <x:c r="U620" t="e">
        <x:f>IF($A620="","",[1]!thsiFinD("ths_adjustment_nv_fund",U$3,$A620))</x:f>
        <x:v>#NAME?</x:v>
      </x:c>
      <x:c r="V620" t="e">
        <x:f>IF($A620="","",[1]!thsiFinD("ths_adjustment_nv_fund",V$3,$A620))</x:f>
        <x:v>#NAME?</x:v>
      </x:c>
      <x:c r="W620" t="e">
        <x:f>IF($A620="","",[1]!thsiFinD("ths_adjustment_nv_fund",W$3,$A620))</x:f>
        <x:v>#NAME?</x:v>
      </x:c>
      <x:c r="X620" t="e">
        <x:f>IF($A620="","",[1]!thsiFinD("ths_adjustment_nv_fund",X$3,$A620))</x:f>
        <x:v>#NAME?</x:v>
      </x:c>
      <x:c r="Y620" t="e">
        <x:f>IF($A620="","",[1]!thsiFinD("ths_adjustment_nv_fund",Y$3,$A620))</x:f>
        <x:v>#NAME?</x:v>
      </x:c>
    </x:row>
    <x:row r="621">
      <x:c r="B621" t="e">
        <x:f>IF($A621="","",[1]!thsiFinD("ths_adjustment_nv_fund",B$3,$A621))</x:f>
        <x:v>#NAME?</x:v>
      </x:c>
      <x:c r="C621" t="e">
        <x:f>IF($A621="","",[1]!thsiFinD("ths_adjustment_nv_fund",C$3,$A621))</x:f>
        <x:v>#NAME?</x:v>
      </x:c>
      <x:c r="D621" t="e">
        <x:f>IF($A621="","",[1]!thsiFinD("ths_adjustment_nv_fund",D$3,$A621))</x:f>
        <x:v>#NAME?</x:v>
      </x:c>
      <x:c r="E621" t="e">
        <x:f>IF($A621="","",[1]!thsiFinD("ths_adjustment_nv_fund",E$3,$A621))</x:f>
        <x:v>#NAME?</x:v>
      </x:c>
      <x:c r="F621" t="e">
        <x:f>IF($A621="","",[1]!thsiFinD("ths_adjustment_nv_fund",F$3,$A621))</x:f>
        <x:v>#NAME?</x:v>
      </x:c>
      <x:c r="G621" t="e">
        <x:f>IF($A621="","",[1]!thsiFinD("ths_adjustment_nv_fund",G$3,$A621))</x:f>
        <x:v>#NAME?</x:v>
      </x:c>
      <x:c r="H621" t="e">
        <x:f>IF($A621="","",[1]!thsiFinD("ths_adjustment_nv_fund",H$3,$A621))</x:f>
        <x:v>#NAME?</x:v>
      </x:c>
      <x:c r="I621" t="e">
        <x:f>IF($A621="","",[1]!thsiFinD("ths_adjustment_nv_fund",I$3,$A621))</x:f>
        <x:v>#NAME?</x:v>
      </x:c>
      <x:c r="J621" t="e">
        <x:f>IF($A621="","",[1]!thsiFinD("ths_adjustment_nv_fund",J$3,$A621))</x:f>
        <x:v>#NAME?</x:v>
      </x:c>
      <x:c r="K621" t="e">
        <x:f>IF($A621="","",[1]!thsiFinD("ths_adjustment_nv_fund",K$3,$A621))</x:f>
        <x:v>#NAME?</x:v>
      </x:c>
      <x:c r="L621" t="e">
        <x:f>IF($A621="","",[1]!thsiFinD("ths_adjustment_nv_fund",L$3,$A621))</x:f>
        <x:v>#NAME?</x:v>
      </x:c>
      <x:c r="M621" t="e">
        <x:f>IF($A621="","",[1]!thsiFinD("ths_adjustment_nv_fund",M$3,$A621))</x:f>
        <x:v>#NAME?</x:v>
      </x:c>
      <x:c r="N621" t="e">
        <x:f>IF($A621="","",[1]!thsiFinD("ths_adjustment_nv_fund",N$3,$A621))</x:f>
        <x:v>#NAME?</x:v>
      </x:c>
      <x:c r="O621" t="e">
        <x:f>IF($A621="","",[1]!thsiFinD("ths_adjustment_nv_fund",O$3,$A621))</x:f>
        <x:v>#NAME?</x:v>
      </x:c>
      <x:c r="P621" t="e">
        <x:f>IF($A621="","",[1]!thsiFinD("ths_adjustment_nv_fund",P$3,$A621))</x:f>
        <x:v>#NAME?</x:v>
      </x:c>
      <x:c r="Q621" t="e">
        <x:f>IF($A621="","",[1]!thsiFinD("ths_adjustment_nv_fund",Q$3,$A621))</x:f>
        <x:v>#NAME?</x:v>
      </x:c>
      <x:c r="R621" t="e">
        <x:f>IF($A621="","",[1]!thsiFinD("ths_adjustment_nv_fund",R$3,$A621))</x:f>
        <x:v>#NAME?</x:v>
      </x:c>
      <x:c r="S621" t="e">
        <x:f>IF($A621="","",[1]!thsiFinD("ths_adjustment_nv_fund",S$3,$A621))</x:f>
        <x:v>#NAME?</x:v>
      </x:c>
      <x:c r="T621" t="e">
        <x:f>IF($A621="","",[1]!thsiFinD("ths_adjustment_nv_fund",T$3,$A621))</x:f>
        <x:v>#NAME?</x:v>
      </x:c>
      <x:c r="U621" t="e">
        <x:f>IF($A621="","",[1]!thsiFinD("ths_adjustment_nv_fund",U$3,$A621))</x:f>
        <x:v>#NAME?</x:v>
      </x:c>
      <x:c r="V621" t="e">
        <x:f>IF($A621="","",[1]!thsiFinD("ths_adjustment_nv_fund",V$3,$A621))</x:f>
        <x:v>#NAME?</x:v>
      </x:c>
      <x:c r="W621" t="e">
        <x:f>IF($A621="","",[1]!thsiFinD("ths_adjustment_nv_fund",W$3,$A621))</x:f>
        <x:v>#NAME?</x:v>
      </x:c>
      <x:c r="X621" t="e">
        <x:f>IF($A621="","",[1]!thsiFinD("ths_adjustment_nv_fund",X$3,$A621))</x:f>
        <x:v>#NAME?</x:v>
      </x:c>
      <x:c r="Y621" t="e">
        <x:f>IF($A621="","",[1]!thsiFinD("ths_adjustment_nv_fund",Y$3,$A621))</x:f>
        <x:v>#NAME?</x:v>
      </x:c>
    </x:row>
    <x:row r="622">
      <x:c r="B622" t="e">
        <x:f>IF($A622="","",[1]!thsiFinD("ths_adjustment_nv_fund",B$3,$A622))</x:f>
        <x:v>#NAME?</x:v>
      </x:c>
      <x:c r="C622" t="e">
        <x:f>IF($A622="","",[1]!thsiFinD("ths_adjustment_nv_fund",C$3,$A622))</x:f>
        <x:v>#NAME?</x:v>
      </x:c>
      <x:c r="D622" t="e">
        <x:f>IF($A622="","",[1]!thsiFinD("ths_adjustment_nv_fund",D$3,$A622))</x:f>
        <x:v>#NAME?</x:v>
      </x:c>
      <x:c r="E622" t="e">
        <x:f>IF($A622="","",[1]!thsiFinD("ths_adjustment_nv_fund",E$3,$A622))</x:f>
        <x:v>#NAME?</x:v>
      </x:c>
      <x:c r="F622" t="e">
        <x:f>IF($A622="","",[1]!thsiFinD("ths_adjustment_nv_fund",F$3,$A622))</x:f>
        <x:v>#NAME?</x:v>
      </x:c>
      <x:c r="G622" t="e">
        <x:f>IF($A622="","",[1]!thsiFinD("ths_adjustment_nv_fund",G$3,$A622))</x:f>
        <x:v>#NAME?</x:v>
      </x:c>
      <x:c r="H622" t="e">
        <x:f>IF($A622="","",[1]!thsiFinD("ths_adjustment_nv_fund",H$3,$A622))</x:f>
        <x:v>#NAME?</x:v>
      </x:c>
      <x:c r="I622" t="e">
        <x:f>IF($A622="","",[1]!thsiFinD("ths_adjustment_nv_fund",I$3,$A622))</x:f>
        <x:v>#NAME?</x:v>
      </x:c>
      <x:c r="J622" t="e">
        <x:f>IF($A622="","",[1]!thsiFinD("ths_adjustment_nv_fund",J$3,$A622))</x:f>
        <x:v>#NAME?</x:v>
      </x:c>
      <x:c r="K622" t="e">
        <x:f>IF($A622="","",[1]!thsiFinD("ths_adjustment_nv_fund",K$3,$A622))</x:f>
        <x:v>#NAME?</x:v>
      </x:c>
      <x:c r="L622" t="e">
        <x:f>IF($A622="","",[1]!thsiFinD("ths_adjustment_nv_fund",L$3,$A622))</x:f>
        <x:v>#NAME?</x:v>
      </x:c>
      <x:c r="M622" t="e">
        <x:f>IF($A622="","",[1]!thsiFinD("ths_adjustment_nv_fund",M$3,$A622))</x:f>
        <x:v>#NAME?</x:v>
      </x:c>
      <x:c r="N622" t="e">
        <x:f>IF($A622="","",[1]!thsiFinD("ths_adjustment_nv_fund",N$3,$A622))</x:f>
        <x:v>#NAME?</x:v>
      </x:c>
      <x:c r="O622" t="e">
        <x:f>IF($A622="","",[1]!thsiFinD("ths_adjustment_nv_fund",O$3,$A622))</x:f>
        <x:v>#NAME?</x:v>
      </x:c>
      <x:c r="P622" t="e">
        <x:f>IF($A622="","",[1]!thsiFinD("ths_adjustment_nv_fund",P$3,$A622))</x:f>
        <x:v>#NAME?</x:v>
      </x:c>
      <x:c r="Q622" t="e">
        <x:f>IF($A622="","",[1]!thsiFinD("ths_adjustment_nv_fund",Q$3,$A622))</x:f>
        <x:v>#NAME?</x:v>
      </x:c>
      <x:c r="R622" t="e">
        <x:f>IF($A622="","",[1]!thsiFinD("ths_adjustment_nv_fund",R$3,$A622))</x:f>
        <x:v>#NAME?</x:v>
      </x:c>
      <x:c r="S622" t="e">
        <x:f>IF($A622="","",[1]!thsiFinD("ths_adjustment_nv_fund",S$3,$A622))</x:f>
        <x:v>#NAME?</x:v>
      </x:c>
      <x:c r="T622" t="e">
        <x:f>IF($A622="","",[1]!thsiFinD("ths_adjustment_nv_fund",T$3,$A622))</x:f>
        <x:v>#NAME?</x:v>
      </x:c>
      <x:c r="U622" t="e">
        <x:f>IF($A622="","",[1]!thsiFinD("ths_adjustment_nv_fund",U$3,$A622))</x:f>
        <x:v>#NAME?</x:v>
      </x:c>
      <x:c r="V622" t="e">
        <x:f>IF($A622="","",[1]!thsiFinD("ths_adjustment_nv_fund",V$3,$A622))</x:f>
        <x:v>#NAME?</x:v>
      </x:c>
      <x:c r="W622" t="e">
        <x:f>IF($A622="","",[1]!thsiFinD("ths_adjustment_nv_fund",W$3,$A622))</x:f>
        <x:v>#NAME?</x:v>
      </x:c>
      <x:c r="X622" t="e">
        <x:f>IF($A622="","",[1]!thsiFinD("ths_adjustment_nv_fund",X$3,$A622))</x:f>
        <x:v>#NAME?</x:v>
      </x:c>
      <x:c r="Y622" t="e">
        <x:f>IF($A622="","",[1]!thsiFinD("ths_adjustment_nv_fund",Y$3,$A622))</x:f>
        <x:v>#NAME?</x:v>
      </x:c>
    </x:row>
    <x:row r="623">
      <x:c r="B623" t="e">
        <x:f>IF($A623="","",[1]!thsiFinD("ths_adjustment_nv_fund",B$3,$A623))</x:f>
        <x:v>#NAME?</x:v>
      </x:c>
      <x:c r="C623" t="e">
        <x:f>IF($A623="","",[1]!thsiFinD("ths_adjustment_nv_fund",C$3,$A623))</x:f>
        <x:v>#NAME?</x:v>
      </x:c>
      <x:c r="D623" t="e">
        <x:f>IF($A623="","",[1]!thsiFinD("ths_adjustment_nv_fund",D$3,$A623))</x:f>
        <x:v>#NAME?</x:v>
      </x:c>
      <x:c r="E623" t="e">
        <x:f>IF($A623="","",[1]!thsiFinD("ths_adjustment_nv_fund",E$3,$A623))</x:f>
        <x:v>#NAME?</x:v>
      </x:c>
      <x:c r="F623" t="e">
        <x:f>IF($A623="","",[1]!thsiFinD("ths_adjustment_nv_fund",F$3,$A623))</x:f>
        <x:v>#NAME?</x:v>
      </x:c>
      <x:c r="G623" t="e">
        <x:f>IF($A623="","",[1]!thsiFinD("ths_adjustment_nv_fund",G$3,$A623))</x:f>
        <x:v>#NAME?</x:v>
      </x:c>
      <x:c r="H623" t="e">
        <x:f>IF($A623="","",[1]!thsiFinD("ths_adjustment_nv_fund",H$3,$A623))</x:f>
        <x:v>#NAME?</x:v>
      </x:c>
      <x:c r="I623" t="e">
        <x:f>IF($A623="","",[1]!thsiFinD("ths_adjustment_nv_fund",I$3,$A623))</x:f>
        <x:v>#NAME?</x:v>
      </x:c>
      <x:c r="J623" t="e">
        <x:f>IF($A623="","",[1]!thsiFinD("ths_adjustment_nv_fund",J$3,$A623))</x:f>
        <x:v>#NAME?</x:v>
      </x:c>
      <x:c r="K623" t="e">
        <x:f>IF($A623="","",[1]!thsiFinD("ths_adjustment_nv_fund",K$3,$A623))</x:f>
        <x:v>#NAME?</x:v>
      </x:c>
      <x:c r="L623" t="e">
        <x:f>IF($A623="","",[1]!thsiFinD("ths_adjustment_nv_fund",L$3,$A623))</x:f>
        <x:v>#NAME?</x:v>
      </x:c>
      <x:c r="M623" t="e">
        <x:f>IF($A623="","",[1]!thsiFinD("ths_adjustment_nv_fund",M$3,$A623))</x:f>
        <x:v>#NAME?</x:v>
      </x:c>
      <x:c r="N623" t="e">
        <x:f>IF($A623="","",[1]!thsiFinD("ths_adjustment_nv_fund",N$3,$A623))</x:f>
        <x:v>#NAME?</x:v>
      </x:c>
      <x:c r="O623" t="e">
        <x:f>IF($A623="","",[1]!thsiFinD("ths_adjustment_nv_fund",O$3,$A623))</x:f>
        <x:v>#NAME?</x:v>
      </x:c>
      <x:c r="P623" t="e">
        <x:f>IF($A623="","",[1]!thsiFinD("ths_adjustment_nv_fund",P$3,$A623))</x:f>
        <x:v>#NAME?</x:v>
      </x:c>
      <x:c r="Q623" t="e">
        <x:f>IF($A623="","",[1]!thsiFinD("ths_adjustment_nv_fund",Q$3,$A623))</x:f>
        <x:v>#NAME?</x:v>
      </x:c>
      <x:c r="R623" t="e">
        <x:f>IF($A623="","",[1]!thsiFinD("ths_adjustment_nv_fund",R$3,$A623))</x:f>
        <x:v>#NAME?</x:v>
      </x:c>
      <x:c r="S623" t="e">
        <x:f>IF($A623="","",[1]!thsiFinD("ths_adjustment_nv_fund",S$3,$A623))</x:f>
        <x:v>#NAME?</x:v>
      </x:c>
      <x:c r="T623" t="e">
        <x:f>IF($A623="","",[1]!thsiFinD("ths_adjustment_nv_fund",T$3,$A623))</x:f>
        <x:v>#NAME?</x:v>
      </x:c>
      <x:c r="U623" t="e">
        <x:f>IF($A623="","",[1]!thsiFinD("ths_adjustment_nv_fund",U$3,$A623))</x:f>
        <x:v>#NAME?</x:v>
      </x:c>
      <x:c r="V623" t="e">
        <x:f>IF($A623="","",[1]!thsiFinD("ths_adjustment_nv_fund",V$3,$A623))</x:f>
        <x:v>#NAME?</x:v>
      </x:c>
      <x:c r="W623" t="e">
        <x:f>IF($A623="","",[1]!thsiFinD("ths_adjustment_nv_fund",W$3,$A623))</x:f>
        <x:v>#NAME?</x:v>
      </x:c>
      <x:c r="X623" t="e">
        <x:f>IF($A623="","",[1]!thsiFinD("ths_adjustment_nv_fund",X$3,$A623))</x:f>
        <x:v>#NAME?</x:v>
      </x:c>
      <x:c r="Y623" t="e">
        <x:f>IF($A623="","",[1]!thsiFinD("ths_adjustment_nv_fund",Y$3,$A623))</x:f>
        <x:v>#NAME?</x:v>
      </x:c>
    </x:row>
    <x:row r="624">
      <x:c r="B624" t="e">
        <x:f>IF($A624="","",[1]!thsiFinD("ths_adjustment_nv_fund",B$3,$A624))</x:f>
        <x:v>#NAME?</x:v>
      </x:c>
      <x:c r="C624" t="e">
        <x:f>IF($A624="","",[1]!thsiFinD("ths_adjustment_nv_fund",C$3,$A624))</x:f>
        <x:v>#NAME?</x:v>
      </x:c>
      <x:c r="D624" t="e">
        <x:f>IF($A624="","",[1]!thsiFinD("ths_adjustment_nv_fund",D$3,$A624))</x:f>
        <x:v>#NAME?</x:v>
      </x:c>
      <x:c r="E624" t="e">
        <x:f>IF($A624="","",[1]!thsiFinD("ths_adjustment_nv_fund",E$3,$A624))</x:f>
        <x:v>#NAME?</x:v>
      </x:c>
      <x:c r="F624" t="e">
        <x:f>IF($A624="","",[1]!thsiFinD("ths_adjustment_nv_fund",F$3,$A624))</x:f>
        <x:v>#NAME?</x:v>
      </x:c>
      <x:c r="G624" t="e">
        <x:f>IF($A624="","",[1]!thsiFinD("ths_adjustment_nv_fund",G$3,$A624))</x:f>
        <x:v>#NAME?</x:v>
      </x:c>
      <x:c r="H624" t="e">
        <x:f>IF($A624="","",[1]!thsiFinD("ths_adjustment_nv_fund",H$3,$A624))</x:f>
        <x:v>#NAME?</x:v>
      </x:c>
      <x:c r="I624" t="e">
        <x:f>IF($A624="","",[1]!thsiFinD("ths_adjustment_nv_fund",I$3,$A624))</x:f>
        <x:v>#NAME?</x:v>
      </x:c>
      <x:c r="J624" t="e">
        <x:f>IF($A624="","",[1]!thsiFinD("ths_adjustment_nv_fund",J$3,$A624))</x:f>
        <x:v>#NAME?</x:v>
      </x:c>
      <x:c r="K624" t="e">
        <x:f>IF($A624="","",[1]!thsiFinD("ths_adjustment_nv_fund",K$3,$A624))</x:f>
        <x:v>#NAME?</x:v>
      </x:c>
      <x:c r="L624" t="e">
        <x:f>IF($A624="","",[1]!thsiFinD("ths_adjustment_nv_fund",L$3,$A624))</x:f>
        <x:v>#NAME?</x:v>
      </x:c>
      <x:c r="M624" t="e">
        <x:f>IF($A624="","",[1]!thsiFinD("ths_adjustment_nv_fund",M$3,$A624))</x:f>
        <x:v>#NAME?</x:v>
      </x:c>
      <x:c r="N624" t="e">
        <x:f>IF($A624="","",[1]!thsiFinD("ths_adjustment_nv_fund",N$3,$A624))</x:f>
        <x:v>#NAME?</x:v>
      </x:c>
      <x:c r="O624" t="e">
        <x:f>IF($A624="","",[1]!thsiFinD("ths_adjustment_nv_fund",O$3,$A624))</x:f>
        <x:v>#NAME?</x:v>
      </x:c>
      <x:c r="P624" t="e">
        <x:f>IF($A624="","",[1]!thsiFinD("ths_adjustment_nv_fund",P$3,$A624))</x:f>
        <x:v>#NAME?</x:v>
      </x:c>
      <x:c r="Q624" t="e">
        <x:f>IF($A624="","",[1]!thsiFinD("ths_adjustment_nv_fund",Q$3,$A624))</x:f>
        <x:v>#NAME?</x:v>
      </x:c>
      <x:c r="R624" t="e">
        <x:f>IF($A624="","",[1]!thsiFinD("ths_adjustment_nv_fund",R$3,$A624))</x:f>
        <x:v>#NAME?</x:v>
      </x:c>
      <x:c r="S624" t="e">
        <x:f>IF($A624="","",[1]!thsiFinD("ths_adjustment_nv_fund",S$3,$A624))</x:f>
        <x:v>#NAME?</x:v>
      </x:c>
      <x:c r="T624" t="e">
        <x:f>IF($A624="","",[1]!thsiFinD("ths_adjustment_nv_fund",T$3,$A624))</x:f>
        <x:v>#NAME?</x:v>
      </x:c>
      <x:c r="U624" t="e">
        <x:f>IF($A624="","",[1]!thsiFinD("ths_adjustment_nv_fund",U$3,$A624))</x:f>
        <x:v>#NAME?</x:v>
      </x:c>
      <x:c r="V624" t="e">
        <x:f>IF($A624="","",[1]!thsiFinD("ths_adjustment_nv_fund",V$3,$A624))</x:f>
        <x:v>#NAME?</x:v>
      </x:c>
      <x:c r="W624" t="e">
        <x:f>IF($A624="","",[1]!thsiFinD("ths_adjustment_nv_fund",W$3,$A624))</x:f>
        <x:v>#NAME?</x:v>
      </x:c>
      <x:c r="X624" t="e">
        <x:f>IF($A624="","",[1]!thsiFinD("ths_adjustment_nv_fund",X$3,$A624))</x:f>
        <x:v>#NAME?</x:v>
      </x:c>
      <x:c r="Y624" t="e">
        <x:f>IF($A624="","",[1]!thsiFinD("ths_adjustment_nv_fund",Y$3,$A624))</x:f>
        <x:v>#NAME?</x:v>
      </x:c>
    </x:row>
    <x:row r="625">
      <x:c r="B625" t="e">
        <x:f>IF($A625="","",[1]!thsiFinD("ths_adjustment_nv_fund",B$3,$A625))</x:f>
        <x:v>#NAME?</x:v>
      </x:c>
      <x:c r="C625" t="e">
        <x:f>IF($A625="","",[1]!thsiFinD("ths_adjustment_nv_fund",C$3,$A625))</x:f>
        <x:v>#NAME?</x:v>
      </x:c>
      <x:c r="D625" t="e">
        <x:f>IF($A625="","",[1]!thsiFinD("ths_adjustment_nv_fund",D$3,$A625))</x:f>
        <x:v>#NAME?</x:v>
      </x:c>
      <x:c r="E625" t="e">
        <x:f>IF($A625="","",[1]!thsiFinD("ths_adjustment_nv_fund",E$3,$A625))</x:f>
        <x:v>#NAME?</x:v>
      </x:c>
      <x:c r="F625" t="e">
        <x:f>IF($A625="","",[1]!thsiFinD("ths_adjustment_nv_fund",F$3,$A625))</x:f>
        <x:v>#NAME?</x:v>
      </x:c>
      <x:c r="G625" t="e">
        <x:f>IF($A625="","",[1]!thsiFinD("ths_adjustment_nv_fund",G$3,$A625))</x:f>
        <x:v>#NAME?</x:v>
      </x:c>
      <x:c r="H625" t="e">
        <x:f>IF($A625="","",[1]!thsiFinD("ths_adjustment_nv_fund",H$3,$A625))</x:f>
        <x:v>#NAME?</x:v>
      </x:c>
      <x:c r="I625" t="e">
        <x:f>IF($A625="","",[1]!thsiFinD("ths_adjustment_nv_fund",I$3,$A625))</x:f>
        <x:v>#NAME?</x:v>
      </x:c>
      <x:c r="J625" t="e">
        <x:f>IF($A625="","",[1]!thsiFinD("ths_adjustment_nv_fund",J$3,$A625))</x:f>
        <x:v>#NAME?</x:v>
      </x:c>
      <x:c r="K625" t="e">
        <x:f>IF($A625="","",[1]!thsiFinD("ths_adjustment_nv_fund",K$3,$A625))</x:f>
        <x:v>#NAME?</x:v>
      </x:c>
      <x:c r="L625" t="e">
        <x:f>IF($A625="","",[1]!thsiFinD("ths_adjustment_nv_fund",L$3,$A625))</x:f>
        <x:v>#NAME?</x:v>
      </x:c>
      <x:c r="M625" t="e">
        <x:f>IF($A625="","",[1]!thsiFinD("ths_adjustment_nv_fund",M$3,$A625))</x:f>
        <x:v>#NAME?</x:v>
      </x:c>
      <x:c r="N625" t="e">
        <x:f>IF($A625="","",[1]!thsiFinD("ths_adjustment_nv_fund",N$3,$A625))</x:f>
        <x:v>#NAME?</x:v>
      </x:c>
      <x:c r="O625" t="e">
        <x:f>IF($A625="","",[1]!thsiFinD("ths_adjustment_nv_fund",O$3,$A625))</x:f>
        <x:v>#NAME?</x:v>
      </x:c>
      <x:c r="P625" t="e">
        <x:f>IF($A625="","",[1]!thsiFinD("ths_adjustment_nv_fund",P$3,$A625))</x:f>
        <x:v>#NAME?</x:v>
      </x:c>
      <x:c r="Q625" t="e">
        <x:f>IF($A625="","",[1]!thsiFinD("ths_adjustment_nv_fund",Q$3,$A625))</x:f>
        <x:v>#NAME?</x:v>
      </x:c>
      <x:c r="R625" t="e">
        <x:f>IF($A625="","",[1]!thsiFinD("ths_adjustment_nv_fund",R$3,$A625))</x:f>
        <x:v>#NAME?</x:v>
      </x:c>
      <x:c r="S625" t="e">
        <x:f>IF($A625="","",[1]!thsiFinD("ths_adjustment_nv_fund",S$3,$A625))</x:f>
        <x:v>#NAME?</x:v>
      </x:c>
      <x:c r="T625" t="e">
        <x:f>IF($A625="","",[1]!thsiFinD("ths_adjustment_nv_fund",T$3,$A625))</x:f>
        <x:v>#NAME?</x:v>
      </x:c>
      <x:c r="U625" t="e">
        <x:f>IF($A625="","",[1]!thsiFinD("ths_adjustment_nv_fund",U$3,$A625))</x:f>
        <x:v>#NAME?</x:v>
      </x:c>
      <x:c r="V625" t="e">
        <x:f>IF($A625="","",[1]!thsiFinD("ths_adjustment_nv_fund",V$3,$A625))</x:f>
        <x:v>#NAME?</x:v>
      </x:c>
      <x:c r="W625" t="e">
        <x:f>IF($A625="","",[1]!thsiFinD("ths_adjustment_nv_fund",W$3,$A625))</x:f>
        <x:v>#NAME?</x:v>
      </x:c>
      <x:c r="X625" t="e">
        <x:f>IF($A625="","",[1]!thsiFinD("ths_adjustment_nv_fund",X$3,$A625))</x:f>
        <x:v>#NAME?</x:v>
      </x:c>
      <x:c r="Y625" t="e">
        <x:f>IF($A625="","",[1]!thsiFinD("ths_adjustment_nv_fund",Y$3,$A625))</x:f>
        <x:v>#NAME?</x:v>
      </x:c>
    </x:row>
    <x:row r="626">
      <x:c r="B626" t="e">
        <x:f>IF($A626="","",[1]!thsiFinD("ths_adjustment_nv_fund",B$3,$A626))</x:f>
        <x:v>#NAME?</x:v>
      </x:c>
      <x:c r="C626" t="e">
        <x:f>IF($A626="","",[1]!thsiFinD("ths_adjustment_nv_fund",C$3,$A626))</x:f>
        <x:v>#NAME?</x:v>
      </x:c>
      <x:c r="D626" t="e">
        <x:f>IF($A626="","",[1]!thsiFinD("ths_adjustment_nv_fund",D$3,$A626))</x:f>
        <x:v>#NAME?</x:v>
      </x:c>
      <x:c r="E626" t="e">
        <x:f>IF($A626="","",[1]!thsiFinD("ths_adjustment_nv_fund",E$3,$A626))</x:f>
        <x:v>#NAME?</x:v>
      </x:c>
      <x:c r="F626" t="e">
        <x:f>IF($A626="","",[1]!thsiFinD("ths_adjustment_nv_fund",F$3,$A626))</x:f>
        <x:v>#NAME?</x:v>
      </x:c>
      <x:c r="G626" t="e">
        <x:f>IF($A626="","",[1]!thsiFinD("ths_adjustment_nv_fund",G$3,$A626))</x:f>
        <x:v>#NAME?</x:v>
      </x:c>
      <x:c r="H626" t="e">
        <x:f>IF($A626="","",[1]!thsiFinD("ths_adjustment_nv_fund",H$3,$A626))</x:f>
        <x:v>#NAME?</x:v>
      </x:c>
      <x:c r="I626" t="e">
        <x:f>IF($A626="","",[1]!thsiFinD("ths_adjustment_nv_fund",I$3,$A626))</x:f>
        <x:v>#NAME?</x:v>
      </x:c>
      <x:c r="J626" t="e">
        <x:f>IF($A626="","",[1]!thsiFinD("ths_adjustment_nv_fund",J$3,$A626))</x:f>
        <x:v>#NAME?</x:v>
      </x:c>
      <x:c r="K626" t="e">
        <x:f>IF($A626="","",[1]!thsiFinD("ths_adjustment_nv_fund",K$3,$A626))</x:f>
        <x:v>#NAME?</x:v>
      </x:c>
      <x:c r="L626" t="e">
        <x:f>IF($A626="","",[1]!thsiFinD("ths_adjustment_nv_fund",L$3,$A626))</x:f>
        <x:v>#NAME?</x:v>
      </x:c>
      <x:c r="M626" t="e">
        <x:f>IF($A626="","",[1]!thsiFinD("ths_adjustment_nv_fund",M$3,$A626))</x:f>
        <x:v>#NAME?</x:v>
      </x:c>
      <x:c r="N626" t="e">
        <x:f>IF($A626="","",[1]!thsiFinD("ths_adjustment_nv_fund",N$3,$A626))</x:f>
        <x:v>#NAME?</x:v>
      </x:c>
      <x:c r="O626" t="e">
        <x:f>IF($A626="","",[1]!thsiFinD("ths_adjustment_nv_fund",O$3,$A626))</x:f>
        <x:v>#NAME?</x:v>
      </x:c>
      <x:c r="P626" t="e">
        <x:f>IF($A626="","",[1]!thsiFinD("ths_adjustment_nv_fund",P$3,$A626))</x:f>
        <x:v>#NAME?</x:v>
      </x:c>
      <x:c r="Q626" t="e">
        <x:f>IF($A626="","",[1]!thsiFinD("ths_adjustment_nv_fund",Q$3,$A626))</x:f>
        <x:v>#NAME?</x:v>
      </x:c>
      <x:c r="R626" t="e">
        <x:f>IF($A626="","",[1]!thsiFinD("ths_adjustment_nv_fund",R$3,$A626))</x:f>
        <x:v>#NAME?</x:v>
      </x:c>
      <x:c r="S626" t="e">
        <x:f>IF($A626="","",[1]!thsiFinD("ths_adjustment_nv_fund",S$3,$A626))</x:f>
        <x:v>#NAME?</x:v>
      </x:c>
      <x:c r="T626" t="e">
        <x:f>IF($A626="","",[1]!thsiFinD("ths_adjustment_nv_fund",T$3,$A626))</x:f>
        <x:v>#NAME?</x:v>
      </x:c>
      <x:c r="U626" t="e">
        <x:f>IF($A626="","",[1]!thsiFinD("ths_adjustment_nv_fund",U$3,$A626))</x:f>
        <x:v>#NAME?</x:v>
      </x:c>
      <x:c r="V626" t="e">
        <x:f>IF($A626="","",[1]!thsiFinD("ths_adjustment_nv_fund",V$3,$A626))</x:f>
        <x:v>#NAME?</x:v>
      </x:c>
      <x:c r="W626" t="e">
        <x:f>IF($A626="","",[1]!thsiFinD("ths_adjustment_nv_fund",W$3,$A626))</x:f>
        <x:v>#NAME?</x:v>
      </x:c>
      <x:c r="X626" t="e">
        <x:f>IF($A626="","",[1]!thsiFinD("ths_adjustment_nv_fund",X$3,$A626))</x:f>
        <x:v>#NAME?</x:v>
      </x:c>
      <x:c r="Y626" t="e">
        <x:f>IF($A626="","",[1]!thsiFinD("ths_adjustment_nv_fund",Y$3,$A626))</x:f>
        <x:v>#NAME?</x:v>
      </x:c>
    </x:row>
    <x:row r="627">
      <x:c r="B627" t="e">
        <x:f>IF($A627="","",[1]!thsiFinD("ths_adjustment_nv_fund",B$3,$A627))</x:f>
        <x:v>#NAME?</x:v>
      </x:c>
      <x:c r="C627" t="e">
        <x:f>IF($A627="","",[1]!thsiFinD("ths_adjustment_nv_fund",C$3,$A627))</x:f>
        <x:v>#NAME?</x:v>
      </x:c>
      <x:c r="D627" t="e">
        <x:f>IF($A627="","",[1]!thsiFinD("ths_adjustment_nv_fund",D$3,$A627))</x:f>
        <x:v>#NAME?</x:v>
      </x:c>
      <x:c r="E627" t="e">
        <x:f>IF($A627="","",[1]!thsiFinD("ths_adjustment_nv_fund",E$3,$A627))</x:f>
        <x:v>#NAME?</x:v>
      </x:c>
      <x:c r="F627" t="e">
        <x:f>IF($A627="","",[1]!thsiFinD("ths_adjustment_nv_fund",F$3,$A627))</x:f>
        <x:v>#NAME?</x:v>
      </x:c>
      <x:c r="G627" t="e">
        <x:f>IF($A627="","",[1]!thsiFinD("ths_adjustment_nv_fund",G$3,$A627))</x:f>
        <x:v>#NAME?</x:v>
      </x:c>
      <x:c r="H627" t="e">
        <x:f>IF($A627="","",[1]!thsiFinD("ths_adjustment_nv_fund",H$3,$A627))</x:f>
        <x:v>#NAME?</x:v>
      </x:c>
      <x:c r="I627" t="e">
        <x:f>IF($A627="","",[1]!thsiFinD("ths_adjustment_nv_fund",I$3,$A627))</x:f>
        <x:v>#NAME?</x:v>
      </x:c>
      <x:c r="J627" t="e">
        <x:f>IF($A627="","",[1]!thsiFinD("ths_adjustment_nv_fund",J$3,$A627))</x:f>
        <x:v>#NAME?</x:v>
      </x:c>
      <x:c r="K627" t="e">
        <x:f>IF($A627="","",[1]!thsiFinD("ths_adjustment_nv_fund",K$3,$A627))</x:f>
        <x:v>#NAME?</x:v>
      </x:c>
      <x:c r="L627" t="e">
        <x:f>IF($A627="","",[1]!thsiFinD("ths_adjustment_nv_fund",L$3,$A627))</x:f>
        <x:v>#NAME?</x:v>
      </x:c>
      <x:c r="M627" t="e">
        <x:f>IF($A627="","",[1]!thsiFinD("ths_adjustment_nv_fund",M$3,$A627))</x:f>
        <x:v>#NAME?</x:v>
      </x:c>
      <x:c r="N627" t="e">
        <x:f>IF($A627="","",[1]!thsiFinD("ths_adjustment_nv_fund",N$3,$A627))</x:f>
        <x:v>#NAME?</x:v>
      </x:c>
      <x:c r="O627" t="e">
        <x:f>IF($A627="","",[1]!thsiFinD("ths_adjustment_nv_fund",O$3,$A627))</x:f>
        <x:v>#NAME?</x:v>
      </x:c>
      <x:c r="P627" t="e">
        <x:f>IF($A627="","",[1]!thsiFinD("ths_adjustment_nv_fund",P$3,$A627))</x:f>
        <x:v>#NAME?</x:v>
      </x:c>
      <x:c r="Q627" t="e">
        <x:f>IF($A627="","",[1]!thsiFinD("ths_adjustment_nv_fund",Q$3,$A627))</x:f>
        <x:v>#NAME?</x:v>
      </x:c>
      <x:c r="R627" t="e">
        <x:f>IF($A627="","",[1]!thsiFinD("ths_adjustment_nv_fund",R$3,$A627))</x:f>
        <x:v>#NAME?</x:v>
      </x:c>
      <x:c r="S627" t="e">
        <x:f>IF($A627="","",[1]!thsiFinD("ths_adjustment_nv_fund",S$3,$A627))</x:f>
        <x:v>#NAME?</x:v>
      </x:c>
      <x:c r="T627" t="e">
        <x:f>IF($A627="","",[1]!thsiFinD("ths_adjustment_nv_fund",T$3,$A627))</x:f>
        <x:v>#NAME?</x:v>
      </x:c>
      <x:c r="U627" t="e">
        <x:f>IF($A627="","",[1]!thsiFinD("ths_adjustment_nv_fund",U$3,$A627))</x:f>
        <x:v>#NAME?</x:v>
      </x:c>
      <x:c r="V627" t="e">
        <x:f>IF($A627="","",[1]!thsiFinD("ths_adjustment_nv_fund",V$3,$A627))</x:f>
        <x:v>#NAME?</x:v>
      </x:c>
      <x:c r="W627" t="e">
        <x:f>IF($A627="","",[1]!thsiFinD("ths_adjustment_nv_fund",W$3,$A627))</x:f>
        <x:v>#NAME?</x:v>
      </x:c>
      <x:c r="X627" t="e">
        <x:f>IF($A627="","",[1]!thsiFinD("ths_adjustment_nv_fund",X$3,$A627))</x:f>
        <x:v>#NAME?</x:v>
      </x:c>
      <x:c r="Y627" t="e">
        <x:f>IF($A627="","",[1]!thsiFinD("ths_adjustment_nv_fund",Y$3,$A627))</x:f>
        <x:v>#NAME?</x:v>
      </x:c>
    </x:row>
    <x:row r="628">
      <x:c r="B628" t="e">
        <x:f>IF($A628="","",[1]!thsiFinD("ths_adjustment_nv_fund",B$3,$A628))</x:f>
        <x:v>#NAME?</x:v>
      </x:c>
      <x:c r="C628" t="e">
        <x:f>IF($A628="","",[1]!thsiFinD("ths_adjustment_nv_fund",C$3,$A628))</x:f>
        <x:v>#NAME?</x:v>
      </x:c>
      <x:c r="D628" t="e">
        <x:f>IF($A628="","",[1]!thsiFinD("ths_adjustment_nv_fund",D$3,$A628))</x:f>
        <x:v>#NAME?</x:v>
      </x:c>
      <x:c r="E628" t="e">
        <x:f>IF($A628="","",[1]!thsiFinD("ths_adjustment_nv_fund",E$3,$A628))</x:f>
        <x:v>#NAME?</x:v>
      </x:c>
      <x:c r="F628" t="e">
        <x:f>IF($A628="","",[1]!thsiFinD("ths_adjustment_nv_fund",F$3,$A628))</x:f>
        <x:v>#NAME?</x:v>
      </x:c>
      <x:c r="G628" t="e">
        <x:f>IF($A628="","",[1]!thsiFinD("ths_adjustment_nv_fund",G$3,$A628))</x:f>
        <x:v>#NAME?</x:v>
      </x:c>
      <x:c r="H628" t="e">
        <x:f>IF($A628="","",[1]!thsiFinD("ths_adjustment_nv_fund",H$3,$A628))</x:f>
        <x:v>#NAME?</x:v>
      </x:c>
      <x:c r="I628" t="e">
        <x:f>IF($A628="","",[1]!thsiFinD("ths_adjustment_nv_fund",I$3,$A628))</x:f>
        <x:v>#NAME?</x:v>
      </x:c>
      <x:c r="J628" t="e">
        <x:f>IF($A628="","",[1]!thsiFinD("ths_adjustment_nv_fund",J$3,$A628))</x:f>
        <x:v>#NAME?</x:v>
      </x:c>
      <x:c r="K628" t="e">
        <x:f>IF($A628="","",[1]!thsiFinD("ths_adjustment_nv_fund",K$3,$A628))</x:f>
        <x:v>#NAME?</x:v>
      </x:c>
      <x:c r="L628" t="e">
        <x:f>IF($A628="","",[1]!thsiFinD("ths_adjustment_nv_fund",L$3,$A628))</x:f>
        <x:v>#NAME?</x:v>
      </x:c>
      <x:c r="M628" t="e">
        <x:f>IF($A628="","",[1]!thsiFinD("ths_adjustment_nv_fund",M$3,$A628))</x:f>
        <x:v>#NAME?</x:v>
      </x:c>
      <x:c r="N628" t="e">
        <x:f>IF($A628="","",[1]!thsiFinD("ths_adjustment_nv_fund",N$3,$A628))</x:f>
        <x:v>#NAME?</x:v>
      </x:c>
      <x:c r="O628" t="e">
        <x:f>IF($A628="","",[1]!thsiFinD("ths_adjustment_nv_fund",O$3,$A628))</x:f>
        <x:v>#NAME?</x:v>
      </x:c>
      <x:c r="P628" t="e">
        <x:f>IF($A628="","",[1]!thsiFinD("ths_adjustment_nv_fund",P$3,$A628))</x:f>
        <x:v>#NAME?</x:v>
      </x:c>
      <x:c r="Q628" t="e">
        <x:f>IF($A628="","",[1]!thsiFinD("ths_adjustment_nv_fund",Q$3,$A628))</x:f>
        <x:v>#NAME?</x:v>
      </x:c>
      <x:c r="R628" t="e">
        <x:f>IF($A628="","",[1]!thsiFinD("ths_adjustment_nv_fund",R$3,$A628))</x:f>
        <x:v>#NAME?</x:v>
      </x:c>
      <x:c r="S628" t="e">
        <x:f>IF($A628="","",[1]!thsiFinD("ths_adjustment_nv_fund",S$3,$A628))</x:f>
        <x:v>#NAME?</x:v>
      </x:c>
      <x:c r="T628" t="e">
        <x:f>IF($A628="","",[1]!thsiFinD("ths_adjustment_nv_fund",T$3,$A628))</x:f>
        <x:v>#NAME?</x:v>
      </x:c>
      <x:c r="U628" t="e">
        <x:f>IF($A628="","",[1]!thsiFinD("ths_adjustment_nv_fund",U$3,$A628))</x:f>
        <x:v>#NAME?</x:v>
      </x:c>
      <x:c r="V628" t="e">
        <x:f>IF($A628="","",[1]!thsiFinD("ths_adjustment_nv_fund",V$3,$A628))</x:f>
        <x:v>#NAME?</x:v>
      </x:c>
      <x:c r="W628" t="e">
        <x:f>IF($A628="","",[1]!thsiFinD("ths_adjustment_nv_fund",W$3,$A628))</x:f>
        <x:v>#NAME?</x:v>
      </x:c>
      <x:c r="X628" t="e">
        <x:f>IF($A628="","",[1]!thsiFinD("ths_adjustment_nv_fund",X$3,$A628))</x:f>
        <x:v>#NAME?</x:v>
      </x:c>
      <x:c r="Y628" t="e">
        <x:f>IF($A628="","",[1]!thsiFinD("ths_adjustment_nv_fund",Y$3,$A628))</x:f>
        <x:v>#NAME?</x:v>
      </x:c>
    </x:row>
    <x:row r="629">
      <x:c r="B629" t="e">
        <x:f>IF($A629="","",[1]!thsiFinD("ths_adjustment_nv_fund",B$3,$A629))</x:f>
        <x:v>#NAME?</x:v>
      </x:c>
      <x:c r="C629" t="e">
        <x:f>IF($A629="","",[1]!thsiFinD("ths_adjustment_nv_fund",C$3,$A629))</x:f>
        <x:v>#NAME?</x:v>
      </x:c>
      <x:c r="D629" t="e">
        <x:f>IF($A629="","",[1]!thsiFinD("ths_adjustment_nv_fund",D$3,$A629))</x:f>
        <x:v>#NAME?</x:v>
      </x:c>
      <x:c r="E629" t="e">
        <x:f>IF($A629="","",[1]!thsiFinD("ths_adjustment_nv_fund",E$3,$A629))</x:f>
        <x:v>#NAME?</x:v>
      </x:c>
      <x:c r="F629" t="e">
        <x:f>IF($A629="","",[1]!thsiFinD("ths_adjustment_nv_fund",F$3,$A629))</x:f>
        <x:v>#NAME?</x:v>
      </x:c>
      <x:c r="G629" t="e">
        <x:f>IF($A629="","",[1]!thsiFinD("ths_adjustment_nv_fund",G$3,$A629))</x:f>
        <x:v>#NAME?</x:v>
      </x:c>
      <x:c r="H629" t="e">
        <x:f>IF($A629="","",[1]!thsiFinD("ths_adjustment_nv_fund",H$3,$A629))</x:f>
        <x:v>#NAME?</x:v>
      </x:c>
      <x:c r="I629" t="e">
        <x:f>IF($A629="","",[1]!thsiFinD("ths_adjustment_nv_fund",I$3,$A629))</x:f>
        <x:v>#NAME?</x:v>
      </x:c>
      <x:c r="J629" t="e">
        <x:f>IF($A629="","",[1]!thsiFinD("ths_adjustment_nv_fund",J$3,$A629))</x:f>
        <x:v>#NAME?</x:v>
      </x:c>
      <x:c r="K629" t="e">
        <x:f>IF($A629="","",[1]!thsiFinD("ths_adjustment_nv_fund",K$3,$A629))</x:f>
        <x:v>#NAME?</x:v>
      </x:c>
      <x:c r="L629" t="e">
        <x:f>IF($A629="","",[1]!thsiFinD("ths_adjustment_nv_fund",L$3,$A629))</x:f>
        <x:v>#NAME?</x:v>
      </x:c>
      <x:c r="M629" t="e">
        <x:f>IF($A629="","",[1]!thsiFinD("ths_adjustment_nv_fund",M$3,$A629))</x:f>
        <x:v>#NAME?</x:v>
      </x:c>
      <x:c r="N629" t="e">
        <x:f>IF($A629="","",[1]!thsiFinD("ths_adjustment_nv_fund",N$3,$A629))</x:f>
        <x:v>#NAME?</x:v>
      </x:c>
      <x:c r="O629" t="e">
        <x:f>IF($A629="","",[1]!thsiFinD("ths_adjustment_nv_fund",O$3,$A629))</x:f>
        <x:v>#NAME?</x:v>
      </x:c>
      <x:c r="P629" t="e">
        <x:f>IF($A629="","",[1]!thsiFinD("ths_adjustment_nv_fund",P$3,$A629))</x:f>
        <x:v>#NAME?</x:v>
      </x:c>
      <x:c r="Q629" t="e">
        <x:f>IF($A629="","",[1]!thsiFinD("ths_adjustment_nv_fund",Q$3,$A629))</x:f>
        <x:v>#NAME?</x:v>
      </x:c>
      <x:c r="R629" t="e">
        <x:f>IF($A629="","",[1]!thsiFinD("ths_adjustment_nv_fund",R$3,$A629))</x:f>
        <x:v>#NAME?</x:v>
      </x:c>
      <x:c r="S629" t="e">
        <x:f>IF($A629="","",[1]!thsiFinD("ths_adjustment_nv_fund",S$3,$A629))</x:f>
        <x:v>#NAME?</x:v>
      </x:c>
      <x:c r="T629" t="e">
        <x:f>IF($A629="","",[1]!thsiFinD("ths_adjustment_nv_fund",T$3,$A629))</x:f>
        <x:v>#NAME?</x:v>
      </x:c>
      <x:c r="U629" t="e">
        <x:f>IF($A629="","",[1]!thsiFinD("ths_adjustment_nv_fund",U$3,$A629))</x:f>
        <x:v>#NAME?</x:v>
      </x:c>
      <x:c r="V629" t="e">
        <x:f>IF($A629="","",[1]!thsiFinD("ths_adjustment_nv_fund",V$3,$A629))</x:f>
        <x:v>#NAME?</x:v>
      </x:c>
      <x:c r="W629" t="e">
        <x:f>IF($A629="","",[1]!thsiFinD("ths_adjustment_nv_fund",W$3,$A629))</x:f>
        <x:v>#NAME?</x:v>
      </x:c>
      <x:c r="X629" t="e">
        <x:f>IF($A629="","",[1]!thsiFinD("ths_adjustment_nv_fund",X$3,$A629))</x:f>
        <x:v>#NAME?</x:v>
      </x:c>
      <x:c r="Y629" t="e">
        <x:f>IF($A629="","",[1]!thsiFinD("ths_adjustment_nv_fund",Y$3,$A629))</x:f>
        <x:v>#NAME?</x:v>
      </x:c>
    </x:row>
    <x:row r="630">
      <x:c r="B630" t="e">
        <x:f>IF($A630="","",[1]!thsiFinD("ths_adjustment_nv_fund",B$3,$A630))</x:f>
        <x:v>#NAME?</x:v>
      </x:c>
      <x:c r="C630" t="e">
        <x:f>IF($A630="","",[1]!thsiFinD("ths_adjustment_nv_fund",C$3,$A630))</x:f>
        <x:v>#NAME?</x:v>
      </x:c>
      <x:c r="D630" t="e">
        <x:f>IF($A630="","",[1]!thsiFinD("ths_adjustment_nv_fund",D$3,$A630))</x:f>
        <x:v>#NAME?</x:v>
      </x:c>
      <x:c r="E630" t="e">
        <x:f>IF($A630="","",[1]!thsiFinD("ths_adjustment_nv_fund",E$3,$A630))</x:f>
        <x:v>#NAME?</x:v>
      </x:c>
      <x:c r="F630" t="e">
        <x:f>IF($A630="","",[1]!thsiFinD("ths_adjustment_nv_fund",F$3,$A630))</x:f>
        <x:v>#NAME?</x:v>
      </x:c>
      <x:c r="G630" t="e">
        <x:f>IF($A630="","",[1]!thsiFinD("ths_adjustment_nv_fund",G$3,$A630))</x:f>
        <x:v>#NAME?</x:v>
      </x:c>
      <x:c r="H630" t="e">
        <x:f>IF($A630="","",[1]!thsiFinD("ths_adjustment_nv_fund",H$3,$A630))</x:f>
        <x:v>#NAME?</x:v>
      </x:c>
      <x:c r="I630" t="e">
        <x:f>IF($A630="","",[1]!thsiFinD("ths_adjustment_nv_fund",I$3,$A630))</x:f>
        <x:v>#NAME?</x:v>
      </x:c>
      <x:c r="J630" t="e">
        <x:f>IF($A630="","",[1]!thsiFinD("ths_adjustment_nv_fund",J$3,$A630))</x:f>
        <x:v>#NAME?</x:v>
      </x:c>
      <x:c r="K630" t="e">
        <x:f>IF($A630="","",[1]!thsiFinD("ths_adjustment_nv_fund",K$3,$A630))</x:f>
        <x:v>#NAME?</x:v>
      </x:c>
      <x:c r="L630" t="e">
        <x:f>IF($A630="","",[1]!thsiFinD("ths_adjustment_nv_fund",L$3,$A630))</x:f>
        <x:v>#NAME?</x:v>
      </x:c>
      <x:c r="M630" t="e">
        <x:f>IF($A630="","",[1]!thsiFinD("ths_adjustment_nv_fund",M$3,$A630))</x:f>
        <x:v>#NAME?</x:v>
      </x:c>
      <x:c r="N630" t="e">
        <x:f>IF($A630="","",[1]!thsiFinD("ths_adjustment_nv_fund",N$3,$A630))</x:f>
        <x:v>#NAME?</x:v>
      </x:c>
      <x:c r="O630" t="e">
        <x:f>IF($A630="","",[1]!thsiFinD("ths_adjustment_nv_fund",O$3,$A630))</x:f>
        <x:v>#NAME?</x:v>
      </x:c>
      <x:c r="P630" t="e">
        <x:f>IF($A630="","",[1]!thsiFinD("ths_adjustment_nv_fund",P$3,$A630))</x:f>
        <x:v>#NAME?</x:v>
      </x:c>
      <x:c r="Q630" t="e">
        <x:f>IF($A630="","",[1]!thsiFinD("ths_adjustment_nv_fund",Q$3,$A630))</x:f>
        <x:v>#NAME?</x:v>
      </x:c>
      <x:c r="R630" t="e">
        <x:f>IF($A630="","",[1]!thsiFinD("ths_adjustment_nv_fund",R$3,$A630))</x:f>
        <x:v>#NAME?</x:v>
      </x:c>
      <x:c r="S630" t="e">
        <x:f>IF($A630="","",[1]!thsiFinD("ths_adjustment_nv_fund",S$3,$A630))</x:f>
        <x:v>#NAME?</x:v>
      </x:c>
      <x:c r="T630" t="e">
        <x:f>IF($A630="","",[1]!thsiFinD("ths_adjustment_nv_fund",T$3,$A630))</x:f>
        <x:v>#NAME?</x:v>
      </x:c>
      <x:c r="U630" t="e">
        <x:f>IF($A630="","",[1]!thsiFinD("ths_adjustment_nv_fund",U$3,$A630))</x:f>
        <x:v>#NAME?</x:v>
      </x:c>
      <x:c r="V630" t="e">
        <x:f>IF($A630="","",[1]!thsiFinD("ths_adjustment_nv_fund",V$3,$A630))</x:f>
        <x:v>#NAME?</x:v>
      </x:c>
      <x:c r="W630" t="e">
        <x:f>IF($A630="","",[1]!thsiFinD("ths_adjustment_nv_fund",W$3,$A630))</x:f>
        <x:v>#NAME?</x:v>
      </x:c>
      <x:c r="X630" t="e">
        <x:f>IF($A630="","",[1]!thsiFinD("ths_adjustment_nv_fund",X$3,$A630))</x:f>
        <x:v>#NAME?</x:v>
      </x:c>
      <x:c r="Y630" t="e">
        <x:f>IF($A630="","",[1]!thsiFinD("ths_adjustment_nv_fund",Y$3,$A630))</x:f>
        <x:v>#NAME?</x:v>
      </x:c>
    </x:row>
    <x:row r="631">
      <x:c r="B631" t="e">
        <x:f>IF($A631="","",[1]!thsiFinD("ths_adjustment_nv_fund",B$3,$A631))</x:f>
        <x:v>#NAME?</x:v>
      </x:c>
      <x:c r="C631" t="e">
        <x:f>IF($A631="","",[1]!thsiFinD("ths_adjustment_nv_fund",C$3,$A631))</x:f>
        <x:v>#NAME?</x:v>
      </x:c>
      <x:c r="D631" t="e">
        <x:f>IF($A631="","",[1]!thsiFinD("ths_adjustment_nv_fund",D$3,$A631))</x:f>
        <x:v>#NAME?</x:v>
      </x:c>
      <x:c r="E631" t="e">
        <x:f>IF($A631="","",[1]!thsiFinD("ths_adjustment_nv_fund",E$3,$A631))</x:f>
        <x:v>#NAME?</x:v>
      </x:c>
      <x:c r="F631" t="e">
        <x:f>IF($A631="","",[1]!thsiFinD("ths_adjustment_nv_fund",F$3,$A631))</x:f>
        <x:v>#NAME?</x:v>
      </x:c>
      <x:c r="G631" t="e">
        <x:f>IF($A631="","",[1]!thsiFinD("ths_adjustment_nv_fund",G$3,$A631))</x:f>
        <x:v>#NAME?</x:v>
      </x:c>
      <x:c r="H631" t="e">
        <x:f>IF($A631="","",[1]!thsiFinD("ths_adjustment_nv_fund",H$3,$A631))</x:f>
        <x:v>#NAME?</x:v>
      </x:c>
      <x:c r="I631" t="e">
        <x:f>IF($A631="","",[1]!thsiFinD("ths_adjustment_nv_fund",I$3,$A631))</x:f>
        <x:v>#NAME?</x:v>
      </x:c>
      <x:c r="J631" t="e">
        <x:f>IF($A631="","",[1]!thsiFinD("ths_adjustment_nv_fund",J$3,$A631))</x:f>
        <x:v>#NAME?</x:v>
      </x:c>
      <x:c r="K631" t="e">
        <x:f>IF($A631="","",[1]!thsiFinD("ths_adjustment_nv_fund",K$3,$A631))</x:f>
        <x:v>#NAME?</x:v>
      </x:c>
      <x:c r="L631" t="e">
        <x:f>IF($A631="","",[1]!thsiFinD("ths_adjustment_nv_fund",L$3,$A631))</x:f>
        <x:v>#NAME?</x:v>
      </x:c>
      <x:c r="M631" t="e">
        <x:f>IF($A631="","",[1]!thsiFinD("ths_adjustment_nv_fund",M$3,$A631))</x:f>
        <x:v>#NAME?</x:v>
      </x:c>
      <x:c r="N631" t="e">
        <x:f>IF($A631="","",[1]!thsiFinD("ths_adjustment_nv_fund",N$3,$A631))</x:f>
        <x:v>#NAME?</x:v>
      </x:c>
      <x:c r="O631" t="e">
        <x:f>IF($A631="","",[1]!thsiFinD("ths_adjustment_nv_fund",O$3,$A631))</x:f>
        <x:v>#NAME?</x:v>
      </x:c>
      <x:c r="P631" t="e">
        <x:f>IF($A631="","",[1]!thsiFinD("ths_adjustment_nv_fund",P$3,$A631))</x:f>
        <x:v>#NAME?</x:v>
      </x:c>
      <x:c r="Q631" t="e">
        <x:f>IF($A631="","",[1]!thsiFinD("ths_adjustment_nv_fund",Q$3,$A631))</x:f>
        <x:v>#NAME?</x:v>
      </x:c>
      <x:c r="R631" t="e">
        <x:f>IF($A631="","",[1]!thsiFinD("ths_adjustment_nv_fund",R$3,$A631))</x:f>
        <x:v>#NAME?</x:v>
      </x:c>
      <x:c r="S631" t="e">
        <x:f>IF($A631="","",[1]!thsiFinD("ths_adjustment_nv_fund",S$3,$A631))</x:f>
        <x:v>#NAME?</x:v>
      </x:c>
      <x:c r="T631" t="e">
        <x:f>IF($A631="","",[1]!thsiFinD("ths_adjustment_nv_fund",T$3,$A631))</x:f>
        <x:v>#NAME?</x:v>
      </x:c>
      <x:c r="U631" t="e">
        <x:f>IF($A631="","",[1]!thsiFinD("ths_adjustment_nv_fund",U$3,$A631))</x:f>
        <x:v>#NAME?</x:v>
      </x:c>
      <x:c r="V631" t="e">
        <x:f>IF($A631="","",[1]!thsiFinD("ths_adjustment_nv_fund",V$3,$A631))</x:f>
        <x:v>#NAME?</x:v>
      </x:c>
      <x:c r="W631" t="e">
        <x:f>IF($A631="","",[1]!thsiFinD("ths_adjustment_nv_fund",W$3,$A631))</x:f>
        <x:v>#NAME?</x:v>
      </x:c>
      <x:c r="X631" t="e">
        <x:f>IF($A631="","",[1]!thsiFinD("ths_adjustment_nv_fund",X$3,$A631))</x:f>
        <x:v>#NAME?</x:v>
      </x:c>
      <x:c r="Y631" t="e">
        <x:f>IF($A631="","",[1]!thsiFinD("ths_adjustment_nv_fund",Y$3,$A631))</x:f>
        <x:v>#NAME?</x:v>
      </x:c>
    </x:row>
    <x:row r="632">
      <x:c r="B632" t="e">
        <x:f>IF($A632="","",[1]!thsiFinD("ths_adjustment_nv_fund",B$3,$A632))</x:f>
        <x:v>#NAME?</x:v>
      </x:c>
      <x:c r="C632" t="e">
        <x:f>IF($A632="","",[1]!thsiFinD("ths_adjustment_nv_fund",C$3,$A632))</x:f>
        <x:v>#NAME?</x:v>
      </x:c>
      <x:c r="D632" t="e">
        <x:f>IF($A632="","",[1]!thsiFinD("ths_adjustment_nv_fund",D$3,$A632))</x:f>
        <x:v>#NAME?</x:v>
      </x:c>
      <x:c r="E632" t="e">
        <x:f>IF($A632="","",[1]!thsiFinD("ths_adjustment_nv_fund",E$3,$A632))</x:f>
        <x:v>#NAME?</x:v>
      </x:c>
      <x:c r="F632" t="e">
        <x:f>IF($A632="","",[1]!thsiFinD("ths_adjustment_nv_fund",F$3,$A632))</x:f>
        <x:v>#NAME?</x:v>
      </x:c>
      <x:c r="G632" t="e">
        <x:f>IF($A632="","",[1]!thsiFinD("ths_adjustment_nv_fund",G$3,$A632))</x:f>
        <x:v>#NAME?</x:v>
      </x:c>
      <x:c r="H632" t="e">
        <x:f>IF($A632="","",[1]!thsiFinD("ths_adjustment_nv_fund",H$3,$A632))</x:f>
        <x:v>#NAME?</x:v>
      </x:c>
      <x:c r="I632" t="e">
        <x:f>IF($A632="","",[1]!thsiFinD("ths_adjustment_nv_fund",I$3,$A632))</x:f>
        <x:v>#NAME?</x:v>
      </x:c>
      <x:c r="J632" t="e">
        <x:f>IF($A632="","",[1]!thsiFinD("ths_adjustment_nv_fund",J$3,$A632))</x:f>
        <x:v>#NAME?</x:v>
      </x:c>
      <x:c r="K632" t="e">
        <x:f>IF($A632="","",[1]!thsiFinD("ths_adjustment_nv_fund",K$3,$A632))</x:f>
        <x:v>#NAME?</x:v>
      </x:c>
      <x:c r="L632" t="e">
        <x:f>IF($A632="","",[1]!thsiFinD("ths_adjustment_nv_fund",L$3,$A632))</x:f>
        <x:v>#NAME?</x:v>
      </x:c>
      <x:c r="M632" t="e">
        <x:f>IF($A632="","",[1]!thsiFinD("ths_adjustment_nv_fund",M$3,$A632))</x:f>
        <x:v>#NAME?</x:v>
      </x:c>
      <x:c r="N632" t="e">
        <x:f>IF($A632="","",[1]!thsiFinD("ths_adjustment_nv_fund",N$3,$A632))</x:f>
        <x:v>#NAME?</x:v>
      </x:c>
      <x:c r="O632" t="e">
        <x:f>IF($A632="","",[1]!thsiFinD("ths_adjustment_nv_fund",O$3,$A632))</x:f>
        <x:v>#NAME?</x:v>
      </x:c>
      <x:c r="P632" t="e">
        <x:f>IF($A632="","",[1]!thsiFinD("ths_adjustment_nv_fund",P$3,$A632))</x:f>
        <x:v>#NAME?</x:v>
      </x:c>
      <x:c r="Q632" t="e">
        <x:f>IF($A632="","",[1]!thsiFinD("ths_adjustment_nv_fund",Q$3,$A632))</x:f>
        <x:v>#NAME?</x:v>
      </x:c>
      <x:c r="R632" t="e">
        <x:f>IF($A632="","",[1]!thsiFinD("ths_adjustment_nv_fund",R$3,$A632))</x:f>
        <x:v>#NAME?</x:v>
      </x:c>
      <x:c r="S632" t="e">
        <x:f>IF($A632="","",[1]!thsiFinD("ths_adjustment_nv_fund",S$3,$A632))</x:f>
        <x:v>#NAME?</x:v>
      </x:c>
      <x:c r="T632" t="e">
        <x:f>IF($A632="","",[1]!thsiFinD("ths_adjustment_nv_fund",T$3,$A632))</x:f>
        <x:v>#NAME?</x:v>
      </x:c>
      <x:c r="U632" t="e">
        <x:f>IF($A632="","",[1]!thsiFinD("ths_adjustment_nv_fund",U$3,$A632))</x:f>
        <x:v>#NAME?</x:v>
      </x:c>
      <x:c r="V632" t="e">
        <x:f>IF($A632="","",[1]!thsiFinD("ths_adjustment_nv_fund",V$3,$A632))</x:f>
        <x:v>#NAME?</x:v>
      </x:c>
      <x:c r="W632" t="e">
        <x:f>IF($A632="","",[1]!thsiFinD("ths_adjustment_nv_fund",W$3,$A632))</x:f>
        <x:v>#NAME?</x:v>
      </x:c>
      <x:c r="X632" t="e">
        <x:f>IF($A632="","",[1]!thsiFinD("ths_adjustment_nv_fund",X$3,$A632))</x:f>
        <x:v>#NAME?</x:v>
      </x:c>
      <x:c r="Y632" t="e">
        <x:f>IF($A632="","",[1]!thsiFinD("ths_adjustment_nv_fund",Y$3,$A632))</x:f>
        <x:v>#NAME?</x:v>
      </x:c>
    </x:row>
    <x:row r="633">
      <x:c r="B633" t="e">
        <x:f>IF($A633="","",[1]!thsiFinD("ths_adjustment_nv_fund",B$3,$A633))</x:f>
        <x:v>#NAME?</x:v>
      </x:c>
      <x:c r="C633" t="e">
        <x:f>IF($A633="","",[1]!thsiFinD("ths_adjustment_nv_fund",C$3,$A633))</x:f>
        <x:v>#NAME?</x:v>
      </x:c>
      <x:c r="D633" t="e">
        <x:f>IF($A633="","",[1]!thsiFinD("ths_adjustment_nv_fund",D$3,$A633))</x:f>
        <x:v>#NAME?</x:v>
      </x:c>
      <x:c r="E633" t="e">
        <x:f>IF($A633="","",[1]!thsiFinD("ths_adjustment_nv_fund",E$3,$A633))</x:f>
        <x:v>#NAME?</x:v>
      </x:c>
      <x:c r="F633" t="e">
        <x:f>IF($A633="","",[1]!thsiFinD("ths_adjustment_nv_fund",F$3,$A633))</x:f>
        <x:v>#NAME?</x:v>
      </x:c>
      <x:c r="G633" t="e">
        <x:f>IF($A633="","",[1]!thsiFinD("ths_adjustment_nv_fund",G$3,$A633))</x:f>
        <x:v>#NAME?</x:v>
      </x:c>
      <x:c r="H633" t="e">
        <x:f>IF($A633="","",[1]!thsiFinD("ths_adjustment_nv_fund",H$3,$A633))</x:f>
        <x:v>#NAME?</x:v>
      </x:c>
      <x:c r="I633" t="e">
        <x:f>IF($A633="","",[1]!thsiFinD("ths_adjustment_nv_fund",I$3,$A633))</x:f>
        <x:v>#NAME?</x:v>
      </x:c>
      <x:c r="J633" t="e">
        <x:f>IF($A633="","",[1]!thsiFinD("ths_adjustment_nv_fund",J$3,$A633))</x:f>
        <x:v>#NAME?</x:v>
      </x:c>
      <x:c r="K633" t="e">
        <x:f>IF($A633="","",[1]!thsiFinD("ths_adjustment_nv_fund",K$3,$A633))</x:f>
        <x:v>#NAME?</x:v>
      </x:c>
      <x:c r="L633" t="e">
        <x:f>IF($A633="","",[1]!thsiFinD("ths_adjustment_nv_fund",L$3,$A633))</x:f>
        <x:v>#NAME?</x:v>
      </x:c>
      <x:c r="M633" t="e">
        <x:f>IF($A633="","",[1]!thsiFinD("ths_adjustment_nv_fund",M$3,$A633))</x:f>
        <x:v>#NAME?</x:v>
      </x:c>
      <x:c r="N633" t="e">
        <x:f>IF($A633="","",[1]!thsiFinD("ths_adjustment_nv_fund",N$3,$A633))</x:f>
        <x:v>#NAME?</x:v>
      </x:c>
      <x:c r="O633" t="e">
        <x:f>IF($A633="","",[1]!thsiFinD("ths_adjustment_nv_fund",O$3,$A633))</x:f>
        <x:v>#NAME?</x:v>
      </x:c>
      <x:c r="P633" t="e">
        <x:f>IF($A633="","",[1]!thsiFinD("ths_adjustment_nv_fund",P$3,$A633))</x:f>
        <x:v>#NAME?</x:v>
      </x:c>
      <x:c r="Q633" t="e">
        <x:f>IF($A633="","",[1]!thsiFinD("ths_adjustment_nv_fund",Q$3,$A633))</x:f>
        <x:v>#NAME?</x:v>
      </x:c>
      <x:c r="R633" t="e">
        <x:f>IF($A633="","",[1]!thsiFinD("ths_adjustment_nv_fund",R$3,$A633))</x:f>
        <x:v>#NAME?</x:v>
      </x:c>
      <x:c r="S633" t="e">
        <x:f>IF($A633="","",[1]!thsiFinD("ths_adjustment_nv_fund",S$3,$A633))</x:f>
        <x:v>#NAME?</x:v>
      </x:c>
      <x:c r="T633" t="e">
        <x:f>IF($A633="","",[1]!thsiFinD("ths_adjustment_nv_fund",T$3,$A633))</x:f>
        <x:v>#NAME?</x:v>
      </x:c>
      <x:c r="U633" t="e">
        <x:f>IF($A633="","",[1]!thsiFinD("ths_adjustment_nv_fund",U$3,$A633))</x:f>
        <x:v>#NAME?</x:v>
      </x:c>
      <x:c r="V633" t="e">
        <x:f>IF($A633="","",[1]!thsiFinD("ths_adjustment_nv_fund",V$3,$A633))</x:f>
        <x:v>#NAME?</x:v>
      </x:c>
      <x:c r="W633" t="e">
        <x:f>IF($A633="","",[1]!thsiFinD("ths_adjustment_nv_fund",W$3,$A633))</x:f>
        <x:v>#NAME?</x:v>
      </x:c>
      <x:c r="X633" t="e">
        <x:f>IF($A633="","",[1]!thsiFinD("ths_adjustment_nv_fund",X$3,$A633))</x:f>
        <x:v>#NAME?</x:v>
      </x:c>
      <x:c r="Y633" t="e">
        <x:f>IF($A633="","",[1]!thsiFinD("ths_adjustment_nv_fund",Y$3,$A633))</x:f>
        <x:v>#NAME?</x:v>
      </x:c>
    </x:row>
    <x:row r="634">
      <x:c r="B634" t="e">
        <x:f>IF($A634="","",[1]!thsiFinD("ths_adjustment_nv_fund",B$3,$A634))</x:f>
        <x:v>#NAME?</x:v>
      </x:c>
      <x:c r="C634" t="e">
        <x:f>IF($A634="","",[1]!thsiFinD("ths_adjustment_nv_fund",C$3,$A634))</x:f>
        <x:v>#NAME?</x:v>
      </x:c>
      <x:c r="D634" t="e">
        <x:f>IF($A634="","",[1]!thsiFinD("ths_adjustment_nv_fund",D$3,$A634))</x:f>
        <x:v>#NAME?</x:v>
      </x:c>
      <x:c r="E634" t="e">
        <x:f>IF($A634="","",[1]!thsiFinD("ths_adjustment_nv_fund",E$3,$A634))</x:f>
        <x:v>#NAME?</x:v>
      </x:c>
      <x:c r="F634" t="e">
        <x:f>IF($A634="","",[1]!thsiFinD("ths_adjustment_nv_fund",F$3,$A634))</x:f>
        <x:v>#NAME?</x:v>
      </x:c>
      <x:c r="G634" t="e">
        <x:f>IF($A634="","",[1]!thsiFinD("ths_adjustment_nv_fund",G$3,$A634))</x:f>
        <x:v>#NAME?</x:v>
      </x:c>
      <x:c r="H634" t="e">
        <x:f>IF($A634="","",[1]!thsiFinD("ths_adjustment_nv_fund",H$3,$A634))</x:f>
        <x:v>#NAME?</x:v>
      </x:c>
      <x:c r="I634" t="e">
        <x:f>IF($A634="","",[1]!thsiFinD("ths_adjustment_nv_fund",I$3,$A634))</x:f>
        <x:v>#NAME?</x:v>
      </x:c>
      <x:c r="J634" t="e">
        <x:f>IF($A634="","",[1]!thsiFinD("ths_adjustment_nv_fund",J$3,$A634))</x:f>
        <x:v>#NAME?</x:v>
      </x:c>
      <x:c r="K634" t="e">
        <x:f>IF($A634="","",[1]!thsiFinD("ths_adjustment_nv_fund",K$3,$A634))</x:f>
        <x:v>#NAME?</x:v>
      </x:c>
      <x:c r="L634" t="e">
        <x:f>IF($A634="","",[1]!thsiFinD("ths_adjustment_nv_fund",L$3,$A634))</x:f>
        <x:v>#NAME?</x:v>
      </x:c>
      <x:c r="M634" t="e">
        <x:f>IF($A634="","",[1]!thsiFinD("ths_adjustment_nv_fund",M$3,$A634))</x:f>
        <x:v>#NAME?</x:v>
      </x:c>
      <x:c r="N634" t="e">
        <x:f>IF($A634="","",[1]!thsiFinD("ths_adjustment_nv_fund",N$3,$A634))</x:f>
        <x:v>#NAME?</x:v>
      </x:c>
      <x:c r="O634" t="e">
        <x:f>IF($A634="","",[1]!thsiFinD("ths_adjustment_nv_fund",O$3,$A634))</x:f>
        <x:v>#NAME?</x:v>
      </x:c>
      <x:c r="P634" t="e">
        <x:f>IF($A634="","",[1]!thsiFinD("ths_adjustment_nv_fund",P$3,$A634))</x:f>
        <x:v>#NAME?</x:v>
      </x:c>
      <x:c r="Q634" t="e">
        <x:f>IF($A634="","",[1]!thsiFinD("ths_adjustment_nv_fund",Q$3,$A634))</x:f>
        <x:v>#NAME?</x:v>
      </x:c>
      <x:c r="R634" t="e">
        <x:f>IF($A634="","",[1]!thsiFinD("ths_adjustment_nv_fund",R$3,$A634))</x:f>
        <x:v>#NAME?</x:v>
      </x:c>
      <x:c r="S634" t="e">
        <x:f>IF($A634="","",[1]!thsiFinD("ths_adjustment_nv_fund",S$3,$A634))</x:f>
        <x:v>#NAME?</x:v>
      </x:c>
      <x:c r="T634" t="e">
        <x:f>IF($A634="","",[1]!thsiFinD("ths_adjustment_nv_fund",T$3,$A634))</x:f>
        <x:v>#NAME?</x:v>
      </x:c>
      <x:c r="U634" t="e">
        <x:f>IF($A634="","",[1]!thsiFinD("ths_adjustment_nv_fund",U$3,$A634))</x:f>
        <x:v>#NAME?</x:v>
      </x:c>
      <x:c r="V634" t="e">
        <x:f>IF($A634="","",[1]!thsiFinD("ths_adjustment_nv_fund",V$3,$A634))</x:f>
        <x:v>#NAME?</x:v>
      </x:c>
      <x:c r="W634" t="e">
        <x:f>IF($A634="","",[1]!thsiFinD("ths_adjustment_nv_fund",W$3,$A634))</x:f>
        <x:v>#NAME?</x:v>
      </x:c>
      <x:c r="X634" t="e">
        <x:f>IF($A634="","",[1]!thsiFinD("ths_adjustment_nv_fund",X$3,$A634))</x:f>
        <x:v>#NAME?</x:v>
      </x:c>
      <x:c r="Y634" t="e">
        <x:f>IF($A634="","",[1]!thsiFinD("ths_adjustment_nv_fund",Y$3,$A634))</x:f>
        <x:v>#NAME?</x:v>
      </x:c>
    </x:row>
    <x:row r="635">
      <x:c r="B635" t="e">
        <x:f>IF($A635="","",[1]!thsiFinD("ths_adjustment_nv_fund",B$3,$A635))</x:f>
        <x:v>#NAME?</x:v>
      </x:c>
      <x:c r="C635" t="e">
        <x:f>IF($A635="","",[1]!thsiFinD("ths_adjustment_nv_fund",C$3,$A635))</x:f>
        <x:v>#NAME?</x:v>
      </x:c>
      <x:c r="D635" t="e">
        <x:f>IF($A635="","",[1]!thsiFinD("ths_adjustment_nv_fund",D$3,$A635))</x:f>
        <x:v>#NAME?</x:v>
      </x:c>
      <x:c r="E635" t="e">
        <x:f>IF($A635="","",[1]!thsiFinD("ths_adjustment_nv_fund",E$3,$A635))</x:f>
        <x:v>#NAME?</x:v>
      </x:c>
      <x:c r="F635" t="e">
        <x:f>IF($A635="","",[1]!thsiFinD("ths_adjustment_nv_fund",F$3,$A635))</x:f>
        <x:v>#NAME?</x:v>
      </x:c>
      <x:c r="G635" t="e">
        <x:f>IF($A635="","",[1]!thsiFinD("ths_adjustment_nv_fund",G$3,$A635))</x:f>
        <x:v>#NAME?</x:v>
      </x:c>
      <x:c r="H635" t="e">
        <x:f>IF($A635="","",[1]!thsiFinD("ths_adjustment_nv_fund",H$3,$A635))</x:f>
        <x:v>#NAME?</x:v>
      </x:c>
      <x:c r="I635" t="e">
        <x:f>IF($A635="","",[1]!thsiFinD("ths_adjustment_nv_fund",I$3,$A635))</x:f>
        <x:v>#NAME?</x:v>
      </x:c>
      <x:c r="J635" t="e">
        <x:f>IF($A635="","",[1]!thsiFinD("ths_adjustment_nv_fund",J$3,$A635))</x:f>
        <x:v>#NAME?</x:v>
      </x:c>
      <x:c r="K635" t="e">
        <x:f>IF($A635="","",[1]!thsiFinD("ths_adjustment_nv_fund",K$3,$A635))</x:f>
        <x:v>#NAME?</x:v>
      </x:c>
      <x:c r="L635" t="e">
        <x:f>IF($A635="","",[1]!thsiFinD("ths_adjustment_nv_fund",L$3,$A635))</x:f>
        <x:v>#NAME?</x:v>
      </x:c>
      <x:c r="M635" t="e">
        <x:f>IF($A635="","",[1]!thsiFinD("ths_adjustment_nv_fund",M$3,$A635))</x:f>
        <x:v>#NAME?</x:v>
      </x:c>
      <x:c r="N635" t="e">
        <x:f>IF($A635="","",[1]!thsiFinD("ths_adjustment_nv_fund",N$3,$A635))</x:f>
        <x:v>#NAME?</x:v>
      </x:c>
      <x:c r="O635" t="e">
        <x:f>IF($A635="","",[1]!thsiFinD("ths_adjustment_nv_fund",O$3,$A635))</x:f>
        <x:v>#NAME?</x:v>
      </x:c>
      <x:c r="P635" t="e">
        <x:f>IF($A635="","",[1]!thsiFinD("ths_adjustment_nv_fund",P$3,$A635))</x:f>
        <x:v>#NAME?</x:v>
      </x:c>
      <x:c r="Q635" t="e">
        <x:f>IF($A635="","",[1]!thsiFinD("ths_adjustment_nv_fund",Q$3,$A635))</x:f>
        <x:v>#NAME?</x:v>
      </x:c>
      <x:c r="R635" t="e">
        <x:f>IF($A635="","",[1]!thsiFinD("ths_adjustment_nv_fund",R$3,$A635))</x:f>
        <x:v>#NAME?</x:v>
      </x:c>
      <x:c r="S635" t="e">
        <x:f>IF($A635="","",[1]!thsiFinD("ths_adjustment_nv_fund",S$3,$A635))</x:f>
        <x:v>#NAME?</x:v>
      </x:c>
      <x:c r="T635" t="e">
        <x:f>IF($A635="","",[1]!thsiFinD("ths_adjustment_nv_fund",T$3,$A635))</x:f>
        <x:v>#NAME?</x:v>
      </x:c>
      <x:c r="U635" t="e">
        <x:f>IF($A635="","",[1]!thsiFinD("ths_adjustment_nv_fund",U$3,$A635))</x:f>
        <x:v>#NAME?</x:v>
      </x:c>
      <x:c r="V635" t="e">
        <x:f>IF($A635="","",[1]!thsiFinD("ths_adjustment_nv_fund",V$3,$A635))</x:f>
        <x:v>#NAME?</x:v>
      </x:c>
      <x:c r="W635" t="e">
        <x:f>IF($A635="","",[1]!thsiFinD("ths_adjustment_nv_fund",W$3,$A635))</x:f>
        <x:v>#NAME?</x:v>
      </x:c>
      <x:c r="X635" t="e">
        <x:f>IF($A635="","",[1]!thsiFinD("ths_adjustment_nv_fund",X$3,$A635))</x:f>
        <x:v>#NAME?</x:v>
      </x:c>
      <x:c r="Y635" t="e">
        <x:f>IF($A635="","",[1]!thsiFinD("ths_adjustment_nv_fund",Y$3,$A635))</x:f>
        <x:v>#NAME?</x:v>
      </x:c>
    </x:row>
    <x:row r="636">
      <x:c r="B636" t="e">
        <x:f>IF($A636="","",[1]!thsiFinD("ths_adjustment_nv_fund",B$3,$A636))</x:f>
        <x:v>#NAME?</x:v>
      </x:c>
      <x:c r="C636" t="e">
        <x:f>IF($A636="","",[1]!thsiFinD("ths_adjustment_nv_fund",C$3,$A636))</x:f>
        <x:v>#NAME?</x:v>
      </x:c>
      <x:c r="D636" t="e">
        <x:f>IF($A636="","",[1]!thsiFinD("ths_adjustment_nv_fund",D$3,$A636))</x:f>
        <x:v>#NAME?</x:v>
      </x:c>
      <x:c r="E636" t="e">
        <x:f>IF($A636="","",[1]!thsiFinD("ths_adjustment_nv_fund",E$3,$A636))</x:f>
        <x:v>#NAME?</x:v>
      </x:c>
      <x:c r="F636" t="e">
        <x:f>IF($A636="","",[1]!thsiFinD("ths_adjustment_nv_fund",F$3,$A636))</x:f>
        <x:v>#NAME?</x:v>
      </x:c>
      <x:c r="G636" t="e">
        <x:f>IF($A636="","",[1]!thsiFinD("ths_adjustment_nv_fund",G$3,$A636))</x:f>
        <x:v>#NAME?</x:v>
      </x:c>
      <x:c r="H636" t="e">
        <x:f>IF($A636="","",[1]!thsiFinD("ths_adjustment_nv_fund",H$3,$A636))</x:f>
        <x:v>#NAME?</x:v>
      </x:c>
      <x:c r="I636" t="e">
        <x:f>IF($A636="","",[1]!thsiFinD("ths_adjustment_nv_fund",I$3,$A636))</x:f>
        <x:v>#NAME?</x:v>
      </x:c>
      <x:c r="J636" t="e">
        <x:f>IF($A636="","",[1]!thsiFinD("ths_adjustment_nv_fund",J$3,$A636))</x:f>
        <x:v>#NAME?</x:v>
      </x:c>
      <x:c r="K636" t="e">
        <x:f>IF($A636="","",[1]!thsiFinD("ths_adjustment_nv_fund",K$3,$A636))</x:f>
        <x:v>#NAME?</x:v>
      </x:c>
      <x:c r="L636" t="e">
        <x:f>IF($A636="","",[1]!thsiFinD("ths_adjustment_nv_fund",L$3,$A636))</x:f>
        <x:v>#NAME?</x:v>
      </x:c>
      <x:c r="M636" t="e">
        <x:f>IF($A636="","",[1]!thsiFinD("ths_adjustment_nv_fund",M$3,$A636))</x:f>
        <x:v>#NAME?</x:v>
      </x:c>
      <x:c r="N636" t="e">
        <x:f>IF($A636="","",[1]!thsiFinD("ths_adjustment_nv_fund",N$3,$A636))</x:f>
        <x:v>#NAME?</x:v>
      </x:c>
      <x:c r="O636" t="e">
        <x:f>IF($A636="","",[1]!thsiFinD("ths_adjustment_nv_fund",O$3,$A636))</x:f>
        <x:v>#NAME?</x:v>
      </x:c>
      <x:c r="P636" t="e">
        <x:f>IF($A636="","",[1]!thsiFinD("ths_adjustment_nv_fund",P$3,$A636))</x:f>
        <x:v>#NAME?</x:v>
      </x:c>
      <x:c r="Q636" t="e">
        <x:f>IF($A636="","",[1]!thsiFinD("ths_adjustment_nv_fund",Q$3,$A636))</x:f>
        <x:v>#NAME?</x:v>
      </x:c>
      <x:c r="R636" t="e">
        <x:f>IF($A636="","",[1]!thsiFinD("ths_adjustment_nv_fund",R$3,$A636))</x:f>
        <x:v>#NAME?</x:v>
      </x:c>
      <x:c r="S636" t="e">
        <x:f>IF($A636="","",[1]!thsiFinD("ths_adjustment_nv_fund",S$3,$A636))</x:f>
        <x:v>#NAME?</x:v>
      </x:c>
      <x:c r="T636" t="e">
        <x:f>IF($A636="","",[1]!thsiFinD("ths_adjustment_nv_fund",T$3,$A636))</x:f>
        <x:v>#NAME?</x:v>
      </x:c>
      <x:c r="U636" t="e">
        <x:f>IF($A636="","",[1]!thsiFinD("ths_adjustment_nv_fund",U$3,$A636))</x:f>
        <x:v>#NAME?</x:v>
      </x:c>
      <x:c r="V636" t="e">
        <x:f>IF($A636="","",[1]!thsiFinD("ths_adjustment_nv_fund",V$3,$A636))</x:f>
        <x:v>#NAME?</x:v>
      </x:c>
      <x:c r="W636" t="e">
        <x:f>IF($A636="","",[1]!thsiFinD("ths_adjustment_nv_fund",W$3,$A636))</x:f>
        <x:v>#NAME?</x:v>
      </x:c>
      <x:c r="X636" t="e">
        <x:f>IF($A636="","",[1]!thsiFinD("ths_adjustment_nv_fund",X$3,$A636))</x:f>
        <x:v>#NAME?</x:v>
      </x:c>
      <x:c r="Y636" t="e">
        <x:f>IF($A636="","",[1]!thsiFinD("ths_adjustment_nv_fund",Y$3,$A636))</x:f>
        <x:v>#NAME?</x:v>
      </x:c>
    </x:row>
    <x:row r="637">
      <x:c r="B637" t="e">
        <x:f>IF($A637="","",[1]!thsiFinD("ths_adjustment_nv_fund",B$3,$A637))</x:f>
        <x:v>#NAME?</x:v>
      </x:c>
      <x:c r="C637" t="e">
        <x:f>IF($A637="","",[1]!thsiFinD("ths_adjustment_nv_fund",C$3,$A637))</x:f>
        <x:v>#NAME?</x:v>
      </x:c>
      <x:c r="D637" t="e">
        <x:f>IF($A637="","",[1]!thsiFinD("ths_adjustment_nv_fund",D$3,$A637))</x:f>
        <x:v>#NAME?</x:v>
      </x:c>
      <x:c r="E637" t="e">
        <x:f>IF($A637="","",[1]!thsiFinD("ths_adjustment_nv_fund",E$3,$A637))</x:f>
        <x:v>#NAME?</x:v>
      </x:c>
      <x:c r="F637" t="e">
        <x:f>IF($A637="","",[1]!thsiFinD("ths_adjustment_nv_fund",F$3,$A637))</x:f>
        <x:v>#NAME?</x:v>
      </x:c>
      <x:c r="G637" t="e">
        <x:f>IF($A637="","",[1]!thsiFinD("ths_adjustment_nv_fund",G$3,$A637))</x:f>
        <x:v>#NAME?</x:v>
      </x:c>
      <x:c r="H637" t="e">
        <x:f>IF($A637="","",[1]!thsiFinD("ths_adjustment_nv_fund",H$3,$A637))</x:f>
        <x:v>#NAME?</x:v>
      </x:c>
      <x:c r="I637" t="e">
        <x:f>IF($A637="","",[1]!thsiFinD("ths_adjustment_nv_fund",I$3,$A637))</x:f>
        <x:v>#NAME?</x:v>
      </x:c>
      <x:c r="J637" t="e">
        <x:f>IF($A637="","",[1]!thsiFinD("ths_adjustment_nv_fund",J$3,$A637))</x:f>
        <x:v>#NAME?</x:v>
      </x:c>
      <x:c r="K637" t="e">
        <x:f>IF($A637="","",[1]!thsiFinD("ths_adjustment_nv_fund",K$3,$A637))</x:f>
        <x:v>#NAME?</x:v>
      </x:c>
      <x:c r="L637" t="e">
        <x:f>IF($A637="","",[1]!thsiFinD("ths_adjustment_nv_fund",L$3,$A637))</x:f>
        <x:v>#NAME?</x:v>
      </x:c>
      <x:c r="M637" t="e">
        <x:f>IF($A637="","",[1]!thsiFinD("ths_adjustment_nv_fund",M$3,$A637))</x:f>
        <x:v>#NAME?</x:v>
      </x:c>
      <x:c r="N637" t="e">
        <x:f>IF($A637="","",[1]!thsiFinD("ths_adjustment_nv_fund",N$3,$A637))</x:f>
        <x:v>#NAME?</x:v>
      </x:c>
      <x:c r="O637" t="e">
        <x:f>IF($A637="","",[1]!thsiFinD("ths_adjustment_nv_fund",O$3,$A637))</x:f>
        <x:v>#NAME?</x:v>
      </x:c>
      <x:c r="P637" t="e">
        <x:f>IF($A637="","",[1]!thsiFinD("ths_adjustment_nv_fund",P$3,$A637))</x:f>
        <x:v>#NAME?</x:v>
      </x:c>
      <x:c r="Q637" t="e">
        <x:f>IF($A637="","",[1]!thsiFinD("ths_adjustment_nv_fund",Q$3,$A637))</x:f>
        <x:v>#NAME?</x:v>
      </x:c>
      <x:c r="R637" t="e">
        <x:f>IF($A637="","",[1]!thsiFinD("ths_adjustment_nv_fund",R$3,$A637))</x:f>
        <x:v>#NAME?</x:v>
      </x:c>
      <x:c r="S637" t="e">
        <x:f>IF($A637="","",[1]!thsiFinD("ths_adjustment_nv_fund",S$3,$A637))</x:f>
        <x:v>#NAME?</x:v>
      </x:c>
      <x:c r="T637" t="e">
        <x:f>IF($A637="","",[1]!thsiFinD("ths_adjustment_nv_fund",T$3,$A637))</x:f>
        <x:v>#NAME?</x:v>
      </x:c>
      <x:c r="U637" t="e">
        <x:f>IF($A637="","",[1]!thsiFinD("ths_adjustment_nv_fund",U$3,$A637))</x:f>
        <x:v>#NAME?</x:v>
      </x:c>
      <x:c r="V637" t="e">
        <x:f>IF($A637="","",[1]!thsiFinD("ths_adjustment_nv_fund",V$3,$A637))</x:f>
        <x:v>#NAME?</x:v>
      </x:c>
      <x:c r="W637" t="e">
        <x:f>IF($A637="","",[1]!thsiFinD("ths_adjustment_nv_fund",W$3,$A637))</x:f>
        <x:v>#NAME?</x:v>
      </x:c>
      <x:c r="X637" t="e">
        <x:f>IF($A637="","",[1]!thsiFinD("ths_adjustment_nv_fund",X$3,$A637))</x:f>
        <x:v>#NAME?</x:v>
      </x:c>
      <x:c r="Y637" t="e">
        <x:f>IF($A637="","",[1]!thsiFinD("ths_adjustment_nv_fund",Y$3,$A637))</x:f>
        <x:v>#NAME?</x:v>
      </x:c>
    </x:row>
    <x:row r="638">
      <x:c r="B638" t="e">
        <x:f>IF($A638="","",[1]!thsiFinD("ths_adjustment_nv_fund",B$3,$A638))</x:f>
        <x:v>#NAME?</x:v>
      </x:c>
      <x:c r="C638" t="e">
        <x:f>IF($A638="","",[1]!thsiFinD("ths_adjustment_nv_fund",C$3,$A638))</x:f>
        <x:v>#NAME?</x:v>
      </x:c>
      <x:c r="D638" t="e">
        <x:f>IF($A638="","",[1]!thsiFinD("ths_adjustment_nv_fund",D$3,$A638))</x:f>
        <x:v>#NAME?</x:v>
      </x:c>
      <x:c r="E638" t="e">
        <x:f>IF($A638="","",[1]!thsiFinD("ths_adjustment_nv_fund",E$3,$A638))</x:f>
        <x:v>#NAME?</x:v>
      </x:c>
      <x:c r="F638" t="e">
        <x:f>IF($A638="","",[1]!thsiFinD("ths_adjustment_nv_fund",F$3,$A638))</x:f>
        <x:v>#NAME?</x:v>
      </x:c>
      <x:c r="G638" t="e">
        <x:f>IF($A638="","",[1]!thsiFinD("ths_adjustment_nv_fund",G$3,$A638))</x:f>
        <x:v>#NAME?</x:v>
      </x:c>
      <x:c r="H638" t="e">
        <x:f>IF($A638="","",[1]!thsiFinD("ths_adjustment_nv_fund",H$3,$A638))</x:f>
        <x:v>#NAME?</x:v>
      </x:c>
      <x:c r="I638" t="e">
        <x:f>IF($A638="","",[1]!thsiFinD("ths_adjustment_nv_fund",I$3,$A638))</x:f>
        <x:v>#NAME?</x:v>
      </x:c>
      <x:c r="J638" t="e">
        <x:f>IF($A638="","",[1]!thsiFinD("ths_adjustment_nv_fund",J$3,$A638))</x:f>
        <x:v>#NAME?</x:v>
      </x:c>
      <x:c r="K638" t="e">
        <x:f>IF($A638="","",[1]!thsiFinD("ths_adjustment_nv_fund",K$3,$A638))</x:f>
        <x:v>#NAME?</x:v>
      </x:c>
      <x:c r="L638" t="e">
        <x:f>IF($A638="","",[1]!thsiFinD("ths_adjustment_nv_fund",L$3,$A638))</x:f>
        <x:v>#NAME?</x:v>
      </x:c>
      <x:c r="M638" t="e">
        <x:f>IF($A638="","",[1]!thsiFinD("ths_adjustment_nv_fund",M$3,$A638))</x:f>
        <x:v>#NAME?</x:v>
      </x:c>
      <x:c r="N638" t="e">
        <x:f>IF($A638="","",[1]!thsiFinD("ths_adjustment_nv_fund",N$3,$A638))</x:f>
        <x:v>#NAME?</x:v>
      </x:c>
      <x:c r="O638" t="e">
        <x:f>IF($A638="","",[1]!thsiFinD("ths_adjustment_nv_fund",O$3,$A638))</x:f>
        <x:v>#NAME?</x:v>
      </x:c>
      <x:c r="P638" t="e">
        <x:f>IF($A638="","",[1]!thsiFinD("ths_adjustment_nv_fund",P$3,$A638))</x:f>
        <x:v>#NAME?</x:v>
      </x:c>
      <x:c r="Q638" t="e">
        <x:f>IF($A638="","",[1]!thsiFinD("ths_adjustment_nv_fund",Q$3,$A638))</x:f>
        <x:v>#NAME?</x:v>
      </x:c>
      <x:c r="R638" t="e">
        <x:f>IF($A638="","",[1]!thsiFinD("ths_adjustment_nv_fund",R$3,$A638))</x:f>
        <x:v>#NAME?</x:v>
      </x:c>
      <x:c r="S638" t="e">
        <x:f>IF($A638="","",[1]!thsiFinD("ths_adjustment_nv_fund",S$3,$A638))</x:f>
        <x:v>#NAME?</x:v>
      </x:c>
      <x:c r="T638" t="e">
        <x:f>IF($A638="","",[1]!thsiFinD("ths_adjustment_nv_fund",T$3,$A638))</x:f>
        <x:v>#NAME?</x:v>
      </x:c>
      <x:c r="U638" t="e">
        <x:f>IF($A638="","",[1]!thsiFinD("ths_adjustment_nv_fund",U$3,$A638))</x:f>
        <x:v>#NAME?</x:v>
      </x:c>
      <x:c r="V638" t="e">
        <x:f>IF($A638="","",[1]!thsiFinD("ths_adjustment_nv_fund",V$3,$A638))</x:f>
        <x:v>#NAME?</x:v>
      </x:c>
      <x:c r="W638" t="e">
        <x:f>IF($A638="","",[1]!thsiFinD("ths_adjustment_nv_fund",W$3,$A638))</x:f>
        <x:v>#NAME?</x:v>
      </x:c>
      <x:c r="X638" t="e">
        <x:f>IF($A638="","",[1]!thsiFinD("ths_adjustment_nv_fund",X$3,$A638))</x:f>
        <x:v>#NAME?</x:v>
      </x:c>
      <x:c r="Y638" t="e">
        <x:f>IF($A638="","",[1]!thsiFinD("ths_adjustment_nv_fund",Y$3,$A638))</x:f>
        <x:v>#NAME?</x:v>
      </x:c>
    </x:row>
    <x:row r="639">
      <x:c r="B639" t="e">
        <x:f>IF($A639="","",[1]!thsiFinD("ths_adjustment_nv_fund",B$3,$A639))</x:f>
        <x:v>#NAME?</x:v>
      </x:c>
      <x:c r="C639" t="e">
        <x:f>IF($A639="","",[1]!thsiFinD("ths_adjustment_nv_fund",C$3,$A639))</x:f>
        <x:v>#NAME?</x:v>
      </x:c>
      <x:c r="D639" t="e">
        <x:f>IF($A639="","",[1]!thsiFinD("ths_adjustment_nv_fund",D$3,$A639))</x:f>
        <x:v>#NAME?</x:v>
      </x:c>
      <x:c r="E639" t="e">
        <x:f>IF($A639="","",[1]!thsiFinD("ths_adjustment_nv_fund",E$3,$A639))</x:f>
        <x:v>#NAME?</x:v>
      </x:c>
      <x:c r="F639" t="e">
        <x:f>IF($A639="","",[1]!thsiFinD("ths_adjustment_nv_fund",F$3,$A639))</x:f>
        <x:v>#NAME?</x:v>
      </x:c>
      <x:c r="G639" t="e">
        <x:f>IF($A639="","",[1]!thsiFinD("ths_adjustment_nv_fund",G$3,$A639))</x:f>
        <x:v>#NAME?</x:v>
      </x:c>
      <x:c r="H639" t="e">
        <x:f>IF($A639="","",[1]!thsiFinD("ths_adjustment_nv_fund",H$3,$A639))</x:f>
        <x:v>#NAME?</x:v>
      </x:c>
      <x:c r="I639" t="e">
        <x:f>IF($A639="","",[1]!thsiFinD("ths_adjustment_nv_fund",I$3,$A639))</x:f>
        <x:v>#NAME?</x:v>
      </x:c>
      <x:c r="J639" t="e">
        <x:f>IF($A639="","",[1]!thsiFinD("ths_adjustment_nv_fund",J$3,$A639))</x:f>
        <x:v>#NAME?</x:v>
      </x:c>
      <x:c r="K639" t="e">
        <x:f>IF($A639="","",[1]!thsiFinD("ths_adjustment_nv_fund",K$3,$A639))</x:f>
        <x:v>#NAME?</x:v>
      </x:c>
      <x:c r="L639" t="e">
        <x:f>IF($A639="","",[1]!thsiFinD("ths_adjustment_nv_fund",L$3,$A639))</x:f>
        <x:v>#NAME?</x:v>
      </x:c>
      <x:c r="M639" t="e">
        <x:f>IF($A639="","",[1]!thsiFinD("ths_adjustment_nv_fund",M$3,$A639))</x:f>
        <x:v>#NAME?</x:v>
      </x:c>
      <x:c r="N639" t="e">
        <x:f>IF($A639="","",[1]!thsiFinD("ths_adjustment_nv_fund",N$3,$A639))</x:f>
        <x:v>#NAME?</x:v>
      </x:c>
      <x:c r="O639" t="e">
        <x:f>IF($A639="","",[1]!thsiFinD("ths_adjustment_nv_fund",O$3,$A639))</x:f>
        <x:v>#NAME?</x:v>
      </x:c>
      <x:c r="P639" t="e">
        <x:f>IF($A639="","",[1]!thsiFinD("ths_adjustment_nv_fund",P$3,$A639))</x:f>
        <x:v>#NAME?</x:v>
      </x:c>
      <x:c r="Q639" t="e">
        <x:f>IF($A639="","",[1]!thsiFinD("ths_adjustment_nv_fund",Q$3,$A639))</x:f>
        <x:v>#NAME?</x:v>
      </x:c>
      <x:c r="R639" t="e">
        <x:f>IF($A639="","",[1]!thsiFinD("ths_adjustment_nv_fund",R$3,$A639))</x:f>
        <x:v>#NAME?</x:v>
      </x:c>
      <x:c r="S639" t="e">
        <x:f>IF($A639="","",[1]!thsiFinD("ths_adjustment_nv_fund",S$3,$A639))</x:f>
        <x:v>#NAME?</x:v>
      </x:c>
      <x:c r="T639" t="e">
        <x:f>IF($A639="","",[1]!thsiFinD("ths_adjustment_nv_fund",T$3,$A639))</x:f>
        <x:v>#NAME?</x:v>
      </x:c>
      <x:c r="U639" t="e">
        <x:f>IF($A639="","",[1]!thsiFinD("ths_adjustment_nv_fund",U$3,$A639))</x:f>
        <x:v>#NAME?</x:v>
      </x:c>
      <x:c r="V639" t="e">
        <x:f>IF($A639="","",[1]!thsiFinD("ths_adjustment_nv_fund",V$3,$A639))</x:f>
        <x:v>#NAME?</x:v>
      </x:c>
      <x:c r="W639" t="e">
        <x:f>IF($A639="","",[1]!thsiFinD("ths_adjustment_nv_fund",W$3,$A639))</x:f>
        <x:v>#NAME?</x:v>
      </x:c>
      <x:c r="X639" t="e">
        <x:f>IF($A639="","",[1]!thsiFinD("ths_adjustment_nv_fund",X$3,$A639))</x:f>
        <x:v>#NAME?</x:v>
      </x:c>
      <x:c r="Y639" t="e">
        <x:f>IF($A639="","",[1]!thsiFinD("ths_adjustment_nv_fund",Y$3,$A639))</x:f>
        <x:v>#NAME?</x:v>
      </x:c>
    </x:row>
    <x:row r="640">
      <x:c r="B640" t="e">
        <x:f>IF($A640="","",[1]!thsiFinD("ths_adjustment_nv_fund",B$3,$A640))</x:f>
        <x:v>#NAME?</x:v>
      </x:c>
      <x:c r="C640" t="e">
        <x:f>IF($A640="","",[1]!thsiFinD("ths_adjustment_nv_fund",C$3,$A640))</x:f>
        <x:v>#NAME?</x:v>
      </x:c>
      <x:c r="D640" t="e">
        <x:f>IF($A640="","",[1]!thsiFinD("ths_adjustment_nv_fund",D$3,$A640))</x:f>
        <x:v>#NAME?</x:v>
      </x:c>
      <x:c r="E640" t="e">
        <x:f>IF($A640="","",[1]!thsiFinD("ths_adjustment_nv_fund",E$3,$A640))</x:f>
        <x:v>#NAME?</x:v>
      </x:c>
      <x:c r="F640" t="e">
        <x:f>IF($A640="","",[1]!thsiFinD("ths_adjustment_nv_fund",F$3,$A640))</x:f>
        <x:v>#NAME?</x:v>
      </x:c>
      <x:c r="G640" t="e">
        <x:f>IF($A640="","",[1]!thsiFinD("ths_adjustment_nv_fund",G$3,$A640))</x:f>
        <x:v>#NAME?</x:v>
      </x:c>
      <x:c r="H640" t="e">
        <x:f>IF($A640="","",[1]!thsiFinD("ths_adjustment_nv_fund",H$3,$A640))</x:f>
        <x:v>#NAME?</x:v>
      </x:c>
      <x:c r="I640" t="e">
        <x:f>IF($A640="","",[1]!thsiFinD("ths_adjustment_nv_fund",I$3,$A640))</x:f>
        <x:v>#NAME?</x:v>
      </x:c>
      <x:c r="J640" t="e">
        <x:f>IF($A640="","",[1]!thsiFinD("ths_adjustment_nv_fund",J$3,$A640))</x:f>
        <x:v>#NAME?</x:v>
      </x:c>
      <x:c r="K640" t="e">
        <x:f>IF($A640="","",[1]!thsiFinD("ths_adjustment_nv_fund",K$3,$A640))</x:f>
        <x:v>#NAME?</x:v>
      </x:c>
      <x:c r="L640" t="e">
        <x:f>IF($A640="","",[1]!thsiFinD("ths_adjustment_nv_fund",L$3,$A640))</x:f>
        <x:v>#NAME?</x:v>
      </x:c>
      <x:c r="M640" t="e">
        <x:f>IF($A640="","",[1]!thsiFinD("ths_adjustment_nv_fund",M$3,$A640))</x:f>
        <x:v>#NAME?</x:v>
      </x:c>
      <x:c r="N640" t="e">
        <x:f>IF($A640="","",[1]!thsiFinD("ths_adjustment_nv_fund",N$3,$A640))</x:f>
        <x:v>#NAME?</x:v>
      </x:c>
      <x:c r="O640" t="e">
        <x:f>IF($A640="","",[1]!thsiFinD("ths_adjustment_nv_fund",O$3,$A640))</x:f>
        <x:v>#NAME?</x:v>
      </x:c>
      <x:c r="P640" t="e">
        <x:f>IF($A640="","",[1]!thsiFinD("ths_adjustment_nv_fund",P$3,$A640))</x:f>
        <x:v>#NAME?</x:v>
      </x:c>
      <x:c r="Q640" t="e">
        <x:f>IF($A640="","",[1]!thsiFinD("ths_adjustment_nv_fund",Q$3,$A640))</x:f>
        <x:v>#NAME?</x:v>
      </x:c>
      <x:c r="R640" t="e">
        <x:f>IF($A640="","",[1]!thsiFinD("ths_adjustment_nv_fund",R$3,$A640))</x:f>
        <x:v>#NAME?</x:v>
      </x:c>
      <x:c r="S640" t="e">
        <x:f>IF($A640="","",[1]!thsiFinD("ths_adjustment_nv_fund",S$3,$A640))</x:f>
        <x:v>#NAME?</x:v>
      </x:c>
      <x:c r="T640" t="e">
        <x:f>IF($A640="","",[1]!thsiFinD("ths_adjustment_nv_fund",T$3,$A640))</x:f>
        <x:v>#NAME?</x:v>
      </x:c>
      <x:c r="U640" t="e">
        <x:f>IF($A640="","",[1]!thsiFinD("ths_adjustment_nv_fund",U$3,$A640))</x:f>
        <x:v>#NAME?</x:v>
      </x:c>
      <x:c r="V640" t="e">
        <x:f>IF($A640="","",[1]!thsiFinD("ths_adjustment_nv_fund",V$3,$A640))</x:f>
        <x:v>#NAME?</x:v>
      </x:c>
      <x:c r="W640" t="e">
        <x:f>IF($A640="","",[1]!thsiFinD("ths_adjustment_nv_fund",W$3,$A640))</x:f>
        <x:v>#NAME?</x:v>
      </x:c>
      <x:c r="X640" t="e">
        <x:f>IF($A640="","",[1]!thsiFinD("ths_adjustment_nv_fund",X$3,$A640))</x:f>
        <x:v>#NAME?</x:v>
      </x:c>
      <x:c r="Y640" t="e">
        <x:f>IF($A640="","",[1]!thsiFinD("ths_adjustment_nv_fund",Y$3,$A640))</x:f>
        <x:v>#NAME?</x:v>
      </x:c>
    </x:row>
    <x:row r="641">
      <x:c r="B641" t="e">
        <x:f>IF($A641="","",[1]!thsiFinD("ths_adjustment_nv_fund",B$3,$A641))</x:f>
        <x:v>#NAME?</x:v>
      </x:c>
      <x:c r="C641" t="e">
        <x:f>IF($A641="","",[1]!thsiFinD("ths_adjustment_nv_fund",C$3,$A641))</x:f>
        <x:v>#NAME?</x:v>
      </x:c>
      <x:c r="D641" t="e">
        <x:f>IF($A641="","",[1]!thsiFinD("ths_adjustment_nv_fund",D$3,$A641))</x:f>
        <x:v>#NAME?</x:v>
      </x:c>
      <x:c r="E641" t="e">
        <x:f>IF($A641="","",[1]!thsiFinD("ths_adjustment_nv_fund",E$3,$A641))</x:f>
        <x:v>#NAME?</x:v>
      </x:c>
      <x:c r="F641" t="e">
        <x:f>IF($A641="","",[1]!thsiFinD("ths_adjustment_nv_fund",F$3,$A641))</x:f>
        <x:v>#NAME?</x:v>
      </x:c>
      <x:c r="G641" t="e">
        <x:f>IF($A641="","",[1]!thsiFinD("ths_adjustment_nv_fund",G$3,$A641))</x:f>
        <x:v>#NAME?</x:v>
      </x:c>
      <x:c r="H641" t="e">
        <x:f>IF($A641="","",[1]!thsiFinD("ths_adjustment_nv_fund",H$3,$A641))</x:f>
        <x:v>#NAME?</x:v>
      </x:c>
      <x:c r="I641" t="e">
        <x:f>IF($A641="","",[1]!thsiFinD("ths_adjustment_nv_fund",I$3,$A641))</x:f>
        <x:v>#NAME?</x:v>
      </x:c>
      <x:c r="J641" t="e">
        <x:f>IF($A641="","",[1]!thsiFinD("ths_adjustment_nv_fund",J$3,$A641))</x:f>
        <x:v>#NAME?</x:v>
      </x:c>
      <x:c r="K641" t="e">
        <x:f>IF($A641="","",[1]!thsiFinD("ths_adjustment_nv_fund",K$3,$A641))</x:f>
        <x:v>#NAME?</x:v>
      </x:c>
      <x:c r="L641" t="e">
        <x:f>IF($A641="","",[1]!thsiFinD("ths_adjustment_nv_fund",L$3,$A641))</x:f>
        <x:v>#NAME?</x:v>
      </x:c>
      <x:c r="M641" t="e">
        <x:f>IF($A641="","",[1]!thsiFinD("ths_adjustment_nv_fund",M$3,$A641))</x:f>
        <x:v>#NAME?</x:v>
      </x:c>
      <x:c r="N641" t="e">
        <x:f>IF($A641="","",[1]!thsiFinD("ths_adjustment_nv_fund",N$3,$A641))</x:f>
        <x:v>#NAME?</x:v>
      </x:c>
      <x:c r="O641" t="e">
        <x:f>IF($A641="","",[1]!thsiFinD("ths_adjustment_nv_fund",O$3,$A641))</x:f>
        <x:v>#NAME?</x:v>
      </x:c>
      <x:c r="P641" t="e">
        <x:f>IF($A641="","",[1]!thsiFinD("ths_adjustment_nv_fund",P$3,$A641))</x:f>
        <x:v>#NAME?</x:v>
      </x:c>
      <x:c r="Q641" t="e">
        <x:f>IF($A641="","",[1]!thsiFinD("ths_adjustment_nv_fund",Q$3,$A641))</x:f>
        <x:v>#NAME?</x:v>
      </x:c>
      <x:c r="R641" t="e">
        <x:f>IF($A641="","",[1]!thsiFinD("ths_adjustment_nv_fund",R$3,$A641))</x:f>
        <x:v>#NAME?</x:v>
      </x:c>
      <x:c r="S641" t="e">
        <x:f>IF($A641="","",[1]!thsiFinD("ths_adjustment_nv_fund",S$3,$A641))</x:f>
        <x:v>#NAME?</x:v>
      </x:c>
      <x:c r="T641" t="e">
        <x:f>IF($A641="","",[1]!thsiFinD("ths_adjustment_nv_fund",T$3,$A641))</x:f>
        <x:v>#NAME?</x:v>
      </x:c>
      <x:c r="U641" t="e">
        <x:f>IF($A641="","",[1]!thsiFinD("ths_adjustment_nv_fund",U$3,$A641))</x:f>
        <x:v>#NAME?</x:v>
      </x:c>
      <x:c r="V641" t="e">
        <x:f>IF($A641="","",[1]!thsiFinD("ths_adjustment_nv_fund",V$3,$A641))</x:f>
        <x:v>#NAME?</x:v>
      </x:c>
      <x:c r="W641" t="e">
        <x:f>IF($A641="","",[1]!thsiFinD("ths_adjustment_nv_fund",W$3,$A641))</x:f>
        <x:v>#NAME?</x:v>
      </x:c>
      <x:c r="X641" t="e">
        <x:f>IF($A641="","",[1]!thsiFinD("ths_adjustment_nv_fund",X$3,$A641))</x:f>
        <x:v>#NAME?</x:v>
      </x:c>
      <x:c r="Y641" t="e">
        <x:f>IF($A641="","",[1]!thsiFinD("ths_adjustment_nv_fund",Y$3,$A641))</x:f>
        <x:v>#NAME?</x:v>
      </x:c>
    </x:row>
    <x:row r="642">
      <x:c r="B642" t="e">
        <x:f>IF($A642="","",[1]!thsiFinD("ths_adjustment_nv_fund",B$3,$A642))</x:f>
        <x:v>#NAME?</x:v>
      </x:c>
      <x:c r="C642" t="e">
        <x:f>IF($A642="","",[1]!thsiFinD("ths_adjustment_nv_fund",C$3,$A642))</x:f>
        <x:v>#NAME?</x:v>
      </x:c>
      <x:c r="D642" t="e">
        <x:f>IF($A642="","",[1]!thsiFinD("ths_adjustment_nv_fund",D$3,$A642))</x:f>
        <x:v>#NAME?</x:v>
      </x:c>
      <x:c r="E642" t="e">
        <x:f>IF($A642="","",[1]!thsiFinD("ths_adjustment_nv_fund",E$3,$A642))</x:f>
        <x:v>#NAME?</x:v>
      </x:c>
      <x:c r="F642" t="e">
        <x:f>IF($A642="","",[1]!thsiFinD("ths_adjustment_nv_fund",F$3,$A642))</x:f>
        <x:v>#NAME?</x:v>
      </x:c>
      <x:c r="G642" t="e">
        <x:f>IF($A642="","",[1]!thsiFinD("ths_adjustment_nv_fund",G$3,$A642))</x:f>
        <x:v>#NAME?</x:v>
      </x:c>
      <x:c r="H642" t="e">
        <x:f>IF($A642="","",[1]!thsiFinD("ths_adjustment_nv_fund",H$3,$A642))</x:f>
        <x:v>#NAME?</x:v>
      </x:c>
      <x:c r="I642" t="e">
        <x:f>IF($A642="","",[1]!thsiFinD("ths_adjustment_nv_fund",I$3,$A642))</x:f>
        <x:v>#NAME?</x:v>
      </x:c>
      <x:c r="J642" t="e">
        <x:f>IF($A642="","",[1]!thsiFinD("ths_adjustment_nv_fund",J$3,$A642))</x:f>
        <x:v>#NAME?</x:v>
      </x:c>
      <x:c r="K642" t="e">
        <x:f>IF($A642="","",[1]!thsiFinD("ths_adjustment_nv_fund",K$3,$A642))</x:f>
        <x:v>#NAME?</x:v>
      </x:c>
      <x:c r="L642" t="e">
        <x:f>IF($A642="","",[1]!thsiFinD("ths_adjustment_nv_fund",L$3,$A642))</x:f>
        <x:v>#NAME?</x:v>
      </x:c>
      <x:c r="M642" t="e">
        <x:f>IF($A642="","",[1]!thsiFinD("ths_adjustment_nv_fund",M$3,$A642))</x:f>
        <x:v>#NAME?</x:v>
      </x:c>
      <x:c r="N642" t="e">
        <x:f>IF($A642="","",[1]!thsiFinD("ths_adjustment_nv_fund",N$3,$A642))</x:f>
        <x:v>#NAME?</x:v>
      </x:c>
      <x:c r="O642" t="e">
        <x:f>IF($A642="","",[1]!thsiFinD("ths_adjustment_nv_fund",O$3,$A642))</x:f>
        <x:v>#NAME?</x:v>
      </x:c>
      <x:c r="P642" t="e">
        <x:f>IF($A642="","",[1]!thsiFinD("ths_adjustment_nv_fund",P$3,$A642))</x:f>
        <x:v>#NAME?</x:v>
      </x:c>
      <x:c r="Q642" t="e">
        <x:f>IF($A642="","",[1]!thsiFinD("ths_adjustment_nv_fund",Q$3,$A642))</x:f>
        <x:v>#NAME?</x:v>
      </x:c>
      <x:c r="R642" t="e">
        <x:f>IF($A642="","",[1]!thsiFinD("ths_adjustment_nv_fund",R$3,$A642))</x:f>
        <x:v>#NAME?</x:v>
      </x:c>
      <x:c r="S642" t="e">
        <x:f>IF($A642="","",[1]!thsiFinD("ths_adjustment_nv_fund",S$3,$A642))</x:f>
        <x:v>#NAME?</x:v>
      </x:c>
      <x:c r="T642" t="e">
        <x:f>IF($A642="","",[1]!thsiFinD("ths_adjustment_nv_fund",T$3,$A642))</x:f>
        <x:v>#NAME?</x:v>
      </x:c>
      <x:c r="U642" t="e">
        <x:f>IF($A642="","",[1]!thsiFinD("ths_adjustment_nv_fund",U$3,$A642))</x:f>
        <x:v>#NAME?</x:v>
      </x:c>
      <x:c r="V642" t="e">
        <x:f>IF($A642="","",[1]!thsiFinD("ths_adjustment_nv_fund",V$3,$A642))</x:f>
        <x:v>#NAME?</x:v>
      </x:c>
      <x:c r="W642" t="e">
        <x:f>IF($A642="","",[1]!thsiFinD("ths_adjustment_nv_fund",W$3,$A642))</x:f>
        <x:v>#NAME?</x:v>
      </x:c>
      <x:c r="X642" t="e">
        <x:f>IF($A642="","",[1]!thsiFinD("ths_adjustment_nv_fund",X$3,$A642))</x:f>
        <x:v>#NAME?</x:v>
      </x:c>
      <x:c r="Y642" t="e">
        <x:f>IF($A642="","",[1]!thsiFinD("ths_adjustment_nv_fund",Y$3,$A642))</x:f>
        <x:v>#NAME?</x:v>
      </x:c>
    </x:row>
    <x:row r="643">
      <x:c r="B643" t="e">
        <x:f>IF($A643="","",[1]!thsiFinD("ths_adjustment_nv_fund",B$3,$A643))</x:f>
        <x:v>#NAME?</x:v>
      </x:c>
      <x:c r="C643" t="e">
        <x:f>IF($A643="","",[1]!thsiFinD("ths_adjustment_nv_fund",C$3,$A643))</x:f>
        <x:v>#NAME?</x:v>
      </x:c>
      <x:c r="D643" t="e">
        <x:f>IF($A643="","",[1]!thsiFinD("ths_adjustment_nv_fund",D$3,$A643))</x:f>
        <x:v>#NAME?</x:v>
      </x:c>
      <x:c r="E643" t="e">
        <x:f>IF($A643="","",[1]!thsiFinD("ths_adjustment_nv_fund",E$3,$A643))</x:f>
        <x:v>#NAME?</x:v>
      </x:c>
      <x:c r="F643" t="e">
        <x:f>IF($A643="","",[1]!thsiFinD("ths_adjustment_nv_fund",F$3,$A643))</x:f>
        <x:v>#NAME?</x:v>
      </x:c>
      <x:c r="G643" t="e">
        <x:f>IF($A643="","",[1]!thsiFinD("ths_adjustment_nv_fund",G$3,$A643))</x:f>
        <x:v>#NAME?</x:v>
      </x:c>
      <x:c r="H643" t="e">
        <x:f>IF($A643="","",[1]!thsiFinD("ths_adjustment_nv_fund",H$3,$A643))</x:f>
        <x:v>#NAME?</x:v>
      </x:c>
      <x:c r="I643" t="e">
        <x:f>IF($A643="","",[1]!thsiFinD("ths_adjustment_nv_fund",I$3,$A643))</x:f>
        <x:v>#NAME?</x:v>
      </x:c>
      <x:c r="J643" t="e">
        <x:f>IF($A643="","",[1]!thsiFinD("ths_adjustment_nv_fund",J$3,$A643))</x:f>
        <x:v>#NAME?</x:v>
      </x:c>
      <x:c r="K643" t="e">
        <x:f>IF($A643="","",[1]!thsiFinD("ths_adjustment_nv_fund",K$3,$A643))</x:f>
        <x:v>#NAME?</x:v>
      </x:c>
      <x:c r="L643" t="e">
        <x:f>IF($A643="","",[1]!thsiFinD("ths_adjustment_nv_fund",L$3,$A643))</x:f>
        <x:v>#NAME?</x:v>
      </x:c>
      <x:c r="M643" t="e">
        <x:f>IF($A643="","",[1]!thsiFinD("ths_adjustment_nv_fund",M$3,$A643))</x:f>
        <x:v>#NAME?</x:v>
      </x:c>
      <x:c r="N643" t="e">
        <x:f>IF($A643="","",[1]!thsiFinD("ths_adjustment_nv_fund",N$3,$A643))</x:f>
        <x:v>#NAME?</x:v>
      </x:c>
      <x:c r="O643" t="e">
        <x:f>IF($A643="","",[1]!thsiFinD("ths_adjustment_nv_fund",O$3,$A643))</x:f>
        <x:v>#NAME?</x:v>
      </x:c>
      <x:c r="P643" t="e">
        <x:f>IF($A643="","",[1]!thsiFinD("ths_adjustment_nv_fund",P$3,$A643))</x:f>
        <x:v>#NAME?</x:v>
      </x:c>
      <x:c r="Q643" t="e">
        <x:f>IF($A643="","",[1]!thsiFinD("ths_adjustment_nv_fund",Q$3,$A643))</x:f>
        <x:v>#NAME?</x:v>
      </x:c>
      <x:c r="R643" t="e">
        <x:f>IF($A643="","",[1]!thsiFinD("ths_adjustment_nv_fund",R$3,$A643))</x:f>
        <x:v>#NAME?</x:v>
      </x:c>
      <x:c r="S643" t="e">
        <x:f>IF($A643="","",[1]!thsiFinD("ths_adjustment_nv_fund",S$3,$A643))</x:f>
        <x:v>#NAME?</x:v>
      </x:c>
      <x:c r="T643" t="e">
        <x:f>IF($A643="","",[1]!thsiFinD("ths_adjustment_nv_fund",T$3,$A643))</x:f>
        <x:v>#NAME?</x:v>
      </x:c>
      <x:c r="U643" t="e">
        <x:f>IF($A643="","",[1]!thsiFinD("ths_adjustment_nv_fund",U$3,$A643))</x:f>
        <x:v>#NAME?</x:v>
      </x:c>
      <x:c r="V643" t="e">
        <x:f>IF($A643="","",[1]!thsiFinD("ths_adjustment_nv_fund",V$3,$A643))</x:f>
        <x:v>#NAME?</x:v>
      </x:c>
      <x:c r="W643" t="e">
        <x:f>IF($A643="","",[1]!thsiFinD("ths_adjustment_nv_fund",W$3,$A643))</x:f>
        <x:v>#NAME?</x:v>
      </x:c>
      <x:c r="X643" t="e">
        <x:f>IF($A643="","",[1]!thsiFinD("ths_adjustment_nv_fund",X$3,$A643))</x:f>
        <x:v>#NAME?</x:v>
      </x:c>
      <x:c r="Y643" t="e">
        <x:f>IF($A643="","",[1]!thsiFinD("ths_adjustment_nv_fund",Y$3,$A643))</x:f>
        <x:v>#NAME?</x:v>
      </x:c>
    </x:row>
    <x:row r="644">
      <x:c r="B644" t="e">
        <x:f>IF($A644="","",[1]!thsiFinD("ths_adjustment_nv_fund",B$3,$A644))</x:f>
        <x:v>#NAME?</x:v>
      </x:c>
      <x:c r="C644" t="e">
        <x:f>IF($A644="","",[1]!thsiFinD("ths_adjustment_nv_fund",C$3,$A644))</x:f>
        <x:v>#NAME?</x:v>
      </x:c>
      <x:c r="D644" t="e">
        <x:f>IF($A644="","",[1]!thsiFinD("ths_adjustment_nv_fund",D$3,$A644))</x:f>
        <x:v>#NAME?</x:v>
      </x:c>
      <x:c r="E644" t="e">
        <x:f>IF($A644="","",[1]!thsiFinD("ths_adjustment_nv_fund",E$3,$A644))</x:f>
        <x:v>#NAME?</x:v>
      </x:c>
      <x:c r="F644" t="e">
        <x:f>IF($A644="","",[1]!thsiFinD("ths_adjustment_nv_fund",F$3,$A644))</x:f>
        <x:v>#NAME?</x:v>
      </x:c>
      <x:c r="G644" t="e">
        <x:f>IF($A644="","",[1]!thsiFinD("ths_adjustment_nv_fund",G$3,$A644))</x:f>
        <x:v>#NAME?</x:v>
      </x:c>
      <x:c r="H644" t="e">
        <x:f>IF($A644="","",[1]!thsiFinD("ths_adjustment_nv_fund",H$3,$A644))</x:f>
        <x:v>#NAME?</x:v>
      </x:c>
      <x:c r="I644" t="e">
        <x:f>IF($A644="","",[1]!thsiFinD("ths_adjustment_nv_fund",I$3,$A644))</x:f>
        <x:v>#NAME?</x:v>
      </x:c>
      <x:c r="J644" t="e">
        <x:f>IF($A644="","",[1]!thsiFinD("ths_adjustment_nv_fund",J$3,$A644))</x:f>
        <x:v>#NAME?</x:v>
      </x:c>
      <x:c r="K644" t="e">
        <x:f>IF($A644="","",[1]!thsiFinD("ths_adjustment_nv_fund",K$3,$A644))</x:f>
        <x:v>#NAME?</x:v>
      </x:c>
      <x:c r="L644" t="e">
        <x:f>IF($A644="","",[1]!thsiFinD("ths_adjustment_nv_fund",L$3,$A644))</x:f>
        <x:v>#NAME?</x:v>
      </x:c>
      <x:c r="M644" t="e">
        <x:f>IF($A644="","",[1]!thsiFinD("ths_adjustment_nv_fund",M$3,$A644))</x:f>
        <x:v>#NAME?</x:v>
      </x:c>
      <x:c r="N644" t="e">
        <x:f>IF($A644="","",[1]!thsiFinD("ths_adjustment_nv_fund",N$3,$A644))</x:f>
        <x:v>#NAME?</x:v>
      </x:c>
      <x:c r="O644" t="e">
        <x:f>IF($A644="","",[1]!thsiFinD("ths_adjustment_nv_fund",O$3,$A644))</x:f>
        <x:v>#NAME?</x:v>
      </x:c>
      <x:c r="P644" t="e">
        <x:f>IF($A644="","",[1]!thsiFinD("ths_adjustment_nv_fund",P$3,$A644))</x:f>
        <x:v>#NAME?</x:v>
      </x:c>
      <x:c r="Q644" t="e">
        <x:f>IF($A644="","",[1]!thsiFinD("ths_adjustment_nv_fund",Q$3,$A644))</x:f>
        <x:v>#NAME?</x:v>
      </x:c>
      <x:c r="R644" t="e">
        <x:f>IF($A644="","",[1]!thsiFinD("ths_adjustment_nv_fund",R$3,$A644))</x:f>
        <x:v>#NAME?</x:v>
      </x:c>
      <x:c r="S644" t="e">
        <x:f>IF($A644="","",[1]!thsiFinD("ths_adjustment_nv_fund",S$3,$A644))</x:f>
        <x:v>#NAME?</x:v>
      </x:c>
      <x:c r="T644" t="e">
        <x:f>IF($A644="","",[1]!thsiFinD("ths_adjustment_nv_fund",T$3,$A644))</x:f>
        <x:v>#NAME?</x:v>
      </x:c>
      <x:c r="U644" t="e">
        <x:f>IF($A644="","",[1]!thsiFinD("ths_adjustment_nv_fund",U$3,$A644))</x:f>
        <x:v>#NAME?</x:v>
      </x:c>
      <x:c r="V644" t="e">
        <x:f>IF($A644="","",[1]!thsiFinD("ths_adjustment_nv_fund",V$3,$A644))</x:f>
        <x:v>#NAME?</x:v>
      </x:c>
      <x:c r="W644" t="e">
        <x:f>IF($A644="","",[1]!thsiFinD("ths_adjustment_nv_fund",W$3,$A644))</x:f>
        <x:v>#NAME?</x:v>
      </x:c>
      <x:c r="X644" t="e">
        <x:f>IF($A644="","",[1]!thsiFinD("ths_adjustment_nv_fund",X$3,$A644))</x:f>
        <x:v>#NAME?</x:v>
      </x:c>
      <x:c r="Y644" t="e">
        <x:f>IF($A644="","",[1]!thsiFinD("ths_adjustment_nv_fund",Y$3,$A644))</x:f>
        <x:v>#NAME?</x:v>
      </x:c>
    </x:row>
    <x:row r="645">
      <x:c r="B645" t="e">
        <x:f>IF($A645="","",[1]!thsiFinD("ths_adjustment_nv_fund",B$3,$A645))</x:f>
        <x:v>#NAME?</x:v>
      </x:c>
      <x:c r="C645" t="e">
        <x:f>IF($A645="","",[1]!thsiFinD("ths_adjustment_nv_fund",C$3,$A645))</x:f>
        <x:v>#NAME?</x:v>
      </x:c>
      <x:c r="D645" t="e">
        <x:f>IF($A645="","",[1]!thsiFinD("ths_adjustment_nv_fund",D$3,$A645))</x:f>
        <x:v>#NAME?</x:v>
      </x:c>
      <x:c r="E645" t="e">
        <x:f>IF($A645="","",[1]!thsiFinD("ths_adjustment_nv_fund",E$3,$A645))</x:f>
        <x:v>#NAME?</x:v>
      </x:c>
      <x:c r="F645" t="e">
        <x:f>IF($A645="","",[1]!thsiFinD("ths_adjustment_nv_fund",F$3,$A645))</x:f>
        <x:v>#NAME?</x:v>
      </x:c>
      <x:c r="G645" t="e">
        <x:f>IF($A645="","",[1]!thsiFinD("ths_adjustment_nv_fund",G$3,$A645))</x:f>
        <x:v>#NAME?</x:v>
      </x:c>
      <x:c r="H645" t="e">
        <x:f>IF($A645="","",[1]!thsiFinD("ths_adjustment_nv_fund",H$3,$A645))</x:f>
        <x:v>#NAME?</x:v>
      </x:c>
      <x:c r="I645" t="e">
        <x:f>IF($A645="","",[1]!thsiFinD("ths_adjustment_nv_fund",I$3,$A645))</x:f>
        <x:v>#NAME?</x:v>
      </x:c>
      <x:c r="J645" t="e">
        <x:f>IF($A645="","",[1]!thsiFinD("ths_adjustment_nv_fund",J$3,$A645))</x:f>
        <x:v>#NAME?</x:v>
      </x:c>
      <x:c r="K645" t="e">
        <x:f>IF($A645="","",[1]!thsiFinD("ths_adjustment_nv_fund",K$3,$A645))</x:f>
        <x:v>#NAME?</x:v>
      </x:c>
      <x:c r="L645" t="e">
        <x:f>IF($A645="","",[1]!thsiFinD("ths_adjustment_nv_fund",L$3,$A645))</x:f>
        <x:v>#NAME?</x:v>
      </x:c>
      <x:c r="M645" t="e">
        <x:f>IF($A645="","",[1]!thsiFinD("ths_adjustment_nv_fund",M$3,$A645))</x:f>
        <x:v>#NAME?</x:v>
      </x:c>
      <x:c r="N645" t="e">
        <x:f>IF($A645="","",[1]!thsiFinD("ths_adjustment_nv_fund",N$3,$A645))</x:f>
        <x:v>#NAME?</x:v>
      </x:c>
      <x:c r="O645" t="e">
        <x:f>IF($A645="","",[1]!thsiFinD("ths_adjustment_nv_fund",O$3,$A645))</x:f>
        <x:v>#NAME?</x:v>
      </x:c>
      <x:c r="P645" t="e">
        <x:f>IF($A645="","",[1]!thsiFinD("ths_adjustment_nv_fund",P$3,$A645))</x:f>
        <x:v>#NAME?</x:v>
      </x:c>
      <x:c r="Q645" t="e">
        <x:f>IF($A645="","",[1]!thsiFinD("ths_adjustment_nv_fund",Q$3,$A645))</x:f>
        <x:v>#NAME?</x:v>
      </x:c>
      <x:c r="R645" t="e">
        <x:f>IF($A645="","",[1]!thsiFinD("ths_adjustment_nv_fund",R$3,$A645))</x:f>
        <x:v>#NAME?</x:v>
      </x:c>
      <x:c r="S645" t="e">
        <x:f>IF($A645="","",[1]!thsiFinD("ths_adjustment_nv_fund",S$3,$A645))</x:f>
        <x:v>#NAME?</x:v>
      </x:c>
      <x:c r="T645" t="e">
        <x:f>IF($A645="","",[1]!thsiFinD("ths_adjustment_nv_fund",T$3,$A645))</x:f>
        <x:v>#NAME?</x:v>
      </x:c>
      <x:c r="U645" t="e">
        <x:f>IF($A645="","",[1]!thsiFinD("ths_adjustment_nv_fund",U$3,$A645))</x:f>
        <x:v>#NAME?</x:v>
      </x:c>
      <x:c r="V645" t="e">
        <x:f>IF($A645="","",[1]!thsiFinD("ths_adjustment_nv_fund",V$3,$A645))</x:f>
        <x:v>#NAME?</x:v>
      </x:c>
      <x:c r="W645" t="e">
        <x:f>IF($A645="","",[1]!thsiFinD("ths_adjustment_nv_fund",W$3,$A645))</x:f>
        <x:v>#NAME?</x:v>
      </x:c>
      <x:c r="X645" t="e">
        <x:f>IF($A645="","",[1]!thsiFinD("ths_adjustment_nv_fund",X$3,$A645))</x:f>
        <x:v>#NAME?</x:v>
      </x:c>
      <x:c r="Y645" t="e">
        <x:f>IF($A645="","",[1]!thsiFinD("ths_adjustment_nv_fund",Y$3,$A645))</x:f>
        <x:v>#NAME?</x:v>
      </x:c>
    </x:row>
    <x:row r="646">
      <x:c r="B646" t="e">
        <x:f>IF($A646="","",[1]!thsiFinD("ths_adjustment_nv_fund",B$3,$A646))</x:f>
        <x:v>#NAME?</x:v>
      </x:c>
      <x:c r="C646" t="e">
        <x:f>IF($A646="","",[1]!thsiFinD("ths_adjustment_nv_fund",C$3,$A646))</x:f>
        <x:v>#NAME?</x:v>
      </x:c>
      <x:c r="D646" t="e">
        <x:f>IF($A646="","",[1]!thsiFinD("ths_adjustment_nv_fund",D$3,$A646))</x:f>
        <x:v>#NAME?</x:v>
      </x:c>
      <x:c r="E646" t="e">
        <x:f>IF($A646="","",[1]!thsiFinD("ths_adjustment_nv_fund",E$3,$A646))</x:f>
        <x:v>#NAME?</x:v>
      </x:c>
      <x:c r="F646" t="e">
        <x:f>IF($A646="","",[1]!thsiFinD("ths_adjustment_nv_fund",F$3,$A646))</x:f>
        <x:v>#NAME?</x:v>
      </x:c>
      <x:c r="G646" t="e">
        <x:f>IF($A646="","",[1]!thsiFinD("ths_adjustment_nv_fund",G$3,$A646))</x:f>
        <x:v>#NAME?</x:v>
      </x:c>
      <x:c r="H646" t="e">
        <x:f>IF($A646="","",[1]!thsiFinD("ths_adjustment_nv_fund",H$3,$A646))</x:f>
        <x:v>#NAME?</x:v>
      </x:c>
      <x:c r="I646" t="e">
        <x:f>IF($A646="","",[1]!thsiFinD("ths_adjustment_nv_fund",I$3,$A646))</x:f>
        <x:v>#NAME?</x:v>
      </x:c>
      <x:c r="J646" t="e">
        <x:f>IF($A646="","",[1]!thsiFinD("ths_adjustment_nv_fund",J$3,$A646))</x:f>
        <x:v>#NAME?</x:v>
      </x:c>
      <x:c r="K646" t="e">
        <x:f>IF($A646="","",[1]!thsiFinD("ths_adjustment_nv_fund",K$3,$A646))</x:f>
        <x:v>#NAME?</x:v>
      </x:c>
      <x:c r="L646" t="e">
        <x:f>IF($A646="","",[1]!thsiFinD("ths_adjustment_nv_fund",L$3,$A646))</x:f>
        <x:v>#NAME?</x:v>
      </x:c>
      <x:c r="M646" t="e">
        <x:f>IF($A646="","",[1]!thsiFinD("ths_adjustment_nv_fund",M$3,$A646))</x:f>
        <x:v>#NAME?</x:v>
      </x:c>
      <x:c r="N646" t="e">
        <x:f>IF($A646="","",[1]!thsiFinD("ths_adjustment_nv_fund",N$3,$A646))</x:f>
        <x:v>#NAME?</x:v>
      </x:c>
      <x:c r="O646" t="e">
        <x:f>IF($A646="","",[1]!thsiFinD("ths_adjustment_nv_fund",O$3,$A646))</x:f>
        <x:v>#NAME?</x:v>
      </x:c>
      <x:c r="P646" t="e">
        <x:f>IF($A646="","",[1]!thsiFinD("ths_adjustment_nv_fund",P$3,$A646))</x:f>
        <x:v>#NAME?</x:v>
      </x:c>
      <x:c r="Q646" t="e">
        <x:f>IF($A646="","",[1]!thsiFinD("ths_adjustment_nv_fund",Q$3,$A646))</x:f>
        <x:v>#NAME?</x:v>
      </x:c>
      <x:c r="R646" t="e">
        <x:f>IF($A646="","",[1]!thsiFinD("ths_adjustment_nv_fund",R$3,$A646))</x:f>
        <x:v>#NAME?</x:v>
      </x:c>
      <x:c r="S646" t="e">
        <x:f>IF($A646="","",[1]!thsiFinD("ths_adjustment_nv_fund",S$3,$A646))</x:f>
        <x:v>#NAME?</x:v>
      </x:c>
      <x:c r="T646" t="e">
        <x:f>IF($A646="","",[1]!thsiFinD("ths_adjustment_nv_fund",T$3,$A646))</x:f>
        <x:v>#NAME?</x:v>
      </x:c>
      <x:c r="U646" t="e">
        <x:f>IF($A646="","",[1]!thsiFinD("ths_adjustment_nv_fund",U$3,$A646))</x:f>
        <x:v>#NAME?</x:v>
      </x:c>
      <x:c r="V646" t="e">
        <x:f>IF($A646="","",[1]!thsiFinD("ths_adjustment_nv_fund",V$3,$A646))</x:f>
        <x:v>#NAME?</x:v>
      </x:c>
      <x:c r="W646" t="e">
        <x:f>IF($A646="","",[1]!thsiFinD("ths_adjustment_nv_fund",W$3,$A646))</x:f>
        <x:v>#NAME?</x:v>
      </x:c>
      <x:c r="X646" t="e">
        <x:f>IF($A646="","",[1]!thsiFinD("ths_adjustment_nv_fund",X$3,$A646))</x:f>
        <x:v>#NAME?</x:v>
      </x:c>
      <x:c r="Y646" t="e">
        <x:f>IF($A646="","",[1]!thsiFinD("ths_adjustment_nv_fund",Y$3,$A646))</x:f>
        <x:v>#NAME?</x:v>
      </x:c>
    </x:row>
    <x:row r="647">
      <x:c r="B647" t="e">
        <x:f>IF($A647="","",[1]!thsiFinD("ths_adjustment_nv_fund",B$3,$A647))</x:f>
        <x:v>#NAME?</x:v>
      </x:c>
      <x:c r="C647" t="e">
        <x:f>IF($A647="","",[1]!thsiFinD("ths_adjustment_nv_fund",C$3,$A647))</x:f>
        <x:v>#NAME?</x:v>
      </x:c>
      <x:c r="D647" t="e">
        <x:f>IF($A647="","",[1]!thsiFinD("ths_adjustment_nv_fund",D$3,$A647))</x:f>
        <x:v>#NAME?</x:v>
      </x:c>
      <x:c r="E647" t="e">
        <x:f>IF($A647="","",[1]!thsiFinD("ths_adjustment_nv_fund",E$3,$A647))</x:f>
        <x:v>#NAME?</x:v>
      </x:c>
      <x:c r="F647" t="e">
        <x:f>IF($A647="","",[1]!thsiFinD("ths_adjustment_nv_fund",F$3,$A647))</x:f>
        <x:v>#NAME?</x:v>
      </x:c>
      <x:c r="G647" t="e">
        <x:f>IF($A647="","",[1]!thsiFinD("ths_adjustment_nv_fund",G$3,$A647))</x:f>
        <x:v>#NAME?</x:v>
      </x:c>
      <x:c r="H647" t="e">
        <x:f>IF($A647="","",[1]!thsiFinD("ths_adjustment_nv_fund",H$3,$A647))</x:f>
        <x:v>#NAME?</x:v>
      </x:c>
      <x:c r="I647" t="e">
        <x:f>IF($A647="","",[1]!thsiFinD("ths_adjustment_nv_fund",I$3,$A647))</x:f>
        <x:v>#NAME?</x:v>
      </x:c>
      <x:c r="J647" t="e">
        <x:f>IF($A647="","",[1]!thsiFinD("ths_adjustment_nv_fund",J$3,$A647))</x:f>
        <x:v>#NAME?</x:v>
      </x:c>
      <x:c r="K647" t="e">
        <x:f>IF($A647="","",[1]!thsiFinD("ths_adjustment_nv_fund",K$3,$A647))</x:f>
        <x:v>#NAME?</x:v>
      </x:c>
      <x:c r="L647" t="e">
        <x:f>IF($A647="","",[1]!thsiFinD("ths_adjustment_nv_fund",L$3,$A647))</x:f>
        <x:v>#NAME?</x:v>
      </x:c>
      <x:c r="M647" t="e">
        <x:f>IF($A647="","",[1]!thsiFinD("ths_adjustment_nv_fund",M$3,$A647))</x:f>
        <x:v>#NAME?</x:v>
      </x:c>
      <x:c r="N647" t="e">
        <x:f>IF($A647="","",[1]!thsiFinD("ths_adjustment_nv_fund",N$3,$A647))</x:f>
        <x:v>#NAME?</x:v>
      </x:c>
      <x:c r="O647" t="e">
        <x:f>IF($A647="","",[1]!thsiFinD("ths_adjustment_nv_fund",O$3,$A647))</x:f>
        <x:v>#NAME?</x:v>
      </x:c>
      <x:c r="P647" t="e">
        <x:f>IF($A647="","",[1]!thsiFinD("ths_adjustment_nv_fund",P$3,$A647))</x:f>
        <x:v>#NAME?</x:v>
      </x:c>
      <x:c r="Q647" t="e">
        <x:f>IF($A647="","",[1]!thsiFinD("ths_adjustment_nv_fund",Q$3,$A647))</x:f>
        <x:v>#NAME?</x:v>
      </x:c>
      <x:c r="R647" t="e">
        <x:f>IF($A647="","",[1]!thsiFinD("ths_adjustment_nv_fund",R$3,$A647))</x:f>
        <x:v>#NAME?</x:v>
      </x:c>
      <x:c r="S647" t="e">
        <x:f>IF($A647="","",[1]!thsiFinD("ths_adjustment_nv_fund",S$3,$A647))</x:f>
        <x:v>#NAME?</x:v>
      </x:c>
      <x:c r="T647" t="e">
        <x:f>IF($A647="","",[1]!thsiFinD("ths_adjustment_nv_fund",T$3,$A647))</x:f>
        <x:v>#NAME?</x:v>
      </x:c>
      <x:c r="U647" t="e">
        <x:f>IF($A647="","",[1]!thsiFinD("ths_adjustment_nv_fund",U$3,$A647))</x:f>
        <x:v>#NAME?</x:v>
      </x:c>
      <x:c r="V647" t="e">
        <x:f>IF($A647="","",[1]!thsiFinD("ths_adjustment_nv_fund",V$3,$A647))</x:f>
        <x:v>#NAME?</x:v>
      </x:c>
      <x:c r="W647" t="e">
        <x:f>IF($A647="","",[1]!thsiFinD("ths_adjustment_nv_fund",W$3,$A647))</x:f>
        <x:v>#NAME?</x:v>
      </x:c>
      <x:c r="X647" t="e">
        <x:f>IF($A647="","",[1]!thsiFinD("ths_adjustment_nv_fund",X$3,$A647))</x:f>
        <x:v>#NAME?</x:v>
      </x:c>
      <x:c r="Y647" t="e">
        <x:f>IF($A647="","",[1]!thsiFinD("ths_adjustment_nv_fund",Y$3,$A647))</x:f>
        <x:v>#NAME?</x:v>
      </x:c>
    </x:row>
    <x:row r="648">
      <x:c r="B648" t="e">
        <x:f>IF($A648="","",[1]!thsiFinD("ths_adjustment_nv_fund",B$3,$A648))</x:f>
        <x:v>#NAME?</x:v>
      </x:c>
      <x:c r="C648" t="e">
        <x:f>IF($A648="","",[1]!thsiFinD("ths_adjustment_nv_fund",C$3,$A648))</x:f>
        <x:v>#NAME?</x:v>
      </x:c>
      <x:c r="D648" t="e">
        <x:f>IF($A648="","",[1]!thsiFinD("ths_adjustment_nv_fund",D$3,$A648))</x:f>
        <x:v>#NAME?</x:v>
      </x:c>
      <x:c r="E648" t="e">
        <x:f>IF($A648="","",[1]!thsiFinD("ths_adjustment_nv_fund",E$3,$A648))</x:f>
        <x:v>#NAME?</x:v>
      </x:c>
      <x:c r="F648" t="e">
        <x:f>IF($A648="","",[1]!thsiFinD("ths_adjustment_nv_fund",F$3,$A648))</x:f>
        <x:v>#NAME?</x:v>
      </x:c>
      <x:c r="G648" t="e">
        <x:f>IF($A648="","",[1]!thsiFinD("ths_adjustment_nv_fund",G$3,$A648))</x:f>
        <x:v>#NAME?</x:v>
      </x:c>
      <x:c r="H648" t="e">
        <x:f>IF($A648="","",[1]!thsiFinD("ths_adjustment_nv_fund",H$3,$A648))</x:f>
        <x:v>#NAME?</x:v>
      </x:c>
      <x:c r="I648" t="e">
        <x:f>IF($A648="","",[1]!thsiFinD("ths_adjustment_nv_fund",I$3,$A648))</x:f>
        <x:v>#NAME?</x:v>
      </x:c>
      <x:c r="J648" t="e">
        <x:f>IF($A648="","",[1]!thsiFinD("ths_adjustment_nv_fund",J$3,$A648))</x:f>
        <x:v>#NAME?</x:v>
      </x:c>
      <x:c r="K648" t="e">
        <x:f>IF($A648="","",[1]!thsiFinD("ths_adjustment_nv_fund",K$3,$A648))</x:f>
        <x:v>#NAME?</x:v>
      </x:c>
      <x:c r="L648" t="e">
        <x:f>IF($A648="","",[1]!thsiFinD("ths_adjustment_nv_fund",L$3,$A648))</x:f>
        <x:v>#NAME?</x:v>
      </x:c>
      <x:c r="M648" t="e">
        <x:f>IF($A648="","",[1]!thsiFinD("ths_adjustment_nv_fund",M$3,$A648))</x:f>
        <x:v>#NAME?</x:v>
      </x:c>
      <x:c r="N648" t="e">
        <x:f>IF($A648="","",[1]!thsiFinD("ths_adjustment_nv_fund",N$3,$A648))</x:f>
        <x:v>#NAME?</x:v>
      </x:c>
      <x:c r="O648" t="e">
        <x:f>IF($A648="","",[1]!thsiFinD("ths_adjustment_nv_fund",O$3,$A648))</x:f>
        <x:v>#NAME?</x:v>
      </x:c>
      <x:c r="P648" t="e">
        <x:f>IF($A648="","",[1]!thsiFinD("ths_adjustment_nv_fund",P$3,$A648))</x:f>
        <x:v>#NAME?</x:v>
      </x:c>
      <x:c r="Q648" t="e">
        <x:f>IF($A648="","",[1]!thsiFinD("ths_adjustment_nv_fund",Q$3,$A648))</x:f>
        <x:v>#NAME?</x:v>
      </x:c>
      <x:c r="R648" t="e">
        <x:f>IF($A648="","",[1]!thsiFinD("ths_adjustment_nv_fund",R$3,$A648))</x:f>
        <x:v>#NAME?</x:v>
      </x:c>
      <x:c r="S648" t="e">
        <x:f>IF($A648="","",[1]!thsiFinD("ths_adjustment_nv_fund",S$3,$A648))</x:f>
        <x:v>#NAME?</x:v>
      </x:c>
      <x:c r="T648" t="e">
        <x:f>IF($A648="","",[1]!thsiFinD("ths_adjustment_nv_fund",T$3,$A648))</x:f>
        <x:v>#NAME?</x:v>
      </x:c>
      <x:c r="U648" t="e">
        <x:f>IF($A648="","",[1]!thsiFinD("ths_adjustment_nv_fund",U$3,$A648))</x:f>
        <x:v>#NAME?</x:v>
      </x:c>
      <x:c r="V648" t="e">
        <x:f>IF($A648="","",[1]!thsiFinD("ths_adjustment_nv_fund",V$3,$A648))</x:f>
        <x:v>#NAME?</x:v>
      </x:c>
      <x:c r="W648" t="e">
        <x:f>IF($A648="","",[1]!thsiFinD("ths_adjustment_nv_fund",W$3,$A648))</x:f>
        <x:v>#NAME?</x:v>
      </x:c>
      <x:c r="X648" t="e">
        <x:f>IF($A648="","",[1]!thsiFinD("ths_adjustment_nv_fund",X$3,$A648))</x:f>
        <x:v>#NAME?</x:v>
      </x:c>
      <x:c r="Y648" t="e">
        <x:f>IF($A648="","",[1]!thsiFinD("ths_adjustment_nv_fund",Y$3,$A648))</x:f>
        <x:v>#NAME?</x:v>
      </x:c>
    </x:row>
    <x:row r="649">
      <x:c r="B649" t="e">
        <x:f>IF($A649="","",[1]!thsiFinD("ths_adjustment_nv_fund",B$3,$A649))</x:f>
        <x:v>#NAME?</x:v>
      </x:c>
      <x:c r="C649" t="e">
        <x:f>IF($A649="","",[1]!thsiFinD("ths_adjustment_nv_fund",C$3,$A649))</x:f>
        <x:v>#NAME?</x:v>
      </x:c>
      <x:c r="D649" t="e">
        <x:f>IF($A649="","",[1]!thsiFinD("ths_adjustment_nv_fund",D$3,$A649))</x:f>
        <x:v>#NAME?</x:v>
      </x:c>
      <x:c r="E649" t="e">
        <x:f>IF($A649="","",[1]!thsiFinD("ths_adjustment_nv_fund",E$3,$A649))</x:f>
        <x:v>#NAME?</x:v>
      </x:c>
      <x:c r="F649" t="e">
        <x:f>IF($A649="","",[1]!thsiFinD("ths_adjustment_nv_fund",F$3,$A649))</x:f>
        <x:v>#NAME?</x:v>
      </x:c>
      <x:c r="G649" t="e">
        <x:f>IF($A649="","",[1]!thsiFinD("ths_adjustment_nv_fund",G$3,$A649))</x:f>
        <x:v>#NAME?</x:v>
      </x:c>
      <x:c r="H649" t="e">
        <x:f>IF($A649="","",[1]!thsiFinD("ths_adjustment_nv_fund",H$3,$A649))</x:f>
        <x:v>#NAME?</x:v>
      </x:c>
      <x:c r="I649" t="e">
        <x:f>IF($A649="","",[1]!thsiFinD("ths_adjustment_nv_fund",I$3,$A649))</x:f>
        <x:v>#NAME?</x:v>
      </x:c>
      <x:c r="J649" t="e">
        <x:f>IF($A649="","",[1]!thsiFinD("ths_adjustment_nv_fund",J$3,$A649))</x:f>
        <x:v>#NAME?</x:v>
      </x:c>
      <x:c r="K649" t="e">
        <x:f>IF($A649="","",[1]!thsiFinD("ths_adjustment_nv_fund",K$3,$A649))</x:f>
        <x:v>#NAME?</x:v>
      </x:c>
      <x:c r="L649" t="e">
        <x:f>IF($A649="","",[1]!thsiFinD("ths_adjustment_nv_fund",L$3,$A649))</x:f>
        <x:v>#NAME?</x:v>
      </x:c>
      <x:c r="M649" t="e">
        <x:f>IF($A649="","",[1]!thsiFinD("ths_adjustment_nv_fund",M$3,$A649))</x:f>
        <x:v>#NAME?</x:v>
      </x:c>
      <x:c r="N649" t="e">
        <x:f>IF($A649="","",[1]!thsiFinD("ths_adjustment_nv_fund",N$3,$A649))</x:f>
        <x:v>#NAME?</x:v>
      </x:c>
      <x:c r="O649" t="e">
        <x:f>IF($A649="","",[1]!thsiFinD("ths_adjustment_nv_fund",O$3,$A649))</x:f>
        <x:v>#NAME?</x:v>
      </x:c>
      <x:c r="P649" t="e">
        <x:f>IF($A649="","",[1]!thsiFinD("ths_adjustment_nv_fund",P$3,$A649))</x:f>
        <x:v>#NAME?</x:v>
      </x:c>
      <x:c r="Q649" t="e">
        <x:f>IF($A649="","",[1]!thsiFinD("ths_adjustment_nv_fund",Q$3,$A649))</x:f>
        <x:v>#NAME?</x:v>
      </x:c>
      <x:c r="R649" t="e">
        <x:f>IF($A649="","",[1]!thsiFinD("ths_adjustment_nv_fund",R$3,$A649))</x:f>
        <x:v>#NAME?</x:v>
      </x:c>
      <x:c r="S649" t="e">
        <x:f>IF($A649="","",[1]!thsiFinD("ths_adjustment_nv_fund",S$3,$A649))</x:f>
        <x:v>#NAME?</x:v>
      </x:c>
      <x:c r="T649" t="e">
        <x:f>IF($A649="","",[1]!thsiFinD("ths_adjustment_nv_fund",T$3,$A649))</x:f>
        <x:v>#NAME?</x:v>
      </x:c>
      <x:c r="U649" t="e">
        <x:f>IF($A649="","",[1]!thsiFinD("ths_adjustment_nv_fund",U$3,$A649))</x:f>
        <x:v>#NAME?</x:v>
      </x:c>
      <x:c r="V649" t="e">
        <x:f>IF($A649="","",[1]!thsiFinD("ths_adjustment_nv_fund",V$3,$A649))</x:f>
        <x:v>#NAME?</x:v>
      </x:c>
      <x:c r="W649" t="e">
        <x:f>IF($A649="","",[1]!thsiFinD("ths_adjustment_nv_fund",W$3,$A649))</x:f>
        <x:v>#NAME?</x:v>
      </x:c>
      <x:c r="X649" t="e">
        <x:f>IF($A649="","",[1]!thsiFinD("ths_adjustment_nv_fund",X$3,$A649))</x:f>
        <x:v>#NAME?</x:v>
      </x:c>
      <x:c r="Y649" t="e">
        <x:f>IF($A649="","",[1]!thsiFinD("ths_adjustment_nv_fund",Y$3,$A649))</x:f>
        <x:v>#NAME?</x:v>
      </x:c>
    </x:row>
    <x:row r="650">
      <x:c r="B650" t="e">
        <x:f>IF($A650="","",[1]!thsiFinD("ths_adjustment_nv_fund",B$3,$A650))</x:f>
        <x:v>#NAME?</x:v>
      </x:c>
      <x:c r="C650" t="e">
        <x:f>IF($A650="","",[1]!thsiFinD("ths_adjustment_nv_fund",C$3,$A650))</x:f>
        <x:v>#NAME?</x:v>
      </x:c>
      <x:c r="D650" t="e">
        <x:f>IF($A650="","",[1]!thsiFinD("ths_adjustment_nv_fund",D$3,$A650))</x:f>
        <x:v>#NAME?</x:v>
      </x:c>
      <x:c r="E650" t="e">
        <x:f>IF($A650="","",[1]!thsiFinD("ths_adjustment_nv_fund",E$3,$A650))</x:f>
        <x:v>#NAME?</x:v>
      </x:c>
      <x:c r="F650" t="e">
        <x:f>IF($A650="","",[1]!thsiFinD("ths_adjustment_nv_fund",F$3,$A650))</x:f>
        <x:v>#NAME?</x:v>
      </x:c>
      <x:c r="G650" t="e">
        <x:f>IF($A650="","",[1]!thsiFinD("ths_adjustment_nv_fund",G$3,$A650))</x:f>
        <x:v>#NAME?</x:v>
      </x:c>
      <x:c r="H650" t="e">
        <x:f>IF($A650="","",[1]!thsiFinD("ths_adjustment_nv_fund",H$3,$A650))</x:f>
        <x:v>#NAME?</x:v>
      </x:c>
      <x:c r="I650" t="e">
        <x:f>IF($A650="","",[1]!thsiFinD("ths_adjustment_nv_fund",I$3,$A650))</x:f>
        <x:v>#NAME?</x:v>
      </x:c>
      <x:c r="J650" t="e">
        <x:f>IF($A650="","",[1]!thsiFinD("ths_adjustment_nv_fund",J$3,$A650))</x:f>
        <x:v>#NAME?</x:v>
      </x:c>
      <x:c r="K650" t="e">
        <x:f>IF($A650="","",[1]!thsiFinD("ths_adjustment_nv_fund",K$3,$A650))</x:f>
        <x:v>#NAME?</x:v>
      </x:c>
      <x:c r="L650" t="e">
        <x:f>IF($A650="","",[1]!thsiFinD("ths_adjustment_nv_fund",L$3,$A650))</x:f>
        <x:v>#NAME?</x:v>
      </x:c>
      <x:c r="M650" t="e">
        <x:f>IF($A650="","",[1]!thsiFinD("ths_adjustment_nv_fund",M$3,$A650))</x:f>
        <x:v>#NAME?</x:v>
      </x:c>
      <x:c r="N650" t="e">
        <x:f>IF($A650="","",[1]!thsiFinD("ths_adjustment_nv_fund",N$3,$A650))</x:f>
        <x:v>#NAME?</x:v>
      </x:c>
      <x:c r="O650" t="e">
        <x:f>IF($A650="","",[1]!thsiFinD("ths_adjustment_nv_fund",O$3,$A650))</x:f>
        <x:v>#NAME?</x:v>
      </x:c>
      <x:c r="P650" t="e">
        <x:f>IF($A650="","",[1]!thsiFinD("ths_adjustment_nv_fund",P$3,$A650))</x:f>
        <x:v>#NAME?</x:v>
      </x:c>
      <x:c r="Q650" t="e">
        <x:f>IF($A650="","",[1]!thsiFinD("ths_adjustment_nv_fund",Q$3,$A650))</x:f>
        <x:v>#NAME?</x:v>
      </x:c>
      <x:c r="R650" t="e">
        <x:f>IF($A650="","",[1]!thsiFinD("ths_adjustment_nv_fund",R$3,$A650))</x:f>
        <x:v>#NAME?</x:v>
      </x:c>
      <x:c r="S650" t="e">
        <x:f>IF($A650="","",[1]!thsiFinD("ths_adjustment_nv_fund",S$3,$A650))</x:f>
        <x:v>#NAME?</x:v>
      </x:c>
      <x:c r="T650" t="e">
        <x:f>IF($A650="","",[1]!thsiFinD("ths_adjustment_nv_fund",T$3,$A650))</x:f>
        <x:v>#NAME?</x:v>
      </x:c>
      <x:c r="U650" t="e">
        <x:f>IF($A650="","",[1]!thsiFinD("ths_adjustment_nv_fund",U$3,$A650))</x:f>
        <x:v>#NAME?</x:v>
      </x:c>
      <x:c r="V650" t="e">
        <x:f>IF($A650="","",[1]!thsiFinD("ths_adjustment_nv_fund",V$3,$A650))</x:f>
        <x:v>#NAME?</x:v>
      </x:c>
      <x:c r="W650" t="e">
        <x:f>IF($A650="","",[1]!thsiFinD("ths_adjustment_nv_fund",W$3,$A650))</x:f>
        <x:v>#NAME?</x:v>
      </x:c>
      <x:c r="X650" t="e">
        <x:f>IF($A650="","",[1]!thsiFinD("ths_adjustment_nv_fund",X$3,$A650))</x:f>
        <x:v>#NAME?</x:v>
      </x:c>
      <x:c r="Y650" t="e">
        <x:f>IF($A650="","",[1]!thsiFinD("ths_adjustment_nv_fund",Y$3,$A650))</x:f>
        <x:v>#NAME?</x:v>
      </x:c>
    </x:row>
    <x:row r="651">
      <x:c r="B651" t="e">
        <x:f>IF($A651="","",[1]!thsiFinD("ths_adjustment_nv_fund",B$3,$A651))</x:f>
        <x:v>#NAME?</x:v>
      </x:c>
      <x:c r="C651" t="e">
        <x:f>IF($A651="","",[1]!thsiFinD("ths_adjustment_nv_fund",C$3,$A651))</x:f>
        <x:v>#NAME?</x:v>
      </x:c>
      <x:c r="D651" t="e">
        <x:f>IF($A651="","",[1]!thsiFinD("ths_adjustment_nv_fund",D$3,$A651))</x:f>
        <x:v>#NAME?</x:v>
      </x:c>
      <x:c r="E651" t="e">
        <x:f>IF($A651="","",[1]!thsiFinD("ths_adjustment_nv_fund",E$3,$A651))</x:f>
        <x:v>#NAME?</x:v>
      </x:c>
      <x:c r="F651" t="e">
        <x:f>IF($A651="","",[1]!thsiFinD("ths_adjustment_nv_fund",F$3,$A651))</x:f>
        <x:v>#NAME?</x:v>
      </x:c>
      <x:c r="G651" t="e">
        <x:f>IF($A651="","",[1]!thsiFinD("ths_adjustment_nv_fund",G$3,$A651))</x:f>
        <x:v>#NAME?</x:v>
      </x:c>
      <x:c r="H651" t="e">
        <x:f>IF($A651="","",[1]!thsiFinD("ths_adjustment_nv_fund",H$3,$A651))</x:f>
        <x:v>#NAME?</x:v>
      </x:c>
      <x:c r="I651" t="e">
        <x:f>IF($A651="","",[1]!thsiFinD("ths_adjustment_nv_fund",I$3,$A651))</x:f>
        <x:v>#NAME?</x:v>
      </x:c>
      <x:c r="J651" t="e">
        <x:f>IF($A651="","",[1]!thsiFinD("ths_adjustment_nv_fund",J$3,$A651))</x:f>
        <x:v>#NAME?</x:v>
      </x:c>
      <x:c r="K651" t="e">
        <x:f>IF($A651="","",[1]!thsiFinD("ths_adjustment_nv_fund",K$3,$A651))</x:f>
        <x:v>#NAME?</x:v>
      </x:c>
      <x:c r="L651" t="e">
        <x:f>IF($A651="","",[1]!thsiFinD("ths_adjustment_nv_fund",L$3,$A651))</x:f>
        <x:v>#NAME?</x:v>
      </x:c>
      <x:c r="M651" t="e">
        <x:f>IF($A651="","",[1]!thsiFinD("ths_adjustment_nv_fund",M$3,$A651))</x:f>
        <x:v>#NAME?</x:v>
      </x:c>
      <x:c r="N651" t="e">
        <x:f>IF($A651="","",[1]!thsiFinD("ths_adjustment_nv_fund",N$3,$A651))</x:f>
        <x:v>#NAME?</x:v>
      </x:c>
      <x:c r="O651" t="e">
        <x:f>IF($A651="","",[1]!thsiFinD("ths_adjustment_nv_fund",O$3,$A651))</x:f>
        <x:v>#NAME?</x:v>
      </x:c>
      <x:c r="P651" t="e">
        <x:f>IF($A651="","",[1]!thsiFinD("ths_adjustment_nv_fund",P$3,$A651))</x:f>
        <x:v>#NAME?</x:v>
      </x:c>
      <x:c r="Q651" t="e">
        <x:f>IF($A651="","",[1]!thsiFinD("ths_adjustment_nv_fund",Q$3,$A651))</x:f>
        <x:v>#NAME?</x:v>
      </x:c>
      <x:c r="R651" t="e">
        <x:f>IF($A651="","",[1]!thsiFinD("ths_adjustment_nv_fund",R$3,$A651))</x:f>
        <x:v>#NAME?</x:v>
      </x:c>
      <x:c r="S651" t="e">
        <x:f>IF($A651="","",[1]!thsiFinD("ths_adjustment_nv_fund",S$3,$A651))</x:f>
        <x:v>#NAME?</x:v>
      </x:c>
      <x:c r="T651" t="e">
        <x:f>IF($A651="","",[1]!thsiFinD("ths_adjustment_nv_fund",T$3,$A651))</x:f>
        <x:v>#NAME?</x:v>
      </x:c>
      <x:c r="U651" t="e">
        <x:f>IF($A651="","",[1]!thsiFinD("ths_adjustment_nv_fund",U$3,$A651))</x:f>
        <x:v>#NAME?</x:v>
      </x:c>
      <x:c r="V651" t="e">
        <x:f>IF($A651="","",[1]!thsiFinD("ths_adjustment_nv_fund",V$3,$A651))</x:f>
        <x:v>#NAME?</x:v>
      </x:c>
      <x:c r="W651" t="e">
        <x:f>IF($A651="","",[1]!thsiFinD("ths_adjustment_nv_fund",W$3,$A651))</x:f>
        <x:v>#NAME?</x:v>
      </x:c>
      <x:c r="X651" t="e">
        <x:f>IF($A651="","",[1]!thsiFinD("ths_adjustment_nv_fund",X$3,$A651))</x:f>
        <x:v>#NAME?</x:v>
      </x:c>
      <x:c r="Y651" t="e">
        <x:f>IF($A651="","",[1]!thsiFinD("ths_adjustment_nv_fund",Y$3,$A651))</x:f>
        <x:v>#NAME?</x:v>
      </x:c>
    </x:row>
    <x:row r="652">
      <x:c r="B652" t="e">
        <x:f>IF($A652="","",[1]!thsiFinD("ths_adjustment_nv_fund",B$3,$A652))</x:f>
        <x:v>#NAME?</x:v>
      </x:c>
      <x:c r="C652" t="e">
        <x:f>IF($A652="","",[1]!thsiFinD("ths_adjustment_nv_fund",C$3,$A652))</x:f>
        <x:v>#NAME?</x:v>
      </x:c>
      <x:c r="D652" t="e">
        <x:f>IF($A652="","",[1]!thsiFinD("ths_adjustment_nv_fund",D$3,$A652))</x:f>
        <x:v>#NAME?</x:v>
      </x:c>
      <x:c r="E652" t="e">
        <x:f>IF($A652="","",[1]!thsiFinD("ths_adjustment_nv_fund",E$3,$A652))</x:f>
        <x:v>#NAME?</x:v>
      </x:c>
      <x:c r="F652" t="e">
        <x:f>IF($A652="","",[1]!thsiFinD("ths_adjustment_nv_fund",F$3,$A652))</x:f>
        <x:v>#NAME?</x:v>
      </x:c>
      <x:c r="G652" t="e">
        <x:f>IF($A652="","",[1]!thsiFinD("ths_adjustment_nv_fund",G$3,$A652))</x:f>
        <x:v>#NAME?</x:v>
      </x:c>
      <x:c r="H652" t="e">
        <x:f>IF($A652="","",[1]!thsiFinD("ths_adjustment_nv_fund",H$3,$A652))</x:f>
        <x:v>#NAME?</x:v>
      </x:c>
      <x:c r="I652" t="e">
        <x:f>IF($A652="","",[1]!thsiFinD("ths_adjustment_nv_fund",I$3,$A652))</x:f>
        <x:v>#NAME?</x:v>
      </x:c>
      <x:c r="J652" t="e">
        <x:f>IF($A652="","",[1]!thsiFinD("ths_adjustment_nv_fund",J$3,$A652))</x:f>
        <x:v>#NAME?</x:v>
      </x:c>
      <x:c r="K652" t="e">
        <x:f>IF($A652="","",[1]!thsiFinD("ths_adjustment_nv_fund",K$3,$A652))</x:f>
        <x:v>#NAME?</x:v>
      </x:c>
      <x:c r="L652" t="e">
        <x:f>IF($A652="","",[1]!thsiFinD("ths_adjustment_nv_fund",L$3,$A652))</x:f>
        <x:v>#NAME?</x:v>
      </x:c>
      <x:c r="M652" t="e">
        <x:f>IF($A652="","",[1]!thsiFinD("ths_adjustment_nv_fund",M$3,$A652))</x:f>
        <x:v>#NAME?</x:v>
      </x:c>
      <x:c r="N652" t="e">
        <x:f>IF($A652="","",[1]!thsiFinD("ths_adjustment_nv_fund",N$3,$A652))</x:f>
        <x:v>#NAME?</x:v>
      </x:c>
      <x:c r="O652" t="e">
        <x:f>IF($A652="","",[1]!thsiFinD("ths_adjustment_nv_fund",O$3,$A652))</x:f>
        <x:v>#NAME?</x:v>
      </x:c>
      <x:c r="P652" t="e">
        <x:f>IF($A652="","",[1]!thsiFinD("ths_adjustment_nv_fund",P$3,$A652))</x:f>
        <x:v>#NAME?</x:v>
      </x:c>
      <x:c r="Q652" t="e">
        <x:f>IF($A652="","",[1]!thsiFinD("ths_adjustment_nv_fund",Q$3,$A652))</x:f>
        <x:v>#NAME?</x:v>
      </x:c>
      <x:c r="R652" t="e">
        <x:f>IF($A652="","",[1]!thsiFinD("ths_adjustment_nv_fund",R$3,$A652))</x:f>
        <x:v>#NAME?</x:v>
      </x:c>
      <x:c r="S652" t="e">
        <x:f>IF($A652="","",[1]!thsiFinD("ths_adjustment_nv_fund",S$3,$A652))</x:f>
        <x:v>#NAME?</x:v>
      </x:c>
      <x:c r="T652" t="e">
        <x:f>IF($A652="","",[1]!thsiFinD("ths_adjustment_nv_fund",T$3,$A652))</x:f>
        <x:v>#NAME?</x:v>
      </x:c>
      <x:c r="U652" t="e">
        <x:f>IF($A652="","",[1]!thsiFinD("ths_adjustment_nv_fund",U$3,$A652))</x:f>
        <x:v>#NAME?</x:v>
      </x:c>
      <x:c r="V652" t="e">
        <x:f>IF($A652="","",[1]!thsiFinD("ths_adjustment_nv_fund",V$3,$A652))</x:f>
        <x:v>#NAME?</x:v>
      </x:c>
      <x:c r="W652" t="e">
        <x:f>IF($A652="","",[1]!thsiFinD("ths_adjustment_nv_fund",W$3,$A652))</x:f>
        <x:v>#NAME?</x:v>
      </x:c>
      <x:c r="X652" t="e">
        <x:f>IF($A652="","",[1]!thsiFinD("ths_adjustment_nv_fund",X$3,$A652))</x:f>
        <x:v>#NAME?</x:v>
      </x:c>
      <x:c r="Y652" t="e">
        <x:f>IF($A652="","",[1]!thsiFinD("ths_adjustment_nv_fund",Y$3,$A652))</x:f>
        <x:v>#NAME?</x:v>
      </x:c>
    </x:row>
    <x:row r="653">
      <x:c r="B653" t="e">
        <x:f>IF($A653="","",[1]!thsiFinD("ths_adjustment_nv_fund",B$3,$A653))</x:f>
        <x:v>#NAME?</x:v>
      </x:c>
      <x:c r="C653" t="e">
        <x:f>IF($A653="","",[1]!thsiFinD("ths_adjustment_nv_fund",C$3,$A653))</x:f>
        <x:v>#NAME?</x:v>
      </x:c>
      <x:c r="D653" t="e">
        <x:f>IF($A653="","",[1]!thsiFinD("ths_adjustment_nv_fund",D$3,$A653))</x:f>
        <x:v>#NAME?</x:v>
      </x:c>
      <x:c r="E653" t="e">
        <x:f>IF($A653="","",[1]!thsiFinD("ths_adjustment_nv_fund",E$3,$A653))</x:f>
        <x:v>#NAME?</x:v>
      </x:c>
      <x:c r="F653" t="e">
        <x:f>IF($A653="","",[1]!thsiFinD("ths_adjustment_nv_fund",F$3,$A653))</x:f>
        <x:v>#NAME?</x:v>
      </x:c>
      <x:c r="G653" t="e">
        <x:f>IF($A653="","",[1]!thsiFinD("ths_adjustment_nv_fund",G$3,$A653))</x:f>
        <x:v>#NAME?</x:v>
      </x:c>
      <x:c r="H653" t="e">
        <x:f>IF($A653="","",[1]!thsiFinD("ths_adjustment_nv_fund",H$3,$A653))</x:f>
        <x:v>#NAME?</x:v>
      </x:c>
      <x:c r="I653" t="e">
        <x:f>IF($A653="","",[1]!thsiFinD("ths_adjustment_nv_fund",I$3,$A653))</x:f>
        <x:v>#NAME?</x:v>
      </x:c>
      <x:c r="J653" t="e">
        <x:f>IF($A653="","",[1]!thsiFinD("ths_adjustment_nv_fund",J$3,$A653))</x:f>
        <x:v>#NAME?</x:v>
      </x:c>
      <x:c r="K653" t="e">
        <x:f>IF($A653="","",[1]!thsiFinD("ths_adjustment_nv_fund",K$3,$A653))</x:f>
        <x:v>#NAME?</x:v>
      </x:c>
      <x:c r="L653" t="e">
        <x:f>IF($A653="","",[1]!thsiFinD("ths_adjustment_nv_fund",L$3,$A653))</x:f>
        <x:v>#NAME?</x:v>
      </x:c>
      <x:c r="M653" t="e">
        <x:f>IF($A653="","",[1]!thsiFinD("ths_adjustment_nv_fund",M$3,$A653))</x:f>
        <x:v>#NAME?</x:v>
      </x:c>
      <x:c r="N653" t="e">
        <x:f>IF($A653="","",[1]!thsiFinD("ths_adjustment_nv_fund",N$3,$A653))</x:f>
        <x:v>#NAME?</x:v>
      </x:c>
      <x:c r="O653" t="e">
        <x:f>IF($A653="","",[1]!thsiFinD("ths_adjustment_nv_fund",O$3,$A653))</x:f>
        <x:v>#NAME?</x:v>
      </x:c>
      <x:c r="P653" t="e">
        <x:f>IF($A653="","",[1]!thsiFinD("ths_adjustment_nv_fund",P$3,$A653))</x:f>
        <x:v>#NAME?</x:v>
      </x:c>
      <x:c r="Q653" t="e">
        <x:f>IF($A653="","",[1]!thsiFinD("ths_adjustment_nv_fund",Q$3,$A653))</x:f>
        <x:v>#NAME?</x:v>
      </x:c>
      <x:c r="R653" t="e">
        <x:f>IF($A653="","",[1]!thsiFinD("ths_adjustment_nv_fund",R$3,$A653))</x:f>
        <x:v>#NAME?</x:v>
      </x:c>
      <x:c r="S653" t="e">
        <x:f>IF($A653="","",[1]!thsiFinD("ths_adjustment_nv_fund",S$3,$A653))</x:f>
        <x:v>#NAME?</x:v>
      </x:c>
      <x:c r="T653" t="e">
        <x:f>IF($A653="","",[1]!thsiFinD("ths_adjustment_nv_fund",T$3,$A653))</x:f>
        <x:v>#NAME?</x:v>
      </x:c>
      <x:c r="U653" t="e">
        <x:f>IF($A653="","",[1]!thsiFinD("ths_adjustment_nv_fund",U$3,$A653))</x:f>
        <x:v>#NAME?</x:v>
      </x:c>
      <x:c r="V653" t="e">
        <x:f>IF($A653="","",[1]!thsiFinD("ths_adjustment_nv_fund",V$3,$A653))</x:f>
        <x:v>#NAME?</x:v>
      </x:c>
      <x:c r="W653" t="e">
        <x:f>IF($A653="","",[1]!thsiFinD("ths_adjustment_nv_fund",W$3,$A653))</x:f>
        <x:v>#NAME?</x:v>
      </x:c>
      <x:c r="X653" t="e">
        <x:f>IF($A653="","",[1]!thsiFinD("ths_adjustment_nv_fund",X$3,$A653))</x:f>
        <x:v>#NAME?</x:v>
      </x:c>
      <x:c r="Y653" t="e">
        <x:f>IF($A653="","",[1]!thsiFinD("ths_adjustment_nv_fund",Y$3,$A653))</x:f>
        <x:v>#NAME?</x:v>
      </x:c>
    </x:row>
    <x:row r="654">
      <x:c r="B654" t="e">
        <x:f>IF($A654="","",[1]!thsiFinD("ths_adjustment_nv_fund",B$3,$A654))</x:f>
        <x:v>#NAME?</x:v>
      </x:c>
      <x:c r="C654" t="e">
        <x:f>IF($A654="","",[1]!thsiFinD("ths_adjustment_nv_fund",C$3,$A654))</x:f>
        <x:v>#NAME?</x:v>
      </x:c>
      <x:c r="D654" t="e">
        <x:f>IF($A654="","",[1]!thsiFinD("ths_adjustment_nv_fund",D$3,$A654))</x:f>
        <x:v>#NAME?</x:v>
      </x:c>
      <x:c r="E654" t="e">
        <x:f>IF($A654="","",[1]!thsiFinD("ths_adjustment_nv_fund",E$3,$A654))</x:f>
        <x:v>#NAME?</x:v>
      </x:c>
      <x:c r="F654" t="e">
        <x:f>IF($A654="","",[1]!thsiFinD("ths_adjustment_nv_fund",F$3,$A654))</x:f>
        <x:v>#NAME?</x:v>
      </x:c>
      <x:c r="G654" t="e">
        <x:f>IF($A654="","",[1]!thsiFinD("ths_adjustment_nv_fund",G$3,$A654))</x:f>
        <x:v>#NAME?</x:v>
      </x:c>
      <x:c r="H654" t="e">
        <x:f>IF($A654="","",[1]!thsiFinD("ths_adjustment_nv_fund",H$3,$A654))</x:f>
        <x:v>#NAME?</x:v>
      </x:c>
      <x:c r="I654" t="e">
        <x:f>IF($A654="","",[1]!thsiFinD("ths_adjustment_nv_fund",I$3,$A654))</x:f>
        <x:v>#NAME?</x:v>
      </x:c>
      <x:c r="J654" t="e">
        <x:f>IF($A654="","",[1]!thsiFinD("ths_adjustment_nv_fund",J$3,$A654))</x:f>
        <x:v>#NAME?</x:v>
      </x:c>
      <x:c r="K654" t="e">
        <x:f>IF($A654="","",[1]!thsiFinD("ths_adjustment_nv_fund",K$3,$A654))</x:f>
        <x:v>#NAME?</x:v>
      </x:c>
      <x:c r="L654" t="e">
        <x:f>IF($A654="","",[1]!thsiFinD("ths_adjustment_nv_fund",L$3,$A654))</x:f>
        <x:v>#NAME?</x:v>
      </x:c>
      <x:c r="M654" t="e">
        <x:f>IF($A654="","",[1]!thsiFinD("ths_adjustment_nv_fund",M$3,$A654))</x:f>
        <x:v>#NAME?</x:v>
      </x:c>
      <x:c r="N654" t="e">
        <x:f>IF($A654="","",[1]!thsiFinD("ths_adjustment_nv_fund",N$3,$A654))</x:f>
        <x:v>#NAME?</x:v>
      </x:c>
      <x:c r="O654" t="e">
        <x:f>IF($A654="","",[1]!thsiFinD("ths_adjustment_nv_fund",O$3,$A654))</x:f>
        <x:v>#NAME?</x:v>
      </x:c>
      <x:c r="P654" t="e">
        <x:f>IF($A654="","",[1]!thsiFinD("ths_adjustment_nv_fund",P$3,$A654))</x:f>
        <x:v>#NAME?</x:v>
      </x:c>
      <x:c r="Q654" t="e">
        <x:f>IF($A654="","",[1]!thsiFinD("ths_adjustment_nv_fund",Q$3,$A654))</x:f>
        <x:v>#NAME?</x:v>
      </x:c>
      <x:c r="R654" t="e">
        <x:f>IF($A654="","",[1]!thsiFinD("ths_adjustment_nv_fund",R$3,$A654))</x:f>
        <x:v>#NAME?</x:v>
      </x:c>
      <x:c r="S654" t="e">
        <x:f>IF($A654="","",[1]!thsiFinD("ths_adjustment_nv_fund",S$3,$A654))</x:f>
        <x:v>#NAME?</x:v>
      </x:c>
      <x:c r="T654" t="e">
        <x:f>IF($A654="","",[1]!thsiFinD("ths_adjustment_nv_fund",T$3,$A654))</x:f>
        <x:v>#NAME?</x:v>
      </x:c>
      <x:c r="U654" t="e">
        <x:f>IF($A654="","",[1]!thsiFinD("ths_adjustment_nv_fund",U$3,$A654))</x:f>
        <x:v>#NAME?</x:v>
      </x:c>
      <x:c r="V654" t="e">
        <x:f>IF($A654="","",[1]!thsiFinD("ths_adjustment_nv_fund",V$3,$A654))</x:f>
        <x:v>#NAME?</x:v>
      </x:c>
      <x:c r="W654" t="e">
        <x:f>IF($A654="","",[1]!thsiFinD("ths_adjustment_nv_fund",W$3,$A654))</x:f>
        <x:v>#NAME?</x:v>
      </x:c>
      <x:c r="X654" t="e">
        <x:f>IF($A654="","",[1]!thsiFinD("ths_adjustment_nv_fund",X$3,$A654))</x:f>
        <x:v>#NAME?</x:v>
      </x:c>
      <x:c r="Y654" t="e">
        <x:f>IF($A654="","",[1]!thsiFinD("ths_adjustment_nv_fund",Y$3,$A654))</x:f>
        <x:v>#NAME?</x:v>
      </x:c>
    </x:row>
    <x:row r="655">
      <x:c r="B655" t="e">
        <x:f>IF($A655="","",[1]!thsiFinD("ths_adjustment_nv_fund",B$3,$A655))</x:f>
        <x:v>#NAME?</x:v>
      </x:c>
      <x:c r="C655" t="e">
        <x:f>IF($A655="","",[1]!thsiFinD("ths_adjustment_nv_fund",C$3,$A655))</x:f>
        <x:v>#NAME?</x:v>
      </x:c>
      <x:c r="D655" t="e">
        <x:f>IF($A655="","",[1]!thsiFinD("ths_adjustment_nv_fund",D$3,$A655))</x:f>
        <x:v>#NAME?</x:v>
      </x:c>
      <x:c r="E655" t="e">
        <x:f>IF($A655="","",[1]!thsiFinD("ths_adjustment_nv_fund",E$3,$A655))</x:f>
        <x:v>#NAME?</x:v>
      </x:c>
      <x:c r="F655" t="e">
        <x:f>IF($A655="","",[1]!thsiFinD("ths_adjustment_nv_fund",F$3,$A655))</x:f>
        <x:v>#NAME?</x:v>
      </x:c>
      <x:c r="G655" t="e">
        <x:f>IF($A655="","",[1]!thsiFinD("ths_adjustment_nv_fund",G$3,$A655))</x:f>
        <x:v>#NAME?</x:v>
      </x:c>
      <x:c r="H655" t="e">
        <x:f>IF($A655="","",[1]!thsiFinD("ths_adjustment_nv_fund",H$3,$A655))</x:f>
        <x:v>#NAME?</x:v>
      </x:c>
      <x:c r="I655" t="e">
        <x:f>IF($A655="","",[1]!thsiFinD("ths_adjustment_nv_fund",I$3,$A655))</x:f>
        <x:v>#NAME?</x:v>
      </x:c>
      <x:c r="J655" t="e">
        <x:f>IF($A655="","",[1]!thsiFinD("ths_adjustment_nv_fund",J$3,$A655))</x:f>
        <x:v>#NAME?</x:v>
      </x:c>
      <x:c r="K655" t="e">
        <x:f>IF($A655="","",[1]!thsiFinD("ths_adjustment_nv_fund",K$3,$A655))</x:f>
        <x:v>#NAME?</x:v>
      </x:c>
      <x:c r="L655" t="e">
        <x:f>IF($A655="","",[1]!thsiFinD("ths_adjustment_nv_fund",L$3,$A655))</x:f>
        <x:v>#NAME?</x:v>
      </x:c>
      <x:c r="M655" t="e">
        <x:f>IF($A655="","",[1]!thsiFinD("ths_adjustment_nv_fund",M$3,$A655))</x:f>
        <x:v>#NAME?</x:v>
      </x:c>
      <x:c r="N655" t="e">
        <x:f>IF($A655="","",[1]!thsiFinD("ths_adjustment_nv_fund",N$3,$A655))</x:f>
        <x:v>#NAME?</x:v>
      </x:c>
      <x:c r="O655" t="e">
        <x:f>IF($A655="","",[1]!thsiFinD("ths_adjustment_nv_fund",O$3,$A655))</x:f>
        <x:v>#NAME?</x:v>
      </x:c>
      <x:c r="P655" t="e">
        <x:f>IF($A655="","",[1]!thsiFinD("ths_adjustment_nv_fund",P$3,$A655))</x:f>
        <x:v>#NAME?</x:v>
      </x:c>
      <x:c r="Q655" t="e">
        <x:f>IF($A655="","",[1]!thsiFinD("ths_adjustment_nv_fund",Q$3,$A655))</x:f>
        <x:v>#NAME?</x:v>
      </x:c>
      <x:c r="R655" t="e">
        <x:f>IF($A655="","",[1]!thsiFinD("ths_adjustment_nv_fund",R$3,$A655))</x:f>
        <x:v>#NAME?</x:v>
      </x:c>
      <x:c r="S655" t="e">
        <x:f>IF($A655="","",[1]!thsiFinD("ths_adjustment_nv_fund",S$3,$A655))</x:f>
        <x:v>#NAME?</x:v>
      </x:c>
      <x:c r="T655" t="e">
        <x:f>IF($A655="","",[1]!thsiFinD("ths_adjustment_nv_fund",T$3,$A655))</x:f>
        <x:v>#NAME?</x:v>
      </x:c>
      <x:c r="U655" t="e">
        <x:f>IF($A655="","",[1]!thsiFinD("ths_adjustment_nv_fund",U$3,$A655))</x:f>
        <x:v>#NAME?</x:v>
      </x:c>
      <x:c r="V655" t="e">
        <x:f>IF($A655="","",[1]!thsiFinD("ths_adjustment_nv_fund",V$3,$A655))</x:f>
        <x:v>#NAME?</x:v>
      </x:c>
      <x:c r="W655" t="e">
        <x:f>IF($A655="","",[1]!thsiFinD("ths_adjustment_nv_fund",W$3,$A655))</x:f>
        <x:v>#NAME?</x:v>
      </x:c>
      <x:c r="X655" t="e">
        <x:f>IF($A655="","",[1]!thsiFinD("ths_adjustment_nv_fund",X$3,$A655))</x:f>
        <x:v>#NAME?</x:v>
      </x:c>
      <x:c r="Y655" t="e">
        <x:f>IF($A655="","",[1]!thsiFinD("ths_adjustment_nv_fund",Y$3,$A655))</x:f>
        <x:v>#NAME?</x:v>
      </x:c>
    </x:row>
    <x:row r="656">
      <x:c r="B656" t="e">
        <x:f>IF($A656="","",[1]!thsiFinD("ths_adjustment_nv_fund",B$3,$A656))</x:f>
        <x:v>#NAME?</x:v>
      </x:c>
      <x:c r="C656" t="e">
        <x:f>IF($A656="","",[1]!thsiFinD("ths_adjustment_nv_fund",C$3,$A656))</x:f>
        <x:v>#NAME?</x:v>
      </x:c>
      <x:c r="D656" t="e">
        <x:f>IF($A656="","",[1]!thsiFinD("ths_adjustment_nv_fund",D$3,$A656))</x:f>
        <x:v>#NAME?</x:v>
      </x:c>
      <x:c r="E656" t="e">
        <x:f>IF($A656="","",[1]!thsiFinD("ths_adjustment_nv_fund",E$3,$A656))</x:f>
        <x:v>#NAME?</x:v>
      </x:c>
      <x:c r="F656" t="e">
        <x:f>IF($A656="","",[1]!thsiFinD("ths_adjustment_nv_fund",F$3,$A656))</x:f>
        <x:v>#NAME?</x:v>
      </x:c>
      <x:c r="G656" t="e">
        <x:f>IF($A656="","",[1]!thsiFinD("ths_adjustment_nv_fund",G$3,$A656))</x:f>
        <x:v>#NAME?</x:v>
      </x:c>
      <x:c r="H656" t="e">
        <x:f>IF($A656="","",[1]!thsiFinD("ths_adjustment_nv_fund",H$3,$A656))</x:f>
        <x:v>#NAME?</x:v>
      </x:c>
      <x:c r="I656" t="e">
        <x:f>IF($A656="","",[1]!thsiFinD("ths_adjustment_nv_fund",I$3,$A656))</x:f>
        <x:v>#NAME?</x:v>
      </x:c>
      <x:c r="J656" t="e">
        <x:f>IF($A656="","",[1]!thsiFinD("ths_adjustment_nv_fund",J$3,$A656))</x:f>
        <x:v>#NAME?</x:v>
      </x:c>
      <x:c r="K656" t="e">
        <x:f>IF($A656="","",[1]!thsiFinD("ths_adjustment_nv_fund",K$3,$A656))</x:f>
        <x:v>#NAME?</x:v>
      </x:c>
      <x:c r="L656" t="e">
        <x:f>IF($A656="","",[1]!thsiFinD("ths_adjustment_nv_fund",L$3,$A656))</x:f>
        <x:v>#NAME?</x:v>
      </x:c>
      <x:c r="M656" t="e">
        <x:f>IF($A656="","",[1]!thsiFinD("ths_adjustment_nv_fund",M$3,$A656))</x:f>
        <x:v>#NAME?</x:v>
      </x:c>
      <x:c r="N656" t="e">
        <x:f>IF($A656="","",[1]!thsiFinD("ths_adjustment_nv_fund",N$3,$A656))</x:f>
        <x:v>#NAME?</x:v>
      </x:c>
      <x:c r="O656" t="e">
        <x:f>IF($A656="","",[1]!thsiFinD("ths_adjustment_nv_fund",O$3,$A656))</x:f>
        <x:v>#NAME?</x:v>
      </x:c>
      <x:c r="P656" t="e">
        <x:f>IF($A656="","",[1]!thsiFinD("ths_adjustment_nv_fund",P$3,$A656))</x:f>
        <x:v>#NAME?</x:v>
      </x:c>
      <x:c r="Q656" t="e">
        <x:f>IF($A656="","",[1]!thsiFinD("ths_adjustment_nv_fund",Q$3,$A656))</x:f>
        <x:v>#NAME?</x:v>
      </x:c>
      <x:c r="R656" t="e">
        <x:f>IF($A656="","",[1]!thsiFinD("ths_adjustment_nv_fund",R$3,$A656))</x:f>
        <x:v>#NAME?</x:v>
      </x:c>
      <x:c r="S656" t="e">
        <x:f>IF($A656="","",[1]!thsiFinD("ths_adjustment_nv_fund",S$3,$A656))</x:f>
        <x:v>#NAME?</x:v>
      </x:c>
      <x:c r="T656" t="e">
        <x:f>IF($A656="","",[1]!thsiFinD("ths_adjustment_nv_fund",T$3,$A656))</x:f>
        <x:v>#NAME?</x:v>
      </x:c>
      <x:c r="U656" t="e">
        <x:f>IF($A656="","",[1]!thsiFinD("ths_adjustment_nv_fund",U$3,$A656))</x:f>
        <x:v>#NAME?</x:v>
      </x:c>
      <x:c r="V656" t="e">
        <x:f>IF($A656="","",[1]!thsiFinD("ths_adjustment_nv_fund",V$3,$A656))</x:f>
        <x:v>#NAME?</x:v>
      </x:c>
      <x:c r="W656" t="e">
        <x:f>IF($A656="","",[1]!thsiFinD("ths_adjustment_nv_fund",W$3,$A656))</x:f>
        <x:v>#NAME?</x:v>
      </x:c>
      <x:c r="X656" t="e">
        <x:f>IF($A656="","",[1]!thsiFinD("ths_adjustment_nv_fund",X$3,$A656))</x:f>
        <x:v>#NAME?</x:v>
      </x:c>
      <x:c r="Y656" t="e">
        <x:f>IF($A656="","",[1]!thsiFinD("ths_adjustment_nv_fund",Y$3,$A656))</x:f>
        <x:v>#NAME?</x:v>
      </x:c>
    </x:row>
    <x:row r="657">
      <x:c r="B657" t="e">
        <x:f>IF($A657="","",[1]!thsiFinD("ths_adjustment_nv_fund",B$3,$A657))</x:f>
        <x:v>#NAME?</x:v>
      </x:c>
      <x:c r="C657" t="e">
        <x:f>IF($A657="","",[1]!thsiFinD("ths_adjustment_nv_fund",C$3,$A657))</x:f>
        <x:v>#NAME?</x:v>
      </x:c>
      <x:c r="D657" t="e">
        <x:f>IF($A657="","",[1]!thsiFinD("ths_adjustment_nv_fund",D$3,$A657))</x:f>
        <x:v>#NAME?</x:v>
      </x:c>
      <x:c r="E657" t="e">
        <x:f>IF($A657="","",[1]!thsiFinD("ths_adjustment_nv_fund",E$3,$A657))</x:f>
        <x:v>#NAME?</x:v>
      </x:c>
      <x:c r="F657" t="e">
        <x:f>IF($A657="","",[1]!thsiFinD("ths_adjustment_nv_fund",F$3,$A657))</x:f>
        <x:v>#NAME?</x:v>
      </x:c>
      <x:c r="G657" t="e">
        <x:f>IF($A657="","",[1]!thsiFinD("ths_adjustment_nv_fund",G$3,$A657))</x:f>
        <x:v>#NAME?</x:v>
      </x:c>
      <x:c r="H657" t="e">
        <x:f>IF($A657="","",[1]!thsiFinD("ths_adjustment_nv_fund",H$3,$A657))</x:f>
        <x:v>#NAME?</x:v>
      </x:c>
      <x:c r="I657" t="e">
        <x:f>IF($A657="","",[1]!thsiFinD("ths_adjustment_nv_fund",I$3,$A657))</x:f>
        <x:v>#NAME?</x:v>
      </x:c>
      <x:c r="J657" t="e">
        <x:f>IF($A657="","",[1]!thsiFinD("ths_adjustment_nv_fund",J$3,$A657))</x:f>
        <x:v>#NAME?</x:v>
      </x:c>
      <x:c r="K657" t="e">
        <x:f>IF($A657="","",[1]!thsiFinD("ths_adjustment_nv_fund",K$3,$A657))</x:f>
        <x:v>#NAME?</x:v>
      </x:c>
      <x:c r="L657" t="e">
        <x:f>IF($A657="","",[1]!thsiFinD("ths_adjustment_nv_fund",L$3,$A657))</x:f>
        <x:v>#NAME?</x:v>
      </x:c>
      <x:c r="M657" t="e">
        <x:f>IF($A657="","",[1]!thsiFinD("ths_adjustment_nv_fund",M$3,$A657))</x:f>
        <x:v>#NAME?</x:v>
      </x:c>
      <x:c r="N657" t="e">
        <x:f>IF($A657="","",[1]!thsiFinD("ths_adjustment_nv_fund",N$3,$A657))</x:f>
        <x:v>#NAME?</x:v>
      </x:c>
      <x:c r="O657" t="e">
        <x:f>IF($A657="","",[1]!thsiFinD("ths_adjustment_nv_fund",O$3,$A657))</x:f>
        <x:v>#NAME?</x:v>
      </x:c>
      <x:c r="P657" t="e">
        <x:f>IF($A657="","",[1]!thsiFinD("ths_adjustment_nv_fund",P$3,$A657))</x:f>
        <x:v>#NAME?</x:v>
      </x:c>
      <x:c r="Q657" t="e">
        <x:f>IF($A657="","",[1]!thsiFinD("ths_adjustment_nv_fund",Q$3,$A657))</x:f>
        <x:v>#NAME?</x:v>
      </x:c>
      <x:c r="R657" t="e">
        <x:f>IF($A657="","",[1]!thsiFinD("ths_adjustment_nv_fund",R$3,$A657))</x:f>
        <x:v>#NAME?</x:v>
      </x:c>
      <x:c r="S657" t="e">
        <x:f>IF($A657="","",[1]!thsiFinD("ths_adjustment_nv_fund",S$3,$A657))</x:f>
        <x:v>#NAME?</x:v>
      </x:c>
      <x:c r="T657" t="e">
        <x:f>IF($A657="","",[1]!thsiFinD("ths_adjustment_nv_fund",T$3,$A657))</x:f>
        <x:v>#NAME?</x:v>
      </x:c>
      <x:c r="U657" t="e">
        <x:f>IF($A657="","",[1]!thsiFinD("ths_adjustment_nv_fund",U$3,$A657))</x:f>
        <x:v>#NAME?</x:v>
      </x:c>
      <x:c r="V657" t="e">
        <x:f>IF($A657="","",[1]!thsiFinD("ths_adjustment_nv_fund",V$3,$A657))</x:f>
        <x:v>#NAME?</x:v>
      </x:c>
      <x:c r="W657" t="e">
        <x:f>IF($A657="","",[1]!thsiFinD("ths_adjustment_nv_fund",W$3,$A657))</x:f>
        <x:v>#NAME?</x:v>
      </x:c>
      <x:c r="X657" t="e">
        <x:f>IF($A657="","",[1]!thsiFinD("ths_adjustment_nv_fund",X$3,$A657))</x:f>
        <x:v>#NAME?</x:v>
      </x:c>
      <x:c r="Y657" t="e">
        <x:f>IF($A657="","",[1]!thsiFinD("ths_adjustment_nv_fund",Y$3,$A657))</x:f>
        <x:v>#NAME?</x:v>
      </x:c>
    </x:row>
    <x:row r="658">
      <x:c r="B658" t="e">
        <x:f>IF($A658="","",[1]!thsiFinD("ths_adjustment_nv_fund",B$3,$A658))</x:f>
        <x:v>#NAME?</x:v>
      </x:c>
      <x:c r="C658" t="e">
        <x:f>IF($A658="","",[1]!thsiFinD("ths_adjustment_nv_fund",C$3,$A658))</x:f>
        <x:v>#NAME?</x:v>
      </x:c>
      <x:c r="D658" t="e">
        <x:f>IF($A658="","",[1]!thsiFinD("ths_adjustment_nv_fund",D$3,$A658))</x:f>
        <x:v>#NAME?</x:v>
      </x:c>
      <x:c r="E658" t="e">
        <x:f>IF($A658="","",[1]!thsiFinD("ths_adjustment_nv_fund",E$3,$A658))</x:f>
        <x:v>#NAME?</x:v>
      </x:c>
      <x:c r="F658" t="e">
        <x:f>IF($A658="","",[1]!thsiFinD("ths_adjustment_nv_fund",F$3,$A658))</x:f>
        <x:v>#NAME?</x:v>
      </x:c>
      <x:c r="G658" t="e">
        <x:f>IF($A658="","",[1]!thsiFinD("ths_adjustment_nv_fund",G$3,$A658))</x:f>
        <x:v>#NAME?</x:v>
      </x:c>
      <x:c r="H658" t="e">
        <x:f>IF($A658="","",[1]!thsiFinD("ths_adjustment_nv_fund",H$3,$A658))</x:f>
        <x:v>#NAME?</x:v>
      </x:c>
      <x:c r="I658" t="e">
        <x:f>IF($A658="","",[1]!thsiFinD("ths_adjustment_nv_fund",I$3,$A658))</x:f>
        <x:v>#NAME?</x:v>
      </x:c>
      <x:c r="J658" t="e">
        <x:f>IF($A658="","",[1]!thsiFinD("ths_adjustment_nv_fund",J$3,$A658))</x:f>
        <x:v>#NAME?</x:v>
      </x:c>
      <x:c r="K658" t="e">
        <x:f>IF($A658="","",[1]!thsiFinD("ths_adjustment_nv_fund",K$3,$A658))</x:f>
        <x:v>#NAME?</x:v>
      </x:c>
      <x:c r="L658" t="e">
        <x:f>IF($A658="","",[1]!thsiFinD("ths_adjustment_nv_fund",L$3,$A658))</x:f>
        <x:v>#NAME?</x:v>
      </x:c>
      <x:c r="M658" t="e">
        <x:f>IF($A658="","",[1]!thsiFinD("ths_adjustment_nv_fund",M$3,$A658))</x:f>
        <x:v>#NAME?</x:v>
      </x:c>
      <x:c r="N658" t="e">
        <x:f>IF($A658="","",[1]!thsiFinD("ths_adjustment_nv_fund",N$3,$A658))</x:f>
        <x:v>#NAME?</x:v>
      </x:c>
      <x:c r="O658" t="e">
        <x:f>IF($A658="","",[1]!thsiFinD("ths_adjustment_nv_fund",O$3,$A658))</x:f>
        <x:v>#NAME?</x:v>
      </x:c>
      <x:c r="P658" t="e">
        <x:f>IF($A658="","",[1]!thsiFinD("ths_adjustment_nv_fund",P$3,$A658))</x:f>
        <x:v>#NAME?</x:v>
      </x:c>
      <x:c r="Q658" t="e">
        <x:f>IF($A658="","",[1]!thsiFinD("ths_adjustment_nv_fund",Q$3,$A658))</x:f>
        <x:v>#NAME?</x:v>
      </x:c>
      <x:c r="R658" t="e">
        <x:f>IF($A658="","",[1]!thsiFinD("ths_adjustment_nv_fund",R$3,$A658))</x:f>
        <x:v>#NAME?</x:v>
      </x:c>
      <x:c r="S658" t="e">
        <x:f>IF($A658="","",[1]!thsiFinD("ths_adjustment_nv_fund",S$3,$A658))</x:f>
        <x:v>#NAME?</x:v>
      </x:c>
      <x:c r="T658" t="e">
        <x:f>IF($A658="","",[1]!thsiFinD("ths_adjustment_nv_fund",T$3,$A658))</x:f>
        <x:v>#NAME?</x:v>
      </x:c>
      <x:c r="U658" t="e">
        <x:f>IF($A658="","",[1]!thsiFinD("ths_adjustment_nv_fund",U$3,$A658))</x:f>
        <x:v>#NAME?</x:v>
      </x:c>
      <x:c r="V658" t="e">
        <x:f>IF($A658="","",[1]!thsiFinD("ths_adjustment_nv_fund",V$3,$A658))</x:f>
        <x:v>#NAME?</x:v>
      </x:c>
      <x:c r="W658" t="e">
        <x:f>IF($A658="","",[1]!thsiFinD("ths_adjustment_nv_fund",W$3,$A658))</x:f>
        <x:v>#NAME?</x:v>
      </x:c>
      <x:c r="X658" t="e">
        <x:f>IF($A658="","",[1]!thsiFinD("ths_adjustment_nv_fund",X$3,$A658))</x:f>
        <x:v>#NAME?</x:v>
      </x:c>
      <x:c r="Y658" t="e">
        <x:f>IF($A658="","",[1]!thsiFinD("ths_adjustment_nv_fund",Y$3,$A658))</x:f>
        <x:v>#NAME?</x:v>
      </x:c>
    </x:row>
    <x:row r="659">
      <x:c r="B659" t="e">
        <x:f>IF($A659="","",[1]!thsiFinD("ths_adjustment_nv_fund",B$3,$A659))</x:f>
        <x:v>#NAME?</x:v>
      </x:c>
      <x:c r="C659" t="e">
        <x:f>IF($A659="","",[1]!thsiFinD("ths_adjustment_nv_fund",C$3,$A659))</x:f>
        <x:v>#NAME?</x:v>
      </x:c>
      <x:c r="D659" t="e">
        <x:f>IF($A659="","",[1]!thsiFinD("ths_adjustment_nv_fund",D$3,$A659))</x:f>
        <x:v>#NAME?</x:v>
      </x:c>
      <x:c r="E659" t="e">
        <x:f>IF($A659="","",[1]!thsiFinD("ths_adjustment_nv_fund",E$3,$A659))</x:f>
        <x:v>#NAME?</x:v>
      </x:c>
      <x:c r="F659" t="e">
        <x:f>IF($A659="","",[1]!thsiFinD("ths_adjustment_nv_fund",F$3,$A659))</x:f>
        <x:v>#NAME?</x:v>
      </x:c>
      <x:c r="G659" t="e">
        <x:f>IF($A659="","",[1]!thsiFinD("ths_adjustment_nv_fund",G$3,$A659))</x:f>
        <x:v>#NAME?</x:v>
      </x:c>
      <x:c r="H659" t="e">
        <x:f>IF($A659="","",[1]!thsiFinD("ths_adjustment_nv_fund",H$3,$A659))</x:f>
        <x:v>#NAME?</x:v>
      </x:c>
      <x:c r="I659" t="e">
        <x:f>IF($A659="","",[1]!thsiFinD("ths_adjustment_nv_fund",I$3,$A659))</x:f>
        <x:v>#NAME?</x:v>
      </x:c>
      <x:c r="J659" t="e">
        <x:f>IF($A659="","",[1]!thsiFinD("ths_adjustment_nv_fund",J$3,$A659))</x:f>
        <x:v>#NAME?</x:v>
      </x:c>
      <x:c r="K659" t="e">
        <x:f>IF($A659="","",[1]!thsiFinD("ths_adjustment_nv_fund",K$3,$A659))</x:f>
        <x:v>#NAME?</x:v>
      </x:c>
      <x:c r="L659" t="e">
        <x:f>IF($A659="","",[1]!thsiFinD("ths_adjustment_nv_fund",L$3,$A659))</x:f>
        <x:v>#NAME?</x:v>
      </x:c>
      <x:c r="M659" t="e">
        <x:f>IF($A659="","",[1]!thsiFinD("ths_adjustment_nv_fund",M$3,$A659))</x:f>
        <x:v>#NAME?</x:v>
      </x:c>
      <x:c r="N659" t="e">
        <x:f>IF($A659="","",[1]!thsiFinD("ths_adjustment_nv_fund",N$3,$A659))</x:f>
        <x:v>#NAME?</x:v>
      </x:c>
      <x:c r="O659" t="e">
        <x:f>IF($A659="","",[1]!thsiFinD("ths_adjustment_nv_fund",O$3,$A659))</x:f>
        <x:v>#NAME?</x:v>
      </x:c>
      <x:c r="P659" t="e">
        <x:f>IF($A659="","",[1]!thsiFinD("ths_adjustment_nv_fund",P$3,$A659))</x:f>
        <x:v>#NAME?</x:v>
      </x:c>
      <x:c r="Q659" t="e">
        <x:f>IF($A659="","",[1]!thsiFinD("ths_adjustment_nv_fund",Q$3,$A659))</x:f>
        <x:v>#NAME?</x:v>
      </x:c>
      <x:c r="R659" t="e">
        <x:f>IF($A659="","",[1]!thsiFinD("ths_adjustment_nv_fund",R$3,$A659))</x:f>
        <x:v>#NAME?</x:v>
      </x:c>
      <x:c r="S659" t="e">
        <x:f>IF($A659="","",[1]!thsiFinD("ths_adjustment_nv_fund",S$3,$A659))</x:f>
        <x:v>#NAME?</x:v>
      </x:c>
      <x:c r="T659" t="e">
        <x:f>IF($A659="","",[1]!thsiFinD("ths_adjustment_nv_fund",T$3,$A659))</x:f>
        <x:v>#NAME?</x:v>
      </x:c>
      <x:c r="U659" t="e">
        <x:f>IF($A659="","",[1]!thsiFinD("ths_adjustment_nv_fund",U$3,$A659))</x:f>
        <x:v>#NAME?</x:v>
      </x:c>
      <x:c r="V659" t="e">
        <x:f>IF($A659="","",[1]!thsiFinD("ths_adjustment_nv_fund",V$3,$A659))</x:f>
        <x:v>#NAME?</x:v>
      </x:c>
      <x:c r="W659" t="e">
        <x:f>IF($A659="","",[1]!thsiFinD("ths_adjustment_nv_fund",W$3,$A659))</x:f>
        <x:v>#NAME?</x:v>
      </x:c>
      <x:c r="X659" t="e">
        <x:f>IF($A659="","",[1]!thsiFinD("ths_adjustment_nv_fund",X$3,$A659))</x:f>
        <x:v>#NAME?</x:v>
      </x:c>
      <x:c r="Y659" t="e">
        <x:f>IF($A659="","",[1]!thsiFinD("ths_adjustment_nv_fund",Y$3,$A659))</x:f>
        <x:v>#NAME?</x:v>
      </x:c>
    </x:row>
    <x:row r="660">
      <x:c r="B660" t="e">
        <x:f>IF($A660="","",[1]!thsiFinD("ths_adjustment_nv_fund",B$3,$A660))</x:f>
        <x:v>#NAME?</x:v>
      </x:c>
      <x:c r="C660" t="e">
        <x:f>IF($A660="","",[1]!thsiFinD("ths_adjustment_nv_fund",C$3,$A660))</x:f>
        <x:v>#NAME?</x:v>
      </x:c>
      <x:c r="D660" t="e">
        <x:f>IF($A660="","",[1]!thsiFinD("ths_adjustment_nv_fund",D$3,$A660))</x:f>
        <x:v>#NAME?</x:v>
      </x:c>
      <x:c r="E660" t="e">
        <x:f>IF($A660="","",[1]!thsiFinD("ths_adjustment_nv_fund",E$3,$A660))</x:f>
        <x:v>#NAME?</x:v>
      </x:c>
      <x:c r="F660" t="e">
        <x:f>IF($A660="","",[1]!thsiFinD("ths_adjustment_nv_fund",F$3,$A660))</x:f>
        <x:v>#NAME?</x:v>
      </x:c>
      <x:c r="G660" t="e">
        <x:f>IF($A660="","",[1]!thsiFinD("ths_adjustment_nv_fund",G$3,$A660))</x:f>
        <x:v>#NAME?</x:v>
      </x:c>
      <x:c r="H660" t="e">
        <x:f>IF($A660="","",[1]!thsiFinD("ths_adjustment_nv_fund",H$3,$A660))</x:f>
        <x:v>#NAME?</x:v>
      </x:c>
      <x:c r="I660" t="e">
        <x:f>IF($A660="","",[1]!thsiFinD("ths_adjustment_nv_fund",I$3,$A660))</x:f>
        <x:v>#NAME?</x:v>
      </x:c>
      <x:c r="J660" t="e">
        <x:f>IF($A660="","",[1]!thsiFinD("ths_adjustment_nv_fund",J$3,$A660))</x:f>
        <x:v>#NAME?</x:v>
      </x:c>
      <x:c r="K660" t="e">
        <x:f>IF($A660="","",[1]!thsiFinD("ths_adjustment_nv_fund",K$3,$A660))</x:f>
        <x:v>#NAME?</x:v>
      </x:c>
      <x:c r="L660" t="e">
        <x:f>IF($A660="","",[1]!thsiFinD("ths_adjustment_nv_fund",L$3,$A660))</x:f>
        <x:v>#NAME?</x:v>
      </x:c>
      <x:c r="M660" t="e">
        <x:f>IF($A660="","",[1]!thsiFinD("ths_adjustment_nv_fund",M$3,$A660))</x:f>
        <x:v>#NAME?</x:v>
      </x:c>
      <x:c r="N660" t="e">
        <x:f>IF($A660="","",[1]!thsiFinD("ths_adjustment_nv_fund",N$3,$A660))</x:f>
        <x:v>#NAME?</x:v>
      </x:c>
      <x:c r="O660" t="e">
        <x:f>IF($A660="","",[1]!thsiFinD("ths_adjustment_nv_fund",O$3,$A660))</x:f>
        <x:v>#NAME?</x:v>
      </x:c>
      <x:c r="P660" t="e">
        <x:f>IF($A660="","",[1]!thsiFinD("ths_adjustment_nv_fund",P$3,$A660))</x:f>
        <x:v>#NAME?</x:v>
      </x:c>
      <x:c r="Q660" t="e">
        <x:f>IF($A660="","",[1]!thsiFinD("ths_adjustment_nv_fund",Q$3,$A660))</x:f>
        <x:v>#NAME?</x:v>
      </x:c>
      <x:c r="R660" t="e">
        <x:f>IF($A660="","",[1]!thsiFinD("ths_adjustment_nv_fund",R$3,$A660))</x:f>
        <x:v>#NAME?</x:v>
      </x:c>
      <x:c r="S660" t="e">
        <x:f>IF($A660="","",[1]!thsiFinD("ths_adjustment_nv_fund",S$3,$A660))</x:f>
        <x:v>#NAME?</x:v>
      </x:c>
      <x:c r="T660" t="e">
        <x:f>IF($A660="","",[1]!thsiFinD("ths_adjustment_nv_fund",T$3,$A660))</x:f>
        <x:v>#NAME?</x:v>
      </x:c>
      <x:c r="U660" t="e">
        <x:f>IF($A660="","",[1]!thsiFinD("ths_adjustment_nv_fund",U$3,$A660))</x:f>
        <x:v>#NAME?</x:v>
      </x:c>
      <x:c r="V660" t="e">
        <x:f>IF($A660="","",[1]!thsiFinD("ths_adjustment_nv_fund",V$3,$A660))</x:f>
        <x:v>#NAME?</x:v>
      </x:c>
      <x:c r="W660" t="e">
        <x:f>IF($A660="","",[1]!thsiFinD("ths_adjustment_nv_fund",W$3,$A660))</x:f>
        <x:v>#NAME?</x:v>
      </x:c>
      <x:c r="X660" t="e">
        <x:f>IF($A660="","",[1]!thsiFinD("ths_adjustment_nv_fund",X$3,$A660))</x:f>
        <x:v>#NAME?</x:v>
      </x:c>
      <x:c r="Y660" t="e">
        <x:f>IF($A660="","",[1]!thsiFinD("ths_adjustment_nv_fund",Y$3,$A660))</x:f>
        <x:v>#NAME?</x:v>
      </x:c>
    </x:row>
    <x:row r="661">
      <x:c r="B661" t="e">
        <x:f>IF($A661="","",[1]!thsiFinD("ths_adjustment_nv_fund",B$3,$A661))</x:f>
        <x:v>#NAME?</x:v>
      </x:c>
      <x:c r="C661" t="e">
        <x:f>IF($A661="","",[1]!thsiFinD("ths_adjustment_nv_fund",C$3,$A661))</x:f>
        <x:v>#NAME?</x:v>
      </x:c>
      <x:c r="D661" t="e">
        <x:f>IF($A661="","",[1]!thsiFinD("ths_adjustment_nv_fund",D$3,$A661))</x:f>
        <x:v>#NAME?</x:v>
      </x:c>
      <x:c r="E661" t="e">
        <x:f>IF($A661="","",[1]!thsiFinD("ths_adjustment_nv_fund",E$3,$A661))</x:f>
        <x:v>#NAME?</x:v>
      </x:c>
      <x:c r="F661" t="e">
        <x:f>IF($A661="","",[1]!thsiFinD("ths_adjustment_nv_fund",F$3,$A661))</x:f>
        <x:v>#NAME?</x:v>
      </x:c>
      <x:c r="G661" t="e">
        <x:f>IF($A661="","",[1]!thsiFinD("ths_adjustment_nv_fund",G$3,$A661))</x:f>
        <x:v>#NAME?</x:v>
      </x:c>
      <x:c r="H661" t="e">
        <x:f>IF($A661="","",[1]!thsiFinD("ths_adjustment_nv_fund",H$3,$A661))</x:f>
        <x:v>#NAME?</x:v>
      </x:c>
      <x:c r="I661" t="e">
        <x:f>IF($A661="","",[1]!thsiFinD("ths_adjustment_nv_fund",I$3,$A661))</x:f>
        <x:v>#NAME?</x:v>
      </x:c>
      <x:c r="J661" t="e">
        <x:f>IF($A661="","",[1]!thsiFinD("ths_adjustment_nv_fund",J$3,$A661))</x:f>
        <x:v>#NAME?</x:v>
      </x:c>
      <x:c r="K661" t="e">
        <x:f>IF($A661="","",[1]!thsiFinD("ths_adjustment_nv_fund",K$3,$A661))</x:f>
        <x:v>#NAME?</x:v>
      </x:c>
      <x:c r="L661" t="e">
        <x:f>IF($A661="","",[1]!thsiFinD("ths_adjustment_nv_fund",L$3,$A661))</x:f>
        <x:v>#NAME?</x:v>
      </x:c>
      <x:c r="M661" t="e">
        <x:f>IF($A661="","",[1]!thsiFinD("ths_adjustment_nv_fund",M$3,$A661))</x:f>
        <x:v>#NAME?</x:v>
      </x:c>
      <x:c r="N661" t="e">
        <x:f>IF($A661="","",[1]!thsiFinD("ths_adjustment_nv_fund",N$3,$A661))</x:f>
        <x:v>#NAME?</x:v>
      </x:c>
      <x:c r="O661" t="e">
        <x:f>IF($A661="","",[1]!thsiFinD("ths_adjustment_nv_fund",O$3,$A661))</x:f>
        <x:v>#NAME?</x:v>
      </x:c>
      <x:c r="P661" t="e">
        <x:f>IF($A661="","",[1]!thsiFinD("ths_adjustment_nv_fund",P$3,$A661))</x:f>
        <x:v>#NAME?</x:v>
      </x:c>
      <x:c r="Q661" t="e">
        <x:f>IF($A661="","",[1]!thsiFinD("ths_adjustment_nv_fund",Q$3,$A661))</x:f>
        <x:v>#NAME?</x:v>
      </x:c>
      <x:c r="R661" t="e">
        <x:f>IF($A661="","",[1]!thsiFinD("ths_adjustment_nv_fund",R$3,$A661))</x:f>
        <x:v>#NAME?</x:v>
      </x:c>
      <x:c r="S661" t="e">
        <x:f>IF($A661="","",[1]!thsiFinD("ths_adjustment_nv_fund",S$3,$A661))</x:f>
        <x:v>#NAME?</x:v>
      </x:c>
      <x:c r="T661" t="e">
        <x:f>IF($A661="","",[1]!thsiFinD("ths_adjustment_nv_fund",T$3,$A661))</x:f>
        <x:v>#NAME?</x:v>
      </x:c>
      <x:c r="U661" t="e">
        <x:f>IF($A661="","",[1]!thsiFinD("ths_adjustment_nv_fund",U$3,$A661))</x:f>
        <x:v>#NAME?</x:v>
      </x:c>
      <x:c r="V661" t="e">
        <x:f>IF($A661="","",[1]!thsiFinD("ths_adjustment_nv_fund",V$3,$A661))</x:f>
        <x:v>#NAME?</x:v>
      </x:c>
      <x:c r="W661" t="e">
        <x:f>IF($A661="","",[1]!thsiFinD("ths_adjustment_nv_fund",W$3,$A661))</x:f>
        <x:v>#NAME?</x:v>
      </x:c>
      <x:c r="X661" t="e">
        <x:f>IF($A661="","",[1]!thsiFinD("ths_adjustment_nv_fund",X$3,$A661))</x:f>
        <x:v>#NAME?</x:v>
      </x:c>
      <x:c r="Y661" t="e">
        <x:f>IF($A661="","",[1]!thsiFinD("ths_adjustment_nv_fund",Y$3,$A661))</x:f>
        <x:v>#NAME?</x:v>
      </x:c>
    </x:row>
    <x:row r="662">
      <x:c r="B662" t="e">
        <x:f>IF($A662="","",[1]!thsiFinD("ths_adjustment_nv_fund",B$3,$A662))</x:f>
        <x:v>#NAME?</x:v>
      </x:c>
      <x:c r="C662" t="e">
        <x:f>IF($A662="","",[1]!thsiFinD("ths_adjustment_nv_fund",C$3,$A662))</x:f>
        <x:v>#NAME?</x:v>
      </x:c>
      <x:c r="D662" t="e">
        <x:f>IF($A662="","",[1]!thsiFinD("ths_adjustment_nv_fund",D$3,$A662))</x:f>
        <x:v>#NAME?</x:v>
      </x:c>
      <x:c r="E662" t="e">
        <x:f>IF($A662="","",[1]!thsiFinD("ths_adjustment_nv_fund",E$3,$A662))</x:f>
        <x:v>#NAME?</x:v>
      </x:c>
      <x:c r="F662" t="e">
        <x:f>IF($A662="","",[1]!thsiFinD("ths_adjustment_nv_fund",F$3,$A662))</x:f>
        <x:v>#NAME?</x:v>
      </x:c>
      <x:c r="G662" t="e">
        <x:f>IF($A662="","",[1]!thsiFinD("ths_adjustment_nv_fund",G$3,$A662))</x:f>
        <x:v>#NAME?</x:v>
      </x:c>
      <x:c r="H662" t="e">
        <x:f>IF($A662="","",[1]!thsiFinD("ths_adjustment_nv_fund",H$3,$A662))</x:f>
        <x:v>#NAME?</x:v>
      </x:c>
      <x:c r="I662" t="e">
        <x:f>IF($A662="","",[1]!thsiFinD("ths_adjustment_nv_fund",I$3,$A662))</x:f>
        <x:v>#NAME?</x:v>
      </x:c>
      <x:c r="J662" t="e">
        <x:f>IF($A662="","",[1]!thsiFinD("ths_adjustment_nv_fund",J$3,$A662))</x:f>
        <x:v>#NAME?</x:v>
      </x:c>
      <x:c r="K662" t="e">
        <x:f>IF($A662="","",[1]!thsiFinD("ths_adjustment_nv_fund",K$3,$A662))</x:f>
        <x:v>#NAME?</x:v>
      </x:c>
      <x:c r="L662" t="e">
        <x:f>IF($A662="","",[1]!thsiFinD("ths_adjustment_nv_fund",L$3,$A662))</x:f>
        <x:v>#NAME?</x:v>
      </x:c>
      <x:c r="M662" t="e">
        <x:f>IF($A662="","",[1]!thsiFinD("ths_adjustment_nv_fund",M$3,$A662))</x:f>
        <x:v>#NAME?</x:v>
      </x:c>
      <x:c r="N662" t="e">
        <x:f>IF($A662="","",[1]!thsiFinD("ths_adjustment_nv_fund",N$3,$A662))</x:f>
        <x:v>#NAME?</x:v>
      </x:c>
      <x:c r="O662" t="e">
        <x:f>IF($A662="","",[1]!thsiFinD("ths_adjustment_nv_fund",O$3,$A662))</x:f>
        <x:v>#NAME?</x:v>
      </x:c>
      <x:c r="P662" t="e">
        <x:f>IF($A662="","",[1]!thsiFinD("ths_adjustment_nv_fund",P$3,$A662))</x:f>
        <x:v>#NAME?</x:v>
      </x:c>
      <x:c r="Q662" t="e">
        <x:f>IF($A662="","",[1]!thsiFinD("ths_adjustment_nv_fund",Q$3,$A662))</x:f>
        <x:v>#NAME?</x:v>
      </x:c>
      <x:c r="R662" t="e">
        <x:f>IF($A662="","",[1]!thsiFinD("ths_adjustment_nv_fund",R$3,$A662))</x:f>
        <x:v>#NAME?</x:v>
      </x:c>
      <x:c r="S662" t="e">
        <x:f>IF($A662="","",[1]!thsiFinD("ths_adjustment_nv_fund",S$3,$A662))</x:f>
        <x:v>#NAME?</x:v>
      </x:c>
      <x:c r="T662" t="e">
        <x:f>IF($A662="","",[1]!thsiFinD("ths_adjustment_nv_fund",T$3,$A662))</x:f>
        <x:v>#NAME?</x:v>
      </x:c>
      <x:c r="U662" t="e">
        <x:f>IF($A662="","",[1]!thsiFinD("ths_adjustment_nv_fund",U$3,$A662))</x:f>
        <x:v>#NAME?</x:v>
      </x:c>
      <x:c r="V662" t="e">
        <x:f>IF($A662="","",[1]!thsiFinD("ths_adjustment_nv_fund",V$3,$A662))</x:f>
        <x:v>#NAME?</x:v>
      </x:c>
      <x:c r="W662" t="e">
        <x:f>IF($A662="","",[1]!thsiFinD("ths_adjustment_nv_fund",W$3,$A662))</x:f>
        <x:v>#NAME?</x:v>
      </x:c>
      <x:c r="X662" t="e">
        <x:f>IF($A662="","",[1]!thsiFinD("ths_adjustment_nv_fund",X$3,$A662))</x:f>
        <x:v>#NAME?</x:v>
      </x:c>
      <x:c r="Y662" t="e">
        <x:f>IF($A662="","",[1]!thsiFinD("ths_adjustment_nv_fund",Y$3,$A662))</x:f>
        <x:v>#NAME?</x:v>
      </x:c>
    </x:row>
    <x:row r="663">
      <x:c r="B663" t="e">
        <x:f>IF($A663="","",[1]!thsiFinD("ths_adjustment_nv_fund",B$3,$A663))</x:f>
        <x:v>#NAME?</x:v>
      </x:c>
      <x:c r="C663" t="e">
        <x:f>IF($A663="","",[1]!thsiFinD("ths_adjustment_nv_fund",C$3,$A663))</x:f>
        <x:v>#NAME?</x:v>
      </x:c>
      <x:c r="D663" t="e">
        <x:f>IF($A663="","",[1]!thsiFinD("ths_adjustment_nv_fund",D$3,$A663))</x:f>
        <x:v>#NAME?</x:v>
      </x:c>
      <x:c r="E663" t="e">
        <x:f>IF($A663="","",[1]!thsiFinD("ths_adjustment_nv_fund",E$3,$A663))</x:f>
        <x:v>#NAME?</x:v>
      </x:c>
      <x:c r="F663" t="e">
        <x:f>IF($A663="","",[1]!thsiFinD("ths_adjustment_nv_fund",F$3,$A663))</x:f>
        <x:v>#NAME?</x:v>
      </x:c>
      <x:c r="G663" t="e">
        <x:f>IF($A663="","",[1]!thsiFinD("ths_adjustment_nv_fund",G$3,$A663))</x:f>
        <x:v>#NAME?</x:v>
      </x:c>
      <x:c r="H663" t="e">
        <x:f>IF($A663="","",[1]!thsiFinD("ths_adjustment_nv_fund",H$3,$A663))</x:f>
        <x:v>#NAME?</x:v>
      </x:c>
      <x:c r="I663" t="e">
        <x:f>IF($A663="","",[1]!thsiFinD("ths_adjustment_nv_fund",I$3,$A663))</x:f>
        <x:v>#NAME?</x:v>
      </x:c>
      <x:c r="J663" t="e">
        <x:f>IF($A663="","",[1]!thsiFinD("ths_adjustment_nv_fund",J$3,$A663))</x:f>
        <x:v>#NAME?</x:v>
      </x:c>
      <x:c r="K663" t="e">
        <x:f>IF($A663="","",[1]!thsiFinD("ths_adjustment_nv_fund",K$3,$A663))</x:f>
        <x:v>#NAME?</x:v>
      </x:c>
      <x:c r="L663" t="e">
        <x:f>IF($A663="","",[1]!thsiFinD("ths_adjustment_nv_fund",L$3,$A663))</x:f>
        <x:v>#NAME?</x:v>
      </x:c>
      <x:c r="M663" t="e">
        <x:f>IF($A663="","",[1]!thsiFinD("ths_adjustment_nv_fund",M$3,$A663))</x:f>
        <x:v>#NAME?</x:v>
      </x:c>
      <x:c r="N663" t="e">
        <x:f>IF($A663="","",[1]!thsiFinD("ths_adjustment_nv_fund",N$3,$A663))</x:f>
        <x:v>#NAME?</x:v>
      </x:c>
      <x:c r="O663" t="e">
        <x:f>IF($A663="","",[1]!thsiFinD("ths_adjustment_nv_fund",O$3,$A663))</x:f>
        <x:v>#NAME?</x:v>
      </x:c>
      <x:c r="P663" t="e">
        <x:f>IF($A663="","",[1]!thsiFinD("ths_adjustment_nv_fund",P$3,$A663))</x:f>
        <x:v>#NAME?</x:v>
      </x:c>
      <x:c r="Q663" t="e">
        <x:f>IF($A663="","",[1]!thsiFinD("ths_adjustment_nv_fund",Q$3,$A663))</x:f>
        <x:v>#NAME?</x:v>
      </x:c>
      <x:c r="R663" t="e">
        <x:f>IF($A663="","",[1]!thsiFinD("ths_adjustment_nv_fund",R$3,$A663))</x:f>
        <x:v>#NAME?</x:v>
      </x:c>
      <x:c r="S663" t="e">
        <x:f>IF($A663="","",[1]!thsiFinD("ths_adjustment_nv_fund",S$3,$A663))</x:f>
        <x:v>#NAME?</x:v>
      </x:c>
      <x:c r="T663" t="e">
        <x:f>IF($A663="","",[1]!thsiFinD("ths_adjustment_nv_fund",T$3,$A663))</x:f>
        <x:v>#NAME?</x:v>
      </x:c>
      <x:c r="U663" t="e">
        <x:f>IF($A663="","",[1]!thsiFinD("ths_adjustment_nv_fund",U$3,$A663))</x:f>
        <x:v>#NAME?</x:v>
      </x:c>
      <x:c r="V663" t="e">
        <x:f>IF($A663="","",[1]!thsiFinD("ths_adjustment_nv_fund",V$3,$A663))</x:f>
        <x:v>#NAME?</x:v>
      </x:c>
      <x:c r="W663" t="e">
        <x:f>IF($A663="","",[1]!thsiFinD("ths_adjustment_nv_fund",W$3,$A663))</x:f>
        <x:v>#NAME?</x:v>
      </x:c>
      <x:c r="X663" t="e">
        <x:f>IF($A663="","",[1]!thsiFinD("ths_adjustment_nv_fund",X$3,$A663))</x:f>
        <x:v>#NAME?</x:v>
      </x:c>
      <x:c r="Y663" t="e">
        <x:f>IF($A663="","",[1]!thsiFinD("ths_adjustment_nv_fund",Y$3,$A663))</x:f>
        <x:v>#NAME?</x:v>
      </x:c>
    </x:row>
    <x:row r="664">
      <x:c r="B664" t="e">
        <x:f>IF($A664="","",[1]!thsiFinD("ths_adjustment_nv_fund",B$3,$A664))</x:f>
        <x:v>#NAME?</x:v>
      </x:c>
      <x:c r="C664" t="e">
        <x:f>IF($A664="","",[1]!thsiFinD("ths_adjustment_nv_fund",C$3,$A664))</x:f>
        <x:v>#NAME?</x:v>
      </x:c>
      <x:c r="D664" t="e">
        <x:f>IF($A664="","",[1]!thsiFinD("ths_adjustment_nv_fund",D$3,$A664))</x:f>
        <x:v>#NAME?</x:v>
      </x:c>
      <x:c r="E664" t="e">
        <x:f>IF($A664="","",[1]!thsiFinD("ths_adjustment_nv_fund",E$3,$A664))</x:f>
        <x:v>#NAME?</x:v>
      </x:c>
      <x:c r="F664" t="e">
        <x:f>IF($A664="","",[1]!thsiFinD("ths_adjustment_nv_fund",F$3,$A664))</x:f>
        <x:v>#NAME?</x:v>
      </x:c>
      <x:c r="G664" t="e">
        <x:f>IF($A664="","",[1]!thsiFinD("ths_adjustment_nv_fund",G$3,$A664))</x:f>
        <x:v>#NAME?</x:v>
      </x:c>
      <x:c r="H664" t="e">
        <x:f>IF($A664="","",[1]!thsiFinD("ths_adjustment_nv_fund",H$3,$A664))</x:f>
        <x:v>#NAME?</x:v>
      </x:c>
      <x:c r="I664" t="e">
        <x:f>IF($A664="","",[1]!thsiFinD("ths_adjustment_nv_fund",I$3,$A664))</x:f>
        <x:v>#NAME?</x:v>
      </x:c>
      <x:c r="J664" t="e">
        <x:f>IF($A664="","",[1]!thsiFinD("ths_adjustment_nv_fund",J$3,$A664))</x:f>
        <x:v>#NAME?</x:v>
      </x:c>
      <x:c r="K664" t="e">
        <x:f>IF($A664="","",[1]!thsiFinD("ths_adjustment_nv_fund",K$3,$A664))</x:f>
        <x:v>#NAME?</x:v>
      </x:c>
      <x:c r="L664" t="e">
        <x:f>IF($A664="","",[1]!thsiFinD("ths_adjustment_nv_fund",L$3,$A664))</x:f>
        <x:v>#NAME?</x:v>
      </x:c>
      <x:c r="M664" t="e">
        <x:f>IF($A664="","",[1]!thsiFinD("ths_adjustment_nv_fund",M$3,$A664))</x:f>
        <x:v>#NAME?</x:v>
      </x:c>
      <x:c r="N664" t="e">
        <x:f>IF($A664="","",[1]!thsiFinD("ths_adjustment_nv_fund",N$3,$A664))</x:f>
        <x:v>#NAME?</x:v>
      </x:c>
      <x:c r="O664" t="e">
        <x:f>IF($A664="","",[1]!thsiFinD("ths_adjustment_nv_fund",O$3,$A664))</x:f>
        <x:v>#NAME?</x:v>
      </x:c>
      <x:c r="P664" t="e">
        <x:f>IF($A664="","",[1]!thsiFinD("ths_adjustment_nv_fund",P$3,$A664))</x:f>
        <x:v>#NAME?</x:v>
      </x:c>
      <x:c r="Q664" t="e">
        <x:f>IF($A664="","",[1]!thsiFinD("ths_adjustment_nv_fund",Q$3,$A664))</x:f>
        <x:v>#NAME?</x:v>
      </x:c>
      <x:c r="R664" t="e">
        <x:f>IF($A664="","",[1]!thsiFinD("ths_adjustment_nv_fund",R$3,$A664))</x:f>
        <x:v>#NAME?</x:v>
      </x:c>
      <x:c r="S664" t="e">
        <x:f>IF($A664="","",[1]!thsiFinD("ths_adjustment_nv_fund",S$3,$A664))</x:f>
        <x:v>#NAME?</x:v>
      </x:c>
      <x:c r="T664" t="e">
        <x:f>IF($A664="","",[1]!thsiFinD("ths_adjustment_nv_fund",T$3,$A664))</x:f>
        <x:v>#NAME?</x:v>
      </x:c>
      <x:c r="U664" t="e">
        <x:f>IF($A664="","",[1]!thsiFinD("ths_adjustment_nv_fund",U$3,$A664))</x:f>
        <x:v>#NAME?</x:v>
      </x:c>
      <x:c r="V664" t="e">
        <x:f>IF($A664="","",[1]!thsiFinD("ths_adjustment_nv_fund",V$3,$A664))</x:f>
        <x:v>#NAME?</x:v>
      </x:c>
      <x:c r="W664" t="e">
        <x:f>IF($A664="","",[1]!thsiFinD("ths_adjustment_nv_fund",W$3,$A664))</x:f>
        <x:v>#NAME?</x:v>
      </x:c>
      <x:c r="X664" t="e">
        <x:f>IF($A664="","",[1]!thsiFinD("ths_adjustment_nv_fund",X$3,$A664))</x:f>
        <x:v>#NAME?</x:v>
      </x:c>
      <x:c r="Y664" t="e">
        <x:f>IF($A664="","",[1]!thsiFinD("ths_adjustment_nv_fund",Y$3,$A664))</x:f>
        <x:v>#NAME?</x:v>
      </x:c>
    </x:row>
    <x:row r="665">
      <x:c r="B665" t="e">
        <x:f>IF($A665="","",[1]!thsiFinD("ths_adjustment_nv_fund",B$3,$A665))</x:f>
        <x:v>#NAME?</x:v>
      </x:c>
      <x:c r="C665" t="e">
        <x:f>IF($A665="","",[1]!thsiFinD("ths_adjustment_nv_fund",C$3,$A665))</x:f>
        <x:v>#NAME?</x:v>
      </x:c>
      <x:c r="D665" t="e">
        <x:f>IF($A665="","",[1]!thsiFinD("ths_adjustment_nv_fund",D$3,$A665))</x:f>
        <x:v>#NAME?</x:v>
      </x:c>
      <x:c r="E665" t="e">
        <x:f>IF($A665="","",[1]!thsiFinD("ths_adjustment_nv_fund",E$3,$A665))</x:f>
        <x:v>#NAME?</x:v>
      </x:c>
      <x:c r="F665" t="e">
        <x:f>IF($A665="","",[1]!thsiFinD("ths_adjustment_nv_fund",F$3,$A665))</x:f>
        <x:v>#NAME?</x:v>
      </x:c>
      <x:c r="G665" t="e">
        <x:f>IF($A665="","",[1]!thsiFinD("ths_adjustment_nv_fund",G$3,$A665))</x:f>
        <x:v>#NAME?</x:v>
      </x:c>
      <x:c r="H665" t="e">
        <x:f>IF($A665="","",[1]!thsiFinD("ths_adjustment_nv_fund",H$3,$A665))</x:f>
        <x:v>#NAME?</x:v>
      </x:c>
      <x:c r="I665" t="e">
        <x:f>IF($A665="","",[1]!thsiFinD("ths_adjustment_nv_fund",I$3,$A665))</x:f>
        <x:v>#NAME?</x:v>
      </x:c>
      <x:c r="J665" t="e">
        <x:f>IF($A665="","",[1]!thsiFinD("ths_adjustment_nv_fund",J$3,$A665))</x:f>
        <x:v>#NAME?</x:v>
      </x:c>
      <x:c r="K665" t="e">
        <x:f>IF($A665="","",[1]!thsiFinD("ths_adjustment_nv_fund",K$3,$A665))</x:f>
        <x:v>#NAME?</x:v>
      </x:c>
      <x:c r="L665" t="e">
        <x:f>IF($A665="","",[1]!thsiFinD("ths_adjustment_nv_fund",L$3,$A665))</x:f>
        <x:v>#NAME?</x:v>
      </x:c>
      <x:c r="M665" t="e">
        <x:f>IF($A665="","",[1]!thsiFinD("ths_adjustment_nv_fund",M$3,$A665))</x:f>
        <x:v>#NAME?</x:v>
      </x:c>
      <x:c r="N665" t="e">
        <x:f>IF($A665="","",[1]!thsiFinD("ths_adjustment_nv_fund",N$3,$A665))</x:f>
        <x:v>#NAME?</x:v>
      </x:c>
      <x:c r="O665" t="e">
        <x:f>IF($A665="","",[1]!thsiFinD("ths_adjustment_nv_fund",O$3,$A665))</x:f>
        <x:v>#NAME?</x:v>
      </x:c>
      <x:c r="P665" t="e">
        <x:f>IF($A665="","",[1]!thsiFinD("ths_adjustment_nv_fund",P$3,$A665))</x:f>
        <x:v>#NAME?</x:v>
      </x:c>
      <x:c r="Q665" t="e">
        <x:f>IF($A665="","",[1]!thsiFinD("ths_adjustment_nv_fund",Q$3,$A665))</x:f>
        <x:v>#NAME?</x:v>
      </x:c>
      <x:c r="R665" t="e">
        <x:f>IF($A665="","",[1]!thsiFinD("ths_adjustment_nv_fund",R$3,$A665))</x:f>
        <x:v>#NAME?</x:v>
      </x:c>
      <x:c r="S665" t="e">
        <x:f>IF($A665="","",[1]!thsiFinD("ths_adjustment_nv_fund",S$3,$A665))</x:f>
        <x:v>#NAME?</x:v>
      </x:c>
      <x:c r="T665" t="e">
        <x:f>IF($A665="","",[1]!thsiFinD("ths_adjustment_nv_fund",T$3,$A665))</x:f>
        <x:v>#NAME?</x:v>
      </x:c>
      <x:c r="U665" t="e">
        <x:f>IF($A665="","",[1]!thsiFinD("ths_adjustment_nv_fund",U$3,$A665))</x:f>
        <x:v>#NAME?</x:v>
      </x:c>
      <x:c r="V665" t="e">
        <x:f>IF($A665="","",[1]!thsiFinD("ths_adjustment_nv_fund",V$3,$A665))</x:f>
        <x:v>#NAME?</x:v>
      </x:c>
      <x:c r="W665" t="e">
        <x:f>IF($A665="","",[1]!thsiFinD("ths_adjustment_nv_fund",W$3,$A665))</x:f>
        <x:v>#NAME?</x:v>
      </x:c>
      <x:c r="X665" t="e">
        <x:f>IF($A665="","",[1]!thsiFinD("ths_adjustment_nv_fund",X$3,$A665))</x:f>
        <x:v>#NAME?</x:v>
      </x:c>
      <x:c r="Y665" t="e">
        <x:f>IF($A665="","",[1]!thsiFinD("ths_adjustment_nv_fund",Y$3,$A665))</x:f>
        <x:v>#NAME?</x:v>
      </x:c>
    </x:row>
    <x:row r="666">
      <x:c r="B666" t="e">
        <x:f>IF($A666="","",[1]!thsiFinD("ths_adjustment_nv_fund",B$3,$A666))</x:f>
        <x:v>#NAME?</x:v>
      </x:c>
      <x:c r="C666" t="e">
        <x:f>IF($A666="","",[1]!thsiFinD("ths_adjustment_nv_fund",C$3,$A666))</x:f>
        <x:v>#NAME?</x:v>
      </x:c>
      <x:c r="D666" t="e">
        <x:f>IF($A666="","",[1]!thsiFinD("ths_adjustment_nv_fund",D$3,$A666))</x:f>
        <x:v>#NAME?</x:v>
      </x:c>
      <x:c r="E666" t="e">
        <x:f>IF($A666="","",[1]!thsiFinD("ths_adjustment_nv_fund",E$3,$A666))</x:f>
        <x:v>#NAME?</x:v>
      </x:c>
      <x:c r="F666" t="e">
        <x:f>IF($A666="","",[1]!thsiFinD("ths_adjustment_nv_fund",F$3,$A666))</x:f>
        <x:v>#NAME?</x:v>
      </x:c>
      <x:c r="G666" t="e">
        <x:f>IF($A666="","",[1]!thsiFinD("ths_adjustment_nv_fund",G$3,$A666))</x:f>
        <x:v>#NAME?</x:v>
      </x:c>
      <x:c r="H666" t="e">
        <x:f>IF($A666="","",[1]!thsiFinD("ths_adjustment_nv_fund",H$3,$A666))</x:f>
        <x:v>#NAME?</x:v>
      </x:c>
      <x:c r="I666" t="e">
        <x:f>IF($A666="","",[1]!thsiFinD("ths_adjustment_nv_fund",I$3,$A666))</x:f>
        <x:v>#NAME?</x:v>
      </x:c>
      <x:c r="J666" t="e">
        <x:f>IF($A666="","",[1]!thsiFinD("ths_adjustment_nv_fund",J$3,$A666))</x:f>
        <x:v>#NAME?</x:v>
      </x:c>
      <x:c r="K666" t="e">
        <x:f>IF($A666="","",[1]!thsiFinD("ths_adjustment_nv_fund",K$3,$A666))</x:f>
        <x:v>#NAME?</x:v>
      </x:c>
      <x:c r="L666" t="e">
        <x:f>IF($A666="","",[1]!thsiFinD("ths_adjustment_nv_fund",L$3,$A666))</x:f>
        <x:v>#NAME?</x:v>
      </x:c>
      <x:c r="M666" t="e">
        <x:f>IF($A666="","",[1]!thsiFinD("ths_adjustment_nv_fund",M$3,$A666))</x:f>
        <x:v>#NAME?</x:v>
      </x:c>
      <x:c r="N666" t="e">
        <x:f>IF($A666="","",[1]!thsiFinD("ths_adjustment_nv_fund",N$3,$A666))</x:f>
        <x:v>#NAME?</x:v>
      </x:c>
      <x:c r="O666" t="e">
        <x:f>IF($A666="","",[1]!thsiFinD("ths_adjustment_nv_fund",O$3,$A666))</x:f>
        <x:v>#NAME?</x:v>
      </x:c>
      <x:c r="P666" t="e">
        <x:f>IF($A666="","",[1]!thsiFinD("ths_adjustment_nv_fund",P$3,$A666))</x:f>
        <x:v>#NAME?</x:v>
      </x:c>
      <x:c r="Q666" t="e">
        <x:f>IF($A666="","",[1]!thsiFinD("ths_adjustment_nv_fund",Q$3,$A666))</x:f>
        <x:v>#NAME?</x:v>
      </x:c>
      <x:c r="R666" t="e">
        <x:f>IF($A666="","",[1]!thsiFinD("ths_adjustment_nv_fund",R$3,$A666))</x:f>
        <x:v>#NAME?</x:v>
      </x:c>
      <x:c r="S666" t="e">
        <x:f>IF($A666="","",[1]!thsiFinD("ths_adjustment_nv_fund",S$3,$A666))</x:f>
        <x:v>#NAME?</x:v>
      </x:c>
      <x:c r="T666" t="e">
        <x:f>IF($A666="","",[1]!thsiFinD("ths_adjustment_nv_fund",T$3,$A666))</x:f>
        <x:v>#NAME?</x:v>
      </x:c>
      <x:c r="U666" t="e">
        <x:f>IF($A666="","",[1]!thsiFinD("ths_adjustment_nv_fund",U$3,$A666))</x:f>
        <x:v>#NAME?</x:v>
      </x:c>
      <x:c r="V666" t="e">
        <x:f>IF($A666="","",[1]!thsiFinD("ths_adjustment_nv_fund",V$3,$A666))</x:f>
        <x:v>#NAME?</x:v>
      </x:c>
      <x:c r="W666" t="e">
        <x:f>IF($A666="","",[1]!thsiFinD("ths_adjustment_nv_fund",W$3,$A666))</x:f>
        <x:v>#NAME?</x:v>
      </x:c>
      <x:c r="X666" t="e">
        <x:f>IF($A666="","",[1]!thsiFinD("ths_adjustment_nv_fund",X$3,$A666))</x:f>
        <x:v>#NAME?</x:v>
      </x:c>
      <x:c r="Y666" t="e">
        <x:f>IF($A666="","",[1]!thsiFinD("ths_adjustment_nv_fund",Y$3,$A666))</x:f>
        <x:v>#NAME?</x:v>
      </x:c>
    </x:row>
    <x:row r="667">
      <x:c r="B667" t="e">
        <x:f>IF($A667="","",[1]!thsiFinD("ths_adjustment_nv_fund",B$3,$A667))</x:f>
        <x:v>#NAME?</x:v>
      </x:c>
      <x:c r="C667" t="e">
        <x:f>IF($A667="","",[1]!thsiFinD("ths_adjustment_nv_fund",C$3,$A667))</x:f>
        <x:v>#NAME?</x:v>
      </x:c>
      <x:c r="D667" t="e">
        <x:f>IF($A667="","",[1]!thsiFinD("ths_adjustment_nv_fund",D$3,$A667))</x:f>
        <x:v>#NAME?</x:v>
      </x:c>
      <x:c r="E667" t="e">
        <x:f>IF($A667="","",[1]!thsiFinD("ths_adjustment_nv_fund",E$3,$A667))</x:f>
        <x:v>#NAME?</x:v>
      </x:c>
      <x:c r="F667" t="e">
        <x:f>IF($A667="","",[1]!thsiFinD("ths_adjustment_nv_fund",F$3,$A667))</x:f>
        <x:v>#NAME?</x:v>
      </x:c>
      <x:c r="G667" t="e">
        <x:f>IF($A667="","",[1]!thsiFinD("ths_adjustment_nv_fund",G$3,$A667))</x:f>
        <x:v>#NAME?</x:v>
      </x:c>
      <x:c r="H667" t="e">
        <x:f>IF($A667="","",[1]!thsiFinD("ths_adjustment_nv_fund",H$3,$A667))</x:f>
        <x:v>#NAME?</x:v>
      </x:c>
      <x:c r="I667" t="e">
        <x:f>IF($A667="","",[1]!thsiFinD("ths_adjustment_nv_fund",I$3,$A667))</x:f>
        <x:v>#NAME?</x:v>
      </x:c>
      <x:c r="J667" t="e">
        <x:f>IF($A667="","",[1]!thsiFinD("ths_adjustment_nv_fund",J$3,$A667))</x:f>
        <x:v>#NAME?</x:v>
      </x:c>
      <x:c r="K667" t="e">
        <x:f>IF($A667="","",[1]!thsiFinD("ths_adjustment_nv_fund",K$3,$A667))</x:f>
        <x:v>#NAME?</x:v>
      </x:c>
      <x:c r="L667" t="e">
        <x:f>IF($A667="","",[1]!thsiFinD("ths_adjustment_nv_fund",L$3,$A667))</x:f>
        <x:v>#NAME?</x:v>
      </x:c>
      <x:c r="M667" t="e">
        <x:f>IF($A667="","",[1]!thsiFinD("ths_adjustment_nv_fund",M$3,$A667))</x:f>
        <x:v>#NAME?</x:v>
      </x:c>
      <x:c r="N667" t="e">
        <x:f>IF($A667="","",[1]!thsiFinD("ths_adjustment_nv_fund",N$3,$A667))</x:f>
        <x:v>#NAME?</x:v>
      </x:c>
      <x:c r="O667" t="e">
        <x:f>IF($A667="","",[1]!thsiFinD("ths_adjustment_nv_fund",O$3,$A667))</x:f>
        <x:v>#NAME?</x:v>
      </x:c>
      <x:c r="P667" t="e">
        <x:f>IF($A667="","",[1]!thsiFinD("ths_adjustment_nv_fund",P$3,$A667))</x:f>
        <x:v>#NAME?</x:v>
      </x:c>
      <x:c r="Q667" t="e">
        <x:f>IF($A667="","",[1]!thsiFinD("ths_adjustment_nv_fund",Q$3,$A667))</x:f>
        <x:v>#NAME?</x:v>
      </x:c>
      <x:c r="R667" t="e">
        <x:f>IF($A667="","",[1]!thsiFinD("ths_adjustment_nv_fund",R$3,$A667))</x:f>
        <x:v>#NAME?</x:v>
      </x:c>
      <x:c r="S667" t="e">
        <x:f>IF($A667="","",[1]!thsiFinD("ths_adjustment_nv_fund",S$3,$A667))</x:f>
        <x:v>#NAME?</x:v>
      </x:c>
      <x:c r="T667" t="e">
        <x:f>IF($A667="","",[1]!thsiFinD("ths_adjustment_nv_fund",T$3,$A667))</x:f>
        <x:v>#NAME?</x:v>
      </x:c>
      <x:c r="U667" t="e">
        <x:f>IF($A667="","",[1]!thsiFinD("ths_adjustment_nv_fund",U$3,$A667))</x:f>
        <x:v>#NAME?</x:v>
      </x:c>
      <x:c r="V667" t="e">
        <x:f>IF($A667="","",[1]!thsiFinD("ths_adjustment_nv_fund",V$3,$A667))</x:f>
        <x:v>#NAME?</x:v>
      </x:c>
      <x:c r="W667" t="e">
        <x:f>IF($A667="","",[1]!thsiFinD("ths_adjustment_nv_fund",W$3,$A667))</x:f>
        <x:v>#NAME?</x:v>
      </x:c>
      <x:c r="X667" t="e">
        <x:f>IF($A667="","",[1]!thsiFinD("ths_adjustment_nv_fund",X$3,$A667))</x:f>
        <x:v>#NAME?</x:v>
      </x:c>
      <x:c r="Y667" t="e">
        <x:f>IF($A667="","",[1]!thsiFinD("ths_adjustment_nv_fund",Y$3,$A667))</x:f>
        <x:v>#NAME?</x:v>
      </x:c>
    </x:row>
    <x:row r="668">
      <x:c r="B668" t="e">
        <x:f>IF($A668="","",[1]!thsiFinD("ths_adjustment_nv_fund",B$3,$A668))</x:f>
        <x:v>#NAME?</x:v>
      </x:c>
      <x:c r="C668" t="e">
        <x:f>IF($A668="","",[1]!thsiFinD("ths_adjustment_nv_fund",C$3,$A668))</x:f>
        <x:v>#NAME?</x:v>
      </x:c>
      <x:c r="D668" t="e">
        <x:f>IF($A668="","",[1]!thsiFinD("ths_adjustment_nv_fund",D$3,$A668))</x:f>
        <x:v>#NAME?</x:v>
      </x:c>
      <x:c r="E668" t="e">
        <x:f>IF($A668="","",[1]!thsiFinD("ths_adjustment_nv_fund",E$3,$A668))</x:f>
        <x:v>#NAME?</x:v>
      </x:c>
      <x:c r="F668" t="e">
        <x:f>IF($A668="","",[1]!thsiFinD("ths_adjustment_nv_fund",F$3,$A668))</x:f>
        <x:v>#NAME?</x:v>
      </x:c>
      <x:c r="G668" t="e">
        <x:f>IF($A668="","",[1]!thsiFinD("ths_adjustment_nv_fund",G$3,$A668))</x:f>
        <x:v>#NAME?</x:v>
      </x:c>
      <x:c r="H668" t="e">
        <x:f>IF($A668="","",[1]!thsiFinD("ths_adjustment_nv_fund",H$3,$A668))</x:f>
        <x:v>#NAME?</x:v>
      </x:c>
      <x:c r="I668" t="e">
        <x:f>IF($A668="","",[1]!thsiFinD("ths_adjustment_nv_fund",I$3,$A668))</x:f>
        <x:v>#NAME?</x:v>
      </x:c>
      <x:c r="J668" t="e">
        <x:f>IF($A668="","",[1]!thsiFinD("ths_adjustment_nv_fund",J$3,$A668))</x:f>
        <x:v>#NAME?</x:v>
      </x:c>
      <x:c r="K668" t="e">
        <x:f>IF($A668="","",[1]!thsiFinD("ths_adjustment_nv_fund",K$3,$A668))</x:f>
        <x:v>#NAME?</x:v>
      </x:c>
      <x:c r="L668" t="e">
        <x:f>IF($A668="","",[1]!thsiFinD("ths_adjustment_nv_fund",L$3,$A668))</x:f>
        <x:v>#NAME?</x:v>
      </x:c>
      <x:c r="M668" t="e">
        <x:f>IF($A668="","",[1]!thsiFinD("ths_adjustment_nv_fund",M$3,$A668))</x:f>
        <x:v>#NAME?</x:v>
      </x:c>
      <x:c r="N668" t="e">
        <x:f>IF($A668="","",[1]!thsiFinD("ths_adjustment_nv_fund",N$3,$A668))</x:f>
        <x:v>#NAME?</x:v>
      </x:c>
      <x:c r="O668" t="e">
        <x:f>IF($A668="","",[1]!thsiFinD("ths_adjustment_nv_fund",O$3,$A668))</x:f>
        <x:v>#NAME?</x:v>
      </x:c>
      <x:c r="P668" t="e">
        <x:f>IF($A668="","",[1]!thsiFinD("ths_adjustment_nv_fund",P$3,$A668))</x:f>
        <x:v>#NAME?</x:v>
      </x:c>
      <x:c r="Q668" t="e">
        <x:f>IF($A668="","",[1]!thsiFinD("ths_adjustment_nv_fund",Q$3,$A668))</x:f>
        <x:v>#NAME?</x:v>
      </x:c>
      <x:c r="R668" t="e">
        <x:f>IF($A668="","",[1]!thsiFinD("ths_adjustment_nv_fund",R$3,$A668))</x:f>
        <x:v>#NAME?</x:v>
      </x:c>
      <x:c r="S668" t="e">
        <x:f>IF($A668="","",[1]!thsiFinD("ths_adjustment_nv_fund",S$3,$A668))</x:f>
        <x:v>#NAME?</x:v>
      </x:c>
      <x:c r="T668" t="e">
        <x:f>IF($A668="","",[1]!thsiFinD("ths_adjustment_nv_fund",T$3,$A668))</x:f>
        <x:v>#NAME?</x:v>
      </x:c>
      <x:c r="U668" t="e">
        <x:f>IF($A668="","",[1]!thsiFinD("ths_adjustment_nv_fund",U$3,$A668))</x:f>
        <x:v>#NAME?</x:v>
      </x:c>
      <x:c r="V668" t="e">
        <x:f>IF($A668="","",[1]!thsiFinD("ths_adjustment_nv_fund",V$3,$A668))</x:f>
        <x:v>#NAME?</x:v>
      </x:c>
      <x:c r="W668" t="e">
        <x:f>IF($A668="","",[1]!thsiFinD("ths_adjustment_nv_fund",W$3,$A668))</x:f>
        <x:v>#NAME?</x:v>
      </x:c>
      <x:c r="X668" t="e">
        <x:f>IF($A668="","",[1]!thsiFinD("ths_adjustment_nv_fund",X$3,$A668))</x:f>
        <x:v>#NAME?</x:v>
      </x:c>
      <x:c r="Y668" t="e">
        <x:f>IF($A668="","",[1]!thsiFinD("ths_adjustment_nv_fund",Y$3,$A668))</x:f>
        <x:v>#NAME?</x:v>
      </x:c>
    </x:row>
    <x:row r="669">
      <x:c r="B669" t="e">
        <x:f>IF($A669="","",[1]!thsiFinD("ths_adjustment_nv_fund",B$3,$A669))</x:f>
        <x:v>#NAME?</x:v>
      </x:c>
      <x:c r="C669" t="e">
        <x:f>IF($A669="","",[1]!thsiFinD("ths_adjustment_nv_fund",C$3,$A669))</x:f>
        <x:v>#NAME?</x:v>
      </x:c>
      <x:c r="D669" t="e">
        <x:f>IF($A669="","",[1]!thsiFinD("ths_adjustment_nv_fund",D$3,$A669))</x:f>
        <x:v>#NAME?</x:v>
      </x:c>
      <x:c r="E669" t="e">
        <x:f>IF($A669="","",[1]!thsiFinD("ths_adjustment_nv_fund",E$3,$A669))</x:f>
        <x:v>#NAME?</x:v>
      </x:c>
      <x:c r="F669" t="e">
        <x:f>IF($A669="","",[1]!thsiFinD("ths_adjustment_nv_fund",F$3,$A669))</x:f>
        <x:v>#NAME?</x:v>
      </x:c>
      <x:c r="G669" t="e">
        <x:f>IF($A669="","",[1]!thsiFinD("ths_adjustment_nv_fund",G$3,$A669))</x:f>
        <x:v>#NAME?</x:v>
      </x:c>
      <x:c r="H669" t="e">
        <x:f>IF($A669="","",[1]!thsiFinD("ths_adjustment_nv_fund",H$3,$A669))</x:f>
        <x:v>#NAME?</x:v>
      </x:c>
      <x:c r="I669" t="e">
        <x:f>IF($A669="","",[1]!thsiFinD("ths_adjustment_nv_fund",I$3,$A669))</x:f>
        <x:v>#NAME?</x:v>
      </x:c>
      <x:c r="J669" t="e">
        <x:f>IF($A669="","",[1]!thsiFinD("ths_adjustment_nv_fund",J$3,$A669))</x:f>
        <x:v>#NAME?</x:v>
      </x:c>
      <x:c r="K669" t="e">
        <x:f>IF($A669="","",[1]!thsiFinD("ths_adjustment_nv_fund",K$3,$A669))</x:f>
        <x:v>#NAME?</x:v>
      </x:c>
      <x:c r="L669" t="e">
        <x:f>IF($A669="","",[1]!thsiFinD("ths_adjustment_nv_fund",L$3,$A669))</x:f>
        <x:v>#NAME?</x:v>
      </x:c>
      <x:c r="M669" t="e">
        <x:f>IF($A669="","",[1]!thsiFinD("ths_adjustment_nv_fund",M$3,$A669))</x:f>
        <x:v>#NAME?</x:v>
      </x:c>
      <x:c r="N669" t="e">
        <x:f>IF($A669="","",[1]!thsiFinD("ths_adjustment_nv_fund",N$3,$A669))</x:f>
        <x:v>#NAME?</x:v>
      </x:c>
      <x:c r="O669" t="e">
        <x:f>IF($A669="","",[1]!thsiFinD("ths_adjustment_nv_fund",O$3,$A669))</x:f>
        <x:v>#NAME?</x:v>
      </x:c>
      <x:c r="P669" t="e">
        <x:f>IF($A669="","",[1]!thsiFinD("ths_adjustment_nv_fund",P$3,$A669))</x:f>
        <x:v>#NAME?</x:v>
      </x:c>
      <x:c r="Q669" t="e">
        <x:f>IF($A669="","",[1]!thsiFinD("ths_adjustment_nv_fund",Q$3,$A669))</x:f>
        <x:v>#NAME?</x:v>
      </x:c>
      <x:c r="R669" t="e">
        <x:f>IF($A669="","",[1]!thsiFinD("ths_adjustment_nv_fund",R$3,$A669))</x:f>
        <x:v>#NAME?</x:v>
      </x:c>
      <x:c r="S669" t="e">
        <x:f>IF($A669="","",[1]!thsiFinD("ths_adjustment_nv_fund",S$3,$A669))</x:f>
        <x:v>#NAME?</x:v>
      </x:c>
      <x:c r="T669" t="e">
        <x:f>IF($A669="","",[1]!thsiFinD("ths_adjustment_nv_fund",T$3,$A669))</x:f>
        <x:v>#NAME?</x:v>
      </x:c>
      <x:c r="U669" t="e">
        <x:f>IF($A669="","",[1]!thsiFinD("ths_adjustment_nv_fund",U$3,$A669))</x:f>
        <x:v>#NAME?</x:v>
      </x:c>
      <x:c r="V669" t="e">
        <x:f>IF($A669="","",[1]!thsiFinD("ths_adjustment_nv_fund",V$3,$A669))</x:f>
        <x:v>#NAME?</x:v>
      </x:c>
      <x:c r="W669" t="e">
        <x:f>IF($A669="","",[1]!thsiFinD("ths_adjustment_nv_fund",W$3,$A669))</x:f>
        <x:v>#NAME?</x:v>
      </x:c>
      <x:c r="X669" t="e">
        <x:f>IF($A669="","",[1]!thsiFinD("ths_adjustment_nv_fund",X$3,$A669))</x:f>
        <x:v>#NAME?</x:v>
      </x:c>
      <x:c r="Y669" t="e">
        <x:f>IF($A669="","",[1]!thsiFinD("ths_adjustment_nv_fund",Y$3,$A669))</x:f>
        <x:v>#NAME?</x:v>
      </x:c>
    </x:row>
    <x:row r="670">
      <x:c r="B670" t="e">
        <x:f>IF($A670="","",[1]!thsiFinD("ths_adjustment_nv_fund",B$3,$A670))</x:f>
        <x:v>#NAME?</x:v>
      </x:c>
      <x:c r="C670" t="e">
        <x:f>IF($A670="","",[1]!thsiFinD("ths_adjustment_nv_fund",C$3,$A670))</x:f>
        <x:v>#NAME?</x:v>
      </x:c>
      <x:c r="D670" t="e">
        <x:f>IF($A670="","",[1]!thsiFinD("ths_adjustment_nv_fund",D$3,$A670))</x:f>
        <x:v>#NAME?</x:v>
      </x:c>
      <x:c r="E670" t="e">
        <x:f>IF($A670="","",[1]!thsiFinD("ths_adjustment_nv_fund",E$3,$A670))</x:f>
        <x:v>#NAME?</x:v>
      </x:c>
      <x:c r="F670" t="e">
        <x:f>IF($A670="","",[1]!thsiFinD("ths_adjustment_nv_fund",F$3,$A670))</x:f>
        <x:v>#NAME?</x:v>
      </x:c>
      <x:c r="G670" t="e">
        <x:f>IF($A670="","",[1]!thsiFinD("ths_adjustment_nv_fund",G$3,$A670))</x:f>
        <x:v>#NAME?</x:v>
      </x:c>
      <x:c r="H670" t="e">
        <x:f>IF($A670="","",[1]!thsiFinD("ths_adjustment_nv_fund",H$3,$A670))</x:f>
        <x:v>#NAME?</x:v>
      </x:c>
      <x:c r="I670" t="e">
        <x:f>IF($A670="","",[1]!thsiFinD("ths_adjustment_nv_fund",I$3,$A670))</x:f>
        <x:v>#NAME?</x:v>
      </x:c>
      <x:c r="J670" t="e">
        <x:f>IF($A670="","",[1]!thsiFinD("ths_adjustment_nv_fund",J$3,$A670))</x:f>
        <x:v>#NAME?</x:v>
      </x:c>
      <x:c r="K670" t="e">
        <x:f>IF($A670="","",[1]!thsiFinD("ths_adjustment_nv_fund",K$3,$A670))</x:f>
        <x:v>#NAME?</x:v>
      </x:c>
      <x:c r="L670" t="e">
        <x:f>IF($A670="","",[1]!thsiFinD("ths_adjustment_nv_fund",L$3,$A670))</x:f>
        <x:v>#NAME?</x:v>
      </x:c>
      <x:c r="M670" t="e">
        <x:f>IF($A670="","",[1]!thsiFinD("ths_adjustment_nv_fund",M$3,$A670))</x:f>
        <x:v>#NAME?</x:v>
      </x:c>
      <x:c r="N670" t="e">
        <x:f>IF($A670="","",[1]!thsiFinD("ths_adjustment_nv_fund",N$3,$A670))</x:f>
        <x:v>#NAME?</x:v>
      </x:c>
      <x:c r="O670" t="e">
        <x:f>IF($A670="","",[1]!thsiFinD("ths_adjustment_nv_fund",O$3,$A670))</x:f>
        <x:v>#NAME?</x:v>
      </x:c>
      <x:c r="P670" t="e">
        <x:f>IF($A670="","",[1]!thsiFinD("ths_adjustment_nv_fund",P$3,$A670))</x:f>
        <x:v>#NAME?</x:v>
      </x:c>
      <x:c r="Q670" t="e">
        <x:f>IF($A670="","",[1]!thsiFinD("ths_adjustment_nv_fund",Q$3,$A670))</x:f>
        <x:v>#NAME?</x:v>
      </x:c>
      <x:c r="R670" t="e">
        <x:f>IF($A670="","",[1]!thsiFinD("ths_adjustment_nv_fund",R$3,$A670))</x:f>
        <x:v>#NAME?</x:v>
      </x:c>
      <x:c r="S670" t="e">
        <x:f>IF($A670="","",[1]!thsiFinD("ths_adjustment_nv_fund",S$3,$A670))</x:f>
        <x:v>#NAME?</x:v>
      </x:c>
      <x:c r="T670" t="e">
        <x:f>IF($A670="","",[1]!thsiFinD("ths_adjustment_nv_fund",T$3,$A670))</x:f>
        <x:v>#NAME?</x:v>
      </x:c>
      <x:c r="U670" t="e">
        <x:f>IF($A670="","",[1]!thsiFinD("ths_adjustment_nv_fund",U$3,$A670))</x:f>
        <x:v>#NAME?</x:v>
      </x:c>
      <x:c r="V670" t="e">
        <x:f>IF($A670="","",[1]!thsiFinD("ths_adjustment_nv_fund",V$3,$A670))</x:f>
        <x:v>#NAME?</x:v>
      </x:c>
      <x:c r="W670" t="e">
        <x:f>IF($A670="","",[1]!thsiFinD("ths_adjustment_nv_fund",W$3,$A670))</x:f>
        <x:v>#NAME?</x:v>
      </x:c>
      <x:c r="X670" t="e">
        <x:f>IF($A670="","",[1]!thsiFinD("ths_adjustment_nv_fund",X$3,$A670))</x:f>
        <x:v>#NAME?</x:v>
      </x:c>
      <x:c r="Y670" t="e">
        <x:f>IF($A670="","",[1]!thsiFinD("ths_adjustment_nv_fund",Y$3,$A670))</x:f>
        <x:v>#NAME?</x:v>
      </x:c>
    </x:row>
    <x:row r="671">
      <x:c r="B671" t="e">
        <x:f>IF($A671="","",[1]!thsiFinD("ths_adjustment_nv_fund",B$3,$A671))</x:f>
        <x:v>#NAME?</x:v>
      </x:c>
      <x:c r="C671" t="e">
        <x:f>IF($A671="","",[1]!thsiFinD("ths_adjustment_nv_fund",C$3,$A671))</x:f>
        <x:v>#NAME?</x:v>
      </x:c>
      <x:c r="D671" t="e">
        <x:f>IF($A671="","",[1]!thsiFinD("ths_adjustment_nv_fund",D$3,$A671))</x:f>
        <x:v>#NAME?</x:v>
      </x:c>
      <x:c r="E671" t="e">
        <x:f>IF($A671="","",[1]!thsiFinD("ths_adjustment_nv_fund",E$3,$A671))</x:f>
        <x:v>#NAME?</x:v>
      </x:c>
      <x:c r="F671" t="e">
        <x:f>IF($A671="","",[1]!thsiFinD("ths_adjustment_nv_fund",F$3,$A671))</x:f>
        <x:v>#NAME?</x:v>
      </x:c>
      <x:c r="G671" t="e">
        <x:f>IF($A671="","",[1]!thsiFinD("ths_adjustment_nv_fund",G$3,$A671))</x:f>
        <x:v>#NAME?</x:v>
      </x:c>
      <x:c r="H671" t="e">
        <x:f>IF($A671="","",[1]!thsiFinD("ths_adjustment_nv_fund",H$3,$A671))</x:f>
        <x:v>#NAME?</x:v>
      </x:c>
      <x:c r="I671" t="e">
        <x:f>IF($A671="","",[1]!thsiFinD("ths_adjustment_nv_fund",I$3,$A671))</x:f>
        <x:v>#NAME?</x:v>
      </x:c>
      <x:c r="J671" t="e">
        <x:f>IF($A671="","",[1]!thsiFinD("ths_adjustment_nv_fund",J$3,$A671))</x:f>
        <x:v>#NAME?</x:v>
      </x:c>
      <x:c r="K671" t="e">
        <x:f>IF($A671="","",[1]!thsiFinD("ths_adjustment_nv_fund",K$3,$A671))</x:f>
        <x:v>#NAME?</x:v>
      </x:c>
      <x:c r="L671" t="e">
        <x:f>IF($A671="","",[1]!thsiFinD("ths_adjustment_nv_fund",L$3,$A671))</x:f>
        <x:v>#NAME?</x:v>
      </x:c>
      <x:c r="M671" t="e">
        <x:f>IF($A671="","",[1]!thsiFinD("ths_adjustment_nv_fund",M$3,$A671))</x:f>
        <x:v>#NAME?</x:v>
      </x:c>
      <x:c r="N671" t="e">
        <x:f>IF($A671="","",[1]!thsiFinD("ths_adjustment_nv_fund",N$3,$A671))</x:f>
        <x:v>#NAME?</x:v>
      </x:c>
      <x:c r="O671" t="e">
        <x:f>IF($A671="","",[1]!thsiFinD("ths_adjustment_nv_fund",O$3,$A671))</x:f>
        <x:v>#NAME?</x:v>
      </x:c>
      <x:c r="P671" t="e">
        <x:f>IF($A671="","",[1]!thsiFinD("ths_adjustment_nv_fund",P$3,$A671))</x:f>
        <x:v>#NAME?</x:v>
      </x:c>
      <x:c r="Q671" t="e">
        <x:f>IF($A671="","",[1]!thsiFinD("ths_adjustment_nv_fund",Q$3,$A671))</x:f>
        <x:v>#NAME?</x:v>
      </x:c>
      <x:c r="R671" t="e">
        <x:f>IF($A671="","",[1]!thsiFinD("ths_adjustment_nv_fund",R$3,$A671))</x:f>
        <x:v>#NAME?</x:v>
      </x:c>
      <x:c r="S671" t="e">
        <x:f>IF($A671="","",[1]!thsiFinD("ths_adjustment_nv_fund",S$3,$A671))</x:f>
        <x:v>#NAME?</x:v>
      </x:c>
      <x:c r="T671" t="e">
        <x:f>IF($A671="","",[1]!thsiFinD("ths_adjustment_nv_fund",T$3,$A671))</x:f>
        <x:v>#NAME?</x:v>
      </x:c>
      <x:c r="U671" t="e">
        <x:f>IF($A671="","",[1]!thsiFinD("ths_adjustment_nv_fund",U$3,$A671))</x:f>
        <x:v>#NAME?</x:v>
      </x:c>
      <x:c r="V671" t="e">
        <x:f>IF($A671="","",[1]!thsiFinD("ths_adjustment_nv_fund",V$3,$A671))</x:f>
        <x:v>#NAME?</x:v>
      </x:c>
      <x:c r="W671" t="e">
        <x:f>IF($A671="","",[1]!thsiFinD("ths_adjustment_nv_fund",W$3,$A671))</x:f>
        <x:v>#NAME?</x:v>
      </x:c>
      <x:c r="X671" t="e">
        <x:f>IF($A671="","",[1]!thsiFinD("ths_adjustment_nv_fund",X$3,$A671))</x:f>
        <x:v>#NAME?</x:v>
      </x:c>
      <x:c r="Y671" t="e">
        <x:f>IF($A671="","",[1]!thsiFinD("ths_adjustment_nv_fund",Y$3,$A671))</x:f>
        <x:v>#NAME?</x:v>
      </x:c>
    </x:row>
    <x:row r="672">
      <x:c r="B672" t="e">
        <x:f>IF($A672="","",[1]!thsiFinD("ths_adjustment_nv_fund",B$3,$A672))</x:f>
        <x:v>#NAME?</x:v>
      </x:c>
      <x:c r="C672" t="e">
        <x:f>IF($A672="","",[1]!thsiFinD("ths_adjustment_nv_fund",C$3,$A672))</x:f>
        <x:v>#NAME?</x:v>
      </x:c>
      <x:c r="D672" t="e">
        <x:f>IF($A672="","",[1]!thsiFinD("ths_adjustment_nv_fund",D$3,$A672))</x:f>
        <x:v>#NAME?</x:v>
      </x:c>
      <x:c r="E672" t="e">
        <x:f>IF($A672="","",[1]!thsiFinD("ths_adjustment_nv_fund",E$3,$A672))</x:f>
        <x:v>#NAME?</x:v>
      </x:c>
      <x:c r="F672" t="e">
        <x:f>IF($A672="","",[1]!thsiFinD("ths_adjustment_nv_fund",F$3,$A672))</x:f>
        <x:v>#NAME?</x:v>
      </x:c>
      <x:c r="G672" t="e">
        <x:f>IF($A672="","",[1]!thsiFinD("ths_adjustment_nv_fund",G$3,$A672))</x:f>
        <x:v>#NAME?</x:v>
      </x:c>
      <x:c r="H672" t="e">
        <x:f>IF($A672="","",[1]!thsiFinD("ths_adjustment_nv_fund",H$3,$A672))</x:f>
        <x:v>#NAME?</x:v>
      </x:c>
      <x:c r="I672" t="e">
        <x:f>IF($A672="","",[1]!thsiFinD("ths_adjustment_nv_fund",I$3,$A672))</x:f>
        <x:v>#NAME?</x:v>
      </x:c>
      <x:c r="J672" t="e">
        <x:f>IF($A672="","",[1]!thsiFinD("ths_adjustment_nv_fund",J$3,$A672))</x:f>
        <x:v>#NAME?</x:v>
      </x:c>
      <x:c r="K672" t="e">
        <x:f>IF($A672="","",[1]!thsiFinD("ths_adjustment_nv_fund",K$3,$A672))</x:f>
        <x:v>#NAME?</x:v>
      </x:c>
      <x:c r="L672" t="e">
        <x:f>IF($A672="","",[1]!thsiFinD("ths_adjustment_nv_fund",L$3,$A672))</x:f>
        <x:v>#NAME?</x:v>
      </x:c>
      <x:c r="M672" t="e">
        <x:f>IF($A672="","",[1]!thsiFinD("ths_adjustment_nv_fund",M$3,$A672))</x:f>
        <x:v>#NAME?</x:v>
      </x:c>
      <x:c r="N672" t="e">
        <x:f>IF($A672="","",[1]!thsiFinD("ths_adjustment_nv_fund",N$3,$A672))</x:f>
        <x:v>#NAME?</x:v>
      </x:c>
      <x:c r="O672" t="e">
        <x:f>IF($A672="","",[1]!thsiFinD("ths_adjustment_nv_fund",O$3,$A672))</x:f>
        <x:v>#NAME?</x:v>
      </x:c>
      <x:c r="P672" t="e">
        <x:f>IF($A672="","",[1]!thsiFinD("ths_adjustment_nv_fund",P$3,$A672))</x:f>
        <x:v>#NAME?</x:v>
      </x:c>
      <x:c r="Q672" t="e">
        <x:f>IF($A672="","",[1]!thsiFinD("ths_adjustment_nv_fund",Q$3,$A672))</x:f>
        <x:v>#NAME?</x:v>
      </x:c>
      <x:c r="R672" t="e">
        <x:f>IF($A672="","",[1]!thsiFinD("ths_adjustment_nv_fund",R$3,$A672))</x:f>
        <x:v>#NAME?</x:v>
      </x:c>
      <x:c r="S672" t="e">
        <x:f>IF($A672="","",[1]!thsiFinD("ths_adjustment_nv_fund",S$3,$A672))</x:f>
        <x:v>#NAME?</x:v>
      </x:c>
      <x:c r="T672" t="e">
        <x:f>IF($A672="","",[1]!thsiFinD("ths_adjustment_nv_fund",T$3,$A672))</x:f>
        <x:v>#NAME?</x:v>
      </x:c>
      <x:c r="U672" t="e">
        <x:f>IF($A672="","",[1]!thsiFinD("ths_adjustment_nv_fund",U$3,$A672))</x:f>
        <x:v>#NAME?</x:v>
      </x:c>
      <x:c r="V672" t="e">
        <x:f>IF($A672="","",[1]!thsiFinD("ths_adjustment_nv_fund",V$3,$A672))</x:f>
        <x:v>#NAME?</x:v>
      </x:c>
      <x:c r="W672" t="e">
        <x:f>IF($A672="","",[1]!thsiFinD("ths_adjustment_nv_fund",W$3,$A672))</x:f>
        <x:v>#NAME?</x:v>
      </x:c>
      <x:c r="X672" t="e">
        <x:f>IF($A672="","",[1]!thsiFinD("ths_adjustment_nv_fund",X$3,$A672))</x:f>
        <x:v>#NAME?</x:v>
      </x:c>
      <x:c r="Y672" t="e">
        <x:f>IF($A672="","",[1]!thsiFinD("ths_adjustment_nv_fund",Y$3,$A672))</x:f>
        <x:v>#NAME?</x:v>
      </x:c>
    </x:row>
    <x:row r="673">
      <x:c r="B673" t="e">
        <x:f>IF($A673="","",[1]!thsiFinD("ths_adjustment_nv_fund",B$3,$A673))</x:f>
        <x:v>#NAME?</x:v>
      </x:c>
      <x:c r="C673" t="e">
        <x:f>IF($A673="","",[1]!thsiFinD("ths_adjustment_nv_fund",C$3,$A673))</x:f>
        <x:v>#NAME?</x:v>
      </x:c>
      <x:c r="D673" t="e">
        <x:f>IF($A673="","",[1]!thsiFinD("ths_adjustment_nv_fund",D$3,$A673))</x:f>
        <x:v>#NAME?</x:v>
      </x:c>
      <x:c r="E673" t="e">
        <x:f>IF($A673="","",[1]!thsiFinD("ths_adjustment_nv_fund",E$3,$A673))</x:f>
        <x:v>#NAME?</x:v>
      </x:c>
      <x:c r="F673" t="e">
        <x:f>IF($A673="","",[1]!thsiFinD("ths_adjustment_nv_fund",F$3,$A673))</x:f>
        <x:v>#NAME?</x:v>
      </x:c>
      <x:c r="G673" t="e">
        <x:f>IF($A673="","",[1]!thsiFinD("ths_adjustment_nv_fund",G$3,$A673))</x:f>
        <x:v>#NAME?</x:v>
      </x:c>
      <x:c r="H673" t="e">
        <x:f>IF($A673="","",[1]!thsiFinD("ths_adjustment_nv_fund",H$3,$A673))</x:f>
        <x:v>#NAME?</x:v>
      </x:c>
      <x:c r="I673" t="e">
        <x:f>IF($A673="","",[1]!thsiFinD("ths_adjustment_nv_fund",I$3,$A673))</x:f>
        <x:v>#NAME?</x:v>
      </x:c>
      <x:c r="J673" t="e">
        <x:f>IF($A673="","",[1]!thsiFinD("ths_adjustment_nv_fund",J$3,$A673))</x:f>
        <x:v>#NAME?</x:v>
      </x:c>
      <x:c r="K673" t="e">
        <x:f>IF($A673="","",[1]!thsiFinD("ths_adjustment_nv_fund",K$3,$A673))</x:f>
        <x:v>#NAME?</x:v>
      </x:c>
      <x:c r="L673" t="e">
        <x:f>IF($A673="","",[1]!thsiFinD("ths_adjustment_nv_fund",L$3,$A673))</x:f>
        <x:v>#NAME?</x:v>
      </x:c>
      <x:c r="M673" t="e">
        <x:f>IF($A673="","",[1]!thsiFinD("ths_adjustment_nv_fund",M$3,$A673))</x:f>
        <x:v>#NAME?</x:v>
      </x:c>
      <x:c r="N673" t="e">
        <x:f>IF($A673="","",[1]!thsiFinD("ths_adjustment_nv_fund",N$3,$A673))</x:f>
        <x:v>#NAME?</x:v>
      </x:c>
      <x:c r="O673" t="e">
        <x:f>IF($A673="","",[1]!thsiFinD("ths_adjustment_nv_fund",O$3,$A673))</x:f>
        <x:v>#NAME?</x:v>
      </x:c>
      <x:c r="P673" t="e">
        <x:f>IF($A673="","",[1]!thsiFinD("ths_adjustment_nv_fund",P$3,$A673))</x:f>
        <x:v>#NAME?</x:v>
      </x:c>
      <x:c r="Q673" t="e">
        <x:f>IF($A673="","",[1]!thsiFinD("ths_adjustment_nv_fund",Q$3,$A673))</x:f>
        <x:v>#NAME?</x:v>
      </x:c>
      <x:c r="R673" t="e">
        <x:f>IF($A673="","",[1]!thsiFinD("ths_adjustment_nv_fund",R$3,$A673))</x:f>
        <x:v>#NAME?</x:v>
      </x:c>
      <x:c r="S673" t="e">
        <x:f>IF($A673="","",[1]!thsiFinD("ths_adjustment_nv_fund",S$3,$A673))</x:f>
        <x:v>#NAME?</x:v>
      </x:c>
      <x:c r="T673" t="e">
        <x:f>IF($A673="","",[1]!thsiFinD("ths_adjustment_nv_fund",T$3,$A673))</x:f>
        <x:v>#NAME?</x:v>
      </x:c>
      <x:c r="U673" t="e">
        <x:f>IF($A673="","",[1]!thsiFinD("ths_adjustment_nv_fund",U$3,$A673))</x:f>
        <x:v>#NAME?</x:v>
      </x:c>
      <x:c r="V673" t="e">
        <x:f>IF($A673="","",[1]!thsiFinD("ths_adjustment_nv_fund",V$3,$A673))</x:f>
        <x:v>#NAME?</x:v>
      </x:c>
      <x:c r="W673" t="e">
        <x:f>IF($A673="","",[1]!thsiFinD("ths_adjustment_nv_fund",W$3,$A673))</x:f>
        <x:v>#NAME?</x:v>
      </x:c>
      <x:c r="X673" t="e">
        <x:f>IF($A673="","",[1]!thsiFinD("ths_adjustment_nv_fund",X$3,$A673))</x:f>
        <x:v>#NAME?</x:v>
      </x:c>
      <x:c r="Y673" t="e">
        <x:f>IF($A673="","",[1]!thsiFinD("ths_adjustment_nv_fund",Y$3,$A673))</x:f>
        <x:v>#NAME?</x:v>
      </x:c>
    </x:row>
    <x:row r="674">
      <x:c r="B674" t="e">
        <x:f>IF($A674="","",[1]!thsiFinD("ths_adjustment_nv_fund",B$3,$A674))</x:f>
        <x:v>#NAME?</x:v>
      </x:c>
      <x:c r="C674" t="e">
        <x:f>IF($A674="","",[1]!thsiFinD("ths_adjustment_nv_fund",C$3,$A674))</x:f>
        <x:v>#NAME?</x:v>
      </x:c>
      <x:c r="D674" t="e">
        <x:f>IF($A674="","",[1]!thsiFinD("ths_adjustment_nv_fund",D$3,$A674))</x:f>
        <x:v>#NAME?</x:v>
      </x:c>
      <x:c r="E674" t="e">
        <x:f>IF($A674="","",[1]!thsiFinD("ths_adjustment_nv_fund",E$3,$A674))</x:f>
        <x:v>#NAME?</x:v>
      </x:c>
      <x:c r="F674" t="e">
        <x:f>IF($A674="","",[1]!thsiFinD("ths_adjustment_nv_fund",F$3,$A674))</x:f>
        <x:v>#NAME?</x:v>
      </x:c>
      <x:c r="G674" t="e">
        <x:f>IF($A674="","",[1]!thsiFinD("ths_adjustment_nv_fund",G$3,$A674))</x:f>
        <x:v>#NAME?</x:v>
      </x:c>
      <x:c r="H674" t="e">
        <x:f>IF($A674="","",[1]!thsiFinD("ths_adjustment_nv_fund",H$3,$A674))</x:f>
        <x:v>#NAME?</x:v>
      </x:c>
      <x:c r="I674" t="e">
        <x:f>IF($A674="","",[1]!thsiFinD("ths_adjustment_nv_fund",I$3,$A674))</x:f>
        <x:v>#NAME?</x:v>
      </x:c>
      <x:c r="J674" t="e">
        <x:f>IF($A674="","",[1]!thsiFinD("ths_adjustment_nv_fund",J$3,$A674))</x:f>
        <x:v>#NAME?</x:v>
      </x:c>
      <x:c r="K674" t="e">
        <x:f>IF($A674="","",[1]!thsiFinD("ths_adjustment_nv_fund",K$3,$A674))</x:f>
        <x:v>#NAME?</x:v>
      </x:c>
      <x:c r="L674" t="e">
        <x:f>IF($A674="","",[1]!thsiFinD("ths_adjustment_nv_fund",L$3,$A674))</x:f>
        <x:v>#NAME?</x:v>
      </x:c>
      <x:c r="M674" t="e">
        <x:f>IF($A674="","",[1]!thsiFinD("ths_adjustment_nv_fund",M$3,$A674))</x:f>
        <x:v>#NAME?</x:v>
      </x:c>
      <x:c r="N674" t="e">
        <x:f>IF($A674="","",[1]!thsiFinD("ths_adjustment_nv_fund",N$3,$A674))</x:f>
        <x:v>#NAME?</x:v>
      </x:c>
      <x:c r="O674" t="e">
        <x:f>IF($A674="","",[1]!thsiFinD("ths_adjustment_nv_fund",O$3,$A674))</x:f>
        <x:v>#NAME?</x:v>
      </x:c>
      <x:c r="P674" t="e">
        <x:f>IF($A674="","",[1]!thsiFinD("ths_adjustment_nv_fund",P$3,$A674))</x:f>
        <x:v>#NAME?</x:v>
      </x:c>
      <x:c r="Q674" t="e">
        <x:f>IF($A674="","",[1]!thsiFinD("ths_adjustment_nv_fund",Q$3,$A674))</x:f>
        <x:v>#NAME?</x:v>
      </x:c>
      <x:c r="R674" t="e">
        <x:f>IF($A674="","",[1]!thsiFinD("ths_adjustment_nv_fund",R$3,$A674))</x:f>
        <x:v>#NAME?</x:v>
      </x:c>
      <x:c r="S674" t="e">
        <x:f>IF($A674="","",[1]!thsiFinD("ths_adjustment_nv_fund",S$3,$A674))</x:f>
        <x:v>#NAME?</x:v>
      </x:c>
      <x:c r="T674" t="e">
        <x:f>IF($A674="","",[1]!thsiFinD("ths_adjustment_nv_fund",T$3,$A674))</x:f>
        <x:v>#NAME?</x:v>
      </x:c>
      <x:c r="U674" t="e">
        <x:f>IF($A674="","",[1]!thsiFinD("ths_adjustment_nv_fund",U$3,$A674))</x:f>
        <x:v>#NAME?</x:v>
      </x:c>
      <x:c r="V674" t="e">
        <x:f>IF($A674="","",[1]!thsiFinD("ths_adjustment_nv_fund",V$3,$A674))</x:f>
        <x:v>#NAME?</x:v>
      </x:c>
      <x:c r="W674" t="e">
        <x:f>IF($A674="","",[1]!thsiFinD("ths_adjustment_nv_fund",W$3,$A674))</x:f>
        <x:v>#NAME?</x:v>
      </x:c>
      <x:c r="X674" t="e">
        <x:f>IF($A674="","",[1]!thsiFinD("ths_adjustment_nv_fund",X$3,$A674))</x:f>
        <x:v>#NAME?</x:v>
      </x:c>
      <x:c r="Y674" t="e">
        <x:f>IF($A674="","",[1]!thsiFinD("ths_adjustment_nv_fund",Y$3,$A674))</x:f>
        <x:v>#NAME?</x:v>
      </x:c>
    </x:row>
    <x:row r="675">
      <x:c r="B675" t="e">
        <x:f>IF($A675="","",[1]!thsiFinD("ths_adjustment_nv_fund",B$3,$A675))</x:f>
        <x:v>#NAME?</x:v>
      </x:c>
      <x:c r="C675" t="e">
        <x:f>IF($A675="","",[1]!thsiFinD("ths_adjustment_nv_fund",C$3,$A675))</x:f>
        <x:v>#NAME?</x:v>
      </x:c>
      <x:c r="D675" t="e">
        <x:f>IF($A675="","",[1]!thsiFinD("ths_adjustment_nv_fund",D$3,$A675))</x:f>
        <x:v>#NAME?</x:v>
      </x:c>
      <x:c r="E675" t="e">
        <x:f>IF($A675="","",[1]!thsiFinD("ths_adjustment_nv_fund",E$3,$A675))</x:f>
        <x:v>#NAME?</x:v>
      </x:c>
      <x:c r="F675" t="e">
        <x:f>IF($A675="","",[1]!thsiFinD("ths_adjustment_nv_fund",F$3,$A675))</x:f>
        <x:v>#NAME?</x:v>
      </x:c>
      <x:c r="G675" t="e">
        <x:f>IF($A675="","",[1]!thsiFinD("ths_adjustment_nv_fund",G$3,$A675))</x:f>
        <x:v>#NAME?</x:v>
      </x:c>
      <x:c r="H675" t="e">
        <x:f>IF($A675="","",[1]!thsiFinD("ths_adjustment_nv_fund",H$3,$A675))</x:f>
        <x:v>#NAME?</x:v>
      </x:c>
      <x:c r="I675" t="e">
        <x:f>IF($A675="","",[1]!thsiFinD("ths_adjustment_nv_fund",I$3,$A675))</x:f>
        <x:v>#NAME?</x:v>
      </x:c>
      <x:c r="J675" t="e">
        <x:f>IF($A675="","",[1]!thsiFinD("ths_adjustment_nv_fund",J$3,$A675))</x:f>
        <x:v>#NAME?</x:v>
      </x:c>
      <x:c r="K675" t="e">
        <x:f>IF($A675="","",[1]!thsiFinD("ths_adjustment_nv_fund",K$3,$A675))</x:f>
        <x:v>#NAME?</x:v>
      </x:c>
      <x:c r="L675" t="e">
        <x:f>IF($A675="","",[1]!thsiFinD("ths_adjustment_nv_fund",L$3,$A675))</x:f>
        <x:v>#NAME?</x:v>
      </x:c>
      <x:c r="M675" t="e">
        <x:f>IF($A675="","",[1]!thsiFinD("ths_adjustment_nv_fund",M$3,$A675))</x:f>
        <x:v>#NAME?</x:v>
      </x:c>
      <x:c r="N675" t="e">
        <x:f>IF($A675="","",[1]!thsiFinD("ths_adjustment_nv_fund",N$3,$A675))</x:f>
        <x:v>#NAME?</x:v>
      </x:c>
      <x:c r="O675" t="e">
        <x:f>IF($A675="","",[1]!thsiFinD("ths_adjustment_nv_fund",O$3,$A675))</x:f>
        <x:v>#NAME?</x:v>
      </x:c>
      <x:c r="P675" t="e">
        <x:f>IF($A675="","",[1]!thsiFinD("ths_adjustment_nv_fund",P$3,$A675))</x:f>
        <x:v>#NAME?</x:v>
      </x:c>
      <x:c r="Q675" t="e">
        <x:f>IF($A675="","",[1]!thsiFinD("ths_adjustment_nv_fund",Q$3,$A675))</x:f>
        <x:v>#NAME?</x:v>
      </x:c>
      <x:c r="R675" t="e">
        <x:f>IF($A675="","",[1]!thsiFinD("ths_adjustment_nv_fund",R$3,$A675))</x:f>
        <x:v>#NAME?</x:v>
      </x:c>
      <x:c r="S675" t="e">
        <x:f>IF($A675="","",[1]!thsiFinD("ths_adjustment_nv_fund",S$3,$A675))</x:f>
        <x:v>#NAME?</x:v>
      </x:c>
      <x:c r="T675" t="e">
        <x:f>IF($A675="","",[1]!thsiFinD("ths_adjustment_nv_fund",T$3,$A675))</x:f>
        <x:v>#NAME?</x:v>
      </x:c>
      <x:c r="U675" t="e">
        <x:f>IF($A675="","",[1]!thsiFinD("ths_adjustment_nv_fund",U$3,$A675))</x:f>
        <x:v>#NAME?</x:v>
      </x:c>
      <x:c r="V675" t="e">
        <x:f>IF($A675="","",[1]!thsiFinD("ths_adjustment_nv_fund",V$3,$A675))</x:f>
        <x:v>#NAME?</x:v>
      </x:c>
      <x:c r="W675" t="e">
        <x:f>IF($A675="","",[1]!thsiFinD("ths_adjustment_nv_fund",W$3,$A675))</x:f>
        <x:v>#NAME?</x:v>
      </x:c>
      <x:c r="X675" t="e">
        <x:f>IF($A675="","",[1]!thsiFinD("ths_adjustment_nv_fund",X$3,$A675))</x:f>
        <x:v>#NAME?</x:v>
      </x:c>
      <x:c r="Y675" t="e">
        <x:f>IF($A675="","",[1]!thsiFinD("ths_adjustment_nv_fund",Y$3,$A675))</x:f>
        <x:v>#NAME?</x:v>
      </x:c>
    </x:row>
    <x:row r="676">
      <x:c r="B676" t="e">
        <x:f>IF($A676="","",[1]!thsiFinD("ths_adjustment_nv_fund",B$3,$A676))</x:f>
        <x:v>#NAME?</x:v>
      </x:c>
      <x:c r="C676" t="e">
        <x:f>IF($A676="","",[1]!thsiFinD("ths_adjustment_nv_fund",C$3,$A676))</x:f>
        <x:v>#NAME?</x:v>
      </x:c>
      <x:c r="D676" t="e">
        <x:f>IF($A676="","",[1]!thsiFinD("ths_adjustment_nv_fund",D$3,$A676))</x:f>
        <x:v>#NAME?</x:v>
      </x:c>
      <x:c r="E676" t="e">
        <x:f>IF($A676="","",[1]!thsiFinD("ths_adjustment_nv_fund",E$3,$A676))</x:f>
        <x:v>#NAME?</x:v>
      </x:c>
      <x:c r="F676" t="e">
        <x:f>IF($A676="","",[1]!thsiFinD("ths_adjustment_nv_fund",F$3,$A676))</x:f>
        <x:v>#NAME?</x:v>
      </x:c>
      <x:c r="G676" t="e">
        <x:f>IF($A676="","",[1]!thsiFinD("ths_adjustment_nv_fund",G$3,$A676))</x:f>
        <x:v>#NAME?</x:v>
      </x:c>
      <x:c r="H676" t="e">
        <x:f>IF($A676="","",[1]!thsiFinD("ths_adjustment_nv_fund",H$3,$A676))</x:f>
        <x:v>#NAME?</x:v>
      </x:c>
      <x:c r="I676" t="e">
        <x:f>IF($A676="","",[1]!thsiFinD("ths_adjustment_nv_fund",I$3,$A676))</x:f>
        <x:v>#NAME?</x:v>
      </x:c>
      <x:c r="J676" t="e">
        <x:f>IF($A676="","",[1]!thsiFinD("ths_adjustment_nv_fund",J$3,$A676))</x:f>
        <x:v>#NAME?</x:v>
      </x:c>
      <x:c r="K676" t="e">
        <x:f>IF($A676="","",[1]!thsiFinD("ths_adjustment_nv_fund",K$3,$A676))</x:f>
        <x:v>#NAME?</x:v>
      </x:c>
      <x:c r="L676" t="e">
        <x:f>IF($A676="","",[1]!thsiFinD("ths_adjustment_nv_fund",L$3,$A676))</x:f>
        <x:v>#NAME?</x:v>
      </x:c>
      <x:c r="M676" t="e">
        <x:f>IF($A676="","",[1]!thsiFinD("ths_adjustment_nv_fund",M$3,$A676))</x:f>
        <x:v>#NAME?</x:v>
      </x:c>
      <x:c r="N676" t="e">
        <x:f>IF($A676="","",[1]!thsiFinD("ths_adjustment_nv_fund",N$3,$A676))</x:f>
        <x:v>#NAME?</x:v>
      </x:c>
      <x:c r="O676" t="e">
        <x:f>IF($A676="","",[1]!thsiFinD("ths_adjustment_nv_fund",O$3,$A676))</x:f>
        <x:v>#NAME?</x:v>
      </x:c>
      <x:c r="P676" t="e">
        <x:f>IF($A676="","",[1]!thsiFinD("ths_adjustment_nv_fund",P$3,$A676))</x:f>
        <x:v>#NAME?</x:v>
      </x:c>
      <x:c r="Q676" t="e">
        <x:f>IF($A676="","",[1]!thsiFinD("ths_adjustment_nv_fund",Q$3,$A676))</x:f>
        <x:v>#NAME?</x:v>
      </x:c>
      <x:c r="R676" t="e">
        <x:f>IF($A676="","",[1]!thsiFinD("ths_adjustment_nv_fund",R$3,$A676))</x:f>
        <x:v>#NAME?</x:v>
      </x:c>
      <x:c r="S676" t="e">
        <x:f>IF($A676="","",[1]!thsiFinD("ths_adjustment_nv_fund",S$3,$A676))</x:f>
        <x:v>#NAME?</x:v>
      </x:c>
      <x:c r="T676" t="e">
        <x:f>IF($A676="","",[1]!thsiFinD("ths_adjustment_nv_fund",T$3,$A676))</x:f>
        <x:v>#NAME?</x:v>
      </x:c>
      <x:c r="U676" t="e">
        <x:f>IF($A676="","",[1]!thsiFinD("ths_adjustment_nv_fund",U$3,$A676))</x:f>
        <x:v>#NAME?</x:v>
      </x:c>
      <x:c r="V676" t="e">
        <x:f>IF($A676="","",[1]!thsiFinD("ths_adjustment_nv_fund",V$3,$A676))</x:f>
        <x:v>#NAME?</x:v>
      </x:c>
      <x:c r="W676" t="e">
        <x:f>IF($A676="","",[1]!thsiFinD("ths_adjustment_nv_fund",W$3,$A676))</x:f>
        <x:v>#NAME?</x:v>
      </x:c>
      <x:c r="X676" t="e">
        <x:f>IF($A676="","",[1]!thsiFinD("ths_adjustment_nv_fund",X$3,$A676))</x:f>
        <x:v>#NAME?</x:v>
      </x:c>
      <x:c r="Y676" t="e">
        <x:f>IF($A676="","",[1]!thsiFinD("ths_adjustment_nv_fund",Y$3,$A676))</x:f>
        <x:v>#NAME?</x:v>
      </x:c>
    </x:row>
    <x:row r="677">
      <x:c r="B677" t="e">
        <x:f>IF($A677="","",[1]!thsiFinD("ths_adjustment_nv_fund",B$3,$A677))</x:f>
        <x:v>#NAME?</x:v>
      </x:c>
      <x:c r="C677" t="e">
        <x:f>IF($A677="","",[1]!thsiFinD("ths_adjustment_nv_fund",C$3,$A677))</x:f>
        <x:v>#NAME?</x:v>
      </x:c>
      <x:c r="D677" t="e">
        <x:f>IF($A677="","",[1]!thsiFinD("ths_adjustment_nv_fund",D$3,$A677))</x:f>
        <x:v>#NAME?</x:v>
      </x:c>
      <x:c r="E677" t="e">
        <x:f>IF($A677="","",[1]!thsiFinD("ths_adjustment_nv_fund",E$3,$A677))</x:f>
        <x:v>#NAME?</x:v>
      </x:c>
      <x:c r="F677" t="e">
        <x:f>IF($A677="","",[1]!thsiFinD("ths_adjustment_nv_fund",F$3,$A677))</x:f>
        <x:v>#NAME?</x:v>
      </x:c>
      <x:c r="G677" t="e">
        <x:f>IF($A677="","",[1]!thsiFinD("ths_adjustment_nv_fund",G$3,$A677))</x:f>
        <x:v>#NAME?</x:v>
      </x:c>
      <x:c r="H677" t="e">
        <x:f>IF($A677="","",[1]!thsiFinD("ths_adjustment_nv_fund",H$3,$A677))</x:f>
        <x:v>#NAME?</x:v>
      </x:c>
      <x:c r="I677" t="e">
        <x:f>IF($A677="","",[1]!thsiFinD("ths_adjustment_nv_fund",I$3,$A677))</x:f>
        <x:v>#NAME?</x:v>
      </x:c>
      <x:c r="J677" t="e">
        <x:f>IF($A677="","",[1]!thsiFinD("ths_adjustment_nv_fund",J$3,$A677))</x:f>
        <x:v>#NAME?</x:v>
      </x:c>
      <x:c r="K677" t="e">
        <x:f>IF($A677="","",[1]!thsiFinD("ths_adjustment_nv_fund",K$3,$A677))</x:f>
        <x:v>#NAME?</x:v>
      </x:c>
      <x:c r="L677" t="e">
        <x:f>IF($A677="","",[1]!thsiFinD("ths_adjustment_nv_fund",L$3,$A677))</x:f>
        <x:v>#NAME?</x:v>
      </x:c>
      <x:c r="M677" t="e">
        <x:f>IF($A677="","",[1]!thsiFinD("ths_adjustment_nv_fund",M$3,$A677))</x:f>
        <x:v>#NAME?</x:v>
      </x:c>
      <x:c r="N677" t="e">
        <x:f>IF($A677="","",[1]!thsiFinD("ths_adjustment_nv_fund",N$3,$A677))</x:f>
        <x:v>#NAME?</x:v>
      </x:c>
      <x:c r="O677" t="e">
        <x:f>IF($A677="","",[1]!thsiFinD("ths_adjustment_nv_fund",O$3,$A677))</x:f>
        <x:v>#NAME?</x:v>
      </x:c>
      <x:c r="P677" t="e">
        <x:f>IF($A677="","",[1]!thsiFinD("ths_adjustment_nv_fund",P$3,$A677))</x:f>
        <x:v>#NAME?</x:v>
      </x:c>
      <x:c r="Q677" t="e">
        <x:f>IF($A677="","",[1]!thsiFinD("ths_adjustment_nv_fund",Q$3,$A677))</x:f>
        <x:v>#NAME?</x:v>
      </x:c>
      <x:c r="R677" t="e">
        <x:f>IF($A677="","",[1]!thsiFinD("ths_adjustment_nv_fund",R$3,$A677))</x:f>
        <x:v>#NAME?</x:v>
      </x:c>
      <x:c r="S677" t="e">
        <x:f>IF($A677="","",[1]!thsiFinD("ths_adjustment_nv_fund",S$3,$A677))</x:f>
        <x:v>#NAME?</x:v>
      </x:c>
      <x:c r="T677" t="e">
        <x:f>IF($A677="","",[1]!thsiFinD("ths_adjustment_nv_fund",T$3,$A677))</x:f>
        <x:v>#NAME?</x:v>
      </x:c>
      <x:c r="U677" t="e">
        <x:f>IF($A677="","",[1]!thsiFinD("ths_adjustment_nv_fund",U$3,$A677))</x:f>
        <x:v>#NAME?</x:v>
      </x:c>
      <x:c r="V677" t="e">
        <x:f>IF($A677="","",[1]!thsiFinD("ths_adjustment_nv_fund",V$3,$A677))</x:f>
        <x:v>#NAME?</x:v>
      </x:c>
      <x:c r="W677" t="e">
        <x:f>IF($A677="","",[1]!thsiFinD("ths_adjustment_nv_fund",W$3,$A677))</x:f>
        <x:v>#NAME?</x:v>
      </x:c>
      <x:c r="X677" t="e">
        <x:f>IF($A677="","",[1]!thsiFinD("ths_adjustment_nv_fund",X$3,$A677))</x:f>
        <x:v>#NAME?</x:v>
      </x:c>
      <x:c r="Y677" t="e">
        <x:f>IF($A677="","",[1]!thsiFinD("ths_adjustment_nv_fund",Y$3,$A677))</x:f>
        <x:v>#NAME?</x:v>
      </x:c>
    </x:row>
    <x:row r="678">
      <x:c r="B678" t="e">
        <x:f>IF($A678="","",[1]!thsiFinD("ths_adjustment_nv_fund",B$3,$A678))</x:f>
        <x:v>#NAME?</x:v>
      </x:c>
      <x:c r="C678" t="e">
        <x:f>IF($A678="","",[1]!thsiFinD("ths_adjustment_nv_fund",C$3,$A678))</x:f>
        <x:v>#NAME?</x:v>
      </x:c>
      <x:c r="D678" t="e">
        <x:f>IF($A678="","",[1]!thsiFinD("ths_adjustment_nv_fund",D$3,$A678))</x:f>
        <x:v>#NAME?</x:v>
      </x:c>
      <x:c r="E678" t="e">
        <x:f>IF($A678="","",[1]!thsiFinD("ths_adjustment_nv_fund",E$3,$A678))</x:f>
        <x:v>#NAME?</x:v>
      </x:c>
      <x:c r="F678" t="e">
        <x:f>IF($A678="","",[1]!thsiFinD("ths_adjustment_nv_fund",F$3,$A678))</x:f>
        <x:v>#NAME?</x:v>
      </x:c>
      <x:c r="G678" t="e">
        <x:f>IF($A678="","",[1]!thsiFinD("ths_adjustment_nv_fund",G$3,$A678))</x:f>
        <x:v>#NAME?</x:v>
      </x:c>
      <x:c r="H678" t="e">
        <x:f>IF($A678="","",[1]!thsiFinD("ths_adjustment_nv_fund",H$3,$A678))</x:f>
        <x:v>#NAME?</x:v>
      </x:c>
      <x:c r="I678" t="e">
        <x:f>IF($A678="","",[1]!thsiFinD("ths_adjustment_nv_fund",I$3,$A678))</x:f>
        <x:v>#NAME?</x:v>
      </x:c>
      <x:c r="J678" t="e">
        <x:f>IF($A678="","",[1]!thsiFinD("ths_adjustment_nv_fund",J$3,$A678))</x:f>
        <x:v>#NAME?</x:v>
      </x:c>
      <x:c r="K678" t="e">
        <x:f>IF($A678="","",[1]!thsiFinD("ths_adjustment_nv_fund",K$3,$A678))</x:f>
        <x:v>#NAME?</x:v>
      </x:c>
      <x:c r="L678" t="e">
        <x:f>IF($A678="","",[1]!thsiFinD("ths_adjustment_nv_fund",L$3,$A678))</x:f>
        <x:v>#NAME?</x:v>
      </x:c>
      <x:c r="M678" t="e">
        <x:f>IF($A678="","",[1]!thsiFinD("ths_adjustment_nv_fund",M$3,$A678))</x:f>
        <x:v>#NAME?</x:v>
      </x:c>
      <x:c r="N678" t="e">
        <x:f>IF($A678="","",[1]!thsiFinD("ths_adjustment_nv_fund",N$3,$A678))</x:f>
        <x:v>#NAME?</x:v>
      </x:c>
      <x:c r="O678" t="e">
        <x:f>IF($A678="","",[1]!thsiFinD("ths_adjustment_nv_fund",O$3,$A678))</x:f>
        <x:v>#NAME?</x:v>
      </x:c>
      <x:c r="P678" t="e">
        <x:f>IF($A678="","",[1]!thsiFinD("ths_adjustment_nv_fund",P$3,$A678))</x:f>
        <x:v>#NAME?</x:v>
      </x:c>
      <x:c r="Q678" t="e">
        <x:f>IF($A678="","",[1]!thsiFinD("ths_adjustment_nv_fund",Q$3,$A678))</x:f>
        <x:v>#NAME?</x:v>
      </x:c>
      <x:c r="R678" t="e">
        <x:f>IF($A678="","",[1]!thsiFinD("ths_adjustment_nv_fund",R$3,$A678))</x:f>
        <x:v>#NAME?</x:v>
      </x:c>
      <x:c r="S678" t="e">
        <x:f>IF($A678="","",[1]!thsiFinD("ths_adjustment_nv_fund",S$3,$A678))</x:f>
        <x:v>#NAME?</x:v>
      </x:c>
      <x:c r="T678" t="e">
        <x:f>IF($A678="","",[1]!thsiFinD("ths_adjustment_nv_fund",T$3,$A678))</x:f>
        <x:v>#NAME?</x:v>
      </x:c>
      <x:c r="U678" t="e">
        <x:f>IF($A678="","",[1]!thsiFinD("ths_adjustment_nv_fund",U$3,$A678))</x:f>
        <x:v>#NAME?</x:v>
      </x:c>
      <x:c r="V678" t="e">
        <x:f>IF($A678="","",[1]!thsiFinD("ths_adjustment_nv_fund",V$3,$A678))</x:f>
        <x:v>#NAME?</x:v>
      </x:c>
      <x:c r="W678" t="e">
        <x:f>IF($A678="","",[1]!thsiFinD("ths_adjustment_nv_fund",W$3,$A678))</x:f>
        <x:v>#NAME?</x:v>
      </x:c>
      <x:c r="X678" t="e">
        <x:f>IF($A678="","",[1]!thsiFinD("ths_adjustment_nv_fund",X$3,$A678))</x:f>
        <x:v>#NAME?</x:v>
      </x:c>
      <x:c r="Y678" t="e">
        <x:f>IF($A678="","",[1]!thsiFinD("ths_adjustment_nv_fund",Y$3,$A678))</x:f>
        <x:v>#NAME?</x:v>
      </x:c>
    </x:row>
    <x:row r="679">
      <x:c r="B679" t="e">
        <x:f>IF($A679="","",[1]!thsiFinD("ths_adjustment_nv_fund",B$3,$A679))</x:f>
        <x:v>#NAME?</x:v>
      </x:c>
      <x:c r="C679" t="e">
        <x:f>IF($A679="","",[1]!thsiFinD("ths_adjustment_nv_fund",C$3,$A679))</x:f>
        <x:v>#NAME?</x:v>
      </x:c>
      <x:c r="D679" t="e">
        <x:f>IF($A679="","",[1]!thsiFinD("ths_adjustment_nv_fund",D$3,$A679))</x:f>
        <x:v>#NAME?</x:v>
      </x:c>
      <x:c r="E679" t="e">
        <x:f>IF($A679="","",[1]!thsiFinD("ths_adjustment_nv_fund",E$3,$A679))</x:f>
        <x:v>#NAME?</x:v>
      </x:c>
      <x:c r="F679" t="e">
        <x:f>IF($A679="","",[1]!thsiFinD("ths_adjustment_nv_fund",F$3,$A679))</x:f>
        <x:v>#NAME?</x:v>
      </x:c>
      <x:c r="G679" t="e">
        <x:f>IF($A679="","",[1]!thsiFinD("ths_adjustment_nv_fund",G$3,$A679))</x:f>
        <x:v>#NAME?</x:v>
      </x:c>
      <x:c r="H679" t="e">
        <x:f>IF($A679="","",[1]!thsiFinD("ths_adjustment_nv_fund",H$3,$A679))</x:f>
        <x:v>#NAME?</x:v>
      </x:c>
      <x:c r="I679" t="e">
        <x:f>IF($A679="","",[1]!thsiFinD("ths_adjustment_nv_fund",I$3,$A679))</x:f>
        <x:v>#NAME?</x:v>
      </x:c>
      <x:c r="J679" t="e">
        <x:f>IF($A679="","",[1]!thsiFinD("ths_adjustment_nv_fund",J$3,$A679))</x:f>
        <x:v>#NAME?</x:v>
      </x:c>
      <x:c r="K679" t="e">
        <x:f>IF($A679="","",[1]!thsiFinD("ths_adjustment_nv_fund",K$3,$A679))</x:f>
        <x:v>#NAME?</x:v>
      </x:c>
      <x:c r="L679" t="e">
        <x:f>IF($A679="","",[1]!thsiFinD("ths_adjustment_nv_fund",L$3,$A679))</x:f>
        <x:v>#NAME?</x:v>
      </x:c>
      <x:c r="M679" t="e">
        <x:f>IF($A679="","",[1]!thsiFinD("ths_adjustment_nv_fund",M$3,$A679))</x:f>
        <x:v>#NAME?</x:v>
      </x:c>
      <x:c r="N679" t="e">
        <x:f>IF($A679="","",[1]!thsiFinD("ths_adjustment_nv_fund",N$3,$A679))</x:f>
        <x:v>#NAME?</x:v>
      </x:c>
      <x:c r="O679" t="e">
        <x:f>IF($A679="","",[1]!thsiFinD("ths_adjustment_nv_fund",O$3,$A679))</x:f>
        <x:v>#NAME?</x:v>
      </x:c>
      <x:c r="P679" t="e">
        <x:f>IF($A679="","",[1]!thsiFinD("ths_adjustment_nv_fund",P$3,$A679))</x:f>
        <x:v>#NAME?</x:v>
      </x:c>
      <x:c r="Q679" t="e">
        <x:f>IF($A679="","",[1]!thsiFinD("ths_adjustment_nv_fund",Q$3,$A679))</x:f>
        <x:v>#NAME?</x:v>
      </x:c>
      <x:c r="R679" t="e">
        <x:f>IF($A679="","",[1]!thsiFinD("ths_adjustment_nv_fund",R$3,$A679))</x:f>
        <x:v>#NAME?</x:v>
      </x:c>
      <x:c r="S679" t="e">
        <x:f>IF($A679="","",[1]!thsiFinD("ths_adjustment_nv_fund",S$3,$A679))</x:f>
        <x:v>#NAME?</x:v>
      </x:c>
      <x:c r="T679" t="e">
        <x:f>IF($A679="","",[1]!thsiFinD("ths_adjustment_nv_fund",T$3,$A679))</x:f>
        <x:v>#NAME?</x:v>
      </x:c>
      <x:c r="U679" t="e">
        <x:f>IF($A679="","",[1]!thsiFinD("ths_adjustment_nv_fund",U$3,$A679))</x:f>
        <x:v>#NAME?</x:v>
      </x:c>
      <x:c r="V679" t="e">
        <x:f>IF($A679="","",[1]!thsiFinD("ths_adjustment_nv_fund",V$3,$A679))</x:f>
        <x:v>#NAME?</x:v>
      </x:c>
      <x:c r="W679" t="e">
        <x:f>IF($A679="","",[1]!thsiFinD("ths_adjustment_nv_fund",W$3,$A679))</x:f>
        <x:v>#NAME?</x:v>
      </x:c>
      <x:c r="X679" t="e">
        <x:f>IF($A679="","",[1]!thsiFinD("ths_adjustment_nv_fund",X$3,$A679))</x:f>
        <x:v>#NAME?</x:v>
      </x:c>
      <x:c r="Y679" t="e">
        <x:f>IF($A679="","",[1]!thsiFinD("ths_adjustment_nv_fund",Y$3,$A679))</x:f>
        <x:v>#NAME?</x:v>
      </x:c>
    </x:row>
    <x:row r="680">
      <x:c r="B680" t="e">
        <x:f>IF($A680="","",[1]!thsiFinD("ths_adjustment_nv_fund",B$3,$A680))</x:f>
        <x:v>#NAME?</x:v>
      </x:c>
      <x:c r="C680" t="e">
        <x:f>IF($A680="","",[1]!thsiFinD("ths_adjustment_nv_fund",C$3,$A680))</x:f>
        <x:v>#NAME?</x:v>
      </x:c>
      <x:c r="D680" t="e">
        <x:f>IF($A680="","",[1]!thsiFinD("ths_adjustment_nv_fund",D$3,$A680))</x:f>
        <x:v>#NAME?</x:v>
      </x:c>
      <x:c r="E680" t="e">
        <x:f>IF($A680="","",[1]!thsiFinD("ths_adjustment_nv_fund",E$3,$A680))</x:f>
        <x:v>#NAME?</x:v>
      </x:c>
      <x:c r="F680" t="e">
        <x:f>IF($A680="","",[1]!thsiFinD("ths_adjustment_nv_fund",F$3,$A680))</x:f>
        <x:v>#NAME?</x:v>
      </x:c>
      <x:c r="G680" t="e">
        <x:f>IF($A680="","",[1]!thsiFinD("ths_adjustment_nv_fund",G$3,$A680))</x:f>
        <x:v>#NAME?</x:v>
      </x:c>
      <x:c r="H680" t="e">
        <x:f>IF($A680="","",[1]!thsiFinD("ths_adjustment_nv_fund",H$3,$A680))</x:f>
        <x:v>#NAME?</x:v>
      </x:c>
      <x:c r="I680" t="e">
        <x:f>IF($A680="","",[1]!thsiFinD("ths_adjustment_nv_fund",I$3,$A680))</x:f>
        <x:v>#NAME?</x:v>
      </x:c>
      <x:c r="J680" t="e">
        <x:f>IF($A680="","",[1]!thsiFinD("ths_adjustment_nv_fund",J$3,$A680))</x:f>
        <x:v>#NAME?</x:v>
      </x:c>
      <x:c r="K680" t="e">
        <x:f>IF($A680="","",[1]!thsiFinD("ths_adjustment_nv_fund",K$3,$A680))</x:f>
        <x:v>#NAME?</x:v>
      </x:c>
      <x:c r="L680" t="e">
        <x:f>IF($A680="","",[1]!thsiFinD("ths_adjustment_nv_fund",L$3,$A680))</x:f>
        <x:v>#NAME?</x:v>
      </x:c>
      <x:c r="M680" t="e">
        <x:f>IF($A680="","",[1]!thsiFinD("ths_adjustment_nv_fund",M$3,$A680))</x:f>
        <x:v>#NAME?</x:v>
      </x:c>
      <x:c r="N680" t="e">
        <x:f>IF($A680="","",[1]!thsiFinD("ths_adjustment_nv_fund",N$3,$A680))</x:f>
        <x:v>#NAME?</x:v>
      </x:c>
      <x:c r="O680" t="e">
        <x:f>IF($A680="","",[1]!thsiFinD("ths_adjustment_nv_fund",O$3,$A680))</x:f>
        <x:v>#NAME?</x:v>
      </x:c>
      <x:c r="P680" t="e">
        <x:f>IF($A680="","",[1]!thsiFinD("ths_adjustment_nv_fund",P$3,$A680))</x:f>
        <x:v>#NAME?</x:v>
      </x:c>
      <x:c r="Q680" t="e">
        <x:f>IF($A680="","",[1]!thsiFinD("ths_adjustment_nv_fund",Q$3,$A680))</x:f>
        <x:v>#NAME?</x:v>
      </x:c>
      <x:c r="R680" t="e">
        <x:f>IF($A680="","",[1]!thsiFinD("ths_adjustment_nv_fund",R$3,$A680))</x:f>
        <x:v>#NAME?</x:v>
      </x:c>
      <x:c r="S680" t="e">
        <x:f>IF($A680="","",[1]!thsiFinD("ths_adjustment_nv_fund",S$3,$A680))</x:f>
        <x:v>#NAME?</x:v>
      </x:c>
      <x:c r="T680" t="e">
        <x:f>IF($A680="","",[1]!thsiFinD("ths_adjustment_nv_fund",T$3,$A680))</x:f>
        <x:v>#NAME?</x:v>
      </x:c>
      <x:c r="U680" t="e">
        <x:f>IF($A680="","",[1]!thsiFinD("ths_adjustment_nv_fund",U$3,$A680))</x:f>
        <x:v>#NAME?</x:v>
      </x:c>
      <x:c r="V680" t="e">
        <x:f>IF($A680="","",[1]!thsiFinD("ths_adjustment_nv_fund",V$3,$A680))</x:f>
        <x:v>#NAME?</x:v>
      </x:c>
      <x:c r="W680" t="e">
        <x:f>IF($A680="","",[1]!thsiFinD("ths_adjustment_nv_fund",W$3,$A680))</x:f>
        <x:v>#NAME?</x:v>
      </x:c>
      <x:c r="X680" t="e">
        <x:f>IF($A680="","",[1]!thsiFinD("ths_adjustment_nv_fund",X$3,$A680))</x:f>
        <x:v>#NAME?</x:v>
      </x:c>
      <x:c r="Y680" t="e">
        <x:f>IF($A680="","",[1]!thsiFinD("ths_adjustment_nv_fund",Y$3,$A680))</x:f>
        <x:v>#NAME?</x:v>
      </x:c>
    </x:row>
    <x:row r="681">
      <x:c r="B681" t="e">
        <x:f>IF($A681="","",[1]!thsiFinD("ths_adjustment_nv_fund",B$3,$A681))</x:f>
        <x:v>#NAME?</x:v>
      </x:c>
      <x:c r="C681" t="e">
        <x:f>IF($A681="","",[1]!thsiFinD("ths_adjustment_nv_fund",C$3,$A681))</x:f>
        <x:v>#NAME?</x:v>
      </x:c>
      <x:c r="D681" t="e">
        <x:f>IF($A681="","",[1]!thsiFinD("ths_adjustment_nv_fund",D$3,$A681))</x:f>
        <x:v>#NAME?</x:v>
      </x:c>
      <x:c r="E681" t="e">
        <x:f>IF($A681="","",[1]!thsiFinD("ths_adjustment_nv_fund",E$3,$A681))</x:f>
        <x:v>#NAME?</x:v>
      </x:c>
      <x:c r="F681" t="e">
        <x:f>IF($A681="","",[1]!thsiFinD("ths_adjustment_nv_fund",F$3,$A681))</x:f>
        <x:v>#NAME?</x:v>
      </x:c>
      <x:c r="G681" t="e">
        <x:f>IF($A681="","",[1]!thsiFinD("ths_adjustment_nv_fund",G$3,$A681))</x:f>
        <x:v>#NAME?</x:v>
      </x:c>
      <x:c r="H681" t="e">
        <x:f>IF($A681="","",[1]!thsiFinD("ths_adjustment_nv_fund",H$3,$A681))</x:f>
        <x:v>#NAME?</x:v>
      </x:c>
      <x:c r="I681" t="e">
        <x:f>IF($A681="","",[1]!thsiFinD("ths_adjustment_nv_fund",I$3,$A681))</x:f>
        <x:v>#NAME?</x:v>
      </x:c>
      <x:c r="J681" t="e">
        <x:f>IF($A681="","",[1]!thsiFinD("ths_adjustment_nv_fund",J$3,$A681))</x:f>
        <x:v>#NAME?</x:v>
      </x:c>
      <x:c r="K681" t="e">
        <x:f>IF($A681="","",[1]!thsiFinD("ths_adjustment_nv_fund",K$3,$A681))</x:f>
        <x:v>#NAME?</x:v>
      </x:c>
      <x:c r="L681" t="e">
        <x:f>IF($A681="","",[1]!thsiFinD("ths_adjustment_nv_fund",L$3,$A681))</x:f>
        <x:v>#NAME?</x:v>
      </x:c>
      <x:c r="M681" t="e">
        <x:f>IF($A681="","",[1]!thsiFinD("ths_adjustment_nv_fund",M$3,$A681))</x:f>
        <x:v>#NAME?</x:v>
      </x:c>
      <x:c r="N681" t="e">
        <x:f>IF($A681="","",[1]!thsiFinD("ths_adjustment_nv_fund",N$3,$A681))</x:f>
        <x:v>#NAME?</x:v>
      </x:c>
      <x:c r="O681" t="e">
        <x:f>IF($A681="","",[1]!thsiFinD("ths_adjustment_nv_fund",O$3,$A681))</x:f>
        <x:v>#NAME?</x:v>
      </x:c>
      <x:c r="P681" t="e">
        <x:f>IF($A681="","",[1]!thsiFinD("ths_adjustment_nv_fund",P$3,$A681))</x:f>
        <x:v>#NAME?</x:v>
      </x:c>
      <x:c r="Q681" t="e">
        <x:f>IF($A681="","",[1]!thsiFinD("ths_adjustment_nv_fund",Q$3,$A681))</x:f>
        <x:v>#NAME?</x:v>
      </x:c>
      <x:c r="R681" t="e">
        <x:f>IF($A681="","",[1]!thsiFinD("ths_adjustment_nv_fund",R$3,$A681))</x:f>
        <x:v>#NAME?</x:v>
      </x:c>
      <x:c r="S681" t="e">
        <x:f>IF($A681="","",[1]!thsiFinD("ths_adjustment_nv_fund",S$3,$A681))</x:f>
        <x:v>#NAME?</x:v>
      </x:c>
      <x:c r="T681" t="e">
        <x:f>IF($A681="","",[1]!thsiFinD("ths_adjustment_nv_fund",T$3,$A681))</x:f>
        <x:v>#NAME?</x:v>
      </x:c>
      <x:c r="U681" t="e">
        <x:f>IF($A681="","",[1]!thsiFinD("ths_adjustment_nv_fund",U$3,$A681))</x:f>
        <x:v>#NAME?</x:v>
      </x:c>
      <x:c r="V681" t="e">
        <x:f>IF($A681="","",[1]!thsiFinD("ths_adjustment_nv_fund",V$3,$A681))</x:f>
        <x:v>#NAME?</x:v>
      </x:c>
      <x:c r="W681" t="e">
        <x:f>IF($A681="","",[1]!thsiFinD("ths_adjustment_nv_fund",W$3,$A681))</x:f>
        <x:v>#NAME?</x:v>
      </x:c>
      <x:c r="X681" t="e">
        <x:f>IF($A681="","",[1]!thsiFinD("ths_adjustment_nv_fund",X$3,$A681))</x:f>
        <x:v>#NAME?</x:v>
      </x:c>
      <x:c r="Y681" t="e">
        <x:f>IF($A681="","",[1]!thsiFinD("ths_adjustment_nv_fund",Y$3,$A681))</x:f>
        <x:v>#NAME?</x:v>
      </x:c>
    </x:row>
    <x:row r="682">
      <x:c r="B682" t="e">
        <x:f>IF($A682="","",[1]!thsiFinD("ths_adjustment_nv_fund",B$3,$A682))</x:f>
        <x:v>#NAME?</x:v>
      </x:c>
      <x:c r="C682" t="e">
        <x:f>IF($A682="","",[1]!thsiFinD("ths_adjustment_nv_fund",C$3,$A682))</x:f>
        <x:v>#NAME?</x:v>
      </x:c>
      <x:c r="D682" t="e">
        <x:f>IF($A682="","",[1]!thsiFinD("ths_adjustment_nv_fund",D$3,$A682))</x:f>
        <x:v>#NAME?</x:v>
      </x:c>
      <x:c r="E682" t="e">
        <x:f>IF($A682="","",[1]!thsiFinD("ths_adjustment_nv_fund",E$3,$A682))</x:f>
        <x:v>#NAME?</x:v>
      </x:c>
      <x:c r="F682" t="e">
        <x:f>IF($A682="","",[1]!thsiFinD("ths_adjustment_nv_fund",F$3,$A682))</x:f>
        <x:v>#NAME?</x:v>
      </x:c>
      <x:c r="G682" t="e">
        <x:f>IF($A682="","",[1]!thsiFinD("ths_adjustment_nv_fund",G$3,$A682))</x:f>
        <x:v>#NAME?</x:v>
      </x:c>
      <x:c r="H682" t="e">
        <x:f>IF($A682="","",[1]!thsiFinD("ths_adjustment_nv_fund",H$3,$A682))</x:f>
        <x:v>#NAME?</x:v>
      </x:c>
      <x:c r="I682" t="e">
        <x:f>IF($A682="","",[1]!thsiFinD("ths_adjustment_nv_fund",I$3,$A682))</x:f>
        <x:v>#NAME?</x:v>
      </x:c>
      <x:c r="J682" t="e">
        <x:f>IF($A682="","",[1]!thsiFinD("ths_adjustment_nv_fund",J$3,$A682))</x:f>
        <x:v>#NAME?</x:v>
      </x:c>
      <x:c r="K682" t="e">
        <x:f>IF($A682="","",[1]!thsiFinD("ths_adjustment_nv_fund",K$3,$A682))</x:f>
        <x:v>#NAME?</x:v>
      </x:c>
      <x:c r="L682" t="e">
        <x:f>IF($A682="","",[1]!thsiFinD("ths_adjustment_nv_fund",L$3,$A682))</x:f>
        <x:v>#NAME?</x:v>
      </x:c>
      <x:c r="M682" t="e">
        <x:f>IF($A682="","",[1]!thsiFinD("ths_adjustment_nv_fund",M$3,$A682))</x:f>
        <x:v>#NAME?</x:v>
      </x:c>
      <x:c r="N682" t="e">
        <x:f>IF($A682="","",[1]!thsiFinD("ths_adjustment_nv_fund",N$3,$A682))</x:f>
        <x:v>#NAME?</x:v>
      </x:c>
      <x:c r="O682" t="e">
        <x:f>IF($A682="","",[1]!thsiFinD("ths_adjustment_nv_fund",O$3,$A682))</x:f>
        <x:v>#NAME?</x:v>
      </x:c>
      <x:c r="P682" t="e">
        <x:f>IF($A682="","",[1]!thsiFinD("ths_adjustment_nv_fund",P$3,$A682))</x:f>
        <x:v>#NAME?</x:v>
      </x:c>
      <x:c r="Q682" t="e">
        <x:f>IF($A682="","",[1]!thsiFinD("ths_adjustment_nv_fund",Q$3,$A682))</x:f>
        <x:v>#NAME?</x:v>
      </x:c>
      <x:c r="R682" t="e">
        <x:f>IF($A682="","",[1]!thsiFinD("ths_adjustment_nv_fund",R$3,$A682))</x:f>
        <x:v>#NAME?</x:v>
      </x:c>
      <x:c r="S682" t="e">
        <x:f>IF($A682="","",[1]!thsiFinD("ths_adjustment_nv_fund",S$3,$A682))</x:f>
        <x:v>#NAME?</x:v>
      </x:c>
      <x:c r="T682" t="e">
        <x:f>IF($A682="","",[1]!thsiFinD("ths_adjustment_nv_fund",T$3,$A682))</x:f>
        <x:v>#NAME?</x:v>
      </x:c>
      <x:c r="U682" t="e">
        <x:f>IF($A682="","",[1]!thsiFinD("ths_adjustment_nv_fund",U$3,$A682))</x:f>
        <x:v>#NAME?</x:v>
      </x:c>
      <x:c r="V682" t="e">
        <x:f>IF($A682="","",[1]!thsiFinD("ths_adjustment_nv_fund",V$3,$A682))</x:f>
        <x:v>#NAME?</x:v>
      </x:c>
      <x:c r="W682" t="e">
        <x:f>IF($A682="","",[1]!thsiFinD("ths_adjustment_nv_fund",W$3,$A682))</x:f>
        <x:v>#NAME?</x:v>
      </x:c>
      <x:c r="X682" t="e">
        <x:f>IF($A682="","",[1]!thsiFinD("ths_adjustment_nv_fund",X$3,$A682))</x:f>
        <x:v>#NAME?</x:v>
      </x:c>
      <x:c r="Y682" t="e">
        <x:f>IF($A682="","",[1]!thsiFinD("ths_adjustment_nv_fund",Y$3,$A682))</x:f>
        <x:v>#NAME?</x:v>
      </x:c>
    </x:row>
    <x:row r="683">
      <x:c r="B683" t="e">
        <x:f>IF($A683="","",[1]!thsiFinD("ths_adjustment_nv_fund",B$3,$A683))</x:f>
        <x:v>#NAME?</x:v>
      </x:c>
      <x:c r="C683" t="e">
        <x:f>IF($A683="","",[1]!thsiFinD("ths_adjustment_nv_fund",C$3,$A683))</x:f>
        <x:v>#NAME?</x:v>
      </x:c>
      <x:c r="D683" t="e">
        <x:f>IF($A683="","",[1]!thsiFinD("ths_adjustment_nv_fund",D$3,$A683))</x:f>
        <x:v>#NAME?</x:v>
      </x:c>
      <x:c r="E683" t="e">
        <x:f>IF($A683="","",[1]!thsiFinD("ths_adjustment_nv_fund",E$3,$A683))</x:f>
        <x:v>#NAME?</x:v>
      </x:c>
      <x:c r="F683" t="e">
        <x:f>IF($A683="","",[1]!thsiFinD("ths_adjustment_nv_fund",F$3,$A683))</x:f>
        <x:v>#NAME?</x:v>
      </x:c>
      <x:c r="G683" t="e">
        <x:f>IF($A683="","",[1]!thsiFinD("ths_adjustment_nv_fund",G$3,$A683))</x:f>
        <x:v>#NAME?</x:v>
      </x:c>
      <x:c r="H683" t="e">
        <x:f>IF($A683="","",[1]!thsiFinD("ths_adjustment_nv_fund",H$3,$A683))</x:f>
        <x:v>#NAME?</x:v>
      </x:c>
      <x:c r="I683" t="e">
        <x:f>IF($A683="","",[1]!thsiFinD("ths_adjustment_nv_fund",I$3,$A683))</x:f>
        <x:v>#NAME?</x:v>
      </x:c>
      <x:c r="J683" t="e">
        <x:f>IF($A683="","",[1]!thsiFinD("ths_adjustment_nv_fund",J$3,$A683))</x:f>
        <x:v>#NAME?</x:v>
      </x:c>
      <x:c r="K683" t="e">
        <x:f>IF($A683="","",[1]!thsiFinD("ths_adjustment_nv_fund",K$3,$A683))</x:f>
        <x:v>#NAME?</x:v>
      </x:c>
      <x:c r="L683" t="e">
        <x:f>IF($A683="","",[1]!thsiFinD("ths_adjustment_nv_fund",L$3,$A683))</x:f>
        <x:v>#NAME?</x:v>
      </x:c>
      <x:c r="M683" t="e">
        <x:f>IF($A683="","",[1]!thsiFinD("ths_adjustment_nv_fund",M$3,$A683))</x:f>
        <x:v>#NAME?</x:v>
      </x:c>
      <x:c r="N683" t="e">
        <x:f>IF($A683="","",[1]!thsiFinD("ths_adjustment_nv_fund",N$3,$A683))</x:f>
        <x:v>#NAME?</x:v>
      </x:c>
      <x:c r="O683" t="e">
        <x:f>IF($A683="","",[1]!thsiFinD("ths_adjustment_nv_fund",O$3,$A683))</x:f>
        <x:v>#NAME?</x:v>
      </x:c>
      <x:c r="P683" t="e">
        <x:f>IF($A683="","",[1]!thsiFinD("ths_adjustment_nv_fund",P$3,$A683))</x:f>
        <x:v>#NAME?</x:v>
      </x:c>
      <x:c r="Q683" t="e">
        <x:f>IF($A683="","",[1]!thsiFinD("ths_adjustment_nv_fund",Q$3,$A683))</x:f>
        <x:v>#NAME?</x:v>
      </x:c>
      <x:c r="R683" t="e">
        <x:f>IF($A683="","",[1]!thsiFinD("ths_adjustment_nv_fund",R$3,$A683))</x:f>
        <x:v>#NAME?</x:v>
      </x:c>
      <x:c r="S683" t="e">
        <x:f>IF($A683="","",[1]!thsiFinD("ths_adjustment_nv_fund",S$3,$A683))</x:f>
        <x:v>#NAME?</x:v>
      </x:c>
      <x:c r="T683" t="e">
        <x:f>IF($A683="","",[1]!thsiFinD("ths_adjustment_nv_fund",T$3,$A683))</x:f>
        <x:v>#NAME?</x:v>
      </x:c>
      <x:c r="U683" t="e">
        <x:f>IF($A683="","",[1]!thsiFinD("ths_adjustment_nv_fund",U$3,$A683))</x:f>
        <x:v>#NAME?</x:v>
      </x:c>
      <x:c r="V683" t="e">
        <x:f>IF($A683="","",[1]!thsiFinD("ths_adjustment_nv_fund",V$3,$A683))</x:f>
        <x:v>#NAME?</x:v>
      </x:c>
      <x:c r="W683" t="e">
        <x:f>IF($A683="","",[1]!thsiFinD("ths_adjustment_nv_fund",W$3,$A683))</x:f>
        <x:v>#NAME?</x:v>
      </x:c>
      <x:c r="X683" t="e">
        <x:f>IF($A683="","",[1]!thsiFinD("ths_adjustment_nv_fund",X$3,$A683))</x:f>
        <x:v>#NAME?</x:v>
      </x:c>
      <x:c r="Y683" t="e">
        <x:f>IF($A683="","",[1]!thsiFinD("ths_adjustment_nv_fund",Y$3,$A683))</x:f>
        <x:v>#NAME?</x:v>
      </x:c>
    </x:row>
    <x:row r="684">
      <x:c r="B684" t="e">
        <x:f>IF($A684="","",[1]!thsiFinD("ths_adjustment_nv_fund",B$3,$A684))</x:f>
        <x:v>#NAME?</x:v>
      </x:c>
      <x:c r="C684" t="e">
        <x:f>IF($A684="","",[1]!thsiFinD("ths_adjustment_nv_fund",C$3,$A684))</x:f>
        <x:v>#NAME?</x:v>
      </x:c>
      <x:c r="D684" t="e">
        <x:f>IF($A684="","",[1]!thsiFinD("ths_adjustment_nv_fund",D$3,$A684))</x:f>
        <x:v>#NAME?</x:v>
      </x:c>
      <x:c r="E684" t="e">
        <x:f>IF($A684="","",[1]!thsiFinD("ths_adjustment_nv_fund",E$3,$A684))</x:f>
        <x:v>#NAME?</x:v>
      </x:c>
      <x:c r="F684" t="e">
        <x:f>IF($A684="","",[1]!thsiFinD("ths_adjustment_nv_fund",F$3,$A684))</x:f>
        <x:v>#NAME?</x:v>
      </x:c>
      <x:c r="G684" t="e">
        <x:f>IF($A684="","",[1]!thsiFinD("ths_adjustment_nv_fund",G$3,$A684))</x:f>
        <x:v>#NAME?</x:v>
      </x:c>
      <x:c r="H684" t="e">
        <x:f>IF($A684="","",[1]!thsiFinD("ths_adjustment_nv_fund",H$3,$A684))</x:f>
        <x:v>#NAME?</x:v>
      </x:c>
      <x:c r="I684" t="e">
        <x:f>IF($A684="","",[1]!thsiFinD("ths_adjustment_nv_fund",I$3,$A684))</x:f>
        <x:v>#NAME?</x:v>
      </x:c>
      <x:c r="J684" t="e">
        <x:f>IF($A684="","",[1]!thsiFinD("ths_adjustment_nv_fund",J$3,$A684))</x:f>
        <x:v>#NAME?</x:v>
      </x:c>
      <x:c r="K684" t="e">
        <x:f>IF($A684="","",[1]!thsiFinD("ths_adjustment_nv_fund",K$3,$A684))</x:f>
        <x:v>#NAME?</x:v>
      </x:c>
      <x:c r="L684" t="e">
        <x:f>IF($A684="","",[1]!thsiFinD("ths_adjustment_nv_fund",L$3,$A684))</x:f>
        <x:v>#NAME?</x:v>
      </x:c>
      <x:c r="M684" t="e">
        <x:f>IF($A684="","",[1]!thsiFinD("ths_adjustment_nv_fund",M$3,$A684))</x:f>
        <x:v>#NAME?</x:v>
      </x:c>
      <x:c r="N684" t="e">
        <x:f>IF($A684="","",[1]!thsiFinD("ths_adjustment_nv_fund",N$3,$A684))</x:f>
        <x:v>#NAME?</x:v>
      </x:c>
      <x:c r="O684" t="e">
        <x:f>IF($A684="","",[1]!thsiFinD("ths_adjustment_nv_fund",O$3,$A684))</x:f>
        <x:v>#NAME?</x:v>
      </x:c>
      <x:c r="P684" t="e">
        <x:f>IF($A684="","",[1]!thsiFinD("ths_adjustment_nv_fund",P$3,$A684))</x:f>
        <x:v>#NAME?</x:v>
      </x:c>
      <x:c r="Q684" t="e">
        <x:f>IF($A684="","",[1]!thsiFinD("ths_adjustment_nv_fund",Q$3,$A684))</x:f>
        <x:v>#NAME?</x:v>
      </x:c>
      <x:c r="R684" t="e">
        <x:f>IF($A684="","",[1]!thsiFinD("ths_adjustment_nv_fund",R$3,$A684))</x:f>
        <x:v>#NAME?</x:v>
      </x:c>
      <x:c r="S684" t="e">
        <x:f>IF($A684="","",[1]!thsiFinD("ths_adjustment_nv_fund",S$3,$A684))</x:f>
        <x:v>#NAME?</x:v>
      </x:c>
      <x:c r="T684" t="e">
        <x:f>IF($A684="","",[1]!thsiFinD("ths_adjustment_nv_fund",T$3,$A684))</x:f>
        <x:v>#NAME?</x:v>
      </x:c>
      <x:c r="U684" t="e">
        <x:f>IF($A684="","",[1]!thsiFinD("ths_adjustment_nv_fund",U$3,$A684))</x:f>
        <x:v>#NAME?</x:v>
      </x:c>
      <x:c r="V684" t="e">
        <x:f>IF($A684="","",[1]!thsiFinD("ths_adjustment_nv_fund",V$3,$A684))</x:f>
        <x:v>#NAME?</x:v>
      </x:c>
      <x:c r="W684" t="e">
        <x:f>IF($A684="","",[1]!thsiFinD("ths_adjustment_nv_fund",W$3,$A684))</x:f>
        <x:v>#NAME?</x:v>
      </x:c>
      <x:c r="X684" t="e">
        <x:f>IF($A684="","",[1]!thsiFinD("ths_adjustment_nv_fund",X$3,$A684))</x:f>
        <x:v>#NAME?</x:v>
      </x:c>
      <x:c r="Y684" t="e">
        <x:f>IF($A684="","",[1]!thsiFinD("ths_adjustment_nv_fund",Y$3,$A684))</x:f>
        <x:v>#NAME?</x:v>
      </x:c>
    </x:row>
    <x:row r="685">
      <x:c r="B685" t="e">
        <x:f>IF($A685="","",[1]!thsiFinD("ths_adjustment_nv_fund",B$3,$A685))</x:f>
        <x:v>#NAME?</x:v>
      </x:c>
      <x:c r="C685" t="e">
        <x:f>IF($A685="","",[1]!thsiFinD("ths_adjustment_nv_fund",C$3,$A685))</x:f>
        <x:v>#NAME?</x:v>
      </x:c>
      <x:c r="D685" t="e">
        <x:f>IF($A685="","",[1]!thsiFinD("ths_adjustment_nv_fund",D$3,$A685))</x:f>
        <x:v>#NAME?</x:v>
      </x:c>
      <x:c r="E685" t="e">
        <x:f>IF($A685="","",[1]!thsiFinD("ths_adjustment_nv_fund",E$3,$A685))</x:f>
        <x:v>#NAME?</x:v>
      </x:c>
      <x:c r="F685" t="e">
        <x:f>IF($A685="","",[1]!thsiFinD("ths_adjustment_nv_fund",F$3,$A685))</x:f>
        <x:v>#NAME?</x:v>
      </x:c>
      <x:c r="G685" t="e">
        <x:f>IF($A685="","",[1]!thsiFinD("ths_adjustment_nv_fund",G$3,$A685))</x:f>
        <x:v>#NAME?</x:v>
      </x:c>
      <x:c r="H685" t="e">
        <x:f>IF($A685="","",[1]!thsiFinD("ths_adjustment_nv_fund",H$3,$A685))</x:f>
        <x:v>#NAME?</x:v>
      </x:c>
      <x:c r="I685" t="e">
        <x:f>IF($A685="","",[1]!thsiFinD("ths_adjustment_nv_fund",I$3,$A685))</x:f>
        <x:v>#NAME?</x:v>
      </x:c>
      <x:c r="J685" t="e">
        <x:f>IF($A685="","",[1]!thsiFinD("ths_adjustment_nv_fund",J$3,$A685))</x:f>
        <x:v>#NAME?</x:v>
      </x:c>
      <x:c r="K685" t="e">
        <x:f>IF($A685="","",[1]!thsiFinD("ths_adjustment_nv_fund",K$3,$A685))</x:f>
        <x:v>#NAME?</x:v>
      </x:c>
      <x:c r="L685" t="e">
        <x:f>IF($A685="","",[1]!thsiFinD("ths_adjustment_nv_fund",L$3,$A685))</x:f>
        <x:v>#NAME?</x:v>
      </x:c>
      <x:c r="M685" t="e">
        <x:f>IF($A685="","",[1]!thsiFinD("ths_adjustment_nv_fund",M$3,$A685))</x:f>
        <x:v>#NAME?</x:v>
      </x:c>
      <x:c r="N685" t="e">
        <x:f>IF($A685="","",[1]!thsiFinD("ths_adjustment_nv_fund",N$3,$A685))</x:f>
        <x:v>#NAME?</x:v>
      </x:c>
      <x:c r="O685" t="e">
        <x:f>IF($A685="","",[1]!thsiFinD("ths_adjustment_nv_fund",O$3,$A685))</x:f>
        <x:v>#NAME?</x:v>
      </x:c>
      <x:c r="P685" t="e">
        <x:f>IF($A685="","",[1]!thsiFinD("ths_adjustment_nv_fund",P$3,$A685))</x:f>
        <x:v>#NAME?</x:v>
      </x:c>
      <x:c r="Q685" t="e">
        <x:f>IF($A685="","",[1]!thsiFinD("ths_adjustment_nv_fund",Q$3,$A685))</x:f>
        <x:v>#NAME?</x:v>
      </x:c>
      <x:c r="R685" t="e">
        <x:f>IF($A685="","",[1]!thsiFinD("ths_adjustment_nv_fund",R$3,$A685))</x:f>
        <x:v>#NAME?</x:v>
      </x:c>
      <x:c r="S685" t="e">
        <x:f>IF($A685="","",[1]!thsiFinD("ths_adjustment_nv_fund",S$3,$A685))</x:f>
        <x:v>#NAME?</x:v>
      </x:c>
      <x:c r="T685" t="e">
        <x:f>IF($A685="","",[1]!thsiFinD("ths_adjustment_nv_fund",T$3,$A685))</x:f>
        <x:v>#NAME?</x:v>
      </x:c>
      <x:c r="U685" t="e">
        <x:f>IF($A685="","",[1]!thsiFinD("ths_adjustment_nv_fund",U$3,$A685))</x:f>
        <x:v>#NAME?</x:v>
      </x:c>
      <x:c r="V685" t="e">
        <x:f>IF($A685="","",[1]!thsiFinD("ths_adjustment_nv_fund",V$3,$A685))</x:f>
        <x:v>#NAME?</x:v>
      </x:c>
      <x:c r="W685" t="e">
        <x:f>IF($A685="","",[1]!thsiFinD("ths_adjustment_nv_fund",W$3,$A685))</x:f>
        <x:v>#NAME?</x:v>
      </x:c>
      <x:c r="X685" t="e">
        <x:f>IF($A685="","",[1]!thsiFinD("ths_adjustment_nv_fund",X$3,$A685))</x:f>
        <x:v>#NAME?</x:v>
      </x:c>
      <x:c r="Y685" t="e">
        <x:f>IF($A685="","",[1]!thsiFinD("ths_adjustment_nv_fund",Y$3,$A685))</x:f>
        <x:v>#NAME?</x:v>
      </x:c>
    </x:row>
    <x:row r="686">
      <x:c r="B686" t="e">
        <x:f>IF($A686="","",[1]!thsiFinD("ths_adjustment_nv_fund",B$3,$A686))</x:f>
        <x:v>#NAME?</x:v>
      </x:c>
      <x:c r="C686" t="e">
        <x:f>IF($A686="","",[1]!thsiFinD("ths_adjustment_nv_fund",C$3,$A686))</x:f>
        <x:v>#NAME?</x:v>
      </x:c>
      <x:c r="D686" t="e">
        <x:f>IF($A686="","",[1]!thsiFinD("ths_adjustment_nv_fund",D$3,$A686))</x:f>
        <x:v>#NAME?</x:v>
      </x:c>
      <x:c r="E686" t="e">
        <x:f>IF($A686="","",[1]!thsiFinD("ths_adjustment_nv_fund",E$3,$A686))</x:f>
        <x:v>#NAME?</x:v>
      </x:c>
      <x:c r="F686" t="e">
        <x:f>IF($A686="","",[1]!thsiFinD("ths_adjustment_nv_fund",F$3,$A686))</x:f>
        <x:v>#NAME?</x:v>
      </x:c>
      <x:c r="G686" t="e">
        <x:f>IF($A686="","",[1]!thsiFinD("ths_adjustment_nv_fund",G$3,$A686))</x:f>
        <x:v>#NAME?</x:v>
      </x:c>
      <x:c r="H686" t="e">
        <x:f>IF($A686="","",[1]!thsiFinD("ths_adjustment_nv_fund",H$3,$A686))</x:f>
        <x:v>#NAME?</x:v>
      </x:c>
      <x:c r="I686" t="e">
        <x:f>IF($A686="","",[1]!thsiFinD("ths_adjustment_nv_fund",I$3,$A686))</x:f>
        <x:v>#NAME?</x:v>
      </x:c>
      <x:c r="J686" t="e">
        <x:f>IF($A686="","",[1]!thsiFinD("ths_adjustment_nv_fund",J$3,$A686))</x:f>
        <x:v>#NAME?</x:v>
      </x:c>
      <x:c r="K686" t="e">
        <x:f>IF($A686="","",[1]!thsiFinD("ths_adjustment_nv_fund",K$3,$A686))</x:f>
        <x:v>#NAME?</x:v>
      </x:c>
      <x:c r="L686" t="e">
        <x:f>IF($A686="","",[1]!thsiFinD("ths_adjustment_nv_fund",L$3,$A686))</x:f>
        <x:v>#NAME?</x:v>
      </x:c>
      <x:c r="M686" t="e">
        <x:f>IF($A686="","",[1]!thsiFinD("ths_adjustment_nv_fund",M$3,$A686))</x:f>
        <x:v>#NAME?</x:v>
      </x:c>
      <x:c r="N686" t="e">
        <x:f>IF($A686="","",[1]!thsiFinD("ths_adjustment_nv_fund",N$3,$A686))</x:f>
        <x:v>#NAME?</x:v>
      </x:c>
      <x:c r="O686" t="e">
        <x:f>IF($A686="","",[1]!thsiFinD("ths_adjustment_nv_fund",O$3,$A686))</x:f>
        <x:v>#NAME?</x:v>
      </x:c>
      <x:c r="P686" t="e">
        <x:f>IF($A686="","",[1]!thsiFinD("ths_adjustment_nv_fund",P$3,$A686))</x:f>
        <x:v>#NAME?</x:v>
      </x:c>
      <x:c r="Q686" t="e">
        <x:f>IF($A686="","",[1]!thsiFinD("ths_adjustment_nv_fund",Q$3,$A686))</x:f>
        <x:v>#NAME?</x:v>
      </x:c>
      <x:c r="R686" t="e">
        <x:f>IF($A686="","",[1]!thsiFinD("ths_adjustment_nv_fund",R$3,$A686))</x:f>
        <x:v>#NAME?</x:v>
      </x:c>
      <x:c r="S686" t="e">
        <x:f>IF($A686="","",[1]!thsiFinD("ths_adjustment_nv_fund",S$3,$A686))</x:f>
        <x:v>#NAME?</x:v>
      </x:c>
      <x:c r="T686" t="e">
        <x:f>IF($A686="","",[1]!thsiFinD("ths_adjustment_nv_fund",T$3,$A686))</x:f>
        <x:v>#NAME?</x:v>
      </x:c>
      <x:c r="U686" t="e">
        <x:f>IF($A686="","",[1]!thsiFinD("ths_adjustment_nv_fund",U$3,$A686))</x:f>
        <x:v>#NAME?</x:v>
      </x:c>
      <x:c r="V686" t="e">
        <x:f>IF($A686="","",[1]!thsiFinD("ths_adjustment_nv_fund",V$3,$A686))</x:f>
        <x:v>#NAME?</x:v>
      </x:c>
      <x:c r="W686" t="e">
        <x:f>IF($A686="","",[1]!thsiFinD("ths_adjustment_nv_fund",W$3,$A686))</x:f>
        <x:v>#NAME?</x:v>
      </x:c>
      <x:c r="X686" t="e">
        <x:f>IF($A686="","",[1]!thsiFinD("ths_adjustment_nv_fund",X$3,$A686))</x:f>
        <x:v>#NAME?</x:v>
      </x:c>
      <x:c r="Y686" t="e">
        <x:f>IF($A686="","",[1]!thsiFinD("ths_adjustment_nv_fund",Y$3,$A686))</x:f>
        <x:v>#NAME?</x:v>
      </x:c>
    </x:row>
    <x:row r="687">
      <x:c r="B687" t="e">
        <x:f>IF($A687="","",[1]!thsiFinD("ths_adjustment_nv_fund",B$3,$A687))</x:f>
        <x:v>#NAME?</x:v>
      </x:c>
      <x:c r="C687" t="e">
        <x:f>IF($A687="","",[1]!thsiFinD("ths_adjustment_nv_fund",C$3,$A687))</x:f>
        <x:v>#NAME?</x:v>
      </x:c>
      <x:c r="D687" t="e">
        <x:f>IF($A687="","",[1]!thsiFinD("ths_adjustment_nv_fund",D$3,$A687))</x:f>
        <x:v>#NAME?</x:v>
      </x:c>
      <x:c r="E687" t="e">
        <x:f>IF($A687="","",[1]!thsiFinD("ths_adjustment_nv_fund",E$3,$A687))</x:f>
        <x:v>#NAME?</x:v>
      </x:c>
      <x:c r="F687" t="e">
        <x:f>IF($A687="","",[1]!thsiFinD("ths_adjustment_nv_fund",F$3,$A687))</x:f>
        <x:v>#NAME?</x:v>
      </x:c>
      <x:c r="G687" t="e">
        <x:f>IF($A687="","",[1]!thsiFinD("ths_adjustment_nv_fund",G$3,$A687))</x:f>
        <x:v>#NAME?</x:v>
      </x:c>
      <x:c r="H687" t="e">
        <x:f>IF($A687="","",[1]!thsiFinD("ths_adjustment_nv_fund",H$3,$A687))</x:f>
        <x:v>#NAME?</x:v>
      </x:c>
      <x:c r="I687" t="e">
        <x:f>IF($A687="","",[1]!thsiFinD("ths_adjustment_nv_fund",I$3,$A687))</x:f>
        <x:v>#NAME?</x:v>
      </x:c>
      <x:c r="J687" t="e">
        <x:f>IF($A687="","",[1]!thsiFinD("ths_adjustment_nv_fund",J$3,$A687))</x:f>
        <x:v>#NAME?</x:v>
      </x:c>
      <x:c r="K687" t="e">
        <x:f>IF($A687="","",[1]!thsiFinD("ths_adjustment_nv_fund",K$3,$A687))</x:f>
        <x:v>#NAME?</x:v>
      </x:c>
      <x:c r="L687" t="e">
        <x:f>IF($A687="","",[1]!thsiFinD("ths_adjustment_nv_fund",L$3,$A687))</x:f>
        <x:v>#NAME?</x:v>
      </x:c>
      <x:c r="M687" t="e">
        <x:f>IF($A687="","",[1]!thsiFinD("ths_adjustment_nv_fund",M$3,$A687))</x:f>
        <x:v>#NAME?</x:v>
      </x:c>
      <x:c r="N687" t="e">
        <x:f>IF($A687="","",[1]!thsiFinD("ths_adjustment_nv_fund",N$3,$A687))</x:f>
        <x:v>#NAME?</x:v>
      </x:c>
      <x:c r="O687" t="e">
        <x:f>IF($A687="","",[1]!thsiFinD("ths_adjustment_nv_fund",O$3,$A687))</x:f>
        <x:v>#NAME?</x:v>
      </x:c>
      <x:c r="P687" t="e">
        <x:f>IF($A687="","",[1]!thsiFinD("ths_adjustment_nv_fund",P$3,$A687))</x:f>
        <x:v>#NAME?</x:v>
      </x:c>
      <x:c r="Q687" t="e">
        <x:f>IF($A687="","",[1]!thsiFinD("ths_adjustment_nv_fund",Q$3,$A687))</x:f>
        <x:v>#NAME?</x:v>
      </x:c>
      <x:c r="R687" t="e">
        <x:f>IF($A687="","",[1]!thsiFinD("ths_adjustment_nv_fund",R$3,$A687))</x:f>
        <x:v>#NAME?</x:v>
      </x:c>
      <x:c r="S687" t="e">
        <x:f>IF($A687="","",[1]!thsiFinD("ths_adjustment_nv_fund",S$3,$A687))</x:f>
        <x:v>#NAME?</x:v>
      </x:c>
      <x:c r="T687" t="e">
        <x:f>IF($A687="","",[1]!thsiFinD("ths_adjustment_nv_fund",T$3,$A687))</x:f>
        <x:v>#NAME?</x:v>
      </x:c>
      <x:c r="U687" t="e">
        <x:f>IF($A687="","",[1]!thsiFinD("ths_adjustment_nv_fund",U$3,$A687))</x:f>
        <x:v>#NAME?</x:v>
      </x:c>
      <x:c r="V687" t="e">
        <x:f>IF($A687="","",[1]!thsiFinD("ths_adjustment_nv_fund",V$3,$A687))</x:f>
        <x:v>#NAME?</x:v>
      </x:c>
      <x:c r="W687" t="e">
        <x:f>IF($A687="","",[1]!thsiFinD("ths_adjustment_nv_fund",W$3,$A687))</x:f>
        <x:v>#NAME?</x:v>
      </x:c>
      <x:c r="X687" t="e">
        <x:f>IF($A687="","",[1]!thsiFinD("ths_adjustment_nv_fund",X$3,$A687))</x:f>
        <x:v>#NAME?</x:v>
      </x:c>
      <x:c r="Y687" t="e">
        <x:f>IF($A687="","",[1]!thsiFinD("ths_adjustment_nv_fund",Y$3,$A687))</x:f>
        <x:v>#NAME?</x:v>
      </x:c>
    </x:row>
    <x:row r="688">
      <x:c r="B688" t="e">
        <x:f>IF($A688="","",[1]!thsiFinD("ths_adjustment_nv_fund",B$3,$A688))</x:f>
        <x:v>#NAME?</x:v>
      </x:c>
      <x:c r="C688" t="e">
        <x:f>IF($A688="","",[1]!thsiFinD("ths_adjustment_nv_fund",C$3,$A688))</x:f>
        <x:v>#NAME?</x:v>
      </x:c>
      <x:c r="D688" t="e">
        <x:f>IF($A688="","",[1]!thsiFinD("ths_adjustment_nv_fund",D$3,$A688))</x:f>
        <x:v>#NAME?</x:v>
      </x:c>
      <x:c r="E688" t="e">
        <x:f>IF($A688="","",[1]!thsiFinD("ths_adjustment_nv_fund",E$3,$A688))</x:f>
        <x:v>#NAME?</x:v>
      </x:c>
      <x:c r="F688" t="e">
        <x:f>IF($A688="","",[1]!thsiFinD("ths_adjustment_nv_fund",F$3,$A688))</x:f>
        <x:v>#NAME?</x:v>
      </x:c>
      <x:c r="G688" t="e">
        <x:f>IF($A688="","",[1]!thsiFinD("ths_adjustment_nv_fund",G$3,$A688))</x:f>
        <x:v>#NAME?</x:v>
      </x:c>
      <x:c r="H688" t="e">
        <x:f>IF($A688="","",[1]!thsiFinD("ths_adjustment_nv_fund",H$3,$A688))</x:f>
        <x:v>#NAME?</x:v>
      </x:c>
      <x:c r="I688" t="e">
        <x:f>IF($A688="","",[1]!thsiFinD("ths_adjustment_nv_fund",I$3,$A688))</x:f>
        <x:v>#NAME?</x:v>
      </x:c>
      <x:c r="J688" t="e">
        <x:f>IF($A688="","",[1]!thsiFinD("ths_adjustment_nv_fund",J$3,$A688))</x:f>
        <x:v>#NAME?</x:v>
      </x:c>
      <x:c r="K688" t="e">
        <x:f>IF($A688="","",[1]!thsiFinD("ths_adjustment_nv_fund",K$3,$A688))</x:f>
        <x:v>#NAME?</x:v>
      </x:c>
      <x:c r="L688" t="e">
        <x:f>IF($A688="","",[1]!thsiFinD("ths_adjustment_nv_fund",L$3,$A688))</x:f>
        <x:v>#NAME?</x:v>
      </x:c>
      <x:c r="M688" t="e">
        <x:f>IF($A688="","",[1]!thsiFinD("ths_adjustment_nv_fund",M$3,$A688))</x:f>
        <x:v>#NAME?</x:v>
      </x:c>
      <x:c r="N688" t="e">
        <x:f>IF($A688="","",[1]!thsiFinD("ths_adjustment_nv_fund",N$3,$A688))</x:f>
        <x:v>#NAME?</x:v>
      </x:c>
      <x:c r="O688" t="e">
        <x:f>IF($A688="","",[1]!thsiFinD("ths_adjustment_nv_fund",O$3,$A688))</x:f>
        <x:v>#NAME?</x:v>
      </x:c>
      <x:c r="P688" t="e">
        <x:f>IF($A688="","",[1]!thsiFinD("ths_adjustment_nv_fund",P$3,$A688))</x:f>
        <x:v>#NAME?</x:v>
      </x:c>
      <x:c r="Q688" t="e">
        <x:f>IF($A688="","",[1]!thsiFinD("ths_adjustment_nv_fund",Q$3,$A688))</x:f>
        <x:v>#NAME?</x:v>
      </x:c>
      <x:c r="R688" t="e">
        <x:f>IF($A688="","",[1]!thsiFinD("ths_adjustment_nv_fund",R$3,$A688))</x:f>
        <x:v>#NAME?</x:v>
      </x:c>
      <x:c r="S688" t="e">
        <x:f>IF($A688="","",[1]!thsiFinD("ths_adjustment_nv_fund",S$3,$A688))</x:f>
        <x:v>#NAME?</x:v>
      </x:c>
      <x:c r="T688" t="e">
        <x:f>IF($A688="","",[1]!thsiFinD("ths_adjustment_nv_fund",T$3,$A688))</x:f>
        <x:v>#NAME?</x:v>
      </x:c>
      <x:c r="U688" t="e">
        <x:f>IF($A688="","",[1]!thsiFinD("ths_adjustment_nv_fund",U$3,$A688))</x:f>
        <x:v>#NAME?</x:v>
      </x:c>
      <x:c r="V688" t="e">
        <x:f>IF($A688="","",[1]!thsiFinD("ths_adjustment_nv_fund",V$3,$A688))</x:f>
        <x:v>#NAME?</x:v>
      </x:c>
      <x:c r="W688" t="e">
        <x:f>IF($A688="","",[1]!thsiFinD("ths_adjustment_nv_fund",W$3,$A688))</x:f>
        <x:v>#NAME?</x:v>
      </x:c>
      <x:c r="X688" t="e">
        <x:f>IF($A688="","",[1]!thsiFinD("ths_adjustment_nv_fund",X$3,$A688))</x:f>
        <x:v>#NAME?</x:v>
      </x:c>
      <x:c r="Y688" t="e">
        <x:f>IF($A688="","",[1]!thsiFinD("ths_adjustment_nv_fund",Y$3,$A688))</x:f>
        <x:v>#NAME?</x:v>
      </x:c>
    </x:row>
    <x:row r="689">
      <x:c r="B689" t="e">
        <x:f>IF($A689="","",[1]!thsiFinD("ths_adjustment_nv_fund",B$3,$A689))</x:f>
        <x:v>#NAME?</x:v>
      </x:c>
      <x:c r="C689" t="e">
        <x:f>IF($A689="","",[1]!thsiFinD("ths_adjustment_nv_fund",C$3,$A689))</x:f>
        <x:v>#NAME?</x:v>
      </x:c>
      <x:c r="D689" t="e">
        <x:f>IF($A689="","",[1]!thsiFinD("ths_adjustment_nv_fund",D$3,$A689))</x:f>
        <x:v>#NAME?</x:v>
      </x:c>
      <x:c r="E689" t="e">
        <x:f>IF($A689="","",[1]!thsiFinD("ths_adjustment_nv_fund",E$3,$A689))</x:f>
        <x:v>#NAME?</x:v>
      </x:c>
      <x:c r="F689" t="e">
        <x:f>IF($A689="","",[1]!thsiFinD("ths_adjustment_nv_fund",F$3,$A689))</x:f>
        <x:v>#NAME?</x:v>
      </x:c>
      <x:c r="G689" t="e">
        <x:f>IF($A689="","",[1]!thsiFinD("ths_adjustment_nv_fund",G$3,$A689))</x:f>
        <x:v>#NAME?</x:v>
      </x:c>
      <x:c r="H689" t="e">
        <x:f>IF($A689="","",[1]!thsiFinD("ths_adjustment_nv_fund",H$3,$A689))</x:f>
        <x:v>#NAME?</x:v>
      </x:c>
      <x:c r="I689" t="e">
        <x:f>IF($A689="","",[1]!thsiFinD("ths_adjustment_nv_fund",I$3,$A689))</x:f>
        <x:v>#NAME?</x:v>
      </x:c>
      <x:c r="J689" t="e">
        <x:f>IF($A689="","",[1]!thsiFinD("ths_adjustment_nv_fund",J$3,$A689))</x:f>
        <x:v>#NAME?</x:v>
      </x:c>
      <x:c r="K689" t="e">
        <x:f>IF($A689="","",[1]!thsiFinD("ths_adjustment_nv_fund",K$3,$A689))</x:f>
        <x:v>#NAME?</x:v>
      </x:c>
      <x:c r="L689" t="e">
        <x:f>IF($A689="","",[1]!thsiFinD("ths_adjustment_nv_fund",L$3,$A689))</x:f>
        <x:v>#NAME?</x:v>
      </x:c>
      <x:c r="M689" t="e">
        <x:f>IF($A689="","",[1]!thsiFinD("ths_adjustment_nv_fund",M$3,$A689))</x:f>
        <x:v>#NAME?</x:v>
      </x:c>
      <x:c r="N689" t="e">
        <x:f>IF($A689="","",[1]!thsiFinD("ths_adjustment_nv_fund",N$3,$A689))</x:f>
        <x:v>#NAME?</x:v>
      </x:c>
      <x:c r="O689" t="e">
        <x:f>IF($A689="","",[1]!thsiFinD("ths_adjustment_nv_fund",O$3,$A689))</x:f>
        <x:v>#NAME?</x:v>
      </x:c>
      <x:c r="P689" t="e">
        <x:f>IF($A689="","",[1]!thsiFinD("ths_adjustment_nv_fund",P$3,$A689))</x:f>
        <x:v>#NAME?</x:v>
      </x:c>
      <x:c r="Q689" t="e">
        <x:f>IF($A689="","",[1]!thsiFinD("ths_adjustment_nv_fund",Q$3,$A689))</x:f>
        <x:v>#NAME?</x:v>
      </x:c>
      <x:c r="R689" t="e">
        <x:f>IF($A689="","",[1]!thsiFinD("ths_adjustment_nv_fund",R$3,$A689))</x:f>
        <x:v>#NAME?</x:v>
      </x:c>
      <x:c r="S689" t="e">
        <x:f>IF($A689="","",[1]!thsiFinD("ths_adjustment_nv_fund",S$3,$A689))</x:f>
        <x:v>#NAME?</x:v>
      </x:c>
      <x:c r="T689" t="e">
        <x:f>IF($A689="","",[1]!thsiFinD("ths_adjustment_nv_fund",T$3,$A689))</x:f>
        <x:v>#NAME?</x:v>
      </x:c>
      <x:c r="U689" t="e">
        <x:f>IF($A689="","",[1]!thsiFinD("ths_adjustment_nv_fund",U$3,$A689))</x:f>
        <x:v>#NAME?</x:v>
      </x:c>
      <x:c r="V689" t="e">
        <x:f>IF($A689="","",[1]!thsiFinD("ths_adjustment_nv_fund",V$3,$A689))</x:f>
        <x:v>#NAME?</x:v>
      </x:c>
      <x:c r="W689" t="e">
        <x:f>IF($A689="","",[1]!thsiFinD("ths_adjustment_nv_fund",W$3,$A689))</x:f>
        <x:v>#NAME?</x:v>
      </x:c>
      <x:c r="X689" t="e">
        <x:f>IF($A689="","",[1]!thsiFinD("ths_adjustment_nv_fund",X$3,$A689))</x:f>
        <x:v>#NAME?</x:v>
      </x:c>
      <x:c r="Y689" t="e">
        <x:f>IF($A689="","",[1]!thsiFinD("ths_adjustment_nv_fund",Y$3,$A689))</x:f>
        <x:v>#NAME?</x:v>
      </x:c>
    </x:row>
    <x:row r="690">
      <x:c r="B690" t="e">
        <x:f>IF($A690="","",[1]!thsiFinD("ths_adjustment_nv_fund",B$3,$A690))</x:f>
        <x:v>#NAME?</x:v>
      </x:c>
      <x:c r="C690" t="e">
        <x:f>IF($A690="","",[1]!thsiFinD("ths_adjustment_nv_fund",C$3,$A690))</x:f>
        <x:v>#NAME?</x:v>
      </x:c>
      <x:c r="D690" t="e">
        <x:f>IF($A690="","",[1]!thsiFinD("ths_adjustment_nv_fund",D$3,$A690))</x:f>
        <x:v>#NAME?</x:v>
      </x:c>
      <x:c r="E690" t="e">
        <x:f>IF($A690="","",[1]!thsiFinD("ths_adjustment_nv_fund",E$3,$A690))</x:f>
        <x:v>#NAME?</x:v>
      </x:c>
      <x:c r="F690" t="e">
        <x:f>IF($A690="","",[1]!thsiFinD("ths_adjustment_nv_fund",F$3,$A690))</x:f>
        <x:v>#NAME?</x:v>
      </x:c>
      <x:c r="G690" t="e">
        <x:f>IF($A690="","",[1]!thsiFinD("ths_adjustment_nv_fund",G$3,$A690))</x:f>
        <x:v>#NAME?</x:v>
      </x:c>
      <x:c r="H690" t="e">
        <x:f>IF($A690="","",[1]!thsiFinD("ths_adjustment_nv_fund",H$3,$A690))</x:f>
        <x:v>#NAME?</x:v>
      </x:c>
      <x:c r="I690" t="e">
        <x:f>IF($A690="","",[1]!thsiFinD("ths_adjustment_nv_fund",I$3,$A690))</x:f>
        <x:v>#NAME?</x:v>
      </x:c>
      <x:c r="J690" t="e">
        <x:f>IF($A690="","",[1]!thsiFinD("ths_adjustment_nv_fund",J$3,$A690))</x:f>
        <x:v>#NAME?</x:v>
      </x:c>
      <x:c r="K690" t="e">
        <x:f>IF($A690="","",[1]!thsiFinD("ths_adjustment_nv_fund",K$3,$A690))</x:f>
        <x:v>#NAME?</x:v>
      </x:c>
      <x:c r="L690" t="e">
        <x:f>IF($A690="","",[1]!thsiFinD("ths_adjustment_nv_fund",L$3,$A690))</x:f>
        <x:v>#NAME?</x:v>
      </x:c>
      <x:c r="M690" t="e">
        <x:f>IF($A690="","",[1]!thsiFinD("ths_adjustment_nv_fund",M$3,$A690))</x:f>
        <x:v>#NAME?</x:v>
      </x:c>
      <x:c r="N690" t="e">
        <x:f>IF($A690="","",[1]!thsiFinD("ths_adjustment_nv_fund",N$3,$A690))</x:f>
        <x:v>#NAME?</x:v>
      </x:c>
      <x:c r="O690" t="e">
        <x:f>IF($A690="","",[1]!thsiFinD("ths_adjustment_nv_fund",O$3,$A690))</x:f>
        <x:v>#NAME?</x:v>
      </x:c>
      <x:c r="P690" t="e">
        <x:f>IF($A690="","",[1]!thsiFinD("ths_adjustment_nv_fund",P$3,$A690))</x:f>
        <x:v>#NAME?</x:v>
      </x:c>
      <x:c r="Q690" t="e">
        <x:f>IF($A690="","",[1]!thsiFinD("ths_adjustment_nv_fund",Q$3,$A690))</x:f>
        <x:v>#NAME?</x:v>
      </x:c>
      <x:c r="R690" t="e">
        <x:f>IF($A690="","",[1]!thsiFinD("ths_adjustment_nv_fund",R$3,$A690))</x:f>
        <x:v>#NAME?</x:v>
      </x:c>
      <x:c r="S690" t="e">
        <x:f>IF($A690="","",[1]!thsiFinD("ths_adjustment_nv_fund",S$3,$A690))</x:f>
        <x:v>#NAME?</x:v>
      </x:c>
      <x:c r="T690" t="e">
        <x:f>IF($A690="","",[1]!thsiFinD("ths_adjustment_nv_fund",T$3,$A690))</x:f>
        <x:v>#NAME?</x:v>
      </x:c>
      <x:c r="U690" t="e">
        <x:f>IF($A690="","",[1]!thsiFinD("ths_adjustment_nv_fund",U$3,$A690))</x:f>
        <x:v>#NAME?</x:v>
      </x:c>
      <x:c r="V690" t="e">
        <x:f>IF($A690="","",[1]!thsiFinD("ths_adjustment_nv_fund",V$3,$A690))</x:f>
        <x:v>#NAME?</x:v>
      </x:c>
      <x:c r="W690" t="e">
        <x:f>IF($A690="","",[1]!thsiFinD("ths_adjustment_nv_fund",W$3,$A690))</x:f>
        <x:v>#NAME?</x:v>
      </x:c>
      <x:c r="X690" t="e">
        <x:f>IF($A690="","",[1]!thsiFinD("ths_adjustment_nv_fund",X$3,$A690))</x:f>
        <x:v>#NAME?</x:v>
      </x:c>
      <x:c r="Y690" t="e">
        <x:f>IF($A690="","",[1]!thsiFinD("ths_adjustment_nv_fund",Y$3,$A690))</x:f>
        <x:v>#NAME?</x:v>
      </x:c>
    </x:row>
    <x:row r="691">
      <x:c r="B691" t="e">
        <x:f>IF($A691="","",[1]!thsiFinD("ths_adjustment_nv_fund",B$3,$A691))</x:f>
        <x:v>#NAME?</x:v>
      </x:c>
      <x:c r="C691" t="e">
        <x:f>IF($A691="","",[1]!thsiFinD("ths_adjustment_nv_fund",C$3,$A691))</x:f>
        <x:v>#NAME?</x:v>
      </x:c>
      <x:c r="D691" t="e">
        <x:f>IF($A691="","",[1]!thsiFinD("ths_adjustment_nv_fund",D$3,$A691))</x:f>
        <x:v>#NAME?</x:v>
      </x:c>
      <x:c r="E691" t="e">
        <x:f>IF($A691="","",[1]!thsiFinD("ths_adjustment_nv_fund",E$3,$A691))</x:f>
        <x:v>#NAME?</x:v>
      </x:c>
      <x:c r="F691" t="e">
        <x:f>IF($A691="","",[1]!thsiFinD("ths_adjustment_nv_fund",F$3,$A691))</x:f>
        <x:v>#NAME?</x:v>
      </x:c>
      <x:c r="G691" t="e">
        <x:f>IF($A691="","",[1]!thsiFinD("ths_adjustment_nv_fund",G$3,$A691))</x:f>
        <x:v>#NAME?</x:v>
      </x:c>
      <x:c r="H691" t="e">
        <x:f>IF($A691="","",[1]!thsiFinD("ths_adjustment_nv_fund",H$3,$A691))</x:f>
        <x:v>#NAME?</x:v>
      </x:c>
      <x:c r="I691" t="e">
        <x:f>IF($A691="","",[1]!thsiFinD("ths_adjustment_nv_fund",I$3,$A691))</x:f>
        <x:v>#NAME?</x:v>
      </x:c>
      <x:c r="J691" t="e">
        <x:f>IF($A691="","",[1]!thsiFinD("ths_adjustment_nv_fund",J$3,$A691))</x:f>
        <x:v>#NAME?</x:v>
      </x:c>
      <x:c r="K691" t="e">
        <x:f>IF($A691="","",[1]!thsiFinD("ths_adjustment_nv_fund",K$3,$A691))</x:f>
        <x:v>#NAME?</x:v>
      </x:c>
      <x:c r="L691" t="e">
        <x:f>IF($A691="","",[1]!thsiFinD("ths_adjustment_nv_fund",L$3,$A691))</x:f>
        <x:v>#NAME?</x:v>
      </x:c>
      <x:c r="M691" t="e">
        <x:f>IF($A691="","",[1]!thsiFinD("ths_adjustment_nv_fund",M$3,$A691))</x:f>
        <x:v>#NAME?</x:v>
      </x:c>
      <x:c r="N691" t="e">
        <x:f>IF($A691="","",[1]!thsiFinD("ths_adjustment_nv_fund",N$3,$A691))</x:f>
        <x:v>#NAME?</x:v>
      </x:c>
      <x:c r="O691" t="e">
        <x:f>IF($A691="","",[1]!thsiFinD("ths_adjustment_nv_fund",O$3,$A691))</x:f>
        <x:v>#NAME?</x:v>
      </x:c>
      <x:c r="P691" t="e">
        <x:f>IF($A691="","",[1]!thsiFinD("ths_adjustment_nv_fund",P$3,$A691))</x:f>
        <x:v>#NAME?</x:v>
      </x:c>
      <x:c r="Q691" t="e">
        <x:f>IF($A691="","",[1]!thsiFinD("ths_adjustment_nv_fund",Q$3,$A691))</x:f>
        <x:v>#NAME?</x:v>
      </x:c>
      <x:c r="R691" t="e">
        <x:f>IF($A691="","",[1]!thsiFinD("ths_adjustment_nv_fund",R$3,$A691))</x:f>
        <x:v>#NAME?</x:v>
      </x:c>
      <x:c r="S691" t="e">
        <x:f>IF($A691="","",[1]!thsiFinD("ths_adjustment_nv_fund",S$3,$A691))</x:f>
        <x:v>#NAME?</x:v>
      </x:c>
      <x:c r="T691" t="e">
        <x:f>IF($A691="","",[1]!thsiFinD("ths_adjustment_nv_fund",T$3,$A691))</x:f>
        <x:v>#NAME?</x:v>
      </x:c>
      <x:c r="U691" t="e">
        <x:f>IF($A691="","",[1]!thsiFinD("ths_adjustment_nv_fund",U$3,$A691))</x:f>
        <x:v>#NAME?</x:v>
      </x:c>
      <x:c r="V691" t="e">
        <x:f>IF($A691="","",[1]!thsiFinD("ths_adjustment_nv_fund",V$3,$A691))</x:f>
        <x:v>#NAME?</x:v>
      </x:c>
      <x:c r="W691" t="e">
        <x:f>IF($A691="","",[1]!thsiFinD("ths_adjustment_nv_fund",W$3,$A691))</x:f>
        <x:v>#NAME?</x:v>
      </x:c>
      <x:c r="X691" t="e">
        <x:f>IF($A691="","",[1]!thsiFinD("ths_adjustment_nv_fund",X$3,$A691))</x:f>
        <x:v>#NAME?</x:v>
      </x:c>
      <x:c r="Y691" t="e">
        <x:f>IF($A691="","",[1]!thsiFinD("ths_adjustment_nv_fund",Y$3,$A691))</x:f>
        <x:v>#NAME?</x:v>
      </x:c>
    </x:row>
    <x:row r="692">
      <x:c r="B692" t="e">
        <x:f>IF($A692="","",[1]!thsiFinD("ths_adjustment_nv_fund",B$3,$A692))</x:f>
        <x:v>#NAME?</x:v>
      </x:c>
      <x:c r="C692" t="e">
        <x:f>IF($A692="","",[1]!thsiFinD("ths_adjustment_nv_fund",C$3,$A692))</x:f>
        <x:v>#NAME?</x:v>
      </x:c>
      <x:c r="D692" t="e">
        <x:f>IF($A692="","",[1]!thsiFinD("ths_adjustment_nv_fund",D$3,$A692))</x:f>
        <x:v>#NAME?</x:v>
      </x:c>
      <x:c r="E692" t="e">
        <x:f>IF($A692="","",[1]!thsiFinD("ths_adjustment_nv_fund",E$3,$A692))</x:f>
        <x:v>#NAME?</x:v>
      </x:c>
      <x:c r="F692" t="e">
        <x:f>IF($A692="","",[1]!thsiFinD("ths_adjustment_nv_fund",F$3,$A692))</x:f>
        <x:v>#NAME?</x:v>
      </x:c>
      <x:c r="G692" t="e">
        <x:f>IF($A692="","",[1]!thsiFinD("ths_adjustment_nv_fund",G$3,$A692))</x:f>
        <x:v>#NAME?</x:v>
      </x:c>
      <x:c r="H692" t="e">
        <x:f>IF($A692="","",[1]!thsiFinD("ths_adjustment_nv_fund",H$3,$A692))</x:f>
        <x:v>#NAME?</x:v>
      </x:c>
      <x:c r="I692" t="e">
        <x:f>IF($A692="","",[1]!thsiFinD("ths_adjustment_nv_fund",I$3,$A692))</x:f>
        <x:v>#NAME?</x:v>
      </x:c>
      <x:c r="J692" t="e">
        <x:f>IF($A692="","",[1]!thsiFinD("ths_adjustment_nv_fund",J$3,$A692))</x:f>
        <x:v>#NAME?</x:v>
      </x:c>
      <x:c r="K692" t="e">
        <x:f>IF($A692="","",[1]!thsiFinD("ths_adjustment_nv_fund",K$3,$A692))</x:f>
        <x:v>#NAME?</x:v>
      </x:c>
      <x:c r="L692" t="e">
        <x:f>IF($A692="","",[1]!thsiFinD("ths_adjustment_nv_fund",L$3,$A692))</x:f>
        <x:v>#NAME?</x:v>
      </x:c>
      <x:c r="M692" t="e">
        <x:f>IF($A692="","",[1]!thsiFinD("ths_adjustment_nv_fund",M$3,$A692))</x:f>
        <x:v>#NAME?</x:v>
      </x:c>
      <x:c r="N692" t="e">
        <x:f>IF($A692="","",[1]!thsiFinD("ths_adjustment_nv_fund",N$3,$A692))</x:f>
        <x:v>#NAME?</x:v>
      </x:c>
      <x:c r="O692" t="e">
        <x:f>IF($A692="","",[1]!thsiFinD("ths_adjustment_nv_fund",O$3,$A692))</x:f>
        <x:v>#NAME?</x:v>
      </x:c>
      <x:c r="P692" t="e">
        <x:f>IF($A692="","",[1]!thsiFinD("ths_adjustment_nv_fund",P$3,$A692))</x:f>
        <x:v>#NAME?</x:v>
      </x:c>
      <x:c r="Q692" t="e">
        <x:f>IF($A692="","",[1]!thsiFinD("ths_adjustment_nv_fund",Q$3,$A692))</x:f>
        <x:v>#NAME?</x:v>
      </x:c>
      <x:c r="R692" t="e">
        <x:f>IF($A692="","",[1]!thsiFinD("ths_adjustment_nv_fund",R$3,$A692))</x:f>
        <x:v>#NAME?</x:v>
      </x:c>
      <x:c r="S692" t="e">
        <x:f>IF($A692="","",[1]!thsiFinD("ths_adjustment_nv_fund",S$3,$A692))</x:f>
        <x:v>#NAME?</x:v>
      </x:c>
      <x:c r="T692" t="e">
        <x:f>IF($A692="","",[1]!thsiFinD("ths_adjustment_nv_fund",T$3,$A692))</x:f>
        <x:v>#NAME?</x:v>
      </x:c>
      <x:c r="U692" t="e">
        <x:f>IF($A692="","",[1]!thsiFinD("ths_adjustment_nv_fund",U$3,$A692))</x:f>
        <x:v>#NAME?</x:v>
      </x:c>
      <x:c r="V692" t="e">
        <x:f>IF($A692="","",[1]!thsiFinD("ths_adjustment_nv_fund",V$3,$A692))</x:f>
        <x:v>#NAME?</x:v>
      </x:c>
      <x:c r="W692" t="e">
        <x:f>IF($A692="","",[1]!thsiFinD("ths_adjustment_nv_fund",W$3,$A692))</x:f>
        <x:v>#NAME?</x:v>
      </x:c>
      <x:c r="X692" t="e">
        <x:f>IF($A692="","",[1]!thsiFinD("ths_adjustment_nv_fund",X$3,$A692))</x:f>
        <x:v>#NAME?</x:v>
      </x:c>
      <x:c r="Y692" t="e">
        <x:f>IF($A692="","",[1]!thsiFinD("ths_adjustment_nv_fund",Y$3,$A692))</x:f>
        <x:v>#NAME?</x:v>
      </x:c>
    </x:row>
    <x:row r="693">
      <x:c r="B693" t="e">
        <x:f>IF($A693="","",[1]!thsiFinD("ths_adjustment_nv_fund",B$3,$A693))</x:f>
        <x:v>#NAME?</x:v>
      </x:c>
      <x:c r="C693" t="e">
        <x:f>IF($A693="","",[1]!thsiFinD("ths_adjustment_nv_fund",C$3,$A693))</x:f>
        <x:v>#NAME?</x:v>
      </x:c>
      <x:c r="D693" t="e">
        <x:f>IF($A693="","",[1]!thsiFinD("ths_adjustment_nv_fund",D$3,$A693))</x:f>
        <x:v>#NAME?</x:v>
      </x:c>
      <x:c r="E693" t="e">
        <x:f>IF($A693="","",[1]!thsiFinD("ths_adjustment_nv_fund",E$3,$A693))</x:f>
        <x:v>#NAME?</x:v>
      </x:c>
      <x:c r="F693" t="e">
        <x:f>IF($A693="","",[1]!thsiFinD("ths_adjustment_nv_fund",F$3,$A693))</x:f>
        <x:v>#NAME?</x:v>
      </x:c>
      <x:c r="G693" t="e">
        <x:f>IF($A693="","",[1]!thsiFinD("ths_adjustment_nv_fund",G$3,$A693))</x:f>
        <x:v>#NAME?</x:v>
      </x:c>
      <x:c r="H693" t="e">
        <x:f>IF($A693="","",[1]!thsiFinD("ths_adjustment_nv_fund",H$3,$A693))</x:f>
        <x:v>#NAME?</x:v>
      </x:c>
      <x:c r="I693" t="e">
        <x:f>IF($A693="","",[1]!thsiFinD("ths_adjustment_nv_fund",I$3,$A693))</x:f>
        <x:v>#NAME?</x:v>
      </x:c>
      <x:c r="J693" t="e">
        <x:f>IF($A693="","",[1]!thsiFinD("ths_adjustment_nv_fund",J$3,$A693))</x:f>
        <x:v>#NAME?</x:v>
      </x:c>
      <x:c r="K693" t="e">
        <x:f>IF($A693="","",[1]!thsiFinD("ths_adjustment_nv_fund",K$3,$A693))</x:f>
        <x:v>#NAME?</x:v>
      </x:c>
      <x:c r="L693" t="e">
        <x:f>IF($A693="","",[1]!thsiFinD("ths_adjustment_nv_fund",L$3,$A693))</x:f>
        <x:v>#NAME?</x:v>
      </x:c>
      <x:c r="M693" t="e">
        <x:f>IF($A693="","",[1]!thsiFinD("ths_adjustment_nv_fund",M$3,$A693))</x:f>
        <x:v>#NAME?</x:v>
      </x:c>
      <x:c r="N693" t="e">
        <x:f>IF($A693="","",[1]!thsiFinD("ths_adjustment_nv_fund",N$3,$A693))</x:f>
        <x:v>#NAME?</x:v>
      </x:c>
      <x:c r="O693" t="e">
        <x:f>IF($A693="","",[1]!thsiFinD("ths_adjustment_nv_fund",O$3,$A693))</x:f>
        <x:v>#NAME?</x:v>
      </x:c>
      <x:c r="P693" t="e">
        <x:f>IF($A693="","",[1]!thsiFinD("ths_adjustment_nv_fund",P$3,$A693))</x:f>
        <x:v>#NAME?</x:v>
      </x:c>
      <x:c r="Q693" t="e">
        <x:f>IF($A693="","",[1]!thsiFinD("ths_adjustment_nv_fund",Q$3,$A693))</x:f>
        <x:v>#NAME?</x:v>
      </x:c>
      <x:c r="R693" t="e">
        <x:f>IF($A693="","",[1]!thsiFinD("ths_adjustment_nv_fund",R$3,$A693))</x:f>
        <x:v>#NAME?</x:v>
      </x:c>
      <x:c r="S693" t="e">
        <x:f>IF($A693="","",[1]!thsiFinD("ths_adjustment_nv_fund",S$3,$A693))</x:f>
        <x:v>#NAME?</x:v>
      </x:c>
      <x:c r="T693" t="e">
        <x:f>IF($A693="","",[1]!thsiFinD("ths_adjustment_nv_fund",T$3,$A693))</x:f>
        <x:v>#NAME?</x:v>
      </x:c>
      <x:c r="U693" t="e">
        <x:f>IF($A693="","",[1]!thsiFinD("ths_adjustment_nv_fund",U$3,$A693))</x:f>
        <x:v>#NAME?</x:v>
      </x:c>
      <x:c r="V693" t="e">
        <x:f>IF($A693="","",[1]!thsiFinD("ths_adjustment_nv_fund",V$3,$A693))</x:f>
        <x:v>#NAME?</x:v>
      </x:c>
      <x:c r="W693" t="e">
        <x:f>IF($A693="","",[1]!thsiFinD("ths_adjustment_nv_fund",W$3,$A693))</x:f>
        <x:v>#NAME?</x:v>
      </x:c>
      <x:c r="X693" t="e">
        <x:f>IF($A693="","",[1]!thsiFinD("ths_adjustment_nv_fund",X$3,$A693))</x:f>
        <x:v>#NAME?</x:v>
      </x:c>
      <x:c r="Y693" t="e">
        <x:f>IF($A693="","",[1]!thsiFinD("ths_adjustment_nv_fund",Y$3,$A693))</x:f>
        <x:v>#NAME?</x:v>
      </x:c>
    </x:row>
    <x:row r="694">
      <x:c r="B694" t="e">
        <x:f>IF($A694="","",[1]!thsiFinD("ths_adjustment_nv_fund",B$3,$A694))</x:f>
        <x:v>#NAME?</x:v>
      </x:c>
      <x:c r="C694" t="e">
        <x:f>IF($A694="","",[1]!thsiFinD("ths_adjustment_nv_fund",C$3,$A694))</x:f>
        <x:v>#NAME?</x:v>
      </x:c>
      <x:c r="D694" t="e">
        <x:f>IF($A694="","",[1]!thsiFinD("ths_adjustment_nv_fund",D$3,$A694))</x:f>
        <x:v>#NAME?</x:v>
      </x:c>
      <x:c r="E694" t="e">
        <x:f>IF($A694="","",[1]!thsiFinD("ths_adjustment_nv_fund",E$3,$A694))</x:f>
        <x:v>#NAME?</x:v>
      </x:c>
      <x:c r="F694" t="e">
        <x:f>IF($A694="","",[1]!thsiFinD("ths_adjustment_nv_fund",F$3,$A694))</x:f>
        <x:v>#NAME?</x:v>
      </x:c>
      <x:c r="G694" t="e">
        <x:f>IF($A694="","",[1]!thsiFinD("ths_adjustment_nv_fund",G$3,$A694))</x:f>
        <x:v>#NAME?</x:v>
      </x:c>
      <x:c r="H694" t="e">
        <x:f>IF($A694="","",[1]!thsiFinD("ths_adjustment_nv_fund",H$3,$A694))</x:f>
        <x:v>#NAME?</x:v>
      </x:c>
      <x:c r="I694" t="e">
        <x:f>IF($A694="","",[1]!thsiFinD("ths_adjustment_nv_fund",I$3,$A694))</x:f>
        <x:v>#NAME?</x:v>
      </x:c>
      <x:c r="J694" t="e">
        <x:f>IF($A694="","",[1]!thsiFinD("ths_adjustment_nv_fund",J$3,$A694))</x:f>
        <x:v>#NAME?</x:v>
      </x:c>
      <x:c r="K694" t="e">
        <x:f>IF($A694="","",[1]!thsiFinD("ths_adjustment_nv_fund",K$3,$A694))</x:f>
        <x:v>#NAME?</x:v>
      </x:c>
      <x:c r="L694" t="e">
        <x:f>IF($A694="","",[1]!thsiFinD("ths_adjustment_nv_fund",L$3,$A694))</x:f>
        <x:v>#NAME?</x:v>
      </x:c>
      <x:c r="M694" t="e">
        <x:f>IF($A694="","",[1]!thsiFinD("ths_adjustment_nv_fund",M$3,$A694))</x:f>
        <x:v>#NAME?</x:v>
      </x:c>
      <x:c r="N694" t="e">
        <x:f>IF($A694="","",[1]!thsiFinD("ths_adjustment_nv_fund",N$3,$A694))</x:f>
        <x:v>#NAME?</x:v>
      </x:c>
      <x:c r="O694" t="e">
        <x:f>IF($A694="","",[1]!thsiFinD("ths_adjustment_nv_fund",O$3,$A694))</x:f>
        <x:v>#NAME?</x:v>
      </x:c>
      <x:c r="P694" t="e">
        <x:f>IF($A694="","",[1]!thsiFinD("ths_adjustment_nv_fund",P$3,$A694))</x:f>
        <x:v>#NAME?</x:v>
      </x:c>
      <x:c r="Q694" t="e">
        <x:f>IF($A694="","",[1]!thsiFinD("ths_adjustment_nv_fund",Q$3,$A694))</x:f>
        <x:v>#NAME?</x:v>
      </x:c>
      <x:c r="R694" t="e">
        <x:f>IF($A694="","",[1]!thsiFinD("ths_adjustment_nv_fund",R$3,$A694))</x:f>
        <x:v>#NAME?</x:v>
      </x:c>
      <x:c r="S694" t="e">
        <x:f>IF($A694="","",[1]!thsiFinD("ths_adjustment_nv_fund",S$3,$A694))</x:f>
        <x:v>#NAME?</x:v>
      </x:c>
      <x:c r="T694" t="e">
        <x:f>IF($A694="","",[1]!thsiFinD("ths_adjustment_nv_fund",T$3,$A694))</x:f>
        <x:v>#NAME?</x:v>
      </x:c>
      <x:c r="U694" t="e">
        <x:f>IF($A694="","",[1]!thsiFinD("ths_adjustment_nv_fund",U$3,$A694))</x:f>
        <x:v>#NAME?</x:v>
      </x:c>
      <x:c r="V694" t="e">
        <x:f>IF($A694="","",[1]!thsiFinD("ths_adjustment_nv_fund",V$3,$A694))</x:f>
        <x:v>#NAME?</x:v>
      </x:c>
      <x:c r="W694" t="e">
        <x:f>IF($A694="","",[1]!thsiFinD("ths_adjustment_nv_fund",W$3,$A694))</x:f>
        <x:v>#NAME?</x:v>
      </x:c>
      <x:c r="X694" t="e">
        <x:f>IF($A694="","",[1]!thsiFinD("ths_adjustment_nv_fund",X$3,$A694))</x:f>
        <x:v>#NAME?</x:v>
      </x:c>
      <x:c r="Y694" t="e">
        <x:f>IF($A694="","",[1]!thsiFinD("ths_adjustment_nv_fund",Y$3,$A694))</x:f>
        <x:v>#NAME?</x:v>
      </x:c>
    </x:row>
    <x:row r="695">
      <x:c r="B695" t="e">
        <x:f>IF($A695="","",[1]!thsiFinD("ths_adjustment_nv_fund",B$3,$A695))</x:f>
        <x:v>#NAME?</x:v>
      </x:c>
      <x:c r="C695" t="e">
        <x:f>IF($A695="","",[1]!thsiFinD("ths_adjustment_nv_fund",C$3,$A695))</x:f>
        <x:v>#NAME?</x:v>
      </x:c>
      <x:c r="D695" t="e">
        <x:f>IF($A695="","",[1]!thsiFinD("ths_adjustment_nv_fund",D$3,$A695))</x:f>
        <x:v>#NAME?</x:v>
      </x:c>
      <x:c r="E695" t="e">
        <x:f>IF($A695="","",[1]!thsiFinD("ths_adjustment_nv_fund",E$3,$A695))</x:f>
        <x:v>#NAME?</x:v>
      </x:c>
      <x:c r="F695" t="e">
        <x:f>IF($A695="","",[1]!thsiFinD("ths_adjustment_nv_fund",F$3,$A695))</x:f>
        <x:v>#NAME?</x:v>
      </x:c>
      <x:c r="G695" t="e">
        <x:f>IF($A695="","",[1]!thsiFinD("ths_adjustment_nv_fund",G$3,$A695))</x:f>
        <x:v>#NAME?</x:v>
      </x:c>
      <x:c r="H695" t="e">
        <x:f>IF($A695="","",[1]!thsiFinD("ths_adjustment_nv_fund",H$3,$A695))</x:f>
        <x:v>#NAME?</x:v>
      </x:c>
      <x:c r="I695" t="e">
        <x:f>IF($A695="","",[1]!thsiFinD("ths_adjustment_nv_fund",I$3,$A695))</x:f>
        <x:v>#NAME?</x:v>
      </x:c>
      <x:c r="J695" t="e">
        <x:f>IF($A695="","",[1]!thsiFinD("ths_adjustment_nv_fund",J$3,$A695))</x:f>
        <x:v>#NAME?</x:v>
      </x:c>
      <x:c r="K695" t="e">
        <x:f>IF($A695="","",[1]!thsiFinD("ths_adjustment_nv_fund",K$3,$A695))</x:f>
        <x:v>#NAME?</x:v>
      </x:c>
      <x:c r="L695" t="e">
        <x:f>IF($A695="","",[1]!thsiFinD("ths_adjustment_nv_fund",L$3,$A695))</x:f>
        <x:v>#NAME?</x:v>
      </x:c>
      <x:c r="M695" t="e">
        <x:f>IF($A695="","",[1]!thsiFinD("ths_adjustment_nv_fund",M$3,$A695))</x:f>
        <x:v>#NAME?</x:v>
      </x:c>
      <x:c r="N695" t="e">
        <x:f>IF($A695="","",[1]!thsiFinD("ths_adjustment_nv_fund",N$3,$A695))</x:f>
        <x:v>#NAME?</x:v>
      </x:c>
      <x:c r="O695" t="e">
        <x:f>IF($A695="","",[1]!thsiFinD("ths_adjustment_nv_fund",O$3,$A695))</x:f>
        <x:v>#NAME?</x:v>
      </x:c>
      <x:c r="P695" t="e">
        <x:f>IF($A695="","",[1]!thsiFinD("ths_adjustment_nv_fund",P$3,$A695))</x:f>
        <x:v>#NAME?</x:v>
      </x:c>
      <x:c r="Q695" t="e">
        <x:f>IF($A695="","",[1]!thsiFinD("ths_adjustment_nv_fund",Q$3,$A695))</x:f>
        <x:v>#NAME?</x:v>
      </x:c>
      <x:c r="R695" t="e">
        <x:f>IF($A695="","",[1]!thsiFinD("ths_adjustment_nv_fund",R$3,$A695))</x:f>
        <x:v>#NAME?</x:v>
      </x:c>
      <x:c r="S695" t="e">
        <x:f>IF($A695="","",[1]!thsiFinD("ths_adjustment_nv_fund",S$3,$A695))</x:f>
        <x:v>#NAME?</x:v>
      </x:c>
      <x:c r="T695" t="e">
        <x:f>IF($A695="","",[1]!thsiFinD("ths_adjustment_nv_fund",T$3,$A695))</x:f>
        <x:v>#NAME?</x:v>
      </x:c>
      <x:c r="U695" t="e">
        <x:f>IF($A695="","",[1]!thsiFinD("ths_adjustment_nv_fund",U$3,$A695))</x:f>
        <x:v>#NAME?</x:v>
      </x:c>
      <x:c r="V695" t="e">
        <x:f>IF($A695="","",[1]!thsiFinD("ths_adjustment_nv_fund",V$3,$A695))</x:f>
        <x:v>#NAME?</x:v>
      </x:c>
      <x:c r="W695" t="e">
        <x:f>IF($A695="","",[1]!thsiFinD("ths_adjustment_nv_fund",W$3,$A695))</x:f>
        <x:v>#NAME?</x:v>
      </x:c>
      <x:c r="X695" t="e">
        <x:f>IF($A695="","",[1]!thsiFinD("ths_adjustment_nv_fund",X$3,$A695))</x:f>
        <x:v>#NAME?</x:v>
      </x:c>
      <x:c r="Y695" t="e">
        <x:f>IF($A695="","",[1]!thsiFinD("ths_adjustment_nv_fund",Y$3,$A695))</x:f>
        <x:v>#NAME?</x:v>
      </x:c>
    </x:row>
    <x:row r="696">
      <x:c r="B696" t="e">
        <x:f>IF($A696="","",[1]!thsiFinD("ths_adjustment_nv_fund",B$3,$A696))</x:f>
        <x:v>#NAME?</x:v>
      </x:c>
      <x:c r="C696" t="e">
        <x:f>IF($A696="","",[1]!thsiFinD("ths_adjustment_nv_fund",C$3,$A696))</x:f>
        <x:v>#NAME?</x:v>
      </x:c>
      <x:c r="D696" t="e">
        <x:f>IF($A696="","",[1]!thsiFinD("ths_adjustment_nv_fund",D$3,$A696))</x:f>
        <x:v>#NAME?</x:v>
      </x:c>
      <x:c r="E696" t="e">
        <x:f>IF($A696="","",[1]!thsiFinD("ths_adjustment_nv_fund",E$3,$A696))</x:f>
        <x:v>#NAME?</x:v>
      </x:c>
      <x:c r="F696" t="e">
        <x:f>IF($A696="","",[1]!thsiFinD("ths_adjustment_nv_fund",F$3,$A696))</x:f>
        <x:v>#NAME?</x:v>
      </x:c>
      <x:c r="G696" t="e">
        <x:f>IF($A696="","",[1]!thsiFinD("ths_adjustment_nv_fund",G$3,$A696))</x:f>
        <x:v>#NAME?</x:v>
      </x:c>
      <x:c r="H696" t="e">
        <x:f>IF($A696="","",[1]!thsiFinD("ths_adjustment_nv_fund",H$3,$A696))</x:f>
        <x:v>#NAME?</x:v>
      </x:c>
      <x:c r="I696" t="e">
        <x:f>IF($A696="","",[1]!thsiFinD("ths_adjustment_nv_fund",I$3,$A696))</x:f>
        <x:v>#NAME?</x:v>
      </x:c>
      <x:c r="J696" t="e">
        <x:f>IF($A696="","",[1]!thsiFinD("ths_adjustment_nv_fund",J$3,$A696))</x:f>
        <x:v>#NAME?</x:v>
      </x:c>
      <x:c r="K696" t="e">
        <x:f>IF($A696="","",[1]!thsiFinD("ths_adjustment_nv_fund",K$3,$A696))</x:f>
        <x:v>#NAME?</x:v>
      </x:c>
      <x:c r="L696" t="e">
        <x:f>IF($A696="","",[1]!thsiFinD("ths_adjustment_nv_fund",L$3,$A696))</x:f>
        <x:v>#NAME?</x:v>
      </x:c>
      <x:c r="M696" t="e">
        <x:f>IF($A696="","",[1]!thsiFinD("ths_adjustment_nv_fund",M$3,$A696))</x:f>
        <x:v>#NAME?</x:v>
      </x:c>
      <x:c r="N696" t="e">
        <x:f>IF($A696="","",[1]!thsiFinD("ths_adjustment_nv_fund",N$3,$A696))</x:f>
        <x:v>#NAME?</x:v>
      </x:c>
      <x:c r="O696" t="e">
        <x:f>IF($A696="","",[1]!thsiFinD("ths_adjustment_nv_fund",O$3,$A696))</x:f>
        <x:v>#NAME?</x:v>
      </x:c>
      <x:c r="P696" t="e">
        <x:f>IF($A696="","",[1]!thsiFinD("ths_adjustment_nv_fund",P$3,$A696))</x:f>
        <x:v>#NAME?</x:v>
      </x:c>
      <x:c r="Q696" t="e">
        <x:f>IF($A696="","",[1]!thsiFinD("ths_adjustment_nv_fund",Q$3,$A696))</x:f>
        <x:v>#NAME?</x:v>
      </x:c>
      <x:c r="R696" t="e">
        <x:f>IF($A696="","",[1]!thsiFinD("ths_adjustment_nv_fund",R$3,$A696))</x:f>
        <x:v>#NAME?</x:v>
      </x:c>
      <x:c r="S696" t="e">
        <x:f>IF($A696="","",[1]!thsiFinD("ths_adjustment_nv_fund",S$3,$A696))</x:f>
        <x:v>#NAME?</x:v>
      </x:c>
      <x:c r="T696" t="e">
        <x:f>IF($A696="","",[1]!thsiFinD("ths_adjustment_nv_fund",T$3,$A696))</x:f>
        <x:v>#NAME?</x:v>
      </x:c>
      <x:c r="U696" t="e">
        <x:f>IF($A696="","",[1]!thsiFinD("ths_adjustment_nv_fund",U$3,$A696))</x:f>
        <x:v>#NAME?</x:v>
      </x:c>
      <x:c r="V696" t="e">
        <x:f>IF($A696="","",[1]!thsiFinD("ths_adjustment_nv_fund",V$3,$A696))</x:f>
        <x:v>#NAME?</x:v>
      </x:c>
      <x:c r="W696" t="e">
        <x:f>IF($A696="","",[1]!thsiFinD("ths_adjustment_nv_fund",W$3,$A696))</x:f>
        <x:v>#NAME?</x:v>
      </x:c>
      <x:c r="X696" t="e">
        <x:f>IF($A696="","",[1]!thsiFinD("ths_adjustment_nv_fund",X$3,$A696))</x:f>
        <x:v>#NAME?</x:v>
      </x:c>
      <x:c r="Y696" t="e">
        <x:f>IF($A696="","",[1]!thsiFinD("ths_adjustment_nv_fund",Y$3,$A696))</x:f>
        <x:v>#NAME?</x:v>
      </x:c>
    </x:row>
    <x:row r="697">
      <x:c r="B697" t="e">
        <x:f>IF($A697="","",[1]!thsiFinD("ths_adjustment_nv_fund",B$3,$A697))</x:f>
        <x:v>#NAME?</x:v>
      </x:c>
      <x:c r="C697" t="e">
        <x:f>IF($A697="","",[1]!thsiFinD("ths_adjustment_nv_fund",C$3,$A697))</x:f>
        <x:v>#NAME?</x:v>
      </x:c>
      <x:c r="D697" t="e">
        <x:f>IF($A697="","",[1]!thsiFinD("ths_adjustment_nv_fund",D$3,$A697))</x:f>
        <x:v>#NAME?</x:v>
      </x:c>
      <x:c r="E697" t="e">
        <x:f>IF($A697="","",[1]!thsiFinD("ths_adjustment_nv_fund",E$3,$A697))</x:f>
        <x:v>#NAME?</x:v>
      </x:c>
      <x:c r="F697" t="e">
        <x:f>IF($A697="","",[1]!thsiFinD("ths_adjustment_nv_fund",F$3,$A697))</x:f>
        <x:v>#NAME?</x:v>
      </x:c>
      <x:c r="G697" t="e">
        <x:f>IF($A697="","",[1]!thsiFinD("ths_adjustment_nv_fund",G$3,$A697))</x:f>
        <x:v>#NAME?</x:v>
      </x:c>
      <x:c r="H697" t="e">
        <x:f>IF($A697="","",[1]!thsiFinD("ths_adjustment_nv_fund",H$3,$A697))</x:f>
        <x:v>#NAME?</x:v>
      </x:c>
      <x:c r="I697" t="e">
        <x:f>IF($A697="","",[1]!thsiFinD("ths_adjustment_nv_fund",I$3,$A697))</x:f>
        <x:v>#NAME?</x:v>
      </x:c>
      <x:c r="J697" t="e">
        <x:f>IF($A697="","",[1]!thsiFinD("ths_adjustment_nv_fund",J$3,$A697))</x:f>
        <x:v>#NAME?</x:v>
      </x:c>
      <x:c r="K697" t="e">
        <x:f>IF($A697="","",[1]!thsiFinD("ths_adjustment_nv_fund",K$3,$A697))</x:f>
        <x:v>#NAME?</x:v>
      </x:c>
      <x:c r="L697" t="e">
        <x:f>IF($A697="","",[1]!thsiFinD("ths_adjustment_nv_fund",L$3,$A697))</x:f>
        <x:v>#NAME?</x:v>
      </x:c>
      <x:c r="M697" t="e">
        <x:f>IF($A697="","",[1]!thsiFinD("ths_adjustment_nv_fund",M$3,$A697))</x:f>
        <x:v>#NAME?</x:v>
      </x:c>
      <x:c r="N697" t="e">
        <x:f>IF($A697="","",[1]!thsiFinD("ths_adjustment_nv_fund",N$3,$A697))</x:f>
        <x:v>#NAME?</x:v>
      </x:c>
      <x:c r="O697" t="e">
        <x:f>IF($A697="","",[1]!thsiFinD("ths_adjustment_nv_fund",O$3,$A697))</x:f>
        <x:v>#NAME?</x:v>
      </x:c>
      <x:c r="P697" t="e">
        <x:f>IF($A697="","",[1]!thsiFinD("ths_adjustment_nv_fund",P$3,$A697))</x:f>
        <x:v>#NAME?</x:v>
      </x:c>
      <x:c r="Q697" t="e">
        <x:f>IF($A697="","",[1]!thsiFinD("ths_adjustment_nv_fund",Q$3,$A697))</x:f>
        <x:v>#NAME?</x:v>
      </x:c>
      <x:c r="R697" t="e">
        <x:f>IF($A697="","",[1]!thsiFinD("ths_adjustment_nv_fund",R$3,$A697))</x:f>
        <x:v>#NAME?</x:v>
      </x:c>
      <x:c r="S697" t="e">
        <x:f>IF($A697="","",[1]!thsiFinD("ths_adjustment_nv_fund",S$3,$A697))</x:f>
        <x:v>#NAME?</x:v>
      </x:c>
      <x:c r="T697" t="e">
        <x:f>IF($A697="","",[1]!thsiFinD("ths_adjustment_nv_fund",T$3,$A697))</x:f>
        <x:v>#NAME?</x:v>
      </x:c>
      <x:c r="U697" t="e">
        <x:f>IF($A697="","",[1]!thsiFinD("ths_adjustment_nv_fund",U$3,$A697))</x:f>
        <x:v>#NAME?</x:v>
      </x:c>
      <x:c r="V697" t="e">
        <x:f>IF($A697="","",[1]!thsiFinD("ths_adjustment_nv_fund",V$3,$A697))</x:f>
        <x:v>#NAME?</x:v>
      </x:c>
      <x:c r="W697" t="e">
        <x:f>IF($A697="","",[1]!thsiFinD("ths_adjustment_nv_fund",W$3,$A697))</x:f>
        <x:v>#NAME?</x:v>
      </x:c>
      <x:c r="X697" t="e">
        <x:f>IF($A697="","",[1]!thsiFinD("ths_adjustment_nv_fund",X$3,$A697))</x:f>
        <x:v>#NAME?</x:v>
      </x:c>
      <x:c r="Y697" t="e">
        <x:f>IF($A697="","",[1]!thsiFinD("ths_adjustment_nv_fund",Y$3,$A697))</x:f>
        <x:v>#NAME?</x:v>
      </x:c>
    </x:row>
    <x:row r="698">
      <x:c r="B698" t="e">
        <x:f>IF($A698="","",[1]!thsiFinD("ths_adjustment_nv_fund",B$3,$A698))</x:f>
        <x:v>#NAME?</x:v>
      </x:c>
      <x:c r="C698" t="e">
        <x:f>IF($A698="","",[1]!thsiFinD("ths_adjustment_nv_fund",C$3,$A698))</x:f>
        <x:v>#NAME?</x:v>
      </x:c>
      <x:c r="D698" t="e">
        <x:f>IF($A698="","",[1]!thsiFinD("ths_adjustment_nv_fund",D$3,$A698))</x:f>
        <x:v>#NAME?</x:v>
      </x:c>
      <x:c r="E698" t="e">
        <x:f>IF($A698="","",[1]!thsiFinD("ths_adjustment_nv_fund",E$3,$A698))</x:f>
        <x:v>#NAME?</x:v>
      </x:c>
      <x:c r="F698" t="e">
        <x:f>IF($A698="","",[1]!thsiFinD("ths_adjustment_nv_fund",F$3,$A698))</x:f>
        <x:v>#NAME?</x:v>
      </x:c>
      <x:c r="G698" t="e">
        <x:f>IF($A698="","",[1]!thsiFinD("ths_adjustment_nv_fund",G$3,$A698))</x:f>
        <x:v>#NAME?</x:v>
      </x:c>
      <x:c r="H698" t="e">
        <x:f>IF($A698="","",[1]!thsiFinD("ths_adjustment_nv_fund",H$3,$A698))</x:f>
        <x:v>#NAME?</x:v>
      </x:c>
      <x:c r="I698" t="e">
        <x:f>IF($A698="","",[1]!thsiFinD("ths_adjustment_nv_fund",I$3,$A698))</x:f>
        <x:v>#NAME?</x:v>
      </x:c>
      <x:c r="J698" t="e">
        <x:f>IF($A698="","",[1]!thsiFinD("ths_adjustment_nv_fund",J$3,$A698))</x:f>
        <x:v>#NAME?</x:v>
      </x:c>
      <x:c r="K698" t="e">
        <x:f>IF($A698="","",[1]!thsiFinD("ths_adjustment_nv_fund",K$3,$A698))</x:f>
        <x:v>#NAME?</x:v>
      </x:c>
      <x:c r="L698" t="e">
        <x:f>IF($A698="","",[1]!thsiFinD("ths_adjustment_nv_fund",L$3,$A698))</x:f>
        <x:v>#NAME?</x:v>
      </x:c>
      <x:c r="M698" t="e">
        <x:f>IF($A698="","",[1]!thsiFinD("ths_adjustment_nv_fund",M$3,$A698))</x:f>
        <x:v>#NAME?</x:v>
      </x:c>
      <x:c r="N698" t="e">
        <x:f>IF($A698="","",[1]!thsiFinD("ths_adjustment_nv_fund",N$3,$A698))</x:f>
        <x:v>#NAME?</x:v>
      </x:c>
      <x:c r="O698" t="e">
        <x:f>IF($A698="","",[1]!thsiFinD("ths_adjustment_nv_fund",O$3,$A698))</x:f>
        <x:v>#NAME?</x:v>
      </x:c>
      <x:c r="P698" t="e">
        <x:f>IF($A698="","",[1]!thsiFinD("ths_adjustment_nv_fund",P$3,$A698))</x:f>
        <x:v>#NAME?</x:v>
      </x:c>
      <x:c r="Q698" t="e">
        <x:f>IF($A698="","",[1]!thsiFinD("ths_adjustment_nv_fund",Q$3,$A698))</x:f>
        <x:v>#NAME?</x:v>
      </x:c>
      <x:c r="R698" t="e">
        <x:f>IF($A698="","",[1]!thsiFinD("ths_adjustment_nv_fund",R$3,$A698))</x:f>
        <x:v>#NAME?</x:v>
      </x:c>
      <x:c r="S698" t="e">
        <x:f>IF($A698="","",[1]!thsiFinD("ths_adjustment_nv_fund",S$3,$A698))</x:f>
        <x:v>#NAME?</x:v>
      </x:c>
      <x:c r="T698" t="e">
        <x:f>IF($A698="","",[1]!thsiFinD("ths_adjustment_nv_fund",T$3,$A698))</x:f>
        <x:v>#NAME?</x:v>
      </x:c>
      <x:c r="U698" t="e">
        <x:f>IF($A698="","",[1]!thsiFinD("ths_adjustment_nv_fund",U$3,$A698))</x:f>
        <x:v>#NAME?</x:v>
      </x:c>
      <x:c r="V698" t="e">
        <x:f>IF($A698="","",[1]!thsiFinD("ths_adjustment_nv_fund",V$3,$A698))</x:f>
        <x:v>#NAME?</x:v>
      </x:c>
      <x:c r="W698" t="e">
        <x:f>IF($A698="","",[1]!thsiFinD("ths_adjustment_nv_fund",W$3,$A698))</x:f>
        <x:v>#NAME?</x:v>
      </x:c>
      <x:c r="X698" t="e">
        <x:f>IF($A698="","",[1]!thsiFinD("ths_adjustment_nv_fund",X$3,$A698))</x:f>
        <x:v>#NAME?</x:v>
      </x:c>
      <x:c r="Y698" t="e">
        <x:f>IF($A698="","",[1]!thsiFinD("ths_adjustment_nv_fund",Y$3,$A698))</x:f>
        <x:v>#NAME?</x:v>
      </x:c>
    </x:row>
    <x:row r="699">
      <x:c r="B699" t="e">
        <x:f>IF($A699="","",[1]!thsiFinD("ths_adjustment_nv_fund",B$3,$A699))</x:f>
        <x:v>#NAME?</x:v>
      </x:c>
      <x:c r="C699" t="e">
        <x:f>IF($A699="","",[1]!thsiFinD("ths_adjustment_nv_fund",C$3,$A699))</x:f>
        <x:v>#NAME?</x:v>
      </x:c>
      <x:c r="D699" t="e">
        <x:f>IF($A699="","",[1]!thsiFinD("ths_adjustment_nv_fund",D$3,$A699))</x:f>
        <x:v>#NAME?</x:v>
      </x:c>
      <x:c r="E699" t="e">
        <x:f>IF($A699="","",[1]!thsiFinD("ths_adjustment_nv_fund",E$3,$A699))</x:f>
        <x:v>#NAME?</x:v>
      </x:c>
      <x:c r="F699" t="e">
        <x:f>IF($A699="","",[1]!thsiFinD("ths_adjustment_nv_fund",F$3,$A699))</x:f>
        <x:v>#NAME?</x:v>
      </x:c>
      <x:c r="G699" t="e">
        <x:f>IF($A699="","",[1]!thsiFinD("ths_adjustment_nv_fund",G$3,$A699))</x:f>
        <x:v>#NAME?</x:v>
      </x:c>
      <x:c r="H699" t="e">
        <x:f>IF($A699="","",[1]!thsiFinD("ths_adjustment_nv_fund",H$3,$A699))</x:f>
        <x:v>#NAME?</x:v>
      </x:c>
      <x:c r="I699" t="e">
        <x:f>IF($A699="","",[1]!thsiFinD("ths_adjustment_nv_fund",I$3,$A699))</x:f>
        <x:v>#NAME?</x:v>
      </x:c>
      <x:c r="J699" t="e">
        <x:f>IF($A699="","",[1]!thsiFinD("ths_adjustment_nv_fund",J$3,$A699))</x:f>
        <x:v>#NAME?</x:v>
      </x:c>
      <x:c r="K699" t="e">
        <x:f>IF($A699="","",[1]!thsiFinD("ths_adjustment_nv_fund",K$3,$A699))</x:f>
        <x:v>#NAME?</x:v>
      </x:c>
      <x:c r="L699" t="e">
        <x:f>IF($A699="","",[1]!thsiFinD("ths_adjustment_nv_fund",L$3,$A699))</x:f>
        <x:v>#NAME?</x:v>
      </x:c>
      <x:c r="M699" t="e">
        <x:f>IF($A699="","",[1]!thsiFinD("ths_adjustment_nv_fund",M$3,$A699))</x:f>
        <x:v>#NAME?</x:v>
      </x:c>
      <x:c r="N699" t="e">
        <x:f>IF($A699="","",[1]!thsiFinD("ths_adjustment_nv_fund",N$3,$A699))</x:f>
        <x:v>#NAME?</x:v>
      </x:c>
      <x:c r="O699" t="e">
        <x:f>IF($A699="","",[1]!thsiFinD("ths_adjustment_nv_fund",O$3,$A699))</x:f>
        <x:v>#NAME?</x:v>
      </x:c>
      <x:c r="P699" t="e">
        <x:f>IF($A699="","",[1]!thsiFinD("ths_adjustment_nv_fund",P$3,$A699))</x:f>
        <x:v>#NAME?</x:v>
      </x:c>
      <x:c r="Q699" t="e">
        <x:f>IF($A699="","",[1]!thsiFinD("ths_adjustment_nv_fund",Q$3,$A699))</x:f>
        <x:v>#NAME?</x:v>
      </x:c>
      <x:c r="R699" t="e">
        <x:f>IF($A699="","",[1]!thsiFinD("ths_adjustment_nv_fund",R$3,$A699))</x:f>
        <x:v>#NAME?</x:v>
      </x:c>
      <x:c r="S699" t="e">
        <x:f>IF($A699="","",[1]!thsiFinD("ths_adjustment_nv_fund",S$3,$A699))</x:f>
        <x:v>#NAME?</x:v>
      </x:c>
      <x:c r="T699" t="e">
        <x:f>IF($A699="","",[1]!thsiFinD("ths_adjustment_nv_fund",T$3,$A699))</x:f>
        <x:v>#NAME?</x:v>
      </x:c>
      <x:c r="U699" t="e">
        <x:f>IF($A699="","",[1]!thsiFinD("ths_adjustment_nv_fund",U$3,$A699))</x:f>
        <x:v>#NAME?</x:v>
      </x:c>
      <x:c r="V699" t="e">
        <x:f>IF($A699="","",[1]!thsiFinD("ths_adjustment_nv_fund",V$3,$A699))</x:f>
        <x:v>#NAME?</x:v>
      </x:c>
      <x:c r="W699" t="e">
        <x:f>IF($A699="","",[1]!thsiFinD("ths_adjustment_nv_fund",W$3,$A699))</x:f>
        <x:v>#NAME?</x:v>
      </x:c>
      <x:c r="X699" t="e">
        <x:f>IF($A699="","",[1]!thsiFinD("ths_adjustment_nv_fund",X$3,$A699))</x:f>
        <x:v>#NAME?</x:v>
      </x:c>
      <x:c r="Y699" t="e">
        <x:f>IF($A699="","",[1]!thsiFinD("ths_adjustment_nv_fund",Y$3,$A699))</x:f>
        <x:v>#NAME?</x:v>
      </x:c>
    </x:row>
    <x:row r="700">
      <x:c r="B700" t="e">
        <x:f>IF($A700="","",[1]!thsiFinD("ths_adjustment_nv_fund",B$3,$A700))</x:f>
        <x:v>#NAME?</x:v>
      </x:c>
      <x:c r="C700" t="e">
        <x:f>IF($A700="","",[1]!thsiFinD("ths_adjustment_nv_fund",C$3,$A700))</x:f>
        <x:v>#NAME?</x:v>
      </x:c>
      <x:c r="D700" t="e">
        <x:f>IF($A700="","",[1]!thsiFinD("ths_adjustment_nv_fund",D$3,$A700))</x:f>
        <x:v>#NAME?</x:v>
      </x:c>
      <x:c r="E700" t="e">
        <x:f>IF($A700="","",[1]!thsiFinD("ths_adjustment_nv_fund",E$3,$A700))</x:f>
        <x:v>#NAME?</x:v>
      </x:c>
      <x:c r="F700" t="e">
        <x:f>IF($A700="","",[1]!thsiFinD("ths_adjustment_nv_fund",F$3,$A700))</x:f>
        <x:v>#NAME?</x:v>
      </x:c>
      <x:c r="G700" t="e">
        <x:f>IF($A700="","",[1]!thsiFinD("ths_adjustment_nv_fund",G$3,$A700))</x:f>
        <x:v>#NAME?</x:v>
      </x:c>
      <x:c r="H700" t="e">
        <x:f>IF($A700="","",[1]!thsiFinD("ths_adjustment_nv_fund",H$3,$A700))</x:f>
        <x:v>#NAME?</x:v>
      </x:c>
      <x:c r="I700" t="e">
        <x:f>IF($A700="","",[1]!thsiFinD("ths_adjustment_nv_fund",I$3,$A700))</x:f>
        <x:v>#NAME?</x:v>
      </x:c>
      <x:c r="J700" t="e">
        <x:f>IF($A700="","",[1]!thsiFinD("ths_adjustment_nv_fund",J$3,$A700))</x:f>
        <x:v>#NAME?</x:v>
      </x:c>
      <x:c r="K700" t="e">
        <x:f>IF($A700="","",[1]!thsiFinD("ths_adjustment_nv_fund",K$3,$A700))</x:f>
        <x:v>#NAME?</x:v>
      </x:c>
      <x:c r="L700" t="e">
        <x:f>IF($A700="","",[1]!thsiFinD("ths_adjustment_nv_fund",L$3,$A700))</x:f>
        <x:v>#NAME?</x:v>
      </x:c>
      <x:c r="M700" t="e">
        <x:f>IF($A700="","",[1]!thsiFinD("ths_adjustment_nv_fund",M$3,$A700))</x:f>
        <x:v>#NAME?</x:v>
      </x:c>
      <x:c r="N700" t="e">
        <x:f>IF($A700="","",[1]!thsiFinD("ths_adjustment_nv_fund",N$3,$A700))</x:f>
        <x:v>#NAME?</x:v>
      </x:c>
      <x:c r="O700" t="e">
        <x:f>IF($A700="","",[1]!thsiFinD("ths_adjustment_nv_fund",O$3,$A700))</x:f>
        <x:v>#NAME?</x:v>
      </x:c>
      <x:c r="P700" t="e">
        <x:f>IF($A700="","",[1]!thsiFinD("ths_adjustment_nv_fund",P$3,$A700))</x:f>
        <x:v>#NAME?</x:v>
      </x:c>
      <x:c r="Q700" t="e">
        <x:f>IF($A700="","",[1]!thsiFinD("ths_adjustment_nv_fund",Q$3,$A700))</x:f>
        <x:v>#NAME?</x:v>
      </x:c>
      <x:c r="R700" t="e">
        <x:f>IF($A700="","",[1]!thsiFinD("ths_adjustment_nv_fund",R$3,$A700))</x:f>
        <x:v>#NAME?</x:v>
      </x:c>
      <x:c r="S700" t="e">
        <x:f>IF($A700="","",[1]!thsiFinD("ths_adjustment_nv_fund",S$3,$A700))</x:f>
        <x:v>#NAME?</x:v>
      </x:c>
      <x:c r="T700" t="e">
        <x:f>IF($A700="","",[1]!thsiFinD("ths_adjustment_nv_fund",T$3,$A700))</x:f>
        <x:v>#NAME?</x:v>
      </x:c>
      <x:c r="U700" t="e">
        <x:f>IF($A700="","",[1]!thsiFinD("ths_adjustment_nv_fund",U$3,$A700))</x:f>
        <x:v>#NAME?</x:v>
      </x:c>
      <x:c r="V700" t="e">
        <x:f>IF($A700="","",[1]!thsiFinD("ths_adjustment_nv_fund",V$3,$A700))</x:f>
        <x:v>#NAME?</x:v>
      </x:c>
      <x:c r="W700" t="e">
        <x:f>IF($A700="","",[1]!thsiFinD("ths_adjustment_nv_fund",W$3,$A700))</x:f>
        <x:v>#NAME?</x:v>
      </x:c>
      <x:c r="X700" t="e">
        <x:f>IF($A700="","",[1]!thsiFinD("ths_adjustment_nv_fund",X$3,$A700))</x:f>
        <x:v>#NAME?</x:v>
      </x:c>
      <x:c r="Y700" t="e">
        <x:f>IF($A700="","",[1]!thsiFinD("ths_adjustment_nv_fund",Y$3,$A700))</x:f>
        <x:v>#NAME?</x:v>
      </x:c>
    </x:row>
    <x:row r="701">
      <x:c r="B701" t="e">
        <x:f>IF($A701="","",[1]!thsiFinD("ths_adjustment_nv_fund",B$3,$A701))</x:f>
        <x:v>#NAME?</x:v>
      </x:c>
      <x:c r="C701" t="e">
        <x:f>IF($A701="","",[1]!thsiFinD("ths_adjustment_nv_fund",C$3,$A701))</x:f>
        <x:v>#NAME?</x:v>
      </x:c>
      <x:c r="D701" t="e">
        <x:f>IF($A701="","",[1]!thsiFinD("ths_adjustment_nv_fund",D$3,$A701))</x:f>
        <x:v>#NAME?</x:v>
      </x:c>
      <x:c r="E701" t="e">
        <x:f>IF($A701="","",[1]!thsiFinD("ths_adjustment_nv_fund",E$3,$A701))</x:f>
        <x:v>#NAME?</x:v>
      </x:c>
      <x:c r="F701" t="e">
        <x:f>IF($A701="","",[1]!thsiFinD("ths_adjustment_nv_fund",F$3,$A701))</x:f>
        <x:v>#NAME?</x:v>
      </x:c>
      <x:c r="G701" t="e">
        <x:f>IF($A701="","",[1]!thsiFinD("ths_adjustment_nv_fund",G$3,$A701))</x:f>
        <x:v>#NAME?</x:v>
      </x:c>
      <x:c r="H701" t="e">
        <x:f>IF($A701="","",[1]!thsiFinD("ths_adjustment_nv_fund",H$3,$A701))</x:f>
        <x:v>#NAME?</x:v>
      </x:c>
      <x:c r="I701" t="e">
        <x:f>IF($A701="","",[1]!thsiFinD("ths_adjustment_nv_fund",I$3,$A701))</x:f>
        <x:v>#NAME?</x:v>
      </x:c>
      <x:c r="J701" t="e">
        <x:f>IF($A701="","",[1]!thsiFinD("ths_adjustment_nv_fund",J$3,$A701))</x:f>
        <x:v>#NAME?</x:v>
      </x:c>
      <x:c r="K701" t="e">
        <x:f>IF($A701="","",[1]!thsiFinD("ths_adjustment_nv_fund",K$3,$A701))</x:f>
        <x:v>#NAME?</x:v>
      </x:c>
      <x:c r="L701" t="e">
        <x:f>IF($A701="","",[1]!thsiFinD("ths_adjustment_nv_fund",L$3,$A701))</x:f>
        <x:v>#NAME?</x:v>
      </x:c>
      <x:c r="M701" t="e">
        <x:f>IF($A701="","",[1]!thsiFinD("ths_adjustment_nv_fund",M$3,$A701))</x:f>
        <x:v>#NAME?</x:v>
      </x:c>
      <x:c r="N701" t="e">
        <x:f>IF($A701="","",[1]!thsiFinD("ths_adjustment_nv_fund",N$3,$A701))</x:f>
        <x:v>#NAME?</x:v>
      </x:c>
      <x:c r="O701" t="e">
        <x:f>IF($A701="","",[1]!thsiFinD("ths_adjustment_nv_fund",O$3,$A701))</x:f>
        <x:v>#NAME?</x:v>
      </x:c>
      <x:c r="P701" t="e">
        <x:f>IF($A701="","",[1]!thsiFinD("ths_adjustment_nv_fund",P$3,$A701))</x:f>
        <x:v>#NAME?</x:v>
      </x:c>
      <x:c r="Q701" t="e">
        <x:f>IF($A701="","",[1]!thsiFinD("ths_adjustment_nv_fund",Q$3,$A701))</x:f>
        <x:v>#NAME?</x:v>
      </x:c>
      <x:c r="R701" t="e">
        <x:f>IF($A701="","",[1]!thsiFinD("ths_adjustment_nv_fund",R$3,$A701))</x:f>
        <x:v>#NAME?</x:v>
      </x:c>
      <x:c r="S701" t="e">
        <x:f>IF($A701="","",[1]!thsiFinD("ths_adjustment_nv_fund",S$3,$A701))</x:f>
        <x:v>#NAME?</x:v>
      </x:c>
      <x:c r="T701" t="e">
        <x:f>IF($A701="","",[1]!thsiFinD("ths_adjustment_nv_fund",T$3,$A701))</x:f>
        <x:v>#NAME?</x:v>
      </x:c>
      <x:c r="U701" t="e">
        <x:f>IF($A701="","",[1]!thsiFinD("ths_adjustment_nv_fund",U$3,$A701))</x:f>
        <x:v>#NAME?</x:v>
      </x:c>
      <x:c r="V701" t="e">
        <x:f>IF($A701="","",[1]!thsiFinD("ths_adjustment_nv_fund",V$3,$A701))</x:f>
        <x:v>#NAME?</x:v>
      </x:c>
      <x:c r="W701" t="e">
        <x:f>IF($A701="","",[1]!thsiFinD("ths_adjustment_nv_fund",W$3,$A701))</x:f>
        <x:v>#NAME?</x:v>
      </x:c>
      <x:c r="X701" t="e">
        <x:f>IF($A701="","",[1]!thsiFinD("ths_adjustment_nv_fund",X$3,$A701))</x:f>
        <x:v>#NAME?</x:v>
      </x:c>
      <x:c r="Y701" t="e">
        <x:f>IF($A701="","",[1]!thsiFinD("ths_adjustment_nv_fund",Y$3,$A701))</x:f>
        <x:v>#NAME?</x:v>
      </x:c>
    </x:row>
    <x:row r="702">
      <x:c r="B702" t="e">
        <x:f>IF($A702="","",[1]!thsiFinD("ths_adjustment_nv_fund",B$3,$A702))</x:f>
        <x:v>#NAME?</x:v>
      </x:c>
      <x:c r="C702" t="e">
        <x:f>IF($A702="","",[1]!thsiFinD("ths_adjustment_nv_fund",C$3,$A702))</x:f>
        <x:v>#NAME?</x:v>
      </x:c>
      <x:c r="D702" t="e">
        <x:f>IF($A702="","",[1]!thsiFinD("ths_adjustment_nv_fund",D$3,$A702))</x:f>
        <x:v>#NAME?</x:v>
      </x:c>
      <x:c r="E702" t="e">
        <x:f>IF($A702="","",[1]!thsiFinD("ths_adjustment_nv_fund",E$3,$A702))</x:f>
        <x:v>#NAME?</x:v>
      </x:c>
      <x:c r="F702" t="e">
        <x:f>IF($A702="","",[1]!thsiFinD("ths_adjustment_nv_fund",F$3,$A702))</x:f>
        <x:v>#NAME?</x:v>
      </x:c>
      <x:c r="G702" t="e">
        <x:f>IF($A702="","",[1]!thsiFinD("ths_adjustment_nv_fund",G$3,$A702))</x:f>
        <x:v>#NAME?</x:v>
      </x:c>
      <x:c r="H702" t="e">
        <x:f>IF($A702="","",[1]!thsiFinD("ths_adjustment_nv_fund",H$3,$A702))</x:f>
        <x:v>#NAME?</x:v>
      </x:c>
      <x:c r="I702" t="e">
        <x:f>IF($A702="","",[1]!thsiFinD("ths_adjustment_nv_fund",I$3,$A702))</x:f>
        <x:v>#NAME?</x:v>
      </x:c>
      <x:c r="J702" t="e">
        <x:f>IF($A702="","",[1]!thsiFinD("ths_adjustment_nv_fund",J$3,$A702))</x:f>
        <x:v>#NAME?</x:v>
      </x:c>
      <x:c r="K702" t="e">
        <x:f>IF($A702="","",[1]!thsiFinD("ths_adjustment_nv_fund",K$3,$A702))</x:f>
        <x:v>#NAME?</x:v>
      </x:c>
      <x:c r="L702" t="e">
        <x:f>IF($A702="","",[1]!thsiFinD("ths_adjustment_nv_fund",L$3,$A702))</x:f>
        <x:v>#NAME?</x:v>
      </x:c>
      <x:c r="M702" t="e">
        <x:f>IF($A702="","",[1]!thsiFinD("ths_adjustment_nv_fund",M$3,$A702))</x:f>
        <x:v>#NAME?</x:v>
      </x:c>
      <x:c r="N702" t="e">
        <x:f>IF($A702="","",[1]!thsiFinD("ths_adjustment_nv_fund",N$3,$A702))</x:f>
        <x:v>#NAME?</x:v>
      </x:c>
      <x:c r="O702" t="e">
        <x:f>IF($A702="","",[1]!thsiFinD("ths_adjustment_nv_fund",O$3,$A702))</x:f>
        <x:v>#NAME?</x:v>
      </x:c>
      <x:c r="P702" t="e">
        <x:f>IF($A702="","",[1]!thsiFinD("ths_adjustment_nv_fund",P$3,$A702))</x:f>
        <x:v>#NAME?</x:v>
      </x:c>
      <x:c r="Q702" t="e">
        <x:f>IF($A702="","",[1]!thsiFinD("ths_adjustment_nv_fund",Q$3,$A702))</x:f>
        <x:v>#NAME?</x:v>
      </x:c>
      <x:c r="R702" t="e">
        <x:f>IF($A702="","",[1]!thsiFinD("ths_adjustment_nv_fund",R$3,$A702))</x:f>
        <x:v>#NAME?</x:v>
      </x:c>
      <x:c r="S702" t="e">
        <x:f>IF($A702="","",[1]!thsiFinD("ths_adjustment_nv_fund",S$3,$A702))</x:f>
        <x:v>#NAME?</x:v>
      </x:c>
      <x:c r="T702" t="e">
        <x:f>IF($A702="","",[1]!thsiFinD("ths_adjustment_nv_fund",T$3,$A702))</x:f>
        <x:v>#NAME?</x:v>
      </x:c>
      <x:c r="U702" t="e">
        <x:f>IF($A702="","",[1]!thsiFinD("ths_adjustment_nv_fund",U$3,$A702))</x:f>
        <x:v>#NAME?</x:v>
      </x:c>
      <x:c r="V702" t="e">
        <x:f>IF($A702="","",[1]!thsiFinD("ths_adjustment_nv_fund",V$3,$A702))</x:f>
        <x:v>#NAME?</x:v>
      </x:c>
      <x:c r="W702" t="e">
        <x:f>IF($A702="","",[1]!thsiFinD("ths_adjustment_nv_fund",W$3,$A702))</x:f>
        <x:v>#NAME?</x:v>
      </x:c>
      <x:c r="X702" t="e">
        <x:f>IF($A702="","",[1]!thsiFinD("ths_adjustment_nv_fund",X$3,$A702))</x:f>
        <x:v>#NAME?</x:v>
      </x:c>
      <x:c r="Y702" t="e">
        <x:f>IF($A702="","",[1]!thsiFinD("ths_adjustment_nv_fund",Y$3,$A702))</x:f>
        <x:v>#NAME?</x:v>
      </x:c>
    </x:row>
    <x:row r="703">
      <x:c r="B703" t="e">
        <x:f>IF($A703="","",[1]!thsiFinD("ths_adjustment_nv_fund",B$3,$A703))</x:f>
        <x:v>#NAME?</x:v>
      </x:c>
      <x:c r="C703" t="e">
        <x:f>IF($A703="","",[1]!thsiFinD("ths_adjustment_nv_fund",C$3,$A703))</x:f>
        <x:v>#NAME?</x:v>
      </x:c>
      <x:c r="D703" t="e">
        <x:f>IF($A703="","",[1]!thsiFinD("ths_adjustment_nv_fund",D$3,$A703))</x:f>
        <x:v>#NAME?</x:v>
      </x:c>
      <x:c r="E703" t="e">
        <x:f>IF($A703="","",[1]!thsiFinD("ths_adjustment_nv_fund",E$3,$A703))</x:f>
        <x:v>#NAME?</x:v>
      </x:c>
      <x:c r="F703" t="e">
        <x:f>IF($A703="","",[1]!thsiFinD("ths_adjustment_nv_fund",F$3,$A703))</x:f>
        <x:v>#NAME?</x:v>
      </x:c>
      <x:c r="G703" t="e">
        <x:f>IF($A703="","",[1]!thsiFinD("ths_adjustment_nv_fund",G$3,$A703))</x:f>
        <x:v>#NAME?</x:v>
      </x:c>
      <x:c r="H703" t="e">
        <x:f>IF($A703="","",[1]!thsiFinD("ths_adjustment_nv_fund",H$3,$A703))</x:f>
        <x:v>#NAME?</x:v>
      </x:c>
      <x:c r="I703" t="e">
        <x:f>IF($A703="","",[1]!thsiFinD("ths_adjustment_nv_fund",I$3,$A703))</x:f>
        <x:v>#NAME?</x:v>
      </x:c>
      <x:c r="J703" t="e">
        <x:f>IF($A703="","",[1]!thsiFinD("ths_adjustment_nv_fund",J$3,$A703))</x:f>
        <x:v>#NAME?</x:v>
      </x:c>
      <x:c r="K703" t="e">
        <x:f>IF($A703="","",[1]!thsiFinD("ths_adjustment_nv_fund",K$3,$A703))</x:f>
        <x:v>#NAME?</x:v>
      </x:c>
      <x:c r="L703" t="e">
        <x:f>IF($A703="","",[1]!thsiFinD("ths_adjustment_nv_fund",L$3,$A703))</x:f>
        <x:v>#NAME?</x:v>
      </x:c>
      <x:c r="M703" t="e">
        <x:f>IF($A703="","",[1]!thsiFinD("ths_adjustment_nv_fund",M$3,$A703))</x:f>
        <x:v>#NAME?</x:v>
      </x:c>
      <x:c r="N703" t="e">
        <x:f>IF($A703="","",[1]!thsiFinD("ths_adjustment_nv_fund",N$3,$A703))</x:f>
        <x:v>#NAME?</x:v>
      </x:c>
      <x:c r="O703" t="e">
        <x:f>IF($A703="","",[1]!thsiFinD("ths_adjustment_nv_fund",O$3,$A703))</x:f>
        <x:v>#NAME?</x:v>
      </x:c>
      <x:c r="P703" t="e">
        <x:f>IF($A703="","",[1]!thsiFinD("ths_adjustment_nv_fund",P$3,$A703))</x:f>
        <x:v>#NAME?</x:v>
      </x:c>
      <x:c r="Q703" t="e">
        <x:f>IF($A703="","",[1]!thsiFinD("ths_adjustment_nv_fund",Q$3,$A703))</x:f>
        <x:v>#NAME?</x:v>
      </x:c>
      <x:c r="R703" t="e">
        <x:f>IF($A703="","",[1]!thsiFinD("ths_adjustment_nv_fund",R$3,$A703))</x:f>
        <x:v>#NAME?</x:v>
      </x:c>
      <x:c r="S703" t="e">
        <x:f>IF($A703="","",[1]!thsiFinD("ths_adjustment_nv_fund",S$3,$A703))</x:f>
        <x:v>#NAME?</x:v>
      </x:c>
      <x:c r="T703" t="e">
        <x:f>IF($A703="","",[1]!thsiFinD("ths_adjustment_nv_fund",T$3,$A703))</x:f>
        <x:v>#NAME?</x:v>
      </x:c>
      <x:c r="U703" t="e">
        <x:f>IF($A703="","",[1]!thsiFinD("ths_adjustment_nv_fund",U$3,$A703))</x:f>
        <x:v>#NAME?</x:v>
      </x:c>
      <x:c r="V703" t="e">
        <x:f>IF($A703="","",[1]!thsiFinD("ths_adjustment_nv_fund",V$3,$A703))</x:f>
        <x:v>#NAME?</x:v>
      </x:c>
      <x:c r="W703" t="e">
        <x:f>IF($A703="","",[1]!thsiFinD("ths_adjustment_nv_fund",W$3,$A703))</x:f>
        <x:v>#NAME?</x:v>
      </x:c>
      <x:c r="X703" t="e">
        <x:f>IF($A703="","",[1]!thsiFinD("ths_adjustment_nv_fund",X$3,$A703))</x:f>
        <x:v>#NAME?</x:v>
      </x:c>
      <x:c r="Y703" t="e">
        <x:f>IF($A703="","",[1]!thsiFinD("ths_adjustment_nv_fund",Y$3,$A703))</x:f>
        <x:v>#NAME?</x:v>
      </x:c>
    </x:row>
    <x:row r="704">
      <x:c r="B704" t="e">
        <x:f>IF($A704="","",[1]!thsiFinD("ths_adjustment_nv_fund",B$3,$A704))</x:f>
        <x:v>#NAME?</x:v>
      </x:c>
      <x:c r="C704" t="e">
        <x:f>IF($A704="","",[1]!thsiFinD("ths_adjustment_nv_fund",C$3,$A704))</x:f>
        <x:v>#NAME?</x:v>
      </x:c>
      <x:c r="D704" t="e">
        <x:f>IF($A704="","",[1]!thsiFinD("ths_adjustment_nv_fund",D$3,$A704))</x:f>
        <x:v>#NAME?</x:v>
      </x:c>
      <x:c r="E704" t="e">
        <x:f>IF($A704="","",[1]!thsiFinD("ths_adjustment_nv_fund",E$3,$A704))</x:f>
        <x:v>#NAME?</x:v>
      </x:c>
      <x:c r="F704" t="e">
        <x:f>IF($A704="","",[1]!thsiFinD("ths_adjustment_nv_fund",F$3,$A704))</x:f>
        <x:v>#NAME?</x:v>
      </x:c>
      <x:c r="G704" t="e">
        <x:f>IF($A704="","",[1]!thsiFinD("ths_adjustment_nv_fund",G$3,$A704))</x:f>
        <x:v>#NAME?</x:v>
      </x:c>
      <x:c r="H704" t="e">
        <x:f>IF($A704="","",[1]!thsiFinD("ths_adjustment_nv_fund",H$3,$A704))</x:f>
        <x:v>#NAME?</x:v>
      </x:c>
      <x:c r="I704" t="e">
        <x:f>IF($A704="","",[1]!thsiFinD("ths_adjustment_nv_fund",I$3,$A704))</x:f>
        <x:v>#NAME?</x:v>
      </x:c>
      <x:c r="J704" t="e">
        <x:f>IF($A704="","",[1]!thsiFinD("ths_adjustment_nv_fund",J$3,$A704))</x:f>
        <x:v>#NAME?</x:v>
      </x:c>
      <x:c r="K704" t="e">
        <x:f>IF($A704="","",[1]!thsiFinD("ths_adjustment_nv_fund",K$3,$A704))</x:f>
        <x:v>#NAME?</x:v>
      </x:c>
      <x:c r="L704" t="e">
        <x:f>IF($A704="","",[1]!thsiFinD("ths_adjustment_nv_fund",L$3,$A704))</x:f>
        <x:v>#NAME?</x:v>
      </x:c>
      <x:c r="M704" t="e">
        <x:f>IF($A704="","",[1]!thsiFinD("ths_adjustment_nv_fund",M$3,$A704))</x:f>
        <x:v>#NAME?</x:v>
      </x:c>
      <x:c r="N704" t="e">
        <x:f>IF($A704="","",[1]!thsiFinD("ths_adjustment_nv_fund",N$3,$A704))</x:f>
        <x:v>#NAME?</x:v>
      </x:c>
      <x:c r="O704" t="e">
        <x:f>IF($A704="","",[1]!thsiFinD("ths_adjustment_nv_fund",O$3,$A704))</x:f>
        <x:v>#NAME?</x:v>
      </x:c>
      <x:c r="P704" t="e">
        <x:f>IF($A704="","",[1]!thsiFinD("ths_adjustment_nv_fund",P$3,$A704))</x:f>
        <x:v>#NAME?</x:v>
      </x:c>
      <x:c r="Q704" t="e">
        <x:f>IF($A704="","",[1]!thsiFinD("ths_adjustment_nv_fund",Q$3,$A704))</x:f>
        <x:v>#NAME?</x:v>
      </x:c>
      <x:c r="R704" t="e">
        <x:f>IF($A704="","",[1]!thsiFinD("ths_adjustment_nv_fund",R$3,$A704))</x:f>
        <x:v>#NAME?</x:v>
      </x:c>
      <x:c r="S704" t="e">
        <x:f>IF($A704="","",[1]!thsiFinD("ths_adjustment_nv_fund",S$3,$A704))</x:f>
        <x:v>#NAME?</x:v>
      </x:c>
      <x:c r="T704" t="e">
        <x:f>IF($A704="","",[1]!thsiFinD("ths_adjustment_nv_fund",T$3,$A704))</x:f>
        <x:v>#NAME?</x:v>
      </x:c>
      <x:c r="U704" t="e">
        <x:f>IF($A704="","",[1]!thsiFinD("ths_adjustment_nv_fund",U$3,$A704))</x:f>
        <x:v>#NAME?</x:v>
      </x:c>
      <x:c r="V704" t="e">
        <x:f>IF($A704="","",[1]!thsiFinD("ths_adjustment_nv_fund",V$3,$A704))</x:f>
        <x:v>#NAME?</x:v>
      </x:c>
      <x:c r="W704" t="e">
        <x:f>IF($A704="","",[1]!thsiFinD("ths_adjustment_nv_fund",W$3,$A704))</x:f>
        <x:v>#NAME?</x:v>
      </x:c>
      <x:c r="X704" t="e">
        <x:f>IF($A704="","",[1]!thsiFinD("ths_adjustment_nv_fund",X$3,$A704))</x:f>
        <x:v>#NAME?</x:v>
      </x:c>
      <x:c r="Y704" t="e">
        <x:f>IF($A704="","",[1]!thsiFinD("ths_adjustment_nv_fund",Y$3,$A704))</x:f>
        <x:v>#NAME?</x:v>
      </x:c>
    </x:row>
    <x:row r="705">
      <x:c r="B705" t="e">
        <x:f>IF($A705="","",[1]!thsiFinD("ths_adjustment_nv_fund",B$3,$A705))</x:f>
        <x:v>#NAME?</x:v>
      </x:c>
      <x:c r="C705" t="e">
        <x:f>IF($A705="","",[1]!thsiFinD("ths_adjustment_nv_fund",C$3,$A705))</x:f>
        <x:v>#NAME?</x:v>
      </x:c>
      <x:c r="D705" t="e">
        <x:f>IF($A705="","",[1]!thsiFinD("ths_adjustment_nv_fund",D$3,$A705))</x:f>
        <x:v>#NAME?</x:v>
      </x:c>
      <x:c r="E705" t="e">
        <x:f>IF($A705="","",[1]!thsiFinD("ths_adjustment_nv_fund",E$3,$A705))</x:f>
        <x:v>#NAME?</x:v>
      </x:c>
      <x:c r="F705" t="e">
        <x:f>IF($A705="","",[1]!thsiFinD("ths_adjustment_nv_fund",F$3,$A705))</x:f>
        <x:v>#NAME?</x:v>
      </x:c>
      <x:c r="G705" t="e">
        <x:f>IF($A705="","",[1]!thsiFinD("ths_adjustment_nv_fund",G$3,$A705))</x:f>
        <x:v>#NAME?</x:v>
      </x:c>
      <x:c r="H705" t="e">
        <x:f>IF($A705="","",[1]!thsiFinD("ths_adjustment_nv_fund",H$3,$A705))</x:f>
        <x:v>#NAME?</x:v>
      </x:c>
      <x:c r="I705" t="e">
        <x:f>IF($A705="","",[1]!thsiFinD("ths_adjustment_nv_fund",I$3,$A705))</x:f>
        <x:v>#NAME?</x:v>
      </x:c>
      <x:c r="J705" t="e">
        <x:f>IF($A705="","",[1]!thsiFinD("ths_adjustment_nv_fund",J$3,$A705))</x:f>
        <x:v>#NAME?</x:v>
      </x:c>
      <x:c r="K705" t="e">
        <x:f>IF($A705="","",[1]!thsiFinD("ths_adjustment_nv_fund",K$3,$A705))</x:f>
        <x:v>#NAME?</x:v>
      </x:c>
      <x:c r="L705" t="e">
        <x:f>IF($A705="","",[1]!thsiFinD("ths_adjustment_nv_fund",L$3,$A705))</x:f>
        <x:v>#NAME?</x:v>
      </x:c>
      <x:c r="M705" t="e">
        <x:f>IF($A705="","",[1]!thsiFinD("ths_adjustment_nv_fund",M$3,$A705))</x:f>
        <x:v>#NAME?</x:v>
      </x:c>
      <x:c r="N705" t="e">
        <x:f>IF($A705="","",[1]!thsiFinD("ths_adjustment_nv_fund",N$3,$A705))</x:f>
        <x:v>#NAME?</x:v>
      </x:c>
      <x:c r="O705" t="e">
        <x:f>IF($A705="","",[1]!thsiFinD("ths_adjustment_nv_fund",O$3,$A705))</x:f>
        <x:v>#NAME?</x:v>
      </x:c>
      <x:c r="P705" t="e">
        <x:f>IF($A705="","",[1]!thsiFinD("ths_adjustment_nv_fund",P$3,$A705))</x:f>
        <x:v>#NAME?</x:v>
      </x:c>
      <x:c r="Q705" t="e">
        <x:f>IF($A705="","",[1]!thsiFinD("ths_adjustment_nv_fund",Q$3,$A705))</x:f>
        <x:v>#NAME?</x:v>
      </x:c>
      <x:c r="R705" t="e">
        <x:f>IF($A705="","",[1]!thsiFinD("ths_adjustment_nv_fund",R$3,$A705))</x:f>
        <x:v>#NAME?</x:v>
      </x:c>
      <x:c r="S705" t="e">
        <x:f>IF($A705="","",[1]!thsiFinD("ths_adjustment_nv_fund",S$3,$A705))</x:f>
        <x:v>#NAME?</x:v>
      </x:c>
      <x:c r="T705" t="e">
        <x:f>IF($A705="","",[1]!thsiFinD("ths_adjustment_nv_fund",T$3,$A705))</x:f>
        <x:v>#NAME?</x:v>
      </x:c>
      <x:c r="U705" t="e">
        <x:f>IF($A705="","",[1]!thsiFinD("ths_adjustment_nv_fund",U$3,$A705))</x:f>
        <x:v>#NAME?</x:v>
      </x:c>
      <x:c r="V705" t="e">
        <x:f>IF($A705="","",[1]!thsiFinD("ths_adjustment_nv_fund",V$3,$A705))</x:f>
        <x:v>#NAME?</x:v>
      </x:c>
      <x:c r="W705" t="e">
        <x:f>IF($A705="","",[1]!thsiFinD("ths_adjustment_nv_fund",W$3,$A705))</x:f>
        <x:v>#NAME?</x:v>
      </x:c>
      <x:c r="X705" t="e">
        <x:f>IF($A705="","",[1]!thsiFinD("ths_adjustment_nv_fund",X$3,$A705))</x:f>
        <x:v>#NAME?</x:v>
      </x:c>
      <x:c r="Y705" t="e">
        <x:f>IF($A705="","",[1]!thsiFinD("ths_adjustment_nv_fund",Y$3,$A705))</x:f>
        <x:v>#NAME?</x:v>
      </x:c>
    </x:row>
    <x:row r="706">
      <x:c r="B706" t="e">
        <x:f>IF($A706="","",[1]!thsiFinD("ths_adjustment_nv_fund",B$3,$A706))</x:f>
        <x:v>#NAME?</x:v>
      </x:c>
      <x:c r="C706" t="e">
        <x:f>IF($A706="","",[1]!thsiFinD("ths_adjustment_nv_fund",C$3,$A706))</x:f>
        <x:v>#NAME?</x:v>
      </x:c>
      <x:c r="D706" t="e">
        <x:f>IF($A706="","",[1]!thsiFinD("ths_adjustment_nv_fund",D$3,$A706))</x:f>
        <x:v>#NAME?</x:v>
      </x:c>
      <x:c r="E706" t="e">
        <x:f>IF($A706="","",[1]!thsiFinD("ths_adjustment_nv_fund",E$3,$A706))</x:f>
        <x:v>#NAME?</x:v>
      </x:c>
      <x:c r="F706" t="e">
        <x:f>IF($A706="","",[1]!thsiFinD("ths_adjustment_nv_fund",F$3,$A706))</x:f>
        <x:v>#NAME?</x:v>
      </x:c>
      <x:c r="G706" t="e">
        <x:f>IF($A706="","",[1]!thsiFinD("ths_adjustment_nv_fund",G$3,$A706))</x:f>
        <x:v>#NAME?</x:v>
      </x:c>
      <x:c r="H706" t="e">
        <x:f>IF($A706="","",[1]!thsiFinD("ths_adjustment_nv_fund",H$3,$A706))</x:f>
        <x:v>#NAME?</x:v>
      </x:c>
      <x:c r="I706" t="e">
        <x:f>IF($A706="","",[1]!thsiFinD("ths_adjustment_nv_fund",I$3,$A706))</x:f>
        <x:v>#NAME?</x:v>
      </x:c>
      <x:c r="J706" t="e">
        <x:f>IF($A706="","",[1]!thsiFinD("ths_adjustment_nv_fund",J$3,$A706))</x:f>
        <x:v>#NAME?</x:v>
      </x:c>
      <x:c r="K706" t="e">
        <x:f>IF($A706="","",[1]!thsiFinD("ths_adjustment_nv_fund",K$3,$A706))</x:f>
        <x:v>#NAME?</x:v>
      </x:c>
      <x:c r="L706" t="e">
        <x:f>IF($A706="","",[1]!thsiFinD("ths_adjustment_nv_fund",L$3,$A706))</x:f>
        <x:v>#NAME?</x:v>
      </x:c>
      <x:c r="M706" t="e">
        <x:f>IF($A706="","",[1]!thsiFinD("ths_adjustment_nv_fund",M$3,$A706))</x:f>
        <x:v>#NAME?</x:v>
      </x:c>
      <x:c r="N706" t="e">
        <x:f>IF($A706="","",[1]!thsiFinD("ths_adjustment_nv_fund",N$3,$A706))</x:f>
        <x:v>#NAME?</x:v>
      </x:c>
      <x:c r="O706" t="e">
        <x:f>IF($A706="","",[1]!thsiFinD("ths_adjustment_nv_fund",O$3,$A706))</x:f>
        <x:v>#NAME?</x:v>
      </x:c>
      <x:c r="P706" t="e">
        <x:f>IF($A706="","",[1]!thsiFinD("ths_adjustment_nv_fund",P$3,$A706))</x:f>
        <x:v>#NAME?</x:v>
      </x:c>
      <x:c r="Q706" t="e">
        <x:f>IF($A706="","",[1]!thsiFinD("ths_adjustment_nv_fund",Q$3,$A706))</x:f>
        <x:v>#NAME?</x:v>
      </x:c>
      <x:c r="R706" t="e">
        <x:f>IF($A706="","",[1]!thsiFinD("ths_adjustment_nv_fund",R$3,$A706))</x:f>
        <x:v>#NAME?</x:v>
      </x:c>
      <x:c r="S706" t="e">
        <x:f>IF($A706="","",[1]!thsiFinD("ths_adjustment_nv_fund",S$3,$A706))</x:f>
        <x:v>#NAME?</x:v>
      </x:c>
      <x:c r="T706" t="e">
        <x:f>IF($A706="","",[1]!thsiFinD("ths_adjustment_nv_fund",T$3,$A706))</x:f>
        <x:v>#NAME?</x:v>
      </x:c>
      <x:c r="U706" t="e">
        <x:f>IF($A706="","",[1]!thsiFinD("ths_adjustment_nv_fund",U$3,$A706))</x:f>
        <x:v>#NAME?</x:v>
      </x:c>
      <x:c r="V706" t="e">
        <x:f>IF($A706="","",[1]!thsiFinD("ths_adjustment_nv_fund",V$3,$A706))</x:f>
        <x:v>#NAME?</x:v>
      </x:c>
      <x:c r="W706" t="e">
        <x:f>IF($A706="","",[1]!thsiFinD("ths_adjustment_nv_fund",W$3,$A706))</x:f>
        <x:v>#NAME?</x:v>
      </x:c>
      <x:c r="X706" t="e">
        <x:f>IF($A706="","",[1]!thsiFinD("ths_adjustment_nv_fund",X$3,$A706))</x:f>
        <x:v>#NAME?</x:v>
      </x:c>
      <x:c r="Y706" t="e">
        <x:f>IF($A706="","",[1]!thsiFinD("ths_adjustment_nv_fund",Y$3,$A706))</x:f>
        <x:v>#NAME?</x:v>
      </x:c>
    </x:row>
    <x:row r="707">
      <x:c r="B707" t="e">
        <x:f>IF($A707="","",[1]!thsiFinD("ths_adjustment_nv_fund",B$3,$A707))</x:f>
        <x:v>#NAME?</x:v>
      </x:c>
      <x:c r="C707" t="e">
        <x:f>IF($A707="","",[1]!thsiFinD("ths_adjustment_nv_fund",C$3,$A707))</x:f>
        <x:v>#NAME?</x:v>
      </x:c>
      <x:c r="D707" t="e">
        <x:f>IF($A707="","",[1]!thsiFinD("ths_adjustment_nv_fund",D$3,$A707))</x:f>
        <x:v>#NAME?</x:v>
      </x:c>
      <x:c r="E707" t="e">
        <x:f>IF($A707="","",[1]!thsiFinD("ths_adjustment_nv_fund",E$3,$A707))</x:f>
        <x:v>#NAME?</x:v>
      </x:c>
      <x:c r="F707" t="e">
        <x:f>IF($A707="","",[1]!thsiFinD("ths_adjustment_nv_fund",F$3,$A707))</x:f>
        <x:v>#NAME?</x:v>
      </x:c>
      <x:c r="G707" t="e">
        <x:f>IF($A707="","",[1]!thsiFinD("ths_adjustment_nv_fund",G$3,$A707))</x:f>
        <x:v>#NAME?</x:v>
      </x:c>
      <x:c r="H707" t="e">
        <x:f>IF($A707="","",[1]!thsiFinD("ths_adjustment_nv_fund",H$3,$A707))</x:f>
        <x:v>#NAME?</x:v>
      </x:c>
      <x:c r="I707" t="e">
        <x:f>IF($A707="","",[1]!thsiFinD("ths_adjustment_nv_fund",I$3,$A707))</x:f>
        <x:v>#NAME?</x:v>
      </x:c>
      <x:c r="J707" t="e">
        <x:f>IF($A707="","",[1]!thsiFinD("ths_adjustment_nv_fund",J$3,$A707))</x:f>
        <x:v>#NAME?</x:v>
      </x:c>
      <x:c r="K707" t="e">
        <x:f>IF($A707="","",[1]!thsiFinD("ths_adjustment_nv_fund",K$3,$A707))</x:f>
        <x:v>#NAME?</x:v>
      </x:c>
      <x:c r="L707" t="e">
        <x:f>IF($A707="","",[1]!thsiFinD("ths_adjustment_nv_fund",L$3,$A707))</x:f>
        <x:v>#NAME?</x:v>
      </x:c>
      <x:c r="M707" t="e">
        <x:f>IF($A707="","",[1]!thsiFinD("ths_adjustment_nv_fund",M$3,$A707))</x:f>
        <x:v>#NAME?</x:v>
      </x:c>
      <x:c r="N707" t="e">
        <x:f>IF($A707="","",[1]!thsiFinD("ths_adjustment_nv_fund",N$3,$A707))</x:f>
        <x:v>#NAME?</x:v>
      </x:c>
      <x:c r="O707" t="e">
        <x:f>IF($A707="","",[1]!thsiFinD("ths_adjustment_nv_fund",O$3,$A707))</x:f>
        <x:v>#NAME?</x:v>
      </x:c>
      <x:c r="P707" t="e">
        <x:f>IF($A707="","",[1]!thsiFinD("ths_adjustment_nv_fund",P$3,$A707))</x:f>
        <x:v>#NAME?</x:v>
      </x:c>
      <x:c r="Q707" t="e">
        <x:f>IF($A707="","",[1]!thsiFinD("ths_adjustment_nv_fund",Q$3,$A707))</x:f>
        <x:v>#NAME?</x:v>
      </x:c>
      <x:c r="R707" t="e">
        <x:f>IF($A707="","",[1]!thsiFinD("ths_adjustment_nv_fund",R$3,$A707))</x:f>
        <x:v>#NAME?</x:v>
      </x:c>
      <x:c r="S707" t="e">
        <x:f>IF($A707="","",[1]!thsiFinD("ths_adjustment_nv_fund",S$3,$A707))</x:f>
        <x:v>#NAME?</x:v>
      </x:c>
      <x:c r="T707" t="e">
        <x:f>IF($A707="","",[1]!thsiFinD("ths_adjustment_nv_fund",T$3,$A707))</x:f>
        <x:v>#NAME?</x:v>
      </x:c>
      <x:c r="U707" t="e">
        <x:f>IF($A707="","",[1]!thsiFinD("ths_adjustment_nv_fund",U$3,$A707))</x:f>
        <x:v>#NAME?</x:v>
      </x:c>
      <x:c r="V707" t="e">
        <x:f>IF($A707="","",[1]!thsiFinD("ths_adjustment_nv_fund",V$3,$A707))</x:f>
        <x:v>#NAME?</x:v>
      </x:c>
      <x:c r="W707" t="e">
        <x:f>IF($A707="","",[1]!thsiFinD("ths_adjustment_nv_fund",W$3,$A707))</x:f>
        <x:v>#NAME?</x:v>
      </x:c>
      <x:c r="X707" t="e">
        <x:f>IF($A707="","",[1]!thsiFinD("ths_adjustment_nv_fund",X$3,$A707))</x:f>
        <x:v>#NAME?</x:v>
      </x:c>
      <x:c r="Y707" t="e">
        <x:f>IF($A707="","",[1]!thsiFinD("ths_adjustment_nv_fund",Y$3,$A707))</x:f>
        <x:v>#NAME?</x:v>
      </x:c>
    </x:row>
    <x:row r="708">
      <x:c r="B708" t="e">
        <x:f>IF($A708="","",[1]!thsiFinD("ths_adjustment_nv_fund",B$3,$A708))</x:f>
        <x:v>#NAME?</x:v>
      </x:c>
      <x:c r="C708" t="e">
        <x:f>IF($A708="","",[1]!thsiFinD("ths_adjustment_nv_fund",C$3,$A708))</x:f>
        <x:v>#NAME?</x:v>
      </x:c>
      <x:c r="D708" t="e">
        <x:f>IF($A708="","",[1]!thsiFinD("ths_adjustment_nv_fund",D$3,$A708))</x:f>
        <x:v>#NAME?</x:v>
      </x:c>
      <x:c r="E708" t="e">
        <x:f>IF($A708="","",[1]!thsiFinD("ths_adjustment_nv_fund",E$3,$A708))</x:f>
        <x:v>#NAME?</x:v>
      </x:c>
      <x:c r="F708" t="e">
        <x:f>IF($A708="","",[1]!thsiFinD("ths_adjustment_nv_fund",F$3,$A708))</x:f>
        <x:v>#NAME?</x:v>
      </x:c>
      <x:c r="G708" t="e">
        <x:f>IF($A708="","",[1]!thsiFinD("ths_adjustment_nv_fund",G$3,$A708))</x:f>
        <x:v>#NAME?</x:v>
      </x:c>
      <x:c r="H708" t="e">
        <x:f>IF($A708="","",[1]!thsiFinD("ths_adjustment_nv_fund",H$3,$A708))</x:f>
        <x:v>#NAME?</x:v>
      </x:c>
      <x:c r="I708" t="e">
        <x:f>IF($A708="","",[1]!thsiFinD("ths_adjustment_nv_fund",I$3,$A708))</x:f>
        <x:v>#NAME?</x:v>
      </x:c>
      <x:c r="J708" t="e">
        <x:f>IF($A708="","",[1]!thsiFinD("ths_adjustment_nv_fund",J$3,$A708))</x:f>
        <x:v>#NAME?</x:v>
      </x:c>
      <x:c r="K708" t="e">
        <x:f>IF($A708="","",[1]!thsiFinD("ths_adjustment_nv_fund",K$3,$A708))</x:f>
        <x:v>#NAME?</x:v>
      </x:c>
      <x:c r="L708" t="e">
        <x:f>IF($A708="","",[1]!thsiFinD("ths_adjustment_nv_fund",L$3,$A708))</x:f>
        <x:v>#NAME?</x:v>
      </x:c>
      <x:c r="M708" t="e">
        <x:f>IF($A708="","",[1]!thsiFinD("ths_adjustment_nv_fund",M$3,$A708))</x:f>
        <x:v>#NAME?</x:v>
      </x:c>
      <x:c r="N708" t="e">
        <x:f>IF($A708="","",[1]!thsiFinD("ths_adjustment_nv_fund",N$3,$A708))</x:f>
        <x:v>#NAME?</x:v>
      </x:c>
      <x:c r="O708" t="e">
        <x:f>IF($A708="","",[1]!thsiFinD("ths_adjustment_nv_fund",O$3,$A708))</x:f>
        <x:v>#NAME?</x:v>
      </x:c>
      <x:c r="P708" t="e">
        <x:f>IF($A708="","",[1]!thsiFinD("ths_adjustment_nv_fund",P$3,$A708))</x:f>
        <x:v>#NAME?</x:v>
      </x:c>
      <x:c r="Q708" t="e">
        <x:f>IF($A708="","",[1]!thsiFinD("ths_adjustment_nv_fund",Q$3,$A708))</x:f>
        <x:v>#NAME?</x:v>
      </x:c>
      <x:c r="R708" t="e">
        <x:f>IF($A708="","",[1]!thsiFinD("ths_adjustment_nv_fund",R$3,$A708))</x:f>
        <x:v>#NAME?</x:v>
      </x:c>
      <x:c r="S708" t="e">
        <x:f>IF($A708="","",[1]!thsiFinD("ths_adjustment_nv_fund",S$3,$A708))</x:f>
        <x:v>#NAME?</x:v>
      </x:c>
      <x:c r="T708" t="e">
        <x:f>IF($A708="","",[1]!thsiFinD("ths_adjustment_nv_fund",T$3,$A708))</x:f>
        <x:v>#NAME?</x:v>
      </x:c>
      <x:c r="U708" t="e">
        <x:f>IF($A708="","",[1]!thsiFinD("ths_adjustment_nv_fund",U$3,$A708))</x:f>
        <x:v>#NAME?</x:v>
      </x:c>
      <x:c r="V708" t="e">
        <x:f>IF($A708="","",[1]!thsiFinD("ths_adjustment_nv_fund",V$3,$A708))</x:f>
        <x:v>#NAME?</x:v>
      </x:c>
      <x:c r="W708" t="e">
        <x:f>IF($A708="","",[1]!thsiFinD("ths_adjustment_nv_fund",W$3,$A708))</x:f>
        <x:v>#NAME?</x:v>
      </x:c>
      <x:c r="X708" t="e">
        <x:f>IF($A708="","",[1]!thsiFinD("ths_adjustment_nv_fund",X$3,$A708))</x:f>
        <x:v>#NAME?</x:v>
      </x:c>
      <x:c r="Y708" t="e">
        <x:f>IF($A708="","",[1]!thsiFinD("ths_adjustment_nv_fund",Y$3,$A708))</x:f>
        <x:v>#NAME?</x:v>
      </x:c>
    </x:row>
    <x:row r="709">
      <x:c r="B709" t="e">
        <x:f>IF($A709="","",[1]!thsiFinD("ths_adjustment_nv_fund",B$3,$A709))</x:f>
        <x:v>#NAME?</x:v>
      </x:c>
      <x:c r="C709" t="e">
        <x:f>IF($A709="","",[1]!thsiFinD("ths_adjustment_nv_fund",C$3,$A709))</x:f>
        <x:v>#NAME?</x:v>
      </x:c>
      <x:c r="D709" t="e">
        <x:f>IF($A709="","",[1]!thsiFinD("ths_adjustment_nv_fund",D$3,$A709))</x:f>
        <x:v>#NAME?</x:v>
      </x:c>
      <x:c r="E709" t="e">
        <x:f>IF($A709="","",[1]!thsiFinD("ths_adjustment_nv_fund",E$3,$A709))</x:f>
        <x:v>#NAME?</x:v>
      </x:c>
      <x:c r="F709" t="e">
        <x:f>IF($A709="","",[1]!thsiFinD("ths_adjustment_nv_fund",F$3,$A709))</x:f>
        <x:v>#NAME?</x:v>
      </x:c>
      <x:c r="G709" t="e">
        <x:f>IF($A709="","",[1]!thsiFinD("ths_adjustment_nv_fund",G$3,$A709))</x:f>
        <x:v>#NAME?</x:v>
      </x:c>
      <x:c r="H709" t="e">
        <x:f>IF($A709="","",[1]!thsiFinD("ths_adjustment_nv_fund",H$3,$A709))</x:f>
        <x:v>#NAME?</x:v>
      </x:c>
      <x:c r="I709" t="e">
        <x:f>IF($A709="","",[1]!thsiFinD("ths_adjustment_nv_fund",I$3,$A709))</x:f>
        <x:v>#NAME?</x:v>
      </x:c>
      <x:c r="J709" t="e">
        <x:f>IF($A709="","",[1]!thsiFinD("ths_adjustment_nv_fund",J$3,$A709))</x:f>
        <x:v>#NAME?</x:v>
      </x:c>
      <x:c r="K709" t="e">
        <x:f>IF($A709="","",[1]!thsiFinD("ths_adjustment_nv_fund",K$3,$A709))</x:f>
        <x:v>#NAME?</x:v>
      </x:c>
      <x:c r="L709" t="e">
        <x:f>IF($A709="","",[1]!thsiFinD("ths_adjustment_nv_fund",L$3,$A709))</x:f>
        <x:v>#NAME?</x:v>
      </x:c>
      <x:c r="M709" t="e">
        <x:f>IF($A709="","",[1]!thsiFinD("ths_adjustment_nv_fund",M$3,$A709))</x:f>
        <x:v>#NAME?</x:v>
      </x:c>
      <x:c r="N709" t="e">
        <x:f>IF($A709="","",[1]!thsiFinD("ths_adjustment_nv_fund",N$3,$A709))</x:f>
        <x:v>#NAME?</x:v>
      </x:c>
      <x:c r="O709" t="e">
        <x:f>IF($A709="","",[1]!thsiFinD("ths_adjustment_nv_fund",O$3,$A709))</x:f>
        <x:v>#NAME?</x:v>
      </x:c>
      <x:c r="P709" t="e">
        <x:f>IF($A709="","",[1]!thsiFinD("ths_adjustment_nv_fund",P$3,$A709))</x:f>
        <x:v>#NAME?</x:v>
      </x:c>
      <x:c r="Q709" t="e">
        <x:f>IF($A709="","",[1]!thsiFinD("ths_adjustment_nv_fund",Q$3,$A709))</x:f>
        <x:v>#NAME?</x:v>
      </x:c>
      <x:c r="R709" t="e">
        <x:f>IF($A709="","",[1]!thsiFinD("ths_adjustment_nv_fund",R$3,$A709))</x:f>
        <x:v>#NAME?</x:v>
      </x:c>
      <x:c r="S709" t="e">
        <x:f>IF($A709="","",[1]!thsiFinD("ths_adjustment_nv_fund",S$3,$A709))</x:f>
        <x:v>#NAME?</x:v>
      </x:c>
      <x:c r="T709" t="e">
        <x:f>IF($A709="","",[1]!thsiFinD("ths_adjustment_nv_fund",T$3,$A709))</x:f>
        <x:v>#NAME?</x:v>
      </x:c>
      <x:c r="U709" t="e">
        <x:f>IF($A709="","",[1]!thsiFinD("ths_adjustment_nv_fund",U$3,$A709))</x:f>
        <x:v>#NAME?</x:v>
      </x:c>
      <x:c r="V709" t="e">
        <x:f>IF($A709="","",[1]!thsiFinD("ths_adjustment_nv_fund",V$3,$A709))</x:f>
        <x:v>#NAME?</x:v>
      </x:c>
      <x:c r="W709" t="e">
        <x:f>IF($A709="","",[1]!thsiFinD("ths_adjustment_nv_fund",W$3,$A709))</x:f>
        <x:v>#NAME?</x:v>
      </x:c>
      <x:c r="X709" t="e">
        <x:f>IF($A709="","",[1]!thsiFinD("ths_adjustment_nv_fund",X$3,$A709))</x:f>
        <x:v>#NAME?</x:v>
      </x:c>
      <x:c r="Y709" t="e">
        <x:f>IF($A709="","",[1]!thsiFinD("ths_adjustment_nv_fund",Y$3,$A709))</x:f>
        <x:v>#NAME?</x:v>
      </x:c>
    </x:row>
    <x:row r="710">
      <x:c r="B710" t="e">
        <x:f>IF($A710="","",[1]!thsiFinD("ths_adjustment_nv_fund",B$3,$A710))</x:f>
        <x:v>#NAME?</x:v>
      </x:c>
      <x:c r="C710" t="e">
        <x:f>IF($A710="","",[1]!thsiFinD("ths_adjustment_nv_fund",C$3,$A710))</x:f>
        <x:v>#NAME?</x:v>
      </x:c>
      <x:c r="D710" t="e">
        <x:f>IF($A710="","",[1]!thsiFinD("ths_adjustment_nv_fund",D$3,$A710))</x:f>
        <x:v>#NAME?</x:v>
      </x:c>
      <x:c r="E710" t="e">
        <x:f>IF($A710="","",[1]!thsiFinD("ths_adjustment_nv_fund",E$3,$A710))</x:f>
        <x:v>#NAME?</x:v>
      </x:c>
      <x:c r="F710" t="e">
        <x:f>IF($A710="","",[1]!thsiFinD("ths_adjustment_nv_fund",F$3,$A710))</x:f>
        <x:v>#NAME?</x:v>
      </x:c>
      <x:c r="G710" t="e">
        <x:f>IF($A710="","",[1]!thsiFinD("ths_adjustment_nv_fund",G$3,$A710))</x:f>
        <x:v>#NAME?</x:v>
      </x:c>
      <x:c r="H710" t="e">
        <x:f>IF($A710="","",[1]!thsiFinD("ths_adjustment_nv_fund",H$3,$A710))</x:f>
        <x:v>#NAME?</x:v>
      </x:c>
      <x:c r="I710" t="e">
        <x:f>IF($A710="","",[1]!thsiFinD("ths_adjustment_nv_fund",I$3,$A710))</x:f>
        <x:v>#NAME?</x:v>
      </x:c>
      <x:c r="J710" t="e">
        <x:f>IF($A710="","",[1]!thsiFinD("ths_adjustment_nv_fund",J$3,$A710))</x:f>
        <x:v>#NAME?</x:v>
      </x:c>
      <x:c r="K710" t="e">
        <x:f>IF($A710="","",[1]!thsiFinD("ths_adjustment_nv_fund",K$3,$A710))</x:f>
        <x:v>#NAME?</x:v>
      </x:c>
      <x:c r="L710" t="e">
        <x:f>IF($A710="","",[1]!thsiFinD("ths_adjustment_nv_fund",L$3,$A710))</x:f>
        <x:v>#NAME?</x:v>
      </x:c>
      <x:c r="M710" t="e">
        <x:f>IF($A710="","",[1]!thsiFinD("ths_adjustment_nv_fund",M$3,$A710))</x:f>
        <x:v>#NAME?</x:v>
      </x:c>
      <x:c r="N710" t="e">
        <x:f>IF($A710="","",[1]!thsiFinD("ths_adjustment_nv_fund",N$3,$A710))</x:f>
        <x:v>#NAME?</x:v>
      </x:c>
      <x:c r="O710" t="e">
        <x:f>IF($A710="","",[1]!thsiFinD("ths_adjustment_nv_fund",O$3,$A710))</x:f>
        <x:v>#NAME?</x:v>
      </x:c>
      <x:c r="P710" t="e">
        <x:f>IF($A710="","",[1]!thsiFinD("ths_adjustment_nv_fund",P$3,$A710))</x:f>
        <x:v>#NAME?</x:v>
      </x:c>
      <x:c r="Q710" t="e">
        <x:f>IF($A710="","",[1]!thsiFinD("ths_adjustment_nv_fund",Q$3,$A710))</x:f>
        <x:v>#NAME?</x:v>
      </x:c>
      <x:c r="R710" t="e">
        <x:f>IF($A710="","",[1]!thsiFinD("ths_adjustment_nv_fund",R$3,$A710))</x:f>
        <x:v>#NAME?</x:v>
      </x:c>
      <x:c r="S710" t="e">
        <x:f>IF($A710="","",[1]!thsiFinD("ths_adjustment_nv_fund",S$3,$A710))</x:f>
        <x:v>#NAME?</x:v>
      </x:c>
      <x:c r="T710" t="e">
        <x:f>IF($A710="","",[1]!thsiFinD("ths_adjustment_nv_fund",T$3,$A710))</x:f>
        <x:v>#NAME?</x:v>
      </x:c>
      <x:c r="U710" t="e">
        <x:f>IF($A710="","",[1]!thsiFinD("ths_adjustment_nv_fund",U$3,$A710))</x:f>
        <x:v>#NAME?</x:v>
      </x:c>
      <x:c r="V710" t="e">
        <x:f>IF($A710="","",[1]!thsiFinD("ths_adjustment_nv_fund",V$3,$A710))</x:f>
        <x:v>#NAME?</x:v>
      </x:c>
      <x:c r="W710" t="e">
        <x:f>IF($A710="","",[1]!thsiFinD("ths_adjustment_nv_fund",W$3,$A710))</x:f>
        <x:v>#NAME?</x:v>
      </x:c>
      <x:c r="X710" t="e">
        <x:f>IF($A710="","",[1]!thsiFinD("ths_adjustment_nv_fund",X$3,$A710))</x:f>
        <x:v>#NAME?</x:v>
      </x:c>
      <x:c r="Y710" t="e">
        <x:f>IF($A710="","",[1]!thsiFinD("ths_adjustment_nv_fund",Y$3,$A710))</x:f>
        <x:v>#NAME?</x:v>
      </x:c>
    </x:row>
    <x:row r="711">
      <x:c r="B711" t="e">
        <x:f>IF($A711="","",[1]!thsiFinD("ths_adjustment_nv_fund",B$3,$A711))</x:f>
        <x:v>#NAME?</x:v>
      </x:c>
      <x:c r="C711" t="e">
        <x:f>IF($A711="","",[1]!thsiFinD("ths_adjustment_nv_fund",C$3,$A711))</x:f>
        <x:v>#NAME?</x:v>
      </x:c>
      <x:c r="D711" t="e">
        <x:f>IF($A711="","",[1]!thsiFinD("ths_adjustment_nv_fund",D$3,$A711))</x:f>
        <x:v>#NAME?</x:v>
      </x:c>
      <x:c r="E711" t="e">
        <x:f>IF($A711="","",[1]!thsiFinD("ths_adjustment_nv_fund",E$3,$A711))</x:f>
        <x:v>#NAME?</x:v>
      </x:c>
      <x:c r="F711" t="e">
        <x:f>IF($A711="","",[1]!thsiFinD("ths_adjustment_nv_fund",F$3,$A711))</x:f>
        <x:v>#NAME?</x:v>
      </x:c>
      <x:c r="G711" t="e">
        <x:f>IF($A711="","",[1]!thsiFinD("ths_adjustment_nv_fund",G$3,$A711))</x:f>
        <x:v>#NAME?</x:v>
      </x:c>
      <x:c r="H711" t="e">
        <x:f>IF($A711="","",[1]!thsiFinD("ths_adjustment_nv_fund",H$3,$A711))</x:f>
        <x:v>#NAME?</x:v>
      </x:c>
      <x:c r="I711" t="e">
        <x:f>IF($A711="","",[1]!thsiFinD("ths_adjustment_nv_fund",I$3,$A711))</x:f>
        <x:v>#NAME?</x:v>
      </x:c>
      <x:c r="J711" t="e">
        <x:f>IF($A711="","",[1]!thsiFinD("ths_adjustment_nv_fund",J$3,$A711))</x:f>
        <x:v>#NAME?</x:v>
      </x:c>
      <x:c r="K711" t="e">
        <x:f>IF($A711="","",[1]!thsiFinD("ths_adjustment_nv_fund",K$3,$A711))</x:f>
        <x:v>#NAME?</x:v>
      </x:c>
      <x:c r="L711" t="e">
        <x:f>IF($A711="","",[1]!thsiFinD("ths_adjustment_nv_fund",L$3,$A711))</x:f>
        <x:v>#NAME?</x:v>
      </x:c>
      <x:c r="M711" t="e">
        <x:f>IF($A711="","",[1]!thsiFinD("ths_adjustment_nv_fund",M$3,$A711))</x:f>
        <x:v>#NAME?</x:v>
      </x:c>
      <x:c r="N711" t="e">
        <x:f>IF($A711="","",[1]!thsiFinD("ths_adjustment_nv_fund",N$3,$A711))</x:f>
        <x:v>#NAME?</x:v>
      </x:c>
      <x:c r="O711" t="e">
        <x:f>IF($A711="","",[1]!thsiFinD("ths_adjustment_nv_fund",O$3,$A711))</x:f>
        <x:v>#NAME?</x:v>
      </x:c>
      <x:c r="P711" t="e">
        <x:f>IF($A711="","",[1]!thsiFinD("ths_adjustment_nv_fund",P$3,$A711))</x:f>
        <x:v>#NAME?</x:v>
      </x:c>
      <x:c r="Q711" t="e">
        <x:f>IF($A711="","",[1]!thsiFinD("ths_adjustment_nv_fund",Q$3,$A711))</x:f>
        <x:v>#NAME?</x:v>
      </x:c>
      <x:c r="R711" t="e">
        <x:f>IF($A711="","",[1]!thsiFinD("ths_adjustment_nv_fund",R$3,$A711))</x:f>
        <x:v>#NAME?</x:v>
      </x:c>
      <x:c r="S711" t="e">
        <x:f>IF($A711="","",[1]!thsiFinD("ths_adjustment_nv_fund",S$3,$A711))</x:f>
        <x:v>#NAME?</x:v>
      </x:c>
      <x:c r="T711" t="e">
        <x:f>IF($A711="","",[1]!thsiFinD("ths_adjustment_nv_fund",T$3,$A711))</x:f>
        <x:v>#NAME?</x:v>
      </x:c>
      <x:c r="U711" t="e">
        <x:f>IF($A711="","",[1]!thsiFinD("ths_adjustment_nv_fund",U$3,$A711))</x:f>
        <x:v>#NAME?</x:v>
      </x:c>
      <x:c r="V711" t="e">
        <x:f>IF($A711="","",[1]!thsiFinD("ths_adjustment_nv_fund",V$3,$A711))</x:f>
        <x:v>#NAME?</x:v>
      </x:c>
      <x:c r="W711" t="e">
        <x:f>IF($A711="","",[1]!thsiFinD("ths_adjustment_nv_fund",W$3,$A711))</x:f>
        <x:v>#NAME?</x:v>
      </x:c>
      <x:c r="X711" t="e">
        <x:f>IF($A711="","",[1]!thsiFinD("ths_adjustment_nv_fund",X$3,$A711))</x:f>
        <x:v>#NAME?</x:v>
      </x:c>
      <x:c r="Y711" t="e">
        <x:f>IF($A711="","",[1]!thsiFinD("ths_adjustment_nv_fund",Y$3,$A711))</x:f>
        <x:v>#NAME?</x:v>
      </x:c>
    </x:row>
    <x:row r="712">
      <x:c r="B712" t="e">
        <x:f>IF($A712="","",[1]!thsiFinD("ths_adjustment_nv_fund",B$3,$A712))</x:f>
        <x:v>#NAME?</x:v>
      </x:c>
      <x:c r="C712" t="e">
        <x:f>IF($A712="","",[1]!thsiFinD("ths_adjustment_nv_fund",C$3,$A712))</x:f>
        <x:v>#NAME?</x:v>
      </x:c>
      <x:c r="D712" t="e">
        <x:f>IF($A712="","",[1]!thsiFinD("ths_adjustment_nv_fund",D$3,$A712))</x:f>
        <x:v>#NAME?</x:v>
      </x:c>
      <x:c r="E712" t="e">
        <x:f>IF($A712="","",[1]!thsiFinD("ths_adjustment_nv_fund",E$3,$A712))</x:f>
        <x:v>#NAME?</x:v>
      </x:c>
      <x:c r="F712" t="e">
        <x:f>IF($A712="","",[1]!thsiFinD("ths_adjustment_nv_fund",F$3,$A712))</x:f>
        <x:v>#NAME?</x:v>
      </x:c>
      <x:c r="G712" t="e">
        <x:f>IF($A712="","",[1]!thsiFinD("ths_adjustment_nv_fund",G$3,$A712))</x:f>
        <x:v>#NAME?</x:v>
      </x:c>
      <x:c r="H712" t="e">
        <x:f>IF($A712="","",[1]!thsiFinD("ths_adjustment_nv_fund",H$3,$A712))</x:f>
        <x:v>#NAME?</x:v>
      </x:c>
      <x:c r="I712" t="e">
        <x:f>IF($A712="","",[1]!thsiFinD("ths_adjustment_nv_fund",I$3,$A712))</x:f>
        <x:v>#NAME?</x:v>
      </x:c>
      <x:c r="J712" t="e">
        <x:f>IF($A712="","",[1]!thsiFinD("ths_adjustment_nv_fund",J$3,$A712))</x:f>
        <x:v>#NAME?</x:v>
      </x:c>
      <x:c r="K712" t="e">
        <x:f>IF($A712="","",[1]!thsiFinD("ths_adjustment_nv_fund",K$3,$A712))</x:f>
        <x:v>#NAME?</x:v>
      </x:c>
      <x:c r="L712" t="e">
        <x:f>IF($A712="","",[1]!thsiFinD("ths_adjustment_nv_fund",L$3,$A712))</x:f>
        <x:v>#NAME?</x:v>
      </x:c>
      <x:c r="M712" t="e">
        <x:f>IF($A712="","",[1]!thsiFinD("ths_adjustment_nv_fund",M$3,$A712))</x:f>
        <x:v>#NAME?</x:v>
      </x:c>
      <x:c r="N712" t="e">
        <x:f>IF($A712="","",[1]!thsiFinD("ths_adjustment_nv_fund",N$3,$A712))</x:f>
        <x:v>#NAME?</x:v>
      </x:c>
      <x:c r="O712" t="e">
        <x:f>IF($A712="","",[1]!thsiFinD("ths_adjustment_nv_fund",O$3,$A712))</x:f>
        <x:v>#NAME?</x:v>
      </x:c>
      <x:c r="P712" t="e">
        <x:f>IF($A712="","",[1]!thsiFinD("ths_adjustment_nv_fund",P$3,$A712))</x:f>
        <x:v>#NAME?</x:v>
      </x:c>
      <x:c r="Q712" t="e">
        <x:f>IF($A712="","",[1]!thsiFinD("ths_adjustment_nv_fund",Q$3,$A712))</x:f>
        <x:v>#NAME?</x:v>
      </x:c>
      <x:c r="R712" t="e">
        <x:f>IF($A712="","",[1]!thsiFinD("ths_adjustment_nv_fund",R$3,$A712))</x:f>
        <x:v>#NAME?</x:v>
      </x:c>
      <x:c r="S712" t="e">
        <x:f>IF($A712="","",[1]!thsiFinD("ths_adjustment_nv_fund",S$3,$A712))</x:f>
        <x:v>#NAME?</x:v>
      </x:c>
      <x:c r="T712" t="e">
        <x:f>IF($A712="","",[1]!thsiFinD("ths_adjustment_nv_fund",T$3,$A712))</x:f>
        <x:v>#NAME?</x:v>
      </x:c>
      <x:c r="U712" t="e">
        <x:f>IF($A712="","",[1]!thsiFinD("ths_adjustment_nv_fund",U$3,$A712))</x:f>
        <x:v>#NAME?</x:v>
      </x:c>
      <x:c r="V712" t="e">
        <x:f>IF($A712="","",[1]!thsiFinD("ths_adjustment_nv_fund",V$3,$A712))</x:f>
        <x:v>#NAME?</x:v>
      </x:c>
      <x:c r="W712" t="e">
        <x:f>IF($A712="","",[1]!thsiFinD("ths_adjustment_nv_fund",W$3,$A712))</x:f>
        <x:v>#NAME?</x:v>
      </x:c>
      <x:c r="X712" t="e">
        <x:f>IF($A712="","",[1]!thsiFinD("ths_adjustment_nv_fund",X$3,$A712))</x:f>
        <x:v>#NAME?</x:v>
      </x:c>
      <x:c r="Y712" t="e">
        <x:f>IF($A712="","",[1]!thsiFinD("ths_adjustment_nv_fund",Y$3,$A712))</x:f>
        <x:v>#NAME?</x:v>
      </x:c>
    </x:row>
    <x:row r="713">
      <x:c r="B713" t="e">
        <x:f>IF($A713="","",[1]!thsiFinD("ths_adjustment_nv_fund",B$3,$A713))</x:f>
        <x:v>#NAME?</x:v>
      </x:c>
      <x:c r="C713" t="e">
        <x:f>IF($A713="","",[1]!thsiFinD("ths_adjustment_nv_fund",C$3,$A713))</x:f>
        <x:v>#NAME?</x:v>
      </x:c>
      <x:c r="D713" t="e">
        <x:f>IF($A713="","",[1]!thsiFinD("ths_adjustment_nv_fund",D$3,$A713))</x:f>
        <x:v>#NAME?</x:v>
      </x:c>
      <x:c r="E713" t="e">
        <x:f>IF($A713="","",[1]!thsiFinD("ths_adjustment_nv_fund",E$3,$A713))</x:f>
        <x:v>#NAME?</x:v>
      </x:c>
      <x:c r="F713" t="e">
        <x:f>IF($A713="","",[1]!thsiFinD("ths_adjustment_nv_fund",F$3,$A713))</x:f>
        <x:v>#NAME?</x:v>
      </x:c>
      <x:c r="G713" t="e">
        <x:f>IF($A713="","",[1]!thsiFinD("ths_adjustment_nv_fund",G$3,$A713))</x:f>
        <x:v>#NAME?</x:v>
      </x:c>
      <x:c r="H713" t="e">
        <x:f>IF($A713="","",[1]!thsiFinD("ths_adjustment_nv_fund",H$3,$A713))</x:f>
        <x:v>#NAME?</x:v>
      </x:c>
      <x:c r="I713" t="e">
        <x:f>IF($A713="","",[1]!thsiFinD("ths_adjustment_nv_fund",I$3,$A713))</x:f>
        <x:v>#NAME?</x:v>
      </x:c>
      <x:c r="J713" t="e">
        <x:f>IF($A713="","",[1]!thsiFinD("ths_adjustment_nv_fund",J$3,$A713))</x:f>
        <x:v>#NAME?</x:v>
      </x:c>
      <x:c r="K713" t="e">
        <x:f>IF($A713="","",[1]!thsiFinD("ths_adjustment_nv_fund",K$3,$A713))</x:f>
        <x:v>#NAME?</x:v>
      </x:c>
      <x:c r="L713" t="e">
        <x:f>IF($A713="","",[1]!thsiFinD("ths_adjustment_nv_fund",L$3,$A713))</x:f>
        <x:v>#NAME?</x:v>
      </x:c>
      <x:c r="M713" t="e">
        <x:f>IF($A713="","",[1]!thsiFinD("ths_adjustment_nv_fund",M$3,$A713))</x:f>
        <x:v>#NAME?</x:v>
      </x:c>
      <x:c r="N713" t="e">
        <x:f>IF($A713="","",[1]!thsiFinD("ths_adjustment_nv_fund",N$3,$A713))</x:f>
        <x:v>#NAME?</x:v>
      </x:c>
      <x:c r="O713" t="e">
        <x:f>IF($A713="","",[1]!thsiFinD("ths_adjustment_nv_fund",O$3,$A713))</x:f>
        <x:v>#NAME?</x:v>
      </x:c>
      <x:c r="P713" t="e">
        <x:f>IF($A713="","",[1]!thsiFinD("ths_adjustment_nv_fund",P$3,$A713))</x:f>
        <x:v>#NAME?</x:v>
      </x:c>
      <x:c r="Q713" t="e">
        <x:f>IF($A713="","",[1]!thsiFinD("ths_adjustment_nv_fund",Q$3,$A713))</x:f>
        <x:v>#NAME?</x:v>
      </x:c>
      <x:c r="R713" t="e">
        <x:f>IF($A713="","",[1]!thsiFinD("ths_adjustment_nv_fund",R$3,$A713))</x:f>
        <x:v>#NAME?</x:v>
      </x:c>
      <x:c r="S713" t="e">
        <x:f>IF($A713="","",[1]!thsiFinD("ths_adjustment_nv_fund",S$3,$A713))</x:f>
        <x:v>#NAME?</x:v>
      </x:c>
      <x:c r="T713" t="e">
        <x:f>IF($A713="","",[1]!thsiFinD("ths_adjustment_nv_fund",T$3,$A713))</x:f>
        <x:v>#NAME?</x:v>
      </x:c>
      <x:c r="U713" t="e">
        <x:f>IF($A713="","",[1]!thsiFinD("ths_adjustment_nv_fund",U$3,$A713))</x:f>
        <x:v>#NAME?</x:v>
      </x:c>
      <x:c r="V713" t="e">
        <x:f>IF($A713="","",[1]!thsiFinD("ths_adjustment_nv_fund",V$3,$A713))</x:f>
        <x:v>#NAME?</x:v>
      </x:c>
      <x:c r="W713" t="e">
        <x:f>IF($A713="","",[1]!thsiFinD("ths_adjustment_nv_fund",W$3,$A713))</x:f>
        <x:v>#NAME?</x:v>
      </x:c>
      <x:c r="X713" t="e">
        <x:f>IF($A713="","",[1]!thsiFinD("ths_adjustment_nv_fund",X$3,$A713))</x:f>
        <x:v>#NAME?</x:v>
      </x:c>
      <x:c r="Y713" t="e">
        <x:f>IF($A713="","",[1]!thsiFinD("ths_adjustment_nv_fund",Y$3,$A713))</x:f>
        <x:v>#NAME?</x:v>
      </x:c>
    </x:row>
    <x:row r="714">
      <x:c r="B714" t="e">
        <x:f>IF($A714="","",[1]!thsiFinD("ths_adjustment_nv_fund",B$3,$A714))</x:f>
        <x:v>#NAME?</x:v>
      </x:c>
      <x:c r="C714" t="e">
        <x:f>IF($A714="","",[1]!thsiFinD("ths_adjustment_nv_fund",C$3,$A714))</x:f>
        <x:v>#NAME?</x:v>
      </x:c>
      <x:c r="D714" t="e">
        <x:f>IF($A714="","",[1]!thsiFinD("ths_adjustment_nv_fund",D$3,$A714))</x:f>
        <x:v>#NAME?</x:v>
      </x:c>
      <x:c r="E714" t="e">
        <x:f>IF($A714="","",[1]!thsiFinD("ths_adjustment_nv_fund",E$3,$A714))</x:f>
        <x:v>#NAME?</x:v>
      </x:c>
      <x:c r="F714" t="e">
        <x:f>IF($A714="","",[1]!thsiFinD("ths_adjustment_nv_fund",F$3,$A714))</x:f>
        <x:v>#NAME?</x:v>
      </x:c>
      <x:c r="G714" t="e">
        <x:f>IF($A714="","",[1]!thsiFinD("ths_adjustment_nv_fund",G$3,$A714))</x:f>
        <x:v>#NAME?</x:v>
      </x:c>
      <x:c r="H714" t="e">
        <x:f>IF($A714="","",[1]!thsiFinD("ths_adjustment_nv_fund",H$3,$A714))</x:f>
        <x:v>#NAME?</x:v>
      </x:c>
      <x:c r="I714" t="e">
        <x:f>IF($A714="","",[1]!thsiFinD("ths_adjustment_nv_fund",I$3,$A714))</x:f>
        <x:v>#NAME?</x:v>
      </x:c>
      <x:c r="J714" t="e">
        <x:f>IF($A714="","",[1]!thsiFinD("ths_adjustment_nv_fund",J$3,$A714))</x:f>
        <x:v>#NAME?</x:v>
      </x:c>
      <x:c r="K714" t="e">
        <x:f>IF($A714="","",[1]!thsiFinD("ths_adjustment_nv_fund",K$3,$A714))</x:f>
        <x:v>#NAME?</x:v>
      </x:c>
      <x:c r="L714" t="e">
        <x:f>IF($A714="","",[1]!thsiFinD("ths_adjustment_nv_fund",L$3,$A714))</x:f>
        <x:v>#NAME?</x:v>
      </x:c>
      <x:c r="M714" t="e">
        <x:f>IF($A714="","",[1]!thsiFinD("ths_adjustment_nv_fund",M$3,$A714))</x:f>
        <x:v>#NAME?</x:v>
      </x:c>
      <x:c r="N714" t="e">
        <x:f>IF($A714="","",[1]!thsiFinD("ths_adjustment_nv_fund",N$3,$A714))</x:f>
        <x:v>#NAME?</x:v>
      </x:c>
      <x:c r="O714" t="e">
        <x:f>IF($A714="","",[1]!thsiFinD("ths_adjustment_nv_fund",O$3,$A714))</x:f>
        <x:v>#NAME?</x:v>
      </x:c>
      <x:c r="P714" t="e">
        <x:f>IF($A714="","",[1]!thsiFinD("ths_adjustment_nv_fund",P$3,$A714))</x:f>
        <x:v>#NAME?</x:v>
      </x:c>
      <x:c r="Q714" t="e">
        <x:f>IF($A714="","",[1]!thsiFinD("ths_adjustment_nv_fund",Q$3,$A714))</x:f>
        <x:v>#NAME?</x:v>
      </x:c>
      <x:c r="R714" t="e">
        <x:f>IF($A714="","",[1]!thsiFinD("ths_adjustment_nv_fund",R$3,$A714))</x:f>
        <x:v>#NAME?</x:v>
      </x:c>
      <x:c r="S714" t="e">
        <x:f>IF($A714="","",[1]!thsiFinD("ths_adjustment_nv_fund",S$3,$A714))</x:f>
        <x:v>#NAME?</x:v>
      </x:c>
      <x:c r="T714" t="e">
        <x:f>IF($A714="","",[1]!thsiFinD("ths_adjustment_nv_fund",T$3,$A714))</x:f>
        <x:v>#NAME?</x:v>
      </x:c>
      <x:c r="U714" t="e">
        <x:f>IF($A714="","",[1]!thsiFinD("ths_adjustment_nv_fund",U$3,$A714))</x:f>
        <x:v>#NAME?</x:v>
      </x:c>
      <x:c r="V714" t="e">
        <x:f>IF($A714="","",[1]!thsiFinD("ths_adjustment_nv_fund",V$3,$A714))</x:f>
        <x:v>#NAME?</x:v>
      </x:c>
      <x:c r="W714" t="e">
        <x:f>IF($A714="","",[1]!thsiFinD("ths_adjustment_nv_fund",W$3,$A714))</x:f>
        <x:v>#NAME?</x:v>
      </x:c>
      <x:c r="X714" t="e">
        <x:f>IF($A714="","",[1]!thsiFinD("ths_adjustment_nv_fund",X$3,$A714))</x:f>
        <x:v>#NAME?</x:v>
      </x:c>
      <x:c r="Y714" t="e">
        <x:f>IF($A714="","",[1]!thsiFinD("ths_adjustment_nv_fund",Y$3,$A714))</x:f>
        <x:v>#NAME?</x:v>
      </x:c>
    </x:row>
    <x:row r="715">
      <x:c r="B715" t="e">
        <x:f>IF($A715="","",[1]!thsiFinD("ths_adjustment_nv_fund",B$3,$A715))</x:f>
        <x:v>#NAME?</x:v>
      </x:c>
      <x:c r="C715" t="e">
        <x:f>IF($A715="","",[1]!thsiFinD("ths_adjustment_nv_fund",C$3,$A715))</x:f>
        <x:v>#NAME?</x:v>
      </x:c>
      <x:c r="D715" t="e">
        <x:f>IF($A715="","",[1]!thsiFinD("ths_adjustment_nv_fund",D$3,$A715))</x:f>
        <x:v>#NAME?</x:v>
      </x:c>
      <x:c r="E715" t="e">
        <x:f>IF($A715="","",[1]!thsiFinD("ths_adjustment_nv_fund",E$3,$A715))</x:f>
        <x:v>#NAME?</x:v>
      </x:c>
      <x:c r="F715" t="e">
        <x:f>IF($A715="","",[1]!thsiFinD("ths_adjustment_nv_fund",F$3,$A715))</x:f>
        <x:v>#NAME?</x:v>
      </x:c>
      <x:c r="G715" t="e">
        <x:f>IF($A715="","",[1]!thsiFinD("ths_adjustment_nv_fund",G$3,$A715))</x:f>
        <x:v>#NAME?</x:v>
      </x:c>
      <x:c r="H715" t="e">
        <x:f>IF($A715="","",[1]!thsiFinD("ths_adjustment_nv_fund",H$3,$A715))</x:f>
        <x:v>#NAME?</x:v>
      </x:c>
      <x:c r="I715" t="e">
        <x:f>IF($A715="","",[1]!thsiFinD("ths_adjustment_nv_fund",I$3,$A715))</x:f>
        <x:v>#NAME?</x:v>
      </x:c>
      <x:c r="J715" t="e">
        <x:f>IF($A715="","",[1]!thsiFinD("ths_adjustment_nv_fund",J$3,$A715))</x:f>
        <x:v>#NAME?</x:v>
      </x:c>
      <x:c r="K715" t="e">
        <x:f>IF($A715="","",[1]!thsiFinD("ths_adjustment_nv_fund",K$3,$A715))</x:f>
        <x:v>#NAME?</x:v>
      </x:c>
      <x:c r="L715" t="e">
        <x:f>IF($A715="","",[1]!thsiFinD("ths_adjustment_nv_fund",L$3,$A715))</x:f>
        <x:v>#NAME?</x:v>
      </x:c>
      <x:c r="M715" t="e">
        <x:f>IF($A715="","",[1]!thsiFinD("ths_adjustment_nv_fund",M$3,$A715))</x:f>
        <x:v>#NAME?</x:v>
      </x:c>
      <x:c r="N715" t="e">
        <x:f>IF($A715="","",[1]!thsiFinD("ths_adjustment_nv_fund",N$3,$A715))</x:f>
        <x:v>#NAME?</x:v>
      </x:c>
      <x:c r="O715" t="e">
        <x:f>IF($A715="","",[1]!thsiFinD("ths_adjustment_nv_fund",O$3,$A715))</x:f>
        <x:v>#NAME?</x:v>
      </x:c>
      <x:c r="P715" t="e">
        <x:f>IF($A715="","",[1]!thsiFinD("ths_adjustment_nv_fund",P$3,$A715))</x:f>
        <x:v>#NAME?</x:v>
      </x:c>
      <x:c r="Q715" t="e">
        <x:f>IF($A715="","",[1]!thsiFinD("ths_adjustment_nv_fund",Q$3,$A715))</x:f>
        <x:v>#NAME?</x:v>
      </x:c>
      <x:c r="R715" t="e">
        <x:f>IF($A715="","",[1]!thsiFinD("ths_adjustment_nv_fund",R$3,$A715))</x:f>
        <x:v>#NAME?</x:v>
      </x:c>
      <x:c r="S715" t="e">
        <x:f>IF($A715="","",[1]!thsiFinD("ths_adjustment_nv_fund",S$3,$A715))</x:f>
        <x:v>#NAME?</x:v>
      </x:c>
      <x:c r="T715" t="e">
        <x:f>IF($A715="","",[1]!thsiFinD("ths_adjustment_nv_fund",T$3,$A715))</x:f>
        <x:v>#NAME?</x:v>
      </x:c>
      <x:c r="U715" t="e">
        <x:f>IF($A715="","",[1]!thsiFinD("ths_adjustment_nv_fund",U$3,$A715))</x:f>
        <x:v>#NAME?</x:v>
      </x:c>
      <x:c r="V715" t="e">
        <x:f>IF($A715="","",[1]!thsiFinD("ths_adjustment_nv_fund",V$3,$A715))</x:f>
        <x:v>#NAME?</x:v>
      </x:c>
      <x:c r="W715" t="e">
        <x:f>IF($A715="","",[1]!thsiFinD("ths_adjustment_nv_fund",W$3,$A715))</x:f>
        <x:v>#NAME?</x:v>
      </x:c>
      <x:c r="X715" t="e">
        <x:f>IF($A715="","",[1]!thsiFinD("ths_adjustment_nv_fund",X$3,$A715))</x:f>
        <x:v>#NAME?</x:v>
      </x:c>
      <x:c r="Y715" t="e">
        <x:f>IF($A715="","",[1]!thsiFinD("ths_adjustment_nv_fund",Y$3,$A715))</x:f>
        <x:v>#NAME?</x:v>
      </x:c>
    </x:row>
    <x:row r="716">
      <x:c r="B716" t="e">
        <x:f>IF($A716="","",[1]!thsiFinD("ths_adjustment_nv_fund",B$3,$A716))</x:f>
        <x:v>#NAME?</x:v>
      </x:c>
      <x:c r="C716" t="e">
        <x:f>IF($A716="","",[1]!thsiFinD("ths_adjustment_nv_fund",C$3,$A716))</x:f>
        <x:v>#NAME?</x:v>
      </x:c>
      <x:c r="D716" t="e">
        <x:f>IF($A716="","",[1]!thsiFinD("ths_adjustment_nv_fund",D$3,$A716))</x:f>
        <x:v>#NAME?</x:v>
      </x:c>
      <x:c r="E716" t="e">
        <x:f>IF($A716="","",[1]!thsiFinD("ths_adjustment_nv_fund",E$3,$A716))</x:f>
        <x:v>#NAME?</x:v>
      </x:c>
      <x:c r="F716" t="e">
        <x:f>IF($A716="","",[1]!thsiFinD("ths_adjustment_nv_fund",F$3,$A716))</x:f>
        <x:v>#NAME?</x:v>
      </x:c>
      <x:c r="G716" t="e">
        <x:f>IF($A716="","",[1]!thsiFinD("ths_adjustment_nv_fund",G$3,$A716))</x:f>
        <x:v>#NAME?</x:v>
      </x:c>
      <x:c r="H716" t="e">
        <x:f>IF($A716="","",[1]!thsiFinD("ths_adjustment_nv_fund",H$3,$A716))</x:f>
        <x:v>#NAME?</x:v>
      </x:c>
      <x:c r="I716" t="e">
        <x:f>IF($A716="","",[1]!thsiFinD("ths_adjustment_nv_fund",I$3,$A716))</x:f>
        <x:v>#NAME?</x:v>
      </x:c>
      <x:c r="J716" t="e">
        <x:f>IF($A716="","",[1]!thsiFinD("ths_adjustment_nv_fund",J$3,$A716))</x:f>
        <x:v>#NAME?</x:v>
      </x:c>
      <x:c r="K716" t="e">
        <x:f>IF($A716="","",[1]!thsiFinD("ths_adjustment_nv_fund",K$3,$A716))</x:f>
        <x:v>#NAME?</x:v>
      </x:c>
      <x:c r="L716" t="e">
        <x:f>IF($A716="","",[1]!thsiFinD("ths_adjustment_nv_fund",L$3,$A716))</x:f>
        <x:v>#NAME?</x:v>
      </x:c>
      <x:c r="M716" t="e">
        <x:f>IF($A716="","",[1]!thsiFinD("ths_adjustment_nv_fund",M$3,$A716))</x:f>
        <x:v>#NAME?</x:v>
      </x:c>
      <x:c r="N716" t="e">
        <x:f>IF($A716="","",[1]!thsiFinD("ths_adjustment_nv_fund",N$3,$A716))</x:f>
        <x:v>#NAME?</x:v>
      </x:c>
      <x:c r="O716" t="e">
        <x:f>IF($A716="","",[1]!thsiFinD("ths_adjustment_nv_fund",O$3,$A716))</x:f>
        <x:v>#NAME?</x:v>
      </x:c>
      <x:c r="P716" t="e">
        <x:f>IF($A716="","",[1]!thsiFinD("ths_adjustment_nv_fund",P$3,$A716))</x:f>
        <x:v>#NAME?</x:v>
      </x:c>
      <x:c r="Q716" t="e">
        <x:f>IF($A716="","",[1]!thsiFinD("ths_adjustment_nv_fund",Q$3,$A716))</x:f>
        <x:v>#NAME?</x:v>
      </x:c>
      <x:c r="R716" t="e">
        <x:f>IF($A716="","",[1]!thsiFinD("ths_adjustment_nv_fund",R$3,$A716))</x:f>
        <x:v>#NAME?</x:v>
      </x:c>
      <x:c r="S716" t="e">
        <x:f>IF($A716="","",[1]!thsiFinD("ths_adjustment_nv_fund",S$3,$A716))</x:f>
        <x:v>#NAME?</x:v>
      </x:c>
      <x:c r="T716" t="e">
        <x:f>IF($A716="","",[1]!thsiFinD("ths_adjustment_nv_fund",T$3,$A716))</x:f>
        <x:v>#NAME?</x:v>
      </x:c>
      <x:c r="U716" t="e">
        <x:f>IF($A716="","",[1]!thsiFinD("ths_adjustment_nv_fund",U$3,$A716))</x:f>
        <x:v>#NAME?</x:v>
      </x:c>
      <x:c r="V716" t="e">
        <x:f>IF($A716="","",[1]!thsiFinD("ths_adjustment_nv_fund",V$3,$A716))</x:f>
        <x:v>#NAME?</x:v>
      </x:c>
      <x:c r="W716" t="e">
        <x:f>IF($A716="","",[1]!thsiFinD("ths_adjustment_nv_fund",W$3,$A716))</x:f>
        <x:v>#NAME?</x:v>
      </x:c>
      <x:c r="X716" t="e">
        <x:f>IF($A716="","",[1]!thsiFinD("ths_adjustment_nv_fund",X$3,$A716))</x:f>
        <x:v>#NAME?</x:v>
      </x:c>
      <x:c r="Y716" t="e">
        <x:f>IF($A716="","",[1]!thsiFinD("ths_adjustment_nv_fund",Y$3,$A716))</x:f>
        <x:v>#NAME?</x:v>
      </x:c>
    </x:row>
    <x:row r="717">
      <x:c r="B717" t="e">
        <x:f>IF($A717="","",[1]!thsiFinD("ths_adjustment_nv_fund",B$3,$A717))</x:f>
        <x:v>#NAME?</x:v>
      </x:c>
      <x:c r="C717" t="e">
        <x:f>IF($A717="","",[1]!thsiFinD("ths_adjustment_nv_fund",C$3,$A717))</x:f>
        <x:v>#NAME?</x:v>
      </x:c>
      <x:c r="D717" t="e">
        <x:f>IF($A717="","",[1]!thsiFinD("ths_adjustment_nv_fund",D$3,$A717))</x:f>
        <x:v>#NAME?</x:v>
      </x:c>
      <x:c r="E717" t="e">
        <x:f>IF($A717="","",[1]!thsiFinD("ths_adjustment_nv_fund",E$3,$A717))</x:f>
        <x:v>#NAME?</x:v>
      </x:c>
      <x:c r="F717" t="e">
        <x:f>IF($A717="","",[1]!thsiFinD("ths_adjustment_nv_fund",F$3,$A717))</x:f>
        <x:v>#NAME?</x:v>
      </x:c>
      <x:c r="G717" t="e">
        <x:f>IF($A717="","",[1]!thsiFinD("ths_adjustment_nv_fund",G$3,$A717))</x:f>
        <x:v>#NAME?</x:v>
      </x:c>
      <x:c r="H717" t="e">
        <x:f>IF($A717="","",[1]!thsiFinD("ths_adjustment_nv_fund",H$3,$A717))</x:f>
        <x:v>#NAME?</x:v>
      </x:c>
      <x:c r="I717" t="e">
        <x:f>IF($A717="","",[1]!thsiFinD("ths_adjustment_nv_fund",I$3,$A717))</x:f>
        <x:v>#NAME?</x:v>
      </x:c>
      <x:c r="J717" t="e">
        <x:f>IF($A717="","",[1]!thsiFinD("ths_adjustment_nv_fund",J$3,$A717))</x:f>
        <x:v>#NAME?</x:v>
      </x:c>
      <x:c r="K717" t="e">
        <x:f>IF($A717="","",[1]!thsiFinD("ths_adjustment_nv_fund",K$3,$A717))</x:f>
        <x:v>#NAME?</x:v>
      </x:c>
      <x:c r="L717" t="e">
        <x:f>IF($A717="","",[1]!thsiFinD("ths_adjustment_nv_fund",L$3,$A717))</x:f>
        <x:v>#NAME?</x:v>
      </x:c>
      <x:c r="M717" t="e">
        <x:f>IF($A717="","",[1]!thsiFinD("ths_adjustment_nv_fund",M$3,$A717))</x:f>
        <x:v>#NAME?</x:v>
      </x:c>
      <x:c r="N717" t="e">
        <x:f>IF($A717="","",[1]!thsiFinD("ths_adjustment_nv_fund",N$3,$A717))</x:f>
        <x:v>#NAME?</x:v>
      </x:c>
      <x:c r="O717" t="e">
        <x:f>IF($A717="","",[1]!thsiFinD("ths_adjustment_nv_fund",O$3,$A717))</x:f>
        <x:v>#NAME?</x:v>
      </x:c>
      <x:c r="P717" t="e">
        <x:f>IF($A717="","",[1]!thsiFinD("ths_adjustment_nv_fund",P$3,$A717))</x:f>
        <x:v>#NAME?</x:v>
      </x:c>
      <x:c r="Q717" t="e">
        <x:f>IF($A717="","",[1]!thsiFinD("ths_adjustment_nv_fund",Q$3,$A717))</x:f>
        <x:v>#NAME?</x:v>
      </x:c>
      <x:c r="R717" t="e">
        <x:f>IF($A717="","",[1]!thsiFinD("ths_adjustment_nv_fund",R$3,$A717))</x:f>
        <x:v>#NAME?</x:v>
      </x:c>
      <x:c r="S717" t="e">
        <x:f>IF($A717="","",[1]!thsiFinD("ths_adjustment_nv_fund",S$3,$A717))</x:f>
        <x:v>#NAME?</x:v>
      </x:c>
      <x:c r="T717" t="e">
        <x:f>IF($A717="","",[1]!thsiFinD("ths_adjustment_nv_fund",T$3,$A717))</x:f>
        <x:v>#NAME?</x:v>
      </x:c>
      <x:c r="U717" t="e">
        <x:f>IF($A717="","",[1]!thsiFinD("ths_adjustment_nv_fund",U$3,$A717))</x:f>
        <x:v>#NAME?</x:v>
      </x:c>
      <x:c r="V717" t="e">
        <x:f>IF($A717="","",[1]!thsiFinD("ths_adjustment_nv_fund",V$3,$A717))</x:f>
        <x:v>#NAME?</x:v>
      </x:c>
      <x:c r="W717" t="e">
        <x:f>IF($A717="","",[1]!thsiFinD("ths_adjustment_nv_fund",W$3,$A717))</x:f>
        <x:v>#NAME?</x:v>
      </x:c>
      <x:c r="X717" t="e">
        <x:f>IF($A717="","",[1]!thsiFinD("ths_adjustment_nv_fund",X$3,$A717))</x:f>
        <x:v>#NAME?</x:v>
      </x:c>
      <x:c r="Y717" t="e">
        <x:f>IF($A717="","",[1]!thsiFinD("ths_adjustment_nv_fund",Y$3,$A717))</x:f>
        <x:v>#NAME?</x:v>
      </x:c>
    </x:row>
    <x:row r="718">
      <x:c r="B718" t="e">
        <x:f>IF($A718="","",[1]!thsiFinD("ths_adjustment_nv_fund",B$3,$A718))</x:f>
        <x:v>#NAME?</x:v>
      </x:c>
      <x:c r="C718" t="e">
        <x:f>IF($A718="","",[1]!thsiFinD("ths_adjustment_nv_fund",C$3,$A718))</x:f>
        <x:v>#NAME?</x:v>
      </x:c>
      <x:c r="D718" t="e">
        <x:f>IF($A718="","",[1]!thsiFinD("ths_adjustment_nv_fund",D$3,$A718))</x:f>
        <x:v>#NAME?</x:v>
      </x:c>
      <x:c r="E718" t="e">
        <x:f>IF($A718="","",[1]!thsiFinD("ths_adjustment_nv_fund",E$3,$A718))</x:f>
        <x:v>#NAME?</x:v>
      </x:c>
      <x:c r="F718" t="e">
        <x:f>IF($A718="","",[1]!thsiFinD("ths_adjustment_nv_fund",F$3,$A718))</x:f>
        <x:v>#NAME?</x:v>
      </x:c>
      <x:c r="G718" t="e">
        <x:f>IF($A718="","",[1]!thsiFinD("ths_adjustment_nv_fund",G$3,$A718))</x:f>
        <x:v>#NAME?</x:v>
      </x:c>
      <x:c r="H718" t="e">
        <x:f>IF($A718="","",[1]!thsiFinD("ths_adjustment_nv_fund",H$3,$A718))</x:f>
        <x:v>#NAME?</x:v>
      </x:c>
      <x:c r="I718" t="e">
        <x:f>IF($A718="","",[1]!thsiFinD("ths_adjustment_nv_fund",I$3,$A718))</x:f>
        <x:v>#NAME?</x:v>
      </x:c>
      <x:c r="J718" t="e">
        <x:f>IF($A718="","",[1]!thsiFinD("ths_adjustment_nv_fund",J$3,$A718))</x:f>
        <x:v>#NAME?</x:v>
      </x:c>
      <x:c r="K718" t="e">
        <x:f>IF($A718="","",[1]!thsiFinD("ths_adjustment_nv_fund",K$3,$A718))</x:f>
        <x:v>#NAME?</x:v>
      </x:c>
      <x:c r="L718" t="e">
        <x:f>IF($A718="","",[1]!thsiFinD("ths_adjustment_nv_fund",L$3,$A718))</x:f>
        <x:v>#NAME?</x:v>
      </x:c>
      <x:c r="M718" t="e">
        <x:f>IF($A718="","",[1]!thsiFinD("ths_adjustment_nv_fund",M$3,$A718))</x:f>
        <x:v>#NAME?</x:v>
      </x:c>
      <x:c r="N718" t="e">
        <x:f>IF($A718="","",[1]!thsiFinD("ths_adjustment_nv_fund",N$3,$A718))</x:f>
        <x:v>#NAME?</x:v>
      </x:c>
      <x:c r="O718" t="e">
        <x:f>IF($A718="","",[1]!thsiFinD("ths_adjustment_nv_fund",O$3,$A718))</x:f>
        <x:v>#NAME?</x:v>
      </x:c>
      <x:c r="P718" t="e">
        <x:f>IF($A718="","",[1]!thsiFinD("ths_adjustment_nv_fund",P$3,$A718))</x:f>
        <x:v>#NAME?</x:v>
      </x:c>
      <x:c r="Q718" t="e">
        <x:f>IF($A718="","",[1]!thsiFinD("ths_adjustment_nv_fund",Q$3,$A718))</x:f>
        <x:v>#NAME?</x:v>
      </x:c>
      <x:c r="R718" t="e">
        <x:f>IF($A718="","",[1]!thsiFinD("ths_adjustment_nv_fund",R$3,$A718))</x:f>
        <x:v>#NAME?</x:v>
      </x:c>
      <x:c r="S718" t="e">
        <x:f>IF($A718="","",[1]!thsiFinD("ths_adjustment_nv_fund",S$3,$A718))</x:f>
        <x:v>#NAME?</x:v>
      </x:c>
      <x:c r="T718" t="e">
        <x:f>IF($A718="","",[1]!thsiFinD("ths_adjustment_nv_fund",T$3,$A718))</x:f>
        <x:v>#NAME?</x:v>
      </x:c>
      <x:c r="U718" t="e">
        <x:f>IF($A718="","",[1]!thsiFinD("ths_adjustment_nv_fund",U$3,$A718))</x:f>
        <x:v>#NAME?</x:v>
      </x:c>
      <x:c r="V718" t="e">
        <x:f>IF($A718="","",[1]!thsiFinD("ths_adjustment_nv_fund",V$3,$A718))</x:f>
        <x:v>#NAME?</x:v>
      </x:c>
      <x:c r="W718" t="e">
        <x:f>IF($A718="","",[1]!thsiFinD("ths_adjustment_nv_fund",W$3,$A718))</x:f>
        <x:v>#NAME?</x:v>
      </x:c>
      <x:c r="X718" t="e">
        <x:f>IF($A718="","",[1]!thsiFinD("ths_adjustment_nv_fund",X$3,$A718))</x:f>
        <x:v>#NAME?</x:v>
      </x:c>
      <x:c r="Y718" t="e">
        <x:f>IF($A718="","",[1]!thsiFinD("ths_adjustment_nv_fund",Y$3,$A718))</x:f>
        <x:v>#NAME?</x:v>
      </x:c>
    </x:row>
    <x:row r="719">
      <x:c r="B719" t="e">
        <x:f>IF($A719="","",[1]!thsiFinD("ths_adjustment_nv_fund",B$3,$A719))</x:f>
        <x:v>#NAME?</x:v>
      </x:c>
      <x:c r="C719" t="e">
        <x:f>IF($A719="","",[1]!thsiFinD("ths_adjustment_nv_fund",C$3,$A719))</x:f>
        <x:v>#NAME?</x:v>
      </x:c>
      <x:c r="D719" t="e">
        <x:f>IF($A719="","",[1]!thsiFinD("ths_adjustment_nv_fund",D$3,$A719))</x:f>
        <x:v>#NAME?</x:v>
      </x:c>
      <x:c r="E719" t="e">
        <x:f>IF($A719="","",[1]!thsiFinD("ths_adjustment_nv_fund",E$3,$A719))</x:f>
        <x:v>#NAME?</x:v>
      </x:c>
      <x:c r="F719" t="e">
        <x:f>IF($A719="","",[1]!thsiFinD("ths_adjustment_nv_fund",F$3,$A719))</x:f>
        <x:v>#NAME?</x:v>
      </x:c>
      <x:c r="G719" t="e">
        <x:f>IF($A719="","",[1]!thsiFinD("ths_adjustment_nv_fund",G$3,$A719))</x:f>
        <x:v>#NAME?</x:v>
      </x:c>
      <x:c r="H719" t="e">
        <x:f>IF($A719="","",[1]!thsiFinD("ths_adjustment_nv_fund",H$3,$A719))</x:f>
        <x:v>#NAME?</x:v>
      </x:c>
      <x:c r="I719" t="e">
        <x:f>IF($A719="","",[1]!thsiFinD("ths_adjustment_nv_fund",I$3,$A719))</x:f>
        <x:v>#NAME?</x:v>
      </x:c>
      <x:c r="J719" t="e">
        <x:f>IF($A719="","",[1]!thsiFinD("ths_adjustment_nv_fund",J$3,$A719))</x:f>
        <x:v>#NAME?</x:v>
      </x:c>
      <x:c r="K719" t="e">
        <x:f>IF($A719="","",[1]!thsiFinD("ths_adjustment_nv_fund",K$3,$A719))</x:f>
        <x:v>#NAME?</x:v>
      </x:c>
      <x:c r="L719" t="e">
        <x:f>IF($A719="","",[1]!thsiFinD("ths_adjustment_nv_fund",L$3,$A719))</x:f>
        <x:v>#NAME?</x:v>
      </x:c>
      <x:c r="M719" t="e">
        <x:f>IF($A719="","",[1]!thsiFinD("ths_adjustment_nv_fund",M$3,$A719))</x:f>
        <x:v>#NAME?</x:v>
      </x:c>
      <x:c r="N719" t="e">
        <x:f>IF($A719="","",[1]!thsiFinD("ths_adjustment_nv_fund",N$3,$A719))</x:f>
        <x:v>#NAME?</x:v>
      </x:c>
      <x:c r="O719" t="e">
        <x:f>IF($A719="","",[1]!thsiFinD("ths_adjustment_nv_fund",O$3,$A719))</x:f>
        <x:v>#NAME?</x:v>
      </x:c>
      <x:c r="P719" t="e">
        <x:f>IF($A719="","",[1]!thsiFinD("ths_adjustment_nv_fund",P$3,$A719))</x:f>
        <x:v>#NAME?</x:v>
      </x:c>
      <x:c r="Q719" t="e">
        <x:f>IF($A719="","",[1]!thsiFinD("ths_adjustment_nv_fund",Q$3,$A719))</x:f>
        <x:v>#NAME?</x:v>
      </x:c>
      <x:c r="R719" t="e">
        <x:f>IF($A719="","",[1]!thsiFinD("ths_adjustment_nv_fund",R$3,$A719))</x:f>
        <x:v>#NAME?</x:v>
      </x:c>
      <x:c r="S719" t="e">
        <x:f>IF($A719="","",[1]!thsiFinD("ths_adjustment_nv_fund",S$3,$A719))</x:f>
        <x:v>#NAME?</x:v>
      </x:c>
      <x:c r="T719" t="e">
        <x:f>IF($A719="","",[1]!thsiFinD("ths_adjustment_nv_fund",T$3,$A719))</x:f>
        <x:v>#NAME?</x:v>
      </x:c>
      <x:c r="U719" t="e">
        <x:f>IF($A719="","",[1]!thsiFinD("ths_adjustment_nv_fund",U$3,$A719))</x:f>
        <x:v>#NAME?</x:v>
      </x:c>
      <x:c r="V719" t="e">
        <x:f>IF($A719="","",[1]!thsiFinD("ths_adjustment_nv_fund",V$3,$A719))</x:f>
        <x:v>#NAME?</x:v>
      </x:c>
      <x:c r="W719" t="e">
        <x:f>IF($A719="","",[1]!thsiFinD("ths_adjustment_nv_fund",W$3,$A719))</x:f>
        <x:v>#NAME?</x:v>
      </x:c>
      <x:c r="X719" t="e">
        <x:f>IF($A719="","",[1]!thsiFinD("ths_adjustment_nv_fund",X$3,$A719))</x:f>
        <x:v>#NAME?</x:v>
      </x:c>
      <x:c r="Y719" t="e">
        <x:f>IF($A719="","",[1]!thsiFinD("ths_adjustment_nv_fund",Y$3,$A719))</x:f>
        <x:v>#NAME?</x:v>
      </x:c>
    </x:row>
    <x:row r="720">
      <x:c r="B720" t="e">
        <x:f>IF($A720="","",[1]!thsiFinD("ths_adjustment_nv_fund",B$3,$A720))</x:f>
        <x:v>#NAME?</x:v>
      </x:c>
      <x:c r="C720" t="e">
        <x:f>IF($A720="","",[1]!thsiFinD("ths_adjustment_nv_fund",C$3,$A720))</x:f>
        <x:v>#NAME?</x:v>
      </x:c>
      <x:c r="D720" t="e">
        <x:f>IF($A720="","",[1]!thsiFinD("ths_adjustment_nv_fund",D$3,$A720))</x:f>
        <x:v>#NAME?</x:v>
      </x:c>
      <x:c r="E720" t="e">
        <x:f>IF($A720="","",[1]!thsiFinD("ths_adjustment_nv_fund",E$3,$A720))</x:f>
        <x:v>#NAME?</x:v>
      </x:c>
      <x:c r="F720" t="e">
        <x:f>IF($A720="","",[1]!thsiFinD("ths_adjustment_nv_fund",F$3,$A720))</x:f>
        <x:v>#NAME?</x:v>
      </x:c>
      <x:c r="G720" t="e">
        <x:f>IF($A720="","",[1]!thsiFinD("ths_adjustment_nv_fund",G$3,$A720))</x:f>
        <x:v>#NAME?</x:v>
      </x:c>
      <x:c r="H720" t="e">
        <x:f>IF($A720="","",[1]!thsiFinD("ths_adjustment_nv_fund",H$3,$A720))</x:f>
        <x:v>#NAME?</x:v>
      </x:c>
      <x:c r="I720" t="e">
        <x:f>IF($A720="","",[1]!thsiFinD("ths_adjustment_nv_fund",I$3,$A720))</x:f>
        <x:v>#NAME?</x:v>
      </x:c>
      <x:c r="J720" t="e">
        <x:f>IF($A720="","",[1]!thsiFinD("ths_adjustment_nv_fund",J$3,$A720))</x:f>
        <x:v>#NAME?</x:v>
      </x:c>
      <x:c r="K720" t="e">
        <x:f>IF($A720="","",[1]!thsiFinD("ths_adjustment_nv_fund",K$3,$A720))</x:f>
        <x:v>#NAME?</x:v>
      </x:c>
      <x:c r="L720" t="e">
        <x:f>IF($A720="","",[1]!thsiFinD("ths_adjustment_nv_fund",L$3,$A720))</x:f>
        <x:v>#NAME?</x:v>
      </x:c>
      <x:c r="M720" t="e">
        <x:f>IF($A720="","",[1]!thsiFinD("ths_adjustment_nv_fund",M$3,$A720))</x:f>
        <x:v>#NAME?</x:v>
      </x:c>
      <x:c r="N720" t="e">
        <x:f>IF($A720="","",[1]!thsiFinD("ths_adjustment_nv_fund",N$3,$A720))</x:f>
        <x:v>#NAME?</x:v>
      </x:c>
      <x:c r="O720" t="e">
        <x:f>IF($A720="","",[1]!thsiFinD("ths_adjustment_nv_fund",O$3,$A720))</x:f>
        <x:v>#NAME?</x:v>
      </x:c>
      <x:c r="P720" t="e">
        <x:f>IF($A720="","",[1]!thsiFinD("ths_adjustment_nv_fund",P$3,$A720))</x:f>
        <x:v>#NAME?</x:v>
      </x:c>
      <x:c r="Q720" t="e">
        <x:f>IF($A720="","",[1]!thsiFinD("ths_adjustment_nv_fund",Q$3,$A720))</x:f>
        <x:v>#NAME?</x:v>
      </x:c>
      <x:c r="R720" t="e">
        <x:f>IF($A720="","",[1]!thsiFinD("ths_adjustment_nv_fund",R$3,$A720))</x:f>
        <x:v>#NAME?</x:v>
      </x:c>
      <x:c r="S720" t="e">
        <x:f>IF($A720="","",[1]!thsiFinD("ths_adjustment_nv_fund",S$3,$A720))</x:f>
        <x:v>#NAME?</x:v>
      </x:c>
      <x:c r="T720" t="e">
        <x:f>IF($A720="","",[1]!thsiFinD("ths_adjustment_nv_fund",T$3,$A720))</x:f>
        <x:v>#NAME?</x:v>
      </x:c>
      <x:c r="U720" t="e">
        <x:f>IF($A720="","",[1]!thsiFinD("ths_adjustment_nv_fund",U$3,$A720))</x:f>
        <x:v>#NAME?</x:v>
      </x:c>
      <x:c r="V720" t="e">
        <x:f>IF($A720="","",[1]!thsiFinD("ths_adjustment_nv_fund",V$3,$A720))</x:f>
        <x:v>#NAME?</x:v>
      </x:c>
      <x:c r="W720" t="e">
        <x:f>IF($A720="","",[1]!thsiFinD("ths_adjustment_nv_fund",W$3,$A720))</x:f>
        <x:v>#NAME?</x:v>
      </x:c>
      <x:c r="X720" t="e">
        <x:f>IF($A720="","",[1]!thsiFinD("ths_adjustment_nv_fund",X$3,$A720))</x:f>
        <x:v>#NAME?</x:v>
      </x:c>
      <x:c r="Y720" t="e">
        <x:f>IF($A720="","",[1]!thsiFinD("ths_adjustment_nv_fund",Y$3,$A720))</x:f>
        <x:v>#NAME?</x:v>
      </x:c>
    </x:row>
    <x:row r="721">
      <x:c r="B721" t="e">
        <x:f>IF($A721="","",[1]!thsiFinD("ths_adjustment_nv_fund",B$3,$A721))</x:f>
        <x:v>#NAME?</x:v>
      </x:c>
      <x:c r="C721" t="e">
        <x:f>IF($A721="","",[1]!thsiFinD("ths_adjustment_nv_fund",C$3,$A721))</x:f>
        <x:v>#NAME?</x:v>
      </x:c>
      <x:c r="D721" t="e">
        <x:f>IF($A721="","",[1]!thsiFinD("ths_adjustment_nv_fund",D$3,$A721))</x:f>
        <x:v>#NAME?</x:v>
      </x:c>
      <x:c r="E721" t="e">
        <x:f>IF($A721="","",[1]!thsiFinD("ths_adjustment_nv_fund",E$3,$A721))</x:f>
        <x:v>#NAME?</x:v>
      </x:c>
      <x:c r="F721" t="e">
        <x:f>IF($A721="","",[1]!thsiFinD("ths_adjustment_nv_fund",F$3,$A721))</x:f>
        <x:v>#NAME?</x:v>
      </x:c>
      <x:c r="G721" t="e">
        <x:f>IF($A721="","",[1]!thsiFinD("ths_adjustment_nv_fund",G$3,$A721))</x:f>
        <x:v>#NAME?</x:v>
      </x:c>
      <x:c r="H721" t="e">
        <x:f>IF($A721="","",[1]!thsiFinD("ths_adjustment_nv_fund",H$3,$A721))</x:f>
        <x:v>#NAME?</x:v>
      </x:c>
      <x:c r="I721" t="e">
        <x:f>IF($A721="","",[1]!thsiFinD("ths_adjustment_nv_fund",I$3,$A721))</x:f>
        <x:v>#NAME?</x:v>
      </x:c>
      <x:c r="J721" t="e">
        <x:f>IF($A721="","",[1]!thsiFinD("ths_adjustment_nv_fund",J$3,$A721))</x:f>
        <x:v>#NAME?</x:v>
      </x:c>
      <x:c r="K721" t="e">
        <x:f>IF($A721="","",[1]!thsiFinD("ths_adjustment_nv_fund",K$3,$A721))</x:f>
        <x:v>#NAME?</x:v>
      </x:c>
      <x:c r="L721" t="e">
        <x:f>IF($A721="","",[1]!thsiFinD("ths_adjustment_nv_fund",L$3,$A721))</x:f>
        <x:v>#NAME?</x:v>
      </x:c>
      <x:c r="M721" t="e">
        <x:f>IF($A721="","",[1]!thsiFinD("ths_adjustment_nv_fund",M$3,$A721))</x:f>
        <x:v>#NAME?</x:v>
      </x:c>
      <x:c r="N721" t="e">
        <x:f>IF($A721="","",[1]!thsiFinD("ths_adjustment_nv_fund",N$3,$A721))</x:f>
        <x:v>#NAME?</x:v>
      </x:c>
      <x:c r="O721" t="e">
        <x:f>IF($A721="","",[1]!thsiFinD("ths_adjustment_nv_fund",O$3,$A721))</x:f>
        <x:v>#NAME?</x:v>
      </x:c>
      <x:c r="P721" t="e">
        <x:f>IF($A721="","",[1]!thsiFinD("ths_adjustment_nv_fund",P$3,$A721))</x:f>
        <x:v>#NAME?</x:v>
      </x:c>
      <x:c r="Q721" t="e">
        <x:f>IF($A721="","",[1]!thsiFinD("ths_adjustment_nv_fund",Q$3,$A721))</x:f>
        <x:v>#NAME?</x:v>
      </x:c>
      <x:c r="R721" t="e">
        <x:f>IF($A721="","",[1]!thsiFinD("ths_adjustment_nv_fund",R$3,$A721))</x:f>
        <x:v>#NAME?</x:v>
      </x:c>
      <x:c r="S721" t="e">
        <x:f>IF($A721="","",[1]!thsiFinD("ths_adjustment_nv_fund",S$3,$A721))</x:f>
        <x:v>#NAME?</x:v>
      </x:c>
      <x:c r="T721" t="e">
        <x:f>IF($A721="","",[1]!thsiFinD("ths_adjustment_nv_fund",T$3,$A721))</x:f>
        <x:v>#NAME?</x:v>
      </x:c>
      <x:c r="U721" t="e">
        <x:f>IF($A721="","",[1]!thsiFinD("ths_adjustment_nv_fund",U$3,$A721))</x:f>
        <x:v>#NAME?</x:v>
      </x:c>
      <x:c r="V721" t="e">
        <x:f>IF($A721="","",[1]!thsiFinD("ths_adjustment_nv_fund",V$3,$A721))</x:f>
        <x:v>#NAME?</x:v>
      </x:c>
      <x:c r="W721" t="e">
        <x:f>IF($A721="","",[1]!thsiFinD("ths_adjustment_nv_fund",W$3,$A721))</x:f>
        <x:v>#NAME?</x:v>
      </x:c>
      <x:c r="X721" t="e">
        <x:f>IF($A721="","",[1]!thsiFinD("ths_adjustment_nv_fund",X$3,$A721))</x:f>
        <x:v>#NAME?</x:v>
      </x:c>
      <x:c r="Y721" t="e">
        <x:f>IF($A721="","",[1]!thsiFinD("ths_adjustment_nv_fund",Y$3,$A721))</x:f>
        <x:v>#NAME?</x:v>
      </x:c>
    </x:row>
    <x:row r="722">
      <x:c r="B722" t="e">
        <x:f>IF($A722="","",[1]!thsiFinD("ths_adjustment_nv_fund",B$3,$A722))</x:f>
        <x:v>#NAME?</x:v>
      </x:c>
      <x:c r="C722" t="e">
        <x:f>IF($A722="","",[1]!thsiFinD("ths_adjustment_nv_fund",C$3,$A722))</x:f>
        <x:v>#NAME?</x:v>
      </x:c>
      <x:c r="D722" t="e">
        <x:f>IF($A722="","",[1]!thsiFinD("ths_adjustment_nv_fund",D$3,$A722))</x:f>
        <x:v>#NAME?</x:v>
      </x:c>
      <x:c r="E722" t="e">
        <x:f>IF($A722="","",[1]!thsiFinD("ths_adjustment_nv_fund",E$3,$A722))</x:f>
        <x:v>#NAME?</x:v>
      </x:c>
      <x:c r="F722" t="e">
        <x:f>IF($A722="","",[1]!thsiFinD("ths_adjustment_nv_fund",F$3,$A722))</x:f>
        <x:v>#NAME?</x:v>
      </x:c>
      <x:c r="G722" t="e">
        <x:f>IF($A722="","",[1]!thsiFinD("ths_adjustment_nv_fund",G$3,$A722))</x:f>
        <x:v>#NAME?</x:v>
      </x:c>
      <x:c r="H722" t="e">
        <x:f>IF($A722="","",[1]!thsiFinD("ths_adjustment_nv_fund",H$3,$A722))</x:f>
        <x:v>#NAME?</x:v>
      </x:c>
      <x:c r="I722" t="e">
        <x:f>IF($A722="","",[1]!thsiFinD("ths_adjustment_nv_fund",I$3,$A722))</x:f>
        <x:v>#NAME?</x:v>
      </x:c>
      <x:c r="J722" t="e">
        <x:f>IF($A722="","",[1]!thsiFinD("ths_adjustment_nv_fund",J$3,$A722))</x:f>
        <x:v>#NAME?</x:v>
      </x:c>
      <x:c r="K722" t="e">
        <x:f>IF($A722="","",[1]!thsiFinD("ths_adjustment_nv_fund",K$3,$A722))</x:f>
        <x:v>#NAME?</x:v>
      </x:c>
      <x:c r="L722" t="e">
        <x:f>IF($A722="","",[1]!thsiFinD("ths_adjustment_nv_fund",L$3,$A722))</x:f>
        <x:v>#NAME?</x:v>
      </x:c>
      <x:c r="M722" t="e">
        <x:f>IF($A722="","",[1]!thsiFinD("ths_adjustment_nv_fund",M$3,$A722))</x:f>
        <x:v>#NAME?</x:v>
      </x:c>
      <x:c r="N722" t="e">
        <x:f>IF($A722="","",[1]!thsiFinD("ths_adjustment_nv_fund",N$3,$A722))</x:f>
        <x:v>#NAME?</x:v>
      </x:c>
      <x:c r="O722" t="e">
        <x:f>IF($A722="","",[1]!thsiFinD("ths_adjustment_nv_fund",O$3,$A722))</x:f>
        <x:v>#NAME?</x:v>
      </x:c>
      <x:c r="P722" t="e">
        <x:f>IF($A722="","",[1]!thsiFinD("ths_adjustment_nv_fund",P$3,$A722))</x:f>
        <x:v>#NAME?</x:v>
      </x:c>
      <x:c r="Q722" t="e">
        <x:f>IF($A722="","",[1]!thsiFinD("ths_adjustment_nv_fund",Q$3,$A722))</x:f>
        <x:v>#NAME?</x:v>
      </x:c>
      <x:c r="R722" t="e">
        <x:f>IF($A722="","",[1]!thsiFinD("ths_adjustment_nv_fund",R$3,$A722))</x:f>
        <x:v>#NAME?</x:v>
      </x:c>
      <x:c r="S722" t="e">
        <x:f>IF($A722="","",[1]!thsiFinD("ths_adjustment_nv_fund",S$3,$A722))</x:f>
        <x:v>#NAME?</x:v>
      </x:c>
      <x:c r="T722" t="e">
        <x:f>IF($A722="","",[1]!thsiFinD("ths_adjustment_nv_fund",T$3,$A722))</x:f>
        <x:v>#NAME?</x:v>
      </x:c>
      <x:c r="U722" t="e">
        <x:f>IF($A722="","",[1]!thsiFinD("ths_adjustment_nv_fund",U$3,$A722))</x:f>
        <x:v>#NAME?</x:v>
      </x:c>
      <x:c r="V722" t="e">
        <x:f>IF($A722="","",[1]!thsiFinD("ths_adjustment_nv_fund",V$3,$A722))</x:f>
        <x:v>#NAME?</x:v>
      </x:c>
      <x:c r="W722" t="e">
        <x:f>IF($A722="","",[1]!thsiFinD("ths_adjustment_nv_fund",W$3,$A722))</x:f>
        <x:v>#NAME?</x:v>
      </x:c>
      <x:c r="X722" t="e">
        <x:f>IF($A722="","",[1]!thsiFinD("ths_adjustment_nv_fund",X$3,$A722))</x:f>
        <x:v>#NAME?</x:v>
      </x:c>
      <x:c r="Y722" t="e">
        <x:f>IF($A722="","",[1]!thsiFinD("ths_adjustment_nv_fund",Y$3,$A722))</x:f>
        <x:v>#NAME?</x:v>
      </x:c>
    </x:row>
    <x:row r="723">
      <x:c r="B723" t="e">
        <x:f>IF($A723="","",[1]!thsiFinD("ths_adjustment_nv_fund",B$3,$A723))</x:f>
        <x:v>#NAME?</x:v>
      </x:c>
      <x:c r="C723" t="e">
        <x:f>IF($A723="","",[1]!thsiFinD("ths_adjustment_nv_fund",C$3,$A723))</x:f>
        <x:v>#NAME?</x:v>
      </x:c>
      <x:c r="D723" t="e">
        <x:f>IF($A723="","",[1]!thsiFinD("ths_adjustment_nv_fund",D$3,$A723))</x:f>
        <x:v>#NAME?</x:v>
      </x:c>
      <x:c r="E723" t="e">
        <x:f>IF($A723="","",[1]!thsiFinD("ths_adjustment_nv_fund",E$3,$A723))</x:f>
        <x:v>#NAME?</x:v>
      </x:c>
      <x:c r="F723" t="e">
        <x:f>IF($A723="","",[1]!thsiFinD("ths_adjustment_nv_fund",F$3,$A723))</x:f>
        <x:v>#NAME?</x:v>
      </x:c>
      <x:c r="G723" t="e">
        <x:f>IF($A723="","",[1]!thsiFinD("ths_adjustment_nv_fund",G$3,$A723))</x:f>
        <x:v>#NAME?</x:v>
      </x:c>
      <x:c r="H723" t="e">
        <x:f>IF($A723="","",[1]!thsiFinD("ths_adjustment_nv_fund",H$3,$A723))</x:f>
        <x:v>#NAME?</x:v>
      </x:c>
      <x:c r="I723" t="e">
        <x:f>IF($A723="","",[1]!thsiFinD("ths_adjustment_nv_fund",I$3,$A723))</x:f>
        <x:v>#NAME?</x:v>
      </x:c>
      <x:c r="J723" t="e">
        <x:f>IF($A723="","",[1]!thsiFinD("ths_adjustment_nv_fund",J$3,$A723))</x:f>
        <x:v>#NAME?</x:v>
      </x:c>
      <x:c r="K723" t="e">
        <x:f>IF($A723="","",[1]!thsiFinD("ths_adjustment_nv_fund",K$3,$A723))</x:f>
        <x:v>#NAME?</x:v>
      </x:c>
      <x:c r="L723" t="e">
        <x:f>IF($A723="","",[1]!thsiFinD("ths_adjustment_nv_fund",L$3,$A723))</x:f>
        <x:v>#NAME?</x:v>
      </x:c>
      <x:c r="M723" t="e">
        <x:f>IF($A723="","",[1]!thsiFinD("ths_adjustment_nv_fund",M$3,$A723))</x:f>
        <x:v>#NAME?</x:v>
      </x:c>
      <x:c r="N723" t="e">
        <x:f>IF($A723="","",[1]!thsiFinD("ths_adjustment_nv_fund",N$3,$A723))</x:f>
        <x:v>#NAME?</x:v>
      </x:c>
      <x:c r="O723" t="e">
        <x:f>IF($A723="","",[1]!thsiFinD("ths_adjustment_nv_fund",O$3,$A723))</x:f>
        <x:v>#NAME?</x:v>
      </x:c>
      <x:c r="P723" t="e">
        <x:f>IF($A723="","",[1]!thsiFinD("ths_adjustment_nv_fund",P$3,$A723))</x:f>
        <x:v>#NAME?</x:v>
      </x:c>
      <x:c r="Q723" t="e">
        <x:f>IF($A723="","",[1]!thsiFinD("ths_adjustment_nv_fund",Q$3,$A723))</x:f>
        <x:v>#NAME?</x:v>
      </x:c>
      <x:c r="R723" t="e">
        <x:f>IF($A723="","",[1]!thsiFinD("ths_adjustment_nv_fund",R$3,$A723))</x:f>
        <x:v>#NAME?</x:v>
      </x:c>
      <x:c r="S723" t="e">
        <x:f>IF($A723="","",[1]!thsiFinD("ths_adjustment_nv_fund",S$3,$A723))</x:f>
        <x:v>#NAME?</x:v>
      </x:c>
      <x:c r="T723" t="e">
        <x:f>IF($A723="","",[1]!thsiFinD("ths_adjustment_nv_fund",T$3,$A723))</x:f>
        <x:v>#NAME?</x:v>
      </x:c>
      <x:c r="U723" t="e">
        <x:f>IF($A723="","",[1]!thsiFinD("ths_adjustment_nv_fund",U$3,$A723))</x:f>
        <x:v>#NAME?</x:v>
      </x:c>
      <x:c r="V723" t="e">
        <x:f>IF($A723="","",[1]!thsiFinD("ths_adjustment_nv_fund",V$3,$A723))</x:f>
        <x:v>#NAME?</x:v>
      </x:c>
      <x:c r="W723" t="e">
        <x:f>IF($A723="","",[1]!thsiFinD("ths_adjustment_nv_fund",W$3,$A723))</x:f>
        <x:v>#NAME?</x:v>
      </x:c>
      <x:c r="X723" t="e">
        <x:f>IF($A723="","",[1]!thsiFinD("ths_adjustment_nv_fund",X$3,$A723))</x:f>
        <x:v>#NAME?</x:v>
      </x:c>
      <x:c r="Y723" t="e">
        <x:f>IF($A723="","",[1]!thsiFinD("ths_adjustment_nv_fund",Y$3,$A723))</x:f>
        <x:v>#NAME?</x:v>
      </x:c>
    </x:row>
    <x:row r="724">
      <x:c r="B724" t="e">
        <x:f>IF($A724="","",[1]!thsiFinD("ths_adjustment_nv_fund",B$3,$A724))</x:f>
        <x:v>#NAME?</x:v>
      </x:c>
      <x:c r="C724" t="e">
        <x:f>IF($A724="","",[1]!thsiFinD("ths_adjustment_nv_fund",C$3,$A724))</x:f>
        <x:v>#NAME?</x:v>
      </x:c>
      <x:c r="D724" t="e">
        <x:f>IF($A724="","",[1]!thsiFinD("ths_adjustment_nv_fund",D$3,$A724))</x:f>
        <x:v>#NAME?</x:v>
      </x:c>
      <x:c r="E724" t="e">
        <x:f>IF($A724="","",[1]!thsiFinD("ths_adjustment_nv_fund",E$3,$A724))</x:f>
        <x:v>#NAME?</x:v>
      </x:c>
      <x:c r="F724" t="e">
        <x:f>IF($A724="","",[1]!thsiFinD("ths_adjustment_nv_fund",F$3,$A724))</x:f>
        <x:v>#NAME?</x:v>
      </x:c>
      <x:c r="G724" t="e">
        <x:f>IF($A724="","",[1]!thsiFinD("ths_adjustment_nv_fund",G$3,$A724))</x:f>
        <x:v>#NAME?</x:v>
      </x:c>
      <x:c r="H724" t="e">
        <x:f>IF($A724="","",[1]!thsiFinD("ths_adjustment_nv_fund",H$3,$A724))</x:f>
        <x:v>#NAME?</x:v>
      </x:c>
      <x:c r="I724" t="e">
        <x:f>IF($A724="","",[1]!thsiFinD("ths_adjustment_nv_fund",I$3,$A724))</x:f>
        <x:v>#NAME?</x:v>
      </x:c>
      <x:c r="J724" t="e">
        <x:f>IF($A724="","",[1]!thsiFinD("ths_adjustment_nv_fund",J$3,$A724))</x:f>
        <x:v>#NAME?</x:v>
      </x:c>
      <x:c r="K724" t="e">
        <x:f>IF($A724="","",[1]!thsiFinD("ths_adjustment_nv_fund",K$3,$A724))</x:f>
        <x:v>#NAME?</x:v>
      </x:c>
      <x:c r="L724" t="e">
        <x:f>IF($A724="","",[1]!thsiFinD("ths_adjustment_nv_fund",L$3,$A724))</x:f>
        <x:v>#NAME?</x:v>
      </x:c>
      <x:c r="M724" t="e">
        <x:f>IF($A724="","",[1]!thsiFinD("ths_adjustment_nv_fund",M$3,$A724))</x:f>
        <x:v>#NAME?</x:v>
      </x:c>
      <x:c r="N724" t="e">
        <x:f>IF($A724="","",[1]!thsiFinD("ths_adjustment_nv_fund",N$3,$A724))</x:f>
        <x:v>#NAME?</x:v>
      </x:c>
      <x:c r="O724" t="e">
        <x:f>IF($A724="","",[1]!thsiFinD("ths_adjustment_nv_fund",O$3,$A724))</x:f>
        <x:v>#NAME?</x:v>
      </x:c>
      <x:c r="P724" t="e">
        <x:f>IF($A724="","",[1]!thsiFinD("ths_adjustment_nv_fund",P$3,$A724))</x:f>
        <x:v>#NAME?</x:v>
      </x:c>
      <x:c r="Q724" t="e">
        <x:f>IF($A724="","",[1]!thsiFinD("ths_adjustment_nv_fund",Q$3,$A724))</x:f>
        <x:v>#NAME?</x:v>
      </x:c>
      <x:c r="R724" t="e">
        <x:f>IF($A724="","",[1]!thsiFinD("ths_adjustment_nv_fund",R$3,$A724))</x:f>
        <x:v>#NAME?</x:v>
      </x:c>
      <x:c r="S724" t="e">
        <x:f>IF($A724="","",[1]!thsiFinD("ths_adjustment_nv_fund",S$3,$A724))</x:f>
        <x:v>#NAME?</x:v>
      </x:c>
      <x:c r="T724" t="e">
        <x:f>IF($A724="","",[1]!thsiFinD("ths_adjustment_nv_fund",T$3,$A724))</x:f>
        <x:v>#NAME?</x:v>
      </x:c>
      <x:c r="U724" t="e">
        <x:f>IF($A724="","",[1]!thsiFinD("ths_adjustment_nv_fund",U$3,$A724))</x:f>
        <x:v>#NAME?</x:v>
      </x:c>
      <x:c r="V724" t="e">
        <x:f>IF($A724="","",[1]!thsiFinD("ths_adjustment_nv_fund",V$3,$A724))</x:f>
        <x:v>#NAME?</x:v>
      </x:c>
      <x:c r="W724" t="e">
        <x:f>IF($A724="","",[1]!thsiFinD("ths_adjustment_nv_fund",W$3,$A724))</x:f>
        <x:v>#NAME?</x:v>
      </x:c>
      <x:c r="X724" t="e">
        <x:f>IF($A724="","",[1]!thsiFinD("ths_adjustment_nv_fund",X$3,$A724))</x:f>
        <x:v>#NAME?</x:v>
      </x:c>
      <x:c r="Y724" t="e">
        <x:f>IF($A724="","",[1]!thsiFinD("ths_adjustment_nv_fund",Y$3,$A724))</x:f>
        <x:v>#NAME?</x:v>
      </x:c>
    </x:row>
    <x:row r="725">
      <x:c r="B725" t="e">
        <x:f>IF($A725="","",[1]!thsiFinD("ths_adjustment_nv_fund",B$3,$A725))</x:f>
        <x:v>#NAME?</x:v>
      </x:c>
      <x:c r="C725" t="e">
        <x:f>IF($A725="","",[1]!thsiFinD("ths_adjustment_nv_fund",C$3,$A725))</x:f>
        <x:v>#NAME?</x:v>
      </x:c>
      <x:c r="D725" t="e">
        <x:f>IF($A725="","",[1]!thsiFinD("ths_adjustment_nv_fund",D$3,$A725))</x:f>
        <x:v>#NAME?</x:v>
      </x:c>
      <x:c r="E725" t="e">
        <x:f>IF($A725="","",[1]!thsiFinD("ths_adjustment_nv_fund",E$3,$A725))</x:f>
        <x:v>#NAME?</x:v>
      </x:c>
      <x:c r="F725" t="e">
        <x:f>IF($A725="","",[1]!thsiFinD("ths_adjustment_nv_fund",F$3,$A725))</x:f>
        <x:v>#NAME?</x:v>
      </x:c>
      <x:c r="G725" t="e">
        <x:f>IF($A725="","",[1]!thsiFinD("ths_adjustment_nv_fund",G$3,$A725))</x:f>
        <x:v>#NAME?</x:v>
      </x:c>
      <x:c r="H725" t="e">
        <x:f>IF($A725="","",[1]!thsiFinD("ths_adjustment_nv_fund",H$3,$A725))</x:f>
        <x:v>#NAME?</x:v>
      </x:c>
      <x:c r="I725" t="e">
        <x:f>IF($A725="","",[1]!thsiFinD("ths_adjustment_nv_fund",I$3,$A725))</x:f>
        <x:v>#NAME?</x:v>
      </x:c>
      <x:c r="J725" t="e">
        <x:f>IF($A725="","",[1]!thsiFinD("ths_adjustment_nv_fund",J$3,$A725))</x:f>
        <x:v>#NAME?</x:v>
      </x:c>
      <x:c r="K725" t="e">
        <x:f>IF($A725="","",[1]!thsiFinD("ths_adjustment_nv_fund",K$3,$A725))</x:f>
        <x:v>#NAME?</x:v>
      </x:c>
      <x:c r="L725" t="e">
        <x:f>IF($A725="","",[1]!thsiFinD("ths_adjustment_nv_fund",L$3,$A725))</x:f>
        <x:v>#NAME?</x:v>
      </x:c>
      <x:c r="M725" t="e">
        <x:f>IF($A725="","",[1]!thsiFinD("ths_adjustment_nv_fund",M$3,$A725))</x:f>
        <x:v>#NAME?</x:v>
      </x:c>
      <x:c r="N725" t="e">
        <x:f>IF($A725="","",[1]!thsiFinD("ths_adjustment_nv_fund",N$3,$A725))</x:f>
        <x:v>#NAME?</x:v>
      </x:c>
      <x:c r="O725" t="e">
        <x:f>IF($A725="","",[1]!thsiFinD("ths_adjustment_nv_fund",O$3,$A725))</x:f>
        <x:v>#NAME?</x:v>
      </x:c>
      <x:c r="P725" t="e">
        <x:f>IF($A725="","",[1]!thsiFinD("ths_adjustment_nv_fund",P$3,$A725))</x:f>
        <x:v>#NAME?</x:v>
      </x:c>
      <x:c r="Q725" t="e">
        <x:f>IF($A725="","",[1]!thsiFinD("ths_adjustment_nv_fund",Q$3,$A725))</x:f>
        <x:v>#NAME?</x:v>
      </x:c>
      <x:c r="R725" t="e">
        <x:f>IF($A725="","",[1]!thsiFinD("ths_adjustment_nv_fund",R$3,$A725))</x:f>
        <x:v>#NAME?</x:v>
      </x:c>
      <x:c r="S725" t="e">
        <x:f>IF($A725="","",[1]!thsiFinD("ths_adjustment_nv_fund",S$3,$A725))</x:f>
        <x:v>#NAME?</x:v>
      </x:c>
      <x:c r="T725" t="e">
        <x:f>IF($A725="","",[1]!thsiFinD("ths_adjustment_nv_fund",T$3,$A725))</x:f>
        <x:v>#NAME?</x:v>
      </x:c>
      <x:c r="U725" t="e">
        <x:f>IF($A725="","",[1]!thsiFinD("ths_adjustment_nv_fund",U$3,$A725))</x:f>
        <x:v>#NAME?</x:v>
      </x:c>
      <x:c r="V725" t="e">
        <x:f>IF($A725="","",[1]!thsiFinD("ths_adjustment_nv_fund",V$3,$A725))</x:f>
        <x:v>#NAME?</x:v>
      </x:c>
      <x:c r="W725" t="e">
        <x:f>IF($A725="","",[1]!thsiFinD("ths_adjustment_nv_fund",W$3,$A725))</x:f>
        <x:v>#NAME?</x:v>
      </x:c>
      <x:c r="X725" t="e">
        <x:f>IF($A725="","",[1]!thsiFinD("ths_adjustment_nv_fund",X$3,$A725))</x:f>
        <x:v>#NAME?</x:v>
      </x:c>
      <x:c r="Y725" t="e">
        <x:f>IF($A725="","",[1]!thsiFinD("ths_adjustment_nv_fund",Y$3,$A725))</x:f>
        <x:v>#NAME?</x:v>
      </x:c>
    </x:row>
    <x:row r="726">
      <x:c r="B726" t="e">
        <x:f>IF($A726="","",[1]!thsiFinD("ths_adjustment_nv_fund",B$3,$A726))</x:f>
        <x:v>#NAME?</x:v>
      </x:c>
      <x:c r="C726" t="e">
        <x:f>IF($A726="","",[1]!thsiFinD("ths_adjustment_nv_fund",C$3,$A726))</x:f>
        <x:v>#NAME?</x:v>
      </x:c>
      <x:c r="D726" t="e">
        <x:f>IF($A726="","",[1]!thsiFinD("ths_adjustment_nv_fund",D$3,$A726))</x:f>
        <x:v>#NAME?</x:v>
      </x:c>
      <x:c r="E726" t="e">
        <x:f>IF($A726="","",[1]!thsiFinD("ths_adjustment_nv_fund",E$3,$A726))</x:f>
        <x:v>#NAME?</x:v>
      </x:c>
      <x:c r="F726" t="e">
        <x:f>IF($A726="","",[1]!thsiFinD("ths_adjustment_nv_fund",F$3,$A726))</x:f>
        <x:v>#NAME?</x:v>
      </x:c>
      <x:c r="G726" t="e">
        <x:f>IF($A726="","",[1]!thsiFinD("ths_adjustment_nv_fund",G$3,$A726))</x:f>
        <x:v>#NAME?</x:v>
      </x:c>
      <x:c r="H726" t="e">
        <x:f>IF($A726="","",[1]!thsiFinD("ths_adjustment_nv_fund",H$3,$A726))</x:f>
        <x:v>#NAME?</x:v>
      </x:c>
      <x:c r="I726" t="e">
        <x:f>IF($A726="","",[1]!thsiFinD("ths_adjustment_nv_fund",I$3,$A726))</x:f>
        <x:v>#NAME?</x:v>
      </x:c>
      <x:c r="J726" t="e">
        <x:f>IF($A726="","",[1]!thsiFinD("ths_adjustment_nv_fund",J$3,$A726))</x:f>
        <x:v>#NAME?</x:v>
      </x:c>
      <x:c r="K726" t="e">
        <x:f>IF($A726="","",[1]!thsiFinD("ths_adjustment_nv_fund",K$3,$A726))</x:f>
        <x:v>#NAME?</x:v>
      </x:c>
      <x:c r="L726" t="e">
        <x:f>IF($A726="","",[1]!thsiFinD("ths_adjustment_nv_fund",L$3,$A726))</x:f>
        <x:v>#NAME?</x:v>
      </x:c>
      <x:c r="M726" t="e">
        <x:f>IF($A726="","",[1]!thsiFinD("ths_adjustment_nv_fund",M$3,$A726))</x:f>
        <x:v>#NAME?</x:v>
      </x:c>
      <x:c r="N726" t="e">
        <x:f>IF($A726="","",[1]!thsiFinD("ths_adjustment_nv_fund",N$3,$A726))</x:f>
        <x:v>#NAME?</x:v>
      </x:c>
      <x:c r="O726" t="e">
        <x:f>IF($A726="","",[1]!thsiFinD("ths_adjustment_nv_fund",O$3,$A726))</x:f>
        <x:v>#NAME?</x:v>
      </x:c>
      <x:c r="P726" t="e">
        <x:f>IF($A726="","",[1]!thsiFinD("ths_adjustment_nv_fund",P$3,$A726))</x:f>
        <x:v>#NAME?</x:v>
      </x:c>
      <x:c r="Q726" t="e">
        <x:f>IF($A726="","",[1]!thsiFinD("ths_adjustment_nv_fund",Q$3,$A726))</x:f>
        <x:v>#NAME?</x:v>
      </x:c>
      <x:c r="R726" t="e">
        <x:f>IF($A726="","",[1]!thsiFinD("ths_adjustment_nv_fund",R$3,$A726))</x:f>
        <x:v>#NAME?</x:v>
      </x:c>
      <x:c r="S726" t="e">
        <x:f>IF($A726="","",[1]!thsiFinD("ths_adjustment_nv_fund",S$3,$A726))</x:f>
        <x:v>#NAME?</x:v>
      </x:c>
      <x:c r="T726" t="e">
        <x:f>IF($A726="","",[1]!thsiFinD("ths_adjustment_nv_fund",T$3,$A726))</x:f>
        <x:v>#NAME?</x:v>
      </x:c>
      <x:c r="U726" t="e">
        <x:f>IF($A726="","",[1]!thsiFinD("ths_adjustment_nv_fund",U$3,$A726))</x:f>
        <x:v>#NAME?</x:v>
      </x:c>
      <x:c r="V726" t="e">
        <x:f>IF($A726="","",[1]!thsiFinD("ths_adjustment_nv_fund",V$3,$A726))</x:f>
        <x:v>#NAME?</x:v>
      </x:c>
      <x:c r="W726" t="e">
        <x:f>IF($A726="","",[1]!thsiFinD("ths_adjustment_nv_fund",W$3,$A726))</x:f>
        <x:v>#NAME?</x:v>
      </x:c>
      <x:c r="X726" t="e">
        <x:f>IF($A726="","",[1]!thsiFinD("ths_adjustment_nv_fund",X$3,$A726))</x:f>
        <x:v>#NAME?</x:v>
      </x:c>
      <x:c r="Y726" t="e">
        <x:f>IF($A726="","",[1]!thsiFinD("ths_adjustment_nv_fund",Y$3,$A726))</x:f>
        <x:v>#NAME?</x:v>
      </x:c>
    </x:row>
    <x:row r="727">
      <x:c r="B727" t="e">
        <x:f>IF($A727="","",[1]!thsiFinD("ths_adjustment_nv_fund",B$3,$A727))</x:f>
        <x:v>#NAME?</x:v>
      </x:c>
      <x:c r="C727" t="e">
        <x:f>IF($A727="","",[1]!thsiFinD("ths_adjustment_nv_fund",C$3,$A727))</x:f>
        <x:v>#NAME?</x:v>
      </x:c>
      <x:c r="D727" t="e">
        <x:f>IF($A727="","",[1]!thsiFinD("ths_adjustment_nv_fund",D$3,$A727))</x:f>
        <x:v>#NAME?</x:v>
      </x:c>
      <x:c r="E727" t="e">
        <x:f>IF($A727="","",[1]!thsiFinD("ths_adjustment_nv_fund",E$3,$A727))</x:f>
        <x:v>#NAME?</x:v>
      </x:c>
      <x:c r="F727" t="e">
        <x:f>IF($A727="","",[1]!thsiFinD("ths_adjustment_nv_fund",F$3,$A727))</x:f>
        <x:v>#NAME?</x:v>
      </x:c>
      <x:c r="G727" t="e">
        <x:f>IF($A727="","",[1]!thsiFinD("ths_adjustment_nv_fund",G$3,$A727))</x:f>
        <x:v>#NAME?</x:v>
      </x:c>
      <x:c r="H727" t="e">
        <x:f>IF($A727="","",[1]!thsiFinD("ths_adjustment_nv_fund",H$3,$A727))</x:f>
        <x:v>#NAME?</x:v>
      </x:c>
      <x:c r="I727" t="e">
        <x:f>IF($A727="","",[1]!thsiFinD("ths_adjustment_nv_fund",I$3,$A727))</x:f>
        <x:v>#NAME?</x:v>
      </x:c>
      <x:c r="J727" t="e">
        <x:f>IF($A727="","",[1]!thsiFinD("ths_adjustment_nv_fund",J$3,$A727))</x:f>
        <x:v>#NAME?</x:v>
      </x:c>
      <x:c r="K727" t="e">
        <x:f>IF($A727="","",[1]!thsiFinD("ths_adjustment_nv_fund",K$3,$A727))</x:f>
        <x:v>#NAME?</x:v>
      </x:c>
      <x:c r="L727" t="e">
        <x:f>IF($A727="","",[1]!thsiFinD("ths_adjustment_nv_fund",L$3,$A727))</x:f>
        <x:v>#NAME?</x:v>
      </x:c>
      <x:c r="M727" t="e">
        <x:f>IF($A727="","",[1]!thsiFinD("ths_adjustment_nv_fund",M$3,$A727))</x:f>
        <x:v>#NAME?</x:v>
      </x:c>
      <x:c r="N727" t="e">
        <x:f>IF($A727="","",[1]!thsiFinD("ths_adjustment_nv_fund",N$3,$A727))</x:f>
        <x:v>#NAME?</x:v>
      </x:c>
      <x:c r="O727" t="e">
        <x:f>IF($A727="","",[1]!thsiFinD("ths_adjustment_nv_fund",O$3,$A727))</x:f>
        <x:v>#NAME?</x:v>
      </x:c>
      <x:c r="P727" t="e">
        <x:f>IF($A727="","",[1]!thsiFinD("ths_adjustment_nv_fund",P$3,$A727))</x:f>
        <x:v>#NAME?</x:v>
      </x:c>
      <x:c r="Q727" t="e">
        <x:f>IF($A727="","",[1]!thsiFinD("ths_adjustment_nv_fund",Q$3,$A727))</x:f>
        <x:v>#NAME?</x:v>
      </x:c>
      <x:c r="R727" t="e">
        <x:f>IF($A727="","",[1]!thsiFinD("ths_adjustment_nv_fund",R$3,$A727))</x:f>
        <x:v>#NAME?</x:v>
      </x:c>
      <x:c r="S727" t="e">
        <x:f>IF($A727="","",[1]!thsiFinD("ths_adjustment_nv_fund",S$3,$A727))</x:f>
        <x:v>#NAME?</x:v>
      </x:c>
      <x:c r="T727" t="e">
        <x:f>IF($A727="","",[1]!thsiFinD("ths_adjustment_nv_fund",T$3,$A727))</x:f>
        <x:v>#NAME?</x:v>
      </x:c>
      <x:c r="U727" t="e">
        <x:f>IF($A727="","",[1]!thsiFinD("ths_adjustment_nv_fund",U$3,$A727))</x:f>
        <x:v>#NAME?</x:v>
      </x:c>
      <x:c r="V727" t="e">
        <x:f>IF($A727="","",[1]!thsiFinD("ths_adjustment_nv_fund",V$3,$A727))</x:f>
        <x:v>#NAME?</x:v>
      </x:c>
      <x:c r="W727" t="e">
        <x:f>IF($A727="","",[1]!thsiFinD("ths_adjustment_nv_fund",W$3,$A727))</x:f>
        <x:v>#NAME?</x:v>
      </x:c>
      <x:c r="X727" t="e">
        <x:f>IF($A727="","",[1]!thsiFinD("ths_adjustment_nv_fund",X$3,$A727))</x:f>
        <x:v>#NAME?</x:v>
      </x:c>
      <x:c r="Y727" t="e">
        <x:f>IF($A727="","",[1]!thsiFinD("ths_adjustment_nv_fund",Y$3,$A727))</x:f>
        <x:v>#NAME?</x:v>
      </x:c>
    </x:row>
    <x:row r="728">
      <x:c r="B728" t="e">
        <x:f>IF($A728="","",[1]!thsiFinD("ths_adjustment_nv_fund",B$3,$A728))</x:f>
        <x:v>#NAME?</x:v>
      </x:c>
      <x:c r="C728" t="e">
        <x:f>IF($A728="","",[1]!thsiFinD("ths_adjustment_nv_fund",C$3,$A728))</x:f>
        <x:v>#NAME?</x:v>
      </x:c>
      <x:c r="D728" t="e">
        <x:f>IF($A728="","",[1]!thsiFinD("ths_adjustment_nv_fund",D$3,$A728))</x:f>
        <x:v>#NAME?</x:v>
      </x:c>
      <x:c r="E728" t="e">
        <x:f>IF($A728="","",[1]!thsiFinD("ths_adjustment_nv_fund",E$3,$A728))</x:f>
        <x:v>#NAME?</x:v>
      </x:c>
      <x:c r="F728" t="e">
        <x:f>IF($A728="","",[1]!thsiFinD("ths_adjustment_nv_fund",F$3,$A728))</x:f>
        <x:v>#NAME?</x:v>
      </x:c>
      <x:c r="G728" t="e">
        <x:f>IF($A728="","",[1]!thsiFinD("ths_adjustment_nv_fund",G$3,$A728))</x:f>
        <x:v>#NAME?</x:v>
      </x:c>
      <x:c r="H728" t="e">
        <x:f>IF($A728="","",[1]!thsiFinD("ths_adjustment_nv_fund",H$3,$A728))</x:f>
        <x:v>#NAME?</x:v>
      </x:c>
      <x:c r="I728" t="e">
        <x:f>IF($A728="","",[1]!thsiFinD("ths_adjustment_nv_fund",I$3,$A728))</x:f>
        <x:v>#NAME?</x:v>
      </x:c>
      <x:c r="J728" t="e">
        <x:f>IF($A728="","",[1]!thsiFinD("ths_adjustment_nv_fund",J$3,$A728))</x:f>
        <x:v>#NAME?</x:v>
      </x:c>
      <x:c r="K728" t="e">
        <x:f>IF($A728="","",[1]!thsiFinD("ths_adjustment_nv_fund",K$3,$A728))</x:f>
        <x:v>#NAME?</x:v>
      </x:c>
      <x:c r="L728" t="e">
        <x:f>IF($A728="","",[1]!thsiFinD("ths_adjustment_nv_fund",L$3,$A728))</x:f>
        <x:v>#NAME?</x:v>
      </x:c>
      <x:c r="M728" t="e">
        <x:f>IF($A728="","",[1]!thsiFinD("ths_adjustment_nv_fund",M$3,$A728))</x:f>
        <x:v>#NAME?</x:v>
      </x:c>
      <x:c r="N728" t="e">
        <x:f>IF($A728="","",[1]!thsiFinD("ths_adjustment_nv_fund",N$3,$A728))</x:f>
        <x:v>#NAME?</x:v>
      </x:c>
      <x:c r="O728" t="e">
        <x:f>IF($A728="","",[1]!thsiFinD("ths_adjustment_nv_fund",O$3,$A728))</x:f>
        <x:v>#NAME?</x:v>
      </x:c>
      <x:c r="P728" t="e">
        <x:f>IF($A728="","",[1]!thsiFinD("ths_adjustment_nv_fund",P$3,$A728))</x:f>
        <x:v>#NAME?</x:v>
      </x:c>
      <x:c r="Q728" t="e">
        <x:f>IF($A728="","",[1]!thsiFinD("ths_adjustment_nv_fund",Q$3,$A728))</x:f>
        <x:v>#NAME?</x:v>
      </x:c>
      <x:c r="R728" t="e">
        <x:f>IF($A728="","",[1]!thsiFinD("ths_adjustment_nv_fund",R$3,$A728))</x:f>
        <x:v>#NAME?</x:v>
      </x:c>
      <x:c r="S728" t="e">
        <x:f>IF($A728="","",[1]!thsiFinD("ths_adjustment_nv_fund",S$3,$A728))</x:f>
        <x:v>#NAME?</x:v>
      </x:c>
      <x:c r="T728" t="e">
        <x:f>IF($A728="","",[1]!thsiFinD("ths_adjustment_nv_fund",T$3,$A728))</x:f>
        <x:v>#NAME?</x:v>
      </x:c>
      <x:c r="U728" t="e">
        <x:f>IF($A728="","",[1]!thsiFinD("ths_adjustment_nv_fund",U$3,$A728))</x:f>
        <x:v>#NAME?</x:v>
      </x:c>
      <x:c r="V728" t="e">
        <x:f>IF($A728="","",[1]!thsiFinD("ths_adjustment_nv_fund",V$3,$A728))</x:f>
        <x:v>#NAME?</x:v>
      </x:c>
      <x:c r="W728" t="e">
        <x:f>IF($A728="","",[1]!thsiFinD("ths_adjustment_nv_fund",W$3,$A728))</x:f>
        <x:v>#NAME?</x:v>
      </x:c>
      <x:c r="X728" t="e">
        <x:f>IF($A728="","",[1]!thsiFinD("ths_adjustment_nv_fund",X$3,$A728))</x:f>
        <x:v>#NAME?</x:v>
      </x:c>
      <x:c r="Y728" t="e">
        <x:f>IF($A728="","",[1]!thsiFinD("ths_adjustment_nv_fund",Y$3,$A728))</x:f>
        <x:v>#NAME?</x:v>
      </x:c>
    </x:row>
    <x:row r="729">
      <x:c r="B729" t="e">
        <x:f>IF($A729="","",[1]!thsiFinD("ths_adjustment_nv_fund",B$3,$A729))</x:f>
        <x:v>#NAME?</x:v>
      </x:c>
      <x:c r="C729" t="e">
        <x:f>IF($A729="","",[1]!thsiFinD("ths_adjustment_nv_fund",C$3,$A729))</x:f>
        <x:v>#NAME?</x:v>
      </x:c>
      <x:c r="D729" t="e">
        <x:f>IF($A729="","",[1]!thsiFinD("ths_adjustment_nv_fund",D$3,$A729))</x:f>
        <x:v>#NAME?</x:v>
      </x:c>
      <x:c r="E729" t="e">
        <x:f>IF($A729="","",[1]!thsiFinD("ths_adjustment_nv_fund",E$3,$A729))</x:f>
        <x:v>#NAME?</x:v>
      </x:c>
      <x:c r="F729" t="e">
        <x:f>IF($A729="","",[1]!thsiFinD("ths_adjustment_nv_fund",F$3,$A729))</x:f>
        <x:v>#NAME?</x:v>
      </x:c>
      <x:c r="G729" t="e">
        <x:f>IF($A729="","",[1]!thsiFinD("ths_adjustment_nv_fund",G$3,$A729))</x:f>
        <x:v>#NAME?</x:v>
      </x:c>
      <x:c r="H729" t="e">
        <x:f>IF($A729="","",[1]!thsiFinD("ths_adjustment_nv_fund",H$3,$A729))</x:f>
        <x:v>#NAME?</x:v>
      </x:c>
      <x:c r="I729" t="e">
        <x:f>IF($A729="","",[1]!thsiFinD("ths_adjustment_nv_fund",I$3,$A729))</x:f>
        <x:v>#NAME?</x:v>
      </x:c>
      <x:c r="J729" t="e">
        <x:f>IF($A729="","",[1]!thsiFinD("ths_adjustment_nv_fund",J$3,$A729))</x:f>
        <x:v>#NAME?</x:v>
      </x:c>
      <x:c r="K729" t="e">
        <x:f>IF($A729="","",[1]!thsiFinD("ths_adjustment_nv_fund",K$3,$A729))</x:f>
        <x:v>#NAME?</x:v>
      </x:c>
      <x:c r="L729" t="e">
        <x:f>IF($A729="","",[1]!thsiFinD("ths_adjustment_nv_fund",L$3,$A729))</x:f>
        <x:v>#NAME?</x:v>
      </x:c>
      <x:c r="M729" t="e">
        <x:f>IF($A729="","",[1]!thsiFinD("ths_adjustment_nv_fund",M$3,$A729))</x:f>
        <x:v>#NAME?</x:v>
      </x:c>
      <x:c r="N729" t="e">
        <x:f>IF($A729="","",[1]!thsiFinD("ths_adjustment_nv_fund",N$3,$A729))</x:f>
        <x:v>#NAME?</x:v>
      </x:c>
      <x:c r="O729" t="e">
        <x:f>IF($A729="","",[1]!thsiFinD("ths_adjustment_nv_fund",O$3,$A729))</x:f>
        <x:v>#NAME?</x:v>
      </x:c>
      <x:c r="P729" t="e">
        <x:f>IF($A729="","",[1]!thsiFinD("ths_adjustment_nv_fund",P$3,$A729))</x:f>
        <x:v>#NAME?</x:v>
      </x:c>
      <x:c r="Q729" t="e">
        <x:f>IF($A729="","",[1]!thsiFinD("ths_adjustment_nv_fund",Q$3,$A729))</x:f>
        <x:v>#NAME?</x:v>
      </x:c>
      <x:c r="R729" t="e">
        <x:f>IF($A729="","",[1]!thsiFinD("ths_adjustment_nv_fund",R$3,$A729))</x:f>
        <x:v>#NAME?</x:v>
      </x:c>
      <x:c r="S729" t="e">
        <x:f>IF($A729="","",[1]!thsiFinD("ths_adjustment_nv_fund",S$3,$A729))</x:f>
        <x:v>#NAME?</x:v>
      </x:c>
      <x:c r="T729" t="e">
        <x:f>IF($A729="","",[1]!thsiFinD("ths_adjustment_nv_fund",T$3,$A729))</x:f>
        <x:v>#NAME?</x:v>
      </x:c>
      <x:c r="U729" t="e">
        <x:f>IF($A729="","",[1]!thsiFinD("ths_adjustment_nv_fund",U$3,$A729))</x:f>
        <x:v>#NAME?</x:v>
      </x:c>
      <x:c r="V729" t="e">
        <x:f>IF($A729="","",[1]!thsiFinD("ths_adjustment_nv_fund",V$3,$A729))</x:f>
        <x:v>#NAME?</x:v>
      </x:c>
      <x:c r="W729" t="e">
        <x:f>IF($A729="","",[1]!thsiFinD("ths_adjustment_nv_fund",W$3,$A729))</x:f>
        <x:v>#NAME?</x:v>
      </x:c>
      <x:c r="X729" t="e">
        <x:f>IF($A729="","",[1]!thsiFinD("ths_adjustment_nv_fund",X$3,$A729))</x:f>
        <x:v>#NAME?</x:v>
      </x:c>
      <x:c r="Y729" t="e">
        <x:f>IF($A729="","",[1]!thsiFinD("ths_adjustment_nv_fund",Y$3,$A729))</x:f>
        <x:v>#NAME?</x:v>
      </x:c>
    </x:row>
    <x:row r="730">
      <x:c r="B730" t="e">
        <x:f>IF($A730="","",[1]!thsiFinD("ths_adjustment_nv_fund",B$3,$A730))</x:f>
        <x:v>#NAME?</x:v>
      </x:c>
      <x:c r="C730" t="e">
        <x:f>IF($A730="","",[1]!thsiFinD("ths_adjustment_nv_fund",C$3,$A730))</x:f>
        <x:v>#NAME?</x:v>
      </x:c>
      <x:c r="D730" t="e">
        <x:f>IF($A730="","",[1]!thsiFinD("ths_adjustment_nv_fund",D$3,$A730))</x:f>
        <x:v>#NAME?</x:v>
      </x:c>
      <x:c r="E730" t="e">
        <x:f>IF($A730="","",[1]!thsiFinD("ths_adjustment_nv_fund",E$3,$A730))</x:f>
        <x:v>#NAME?</x:v>
      </x:c>
      <x:c r="F730" t="e">
        <x:f>IF($A730="","",[1]!thsiFinD("ths_adjustment_nv_fund",F$3,$A730))</x:f>
        <x:v>#NAME?</x:v>
      </x:c>
      <x:c r="G730" t="e">
        <x:f>IF($A730="","",[1]!thsiFinD("ths_adjustment_nv_fund",G$3,$A730))</x:f>
        <x:v>#NAME?</x:v>
      </x:c>
      <x:c r="H730" t="e">
        <x:f>IF($A730="","",[1]!thsiFinD("ths_adjustment_nv_fund",H$3,$A730))</x:f>
        <x:v>#NAME?</x:v>
      </x:c>
      <x:c r="I730" t="e">
        <x:f>IF($A730="","",[1]!thsiFinD("ths_adjustment_nv_fund",I$3,$A730))</x:f>
        <x:v>#NAME?</x:v>
      </x:c>
      <x:c r="J730" t="e">
        <x:f>IF($A730="","",[1]!thsiFinD("ths_adjustment_nv_fund",J$3,$A730))</x:f>
        <x:v>#NAME?</x:v>
      </x:c>
      <x:c r="K730" t="e">
        <x:f>IF($A730="","",[1]!thsiFinD("ths_adjustment_nv_fund",K$3,$A730))</x:f>
        <x:v>#NAME?</x:v>
      </x:c>
      <x:c r="L730" t="e">
        <x:f>IF($A730="","",[1]!thsiFinD("ths_adjustment_nv_fund",L$3,$A730))</x:f>
        <x:v>#NAME?</x:v>
      </x:c>
      <x:c r="M730" t="e">
        <x:f>IF($A730="","",[1]!thsiFinD("ths_adjustment_nv_fund",M$3,$A730))</x:f>
        <x:v>#NAME?</x:v>
      </x:c>
      <x:c r="N730" t="e">
        <x:f>IF($A730="","",[1]!thsiFinD("ths_adjustment_nv_fund",N$3,$A730))</x:f>
        <x:v>#NAME?</x:v>
      </x:c>
      <x:c r="O730" t="e">
        <x:f>IF($A730="","",[1]!thsiFinD("ths_adjustment_nv_fund",O$3,$A730))</x:f>
        <x:v>#NAME?</x:v>
      </x:c>
      <x:c r="P730" t="e">
        <x:f>IF($A730="","",[1]!thsiFinD("ths_adjustment_nv_fund",P$3,$A730))</x:f>
        <x:v>#NAME?</x:v>
      </x:c>
      <x:c r="Q730" t="e">
        <x:f>IF($A730="","",[1]!thsiFinD("ths_adjustment_nv_fund",Q$3,$A730))</x:f>
        <x:v>#NAME?</x:v>
      </x:c>
      <x:c r="R730" t="e">
        <x:f>IF($A730="","",[1]!thsiFinD("ths_adjustment_nv_fund",R$3,$A730))</x:f>
        <x:v>#NAME?</x:v>
      </x:c>
      <x:c r="S730" t="e">
        <x:f>IF($A730="","",[1]!thsiFinD("ths_adjustment_nv_fund",S$3,$A730))</x:f>
        <x:v>#NAME?</x:v>
      </x:c>
      <x:c r="T730" t="e">
        <x:f>IF($A730="","",[1]!thsiFinD("ths_adjustment_nv_fund",T$3,$A730))</x:f>
        <x:v>#NAME?</x:v>
      </x:c>
      <x:c r="U730" t="e">
        <x:f>IF($A730="","",[1]!thsiFinD("ths_adjustment_nv_fund",U$3,$A730))</x:f>
        <x:v>#NAME?</x:v>
      </x:c>
      <x:c r="V730" t="e">
        <x:f>IF($A730="","",[1]!thsiFinD("ths_adjustment_nv_fund",V$3,$A730))</x:f>
        <x:v>#NAME?</x:v>
      </x:c>
      <x:c r="W730" t="e">
        <x:f>IF($A730="","",[1]!thsiFinD("ths_adjustment_nv_fund",W$3,$A730))</x:f>
        <x:v>#NAME?</x:v>
      </x:c>
      <x:c r="X730" t="e">
        <x:f>IF($A730="","",[1]!thsiFinD("ths_adjustment_nv_fund",X$3,$A730))</x:f>
        <x:v>#NAME?</x:v>
      </x:c>
      <x:c r="Y730" t="e">
        <x:f>IF($A730="","",[1]!thsiFinD("ths_adjustment_nv_fund",Y$3,$A730))</x:f>
        <x:v>#NAME?</x:v>
      </x:c>
    </x:row>
    <x:row r="731">
      <x:c r="B731" t="e">
        <x:f>IF($A731="","",[1]!thsiFinD("ths_adjustment_nv_fund",B$3,$A731))</x:f>
        <x:v>#NAME?</x:v>
      </x:c>
      <x:c r="C731" t="e">
        <x:f>IF($A731="","",[1]!thsiFinD("ths_adjustment_nv_fund",C$3,$A731))</x:f>
        <x:v>#NAME?</x:v>
      </x:c>
      <x:c r="D731" t="e">
        <x:f>IF($A731="","",[1]!thsiFinD("ths_adjustment_nv_fund",D$3,$A731))</x:f>
        <x:v>#NAME?</x:v>
      </x:c>
      <x:c r="E731" t="e">
        <x:f>IF($A731="","",[1]!thsiFinD("ths_adjustment_nv_fund",E$3,$A731))</x:f>
        <x:v>#NAME?</x:v>
      </x:c>
      <x:c r="F731" t="e">
        <x:f>IF($A731="","",[1]!thsiFinD("ths_adjustment_nv_fund",F$3,$A731))</x:f>
        <x:v>#NAME?</x:v>
      </x:c>
      <x:c r="G731" t="e">
        <x:f>IF($A731="","",[1]!thsiFinD("ths_adjustment_nv_fund",G$3,$A731))</x:f>
        <x:v>#NAME?</x:v>
      </x:c>
      <x:c r="H731" t="e">
        <x:f>IF($A731="","",[1]!thsiFinD("ths_adjustment_nv_fund",H$3,$A731))</x:f>
        <x:v>#NAME?</x:v>
      </x:c>
      <x:c r="I731" t="e">
        <x:f>IF($A731="","",[1]!thsiFinD("ths_adjustment_nv_fund",I$3,$A731))</x:f>
        <x:v>#NAME?</x:v>
      </x:c>
      <x:c r="J731" t="e">
        <x:f>IF($A731="","",[1]!thsiFinD("ths_adjustment_nv_fund",J$3,$A731))</x:f>
        <x:v>#NAME?</x:v>
      </x:c>
      <x:c r="K731" t="e">
        <x:f>IF($A731="","",[1]!thsiFinD("ths_adjustment_nv_fund",K$3,$A731))</x:f>
        <x:v>#NAME?</x:v>
      </x:c>
      <x:c r="L731" t="e">
        <x:f>IF($A731="","",[1]!thsiFinD("ths_adjustment_nv_fund",L$3,$A731))</x:f>
        <x:v>#NAME?</x:v>
      </x:c>
      <x:c r="M731" t="e">
        <x:f>IF($A731="","",[1]!thsiFinD("ths_adjustment_nv_fund",M$3,$A731))</x:f>
        <x:v>#NAME?</x:v>
      </x:c>
      <x:c r="N731" t="e">
        <x:f>IF($A731="","",[1]!thsiFinD("ths_adjustment_nv_fund",N$3,$A731))</x:f>
        <x:v>#NAME?</x:v>
      </x:c>
      <x:c r="O731" t="e">
        <x:f>IF($A731="","",[1]!thsiFinD("ths_adjustment_nv_fund",O$3,$A731))</x:f>
        <x:v>#NAME?</x:v>
      </x:c>
      <x:c r="P731" t="e">
        <x:f>IF($A731="","",[1]!thsiFinD("ths_adjustment_nv_fund",P$3,$A731))</x:f>
        <x:v>#NAME?</x:v>
      </x:c>
      <x:c r="Q731" t="e">
        <x:f>IF($A731="","",[1]!thsiFinD("ths_adjustment_nv_fund",Q$3,$A731))</x:f>
        <x:v>#NAME?</x:v>
      </x:c>
      <x:c r="R731" t="e">
        <x:f>IF($A731="","",[1]!thsiFinD("ths_adjustment_nv_fund",R$3,$A731))</x:f>
        <x:v>#NAME?</x:v>
      </x:c>
      <x:c r="S731" t="e">
        <x:f>IF($A731="","",[1]!thsiFinD("ths_adjustment_nv_fund",S$3,$A731))</x:f>
        <x:v>#NAME?</x:v>
      </x:c>
      <x:c r="T731" t="e">
        <x:f>IF($A731="","",[1]!thsiFinD("ths_adjustment_nv_fund",T$3,$A731))</x:f>
        <x:v>#NAME?</x:v>
      </x:c>
      <x:c r="U731" t="e">
        <x:f>IF($A731="","",[1]!thsiFinD("ths_adjustment_nv_fund",U$3,$A731))</x:f>
        <x:v>#NAME?</x:v>
      </x:c>
      <x:c r="V731" t="e">
        <x:f>IF($A731="","",[1]!thsiFinD("ths_adjustment_nv_fund",V$3,$A731))</x:f>
        <x:v>#NAME?</x:v>
      </x:c>
      <x:c r="W731" t="e">
        <x:f>IF($A731="","",[1]!thsiFinD("ths_adjustment_nv_fund",W$3,$A731))</x:f>
        <x:v>#NAME?</x:v>
      </x:c>
      <x:c r="X731" t="e">
        <x:f>IF($A731="","",[1]!thsiFinD("ths_adjustment_nv_fund",X$3,$A731))</x:f>
        <x:v>#NAME?</x:v>
      </x:c>
      <x:c r="Y731" t="e">
        <x:f>IF($A731="","",[1]!thsiFinD("ths_adjustment_nv_fund",Y$3,$A731))</x:f>
        <x:v>#NAME?</x:v>
      </x:c>
    </x:row>
    <x:row r="732">
      <x:c r="B732" t="e">
        <x:f>IF($A732="","",[1]!thsiFinD("ths_adjustment_nv_fund",B$3,$A732))</x:f>
        <x:v>#NAME?</x:v>
      </x:c>
      <x:c r="C732" t="e">
        <x:f>IF($A732="","",[1]!thsiFinD("ths_adjustment_nv_fund",C$3,$A732))</x:f>
        <x:v>#NAME?</x:v>
      </x:c>
      <x:c r="D732" t="e">
        <x:f>IF($A732="","",[1]!thsiFinD("ths_adjustment_nv_fund",D$3,$A732))</x:f>
        <x:v>#NAME?</x:v>
      </x:c>
      <x:c r="E732" t="e">
        <x:f>IF($A732="","",[1]!thsiFinD("ths_adjustment_nv_fund",E$3,$A732))</x:f>
        <x:v>#NAME?</x:v>
      </x:c>
      <x:c r="F732" t="e">
        <x:f>IF($A732="","",[1]!thsiFinD("ths_adjustment_nv_fund",F$3,$A732))</x:f>
        <x:v>#NAME?</x:v>
      </x:c>
      <x:c r="G732" t="e">
        <x:f>IF($A732="","",[1]!thsiFinD("ths_adjustment_nv_fund",G$3,$A732))</x:f>
        <x:v>#NAME?</x:v>
      </x:c>
      <x:c r="H732" t="e">
        <x:f>IF($A732="","",[1]!thsiFinD("ths_adjustment_nv_fund",H$3,$A732))</x:f>
        <x:v>#NAME?</x:v>
      </x:c>
      <x:c r="I732" t="e">
        <x:f>IF($A732="","",[1]!thsiFinD("ths_adjustment_nv_fund",I$3,$A732))</x:f>
        <x:v>#NAME?</x:v>
      </x:c>
      <x:c r="J732" t="e">
        <x:f>IF($A732="","",[1]!thsiFinD("ths_adjustment_nv_fund",J$3,$A732))</x:f>
        <x:v>#NAME?</x:v>
      </x:c>
      <x:c r="K732" t="e">
        <x:f>IF($A732="","",[1]!thsiFinD("ths_adjustment_nv_fund",K$3,$A732))</x:f>
        <x:v>#NAME?</x:v>
      </x:c>
      <x:c r="L732" t="e">
        <x:f>IF($A732="","",[1]!thsiFinD("ths_adjustment_nv_fund",L$3,$A732))</x:f>
        <x:v>#NAME?</x:v>
      </x:c>
      <x:c r="M732" t="e">
        <x:f>IF($A732="","",[1]!thsiFinD("ths_adjustment_nv_fund",M$3,$A732))</x:f>
        <x:v>#NAME?</x:v>
      </x:c>
      <x:c r="N732" t="e">
        <x:f>IF($A732="","",[1]!thsiFinD("ths_adjustment_nv_fund",N$3,$A732))</x:f>
        <x:v>#NAME?</x:v>
      </x:c>
      <x:c r="O732" t="e">
        <x:f>IF($A732="","",[1]!thsiFinD("ths_adjustment_nv_fund",O$3,$A732))</x:f>
        <x:v>#NAME?</x:v>
      </x:c>
      <x:c r="P732" t="e">
        <x:f>IF($A732="","",[1]!thsiFinD("ths_adjustment_nv_fund",P$3,$A732))</x:f>
        <x:v>#NAME?</x:v>
      </x:c>
      <x:c r="Q732" t="e">
        <x:f>IF($A732="","",[1]!thsiFinD("ths_adjustment_nv_fund",Q$3,$A732))</x:f>
        <x:v>#NAME?</x:v>
      </x:c>
      <x:c r="R732" t="e">
        <x:f>IF($A732="","",[1]!thsiFinD("ths_adjustment_nv_fund",R$3,$A732))</x:f>
        <x:v>#NAME?</x:v>
      </x:c>
      <x:c r="S732" t="e">
        <x:f>IF($A732="","",[1]!thsiFinD("ths_adjustment_nv_fund",S$3,$A732))</x:f>
        <x:v>#NAME?</x:v>
      </x:c>
      <x:c r="T732" t="e">
        <x:f>IF($A732="","",[1]!thsiFinD("ths_adjustment_nv_fund",T$3,$A732))</x:f>
        <x:v>#NAME?</x:v>
      </x:c>
      <x:c r="U732" t="e">
        <x:f>IF($A732="","",[1]!thsiFinD("ths_adjustment_nv_fund",U$3,$A732))</x:f>
        <x:v>#NAME?</x:v>
      </x:c>
      <x:c r="V732" t="e">
        <x:f>IF($A732="","",[1]!thsiFinD("ths_adjustment_nv_fund",V$3,$A732))</x:f>
        <x:v>#NAME?</x:v>
      </x:c>
      <x:c r="W732" t="e">
        <x:f>IF($A732="","",[1]!thsiFinD("ths_adjustment_nv_fund",W$3,$A732))</x:f>
        <x:v>#NAME?</x:v>
      </x:c>
      <x:c r="X732" t="e">
        <x:f>IF($A732="","",[1]!thsiFinD("ths_adjustment_nv_fund",X$3,$A732))</x:f>
        <x:v>#NAME?</x:v>
      </x:c>
      <x:c r="Y732" t="e">
        <x:f>IF($A732="","",[1]!thsiFinD("ths_adjustment_nv_fund",Y$3,$A732))</x:f>
        <x:v>#NAME?</x:v>
      </x:c>
    </x:row>
    <x:row r="733">
      <x:c r="B733" t="e">
        <x:f>IF($A733="","",[1]!thsiFinD("ths_adjustment_nv_fund",B$3,$A733))</x:f>
        <x:v>#NAME?</x:v>
      </x:c>
      <x:c r="C733" t="e">
        <x:f>IF($A733="","",[1]!thsiFinD("ths_adjustment_nv_fund",C$3,$A733))</x:f>
        <x:v>#NAME?</x:v>
      </x:c>
      <x:c r="D733" t="e">
        <x:f>IF($A733="","",[1]!thsiFinD("ths_adjustment_nv_fund",D$3,$A733))</x:f>
        <x:v>#NAME?</x:v>
      </x:c>
      <x:c r="E733" t="e">
        <x:f>IF($A733="","",[1]!thsiFinD("ths_adjustment_nv_fund",E$3,$A733))</x:f>
        <x:v>#NAME?</x:v>
      </x:c>
      <x:c r="F733" t="e">
        <x:f>IF($A733="","",[1]!thsiFinD("ths_adjustment_nv_fund",F$3,$A733))</x:f>
        <x:v>#NAME?</x:v>
      </x:c>
      <x:c r="G733" t="e">
        <x:f>IF($A733="","",[1]!thsiFinD("ths_adjustment_nv_fund",G$3,$A733))</x:f>
        <x:v>#NAME?</x:v>
      </x:c>
      <x:c r="H733" t="e">
        <x:f>IF($A733="","",[1]!thsiFinD("ths_adjustment_nv_fund",H$3,$A733))</x:f>
        <x:v>#NAME?</x:v>
      </x:c>
      <x:c r="I733" t="e">
        <x:f>IF($A733="","",[1]!thsiFinD("ths_adjustment_nv_fund",I$3,$A733))</x:f>
        <x:v>#NAME?</x:v>
      </x:c>
      <x:c r="J733" t="e">
        <x:f>IF($A733="","",[1]!thsiFinD("ths_adjustment_nv_fund",J$3,$A733))</x:f>
        <x:v>#NAME?</x:v>
      </x:c>
      <x:c r="K733" t="e">
        <x:f>IF($A733="","",[1]!thsiFinD("ths_adjustment_nv_fund",K$3,$A733))</x:f>
        <x:v>#NAME?</x:v>
      </x:c>
      <x:c r="L733" t="e">
        <x:f>IF($A733="","",[1]!thsiFinD("ths_adjustment_nv_fund",L$3,$A733))</x:f>
        <x:v>#NAME?</x:v>
      </x:c>
      <x:c r="M733" t="e">
        <x:f>IF($A733="","",[1]!thsiFinD("ths_adjustment_nv_fund",M$3,$A733))</x:f>
        <x:v>#NAME?</x:v>
      </x:c>
      <x:c r="N733" t="e">
        <x:f>IF($A733="","",[1]!thsiFinD("ths_adjustment_nv_fund",N$3,$A733))</x:f>
        <x:v>#NAME?</x:v>
      </x:c>
      <x:c r="O733" t="e">
        <x:f>IF($A733="","",[1]!thsiFinD("ths_adjustment_nv_fund",O$3,$A733))</x:f>
        <x:v>#NAME?</x:v>
      </x:c>
      <x:c r="P733" t="e">
        <x:f>IF($A733="","",[1]!thsiFinD("ths_adjustment_nv_fund",P$3,$A733))</x:f>
        <x:v>#NAME?</x:v>
      </x:c>
      <x:c r="Q733" t="e">
        <x:f>IF($A733="","",[1]!thsiFinD("ths_adjustment_nv_fund",Q$3,$A733))</x:f>
        <x:v>#NAME?</x:v>
      </x:c>
      <x:c r="R733" t="e">
        <x:f>IF($A733="","",[1]!thsiFinD("ths_adjustment_nv_fund",R$3,$A733))</x:f>
        <x:v>#NAME?</x:v>
      </x:c>
      <x:c r="S733" t="e">
        <x:f>IF($A733="","",[1]!thsiFinD("ths_adjustment_nv_fund",S$3,$A733))</x:f>
        <x:v>#NAME?</x:v>
      </x:c>
      <x:c r="T733" t="e">
        <x:f>IF($A733="","",[1]!thsiFinD("ths_adjustment_nv_fund",T$3,$A733))</x:f>
        <x:v>#NAME?</x:v>
      </x:c>
      <x:c r="U733" t="e">
        <x:f>IF($A733="","",[1]!thsiFinD("ths_adjustment_nv_fund",U$3,$A733))</x:f>
        <x:v>#NAME?</x:v>
      </x:c>
      <x:c r="V733" t="e">
        <x:f>IF($A733="","",[1]!thsiFinD("ths_adjustment_nv_fund",V$3,$A733))</x:f>
        <x:v>#NAME?</x:v>
      </x:c>
      <x:c r="W733" t="e">
        <x:f>IF($A733="","",[1]!thsiFinD("ths_adjustment_nv_fund",W$3,$A733))</x:f>
        <x:v>#NAME?</x:v>
      </x:c>
      <x:c r="X733" t="e">
        <x:f>IF($A733="","",[1]!thsiFinD("ths_adjustment_nv_fund",X$3,$A733))</x:f>
        <x:v>#NAME?</x:v>
      </x:c>
      <x:c r="Y733" t="e">
        <x:f>IF($A733="","",[1]!thsiFinD("ths_adjustment_nv_fund",Y$3,$A733))</x:f>
        <x:v>#NAME?</x:v>
      </x:c>
    </x:row>
    <x:row r="734">
      <x:c r="B734" t="e">
        <x:f>IF($A734="","",[1]!thsiFinD("ths_adjustment_nv_fund",B$3,$A734))</x:f>
        <x:v>#NAME?</x:v>
      </x:c>
      <x:c r="C734" t="e">
        <x:f>IF($A734="","",[1]!thsiFinD("ths_adjustment_nv_fund",C$3,$A734))</x:f>
        <x:v>#NAME?</x:v>
      </x:c>
      <x:c r="D734" t="e">
        <x:f>IF($A734="","",[1]!thsiFinD("ths_adjustment_nv_fund",D$3,$A734))</x:f>
        <x:v>#NAME?</x:v>
      </x:c>
      <x:c r="E734" t="e">
        <x:f>IF($A734="","",[1]!thsiFinD("ths_adjustment_nv_fund",E$3,$A734))</x:f>
        <x:v>#NAME?</x:v>
      </x:c>
      <x:c r="F734" t="e">
        <x:f>IF($A734="","",[1]!thsiFinD("ths_adjustment_nv_fund",F$3,$A734))</x:f>
        <x:v>#NAME?</x:v>
      </x:c>
      <x:c r="G734" t="e">
        <x:f>IF($A734="","",[1]!thsiFinD("ths_adjustment_nv_fund",G$3,$A734))</x:f>
        <x:v>#NAME?</x:v>
      </x:c>
      <x:c r="H734" t="e">
        <x:f>IF($A734="","",[1]!thsiFinD("ths_adjustment_nv_fund",H$3,$A734))</x:f>
        <x:v>#NAME?</x:v>
      </x:c>
      <x:c r="I734" t="e">
        <x:f>IF($A734="","",[1]!thsiFinD("ths_adjustment_nv_fund",I$3,$A734))</x:f>
        <x:v>#NAME?</x:v>
      </x:c>
      <x:c r="J734" t="e">
        <x:f>IF($A734="","",[1]!thsiFinD("ths_adjustment_nv_fund",J$3,$A734))</x:f>
        <x:v>#NAME?</x:v>
      </x:c>
      <x:c r="K734" t="e">
        <x:f>IF($A734="","",[1]!thsiFinD("ths_adjustment_nv_fund",K$3,$A734))</x:f>
        <x:v>#NAME?</x:v>
      </x:c>
      <x:c r="L734" t="e">
        <x:f>IF($A734="","",[1]!thsiFinD("ths_adjustment_nv_fund",L$3,$A734))</x:f>
        <x:v>#NAME?</x:v>
      </x:c>
      <x:c r="M734" t="e">
        <x:f>IF($A734="","",[1]!thsiFinD("ths_adjustment_nv_fund",M$3,$A734))</x:f>
        <x:v>#NAME?</x:v>
      </x:c>
      <x:c r="N734" t="e">
        <x:f>IF($A734="","",[1]!thsiFinD("ths_adjustment_nv_fund",N$3,$A734))</x:f>
        <x:v>#NAME?</x:v>
      </x:c>
      <x:c r="O734" t="e">
        <x:f>IF($A734="","",[1]!thsiFinD("ths_adjustment_nv_fund",O$3,$A734))</x:f>
        <x:v>#NAME?</x:v>
      </x:c>
      <x:c r="P734" t="e">
        <x:f>IF($A734="","",[1]!thsiFinD("ths_adjustment_nv_fund",P$3,$A734))</x:f>
        <x:v>#NAME?</x:v>
      </x:c>
      <x:c r="Q734" t="e">
        <x:f>IF($A734="","",[1]!thsiFinD("ths_adjustment_nv_fund",Q$3,$A734))</x:f>
        <x:v>#NAME?</x:v>
      </x:c>
      <x:c r="R734" t="e">
        <x:f>IF($A734="","",[1]!thsiFinD("ths_adjustment_nv_fund",R$3,$A734))</x:f>
        <x:v>#NAME?</x:v>
      </x:c>
      <x:c r="S734" t="e">
        <x:f>IF($A734="","",[1]!thsiFinD("ths_adjustment_nv_fund",S$3,$A734))</x:f>
        <x:v>#NAME?</x:v>
      </x:c>
      <x:c r="T734" t="e">
        <x:f>IF($A734="","",[1]!thsiFinD("ths_adjustment_nv_fund",T$3,$A734))</x:f>
        <x:v>#NAME?</x:v>
      </x:c>
      <x:c r="U734" t="e">
        <x:f>IF($A734="","",[1]!thsiFinD("ths_adjustment_nv_fund",U$3,$A734))</x:f>
        <x:v>#NAME?</x:v>
      </x:c>
      <x:c r="V734" t="e">
        <x:f>IF($A734="","",[1]!thsiFinD("ths_adjustment_nv_fund",V$3,$A734))</x:f>
        <x:v>#NAME?</x:v>
      </x:c>
      <x:c r="W734" t="e">
        <x:f>IF($A734="","",[1]!thsiFinD("ths_adjustment_nv_fund",W$3,$A734))</x:f>
        <x:v>#NAME?</x:v>
      </x:c>
      <x:c r="X734" t="e">
        <x:f>IF($A734="","",[1]!thsiFinD("ths_adjustment_nv_fund",X$3,$A734))</x:f>
        <x:v>#NAME?</x:v>
      </x:c>
      <x:c r="Y734" t="e">
        <x:f>IF($A734="","",[1]!thsiFinD("ths_adjustment_nv_fund",Y$3,$A734))</x:f>
        <x:v>#NAME?</x:v>
      </x:c>
    </x:row>
    <x:row r="735">
      <x:c r="B735" t="e">
        <x:f>IF($A735="","",[1]!thsiFinD("ths_adjustment_nv_fund",B$3,$A735))</x:f>
        <x:v>#NAME?</x:v>
      </x:c>
      <x:c r="C735" t="e">
        <x:f>IF($A735="","",[1]!thsiFinD("ths_adjustment_nv_fund",C$3,$A735))</x:f>
        <x:v>#NAME?</x:v>
      </x:c>
      <x:c r="D735" t="e">
        <x:f>IF($A735="","",[1]!thsiFinD("ths_adjustment_nv_fund",D$3,$A735))</x:f>
        <x:v>#NAME?</x:v>
      </x:c>
      <x:c r="E735" t="e">
        <x:f>IF($A735="","",[1]!thsiFinD("ths_adjustment_nv_fund",E$3,$A735))</x:f>
        <x:v>#NAME?</x:v>
      </x:c>
      <x:c r="F735" t="e">
        <x:f>IF($A735="","",[1]!thsiFinD("ths_adjustment_nv_fund",F$3,$A735))</x:f>
        <x:v>#NAME?</x:v>
      </x:c>
      <x:c r="G735" t="e">
        <x:f>IF($A735="","",[1]!thsiFinD("ths_adjustment_nv_fund",G$3,$A735))</x:f>
        <x:v>#NAME?</x:v>
      </x:c>
      <x:c r="H735" t="e">
        <x:f>IF($A735="","",[1]!thsiFinD("ths_adjustment_nv_fund",H$3,$A735))</x:f>
        <x:v>#NAME?</x:v>
      </x:c>
      <x:c r="I735" t="e">
        <x:f>IF($A735="","",[1]!thsiFinD("ths_adjustment_nv_fund",I$3,$A735))</x:f>
        <x:v>#NAME?</x:v>
      </x:c>
      <x:c r="J735" t="e">
        <x:f>IF($A735="","",[1]!thsiFinD("ths_adjustment_nv_fund",J$3,$A735))</x:f>
        <x:v>#NAME?</x:v>
      </x:c>
      <x:c r="K735" t="e">
        <x:f>IF($A735="","",[1]!thsiFinD("ths_adjustment_nv_fund",K$3,$A735))</x:f>
        <x:v>#NAME?</x:v>
      </x:c>
      <x:c r="L735" t="e">
        <x:f>IF($A735="","",[1]!thsiFinD("ths_adjustment_nv_fund",L$3,$A735))</x:f>
        <x:v>#NAME?</x:v>
      </x:c>
      <x:c r="M735" t="e">
        <x:f>IF($A735="","",[1]!thsiFinD("ths_adjustment_nv_fund",M$3,$A735))</x:f>
        <x:v>#NAME?</x:v>
      </x:c>
      <x:c r="N735" t="e">
        <x:f>IF($A735="","",[1]!thsiFinD("ths_adjustment_nv_fund",N$3,$A735))</x:f>
        <x:v>#NAME?</x:v>
      </x:c>
      <x:c r="O735" t="e">
        <x:f>IF($A735="","",[1]!thsiFinD("ths_adjustment_nv_fund",O$3,$A735))</x:f>
        <x:v>#NAME?</x:v>
      </x:c>
      <x:c r="P735" t="e">
        <x:f>IF($A735="","",[1]!thsiFinD("ths_adjustment_nv_fund",P$3,$A735))</x:f>
        <x:v>#NAME?</x:v>
      </x:c>
      <x:c r="Q735" t="e">
        <x:f>IF($A735="","",[1]!thsiFinD("ths_adjustment_nv_fund",Q$3,$A735))</x:f>
        <x:v>#NAME?</x:v>
      </x:c>
      <x:c r="R735" t="e">
        <x:f>IF($A735="","",[1]!thsiFinD("ths_adjustment_nv_fund",R$3,$A735))</x:f>
        <x:v>#NAME?</x:v>
      </x:c>
      <x:c r="S735" t="e">
        <x:f>IF($A735="","",[1]!thsiFinD("ths_adjustment_nv_fund",S$3,$A735))</x:f>
        <x:v>#NAME?</x:v>
      </x:c>
      <x:c r="T735" t="e">
        <x:f>IF($A735="","",[1]!thsiFinD("ths_adjustment_nv_fund",T$3,$A735))</x:f>
        <x:v>#NAME?</x:v>
      </x:c>
      <x:c r="U735" t="e">
        <x:f>IF($A735="","",[1]!thsiFinD("ths_adjustment_nv_fund",U$3,$A735))</x:f>
        <x:v>#NAME?</x:v>
      </x:c>
      <x:c r="V735" t="e">
        <x:f>IF($A735="","",[1]!thsiFinD("ths_adjustment_nv_fund",V$3,$A735))</x:f>
        <x:v>#NAME?</x:v>
      </x:c>
      <x:c r="W735" t="e">
        <x:f>IF($A735="","",[1]!thsiFinD("ths_adjustment_nv_fund",W$3,$A735))</x:f>
        <x:v>#NAME?</x:v>
      </x:c>
      <x:c r="X735" t="e">
        <x:f>IF($A735="","",[1]!thsiFinD("ths_adjustment_nv_fund",X$3,$A735))</x:f>
        <x:v>#NAME?</x:v>
      </x:c>
      <x:c r="Y735" t="e">
        <x:f>IF($A735="","",[1]!thsiFinD("ths_adjustment_nv_fund",Y$3,$A735))</x:f>
        <x:v>#NAME?</x:v>
      </x:c>
    </x:row>
    <x:row r="736">
      <x:c r="B736" t="e">
        <x:f>IF($A736="","",[1]!thsiFinD("ths_adjustment_nv_fund",B$3,$A736))</x:f>
        <x:v>#NAME?</x:v>
      </x:c>
      <x:c r="C736" t="e">
        <x:f>IF($A736="","",[1]!thsiFinD("ths_adjustment_nv_fund",C$3,$A736))</x:f>
        <x:v>#NAME?</x:v>
      </x:c>
      <x:c r="D736" t="e">
        <x:f>IF($A736="","",[1]!thsiFinD("ths_adjustment_nv_fund",D$3,$A736))</x:f>
        <x:v>#NAME?</x:v>
      </x:c>
      <x:c r="E736" t="e">
        <x:f>IF($A736="","",[1]!thsiFinD("ths_adjustment_nv_fund",E$3,$A736))</x:f>
        <x:v>#NAME?</x:v>
      </x:c>
      <x:c r="F736" t="e">
        <x:f>IF($A736="","",[1]!thsiFinD("ths_adjustment_nv_fund",F$3,$A736))</x:f>
        <x:v>#NAME?</x:v>
      </x:c>
      <x:c r="G736" t="e">
        <x:f>IF($A736="","",[1]!thsiFinD("ths_adjustment_nv_fund",G$3,$A736))</x:f>
        <x:v>#NAME?</x:v>
      </x:c>
      <x:c r="H736" t="e">
        <x:f>IF($A736="","",[1]!thsiFinD("ths_adjustment_nv_fund",H$3,$A736))</x:f>
        <x:v>#NAME?</x:v>
      </x:c>
      <x:c r="I736" t="e">
        <x:f>IF($A736="","",[1]!thsiFinD("ths_adjustment_nv_fund",I$3,$A736))</x:f>
        <x:v>#NAME?</x:v>
      </x:c>
      <x:c r="J736" t="e">
        <x:f>IF($A736="","",[1]!thsiFinD("ths_adjustment_nv_fund",J$3,$A736))</x:f>
        <x:v>#NAME?</x:v>
      </x:c>
      <x:c r="K736" t="e">
        <x:f>IF($A736="","",[1]!thsiFinD("ths_adjustment_nv_fund",K$3,$A736))</x:f>
        <x:v>#NAME?</x:v>
      </x:c>
      <x:c r="L736" t="e">
        <x:f>IF($A736="","",[1]!thsiFinD("ths_adjustment_nv_fund",L$3,$A736))</x:f>
        <x:v>#NAME?</x:v>
      </x:c>
      <x:c r="M736" t="e">
        <x:f>IF($A736="","",[1]!thsiFinD("ths_adjustment_nv_fund",M$3,$A736))</x:f>
        <x:v>#NAME?</x:v>
      </x:c>
      <x:c r="N736" t="e">
        <x:f>IF($A736="","",[1]!thsiFinD("ths_adjustment_nv_fund",N$3,$A736))</x:f>
        <x:v>#NAME?</x:v>
      </x:c>
      <x:c r="O736" t="e">
        <x:f>IF($A736="","",[1]!thsiFinD("ths_adjustment_nv_fund",O$3,$A736))</x:f>
        <x:v>#NAME?</x:v>
      </x:c>
      <x:c r="P736" t="e">
        <x:f>IF($A736="","",[1]!thsiFinD("ths_adjustment_nv_fund",P$3,$A736))</x:f>
        <x:v>#NAME?</x:v>
      </x:c>
      <x:c r="Q736" t="e">
        <x:f>IF($A736="","",[1]!thsiFinD("ths_adjustment_nv_fund",Q$3,$A736))</x:f>
        <x:v>#NAME?</x:v>
      </x:c>
      <x:c r="R736" t="e">
        <x:f>IF($A736="","",[1]!thsiFinD("ths_adjustment_nv_fund",R$3,$A736))</x:f>
        <x:v>#NAME?</x:v>
      </x:c>
      <x:c r="S736" t="e">
        <x:f>IF($A736="","",[1]!thsiFinD("ths_adjustment_nv_fund",S$3,$A736))</x:f>
        <x:v>#NAME?</x:v>
      </x:c>
      <x:c r="T736" t="e">
        <x:f>IF($A736="","",[1]!thsiFinD("ths_adjustment_nv_fund",T$3,$A736))</x:f>
        <x:v>#NAME?</x:v>
      </x:c>
      <x:c r="U736" t="e">
        <x:f>IF($A736="","",[1]!thsiFinD("ths_adjustment_nv_fund",U$3,$A736))</x:f>
        <x:v>#NAME?</x:v>
      </x:c>
      <x:c r="V736" t="e">
        <x:f>IF($A736="","",[1]!thsiFinD("ths_adjustment_nv_fund",V$3,$A736))</x:f>
        <x:v>#NAME?</x:v>
      </x:c>
      <x:c r="W736" t="e">
        <x:f>IF($A736="","",[1]!thsiFinD("ths_adjustment_nv_fund",W$3,$A736))</x:f>
        <x:v>#NAME?</x:v>
      </x:c>
      <x:c r="X736" t="e">
        <x:f>IF($A736="","",[1]!thsiFinD("ths_adjustment_nv_fund",X$3,$A736))</x:f>
        <x:v>#NAME?</x:v>
      </x:c>
      <x:c r="Y736" t="e">
        <x:f>IF($A736="","",[1]!thsiFinD("ths_adjustment_nv_fund",Y$3,$A736))</x:f>
        <x:v>#NAME?</x:v>
      </x:c>
    </x:row>
    <x:row r="737">
      <x:c r="B737" t="e">
        <x:f>IF($A737="","",[1]!thsiFinD("ths_adjustment_nv_fund",B$3,$A737))</x:f>
        <x:v>#NAME?</x:v>
      </x:c>
      <x:c r="C737" t="e">
        <x:f>IF($A737="","",[1]!thsiFinD("ths_adjustment_nv_fund",C$3,$A737))</x:f>
        <x:v>#NAME?</x:v>
      </x:c>
      <x:c r="D737" t="e">
        <x:f>IF($A737="","",[1]!thsiFinD("ths_adjustment_nv_fund",D$3,$A737))</x:f>
        <x:v>#NAME?</x:v>
      </x:c>
      <x:c r="E737" t="e">
        <x:f>IF($A737="","",[1]!thsiFinD("ths_adjustment_nv_fund",E$3,$A737))</x:f>
        <x:v>#NAME?</x:v>
      </x:c>
      <x:c r="F737" t="e">
        <x:f>IF($A737="","",[1]!thsiFinD("ths_adjustment_nv_fund",F$3,$A737))</x:f>
        <x:v>#NAME?</x:v>
      </x:c>
      <x:c r="G737" t="e">
        <x:f>IF($A737="","",[1]!thsiFinD("ths_adjustment_nv_fund",G$3,$A737))</x:f>
        <x:v>#NAME?</x:v>
      </x:c>
      <x:c r="H737" t="e">
        <x:f>IF($A737="","",[1]!thsiFinD("ths_adjustment_nv_fund",H$3,$A737))</x:f>
        <x:v>#NAME?</x:v>
      </x:c>
      <x:c r="I737" t="e">
        <x:f>IF($A737="","",[1]!thsiFinD("ths_adjustment_nv_fund",I$3,$A737))</x:f>
        <x:v>#NAME?</x:v>
      </x:c>
      <x:c r="J737" t="e">
        <x:f>IF($A737="","",[1]!thsiFinD("ths_adjustment_nv_fund",J$3,$A737))</x:f>
        <x:v>#NAME?</x:v>
      </x:c>
      <x:c r="K737" t="e">
        <x:f>IF($A737="","",[1]!thsiFinD("ths_adjustment_nv_fund",K$3,$A737))</x:f>
        <x:v>#NAME?</x:v>
      </x:c>
      <x:c r="L737" t="e">
        <x:f>IF($A737="","",[1]!thsiFinD("ths_adjustment_nv_fund",L$3,$A737))</x:f>
        <x:v>#NAME?</x:v>
      </x:c>
      <x:c r="M737" t="e">
        <x:f>IF($A737="","",[1]!thsiFinD("ths_adjustment_nv_fund",M$3,$A737))</x:f>
        <x:v>#NAME?</x:v>
      </x:c>
      <x:c r="N737" t="e">
        <x:f>IF($A737="","",[1]!thsiFinD("ths_adjustment_nv_fund",N$3,$A737))</x:f>
        <x:v>#NAME?</x:v>
      </x:c>
      <x:c r="O737" t="e">
        <x:f>IF($A737="","",[1]!thsiFinD("ths_adjustment_nv_fund",O$3,$A737))</x:f>
        <x:v>#NAME?</x:v>
      </x:c>
      <x:c r="P737" t="e">
        <x:f>IF($A737="","",[1]!thsiFinD("ths_adjustment_nv_fund",P$3,$A737))</x:f>
        <x:v>#NAME?</x:v>
      </x:c>
      <x:c r="Q737" t="e">
        <x:f>IF($A737="","",[1]!thsiFinD("ths_adjustment_nv_fund",Q$3,$A737))</x:f>
        <x:v>#NAME?</x:v>
      </x:c>
      <x:c r="R737" t="e">
        <x:f>IF($A737="","",[1]!thsiFinD("ths_adjustment_nv_fund",R$3,$A737))</x:f>
        <x:v>#NAME?</x:v>
      </x:c>
      <x:c r="S737" t="e">
        <x:f>IF($A737="","",[1]!thsiFinD("ths_adjustment_nv_fund",S$3,$A737))</x:f>
        <x:v>#NAME?</x:v>
      </x:c>
      <x:c r="T737" t="e">
        <x:f>IF($A737="","",[1]!thsiFinD("ths_adjustment_nv_fund",T$3,$A737))</x:f>
        <x:v>#NAME?</x:v>
      </x:c>
      <x:c r="U737" t="e">
        <x:f>IF($A737="","",[1]!thsiFinD("ths_adjustment_nv_fund",U$3,$A737))</x:f>
        <x:v>#NAME?</x:v>
      </x:c>
      <x:c r="V737" t="e">
        <x:f>IF($A737="","",[1]!thsiFinD("ths_adjustment_nv_fund",V$3,$A737))</x:f>
        <x:v>#NAME?</x:v>
      </x:c>
      <x:c r="W737" t="e">
        <x:f>IF($A737="","",[1]!thsiFinD("ths_adjustment_nv_fund",W$3,$A737))</x:f>
        <x:v>#NAME?</x:v>
      </x:c>
      <x:c r="X737" t="e">
        <x:f>IF($A737="","",[1]!thsiFinD("ths_adjustment_nv_fund",X$3,$A737))</x:f>
        <x:v>#NAME?</x:v>
      </x:c>
      <x:c r="Y737" t="e">
        <x:f>IF($A737="","",[1]!thsiFinD("ths_adjustment_nv_fund",Y$3,$A737))</x:f>
        <x:v>#NAME?</x:v>
      </x:c>
    </x:row>
    <x:row r="738">
      <x:c r="B738" t="e">
        <x:f>IF($A738="","",[1]!thsiFinD("ths_adjustment_nv_fund",B$3,$A738))</x:f>
        <x:v>#NAME?</x:v>
      </x:c>
      <x:c r="C738" t="e">
        <x:f>IF($A738="","",[1]!thsiFinD("ths_adjustment_nv_fund",C$3,$A738))</x:f>
        <x:v>#NAME?</x:v>
      </x:c>
      <x:c r="D738" t="e">
        <x:f>IF($A738="","",[1]!thsiFinD("ths_adjustment_nv_fund",D$3,$A738))</x:f>
        <x:v>#NAME?</x:v>
      </x:c>
      <x:c r="E738" t="e">
        <x:f>IF($A738="","",[1]!thsiFinD("ths_adjustment_nv_fund",E$3,$A738))</x:f>
        <x:v>#NAME?</x:v>
      </x:c>
      <x:c r="F738" t="e">
        <x:f>IF($A738="","",[1]!thsiFinD("ths_adjustment_nv_fund",F$3,$A738))</x:f>
        <x:v>#NAME?</x:v>
      </x:c>
      <x:c r="G738" t="e">
        <x:f>IF($A738="","",[1]!thsiFinD("ths_adjustment_nv_fund",G$3,$A738))</x:f>
        <x:v>#NAME?</x:v>
      </x:c>
      <x:c r="H738" t="e">
        <x:f>IF($A738="","",[1]!thsiFinD("ths_adjustment_nv_fund",H$3,$A738))</x:f>
        <x:v>#NAME?</x:v>
      </x:c>
      <x:c r="I738" t="e">
        <x:f>IF($A738="","",[1]!thsiFinD("ths_adjustment_nv_fund",I$3,$A738))</x:f>
        <x:v>#NAME?</x:v>
      </x:c>
      <x:c r="J738" t="e">
        <x:f>IF($A738="","",[1]!thsiFinD("ths_adjustment_nv_fund",J$3,$A738))</x:f>
        <x:v>#NAME?</x:v>
      </x:c>
      <x:c r="K738" t="e">
        <x:f>IF($A738="","",[1]!thsiFinD("ths_adjustment_nv_fund",K$3,$A738))</x:f>
        <x:v>#NAME?</x:v>
      </x:c>
      <x:c r="L738" t="e">
        <x:f>IF($A738="","",[1]!thsiFinD("ths_adjustment_nv_fund",L$3,$A738))</x:f>
        <x:v>#NAME?</x:v>
      </x:c>
      <x:c r="M738" t="e">
        <x:f>IF($A738="","",[1]!thsiFinD("ths_adjustment_nv_fund",M$3,$A738))</x:f>
        <x:v>#NAME?</x:v>
      </x:c>
      <x:c r="N738" t="e">
        <x:f>IF($A738="","",[1]!thsiFinD("ths_adjustment_nv_fund",N$3,$A738))</x:f>
        <x:v>#NAME?</x:v>
      </x:c>
      <x:c r="O738" t="e">
        <x:f>IF($A738="","",[1]!thsiFinD("ths_adjustment_nv_fund",O$3,$A738))</x:f>
        <x:v>#NAME?</x:v>
      </x:c>
      <x:c r="P738" t="e">
        <x:f>IF($A738="","",[1]!thsiFinD("ths_adjustment_nv_fund",P$3,$A738))</x:f>
        <x:v>#NAME?</x:v>
      </x:c>
      <x:c r="Q738" t="e">
        <x:f>IF($A738="","",[1]!thsiFinD("ths_adjustment_nv_fund",Q$3,$A738))</x:f>
        <x:v>#NAME?</x:v>
      </x:c>
      <x:c r="R738" t="e">
        <x:f>IF($A738="","",[1]!thsiFinD("ths_adjustment_nv_fund",R$3,$A738))</x:f>
        <x:v>#NAME?</x:v>
      </x:c>
      <x:c r="S738" t="e">
        <x:f>IF($A738="","",[1]!thsiFinD("ths_adjustment_nv_fund",S$3,$A738))</x:f>
        <x:v>#NAME?</x:v>
      </x:c>
      <x:c r="T738" t="e">
        <x:f>IF($A738="","",[1]!thsiFinD("ths_adjustment_nv_fund",T$3,$A738))</x:f>
        <x:v>#NAME?</x:v>
      </x:c>
      <x:c r="U738" t="e">
        <x:f>IF($A738="","",[1]!thsiFinD("ths_adjustment_nv_fund",U$3,$A738))</x:f>
        <x:v>#NAME?</x:v>
      </x:c>
      <x:c r="V738" t="e">
        <x:f>IF($A738="","",[1]!thsiFinD("ths_adjustment_nv_fund",V$3,$A738))</x:f>
        <x:v>#NAME?</x:v>
      </x:c>
      <x:c r="W738" t="e">
        <x:f>IF($A738="","",[1]!thsiFinD("ths_adjustment_nv_fund",W$3,$A738))</x:f>
        <x:v>#NAME?</x:v>
      </x:c>
      <x:c r="X738" t="e">
        <x:f>IF($A738="","",[1]!thsiFinD("ths_adjustment_nv_fund",X$3,$A738))</x:f>
        <x:v>#NAME?</x:v>
      </x:c>
      <x:c r="Y738" t="e">
        <x:f>IF($A738="","",[1]!thsiFinD("ths_adjustment_nv_fund",Y$3,$A738))</x:f>
        <x:v>#NAME?</x:v>
      </x:c>
    </x:row>
    <x:row r="739">
      <x:c r="B739" t="e">
        <x:f>IF($A739="","",[1]!thsiFinD("ths_adjustment_nv_fund",B$3,$A739))</x:f>
        <x:v>#NAME?</x:v>
      </x:c>
      <x:c r="C739" t="e">
        <x:f>IF($A739="","",[1]!thsiFinD("ths_adjustment_nv_fund",C$3,$A739))</x:f>
        <x:v>#NAME?</x:v>
      </x:c>
      <x:c r="D739" t="e">
        <x:f>IF($A739="","",[1]!thsiFinD("ths_adjustment_nv_fund",D$3,$A739))</x:f>
        <x:v>#NAME?</x:v>
      </x:c>
      <x:c r="E739" t="e">
        <x:f>IF($A739="","",[1]!thsiFinD("ths_adjustment_nv_fund",E$3,$A739))</x:f>
        <x:v>#NAME?</x:v>
      </x:c>
      <x:c r="F739" t="e">
        <x:f>IF($A739="","",[1]!thsiFinD("ths_adjustment_nv_fund",F$3,$A739))</x:f>
        <x:v>#NAME?</x:v>
      </x:c>
      <x:c r="G739" t="e">
        <x:f>IF($A739="","",[1]!thsiFinD("ths_adjustment_nv_fund",G$3,$A739))</x:f>
        <x:v>#NAME?</x:v>
      </x:c>
      <x:c r="H739" t="e">
        <x:f>IF($A739="","",[1]!thsiFinD("ths_adjustment_nv_fund",H$3,$A739))</x:f>
        <x:v>#NAME?</x:v>
      </x:c>
      <x:c r="I739" t="e">
        <x:f>IF($A739="","",[1]!thsiFinD("ths_adjustment_nv_fund",I$3,$A739))</x:f>
        <x:v>#NAME?</x:v>
      </x:c>
      <x:c r="J739" t="e">
        <x:f>IF($A739="","",[1]!thsiFinD("ths_adjustment_nv_fund",J$3,$A739))</x:f>
        <x:v>#NAME?</x:v>
      </x:c>
      <x:c r="K739" t="e">
        <x:f>IF($A739="","",[1]!thsiFinD("ths_adjustment_nv_fund",K$3,$A739))</x:f>
        <x:v>#NAME?</x:v>
      </x:c>
      <x:c r="L739" t="e">
        <x:f>IF($A739="","",[1]!thsiFinD("ths_adjustment_nv_fund",L$3,$A739))</x:f>
        <x:v>#NAME?</x:v>
      </x:c>
      <x:c r="M739" t="e">
        <x:f>IF($A739="","",[1]!thsiFinD("ths_adjustment_nv_fund",M$3,$A739))</x:f>
        <x:v>#NAME?</x:v>
      </x:c>
      <x:c r="N739" t="e">
        <x:f>IF($A739="","",[1]!thsiFinD("ths_adjustment_nv_fund",N$3,$A739))</x:f>
        <x:v>#NAME?</x:v>
      </x:c>
      <x:c r="O739" t="e">
        <x:f>IF($A739="","",[1]!thsiFinD("ths_adjustment_nv_fund",O$3,$A739))</x:f>
        <x:v>#NAME?</x:v>
      </x:c>
      <x:c r="P739" t="e">
        <x:f>IF($A739="","",[1]!thsiFinD("ths_adjustment_nv_fund",P$3,$A739))</x:f>
        <x:v>#NAME?</x:v>
      </x:c>
      <x:c r="Q739" t="e">
        <x:f>IF($A739="","",[1]!thsiFinD("ths_adjustment_nv_fund",Q$3,$A739))</x:f>
        <x:v>#NAME?</x:v>
      </x:c>
      <x:c r="R739" t="e">
        <x:f>IF($A739="","",[1]!thsiFinD("ths_adjustment_nv_fund",R$3,$A739))</x:f>
        <x:v>#NAME?</x:v>
      </x:c>
      <x:c r="S739" t="e">
        <x:f>IF($A739="","",[1]!thsiFinD("ths_adjustment_nv_fund",S$3,$A739))</x:f>
        <x:v>#NAME?</x:v>
      </x:c>
      <x:c r="T739" t="e">
        <x:f>IF($A739="","",[1]!thsiFinD("ths_adjustment_nv_fund",T$3,$A739))</x:f>
        <x:v>#NAME?</x:v>
      </x:c>
      <x:c r="U739" t="e">
        <x:f>IF($A739="","",[1]!thsiFinD("ths_adjustment_nv_fund",U$3,$A739))</x:f>
        <x:v>#NAME?</x:v>
      </x:c>
      <x:c r="V739" t="e">
        <x:f>IF($A739="","",[1]!thsiFinD("ths_adjustment_nv_fund",V$3,$A739))</x:f>
        <x:v>#NAME?</x:v>
      </x:c>
      <x:c r="W739" t="e">
        <x:f>IF($A739="","",[1]!thsiFinD("ths_adjustment_nv_fund",W$3,$A739))</x:f>
        <x:v>#NAME?</x:v>
      </x:c>
      <x:c r="X739" t="e">
        <x:f>IF($A739="","",[1]!thsiFinD("ths_adjustment_nv_fund",X$3,$A739))</x:f>
        <x:v>#NAME?</x:v>
      </x:c>
      <x:c r="Y739" t="e">
        <x:f>IF($A739="","",[1]!thsiFinD("ths_adjustment_nv_fund",Y$3,$A739))</x:f>
        <x:v>#NAME?</x:v>
      </x:c>
    </x:row>
    <x:row r="740">
      <x:c r="B740" t="e">
        <x:f>IF($A740="","",[1]!thsiFinD("ths_adjustment_nv_fund",B$3,$A740))</x:f>
        <x:v>#NAME?</x:v>
      </x:c>
      <x:c r="C740" t="e">
        <x:f>IF($A740="","",[1]!thsiFinD("ths_adjustment_nv_fund",C$3,$A740))</x:f>
        <x:v>#NAME?</x:v>
      </x:c>
      <x:c r="D740" t="e">
        <x:f>IF($A740="","",[1]!thsiFinD("ths_adjustment_nv_fund",D$3,$A740))</x:f>
        <x:v>#NAME?</x:v>
      </x:c>
      <x:c r="E740" t="e">
        <x:f>IF($A740="","",[1]!thsiFinD("ths_adjustment_nv_fund",E$3,$A740))</x:f>
        <x:v>#NAME?</x:v>
      </x:c>
      <x:c r="F740" t="e">
        <x:f>IF($A740="","",[1]!thsiFinD("ths_adjustment_nv_fund",F$3,$A740))</x:f>
        <x:v>#NAME?</x:v>
      </x:c>
      <x:c r="G740" t="e">
        <x:f>IF($A740="","",[1]!thsiFinD("ths_adjustment_nv_fund",G$3,$A740))</x:f>
        <x:v>#NAME?</x:v>
      </x:c>
      <x:c r="H740" t="e">
        <x:f>IF($A740="","",[1]!thsiFinD("ths_adjustment_nv_fund",H$3,$A740))</x:f>
        <x:v>#NAME?</x:v>
      </x:c>
      <x:c r="I740" t="e">
        <x:f>IF($A740="","",[1]!thsiFinD("ths_adjustment_nv_fund",I$3,$A740))</x:f>
        <x:v>#NAME?</x:v>
      </x:c>
      <x:c r="J740" t="e">
        <x:f>IF($A740="","",[1]!thsiFinD("ths_adjustment_nv_fund",J$3,$A740))</x:f>
        <x:v>#NAME?</x:v>
      </x:c>
      <x:c r="K740" t="e">
        <x:f>IF($A740="","",[1]!thsiFinD("ths_adjustment_nv_fund",K$3,$A740))</x:f>
        <x:v>#NAME?</x:v>
      </x:c>
      <x:c r="L740" t="e">
        <x:f>IF($A740="","",[1]!thsiFinD("ths_adjustment_nv_fund",L$3,$A740))</x:f>
        <x:v>#NAME?</x:v>
      </x:c>
      <x:c r="M740" t="e">
        <x:f>IF($A740="","",[1]!thsiFinD("ths_adjustment_nv_fund",M$3,$A740))</x:f>
        <x:v>#NAME?</x:v>
      </x:c>
      <x:c r="N740" t="e">
        <x:f>IF($A740="","",[1]!thsiFinD("ths_adjustment_nv_fund",N$3,$A740))</x:f>
        <x:v>#NAME?</x:v>
      </x:c>
      <x:c r="O740" t="e">
        <x:f>IF($A740="","",[1]!thsiFinD("ths_adjustment_nv_fund",O$3,$A740))</x:f>
        <x:v>#NAME?</x:v>
      </x:c>
      <x:c r="P740" t="e">
        <x:f>IF($A740="","",[1]!thsiFinD("ths_adjustment_nv_fund",P$3,$A740))</x:f>
        <x:v>#NAME?</x:v>
      </x:c>
      <x:c r="Q740" t="e">
        <x:f>IF($A740="","",[1]!thsiFinD("ths_adjustment_nv_fund",Q$3,$A740))</x:f>
        <x:v>#NAME?</x:v>
      </x:c>
      <x:c r="R740" t="e">
        <x:f>IF($A740="","",[1]!thsiFinD("ths_adjustment_nv_fund",R$3,$A740))</x:f>
        <x:v>#NAME?</x:v>
      </x:c>
      <x:c r="S740" t="e">
        <x:f>IF($A740="","",[1]!thsiFinD("ths_adjustment_nv_fund",S$3,$A740))</x:f>
        <x:v>#NAME?</x:v>
      </x:c>
      <x:c r="T740" t="e">
        <x:f>IF($A740="","",[1]!thsiFinD("ths_adjustment_nv_fund",T$3,$A740))</x:f>
        <x:v>#NAME?</x:v>
      </x:c>
      <x:c r="U740" t="e">
        <x:f>IF($A740="","",[1]!thsiFinD("ths_adjustment_nv_fund",U$3,$A740))</x:f>
        <x:v>#NAME?</x:v>
      </x:c>
      <x:c r="V740" t="e">
        <x:f>IF($A740="","",[1]!thsiFinD("ths_adjustment_nv_fund",V$3,$A740))</x:f>
        <x:v>#NAME?</x:v>
      </x:c>
      <x:c r="W740" t="e">
        <x:f>IF($A740="","",[1]!thsiFinD("ths_adjustment_nv_fund",W$3,$A740))</x:f>
        <x:v>#NAME?</x:v>
      </x:c>
      <x:c r="X740" t="e">
        <x:f>IF($A740="","",[1]!thsiFinD("ths_adjustment_nv_fund",X$3,$A740))</x:f>
        <x:v>#NAME?</x:v>
      </x:c>
      <x:c r="Y740" t="e">
        <x:f>IF($A740="","",[1]!thsiFinD("ths_adjustment_nv_fund",Y$3,$A740))</x:f>
        <x:v>#NAME?</x:v>
      </x:c>
    </x:row>
    <x:row r="741">
      <x:c r="B741" t="e">
        <x:f>IF($A741="","",[1]!thsiFinD("ths_adjustment_nv_fund",B$3,$A741))</x:f>
        <x:v>#NAME?</x:v>
      </x:c>
      <x:c r="C741" t="e">
        <x:f>IF($A741="","",[1]!thsiFinD("ths_adjustment_nv_fund",C$3,$A741))</x:f>
        <x:v>#NAME?</x:v>
      </x:c>
      <x:c r="D741" t="e">
        <x:f>IF($A741="","",[1]!thsiFinD("ths_adjustment_nv_fund",D$3,$A741))</x:f>
        <x:v>#NAME?</x:v>
      </x:c>
      <x:c r="E741" t="e">
        <x:f>IF($A741="","",[1]!thsiFinD("ths_adjustment_nv_fund",E$3,$A741))</x:f>
        <x:v>#NAME?</x:v>
      </x:c>
      <x:c r="F741" t="e">
        <x:f>IF($A741="","",[1]!thsiFinD("ths_adjustment_nv_fund",F$3,$A741))</x:f>
        <x:v>#NAME?</x:v>
      </x:c>
      <x:c r="G741" t="e">
        <x:f>IF($A741="","",[1]!thsiFinD("ths_adjustment_nv_fund",G$3,$A741))</x:f>
        <x:v>#NAME?</x:v>
      </x:c>
      <x:c r="H741" t="e">
        <x:f>IF($A741="","",[1]!thsiFinD("ths_adjustment_nv_fund",H$3,$A741))</x:f>
        <x:v>#NAME?</x:v>
      </x:c>
      <x:c r="I741" t="e">
        <x:f>IF($A741="","",[1]!thsiFinD("ths_adjustment_nv_fund",I$3,$A741))</x:f>
        <x:v>#NAME?</x:v>
      </x:c>
      <x:c r="J741" t="e">
        <x:f>IF($A741="","",[1]!thsiFinD("ths_adjustment_nv_fund",J$3,$A741))</x:f>
        <x:v>#NAME?</x:v>
      </x:c>
      <x:c r="K741" t="e">
        <x:f>IF($A741="","",[1]!thsiFinD("ths_adjustment_nv_fund",K$3,$A741))</x:f>
        <x:v>#NAME?</x:v>
      </x:c>
      <x:c r="L741" t="e">
        <x:f>IF($A741="","",[1]!thsiFinD("ths_adjustment_nv_fund",L$3,$A741))</x:f>
        <x:v>#NAME?</x:v>
      </x:c>
      <x:c r="M741" t="e">
        <x:f>IF($A741="","",[1]!thsiFinD("ths_adjustment_nv_fund",M$3,$A741))</x:f>
        <x:v>#NAME?</x:v>
      </x:c>
      <x:c r="N741" t="e">
        <x:f>IF($A741="","",[1]!thsiFinD("ths_adjustment_nv_fund",N$3,$A741))</x:f>
        <x:v>#NAME?</x:v>
      </x:c>
      <x:c r="O741" t="e">
        <x:f>IF($A741="","",[1]!thsiFinD("ths_adjustment_nv_fund",O$3,$A741))</x:f>
        <x:v>#NAME?</x:v>
      </x:c>
      <x:c r="P741" t="e">
        <x:f>IF($A741="","",[1]!thsiFinD("ths_adjustment_nv_fund",P$3,$A741))</x:f>
        <x:v>#NAME?</x:v>
      </x:c>
      <x:c r="Q741" t="e">
        <x:f>IF($A741="","",[1]!thsiFinD("ths_adjustment_nv_fund",Q$3,$A741))</x:f>
        <x:v>#NAME?</x:v>
      </x:c>
      <x:c r="R741" t="e">
        <x:f>IF($A741="","",[1]!thsiFinD("ths_adjustment_nv_fund",R$3,$A741))</x:f>
        <x:v>#NAME?</x:v>
      </x:c>
      <x:c r="S741" t="e">
        <x:f>IF($A741="","",[1]!thsiFinD("ths_adjustment_nv_fund",S$3,$A741))</x:f>
        <x:v>#NAME?</x:v>
      </x:c>
      <x:c r="T741" t="e">
        <x:f>IF($A741="","",[1]!thsiFinD("ths_adjustment_nv_fund",T$3,$A741))</x:f>
        <x:v>#NAME?</x:v>
      </x:c>
      <x:c r="U741" t="e">
        <x:f>IF($A741="","",[1]!thsiFinD("ths_adjustment_nv_fund",U$3,$A741))</x:f>
        <x:v>#NAME?</x:v>
      </x:c>
      <x:c r="V741" t="e">
        <x:f>IF($A741="","",[1]!thsiFinD("ths_adjustment_nv_fund",V$3,$A741))</x:f>
        <x:v>#NAME?</x:v>
      </x:c>
      <x:c r="W741" t="e">
        <x:f>IF($A741="","",[1]!thsiFinD("ths_adjustment_nv_fund",W$3,$A741))</x:f>
        <x:v>#NAME?</x:v>
      </x:c>
      <x:c r="X741" t="e">
        <x:f>IF($A741="","",[1]!thsiFinD("ths_adjustment_nv_fund",X$3,$A741))</x:f>
        <x:v>#NAME?</x:v>
      </x:c>
      <x:c r="Y741" t="e">
        <x:f>IF($A741="","",[1]!thsiFinD("ths_adjustment_nv_fund",Y$3,$A741))</x:f>
        <x:v>#NAME?</x:v>
      </x:c>
    </x:row>
    <x:row r="742">
      <x:c r="B742" t="e">
        <x:f>IF($A742="","",[1]!thsiFinD("ths_adjustment_nv_fund",B$3,$A742))</x:f>
        <x:v>#NAME?</x:v>
      </x:c>
      <x:c r="C742" t="e">
        <x:f>IF($A742="","",[1]!thsiFinD("ths_adjustment_nv_fund",C$3,$A742))</x:f>
        <x:v>#NAME?</x:v>
      </x:c>
      <x:c r="D742" t="e">
        <x:f>IF($A742="","",[1]!thsiFinD("ths_adjustment_nv_fund",D$3,$A742))</x:f>
        <x:v>#NAME?</x:v>
      </x:c>
      <x:c r="E742" t="e">
        <x:f>IF($A742="","",[1]!thsiFinD("ths_adjustment_nv_fund",E$3,$A742))</x:f>
        <x:v>#NAME?</x:v>
      </x:c>
      <x:c r="F742" t="e">
        <x:f>IF($A742="","",[1]!thsiFinD("ths_adjustment_nv_fund",F$3,$A742))</x:f>
        <x:v>#NAME?</x:v>
      </x:c>
      <x:c r="G742" t="e">
        <x:f>IF($A742="","",[1]!thsiFinD("ths_adjustment_nv_fund",G$3,$A742))</x:f>
        <x:v>#NAME?</x:v>
      </x:c>
      <x:c r="H742" t="e">
        <x:f>IF($A742="","",[1]!thsiFinD("ths_adjustment_nv_fund",H$3,$A742))</x:f>
        <x:v>#NAME?</x:v>
      </x:c>
      <x:c r="I742" t="e">
        <x:f>IF($A742="","",[1]!thsiFinD("ths_adjustment_nv_fund",I$3,$A742))</x:f>
        <x:v>#NAME?</x:v>
      </x:c>
      <x:c r="J742" t="e">
        <x:f>IF($A742="","",[1]!thsiFinD("ths_adjustment_nv_fund",J$3,$A742))</x:f>
        <x:v>#NAME?</x:v>
      </x:c>
      <x:c r="K742" t="e">
        <x:f>IF($A742="","",[1]!thsiFinD("ths_adjustment_nv_fund",K$3,$A742))</x:f>
        <x:v>#NAME?</x:v>
      </x:c>
      <x:c r="L742" t="e">
        <x:f>IF($A742="","",[1]!thsiFinD("ths_adjustment_nv_fund",L$3,$A742))</x:f>
        <x:v>#NAME?</x:v>
      </x:c>
      <x:c r="M742" t="e">
        <x:f>IF($A742="","",[1]!thsiFinD("ths_adjustment_nv_fund",M$3,$A742))</x:f>
        <x:v>#NAME?</x:v>
      </x:c>
      <x:c r="N742" t="e">
        <x:f>IF($A742="","",[1]!thsiFinD("ths_adjustment_nv_fund",N$3,$A742))</x:f>
        <x:v>#NAME?</x:v>
      </x:c>
      <x:c r="O742" t="e">
        <x:f>IF($A742="","",[1]!thsiFinD("ths_adjustment_nv_fund",O$3,$A742))</x:f>
        <x:v>#NAME?</x:v>
      </x:c>
      <x:c r="P742" t="e">
        <x:f>IF($A742="","",[1]!thsiFinD("ths_adjustment_nv_fund",P$3,$A742))</x:f>
        <x:v>#NAME?</x:v>
      </x:c>
      <x:c r="Q742" t="e">
        <x:f>IF($A742="","",[1]!thsiFinD("ths_adjustment_nv_fund",Q$3,$A742))</x:f>
        <x:v>#NAME?</x:v>
      </x:c>
      <x:c r="R742" t="e">
        <x:f>IF($A742="","",[1]!thsiFinD("ths_adjustment_nv_fund",R$3,$A742))</x:f>
        <x:v>#NAME?</x:v>
      </x:c>
      <x:c r="S742" t="e">
        <x:f>IF($A742="","",[1]!thsiFinD("ths_adjustment_nv_fund",S$3,$A742))</x:f>
        <x:v>#NAME?</x:v>
      </x:c>
      <x:c r="T742" t="e">
        <x:f>IF($A742="","",[1]!thsiFinD("ths_adjustment_nv_fund",T$3,$A742))</x:f>
        <x:v>#NAME?</x:v>
      </x:c>
      <x:c r="U742" t="e">
        <x:f>IF($A742="","",[1]!thsiFinD("ths_adjustment_nv_fund",U$3,$A742))</x:f>
        <x:v>#NAME?</x:v>
      </x:c>
      <x:c r="V742" t="e">
        <x:f>IF($A742="","",[1]!thsiFinD("ths_adjustment_nv_fund",V$3,$A742))</x:f>
        <x:v>#NAME?</x:v>
      </x:c>
      <x:c r="W742" t="e">
        <x:f>IF($A742="","",[1]!thsiFinD("ths_adjustment_nv_fund",W$3,$A742))</x:f>
        <x:v>#NAME?</x:v>
      </x:c>
      <x:c r="X742" t="e">
        <x:f>IF($A742="","",[1]!thsiFinD("ths_adjustment_nv_fund",X$3,$A742))</x:f>
        <x:v>#NAME?</x:v>
      </x:c>
      <x:c r="Y742" t="e">
        <x:f>IF($A742="","",[1]!thsiFinD("ths_adjustment_nv_fund",Y$3,$A742))</x:f>
        <x:v>#NAME?</x:v>
      </x:c>
    </x:row>
    <x:row r="743">
      <x:c r="B743" t="e">
        <x:f>IF($A743="","",[1]!thsiFinD("ths_adjustment_nv_fund",B$3,$A743))</x:f>
        <x:v>#NAME?</x:v>
      </x:c>
      <x:c r="C743" t="e">
        <x:f>IF($A743="","",[1]!thsiFinD("ths_adjustment_nv_fund",C$3,$A743))</x:f>
        <x:v>#NAME?</x:v>
      </x:c>
      <x:c r="D743" t="e">
        <x:f>IF($A743="","",[1]!thsiFinD("ths_adjustment_nv_fund",D$3,$A743))</x:f>
        <x:v>#NAME?</x:v>
      </x:c>
      <x:c r="E743" t="e">
        <x:f>IF($A743="","",[1]!thsiFinD("ths_adjustment_nv_fund",E$3,$A743))</x:f>
        <x:v>#NAME?</x:v>
      </x:c>
      <x:c r="F743" t="e">
        <x:f>IF($A743="","",[1]!thsiFinD("ths_adjustment_nv_fund",F$3,$A743))</x:f>
        <x:v>#NAME?</x:v>
      </x:c>
      <x:c r="G743" t="e">
        <x:f>IF($A743="","",[1]!thsiFinD("ths_adjustment_nv_fund",G$3,$A743))</x:f>
        <x:v>#NAME?</x:v>
      </x:c>
      <x:c r="H743" t="e">
        <x:f>IF($A743="","",[1]!thsiFinD("ths_adjustment_nv_fund",H$3,$A743))</x:f>
        <x:v>#NAME?</x:v>
      </x:c>
      <x:c r="I743" t="e">
        <x:f>IF($A743="","",[1]!thsiFinD("ths_adjustment_nv_fund",I$3,$A743))</x:f>
        <x:v>#NAME?</x:v>
      </x:c>
      <x:c r="J743" t="e">
        <x:f>IF($A743="","",[1]!thsiFinD("ths_adjustment_nv_fund",J$3,$A743))</x:f>
        <x:v>#NAME?</x:v>
      </x:c>
      <x:c r="K743" t="e">
        <x:f>IF($A743="","",[1]!thsiFinD("ths_adjustment_nv_fund",K$3,$A743))</x:f>
        <x:v>#NAME?</x:v>
      </x:c>
      <x:c r="L743" t="e">
        <x:f>IF($A743="","",[1]!thsiFinD("ths_adjustment_nv_fund",L$3,$A743))</x:f>
        <x:v>#NAME?</x:v>
      </x:c>
      <x:c r="M743" t="e">
        <x:f>IF($A743="","",[1]!thsiFinD("ths_adjustment_nv_fund",M$3,$A743))</x:f>
        <x:v>#NAME?</x:v>
      </x:c>
      <x:c r="N743" t="e">
        <x:f>IF($A743="","",[1]!thsiFinD("ths_adjustment_nv_fund",N$3,$A743))</x:f>
        <x:v>#NAME?</x:v>
      </x:c>
      <x:c r="O743" t="e">
        <x:f>IF($A743="","",[1]!thsiFinD("ths_adjustment_nv_fund",O$3,$A743))</x:f>
        <x:v>#NAME?</x:v>
      </x:c>
      <x:c r="P743" t="e">
        <x:f>IF($A743="","",[1]!thsiFinD("ths_adjustment_nv_fund",P$3,$A743))</x:f>
        <x:v>#NAME?</x:v>
      </x:c>
      <x:c r="Q743" t="e">
        <x:f>IF($A743="","",[1]!thsiFinD("ths_adjustment_nv_fund",Q$3,$A743))</x:f>
        <x:v>#NAME?</x:v>
      </x:c>
      <x:c r="R743" t="e">
        <x:f>IF($A743="","",[1]!thsiFinD("ths_adjustment_nv_fund",R$3,$A743))</x:f>
        <x:v>#NAME?</x:v>
      </x:c>
      <x:c r="S743" t="e">
        <x:f>IF($A743="","",[1]!thsiFinD("ths_adjustment_nv_fund",S$3,$A743))</x:f>
        <x:v>#NAME?</x:v>
      </x:c>
      <x:c r="T743" t="e">
        <x:f>IF($A743="","",[1]!thsiFinD("ths_adjustment_nv_fund",T$3,$A743))</x:f>
        <x:v>#NAME?</x:v>
      </x:c>
      <x:c r="U743" t="e">
        <x:f>IF($A743="","",[1]!thsiFinD("ths_adjustment_nv_fund",U$3,$A743))</x:f>
        <x:v>#NAME?</x:v>
      </x:c>
      <x:c r="V743" t="e">
        <x:f>IF($A743="","",[1]!thsiFinD("ths_adjustment_nv_fund",V$3,$A743))</x:f>
        <x:v>#NAME?</x:v>
      </x:c>
      <x:c r="W743" t="e">
        <x:f>IF($A743="","",[1]!thsiFinD("ths_adjustment_nv_fund",W$3,$A743))</x:f>
        <x:v>#NAME?</x:v>
      </x:c>
      <x:c r="X743" t="e">
        <x:f>IF($A743="","",[1]!thsiFinD("ths_adjustment_nv_fund",X$3,$A743))</x:f>
        <x:v>#NAME?</x:v>
      </x:c>
      <x:c r="Y743" t="e">
        <x:f>IF($A743="","",[1]!thsiFinD("ths_adjustment_nv_fund",Y$3,$A743))</x:f>
        <x:v>#NAME?</x:v>
      </x:c>
    </x:row>
    <x:row r="744">
      <x:c r="B744" t="e">
        <x:f>IF($A744="","",[1]!thsiFinD("ths_adjustment_nv_fund",B$3,$A744))</x:f>
        <x:v>#NAME?</x:v>
      </x:c>
      <x:c r="C744" t="e">
        <x:f>IF($A744="","",[1]!thsiFinD("ths_adjustment_nv_fund",C$3,$A744))</x:f>
        <x:v>#NAME?</x:v>
      </x:c>
      <x:c r="D744" t="e">
        <x:f>IF($A744="","",[1]!thsiFinD("ths_adjustment_nv_fund",D$3,$A744))</x:f>
        <x:v>#NAME?</x:v>
      </x:c>
      <x:c r="E744" t="e">
        <x:f>IF($A744="","",[1]!thsiFinD("ths_adjustment_nv_fund",E$3,$A744))</x:f>
        <x:v>#NAME?</x:v>
      </x:c>
      <x:c r="F744" t="e">
        <x:f>IF($A744="","",[1]!thsiFinD("ths_adjustment_nv_fund",F$3,$A744))</x:f>
        <x:v>#NAME?</x:v>
      </x:c>
      <x:c r="G744" t="e">
        <x:f>IF($A744="","",[1]!thsiFinD("ths_adjustment_nv_fund",G$3,$A744))</x:f>
        <x:v>#NAME?</x:v>
      </x:c>
      <x:c r="H744" t="e">
        <x:f>IF($A744="","",[1]!thsiFinD("ths_adjustment_nv_fund",H$3,$A744))</x:f>
        <x:v>#NAME?</x:v>
      </x:c>
      <x:c r="I744" t="e">
        <x:f>IF($A744="","",[1]!thsiFinD("ths_adjustment_nv_fund",I$3,$A744))</x:f>
        <x:v>#NAME?</x:v>
      </x:c>
      <x:c r="J744" t="e">
        <x:f>IF($A744="","",[1]!thsiFinD("ths_adjustment_nv_fund",J$3,$A744))</x:f>
        <x:v>#NAME?</x:v>
      </x:c>
      <x:c r="K744" t="e">
        <x:f>IF($A744="","",[1]!thsiFinD("ths_adjustment_nv_fund",K$3,$A744))</x:f>
        <x:v>#NAME?</x:v>
      </x:c>
      <x:c r="L744" t="e">
        <x:f>IF($A744="","",[1]!thsiFinD("ths_adjustment_nv_fund",L$3,$A744))</x:f>
        <x:v>#NAME?</x:v>
      </x:c>
      <x:c r="M744" t="e">
        <x:f>IF($A744="","",[1]!thsiFinD("ths_adjustment_nv_fund",M$3,$A744))</x:f>
        <x:v>#NAME?</x:v>
      </x:c>
      <x:c r="N744" t="e">
        <x:f>IF($A744="","",[1]!thsiFinD("ths_adjustment_nv_fund",N$3,$A744))</x:f>
        <x:v>#NAME?</x:v>
      </x:c>
      <x:c r="O744" t="e">
        <x:f>IF($A744="","",[1]!thsiFinD("ths_adjustment_nv_fund",O$3,$A744))</x:f>
        <x:v>#NAME?</x:v>
      </x:c>
      <x:c r="P744" t="e">
        <x:f>IF($A744="","",[1]!thsiFinD("ths_adjustment_nv_fund",P$3,$A744))</x:f>
        <x:v>#NAME?</x:v>
      </x:c>
      <x:c r="Q744" t="e">
        <x:f>IF($A744="","",[1]!thsiFinD("ths_adjustment_nv_fund",Q$3,$A744))</x:f>
        <x:v>#NAME?</x:v>
      </x:c>
      <x:c r="R744" t="e">
        <x:f>IF($A744="","",[1]!thsiFinD("ths_adjustment_nv_fund",R$3,$A744))</x:f>
        <x:v>#NAME?</x:v>
      </x:c>
      <x:c r="S744" t="e">
        <x:f>IF($A744="","",[1]!thsiFinD("ths_adjustment_nv_fund",S$3,$A744))</x:f>
        <x:v>#NAME?</x:v>
      </x:c>
      <x:c r="T744" t="e">
        <x:f>IF($A744="","",[1]!thsiFinD("ths_adjustment_nv_fund",T$3,$A744))</x:f>
        <x:v>#NAME?</x:v>
      </x:c>
      <x:c r="U744" t="e">
        <x:f>IF($A744="","",[1]!thsiFinD("ths_adjustment_nv_fund",U$3,$A744))</x:f>
        <x:v>#NAME?</x:v>
      </x:c>
      <x:c r="V744" t="e">
        <x:f>IF($A744="","",[1]!thsiFinD("ths_adjustment_nv_fund",V$3,$A744))</x:f>
        <x:v>#NAME?</x:v>
      </x:c>
      <x:c r="W744" t="e">
        <x:f>IF($A744="","",[1]!thsiFinD("ths_adjustment_nv_fund",W$3,$A744))</x:f>
        <x:v>#NAME?</x:v>
      </x:c>
      <x:c r="X744" t="e">
        <x:f>IF($A744="","",[1]!thsiFinD("ths_adjustment_nv_fund",X$3,$A744))</x:f>
        <x:v>#NAME?</x:v>
      </x:c>
      <x:c r="Y744" t="e">
        <x:f>IF($A744="","",[1]!thsiFinD("ths_adjustment_nv_fund",Y$3,$A744))</x:f>
        <x:v>#NAME?</x:v>
      </x:c>
    </x:row>
    <x:row r="745">
      <x:c r="B745" t="e">
        <x:f>IF($A745="","",[1]!thsiFinD("ths_adjustment_nv_fund",B$3,$A745))</x:f>
        <x:v>#NAME?</x:v>
      </x:c>
      <x:c r="C745" t="e">
        <x:f>IF($A745="","",[1]!thsiFinD("ths_adjustment_nv_fund",C$3,$A745))</x:f>
        <x:v>#NAME?</x:v>
      </x:c>
      <x:c r="D745" t="e">
        <x:f>IF($A745="","",[1]!thsiFinD("ths_adjustment_nv_fund",D$3,$A745))</x:f>
        <x:v>#NAME?</x:v>
      </x:c>
      <x:c r="E745" t="e">
        <x:f>IF($A745="","",[1]!thsiFinD("ths_adjustment_nv_fund",E$3,$A745))</x:f>
        <x:v>#NAME?</x:v>
      </x:c>
      <x:c r="F745" t="e">
        <x:f>IF($A745="","",[1]!thsiFinD("ths_adjustment_nv_fund",F$3,$A745))</x:f>
        <x:v>#NAME?</x:v>
      </x:c>
      <x:c r="G745" t="e">
        <x:f>IF($A745="","",[1]!thsiFinD("ths_adjustment_nv_fund",G$3,$A745))</x:f>
        <x:v>#NAME?</x:v>
      </x:c>
      <x:c r="H745" t="e">
        <x:f>IF($A745="","",[1]!thsiFinD("ths_adjustment_nv_fund",H$3,$A745))</x:f>
        <x:v>#NAME?</x:v>
      </x:c>
      <x:c r="I745" t="e">
        <x:f>IF($A745="","",[1]!thsiFinD("ths_adjustment_nv_fund",I$3,$A745))</x:f>
        <x:v>#NAME?</x:v>
      </x:c>
      <x:c r="J745" t="e">
        <x:f>IF($A745="","",[1]!thsiFinD("ths_adjustment_nv_fund",J$3,$A745))</x:f>
        <x:v>#NAME?</x:v>
      </x:c>
      <x:c r="K745" t="e">
        <x:f>IF($A745="","",[1]!thsiFinD("ths_adjustment_nv_fund",K$3,$A745))</x:f>
        <x:v>#NAME?</x:v>
      </x:c>
      <x:c r="L745" t="e">
        <x:f>IF($A745="","",[1]!thsiFinD("ths_adjustment_nv_fund",L$3,$A745))</x:f>
        <x:v>#NAME?</x:v>
      </x:c>
      <x:c r="M745" t="e">
        <x:f>IF($A745="","",[1]!thsiFinD("ths_adjustment_nv_fund",M$3,$A745))</x:f>
        <x:v>#NAME?</x:v>
      </x:c>
      <x:c r="N745" t="e">
        <x:f>IF($A745="","",[1]!thsiFinD("ths_adjustment_nv_fund",N$3,$A745))</x:f>
        <x:v>#NAME?</x:v>
      </x:c>
      <x:c r="O745" t="e">
        <x:f>IF($A745="","",[1]!thsiFinD("ths_adjustment_nv_fund",O$3,$A745))</x:f>
        <x:v>#NAME?</x:v>
      </x:c>
      <x:c r="P745" t="e">
        <x:f>IF($A745="","",[1]!thsiFinD("ths_adjustment_nv_fund",P$3,$A745))</x:f>
        <x:v>#NAME?</x:v>
      </x:c>
      <x:c r="Q745" t="e">
        <x:f>IF($A745="","",[1]!thsiFinD("ths_adjustment_nv_fund",Q$3,$A745))</x:f>
        <x:v>#NAME?</x:v>
      </x:c>
      <x:c r="R745" t="e">
        <x:f>IF($A745="","",[1]!thsiFinD("ths_adjustment_nv_fund",R$3,$A745))</x:f>
        <x:v>#NAME?</x:v>
      </x:c>
      <x:c r="S745" t="e">
        <x:f>IF($A745="","",[1]!thsiFinD("ths_adjustment_nv_fund",S$3,$A745))</x:f>
        <x:v>#NAME?</x:v>
      </x:c>
      <x:c r="T745" t="e">
        <x:f>IF($A745="","",[1]!thsiFinD("ths_adjustment_nv_fund",T$3,$A745))</x:f>
        <x:v>#NAME?</x:v>
      </x:c>
      <x:c r="U745" t="e">
        <x:f>IF($A745="","",[1]!thsiFinD("ths_adjustment_nv_fund",U$3,$A745))</x:f>
        <x:v>#NAME?</x:v>
      </x:c>
      <x:c r="V745" t="e">
        <x:f>IF($A745="","",[1]!thsiFinD("ths_adjustment_nv_fund",V$3,$A745))</x:f>
        <x:v>#NAME?</x:v>
      </x:c>
      <x:c r="W745" t="e">
        <x:f>IF($A745="","",[1]!thsiFinD("ths_adjustment_nv_fund",W$3,$A745))</x:f>
        <x:v>#NAME?</x:v>
      </x:c>
      <x:c r="X745" t="e">
        <x:f>IF($A745="","",[1]!thsiFinD("ths_adjustment_nv_fund",X$3,$A745))</x:f>
        <x:v>#NAME?</x:v>
      </x:c>
      <x:c r="Y745" t="e">
        <x:f>IF($A745="","",[1]!thsiFinD("ths_adjustment_nv_fund",Y$3,$A745))</x:f>
        <x:v>#NAME?</x:v>
      </x:c>
    </x:row>
    <x:row r="746">
      <x:c r="B746" t="e">
        <x:f>IF($A746="","",[1]!thsiFinD("ths_adjustment_nv_fund",B$3,$A746))</x:f>
        <x:v>#NAME?</x:v>
      </x:c>
      <x:c r="C746" t="e">
        <x:f>IF($A746="","",[1]!thsiFinD("ths_adjustment_nv_fund",C$3,$A746))</x:f>
        <x:v>#NAME?</x:v>
      </x:c>
      <x:c r="D746" t="e">
        <x:f>IF($A746="","",[1]!thsiFinD("ths_adjustment_nv_fund",D$3,$A746))</x:f>
        <x:v>#NAME?</x:v>
      </x:c>
      <x:c r="E746" t="e">
        <x:f>IF($A746="","",[1]!thsiFinD("ths_adjustment_nv_fund",E$3,$A746))</x:f>
        <x:v>#NAME?</x:v>
      </x:c>
      <x:c r="F746" t="e">
        <x:f>IF($A746="","",[1]!thsiFinD("ths_adjustment_nv_fund",F$3,$A746))</x:f>
        <x:v>#NAME?</x:v>
      </x:c>
      <x:c r="G746" t="e">
        <x:f>IF($A746="","",[1]!thsiFinD("ths_adjustment_nv_fund",G$3,$A746))</x:f>
        <x:v>#NAME?</x:v>
      </x:c>
      <x:c r="H746" t="e">
        <x:f>IF($A746="","",[1]!thsiFinD("ths_adjustment_nv_fund",H$3,$A746))</x:f>
        <x:v>#NAME?</x:v>
      </x:c>
      <x:c r="I746" t="e">
        <x:f>IF($A746="","",[1]!thsiFinD("ths_adjustment_nv_fund",I$3,$A746))</x:f>
        <x:v>#NAME?</x:v>
      </x:c>
      <x:c r="J746" t="e">
        <x:f>IF($A746="","",[1]!thsiFinD("ths_adjustment_nv_fund",J$3,$A746))</x:f>
        <x:v>#NAME?</x:v>
      </x:c>
      <x:c r="K746" t="e">
        <x:f>IF($A746="","",[1]!thsiFinD("ths_adjustment_nv_fund",K$3,$A746))</x:f>
        <x:v>#NAME?</x:v>
      </x:c>
      <x:c r="L746" t="e">
        <x:f>IF($A746="","",[1]!thsiFinD("ths_adjustment_nv_fund",L$3,$A746))</x:f>
        <x:v>#NAME?</x:v>
      </x:c>
      <x:c r="M746" t="e">
        <x:f>IF($A746="","",[1]!thsiFinD("ths_adjustment_nv_fund",M$3,$A746))</x:f>
        <x:v>#NAME?</x:v>
      </x:c>
      <x:c r="N746" t="e">
        <x:f>IF($A746="","",[1]!thsiFinD("ths_adjustment_nv_fund",N$3,$A746))</x:f>
        <x:v>#NAME?</x:v>
      </x:c>
      <x:c r="O746" t="e">
        <x:f>IF($A746="","",[1]!thsiFinD("ths_adjustment_nv_fund",O$3,$A746))</x:f>
        <x:v>#NAME?</x:v>
      </x:c>
      <x:c r="P746" t="e">
        <x:f>IF($A746="","",[1]!thsiFinD("ths_adjustment_nv_fund",P$3,$A746))</x:f>
        <x:v>#NAME?</x:v>
      </x:c>
      <x:c r="Q746" t="e">
        <x:f>IF($A746="","",[1]!thsiFinD("ths_adjustment_nv_fund",Q$3,$A746))</x:f>
        <x:v>#NAME?</x:v>
      </x:c>
      <x:c r="R746" t="e">
        <x:f>IF($A746="","",[1]!thsiFinD("ths_adjustment_nv_fund",R$3,$A746))</x:f>
        <x:v>#NAME?</x:v>
      </x:c>
      <x:c r="S746" t="e">
        <x:f>IF($A746="","",[1]!thsiFinD("ths_adjustment_nv_fund",S$3,$A746))</x:f>
        <x:v>#NAME?</x:v>
      </x:c>
      <x:c r="T746" t="e">
        <x:f>IF($A746="","",[1]!thsiFinD("ths_adjustment_nv_fund",T$3,$A746))</x:f>
        <x:v>#NAME?</x:v>
      </x:c>
      <x:c r="U746" t="e">
        <x:f>IF($A746="","",[1]!thsiFinD("ths_adjustment_nv_fund",U$3,$A746))</x:f>
        <x:v>#NAME?</x:v>
      </x:c>
      <x:c r="V746" t="e">
        <x:f>IF($A746="","",[1]!thsiFinD("ths_adjustment_nv_fund",V$3,$A746))</x:f>
        <x:v>#NAME?</x:v>
      </x:c>
      <x:c r="W746" t="e">
        <x:f>IF($A746="","",[1]!thsiFinD("ths_adjustment_nv_fund",W$3,$A746))</x:f>
        <x:v>#NAME?</x:v>
      </x:c>
      <x:c r="X746" t="e">
        <x:f>IF($A746="","",[1]!thsiFinD("ths_adjustment_nv_fund",X$3,$A746))</x:f>
        <x:v>#NAME?</x:v>
      </x:c>
      <x:c r="Y746" t="e">
        <x:f>IF($A746="","",[1]!thsiFinD("ths_adjustment_nv_fund",Y$3,$A746))</x:f>
        <x:v>#NAME?</x:v>
      </x:c>
    </x:row>
    <x:row r="747">
      <x:c r="B747" t="e">
        <x:f>IF($A747="","",[1]!thsiFinD("ths_adjustment_nv_fund",B$3,$A747))</x:f>
        <x:v>#NAME?</x:v>
      </x:c>
      <x:c r="C747" t="e">
        <x:f>IF($A747="","",[1]!thsiFinD("ths_adjustment_nv_fund",C$3,$A747))</x:f>
        <x:v>#NAME?</x:v>
      </x:c>
      <x:c r="D747" t="e">
        <x:f>IF($A747="","",[1]!thsiFinD("ths_adjustment_nv_fund",D$3,$A747))</x:f>
        <x:v>#NAME?</x:v>
      </x:c>
      <x:c r="E747" t="e">
        <x:f>IF($A747="","",[1]!thsiFinD("ths_adjustment_nv_fund",E$3,$A747))</x:f>
        <x:v>#NAME?</x:v>
      </x:c>
      <x:c r="F747" t="e">
        <x:f>IF($A747="","",[1]!thsiFinD("ths_adjustment_nv_fund",F$3,$A747))</x:f>
        <x:v>#NAME?</x:v>
      </x:c>
      <x:c r="G747" t="e">
        <x:f>IF($A747="","",[1]!thsiFinD("ths_adjustment_nv_fund",G$3,$A747))</x:f>
        <x:v>#NAME?</x:v>
      </x:c>
      <x:c r="H747" t="e">
        <x:f>IF($A747="","",[1]!thsiFinD("ths_adjustment_nv_fund",H$3,$A747))</x:f>
        <x:v>#NAME?</x:v>
      </x:c>
      <x:c r="I747" t="e">
        <x:f>IF($A747="","",[1]!thsiFinD("ths_adjustment_nv_fund",I$3,$A747))</x:f>
        <x:v>#NAME?</x:v>
      </x:c>
      <x:c r="J747" t="e">
        <x:f>IF($A747="","",[1]!thsiFinD("ths_adjustment_nv_fund",J$3,$A747))</x:f>
        <x:v>#NAME?</x:v>
      </x:c>
      <x:c r="K747" t="e">
        <x:f>IF($A747="","",[1]!thsiFinD("ths_adjustment_nv_fund",K$3,$A747))</x:f>
        <x:v>#NAME?</x:v>
      </x:c>
      <x:c r="L747" t="e">
        <x:f>IF($A747="","",[1]!thsiFinD("ths_adjustment_nv_fund",L$3,$A747))</x:f>
        <x:v>#NAME?</x:v>
      </x:c>
      <x:c r="M747" t="e">
        <x:f>IF($A747="","",[1]!thsiFinD("ths_adjustment_nv_fund",M$3,$A747))</x:f>
        <x:v>#NAME?</x:v>
      </x:c>
      <x:c r="N747" t="e">
        <x:f>IF($A747="","",[1]!thsiFinD("ths_adjustment_nv_fund",N$3,$A747))</x:f>
        <x:v>#NAME?</x:v>
      </x:c>
      <x:c r="O747" t="e">
        <x:f>IF($A747="","",[1]!thsiFinD("ths_adjustment_nv_fund",O$3,$A747))</x:f>
        <x:v>#NAME?</x:v>
      </x:c>
      <x:c r="P747" t="e">
        <x:f>IF($A747="","",[1]!thsiFinD("ths_adjustment_nv_fund",P$3,$A747))</x:f>
        <x:v>#NAME?</x:v>
      </x:c>
      <x:c r="Q747" t="e">
        <x:f>IF($A747="","",[1]!thsiFinD("ths_adjustment_nv_fund",Q$3,$A747))</x:f>
        <x:v>#NAME?</x:v>
      </x:c>
      <x:c r="R747" t="e">
        <x:f>IF($A747="","",[1]!thsiFinD("ths_adjustment_nv_fund",R$3,$A747))</x:f>
        <x:v>#NAME?</x:v>
      </x:c>
      <x:c r="S747" t="e">
        <x:f>IF($A747="","",[1]!thsiFinD("ths_adjustment_nv_fund",S$3,$A747))</x:f>
        <x:v>#NAME?</x:v>
      </x:c>
      <x:c r="T747" t="e">
        <x:f>IF($A747="","",[1]!thsiFinD("ths_adjustment_nv_fund",T$3,$A747))</x:f>
        <x:v>#NAME?</x:v>
      </x:c>
      <x:c r="U747" t="e">
        <x:f>IF($A747="","",[1]!thsiFinD("ths_adjustment_nv_fund",U$3,$A747))</x:f>
        <x:v>#NAME?</x:v>
      </x:c>
      <x:c r="V747" t="e">
        <x:f>IF($A747="","",[1]!thsiFinD("ths_adjustment_nv_fund",V$3,$A747))</x:f>
        <x:v>#NAME?</x:v>
      </x:c>
      <x:c r="W747" t="e">
        <x:f>IF($A747="","",[1]!thsiFinD("ths_adjustment_nv_fund",W$3,$A747))</x:f>
        <x:v>#NAME?</x:v>
      </x:c>
      <x:c r="X747" t="e">
        <x:f>IF($A747="","",[1]!thsiFinD("ths_adjustment_nv_fund",X$3,$A747))</x:f>
        <x:v>#NAME?</x:v>
      </x:c>
      <x:c r="Y747" t="e">
        <x:f>IF($A747="","",[1]!thsiFinD("ths_adjustment_nv_fund",Y$3,$A747))</x:f>
        <x:v>#NAME?</x:v>
      </x:c>
    </x:row>
    <x:row r="748">
      <x:c r="B748" t="e">
        <x:f>IF($A748="","",[1]!thsiFinD("ths_adjustment_nv_fund",B$3,$A748))</x:f>
        <x:v>#NAME?</x:v>
      </x:c>
      <x:c r="C748" t="e">
        <x:f>IF($A748="","",[1]!thsiFinD("ths_adjustment_nv_fund",C$3,$A748))</x:f>
        <x:v>#NAME?</x:v>
      </x:c>
      <x:c r="D748" t="e">
        <x:f>IF($A748="","",[1]!thsiFinD("ths_adjustment_nv_fund",D$3,$A748))</x:f>
        <x:v>#NAME?</x:v>
      </x:c>
      <x:c r="E748" t="e">
        <x:f>IF($A748="","",[1]!thsiFinD("ths_adjustment_nv_fund",E$3,$A748))</x:f>
        <x:v>#NAME?</x:v>
      </x:c>
      <x:c r="F748" t="e">
        <x:f>IF($A748="","",[1]!thsiFinD("ths_adjustment_nv_fund",F$3,$A748))</x:f>
        <x:v>#NAME?</x:v>
      </x:c>
      <x:c r="G748" t="e">
        <x:f>IF($A748="","",[1]!thsiFinD("ths_adjustment_nv_fund",G$3,$A748))</x:f>
        <x:v>#NAME?</x:v>
      </x:c>
      <x:c r="H748" t="e">
        <x:f>IF($A748="","",[1]!thsiFinD("ths_adjustment_nv_fund",H$3,$A748))</x:f>
        <x:v>#NAME?</x:v>
      </x:c>
      <x:c r="I748" t="e">
        <x:f>IF($A748="","",[1]!thsiFinD("ths_adjustment_nv_fund",I$3,$A748))</x:f>
        <x:v>#NAME?</x:v>
      </x:c>
      <x:c r="J748" t="e">
        <x:f>IF($A748="","",[1]!thsiFinD("ths_adjustment_nv_fund",J$3,$A748))</x:f>
        <x:v>#NAME?</x:v>
      </x:c>
      <x:c r="K748" t="e">
        <x:f>IF($A748="","",[1]!thsiFinD("ths_adjustment_nv_fund",K$3,$A748))</x:f>
        <x:v>#NAME?</x:v>
      </x:c>
      <x:c r="L748" t="e">
        <x:f>IF($A748="","",[1]!thsiFinD("ths_adjustment_nv_fund",L$3,$A748))</x:f>
        <x:v>#NAME?</x:v>
      </x:c>
      <x:c r="M748" t="e">
        <x:f>IF($A748="","",[1]!thsiFinD("ths_adjustment_nv_fund",M$3,$A748))</x:f>
        <x:v>#NAME?</x:v>
      </x:c>
      <x:c r="N748" t="e">
        <x:f>IF($A748="","",[1]!thsiFinD("ths_adjustment_nv_fund",N$3,$A748))</x:f>
        <x:v>#NAME?</x:v>
      </x:c>
      <x:c r="O748" t="e">
        <x:f>IF($A748="","",[1]!thsiFinD("ths_adjustment_nv_fund",O$3,$A748))</x:f>
        <x:v>#NAME?</x:v>
      </x:c>
      <x:c r="P748" t="e">
        <x:f>IF($A748="","",[1]!thsiFinD("ths_adjustment_nv_fund",P$3,$A748))</x:f>
        <x:v>#NAME?</x:v>
      </x:c>
      <x:c r="Q748" t="e">
        <x:f>IF($A748="","",[1]!thsiFinD("ths_adjustment_nv_fund",Q$3,$A748))</x:f>
        <x:v>#NAME?</x:v>
      </x:c>
      <x:c r="R748" t="e">
        <x:f>IF($A748="","",[1]!thsiFinD("ths_adjustment_nv_fund",R$3,$A748))</x:f>
        <x:v>#NAME?</x:v>
      </x:c>
      <x:c r="S748" t="e">
        <x:f>IF($A748="","",[1]!thsiFinD("ths_adjustment_nv_fund",S$3,$A748))</x:f>
        <x:v>#NAME?</x:v>
      </x:c>
      <x:c r="T748" t="e">
        <x:f>IF($A748="","",[1]!thsiFinD("ths_adjustment_nv_fund",T$3,$A748))</x:f>
        <x:v>#NAME?</x:v>
      </x:c>
      <x:c r="U748" t="e">
        <x:f>IF($A748="","",[1]!thsiFinD("ths_adjustment_nv_fund",U$3,$A748))</x:f>
        <x:v>#NAME?</x:v>
      </x:c>
      <x:c r="V748" t="e">
        <x:f>IF($A748="","",[1]!thsiFinD("ths_adjustment_nv_fund",V$3,$A748))</x:f>
        <x:v>#NAME?</x:v>
      </x:c>
      <x:c r="W748" t="e">
        <x:f>IF($A748="","",[1]!thsiFinD("ths_adjustment_nv_fund",W$3,$A748))</x:f>
        <x:v>#NAME?</x:v>
      </x:c>
      <x:c r="X748" t="e">
        <x:f>IF($A748="","",[1]!thsiFinD("ths_adjustment_nv_fund",X$3,$A748))</x:f>
        <x:v>#NAME?</x:v>
      </x:c>
      <x:c r="Y748" t="e">
        <x:f>IF($A748="","",[1]!thsiFinD("ths_adjustment_nv_fund",Y$3,$A748))</x:f>
        <x:v>#NAME?</x:v>
      </x:c>
    </x:row>
    <x:row r="749">
      <x:c r="B749" t="e">
        <x:f>IF($A749="","",[1]!thsiFinD("ths_adjustment_nv_fund",B$3,$A749))</x:f>
        <x:v>#NAME?</x:v>
      </x:c>
      <x:c r="C749" t="e">
        <x:f>IF($A749="","",[1]!thsiFinD("ths_adjustment_nv_fund",C$3,$A749))</x:f>
        <x:v>#NAME?</x:v>
      </x:c>
      <x:c r="D749" t="e">
        <x:f>IF($A749="","",[1]!thsiFinD("ths_adjustment_nv_fund",D$3,$A749))</x:f>
        <x:v>#NAME?</x:v>
      </x:c>
      <x:c r="E749" t="e">
        <x:f>IF($A749="","",[1]!thsiFinD("ths_adjustment_nv_fund",E$3,$A749))</x:f>
        <x:v>#NAME?</x:v>
      </x:c>
      <x:c r="F749" t="e">
        <x:f>IF($A749="","",[1]!thsiFinD("ths_adjustment_nv_fund",F$3,$A749))</x:f>
        <x:v>#NAME?</x:v>
      </x:c>
      <x:c r="G749" t="e">
        <x:f>IF($A749="","",[1]!thsiFinD("ths_adjustment_nv_fund",G$3,$A749))</x:f>
        <x:v>#NAME?</x:v>
      </x:c>
      <x:c r="H749" t="e">
        <x:f>IF($A749="","",[1]!thsiFinD("ths_adjustment_nv_fund",H$3,$A749))</x:f>
        <x:v>#NAME?</x:v>
      </x:c>
      <x:c r="I749" t="e">
        <x:f>IF($A749="","",[1]!thsiFinD("ths_adjustment_nv_fund",I$3,$A749))</x:f>
        <x:v>#NAME?</x:v>
      </x:c>
      <x:c r="J749" t="e">
        <x:f>IF($A749="","",[1]!thsiFinD("ths_adjustment_nv_fund",J$3,$A749))</x:f>
        <x:v>#NAME?</x:v>
      </x:c>
      <x:c r="K749" t="e">
        <x:f>IF($A749="","",[1]!thsiFinD("ths_adjustment_nv_fund",K$3,$A749))</x:f>
        <x:v>#NAME?</x:v>
      </x:c>
      <x:c r="L749" t="e">
        <x:f>IF($A749="","",[1]!thsiFinD("ths_adjustment_nv_fund",L$3,$A749))</x:f>
        <x:v>#NAME?</x:v>
      </x:c>
      <x:c r="M749" t="e">
        <x:f>IF($A749="","",[1]!thsiFinD("ths_adjustment_nv_fund",M$3,$A749))</x:f>
        <x:v>#NAME?</x:v>
      </x:c>
      <x:c r="N749" t="e">
        <x:f>IF($A749="","",[1]!thsiFinD("ths_adjustment_nv_fund",N$3,$A749))</x:f>
        <x:v>#NAME?</x:v>
      </x:c>
      <x:c r="O749" t="e">
        <x:f>IF($A749="","",[1]!thsiFinD("ths_adjustment_nv_fund",O$3,$A749))</x:f>
        <x:v>#NAME?</x:v>
      </x:c>
      <x:c r="P749" t="e">
        <x:f>IF($A749="","",[1]!thsiFinD("ths_adjustment_nv_fund",P$3,$A749))</x:f>
        <x:v>#NAME?</x:v>
      </x:c>
      <x:c r="Q749" t="e">
        <x:f>IF($A749="","",[1]!thsiFinD("ths_adjustment_nv_fund",Q$3,$A749))</x:f>
        <x:v>#NAME?</x:v>
      </x:c>
      <x:c r="R749" t="e">
        <x:f>IF($A749="","",[1]!thsiFinD("ths_adjustment_nv_fund",R$3,$A749))</x:f>
        <x:v>#NAME?</x:v>
      </x:c>
      <x:c r="S749" t="e">
        <x:f>IF($A749="","",[1]!thsiFinD("ths_adjustment_nv_fund",S$3,$A749))</x:f>
        <x:v>#NAME?</x:v>
      </x:c>
      <x:c r="T749" t="e">
        <x:f>IF($A749="","",[1]!thsiFinD("ths_adjustment_nv_fund",T$3,$A749))</x:f>
        <x:v>#NAME?</x:v>
      </x:c>
      <x:c r="U749" t="e">
        <x:f>IF($A749="","",[1]!thsiFinD("ths_adjustment_nv_fund",U$3,$A749))</x:f>
        <x:v>#NAME?</x:v>
      </x:c>
      <x:c r="V749" t="e">
        <x:f>IF($A749="","",[1]!thsiFinD("ths_adjustment_nv_fund",V$3,$A749))</x:f>
        <x:v>#NAME?</x:v>
      </x:c>
      <x:c r="W749" t="e">
        <x:f>IF($A749="","",[1]!thsiFinD("ths_adjustment_nv_fund",W$3,$A749))</x:f>
        <x:v>#NAME?</x:v>
      </x:c>
      <x:c r="X749" t="e">
        <x:f>IF($A749="","",[1]!thsiFinD("ths_adjustment_nv_fund",X$3,$A749))</x:f>
        <x:v>#NAME?</x:v>
      </x:c>
      <x:c r="Y749" t="e">
        <x:f>IF($A749="","",[1]!thsiFinD("ths_adjustment_nv_fund",Y$3,$A749))</x:f>
        <x:v>#NAME?</x:v>
      </x:c>
    </x:row>
    <x:row r="750">
      <x:c r="B750" t="e">
        <x:f>IF($A750="","",[1]!thsiFinD("ths_adjustment_nv_fund",B$3,$A750))</x:f>
        <x:v>#NAME?</x:v>
      </x:c>
      <x:c r="C750" t="e">
        <x:f>IF($A750="","",[1]!thsiFinD("ths_adjustment_nv_fund",C$3,$A750))</x:f>
        <x:v>#NAME?</x:v>
      </x:c>
      <x:c r="D750" t="e">
        <x:f>IF($A750="","",[1]!thsiFinD("ths_adjustment_nv_fund",D$3,$A750))</x:f>
        <x:v>#NAME?</x:v>
      </x:c>
      <x:c r="E750" t="e">
        <x:f>IF($A750="","",[1]!thsiFinD("ths_adjustment_nv_fund",E$3,$A750))</x:f>
        <x:v>#NAME?</x:v>
      </x:c>
      <x:c r="F750" t="e">
        <x:f>IF($A750="","",[1]!thsiFinD("ths_adjustment_nv_fund",F$3,$A750))</x:f>
        <x:v>#NAME?</x:v>
      </x:c>
      <x:c r="G750" t="e">
        <x:f>IF($A750="","",[1]!thsiFinD("ths_adjustment_nv_fund",G$3,$A750))</x:f>
        <x:v>#NAME?</x:v>
      </x:c>
      <x:c r="H750" t="e">
        <x:f>IF($A750="","",[1]!thsiFinD("ths_adjustment_nv_fund",H$3,$A750))</x:f>
        <x:v>#NAME?</x:v>
      </x:c>
      <x:c r="I750" t="e">
        <x:f>IF($A750="","",[1]!thsiFinD("ths_adjustment_nv_fund",I$3,$A750))</x:f>
        <x:v>#NAME?</x:v>
      </x:c>
      <x:c r="J750" t="e">
        <x:f>IF($A750="","",[1]!thsiFinD("ths_adjustment_nv_fund",J$3,$A750))</x:f>
        <x:v>#NAME?</x:v>
      </x:c>
      <x:c r="K750" t="e">
        <x:f>IF($A750="","",[1]!thsiFinD("ths_adjustment_nv_fund",K$3,$A750))</x:f>
        <x:v>#NAME?</x:v>
      </x:c>
      <x:c r="L750" t="e">
        <x:f>IF($A750="","",[1]!thsiFinD("ths_adjustment_nv_fund",L$3,$A750))</x:f>
        <x:v>#NAME?</x:v>
      </x:c>
      <x:c r="M750" t="e">
        <x:f>IF($A750="","",[1]!thsiFinD("ths_adjustment_nv_fund",M$3,$A750))</x:f>
        <x:v>#NAME?</x:v>
      </x:c>
      <x:c r="N750" t="e">
        <x:f>IF($A750="","",[1]!thsiFinD("ths_adjustment_nv_fund",N$3,$A750))</x:f>
        <x:v>#NAME?</x:v>
      </x:c>
      <x:c r="O750" t="e">
        <x:f>IF($A750="","",[1]!thsiFinD("ths_adjustment_nv_fund",O$3,$A750))</x:f>
        <x:v>#NAME?</x:v>
      </x:c>
      <x:c r="P750" t="e">
        <x:f>IF($A750="","",[1]!thsiFinD("ths_adjustment_nv_fund",P$3,$A750))</x:f>
        <x:v>#NAME?</x:v>
      </x:c>
      <x:c r="Q750" t="e">
        <x:f>IF($A750="","",[1]!thsiFinD("ths_adjustment_nv_fund",Q$3,$A750))</x:f>
        <x:v>#NAME?</x:v>
      </x:c>
      <x:c r="R750" t="e">
        <x:f>IF($A750="","",[1]!thsiFinD("ths_adjustment_nv_fund",R$3,$A750))</x:f>
        <x:v>#NAME?</x:v>
      </x:c>
      <x:c r="S750" t="e">
        <x:f>IF($A750="","",[1]!thsiFinD("ths_adjustment_nv_fund",S$3,$A750))</x:f>
        <x:v>#NAME?</x:v>
      </x:c>
      <x:c r="T750" t="e">
        <x:f>IF($A750="","",[1]!thsiFinD("ths_adjustment_nv_fund",T$3,$A750))</x:f>
        <x:v>#NAME?</x:v>
      </x:c>
      <x:c r="U750" t="e">
        <x:f>IF($A750="","",[1]!thsiFinD("ths_adjustment_nv_fund",U$3,$A750))</x:f>
        <x:v>#NAME?</x:v>
      </x:c>
      <x:c r="V750" t="e">
        <x:f>IF($A750="","",[1]!thsiFinD("ths_adjustment_nv_fund",V$3,$A750))</x:f>
        <x:v>#NAME?</x:v>
      </x:c>
      <x:c r="W750" t="e">
        <x:f>IF($A750="","",[1]!thsiFinD("ths_adjustment_nv_fund",W$3,$A750))</x:f>
        <x:v>#NAME?</x:v>
      </x:c>
      <x:c r="X750" t="e">
        <x:f>IF($A750="","",[1]!thsiFinD("ths_adjustment_nv_fund",X$3,$A750))</x:f>
        <x:v>#NAME?</x:v>
      </x:c>
      <x:c r="Y750" t="e">
        <x:f>IF($A750="","",[1]!thsiFinD("ths_adjustment_nv_fund",Y$3,$A750))</x:f>
        <x:v>#NAME?</x:v>
      </x:c>
    </x:row>
    <x:row r="751">
      <x:c r="B751" t="e">
        <x:f>IF($A751="","",[1]!thsiFinD("ths_adjustment_nv_fund",B$3,$A751))</x:f>
        <x:v>#NAME?</x:v>
      </x:c>
      <x:c r="C751" t="e">
        <x:f>IF($A751="","",[1]!thsiFinD("ths_adjustment_nv_fund",C$3,$A751))</x:f>
        <x:v>#NAME?</x:v>
      </x:c>
      <x:c r="D751" t="e">
        <x:f>IF($A751="","",[1]!thsiFinD("ths_adjustment_nv_fund",D$3,$A751))</x:f>
        <x:v>#NAME?</x:v>
      </x:c>
      <x:c r="E751" t="e">
        <x:f>IF($A751="","",[1]!thsiFinD("ths_adjustment_nv_fund",E$3,$A751))</x:f>
        <x:v>#NAME?</x:v>
      </x:c>
      <x:c r="F751" t="e">
        <x:f>IF($A751="","",[1]!thsiFinD("ths_adjustment_nv_fund",F$3,$A751))</x:f>
        <x:v>#NAME?</x:v>
      </x:c>
      <x:c r="G751" t="e">
        <x:f>IF($A751="","",[1]!thsiFinD("ths_adjustment_nv_fund",G$3,$A751))</x:f>
        <x:v>#NAME?</x:v>
      </x:c>
      <x:c r="H751" t="e">
        <x:f>IF($A751="","",[1]!thsiFinD("ths_adjustment_nv_fund",H$3,$A751))</x:f>
        <x:v>#NAME?</x:v>
      </x:c>
      <x:c r="I751" t="e">
        <x:f>IF($A751="","",[1]!thsiFinD("ths_adjustment_nv_fund",I$3,$A751))</x:f>
        <x:v>#NAME?</x:v>
      </x:c>
      <x:c r="J751" t="e">
        <x:f>IF($A751="","",[1]!thsiFinD("ths_adjustment_nv_fund",J$3,$A751))</x:f>
        <x:v>#NAME?</x:v>
      </x:c>
      <x:c r="K751" t="e">
        <x:f>IF($A751="","",[1]!thsiFinD("ths_adjustment_nv_fund",K$3,$A751))</x:f>
        <x:v>#NAME?</x:v>
      </x:c>
      <x:c r="L751" t="e">
        <x:f>IF($A751="","",[1]!thsiFinD("ths_adjustment_nv_fund",L$3,$A751))</x:f>
        <x:v>#NAME?</x:v>
      </x:c>
      <x:c r="M751" t="e">
        <x:f>IF($A751="","",[1]!thsiFinD("ths_adjustment_nv_fund",M$3,$A751))</x:f>
        <x:v>#NAME?</x:v>
      </x:c>
      <x:c r="N751" t="e">
        <x:f>IF($A751="","",[1]!thsiFinD("ths_adjustment_nv_fund",N$3,$A751))</x:f>
        <x:v>#NAME?</x:v>
      </x:c>
      <x:c r="O751" t="e">
        <x:f>IF($A751="","",[1]!thsiFinD("ths_adjustment_nv_fund",O$3,$A751))</x:f>
        <x:v>#NAME?</x:v>
      </x:c>
      <x:c r="P751" t="e">
        <x:f>IF($A751="","",[1]!thsiFinD("ths_adjustment_nv_fund",P$3,$A751))</x:f>
        <x:v>#NAME?</x:v>
      </x:c>
      <x:c r="Q751" t="e">
        <x:f>IF($A751="","",[1]!thsiFinD("ths_adjustment_nv_fund",Q$3,$A751))</x:f>
        <x:v>#NAME?</x:v>
      </x:c>
      <x:c r="R751" t="e">
        <x:f>IF($A751="","",[1]!thsiFinD("ths_adjustment_nv_fund",R$3,$A751))</x:f>
        <x:v>#NAME?</x:v>
      </x:c>
      <x:c r="S751" t="e">
        <x:f>IF($A751="","",[1]!thsiFinD("ths_adjustment_nv_fund",S$3,$A751))</x:f>
        <x:v>#NAME?</x:v>
      </x:c>
      <x:c r="T751" t="e">
        <x:f>IF($A751="","",[1]!thsiFinD("ths_adjustment_nv_fund",T$3,$A751))</x:f>
        <x:v>#NAME?</x:v>
      </x:c>
      <x:c r="U751" t="e">
        <x:f>IF($A751="","",[1]!thsiFinD("ths_adjustment_nv_fund",U$3,$A751))</x:f>
        <x:v>#NAME?</x:v>
      </x:c>
      <x:c r="V751" t="e">
        <x:f>IF($A751="","",[1]!thsiFinD("ths_adjustment_nv_fund",V$3,$A751))</x:f>
        <x:v>#NAME?</x:v>
      </x:c>
      <x:c r="W751" t="e">
        <x:f>IF($A751="","",[1]!thsiFinD("ths_adjustment_nv_fund",W$3,$A751))</x:f>
        <x:v>#NAME?</x:v>
      </x:c>
      <x:c r="X751" t="e">
        <x:f>IF($A751="","",[1]!thsiFinD("ths_adjustment_nv_fund",X$3,$A751))</x:f>
        <x:v>#NAME?</x:v>
      </x:c>
      <x:c r="Y751" t="e">
        <x:f>IF($A751="","",[1]!thsiFinD("ths_adjustment_nv_fund",Y$3,$A751))</x:f>
        <x:v>#NAME?</x:v>
      </x:c>
    </x:row>
    <x:row r="752">
      <x:c r="B752" t="e">
        <x:f>IF($A752="","",[1]!thsiFinD("ths_adjustment_nv_fund",B$3,$A752))</x:f>
        <x:v>#NAME?</x:v>
      </x:c>
      <x:c r="C752" t="e">
        <x:f>IF($A752="","",[1]!thsiFinD("ths_adjustment_nv_fund",C$3,$A752))</x:f>
        <x:v>#NAME?</x:v>
      </x:c>
      <x:c r="D752" t="e">
        <x:f>IF($A752="","",[1]!thsiFinD("ths_adjustment_nv_fund",D$3,$A752))</x:f>
        <x:v>#NAME?</x:v>
      </x:c>
      <x:c r="E752" t="e">
        <x:f>IF($A752="","",[1]!thsiFinD("ths_adjustment_nv_fund",E$3,$A752))</x:f>
        <x:v>#NAME?</x:v>
      </x:c>
      <x:c r="F752" t="e">
        <x:f>IF($A752="","",[1]!thsiFinD("ths_adjustment_nv_fund",F$3,$A752))</x:f>
        <x:v>#NAME?</x:v>
      </x:c>
      <x:c r="G752" t="e">
        <x:f>IF($A752="","",[1]!thsiFinD("ths_adjustment_nv_fund",G$3,$A752))</x:f>
        <x:v>#NAME?</x:v>
      </x:c>
      <x:c r="H752" t="e">
        <x:f>IF($A752="","",[1]!thsiFinD("ths_adjustment_nv_fund",H$3,$A752))</x:f>
        <x:v>#NAME?</x:v>
      </x:c>
      <x:c r="I752" t="e">
        <x:f>IF($A752="","",[1]!thsiFinD("ths_adjustment_nv_fund",I$3,$A752))</x:f>
        <x:v>#NAME?</x:v>
      </x:c>
      <x:c r="J752" t="e">
        <x:f>IF($A752="","",[1]!thsiFinD("ths_adjustment_nv_fund",J$3,$A752))</x:f>
        <x:v>#NAME?</x:v>
      </x:c>
      <x:c r="K752" t="e">
        <x:f>IF($A752="","",[1]!thsiFinD("ths_adjustment_nv_fund",K$3,$A752))</x:f>
        <x:v>#NAME?</x:v>
      </x:c>
      <x:c r="L752" t="e">
        <x:f>IF($A752="","",[1]!thsiFinD("ths_adjustment_nv_fund",L$3,$A752))</x:f>
        <x:v>#NAME?</x:v>
      </x:c>
      <x:c r="M752" t="e">
        <x:f>IF($A752="","",[1]!thsiFinD("ths_adjustment_nv_fund",M$3,$A752))</x:f>
        <x:v>#NAME?</x:v>
      </x:c>
      <x:c r="N752" t="e">
        <x:f>IF($A752="","",[1]!thsiFinD("ths_adjustment_nv_fund",N$3,$A752))</x:f>
        <x:v>#NAME?</x:v>
      </x:c>
      <x:c r="O752" t="e">
        <x:f>IF($A752="","",[1]!thsiFinD("ths_adjustment_nv_fund",O$3,$A752))</x:f>
        <x:v>#NAME?</x:v>
      </x:c>
      <x:c r="P752" t="e">
        <x:f>IF($A752="","",[1]!thsiFinD("ths_adjustment_nv_fund",P$3,$A752))</x:f>
        <x:v>#NAME?</x:v>
      </x:c>
      <x:c r="Q752" t="e">
        <x:f>IF($A752="","",[1]!thsiFinD("ths_adjustment_nv_fund",Q$3,$A752))</x:f>
        <x:v>#NAME?</x:v>
      </x:c>
      <x:c r="R752" t="e">
        <x:f>IF($A752="","",[1]!thsiFinD("ths_adjustment_nv_fund",R$3,$A752))</x:f>
        <x:v>#NAME?</x:v>
      </x:c>
      <x:c r="S752" t="e">
        <x:f>IF($A752="","",[1]!thsiFinD("ths_adjustment_nv_fund",S$3,$A752))</x:f>
        <x:v>#NAME?</x:v>
      </x:c>
      <x:c r="T752" t="e">
        <x:f>IF($A752="","",[1]!thsiFinD("ths_adjustment_nv_fund",T$3,$A752))</x:f>
        <x:v>#NAME?</x:v>
      </x:c>
      <x:c r="U752" t="e">
        <x:f>IF($A752="","",[1]!thsiFinD("ths_adjustment_nv_fund",U$3,$A752))</x:f>
        <x:v>#NAME?</x:v>
      </x:c>
      <x:c r="V752" t="e">
        <x:f>IF($A752="","",[1]!thsiFinD("ths_adjustment_nv_fund",V$3,$A752))</x:f>
        <x:v>#NAME?</x:v>
      </x:c>
      <x:c r="W752" t="e">
        <x:f>IF($A752="","",[1]!thsiFinD("ths_adjustment_nv_fund",W$3,$A752))</x:f>
        <x:v>#NAME?</x:v>
      </x:c>
      <x:c r="X752" t="e">
        <x:f>IF($A752="","",[1]!thsiFinD("ths_adjustment_nv_fund",X$3,$A752))</x:f>
        <x:v>#NAME?</x:v>
      </x:c>
      <x:c r="Y752" t="e">
        <x:f>IF($A752="","",[1]!thsiFinD("ths_adjustment_nv_fund",Y$3,$A752))</x:f>
        <x:v>#NAME?</x:v>
      </x:c>
    </x:row>
    <x:row r="753">
      <x:c r="B753" t="e">
        <x:f>IF($A753="","",[1]!thsiFinD("ths_adjustment_nv_fund",B$3,$A753))</x:f>
        <x:v>#NAME?</x:v>
      </x:c>
      <x:c r="C753" t="e">
        <x:f>IF($A753="","",[1]!thsiFinD("ths_adjustment_nv_fund",C$3,$A753))</x:f>
        <x:v>#NAME?</x:v>
      </x:c>
      <x:c r="D753" t="e">
        <x:f>IF($A753="","",[1]!thsiFinD("ths_adjustment_nv_fund",D$3,$A753))</x:f>
        <x:v>#NAME?</x:v>
      </x:c>
      <x:c r="E753" t="e">
        <x:f>IF($A753="","",[1]!thsiFinD("ths_adjustment_nv_fund",E$3,$A753))</x:f>
        <x:v>#NAME?</x:v>
      </x:c>
      <x:c r="F753" t="e">
        <x:f>IF($A753="","",[1]!thsiFinD("ths_adjustment_nv_fund",F$3,$A753))</x:f>
        <x:v>#NAME?</x:v>
      </x:c>
      <x:c r="G753" t="e">
        <x:f>IF($A753="","",[1]!thsiFinD("ths_adjustment_nv_fund",G$3,$A753))</x:f>
        <x:v>#NAME?</x:v>
      </x:c>
      <x:c r="H753" t="e">
        <x:f>IF($A753="","",[1]!thsiFinD("ths_adjustment_nv_fund",H$3,$A753))</x:f>
        <x:v>#NAME?</x:v>
      </x:c>
      <x:c r="I753" t="e">
        <x:f>IF($A753="","",[1]!thsiFinD("ths_adjustment_nv_fund",I$3,$A753))</x:f>
        <x:v>#NAME?</x:v>
      </x:c>
      <x:c r="J753" t="e">
        <x:f>IF($A753="","",[1]!thsiFinD("ths_adjustment_nv_fund",J$3,$A753))</x:f>
        <x:v>#NAME?</x:v>
      </x:c>
      <x:c r="K753" t="e">
        <x:f>IF($A753="","",[1]!thsiFinD("ths_adjustment_nv_fund",K$3,$A753))</x:f>
        <x:v>#NAME?</x:v>
      </x:c>
      <x:c r="L753" t="e">
        <x:f>IF($A753="","",[1]!thsiFinD("ths_adjustment_nv_fund",L$3,$A753))</x:f>
        <x:v>#NAME?</x:v>
      </x:c>
      <x:c r="M753" t="e">
        <x:f>IF($A753="","",[1]!thsiFinD("ths_adjustment_nv_fund",M$3,$A753))</x:f>
        <x:v>#NAME?</x:v>
      </x:c>
      <x:c r="N753" t="e">
        <x:f>IF($A753="","",[1]!thsiFinD("ths_adjustment_nv_fund",N$3,$A753))</x:f>
        <x:v>#NAME?</x:v>
      </x:c>
      <x:c r="O753" t="e">
        <x:f>IF($A753="","",[1]!thsiFinD("ths_adjustment_nv_fund",O$3,$A753))</x:f>
        <x:v>#NAME?</x:v>
      </x:c>
      <x:c r="P753" t="e">
        <x:f>IF($A753="","",[1]!thsiFinD("ths_adjustment_nv_fund",P$3,$A753))</x:f>
        <x:v>#NAME?</x:v>
      </x:c>
      <x:c r="Q753" t="e">
        <x:f>IF($A753="","",[1]!thsiFinD("ths_adjustment_nv_fund",Q$3,$A753))</x:f>
        <x:v>#NAME?</x:v>
      </x:c>
      <x:c r="R753" t="e">
        <x:f>IF($A753="","",[1]!thsiFinD("ths_adjustment_nv_fund",R$3,$A753))</x:f>
        <x:v>#NAME?</x:v>
      </x:c>
      <x:c r="S753" t="e">
        <x:f>IF($A753="","",[1]!thsiFinD("ths_adjustment_nv_fund",S$3,$A753))</x:f>
        <x:v>#NAME?</x:v>
      </x:c>
      <x:c r="T753" t="e">
        <x:f>IF($A753="","",[1]!thsiFinD("ths_adjustment_nv_fund",T$3,$A753))</x:f>
        <x:v>#NAME?</x:v>
      </x:c>
      <x:c r="U753" t="e">
        <x:f>IF($A753="","",[1]!thsiFinD("ths_adjustment_nv_fund",U$3,$A753))</x:f>
        <x:v>#NAME?</x:v>
      </x:c>
      <x:c r="V753" t="e">
        <x:f>IF($A753="","",[1]!thsiFinD("ths_adjustment_nv_fund",V$3,$A753))</x:f>
        <x:v>#NAME?</x:v>
      </x:c>
      <x:c r="W753" t="e">
        <x:f>IF($A753="","",[1]!thsiFinD("ths_adjustment_nv_fund",W$3,$A753))</x:f>
        <x:v>#NAME?</x:v>
      </x:c>
      <x:c r="X753" t="e">
        <x:f>IF($A753="","",[1]!thsiFinD("ths_adjustment_nv_fund",X$3,$A753))</x:f>
        <x:v>#NAME?</x:v>
      </x:c>
      <x:c r="Y753" t="e">
        <x:f>IF($A753="","",[1]!thsiFinD("ths_adjustment_nv_fund",Y$3,$A753))</x:f>
        <x:v>#NAME?</x:v>
      </x:c>
    </x:row>
    <x:row r="754">
      <x:c r="B754" t="e">
        <x:f>IF($A754="","",[1]!thsiFinD("ths_adjustment_nv_fund",B$3,$A754))</x:f>
        <x:v>#NAME?</x:v>
      </x:c>
      <x:c r="C754" t="e">
        <x:f>IF($A754="","",[1]!thsiFinD("ths_adjustment_nv_fund",C$3,$A754))</x:f>
        <x:v>#NAME?</x:v>
      </x:c>
      <x:c r="D754" t="e">
        <x:f>IF($A754="","",[1]!thsiFinD("ths_adjustment_nv_fund",D$3,$A754))</x:f>
        <x:v>#NAME?</x:v>
      </x:c>
      <x:c r="E754" t="e">
        <x:f>IF($A754="","",[1]!thsiFinD("ths_adjustment_nv_fund",E$3,$A754))</x:f>
        <x:v>#NAME?</x:v>
      </x:c>
      <x:c r="F754" t="e">
        <x:f>IF($A754="","",[1]!thsiFinD("ths_adjustment_nv_fund",F$3,$A754))</x:f>
        <x:v>#NAME?</x:v>
      </x:c>
      <x:c r="G754" t="e">
        <x:f>IF($A754="","",[1]!thsiFinD("ths_adjustment_nv_fund",G$3,$A754))</x:f>
        <x:v>#NAME?</x:v>
      </x:c>
      <x:c r="H754" t="e">
        <x:f>IF($A754="","",[1]!thsiFinD("ths_adjustment_nv_fund",H$3,$A754))</x:f>
        <x:v>#NAME?</x:v>
      </x:c>
      <x:c r="I754" t="e">
        <x:f>IF($A754="","",[1]!thsiFinD("ths_adjustment_nv_fund",I$3,$A754))</x:f>
        <x:v>#NAME?</x:v>
      </x:c>
      <x:c r="J754" t="e">
        <x:f>IF($A754="","",[1]!thsiFinD("ths_adjustment_nv_fund",J$3,$A754))</x:f>
        <x:v>#NAME?</x:v>
      </x:c>
      <x:c r="K754" t="e">
        <x:f>IF($A754="","",[1]!thsiFinD("ths_adjustment_nv_fund",K$3,$A754))</x:f>
        <x:v>#NAME?</x:v>
      </x:c>
      <x:c r="L754" t="e">
        <x:f>IF($A754="","",[1]!thsiFinD("ths_adjustment_nv_fund",L$3,$A754))</x:f>
        <x:v>#NAME?</x:v>
      </x:c>
      <x:c r="M754" t="e">
        <x:f>IF($A754="","",[1]!thsiFinD("ths_adjustment_nv_fund",M$3,$A754))</x:f>
        <x:v>#NAME?</x:v>
      </x:c>
      <x:c r="N754" t="e">
        <x:f>IF($A754="","",[1]!thsiFinD("ths_adjustment_nv_fund",N$3,$A754))</x:f>
        <x:v>#NAME?</x:v>
      </x:c>
      <x:c r="O754" t="e">
        <x:f>IF($A754="","",[1]!thsiFinD("ths_adjustment_nv_fund",O$3,$A754))</x:f>
        <x:v>#NAME?</x:v>
      </x:c>
      <x:c r="P754" t="e">
        <x:f>IF($A754="","",[1]!thsiFinD("ths_adjustment_nv_fund",P$3,$A754))</x:f>
        <x:v>#NAME?</x:v>
      </x:c>
      <x:c r="Q754" t="e">
        <x:f>IF($A754="","",[1]!thsiFinD("ths_adjustment_nv_fund",Q$3,$A754))</x:f>
        <x:v>#NAME?</x:v>
      </x:c>
      <x:c r="R754" t="e">
        <x:f>IF($A754="","",[1]!thsiFinD("ths_adjustment_nv_fund",R$3,$A754))</x:f>
        <x:v>#NAME?</x:v>
      </x:c>
      <x:c r="S754" t="e">
        <x:f>IF($A754="","",[1]!thsiFinD("ths_adjustment_nv_fund",S$3,$A754))</x:f>
        <x:v>#NAME?</x:v>
      </x:c>
      <x:c r="T754" t="e">
        <x:f>IF($A754="","",[1]!thsiFinD("ths_adjustment_nv_fund",T$3,$A754))</x:f>
        <x:v>#NAME?</x:v>
      </x:c>
      <x:c r="U754" t="e">
        <x:f>IF($A754="","",[1]!thsiFinD("ths_adjustment_nv_fund",U$3,$A754))</x:f>
        <x:v>#NAME?</x:v>
      </x:c>
      <x:c r="V754" t="e">
        <x:f>IF($A754="","",[1]!thsiFinD("ths_adjustment_nv_fund",V$3,$A754))</x:f>
        <x:v>#NAME?</x:v>
      </x:c>
      <x:c r="W754" t="e">
        <x:f>IF($A754="","",[1]!thsiFinD("ths_adjustment_nv_fund",W$3,$A754))</x:f>
        <x:v>#NAME?</x:v>
      </x:c>
      <x:c r="X754" t="e">
        <x:f>IF($A754="","",[1]!thsiFinD("ths_adjustment_nv_fund",X$3,$A754))</x:f>
        <x:v>#NAME?</x:v>
      </x:c>
      <x:c r="Y754" t="e">
        <x:f>IF($A754="","",[1]!thsiFinD("ths_adjustment_nv_fund",Y$3,$A754))</x:f>
        <x:v>#NAME?</x:v>
      </x:c>
    </x:row>
    <x:row r="755">
      <x:c r="B755" t="e">
        <x:f>IF($A755="","",[1]!thsiFinD("ths_adjustment_nv_fund",B$3,$A755))</x:f>
        <x:v>#NAME?</x:v>
      </x:c>
      <x:c r="C755" t="e">
        <x:f>IF($A755="","",[1]!thsiFinD("ths_adjustment_nv_fund",C$3,$A755))</x:f>
        <x:v>#NAME?</x:v>
      </x:c>
      <x:c r="D755" t="e">
        <x:f>IF($A755="","",[1]!thsiFinD("ths_adjustment_nv_fund",D$3,$A755))</x:f>
        <x:v>#NAME?</x:v>
      </x:c>
      <x:c r="E755" t="e">
        <x:f>IF($A755="","",[1]!thsiFinD("ths_adjustment_nv_fund",E$3,$A755))</x:f>
        <x:v>#NAME?</x:v>
      </x:c>
      <x:c r="F755" t="e">
        <x:f>IF($A755="","",[1]!thsiFinD("ths_adjustment_nv_fund",F$3,$A755))</x:f>
        <x:v>#NAME?</x:v>
      </x:c>
      <x:c r="G755" t="e">
        <x:f>IF($A755="","",[1]!thsiFinD("ths_adjustment_nv_fund",G$3,$A755))</x:f>
        <x:v>#NAME?</x:v>
      </x:c>
      <x:c r="H755" t="e">
        <x:f>IF($A755="","",[1]!thsiFinD("ths_adjustment_nv_fund",H$3,$A755))</x:f>
        <x:v>#NAME?</x:v>
      </x:c>
      <x:c r="I755" t="e">
        <x:f>IF($A755="","",[1]!thsiFinD("ths_adjustment_nv_fund",I$3,$A755))</x:f>
        <x:v>#NAME?</x:v>
      </x:c>
      <x:c r="J755" t="e">
        <x:f>IF($A755="","",[1]!thsiFinD("ths_adjustment_nv_fund",J$3,$A755))</x:f>
        <x:v>#NAME?</x:v>
      </x:c>
      <x:c r="K755" t="e">
        <x:f>IF($A755="","",[1]!thsiFinD("ths_adjustment_nv_fund",K$3,$A755))</x:f>
        <x:v>#NAME?</x:v>
      </x:c>
      <x:c r="L755" t="e">
        <x:f>IF($A755="","",[1]!thsiFinD("ths_adjustment_nv_fund",L$3,$A755))</x:f>
        <x:v>#NAME?</x:v>
      </x:c>
      <x:c r="M755" t="e">
        <x:f>IF($A755="","",[1]!thsiFinD("ths_adjustment_nv_fund",M$3,$A755))</x:f>
        <x:v>#NAME?</x:v>
      </x:c>
      <x:c r="N755" t="e">
        <x:f>IF($A755="","",[1]!thsiFinD("ths_adjustment_nv_fund",N$3,$A755))</x:f>
        <x:v>#NAME?</x:v>
      </x:c>
      <x:c r="O755" t="e">
        <x:f>IF($A755="","",[1]!thsiFinD("ths_adjustment_nv_fund",O$3,$A755))</x:f>
        <x:v>#NAME?</x:v>
      </x:c>
      <x:c r="P755" t="e">
        <x:f>IF($A755="","",[1]!thsiFinD("ths_adjustment_nv_fund",P$3,$A755))</x:f>
        <x:v>#NAME?</x:v>
      </x:c>
      <x:c r="Q755" t="e">
        <x:f>IF($A755="","",[1]!thsiFinD("ths_adjustment_nv_fund",Q$3,$A755))</x:f>
        <x:v>#NAME?</x:v>
      </x:c>
      <x:c r="R755" t="e">
        <x:f>IF($A755="","",[1]!thsiFinD("ths_adjustment_nv_fund",R$3,$A755))</x:f>
        <x:v>#NAME?</x:v>
      </x:c>
      <x:c r="S755" t="e">
        <x:f>IF($A755="","",[1]!thsiFinD("ths_adjustment_nv_fund",S$3,$A755))</x:f>
        <x:v>#NAME?</x:v>
      </x:c>
      <x:c r="T755" t="e">
        <x:f>IF($A755="","",[1]!thsiFinD("ths_adjustment_nv_fund",T$3,$A755))</x:f>
        <x:v>#NAME?</x:v>
      </x:c>
      <x:c r="U755" t="e">
        <x:f>IF($A755="","",[1]!thsiFinD("ths_adjustment_nv_fund",U$3,$A755))</x:f>
        <x:v>#NAME?</x:v>
      </x:c>
      <x:c r="V755" t="e">
        <x:f>IF($A755="","",[1]!thsiFinD("ths_adjustment_nv_fund",V$3,$A755))</x:f>
        <x:v>#NAME?</x:v>
      </x:c>
      <x:c r="W755" t="e">
        <x:f>IF($A755="","",[1]!thsiFinD("ths_adjustment_nv_fund",W$3,$A755))</x:f>
        <x:v>#NAME?</x:v>
      </x:c>
      <x:c r="X755" t="e">
        <x:f>IF($A755="","",[1]!thsiFinD("ths_adjustment_nv_fund",X$3,$A755))</x:f>
        <x:v>#NAME?</x:v>
      </x:c>
      <x:c r="Y755" t="e">
        <x:f>IF($A755="","",[1]!thsiFinD("ths_adjustment_nv_fund",Y$3,$A755))</x:f>
        <x:v>#NAME?</x:v>
      </x:c>
    </x:row>
    <x:row r="756">
      <x:c r="B756" t="e">
        <x:f>IF($A756="","",[1]!thsiFinD("ths_adjustment_nv_fund",B$3,$A756))</x:f>
        <x:v>#NAME?</x:v>
      </x:c>
      <x:c r="C756" t="e">
        <x:f>IF($A756="","",[1]!thsiFinD("ths_adjustment_nv_fund",C$3,$A756))</x:f>
        <x:v>#NAME?</x:v>
      </x:c>
      <x:c r="D756" t="e">
        <x:f>IF($A756="","",[1]!thsiFinD("ths_adjustment_nv_fund",D$3,$A756))</x:f>
        <x:v>#NAME?</x:v>
      </x:c>
      <x:c r="E756" t="e">
        <x:f>IF($A756="","",[1]!thsiFinD("ths_adjustment_nv_fund",E$3,$A756))</x:f>
        <x:v>#NAME?</x:v>
      </x:c>
      <x:c r="F756" t="e">
        <x:f>IF($A756="","",[1]!thsiFinD("ths_adjustment_nv_fund",F$3,$A756))</x:f>
        <x:v>#NAME?</x:v>
      </x:c>
      <x:c r="G756" t="e">
        <x:f>IF($A756="","",[1]!thsiFinD("ths_adjustment_nv_fund",G$3,$A756))</x:f>
        <x:v>#NAME?</x:v>
      </x:c>
      <x:c r="H756" t="e">
        <x:f>IF($A756="","",[1]!thsiFinD("ths_adjustment_nv_fund",H$3,$A756))</x:f>
        <x:v>#NAME?</x:v>
      </x:c>
      <x:c r="I756" t="e">
        <x:f>IF($A756="","",[1]!thsiFinD("ths_adjustment_nv_fund",I$3,$A756))</x:f>
        <x:v>#NAME?</x:v>
      </x:c>
      <x:c r="J756" t="e">
        <x:f>IF($A756="","",[1]!thsiFinD("ths_adjustment_nv_fund",J$3,$A756))</x:f>
        <x:v>#NAME?</x:v>
      </x:c>
      <x:c r="K756" t="e">
        <x:f>IF($A756="","",[1]!thsiFinD("ths_adjustment_nv_fund",K$3,$A756))</x:f>
        <x:v>#NAME?</x:v>
      </x:c>
      <x:c r="L756" t="e">
        <x:f>IF($A756="","",[1]!thsiFinD("ths_adjustment_nv_fund",L$3,$A756))</x:f>
        <x:v>#NAME?</x:v>
      </x:c>
      <x:c r="M756" t="e">
        <x:f>IF($A756="","",[1]!thsiFinD("ths_adjustment_nv_fund",M$3,$A756))</x:f>
        <x:v>#NAME?</x:v>
      </x:c>
      <x:c r="N756" t="e">
        <x:f>IF($A756="","",[1]!thsiFinD("ths_adjustment_nv_fund",N$3,$A756))</x:f>
        <x:v>#NAME?</x:v>
      </x:c>
      <x:c r="O756" t="e">
        <x:f>IF($A756="","",[1]!thsiFinD("ths_adjustment_nv_fund",O$3,$A756))</x:f>
        <x:v>#NAME?</x:v>
      </x:c>
      <x:c r="P756" t="e">
        <x:f>IF($A756="","",[1]!thsiFinD("ths_adjustment_nv_fund",P$3,$A756))</x:f>
        <x:v>#NAME?</x:v>
      </x:c>
      <x:c r="Q756" t="e">
        <x:f>IF($A756="","",[1]!thsiFinD("ths_adjustment_nv_fund",Q$3,$A756))</x:f>
        <x:v>#NAME?</x:v>
      </x:c>
      <x:c r="R756" t="e">
        <x:f>IF($A756="","",[1]!thsiFinD("ths_adjustment_nv_fund",R$3,$A756))</x:f>
        <x:v>#NAME?</x:v>
      </x:c>
      <x:c r="S756" t="e">
        <x:f>IF($A756="","",[1]!thsiFinD("ths_adjustment_nv_fund",S$3,$A756))</x:f>
        <x:v>#NAME?</x:v>
      </x:c>
      <x:c r="T756" t="e">
        <x:f>IF($A756="","",[1]!thsiFinD("ths_adjustment_nv_fund",T$3,$A756))</x:f>
        <x:v>#NAME?</x:v>
      </x:c>
      <x:c r="U756" t="e">
        <x:f>IF($A756="","",[1]!thsiFinD("ths_adjustment_nv_fund",U$3,$A756))</x:f>
        <x:v>#NAME?</x:v>
      </x:c>
      <x:c r="V756" t="e">
        <x:f>IF($A756="","",[1]!thsiFinD("ths_adjustment_nv_fund",V$3,$A756))</x:f>
        <x:v>#NAME?</x:v>
      </x:c>
      <x:c r="W756" t="e">
        <x:f>IF($A756="","",[1]!thsiFinD("ths_adjustment_nv_fund",W$3,$A756))</x:f>
        <x:v>#NAME?</x:v>
      </x:c>
      <x:c r="X756" t="e">
        <x:f>IF($A756="","",[1]!thsiFinD("ths_adjustment_nv_fund",X$3,$A756))</x:f>
        <x:v>#NAME?</x:v>
      </x:c>
      <x:c r="Y756" t="e">
        <x:f>IF($A756="","",[1]!thsiFinD("ths_adjustment_nv_fund",Y$3,$A756))</x:f>
        <x:v>#NAME?</x:v>
      </x:c>
    </x:row>
    <x:row r="757">
      <x:c r="B757" t="e">
        <x:f>IF($A757="","",[1]!thsiFinD("ths_adjustment_nv_fund",B$3,$A757))</x:f>
        <x:v>#NAME?</x:v>
      </x:c>
      <x:c r="C757" t="e">
        <x:f>IF($A757="","",[1]!thsiFinD("ths_adjustment_nv_fund",C$3,$A757))</x:f>
        <x:v>#NAME?</x:v>
      </x:c>
      <x:c r="D757" t="e">
        <x:f>IF($A757="","",[1]!thsiFinD("ths_adjustment_nv_fund",D$3,$A757))</x:f>
        <x:v>#NAME?</x:v>
      </x:c>
      <x:c r="E757" t="e">
        <x:f>IF($A757="","",[1]!thsiFinD("ths_adjustment_nv_fund",E$3,$A757))</x:f>
        <x:v>#NAME?</x:v>
      </x:c>
      <x:c r="F757" t="e">
        <x:f>IF($A757="","",[1]!thsiFinD("ths_adjustment_nv_fund",F$3,$A757))</x:f>
        <x:v>#NAME?</x:v>
      </x:c>
      <x:c r="G757" t="e">
        <x:f>IF($A757="","",[1]!thsiFinD("ths_adjustment_nv_fund",G$3,$A757))</x:f>
        <x:v>#NAME?</x:v>
      </x:c>
      <x:c r="H757" t="e">
        <x:f>IF($A757="","",[1]!thsiFinD("ths_adjustment_nv_fund",H$3,$A757))</x:f>
        <x:v>#NAME?</x:v>
      </x:c>
      <x:c r="I757" t="e">
        <x:f>IF($A757="","",[1]!thsiFinD("ths_adjustment_nv_fund",I$3,$A757))</x:f>
        <x:v>#NAME?</x:v>
      </x:c>
      <x:c r="J757" t="e">
        <x:f>IF($A757="","",[1]!thsiFinD("ths_adjustment_nv_fund",J$3,$A757))</x:f>
        <x:v>#NAME?</x:v>
      </x:c>
      <x:c r="K757" t="e">
        <x:f>IF($A757="","",[1]!thsiFinD("ths_adjustment_nv_fund",K$3,$A757))</x:f>
        <x:v>#NAME?</x:v>
      </x:c>
      <x:c r="L757" t="e">
        <x:f>IF($A757="","",[1]!thsiFinD("ths_adjustment_nv_fund",L$3,$A757))</x:f>
        <x:v>#NAME?</x:v>
      </x:c>
      <x:c r="M757" t="e">
        <x:f>IF($A757="","",[1]!thsiFinD("ths_adjustment_nv_fund",M$3,$A757))</x:f>
        <x:v>#NAME?</x:v>
      </x:c>
      <x:c r="N757" t="e">
        <x:f>IF($A757="","",[1]!thsiFinD("ths_adjustment_nv_fund",N$3,$A757))</x:f>
        <x:v>#NAME?</x:v>
      </x:c>
      <x:c r="O757" t="e">
        <x:f>IF($A757="","",[1]!thsiFinD("ths_adjustment_nv_fund",O$3,$A757))</x:f>
        <x:v>#NAME?</x:v>
      </x:c>
      <x:c r="P757" t="e">
        <x:f>IF($A757="","",[1]!thsiFinD("ths_adjustment_nv_fund",P$3,$A757))</x:f>
        <x:v>#NAME?</x:v>
      </x:c>
      <x:c r="Q757" t="e">
        <x:f>IF($A757="","",[1]!thsiFinD("ths_adjustment_nv_fund",Q$3,$A757))</x:f>
        <x:v>#NAME?</x:v>
      </x:c>
      <x:c r="R757" t="e">
        <x:f>IF($A757="","",[1]!thsiFinD("ths_adjustment_nv_fund",R$3,$A757))</x:f>
        <x:v>#NAME?</x:v>
      </x:c>
      <x:c r="S757" t="e">
        <x:f>IF($A757="","",[1]!thsiFinD("ths_adjustment_nv_fund",S$3,$A757))</x:f>
        <x:v>#NAME?</x:v>
      </x:c>
      <x:c r="T757" t="e">
        <x:f>IF($A757="","",[1]!thsiFinD("ths_adjustment_nv_fund",T$3,$A757))</x:f>
        <x:v>#NAME?</x:v>
      </x:c>
      <x:c r="U757" t="e">
        <x:f>IF($A757="","",[1]!thsiFinD("ths_adjustment_nv_fund",U$3,$A757))</x:f>
        <x:v>#NAME?</x:v>
      </x:c>
      <x:c r="V757" t="e">
        <x:f>IF($A757="","",[1]!thsiFinD("ths_adjustment_nv_fund",V$3,$A757))</x:f>
        <x:v>#NAME?</x:v>
      </x:c>
      <x:c r="W757" t="e">
        <x:f>IF($A757="","",[1]!thsiFinD("ths_adjustment_nv_fund",W$3,$A757))</x:f>
        <x:v>#NAME?</x:v>
      </x:c>
      <x:c r="X757" t="e">
        <x:f>IF($A757="","",[1]!thsiFinD("ths_adjustment_nv_fund",X$3,$A757))</x:f>
        <x:v>#NAME?</x:v>
      </x:c>
      <x:c r="Y757" t="e">
        <x:f>IF($A757="","",[1]!thsiFinD("ths_adjustment_nv_fund",Y$3,$A757))</x:f>
        <x:v>#NAME?</x:v>
      </x:c>
    </x:row>
    <x:row r="758">
      <x:c r="B758" t="e">
        <x:f>IF($A758="","",[1]!thsiFinD("ths_adjustment_nv_fund",B$3,$A758))</x:f>
        <x:v>#NAME?</x:v>
      </x:c>
      <x:c r="C758" t="e">
        <x:f>IF($A758="","",[1]!thsiFinD("ths_adjustment_nv_fund",C$3,$A758))</x:f>
        <x:v>#NAME?</x:v>
      </x:c>
      <x:c r="D758" t="e">
        <x:f>IF($A758="","",[1]!thsiFinD("ths_adjustment_nv_fund",D$3,$A758))</x:f>
        <x:v>#NAME?</x:v>
      </x:c>
      <x:c r="E758" t="e">
        <x:f>IF($A758="","",[1]!thsiFinD("ths_adjustment_nv_fund",E$3,$A758))</x:f>
        <x:v>#NAME?</x:v>
      </x:c>
      <x:c r="F758" t="e">
        <x:f>IF($A758="","",[1]!thsiFinD("ths_adjustment_nv_fund",F$3,$A758))</x:f>
        <x:v>#NAME?</x:v>
      </x:c>
      <x:c r="G758" t="e">
        <x:f>IF($A758="","",[1]!thsiFinD("ths_adjustment_nv_fund",G$3,$A758))</x:f>
        <x:v>#NAME?</x:v>
      </x:c>
      <x:c r="H758" t="e">
        <x:f>IF($A758="","",[1]!thsiFinD("ths_adjustment_nv_fund",H$3,$A758))</x:f>
        <x:v>#NAME?</x:v>
      </x:c>
      <x:c r="I758" t="e">
        <x:f>IF($A758="","",[1]!thsiFinD("ths_adjustment_nv_fund",I$3,$A758))</x:f>
        <x:v>#NAME?</x:v>
      </x:c>
      <x:c r="J758" t="e">
        <x:f>IF($A758="","",[1]!thsiFinD("ths_adjustment_nv_fund",J$3,$A758))</x:f>
        <x:v>#NAME?</x:v>
      </x:c>
      <x:c r="K758" t="e">
        <x:f>IF($A758="","",[1]!thsiFinD("ths_adjustment_nv_fund",K$3,$A758))</x:f>
        <x:v>#NAME?</x:v>
      </x:c>
      <x:c r="L758" t="e">
        <x:f>IF($A758="","",[1]!thsiFinD("ths_adjustment_nv_fund",L$3,$A758))</x:f>
        <x:v>#NAME?</x:v>
      </x:c>
      <x:c r="M758" t="e">
        <x:f>IF($A758="","",[1]!thsiFinD("ths_adjustment_nv_fund",M$3,$A758))</x:f>
        <x:v>#NAME?</x:v>
      </x:c>
      <x:c r="N758" t="e">
        <x:f>IF($A758="","",[1]!thsiFinD("ths_adjustment_nv_fund",N$3,$A758))</x:f>
        <x:v>#NAME?</x:v>
      </x:c>
      <x:c r="O758" t="e">
        <x:f>IF($A758="","",[1]!thsiFinD("ths_adjustment_nv_fund",O$3,$A758))</x:f>
        <x:v>#NAME?</x:v>
      </x:c>
      <x:c r="P758" t="e">
        <x:f>IF($A758="","",[1]!thsiFinD("ths_adjustment_nv_fund",P$3,$A758))</x:f>
        <x:v>#NAME?</x:v>
      </x:c>
      <x:c r="Q758" t="e">
        <x:f>IF($A758="","",[1]!thsiFinD("ths_adjustment_nv_fund",Q$3,$A758))</x:f>
        <x:v>#NAME?</x:v>
      </x:c>
      <x:c r="R758" t="e">
        <x:f>IF($A758="","",[1]!thsiFinD("ths_adjustment_nv_fund",R$3,$A758))</x:f>
        <x:v>#NAME?</x:v>
      </x:c>
      <x:c r="S758" t="e">
        <x:f>IF($A758="","",[1]!thsiFinD("ths_adjustment_nv_fund",S$3,$A758))</x:f>
        <x:v>#NAME?</x:v>
      </x:c>
      <x:c r="T758" t="e">
        <x:f>IF($A758="","",[1]!thsiFinD("ths_adjustment_nv_fund",T$3,$A758))</x:f>
        <x:v>#NAME?</x:v>
      </x:c>
      <x:c r="U758" t="e">
        <x:f>IF($A758="","",[1]!thsiFinD("ths_adjustment_nv_fund",U$3,$A758))</x:f>
        <x:v>#NAME?</x:v>
      </x:c>
      <x:c r="V758" t="e">
        <x:f>IF($A758="","",[1]!thsiFinD("ths_adjustment_nv_fund",V$3,$A758))</x:f>
        <x:v>#NAME?</x:v>
      </x:c>
      <x:c r="W758" t="e">
        <x:f>IF($A758="","",[1]!thsiFinD("ths_adjustment_nv_fund",W$3,$A758))</x:f>
        <x:v>#NAME?</x:v>
      </x:c>
      <x:c r="X758" t="e">
        <x:f>IF($A758="","",[1]!thsiFinD("ths_adjustment_nv_fund",X$3,$A758))</x:f>
        <x:v>#NAME?</x:v>
      </x:c>
      <x:c r="Y758" t="e">
        <x:f>IF($A758="","",[1]!thsiFinD("ths_adjustment_nv_fund",Y$3,$A758))</x:f>
        <x:v>#NAME?</x:v>
      </x:c>
    </x:row>
    <x:row r="759">
      <x:c r="B759" t="e">
        <x:f>IF($A759="","",[1]!thsiFinD("ths_adjustment_nv_fund",B$3,$A759))</x:f>
        <x:v>#NAME?</x:v>
      </x:c>
      <x:c r="C759" t="e">
        <x:f>IF($A759="","",[1]!thsiFinD("ths_adjustment_nv_fund",C$3,$A759))</x:f>
        <x:v>#NAME?</x:v>
      </x:c>
      <x:c r="D759" t="e">
        <x:f>IF($A759="","",[1]!thsiFinD("ths_adjustment_nv_fund",D$3,$A759))</x:f>
        <x:v>#NAME?</x:v>
      </x:c>
      <x:c r="E759" t="e">
        <x:f>IF($A759="","",[1]!thsiFinD("ths_adjustment_nv_fund",E$3,$A759))</x:f>
        <x:v>#NAME?</x:v>
      </x:c>
      <x:c r="F759" t="e">
        <x:f>IF($A759="","",[1]!thsiFinD("ths_adjustment_nv_fund",F$3,$A759))</x:f>
        <x:v>#NAME?</x:v>
      </x:c>
      <x:c r="G759" t="e">
        <x:f>IF($A759="","",[1]!thsiFinD("ths_adjustment_nv_fund",G$3,$A759))</x:f>
        <x:v>#NAME?</x:v>
      </x:c>
      <x:c r="H759" t="e">
        <x:f>IF($A759="","",[1]!thsiFinD("ths_adjustment_nv_fund",H$3,$A759))</x:f>
        <x:v>#NAME?</x:v>
      </x:c>
      <x:c r="I759" t="e">
        <x:f>IF($A759="","",[1]!thsiFinD("ths_adjustment_nv_fund",I$3,$A759))</x:f>
        <x:v>#NAME?</x:v>
      </x:c>
      <x:c r="J759" t="e">
        <x:f>IF($A759="","",[1]!thsiFinD("ths_adjustment_nv_fund",J$3,$A759))</x:f>
        <x:v>#NAME?</x:v>
      </x:c>
      <x:c r="K759" t="e">
        <x:f>IF($A759="","",[1]!thsiFinD("ths_adjustment_nv_fund",K$3,$A759))</x:f>
        <x:v>#NAME?</x:v>
      </x:c>
      <x:c r="L759" t="e">
        <x:f>IF($A759="","",[1]!thsiFinD("ths_adjustment_nv_fund",L$3,$A759))</x:f>
        <x:v>#NAME?</x:v>
      </x:c>
      <x:c r="M759" t="e">
        <x:f>IF($A759="","",[1]!thsiFinD("ths_adjustment_nv_fund",M$3,$A759))</x:f>
        <x:v>#NAME?</x:v>
      </x:c>
      <x:c r="N759" t="e">
        <x:f>IF($A759="","",[1]!thsiFinD("ths_adjustment_nv_fund",N$3,$A759))</x:f>
        <x:v>#NAME?</x:v>
      </x:c>
      <x:c r="O759" t="e">
        <x:f>IF($A759="","",[1]!thsiFinD("ths_adjustment_nv_fund",O$3,$A759))</x:f>
        <x:v>#NAME?</x:v>
      </x:c>
      <x:c r="P759" t="e">
        <x:f>IF($A759="","",[1]!thsiFinD("ths_adjustment_nv_fund",P$3,$A759))</x:f>
        <x:v>#NAME?</x:v>
      </x:c>
      <x:c r="Q759" t="e">
        <x:f>IF($A759="","",[1]!thsiFinD("ths_adjustment_nv_fund",Q$3,$A759))</x:f>
        <x:v>#NAME?</x:v>
      </x:c>
      <x:c r="R759" t="e">
        <x:f>IF($A759="","",[1]!thsiFinD("ths_adjustment_nv_fund",R$3,$A759))</x:f>
        <x:v>#NAME?</x:v>
      </x:c>
      <x:c r="S759" t="e">
        <x:f>IF($A759="","",[1]!thsiFinD("ths_adjustment_nv_fund",S$3,$A759))</x:f>
        <x:v>#NAME?</x:v>
      </x:c>
      <x:c r="T759" t="e">
        <x:f>IF($A759="","",[1]!thsiFinD("ths_adjustment_nv_fund",T$3,$A759))</x:f>
        <x:v>#NAME?</x:v>
      </x:c>
      <x:c r="U759" t="e">
        <x:f>IF($A759="","",[1]!thsiFinD("ths_adjustment_nv_fund",U$3,$A759))</x:f>
        <x:v>#NAME?</x:v>
      </x:c>
      <x:c r="V759" t="e">
        <x:f>IF($A759="","",[1]!thsiFinD("ths_adjustment_nv_fund",V$3,$A759))</x:f>
        <x:v>#NAME?</x:v>
      </x:c>
      <x:c r="W759" t="e">
        <x:f>IF($A759="","",[1]!thsiFinD("ths_adjustment_nv_fund",W$3,$A759))</x:f>
        <x:v>#NAME?</x:v>
      </x:c>
      <x:c r="X759" t="e">
        <x:f>IF($A759="","",[1]!thsiFinD("ths_adjustment_nv_fund",X$3,$A759))</x:f>
        <x:v>#NAME?</x:v>
      </x:c>
      <x:c r="Y759" t="e">
        <x:f>IF($A759="","",[1]!thsiFinD("ths_adjustment_nv_fund",Y$3,$A759))</x:f>
        <x:v>#NAME?</x:v>
      </x:c>
    </x:row>
    <x:row r="760">
      <x:c r="B760" t="e">
        <x:f>IF($A760="","",[1]!thsiFinD("ths_adjustment_nv_fund",B$3,$A760))</x:f>
        <x:v>#NAME?</x:v>
      </x:c>
      <x:c r="C760" t="e">
        <x:f>IF($A760="","",[1]!thsiFinD("ths_adjustment_nv_fund",C$3,$A760))</x:f>
        <x:v>#NAME?</x:v>
      </x:c>
      <x:c r="D760" t="e">
        <x:f>IF($A760="","",[1]!thsiFinD("ths_adjustment_nv_fund",D$3,$A760))</x:f>
        <x:v>#NAME?</x:v>
      </x:c>
      <x:c r="E760" t="e">
        <x:f>IF($A760="","",[1]!thsiFinD("ths_adjustment_nv_fund",E$3,$A760))</x:f>
        <x:v>#NAME?</x:v>
      </x:c>
      <x:c r="F760" t="e">
        <x:f>IF($A760="","",[1]!thsiFinD("ths_adjustment_nv_fund",F$3,$A760))</x:f>
        <x:v>#NAME?</x:v>
      </x:c>
      <x:c r="G760" t="e">
        <x:f>IF($A760="","",[1]!thsiFinD("ths_adjustment_nv_fund",G$3,$A760))</x:f>
        <x:v>#NAME?</x:v>
      </x:c>
      <x:c r="H760" t="e">
        <x:f>IF($A760="","",[1]!thsiFinD("ths_adjustment_nv_fund",H$3,$A760))</x:f>
        <x:v>#NAME?</x:v>
      </x:c>
      <x:c r="I760" t="e">
        <x:f>IF($A760="","",[1]!thsiFinD("ths_adjustment_nv_fund",I$3,$A760))</x:f>
        <x:v>#NAME?</x:v>
      </x:c>
      <x:c r="J760" t="e">
        <x:f>IF($A760="","",[1]!thsiFinD("ths_adjustment_nv_fund",J$3,$A760))</x:f>
        <x:v>#NAME?</x:v>
      </x:c>
      <x:c r="K760" t="e">
        <x:f>IF($A760="","",[1]!thsiFinD("ths_adjustment_nv_fund",K$3,$A760))</x:f>
        <x:v>#NAME?</x:v>
      </x:c>
      <x:c r="L760" t="e">
        <x:f>IF($A760="","",[1]!thsiFinD("ths_adjustment_nv_fund",L$3,$A760))</x:f>
        <x:v>#NAME?</x:v>
      </x:c>
      <x:c r="M760" t="e">
        <x:f>IF($A760="","",[1]!thsiFinD("ths_adjustment_nv_fund",M$3,$A760))</x:f>
        <x:v>#NAME?</x:v>
      </x:c>
      <x:c r="N760" t="e">
        <x:f>IF($A760="","",[1]!thsiFinD("ths_adjustment_nv_fund",N$3,$A760))</x:f>
        <x:v>#NAME?</x:v>
      </x:c>
      <x:c r="O760" t="e">
        <x:f>IF($A760="","",[1]!thsiFinD("ths_adjustment_nv_fund",O$3,$A760))</x:f>
        <x:v>#NAME?</x:v>
      </x:c>
      <x:c r="P760" t="e">
        <x:f>IF($A760="","",[1]!thsiFinD("ths_adjustment_nv_fund",P$3,$A760))</x:f>
        <x:v>#NAME?</x:v>
      </x:c>
      <x:c r="Q760" t="e">
        <x:f>IF($A760="","",[1]!thsiFinD("ths_adjustment_nv_fund",Q$3,$A760))</x:f>
        <x:v>#NAME?</x:v>
      </x:c>
      <x:c r="R760" t="e">
        <x:f>IF($A760="","",[1]!thsiFinD("ths_adjustment_nv_fund",R$3,$A760))</x:f>
        <x:v>#NAME?</x:v>
      </x:c>
      <x:c r="S760" t="e">
        <x:f>IF($A760="","",[1]!thsiFinD("ths_adjustment_nv_fund",S$3,$A760))</x:f>
        <x:v>#NAME?</x:v>
      </x:c>
      <x:c r="T760" t="e">
        <x:f>IF($A760="","",[1]!thsiFinD("ths_adjustment_nv_fund",T$3,$A760))</x:f>
        <x:v>#NAME?</x:v>
      </x:c>
      <x:c r="U760" t="e">
        <x:f>IF($A760="","",[1]!thsiFinD("ths_adjustment_nv_fund",U$3,$A760))</x:f>
        <x:v>#NAME?</x:v>
      </x:c>
      <x:c r="V760" t="e">
        <x:f>IF($A760="","",[1]!thsiFinD("ths_adjustment_nv_fund",V$3,$A760))</x:f>
        <x:v>#NAME?</x:v>
      </x:c>
      <x:c r="W760" t="e">
        <x:f>IF($A760="","",[1]!thsiFinD("ths_adjustment_nv_fund",W$3,$A760))</x:f>
        <x:v>#NAME?</x:v>
      </x:c>
      <x:c r="X760" t="e">
        <x:f>IF($A760="","",[1]!thsiFinD("ths_adjustment_nv_fund",X$3,$A760))</x:f>
        <x:v>#NAME?</x:v>
      </x:c>
      <x:c r="Y760" t="e">
        <x:f>IF($A760="","",[1]!thsiFinD("ths_adjustment_nv_fund",Y$3,$A760))</x:f>
        <x:v>#NAME?</x:v>
      </x:c>
    </x:row>
    <x:row r="761">
      <x:c r="B761" t="e">
        <x:f>IF($A761="","",[1]!thsiFinD("ths_adjustment_nv_fund",B$3,$A761))</x:f>
        <x:v>#NAME?</x:v>
      </x:c>
      <x:c r="C761" t="e">
        <x:f>IF($A761="","",[1]!thsiFinD("ths_adjustment_nv_fund",C$3,$A761))</x:f>
        <x:v>#NAME?</x:v>
      </x:c>
      <x:c r="D761" t="e">
        <x:f>IF($A761="","",[1]!thsiFinD("ths_adjustment_nv_fund",D$3,$A761))</x:f>
        <x:v>#NAME?</x:v>
      </x:c>
      <x:c r="E761" t="e">
        <x:f>IF($A761="","",[1]!thsiFinD("ths_adjustment_nv_fund",E$3,$A761))</x:f>
        <x:v>#NAME?</x:v>
      </x:c>
      <x:c r="F761" t="e">
        <x:f>IF($A761="","",[1]!thsiFinD("ths_adjustment_nv_fund",F$3,$A761))</x:f>
        <x:v>#NAME?</x:v>
      </x:c>
      <x:c r="G761" t="e">
        <x:f>IF($A761="","",[1]!thsiFinD("ths_adjustment_nv_fund",G$3,$A761))</x:f>
        <x:v>#NAME?</x:v>
      </x:c>
      <x:c r="H761" t="e">
        <x:f>IF($A761="","",[1]!thsiFinD("ths_adjustment_nv_fund",H$3,$A761))</x:f>
        <x:v>#NAME?</x:v>
      </x:c>
      <x:c r="I761" t="e">
        <x:f>IF($A761="","",[1]!thsiFinD("ths_adjustment_nv_fund",I$3,$A761))</x:f>
        <x:v>#NAME?</x:v>
      </x:c>
      <x:c r="J761" t="e">
        <x:f>IF($A761="","",[1]!thsiFinD("ths_adjustment_nv_fund",J$3,$A761))</x:f>
        <x:v>#NAME?</x:v>
      </x:c>
      <x:c r="K761" t="e">
        <x:f>IF($A761="","",[1]!thsiFinD("ths_adjustment_nv_fund",K$3,$A761))</x:f>
        <x:v>#NAME?</x:v>
      </x:c>
      <x:c r="L761" t="e">
        <x:f>IF($A761="","",[1]!thsiFinD("ths_adjustment_nv_fund",L$3,$A761))</x:f>
        <x:v>#NAME?</x:v>
      </x:c>
      <x:c r="M761" t="e">
        <x:f>IF($A761="","",[1]!thsiFinD("ths_adjustment_nv_fund",M$3,$A761))</x:f>
        <x:v>#NAME?</x:v>
      </x:c>
      <x:c r="N761" t="e">
        <x:f>IF($A761="","",[1]!thsiFinD("ths_adjustment_nv_fund",N$3,$A761))</x:f>
        <x:v>#NAME?</x:v>
      </x:c>
      <x:c r="O761" t="e">
        <x:f>IF($A761="","",[1]!thsiFinD("ths_adjustment_nv_fund",O$3,$A761))</x:f>
        <x:v>#NAME?</x:v>
      </x:c>
      <x:c r="P761" t="e">
        <x:f>IF($A761="","",[1]!thsiFinD("ths_adjustment_nv_fund",P$3,$A761))</x:f>
        <x:v>#NAME?</x:v>
      </x:c>
      <x:c r="Q761" t="e">
        <x:f>IF($A761="","",[1]!thsiFinD("ths_adjustment_nv_fund",Q$3,$A761))</x:f>
        <x:v>#NAME?</x:v>
      </x:c>
      <x:c r="R761" t="e">
        <x:f>IF($A761="","",[1]!thsiFinD("ths_adjustment_nv_fund",R$3,$A761))</x:f>
        <x:v>#NAME?</x:v>
      </x:c>
      <x:c r="S761" t="e">
        <x:f>IF($A761="","",[1]!thsiFinD("ths_adjustment_nv_fund",S$3,$A761))</x:f>
        <x:v>#NAME?</x:v>
      </x:c>
      <x:c r="T761" t="e">
        <x:f>IF($A761="","",[1]!thsiFinD("ths_adjustment_nv_fund",T$3,$A761))</x:f>
        <x:v>#NAME?</x:v>
      </x:c>
      <x:c r="U761" t="e">
        <x:f>IF($A761="","",[1]!thsiFinD("ths_adjustment_nv_fund",U$3,$A761))</x:f>
        <x:v>#NAME?</x:v>
      </x:c>
      <x:c r="V761" t="e">
        <x:f>IF($A761="","",[1]!thsiFinD("ths_adjustment_nv_fund",V$3,$A761))</x:f>
        <x:v>#NAME?</x:v>
      </x:c>
      <x:c r="W761" t="e">
        <x:f>IF($A761="","",[1]!thsiFinD("ths_adjustment_nv_fund",W$3,$A761))</x:f>
        <x:v>#NAME?</x:v>
      </x:c>
      <x:c r="X761" t="e">
        <x:f>IF($A761="","",[1]!thsiFinD("ths_adjustment_nv_fund",X$3,$A761))</x:f>
        <x:v>#NAME?</x:v>
      </x:c>
      <x:c r="Y761" t="e">
        <x:f>IF($A761="","",[1]!thsiFinD("ths_adjustment_nv_fund",Y$3,$A761))</x:f>
        <x:v>#NAME?</x:v>
      </x:c>
    </x:row>
    <x:row r="762">
      <x:c r="B762" t="e">
        <x:f>IF($A762="","",[1]!thsiFinD("ths_adjustment_nv_fund",B$3,$A762))</x:f>
        <x:v>#NAME?</x:v>
      </x:c>
      <x:c r="C762" t="e">
        <x:f>IF($A762="","",[1]!thsiFinD("ths_adjustment_nv_fund",C$3,$A762))</x:f>
        <x:v>#NAME?</x:v>
      </x:c>
      <x:c r="D762" t="e">
        <x:f>IF($A762="","",[1]!thsiFinD("ths_adjustment_nv_fund",D$3,$A762))</x:f>
        <x:v>#NAME?</x:v>
      </x:c>
      <x:c r="E762" t="e">
        <x:f>IF($A762="","",[1]!thsiFinD("ths_adjustment_nv_fund",E$3,$A762))</x:f>
        <x:v>#NAME?</x:v>
      </x:c>
      <x:c r="F762" t="e">
        <x:f>IF($A762="","",[1]!thsiFinD("ths_adjustment_nv_fund",F$3,$A762))</x:f>
        <x:v>#NAME?</x:v>
      </x:c>
      <x:c r="G762" t="e">
        <x:f>IF($A762="","",[1]!thsiFinD("ths_adjustment_nv_fund",G$3,$A762))</x:f>
        <x:v>#NAME?</x:v>
      </x:c>
      <x:c r="H762" t="e">
        <x:f>IF($A762="","",[1]!thsiFinD("ths_adjustment_nv_fund",H$3,$A762))</x:f>
        <x:v>#NAME?</x:v>
      </x:c>
      <x:c r="I762" t="e">
        <x:f>IF($A762="","",[1]!thsiFinD("ths_adjustment_nv_fund",I$3,$A762))</x:f>
        <x:v>#NAME?</x:v>
      </x:c>
      <x:c r="J762" t="e">
        <x:f>IF($A762="","",[1]!thsiFinD("ths_adjustment_nv_fund",J$3,$A762))</x:f>
        <x:v>#NAME?</x:v>
      </x:c>
      <x:c r="K762" t="e">
        <x:f>IF($A762="","",[1]!thsiFinD("ths_adjustment_nv_fund",K$3,$A762))</x:f>
        <x:v>#NAME?</x:v>
      </x:c>
      <x:c r="L762" t="e">
        <x:f>IF($A762="","",[1]!thsiFinD("ths_adjustment_nv_fund",L$3,$A762))</x:f>
        <x:v>#NAME?</x:v>
      </x:c>
      <x:c r="M762" t="e">
        <x:f>IF($A762="","",[1]!thsiFinD("ths_adjustment_nv_fund",M$3,$A762))</x:f>
        <x:v>#NAME?</x:v>
      </x:c>
      <x:c r="N762" t="e">
        <x:f>IF($A762="","",[1]!thsiFinD("ths_adjustment_nv_fund",N$3,$A762))</x:f>
        <x:v>#NAME?</x:v>
      </x:c>
      <x:c r="O762" t="e">
        <x:f>IF($A762="","",[1]!thsiFinD("ths_adjustment_nv_fund",O$3,$A762))</x:f>
        <x:v>#NAME?</x:v>
      </x:c>
      <x:c r="P762" t="e">
        <x:f>IF($A762="","",[1]!thsiFinD("ths_adjustment_nv_fund",P$3,$A762))</x:f>
        <x:v>#NAME?</x:v>
      </x:c>
      <x:c r="Q762" t="e">
        <x:f>IF($A762="","",[1]!thsiFinD("ths_adjustment_nv_fund",Q$3,$A762))</x:f>
        <x:v>#NAME?</x:v>
      </x:c>
      <x:c r="R762" t="e">
        <x:f>IF($A762="","",[1]!thsiFinD("ths_adjustment_nv_fund",R$3,$A762))</x:f>
        <x:v>#NAME?</x:v>
      </x:c>
      <x:c r="S762" t="e">
        <x:f>IF($A762="","",[1]!thsiFinD("ths_adjustment_nv_fund",S$3,$A762))</x:f>
        <x:v>#NAME?</x:v>
      </x:c>
      <x:c r="T762" t="e">
        <x:f>IF($A762="","",[1]!thsiFinD("ths_adjustment_nv_fund",T$3,$A762))</x:f>
        <x:v>#NAME?</x:v>
      </x:c>
      <x:c r="U762" t="e">
        <x:f>IF($A762="","",[1]!thsiFinD("ths_adjustment_nv_fund",U$3,$A762))</x:f>
        <x:v>#NAME?</x:v>
      </x:c>
      <x:c r="V762" t="e">
        <x:f>IF($A762="","",[1]!thsiFinD("ths_adjustment_nv_fund",V$3,$A762))</x:f>
        <x:v>#NAME?</x:v>
      </x:c>
      <x:c r="W762" t="e">
        <x:f>IF($A762="","",[1]!thsiFinD("ths_adjustment_nv_fund",W$3,$A762))</x:f>
        <x:v>#NAME?</x:v>
      </x:c>
      <x:c r="X762" t="e">
        <x:f>IF($A762="","",[1]!thsiFinD("ths_adjustment_nv_fund",X$3,$A762))</x:f>
        <x:v>#NAME?</x:v>
      </x:c>
      <x:c r="Y762" t="e">
        <x:f>IF($A762="","",[1]!thsiFinD("ths_adjustment_nv_fund",Y$3,$A762))</x:f>
        <x:v>#NAME?</x:v>
      </x:c>
    </x:row>
    <x:row r="763">
      <x:c r="B763" t="e">
        <x:f>IF($A763="","",[1]!thsiFinD("ths_adjustment_nv_fund",B$3,$A763))</x:f>
        <x:v>#NAME?</x:v>
      </x:c>
      <x:c r="C763" t="e">
        <x:f>IF($A763="","",[1]!thsiFinD("ths_adjustment_nv_fund",C$3,$A763))</x:f>
        <x:v>#NAME?</x:v>
      </x:c>
      <x:c r="D763" t="e">
        <x:f>IF($A763="","",[1]!thsiFinD("ths_adjustment_nv_fund",D$3,$A763))</x:f>
        <x:v>#NAME?</x:v>
      </x:c>
      <x:c r="E763" t="e">
        <x:f>IF($A763="","",[1]!thsiFinD("ths_adjustment_nv_fund",E$3,$A763))</x:f>
        <x:v>#NAME?</x:v>
      </x:c>
      <x:c r="F763" t="e">
        <x:f>IF($A763="","",[1]!thsiFinD("ths_adjustment_nv_fund",F$3,$A763))</x:f>
        <x:v>#NAME?</x:v>
      </x:c>
      <x:c r="G763" t="e">
        <x:f>IF($A763="","",[1]!thsiFinD("ths_adjustment_nv_fund",G$3,$A763))</x:f>
        <x:v>#NAME?</x:v>
      </x:c>
      <x:c r="H763" t="e">
        <x:f>IF($A763="","",[1]!thsiFinD("ths_adjustment_nv_fund",H$3,$A763))</x:f>
        <x:v>#NAME?</x:v>
      </x:c>
      <x:c r="I763" t="e">
        <x:f>IF($A763="","",[1]!thsiFinD("ths_adjustment_nv_fund",I$3,$A763))</x:f>
        <x:v>#NAME?</x:v>
      </x:c>
      <x:c r="J763" t="e">
        <x:f>IF($A763="","",[1]!thsiFinD("ths_adjustment_nv_fund",J$3,$A763))</x:f>
        <x:v>#NAME?</x:v>
      </x:c>
      <x:c r="K763" t="e">
        <x:f>IF($A763="","",[1]!thsiFinD("ths_adjustment_nv_fund",K$3,$A763))</x:f>
        <x:v>#NAME?</x:v>
      </x:c>
      <x:c r="L763" t="e">
        <x:f>IF($A763="","",[1]!thsiFinD("ths_adjustment_nv_fund",L$3,$A763))</x:f>
        <x:v>#NAME?</x:v>
      </x:c>
      <x:c r="M763" t="e">
        <x:f>IF($A763="","",[1]!thsiFinD("ths_adjustment_nv_fund",M$3,$A763))</x:f>
        <x:v>#NAME?</x:v>
      </x:c>
      <x:c r="N763" t="e">
        <x:f>IF($A763="","",[1]!thsiFinD("ths_adjustment_nv_fund",N$3,$A763))</x:f>
        <x:v>#NAME?</x:v>
      </x:c>
      <x:c r="O763" t="e">
        <x:f>IF($A763="","",[1]!thsiFinD("ths_adjustment_nv_fund",O$3,$A763))</x:f>
        <x:v>#NAME?</x:v>
      </x:c>
      <x:c r="P763" t="e">
        <x:f>IF($A763="","",[1]!thsiFinD("ths_adjustment_nv_fund",P$3,$A763))</x:f>
        <x:v>#NAME?</x:v>
      </x:c>
      <x:c r="Q763" t="e">
        <x:f>IF($A763="","",[1]!thsiFinD("ths_adjustment_nv_fund",Q$3,$A763))</x:f>
        <x:v>#NAME?</x:v>
      </x:c>
      <x:c r="R763" t="e">
        <x:f>IF($A763="","",[1]!thsiFinD("ths_adjustment_nv_fund",R$3,$A763))</x:f>
        <x:v>#NAME?</x:v>
      </x:c>
      <x:c r="S763" t="e">
        <x:f>IF($A763="","",[1]!thsiFinD("ths_adjustment_nv_fund",S$3,$A763))</x:f>
        <x:v>#NAME?</x:v>
      </x:c>
      <x:c r="T763" t="e">
        <x:f>IF($A763="","",[1]!thsiFinD("ths_adjustment_nv_fund",T$3,$A763))</x:f>
        <x:v>#NAME?</x:v>
      </x:c>
      <x:c r="U763" t="e">
        <x:f>IF($A763="","",[1]!thsiFinD("ths_adjustment_nv_fund",U$3,$A763))</x:f>
        <x:v>#NAME?</x:v>
      </x:c>
      <x:c r="V763" t="e">
        <x:f>IF($A763="","",[1]!thsiFinD("ths_adjustment_nv_fund",V$3,$A763))</x:f>
        <x:v>#NAME?</x:v>
      </x:c>
      <x:c r="W763" t="e">
        <x:f>IF($A763="","",[1]!thsiFinD("ths_adjustment_nv_fund",W$3,$A763))</x:f>
        <x:v>#NAME?</x:v>
      </x:c>
      <x:c r="X763" t="e">
        <x:f>IF($A763="","",[1]!thsiFinD("ths_adjustment_nv_fund",X$3,$A763))</x:f>
        <x:v>#NAME?</x:v>
      </x:c>
      <x:c r="Y763" t="e">
        <x:f>IF($A763="","",[1]!thsiFinD("ths_adjustment_nv_fund",Y$3,$A763))</x:f>
        <x:v>#NAME?</x:v>
      </x:c>
    </x:row>
    <x:row r="764">
      <x:c r="B764" t="e">
        <x:f>IF($A764="","",[1]!thsiFinD("ths_adjustment_nv_fund",B$3,$A764))</x:f>
        <x:v>#NAME?</x:v>
      </x:c>
      <x:c r="C764" t="e">
        <x:f>IF($A764="","",[1]!thsiFinD("ths_adjustment_nv_fund",C$3,$A764))</x:f>
        <x:v>#NAME?</x:v>
      </x:c>
      <x:c r="D764" t="e">
        <x:f>IF($A764="","",[1]!thsiFinD("ths_adjustment_nv_fund",D$3,$A764))</x:f>
        <x:v>#NAME?</x:v>
      </x:c>
      <x:c r="E764" t="e">
        <x:f>IF($A764="","",[1]!thsiFinD("ths_adjustment_nv_fund",E$3,$A764))</x:f>
        <x:v>#NAME?</x:v>
      </x:c>
      <x:c r="F764" t="e">
        <x:f>IF($A764="","",[1]!thsiFinD("ths_adjustment_nv_fund",F$3,$A764))</x:f>
        <x:v>#NAME?</x:v>
      </x:c>
      <x:c r="G764" t="e">
        <x:f>IF($A764="","",[1]!thsiFinD("ths_adjustment_nv_fund",G$3,$A764))</x:f>
        <x:v>#NAME?</x:v>
      </x:c>
      <x:c r="H764" t="e">
        <x:f>IF($A764="","",[1]!thsiFinD("ths_adjustment_nv_fund",H$3,$A764))</x:f>
        <x:v>#NAME?</x:v>
      </x:c>
      <x:c r="I764" t="e">
        <x:f>IF($A764="","",[1]!thsiFinD("ths_adjustment_nv_fund",I$3,$A764))</x:f>
        <x:v>#NAME?</x:v>
      </x:c>
      <x:c r="J764" t="e">
        <x:f>IF($A764="","",[1]!thsiFinD("ths_adjustment_nv_fund",J$3,$A764))</x:f>
        <x:v>#NAME?</x:v>
      </x:c>
      <x:c r="K764" t="e">
        <x:f>IF($A764="","",[1]!thsiFinD("ths_adjustment_nv_fund",K$3,$A764))</x:f>
        <x:v>#NAME?</x:v>
      </x:c>
      <x:c r="L764" t="e">
        <x:f>IF($A764="","",[1]!thsiFinD("ths_adjustment_nv_fund",L$3,$A764))</x:f>
        <x:v>#NAME?</x:v>
      </x:c>
      <x:c r="M764" t="e">
        <x:f>IF($A764="","",[1]!thsiFinD("ths_adjustment_nv_fund",M$3,$A764))</x:f>
        <x:v>#NAME?</x:v>
      </x:c>
      <x:c r="N764" t="e">
        <x:f>IF($A764="","",[1]!thsiFinD("ths_adjustment_nv_fund",N$3,$A764))</x:f>
        <x:v>#NAME?</x:v>
      </x:c>
      <x:c r="O764" t="e">
        <x:f>IF($A764="","",[1]!thsiFinD("ths_adjustment_nv_fund",O$3,$A764))</x:f>
        <x:v>#NAME?</x:v>
      </x:c>
      <x:c r="P764" t="e">
        <x:f>IF($A764="","",[1]!thsiFinD("ths_adjustment_nv_fund",P$3,$A764))</x:f>
        <x:v>#NAME?</x:v>
      </x:c>
      <x:c r="Q764" t="e">
        <x:f>IF($A764="","",[1]!thsiFinD("ths_adjustment_nv_fund",Q$3,$A764))</x:f>
        <x:v>#NAME?</x:v>
      </x:c>
      <x:c r="R764" t="e">
        <x:f>IF($A764="","",[1]!thsiFinD("ths_adjustment_nv_fund",R$3,$A764))</x:f>
        <x:v>#NAME?</x:v>
      </x:c>
      <x:c r="S764" t="e">
        <x:f>IF($A764="","",[1]!thsiFinD("ths_adjustment_nv_fund",S$3,$A764))</x:f>
        <x:v>#NAME?</x:v>
      </x:c>
      <x:c r="T764" t="e">
        <x:f>IF($A764="","",[1]!thsiFinD("ths_adjustment_nv_fund",T$3,$A764))</x:f>
        <x:v>#NAME?</x:v>
      </x:c>
      <x:c r="U764" t="e">
        <x:f>IF($A764="","",[1]!thsiFinD("ths_adjustment_nv_fund",U$3,$A764))</x:f>
        <x:v>#NAME?</x:v>
      </x:c>
      <x:c r="V764" t="e">
        <x:f>IF($A764="","",[1]!thsiFinD("ths_adjustment_nv_fund",V$3,$A764))</x:f>
        <x:v>#NAME?</x:v>
      </x:c>
      <x:c r="W764" t="e">
        <x:f>IF($A764="","",[1]!thsiFinD("ths_adjustment_nv_fund",W$3,$A764))</x:f>
        <x:v>#NAME?</x:v>
      </x:c>
      <x:c r="X764" t="e">
        <x:f>IF($A764="","",[1]!thsiFinD("ths_adjustment_nv_fund",X$3,$A764))</x:f>
        <x:v>#NAME?</x:v>
      </x:c>
      <x:c r="Y764" t="e">
        <x:f>IF($A764="","",[1]!thsiFinD("ths_adjustment_nv_fund",Y$3,$A764))</x:f>
        <x:v>#NAME?</x:v>
      </x:c>
    </x:row>
    <x:row r="765">
      <x:c r="B765" t="e">
        <x:f>IF($A765="","",[1]!thsiFinD("ths_adjustment_nv_fund",B$3,$A765))</x:f>
        <x:v>#NAME?</x:v>
      </x:c>
      <x:c r="C765" t="e">
        <x:f>IF($A765="","",[1]!thsiFinD("ths_adjustment_nv_fund",C$3,$A765))</x:f>
        <x:v>#NAME?</x:v>
      </x:c>
      <x:c r="D765" t="e">
        <x:f>IF($A765="","",[1]!thsiFinD("ths_adjustment_nv_fund",D$3,$A765))</x:f>
        <x:v>#NAME?</x:v>
      </x:c>
      <x:c r="E765" t="e">
        <x:f>IF($A765="","",[1]!thsiFinD("ths_adjustment_nv_fund",E$3,$A765))</x:f>
        <x:v>#NAME?</x:v>
      </x:c>
      <x:c r="F765" t="e">
        <x:f>IF($A765="","",[1]!thsiFinD("ths_adjustment_nv_fund",F$3,$A765))</x:f>
        <x:v>#NAME?</x:v>
      </x:c>
      <x:c r="G765" t="e">
        <x:f>IF($A765="","",[1]!thsiFinD("ths_adjustment_nv_fund",G$3,$A765))</x:f>
        <x:v>#NAME?</x:v>
      </x:c>
      <x:c r="H765" t="e">
        <x:f>IF($A765="","",[1]!thsiFinD("ths_adjustment_nv_fund",H$3,$A765))</x:f>
        <x:v>#NAME?</x:v>
      </x:c>
      <x:c r="I765" t="e">
        <x:f>IF($A765="","",[1]!thsiFinD("ths_adjustment_nv_fund",I$3,$A765))</x:f>
        <x:v>#NAME?</x:v>
      </x:c>
      <x:c r="J765" t="e">
        <x:f>IF($A765="","",[1]!thsiFinD("ths_adjustment_nv_fund",J$3,$A765))</x:f>
        <x:v>#NAME?</x:v>
      </x:c>
      <x:c r="K765" t="e">
        <x:f>IF($A765="","",[1]!thsiFinD("ths_adjustment_nv_fund",K$3,$A765))</x:f>
        <x:v>#NAME?</x:v>
      </x:c>
      <x:c r="L765" t="e">
        <x:f>IF($A765="","",[1]!thsiFinD("ths_adjustment_nv_fund",L$3,$A765))</x:f>
        <x:v>#NAME?</x:v>
      </x:c>
      <x:c r="M765" t="e">
        <x:f>IF($A765="","",[1]!thsiFinD("ths_adjustment_nv_fund",M$3,$A765))</x:f>
        <x:v>#NAME?</x:v>
      </x:c>
      <x:c r="N765" t="e">
        <x:f>IF($A765="","",[1]!thsiFinD("ths_adjustment_nv_fund",N$3,$A765))</x:f>
        <x:v>#NAME?</x:v>
      </x:c>
      <x:c r="O765" t="e">
        <x:f>IF($A765="","",[1]!thsiFinD("ths_adjustment_nv_fund",O$3,$A765))</x:f>
        <x:v>#NAME?</x:v>
      </x:c>
      <x:c r="P765" t="e">
        <x:f>IF($A765="","",[1]!thsiFinD("ths_adjustment_nv_fund",P$3,$A765))</x:f>
        <x:v>#NAME?</x:v>
      </x:c>
      <x:c r="Q765" t="e">
        <x:f>IF($A765="","",[1]!thsiFinD("ths_adjustment_nv_fund",Q$3,$A765))</x:f>
        <x:v>#NAME?</x:v>
      </x:c>
      <x:c r="R765" t="e">
        <x:f>IF($A765="","",[1]!thsiFinD("ths_adjustment_nv_fund",R$3,$A765))</x:f>
        <x:v>#NAME?</x:v>
      </x:c>
      <x:c r="S765" t="e">
        <x:f>IF($A765="","",[1]!thsiFinD("ths_adjustment_nv_fund",S$3,$A765))</x:f>
        <x:v>#NAME?</x:v>
      </x:c>
      <x:c r="T765" t="e">
        <x:f>IF($A765="","",[1]!thsiFinD("ths_adjustment_nv_fund",T$3,$A765))</x:f>
        <x:v>#NAME?</x:v>
      </x:c>
      <x:c r="U765" t="e">
        <x:f>IF($A765="","",[1]!thsiFinD("ths_adjustment_nv_fund",U$3,$A765))</x:f>
        <x:v>#NAME?</x:v>
      </x:c>
      <x:c r="V765" t="e">
        <x:f>IF($A765="","",[1]!thsiFinD("ths_adjustment_nv_fund",V$3,$A765))</x:f>
        <x:v>#NAME?</x:v>
      </x:c>
      <x:c r="W765" t="e">
        <x:f>IF($A765="","",[1]!thsiFinD("ths_adjustment_nv_fund",W$3,$A765))</x:f>
        <x:v>#NAME?</x:v>
      </x:c>
      <x:c r="X765" t="e">
        <x:f>IF($A765="","",[1]!thsiFinD("ths_adjustment_nv_fund",X$3,$A765))</x:f>
        <x:v>#NAME?</x:v>
      </x:c>
      <x:c r="Y765" t="e">
        <x:f>IF($A765="","",[1]!thsiFinD("ths_adjustment_nv_fund",Y$3,$A765))</x:f>
        <x:v>#NAME?</x:v>
      </x:c>
    </x:row>
    <x:row r="766">
      <x:c r="B766" t="e">
        <x:f>IF($A766="","",[1]!thsiFinD("ths_adjustment_nv_fund",B$3,$A766))</x:f>
        <x:v>#NAME?</x:v>
      </x:c>
      <x:c r="C766" t="e">
        <x:f>IF($A766="","",[1]!thsiFinD("ths_adjustment_nv_fund",C$3,$A766))</x:f>
        <x:v>#NAME?</x:v>
      </x:c>
      <x:c r="D766" t="e">
        <x:f>IF($A766="","",[1]!thsiFinD("ths_adjustment_nv_fund",D$3,$A766))</x:f>
        <x:v>#NAME?</x:v>
      </x:c>
      <x:c r="E766" t="e">
        <x:f>IF($A766="","",[1]!thsiFinD("ths_adjustment_nv_fund",E$3,$A766))</x:f>
        <x:v>#NAME?</x:v>
      </x:c>
      <x:c r="F766" t="e">
        <x:f>IF($A766="","",[1]!thsiFinD("ths_adjustment_nv_fund",F$3,$A766))</x:f>
        <x:v>#NAME?</x:v>
      </x:c>
      <x:c r="G766" t="e">
        <x:f>IF($A766="","",[1]!thsiFinD("ths_adjustment_nv_fund",G$3,$A766))</x:f>
        <x:v>#NAME?</x:v>
      </x:c>
      <x:c r="H766" t="e">
        <x:f>IF($A766="","",[1]!thsiFinD("ths_adjustment_nv_fund",H$3,$A766))</x:f>
        <x:v>#NAME?</x:v>
      </x:c>
      <x:c r="I766" t="e">
        <x:f>IF($A766="","",[1]!thsiFinD("ths_adjustment_nv_fund",I$3,$A766))</x:f>
        <x:v>#NAME?</x:v>
      </x:c>
      <x:c r="J766" t="e">
        <x:f>IF($A766="","",[1]!thsiFinD("ths_adjustment_nv_fund",J$3,$A766))</x:f>
        <x:v>#NAME?</x:v>
      </x:c>
      <x:c r="K766" t="e">
        <x:f>IF($A766="","",[1]!thsiFinD("ths_adjustment_nv_fund",K$3,$A766))</x:f>
        <x:v>#NAME?</x:v>
      </x:c>
      <x:c r="L766" t="e">
        <x:f>IF($A766="","",[1]!thsiFinD("ths_adjustment_nv_fund",L$3,$A766))</x:f>
        <x:v>#NAME?</x:v>
      </x:c>
      <x:c r="M766" t="e">
        <x:f>IF($A766="","",[1]!thsiFinD("ths_adjustment_nv_fund",M$3,$A766))</x:f>
        <x:v>#NAME?</x:v>
      </x:c>
      <x:c r="N766" t="e">
        <x:f>IF($A766="","",[1]!thsiFinD("ths_adjustment_nv_fund",N$3,$A766))</x:f>
        <x:v>#NAME?</x:v>
      </x:c>
      <x:c r="O766" t="e">
        <x:f>IF($A766="","",[1]!thsiFinD("ths_adjustment_nv_fund",O$3,$A766))</x:f>
        <x:v>#NAME?</x:v>
      </x:c>
      <x:c r="P766" t="e">
        <x:f>IF($A766="","",[1]!thsiFinD("ths_adjustment_nv_fund",P$3,$A766))</x:f>
        <x:v>#NAME?</x:v>
      </x:c>
      <x:c r="Q766" t="e">
        <x:f>IF($A766="","",[1]!thsiFinD("ths_adjustment_nv_fund",Q$3,$A766))</x:f>
        <x:v>#NAME?</x:v>
      </x:c>
      <x:c r="R766" t="e">
        <x:f>IF($A766="","",[1]!thsiFinD("ths_adjustment_nv_fund",R$3,$A766))</x:f>
        <x:v>#NAME?</x:v>
      </x:c>
      <x:c r="S766" t="e">
        <x:f>IF($A766="","",[1]!thsiFinD("ths_adjustment_nv_fund",S$3,$A766))</x:f>
        <x:v>#NAME?</x:v>
      </x:c>
      <x:c r="T766" t="e">
        <x:f>IF($A766="","",[1]!thsiFinD("ths_adjustment_nv_fund",T$3,$A766))</x:f>
        <x:v>#NAME?</x:v>
      </x:c>
      <x:c r="U766" t="e">
        <x:f>IF($A766="","",[1]!thsiFinD("ths_adjustment_nv_fund",U$3,$A766))</x:f>
        <x:v>#NAME?</x:v>
      </x:c>
      <x:c r="V766" t="e">
        <x:f>IF($A766="","",[1]!thsiFinD("ths_adjustment_nv_fund",V$3,$A766))</x:f>
        <x:v>#NAME?</x:v>
      </x:c>
      <x:c r="W766" t="e">
        <x:f>IF($A766="","",[1]!thsiFinD("ths_adjustment_nv_fund",W$3,$A766))</x:f>
        <x:v>#NAME?</x:v>
      </x:c>
      <x:c r="X766" t="e">
        <x:f>IF($A766="","",[1]!thsiFinD("ths_adjustment_nv_fund",X$3,$A766))</x:f>
        <x:v>#NAME?</x:v>
      </x:c>
      <x:c r="Y766" t="e">
        <x:f>IF($A766="","",[1]!thsiFinD("ths_adjustment_nv_fund",Y$3,$A766))</x:f>
        <x:v>#NAME?</x:v>
      </x:c>
    </x:row>
    <x:row r="767">
      <x:c r="B767" t="e">
        <x:f>IF($A767="","",[1]!thsiFinD("ths_adjustment_nv_fund",B$3,$A767))</x:f>
        <x:v>#NAME?</x:v>
      </x:c>
      <x:c r="C767" t="e">
        <x:f>IF($A767="","",[1]!thsiFinD("ths_adjustment_nv_fund",C$3,$A767))</x:f>
        <x:v>#NAME?</x:v>
      </x:c>
      <x:c r="D767" t="e">
        <x:f>IF($A767="","",[1]!thsiFinD("ths_adjustment_nv_fund",D$3,$A767))</x:f>
        <x:v>#NAME?</x:v>
      </x:c>
      <x:c r="E767" t="e">
        <x:f>IF($A767="","",[1]!thsiFinD("ths_adjustment_nv_fund",E$3,$A767))</x:f>
        <x:v>#NAME?</x:v>
      </x:c>
      <x:c r="F767" t="e">
        <x:f>IF($A767="","",[1]!thsiFinD("ths_adjustment_nv_fund",F$3,$A767))</x:f>
        <x:v>#NAME?</x:v>
      </x:c>
      <x:c r="G767" t="e">
        <x:f>IF($A767="","",[1]!thsiFinD("ths_adjustment_nv_fund",G$3,$A767))</x:f>
        <x:v>#NAME?</x:v>
      </x:c>
      <x:c r="H767" t="e">
        <x:f>IF($A767="","",[1]!thsiFinD("ths_adjustment_nv_fund",H$3,$A767))</x:f>
        <x:v>#NAME?</x:v>
      </x:c>
      <x:c r="I767" t="e">
        <x:f>IF($A767="","",[1]!thsiFinD("ths_adjustment_nv_fund",I$3,$A767))</x:f>
        <x:v>#NAME?</x:v>
      </x:c>
      <x:c r="J767" t="e">
        <x:f>IF($A767="","",[1]!thsiFinD("ths_adjustment_nv_fund",J$3,$A767))</x:f>
        <x:v>#NAME?</x:v>
      </x:c>
      <x:c r="K767" t="e">
        <x:f>IF($A767="","",[1]!thsiFinD("ths_adjustment_nv_fund",K$3,$A767))</x:f>
        <x:v>#NAME?</x:v>
      </x:c>
      <x:c r="L767" t="e">
        <x:f>IF($A767="","",[1]!thsiFinD("ths_adjustment_nv_fund",L$3,$A767))</x:f>
        <x:v>#NAME?</x:v>
      </x:c>
      <x:c r="M767" t="e">
        <x:f>IF($A767="","",[1]!thsiFinD("ths_adjustment_nv_fund",M$3,$A767))</x:f>
        <x:v>#NAME?</x:v>
      </x:c>
      <x:c r="N767" t="e">
        <x:f>IF($A767="","",[1]!thsiFinD("ths_adjustment_nv_fund",N$3,$A767))</x:f>
        <x:v>#NAME?</x:v>
      </x:c>
      <x:c r="O767" t="e">
        <x:f>IF($A767="","",[1]!thsiFinD("ths_adjustment_nv_fund",O$3,$A767))</x:f>
        <x:v>#NAME?</x:v>
      </x:c>
      <x:c r="P767" t="e">
        <x:f>IF($A767="","",[1]!thsiFinD("ths_adjustment_nv_fund",P$3,$A767))</x:f>
        <x:v>#NAME?</x:v>
      </x:c>
      <x:c r="Q767" t="e">
        <x:f>IF($A767="","",[1]!thsiFinD("ths_adjustment_nv_fund",Q$3,$A767))</x:f>
        <x:v>#NAME?</x:v>
      </x:c>
      <x:c r="R767" t="e">
        <x:f>IF($A767="","",[1]!thsiFinD("ths_adjustment_nv_fund",R$3,$A767))</x:f>
        <x:v>#NAME?</x:v>
      </x:c>
      <x:c r="S767" t="e">
        <x:f>IF($A767="","",[1]!thsiFinD("ths_adjustment_nv_fund",S$3,$A767))</x:f>
        <x:v>#NAME?</x:v>
      </x:c>
      <x:c r="T767" t="e">
        <x:f>IF($A767="","",[1]!thsiFinD("ths_adjustment_nv_fund",T$3,$A767))</x:f>
        <x:v>#NAME?</x:v>
      </x:c>
      <x:c r="U767" t="e">
        <x:f>IF($A767="","",[1]!thsiFinD("ths_adjustment_nv_fund",U$3,$A767))</x:f>
        <x:v>#NAME?</x:v>
      </x:c>
      <x:c r="V767" t="e">
        <x:f>IF($A767="","",[1]!thsiFinD("ths_adjustment_nv_fund",V$3,$A767))</x:f>
        <x:v>#NAME?</x:v>
      </x:c>
      <x:c r="W767" t="e">
        <x:f>IF($A767="","",[1]!thsiFinD("ths_adjustment_nv_fund",W$3,$A767))</x:f>
        <x:v>#NAME?</x:v>
      </x:c>
      <x:c r="X767" t="e">
        <x:f>IF($A767="","",[1]!thsiFinD("ths_adjustment_nv_fund",X$3,$A767))</x:f>
        <x:v>#NAME?</x:v>
      </x:c>
      <x:c r="Y767" t="e">
        <x:f>IF($A767="","",[1]!thsiFinD("ths_adjustment_nv_fund",Y$3,$A767))</x:f>
        <x:v>#NAME?</x:v>
      </x:c>
    </x:row>
    <x:row r="768">
      <x:c r="B768" t="e">
        <x:f>IF($A768="","",[1]!thsiFinD("ths_adjustment_nv_fund",B$3,$A768))</x:f>
        <x:v>#NAME?</x:v>
      </x:c>
      <x:c r="C768" t="e">
        <x:f>IF($A768="","",[1]!thsiFinD("ths_adjustment_nv_fund",C$3,$A768))</x:f>
        <x:v>#NAME?</x:v>
      </x:c>
      <x:c r="D768" t="e">
        <x:f>IF($A768="","",[1]!thsiFinD("ths_adjustment_nv_fund",D$3,$A768))</x:f>
        <x:v>#NAME?</x:v>
      </x:c>
      <x:c r="E768" t="e">
        <x:f>IF($A768="","",[1]!thsiFinD("ths_adjustment_nv_fund",E$3,$A768))</x:f>
        <x:v>#NAME?</x:v>
      </x:c>
      <x:c r="F768" t="e">
        <x:f>IF($A768="","",[1]!thsiFinD("ths_adjustment_nv_fund",F$3,$A768))</x:f>
        <x:v>#NAME?</x:v>
      </x:c>
      <x:c r="G768" t="e">
        <x:f>IF($A768="","",[1]!thsiFinD("ths_adjustment_nv_fund",G$3,$A768))</x:f>
        <x:v>#NAME?</x:v>
      </x:c>
      <x:c r="H768" t="e">
        <x:f>IF($A768="","",[1]!thsiFinD("ths_adjustment_nv_fund",H$3,$A768))</x:f>
        <x:v>#NAME?</x:v>
      </x:c>
      <x:c r="I768" t="e">
        <x:f>IF($A768="","",[1]!thsiFinD("ths_adjustment_nv_fund",I$3,$A768))</x:f>
        <x:v>#NAME?</x:v>
      </x:c>
      <x:c r="J768" t="e">
        <x:f>IF($A768="","",[1]!thsiFinD("ths_adjustment_nv_fund",J$3,$A768))</x:f>
        <x:v>#NAME?</x:v>
      </x:c>
      <x:c r="K768" t="e">
        <x:f>IF($A768="","",[1]!thsiFinD("ths_adjustment_nv_fund",K$3,$A768))</x:f>
        <x:v>#NAME?</x:v>
      </x:c>
      <x:c r="L768" t="e">
        <x:f>IF($A768="","",[1]!thsiFinD("ths_adjustment_nv_fund",L$3,$A768))</x:f>
        <x:v>#NAME?</x:v>
      </x:c>
      <x:c r="M768" t="e">
        <x:f>IF($A768="","",[1]!thsiFinD("ths_adjustment_nv_fund",M$3,$A768))</x:f>
        <x:v>#NAME?</x:v>
      </x:c>
      <x:c r="N768" t="e">
        <x:f>IF($A768="","",[1]!thsiFinD("ths_adjustment_nv_fund",N$3,$A768))</x:f>
        <x:v>#NAME?</x:v>
      </x:c>
      <x:c r="O768" t="e">
        <x:f>IF($A768="","",[1]!thsiFinD("ths_adjustment_nv_fund",O$3,$A768))</x:f>
        <x:v>#NAME?</x:v>
      </x:c>
      <x:c r="P768" t="e">
        <x:f>IF($A768="","",[1]!thsiFinD("ths_adjustment_nv_fund",P$3,$A768))</x:f>
        <x:v>#NAME?</x:v>
      </x:c>
      <x:c r="Q768" t="e">
        <x:f>IF($A768="","",[1]!thsiFinD("ths_adjustment_nv_fund",Q$3,$A768))</x:f>
        <x:v>#NAME?</x:v>
      </x:c>
      <x:c r="R768" t="e">
        <x:f>IF($A768="","",[1]!thsiFinD("ths_adjustment_nv_fund",R$3,$A768))</x:f>
        <x:v>#NAME?</x:v>
      </x:c>
      <x:c r="S768" t="e">
        <x:f>IF($A768="","",[1]!thsiFinD("ths_adjustment_nv_fund",S$3,$A768))</x:f>
        <x:v>#NAME?</x:v>
      </x:c>
      <x:c r="T768" t="e">
        <x:f>IF($A768="","",[1]!thsiFinD("ths_adjustment_nv_fund",T$3,$A768))</x:f>
        <x:v>#NAME?</x:v>
      </x:c>
      <x:c r="U768" t="e">
        <x:f>IF($A768="","",[1]!thsiFinD("ths_adjustment_nv_fund",U$3,$A768))</x:f>
        <x:v>#NAME?</x:v>
      </x:c>
      <x:c r="V768" t="e">
        <x:f>IF($A768="","",[1]!thsiFinD("ths_adjustment_nv_fund",V$3,$A768))</x:f>
        <x:v>#NAME?</x:v>
      </x:c>
      <x:c r="W768" t="e">
        <x:f>IF($A768="","",[1]!thsiFinD("ths_adjustment_nv_fund",W$3,$A768))</x:f>
        <x:v>#NAME?</x:v>
      </x:c>
      <x:c r="X768" t="e">
        <x:f>IF($A768="","",[1]!thsiFinD("ths_adjustment_nv_fund",X$3,$A768))</x:f>
        <x:v>#NAME?</x:v>
      </x:c>
      <x:c r="Y768" t="e">
        <x:f>IF($A768="","",[1]!thsiFinD("ths_adjustment_nv_fund",Y$3,$A768))</x:f>
        <x:v>#NAME?</x:v>
      </x:c>
    </x:row>
    <x:row r="769">
      <x:c r="B769" t="e">
        <x:f>IF($A769="","",[1]!thsiFinD("ths_adjustment_nv_fund",B$3,$A769))</x:f>
        <x:v>#NAME?</x:v>
      </x:c>
      <x:c r="C769" t="e">
        <x:f>IF($A769="","",[1]!thsiFinD("ths_adjustment_nv_fund",C$3,$A769))</x:f>
        <x:v>#NAME?</x:v>
      </x:c>
      <x:c r="D769" t="e">
        <x:f>IF($A769="","",[1]!thsiFinD("ths_adjustment_nv_fund",D$3,$A769))</x:f>
        <x:v>#NAME?</x:v>
      </x:c>
      <x:c r="E769" t="e">
        <x:f>IF($A769="","",[1]!thsiFinD("ths_adjustment_nv_fund",E$3,$A769))</x:f>
        <x:v>#NAME?</x:v>
      </x:c>
      <x:c r="F769" t="e">
        <x:f>IF($A769="","",[1]!thsiFinD("ths_adjustment_nv_fund",F$3,$A769))</x:f>
        <x:v>#NAME?</x:v>
      </x:c>
      <x:c r="G769" t="e">
        <x:f>IF($A769="","",[1]!thsiFinD("ths_adjustment_nv_fund",G$3,$A769))</x:f>
        <x:v>#NAME?</x:v>
      </x:c>
      <x:c r="H769" t="e">
        <x:f>IF($A769="","",[1]!thsiFinD("ths_adjustment_nv_fund",H$3,$A769))</x:f>
        <x:v>#NAME?</x:v>
      </x:c>
      <x:c r="I769" t="e">
        <x:f>IF($A769="","",[1]!thsiFinD("ths_adjustment_nv_fund",I$3,$A769))</x:f>
        <x:v>#NAME?</x:v>
      </x:c>
      <x:c r="J769" t="e">
        <x:f>IF($A769="","",[1]!thsiFinD("ths_adjustment_nv_fund",J$3,$A769))</x:f>
        <x:v>#NAME?</x:v>
      </x:c>
      <x:c r="K769" t="e">
        <x:f>IF($A769="","",[1]!thsiFinD("ths_adjustment_nv_fund",K$3,$A769))</x:f>
        <x:v>#NAME?</x:v>
      </x:c>
      <x:c r="L769" t="e">
        <x:f>IF($A769="","",[1]!thsiFinD("ths_adjustment_nv_fund",L$3,$A769))</x:f>
        <x:v>#NAME?</x:v>
      </x:c>
      <x:c r="M769" t="e">
        <x:f>IF($A769="","",[1]!thsiFinD("ths_adjustment_nv_fund",M$3,$A769))</x:f>
        <x:v>#NAME?</x:v>
      </x:c>
      <x:c r="N769" t="e">
        <x:f>IF($A769="","",[1]!thsiFinD("ths_adjustment_nv_fund",N$3,$A769))</x:f>
        <x:v>#NAME?</x:v>
      </x:c>
      <x:c r="O769" t="e">
        <x:f>IF($A769="","",[1]!thsiFinD("ths_adjustment_nv_fund",O$3,$A769))</x:f>
        <x:v>#NAME?</x:v>
      </x:c>
      <x:c r="P769" t="e">
        <x:f>IF($A769="","",[1]!thsiFinD("ths_adjustment_nv_fund",P$3,$A769))</x:f>
        <x:v>#NAME?</x:v>
      </x:c>
      <x:c r="Q769" t="e">
        <x:f>IF($A769="","",[1]!thsiFinD("ths_adjustment_nv_fund",Q$3,$A769))</x:f>
        <x:v>#NAME?</x:v>
      </x:c>
      <x:c r="R769" t="e">
        <x:f>IF($A769="","",[1]!thsiFinD("ths_adjustment_nv_fund",R$3,$A769))</x:f>
        <x:v>#NAME?</x:v>
      </x:c>
      <x:c r="S769" t="e">
        <x:f>IF($A769="","",[1]!thsiFinD("ths_adjustment_nv_fund",S$3,$A769))</x:f>
        <x:v>#NAME?</x:v>
      </x:c>
      <x:c r="T769" t="e">
        <x:f>IF($A769="","",[1]!thsiFinD("ths_adjustment_nv_fund",T$3,$A769))</x:f>
        <x:v>#NAME?</x:v>
      </x:c>
      <x:c r="U769" t="e">
        <x:f>IF($A769="","",[1]!thsiFinD("ths_adjustment_nv_fund",U$3,$A769))</x:f>
        <x:v>#NAME?</x:v>
      </x:c>
      <x:c r="V769" t="e">
        <x:f>IF($A769="","",[1]!thsiFinD("ths_adjustment_nv_fund",V$3,$A769))</x:f>
        <x:v>#NAME?</x:v>
      </x:c>
      <x:c r="W769" t="e">
        <x:f>IF($A769="","",[1]!thsiFinD("ths_adjustment_nv_fund",W$3,$A769))</x:f>
        <x:v>#NAME?</x:v>
      </x:c>
      <x:c r="X769" t="e">
        <x:f>IF($A769="","",[1]!thsiFinD("ths_adjustment_nv_fund",X$3,$A769))</x:f>
        <x:v>#NAME?</x:v>
      </x:c>
      <x:c r="Y769" t="e">
        <x:f>IF($A769="","",[1]!thsiFinD("ths_adjustment_nv_fund",Y$3,$A769))</x:f>
        <x:v>#NAME?</x:v>
      </x:c>
    </x:row>
    <x:row r="770">
      <x:c r="B770" t="e">
        <x:f>IF($A770="","",[1]!thsiFinD("ths_adjustment_nv_fund",B$3,$A770))</x:f>
        <x:v>#NAME?</x:v>
      </x:c>
      <x:c r="C770" t="e">
        <x:f>IF($A770="","",[1]!thsiFinD("ths_adjustment_nv_fund",C$3,$A770))</x:f>
        <x:v>#NAME?</x:v>
      </x:c>
      <x:c r="D770" t="e">
        <x:f>IF($A770="","",[1]!thsiFinD("ths_adjustment_nv_fund",D$3,$A770))</x:f>
        <x:v>#NAME?</x:v>
      </x:c>
      <x:c r="E770" t="e">
        <x:f>IF($A770="","",[1]!thsiFinD("ths_adjustment_nv_fund",E$3,$A770))</x:f>
        <x:v>#NAME?</x:v>
      </x:c>
      <x:c r="F770" t="e">
        <x:f>IF($A770="","",[1]!thsiFinD("ths_adjustment_nv_fund",F$3,$A770))</x:f>
        <x:v>#NAME?</x:v>
      </x:c>
      <x:c r="G770" t="e">
        <x:f>IF($A770="","",[1]!thsiFinD("ths_adjustment_nv_fund",G$3,$A770))</x:f>
        <x:v>#NAME?</x:v>
      </x:c>
      <x:c r="H770" t="e">
        <x:f>IF($A770="","",[1]!thsiFinD("ths_adjustment_nv_fund",H$3,$A770))</x:f>
        <x:v>#NAME?</x:v>
      </x:c>
      <x:c r="I770" t="e">
        <x:f>IF($A770="","",[1]!thsiFinD("ths_adjustment_nv_fund",I$3,$A770))</x:f>
        <x:v>#NAME?</x:v>
      </x:c>
      <x:c r="J770" t="e">
        <x:f>IF($A770="","",[1]!thsiFinD("ths_adjustment_nv_fund",J$3,$A770))</x:f>
        <x:v>#NAME?</x:v>
      </x:c>
      <x:c r="K770" t="e">
        <x:f>IF($A770="","",[1]!thsiFinD("ths_adjustment_nv_fund",K$3,$A770))</x:f>
        <x:v>#NAME?</x:v>
      </x:c>
      <x:c r="L770" t="e">
        <x:f>IF($A770="","",[1]!thsiFinD("ths_adjustment_nv_fund",L$3,$A770))</x:f>
        <x:v>#NAME?</x:v>
      </x:c>
      <x:c r="M770" t="e">
        <x:f>IF($A770="","",[1]!thsiFinD("ths_adjustment_nv_fund",M$3,$A770))</x:f>
        <x:v>#NAME?</x:v>
      </x:c>
      <x:c r="N770" t="e">
        <x:f>IF($A770="","",[1]!thsiFinD("ths_adjustment_nv_fund",N$3,$A770))</x:f>
        <x:v>#NAME?</x:v>
      </x:c>
      <x:c r="O770" t="e">
        <x:f>IF($A770="","",[1]!thsiFinD("ths_adjustment_nv_fund",O$3,$A770))</x:f>
        <x:v>#NAME?</x:v>
      </x:c>
      <x:c r="P770" t="e">
        <x:f>IF($A770="","",[1]!thsiFinD("ths_adjustment_nv_fund",P$3,$A770))</x:f>
        <x:v>#NAME?</x:v>
      </x:c>
      <x:c r="Q770" t="e">
        <x:f>IF($A770="","",[1]!thsiFinD("ths_adjustment_nv_fund",Q$3,$A770))</x:f>
        <x:v>#NAME?</x:v>
      </x:c>
      <x:c r="R770" t="e">
        <x:f>IF($A770="","",[1]!thsiFinD("ths_adjustment_nv_fund",R$3,$A770))</x:f>
        <x:v>#NAME?</x:v>
      </x:c>
      <x:c r="S770" t="e">
        <x:f>IF($A770="","",[1]!thsiFinD("ths_adjustment_nv_fund",S$3,$A770))</x:f>
        <x:v>#NAME?</x:v>
      </x:c>
      <x:c r="T770" t="e">
        <x:f>IF($A770="","",[1]!thsiFinD("ths_adjustment_nv_fund",T$3,$A770))</x:f>
        <x:v>#NAME?</x:v>
      </x:c>
      <x:c r="U770" t="e">
        <x:f>IF($A770="","",[1]!thsiFinD("ths_adjustment_nv_fund",U$3,$A770))</x:f>
        <x:v>#NAME?</x:v>
      </x:c>
      <x:c r="V770" t="e">
        <x:f>IF($A770="","",[1]!thsiFinD("ths_adjustment_nv_fund",V$3,$A770))</x:f>
        <x:v>#NAME?</x:v>
      </x:c>
      <x:c r="W770" t="e">
        <x:f>IF($A770="","",[1]!thsiFinD("ths_adjustment_nv_fund",W$3,$A770))</x:f>
        <x:v>#NAME?</x:v>
      </x:c>
      <x:c r="X770" t="e">
        <x:f>IF($A770="","",[1]!thsiFinD("ths_adjustment_nv_fund",X$3,$A770))</x:f>
        <x:v>#NAME?</x:v>
      </x:c>
      <x:c r="Y770" t="e">
        <x:f>IF($A770="","",[1]!thsiFinD("ths_adjustment_nv_fund",Y$3,$A770))</x:f>
        <x:v>#NAME?</x:v>
      </x:c>
    </x:row>
    <x:row r="771">
      <x:c r="B771" t="e">
        <x:f>IF($A771="","",[1]!thsiFinD("ths_adjustment_nv_fund",B$3,$A771))</x:f>
        <x:v>#NAME?</x:v>
      </x:c>
      <x:c r="C771" t="e">
        <x:f>IF($A771="","",[1]!thsiFinD("ths_adjustment_nv_fund",C$3,$A771))</x:f>
        <x:v>#NAME?</x:v>
      </x:c>
      <x:c r="D771" t="e">
        <x:f>IF($A771="","",[1]!thsiFinD("ths_adjustment_nv_fund",D$3,$A771))</x:f>
        <x:v>#NAME?</x:v>
      </x:c>
      <x:c r="E771" t="e">
        <x:f>IF($A771="","",[1]!thsiFinD("ths_adjustment_nv_fund",E$3,$A771))</x:f>
        <x:v>#NAME?</x:v>
      </x:c>
      <x:c r="F771" t="e">
        <x:f>IF($A771="","",[1]!thsiFinD("ths_adjustment_nv_fund",F$3,$A771))</x:f>
        <x:v>#NAME?</x:v>
      </x:c>
      <x:c r="G771" t="e">
        <x:f>IF($A771="","",[1]!thsiFinD("ths_adjustment_nv_fund",G$3,$A771))</x:f>
        <x:v>#NAME?</x:v>
      </x:c>
      <x:c r="H771" t="e">
        <x:f>IF($A771="","",[1]!thsiFinD("ths_adjustment_nv_fund",H$3,$A771))</x:f>
        <x:v>#NAME?</x:v>
      </x:c>
      <x:c r="I771" t="e">
        <x:f>IF($A771="","",[1]!thsiFinD("ths_adjustment_nv_fund",I$3,$A771))</x:f>
        <x:v>#NAME?</x:v>
      </x:c>
      <x:c r="J771" t="e">
        <x:f>IF($A771="","",[1]!thsiFinD("ths_adjustment_nv_fund",J$3,$A771))</x:f>
        <x:v>#NAME?</x:v>
      </x:c>
      <x:c r="K771" t="e">
        <x:f>IF($A771="","",[1]!thsiFinD("ths_adjustment_nv_fund",K$3,$A771))</x:f>
        <x:v>#NAME?</x:v>
      </x:c>
      <x:c r="L771" t="e">
        <x:f>IF($A771="","",[1]!thsiFinD("ths_adjustment_nv_fund",L$3,$A771))</x:f>
        <x:v>#NAME?</x:v>
      </x:c>
      <x:c r="M771" t="e">
        <x:f>IF($A771="","",[1]!thsiFinD("ths_adjustment_nv_fund",M$3,$A771))</x:f>
        <x:v>#NAME?</x:v>
      </x:c>
      <x:c r="N771" t="e">
        <x:f>IF($A771="","",[1]!thsiFinD("ths_adjustment_nv_fund",N$3,$A771))</x:f>
        <x:v>#NAME?</x:v>
      </x:c>
      <x:c r="O771" t="e">
        <x:f>IF($A771="","",[1]!thsiFinD("ths_adjustment_nv_fund",O$3,$A771))</x:f>
        <x:v>#NAME?</x:v>
      </x:c>
      <x:c r="P771" t="e">
        <x:f>IF($A771="","",[1]!thsiFinD("ths_adjustment_nv_fund",P$3,$A771))</x:f>
        <x:v>#NAME?</x:v>
      </x:c>
      <x:c r="Q771" t="e">
        <x:f>IF($A771="","",[1]!thsiFinD("ths_adjustment_nv_fund",Q$3,$A771))</x:f>
        <x:v>#NAME?</x:v>
      </x:c>
      <x:c r="R771" t="e">
        <x:f>IF($A771="","",[1]!thsiFinD("ths_adjustment_nv_fund",R$3,$A771))</x:f>
        <x:v>#NAME?</x:v>
      </x:c>
      <x:c r="S771" t="e">
        <x:f>IF($A771="","",[1]!thsiFinD("ths_adjustment_nv_fund",S$3,$A771))</x:f>
        <x:v>#NAME?</x:v>
      </x:c>
      <x:c r="T771" t="e">
        <x:f>IF($A771="","",[1]!thsiFinD("ths_adjustment_nv_fund",T$3,$A771))</x:f>
        <x:v>#NAME?</x:v>
      </x:c>
      <x:c r="U771" t="e">
        <x:f>IF($A771="","",[1]!thsiFinD("ths_adjustment_nv_fund",U$3,$A771))</x:f>
        <x:v>#NAME?</x:v>
      </x:c>
      <x:c r="V771" t="e">
        <x:f>IF($A771="","",[1]!thsiFinD("ths_adjustment_nv_fund",V$3,$A771))</x:f>
        <x:v>#NAME?</x:v>
      </x:c>
      <x:c r="W771" t="e">
        <x:f>IF($A771="","",[1]!thsiFinD("ths_adjustment_nv_fund",W$3,$A771))</x:f>
        <x:v>#NAME?</x:v>
      </x:c>
      <x:c r="X771" t="e">
        <x:f>IF($A771="","",[1]!thsiFinD("ths_adjustment_nv_fund",X$3,$A771))</x:f>
        <x:v>#NAME?</x:v>
      </x:c>
      <x:c r="Y771" t="e">
        <x:f>IF($A771="","",[1]!thsiFinD("ths_adjustment_nv_fund",Y$3,$A771))</x:f>
        <x:v>#NAME?</x:v>
      </x:c>
    </x:row>
    <x:row r="772">
      <x:c r="B772" t="e">
        <x:f>IF($A772="","",[1]!thsiFinD("ths_adjustment_nv_fund",B$3,$A772))</x:f>
        <x:v>#NAME?</x:v>
      </x:c>
      <x:c r="C772" t="e">
        <x:f>IF($A772="","",[1]!thsiFinD("ths_adjustment_nv_fund",C$3,$A772))</x:f>
        <x:v>#NAME?</x:v>
      </x:c>
      <x:c r="D772" t="e">
        <x:f>IF($A772="","",[1]!thsiFinD("ths_adjustment_nv_fund",D$3,$A772))</x:f>
        <x:v>#NAME?</x:v>
      </x:c>
      <x:c r="E772" t="e">
        <x:f>IF($A772="","",[1]!thsiFinD("ths_adjustment_nv_fund",E$3,$A772))</x:f>
        <x:v>#NAME?</x:v>
      </x:c>
      <x:c r="F772" t="e">
        <x:f>IF($A772="","",[1]!thsiFinD("ths_adjustment_nv_fund",F$3,$A772))</x:f>
        <x:v>#NAME?</x:v>
      </x:c>
      <x:c r="G772" t="e">
        <x:f>IF($A772="","",[1]!thsiFinD("ths_adjustment_nv_fund",G$3,$A772))</x:f>
        <x:v>#NAME?</x:v>
      </x:c>
      <x:c r="H772" t="e">
        <x:f>IF($A772="","",[1]!thsiFinD("ths_adjustment_nv_fund",H$3,$A772))</x:f>
        <x:v>#NAME?</x:v>
      </x:c>
      <x:c r="I772" t="e">
        <x:f>IF($A772="","",[1]!thsiFinD("ths_adjustment_nv_fund",I$3,$A772))</x:f>
        <x:v>#NAME?</x:v>
      </x:c>
      <x:c r="J772" t="e">
        <x:f>IF($A772="","",[1]!thsiFinD("ths_adjustment_nv_fund",J$3,$A772))</x:f>
        <x:v>#NAME?</x:v>
      </x:c>
      <x:c r="K772" t="e">
        <x:f>IF($A772="","",[1]!thsiFinD("ths_adjustment_nv_fund",K$3,$A772))</x:f>
        <x:v>#NAME?</x:v>
      </x:c>
      <x:c r="L772" t="e">
        <x:f>IF($A772="","",[1]!thsiFinD("ths_adjustment_nv_fund",L$3,$A772))</x:f>
        <x:v>#NAME?</x:v>
      </x:c>
      <x:c r="M772" t="e">
        <x:f>IF($A772="","",[1]!thsiFinD("ths_adjustment_nv_fund",M$3,$A772))</x:f>
        <x:v>#NAME?</x:v>
      </x:c>
      <x:c r="N772" t="e">
        <x:f>IF($A772="","",[1]!thsiFinD("ths_adjustment_nv_fund",N$3,$A772))</x:f>
        <x:v>#NAME?</x:v>
      </x:c>
      <x:c r="O772" t="e">
        <x:f>IF($A772="","",[1]!thsiFinD("ths_adjustment_nv_fund",O$3,$A772))</x:f>
        <x:v>#NAME?</x:v>
      </x:c>
      <x:c r="P772" t="e">
        <x:f>IF($A772="","",[1]!thsiFinD("ths_adjustment_nv_fund",P$3,$A772))</x:f>
        <x:v>#NAME?</x:v>
      </x:c>
      <x:c r="Q772" t="e">
        <x:f>IF($A772="","",[1]!thsiFinD("ths_adjustment_nv_fund",Q$3,$A772))</x:f>
        <x:v>#NAME?</x:v>
      </x:c>
      <x:c r="R772" t="e">
        <x:f>IF($A772="","",[1]!thsiFinD("ths_adjustment_nv_fund",R$3,$A772))</x:f>
        <x:v>#NAME?</x:v>
      </x:c>
      <x:c r="S772" t="e">
        <x:f>IF($A772="","",[1]!thsiFinD("ths_adjustment_nv_fund",S$3,$A772))</x:f>
        <x:v>#NAME?</x:v>
      </x:c>
      <x:c r="T772" t="e">
        <x:f>IF($A772="","",[1]!thsiFinD("ths_adjustment_nv_fund",T$3,$A772))</x:f>
        <x:v>#NAME?</x:v>
      </x:c>
      <x:c r="U772" t="e">
        <x:f>IF($A772="","",[1]!thsiFinD("ths_adjustment_nv_fund",U$3,$A772))</x:f>
        <x:v>#NAME?</x:v>
      </x:c>
      <x:c r="V772" t="e">
        <x:f>IF($A772="","",[1]!thsiFinD("ths_adjustment_nv_fund",V$3,$A772))</x:f>
        <x:v>#NAME?</x:v>
      </x:c>
      <x:c r="W772" t="e">
        <x:f>IF($A772="","",[1]!thsiFinD("ths_adjustment_nv_fund",W$3,$A772))</x:f>
        <x:v>#NAME?</x:v>
      </x:c>
      <x:c r="X772" t="e">
        <x:f>IF($A772="","",[1]!thsiFinD("ths_adjustment_nv_fund",X$3,$A772))</x:f>
        <x:v>#NAME?</x:v>
      </x:c>
      <x:c r="Y772" t="e">
        <x:f>IF($A772="","",[1]!thsiFinD("ths_adjustment_nv_fund",Y$3,$A772))</x:f>
        <x:v>#NAME?</x:v>
      </x:c>
    </x:row>
    <x:row r="773">
      <x:c r="B773" t="e">
        <x:f>IF($A773="","",[1]!thsiFinD("ths_adjustment_nv_fund",B$3,$A773))</x:f>
        <x:v>#NAME?</x:v>
      </x:c>
      <x:c r="C773" t="e">
        <x:f>IF($A773="","",[1]!thsiFinD("ths_adjustment_nv_fund",C$3,$A773))</x:f>
        <x:v>#NAME?</x:v>
      </x:c>
      <x:c r="D773" t="e">
        <x:f>IF($A773="","",[1]!thsiFinD("ths_adjustment_nv_fund",D$3,$A773))</x:f>
        <x:v>#NAME?</x:v>
      </x:c>
      <x:c r="E773" t="e">
        <x:f>IF($A773="","",[1]!thsiFinD("ths_adjustment_nv_fund",E$3,$A773))</x:f>
        <x:v>#NAME?</x:v>
      </x:c>
      <x:c r="F773" t="e">
        <x:f>IF($A773="","",[1]!thsiFinD("ths_adjustment_nv_fund",F$3,$A773))</x:f>
        <x:v>#NAME?</x:v>
      </x:c>
      <x:c r="G773" t="e">
        <x:f>IF($A773="","",[1]!thsiFinD("ths_adjustment_nv_fund",G$3,$A773))</x:f>
        <x:v>#NAME?</x:v>
      </x:c>
      <x:c r="H773" t="e">
        <x:f>IF($A773="","",[1]!thsiFinD("ths_adjustment_nv_fund",H$3,$A773))</x:f>
        <x:v>#NAME?</x:v>
      </x:c>
      <x:c r="I773" t="e">
        <x:f>IF($A773="","",[1]!thsiFinD("ths_adjustment_nv_fund",I$3,$A773))</x:f>
        <x:v>#NAME?</x:v>
      </x:c>
      <x:c r="J773" t="e">
        <x:f>IF($A773="","",[1]!thsiFinD("ths_adjustment_nv_fund",J$3,$A773))</x:f>
        <x:v>#NAME?</x:v>
      </x:c>
      <x:c r="K773" t="e">
        <x:f>IF($A773="","",[1]!thsiFinD("ths_adjustment_nv_fund",K$3,$A773))</x:f>
        <x:v>#NAME?</x:v>
      </x:c>
      <x:c r="L773" t="e">
        <x:f>IF($A773="","",[1]!thsiFinD("ths_adjustment_nv_fund",L$3,$A773))</x:f>
        <x:v>#NAME?</x:v>
      </x:c>
      <x:c r="M773" t="e">
        <x:f>IF($A773="","",[1]!thsiFinD("ths_adjustment_nv_fund",M$3,$A773))</x:f>
        <x:v>#NAME?</x:v>
      </x:c>
      <x:c r="N773" t="e">
        <x:f>IF($A773="","",[1]!thsiFinD("ths_adjustment_nv_fund",N$3,$A773))</x:f>
        <x:v>#NAME?</x:v>
      </x:c>
      <x:c r="O773" t="e">
        <x:f>IF($A773="","",[1]!thsiFinD("ths_adjustment_nv_fund",O$3,$A773))</x:f>
        <x:v>#NAME?</x:v>
      </x:c>
      <x:c r="P773" t="e">
        <x:f>IF($A773="","",[1]!thsiFinD("ths_adjustment_nv_fund",P$3,$A773))</x:f>
        <x:v>#NAME?</x:v>
      </x:c>
      <x:c r="Q773" t="e">
        <x:f>IF($A773="","",[1]!thsiFinD("ths_adjustment_nv_fund",Q$3,$A773))</x:f>
        <x:v>#NAME?</x:v>
      </x:c>
      <x:c r="R773" t="e">
        <x:f>IF($A773="","",[1]!thsiFinD("ths_adjustment_nv_fund",R$3,$A773))</x:f>
        <x:v>#NAME?</x:v>
      </x:c>
      <x:c r="S773" t="e">
        <x:f>IF($A773="","",[1]!thsiFinD("ths_adjustment_nv_fund",S$3,$A773))</x:f>
        <x:v>#NAME?</x:v>
      </x:c>
      <x:c r="T773" t="e">
        <x:f>IF($A773="","",[1]!thsiFinD("ths_adjustment_nv_fund",T$3,$A773))</x:f>
        <x:v>#NAME?</x:v>
      </x:c>
      <x:c r="U773" t="e">
        <x:f>IF($A773="","",[1]!thsiFinD("ths_adjustment_nv_fund",U$3,$A773))</x:f>
        <x:v>#NAME?</x:v>
      </x:c>
      <x:c r="V773" t="e">
        <x:f>IF($A773="","",[1]!thsiFinD("ths_adjustment_nv_fund",V$3,$A773))</x:f>
        <x:v>#NAME?</x:v>
      </x:c>
      <x:c r="W773" t="e">
        <x:f>IF($A773="","",[1]!thsiFinD("ths_adjustment_nv_fund",W$3,$A773))</x:f>
        <x:v>#NAME?</x:v>
      </x:c>
      <x:c r="X773" t="e">
        <x:f>IF($A773="","",[1]!thsiFinD("ths_adjustment_nv_fund",X$3,$A773))</x:f>
        <x:v>#NAME?</x:v>
      </x:c>
      <x:c r="Y773" t="e">
        <x:f>IF($A773="","",[1]!thsiFinD("ths_adjustment_nv_fund",Y$3,$A773))</x:f>
        <x:v>#NAME?</x:v>
      </x:c>
    </x:row>
    <x:row r="774">
      <x:c r="B774" t="e">
        <x:f>IF($A774="","",[1]!thsiFinD("ths_adjustment_nv_fund",B$3,$A774))</x:f>
        <x:v>#NAME?</x:v>
      </x:c>
      <x:c r="C774" t="e">
        <x:f>IF($A774="","",[1]!thsiFinD("ths_adjustment_nv_fund",C$3,$A774))</x:f>
        <x:v>#NAME?</x:v>
      </x:c>
      <x:c r="D774" t="e">
        <x:f>IF($A774="","",[1]!thsiFinD("ths_adjustment_nv_fund",D$3,$A774))</x:f>
        <x:v>#NAME?</x:v>
      </x:c>
      <x:c r="E774" t="e">
        <x:f>IF($A774="","",[1]!thsiFinD("ths_adjustment_nv_fund",E$3,$A774))</x:f>
        <x:v>#NAME?</x:v>
      </x:c>
      <x:c r="F774" t="e">
        <x:f>IF($A774="","",[1]!thsiFinD("ths_adjustment_nv_fund",F$3,$A774))</x:f>
        <x:v>#NAME?</x:v>
      </x:c>
      <x:c r="G774" t="e">
        <x:f>IF($A774="","",[1]!thsiFinD("ths_adjustment_nv_fund",G$3,$A774))</x:f>
        <x:v>#NAME?</x:v>
      </x:c>
      <x:c r="H774" t="e">
        <x:f>IF($A774="","",[1]!thsiFinD("ths_adjustment_nv_fund",H$3,$A774))</x:f>
        <x:v>#NAME?</x:v>
      </x:c>
      <x:c r="I774" t="e">
        <x:f>IF($A774="","",[1]!thsiFinD("ths_adjustment_nv_fund",I$3,$A774))</x:f>
        <x:v>#NAME?</x:v>
      </x:c>
      <x:c r="J774" t="e">
        <x:f>IF($A774="","",[1]!thsiFinD("ths_adjustment_nv_fund",J$3,$A774))</x:f>
        <x:v>#NAME?</x:v>
      </x:c>
      <x:c r="K774" t="e">
        <x:f>IF($A774="","",[1]!thsiFinD("ths_adjustment_nv_fund",K$3,$A774))</x:f>
        <x:v>#NAME?</x:v>
      </x:c>
      <x:c r="L774" t="e">
        <x:f>IF($A774="","",[1]!thsiFinD("ths_adjustment_nv_fund",L$3,$A774))</x:f>
        <x:v>#NAME?</x:v>
      </x:c>
      <x:c r="M774" t="e">
        <x:f>IF($A774="","",[1]!thsiFinD("ths_adjustment_nv_fund",M$3,$A774))</x:f>
        <x:v>#NAME?</x:v>
      </x:c>
      <x:c r="N774" t="e">
        <x:f>IF($A774="","",[1]!thsiFinD("ths_adjustment_nv_fund",N$3,$A774))</x:f>
        <x:v>#NAME?</x:v>
      </x:c>
      <x:c r="O774" t="e">
        <x:f>IF($A774="","",[1]!thsiFinD("ths_adjustment_nv_fund",O$3,$A774))</x:f>
        <x:v>#NAME?</x:v>
      </x:c>
      <x:c r="P774" t="e">
        <x:f>IF($A774="","",[1]!thsiFinD("ths_adjustment_nv_fund",P$3,$A774))</x:f>
        <x:v>#NAME?</x:v>
      </x:c>
      <x:c r="Q774" t="e">
        <x:f>IF($A774="","",[1]!thsiFinD("ths_adjustment_nv_fund",Q$3,$A774))</x:f>
        <x:v>#NAME?</x:v>
      </x:c>
      <x:c r="R774" t="e">
        <x:f>IF($A774="","",[1]!thsiFinD("ths_adjustment_nv_fund",R$3,$A774))</x:f>
        <x:v>#NAME?</x:v>
      </x:c>
      <x:c r="S774" t="e">
        <x:f>IF($A774="","",[1]!thsiFinD("ths_adjustment_nv_fund",S$3,$A774))</x:f>
        <x:v>#NAME?</x:v>
      </x:c>
      <x:c r="T774" t="e">
        <x:f>IF($A774="","",[1]!thsiFinD("ths_adjustment_nv_fund",T$3,$A774))</x:f>
        <x:v>#NAME?</x:v>
      </x:c>
      <x:c r="U774" t="e">
        <x:f>IF($A774="","",[1]!thsiFinD("ths_adjustment_nv_fund",U$3,$A774))</x:f>
        <x:v>#NAME?</x:v>
      </x:c>
      <x:c r="V774" t="e">
        <x:f>IF($A774="","",[1]!thsiFinD("ths_adjustment_nv_fund",V$3,$A774))</x:f>
        <x:v>#NAME?</x:v>
      </x:c>
      <x:c r="W774" t="e">
        <x:f>IF($A774="","",[1]!thsiFinD("ths_adjustment_nv_fund",W$3,$A774))</x:f>
        <x:v>#NAME?</x:v>
      </x:c>
      <x:c r="X774" t="e">
        <x:f>IF($A774="","",[1]!thsiFinD("ths_adjustment_nv_fund",X$3,$A774))</x:f>
        <x:v>#NAME?</x:v>
      </x:c>
      <x:c r="Y774" t="e">
        <x:f>IF($A774="","",[1]!thsiFinD("ths_adjustment_nv_fund",Y$3,$A774))</x:f>
        <x:v>#NAME?</x:v>
      </x:c>
    </x:row>
    <x:row r="775">
      <x:c r="B775" t="e">
        <x:f>IF($A775="","",[1]!thsiFinD("ths_adjustment_nv_fund",B$3,$A775))</x:f>
        <x:v>#NAME?</x:v>
      </x:c>
      <x:c r="C775" t="e">
        <x:f>IF($A775="","",[1]!thsiFinD("ths_adjustment_nv_fund",C$3,$A775))</x:f>
        <x:v>#NAME?</x:v>
      </x:c>
      <x:c r="D775" t="e">
        <x:f>IF($A775="","",[1]!thsiFinD("ths_adjustment_nv_fund",D$3,$A775))</x:f>
        <x:v>#NAME?</x:v>
      </x:c>
      <x:c r="E775" t="e">
        <x:f>IF($A775="","",[1]!thsiFinD("ths_adjustment_nv_fund",E$3,$A775))</x:f>
        <x:v>#NAME?</x:v>
      </x:c>
      <x:c r="F775" t="e">
        <x:f>IF($A775="","",[1]!thsiFinD("ths_adjustment_nv_fund",F$3,$A775))</x:f>
        <x:v>#NAME?</x:v>
      </x:c>
      <x:c r="G775" t="e">
        <x:f>IF($A775="","",[1]!thsiFinD("ths_adjustment_nv_fund",G$3,$A775))</x:f>
        <x:v>#NAME?</x:v>
      </x:c>
      <x:c r="H775" t="e">
        <x:f>IF($A775="","",[1]!thsiFinD("ths_adjustment_nv_fund",H$3,$A775))</x:f>
        <x:v>#NAME?</x:v>
      </x:c>
      <x:c r="I775" t="e">
        <x:f>IF($A775="","",[1]!thsiFinD("ths_adjustment_nv_fund",I$3,$A775))</x:f>
        <x:v>#NAME?</x:v>
      </x:c>
      <x:c r="J775" t="e">
        <x:f>IF($A775="","",[1]!thsiFinD("ths_adjustment_nv_fund",J$3,$A775))</x:f>
        <x:v>#NAME?</x:v>
      </x:c>
      <x:c r="K775" t="e">
        <x:f>IF($A775="","",[1]!thsiFinD("ths_adjustment_nv_fund",K$3,$A775))</x:f>
        <x:v>#NAME?</x:v>
      </x:c>
      <x:c r="L775" t="e">
        <x:f>IF($A775="","",[1]!thsiFinD("ths_adjustment_nv_fund",L$3,$A775))</x:f>
        <x:v>#NAME?</x:v>
      </x:c>
      <x:c r="M775" t="e">
        <x:f>IF($A775="","",[1]!thsiFinD("ths_adjustment_nv_fund",M$3,$A775))</x:f>
        <x:v>#NAME?</x:v>
      </x:c>
      <x:c r="N775" t="e">
        <x:f>IF($A775="","",[1]!thsiFinD("ths_adjustment_nv_fund",N$3,$A775))</x:f>
        <x:v>#NAME?</x:v>
      </x:c>
      <x:c r="O775" t="e">
        <x:f>IF($A775="","",[1]!thsiFinD("ths_adjustment_nv_fund",O$3,$A775))</x:f>
        <x:v>#NAME?</x:v>
      </x:c>
      <x:c r="P775" t="e">
        <x:f>IF($A775="","",[1]!thsiFinD("ths_adjustment_nv_fund",P$3,$A775))</x:f>
        <x:v>#NAME?</x:v>
      </x:c>
      <x:c r="Q775" t="e">
        <x:f>IF($A775="","",[1]!thsiFinD("ths_adjustment_nv_fund",Q$3,$A775))</x:f>
        <x:v>#NAME?</x:v>
      </x:c>
      <x:c r="R775" t="e">
        <x:f>IF($A775="","",[1]!thsiFinD("ths_adjustment_nv_fund",R$3,$A775))</x:f>
        <x:v>#NAME?</x:v>
      </x:c>
      <x:c r="S775" t="e">
        <x:f>IF($A775="","",[1]!thsiFinD("ths_adjustment_nv_fund",S$3,$A775))</x:f>
        <x:v>#NAME?</x:v>
      </x:c>
      <x:c r="T775" t="e">
        <x:f>IF($A775="","",[1]!thsiFinD("ths_adjustment_nv_fund",T$3,$A775))</x:f>
        <x:v>#NAME?</x:v>
      </x:c>
      <x:c r="U775" t="e">
        <x:f>IF($A775="","",[1]!thsiFinD("ths_adjustment_nv_fund",U$3,$A775))</x:f>
        <x:v>#NAME?</x:v>
      </x:c>
      <x:c r="V775" t="e">
        <x:f>IF($A775="","",[1]!thsiFinD("ths_adjustment_nv_fund",V$3,$A775))</x:f>
        <x:v>#NAME?</x:v>
      </x:c>
      <x:c r="W775" t="e">
        <x:f>IF($A775="","",[1]!thsiFinD("ths_adjustment_nv_fund",W$3,$A775))</x:f>
        <x:v>#NAME?</x:v>
      </x:c>
      <x:c r="X775" t="e">
        <x:f>IF($A775="","",[1]!thsiFinD("ths_adjustment_nv_fund",X$3,$A775))</x:f>
        <x:v>#NAME?</x:v>
      </x:c>
      <x:c r="Y775" t="e">
        <x:f>IF($A775="","",[1]!thsiFinD("ths_adjustment_nv_fund",Y$3,$A775))</x:f>
        <x:v>#NAME?</x:v>
      </x:c>
    </x:row>
    <x:row r="776">
      <x:c r="B776" t="e">
        <x:f>IF($A776="","",[1]!thsiFinD("ths_adjustment_nv_fund",B$3,$A776))</x:f>
        <x:v>#NAME?</x:v>
      </x:c>
      <x:c r="C776" t="e">
        <x:f>IF($A776="","",[1]!thsiFinD("ths_adjustment_nv_fund",C$3,$A776))</x:f>
        <x:v>#NAME?</x:v>
      </x:c>
      <x:c r="D776" t="e">
        <x:f>IF($A776="","",[1]!thsiFinD("ths_adjustment_nv_fund",D$3,$A776))</x:f>
        <x:v>#NAME?</x:v>
      </x:c>
      <x:c r="E776" t="e">
        <x:f>IF($A776="","",[1]!thsiFinD("ths_adjustment_nv_fund",E$3,$A776))</x:f>
        <x:v>#NAME?</x:v>
      </x:c>
      <x:c r="F776" t="e">
        <x:f>IF($A776="","",[1]!thsiFinD("ths_adjustment_nv_fund",F$3,$A776))</x:f>
        <x:v>#NAME?</x:v>
      </x:c>
      <x:c r="G776" t="e">
        <x:f>IF($A776="","",[1]!thsiFinD("ths_adjustment_nv_fund",G$3,$A776))</x:f>
        <x:v>#NAME?</x:v>
      </x:c>
      <x:c r="H776" t="e">
        <x:f>IF($A776="","",[1]!thsiFinD("ths_adjustment_nv_fund",H$3,$A776))</x:f>
        <x:v>#NAME?</x:v>
      </x:c>
      <x:c r="I776" t="e">
        <x:f>IF($A776="","",[1]!thsiFinD("ths_adjustment_nv_fund",I$3,$A776))</x:f>
        <x:v>#NAME?</x:v>
      </x:c>
      <x:c r="J776" t="e">
        <x:f>IF($A776="","",[1]!thsiFinD("ths_adjustment_nv_fund",J$3,$A776))</x:f>
        <x:v>#NAME?</x:v>
      </x:c>
      <x:c r="K776" t="e">
        <x:f>IF($A776="","",[1]!thsiFinD("ths_adjustment_nv_fund",K$3,$A776))</x:f>
        <x:v>#NAME?</x:v>
      </x:c>
      <x:c r="L776" t="e">
        <x:f>IF($A776="","",[1]!thsiFinD("ths_adjustment_nv_fund",L$3,$A776))</x:f>
        <x:v>#NAME?</x:v>
      </x:c>
      <x:c r="M776" t="e">
        <x:f>IF($A776="","",[1]!thsiFinD("ths_adjustment_nv_fund",M$3,$A776))</x:f>
        <x:v>#NAME?</x:v>
      </x:c>
      <x:c r="N776" t="e">
        <x:f>IF($A776="","",[1]!thsiFinD("ths_adjustment_nv_fund",N$3,$A776))</x:f>
        <x:v>#NAME?</x:v>
      </x:c>
      <x:c r="O776" t="e">
        <x:f>IF($A776="","",[1]!thsiFinD("ths_adjustment_nv_fund",O$3,$A776))</x:f>
        <x:v>#NAME?</x:v>
      </x:c>
      <x:c r="P776" t="e">
        <x:f>IF($A776="","",[1]!thsiFinD("ths_adjustment_nv_fund",P$3,$A776))</x:f>
        <x:v>#NAME?</x:v>
      </x:c>
      <x:c r="Q776" t="e">
        <x:f>IF($A776="","",[1]!thsiFinD("ths_adjustment_nv_fund",Q$3,$A776))</x:f>
        <x:v>#NAME?</x:v>
      </x:c>
      <x:c r="R776" t="e">
        <x:f>IF($A776="","",[1]!thsiFinD("ths_adjustment_nv_fund",R$3,$A776))</x:f>
        <x:v>#NAME?</x:v>
      </x:c>
      <x:c r="S776" t="e">
        <x:f>IF($A776="","",[1]!thsiFinD("ths_adjustment_nv_fund",S$3,$A776))</x:f>
        <x:v>#NAME?</x:v>
      </x:c>
      <x:c r="T776" t="e">
        <x:f>IF($A776="","",[1]!thsiFinD("ths_adjustment_nv_fund",T$3,$A776))</x:f>
        <x:v>#NAME?</x:v>
      </x:c>
      <x:c r="U776" t="e">
        <x:f>IF($A776="","",[1]!thsiFinD("ths_adjustment_nv_fund",U$3,$A776))</x:f>
        <x:v>#NAME?</x:v>
      </x:c>
      <x:c r="V776" t="e">
        <x:f>IF($A776="","",[1]!thsiFinD("ths_adjustment_nv_fund",V$3,$A776))</x:f>
        <x:v>#NAME?</x:v>
      </x:c>
      <x:c r="W776" t="e">
        <x:f>IF($A776="","",[1]!thsiFinD("ths_adjustment_nv_fund",W$3,$A776))</x:f>
        <x:v>#NAME?</x:v>
      </x:c>
      <x:c r="X776" t="e">
        <x:f>IF($A776="","",[1]!thsiFinD("ths_adjustment_nv_fund",X$3,$A776))</x:f>
        <x:v>#NAME?</x:v>
      </x:c>
      <x:c r="Y776" t="e">
        <x:f>IF($A776="","",[1]!thsiFinD("ths_adjustment_nv_fund",Y$3,$A776))</x:f>
        <x:v>#NAME?</x:v>
      </x:c>
    </x:row>
    <x:row r="777">
      <x:c r="B777" t="e">
        <x:f>IF($A777="","",[1]!thsiFinD("ths_adjustment_nv_fund",B$3,$A777))</x:f>
        <x:v>#NAME?</x:v>
      </x:c>
      <x:c r="C777" t="e">
        <x:f>IF($A777="","",[1]!thsiFinD("ths_adjustment_nv_fund",C$3,$A777))</x:f>
        <x:v>#NAME?</x:v>
      </x:c>
      <x:c r="D777" t="e">
        <x:f>IF($A777="","",[1]!thsiFinD("ths_adjustment_nv_fund",D$3,$A777))</x:f>
        <x:v>#NAME?</x:v>
      </x:c>
      <x:c r="E777" t="e">
        <x:f>IF($A777="","",[1]!thsiFinD("ths_adjustment_nv_fund",E$3,$A777))</x:f>
        <x:v>#NAME?</x:v>
      </x:c>
      <x:c r="F777" t="e">
        <x:f>IF($A777="","",[1]!thsiFinD("ths_adjustment_nv_fund",F$3,$A777))</x:f>
        <x:v>#NAME?</x:v>
      </x:c>
      <x:c r="G777" t="e">
        <x:f>IF($A777="","",[1]!thsiFinD("ths_adjustment_nv_fund",G$3,$A777))</x:f>
        <x:v>#NAME?</x:v>
      </x:c>
      <x:c r="H777" t="e">
        <x:f>IF($A777="","",[1]!thsiFinD("ths_adjustment_nv_fund",H$3,$A777))</x:f>
        <x:v>#NAME?</x:v>
      </x:c>
      <x:c r="I777" t="e">
        <x:f>IF($A777="","",[1]!thsiFinD("ths_adjustment_nv_fund",I$3,$A777))</x:f>
        <x:v>#NAME?</x:v>
      </x:c>
      <x:c r="J777" t="e">
        <x:f>IF($A777="","",[1]!thsiFinD("ths_adjustment_nv_fund",J$3,$A777))</x:f>
        <x:v>#NAME?</x:v>
      </x:c>
      <x:c r="K777" t="e">
        <x:f>IF($A777="","",[1]!thsiFinD("ths_adjustment_nv_fund",K$3,$A777))</x:f>
        <x:v>#NAME?</x:v>
      </x:c>
      <x:c r="L777" t="e">
        <x:f>IF($A777="","",[1]!thsiFinD("ths_adjustment_nv_fund",L$3,$A777))</x:f>
        <x:v>#NAME?</x:v>
      </x:c>
      <x:c r="M777" t="e">
        <x:f>IF($A777="","",[1]!thsiFinD("ths_adjustment_nv_fund",M$3,$A777))</x:f>
        <x:v>#NAME?</x:v>
      </x:c>
      <x:c r="N777" t="e">
        <x:f>IF($A777="","",[1]!thsiFinD("ths_adjustment_nv_fund",N$3,$A777))</x:f>
        <x:v>#NAME?</x:v>
      </x:c>
      <x:c r="O777" t="e">
        <x:f>IF($A777="","",[1]!thsiFinD("ths_adjustment_nv_fund",O$3,$A777))</x:f>
        <x:v>#NAME?</x:v>
      </x:c>
      <x:c r="P777" t="e">
        <x:f>IF($A777="","",[1]!thsiFinD("ths_adjustment_nv_fund",P$3,$A777))</x:f>
        <x:v>#NAME?</x:v>
      </x:c>
      <x:c r="Q777" t="e">
        <x:f>IF($A777="","",[1]!thsiFinD("ths_adjustment_nv_fund",Q$3,$A777))</x:f>
        <x:v>#NAME?</x:v>
      </x:c>
      <x:c r="R777" t="e">
        <x:f>IF($A777="","",[1]!thsiFinD("ths_adjustment_nv_fund",R$3,$A777))</x:f>
        <x:v>#NAME?</x:v>
      </x:c>
      <x:c r="S777" t="e">
        <x:f>IF($A777="","",[1]!thsiFinD("ths_adjustment_nv_fund",S$3,$A777))</x:f>
        <x:v>#NAME?</x:v>
      </x:c>
      <x:c r="T777" t="e">
        <x:f>IF($A777="","",[1]!thsiFinD("ths_adjustment_nv_fund",T$3,$A777))</x:f>
        <x:v>#NAME?</x:v>
      </x:c>
      <x:c r="U777" t="e">
        <x:f>IF($A777="","",[1]!thsiFinD("ths_adjustment_nv_fund",U$3,$A777))</x:f>
        <x:v>#NAME?</x:v>
      </x:c>
      <x:c r="V777" t="e">
        <x:f>IF($A777="","",[1]!thsiFinD("ths_adjustment_nv_fund",V$3,$A777))</x:f>
        <x:v>#NAME?</x:v>
      </x:c>
      <x:c r="W777" t="e">
        <x:f>IF($A777="","",[1]!thsiFinD("ths_adjustment_nv_fund",W$3,$A777))</x:f>
        <x:v>#NAME?</x:v>
      </x:c>
      <x:c r="X777" t="e">
        <x:f>IF($A777="","",[1]!thsiFinD("ths_adjustment_nv_fund",X$3,$A777))</x:f>
        <x:v>#NAME?</x:v>
      </x:c>
      <x:c r="Y777" t="e">
        <x:f>IF($A777="","",[1]!thsiFinD("ths_adjustment_nv_fund",Y$3,$A777))</x:f>
        <x:v>#NAME?</x:v>
      </x:c>
    </x:row>
    <x:row r="778">
      <x:c r="B778" t="e">
        <x:f>IF($A778="","",[1]!thsiFinD("ths_adjustment_nv_fund",B$3,$A778))</x:f>
        <x:v>#NAME?</x:v>
      </x:c>
      <x:c r="C778" t="e">
        <x:f>IF($A778="","",[1]!thsiFinD("ths_adjustment_nv_fund",C$3,$A778))</x:f>
        <x:v>#NAME?</x:v>
      </x:c>
      <x:c r="D778" t="e">
        <x:f>IF($A778="","",[1]!thsiFinD("ths_adjustment_nv_fund",D$3,$A778))</x:f>
        <x:v>#NAME?</x:v>
      </x:c>
      <x:c r="E778" t="e">
        <x:f>IF($A778="","",[1]!thsiFinD("ths_adjustment_nv_fund",E$3,$A778))</x:f>
        <x:v>#NAME?</x:v>
      </x:c>
      <x:c r="F778" t="e">
        <x:f>IF($A778="","",[1]!thsiFinD("ths_adjustment_nv_fund",F$3,$A778))</x:f>
        <x:v>#NAME?</x:v>
      </x:c>
      <x:c r="G778" t="e">
        <x:f>IF($A778="","",[1]!thsiFinD("ths_adjustment_nv_fund",G$3,$A778))</x:f>
        <x:v>#NAME?</x:v>
      </x:c>
      <x:c r="H778" t="e">
        <x:f>IF($A778="","",[1]!thsiFinD("ths_adjustment_nv_fund",H$3,$A778))</x:f>
        <x:v>#NAME?</x:v>
      </x:c>
      <x:c r="I778" t="e">
        <x:f>IF($A778="","",[1]!thsiFinD("ths_adjustment_nv_fund",I$3,$A778))</x:f>
        <x:v>#NAME?</x:v>
      </x:c>
      <x:c r="J778" t="e">
        <x:f>IF($A778="","",[1]!thsiFinD("ths_adjustment_nv_fund",J$3,$A778))</x:f>
        <x:v>#NAME?</x:v>
      </x:c>
      <x:c r="K778" t="e">
        <x:f>IF($A778="","",[1]!thsiFinD("ths_adjustment_nv_fund",K$3,$A778))</x:f>
        <x:v>#NAME?</x:v>
      </x:c>
      <x:c r="L778" t="e">
        <x:f>IF($A778="","",[1]!thsiFinD("ths_adjustment_nv_fund",L$3,$A778))</x:f>
        <x:v>#NAME?</x:v>
      </x:c>
      <x:c r="M778" t="e">
        <x:f>IF($A778="","",[1]!thsiFinD("ths_adjustment_nv_fund",M$3,$A778))</x:f>
        <x:v>#NAME?</x:v>
      </x:c>
      <x:c r="N778" t="e">
        <x:f>IF($A778="","",[1]!thsiFinD("ths_adjustment_nv_fund",N$3,$A778))</x:f>
        <x:v>#NAME?</x:v>
      </x:c>
      <x:c r="O778" t="e">
        <x:f>IF($A778="","",[1]!thsiFinD("ths_adjustment_nv_fund",O$3,$A778))</x:f>
        <x:v>#NAME?</x:v>
      </x:c>
      <x:c r="P778" t="e">
        <x:f>IF($A778="","",[1]!thsiFinD("ths_adjustment_nv_fund",P$3,$A778))</x:f>
        <x:v>#NAME?</x:v>
      </x:c>
      <x:c r="Q778" t="e">
        <x:f>IF($A778="","",[1]!thsiFinD("ths_adjustment_nv_fund",Q$3,$A778))</x:f>
        <x:v>#NAME?</x:v>
      </x:c>
      <x:c r="R778" t="e">
        <x:f>IF($A778="","",[1]!thsiFinD("ths_adjustment_nv_fund",R$3,$A778))</x:f>
        <x:v>#NAME?</x:v>
      </x:c>
      <x:c r="S778" t="e">
        <x:f>IF($A778="","",[1]!thsiFinD("ths_adjustment_nv_fund",S$3,$A778))</x:f>
        <x:v>#NAME?</x:v>
      </x:c>
      <x:c r="T778" t="e">
        <x:f>IF($A778="","",[1]!thsiFinD("ths_adjustment_nv_fund",T$3,$A778))</x:f>
        <x:v>#NAME?</x:v>
      </x:c>
      <x:c r="U778" t="e">
        <x:f>IF($A778="","",[1]!thsiFinD("ths_adjustment_nv_fund",U$3,$A778))</x:f>
        <x:v>#NAME?</x:v>
      </x:c>
      <x:c r="V778" t="e">
        <x:f>IF($A778="","",[1]!thsiFinD("ths_adjustment_nv_fund",V$3,$A778))</x:f>
        <x:v>#NAME?</x:v>
      </x:c>
      <x:c r="W778" t="e">
        <x:f>IF($A778="","",[1]!thsiFinD("ths_adjustment_nv_fund",W$3,$A778))</x:f>
        <x:v>#NAME?</x:v>
      </x:c>
      <x:c r="X778" t="e">
        <x:f>IF($A778="","",[1]!thsiFinD("ths_adjustment_nv_fund",X$3,$A778))</x:f>
        <x:v>#NAME?</x:v>
      </x:c>
      <x:c r="Y778" t="e">
        <x:f>IF($A778="","",[1]!thsiFinD("ths_adjustment_nv_fund",Y$3,$A778))</x:f>
        <x:v>#NAME?</x:v>
      </x:c>
    </x:row>
    <x:row r="779">
      <x:c r="B779" t="e">
        <x:f>IF($A779="","",[1]!thsiFinD("ths_adjustment_nv_fund",B$3,$A779))</x:f>
        <x:v>#NAME?</x:v>
      </x:c>
      <x:c r="C779" t="e">
        <x:f>IF($A779="","",[1]!thsiFinD("ths_adjustment_nv_fund",C$3,$A779))</x:f>
        <x:v>#NAME?</x:v>
      </x:c>
      <x:c r="D779" t="e">
        <x:f>IF($A779="","",[1]!thsiFinD("ths_adjustment_nv_fund",D$3,$A779))</x:f>
        <x:v>#NAME?</x:v>
      </x:c>
      <x:c r="E779" t="e">
        <x:f>IF($A779="","",[1]!thsiFinD("ths_adjustment_nv_fund",E$3,$A779))</x:f>
        <x:v>#NAME?</x:v>
      </x:c>
      <x:c r="F779" t="e">
        <x:f>IF($A779="","",[1]!thsiFinD("ths_adjustment_nv_fund",F$3,$A779))</x:f>
        <x:v>#NAME?</x:v>
      </x:c>
      <x:c r="G779" t="e">
        <x:f>IF($A779="","",[1]!thsiFinD("ths_adjustment_nv_fund",G$3,$A779))</x:f>
        <x:v>#NAME?</x:v>
      </x:c>
      <x:c r="H779" t="e">
        <x:f>IF($A779="","",[1]!thsiFinD("ths_adjustment_nv_fund",H$3,$A779))</x:f>
        <x:v>#NAME?</x:v>
      </x:c>
      <x:c r="I779" t="e">
        <x:f>IF($A779="","",[1]!thsiFinD("ths_adjustment_nv_fund",I$3,$A779))</x:f>
        <x:v>#NAME?</x:v>
      </x:c>
      <x:c r="J779" t="e">
        <x:f>IF($A779="","",[1]!thsiFinD("ths_adjustment_nv_fund",J$3,$A779))</x:f>
        <x:v>#NAME?</x:v>
      </x:c>
      <x:c r="K779" t="e">
        <x:f>IF($A779="","",[1]!thsiFinD("ths_adjustment_nv_fund",K$3,$A779))</x:f>
        <x:v>#NAME?</x:v>
      </x:c>
      <x:c r="L779" t="e">
        <x:f>IF($A779="","",[1]!thsiFinD("ths_adjustment_nv_fund",L$3,$A779))</x:f>
        <x:v>#NAME?</x:v>
      </x:c>
      <x:c r="M779" t="e">
        <x:f>IF($A779="","",[1]!thsiFinD("ths_adjustment_nv_fund",M$3,$A779))</x:f>
        <x:v>#NAME?</x:v>
      </x:c>
      <x:c r="N779" t="e">
        <x:f>IF($A779="","",[1]!thsiFinD("ths_adjustment_nv_fund",N$3,$A779))</x:f>
        <x:v>#NAME?</x:v>
      </x:c>
      <x:c r="O779" t="e">
        <x:f>IF($A779="","",[1]!thsiFinD("ths_adjustment_nv_fund",O$3,$A779))</x:f>
        <x:v>#NAME?</x:v>
      </x:c>
      <x:c r="P779" t="e">
        <x:f>IF($A779="","",[1]!thsiFinD("ths_adjustment_nv_fund",P$3,$A779))</x:f>
        <x:v>#NAME?</x:v>
      </x:c>
      <x:c r="Q779" t="e">
        <x:f>IF($A779="","",[1]!thsiFinD("ths_adjustment_nv_fund",Q$3,$A779))</x:f>
        <x:v>#NAME?</x:v>
      </x:c>
      <x:c r="R779" t="e">
        <x:f>IF($A779="","",[1]!thsiFinD("ths_adjustment_nv_fund",R$3,$A779))</x:f>
        <x:v>#NAME?</x:v>
      </x:c>
      <x:c r="S779" t="e">
        <x:f>IF($A779="","",[1]!thsiFinD("ths_adjustment_nv_fund",S$3,$A779))</x:f>
        <x:v>#NAME?</x:v>
      </x:c>
      <x:c r="T779" t="e">
        <x:f>IF($A779="","",[1]!thsiFinD("ths_adjustment_nv_fund",T$3,$A779))</x:f>
        <x:v>#NAME?</x:v>
      </x:c>
      <x:c r="U779" t="e">
        <x:f>IF($A779="","",[1]!thsiFinD("ths_adjustment_nv_fund",U$3,$A779))</x:f>
        <x:v>#NAME?</x:v>
      </x:c>
      <x:c r="V779" t="e">
        <x:f>IF($A779="","",[1]!thsiFinD("ths_adjustment_nv_fund",V$3,$A779))</x:f>
        <x:v>#NAME?</x:v>
      </x:c>
      <x:c r="W779" t="e">
        <x:f>IF($A779="","",[1]!thsiFinD("ths_adjustment_nv_fund",W$3,$A779))</x:f>
        <x:v>#NAME?</x:v>
      </x:c>
      <x:c r="X779" t="e">
        <x:f>IF($A779="","",[1]!thsiFinD("ths_adjustment_nv_fund",X$3,$A779))</x:f>
        <x:v>#NAME?</x:v>
      </x:c>
      <x:c r="Y779" t="e">
        <x:f>IF($A779="","",[1]!thsiFinD("ths_adjustment_nv_fund",Y$3,$A779))</x:f>
        <x:v>#NAME?</x:v>
      </x:c>
    </x:row>
    <x:row r="780">
      <x:c r="B780" t="e">
        <x:f>IF($A780="","",[1]!thsiFinD("ths_adjustment_nv_fund",B$3,$A780))</x:f>
        <x:v>#NAME?</x:v>
      </x:c>
      <x:c r="C780" t="e">
        <x:f>IF($A780="","",[1]!thsiFinD("ths_adjustment_nv_fund",C$3,$A780))</x:f>
        <x:v>#NAME?</x:v>
      </x:c>
      <x:c r="D780" t="e">
        <x:f>IF($A780="","",[1]!thsiFinD("ths_adjustment_nv_fund",D$3,$A780))</x:f>
        <x:v>#NAME?</x:v>
      </x:c>
      <x:c r="E780" t="e">
        <x:f>IF($A780="","",[1]!thsiFinD("ths_adjustment_nv_fund",E$3,$A780))</x:f>
        <x:v>#NAME?</x:v>
      </x:c>
      <x:c r="F780" t="e">
        <x:f>IF($A780="","",[1]!thsiFinD("ths_adjustment_nv_fund",F$3,$A780))</x:f>
        <x:v>#NAME?</x:v>
      </x:c>
      <x:c r="G780" t="e">
        <x:f>IF($A780="","",[1]!thsiFinD("ths_adjustment_nv_fund",G$3,$A780))</x:f>
        <x:v>#NAME?</x:v>
      </x:c>
      <x:c r="H780" t="e">
        <x:f>IF($A780="","",[1]!thsiFinD("ths_adjustment_nv_fund",H$3,$A780))</x:f>
        <x:v>#NAME?</x:v>
      </x:c>
      <x:c r="I780" t="e">
        <x:f>IF($A780="","",[1]!thsiFinD("ths_adjustment_nv_fund",I$3,$A780))</x:f>
        <x:v>#NAME?</x:v>
      </x:c>
      <x:c r="J780" t="e">
        <x:f>IF($A780="","",[1]!thsiFinD("ths_adjustment_nv_fund",J$3,$A780))</x:f>
        <x:v>#NAME?</x:v>
      </x:c>
      <x:c r="K780" t="e">
        <x:f>IF($A780="","",[1]!thsiFinD("ths_adjustment_nv_fund",K$3,$A780))</x:f>
        <x:v>#NAME?</x:v>
      </x:c>
      <x:c r="L780" t="e">
        <x:f>IF($A780="","",[1]!thsiFinD("ths_adjustment_nv_fund",L$3,$A780))</x:f>
        <x:v>#NAME?</x:v>
      </x:c>
      <x:c r="M780" t="e">
        <x:f>IF($A780="","",[1]!thsiFinD("ths_adjustment_nv_fund",M$3,$A780))</x:f>
        <x:v>#NAME?</x:v>
      </x:c>
      <x:c r="N780" t="e">
        <x:f>IF($A780="","",[1]!thsiFinD("ths_adjustment_nv_fund",N$3,$A780))</x:f>
        <x:v>#NAME?</x:v>
      </x:c>
      <x:c r="O780" t="e">
        <x:f>IF($A780="","",[1]!thsiFinD("ths_adjustment_nv_fund",O$3,$A780))</x:f>
        <x:v>#NAME?</x:v>
      </x:c>
      <x:c r="P780" t="e">
        <x:f>IF($A780="","",[1]!thsiFinD("ths_adjustment_nv_fund",P$3,$A780))</x:f>
        <x:v>#NAME?</x:v>
      </x:c>
      <x:c r="Q780" t="e">
        <x:f>IF($A780="","",[1]!thsiFinD("ths_adjustment_nv_fund",Q$3,$A780))</x:f>
        <x:v>#NAME?</x:v>
      </x:c>
      <x:c r="R780" t="e">
        <x:f>IF($A780="","",[1]!thsiFinD("ths_adjustment_nv_fund",R$3,$A780))</x:f>
        <x:v>#NAME?</x:v>
      </x:c>
      <x:c r="S780" t="e">
        <x:f>IF($A780="","",[1]!thsiFinD("ths_adjustment_nv_fund",S$3,$A780))</x:f>
        <x:v>#NAME?</x:v>
      </x:c>
      <x:c r="T780" t="e">
        <x:f>IF($A780="","",[1]!thsiFinD("ths_adjustment_nv_fund",T$3,$A780))</x:f>
        <x:v>#NAME?</x:v>
      </x:c>
      <x:c r="U780" t="e">
        <x:f>IF($A780="","",[1]!thsiFinD("ths_adjustment_nv_fund",U$3,$A780))</x:f>
        <x:v>#NAME?</x:v>
      </x:c>
      <x:c r="V780" t="e">
        <x:f>IF($A780="","",[1]!thsiFinD("ths_adjustment_nv_fund",V$3,$A780))</x:f>
        <x:v>#NAME?</x:v>
      </x:c>
      <x:c r="W780" t="e">
        <x:f>IF($A780="","",[1]!thsiFinD("ths_adjustment_nv_fund",W$3,$A780))</x:f>
        <x:v>#NAME?</x:v>
      </x:c>
      <x:c r="X780" t="e">
        <x:f>IF($A780="","",[1]!thsiFinD("ths_adjustment_nv_fund",X$3,$A780))</x:f>
        <x:v>#NAME?</x:v>
      </x:c>
      <x:c r="Y780" t="e">
        <x:f>IF($A780="","",[1]!thsiFinD("ths_adjustment_nv_fund",Y$3,$A780))</x:f>
        <x:v>#NAME?</x:v>
      </x:c>
    </x:row>
    <x:row r="781">
      <x:c r="B781" t="e">
        <x:f>IF($A781="","",[1]!thsiFinD("ths_adjustment_nv_fund",B$3,$A781))</x:f>
        <x:v>#NAME?</x:v>
      </x:c>
      <x:c r="C781" t="e">
        <x:f>IF($A781="","",[1]!thsiFinD("ths_adjustment_nv_fund",C$3,$A781))</x:f>
        <x:v>#NAME?</x:v>
      </x:c>
      <x:c r="D781" t="e">
        <x:f>IF($A781="","",[1]!thsiFinD("ths_adjustment_nv_fund",D$3,$A781))</x:f>
        <x:v>#NAME?</x:v>
      </x:c>
      <x:c r="E781" t="e">
        <x:f>IF($A781="","",[1]!thsiFinD("ths_adjustment_nv_fund",E$3,$A781))</x:f>
        <x:v>#NAME?</x:v>
      </x:c>
      <x:c r="F781" t="e">
        <x:f>IF($A781="","",[1]!thsiFinD("ths_adjustment_nv_fund",F$3,$A781))</x:f>
        <x:v>#NAME?</x:v>
      </x:c>
      <x:c r="G781" t="e">
        <x:f>IF($A781="","",[1]!thsiFinD("ths_adjustment_nv_fund",G$3,$A781))</x:f>
        <x:v>#NAME?</x:v>
      </x:c>
      <x:c r="H781" t="e">
        <x:f>IF($A781="","",[1]!thsiFinD("ths_adjustment_nv_fund",H$3,$A781))</x:f>
        <x:v>#NAME?</x:v>
      </x:c>
      <x:c r="I781" t="e">
        <x:f>IF($A781="","",[1]!thsiFinD("ths_adjustment_nv_fund",I$3,$A781))</x:f>
        <x:v>#NAME?</x:v>
      </x:c>
      <x:c r="J781" t="e">
        <x:f>IF($A781="","",[1]!thsiFinD("ths_adjustment_nv_fund",J$3,$A781))</x:f>
        <x:v>#NAME?</x:v>
      </x:c>
      <x:c r="K781" t="e">
        <x:f>IF($A781="","",[1]!thsiFinD("ths_adjustment_nv_fund",K$3,$A781))</x:f>
        <x:v>#NAME?</x:v>
      </x:c>
      <x:c r="L781" t="e">
        <x:f>IF($A781="","",[1]!thsiFinD("ths_adjustment_nv_fund",L$3,$A781))</x:f>
        <x:v>#NAME?</x:v>
      </x:c>
      <x:c r="M781" t="e">
        <x:f>IF($A781="","",[1]!thsiFinD("ths_adjustment_nv_fund",M$3,$A781))</x:f>
        <x:v>#NAME?</x:v>
      </x:c>
      <x:c r="N781" t="e">
        <x:f>IF($A781="","",[1]!thsiFinD("ths_adjustment_nv_fund",N$3,$A781))</x:f>
        <x:v>#NAME?</x:v>
      </x:c>
      <x:c r="O781" t="e">
        <x:f>IF($A781="","",[1]!thsiFinD("ths_adjustment_nv_fund",O$3,$A781))</x:f>
        <x:v>#NAME?</x:v>
      </x:c>
      <x:c r="P781" t="e">
        <x:f>IF($A781="","",[1]!thsiFinD("ths_adjustment_nv_fund",P$3,$A781))</x:f>
        <x:v>#NAME?</x:v>
      </x:c>
      <x:c r="Q781" t="e">
        <x:f>IF($A781="","",[1]!thsiFinD("ths_adjustment_nv_fund",Q$3,$A781))</x:f>
        <x:v>#NAME?</x:v>
      </x:c>
      <x:c r="R781" t="e">
        <x:f>IF($A781="","",[1]!thsiFinD("ths_adjustment_nv_fund",R$3,$A781))</x:f>
        <x:v>#NAME?</x:v>
      </x:c>
      <x:c r="S781" t="e">
        <x:f>IF($A781="","",[1]!thsiFinD("ths_adjustment_nv_fund",S$3,$A781))</x:f>
        <x:v>#NAME?</x:v>
      </x:c>
      <x:c r="T781" t="e">
        <x:f>IF($A781="","",[1]!thsiFinD("ths_adjustment_nv_fund",T$3,$A781))</x:f>
        <x:v>#NAME?</x:v>
      </x:c>
      <x:c r="U781" t="e">
        <x:f>IF($A781="","",[1]!thsiFinD("ths_adjustment_nv_fund",U$3,$A781))</x:f>
        <x:v>#NAME?</x:v>
      </x:c>
      <x:c r="V781" t="e">
        <x:f>IF($A781="","",[1]!thsiFinD("ths_adjustment_nv_fund",V$3,$A781))</x:f>
        <x:v>#NAME?</x:v>
      </x:c>
      <x:c r="W781" t="e">
        <x:f>IF($A781="","",[1]!thsiFinD("ths_adjustment_nv_fund",W$3,$A781))</x:f>
        <x:v>#NAME?</x:v>
      </x:c>
      <x:c r="X781" t="e">
        <x:f>IF($A781="","",[1]!thsiFinD("ths_adjustment_nv_fund",X$3,$A781))</x:f>
        <x:v>#NAME?</x:v>
      </x:c>
      <x:c r="Y781" t="e">
        <x:f>IF($A781="","",[1]!thsiFinD("ths_adjustment_nv_fund",Y$3,$A781))</x:f>
        <x:v>#NAME?</x:v>
      </x:c>
    </x:row>
    <x:row r="782">
      <x:c r="B782" t="e">
        <x:f>IF($A782="","",[1]!thsiFinD("ths_adjustment_nv_fund",B$3,$A782))</x:f>
        <x:v>#NAME?</x:v>
      </x:c>
      <x:c r="C782" t="e">
        <x:f>IF($A782="","",[1]!thsiFinD("ths_adjustment_nv_fund",C$3,$A782))</x:f>
        <x:v>#NAME?</x:v>
      </x:c>
      <x:c r="D782" t="e">
        <x:f>IF($A782="","",[1]!thsiFinD("ths_adjustment_nv_fund",D$3,$A782))</x:f>
        <x:v>#NAME?</x:v>
      </x:c>
      <x:c r="E782" t="e">
        <x:f>IF($A782="","",[1]!thsiFinD("ths_adjustment_nv_fund",E$3,$A782))</x:f>
        <x:v>#NAME?</x:v>
      </x:c>
      <x:c r="F782" t="e">
        <x:f>IF($A782="","",[1]!thsiFinD("ths_adjustment_nv_fund",F$3,$A782))</x:f>
        <x:v>#NAME?</x:v>
      </x:c>
      <x:c r="G782" t="e">
        <x:f>IF($A782="","",[1]!thsiFinD("ths_adjustment_nv_fund",G$3,$A782))</x:f>
        <x:v>#NAME?</x:v>
      </x:c>
      <x:c r="H782" t="e">
        <x:f>IF($A782="","",[1]!thsiFinD("ths_adjustment_nv_fund",H$3,$A782))</x:f>
        <x:v>#NAME?</x:v>
      </x:c>
      <x:c r="I782" t="e">
        <x:f>IF($A782="","",[1]!thsiFinD("ths_adjustment_nv_fund",I$3,$A782))</x:f>
        <x:v>#NAME?</x:v>
      </x:c>
      <x:c r="J782" t="e">
        <x:f>IF($A782="","",[1]!thsiFinD("ths_adjustment_nv_fund",J$3,$A782))</x:f>
        <x:v>#NAME?</x:v>
      </x:c>
      <x:c r="K782" t="e">
        <x:f>IF($A782="","",[1]!thsiFinD("ths_adjustment_nv_fund",K$3,$A782))</x:f>
        <x:v>#NAME?</x:v>
      </x:c>
      <x:c r="L782" t="e">
        <x:f>IF($A782="","",[1]!thsiFinD("ths_adjustment_nv_fund",L$3,$A782))</x:f>
        <x:v>#NAME?</x:v>
      </x:c>
      <x:c r="M782" t="e">
        <x:f>IF($A782="","",[1]!thsiFinD("ths_adjustment_nv_fund",M$3,$A782))</x:f>
        <x:v>#NAME?</x:v>
      </x:c>
      <x:c r="N782" t="e">
        <x:f>IF($A782="","",[1]!thsiFinD("ths_adjustment_nv_fund",N$3,$A782))</x:f>
        <x:v>#NAME?</x:v>
      </x:c>
      <x:c r="O782" t="e">
        <x:f>IF($A782="","",[1]!thsiFinD("ths_adjustment_nv_fund",O$3,$A782))</x:f>
        <x:v>#NAME?</x:v>
      </x:c>
      <x:c r="P782" t="e">
        <x:f>IF($A782="","",[1]!thsiFinD("ths_adjustment_nv_fund",P$3,$A782))</x:f>
        <x:v>#NAME?</x:v>
      </x:c>
      <x:c r="Q782" t="e">
        <x:f>IF($A782="","",[1]!thsiFinD("ths_adjustment_nv_fund",Q$3,$A782))</x:f>
        <x:v>#NAME?</x:v>
      </x:c>
      <x:c r="R782" t="e">
        <x:f>IF($A782="","",[1]!thsiFinD("ths_adjustment_nv_fund",R$3,$A782))</x:f>
        <x:v>#NAME?</x:v>
      </x:c>
      <x:c r="S782" t="e">
        <x:f>IF($A782="","",[1]!thsiFinD("ths_adjustment_nv_fund",S$3,$A782))</x:f>
        <x:v>#NAME?</x:v>
      </x:c>
      <x:c r="T782" t="e">
        <x:f>IF($A782="","",[1]!thsiFinD("ths_adjustment_nv_fund",T$3,$A782))</x:f>
        <x:v>#NAME?</x:v>
      </x:c>
      <x:c r="U782" t="e">
        <x:f>IF($A782="","",[1]!thsiFinD("ths_adjustment_nv_fund",U$3,$A782))</x:f>
        <x:v>#NAME?</x:v>
      </x:c>
      <x:c r="V782" t="e">
        <x:f>IF($A782="","",[1]!thsiFinD("ths_adjustment_nv_fund",V$3,$A782))</x:f>
        <x:v>#NAME?</x:v>
      </x:c>
      <x:c r="W782" t="e">
        <x:f>IF($A782="","",[1]!thsiFinD("ths_adjustment_nv_fund",W$3,$A782))</x:f>
        <x:v>#NAME?</x:v>
      </x:c>
      <x:c r="X782" t="e">
        <x:f>IF($A782="","",[1]!thsiFinD("ths_adjustment_nv_fund",X$3,$A782))</x:f>
        <x:v>#NAME?</x:v>
      </x:c>
      <x:c r="Y782" t="e">
        <x:f>IF($A782="","",[1]!thsiFinD("ths_adjustment_nv_fund",Y$3,$A782))</x:f>
        <x:v>#NAME?</x:v>
      </x:c>
    </x:row>
    <x:row r="783">
      <x:c r="B783" t="e">
        <x:f>IF($A783="","",[1]!thsiFinD("ths_adjustment_nv_fund",B$3,$A783))</x:f>
        <x:v>#NAME?</x:v>
      </x:c>
      <x:c r="C783" t="e">
        <x:f>IF($A783="","",[1]!thsiFinD("ths_adjustment_nv_fund",C$3,$A783))</x:f>
        <x:v>#NAME?</x:v>
      </x:c>
      <x:c r="D783" t="e">
        <x:f>IF($A783="","",[1]!thsiFinD("ths_adjustment_nv_fund",D$3,$A783))</x:f>
        <x:v>#NAME?</x:v>
      </x:c>
      <x:c r="E783" t="e">
        <x:f>IF($A783="","",[1]!thsiFinD("ths_adjustment_nv_fund",E$3,$A783))</x:f>
        <x:v>#NAME?</x:v>
      </x:c>
      <x:c r="F783" t="e">
        <x:f>IF($A783="","",[1]!thsiFinD("ths_adjustment_nv_fund",F$3,$A783))</x:f>
        <x:v>#NAME?</x:v>
      </x:c>
      <x:c r="G783" t="e">
        <x:f>IF($A783="","",[1]!thsiFinD("ths_adjustment_nv_fund",G$3,$A783))</x:f>
        <x:v>#NAME?</x:v>
      </x:c>
      <x:c r="H783" t="e">
        <x:f>IF($A783="","",[1]!thsiFinD("ths_adjustment_nv_fund",H$3,$A783))</x:f>
        <x:v>#NAME?</x:v>
      </x:c>
      <x:c r="I783" t="e">
        <x:f>IF($A783="","",[1]!thsiFinD("ths_adjustment_nv_fund",I$3,$A783))</x:f>
        <x:v>#NAME?</x:v>
      </x:c>
      <x:c r="J783" t="e">
        <x:f>IF($A783="","",[1]!thsiFinD("ths_adjustment_nv_fund",J$3,$A783))</x:f>
        <x:v>#NAME?</x:v>
      </x:c>
      <x:c r="K783" t="e">
        <x:f>IF($A783="","",[1]!thsiFinD("ths_adjustment_nv_fund",K$3,$A783))</x:f>
        <x:v>#NAME?</x:v>
      </x:c>
      <x:c r="L783" t="e">
        <x:f>IF($A783="","",[1]!thsiFinD("ths_adjustment_nv_fund",L$3,$A783))</x:f>
        <x:v>#NAME?</x:v>
      </x:c>
      <x:c r="M783" t="e">
        <x:f>IF($A783="","",[1]!thsiFinD("ths_adjustment_nv_fund",M$3,$A783))</x:f>
        <x:v>#NAME?</x:v>
      </x:c>
      <x:c r="N783" t="e">
        <x:f>IF($A783="","",[1]!thsiFinD("ths_adjustment_nv_fund",N$3,$A783))</x:f>
        <x:v>#NAME?</x:v>
      </x:c>
      <x:c r="O783" t="e">
        <x:f>IF($A783="","",[1]!thsiFinD("ths_adjustment_nv_fund",O$3,$A783))</x:f>
        <x:v>#NAME?</x:v>
      </x:c>
      <x:c r="P783" t="e">
        <x:f>IF($A783="","",[1]!thsiFinD("ths_adjustment_nv_fund",P$3,$A783))</x:f>
        <x:v>#NAME?</x:v>
      </x:c>
      <x:c r="Q783" t="e">
        <x:f>IF($A783="","",[1]!thsiFinD("ths_adjustment_nv_fund",Q$3,$A783))</x:f>
        <x:v>#NAME?</x:v>
      </x:c>
      <x:c r="R783" t="e">
        <x:f>IF($A783="","",[1]!thsiFinD("ths_adjustment_nv_fund",R$3,$A783))</x:f>
        <x:v>#NAME?</x:v>
      </x:c>
      <x:c r="S783" t="e">
        <x:f>IF($A783="","",[1]!thsiFinD("ths_adjustment_nv_fund",S$3,$A783))</x:f>
        <x:v>#NAME?</x:v>
      </x:c>
      <x:c r="T783" t="e">
        <x:f>IF($A783="","",[1]!thsiFinD("ths_adjustment_nv_fund",T$3,$A783))</x:f>
        <x:v>#NAME?</x:v>
      </x:c>
      <x:c r="U783" t="e">
        <x:f>IF($A783="","",[1]!thsiFinD("ths_adjustment_nv_fund",U$3,$A783))</x:f>
        <x:v>#NAME?</x:v>
      </x:c>
      <x:c r="V783" t="e">
        <x:f>IF($A783="","",[1]!thsiFinD("ths_adjustment_nv_fund",V$3,$A783))</x:f>
        <x:v>#NAME?</x:v>
      </x:c>
      <x:c r="W783" t="e">
        <x:f>IF($A783="","",[1]!thsiFinD("ths_adjustment_nv_fund",W$3,$A783))</x:f>
        <x:v>#NAME?</x:v>
      </x:c>
      <x:c r="X783" t="e">
        <x:f>IF($A783="","",[1]!thsiFinD("ths_adjustment_nv_fund",X$3,$A783))</x:f>
        <x:v>#NAME?</x:v>
      </x:c>
      <x:c r="Y783" t="e">
        <x:f>IF($A783="","",[1]!thsiFinD("ths_adjustment_nv_fund",Y$3,$A783))</x:f>
        <x:v>#NAME?</x:v>
      </x:c>
    </x:row>
    <x:row r="784">
      <x:c r="B784" t="e">
        <x:f>IF($A784="","",[1]!thsiFinD("ths_adjustment_nv_fund",B$3,$A784))</x:f>
        <x:v>#NAME?</x:v>
      </x:c>
      <x:c r="C784" t="e">
        <x:f>IF($A784="","",[1]!thsiFinD("ths_adjustment_nv_fund",C$3,$A784))</x:f>
        <x:v>#NAME?</x:v>
      </x:c>
      <x:c r="D784" t="e">
        <x:f>IF($A784="","",[1]!thsiFinD("ths_adjustment_nv_fund",D$3,$A784))</x:f>
        <x:v>#NAME?</x:v>
      </x:c>
      <x:c r="E784" t="e">
        <x:f>IF($A784="","",[1]!thsiFinD("ths_adjustment_nv_fund",E$3,$A784))</x:f>
        <x:v>#NAME?</x:v>
      </x:c>
      <x:c r="F784" t="e">
        <x:f>IF($A784="","",[1]!thsiFinD("ths_adjustment_nv_fund",F$3,$A784))</x:f>
        <x:v>#NAME?</x:v>
      </x:c>
      <x:c r="G784" t="e">
        <x:f>IF($A784="","",[1]!thsiFinD("ths_adjustment_nv_fund",G$3,$A784))</x:f>
        <x:v>#NAME?</x:v>
      </x:c>
      <x:c r="H784" t="e">
        <x:f>IF($A784="","",[1]!thsiFinD("ths_adjustment_nv_fund",H$3,$A784))</x:f>
        <x:v>#NAME?</x:v>
      </x:c>
      <x:c r="I784" t="e">
        <x:f>IF($A784="","",[1]!thsiFinD("ths_adjustment_nv_fund",I$3,$A784))</x:f>
        <x:v>#NAME?</x:v>
      </x:c>
      <x:c r="J784" t="e">
        <x:f>IF($A784="","",[1]!thsiFinD("ths_adjustment_nv_fund",J$3,$A784))</x:f>
        <x:v>#NAME?</x:v>
      </x:c>
      <x:c r="K784" t="e">
        <x:f>IF($A784="","",[1]!thsiFinD("ths_adjustment_nv_fund",K$3,$A784))</x:f>
        <x:v>#NAME?</x:v>
      </x:c>
      <x:c r="L784" t="e">
        <x:f>IF($A784="","",[1]!thsiFinD("ths_adjustment_nv_fund",L$3,$A784))</x:f>
        <x:v>#NAME?</x:v>
      </x:c>
      <x:c r="M784" t="e">
        <x:f>IF($A784="","",[1]!thsiFinD("ths_adjustment_nv_fund",M$3,$A784))</x:f>
        <x:v>#NAME?</x:v>
      </x:c>
      <x:c r="N784" t="e">
        <x:f>IF($A784="","",[1]!thsiFinD("ths_adjustment_nv_fund",N$3,$A784))</x:f>
        <x:v>#NAME?</x:v>
      </x:c>
      <x:c r="O784" t="e">
        <x:f>IF($A784="","",[1]!thsiFinD("ths_adjustment_nv_fund",O$3,$A784))</x:f>
        <x:v>#NAME?</x:v>
      </x:c>
      <x:c r="P784" t="e">
        <x:f>IF($A784="","",[1]!thsiFinD("ths_adjustment_nv_fund",P$3,$A784))</x:f>
        <x:v>#NAME?</x:v>
      </x:c>
      <x:c r="Q784" t="e">
        <x:f>IF($A784="","",[1]!thsiFinD("ths_adjustment_nv_fund",Q$3,$A784))</x:f>
        <x:v>#NAME?</x:v>
      </x:c>
      <x:c r="R784" t="e">
        <x:f>IF($A784="","",[1]!thsiFinD("ths_adjustment_nv_fund",R$3,$A784))</x:f>
        <x:v>#NAME?</x:v>
      </x:c>
      <x:c r="S784" t="e">
        <x:f>IF($A784="","",[1]!thsiFinD("ths_adjustment_nv_fund",S$3,$A784))</x:f>
        <x:v>#NAME?</x:v>
      </x:c>
      <x:c r="T784" t="e">
        <x:f>IF($A784="","",[1]!thsiFinD("ths_adjustment_nv_fund",T$3,$A784))</x:f>
        <x:v>#NAME?</x:v>
      </x:c>
      <x:c r="U784" t="e">
        <x:f>IF($A784="","",[1]!thsiFinD("ths_adjustment_nv_fund",U$3,$A784))</x:f>
        <x:v>#NAME?</x:v>
      </x:c>
      <x:c r="V784" t="e">
        <x:f>IF($A784="","",[1]!thsiFinD("ths_adjustment_nv_fund",V$3,$A784))</x:f>
        <x:v>#NAME?</x:v>
      </x:c>
      <x:c r="W784" t="e">
        <x:f>IF($A784="","",[1]!thsiFinD("ths_adjustment_nv_fund",W$3,$A784))</x:f>
        <x:v>#NAME?</x:v>
      </x:c>
      <x:c r="X784" t="e">
        <x:f>IF($A784="","",[1]!thsiFinD("ths_adjustment_nv_fund",X$3,$A784))</x:f>
        <x:v>#NAME?</x:v>
      </x:c>
      <x:c r="Y784" t="e">
        <x:f>IF($A784="","",[1]!thsiFinD("ths_adjustment_nv_fund",Y$3,$A784))</x:f>
        <x:v>#NAME?</x:v>
      </x:c>
    </x:row>
    <x:row r="785">
      <x:c r="B785" t="e">
        <x:f>IF($A785="","",[1]!thsiFinD("ths_adjustment_nv_fund",B$3,$A785))</x:f>
        <x:v>#NAME?</x:v>
      </x:c>
      <x:c r="C785" t="e">
        <x:f>IF($A785="","",[1]!thsiFinD("ths_adjustment_nv_fund",C$3,$A785))</x:f>
        <x:v>#NAME?</x:v>
      </x:c>
      <x:c r="D785" t="e">
        <x:f>IF($A785="","",[1]!thsiFinD("ths_adjustment_nv_fund",D$3,$A785))</x:f>
        <x:v>#NAME?</x:v>
      </x:c>
      <x:c r="E785" t="e">
        <x:f>IF($A785="","",[1]!thsiFinD("ths_adjustment_nv_fund",E$3,$A785))</x:f>
        <x:v>#NAME?</x:v>
      </x:c>
      <x:c r="F785" t="e">
        <x:f>IF($A785="","",[1]!thsiFinD("ths_adjustment_nv_fund",F$3,$A785))</x:f>
        <x:v>#NAME?</x:v>
      </x:c>
      <x:c r="G785" t="e">
        <x:f>IF($A785="","",[1]!thsiFinD("ths_adjustment_nv_fund",G$3,$A785))</x:f>
        <x:v>#NAME?</x:v>
      </x:c>
      <x:c r="H785" t="e">
        <x:f>IF($A785="","",[1]!thsiFinD("ths_adjustment_nv_fund",H$3,$A785))</x:f>
        <x:v>#NAME?</x:v>
      </x:c>
      <x:c r="I785" t="e">
        <x:f>IF($A785="","",[1]!thsiFinD("ths_adjustment_nv_fund",I$3,$A785))</x:f>
        <x:v>#NAME?</x:v>
      </x:c>
      <x:c r="J785" t="e">
        <x:f>IF($A785="","",[1]!thsiFinD("ths_adjustment_nv_fund",J$3,$A785))</x:f>
        <x:v>#NAME?</x:v>
      </x:c>
      <x:c r="K785" t="e">
        <x:f>IF($A785="","",[1]!thsiFinD("ths_adjustment_nv_fund",K$3,$A785))</x:f>
        <x:v>#NAME?</x:v>
      </x:c>
      <x:c r="L785" t="e">
        <x:f>IF($A785="","",[1]!thsiFinD("ths_adjustment_nv_fund",L$3,$A785))</x:f>
        <x:v>#NAME?</x:v>
      </x:c>
      <x:c r="M785" t="e">
        <x:f>IF($A785="","",[1]!thsiFinD("ths_adjustment_nv_fund",M$3,$A785))</x:f>
        <x:v>#NAME?</x:v>
      </x:c>
      <x:c r="N785" t="e">
        <x:f>IF($A785="","",[1]!thsiFinD("ths_adjustment_nv_fund",N$3,$A785))</x:f>
        <x:v>#NAME?</x:v>
      </x:c>
      <x:c r="O785" t="e">
        <x:f>IF($A785="","",[1]!thsiFinD("ths_adjustment_nv_fund",O$3,$A785))</x:f>
        <x:v>#NAME?</x:v>
      </x:c>
      <x:c r="P785" t="e">
        <x:f>IF($A785="","",[1]!thsiFinD("ths_adjustment_nv_fund",P$3,$A785))</x:f>
        <x:v>#NAME?</x:v>
      </x:c>
      <x:c r="Q785" t="e">
        <x:f>IF($A785="","",[1]!thsiFinD("ths_adjustment_nv_fund",Q$3,$A785))</x:f>
        <x:v>#NAME?</x:v>
      </x:c>
      <x:c r="R785" t="e">
        <x:f>IF($A785="","",[1]!thsiFinD("ths_adjustment_nv_fund",R$3,$A785))</x:f>
        <x:v>#NAME?</x:v>
      </x:c>
      <x:c r="S785" t="e">
        <x:f>IF($A785="","",[1]!thsiFinD("ths_adjustment_nv_fund",S$3,$A785))</x:f>
        <x:v>#NAME?</x:v>
      </x:c>
      <x:c r="T785" t="e">
        <x:f>IF($A785="","",[1]!thsiFinD("ths_adjustment_nv_fund",T$3,$A785))</x:f>
        <x:v>#NAME?</x:v>
      </x:c>
      <x:c r="U785" t="e">
        <x:f>IF($A785="","",[1]!thsiFinD("ths_adjustment_nv_fund",U$3,$A785))</x:f>
        <x:v>#NAME?</x:v>
      </x:c>
      <x:c r="V785" t="e">
        <x:f>IF($A785="","",[1]!thsiFinD("ths_adjustment_nv_fund",V$3,$A785))</x:f>
        <x:v>#NAME?</x:v>
      </x:c>
      <x:c r="W785" t="e">
        <x:f>IF($A785="","",[1]!thsiFinD("ths_adjustment_nv_fund",W$3,$A785))</x:f>
        <x:v>#NAME?</x:v>
      </x:c>
      <x:c r="X785" t="e">
        <x:f>IF($A785="","",[1]!thsiFinD("ths_adjustment_nv_fund",X$3,$A785))</x:f>
        <x:v>#NAME?</x:v>
      </x:c>
      <x:c r="Y785" t="e">
        <x:f>IF($A785="","",[1]!thsiFinD("ths_adjustment_nv_fund",Y$3,$A785))</x:f>
        <x:v>#NAME?</x:v>
      </x:c>
    </x:row>
    <x:row r="786">
      <x:c r="B786" t="e">
        <x:f>IF($A786="","",[1]!thsiFinD("ths_adjustment_nv_fund",B$3,$A786))</x:f>
        <x:v>#NAME?</x:v>
      </x:c>
      <x:c r="C786" t="e">
        <x:f>IF($A786="","",[1]!thsiFinD("ths_adjustment_nv_fund",C$3,$A786))</x:f>
        <x:v>#NAME?</x:v>
      </x:c>
      <x:c r="D786" t="e">
        <x:f>IF($A786="","",[1]!thsiFinD("ths_adjustment_nv_fund",D$3,$A786))</x:f>
        <x:v>#NAME?</x:v>
      </x:c>
      <x:c r="E786" t="e">
        <x:f>IF($A786="","",[1]!thsiFinD("ths_adjustment_nv_fund",E$3,$A786))</x:f>
        <x:v>#NAME?</x:v>
      </x:c>
      <x:c r="F786" t="e">
        <x:f>IF($A786="","",[1]!thsiFinD("ths_adjustment_nv_fund",F$3,$A786))</x:f>
        <x:v>#NAME?</x:v>
      </x:c>
      <x:c r="G786" t="e">
        <x:f>IF($A786="","",[1]!thsiFinD("ths_adjustment_nv_fund",G$3,$A786))</x:f>
        <x:v>#NAME?</x:v>
      </x:c>
      <x:c r="H786" t="e">
        <x:f>IF($A786="","",[1]!thsiFinD("ths_adjustment_nv_fund",H$3,$A786))</x:f>
        <x:v>#NAME?</x:v>
      </x:c>
      <x:c r="I786" t="e">
        <x:f>IF($A786="","",[1]!thsiFinD("ths_adjustment_nv_fund",I$3,$A786))</x:f>
        <x:v>#NAME?</x:v>
      </x:c>
      <x:c r="J786" t="e">
        <x:f>IF($A786="","",[1]!thsiFinD("ths_adjustment_nv_fund",J$3,$A786))</x:f>
        <x:v>#NAME?</x:v>
      </x:c>
      <x:c r="K786" t="e">
        <x:f>IF($A786="","",[1]!thsiFinD("ths_adjustment_nv_fund",K$3,$A786))</x:f>
        <x:v>#NAME?</x:v>
      </x:c>
      <x:c r="L786" t="e">
        <x:f>IF($A786="","",[1]!thsiFinD("ths_adjustment_nv_fund",L$3,$A786))</x:f>
        <x:v>#NAME?</x:v>
      </x:c>
      <x:c r="M786" t="e">
        <x:f>IF($A786="","",[1]!thsiFinD("ths_adjustment_nv_fund",M$3,$A786))</x:f>
        <x:v>#NAME?</x:v>
      </x:c>
      <x:c r="N786" t="e">
        <x:f>IF($A786="","",[1]!thsiFinD("ths_adjustment_nv_fund",N$3,$A786))</x:f>
        <x:v>#NAME?</x:v>
      </x:c>
      <x:c r="O786" t="e">
        <x:f>IF($A786="","",[1]!thsiFinD("ths_adjustment_nv_fund",O$3,$A786))</x:f>
        <x:v>#NAME?</x:v>
      </x:c>
      <x:c r="P786" t="e">
        <x:f>IF($A786="","",[1]!thsiFinD("ths_adjustment_nv_fund",P$3,$A786))</x:f>
        <x:v>#NAME?</x:v>
      </x:c>
      <x:c r="Q786" t="e">
        <x:f>IF($A786="","",[1]!thsiFinD("ths_adjustment_nv_fund",Q$3,$A786))</x:f>
        <x:v>#NAME?</x:v>
      </x:c>
      <x:c r="R786" t="e">
        <x:f>IF($A786="","",[1]!thsiFinD("ths_adjustment_nv_fund",R$3,$A786))</x:f>
        <x:v>#NAME?</x:v>
      </x:c>
      <x:c r="S786" t="e">
        <x:f>IF($A786="","",[1]!thsiFinD("ths_adjustment_nv_fund",S$3,$A786))</x:f>
        <x:v>#NAME?</x:v>
      </x:c>
      <x:c r="T786" t="e">
        <x:f>IF($A786="","",[1]!thsiFinD("ths_adjustment_nv_fund",T$3,$A786))</x:f>
        <x:v>#NAME?</x:v>
      </x:c>
      <x:c r="U786" t="e">
        <x:f>IF($A786="","",[1]!thsiFinD("ths_adjustment_nv_fund",U$3,$A786))</x:f>
        <x:v>#NAME?</x:v>
      </x:c>
      <x:c r="V786" t="e">
        <x:f>IF($A786="","",[1]!thsiFinD("ths_adjustment_nv_fund",V$3,$A786))</x:f>
        <x:v>#NAME?</x:v>
      </x:c>
      <x:c r="W786" t="e">
        <x:f>IF($A786="","",[1]!thsiFinD("ths_adjustment_nv_fund",W$3,$A786))</x:f>
        <x:v>#NAME?</x:v>
      </x:c>
      <x:c r="X786" t="e">
        <x:f>IF($A786="","",[1]!thsiFinD("ths_adjustment_nv_fund",X$3,$A786))</x:f>
        <x:v>#NAME?</x:v>
      </x:c>
      <x:c r="Y786" t="e">
        <x:f>IF($A786="","",[1]!thsiFinD("ths_adjustment_nv_fund",Y$3,$A786))</x:f>
        <x:v>#NAME?</x:v>
      </x:c>
    </x:row>
    <x:row r="787">
      <x:c r="B787" t="e">
        <x:f>IF($A787="","",[1]!thsiFinD("ths_adjustment_nv_fund",B$3,$A787))</x:f>
        <x:v>#NAME?</x:v>
      </x:c>
      <x:c r="C787" t="e">
        <x:f>IF($A787="","",[1]!thsiFinD("ths_adjustment_nv_fund",C$3,$A787))</x:f>
        <x:v>#NAME?</x:v>
      </x:c>
      <x:c r="D787" t="e">
        <x:f>IF($A787="","",[1]!thsiFinD("ths_adjustment_nv_fund",D$3,$A787))</x:f>
        <x:v>#NAME?</x:v>
      </x:c>
      <x:c r="E787" t="e">
        <x:f>IF($A787="","",[1]!thsiFinD("ths_adjustment_nv_fund",E$3,$A787))</x:f>
        <x:v>#NAME?</x:v>
      </x:c>
      <x:c r="F787" t="e">
        <x:f>IF($A787="","",[1]!thsiFinD("ths_adjustment_nv_fund",F$3,$A787))</x:f>
        <x:v>#NAME?</x:v>
      </x:c>
      <x:c r="G787" t="e">
        <x:f>IF($A787="","",[1]!thsiFinD("ths_adjustment_nv_fund",G$3,$A787))</x:f>
        <x:v>#NAME?</x:v>
      </x:c>
      <x:c r="H787" t="e">
        <x:f>IF($A787="","",[1]!thsiFinD("ths_adjustment_nv_fund",H$3,$A787))</x:f>
        <x:v>#NAME?</x:v>
      </x:c>
      <x:c r="I787" t="e">
        <x:f>IF($A787="","",[1]!thsiFinD("ths_adjustment_nv_fund",I$3,$A787))</x:f>
        <x:v>#NAME?</x:v>
      </x:c>
      <x:c r="J787" t="e">
        <x:f>IF($A787="","",[1]!thsiFinD("ths_adjustment_nv_fund",J$3,$A787))</x:f>
        <x:v>#NAME?</x:v>
      </x:c>
      <x:c r="K787" t="e">
        <x:f>IF($A787="","",[1]!thsiFinD("ths_adjustment_nv_fund",K$3,$A787))</x:f>
        <x:v>#NAME?</x:v>
      </x:c>
      <x:c r="L787" t="e">
        <x:f>IF($A787="","",[1]!thsiFinD("ths_adjustment_nv_fund",L$3,$A787))</x:f>
        <x:v>#NAME?</x:v>
      </x:c>
      <x:c r="M787" t="e">
        <x:f>IF($A787="","",[1]!thsiFinD("ths_adjustment_nv_fund",M$3,$A787))</x:f>
        <x:v>#NAME?</x:v>
      </x:c>
      <x:c r="N787" t="e">
        <x:f>IF($A787="","",[1]!thsiFinD("ths_adjustment_nv_fund",N$3,$A787))</x:f>
        <x:v>#NAME?</x:v>
      </x:c>
      <x:c r="O787" t="e">
        <x:f>IF($A787="","",[1]!thsiFinD("ths_adjustment_nv_fund",O$3,$A787))</x:f>
        <x:v>#NAME?</x:v>
      </x:c>
      <x:c r="P787" t="e">
        <x:f>IF($A787="","",[1]!thsiFinD("ths_adjustment_nv_fund",P$3,$A787))</x:f>
        <x:v>#NAME?</x:v>
      </x:c>
      <x:c r="Q787" t="e">
        <x:f>IF($A787="","",[1]!thsiFinD("ths_adjustment_nv_fund",Q$3,$A787))</x:f>
        <x:v>#NAME?</x:v>
      </x:c>
      <x:c r="R787" t="e">
        <x:f>IF($A787="","",[1]!thsiFinD("ths_adjustment_nv_fund",R$3,$A787))</x:f>
        <x:v>#NAME?</x:v>
      </x:c>
      <x:c r="S787" t="e">
        <x:f>IF($A787="","",[1]!thsiFinD("ths_adjustment_nv_fund",S$3,$A787))</x:f>
        <x:v>#NAME?</x:v>
      </x:c>
      <x:c r="T787" t="e">
        <x:f>IF($A787="","",[1]!thsiFinD("ths_adjustment_nv_fund",T$3,$A787))</x:f>
        <x:v>#NAME?</x:v>
      </x:c>
      <x:c r="U787" t="e">
        <x:f>IF($A787="","",[1]!thsiFinD("ths_adjustment_nv_fund",U$3,$A787))</x:f>
        <x:v>#NAME?</x:v>
      </x:c>
      <x:c r="V787" t="e">
        <x:f>IF($A787="","",[1]!thsiFinD("ths_adjustment_nv_fund",V$3,$A787))</x:f>
        <x:v>#NAME?</x:v>
      </x:c>
      <x:c r="W787" t="e">
        <x:f>IF($A787="","",[1]!thsiFinD("ths_adjustment_nv_fund",W$3,$A787))</x:f>
        <x:v>#NAME?</x:v>
      </x:c>
      <x:c r="X787" t="e">
        <x:f>IF($A787="","",[1]!thsiFinD("ths_adjustment_nv_fund",X$3,$A787))</x:f>
        <x:v>#NAME?</x:v>
      </x:c>
      <x:c r="Y787" t="e">
        <x:f>IF($A787="","",[1]!thsiFinD("ths_adjustment_nv_fund",Y$3,$A787))</x:f>
        <x:v>#NAME?</x:v>
      </x:c>
    </x:row>
    <x:row r="788">
      <x:c r="B788" t="e">
        <x:f>IF($A788="","",[1]!thsiFinD("ths_adjustment_nv_fund",B$3,$A788))</x:f>
        <x:v>#NAME?</x:v>
      </x:c>
      <x:c r="C788" t="e">
        <x:f>IF($A788="","",[1]!thsiFinD("ths_adjustment_nv_fund",C$3,$A788))</x:f>
        <x:v>#NAME?</x:v>
      </x:c>
      <x:c r="D788" t="e">
        <x:f>IF($A788="","",[1]!thsiFinD("ths_adjustment_nv_fund",D$3,$A788))</x:f>
        <x:v>#NAME?</x:v>
      </x:c>
      <x:c r="E788" t="e">
        <x:f>IF($A788="","",[1]!thsiFinD("ths_adjustment_nv_fund",E$3,$A788))</x:f>
        <x:v>#NAME?</x:v>
      </x:c>
      <x:c r="F788" t="e">
        <x:f>IF($A788="","",[1]!thsiFinD("ths_adjustment_nv_fund",F$3,$A788))</x:f>
        <x:v>#NAME?</x:v>
      </x:c>
      <x:c r="G788" t="e">
        <x:f>IF($A788="","",[1]!thsiFinD("ths_adjustment_nv_fund",G$3,$A788))</x:f>
        <x:v>#NAME?</x:v>
      </x:c>
      <x:c r="H788" t="e">
        <x:f>IF($A788="","",[1]!thsiFinD("ths_adjustment_nv_fund",H$3,$A788))</x:f>
        <x:v>#NAME?</x:v>
      </x:c>
      <x:c r="I788" t="e">
        <x:f>IF($A788="","",[1]!thsiFinD("ths_adjustment_nv_fund",I$3,$A788))</x:f>
        <x:v>#NAME?</x:v>
      </x:c>
      <x:c r="J788" t="e">
        <x:f>IF($A788="","",[1]!thsiFinD("ths_adjustment_nv_fund",J$3,$A788))</x:f>
        <x:v>#NAME?</x:v>
      </x:c>
      <x:c r="K788" t="e">
        <x:f>IF($A788="","",[1]!thsiFinD("ths_adjustment_nv_fund",K$3,$A788))</x:f>
        <x:v>#NAME?</x:v>
      </x:c>
      <x:c r="L788" t="e">
        <x:f>IF($A788="","",[1]!thsiFinD("ths_adjustment_nv_fund",L$3,$A788))</x:f>
        <x:v>#NAME?</x:v>
      </x:c>
      <x:c r="M788" t="e">
        <x:f>IF($A788="","",[1]!thsiFinD("ths_adjustment_nv_fund",M$3,$A788))</x:f>
        <x:v>#NAME?</x:v>
      </x:c>
      <x:c r="N788" t="e">
        <x:f>IF($A788="","",[1]!thsiFinD("ths_adjustment_nv_fund",N$3,$A788))</x:f>
        <x:v>#NAME?</x:v>
      </x:c>
      <x:c r="O788" t="e">
        <x:f>IF($A788="","",[1]!thsiFinD("ths_adjustment_nv_fund",O$3,$A788))</x:f>
        <x:v>#NAME?</x:v>
      </x:c>
      <x:c r="P788" t="e">
        <x:f>IF($A788="","",[1]!thsiFinD("ths_adjustment_nv_fund",P$3,$A788))</x:f>
        <x:v>#NAME?</x:v>
      </x:c>
      <x:c r="Q788" t="e">
        <x:f>IF($A788="","",[1]!thsiFinD("ths_adjustment_nv_fund",Q$3,$A788))</x:f>
        <x:v>#NAME?</x:v>
      </x:c>
      <x:c r="R788" t="e">
        <x:f>IF($A788="","",[1]!thsiFinD("ths_adjustment_nv_fund",R$3,$A788))</x:f>
        <x:v>#NAME?</x:v>
      </x:c>
      <x:c r="S788" t="e">
        <x:f>IF($A788="","",[1]!thsiFinD("ths_adjustment_nv_fund",S$3,$A788))</x:f>
        <x:v>#NAME?</x:v>
      </x:c>
      <x:c r="T788" t="e">
        <x:f>IF($A788="","",[1]!thsiFinD("ths_adjustment_nv_fund",T$3,$A788))</x:f>
        <x:v>#NAME?</x:v>
      </x:c>
      <x:c r="U788" t="e">
        <x:f>IF($A788="","",[1]!thsiFinD("ths_adjustment_nv_fund",U$3,$A788))</x:f>
        <x:v>#NAME?</x:v>
      </x:c>
      <x:c r="V788" t="e">
        <x:f>IF($A788="","",[1]!thsiFinD("ths_adjustment_nv_fund",V$3,$A788))</x:f>
        <x:v>#NAME?</x:v>
      </x:c>
      <x:c r="W788" t="e">
        <x:f>IF($A788="","",[1]!thsiFinD("ths_adjustment_nv_fund",W$3,$A788))</x:f>
        <x:v>#NAME?</x:v>
      </x:c>
      <x:c r="X788" t="e">
        <x:f>IF($A788="","",[1]!thsiFinD("ths_adjustment_nv_fund",X$3,$A788))</x:f>
        <x:v>#NAME?</x:v>
      </x:c>
      <x:c r="Y788" t="e">
        <x:f>IF($A788="","",[1]!thsiFinD("ths_adjustment_nv_fund",Y$3,$A788))</x:f>
        <x:v>#NAME?</x:v>
      </x:c>
    </x:row>
    <x:row r="789">
      <x:c r="B789" t="e">
        <x:f>IF($A789="","",[1]!thsiFinD("ths_adjustment_nv_fund",B$3,$A789))</x:f>
        <x:v>#NAME?</x:v>
      </x:c>
      <x:c r="C789" t="e">
        <x:f>IF($A789="","",[1]!thsiFinD("ths_adjustment_nv_fund",C$3,$A789))</x:f>
        <x:v>#NAME?</x:v>
      </x:c>
      <x:c r="D789" t="e">
        <x:f>IF($A789="","",[1]!thsiFinD("ths_adjustment_nv_fund",D$3,$A789))</x:f>
        <x:v>#NAME?</x:v>
      </x:c>
      <x:c r="E789" t="e">
        <x:f>IF($A789="","",[1]!thsiFinD("ths_adjustment_nv_fund",E$3,$A789))</x:f>
        <x:v>#NAME?</x:v>
      </x:c>
      <x:c r="F789" t="e">
        <x:f>IF($A789="","",[1]!thsiFinD("ths_adjustment_nv_fund",F$3,$A789))</x:f>
        <x:v>#NAME?</x:v>
      </x:c>
      <x:c r="G789" t="e">
        <x:f>IF($A789="","",[1]!thsiFinD("ths_adjustment_nv_fund",G$3,$A789))</x:f>
        <x:v>#NAME?</x:v>
      </x:c>
      <x:c r="H789" t="e">
        <x:f>IF($A789="","",[1]!thsiFinD("ths_adjustment_nv_fund",H$3,$A789))</x:f>
        <x:v>#NAME?</x:v>
      </x:c>
      <x:c r="I789" t="e">
        <x:f>IF($A789="","",[1]!thsiFinD("ths_adjustment_nv_fund",I$3,$A789))</x:f>
        <x:v>#NAME?</x:v>
      </x:c>
      <x:c r="J789" t="e">
        <x:f>IF($A789="","",[1]!thsiFinD("ths_adjustment_nv_fund",J$3,$A789))</x:f>
        <x:v>#NAME?</x:v>
      </x:c>
      <x:c r="K789" t="e">
        <x:f>IF($A789="","",[1]!thsiFinD("ths_adjustment_nv_fund",K$3,$A789))</x:f>
        <x:v>#NAME?</x:v>
      </x:c>
      <x:c r="L789" t="e">
        <x:f>IF($A789="","",[1]!thsiFinD("ths_adjustment_nv_fund",L$3,$A789))</x:f>
        <x:v>#NAME?</x:v>
      </x:c>
      <x:c r="M789" t="e">
        <x:f>IF($A789="","",[1]!thsiFinD("ths_adjustment_nv_fund",M$3,$A789))</x:f>
        <x:v>#NAME?</x:v>
      </x:c>
      <x:c r="N789" t="e">
        <x:f>IF($A789="","",[1]!thsiFinD("ths_adjustment_nv_fund",N$3,$A789))</x:f>
        <x:v>#NAME?</x:v>
      </x:c>
      <x:c r="O789" t="e">
        <x:f>IF($A789="","",[1]!thsiFinD("ths_adjustment_nv_fund",O$3,$A789))</x:f>
        <x:v>#NAME?</x:v>
      </x:c>
      <x:c r="P789" t="e">
        <x:f>IF($A789="","",[1]!thsiFinD("ths_adjustment_nv_fund",P$3,$A789))</x:f>
        <x:v>#NAME?</x:v>
      </x:c>
      <x:c r="Q789" t="e">
        <x:f>IF($A789="","",[1]!thsiFinD("ths_adjustment_nv_fund",Q$3,$A789))</x:f>
        <x:v>#NAME?</x:v>
      </x:c>
      <x:c r="R789" t="e">
        <x:f>IF($A789="","",[1]!thsiFinD("ths_adjustment_nv_fund",R$3,$A789))</x:f>
        <x:v>#NAME?</x:v>
      </x:c>
      <x:c r="S789" t="e">
        <x:f>IF($A789="","",[1]!thsiFinD("ths_adjustment_nv_fund",S$3,$A789))</x:f>
        <x:v>#NAME?</x:v>
      </x:c>
      <x:c r="T789" t="e">
        <x:f>IF($A789="","",[1]!thsiFinD("ths_adjustment_nv_fund",T$3,$A789))</x:f>
        <x:v>#NAME?</x:v>
      </x:c>
      <x:c r="U789" t="e">
        <x:f>IF($A789="","",[1]!thsiFinD("ths_adjustment_nv_fund",U$3,$A789))</x:f>
        <x:v>#NAME?</x:v>
      </x:c>
      <x:c r="V789" t="e">
        <x:f>IF($A789="","",[1]!thsiFinD("ths_adjustment_nv_fund",V$3,$A789))</x:f>
        <x:v>#NAME?</x:v>
      </x:c>
      <x:c r="W789" t="e">
        <x:f>IF($A789="","",[1]!thsiFinD("ths_adjustment_nv_fund",W$3,$A789))</x:f>
        <x:v>#NAME?</x:v>
      </x:c>
      <x:c r="X789" t="e">
        <x:f>IF($A789="","",[1]!thsiFinD("ths_adjustment_nv_fund",X$3,$A789))</x:f>
        <x:v>#NAME?</x:v>
      </x:c>
      <x:c r="Y789" t="e">
        <x:f>IF($A789="","",[1]!thsiFinD("ths_adjustment_nv_fund",Y$3,$A789))</x:f>
        <x:v>#NAME?</x:v>
      </x:c>
    </x:row>
    <x:row r="790">
      <x:c r="B790" t="e">
        <x:f>IF($A790="","",[1]!thsiFinD("ths_adjustment_nv_fund",B$3,$A790))</x:f>
        <x:v>#NAME?</x:v>
      </x:c>
      <x:c r="C790" t="e">
        <x:f>IF($A790="","",[1]!thsiFinD("ths_adjustment_nv_fund",C$3,$A790))</x:f>
        <x:v>#NAME?</x:v>
      </x:c>
      <x:c r="D790" t="e">
        <x:f>IF($A790="","",[1]!thsiFinD("ths_adjustment_nv_fund",D$3,$A790))</x:f>
        <x:v>#NAME?</x:v>
      </x:c>
      <x:c r="E790" t="e">
        <x:f>IF($A790="","",[1]!thsiFinD("ths_adjustment_nv_fund",E$3,$A790))</x:f>
        <x:v>#NAME?</x:v>
      </x:c>
      <x:c r="F790" t="e">
        <x:f>IF($A790="","",[1]!thsiFinD("ths_adjustment_nv_fund",F$3,$A790))</x:f>
        <x:v>#NAME?</x:v>
      </x:c>
      <x:c r="G790" t="e">
        <x:f>IF($A790="","",[1]!thsiFinD("ths_adjustment_nv_fund",G$3,$A790))</x:f>
        <x:v>#NAME?</x:v>
      </x:c>
      <x:c r="H790" t="e">
        <x:f>IF($A790="","",[1]!thsiFinD("ths_adjustment_nv_fund",H$3,$A790))</x:f>
        <x:v>#NAME?</x:v>
      </x:c>
      <x:c r="I790" t="e">
        <x:f>IF($A790="","",[1]!thsiFinD("ths_adjustment_nv_fund",I$3,$A790))</x:f>
        <x:v>#NAME?</x:v>
      </x:c>
      <x:c r="J790" t="e">
        <x:f>IF($A790="","",[1]!thsiFinD("ths_adjustment_nv_fund",J$3,$A790))</x:f>
        <x:v>#NAME?</x:v>
      </x:c>
      <x:c r="K790" t="e">
        <x:f>IF($A790="","",[1]!thsiFinD("ths_adjustment_nv_fund",K$3,$A790))</x:f>
        <x:v>#NAME?</x:v>
      </x:c>
      <x:c r="L790" t="e">
        <x:f>IF($A790="","",[1]!thsiFinD("ths_adjustment_nv_fund",L$3,$A790))</x:f>
        <x:v>#NAME?</x:v>
      </x:c>
      <x:c r="M790" t="e">
        <x:f>IF($A790="","",[1]!thsiFinD("ths_adjustment_nv_fund",M$3,$A790))</x:f>
        <x:v>#NAME?</x:v>
      </x:c>
      <x:c r="N790" t="e">
        <x:f>IF($A790="","",[1]!thsiFinD("ths_adjustment_nv_fund",N$3,$A790))</x:f>
        <x:v>#NAME?</x:v>
      </x:c>
      <x:c r="O790" t="e">
        <x:f>IF($A790="","",[1]!thsiFinD("ths_adjustment_nv_fund",O$3,$A790))</x:f>
        <x:v>#NAME?</x:v>
      </x:c>
      <x:c r="P790" t="e">
        <x:f>IF($A790="","",[1]!thsiFinD("ths_adjustment_nv_fund",P$3,$A790))</x:f>
        <x:v>#NAME?</x:v>
      </x:c>
      <x:c r="Q790" t="e">
        <x:f>IF($A790="","",[1]!thsiFinD("ths_adjustment_nv_fund",Q$3,$A790))</x:f>
        <x:v>#NAME?</x:v>
      </x:c>
      <x:c r="R790" t="e">
        <x:f>IF($A790="","",[1]!thsiFinD("ths_adjustment_nv_fund",R$3,$A790))</x:f>
        <x:v>#NAME?</x:v>
      </x:c>
      <x:c r="S790" t="e">
        <x:f>IF($A790="","",[1]!thsiFinD("ths_adjustment_nv_fund",S$3,$A790))</x:f>
        <x:v>#NAME?</x:v>
      </x:c>
      <x:c r="T790" t="e">
        <x:f>IF($A790="","",[1]!thsiFinD("ths_adjustment_nv_fund",T$3,$A790))</x:f>
        <x:v>#NAME?</x:v>
      </x:c>
      <x:c r="U790" t="e">
        <x:f>IF($A790="","",[1]!thsiFinD("ths_adjustment_nv_fund",U$3,$A790))</x:f>
        <x:v>#NAME?</x:v>
      </x:c>
      <x:c r="V790" t="e">
        <x:f>IF($A790="","",[1]!thsiFinD("ths_adjustment_nv_fund",V$3,$A790))</x:f>
        <x:v>#NAME?</x:v>
      </x:c>
      <x:c r="W790" t="e">
        <x:f>IF($A790="","",[1]!thsiFinD("ths_adjustment_nv_fund",W$3,$A790))</x:f>
        <x:v>#NAME?</x:v>
      </x:c>
      <x:c r="X790" t="e">
        <x:f>IF($A790="","",[1]!thsiFinD("ths_adjustment_nv_fund",X$3,$A790))</x:f>
        <x:v>#NAME?</x:v>
      </x:c>
      <x:c r="Y790" t="e">
        <x:f>IF($A790="","",[1]!thsiFinD("ths_adjustment_nv_fund",Y$3,$A790))</x:f>
        <x:v>#NAME?</x:v>
      </x:c>
    </x:row>
    <x:row r="791">
      <x:c r="B791" t="e">
        <x:f>IF($A791="","",[1]!thsiFinD("ths_adjustment_nv_fund",B$3,$A791))</x:f>
        <x:v>#NAME?</x:v>
      </x:c>
      <x:c r="C791" t="e">
        <x:f>IF($A791="","",[1]!thsiFinD("ths_adjustment_nv_fund",C$3,$A791))</x:f>
        <x:v>#NAME?</x:v>
      </x:c>
      <x:c r="D791" t="e">
        <x:f>IF($A791="","",[1]!thsiFinD("ths_adjustment_nv_fund",D$3,$A791))</x:f>
        <x:v>#NAME?</x:v>
      </x:c>
      <x:c r="E791" t="e">
        <x:f>IF($A791="","",[1]!thsiFinD("ths_adjustment_nv_fund",E$3,$A791))</x:f>
        <x:v>#NAME?</x:v>
      </x:c>
      <x:c r="F791" t="e">
        <x:f>IF($A791="","",[1]!thsiFinD("ths_adjustment_nv_fund",F$3,$A791))</x:f>
        <x:v>#NAME?</x:v>
      </x:c>
      <x:c r="G791" t="e">
        <x:f>IF($A791="","",[1]!thsiFinD("ths_adjustment_nv_fund",G$3,$A791))</x:f>
        <x:v>#NAME?</x:v>
      </x:c>
      <x:c r="H791" t="e">
        <x:f>IF($A791="","",[1]!thsiFinD("ths_adjustment_nv_fund",H$3,$A791))</x:f>
        <x:v>#NAME?</x:v>
      </x:c>
      <x:c r="I791" t="e">
        <x:f>IF($A791="","",[1]!thsiFinD("ths_adjustment_nv_fund",I$3,$A791))</x:f>
        <x:v>#NAME?</x:v>
      </x:c>
      <x:c r="J791" t="e">
        <x:f>IF($A791="","",[1]!thsiFinD("ths_adjustment_nv_fund",J$3,$A791))</x:f>
        <x:v>#NAME?</x:v>
      </x:c>
      <x:c r="K791" t="e">
        <x:f>IF($A791="","",[1]!thsiFinD("ths_adjustment_nv_fund",K$3,$A791))</x:f>
        <x:v>#NAME?</x:v>
      </x:c>
      <x:c r="L791" t="e">
        <x:f>IF($A791="","",[1]!thsiFinD("ths_adjustment_nv_fund",L$3,$A791))</x:f>
        <x:v>#NAME?</x:v>
      </x:c>
      <x:c r="M791" t="e">
        <x:f>IF($A791="","",[1]!thsiFinD("ths_adjustment_nv_fund",M$3,$A791))</x:f>
        <x:v>#NAME?</x:v>
      </x:c>
      <x:c r="N791" t="e">
        <x:f>IF($A791="","",[1]!thsiFinD("ths_adjustment_nv_fund",N$3,$A791))</x:f>
        <x:v>#NAME?</x:v>
      </x:c>
      <x:c r="O791" t="e">
        <x:f>IF($A791="","",[1]!thsiFinD("ths_adjustment_nv_fund",O$3,$A791))</x:f>
        <x:v>#NAME?</x:v>
      </x:c>
      <x:c r="P791" t="e">
        <x:f>IF($A791="","",[1]!thsiFinD("ths_adjustment_nv_fund",P$3,$A791))</x:f>
        <x:v>#NAME?</x:v>
      </x:c>
      <x:c r="Q791" t="e">
        <x:f>IF($A791="","",[1]!thsiFinD("ths_adjustment_nv_fund",Q$3,$A791))</x:f>
        <x:v>#NAME?</x:v>
      </x:c>
      <x:c r="R791" t="e">
        <x:f>IF($A791="","",[1]!thsiFinD("ths_adjustment_nv_fund",R$3,$A791))</x:f>
        <x:v>#NAME?</x:v>
      </x:c>
      <x:c r="S791" t="e">
        <x:f>IF($A791="","",[1]!thsiFinD("ths_adjustment_nv_fund",S$3,$A791))</x:f>
        <x:v>#NAME?</x:v>
      </x:c>
      <x:c r="T791" t="e">
        <x:f>IF($A791="","",[1]!thsiFinD("ths_adjustment_nv_fund",T$3,$A791))</x:f>
        <x:v>#NAME?</x:v>
      </x:c>
      <x:c r="U791" t="e">
        <x:f>IF($A791="","",[1]!thsiFinD("ths_adjustment_nv_fund",U$3,$A791))</x:f>
        <x:v>#NAME?</x:v>
      </x:c>
      <x:c r="V791" t="e">
        <x:f>IF($A791="","",[1]!thsiFinD("ths_adjustment_nv_fund",V$3,$A791))</x:f>
        <x:v>#NAME?</x:v>
      </x:c>
      <x:c r="W791" t="e">
        <x:f>IF($A791="","",[1]!thsiFinD("ths_adjustment_nv_fund",W$3,$A791))</x:f>
        <x:v>#NAME?</x:v>
      </x:c>
      <x:c r="X791" t="e">
        <x:f>IF($A791="","",[1]!thsiFinD("ths_adjustment_nv_fund",X$3,$A791))</x:f>
        <x:v>#NAME?</x:v>
      </x:c>
      <x:c r="Y791" t="e">
        <x:f>IF($A791="","",[1]!thsiFinD("ths_adjustment_nv_fund",Y$3,$A791))</x:f>
        <x:v>#NAME?</x:v>
      </x:c>
    </x:row>
    <x:row r="792">
      <x:c r="B792" t="e">
        <x:f>IF($A792="","",[1]!thsiFinD("ths_adjustment_nv_fund",B$3,$A792))</x:f>
        <x:v>#NAME?</x:v>
      </x:c>
      <x:c r="C792" t="e">
        <x:f>IF($A792="","",[1]!thsiFinD("ths_adjustment_nv_fund",C$3,$A792))</x:f>
        <x:v>#NAME?</x:v>
      </x:c>
      <x:c r="D792" t="e">
        <x:f>IF($A792="","",[1]!thsiFinD("ths_adjustment_nv_fund",D$3,$A792))</x:f>
        <x:v>#NAME?</x:v>
      </x:c>
      <x:c r="E792" t="e">
        <x:f>IF($A792="","",[1]!thsiFinD("ths_adjustment_nv_fund",E$3,$A792))</x:f>
        <x:v>#NAME?</x:v>
      </x:c>
      <x:c r="F792" t="e">
        <x:f>IF($A792="","",[1]!thsiFinD("ths_adjustment_nv_fund",F$3,$A792))</x:f>
        <x:v>#NAME?</x:v>
      </x:c>
      <x:c r="G792" t="e">
        <x:f>IF($A792="","",[1]!thsiFinD("ths_adjustment_nv_fund",G$3,$A792))</x:f>
        <x:v>#NAME?</x:v>
      </x:c>
      <x:c r="H792" t="e">
        <x:f>IF($A792="","",[1]!thsiFinD("ths_adjustment_nv_fund",H$3,$A792))</x:f>
        <x:v>#NAME?</x:v>
      </x:c>
      <x:c r="I792" t="e">
        <x:f>IF($A792="","",[1]!thsiFinD("ths_adjustment_nv_fund",I$3,$A792))</x:f>
        <x:v>#NAME?</x:v>
      </x:c>
      <x:c r="J792" t="e">
        <x:f>IF($A792="","",[1]!thsiFinD("ths_adjustment_nv_fund",J$3,$A792))</x:f>
        <x:v>#NAME?</x:v>
      </x:c>
      <x:c r="K792" t="e">
        <x:f>IF($A792="","",[1]!thsiFinD("ths_adjustment_nv_fund",K$3,$A792))</x:f>
        <x:v>#NAME?</x:v>
      </x:c>
      <x:c r="L792" t="e">
        <x:f>IF($A792="","",[1]!thsiFinD("ths_adjustment_nv_fund",L$3,$A792))</x:f>
        <x:v>#NAME?</x:v>
      </x:c>
      <x:c r="M792" t="e">
        <x:f>IF($A792="","",[1]!thsiFinD("ths_adjustment_nv_fund",M$3,$A792))</x:f>
        <x:v>#NAME?</x:v>
      </x:c>
      <x:c r="N792" t="e">
        <x:f>IF($A792="","",[1]!thsiFinD("ths_adjustment_nv_fund",N$3,$A792))</x:f>
        <x:v>#NAME?</x:v>
      </x:c>
      <x:c r="O792" t="e">
        <x:f>IF($A792="","",[1]!thsiFinD("ths_adjustment_nv_fund",O$3,$A792))</x:f>
        <x:v>#NAME?</x:v>
      </x:c>
      <x:c r="P792" t="e">
        <x:f>IF($A792="","",[1]!thsiFinD("ths_adjustment_nv_fund",P$3,$A792))</x:f>
        <x:v>#NAME?</x:v>
      </x:c>
      <x:c r="Q792" t="e">
        <x:f>IF($A792="","",[1]!thsiFinD("ths_adjustment_nv_fund",Q$3,$A792))</x:f>
        <x:v>#NAME?</x:v>
      </x:c>
      <x:c r="R792" t="e">
        <x:f>IF($A792="","",[1]!thsiFinD("ths_adjustment_nv_fund",R$3,$A792))</x:f>
        <x:v>#NAME?</x:v>
      </x:c>
      <x:c r="S792" t="e">
        <x:f>IF($A792="","",[1]!thsiFinD("ths_adjustment_nv_fund",S$3,$A792))</x:f>
        <x:v>#NAME?</x:v>
      </x:c>
      <x:c r="T792" t="e">
        <x:f>IF($A792="","",[1]!thsiFinD("ths_adjustment_nv_fund",T$3,$A792))</x:f>
        <x:v>#NAME?</x:v>
      </x:c>
      <x:c r="U792" t="e">
        <x:f>IF($A792="","",[1]!thsiFinD("ths_adjustment_nv_fund",U$3,$A792))</x:f>
        <x:v>#NAME?</x:v>
      </x:c>
      <x:c r="V792" t="e">
        <x:f>IF($A792="","",[1]!thsiFinD("ths_adjustment_nv_fund",V$3,$A792))</x:f>
        <x:v>#NAME?</x:v>
      </x:c>
      <x:c r="W792" t="e">
        <x:f>IF($A792="","",[1]!thsiFinD("ths_adjustment_nv_fund",W$3,$A792))</x:f>
        <x:v>#NAME?</x:v>
      </x:c>
      <x:c r="X792" t="e">
        <x:f>IF($A792="","",[1]!thsiFinD("ths_adjustment_nv_fund",X$3,$A792))</x:f>
        <x:v>#NAME?</x:v>
      </x:c>
      <x:c r="Y792" t="e">
        <x:f>IF($A792="","",[1]!thsiFinD("ths_adjustment_nv_fund",Y$3,$A792))</x:f>
        <x:v>#NAME?</x:v>
      </x:c>
    </x:row>
    <x:row r="793">
      <x:c r="B793" t="e">
        <x:f>IF($A793="","",[1]!thsiFinD("ths_adjustment_nv_fund",B$3,$A793))</x:f>
        <x:v>#NAME?</x:v>
      </x:c>
      <x:c r="C793" t="e">
        <x:f>IF($A793="","",[1]!thsiFinD("ths_adjustment_nv_fund",C$3,$A793))</x:f>
        <x:v>#NAME?</x:v>
      </x:c>
      <x:c r="D793" t="e">
        <x:f>IF($A793="","",[1]!thsiFinD("ths_adjustment_nv_fund",D$3,$A793))</x:f>
        <x:v>#NAME?</x:v>
      </x:c>
      <x:c r="E793" t="e">
        <x:f>IF($A793="","",[1]!thsiFinD("ths_adjustment_nv_fund",E$3,$A793))</x:f>
        <x:v>#NAME?</x:v>
      </x:c>
      <x:c r="F793" t="e">
        <x:f>IF($A793="","",[1]!thsiFinD("ths_adjustment_nv_fund",F$3,$A793))</x:f>
        <x:v>#NAME?</x:v>
      </x:c>
      <x:c r="G793" t="e">
        <x:f>IF($A793="","",[1]!thsiFinD("ths_adjustment_nv_fund",G$3,$A793))</x:f>
        <x:v>#NAME?</x:v>
      </x:c>
      <x:c r="H793" t="e">
        <x:f>IF($A793="","",[1]!thsiFinD("ths_adjustment_nv_fund",H$3,$A793))</x:f>
        <x:v>#NAME?</x:v>
      </x:c>
      <x:c r="I793" t="e">
        <x:f>IF($A793="","",[1]!thsiFinD("ths_adjustment_nv_fund",I$3,$A793))</x:f>
        <x:v>#NAME?</x:v>
      </x:c>
      <x:c r="J793" t="e">
        <x:f>IF($A793="","",[1]!thsiFinD("ths_adjustment_nv_fund",J$3,$A793))</x:f>
        <x:v>#NAME?</x:v>
      </x:c>
      <x:c r="K793" t="e">
        <x:f>IF($A793="","",[1]!thsiFinD("ths_adjustment_nv_fund",K$3,$A793))</x:f>
        <x:v>#NAME?</x:v>
      </x:c>
      <x:c r="L793" t="e">
        <x:f>IF($A793="","",[1]!thsiFinD("ths_adjustment_nv_fund",L$3,$A793))</x:f>
        <x:v>#NAME?</x:v>
      </x:c>
      <x:c r="M793" t="e">
        <x:f>IF($A793="","",[1]!thsiFinD("ths_adjustment_nv_fund",M$3,$A793))</x:f>
        <x:v>#NAME?</x:v>
      </x:c>
      <x:c r="N793" t="e">
        <x:f>IF($A793="","",[1]!thsiFinD("ths_adjustment_nv_fund",N$3,$A793))</x:f>
        <x:v>#NAME?</x:v>
      </x:c>
      <x:c r="O793" t="e">
        <x:f>IF($A793="","",[1]!thsiFinD("ths_adjustment_nv_fund",O$3,$A793))</x:f>
        <x:v>#NAME?</x:v>
      </x:c>
      <x:c r="P793" t="e">
        <x:f>IF($A793="","",[1]!thsiFinD("ths_adjustment_nv_fund",P$3,$A793))</x:f>
        <x:v>#NAME?</x:v>
      </x:c>
      <x:c r="Q793" t="e">
        <x:f>IF($A793="","",[1]!thsiFinD("ths_adjustment_nv_fund",Q$3,$A793))</x:f>
        <x:v>#NAME?</x:v>
      </x:c>
      <x:c r="R793" t="e">
        <x:f>IF($A793="","",[1]!thsiFinD("ths_adjustment_nv_fund",R$3,$A793))</x:f>
        <x:v>#NAME?</x:v>
      </x:c>
      <x:c r="S793" t="e">
        <x:f>IF($A793="","",[1]!thsiFinD("ths_adjustment_nv_fund",S$3,$A793))</x:f>
        <x:v>#NAME?</x:v>
      </x:c>
      <x:c r="T793" t="e">
        <x:f>IF($A793="","",[1]!thsiFinD("ths_adjustment_nv_fund",T$3,$A793))</x:f>
        <x:v>#NAME?</x:v>
      </x:c>
      <x:c r="U793" t="e">
        <x:f>IF($A793="","",[1]!thsiFinD("ths_adjustment_nv_fund",U$3,$A793))</x:f>
        <x:v>#NAME?</x:v>
      </x:c>
      <x:c r="V793" t="e">
        <x:f>IF($A793="","",[1]!thsiFinD("ths_adjustment_nv_fund",V$3,$A793))</x:f>
        <x:v>#NAME?</x:v>
      </x:c>
      <x:c r="W793" t="e">
        <x:f>IF($A793="","",[1]!thsiFinD("ths_adjustment_nv_fund",W$3,$A793))</x:f>
        <x:v>#NAME?</x:v>
      </x:c>
      <x:c r="X793" t="e">
        <x:f>IF($A793="","",[1]!thsiFinD("ths_adjustment_nv_fund",X$3,$A793))</x:f>
        <x:v>#NAME?</x:v>
      </x:c>
      <x:c r="Y793" t="e">
        <x:f>IF($A793="","",[1]!thsiFinD("ths_adjustment_nv_fund",Y$3,$A793))</x:f>
        <x:v>#NAME?</x:v>
      </x:c>
    </x:row>
    <x:row r="794">
      <x:c r="B794" t="e">
        <x:f>IF($A794="","",[1]!thsiFinD("ths_adjustment_nv_fund",B$3,$A794))</x:f>
        <x:v>#NAME?</x:v>
      </x:c>
      <x:c r="C794" t="e">
        <x:f>IF($A794="","",[1]!thsiFinD("ths_adjustment_nv_fund",C$3,$A794))</x:f>
        <x:v>#NAME?</x:v>
      </x:c>
      <x:c r="D794" t="e">
        <x:f>IF($A794="","",[1]!thsiFinD("ths_adjustment_nv_fund",D$3,$A794))</x:f>
        <x:v>#NAME?</x:v>
      </x:c>
      <x:c r="E794" t="e">
        <x:f>IF($A794="","",[1]!thsiFinD("ths_adjustment_nv_fund",E$3,$A794))</x:f>
        <x:v>#NAME?</x:v>
      </x:c>
      <x:c r="F794" t="e">
        <x:f>IF($A794="","",[1]!thsiFinD("ths_adjustment_nv_fund",F$3,$A794))</x:f>
        <x:v>#NAME?</x:v>
      </x:c>
      <x:c r="G794" t="e">
        <x:f>IF($A794="","",[1]!thsiFinD("ths_adjustment_nv_fund",G$3,$A794))</x:f>
        <x:v>#NAME?</x:v>
      </x:c>
      <x:c r="H794" t="e">
        <x:f>IF($A794="","",[1]!thsiFinD("ths_adjustment_nv_fund",H$3,$A794))</x:f>
        <x:v>#NAME?</x:v>
      </x:c>
      <x:c r="I794" t="e">
        <x:f>IF($A794="","",[1]!thsiFinD("ths_adjustment_nv_fund",I$3,$A794))</x:f>
        <x:v>#NAME?</x:v>
      </x:c>
      <x:c r="J794" t="e">
        <x:f>IF($A794="","",[1]!thsiFinD("ths_adjustment_nv_fund",J$3,$A794))</x:f>
        <x:v>#NAME?</x:v>
      </x:c>
      <x:c r="K794" t="e">
        <x:f>IF($A794="","",[1]!thsiFinD("ths_adjustment_nv_fund",K$3,$A794))</x:f>
        <x:v>#NAME?</x:v>
      </x:c>
      <x:c r="L794" t="e">
        <x:f>IF($A794="","",[1]!thsiFinD("ths_adjustment_nv_fund",L$3,$A794))</x:f>
        <x:v>#NAME?</x:v>
      </x:c>
      <x:c r="M794" t="e">
        <x:f>IF($A794="","",[1]!thsiFinD("ths_adjustment_nv_fund",M$3,$A794))</x:f>
        <x:v>#NAME?</x:v>
      </x:c>
      <x:c r="N794" t="e">
        <x:f>IF($A794="","",[1]!thsiFinD("ths_adjustment_nv_fund",N$3,$A794))</x:f>
        <x:v>#NAME?</x:v>
      </x:c>
      <x:c r="O794" t="e">
        <x:f>IF($A794="","",[1]!thsiFinD("ths_adjustment_nv_fund",O$3,$A794))</x:f>
        <x:v>#NAME?</x:v>
      </x:c>
      <x:c r="P794" t="e">
        <x:f>IF($A794="","",[1]!thsiFinD("ths_adjustment_nv_fund",P$3,$A794))</x:f>
        <x:v>#NAME?</x:v>
      </x:c>
      <x:c r="Q794" t="e">
        <x:f>IF($A794="","",[1]!thsiFinD("ths_adjustment_nv_fund",Q$3,$A794))</x:f>
        <x:v>#NAME?</x:v>
      </x:c>
      <x:c r="R794" t="e">
        <x:f>IF($A794="","",[1]!thsiFinD("ths_adjustment_nv_fund",R$3,$A794))</x:f>
        <x:v>#NAME?</x:v>
      </x:c>
      <x:c r="S794" t="e">
        <x:f>IF($A794="","",[1]!thsiFinD("ths_adjustment_nv_fund",S$3,$A794))</x:f>
        <x:v>#NAME?</x:v>
      </x:c>
      <x:c r="T794" t="e">
        <x:f>IF($A794="","",[1]!thsiFinD("ths_adjustment_nv_fund",T$3,$A794))</x:f>
        <x:v>#NAME?</x:v>
      </x:c>
      <x:c r="U794" t="e">
        <x:f>IF($A794="","",[1]!thsiFinD("ths_adjustment_nv_fund",U$3,$A794))</x:f>
        <x:v>#NAME?</x:v>
      </x:c>
      <x:c r="V794" t="e">
        <x:f>IF($A794="","",[1]!thsiFinD("ths_adjustment_nv_fund",V$3,$A794))</x:f>
        <x:v>#NAME?</x:v>
      </x:c>
      <x:c r="W794" t="e">
        <x:f>IF($A794="","",[1]!thsiFinD("ths_adjustment_nv_fund",W$3,$A794))</x:f>
        <x:v>#NAME?</x:v>
      </x:c>
      <x:c r="X794" t="e">
        <x:f>IF($A794="","",[1]!thsiFinD("ths_adjustment_nv_fund",X$3,$A794))</x:f>
        <x:v>#NAME?</x:v>
      </x:c>
      <x:c r="Y794" t="e">
        <x:f>IF($A794="","",[1]!thsiFinD("ths_adjustment_nv_fund",Y$3,$A794))</x:f>
        <x:v>#NAME?</x:v>
      </x:c>
    </x:row>
    <x:row r="795">
      <x:c r="B795" t="e">
        <x:f>IF($A795="","",[1]!thsiFinD("ths_adjustment_nv_fund",B$3,$A795))</x:f>
        <x:v>#NAME?</x:v>
      </x:c>
      <x:c r="C795" t="e">
        <x:f>IF($A795="","",[1]!thsiFinD("ths_adjustment_nv_fund",C$3,$A795))</x:f>
        <x:v>#NAME?</x:v>
      </x:c>
      <x:c r="D795" t="e">
        <x:f>IF($A795="","",[1]!thsiFinD("ths_adjustment_nv_fund",D$3,$A795))</x:f>
        <x:v>#NAME?</x:v>
      </x:c>
      <x:c r="E795" t="e">
        <x:f>IF($A795="","",[1]!thsiFinD("ths_adjustment_nv_fund",E$3,$A795))</x:f>
        <x:v>#NAME?</x:v>
      </x:c>
      <x:c r="F795" t="e">
        <x:f>IF($A795="","",[1]!thsiFinD("ths_adjustment_nv_fund",F$3,$A795))</x:f>
        <x:v>#NAME?</x:v>
      </x:c>
      <x:c r="G795" t="e">
        <x:f>IF($A795="","",[1]!thsiFinD("ths_adjustment_nv_fund",G$3,$A795))</x:f>
        <x:v>#NAME?</x:v>
      </x:c>
      <x:c r="H795" t="e">
        <x:f>IF($A795="","",[1]!thsiFinD("ths_adjustment_nv_fund",H$3,$A795))</x:f>
        <x:v>#NAME?</x:v>
      </x:c>
      <x:c r="I795" t="e">
        <x:f>IF($A795="","",[1]!thsiFinD("ths_adjustment_nv_fund",I$3,$A795))</x:f>
        <x:v>#NAME?</x:v>
      </x:c>
      <x:c r="J795" t="e">
        <x:f>IF($A795="","",[1]!thsiFinD("ths_adjustment_nv_fund",J$3,$A795))</x:f>
        <x:v>#NAME?</x:v>
      </x:c>
      <x:c r="K795" t="e">
        <x:f>IF($A795="","",[1]!thsiFinD("ths_adjustment_nv_fund",K$3,$A795))</x:f>
        <x:v>#NAME?</x:v>
      </x:c>
      <x:c r="L795" t="e">
        <x:f>IF($A795="","",[1]!thsiFinD("ths_adjustment_nv_fund",L$3,$A795))</x:f>
        <x:v>#NAME?</x:v>
      </x:c>
      <x:c r="M795" t="e">
        <x:f>IF($A795="","",[1]!thsiFinD("ths_adjustment_nv_fund",M$3,$A795))</x:f>
        <x:v>#NAME?</x:v>
      </x:c>
      <x:c r="N795" t="e">
        <x:f>IF($A795="","",[1]!thsiFinD("ths_adjustment_nv_fund",N$3,$A795))</x:f>
        <x:v>#NAME?</x:v>
      </x:c>
      <x:c r="O795" t="e">
        <x:f>IF($A795="","",[1]!thsiFinD("ths_adjustment_nv_fund",O$3,$A795))</x:f>
        <x:v>#NAME?</x:v>
      </x:c>
      <x:c r="P795" t="e">
        <x:f>IF($A795="","",[1]!thsiFinD("ths_adjustment_nv_fund",P$3,$A795))</x:f>
        <x:v>#NAME?</x:v>
      </x:c>
      <x:c r="Q795" t="e">
        <x:f>IF($A795="","",[1]!thsiFinD("ths_adjustment_nv_fund",Q$3,$A795))</x:f>
        <x:v>#NAME?</x:v>
      </x:c>
      <x:c r="R795" t="e">
        <x:f>IF($A795="","",[1]!thsiFinD("ths_adjustment_nv_fund",R$3,$A795))</x:f>
        <x:v>#NAME?</x:v>
      </x:c>
      <x:c r="S795" t="e">
        <x:f>IF($A795="","",[1]!thsiFinD("ths_adjustment_nv_fund",S$3,$A795))</x:f>
        <x:v>#NAME?</x:v>
      </x:c>
      <x:c r="T795" t="e">
        <x:f>IF($A795="","",[1]!thsiFinD("ths_adjustment_nv_fund",T$3,$A795))</x:f>
        <x:v>#NAME?</x:v>
      </x:c>
      <x:c r="U795" t="e">
        <x:f>IF($A795="","",[1]!thsiFinD("ths_adjustment_nv_fund",U$3,$A795))</x:f>
        <x:v>#NAME?</x:v>
      </x:c>
      <x:c r="V795" t="e">
        <x:f>IF($A795="","",[1]!thsiFinD("ths_adjustment_nv_fund",V$3,$A795))</x:f>
        <x:v>#NAME?</x:v>
      </x:c>
      <x:c r="W795" t="e">
        <x:f>IF($A795="","",[1]!thsiFinD("ths_adjustment_nv_fund",W$3,$A795))</x:f>
        <x:v>#NAME?</x:v>
      </x:c>
      <x:c r="X795" t="e">
        <x:f>IF($A795="","",[1]!thsiFinD("ths_adjustment_nv_fund",X$3,$A795))</x:f>
        <x:v>#NAME?</x:v>
      </x:c>
      <x:c r="Y795" t="e">
        <x:f>IF($A795="","",[1]!thsiFinD("ths_adjustment_nv_fund",Y$3,$A795))</x:f>
        <x:v>#NAME?</x:v>
      </x:c>
    </x:row>
    <x:row r="796">
      <x:c r="B796" t="e">
        <x:f>IF($A796="","",[1]!thsiFinD("ths_adjustment_nv_fund",B$3,$A796))</x:f>
        <x:v>#NAME?</x:v>
      </x:c>
      <x:c r="C796" t="e">
        <x:f>IF($A796="","",[1]!thsiFinD("ths_adjustment_nv_fund",C$3,$A796))</x:f>
        <x:v>#NAME?</x:v>
      </x:c>
      <x:c r="D796" t="e">
        <x:f>IF($A796="","",[1]!thsiFinD("ths_adjustment_nv_fund",D$3,$A796))</x:f>
        <x:v>#NAME?</x:v>
      </x:c>
      <x:c r="E796" t="e">
        <x:f>IF($A796="","",[1]!thsiFinD("ths_adjustment_nv_fund",E$3,$A796))</x:f>
        <x:v>#NAME?</x:v>
      </x:c>
      <x:c r="F796" t="e">
        <x:f>IF($A796="","",[1]!thsiFinD("ths_adjustment_nv_fund",F$3,$A796))</x:f>
        <x:v>#NAME?</x:v>
      </x:c>
      <x:c r="G796" t="e">
        <x:f>IF($A796="","",[1]!thsiFinD("ths_adjustment_nv_fund",G$3,$A796))</x:f>
        <x:v>#NAME?</x:v>
      </x:c>
      <x:c r="H796" t="e">
        <x:f>IF($A796="","",[1]!thsiFinD("ths_adjustment_nv_fund",H$3,$A796))</x:f>
        <x:v>#NAME?</x:v>
      </x:c>
      <x:c r="I796" t="e">
        <x:f>IF($A796="","",[1]!thsiFinD("ths_adjustment_nv_fund",I$3,$A796))</x:f>
        <x:v>#NAME?</x:v>
      </x:c>
      <x:c r="J796" t="e">
        <x:f>IF($A796="","",[1]!thsiFinD("ths_adjustment_nv_fund",J$3,$A796))</x:f>
        <x:v>#NAME?</x:v>
      </x:c>
      <x:c r="K796" t="e">
        <x:f>IF($A796="","",[1]!thsiFinD("ths_adjustment_nv_fund",K$3,$A796))</x:f>
        <x:v>#NAME?</x:v>
      </x:c>
      <x:c r="L796" t="e">
        <x:f>IF($A796="","",[1]!thsiFinD("ths_adjustment_nv_fund",L$3,$A796))</x:f>
        <x:v>#NAME?</x:v>
      </x:c>
      <x:c r="M796" t="e">
        <x:f>IF($A796="","",[1]!thsiFinD("ths_adjustment_nv_fund",M$3,$A796))</x:f>
        <x:v>#NAME?</x:v>
      </x:c>
      <x:c r="N796" t="e">
        <x:f>IF($A796="","",[1]!thsiFinD("ths_adjustment_nv_fund",N$3,$A796))</x:f>
        <x:v>#NAME?</x:v>
      </x:c>
      <x:c r="O796" t="e">
        <x:f>IF($A796="","",[1]!thsiFinD("ths_adjustment_nv_fund",O$3,$A796))</x:f>
        <x:v>#NAME?</x:v>
      </x:c>
      <x:c r="P796" t="e">
        <x:f>IF($A796="","",[1]!thsiFinD("ths_adjustment_nv_fund",P$3,$A796))</x:f>
        <x:v>#NAME?</x:v>
      </x:c>
      <x:c r="Q796" t="e">
        <x:f>IF($A796="","",[1]!thsiFinD("ths_adjustment_nv_fund",Q$3,$A796))</x:f>
        <x:v>#NAME?</x:v>
      </x:c>
      <x:c r="R796" t="e">
        <x:f>IF($A796="","",[1]!thsiFinD("ths_adjustment_nv_fund",R$3,$A796))</x:f>
        <x:v>#NAME?</x:v>
      </x:c>
      <x:c r="S796" t="e">
        <x:f>IF($A796="","",[1]!thsiFinD("ths_adjustment_nv_fund",S$3,$A796))</x:f>
        <x:v>#NAME?</x:v>
      </x:c>
      <x:c r="T796" t="e">
        <x:f>IF($A796="","",[1]!thsiFinD("ths_adjustment_nv_fund",T$3,$A796))</x:f>
        <x:v>#NAME?</x:v>
      </x:c>
      <x:c r="U796" t="e">
        <x:f>IF($A796="","",[1]!thsiFinD("ths_adjustment_nv_fund",U$3,$A796))</x:f>
        <x:v>#NAME?</x:v>
      </x:c>
      <x:c r="V796" t="e">
        <x:f>IF($A796="","",[1]!thsiFinD("ths_adjustment_nv_fund",V$3,$A796))</x:f>
        <x:v>#NAME?</x:v>
      </x:c>
      <x:c r="W796" t="e">
        <x:f>IF($A796="","",[1]!thsiFinD("ths_adjustment_nv_fund",W$3,$A796))</x:f>
        <x:v>#NAME?</x:v>
      </x:c>
      <x:c r="X796" t="e">
        <x:f>IF($A796="","",[1]!thsiFinD("ths_adjustment_nv_fund",X$3,$A796))</x:f>
        <x:v>#NAME?</x:v>
      </x:c>
      <x:c r="Y796" t="e">
        <x:f>IF($A796="","",[1]!thsiFinD("ths_adjustment_nv_fund",Y$3,$A796))</x:f>
        <x:v>#NAME?</x:v>
      </x:c>
    </x:row>
    <x:row r="797">
      <x:c r="B797" t="e">
        <x:f>IF($A797="","",[1]!thsiFinD("ths_adjustment_nv_fund",B$3,$A797))</x:f>
        <x:v>#NAME?</x:v>
      </x:c>
      <x:c r="C797" t="e">
        <x:f>IF($A797="","",[1]!thsiFinD("ths_adjustment_nv_fund",C$3,$A797))</x:f>
        <x:v>#NAME?</x:v>
      </x:c>
      <x:c r="D797" t="e">
        <x:f>IF($A797="","",[1]!thsiFinD("ths_adjustment_nv_fund",D$3,$A797))</x:f>
        <x:v>#NAME?</x:v>
      </x:c>
      <x:c r="E797" t="e">
        <x:f>IF($A797="","",[1]!thsiFinD("ths_adjustment_nv_fund",E$3,$A797))</x:f>
        <x:v>#NAME?</x:v>
      </x:c>
      <x:c r="F797" t="e">
        <x:f>IF($A797="","",[1]!thsiFinD("ths_adjustment_nv_fund",F$3,$A797))</x:f>
        <x:v>#NAME?</x:v>
      </x:c>
      <x:c r="G797" t="e">
        <x:f>IF($A797="","",[1]!thsiFinD("ths_adjustment_nv_fund",G$3,$A797))</x:f>
        <x:v>#NAME?</x:v>
      </x:c>
      <x:c r="H797" t="e">
        <x:f>IF($A797="","",[1]!thsiFinD("ths_adjustment_nv_fund",H$3,$A797))</x:f>
        <x:v>#NAME?</x:v>
      </x:c>
      <x:c r="I797" t="e">
        <x:f>IF($A797="","",[1]!thsiFinD("ths_adjustment_nv_fund",I$3,$A797))</x:f>
        <x:v>#NAME?</x:v>
      </x:c>
      <x:c r="J797" t="e">
        <x:f>IF($A797="","",[1]!thsiFinD("ths_adjustment_nv_fund",J$3,$A797))</x:f>
        <x:v>#NAME?</x:v>
      </x:c>
      <x:c r="K797" t="e">
        <x:f>IF($A797="","",[1]!thsiFinD("ths_adjustment_nv_fund",K$3,$A797))</x:f>
        <x:v>#NAME?</x:v>
      </x:c>
      <x:c r="L797" t="e">
        <x:f>IF($A797="","",[1]!thsiFinD("ths_adjustment_nv_fund",L$3,$A797))</x:f>
        <x:v>#NAME?</x:v>
      </x:c>
      <x:c r="M797" t="e">
        <x:f>IF($A797="","",[1]!thsiFinD("ths_adjustment_nv_fund",M$3,$A797))</x:f>
        <x:v>#NAME?</x:v>
      </x:c>
      <x:c r="N797" t="e">
        <x:f>IF($A797="","",[1]!thsiFinD("ths_adjustment_nv_fund",N$3,$A797))</x:f>
        <x:v>#NAME?</x:v>
      </x:c>
      <x:c r="O797" t="e">
        <x:f>IF($A797="","",[1]!thsiFinD("ths_adjustment_nv_fund",O$3,$A797))</x:f>
        <x:v>#NAME?</x:v>
      </x:c>
      <x:c r="P797" t="e">
        <x:f>IF($A797="","",[1]!thsiFinD("ths_adjustment_nv_fund",P$3,$A797))</x:f>
        <x:v>#NAME?</x:v>
      </x:c>
      <x:c r="Q797" t="e">
        <x:f>IF($A797="","",[1]!thsiFinD("ths_adjustment_nv_fund",Q$3,$A797))</x:f>
        <x:v>#NAME?</x:v>
      </x:c>
      <x:c r="R797" t="e">
        <x:f>IF($A797="","",[1]!thsiFinD("ths_adjustment_nv_fund",R$3,$A797))</x:f>
        <x:v>#NAME?</x:v>
      </x:c>
      <x:c r="S797" t="e">
        <x:f>IF($A797="","",[1]!thsiFinD("ths_adjustment_nv_fund",S$3,$A797))</x:f>
        <x:v>#NAME?</x:v>
      </x:c>
      <x:c r="T797" t="e">
        <x:f>IF($A797="","",[1]!thsiFinD("ths_adjustment_nv_fund",T$3,$A797))</x:f>
        <x:v>#NAME?</x:v>
      </x:c>
      <x:c r="U797" t="e">
        <x:f>IF($A797="","",[1]!thsiFinD("ths_adjustment_nv_fund",U$3,$A797))</x:f>
        <x:v>#NAME?</x:v>
      </x:c>
      <x:c r="V797" t="e">
        <x:f>IF($A797="","",[1]!thsiFinD("ths_adjustment_nv_fund",V$3,$A797))</x:f>
        <x:v>#NAME?</x:v>
      </x:c>
      <x:c r="W797" t="e">
        <x:f>IF($A797="","",[1]!thsiFinD("ths_adjustment_nv_fund",W$3,$A797))</x:f>
        <x:v>#NAME?</x:v>
      </x:c>
      <x:c r="X797" t="e">
        <x:f>IF($A797="","",[1]!thsiFinD("ths_adjustment_nv_fund",X$3,$A797))</x:f>
        <x:v>#NAME?</x:v>
      </x:c>
      <x:c r="Y797" t="e">
        <x:f>IF($A797="","",[1]!thsiFinD("ths_adjustment_nv_fund",Y$3,$A797))</x:f>
        <x:v>#NAME?</x:v>
      </x:c>
    </x:row>
    <x:row r="798">
      <x:c r="B798" t="e">
        <x:f>IF($A798="","",[1]!thsiFinD("ths_adjustment_nv_fund",B$3,$A798))</x:f>
        <x:v>#NAME?</x:v>
      </x:c>
      <x:c r="C798" t="e">
        <x:f>IF($A798="","",[1]!thsiFinD("ths_adjustment_nv_fund",C$3,$A798))</x:f>
        <x:v>#NAME?</x:v>
      </x:c>
      <x:c r="D798" t="e">
        <x:f>IF($A798="","",[1]!thsiFinD("ths_adjustment_nv_fund",D$3,$A798))</x:f>
        <x:v>#NAME?</x:v>
      </x:c>
      <x:c r="E798" t="e">
        <x:f>IF($A798="","",[1]!thsiFinD("ths_adjustment_nv_fund",E$3,$A798))</x:f>
        <x:v>#NAME?</x:v>
      </x:c>
      <x:c r="F798" t="e">
        <x:f>IF($A798="","",[1]!thsiFinD("ths_adjustment_nv_fund",F$3,$A798))</x:f>
        <x:v>#NAME?</x:v>
      </x:c>
      <x:c r="G798" t="e">
        <x:f>IF($A798="","",[1]!thsiFinD("ths_adjustment_nv_fund",G$3,$A798))</x:f>
        <x:v>#NAME?</x:v>
      </x:c>
      <x:c r="H798" t="e">
        <x:f>IF($A798="","",[1]!thsiFinD("ths_adjustment_nv_fund",H$3,$A798))</x:f>
        <x:v>#NAME?</x:v>
      </x:c>
      <x:c r="I798" t="e">
        <x:f>IF($A798="","",[1]!thsiFinD("ths_adjustment_nv_fund",I$3,$A798))</x:f>
        <x:v>#NAME?</x:v>
      </x:c>
      <x:c r="J798" t="e">
        <x:f>IF($A798="","",[1]!thsiFinD("ths_adjustment_nv_fund",J$3,$A798))</x:f>
        <x:v>#NAME?</x:v>
      </x:c>
      <x:c r="K798" t="e">
        <x:f>IF($A798="","",[1]!thsiFinD("ths_adjustment_nv_fund",K$3,$A798))</x:f>
        <x:v>#NAME?</x:v>
      </x:c>
      <x:c r="L798" t="e">
        <x:f>IF($A798="","",[1]!thsiFinD("ths_adjustment_nv_fund",L$3,$A798))</x:f>
        <x:v>#NAME?</x:v>
      </x:c>
      <x:c r="M798" t="e">
        <x:f>IF($A798="","",[1]!thsiFinD("ths_adjustment_nv_fund",M$3,$A798))</x:f>
        <x:v>#NAME?</x:v>
      </x:c>
      <x:c r="N798" t="e">
        <x:f>IF($A798="","",[1]!thsiFinD("ths_adjustment_nv_fund",N$3,$A798))</x:f>
        <x:v>#NAME?</x:v>
      </x:c>
      <x:c r="O798" t="e">
        <x:f>IF($A798="","",[1]!thsiFinD("ths_adjustment_nv_fund",O$3,$A798))</x:f>
        <x:v>#NAME?</x:v>
      </x:c>
      <x:c r="P798" t="e">
        <x:f>IF($A798="","",[1]!thsiFinD("ths_adjustment_nv_fund",P$3,$A798))</x:f>
        <x:v>#NAME?</x:v>
      </x:c>
      <x:c r="Q798" t="e">
        <x:f>IF($A798="","",[1]!thsiFinD("ths_adjustment_nv_fund",Q$3,$A798))</x:f>
        <x:v>#NAME?</x:v>
      </x:c>
      <x:c r="R798" t="e">
        <x:f>IF($A798="","",[1]!thsiFinD("ths_adjustment_nv_fund",R$3,$A798))</x:f>
        <x:v>#NAME?</x:v>
      </x:c>
      <x:c r="S798" t="e">
        <x:f>IF($A798="","",[1]!thsiFinD("ths_adjustment_nv_fund",S$3,$A798))</x:f>
        <x:v>#NAME?</x:v>
      </x:c>
      <x:c r="T798" t="e">
        <x:f>IF($A798="","",[1]!thsiFinD("ths_adjustment_nv_fund",T$3,$A798))</x:f>
        <x:v>#NAME?</x:v>
      </x:c>
      <x:c r="U798" t="e">
        <x:f>IF($A798="","",[1]!thsiFinD("ths_adjustment_nv_fund",U$3,$A798))</x:f>
        <x:v>#NAME?</x:v>
      </x:c>
      <x:c r="V798" t="e">
        <x:f>IF($A798="","",[1]!thsiFinD("ths_adjustment_nv_fund",V$3,$A798))</x:f>
        <x:v>#NAME?</x:v>
      </x:c>
      <x:c r="W798" t="e">
        <x:f>IF($A798="","",[1]!thsiFinD("ths_adjustment_nv_fund",W$3,$A798))</x:f>
        <x:v>#NAME?</x:v>
      </x:c>
      <x:c r="X798" t="e">
        <x:f>IF($A798="","",[1]!thsiFinD("ths_adjustment_nv_fund",X$3,$A798))</x:f>
        <x:v>#NAME?</x:v>
      </x:c>
      <x:c r="Y798" t="e">
        <x:f>IF($A798="","",[1]!thsiFinD("ths_adjustment_nv_fund",Y$3,$A798))</x:f>
        <x:v>#NAME?</x:v>
      </x:c>
    </x:row>
    <x:row r="799">
      <x:c r="B799" t="e">
        <x:f>IF($A799="","",[1]!thsiFinD("ths_adjustment_nv_fund",B$3,$A799))</x:f>
        <x:v>#NAME?</x:v>
      </x:c>
      <x:c r="C799" t="e">
        <x:f>IF($A799="","",[1]!thsiFinD("ths_adjustment_nv_fund",C$3,$A799))</x:f>
        <x:v>#NAME?</x:v>
      </x:c>
      <x:c r="D799" t="e">
        <x:f>IF($A799="","",[1]!thsiFinD("ths_adjustment_nv_fund",D$3,$A799))</x:f>
        <x:v>#NAME?</x:v>
      </x:c>
      <x:c r="E799" t="e">
        <x:f>IF($A799="","",[1]!thsiFinD("ths_adjustment_nv_fund",E$3,$A799))</x:f>
        <x:v>#NAME?</x:v>
      </x:c>
      <x:c r="F799" t="e">
        <x:f>IF($A799="","",[1]!thsiFinD("ths_adjustment_nv_fund",F$3,$A799))</x:f>
        <x:v>#NAME?</x:v>
      </x:c>
      <x:c r="G799" t="e">
        <x:f>IF($A799="","",[1]!thsiFinD("ths_adjustment_nv_fund",G$3,$A799))</x:f>
        <x:v>#NAME?</x:v>
      </x:c>
      <x:c r="H799" t="e">
        <x:f>IF($A799="","",[1]!thsiFinD("ths_adjustment_nv_fund",H$3,$A799))</x:f>
        <x:v>#NAME?</x:v>
      </x:c>
      <x:c r="I799" t="e">
        <x:f>IF($A799="","",[1]!thsiFinD("ths_adjustment_nv_fund",I$3,$A799))</x:f>
        <x:v>#NAME?</x:v>
      </x:c>
      <x:c r="J799" t="e">
        <x:f>IF($A799="","",[1]!thsiFinD("ths_adjustment_nv_fund",J$3,$A799))</x:f>
        <x:v>#NAME?</x:v>
      </x:c>
      <x:c r="K799" t="e">
        <x:f>IF($A799="","",[1]!thsiFinD("ths_adjustment_nv_fund",K$3,$A799))</x:f>
        <x:v>#NAME?</x:v>
      </x:c>
      <x:c r="L799" t="e">
        <x:f>IF($A799="","",[1]!thsiFinD("ths_adjustment_nv_fund",L$3,$A799))</x:f>
        <x:v>#NAME?</x:v>
      </x:c>
      <x:c r="M799" t="e">
        <x:f>IF($A799="","",[1]!thsiFinD("ths_adjustment_nv_fund",M$3,$A799))</x:f>
        <x:v>#NAME?</x:v>
      </x:c>
      <x:c r="N799" t="e">
        <x:f>IF($A799="","",[1]!thsiFinD("ths_adjustment_nv_fund",N$3,$A799))</x:f>
        <x:v>#NAME?</x:v>
      </x:c>
      <x:c r="O799" t="e">
        <x:f>IF($A799="","",[1]!thsiFinD("ths_adjustment_nv_fund",O$3,$A799))</x:f>
        <x:v>#NAME?</x:v>
      </x:c>
      <x:c r="P799" t="e">
        <x:f>IF($A799="","",[1]!thsiFinD("ths_adjustment_nv_fund",P$3,$A799))</x:f>
        <x:v>#NAME?</x:v>
      </x:c>
      <x:c r="Q799" t="e">
        <x:f>IF($A799="","",[1]!thsiFinD("ths_adjustment_nv_fund",Q$3,$A799))</x:f>
        <x:v>#NAME?</x:v>
      </x:c>
      <x:c r="R799" t="e">
        <x:f>IF($A799="","",[1]!thsiFinD("ths_adjustment_nv_fund",R$3,$A799))</x:f>
        <x:v>#NAME?</x:v>
      </x:c>
      <x:c r="S799" t="e">
        <x:f>IF($A799="","",[1]!thsiFinD("ths_adjustment_nv_fund",S$3,$A799))</x:f>
        <x:v>#NAME?</x:v>
      </x:c>
      <x:c r="T799" t="e">
        <x:f>IF($A799="","",[1]!thsiFinD("ths_adjustment_nv_fund",T$3,$A799))</x:f>
        <x:v>#NAME?</x:v>
      </x:c>
      <x:c r="U799" t="e">
        <x:f>IF($A799="","",[1]!thsiFinD("ths_adjustment_nv_fund",U$3,$A799))</x:f>
        <x:v>#NAME?</x:v>
      </x:c>
      <x:c r="V799" t="e">
        <x:f>IF($A799="","",[1]!thsiFinD("ths_adjustment_nv_fund",V$3,$A799))</x:f>
        <x:v>#NAME?</x:v>
      </x:c>
      <x:c r="W799" t="e">
        <x:f>IF($A799="","",[1]!thsiFinD("ths_adjustment_nv_fund",W$3,$A799))</x:f>
        <x:v>#NAME?</x:v>
      </x:c>
      <x:c r="X799" t="e">
        <x:f>IF($A799="","",[1]!thsiFinD("ths_adjustment_nv_fund",X$3,$A799))</x:f>
        <x:v>#NAME?</x:v>
      </x:c>
      <x:c r="Y799" t="e">
        <x:f>IF($A799="","",[1]!thsiFinD("ths_adjustment_nv_fund",Y$3,$A799))</x:f>
        <x:v>#NAME?</x:v>
      </x:c>
    </x:row>
    <x:row r="800">
      <x:c r="B800" t="e">
        <x:f>IF($A800="","",[1]!thsiFinD("ths_adjustment_nv_fund",B$3,$A800))</x:f>
        <x:v>#NAME?</x:v>
      </x:c>
      <x:c r="C800" t="e">
        <x:f>IF($A800="","",[1]!thsiFinD("ths_adjustment_nv_fund",C$3,$A800))</x:f>
        <x:v>#NAME?</x:v>
      </x:c>
      <x:c r="D800" t="e">
        <x:f>IF($A800="","",[1]!thsiFinD("ths_adjustment_nv_fund",D$3,$A800))</x:f>
        <x:v>#NAME?</x:v>
      </x:c>
      <x:c r="E800" t="e">
        <x:f>IF($A800="","",[1]!thsiFinD("ths_adjustment_nv_fund",E$3,$A800))</x:f>
        <x:v>#NAME?</x:v>
      </x:c>
      <x:c r="F800" t="e">
        <x:f>IF($A800="","",[1]!thsiFinD("ths_adjustment_nv_fund",F$3,$A800))</x:f>
        <x:v>#NAME?</x:v>
      </x:c>
      <x:c r="G800" t="e">
        <x:f>IF($A800="","",[1]!thsiFinD("ths_adjustment_nv_fund",G$3,$A800))</x:f>
        <x:v>#NAME?</x:v>
      </x:c>
      <x:c r="H800" t="e">
        <x:f>IF($A800="","",[1]!thsiFinD("ths_adjustment_nv_fund",H$3,$A800))</x:f>
        <x:v>#NAME?</x:v>
      </x:c>
      <x:c r="I800" t="e">
        <x:f>IF($A800="","",[1]!thsiFinD("ths_adjustment_nv_fund",I$3,$A800))</x:f>
        <x:v>#NAME?</x:v>
      </x:c>
      <x:c r="J800" t="e">
        <x:f>IF($A800="","",[1]!thsiFinD("ths_adjustment_nv_fund",J$3,$A800))</x:f>
        <x:v>#NAME?</x:v>
      </x:c>
      <x:c r="K800" t="e">
        <x:f>IF($A800="","",[1]!thsiFinD("ths_adjustment_nv_fund",K$3,$A800))</x:f>
        <x:v>#NAME?</x:v>
      </x:c>
      <x:c r="L800" t="e">
        <x:f>IF($A800="","",[1]!thsiFinD("ths_adjustment_nv_fund",L$3,$A800))</x:f>
        <x:v>#NAME?</x:v>
      </x:c>
      <x:c r="M800" t="e">
        <x:f>IF($A800="","",[1]!thsiFinD("ths_adjustment_nv_fund",M$3,$A800))</x:f>
        <x:v>#NAME?</x:v>
      </x:c>
      <x:c r="N800" t="e">
        <x:f>IF($A800="","",[1]!thsiFinD("ths_adjustment_nv_fund",N$3,$A800))</x:f>
        <x:v>#NAME?</x:v>
      </x:c>
      <x:c r="O800" t="e">
        <x:f>IF($A800="","",[1]!thsiFinD("ths_adjustment_nv_fund",O$3,$A800))</x:f>
        <x:v>#NAME?</x:v>
      </x:c>
      <x:c r="P800" t="e">
        <x:f>IF($A800="","",[1]!thsiFinD("ths_adjustment_nv_fund",P$3,$A800))</x:f>
        <x:v>#NAME?</x:v>
      </x:c>
      <x:c r="Q800" t="e">
        <x:f>IF($A800="","",[1]!thsiFinD("ths_adjustment_nv_fund",Q$3,$A800))</x:f>
        <x:v>#NAME?</x:v>
      </x:c>
      <x:c r="R800" t="e">
        <x:f>IF($A800="","",[1]!thsiFinD("ths_adjustment_nv_fund",R$3,$A800))</x:f>
        <x:v>#NAME?</x:v>
      </x:c>
      <x:c r="S800" t="e">
        <x:f>IF($A800="","",[1]!thsiFinD("ths_adjustment_nv_fund",S$3,$A800))</x:f>
        <x:v>#NAME?</x:v>
      </x:c>
      <x:c r="T800" t="e">
        <x:f>IF($A800="","",[1]!thsiFinD("ths_adjustment_nv_fund",T$3,$A800))</x:f>
        <x:v>#NAME?</x:v>
      </x:c>
      <x:c r="U800" t="e">
        <x:f>IF($A800="","",[1]!thsiFinD("ths_adjustment_nv_fund",U$3,$A800))</x:f>
        <x:v>#NAME?</x:v>
      </x:c>
      <x:c r="V800" t="e">
        <x:f>IF($A800="","",[1]!thsiFinD("ths_adjustment_nv_fund",V$3,$A800))</x:f>
        <x:v>#NAME?</x:v>
      </x:c>
      <x:c r="W800" t="e">
        <x:f>IF($A800="","",[1]!thsiFinD("ths_adjustment_nv_fund",W$3,$A800))</x:f>
        <x:v>#NAME?</x:v>
      </x:c>
      <x:c r="X800" t="e">
        <x:f>IF($A800="","",[1]!thsiFinD("ths_adjustment_nv_fund",X$3,$A800))</x:f>
        <x:v>#NAME?</x:v>
      </x:c>
      <x:c r="Y800" t="e">
        <x:f>IF($A800="","",[1]!thsiFinD("ths_adjustment_nv_fund",Y$3,$A800))</x:f>
        <x:v>#NAME?</x:v>
      </x:c>
    </x:row>
    <x:row r="801">
      <x:c r="B801" t="e">
        <x:f>IF($A801="","",[1]!thsiFinD("ths_adjustment_nv_fund",B$3,$A801))</x:f>
        <x:v>#NAME?</x:v>
      </x:c>
      <x:c r="C801" t="e">
        <x:f>IF($A801="","",[1]!thsiFinD("ths_adjustment_nv_fund",C$3,$A801))</x:f>
        <x:v>#NAME?</x:v>
      </x:c>
      <x:c r="D801" t="e">
        <x:f>IF($A801="","",[1]!thsiFinD("ths_adjustment_nv_fund",D$3,$A801))</x:f>
        <x:v>#NAME?</x:v>
      </x:c>
      <x:c r="E801" t="e">
        <x:f>IF($A801="","",[1]!thsiFinD("ths_adjustment_nv_fund",E$3,$A801))</x:f>
        <x:v>#NAME?</x:v>
      </x:c>
      <x:c r="F801" t="e">
        <x:f>IF($A801="","",[1]!thsiFinD("ths_adjustment_nv_fund",F$3,$A801))</x:f>
        <x:v>#NAME?</x:v>
      </x:c>
      <x:c r="G801" t="e">
        <x:f>IF($A801="","",[1]!thsiFinD("ths_adjustment_nv_fund",G$3,$A801))</x:f>
        <x:v>#NAME?</x:v>
      </x:c>
      <x:c r="H801" t="e">
        <x:f>IF($A801="","",[1]!thsiFinD("ths_adjustment_nv_fund",H$3,$A801))</x:f>
        <x:v>#NAME?</x:v>
      </x:c>
      <x:c r="I801" t="e">
        <x:f>IF($A801="","",[1]!thsiFinD("ths_adjustment_nv_fund",I$3,$A801))</x:f>
        <x:v>#NAME?</x:v>
      </x:c>
      <x:c r="J801" t="e">
        <x:f>IF($A801="","",[1]!thsiFinD("ths_adjustment_nv_fund",J$3,$A801))</x:f>
        <x:v>#NAME?</x:v>
      </x:c>
      <x:c r="K801" t="e">
        <x:f>IF($A801="","",[1]!thsiFinD("ths_adjustment_nv_fund",K$3,$A801))</x:f>
        <x:v>#NAME?</x:v>
      </x:c>
      <x:c r="L801" t="e">
        <x:f>IF($A801="","",[1]!thsiFinD("ths_adjustment_nv_fund",L$3,$A801))</x:f>
        <x:v>#NAME?</x:v>
      </x:c>
      <x:c r="M801" t="e">
        <x:f>IF($A801="","",[1]!thsiFinD("ths_adjustment_nv_fund",M$3,$A801))</x:f>
        <x:v>#NAME?</x:v>
      </x:c>
      <x:c r="N801" t="e">
        <x:f>IF($A801="","",[1]!thsiFinD("ths_adjustment_nv_fund",N$3,$A801))</x:f>
        <x:v>#NAME?</x:v>
      </x:c>
      <x:c r="O801" t="e">
        <x:f>IF($A801="","",[1]!thsiFinD("ths_adjustment_nv_fund",O$3,$A801))</x:f>
        <x:v>#NAME?</x:v>
      </x:c>
      <x:c r="P801" t="e">
        <x:f>IF($A801="","",[1]!thsiFinD("ths_adjustment_nv_fund",P$3,$A801))</x:f>
        <x:v>#NAME?</x:v>
      </x:c>
      <x:c r="Q801" t="e">
        <x:f>IF($A801="","",[1]!thsiFinD("ths_adjustment_nv_fund",Q$3,$A801))</x:f>
        <x:v>#NAME?</x:v>
      </x:c>
      <x:c r="R801" t="e">
        <x:f>IF($A801="","",[1]!thsiFinD("ths_adjustment_nv_fund",R$3,$A801))</x:f>
        <x:v>#NAME?</x:v>
      </x:c>
      <x:c r="S801" t="e">
        <x:f>IF($A801="","",[1]!thsiFinD("ths_adjustment_nv_fund",S$3,$A801))</x:f>
        <x:v>#NAME?</x:v>
      </x:c>
      <x:c r="T801" t="e">
        <x:f>IF($A801="","",[1]!thsiFinD("ths_adjustment_nv_fund",T$3,$A801))</x:f>
        <x:v>#NAME?</x:v>
      </x:c>
      <x:c r="U801" t="e">
        <x:f>IF($A801="","",[1]!thsiFinD("ths_adjustment_nv_fund",U$3,$A801))</x:f>
        <x:v>#NAME?</x:v>
      </x:c>
      <x:c r="V801" t="e">
        <x:f>IF($A801="","",[1]!thsiFinD("ths_adjustment_nv_fund",V$3,$A801))</x:f>
        <x:v>#NAME?</x:v>
      </x:c>
      <x:c r="W801" t="e">
        <x:f>IF($A801="","",[1]!thsiFinD("ths_adjustment_nv_fund",W$3,$A801))</x:f>
        <x:v>#NAME?</x:v>
      </x:c>
      <x:c r="X801" t="e">
        <x:f>IF($A801="","",[1]!thsiFinD("ths_adjustment_nv_fund",X$3,$A801))</x:f>
        <x:v>#NAME?</x:v>
      </x:c>
      <x:c r="Y801" t="e">
        <x:f>IF($A801="","",[1]!thsiFinD("ths_adjustment_nv_fund",Y$3,$A801))</x:f>
        <x:v>#NAME?</x:v>
      </x:c>
    </x:row>
    <x:row r="802">
      <x:c r="B802" t="e">
        <x:f>IF($A802="","",[1]!thsiFinD("ths_adjustment_nv_fund",B$3,$A802))</x:f>
        <x:v>#NAME?</x:v>
      </x:c>
      <x:c r="C802" t="e">
        <x:f>IF($A802="","",[1]!thsiFinD("ths_adjustment_nv_fund",C$3,$A802))</x:f>
        <x:v>#NAME?</x:v>
      </x:c>
      <x:c r="D802" t="e">
        <x:f>IF($A802="","",[1]!thsiFinD("ths_adjustment_nv_fund",D$3,$A802))</x:f>
        <x:v>#NAME?</x:v>
      </x:c>
      <x:c r="E802" t="e">
        <x:f>IF($A802="","",[1]!thsiFinD("ths_adjustment_nv_fund",E$3,$A802))</x:f>
        <x:v>#NAME?</x:v>
      </x:c>
      <x:c r="F802" t="e">
        <x:f>IF($A802="","",[1]!thsiFinD("ths_adjustment_nv_fund",F$3,$A802))</x:f>
        <x:v>#NAME?</x:v>
      </x:c>
      <x:c r="G802" t="e">
        <x:f>IF($A802="","",[1]!thsiFinD("ths_adjustment_nv_fund",G$3,$A802))</x:f>
        <x:v>#NAME?</x:v>
      </x:c>
      <x:c r="H802" t="e">
        <x:f>IF($A802="","",[1]!thsiFinD("ths_adjustment_nv_fund",H$3,$A802))</x:f>
        <x:v>#NAME?</x:v>
      </x:c>
      <x:c r="I802" t="e">
        <x:f>IF($A802="","",[1]!thsiFinD("ths_adjustment_nv_fund",I$3,$A802))</x:f>
        <x:v>#NAME?</x:v>
      </x:c>
      <x:c r="J802" t="e">
        <x:f>IF($A802="","",[1]!thsiFinD("ths_adjustment_nv_fund",J$3,$A802))</x:f>
        <x:v>#NAME?</x:v>
      </x:c>
      <x:c r="K802" t="e">
        <x:f>IF($A802="","",[1]!thsiFinD("ths_adjustment_nv_fund",K$3,$A802))</x:f>
        <x:v>#NAME?</x:v>
      </x:c>
      <x:c r="L802" t="e">
        <x:f>IF($A802="","",[1]!thsiFinD("ths_adjustment_nv_fund",L$3,$A802))</x:f>
        <x:v>#NAME?</x:v>
      </x:c>
      <x:c r="M802" t="e">
        <x:f>IF($A802="","",[1]!thsiFinD("ths_adjustment_nv_fund",M$3,$A802))</x:f>
        <x:v>#NAME?</x:v>
      </x:c>
      <x:c r="N802" t="e">
        <x:f>IF($A802="","",[1]!thsiFinD("ths_adjustment_nv_fund",N$3,$A802))</x:f>
        <x:v>#NAME?</x:v>
      </x:c>
      <x:c r="O802" t="e">
        <x:f>IF($A802="","",[1]!thsiFinD("ths_adjustment_nv_fund",O$3,$A802))</x:f>
        <x:v>#NAME?</x:v>
      </x:c>
      <x:c r="P802" t="e">
        <x:f>IF($A802="","",[1]!thsiFinD("ths_adjustment_nv_fund",P$3,$A802))</x:f>
        <x:v>#NAME?</x:v>
      </x:c>
      <x:c r="Q802" t="e">
        <x:f>IF($A802="","",[1]!thsiFinD("ths_adjustment_nv_fund",Q$3,$A802))</x:f>
        <x:v>#NAME?</x:v>
      </x:c>
      <x:c r="R802" t="e">
        <x:f>IF($A802="","",[1]!thsiFinD("ths_adjustment_nv_fund",R$3,$A802))</x:f>
        <x:v>#NAME?</x:v>
      </x:c>
      <x:c r="S802" t="e">
        <x:f>IF($A802="","",[1]!thsiFinD("ths_adjustment_nv_fund",S$3,$A802))</x:f>
        <x:v>#NAME?</x:v>
      </x:c>
      <x:c r="T802" t="e">
        <x:f>IF($A802="","",[1]!thsiFinD("ths_adjustment_nv_fund",T$3,$A802))</x:f>
        <x:v>#NAME?</x:v>
      </x:c>
      <x:c r="U802" t="e">
        <x:f>IF($A802="","",[1]!thsiFinD("ths_adjustment_nv_fund",U$3,$A802))</x:f>
        <x:v>#NAME?</x:v>
      </x:c>
      <x:c r="V802" t="e">
        <x:f>IF($A802="","",[1]!thsiFinD("ths_adjustment_nv_fund",V$3,$A802))</x:f>
        <x:v>#NAME?</x:v>
      </x:c>
      <x:c r="W802" t="e">
        <x:f>IF($A802="","",[1]!thsiFinD("ths_adjustment_nv_fund",W$3,$A802))</x:f>
        <x:v>#NAME?</x:v>
      </x:c>
      <x:c r="X802" t="e">
        <x:f>IF($A802="","",[1]!thsiFinD("ths_adjustment_nv_fund",X$3,$A802))</x:f>
        <x:v>#NAME?</x:v>
      </x:c>
      <x:c r="Y802" t="e">
        <x:f>IF($A802="","",[1]!thsiFinD("ths_adjustment_nv_fund",Y$3,$A802))</x:f>
        <x:v>#NAME?</x:v>
      </x:c>
    </x:row>
    <x:row r="803">
      <x:c r="B803" t="e">
        <x:f>IF($A803="","",[1]!thsiFinD("ths_adjustment_nv_fund",B$3,$A803))</x:f>
        <x:v>#NAME?</x:v>
      </x:c>
      <x:c r="C803" t="e">
        <x:f>IF($A803="","",[1]!thsiFinD("ths_adjustment_nv_fund",C$3,$A803))</x:f>
        <x:v>#NAME?</x:v>
      </x:c>
      <x:c r="D803" t="e">
        <x:f>IF($A803="","",[1]!thsiFinD("ths_adjustment_nv_fund",D$3,$A803))</x:f>
        <x:v>#NAME?</x:v>
      </x:c>
      <x:c r="E803" t="e">
        <x:f>IF($A803="","",[1]!thsiFinD("ths_adjustment_nv_fund",E$3,$A803))</x:f>
        <x:v>#NAME?</x:v>
      </x:c>
      <x:c r="F803" t="e">
        <x:f>IF($A803="","",[1]!thsiFinD("ths_adjustment_nv_fund",F$3,$A803))</x:f>
        <x:v>#NAME?</x:v>
      </x:c>
      <x:c r="G803" t="e">
        <x:f>IF($A803="","",[1]!thsiFinD("ths_adjustment_nv_fund",G$3,$A803))</x:f>
        <x:v>#NAME?</x:v>
      </x:c>
      <x:c r="H803" t="e">
        <x:f>IF($A803="","",[1]!thsiFinD("ths_adjustment_nv_fund",H$3,$A803))</x:f>
        <x:v>#NAME?</x:v>
      </x:c>
      <x:c r="I803" t="e">
        <x:f>IF($A803="","",[1]!thsiFinD("ths_adjustment_nv_fund",I$3,$A803))</x:f>
        <x:v>#NAME?</x:v>
      </x:c>
      <x:c r="J803" t="e">
        <x:f>IF($A803="","",[1]!thsiFinD("ths_adjustment_nv_fund",J$3,$A803))</x:f>
        <x:v>#NAME?</x:v>
      </x:c>
      <x:c r="K803" t="e">
        <x:f>IF($A803="","",[1]!thsiFinD("ths_adjustment_nv_fund",K$3,$A803))</x:f>
        <x:v>#NAME?</x:v>
      </x:c>
      <x:c r="L803" t="e">
        <x:f>IF($A803="","",[1]!thsiFinD("ths_adjustment_nv_fund",L$3,$A803))</x:f>
        <x:v>#NAME?</x:v>
      </x:c>
      <x:c r="M803" t="e">
        <x:f>IF($A803="","",[1]!thsiFinD("ths_adjustment_nv_fund",M$3,$A803))</x:f>
        <x:v>#NAME?</x:v>
      </x:c>
      <x:c r="N803" t="e">
        <x:f>IF($A803="","",[1]!thsiFinD("ths_adjustment_nv_fund",N$3,$A803))</x:f>
        <x:v>#NAME?</x:v>
      </x:c>
      <x:c r="O803" t="e">
        <x:f>IF($A803="","",[1]!thsiFinD("ths_adjustment_nv_fund",O$3,$A803))</x:f>
        <x:v>#NAME?</x:v>
      </x:c>
      <x:c r="P803" t="e">
        <x:f>IF($A803="","",[1]!thsiFinD("ths_adjustment_nv_fund",P$3,$A803))</x:f>
        <x:v>#NAME?</x:v>
      </x:c>
      <x:c r="Q803" t="e">
        <x:f>IF($A803="","",[1]!thsiFinD("ths_adjustment_nv_fund",Q$3,$A803))</x:f>
        <x:v>#NAME?</x:v>
      </x:c>
      <x:c r="R803" t="e">
        <x:f>IF($A803="","",[1]!thsiFinD("ths_adjustment_nv_fund",R$3,$A803))</x:f>
        <x:v>#NAME?</x:v>
      </x:c>
      <x:c r="S803" t="e">
        <x:f>IF($A803="","",[1]!thsiFinD("ths_adjustment_nv_fund",S$3,$A803))</x:f>
        <x:v>#NAME?</x:v>
      </x:c>
      <x:c r="T803" t="e">
        <x:f>IF($A803="","",[1]!thsiFinD("ths_adjustment_nv_fund",T$3,$A803))</x:f>
        <x:v>#NAME?</x:v>
      </x:c>
      <x:c r="U803" t="e">
        <x:f>IF($A803="","",[1]!thsiFinD("ths_adjustment_nv_fund",U$3,$A803))</x:f>
        <x:v>#NAME?</x:v>
      </x:c>
      <x:c r="V803" t="e">
        <x:f>IF($A803="","",[1]!thsiFinD("ths_adjustment_nv_fund",V$3,$A803))</x:f>
        <x:v>#NAME?</x:v>
      </x:c>
      <x:c r="W803" t="e">
        <x:f>IF($A803="","",[1]!thsiFinD("ths_adjustment_nv_fund",W$3,$A803))</x:f>
        <x:v>#NAME?</x:v>
      </x:c>
      <x:c r="X803" t="e">
        <x:f>IF($A803="","",[1]!thsiFinD("ths_adjustment_nv_fund",X$3,$A803))</x:f>
        <x:v>#NAME?</x:v>
      </x:c>
      <x:c r="Y803" t="e">
        <x:f>IF($A803="","",[1]!thsiFinD("ths_adjustment_nv_fund",Y$3,$A803))</x:f>
        <x:v>#NAME?</x:v>
      </x:c>
    </x:row>
    <x:row r="804">
      <x:c r="B804" t="e">
        <x:f>IF($A804="","",[1]!thsiFinD("ths_adjustment_nv_fund",B$3,$A804))</x:f>
        <x:v>#NAME?</x:v>
      </x:c>
      <x:c r="C804" t="e">
        <x:f>IF($A804="","",[1]!thsiFinD("ths_adjustment_nv_fund",C$3,$A804))</x:f>
        <x:v>#NAME?</x:v>
      </x:c>
      <x:c r="D804" t="e">
        <x:f>IF($A804="","",[1]!thsiFinD("ths_adjustment_nv_fund",D$3,$A804))</x:f>
        <x:v>#NAME?</x:v>
      </x:c>
      <x:c r="E804" t="e">
        <x:f>IF($A804="","",[1]!thsiFinD("ths_adjustment_nv_fund",E$3,$A804))</x:f>
        <x:v>#NAME?</x:v>
      </x:c>
      <x:c r="F804" t="e">
        <x:f>IF($A804="","",[1]!thsiFinD("ths_adjustment_nv_fund",F$3,$A804))</x:f>
        <x:v>#NAME?</x:v>
      </x:c>
      <x:c r="G804" t="e">
        <x:f>IF($A804="","",[1]!thsiFinD("ths_adjustment_nv_fund",G$3,$A804))</x:f>
        <x:v>#NAME?</x:v>
      </x:c>
      <x:c r="H804" t="e">
        <x:f>IF($A804="","",[1]!thsiFinD("ths_adjustment_nv_fund",H$3,$A804))</x:f>
        <x:v>#NAME?</x:v>
      </x:c>
      <x:c r="I804" t="e">
        <x:f>IF($A804="","",[1]!thsiFinD("ths_adjustment_nv_fund",I$3,$A804))</x:f>
        <x:v>#NAME?</x:v>
      </x:c>
      <x:c r="J804" t="e">
        <x:f>IF($A804="","",[1]!thsiFinD("ths_adjustment_nv_fund",J$3,$A804))</x:f>
        <x:v>#NAME?</x:v>
      </x:c>
      <x:c r="K804" t="e">
        <x:f>IF($A804="","",[1]!thsiFinD("ths_adjustment_nv_fund",K$3,$A804))</x:f>
        <x:v>#NAME?</x:v>
      </x:c>
      <x:c r="L804" t="e">
        <x:f>IF($A804="","",[1]!thsiFinD("ths_adjustment_nv_fund",L$3,$A804))</x:f>
        <x:v>#NAME?</x:v>
      </x:c>
      <x:c r="M804" t="e">
        <x:f>IF($A804="","",[1]!thsiFinD("ths_adjustment_nv_fund",M$3,$A804))</x:f>
        <x:v>#NAME?</x:v>
      </x:c>
      <x:c r="N804" t="e">
        <x:f>IF($A804="","",[1]!thsiFinD("ths_adjustment_nv_fund",N$3,$A804))</x:f>
        <x:v>#NAME?</x:v>
      </x:c>
      <x:c r="O804" t="e">
        <x:f>IF($A804="","",[1]!thsiFinD("ths_adjustment_nv_fund",O$3,$A804))</x:f>
        <x:v>#NAME?</x:v>
      </x:c>
      <x:c r="P804" t="e">
        <x:f>IF($A804="","",[1]!thsiFinD("ths_adjustment_nv_fund",P$3,$A804))</x:f>
        <x:v>#NAME?</x:v>
      </x:c>
      <x:c r="Q804" t="e">
        <x:f>IF($A804="","",[1]!thsiFinD("ths_adjustment_nv_fund",Q$3,$A804))</x:f>
        <x:v>#NAME?</x:v>
      </x:c>
      <x:c r="R804" t="e">
        <x:f>IF($A804="","",[1]!thsiFinD("ths_adjustment_nv_fund",R$3,$A804))</x:f>
        <x:v>#NAME?</x:v>
      </x:c>
      <x:c r="S804" t="e">
        <x:f>IF($A804="","",[1]!thsiFinD("ths_adjustment_nv_fund",S$3,$A804))</x:f>
        <x:v>#NAME?</x:v>
      </x:c>
      <x:c r="T804" t="e">
        <x:f>IF($A804="","",[1]!thsiFinD("ths_adjustment_nv_fund",T$3,$A804))</x:f>
        <x:v>#NAME?</x:v>
      </x:c>
      <x:c r="U804" t="e">
        <x:f>IF($A804="","",[1]!thsiFinD("ths_adjustment_nv_fund",U$3,$A804))</x:f>
        <x:v>#NAME?</x:v>
      </x:c>
      <x:c r="V804" t="e">
        <x:f>IF($A804="","",[1]!thsiFinD("ths_adjustment_nv_fund",V$3,$A804))</x:f>
        <x:v>#NAME?</x:v>
      </x:c>
      <x:c r="W804" t="e">
        <x:f>IF($A804="","",[1]!thsiFinD("ths_adjustment_nv_fund",W$3,$A804))</x:f>
        <x:v>#NAME?</x:v>
      </x:c>
      <x:c r="X804" t="e">
        <x:f>IF($A804="","",[1]!thsiFinD("ths_adjustment_nv_fund",X$3,$A804))</x:f>
        <x:v>#NAME?</x:v>
      </x:c>
      <x:c r="Y804" t="e">
        <x:f>IF($A804="","",[1]!thsiFinD("ths_adjustment_nv_fund",Y$3,$A804))</x:f>
        <x:v>#NAME?</x:v>
      </x:c>
    </x:row>
    <x:row r="805">
      <x:c r="B805" t="e">
        <x:f>IF($A805="","",[1]!thsiFinD("ths_adjustment_nv_fund",B$3,$A805))</x:f>
        <x:v>#NAME?</x:v>
      </x:c>
      <x:c r="C805" t="e">
        <x:f>IF($A805="","",[1]!thsiFinD("ths_adjustment_nv_fund",C$3,$A805))</x:f>
        <x:v>#NAME?</x:v>
      </x:c>
      <x:c r="D805" t="e">
        <x:f>IF($A805="","",[1]!thsiFinD("ths_adjustment_nv_fund",D$3,$A805))</x:f>
        <x:v>#NAME?</x:v>
      </x:c>
      <x:c r="E805" t="e">
        <x:f>IF($A805="","",[1]!thsiFinD("ths_adjustment_nv_fund",E$3,$A805))</x:f>
        <x:v>#NAME?</x:v>
      </x:c>
      <x:c r="F805" t="e">
        <x:f>IF($A805="","",[1]!thsiFinD("ths_adjustment_nv_fund",F$3,$A805))</x:f>
        <x:v>#NAME?</x:v>
      </x:c>
      <x:c r="G805" t="e">
        <x:f>IF($A805="","",[1]!thsiFinD("ths_adjustment_nv_fund",G$3,$A805))</x:f>
        <x:v>#NAME?</x:v>
      </x:c>
      <x:c r="H805" t="e">
        <x:f>IF($A805="","",[1]!thsiFinD("ths_adjustment_nv_fund",H$3,$A805))</x:f>
        <x:v>#NAME?</x:v>
      </x:c>
      <x:c r="I805" t="e">
        <x:f>IF($A805="","",[1]!thsiFinD("ths_adjustment_nv_fund",I$3,$A805))</x:f>
        <x:v>#NAME?</x:v>
      </x:c>
      <x:c r="J805" t="e">
        <x:f>IF($A805="","",[1]!thsiFinD("ths_adjustment_nv_fund",J$3,$A805))</x:f>
        <x:v>#NAME?</x:v>
      </x:c>
      <x:c r="K805" t="e">
        <x:f>IF($A805="","",[1]!thsiFinD("ths_adjustment_nv_fund",K$3,$A805))</x:f>
        <x:v>#NAME?</x:v>
      </x:c>
      <x:c r="L805" t="e">
        <x:f>IF($A805="","",[1]!thsiFinD("ths_adjustment_nv_fund",L$3,$A805))</x:f>
        <x:v>#NAME?</x:v>
      </x:c>
      <x:c r="M805" t="e">
        <x:f>IF($A805="","",[1]!thsiFinD("ths_adjustment_nv_fund",M$3,$A805))</x:f>
        <x:v>#NAME?</x:v>
      </x:c>
      <x:c r="N805" t="e">
        <x:f>IF($A805="","",[1]!thsiFinD("ths_adjustment_nv_fund",N$3,$A805))</x:f>
        <x:v>#NAME?</x:v>
      </x:c>
      <x:c r="O805" t="e">
        <x:f>IF($A805="","",[1]!thsiFinD("ths_adjustment_nv_fund",O$3,$A805))</x:f>
        <x:v>#NAME?</x:v>
      </x:c>
      <x:c r="P805" t="e">
        <x:f>IF($A805="","",[1]!thsiFinD("ths_adjustment_nv_fund",P$3,$A805))</x:f>
        <x:v>#NAME?</x:v>
      </x:c>
      <x:c r="Q805" t="e">
        <x:f>IF($A805="","",[1]!thsiFinD("ths_adjustment_nv_fund",Q$3,$A805))</x:f>
        <x:v>#NAME?</x:v>
      </x:c>
      <x:c r="R805" t="e">
        <x:f>IF($A805="","",[1]!thsiFinD("ths_adjustment_nv_fund",R$3,$A805))</x:f>
        <x:v>#NAME?</x:v>
      </x:c>
      <x:c r="S805" t="e">
        <x:f>IF($A805="","",[1]!thsiFinD("ths_adjustment_nv_fund",S$3,$A805))</x:f>
        <x:v>#NAME?</x:v>
      </x:c>
      <x:c r="T805" t="e">
        <x:f>IF($A805="","",[1]!thsiFinD("ths_adjustment_nv_fund",T$3,$A805))</x:f>
        <x:v>#NAME?</x:v>
      </x:c>
      <x:c r="U805" t="e">
        <x:f>IF($A805="","",[1]!thsiFinD("ths_adjustment_nv_fund",U$3,$A805))</x:f>
        <x:v>#NAME?</x:v>
      </x:c>
      <x:c r="V805" t="e">
        <x:f>IF($A805="","",[1]!thsiFinD("ths_adjustment_nv_fund",V$3,$A805))</x:f>
        <x:v>#NAME?</x:v>
      </x:c>
      <x:c r="W805" t="e">
        <x:f>IF($A805="","",[1]!thsiFinD("ths_adjustment_nv_fund",W$3,$A805))</x:f>
        <x:v>#NAME?</x:v>
      </x:c>
      <x:c r="X805" t="e">
        <x:f>IF($A805="","",[1]!thsiFinD("ths_adjustment_nv_fund",X$3,$A805))</x:f>
        <x:v>#NAME?</x:v>
      </x:c>
      <x:c r="Y805" t="e">
        <x:f>IF($A805="","",[1]!thsiFinD("ths_adjustment_nv_fund",Y$3,$A805))</x:f>
        <x:v>#NAME?</x:v>
      </x:c>
    </x:row>
    <x:row r="806">
      <x:c r="B806" t="e">
        <x:f>IF($A806="","",[1]!thsiFinD("ths_adjustment_nv_fund",B$3,$A806))</x:f>
        <x:v>#NAME?</x:v>
      </x:c>
      <x:c r="C806" t="e">
        <x:f>IF($A806="","",[1]!thsiFinD("ths_adjustment_nv_fund",C$3,$A806))</x:f>
        <x:v>#NAME?</x:v>
      </x:c>
      <x:c r="D806" t="e">
        <x:f>IF($A806="","",[1]!thsiFinD("ths_adjustment_nv_fund",D$3,$A806))</x:f>
        <x:v>#NAME?</x:v>
      </x:c>
      <x:c r="E806" t="e">
        <x:f>IF($A806="","",[1]!thsiFinD("ths_adjustment_nv_fund",E$3,$A806))</x:f>
        <x:v>#NAME?</x:v>
      </x:c>
      <x:c r="F806" t="e">
        <x:f>IF($A806="","",[1]!thsiFinD("ths_adjustment_nv_fund",F$3,$A806))</x:f>
        <x:v>#NAME?</x:v>
      </x:c>
      <x:c r="G806" t="e">
        <x:f>IF($A806="","",[1]!thsiFinD("ths_adjustment_nv_fund",G$3,$A806))</x:f>
        <x:v>#NAME?</x:v>
      </x:c>
      <x:c r="H806" t="e">
        <x:f>IF($A806="","",[1]!thsiFinD("ths_adjustment_nv_fund",H$3,$A806))</x:f>
        <x:v>#NAME?</x:v>
      </x:c>
      <x:c r="I806" t="e">
        <x:f>IF($A806="","",[1]!thsiFinD("ths_adjustment_nv_fund",I$3,$A806))</x:f>
        <x:v>#NAME?</x:v>
      </x:c>
      <x:c r="J806" t="e">
        <x:f>IF($A806="","",[1]!thsiFinD("ths_adjustment_nv_fund",J$3,$A806))</x:f>
        <x:v>#NAME?</x:v>
      </x:c>
      <x:c r="K806" t="e">
        <x:f>IF($A806="","",[1]!thsiFinD("ths_adjustment_nv_fund",K$3,$A806))</x:f>
        <x:v>#NAME?</x:v>
      </x:c>
      <x:c r="L806" t="e">
        <x:f>IF($A806="","",[1]!thsiFinD("ths_adjustment_nv_fund",L$3,$A806))</x:f>
        <x:v>#NAME?</x:v>
      </x:c>
      <x:c r="M806" t="e">
        <x:f>IF($A806="","",[1]!thsiFinD("ths_adjustment_nv_fund",M$3,$A806))</x:f>
        <x:v>#NAME?</x:v>
      </x:c>
      <x:c r="N806" t="e">
        <x:f>IF($A806="","",[1]!thsiFinD("ths_adjustment_nv_fund",N$3,$A806))</x:f>
        <x:v>#NAME?</x:v>
      </x:c>
      <x:c r="O806" t="e">
        <x:f>IF($A806="","",[1]!thsiFinD("ths_adjustment_nv_fund",O$3,$A806))</x:f>
        <x:v>#NAME?</x:v>
      </x:c>
      <x:c r="P806" t="e">
        <x:f>IF($A806="","",[1]!thsiFinD("ths_adjustment_nv_fund",P$3,$A806))</x:f>
        <x:v>#NAME?</x:v>
      </x:c>
      <x:c r="Q806" t="e">
        <x:f>IF($A806="","",[1]!thsiFinD("ths_adjustment_nv_fund",Q$3,$A806))</x:f>
        <x:v>#NAME?</x:v>
      </x:c>
      <x:c r="R806" t="e">
        <x:f>IF($A806="","",[1]!thsiFinD("ths_adjustment_nv_fund",R$3,$A806))</x:f>
        <x:v>#NAME?</x:v>
      </x:c>
      <x:c r="S806" t="e">
        <x:f>IF($A806="","",[1]!thsiFinD("ths_adjustment_nv_fund",S$3,$A806))</x:f>
        <x:v>#NAME?</x:v>
      </x:c>
      <x:c r="T806" t="e">
        <x:f>IF($A806="","",[1]!thsiFinD("ths_adjustment_nv_fund",T$3,$A806))</x:f>
        <x:v>#NAME?</x:v>
      </x:c>
      <x:c r="U806" t="e">
        <x:f>IF($A806="","",[1]!thsiFinD("ths_adjustment_nv_fund",U$3,$A806))</x:f>
        <x:v>#NAME?</x:v>
      </x:c>
      <x:c r="V806" t="e">
        <x:f>IF($A806="","",[1]!thsiFinD("ths_adjustment_nv_fund",V$3,$A806))</x:f>
        <x:v>#NAME?</x:v>
      </x:c>
      <x:c r="W806" t="e">
        <x:f>IF($A806="","",[1]!thsiFinD("ths_adjustment_nv_fund",W$3,$A806))</x:f>
        <x:v>#NAME?</x:v>
      </x:c>
      <x:c r="X806" t="e">
        <x:f>IF($A806="","",[1]!thsiFinD("ths_adjustment_nv_fund",X$3,$A806))</x:f>
        <x:v>#NAME?</x:v>
      </x:c>
      <x:c r="Y806" t="e">
        <x:f>IF($A806="","",[1]!thsiFinD("ths_adjustment_nv_fund",Y$3,$A806))</x:f>
        <x:v>#NAME?</x:v>
      </x:c>
    </x:row>
    <x:row r="807">
      <x:c r="B807" t="e">
        <x:f>IF($A807="","",[1]!thsiFinD("ths_adjustment_nv_fund",B$3,$A807))</x:f>
        <x:v>#NAME?</x:v>
      </x:c>
      <x:c r="C807" t="e">
        <x:f>IF($A807="","",[1]!thsiFinD("ths_adjustment_nv_fund",C$3,$A807))</x:f>
        <x:v>#NAME?</x:v>
      </x:c>
      <x:c r="D807" t="e">
        <x:f>IF($A807="","",[1]!thsiFinD("ths_adjustment_nv_fund",D$3,$A807))</x:f>
        <x:v>#NAME?</x:v>
      </x:c>
      <x:c r="E807" t="e">
        <x:f>IF($A807="","",[1]!thsiFinD("ths_adjustment_nv_fund",E$3,$A807))</x:f>
        <x:v>#NAME?</x:v>
      </x:c>
      <x:c r="F807" t="e">
        <x:f>IF($A807="","",[1]!thsiFinD("ths_adjustment_nv_fund",F$3,$A807))</x:f>
        <x:v>#NAME?</x:v>
      </x:c>
      <x:c r="G807" t="e">
        <x:f>IF($A807="","",[1]!thsiFinD("ths_adjustment_nv_fund",G$3,$A807))</x:f>
        <x:v>#NAME?</x:v>
      </x:c>
      <x:c r="H807" t="e">
        <x:f>IF($A807="","",[1]!thsiFinD("ths_adjustment_nv_fund",H$3,$A807))</x:f>
        <x:v>#NAME?</x:v>
      </x:c>
      <x:c r="I807" t="e">
        <x:f>IF($A807="","",[1]!thsiFinD("ths_adjustment_nv_fund",I$3,$A807))</x:f>
        <x:v>#NAME?</x:v>
      </x:c>
      <x:c r="J807" t="e">
        <x:f>IF($A807="","",[1]!thsiFinD("ths_adjustment_nv_fund",J$3,$A807))</x:f>
        <x:v>#NAME?</x:v>
      </x:c>
      <x:c r="K807" t="e">
        <x:f>IF($A807="","",[1]!thsiFinD("ths_adjustment_nv_fund",K$3,$A807))</x:f>
        <x:v>#NAME?</x:v>
      </x:c>
      <x:c r="L807" t="e">
        <x:f>IF($A807="","",[1]!thsiFinD("ths_adjustment_nv_fund",L$3,$A807))</x:f>
        <x:v>#NAME?</x:v>
      </x:c>
      <x:c r="M807" t="e">
        <x:f>IF($A807="","",[1]!thsiFinD("ths_adjustment_nv_fund",M$3,$A807))</x:f>
        <x:v>#NAME?</x:v>
      </x:c>
      <x:c r="N807" t="e">
        <x:f>IF($A807="","",[1]!thsiFinD("ths_adjustment_nv_fund",N$3,$A807))</x:f>
        <x:v>#NAME?</x:v>
      </x:c>
      <x:c r="O807" t="e">
        <x:f>IF($A807="","",[1]!thsiFinD("ths_adjustment_nv_fund",O$3,$A807))</x:f>
        <x:v>#NAME?</x:v>
      </x:c>
      <x:c r="P807" t="e">
        <x:f>IF($A807="","",[1]!thsiFinD("ths_adjustment_nv_fund",P$3,$A807))</x:f>
        <x:v>#NAME?</x:v>
      </x:c>
      <x:c r="Q807" t="e">
        <x:f>IF($A807="","",[1]!thsiFinD("ths_adjustment_nv_fund",Q$3,$A807))</x:f>
        <x:v>#NAME?</x:v>
      </x:c>
      <x:c r="R807" t="e">
        <x:f>IF($A807="","",[1]!thsiFinD("ths_adjustment_nv_fund",R$3,$A807))</x:f>
        <x:v>#NAME?</x:v>
      </x:c>
      <x:c r="S807" t="e">
        <x:f>IF($A807="","",[1]!thsiFinD("ths_adjustment_nv_fund",S$3,$A807))</x:f>
        <x:v>#NAME?</x:v>
      </x:c>
      <x:c r="T807" t="e">
        <x:f>IF($A807="","",[1]!thsiFinD("ths_adjustment_nv_fund",T$3,$A807))</x:f>
        <x:v>#NAME?</x:v>
      </x:c>
      <x:c r="U807" t="e">
        <x:f>IF($A807="","",[1]!thsiFinD("ths_adjustment_nv_fund",U$3,$A807))</x:f>
        <x:v>#NAME?</x:v>
      </x:c>
      <x:c r="V807" t="e">
        <x:f>IF($A807="","",[1]!thsiFinD("ths_adjustment_nv_fund",V$3,$A807))</x:f>
        <x:v>#NAME?</x:v>
      </x:c>
      <x:c r="W807" t="e">
        <x:f>IF($A807="","",[1]!thsiFinD("ths_adjustment_nv_fund",W$3,$A807))</x:f>
        <x:v>#NAME?</x:v>
      </x:c>
      <x:c r="X807" t="e">
        <x:f>IF($A807="","",[1]!thsiFinD("ths_adjustment_nv_fund",X$3,$A807))</x:f>
        <x:v>#NAME?</x:v>
      </x:c>
      <x:c r="Y807" t="e">
        <x:f>IF($A807="","",[1]!thsiFinD("ths_adjustment_nv_fund",Y$3,$A807))</x:f>
        <x:v>#NAME?</x:v>
      </x:c>
    </x:row>
    <x:row r="808">
      <x:c r="B808" t="e">
        <x:f>IF($A808="","",[1]!thsiFinD("ths_adjustment_nv_fund",B$3,$A808))</x:f>
        <x:v>#NAME?</x:v>
      </x:c>
      <x:c r="C808" t="e">
        <x:f>IF($A808="","",[1]!thsiFinD("ths_adjustment_nv_fund",C$3,$A808))</x:f>
        <x:v>#NAME?</x:v>
      </x:c>
      <x:c r="D808" t="e">
        <x:f>IF($A808="","",[1]!thsiFinD("ths_adjustment_nv_fund",D$3,$A808))</x:f>
        <x:v>#NAME?</x:v>
      </x:c>
      <x:c r="E808" t="e">
        <x:f>IF($A808="","",[1]!thsiFinD("ths_adjustment_nv_fund",E$3,$A808))</x:f>
        <x:v>#NAME?</x:v>
      </x:c>
      <x:c r="F808" t="e">
        <x:f>IF($A808="","",[1]!thsiFinD("ths_adjustment_nv_fund",F$3,$A808))</x:f>
        <x:v>#NAME?</x:v>
      </x:c>
      <x:c r="G808" t="e">
        <x:f>IF($A808="","",[1]!thsiFinD("ths_adjustment_nv_fund",G$3,$A808))</x:f>
        <x:v>#NAME?</x:v>
      </x:c>
      <x:c r="H808" t="e">
        <x:f>IF($A808="","",[1]!thsiFinD("ths_adjustment_nv_fund",H$3,$A808))</x:f>
        <x:v>#NAME?</x:v>
      </x:c>
      <x:c r="I808" t="e">
        <x:f>IF($A808="","",[1]!thsiFinD("ths_adjustment_nv_fund",I$3,$A808))</x:f>
        <x:v>#NAME?</x:v>
      </x:c>
      <x:c r="J808" t="e">
        <x:f>IF($A808="","",[1]!thsiFinD("ths_adjustment_nv_fund",J$3,$A808))</x:f>
        <x:v>#NAME?</x:v>
      </x:c>
      <x:c r="K808" t="e">
        <x:f>IF($A808="","",[1]!thsiFinD("ths_adjustment_nv_fund",K$3,$A808))</x:f>
        <x:v>#NAME?</x:v>
      </x:c>
      <x:c r="L808" t="e">
        <x:f>IF($A808="","",[1]!thsiFinD("ths_adjustment_nv_fund",L$3,$A808))</x:f>
        <x:v>#NAME?</x:v>
      </x:c>
      <x:c r="M808" t="e">
        <x:f>IF($A808="","",[1]!thsiFinD("ths_adjustment_nv_fund",M$3,$A808))</x:f>
        <x:v>#NAME?</x:v>
      </x:c>
      <x:c r="N808" t="e">
        <x:f>IF($A808="","",[1]!thsiFinD("ths_adjustment_nv_fund",N$3,$A808))</x:f>
        <x:v>#NAME?</x:v>
      </x:c>
      <x:c r="O808" t="e">
        <x:f>IF($A808="","",[1]!thsiFinD("ths_adjustment_nv_fund",O$3,$A808))</x:f>
        <x:v>#NAME?</x:v>
      </x:c>
      <x:c r="P808" t="e">
        <x:f>IF($A808="","",[1]!thsiFinD("ths_adjustment_nv_fund",P$3,$A808))</x:f>
        <x:v>#NAME?</x:v>
      </x:c>
      <x:c r="Q808" t="e">
        <x:f>IF($A808="","",[1]!thsiFinD("ths_adjustment_nv_fund",Q$3,$A808))</x:f>
        <x:v>#NAME?</x:v>
      </x:c>
      <x:c r="R808" t="e">
        <x:f>IF($A808="","",[1]!thsiFinD("ths_adjustment_nv_fund",R$3,$A808))</x:f>
        <x:v>#NAME?</x:v>
      </x:c>
      <x:c r="S808" t="e">
        <x:f>IF($A808="","",[1]!thsiFinD("ths_adjustment_nv_fund",S$3,$A808))</x:f>
        <x:v>#NAME?</x:v>
      </x:c>
      <x:c r="T808" t="e">
        <x:f>IF($A808="","",[1]!thsiFinD("ths_adjustment_nv_fund",T$3,$A808))</x:f>
        <x:v>#NAME?</x:v>
      </x:c>
      <x:c r="U808" t="e">
        <x:f>IF($A808="","",[1]!thsiFinD("ths_adjustment_nv_fund",U$3,$A808))</x:f>
        <x:v>#NAME?</x:v>
      </x:c>
      <x:c r="V808" t="e">
        <x:f>IF($A808="","",[1]!thsiFinD("ths_adjustment_nv_fund",V$3,$A808))</x:f>
        <x:v>#NAME?</x:v>
      </x:c>
      <x:c r="W808" t="e">
        <x:f>IF($A808="","",[1]!thsiFinD("ths_adjustment_nv_fund",W$3,$A808))</x:f>
        <x:v>#NAME?</x:v>
      </x:c>
      <x:c r="X808" t="e">
        <x:f>IF($A808="","",[1]!thsiFinD("ths_adjustment_nv_fund",X$3,$A808))</x:f>
        <x:v>#NAME?</x:v>
      </x:c>
      <x:c r="Y808" t="e">
        <x:f>IF($A808="","",[1]!thsiFinD("ths_adjustment_nv_fund",Y$3,$A808))</x:f>
        <x:v>#NAME?</x:v>
      </x:c>
    </x:row>
    <x:row r="809">
      <x:c r="B809" t="e">
        <x:f>IF($A809="","",[1]!thsiFinD("ths_adjustment_nv_fund",B$3,$A809))</x:f>
        <x:v>#NAME?</x:v>
      </x:c>
      <x:c r="C809" t="e">
        <x:f>IF($A809="","",[1]!thsiFinD("ths_adjustment_nv_fund",C$3,$A809))</x:f>
        <x:v>#NAME?</x:v>
      </x:c>
      <x:c r="D809" t="e">
        <x:f>IF($A809="","",[1]!thsiFinD("ths_adjustment_nv_fund",D$3,$A809))</x:f>
        <x:v>#NAME?</x:v>
      </x:c>
      <x:c r="E809" t="e">
        <x:f>IF($A809="","",[1]!thsiFinD("ths_adjustment_nv_fund",E$3,$A809))</x:f>
        <x:v>#NAME?</x:v>
      </x:c>
      <x:c r="F809" t="e">
        <x:f>IF($A809="","",[1]!thsiFinD("ths_adjustment_nv_fund",F$3,$A809))</x:f>
        <x:v>#NAME?</x:v>
      </x:c>
      <x:c r="G809" t="e">
        <x:f>IF($A809="","",[1]!thsiFinD("ths_adjustment_nv_fund",G$3,$A809))</x:f>
        <x:v>#NAME?</x:v>
      </x:c>
      <x:c r="H809" t="e">
        <x:f>IF($A809="","",[1]!thsiFinD("ths_adjustment_nv_fund",H$3,$A809))</x:f>
        <x:v>#NAME?</x:v>
      </x:c>
      <x:c r="I809" t="e">
        <x:f>IF($A809="","",[1]!thsiFinD("ths_adjustment_nv_fund",I$3,$A809))</x:f>
        <x:v>#NAME?</x:v>
      </x:c>
      <x:c r="J809" t="e">
        <x:f>IF($A809="","",[1]!thsiFinD("ths_adjustment_nv_fund",J$3,$A809))</x:f>
        <x:v>#NAME?</x:v>
      </x:c>
      <x:c r="K809" t="e">
        <x:f>IF($A809="","",[1]!thsiFinD("ths_adjustment_nv_fund",K$3,$A809))</x:f>
        <x:v>#NAME?</x:v>
      </x:c>
      <x:c r="L809" t="e">
        <x:f>IF($A809="","",[1]!thsiFinD("ths_adjustment_nv_fund",L$3,$A809))</x:f>
        <x:v>#NAME?</x:v>
      </x:c>
      <x:c r="M809" t="e">
        <x:f>IF($A809="","",[1]!thsiFinD("ths_adjustment_nv_fund",M$3,$A809))</x:f>
        <x:v>#NAME?</x:v>
      </x:c>
      <x:c r="N809" t="e">
        <x:f>IF($A809="","",[1]!thsiFinD("ths_adjustment_nv_fund",N$3,$A809))</x:f>
        <x:v>#NAME?</x:v>
      </x:c>
      <x:c r="O809" t="e">
        <x:f>IF($A809="","",[1]!thsiFinD("ths_adjustment_nv_fund",O$3,$A809))</x:f>
        <x:v>#NAME?</x:v>
      </x:c>
      <x:c r="P809" t="e">
        <x:f>IF($A809="","",[1]!thsiFinD("ths_adjustment_nv_fund",P$3,$A809))</x:f>
        <x:v>#NAME?</x:v>
      </x:c>
      <x:c r="Q809" t="e">
        <x:f>IF($A809="","",[1]!thsiFinD("ths_adjustment_nv_fund",Q$3,$A809))</x:f>
        <x:v>#NAME?</x:v>
      </x:c>
      <x:c r="R809" t="e">
        <x:f>IF($A809="","",[1]!thsiFinD("ths_adjustment_nv_fund",R$3,$A809))</x:f>
        <x:v>#NAME?</x:v>
      </x:c>
      <x:c r="S809" t="e">
        <x:f>IF($A809="","",[1]!thsiFinD("ths_adjustment_nv_fund",S$3,$A809))</x:f>
        <x:v>#NAME?</x:v>
      </x:c>
      <x:c r="T809" t="e">
        <x:f>IF($A809="","",[1]!thsiFinD("ths_adjustment_nv_fund",T$3,$A809))</x:f>
        <x:v>#NAME?</x:v>
      </x:c>
      <x:c r="U809" t="e">
        <x:f>IF($A809="","",[1]!thsiFinD("ths_adjustment_nv_fund",U$3,$A809))</x:f>
        <x:v>#NAME?</x:v>
      </x:c>
      <x:c r="V809" t="e">
        <x:f>IF($A809="","",[1]!thsiFinD("ths_adjustment_nv_fund",V$3,$A809))</x:f>
        <x:v>#NAME?</x:v>
      </x:c>
      <x:c r="W809" t="e">
        <x:f>IF($A809="","",[1]!thsiFinD("ths_adjustment_nv_fund",W$3,$A809))</x:f>
        <x:v>#NAME?</x:v>
      </x:c>
      <x:c r="X809" t="e">
        <x:f>IF($A809="","",[1]!thsiFinD("ths_adjustment_nv_fund",X$3,$A809))</x:f>
        <x:v>#NAME?</x:v>
      </x:c>
      <x:c r="Y809" t="e">
        <x:f>IF($A809="","",[1]!thsiFinD("ths_adjustment_nv_fund",Y$3,$A809))</x:f>
        <x:v>#NAME?</x:v>
      </x:c>
    </x:row>
    <x:row r="810">
      <x:c r="B810" t="e">
        <x:f>IF($A810="","",[1]!thsiFinD("ths_adjustment_nv_fund",B$3,$A810))</x:f>
        <x:v>#NAME?</x:v>
      </x:c>
      <x:c r="C810" t="e">
        <x:f>IF($A810="","",[1]!thsiFinD("ths_adjustment_nv_fund",C$3,$A810))</x:f>
        <x:v>#NAME?</x:v>
      </x:c>
      <x:c r="D810" t="e">
        <x:f>IF($A810="","",[1]!thsiFinD("ths_adjustment_nv_fund",D$3,$A810))</x:f>
        <x:v>#NAME?</x:v>
      </x:c>
      <x:c r="E810" t="e">
        <x:f>IF($A810="","",[1]!thsiFinD("ths_adjustment_nv_fund",E$3,$A810))</x:f>
        <x:v>#NAME?</x:v>
      </x:c>
      <x:c r="F810" t="e">
        <x:f>IF($A810="","",[1]!thsiFinD("ths_adjustment_nv_fund",F$3,$A810))</x:f>
        <x:v>#NAME?</x:v>
      </x:c>
      <x:c r="G810" t="e">
        <x:f>IF($A810="","",[1]!thsiFinD("ths_adjustment_nv_fund",G$3,$A810))</x:f>
        <x:v>#NAME?</x:v>
      </x:c>
      <x:c r="H810" t="e">
        <x:f>IF($A810="","",[1]!thsiFinD("ths_adjustment_nv_fund",H$3,$A810))</x:f>
        <x:v>#NAME?</x:v>
      </x:c>
      <x:c r="I810" t="e">
        <x:f>IF($A810="","",[1]!thsiFinD("ths_adjustment_nv_fund",I$3,$A810))</x:f>
        <x:v>#NAME?</x:v>
      </x:c>
      <x:c r="J810" t="e">
        <x:f>IF($A810="","",[1]!thsiFinD("ths_adjustment_nv_fund",J$3,$A810))</x:f>
        <x:v>#NAME?</x:v>
      </x:c>
      <x:c r="K810" t="e">
        <x:f>IF($A810="","",[1]!thsiFinD("ths_adjustment_nv_fund",K$3,$A810))</x:f>
        <x:v>#NAME?</x:v>
      </x:c>
      <x:c r="L810" t="e">
        <x:f>IF($A810="","",[1]!thsiFinD("ths_adjustment_nv_fund",L$3,$A810))</x:f>
        <x:v>#NAME?</x:v>
      </x:c>
      <x:c r="M810" t="e">
        <x:f>IF($A810="","",[1]!thsiFinD("ths_adjustment_nv_fund",M$3,$A810))</x:f>
        <x:v>#NAME?</x:v>
      </x:c>
      <x:c r="N810" t="e">
        <x:f>IF($A810="","",[1]!thsiFinD("ths_adjustment_nv_fund",N$3,$A810))</x:f>
        <x:v>#NAME?</x:v>
      </x:c>
      <x:c r="O810" t="e">
        <x:f>IF($A810="","",[1]!thsiFinD("ths_adjustment_nv_fund",O$3,$A810))</x:f>
        <x:v>#NAME?</x:v>
      </x:c>
      <x:c r="P810" t="e">
        <x:f>IF($A810="","",[1]!thsiFinD("ths_adjustment_nv_fund",P$3,$A810))</x:f>
        <x:v>#NAME?</x:v>
      </x:c>
      <x:c r="Q810" t="e">
        <x:f>IF($A810="","",[1]!thsiFinD("ths_adjustment_nv_fund",Q$3,$A810))</x:f>
        <x:v>#NAME?</x:v>
      </x:c>
      <x:c r="R810" t="e">
        <x:f>IF($A810="","",[1]!thsiFinD("ths_adjustment_nv_fund",R$3,$A810))</x:f>
        <x:v>#NAME?</x:v>
      </x:c>
      <x:c r="S810" t="e">
        <x:f>IF($A810="","",[1]!thsiFinD("ths_adjustment_nv_fund",S$3,$A810))</x:f>
        <x:v>#NAME?</x:v>
      </x:c>
      <x:c r="T810" t="e">
        <x:f>IF($A810="","",[1]!thsiFinD("ths_adjustment_nv_fund",T$3,$A810))</x:f>
        <x:v>#NAME?</x:v>
      </x:c>
      <x:c r="U810" t="e">
        <x:f>IF($A810="","",[1]!thsiFinD("ths_adjustment_nv_fund",U$3,$A810))</x:f>
        <x:v>#NAME?</x:v>
      </x:c>
      <x:c r="V810" t="e">
        <x:f>IF($A810="","",[1]!thsiFinD("ths_adjustment_nv_fund",V$3,$A810))</x:f>
        <x:v>#NAME?</x:v>
      </x:c>
      <x:c r="W810" t="e">
        <x:f>IF($A810="","",[1]!thsiFinD("ths_adjustment_nv_fund",W$3,$A810))</x:f>
        <x:v>#NAME?</x:v>
      </x:c>
      <x:c r="X810" t="e">
        <x:f>IF($A810="","",[1]!thsiFinD("ths_adjustment_nv_fund",X$3,$A810))</x:f>
        <x:v>#NAME?</x:v>
      </x:c>
      <x:c r="Y810" t="e">
        <x:f>IF($A810="","",[1]!thsiFinD("ths_adjustment_nv_fund",Y$3,$A810))</x:f>
        <x:v>#NAME?</x:v>
      </x:c>
    </x:row>
    <x:row r="811">
      <x:c r="B811" t="e">
        <x:f>IF($A811="","",[1]!thsiFinD("ths_adjustment_nv_fund",B$3,$A811))</x:f>
        <x:v>#NAME?</x:v>
      </x:c>
      <x:c r="C811" t="e">
        <x:f>IF($A811="","",[1]!thsiFinD("ths_adjustment_nv_fund",C$3,$A811))</x:f>
        <x:v>#NAME?</x:v>
      </x:c>
      <x:c r="D811" t="e">
        <x:f>IF($A811="","",[1]!thsiFinD("ths_adjustment_nv_fund",D$3,$A811))</x:f>
        <x:v>#NAME?</x:v>
      </x:c>
      <x:c r="E811" t="e">
        <x:f>IF($A811="","",[1]!thsiFinD("ths_adjustment_nv_fund",E$3,$A811))</x:f>
        <x:v>#NAME?</x:v>
      </x:c>
      <x:c r="F811" t="e">
        <x:f>IF($A811="","",[1]!thsiFinD("ths_adjustment_nv_fund",F$3,$A811))</x:f>
        <x:v>#NAME?</x:v>
      </x:c>
      <x:c r="G811" t="e">
        <x:f>IF($A811="","",[1]!thsiFinD("ths_adjustment_nv_fund",G$3,$A811))</x:f>
        <x:v>#NAME?</x:v>
      </x:c>
      <x:c r="H811" t="e">
        <x:f>IF($A811="","",[1]!thsiFinD("ths_adjustment_nv_fund",H$3,$A811))</x:f>
        <x:v>#NAME?</x:v>
      </x:c>
      <x:c r="I811" t="e">
        <x:f>IF($A811="","",[1]!thsiFinD("ths_adjustment_nv_fund",I$3,$A811))</x:f>
        <x:v>#NAME?</x:v>
      </x:c>
      <x:c r="J811" t="e">
        <x:f>IF($A811="","",[1]!thsiFinD("ths_adjustment_nv_fund",J$3,$A811))</x:f>
        <x:v>#NAME?</x:v>
      </x:c>
      <x:c r="K811" t="e">
        <x:f>IF($A811="","",[1]!thsiFinD("ths_adjustment_nv_fund",K$3,$A811))</x:f>
        <x:v>#NAME?</x:v>
      </x:c>
      <x:c r="L811" t="e">
        <x:f>IF($A811="","",[1]!thsiFinD("ths_adjustment_nv_fund",L$3,$A811))</x:f>
        <x:v>#NAME?</x:v>
      </x:c>
      <x:c r="M811" t="e">
        <x:f>IF($A811="","",[1]!thsiFinD("ths_adjustment_nv_fund",M$3,$A811))</x:f>
        <x:v>#NAME?</x:v>
      </x:c>
      <x:c r="N811" t="e">
        <x:f>IF($A811="","",[1]!thsiFinD("ths_adjustment_nv_fund",N$3,$A811))</x:f>
        <x:v>#NAME?</x:v>
      </x:c>
      <x:c r="O811" t="e">
        <x:f>IF($A811="","",[1]!thsiFinD("ths_adjustment_nv_fund",O$3,$A811))</x:f>
        <x:v>#NAME?</x:v>
      </x:c>
      <x:c r="P811" t="e">
        <x:f>IF($A811="","",[1]!thsiFinD("ths_adjustment_nv_fund",P$3,$A811))</x:f>
        <x:v>#NAME?</x:v>
      </x:c>
      <x:c r="Q811" t="e">
        <x:f>IF($A811="","",[1]!thsiFinD("ths_adjustment_nv_fund",Q$3,$A811))</x:f>
        <x:v>#NAME?</x:v>
      </x:c>
      <x:c r="R811" t="e">
        <x:f>IF($A811="","",[1]!thsiFinD("ths_adjustment_nv_fund",R$3,$A811))</x:f>
        <x:v>#NAME?</x:v>
      </x:c>
      <x:c r="S811" t="e">
        <x:f>IF($A811="","",[1]!thsiFinD("ths_adjustment_nv_fund",S$3,$A811))</x:f>
        <x:v>#NAME?</x:v>
      </x:c>
      <x:c r="T811" t="e">
        <x:f>IF($A811="","",[1]!thsiFinD("ths_adjustment_nv_fund",T$3,$A811))</x:f>
        <x:v>#NAME?</x:v>
      </x:c>
      <x:c r="U811" t="e">
        <x:f>IF($A811="","",[1]!thsiFinD("ths_adjustment_nv_fund",U$3,$A811))</x:f>
        <x:v>#NAME?</x:v>
      </x:c>
      <x:c r="V811" t="e">
        <x:f>IF($A811="","",[1]!thsiFinD("ths_adjustment_nv_fund",V$3,$A811))</x:f>
        <x:v>#NAME?</x:v>
      </x:c>
      <x:c r="W811" t="e">
        <x:f>IF($A811="","",[1]!thsiFinD("ths_adjustment_nv_fund",W$3,$A811))</x:f>
        <x:v>#NAME?</x:v>
      </x:c>
      <x:c r="X811" t="e">
        <x:f>IF($A811="","",[1]!thsiFinD("ths_adjustment_nv_fund",X$3,$A811))</x:f>
        <x:v>#NAME?</x:v>
      </x:c>
      <x:c r="Y811" t="e">
        <x:f>IF($A811="","",[1]!thsiFinD("ths_adjustment_nv_fund",Y$3,$A811))</x:f>
        <x:v>#NAME?</x:v>
      </x:c>
    </x:row>
    <x:row r="812">
      <x:c r="B812" t="e">
        <x:f>IF($A812="","",[1]!thsiFinD("ths_adjustment_nv_fund",B$3,$A812))</x:f>
        <x:v>#NAME?</x:v>
      </x:c>
      <x:c r="C812" t="e">
        <x:f>IF($A812="","",[1]!thsiFinD("ths_adjustment_nv_fund",C$3,$A812))</x:f>
        <x:v>#NAME?</x:v>
      </x:c>
      <x:c r="D812" t="e">
        <x:f>IF($A812="","",[1]!thsiFinD("ths_adjustment_nv_fund",D$3,$A812))</x:f>
        <x:v>#NAME?</x:v>
      </x:c>
      <x:c r="E812" t="e">
        <x:f>IF($A812="","",[1]!thsiFinD("ths_adjustment_nv_fund",E$3,$A812))</x:f>
        <x:v>#NAME?</x:v>
      </x:c>
      <x:c r="F812" t="e">
        <x:f>IF($A812="","",[1]!thsiFinD("ths_adjustment_nv_fund",F$3,$A812))</x:f>
        <x:v>#NAME?</x:v>
      </x:c>
      <x:c r="G812" t="e">
        <x:f>IF($A812="","",[1]!thsiFinD("ths_adjustment_nv_fund",G$3,$A812))</x:f>
        <x:v>#NAME?</x:v>
      </x:c>
      <x:c r="H812" t="e">
        <x:f>IF($A812="","",[1]!thsiFinD("ths_adjustment_nv_fund",H$3,$A812))</x:f>
        <x:v>#NAME?</x:v>
      </x:c>
      <x:c r="I812" t="e">
        <x:f>IF($A812="","",[1]!thsiFinD("ths_adjustment_nv_fund",I$3,$A812))</x:f>
        <x:v>#NAME?</x:v>
      </x:c>
      <x:c r="J812" t="e">
        <x:f>IF($A812="","",[1]!thsiFinD("ths_adjustment_nv_fund",J$3,$A812))</x:f>
        <x:v>#NAME?</x:v>
      </x:c>
      <x:c r="K812" t="e">
        <x:f>IF($A812="","",[1]!thsiFinD("ths_adjustment_nv_fund",K$3,$A812))</x:f>
        <x:v>#NAME?</x:v>
      </x:c>
      <x:c r="L812" t="e">
        <x:f>IF($A812="","",[1]!thsiFinD("ths_adjustment_nv_fund",L$3,$A812))</x:f>
        <x:v>#NAME?</x:v>
      </x:c>
      <x:c r="M812" t="e">
        <x:f>IF($A812="","",[1]!thsiFinD("ths_adjustment_nv_fund",M$3,$A812))</x:f>
        <x:v>#NAME?</x:v>
      </x:c>
      <x:c r="N812" t="e">
        <x:f>IF($A812="","",[1]!thsiFinD("ths_adjustment_nv_fund",N$3,$A812))</x:f>
        <x:v>#NAME?</x:v>
      </x:c>
      <x:c r="O812" t="e">
        <x:f>IF($A812="","",[1]!thsiFinD("ths_adjustment_nv_fund",O$3,$A812))</x:f>
        <x:v>#NAME?</x:v>
      </x:c>
      <x:c r="P812" t="e">
        <x:f>IF($A812="","",[1]!thsiFinD("ths_adjustment_nv_fund",P$3,$A812))</x:f>
        <x:v>#NAME?</x:v>
      </x:c>
      <x:c r="Q812" t="e">
        <x:f>IF($A812="","",[1]!thsiFinD("ths_adjustment_nv_fund",Q$3,$A812))</x:f>
        <x:v>#NAME?</x:v>
      </x:c>
      <x:c r="R812" t="e">
        <x:f>IF($A812="","",[1]!thsiFinD("ths_adjustment_nv_fund",R$3,$A812))</x:f>
        <x:v>#NAME?</x:v>
      </x:c>
      <x:c r="S812" t="e">
        <x:f>IF($A812="","",[1]!thsiFinD("ths_adjustment_nv_fund",S$3,$A812))</x:f>
        <x:v>#NAME?</x:v>
      </x:c>
      <x:c r="T812" t="e">
        <x:f>IF($A812="","",[1]!thsiFinD("ths_adjustment_nv_fund",T$3,$A812))</x:f>
        <x:v>#NAME?</x:v>
      </x:c>
      <x:c r="U812" t="e">
        <x:f>IF($A812="","",[1]!thsiFinD("ths_adjustment_nv_fund",U$3,$A812))</x:f>
        <x:v>#NAME?</x:v>
      </x:c>
      <x:c r="V812" t="e">
        <x:f>IF($A812="","",[1]!thsiFinD("ths_adjustment_nv_fund",V$3,$A812))</x:f>
        <x:v>#NAME?</x:v>
      </x:c>
      <x:c r="W812" t="e">
        <x:f>IF($A812="","",[1]!thsiFinD("ths_adjustment_nv_fund",W$3,$A812))</x:f>
        <x:v>#NAME?</x:v>
      </x:c>
      <x:c r="X812" t="e">
        <x:f>IF($A812="","",[1]!thsiFinD("ths_adjustment_nv_fund",X$3,$A812))</x:f>
        <x:v>#NAME?</x:v>
      </x:c>
      <x:c r="Y812" t="e">
        <x:f>IF($A812="","",[1]!thsiFinD("ths_adjustment_nv_fund",Y$3,$A812))</x:f>
        <x:v>#NAME?</x:v>
      </x:c>
    </x:row>
    <x:row r="813">
      <x:c r="B813" t="e">
        <x:f>IF($A813="","",[1]!thsiFinD("ths_adjustment_nv_fund",B$3,$A813))</x:f>
        <x:v>#NAME?</x:v>
      </x:c>
      <x:c r="C813" t="e">
        <x:f>IF($A813="","",[1]!thsiFinD("ths_adjustment_nv_fund",C$3,$A813))</x:f>
        <x:v>#NAME?</x:v>
      </x:c>
      <x:c r="D813" t="e">
        <x:f>IF($A813="","",[1]!thsiFinD("ths_adjustment_nv_fund",D$3,$A813))</x:f>
        <x:v>#NAME?</x:v>
      </x:c>
      <x:c r="E813" t="e">
        <x:f>IF($A813="","",[1]!thsiFinD("ths_adjustment_nv_fund",E$3,$A813))</x:f>
        <x:v>#NAME?</x:v>
      </x:c>
      <x:c r="F813" t="e">
        <x:f>IF($A813="","",[1]!thsiFinD("ths_adjustment_nv_fund",F$3,$A813))</x:f>
        <x:v>#NAME?</x:v>
      </x:c>
      <x:c r="G813" t="e">
        <x:f>IF($A813="","",[1]!thsiFinD("ths_adjustment_nv_fund",G$3,$A813))</x:f>
        <x:v>#NAME?</x:v>
      </x:c>
      <x:c r="H813" t="e">
        <x:f>IF($A813="","",[1]!thsiFinD("ths_adjustment_nv_fund",H$3,$A813))</x:f>
        <x:v>#NAME?</x:v>
      </x:c>
      <x:c r="I813" t="e">
        <x:f>IF($A813="","",[1]!thsiFinD("ths_adjustment_nv_fund",I$3,$A813))</x:f>
        <x:v>#NAME?</x:v>
      </x:c>
      <x:c r="J813" t="e">
        <x:f>IF($A813="","",[1]!thsiFinD("ths_adjustment_nv_fund",J$3,$A813))</x:f>
        <x:v>#NAME?</x:v>
      </x:c>
      <x:c r="K813" t="e">
        <x:f>IF($A813="","",[1]!thsiFinD("ths_adjustment_nv_fund",K$3,$A813))</x:f>
        <x:v>#NAME?</x:v>
      </x:c>
      <x:c r="L813" t="e">
        <x:f>IF($A813="","",[1]!thsiFinD("ths_adjustment_nv_fund",L$3,$A813))</x:f>
        <x:v>#NAME?</x:v>
      </x:c>
      <x:c r="M813" t="e">
        <x:f>IF($A813="","",[1]!thsiFinD("ths_adjustment_nv_fund",M$3,$A813))</x:f>
        <x:v>#NAME?</x:v>
      </x:c>
      <x:c r="N813" t="e">
        <x:f>IF($A813="","",[1]!thsiFinD("ths_adjustment_nv_fund",N$3,$A813))</x:f>
        <x:v>#NAME?</x:v>
      </x:c>
      <x:c r="O813" t="e">
        <x:f>IF($A813="","",[1]!thsiFinD("ths_adjustment_nv_fund",O$3,$A813))</x:f>
        <x:v>#NAME?</x:v>
      </x:c>
      <x:c r="P813" t="e">
        <x:f>IF($A813="","",[1]!thsiFinD("ths_adjustment_nv_fund",P$3,$A813))</x:f>
        <x:v>#NAME?</x:v>
      </x:c>
      <x:c r="Q813" t="e">
        <x:f>IF($A813="","",[1]!thsiFinD("ths_adjustment_nv_fund",Q$3,$A813))</x:f>
        <x:v>#NAME?</x:v>
      </x:c>
      <x:c r="R813" t="e">
        <x:f>IF($A813="","",[1]!thsiFinD("ths_adjustment_nv_fund",R$3,$A813))</x:f>
        <x:v>#NAME?</x:v>
      </x:c>
      <x:c r="S813" t="e">
        <x:f>IF($A813="","",[1]!thsiFinD("ths_adjustment_nv_fund",S$3,$A813))</x:f>
        <x:v>#NAME?</x:v>
      </x:c>
      <x:c r="T813" t="e">
        <x:f>IF($A813="","",[1]!thsiFinD("ths_adjustment_nv_fund",T$3,$A813))</x:f>
        <x:v>#NAME?</x:v>
      </x:c>
      <x:c r="U813" t="e">
        <x:f>IF($A813="","",[1]!thsiFinD("ths_adjustment_nv_fund",U$3,$A813))</x:f>
        <x:v>#NAME?</x:v>
      </x:c>
      <x:c r="V813" t="e">
        <x:f>IF($A813="","",[1]!thsiFinD("ths_adjustment_nv_fund",V$3,$A813))</x:f>
        <x:v>#NAME?</x:v>
      </x:c>
      <x:c r="W813" t="e">
        <x:f>IF($A813="","",[1]!thsiFinD("ths_adjustment_nv_fund",W$3,$A813))</x:f>
        <x:v>#NAME?</x:v>
      </x:c>
      <x:c r="X813" t="e">
        <x:f>IF($A813="","",[1]!thsiFinD("ths_adjustment_nv_fund",X$3,$A813))</x:f>
        <x:v>#NAME?</x:v>
      </x:c>
      <x:c r="Y813" t="e">
        <x:f>IF($A813="","",[1]!thsiFinD("ths_adjustment_nv_fund",Y$3,$A813))</x:f>
        <x:v>#NAME?</x:v>
      </x:c>
    </x:row>
    <x:row r="814">
      <x:c r="B814" t="e">
        <x:f>IF($A814="","",[1]!thsiFinD("ths_adjustment_nv_fund",B$3,$A814))</x:f>
        <x:v>#NAME?</x:v>
      </x:c>
      <x:c r="C814" t="e">
        <x:f>IF($A814="","",[1]!thsiFinD("ths_adjustment_nv_fund",C$3,$A814))</x:f>
        <x:v>#NAME?</x:v>
      </x:c>
      <x:c r="D814" t="e">
        <x:f>IF($A814="","",[1]!thsiFinD("ths_adjustment_nv_fund",D$3,$A814))</x:f>
        <x:v>#NAME?</x:v>
      </x:c>
      <x:c r="E814" t="e">
        <x:f>IF($A814="","",[1]!thsiFinD("ths_adjustment_nv_fund",E$3,$A814))</x:f>
        <x:v>#NAME?</x:v>
      </x:c>
      <x:c r="F814" t="e">
        <x:f>IF($A814="","",[1]!thsiFinD("ths_adjustment_nv_fund",F$3,$A814))</x:f>
        <x:v>#NAME?</x:v>
      </x:c>
      <x:c r="G814" t="e">
        <x:f>IF($A814="","",[1]!thsiFinD("ths_adjustment_nv_fund",G$3,$A814))</x:f>
        <x:v>#NAME?</x:v>
      </x:c>
      <x:c r="H814" t="e">
        <x:f>IF($A814="","",[1]!thsiFinD("ths_adjustment_nv_fund",H$3,$A814))</x:f>
        <x:v>#NAME?</x:v>
      </x:c>
      <x:c r="I814" t="e">
        <x:f>IF($A814="","",[1]!thsiFinD("ths_adjustment_nv_fund",I$3,$A814))</x:f>
        <x:v>#NAME?</x:v>
      </x:c>
      <x:c r="J814" t="e">
        <x:f>IF($A814="","",[1]!thsiFinD("ths_adjustment_nv_fund",J$3,$A814))</x:f>
        <x:v>#NAME?</x:v>
      </x:c>
      <x:c r="K814" t="e">
        <x:f>IF($A814="","",[1]!thsiFinD("ths_adjustment_nv_fund",K$3,$A814))</x:f>
        <x:v>#NAME?</x:v>
      </x:c>
      <x:c r="L814" t="e">
        <x:f>IF($A814="","",[1]!thsiFinD("ths_adjustment_nv_fund",L$3,$A814))</x:f>
        <x:v>#NAME?</x:v>
      </x:c>
      <x:c r="M814" t="e">
        <x:f>IF($A814="","",[1]!thsiFinD("ths_adjustment_nv_fund",M$3,$A814))</x:f>
        <x:v>#NAME?</x:v>
      </x:c>
      <x:c r="N814" t="e">
        <x:f>IF($A814="","",[1]!thsiFinD("ths_adjustment_nv_fund",N$3,$A814))</x:f>
        <x:v>#NAME?</x:v>
      </x:c>
      <x:c r="O814" t="e">
        <x:f>IF($A814="","",[1]!thsiFinD("ths_adjustment_nv_fund",O$3,$A814))</x:f>
        <x:v>#NAME?</x:v>
      </x:c>
      <x:c r="P814" t="e">
        <x:f>IF($A814="","",[1]!thsiFinD("ths_adjustment_nv_fund",P$3,$A814))</x:f>
        <x:v>#NAME?</x:v>
      </x:c>
      <x:c r="Q814" t="e">
        <x:f>IF($A814="","",[1]!thsiFinD("ths_adjustment_nv_fund",Q$3,$A814))</x:f>
        <x:v>#NAME?</x:v>
      </x:c>
      <x:c r="R814" t="e">
        <x:f>IF($A814="","",[1]!thsiFinD("ths_adjustment_nv_fund",R$3,$A814))</x:f>
        <x:v>#NAME?</x:v>
      </x:c>
      <x:c r="S814" t="e">
        <x:f>IF($A814="","",[1]!thsiFinD("ths_adjustment_nv_fund",S$3,$A814))</x:f>
        <x:v>#NAME?</x:v>
      </x:c>
      <x:c r="T814" t="e">
        <x:f>IF($A814="","",[1]!thsiFinD("ths_adjustment_nv_fund",T$3,$A814))</x:f>
        <x:v>#NAME?</x:v>
      </x:c>
      <x:c r="U814" t="e">
        <x:f>IF($A814="","",[1]!thsiFinD("ths_adjustment_nv_fund",U$3,$A814))</x:f>
        <x:v>#NAME?</x:v>
      </x:c>
      <x:c r="V814" t="e">
        <x:f>IF($A814="","",[1]!thsiFinD("ths_adjustment_nv_fund",V$3,$A814))</x:f>
        <x:v>#NAME?</x:v>
      </x:c>
      <x:c r="W814" t="e">
        <x:f>IF($A814="","",[1]!thsiFinD("ths_adjustment_nv_fund",W$3,$A814))</x:f>
        <x:v>#NAME?</x:v>
      </x:c>
      <x:c r="X814" t="e">
        <x:f>IF($A814="","",[1]!thsiFinD("ths_adjustment_nv_fund",X$3,$A814))</x:f>
        <x:v>#NAME?</x:v>
      </x:c>
      <x:c r="Y814" t="e">
        <x:f>IF($A814="","",[1]!thsiFinD("ths_adjustment_nv_fund",Y$3,$A814))</x:f>
        <x:v>#NAME?</x:v>
      </x:c>
    </x:row>
    <x:row r="815">
      <x:c r="B815" t="e">
        <x:f>IF($A815="","",[1]!thsiFinD("ths_adjustment_nv_fund",B$3,$A815))</x:f>
        <x:v>#NAME?</x:v>
      </x:c>
      <x:c r="C815" t="e">
        <x:f>IF($A815="","",[1]!thsiFinD("ths_adjustment_nv_fund",C$3,$A815))</x:f>
        <x:v>#NAME?</x:v>
      </x:c>
      <x:c r="D815" t="e">
        <x:f>IF($A815="","",[1]!thsiFinD("ths_adjustment_nv_fund",D$3,$A815))</x:f>
        <x:v>#NAME?</x:v>
      </x:c>
      <x:c r="E815" t="e">
        <x:f>IF($A815="","",[1]!thsiFinD("ths_adjustment_nv_fund",E$3,$A815))</x:f>
        <x:v>#NAME?</x:v>
      </x:c>
      <x:c r="F815" t="e">
        <x:f>IF($A815="","",[1]!thsiFinD("ths_adjustment_nv_fund",F$3,$A815))</x:f>
        <x:v>#NAME?</x:v>
      </x:c>
      <x:c r="G815" t="e">
        <x:f>IF($A815="","",[1]!thsiFinD("ths_adjustment_nv_fund",G$3,$A815))</x:f>
        <x:v>#NAME?</x:v>
      </x:c>
      <x:c r="H815" t="e">
        <x:f>IF($A815="","",[1]!thsiFinD("ths_adjustment_nv_fund",H$3,$A815))</x:f>
        <x:v>#NAME?</x:v>
      </x:c>
      <x:c r="I815" t="e">
        <x:f>IF($A815="","",[1]!thsiFinD("ths_adjustment_nv_fund",I$3,$A815))</x:f>
        <x:v>#NAME?</x:v>
      </x:c>
      <x:c r="J815" t="e">
        <x:f>IF($A815="","",[1]!thsiFinD("ths_adjustment_nv_fund",J$3,$A815))</x:f>
        <x:v>#NAME?</x:v>
      </x:c>
      <x:c r="K815" t="e">
        <x:f>IF($A815="","",[1]!thsiFinD("ths_adjustment_nv_fund",K$3,$A815))</x:f>
        <x:v>#NAME?</x:v>
      </x:c>
      <x:c r="L815" t="e">
        <x:f>IF($A815="","",[1]!thsiFinD("ths_adjustment_nv_fund",L$3,$A815))</x:f>
        <x:v>#NAME?</x:v>
      </x:c>
      <x:c r="M815" t="e">
        <x:f>IF($A815="","",[1]!thsiFinD("ths_adjustment_nv_fund",M$3,$A815))</x:f>
        <x:v>#NAME?</x:v>
      </x:c>
      <x:c r="N815" t="e">
        <x:f>IF($A815="","",[1]!thsiFinD("ths_adjustment_nv_fund",N$3,$A815))</x:f>
        <x:v>#NAME?</x:v>
      </x:c>
      <x:c r="O815" t="e">
        <x:f>IF($A815="","",[1]!thsiFinD("ths_adjustment_nv_fund",O$3,$A815))</x:f>
        <x:v>#NAME?</x:v>
      </x:c>
      <x:c r="P815" t="e">
        <x:f>IF($A815="","",[1]!thsiFinD("ths_adjustment_nv_fund",P$3,$A815))</x:f>
        <x:v>#NAME?</x:v>
      </x:c>
      <x:c r="Q815" t="e">
        <x:f>IF($A815="","",[1]!thsiFinD("ths_adjustment_nv_fund",Q$3,$A815))</x:f>
        <x:v>#NAME?</x:v>
      </x:c>
      <x:c r="R815" t="e">
        <x:f>IF($A815="","",[1]!thsiFinD("ths_adjustment_nv_fund",R$3,$A815))</x:f>
        <x:v>#NAME?</x:v>
      </x:c>
      <x:c r="S815" t="e">
        <x:f>IF($A815="","",[1]!thsiFinD("ths_adjustment_nv_fund",S$3,$A815))</x:f>
        <x:v>#NAME?</x:v>
      </x:c>
      <x:c r="T815" t="e">
        <x:f>IF($A815="","",[1]!thsiFinD("ths_adjustment_nv_fund",T$3,$A815))</x:f>
        <x:v>#NAME?</x:v>
      </x:c>
      <x:c r="U815" t="e">
        <x:f>IF($A815="","",[1]!thsiFinD("ths_adjustment_nv_fund",U$3,$A815))</x:f>
        <x:v>#NAME?</x:v>
      </x:c>
      <x:c r="V815" t="e">
        <x:f>IF($A815="","",[1]!thsiFinD("ths_adjustment_nv_fund",V$3,$A815))</x:f>
        <x:v>#NAME?</x:v>
      </x:c>
      <x:c r="W815" t="e">
        <x:f>IF($A815="","",[1]!thsiFinD("ths_adjustment_nv_fund",W$3,$A815))</x:f>
        <x:v>#NAME?</x:v>
      </x:c>
      <x:c r="X815" t="e">
        <x:f>IF($A815="","",[1]!thsiFinD("ths_adjustment_nv_fund",X$3,$A815))</x:f>
        <x:v>#NAME?</x:v>
      </x:c>
      <x:c r="Y815" t="e">
        <x:f>IF($A815="","",[1]!thsiFinD("ths_adjustment_nv_fund",Y$3,$A815))</x:f>
        <x:v>#NAME?</x:v>
      </x:c>
    </x:row>
    <x:row r="816">
      <x:c r="B816" t="e">
        <x:f>IF($A816="","",[1]!thsiFinD("ths_adjustment_nv_fund",B$3,$A816))</x:f>
        <x:v>#NAME?</x:v>
      </x:c>
      <x:c r="C816" t="e">
        <x:f>IF($A816="","",[1]!thsiFinD("ths_adjustment_nv_fund",C$3,$A816))</x:f>
        <x:v>#NAME?</x:v>
      </x:c>
      <x:c r="D816" t="e">
        <x:f>IF($A816="","",[1]!thsiFinD("ths_adjustment_nv_fund",D$3,$A816))</x:f>
        <x:v>#NAME?</x:v>
      </x:c>
      <x:c r="E816" t="e">
        <x:f>IF($A816="","",[1]!thsiFinD("ths_adjustment_nv_fund",E$3,$A816))</x:f>
        <x:v>#NAME?</x:v>
      </x:c>
      <x:c r="F816" t="e">
        <x:f>IF($A816="","",[1]!thsiFinD("ths_adjustment_nv_fund",F$3,$A816))</x:f>
        <x:v>#NAME?</x:v>
      </x:c>
      <x:c r="G816" t="e">
        <x:f>IF($A816="","",[1]!thsiFinD("ths_adjustment_nv_fund",G$3,$A816))</x:f>
        <x:v>#NAME?</x:v>
      </x:c>
      <x:c r="H816" t="e">
        <x:f>IF($A816="","",[1]!thsiFinD("ths_adjustment_nv_fund",H$3,$A816))</x:f>
        <x:v>#NAME?</x:v>
      </x:c>
      <x:c r="I816" t="e">
        <x:f>IF($A816="","",[1]!thsiFinD("ths_adjustment_nv_fund",I$3,$A816))</x:f>
        <x:v>#NAME?</x:v>
      </x:c>
      <x:c r="J816" t="e">
        <x:f>IF($A816="","",[1]!thsiFinD("ths_adjustment_nv_fund",J$3,$A816))</x:f>
        <x:v>#NAME?</x:v>
      </x:c>
      <x:c r="K816" t="e">
        <x:f>IF($A816="","",[1]!thsiFinD("ths_adjustment_nv_fund",K$3,$A816))</x:f>
        <x:v>#NAME?</x:v>
      </x:c>
      <x:c r="L816" t="e">
        <x:f>IF($A816="","",[1]!thsiFinD("ths_adjustment_nv_fund",L$3,$A816))</x:f>
        <x:v>#NAME?</x:v>
      </x:c>
      <x:c r="M816" t="e">
        <x:f>IF($A816="","",[1]!thsiFinD("ths_adjustment_nv_fund",M$3,$A816))</x:f>
        <x:v>#NAME?</x:v>
      </x:c>
      <x:c r="N816" t="e">
        <x:f>IF($A816="","",[1]!thsiFinD("ths_adjustment_nv_fund",N$3,$A816))</x:f>
        <x:v>#NAME?</x:v>
      </x:c>
      <x:c r="O816" t="e">
        <x:f>IF($A816="","",[1]!thsiFinD("ths_adjustment_nv_fund",O$3,$A816))</x:f>
        <x:v>#NAME?</x:v>
      </x:c>
      <x:c r="P816" t="e">
        <x:f>IF($A816="","",[1]!thsiFinD("ths_adjustment_nv_fund",P$3,$A816))</x:f>
        <x:v>#NAME?</x:v>
      </x:c>
      <x:c r="Q816" t="e">
        <x:f>IF($A816="","",[1]!thsiFinD("ths_adjustment_nv_fund",Q$3,$A816))</x:f>
        <x:v>#NAME?</x:v>
      </x:c>
      <x:c r="R816" t="e">
        <x:f>IF($A816="","",[1]!thsiFinD("ths_adjustment_nv_fund",R$3,$A816))</x:f>
        <x:v>#NAME?</x:v>
      </x:c>
      <x:c r="S816" t="e">
        <x:f>IF($A816="","",[1]!thsiFinD("ths_adjustment_nv_fund",S$3,$A816))</x:f>
        <x:v>#NAME?</x:v>
      </x:c>
      <x:c r="T816" t="e">
        <x:f>IF($A816="","",[1]!thsiFinD("ths_adjustment_nv_fund",T$3,$A816))</x:f>
        <x:v>#NAME?</x:v>
      </x:c>
      <x:c r="U816" t="e">
        <x:f>IF($A816="","",[1]!thsiFinD("ths_adjustment_nv_fund",U$3,$A816))</x:f>
        <x:v>#NAME?</x:v>
      </x:c>
      <x:c r="V816" t="e">
        <x:f>IF($A816="","",[1]!thsiFinD("ths_adjustment_nv_fund",V$3,$A816))</x:f>
        <x:v>#NAME?</x:v>
      </x:c>
      <x:c r="W816" t="e">
        <x:f>IF($A816="","",[1]!thsiFinD("ths_adjustment_nv_fund",W$3,$A816))</x:f>
        <x:v>#NAME?</x:v>
      </x:c>
      <x:c r="X816" t="e">
        <x:f>IF($A816="","",[1]!thsiFinD("ths_adjustment_nv_fund",X$3,$A816))</x:f>
        <x:v>#NAME?</x:v>
      </x:c>
      <x:c r="Y816" t="e">
        <x:f>IF($A816="","",[1]!thsiFinD("ths_adjustment_nv_fund",Y$3,$A816))</x:f>
        <x:v>#NAME?</x:v>
      </x:c>
    </x:row>
    <x:row r="817">
      <x:c r="B817" t="e">
        <x:f>IF($A817="","",[1]!thsiFinD("ths_adjustment_nv_fund",B$3,$A817))</x:f>
        <x:v>#NAME?</x:v>
      </x:c>
      <x:c r="C817" t="e">
        <x:f>IF($A817="","",[1]!thsiFinD("ths_adjustment_nv_fund",C$3,$A817))</x:f>
        <x:v>#NAME?</x:v>
      </x:c>
      <x:c r="D817" t="e">
        <x:f>IF($A817="","",[1]!thsiFinD("ths_adjustment_nv_fund",D$3,$A817))</x:f>
        <x:v>#NAME?</x:v>
      </x:c>
      <x:c r="E817" t="e">
        <x:f>IF($A817="","",[1]!thsiFinD("ths_adjustment_nv_fund",E$3,$A817))</x:f>
        <x:v>#NAME?</x:v>
      </x:c>
      <x:c r="F817" t="e">
        <x:f>IF($A817="","",[1]!thsiFinD("ths_adjustment_nv_fund",F$3,$A817))</x:f>
        <x:v>#NAME?</x:v>
      </x:c>
      <x:c r="G817" t="e">
        <x:f>IF($A817="","",[1]!thsiFinD("ths_adjustment_nv_fund",G$3,$A817))</x:f>
        <x:v>#NAME?</x:v>
      </x:c>
      <x:c r="H817" t="e">
        <x:f>IF($A817="","",[1]!thsiFinD("ths_adjustment_nv_fund",H$3,$A817))</x:f>
        <x:v>#NAME?</x:v>
      </x:c>
      <x:c r="I817" t="e">
        <x:f>IF($A817="","",[1]!thsiFinD("ths_adjustment_nv_fund",I$3,$A817))</x:f>
        <x:v>#NAME?</x:v>
      </x:c>
      <x:c r="J817" t="e">
        <x:f>IF($A817="","",[1]!thsiFinD("ths_adjustment_nv_fund",J$3,$A817))</x:f>
        <x:v>#NAME?</x:v>
      </x:c>
      <x:c r="K817" t="e">
        <x:f>IF($A817="","",[1]!thsiFinD("ths_adjustment_nv_fund",K$3,$A817))</x:f>
        <x:v>#NAME?</x:v>
      </x:c>
      <x:c r="L817" t="e">
        <x:f>IF($A817="","",[1]!thsiFinD("ths_adjustment_nv_fund",L$3,$A817))</x:f>
        <x:v>#NAME?</x:v>
      </x:c>
      <x:c r="M817" t="e">
        <x:f>IF($A817="","",[1]!thsiFinD("ths_adjustment_nv_fund",M$3,$A817))</x:f>
        <x:v>#NAME?</x:v>
      </x:c>
      <x:c r="N817" t="e">
        <x:f>IF($A817="","",[1]!thsiFinD("ths_adjustment_nv_fund",N$3,$A817))</x:f>
        <x:v>#NAME?</x:v>
      </x:c>
      <x:c r="O817" t="e">
        <x:f>IF($A817="","",[1]!thsiFinD("ths_adjustment_nv_fund",O$3,$A817))</x:f>
        <x:v>#NAME?</x:v>
      </x:c>
      <x:c r="P817" t="e">
        <x:f>IF($A817="","",[1]!thsiFinD("ths_adjustment_nv_fund",P$3,$A817))</x:f>
        <x:v>#NAME?</x:v>
      </x:c>
      <x:c r="Q817" t="e">
        <x:f>IF($A817="","",[1]!thsiFinD("ths_adjustment_nv_fund",Q$3,$A817))</x:f>
        <x:v>#NAME?</x:v>
      </x:c>
      <x:c r="R817" t="e">
        <x:f>IF($A817="","",[1]!thsiFinD("ths_adjustment_nv_fund",R$3,$A817))</x:f>
        <x:v>#NAME?</x:v>
      </x:c>
      <x:c r="S817" t="e">
        <x:f>IF($A817="","",[1]!thsiFinD("ths_adjustment_nv_fund",S$3,$A817))</x:f>
        <x:v>#NAME?</x:v>
      </x:c>
      <x:c r="T817" t="e">
        <x:f>IF($A817="","",[1]!thsiFinD("ths_adjustment_nv_fund",T$3,$A817))</x:f>
        <x:v>#NAME?</x:v>
      </x:c>
      <x:c r="U817" t="e">
        <x:f>IF($A817="","",[1]!thsiFinD("ths_adjustment_nv_fund",U$3,$A817))</x:f>
        <x:v>#NAME?</x:v>
      </x:c>
      <x:c r="V817" t="e">
        <x:f>IF($A817="","",[1]!thsiFinD("ths_adjustment_nv_fund",V$3,$A817))</x:f>
        <x:v>#NAME?</x:v>
      </x:c>
      <x:c r="W817" t="e">
        <x:f>IF($A817="","",[1]!thsiFinD("ths_adjustment_nv_fund",W$3,$A817))</x:f>
        <x:v>#NAME?</x:v>
      </x:c>
      <x:c r="X817" t="e">
        <x:f>IF($A817="","",[1]!thsiFinD("ths_adjustment_nv_fund",X$3,$A817))</x:f>
        <x:v>#NAME?</x:v>
      </x:c>
      <x:c r="Y817" t="e">
        <x:f>IF($A817="","",[1]!thsiFinD("ths_adjustment_nv_fund",Y$3,$A817))</x:f>
        <x:v>#NAME?</x:v>
      </x:c>
    </x:row>
    <x:row r="818">
      <x:c r="B818" t="e">
        <x:f>IF($A818="","",[1]!thsiFinD("ths_adjustment_nv_fund",B$3,$A818))</x:f>
        <x:v>#NAME?</x:v>
      </x:c>
      <x:c r="C818" t="e">
        <x:f>IF($A818="","",[1]!thsiFinD("ths_adjustment_nv_fund",C$3,$A818))</x:f>
        <x:v>#NAME?</x:v>
      </x:c>
      <x:c r="D818" t="e">
        <x:f>IF($A818="","",[1]!thsiFinD("ths_adjustment_nv_fund",D$3,$A818))</x:f>
        <x:v>#NAME?</x:v>
      </x:c>
      <x:c r="E818" t="e">
        <x:f>IF($A818="","",[1]!thsiFinD("ths_adjustment_nv_fund",E$3,$A818))</x:f>
        <x:v>#NAME?</x:v>
      </x:c>
      <x:c r="F818" t="e">
        <x:f>IF($A818="","",[1]!thsiFinD("ths_adjustment_nv_fund",F$3,$A818))</x:f>
        <x:v>#NAME?</x:v>
      </x:c>
      <x:c r="G818" t="e">
        <x:f>IF($A818="","",[1]!thsiFinD("ths_adjustment_nv_fund",G$3,$A818))</x:f>
        <x:v>#NAME?</x:v>
      </x:c>
      <x:c r="H818" t="e">
        <x:f>IF($A818="","",[1]!thsiFinD("ths_adjustment_nv_fund",H$3,$A818))</x:f>
        <x:v>#NAME?</x:v>
      </x:c>
      <x:c r="I818" t="e">
        <x:f>IF($A818="","",[1]!thsiFinD("ths_adjustment_nv_fund",I$3,$A818))</x:f>
        <x:v>#NAME?</x:v>
      </x:c>
      <x:c r="J818" t="e">
        <x:f>IF($A818="","",[1]!thsiFinD("ths_adjustment_nv_fund",J$3,$A818))</x:f>
        <x:v>#NAME?</x:v>
      </x:c>
      <x:c r="K818" t="e">
        <x:f>IF($A818="","",[1]!thsiFinD("ths_adjustment_nv_fund",K$3,$A818))</x:f>
        <x:v>#NAME?</x:v>
      </x:c>
      <x:c r="L818" t="e">
        <x:f>IF($A818="","",[1]!thsiFinD("ths_adjustment_nv_fund",L$3,$A818))</x:f>
        <x:v>#NAME?</x:v>
      </x:c>
      <x:c r="M818" t="e">
        <x:f>IF($A818="","",[1]!thsiFinD("ths_adjustment_nv_fund",M$3,$A818))</x:f>
        <x:v>#NAME?</x:v>
      </x:c>
      <x:c r="N818" t="e">
        <x:f>IF($A818="","",[1]!thsiFinD("ths_adjustment_nv_fund",N$3,$A818))</x:f>
        <x:v>#NAME?</x:v>
      </x:c>
      <x:c r="O818" t="e">
        <x:f>IF($A818="","",[1]!thsiFinD("ths_adjustment_nv_fund",O$3,$A818))</x:f>
        <x:v>#NAME?</x:v>
      </x:c>
      <x:c r="P818" t="e">
        <x:f>IF($A818="","",[1]!thsiFinD("ths_adjustment_nv_fund",P$3,$A818))</x:f>
        <x:v>#NAME?</x:v>
      </x:c>
      <x:c r="Q818" t="e">
        <x:f>IF($A818="","",[1]!thsiFinD("ths_adjustment_nv_fund",Q$3,$A818))</x:f>
        <x:v>#NAME?</x:v>
      </x:c>
      <x:c r="R818" t="e">
        <x:f>IF($A818="","",[1]!thsiFinD("ths_adjustment_nv_fund",R$3,$A818))</x:f>
        <x:v>#NAME?</x:v>
      </x:c>
      <x:c r="S818" t="e">
        <x:f>IF($A818="","",[1]!thsiFinD("ths_adjustment_nv_fund",S$3,$A818))</x:f>
        <x:v>#NAME?</x:v>
      </x:c>
      <x:c r="T818" t="e">
        <x:f>IF($A818="","",[1]!thsiFinD("ths_adjustment_nv_fund",T$3,$A818))</x:f>
        <x:v>#NAME?</x:v>
      </x:c>
      <x:c r="U818" t="e">
        <x:f>IF($A818="","",[1]!thsiFinD("ths_adjustment_nv_fund",U$3,$A818))</x:f>
        <x:v>#NAME?</x:v>
      </x:c>
      <x:c r="V818" t="e">
        <x:f>IF($A818="","",[1]!thsiFinD("ths_adjustment_nv_fund",V$3,$A818))</x:f>
        <x:v>#NAME?</x:v>
      </x:c>
      <x:c r="W818" t="e">
        <x:f>IF($A818="","",[1]!thsiFinD("ths_adjustment_nv_fund",W$3,$A818))</x:f>
        <x:v>#NAME?</x:v>
      </x:c>
      <x:c r="X818" t="e">
        <x:f>IF($A818="","",[1]!thsiFinD("ths_adjustment_nv_fund",X$3,$A818))</x:f>
        <x:v>#NAME?</x:v>
      </x:c>
      <x:c r="Y818" t="e">
        <x:f>IF($A818="","",[1]!thsiFinD("ths_adjustment_nv_fund",Y$3,$A818))</x:f>
        <x:v>#NAME?</x:v>
      </x:c>
    </x:row>
    <x:row r="819">
      <x:c r="B819" t="e">
        <x:f>IF($A819="","",[1]!thsiFinD("ths_adjustment_nv_fund",B$3,$A819))</x:f>
        <x:v>#NAME?</x:v>
      </x:c>
      <x:c r="C819" t="e">
        <x:f>IF($A819="","",[1]!thsiFinD("ths_adjustment_nv_fund",C$3,$A819))</x:f>
        <x:v>#NAME?</x:v>
      </x:c>
      <x:c r="D819" t="e">
        <x:f>IF($A819="","",[1]!thsiFinD("ths_adjustment_nv_fund",D$3,$A819))</x:f>
        <x:v>#NAME?</x:v>
      </x:c>
      <x:c r="E819" t="e">
        <x:f>IF($A819="","",[1]!thsiFinD("ths_adjustment_nv_fund",E$3,$A819))</x:f>
        <x:v>#NAME?</x:v>
      </x:c>
      <x:c r="F819" t="e">
        <x:f>IF($A819="","",[1]!thsiFinD("ths_adjustment_nv_fund",F$3,$A819))</x:f>
        <x:v>#NAME?</x:v>
      </x:c>
      <x:c r="G819" t="e">
        <x:f>IF($A819="","",[1]!thsiFinD("ths_adjustment_nv_fund",G$3,$A819))</x:f>
        <x:v>#NAME?</x:v>
      </x:c>
      <x:c r="H819" t="e">
        <x:f>IF($A819="","",[1]!thsiFinD("ths_adjustment_nv_fund",H$3,$A819))</x:f>
        <x:v>#NAME?</x:v>
      </x:c>
      <x:c r="I819" t="e">
        <x:f>IF($A819="","",[1]!thsiFinD("ths_adjustment_nv_fund",I$3,$A819))</x:f>
        <x:v>#NAME?</x:v>
      </x:c>
      <x:c r="J819" t="e">
        <x:f>IF($A819="","",[1]!thsiFinD("ths_adjustment_nv_fund",J$3,$A819))</x:f>
        <x:v>#NAME?</x:v>
      </x:c>
      <x:c r="K819" t="e">
        <x:f>IF($A819="","",[1]!thsiFinD("ths_adjustment_nv_fund",K$3,$A819))</x:f>
        <x:v>#NAME?</x:v>
      </x:c>
      <x:c r="L819" t="e">
        <x:f>IF($A819="","",[1]!thsiFinD("ths_adjustment_nv_fund",L$3,$A819))</x:f>
        <x:v>#NAME?</x:v>
      </x:c>
      <x:c r="M819" t="e">
        <x:f>IF($A819="","",[1]!thsiFinD("ths_adjustment_nv_fund",M$3,$A819))</x:f>
        <x:v>#NAME?</x:v>
      </x:c>
      <x:c r="N819" t="e">
        <x:f>IF($A819="","",[1]!thsiFinD("ths_adjustment_nv_fund",N$3,$A819))</x:f>
        <x:v>#NAME?</x:v>
      </x:c>
      <x:c r="O819" t="e">
        <x:f>IF($A819="","",[1]!thsiFinD("ths_adjustment_nv_fund",O$3,$A819))</x:f>
        <x:v>#NAME?</x:v>
      </x:c>
      <x:c r="P819" t="e">
        <x:f>IF($A819="","",[1]!thsiFinD("ths_adjustment_nv_fund",P$3,$A819))</x:f>
        <x:v>#NAME?</x:v>
      </x:c>
      <x:c r="Q819" t="e">
        <x:f>IF($A819="","",[1]!thsiFinD("ths_adjustment_nv_fund",Q$3,$A819))</x:f>
        <x:v>#NAME?</x:v>
      </x:c>
      <x:c r="R819" t="e">
        <x:f>IF($A819="","",[1]!thsiFinD("ths_adjustment_nv_fund",R$3,$A819))</x:f>
        <x:v>#NAME?</x:v>
      </x:c>
      <x:c r="S819" t="e">
        <x:f>IF($A819="","",[1]!thsiFinD("ths_adjustment_nv_fund",S$3,$A819))</x:f>
        <x:v>#NAME?</x:v>
      </x:c>
      <x:c r="T819" t="e">
        <x:f>IF($A819="","",[1]!thsiFinD("ths_adjustment_nv_fund",T$3,$A819))</x:f>
        <x:v>#NAME?</x:v>
      </x:c>
      <x:c r="U819" t="e">
        <x:f>IF($A819="","",[1]!thsiFinD("ths_adjustment_nv_fund",U$3,$A819))</x:f>
        <x:v>#NAME?</x:v>
      </x:c>
      <x:c r="V819" t="e">
        <x:f>IF($A819="","",[1]!thsiFinD("ths_adjustment_nv_fund",V$3,$A819))</x:f>
        <x:v>#NAME?</x:v>
      </x:c>
      <x:c r="W819" t="e">
        <x:f>IF($A819="","",[1]!thsiFinD("ths_adjustment_nv_fund",W$3,$A819))</x:f>
        <x:v>#NAME?</x:v>
      </x:c>
      <x:c r="X819" t="e">
        <x:f>IF($A819="","",[1]!thsiFinD("ths_adjustment_nv_fund",X$3,$A819))</x:f>
        <x:v>#NAME?</x:v>
      </x:c>
      <x:c r="Y819" t="e">
        <x:f>IF($A819="","",[1]!thsiFinD("ths_adjustment_nv_fund",Y$3,$A819))</x:f>
        <x:v>#NAME?</x:v>
      </x:c>
    </x:row>
    <x:row r="820">
      <x:c r="B820" t="e">
        <x:f>IF($A820="","",[1]!thsiFinD("ths_adjustment_nv_fund",B$3,$A820))</x:f>
        <x:v>#NAME?</x:v>
      </x:c>
      <x:c r="C820" t="e">
        <x:f>IF($A820="","",[1]!thsiFinD("ths_adjustment_nv_fund",C$3,$A820))</x:f>
        <x:v>#NAME?</x:v>
      </x:c>
      <x:c r="D820" t="e">
        <x:f>IF($A820="","",[1]!thsiFinD("ths_adjustment_nv_fund",D$3,$A820))</x:f>
        <x:v>#NAME?</x:v>
      </x:c>
      <x:c r="E820" t="e">
        <x:f>IF($A820="","",[1]!thsiFinD("ths_adjustment_nv_fund",E$3,$A820))</x:f>
        <x:v>#NAME?</x:v>
      </x:c>
      <x:c r="F820" t="e">
        <x:f>IF($A820="","",[1]!thsiFinD("ths_adjustment_nv_fund",F$3,$A820))</x:f>
        <x:v>#NAME?</x:v>
      </x:c>
      <x:c r="G820" t="e">
        <x:f>IF($A820="","",[1]!thsiFinD("ths_adjustment_nv_fund",G$3,$A820))</x:f>
        <x:v>#NAME?</x:v>
      </x:c>
      <x:c r="H820" t="e">
        <x:f>IF($A820="","",[1]!thsiFinD("ths_adjustment_nv_fund",H$3,$A820))</x:f>
        <x:v>#NAME?</x:v>
      </x:c>
      <x:c r="I820" t="e">
        <x:f>IF($A820="","",[1]!thsiFinD("ths_adjustment_nv_fund",I$3,$A820))</x:f>
        <x:v>#NAME?</x:v>
      </x:c>
      <x:c r="J820" t="e">
        <x:f>IF($A820="","",[1]!thsiFinD("ths_adjustment_nv_fund",J$3,$A820))</x:f>
        <x:v>#NAME?</x:v>
      </x:c>
      <x:c r="K820" t="e">
        <x:f>IF($A820="","",[1]!thsiFinD("ths_adjustment_nv_fund",K$3,$A820))</x:f>
        <x:v>#NAME?</x:v>
      </x:c>
      <x:c r="L820" t="e">
        <x:f>IF($A820="","",[1]!thsiFinD("ths_adjustment_nv_fund",L$3,$A820))</x:f>
        <x:v>#NAME?</x:v>
      </x:c>
      <x:c r="M820" t="e">
        <x:f>IF($A820="","",[1]!thsiFinD("ths_adjustment_nv_fund",M$3,$A820))</x:f>
        <x:v>#NAME?</x:v>
      </x:c>
      <x:c r="N820" t="e">
        <x:f>IF($A820="","",[1]!thsiFinD("ths_adjustment_nv_fund",N$3,$A820))</x:f>
        <x:v>#NAME?</x:v>
      </x:c>
      <x:c r="O820" t="e">
        <x:f>IF($A820="","",[1]!thsiFinD("ths_adjustment_nv_fund",O$3,$A820))</x:f>
        <x:v>#NAME?</x:v>
      </x:c>
      <x:c r="P820" t="e">
        <x:f>IF($A820="","",[1]!thsiFinD("ths_adjustment_nv_fund",P$3,$A820))</x:f>
        <x:v>#NAME?</x:v>
      </x:c>
      <x:c r="Q820" t="e">
        <x:f>IF($A820="","",[1]!thsiFinD("ths_adjustment_nv_fund",Q$3,$A820))</x:f>
        <x:v>#NAME?</x:v>
      </x:c>
      <x:c r="R820" t="e">
        <x:f>IF($A820="","",[1]!thsiFinD("ths_adjustment_nv_fund",R$3,$A820))</x:f>
        <x:v>#NAME?</x:v>
      </x:c>
      <x:c r="S820" t="e">
        <x:f>IF($A820="","",[1]!thsiFinD("ths_adjustment_nv_fund",S$3,$A820))</x:f>
        <x:v>#NAME?</x:v>
      </x:c>
      <x:c r="T820" t="e">
        <x:f>IF($A820="","",[1]!thsiFinD("ths_adjustment_nv_fund",T$3,$A820))</x:f>
        <x:v>#NAME?</x:v>
      </x:c>
      <x:c r="U820" t="e">
        <x:f>IF($A820="","",[1]!thsiFinD("ths_adjustment_nv_fund",U$3,$A820))</x:f>
        <x:v>#NAME?</x:v>
      </x:c>
      <x:c r="V820" t="e">
        <x:f>IF($A820="","",[1]!thsiFinD("ths_adjustment_nv_fund",V$3,$A820))</x:f>
        <x:v>#NAME?</x:v>
      </x:c>
      <x:c r="W820" t="e">
        <x:f>IF($A820="","",[1]!thsiFinD("ths_adjustment_nv_fund",W$3,$A820))</x:f>
        <x:v>#NAME?</x:v>
      </x:c>
      <x:c r="X820" t="e">
        <x:f>IF($A820="","",[1]!thsiFinD("ths_adjustment_nv_fund",X$3,$A820))</x:f>
        <x:v>#NAME?</x:v>
      </x:c>
      <x:c r="Y820" t="e">
        <x:f>IF($A820="","",[1]!thsiFinD("ths_adjustment_nv_fund",Y$3,$A820))</x:f>
        <x:v>#NAME?</x:v>
      </x:c>
    </x:row>
    <x:row r="821">
      <x:c r="B821" t="e">
        <x:f>IF($A821="","",[1]!thsiFinD("ths_adjustment_nv_fund",B$3,$A821))</x:f>
        <x:v>#NAME?</x:v>
      </x:c>
      <x:c r="C821" t="e">
        <x:f>IF($A821="","",[1]!thsiFinD("ths_adjustment_nv_fund",C$3,$A821))</x:f>
        <x:v>#NAME?</x:v>
      </x:c>
      <x:c r="D821" t="e">
        <x:f>IF($A821="","",[1]!thsiFinD("ths_adjustment_nv_fund",D$3,$A821))</x:f>
        <x:v>#NAME?</x:v>
      </x:c>
      <x:c r="E821" t="e">
        <x:f>IF($A821="","",[1]!thsiFinD("ths_adjustment_nv_fund",E$3,$A821))</x:f>
        <x:v>#NAME?</x:v>
      </x:c>
      <x:c r="F821" t="e">
        <x:f>IF($A821="","",[1]!thsiFinD("ths_adjustment_nv_fund",F$3,$A821))</x:f>
        <x:v>#NAME?</x:v>
      </x:c>
      <x:c r="G821" t="e">
        <x:f>IF($A821="","",[1]!thsiFinD("ths_adjustment_nv_fund",G$3,$A821))</x:f>
        <x:v>#NAME?</x:v>
      </x:c>
      <x:c r="H821" t="e">
        <x:f>IF($A821="","",[1]!thsiFinD("ths_adjustment_nv_fund",H$3,$A821))</x:f>
        <x:v>#NAME?</x:v>
      </x:c>
      <x:c r="I821" t="e">
        <x:f>IF($A821="","",[1]!thsiFinD("ths_adjustment_nv_fund",I$3,$A821))</x:f>
        <x:v>#NAME?</x:v>
      </x:c>
      <x:c r="J821" t="e">
        <x:f>IF($A821="","",[1]!thsiFinD("ths_adjustment_nv_fund",J$3,$A821))</x:f>
        <x:v>#NAME?</x:v>
      </x:c>
      <x:c r="K821" t="e">
        <x:f>IF($A821="","",[1]!thsiFinD("ths_adjustment_nv_fund",K$3,$A821))</x:f>
        <x:v>#NAME?</x:v>
      </x:c>
      <x:c r="L821" t="e">
        <x:f>IF($A821="","",[1]!thsiFinD("ths_adjustment_nv_fund",L$3,$A821))</x:f>
        <x:v>#NAME?</x:v>
      </x:c>
      <x:c r="M821" t="e">
        <x:f>IF($A821="","",[1]!thsiFinD("ths_adjustment_nv_fund",M$3,$A821))</x:f>
        <x:v>#NAME?</x:v>
      </x:c>
      <x:c r="N821" t="e">
        <x:f>IF($A821="","",[1]!thsiFinD("ths_adjustment_nv_fund",N$3,$A821))</x:f>
        <x:v>#NAME?</x:v>
      </x:c>
      <x:c r="O821" t="e">
        <x:f>IF($A821="","",[1]!thsiFinD("ths_adjustment_nv_fund",O$3,$A821))</x:f>
        <x:v>#NAME?</x:v>
      </x:c>
      <x:c r="P821" t="e">
        <x:f>IF($A821="","",[1]!thsiFinD("ths_adjustment_nv_fund",P$3,$A821))</x:f>
        <x:v>#NAME?</x:v>
      </x:c>
      <x:c r="Q821" t="e">
        <x:f>IF($A821="","",[1]!thsiFinD("ths_adjustment_nv_fund",Q$3,$A821))</x:f>
        <x:v>#NAME?</x:v>
      </x:c>
      <x:c r="R821" t="e">
        <x:f>IF($A821="","",[1]!thsiFinD("ths_adjustment_nv_fund",R$3,$A821))</x:f>
        <x:v>#NAME?</x:v>
      </x:c>
      <x:c r="S821" t="e">
        <x:f>IF($A821="","",[1]!thsiFinD("ths_adjustment_nv_fund",S$3,$A821))</x:f>
        <x:v>#NAME?</x:v>
      </x:c>
      <x:c r="T821" t="e">
        <x:f>IF($A821="","",[1]!thsiFinD("ths_adjustment_nv_fund",T$3,$A821))</x:f>
        <x:v>#NAME?</x:v>
      </x:c>
      <x:c r="U821" t="e">
        <x:f>IF($A821="","",[1]!thsiFinD("ths_adjustment_nv_fund",U$3,$A821))</x:f>
        <x:v>#NAME?</x:v>
      </x:c>
      <x:c r="V821" t="e">
        <x:f>IF($A821="","",[1]!thsiFinD("ths_adjustment_nv_fund",V$3,$A821))</x:f>
        <x:v>#NAME?</x:v>
      </x:c>
      <x:c r="W821" t="e">
        <x:f>IF($A821="","",[1]!thsiFinD("ths_adjustment_nv_fund",W$3,$A821))</x:f>
        <x:v>#NAME?</x:v>
      </x:c>
      <x:c r="X821" t="e">
        <x:f>IF($A821="","",[1]!thsiFinD("ths_adjustment_nv_fund",X$3,$A821))</x:f>
        <x:v>#NAME?</x:v>
      </x:c>
      <x:c r="Y821" t="e">
        <x:f>IF($A821="","",[1]!thsiFinD("ths_adjustment_nv_fund",Y$3,$A821))</x:f>
        <x:v>#NAME?</x:v>
      </x:c>
    </x:row>
    <x:row r="822">
      <x:c r="B822" t="e">
        <x:f>IF($A822="","",[1]!thsiFinD("ths_adjustment_nv_fund",B$3,$A822))</x:f>
        <x:v>#NAME?</x:v>
      </x:c>
      <x:c r="C822" t="e">
        <x:f>IF($A822="","",[1]!thsiFinD("ths_adjustment_nv_fund",C$3,$A822))</x:f>
        <x:v>#NAME?</x:v>
      </x:c>
      <x:c r="D822" t="e">
        <x:f>IF($A822="","",[1]!thsiFinD("ths_adjustment_nv_fund",D$3,$A822))</x:f>
        <x:v>#NAME?</x:v>
      </x:c>
      <x:c r="E822" t="e">
        <x:f>IF($A822="","",[1]!thsiFinD("ths_adjustment_nv_fund",E$3,$A822))</x:f>
        <x:v>#NAME?</x:v>
      </x:c>
      <x:c r="F822" t="e">
        <x:f>IF($A822="","",[1]!thsiFinD("ths_adjustment_nv_fund",F$3,$A822))</x:f>
        <x:v>#NAME?</x:v>
      </x:c>
      <x:c r="G822" t="e">
        <x:f>IF($A822="","",[1]!thsiFinD("ths_adjustment_nv_fund",G$3,$A822))</x:f>
        <x:v>#NAME?</x:v>
      </x:c>
      <x:c r="H822" t="e">
        <x:f>IF($A822="","",[1]!thsiFinD("ths_adjustment_nv_fund",H$3,$A822))</x:f>
        <x:v>#NAME?</x:v>
      </x:c>
      <x:c r="I822" t="e">
        <x:f>IF($A822="","",[1]!thsiFinD("ths_adjustment_nv_fund",I$3,$A822))</x:f>
        <x:v>#NAME?</x:v>
      </x:c>
      <x:c r="J822" t="e">
        <x:f>IF($A822="","",[1]!thsiFinD("ths_adjustment_nv_fund",J$3,$A822))</x:f>
        <x:v>#NAME?</x:v>
      </x:c>
      <x:c r="K822" t="e">
        <x:f>IF($A822="","",[1]!thsiFinD("ths_adjustment_nv_fund",K$3,$A822))</x:f>
        <x:v>#NAME?</x:v>
      </x:c>
      <x:c r="L822" t="e">
        <x:f>IF($A822="","",[1]!thsiFinD("ths_adjustment_nv_fund",L$3,$A822))</x:f>
        <x:v>#NAME?</x:v>
      </x:c>
      <x:c r="M822" t="e">
        <x:f>IF($A822="","",[1]!thsiFinD("ths_adjustment_nv_fund",M$3,$A822))</x:f>
        <x:v>#NAME?</x:v>
      </x:c>
      <x:c r="N822" t="e">
        <x:f>IF($A822="","",[1]!thsiFinD("ths_adjustment_nv_fund",N$3,$A822))</x:f>
        <x:v>#NAME?</x:v>
      </x:c>
      <x:c r="O822" t="e">
        <x:f>IF($A822="","",[1]!thsiFinD("ths_adjustment_nv_fund",O$3,$A822))</x:f>
        <x:v>#NAME?</x:v>
      </x:c>
      <x:c r="P822" t="e">
        <x:f>IF($A822="","",[1]!thsiFinD("ths_adjustment_nv_fund",P$3,$A822))</x:f>
        <x:v>#NAME?</x:v>
      </x:c>
      <x:c r="Q822" t="e">
        <x:f>IF($A822="","",[1]!thsiFinD("ths_adjustment_nv_fund",Q$3,$A822))</x:f>
        <x:v>#NAME?</x:v>
      </x:c>
      <x:c r="R822" t="e">
        <x:f>IF($A822="","",[1]!thsiFinD("ths_adjustment_nv_fund",R$3,$A822))</x:f>
        <x:v>#NAME?</x:v>
      </x:c>
      <x:c r="S822" t="e">
        <x:f>IF($A822="","",[1]!thsiFinD("ths_adjustment_nv_fund",S$3,$A822))</x:f>
        <x:v>#NAME?</x:v>
      </x:c>
      <x:c r="T822" t="e">
        <x:f>IF($A822="","",[1]!thsiFinD("ths_adjustment_nv_fund",T$3,$A822))</x:f>
        <x:v>#NAME?</x:v>
      </x:c>
      <x:c r="U822" t="e">
        <x:f>IF($A822="","",[1]!thsiFinD("ths_adjustment_nv_fund",U$3,$A822))</x:f>
        <x:v>#NAME?</x:v>
      </x:c>
      <x:c r="V822" t="e">
        <x:f>IF($A822="","",[1]!thsiFinD("ths_adjustment_nv_fund",V$3,$A822))</x:f>
        <x:v>#NAME?</x:v>
      </x:c>
      <x:c r="W822" t="e">
        <x:f>IF($A822="","",[1]!thsiFinD("ths_adjustment_nv_fund",W$3,$A822))</x:f>
        <x:v>#NAME?</x:v>
      </x:c>
      <x:c r="X822" t="e">
        <x:f>IF($A822="","",[1]!thsiFinD("ths_adjustment_nv_fund",X$3,$A822))</x:f>
        <x:v>#NAME?</x:v>
      </x:c>
      <x:c r="Y822" t="e">
        <x:f>IF($A822="","",[1]!thsiFinD("ths_adjustment_nv_fund",Y$3,$A822))</x:f>
        <x:v>#NAME?</x:v>
      </x:c>
    </x:row>
    <x:row r="823">
      <x:c r="B823" t="e">
        <x:f>IF($A823="","",[1]!thsiFinD("ths_adjustment_nv_fund",B$3,$A823))</x:f>
        <x:v>#NAME?</x:v>
      </x:c>
      <x:c r="C823" t="e">
        <x:f>IF($A823="","",[1]!thsiFinD("ths_adjustment_nv_fund",C$3,$A823))</x:f>
        <x:v>#NAME?</x:v>
      </x:c>
      <x:c r="D823" t="e">
        <x:f>IF($A823="","",[1]!thsiFinD("ths_adjustment_nv_fund",D$3,$A823))</x:f>
        <x:v>#NAME?</x:v>
      </x:c>
      <x:c r="E823" t="e">
        <x:f>IF($A823="","",[1]!thsiFinD("ths_adjustment_nv_fund",E$3,$A823))</x:f>
        <x:v>#NAME?</x:v>
      </x:c>
      <x:c r="F823" t="e">
        <x:f>IF($A823="","",[1]!thsiFinD("ths_adjustment_nv_fund",F$3,$A823))</x:f>
        <x:v>#NAME?</x:v>
      </x:c>
      <x:c r="G823" t="e">
        <x:f>IF($A823="","",[1]!thsiFinD("ths_adjustment_nv_fund",G$3,$A823))</x:f>
        <x:v>#NAME?</x:v>
      </x:c>
      <x:c r="H823" t="e">
        <x:f>IF($A823="","",[1]!thsiFinD("ths_adjustment_nv_fund",H$3,$A823))</x:f>
        <x:v>#NAME?</x:v>
      </x:c>
      <x:c r="I823" t="e">
        <x:f>IF($A823="","",[1]!thsiFinD("ths_adjustment_nv_fund",I$3,$A823))</x:f>
        <x:v>#NAME?</x:v>
      </x:c>
      <x:c r="J823" t="e">
        <x:f>IF($A823="","",[1]!thsiFinD("ths_adjustment_nv_fund",J$3,$A823))</x:f>
        <x:v>#NAME?</x:v>
      </x:c>
      <x:c r="K823" t="e">
        <x:f>IF($A823="","",[1]!thsiFinD("ths_adjustment_nv_fund",K$3,$A823))</x:f>
        <x:v>#NAME?</x:v>
      </x:c>
      <x:c r="L823" t="e">
        <x:f>IF($A823="","",[1]!thsiFinD("ths_adjustment_nv_fund",L$3,$A823))</x:f>
        <x:v>#NAME?</x:v>
      </x:c>
      <x:c r="M823" t="e">
        <x:f>IF($A823="","",[1]!thsiFinD("ths_adjustment_nv_fund",M$3,$A823))</x:f>
        <x:v>#NAME?</x:v>
      </x:c>
      <x:c r="N823" t="e">
        <x:f>IF($A823="","",[1]!thsiFinD("ths_adjustment_nv_fund",N$3,$A823))</x:f>
        <x:v>#NAME?</x:v>
      </x:c>
      <x:c r="O823" t="e">
        <x:f>IF($A823="","",[1]!thsiFinD("ths_adjustment_nv_fund",O$3,$A823))</x:f>
        <x:v>#NAME?</x:v>
      </x:c>
      <x:c r="P823" t="e">
        <x:f>IF($A823="","",[1]!thsiFinD("ths_adjustment_nv_fund",P$3,$A823))</x:f>
        <x:v>#NAME?</x:v>
      </x:c>
      <x:c r="Q823" t="e">
        <x:f>IF($A823="","",[1]!thsiFinD("ths_adjustment_nv_fund",Q$3,$A823))</x:f>
        <x:v>#NAME?</x:v>
      </x:c>
      <x:c r="R823" t="e">
        <x:f>IF($A823="","",[1]!thsiFinD("ths_adjustment_nv_fund",R$3,$A823))</x:f>
        <x:v>#NAME?</x:v>
      </x:c>
      <x:c r="S823" t="e">
        <x:f>IF($A823="","",[1]!thsiFinD("ths_adjustment_nv_fund",S$3,$A823))</x:f>
        <x:v>#NAME?</x:v>
      </x:c>
      <x:c r="T823" t="e">
        <x:f>IF($A823="","",[1]!thsiFinD("ths_adjustment_nv_fund",T$3,$A823))</x:f>
        <x:v>#NAME?</x:v>
      </x:c>
      <x:c r="U823" t="e">
        <x:f>IF($A823="","",[1]!thsiFinD("ths_adjustment_nv_fund",U$3,$A823))</x:f>
        <x:v>#NAME?</x:v>
      </x:c>
      <x:c r="V823" t="e">
        <x:f>IF($A823="","",[1]!thsiFinD("ths_adjustment_nv_fund",V$3,$A823))</x:f>
        <x:v>#NAME?</x:v>
      </x:c>
      <x:c r="W823" t="e">
        <x:f>IF($A823="","",[1]!thsiFinD("ths_adjustment_nv_fund",W$3,$A823))</x:f>
        <x:v>#NAME?</x:v>
      </x:c>
      <x:c r="X823" t="e">
        <x:f>IF($A823="","",[1]!thsiFinD("ths_adjustment_nv_fund",X$3,$A823))</x:f>
        <x:v>#NAME?</x:v>
      </x:c>
      <x:c r="Y823" t="e">
        <x:f>IF($A823="","",[1]!thsiFinD("ths_adjustment_nv_fund",Y$3,$A823))</x:f>
        <x:v>#NAME?</x:v>
      </x:c>
    </x:row>
    <x:row r="824">
      <x:c r="B824" t="e">
        <x:f>IF($A824="","",[1]!thsiFinD("ths_adjustment_nv_fund",B$3,$A824))</x:f>
        <x:v>#NAME?</x:v>
      </x:c>
      <x:c r="C824" t="e">
        <x:f>IF($A824="","",[1]!thsiFinD("ths_adjustment_nv_fund",C$3,$A824))</x:f>
        <x:v>#NAME?</x:v>
      </x:c>
      <x:c r="D824" t="e">
        <x:f>IF($A824="","",[1]!thsiFinD("ths_adjustment_nv_fund",D$3,$A824))</x:f>
        <x:v>#NAME?</x:v>
      </x:c>
      <x:c r="E824" t="e">
        <x:f>IF($A824="","",[1]!thsiFinD("ths_adjustment_nv_fund",E$3,$A824))</x:f>
        <x:v>#NAME?</x:v>
      </x:c>
      <x:c r="F824" t="e">
        <x:f>IF($A824="","",[1]!thsiFinD("ths_adjustment_nv_fund",F$3,$A824))</x:f>
        <x:v>#NAME?</x:v>
      </x:c>
      <x:c r="G824" t="e">
        <x:f>IF($A824="","",[1]!thsiFinD("ths_adjustment_nv_fund",G$3,$A824))</x:f>
        <x:v>#NAME?</x:v>
      </x:c>
      <x:c r="H824" t="e">
        <x:f>IF($A824="","",[1]!thsiFinD("ths_adjustment_nv_fund",H$3,$A824))</x:f>
        <x:v>#NAME?</x:v>
      </x:c>
      <x:c r="I824" t="e">
        <x:f>IF($A824="","",[1]!thsiFinD("ths_adjustment_nv_fund",I$3,$A824))</x:f>
        <x:v>#NAME?</x:v>
      </x:c>
      <x:c r="J824" t="e">
        <x:f>IF($A824="","",[1]!thsiFinD("ths_adjustment_nv_fund",J$3,$A824))</x:f>
        <x:v>#NAME?</x:v>
      </x:c>
      <x:c r="K824" t="e">
        <x:f>IF($A824="","",[1]!thsiFinD("ths_adjustment_nv_fund",K$3,$A824))</x:f>
        <x:v>#NAME?</x:v>
      </x:c>
      <x:c r="L824" t="e">
        <x:f>IF($A824="","",[1]!thsiFinD("ths_adjustment_nv_fund",L$3,$A824))</x:f>
        <x:v>#NAME?</x:v>
      </x:c>
      <x:c r="M824" t="e">
        <x:f>IF($A824="","",[1]!thsiFinD("ths_adjustment_nv_fund",M$3,$A824))</x:f>
        <x:v>#NAME?</x:v>
      </x:c>
      <x:c r="N824" t="e">
        <x:f>IF($A824="","",[1]!thsiFinD("ths_adjustment_nv_fund",N$3,$A824))</x:f>
        <x:v>#NAME?</x:v>
      </x:c>
      <x:c r="O824" t="e">
        <x:f>IF($A824="","",[1]!thsiFinD("ths_adjustment_nv_fund",O$3,$A824))</x:f>
        <x:v>#NAME?</x:v>
      </x:c>
      <x:c r="P824" t="e">
        <x:f>IF($A824="","",[1]!thsiFinD("ths_adjustment_nv_fund",P$3,$A824))</x:f>
        <x:v>#NAME?</x:v>
      </x:c>
      <x:c r="Q824" t="e">
        <x:f>IF($A824="","",[1]!thsiFinD("ths_adjustment_nv_fund",Q$3,$A824))</x:f>
        <x:v>#NAME?</x:v>
      </x:c>
      <x:c r="R824" t="e">
        <x:f>IF($A824="","",[1]!thsiFinD("ths_adjustment_nv_fund",R$3,$A824))</x:f>
        <x:v>#NAME?</x:v>
      </x:c>
      <x:c r="S824" t="e">
        <x:f>IF($A824="","",[1]!thsiFinD("ths_adjustment_nv_fund",S$3,$A824))</x:f>
        <x:v>#NAME?</x:v>
      </x:c>
      <x:c r="T824" t="e">
        <x:f>IF($A824="","",[1]!thsiFinD("ths_adjustment_nv_fund",T$3,$A824))</x:f>
        <x:v>#NAME?</x:v>
      </x:c>
      <x:c r="U824" t="e">
        <x:f>IF($A824="","",[1]!thsiFinD("ths_adjustment_nv_fund",U$3,$A824))</x:f>
        <x:v>#NAME?</x:v>
      </x:c>
      <x:c r="V824" t="e">
        <x:f>IF($A824="","",[1]!thsiFinD("ths_adjustment_nv_fund",V$3,$A824))</x:f>
        <x:v>#NAME?</x:v>
      </x:c>
      <x:c r="W824" t="e">
        <x:f>IF($A824="","",[1]!thsiFinD("ths_adjustment_nv_fund",W$3,$A824))</x:f>
        <x:v>#NAME?</x:v>
      </x:c>
      <x:c r="X824" t="e">
        <x:f>IF($A824="","",[1]!thsiFinD("ths_adjustment_nv_fund",X$3,$A824))</x:f>
        <x:v>#NAME?</x:v>
      </x:c>
      <x:c r="Y824" t="e">
        <x:f>IF($A824="","",[1]!thsiFinD("ths_adjustment_nv_fund",Y$3,$A824))</x:f>
        <x:v>#NAME?</x:v>
      </x:c>
    </x:row>
    <x:row r="825">
      <x:c r="B825" t="e">
        <x:f>IF($A825="","",[1]!thsiFinD("ths_adjustment_nv_fund",B$3,$A825))</x:f>
        <x:v>#NAME?</x:v>
      </x:c>
      <x:c r="C825" t="e">
        <x:f>IF($A825="","",[1]!thsiFinD("ths_adjustment_nv_fund",C$3,$A825))</x:f>
        <x:v>#NAME?</x:v>
      </x:c>
      <x:c r="D825" t="e">
        <x:f>IF($A825="","",[1]!thsiFinD("ths_adjustment_nv_fund",D$3,$A825))</x:f>
        <x:v>#NAME?</x:v>
      </x:c>
      <x:c r="E825" t="e">
        <x:f>IF($A825="","",[1]!thsiFinD("ths_adjustment_nv_fund",E$3,$A825))</x:f>
        <x:v>#NAME?</x:v>
      </x:c>
      <x:c r="F825" t="e">
        <x:f>IF($A825="","",[1]!thsiFinD("ths_adjustment_nv_fund",F$3,$A825))</x:f>
        <x:v>#NAME?</x:v>
      </x:c>
      <x:c r="G825" t="e">
        <x:f>IF($A825="","",[1]!thsiFinD("ths_adjustment_nv_fund",G$3,$A825))</x:f>
        <x:v>#NAME?</x:v>
      </x:c>
      <x:c r="H825" t="e">
        <x:f>IF($A825="","",[1]!thsiFinD("ths_adjustment_nv_fund",H$3,$A825))</x:f>
        <x:v>#NAME?</x:v>
      </x:c>
      <x:c r="I825" t="e">
        <x:f>IF($A825="","",[1]!thsiFinD("ths_adjustment_nv_fund",I$3,$A825))</x:f>
        <x:v>#NAME?</x:v>
      </x:c>
      <x:c r="J825" t="e">
        <x:f>IF($A825="","",[1]!thsiFinD("ths_adjustment_nv_fund",J$3,$A825))</x:f>
        <x:v>#NAME?</x:v>
      </x:c>
      <x:c r="K825" t="e">
        <x:f>IF($A825="","",[1]!thsiFinD("ths_adjustment_nv_fund",K$3,$A825))</x:f>
        <x:v>#NAME?</x:v>
      </x:c>
      <x:c r="L825" t="e">
        <x:f>IF($A825="","",[1]!thsiFinD("ths_adjustment_nv_fund",L$3,$A825))</x:f>
        <x:v>#NAME?</x:v>
      </x:c>
      <x:c r="M825" t="e">
        <x:f>IF($A825="","",[1]!thsiFinD("ths_adjustment_nv_fund",M$3,$A825))</x:f>
        <x:v>#NAME?</x:v>
      </x:c>
      <x:c r="N825" t="e">
        <x:f>IF($A825="","",[1]!thsiFinD("ths_adjustment_nv_fund",N$3,$A825))</x:f>
        <x:v>#NAME?</x:v>
      </x:c>
      <x:c r="O825" t="e">
        <x:f>IF($A825="","",[1]!thsiFinD("ths_adjustment_nv_fund",O$3,$A825))</x:f>
        <x:v>#NAME?</x:v>
      </x:c>
      <x:c r="P825" t="e">
        <x:f>IF($A825="","",[1]!thsiFinD("ths_adjustment_nv_fund",P$3,$A825))</x:f>
        <x:v>#NAME?</x:v>
      </x:c>
      <x:c r="Q825" t="e">
        <x:f>IF($A825="","",[1]!thsiFinD("ths_adjustment_nv_fund",Q$3,$A825))</x:f>
        <x:v>#NAME?</x:v>
      </x:c>
      <x:c r="R825" t="e">
        <x:f>IF($A825="","",[1]!thsiFinD("ths_adjustment_nv_fund",R$3,$A825))</x:f>
        <x:v>#NAME?</x:v>
      </x:c>
      <x:c r="S825" t="e">
        <x:f>IF($A825="","",[1]!thsiFinD("ths_adjustment_nv_fund",S$3,$A825))</x:f>
        <x:v>#NAME?</x:v>
      </x:c>
      <x:c r="T825" t="e">
        <x:f>IF($A825="","",[1]!thsiFinD("ths_adjustment_nv_fund",T$3,$A825))</x:f>
        <x:v>#NAME?</x:v>
      </x:c>
      <x:c r="U825" t="e">
        <x:f>IF($A825="","",[1]!thsiFinD("ths_adjustment_nv_fund",U$3,$A825))</x:f>
        <x:v>#NAME?</x:v>
      </x:c>
      <x:c r="V825" t="e">
        <x:f>IF($A825="","",[1]!thsiFinD("ths_adjustment_nv_fund",V$3,$A825))</x:f>
        <x:v>#NAME?</x:v>
      </x:c>
      <x:c r="W825" t="e">
        <x:f>IF($A825="","",[1]!thsiFinD("ths_adjustment_nv_fund",W$3,$A825))</x:f>
        <x:v>#NAME?</x:v>
      </x:c>
      <x:c r="X825" t="e">
        <x:f>IF($A825="","",[1]!thsiFinD("ths_adjustment_nv_fund",X$3,$A825))</x:f>
        <x:v>#NAME?</x:v>
      </x:c>
      <x:c r="Y825" t="e">
        <x:f>IF($A825="","",[1]!thsiFinD("ths_adjustment_nv_fund",Y$3,$A825))</x:f>
        <x:v>#NAME?</x:v>
      </x:c>
    </x:row>
    <x:row r="826">
      <x:c r="B826" t="e">
        <x:f>IF($A826="","",[1]!thsiFinD("ths_adjustment_nv_fund",B$3,$A826))</x:f>
        <x:v>#NAME?</x:v>
      </x:c>
      <x:c r="C826" t="e">
        <x:f>IF($A826="","",[1]!thsiFinD("ths_adjustment_nv_fund",C$3,$A826))</x:f>
        <x:v>#NAME?</x:v>
      </x:c>
      <x:c r="D826" t="e">
        <x:f>IF($A826="","",[1]!thsiFinD("ths_adjustment_nv_fund",D$3,$A826))</x:f>
        <x:v>#NAME?</x:v>
      </x:c>
      <x:c r="E826" t="e">
        <x:f>IF($A826="","",[1]!thsiFinD("ths_adjustment_nv_fund",E$3,$A826))</x:f>
        <x:v>#NAME?</x:v>
      </x:c>
      <x:c r="F826" t="e">
        <x:f>IF($A826="","",[1]!thsiFinD("ths_adjustment_nv_fund",F$3,$A826))</x:f>
        <x:v>#NAME?</x:v>
      </x:c>
      <x:c r="G826" t="e">
        <x:f>IF($A826="","",[1]!thsiFinD("ths_adjustment_nv_fund",G$3,$A826))</x:f>
        <x:v>#NAME?</x:v>
      </x:c>
      <x:c r="H826" t="e">
        <x:f>IF($A826="","",[1]!thsiFinD("ths_adjustment_nv_fund",H$3,$A826))</x:f>
        <x:v>#NAME?</x:v>
      </x:c>
      <x:c r="I826" t="e">
        <x:f>IF($A826="","",[1]!thsiFinD("ths_adjustment_nv_fund",I$3,$A826))</x:f>
        <x:v>#NAME?</x:v>
      </x:c>
      <x:c r="J826" t="e">
        <x:f>IF($A826="","",[1]!thsiFinD("ths_adjustment_nv_fund",J$3,$A826))</x:f>
        <x:v>#NAME?</x:v>
      </x:c>
      <x:c r="K826" t="e">
        <x:f>IF($A826="","",[1]!thsiFinD("ths_adjustment_nv_fund",K$3,$A826))</x:f>
        <x:v>#NAME?</x:v>
      </x:c>
      <x:c r="L826" t="e">
        <x:f>IF($A826="","",[1]!thsiFinD("ths_adjustment_nv_fund",L$3,$A826))</x:f>
        <x:v>#NAME?</x:v>
      </x:c>
      <x:c r="M826" t="e">
        <x:f>IF($A826="","",[1]!thsiFinD("ths_adjustment_nv_fund",M$3,$A826))</x:f>
        <x:v>#NAME?</x:v>
      </x:c>
      <x:c r="N826" t="e">
        <x:f>IF($A826="","",[1]!thsiFinD("ths_adjustment_nv_fund",N$3,$A826))</x:f>
        <x:v>#NAME?</x:v>
      </x:c>
      <x:c r="O826" t="e">
        <x:f>IF($A826="","",[1]!thsiFinD("ths_adjustment_nv_fund",O$3,$A826))</x:f>
        <x:v>#NAME?</x:v>
      </x:c>
      <x:c r="P826" t="e">
        <x:f>IF($A826="","",[1]!thsiFinD("ths_adjustment_nv_fund",P$3,$A826))</x:f>
        <x:v>#NAME?</x:v>
      </x:c>
      <x:c r="Q826" t="e">
        <x:f>IF($A826="","",[1]!thsiFinD("ths_adjustment_nv_fund",Q$3,$A826))</x:f>
        <x:v>#NAME?</x:v>
      </x:c>
      <x:c r="R826" t="e">
        <x:f>IF($A826="","",[1]!thsiFinD("ths_adjustment_nv_fund",R$3,$A826))</x:f>
        <x:v>#NAME?</x:v>
      </x:c>
      <x:c r="S826" t="e">
        <x:f>IF($A826="","",[1]!thsiFinD("ths_adjustment_nv_fund",S$3,$A826))</x:f>
        <x:v>#NAME?</x:v>
      </x:c>
      <x:c r="T826" t="e">
        <x:f>IF($A826="","",[1]!thsiFinD("ths_adjustment_nv_fund",T$3,$A826))</x:f>
        <x:v>#NAME?</x:v>
      </x:c>
      <x:c r="U826" t="e">
        <x:f>IF($A826="","",[1]!thsiFinD("ths_adjustment_nv_fund",U$3,$A826))</x:f>
        <x:v>#NAME?</x:v>
      </x:c>
      <x:c r="V826" t="e">
        <x:f>IF($A826="","",[1]!thsiFinD("ths_adjustment_nv_fund",V$3,$A826))</x:f>
        <x:v>#NAME?</x:v>
      </x:c>
      <x:c r="W826" t="e">
        <x:f>IF($A826="","",[1]!thsiFinD("ths_adjustment_nv_fund",W$3,$A826))</x:f>
        <x:v>#NAME?</x:v>
      </x:c>
      <x:c r="X826" t="e">
        <x:f>IF($A826="","",[1]!thsiFinD("ths_adjustment_nv_fund",X$3,$A826))</x:f>
        <x:v>#NAME?</x:v>
      </x:c>
      <x:c r="Y826" t="e">
        <x:f>IF($A826="","",[1]!thsiFinD("ths_adjustment_nv_fund",Y$3,$A826))</x:f>
        <x:v>#NAME?</x:v>
      </x:c>
    </x:row>
    <x:row r="827">
      <x:c r="B827" t="e">
        <x:f>IF($A827="","",[1]!thsiFinD("ths_adjustment_nv_fund",B$3,$A827))</x:f>
        <x:v>#NAME?</x:v>
      </x:c>
      <x:c r="C827" t="e">
        <x:f>IF($A827="","",[1]!thsiFinD("ths_adjustment_nv_fund",C$3,$A827))</x:f>
        <x:v>#NAME?</x:v>
      </x:c>
      <x:c r="D827" t="e">
        <x:f>IF($A827="","",[1]!thsiFinD("ths_adjustment_nv_fund",D$3,$A827))</x:f>
        <x:v>#NAME?</x:v>
      </x:c>
      <x:c r="E827" t="e">
        <x:f>IF($A827="","",[1]!thsiFinD("ths_adjustment_nv_fund",E$3,$A827))</x:f>
        <x:v>#NAME?</x:v>
      </x:c>
      <x:c r="F827" t="e">
        <x:f>IF($A827="","",[1]!thsiFinD("ths_adjustment_nv_fund",F$3,$A827))</x:f>
        <x:v>#NAME?</x:v>
      </x:c>
      <x:c r="G827" t="e">
        <x:f>IF($A827="","",[1]!thsiFinD("ths_adjustment_nv_fund",G$3,$A827))</x:f>
        <x:v>#NAME?</x:v>
      </x:c>
      <x:c r="H827" t="e">
        <x:f>IF($A827="","",[1]!thsiFinD("ths_adjustment_nv_fund",H$3,$A827))</x:f>
        <x:v>#NAME?</x:v>
      </x:c>
      <x:c r="I827" t="e">
        <x:f>IF($A827="","",[1]!thsiFinD("ths_adjustment_nv_fund",I$3,$A827))</x:f>
        <x:v>#NAME?</x:v>
      </x:c>
      <x:c r="J827" t="e">
        <x:f>IF($A827="","",[1]!thsiFinD("ths_adjustment_nv_fund",J$3,$A827))</x:f>
        <x:v>#NAME?</x:v>
      </x:c>
      <x:c r="K827" t="e">
        <x:f>IF($A827="","",[1]!thsiFinD("ths_adjustment_nv_fund",K$3,$A827))</x:f>
        <x:v>#NAME?</x:v>
      </x:c>
      <x:c r="L827" t="e">
        <x:f>IF($A827="","",[1]!thsiFinD("ths_adjustment_nv_fund",L$3,$A827))</x:f>
        <x:v>#NAME?</x:v>
      </x:c>
      <x:c r="M827" t="e">
        <x:f>IF($A827="","",[1]!thsiFinD("ths_adjustment_nv_fund",M$3,$A827))</x:f>
        <x:v>#NAME?</x:v>
      </x:c>
      <x:c r="N827" t="e">
        <x:f>IF($A827="","",[1]!thsiFinD("ths_adjustment_nv_fund",N$3,$A827))</x:f>
        <x:v>#NAME?</x:v>
      </x:c>
      <x:c r="O827" t="e">
        <x:f>IF($A827="","",[1]!thsiFinD("ths_adjustment_nv_fund",O$3,$A827))</x:f>
        <x:v>#NAME?</x:v>
      </x:c>
      <x:c r="P827" t="e">
        <x:f>IF($A827="","",[1]!thsiFinD("ths_adjustment_nv_fund",P$3,$A827))</x:f>
        <x:v>#NAME?</x:v>
      </x:c>
      <x:c r="Q827" t="e">
        <x:f>IF($A827="","",[1]!thsiFinD("ths_adjustment_nv_fund",Q$3,$A827))</x:f>
        <x:v>#NAME?</x:v>
      </x:c>
      <x:c r="R827" t="e">
        <x:f>IF($A827="","",[1]!thsiFinD("ths_adjustment_nv_fund",R$3,$A827))</x:f>
        <x:v>#NAME?</x:v>
      </x:c>
      <x:c r="S827" t="e">
        <x:f>IF($A827="","",[1]!thsiFinD("ths_adjustment_nv_fund",S$3,$A827))</x:f>
        <x:v>#NAME?</x:v>
      </x:c>
      <x:c r="T827" t="e">
        <x:f>IF($A827="","",[1]!thsiFinD("ths_adjustment_nv_fund",T$3,$A827))</x:f>
        <x:v>#NAME?</x:v>
      </x:c>
      <x:c r="U827" t="e">
        <x:f>IF($A827="","",[1]!thsiFinD("ths_adjustment_nv_fund",U$3,$A827))</x:f>
        <x:v>#NAME?</x:v>
      </x:c>
      <x:c r="V827" t="e">
        <x:f>IF($A827="","",[1]!thsiFinD("ths_adjustment_nv_fund",V$3,$A827))</x:f>
        <x:v>#NAME?</x:v>
      </x:c>
      <x:c r="W827" t="e">
        <x:f>IF($A827="","",[1]!thsiFinD("ths_adjustment_nv_fund",W$3,$A827))</x:f>
        <x:v>#NAME?</x:v>
      </x:c>
      <x:c r="X827" t="e">
        <x:f>IF($A827="","",[1]!thsiFinD("ths_adjustment_nv_fund",X$3,$A827))</x:f>
        <x:v>#NAME?</x:v>
      </x:c>
      <x:c r="Y827" t="e">
        <x:f>IF($A827="","",[1]!thsiFinD("ths_adjustment_nv_fund",Y$3,$A827))</x:f>
        <x:v>#NAME?</x:v>
      </x:c>
    </x:row>
    <x:row r="828">
      <x:c r="B828" t="e">
        <x:f>IF($A828="","",[1]!thsiFinD("ths_adjustment_nv_fund",B$3,$A828))</x:f>
        <x:v>#NAME?</x:v>
      </x:c>
      <x:c r="C828" t="e">
        <x:f>IF($A828="","",[1]!thsiFinD("ths_adjustment_nv_fund",C$3,$A828))</x:f>
        <x:v>#NAME?</x:v>
      </x:c>
      <x:c r="D828" t="e">
        <x:f>IF($A828="","",[1]!thsiFinD("ths_adjustment_nv_fund",D$3,$A828))</x:f>
        <x:v>#NAME?</x:v>
      </x:c>
      <x:c r="E828" t="e">
        <x:f>IF($A828="","",[1]!thsiFinD("ths_adjustment_nv_fund",E$3,$A828))</x:f>
        <x:v>#NAME?</x:v>
      </x:c>
      <x:c r="F828" t="e">
        <x:f>IF($A828="","",[1]!thsiFinD("ths_adjustment_nv_fund",F$3,$A828))</x:f>
        <x:v>#NAME?</x:v>
      </x:c>
      <x:c r="G828" t="e">
        <x:f>IF($A828="","",[1]!thsiFinD("ths_adjustment_nv_fund",G$3,$A828))</x:f>
        <x:v>#NAME?</x:v>
      </x:c>
      <x:c r="H828" t="e">
        <x:f>IF($A828="","",[1]!thsiFinD("ths_adjustment_nv_fund",H$3,$A828))</x:f>
        <x:v>#NAME?</x:v>
      </x:c>
      <x:c r="I828" t="e">
        <x:f>IF($A828="","",[1]!thsiFinD("ths_adjustment_nv_fund",I$3,$A828))</x:f>
        <x:v>#NAME?</x:v>
      </x:c>
      <x:c r="J828" t="e">
        <x:f>IF($A828="","",[1]!thsiFinD("ths_adjustment_nv_fund",J$3,$A828))</x:f>
        <x:v>#NAME?</x:v>
      </x:c>
      <x:c r="K828" t="e">
        <x:f>IF($A828="","",[1]!thsiFinD("ths_adjustment_nv_fund",K$3,$A828))</x:f>
        <x:v>#NAME?</x:v>
      </x:c>
      <x:c r="L828" t="e">
        <x:f>IF($A828="","",[1]!thsiFinD("ths_adjustment_nv_fund",L$3,$A828))</x:f>
        <x:v>#NAME?</x:v>
      </x:c>
      <x:c r="M828" t="e">
        <x:f>IF($A828="","",[1]!thsiFinD("ths_adjustment_nv_fund",M$3,$A828))</x:f>
        <x:v>#NAME?</x:v>
      </x:c>
      <x:c r="N828" t="e">
        <x:f>IF($A828="","",[1]!thsiFinD("ths_adjustment_nv_fund",N$3,$A828))</x:f>
        <x:v>#NAME?</x:v>
      </x:c>
      <x:c r="O828" t="e">
        <x:f>IF($A828="","",[1]!thsiFinD("ths_adjustment_nv_fund",O$3,$A828))</x:f>
        <x:v>#NAME?</x:v>
      </x:c>
      <x:c r="P828" t="e">
        <x:f>IF($A828="","",[1]!thsiFinD("ths_adjustment_nv_fund",P$3,$A828))</x:f>
        <x:v>#NAME?</x:v>
      </x:c>
      <x:c r="Q828" t="e">
        <x:f>IF($A828="","",[1]!thsiFinD("ths_adjustment_nv_fund",Q$3,$A828))</x:f>
        <x:v>#NAME?</x:v>
      </x:c>
      <x:c r="R828" t="e">
        <x:f>IF($A828="","",[1]!thsiFinD("ths_adjustment_nv_fund",R$3,$A828))</x:f>
        <x:v>#NAME?</x:v>
      </x:c>
      <x:c r="S828" t="e">
        <x:f>IF($A828="","",[1]!thsiFinD("ths_adjustment_nv_fund",S$3,$A828))</x:f>
        <x:v>#NAME?</x:v>
      </x:c>
      <x:c r="T828" t="e">
        <x:f>IF($A828="","",[1]!thsiFinD("ths_adjustment_nv_fund",T$3,$A828))</x:f>
        <x:v>#NAME?</x:v>
      </x:c>
      <x:c r="U828" t="e">
        <x:f>IF($A828="","",[1]!thsiFinD("ths_adjustment_nv_fund",U$3,$A828))</x:f>
        <x:v>#NAME?</x:v>
      </x:c>
      <x:c r="V828" t="e">
        <x:f>IF($A828="","",[1]!thsiFinD("ths_adjustment_nv_fund",V$3,$A828))</x:f>
        <x:v>#NAME?</x:v>
      </x:c>
      <x:c r="W828" t="e">
        <x:f>IF($A828="","",[1]!thsiFinD("ths_adjustment_nv_fund",W$3,$A828))</x:f>
        <x:v>#NAME?</x:v>
      </x:c>
      <x:c r="X828" t="e">
        <x:f>IF($A828="","",[1]!thsiFinD("ths_adjustment_nv_fund",X$3,$A828))</x:f>
        <x:v>#NAME?</x:v>
      </x:c>
      <x:c r="Y828" t="e">
        <x:f>IF($A828="","",[1]!thsiFinD("ths_adjustment_nv_fund",Y$3,$A828))</x:f>
        <x:v>#NAME?</x:v>
      </x:c>
    </x:row>
    <x:row r="829">
      <x:c r="B829" t="e">
        <x:f>IF($A829="","",[1]!thsiFinD("ths_adjustment_nv_fund",B$3,$A829))</x:f>
        <x:v>#NAME?</x:v>
      </x:c>
      <x:c r="C829" t="e">
        <x:f>IF($A829="","",[1]!thsiFinD("ths_adjustment_nv_fund",C$3,$A829))</x:f>
        <x:v>#NAME?</x:v>
      </x:c>
      <x:c r="D829" t="e">
        <x:f>IF($A829="","",[1]!thsiFinD("ths_adjustment_nv_fund",D$3,$A829))</x:f>
        <x:v>#NAME?</x:v>
      </x:c>
      <x:c r="E829" t="e">
        <x:f>IF($A829="","",[1]!thsiFinD("ths_adjustment_nv_fund",E$3,$A829))</x:f>
        <x:v>#NAME?</x:v>
      </x:c>
      <x:c r="F829" t="e">
        <x:f>IF($A829="","",[1]!thsiFinD("ths_adjustment_nv_fund",F$3,$A829))</x:f>
        <x:v>#NAME?</x:v>
      </x:c>
      <x:c r="G829" t="e">
        <x:f>IF($A829="","",[1]!thsiFinD("ths_adjustment_nv_fund",G$3,$A829))</x:f>
        <x:v>#NAME?</x:v>
      </x:c>
      <x:c r="H829" t="e">
        <x:f>IF($A829="","",[1]!thsiFinD("ths_adjustment_nv_fund",H$3,$A829))</x:f>
        <x:v>#NAME?</x:v>
      </x:c>
      <x:c r="I829" t="e">
        <x:f>IF($A829="","",[1]!thsiFinD("ths_adjustment_nv_fund",I$3,$A829))</x:f>
        <x:v>#NAME?</x:v>
      </x:c>
      <x:c r="J829" t="e">
        <x:f>IF($A829="","",[1]!thsiFinD("ths_adjustment_nv_fund",J$3,$A829))</x:f>
        <x:v>#NAME?</x:v>
      </x:c>
      <x:c r="K829" t="e">
        <x:f>IF($A829="","",[1]!thsiFinD("ths_adjustment_nv_fund",K$3,$A829))</x:f>
        <x:v>#NAME?</x:v>
      </x:c>
      <x:c r="L829" t="e">
        <x:f>IF($A829="","",[1]!thsiFinD("ths_adjustment_nv_fund",L$3,$A829))</x:f>
        <x:v>#NAME?</x:v>
      </x:c>
      <x:c r="M829" t="e">
        <x:f>IF($A829="","",[1]!thsiFinD("ths_adjustment_nv_fund",M$3,$A829))</x:f>
        <x:v>#NAME?</x:v>
      </x:c>
      <x:c r="N829" t="e">
        <x:f>IF($A829="","",[1]!thsiFinD("ths_adjustment_nv_fund",N$3,$A829))</x:f>
        <x:v>#NAME?</x:v>
      </x:c>
      <x:c r="O829" t="e">
        <x:f>IF($A829="","",[1]!thsiFinD("ths_adjustment_nv_fund",O$3,$A829))</x:f>
        <x:v>#NAME?</x:v>
      </x:c>
      <x:c r="P829" t="e">
        <x:f>IF($A829="","",[1]!thsiFinD("ths_adjustment_nv_fund",P$3,$A829))</x:f>
        <x:v>#NAME?</x:v>
      </x:c>
      <x:c r="Q829" t="e">
        <x:f>IF($A829="","",[1]!thsiFinD("ths_adjustment_nv_fund",Q$3,$A829))</x:f>
        <x:v>#NAME?</x:v>
      </x:c>
      <x:c r="R829" t="e">
        <x:f>IF($A829="","",[1]!thsiFinD("ths_adjustment_nv_fund",R$3,$A829))</x:f>
        <x:v>#NAME?</x:v>
      </x:c>
      <x:c r="S829" t="e">
        <x:f>IF($A829="","",[1]!thsiFinD("ths_adjustment_nv_fund",S$3,$A829))</x:f>
        <x:v>#NAME?</x:v>
      </x:c>
      <x:c r="T829" t="e">
        <x:f>IF($A829="","",[1]!thsiFinD("ths_adjustment_nv_fund",T$3,$A829))</x:f>
        <x:v>#NAME?</x:v>
      </x:c>
      <x:c r="U829" t="e">
        <x:f>IF($A829="","",[1]!thsiFinD("ths_adjustment_nv_fund",U$3,$A829))</x:f>
        <x:v>#NAME?</x:v>
      </x:c>
      <x:c r="V829" t="e">
        <x:f>IF($A829="","",[1]!thsiFinD("ths_adjustment_nv_fund",V$3,$A829))</x:f>
        <x:v>#NAME?</x:v>
      </x:c>
      <x:c r="W829" t="e">
        <x:f>IF($A829="","",[1]!thsiFinD("ths_adjustment_nv_fund",W$3,$A829))</x:f>
        <x:v>#NAME?</x:v>
      </x:c>
      <x:c r="X829" t="e">
        <x:f>IF($A829="","",[1]!thsiFinD("ths_adjustment_nv_fund",X$3,$A829))</x:f>
        <x:v>#NAME?</x:v>
      </x:c>
      <x:c r="Y829" t="e">
        <x:f>IF($A829="","",[1]!thsiFinD("ths_adjustment_nv_fund",Y$3,$A829))</x:f>
        <x:v>#NAME?</x:v>
      </x:c>
    </x:row>
    <x:row r="830">
      <x:c r="B830" t="e">
        <x:f>IF($A830="","",[1]!thsiFinD("ths_adjustment_nv_fund",B$3,$A830))</x:f>
        <x:v>#NAME?</x:v>
      </x:c>
      <x:c r="C830" t="e">
        <x:f>IF($A830="","",[1]!thsiFinD("ths_adjustment_nv_fund",C$3,$A830))</x:f>
        <x:v>#NAME?</x:v>
      </x:c>
      <x:c r="D830" t="e">
        <x:f>IF($A830="","",[1]!thsiFinD("ths_adjustment_nv_fund",D$3,$A830))</x:f>
        <x:v>#NAME?</x:v>
      </x:c>
      <x:c r="E830" t="e">
        <x:f>IF($A830="","",[1]!thsiFinD("ths_adjustment_nv_fund",E$3,$A830))</x:f>
        <x:v>#NAME?</x:v>
      </x:c>
      <x:c r="F830" t="e">
        <x:f>IF($A830="","",[1]!thsiFinD("ths_adjustment_nv_fund",F$3,$A830))</x:f>
        <x:v>#NAME?</x:v>
      </x:c>
      <x:c r="G830" t="e">
        <x:f>IF($A830="","",[1]!thsiFinD("ths_adjustment_nv_fund",G$3,$A830))</x:f>
        <x:v>#NAME?</x:v>
      </x:c>
      <x:c r="H830" t="e">
        <x:f>IF($A830="","",[1]!thsiFinD("ths_adjustment_nv_fund",H$3,$A830))</x:f>
        <x:v>#NAME?</x:v>
      </x:c>
      <x:c r="I830" t="e">
        <x:f>IF($A830="","",[1]!thsiFinD("ths_adjustment_nv_fund",I$3,$A830))</x:f>
        <x:v>#NAME?</x:v>
      </x:c>
      <x:c r="J830" t="e">
        <x:f>IF($A830="","",[1]!thsiFinD("ths_adjustment_nv_fund",J$3,$A830))</x:f>
        <x:v>#NAME?</x:v>
      </x:c>
      <x:c r="K830" t="e">
        <x:f>IF($A830="","",[1]!thsiFinD("ths_adjustment_nv_fund",K$3,$A830))</x:f>
        <x:v>#NAME?</x:v>
      </x:c>
      <x:c r="L830" t="e">
        <x:f>IF($A830="","",[1]!thsiFinD("ths_adjustment_nv_fund",L$3,$A830))</x:f>
        <x:v>#NAME?</x:v>
      </x:c>
      <x:c r="M830" t="e">
        <x:f>IF($A830="","",[1]!thsiFinD("ths_adjustment_nv_fund",M$3,$A830))</x:f>
        <x:v>#NAME?</x:v>
      </x:c>
      <x:c r="N830" t="e">
        <x:f>IF($A830="","",[1]!thsiFinD("ths_adjustment_nv_fund",N$3,$A830))</x:f>
        <x:v>#NAME?</x:v>
      </x:c>
      <x:c r="O830" t="e">
        <x:f>IF($A830="","",[1]!thsiFinD("ths_adjustment_nv_fund",O$3,$A830))</x:f>
        <x:v>#NAME?</x:v>
      </x:c>
      <x:c r="P830" t="e">
        <x:f>IF($A830="","",[1]!thsiFinD("ths_adjustment_nv_fund",P$3,$A830))</x:f>
        <x:v>#NAME?</x:v>
      </x:c>
      <x:c r="Q830" t="e">
        <x:f>IF($A830="","",[1]!thsiFinD("ths_adjustment_nv_fund",Q$3,$A830))</x:f>
        <x:v>#NAME?</x:v>
      </x:c>
      <x:c r="R830" t="e">
        <x:f>IF($A830="","",[1]!thsiFinD("ths_adjustment_nv_fund",R$3,$A830))</x:f>
        <x:v>#NAME?</x:v>
      </x:c>
      <x:c r="S830" t="e">
        <x:f>IF($A830="","",[1]!thsiFinD("ths_adjustment_nv_fund",S$3,$A830))</x:f>
        <x:v>#NAME?</x:v>
      </x:c>
      <x:c r="T830" t="e">
        <x:f>IF($A830="","",[1]!thsiFinD("ths_adjustment_nv_fund",T$3,$A830))</x:f>
        <x:v>#NAME?</x:v>
      </x:c>
      <x:c r="U830" t="e">
        <x:f>IF($A830="","",[1]!thsiFinD("ths_adjustment_nv_fund",U$3,$A830))</x:f>
        <x:v>#NAME?</x:v>
      </x:c>
      <x:c r="V830" t="e">
        <x:f>IF($A830="","",[1]!thsiFinD("ths_adjustment_nv_fund",V$3,$A830))</x:f>
        <x:v>#NAME?</x:v>
      </x:c>
      <x:c r="W830" t="e">
        <x:f>IF($A830="","",[1]!thsiFinD("ths_adjustment_nv_fund",W$3,$A830))</x:f>
        <x:v>#NAME?</x:v>
      </x:c>
      <x:c r="X830" t="e">
        <x:f>IF($A830="","",[1]!thsiFinD("ths_adjustment_nv_fund",X$3,$A830))</x:f>
        <x:v>#NAME?</x:v>
      </x:c>
      <x:c r="Y830" t="e">
        <x:f>IF($A830="","",[1]!thsiFinD("ths_adjustment_nv_fund",Y$3,$A830))</x:f>
        <x:v>#NAME?</x:v>
      </x:c>
    </x:row>
    <x:row r="831">
      <x:c r="B831" t="e">
        <x:f>IF($A831="","",[1]!thsiFinD("ths_adjustment_nv_fund",B$3,$A831))</x:f>
        <x:v>#NAME?</x:v>
      </x:c>
      <x:c r="C831" t="e">
        <x:f>IF($A831="","",[1]!thsiFinD("ths_adjustment_nv_fund",C$3,$A831))</x:f>
        <x:v>#NAME?</x:v>
      </x:c>
      <x:c r="D831" t="e">
        <x:f>IF($A831="","",[1]!thsiFinD("ths_adjustment_nv_fund",D$3,$A831))</x:f>
        <x:v>#NAME?</x:v>
      </x:c>
      <x:c r="E831" t="e">
        <x:f>IF($A831="","",[1]!thsiFinD("ths_adjustment_nv_fund",E$3,$A831))</x:f>
        <x:v>#NAME?</x:v>
      </x:c>
      <x:c r="F831" t="e">
        <x:f>IF($A831="","",[1]!thsiFinD("ths_adjustment_nv_fund",F$3,$A831))</x:f>
        <x:v>#NAME?</x:v>
      </x:c>
      <x:c r="G831" t="e">
        <x:f>IF($A831="","",[1]!thsiFinD("ths_adjustment_nv_fund",G$3,$A831))</x:f>
        <x:v>#NAME?</x:v>
      </x:c>
      <x:c r="H831" t="e">
        <x:f>IF($A831="","",[1]!thsiFinD("ths_adjustment_nv_fund",H$3,$A831))</x:f>
        <x:v>#NAME?</x:v>
      </x:c>
      <x:c r="I831" t="e">
        <x:f>IF($A831="","",[1]!thsiFinD("ths_adjustment_nv_fund",I$3,$A831))</x:f>
        <x:v>#NAME?</x:v>
      </x:c>
      <x:c r="J831" t="e">
        <x:f>IF($A831="","",[1]!thsiFinD("ths_adjustment_nv_fund",J$3,$A831))</x:f>
        <x:v>#NAME?</x:v>
      </x:c>
      <x:c r="K831" t="e">
        <x:f>IF($A831="","",[1]!thsiFinD("ths_adjustment_nv_fund",K$3,$A831))</x:f>
        <x:v>#NAME?</x:v>
      </x:c>
      <x:c r="L831" t="e">
        <x:f>IF($A831="","",[1]!thsiFinD("ths_adjustment_nv_fund",L$3,$A831))</x:f>
        <x:v>#NAME?</x:v>
      </x:c>
      <x:c r="M831" t="e">
        <x:f>IF($A831="","",[1]!thsiFinD("ths_adjustment_nv_fund",M$3,$A831))</x:f>
        <x:v>#NAME?</x:v>
      </x:c>
      <x:c r="N831" t="e">
        <x:f>IF($A831="","",[1]!thsiFinD("ths_adjustment_nv_fund",N$3,$A831))</x:f>
        <x:v>#NAME?</x:v>
      </x:c>
      <x:c r="O831" t="e">
        <x:f>IF($A831="","",[1]!thsiFinD("ths_adjustment_nv_fund",O$3,$A831))</x:f>
        <x:v>#NAME?</x:v>
      </x:c>
      <x:c r="P831" t="e">
        <x:f>IF($A831="","",[1]!thsiFinD("ths_adjustment_nv_fund",P$3,$A831))</x:f>
        <x:v>#NAME?</x:v>
      </x:c>
      <x:c r="Q831" t="e">
        <x:f>IF($A831="","",[1]!thsiFinD("ths_adjustment_nv_fund",Q$3,$A831))</x:f>
        <x:v>#NAME?</x:v>
      </x:c>
      <x:c r="R831" t="e">
        <x:f>IF($A831="","",[1]!thsiFinD("ths_adjustment_nv_fund",R$3,$A831))</x:f>
        <x:v>#NAME?</x:v>
      </x:c>
      <x:c r="S831" t="e">
        <x:f>IF($A831="","",[1]!thsiFinD("ths_adjustment_nv_fund",S$3,$A831))</x:f>
        <x:v>#NAME?</x:v>
      </x:c>
      <x:c r="T831" t="e">
        <x:f>IF($A831="","",[1]!thsiFinD("ths_adjustment_nv_fund",T$3,$A831))</x:f>
        <x:v>#NAME?</x:v>
      </x:c>
      <x:c r="U831" t="e">
        <x:f>IF($A831="","",[1]!thsiFinD("ths_adjustment_nv_fund",U$3,$A831))</x:f>
        <x:v>#NAME?</x:v>
      </x:c>
      <x:c r="V831" t="e">
        <x:f>IF($A831="","",[1]!thsiFinD("ths_adjustment_nv_fund",V$3,$A831))</x:f>
        <x:v>#NAME?</x:v>
      </x:c>
      <x:c r="W831" t="e">
        <x:f>IF($A831="","",[1]!thsiFinD("ths_adjustment_nv_fund",W$3,$A831))</x:f>
        <x:v>#NAME?</x:v>
      </x:c>
      <x:c r="X831" t="e">
        <x:f>IF($A831="","",[1]!thsiFinD("ths_adjustment_nv_fund",X$3,$A831))</x:f>
        <x:v>#NAME?</x:v>
      </x:c>
      <x:c r="Y831" t="e">
        <x:f>IF($A831="","",[1]!thsiFinD("ths_adjustment_nv_fund",Y$3,$A831))</x:f>
        <x:v>#NAME?</x:v>
      </x:c>
    </x:row>
    <x:row r="832">
      <x:c r="B832" t="e">
        <x:f>IF($A832="","",[1]!thsiFinD("ths_adjustment_nv_fund",B$3,$A832))</x:f>
        <x:v>#NAME?</x:v>
      </x:c>
      <x:c r="C832" t="e">
        <x:f>IF($A832="","",[1]!thsiFinD("ths_adjustment_nv_fund",C$3,$A832))</x:f>
        <x:v>#NAME?</x:v>
      </x:c>
      <x:c r="D832" t="e">
        <x:f>IF($A832="","",[1]!thsiFinD("ths_adjustment_nv_fund",D$3,$A832))</x:f>
        <x:v>#NAME?</x:v>
      </x:c>
      <x:c r="E832" t="e">
        <x:f>IF($A832="","",[1]!thsiFinD("ths_adjustment_nv_fund",E$3,$A832))</x:f>
        <x:v>#NAME?</x:v>
      </x:c>
      <x:c r="F832" t="e">
        <x:f>IF($A832="","",[1]!thsiFinD("ths_adjustment_nv_fund",F$3,$A832))</x:f>
        <x:v>#NAME?</x:v>
      </x:c>
      <x:c r="G832" t="e">
        <x:f>IF($A832="","",[1]!thsiFinD("ths_adjustment_nv_fund",G$3,$A832))</x:f>
        <x:v>#NAME?</x:v>
      </x:c>
      <x:c r="H832" t="e">
        <x:f>IF($A832="","",[1]!thsiFinD("ths_adjustment_nv_fund",H$3,$A832))</x:f>
        <x:v>#NAME?</x:v>
      </x:c>
      <x:c r="I832" t="e">
        <x:f>IF($A832="","",[1]!thsiFinD("ths_adjustment_nv_fund",I$3,$A832))</x:f>
        <x:v>#NAME?</x:v>
      </x:c>
      <x:c r="J832" t="e">
        <x:f>IF($A832="","",[1]!thsiFinD("ths_adjustment_nv_fund",J$3,$A832))</x:f>
        <x:v>#NAME?</x:v>
      </x:c>
      <x:c r="K832" t="e">
        <x:f>IF($A832="","",[1]!thsiFinD("ths_adjustment_nv_fund",K$3,$A832))</x:f>
        <x:v>#NAME?</x:v>
      </x:c>
      <x:c r="L832" t="e">
        <x:f>IF($A832="","",[1]!thsiFinD("ths_adjustment_nv_fund",L$3,$A832))</x:f>
        <x:v>#NAME?</x:v>
      </x:c>
      <x:c r="M832" t="e">
        <x:f>IF($A832="","",[1]!thsiFinD("ths_adjustment_nv_fund",M$3,$A832))</x:f>
        <x:v>#NAME?</x:v>
      </x:c>
      <x:c r="N832" t="e">
        <x:f>IF($A832="","",[1]!thsiFinD("ths_adjustment_nv_fund",N$3,$A832))</x:f>
        <x:v>#NAME?</x:v>
      </x:c>
      <x:c r="O832" t="e">
        <x:f>IF($A832="","",[1]!thsiFinD("ths_adjustment_nv_fund",O$3,$A832))</x:f>
        <x:v>#NAME?</x:v>
      </x:c>
      <x:c r="P832" t="e">
        <x:f>IF($A832="","",[1]!thsiFinD("ths_adjustment_nv_fund",P$3,$A832))</x:f>
        <x:v>#NAME?</x:v>
      </x:c>
      <x:c r="Q832" t="e">
        <x:f>IF($A832="","",[1]!thsiFinD("ths_adjustment_nv_fund",Q$3,$A832))</x:f>
        <x:v>#NAME?</x:v>
      </x:c>
      <x:c r="R832" t="e">
        <x:f>IF($A832="","",[1]!thsiFinD("ths_adjustment_nv_fund",R$3,$A832))</x:f>
        <x:v>#NAME?</x:v>
      </x:c>
      <x:c r="S832" t="e">
        <x:f>IF($A832="","",[1]!thsiFinD("ths_adjustment_nv_fund",S$3,$A832))</x:f>
        <x:v>#NAME?</x:v>
      </x:c>
      <x:c r="T832" t="e">
        <x:f>IF($A832="","",[1]!thsiFinD("ths_adjustment_nv_fund",T$3,$A832))</x:f>
        <x:v>#NAME?</x:v>
      </x:c>
      <x:c r="U832" t="e">
        <x:f>IF($A832="","",[1]!thsiFinD("ths_adjustment_nv_fund",U$3,$A832))</x:f>
        <x:v>#NAME?</x:v>
      </x:c>
      <x:c r="V832" t="e">
        <x:f>IF($A832="","",[1]!thsiFinD("ths_adjustment_nv_fund",V$3,$A832))</x:f>
        <x:v>#NAME?</x:v>
      </x:c>
      <x:c r="W832" t="e">
        <x:f>IF($A832="","",[1]!thsiFinD("ths_adjustment_nv_fund",W$3,$A832))</x:f>
        <x:v>#NAME?</x:v>
      </x:c>
      <x:c r="X832" t="e">
        <x:f>IF($A832="","",[1]!thsiFinD("ths_adjustment_nv_fund",X$3,$A832))</x:f>
        <x:v>#NAME?</x:v>
      </x:c>
      <x:c r="Y832" t="e">
        <x:f>IF($A832="","",[1]!thsiFinD("ths_adjustment_nv_fund",Y$3,$A832))</x:f>
        <x:v>#NAME?</x:v>
      </x:c>
    </x:row>
    <x:row r="833">
      <x:c r="B833" t="e">
        <x:f>IF($A833="","",[1]!thsiFinD("ths_adjustment_nv_fund",B$3,$A833))</x:f>
        <x:v>#NAME?</x:v>
      </x:c>
      <x:c r="C833" t="e">
        <x:f>IF($A833="","",[1]!thsiFinD("ths_adjustment_nv_fund",C$3,$A833))</x:f>
        <x:v>#NAME?</x:v>
      </x:c>
      <x:c r="D833" t="e">
        <x:f>IF($A833="","",[1]!thsiFinD("ths_adjustment_nv_fund",D$3,$A833))</x:f>
        <x:v>#NAME?</x:v>
      </x:c>
      <x:c r="E833" t="e">
        <x:f>IF($A833="","",[1]!thsiFinD("ths_adjustment_nv_fund",E$3,$A833))</x:f>
        <x:v>#NAME?</x:v>
      </x:c>
      <x:c r="F833" t="e">
        <x:f>IF($A833="","",[1]!thsiFinD("ths_adjustment_nv_fund",F$3,$A833))</x:f>
        <x:v>#NAME?</x:v>
      </x:c>
      <x:c r="G833" t="e">
        <x:f>IF($A833="","",[1]!thsiFinD("ths_adjustment_nv_fund",G$3,$A833))</x:f>
        <x:v>#NAME?</x:v>
      </x:c>
      <x:c r="H833" t="e">
        <x:f>IF($A833="","",[1]!thsiFinD("ths_adjustment_nv_fund",H$3,$A833))</x:f>
        <x:v>#NAME?</x:v>
      </x:c>
      <x:c r="I833" t="e">
        <x:f>IF($A833="","",[1]!thsiFinD("ths_adjustment_nv_fund",I$3,$A833))</x:f>
        <x:v>#NAME?</x:v>
      </x:c>
      <x:c r="J833" t="e">
        <x:f>IF($A833="","",[1]!thsiFinD("ths_adjustment_nv_fund",J$3,$A833))</x:f>
        <x:v>#NAME?</x:v>
      </x:c>
      <x:c r="K833" t="e">
        <x:f>IF($A833="","",[1]!thsiFinD("ths_adjustment_nv_fund",K$3,$A833))</x:f>
        <x:v>#NAME?</x:v>
      </x:c>
      <x:c r="L833" t="e">
        <x:f>IF($A833="","",[1]!thsiFinD("ths_adjustment_nv_fund",L$3,$A833))</x:f>
        <x:v>#NAME?</x:v>
      </x:c>
      <x:c r="M833" t="e">
        <x:f>IF($A833="","",[1]!thsiFinD("ths_adjustment_nv_fund",M$3,$A833))</x:f>
        <x:v>#NAME?</x:v>
      </x:c>
      <x:c r="N833" t="e">
        <x:f>IF($A833="","",[1]!thsiFinD("ths_adjustment_nv_fund",N$3,$A833))</x:f>
        <x:v>#NAME?</x:v>
      </x:c>
      <x:c r="O833" t="e">
        <x:f>IF($A833="","",[1]!thsiFinD("ths_adjustment_nv_fund",O$3,$A833))</x:f>
        <x:v>#NAME?</x:v>
      </x:c>
      <x:c r="P833" t="e">
        <x:f>IF($A833="","",[1]!thsiFinD("ths_adjustment_nv_fund",P$3,$A833))</x:f>
        <x:v>#NAME?</x:v>
      </x:c>
      <x:c r="Q833" t="e">
        <x:f>IF($A833="","",[1]!thsiFinD("ths_adjustment_nv_fund",Q$3,$A833))</x:f>
        <x:v>#NAME?</x:v>
      </x:c>
      <x:c r="R833" t="e">
        <x:f>IF($A833="","",[1]!thsiFinD("ths_adjustment_nv_fund",R$3,$A833))</x:f>
        <x:v>#NAME?</x:v>
      </x:c>
      <x:c r="S833" t="e">
        <x:f>IF($A833="","",[1]!thsiFinD("ths_adjustment_nv_fund",S$3,$A833))</x:f>
        <x:v>#NAME?</x:v>
      </x:c>
      <x:c r="T833" t="e">
        <x:f>IF($A833="","",[1]!thsiFinD("ths_adjustment_nv_fund",T$3,$A833))</x:f>
        <x:v>#NAME?</x:v>
      </x:c>
      <x:c r="U833" t="e">
        <x:f>IF($A833="","",[1]!thsiFinD("ths_adjustment_nv_fund",U$3,$A833))</x:f>
        <x:v>#NAME?</x:v>
      </x:c>
      <x:c r="V833" t="e">
        <x:f>IF($A833="","",[1]!thsiFinD("ths_adjustment_nv_fund",V$3,$A833))</x:f>
        <x:v>#NAME?</x:v>
      </x:c>
      <x:c r="W833" t="e">
        <x:f>IF($A833="","",[1]!thsiFinD("ths_adjustment_nv_fund",W$3,$A833))</x:f>
        <x:v>#NAME?</x:v>
      </x:c>
      <x:c r="X833" t="e">
        <x:f>IF($A833="","",[1]!thsiFinD("ths_adjustment_nv_fund",X$3,$A833))</x:f>
        <x:v>#NAME?</x:v>
      </x:c>
      <x:c r="Y833" t="e">
        <x:f>IF($A833="","",[1]!thsiFinD("ths_adjustment_nv_fund",Y$3,$A833))</x:f>
        <x:v>#NAME?</x:v>
      </x:c>
    </x:row>
    <x:row r="834">
      <x:c r="B834" t="e">
        <x:f>IF($A834="","",[1]!thsiFinD("ths_adjustment_nv_fund",B$3,$A834))</x:f>
        <x:v>#NAME?</x:v>
      </x:c>
      <x:c r="C834" t="e">
        <x:f>IF($A834="","",[1]!thsiFinD("ths_adjustment_nv_fund",C$3,$A834))</x:f>
        <x:v>#NAME?</x:v>
      </x:c>
      <x:c r="D834" t="e">
        <x:f>IF($A834="","",[1]!thsiFinD("ths_adjustment_nv_fund",D$3,$A834))</x:f>
        <x:v>#NAME?</x:v>
      </x:c>
      <x:c r="E834" t="e">
        <x:f>IF($A834="","",[1]!thsiFinD("ths_adjustment_nv_fund",E$3,$A834))</x:f>
        <x:v>#NAME?</x:v>
      </x:c>
      <x:c r="F834" t="e">
        <x:f>IF($A834="","",[1]!thsiFinD("ths_adjustment_nv_fund",F$3,$A834))</x:f>
        <x:v>#NAME?</x:v>
      </x:c>
      <x:c r="G834" t="e">
        <x:f>IF($A834="","",[1]!thsiFinD("ths_adjustment_nv_fund",G$3,$A834))</x:f>
        <x:v>#NAME?</x:v>
      </x:c>
      <x:c r="H834" t="e">
        <x:f>IF($A834="","",[1]!thsiFinD("ths_adjustment_nv_fund",H$3,$A834))</x:f>
        <x:v>#NAME?</x:v>
      </x:c>
      <x:c r="I834" t="e">
        <x:f>IF($A834="","",[1]!thsiFinD("ths_adjustment_nv_fund",I$3,$A834))</x:f>
        <x:v>#NAME?</x:v>
      </x:c>
      <x:c r="J834" t="e">
        <x:f>IF($A834="","",[1]!thsiFinD("ths_adjustment_nv_fund",J$3,$A834))</x:f>
        <x:v>#NAME?</x:v>
      </x:c>
      <x:c r="K834" t="e">
        <x:f>IF($A834="","",[1]!thsiFinD("ths_adjustment_nv_fund",K$3,$A834))</x:f>
        <x:v>#NAME?</x:v>
      </x:c>
      <x:c r="L834" t="e">
        <x:f>IF($A834="","",[1]!thsiFinD("ths_adjustment_nv_fund",L$3,$A834))</x:f>
        <x:v>#NAME?</x:v>
      </x:c>
      <x:c r="M834" t="e">
        <x:f>IF($A834="","",[1]!thsiFinD("ths_adjustment_nv_fund",M$3,$A834))</x:f>
        <x:v>#NAME?</x:v>
      </x:c>
      <x:c r="N834" t="e">
        <x:f>IF($A834="","",[1]!thsiFinD("ths_adjustment_nv_fund",N$3,$A834))</x:f>
        <x:v>#NAME?</x:v>
      </x:c>
      <x:c r="O834" t="e">
        <x:f>IF($A834="","",[1]!thsiFinD("ths_adjustment_nv_fund",O$3,$A834))</x:f>
        <x:v>#NAME?</x:v>
      </x:c>
      <x:c r="P834" t="e">
        <x:f>IF($A834="","",[1]!thsiFinD("ths_adjustment_nv_fund",P$3,$A834))</x:f>
        <x:v>#NAME?</x:v>
      </x:c>
      <x:c r="Q834" t="e">
        <x:f>IF($A834="","",[1]!thsiFinD("ths_adjustment_nv_fund",Q$3,$A834))</x:f>
        <x:v>#NAME?</x:v>
      </x:c>
      <x:c r="R834" t="e">
        <x:f>IF($A834="","",[1]!thsiFinD("ths_adjustment_nv_fund",R$3,$A834))</x:f>
        <x:v>#NAME?</x:v>
      </x:c>
      <x:c r="S834" t="e">
        <x:f>IF($A834="","",[1]!thsiFinD("ths_adjustment_nv_fund",S$3,$A834))</x:f>
        <x:v>#NAME?</x:v>
      </x:c>
      <x:c r="T834" t="e">
        <x:f>IF($A834="","",[1]!thsiFinD("ths_adjustment_nv_fund",T$3,$A834))</x:f>
        <x:v>#NAME?</x:v>
      </x:c>
      <x:c r="U834" t="e">
        <x:f>IF($A834="","",[1]!thsiFinD("ths_adjustment_nv_fund",U$3,$A834))</x:f>
        <x:v>#NAME?</x:v>
      </x:c>
      <x:c r="V834" t="e">
        <x:f>IF($A834="","",[1]!thsiFinD("ths_adjustment_nv_fund",V$3,$A834))</x:f>
        <x:v>#NAME?</x:v>
      </x:c>
      <x:c r="W834" t="e">
        <x:f>IF($A834="","",[1]!thsiFinD("ths_adjustment_nv_fund",W$3,$A834))</x:f>
        <x:v>#NAME?</x:v>
      </x:c>
      <x:c r="X834" t="e">
        <x:f>IF($A834="","",[1]!thsiFinD("ths_adjustment_nv_fund",X$3,$A834))</x:f>
        <x:v>#NAME?</x:v>
      </x:c>
      <x:c r="Y834" t="e">
        <x:f>IF($A834="","",[1]!thsiFinD("ths_adjustment_nv_fund",Y$3,$A834))</x:f>
        <x:v>#NAME?</x:v>
      </x:c>
    </x:row>
    <x:row r="835">
      <x:c r="B835" t="e">
        <x:f>IF($A835="","",[1]!thsiFinD("ths_adjustment_nv_fund",B$3,$A835))</x:f>
        <x:v>#NAME?</x:v>
      </x:c>
      <x:c r="C835" t="e">
        <x:f>IF($A835="","",[1]!thsiFinD("ths_adjustment_nv_fund",C$3,$A835))</x:f>
        <x:v>#NAME?</x:v>
      </x:c>
      <x:c r="D835" t="e">
        <x:f>IF($A835="","",[1]!thsiFinD("ths_adjustment_nv_fund",D$3,$A835))</x:f>
        <x:v>#NAME?</x:v>
      </x:c>
      <x:c r="E835" t="e">
        <x:f>IF($A835="","",[1]!thsiFinD("ths_adjustment_nv_fund",E$3,$A835))</x:f>
        <x:v>#NAME?</x:v>
      </x:c>
      <x:c r="F835" t="e">
        <x:f>IF($A835="","",[1]!thsiFinD("ths_adjustment_nv_fund",F$3,$A835))</x:f>
        <x:v>#NAME?</x:v>
      </x:c>
      <x:c r="G835" t="e">
        <x:f>IF($A835="","",[1]!thsiFinD("ths_adjustment_nv_fund",G$3,$A835))</x:f>
        <x:v>#NAME?</x:v>
      </x:c>
      <x:c r="H835" t="e">
        <x:f>IF($A835="","",[1]!thsiFinD("ths_adjustment_nv_fund",H$3,$A835))</x:f>
        <x:v>#NAME?</x:v>
      </x:c>
      <x:c r="I835" t="e">
        <x:f>IF($A835="","",[1]!thsiFinD("ths_adjustment_nv_fund",I$3,$A835))</x:f>
        <x:v>#NAME?</x:v>
      </x:c>
      <x:c r="J835" t="e">
        <x:f>IF($A835="","",[1]!thsiFinD("ths_adjustment_nv_fund",J$3,$A835))</x:f>
        <x:v>#NAME?</x:v>
      </x:c>
      <x:c r="K835" t="e">
        <x:f>IF($A835="","",[1]!thsiFinD("ths_adjustment_nv_fund",K$3,$A835))</x:f>
        <x:v>#NAME?</x:v>
      </x:c>
      <x:c r="L835" t="e">
        <x:f>IF($A835="","",[1]!thsiFinD("ths_adjustment_nv_fund",L$3,$A835))</x:f>
        <x:v>#NAME?</x:v>
      </x:c>
      <x:c r="M835" t="e">
        <x:f>IF($A835="","",[1]!thsiFinD("ths_adjustment_nv_fund",M$3,$A835))</x:f>
        <x:v>#NAME?</x:v>
      </x:c>
      <x:c r="N835" t="e">
        <x:f>IF($A835="","",[1]!thsiFinD("ths_adjustment_nv_fund",N$3,$A835))</x:f>
        <x:v>#NAME?</x:v>
      </x:c>
      <x:c r="O835" t="e">
        <x:f>IF($A835="","",[1]!thsiFinD("ths_adjustment_nv_fund",O$3,$A835))</x:f>
        <x:v>#NAME?</x:v>
      </x:c>
      <x:c r="P835" t="e">
        <x:f>IF($A835="","",[1]!thsiFinD("ths_adjustment_nv_fund",P$3,$A835))</x:f>
        <x:v>#NAME?</x:v>
      </x:c>
      <x:c r="Q835" t="e">
        <x:f>IF($A835="","",[1]!thsiFinD("ths_adjustment_nv_fund",Q$3,$A835))</x:f>
        <x:v>#NAME?</x:v>
      </x:c>
      <x:c r="R835" t="e">
        <x:f>IF($A835="","",[1]!thsiFinD("ths_adjustment_nv_fund",R$3,$A835))</x:f>
        <x:v>#NAME?</x:v>
      </x:c>
      <x:c r="S835" t="e">
        <x:f>IF($A835="","",[1]!thsiFinD("ths_adjustment_nv_fund",S$3,$A835))</x:f>
        <x:v>#NAME?</x:v>
      </x:c>
      <x:c r="T835" t="e">
        <x:f>IF($A835="","",[1]!thsiFinD("ths_adjustment_nv_fund",T$3,$A835))</x:f>
        <x:v>#NAME?</x:v>
      </x:c>
      <x:c r="U835" t="e">
        <x:f>IF($A835="","",[1]!thsiFinD("ths_adjustment_nv_fund",U$3,$A835))</x:f>
        <x:v>#NAME?</x:v>
      </x:c>
      <x:c r="V835" t="e">
        <x:f>IF($A835="","",[1]!thsiFinD("ths_adjustment_nv_fund",V$3,$A835))</x:f>
        <x:v>#NAME?</x:v>
      </x:c>
      <x:c r="W835" t="e">
        <x:f>IF($A835="","",[1]!thsiFinD("ths_adjustment_nv_fund",W$3,$A835))</x:f>
        <x:v>#NAME?</x:v>
      </x:c>
      <x:c r="X835" t="e">
        <x:f>IF($A835="","",[1]!thsiFinD("ths_adjustment_nv_fund",X$3,$A835))</x:f>
        <x:v>#NAME?</x:v>
      </x:c>
      <x:c r="Y835" t="e">
        <x:f>IF($A835="","",[1]!thsiFinD("ths_adjustment_nv_fund",Y$3,$A835))</x:f>
        <x:v>#NAME?</x:v>
      </x:c>
    </x:row>
    <x:row r="836">
      <x:c r="B836" t="e">
        <x:f>IF($A836="","",[1]!thsiFinD("ths_adjustment_nv_fund",B$3,$A836))</x:f>
        <x:v>#NAME?</x:v>
      </x:c>
      <x:c r="C836" t="e">
        <x:f>IF($A836="","",[1]!thsiFinD("ths_adjustment_nv_fund",C$3,$A836))</x:f>
        <x:v>#NAME?</x:v>
      </x:c>
      <x:c r="D836" t="e">
        <x:f>IF($A836="","",[1]!thsiFinD("ths_adjustment_nv_fund",D$3,$A836))</x:f>
        <x:v>#NAME?</x:v>
      </x:c>
      <x:c r="E836" t="e">
        <x:f>IF($A836="","",[1]!thsiFinD("ths_adjustment_nv_fund",E$3,$A836))</x:f>
        <x:v>#NAME?</x:v>
      </x:c>
      <x:c r="F836" t="e">
        <x:f>IF($A836="","",[1]!thsiFinD("ths_adjustment_nv_fund",F$3,$A836))</x:f>
        <x:v>#NAME?</x:v>
      </x:c>
      <x:c r="G836" t="e">
        <x:f>IF($A836="","",[1]!thsiFinD("ths_adjustment_nv_fund",G$3,$A836))</x:f>
        <x:v>#NAME?</x:v>
      </x:c>
      <x:c r="H836" t="e">
        <x:f>IF($A836="","",[1]!thsiFinD("ths_adjustment_nv_fund",H$3,$A836))</x:f>
        <x:v>#NAME?</x:v>
      </x:c>
      <x:c r="I836" t="e">
        <x:f>IF($A836="","",[1]!thsiFinD("ths_adjustment_nv_fund",I$3,$A836))</x:f>
        <x:v>#NAME?</x:v>
      </x:c>
      <x:c r="J836" t="e">
        <x:f>IF($A836="","",[1]!thsiFinD("ths_adjustment_nv_fund",J$3,$A836))</x:f>
        <x:v>#NAME?</x:v>
      </x:c>
      <x:c r="K836" t="e">
        <x:f>IF($A836="","",[1]!thsiFinD("ths_adjustment_nv_fund",K$3,$A836))</x:f>
        <x:v>#NAME?</x:v>
      </x:c>
      <x:c r="L836" t="e">
        <x:f>IF($A836="","",[1]!thsiFinD("ths_adjustment_nv_fund",L$3,$A836))</x:f>
        <x:v>#NAME?</x:v>
      </x:c>
      <x:c r="M836" t="e">
        <x:f>IF($A836="","",[1]!thsiFinD("ths_adjustment_nv_fund",M$3,$A836))</x:f>
        <x:v>#NAME?</x:v>
      </x:c>
      <x:c r="N836" t="e">
        <x:f>IF($A836="","",[1]!thsiFinD("ths_adjustment_nv_fund",N$3,$A836))</x:f>
        <x:v>#NAME?</x:v>
      </x:c>
      <x:c r="O836" t="e">
        <x:f>IF($A836="","",[1]!thsiFinD("ths_adjustment_nv_fund",O$3,$A836))</x:f>
        <x:v>#NAME?</x:v>
      </x:c>
      <x:c r="P836" t="e">
        <x:f>IF($A836="","",[1]!thsiFinD("ths_adjustment_nv_fund",P$3,$A836))</x:f>
        <x:v>#NAME?</x:v>
      </x:c>
      <x:c r="Q836" t="e">
        <x:f>IF($A836="","",[1]!thsiFinD("ths_adjustment_nv_fund",Q$3,$A836))</x:f>
        <x:v>#NAME?</x:v>
      </x:c>
      <x:c r="R836" t="e">
        <x:f>IF($A836="","",[1]!thsiFinD("ths_adjustment_nv_fund",R$3,$A836))</x:f>
        <x:v>#NAME?</x:v>
      </x:c>
      <x:c r="S836" t="e">
        <x:f>IF($A836="","",[1]!thsiFinD("ths_adjustment_nv_fund",S$3,$A836))</x:f>
        <x:v>#NAME?</x:v>
      </x:c>
      <x:c r="T836" t="e">
        <x:f>IF($A836="","",[1]!thsiFinD("ths_adjustment_nv_fund",T$3,$A836))</x:f>
        <x:v>#NAME?</x:v>
      </x:c>
      <x:c r="U836" t="e">
        <x:f>IF($A836="","",[1]!thsiFinD("ths_adjustment_nv_fund",U$3,$A836))</x:f>
        <x:v>#NAME?</x:v>
      </x:c>
      <x:c r="V836" t="e">
        <x:f>IF($A836="","",[1]!thsiFinD("ths_adjustment_nv_fund",V$3,$A836))</x:f>
        <x:v>#NAME?</x:v>
      </x:c>
      <x:c r="W836" t="e">
        <x:f>IF($A836="","",[1]!thsiFinD("ths_adjustment_nv_fund",W$3,$A836))</x:f>
        <x:v>#NAME?</x:v>
      </x:c>
      <x:c r="X836" t="e">
        <x:f>IF($A836="","",[1]!thsiFinD("ths_adjustment_nv_fund",X$3,$A836))</x:f>
        <x:v>#NAME?</x:v>
      </x:c>
      <x:c r="Y836" t="e">
        <x:f>IF($A836="","",[1]!thsiFinD("ths_adjustment_nv_fund",Y$3,$A836))</x:f>
        <x:v>#NAME?</x:v>
      </x:c>
    </x:row>
    <x:row r="837">
      <x:c r="B837" t="e">
        <x:f>IF($A837="","",[1]!thsiFinD("ths_adjustment_nv_fund",B$3,$A837))</x:f>
        <x:v>#NAME?</x:v>
      </x:c>
      <x:c r="C837" t="e">
        <x:f>IF($A837="","",[1]!thsiFinD("ths_adjustment_nv_fund",C$3,$A837))</x:f>
        <x:v>#NAME?</x:v>
      </x:c>
      <x:c r="D837" t="e">
        <x:f>IF($A837="","",[1]!thsiFinD("ths_adjustment_nv_fund",D$3,$A837))</x:f>
        <x:v>#NAME?</x:v>
      </x:c>
      <x:c r="E837" t="e">
        <x:f>IF($A837="","",[1]!thsiFinD("ths_adjustment_nv_fund",E$3,$A837))</x:f>
        <x:v>#NAME?</x:v>
      </x:c>
      <x:c r="F837" t="e">
        <x:f>IF($A837="","",[1]!thsiFinD("ths_adjustment_nv_fund",F$3,$A837))</x:f>
        <x:v>#NAME?</x:v>
      </x:c>
      <x:c r="G837" t="e">
        <x:f>IF($A837="","",[1]!thsiFinD("ths_adjustment_nv_fund",G$3,$A837))</x:f>
        <x:v>#NAME?</x:v>
      </x:c>
      <x:c r="H837" t="e">
        <x:f>IF($A837="","",[1]!thsiFinD("ths_adjustment_nv_fund",H$3,$A837))</x:f>
        <x:v>#NAME?</x:v>
      </x:c>
      <x:c r="I837" t="e">
        <x:f>IF($A837="","",[1]!thsiFinD("ths_adjustment_nv_fund",I$3,$A837))</x:f>
        <x:v>#NAME?</x:v>
      </x:c>
      <x:c r="J837" t="e">
        <x:f>IF($A837="","",[1]!thsiFinD("ths_adjustment_nv_fund",J$3,$A837))</x:f>
        <x:v>#NAME?</x:v>
      </x:c>
      <x:c r="K837" t="e">
        <x:f>IF($A837="","",[1]!thsiFinD("ths_adjustment_nv_fund",K$3,$A837))</x:f>
        <x:v>#NAME?</x:v>
      </x:c>
      <x:c r="L837" t="e">
        <x:f>IF($A837="","",[1]!thsiFinD("ths_adjustment_nv_fund",L$3,$A837))</x:f>
        <x:v>#NAME?</x:v>
      </x:c>
      <x:c r="M837" t="e">
        <x:f>IF($A837="","",[1]!thsiFinD("ths_adjustment_nv_fund",M$3,$A837))</x:f>
        <x:v>#NAME?</x:v>
      </x:c>
      <x:c r="N837" t="e">
        <x:f>IF($A837="","",[1]!thsiFinD("ths_adjustment_nv_fund",N$3,$A837))</x:f>
        <x:v>#NAME?</x:v>
      </x:c>
      <x:c r="O837" t="e">
        <x:f>IF($A837="","",[1]!thsiFinD("ths_adjustment_nv_fund",O$3,$A837))</x:f>
        <x:v>#NAME?</x:v>
      </x:c>
      <x:c r="P837" t="e">
        <x:f>IF($A837="","",[1]!thsiFinD("ths_adjustment_nv_fund",P$3,$A837))</x:f>
        <x:v>#NAME?</x:v>
      </x:c>
      <x:c r="Q837" t="e">
        <x:f>IF($A837="","",[1]!thsiFinD("ths_adjustment_nv_fund",Q$3,$A837))</x:f>
        <x:v>#NAME?</x:v>
      </x:c>
      <x:c r="R837" t="e">
        <x:f>IF($A837="","",[1]!thsiFinD("ths_adjustment_nv_fund",R$3,$A837))</x:f>
        <x:v>#NAME?</x:v>
      </x:c>
      <x:c r="S837" t="e">
        <x:f>IF($A837="","",[1]!thsiFinD("ths_adjustment_nv_fund",S$3,$A837))</x:f>
        <x:v>#NAME?</x:v>
      </x:c>
      <x:c r="T837" t="e">
        <x:f>IF($A837="","",[1]!thsiFinD("ths_adjustment_nv_fund",T$3,$A837))</x:f>
        <x:v>#NAME?</x:v>
      </x:c>
      <x:c r="U837" t="e">
        <x:f>IF($A837="","",[1]!thsiFinD("ths_adjustment_nv_fund",U$3,$A837))</x:f>
        <x:v>#NAME?</x:v>
      </x:c>
      <x:c r="V837" t="e">
        <x:f>IF($A837="","",[1]!thsiFinD("ths_adjustment_nv_fund",V$3,$A837))</x:f>
        <x:v>#NAME?</x:v>
      </x:c>
      <x:c r="W837" t="e">
        <x:f>IF($A837="","",[1]!thsiFinD("ths_adjustment_nv_fund",W$3,$A837))</x:f>
        <x:v>#NAME?</x:v>
      </x:c>
      <x:c r="X837" t="e">
        <x:f>IF($A837="","",[1]!thsiFinD("ths_adjustment_nv_fund",X$3,$A837))</x:f>
        <x:v>#NAME?</x:v>
      </x:c>
      <x:c r="Y837" t="e">
        <x:f>IF($A837="","",[1]!thsiFinD("ths_adjustment_nv_fund",Y$3,$A837))</x:f>
        <x:v>#NAME?</x:v>
      </x:c>
    </x:row>
    <x:row r="838">
      <x:c r="B838" t="e">
        <x:f>IF($A838="","",[1]!thsiFinD("ths_adjustment_nv_fund",B$3,$A838))</x:f>
        <x:v>#NAME?</x:v>
      </x:c>
      <x:c r="C838" t="e">
        <x:f>IF($A838="","",[1]!thsiFinD("ths_adjustment_nv_fund",C$3,$A838))</x:f>
        <x:v>#NAME?</x:v>
      </x:c>
      <x:c r="D838" t="e">
        <x:f>IF($A838="","",[1]!thsiFinD("ths_adjustment_nv_fund",D$3,$A838))</x:f>
        <x:v>#NAME?</x:v>
      </x:c>
      <x:c r="E838" t="e">
        <x:f>IF($A838="","",[1]!thsiFinD("ths_adjustment_nv_fund",E$3,$A838))</x:f>
        <x:v>#NAME?</x:v>
      </x:c>
      <x:c r="F838" t="e">
        <x:f>IF($A838="","",[1]!thsiFinD("ths_adjustment_nv_fund",F$3,$A838))</x:f>
        <x:v>#NAME?</x:v>
      </x:c>
      <x:c r="G838" t="e">
        <x:f>IF($A838="","",[1]!thsiFinD("ths_adjustment_nv_fund",G$3,$A838))</x:f>
        <x:v>#NAME?</x:v>
      </x:c>
      <x:c r="H838" t="e">
        <x:f>IF($A838="","",[1]!thsiFinD("ths_adjustment_nv_fund",H$3,$A838))</x:f>
        <x:v>#NAME?</x:v>
      </x:c>
      <x:c r="I838" t="e">
        <x:f>IF($A838="","",[1]!thsiFinD("ths_adjustment_nv_fund",I$3,$A838))</x:f>
        <x:v>#NAME?</x:v>
      </x:c>
      <x:c r="J838" t="e">
        <x:f>IF($A838="","",[1]!thsiFinD("ths_adjustment_nv_fund",J$3,$A838))</x:f>
        <x:v>#NAME?</x:v>
      </x:c>
      <x:c r="K838" t="e">
        <x:f>IF($A838="","",[1]!thsiFinD("ths_adjustment_nv_fund",K$3,$A838))</x:f>
        <x:v>#NAME?</x:v>
      </x:c>
      <x:c r="L838" t="e">
        <x:f>IF($A838="","",[1]!thsiFinD("ths_adjustment_nv_fund",L$3,$A838))</x:f>
        <x:v>#NAME?</x:v>
      </x:c>
      <x:c r="M838" t="e">
        <x:f>IF($A838="","",[1]!thsiFinD("ths_adjustment_nv_fund",M$3,$A838))</x:f>
        <x:v>#NAME?</x:v>
      </x:c>
      <x:c r="N838" t="e">
        <x:f>IF($A838="","",[1]!thsiFinD("ths_adjustment_nv_fund",N$3,$A838))</x:f>
        <x:v>#NAME?</x:v>
      </x:c>
      <x:c r="O838" t="e">
        <x:f>IF($A838="","",[1]!thsiFinD("ths_adjustment_nv_fund",O$3,$A838))</x:f>
        <x:v>#NAME?</x:v>
      </x:c>
      <x:c r="P838" t="e">
        <x:f>IF($A838="","",[1]!thsiFinD("ths_adjustment_nv_fund",P$3,$A838))</x:f>
        <x:v>#NAME?</x:v>
      </x:c>
      <x:c r="Q838" t="e">
        <x:f>IF($A838="","",[1]!thsiFinD("ths_adjustment_nv_fund",Q$3,$A838))</x:f>
        <x:v>#NAME?</x:v>
      </x:c>
      <x:c r="R838" t="e">
        <x:f>IF($A838="","",[1]!thsiFinD("ths_adjustment_nv_fund",R$3,$A838))</x:f>
        <x:v>#NAME?</x:v>
      </x:c>
      <x:c r="S838" t="e">
        <x:f>IF($A838="","",[1]!thsiFinD("ths_adjustment_nv_fund",S$3,$A838))</x:f>
        <x:v>#NAME?</x:v>
      </x:c>
      <x:c r="T838" t="e">
        <x:f>IF($A838="","",[1]!thsiFinD("ths_adjustment_nv_fund",T$3,$A838))</x:f>
        <x:v>#NAME?</x:v>
      </x:c>
      <x:c r="U838" t="e">
        <x:f>IF($A838="","",[1]!thsiFinD("ths_adjustment_nv_fund",U$3,$A838))</x:f>
        <x:v>#NAME?</x:v>
      </x:c>
      <x:c r="V838" t="e">
        <x:f>IF($A838="","",[1]!thsiFinD("ths_adjustment_nv_fund",V$3,$A838))</x:f>
        <x:v>#NAME?</x:v>
      </x:c>
      <x:c r="W838" t="e">
        <x:f>IF($A838="","",[1]!thsiFinD("ths_adjustment_nv_fund",W$3,$A838))</x:f>
        <x:v>#NAME?</x:v>
      </x:c>
      <x:c r="X838" t="e">
        <x:f>IF($A838="","",[1]!thsiFinD("ths_adjustment_nv_fund",X$3,$A838))</x:f>
        <x:v>#NAME?</x:v>
      </x:c>
      <x:c r="Y838" t="e">
        <x:f>IF($A838="","",[1]!thsiFinD("ths_adjustment_nv_fund",Y$3,$A838))</x:f>
        <x:v>#NAME?</x:v>
      </x:c>
    </x:row>
    <x:row r="839">
      <x:c r="B839" t="e">
        <x:f>IF($A839="","",[1]!thsiFinD("ths_adjustment_nv_fund",B$3,$A839))</x:f>
        <x:v>#NAME?</x:v>
      </x:c>
      <x:c r="C839" t="e">
        <x:f>IF($A839="","",[1]!thsiFinD("ths_adjustment_nv_fund",C$3,$A839))</x:f>
        <x:v>#NAME?</x:v>
      </x:c>
      <x:c r="D839" t="e">
        <x:f>IF($A839="","",[1]!thsiFinD("ths_adjustment_nv_fund",D$3,$A839))</x:f>
        <x:v>#NAME?</x:v>
      </x:c>
      <x:c r="E839" t="e">
        <x:f>IF($A839="","",[1]!thsiFinD("ths_adjustment_nv_fund",E$3,$A839))</x:f>
        <x:v>#NAME?</x:v>
      </x:c>
      <x:c r="F839" t="e">
        <x:f>IF($A839="","",[1]!thsiFinD("ths_adjustment_nv_fund",F$3,$A839))</x:f>
        <x:v>#NAME?</x:v>
      </x:c>
      <x:c r="G839" t="e">
        <x:f>IF($A839="","",[1]!thsiFinD("ths_adjustment_nv_fund",G$3,$A839))</x:f>
        <x:v>#NAME?</x:v>
      </x:c>
      <x:c r="H839" t="e">
        <x:f>IF($A839="","",[1]!thsiFinD("ths_adjustment_nv_fund",H$3,$A839))</x:f>
        <x:v>#NAME?</x:v>
      </x:c>
      <x:c r="I839" t="e">
        <x:f>IF($A839="","",[1]!thsiFinD("ths_adjustment_nv_fund",I$3,$A839))</x:f>
        <x:v>#NAME?</x:v>
      </x:c>
      <x:c r="J839" t="e">
        <x:f>IF($A839="","",[1]!thsiFinD("ths_adjustment_nv_fund",J$3,$A839))</x:f>
        <x:v>#NAME?</x:v>
      </x:c>
      <x:c r="K839" t="e">
        <x:f>IF($A839="","",[1]!thsiFinD("ths_adjustment_nv_fund",K$3,$A839))</x:f>
        <x:v>#NAME?</x:v>
      </x:c>
      <x:c r="L839" t="e">
        <x:f>IF($A839="","",[1]!thsiFinD("ths_adjustment_nv_fund",L$3,$A839))</x:f>
        <x:v>#NAME?</x:v>
      </x:c>
      <x:c r="M839" t="e">
        <x:f>IF($A839="","",[1]!thsiFinD("ths_adjustment_nv_fund",M$3,$A839))</x:f>
        <x:v>#NAME?</x:v>
      </x:c>
      <x:c r="N839" t="e">
        <x:f>IF($A839="","",[1]!thsiFinD("ths_adjustment_nv_fund",N$3,$A839))</x:f>
        <x:v>#NAME?</x:v>
      </x:c>
      <x:c r="O839" t="e">
        <x:f>IF($A839="","",[1]!thsiFinD("ths_adjustment_nv_fund",O$3,$A839))</x:f>
        <x:v>#NAME?</x:v>
      </x:c>
      <x:c r="P839" t="e">
        <x:f>IF($A839="","",[1]!thsiFinD("ths_adjustment_nv_fund",P$3,$A839))</x:f>
        <x:v>#NAME?</x:v>
      </x:c>
      <x:c r="Q839" t="e">
        <x:f>IF($A839="","",[1]!thsiFinD("ths_adjustment_nv_fund",Q$3,$A839))</x:f>
        <x:v>#NAME?</x:v>
      </x:c>
      <x:c r="R839" t="e">
        <x:f>IF($A839="","",[1]!thsiFinD("ths_adjustment_nv_fund",R$3,$A839))</x:f>
        <x:v>#NAME?</x:v>
      </x:c>
      <x:c r="S839" t="e">
        <x:f>IF($A839="","",[1]!thsiFinD("ths_adjustment_nv_fund",S$3,$A839))</x:f>
        <x:v>#NAME?</x:v>
      </x:c>
      <x:c r="T839" t="e">
        <x:f>IF($A839="","",[1]!thsiFinD("ths_adjustment_nv_fund",T$3,$A839))</x:f>
        <x:v>#NAME?</x:v>
      </x:c>
      <x:c r="U839" t="e">
        <x:f>IF($A839="","",[1]!thsiFinD("ths_adjustment_nv_fund",U$3,$A839))</x:f>
        <x:v>#NAME?</x:v>
      </x:c>
      <x:c r="V839" t="e">
        <x:f>IF($A839="","",[1]!thsiFinD("ths_adjustment_nv_fund",V$3,$A839))</x:f>
        <x:v>#NAME?</x:v>
      </x:c>
      <x:c r="W839" t="e">
        <x:f>IF($A839="","",[1]!thsiFinD("ths_adjustment_nv_fund",W$3,$A839))</x:f>
        <x:v>#NAME?</x:v>
      </x:c>
      <x:c r="X839" t="e">
        <x:f>IF($A839="","",[1]!thsiFinD("ths_adjustment_nv_fund",X$3,$A839))</x:f>
        <x:v>#NAME?</x:v>
      </x:c>
      <x:c r="Y839" t="e">
        <x:f>IF($A839="","",[1]!thsiFinD("ths_adjustment_nv_fund",Y$3,$A839))</x:f>
        <x:v>#NAME?</x:v>
      </x:c>
    </x:row>
    <x:row r="840">
      <x:c r="B840" t="e">
        <x:f>IF($A840="","",[1]!thsiFinD("ths_adjustment_nv_fund",B$3,$A840))</x:f>
        <x:v>#NAME?</x:v>
      </x:c>
      <x:c r="C840" t="e">
        <x:f>IF($A840="","",[1]!thsiFinD("ths_adjustment_nv_fund",C$3,$A840))</x:f>
        <x:v>#NAME?</x:v>
      </x:c>
      <x:c r="D840" t="e">
        <x:f>IF($A840="","",[1]!thsiFinD("ths_adjustment_nv_fund",D$3,$A840))</x:f>
        <x:v>#NAME?</x:v>
      </x:c>
      <x:c r="E840" t="e">
        <x:f>IF($A840="","",[1]!thsiFinD("ths_adjustment_nv_fund",E$3,$A840))</x:f>
        <x:v>#NAME?</x:v>
      </x:c>
      <x:c r="F840" t="e">
        <x:f>IF($A840="","",[1]!thsiFinD("ths_adjustment_nv_fund",F$3,$A840))</x:f>
        <x:v>#NAME?</x:v>
      </x:c>
      <x:c r="G840" t="e">
        <x:f>IF($A840="","",[1]!thsiFinD("ths_adjustment_nv_fund",G$3,$A840))</x:f>
        <x:v>#NAME?</x:v>
      </x:c>
      <x:c r="H840" t="e">
        <x:f>IF($A840="","",[1]!thsiFinD("ths_adjustment_nv_fund",H$3,$A840))</x:f>
        <x:v>#NAME?</x:v>
      </x:c>
      <x:c r="I840" t="e">
        <x:f>IF($A840="","",[1]!thsiFinD("ths_adjustment_nv_fund",I$3,$A840))</x:f>
        <x:v>#NAME?</x:v>
      </x:c>
      <x:c r="J840" t="e">
        <x:f>IF($A840="","",[1]!thsiFinD("ths_adjustment_nv_fund",J$3,$A840))</x:f>
        <x:v>#NAME?</x:v>
      </x:c>
      <x:c r="K840" t="e">
        <x:f>IF($A840="","",[1]!thsiFinD("ths_adjustment_nv_fund",K$3,$A840))</x:f>
        <x:v>#NAME?</x:v>
      </x:c>
      <x:c r="L840" t="e">
        <x:f>IF($A840="","",[1]!thsiFinD("ths_adjustment_nv_fund",L$3,$A840))</x:f>
        <x:v>#NAME?</x:v>
      </x:c>
      <x:c r="M840" t="e">
        <x:f>IF($A840="","",[1]!thsiFinD("ths_adjustment_nv_fund",M$3,$A840))</x:f>
        <x:v>#NAME?</x:v>
      </x:c>
      <x:c r="N840" t="e">
        <x:f>IF($A840="","",[1]!thsiFinD("ths_adjustment_nv_fund",N$3,$A840))</x:f>
        <x:v>#NAME?</x:v>
      </x:c>
      <x:c r="O840" t="e">
        <x:f>IF($A840="","",[1]!thsiFinD("ths_adjustment_nv_fund",O$3,$A840))</x:f>
        <x:v>#NAME?</x:v>
      </x:c>
      <x:c r="P840" t="e">
        <x:f>IF($A840="","",[1]!thsiFinD("ths_adjustment_nv_fund",P$3,$A840))</x:f>
        <x:v>#NAME?</x:v>
      </x:c>
      <x:c r="Q840" t="e">
        <x:f>IF($A840="","",[1]!thsiFinD("ths_adjustment_nv_fund",Q$3,$A840))</x:f>
        <x:v>#NAME?</x:v>
      </x:c>
      <x:c r="R840" t="e">
        <x:f>IF($A840="","",[1]!thsiFinD("ths_adjustment_nv_fund",R$3,$A840))</x:f>
        <x:v>#NAME?</x:v>
      </x:c>
      <x:c r="S840" t="e">
        <x:f>IF($A840="","",[1]!thsiFinD("ths_adjustment_nv_fund",S$3,$A840))</x:f>
        <x:v>#NAME?</x:v>
      </x:c>
      <x:c r="T840" t="e">
        <x:f>IF($A840="","",[1]!thsiFinD("ths_adjustment_nv_fund",T$3,$A840))</x:f>
        <x:v>#NAME?</x:v>
      </x:c>
      <x:c r="U840" t="e">
        <x:f>IF($A840="","",[1]!thsiFinD("ths_adjustment_nv_fund",U$3,$A840))</x:f>
        <x:v>#NAME?</x:v>
      </x:c>
      <x:c r="V840" t="e">
        <x:f>IF($A840="","",[1]!thsiFinD("ths_adjustment_nv_fund",V$3,$A840))</x:f>
        <x:v>#NAME?</x:v>
      </x:c>
      <x:c r="W840" t="e">
        <x:f>IF($A840="","",[1]!thsiFinD("ths_adjustment_nv_fund",W$3,$A840))</x:f>
        <x:v>#NAME?</x:v>
      </x:c>
      <x:c r="X840" t="e">
        <x:f>IF($A840="","",[1]!thsiFinD("ths_adjustment_nv_fund",X$3,$A840))</x:f>
        <x:v>#NAME?</x:v>
      </x:c>
      <x:c r="Y840" t="e">
        <x:f>IF($A840="","",[1]!thsiFinD("ths_adjustment_nv_fund",Y$3,$A840))</x:f>
        <x:v>#NAME?</x:v>
      </x:c>
    </x:row>
    <x:row r="841">
      <x:c r="B841" t="e">
        <x:f>IF($A841="","",[1]!thsiFinD("ths_adjustment_nv_fund",B$3,$A841))</x:f>
        <x:v>#NAME?</x:v>
      </x:c>
      <x:c r="C841" t="e">
        <x:f>IF($A841="","",[1]!thsiFinD("ths_adjustment_nv_fund",C$3,$A841))</x:f>
        <x:v>#NAME?</x:v>
      </x:c>
      <x:c r="D841" t="e">
        <x:f>IF($A841="","",[1]!thsiFinD("ths_adjustment_nv_fund",D$3,$A841))</x:f>
        <x:v>#NAME?</x:v>
      </x:c>
      <x:c r="E841" t="e">
        <x:f>IF($A841="","",[1]!thsiFinD("ths_adjustment_nv_fund",E$3,$A841))</x:f>
        <x:v>#NAME?</x:v>
      </x:c>
      <x:c r="F841" t="e">
        <x:f>IF($A841="","",[1]!thsiFinD("ths_adjustment_nv_fund",F$3,$A841))</x:f>
        <x:v>#NAME?</x:v>
      </x:c>
      <x:c r="G841" t="e">
        <x:f>IF($A841="","",[1]!thsiFinD("ths_adjustment_nv_fund",G$3,$A841))</x:f>
        <x:v>#NAME?</x:v>
      </x:c>
      <x:c r="H841" t="e">
        <x:f>IF($A841="","",[1]!thsiFinD("ths_adjustment_nv_fund",H$3,$A841))</x:f>
        <x:v>#NAME?</x:v>
      </x:c>
      <x:c r="I841" t="e">
        <x:f>IF($A841="","",[1]!thsiFinD("ths_adjustment_nv_fund",I$3,$A841))</x:f>
        <x:v>#NAME?</x:v>
      </x:c>
      <x:c r="J841" t="e">
        <x:f>IF($A841="","",[1]!thsiFinD("ths_adjustment_nv_fund",J$3,$A841))</x:f>
        <x:v>#NAME?</x:v>
      </x:c>
      <x:c r="K841" t="e">
        <x:f>IF($A841="","",[1]!thsiFinD("ths_adjustment_nv_fund",K$3,$A841))</x:f>
        <x:v>#NAME?</x:v>
      </x:c>
      <x:c r="L841" t="e">
        <x:f>IF($A841="","",[1]!thsiFinD("ths_adjustment_nv_fund",L$3,$A841))</x:f>
        <x:v>#NAME?</x:v>
      </x:c>
      <x:c r="M841" t="e">
        <x:f>IF($A841="","",[1]!thsiFinD("ths_adjustment_nv_fund",M$3,$A841))</x:f>
        <x:v>#NAME?</x:v>
      </x:c>
      <x:c r="N841" t="e">
        <x:f>IF($A841="","",[1]!thsiFinD("ths_adjustment_nv_fund",N$3,$A841))</x:f>
        <x:v>#NAME?</x:v>
      </x:c>
      <x:c r="O841" t="e">
        <x:f>IF($A841="","",[1]!thsiFinD("ths_adjustment_nv_fund",O$3,$A841))</x:f>
        <x:v>#NAME?</x:v>
      </x:c>
      <x:c r="P841" t="e">
        <x:f>IF($A841="","",[1]!thsiFinD("ths_adjustment_nv_fund",P$3,$A841))</x:f>
        <x:v>#NAME?</x:v>
      </x:c>
      <x:c r="Q841" t="e">
        <x:f>IF($A841="","",[1]!thsiFinD("ths_adjustment_nv_fund",Q$3,$A841))</x:f>
        <x:v>#NAME?</x:v>
      </x:c>
      <x:c r="R841" t="e">
        <x:f>IF($A841="","",[1]!thsiFinD("ths_adjustment_nv_fund",R$3,$A841))</x:f>
        <x:v>#NAME?</x:v>
      </x:c>
      <x:c r="S841" t="e">
        <x:f>IF($A841="","",[1]!thsiFinD("ths_adjustment_nv_fund",S$3,$A841))</x:f>
        <x:v>#NAME?</x:v>
      </x:c>
      <x:c r="T841" t="e">
        <x:f>IF($A841="","",[1]!thsiFinD("ths_adjustment_nv_fund",T$3,$A841))</x:f>
        <x:v>#NAME?</x:v>
      </x:c>
      <x:c r="U841" t="e">
        <x:f>IF($A841="","",[1]!thsiFinD("ths_adjustment_nv_fund",U$3,$A841))</x:f>
        <x:v>#NAME?</x:v>
      </x:c>
      <x:c r="V841" t="e">
        <x:f>IF($A841="","",[1]!thsiFinD("ths_adjustment_nv_fund",V$3,$A841))</x:f>
        <x:v>#NAME?</x:v>
      </x:c>
      <x:c r="W841" t="e">
        <x:f>IF($A841="","",[1]!thsiFinD("ths_adjustment_nv_fund",W$3,$A841))</x:f>
        <x:v>#NAME?</x:v>
      </x:c>
      <x:c r="X841" t="e">
        <x:f>IF($A841="","",[1]!thsiFinD("ths_adjustment_nv_fund",X$3,$A841))</x:f>
        <x:v>#NAME?</x:v>
      </x:c>
      <x:c r="Y841" t="e">
        <x:f>IF($A841="","",[1]!thsiFinD("ths_adjustment_nv_fund",Y$3,$A841))</x:f>
        <x:v>#NAME?</x:v>
      </x:c>
    </x:row>
    <x:row r="842">
      <x:c r="B842" t="e">
        <x:f>IF($A842="","",[1]!thsiFinD("ths_adjustment_nv_fund",B$3,$A842))</x:f>
        <x:v>#NAME?</x:v>
      </x:c>
      <x:c r="C842" t="e">
        <x:f>IF($A842="","",[1]!thsiFinD("ths_adjustment_nv_fund",C$3,$A842))</x:f>
        <x:v>#NAME?</x:v>
      </x:c>
      <x:c r="D842" t="e">
        <x:f>IF($A842="","",[1]!thsiFinD("ths_adjustment_nv_fund",D$3,$A842))</x:f>
        <x:v>#NAME?</x:v>
      </x:c>
      <x:c r="E842" t="e">
        <x:f>IF($A842="","",[1]!thsiFinD("ths_adjustment_nv_fund",E$3,$A842))</x:f>
        <x:v>#NAME?</x:v>
      </x:c>
      <x:c r="F842" t="e">
        <x:f>IF($A842="","",[1]!thsiFinD("ths_adjustment_nv_fund",F$3,$A842))</x:f>
        <x:v>#NAME?</x:v>
      </x:c>
      <x:c r="G842" t="e">
        <x:f>IF($A842="","",[1]!thsiFinD("ths_adjustment_nv_fund",G$3,$A842))</x:f>
        <x:v>#NAME?</x:v>
      </x:c>
      <x:c r="H842" t="e">
        <x:f>IF($A842="","",[1]!thsiFinD("ths_adjustment_nv_fund",H$3,$A842))</x:f>
        <x:v>#NAME?</x:v>
      </x:c>
      <x:c r="I842" t="e">
        <x:f>IF($A842="","",[1]!thsiFinD("ths_adjustment_nv_fund",I$3,$A842))</x:f>
        <x:v>#NAME?</x:v>
      </x:c>
      <x:c r="J842" t="e">
        <x:f>IF($A842="","",[1]!thsiFinD("ths_adjustment_nv_fund",J$3,$A842))</x:f>
        <x:v>#NAME?</x:v>
      </x:c>
      <x:c r="K842" t="e">
        <x:f>IF($A842="","",[1]!thsiFinD("ths_adjustment_nv_fund",K$3,$A842))</x:f>
        <x:v>#NAME?</x:v>
      </x:c>
      <x:c r="L842" t="e">
        <x:f>IF($A842="","",[1]!thsiFinD("ths_adjustment_nv_fund",L$3,$A842))</x:f>
        <x:v>#NAME?</x:v>
      </x:c>
      <x:c r="M842" t="e">
        <x:f>IF($A842="","",[1]!thsiFinD("ths_adjustment_nv_fund",M$3,$A842))</x:f>
        <x:v>#NAME?</x:v>
      </x:c>
      <x:c r="N842" t="e">
        <x:f>IF($A842="","",[1]!thsiFinD("ths_adjustment_nv_fund",N$3,$A842))</x:f>
        <x:v>#NAME?</x:v>
      </x:c>
      <x:c r="O842" t="e">
        <x:f>IF($A842="","",[1]!thsiFinD("ths_adjustment_nv_fund",O$3,$A842))</x:f>
        <x:v>#NAME?</x:v>
      </x:c>
      <x:c r="P842" t="e">
        <x:f>IF($A842="","",[1]!thsiFinD("ths_adjustment_nv_fund",P$3,$A842))</x:f>
        <x:v>#NAME?</x:v>
      </x:c>
      <x:c r="Q842" t="e">
        <x:f>IF($A842="","",[1]!thsiFinD("ths_adjustment_nv_fund",Q$3,$A842))</x:f>
        <x:v>#NAME?</x:v>
      </x:c>
      <x:c r="R842" t="e">
        <x:f>IF($A842="","",[1]!thsiFinD("ths_adjustment_nv_fund",R$3,$A842))</x:f>
        <x:v>#NAME?</x:v>
      </x:c>
      <x:c r="S842" t="e">
        <x:f>IF($A842="","",[1]!thsiFinD("ths_adjustment_nv_fund",S$3,$A842))</x:f>
        <x:v>#NAME?</x:v>
      </x:c>
      <x:c r="T842" t="e">
        <x:f>IF($A842="","",[1]!thsiFinD("ths_adjustment_nv_fund",T$3,$A842))</x:f>
        <x:v>#NAME?</x:v>
      </x:c>
      <x:c r="U842" t="e">
        <x:f>IF($A842="","",[1]!thsiFinD("ths_adjustment_nv_fund",U$3,$A842))</x:f>
        <x:v>#NAME?</x:v>
      </x:c>
      <x:c r="V842" t="e">
        <x:f>IF($A842="","",[1]!thsiFinD("ths_adjustment_nv_fund",V$3,$A842))</x:f>
        <x:v>#NAME?</x:v>
      </x:c>
      <x:c r="W842" t="e">
        <x:f>IF($A842="","",[1]!thsiFinD("ths_adjustment_nv_fund",W$3,$A842))</x:f>
        <x:v>#NAME?</x:v>
      </x:c>
      <x:c r="X842" t="e">
        <x:f>IF($A842="","",[1]!thsiFinD("ths_adjustment_nv_fund",X$3,$A842))</x:f>
        <x:v>#NAME?</x:v>
      </x:c>
      <x:c r="Y842" t="e">
        <x:f>IF($A842="","",[1]!thsiFinD("ths_adjustment_nv_fund",Y$3,$A842))</x:f>
        <x:v>#NAME?</x:v>
      </x:c>
    </x:row>
    <x:row r="843">
      <x:c r="B843" t="e">
        <x:f>IF($A843="","",[1]!thsiFinD("ths_adjustment_nv_fund",B$3,$A843))</x:f>
        <x:v>#NAME?</x:v>
      </x:c>
      <x:c r="C843" t="e">
        <x:f>IF($A843="","",[1]!thsiFinD("ths_adjustment_nv_fund",C$3,$A843))</x:f>
        <x:v>#NAME?</x:v>
      </x:c>
      <x:c r="D843" t="e">
        <x:f>IF($A843="","",[1]!thsiFinD("ths_adjustment_nv_fund",D$3,$A843))</x:f>
        <x:v>#NAME?</x:v>
      </x:c>
      <x:c r="E843" t="e">
        <x:f>IF($A843="","",[1]!thsiFinD("ths_adjustment_nv_fund",E$3,$A843))</x:f>
        <x:v>#NAME?</x:v>
      </x:c>
      <x:c r="F843" t="e">
        <x:f>IF($A843="","",[1]!thsiFinD("ths_adjustment_nv_fund",F$3,$A843))</x:f>
        <x:v>#NAME?</x:v>
      </x:c>
      <x:c r="G843" t="e">
        <x:f>IF($A843="","",[1]!thsiFinD("ths_adjustment_nv_fund",G$3,$A843))</x:f>
        <x:v>#NAME?</x:v>
      </x:c>
      <x:c r="H843" t="e">
        <x:f>IF($A843="","",[1]!thsiFinD("ths_adjustment_nv_fund",H$3,$A843))</x:f>
        <x:v>#NAME?</x:v>
      </x:c>
      <x:c r="I843" t="e">
        <x:f>IF($A843="","",[1]!thsiFinD("ths_adjustment_nv_fund",I$3,$A843))</x:f>
        <x:v>#NAME?</x:v>
      </x:c>
      <x:c r="J843" t="e">
        <x:f>IF($A843="","",[1]!thsiFinD("ths_adjustment_nv_fund",J$3,$A843))</x:f>
        <x:v>#NAME?</x:v>
      </x:c>
      <x:c r="K843" t="e">
        <x:f>IF($A843="","",[1]!thsiFinD("ths_adjustment_nv_fund",K$3,$A843))</x:f>
        <x:v>#NAME?</x:v>
      </x:c>
      <x:c r="L843" t="e">
        <x:f>IF($A843="","",[1]!thsiFinD("ths_adjustment_nv_fund",L$3,$A843))</x:f>
        <x:v>#NAME?</x:v>
      </x:c>
      <x:c r="M843" t="e">
        <x:f>IF($A843="","",[1]!thsiFinD("ths_adjustment_nv_fund",M$3,$A843))</x:f>
        <x:v>#NAME?</x:v>
      </x:c>
      <x:c r="N843" t="e">
        <x:f>IF($A843="","",[1]!thsiFinD("ths_adjustment_nv_fund",N$3,$A843))</x:f>
        <x:v>#NAME?</x:v>
      </x:c>
      <x:c r="O843" t="e">
        <x:f>IF($A843="","",[1]!thsiFinD("ths_adjustment_nv_fund",O$3,$A843))</x:f>
        <x:v>#NAME?</x:v>
      </x:c>
      <x:c r="P843" t="e">
        <x:f>IF($A843="","",[1]!thsiFinD("ths_adjustment_nv_fund",P$3,$A843))</x:f>
        <x:v>#NAME?</x:v>
      </x:c>
      <x:c r="Q843" t="e">
        <x:f>IF($A843="","",[1]!thsiFinD("ths_adjustment_nv_fund",Q$3,$A843))</x:f>
        <x:v>#NAME?</x:v>
      </x:c>
      <x:c r="R843" t="e">
        <x:f>IF($A843="","",[1]!thsiFinD("ths_adjustment_nv_fund",R$3,$A843))</x:f>
        <x:v>#NAME?</x:v>
      </x:c>
      <x:c r="S843" t="e">
        <x:f>IF($A843="","",[1]!thsiFinD("ths_adjustment_nv_fund",S$3,$A843))</x:f>
        <x:v>#NAME?</x:v>
      </x:c>
      <x:c r="T843" t="e">
        <x:f>IF($A843="","",[1]!thsiFinD("ths_adjustment_nv_fund",T$3,$A843))</x:f>
        <x:v>#NAME?</x:v>
      </x:c>
      <x:c r="U843" t="e">
        <x:f>IF($A843="","",[1]!thsiFinD("ths_adjustment_nv_fund",U$3,$A843))</x:f>
        <x:v>#NAME?</x:v>
      </x:c>
      <x:c r="V843" t="e">
        <x:f>IF($A843="","",[1]!thsiFinD("ths_adjustment_nv_fund",V$3,$A843))</x:f>
        <x:v>#NAME?</x:v>
      </x:c>
      <x:c r="W843" t="e">
        <x:f>IF($A843="","",[1]!thsiFinD("ths_adjustment_nv_fund",W$3,$A843))</x:f>
        <x:v>#NAME?</x:v>
      </x:c>
      <x:c r="X843" t="e">
        <x:f>IF($A843="","",[1]!thsiFinD("ths_adjustment_nv_fund",X$3,$A843))</x:f>
        <x:v>#NAME?</x:v>
      </x:c>
      <x:c r="Y843" t="e">
        <x:f>IF($A843="","",[1]!thsiFinD("ths_adjustment_nv_fund",Y$3,$A843))</x:f>
        <x:v>#NAME?</x:v>
      </x:c>
    </x:row>
    <x:row r="844">
      <x:c r="B844" t="e">
        <x:f>IF($A844="","",[1]!thsiFinD("ths_adjustment_nv_fund",B$3,$A844))</x:f>
        <x:v>#NAME?</x:v>
      </x:c>
      <x:c r="C844" t="e">
        <x:f>IF($A844="","",[1]!thsiFinD("ths_adjustment_nv_fund",C$3,$A844))</x:f>
        <x:v>#NAME?</x:v>
      </x:c>
      <x:c r="D844" t="e">
        <x:f>IF($A844="","",[1]!thsiFinD("ths_adjustment_nv_fund",D$3,$A844))</x:f>
        <x:v>#NAME?</x:v>
      </x:c>
      <x:c r="E844" t="e">
        <x:f>IF($A844="","",[1]!thsiFinD("ths_adjustment_nv_fund",E$3,$A844))</x:f>
        <x:v>#NAME?</x:v>
      </x:c>
      <x:c r="F844" t="e">
        <x:f>IF($A844="","",[1]!thsiFinD("ths_adjustment_nv_fund",F$3,$A844))</x:f>
        <x:v>#NAME?</x:v>
      </x:c>
      <x:c r="G844" t="e">
        <x:f>IF($A844="","",[1]!thsiFinD("ths_adjustment_nv_fund",G$3,$A844))</x:f>
        <x:v>#NAME?</x:v>
      </x:c>
      <x:c r="H844" t="e">
        <x:f>IF($A844="","",[1]!thsiFinD("ths_adjustment_nv_fund",H$3,$A844))</x:f>
        <x:v>#NAME?</x:v>
      </x:c>
      <x:c r="I844" t="e">
        <x:f>IF($A844="","",[1]!thsiFinD("ths_adjustment_nv_fund",I$3,$A844))</x:f>
        <x:v>#NAME?</x:v>
      </x:c>
      <x:c r="J844" t="e">
        <x:f>IF($A844="","",[1]!thsiFinD("ths_adjustment_nv_fund",J$3,$A844))</x:f>
        <x:v>#NAME?</x:v>
      </x:c>
      <x:c r="K844" t="e">
        <x:f>IF($A844="","",[1]!thsiFinD("ths_adjustment_nv_fund",K$3,$A844))</x:f>
        <x:v>#NAME?</x:v>
      </x:c>
      <x:c r="L844" t="e">
        <x:f>IF($A844="","",[1]!thsiFinD("ths_adjustment_nv_fund",L$3,$A844))</x:f>
        <x:v>#NAME?</x:v>
      </x:c>
      <x:c r="M844" t="e">
        <x:f>IF($A844="","",[1]!thsiFinD("ths_adjustment_nv_fund",M$3,$A844))</x:f>
        <x:v>#NAME?</x:v>
      </x:c>
      <x:c r="N844" t="e">
        <x:f>IF($A844="","",[1]!thsiFinD("ths_adjustment_nv_fund",N$3,$A844))</x:f>
        <x:v>#NAME?</x:v>
      </x:c>
      <x:c r="O844" t="e">
        <x:f>IF($A844="","",[1]!thsiFinD("ths_adjustment_nv_fund",O$3,$A844))</x:f>
        <x:v>#NAME?</x:v>
      </x:c>
      <x:c r="P844" t="e">
        <x:f>IF($A844="","",[1]!thsiFinD("ths_adjustment_nv_fund",P$3,$A844))</x:f>
        <x:v>#NAME?</x:v>
      </x:c>
      <x:c r="Q844" t="e">
        <x:f>IF($A844="","",[1]!thsiFinD("ths_adjustment_nv_fund",Q$3,$A844))</x:f>
        <x:v>#NAME?</x:v>
      </x:c>
      <x:c r="R844" t="e">
        <x:f>IF($A844="","",[1]!thsiFinD("ths_adjustment_nv_fund",R$3,$A844))</x:f>
        <x:v>#NAME?</x:v>
      </x:c>
      <x:c r="S844" t="e">
        <x:f>IF($A844="","",[1]!thsiFinD("ths_adjustment_nv_fund",S$3,$A844))</x:f>
        <x:v>#NAME?</x:v>
      </x:c>
      <x:c r="T844" t="e">
        <x:f>IF($A844="","",[1]!thsiFinD("ths_adjustment_nv_fund",T$3,$A844))</x:f>
        <x:v>#NAME?</x:v>
      </x:c>
      <x:c r="U844" t="e">
        <x:f>IF($A844="","",[1]!thsiFinD("ths_adjustment_nv_fund",U$3,$A844))</x:f>
        <x:v>#NAME?</x:v>
      </x:c>
      <x:c r="V844" t="e">
        <x:f>IF($A844="","",[1]!thsiFinD("ths_adjustment_nv_fund",V$3,$A844))</x:f>
        <x:v>#NAME?</x:v>
      </x:c>
      <x:c r="W844" t="e">
        <x:f>IF($A844="","",[1]!thsiFinD("ths_adjustment_nv_fund",W$3,$A844))</x:f>
        <x:v>#NAME?</x:v>
      </x:c>
      <x:c r="X844" t="e">
        <x:f>IF($A844="","",[1]!thsiFinD("ths_adjustment_nv_fund",X$3,$A844))</x:f>
        <x:v>#NAME?</x:v>
      </x:c>
      <x:c r="Y844" t="e">
        <x:f>IF($A844="","",[1]!thsiFinD("ths_adjustment_nv_fund",Y$3,$A844))</x:f>
        <x:v>#NAME?</x:v>
      </x:c>
    </x:row>
    <x:row r="845">
      <x:c r="B845" t="e">
        <x:f>IF($A845="","",[1]!thsiFinD("ths_adjustment_nv_fund",B$3,$A845))</x:f>
        <x:v>#NAME?</x:v>
      </x:c>
      <x:c r="C845" t="e">
        <x:f>IF($A845="","",[1]!thsiFinD("ths_adjustment_nv_fund",C$3,$A845))</x:f>
        <x:v>#NAME?</x:v>
      </x:c>
      <x:c r="D845" t="e">
        <x:f>IF($A845="","",[1]!thsiFinD("ths_adjustment_nv_fund",D$3,$A845))</x:f>
        <x:v>#NAME?</x:v>
      </x:c>
      <x:c r="E845" t="e">
        <x:f>IF($A845="","",[1]!thsiFinD("ths_adjustment_nv_fund",E$3,$A845))</x:f>
        <x:v>#NAME?</x:v>
      </x:c>
      <x:c r="F845" t="e">
        <x:f>IF($A845="","",[1]!thsiFinD("ths_adjustment_nv_fund",F$3,$A845))</x:f>
        <x:v>#NAME?</x:v>
      </x:c>
      <x:c r="G845" t="e">
        <x:f>IF($A845="","",[1]!thsiFinD("ths_adjustment_nv_fund",G$3,$A845))</x:f>
        <x:v>#NAME?</x:v>
      </x:c>
      <x:c r="H845" t="e">
        <x:f>IF($A845="","",[1]!thsiFinD("ths_adjustment_nv_fund",H$3,$A845))</x:f>
        <x:v>#NAME?</x:v>
      </x:c>
      <x:c r="I845" t="e">
        <x:f>IF($A845="","",[1]!thsiFinD("ths_adjustment_nv_fund",I$3,$A845))</x:f>
        <x:v>#NAME?</x:v>
      </x:c>
      <x:c r="J845" t="e">
        <x:f>IF($A845="","",[1]!thsiFinD("ths_adjustment_nv_fund",J$3,$A845))</x:f>
        <x:v>#NAME?</x:v>
      </x:c>
      <x:c r="K845" t="e">
        <x:f>IF($A845="","",[1]!thsiFinD("ths_adjustment_nv_fund",K$3,$A845))</x:f>
        <x:v>#NAME?</x:v>
      </x:c>
      <x:c r="L845" t="e">
        <x:f>IF($A845="","",[1]!thsiFinD("ths_adjustment_nv_fund",L$3,$A845))</x:f>
        <x:v>#NAME?</x:v>
      </x:c>
      <x:c r="M845" t="e">
        <x:f>IF($A845="","",[1]!thsiFinD("ths_adjustment_nv_fund",M$3,$A845))</x:f>
        <x:v>#NAME?</x:v>
      </x:c>
      <x:c r="N845" t="e">
        <x:f>IF($A845="","",[1]!thsiFinD("ths_adjustment_nv_fund",N$3,$A845))</x:f>
        <x:v>#NAME?</x:v>
      </x:c>
      <x:c r="O845" t="e">
        <x:f>IF($A845="","",[1]!thsiFinD("ths_adjustment_nv_fund",O$3,$A845))</x:f>
        <x:v>#NAME?</x:v>
      </x:c>
      <x:c r="P845" t="e">
        <x:f>IF($A845="","",[1]!thsiFinD("ths_adjustment_nv_fund",P$3,$A845))</x:f>
        <x:v>#NAME?</x:v>
      </x:c>
      <x:c r="Q845" t="e">
        <x:f>IF($A845="","",[1]!thsiFinD("ths_adjustment_nv_fund",Q$3,$A845))</x:f>
        <x:v>#NAME?</x:v>
      </x:c>
      <x:c r="R845" t="e">
        <x:f>IF($A845="","",[1]!thsiFinD("ths_adjustment_nv_fund",R$3,$A845))</x:f>
        <x:v>#NAME?</x:v>
      </x:c>
      <x:c r="S845" t="e">
        <x:f>IF($A845="","",[1]!thsiFinD("ths_adjustment_nv_fund",S$3,$A845))</x:f>
        <x:v>#NAME?</x:v>
      </x:c>
      <x:c r="T845" t="e">
        <x:f>IF($A845="","",[1]!thsiFinD("ths_adjustment_nv_fund",T$3,$A845))</x:f>
        <x:v>#NAME?</x:v>
      </x:c>
      <x:c r="U845" t="e">
        <x:f>IF($A845="","",[1]!thsiFinD("ths_adjustment_nv_fund",U$3,$A845))</x:f>
        <x:v>#NAME?</x:v>
      </x:c>
      <x:c r="V845" t="e">
        <x:f>IF($A845="","",[1]!thsiFinD("ths_adjustment_nv_fund",V$3,$A845))</x:f>
        <x:v>#NAME?</x:v>
      </x:c>
      <x:c r="W845" t="e">
        <x:f>IF($A845="","",[1]!thsiFinD("ths_adjustment_nv_fund",W$3,$A845))</x:f>
        <x:v>#NAME?</x:v>
      </x:c>
      <x:c r="X845" t="e">
        <x:f>IF($A845="","",[1]!thsiFinD("ths_adjustment_nv_fund",X$3,$A845))</x:f>
        <x:v>#NAME?</x:v>
      </x:c>
      <x:c r="Y845" t="e">
        <x:f>IF($A845="","",[1]!thsiFinD("ths_adjustment_nv_fund",Y$3,$A845))</x:f>
        <x:v>#NAME?</x:v>
      </x:c>
    </x:row>
    <x:row r="846">
      <x:c r="B846" t="e">
        <x:f>IF($A846="","",[1]!thsiFinD("ths_adjustment_nv_fund",B$3,$A846))</x:f>
        <x:v>#NAME?</x:v>
      </x:c>
      <x:c r="C846" t="e">
        <x:f>IF($A846="","",[1]!thsiFinD("ths_adjustment_nv_fund",C$3,$A846))</x:f>
        <x:v>#NAME?</x:v>
      </x:c>
      <x:c r="D846" t="e">
        <x:f>IF($A846="","",[1]!thsiFinD("ths_adjustment_nv_fund",D$3,$A846))</x:f>
        <x:v>#NAME?</x:v>
      </x:c>
      <x:c r="E846" t="e">
        <x:f>IF($A846="","",[1]!thsiFinD("ths_adjustment_nv_fund",E$3,$A846))</x:f>
        <x:v>#NAME?</x:v>
      </x:c>
      <x:c r="F846" t="e">
        <x:f>IF($A846="","",[1]!thsiFinD("ths_adjustment_nv_fund",F$3,$A846))</x:f>
        <x:v>#NAME?</x:v>
      </x:c>
      <x:c r="G846" t="e">
        <x:f>IF($A846="","",[1]!thsiFinD("ths_adjustment_nv_fund",G$3,$A846))</x:f>
        <x:v>#NAME?</x:v>
      </x:c>
      <x:c r="H846" t="e">
        <x:f>IF($A846="","",[1]!thsiFinD("ths_adjustment_nv_fund",H$3,$A846))</x:f>
        <x:v>#NAME?</x:v>
      </x:c>
      <x:c r="I846" t="e">
        <x:f>IF($A846="","",[1]!thsiFinD("ths_adjustment_nv_fund",I$3,$A846))</x:f>
        <x:v>#NAME?</x:v>
      </x:c>
      <x:c r="J846" t="e">
        <x:f>IF($A846="","",[1]!thsiFinD("ths_adjustment_nv_fund",J$3,$A846))</x:f>
        <x:v>#NAME?</x:v>
      </x:c>
      <x:c r="K846" t="e">
        <x:f>IF($A846="","",[1]!thsiFinD("ths_adjustment_nv_fund",K$3,$A846))</x:f>
        <x:v>#NAME?</x:v>
      </x:c>
      <x:c r="L846" t="e">
        <x:f>IF($A846="","",[1]!thsiFinD("ths_adjustment_nv_fund",L$3,$A846))</x:f>
        <x:v>#NAME?</x:v>
      </x:c>
      <x:c r="M846" t="e">
        <x:f>IF($A846="","",[1]!thsiFinD("ths_adjustment_nv_fund",M$3,$A846))</x:f>
        <x:v>#NAME?</x:v>
      </x:c>
      <x:c r="N846" t="e">
        <x:f>IF($A846="","",[1]!thsiFinD("ths_adjustment_nv_fund",N$3,$A846))</x:f>
        <x:v>#NAME?</x:v>
      </x:c>
      <x:c r="O846" t="e">
        <x:f>IF($A846="","",[1]!thsiFinD("ths_adjustment_nv_fund",O$3,$A846))</x:f>
        <x:v>#NAME?</x:v>
      </x:c>
      <x:c r="P846" t="e">
        <x:f>IF($A846="","",[1]!thsiFinD("ths_adjustment_nv_fund",P$3,$A846))</x:f>
        <x:v>#NAME?</x:v>
      </x:c>
      <x:c r="Q846" t="e">
        <x:f>IF($A846="","",[1]!thsiFinD("ths_adjustment_nv_fund",Q$3,$A846))</x:f>
        <x:v>#NAME?</x:v>
      </x:c>
      <x:c r="R846" t="e">
        <x:f>IF($A846="","",[1]!thsiFinD("ths_adjustment_nv_fund",R$3,$A846))</x:f>
        <x:v>#NAME?</x:v>
      </x:c>
      <x:c r="S846" t="e">
        <x:f>IF($A846="","",[1]!thsiFinD("ths_adjustment_nv_fund",S$3,$A846))</x:f>
        <x:v>#NAME?</x:v>
      </x:c>
      <x:c r="T846" t="e">
        <x:f>IF($A846="","",[1]!thsiFinD("ths_adjustment_nv_fund",T$3,$A846))</x:f>
        <x:v>#NAME?</x:v>
      </x:c>
      <x:c r="U846" t="e">
        <x:f>IF($A846="","",[1]!thsiFinD("ths_adjustment_nv_fund",U$3,$A846))</x:f>
        <x:v>#NAME?</x:v>
      </x:c>
      <x:c r="V846" t="e">
        <x:f>IF($A846="","",[1]!thsiFinD("ths_adjustment_nv_fund",V$3,$A846))</x:f>
        <x:v>#NAME?</x:v>
      </x:c>
      <x:c r="W846" t="e">
        <x:f>IF($A846="","",[1]!thsiFinD("ths_adjustment_nv_fund",W$3,$A846))</x:f>
        <x:v>#NAME?</x:v>
      </x:c>
      <x:c r="X846" t="e">
        <x:f>IF($A846="","",[1]!thsiFinD("ths_adjustment_nv_fund",X$3,$A846))</x:f>
        <x:v>#NAME?</x:v>
      </x:c>
      <x:c r="Y846" t="e">
        <x:f>IF($A846="","",[1]!thsiFinD("ths_adjustment_nv_fund",Y$3,$A846))</x:f>
        <x:v>#NAME?</x:v>
      </x:c>
    </x:row>
    <x:row r="847">
      <x:c r="B847" t="e">
        <x:f>IF($A847="","",[1]!thsiFinD("ths_adjustment_nv_fund",B$3,$A847))</x:f>
        <x:v>#NAME?</x:v>
      </x:c>
      <x:c r="C847" t="e">
        <x:f>IF($A847="","",[1]!thsiFinD("ths_adjustment_nv_fund",C$3,$A847))</x:f>
        <x:v>#NAME?</x:v>
      </x:c>
      <x:c r="D847" t="e">
        <x:f>IF($A847="","",[1]!thsiFinD("ths_adjustment_nv_fund",D$3,$A847))</x:f>
        <x:v>#NAME?</x:v>
      </x:c>
      <x:c r="E847" t="e">
        <x:f>IF($A847="","",[1]!thsiFinD("ths_adjustment_nv_fund",E$3,$A847))</x:f>
        <x:v>#NAME?</x:v>
      </x:c>
      <x:c r="F847" t="e">
        <x:f>IF($A847="","",[1]!thsiFinD("ths_adjustment_nv_fund",F$3,$A847))</x:f>
        <x:v>#NAME?</x:v>
      </x:c>
      <x:c r="G847" t="e">
        <x:f>IF($A847="","",[1]!thsiFinD("ths_adjustment_nv_fund",G$3,$A847))</x:f>
        <x:v>#NAME?</x:v>
      </x:c>
      <x:c r="H847" t="e">
        <x:f>IF($A847="","",[1]!thsiFinD("ths_adjustment_nv_fund",H$3,$A847))</x:f>
        <x:v>#NAME?</x:v>
      </x:c>
      <x:c r="I847" t="e">
        <x:f>IF($A847="","",[1]!thsiFinD("ths_adjustment_nv_fund",I$3,$A847))</x:f>
        <x:v>#NAME?</x:v>
      </x:c>
      <x:c r="J847" t="e">
        <x:f>IF($A847="","",[1]!thsiFinD("ths_adjustment_nv_fund",J$3,$A847))</x:f>
        <x:v>#NAME?</x:v>
      </x:c>
      <x:c r="K847" t="e">
        <x:f>IF($A847="","",[1]!thsiFinD("ths_adjustment_nv_fund",K$3,$A847))</x:f>
        <x:v>#NAME?</x:v>
      </x:c>
      <x:c r="L847" t="e">
        <x:f>IF($A847="","",[1]!thsiFinD("ths_adjustment_nv_fund",L$3,$A847))</x:f>
        <x:v>#NAME?</x:v>
      </x:c>
      <x:c r="M847" t="e">
        <x:f>IF($A847="","",[1]!thsiFinD("ths_adjustment_nv_fund",M$3,$A847))</x:f>
        <x:v>#NAME?</x:v>
      </x:c>
      <x:c r="N847" t="e">
        <x:f>IF($A847="","",[1]!thsiFinD("ths_adjustment_nv_fund",N$3,$A847))</x:f>
        <x:v>#NAME?</x:v>
      </x:c>
      <x:c r="O847" t="e">
        <x:f>IF($A847="","",[1]!thsiFinD("ths_adjustment_nv_fund",O$3,$A847))</x:f>
        <x:v>#NAME?</x:v>
      </x:c>
      <x:c r="P847" t="e">
        <x:f>IF($A847="","",[1]!thsiFinD("ths_adjustment_nv_fund",P$3,$A847))</x:f>
        <x:v>#NAME?</x:v>
      </x:c>
      <x:c r="Q847" t="e">
        <x:f>IF($A847="","",[1]!thsiFinD("ths_adjustment_nv_fund",Q$3,$A847))</x:f>
        <x:v>#NAME?</x:v>
      </x:c>
      <x:c r="R847" t="e">
        <x:f>IF($A847="","",[1]!thsiFinD("ths_adjustment_nv_fund",R$3,$A847))</x:f>
        <x:v>#NAME?</x:v>
      </x:c>
      <x:c r="S847" t="e">
        <x:f>IF($A847="","",[1]!thsiFinD("ths_adjustment_nv_fund",S$3,$A847))</x:f>
        <x:v>#NAME?</x:v>
      </x:c>
      <x:c r="T847" t="e">
        <x:f>IF($A847="","",[1]!thsiFinD("ths_adjustment_nv_fund",T$3,$A847))</x:f>
        <x:v>#NAME?</x:v>
      </x:c>
      <x:c r="U847" t="e">
        <x:f>IF($A847="","",[1]!thsiFinD("ths_adjustment_nv_fund",U$3,$A847))</x:f>
        <x:v>#NAME?</x:v>
      </x:c>
      <x:c r="V847" t="e">
        <x:f>IF($A847="","",[1]!thsiFinD("ths_adjustment_nv_fund",V$3,$A847))</x:f>
        <x:v>#NAME?</x:v>
      </x:c>
      <x:c r="W847" t="e">
        <x:f>IF($A847="","",[1]!thsiFinD("ths_adjustment_nv_fund",W$3,$A847))</x:f>
        <x:v>#NAME?</x:v>
      </x:c>
      <x:c r="X847" t="e">
        <x:f>IF($A847="","",[1]!thsiFinD("ths_adjustment_nv_fund",X$3,$A847))</x:f>
        <x:v>#NAME?</x:v>
      </x:c>
      <x:c r="Y847" t="e">
        <x:f>IF($A847="","",[1]!thsiFinD("ths_adjustment_nv_fund",Y$3,$A847))</x:f>
        <x:v>#NAME?</x:v>
      </x:c>
    </x:row>
    <x:row r="848">
      <x:c r="B848" t="e">
        <x:f>IF($A848="","",[1]!thsiFinD("ths_adjustment_nv_fund",B$3,$A848))</x:f>
        <x:v>#NAME?</x:v>
      </x:c>
      <x:c r="C848" t="e">
        <x:f>IF($A848="","",[1]!thsiFinD("ths_adjustment_nv_fund",C$3,$A848))</x:f>
        <x:v>#NAME?</x:v>
      </x:c>
      <x:c r="D848" t="e">
        <x:f>IF($A848="","",[1]!thsiFinD("ths_adjustment_nv_fund",D$3,$A848))</x:f>
        <x:v>#NAME?</x:v>
      </x:c>
      <x:c r="E848" t="e">
        <x:f>IF($A848="","",[1]!thsiFinD("ths_adjustment_nv_fund",E$3,$A848))</x:f>
        <x:v>#NAME?</x:v>
      </x:c>
      <x:c r="F848" t="e">
        <x:f>IF($A848="","",[1]!thsiFinD("ths_adjustment_nv_fund",F$3,$A848))</x:f>
        <x:v>#NAME?</x:v>
      </x:c>
      <x:c r="G848" t="e">
        <x:f>IF($A848="","",[1]!thsiFinD("ths_adjustment_nv_fund",G$3,$A848))</x:f>
        <x:v>#NAME?</x:v>
      </x:c>
      <x:c r="H848" t="e">
        <x:f>IF($A848="","",[1]!thsiFinD("ths_adjustment_nv_fund",H$3,$A848))</x:f>
        <x:v>#NAME?</x:v>
      </x:c>
      <x:c r="I848" t="e">
        <x:f>IF($A848="","",[1]!thsiFinD("ths_adjustment_nv_fund",I$3,$A848))</x:f>
        <x:v>#NAME?</x:v>
      </x:c>
      <x:c r="J848" t="e">
        <x:f>IF($A848="","",[1]!thsiFinD("ths_adjustment_nv_fund",J$3,$A848))</x:f>
        <x:v>#NAME?</x:v>
      </x:c>
      <x:c r="K848" t="e">
        <x:f>IF($A848="","",[1]!thsiFinD("ths_adjustment_nv_fund",K$3,$A848))</x:f>
        <x:v>#NAME?</x:v>
      </x:c>
      <x:c r="L848" t="e">
        <x:f>IF($A848="","",[1]!thsiFinD("ths_adjustment_nv_fund",L$3,$A848))</x:f>
        <x:v>#NAME?</x:v>
      </x:c>
      <x:c r="M848" t="e">
        <x:f>IF($A848="","",[1]!thsiFinD("ths_adjustment_nv_fund",M$3,$A848))</x:f>
        <x:v>#NAME?</x:v>
      </x:c>
      <x:c r="N848" t="e">
        <x:f>IF($A848="","",[1]!thsiFinD("ths_adjustment_nv_fund",N$3,$A848))</x:f>
        <x:v>#NAME?</x:v>
      </x:c>
      <x:c r="O848" t="e">
        <x:f>IF($A848="","",[1]!thsiFinD("ths_adjustment_nv_fund",O$3,$A848))</x:f>
        <x:v>#NAME?</x:v>
      </x:c>
      <x:c r="P848" t="e">
        <x:f>IF($A848="","",[1]!thsiFinD("ths_adjustment_nv_fund",P$3,$A848))</x:f>
        <x:v>#NAME?</x:v>
      </x:c>
      <x:c r="Q848" t="e">
        <x:f>IF($A848="","",[1]!thsiFinD("ths_adjustment_nv_fund",Q$3,$A848))</x:f>
        <x:v>#NAME?</x:v>
      </x:c>
      <x:c r="R848" t="e">
        <x:f>IF($A848="","",[1]!thsiFinD("ths_adjustment_nv_fund",R$3,$A848))</x:f>
        <x:v>#NAME?</x:v>
      </x:c>
      <x:c r="S848" t="e">
        <x:f>IF($A848="","",[1]!thsiFinD("ths_adjustment_nv_fund",S$3,$A848))</x:f>
        <x:v>#NAME?</x:v>
      </x:c>
      <x:c r="T848" t="e">
        <x:f>IF($A848="","",[1]!thsiFinD("ths_adjustment_nv_fund",T$3,$A848))</x:f>
        <x:v>#NAME?</x:v>
      </x:c>
      <x:c r="U848" t="e">
        <x:f>IF($A848="","",[1]!thsiFinD("ths_adjustment_nv_fund",U$3,$A848))</x:f>
        <x:v>#NAME?</x:v>
      </x:c>
      <x:c r="V848" t="e">
        <x:f>IF($A848="","",[1]!thsiFinD("ths_adjustment_nv_fund",V$3,$A848))</x:f>
        <x:v>#NAME?</x:v>
      </x:c>
      <x:c r="W848" t="e">
        <x:f>IF($A848="","",[1]!thsiFinD("ths_adjustment_nv_fund",W$3,$A848))</x:f>
        <x:v>#NAME?</x:v>
      </x:c>
      <x:c r="X848" t="e">
        <x:f>IF($A848="","",[1]!thsiFinD("ths_adjustment_nv_fund",X$3,$A848))</x:f>
        <x:v>#NAME?</x:v>
      </x:c>
      <x:c r="Y848" t="e">
        <x:f>IF($A848="","",[1]!thsiFinD("ths_adjustment_nv_fund",Y$3,$A848))</x:f>
        <x:v>#NAME?</x:v>
      </x:c>
    </x:row>
    <x:row r="849">
      <x:c r="B849" t="e">
        <x:f>IF($A849="","",[1]!thsiFinD("ths_adjustment_nv_fund",B$3,$A849))</x:f>
        <x:v>#NAME?</x:v>
      </x:c>
      <x:c r="C849" t="e">
        <x:f>IF($A849="","",[1]!thsiFinD("ths_adjustment_nv_fund",C$3,$A849))</x:f>
        <x:v>#NAME?</x:v>
      </x:c>
      <x:c r="D849" t="e">
        <x:f>IF($A849="","",[1]!thsiFinD("ths_adjustment_nv_fund",D$3,$A849))</x:f>
        <x:v>#NAME?</x:v>
      </x:c>
      <x:c r="E849" t="e">
        <x:f>IF($A849="","",[1]!thsiFinD("ths_adjustment_nv_fund",E$3,$A849))</x:f>
        <x:v>#NAME?</x:v>
      </x:c>
      <x:c r="F849" t="e">
        <x:f>IF($A849="","",[1]!thsiFinD("ths_adjustment_nv_fund",F$3,$A849))</x:f>
        <x:v>#NAME?</x:v>
      </x:c>
      <x:c r="G849" t="e">
        <x:f>IF($A849="","",[1]!thsiFinD("ths_adjustment_nv_fund",G$3,$A849))</x:f>
        <x:v>#NAME?</x:v>
      </x:c>
      <x:c r="H849" t="e">
        <x:f>IF($A849="","",[1]!thsiFinD("ths_adjustment_nv_fund",H$3,$A849))</x:f>
        <x:v>#NAME?</x:v>
      </x:c>
      <x:c r="I849" t="e">
        <x:f>IF($A849="","",[1]!thsiFinD("ths_adjustment_nv_fund",I$3,$A849))</x:f>
        <x:v>#NAME?</x:v>
      </x:c>
      <x:c r="J849" t="e">
        <x:f>IF($A849="","",[1]!thsiFinD("ths_adjustment_nv_fund",J$3,$A849))</x:f>
        <x:v>#NAME?</x:v>
      </x:c>
      <x:c r="K849" t="e">
        <x:f>IF($A849="","",[1]!thsiFinD("ths_adjustment_nv_fund",K$3,$A849))</x:f>
        <x:v>#NAME?</x:v>
      </x:c>
      <x:c r="L849" t="e">
        <x:f>IF($A849="","",[1]!thsiFinD("ths_adjustment_nv_fund",L$3,$A849))</x:f>
        <x:v>#NAME?</x:v>
      </x:c>
      <x:c r="M849" t="e">
        <x:f>IF($A849="","",[1]!thsiFinD("ths_adjustment_nv_fund",M$3,$A849))</x:f>
        <x:v>#NAME?</x:v>
      </x:c>
      <x:c r="N849" t="e">
        <x:f>IF($A849="","",[1]!thsiFinD("ths_adjustment_nv_fund",N$3,$A849))</x:f>
        <x:v>#NAME?</x:v>
      </x:c>
      <x:c r="O849" t="e">
        <x:f>IF($A849="","",[1]!thsiFinD("ths_adjustment_nv_fund",O$3,$A849))</x:f>
        <x:v>#NAME?</x:v>
      </x:c>
      <x:c r="P849" t="e">
        <x:f>IF($A849="","",[1]!thsiFinD("ths_adjustment_nv_fund",P$3,$A849))</x:f>
        <x:v>#NAME?</x:v>
      </x:c>
      <x:c r="Q849" t="e">
        <x:f>IF($A849="","",[1]!thsiFinD("ths_adjustment_nv_fund",Q$3,$A849))</x:f>
        <x:v>#NAME?</x:v>
      </x:c>
      <x:c r="R849" t="e">
        <x:f>IF($A849="","",[1]!thsiFinD("ths_adjustment_nv_fund",R$3,$A849))</x:f>
        <x:v>#NAME?</x:v>
      </x:c>
      <x:c r="S849" t="e">
        <x:f>IF($A849="","",[1]!thsiFinD("ths_adjustment_nv_fund",S$3,$A849))</x:f>
        <x:v>#NAME?</x:v>
      </x:c>
      <x:c r="T849" t="e">
        <x:f>IF($A849="","",[1]!thsiFinD("ths_adjustment_nv_fund",T$3,$A849))</x:f>
        <x:v>#NAME?</x:v>
      </x:c>
      <x:c r="U849" t="e">
        <x:f>IF($A849="","",[1]!thsiFinD("ths_adjustment_nv_fund",U$3,$A849))</x:f>
        <x:v>#NAME?</x:v>
      </x:c>
      <x:c r="V849" t="e">
        <x:f>IF($A849="","",[1]!thsiFinD("ths_adjustment_nv_fund",V$3,$A849))</x:f>
        <x:v>#NAME?</x:v>
      </x:c>
      <x:c r="W849" t="e">
        <x:f>IF($A849="","",[1]!thsiFinD("ths_adjustment_nv_fund",W$3,$A849))</x:f>
        <x:v>#NAME?</x:v>
      </x:c>
      <x:c r="X849" t="e">
        <x:f>IF($A849="","",[1]!thsiFinD("ths_adjustment_nv_fund",X$3,$A849))</x:f>
        <x:v>#NAME?</x:v>
      </x:c>
      <x:c r="Y849" t="e">
        <x:f>IF($A849="","",[1]!thsiFinD("ths_adjustment_nv_fund",Y$3,$A849))</x:f>
        <x:v>#NAME?</x:v>
      </x:c>
    </x:row>
    <x:row r="850">
      <x:c r="B850" t="e">
        <x:f>IF($A850="","",[1]!thsiFinD("ths_adjustment_nv_fund",B$3,$A850))</x:f>
        <x:v>#NAME?</x:v>
      </x:c>
      <x:c r="C850" t="e">
        <x:f>IF($A850="","",[1]!thsiFinD("ths_adjustment_nv_fund",C$3,$A850))</x:f>
        <x:v>#NAME?</x:v>
      </x:c>
      <x:c r="D850" t="e">
        <x:f>IF($A850="","",[1]!thsiFinD("ths_adjustment_nv_fund",D$3,$A850))</x:f>
        <x:v>#NAME?</x:v>
      </x:c>
      <x:c r="E850" t="e">
        <x:f>IF($A850="","",[1]!thsiFinD("ths_adjustment_nv_fund",E$3,$A850))</x:f>
        <x:v>#NAME?</x:v>
      </x:c>
      <x:c r="F850" t="e">
        <x:f>IF($A850="","",[1]!thsiFinD("ths_adjustment_nv_fund",F$3,$A850))</x:f>
        <x:v>#NAME?</x:v>
      </x:c>
      <x:c r="G850" t="e">
        <x:f>IF($A850="","",[1]!thsiFinD("ths_adjustment_nv_fund",G$3,$A850))</x:f>
        <x:v>#NAME?</x:v>
      </x:c>
      <x:c r="H850" t="e">
        <x:f>IF($A850="","",[1]!thsiFinD("ths_adjustment_nv_fund",H$3,$A850))</x:f>
        <x:v>#NAME?</x:v>
      </x:c>
      <x:c r="I850" t="e">
        <x:f>IF($A850="","",[1]!thsiFinD("ths_adjustment_nv_fund",I$3,$A850))</x:f>
        <x:v>#NAME?</x:v>
      </x:c>
      <x:c r="J850" t="e">
        <x:f>IF($A850="","",[1]!thsiFinD("ths_adjustment_nv_fund",J$3,$A850))</x:f>
        <x:v>#NAME?</x:v>
      </x:c>
      <x:c r="K850" t="e">
        <x:f>IF($A850="","",[1]!thsiFinD("ths_adjustment_nv_fund",K$3,$A850))</x:f>
        <x:v>#NAME?</x:v>
      </x:c>
      <x:c r="L850" t="e">
        <x:f>IF($A850="","",[1]!thsiFinD("ths_adjustment_nv_fund",L$3,$A850))</x:f>
        <x:v>#NAME?</x:v>
      </x:c>
      <x:c r="M850" t="e">
        <x:f>IF($A850="","",[1]!thsiFinD("ths_adjustment_nv_fund",M$3,$A850))</x:f>
        <x:v>#NAME?</x:v>
      </x:c>
      <x:c r="N850" t="e">
        <x:f>IF($A850="","",[1]!thsiFinD("ths_adjustment_nv_fund",N$3,$A850))</x:f>
        <x:v>#NAME?</x:v>
      </x:c>
      <x:c r="O850" t="e">
        <x:f>IF($A850="","",[1]!thsiFinD("ths_adjustment_nv_fund",O$3,$A850))</x:f>
        <x:v>#NAME?</x:v>
      </x:c>
      <x:c r="P850" t="e">
        <x:f>IF($A850="","",[1]!thsiFinD("ths_adjustment_nv_fund",P$3,$A850))</x:f>
        <x:v>#NAME?</x:v>
      </x:c>
      <x:c r="Q850" t="e">
        <x:f>IF($A850="","",[1]!thsiFinD("ths_adjustment_nv_fund",Q$3,$A850))</x:f>
        <x:v>#NAME?</x:v>
      </x:c>
      <x:c r="R850" t="e">
        <x:f>IF($A850="","",[1]!thsiFinD("ths_adjustment_nv_fund",R$3,$A850))</x:f>
        <x:v>#NAME?</x:v>
      </x:c>
      <x:c r="S850" t="e">
        <x:f>IF($A850="","",[1]!thsiFinD("ths_adjustment_nv_fund",S$3,$A850))</x:f>
        <x:v>#NAME?</x:v>
      </x:c>
      <x:c r="T850" t="e">
        <x:f>IF($A850="","",[1]!thsiFinD("ths_adjustment_nv_fund",T$3,$A850))</x:f>
        <x:v>#NAME?</x:v>
      </x:c>
      <x:c r="U850" t="e">
        <x:f>IF($A850="","",[1]!thsiFinD("ths_adjustment_nv_fund",U$3,$A850))</x:f>
        <x:v>#NAME?</x:v>
      </x:c>
      <x:c r="V850" t="e">
        <x:f>IF($A850="","",[1]!thsiFinD("ths_adjustment_nv_fund",V$3,$A850))</x:f>
        <x:v>#NAME?</x:v>
      </x:c>
      <x:c r="W850" t="e">
        <x:f>IF($A850="","",[1]!thsiFinD("ths_adjustment_nv_fund",W$3,$A850))</x:f>
        <x:v>#NAME?</x:v>
      </x:c>
      <x:c r="X850" t="e">
        <x:f>IF($A850="","",[1]!thsiFinD("ths_adjustment_nv_fund",X$3,$A850))</x:f>
        <x:v>#NAME?</x:v>
      </x:c>
      <x:c r="Y850" t="e">
        <x:f>IF($A850="","",[1]!thsiFinD("ths_adjustment_nv_fund",Y$3,$A850))</x:f>
        <x:v>#NAME?</x:v>
      </x:c>
    </x:row>
    <x:row r="851">
      <x:c r="B851" t="e">
        <x:f>IF($A851="","",[1]!thsiFinD("ths_adjustment_nv_fund",B$3,$A851))</x:f>
        <x:v>#NAME?</x:v>
      </x:c>
      <x:c r="C851" t="e">
        <x:f>IF($A851="","",[1]!thsiFinD("ths_adjustment_nv_fund",C$3,$A851))</x:f>
        <x:v>#NAME?</x:v>
      </x:c>
      <x:c r="D851" t="e">
        <x:f>IF($A851="","",[1]!thsiFinD("ths_adjustment_nv_fund",D$3,$A851))</x:f>
        <x:v>#NAME?</x:v>
      </x:c>
      <x:c r="E851" t="e">
        <x:f>IF($A851="","",[1]!thsiFinD("ths_adjustment_nv_fund",E$3,$A851))</x:f>
        <x:v>#NAME?</x:v>
      </x:c>
      <x:c r="F851" t="e">
        <x:f>IF($A851="","",[1]!thsiFinD("ths_adjustment_nv_fund",F$3,$A851))</x:f>
        <x:v>#NAME?</x:v>
      </x:c>
      <x:c r="G851" t="e">
        <x:f>IF($A851="","",[1]!thsiFinD("ths_adjustment_nv_fund",G$3,$A851))</x:f>
        <x:v>#NAME?</x:v>
      </x:c>
      <x:c r="H851" t="e">
        <x:f>IF($A851="","",[1]!thsiFinD("ths_adjustment_nv_fund",H$3,$A851))</x:f>
        <x:v>#NAME?</x:v>
      </x:c>
      <x:c r="I851" t="e">
        <x:f>IF($A851="","",[1]!thsiFinD("ths_adjustment_nv_fund",I$3,$A851))</x:f>
        <x:v>#NAME?</x:v>
      </x:c>
      <x:c r="J851" t="e">
        <x:f>IF($A851="","",[1]!thsiFinD("ths_adjustment_nv_fund",J$3,$A851))</x:f>
        <x:v>#NAME?</x:v>
      </x:c>
      <x:c r="K851" t="e">
        <x:f>IF($A851="","",[1]!thsiFinD("ths_adjustment_nv_fund",K$3,$A851))</x:f>
        <x:v>#NAME?</x:v>
      </x:c>
      <x:c r="L851" t="e">
        <x:f>IF($A851="","",[1]!thsiFinD("ths_adjustment_nv_fund",L$3,$A851))</x:f>
        <x:v>#NAME?</x:v>
      </x:c>
      <x:c r="M851" t="e">
        <x:f>IF($A851="","",[1]!thsiFinD("ths_adjustment_nv_fund",M$3,$A851))</x:f>
        <x:v>#NAME?</x:v>
      </x:c>
      <x:c r="N851" t="e">
        <x:f>IF($A851="","",[1]!thsiFinD("ths_adjustment_nv_fund",N$3,$A851))</x:f>
        <x:v>#NAME?</x:v>
      </x:c>
      <x:c r="O851" t="e">
        <x:f>IF($A851="","",[1]!thsiFinD("ths_adjustment_nv_fund",O$3,$A851))</x:f>
        <x:v>#NAME?</x:v>
      </x:c>
      <x:c r="P851" t="e">
        <x:f>IF($A851="","",[1]!thsiFinD("ths_adjustment_nv_fund",P$3,$A851))</x:f>
        <x:v>#NAME?</x:v>
      </x:c>
      <x:c r="Q851" t="e">
        <x:f>IF($A851="","",[1]!thsiFinD("ths_adjustment_nv_fund",Q$3,$A851))</x:f>
        <x:v>#NAME?</x:v>
      </x:c>
      <x:c r="R851" t="e">
        <x:f>IF($A851="","",[1]!thsiFinD("ths_adjustment_nv_fund",R$3,$A851))</x:f>
        <x:v>#NAME?</x:v>
      </x:c>
      <x:c r="S851" t="e">
        <x:f>IF($A851="","",[1]!thsiFinD("ths_adjustment_nv_fund",S$3,$A851))</x:f>
        <x:v>#NAME?</x:v>
      </x:c>
      <x:c r="T851" t="e">
        <x:f>IF($A851="","",[1]!thsiFinD("ths_adjustment_nv_fund",T$3,$A851))</x:f>
        <x:v>#NAME?</x:v>
      </x:c>
      <x:c r="U851" t="e">
        <x:f>IF($A851="","",[1]!thsiFinD("ths_adjustment_nv_fund",U$3,$A851))</x:f>
        <x:v>#NAME?</x:v>
      </x:c>
      <x:c r="V851" t="e">
        <x:f>IF($A851="","",[1]!thsiFinD("ths_adjustment_nv_fund",V$3,$A851))</x:f>
        <x:v>#NAME?</x:v>
      </x:c>
      <x:c r="W851" t="e">
        <x:f>IF($A851="","",[1]!thsiFinD("ths_adjustment_nv_fund",W$3,$A851))</x:f>
        <x:v>#NAME?</x:v>
      </x:c>
      <x:c r="X851" t="e">
        <x:f>IF($A851="","",[1]!thsiFinD("ths_adjustment_nv_fund",X$3,$A851))</x:f>
        <x:v>#NAME?</x:v>
      </x:c>
      <x:c r="Y851" t="e">
        <x:f>IF($A851="","",[1]!thsiFinD("ths_adjustment_nv_fund",Y$3,$A851))</x:f>
        <x:v>#NAME?</x:v>
      </x:c>
    </x:row>
    <x:row r="852">
      <x:c r="B852" t="e">
        <x:f>IF($A852="","",[1]!thsiFinD("ths_adjustment_nv_fund",B$3,$A852))</x:f>
        <x:v>#NAME?</x:v>
      </x:c>
      <x:c r="C852" t="e">
        <x:f>IF($A852="","",[1]!thsiFinD("ths_adjustment_nv_fund",C$3,$A852))</x:f>
        <x:v>#NAME?</x:v>
      </x:c>
      <x:c r="D852" t="e">
        <x:f>IF($A852="","",[1]!thsiFinD("ths_adjustment_nv_fund",D$3,$A852))</x:f>
        <x:v>#NAME?</x:v>
      </x:c>
      <x:c r="E852" t="e">
        <x:f>IF($A852="","",[1]!thsiFinD("ths_adjustment_nv_fund",E$3,$A852))</x:f>
        <x:v>#NAME?</x:v>
      </x:c>
      <x:c r="F852" t="e">
        <x:f>IF($A852="","",[1]!thsiFinD("ths_adjustment_nv_fund",F$3,$A852))</x:f>
        <x:v>#NAME?</x:v>
      </x:c>
      <x:c r="G852" t="e">
        <x:f>IF($A852="","",[1]!thsiFinD("ths_adjustment_nv_fund",G$3,$A852))</x:f>
        <x:v>#NAME?</x:v>
      </x:c>
      <x:c r="H852" t="e">
        <x:f>IF($A852="","",[1]!thsiFinD("ths_adjustment_nv_fund",H$3,$A852))</x:f>
        <x:v>#NAME?</x:v>
      </x:c>
      <x:c r="I852" t="e">
        <x:f>IF($A852="","",[1]!thsiFinD("ths_adjustment_nv_fund",I$3,$A852))</x:f>
        <x:v>#NAME?</x:v>
      </x:c>
      <x:c r="J852" t="e">
        <x:f>IF($A852="","",[1]!thsiFinD("ths_adjustment_nv_fund",J$3,$A852))</x:f>
        <x:v>#NAME?</x:v>
      </x:c>
      <x:c r="K852" t="e">
        <x:f>IF($A852="","",[1]!thsiFinD("ths_adjustment_nv_fund",K$3,$A852))</x:f>
        <x:v>#NAME?</x:v>
      </x:c>
      <x:c r="L852" t="e">
        <x:f>IF($A852="","",[1]!thsiFinD("ths_adjustment_nv_fund",L$3,$A852))</x:f>
        <x:v>#NAME?</x:v>
      </x:c>
      <x:c r="M852" t="e">
        <x:f>IF($A852="","",[1]!thsiFinD("ths_adjustment_nv_fund",M$3,$A852))</x:f>
        <x:v>#NAME?</x:v>
      </x:c>
      <x:c r="N852" t="e">
        <x:f>IF($A852="","",[1]!thsiFinD("ths_adjustment_nv_fund",N$3,$A852))</x:f>
        <x:v>#NAME?</x:v>
      </x:c>
      <x:c r="O852" t="e">
        <x:f>IF($A852="","",[1]!thsiFinD("ths_adjustment_nv_fund",O$3,$A852))</x:f>
        <x:v>#NAME?</x:v>
      </x:c>
      <x:c r="P852" t="e">
        <x:f>IF($A852="","",[1]!thsiFinD("ths_adjustment_nv_fund",P$3,$A852))</x:f>
        <x:v>#NAME?</x:v>
      </x:c>
      <x:c r="Q852" t="e">
        <x:f>IF($A852="","",[1]!thsiFinD("ths_adjustment_nv_fund",Q$3,$A852))</x:f>
        <x:v>#NAME?</x:v>
      </x:c>
      <x:c r="R852" t="e">
        <x:f>IF($A852="","",[1]!thsiFinD("ths_adjustment_nv_fund",R$3,$A852))</x:f>
        <x:v>#NAME?</x:v>
      </x:c>
      <x:c r="S852" t="e">
        <x:f>IF($A852="","",[1]!thsiFinD("ths_adjustment_nv_fund",S$3,$A852))</x:f>
        <x:v>#NAME?</x:v>
      </x:c>
      <x:c r="T852" t="e">
        <x:f>IF($A852="","",[1]!thsiFinD("ths_adjustment_nv_fund",T$3,$A852))</x:f>
        <x:v>#NAME?</x:v>
      </x:c>
      <x:c r="U852" t="e">
        <x:f>IF($A852="","",[1]!thsiFinD("ths_adjustment_nv_fund",U$3,$A852))</x:f>
        <x:v>#NAME?</x:v>
      </x:c>
      <x:c r="V852" t="e">
        <x:f>IF($A852="","",[1]!thsiFinD("ths_adjustment_nv_fund",V$3,$A852))</x:f>
        <x:v>#NAME?</x:v>
      </x:c>
      <x:c r="W852" t="e">
        <x:f>IF($A852="","",[1]!thsiFinD("ths_adjustment_nv_fund",W$3,$A852))</x:f>
        <x:v>#NAME?</x:v>
      </x:c>
      <x:c r="X852" t="e">
        <x:f>IF($A852="","",[1]!thsiFinD("ths_adjustment_nv_fund",X$3,$A852))</x:f>
        <x:v>#NAME?</x:v>
      </x:c>
      <x:c r="Y852" t="e">
        <x:f>IF($A852="","",[1]!thsiFinD("ths_adjustment_nv_fund",Y$3,$A852))</x:f>
        <x:v>#NAME?</x:v>
      </x:c>
    </x:row>
    <x:row r="853">
      <x:c r="B853" t="e">
        <x:f>IF($A853="","",[1]!thsiFinD("ths_adjustment_nv_fund",B$3,$A853))</x:f>
        <x:v>#NAME?</x:v>
      </x:c>
      <x:c r="C853" t="e">
        <x:f>IF($A853="","",[1]!thsiFinD("ths_adjustment_nv_fund",C$3,$A853))</x:f>
        <x:v>#NAME?</x:v>
      </x:c>
      <x:c r="D853" t="e">
        <x:f>IF($A853="","",[1]!thsiFinD("ths_adjustment_nv_fund",D$3,$A853))</x:f>
        <x:v>#NAME?</x:v>
      </x:c>
      <x:c r="E853" t="e">
        <x:f>IF($A853="","",[1]!thsiFinD("ths_adjustment_nv_fund",E$3,$A853))</x:f>
        <x:v>#NAME?</x:v>
      </x:c>
      <x:c r="F853" t="e">
        <x:f>IF($A853="","",[1]!thsiFinD("ths_adjustment_nv_fund",F$3,$A853))</x:f>
        <x:v>#NAME?</x:v>
      </x:c>
      <x:c r="G853" t="e">
        <x:f>IF($A853="","",[1]!thsiFinD("ths_adjustment_nv_fund",G$3,$A853))</x:f>
        <x:v>#NAME?</x:v>
      </x:c>
      <x:c r="H853" t="e">
        <x:f>IF($A853="","",[1]!thsiFinD("ths_adjustment_nv_fund",H$3,$A853))</x:f>
        <x:v>#NAME?</x:v>
      </x:c>
      <x:c r="I853" t="e">
        <x:f>IF($A853="","",[1]!thsiFinD("ths_adjustment_nv_fund",I$3,$A853))</x:f>
        <x:v>#NAME?</x:v>
      </x:c>
      <x:c r="J853" t="e">
        <x:f>IF($A853="","",[1]!thsiFinD("ths_adjustment_nv_fund",J$3,$A853))</x:f>
        <x:v>#NAME?</x:v>
      </x:c>
      <x:c r="K853" t="e">
        <x:f>IF($A853="","",[1]!thsiFinD("ths_adjustment_nv_fund",K$3,$A853))</x:f>
        <x:v>#NAME?</x:v>
      </x:c>
      <x:c r="L853" t="e">
        <x:f>IF($A853="","",[1]!thsiFinD("ths_adjustment_nv_fund",L$3,$A853))</x:f>
        <x:v>#NAME?</x:v>
      </x:c>
      <x:c r="M853" t="e">
        <x:f>IF($A853="","",[1]!thsiFinD("ths_adjustment_nv_fund",M$3,$A853))</x:f>
        <x:v>#NAME?</x:v>
      </x:c>
      <x:c r="N853" t="e">
        <x:f>IF($A853="","",[1]!thsiFinD("ths_adjustment_nv_fund",N$3,$A853))</x:f>
        <x:v>#NAME?</x:v>
      </x:c>
      <x:c r="O853" t="e">
        <x:f>IF($A853="","",[1]!thsiFinD("ths_adjustment_nv_fund",O$3,$A853))</x:f>
        <x:v>#NAME?</x:v>
      </x:c>
      <x:c r="P853" t="e">
        <x:f>IF($A853="","",[1]!thsiFinD("ths_adjustment_nv_fund",P$3,$A853))</x:f>
        <x:v>#NAME?</x:v>
      </x:c>
      <x:c r="Q853" t="e">
        <x:f>IF($A853="","",[1]!thsiFinD("ths_adjustment_nv_fund",Q$3,$A853))</x:f>
        <x:v>#NAME?</x:v>
      </x:c>
      <x:c r="R853" t="e">
        <x:f>IF($A853="","",[1]!thsiFinD("ths_adjustment_nv_fund",R$3,$A853))</x:f>
        <x:v>#NAME?</x:v>
      </x:c>
      <x:c r="S853" t="e">
        <x:f>IF($A853="","",[1]!thsiFinD("ths_adjustment_nv_fund",S$3,$A853))</x:f>
        <x:v>#NAME?</x:v>
      </x:c>
      <x:c r="T853" t="e">
        <x:f>IF($A853="","",[1]!thsiFinD("ths_adjustment_nv_fund",T$3,$A853))</x:f>
        <x:v>#NAME?</x:v>
      </x:c>
      <x:c r="U853" t="e">
        <x:f>IF($A853="","",[1]!thsiFinD("ths_adjustment_nv_fund",U$3,$A853))</x:f>
        <x:v>#NAME?</x:v>
      </x:c>
      <x:c r="V853" t="e">
        <x:f>IF($A853="","",[1]!thsiFinD("ths_adjustment_nv_fund",V$3,$A853))</x:f>
        <x:v>#NAME?</x:v>
      </x:c>
      <x:c r="W853" t="e">
        <x:f>IF($A853="","",[1]!thsiFinD("ths_adjustment_nv_fund",W$3,$A853))</x:f>
        <x:v>#NAME?</x:v>
      </x:c>
      <x:c r="X853" t="e">
        <x:f>IF($A853="","",[1]!thsiFinD("ths_adjustment_nv_fund",X$3,$A853))</x:f>
        <x:v>#NAME?</x:v>
      </x:c>
      <x:c r="Y853" t="e">
        <x:f>IF($A853="","",[1]!thsiFinD("ths_adjustment_nv_fund",Y$3,$A853))</x:f>
        <x:v>#NAME?</x:v>
      </x:c>
    </x:row>
    <x:row r="854">
      <x:c r="B854" t="e">
        <x:f>IF($A854="","",[1]!thsiFinD("ths_adjustment_nv_fund",B$3,$A854))</x:f>
        <x:v>#NAME?</x:v>
      </x:c>
      <x:c r="C854" t="e">
        <x:f>IF($A854="","",[1]!thsiFinD("ths_adjustment_nv_fund",C$3,$A854))</x:f>
        <x:v>#NAME?</x:v>
      </x:c>
      <x:c r="D854" t="e">
        <x:f>IF($A854="","",[1]!thsiFinD("ths_adjustment_nv_fund",D$3,$A854))</x:f>
        <x:v>#NAME?</x:v>
      </x:c>
      <x:c r="E854" t="e">
        <x:f>IF($A854="","",[1]!thsiFinD("ths_adjustment_nv_fund",E$3,$A854))</x:f>
        <x:v>#NAME?</x:v>
      </x:c>
      <x:c r="F854" t="e">
        <x:f>IF($A854="","",[1]!thsiFinD("ths_adjustment_nv_fund",F$3,$A854))</x:f>
        <x:v>#NAME?</x:v>
      </x:c>
      <x:c r="G854" t="e">
        <x:f>IF($A854="","",[1]!thsiFinD("ths_adjustment_nv_fund",G$3,$A854))</x:f>
        <x:v>#NAME?</x:v>
      </x:c>
      <x:c r="H854" t="e">
        <x:f>IF($A854="","",[1]!thsiFinD("ths_adjustment_nv_fund",H$3,$A854))</x:f>
        <x:v>#NAME?</x:v>
      </x:c>
      <x:c r="I854" t="e">
        <x:f>IF($A854="","",[1]!thsiFinD("ths_adjustment_nv_fund",I$3,$A854))</x:f>
        <x:v>#NAME?</x:v>
      </x:c>
      <x:c r="J854" t="e">
        <x:f>IF($A854="","",[1]!thsiFinD("ths_adjustment_nv_fund",J$3,$A854))</x:f>
        <x:v>#NAME?</x:v>
      </x:c>
      <x:c r="K854" t="e">
        <x:f>IF($A854="","",[1]!thsiFinD("ths_adjustment_nv_fund",K$3,$A854))</x:f>
        <x:v>#NAME?</x:v>
      </x:c>
      <x:c r="L854" t="e">
        <x:f>IF($A854="","",[1]!thsiFinD("ths_adjustment_nv_fund",L$3,$A854))</x:f>
        <x:v>#NAME?</x:v>
      </x:c>
      <x:c r="M854" t="e">
        <x:f>IF($A854="","",[1]!thsiFinD("ths_adjustment_nv_fund",M$3,$A854))</x:f>
        <x:v>#NAME?</x:v>
      </x:c>
      <x:c r="N854" t="e">
        <x:f>IF($A854="","",[1]!thsiFinD("ths_adjustment_nv_fund",N$3,$A854))</x:f>
        <x:v>#NAME?</x:v>
      </x:c>
      <x:c r="O854" t="e">
        <x:f>IF($A854="","",[1]!thsiFinD("ths_adjustment_nv_fund",O$3,$A854))</x:f>
        <x:v>#NAME?</x:v>
      </x:c>
      <x:c r="P854" t="e">
        <x:f>IF($A854="","",[1]!thsiFinD("ths_adjustment_nv_fund",P$3,$A854))</x:f>
        <x:v>#NAME?</x:v>
      </x:c>
      <x:c r="Q854" t="e">
        <x:f>IF($A854="","",[1]!thsiFinD("ths_adjustment_nv_fund",Q$3,$A854))</x:f>
        <x:v>#NAME?</x:v>
      </x:c>
      <x:c r="R854" t="e">
        <x:f>IF($A854="","",[1]!thsiFinD("ths_adjustment_nv_fund",R$3,$A854))</x:f>
        <x:v>#NAME?</x:v>
      </x:c>
      <x:c r="S854" t="e">
        <x:f>IF($A854="","",[1]!thsiFinD("ths_adjustment_nv_fund",S$3,$A854))</x:f>
        <x:v>#NAME?</x:v>
      </x:c>
      <x:c r="T854" t="e">
        <x:f>IF($A854="","",[1]!thsiFinD("ths_adjustment_nv_fund",T$3,$A854))</x:f>
        <x:v>#NAME?</x:v>
      </x:c>
      <x:c r="U854" t="e">
        <x:f>IF($A854="","",[1]!thsiFinD("ths_adjustment_nv_fund",U$3,$A854))</x:f>
        <x:v>#NAME?</x:v>
      </x:c>
      <x:c r="V854" t="e">
        <x:f>IF($A854="","",[1]!thsiFinD("ths_adjustment_nv_fund",V$3,$A854))</x:f>
        <x:v>#NAME?</x:v>
      </x:c>
      <x:c r="W854" t="e">
        <x:f>IF($A854="","",[1]!thsiFinD("ths_adjustment_nv_fund",W$3,$A854))</x:f>
        <x:v>#NAME?</x:v>
      </x:c>
      <x:c r="X854" t="e">
        <x:f>IF($A854="","",[1]!thsiFinD("ths_adjustment_nv_fund",X$3,$A854))</x:f>
        <x:v>#NAME?</x:v>
      </x:c>
      <x:c r="Y854" t="e">
        <x:f>IF($A854="","",[1]!thsiFinD("ths_adjustment_nv_fund",Y$3,$A854))</x:f>
        <x:v>#NAME?</x:v>
      </x:c>
    </x:row>
    <x:row r="855">
      <x:c r="B855" t="e">
        <x:f>IF($A855="","",[1]!thsiFinD("ths_adjustment_nv_fund",B$3,$A855))</x:f>
        <x:v>#NAME?</x:v>
      </x:c>
      <x:c r="C855" t="e">
        <x:f>IF($A855="","",[1]!thsiFinD("ths_adjustment_nv_fund",C$3,$A855))</x:f>
        <x:v>#NAME?</x:v>
      </x:c>
      <x:c r="D855" t="e">
        <x:f>IF($A855="","",[1]!thsiFinD("ths_adjustment_nv_fund",D$3,$A855))</x:f>
        <x:v>#NAME?</x:v>
      </x:c>
      <x:c r="E855" t="e">
        <x:f>IF($A855="","",[1]!thsiFinD("ths_adjustment_nv_fund",E$3,$A855))</x:f>
        <x:v>#NAME?</x:v>
      </x:c>
      <x:c r="F855" t="e">
        <x:f>IF($A855="","",[1]!thsiFinD("ths_adjustment_nv_fund",F$3,$A855))</x:f>
        <x:v>#NAME?</x:v>
      </x:c>
      <x:c r="G855" t="e">
        <x:f>IF($A855="","",[1]!thsiFinD("ths_adjustment_nv_fund",G$3,$A855))</x:f>
        <x:v>#NAME?</x:v>
      </x:c>
      <x:c r="H855" t="e">
        <x:f>IF($A855="","",[1]!thsiFinD("ths_adjustment_nv_fund",H$3,$A855))</x:f>
        <x:v>#NAME?</x:v>
      </x:c>
      <x:c r="I855" t="e">
        <x:f>IF($A855="","",[1]!thsiFinD("ths_adjustment_nv_fund",I$3,$A855))</x:f>
        <x:v>#NAME?</x:v>
      </x:c>
      <x:c r="J855" t="e">
        <x:f>IF($A855="","",[1]!thsiFinD("ths_adjustment_nv_fund",J$3,$A855))</x:f>
        <x:v>#NAME?</x:v>
      </x:c>
      <x:c r="K855" t="e">
        <x:f>IF($A855="","",[1]!thsiFinD("ths_adjustment_nv_fund",K$3,$A855))</x:f>
        <x:v>#NAME?</x:v>
      </x:c>
      <x:c r="L855" t="e">
        <x:f>IF($A855="","",[1]!thsiFinD("ths_adjustment_nv_fund",L$3,$A855))</x:f>
        <x:v>#NAME?</x:v>
      </x:c>
      <x:c r="M855" t="e">
        <x:f>IF($A855="","",[1]!thsiFinD("ths_adjustment_nv_fund",M$3,$A855))</x:f>
        <x:v>#NAME?</x:v>
      </x:c>
      <x:c r="N855" t="e">
        <x:f>IF($A855="","",[1]!thsiFinD("ths_adjustment_nv_fund",N$3,$A855))</x:f>
        <x:v>#NAME?</x:v>
      </x:c>
      <x:c r="O855" t="e">
        <x:f>IF($A855="","",[1]!thsiFinD("ths_adjustment_nv_fund",O$3,$A855))</x:f>
        <x:v>#NAME?</x:v>
      </x:c>
      <x:c r="P855" t="e">
        <x:f>IF($A855="","",[1]!thsiFinD("ths_adjustment_nv_fund",P$3,$A855))</x:f>
        <x:v>#NAME?</x:v>
      </x:c>
      <x:c r="Q855" t="e">
        <x:f>IF($A855="","",[1]!thsiFinD("ths_adjustment_nv_fund",Q$3,$A855))</x:f>
        <x:v>#NAME?</x:v>
      </x:c>
      <x:c r="R855" t="e">
        <x:f>IF($A855="","",[1]!thsiFinD("ths_adjustment_nv_fund",R$3,$A855))</x:f>
        <x:v>#NAME?</x:v>
      </x:c>
      <x:c r="S855" t="e">
        <x:f>IF($A855="","",[1]!thsiFinD("ths_adjustment_nv_fund",S$3,$A855))</x:f>
        <x:v>#NAME?</x:v>
      </x:c>
      <x:c r="T855" t="e">
        <x:f>IF($A855="","",[1]!thsiFinD("ths_adjustment_nv_fund",T$3,$A855))</x:f>
        <x:v>#NAME?</x:v>
      </x:c>
      <x:c r="U855" t="e">
        <x:f>IF($A855="","",[1]!thsiFinD("ths_adjustment_nv_fund",U$3,$A855))</x:f>
        <x:v>#NAME?</x:v>
      </x:c>
      <x:c r="V855" t="e">
        <x:f>IF($A855="","",[1]!thsiFinD("ths_adjustment_nv_fund",V$3,$A855))</x:f>
        <x:v>#NAME?</x:v>
      </x:c>
      <x:c r="W855" t="e">
        <x:f>IF($A855="","",[1]!thsiFinD("ths_adjustment_nv_fund",W$3,$A855))</x:f>
        <x:v>#NAME?</x:v>
      </x:c>
      <x:c r="X855" t="e">
        <x:f>IF($A855="","",[1]!thsiFinD("ths_adjustment_nv_fund",X$3,$A855))</x:f>
        <x:v>#NAME?</x:v>
      </x:c>
      <x:c r="Y855" t="e">
        <x:f>IF($A855="","",[1]!thsiFinD("ths_adjustment_nv_fund",Y$3,$A855))</x:f>
        <x:v>#NAME?</x:v>
      </x:c>
    </x:row>
    <x:row r="856">
      <x:c r="B856" t="e">
        <x:f>IF($A856="","",[1]!thsiFinD("ths_adjustment_nv_fund",B$3,$A856))</x:f>
        <x:v>#NAME?</x:v>
      </x:c>
      <x:c r="C856" t="e">
        <x:f>IF($A856="","",[1]!thsiFinD("ths_adjustment_nv_fund",C$3,$A856))</x:f>
        <x:v>#NAME?</x:v>
      </x:c>
      <x:c r="D856" t="e">
        <x:f>IF($A856="","",[1]!thsiFinD("ths_adjustment_nv_fund",D$3,$A856))</x:f>
        <x:v>#NAME?</x:v>
      </x:c>
      <x:c r="E856" t="e">
        <x:f>IF($A856="","",[1]!thsiFinD("ths_adjustment_nv_fund",E$3,$A856))</x:f>
        <x:v>#NAME?</x:v>
      </x:c>
      <x:c r="F856" t="e">
        <x:f>IF($A856="","",[1]!thsiFinD("ths_adjustment_nv_fund",F$3,$A856))</x:f>
        <x:v>#NAME?</x:v>
      </x:c>
      <x:c r="G856" t="e">
        <x:f>IF($A856="","",[1]!thsiFinD("ths_adjustment_nv_fund",G$3,$A856))</x:f>
        <x:v>#NAME?</x:v>
      </x:c>
      <x:c r="H856" t="e">
        <x:f>IF($A856="","",[1]!thsiFinD("ths_adjustment_nv_fund",H$3,$A856))</x:f>
        <x:v>#NAME?</x:v>
      </x:c>
      <x:c r="I856" t="e">
        <x:f>IF($A856="","",[1]!thsiFinD("ths_adjustment_nv_fund",I$3,$A856))</x:f>
        <x:v>#NAME?</x:v>
      </x:c>
      <x:c r="J856" t="e">
        <x:f>IF($A856="","",[1]!thsiFinD("ths_adjustment_nv_fund",J$3,$A856))</x:f>
        <x:v>#NAME?</x:v>
      </x:c>
      <x:c r="K856" t="e">
        <x:f>IF($A856="","",[1]!thsiFinD("ths_adjustment_nv_fund",K$3,$A856))</x:f>
        <x:v>#NAME?</x:v>
      </x:c>
      <x:c r="L856" t="e">
        <x:f>IF($A856="","",[1]!thsiFinD("ths_adjustment_nv_fund",L$3,$A856))</x:f>
        <x:v>#NAME?</x:v>
      </x:c>
      <x:c r="M856" t="e">
        <x:f>IF($A856="","",[1]!thsiFinD("ths_adjustment_nv_fund",M$3,$A856))</x:f>
        <x:v>#NAME?</x:v>
      </x:c>
      <x:c r="N856" t="e">
        <x:f>IF($A856="","",[1]!thsiFinD("ths_adjustment_nv_fund",N$3,$A856))</x:f>
        <x:v>#NAME?</x:v>
      </x:c>
      <x:c r="O856" t="e">
        <x:f>IF($A856="","",[1]!thsiFinD("ths_adjustment_nv_fund",O$3,$A856))</x:f>
        <x:v>#NAME?</x:v>
      </x:c>
      <x:c r="P856" t="e">
        <x:f>IF($A856="","",[1]!thsiFinD("ths_adjustment_nv_fund",P$3,$A856))</x:f>
        <x:v>#NAME?</x:v>
      </x:c>
      <x:c r="Q856" t="e">
        <x:f>IF($A856="","",[1]!thsiFinD("ths_adjustment_nv_fund",Q$3,$A856))</x:f>
        <x:v>#NAME?</x:v>
      </x:c>
      <x:c r="R856" t="e">
        <x:f>IF($A856="","",[1]!thsiFinD("ths_adjustment_nv_fund",R$3,$A856))</x:f>
        <x:v>#NAME?</x:v>
      </x:c>
      <x:c r="S856" t="e">
        <x:f>IF($A856="","",[1]!thsiFinD("ths_adjustment_nv_fund",S$3,$A856))</x:f>
        <x:v>#NAME?</x:v>
      </x:c>
      <x:c r="T856" t="e">
        <x:f>IF($A856="","",[1]!thsiFinD("ths_adjustment_nv_fund",T$3,$A856))</x:f>
        <x:v>#NAME?</x:v>
      </x:c>
      <x:c r="U856" t="e">
        <x:f>IF($A856="","",[1]!thsiFinD("ths_adjustment_nv_fund",U$3,$A856))</x:f>
        <x:v>#NAME?</x:v>
      </x:c>
      <x:c r="V856" t="e">
        <x:f>IF($A856="","",[1]!thsiFinD("ths_adjustment_nv_fund",V$3,$A856))</x:f>
        <x:v>#NAME?</x:v>
      </x:c>
      <x:c r="W856" t="e">
        <x:f>IF($A856="","",[1]!thsiFinD("ths_adjustment_nv_fund",W$3,$A856))</x:f>
        <x:v>#NAME?</x:v>
      </x:c>
      <x:c r="X856" t="e">
        <x:f>IF($A856="","",[1]!thsiFinD("ths_adjustment_nv_fund",X$3,$A856))</x:f>
        <x:v>#NAME?</x:v>
      </x:c>
      <x:c r="Y856" t="e">
        <x:f>IF($A856="","",[1]!thsiFinD("ths_adjustment_nv_fund",Y$3,$A856))</x:f>
        <x:v>#NAME?</x:v>
      </x:c>
    </x:row>
    <x:row r="857">
      <x:c r="B857" t="e">
        <x:f>IF($A857="","",[1]!thsiFinD("ths_adjustment_nv_fund",B$3,$A857))</x:f>
        <x:v>#NAME?</x:v>
      </x:c>
      <x:c r="C857" t="e">
        <x:f>IF($A857="","",[1]!thsiFinD("ths_adjustment_nv_fund",C$3,$A857))</x:f>
        <x:v>#NAME?</x:v>
      </x:c>
      <x:c r="D857" t="e">
        <x:f>IF($A857="","",[1]!thsiFinD("ths_adjustment_nv_fund",D$3,$A857))</x:f>
        <x:v>#NAME?</x:v>
      </x:c>
      <x:c r="E857" t="e">
        <x:f>IF($A857="","",[1]!thsiFinD("ths_adjustment_nv_fund",E$3,$A857))</x:f>
        <x:v>#NAME?</x:v>
      </x:c>
      <x:c r="F857" t="e">
        <x:f>IF($A857="","",[1]!thsiFinD("ths_adjustment_nv_fund",F$3,$A857))</x:f>
        <x:v>#NAME?</x:v>
      </x:c>
      <x:c r="G857" t="e">
        <x:f>IF($A857="","",[1]!thsiFinD("ths_adjustment_nv_fund",G$3,$A857))</x:f>
        <x:v>#NAME?</x:v>
      </x:c>
      <x:c r="H857" t="e">
        <x:f>IF($A857="","",[1]!thsiFinD("ths_adjustment_nv_fund",H$3,$A857))</x:f>
        <x:v>#NAME?</x:v>
      </x:c>
      <x:c r="I857" t="e">
        <x:f>IF($A857="","",[1]!thsiFinD("ths_adjustment_nv_fund",I$3,$A857))</x:f>
        <x:v>#NAME?</x:v>
      </x:c>
      <x:c r="J857" t="e">
        <x:f>IF($A857="","",[1]!thsiFinD("ths_adjustment_nv_fund",J$3,$A857))</x:f>
        <x:v>#NAME?</x:v>
      </x:c>
      <x:c r="K857" t="e">
        <x:f>IF($A857="","",[1]!thsiFinD("ths_adjustment_nv_fund",K$3,$A857))</x:f>
        <x:v>#NAME?</x:v>
      </x:c>
      <x:c r="L857" t="e">
        <x:f>IF($A857="","",[1]!thsiFinD("ths_adjustment_nv_fund",L$3,$A857))</x:f>
        <x:v>#NAME?</x:v>
      </x:c>
      <x:c r="M857" t="e">
        <x:f>IF($A857="","",[1]!thsiFinD("ths_adjustment_nv_fund",M$3,$A857))</x:f>
        <x:v>#NAME?</x:v>
      </x:c>
      <x:c r="N857" t="e">
        <x:f>IF($A857="","",[1]!thsiFinD("ths_adjustment_nv_fund",N$3,$A857))</x:f>
        <x:v>#NAME?</x:v>
      </x:c>
      <x:c r="O857" t="e">
        <x:f>IF($A857="","",[1]!thsiFinD("ths_adjustment_nv_fund",O$3,$A857))</x:f>
        <x:v>#NAME?</x:v>
      </x:c>
      <x:c r="P857" t="e">
        <x:f>IF($A857="","",[1]!thsiFinD("ths_adjustment_nv_fund",P$3,$A857))</x:f>
        <x:v>#NAME?</x:v>
      </x:c>
      <x:c r="Q857" t="e">
        <x:f>IF($A857="","",[1]!thsiFinD("ths_adjustment_nv_fund",Q$3,$A857))</x:f>
        <x:v>#NAME?</x:v>
      </x:c>
      <x:c r="R857" t="e">
        <x:f>IF($A857="","",[1]!thsiFinD("ths_adjustment_nv_fund",R$3,$A857))</x:f>
        <x:v>#NAME?</x:v>
      </x:c>
      <x:c r="S857" t="e">
        <x:f>IF($A857="","",[1]!thsiFinD("ths_adjustment_nv_fund",S$3,$A857))</x:f>
        <x:v>#NAME?</x:v>
      </x:c>
      <x:c r="T857" t="e">
        <x:f>IF($A857="","",[1]!thsiFinD("ths_adjustment_nv_fund",T$3,$A857))</x:f>
        <x:v>#NAME?</x:v>
      </x:c>
      <x:c r="U857" t="e">
        <x:f>IF($A857="","",[1]!thsiFinD("ths_adjustment_nv_fund",U$3,$A857))</x:f>
        <x:v>#NAME?</x:v>
      </x:c>
      <x:c r="V857" t="e">
        <x:f>IF($A857="","",[1]!thsiFinD("ths_adjustment_nv_fund",V$3,$A857))</x:f>
        <x:v>#NAME?</x:v>
      </x:c>
      <x:c r="W857" t="e">
        <x:f>IF($A857="","",[1]!thsiFinD("ths_adjustment_nv_fund",W$3,$A857))</x:f>
        <x:v>#NAME?</x:v>
      </x:c>
      <x:c r="X857" t="e">
        <x:f>IF($A857="","",[1]!thsiFinD("ths_adjustment_nv_fund",X$3,$A857))</x:f>
        <x:v>#NAME?</x:v>
      </x:c>
      <x:c r="Y857" t="e">
        <x:f>IF($A857="","",[1]!thsiFinD("ths_adjustment_nv_fund",Y$3,$A857))</x:f>
        <x:v>#NAME?</x:v>
      </x:c>
    </x:row>
    <x:row r="858">
      <x:c r="B858" t="e">
        <x:f>IF($A858="","",[1]!thsiFinD("ths_adjustment_nv_fund",B$3,$A858))</x:f>
        <x:v>#NAME?</x:v>
      </x:c>
      <x:c r="C858" t="e">
        <x:f>IF($A858="","",[1]!thsiFinD("ths_adjustment_nv_fund",C$3,$A858))</x:f>
        <x:v>#NAME?</x:v>
      </x:c>
      <x:c r="D858" t="e">
        <x:f>IF($A858="","",[1]!thsiFinD("ths_adjustment_nv_fund",D$3,$A858))</x:f>
        <x:v>#NAME?</x:v>
      </x:c>
      <x:c r="E858" t="e">
        <x:f>IF($A858="","",[1]!thsiFinD("ths_adjustment_nv_fund",E$3,$A858))</x:f>
        <x:v>#NAME?</x:v>
      </x:c>
      <x:c r="F858" t="e">
        <x:f>IF($A858="","",[1]!thsiFinD("ths_adjustment_nv_fund",F$3,$A858))</x:f>
        <x:v>#NAME?</x:v>
      </x:c>
      <x:c r="G858" t="e">
        <x:f>IF($A858="","",[1]!thsiFinD("ths_adjustment_nv_fund",G$3,$A858))</x:f>
        <x:v>#NAME?</x:v>
      </x:c>
      <x:c r="H858" t="e">
        <x:f>IF($A858="","",[1]!thsiFinD("ths_adjustment_nv_fund",H$3,$A858))</x:f>
        <x:v>#NAME?</x:v>
      </x:c>
      <x:c r="I858" t="e">
        <x:f>IF($A858="","",[1]!thsiFinD("ths_adjustment_nv_fund",I$3,$A858))</x:f>
        <x:v>#NAME?</x:v>
      </x:c>
      <x:c r="J858" t="e">
        <x:f>IF($A858="","",[1]!thsiFinD("ths_adjustment_nv_fund",J$3,$A858))</x:f>
        <x:v>#NAME?</x:v>
      </x:c>
      <x:c r="K858" t="e">
        <x:f>IF($A858="","",[1]!thsiFinD("ths_adjustment_nv_fund",K$3,$A858))</x:f>
        <x:v>#NAME?</x:v>
      </x:c>
      <x:c r="L858" t="e">
        <x:f>IF($A858="","",[1]!thsiFinD("ths_adjustment_nv_fund",L$3,$A858))</x:f>
        <x:v>#NAME?</x:v>
      </x:c>
      <x:c r="M858" t="e">
        <x:f>IF($A858="","",[1]!thsiFinD("ths_adjustment_nv_fund",M$3,$A858))</x:f>
        <x:v>#NAME?</x:v>
      </x:c>
      <x:c r="N858" t="e">
        <x:f>IF($A858="","",[1]!thsiFinD("ths_adjustment_nv_fund",N$3,$A858))</x:f>
        <x:v>#NAME?</x:v>
      </x:c>
      <x:c r="O858" t="e">
        <x:f>IF($A858="","",[1]!thsiFinD("ths_adjustment_nv_fund",O$3,$A858))</x:f>
        <x:v>#NAME?</x:v>
      </x:c>
      <x:c r="P858" t="e">
        <x:f>IF($A858="","",[1]!thsiFinD("ths_adjustment_nv_fund",P$3,$A858))</x:f>
        <x:v>#NAME?</x:v>
      </x:c>
      <x:c r="Q858" t="e">
        <x:f>IF($A858="","",[1]!thsiFinD("ths_adjustment_nv_fund",Q$3,$A858))</x:f>
        <x:v>#NAME?</x:v>
      </x:c>
      <x:c r="R858" t="e">
        <x:f>IF($A858="","",[1]!thsiFinD("ths_adjustment_nv_fund",R$3,$A858))</x:f>
        <x:v>#NAME?</x:v>
      </x:c>
      <x:c r="S858" t="e">
        <x:f>IF($A858="","",[1]!thsiFinD("ths_adjustment_nv_fund",S$3,$A858))</x:f>
        <x:v>#NAME?</x:v>
      </x:c>
      <x:c r="T858" t="e">
        <x:f>IF($A858="","",[1]!thsiFinD("ths_adjustment_nv_fund",T$3,$A858))</x:f>
        <x:v>#NAME?</x:v>
      </x:c>
      <x:c r="U858" t="e">
        <x:f>IF($A858="","",[1]!thsiFinD("ths_adjustment_nv_fund",U$3,$A858))</x:f>
        <x:v>#NAME?</x:v>
      </x:c>
      <x:c r="V858" t="e">
        <x:f>IF($A858="","",[1]!thsiFinD("ths_adjustment_nv_fund",V$3,$A858))</x:f>
        <x:v>#NAME?</x:v>
      </x:c>
      <x:c r="W858" t="e">
        <x:f>IF($A858="","",[1]!thsiFinD("ths_adjustment_nv_fund",W$3,$A858))</x:f>
        <x:v>#NAME?</x:v>
      </x:c>
      <x:c r="X858" t="e">
        <x:f>IF($A858="","",[1]!thsiFinD("ths_adjustment_nv_fund",X$3,$A858))</x:f>
        <x:v>#NAME?</x:v>
      </x:c>
      <x:c r="Y858" t="e">
        <x:f>IF($A858="","",[1]!thsiFinD("ths_adjustment_nv_fund",Y$3,$A858))</x:f>
        <x:v>#NAME?</x:v>
      </x:c>
    </x:row>
    <x:row r="859">
      <x:c r="B859" t="e">
        <x:f>IF($A859="","",[1]!thsiFinD("ths_adjustment_nv_fund",B$3,$A859))</x:f>
        <x:v>#NAME?</x:v>
      </x:c>
      <x:c r="C859" t="e">
        <x:f>IF($A859="","",[1]!thsiFinD("ths_adjustment_nv_fund",C$3,$A859))</x:f>
        <x:v>#NAME?</x:v>
      </x:c>
      <x:c r="D859" t="e">
        <x:f>IF($A859="","",[1]!thsiFinD("ths_adjustment_nv_fund",D$3,$A859))</x:f>
        <x:v>#NAME?</x:v>
      </x:c>
      <x:c r="E859" t="e">
        <x:f>IF($A859="","",[1]!thsiFinD("ths_adjustment_nv_fund",E$3,$A859))</x:f>
        <x:v>#NAME?</x:v>
      </x:c>
      <x:c r="F859" t="e">
        <x:f>IF($A859="","",[1]!thsiFinD("ths_adjustment_nv_fund",F$3,$A859))</x:f>
        <x:v>#NAME?</x:v>
      </x:c>
      <x:c r="G859" t="e">
        <x:f>IF($A859="","",[1]!thsiFinD("ths_adjustment_nv_fund",G$3,$A859))</x:f>
        <x:v>#NAME?</x:v>
      </x:c>
      <x:c r="H859" t="e">
        <x:f>IF($A859="","",[1]!thsiFinD("ths_adjustment_nv_fund",H$3,$A859))</x:f>
        <x:v>#NAME?</x:v>
      </x:c>
      <x:c r="I859" t="e">
        <x:f>IF($A859="","",[1]!thsiFinD("ths_adjustment_nv_fund",I$3,$A859))</x:f>
        <x:v>#NAME?</x:v>
      </x:c>
      <x:c r="J859" t="e">
        <x:f>IF($A859="","",[1]!thsiFinD("ths_adjustment_nv_fund",J$3,$A859))</x:f>
        <x:v>#NAME?</x:v>
      </x:c>
      <x:c r="K859" t="e">
        <x:f>IF($A859="","",[1]!thsiFinD("ths_adjustment_nv_fund",K$3,$A859))</x:f>
        <x:v>#NAME?</x:v>
      </x:c>
      <x:c r="L859" t="e">
        <x:f>IF($A859="","",[1]!thsiFinD("ths_adjustment_nv_fund",L$3,$A859))</x:f>
        <x:v>#NAME?</x:v>
      </x:c>
      <x:c r="M859" t="e">
        <x:f>IF($A859="","",[1]!thsiFinD("ths_adjustment_nv_fund",M$3,$A859))</x:f>
        <x:v>#NAME?</x:v>
      </x:c>
      <x:c r="N859" t="e">
        <x:f>IF($A859="","",[1]!thsiFinD("ths_adjustment_nv_fund",N$3,$A859))</x:f>
        <x:v>#NAME?</x:v>
      </x:c>
      <x:c r="O859" t="e">
        <x:f>IF($A859="","",[1]!thsiFinD("ths_adjustment_nv_fund",O$3,$A859))</x:f>
        <x:v>#NAME?</x:v>
      </x:c>
      <x:c r="P859" t="e">
        <x:f>IF($A859="","",[1]!thsiFinD("ths_adjustment_nv_fund",P$3,$A859))</x:f>
        <x:v>#NAME?</x:v>
      </x:c>
      <x:c r="Q859" t="e">
        <x:f>IF($A859="","",[1]!thsiFinD("ths_adjustment_nv_fund",Q$3,$A859))</x:f>
        <x:v>#NAME?</x:v>
      </x:c>
      <x:c r="R859" t="e">
        <x:f>IF($A859="","",[1]!thsiFinD("ths_adjustment_nv_fund",R$3,$A859))</x:f>
        <x:v>#NAME?</x:v>
      </x:c>
      <x:c r="S859" t="e">
        <x:f>IF($A859="","",[1]!thsiFinD("ths_adjustment_nv_fund",S$3,$A859))</x:f>
        <x:v>#NAME?</x:v>
      </x:c>
      <x:c r="T859" t="e">
        <x:f>IF($A859="","",[1]!thsiFinD("ths_adjustment_nv_fund",T$3,$A859))</x:f>
        <x:v>#NAME?</x:v>
      </x:c>
      <x:c r="U859" t="e">
        <x:f>IF($A859="","",[1]!thsiFinD("ths_adjustment_nv_fund",U$3,$A859))</x:f>
        <x:v>#NAME?</x:v>
      </x:c>
      <x:c r="V859" t="e">
        <x:f>IF($A859="","",[1]!thsiFinD("ths_adjustment_nv_fund",V$3,$A859))</x:f>
        <x:v>#NAME?</x:v>
      </x:c>
      <x:c r="W859" t="e">
        <x:f>IF($A859="","",[1]!thsiFinD("ths_adjustment_nv_fund",W$3,$A859))</x:f>
        <x:v>#NAME?</x:v>
      </x:c>
      <x:c r="X859" t="e">
        <x:f>IF($A859="","",[1]!thsiFinD("ths_adjustment_nv_fund",X$3,$A859))</x:f>
        <x:v>#NAME?</x:v>
      </x:c>
      <x:c r="Y859" t="e">
        <x:f>IF($A859="","",[1]!thsiFinD("ths_adjustment_nv_fund",Y$3,$A859))</x:f>
        <x:v>#NAME?</x:v>
      </x:c>
    </x:row>
    <x:row r="860">
      <x:c r="B860" t="e">
        <x:f>IF($A860="","",[1]!thsiFinD("ths_adjustment_nv_fund",B$3,$A860))</x:f>
        <x:v>#NAME?</x:v>
      </x:c>
      <x:c r="C860" t="e">
        <x:f>IF($A860="","",[1]!thsiFinD("ths_adjustment_nv_fund",C$3,$A860))</x:f>
        <x:v>#NAME?</x:v>
      </x:c>
      <x:c r="D860" t="e">
        <x:f>IF($A860="","",[1]!thsiFinD("ths_adjustment_nv_fund",D$3,$A860))</x:f>
        <x:v>#NAME?</x:v>
      </x:c>
      <x:c r="E860" t="e">
        <x:f>IF($A860="","",[1]!thsiFinD("ths_adjustment_nv_fund",E$3,$A860))</x:f>
        <x:v>#NAME?</x:v>
      </x:c>
      <x:c r="F860" t="e">
        <x:f>IF($A860="","",[1]!thsiFinD("ths_adjustment_nv_fund",F$3,$A860))</x:f>
        <x:v>#NAME?</x:v>
      </x:c>
      <x:c r="G860" t="e">
        <x:f>IF($A860="","",[1]!thsiFinD("ths_adjustment_nv_fund",G$3,$A860))</x:f>
        <x:v>#NAME?</x:v>
      </x:c>
      <x:c r="H860" t="e">
        <x:f>IF($A860="","",[1]!thsiFinD("ths_adjustment_nv_fund",H$3,$A860))</x:f>
        <x:v>#NAME?</x:v>
      </x:c>
      <x:c r="I860" t="e">
        <x:f>IF($A860="","",[1]!thsiFinD("ths_adjustment_nv_fund",I$3,$A860))</x:f>
        <x:v>#NAME?</x:v>
      </x:c>
      <x:c r="J860" t="e">
        <x:f>IF($A860="","",[1]!thsiFinD("ths_adjustment_nv_fund",J$3,$A860))</x:f>
        <x:v>#NAME?</x:v>
      </x:c>
      <x:c r="K860" t="e">
        <x:f>IF($A860="","",[1]!thsiFinD("ths_adjustment_nv_fund",K$3,$A860))</x:f>
        <x:v>#NAME?</x:v>
      </x:c>
      <x:c r="L860" t="e">
        <x:f>IF($A860="","",[1]!thsiFinD("ths_adjustment_nv_fund",L$3,$A860))</x:f>
        <x:v>#NAME?</x:v>
      </x:c>
      <x:c r="M860" t="e">
        <x:f>IF($A860="","",[1]!thsiFinD("ths_adjustment_nv_fund",M$3,$A860))</x:f>
        <x:v>#NAME?</x:v>
      </x:c>
      <x:c r="N860" t="e">
        <x:f>IF($A860="","",[1]!thsiFinD("ths_adjustment_nv_fund",N$3,$A860))</x:f>
        <x:v>#NAME?</x:v>
      </x:c>
      <x:c r="O860" t="e">
        <x:f>IF($A860="","",[1]!thsiFinD("ths_adjustment_nv_fund",O$3,$A860))</x:f>
        <x:v>#NAME?</x:v>
      </x:c>
      <x:c r="P860" t="e">
        <x:f>IF($A860="","",[1]!thsiFinD("ths_adjustment_nv_fund",P$3,$A860))</x:f>
        <x:v>#NAME?</x:v>
      </x:c>
      <x:c r="Q860" t="e">
        <x:f>IF($A860="","",[1]!thsiFinD("ths_adjustment_nv_fund",Q$3,$A860))</x:f>
        <x:v>#NAME?</x:v>
      </x:c>
      <x:c r="R860" t="e">
        <x:f>IF($A860="","",[1]!thsiFinD("ths_adjustment_nv_fund",R$3,$A860))</x:f>
        <x:v>#NAME?</x:v>
      </x:c>
      <x:c r="S860" t="e">
        <x:f>IF($A860="","",[1]!thsiFinD("ths_adjustment_nv_fund",S$3,$A860))</x:f>
        <x:v>#NAME?</x:v>
      </x:c>
      <x:c r="T860" t="e">
        <x:f>IF($A860="","",[1]!thsiFinD("ths_adjustment_nv_fund",T$3,$A860))</x:f>
        <x:v>#NAME?</x:v>
      </x:c>
      <x:c r="U860" t="e">
        <x:f>IF($A860="","",[1]!thsiFinD("ths_adjustment_nv_fund",U$3,$A860))</x:f>
        <x:v>#NAME?</x:v>
      </x:c>
      <x:c r="V860" t="e">
        <x:f>IF($A860="","",[1]!thsiFinD("ths_adjustment_nv_fund",V$3,$A860))</x:f>
        <x:v>#NAME?</x:v>
      </x:c>
      <x:c r="W860" t="e">
        <x:f>IF($A860="","",[1]!thsiFinD("ths_adjustment_nv_fund",W$3,$A860))</x:f>
        <x:v>#NAME?</x:v>
      </x:c>
      <x:c r="X860" t="e">
        <x:f>IF($A860="","",[1]!thsiFinD("ths_adjustment_nv_fund",X$3,$A860))</x:f>
        <x:v>#NAME?</x:v>
      </x:c>
      <x:c r="Y860" t="e">
        <x:f>IF($A860="","",[1]!thsiFinD("ths_adjustment_nv_fund",Y$3,$A860))</x:f>
        <x:v>#NAME?</x:v>
      </x:c>
    </x:row>
    <x:row r="861">
      <x:c r="B861" t="e">
        <x:f>IF($A861="","",[1]!thsiFinD("ths_adjustment_nv_fund",B$3,$A861))</x:f>
        <x:v>#NAME?</x:v>
      </x:c>
      <x:c r="C861" t="e">
        <x:f>IF($A861="","",[1]!thsiFinD("ths_adjustment_nv_fund",C$3,$A861))</x:f>
        <x:v>#NAME?</x:v>
      </x:c>
      <x:c r="D861" t="e">
        <x:f>IF($A861="","",[1]!thsiFinD("ths_adjustment_nv_fund",D$3,$A861))</x:f>
        <x:v>#NAME?</x:v>
      </x:c>
      <x:c r="E861" t="e">
        <x:f>IF($A861="","",[1]!thsiFinD("ths_adjustment_nv_fund",E$3,$A861))</x:f>
        <x:v>#NAME?</x:v>
      </x:c>
      <x:c r="F861" t="e">
        <x:f>IF($A861="","",[1]!thsiFinD("ths_adjustment_nv_fund",F$3,$A861))</x:f>
        <x:v>#NAME?</x:v>
      </x:c>
      <x:c r="G861" t="e">
        <x:f>IF($A861="","",[1]!thsiFinD("ths_adjustment_nv_fund",G$3,$A861))</x:f>
        <x:v>#NAME?</x:v>
      </x:c>
      <x:c r="H861" t="e">
        <x:f>IF($A861="","",[1]!thsiFinD("ths_adjustment_nv_fund",H$3,$A861))</x:f>
        <x:v>#NAME?</x:v>
      </x:c>
      <x:c r="I861" t="e">
        <x:f>IF($A861="","",[1]!thsiFinD("ths_adjustment_nv_fund",I$3,$A861))</x:f>
        <x:v>#NAME?</x:v>
      </x:c>
      <x:c r="J861" t="e">
        <x:f>IF($A861="","",[1]!thsiFinD("ths_adjustment_nv_fund",J$3,$A861))</x:f>
        <x:v>#NAME?</x:v>
      </x:c>
      <x:c r="K861" t="e">
        <x:f>IF($A861="","",[1]!thsiFinD("ths_adjustment_nv_fund",K$3,$A861))</x:f>
        <x:v>#NAME?</x:v>
      </x:c>
      <x:c r="L861" t="e">
        <x:f>IF($A861="","",[1]!thsiFinD("ths_adjustment_nv_fund",L$3,$A861))</x:f>
        <x:v>#NAME?</x:v>
      </x:c>
      <x:c r="M861" t="e">
        <x:f>IF($A861="","",[1]!thsiFinD("ths_adjustment_nv_fund",M$3,$A861))</x:f>
        <x:v>#NAME?</x:v>
      </x:c>
      <x:c r="N861" t="e">
        <x:f>IF($A861="","",[1]!thsiFinD("ths_adjustment_nv_fund",N$3,$A861))</x:f>
        <x:v>#NAME?</x:v>
      </x:c>
      <x:c r="O861" t="e">
        <x:f>IF($A861="","",[1]!thsiFinD("ths_adjustment_nv_fund",O$3,$A861))</x:f>
        <x:v>#NAME?</x:v>
      </x:c>
      <x:c r="P861" t="e">
        <x:f>IF($A861="","",[1]!thsiFinD("ths_adjustment_nv_fund",P$3,$A861))</x:f>
        <x:v>#NAME?</x:v>
      </x:c>
      <x:c r="Q861" t="e">
        <x:f>IF($A861="","",[1]!thsiFinD("ths_adjustment_nv_fund",Q$3,$A861))</x:f>
        <x:v>#NAME?</x:v>
      </x:c>
      <x:c r="R861" t="e">
        <x:f>IF($A861="","",[1]!thsiFinD("ths_adjustment_nv_fund",R$3,$A861))</x:f>
        <x:v>#NAME?</x:v>
      </x:c>
      <x:c r="S861" t="e">
        <x:f>IF($A861="","",[1]!thsiFinD("ths_adjustment_nv_fund",S$3,$A861))</x:f>
        <x:v>#NAME?</x:v>
      </x:c>
      <x:c r="T861" t="e">
        <x:f>IF($A861="","",[1]!thsiFinD("ths_adjustment_nv_fund",T$3,$A861))</x:f>
        <x:v>#NAME?</x:v>
      </x:c>
      <x:c r="U861" t="e">
        <x:f>IF($A861="","",[1]!thsiFinD("ths_adjustment_nv_fund",U$3,$A861))</x:f>
        <x:v>#NAME?</x:v>
      </x:c>
      <x:c r="V861" t="e">
        <x:f>IF($A861="","",[1]!thsiFinD("ths_adjustment_nv_fund",V$3,$A861))</x:f>
        <x:v>#NAME?</x:v>
      </x:c>
      <x:c r="W861" t="e">
        <x:f>IF($A861="","",[1]!thsiFinD("ths_adjustment_nv_fund",W$3,$A861))</x:f>
        <x:v>#NAME?</x:v>
      </x:c>
      <x:c r="X861" t="e">
        <x:f>IF($A861="","",[1]!thsiFinD("ths_adjustment_nv_fund",X$3,$A861))</x:f>
        <x:v>#NAME?</x:v>
      </x:c>
      <x:c r="Y861" t="e">
        <x:f>IF($A861="","",[1]!thsiFinD("ths_adjustment_nv_fund",Y$3,$A861))</x:f>
        <x:v>#NAME?</x:v>
      </x:c>
    </x:row>
    <x:row r="862">
      <x:c r="B862" t="e">
        <x:f>IF($A862="","",[1]!thsiFinD("ths_adjustment_nv_fund",B$3,$A862))</x:f>
        <x:v>#NAME?</x:v>
      </x:c>
      <x:c r="C862" t="e">
        <x:f>IF($A862="","",[1]!thsiFinD("ths_adjustment_nv_fund",C$3,$A862))</x:f>
        <x:v>#NAME?</x:v>
      </x:c>
      <x:c r="D862" t="e">
        <x:f>IF($A862="","",[1]!thsiFinD("ths_adjustment_nv_fund",D$3,$A862))</x:f>
        <x:v>#NAME?</x:v>
      </x:c>
      <x:c r="E862" t="e">
        <x:f>IF($A862="","",[1]!thsiFinD("ths_adjustment_nv_fund",E$3,$A862))</x:f>
        <x:v>#NAME?</x:v>
      </x:c>
      <x:c r="F862" t="e">
        <x:f>IF($A862="","",[1]!thsiFinD("ths_adjustment_nv_fund",F$3,$A862))</x:f>
        <x:v>#NAME?</x:v>
      </x:c>
      <x:c r="G862" t="e">
        <x:f>IF($A862="","",[1]!thsiFinD("ths_adjustment_nv_fund",G$3,$A862))</x:f>
        <x:v>#NAME?</x:v>
      </x:c>
      <x:c r="H862" t="e">
        <x:f>IF($A862="","",[1]!thsiFinD("ths_adjustment_nv_fund",H$3,$A862))</x:f>
        <x:v>#NAME?</x:v>
      </x:c>
      <x:c r="I862" t="e">
        <x:f>IF($A862="","",[1]!thsiFinD("ths_adjustment_nv_fund",I$3,$A862))</x:f>
        <x:v>#NAME?</x:v>
      </x:c>
      <x:c r="J862" t="e">
        <x:f>IF($A862="","",[1]!thsiFinD("ths_adjustment_nv_fund",J$3,$A862))</x:f>
        <x:v>#NAME?</x:v>
      </x:c>
      <x:c r="K862" t="e">
        <x:f>IF($A862="","",[1]!thsiFinD("ths_adjustment_nv_fund",K$3,$A862))</x:f>
        <x:v>#NAME?</x:v>
      </x:c>
      <x:c r="L862" t="e">
        <x:f>IF($A862="","",[1]!thsiFinD("ths_adjustment_nv_fund",L$3,$A862))</x:f>
        <x:v>#NAME?</x:v>
      </x:c>
      <x:c r="M862" t="e">
        <x:f>IF($A862="","",[1]!thsiFinD("ths_adjustment_nv_fund",M$3,$A862))</x:f>
        <x:v>#NAME?</x:v>
      </x:c>
      <x:c r="N862" t="e">
        <x:f>IF($A862="","",[1]!thsiFinD("ths_adjustment_nv_fund",N$3,$A862))</x:f>
        <x:v>#NAME?</x:v>
      </x:c>
      <x:c r="O862" t="e">
        <x:f>IF($A862="","",[1]!thsiFinD("ths_adjustment_nv_fund",O$3,$A862))</x:f>
        <x:v>#NAME?</x:v>
      </x:c>
      <x:c r="P862" t="e">
        <x:f>IF($A862="","",[1]!thsiFinD("ths_adjustment_nv_fund",P$3,$A862))</x:f>
        <x:v>#NAME?</x:v>
      </x:c>
      <x:c r="Q862" t="e">
        <x:f>IF($A862="","",[1]!thsiFinD("ths_adjustment_nv_fund",Q$3,$A862))</x:f>
        <x:v>#NAME?</x:v>
      </x:c>
      <x:c r="R862" t="e">
        <x:f>IF($A862="","",[1]!thsiFinD("ths_adjustment_nv_fund",R$3,$A862))</x:f>
        <x:v>#NAME?</x:v>
      </x:c>
      <x:c r="S862" t="e">
        <x:f>IF($A862="","",[1]!thsiFinD("ths_adjustment_nv_fund",S$3,$A862))</x:f>
        <x:v>#NAME?</x:v>
      </x:c>
      <x:c r="T862" t="e">
        <x:f>IF($A862="","",[1]!thsiFinD("ths_adjustment_nv_fund",T$3,$A862))</x:f>
        <x:v>#NAME?</x:v>
      </x:c>
      <x:c r="U862" t="e">
        <x:f>IF($A862="","",[1]!thsiFinD("ths_adjustment_nv_fund",U$3,$A862))</x:f>
        <x:v>#NAME?</x:v>
      </x:c>
      <x:c r="V862" t="e">
        <x:f>IF($A862="","",[1]!thsiFinD("ths_adjustment_nv_fund",V$3,$A862))</x:f>
        <x:v>#NAME?</x:v>
      </x:c>
      <x:c r="W862" t="e">
        <x:f>IF($A862="","",[1]!thsiFinD("ths_adjustment_nv_fund",W$3,$A862))</x:f>
        <x:v>#NAME?</x:v>
      </x:c>
      <x:c r="X862" t="e">
        <x:f>IF($A862="","",[1]!thsiFinD("ths_adjustment_nv_fund",X$3,$A862))</x:f>
        <x:v>#NAME?</x:v>
      </x:c>
      <x:c r="Y862" t="e">
        <x:f>IF($A862="","",[1]!thsiFinD("ths_adjustment_nv_fund",Y$3,$A862))</x:f>
        <x:v>#NAME?</x:v>
      </x:c>
    </x:row>
    <x:row r="863">
      <x:c r="B863" t="e">
        <x:f>IF($A863="","",[1]!thsiFinD("ths_adjustment_nv_fund",B$3,$A863))</x:f>
        <x:v>#NAME?</x:v>
      </x:c>
      <x:c r="C863" t="e">
        <x:f>IF($A863="","",[1]!thsiFinD("ths_adjustment_nv_fund",C$3,$A863))</x:f>
        <x:v>#NAME?</x:v>
      </x:c>
      <x:c r="D863" t="e">
        <x:f>IF($A863="","",[1]!thsiFinD("ths_adjustment_nv_fund",D$3,$A863))</x:f>
        <x:v>#NAME?</x:v>
      </x:c>
      <x:c r="E863" t="e">
        <x:f>IF($A863="","",[1]!thsiFinD("ths_adjustment_nv_fund",E$3,$A863))</x:f>
        <x:v>#NAME?</x:v>
      </x:c>
      <x:c r="F863" t="e">
        <x:f>IF($A863="","",[1]!thsiFinD("ths_adjustment_nv_fund",F$3,$A863))</x:f>
        <x:v>#NAME?</x:v>
      </x:c>
      <x:c r="G863" t="e">
        <x:f>IF($A863="","",[1]!thsiFinD("ths_adjustment_nv_fund",G$3,$A863))</x:f>
        <x:v>#NAME?</x:v>
      </x:c>
      <x:c r="H863" t="e">
        <x:f>IF($A863="","",[1]!thsiFinD("ths_adjustment_nv_fund",H$3,$A863))</x:f>
        <x:v>#NAME?</x:v>
      </x:c>
      <x:c r="I863" t="e">
        <x:f>IF($A863="","",[1]!thsiFinD("ths_adjustment_nv_fund",I$3,$A863))</x:f>
        <x:v>#NAME?</x:v>
      </x:c>
      <x:c r="J863" t="e">
        <x:f>IF($A863="","",[1]!thsiFinD("ths_adjustment_nv_fund",J$3,$A863))</x:f>
        <x:v>#NAME?</x:v>
      </x:c>
      <x:c r="K863" t="e">
        <x:f>IF($A863="","",[1]!thsiFinD("ths_adjustment_nv_fund",K$3,$A863))</x:f>
        <x:v>#NAME?</x:v>
      </x:c>
      <x:c r="L863" t="e">
        <x:f>IF($A863="","",[1]!thsiFinD("ths_adjustment_nv_fund",L$3,$A863))</x:f>
        <x:v>#NAME?</x:v>
      </x:c>
      <x:c r="M863" t="e">
        <x:f>IF($A863="","",[1]!thsiFinD("ths_adjustment_nv_fund",M$3,$A863))</x:f>
        <x:v>#NAME?</x:v>
      </x:c>
      <x:c r="N863" t="e">
        <x:f>IF($A863="","",[1]!thsiFinD("ths_adjustment_nv_fund",N$3,$A863))</x:f>
        <x:v>#NAME?</x:v>
      </x:c>
      <x:c r="O863" t="e">
        <x:f>IF($A863="","",[1]!thsiFinD("ths_adjustment_nv_fund",O$3,$A863))</x:f>
        <x:v>#NAME?</x:v>
      </x:c>
      <x:c r="P863" t="e">
        <x:f>IF($A863="","",[1]!thsiFinD("ths_adjustment_nv_fund",P$3,$A863))</x:f>
        <x:v>#NAME?</x:v>
      </x:c>
      <x:c r="Q863" t="e">
        <x:f>IF($A863="","",[1]!thsiFinD("ths_adjustment_nv_fund",Q$3,$A863))</x:f>
        <x:v>#NAME?</x:v>
      </x:c>
      <x:c r="R863" t="e">
        <x:f>IF($A863="","",[1]!thsiFinD("ths_adjustment_nv_fund",R$3,$A863))</x:f>
        <x:v>#NAME?</x:v>
      </x:c>
      <x:c r="S863" t="e">
        <x:f>IF($A863="","",[1]!thsiFinD("ths_adjustment_nv_fund",S$3,$A863))</x:f>
        <x:v>#NAME?</x:v>
      </x:c>
      <x:c r="T863" t="e">
        <x:f>IF($A863="","",[1]!thsiFinD("ths_adjustment_nv_fund",T$3,$A863))</x:f>
        <x:v>#NAME?</x:v>
      </x:c>
      <x:c r="U863" t="e">
        <x:f>IF($A863="","",[1]!thsiFinD("ths_adjustment_nv_fund",U$3,$A863))</x:f>
        <x:v>#NAME?</x:v>
      </x:c>
      <x:c r="V863" t="e">
        <x:f>IF($A863="","",[1]!thsiFinD("ths_adjustment_nv_fund",V$3,$A863))</x:f>
        <x:v>#NAME?</x:v>
      </x:c>
      <x:c r="W863" t="e">
        <x:f>IF($A863="","",[1]!thsiFinD("ths_adjustment_nv_fund",W$3,$A863))</x:f>
        <x:v>#NAME?</x:v>
      </x:c>
      <x:c r="X863" t="e">
        <x:f>IF($A863="","",[1]!thsiFinD("ths_adjustment_nv_fund",X$3,$A863))</x:f>
        <x:v>#NAME?</x:v>
      </x:c>
      <x:c r="Y863" t="e">
        <x:f>IF($A863="","",[1]!thsiFinD("ths_adjustment_nv_fund",Y$3,$A863))</x:f>
        <x:v>#NAME?</x:v>
      </x:c>
    </x:row>
    <x:row r="864">
      <x:c r="B864" t="e">
        <x:f>IF($A864="","",[1]!thsiFinD("ths_adjustment_nv_fund",B$3,$A864))</x:f>
        <x:v>#NAME?</x:v>
      </x:c>
      <x:c r="C864" t="e">
        <x:f>IF($A864="","",[1]!thsiFinD("ths_adjustment_nv_fund",C$3,$A864))</x:f>
        <x:v>#NAME?</x:v>
      </x:c>
      <x:c r="D864" t="e">
        <x:f>IF($A864="","",[1]!thsiFinD("ths_adjustment_nv_fund",D$3,$A864))</x:f>
        <x:v>#NAME?</x:v>
      </x:c>
      <x:c r="E864" t="e">
        <x:f>IF($A864="","",[1]!thsiFinD("ths_adjustment_nv_fund",E$3,$A864))</x:f>
        <x:v>#NAME?</x:v>
      </x:c>
      <x:c r="F864" t="e">
        <x:f>IF($A864="","",[1]!thsiFinD("ths_adjustment_nv_fund",F$3,$A864))</x:f>
        <x:v>#NAME?</x:v>
      </x:c>
      <x:c r="G864" t="e">
        <x:f>IF($A864="","",[1]!thsiFinD("ths_adjustment_nv_fund",G$3,$A864))</x:f>
        <x:v>#NAME?</x:v>
      </x:c>
      <x:c r="H864" t="e">
        <x:f>IF($A864="","",[1]!thsiFinD("ths_adjustment_nv_fund",H$3,$A864))</x:f>
        <x:v>#NAME?</x:v>
      </x:c>
      <x:c r="I864" t="e">
        <x:f>IF($A864="","",[1]!thsiFinD("ths_adjustment_nv_fund",I$3,$A864))</x:f>
        <x:v>#NAME?</x:v>
      </x:c>
      <x:c r="J864" t="e">
        <x:f>IF($A864="","",[1]!thsiFinD("ths_adjustment_nv_fund",J$3,$A864))</x:f>
        <x:v>#NAME?</x:v>
      </x:c>
      <x:c r="K864" t="e">
        <x:f>IF($A864="","",[1]!thsiFinD("ths_adjustment_nv_fund",K$3,$A864))</x:f>
        <x:v>#NAME?</x:v>
      </x:c>
      <x:c r="L864" t="e">
        <x:f>IF($A864="","",[1]!thsiFinD("ths_adjustment_nv_fund",L$3,$A864))</x:f>
        <x:v>#NAME?</x:v>
      </x:c>
      <x:c r="M864" t="e">
        <x:f>IF($A864="","",[1]!thsiFinD("ths_adjustment_nv_fund",M$3,$A864))</x:f>
        <x:v>#NAME?</x:v>
      </x:c>
      <x:c r="N864" t="e">
        <x:f>IF($A864="","",[1]!thsiFinD("ths_adjustment_nv_fund",N$3,$A864))</x:f>
        <x:v>#NAME?</x:v>
      </x:c>
      <x:c r="O864" t="e">
        <x:f>IF($A864="","",[1]!thsiFinD("ths_adjustment_nv_fund",O$3,$A864))</x:f>
        <x:v>#NAME?</x:v>
      </x:c>
      <x:c r="P864" t="e">
        <x:f>IF($A864="","",[1]!thsiFinD("ths_adjustment_nv_fund",P$3,$A864))</x:f>
        <x:v>#NAME?</x:v>
      </x:c>
      <x:c r="Q864" t="e">
        <x:f>IF($A864="","",[1]!thsiFinD("ths_adjustment_nv_fund",Q$3,$A864))</x:f>
        <x:v>#NAME?</x:v>
      </x:c>
      <x:c r="R864" t="e">
        <x:f>IF($A864="","",[1]!thsiFinD("ths_adjustment_nv_fund",R$3,$A864))</x:f>
        <x:v>#NAME?</x:v>
      </x:c>
      <x:c r="S864" t="e">
        <x:f>IF($A864="","",[1]!thsiFinD("ths_adjustment_nv_fund",S$3,$A864))</x:f>
        <x:v>#NAME?</x:v>
      </x:c>
      <x:c r="T864" t="e">
        <x:f>IF($A864="","",[1]!thsiFinD("ths_adjustment_nv_fund",T$3,$A864))</x:f>
        <x:v>#NAME?</x:v>
      </x:c>
      <x:c r="U864" t="e">
        <x:f>IF($A864="","",[1]!thsiFinD("ths_adjustment_nv_fund",U$3,$A864))</x:f>
        <x:v>#NAME?</x:v>
      </x:c>
      <x:c r="V864" t="e">
        <x:f>IF($A864="","",[1]!thsiFinD("ths_adjustment_nv_fund",V$3,$A864))</x:f>
        <x:v>#NAME?</x:v>
      </x:c>
      <x:c r="W864" t="e">
        <x:f>IF($A864="","",[1]!thsiFinD("ths_adjustment_nv_fund",W$3,$A864))</x:f>
        <x:v>#NAME?</x:v>
      </x:c>
      <x:c r="X864" t="e">
        <x:f>IF($A864="","",[1]!thsiFinD("ths_adjustment_nv_fund",X$3,$A864))</x:f>
        <x:v>#NAME?</x:v>
      </x:c>
      <x:c r="Y864" t="e">
        <x:f>IF($A864="","",[1]!thsiFinD("ths_adjustment_nv_fund",Y$3,$A864))</x:f>
        <x:v>#NAME?</x:v>
      </x:c>
    </x:row>
    <x:row r="865">
      <x:c r="B865" t="e">
        <x:f>IF($A865="","",[1]!thsiFinD("ths_adjustment_nv_fund",B$3,$A865))</x:f>
        <x:v>#NAME?</x:v>
      </x:c>
      <x:c r="C865" t="e">
        <x:f>IF($A865="","",[1]!thsiFinD("ths_adjustment_nv_fund",C$3,$A865))</x:f>
        <x:v>#NAME?</x:v>
      </x:c>
      <x:c r="D865" t="e">
        <x:f>IF($A865="","",[1]!thsiFinD("ths_adjustment_nv_fund",D$3,$A865))</x:f>
        <x:v>#NAME?</x:v>
      </x:c>
      <x:c r="E865" t="e">
        <x:f>IF($A865="","",[1]!thsiFinD("ths_adjustment_nv_fund",E$3,$A865))</x:f>
        <x:v>#NAME?</x:v>
      </x:c>
      <x:c r="F865" t="e">
        <x:f>IF($A865="","",[1]!thsiFinD("ths_adjustment_nv_fund",F$3,$A865))</x:f>
        <x:v>#NAME?</x:v>
      </x:c>
      <x:c r="G865" t="e">
        <x:f>IF($A865="","",[1]!thsiFinD("ths_adjustment_nv_fund",G$3,$A865))</x:f>
        <x:v>#NAME?</x:v>
      </x:c>
      <x:c r="H865" t="e">
        <x:f>IF($A865="","",[1]!thsiFinD("ths_adjustment_nv_fund",H$3,$A865))</x:f>
        <x:v>#NAME?</x:v>
      </x:c>
      <x:c r="I865" t="e">
        <x:f>IF($A865="","",[1]!thsiFinD("ths_adjustment_nv_fund",I$3,$A865))</x:f>
        <x:v>#NAME?</x:v>
      </x:c>
      <x:c r="J865" t="e">
        <x:f>IF($A865="","",[1]!thsiFinD("ths_adjustment_nv_fund",J$3,$A865))</x:f>
        <x:v>#NAME?</x:v>
      </x:c>
      <x:c r="K865" t="e">
        <x:f>IF($A865="","",[1]!thsiFinD("ths_adjustment_nv_fund",K$3,$A865))</x:f>
        <x:v>#NAME?</x:v>
      </x:c>
      <x:c r="L865" t="e">
        <x:f>IF($A865="","",[1]!thsiFinD("ths_adjustment_nv_fund",L$3,$A865))</x:f>
        <x:v>#NAME?</x:v>
      </x:c>
      <x:c r="M865" t="e">
        <x:f>IF($A865="","",[1]!thsiFinD("ths_adjustment_nv_fund",M$3,$A865))</x:f>
        <x:v>#NAME?</x:v>
      </x:c>
      <x:c r="N865" t="e">
        <x:f>IF($A865="","",[1]!thsiFinD("ths_adjustment_nv_fund",N$3,$A865))</x:f>
        <x:v>#NAME?</x:v>
      </x:c>
      <x:c r="O865" t="e">
        <x:f>IF($A865="","",[1]!thsiFinD("ths_adjustment_nv_fund",O$3,$A865))</x:f>
        <x:v>#NAME?</x:v>
      </x:c>
      <x:c r="P865" t="e">
        <x:f>IF($A865="","",[1]!thsiFinD("ths_adjustment_nv_fund",P$3,$A865))</x:f>
        <x:v>#NAME?</x:v>
      </x:c>
      <x:c r="Q865" t="e">
        <x:f>IF($A865="","",[1]!thsiFinD("ths_adjustment_nv_fund",Q$3,$A865))</x:f>
        <x:v>#NAME?</x:v>
      </x:c>
      <x:c r="R865" t="e">
        <x:f>IF($A865="","",[1]!thsiFinD("ths_adjustment_nv_fund",R$3,$A865))</x:f>
        <x:v>#NAME?</x:v>
      </x:c>
      <x:c r="S865" t="e">
        <x:f>IF($A865="","",[1]!thsiFinD("ths_adjustment_nv_fund",S$3,$A865))</x:f>
        <x:v>#NAME?</x:v>
      </x:c>
      <x:c r="T865" t="e">
        <x:f>IF($A865="","",[1]!thsiFinD("ths_adjustment_nv_fund",T$3,$A865))</x:f>
        <x:v>#NAME?</x:v>
      </x:c>
      <x:c r="U865" t="e">
        <x:f>IF($A865="","",[1]!thsiFinD("ths_adjustment_nv_fund",U$3,$A865))</x:f>
        <x:v>#NAME?</x:v>
      </x:c>
      <x:c r="V865" t="e">
        <x:f>IF($A865="","",[1]!thsiFinD("ths_adjustment_nv_fund",V$3,$A865))</x:f>
        <x:v>#NAME?</x:v>
      </x:c>
      <x:c r="W865" t="e">
        <x:f>IF($A865="","",[1]!thsiFinD("ths_adjustment_nv_fund",W$3,$A865))</x:f>
        <x:v>#NAME?</x:v>
      </x:c>
      <x:c r="X865" t="e">
        <x:f>IF($A865="","",[1]!thsiFinD("ths_adjustment_nv_fund",X$3,$A865))</x:f>
        <x:v>#NAME?</x:v>
      </x:c>
      <x:c r="Y865" t="e">
        <x:f>IF($A865="","",[1]!thsiFinD("ths_adjustment_nv_fund",Y$3,$A865))</x:f>
        <x:v>#NAME?</x:v>
      </x:c>
    </x:row>
    <x:row r="866">
      <x:c r="B866" t="e">
        <x:f>IF($A866="","",[1]!thsiFinD("ths_adjustment_nv_fund",B$3,$A866))</x:f>
        <x:v>#NAME?</x:v>
      </x:c>
      <x:c r="C866" t="e">
        <x:f>IF($A866="","",[1]!thsiFinD("ths_adjustment_nv_fund",C$3,$A866))</x:f>
        <x:v>#NAME?</x:v>
      </x:c>
      <x:c r="D866" t="e">
        <x:f>IF($A866="","",[1]!thsiFinD("ths_adjustment_nv_fund",D$3,$A866))</x:f>
        <x:v>#NAME?</x:v>
      </x:c>
      <x:c r="E866" t="e">
        <x:f>IF($A866="","",[1]!thsiFinD("ths_adjustment_nv_fund",E$3,$A866))</x:f>
        <x:v>#NAME?</x:v>
      </x:c>
      <x:c r="F866" t="e">
        <x:f>IF($A866="","",[1]!thsiFinD("ths_adjustment_nv_fund",F$3,$A866))</x:f>
        <x:v>#NAME?</x:v>
      </x:c>
      <x:c r="G866" t="e">
        <x:f>IF($A866="","",[1]!thsiFinD("ths_adjustment_nv_fund",G$3,$A866))</x:f>
        <x:v>#NAME?</x:v>
      </x:c>
      <x:c r="H866" t="e">
        <x:f>IF($A866="","",[1]!thsiFinD("ths_adjustment_nv_fund",H$3,$A866))</x:f>
        <x:v>#NAME?</x:v>
      </x:c>
      <x:c r="I866" t="e">
        <x:f>IF($A866="","",[1]!thsiFinD("ths_adjustment_nv_fund",I$3,$A866))</x:f>
        <x:v>#NAME?</x:v>
      </x:c>
      <x:c r="J866" t="e">
        <x:f>IF($A866="","",[1]!thsiFinD("ths_adjustment_nv_fund",J$3,$A866))</x:f>
        <x:v>#NAME?</x:v>
      </x:c>
      <x:c r="K866" t="e">
        <x:f>IF($A866="","",[1]!thsiFinD("ths_adjustment_nv_fund",K$3,$A866))</x:f>
        <x:v>#NAME?</x:v>
      </x:c>
      <x:c r="L866" t="e">
        <x:f>IF($A866="","",[1]!thsiFinD("ths_adjustment_nv_fund",L$3,$A866))</x:f>
        <x:v>#NAME?</x:v>
      </x:c>
      <x:c r="M866" t="e">
        <x:f>IF($A866="","",[1]!thsiFinD("ths_adjustment_nv_fund",M$3,$A866))</x:f>
        <x:v>#NAME?</x:v>
      </x:c>
      <x:c r="N866" t="e">
        <x:f>IF($A866="","",[1]!thsiFinD("ths_adjustment_nv_fund",N$3,$A866))</x:f>
        <x:v>#NAME?</x:v>
      </x:c>
      <x:c r="O866" t="e">
        <x:f>IF($A866="","",[1]!thsiFinD("ths_adjustment_nv_fund",O$3,$A866))</x:f>
        <x:v>#NAME?</x:v>
      </x:c>
      <x:c r="P866" t="e">
        <x:f>IF($A866="","",[1]!thsiFinD("ths_adjustment_nv_fund",P$3,$A866))</x:f>
        <x:v>#NAME?</x:v>
      </x:c>
      <x:c r="Q866" t="e">
        <x:f>IF($A866="","",[1]!thsiFinD("ths_adjustment_nv_fund",Q$3,$A866))</x:f>
        <x:v>#NAME?</x:v>
      </x:c>
      <x:c r="R866" t="e">
        <x:f>IF($A866="","",[1]!thsiFinD("ths_adjustment_nv_fund",R$3,$A866))</x:f>
        <x:v>#NAME?</x:v>
      </x:c>
      <x:c r="S866" t="e">
        <x:f>IF($A866="","",[1]!thsiFinD("ths_adjustment_nv_fund",S$3,$A866))</x:f>
        <x:v>#NAME?</x:v>
      </x:c>
      <x:c r="T866" t="e">
        <x:f>IF($A866="","",[1]!thsiFinD("ths_adjustment_nv_fund",T$3,$A866))</x:f>
        <x:v>#NAME?</x:v>
      </x:c>
      <x:c r="U866" t="e">
        <x:f>IF($A866="","",[1]!thsiFinD("ths_adjustment_nv_fund",U$3,$A866))</x:f>
        <x:v>#NAME?</x:v>
      </x:c>
      <x:c r="V866" t="e">
        <x:f>IF($A866="","",[1]!thsiFinD("ths_adjustment_nv_fund",V$3,$A866))</x:f>
        <x:v>#NAME?</x:v>
      </x:c>
      <x:c r="W866" t="e">
        <x:f>IF($A866="","",[1]!thsiFinD("ths_adjustment_nv_fund",W$3,$A866))</x:f>
        <x:v>#NAME?</x:v>
      </x:c>
      <x:c r="X866" t="e">
        <x:f>IF($A866="","",[1]!thsiFinD("ths_adjustment_nv_fund",X$3,$A866))</x:f>
        <x:v>#NAME?</x:v>
      </x:c>
      <x:c r="Y866" t="e">
        <x:f>IF($A866="","",[1]!thsiFinD("ths_adjustment_nv_fund",Y$3,$A866))</x:f>
        <x:v>#NAME?</x:v>
      </x:c>
    </x:row>
    <x:row r="867">
      <x:c r="B867" t="e">
        <x:f>IF($A867="","",[1]!thsiFinD("ths_adjustment_nv_fund",B$3,$A867))</x:f>
        <x:v>#NAME?</x:v>
      </x:c>
      <x:c r="C867" t="e">
        <x:f>IF($A867="","",[1]!thsiFinD("ths_adjustment_nv_fund",C$3,$A867))</x:f>
        <x:v>#NAME?</x:v>
      </x:c>
      <x:c r="D867" t="e">
        <x:f>IF($A867="","",[1]!thsiFinD("ths_adjustment_nv_fund",D$3,$A867))</x:f>
        <x:v>#NAME?</x:v>
      </x:c>
      <x:c r="E867" t="e">
        <x:f>IF($A867="","",[1]!thsiFinD("ths_adjustment_nv_fund",E$3,$A867))</x:f>
        <x:v>#NAME?</x:v>
      </x:c>
      <x:c r="F867" t="e">
        <x:f>IF($A867="","",[1]!thsiFinD("ths_adjustment_nv_fund",F$3,$A867))</x:f>
        <x:v>#NAME?</x:v>
      </x:c>
      <x:c r="G867" t="e">
        <x:f>IF($A867="","",[1]!thsiFinD("ths_adjustment_nv_fund",G$3,$A867))</x:f>
        <x:v>#NAME?</x:v>
      </x:c>
      <x:c r="H867" t="e">
        <x:f>IF($A867="","",[1]!thsiFinD("ths_adjustment_nv_fund",H$3,$A867))</x:f>
        <x:v>#NAME?</x:v>
      </x:c>
      <x:c r="I867" t="e">
        <x:f>IF($A867="","",[1]!thsiFinD("ths_adjustment_nv_fund",I$3,$A867))</x:f>
        <x:v>#NAME?</x:v>
      </x:c>
      <x:c r="J867" t="e">
        <x:f>IF($A867="","",[1]!thsiFinD("ths_adjustment_nv_fund",J$3,$A867))</x:f>
        <x:v>#NAME?</x:v>
      </x:c>
      <x:c r="K867" t="e">
        <x:f>IF($A867="","",[1]!thsiFinD("ths_adjustment_nv_fund",K$3,$A867))</x:f>
        <x:v>#NAME?</x:v>
      </x:c>
      <x:c r="L867" t="e">
        <x:f>IF($A867="","",[1]!thsiFinD("ths_adjustment_nv_fund",L$3,$A867))</x:f>
        <x:v>#NAME?</x:v>
      </x:c>
      <x:c r="M867" t="e">
        <x:f>IF($A867="","",[1]!thsiFinD("ths_adjustment_nv_fund",M$3,$A867))</x:f>
        <x:v>#NAME?</x:v>
      </x:c>
      <x:c r="N867" t="e">
        <x:f>IF($A867="","",[1]!thsiFinD("ths_adjustment_nv_fund",N$3,$A867))</x:f>
        <x:v>#NAME?</x:v>
      </x:c>
      <x:c r="O867" t="e">
        <x:f>IF($A867="","",[1]!thsiFinD("ths_adjustment_nv_fund",O$3,$A867))</x:f>
        <x:v>#NAME?</x:v>
      </x:c>
      <x:c r="P867" t="e">
        <x:f>IF($A867="","",[1]!thsiFinD("ths_adjustment_nv_fund",P$3,$A867))</x:f>
        <x:v>#NAME?</x:v>
      </x:c>
      <x:c r="Q867" t="e">
        <x:f>IF($A867="","",[1]!thsiFinD("ths_adjustment_nv_fund",Q$3,$A867))</x:f>
        <x:v>#NAME?</x:v>
      </x:c>
      <x:c r="R867" t="e">
        <x:f>IF($A867="","",[1]!thsiFinD("ths_adjustment_nv_fund",R$3,$A867))</x:f>
        <x:v>#NAME?</x:v>
      </x:c>
      <x:c r="S867" t="e">
        <x:f>IF($A867="","",[1]!thsiFinD("ths_adjustment_nv_fund",S$3,$A867))</x:f>
        <x:v>#NAME?</x:v>
      </x:c>
      <x:c r="T867" t="e">
        <x:f>IF($A867="","",[1]!thsiFinD("ths_adjustment_nv_fund",T$3,$A867))</x:f>
        <x:v>#NAME?</x:v>
      </x:c>
      <x:c r="U867" t="e">
        <x:f>IF($A867="","",[1]!thsiFinD("ths_adjustment_nv_fund",U$3,$A867))</x:f>
        <x:v>#NAME?</x:v>
      </x:c>
      <x:c r="V867" t="e">
        <x:f>IF($A867="","",[1]!thsiFinD("ths_adjustment_nv_fund",V$3,$A867))</x:f>
        <x:v>#NAME?</x:v>
      </x:c>
      <x:c r="W867" t="e">
        <x:f>IF($A867="","",[1]!thsiFinD("ths_adjustment_nv_fund",W$3,$A867))</x:f>
        <x:v>#NAME?</x:v>
      </x:c>
      <x:c r="X867" t="e">
        <x:f>IF($A867="","",[1]!thsiFinD("ths_adjustment_nv_fund",X$3,$A867))</x:f>
        <x:v>#NAME?</x:v>
      </x:c>
      <x:c r="Y867" t="e">
        <x:f>IF($A867="","",[1]!thsiFinD("ths_adjustment_nv_fund",Y$3,$A867))</x:f>
        <x:v>#NAME?</x:v>
      </x:c>
    </x:row>
    <x:row r="868">
      <x:c r="B868" t="e">
        <x:f>IF($A868="","",[1]!thsiFinD("ths_adjustment_nv_fund",B$3,$A868))</x:f>
        <x:v>#NAME?</x:v>
      </x:c>
      <x:c r="C868" t="e">
        <x:f>IF($A868="","",[1]!thsiFinD("ths_adjustment_nv_fund",C$3,$A868))</x:f>
        <x:v>#NAME?</x:v>
      </x:c>
      <x:c r="D868" t="e">
        <x:f>IF($A868="","",[1]!thsiFinD("ths_adjustment_nv_fund",D$3,$A868))</x:f>
        <x:v>#NAME?</x:v>
      </x:c>
      <x:c r="E868" t="e">
        <x:f>IF($A868="","",[1]!thsiFinD("ths_adjustment_nv_fund",E$3,$A868))</x:f>
        <x:v>#NAME?</x:v>
      </x:c>
      <x:c r="F868" t="e">
        <x:f>IF($A868="","",[1]!thsiFinD("ths_adjustment_nv_fund",F$3,$A868))</x:f>
        <x:v>#NAME?</x:v>
      </x:c>
      <x:c r="G868" t="e">
        <x:f>IF($A868="","",[1]!thsiFinD("ths_adjustment_nv_fund",G$3,$A868))</x:f>
        <x:v>#NAME?</x:v>
      </x:c>
      <x:c r="H868" t="e">
        <x:f>IF($A868="","",[1]!thsiFinD("ths_adjustment_nv_fund",H$3,$A868))</x:f>
        <x:v>#NAME?</x:v>
      </x:c>
      <x:c r="I868" t="e">
        <x:f>IF($A868="","",[1]!thsiFinD("ths_adjustment_nv_fund",I$3,$A868))</x:f>
        <x:v>#NAME?</x:v>
      </x:c>
      <x:c r="J868" t="e">
        <x:f>IF($A868="","",[1]!thsiFinD("ths_adjustment_nv_fund",J$3,$A868))</x:f>
        <x:v>#NAME?</x:v>
      </x:c>
      <x:c r="K868" t="e">
        <x:f>IF($A868="","",[1]!thsiFinD("ths_adjustment_nv_fund",K$3,$A868))</x:f>
        <x:v>#NAME?</x:v>
      </x:c>
      <x:c r="L868" t="e">
        <x:f>IF($A868="","",[1]!thsiFinD("ths_adjustment_nv_fund",L$3,$A868))</x:f>
        <x:v>#NAME?</x:v>
      </x:c>
      <x:c r="M868" t="e">
        <x:f>IF($A868="","",[1]!thsiFinD("ths_adjustment_nv_fund",M$3,$A868))</x:f>
        <x:v>#NAME?</x:v>
      </x:c>
      <x:c r="N868" t="e">
        <x:f>IF($A868="","",[1]!thsiFinD("ths_adjustment_nv_fund",N$3,$A868))</x:f>
        <x:v>#NAME?</x:v>
      </x:c>
      <x:c r="O868" t="e">
        <x:f>IF($A868="","",[1]!thsiFinD("ths_adjustment_nv_fund",O$3,$A868))</x:f>
        <x:v>#NAME?</x:v>
      </x:c>
      <x:c r="P868" t="e">
        <x:f>IF($A868="","",[1]!thsiFinD("ths_adjustment_nv_fund",P$3,$A868))</x:f>
        <x:v>#NAME?</x:v>
      </x:c>
      <x:c r="Q868" t="e">
        <x:f>IF($A868="","",[1]!thsiFinD("ths_adjustment_nv_fund",Q$3,$A868))</x:f>
        <x:v>#NAME?</x:v>
      </x:c>
      <x:c r="R868" t="e">
        <x:f>IF($A868="","",[1]!thsiFinD("ths_adjustment_nv_fund",R$3,$A868))</x:f>
        <x:v>#NAME?</x:v>
      </x:c>
      <x:c r="S868" t="e">
        <x:f>IF($A868="","",[1]!thsiFinD("ths_adjustment_nv_fund",S$3,$A868))</x:f>
        <x:v>#NAME?</x:v>
      </x:c>
      <x:c r="T868" t="e">
        <x:f>IF($A868="","",[1]!thsiFinD("ths_adjustment_nv_fund",T$3,$A868))</x:f>
        <x:v>#NAME?</x:v>
      </x:c>
      <x:c r="U868" t="e">
        <x:f>IF($A868="","",[1]!thsiFinD("ths_adjustment_nv_fund",U$3,$A868))</x:f>
        <x:v>#NAME?</x:v>
      </x:c>
      <x:c r="V868" t="e">
        <x:f>IF($A868="","",[1]!thsiFinD("ths_adjustment_nv_fund",V$3,$A868))</x:f>
        <x:v>#NAME?</x:v>
      </x:c>
      <x:c r="W868" t="e">
        <x:f>IF($A868="","",[1]!thsiFinD("ths_adjustment_nv_fund",W$3,$A868))</x:f>
        <x:v>#NAME?</x:v>
      </x:c>
      <x:c r="X868" t="e">
        <x:f>IF($A868="","",[1]!thsiFinD("ths_adjustment_nv_fund",X$3,$A868))</x:f>
        <x:v>#NAME?</x:v>
      </x:c>
      <x:c r="Y868" t="e">
        <x:f>IF($A868="","",[1]!thsiFinD("ths_adjustment_nv_fund",Y$3,$A868))</x:f>
        <x:v>#NAME?</x:v>
      </x:c>
    </x:row>
    <x:row r="869">
      <x:c r="B869" t="e">
        <x:f>IF($A869="","",[1]!thsiFinD("ths_adjustment_nv_fund",B$3,$A869))</x:f>
        <x:v>#NAME?</x:v>
      </x:c>
      <x:c r="C869" t="e">
        <x:f>IF($A869="","",[1]!thsiFinD("ths_adjustment_nv_fund",C$3,$A869))</x:f>
        <x:v>#NAME?</x:v>
      </x:c>
      <x:c r="D869" t="e">
        <x:f>IF($A869="","",[1]!thsiFinD("ths_adjustment_nv_fund",D$3,$A869))</x:f>
        <x:v>#NAME?</x:v>
      </x:c>
      <x:c r="E869" t="e">
        <x:f>IF($A869="","",[1]!thsiFinD("ths_adjustment_nv_fund",E$3,$A869))</x:f>
        <x:v>#NAME?</x:v>
      </x:c>
      <x:c r="F869" t="e">
        <x:f>IF($A869="","",[1]!thsiFinD("ths_adjustment_nv_fund",F$3,$A869))</x:f>
        <x:v>#NAME?</x:v>
      </x:c>
      <x:c r="G869" t="e">
        <x:f>IF($A869="","",[1]!thsiFinD("ths_adjustment_nv_fund",G$3,$A869))</x:f>
        <x:v>#NAME?</x:v>
      </x:c>
      <x:c r="H869" t="e">
        <x:f>IF($A869="","",[1]!thsiFinD("ths_adjustment_nv_fund",H$3,$A869))</x:f>
        <x:v>#NAME?</x:v>
      </x:c>
      <x:c r="I869" t="e">
        <x:f>IF($A869="","",[1]!thsiFinD("ths_adjustment_nv_fund",I$3,$A869))</x:f>
        <x:v>#NAME?</x:v>
      </x:c>
      <x:c r="J869" t="e">
        <x:f>IF($A869="","",[1]!thsiFinD("ths_adjustment_nv_fund",J$3,$A869))</x:f>
        <x:v>#NAME?</x:v>
      </x:c>
      <x:c r="K869" t="e">
        <x:f>IF($A869="","",[1]!thsiFinD("ths_adjustment_nv_fund",K$3,$A869))</x:f>
        <x:v>#NAME?</x:v>
      </x:c>
      <x:c r="L869" t="e">
        <x:f>IF($A869="","",[1]!thsiFinD("ths_adjustment_nv_fund",L$3,$A869))</x:f>
        <x:v>#NAME?</x:v>
      </x:c>
      <x:c r="M869" t="e">
        <x:f>IF($A869="","",[1]!thsiFinD("ths_adjustment_nv_fund",M$3,$A869))</x:f>
        <x:v>#NAME?</x:v>
      </x:c>
      <x:c r="N869" t="e">
        <x:f>IF($A869="","",[1]!thsiFinD("ths_adjustment_nv_fund",N$3,$A869))</x:f>
        <x:v>#NAME?</x:v>
      </x:c>
      <x:c r="O869" t="e">
        <x:f>IF($A869="","",[1]!thsiFinD("ths_adjustment_nv_fund",O$3,$A869))</x:f>
        <x:v>#NAME?</x:v>
      </x:c>
      <x:c r="P869" t="e">
        <x:f>IF($A869="","",[1]!thsiFinD("ths_adjustment_nv_fund",P$3,$A869))</x:f>
        <x:v>#NAME?</x:v>
      </x:c>
      <x:c r="Q869" t="e">
        <x:f>IF($A869="","",[1]!thsiFinD("ths_adjustment_nv_fund",Q$3,$A869))</x:f>
        <x:v>#NAME?</x:v>
      </x:c>
      <x:c r="R869" t="e">
        <x:f>IF($A869="","",[1]!thsiFinD("ths_adjustment_nv_fund",R$3,$A869))</x:f>
        <x:v>#NAME?</x:v>
      </x:c>
      <x:c r="S869" t="e">
        <x:f>IF($A869="","",[1]!thsiFinD("ths_adjustment_nv_fund",S$3,$A869))</x:f>
        <x:v>#NAME?</x:v>
      </x:c>
      <x:c r="T869" t="e">
        <x:f>IF($A869="","",[1]!thsiFinD("ths_adjustment_nv_fund",T$3,$A869))</x:f>
        <x:v>#NAME?</x:v>
      </x:c>
      <x:c r="U869" t="e">
        <x:f>IF($A869="","",[1]!thsiFinD("ths_adjustment_nv_fund",U$3,$A869))</x:f>
        <x:v>#NAME?</x:v>
      </x:c>
      <x:c r="V869" t="e">
        <x:f>IF($A869="","",[1]!thsiFinD("ths_adjustment_nv_fund",V$3,$A869))</x:f>
        <x:v>#NAME?</x:v>
      </x:c>
      <x:c r="W869" t="e">
        <x:f>IF($A869="","",[1]!thsiFinD("ths_adjustment_nv_fund",W$3,$A869))</x:f>
        <x:v>#NAME?</x:v>
      </x:c>
      <x:c r="X869" t="e">
        <x:f>IF($A869="","",[1]!thsiFinD("ths_adjustment_nv_fund",X$3,$A869))</x:f>
        <x:v>#NAME?</x:v>
      </x:c>
      <x:c r="Y869" t="e">
        <x:f>IF($A869="","",[1]!thsiFinD("ths_adjustment_nv_fund",Y$3,$A869))</x:f>
        <x:v>#NAME?</x:v>
      </x:c>
    </x:row>
    <x:row r="870">
      <x:c r="B870" t="e">
        <x:f>IF($A870="","",[1]!thsiFinD("ths_adjustment_nv_fund",B$3,$A870))</x:f>
        <x:v>#NAME?</x:v>
      </x:c>
      <x:c r="C870" t="e">
        <x:f>IF($A870="","",[1]!thsiFinD("ths_adjustment_nv_fund",C$3,$A870))</x:f>
        <x:v>#NAME?</x:v>
      </x:c>
      <x:c r="D870" t="e">
        <x:f>IF($A870="","",[1]!thsiFinD("ths_adjustment_nv_fund",D$3,$A870))</x:f>
        <x:v>#NAME?</x:v>
      </x:c>
      <x:c r="E870" t="e">
        <x:f>IF($A870="","",[1]!thsiFinD("ths_adjustment_nv_fund",E$3,$A870))</x:f>
        <x:v>#NAME?</x:v>
      </x:c>
      <x:c r="F870" t="e">
        <x:f>IF($A870="","",[1]!thsiFinD("ths_adjustment_nv_fund",F$3,$A870))</x:f>
        <x:v>#NAME?</x:v>
      </x:c>
      <x:c r="G870" t="e">
        <x:f>IF($A870="","",[1]!thsiFinD("ths_adjustment_nv_fund",G$3,$A870))</x:f>
        <x:v>#NAME?</x:v>
      </x:c>
      <x:c r="H870" t="e">
        <x:f>IF($A870="","",[1]!thsiFinD("ths_adjustment_nv_fund",H$3,$A870))</x:f>
        <x:v>#NAME?</x:v>
      </x:c>
      <x:c r="I870" t="e">
        <x:f>IF($A870="","",[1]!thsiFinD("ths_adjustment_nv_fund",I$3,$A870))</x:f>
        <x:v>#NAME?</x:v>
      </x:c>
      <x:c r="J870" t="e">
        <x:f>IF($A870="","",[1]!thsiFinD("ths_adjustment_nv_fund",J$3,$A870))</x:f>
        <x:v>#NAME?</x:v>
      </x:c>
      <x:c r="K870" t="e">
        <x:f>IF($A870="","",[1]!thsiFinD("ths_adjustment_nv_fund",K$3,$A870))</x:f>
        <x:v>#NAME?</x:v>
      </x:c>
      <x:c r="L870" t="e">
        <x:f>IF($A870="","",[1]!thsiFinD("ths_adjustment_nv_fund",L$3,$A870))</x:f>
        <x:v>#NAME?</x:v>
      </x:c>
      <x:c r="M870" t="e">
        <x:f>IF($A870="","",[1]!thsiFinD("ths_adjustment_nv_fund",M$3,$A870))</x:f>
        <x:v>#NAME?</x:v>
      </x:c>
      <x:c r="N870" t="e">
        <x:f>IF($A870="","",[1]!thsiFinD("ths_adjustment_nv_fund",N$3,$A870))</x:f>
        <x:v>#NAME?</x:v>
      </x:c>
      <x:c r="O870" t="e">
        <x:f>IF($A870="","",[1]!thsiFinD("ths_adjustment_nv_fund",O$3,$A870))</x:f>
        <x:v>#NAME?</x:v>
      </x:c>
      <x:c r="P870" t="e">
        <x:f>IF($A870="","",[1]!thsiFinD("ths_adjustment_nv_fund",P$3,$A870))</x:f>
        <x:v>#NAME?</x:v>
      </x:c>
      <x:c r="Q870" t="e">
        <x:f>IF($A870="","",[1]!thsiFinD("ths_adjustment_nv_fund",Q$3,$A870))</x:f>
        <x:v>#NAME?</x:v>
      </x:c>
      <x:c r="R870" t="e">
        <x:f>IF($A870="","",[1]!thsiFinD("ths_adjustment_nv_fund",R$3,$A870))</x:f>
        <x:v>#NAME?</x:v>
      </x:c>
      <x:c r="S870" t="e">
        <x:f>IF($A870="","",[1]!thsiFinD("ths_adjustment_nv_fund",S$3,$A870))</x:f>
        <x:v>#NAME?</x:v>
      </x:c>
      <x:c r="T870" t="e">
        <x:f>IF($A870="","",[1]!thsiFinD("ths_adjustment_nv_fund",T$3,$A870))</x:f>
        <x:v>#NAME?</x:v>
      </x:c>
      <x:c r="U870" t="e">
        <x:f>IF($A870="","",[1]!thsiFinD("ths_adjustment_nv_fund",U$3,$A870))</x:f>
        <x:v>#NAME?</x:v>
      </x:c>
      <x:c r="V870" t="e">
        <x:f>IF($A870="","",[1]!thsiFinD("ths_adjustment_nv_fund",V$3,$A870))</x:f>
        <x:v>#NAME?</x:v>
      </x:c>
      <x:c r="W870" t="e">
        <x:f>IF($A870="","",[1]!thsiFinD("ths_adjustment_nv_fund",W$3,$A870))</x:f>
        <x:v>#NAME?</x:v>
      </x:c>
      <x:c r="X870" t="e">
        <x:f>IF($A870="","",[1]!thsiFinD("ths_adjustment_nv_fund",X$3,$A870))</x:f>
        <x:v>#NAME?</x:v>
      </x:c>
      <x:c r="Y870" t="e">
        <x:f>IF($A870="","",[1]!thsiFinD("ths_adjustment_nv_fund",Y$3,$A870))</x:f>
        <x:v>#NAME?</x:v>
      </x:c>
    </x:row>
    <x:row r="871">
      <x:c r="B871" t="e">
        <x:f>IF($A871="","",[1]!thsiFinD("ths_adjustment_nv_fund",B$3,$A871))</x:f>
        <x:v>#NAME?</x:v>
      </x:c>
      <x:c r="C871" t="e">
        <x:f>IF($A871="","",[1]!thsiFinD("ths_adjustment_nv_fund",C$3,$A871))</x:f>
        <x:v>#NAME?</x:v>
      </x:c>
      <x:c r="D871" t="e">
        <x:f>IF($A871="","",[1]!thsiFinD("ths_adjustment_nv_fund",D$3,$A871))</x:f>
        <x:v>#NAME?</x:v>
      </x:c>
      <x:c r="E871" t="e">
        <x:f>IF($A871="","",[1]!thsiFinD("ths_adjustment_nv_fund",E$3,$A871))</x:f>
        <x:v>#NAME?</x:v>
      </x:c>
      <x:c r="F871" t="e">
        <x:f>IF($A871="","",[1]!thsiFinD("ths_adjustment_nv_fund",F$3,$A871))</x:f>
        <x:v>#NAME?</x:v>
      </x:c>
      <x:c r="G871" t="e">
        <x:f>IF($A871="","",[1]!thsiFinD("ths_adjustment_nv_fund",G$3,$A871))</x:f>
        <x:v>#NAME?</x:v>
      </x:c>
      <x:c r="H871" t="e">
        <x:f>IF($A871="","",[1]!thsiFinD("ths_adjustment_nv_fund",H$3,$A871))</x:f>
        <x:v>#NAME?</x:v>
      </x:c>
      <x:c r="I871" t="e">
        <x:f>IF($A871="","",[1]!thsiFinD("ths_adjustment_nv_fund",I$3,$A871))</x:f>
        <x:v>#NAME?</x:v>
      </x:c>
      <x:c r="J871" t="e">
        <x:f>IF($A871="","",[1]!thsiFinD("ths_adjustment_nv_fund",J$3,$A871))</x:f>
        <x:v>#NAME?</x:v>
      </x:c>
      <x:c r="K871" t="e">
        <x:f>IF($A871="","",[1]!thsiFinD("ths_adjustment_nv_fund",K$3,$A871))</x:f>
        <x:v>#NAME?</x:v>
      </x:c>
      <x:c r="L871" t="e">
        <x:f>IF($A871="","",[1]!thsiFinD("ths_adjustment_nv_fund",L$3,$A871))</x:f>
        <x:v>#NAME?</x:v>
      </x:c>
      <x:c r="M871" t="e">
        <x:f>IF($A871="","",[1]!thsiFinD("ths_adjustment_nv_fund",M$3,$A871))</x:f>
        <x:v>#NAME?</x:v>
      </x:c>
      <x:c r="N871" t="e">
        <x:f>IF($A871="","",[1]!thsiFinD("ths_adjustment_nv_fund",N$3,$A871))</x:f>
        <x:v>#NAME?</x:v>
      </x:c>
      <x:c r="O871" t="e">
        <x:f>IF($A871="","",[1]!thsiFinD("ths_adjustment_nv_fund",O$3,$A871))</x:f>
        <x:v>#NAME?</x:v>
      </x:c>
      <x:c r="P871" t="e">
        <x:f>IF($A871="","",[1]!thsiFinD("ths_adjustment_nv_fund",P$3,$A871))</x:f>
        <x:v>#NAME?</x:v>
      </x:c>
      <x:c r="Q871" t="e">
        <x:f>IF($A871="","",[1]!thsiFinD("ths_adjustment_nv_fund",Q$3,$A871))</x:f>
        <x:v>#NAME?</x:v>
      </x:c>
      <x:c r="R871" t="e">
        <x:f>IF($A871="","",[1]!thsiFinD("ths_adjustment_nv_fund",R$3,$A871))</x:f>
        <x:v>#NAME?</x:v>
      </x:c>
      <x:c r="S871" t="e">
        <x:f>IF($A871="","",[1]!thsiFinD("ths_adjustment_nv_fund",S$3,$A871))</x:f>
        <x:v>#NAME?</x:v>
      </x:c>
      <x:c r="T871" t="e">
        <x:f>IF($A871="","",[1]!thsiFinD("ths_adjustment_nv_fund",T$3,$A871))</x:f>
        <x:v>#NAME?</x:v>
      </x:c>
      <x:c r="U871" t="e">
        <x:f>IF($A871="","",[1]!thsiFinD("ths_adjustment_nv_fund",U$3,$A871))</x:f>
        <x:v>#NAME?</x:v>
      </x:c>
      <x:c r="V871" t="e">
        <x:f>IF($A871="","",[1]!thsiFinD("ths_adjustment_nv_fund",V$3,$A871))</x:f>
        <x:v>#NAME?</x:v>
      </x:c>
      <x:c r="W871" t="e">
        <x:f>IF($A871="","",[1]!thsiFinD("ths_adjustment_nv_fund",W$3,$A871))</x:f>
        <x:v>#NAME?</x:v>
      </x:c>
      <x:c r="X871" t="e">
        <x:f>IF($A871="","",[1]!thsiFinD("ths_adjustment_nv_fund",X$3,$A871))</x:f>
        <x:v>#NAME?</x:v>
      </x:c>
      <x:c r="Y871" t="e">
        <x:f>IF($A871="","",[1]!thsiFinD("ths_adjustment_nv_fund",Y$3,$A871))</x:f>
        <x:v>#NAME?</x:v>
      </x:c>
    </x:row>
    <x:row r="872">
      <x:c r="B872" t="e">
        <x:f>IF($A872="","",[1]!thsiFinD("ths_adjustment_nv_fund",B$3,$A872))</x:f>
        <x:v>#NAME?</x:v>
      </x:c>
      <x:c r="C872" t="e">
        <x:f>IF($A872="","",[1]!thsiFinD("ths_adjustment_nv_fund",C$3,$A872))</x:f>
        <x:v>#NAME?</x:v>
      </x:c>
      <x:c r="D872" t="e">
        <x:f>IF($A872="","",[1]!thsiFinD("ths_adjustment_nv_fund",D$3,$A872))</x:f>
        <x:v>#NAME?</x:v>
      </x:c>
      <x:c r="E872" t="e">
        <x:f>IF($A872="","",[1]!thsiFinD("ths_adjustment_nv_fund",E$3,$A872))</x:f>
        <x:v>#NAME?</x:v>
      </x:c>
      <x:c r="F872" t="e">
        <x:f>IF($A872="","",[1]!thsiFinD("ths_adjustment_nv_fund",F$3,$A872))</x:f>
        <x:v>#NAME?</x:v>
      </x:c>
      <x:c r="G872" t="e">
        <x:f>IF($A872="","",[1]!thsiFinD("ths_adjustment_nv_fund",G$3,$A872))</x:f>
        <x:v>#NAME?</x:v>
      </x:c>
      <x:c r="H872" t="e">
        <x:f>IF($A872="","",[1]!thsiFinD("ths_adjustment_nv_fund",H$3,$A872))</x:f>
        <x:v>#NAME?</x:v>
      </x:c>
      <x:c r="I872" t="e">
        <x:f>IF($A872="","",[1]!thsiFinD("ths_adjustment_nv_fund",I$3,$A872))</x:f>
        <x:v>#NAME?</x:v>
      </x:c>
      <x:c r="J872" t="e">
        <x:f>IF($A872="","",[1]!thsiFinD("ths_adjustment_nv_fund",J$3,$A872))</x:f>
        <x:v>#NAME?</x:v>
      </x:c>
      <x:c r="K872" t="e">
        <x:f>IF($A872="","",[1]!thsiFinD("ths_adjustment_nv_fund",K$3,$A872))</x:f>
        <x:v>#NAME?</x:v>
      </x:c>
      <x:c r="L872" t="e">
        <x:f>IF($A872="","",[1]!thsiFinD("ths_adjustment_nv_fund",L$3,$A872))</x:f>
        <x:v>#NAME?</x:v>
      </x:c>
      <x:c r="M872" t="e">
        <x:f>IF($A872="","",[1]!thsiFinD("ths_adjustment_nv_fund",M$3,$A872))</x:f>
        <x:v>#NAME?</x:v>
      </x:c>
      <x:c r="N872" t="e">
        <x:f>IF($A872="","",[1]!thsiFinD("ths_adjustment_nv_fund",N$3,$A872))</x:f>
        <x:v>#NAME?</x:v>
      </x:c>
      <x:c r="O872" t="e">
        <x:f>IF($A872="","",[1]!thsiFinD("ths_adjustment_nv_fund",O$3,$A872))</x:f>
        <x:v>#NAME?</x:v>
      </x:c>
      <x:c r="P872" t="e">
        <x:f>IF($A872="","",[1]!thsiFinD("ths_adjustment_nv_fund",P$3,$A872))</x:f>
        <x:v>#NAME?</x:v>
      </x:c>
      <x:c r="Q872" t="e">
        <x:f>IF($A872="","",[1]!thsiFinD("ths_adjustment_nv_fund",Q$3,$A872))</x:f>
        <x:v>#NAME?</x:v>
      </x:c>
      <x:c r="R872" t="e">
        <x:f>IF($A872="","",[1]!thsiFinD("ths_adjustment_nv_fund",R$3,$A872))</x:f>
        <x:v>#NAME?</x:v>
      </x:c>
      <x:c r="S872" t="e">
        <x:f>IF($A872="","",[1]!thsiFinD("ths_adjustment_nv_fund",S$3,$A872))</x:f>
        <x:v>#NAME?</x:v>
      </x:c>
      <x:c r="T872" t="e">
        <x:f>IF($A872="","",[1]!thsiFinD("ths_adjustment_nv_fund",T$3,$A872))</x:f>
        <x:v>#NAME?</x:v>
      </x:c>
      <x:c r="U872" t="e">
        <x:f>IF($A872="","",[1]!thsiFinD("ths_adjustment_nv_fund",U$3,$A872))</x:f>
        <x:v>#NAME?</x:v>
      </x:c>
      <x:c r="V872" t="e">
        <x:f>IF($A872="","",[1]!thsiFinD("ths_adjustment_nv_fund",V$3,$A872))</x:f>
        <x:v>#NAME?</x:v>
      </x:c>
      <x:c r="W872" t="e">
        <x:f>IF($A872="","",[1]!thsiFinD("ths_adjustment_nv_fund",W$3,$A872))</x:f>
        <x:v>#NAME?</x:v>
      </x:c>
      <x:c r="X872" t="e">
        <x:f>IF($A872="","",[1]!thsiFinD("ths_adjustment_nv_fund",X$3,$A872))</x:f>
        <x:v>#NAME?</x:v>
      </x:c>
      <x:c r="Y872" t="e">
        <x:f>IF($A872="","",[1]!thsiFinD("ths_adjustment_nv_fund",Y$3,$A872))</x:f>
        <x:v>#NAME?</x:v>
      </x:c>
    </x:row>
    <x:row r="873">
      <x:c r="B873" t="e">
        <x:f>IF($A873="","",[1]!thsiFinD("ths_adjustment_nv_fund",B$3,$A873))</x:f>
        <x:v>#NAME?</x:v>
      </x:c>
      <x:c r="C873" t="e">
        <x:f>IF($A873="","",[1]!thsiFinD("ths_adjustment_nv_fund",C$3,$A873))</x:f>
        <x:v>#NAME?</x:v>
      </x:c>
      <x:c r="D873" t="e">
        <x:f>IF($A873="","",[1]!thsiFinD("ths_adjustment_nv_fund",D$3,$A873))</x:f>
        <x:v>#NAME?</x:v>
      </x:c>
      <x:c r="E873" t="e">
        <x:f>IF($A873="","",[1]!thsiFinD("ths_adjustment_nv_fund",E$3,$A873))</x:f>
        <x:v>#NAME?</x:v>
      </x:c>
      <x:c r="F873" t="e">
        <x:f>IF($A873="","",[1]!thsiFinD("ths_adjustment_nv_fund",F$3,$A873))</x:f>
        <x:v>#NAME?</x:v>
      </x:c>
      <x:c r="G873" t="e">
        <x:f>IF($A873="","",[1]!thsiFinD("ths_adjustment_nv_fund",G$3,$A873))</x:f>
        <x:v>#NAME?</x:v>
      </x:c>
      <x:c r="H873" t="e">
        <x:f>IF($A873="","",[1]!thsiFinD("ths_adjustment_nv_fund",H$3,$A873))</x:f>
        <x:v>#NAME?</x:v>
      </x:c>
      <x:c r="I873" t="e">
        <x:f>IF($A873="","",[1]!thsiFinD("ths_adjustment_nv_fund",I$3,$A873))</x:f>
        <x:v>#NAME?</x:v>
      </x:c>
      <x:c r="J873" t="e">
        <x:f>IF($A873="","",[1]!thsiFinD("ths_adjustment_nv_fund",J$3,$A873))</x:f>
        <x:v>#NAME?</x:v>
      </x:c>
      <x:c r="K873" t="e">
        <x:f>IF($A873="","",[1]!thsiFinD("ths_adjustment_nv_fund",K$3,$A873))</x:f>
        <x:v>#NAME?</x:v>
      </x:c>
      <x:c r="L873" t="e">
        <x:f>IF($A873="","",[1]!thsiFinD("ths_adjustment_nv_fund",L$3,$A873))</x:f>
        <x:v>#NAME?</x:v>
      </x:c>
      <x:c r="M873" t="e">
        <x:f>IF($A873="","",[1]!thsiFinD("ths_adjustment_nv_fund",M$3,$A873))</x:f>
        <x:v>#NAME?</x:v>
      </x:c>
      <x:c r="N873" t="e">
        <x:f>IF($A873="","",[1]!thsiFinD("ths_adjustment_nv_fund",N$3,$A873))</x:f>
        <x:v>#NAME?</x:v>
      </x:c>
      <x:c r="O873" t="e">
        <x:f>IF($A873="","",[1]!thsiFinD("ths_adjustment_nv_fund",O$3,$A873))</x:f>
        <x:v>#NAME?</x:v>
      </x:c>
      <x:c r="P873" t="e">
        <x:f>IF($A873="","",[1]!thsiFinD("ths_adjustment_nv_fund",P$3,$A873))</x:f>
        <x:v>#NAME?</x:v>
      </x:c>
      <x:c r="Q873" t="e">
        <x:f>IF($A873="","",[1]!thsiFinD("ths_adjustment_nv_fund",Q$3,$A873))</x:f>
        <x:v>#NAME?</x:v>
      </x:c>
      <x:c r="R873" t="e">
        <x:f>IF($A873="","",[1]!thsiFinD("ths_adjustment_nv_fund",R$3,$A873))</x:f>
        <x:v>#NAME?</x:v>
      </x:c>
      <x:c r="S873" t="e">
        <x:f>IF($A873="","",[1]!thsiFinD("ths_adjustment_nv_fund",S$3,$A873))</x:f>
        <x:v>#NAME?</x:v>
      </x:c>
      <x:c r="T873" t="e">
        <x:f>IF($A873="","",[1]!thsiFinD("ths_adjustment_nv_fund",T$3,$A873))</x:f>
        <x:v>#NAME?</x:v>
      </x:c>
      <x:c r="U873" t="e">
        <x:f>IF($A873="","",[1]!thsiFinD("ths_adjustment_nv_fund",U$3,$A873))</x:f>
        <x:v>#NAME?</x:v>
      </x:c>
      <x:c r="V873" t="e">
        <x:f>IF($A873="","",[1]!thsiFinD("ths_adjustment_nv_fund",V$3,$A873))</x:f>
        <x:v>#NAME?</x:v>
      </x:c>
      <x:c r="W873" t="e">
        <x:f>IF($A873="","",[1]!thsiFinD("ths_adjustment_nv_fund",W$3,$A873))</x:f>
        <x:v>#NAME?</x:v>
      </x:c>
      <x:c r="X873" t="e">
        <x:f>IF($A873="","",[1]!thsiFinD("ths_adjustment_nv_fund",X$3,$A873))</x:f>
        <x:v>#NAME?</x:v>
      </x:c>
      <x:c r="Y873" t="e">
        <x:f>IF($A873="","",[1]!thsiFinD("ths_adjustment_nv_fund",Y$3,$A873))</x:f>
        <x:v>#NAME?</x:v>
      </x:c>
    </x:row>
    <x:row r="874">
      <x:c r="B874" t="e">
        <x:f>IF($A874="","",[1]!thsiFinD("ths_adjustment_nv_fund",B$3,$A874))</x:f>
        <x:v>#NAME?</x:v>
      </x:c>
      <x:c r="C874" t="e">
        <x:f>IF($A874="","",[1]!thsiFinD("ths_adjustment_nv_fund",C$3,$A874))</x:f>
        <x:v>#NAME?</x:v>
      </x:c>
      <x:c r="D874" t="e">
        <x:f>IF($A874="","",[1]!thsiFinD("ths_adjustment_nv_fund",D$3,$A874))</x:f>
        <x:v>#NAME?</x:v>
      </x:c>
      <x:c r="E874" t="e">
        <x:f>IF($A874="","",[1]!thsiFinD("ths_adjustment_nv_fund",E$3,$A874))</x:f>
        <x:v>#NAME?</x:v>
      </x:c>
      <x:c r="F874" t="e">
        <x:f>IF($A874="","",[1]!thsiFinD("ths_adjustment_nv_fund",F$3,$A874))</x:f>
        <x:v>#NAME?</x:v>
      </x:c>
      <x:c r="G874" t="e">
        <x:f>IF($A874="","",[1]!thsiFinD("ths_adjustment_nv_fund",G$3,$A874))</x:f>
        <x:v>#NAME?</x:v>
      </x:c>
      <x:c r="H874" t="e">
        <x:f>IF($A874="","",[1]!thsiFinD("ths_adjustment_nv_fund",H$3,$A874))</x:f>
        <x:v>#NAME?</x:v>
      </x:c>
      <x:c r="I874" t="e">
        <x:f>IF($A874="","",[1]!thsiFinD("ths_adjustment_nv_fund",I$3,$A874))</x:f>
        <x:v>#NAME?</x:v>
      </x:c>
      <x:c r="J874" t="e">
        <x:f>IF($A874="","",[1]!thsiFinD("ths_adjustment_nv_fund",J$3,$A874))</x:f>
        <x:v>#NAME?</x:v>
      </x:c>
      <x:c r="K874" t="e">
        <x:f>IF($A874="","",[1]!thsiFinD("ths_adjustment_nv_fund",K$3,$A874))</x:f>
        <x:v>#NAME?</x:v>
      </x:c>
      <x:c r="L874" t="e">
        <x:f>IF($A874="","",[1]!thsiFinD("ths_adjustment_nv_fund",L$3,$A874))</x:f>
        <x:v>#NAME?</x:v>
      </x:c>
      <x:c r="M874" t="e">
        <x:f>IF($A874="","",[1]!thsiFinD("ths_adjustment_nv_fund",M$3,$A874))</x:f>
        <x:v>#NAME?</x:v>
      </x:c>
      <x:c r="N874" t="e">
        <x:f>IF($A874="","",[1]!thsiFinD("ths_adjustment_nv_fund",N$3,$A874))</x:f>
        <x:v>#NAME?</x:v>
      </x:c>
      <x:c r="O874" t="e">
        <x:f>IF($A874="","",[1]!thsiFinD("ths_adjustment_nv_fund",O$3,$A874))</x:f>
        <x:v>#NAME?</x:v>
      </x:c>
      <x:c r="P874" t="e">
        <x:f>IF($A874="","",[1]!thsiFinD("ths_adjustment_nv_fund",P$3,$A874))</x:f>
        <x:v>#NAME?</x:v>
      </x:c>
      <x:c r="Q874" t="e">
        <x:f>IF($A874="","",[1]!thsiFinD("ths_adjustment_nv_fund",Q$3,$A874))</x:f>
        <x:v>#NAME?</x:v>
      </x:c>
      <x:c r="R874" t="e">
        <x:f>IF($A874="","",[1]!thsiFinD("ths_adjustment_nv_fund",R$3,$A874))</x:f>
        <x:v>#NAME?</x:v>
      </x:c>
      <x:c r="S874" t="e">
        <x:f>IF($A874="","",[1]!thsiFinD("ths_adjustment_nv_fund",S$3,$A874))</x:f>
        <x:v>#NAME?</x:v>
      </x:c>
      <x:c r="T874" t="e">
        <x:f>IF($A874="","",[1]!thsiFinD("ths_adjustment_nv_fund",T$3,$A874))</x:f>
        <x:v>#NAME?</x:v>
      </x:c>
      <x:c r="U874" t="e">
        <x:f>IF($A874="","",[1]!thsiFinD("ths_adjustment_nv_fund",U$3,$A874))</x:f>
        <x:v>#NAME?</x:v>
      </x:c>
      <x:c r="V874" t="e">
        <x:f>IF($A874="","",[1]!thsiFinD("ths_adjustment_nv_fund",V$3,$A874))</x:f>
        <x:v>#NAME?</x:v>
      </x:c>
      <x:c r="W874" t="e">
        <x:f>IF($A874="","",[1]!thsiFinD("ths_adjustment_nv_fund",W$3,$A874))</x:f>
        <x:v>#NAME?</x:v>
      </x:c>
      <x:c r="X874" t="e">
        <x:f>IF($A874="","",[1]!thsiFinD("ths_adjustment_nv_fund",X$3,$A874))</x:f>
        <x:v>#NAME?</x:v>
      </x:c>
      <x:c r="Y874" t="e">
        <x:f>IF($A874="","",[1]!thsiFinD("ths_adjustment_nv_fund",Y$3,$A874))</x:f>
        <x:v>#NAME?</x:v>
      </x:c>
    </x:row>
    <x:row r="875">
      <x:c r="B875" t="e">
        <x:f>IF($A875="","",[1]!thsiFinD("ths_adjustment_nv_fund",B$3,$A875))</x:f>
        <x:v>#NAME?</x:v>
      </x:c>
      <x:c r="C875" t="e">
        <x:f>IF($A875="","",[1]!thsiFinD("ths_adjustment_nv_fund",C$3,$A875))</x:f>
        <x:v>#NAME?</x:v>
      </x:c>
      <x:c r="D875" t="e">
        <x:f>IF($A875="","",[1]!thsiFinD("ths_adjustment_nv_fund",D$3,$A875))</x:f>
        <x:v>#NAME?</x:v>
      </x:c>
      <x:c r="E875" t="e">
        <x:f>IF($A875="","",[1]!thsiFinD("ths_adjustment_nv_fund",E$3,$A875))</x:f>
        <x:v>#NAME?</x:v>
      </x:c>
      <x:c r="F875" t="e">
        <x:f>IF($A875="","",[1]!thsiFinD("ths_adjustment_nv_fund",F$3,$A875))</x:f>
        <x:v>#NAME?</x:v>
      </x:c>
      <x:c r="G875" t="e">
        <x:f>IF($A875="","",[1]!thsiFinD("ths_adjustment_nv_fund",G$3,$A875))</x:f>
        <x:v>#NAME?</x:v>
      </x:c>
      <x:c r="H875" t="e">
        <x:f>IF($A875="","",[1]!thsiFinD("ths_adjustment_nv_fund",H$3,$A875))</x:f>
        <x:v>#NAME?</x:v>
      </x:c>
      <x:c r="I875" t="e">
        <x:f>IF($A875="","",[1]!thsiFinD("ths_adjustment_nv_fund",I$3,$A875))</x:f>
        <x:v>#NAME?</x:v>
      </x:c>
      <x:c r="J875" t="e">
        <x:f>IF($A875="","",[1]!thsiFinD("ths_adjustment_nv_fund",J$3,$A875))</x:f>
        <x:v>#NAME?</x:v>
      </x:c>
      <x:c r="K875" t="e">
        <x:f>IF($A875="","",[1]!thsiFinD("ths_adjustment_nv_fund",K$3,$A875))</x:f>
        <x:v>#NAME?</x:v>
      </x:c>
      <x:c r="L875" t="e">
        <x:f>IF($A875="","",[1]!thsiFinD("ths_adjustment_nv_fund",L$3,$A875))</x:f>
        <x:v>#NAME?</x:v>
      </x:c>
      <x:c r="M875" t="e">
        <x:f>IF($A875="","",[1]!thsiFinD("ths_adjustment_nv_fund",M$3,$A875))</x:f>
        <x:v>#NAME?</x:v>
      </x:c>
      <x:c r="N875" t="e">
        <x:f>IF($A875="","",[1]!thsiFinD("ths_adjustment_nv_fund",N$3,$A875))</x:f>
        <x:v>#NAME?</x:v>
      </x:c>
      <x:c r="O875" t="e">
        <x:f>IF($A875="","",[1]!thsiFinD("ths_adjustment_nv_fund",O$3,$A875))</x:f>
        <x:v>#NAME?</x:v>
      </x:c>
      <x:c r="P875" t="e">
        <x:f>IF($A875="","",[1]!thsiFinD("ths_adjustment_nv_fund",P$3,$A875))</x:f>
        <x:v>#NAME?</x:v>
      </x:c>
      <x:c r="Q875" t="e">
        <x:f>IF($A875="","",[1]!thsiFinD("ths_adjustment_nv_fund",Q$3,$A875))</x:f>
        <x:v>#NAME?</x:v>
      </x:c>
      <x:c r="R875" t="e">
        <x:f>IF($A875="","",[1]!thsiFinD("ths_adjustment_nv_fund",R$3,$A875))</x:f>
        <x:v>#NAME?</x:v>
      </x:c>
      <x:c r="S875" t="e">
        <x:f>IF($A875="","",[1]!thsiFinD("ths_adjustment_nv_fund",S$3,$A875))</x:f>
        <x:v>#NAME?</x:v>
      </x:c>
      <x:c r="T875" t="e">
        <x:f>IF($A875="","",[1]!thsiFinD("ths_adjustment_nv_fund",T$3,$A875))</x:f>
        <x:v>#NAME?</x:v>
      </x:c>
      <x:c r="U875" t="e">
        <x:f>IF($A875="","",[1]!thsiFinD("ths_adjustment_nv_fund",U$3,$A875))</x:f>
        <x:v>#NAME?</x:v>
      </x:c>
      <x:c r="V875" t="e">
        <x:f>IF($A875="","",[1]!thsiFinD("ths_adjustment_nv_fund",V$3,$A875))</x:f>
        <x:v>#NAME?</x:v>
      </x:c>
      <x:c r="W875" t="e">
        <x:f>IF($A875="","",[1]!thsiFinD("ths_adjustment_nv_fund",W$3,$A875))</x:f>
        <x:v>#NAME?</x:v>
      </x:c>
      <x:c r="X875" t="e">
        <x:f>IF($A875="","",[1]!thsiFinD("ths_adjustment_nv_fund",X$3,$A875))</x:f>
        <x:v>#NAME?</x:v>
      </x:c>
      <x:c r="Y875" t="e">
        <x:f>IF($A875="","",[1]!thsiFinD("ths_adjustment_nv_fund",Y$3,$A875))</x:f>
        <x:v>#NAME?</x:v>
      </x:c>
    </x:row>
    <x:row r="876">
      <x:c r="B876" t="e">
        <x:f>IF($A876="","",[1]!thsiFinD("ths_adjustment_nv_fund",B$3,$A876))</x:f>
        <x:v>#NAME?</x:v>
      </x:c>
      <x:c r="C876" t="e">
        <x:f>IF($A876="","",[1]!thsiFinD("ths_adjustment_nv_fund",C$3,$A876))</x:f>
        <x:v>#NAME?</x:v>
      </x:c>
      <x:c r="D876" t="e">
        <x:f>IF($A876="","",[1]!thsiFinD("ths_adjustment_nv_fund",D$3,$A876))</x:f>
        <x:v>#NAME?</x:v>
      </x:c>
      <x:c r="E876" t="e">
        <x:f>IF($A876="","",[1]!thsiFinD("ths_adjustment_nv_fund",E$3,$A876))</x:f>
        <x:v>#NAME?</x:v>
      </x:c>
      <x:c r="F876" t="e">
        <x:f>IF($A876="","",[1]!thsiFinD("ths_adjustment_nv_fund",F$3,$A876))</x:f>
        <x:v>#NAME?</x:v>
      </x:c>
      <x:c r="G876" t="e">
        <x:f>IF($A876="","",[1]!thsiFinD("ths_adjustment_nv_fund",G$3,$A876))</x:f>
        <x:v>#NAME?</x:v>
      </x:c>
      <x:c r="H876" t="e">
        <x:f>IF($A876="","",[1]!thsiFinD("ths_adjustment_nv_fund",H$3,$A876))</x:f>
        <x:v>#NAME?</x:v>
      </x:c>
      <x:c r="I876" t="e">
        <x:f>IF($A876="","",[1]!thsiFinD("ths_adjustment_nv_fund",I$3,$A876))</x:f>
        <x:v>#NAME?</x:v>
      </x:c>
      <x:c r="J876" t="e">
        <x:f>IF($A876="","",[1]!thsiFinD("ths_adjustment_nv_fund",J$3,$A876))</x:f>
        <x:v>#NAME?</x:v>
      </x:c>
      <x:c r="K876" t="e">
        <x:f>IF($A876="","",[1]!thsiFinD("ths_adjustment_nv_fund",K$3,$A876))</x:f>
        <x:v>#NAME?</x:v>
      </x:c>
      <x:c r="L876" t="e">
        <x:f>IF($A876="","",[1]!thsiFinD("ths_adjustment_nv_fund",L$3,$A876))</x:f>
        <x:v>#NAME?</x:v>
      </x:c>
      <x:c r="M876" t="e">
        <x:f>IF($A876="","",[1]!thsiFinD("ths_adjustment_nv_fund",M$3,$A876))</x:f>
        <x:v>#NAME?</x:v>
      </x:c>
      <x:c r="N876" t="e">
        <x:f>IF($A876="","",[1]!thsiFinD("ths_adjustment_nv_fund",N$3,$A876))</x:f>
        <x:v>#NAME?</x:v>
      </x:c>
      <x:c r="O876" t="e">
        <x:f>IF($A876="","",[1]!thsiFinD("ths_adjustment_nv_fund",O$3,$A876))</x:f>
        <x:v>#NAME?</x:v>
      </x:c>
      <x:c r="P876" t="e">
        <x:f>IF($A876="","",[1]!thsiFinD("ths_adjustment_nv_fund",P$3,$A876))</x:f>
        <x:v>#NAME?</x:v>
      </x:c>
      <x:c r="Q876" t="e">
        <x:f>IF($A876="","",[1]!thsiFinD("ths_adjustment_nv_fund",Q$3,$A876))</x:f>
        <x:v>#NAME?</x:v>
      </x:c>
      <x:c r="R876" t="e">
        <x:f>IF($A876="","",[1]!thsiFinD("ths_adjustment_nv_fund",R$3,$A876))</x:f>
        <x:v>#NAME?</x:v>
      </x:c>
      <x:c r="S876" t="e">
        <x:f>IF($A876="","",[1]!thsiFinD("ths_adjustment_nv_fund",S$3,$A876))</x:f>
        <x:v>#NAME?</x:v>
      </x:c>
      <x:c r="T876" t="e">
        <x:f>IF($A876="","",[1]!thsiFinD("ths_adjustment_nv_fund",T$3,$A876))</x:f>
        <x:v>#NAME?</x:v>
      </x:c>
      <x:c r="U876" t="e">
        <x:f>IF($A876="","",[1]!thsiFinD("ths_adjustment_nv_fund",U$3,$A876))</x:f>
        <x:v>#NAME?</x:v>
      </x:c>
      <x:c r="V876" t="e">
        <x:f>IF($A876="","",[1]!thsiFinD("ths_adjustment_nv_fund",V$3,$A876))</x:f>
        <x:v>#NAME?</x:v>
      </x:c>
      <x:c r="W876" t="e">
        <x:f>IF($A876="","",[1]!thsiFinD("ths_adjustment_nv_fund",W$3,$A876))</x:f>
        <x:v>#NAME?</x:v>
      </x:c>
      <x:c r="X876" t="e">
        <x:f>IF($A876="","",[1]!thsiFinD("ths_adjustment_nv_fund",X$3,$A876))</x:f>
        <x:v>#NAME?</x:v>
      </x:c>
      <x:c r="Y876" t="e">
        <x:f>IF($A876="","",[1]!thsiFinD("ths_adjustment_nv_fund",Y$3,$A876))</x:f>
        <x:v>#NAME?</x:v>
      </x:c>
    </x:row>
    <x:row r="877">
      <x:c r="B877" t="e">
        <x:f>IF($A877="","",[1]!thsiFinD("ths_adjustment_nv_fund",B$3,$A877))</x:f>
        <x:v>#NAME?</x:v>
      </x:c>
      <x:c r="C877" t="e">
        <x:f>IF($A877="","",[1]!thsiFinD("ths_adjustment_nv_fund",C$3,$A877))</x:f>
        <x:v>#NAME?</x:v>
      </x:c>
      <x:c r="D877" t="e">
        <x:f>IF($A877="","",[1]!thsiFinD("ths_adjustment_nv_fund",D$3,$A877))</x:f>
        <x:v>#NAME?</x:v>
      </x:c>
      <x:c r="E877" t="e">
        <x:f>IF($A877="","",[1]!thsiFinD("ths_adjustment_nv_fund",E$3,$A877))</x:f>
        <x:v>#NAME?</x:v>
      </x:c>
      <x:c r="F877" t="e">
        <x:f>IF($A877="","",[1]!thsiFinD("ths_adjustment_nv_fund",F$3,$A877))</x:f>
        <x:v>#NAME?</x:v>
      </x:c>
      <x:c r="G877" t="e">
        <x:f>IF($A877="","",[1]!thsiFinD("ths_adjustment_nv_fund",G$3,$A877))</x:f>
        <x:v>#NAME?</x:v>
      </x:c>
      <x:c r="H877" t="e">
        <x:f>IF($A877="","",[1]!thsiFinD("ths_adjustment_nv_fund",H$3,$A877))</x:f>
        <x:v>#NAME?</x:v>
      </x:c>
      <x:c r="I877" t="e">
        <x:f>IF($A877="","",[1]!thsiFinD("ths_adjustment_nv_fund",I$3,$A877))</x:f>
        <x:v>#NAME?</x:v>
      </x:c>
      <x:c r="J877" t="e">
        <x:f>IF($A877="","",[1]!thsiFinD("ths_adjustment_nv_fund",J$3,$A877))</x:f>
        <x:v>#NAME?</x:v>
      </x:c>
      <x:c r="K877" t="e">
        <x:f>IF($A877="","",[1]!thsiFinD("ths_adjustment_nv_fund",K$3,$A877))</x:f>
        <x:v>#NAME?</x:v>
      </x:c>
      <x:c r="L877" t="e">
        <x:f>IF($A877="","",[1]!thsiFinD("ths_adjustment_nv_fund",L$3,$A877))</x:f>
        <x:v>#NAME?</x:v>
      </x:c>
      <x:c r="M877" t="e">
        <x:f>IF($A877="","",[1]!thsiFinD("ths_adjustment_nv_fund",M$3,$A877))</x:f>
        <x:v>#NAME?</x:v>
      </x:c>
      <x:c r="N877" t="e">
        <x:f>IF($A877="","",[1]!thsiFinD("ths_adjustment_nv_fund",N$3,$A877))</x:f>
        <x:v>#NAME?</x:v>
      </x:c>
      <x:c r="O877" t="e">
        <x:f>IF($A877="","",[1]!thsiFinD("ths_adjustment_nv_fund",O$3,$A877))</x:f>
        <x:v>#NAME?</x:v>
      </x:c>
      <x:c r="P877" t="e">
        <x:f>IF($A877="","",[1]!thsiFinD("ths_adjustment_nv_fund",P$3,$A877))</x:f>
        <x:v>#NAME?</x:v>
      </x:c>
      <x:c r="Q877" t="e">
        <x:f>IF($A877="","",[1]!thsiFinD("ths_adjustment_nv_fund",Q$3,$A877))</x:f>
        <x:v>#NAME?</x:v>
      </x:c>
      <x:c r="R877" t="e">
        <x:f>IF($A877="","",[1]!thsiFinD("ths_adjustment_nv_fund",R$3,$A877))</x:f>
        <x:v>#NAME?</x:v>
      </x:c>
      <x:c r="S877" t="e">
        <x:f>IF($A877="","",[1]!thsiFinD("ths_adjustment_nv_fund",S$3,$A877))</x:f>
        <x:v>#NAME?</x:v>
      </x:c>
      <x:c r="T877" t="e">
        <x:f>IF($A877="","",[1]!thsiFinD("ths_adjustment_nv_fund",T$3,$A877))</x:f>
        <x:v>#NAME?</x:v>
      </x:c>
      <x:c r="U877" t="e">
        <x:f>IF($A877="","",[1]!thsiFinD("ths_adjustment_nv_fund",U$3,$A877))</x:f>
        <x:v>#NAME?</x:v>
      </x:c>
      <x:c r="V877" t="e">
        <x:f>IF($A877="","",[1]!thsiFinD("ths_adjustment_nv_fund",V$3,$A877))</x:f>
        <x:v>#NAME?</x:v>
      </x:c>
      <x:c r="W877" t="e">
        <x:f>IF($A877="","",[1]!thsiFinD("ths_adjustment_nv_fund",W$3,$A877))</x:f>
        <x:v>#NAME?</x:v>
      </x:c>
      <x:c r="X877" t="e">
        <x:f>IF($A877="","",[1]!thsiFinD("ths_adjustment_nv_fund",X$3,$A877))</x:f>
        <x:v>#NAME?</x:v>
      </x:c>
      <x:c r="Y877" t="e">
        <x:f>IF($A877="","",[1]!thsiFinD("ths_adjustment_nv_fund",Y$3,$A877))</x:f>
        <x:v>#NAME?</x:v>
      </x:c>
    </x:row>
    <x:row r="878">
      <x:c r="B878" t="e">
        <x:f>IF($A878="","",[1]!thsiFinD("ths_adjustment_nv_fund",B$3,$A878))</x:f>
        <x:v>#NAME?</x:v>
      </x:c>
      <x:c r="C878" t="e">
        <x:f>IF($A878="","",[1]!thsiFinD("ths_adjustment_nv_fund",C$3,$A878))</x:f>
        <x:v>#NAME?</x:v>
      </x:c>
      <x:c r="D878" t="e">
        <x:f>IF($A878="","",[1]!thsiFinD("ths_adjustment_nv_fund",D$3,$A878))</x:f>
        <x:v>#NAME?</x:v>
      </x:c>
      <x:c r="E878" t="e">
        <x:f>IF($A878="","",[1]!thsiFinD("ths_adjustment_nv_fund",E$3,$A878))</x:f>
        <x:v>#NAME?</x:v>
      </x:c>
      <x:c r="F878" t="e">
        <x:f>IF($A878="","",[1]!thsiFinD("ths_adjustment_nv_fund",F$3,$A878))</x:f>
        <x:v>#NAME?</x:v>
      </x:c>
      <x:c r="G878" t="e">
        <x:f>IF($A878="","",[1]!thsiFinD("ths_adjustment_nv_fund",G$3,$A878))</x:f>
        <x:v>#NAME?</x:v>
      </x:c>
      <x:c r="H878" t="e">
        <x:f>IF($A878="","",[1]!thsiFinD("ths_adjustment_nv_fund",H$3,$A878))</x:f>
        <x:v>#NAME?</x:v>
      </x:c>
      <x:c r="I878" t="e">
        <x:f>IF($A878="","",[1]!thsiFinD("ths_adjustment_nv_fund",I$3,$A878))</x:f>
        <x:v>#NAME?</x:v>
      </x:c>
      <x:c r="J878" t="e">
        <x:f>IF($A878="","",[1]!thsiFinD("ths_adjustment_nv_fund",J$3,$A878))</x:f>
        <x:v>#NAME?</x:v>
      </x:c>
      <x:c r="K878" t="e">
        <x:f>IF($A878="","",[1]!thsiFinD("ths_adjustment_nv_fund",K$3,$A878))</x:f>
        <x:v>#NAME?</x:v>
      </x:c>
      <x:c r="L878" t="e">
        <x:f>IF($A878="","",[1]!thsiFinD("ths_adjustment_nv_fund",L$3,$A878))</x:f>
        <x:v>#NAME?</x:v>
      </x:c>
      <x:c r="M878" t="e">
        <x:f>IF($A878="","",[1]!thsiFinD("ths_adjustment_nv_fund",M$3,$A878))</x:f>
        <x:v>#NAME?</x:v>
      </x:c>
      <x:c r="N878" t="e">
        <x:f>IF($A878="","",[1]!thsiFinD("ths_adjustment_nv_fund",N$3,$A878))</x:f>
        <x:v>#NAME?</x:v>
      </x:c>
      <x:c r="O878" t="e">
        <x:f>IF($A878="","",[1]!thsiFinD("ths_adjustment_nv_fund",O$3,$A878))</x:f>
        <x:v>#NAME?</x:v>
      </x:c>
      <x:c r="P878" t="e">
        <x:f>IF($A878="","",[1]!thsiFinD("ths_adjustment_nv_fund",P$3,$A878))</x:f>
        <x:v>#NAME?</x:v>
      </x:c>
      <x:c r="Q878" t="e">
        <x:f>IF($A878="","",[1]!thsiFinD("ths_adjustment_nv_fund",Q$3,$A878))</x:f>
        <x:v>#NAME?</x:v>
      </x:c>
      <x:c r="R878" t="e">
        <x:f>IF($A878="","",[1]!thsiFinD("ths_adjustment_nv_fund",R$3,$A878))</x:f>
        <x:v>#NAME?</x:v>
      </x:c>
      <x:c r="S878" t="e">
        <x:f>IF($A878="","",[1]!thsiFinD("ths_adjustment_nv_fund",S$3,$A878))</x:f>
        <x:v>#NAME?</x:v>
      </x:c>
      <x:c r="T878" t="e">
        <x:f>IF($A878="","",[1]!thsiFinD("ths_adjustment_nv_fund",T$3,$A878))</x:f>
        <x:v>#NAME?</x:v>
      </x:c>
      <x:c r="U878" t="e">
        <x:f>IF($A878="","",[1]!thsiFinD("ths_adjustment_nv_fund",U$3,$A878))</x:f>
        <x:v>#NAME?</x:v>
      </x:c>
      <x:c r="V878" t="e">
        <x:f>IF($A878="","",[1]!thsiFinD("ths_adjustment_nv_fund",V$3,$A878))</x:f>
        <x:v>#NAME?</x:v>
      </x:c>
      <x:c r="W878" t="e">
        <x:f>IF($A878="","",[1]!thsiFinD("ths_adjustment_nv_fund",W$3,$A878))</x:f>
        <x:v>#NAME?</x:v>
      </x:c>
      <x:c r="X878" t="e">
        <x:f>IF($A878="","",[1]!thsiFinD("ths_adjustment_nv_fund",X$3,$A878))</x:f>
        <x:v>#NAME?</x:v>
      </x:c>
      <x:c r="Y878" t="e">
        <x:f>IF($A878="","",[1]!thsiFinD("ths_adjustment_nv_fund",Y$3,$A878))</x:f>
        <x:v>#NAME?</x:v>
      </x:c>
    </x:row>
    <x:row r="879">
      <x:c r="B879" t="e">
        <x:f>IF($A879="","",[1]!thsiFinD("ths_adjustment_nv_fund",B$3,$A879))</x:f>
        <x:v>#NAME?</x:v>
      </x:c>
      <x:c r="C879" t="e">
        <x:f>IF($A879="","",[1]!thsiFinD("ths_adjustment_nv_fund",C$3,$A879))</x:f>
        <x:v>#NAME?</x:v>
      </x:c>
      <x:c r="D879" t="e">
        <x:f>IF($A879="","",[1]!thsiFinD("ths_adjustment_nv_fund",D$3,$A879))</x:f>
        <x:v>#NAME?</x:v>
      </x:c>
      <x:c r="E879" t="e">
        <x:f>IF($A879="","",[1]!thsiFinD("ths_adjustment_nv_fund",E$3,$A879))</x:f>
        <x:v>#NAME?</x:v>
      </x:c>
      <x:c r="F879" t="e">
        <x:f>IF($A879="","",[1]!thsiFinD("ths_adjustment_nv_fund",F$3,$A879))</x:f>
        <x:v>#NAME?</x:v>
      </x:c>
      <x:c r="G879" t="e">
        <x:f>IF($A879="","",[1]!thsiFinD("ths_adjustment_nv_fund",G$3,$A879))</x:f>
        <x:v>#NAME?</x:v>
      </x:c>
      <x:c r="H879" t="e">
        <x:f>IF($A879="","",[1]!thsiFinD("ths_adjustment_nv_fund",H$3,$A879))</x:f>
        <x:v>#NAME?</x:v>
      </x:c>
      <x:c r="I879" t="e">
        <x:f>IF($A879="","",[1]!thsiFinD("ths_adjustment_nv_fund",I$3,$A879))</x:f>
        <x:v>#NAME?</x:v>
      </x:c>
      <x:c r="J879" t="e">
        <x:f>IF($A879="","",[1]!thsiFinD("ths_adjustment_nv_fund",J$3,$A879))</x:f>
        <x:v>#NAME?</x:v>
      </x:c>
      <x:c r="K879" t="e">
        <x:f>IF($A879="","",[1]!thsiFinD("ths_adjustment_nv_fund",K$3,$A879))</x:f>
        <x:v>#NAME?</x:v>
      </x:c>
      <x:c r="L879" t="e">
        <x:f>IF($A879="","",[1]!thsiFinD("ths_adjustment_nv_fund",L$3,$A879))</x:f>
        <x:v>#NAME?</x:v>
      </x:c>
      <x:c r="M879" t="e">
        <x:f>IF($A879="","",[1]!thsiFinD("ths_adjustment_nv_fund",M$3,$A879))</x:f>
        <x:v>#NAME?</x:v>
      </x:c>
      <x:c r="N879" t="e">
        <x:f>IF($A879="","",[1]!thsiFinD("ths_adjustment_nv_fund",N$3,$A879))</x:f>
        <x:v>#NAME?</x:v>
      </x:c>
      <x:c r="O879" t="e">
        <x:f>IF($A879="","",[1]!thsiFinD("ths_adjustment_nv_fund",O$3,$A879))</x:f>
        <x:v>#NAME?</x:v>
      </x:c>
      <x:c r="P879" t="e">
        <x:f>IF($A879="","",[1]!thsiFinD("ths_adjustment_nv_fund",P$3,$A879))</x:f>
        <x:v>#NAME?</x:v>
      </x:c>
      <x:c r="Q879" t="e">
        <x:f>IF($A879="","",[1]!thsiFinD("ths_adjustment_nv_fund",Q$3,$A879))</x:f>
        <x:v>#NAME?</x:v>
      </x:c>
      <x:c r="R879" t="e">
        <x:f>IF($A879="","",[1]!thsiFinD("ths_adjustment_nv_fund",R$3,$A879))</x:f>
        <x:v>#NAME?</x:v>
      </x:c>
      <x:c r="S879" t="e">
        <x:f>IF($A879="","",[1]!thsiFinD("ths_adjustment_nv_fund",S$3,$A879))</x:f>
        <x:v>#NAME?</x:v>
      </x:c>
      <x:c r="T879" t="e">
        <x:f>IF($A879="","",[1]!thsiFinD("ths_adjustment_nv_fund",T$3,$A879))</x:f>
        <x:v>#NAME?</x:v>
      </x:c>
      <x:c r="U879" t="e">
        <x:f>IF($A879="","",[1]!thsiFinD("ths_adjustment_nv_fund",U$3,$A879))</x:f>
        <x:v>#NAME?</x:v>
      </x:c>
      <x:c r="V879" t="e">
        <x:f>IF($A879="","",[1]!thsiFinD("ths_adjustment_nv_fund",V$3,$A879))</x:f>
        <x:v>#NAME?</x:v>
      </x:c>
      <x:c r="W879" t="e">
        <x:f>IF($A879="","",[1]!thsiFinD("ths_adjustment_nv_fund",W$3,$A879))</x:f>
        <x:v>#NAME?</x:v>
      </x:c>
      <x:c r="X879" t="e">
        <x:f>IF($A879="","",[1]!thsiFinD("ths_adjustment_nv_fund",X$3,$A879))</x:f>
        <x:v>#NAME?</x:v>
      </x:c>
      <x:c r="Y879" t="e">
        <x:f>IF($A879="","",[1]!thsiFinD("ths_adjustment_nv_fund",Y$3,$A879))</x:f>
        <x:v>#NAME?</x:v>
      </x:c>
    </x:row>
    <x:row r="880">
      <x:c r="B880" t="e">
        <x:f>IF($A880="","",[1]!thsiFinD("ths_adjustment_nv_fund",B$3,$A880))</x:f>
        <x:v>#NAME?</x:v>
      </x:c>
      <x:c r="C880" t="e">
        <x:f>IF($A880="","",[1]!thsiFinD("ths_adjustment_nv_fund",C$3,$A880))</x:f>
        <x:v>#NAME?</x:v>
      </x:c>
      <x:c r="D880" t="e">
        <x:f>IF($A880="","",[1]!thsiFinD("ths_adjustment_nv_fund",D$3,$A880))</x:f>
        <x:v>#NAME?</x:v>
      </x:c>
      <x:c r="E880" t="e">
        <x:f>IF($A880="","",[1]!thsiFinD("ths_adjustment_nv_fund",E$3,$A880))</x:f>
        <x:v>#NAME?</x:v>
      </x:c>
      <x:c r="F880" t="e">
        <x:f>IF($A880="","",[1]!thsiFinD("ths_adjustment_nv_fund",F$3,$A880))</x:f>
        <x:v>#NAME?</x:v>
      </x:c>
      <x:c r="G880" t="e">
        <x:f>IF($A880="","",[1]!thsiFinD("ths_adjustment_nv_fund",G$3,$A880))</x:f>
        <x:v>#NAME?</x:v>
      </x:c>
      <x:c r="H880" t="e">
        <x:f>IF($A880="","",[1]!thsiFinD("ths_adjustment_nv_fund",H$3,$A880))</x:f>
        <x:v>#NAME?</x:v>
      </x:c>
      <x:c r="I880" t="e">
        <x:f>IF($A880="","",[1]!thsiFinD("ths_adjustment_nv_fund",I$3,$A880))</x:f>
        <x:v>#NAME?</x:v>
      </x:c>
      <x:c r="J880" t="e">
        <x:f>IF($A880="","",[1]!thsiFinD("ths_adjustment_nv_fund",J$3,$A880))</x:f>
        <x:v>#NAME?</x:v>
      </x:c>
      <x:c r="K880" t="e">
        <x:f>IF($A880="","",[1]!thsiFinD("ths_adjustment_nv_fund",K$3,$A880))</x:f>
        <x:v>#NAME?</x:v>
      </x:c>
      <x:c r="L880" t="e">
        <x:f>IF($A880="","",[1]!thsiFinD("ths_adjustment_nv_fund",L$3,$A880))</x:f>
        <x:v>#NAME?</x:v>
      </x:c>
      <x:c r="M880" t="e">
        <x:f>IF($A880="","",[1]!thsiFinD("ths_adjustment_nv_fund",M$3,$A880))</x:f>
        <x:v>#NAME?</x:v>
      </x:c>
      <x:c r="N880" t="e">
        <x:f>IF($A880="","",[1]!thsiFinD("ths_adjustment_nv_fund",N$3,$A880))</x:f>
        <x:v>#NAME?</x:v>
      </x:c>
      <x:c r="O880" t="e">
        <x:f>IF($A880="","",[1]!thsiFinD("ths_adjustment_nv_fund",O$3,$A880))</x:f>
        <x:v>#NAME?</x:v>
      </x:c>
      <x:c r="P880" t="e">
        <x:f>IF($A880="","",[1]!thsiFinD("ths_adjustment_nv_fund",P$3,$A880))</x:f>
        <x:v>#NAME?</x:v>
      </x:c>
      <x:c r="Q880" t="e">
        <x:f>IF($A880="","",[1]!thsiFinD("ths_adjustment_nv_fund",Q$3,$A880))</x:f>
        <x:v>#NAME?</x:v>
      </x:c>
      <x:c r="R880" t="e">
        <x:f>IF($A880="","",[1]!thsiFinD("ths_adjustment_nv_fund",R$3,$A880))</x:f>
        <x:v>#NAME?</x:v>
      </x:c>
      <x:c r="S880" t="e">
        <x:f>IF($A880="","",[1]!thsiFinD("ths_adjustment_nv_fund",S$3,$A880))</x:f>
        <x:v>#NAME?</x:v>
      </x:c>
      <x:c r="T880" t="e">
        <x:f>IF($A880="","",[1]!thsiFinD("ths_adjustment_nv_fund",T$3,$A880))</x:f>
        <x:v>#NAME?</x:v>
      </x:c>
      <x:c r="U880" t="e">
        <x:f>IF($A880="","",[1]!thsiFinD("ths_adjustment_nv_fund",U$3,$A880))</x:f>
        <x:v>#NAME?</x:v>
      </x:c>
      <x:c r="V880" t="e">
        <x:f>IF($A880="","",[1]!thsiFinD("ths_adjustment_nv_fund",V$3,$A880))</x:f>
        <x:v>#NAME?</x:v>
      </x:c>
      <x:c r="W880" t="e">
        <x:f>IF($A880="","",[1]!thsiFinD("ths_adjustment_nv_fund",W$3,$A880))</x:f>
        <x:v>#NAME?</x:v>
      </x:c>
      <x:c r="X880" t="e">
        <x:f>IF($A880="","",[1]!thsiFinD("ths_adjustment_nv_fund",X$3,$A880))</x:f>
        <x:v>#NAME?</x:v>
      </x:c>
      <x:c r="Y880" t="e">
        <x:f>IF($A880="","",[1]!thsiFinD("ths_adjustment_nv_fund",Y$3,$A880))</x:f>
        <x:v>#NAME?</x:v>
      </x:c>
    </x:row>
    <x:row r="881">
      <x:c r="B881" t="e">
        <x:f>IF($A881="","",[1]!thsiFinD("ths_adjustment_nv_fund",B$3,$A881))</x:f>
        <x:v>#NAME?</x:v>
      </x:c>
      <x:c r="C881" t="e">
        <x:f>IF($A881="","",[1]!thsiFinD("ths_adjustment_nv_fund",C$3,$A881))</x:f>
        <x:v>#NAME?</x:v>
      </x:c>
      <x:c r="D881" t="e">
        <x:f>IF($A881="","",[1]!thsiFinD("ths_adjustment_nv_fund",D$3,$A881))</x:f>
        <x:v>#NAME?</x:v>
      </x:c>
      <x:c r="E881" t="e">
        <x:f>IF($A881="","",[1]!thsiFinD("ths_adjustment_nv_fund",E$3,$A881))</x:f>
        <x:v>#NAME?</x:v>
      </x:c>
      <x:c r="F881" t="e">
        <x:f>IF($A881="","",[1]!thsiFinD("ths_adjustment_nv_fund",F$3,$A881))</x:f>
        <x:v>#NAME?</x:v>
      </x:c>
      <x:c r="G881" t="e">
        <x:f>IF($A881="","",[1]!thsiFinD("ths_adjustment_nv_fund",G$3,$A881))</x:f>
        <x:v>#NAME?</x:v>
      </x:c>
      <x:c r="H881" t="e">
        <x:f>IF($A881="","",[1]!thsiFinD("ths_adjustment_nv_fund",H$3,$A881))</x:f>
        <x:v>#NAME?</x:v>
      </x:c>
      <x:c r="I881" t="e">
        <x:f>IF($A881="","",[1]!thsiFinD("ths_adjustment_nv_fund",I$3,$A881))</x:f>
        <x:v>#NAME?</x:v>
      </x:c>
      <x:c r="J881" t="e">
        <x:f>IF($A881="","",[1]!thsiFinD("ths_adjustment_nv_fund",J$3,$A881))</x:f>
        <x:v>#NAME?</x:v>
      </x:c>
      <x:c r="K881" t="e">
        <x:f>IF($A881="","",[1]!thsiFinD("ths_adjustment_nv_fund",K$3,$A881))</x:f>
        <x:v>#NAME?</x:v>
      </x:c>
      <x:c r="L881" t="e">
        <x:f>IF($A881="","",[1]!thsiFinD("ths_adjustment_nv_fund",L$3,$A881))</x:f>
        <x:v>#NAME?</x:v>
      </x:c>
      <x:c r="M881" t="e">
        <x:f>IF($A881="","",[1]!thsiFinD("ths_adjustment_nv_fund",M$3,$A881))</x:f>
        <x:v>#NAME?</x:v>
      </x:c>
      <x:c r="N881" t="e">
        <x:f>IF($A881="","",[1]!thsiFinD("ths_adjustment_nv_fund",N$3,$A881))</x:f>
        <x:v>#NAME?</x:v>
      </x:c>
      <x:c r="O881" t="e">
        <x:f>IF($A881="","",[1]!thsiFinD("ths_adjustment_nv_fund",O$3,$A881))</x:f>
        <x:v>#NAME?</x:v>
      </x:c>
      <x:c r="P881" t="e">
        <x:f>IF($A881="","",[1]!thsiFinD("ths_adjustment_nv_fund",P$3,$A881))</x:f>
        <x:v>#NAME?</x:v>
      </x:c>
      <x:c r="Q881" t="e">
        <x:f>IF($A881="","",[1]!thsiFinD("ths_adjustment_nv_fund",Q$3,$A881))</x:f>
        <x:v>#NAME?</x:v>
      </x:c>
      <x:c r="R881" t="e">
        <x:f>IF($A881="","",[1]!thsiFinD("ths_adjustment_nv_fund",R$3,$A881))</x:f>
        <x:v>#NAME?</x:v>
      </x:c>
      <x:c r="S881" t="e">
        <x:f>IF($A881="","",[1]!thsiFinD("ths_adjustment_nv_fund",S$3,$A881))</x:f>
        <x:v>#NAME?</x:v>
      </x:c>
      <x:c r="T881" t="e">
        <x:f>IF($A881="","",[1]!thsiFinD("ths_adjustment_nv_fund",T$3,$A881))</x:f>
        <x:v>#NAME?</x:v>
      </x:c>
      <x:c r="U881" t="e">
        <x:f>IF($A881="","",[1]!thsiFinD("ths_adjustment_nv_fund",U$3,$A881))</x:f>
        <x:v>#NAME?</x:v>
      </x:c>
      <x:c r="V881" t="e">
        <x:f>IF($A881="","",[1]!thsiFinD("ths_adjustment_nv_fund",V$3,$A881))</x:f>
        <x:v>#NAME?</x:v>
      </x:c>
      <x:c r="W881" t="e">
        <x:f>IF($A881="","",[1]!thsiFinD("ths_adjustment_nv_fund",W$3,$A881))</x:f>
        <x:v>#NAME?</x:v>
      </x:c>
      <x:c r="X881" t="e">
        <x:f>IF($A881="","",[1]!thsiFinD("ths_adjustment_nv_fund",X$3,$A881))</x:f>
        <x:v>#NAME?</x:v>
      </x:c>
      <x:c r="Y881" t="e">
        <x:f>IF($A881="","",[1]!thsiFinD("ths_adjustment_nv_fund",Y$3,$A881))</x:f>
        <x:v>#NAME?</x:v>
      </x:c>
    </x:row>
    <x:row r="882">
      <x:c r="B882" t="e">
        <x:f>IF($A882="","",[1]!thsiFinD("ths_adjustment_nv_fund",B$3,$A882))</x:f>
        <x:v>#NAME?</x:v>
      </x:c>
      <x:c r="C882" t="e">
        <x:f>IF($A882="","",[1]!thsiFinD("ths_adjustment_nv_fund",C$3,$A882))</x:f>
        <x:v>#NAME?</x:v>
      </x:c>
      <x:c r="D882" t="e">
        <x:f>IF($A882="","",[1]!thsiFinD("ths_adjustment_nv_fund",D$3,$A882))</x:f>
        <x:v>#NAME?</x:v>
      </x:c>
      <x:c r="E882" t="e">
        <x:f>IF($A882="","",[1]!thsiFinD("ths_adjustment_nv_fund",E$3,$A882))</x:f>
        <x:v>#NAME?</x:v>
      </x:c>
      <x:c r="F882" t="e">
        <x:f>IF($A882="","",[1]!thsiFinD("ths_adjustment_nv_fund",F$3,$A882))</x:f>
        <x:v>#NAME?</x:v>
      </x:c>
      <x:c r="G882" t="e">
        <x:f>IF($A882="","",[1]!thsiFinD("ths_adjustment_nv_fund",G$3,$A882))</x:f>
        <x:v>#NAME?</x:v>
      </x:c>
      <x:c r="H882" t="e">
        <x:f>IF($A882="","",[1]!thsiFinD("ths_adjustment_nv_fund",H$3,$A882))</x:f>
        <x:v>#NAME?</x:v>
      </x:c>
      <x:c r="I882" t="e">
        <x:f>IF($A882="","",[1]!thsiFinD("ths_adjustment_nv_fund",I$3,$A882))</x:f>
        <x:v>#NAME?</x:v>
      </x:c>
      <x:c r="J882" t="e">
        <x:f>IF($A882="","",[1]!thsiFinD("ths_adjustment_nv_fund",J$3,$A882))</x:f>
        <x:v>#NAME?</x:v>
      </x:c>
      <x:c r="K882" t="e">
        <x:f>IF($A882="","",[1]!thsiFinD("ths_adjustment_nv_fund",K$3,$A882))</x:f>
        <x:v>#NAME?</x:v>
      </x:c>
      <x:c r="L882" t="e">
        <x:f>IF($A882="","",[1]!thsiFinD("ths_adjustment_nv_fund",L$3,$A882))</x:f>
        <x:v>#NAME?</x:v>
      </x:c>
      <x:c r="M882" t="e">
        <x:f>IF($A882="","",[1]!thsiFinD("ths_adjustment_nv_fund",M$3,$A882))</x:f>
        <x:v>#NAME?</x:v>
      </x:c>
      <x:c r="N882" t="e">
        <x:f>IF($A882="","",[1]!thsiFinD("ths_adjustment_nv_fund",N$3,$A882))</x:f>
        <x:v>#NAME?</x:v>
      </x:c>
      <x:c r="O882" t="e">
        <x:f>IF($A882="","",[1]!thsiFinD("ths_adjustment_nv_fund",O$3,$A882))</x:f>
        <x:v>#NAME?</x:v>
      </x:c>
      <x:c r="P882" t="e">
        <x:f>IF($A882="","",[1]!thsiFinD("ths_adjustment_nv_fund",P$3,$A882))</x:f>
        <x:v>#NAME?</x:v>
      </x:c>
      <x:c r="Q882" t="e">
        <x:f>IF($A882="","",[1]!thsiFinD("ths_adjustment_nv_fund",Q$3,$A882))</x:f>
        <x:v>#NAME?</x:v>
      </x:c>
      <x:c r="R882" t="e">
        <x:f>IF($A882="","",[1]!thsiFinD("ths_adjustment_nv_fund",R$3,$A882))</x:f>
        <x:v>#NAME?</x:v>
      </x:c>
      <x:c r="S882" t="e">
        <x:f>IF($A882="","",[1]!thsiFinD("ths_adjustment_nv_fund",S$3,$A882))</x:f>
        <x:v>#NAME?</x:v>
      </x:c>
      <x:c r="T882" t="e">
        <x:f>IF($A882="","",[1]!thsiFinD("ths_adjustment_nv_fund",T$3,$A882))</x:f>
        <x:v>#NAME?</x:v>
      </x:c>
      <x:c r="U882" t="e">
        <x:f>IF($A882="","",[1]!thsiFinD("ths_adjustment_nv_fund",U$3,$A882))</x:f>
        <x:v>#NAME?</x:v>
      </x:c>
      <x:c r="V882" t="e">
        <x:f>IF($A882="","",[1]!thsiFinD("ths_adjustment_nv_fund",V$3,$A882))</x:f>
        <x:v>#NAME?</x:v>
      </x:c>
      <x:c r="W882" t="e">
        <x:f>IF($A882="","",[1]!thsiFinD("ths_adjustment_nv_fund",W$3,$A882))</x:f>
        <x:v>#NAME?</x:v>
      </x:c>
      <x:c r="X882" t="e">
        <x:f>IF($A882="","",[1]!thsiFinD("ths_adjustment_nv_fund",X$3,$A882))</x:f>
        <x:v>#NAME?</x:v>
      </x:c>
      <x:c r="Y882" t="e">
        <x:f>IF($A882="","",[1]!thsiFinD("ths_adjustment_nv_fund",Y$3,$A882))</x:f>
        <x:v>#NAME?</x:v>
      </x:c>
    </x:row>
    <x:row r="883">
      <x:c r="B883" t="e">
        <x:f>IF($A883="","",[1]!thsiFinD("ths_adjustment_nv_fund",B$3,$A883))</x:f>
        <x:v>#NAME?</x:v>
      </x:c>
      <x:c r="C883" t="e">
        <x:f>IF($A883="","",[1]!thsiFinD("ths_adjustment_nv_fund",C$3,$A883))</x:f>
        <x:v>#NAME?</x:v>
      </x:c>
      <x:c r="D883" t="e">
        <x:f>IF($A883="","",[1]!thsiFinD("ths_adjustment_nv_fund",D$3,$A883))</x:f>
        <x:v>#NAME?</x:v>
      </x:c>
      <x:c r="E883" t="e">
        <x:f>IF($A883="","",[1]!thsiFinD("ths_adjustment_nv_fund",E$3,$A883))</x:f>
        <x:v>#NAME?</x:v>
      </x:c>
      <x:c r="F883" t="e">
        <x:f>IF($A883="","",[1]!thsiFinD("ths_adjustment_nv_fund",F$3,$A883))</x:f>
        <x:v>#NAME?</x:v>
      </x:c>
      <x:c r="G883" t="e">
        <x:f>IF($A883="","",[1]!thsiFinD("ths_adjustment_nv_fund",G$3,$A883))</x:f>
        <x:v>#NAME?</x:v>
      </x:c>
      <x:c r="H883" t="e">
        <x:f>IF($A883="","",[1]!thsiFinD("ths_adjustment_nv_fund",H$3,$A883))</x:f>
        <x:v>#NAME?</x:v>
      </x:c>
      <x:c r="I883" t="e">
        <x:f>IF($A883="","",[1]!thsiFinD("ths_adjustment_nv_fund",I$3,$A883))</x:f>
        <x:v>#NAME?</x:v>
      </x:c>
      <x:c r="J883" t="e">
        <x:f>IF($A883="","",[1]!thsiFinD("ths_adjustment_nv_fund",J$3,$A883))</x:f>
        <x:v>#NAME?</x:v>
      </x:c>
      <x:c r="K883" t="e">
        <x:f>IF($A883="","",[1]!thsiFinD("ths_adjustment_nv_fund",K$3,$A883))</x:f>
        <x:v>#NAME?</x:v>
      </x:c>
      <x:c r="L883" t="e">
        <x:f>IF($A883="","",[1]!thsiFinD("ths_adjustment_nv_fund",L$3,$A883))</x:f>
        <x:v>#NAME?</x:v>
      </x:c>
      <x:c r="M883" t="e">
        <x:f>IF($A883="","",[1]!thsiFinD("ths_adjustment_nv_fund",M$3,$A883))</x:f>
        <x:v>#NAME?</x:v>
      </x:c>
      <x:c r="N883" t="e">
        <x:f>IF($A883="","",[1]!thsiFinD("ths_adjustment_nv_fund",N$3,$A883))</x:f>
        <x:v>#NAME?</x:v>
      </x:c>
      <x:c r="O883" t="e">
        <x:f>IF($A883="","",[1]!thsiFinD("ths_adjustment_nv_fund",O$3,$A883))</x:f>
        <x:v>#NAME?</x:v>
      </x:c>
      <x:c r="P883" t="e">
        <x:f>IF($A883="","",[1]!thsiFinD("ths_adjustment_nv_fund",P$3,$A883))</x:f>
        <x:v>#NAME?</x:v>
      </x:c>
      <x:c r="Q883" t="e">
        <x:f>IF($A883="","",[1]!thsiFinD("ths_adjustment_nv_fund",Q$3,$A883))</x:f>
        <x:v>#NAME?</x:v>
      </x:c>
      <x:c r="R883" t="e">
        <x:f>IF($A883="","",[1]!thsiFinD("ths_adjustment_nv_fund",R$3,$A883))</x:f>
        <x:v>#NAME?</x:v>
      </x:c>
      <x:c r="S883" t="e">
        <x:f>IF($A883="","",[1]!thsiFinD("ths_adjustment_nv_fund",S$3,$A883))</x:f>
        <x:v>#NAME?</x:v>
      </x:c>
      <x:c r="T883" t="e">
        <x:f>IF($A883="","",[1]!thsiFinD("ths_adjustment_nv_fund",T$3,$A883))</x:f>
        <x:v>#NAME?</x:v>
      </x:c>
      <x:c r="U883" t="e">
        <x:f>IF($A883="","",[1]!thsiFinD("ths_adjustment_nv_fund",U$3,$A883))</x:f>
        <x:v>#NAME?</x:v>
      </x:c>
      <x:c r="V883" t="e">
        <x:f>IF($A883="","",[1]!thsiFinD("ths_adjustment_nv_fund",V$3,$A883))</x:f>
        <x:v>#NAME?</x:v>
      </x:c>
      <x:c r="W883" t="e">
        <x:f>IF($A883="","",[1]!thsiFinD("ths_adjustment_nv_fund",W$3,$A883))</x:f>
        <x:v>#NAME?</x:v>
      </x:c>
      <x:c r="X883" t="e">
        <x:f>IF($A883="","",[1]!thsiFinD("ths_adjustment_nv_fund",X$3,$A883))</x:f>
        <x:v>#NAME?</x:v>
      </x:c>
      <x:c r="Y883" t="e">
        <x:f>IF($A883="","",[1]!thsiFinD("ths_adjustment_nv_fund",Y$3,$A883))</x:f>
        <x:v>#NAME?</x:v>
      </x:c>
    </x:row>
    <x:row r="884">
      <x:c r="B884" t="e">
        <x:f>IF($A884="","",[1]!thsiFinD("ths_adjustment_nv_fund",B$3,$A884))</x:f>
        <x:v>#NAME?</x:v>
      </x:c>
      <x:c r="C884" t="e">
        <x:f>IF($A884="","",[1]!thsiFinD("ths_adjustment_nv_fund",C$3,$A884))</x:f>
        <x:v>#NAME?</x:v>
      </x:c>
      <x:c r="D884" t="e">
        <x:f>IF($A884="","",[1]!thsiFinD("ths_adjustment_nv_fund",D$3,$A884))</x:f>
        <x:v>#NAME?</x:v>
      </x:c>
      <x:c r="E884" t="e">
        <x:f>IF($A884="","",[1]!thsiFinD("ths_adjustment_nv_fund",E$3,$A884))</x:f>
        <x:v>#NAME?</x:v>
      </x:c>
      <x:c r="F884" t="e">
        <x:f>IF($A884="","",[1]!thsiFinD("ths_adjustment_nv_fund",F$3,$A884))</x:f>
        <x:v>#NAME?</x:v>
      </x:c>
      <x:c r="G884" t="e">
        <x:f>IF($A884="","",[1]!thsiFinD("ths_adjustment_nv_fund",G$3,$A884))</x:f>
        <x:v>#NAME?</x:v>
      </x:c>
      <x:c r="H884" t="e">
        <x:f>IF($A884="","",[1]!thsiFinD("ths_adjustment_nv_fund",H$3,$A884))</x:f>
        <x:v>#NAME?</x:v>
      </x:c>
      <x:c r="I884" t="e">
        <x:f>IF($A884="","",[1]!thsiFinD("ths_adjustment_nv_fund",I$3,$A884))</x:f>
        <x:v>#NAME?</x:v>
      </x:c>
      <x:c r="J884" t="e">
        <x:f>IF($A884="","",[1]!thsiFinD("ths_adjustment_nv_fund",J$3,$A884))</x:f>
        <x:v>#NAME?</x:v>
      </x:c>
      <x:c r="K884" t="e">
        <x:f>IF($A884="","",[1]!thsiFinD("ths_adjustment_nv_fund",K$3,$A884))</x:f>
        <x:v>#NAME?</x:v>
      </x:c>
      <x:c r="L884" t="e">
        <x:f>IF($A884="","",[1]!thsiFinD("ths_adjustment_nv_fund",L$3,$A884))</x:f>
        <x:v>#NAME?</x:v>
      </x:c>
      <x:c r="M884" t="e">
        <x:f>IF($A884="","",[1]!thsiFinD("ths_adjustment_nv_fund",M$3,$A884))</x:f>
        <x:v>#NAME?</x:v>
      </x:c>
      <x:c r="N884" t="e">
        <x:f>IF($A884="","",[1]!thsiFinD("ths_adjustment_nv_fund",N$3,$A884))</x:f>
        <x:v>#NAME?</x:v>
      </x:c>
      <x:c r="O884" t="e">
        <x:f>IF($A884="","",[1]!thsiFinD("ths_adjustment_nv_fund",O$3,$A884))</x:f>
        <x:v>#NAME?</x:v>
      </x:c>
      <x:c r="P884" t="e">
        <x:f>IF($A884="","",[1]!thsiFinD("ths_adjustment_nv_fund",P$3,$A884))</x:f>
        <x:v>#NAME?</x:v>
      </x:c>
      <x:c r="Q884" t="e">
        <x:f>IF($A884="","",[1]!thsiFinD("ths_adjustment_nv_fund",Q$3,$A884))</x:f>
        <x:v>#NAME?</x:v>
      </x:c>
      <x:c r="R884" t="e">
        <x:f>IF($A884="","",[1]!thsiFinD("ths_adjustment_nv_fund",R$3,$A884))</x:f>
        <x:v>#NAME?</x:v>
      </x:c>
      <x:c r="S884" t="e">
        <x:f>IF($A884="","",[1]!thsiFinD("ths_adjustment_nv_fund",S$3,$A884))</x:f>
        <x:v>#NAME?</x:v>
      </x:c>
      <x:c r="T884" t="e">
        <x:f>IF($A884="","",[1]!thsiFinD("ths_adjustment_nv_fund",T$3,$A884))</x:f>
        <x:v>#NAME?</x:v>
      </x:c>
      <x:c r="U884" t="e">
        <x:f>IF($A884="","",[1]!thsiFinD("ths_adjustment_nv_fund",U$3,$A884))</x:f>
        <x:v>#NAME?</x:v>
      </x:c>
      <x:c r="V884" t="e">
        <x:f>IF($A884="","",[1]!thsiFinD("ths_adjustment_nv_fund",V$3,$A884))</x:f>
        <x:v>#NAME?</x:v>
      </x:c>
      <x:c r="W884" t="e">
        <x:f>IF($A884="","",[1]!thsiFinD("ths_adjustment_nv_fund",W$3,$A884))</x:f>
        <x:v>#NAME?</x:v>
      </x:c>
      <x:c r="X884" t="e">
        <x:f>IF($A884="","",[1]!thsiFinD("ths_adjustment_nv_fund",X$3,$A884))</x:f>
        <x:v>#NAME?</x:v>
      </x:c>
      <x:c r="Y884" t="e">
        <x:f>IF($A884="","",[1]!thsiFinD("ths_adjustment_nv_fund",Y$3,$A884))</x:f>
        <x:v>#NAME?</x:v>
      </x:c>
    </x:row>
    <x:row r="885">
      <x:c r="B885" t="e">
        <x:f>IF($A885="","",[1]!thsiFinD("ths_adjustment_nv_fund",B$3,$A885))</x:f>
        <x:v>#NAME?</x:v>
      </x:c>
      <x:c r="C885" t="e">
        <x:f>IF($A885="","",[1]!thsiFinD("ths_adjustment_nv_fund",C$3,$A885))</x:f>
        <x:v>#NAME?</x:v>
      </x:c>
      <x:c r="D885" t="e">
        <x:f>IF($A885="","",[1]!thsiFinD("ths_adjustment_nv_fund",D$3,$A885))</x:f>
        <x:v>#NAME?</x:v>
      </x:c>
      <x:c r="E885" t="e">
        <x:f>IF($A885="","",[1]!thsiFinD("ths_adjustment_nv_fund",E$3,$A885))</x:f>
        <x:v>#NAME?</x:v>
      </x:c>
      <x:c r="F885" t="e">
        <x:f>IF($A885="","",[1]!thsiFinD("ths_adjustment_nv_fund",F$3,$A885))</x:f>
        <x:v>#NAME?</x:v>
      </x:c>
      <x:c r="G885" t="e">
        <x:f>IF($A885="","",[1]!thsiFinD("ths_adjustment_nv_fund",G$3,$A885))</x:f>
        <x:v>#NAME?</x:v>
      </x:c>
      <x:c r="H885" t="e">
        <x:f>IF($A885="","",[1]!thsiFinD("ths_adjustment_nv_fund",H$3,$A885))</x:f>
        <x:v>#NAME?</x:v>
      </x:c>
      <x:c r="I885" t="e">
        <x:f>IF($A885="","",[1]!thsiFinD("ths_adjustment_nv_fund",I$3,$A885))</x:f>
        <x:v>#NAME?</x:v>
      </x:c>
      <x:c r="J885" t="e">
        <x:f>IF($A885="","",[1]!thsiFinD("ths_adjustment_nv_fund",J$3,$A885))</x:f>
        <x:v>#NAME?</x:v>
      </x:c>
      <x:c r="K885" t="e">
        <x:f>IF($A885="","",[1]!thsiFinD("ths_adjustment_nv_fund",K$3,$A885))</x:f>
        <x:v>#NAME?</x:v>
      </x:c>
      <x:c r="L885" t="e">
        <x:f>IF($A885="","",[1]!thsiFinD("ths_adjustment_nv_fund",L$3,$A885))</x:f>
        <x:v>#NAME?</x:v>
      </x:c>
      <x:c r="M885" t="e">
        <x:f>IF($A885="","",[1]!thsiFinD("ths_adjustment_nv_fund",M$3,$A885))</x:f>
        <x:v>#NAME?</x:v>
      </x:c>
      <x:c r="N885" t="e">
        <x:f>IF($A885="","",[1]!thsiFinD("ths_adjustment_nv_fund",N$3,$A885))</x:f>
        <x:v>#NAME?</x:v>
      </x:c>
      <x:c r="O885" t="e">
        <x:f>IF($A885="","",[1]!thsiFinD("ths_adjustment_nv_fund",O$3,$A885))</x:f>
        <x:v>#NAME?</x:v>
      </x:c>
      <x:c r="P885" t="e">
        <x:f>IF($A885="","",[1]!thsiFinD("ths_adjustment_nv_fund",P$3,$A885))</x:f>
        <x:v>#NAME?</x:v>
      </x:c>
      <x:c r="Q885" t="e">
        <x:f>IF($A885="","",[1]!thsiFinD("ths_adjustment_nv_fund",Q$3,$A885))</x:f>
        <x:v>#NAME?</x:v>
      </x:c>
      <x:c r="R885" t="e">
        <x:f>IF($A885="","",[1]!thsiFinD("ths_adjustment_nv_fund",R$3,$A885))</x:f>
        <x:v>#NAME?</x:v>
      </x:c>
      <x:c r="S885" t="e">
        <x:f>IF($A885="","",[1]!thsiFinD("ths_adjustment_nv_fund",S$3,$A885))</x:f>
        <x:v>#NAME?</x:v>
      </x:c>
      <x:c r="T885" t="e">
        <x:f>IF($A885="","",[1]!thsiFinD("ths_adjustment_nv_fund",T$3,$A885))</x:f>
        <x:v>#NAME?</x:v>
      </x:c>
      <x:c r="U885" t="e">
        <x:f>IF($A885="","",[1]!thsiFinD("ths_adjustment_nv_fund",U$3,$A885))</x:f>
        <x:v>#NAME?</x:v>
      </x:c>
      <x:c r="V885" t="e">
        <x:f>IF($A885="","",[1]!thsiFinD("ths_adjustment_nv_fund",V$3,$A885))</x:f>
        <x:v>#NAME?</x:v>
      </x:c>
      <x:c r="W885" t="e">
        <x:f>IF($A885="","",[1]!thsiFinD("ths_adjustment_nv_fund",W$3,$A885))</x:f>
        <x:v>#NAME?</x:v>
      </x:c>
      <x:c r="X885" t="e">
        <x:f>IF($A885="","",[1]!thsiFinD("ths_adjustment_nv_fund",X$3,$A885))</x:f>
        <x:v>#NAME?</x:v>
      </x:c>
      <x:c r="Y885" t="e">
        <x:f>IF($A885="","",[1]!thsiFinD("ths_adjustment_nv_fund",Y$3,$A885))</x:f>
        <x:v>#NAME?</x:v>
      </x:c>
    </x:row>
    <x:row r="886">
      <x:c r="B886" t="e">
        <x:f>IF($A886="","",[1]!thsiFinD("ths_adjustment_nv_fund",B$3,$A886))</x:f>
        <x:v>#NAME?</x:v>
      </x:c>
      <x:c r="C886" t="e">
        <x:f>IF($A886="","",[1]!thsiFinD("ths_adjustment_nv_fund",C$3,$A886))</x:f>
        <x:v>#NAME?</x:v>
      </x:c>
      <x:c r="D886" t="e">
        <x:f>IF($A886="","",[1]!thsiFinD("ths_adjustment_nv_fund",D$3,$A886))</x:f>
        <x:v>#NAME?</x:v>
      </x:c>
      <x:c r="E886" t="e">
        <x:f>IF($A886="","",[1]!thsiFinD("ths_adjustment_nv_fund",E$3,$A886))</x:f>
        <x:v>#NAME?</x:v>
      </x:c>
      <x:c r="F886" t="e">
        <x:f>IF($A886="","",[1]!thsiFinD("ths_adjustment_nv_fund",F$3,$A886))</x:f>
        <x:v>#NAME?</x:v>
      </x:c>
      <x:c r="G886" t="e">
        <x:f>IF($A886="","",[1]!thsiFinD("ths_adjustment_nv_fund",G$3,$A886))</x:f>
        <x:v>#NAME?</x:v>
      </x:c>
      <x:c r="H886" t="e">
        <x:f>IF($A886="","",[1]!thsiFinD("ths_adjustment_nv_fund",H$3,$A886))</x:f>
        <x:v>#NAME?</x:v>
      </x:c>
      <x:c r="I886" t="e">
        <x:f>IF($A886="","",[1]!thsiFinD("ths_adjustment_nv_fund",I$3,$A886))</x:f>
        <x:v>#NAME?</x:v>
      </x:c>
      <x:c r="J886" t="e">
        <x:f>IF($A886="","",[1]!thsiFinD("ths_adjustment_nv_fund",J$3,$A886))</x:f>
        <x:v>#NAME?</x:v>
      </x:c>
      <x:c r="K886" t="e">
        <x:f>IF($A886="","",[1]!thsiFinD("ths_adjustment_nv_fund",K$3,$A886))</x:f>
        <x:v>#NAME?</x:v>
      </x:c>
      <x:c r="L886" t="e">
        <x:f>IF($A886="","",[1]!thsiFinD("ths_adjustment_nv_fund",L$3,$A886))</x:f>
        <x:v>#NAME?</x:v>
      </x:c>
      <x:c r="M886" t="e">
        <x:f>IF($A886="","",[1]!thsiFinD("ths_adjustment_nv_fund",M$3,$A886))</x:f>
        <x:v>#NAME?</x:v>
      </x:c>
      <x:c r="N886" t="e">
        <x:f>IF($A886="","",[1]!thsiFinD("ths_adjustment_nv_fund",N$3,$A886))</x:f>
        <x:v>#NAME?</x:v>
      </x:c>
      <x:c r="O886" t="e">
        <x:f>IF($A886="","",[1]!thsiFinD("ths_adjustment_nv_fund",O$3,$A886))</x:f>
        <x:v>#NAME?</x:v>
      </x:c>
      <x:c r="P886" t="e">
        <x:f>IF($A886="","",[1]!thsiFinD("ths_adjustment_nv_fund",P$3,$A886))</x:f>
        <x:v>#NAME?</x:v>
      </x:c>
      <x:c r="Q886" t="e">
        <x:f>IF($A886="","",[1]!thsiFinD("ths_adjustment_nv_fund",Q$3,$A886))</x:f>
        <x:v>#NAME?</x:v>
      </x:c>
      <x:c r="R886" t="e">
        <x:f>IF($A886="","",[1]!thsiFinD("ths_adjustment_nv_fund",R$3,$A886))</x:f>
        <x:v>#NAME?</x:v>
      </x:c>
      <x:c r="S886" t="e">
        <x:f>IF($A886="","",[1]!thsiFinD("ths_adjustment_nv_fund",S$3,$A886))</x:f>
        <x:v>#NAME?</x:v>
      </x:c>
      <x:c r="T886" t="e">
        <x:f>IF($A886="","",[1]!thsiFinD("ths_adjustment_nv_fund",T$3,$A886))</x:f>
        <x:v>#NAME?</x:v>
      </x:c>
      <x:c r="U886" t="e">
        <x:f>IF($A886="","",[1]!thsiFinD("ths_adjustment_nv_fund",U$3,$A886))</x:f>
        <x:v>#NAME?</x:v>
      </x:c>
      <x:c r="V886" t="e">
        <x:f>IF($A886="","",[1]!thsiFinD("ths_adjustment_nv_fund",V$3,$A886))</x:f>
        <x:v>#NAME?</x:v>
      </x:c>
      <x:c r="W886" t="e">
        <x:f>IF($A886="","",[1]!thsiFinD("ths_adjustment_nv_fund",W$3,$A886))</x:f>
        <x:v>#NAME?</x:v>
      </x:c>
      <x:c r="X886" t="e">
        <x:f>IF($A886="","",[1]!thsiFinD("ths_adjustment_nv_fund",X$3,$A886))</x:f>
        <x:v>#NAME?</x:v>
      </x:c>
      <x:c r="Y886" t="e">
        <x:f>IF($A886="","",[1]!thsiFinD("ths_adjustment_nv_fund",Y$3,$A886))</x:f>
        <x:v>#NAME?</x:v>
      </x:c>
    </x:row>
    <x:row r="887">
      <x:c r="B887" t="e">
        <x:f>IF($A887="","",[1]!thsiFinD("ths_adjustment_nv_fund",B$3,$A887))</x:f>
        <x:v>#NAME?</x:v>
      </x:c>
      <x:c r="C887" t="e">
        <x:f>IF($A887="","",[1]!thsiFinD("ths_adjustment_nv_fund",C$3,$A887))</x:f>
        <x:v>#NAME?</x:v>
      </x:c>
      <x:c r="D887" t="e">
        <x:f>IF($A887="","",[1]!thsiFinD("ths_adjustment_nv_fund",D$3,$A887))</x:f>
        <x:v>#NAME?</x:v>
      </x:c>
      <x:c r="E887" t="e">
        <x:f>IF($A887="","",[1]!thsiFinD("ths_adjustment_nv_fund",E$3,$A887))</x:f>
        <x:v>#NAME?</x:v>
      </x:c>
      <x:c r="F887" t="e">
        <x:f>IF($A887="","",[1]!thsiFinD("ths_adjustment_nv_fund",F$3,$A887))</x:f>
        <x:v>#NAME?</x:v>
      </x:c>
      <x:c r="G887" t="e">
        <x:f>IF($A887="","",[1]!thsiFinD("ths_adjustment_nv_fund",G$3,$A887))</x:f>
        <x:v>#NAME?</x:v>
      </x:c>
      <x:c r="H887" t="e">
        <x:f>IF($A887="","",[1]!thsiFinD("ths_adjustment_nv_fund",H$3,$A887))</x:f>
        <x:v>#NAME?</x:v>
      </x:c>
      <x:c r="I887" t="e">
        <x:f>IF($A887="","",[1]!thsiFinD("ths_adjustment_nv_fund",I$3,$A887))</x:f>
        <x:v>#NAME?</x:v>
      </x:c>
      <x:c r="J887" t="e">
        <x:f>IF($A887="","",[1]!thsiFinD("ths_adjustment_nv_fund",J$3,$A887))</x:f>
        <x:v>#NAME?</x:v>
      </x:c>
      <x:c r="K887" t="e">
        <x:f>IF($A887="","",[1]!thsiFinD("ths_adjustment_nv_fund",K$3,$A887))</x:f>
        <x:v>#NAME?</x:v>
      </x:c>
      <x:c r="L887" t="e">
        <x:f>IF($A887="","",[1]!thsiFinD("ths_adjustment_nv_fund",L$3,$A887))</x:f>
        <x:v>#NAME?</x:v>
      </x:c>
      <x:c r="M887" t="e">
        <x:f>IF($A887="","",[1]!thsiFinD("ths_adjustment_nv_fund",M$3,$A887))</x:f>
        <x:v>#NAME?</x:v>
      </x:c>
      <x:c r="N887" t="e">
        <x:f>IF($A887="","",[1]!thsiFinD("ths_adjustment_nv_fund",N$3,$A887))</x:f>
        <x:v>#NAME?</x:v>
      </x:c>
      <x:c r="O887" t="e">
        <x:f>IF($A887="","",[1]!thsiFinD("ths_adjustment_nv_fund",O$3,$A887))</x:f>
        <x:v>#NAME?</x:v>
      </x:c>
      <x:c r="P887" t="e">
        <x:f>IF($A887="","",[1]!thsiFinD("ths_adjustment_nv_fund",P$3,$A887))</x:f>
        <x:v>#NAME?</x:v>
      </x:c>
      <x:c r="Q887" t="e">
        <x:f>IF($A887="","",[1]!thsiFinD("ths_adjustment_nv_fund",Q$3,$A887))</x:f>
        <x:v>#NAME?</x:v>
      </x:c>
      <x:c r="R887" t="e">
        <x:f>IF($A887="","",[1]!thsiFinD("ths_adjustment_nv_fund",R$3,$A887))</x:f>
        <x:v>#NAME?</x:v>
      </x:c>
      <x:c r="S887" t="e">
        <x:f>IF($A887="","",[1]!thsiFinD("ths_adjustment_nv_fund",S$3,$A887))</x:f>
        <x:v>#NAME?</x:v>
      </x:c>
      <x:c r="T887" t="e">
        <x:f>IF($A887="","",[1]!thsiFinD("ths_adjustment_nv_fund",T$3,$A887))</x:f>
        <x:v>#NAME?</x:v>
      </x:c>
      <x:c r="U887" t="e">
        <x:f>IF($A887="","",[1]!thsiFinD("ths_adjustment_nv_fund",U$3,$A887))</x:f>
        <x:v>#NAME?</x:v>
      </x:c>
      <x:c r="V887" t="e">
        <x:f>IF($A887="","",[1]!thsiFinD("ths_adjustment_nv_fund",V$3,$A887))</x:f>
        <x:v>#NAME?</x:v>
      </x:c>
      <x:c r="W887" t="e">
        <x:f>IF($A887="","",[1]!thsiFinD("ths_adjustment_nv_fund",W$3,$A887))</x:f>
        <x:v>#NAME?</x:v>
      </x:c>
      <x:c r="X887" t="e">
        <x:f>IF($A887="","",[1]!thsiFinD("ths_adjustment_nv_fund",X$3,$A887))</x:f>
        <x:v>#NAME?</x:v>
      </x:c>
      <x:c r="Y887" t="e">
        <x:f>IF($A887="","",[1]!thsiFinD("ths_adjustment_nv_fund",Y$3,$A887))</x:f>
        <x:v>#NAME?</x:v>
      </x:c>
    </x:row>
    <x:row r="888">
      <x:c r="B888" t="e">
        <x:f>IF($A888="","",[1]!thsiFinD("ths_adjustment_nv_fund",B$3,$A888))</x:f>
        <x:v>#NAME?</x:v>
      </x:c>
      <x:c r="C888" t="e">
        <x:f>IF($A888="","",[1]!thsiFinD("ths_adjustment_nv_fund",C$3,$A888))</x:f>
        <x:v>#NAME?</x:v>
      </x:c>
      <x:c r="D888" t="e">
        <x:f>IF($A888="","",[1]!thsiFinD("ths_adjustment_nv_fund",D$3,$A888))</x:f>
        <x:v>#NAME?</x:v>
      </x:c>
      <x:c r="E888" t="e">
        <x:f>IF($A888="","",[1]!thsiFinD("ths_adjustment_nv_fund",E$3,$A888))</x:f>
        <x:v>#NAME?</x:v>
      </x:c>
      <x:c r="F888" t="e">
        <x:f>IF($A888="","",[1]!thsiFinD("ths_adjustment_nv_fund",F$3,$A888))</x:f>
        <x:v>#NAME?</x:v>
      </x:c>
      <x:c r="G888" t="e">
        <x:f>IF($A888="","",[1]!thsiFinD("ths_adjustment_nv_fund",G$3,$A888))</x:f>
        <x:v>#NAME?</x:v>
      </x:c>
      <x:c r="H888" t="e">
        <x:f>IF($A888="","",[1]!thsiFinD("ths_adjustment_nv_fund",H$3,$A888))</x:f>
        <x:v>#NAME?</x:v>
      </x:c>
      <x:c r="I888" t="e">
        <x:f>IF($A888="","",[1]!thsiFinD("ths_adjustment_nv_fund",I$3,$A888))</x:f>
        <x:v>#NAME?</x:v>
      </x:c>
      <x:c r="J888" t="e">
        <x:f>IF($A888="","",[1]!thsiFinD("ths_adjustment_nv_fund",J$3,$A888))</x:f>
        <x:v>#NAME?</x:v>
      </x:c>
      <x:c r="K888" t="e">
        <x:f>IF($A888="","",[1]!thsiFinD("ths_adjustment_nv_fund",K$3,$A888))</x:f>
        <x:v>#NAME?</x:v>
      </x:c>
      <x:c r="L888" t="e">
        <x:f>IF($A888="","",[1]!thsiFinD("ths_adjustment_nv_fund",L$3,$A888))</x:f>
        <x:v>#NAME?</x:v>
      </x:c>
      <x:c r="M888" t="e">
        <x:f>IF($A888="","",[1]!thsiFinD("ths_adjustment_nv_fund",M$3,$A888))</x:f>
        <x:v>#NAME?</x:v>
      </x:c>
      <x:c r="N888" t="e">
        <x:f>IF($A888="","",[1]!thsiFinD("ths_adjustment_nv_fund",N$3,$A888))</x:f>
        <x:v>#NAME?</x:v>
      </x:c>
      <x:c r="O888" t="e">
        <x:f>IF($A888="","",[1]!thsiFinD("ths_adjustment_nv_fund",O$3,$A888))</x:f>
        <x:v>#NAME?</x:v>
      </x:c>
      <x:c r="P888" t="e">
        <x:f>IF($A888="","",[1]!thsiFinD("ths_adjustment_nv_fund",P$3,$A888))</x:f>
        <x:v>#NAME?</x:v>
      </x:c>
      <x:c r="Q888" t="e">
        <x:f>IF($A888="","",[1]!thsiFinD("ths_adjustment_nv_fund",Q$3,$A888))</x:f>
        <x:v>#NAME?</x:v>
      </x:c>
      <x:c r="R888" t="e">
        <x:f>IF($A888="","",[1]!thsiFinD("ths_adjustment_nv_fund",R$3,$A888))</x:f>
        <x:v>#NAME?</x:v>
      </x:c>
      <x:c r="S888" t="e">
        <x:f>IF($A888="","",[1]!thsiFinD("ths_adjustment_nv_fund",S$3,$A888))</x:f>
        <x:v>#NAME?</x:v>
      </x:c>
      <x:c r="T888" t="e">
        <x:f>IF($A888="","",[1]!thsiFinD("ths_adjustment_nv_fund",T$3,$A888))</x:f>
        <x:v>#NAME?</x:v>
      </x:c>
      <x:c r="U888" t="e">
        <x:f>IF($A888="","",[1]!thsiFinD("ths_adjustment_nv_fund",U$3,$A888))</x:f>
        <x:v>#NAME?</x:v>
      </x:c>
      <x:c r="V888" t="e">
        <x:f>IF($A888="","",[1]!thsiFinD("ths_adjustment_nv_fund",V$3,$A888))</x:f>
        <x:v>#NAME?</x:v>
      </x:c>
      <x:c r="W888" t="e">
        <x:f>IF($A888="","",[1]!thsiFinD("ths_adjustment_nv_fund",W$3,$A888))</x:f>
        <x:v>#NAME?</x:v>
      </x:c>
      <x:c r="X888" t="e">
        <x:f>IF($A888="","",[1]!thsiFinD("ths_adjustment_nv_fund",X$3,$A888))</x:f>
        <x:v>#NAME?</x:v>
      </x:c>
      <x:c r="Y888" t="e">
        <x:f>IF($A888="","",[1]!thsiFinD("ths_adjustment_nv_fund",Y$3,$A888))</x:f>
        <x:v>#NAME?</x:v>
      </x:c>
    </x:row>
    <x:row r="889">
      <x:c r="B889" t="e">
        <x:f>IF($A889="","",[1]!thsiFinD("ths_adjustment_nv_fund",B$3,$A889))</x:f>
        <x:v>#NAME?</x:v>
      </x:c>
      <x:c r="C889" t="e">
        <x:f>IF($A889="","",[1]!thsiFinD("ths_adjustment_nv_fund",C$3,$A889))</x:f>
        <x:v>#NAME?</x:v>
      </x:c>
      <x:c r="D889" t="e">
        <x:f>IF($A889="","",[1]!thsiFinD("ths_adjustment_nv_fund",D$3,$A889))</x:f>
        <x:v>#NAME?</x:v>
      </x:c>
      <x:c r="E889" t="e">
        <x:f>IF($A889="","",[1]!thsiFinD("ths_adjustment_nv_fund",E$3,$A889))</x:f>
        <x:v>#NAME?</x:v>
      </x:c>
      <x:c r="F889" t="e">
        <x:f>IF($A889="","",[1]!thsiFinD("ths_adjustment_nv_fund",F$3,$A889))</x:f>
        <x:v>#NAME?</x:v>
      </x:c>
      <x:c r="G889" t="e">
        <x:f>IF($A889="","",[1]!thsiFinD("ths_adjustment_nv_fund",G$3,$A889))</x:f>
        <x:v>#NAME?</x:v>
      </x:c>
      <x:c r="H889" t="e">
        <x:f>IF($A889="","",[1]!thsiFinD("ths_adjustment_nv_fund",H$3,$A889))</x:f>
        <x:v>#NAME?</x:v>
      </x:c>
      <x:c r="I889" t="e">
        <x:f>IF($A889="","",[1]!thsiFinD("ths_adjustment_nv_fund",I$3,$A889))</x:f>
        <x:v>#NAME?</x:v>
      </x:c>
      <x:c r="J889" t="e">
        <x:f>IF($A889="","",[1]!thsiFinD("ths_adjustment_nv_fund",J$3,$A889))</x:f>
        <x:v>#NAME?</x:v>
      </x:c>
      <x:c r="K889" t="e">
        <x:f>IF($A889="","",[1]!thsiFinD("ths_adjustment_nv_fund",K$3,$A889))</x:f>
        <x:v>#NAME?</x:v>
      </x:c>
      <x:c r="L889" t="e">
        <x:f>IF($A889="","",[1]!thsiFinD("ths_adjustment_nv_fund",L$3,$A889))</x:f>
        <x:v>#NAME?</x:v>
      </x:c>
      <x:c r="M889" t="e">
        <x:f>IF($A889="","",[1]!thsiFinD("ths_adjustment_nv_fund",M$3,$A889))</x:f>
        <x:v>#NAME?</x:v>
      </x:c>
      <x:c r="N889" t="e">
        <x:f>IF($A889="","",[1]!thsiFinD("ths_adjustment_nv_fund",N$3,$A889))</x:f>
        <x:v>#NAME?</x:v>
      </x:c>
      <x:c r="O889" t="e">
        <x:f>IF($A889="","",[1]!thsiFinD("ths_adjustment_nv_fund",O$3,$A889))</x:f>
        <x:v>#NAME?</x:v>
      </x:c>
      <x:c r="P889" t="e">
        <x:f>IF($A889="","",[1]!thsiFinD("ths_adjustment_nv_fund",P$3,$A889))</x:f>
        <x:v>#NAME?</x:v>
      </x:c>
      <x:c r="Q889" t="e">
        <x:f>IF($A889="","",[1]!thsiFinD("ths_adjustment_nv_fund",Q$3,$A889))</x:f>
        <x:v>#NAME?</x:v>
      </x:c>
      <x:c r="R889" t="e">
        <x:f>IF($A889="","",[1]!thsiFinD("ths_adjustment_nv_fund",R$3,$A889))</x:f>
        <x:v>#NAME?</x:v>
      </x:c>
      <x:c r="S889" t="e">
        <x:f>IF($A889="","",[1]!thsiFinD("ths_adjustment_nv_fund",S$3,$A889))</x:f>
        <x:v>#NAME?</x:v>
      </x:c>
      <x:c r="T889" t="e">
        <x:f>IF($A889="","",[1]!thsiFinD("ths_adjustment_nv_fund",T$3,$A889))</x:f>
        <x:v>#NAME?</x:v>
      </x:c>
      <x:c r="U889" t="e">
        <x:f>IF($A889="","",[1]!thsiFinD("ths_adjustment_nv_fund",U$3,$A889))</x:f>
        <x:v>#NAME?</x:v>
      </x:c>
      <x:c r="V889" t="e">
        <x:f>IF($A889="","",[1]!thsiFinD("ths_adjustment_nv_fund",V$3,$A889))</x:f>
        <x:v>#NAME?</x:v>
      </x:c>
      <x:c r="W889" t="e">
        <x:f>IF($A889="","",[1]!thsiFinD("ths_adjustment_nv_fund",W$3,$A889))</x:f>
        <x:v>#NAME?</x:v>
      </x:c>
      <x:c r="X889" t="e">
        <x:f>IF($A889="","",[1]!thsiFinD("ths_adjustment_nv_fund",X$3,$A889))</x:f>
        <x:v>#NAME?</x:v>
      </x:c>
      <x:c r="Y889" t="e">
        <x:f>IF($A889="","",[1]!thsiFinD("ths_adjustment_nv_fund",Y$3,$A889))</x:f>
        <x:v>#NAME?</x:v>
      </x:c>
    </x:row>
    <x:row r="890">
      <x:c r="B890" t="e">
        <x:f>IF($A890="","",[1]!thsiFinD("ths_adjustment_nv_fund",B$3,$A890))</x:f>
        <x:v>#NAME?</x:v>
      </x:c>
      <x:c r="C890" t="e">
        <x:f>IF($A890="","",[1]!thsiFinD("ths_adjustment_nv_fund",C$3,$A890))</x:f>
        <x:v>#NAME?</x:v>
      </x:c>
      <x:c r="D890" t="e">
        <x:f>IF($A890="","",[1]!thsiFinD("ths_adjustment_nv_fund",D$3,$A890))</x:f>
        <x:v>#NAME?</x:v>
      </x:c>
      <x:c r="E890" t="e">
        <x:f>IF($A890="","",[1]!thsiFinD("ths_adjustment_nv_fund",E$3,$A890))</x:f>
        <x:v>#NAME?</x:v>
      </x:c>
      <x:c r="F890" t="e">
        <x:f>IF($A890="","",[1]!thsiFinD("ths_adjustment_nv_fund",F$3,$A890))</x:f>
        <x:v>#NAME?</x:v>
      </x:c>
      <x:c r="G890" t="e">
        <x:f>IF($A890="","",[1]!thsiFinD("ths_adjustment_nv_fund",G$3,$A890))</x:f>
        <x:v>#NAME?</x:v>
      </x:c>
      <x:c r="H890" t="e">
        <x:f>IF($A890="","",[1]!thsiFinD("ths_adjustment_nv_fund",H$3,$A890))</x:f>
        <x:v>#NAME?</x:v>
      </x:c>
      <x:c r="I890" t="e">
        <x:f>IF($A890="","",[1]!thsiFinD("ths_adjustment_nv_fund",I$3,$A890))</x:f>
        <x:v>#NAME?</x:v>
      </x:c>
      <x:c r="J890" t="e">
        <x:f>IF($A890="","",[1]!thsiFinD("ths_adjustment_nv_fund",J$3,$A890))</x:f>
        <x:v>#NAME?</x:v>
      </x:c>
      <x:c r="K890" t="e">
        <x:f>IF($A890="","",[1]!thsiFinD("ths_adjustment_nv_fund",K$3,$A890))</x:f>
        <x:v>#NAME?</x:v>
      </x:c>
      <x:c r="L890" t="e">
        <x:f>IF($A890="","",[1]!thsiFinD("ths_adjustment_nv_fund",L$3,$A890))</x:f>
        <x:v>#NAME?</x:v>
      </x:c>
      <x:c r="M890" t="e">
        <x:f>IF($A890="","",[1]!thsiFinD("ths_adjustment_nv_fund",M$3,$A890))</x:f>
        <x:v>#NAME?</x:v>
      </x:c>
      <x:c r="N890" t="e">
        <x:f>IF($A890="","",[1]!thsiFinD("ths_adjustment_nv_fund",N$3,$A890))</x:f>
        <x:v>#NAME?</x:v>
      </x:c>
      <x:c r="O890" t="e">
        <x:f>IF($A890="","",[1]!thsiFinD("ths_adjustment_nv_fund",O$3,$A890))</x:f>
        <x:v>#NAME?</x:v>
      </x:c>
      <x:c r="P890" t="e">
        <x:f>IF($A890="","",[1]!thsiFinD("ths_adjustment_nv_fund",P$3,$A890))</x:f>
        <x:v>#NAME?</x:v>
      </x:c>
      <x:c r="Q890" t="e">
        <x:f>IF($A890="","",[1]!thsiFinD("ths_adjustment_nv_fund",Q$3,$A890))</x:f>
        <x:v>#NAME?</x:v>
      </x:c>
      <x:c r="R890" t="e">
        <x:f>IF($A890="","",[1]!thsiFinD("ths_adjustment_nv_fund",R$3,$A890))</x:f>
        <x:v>#NAME?</x:v>
      </x:c>
      <x:c r="S890" t="e">
        <x:f>IF($A890="","",[1]!thsiFinD("ths_adjustment_nv_fund",S$3,$A890))</x:f>
        <x:v>#NAME?</x:v>
      </x:c>
      <x:c r="T890" t="e">
        <x:f>IF($A890="","",[1]!thsiFinD("ths_adjustment_nv_fund",T$3,$A890))</x:f>
        <x:v>#NAME?</x:v>
      </x:c>
      <x:c r="U890" t="e">
        <x:f>IF($A890="","",[1]!thsiFinD("ths_adjustment_nv_fund",U$3,$A890))</x:f>
        <x:v>#NAME?</x:v>
      </x:c>
      <x:c r="V890" t="e">
        <x:f>IF($A890="","",[1]!thsiFinD("ths_adjustment_nv_fund",V$3,$A890))</x:f>
        <x:v>#NAME?</x:v>
      </x:c>
      <x:c r="W890" t="e">
        <x:f>IF($A890="","",[1]!thsiFinD("ths_adjustment_nv_fund",W$3,$A890))</x:f>
        <x:v>#NAME?</x:v>
      </x:c>
      <x:c r="X890" t="e">
        <x:f>IF($A890="","",[1]!thsiFinD("ths_adjustment_nv_fund",X$3,$A890))</x:f>
        <x:v>#NAME?</x:v>
      </x:c>
      <x:c r="Y890" t="e">
        <x:f>IF($A890="","",[1]!thsiFinD("ths_adjustment_nv_fund",Y$3,$A890))</x:f>
        <x:v>#NAME?</x:v>
      </x:c>
    </x:row>
    <x:row r="891">
      <x:c r="B891" t="e">
        <x:f>IF($A891="","",[1]!thsiFinD("ths_adjustment_nv_fund",B$3,$A891))</x:f>
        <x:v>#NAME?</x:v>
      </x:c>
      <x:c r="C891" t="e">
        <x:f>IF($A891="","",[1]!thsiFinD("ths_adjustment_nv_fund",C$3,$A891))</x:f>
        <x:v>#NAME?</x:v>
      </x:c>
      <x:c r="D891" t="e">
        <x:f>IF($A891="","",[1]!thsiFinD("ths_adjustment_nv_fund",D$3,$A891))</x:f>
        <x:v>#NAME?</x:v>
      </x:c>
      <x:c r="E891" t="e">
        <x:f>IF($A891="","",[1]!thsiFinD("ths_adjustment_nv_fund",E$3,$A891))</x:f>
        <x:v>#NAME?</x:v>
      </x:c>
      <x:c r="F891" t="e">
        <x:f>IF($A891="","",[1]!thsiFinD("ths_adjustment_nv_fund",F$3,$A891))</x:f>
        <x:v>#NAME?</x:v>
      </x:c>
      <x:c r="G891" t="e">
        <x:f>IF($A891="","",[1]!thsiFinD("ths_adjustment_nv_fund",G$3,$A891))</x:f>
        <x:v>#NAME?</x:v>
      </x:c>
      <x:c r="H891" t="e">
        <x:f>IF($A891="","",[1]!thsiFinD("ths_adjustment_nv_fund",H$3,$A891))</x:f>
        <x:v>#NAME?</x:v>
      </x:c>
      <x:c r="I891" t="e">
        <x:f>IF($A891="","",[1]!thsiFinD("ths_adjustment_nv_fund",I$3,$A891))</x:f>
        <x:v>#NAME?</x:v>
      </x:c>
      <x:c r="J891" t="e">
        <x:f>IF($A891="","",[1]!thsiFinD("ths_adjustment_nv_fund",J$3,$A891))</x:f>
        <x:v>#NAME?</x:v>
      </x:c>
      <x:c r="K891" t="e">
        <x:f>IF($A891="","",[1]!thsiFinD("ths_adjustment_nv_fund",K$3,$A891))</x:f>
        <x:v>#NAME?</x:v>
      </x:c>
      <x:c r="L891" t="e">
        <x:f>IF($A891="","",[1]!thsiFinD("ths_adjustment_nv_fund",L$3,$A891))</x:f>
        <x:v>#NAME?</x:v>
      </x:c>
      <x:c r="M891" t="e">
        <x:f>IF($A891="","",[1]!thsiFinD("ths_adjustment_nv_fund",M$3,$A891))</x:f>
        <x:v>#NAME?</x:v>
      </x:c>
      <x:c r="N891" t="e">
        <x:f>IF($A891="","",[1]!thsiFinD("ths_adjustment_nv_fund",N$3,$A891))</x:f>
        <x:v>#NAME?</x:v>
      </x:c>
      <x:c r="O891" t="e">
        <x:f>IF($A891="","",[1]!thsiFinD("ths_adjustment_nv_fund",O$3,$A891))</x:f>
        <x:v>#NAME?</x:v>
      </x:c>
      <x:c r="P891" t="e">
        <x:f>IF($A891="","",[1]!thsiFinD("ths_adjustment_nv_fund",P$3,$A891))</x:f>
        <x:v>#NAME?</x:v>
      </x:c>
      <x:c r="Q891" t="e">
        <x:f>IF($A891="","",[1]!thsiFinD("ths_adjustment_nv_fund",Q$3,$A891))</x:f>
        <x:v>#NAME?</x:v>
      </x:c>
      <x:c r="R891" t="e">
        <x:f>IF($A891="","",[1]!thsiFinD("ths_adjustment_nv_fund",R$3,$A891))</x:f>
        <x:v>#NAME?</x:v>
      </x:c>
      <x:c r="S891" t="e">
        <x:f>IF($A891="","",[1]!thsiFinD("ths_adjustment_nv_fund",S$3,$A891))</x:f>
        <x:v>#NAME?</x:v>
      </x:c>
      <x:c r="T891" t="e">
        <x:f>IF($A891="","",[1]!thsiFinD("ths_adjustment_nv_fund",T$3,$A891))</x:f>
        <x:v>#NAME?</x:v>
      </x:c>
      <x:c r="U891" t="e">
        <x:f>IF($A891="","",[1]!thsiFinD("ths_adjustment_nv_fund",U$3,$A891))</x:f>
        <x:v>#NAME?</x:v>
      </x:c>
      <x:c r="V891" t="e">
        <x:f>IF($A891="","",[1]!thsiFinD("ths_adjustment_nv_fund",V$3,$A891))</x:f>
        <x:v>#NAME?</x:v>
      </x:c>
      <x:c r="W891" t="e">
        <x:f>IF($A891="","",[1]!thsiFinD("ths_adjustment_nv_fund",W$3,$A891))</x:f>
        <x:v>#NAME?</x:v>
      </x:c>
      <x:c r="X891" t="e">
        <x:f>IF($A891="","",[1]!thsiFinD("ths_adjustment_nv_fund",X$3,$A891))</x:f>
        <x:v>#NAME?</x:v>
      </x:c>
      <x:c r="Y891" t="e">
        <x:f>IF($A891="","",[1]!thsiFinD("ths_adjustment_nv_fund",Y$3,$A891))</x:f>
        <x:v>#NAME?</x:v>
      </x:c>
    </x:row>
    <x:row r="892">
      <x:c r="B892" t="e">
        <x:f>IF($A892="","",[1]!thsiFinD("ths_adjustment_nv_fund",B$3,$A892))</x:f>
        <x:v>#NAME?</x:v>
      </x:c>
      <x:c r="C892" t="e">
        <x:f>IF($A892="","",[1]!thsiFinD("ths_adjustment_nv_fund",C$3,$A892))</x:f>
        <x:v>#NAME?</x:v>
      </x:c>
      <x:c r="D892" t="e">
        <x:f>IF($A892="","",[1]!thsiFinD("ths_adjustment_nv_fund",D$3,$A892))</x:f>
        <x:v>#NAME?</x:v>
      </x:c>
      <x:c r="E892" t="e">
        <x:f>IF($A892="","",[1]!thsiFinD("ths_adjustment_nv_fund",E$3,$A892))</x:f>
        <x:v>#NAME?</x:v>
      </x:c>
      <x:c r="F892" t="e">
        <x:f>IF($A892="","",[1]!thsiFinD("ths_adjustment_nv_fund",F$3,$A892))</x:f>
        <x:v>#NAME?</x:v>
      </x:c>
      <x:c r="G892" t="e">
        <x:f>IF($A892="","",[1]!thsiFinD("ths_adjustment_nv_fund",G$3,$A892))</x:f>
        <x:v>#NAME?</x:v>
      </x:c>
      <x:c r="H892" t="e">
        <x:f>IF($A892="","",[1]!thsiFinD("ths_adjustment_nv_fund",H$3,$A892))</x:f>
        <x:v>#NAME?</x:v>
      </x:c>
      <x:c r="I892" t="e">
        <x:f>IF($A892="","",[1]!thsiFinD("ths_adjustment_nv_fund",I$3,$A892))</x:f>
        <x:v>#NAME?</x:v>
      </x:c>
      <x:c r="J892" t="e">
        <x:f>IF($A892="","",[1]!thsiFinD("ths_adjustment_nv_fund",J$3,$A892))</x:f>
        <x:v>#NAME?</x:v>
      </x:c>
      <x:c r="K892" t="e">
        <x:f>IF($A892="","",[1]!thsiFinD("ths_adjustment_nv_fund",K$3,$A892))</x:f>
        <x:v>#NAME?</x:v>
      </x:c>
      <x:c r="L892" t="e">
        <x:f>IF($A892="","",[1]!thsiFinD("ths_adjustment_nv_fund",L$3,$A892))</x:f>
        <x:v>#NAME?</x:v>
      </x:c>
      <x:c r="M892" t="e">
        <x:f>IF($A892="","",[1]!thsiFinD("ths_adjustment_nv_fund",M$3,$A892))</x:f>
        <x:v>#NAME?</x:v>
      </x:c>
      <x:c r="N892" t="e">
        <x:f>IF($A892="","",[1]!thsiFinD("ths_adjustment_nv_fund",N$3,$A892))</x:f>
        <x:v>#NAME?</x:v>
      </x:c>
      <x:c r="O892" t="e">
        <x:f>IF($A892="","",[1]!thsiFinD("ths_adjustment_nv_fund",O$3,$A892))</x:f>
        <x:v>#NAME?</x:v>
      </x:c>
      <x:c r="P892" t="e">
        <x:f>IF($A892="","",[1]!thsiFinD("ths_adjustment_nv_fund",P$3,$A892))</x:f>
        <x:v>#NAME?</x:v>
      </x:c>
      <x:c r="Q892" t="e">
        <x:f>IF($A892="","",[1]!thsiFinD("ths_adjustment_nv_fund",Q$3,$A892))</x:f>
        <x:v>#NAME?</x:v>
      </x:c>
      <x:c r="R892" t="e">
        <x:f>IF($A892="","",[1]!thsiFinD("ths_adjustment_nv_fund",R$3,$A892))</x:f>
        <x:v>#NAME?</x:v>
      </x:c>
      <x:c r="S892" t="e">
        <x:f>IF($A892="","",[1]!thsiFinD("ths_adjustment_nv_fund",S$3,$A892))</x:f>
        <x:v>#NAME?</x:v>
      </x:c>
      <x:c r="T892" t="e">
        <x:f>IF($A892="","",[1]!thsiFinD("ths_adjustment_nv_fund",T$3,$A892))</x:f>
        <x:v>#NAME?</x:v>
      </x:c>
      <x:c r="U892" t="e">
        <x:f>IF($A892="","",[1]!thsiFinD("ths_adjustment_nv_fund",U$3,$A892))</x:f>
        <x:v>#NAME?</x:v>
      </x:c>
      <x:c r="V892" t="e">
        <x:f>IF($A892="","",[1]!thsiFinD("ths_adjustment_nv_fund",V$3,$A892))</x:f>
        <x:v>#NAME?</x:v>
      </x:c>
      <x:c r="W892" t="e">
        <x:f>IF($A892="","",[1]!thsiFinD("ths_adjustment_nv_fund",W$3,$A892))</x:f>
        <x:v>#NAME?</x:v>
      </x:c>
      <x:c r="X892" t="e">
        <x:f>IF($A892="","",[1]!thsiFinD("ths_adjustment_nv_fund",X$3,$A892))</x:f>
        <x:v>#NAME?</x:v>
      </x:c>
      <x:c r="Y892" t="e">
        <x:f>IF($A892="","",[1]!thsiFinD("ths_adjustment_nv_fund",Y$3,$A892))</x:f>
        <x:v>#NAME?</x:v>
      </x:c>
    </x:row>
    <x:row r="893">
      <x:c r="B893" t="e">
        <x:f>IF($A893="","",[1]!thsiFinD("ths_adjustment_nv_fund",B$3,$A893))</x:f>
        <x:v>#NAME?</x:v>
      </x:c>
      <x:c r="C893" t="e">
        <x:f>IF($A893="","",[1]!thsiFinD("ths_adjustment_nv_fund",C$3,$A893))</x:f>
        <x:v>#NAME?</x:v>
      </x:c>
      <x:c r="D893" t="e">
        <x:f>IF($A893="","",[1]!thsiFinD("ths_adjustment_nv_fund",D$3,$A893))</x:f>
        <x:v>#NAME?</x:v>
      </x:c>
      <x:c r="E893" t="e">
        <x:f>IF($A893="","",[1]!thsiFinD("ths_adjustment_nv_fund",E$3,$A893))</x:f>
        <x:v>#NAME?</x:v>
      </x:c>
      <x:c r="F893" t="e">
        <x:f>IF($A893="","",[1]!thsiFinD("ths_adjustment_nv_fund",F$3,$A893))</x:f>
        <x:v>#NAME?</x:v>
      </x:c>
      <x:c r="G893" t="e">
        <x:f>IF($A893="","",[1]!thsiFinD("ths_adjustment_nv_fund",G$3,$A893))</x:f>
        <x:v>#NAME?</x:v>
      </x:c>
      <x:c r="H893" t="e">
        <x:f>IF($A893="","",[1]!thsiFinD("ths_adjustment_nv_fund",H$3,$A893))</x:f>
        <x:v>#NAME?</x:v>
      </x:c>
      <x:c r="I893" t="e">
        <x:f>IF($A893="","",[1]!thsiFinD("ths_adjustment_nv_fund",I$3,$A893))</x:f>
        <x:v>#NAME?</x:v>
      </x:c>
      <x:c r="J893" t="e">
        <x:f>IF($A893="","",[1]!thsiFinD("ths_adjustment_nv_fund",J$3,$A893))</x:f>
        <x:v>#NAME?</x:v>
      </x:c>
      <x:c r="K893" t="e">
        <x:f>IF($A893="","",[1]!thsiFinD("ths_adjustment_nv_fund",K$3,$A893))</x:f>
        <x:v>#NAME?</x:v>
      </x:c>
      <x:c r="L893" t="e">
        <x:f>IF($A893="","",[1]!thsiFinD("ths_adjustment_nv_fund",L$3,$A893))</x:f>
        <x:v>#NAME?</x:v>
      </x:c>
      <x:c r="M893" t="e">
        <x:f>IF($A893="","",[1]!thsiFinD("ths_adjustment_nv_fund",M$3,$A893))</x:f>
        <x:v>#NAME?</x:v>
      </x:c>
      <x:c r="N893" t="e">
        <x:f>IF($A893="","",[1]!thsiFinD("ths_adjustment_nv_fund",N$3,$A893))</x:f>
        <x:v>#NAME?</x:v>
      </x:c>
      <x:c r="O893" t="e">
        <x:f>IF($A893="","",[1]!thsiFinD("ths_adjustment_nv_fund",O$3,$A893))</x:f>
        <x:v>#NAME?</x:v>
      </x:c>
      <x:c r="P893" t="e">
        <x:f>IF($A893="","",[1]!thsiFinD("ths_adjustment_nv_fund",P$3,$A893))</x:f>
        <x:v>#NAME?</x:v>
      </x:c>
      <x:c r="Q893" t="e">
        <x:f>IF($A893="","",[1]!thsiFinD("ths_adjustment_nv_fund",Q$3,$A893))</x:f>
        <x:v>#NAME?</x:v>
      </x:c>
      <x:c r="R893" t="e">
        <x:f>IF($A893="","",[1]!thsiFinD("ths_adjustment_nv_fund",R$3,$A893))</x:f>
        <x:v>#NAME?</x:v>
      </x:c>
      <x:c r="S893" t="e">
        <x:f>IF($A893="","",[1]!thsiFinD("ths_adjustment_nv_fund",S$3,$A893))</x:f>
        <x:v>#NAME?</x:v>
      </x:c>
      <x:c r="T893" t="e">
        <x:f>IF($A893="","",[1]!thsiFinD("ths_adjustment_nv_fund",T$3,$A893))</x:f>
        <x:v>#NAME?</x:v>
      </x:c>
      <x:c r="U893" t="e">
        <x:f>IF($A893="","",[1]!thsiFinD("ths_adjustment_nv_fund",U$3,$A893))</x:f>
        <x:v>#NAME?</x:v>
      </x:c>
      <x:c r="V893" t="e">
        <x:f>IF($A893="","",[1]!thsiFinD("ths_adjustment_nv_fund",V$3,$A893))</x:f>
        <x:v>#NAME?</x:v>
      </x:c>
      <x:c r="W893" t="e">
        <x:f>IF($A893="","",[1]!thsiFinD("ths_adjustment_nv_fund",W$3,$A893))</x:f>
        <x:v>#NAME?</x:v>
      </x:c>
      <x:c r="X893" t="e">
        <x:f>IF($A893="","",[1]!thsiFinD("ths_adjustment_nv_fund",X$3,$A893))</x:f>
        <x:v>#NAME?</x:v>
      </x:c>
      <x:c r="Y893" t="e">
        <x:f>IF($A893="","",[1]!thsiFinD("ths_adjustment_nv_fund",Y$3,$A893))</x:f>
        <x:v>#NAME?</x:v>
      </x:c>
    </x:row>
    <x:row r="894">
      <x:c r="B894" t="e">
        <x:f>IF($A894="","",[1]!thsiFinD("ths_adjustment_nv_fund",B$3,$A894))</x:f>
        <x:v>#NAME?</x:v>
      </x:c>
      <x:c r="C894" t="e">
        <x:f>IF($A894="","",[1]!thsiFinD("ths_adjustment_nv_fund",C$3,$A894))</x:f>
        <x:v>#NAME?</x:v>
      </x:c>
      <x:c r="D894" t="e">
        <x:f>IF($A894="","",[1]!thsiFinD("ths_adjustment_nv_fund",D$3,$A894))</x:f>
        <x:v>#NAME?</x:v>
      </x:c>
      <x:c r="E894" t="e">
        <x:f>IF($A894="","",[1]!thsiFinD("ths_adjustment_nv_fund",E$3,$A894))</x:f>
        <x:v>#NAME?</x:v>
      </x:c>
      <x:c r="F894" t="e">
        <x:f>IF($A894="","",[1]!thsiFinD("ths_adjustment_nv_fund",F$3,$A894))</x:f>
        <x:v>#NAME?</x:v>
      </x:c>
      <x:c r="G894" t="e">
        <x:f>IF($A894="","",[1]!thsiFinD("ths_adjustment_nv_fund",G$3,$A894))</x:f>
        <x:v>#NAME?</x:v>
      </x:c>
      <x:c r="H894" t="e">
        <x:f>IF($A894="","",[1]!thsiFinD("ths_adjustment_nv_fund",H$3,$A894))</x:f>
        <x:v>#NAME?</x:v>
      </x:c>
      <x:c r="I894" t="e">
        <x:f>IF($A894="","",[1]!thsiFinD("ths_adjustment_nv_fund",I$3,$A894))</x:f>
        <x:v>#NAME?</x:v>
      </x:c>
      <x:c r="J894" t="e">
        <x:f>IF($A894="","",[1]!thsiFinD("ths_adjustment_nv_fund",J$3,$A894))</x:f>
        <x:v>#NAME?</x:v>
      </x:c>
      <x:c r="K894" t="e">
        <x:f>IF($A894="","",[1]!thsiFinD("ths_adjustment_nv_fund",K$3,$A894))</x:f>
        <x:v>#NAME?</x:v>
      </x:c>
      <x:c r="L894" t="e">
        <x:f>IF($A894="","",[1]!thsiFinD("ths_adjustment_nv_fund",L$3,$A894))</x:f>
        <x:v>#NAME?</x:v>
      </x:c>
      <x:c r="M894" t="e">
        <x:f>IF($A894="","",[1]!thsiFinD("ths_adjustment_nv_fund",M$3,$A894))</x:f>
        <x:v>#NAME?</x:v>
      </x:c>
      <x:c r="N894" t="e">
        <x:f>IF($A894="","",[1]!thsiFinD("ths_adjustment_nv_fund",N$3,$A894))</x:f>
        <x:v>#NAME?</x:v>
      </x:c>
      <x:c r="O894" t="e">
        <x:f>IF($A894="","",[1]!thsiFinD("ths_adjustment_nv_fund",O$3,$A894))</x:f>
        <x:v>#NAME?</x:v>
      </x:c>
      <x:c r="P894" t="e">
        <x:f>IF($A894="","",[1]!thsiFinD("ths_adjustment_nv_fund",P$3,$A894))</x:f>
        <x:v>#NAME?</x:v>
      </x:c>
      <x:c r="Q894" t="e">
        <x:f>IF($A894="","",[1]!thsiFinD("ths_adjustment_nv_fund",Q$3,$A894))</x:f>
        <x:v>#NAME?</x:v>
      </x:c>
      <x:c r="R894" t="e">
        <x:f>IF($A894="","",[1]!thsiFinD("ths_adjustment_nv_fund",R$3,$A894))</x:f>
        <x:v>#NAME?</x:v>
      </x:c>
      <x:c r="S894" t="e">
        <x:f>IF($A894="","",[1]!thsiFinD("ths_adjustment_nv_fund",S$3,$A894))</x:f>
        <x:v>#NAME?</x:v>
      </x:c>
      <x:c r="T894" t="e">
        <x:f>IF($A894="","",[1]!thsiFinD("ths_adjustment_nv_fund",T$3,$A894))</x:f>
        <x:v>#NAME?</x:v>
      </x:c>
      <x:c r="U894" t="e">
        <x:f>IF($A894="","",[1]!thsiFinD("ths_adjustment_nv_fund",U$3,$A894))</x:f>
        <x:v>#NAME?</x:v>
      </x:c>
      <x:c r="V894" t="e">
        <x:f>IF($A894="","",[1]!thsiFinD("ths_adjustment_nv_fund",V$3,$A894))</x:f>
        <x:v>#NAME?</x:v>
      </x:c>
      <x:c r="W894" t="e">
        <x:f>IF($A894="","",[1]!thsiFinD("ths_adjustment_nv_fund",W$3,$A894))</x:f>
        <x:v>#NAME?</x:v>
      </x:c>
      <x:c r="X894" t="e">
        <x:f>IF($A894="","",[1]!thsiFinD("ths_adjustment_nv_fund",X$3,$A894))</x:f>
        <x:v>#NAME?</x:v>
      </x:c>
      <x:c r="Y894" t="e">
        <x:f>IF($A894="","",[1]!thsiFinD("ths_adjustment_nv_fund",Y$3,$A894))</x:f>
        <x:v>#NAME?</x:v>
      </x:c>
    </x:row>
    <x:row r="895">
      <x:c r="B895" t="e">
        <x:f>IF($A895="","",[1]!thsiFinD("ths_adjustment_nv_fund",B$3,$A895))</x:f>
        <x:v>#NAME?</x:v>
      </x:c>
      <x:c r="C895" t="e">
        <x:f>IF($A895="","",[1]!thsiFinD("ths_adjustment_nv_fund",C$3,$A895))</x:f>
        <x:v>#NAME?</x:v>
      </x:c>
      <x:c r="D895" t="e">
        <x:f>IF($A895="","",[1]!thsiFinD("ths_adjustment_nv_fund",D$3,$A895))</x:f>
        <x:v>#NAME?</x:v>
      </x:c>
      <x:c r="E895" t="e">
        <x:f>IF($A895="","",[1]!thsiFinD("ths_adjustment_nv_fund",E$3,$A895))</x:f>
        <x:v>#NAME?</x:v>
      </x:c>
      <x:c r="F895" t="e">
        <x:f>IF($A895="","",[1]!thsiFinD("ths_adjustment_nv_fund",F$3,$A895))</x:f>
        <x:v>#NAME?</x:v>
      </x:c>
      <x:c r="G895" t="e">
        <x:f>IF($A895="","",[1]!thsiFinD("ths_adjustment_nv_fund",G$3,$A895))</x:f>
        <x:v>#NAME?</x:v>
      </x:c>
      <x:c r="H895" t="e">
        <x:f>IF($A895="","",[1]!thsiFinD("ths_adjustment_nv_fund",H$3,$A895))</x:f>
        <x:v>#NAME?</x:v>
      </x:c>
      <x:c r="I895" t="e">
        <x:f>IF($A895="","",[1]!thsiFinD("ths_adjustment_nv_fund",I$3,$A895))</x:f>
        <x:v>#NAME?</x:v>
      </x:c>
      <x:c r="J895" t="e">
        <x:f>IF($A895="","",[1]!thsiFinD("ths_adjustment_nv_fund",J$3,$A895))</x:f>
        <x:v>#NAME?</x:v>
      </x:c>
      <x:c r="K895" t="e">
        <x:f>IF($A895="","",[1]!thsiFinD("ths_adjustment_nv_fund",K$3,$A895))</x:f>
        <x:v>#NAME?</x:v>
      </x:c>
      <x:c r="L895" t="e">
        <x:f>IF($A895="","",[1]!thsiFinD("ths_adjustment_nv_fund",L$3,$A895))</x:f>
        <x:v>#NAME?</x:v>
      </x:c>
      <x:c r="M895" t="e">
        <x:f>IF($A895="","",[1]!thsiFinD("ths_adjustment_nv_fund",M$3,$A895))</x:f>
        <x:v>#NAME?</x:v>
      </x:c>
      <x:c r="N895" t="e">
        <x:f>IF($A895="","",[1]!thsiFinD("ths_adjustment_nv_fund",N$3,$A895))</x:f>
        <x:v>#NAME?</x:v>
      </x:c>
      <x:c r="O895" t="e">
        <x:f>IF($A895="","",[1]!thsiFinD("ths_adjustment_nv_fund",O$3,$A895))</x:f>
        <x:v>#NAME?</x:v>
      </x:c>
      <x:c r="P895" t="e">
        <x:f>IF($A895="","",[1]!thsiFinD("ths_adjustment_nv_fund",P$3,$A895))</x:f>
        <x:v>#NAME?</x:v>
      </x:c>
      <x:c r="Q895" t="e">
        <x:f>IF($A895="","",[1]!thsiFinD("ths_adjustment_nv_fund",Q$3,$A895))</x:f>
        <x:v>#NAME?</x:v>
      </x:c>
      <x:c r="R895" t="e">
        <x:f>IF($A895="","",[1]!thsiFinD("ths_adjustment_nv_fund",R$3,$A895))</x:f>
        <x:v>#NAME?</x:v>
      </x:c>
      <x:c r="S895" t="e">
        <x:f>IF($A895="","",[1]!thsiFinD("ths_adjustment_nv_fund",S$3,$A895))</x:f>
        <x:v>#NAME?</x:v>
      </x:c>
      <x:c r="T895" t="e">
        <x:f>IF($A895="","",[1]!thsiFinD("ths_adjustment_nv_fund",T$3,$A895))</x:f>
        <x:v>#NAME?</x:v>
      </x:c>
      <x:c r="U895" t="e">
        <x:f>IF($A895="","",[1]!thsiFinD("ths_adjustment_nv_fund",U$3,$A895))</x:f>
        <x:v>#NAME?</x:v>
      </x:c>
      <x:c r="V895" t="e">
        <x:f>IF($A895="","",[1]!thsiFinD("ths_adjustment_nv_fund",V$3,$A895))</x:f>
        <x:v>#NAME?</x:v>
      </x:c>
      <x:c r="W895" t="e">
        <x:f>IF($A895="","",[1]!thsiFinD("ths_adjustment_nv_fund",W$3,$A895))</x:f>
        <x:v>#NAME?</x:v>
      </x:c>
      <x:c r="X895" t="e">
        <x:f>IF($A895="","",[1]!thsiFinD("ths_adjustment_nv_fund",X$3,$A895))</x:f>
        <x:v>#NAME?</x:v>
      </x:c>
      <x:c r="Y895" t="e">
        <x:f>IF($A895="","",[1]!thsiFinD("ths_adjustment_nv_fund",Y$3,$A895))</x:f>
        <x:v>#NAME?</x:v>
      </x:c>
    </x:row>
    <x:row r="896">
      <x:c r="B896" t="e">
        <x:f>IF($A896="","",[1]!thsiFinD("ths_adjustment_nv_fund",B$3,$A896))</x:f>
        <x:v>#NAME?</x:v>
      </x:c>
      <x:c r="C896" t="e">
        <x:f>IF($A896="","",[1]!thsiFinD("ths_adjustment_nv_fund",C$3,$A896))</x:f>
        <x:v>#NAME?</x:v>
      </x:c>
      <x:c r="D896" t="e">
        <x:f>IF($A896="","",[1]!thsiFinD("ths_adjustment_nv_fund",D$3,$A896))</x:f>
        <x:v>#NAME?</x:v>
      </x:c>
      <x:c r="E896" t="e">
        <x:f>IF($A896="","",[1]!thsiFinD("ths_adjustment_nv_fund",E$3,$A896))</x:f>
        <x:v>#NAME?</x:v>
      </x:c>
      <x:c r="F896" t="e">
        <x:f>IF($A896="","",[1]!thsiFinD("ths_adjustment_nv_fund",F$3,$A896))</x:f>
        <x:v>#NAME?</x:v>
      </x:c>
      <x:c r="G896" t="e">
        <x:f>IF($A896="","",[1]!thsiFinD("ths_adjustment_nv_fund",G$3,$A896))</x:f>
        <x:v>#NAME?</x:v>
      </x:c>
      <x:c r="H896" t="e">
        <x:f>IF($A896="","",[1]!thsiFinD("ths_adjustment_nv_fund",H$3,$A896))</x:f>
        <x:v>#NAME?</x:v>
      </x:c>
      <x:c r="I896" t="e">
        <x:f>IF($A896="","",[1]!thsiFinD("ths_adjustment_nv_fund",I$3,$A896))</x:f>
        <x:v>#NAME?</x:v>
      </x:c>
      <x:c r="J896" t="e">
        <x:f>IF($A896="","",[1]!thsiFinD("ths_adjustment_nv_fund",J$3,$A896))</x:f>
        <x:v>#NAME?</x:v>
      </x:c>
      <x:c r="K896" t="e">
        <x:f>IF($A896="","",[1]!thsiFinD("ths_adjustment_nv_fund",K$3,$A896))</x:f>
        <x:v>#NAME?</x:v>
      </x:c>
      <x:c r="L896" t="e">
        <x:f>IF($A896="","",[1]!thsiFinD("ths_adjustment_nv_fund",L$3,$A896))</x:f>
        <x:v>#NAME?</x:v>
      </x:c>
      <x:c r="M896" t="e">
        <x:f>IF($A896="","",[1]!thsiFinD("ths_adjustment_nv_fund",M$3,$A896))</x:f>
        <x:v>#NAME?</x:v>
      </x:c>
      <x:c r="N896" t="e">
        <x:f>IF($A896="","",[1]!thsiFinD("ths_adjustment_nv_fund",N$3,$A896))</x:f>
        <x:v>#NAME?</x:v>
      </x:c>
      <x:c r="O896" t="e">
        <x:f>IF($A896="","",[1]!thsiFinD("ths_adjustment_nv_fund",O$3,$A896))</x:f>
        <x:v>#NAME?</x:v>
      </x:c>
      <x:c r="P896" t="e">
        <x:f>IF($A896="","",[1]!thsiFinD("ths_adjustment_nv_fund",P$3,$A896))</x:f>
        <x:v>#NAME?</x:v>
      </x:c>
      <x:c r="Q896" t="e">
        <x:f>IF($A896="","",[1]!thsiFinD("ths_adjustment_nv_fund",Q$3,$A896))</x:f>
        <x:v>#NAME?</x:v>
      </x:c>
      <x:c r="R896" t="e">
        <x:f>IF($A896="","",[1]!thsiFinD("ths_adjustment_nv_fund",R$3,$A896))</x:f>
        <x:v>#NAME?</x:v>
      </x:c>
      <x:c r="S896" t="e">
        <x:f>IF($A896="","",[1]!thsiFinD("ths_adjustment_nv_fund",S$3,$A896))</x:f>
        <x:v>#NAME?</x:v>
      </x:c>
      <x:c r="T896" t="e">
        <x:f>IF($A896="","",[1]!thsiFinD("ths_adjustment_nv_fund",T$3,$A896))</x:f>
        <x:v>#NAME?</x:v>
      </x:c>
      <x:c r="U896" t="e">
        <x:f>IF($A896="","",[1]!thsiFinD("ths_adjustment_nv_fund",U$3,$A896))</x:f>
        <x:v>#NAME?</x:v>
      </x:c>
      <x:c r="V896" t="e">
        <x:f>IF($A896="","",[1]!thsiFinD("ths_adjustment_nv_fund",V$3,$A896))</x:f>
        <x:v>#NAME?</x:v>
      </x:c>
      <x:c r="W896" t="e">
        <x:f>IF($A896="","",[1]!thsiFinD("ths_adjustment_nv_fund",W$3,$A896))</x:f>
        <x:v>#NAME?</x:v>
      </x:c>
      <x:c r="X896" t="e">
        <x:f>IF($A896="","",[1]!thsiFinD("ths_adjustment_nv_fund",X$3,$A896))</x:f>
        <x:v>#NAME?</x:v>
      </x:c>
      <x:c r="Y896" t="e">
        <x:f>IF($A896="","",[1]!thsiFinD("ths_adjustment_nv_fund",Y$3,$A896))</x:f>
        <x:v>#NAME?</x:v>
      </x:c>
    </x:row>
    <x:row r="897">
      <x:c r="B897" t="e">
        <x:f>IF($A897="","",[1]!thsiFinD("ths_adjustment_nv_fund",B$3,$A897))</x:f>
        <x:v>#NAME?</x:v>
      </x:c>
      <x:c r="C897" t="e">
        <x:f>IF($A897="","",[1]!thsiFinD("ths_adjustment_nv_fund",C$3,$A897))</x:f>
        <x:v>#NAME?</x:v>
      </x:c>
      <x:c r="D897" t="e">
        <x:f>IF($A897="","",[1]!thsiFinD("ths_adjustment_nv_fund",D$3,$A897))</x:f>
        <x:v>#NAME?</x:v>
      </x:c>
      <x:c r="E897" t="e">
        <x:f>IF($A897="","",[1]!thsiFinD("ths_adjustment_nv_fund",E$3,$A897))</x:f>
        <x:v>#NAME?</x:v>
      </x:c>
      <x:c r="F897" t="e">
        <x:f>IF($A897="","",[1]!thsiFinD("ths_adjustment_nv_fund",F$3,$A897))</x:f>
        <x:v>#NAME?</x:v>
      </x:c>
      <x:c r="G897" t="e">
        <x:f>IF($A897="","",[1]!thsiFinD("ths_adjustment_nv_fund",G$3,$A897))</x:f>
        <x:v>#NAME?</x:v>
      </x:c>
      <x:c r="H897" t="e">
        <x:f>IF($A897="","",[1]!thsiFinD("ths_adjustment_nv_fund",H$3,$A897))</x:f>
        <x:v>#NAME?</x:v>
      </x:c>
      <x:c r="I897" t="e">
        <x:f>IF($A897="","",[1]!thsiFinD("ths_adjustment_nv_fund",I$3,$A897))</x:f>
        <x:v>#NAME?</x:v>
      </x:c>
      <x:c r="J897" t="e">
        <x:f>IF($A897="","",[1]!thsiFinD("ths_adjustment_nv_fund",J$3,$A897))</x:f>
        <x:v>#NAME?</x:v>
      </x:c>
      <x:c r="K897" t="e">
        <x:f>IF($A897="","",[1]!thsiFinD("ths_adjustment_nv_fund",K$3,$A897))</x:f>
        <x:v>#NAME?</x:v>
      </x:c>
      <x:c r="L897" t="e">
        <x:f>IF($A897="","",[1]!thsiFinD("ths_adjustment_nv_fund",L$3,$A897))</x:f>
        <x:v>#NAME?</x:v>
      </x:c>
      <x:c r="M897" t="e">
        <x:f>IF($A897="","",[1]!thsiFinD("ths_adjustment_nv_fund",M$3,$A897))</x:f>
        <x:v>#NAME?</x:v>
      </x:c>
      <x:c r="N897" t="e">
        <x:f>IF($A897="","",[1]!thsiFinD("ths_adjustment_nv_fund",N$3,$A897))</x:f>
        <x:v>#NAME?</x:v>
      </x:c>
      <x:c r="O897" t="e">
        <x:f>IF($A897="","",[1]!thsiFinD("ths_adjustment_nv_fund",O$3,$A897))</x:f>
        <x:v>#NAME?</x:v>
      </x:c>
      <x:c r="P897" t="e">
        <x:f>IF($A897="","",[1]!thsiFinD("ths_adjustment_nv_fund",P$3,$A897))</x:f>
        <x:v>#NAME?</x:v>
      </x:c>
      <x:c r="Q897" t="e">
        <x:f>IF($A897="","",[1]!thsiFinD("ths_adjustment_nv_fund",Q$3,$A897))</x:f>
        <x:v>#NAME?</x:v>
      </x:c>
      <x:c r="R897" t="e">
        <x:f>IF($A897="","",[1]!thsiFinD("ths_adjustment_nv_fund",R$3,$A897))</x:f>
        <x:v>#NAME?</x:v>
      </x:c>
      <x:c r="S897" t="e">
        <x:f>IF($A897="","",[1]!thsiFinD("ths_adjustment_nv_fund",S$3,$A897))</x:f>
        <x:v>#NAME?</x:v>
      </x:c>
      <x:c r="T897" t="e">
        <x:f>IF($A897="","",[1]!thsiFinD("ths_adjustment_nv_fund",T$3,$A897))</x:f>
        <x:v>#NAME?</x:v>
      </x:c>
      <x:c r="U897" t="e">
        <x:f>IF($A897="","",[1]!thsiFinD("ths_adjustment_nv_fund",U$3,$A897))</x:f>
        <x:v>#NAME?</x:v>
      </x:c>
      <x:c r="V897" t="e">
        <x:f>IF($A897="","",[1]!thsiFinD("ths_adjustment_nv_fund",V$3,$A897))</x:f>
        <x:v>#NAME?</x:v>
      </x:c>
      <x:c r="W897" t="e">
        <x:f>IF($A897="","",[1]!thsiFinD("ths_adjustment_nv_fund",W$3,$A897))</x:f>
        <x:v>#NAME?</x:v>
      </x:c>
      <x:c r="X897" t="e">
        <x:f>IF($A897="","",[1]!thsiFinD("ths_adjustment_nv_fund",X$3,$A897))</x:f>
        <x:v>#NAME?</x:v>
      </x:c>
      <x:c r="Y897" t="e">
        <x:f>IF($A897="","",[1]!thsiFinD("ths_adjustment_nv_fund",Y$3,$A897))</x:f>
        <x:v>#NAME?</x:v>
      </x:c>
    </x:row>
    <x:row r="898">
      <x:c r="B898" t="e">
        <x:f>IF($A898="","",[1]!thsiFinD("ths_adjustment_nv_fund",B$3,$A898))</x:f>
        <x:v>#NAME?</x:v>
      </x:c>
      <x:c r="C898" t="e">
        <x:f>IF($A898="","",[1]!thsiFinD("ths_adjustment_nv_fund",C$3,$A898))</x:f>
        <x:v>#NAME?</x:v>
      </x:c>
      <x:c r="D898" t="e">
        <x:f>IF($A898="","",[1]!thsiFinD("ths_adjustment_nv_fund",D$3,$A898))</x:f>
        <x:v>#NAME?</x:v>
      </x:c>
      <x:c r="E898" t="e">
        <x:f>IF($A898="","",[1]!thsiFinD("ths_adjustment_nv_fund",E$3,$A898))</x:f>
        <x:v>#NAME?</x:v>
      </x:c>
      <x:c r="F898" t="e">
        <x:f>IF($A898="","",[1]!thsiFinD("ths_adjustment_nv_fund",F$3,$A898))</x:f>
        <x:v>#NAME?</x:v>
      </x:c>
      <x:c r="G898" t="e">
        <x:f>IF($A898="","",[1]!thsiFinD("ths_adjustment_nv_fund",G$3,$A898))</x:f>
        <x:v>#NAME?</x:v>
      </x:c>
      <x:c r="H898" t="e">
        <x:f>IF($A898="","",[1]!thsiFinD("ths_adjustment_nv_fund",H$3,$A898))</x:f>
        <x:v>#NAME?</x:v>
      </x:c>
      <x:c r="I898" t="e">
        <x:f>IF($A898="","",[1]!thsiFinD("ths_adjustment_nv_fund",I$3,$A898))</x:f>
        <x:v>#NAME?</x:v>
      </x:c>
      <x:c r="J898" t="e">
        <x:f>IF($A898="","",[1]!thsiFinD("ths_adjustment_nv_fund",J$3,$A898))</x:f>
        <x:v>#NAME?</x:v>
      </x:c>
      <x:c r="K898" t="e">
        <x:f>IF($A898="","",[1]!thsiFinD("ths_adjustment_nv_fund",K$3,$A898))</x:f>
        <x:v>#NAME?</x:v>
      </x:c>
      <x:c r="L898" t="e">
        <x:f>IF($A898="","",[1]!thsiFinD("ths_adjustment_nv_fund",L$3,$A898))</x:f>
        <x:v>#NAME?</x:v>
      </x:c>
      <x:c r="M898" t="e">
        <x:f>IF($A898="","",[1]!thsiFinD("ths_adjustment_nv_fund",M$3,$A898))</x:f>
        <x:v>#NAME?</x:v>
      </x:c>
      <x:c r="N898" t="e">
        <x:f>IF($A898="","",[1]!thsiFinD("ths_adjustment_nv_fund",N$3,$A898))</x:f>
        <x:v>#NAME?</x:v>
      </x:c>
      <x:c r="O898" t="e">
        <x:f>IF($A898="","",[1]!thsiFinD("ths_adjustment_nv_fund",O$3,$A898))</x:f>
        <x:v>#NAME?</x:v>
      </x:c>
      <x:c r="P898" t="e">
        <x:f>IF($A898="","",[1]!thsiFinD("ths_adjustment_nv_fund",P$3,$A898))</x:f>
        <x:v>#NAME?</x:v>
      </x:c>
      <x:c r="Q898" t="e">
        <x:f>IF($A898="","",[1]!thsiFinD("ths_adjustment_nv_fund",Q$3,$A898))</x:f>
        <x:v>#NAME?</x:v>
      </x:c>
      <x:c r="R898" t="e">
        <x:f>IF($A898="","",[1]!thsiFinD("ths_adjustment_nv_fund",R$3,$A898))</x:f>
        <x:v>#NAME?</x:v>
      </x:c>
      <x:c r="S898" t="e">
        <x:f>IF($A898="","",[1]!thsiFinD("ths_adjustment_nv_fund",S$3,$A898))</x:f>
        <x:v>#NAME?</x:v>
      </x:c>
      <x:c r="T898" t="e">
        <x:f>IF($A898="","",[1]!thsiFinD("ths_adjustment_nv_fund",T$3,$A898))</x:f>
        <x:v>#NAME?</x:v>
      </x:c>
      <x:c r="U898" t="e">
        <x:f>IF($A898="","",[1]!thsiFinD("ths_adjustment_nv_fund",U$3,$A898))</x:f>
        <x:v>#NAME?</x:v>
      </x:c>
      <x:c r="V898" t="e">
        <x:f>IF($A898="","",[1]!thsiFinD("ths_adjustment_nv_fund",V$3,$A898))</x:f>
        <x:v>#NAME?</x:v>
      </x:c>
      <x:c r="W898" t="e">
        <x:f>IF($A898="","",[1]!thsiFinD("ths_adjustment_nv_fund",W$3,$A898))</x:f>
        <x:v>#NAME?</x:v>
      </x:c>
      <x:c r="X898" t="e">
        <x:f>IF($A898="","",[1]!thsiFinD("ths_adjustment_nv_fund",X$3,$A898))</x:f>
        <x:v>#NAME?</x:v>
      </x:c>
      <x:c r="Y898" t="e">
        <x:f>IF($A898="","",[1]!thsiFinD("ths_adjustment_nv_fund",Y$3,$A898))</x:f>
        <x:v>#NAME?</x:v>
      </x:c>
    </x:row>
    <x:row r="899">
      <x:c r="B899" t="e">
        <x:f>IF($A899="","",[1]!thsiFinD("ths_adjustment_nv_fund",B$3,$A899))</x:f>
        <x:v>#NAME?</x:v>
      </x:c>
      <x:c r="C899" t="e">
        <x:f>IF($A899="","",[1]!thsiFinD("ths_adjustment_nv_fund",C$3,$A899))</x:f>
        <x:v>#NAME?</x:v>
      </x:c>
      <x:c r="D899" t="e">
        <x:f>IF($A899="","",[1]!thsiFinD("ths_adjustment_nv_fund",D$3,$A899))</x:f>
        <x:v>#NAME?</x:v>
      </x:c>
      <x:c r="E899" t="e">
        <x:f>IF($A899="","",[1]!thsiFinD("ths_adjustment_nv_fund",E$3,$A899))</x:f>
        <x:v>#NAME?</x:v>
      </x:c>
      <x:c r="F899" t="e">
        <x:f>IF($A899="","",[1]!thsiFinD("ths_adjustment_nv_fund",F$3,$A899))</x:f>
        <x:v>#NAME?</x:v>
      </x:c>
      <x:c r="G899" t="e">
        <x:f>IF($A899="","",[1]!thsiFinD("ths_adjustment_nv_fund",G$3,$A899))</x:f>
        <x:v>#NAME?</x:v>
      </x:c>
      <x:c r="H899" t="e">
        <x:f>IF($A899="","",[1]!thsiFinD("ths_adjustment_nv_fund",H$3,$A899))</x:f>
        <x:v>#NAME?</x:v>
      </x:c>
      <x:c r="I899" t="e">
        <x:f>IF($A899="","",[1]!thsiFinD("ths_adjustment_nv_fund",I$3,$A899))</x:f>
        <x:v>#NAME?</x:v>
      </x:c>
      <x:c r="J899" t="e">
        <x:f>IF($A899="","",[1]!thsiFinD("ths_adjustment_nv_fund",J$3,$A899))</x:f>
        <x:v>#NAME?</x:v>
      </x:c>
      <x:c r="K899" t="e">
        <x:f>IF($A899="","",[1]!thsiFinD("ths_adjustment_nv_fund",K$3,$A899))</x:f>
        <x:v>#NAME?</x:v>
      </x:c>
      <x:c r="L899" t="e">
        <x:f>IF($A899="","",[1]!thsiFinD("ths_adjustment_nv_fund",L$3,$A899))</x:f>
        <x:v>#NAME?</x:v>
      </x:c>
      <x:c r="M899" t="e">
        <x:f>IF($A899="","",[1]!thsiFinD("ths_adjustment_nv_fund",M$3,$A899))</x:f>
        <x:v>#NAME?</x:v>
      </x:c>
      <x:c r="N899" t="e">
        <x:f>IF($A899="","",[1]!thsiFinD("ths_adjustment_nv_fund",N$3,$A899))</x:f>
        <x:v>#NAME?</x:v>
      </x:c>
      <x:c r="O899" t="e">
        <x:f>IF($A899="","",[1]!thsiFinD("ths_adjustment_nv_fund",O$3,$A899))</x:f>
        <x:v>#NAME?</x:v>
      </x:c>
      <x:c r="P899" t="e">
        <x:f>IF($A899="","",[1]!thsiFinD("ths_adjustment_nv_fund",P$3,$A899))</x:f>
        <x:v>#NAME?</x:v>
      </x:c>
      <x:c r="Q899" t="e">
        <x:f>IF($A899="","",[1]!thsiFinD("ths_adjustment_nv_fund",Q$3,$A899))</x:f>
        <x:v>#NAME?</x:v>
      </x:c>
      <x:c r="R899" t="e">
        <x:f>IF($A899="","",[1]!thsiFinD("ths_adjustment_nv_fund",R$3,$A899))</x:f>
        <x:v>#NAME?</x:v>
      </x:c>
      <x:c r="S899" t="e">
        <x:f>IF($A899="","",[1]!thsiFinD("ths_adjustment_nv_fund",S$3,$A899))</x:f>
        <x:v>#NAME?</x:v>
      </x:c>
      <x:c r="T899" t="e">
        <x:f>IF($A899="","",[1]!thsiFinD("ths_adjustment_nv_fund",T$3,$A899))</x:f>
        <x:v>#NAME?</x:v>
      </x:c>
      <x:c r="U899" t="e">
        <x:f>IF($A899="","",[1]!thsiFinD("ths_adjustment_nv_fund",U$3,$A899))</x:f>
        <x:v>#NAME?</x:v>
      </x:c>
      <x:c r="V899" t="e">
        <x:f>IF($A899="","",[1]!thsiFinD("ths_adjustment_nv_fund",V$3,$A899))</x:f>
        <x:v>#NAME?</x:v>
      </x:c>
      <x:c r="W899" t="e">
        <x:f>IF($A899="","",[1]!thsiFinD("ths_adjustment_nv_fund",W$3,$A899))</x:f>
        <x:v>#NAME?</x:v>
      </x:c>
      <x:c r="X899" t="e">
        <x:f>IF($A899="","",[1]!thsiFinD("ths_adjustment_nv_fund",X$3,$A899))</x:f>
        <x:v>#NAME?</x:v>
      </x:c>
      <x:c r="Y899" t="e">
        <x:f>IF($A899="","",[1]!thsiFinD("ths_adjustment_nv_fund",Y$3,$A899))</x:f>
        <x:v>#NAME?</x:v>
      </x:c>
    </x:row>
    <x:row r="900">
      <x:c r="B900" t="e">
        <x:f>IF($A900="","",[1]!thsiFinD("ths_adjustment_nv_fund",B$3,$A900))</x:f>
        <x:v>#NAME?</x:v>
      </x:c>
      <x:c r="C900" t="e">
        <x:f>IF($A900="","",[1]!thsiFinD("ths_adjustment_nv_fund",C$3,$A900))</x:f>
        <x:v>#NAME?</x:v>
      </x:c>
      <x:c r="D900" t="e">
        <x:f>IF($A900="","",[1]!thsiFinD("ths_adjustment_nv_fund",D$3,$A900))</x:f>
        <x:v>#NAME?</x:v>
      </x:c>
      <x:c r="E900" t="e">
        <x:f>IF($A900="","",[1]!thsiFinD("ths_adjustment_nv_fund",E$3,$A900))</x:f>
        <x:v>#NAME?</x:v>
      </x:c>
      <x:c r="F900" t="e">
        <x:f>IF($A900="","",[1]!thsiFinD("ths_adjustment_nv_fund",F$3,$A900))</x:f>
        <x:v>#NAME?</x:v>
      </x:c>
      <x:c r="G900" t="e">
        <x:f>IF($A900="","",[1]!thsiFinD("ths_adjustment_nv_fund",G$3,$A900))</x:f>
        <x:v>#NAME?</x:v>
      </x:c>
      <x:c r="H900" t="e">
        <x:f>IF($A900="","",[1]!thsiFinD("ths_adjustment_nv_fund",H$3,$A900))</x:f>
        <x:v>#NAME?</x:v>
      </x:c>
      <x:c r="I900" t="e">
        <x:f>IF($A900="","",[1]!thsiFinD("ths_adjustment_nv_fund",I$3,$A900))</x:f>
        <x:v>#NAME?</x:v>
      </x:c>
      <x:c r="J900" t="e">
        <x:f>IF($A900="","",[1]!thsiFinD("ths_adjustment_nv_fund",J$3,$A900))</x:f>
        <x:v>#NAME?</x:v>
      </x:c>
      <x:c r="K900" t="e">
        <x:f>IF($A900="","",[1]!thsiFinD("ths_adjustment_nv_fund",K$3,$A900))</x:f>
        <x:v>#NAME?</x:v>
      </x:c>
      <x:c r="L900" t="e">
        <x:f>IF($A900="","",[1]!thsiFinD("ths_adjustment_nv_fund",L$3,$A900))</x:f>
        <x:v>#NAME?</x:v>
      </x:c>
      <x:c r="M900" t="e">
        <x:f>IF($A900="","",[1]!thsiFinD("ths_adjustment_nv_fund",M$3,$A900))</x:f>
        <x:v>#NAME?</x:v>
      </x:c>
      <x:c r="N900" t="e">
        <x:f>IF($A900="","",[1]!thsiFinD("ths_adjustment_nv_fund",N$3,$A900))</x:f>
        <x:v>#NAME?</x:v>
      </x:c>
      <x:c r="O900" t="e">
        <x:f>IF($A900="","",[1]!thsiFinD("ths_adjustment_nv_fund",O$3,$A900))</x:f>
        <x:v>#NAME?</x:v>
      </x:c>
      <x:c r="P900" t="e">
        <x:f>IF($A900="","",[1]!thsiFinD("ths_adjustment_nv_fund",P$3,$A900))</x:f>
        <x:v>#NAME?</x:v>
      </x:c>
      <x:c r="Q900" t="e">
        <x:f>IF($A900="","",[1]!thsiFinD("ths_adjustment_nv_fund",Q$3,$A900))</x:f>
        <x:v>#NAME?</x:v>
      </x:c>
      <x:c r="R900" t="e">
        <x:f>IF($A900="","",[1]!thsiFinD("ths_adjustment_nv_fund",R$3,$A900))</x:f>
        <x:v>#NAME?</x:v>
      </x:c>
      <x:c r="S900" t="e">
        <x:f>IF($A900="","",[1]!thsiFinD("ths_adjustment_nv_fund",S$3,$A900))</x:f>
        <x:v>#NAME?</x:v>
      </x:c>
      <x:c r="T900" t="e">
        <x:f>IF($A900="","",[1]!thsiFinD("ths_adjustment_nv_fund",T$3,$A900))</x:f>
        <x:v>#NAME?</x:v>
      </x:c>
      <x:c r="U900" t="e">
        <x:f>IF($A900="","",[1]!thsiFinD("ths_adjustment_nv_fund",U$3,$A900))</x:f>
        <x:v>#NAME?</x:v>
      </x:c>
      <x:c r="V900" t="e">
        <x:f>IF($A900="","",[1]!thsiFinD("ths_adjustment_nv_fund",V$3,$A900))</x:f>
        <x:v>#NAME?</x:v>
      </x:c>
      <x:c r="W900" t="e">
        <x:f>IF($A900="","",[1]!thsiFinD("ths_adjustment_nv_fund",W$3,$A900))</x:f>
        <x:v>#NAME?</x:v>
      </x:c>
      <x:c r="X900" t="e">
        <x:f>IF($A900="","",[1]!thsiFinD("ths_adjustment_nv_fund",X$3,$A900))</x:f>
        <x:v>#NAME?</x:v>
      </x:c>
      <x:c r="Y900" t="e">
        <x:f>IF($A900="","",[1]!thsiFinD("ths_adjustment_nv_fund",Y$3,$A900))</x:f>
        <x:v>#NAME?</x:v>
      </x:c>
    </x:row>
    <x:row r="901">
      <x:c r="B901" t="e">
        <x:f>IF($A901="","",[1]!thsiFinD("ths_adjustment_nv_fund",B$3,$A901))</x:f>
        <x:v>#NAME?</x:v>
      </x:c>
      <x:c r="C901" t="e">
        <x:f>IF($A901="","",[1]!thsiFinD("ths_adjustment_nv_fund",C$3,$A901))</x:f>
        <x:v>#NAME?</x:v>
      </x:c>
      <x:c r="D901" t="e">
        <x:f>IF($A901="","",[1]!thsiFinD("ths_adjustment_nv_fund",D$3,$A901))</x:f>
        <x:v>#NAME?</x:v>
      </x:c>
      <x:c r="E901" t="e">
        <x:f>IF($A901="","",[1]!thsiFinD("ths_adjustment_nv_fund",E$3,$A901))</x:f>
        <x:v>#NAME?</x:v>
      </x:c>
      <x:c r="F901" t="e">
        <x:f>IF($A901="","",[1]!thsiFinD("ths_adjustment_nv_fund",F$3,$A901))</x:f>
        <x:v>#NAME?</x:v>
      </x:c>
      <x:c r="G901" t="e">
        <x:f>IF($A901="","",[1]!thsiFinD("ths_adjustment_nv_fund",G$3,$A901))</x:f>
        <x:v>#NAME?</x:v>
      </x:c>
      <x:c r="H901" t="e">
        <x:f>IF($A901="","",[1]!thsiFinD("ths_adjustment_nv_fund",H$3,$A901))</x:f>
        <x:v>#NAME?</x:v>
      </x:c>
      <x:c r="I901" t="e">
        <x:f>IF($A901="","",[1]!thsiFinD("ths_adjustment_nv_fund",I$3,$A901))</x:f>
        <x:v>#NAME?</x:v>
      </x:c>
      <x:c r="J901" t="e">
        <x:f>IF($A901="","",[1]!thsiFinD("ths_adjustment_nv_fund",J$3,$A901))</x:f>
        <x:v>#NAME?</x:v>
      </x:c>
      <x:c r="K901" t="e">
        <x:f>IF($A901="","",[1]!thsiFinD("ths_adjustment_nv_fund",K$3,$A901))</x:f>
        <x:v>#NAME?</x:v>
      </x:c>
      <x:c r="L901" t="e">
        <x:f>IF($A901="","",[1]!thsiFinD("ths_adjustment_nv_fund",L$3,$A901))</x:f>
        <x:v>#NAME?</x:v>
      </x:c>
      <x:c r="M901" t="e">
        <x:f>IF($A901="","",[1]!thsiFinD("ths_adjustment_nv_fund",M$3,$A901))</x:f>
        <x:v>#NAME?</x:v>
      </x:c>
      <x:c r="N901" t="e">
        <x:f>IF($A901="","",[1]!thsiFinD("ths_adjustment_nv_fund",N$3,$A901))</x:f>
        <x:v>#NAME?</x:v>
      </x:c>
      <x:c r="O901" t="e">
        <x:f>IF($A901="","",[1]!thsiFinD("ths_adjustment_nv_fund",O$3,$A901))</x:f>
        <x:v>#NAME?</x:v>
      </x:c>
      <x:c r="P901" t="e">
        <x:f>IF($A901="","",[1]!thsiFinD("ths_adjustment_nv_fund",P$3,$A901))</x:f>
        <x:v>#NAME?</x:v>
      </x:c>
      <x:c r="Q901" t="e">
        <x:f>IF($A901="","",[1]!thsiFinD("ths_adjustment_nv_fund",Q$3,$A901))</x:f>
        <x:v>#NAME?</x:v>
      </x:c>
      <x:c r="R901" t="e">
        <x:f>IF($A901="","",[1]!thsiFinD("ths_adjustment_nv_fund",R$3,$A901))</x:f>
        <x:v>#NAME?</x:v>
      </x:c>
      <x:c r="S901" t="e">
        <x:f>IF($A901="","",[1]!thsiFinD("ths_adjustment_nv_fund",S$3,$A901))</x:f>
        <x:v>#NAME?</x:v>
      </x:c>
      <x:c r="T901" t="e">
        <x:f>IF($A901="","",[1]!thsiFinD("ths_adjustment_nv_fund",T$3,$A901))</x:f>
        <x:v>#NAME?</x:v>
      </x:c>
      <x:c r="U901" t="e">
        <x:f>IF($A901="","",[1]!thsiFinD("ths_adjustment_nv_fund",U$3,$A901))</x:f>
        <x:v>#NAME?</x:v>
      </x:c>
      <x:c r="V901" t="e">
        <x:f>IF($A901="","",[1]!thsiFinD("ths_adjustment_nv_fund",V$3,$A901))</x:f>
        <x:v>#NAME?</x:v>
      </x:c>
      <x:c r="W901" t="e">
        <x:f>IF($A901="","",[1]!thsiFinD("ths_adjustment_nv_fund",W$3,$A901))</x:f>
        <x:v>#NAME?</x:v>
      </x:c>
      <x:c r="X901" t="e">
        <x:f>IF($A901="","",[1]!thsiFinD("ths_adjustment_nv_fund",X$3,$A901))</x:f>
        <x:v>#NAME?</x:v>
      </x:c>
      <x:c r="Y901" t="e">
        <x:f>IF($A901="","",[1]!thsiFinD("ths_adjustment_nv_fund",Y$3,$A901))</x:f>
        <x:v>#NAME?</x:v>
      </x:c>
    </x:row>
    <x:row r="902">
      <x:c r="B902" t="e">
        <x:f>IF($A902="","",[1]!thsiFinD("ths_adjustment_nv_fund",B$3,$A902))</x:f>
        <x:v>#NAME?</x:v>
      </x:c>
      <x:c r="C902" t="e">
        <x:f>IF($A902="","",[1]!thsiFinD("ths_adjustment_nv_fund",C$3,$A902))</x:f>
        <x:v>#NAME?</x:v>
      </x:c>
      <x:c r="D902" t="e">
        <x:f>IF($A902="","",[1]!thsiFinD("ths_adjustment_nv_fund",D$3,$A902))</x:f>
        <x:v>#NAME?</x:v>
      </x:c>
      <x:c r="E902" t="e">
        <x:f>IF($A902="","",[1]!thsiFinD("ths_adjustment_nv_fund",E$3,$A902))</x:f>
        <x:v>#NAME?</x:v>
      </x:c>
      <x:c r="F902" t="e">
        <x:f>IF($A902="","",[1]!thsiFinD("ths_adjustment_nv_fund",F$3,$A902))</x:f>
        <x:v>#NAME?</x:v>
      </x:c>
      <x:c r="G902" t="e">
        <x:f>IF($A902="","",[1]!thsiFinD("ths_adjustment_nv_fund",G$3,$A902))</x:f>
        <x:v>#NAME?</x:v>
      </x:c>
      <x:c r="H902" t="e">
        <x:f>IF($A902="","",[1]!thsiFinD("ths_adjustment_nv_fund",H$3,$A902))</x:f>
        <x:v>#NAME?</x:v>
      </x:c>
      <x:c r="I902" t="e">
        <x:f>IF($A902="","",[1]!thsiFinD("ths_adjustment_nv_fund",I$3,$A902))</x:f>
        <x:v>#NAME?</x:v>
      </x:c>
      <x:c r="J902" t="e">
        <x:f>IF($A902="","",[1]!thsiFinD("ths_adjustment_nv_fund",J$3,$A902))</x:f>
        <x:v>#NAME?</x:v>
      </x:c>
      <x:c r="K902" t="e">
        <x:f>IF($A902="","",[1]!thsiFinD("ths_adjustment_nv_fund",K$3,$A902))</x:f>
        <x:v>#NAME?</x:v>
      </x:c>
      <x:c r="L902" t="e">
        <x:f>IF($A902="","",[1]!thsiFinD("ths_adjustment_nv_fund",L$3,$A902))</x:f>
        <x:v>#NAME?</x:v>
      </x:c>
      <x:c r="M902" t="e">
        <x:f>IF($A902="","",[1]!thsiFinD("ths_adjustment_nv_fund",M$3,$A902))</x:f>
        <x:v>#NAME?</x:v>
      </x:c>
      <x:c r="N902" t="e">
        <x:f>IF($A902="","",[1]!thsiFinD("ths_adjustment_nv_fund",N$3,$A902))</x:f>
        <x:v>#NAME?</x:v>
      </x:c>
      <x:c r="O902" t="e">
        <x:f>IF($A902="","",[1]!thsiFinD("ths_adjustment_nv_fund",O$3,$A902))</x:f>
        <x:v>#NAME?</x:v>
      </x:c>
      <x:c r="P902" t="e">
        <x:f>IF($A902="","",[1]!thsiFinD("ths_adjustment_nv_fund",P$3,$A902))</x:f>
        <x:v>#NAME?</x:v>
      </x:c>
      <x:c r="Q902" t="e">
        <x:f>IF($A902="","",[1]!thsiFinD("ths_adjustment_nv_fund",Q$3,$A902))</x:f>
        <x:v>#NAME?</x:v>
      </x:c>
      <x:c r="R902" t="e">
        <x:f>IF($A902="","",[1]!thsiFinD("ths_adjustment_nv_fund",R$3,$A902))</x:f>
        <x:v>#NAME?</x:v>
      </x:c>
      <x:c r="S902" t="e">
        <x:f>IF($A902="","",[1]!thsiFinD("ths_adjustment_nv_fund",S$3,$A902))</x:f>
        <x:v>#NAME?</x:v>
      </x:c>
      <x:c r="T902" t="e">
        <x:f>IF($A902="","",[1]!thsiFinD("ths_adjustment_nv_fund",T$3,$A902))</x:f>
        <x:v>#NAME?</x:v>
      </x:c>
      <x:c r="U902" t="e">
        <x:f>IF($A902="","",[1]!thsiFinD("ths_adjustment_nv_fund",U$3,$A902))</x:f>
        <x:v>#NAME?</x:v>
      </x:c>
      <x:c r="V902" t="e">
        <x:f>IF($A902="","",[1]!thsiFinD("ths_adjustment_nv_fund",V$3,$A902))</x:f>
        <x:v>#NAME?</x:v>
      </x:c>
      <x:c r="W902" t="e">
        <x:f>IF($A902="","",[1]!thsiFinD("ths_adjustment_nv_fund",W$3,$A902))</x:f>
        <x:v>#NAME?</x:v>
      </x:c>
      <x:c r="X902" t="e">
        <x:f>IF($A902="","",[1]!thsiFinD("ths_adjustment_nv_fund",X$3,$A902))</x:f>
        <x:v>#NAME?</x:v>
      </x:c>
      <x:c r="Y902" t="e">
        <x:f>IF($A902="","",[1]!thsiFinD("ths_adjustment_nv_fund",Y$3,$A902))</x:f>
        <x:v>#NAME?</x:v>
      </x:c>
    </x:row>
    <x:row r="903">
      <x:c r="B903" t="e">
        <x:f>IF($A903="","",[1]!thsiFinD("ths_adjustment_nv_fund",B$3,$A903))</x:f>
        <x:v>#NAME?</x:v>
      </x:c>
      <x:c r="C903" t="e">
        <x:f>IF($A903="","",[1]!thsiFinD("ths_adjustment_nv_fund",C$3,$A903))</x:f>
        <x:v>#NAME?</x:v>
      </x:c>
      <x:c r="D903" t="e">
        <x:f>IF($A903="","",[1]!thsiFinD("ths_adjustment_nv_fund",D$3,$A903))</x:f>
        <x:v>#NAME?</x:v>
      </x:c>
      <x:c r="E903" t="e">
        <x:f>IF($A903="","",[1]!thsiFinD("ths_adjustment_nv_fund",E$3,$A903))</x:f>
        <x:v>#NAME?</x:v>
      </x:c>
      <x:c r="F903" t="e">
        <x:f>IF($A903="","",[1]!thsiFinD("ths_adjustment_nv_fund",F$3,$A903))</x:f>
        <x:v>#NAME?</x:v>
      </x:c>
      <x:c r="G903" t="e">
        <x:f>IF($A903="","",[1]!thsiFinD("ths_adjustment_nv_fund",G$3,$A903))</x:f>
        <x:v>#NAME?</x:v>
      </x:c>
      <x:c r="H903" t="e">
        <x:f>IF($A903="","",[1]!thsiFinD("ths_adjustment_nv_fund",H$3,$A903))</x:f>
        <x:v>#NAME?</x:v>
      </x:c>
      <x:c r="I903" t="e">
        <x:f>IF($A903="","",[1]!thsiFinD("ths_adjustment_nv_fund",I$3,$A903))</x:f>
        <x:v>#NAME?</x:v>
      </x:c>
      <x:c r="J903" t="e">
        <x:f>IF($A903="","",[1]!thsiFinD("ths_adjustment_nv_fund",J$3,$A903))</x:f>
        <x:v>#NAME?</x:v>
      </x:c>
      <x:c r="K903" t="e">
        <x:f>IF($A903="","",[1]!thsiFinD("ths_adjustment_nv_fund",K$3,$A903))</x:f>
        <x:v>#NAME?</x:v>
      </x:c>
      <x:c r="L903" t="e">
        <x:f>IF($A903="","",[1]!thsiFinD("ths_adjustment_nv_fund",L$3,$A903))</x:f>
        <x:v>#NAME?</x:v>
      </x:c>
      <x:c r="M903" t="e">
        <x:f>IF($A903="","",[1]!thsiFinD("ths_adjustment_nv_fund",M$3,$A903))</x:f>
        <x:v>#NAME?</x:v>
      </x:c>
      <x:c r="N903" t="e">
        <x:f>IF($A903="","",[1]!thsiFinD("ths_adjustment_nv_fund",N$3,$A903))</x:f>
        <x:v>#NAME?</x:v>
      </x:c>
      <x:c r="O903" t="e">
        <x:f>IF($A903="","",[1]!thsiFinD("ths_adjustment_nv_fund",O$3,$A903))</x:f>
        <x:v>#NAME?</x:v>
      </x:c>
      <x:c r="P903" t="e">
        <x:f>IF($A903="","",[1]!thsiFinD("ths_adjustment_nv_fund",P$3,$A903))</x:f>
        <x:v>#NAME?</x:v>
      </x:c>
      <x:c r="Q903" t="e">
        <x:f>IF($A903="","",[1]!thsiFinD("ths_adjustment_nv_fund",Q$3,$A903))</x:f>
        <x:v>#NAME?</x:v>
      </x:c>
      <x:c r="R903" t="e">
        <x:f>IF($A903="","",[1]!thsiFinD("ths_adjustment_nv_fund",R$3,$A903))</x:f>
        <x:v>#NAME?</x:v>
      </x:c>
      <x:c r="S903" t="e">
        <x:f>IF($A903="","",[1]!thsiFinD("ths_adjustment_nv_fund",S$3,$A903))</x:f>
        <x:v>#NAME?</x:v>
      </x:c>
      <x:c r="T903" t="e">
        <x:f>IF($A903="","",[1]!thsiFinD("ths_adjustment_nv_fund",T$3,$A903))</x:f>
        <x:v>#NAME?</x:v>
      </x:c>
      <x:c r="U903" t="e">
        <x:f>IF($A903="","",[1]!thsiFinD("ths_adjustment_nv_fund",U$3,$A903))</x:f>
        <x:v>#NAME?</x:v>
      </x:c>
      <x:c r="V903" t="e">
        <x:f>IF($A903="","",[1]!thsiFinD("ths_adjustment_nv_fund",V$3,$A903))</x:f>
        <x:v>#NAME?</x:v>
      </x:c>
      <x:c r="W903" t="e">
        <x:f>IF($A903="","",[1]!thsiFinD("ths_adjustment_nv_fund",W$3,$A903))</x:f>
        <x:v>#NAME?</x:v>
      </x:c>
      <x:c r="X903" t="e">
        <x:f>IF($A903="","",[1]!thsiFinD("ths_adjustment_nv_fund",X$3,$A903))</x:f>
        <x:v>#NAME?</x:v>
      </x:c>
      <x:c r="Y903" t="e">
        <x:f>IF($A903="","",[1]!thsiFinD("ths_adjustment_nv_fund",Y$3,$A903))</x:f>
        <x:v>#NAME?</x:v>
      </x:c>
    </x:row>
    <x:row r="904">
      <x:c r="B904" t="e">
        <x:f>IF($A904="","",[1]!thsiFinD("ths_adjustment_nv_fund",B$3,$A904))</x:f>
        <x:v>#NAME?</x:v>
      </x:c>
      <x:c r="C904" t="e">
        <x:f>IF($A904="","",[1]!thsiFinD("ths_adjustment_nv_fund",C$3,$A904))</x:f>
        <x:v>#NAME?</x:v>
      </x:c>
      <x:c r="D904" t="e">
        <x:f>IF($A904="","",[1]!thsiFinD("ths_adjustment_nv_fund",D$3,$A904))</x:f>
        <x:v>#NAME?</x:v>
      </x:c>
      <x:c r="E904" t="e">
        <x:f>IF($A904="","",[1]!thsiFinD("ths_adjustment_nv_fund",E$3,$A904))</x:f>
        <x:v>#NAME?</x:v>
      </x:c>
      <x:c r="F904" t="e">
        <x:f>IF($A904="","",[1]!thsiFinD("ths_adjustment_nv_fund",F$3,$A904))</x:f>
        <x:v>#NAME?</x:v>
      </x:c>
      <x:c r="G904" t="e">
        <x:f>IF($A904="","",[1]!thsiFinD("ths_adjustment_nv_fund",G$3,$A904))</x:f>
        <x:v>#NAME?</x:v>
      </x:c>
      <x:c r="H904" t="e">
        <x:f>IF($A904="","",[1]!thsiFinD("ths_adjustment_nv_fund",H$3,$A904))</x:f>
        <x:v>#NAME?</x:v>
      </x:c>
      <x:c r="I904" t="e">
        <x:f>IF($A904="","",[1]!thsiFinD("ths_adjustment_nv_fund",I$3,$A904))</x:f>
        <x:v>#NAME?</x:v>
      </x:c>
      <x:c r="J904" t="e">
        <x:f>IF($A904="","",[1]!thsiFinD("ths_adjustment_nv_fund",J$3,$A904))</x:f>
        <x:v>#NAME?</x:v>
      </x:c>
      <x:c r="K904" t="e">
        <x:f>IF($A904="","",[1]!thsiFinD("ths_adjustment_nv_fund",K$3,$A904))</x:f>
        <x:v>#NAME?</x:v>
      </x:c>
      <x:c r="L904" t="e">
        <x:f>IF($A904="","",[1]!thsiFinD("ths_adjustment_nv_fund",L$3,$A904))</x:f>
        <x:v>#NAME?</x:v>
      </x:c>
      <x:c r="M904" t="e">
        <x:f>IF($A904="","",[1]!thsiFinD("ths_adjustment_nv_fund",M$3,$A904))</x:f>
        <x:v>#NAME?</x:v>
      </x:c>
      <x:c r="N904" t="e">
        <x:f>IF($A904="","",[1]!thsiFinD("ths_adjustment_nv_fund",N$3,$A904))</x:f>
        <x:v>#NAME?</x:v>
      </x:c>
      <x:c r="O904" t="e">
        <x:f>IF($A904="","",[1]!thsiFinD("ths_adjustment_nv_fund",O$3,$A904))</x:f>
        <x:v>#NAME?</x:v>
      </x:c>
      <x:c r="P904" t="e">
        <x:f>IF($A904="","",[1]!thsiFinD("ths_adjustment_nv_fund",P$3,$A904))</x:f>
        <x:v>#NAME?</x:v>
      </x:c>
      <x:c r="Q904" t="e">
        <x:f>IF($A904="","",[1]!thsiFinD("ths_adjustment_nv_fund",Q$3,$A904))</x:f>
        <x:v>#NAME?</x:v>
      </x:c>
      <x:c r="R904" t="e">
        <x:f>IF($A904="","",[1]!thsiFinD("ths_adjustment_nv_fund",R$3,$A904))</x:f>
        <x:v>#NAME?</x:v>
      </x:c>
      <x:c r="S904" t="e">
        <x:f>IF($A904="","",[1]!thsiFinD("ths_adjustment_nv_fund",S$3,$A904))</x:f>
        <x:v>#NAME?</x:v>
      </x:c>
      <x:c r="T904" t="e">
        <x:f>IF($A904="","",[1]!thsiFinD("ths_adjustment_nv_fund",T$3,$A904))</x:f>
        <x:v>#NAME?</x:v>
      </x:c>
      <x:c r="U904" t="e">
        <x:f>IF($A904="","",[1]!thsiFinD("ths_adjustment_nv_fund",U$3,$A904))</x:f>
        <x:v>#NAME?</x:v>
      </x:c>
      <x:c r="V904" t="e">
        <x:f>IF($A904="","",[1]!thsiFinD("ths_adjustment_nv_fund",V$3,$A904))</x:f>
        <x:v>#NAME?</x:v>
      </x:c>
      <x:c r="W904" t="e">
        <x:f>IF($A904="","",[1]!thsiFinD("ths_adjustment_nv_fund",W$3,$A904))</x:f>
        <x:v>#NAME?</x:v>
      </x:c>
      <x:c r="X904" t="e">
        <x:f>IF($A904="","",[1]!thsiFinD("ths_adjustment_nv_fund",X$3,$A904))</x:f>
        <x:v>#NAME?</x:v>
      </x:c>
      <x:c r="Y904" t="e">
        <x:f>IF($A904="","",[1]!thsiFinD("ths_adjustment_nv_fund",Y$3,$A904))</x:f>
        <x:v>#NAME?</x:v>
      </x:c>
    </x:row>
    <x:row r="905">
      <x:c r="B905" t="e">
        <x:f>IF($A905="","",[1]!thsiFinD("ths_adjustment_nv_fund",B$3,$A905))</x:f>
        <x:v>#NAME?</x:v>
      </x:c>
      <x:c r="C905" t="e">
        <x:f>IF($A905="","",[1]!thsiFinD("ths_adjustment_nv_fund",C$3,$A905))</x:f>
        <x:v>#NAME?</x:v>
      </x:c>
      <x:c r="D905" t="e">
        <x:f>IF($A905="","",[1]!thsiFinD("ths_adjustment_nv_fund",D$3,$A905))</x:f>
        <x:v>#NAME?</x:v>
      </x:c>
      <x:c r="E905" t="e">
        <x:f>IF($A905="","",[1]!thsiFinD("ths_adjustment_nv_fund",E$3,$A905))</x:f>
        <x:v>#NAME?</x:v>
      </x:c>
      <x:c r="F905" t="e">
        <x:f>IF($A905="","",[1]!thsiFinD("ths_adjustment_nv_fund",F$3,$A905))</x:f>
        <x:v>#NAME?</x:v>
      </x:c>
      <x:c r="G905" t="e">
        <x:f>IF($A905="","",[1]!thsiFinD("ths_adjustment_nv_fund",G$3,$A905))</x:f>
        <x:v>#NAME?</x:v>
      </x:c>
      <x:c r="H905" t="e">
        <x:f>IF($A905="","",[1]!thsiFinD("ths_adjustment_nv_fund",H$3,$A905))</x:f>
        <x:v>#NAME?</x:v>
      </x:c>
      <x:c r="I905" t="e">
        <x:f>IF($A905="","",[1]!thsiFinD("ths_adjustment_nv_fund",I$3,$A905))</x:f>
        <x:v>#NAME?</x:v>
      </x:c>
      <x:c r="J905" t="e">
        <x:f>IF($A905="","",[1]!thsiFinD("ths_adjustment_nv_fund",J$3,$A905))</x:f>
        <x:v>#NAME?</x:v>
      </x:c>
      <x:c r="K905" t="e">
        <x:f>IF($A905="","",[1]!thsiFinD("ths_adjustment_nv_fund",K$3,$A905))</x:f>
        <x:v>#NAME?</x:v>
      </x:c>
      <x:c r="L905" t="e">
        <x:f>IF($A905="","",[1]!thsiFinD("ths_adjustment_nv_fund",L$3,$A905))</x:f>
        <x:v>#NAME?</x:v>
      </x:c>
      <x:c r="M905" t="e">
        <x:f>IF($A905="","",[1]!thsiFinD("ths_adjustment_nv_fund",M$3,$A905))</x:f>
        <x:v>#NAME?</x:v>
      </x:c>
      <x:c r="N905" t="e">
        <x:f>IF($A905="","",[1]!thsiFinD("ths_adjustment_nv_fund",N$3,$A905))</x:f>
        <x:v>#NAME?</x:v>
      </x:c>
      <x:c r="O905" t="e">
        <x:f>IF($A905="","",[1]!thsiFinD("ths_adjustment_nv_fund",O$3,$A905))</x:f>
        <x:v>#NAME?</x:v>
      </x:c>
      <x:c r="P905" t="e">
        <x:f>IF($A905="","",[1]!thsiFinD("ths_adjustment_nv_fund",P$3,$A905))</x:f>
        <x:v>#NAME?</x:v>
      </x:c>
      <x:c r="Q905" t="e">
        <x:f>IF($A905="","",[1]!thsiFinD("ths_adjustment_nv_fund",Q$3,$A905))</x:f>
        <x:v>#NAME?</x:v>
      </x:c>
      <x:c r="R905" t="e">
        <x:f>IF($A905="","",[1]!thsiFinD("ths_adjustment_nv_fund",R$3,$A905))</x:f>
        <x:v>#NAME?</x:v>
      </x:c>
      <x:c r="S905" t="e">
        <x:f>IF($A905="","",[1]!thsiFinD("ths_adjustment_nv_fund",S$3,$A905))</x:f>
        <x:v>#NAME?</x:v>
      </x:c>
      <x:c r="T905" t="e">
        <x:f>IF($A905="","",[1]!thsiFinD("ths_adjustment_nv_fund",T$3,$A905))</x:f>
        <x:v>#NAME?</x:v>
      </x:c>
      <x:c r="U905" t="e">
        <x:f>IF($A905="","",[1]!thsiFinD("ths_adjustment_nv_fund",U$3,$A905))</x:f>
        <x:v>#NAME?</x:v>
      </x:c>
      <x:c r="V905" t="e">
        <x:f>IF($A905="","",[1]!thsiFinD("ths_adjustment_nv_fund",V$3,$A905))</x:f>
        <x:v>#NAME?</x:v>
      </x:c>
      <x:c r="W905" t="e">
        <x:f>IF($A905="","",[1]!thsiFinD("ths_adjustment_nv_fund",W$3,$A905))</x:f>
        <x:v>#NAME?</x:v>
      </x:c>
      <x:c r="X905" t="e">
        <x:f>IF($A905="","",[1]!thsiFinD("ths_adjustment_nv_fund",X$3,$A905))</x:f>
        <x:v>#NAME?</x:v>
      </x:c>
      <x:c r="Y905" t="e">
        <x:f>IF($A905="","",[1]!thsiFinD("ths_adjustment_nv_fund",Y$3,$A905))</x:f>
        <x:v>#NAME?</x:v>
      </x:c>
    </x:row>
    <x:row r="906">
      <x:c r="B906" t="e">
        <x:f>IF($A906="","",[1]!thsiFinD("ths_adjustment_nv_fund",B$3,$A906))</x:f>
        <x:v>#NAME?</x:v>
      </x:c>
      <x:c r="C906" t="e">
        <x:f>IF($A906="","",[1]!thsiFinD("ths_adjustment_nv_fund",C$3,$A906))</x:f>
        <x:v>#NAME?</x:v>
      </x:c>
      <x:c r="D906" t="e">
        <x:f>IF($A906="","",[1]!thsiFinD("ths_adjustment_nv_fund",D$3,$A906))</x:f>
        <x:v>#NAME?</x:v>
      </x:c>
      <x:c r="E906" t="e">
        <x:f>IF($A906="","",[1]!thsiFinD("ths_adjustment_nv_fund",E$3,$A906))</x:f>
        <x:v>#NAME?</x:v>
      </x:c>
      <x:c r="F906" t="e">
        <x:f>IF($A906="","",[1]!thsiFinD("ths_adjustment_nv_fund",F$3,$A906))</x:f>
        <x:v>#NAME?</x:v>
      </x:c>
      <x:c r="G906" t="e">
        <x:f>IF($A906="","",[1]!thsiFinD("ths_adjustment_nv_fund",G$3,$A906))</x:f>
        <x:v>#NAME?</x:v>
      </x:c>
      <x:c r="H906" t="e">
        <x:f>IF($A906="","",[1]!thsiFinD("ths_adjustment_nv_fund",H$3,$A906))</x:f>
        <x:v>#NAME?</x:v>
      </x:c>
      <x:c r="I906" t="e">
        <x:f>IF($A906="","",[1]!thsiFinD("ths_adjustment_nv_fund",I$3,$A906))</x:f>
        <x:v>#NAME?</x:v>
      </x:c>
      <x:c r="J906" t="e">
        <x:f>IF($A906="","",[1]!thsiFinD("ths_adjustment_nv_fund",J$3,$A906))</x:f>
        <x:v>#NAME?</x:v>
      </x:c>
      <x:c r="K906" t="e">
        <x:f>IF($A906="","",[1]!thsiFinD("ths_adjustment_nv_fund",K$3,$A906))</x:f>
        <x:v>#NAME?</x:v>
      </x:c>
      <x:c r="L906" t="e">
        <x:f>IF($A906="","",[1]!thsiFinD("ths_adjustment_nv_fund",L$3,$A906))</x:f>
        <x:v>#NAME?</x:v>
      </x:c>
      <x:c r="M906" t="e">
        <x:f>IF($A906="","",[1]!thsiFinD("ths_adjustment_nv_fund",M$3,$A906))</x:f>
        <x:v>#NAME?</x:v>
      </x:c>
      <x:c r="N906" t="e">
        <x:f>IF($A906="","",[1]!thsiFinD("ths_adjustment_nv_fund",N$3,$A906))</x:f>
        <x:v>#NAME?</x:v>
      </x:c>
      <x:c r="O906" t="e">
        <x:f>IF($A906="","",[1]!thsiFinD("ths_adjustment_nv_fund",O$3,$A906))</x:f>
        <x:v>#NAME?</x:v>
      </x:c>
      <x:c r="P906" t="e">
        <x:f>IF($A906="","",[1]!thsiFinD("ths_adjustment_nv_fund",P$3,$A906))</x:f>
        <x:v>#NAME?</x:v>
      </x:c>
      <x:c r="Q906" t="e">
        <x:f>IF($A906="","",[1]!thsiFinD("ths_adjustment_nv_fund",Q$3,$A906))</x:f>
        <x:v>#NAME?</x:v>
      </x:c>
      <x:c r="R906" t="e">
        <x:f>IF($A906="","",[1]!thsiFinD("ths_adjustment_nv_fund",R$3,$A906))</x:f>
        <x:v>#NAME?</x:v>
      </x:c>
      <x:c r="S906" t="e">
        <x:f>IF($A906="","",[1]!thsiFinD("ths_adjustment_nv_fund",S$3,$A906))</x:f>
        <x:v>#NAME?</x:v>
      </x:c>
      <x:c r="T906" t="e">
        <x:f>IF($A906="","",[1]!thsiFinD("ths_adjustment_nv_fund",T$3,$A906))</x:f>
        <x:v>#NAME?</x:v>
      </x:c>
      <x:c r="U906" t="e">
        <x:f>IF($A906="","",[1]!thsiFinD("ths_adjustment_nv_fund",U$3,$A906))</x:f>
        <x:v>#NAME?</x:v>
      </x:c>
      <x:c r="V906" t="e">
        <x:f>IF($A906="","",[1]!thsiFinD("ths_adjustment_nv_fund",V$3,$A906))</x:f>
        <x:v>#NAME?</x:v>
      </x:c>
      <x:c r="W906" t="e">
        <x:f>IF($A906="","",[1]!thsiFinD("ths_adjustment_nv_fund",W$3,$A906))</x:f>
        <x:v>#NAME?</x:v>
      </x:c>
      <x:c r="X906" t="e">
        <x:f>IF($A906="","",[1]!thsiFinD("ths_adjustment_nv_fund",X$3,$A906))</x:f>
        <x:v>#NAME?</x:v>
      </x:c>
      <x:c r="Y906" t="e">
        <x:f>IF($A906="","",[1]!thsiFinD("ths_adjustment_nv_fund",Y$3,$A906))</x:f>
        <x:v>#NAME?</x:v>
      </x:c>
    </x:row>
    <x:row r="907">
      <x:c r="B907" t="e">
        <x:f>IF($A907="","",[1]!thsiFinD("ths_adjustment_nv_fund",B$3,$A907))</x:f>
        <x:v>#NAME?</x:v>
      </x:c>
      <x:c r="C907" t="e">
        <x:f>IF($A907="","",[1]!thsiFinD("ths_adjustment_nv_fund",C$3,$A907))</x:f>
        <x:v>#NAME?</x:v>
      </x:c>
      <x:c r="D907" t="e">
        <x:f>IF($A907="","",[1]!thsiFinD("ths_adjustment_nv_fund",D$3,$A907))</x:f>
        <x:v>#NAME?</x:v>
      </x:c>
      <x:c r="E907" t="e">
        <x:f>IF($A907="","",[1]!thsiFinD("ths_adjustment_nv_fund",E$3,$A907))</x:f>
        <x:v>#NAME?</x:v>
      </x:c>
      <x:c r="F907" t="e">
        <x:f>IF($A907="","",[1]!thsiFinD("ths_adjustment_nv_fund",F$3,$A907))</x:f>
        <x:v>#NAME?</x:v>
      </x:c>
      <x:c r="G907" t="e">
        <x:f>IF($A907="","",[1]!thsiFinD("ths_adjustment_nv_fund",G$3,$A907))</x:f>
        <x:v>#NAME?</x:v>
      </x:c>
      <x:c r="H907" t="e">
        <x:f>IF($A907="","",[1]!thsiFinD("ths_adjustment_nv_fund",H$3,$A907))</x:f>
        <x:v>#NAME?</x:v>
      </x:c>
      <x:c r="I907" t="e">
        <x:f>IF($A907="","",[1]!thsiFinD("ths_adjustment_nv_fund",I$3,$A907))</x:f>
        <x:v>#NAME?</x:v>
      </x:c>
      <x:c r="J907" t="e">
        <x:f>IF($A907="","",[1]!thsiFinD("ths_adjustment_nv_fund",J$3,$A907))</x:f>
        <x:v>#NAME?</x:v>
      </x:c>
      <x:c r="K907" t="e">
        <x:f>IF($A907="","",[1]!thsiFinD("ths_adjustment_nv_fund",K$3,$A907))</x:f>
        <x:v>#NAME?</x:v>
      </x:c>
      <x:c r="L907" t="e">
        <x:f>IF($A907="","",[1]!thsiFinD("ths_adjustment_nv_fund",L$3,$A907))</x:f>
        <x:v>#NAME?</x:v>
      </x:c>
      <x:c r="M907" t="e">
        <x:f>IF($A907="","",[1]!thsiFinD("ths_adjustment_nv_fund",M$3,$A907))</x:f>
        <x:v>#NAME?</x:v>
      </x:c>
      <x:c r="N907" t="e">
        <x:f>IF($A907="","",[1]!thsiFinD("ths_adjustment_nv_fund",N$3,$A907))</x:f>
        <x:v>#NAME?</x:v>
      </x:c>
      <x:c r="O907" t="e">
        <x:f>IF($A907="","",[1]!thsiFinD("ths_adjustment_nv_fund",O$3,$A907))</x:f>
        <x:v>#NAME?</x:v>
      </x:c>
      <x:c r="P907" t="e">
        <x:f>IF($A907="","",[1]!thsiFinD("ths_adjustment_nv_fund",P$3,$A907))</x:f>
        <x:v>#NAME?</x:v>
      </x:c>
      <x:c r="Q907" t="e">
        <x:f>IF($A907="","",[1]!thsiFinD("ths_adjustment_nv_fund",Q$3,$A907))</x:f>
        <x:v>#NAME?</x:v>
      </x:c>
      <x:c r="R907" t="e">
        <x:f>IF($A907="","",[1]!thsiFinD("ths_adjustment_nv_fund",R$3,$A907))</x:f>
        <x:v>#NAME?</x:v>
      </x:c>
      <x:c r="S907" t="e">
        <x:f>IF($A907="","",[1]!thsiFinD("ths_adjustment_nv_fund",S$3,$A907))</x:f>
        <x:v>#NAME?</x:v>
      </x:c>
      <x:c r="T907" t="e">
        <x:f>IF($A907="","",[1]!thsiFinD("ths_adjustment_nv_fund",T$3,$A907))</x:f>
        <x:v>#NAME?</x:v>
      </x:c>
      <x:c r="U907" t="e">
        <x:f>IF($A907="","",[1]!thsiFinD("ths_adjustment_nv_fund",U$3,$A907))</x:f>
        <x:v>#NAME?</x:v>
      </x:c>
      <x:c r="V907" t="e">
        <x:f>IF($A907="","",[1]!thsiFinD("ths_adjustment_nv_fund",V$3,$A907))</x:f>
        <x:v>#NAME?</x:v>
      </x:c>
      <x:c r="W907" t="e">
        <x:f>IF($A907="","",[1]!thsiFinD("ths_adjustment_nv_fund",W$3,$A907))</x:f>
        <x:v>#NAME?</x:v>
      </x:c>
      <x:c r="X907" t="e">
        <x:f>IF($A907="","",[1]!thsiFinD("ths_adjustment_nv_fund",X$3,$A907))</x:f>
        <x:v>#NAME?</x:v>
      </x:c>
      <x:c r="Y907" t="e">
        <x:f>IF($A907="","",[1]!thsiFinD("ths_adjustment_nv_fund",Y$3,$A907))</x:f>
        <x:v>#NAME?</x:v>
      </x:c>
    </x:row>
    <x:row r="908">
      <x:c r="B908" t="e">
        <x:f>IF($A908="","",[1]!thsiFinD("ths_adjustment_nv_fund",B$3,$A908))</x:f>
        <x:v>#NAME?</x:v>
      </x:c>
      <x:c r="C908" t="e">
        <x:f>IF($A908="","",[1]!thsiFinD("ths_adjustment_nv_fund",C$3,$A908))</x:f>
        <x:v>#NAME?</x:v>
      </x:c>
      <x:c r="D908" t="e">
        <x:f>IF($A908="","",[1]!thsiFinD("ths_adjustment_nv_fund",D$3,$A908))</x:f>
        <x:v>#NAME?</x:v>
      </x:c>
      <x:c r="E908" t="e">
        <x:f>IF($A908="","",[1]!thsiFinD("ths_adjustment_nv_fund",E$3,$A908))</x:f>
        <x:v>#NAME?</x:v>
      </x:c>
      <x:c r="F908" t="e">
        <x:f>IF($A908="","",[1]!thsiFinD("ths_adjustment_nv_fund",F$3,$A908))</x:f>
        <x:v>#NAME?</x:v>
      </x:c>
      <x:c r="G908" t="e">
        <x:f>IF($A908="","",[1]!thsiFinD("ths_adjustment_nv_fund",G$3,$A908))</x:f>
        <x:v>#NAME?</x:v>
      </x:c>
      <x:c r="H908" t="e">
        <x:f>IF($A908="","",[1]!thsiFinD("ths_adjustment_nv_fund",H$3,$A908))</x:f>
        <x:v>#NAME?</x:v>
      </x:c>
      <x:c r="I908" t="e">
        <x:f>IF($A908="","",[1]!thsiFinD("ths_adjustment_nv_fund",I$3,$A908))</x:f>
        <x:v>#NAME?</x:v>
      </x:c>
      <x:c r="J908" t="e">
        <x:f>IF($A908="","",[1]!thsiFinD("ths_adjustment_nv_fund",J$3,$A908))</x:f>
        <x:v>#NAME?</x:v>
      </x:c>
      <x:c r="K908" t="e">
        <x:f>IF($A908="","",[1]!thsiFinD("ths_adjustment_nv_fund",K$3,$A908))</x:f>
        <x:v>#NAME?</x:v>
      </x:c>
      <x:c r="L908" t="e">
        <x:f>IF($A908="","",[1]!thsiFinD("ths_adjustment_nv_fund",L$3,$A908))</x:f>
        <x:v>#NAME?</x:v>
      </x:c>
      <x:c r="M908" t="e">
        <x:f>IF($A908="","",[1]!thsiFinD("ths_adjustment_nv_fund",M$3,$A908))</x:f>
        <x:v>#NAME?</x:v>
      </x:c>
      <x:c r="N908" t="e">
        <x:f>IF($A908="","",[1]!thsiFinD("ths_adjustment_nv_fund",N$3,$A908))</x:f>
        <x:v>#NAME?</x:v>
      </x:c>
      <x:c r="O908" t="e">
        <x:f>IF($A908="","",[1]!thsiFinD("ths_adjustment_nv_fund",O$3,$A908))</x:f>
        <x:v>#NAME?</x:v>
      </x:c>
      <x:c r="P908" t="e">
        <x:f>IF($A908="","",[1]!thsiFinD("ths_adjustment_nv_fund",P$3,$A908))</x:f>
        <x:v>#NAME?</x:v>
      </x:c>
      <x:c r="Q908" t="e">
        <x:f>IF($A908="","",[1]!thsiFinD("ths_adjustment_nv_fund",Q$3,$A908))</x:f>
        <x:v>#NAME?</x:v>
      </x:c>
      <x:c r="R908" t="e">
        <x:f>IF($A908="","",[1]!thsiFinD("ths_adjustment_nv_fund",R$3,$A908))</x:f>
        <x:v>#NAME?</x:v>
      </x:c>
      <x:c r="S908" t="e">
        <x:f>IF($A908="","",[1]!thsiFinD("ths_adjustment_nv_fund",S$3,$A908))</x:f>
        <x:v>#NAME?</x:v>
      </x:c>
      <x:c r="T908" t="e">
        <x:f>IF($A908="","",[1]!thsiFinD("ths_adjustment_nv_fund",T$3,$A908))</x:f>
        <x:v>#NAME?</x:v>
      </x:c>
      <x:c r="U908" t="e">
        <x:f>IF($A908="","",[1]!thsiFinD("ths_adjustment_nv_fund",U$3,$A908))</x:f>
        <x:v>#NAME?</x:v>
      </x:c>
      <x:c r="V908" t="e">
        <x:f>IF($A908="","",[1]!thsiFinD("ths_adjustment_nv_fund",V$3,$A908))</x:f>
        <x:v>#NAME?</x:v>
      </x:c>
      <x:c r="W908" t="e">
        <x:f>IF($A908="","",[1]!thsiFinD("ths_adjustment_nv_fund",W$3,$A908))</x:f>
        <x:v>#NAME?</x:v>
      </x:c>
      <x:c r="X908" t="e">
        <x:f>IF($A908="","",[1]!thsiFinD("ths_adjustment_nv_fund",X$3,$A908))</x:f>
        <x:v>#NAME?</x:v>
      </x:c>
      <x:c r="Y908" t="e">
        <x:f>IF($A908="","",[1]!thsiFinD("ths_adjustment_nv_fund",Y$3,$A908))</x:f>
        <x:v>#NAME?</x:v>
      </x:c>
    </x:row>
    <x:row r="909">
      <x:c r="B909" t="e">
        <x:f>IF($A909="","",[1]!thsiFinD("ths_adjustment_nv_fund",B$3,$A909))</x:f>
        <x:v>#NAME?</x:v>
      </x:c>
      <x:c r="C909" t="e">
        <x:f>IF($A909="","",[1]!thsiFinD("ths_adjustment_nv_fund",C$3,$A909))</x:f>
        <x:v>#NAME?</x:v>
      </x:c>
      <x:c r="D909" t="e">
        <x:f>IF($A909="","",[1]!thsiFinD("ths_adjustment_nv_fund",D$3,$A909))</x:f>
        <x:v>#NAME?</x:v>
      </x:c>
      <x:c r="E909" t="e">
        <x:f>IF($A909="","",[1]!thsiFinD("ths_adjustment_nv_fund",E$3,$A909))</x:f>
        <x:v>#NAME?</x:v>
      </x:c>
      <x:c r="F909" t="e">
        <x:f>IF($A909="","",[1]!thsiFinD("ths_adjustment_nv_fund",F$3,$A909))</x:f>
        <x:v>#NAME?</x:v>
      </x:c>
      <x:c r="G909" t="e">
        <x:f>IF($A909="","",[1]!thsiFinD("ths_adjustment_nv_fund",G$3,$A909))</x:f>
        <x:v>#NAME?</x:v>
      </x:c>
      <x:c r="H909" t="e">
        <x:f>IF($A909="","",[1]!thsiFinD("ths_adjustment_nv_fund",H$3,$A909))</x:f>
        <x:v>#NAME?</x:v>
      </x:c>
      <x:c r="I909" t="e">
        <x:f>IF($A909="","",[1]!thsiFinD("ths_adjustment_nv_fund",I$3,$A909))</x:f>
        <x:v>#NAME?</x:v>
      </x:c>
      <x:c r="J909" t="e">
        <x:f>IF($A909="","",[1]!thsiFinD("ths_adjustment_nv_fund",J$3,$A909))</x:f>
        <x:v>#NAME?</x:v>
      </x:c>
      <x:c r="K909" t="e">
        <x:f>IF($A909="","",[1]!thsiFinD("ths_adjustment_nv_fund",K$3,$A909))</x:f>
        <x:v>#NAME?</x:v>
      </x:c>
      <x:c r="L909" t="e">
        <x:f>IF($A909="","",[1]!thsiFinD("ths_adjustment_nv_fund",L$3,$A909))</x:f>
        <x:v>#NAME?</x:v>
      </x:c>
      <x:c r="M909" t="e">
        <x:f>IF($A909="","",[1]!thsiFinD("ths_adjustment_nv_fund",M$3,$A909))</x:f>
        <x:v>#NAME?</x:v>
      </x:c>
      <x:c r="N909" t="e">
        <x:f>IF($A909="","",[1]!thsiFinD("ths_adjustment_nv_fund",N$3,$A909))</x:f>
        <x:v>#NAME?</x:v>
      </x:c>
      <x:c r="O909" t="e">
        <x:f>IF($A909="","",[1]!thsiFinD("ths_adjustment_nv_fund",O$3,$A909))</x:f>
        <x:v>#NAME?</x:v>
      </x:c>
      <x:c r="P909" t="e">
        <x:f>IF($A909="","",[1]!thsiFinD("ths_adjustment_nv_fund",P$3,$A909))</x:f>
        <x:v>#NAME?</x:v>
      </x:c>
      <x:c r="Q909" t="e">
        <x:f>IF($A909="","",[1]!thsiFinD("ths_adjustment_nv_fund",Q$3,$A909))</x:f>
        <x:v>#NAME?</x:v>
      </x:c>
      <x:c r="R909" t="e">
        <x:f>IF($A909="","",[1]!thsiFinD("ths_adjustment_nv_fund",R$3,$A909))</x:f>
        <x:v>#NAME?</x:v>
      </x:c>
      <x:c r="S909" t="e">
        <x:f>IF($A909="","",[1]!thsiFinD("ths_adjustment_nv_fund",S$3,$A909))</x:f>
        <x:v>#NAME?</x:v>
      </x:c>
      <x:c r="T909" t="e">
        <x:f>IF($A909="","",[1]!thsiFinD("ths_adjustment_nv_fund",T$3,$A909))</x:f>
        <x:v>#NAME?</x:v>
      </x:c>
      <x:c r="U909" t="e">
        <x:f>IF($A909="","",[1]!thsiFinD("ths_adjustment_nv_fund",U$3,$A909))</x:f>
        <x:v>#NAME?</x:v>
      </x:c>
      <x:c r="V909" t="e">
        <x:f>IF($A909="","",[1]!thsiFinD("ths_adjustment_nv_fund",V$3,$A909))</x:f>
        <x:v>#NAME?</x:v>
      </x:c>
      <x:c r="W909" t="e">
        <x:f>IF($A909="","",[1]!thsiFinD("ths_adjustment_nv_fund",W$3,$A909))</x:f>
        <x:v>#NAME?</x:v>
      </x:c>
      <x:c r="X909" t="e">
        <x:f>IF($A909="","",[1]!thsiFinD("ths_adjustment_nv_fund",X$3,$A909))</x:f>
        <x:v>#NAME?</x:v>
      </x:c>
      <x:c r="Y909" t="e">
        <x:f>IF($A909="","",[1]!thsiFinD("ths_adjustment_nv_fund",Y$3,$A909))</x:f>
        <x:v>#NAME?</x:v>
      </x:c>
    </x:row>
    <x:row r="910">
      <x:c r="B910" t="e">
        <x:f>IF($A910="","",[1]!thsiFinD("ths_adjustment_nv_fund",B$3,$A910))</x:f>
        <x:v>#NAME?</x:v>
      </x:c>
      <x:c r="C910" t="e">
        <x:f>IF($A910="","",[1]!thsiFinD("ths_adjustment_nv_fund",C$3,$A910))</x:f>
        <x:v>#NAME?</x:v>
      </x:c>
      <x:c r="D910" t="e">
        <x:f>IF($A910="","",[1]!thsiFinD("ths_adjustment_nv_fund",D$3,$A910))</x:f>
        <x:v>#NAME?</x:v>
      </x:c>
      <x:c r="E910" t="e">
        <x:f>IF($A910="","",[1]!thsiFinD("ths_adjustment_nv_fund",E$3,$A910))</x:f>
        <x:v>#NAME?</x:v>
      </x:c>
      <x:c r="F910" t="e">
        <x:f>IF($A910="","",[1]!thsiFinD("ths_adjustment_nv_fund",F$3,$A910))</x:f>
        <x:v>#NAME?</x:v>
      </x:c>
      <x:c r="G910" t="e">
        <x:f>IF($A910="","",[1]!thsiFinD("ths_adjustment_nv_fund",G$3,$A910))</x:f>
        <x:v>#NAME?</x:v>
      </x:c>
      <x:c r="H910" t="e">
        <x:f>IF($A910="","",[1]!thsiFinD("ths_adjustment_nv_fund",H$3,$A910))</x:f>
        <x:v>#NAME?</x:v>
      </x:c>
      <x:c r="I910" t="e">
        <x:f>IF($A910="","",[1]!thsiFinD("ths_adjustment_nv_fund",I$3,$A910))</x:f>
        <x:v>#NAME?</x:v>
      </x:c>
      <x:c r="J910" t="e">
        <x:f>IF($A910="","",[1]!thsiFinD("ths_adjustment_nv_fund",J$3,$A910))</x:f>
        <x:v>#NAME?</x:v>
      </x:c>
      <x:c r="K910" t="e">
        <x:f>IF($A910="","",[1]!thsiFinD("ths_adjustment_nv_fund",K$3,$A910))</x:f>
        <x:v>#NAME?</x:v>
      </x:c>
      <x:c r="L910" t="e">
        <x:f>IF($A910="","",[1]!thsiFinD("ths_adjustment_nv_fund",L$3,$A910))</x:f>
        <x:v>#NAME?</x:v>
      </x:c>
      <x:c r="M910" t="e">
        <x:f>IF($A910="","",[1]!thsiFinD("ths_adjustment_nv_fund",M$3,$A910))</x:f>
        <x:v>#NAME?</x:v>
      </x:c>
      <x:c r="N910" t="e">
        <x:f>IF($A910="","",[1]!thsiFinD("ths_adjustment_nv_fund",N$3,$A910))</x:f>
        <x:v>#NAME?</x:v>
      </x:c>
      <x:c r="O910" t="e">
        <x:f>IF($A910="","",[1]!thsiFinD("ths_adjustment_nv_fund",O$3,$A910))</x:f>
        <x:v>#NAME?</x:v>
      </x:c>
      <x:c r="P910" t="e">
        <x:f>IF($A910="","",[1]!thsiFinD("ths_adjustment_nv_fund",P$3,$A910))</x:f>
        <x:v>#NAME?</x:v>
      </x:c>
      <x:c r="Q910" t="e">
        <x:f>IF($A910="","",[1]!thsiFinD("ths_adjustment_nv_fund",Q$3,$A910))</x:f>
        <x:v>#NAME?</x:v>
      </x:c>
      <x:c r="R910" t="e">
        <x:f>IF($A910="","",[1]!thsiFinD("ths_adjustment_nv_fund",R$3,$A910))</x:f>
        <x:v>#NAME?</x:v>
      </x:c>
      <x:c r="S910" t="e">
        <x:f>IF($A910="","",[1]!thsiFinD("ths_adjustment_nv_fund",S$3,$A910))</x:f>
        <x:v>#NAME?</x:v>
      </x:c>
      <x:c r="T910" t="e">
        <x:f>IF($A910="","",[1]!thsiFinD("ths_adjustment_nv_fund",T$3,$A910))</x:f>
        <x:v>#NAME?</x:v>
      </x:c>
      <x:c r="U910" t="e">
        <x:f>IF($A910="","",[1]!thsiFinD("ths_adjustment_nv_fund",U$3,$A910))</x:f>
        <x:v>#NAME?</x:v>
      </x:c>
      <x:c r="V910" t="e">
        <x:f>IF($A910="","",[1]!thsiFinD("ths_adjustment_nv_fund",V$3,$A910))</x:f>
        <x:v>#NAME?</x:v>
      </x:c>
      <x:c r="W910" t="e">
        <x:f>IF($A910="","",[1]!thsiFinD("ths_adjustment_nv_fund",W$3,$A910))</x:f>
        <x:v>#NAME?</x:v>
      </x:c>
      <x:c r="X910" t="e">
        <x:f>IF($A910="","",[1]!thsiFinD("ths_adjustment_nv_fund",X$3,$A910))</x:f>
        <x:v>#NAME?</x:v>
      </x:c>
      <x:c r="Y910" t="e">
        <x:f>IF($A910="","",[1]!thsiFinD("ths_adjustment_nv_fund",Y$3,$A910))</x:f>
        <x:v>#NAME?</x:v>
      </x:c>
    </x:row>
    <x:row r="911">
      <x:c r="B911" t="e">
        <x:f>IF($A911="","",[1]!thsiFinD("ths_adjustment_nv_fund",B$3,$A911))</x:f>
        <x:v>#NAME?</x:v>
      </x:c>
      <x:c r="C911" t="e">
        <x:f>IF($A911="","",[1]!thsiFinD("ths_adjustment_nv_fund",C$3,$A911))</x:f>
        <x:v>#NAME?</x:v>
      </x:c>
      <x:c r="D911" t="e">
        <x:f>IF($A911="","",[1]!thsiFinD("ths_adjustment_nv_fund",D$3,$A911))</x:f>
        <x:v>#NAME?</x:v>
      </x:c>
      <x:c r="E911" t="e">
        <x:f>IF($A911="","",[1]!thsiFinD("ths_adjustment_nv_fund",E$3,$A911))</x:f>
        <x:v>#NAME?</x:v>
      </x:c>
      <x:c r="F911" t="e">
        <x:f>IF($A911="","",[1]!thsiFinD("ths_adjustment_nv_fund",F$3,$A911))</x:f>
        <x:v>#NAME?</x:v>
      </x:c>
      <x:c r="G911" t="e">
        <x:f>IF($A911="","",[1]!thsiFinD("ths_adjustment_nv_fund",G$3,$A911))</x:f>
        <x:v>#NAME?</x:v>
      </x:c>
      <x:c r="H911" t="e">
        <x:f>IF($A911="","",[1]!thsiFinD("ths_adjustment_nv_fund",H$3,$A911))</x:f>
        <x:v>#NAME?</x:v>
      </x:c>
      <x:c r="I911" t="e">
        <x:f>IF($A911="","",[1]!thsiFinD("ths_adjustment_nv_fund",I$3,$A911))</x:f>
        <x:v>#NAME?</x:v>
      </x:c>
      <x:c r="J911" t="e">
        <x:f>IF($A911="","",[1]!thsiFinD("ths_adjustment_nv_fund",J$3,$A911))</x:f>
        <x:v>#NAME?</x:v>
      </x:c>
      <x:c r="K911" t="e">
        <x:f>IF($A911="","",[1]!thsiFinD("ths_adjustment_nv_fund",K$3,$A911))</x:f>
        <x:v>#NAME?</x:v>
      </x:c>
      <x:c r="L911" t="e">
        <x:f>IF($A911="","",[1]!thsiFinD("ths_adjustment_nv_fund",L$3,$A911))</x:f>
        <x:v>#NAME?</x:v>
      </x:c>
      <x:c r="M911" t="e">
        <x:f>IF($A911="","",[1]!thsiFinD("ths_adjustment_nv_fund",M$3,$A911))</x:f>
        <x:v>#NAME?</x:v>
      </x:c>
      <x:c r="N911" t="e">
        <x:f>IF($A911="","",[1]!thsiFinD("ths_adjustment_nv_fund",N$3,$A911))</x:f>
        <x:v>#NAME?</x:v>
      </x:c>
      <x:c r="O911" t="e">
        <x:f>IF($A911="","",[1]!thsiFinD("ths_adjustment_nv_fund",O$3,$A911))</x:f>
        <x:v>#NAME?</x:v>
      </x:c>
      <x:c r="P911" t="e">
        <x:f>IF($A911="","",[1]!thsiFinD("ths_adjustment_nv_fund",P$3,$A911))</x:f>
        <x:v>#NAME?</x:v>
      </x:c>
      <x:c r="Q911" t="e">
        <x:f>IF($A911="","",[1]!thsiFinD("ths_adjustment_nv_fund",Q$3,$A911))</x:f>
        <x:v>#NAME?</x:v>
      </x:c>
      <x:c r="R911" t="e">
        <x:f>IF($A911="","",[1]!thsiFinD("ths_adjustment_nv_fund",R$3,$A911))</x:f>
        <x:v>#NAME?</x:v>
      </x:c>
      <x:c r="S911" t="e">
        <x:f>IF($A911="","",[1]!thsiFinD("ths_adjustment_nv_fund",S$3,$A911))</x:f>
        <x:v>#NAME?</x:v>
      </x:c>
      <x:c r="T911" t="e">
        <x:f>IF($A911="","",[1]!thsiFinD("ths_adjustment_nv_fund",T$3,$A911))</x:f>
        <x:v>#NAME?</x:v>
      </x:c>
      <x:c r="U911" t="e">
        <x:f>IF($A911="","",[1]!thsiFinD("ths_adjustment_nv_fund",U$3,$A911))</x:f>
        <x:v>#NAME?</x:v>
      </x:c>
      <x:c r="V911" t="e">
        <x:f>IF($A911="","",[1]!thsiFinD("ths_adjustment_nv_fund",V$3,$A911))</x:f>
        <x:v>#NAME?</x:v>
      </x:c>
      <x:c r="W911" t="e">
        <x:f>IF($A911="","",[1]!thsiFinD("ths_adjustment_nv_fund",W$3,$A911))</x:f>
        <x:v>#NAME?</x:v>
      </x:c>
      <x:c r="X911" t="e">
        <x:f>IF($A911="","",[1]!thsiFinD("ths_adjustment_nv_fund",X$3,$A911))</x:f>
        <x:v>#NAME?</x:v>
      </x:c>
      <x:c r="Y911" t="e">
        <x:f>IF($A911="","",[1]!thsiFinD("ths_adjustment_nv_fund",Y$3,$A911))</x:f>
        <x:v>#NAME?</x:v>
      </x:c>
    </x:row>
    <x:row r="912">
      <x:c r="B912" t="e">
        <x:f>IF($A912="","",[1]!thsiFinD("ths_adjustment_nv_fund",B$3,$A912))</x:f>
        <x:v>#NAME?</x:v>
      </x:c>
      <x:c r="C912" t="e">
        <x:f>IF($A912="","",[1]!thsiFinD("ths_adjustment_nv_fund",C$3,$A912))</x:f>
        <x:v>#NAME?</x:v>
      </x:c>
      <x:c r="D912" t="e">
        <x:f>IF($A912="","",[1]!thsiFinD("ths_adjustment_nv_fund",D$3,$A912))</x:f>
        <x:v>#NAME?</x:v>
      </x:c>
      <x:c r="E912" t="e">
        <x:f>IF($A912="","",[1]!thsiFinD("ths_adjustment_nv_fund",E$3,$A912))</x:f>
        <x:v>#NAME?</x:v>
      </x:c>
      <x:c r="F912" t="e">
        <x:f>IF($A912="","",[1]!thsiFinD("ths_adjustment_nv_fund",F$3,$A912))</x:f>
        <x:v>#NAME?</x:v>
      </x:c>
      <x:c r="G912" t="e">
        <x:f>IF($A912="","",[1]!thsiFinD("ths_adjustment_nv_fund",G$3,$A912))</x:f>
        <x:v>#NAME?</x:v>
      </x:c>
      <x:c r="H912" t="e">
        <x:f>IF($A912="","",[1]!thsiFinD("ths_adjustment_nv_fund",H$3,$A912))</x:f>
        <x:v>#NAME?</x:v>
      </x:c>
      <x:c r="I912" t="e">
        <x:f>IF($A912="","",[1]!thsiFinD("ths_adjustment_nv_fund",I$3,$A912))</x:f>
        <x:v>#NAME?</x:v>
      </x:c>
      <x:c r="J912" t="e">
        <x:f>IF($A912="","",[1]!thsiFinD("ths_adjustment_nv_fund",J$3,$A912))</x:f>
        <x:v>#NAME?</x:v>
      </x:c>
      <x:c r="K912" t="e">
        <x:f>IF($A912="","",[1]!thsiFinD("ths_adjustment_nv_fund",K$3,$A912))</x:f>
        <x:v>#NAME?</x:v>
      </x:c>
      <x:c r="L912" t="e">
        <x:f>IF($A912="","",[1]!thsiFinD("ths_adjustment_nv_fund",L$3,$A912))</x:f>
        <x:v>#NAME?</x:v>
      </x:c>
      <x:c r="M912" t="e">
        <x:f>IF($A912="","",[1]!thsiFinD("ths_adjustment_nv_fund",M$3,$A912))</x:f>
        <x:v>#NAME?</x:v>
      </x:c>
      <x:c r="N912" t="e">
        <x:f>IF($A912="","",[1]!thsiFinD("ths_adjustment_nv_fund",N$3,$A912))</x:f>
        <x:v>#NAME?</x:v>
      </x:c>
      <x:c r="O912" t="e">
        <x:f>IF($A912="","",[1]!thsiFinD("ths_adjustment_nv_fund",O$3,$A912))</x:f>
        <x:v>#NAME?</x:v>
      </x:c>
      <x:c r="P912" t="e">
        <x:f>IF($A912="","",[1]!thsiFinD("ths_adjustment_nv_fund",P$3,$A912))</x:f>
        <x:v>#NAME?</x:v>
      </x:c>
      <x:c r="Q912" t="e">
        <x:f>IF($A912="","",[1]!thsiFinD("ths_adjustment_nv_fund",Q$3,$A912))</x:f>
        <x:v>#NAME?</x:v>
      </x:c>
      <x:c r="R912" t="e">
        <x:f>IF($A912="","",[1]!thsiFinD("ths_adjustment_nv_fund",R$3,$A912))</x:f>
        <x:v>#NAME?</x:v>
      </x:c>
      <x:c r="S912" t="e">
        <x:f>IF($A912="","",[1]!thsiFinD("ths_adjustment_nv_fund",S$3,$A912))</x:f>
        <x:v>#NAME?</x:v>
      </x:c>
      <x:c r="T912" t="e">
        <x:f>IF($A912="","",[1]!thsiFinD("ths_adjustment_nv_fund",T$3,$A912))</x:f>
        <x:v>#NAME?</x:v>
      </x:c>
      <x:c r="U912" t="e">
        <x:f>IF($A912="","",[1]!thsiFinD("ths_adjustment_nv_fund",U$3,$A912))</x:f>
        <x:v>#NAME?</x:v>
      </x:c>
      <x:c r="V912" t="e">
        <x:f>IF($A912="","",[1]!thsiFinD("ths_adjustment_nv_fund",V$3,$A912))</x:f>
        <x:v>#NAME?</x:v>
      </x:c>
      <x:c r="W912" t="e">
        <x:f>IF($A912="","",[1]!thsiFinD("ths_adjustment_nv_fund",W$3,$A912))</x:f>
        <x:v>#NAME?</x:v>
      </x:c>
      <x:c r="X912" t="e">
        <x:f>IF($A912="","",[1]!thsiFinD("ths_adjustment_nv_fund",X$3,$A912))</x:f>
        <x:v>#NAME?</x:v>
      </x:c>
      <x:c r="Y912" t="e">
        <x:f>IF($A912="","",[1]!thsiFinD("ths_adjustment_nv_fund",Y$3,$A912))</x:f>
        <x:v>#NAME?</x:v>
      </x:c>
    </x:row>
    <x:row r="913">
      <x:c r="B913" t="e">
        <x:f>IF($A913="","",[1]!thsiFinD("ths_adjustment_nv_fund",B$3,$A913))</x:f>
        <x:v>#NAME?</x:v>
      </x:c>
      <x:c r="C913" t="e">
        <x:f>IF($A913="","",[1]!thsiFinD("ths_adjustment_nv_fund",C$3,$A913))</x:f>
        <x:v>#NAME?</x:v>
      </x:c>
      <x:c r="D913" t="e">
        <x:f>IF($A913="","",[1]!thsiFinD("ths_adjustment_nv_fund",D$3,$A913))</x:f>
        <x:v>#NAME?</x:v>
      </x:c>
      <x:c r="E913" t="e">
        <x:f>IF($A913="","",[1]!thsiFinD("ths_adjustment_nv_fund",E$3,$A913))</x:f>
        <x:v>#NAME?</x:v>
      </x:c>
      <x:c r="F913" t="e">
        <x:f>IF($A913="","",[1]!thsiFinD("ths_adjustment_nv_fund",F$3,$A913))</x:f>
        <x:v>#NAME?</x:v>
      </x:c>
      <x:c r="G913" t="e">
        <x:f>IF($A913="","",[1]!thsiFinD("ths_adjustment_nv_fund",G$3,$A913))</x:f>
        <x:v>#NAME?</x:v>
      </x:c>
      <x:c r="H913" t="e">
        <x:f>IF($A913="","",[1]!thsiFinD("ths_adjustment_nv_fund",H$3,$A913))</x:f>
        <x:v>#NAME?</x:v>
      </x:c>
      <x:c r="I913" t="e">
        <x:f>IF($A913="","",[1]!thsiFinD("ths_adjustment_nv_fund",I$3,$A913))</x:f>
        <x:v>#NAME?</x:v>
      </x:c>
      <x:c r="J913" t="e">
        <x:f>IF($A913="","",[1]!thsiFinD("ths_adjustment_nv_fund",J$3,$A913))</x:f>
        <x:v>#NAME?</x:v>
      </x:c>
      <x:c r="K913" t="e">
        <x:f>IF($A913="","",[1]!thsiFinD("ths_adjustment_nv_fund",K$3,$A913))</x:f>
        <x:v>#NAME?</x:v>
      </x:c>
      <x:c r="L913" t="e">
        <x:f>IF($A913="","",[1]!thsiFinD("ths_adjustment_nv_fund",L$3,$A913))</x:f>
        <x:v>#NAME?</x:v>
      </x:c>
      <x:c r="M913" t="e">
        <x:f>IF($A913="","",[1]!thsiFinD("ths_adjustment_nv_fund",M$3,$A913))</x:f>
        <x:v>#NAME?</x:v>
      </x:c>
      <x:c r="N913" t="e">
        <x:f>IF($A913="","",[1]!thsiFinD("ths_adjustment_nv_fund",N$3,$A913))</x:f>
        <x:v>#NAME?</x:v>
      </x:c>
      <x:c r="O913" t="e">
        <x:f>IF($A913="","",[1]!thsiFinD("ths_adjustment_nv_fund",O$3,$A913))</x:f>
        <x:v>#NAME?</x:v>
      </x:c>
      <x:c r="P913" t="e">
        <x:f>IF($A913="","",[1]!thsiFinD("ths_adjustment_nv_fund",P$3,$A913))</x:f>
        <x:v>#NAME?</x:v>
      </x:c>
      <x:c r="Q913" t="e">
        <x:f>IF($A913="","",[1]!thsiFinD("ths_adjustment_nv_fund",Q$3,$A913))</x:f>
        <x:v>#NAME?</x:v>
      </x:c>
      <x:c r="R913" t="e">
        <x:f>IF($A913="","",[1]!thsiFinD("ths_adjustment_nv_fund",R$3,$A913))</x:f>
        <x:v>#NAME?</x:v>
      </x:c>
      <x:c r="S913" t="e">
        <x:f>IF($A913="","",[1]!thsiFinD("ths_adjustment_nv_fund",S$3,$A913))</x:f>
        <x:v>#NAME?</x:v>
      </x:c>
      <x:c r="T913" t="e">
        <x:f>IF($A913="","",[1]!thsiFinD("ths_adjustment_nv_fund",T$3,$A913))</x:f>
        <x:v>#NAME?</x:v>
      </x:c>
      <x:c r="U913" t="e">
        <x:f>IF($A913="","",[1]!thsiFinD("ths_adjustment_nv_fund",U$3,$A913))</x:f>
        <x:v>#NAME?</x:v>
      </x:c>
      <x:c r="V913" t="e">
        <x:f>IF($A913="","",[1]!thsiFinD("ths_adjustment_nv_fund",V$3,$A913))</x:f>
        <x:v>#NAME?</x:v>
      </x:c>
      <x:c r="W913" t="e">
        <x:f>IF($A913="","",[1]!thsiFinD("ths_adjustment_nv_fund",W$3,$A913))</x:f>
        <x:v>#NAME?</x:v>
      </x:c>
      <x:c r="X913" t="e">
        <x:f>IF($A913="","",[1]!thsiFinD("ths_adjustment_nv_fund",X$3,$A913))</x:f>
        <x:v>#NAME?</x:v>
      </x:c>
      <x:c r="Y913" t="e">
        <x:f>IF($A913="","",[1]!thsiFinD("ths_adjustment_nv_fund",Y$3,$A913))</x:f>
        <x:v>#NAME?</x:v>
      </x:c>
    </x:row>
    <x:row r="914">
      <x:c r="B914" t="e">
        <x:f>IF($A914="","",[1]!thsiFinD("ths_adjustment_nv_fund",B$3,$A914))</x:f>
        <x:v>#NAME?</x:v>
      </x:c>
      <x:c r="C914" t="e">
        <x:f>IF($A914="","",[1]!thsiFinD("ths_adjustment_nv_fund",C$3,$A914))</x:f>
        <x:v>#NAME?</x:v>
      </x:c>
      <x:c r="D914" t="e">
        <x:f>IF($A914="","",[1]!thsiFinD("ths_adjustment_nv_fund",D$3,$A914))</x:f>
        <x:v>#NAME?</x:v>
      </x:c>
      <x:c r="E914" t="e">
        <x:f>IF($A914="","",[1]!thsiFinD("ths_adjustment_nv_fund",E$3,$A914))</x:f>
        <x:v>#NAME?</x:v>
      </x:c>
      <x:c r="F914" t="e">
        <x:f>IF($A914="","",[1]!thsiFinD("ths_adjustment_nv_fund",F$3,$A914))</x:f>
        <x:v>#NAME?</x:v>
      </x:c>
      <x:c r="G914" t="e">
        <x:f>IF($A914="","",[1]!thsiFinD("ths_adjustment_nv_fund",G$3,$A914))</x:f>
        <x:v>#NAME?</x:v>
      </x:c>
      <x:c r="H914" t="e">
        <x:f>IF($A914="","",[1]!thsiFinD("ths_adjustment_nv_fund",H$3,$A914))</x:f>
        <x:v>#NAME?</x:v>
      </x:c>
      <x:c r="I914" t="e">
        <x:f>IF($A914="","",[1]!thsiFinD("ths_adjustment_nv_fund",I$3,$A914))</x:f>
        <x:v>#NAME?</x:v>
      </x:c>
      <x:c r="J914" t="e">
        <x:f>IF($A914="","",[1]!thsiFinD("ths_adjustment_nv_fund",J$3,$A914))</x:f>
        <x:v>#NAME?</x:v>
      </x:c>
      <x:c r="K914" t="e">
        <x:f>IF($A914="","",[1]!thsiFinD("ths_adjustment_nv_fund",K$3,$A914))</x:f>
        <x:v>#NAME?</x:v>
      </x:c>
      <x:c r="L914" t="e">
        <x:f>IF($A914="","",[1]!thsiFinD("ths_adjustment_nv_fund",L$3,$A914))</x:f>
        <x:v>#NAME?</x:v>
      </x:c>
      <x:c r="M914" t="e">
        <x:f>IF($A914="","",[1]!thsiFinD("ths_adjustment_nv_fund",M$3,$A914))</x:f>
        <x:v>#NAME?</x:v>
      </x:c>
      <x:c r="N914" t="e">
        <x:f>IF($A914="","",[1]!thsiFinD("ths_adjustment_nv_fund",N$3,$A914))</x:f>
        <x:v>#NAME?</x:v>
      </x:c>
      <x:c r="O914" t="e">
        <x:f>IF($A914="","",[1]!thsiFinD("ths_adjustment_nv_fund",O$3,$A914))</x:f>
        <x:v>#NAME?</x:v>
      </x:c>
      <x:c r="P914" t="e">
        <x:f>IF($A914="","",[1]!thsiFinD("ths_adjustment_nv_fund",P$3,$A914))</x:f>
        <x:v>#NAME?</x:v>
      </x:c>
      <x:c r="Q914" t="e">
        <x:f>IF($A914="","",[1]!thsiFinD("ths_adjustment_nv_fund",Q$3,$A914))</x:f>
        <x:v>#NAME?</x:v>
      </x:c>
      <x:c r="R914" t="e">
        <x:f>IF($A914="","",[1]!thsiFinD("ths_adjustment_nv_fund",R$3,$A914))</x:f>
        <x:v>#NAME?</x:v>
      </x:c>
      <x:c r="S914" t="e">
        <x:f>IF($A914="","",[1]!thsiFinD("ths_adjustment_nv_fund",S$3,$A914))</x:f>
        <x:v>#NAME?</x:v>
      </x:c>
      <x:c r="T914" t="e">
        <x:f>IF($A914="","",[1]!thsiFinD("ths_adjustment_nv_fund",T$3,$A914))</x:f>
        <x:v>#NAME?</x:v>
      </x:c>
      <x:c r="U914" t="e">
        <x:f>IF($A914="","",[1]!thsiFinD("ths_adjustment_nv_fund",U$3,$A914))</x:f>
        <x:v>#NAME?</x:v>
      </x:c>
      <x:c r="V914" t="e">
        <x:f>IF($A914="","",[1]!thsiFinD("ths_adjustment_nv_fund",V$3,$A914))</x:f>
        <x:v>#NAME?</x:v>
      </x:c>
      <x:c r="W914" t="e">
        <x:f>IF($A914="","",[1]!thsiFinD("ths_adjustment_nv_fund",W$3,$A914))</x:f>
        <x:v>#NAME?</x:v>
      </x:c>
      <x:c r="X914" t="e">
        <x:f>IF($A914="","",[1]!thsiFinD("ths_adjustment_nv_fund",X$3,$A914))</x:f>
        <x:v>#NAME?</x:v>
      </x:c>
      <x:c r="Y914" t="e">
        <x:f>IF($A914="","",[1]!thsiFinD("ths_adjustment_nv_fund",Y$3,$A914))</x:f>
        <x:v>#NAME?</x:v>
      </x:c>
    </x:row>
    <x:row r="915">
      <x:c r="B915" t="e">
        <x:f>IF($A915="","",[1]!thsiFinD("ths_adjustment_nv_fund",B$3,$A915))</x:f>
        <x:v>#NAME?</x:v>
      </x:c>
      <x:c r="C915" t="e">
        <x:f>IF($A915="","",[1]!thsiFinD("ths_adjustment_nv_fund",C$3,$A915))</x:f>
        <x:v>#NAME?</x:v>
      </x:c>
      <x:c r="D915" t="e">
        <x:f>IF($A915="","",[1]!thsiFinD("ths_adjustment_nv_fund",D$3,$A915))</x:f>
        <x:v>#NAME?</x:v>
      </x:c>
      <x:c r="E915" t="e">
        <x:f>IF($A915="","",[1]!thsiFinD("ths_adjustment_nv_fund",E$3,$A915))</x:f>
        <x:v>#NAME?</x:v>
      </x:c>
      <x:c r="F915" t="e">
        <x:f>IF($A915="","",[1]!thsiFinD("ths_adjustment_nv_fund",F$3,$A915))</x:f>
        <x:v>#NAME?</x:v>
      </x:c>
      <x:c r="G915" t="e">
        <x:f>IF($A915="","",[1]!thsiFinD("ths_adjustment_nv_fund",G$3,$A915))</x:f>
        <x:v>#NAME?</x:v>
      </x:c>
      <x:c r="H915" t="e">
        <x:f>IF($A915="","",[1]!thsiFinD("ths_adjustment_nv_fund",H$3,$A915))</x:f>
        <x:v>#NAME?</x:v>
      </x:c>
      <x:c r="I915" t="e">
        <x:f>IF($A915="","",[1]!thsiFinD("ths_adjustment_nv_fund",I$3,$A915))</x:f>
        <x:v>#NAME?</x:v>
      </x:c>
      <x:c r="J915" t="e">
        <x:f>IF($A915="","",[1]!thsiFinD("ths_adjustment_nv_fund",J$3,$A915))</x:f>
        <x:v>#NAME?</x:v>
      </x:c>
      <x:c r="K915" t="e">
        <x:f>IF($A915="","",[1]!thsiFinD("ths_adjustment_nv_fund",K$3,$A915))</x:f>
        <x:v>#NAME?</x:v>
      </x:c>
      <x:c r="L915" t="e">
        <x:f>IF($A915="","",[1]!thsiFinD("ths_adjustment_nv_fund",L$3,$A915))</x:f>
        <x:v>#NAME?</x:v>
      </x:c>
      <x:c r="M915" t="e">
        <x:f>IF($A915="","",[1]!thsiFinD("ths_adjustment_nv_fund",M$3,$A915))</x:f>
        <x:v>#NAME?</x:v>
      </x:c>
      <x:c r="N915" t="e">
        <x:f>IF($A915="","",[1]!thsiFinD("ths_adjustment_nv_fund",N$3,$A915))</x:f>
        <x:v>#NAME?</x:v>
      </x:c>
      <x:c r="O915" t="e">
        <x:f>IF($A915="","",[1]!thsiFinD("ths_adjustment_nv_fund",O$3,$A915))</x:f>
        <x:v>#NAME?</x:v>
      </x:c>
      <x:c r="P915" t="e">
        <x:f>IF($A915="","",[1]!thsiFinD("ths_adjustment_nv_fund",P$3,$A915))</x:f>
        <x:v>#NAME?</x:v>
      </x:c>
      <x:c r="Q915" t="e">
        <x:f>IF($A915="","",[1]!thsiFinD("ths_adjustment_nv_fund",Q$3,$A915))</x:f>
        <x:v>#NAME?</x:v>
      </x:c>
      <x:c r="R915" t="e">
        <x:f>IF($A915="","",[1]!thsiFinD("ths_adjustment_nv_fund",R$3,$A915))</x:f>
        <x:v>#NAME?</x:v>
      </x:c>
      <x:c r="S915" t="e">
        <x:f>IF($A915="","",[1]!thsiFinD("ths_adjustment_nv_fund",S$3,$A915))</x:f>
        <x:v>#NAME?</x:v>
      </x:c>
      <x:c r="T915" t="e">
        <x:f>IF($A915="","",[1]!thsiFinD("ths_adjustment_nv_fund",T$3,$A915))</x:f>
        <x:v>#NAME?</x:v>
      </x:c>
      <x:c r="U915" t="e">
        <x:f>IF($A915="","",[1]!thsiFinD("ths_adjustment_nv_fund",U$3,$A915))</x:f>
        <x:v>#NAME?</x:v>
      </x:c>
      <x:c r="V915" t="e">
        <x:f>IF($A915="","",[1]!thsiFinD("ths_adjustment_nv_fund",V$3,$A915))</x:f>
        <x:v>#NAME?</x:v>
      </x:c>
      <x:c r="W915" t="e">
        <x:f>IF($A915="","",[1]!thsiFinD("ths_adjustment_nv_fund",W$3,$A915))</x:f>
        <x:v>#NAME?</x:v>
      </x:c>
      <x:c r="X915" t="e">
        <x:f>IF($A915="","",[1]!thsiFinD("ths_adjustment_nv_fund",X$3,$A915))</x:f>
        <x:v>#NAME?</x:v>
      </x:c>
      <x:c r="Y915" t="e">
        <x:f>IF($A915="","",[1]!thsiFinD("ths_adjustment_nv_fund",Y$3,$A915))</x:f>
        <x:v>#NAME?</x:v>
      </x:c>
    </x:row>
    <x:row r="916">
      <x:c r="B916" t="e">
        <x:f>IF($A916="","",[1]!thsiFinD("ths_adjustment_nv_fund",B$3,$A916))</x:f>
        <x:v>#NAME?</x:v>
      </x:c>
      <x:c r="C916" t="e">
        <x:f>IF($A916="","",[1]!thsiFinD("ths_adjustment_nv_fund",C$3,$A916))</x:f>
        <x:v>#NAME?</x:v>
      </x:c>
      <x:c r="D916" t="e">
        <x:f>IF($A916="","",[1]!thsiFinD("ths_adjustment_nv_fund",D$3,$A916))</x:f>
        <x:v>#NAME?</x:v>
      </x:c>
      <x:c r="E916" t="e">
        <x:f>IF($A916="","",[1]!thsiFinD("ths_adjustment_nv_fund",E$3,$A916))</x:f>
        <x:v>#NAME?</x:v>
      </x:c>
      <x:c r="F916" t="e">
        <x:f>IF($A916="","",[1]!thsiFinD("ths_adjustment_nv_fund",F$3,$A916))</x:f>
        <x:v>#NAME?</x:v>
      </x:c>
      <x:c r="G916" t="e">
        <x:f>IF($A916="","",[1]!thsiFinD("ths_adjustment_nv_fund",G$3,$A916))</x:f>
        <x:v>#NAME?</x:v>
      </x:c>
      <x:c r="H916" t="e">
        <x:f>IF($A916="","",[1]!thsiFinD("ths_adjustment_nv_fund",H$3,$A916))</x:f>
        <x:v>#NAME?</x:v>
      </x:c>
      <x:c r="I916" t="e">
        <x:f>IF($A916="","",[1]!thsiFinD("ths_adjustment_nv_fund",I$3,$A916))</x:f>
        <x:v>#NAME?</x:v>
      </x:c>
      <x:c r="J916" t="e">
        <x:f>IF($A916="","",[1]!thsiFinD("ths_adjustment_nv_fund",J$3,$A916))</x:f>
        <x:v>#NAME?</x:v>
      </x:c>
      <x:c r="K916" t="e">
        <x:f>IF($A916="","",[1]!thsiFinD("ths_adjustment_nv_fund",K$3,$A916))</x:f>
        <x:v>#NAME?</x:v>
      </x:c>
      <x:c r="L916" t="e">
        <x:f>IF($A916="","",[1]!thsiFinD("ths_adjustment_nv_fund",L$3,$A916))</x:f>
        <x:v>#NAME?</x:v>
      </x:c>
      <x:c r="M916" t="e">
        <x:f>IF($A916="","",[1]!thsiFinD("ths_adjustment_nv_fund",M$3,$A916))</x:f>
        <x:v>#NAME?</x:v>
      </x:c>
      <x:c r="N916" t="e">
        <x:f>IF($A916="","",[1]!thsiFinD("ths_adjustment_nv_fund",N$3,$A916))</x:f>
        <x:v>#NAME?</x:v>
      </x:c>
      <x:c r="O916" t="e">
        <x:f>IF($A916="","",[1]!thsiFinD("ths_adjustment_nv_fund",O$3,$A916))</x:f>
        <x:v>#NAME?</x:v>
      </x:c>
      <x:c r="P916" t="e">
        <x:f>IF($A916="","",[1]!thsiFinD("ths_adjustment_nv_fund",P$3,$A916))</x:f>
        <x:v>#NAME?</x:v>
      </x:c>
      <x:c r="Q916" t="e">
        <x:f>IF($A916="","",[1]!thsiFinD("ths_adjustment_nv_fund",Q$3,$A916))</x:f>
        <x:v>#NAME?</x:v>
      </x:c>
      <x:c r="R916" t="e">
        <x:f>IF($A916="","",[1]!thsiFinD("ths_adjustment_nv_fund",R$3,$A916))</x:f>
        <x:v>#NAME?</x:v>
      </x:c>
      <x:c r="S916" t="e">
        <x:f>IF($A916="","",[1]!thsiFinD("ths_adjustment_nv_fund",S$3,$A916))</x:f>
        <x:v>#NAME?</x:v>
      </x:c>
      <x:c r="T916" t="e">
        <x:f>IF($A916="","",[1]!thsiFinD("ths_adjustment_nv_fund",T$3,$A916))</x:f>
        <x:v>#NAME?</x:v>
      </x:c>
      <x:c r="U916" t="e">
        <x:f>IF($A916="","",[1]!thsiFinD("ths_adjustment_nv_fund",U$3,$A916))</x:f>
        <x:v>#NAME?</x:v>
      </x:c>
      <x:c r="V916" t="e">
        <x:f>IF($A916="","",[1]!thsiFinD("ths_adjustment_nv_fund",V$3,$A916))</x:f>
        <x:v>#NAME?</x:v>
      </x:c>
      <x:c r="W916" t="e">
        <x:f>IF($A916="","",[1]!thsiFinD("ths_adjustment_nv_fund",W$3,$A916))</x:f>
        <x:v>#NAME?</x:v>
      </x:c>
      <x:c r="X916" t="e">
        <x:f>IF($A916="","",[1]!thsiFinD("ths_adjustment_nv_fund",X$3,$A916))</x:f>
        <x:v>#NAME?</x:v>
      </x:c>
      <x:c r="Y916" t="e">
        <x:f>IF($A916="","",[1]!thsiFinD("ths_adjustment_nv_fund",Y$3,$A916))</x:f>
        <x:v>#NAME?</x:v>
      </x:c>
    </x:row>
    <x:row r="917">
      <x:c r="B917" t="e">
        <x:f>IF($A917="","",[1]!thsiFinD("ths_adjustment_nv_fund",B$3,$A917))</x:f>
        <x:v>#NAME?</x:v>
      </x:c>
      <x:c r="C917" t="e">
        <x:f>IF($A917="","",[1]!thsiFinD("ths_adjustment_nv_fund",C$3,$A917))</x:f>
        <x:v>#NAME?</x:v>
      </x:c>
      <x:c r="D917" t="e">
        <x:f>IF($A917="","",[1]!thsiFinD("ths_adjustment_nv_fund",D$3,$A917))</x:f>
        <x:v>#NAME?</x:v>
      </x:c>
      <x:c r="E917" t="e">
        <x:f>IF($A917="","",[1]!thsiFinD("ths_adjustment_nv_fund",E$3,$A917))</x:f>
        <x:v>#NAME?</x:v>
      </x:c>
      <x:c r="F917" t="e">
        <x:f>IF($A917="","",[1]!thsiFinD("ths_adjustment_nv_fund",F$3,$A917))</x:f>
        <x:v>#NAME?</x:v>
      </x:c>
      <x:c r="G917" t="e">
        <x:f>IF($A917="","",[1]!thsiFinD("ths_adjustment_nv_fund",G$3,$A917))</x:f>
        <x:v>#NAME?</x:v>
      </x:c>
      <x:c r="H917" t="e">
        <x:f>IF($A917="","",[1]!thsiFinD("ths_adjustment_nv_fund",H$3,$A917))</x:f>
        <x:v>#NAME?</x:v>
      </x:c>
      <x:c r="I917" t="e">
        <x:f>IF($A917="","",[1]!thsiFinD("ths_adjustment_nv_fund",I$3,$A917))</x:f>
        <x:v>#NAME?</x:v>
      </x:c>
      <x:c r="J917" t="e">
        <x:f>IF($A917="","",[1]!thsiFinD("ths_adjustment_nv_fund",J$3,$A917))</x:f>
        <x:v>#NAME?</x:v>
      </x:c>
      <x:c r="K917" t="e">
        <x:f>IF($A917="","",[1]!thsiFinD("ths_adjustment_nv_fund",K$3,$A917))</x:f>
        <x:v>#NAME?</x:v>
      </x:c>
      <x:c r="L917" t="e">
        <x:f>IF($A917="","",[1]!thsiFinD("ths_adjustment_nv_fund",L$3,$A917))</x:f>
        <x:v>#NAME?</x:v>
      </x:c>
      <x:c r="M917" t="e">
        <x:f>IF($A917="","",[1]!thsiFinD("ths_adjustment_nv_fund",M$3,$A917))</x:f>
        <x:v>#NAME?</x:v>
      </x:c>
      <x:c r="N917" t="e">
        <x:f>IF($A917="","",[1]!thsiFinD("ths_adjustment_nv_fund",N$3,$A917))</x:f>
        <x:v>#NAME?</x:v>
      </x:c>
      <x:c r="O917" t="e">
        <x:f>IF($A917="","",[1]!thsiFinD("ths_adjustment_nv_fund",O$3,$A917))</x:f>
        <x:v>#NAME?</x:v>
      </x:c>
      <x:c r="P917" t="e">
        <x:f>IF($A917="","",[1]!thsiFinD("ths_adjustment_nv_fund",P$3,$A917))</x:f>
        <x:v>#NAME?</x:v>
      </x:c>
      <x:c r="Q917" t="e">
        <x:f>IF($A917="","",[1]!thsiFinD("ths_adjustment_nv_fund",Q$3,$A917))</x:f>
        <x:v>#NAME?</x:v>
      </x:c>
      <x:c r="R917" t="e">
        <x:f>IF($A917="","",[1]!thsiFinD("ths_adjustment_nv_fund",R$3,$A917))</x:f>
        <x:v>#NAME?</x:v>
      </x:c>
      <x:c r="S917" t="e">
        <x:f>IF($A917="","",[1]!thsiFinD("ths_adjustment_nv_fund",S$3,$A917))</x:f>
        <x:v>#NAME?</x:v>
      </x:c>
      <x:c r="T917" t="e">
        <x:f>IF($A917="","",[1]!thsiFinD("ths_adjustment_nv_fund",T$3,$A917))</x:f>
        <x:v>#NAME?</x:v>
      </x:c>
      <x:c r="U917" t="e">
        <x:f>IF($A917="","",[1]!thsiFinD("ths_adjustment_nv_fund",U$3,$A917))</x:f>
        <x:v>#NAME?</x:v>
      </x:c>
      <x:c r="V917" t="e">
        <x:f>IF($A917="","",[1]!thsiFinD("ths_adjustment_nv_fund",V$3,$A917))</x:f>
        <x:v>#NAME?</x:v>
      </x:c>
      <x:c r="W917" t="e">
        <x:f>IF($A917="","",[1]!thsiFinD("ths_adjustment_nv_fund",W$3,$A917))</x:f>
        <x:v>#NAME?</x:v>
      </x:c>
      <x:c r="X917" t="e">
        <x:f>IF($A917="","",[1]!thsiFinD("ths_adjustment_nv_fund",X$3,$A917))</x:f>
        <x:v>#NAME?</x:v>
      </x:c>
      <x:c r="Y917" t="e">
        <x:f>IF($A917="","",[1]!thsiFinD("ths_adjustment_nv_fund",Y$3,$A917))</x:f>
        <x:v>#NAME?</x:v>
      </x:c>
    </x:row>
    <x:row r="918">
      <x:c r="B918" t="e">
        <x:f>IF($A918="","",[1]!thsiFinD("ths_adjustment_nv_fund",B$3,$A918))</x:f>
        <x:v>#NAME?</x:v>
      </x:c>
      <x:c r="C918" t="e">
        <x:f>IF($A918="","",[1]!thsiFinD("ths_adjustment_nv_fund",C$3,$A918))</x:f>
        <x:v>#NAME?</x:v>
      </x:c>
      <x:c r="D918" t="e">
        <x:f>IF($A918="","",[1]!thsiFinD("ths_adjustment_nv_fund",D$3,$A918))</x:f>
        <x:v>#NAME?</x:v>
      </x:c>
      <x:c r="E918" t="e">
        <x:f>IF($A918="","",[1]!thsiFinD("ths_adjustment_nv_fund",E$3,$A918))</x:f>
        <x:v>#NAME?</x:v>
      </x:c>
      <x:c r="F918" t="e">
        <x:f>IF($A918="","",[1]!thsiFinD("ths_adjustment_nv_fund",F$3,$A918))</x:f>
        <x:v>#NAME?</x:v>
      </x:c>
      <x:c r="G918" t="e">
        <x:f>IF($A918="","",[1]!thsiFinD("ths_adjustment_nv_fund",G$3,$A918))</x:f>
        <x:v>#NAME?</x:v>
      </x:c>
      <x:c r="H918" t="e">
        <x:f>IF($A918="","",[1]!thsiFinD("ths_adjustment_nv_fund",H$3,$A918))</x:f>
        <x:v>#NAME?</x:v>
      </x:c>
      <x:c r="I918" t="e">
        <x:f>IF($A918="","",[1]!thsiFinD("ths_adjustment_nv_fund",I$3,$A918))</x:f>
        <x:v>#NAME?</x:v>
      </x:c>
      <x:c r="J918" t="e">
        <x:f>IF($A918="","",[1]!thsiFinD("ths_adjustment_nv_fund",J$3,$A918))</x:f>
        <x:v>#NAME?</x:v>
      </x:c>
      <x:c r="K918" t="e">
        <x:f>IF($A918="","",[1]!thsiFinD("ths_adjustment_nv_fund",K$3,$A918))</x:f>
        <x:v>#NAME?</x:v>
      </x:c>
      <x:c r="L918" t="e">
        <x:f>IF($A918="","",[1]!thsiFinD("ths_adjustment_nv_fund",L$3,$A918))</x:f>
        <x:v>#NAME?</x:v>
      </x:c>
      <x:c r="M918" t="e">
        <x:f>IF($A918="","",[1]!thsiFinD("ths_adjustment_nv_fund",M$3,$A918))</x:f>
        <x:v>#NAME?</x:v>
      </x:c>
      <x:c r="N918" t="e">
        <x:f>IF($A918="","",[1]!thsiFinD("ths_adjustment_nv_fund",N$3,$A918))</x:f>
        <x:v>#NAME?</x:v>
      </x:c>
      <x:c r="O918" t="e">
        <x:f>IF($A918="","",[1]!thsiFinD("ths_adjustment_nv_fund",O$3,$A918))</x:f>
        <x:v>#NAME?</x:v>
      </x:c>
      <x:c r="P918" t="e">
        <x:f>IF($A918="","",[1]!thsiFinD("ths_adjustment_nv_fund",P$3,$A918))</x:f>
        <x:v>#NAME?</x:v>
      </x:c>
      <x:c r="Q918" t="e">
        <x:f>IF($A918="","",[1]!thsiFinD("ths_adjustment_nv_fund",Q$3,$A918))</x:f>
        <x:v>#NAME?</x:v>
      </x:c>
      <x:c r="R918" t="e">
        <x:f>IF($A918="","",[1]!thsiFinD("ths_adjustment_nv_fund",R$3,$A918))</x:f>
        <x:v>#NAME?</x:v>
      </x:c>
      <x:c r="S918" t="e">
        <x:f>IF($A918="","",[1]!thsiFinD("ths_adjustment_nv_fund",S$3,$A918))</x:f>
        <x:v>#NAME?</x:v>
      </x:c>
      <x:c r="T918" t="e">
        <x:f>IF($A918="","",[1]!thsiFinD("ths_adjustment_nv_fund",T$3,$A918))</x:f>
        <x:v>#NAME?</x:v>
      </x:c>
      <x:c r="U918" t="e">
        <x:f>IF($A918="","",[1]!thsiFinD("ths_adjustment_nv_fund",U$3,$A918))</x:f>
        <x:v>#NAME?</x:v>
      </x:c>
      <x:c r="V918" t="e">
        <x:f>IF($A918="","",[1]!thsiFinD("ths_adjustment_nv_fund",V$3,$A918))</x:f>
        <x:v>#NAME?</x:v>
      </x:c>
      <x:c r="W918" t="e">
        <x:f>IF($A918="","",[1]!thsiFinD("ths_adjustment_nv_fund",W$3,$A918))</x:f>
        <x:v>#NAME?</x:v>
      </x:c>
      <x:c r="X918" t="e">
        <x:f>IF($A918="","",[1]!thsiFinD("ths_adjustment_nv_fund",X$3,$A918))</x:f>
        <x:v>#NAME?</x:v>
      </x:c>
      <x:c r="Y918" t="e">
        <x:f>IF($A918="","",[1]!thsiFinD("ths_adjustment_nv_fund",Y$3,$A918))</x:f>
        <x:v>#NAME?</x:v>
      </x:c>
    </x:row>
    <x:row r="919">
      <x:c r="B919" t="e">
        <x:f>IF($A919="","",[1]!thsiFinD("ths_adjustment_nv_fund",B$3,$A919))</x:f>
        <x:v>#NAME?</x:v>
      </x:c>
      <x:c r="C919" t="e">
        <x:f>IF($A919="","",[1]!thsiFinD("ths_adjustment_nv_fund",C$3,$A919))</x:f>
        <x:v>#NAME?</x:v>
      </x:c>
      <x:c r="D919" t="e">
        <x:f>IF($A919="","",[1]!thsiFinD("ths_adjustment_nv_fund",D$3,$A919))</x:f>
        <x:v>#NAME?</x:v>
      </x:c>
      <x:c r="E919" t="e">
        <x:f>IF($A919="","",[1]!thsiFinD("ths_adjustment_nv_fund",E$3,$A919))</x:f>
        <x:v>#NAME?</x:v>
      </x:c>
      <x:c r="F919" t="e">
        <x:f>IF($A919="","",[1]!thsiFinD("ths_adjustment_nv_fund",F$3,$A919))</x:f>
        <x:v>#NAME?</x:v>
      </x:c>
      <x:c r="G919" t="e">
        <x:f>IF($A919="","",[1]!thsiFinD("ths_adjustment_nv_fund",G$3,$A919))</x:f>
        <x:v>#NAME?</x:v>
      </x:c>
      <x:c r="H919" t="e">
        <x:f>IF($A919="","",[1]!thsiFinD("ths_adjustment_nv_fund",H$3,$A919))</x:f>
        <x:v>#NAME?</x:v>
      </x:c>
      <x:c r="I919" t="e">
        <x:f>IF($A919="","",[1]!thsiFinD("ths_adjustment_nv_fund",I$3,$A919))</x:f>
        <x:v>#NAME?</x:v>
      </x:c>
      <x:c r="J919" t="e">
        <x:f>IF($A919="","",[1]!thsiFinD("ths_adjustment_nv_fund",J$3,$A919))</x:f>
        <x:v>#NAME?</x:v>
      </x:c>
      <x:c r="K919" t="e">
        <x:f>IF($A919="","",[1]!thsiFinD("ths_adjustment_nv_fund",K$3,$A919))</x:f>
        <x:v>#NAME?</x:v>
      </x:c>
      <x:c r="L919" t="e">
        <x:f>IF($A919="","",[1]!thsiFinD("ths_adjustment_nv_fund",L$3,$A919))</x:f>
        <x:v>#NAME?</x:v>
      </x:c>
      <x:c r="M919" t="e">
        <x:f>IF($A919="","",[1]!thsiFinD("ths_adjustment_nv_fund",M$3,$A919))</x:f>
        <x:v>#NAME?</x:v>
      </x:c>
      <x:c r="N919" t="e">
        <x:f>IF($A919="","",[1]!thsiFinD("ths_adjustment_nv_fund",N$3,$A919))</x:f>
        <x:v>#NAME?</x:v>
      </x:c>
      <x:c r="O919" t="e">
        <x:f>IF($A919="","",[1]!thsiFinD("ths_adjustment_nv_fund",O$3,$A919))</x:f>
        <x:v>#NAME?</x:v>
      </x:c>
      <x:c r="P919" t="e">
        <x:f>IF($A919="","",[1]!thsiFinD("ths_adjustment_nv_fund",P$3,$A919))</x:f>
        <x:v>#NAME?</x:v>
      </x:c>
      <x:c r="Q919" t="e">
        <x:f>IF($A919="","",[1]!thsiFinD("ths_adjustment_nv_fund",Q$3,$A919))</x:f>
        <x:v>#NAME?</x:v>
      </x:c>
      <x:c r="R919" t="e">
        <x:f>IF($A919="","",[1]!thsiFinD("ths_adjustment_nv_fund",R$3,$A919))</x:f>
        <x:v>#NAME?</x:v>
      </x:c>
      <x:c r="S919" t="e">
        <x:f>IF($A919="","",[1]!thsiFinD("ths_adjustment_nv_fund",S$3,$A919))</x:f>
        <x:v>#NAME?</x:v>
      </x:c>
      <x:c r="T919" t="e">
        <x:f>IF($A919="","",[1]!thsiFinD("ths_adjustment_nv_fund",T$3,$A919))</x:f>
        <x:v>#NAME?</x:v>
      </x:c>
      <x:c r="U919" t="e">
        <x:f>IF($A919="","",[1]!thsiFinD("ths_adjustment_nv_fund",U$3,$A919))</x:f>
        <x:v>#NAME?</x:v>
      </x:c>
      <x:c r="V919" t="e">
        <x:f>IF($A919="","",[1]!thsiFinD("ths_adjustment_nv_fund",V$3,$A919))</x:f>
        <x:v>#NAME?</x:v>
      </x:c>
      <x:c r="W919" t="e">
        <x:f>IF($A919="","",[1]!thsiFinD("ths_adjustment_nv_fund",W$3,$A919))</x:f>
        <x:v>#NAME?</x:v>
      </x:c>
      <x:c r="X919" t="e">
        <x:f>IF($A919="","",[1]!thsiFinD("ths_adjustment_nv_fund",X$3,$A919))</x:f>
        <x:v>#NAME?</x:v>
      </x:c>
      <x:c r="Y919" t="e">
        <x:f>IF($A919="","",[1]!thsiFinD("ths_adjustment_nv_fund",Y$3,$A919))</x:f>
        <x:v>#NAME?</x:v>
      </x:c>
    </x:row>
    <x:row r="920">
      <x:c r="B920" t="e">
        <x:f>IF($A920="","",[1]!thsiFinD("ths_adjustment_nv_fund",B$3,$A920))</x:f>
        <x:v>#NAME?</x:v>
      </x:c>
      <x:c r="C920" t="e">
        <x:f>IF($A920="","",[1]!thsiFinD("ths_adjustment_nv_fund",C$3,$A920))</x:f>
        <x:v>#NAME?</x:v>
      </x:c>
      <x:c r="D920" t="e">
        <x:f>IF($A920="","",[1]!thsiFinD("ths_adjustment_nv_fund",D$3,$A920))</x:f>
        <x:v>#NAME?</x:v>
      </x:c>
      <x:c r="E920" t="e">
        <x:f>IF($A920="","",[1]!thsiFinD("ths_adjustment_nv_fund",E$3,$A920))</x:f>
        <x:v>#NAME?</x:v>
      </x:c>
      <x:c r="F920" t="e">
        <x:f>IF($A920="","",[1]!thsiFinD("ths_adjustment_nv_fund",F$3,$A920))</x:f>
        <x:v>#NAME?</x:v>
      </x:c>
      <x:c r="G920" t="e">
        <x:f>IF($A920="","",[1]!thsiFinD("ths_adjustment_nv_fund",G$3,$A920))</x:f>
        <x:v>#NAME?</x:v>
      </x:c>
      <x:c r="H920" t="e">
        <x:f>IF($A920="","",[1]!thsiFinD("ths_adjustment_nv_fund",H$3,$A920))</x:f>
        <x:v>#NAME?</x:v>
      </x:c>
      <x:c r="I920" t="e">
        <x:f>IF($A920="","",[1]!thsiFinD("ths_adjustment_nv_fund",I$3,$A920))</x:f>
        <x:v>#NAME?</x:v>
      </x:c>
      <x:c r="J920" t="e">
        <x:f>IF($A920="","",[1]!thsiFinD("ths_adjustment_nv_fund",J$3,$A920))</x:f>
        <x:v>#NAME?</x:v>
      </x:c>
      <x:c r="K920" t="e">
        <x:f>IF($A920="","",[1]!thsiFinD("ths_adjustment_nv_fund",K$3,$A920))</x:f>
        <x:v>#NAME?</x:v>
      </x:c>
      <x:c r="L920" t="e">
        <x:f>IF($A920="","",[1]!thsiFinD("ths_adjustment_nv_fund",L$3,$A920))</x:f>
        <x:v>#NAME?</x:v>
      </x:c>
      <x:c r="M920" t="e">
        <x:f>IF($A920="","",[1]!thsiFinD("ths_adjustment_nv_fund",M$3,$A920))</x:f>
        <x:v>#NAME?</x:v>
      </x:c>
      <x:c r="N920" t="e">
        <x:f>IF($A920="","",[1]!thsiFinD("ths_adjustment_nv_fund",N$3,$A920))</x:f>
        <x:v>#NAME?</x:v>
      </x:c>
      <x:c r="O920" t="e">
        <x:f>IF($A920="","",[1]!thsiFinD("ths_adjustment_nv_fund",O$3,$A920))</x:f>
        <x:v>#NAME?</x:v>
      </x:c>
      <x:c r="P920" t="e">
        <x:f>IF($A920="","",[1]!thsiFinD("ths_adjustment_nv_fund",P$3,$A920))</x:f>
        <x:v>#NAME?</x:v>
      </x:c>
      <x:c r="Q920" t="e">
        <x:f>IF($A920="","",[1]!thsiFinD("ths_adjustment_nv_fund",Q$3,$A920))</x:f>
        <x:v>#NAME?</x:v>
      </x:c>
      <x:c r="R920" t="e">
        <x:f>IF($A920="","",[1]!thsiFinD("ths_adjustment_nv_fund",R$3,$A920))</x:f>
        <x:v>#NAME?</x:v>
      </x:c>
      <x:c r="S920" t="e">
        <x:f>IF($A920="","",[1]!thsiFinD("ths_adjustment_nv_fund",S$3,$A920))</x:f>
        <x:v>#NAME?</x:v>
      </x:c>
      <x:c r="T920" t="e">
        <x:f>IF($A920="","",[1]!thsiFinD("ths_adjustment_nv_fund",T$3,$A920))</x:f>
        <x:v>#NAME?</x:v>
      </x:c>
      <x:c r="U920" t="e">
        <x:f>IF($A920="","",[1]!thsiFinD("ths_adjustment_nv_fund",U$3,$A920))</x:f>
        <x:v>#NAME?</x:v>
      </x:c>
      <x:c r="V920" t="e">
        <x:f>IF($A920="","",[1]!thsiFinD("ths_adjustment_nv_fund",V$3,$A920))</x:f>
        <x:v>#NAME?</x:v>
      </x:c>
      <x:c r="W920" t="e">
        <x:f>IF($A920="","",[1]!thsiFinD("ths_adjustment_nv_fund",W$3,$A920))</x:f>
        <x:v>#NAME?</x:v>
      </x:c>
      <x:c r="X920" t="e">
        <x:f>IF($A920="","",[1]!thsiFinD("ths_adjustment_nv_fund",X$3,$A920))</x:f>
        <x:v>#NAME?</x:v>
      </x:c>
      <x:c r="Y920" t="e">
        <x:f>IF($A920="","",[1]!thsiFinD("ths_adjustment_nv_fund",Y$3,$A920))</x:f>
        <x:v>#NAME?</x:v>
      </x:c>
    </x:row>
    <x:row r="921">
      <x:c r="B921" t="e">
        <x:f>IF($A921="","",[1]!thsiFinD("ths_adjustment_nv_fund",B$3,$A921))</x:f>
        <x:v>#NAME?</x:v>
      </x:c>
      <x:c r="C921" t="e">
        <x:f>IF($A921="","",[1]!thsiFinD("ths_adjustment_nv_fund",C$3,$A921))</x:f>
        <x:v>#NAME?</x:v>
      </x:c>
      <x:c r="D921" t="e">
        <x:f>IF($A921="","",[1]!thsiFinD("ths_adjustment_nv_fund",D$3,$A921))</x:f>
        <x:v>#NAME?</x:v>
      </x:c>
      <x:c r="E921" t="e">
        <x:f>IF($A921="","",[1]!thsiFinD("ths_adjustment_nv_fund",E$3,$A921))</x:f>
        <x:v>#NAME?</x:v>
      </x:c>
      <x:c r="F921" t="e">
        <x:f>IF($A921="","",[1]!thsiFinD("ths_adjustment_nv_fund",F$3,$A921))</x:f>
        <x:v>#NAME?</x:v>
      </x:c>
      <x:c r="G921" t="e">
        <x:f>IF($A921="","",[1]!thsiFinD("ths_adjustment_nv_fund",G$3,$A921))</x:f>
        <x:v>#NAME?</x:v>
      </x:c>
      <x:c r="H921" t="e">
        <x:f>IF($A921="","",[1]!thsiFinD("ths_adjustment_nv_fund",H$3,$A921))</x:f>
        <x:v>#NAME?</x:v>
      </x:c>
      <x:c r="I921" t="e">
        <x:f>IF($A921="","",[1]!thsiFinD("ths_adjustment_nv_fund",I$3,$A921))</x:f>
        <x:v>#NAME?</x:v>
      </x:c>
      <x:c r="J921" t="e">
        <x:f>IF($A921="","",[1]!thsiFinD("ths_adjustment_nv_fund",J$3,$A921))</x:f>
        <x:v>#NAME?</x:v>
      </x:c>
      <x:c r="K921" t="e">
        <x:f>IF($A921="","",[1]!thsiFinD("ths_adjustment_nv_fund",K$3,$A921))</x:f>
        <x:v>#NAME?</x:v>
      </x:c>
      <x:c r="L921" t="e">
        <x:f>IF($A921="","",[1]!thsiFinD("ths_adjustment_nv_fund",L$3,$A921))</x:f>
        <x:v>#NAME?</x:v>
      </x:c>
      <x:c r="M921" t="e">
        <x:f>IF($A921="","",[1]!thsiFinD("ths_adjustment_nv_fund",M$3,$A921))</x:f>
        <x:v>#NAME?</x:v>
      </x:c>
      <x:c r="N921" t="e">
        <x:f>IF($A921="","",[1]!thsiFinD("ths_adjustment_nv_fund",N$3,$A921))</x:f>
        <x:v>#NAME?</x:v>
      </x:c>
      <x:c r="O921" t="e">
        <x:f>IF($A921="","",[1]!thsiFinD("ths_adjustment_nv_fund",O$3,$A921))</x:f>
        <x:v>#NAME?</x:v>
      </x:c>
      <x:c r="P921" t="e">
        <x:f>IF($A921="","",[1]!thsiFinD("ths_adjustment_nv_fund",P$3,$A921))</x:f>
        <x:v>#NAME?</x:v>
      </x:c>
      <x:c r="Q921" t="e">
        <x:f>IF($A921="","",[1]!thsiFinD("ths_adjustment_nv_fund",Q$3,$A921))</x:f>
        <x:v>#NAME?</x:v>
      </x:c>
      <x:c r="R921" t="e">
        <x:f>IF($A921="","",[1]!thsiFinD("ths_adjustment_nv_fund",R$3,$A921))</x:f>
        <x:v>#NAME?</x:v>
      </x:c>
      <x:c r="S921" t="e">
        <x:f>IF($A921="","",[1]!thsiFinD("ths_adjustment_nv_fund",S$3,$A921))</x:f>
        <x:v>#NAME?</x:v>
      </x:c>
      <x:c r="T921" t="e">
        <x:f>IF($A921="","",[1]!thsiFinD("ths_adjustment_nv_fund",T$3,$A921))</x:f>
        <x:v>#NAME?</x:v>
      </x:c>
      <x:c r="U921" t="e">
        <x:f>IF($A921="","",[1]!thsiFinD("ths_adjustment_nv_fund",U$3,$A921))</x:f>
        <x:v>#NAME?</x:v>
      </x:c>
      <x:c r="V921" t="e">
        <x:f>IF($A921="","",[1]!thsiFinD("ths_adjustment_nv_fund",V$3,$A921))</x:f>
        <x:v>#NAME?</x:v>
      </x:c>
      <x:c r="W921" t="e">
        <x:f>IF($A921="","",[1]!thsiFinD("ths_adjustment_nv_fund",W$3,$A921))</x:f>
        <x:v>#NAME?</x:v>
      </x:c>
      <x:c r="X921" t="e">
        <x:f>IF($A921="","",[1]!thsiFinD("ths_adjustment_nv_fund",X$3,$A921))</x:f>
        <x:v>#NAME?</x:v>
      </x:c>
      <x:c r="Y921" t="e">
        <x:f>IF($A921="","",[1]!thsiFinD("ths_adjustment_nv_fund",Y$3,$A921))</x:f>
        <x:v>#NAME?</x:v>
      </x:c>
    </x:row>
    <x:row r="922">
      <x:c r="B922" t="e">
        <x:f>IF($A922="","",[1]!thsiFinD("ths_adjustment_nv_fund",B$3,$A922))</x:f>
        <x:v>#NAME?</x:v>
      </x:c>
      <x:c r="C922" t="e">
        <x:f>IF($A922="","",[1]!thsiFinD("ths_adjustment_nv_fund",C$3,$A922))</x:f>
        <x:v>#NAME?</x:v>
      </x:c>
      <x:c r="D922" t="e">
        <x:f>IF($A922="","",[1]!thsiFinD("ths_adjustment_nv_fund",D$3,$A922))</x:f>
        <x:v>#NAME?</x:v>
      </x:c>
      <x:c r="E922" t="e">
        <x:f>IF($A922="","",[1]!thsiFinD("ths_adjustment_nv_fund",E$3,$A922))</x:f>
        <x:v>#NAME?</x:v>
      </x:c>
      <x:c r="F922" t="e">
        <x:f>IF($A922="","",[1]!thsiFinD("ths_adjustment_nv_fund",F$3,$A922))</x:f>
        <x:v>#NAME?</x:v>
      </x:c>
      <x:c r="G922" t="e">
        <x:f>IF($A922="","",[1]!thsiFinD("ths_adjustment_nv_fund",G$3,$A922))</x:f>
        <x:v>#NAME?</x:v>
      </x:c>
      <x:c r="H922" t="e">
        <x:f>IF($A922="","",[1]!thsiFinD("ths_adjustment_nv_fund",H$3,$A922))</x:f>
        <x:v>#NAME?</x:v>
      </x:c>
      <x:c r="I922" t="e">
        <x:f>IF($A922="","",[1]!thsiFinD("ths_adjustment_nv_fund",I$3,$A922))</x:f>
        <x:v>#NAME?</x:v>
      </x:c>
      <x:c r="J922" t="e">
        <x:f>IF($A922="","",[1]!thsiFinD("ths_adjustment_nv_fund",J$3,$A922))</x:f>
        <x:v>#NAME?</x:v>
      </x:c>
      <x:c r="K922" t="e">
        <x:f>IF($A922="","",[1]!thsiFinD("ths_adjustment_nv_fund",K$3,$A922))</x:f>
        <x:v>#NAME?</x:v>
      </x:c>
      <x:c r="L922" t="e">
        <x:f>IF($A922="","",[1]!thsiFinD("ths_adjustment_nv_fund",L$3,$A922))</x:f>
        <x:v>#NAME?</x:v>
      </x:c>
      <x:c r="M922" t="e">
        <x:f>IF($A922="","",[1]!thsiFinD("ths_adjustment_nv_fund",M$3,$A922))</x:f>
        <x:v>#NAME?</x:v>
      </x:c>
      <x:c r="N922" t="e">
        <x:f>IF($A922="","",[1]!thsiFinD("ths_adjustment_nv_fund",N$3,$A922))</x:f>
        <x:v>#NAME?</x:v>
      </x:c>
      <x:c r="O922" t="e">
        <x:f>IF($A922="","",[1]!thsiFinD("ths_adjustment_nv_fund",O$3,$A922))</x:f>
        <x:v>#NAME?</x:v>
      </x:c>
      <x:c r="P922" t="e">
        <x:f>IF($A922="","",[1]!thsiFinD("ths_adjustment_nv_fund",P$3,$A922))</x:f>
        <x:v>#NAME?</x:v>
      </x:c>
      <x:c r="Q922" t="e">
        <x:f>IF($A922="","",[1]!thsiFinD("ths_adjustment_nv_fund",Q$3,$A922))</x:f>
        <x:v>#NAME?</x:v>
      </x:c>
      <x:c r="R922" t="e">
        <x:f>IF($A922="","",[1]!thsiFinD("ths_adjustment_nv_fund",R$3,$A922))</x:f>
        <x:v>#NAME?</x:v>
      </x:c>
      <x:c r="S922" t="e">
        <x:f>IF($A922="","",[1]!thsiFinD("ths_adjustment_nv_fund",S$3,$A922))</x:f>
        <x:v>#NAME?</x:v>
      </x:c>
      <x:c r="T922" t="e">
        <x:f>IF($A922="","",[1]!thsiFinD("ths_adjustment_nv_fund",T$3,$A922))</x:f>
        <x:v>#NAME?</x:v>
      </x:c>
      <x:c r="U922" t="e">
        <x:f>IF($A922="","",[1]!thsiFinD("ths_adjustment_nv_fund",U$3,$A922))</x:f>
        <x:v>#NAME?</x:v>
      </x:c>
      <x:c r="V922" t="e">
        <x:f>IF($A922="","",[1]!thsiFinD("ths_adjustment_nv_fund",V$3,$A922))</x:f>
        <x:v>#NAME?</x:v>
      </x:c>
      <x:c r="W922" t="e">
        <x:f>IF($A922="","",[1]!thsiFinD("ths_adjustment_nv_fund",W$3,$A922))</x:f>
        <x:v>#NAME?</x:v>
      </x:c>
      <x:c r="X922" t="e">
        <x:f>IF($A922="","",[1]!thsiFinD("ths_adjustment_nv_fund",X$3,$A922))</x:f>
        <x:v>#NAME?</x:v>
      </x:c>
      <x:c r="Y922" t="e">
        <x:f>IF($A922="","",[1]!thsiFinD("ths_adjustment_nv_fund",Y$3,$A922))</x:f>
        <x:v>#NAME?</x:v>
      </x:c>
    </x:row>
    <x:row r="923">
      <x:c r="B923" t="e">
        <x:f>IF($A923="","",[1]!thsiFinD("ths_adjustment_nv_fund",B$3,$A923))</x:f>
        <x:v>#NAME?</x:v>
      </x:c>
      <x:c r="C923" t="e">
        <x:f>IF($A923="","",[1]!thsiFinD("ths_adjustment_nv_fund",C$3,$A923))</x:f>
        <x:v>#NAME?</x:v>
      </x:c>
      <x:c r="D923" t="e">
        <x:f>IF($A923="","",[1]!thsiFinD("ths_adjustment_nv_fund",D$3,$A923))</x:f>
        <x:v>#NAME?</x:v>
      </x:c>
      <x:c r="E923" t="e">
        <x:f>IF($A923="","",[1]!thsiFinD("ths_adjustment_nv_fund",E$3,$A923))</x:f>
        <x:v>#NAME?</x:v>
      </x:c>
      <x:c r="F923" t="e">
        <x:f>IF($A923="","",[1]!thsiFinD("ths_adjustment_nv_fund",F$3,$A923))</x:f>
        <x:v>#NAME?</x:v>
      </x:c>
      <x:c r="G923" t="e">
        <x:f>IF($A923="","",[1]!thsiFinD("ths_adjustment_nv_fund",G$3,$A923))</x:f>
        <x:v>#NAME?</x:v>
      </x:c>
      <x:c r="H923" t="e">
        <x:f>IF($A923="","",[1]!thsiFinD("ths_adjustment_nv_fund",H$3,$A923))</x:f>
        <x:v>#NAME?</x:v>
      </x:c>
      <x:c r="I923" t="e">
        <x:f>IF($A923="","",[1]!thsiFinD("ths_adjustment_nv_fund",I$3,$A923))</x:f>
        <x:v>#NAME?</x:v>
      </x:c>
      <x:c r="J923" t="e">
        <x:f>IF($A923="","",[1]!thsiFinD("ths_adjustment_nv_fund",J$3,$A923))</x:f>
        <x:v>#NAME?</x:v>
      </x:c>
      <x:c r="K923" t="e">
        <x:f>IF($A923="","",[1]!thsiFinD("ths_adjustment_nv_fund",K$3,$A923))</x:f>
        <x:v>#NAME?</x:v>
      </x:c>
      <x:c r="L923" t="e">
        <x:f>IF($A923="","",[1]!thsiFinD("ths_adjustment_nv_fund",L$3,$A923))</x:f>
        <x:v>#NAME?</x:v>
      </x:c>
      <x:c r="M923" t="e">
        <x:f>IF($A923="","",[1]!thsiFinD("ths_adjustment_nv_fund",M$3,$A923))</x:f>
        <x:v>#NAME?</x:v>
      </x:c>
      <x:c r="N923" t="e">
        <x:f>IF($A923="","",[1]!thsiFinD("ths_adjustment_nv_fund",N$3,$A923))</x:f>
        <x:v>#NAME?</x:v>
      </x:c>
      <x:c r="O923" t="e">
        <x:f>IF($A923="","",[1]!thsiFinD("ths_adjustment_nv_fund",O$3,$A923))</x:f>
        <x:v>#NAME?</x:v>
      </x:c>
      <x:c r="P923" t="e">
        <x:f>IF($A923="","",[1]!thsiFinD("ths_adjustment_nv_fund",P$3,$A923))</x:f>
        <x:v>#NAME?</x:v>
      </x:c>
      <x:c r="Q923" t="e">
        <x:f>IF($A923="","",[1]!thsiFinD("ths_adjustment_nv_fund",Q$3,$A923))</x:f>
        <x:v>#NAME?</x:v>
      </x:c>
      <x:c r="R923" t="e">
        <x:f>IF($A923="","",[1]!thsiFinD("ths_adjustment_nv_fund",R$3,$A923))</x:f>
        <x:v>#NAME?</x:v>
      </x:c>
      <x:c r="S923" t="e">
        <x:f>IF($A923="","",[1]!thsiFinD("ths_adjustment_nv_fund",S$3,$A923))</x:f>
        <x:v>#NAME?</x:v>
      </x:c>
      <x:c r="T923" t="e">
        <x:f>IF($A923="","",[1]!thsiFinD("ths_adjustment_nv_fund",T$3,$A923))</x:f>
        <x:v>#NAME?</x:v>
      </x:c>
      <x:c r="U923" t="e">
        <x:f>IF($A923="","",[1]!thsiFinD("ths_adjustment_nv_fund",U$3,$A923))</x:f>
        <x:v>#NAME?</x:v>
      </x:c>
      <x:c r="V923" t="e">
        <x:f>IF($A923="","",[1]!thsiFinD("ths_adjustment_nv_fund",V$3,$A923))</x:f>
        <x:v>#NAME?</x:v>
      </x:c>
      <x:c r="W923" t="e">
        <x:f>IF($A923="","",[1]!thsiFinD("ths_adjustment_nv_fund",W$3,$A923))</x:f>
        <x:v>#NAME?</x:v>
      </x:c>
      <x:c r="X923" t="e">
        <x:f>IF($A923="","",[1]!thsiFinD("ths_adjustment_nv_fund",X$3,$A923))</x:f>
        <x:v>#NAME?</x:v>
      </x:c>
      <x:c r="Y923" t="e">
        <x:f>IF($A923="","",[1]!thsiFinD("ths_adjustment_nv_fund",Y$3,$A923))</x:f>
        <x:v>#NAME?</x:v>
      </x:c>
    </x:row>
    <x:row r="924">
      <x:c r="B924" t="e">
        <x:f>IF($A924="","",[1]!thsiFinD("ths_adjustment_nv_fund",B$3,$A924))</x:f>
        <x:v>#NAME?</x:v>
      </x:c>
      <x:c r="C924" t="e">
        <x:f>IF($A924="","",[1]!thsiFinD("ths_adjustment_nv_fund",C$3,$A924))</x:f>
        <x:v>#NAME?</x:v>
      </x:c>
      <x:c r="D924" t="e">
        <x:f>IF($A924="","",[1]!thsiFinD("ths_adjustment_nv_fund",D$3,$A924))</x:f>
        <x:v>#NAME?</x:v>
      </x:c>
      <x:c r="E924" t="e">
        <x:f>IF($A924="","",[1]!thsiFinD("ths_adjustment_nv_fund",E$3,$A924))</x:f>
        <x:v>#NAME?</x:v>
      </x:c>
      <x:c r="F924" t="e">
        <x:f>IF($A924="","",[1]!thsiFinD("ths_adjustment_nv_fund",F$3,$A924))</x:f>
        <x:v>#NAME?</x:v>
      </x:c>
      <x:c r="G924" t="e">
        <x:f>IF($A924="","",[1]!thsiFinD("ths_adjustment_nv_fund",G$3,$A924))</x:f>
        <x:v>#NAME?</x:v>
      </x:c>
      <x:c r="H924" t="e">
        <x:f>IF($A924="","",[1]!thsiFinD("ths_adjustment_nv_fund",H$3,$A924))</x:f>
        <x:v>#NAME?</x:v>
      </x:c>
      <x:c r="I924" t="e">
        <x:f>IF($A924="","",[1]!thsiFinD("ths_adjustment_nv_fund",I$3,$A924))</x:f>
        <x:v>#NAME?</x:v>
      </x:c>
      <x:c r="J924" t="e">
        <x:f>IF($A924="","",[1]!thsiFinD("ths_adjustment_nv_fund",J$3,$A924))</x:f>
        <x:v>#NAME?</x:v>
      </x:c>
      <x:c r="K924" t="e">
        <x:f>IF($A924="","",[1]!thsiFinD("ths_adjustment_nv_fund",K$3,$A924))</x:f>
        <x:v>#NAME?</x:v>
      </x:c>
      <x:c r="L924" t="e">
        <x:f>IF($A924="","",[1]!thsiFinD("ths_adjustment_nv_fund",L$3,$A924))</x:f>
        <x:v>#NAME?</x:v>
      </x:c>
      <x:c r="M924" t="e">
        <x:f>IF($A924="","",[1]!thsiFinD("ths_adjustment_nv_fund",M$3,$A924))</x:f>
        <x:v>#NAME?</x:v>
      </x:c>
      <x:c r="N924" t="e">
        <x:f>IF($A924="","",[1]!thsiFinD("ths_adjustment_nv_fund",N$3,$A924))</x:f>
        <x:v>#NAME?</x:v>
      </x:c>
      <x:c r="O924" t="e">
        <x:f>IF($A924="","",[1]!thsiFinD("ths_adjustment_nv_fund",O$3,$A924))</x:f>
        <x:v>#NAME?</x:v>
      </x:c>
      <x:c r="P924" t="e">
        <x:f>IF($A924="","",[1]!thsiFinD("ths_adjustment_nv_fund",P$3,$A924))</x:f>
        <x:v>#NAME?</x:v>
      </x:c>
      <x:c r="Q924" t="e">
        <x:f>IF($A924="","",[1]!thsiFinD("ths_adjustment_nv_fund",Q$3,$A924))</x:f>
        <x:v>#NAME?</x:v>
      </x:c>
      <x:c r="R924" t="e">
        <x:f>IF($A924="","",[1]!thsiFinD("ths_adjustment_nv_fund",R$3,$A924))</x:f>
        <x:v>#NAME?</x:v>
      </x:c>
      <x:c r="S924" t="e">
        <x:f>IF($A924="","",[1]!thsiFinD("ths_adjustment_nv_fund",S$3,$A924))</x:f>
        <x:v>#NAME?</x:v>
      </x:c>
      <x:c r="T924" t="e">
        <x:f>IF($A924="","",[1]!thsiFinD("ths_adjustment_nv_fund",T$3,$A924))</x:f>
        <x:v>#NAME?</x:v>
      </x:c>
      <x:c r="U924" t="e">
        <x:f>IF($A924="","",[1]!thsiFinD("ths_adjustment_nv_fund",U$3,$A924))</x:f>
        <x:v>#NAME?</x:v>
      </x:c>
      <x:c r="V924" t="e">
        <x:f>IF($A924="","",[1]!thsiFinD("ths_adjustment_nv_fund",V$3,$A924))</x:f>
        <x:v>#NAME?</x:v>
      </x:c>
      <x:c r="W924" t="e">
        <x:f>IF($A924="","",[1]!thsiFinD("ths_adjustment_nv_fund",W$3,$A924))</x:f>
        <x:v>#NAME?</x:v>
      </x:c>
      <x:c r="X924" t="e">
        <x:f>IF($A924="","",[1]!thsiFinD("ths_adjustment_nv_fund",X$3,$A924))</x:f>
        <x:v>#NAME?</x:v>
      </x:c>
      <x:c r="Y924" t="e">
        <x:f>IF($A924="","",[1]!thsiFinD("ths_adjustment_nv_fund",Y$3,$A924))</x:f>
        <x:v>#NAME?</x:v>
      </x:c>
    </x:row>
    <x:row r="925">
      <x:c r="B925" t="e">
        <x:f>IF($A925="","",[1]!thsiFinD("ths_adjustment_nv_fund",B$3,$A925))</x:f>
        <x:v>#NAME?</x:v>
      </x:c>
      <x:c r="C925" t="e">
        <x:f>IF($A925="","",[1]!thsiFinD("ths_adjustment_nv_fund",C$3,$A925))</x:f>
        <x:v>#NAME?</x:v>
      </x:c>
      <x:c r="D925" t="e">
        <x:f>IF($A925="","",[1]!thsiFinD("ths_adjustment_nv_fund",D$3,$A925))</x:f>
        <x:v>#NAME?</x:v>
      </x:c>
      <x:c r="E925" t="e">
        <x:f>IF($A925="","",[1]!thsiFinD("ths_adjustment_nv_fund",E$3,$A925))</x:f>
        <x:v>#NAME?</x:v>
      </x:c>
      <x:c r="F925" t="e">
        <x:f>IF($A925="","",[1]!thsiFinD("ths_adjustment_nv_fund",F$3,$A925))</x:f>
        <x:v>#NAME?</x:v>
      </x:c>
      <x:c r="G925" t="e">
        <x:f>IF($A925="","",[1]!thsiFinD("ths_adjustment_nv_fund",G$3,$A925))</x:f>
        <x:v>#NAME?</x:v>
      </x:c>
      <x:c r="H925" t="e">
        <x:f>IF($A925="","",[1]!thsiFinD("ths_adjustment_nv_fund",H$3,$A925))</x:f>
        <x:v>#NAME?</x:v>
      </x:c>
      <x:c r="I925" t="e">
        <x:f>IF($A925="","",[1]!thsiFinD("ths_adjustment_nv_fund",I$3,$A925))</x:f>
        <x:v>#NAME?</x:v>
      </x:c>
      <x:c r="J925" t="e">
        <x:f>IF($A925="","",[1]!thsiFinD("ths_adjustment_nv_fund",J$3,$A925))</x:f>
        <x:v>#NAME?</x:v>
      </x:c>
      <x:c r="K925" t="e">
        <x:f>IF($A925="","",[1]!thsiFinD("ths_adjustment_nv_fund",K$3,$A925))</x:f>
        <x:v>#NAME?</x:v>
      </x:c>
      <x:c r="L925" t="e">
        <x:f>IF($A925="","",[1]!thsiFinD("ths_adjustment_nv_fund",L$3,$A925))</x:f>
        <x:v>#NAME?</x:v>
      </x:c>
      <x:c r="M925" t="e">
        <x:f>IF($A925="","",[1]!thsiFinD("ths_adjustment_nv_fund",M$3,$A925))</x:f>
        <x:v>#NAME?</x:v>
      </x:c>
      <x:c r="N925" t="e">
        <x:f>IF($A925="","",[1]!thsiFinD("ths_adjustment_nv_fund",N$3,$A925))</x:f>
        <x:v>#NAME?</x:v>
      </x:c>
      <x:c r="O925" t="e">
        <x:f>IF($A925="","",[1]!thsiFinD("ths_adjustment_nv_fund",O$3,$A925))</x:f>
        <x:v>#NAME?</x:v>
      </x:c>
      <x:c r="P925" t="e">
        <x:f>IF($A925="","",[1]!thsiFinD("ths_adjustment_nv_fund",P$3,$A925))</x:f>
        <x:v>#NAME?</x:v>
      </x:c>
      <x:c r="Q925" t="e">
        <x:f>IF($A925="","",[1]!thsiFinD("ths_adjustment_nv_fund",Q$3,$A925))</x:f>
        <x:v>#NAME?</x:v>
      </x:c>
      <x:c r="R925" t="e">
        <x:f>IF($A925="","",[1]!thsiFinD("ths_adjustment_nv_fund",R$3,$A925))</x:f>
        <x:v>#NAME?</x:v>
      </x:c>
      <x:c r="S925" t="e">
        <x:f>IF($A925="","",[1]!thsiFinD("ths_adjustment_nv_fund",S$3,$A925))</x:f>
        <x:v>#NAME?</x:v>
      </x:c>
      <x:c r="T925" t="e">
        <x:f>IF($A925="","",[1]!thsiFinD("ths_adjustment_nv_fund",T$3,$A925))</x:f>
        <x:v>#NAME?</x:v>
      </x:c>
      <x:c r="U925" t="e">
        <x:f>IF($A925="","",[1]!thsiFinD("ths_adjustment_nv_fund",U$3,$A925))</x:f>
        <x:v>#NAME?</x:v>
      </x:c>
      <x:c r="V925" t="e">
        <x:f>IF($A925="","",[1]!thsiFinD("ths_adjustment_nv_fund",V$3,$A925))</x:f>
        <x:v>#NAME?</x:v>
      </x:c>
      <x:c r="W925" t="e">
        <x:f>IF($A925="","",[1]!thsiFinD("ths_adjustment_nv_fund",W$3,$A925))</x:f>
        <x:v>#NAME?</x:v>
      </x:c>
      <x:c r="X925" t="e">
        <x:f>IF($A925="","",[1]!thsiFinD("ths_adjustment_nv_fund",X$3,$A925))</x:f>
        <x:v>#NAME?</x:v>
      </x:c>
      <x:c r="Y925" t="e">
        <x:f>IF($A925="","",[1]!thsiFinD("ths_adjustment_nv_fund",Y$3,$A925))</x:f>
        <x:v>#NAME?</x:v>
      </x:c>
    </x:row>
    <x:row r="926">
      <x:c r="B926" t="e">
        <x:f>IF($A926="","",[1]!thsiFinD("ths_adjustment_nv_fund",B$3,$A926))</x:f>
        <x:v>#NAME?</x:v>
      </x:c>
      <x:c r="C926" t="e">
        <x:f>IF($A926="","",[1]!thsiFinD("ths_adjustment_nv_fund",C$3,$A926))</x:f>
        <x:v>#NAME?</x:v>
      </x:c>
      <x:c r="D926" t="e">
        <x:f>IF($A926="","",[1]!thsiFinD("ths_adjustment_nv_fund",D$3,$A926))</x:f>
        <x:v>#NAME?</x:v>
      </x:c>
      <x:c r="E926" t="e">
        <x:f>IF($A926="","",[1]!thsiFinD("ths_adjustment_nv_fund",E$3,$A926))</x:f>
        <x:v>#NAME?</x:v>
      </x:c>
      <x:c r="F926" t="e">
        <x:f>IF($A926="","",[1]!thsiFinD("ths_adjustment_nv_fund",F$3,$A926))</x:f>
        <x:v>#NAME?</x:v>
      </x:c>
      <x:c r="G926" t="e">
        <x:f>IF($A926="","",[1]!thsiFinD("ths_adjustment_nv_fund",G$3,$A926))</x:f>
        <x:v>#NAME?</x:v>
      </x:c>
      <x:c r="H926" t="e">
        <x:f>IF($A926="","",[1]!thsiFinD("ths_adjustment_nv_fund",H$3,$A926))</x:f>
        <x:v>#NAME?</x:v>
      </x:c>
      <x:c r="I926" t="e">
        <x:f>IF($A926="","",[1]!thsiFinD("ths_adjustment_nv_fund",I$3,$A926))</x:f>
        <x:v>#NAME?</x:v>
      </x:c>
      <x:c r="J926" t="e">
        <x:f>IF($A926="","",[1]!thsiFinD("ths_adjustment_nv_fund",J$3,$A926))</x:f>
        <x:v>#NAME?</x:v>
      </x:c>
      <x:c r="K926" t="e">
        <x:f>IF($A926="","",[1]!thsiFinD("ths_adjustment_nv_fund",K$3,$A926))</x:f>
        <x:v>#NAME?</x:v>
      </x:c>
      <x:c r="L926" t="e">
        <x:f>IF($A926="","",[1]!thsiFinD("ths_adjustment_nv_fund",L$3,$A926))</x:f>
        <x:v>#NAME?</x:v>
      </x:c>
      <x:c r="M926" t="e">
        <x:f>IF($A926="","",[1]!thsiFinD("ths_adjustment_nv_fund",M$3,$A926))</x:f>
        <x:v>#NAME?</x:v>
      </x:c>
      <x:c r="N926" t="e">
        <x:f>IF($A926="","",[1]!thsiFinD("ths_adjustment_nv_fund",N$3,$A926))</x:f>
        <x:v>#NAME?</x:v>
      </x:c>
      <x:c r="O926" t="e">
        <x:f>IF($A926="","",[1]!thsiFinD("ths_adjustment_nv_fund",O$3,$A926))</x:f>
        <x:v>#NAME?</x:v>
      </x:c>
      <x:c r="P926" t="e">
        <x:f>IF($A926="","",[1]!thsiFinD("ths_adjustment_nv_fund",P$3,$A926))</x:f>
        <x:v>#NAME?</x:v>
      </x:c>
      <x:c r="Q926" t="e">
        <x:f>IF($A926="","",[1]!thsiFinD("ths_adjustment_nv_fund",Q$3,$A926))</x:f>
        <x:v>#NAME?</x:v>
      </x:c>
      <x:c r="R926" t="e">
        <x:f>IF($A926="","",[1]!thsiFinD("ths_adjustment_nv_fund",R$3,$A926))</x:f>
        <x:v>#NAME?</x:v>
      </x:c>
      <x:c r="S926" t="e">
        <x:f>IF($A926="","",[1]!thsiFinD("ths_adjustment_nv_fund",S$3,$A926))</x:f>
        <x:v>#NAME?</x:v>
      </x:c>
      <x:c r="T926" t="e">
        <x:f>IF($A926="","",[1]!thsiFinD("ths_adjustment_nv_fund",T$3,$A926))</x:f>
        <x:v>#NAME?</x:v>
      </x:c>
      <x:c r="U926" t="e">
        <x:f>IF($A926="","",[1]!thsiFinD("ths_adjustment_nv_fund",U$3,$A926))</x:f>
        <x:v>#NAME?</x:v>
      </x:c>
      <x:c r="V926" t="e">
        <x:f>IF($A926="","",[1]!thsiFinD("ths_adjustment_nv_fund",V$3,$A926))</x:f>
        <x:v>#NAME?</x:v>
      </x:c>
      <x:c r="W926" t="e">
        <x:f>IF($A926="","",[1]!thsiFinD("ths_adjustment_nv_fund",W$3,$A926))</x:f>
        <x:v>#NAME?</x:v>
      </x:c>
      <x:c r="X926" t="e">
        <x:f>IF($A926="","",[1]!thsiFinD("ths_adjustment_nv_fund",X$3,$A926))</x:f>
        <x:v>#NAME?</x:v>
      </x:c>
      <x:c r="Y926" t="e">
        <x:f>IF($A926="","",[1]!thsiFinD("ths_adjustment_nv_fund",Y$3,$A926))</x:f>
        <x:v>#NAME?</x:v>
      </x:c>
    </x:row>
    <x:row r="927">
      <x:c r="B927" t="e">
        <x:f>IF($A927="","",[1]!thsiFinD("ths_adjustment_nv_fund",B$3,$A927))</x:f>
        <x:v>#NAME?</x:v>
      </x:c>
      <x:c r="C927" t="e">
        <x:f>IF($A927="","",[1]!thsiFinD("ths_adjustment_nv_fund",C$3,$A927))</x:f>
        <x:v>#NAME?</x:v>
      </x:c>
      <x:c r="D927" t="e">
        <x:f>IF($A927="","",[1]!thsiFinD("ths_adjustment_nv_fund",D$3,$A927))</x:f>
        <x:v>#NAME?</x:v>
      </x:c>
      <x:c r="E927" t="e">
        <x:f>IF($A927="","",[1]!thsiFinD("ths_adjustment_nv_fund",E$3,$A927))</x:f>
        <x:v>#NAME?</x:v>
      </x:c>
      <x:c r="F927" t="e">
        <x:f>IF($A927="","",[1]!thsiFinD("ths_adjustment_nv_fund",F$3,$A927))</x:f>
        <x:v>#NAME?</x:v>
      </x:c>
      <x:c r="G927" t="e">
        <x:f>IF($A927="","",[1]!thsiFinD("ths_adjustment_nv_fund",G$3,$A927))</x:f>
        <x:v>#NAME?</x:v>
      </x:c>
      <x:c r="H927" t="e">
        <x:f>IF($A927="","",[1]!thsiFinD("ths_adjustment_nv_fund",H$3,$A927))</x:f>
        <x:v>#NAME?</x:v>
      </x:c>
      <x:c r="I927" t="e">
        <x:f>IF($A927="","",[1]!thsiFinD("ths_adjustment_nv_fund",I$3,$A927))</x:f>
        <x:v>#NAME?</x:v>
      </x:c>
      <x:c r="J927" t="e">
        <x:f>IF($A927="","",[1]!thsiFinD("ths_adjustment_nv_fund",J$3,$A927))</x:f>
        <x:v>#NAME?</x:v>
      </x:c>
      <x:c r="K927" t="e">
        <x:f>IF($A927="","",[1]!thsiFinD("ths_adjustment_nv_fund",K$3,$A927))</x:f>
        <x:v>#NAME?</x:v>
      </x:c>
      <x:c r="L927" t="e">
        <x:f>IF($A927="","",[1]!thsiFinD("ths_adjustment_nv_fund",L$3,$A927))</x:f>
        <x:v>#NAME?</x:v>
      </x:c>
      <x:c r="M927" t="e">
        <x:f>IF($A927="","",[1]!thsiFinD("ths_adjustment_nv_fund",M$3,$A927))</x:f>
        <x:v>#NAME?</x:v>
      </x:c>
      <x:c r="N927" t="e">
        <x:f>IF($A927="","",[1]!thsiFinD("ths_adjustment_nv_fund",N$3,$A927))</x:f>
        <x:v>#NAME?</x:v>
      </x:c>
      <x:c r="O927" t="e">
        <x:f>IF($A927="","",[1]!thsiFinD("ths_adjustment_nv_fund",O$3,$A927))</x:f>
        <x:v>#NAME?</x:v>
      </x:c>
      <x:c r="P927" t="e">
        <x:f>IF($A927="","",[1]!thsiFinD("ths_adjustment_nv_fund",P$3,$A927))</x:f>
        <x:v>#NAME?</x:v>
      </x:c>
      <x:c r="Q927" t="e">
        <x:f>IF($A927="","",[1]!thsiFinD("ths_adjustment_nv_fund",Q$3,$A927))</x:f>
        <x:v>#NAME?</x:v>
      </x:c>
      <x:c r="R927" t="e">
        <x:f>IF($A927="","",[1]!thsiFinD("ths_adjustment_nv_fund",R$3,$A927))</x:f>
        <x:v>#NAME?</x:v>
      </x:c>
      <x:c r="S927" t="e">
        <x:f>IF($A927="","",[1]!thsiFinD("ths_adjustment_nv_fund",S$3,$A927))</x:f>
        <x:v>#NAME?</x:v>
      </x:c>
      <x:c r="T927" t="e">
        <x:f>IF($A927="","",[1]!thsiFinD("ths_adjustment_nv_fund",T$3,$A927))</x:f>
        <x:v>#NAME?</x:v>
      </x:c>
      <x:c r="U927" t="e">
        <x:f>IF($A927="","",[1]!thsiFinD("ths_adjustment_nv_fund",U$3,$A927))</x:f>
        <x:v>#NAME?</x:v>
      </x:c>
      <x:c r="V927" t="e">
        <x:f>IF($A927="","",[1]!thsiFinD("ths_adjustment_nv_fund",V$3,$A927))</x:f>
        <x:v>#NAME?</x:v>
      </x:c>
      <x:c r="W927" t="e">
        <x:f>IF($A927="","",[1]!thsiFinD("ths_adjustment_nv_fund",W$3,$A927))</x:f>
        <x:v>#NAME?</x:v>
      </x:c>
      <x:c r="X927" t="e">
        <x:f>IF($A927="","",[1]!thsiFinD("ths_adjustment_nv_fund",X$3,$A927))</x:f>
        <x:v>#NAME?</x:v>
      </x:c>
      <x:c r="Y927" t="e">
        <x:f>IF($A927="","",[1]!thsiFinD("ths_adjustment_nv_fund",Y$3,$A927))</x:f>
        <x:v>#NAME?</x:v>
      </x:c>
    </x:row>
    <x:row r="928">
      <x:c r="B928" t="e">
        <x:f>IF($A928="","",[1]!thsiFinD("ths_adjustment_nv_fund",B$3,$A928))</x:f>
        <x:v>#NAME?</x:v>
      </x:c>
      <x:c r="C928" t="e">
        <x:f>IF($A928="","",[1]!thsiFinD("ths_adjustment_nv_fund",C$3,$A928))</x:f>
        <x:v>#NAME?</x:v>
      </x:c>
      <x:c r="D928" t="e">
        <x:f>IF($A928="","",[1]!thsiFinD("ths_adjustment_nv_fund",D$3,$A928))</x:f>
        <x:v>#NAME?</x:v>
      </x:c>
      <x:c r="E928" t="e">
        <x:f>IF($A928="","",[1]!thsiFinD("ths_adjustment_nv_fund",E$3,$A928))</x:f>
        <x:v>#NAME?</x:v>
      </x:c>
      <x:c r="F928" t="e">
        <x:f>IF($A928="","",[1]!thsiFinD("ths_adjustment_nv_fund",F$3,$A928))</x:f>
        <x:v>#NAME?</x:v>
      </x:c>
      <x:c r="G928" t="e">
        <x:f>IF($A928="","",[1]!thsiFinD("ths_adjustment_nv_fund",G$3,$A928))</x:f>
        <x:v>#NAME?</x:v>
      </x:c>
      <x:c r="H928" t="e">
        <x:f>IF($A928="","",[1]!thsiFinD("ths_adjustment_nv_fund",H$3,$A928))</x:f>
        <x:v>#NAME?</x:v>
      </x:c>
      <x:c r="I928" t="e">
        <x:f>IF($A928="","",[1]!thsiFinD("ths_adjustment_nv_fund",I$3,$A928))</x:f>
        <x:v>#NAME?</x:v>
      </x:c>
      <x:c r="J928" t="e">
        <x:f>IF($A928="","",[1]!thsiFinD("ths_adjustment_nv_fund",J$3,$A928))</x:f>
        <x:v>#NAME?</x:v>
      </x:c>
      <x:c r="K928" t="e">
        <x:f>IF($A928="","",[1]!thsiFinD("ths_adjustment_nv_fund",K$3,$A928))</x:f>
        <x:v>#NAME?</x:v>
      </x:c>
      <x:c r="L928" t="e">
        <x:f>IF($A928="","",[1]!thsiFinD("ths_adjustment_nv_fund",L$3,$A928))</x:f>
        <x:v>#NAME?</x:v>
      </x:c>
      <x:c r="M928" t="e">
        <x:f>IF($A928="","",[1]!thsiFinD("ths_adjustment_nv_fund",M$3,$A928))</x:f>
        <x:v>#NAME?</x:v>
      </x:c>
      <x:c r="N928" t="e">
        <x:f>IF($A928="","",[1]!thsiFinD("ths_adjustment_nv_fund",N$3,$A928))</x:f>
        <x:v>#NAME?</x:v>
      </x:c>
      <x:c r="O928" t="e">
        <x:f>IF($A928="","",[1]!thsiFinD("ths_adjustment_nv_fund",O$3,$A928))</x:f>
        <x:v>#NAME?</x:v>
      </x:c>
      <x:c r="P928" t="e">
        <x:f>IF($A928="","",[1]!thsiFinD("ths_adjustment_nv_fund",P$3,$A928))</x:f>
        <x:v>#NAME?</x:v>
      </x:c>
      <x:c r="Q928" t="e">
        <x:f>IF($A928="","",[1]!thsiFinD("ths_adjustment_nv_fund",Q$3,$A928))</x:f>
        <x:v>#NAME?</x:v>
      </x:c>
      <x:c r="R928" t="e">
        <x:f>IF($A928="","",[1]!thsiFinD("ths_adjustment_nv_fund",R$3,$A928))</x:f>
        <x:v>#NAME?</x:v>
      </x:c>
      <x:c r="S928" t="e">
        <x:f>IF($A928="","",[1]!thsiFinD("ths_adjustment_nv_fund",S$3,$A928))</x:f>
        <x:v>#NAME?</x:v>
      </x:c>
      <x:c r="T928" t="e">
        <x:f>IF($A928="","",[1]!thsiFinD("ths_adjustment_nv_fund",T$3,$A928))</x:f>
        <x:v>#NAME?</x:v>
      </x:c>
      <x:c r="U928" t="e">
        <x:f>IF($A928="","",[1]!thsiFinD("ths_adjustment_nv_fund",U$3,$A928))</x:f>
        <x:v>#NAME?</x:v>
      </x:c>
      <x:c r="V928" t="e">
        <x:f>IF($A928="","",[1]!thsiFinD("ths_adjustment_nv_fund",V$3,$A928))</x:f>
        <x:v>#NAME?</x:v>
      </x:c>
      <x:c r="W928" t="e">
        <x:f>IF($A928="","",[1]!thsiFinD("ths_adjustment_nv_fund",W$3,$A928))</x:f>
        <x:v>#NAME?</x:v>
      </x:c>
      <x:c r="X928" t="e">
        <x:f>IF($A928="","",[1]!thsiFinD("ths_adjustment_nv_fund",X$3,$A928))</x:f>
        <x:v>#NAME?</x:v>
      </x:c>
      <x:c r="Y928" t="e">
        <x:f>IF($A928="","",[1]!thsiFinD("ths_adjustment_nv_fund",Y$3,$A928))</x:f>
        <x:v>#NAME?</x:v>
      </x:c>
    </x:row>
    <x:row r="929">
      <x:c r="B929" t="e">
        <x:f>IF($A929="","",[1]!thsiFinD("ths_adjustment_nv_fund",B$3,$A929))</x:f>
        <x:v>#NAME?</x:v>
      </x:c>
      <x:c r="C929" t="e">
        <x:f>IF($A929="","",[1]!thsiFinD("ths_adjustment_nv_fund",C$3,$A929))</x:f>
        <x:v>#NAME?</x:v>
      </x:c>
      <x:c r="D929" t="e">
        <x:f>IF($A929="","",[1]!thsiFinD("ths_adjustment_nv_fund",D$3,$A929))</x:f>
        <x:v>#NAME?</x:v>
      </x:c>
      <x:c r="E929" t="e">
        <x:f>IF($A929="","",[1]!thsiFinD("ths_adjustment_nv_fund",E$3,$A929))</x:f>
        <x:v>#NAME?</x:v>
      </x:c>
      <x:c r="F929" t="e">
        <x:f>IF($A929="","",[1]!thsiFinD("ths_adjustment_nv_fund",F$3,$A929))</x:f>
        <x:v>#NAME?</x:v>
      </x:c>
      <x:c r="G929" t="e">
        <x:f>IF($A929="","",[1]!thsiFinD("ths_adjustment_nv_fund",G$3,$A929))</x:f>
        <x:v>#NAME?</x:v>
      </x:c>
      <x:c r="H929" t="e">
        <x:f>IF($A929="","",[1]!thsiFinD("ths_adjustment_nv_fund",H$3,$A929))</x:f>
        <x:v>#NAME?</x:v>
      </x:c>
      <x:c r="I929" t="e">
        <x:f>IF($A929="","",[1]!thsiFinD("ths_adjustment_nv_fund",I$3,$A929))</x:f>
        <x:v>#NAME?</x:v>
      </x:c>
      <x:c r="J929" t="e">
        <x:f>IF($A929="","",[1]!thsiFinD("ths_adjustment_nv_fund",J$3,$A929))</x:f>
        <x:v>#NAME?</x:v>
      </x:c>
      <x:c r="K929" t="e">
        <x:f>IF($A929="","",[1]!thsiFinD("ths_adjustment_nv_fund",K$3,$A929))</x:f>
        <x:v>#NAME?</x:v>
      </x:c>
      <x:c r="L929" t="e">
        <x:f>IF($A929="","",[1]!thsiFinD("ths_adjustment_nv_fund",L$3,$A929))</x:f>
        <x:v>#NAME?</x:v>
      </x:c>
      <x:c r="M929" t="e">
        <x:f>IF($A929="","",[1]!thsiFinD("ths_adjustment_nv_fund",M$3,$A929))</x:f>
        <x:v>#NAME?</x:v>
      </x:c>
      <x:c r="N929" t="e">
        <x:f>IF($A929="","",[1]!thsiFinD("ths_adjustment_nv_fund",N$3,$A929))</x:f>
        <x:v>#NAME?</x:v>
      </x:c>
      <x:c r="O929" t="e">
        <x:f>IF($A929="","",[1]!thsiFinD("ths_adjustment_nv_fund",O$3,$A929))</x:f>
        <x:v>#NAME?</x:v>
      </x:c>
      <x:c r="P929" t="e">
        <x:f>IF($A929="","",[1]!thsiFinD("ths_adjustment_nv_fund",P$3,$A929))</x:f>
        <x:v>#NAME?</x:v>
      </x:c>
      <x:c r="Q929" t="e">
        <x:f>IF($A929="","",[1]!thsiFinD("ths_adjustment_nv_fund",Q$3,$A929))</x:f>
        <x:v>#NAME?</x:v>
      </x:c>
      <x:c r="R929" t="e">
        <x:f>IF($A929="","",[1]!thsiFinD("ths_adjustment_nv_fund",R$3,$A929))</x:f>
        <x:v>#NAME?</x:v>
      </x:c>
      <x:c r="S929" t="e">
        <x:f>IF($A929="","",[1]!thsiFinD("ths_adjustment_nv_fund",S$3,$A929))</x:f>
        <x:v>#NAME?</x:v>
      </x:c>
      <x:c r="T929" t="e">
        <x:f>IF($A929="","",[1]!thsiFinD("ths_adjustment_nv_fund",T$3,$A929))</x:f>
        <x:v>#NAME?</x:v>
      </x:c>
      <x:c r="U929" t="e">
        <x:f>IF($A929="","",[1]!thsiFinD("ths_adjustment_nv_fund",U$3,$A929))</x:f>
        <x:v>#NAME?</x:v>
      </x:c>
      <x:c r="V929" t="e">
        <x:f>IF($A929="","",[1]!thsiFinD("ths_adjustment_nv_fund",V$3,$A929))</x:f>
        <x:v>#NAME?</x:v>
      </x:c>
      <x:c r="W929" t="e">
        <x:f>IF($A929="","",[1]!thsiFinD("ths_adjustment_nv_fund",W$3,$A929))</x:f>
        <x:v>#NAME?</x:v>
      </x:c>
      <x:c r="X929" t="e">
        <x:f>IF($A929="","",[1]!thsiFinD("ths_adjustment_nv_fund",X$3,$A929))</x:f>
        <x:v>#NAME?</x:v>
      </x:c>
      <x:c r="Y929" t="e">
        <x:f>IF($A929="","",[1]!thsiFinD("ths_adjustment_nv_fund",Y$3,$A929))</x:f>
        <x:v>#NAME?</x:v>
      </x:c>
    </x:row>
    <x:row r="930">
      <x:c r="B930" t="e">
        <x:f>IF($A930="","",[1]!thsiFinD("ths_adjustment_nv_fund",B$3,$A930))</x:f>
        <x:v>#NAME?</x:v>
      </x:c>
      <x:c r="C930" t="e">
        <x:f>IF($A930="","",[1]!thsiFinD("ths_adjustment_nv_fund",C$3,$A930))</x:f>
        <x:v>#NAME?</x:v>
      </x:c>
      <x:c r="D930" t="e">
        <x:f>IF($A930="","",[1]!thsiFinD("ths_adjustment_nv_fund",D$3,$A930))</x:f>
        <x:v>#NAME?</x:v>
      </x:c>
      <x:c r="E930" t="e">
        <x:f>IF($A930="","",[1]!thsiFinD("ths_adjustment_nv_fund",E$3,$A930))</x:f>
        <x:v>#NAME?</x:v>
      </x:c>
      <x:c r="F930" t="e">
        <x:f>IF($A930="","",[1]!thsiFinD("ths_adjustment_nv_fund",F$3,$A930))</x:f>
        <x:v>#NAME?</x:v>
      </x:c>
      <x:c r="G930" t="e">
        <x:f>IF($A930="","",[1]!thsiFinD("ths_adjustment_nv_fund",G$3,$A930))</x:f>
        <x:v>#NAME?</x:v>
      </x:c>
      <x:c r="H930" t="e">
        <x:f>IF($A930="","",[1]!thsiFinD("ths_adjustment_nv_fund",H$3,$A930))</x:f>
        <x:v>#NAME?</x:v>
      </x:c>
      <x:c r="I930" t="e">
        <x:f>IF($A930="","",[1]!thsiFinD("ths_adjustment_nv_fund",I$3,$A930))</x:f>
        <x:v>#NAME?</x:v>
      </x:c>
      <x:c r="J930" t="e">
        <x:f>IF($A930="","",[1]!thsiFinD("ths_adjustment_nv_fund",J$3,$A930))</x:f>
        <x:v>#NAME?</x:v>
      </x:c>
      <x:c r="K930" t="e">
        <x:f>IF($A930="","",[1]!thsiFinD("ths_adjustment_nv_fund",K$3,$A930))</x:f>
        <x:v>#NAME?</x:v>
      </x:c>
      <x:c r="L930" t="e">
        <x:f>IF($A930="","",[1]!thsiFinD("ths_adjustment_nv_fund",L$3,$A930))</x:f>
        <x:v>#NAME?</x:v>
      </x:c>
      <x:c r="M930" t="e">
        <x:f>IF($A930="","",[1]!thsiFinD("ths_adjustment_nv_fund",M$3,$A930))</x:f>
        <x:v>#NAME?</x:v>
      </x:c>
      <x:c r="N930" t="e">
        <x:f>IF($A930="","",[1]!thsiFinD("ths_adjustment_nv_fund",N$3,$A930))</x:f>
        <x:v>#NAME?</x:v>
      </x:c>
      <x:c r="O930" t="e">
        <x:f>IF($A930="","",[1]!thsiFinD("ths_adjustment_nv_fund",O$3,$A930))</x:f>
        <x:v>#NAME?</x:v>
      </x:c>
      <x:c r="P930" t="e">
        <x:f>IF($A930="","",[1]!thsiFinD("ths_adjustment_nv_fund",P$3,$A930))</x:f>
        <x:v>#NAME?</x:v>
      </x:c>
      <x:c r="Q930" t="e">
        <x:f>IF($A930="","",[1]!thsiFinD("ths_adjustment_nv_fund",Q$3,$A930))</x:f>
        <x:v>#NAME?</x:v>
      </x:c>
      <x:c r="R930" t="e">
        <x:f>IF($A930="","",[1]!thsiFinD("ths_adjustment_nv_fund",R$3,$A930))</x:f>
        <x:v>#NAME?</x:v>
      </x:c>
      <x:c r="S930" t="e">
        <x:f>IF($A930="","",[1]!thsiFinD("ths_adjustment_nv_fund",S$3,$A930))</x:f>
        <x:v>#NAME?</x:v>
      </x:c>
      <x:c r="T930" t="e">
        <x:f>IF($A930="","",[1]!thsiFinD("ths_adjustment_nv_fund",T$3,$A930))</x:f>
        <x:v>#NAME?</x:v>
      </x:c>
      <x:c r="U930" t="e">
        <x:f>IF($A930="","",[1]!thsiFinD("ths_adjustment_nv_fund",U$3,$A930))</x:f>
        <x:v>#NAME?</x:v>
      </x:c>
      <x:c r="V930" t="e">
        <x:f>IF($A930="","",[1]!thsiFinD("ths_adjustment_nv_fund",V$3,$A930))</x:f>
        <x:v>#NAME?</x:v>
      </x:c>
      <x:c r="W930" t="e">
        <x:f>IF($A930="","",[1]!thsiFinD("ths_adjustment_nv_fund",W$3,$A930))</x:f>
        <x:v>#NAME?</x:v>
      </x:c>
      <x:c r="X930" t="e">
        <x:f>IF($A930="","",[1]!thsiFinD("ths_adjustment_nv_fund",X$3,$A930))</x:f>
        <x:v>#NAME?</x:v>
      </x:c>
      <x:c r="Y930" t="e">
        <x:f>IF($A930="","",[1]!thsiFinD("ths_adjustment_nv_fund",Y$3,$A930))</x:f>
        <x:v>#NAME?</x:v>
      </x:c>
    </x:row>
    <x:row r="931">
      <x:c r="B931" t="e">
        <x:f>IF($A931="","",[1]!thsiFinD("ths_adjustment_nv_fund",B$3,$A931))</x:f>
        <x:v>#NAME?</x:v>
      </x:c>
      <x:c r="C931" t="e">
        <x:f>IF($A931="","",[1]!thsiFinD("ths_adjustment_nv_fund",C$3,$A931))</x:f>
        <x:v>#NAME?</x:v>
      </x:c>
      <x:c r="D931" t="e">
        <x:f>IF($A931="","",[1]!thsiFinD("ths_adjustment_nv_fund",D$3,$A931))</x:f>
        <x:v>#NAME?</x:v>
      </x:c>
      <x:c r="E931" t="e">
        <x:f>IF($A931="","",[1]!thsiFinD("ths_adjustment_nv_fund",E$3,$A931))</x:f>
        <x:v>#NAME?</x:v>
      </x:c>
      <x:c r="F931" t="e">
        <x:f>IF($A931="","",[1]!thsiFinD("ths_adjustment_nv_fund",F$3,$A931))</x:f>
        <x:v>#NAME?</x:v>
      </x:c>
      <x:c r="G931" t="e">
        <x:f>IF($A931="","",[1]!thsiFinD("ths_adjustment_nv_fund",G$3,$A931))</x:f>
        <x:v>#NAME?</x:v>
      </x:c>
      <x:c r="H931" t="e">
        <x:f>IF($A931="","",[1]!thsiFinD("ths_adjustment_nv_fund",H$3,$A931))</x:f>
        <x:v>#NAME?</x:v>
      </x:c>
      <x:c r="I931" t="e">
        <x:f>IF($A931="","",[1]!thsiFinD("ths_adjustment_nv_fund",I$3,$A931))</x:f>
        <x:v>#NAME?</x:v>
      </x:c>
      <x:c r="J931" t="e">
        <x:f>IF($A931="","",[1]!thsiFinD("ths_adjustment_nv_fund",J$3,$A931))</x:f>
        <x:v>#NAME?</x:v>
      </x:c>
      <x:c r="K931" t="e">
        <x:f>IF($A931="","",[1]!thsiFinD("ths_adjustment_nv_fund",K$3,$A931))</x:f>
        <x:v>#NAME?</x:v>
      </x:c>
      <x:c r="L931" t="e">
        <x:f>IF($A931="","",[1]!thsiFinD("ths_adjustment_nv_fund",L$3,$A931))</x:f>
        <x:v>#NAME?</x:v>
      </x:c>
      <x:c r="M931" t="e">
        <x:f>IF($A931="","",[1]!thsiFinD("ths_adjustment_nv_fund",M$3,$A931))</x:f>
        <x:v>#NAME?</x:v>
      </x:c>
      <x:c r="N931" t="e">
        <x:f>IF($A931="","",[1]!thsiFinD("ths_adjustment_nv_fund",N$3,$A931))</x:f>
        <x:v>#NAME?</x:v>
      </x:c>
      <x:c r="O931" t="e">
        <x:f>IF($A931="","",[1]!thsiFinD("ths_adjustment_nv_fund",O$3,$A931))</x:f>
        <x:v>#NAME?</x:v>
      </x:c>
      <x:c r="P931" t="e">
        <x:f>IF($A931="","",[1]!thsiFinD("ths_adjustment_nv_fund",P$3,$A931))</x:f>
        <x:v>#NAME?</x:v>
      </x:c>
      <x:c r="Q931" t="e">
        <x:f>IF($A931="","",[1]!thsiFinD("ths_adjustment_nv_fund",Q$3,$A931))</x:f>
        <x:v>#NAME?</x:v>
      </x:c>
      <x:c r="R931" t="e">
        <x:f>IF($A931="","",[1]!thsiFinD("ths_adjustment_nv_fund",R$3,$A931))</x:f>
        <x:v>#NAME?</x:v>
      </x:c>
      <x:c r="S931" t="e">
        <x:f>IF($A931="","",[1]!thsiFinD("ths_adjustment_nv_fund",S$3,$A931))</x:f>
        <x:v>#NAME?</x:v>
      </x:c>
      <x:c r="T931" t="e">
        <x:f>IF($A931="","",[1]!thsiFinD("ths_adjustment_nv_fund",T$3,$A931))</x:f>
        <x:v>#NAME?</x:v>
      </x:c>
      <x:c r="U931" t="e">
        <x:f>IF($A931="","",[1]!thsiFinD("ths_adjustment_nv_fund",U$3,$A931))</x:f>
        <x:v>#NAME?</x:v>
      </x:c>
      <x:c r="V931" t="e">
        <x:f>IF($A931="","",[1]!thsiFinD("ths_adjustment_nv_fund",V$3,$A931))</x:f>
        <x:v>#NAME?</x:v>
      </x:c>
      <x:c r="W931" t="e">
        <x:f>IF($A931="","",[1]!thsiFinD("ths_adjustment_nv_fund",W$3,$A931))</x:f>
        <x:v>#NAME?</x:v>
      </x:c>
      <x:c r="X931" t="e">
        <x:f>IF($A931="","",[1]!thsiFinD("ths_adjustment_nv_fund",X$3,$A931))</x:f>
        <x:v>#NAME?</x:v>
      </x:c>
      <x:c r="Y931" t="e">
        <x:f>IF($A931="","",[1]!thsiFinD("ths_adjustment_nv_fund",Y$3,$A931))</x:f>
        <x:v>#NAME?</x:v>
      </x:c>
    </x:row>
    <x:row r="932">
      <x:c r="B932" t="e">
        <x:f>IF($A932="","",[1]!thsiFinD("ths_adjustment_nv_fund",B$3,$A932))</x:f>
        <x:v>#NAME?</x:v>
      </x:c>
      <x:c r="C932" t="e">
        <x:f>IF($A932="","",[1]!thsiFinD("ths_adjustment_nv_fund",C$3,$A932))</x:f>
        <x:v>#NAME?</x:v>
      </x:c>
      <x:c r="D932" t="e">
        <x:f>IF($A932="","",[1]!thsiFinD("ths_adjustment_nv_fund",D$3,$A932))</x:f>
        <x:v>#NAME?</x:v>
      </x:c>
      <x:c r="E932" t="e">
        <x:f>IF($A932="","",[1]!thsiFinD("ths_adjustment_nv_fund",E$3,$A932))</x:f>
        <x:v>#NAME?</x:v>
      </x:c>
      <x:c r="F932" t="e">
        <x:f>IF($A932="","",[1]!thsiFinD("ths_adjustment_nv_fund",F$3,$A932))</x:f>
        <x:v>#NAME?</x:v>
      </x:c>
      <x:c r="G932" t="e">
        <x:f>IF($A932="","",[1]!thsiFinD("ths_adjustment_nv_fund",G$3,$A932))</x:f>
        <x:v>#NAME?</x:v>
      </x:c>
      <x:c r="H932" t="e">
        <x:f>IF($A932="","",[1]!thsiFinD("ths_adjustment_nv_fund",H$3,$A932))</x:f>
        <x:v>#NAME?</x:v>
      </x:c>
      <x:c r="I932" t="e">
        <x:f>IF($A932="","",[1]!thsiFinD("ths_adjustment_nv_fund",I$3,$A932))</x:f>
        <x:v>#NAME?</x:v>
      </x:c>
      <x:c r="J932" t="e">
        <x:f>IF($A932="","",[1]!thsiFinD("ths_adjustment_nv_fund",J$3,$A932))</x:f>
        <x:v>#NAME?</x:v>
      </x:c>
      <x:c r="K932" t="e">
        <x:f>IF($A932="","",[1]!thsiFinD("ths_adjustment_nv_fund",K$3,$A932))</x:f>
        <x:v>#NAME?</x:v>
      </x:c>
      <x:c r="L932" t="e">
        <x:f>IF($A932="","",[1]!thsiFinD("ths_adjustment_nv_fund",L$3,$A932))</x:f>
        <x:v>#NAME?</x:v>
      </x:c>
      <x:c r="M932" t="e">
        <x:f>IF($A932="","",[1]!thsiFinD("ths_adjustment_nv_fund",M$3,$A932))</x:f>
        <x:v>#NAME?</x:v>
      </x:c>
      <x:c r="N932" t="e">
        <x:f>IF($A932="","",[1]!thsiFinD("ths_adjustment_nv_fund",N$3,$A932))</x:f>
        <x:v>#NAME?</x:v>
      </x:c>
      <x:c r="O932" t="e">
        <x:f>IF($A932="","",[1]!thsiFinD("ths_adjustment_nv_fund",O$3,$A932))</x:f>
        <x:v>#NAME?</x:v>
      </x:c>
      <x:c r="P932" t="e">
        <x:f>IF($A932="","",[1]!thsiFinD("ths_adjustment_nv_fund",P$3,$A932))</x:f>
        <x:v>#NAME?</x:v>
      </x:c>
      <x:c r="Q932" t="e">
        <x:f>IF($A932="","",[1]!thsiFinD("ths_adjustment_nv_fund",Q$3,$A932))</x:f>
        <x:v>#NAME?</x:v>
      </x:c>
      <x:c r="R932" t="e">
        <x:f>IF($A932="","",[1]!thsiFinD("ths_adjustment_nv_fund",R$3,$A932))</x:f>
        <x:v>#NAME?</x:v>
      </x:c>
      <x:c r="S932" t="e">
        <x:f>IF($A932="","",[1]!thsiFinD("ths_adjustment_nv_fund",S$3,$A932))</x:f>
        <x:v>#NAME?</x:v>
      </x:c>
      <x:c r="T932" t="e">
        <x:f>IF($A932="","",[1]!thsiFinD("ths_adjustment_nv_fund",T$3,$A932))</x:f>
        <x:v>#NAME?</x:v>
      </x:c>
      <x:c r="U932" t="e">
        <x:f>IF($A932="","",[1]!thsiFinD("ths_adjustment_nv_fund",U$3,$A932))</x:f>
        <x:v>#NAME?</x:v>
      </x:c>
      <x:c r="V932" t="e">
        <x:f>IF($A932="","",[1]!thsiFinD("ths_adjustment_nv_fund",V$3,$A932))</x:f>
        <x:v>#NAME?</x:v>
      </x:c>
      <x:c r="W932" t="e">
        <x:f>IF($A932="","",[1]!thsiFinD("ths_adjustment_nv_fund",W$3,$A932))</x:f>
        <x:v>#NAME?</x:v>
      </x:c>
      <x:c r="X932" t="e">
        <x:f>IF($A932="","",[1]!thsiFinD("ths_adjustment_nv_fund",X$3,$A932))</x:f>
        <x:v>#NAME?</x:v>
      </x:c>
      <x:c r="Y932" t="e">
        <x:f>IF($A932="","",[1]!thsiFinD("ths_adjustment_nv_fund",Y$3,$A932))</x:f>
        <x:v>#NAME?</x:v>
      </x:c>
    </x:row>
    <x:row r="933">
      <x:c r="B933" t="e">
        <x:f>IF($A933="","",[1]!thsiFinD("ths_adjustment_nv_fund",B$3,$A933))</x:f>
        <x:v>#NAME?</x:v>
      </x:c>
      <x:c r="C933" t="e">
        <x:f>IF($A933="","",[1]!thsiFinD("ths_adjustment_nv_fund",C$3,$A933))</x:f>
        <x:v>#NAME?</x:v>
      </x:c>
      <x:c r="D933" t="e">
        <x:f>IF($A933="","",[1]!thsiFinD("ths_adjustment_nv_fund",D$3,$A933))</x:f>
        <x:v>#NAME?</x:v>
      </x:c>
      <x:c r="E933" t="e">
        <x:f>IF($A933="","",[1]!thsiFinD("ths_adjustment_nv_fund",E$3,$A933))</x:f>
        <x:v>#NAME?</x:v>
      </x:c>
      <x:c r="F933" t="e">
        <x:f>IF($A933="","",[1]!thsiFinD("ths_adjustment_nv_fund",F$3,$A933))</x:f>
        <x:v>#NAME?</x:v>
      </x:c>
      <x:c r="G933" t="e">
        <x:f>IF($A933="","",[1]!thsiFinD("ths_adjustment_nv_fund",G$3,$A933))</x:f>
        <x:v>#NAME?</x:v>
      </x:c>
      <x:c r="H933" t="e">
        <x:f>IF($A933="","",[1]!thsiFinD("ths_adjustment_nv_fund",H$3,$A933))</x:f>
        <x:v>#NAME?</x:v>
      </x:c>
      <x:c r="I933" t="e">
        <x:f>IF($A933="","",[1]!thsiFinD("ths_adjustment_nv_fund",I$3,$A933))</x:f>
        <x:v>#NAME?</x:v>
      </x:c>
      <x:c r="J933" t="e">
        <x:f>IF($A933="","",[1]!thsiFinD("ths_adjustment_nv_fund",J$3,$A933))</x:f>
        <x:v>#NAME?</x:v>
      </x:c>
      <x:c r="K933" t="e">
        <x:f>IF($A933="","",[1]!thsiFinD("ths_adjustment_nv_fund",K$3,$A933))</x:f>
        <x:v>#NAME?</x:v>
      </x:c>
      <x:c r="L933" t="e">
        <x:f>IF($A933="","",[1]!thsiFinD("ths_adjustment_nv_fund",L$3,$A933))</x:f>
        <x:v>#NAME?</x:v>
      </x:c>
      <x:c r="M933" t="e">
        <x:f>IF($A933="","",[1]!thsiFinD("ths_adjustment_nv_fund",M$3,$A933))</x:f>
        <x:v>#NAME?</x:v>
      </x:c>
      <x:c r="N933" t="e">
        <x:f>IF($A933="","",[1]!thsiFinD("ths_adjustment_nv_fund",N$3,$A933))</x:f>
        <x:v>#NAME?</x:v>
      </x:c>
      <x:c r="O933" t="e">
        <x:f>IF($A933="","",[1]!thsiFinD("ths_adjustment_nv_fund",O$3,$A933))</x:f>
        <x:v>#NAME?</x:v>
      </x:c>
      <x:c r="P933" t="e">
        <x:f>IF($A933="","",[1]!thsiFinD("ths_adjustment_nv_fund",P$3,$A933))</x:f>
        <x:v>#NAME?</x:v>
      </x:c>
      <x:c r="Q933" t="e">
        <x:f>IF($A933="","",[1]!thsiFinD("ths_adjustment_nv_fund",Q$3,$A933))</x:f>
        <x:v>#NAME?</x:v>
      </x:c>
      <x:c r="R933" t="e">
        <x:f>IF($A933="","",[1]!thsiFinD("ths_adjustment_nv_fund",R$3,$A933))</x:f>
        <x:v>#NAME?</x:v>
      </x:c>
      <x:c r="S933" t="e">
        <x:f>IF($A933="","",[1]!thsiFinD("ths_adjustment_nv_fund",S$3,$A933))</x:f>
        <x:v>#NAME?</x:v>
      </x:c>
      <x:c r="T933" t="e">
        <x:f>IF($A933="","",[1]!thsiFinD("ths_adjustment_nv_fund",T$3,$A933))</x:f>
        <x:v>#NAME?</x:v>
      </x:c>
      <x:c r="U933" t="e">
        <x:f>IF($A933="","",[1]!thsiFinD("ths_adjustment_nv_fund",U$3,$A933))</x:f>
        <x:v>#NAME?</x:v>
      </x:c>
      <x:c r="V933" t="e">
        <x:f>IF($A933="","",[1]!thsiFinD("ths_adjustment_nv_fund",V$3,$A933))</x:f>
        <x:v>#NAME?</x:v>
      </x:c>
      <x:c r="W933" t="e">
        <x:f>IF($A933="","",[1]!thsiFinD("ths_adjustment_nv_fund",W$3,$A933))</x:f>
        <x:v>#NAME?</x:v>
      </x:c>
      <x:c r="X933" t="e">
        <x:f>IF($A933="","",[1]!thsiFinD("ths_adjustment_nv_fund",X$3,$A933))</x:f>
        <x:v>#NAME?</x:v>
      </x:c>
      <x:c r="Y933" t="e">
        <x:f>IF($A933="","",[1]!thsiFinD("ths_adjustment_nv_fund",Y$3,$A933))</x:f>
        <x:v>#NAME?</x:v>
      </x:c>
    </x:row>
    <x:row r="934">
      <x:c r="B934" t="e">
        <x:f>IF($A934="","",[1]!thsiFinD("ths_adjustment_nv_fund",B$3,$A934))</x:f>
        <x:v>#NAME?</x:v>
      </x:c>
      <x:c r="C934" t="e">
        <x:f>IF($A934="","",[1]!thsiFinD("ths_adjustment_nv_fund",C$3,$A934))</x:f>
        <x:v>#NAME?</x:v>
      </x:c>
      <x:c r="D934" t="e">
        <x:f>IF($A934="","",[1]!thsiFinD("ths_adjustment_nv_fund",D$3,$A934))</x:f>
        <x:v>#NAME?</x:v>
      </x:c>
      <x:c r="E934" t="e">
        <x:f>IF($A934="","",[1]!thsiFinD("ths_adjustment_nv_fund",E$3,$A934))</x:f>
        <x:v>#NAME?</x:v>
      </x:c>
      <x:c r="F934" t="e">
        <x:f>IF($A934="","",[1]!thsiFinD("ths_adjustment_nv_fund",F$3,$A934))</x:f>
        <x:v>#NAME?</x:v>
      </x:c>
      <x:c r="G934" t="e">
        <x:f>IF($A934="","",[1]!thsiFinD("ths_adjustment_nv_fund",G$3,$A934))</x:f>
        <x:v>#NAME?</x:v>
      </x:c>
      <x:c r="H934" t="e">
        <x:f>IF($A934="","",[1]!thsiFinD("ths_adjustment_nv_fund",H$3,$A934))</x:f>
        <x:v>#NAME?</x:v>
      </x:c>
      <x:c r="I934" t="e">
        <x:f>IF($A934="","",[1]!thsiFinD("ths_adjustment_nv_fund",I$3,$A934))</x:f>
        <x:v>#NAME?</x:v>
      </x:c>
      <x:c r="J934" t="e">
        <x:f>IF($A934="","",[1]!thsiFinD("ths_adjustment_nv_fund",J$3,$A934))</x:f>
        <x:v>#NAME?</x:v>
      </x:c>
      <x:c r="K934" t="e">
        <x:f>IF($A934="","",[1]!thsiFinD("ths_adjustment_nv_fund",K$3,$A934))</x:f>
        <x:v>#NAME?</x:v>
      </x:c>
      <x:c r="L934" t="e">
        <x:f>IF($A934="","",[1]!thsiFinD("ths_adjustment_nv_fund",L$3,$A934))</x:f>
        <x:v>#NAME?</x:v>
      </x:c>
      <x:c r="M934" t="e">
        <x:f>IF($A934="","",[1]!thsiFinD("ths_adjustment_nv_fund",M$3,$A934))</x:f>
        <x:v>#NAME?</x:v>
      </x:c>
      <x:c r="N934" t="e">
        <x:f>IF($A934="","",[1]!thsiFinD("ths_adjustment_nv_fund",N$3,$A934))</x:f>
        <x:v>#NAME?</x:v>
      </x:c>
      <x:c r="O934" t="e">
        <x:f>IF($A934="","",[1]!thsiFinD("ths_adjustment_nv_fund",O$3,$A934))</x:f>
        <x:v>#NAME?</x:v>
      </x:c>
      <x:c r="P934" t="e">
        <x:f>IF($A934="","",[1]!thsiFinD("ths_adjustment_nv_fund",P$3,$A934))</x:f>
        <x:v>#NAME?</x:v>
      </x:c>
      <x:c r="Q934" t="e">
        <x:f>IF($A934="","",[1]!thsiFinD("ths_adjustment_nv_fund",Q$3,$A934))</x:f>
        <x:v>#NAME?</x:v>
      </x:c>
      <x:c r="R934" t="e">
        <x:f>IF($A934="","",[1]!thsiFinD("ths_adjustment_nv_fund",R$3,$A934))</x:f>
        <x:v>#NAME?</x:v>
      </x:c>
      <x:c r="S934" t="e">
        <x:f>IF($A934="","",[1]!thsiFinD("ths_adjustment_nv_fund",S$3,$A934))</x:f>
        <x:v>#NAME?</x:v>
      </x:c>
      <x:c r="T934" t="e">
        <x:f>IF($A934="","",[1]!thsiFinD("ths_adjustment_nv_fund",T$3,$A934))</x:f>
        <x:v>#NAME?</x:v>
      </x:c>
      <x:c r="U934" t="e">
        <x:f>IF($A934="","",[1]!thsiFinD("ths_adjustment_nv_fund",U$3,$A934))</x:f>
        <x:v>#NAME?</x:v>
      </x:c>
      <x:c r="V934" t="e">
        <x:f>IF($A934="","",[1]!thsiFinD("ths_adjustment_nv_fund",V$3,$A934))</x:f>
        <x:v>#NAME?</x:v>
      </x:c>
      <x:c r="W934" t="e">
        <x:f>IF($A934="","",[1]!thsiFinD("ths_adjustment_nv_fund",W$3,$A934))</x:f>
        <x:v>#NAME?</x:v>
      </x:c>
      <x:c r="X934" t="e">
        <x:f>IF($A934="","",[1]!thsiFinD("ths_adjustment_nv_fund",X$3,$A934))</x:f>
        <x:v>#NAME?</x:v>
      </x:c>
      <x:c r="Y934" t="e">
        <x:f>IF($A934="","",[1]!thsiFinD("ths_adjustment_nv_fund",Y$3,$A934))</x:f>
        <x:v>#NAME?</x:v>
      </x:c>
    </x:row>
    <x:row r="935">
      <x:c r="B935" t="e">
        <x:f>IF($A935="","",[1]!thsiFinD("ths_adjustment_nv_fund",B$3,$A935))</x:f>
        <x:v>#NAME?</x:v>
      </x:c>
      <x:c r="C935" t="e">
        <x:f>IF($A935="","",[1]!thsiFinD("ths_adjustment_nv_fund",C$3,$A935))</x:f>
        <x:v>#NAME?</x:v>
      </x:c>
      <x:c r="D935" t="e">
        <x:f>IF($A935="","",[1]!thsiFinD("ths_adjustment_nv_fund",D$3,$A935))</x:f>
        <x:v>#NAME?</x:v>
      </x:c>
      <x:c r="E935" t="e">
        <x:f>IF($A935="","",[1]!thsiFinD("ths_adjustment_nv_fund",E$3,$A935))</x:f>
        <x:v>#NAME?</x:v>
      </x:c>
      <x:c r="F935" t="e">
        <x:f>IF($A935="","",[1]!thsiFinD("ths_adjustment_nv_fund",F$3,$A935))</x:f>
        <x:v>#NAME?</x:v>
      </x:c>
      <x:c r="G935" t="e">
        <x:f>IF($A935="","",[1]!thsiFinD("ths_adjustment_nv_fund",G$3,$A935))</x:f>
        <x:v>#NAME?</x:v>
      </x:c>
      <x:c r="H935" t="e">
        <x:f>IF($A935="","",[1]!thsiFinD("ths_adjustment_nv_fund",H$3,$A935))</x:f>
        <x:v>#NAME?</x:v>
      </x:c>
      <x:c r="I935" t="e">
        <x:f>IF($A935="","",[1]!thsiFinD("ths_adjustment_nv_fund",I$3,$A935))</x:f>
        <x:v>#NAME?</x:v>
      </x:c>
      <x:c r="J935" t="e">
        <x:f>IF($A935="","",[1]!thsiFinD("ths_adjustment_nv_fund",J$3,$A935))</x:f>
        <x:v>#NAME?</x:v>
      </x:c>
      <x:c r="K935" t="e">
        <x:f>IF($A935="","",[1]!thsiFinD("ths_adjustment_nv_fund",K$3,$A935))</x:f>
        <x:v>#NAME?</x:v>
      </x:c>
      <x:c r="L935" t="e">
        <x:f>IF($A935="","",[1]!thsiFinD("ths_adjustment_nv_fund",L$3,$A935))</x:f>
        <x:v>#NAME?</x:v>
      </x:c>
      <x:c r="M935" t="e">
        <x:f>IF($A935="","",[1]!thsiFinD("ths_adjustment_nv_fund",M$3,$A935))</x:f>
        <x:v>#NAME?</x:v>
      </x:c>
      <x:c r="N935" t="e">
        <x:f>IF($A935="","",[1]!thsiFinD("ths_adjustment_nv_fund",N$3,$A935))</x:f>
        <x:v>#NAME?</x:v>
      </x:c>
      <x:c r="O935" t="e">
        <x:f>IF($A935="","",[1]!thsiFinD("ths_adjustment_nv_fund",O$3,$A935))</x:f>
        <x:v>#NAME?</x:v>
      </x:c>
      <x:c r="P935" t="e">
        <x:f>IF($A935="","",[1]!thsiFinD("ths_adjustment_nv_fund",P$3,$A935))</x:f>
        <x:v>#NAME?</x:v>
      </x:c>
      <x:c r="Q935" t="e">
        <x:f>IF($A935="","",[1]!thsiFinD("ths_adjustment_nv_fund",Q$3,$A935))</x:f>
        <x:v>#NAME?</x:v>
      </x:c>
      <x:c r="R935" t="e">
        <x:f>IF($A935="","",[1]!thsiFinD("ths_adjustment_nv_fund",R$3,$A935))</x:f>
        <x:v>#NAME?</x:v>
      </x:c>
      <x:c r="S935" t="e">
        <x:f>IF($A935="","",[1]!thsiFinD("ths_adjustment_nv_fund",S$3,$A935))</x:f>
        <x:v>#NAME?</x:v>
      </x:c>
      <x:c r="T935" t="e">
        <x:f>IF($A935="","",[1]!thsiFinD("ths_adjustment_nv_fund",T$3,$A935))</x:f>
        <x:v>#NAME?</x:v>
      </x:c>
      <x:c r="U935" t="e">
        <x:f>IF($A935="","",[1]!thsiFinD("ths_adjustment_nv_fund",U$3,$A935))</x:f>
        <x:v>#NAME?</x:v>
      </x:c>
      <x:c r="V935" t="e">
        <x:f>IF($A935="","",[1]!thsiFinD("ths_adjustment_nv_fund",V$3,$A935))</x:f>
        <x:v>#NAME?</x:v>
      </x:c>
      <x:c r="W935" t="e">
        <x:f>IF($A935="","",[1]!thsiFinD("ths_adjustment_nv_fund",W$3,$A935))</x:f>
        <x:v>#NAME?</x:v>
      </x:c>
      <x:c r="X935" t="e">
        <x:f>IF($A935="","",[1]!thsiFinD("ths_adjustment_nv_fund",X$3,$A935))</x:f>
        <x:v>#NAME?</x:v>
      </x:c>
      <x:c r="Y935" t="e">
        <x:f>IF($A935="","",[1]!thsiFinD("ths_adjustment_nv_fund",Y$3,$A935))</x:f>
        <x:v>#NAME?</x:v>
      </x:c>
    </x:row>
    <x:row r="936">
      <x:c r="B936" t="e">
        <x:f>IF($A936="","",[1]!thsiFinD("ths_adjustment_nv_fund",B$3,$A936))</x:f>
        <x:v>#NAME?</x:v>
      </x:c>
      <x:c r="C936" t="e">
        <x:f>IF($A936="","",[1]!thsiFinD("ths_adjustment_nv_fund",C$3,$A936))</x:f>
        <x:v>#NAME?</x:v>
      </x:c>
      <x:c r="D936" t="e">
        <x:f>IF($A936="","",[1]!thsiFinD("ths_adjustment_nv_fund",D$3,$A936))</x:f>
        <x:v>#NAME?</x:v>
      </x:c>
      <x:c r="E936" t="e">
        <x:f>IF($A936="","",[1]!thsiFinD("ths_adjustment_nv_fund",E$3,$A936))</x:f>
        <x:v>#NAME?</x:v>
      </x:c>
      <x:c r="F936" t="e">
        <x:f>IF($A936="","",[1]!thsiFinD("ths_adjustment_nv_fund",F$3,$A936))</x:f>
        <x:v>#NAME?</x:v>
      </x:c>
      <x:c r="G936" t="e">
        <x:f>IF($A936="","",[1]!thsiFinD("ths_adjustment_nv_fund",G$3,$A936))</x:f>
        <x:v>#NAME?</x:v>
      </x:c>
      <x:c r="H936" t="e">
        <x:f>IF($A936="","",[1]!thsiFinD("ths_adjustment_nv_fund",H$3,$A936))</x:f>
        <x:v>#NAME?</x:v>
      </x:c>
      <x:c r="I936" t="e">
        <x:f>IF($A936="","",[1]!thsiFinD("ths_adjustment_nv_fund",I$3,$A936))</x:f>
        <x:v>#NAME?</x:v>
      </x:c>
      <x:c r="J936" t="e">
        <x:f>IF($A936="","",[1]!thsiFinD("ths_adjustment_nv_fund",J$3,$A936))</x:f>
        <x:v>#NAME?</x:v>
      </x:c>
      <x:c r="K936" t="e">
        <x:f>IF($A936="","",[1]!thsiFinD("ths_adjustment_nv_fund",K$3,$A936))</x:f>
        <x:v>#NAME?</x:v>
      </x:c>
      <x:c r="L936" t="e">
        <x:f>IF($A936="","",[1]!thsiFinD("ths_adjustment_nv_fund",L$3,$A936))</x:f>
        <x:v>#NAME?</x:v>
      </x:c>
      <x:c r="M936" t="e">
        <x:f>IF($A936="","",[1]!thsiFinD("ths_adjustment_nv_fund",M$3,$A936))</x:f>
        <x:v>#NAME?</x:v>
      </x:c>
      <x:c r="N936" t="e">
        <x:f>IF($A936="","",[1]!thsiFinD("ths_adjustment_nv_fund",N$3,$A936))</x:f>
        <x:v>#NAME?</x:v>
      </x:c>
      <x:c r="O936" t="e">
        <x:f>IF($A936="","",[1]!thsiFinD("ths_adjustment_nv_fund",O$3,$A936))</x:f>
        <x:v>#NAME?</x:v>
      </x:c>
      <x:c r="P936" t="e">
        <x:f>IF($A936="","",[1]!thsiFinD("ths_adjustment_nv_fund",P$3,$A936))</x:f>
        <x:v>#NAME?</x:v>
      </x:c>
      <x:c r="Q936" t="e">
        <x:f>IF($A936="","",[1]!thsiFinD("ths_adjustment_nv_fund",Q$3,$A936))</x:f>
        <x:v>#NAME?</x:v>
      </x:c>
      <x:c r="R936" t="e">
        <x:f>IF($A936="","",[1]!thsiFinD("ths_adjustment_nv_fund",R$3,$A936))</x:f>
        <x:v>#NAME?</x:v>
      </x:c>
      <x:c r="S936" t="e">
        <x:f>IF($A936="","",[1]!thsiFinD("ths_adjustment_nv_fund",S$3,$A936))</x:f>
        <x:v>#NAME?</x:v>
      </x:c>
      <x:c r="T936" t="e">
        <x:f>IF($A936="","",[1]!thsiFinD("ths_adjustment_nv_fund",T$3,$A936))</x:f>
        <x:v>#NAME?</x:v>
      </x:c>
      <x:c r="U936" t="e">
        <x:f>IF($A936="","",[1]!thsiFinD("ths_adjustment_nv_fund",U$3,$A936))</x:f>
        <x:v>#NAME?</x:v>
      </x:c>
      <x:c r="V936" t="e">
        <x:f>IF($A936="","",[1]!thsiFinD("ths_adjustment_nv_fund",V$3,$A936))</x:f>
        <x:v>#NAME?</x:v>
      </x:c>
      <x:c r="W936" t="e">
        <x:f>IF($A936="","",[1]!thsiFinD("ths_adjustment_nv_fund",W$3,$A936))</x:f>
        <x:v>#NAME?</x:v>
      </x:c>
      <x:c r="X936" t="e">
        <x:f>IF($A936="","",[1]!thsiFinD("ths_adjustment_nv_fund",X$3,$A936))</x:f>
        <x:v>#NAME?</x:v>
      </x:c>
      <x:c r="Y936" t="e">
        <x:f>IF($A936="","",[1]!thsiFinD("ths_adjustment_nv_fund",Y$3,$A936))</x:f>
        <x:v>#NAME?</x:v>
      </x:c>
    </x:row>
    <x:row r="937">
      <x:c r="B937" t="e">
        <x:f>IF($A937="","",[1]!thsiFinD("ths_adjustment_nv_fund",B$3,$A937))</x:f>
        <x:v>#NAME?</x:v>
      </x:c>
      <x:c r="C937" t="e">
        <x:f>IF($A937="","",[1]!thsiFinD("ths_adjustment_nv_fund",C$3,$A937))</x:f>
        <x:v>#NAME?</x:v>
      </x:c>
      <x:c r="D937" t="e">
        <x:f>IF($A937="","",[1]!thsiFinD("ths_adjustment_nv_fund",D$3,$A937))</x:f>
        <x:v>#NAME?</x:v>
      </x:c>
      <x:c r="E937" t="e">
        <x:f>IF($A937="","",[1]!thsiFinD("ths_adjustment_nv_fund",E$3,$A937))</x:f>
        <x:v>#NAME?</x:v>
      </x:c>
      <x:c r="F937" t="e">
        <x:f>IF($A937="","",[1]!thsiFinD("ths_adjustment_nv_fund",F$3,$A937))</x:f>
        <x:v>#NAME?</x:v>
      </x:c>
      <x:c r="G937" t="e">
        <x:f>IF($A937="","",[1]!thsiFinD("ths_adjustment_nv_fund",G$3,$A937))</x:f>
        <x:v>#NAME?</x:v>
      </x:c>
      <x:c r="H937" t="e">
        <x:f>IF($A937="","",[1]!thsiFinD("ths_adjustment_nv_fund",H$3,$A937))</x:f>
        <x:v>#NAME?</x:v>
      </x:c>
      <x:c r="I937" t="e">
        <x:f>IF($A937="","",[1]!thsiFinD("ths_adjustment_nv_fund",I$3,$A937))</x:f>
        <x:v>#NAME?</x:v>
      </x:c>
      <x:c r="J937" t="e">
        <x:f>IF($A937="","",[1]!thsiFinD("ths_adjustment_nv_fund",J$3,$A937))</x:f>
        <x:v>#NAME?</x:v>
      </x:c>
      <x:c r="K937" t="e">
        <x:f>IF($A937="","",[1]!thsiFinD("ths_adjustment_nv_fund",K$3,$A937))</x:f>
        <x:v>#NAME?</x:v>
      </x:c>
      <x:c r="L937" t="e">
        <x:f>IF($A937="","",[1]!thsiFinD("ths_adjustment_nv_fund",L$3,$A937))</x:f>
        <x:v>#NAME?</x:v>
      </x:c>
      <x:c r="M937" t="e">
        <x:f>IF($A937="","",[1]!thsiFinD("ths_adjustment_nv_fund",M$3,$A937))</x:f>
        <x:v>#NAME?</x:v>
      </x:c>
      <x:c r="N937" t="e">
        <x:f>IF($A937="","",[1]!thsiFinD("ths_adjustment_nv_fund",N$3,$A937))</x:f>
        <x:v>#NAME?</x:v>
      </x:c>
      <x:c r="O937" t="e">
        <x:f>IF($A937="","",[1]!thsiFinD("ths_adjustment_nv_fund",O$3,$A937))</x:f>
        <x:v>#NAME?</x:v>
      </x:c>
      <x:c r="P937" t="e">
        <x:f>IF($A937="","",[1]!thsiFinD("ths_adjustment_nv_fund",P$3,$A937))</x:f>
        <x:v>#NAME?</x:v>
      </x:c>
      <x:c r="Q937" t="e">
        <x:f>IF($A937="","",[1]!thsiFinD("ths_adjustment_nv_fund",Q$3,$A937))</x:f>
        <x:v>#NAME?</x:v>
      </x:c>
      <x:c r="R937" t="e">
        <x:f>IF($A937="","",[1]!thsiFinD("ths_adjustment_nv_fund",R$3,$A937))</x:f>
        <x:v>#NAME?</x:v>
      </x:c>
      <x:c r="S937" t="e">
        <x:f>IF($A937="","",[1]!thsiFinD("ths_adjustment_nv_fund",S$3,$A937))</x:f>
        <x:v>#NAME?</x:v>
      </x:c>
      <x:c r="T937" t="e">
        <x:f>IF($A937="","",[1]!thsiFinD("ths_adjustment_nv_fund",T$3,$A937))</x:f>
        <x:v>#NAME?</x:v>
      </x:c>
      <x:c r="U937" t="e">
        <x:f>IF($A937="","",[1]!thsiFinD("ths_adjustment_nv_fund",U$3,$A937))</x:f>
        <x:v>#NAME?</x:v>
      </x:c>
      <x:c r="V937" t="e">
        <x:f>IF($A937="","",[1]!thsiFinD("ths_adjustment_nv_fund",V$3,$A937))</x:f>
        <x:v>#NAME?</x:v>
      </x:c>
      <x:c r="W937" t="e">
        <x:f>IF($A937="","",[1]!thsiFinD("ths_adjustment_nv_fund",W$3,$A937))</x:f>
        <x:v>#NAME?</x:v>
      </x:c>
      <x:c r="X937" t="e">
        <x:f>IF($A937="","",[1]!thsiFinD("ths_adjustment_nv_fund",X$3,$A937))</x:f>
        <x:v>#NAME?</x:v>
      </x:c>
      <x:c r="Y937" t="e">
        <x:f>IF($A937="","",[1]!thsiFinD("ths_adjustment_nv_fund",Y$3,$A937))</x:f>
        <x:v>#NAME?</x:v>
      </x:c>
    </x:row>
    <x:row r="938">
      <x:c r="B938" t="e">
        <x:f>IF($A938="","",[1]!thsiFinD("ths_adjustment_nv_fund",B$3,$A938))</x:f>
        <x:v>#NAME?</x:v>
      </x:c>
      <x:c r="C938" t="e">
        <x:f>IF($A938="","",[1]!thsiFinD("ths_adjustment_nv_fund",C$3,$A938))</x:f>
        <x:v>#NAME?</x:v>
      </x:c>
      <x:c r="D938" t="e">
        <x:f>IF($A938="","",[1]!thsiFinD("ths_adjustment_nv_fund",D$3,$A938))</x:f>
        <x:v>#NAME?</x:v>
      </x:c>
      <x:c r="E938" t="e">
        <x:f>IF($A938="","",[1]!thsiFinD("ths_adjustment_nv_fund",E$3,$A938))</x:f>
        <x:v>#NAME?</x:v>
      </x:c>
      <x:c r="F938" t="e">
        <x:f>IF($A938="","",[1]!thsiFinD("ths_adjustment_nv_fund",F$3,$A938))</x:f>
        <x:v>#NAME?</x:v>
      </x:c>
      <x:c r="G938" t="e">
        <x:f>IF($A938="","",[1]!thsiFinD("ths_adjustment_nv_fund",G$3,$A938))</x:f>
        <x:v>#NAME?</x:v>
      </x:c>
      <x:c r="H938" t="e">
        <x:f>IF($A938="","",[1]!thsiFinD("ths_adjustment_nv_fund",H$3,$A938))</x:f>
        <x:v>#NAME?</x:v>
      </x:c>
      <x:c r="I938" t="e">
        <x:f>IF($A938="","",[1]!thsiFinD("ths_adjustment_nv_fund",I$3,$A938))</x:f>
        <x:v>#NAME?</x:v>
      </x:c>
      <x:c r="J938" t="e">
        <x:f>IF($A938="","",[1]!thsiFinD("ths_adjustment_nv_fund",J$3,$A938))</x:f>
        <x:v>#NAME?</x:v>
      </x:c>
      <x:c r="K938" t="e">
        <x:f>IF($A938="","",[1]!thsiFinD("ths_adjustment_nv_fund",K$3,$A938))</x:f>
        <x:v>#NAME?</x:v>
      </x:c>
      <x:c r="L938" t="e">
        <x:f>IF($A938="","",[1]!thsiFinD("ths_adjustment_nv_fund",L$3,$A938))</x:f>
        <x:v>#NAME?</x:v>
      </x:c>
      <x:c r="M938" t="e">
        <x:f>IF($A938="","",[1]!thsiFinD("ths_adjustment_nv_fund",M$3,$A938))</x:f>
        <x:v>#NAME?</x:v>
      </x:c>
      <x:c r="N938" t="e">
        <x:f>IF($A938="","",[1]!thsiFinD("ths_adjustment_nv_fund",N$3,$A938))</x:f>
        <x:v>#NAME?</x:v>
      </x:c>
      <x:c r="O938" t="e">
        <x:f>IF($A938="","",[1]!thsiFinD("ths_adjustment_nv_fund",O$3,$A938))</x:f>
        <x:v>#NAME?</x:v>
      </x:c>
      <x:c r="P938" t="e">
        <x:f>IF($A938="","",[1]!thsiFinD("ths_adjustment_nv_fund",P$3,$A938))</x:f>
        <x:v>#NAME?</x:v>
      </x:c>
      <x:c r="Q938" t="e">
        <x:f>IF($A938="","",[1]!thsiFinD("ths_adjustment_nv_fund",Q$3,$A938))</x:f>
        <x:v>#NAME?</x:v>
      </x:c>
      <x:c r="R938" t="e">
        <x:f>IF($A938="","",[1]!thsiFinD("ths_adjustment_nv_fund",R$3,$A938))</x:f>
        <x:v>#NAME?</x:v>
      </x:c>
      <x:c r="S938" t="e">
        <x:f>IF($A938="","",[1]!thsiFinD("ths_adjustment_nv_fund",S$3,$A938))</x:f>
        <x:v>#NAME?</x:v>
      </x:c>
      <x:c r="T938" t="e">
        <x:f>IF($A938="","",[1]!thsiFinD("ths_adjustment_nv_fund",T$3,$A938))</x:f>
        <x:v>#NAME?</x:v>
      </x:c>
      <x:c r="U938" t="e">
        <x:f>IF($A938="","",[1]!thsiFinD("ths_adjustment_nv_fund",U$3,$A938))</x:f>
        <x:v>#NAME?</x:v>
      </x:c>
      <x:c r="V938" t="e">
        <x:f>IF($A938="","",[1]!thsiFinD("ths_adjustment_nv_fund",V$3,$A938))</x:f>
        <x:v>#NAME?</x:v>
      </x:c>
      <x:c r="W938" t="e">
        <x:f>IF($A938="","",[1]!thsiFinD("ths_adjustment_nv_fund",W$3,$A938))</x:f>
        <x:v>#NAME?</x:v>
      </x:c>
      <x:c r="X938" t="e">
        <x:f>IF($A938="","",[1]!thsiFinD("ths_adjustment_nv_fund",X$3,$A938))</x:f>
        <x:v>#NAME?</x:v>
      </x:c>
      <x:c r="Y938" t="e">
        <x:f>IF($A938="","",[1]!thsiFinD("ths_adjustment_nv_fund",Y$3,$A938))</x:f>
        <x:v>#NAME?</x:v>
      </x:c>
    </x:row>
    <x:row r="939">
      <x:c r="B939" t="e">
        <x:f>IF($A939="","",[1]!thsiFinD("ths_adjustment_nv_fund",B$3,$A939))</x:f>
        <x:v>#NAME?</x:v>
      </x:c>
      <x:c r="C939" t="e">
        <x:f>IF($A939="","",[1]!thsiFinD("ths_adjustment_nv_fund",C$3,$A939))</x:f>
        <x:v>#NAME?</x:v>
      </x:c>
      <x:c r="D939" t="e">
        <x:f>IF($A939="","",[1]!thsiFinD("ths_adjustment_nv_fund",D$3,$A939))</x:f>
        <x:v>#NAME?</x:v>
      </x:c>
      <x:c r="E939" t="e">
        <x:f>IF($A939="","",[1]!thsiFinD("ths_adjustment_nv_fund",E$3,$A939))</x:f>
        <x:v>#NAME?</x:v>
      </x:c>
      <x:c r="F939" t="e">
        <x:f>IF($A939="","",[1]!thsiFinD("ths_adjustment_nv_fund",F$3,$A939))</x:f>
        <x:v>#NAME?</x:v>
      </x:c>
      <x:c r="G939" t="e">
        <x:f>IF($A939="","",[1]!thsiFinD("ths_adjustment_nv_fund",G$3,$A939))</x:f>
        <x:v>#NAME?</x:v>
      </x:c>
      <x:c r="H939" t="e">
        <x:f>IF($A939="","",[1]!thsiFinD("ths_adjustment_nv_fund",H$3,$A939))</x:f>
        <x:v>#NAME?</x:v>
      </x:c>
      <x:c r="I939" t="e">
        <x:f>IF($A939="","",[1]!thsiFinD("ths_adjustment_nv_fund",I$3,$A939))</x:f>
        <x:v>#NAME?</x:v>
      </x:c>
      <x:c r="J939" t="e">
        <x:f>IF($A939="","",[1]!thsiFinD("ths_adjustment_nv_fund",J$3,$A939))</x:f>
        <x:v>#NAME?</x:v>
      </x:c>
      <x:c r="K939" t="e">
        <x:f>IF($A939="","",[1]!thsiFinD("ths_adjustment_nv_fund",K$3,$A939))</x:f>
        <x:v>#NAME?</x:v>
      </x:c>
      <x:c r="L939" t="e">
        <x:f>IF($A939="","",[1]!thsiFinD("ths_adjustment_nv_fund",L$3,$A939))</x:f>
        <x:v>#NAME?</x:v>
      </x:c>
      <x:c r="M939" t="e">
        <x:f>IF($A939="","",[1]!thsiFinD("ths_adjustment_nv_fund",M$3,$A939))</x:f>
        <x:v>#NAME?</x:v>
      </x:c>
      <x:c r="N939" t="e">
        <x:f>IF($A939="","",[1]!thsiFinD("ths_adjustment_nv_fund",N$3,$A939))</x:f>
        <x:v>#NAME?</x:v>
      </x:c>
      <x:c r="O939" t="e">
        <x:f>IF($A939="","",[1]!thsiFinD("ths_adjustment_nv_fund",O$3,$A939))</x:f>
        <x:v>#NAME?</x:v>
      </x:c>
      <x:c r="P939" t="e">
        <x:f>IF($A939="","",[1]!thsiFinD("ths_adjustment_nv_fund",P$3,$A939))</x:f>
        <x:v>#NAME?</x:v>
      </x:c>
      <x:c r="Q939" t="e">
        <x:f>IF($A939="","",[1]!thsiFinD("ths_adjustment_nv_fund",Q$3,$A939))</x:f>
        <x:v>#NAME?</x:v>
      </x:c>
      <x:c r="R939" t="e">
        <x:f>IF($A939="","",[1]!thsiFinD("ths_adjustment_nv_fund",R$3,$A939))</x:f>
        <x:v>#NAME?</x:v>
      </x:c>
      <x:c r="S939" t="e">
        <x:f>IF($A939="","",[1]!thsiFinD("ths_adjustment_nv_fund",S$3,$A939))</x:f>
        <x:v>#NAME?</x:v>
      </x:c>
      <x:c r="T939" t="e">
        <x:f>IF($A939="","",[1]!thsiFinD("ths_adjustment_nv_fund",T$3,$A939))</x:f>
        <x:v>#NAME?</x:v>
      </x:c>
      <x:c r="U939" t="e">
        <x:f>IF($A939="","",[1]!thsiFinD("ths_adjustment_nv_fund",U$3,$A939))</x:f>
        <x:v>#NAME?</x:v>
      </x:c>
      <x:c r="V939" t="e">
        <x:f>IF($A939="","",[1]!thsiFinD("ths_adjustment_nv_fund",V$3,$A939))</x:f>
        <x:v>#NAME?</x:v>
      </x:c>
      <x:c r="W939" t="e">
        <x:f>IF($A939="","",[1]!thsiFinD("ths_adjustment_nv_fund",W$3,$A939))</x:f>
        <x:v>#NAME?</x:v>
      </x:c>
      <x:c r="X939" t="e">
        <x:f>IF($A939="","",[1]!thsiFinD("ths_adjustment_nv_fund",X$3,$A939))</x:f>
        <x:v>#NAME?</x:v>
      </x:c>
      <x:c r="Y939" t="e">
        <x:f>IF($A939="","",[1]!thsiFinD("ths_adjustment_nv_fund",Y$3,$A939))</x:f>
        <x:v>#NAME?</x:v>
      </x:c>
    </x:row>
    <x:row r="940">
      <x:c r="B940" t="e">
        <x:f>IF($A940="","",[1]!thsiFinD("ths_adjustment_nv_fund",B$3,$A940))</x:f>
        <x:v>#NAME?</x:v>
      </x:c>
      <x:c r="C940" t="e">
        <x:f>IF($A940="","",[1]!thsiFinD("ths_adjustment_nv_fund",C$3,$A940))</x:f>
        <x:v>#NAME?</x:v>
      </x:c>
      <x:c r="D940" t="e">
        <x:f>IF($A940="","",[1]!thsiFinD("ths_adjustment_nv_fund",D$3,$A940))</x:f>
        <x:v>#NAME?</x:v>
      </x:c>
      <x:c r="E940" t="e">
        <x:f>IF($A940="","",[1]!thsiFinD("ths_adjustment_nv_fund",E$3,$A940))</x:f>
        <x:v>#NAME?</x:v>
      </x:c>
      <x:c r="F940" t="e">
        <x:f>IF($A940="","",[1]!thsiFinD("ths_adjustment_nv_fund",F$3,$A940))</x:f>
        <x:v>#NAME?</x:v>
      </x:c>
      <x:c r="G940" t="e">
        <x:f>IF($A940="","",[1]!thsiFinD("ths_adjustment_nv_fund",G$3,$A940))</x:f>
        <x:v>#NAME?</x:v>
      </x:c>
      <x:c r="H940" t="e">
        <x:f>IF($A940="","",[1]!thsiFinD("ths_adjustment_nv_fund",H$3,$A940))</x:f>
        <x:v>#NAME?</x:v>
      </x:c>
      <x:c r="I940" t="e">
        <x:f>IF($A940="","",[1]!thsiFinD("ths_adjustment_nv_fund",I$3,$A940))</x:f>
        <x:v>#NAME?</x:v>
      </x:c>
      <x:c r="J940" t="e">
        <x:f>IF($A940="","",[1]!thsiFinD("ths_adjustment_nv_fund",J$3,$A940))</x:f>
        <x:v>#NAME?</x:v>
      </x:c>
      <x:c r="K940" t="e">
        <x:f>IF($A940="","",[1]!thsiFinD("ths_adjustment_nv_fund",K$3,$A940))</x:f>
        <x:v>#NAME?</x:v>
      </x:c>
      <x:c r="L940" t="e">
        <x:f>IF($A940="","",[1]!thsiFinD("ths_adjustment_nv_fund",L$3,$A940))</x:f>
        <x:v>#NAME?</x:v>
      </x:c>
      <x:c r="M940" t="e">
        <x:f>IF($A940="","",[1]!thsiFinD("ths_adjustment_nv_fund",M$3,$A940))</x:f>
        <x:v>#NAME?</x:v>
      </x:c>
      <x:c r="N940" t="e">
        <x:f>IF($A940="","",[1]!thsiFinD("ths_adjustment_nv_fund",N$3,$A940))</x:f>
        <x:v>#NAME?</x:v>
      </x:c>
      <x:c r="O940" t="e">
        <x:f>IF($A940="","",[1]!thsiFinD("ths_adjustment_nv_fund",O$3,$A940))</x:f>
        <x:v>#NAME?</x:v>
      </x:c>
      <x:c r="P940" t="e">
        <x:f>IF($A940="","",[1]!thsiFinD("ths_adjustment_nv_fund",P$3,$A940))</x:f>
        <x:v>#NAME?</x:v>
      </x:c>
      <x:c r="Q940" t="e">
        <x:f>IF($A940="","",[1]!thsiFinD("ths_adjustment_nv_fund",Q$3,$A940))</x:f>
        <x:v>#NAME?</x:v>
      </x:c>
      <x:c r="R940" t="e">
        <x:f>IF($A940="","",[1]!thsiFinD("ths_adjustment_nv_fund",R$3,$A940))</x:f>
        <x:v>#NAME?</x:v>
      </x:c>
      <x:c r="S940" t="e">
        <x:f>IF($A940="","",[1]!thsiFinD("ths_adjustment_nv_fund",S$3,$A940))</x:f>
        <x:v>#NAME?</x:v>
      </x:c>
      <x:c r="T940" t="e">
        <x:f>IF($A940="","",[1]!thsiFinD("ths_adjustment_nv_fund",T$3,$A940))</x:f>
        <x:v>#NAME?</x:v>
      </x:c>
      <x:c r="U940" t="e">
        <x:f>IF($A940="","",[1]!thsiFinD("ths_adjustment_nv_fund",U$3,$A940))</x:f>
        <x:v>#NAME?</x:v>
      </x:c>
      <x:c r="V940" t="e">
        <x:f>IF($A940="","",[1]!thsiFinD("ths_adjustment_nv_fund",V$3,$A940))</x:f>
        <x:v>#NAME?</x:v>
      </x:c>
      <x:c r="W940" t="e">
        <x:f>IF($A940="","",[1]!thsiFinD("ths_adjustment_nv_fund",W$3,$A940))</x:f>
        <x:v>#NAME?</x:v>
      </x:c>
      <x:c r="X940" t="e">
        <x:f>IF($A940="","",[1]!thsiFinD("ths_adjustment_nv_fund",X$3,$A940))</x:f>
        <x:v>#NAME?</x:v>
      </x:c>
      <x:c r="Y940" t="e">
        <x:f>IF($A940="","",[1]!thsiFinD("ths_adjustment_nv_fund",Y$3,$A940))</x:f>
        <x:v>#NAME?</x:v>
      </x:c>
    </x:row>
    <x:row r="941">
      <x:c r="B941" t="e">
        <x:f>IF($A941="","",[1]!thsiFinD("ths_adjustment_nv_fund",B$3,$A941))</x:f>
        <x:v>#NAME?</x:v>
      </x:c>
      <x:c r="C941" t="e">
        <x:f>IF($A941="","",[1]!thsiFinD("ths_adjustment_nv_fund",C$3,$A941))</x:f>
        <x:v>#NAME?</x:v>
      </x:c>
      <x:c r="D941" t="e">
        <x:f>IF($A941="","",[1]!thsiFinD("ths_adjustment_nv_fund",D$3,$A941))</x:f>
        <x:v>#NAME?</x:v>
      </x:c>
      <x:c r="E941" t="e">
        <x:f>IF($A941="","",[1]!thsiFinD("ths_adjustment_nv_fund",E$3,$A941))</x:f>
        <x:v>#NAME?</x:v>
      </x:c>
      <x:c r="F941" t="e">
        <x:f>IF($A941="","",[1]!thsiFinD("ths_adjustment_nv_fund",F$3,$A941))</x:f>
        <x:v>#NAME?</x:v>
      </x:c>
      <x:c r="G941" t="e">
        <x:f>IF($A941="","",[1]!thsiFinD("ths_adjustment_nv_fund",G$3,$A941))</x:f>
        <x:v>#NAME?</x:v>
      </x:c>
      <x:c r="H941" t="e">
        <x:f>IF($A941="","",[1]!thsiFinD("ths_adjustment_nv_fund",H$3,$A941))</x:f>
        <x:v>#NAME?</x:v>
      </x:c>
      <x:c r="I941" t="e">
        <x:f>IF($A941="","",[1]!thsiFinD("ths_adjustment_nv_fund",I$3,$A941))</x:f>
        <x:v>#NAME?</x:v>
      </x:c>
      <x:c r="J941" t="e">
        <x:f>IF($A941="","",[1]!thsiFinD("ths_adjustment_nv_fund",J$3,$A941))</x:f>
        <x:v>#NAME?</x:v>
      </x:c>
      <x:c r="K941" t="e">
        <x:f>IF($A941="","",[1]!thsiFinD("ths_adjustment_nv_fund",K$3,$A941))</x:f>
        <x:v>#NAME?</x:v>
      </x:c>
      <x:c r="L941" t="e">
        <x:f>IF($A941="","",[1]!thsiFinD("ths_adjustment_nv_fund",L$3,$A941))</x:f>
        <x:v>#NAME?</x:v>
      </x:c>
      <x:c r="M941" t="e">
        <x:f>IF($A941="","",[1]!thsiFinD("ths_adjustment_nv_fund",M$3,$A941))</x:f>
        <x:v>#NAME?</x:v>
      </x:c>
      <x:c r="N941" t="e">
        <x:f>IF($A941="","",[1]!thsiFinD("ths_adjustment_nv_fund",N$3,$A941))</x:f>
        <x:v>#NAME?</x:v>
      </x:c>
      <x:c r="O941" t="e">
        <x:f>IF($A941="","",[1]!thsiFinD("ths_adjustment_nv_fund",O$3,$A941))</x:f>
        <x:v>#NAME?</x:v>
      </x:c>
      <x:c r="P941" t="e">
        <x:f>IF($A941="","",[1]!thsiFinD("ths_adjustment_nv_fund",P$3,$A941))</x:f>
        <x:v>#NAME?</x:v>
      </x:c>
      <x:c r="Q941" t="e">
        <x:f>IF($A941="","",[1]!thsiFinD("ths_adjustment_nv_fund",Q$3,$A941))</x:f>
        <x:v>#NAME?</x:v>
      </x:c>
      <x:c r="R941" t="e">
        <x:f>IF($A941="","",[1]!thsiFinD("ths_adjustment_nv_fund",R$3,$A941))</x:f>
        <x:v>#NAME?</x:v>
      </x:c>
      <x:c r="S941" t="e">
        <x:f>IF($A941="","",[1]!thsiFinD("ths_adjustment_nv_fund",S$3,$A941))</x:f>
        <x:v>#NAME?</x:v>
      </x:c>
      <x:c r="T941" t="e">
        <x:f>IF($A941="","",[1]!thsiFinD("ths_adjustment_nv_fund",T$3,$A941))</x:f>
        <x:v>#NAME?</x:v>
      </x:c>
      <x:c r="U941" t="e">
        <x:f>IF($A941="","",[1]!thsiFinD("ths_adjustment_nv_fund",U$3,$A941))</x:f>
        <x:v>#NAME?</x:v>
      </x:c>
      <x:c r="V941" t="e">
        <x:f>IF($A941="","",[1]!thsiFinD("ths_adjustment_nv_fund",V$3,$A941))</x:f>
        <x:v>#NAME?</x:v>
      </x:c>
      <x:c r="W941" t="e">
        <x:f>IF($A941="","",[1]!thsiFinD("ths_adjustment_nv_fund",W$3,$A941))</x:f>
        <x:v>#NAME?</x:v>
      </x:c>
      <x:c r="X941" t="e">
        <x:f>IF($A941="","",[1]!thsiFinD("ths_adjustment_nv_fund",X$3,$A941))</x:f>
        <x:v>#NAME?</x:v>
      </x:c>
      <x:c r="Y941" t="e">
        <x:f>IF($A941="","",[1]!thsiFinD("ths_adjustment_nv_fund",Y$3,$A941))</x:f>
        <x:v>#NAME?</x:v>
      </x:c>
    </x:row>
    <x:row r="942">
      <x:c r="B942" t="e">
        <x:f>IF($A942="","",[1]!thsiFinD("ths_adjustment_nv_fund",B$3,$A942))</x:f>
        <x:v>#NAME?</x:v>
      </x:c>
      <x:c r="C942" t="e">
        <x:f>IF($A942="","",[1]!thsiFinD("ths_adjustment_nv_fund",C$3,$A942))</x:f>
        <x:v>#NAME?</x:v>
      </x:c>
      <x:c r="D942" t="e">
        <x:f>IF($A942="","",[1]!thsiFinD("ths_adjustment_nv_fund",D$3,$A942))</x:f>
        <x:v>#NAME?</x:v>
      </x:c>
      <x:c r="E942" t="e">
        <x:f>IF($A942="","",[1]!thsiFinD("ths_adjustment_nv_fund",E$3,$A942))</x:f>
        <x:v>#NAME?</x:v>
      </x:c>
      <x:c r="F942" t="e">
        <x:f>IF($A942="","",[1]!thsiFinD("ths_adjustment_nv_fund",F$3,$A942))</x:f>
        <x:v>#NAME?</x:v>
      </x:c>
      <x:c r="G942" t="e">
        <x:f>IF($A942="","",[1]!thsiFinD("ths_adjustment_nv_fund",G$3,$A942))</x:f>
        <x:v>#NAME?</x:v>
      </x:c>
      <x:c r="H942" t="e">
        <x:f>IF($A942="","",[1]!thsiFinD("ths_adjustment_nv_fund",H$3,$A942))</x:f>
        <x:v>#NAME?</x:v>
      </x:c>
      <x:c r="I942" t="e">
        <x:f>IF($A942="","",[1]!thsiFinD("ths_adjustment_nv_fund",I$3,$A942))</x:f>
        <x:v>#NAME?</x:v>
      </x:c>
      <x:c r="J942" t="e">
        <x:f>IF($A942="","",[1]!thsiFinD("ths_adjustment_nv_fund",J$3,$A942))</x:f>
        <x:v>#NAME?</x:v>
      </x:c>
      <x:c r="K942" t="e">
        <x:f>IF($A942="","",[1]!thsiFinD("ths_adjustment_nv_fund",K$3,$A942))</x:f>
        <x:v>#NAME?</x:v>
      </x:c>
      <x:c r="L942" t="e">
        <x:f>IF($A942="","",[1]!thsiFinD("ths_adjustment_nv_fund",L$3,$A942))</x:f>
        <x:v>#NAME?</x:v>
      </x:c>
      <x:c r="M942" t="e">
        <x:f>IF($A942="","",[1]!thsiFinD("ths_adjustment_nv_fund",M$3,$A942))</x:f>
        <x:v>#NAME?</x:v>
      </x:c>
      <x:c r="N942" t="e">
        <x:f>IF($A942="","",[1]!thsiFinD("ths_adjustment_nv_fund",N$3,$A942))</x:f>
        <x:v>#NAME?</x:v>
      </x:c>
      <x:c r="O942" t="e">
        <x:f>IF($A942="","",[1]!thsiFinD("ths_adjustment_nv_fund",O$3,$A942))</x:f>
        <x:v>#NAME?</x:v>
      </x:c>
      <x:c r="P942" t="e">
        <x:f>IF($A942="","",[1]!thsiFinD("ths_adjustment_nv_fund",P$3,$A942))</x:f>
        <x:v>#NAME?</x:v>
      </x:c>
      <x:c r="Q942" t="e">
        <x:f>IF($A942="","",[1]!thsiFinD("ths_adjustment_nv_fund",Q$3,$A942))</x:f>
        <x:v>#NAME?</x:v>
      </x:c>
      <x:c r="R942" t="e">
        <x:f>IF($A942="","",[1]!thsiFinD("ths_adjustment_nv_fund",R$3,$A942))</x:f>
        <x:v>#NAME?</x:v>
      </x:c>
      <x:c r="S942" t="e">
        <x:f>IF($A942="","",[1]!thsiFinD("ths_adjustment_nv_fund",S$3,$A942))</x:f>
        <x:v>#NAME?</x:v>
      </x:c>
      <x:c r="T942" t="e">
        <x:f>IF($A942="","",[1]!thsiFinD("ths_adjustment_nv_fund",T$3,$A942))</x:f>
        <x:v>#NAME?</x:v>
      </x:c>
      <x:c r="U942" t="e">
        <x:f>IF($A942="","",[1]!thsiFinD("ths_adjustment_nv_fund",U$3,$A942))</x:f>
        <x:v>#NAME?</x:v>
      </x:c>
      <x:c r="V942" t="e">
        <x:f>IF($A942="","",[1]!thsiFinD("ths_adjustment_nv_fund",V$3,$A942))</x:f>
        <x:v>#NAME?</x:v>
      </x:c>
      <x:c r="W942" t="e">
        <x:f>IF($A942="","",[1]!thsiFinD("ths_adjustment_nv_fund",W$3,$A942))</x:f>
        <x:v>#NAME?</x:v>
      </x:c>
      <x:c r="X942" t="e">
        <x:f>IF($A942="","",[1]!thsiFinD("ths_adjustment_nv_fund",X$3,$A942))</x:f>
        <x:v>#NAME?</x:v>
      </x:c>
      <x:c r="Y942" t="e">
        <x:f>IF($A942="","",[1]!thsiFinD("ths_adjustment_nv_fund",Y$3,$A942))</x:f>
        <x:v>#NAME?</x:v>
      </x:c>
    </x:row>
    <x:row r="943">
      <x:c r="B943" t="e">
        <x:f>IF($A943="","",[1]!thsiFinD("ths_adjustment_nv_fund",B$3,$A943))</x:f>
        <x:v>#NAME?</x:v>
      </x:c>
      <x:c r="C943" t="e">
        <x:f>IF($A943="","",[1]!thsiFinD("ths_adjustment_nv_fund",C$3,$A943))</x:f>
        <x:v>#NAME?</x:v>
      </x:c>
      <x:c r="D943" t="e">
        <x:f>IF($A943="","",[1]!thsiFinD("ths_adjustment_nv_fund",D$3,$A943))</x:f>
        <x:v>#NAME?</x:v>
      </x:c>
      <x:c r="E943" t="e">
        <x:f>IF($A943="","",[1]!thsiFinD("ths_adjustment_nv_fund",E$3,$A943))</x:f>
        <x:v>#NAME?</x:v>
      </x:c>
      <x:c r="F943" t="e">
        <x:f>IF($A943="","",[1]!thsiFinD("ths_adjustment_nv_fund",F$3,$A943))</x:f>
        <x:v>#NAME?</x:v>
      </x:c>
      <x:c r="G943" t="e">
        <x:f>IF($A943="","",[1]!thsiFinD("ths_adjustment_nv_fund",G$3,$A943))</x:f>
        <x:v>#NAME?</x:v>
      </x:c>
      <x:c r="H943" t="e">
        <x:f>IF($A943="","",[1]!thsiFinD("ths_adjustment_nv_fund",H$3,$A943))</x:f>
        <x:v>#NAME?</x:v>
      </x:c>
      <x:c r="I943" t="e">
        <x:f>IF($A943="","",[1]!thsiFinD("ths_adjustment_nv_fund",I$3,$A943))</x:f>
        <x:v>#NAME?</x:v>
      </x:c>
      <x:c r="J943" t="e">
        <x:f>IF($A943="","",[1]!thsiFinD("ths_adjustment_nv_fund",J$3,$A943))</x:f>
        <x:v>#NAME?</x:v>
      </x:c>
      <x:c r="K943" t="e">
        <x:f>IF($A943="","",[1]!thsiFinD("ths_adjustment_nv_fund",K$3,$A943))</x:f>
        <x:v>#NAME?</x:v>
      </x:c>
      <x:c r="L943" t="e">
        <x:f>IF($A943="","",[1]!thsiFinD("ths_adjustment_nv_fund",L$3,$A943))</x:f>
        <x:v>#NAME?</x:v>
      </x:c>
      <x:c r="M943" t="e">
        <x:f>IF($A943="","",[1]!thsiFinD("ths_adjustment_nv_fund",M$3,$A943))</x:f>
        <x:v>#NAME?</x:v>
      </x:c>
      <x:c r="N943" t="e">
        <x:f>IF($A943="","",[1]!thsiFinD("ths_adjustment_nv_fund",N$3,$A943))</x:f>
        <x:v>#NAME?</x:v>
      </x:c>
      <x:c r="O943" t="e">
        <x:f>IF($A943="","",[1]!thsiFinD("ths_adjustment_nv_fund",O$3,$A943))</x:f>
        <x:v>#NAME?</x:v>
      </x:c>
      <x:c r="P943" t="e">
        <x:f>IF($A943="","",[1]!thsiFinD("ths_adjustment_nv_fund",P$3,$A943))</x:f>
        <x:v>#NAME?</x:v>
      </x:c>
      <x:c r="Q943" t="e">
        <x:f>IF($A943="","",[1]!thsiFinD("ths_adjustment_nv_fund",Q$3,$A943))</x:f>
        <x:v>#NAME?</x:v>
      </x:c>
      <x:c r="R943" t="e">
        <x:f>IF($A943="","",[1]!thsiFinD("ths_adjustment_nv_fund",R$3,$A943))</x:f>
        <x:v>#NAME?</x:v>
      </x:c>
      <x:c r="S943" t="e">
        <x:f>IF($A943="","",[1]!thsiFinD("ths_adjustment_nv_fund",S$3,$A943))</x:f>
        <x:v>#NAME?</x:v>
      </x:c>
      <x:c r="T943" t="e">
        <x:f>IF($A943="","",[1]!thsiFinD("ths_adjustment_nv_fund",T$3,$A943))</x:f>
        <x:v>#NAME?</x:v>
      </x:c>
      <x:c r="U943" t="e">
        <x:f>IF($A943="","",[1]!thsiFinD("ths_adjustment_nv_fund",U$3,$A943))</x:f>
        <x:v>#NAME?</x:v>
      </x:c>
      <x:c r="V943" t="e">
        <x:f>IF($A943="","",[1]!thsiFinD("ths_adjustment_nv_fund",V$3,$A943))</x:f>
        <x:v>#NAME?</x:v>
      </x:c>
      <x:c r="W943" t="e">
        <x:f>IF($A943="","",[1]!thsiFinD("ths_adjustment_nv_fund",W$3,$A943))</x:f>
        <x:v>#NAME?</x:v>
      </x:c>
      <x:c r="X943" t="e">
        <x:f>IF($A943="","",[1]!thsiFinD("ths_adjustment_nv_fund",X$3,$A943))</x:f>
        <x:v>#NAME?</x:v>
      </x:c>
      <x:c r="Y943" t="e">
        <x:f>IF($A943="","",[1]!thsiFinD("ths_adjustment_nv_fund",Y$3,$A943))</x:f>
        <x:v>#NAME?</x:v>
      </x:c>
    </x:row>
    <x:row r="944">
      <x:c r="B944" t="e">
        <x:f>IF($A944="","",[1]!thsiFinD("ths_adjustment_nv_fund",B$3,$A944))</x:f>
        <x:v>#NAME?</x:v>
      </x:c>
      <x:c r="C944" t="e">
        <x:f>IF($A944="","",[1]!thsiFinD("ths_adjustment_nv_fund",C$3,$A944))</x:f>
        <x:v>#NAME?</x:v>
      </x:c>
      <x:c r="D944" t="e">
        <x:f>IF($A944="","",[1]!thsiFinD("ths_adjustment_nv_fund",D$3,$A944))</x:f>
        <x:v>#NAME?</x:v>
      </x:c>
      <x:c r="E944" t="e">
        <x:f>IF($A944="","",[1]!thsiFinD("ths_adjustment_nv_fund",E$3,$A944))</x:f>
        <x:v>#NAME?</x:v>
      </x:c>
      <x:c r="F944" t="e">
        <x:f>IF($A944="","",[1]!thsiFinD("ths_adjustment_nv_fund",F$3,$A944))</x:f>
        <x:v>#NAME?</x:v>
      </x:c>
      <x:c r="G944" t="e">
        <x:f>IF($A944="","",[1]!thsiFinD("ths_adjustment_nv_fund",G$3,$A944))</x:f>
        <x:v>#NAME?</x:v>
      </x:c>
      <x:c r="H944" t="e">
        <x:f>IF($A944="","",[1]!thsiFinD("ths_adjustment_nv_fund",H$3,$A944))</x:f>
        <x:v>#NAME?</x:v>
      </x:c>
      <x:c r="I944" t="e">
        <x:f>IF($A944="","",[1]!thsiFinD("ths_adjustment_nv_fund",I$3,$A944))</x:f>
        <x:v>#NAME?</x:v>
      </x:c>
      <x:c r="J944" t="e">
        <x:f>IF($A944="","",[1]!thsiFinD("ths_adjustment_nv_fund",J$3,$A944))</x:f>
        <x:v>#NAME?</x:v>
      </x:c>
      <x:c r="K944" t="e">
        <x:f>IF($A944="","",[1]!thsiFinD("ths_adjustment_nv_fund",K$3,$A944))</x:f>
        <x:v>#NAME?</x:v>
      </x:c>
      <x:c r="L944" t="e">
        <x:f>IF($A944="","",[1]!thsiFinD("ths_adjustment_nv_fund",L$3,$A944))</x:f>
        <x:v>#NAME?</x:v>
      </x:c>
      <x:c r="M944" t="e">
        <x:f>IF($A944="","",[1]!thsiFinD("ths_adjustment_nv_fund",M$3,$A944))</x:f>
        <x:v>#NAME?</x:v>
      </x:c>
      <x:c r="N944" t="e">
        <x:f>IF($A944="","",[1]!thsiFinD("ths_adjustment_nv_fund",N$3,$A944))</x:f>
        <x:v>#NAME?</x:v>
      </x:c>
      <x:c r="O944" t="e">
        <x:f>IF($A944="","",[1]!thsiFinD("ths_adjustment_nv_fund",O$3,$A944))</x:f>
        <x:v>#NAME?</x:v>
      </x:c>
      <x:c r="P944" t="e">
        <x:f>IF($A944="","",[1]!thsiFinD("ths_adjustment_nv_fund",P$3,$A944))</x:f>
        <x:v>#NAME?</x:v>
      </x:c>
      <x:c r="Q944" t="e">
        <x:f>IF($A944="","",[1]!thsiFinD("ths_adjustment_nv_fund",Q$3,$A944))</x:f>
        <x:v>#NAME?</x:v>
      </x:c>
      <x:c r="R944" t="e">
        <x:f>IF($A944="","",[1]!thsiFinD("ths_adjustment_nv_fund",R$3,$A944))</x:f>
        <x:v>#NAME?</x:v>
      </x:c>
      <x:c r="S944" t="e">
        <x:f>IF($A944="","",[1]!thsiFinD("ths_adjustment_nv_fund",S$3,$A944))</x:f>
        <x:v>#NAME?</x:v>
      </x:c>
      <x:c r="T944" t="e">
        <x:f>IF($A944="","",[1]!thsiFinD("ths_adjustment_nv_fund",T$3,$A944))</x:f>
        <x:v>#NAME?</x:v>
      </x:c>
      <x:c r="U944" t="e">
        <x:f>IF($A944="","",[1]!thsiFinD("ths_adjustment_nv_fund",U$3,$A944))</x:f>
        <x:v>#NAME?</x:v>
      </x:c>
      <x:c r="V944" t="e">
        <x:f>IF($A944="","",[1]!thsiFinD("ths_adjustment_nv_fund",V$3,$A944))</x:f>
        <x:v>#NAME?</x:v>
      </x:c>
      <x:c r="W944" t="e">
        <x:f>IF($A944="","",[1]!thsiFinD("ths_adjustment_nv_fund",W$3,$A944))</x:f>
        <x:v>#NAME?</x:v>
      </x:c>
      <x:c r="X944" t="e">
        <x:f>IF($A944="","",[1]!thsiFinD("ths_adjustment_nv_fund",X$3,$A944))</x:f>
        <x:v>#NAME?</x:v>
      </x:c>
      <x:c r="Y944" t="e">
        <x:f>IF($A944="","",[1]!thsiFinD("ths_adjustment_nv_fund",Y$3,$A944))</x:f>
        <x:v>#NAME?</x:v>
      </x:c>
    </x:row>
    <x:row r="945">
      <x:c r="B945" t="e">
        <x:f>IF($A945="","",[1]!thsiFinD("ths_adjustment_nv_fund",B$3,$A945))</x:f>
        <x:v>#NAME?</x:v>
      </x:c>
      <x:c r="C945" t="e">
        <x:f>IF($A945="","",[1]!thsiFinD("ths_adjustment_nv_fund",C$3,$A945))</x:f>
        <x:v>#NAME?</x:v>
      </x:c>
      <x:c r="D945" t="e">
        <x:f>IF($A945="","",[1]!thsiFinD("ths_adjustment_nv_fund",D$3,$A945))</x:f>
        <x:v>#NAME?</x:v>
      </x:c>
      <x:c r="E945" t="e">
        <x:f>IF($A945="","",[1]!thsiFinD("ths_adjustment_nv_fund",E$3,$A945))</x:f>
        <x:v>#NAME?</x:v>
      </x:c>
      <x:c r="F945" t="e">
        <x:f>IF($A945="","",[1]!thsiFinD("ths_adjustment_nv_fund",F$3,$A945))</x:f>
        <x:v>#NAME?</x:v>
      </x:c>
      <x:c r="G945" t="e">
        <x:f>IF($A945="","",[1]!thsiFinD("ths_adjustment_nv_fund",G$3,$A945))</x:f>
        <x:v>#NAME?</x:v>
      </x:c>
      <x:c r="H945" t="e">
        <x:f>IF($A945="","",[1]!thsiFinD("ths_adjustment_nv_fund",H$3,$A945))</x:f>
        <x:v>#NAME?</x:v>
      </x:c>
      <x:c r="I945" t="e">
        <x:f>IF($A945="","",[1]!thsiFinD("ths_adjustment_nv_fund",I$3,$A945))</x:f>
        <x:v>#NAME?</x:v>
      </x:c>
      <x:c r="J945" t="e">
        <x:f>IF($A945="","",[1]!thsiFinD("ths_adjustment_nv_fund",J$3,$A945))</x:f>
        <x:v>#NAME?</x:v>
      </x:c>
      <x:c r="K945" t="e">
        <x:f>IF($A945="","",[1]!thsiFinD("ths_adjustment_nv_fund",K$3,$A945))</x:f>
        <x:v>#NAME?</x:v>
      </x:c>
      <x:c r="L945" t="e">
        <x:f>IF($A945="","",[1]!thsiFinD("ths_adjustment_nv_fund",L$3,$A945))</x:f>
        <x:v>#NAME?</x:v>
      </x:c>
      <x:c r="M945" t="e">
        <x:f>IF($A945="","",[1]!thsiFinD("ths_adjustment_nv_fund",M$3,$A945))</x:f>
        <x:v>#NAME?</x:v>
      </x:c>
      <x:c r="N945" t="e">
        <x:f>IF($A945="","",[1]!thsiFinD("ths_adjustment_nv_fund",N$3,$A945))</x:f>
        <x:v>#NAME?</x:v>
      </x:c>
      <x:c r="O945" t="e">
        <x:f>IF($A945="","",[1]!thsiFinD("ths_adjustment_nv_fund",O$3,$A945))</x:f>
        <x:v>#NAME?</x:v>
      </x:c>
      <x:c r="P945" t="e">
        <x:f>IF($A945="","",[1]!thsiFinD("ths_adjustment_nv_fund",P$3,$A945))</x:f>
        <x:v>#NAME?</x:v>
      </x:c>
      <x:c r="Q945" t="e">
        <x:f>IF($A945="","",[1]!thsiFinD("ths_adjustment_nv_fund",Q$3,$A945))</x:f>
        <x:v>#NAME?</x:v>
      </x:c>
      <x:c r="R945" t="e">
        <x:f>IF($A945="","",[1]!thsiFinD("ths_adjustment_nv_fund",R$3,$A945))</x:f>
        <x:v>#NAME?</x:v>
      </x:c>
      <x:c r="S945" t="e">
        <x:f>IF($A945="","",[1]!thsiFinD("ths_adjustment_nv_fund",S$3,$A945))</x:f>
        <x:v>#NAME?</x:v>
      </x:c>
      <x:c r="T945" t="e">
        <x:f>IF($A945="","",[1]!thsiFinD("ths_adjustment_nv_fund",T$3,$A945))</x:f>
        <x:v>#NAME?</x:v>
      </x:c>
      <x:c r="U945" t="e">
        <x:f>IF($A945="","",[1]!thsiFinD("ths_adjustment_nv_fund",U$3,$A945))</x:f>
        <x:v>#NAME?</x:v>
      </x:c>
      <x:c r="V945" t="e">
        <x:f>IF($A945="","",[1]!thsiFinD("ths_adjustment_nv_fund",V$3,$A945))</x:f>
        <x:v>#NAME?</x:v>
      </x:c>
      <x:c r="W945" t="e">
        <x:f>IF($A945="","",[1]!thsiFinD("ths_adjustment_nv_fund",W$3,$A945))</x:f>
        <x:v>#NAME?</x:v>
      </x:c>
      <x:c r="X945" t="e">
        <x:f>IF($A945="","",[1]!thsiFinD("ths_adjustment_nv_fund",X$3,$A945))</x:f>
        <x:v>#NAME?</x:v>
      </x:c>
      <x:c r="Y945" t="e">
        <x:f>IF($A945="","",[1]!thsiFinD("ths_adjustment_nv_fund",Y$3,$A945))</x:f>
        <x:v>#NAME?</x:v>
      </x:c>
    </x:row>
    <x:row r="946">
      <x:c r="B946" t="e">
        <x:f>IF($A946="","",[1]!thsiFinD("ths_adjustment_nv_fund",B$3,$A946))</x:f>
        <x:v>#NAME?</x:v>
      </x:c>
      <x:c r="C946" t="e">
        <x:f>IF($A946="","",[1]!thsiFinD("ths_adjustment_nv_fund",C$3,$A946))</x:f>
        <x:v>#NAME?</x:v>
      </x:c>
      <x:c r="D946" t="e">
        <x:f>IF($A946="","",[1]!thsiFinD("ths_adjustment_nv_fund",D$3,$A946))</x:f>
        <x:v>#NAME?</x:v>
      </x:c>
      <x:c r="E946" t="e">
        <x:f>IF($A946="","",[1]!thsiFinD("ths_adjustment_nv_fund",E$3,$A946))</x:f>
        <x:v>#NAME?</x:v>
      </x:c>
      <x:c r="F946" t="e">
        <x:f>IF($A946="","",[1]!thsiFinD("ths_adjustment_nv_fund",F$3,$A946))</x:f>
        <x:v>#NAME?</x:v>
      </x:c>
      <x:c r="G946" t="e">
        <x:f>IF($A946="","",[1]!thsiFinD("ths_adjustment_nv_fund",G$3,$A946))</x:f>
        <x:v>#NAME?</x:v>
      </x:c>
      <x:c r="H946" t="e">
        <x:f>IF($A946="","",[1]!thsiFinD("ths_adjustment_nv_fund",H$3,$A946))</x:f>
        <x:v>#NAME?</x:v>
      </x:c>
      <x:c r="I946" t="e">
        <x:f>IF($A946="","",[1]!thsiFinD("ths_adjustment_nv_fund",I$3,$A946))</x:f>
        <x:v>#NAME?</x:v>
      </x:c>
      <x:c r="J946" t="e">
        <x:f>IF($A946="","",[1]!thsiFinD("ths_adjustment_nv_fund",J$3,$A946))</x:f>
        <x:v>#NAME?</x:v>
      </x:c>
      <x:c r="K946" t="e">
        <x:f>IF($A946="","",[1]!thsiFinD("ths_adjustment_nv_fund",K$3,$A946))</x:f>
        <x:v>#NAME?</x:v>
      </x:c>
      <x:c r="L946" t="e">
        <x:f>IF($A946="","",[1]!thsiFinD("ths_adjustment_nv_fund",L$3,$A946))</x:f>
        <x:v>#NAME?</x:v>
      </x:c>
      <x:c r="M946" t="e">
        <x:f>IF($A946="","",[1]!thsiFinD("ths_adjustment_nv_fund",M$3,$A946))</x:f>
        <x:v>#NAME?</x:v>
      </x:c>
      <x:c r="N946" t="e">
        <x:f>IF($A946="","",[1]!thsiFinD("ths_adjustment_nv_fund",N$3,$A946))</x:f>
        <x:v>#NAME?</x:v>
      </x:c>
      <x:c r="O946" t="e">
        <x:f>IF($A946="","",[1]!thsiFinD("ths_adjustment_nv_fund",O$3,$A946))</x:f>
        <x:v>#NAME?</x:v>
      </x:c>
      <x:c r="P946" t="e">
        <x:f>IF($A946="","",[1]!thsiFinD("ths_adjustment_nv_fund",P$3,$A946))</x:f>
        <x:v>#NAME?</x:v>
      </x:c>
      <x:c r="Q946" t="e">
        <x:f>IF($A946="","",[1]!thsiFinD("ths_adjustment_nv_fund",Q$3,$A946))</x:f>
        <x:v>#NAME?</x:v>
      </x:c>
      <x:c r="R946" t="e">
        <x:f>IF($A946="","",[1]!thsiFinD("ths_adjustment_nv_fund",R$3,$A946))</x:f>
        <x:v>#NAME?</x:v>
      </x:c>
      <x:c r="S946" t="e">
        <x:f>IF($A946="","",[1]!thsiFinD("ths_adjustment_nv_fund",S$3,$A946))</x:f>
        <x:v>#NAME?</x:v>
      </x:c>
      <x:c r="T946" t="e">
        <x:f>IF($A946="","",[1]!thsiFinD("ths_adjustment_nv_fund",T$3,$A946))</x:f>
        <x:v>#NAME?</x:v>
      </x:c>
      <x:c r="U946" t="e">
        <x:f>IF($A946="","",[1]!thsiFinD("ths_adjustment_nv_fund",U$3,$A946))</x:f>
        <x:v>#NAME?</x:v>
      </x:c>
      <x:c r="V946" t="e">
        <x:f>IF($A946="","",[1]!thsiFinD("ths_adjustment_nv_fund",V$3,$A946))</x:f>
        <x:v>#NAME?</x:v>
      </x:c>
      <x:c r="W946" t="e">
        <x:f>IF($A946="","",[1]!thsiFinD("ths_adjustment_nv_fund",W$3,$A946))</x:f>
        <x:v>#NAME?</x:v>
      </x:c>
      <x:c r="X946" t="e">
        <x:f>IF($A946="","",[1]!thsiFinD("ths_adjustment_nv_fund",X$3,$A946))</x:f>
        <x:v>#NAME?</x:v>
      </x:c>
      <x:c r="Y946" t="e">
        <x:f>IF($A946="","",[1]!thsiFinD("ths_adjustment_nv_fund",Y$3,$A946))</x:f>
        <x:v>#NAME?</x:v>
      </x:c>
    </x:row>
    <x:row r="947">
      <x:c r="B947" t="e">
        <x:f>IF($A947="","",[1]!thsiFinD("ths_adjustment_nv_fund",B$3,$A947))</x:f>
        <x:v>#NAME?</x:v>
      </x:c>
      <x:c r="C947" t="e">
        <x:f>IF($A947="","",[1]!thsiFinD("ths_adjustment_nv_fund",C$3,$A947))</x:f>
        <x:v>#NAME?</x:v>
      </x:c>
      <x:c r="D947" t="e">
        <x:f>IF($A947="","",[1]!thsiFinD("ths_adjustment_nv_fund",D$3,$A947))</x:f>
        <x:v>#NAME?</x:v>
      </x:c>
      <x:c r="E947" t="e">
        <x:f>IF($A947="","",[1]!thsiFinD("ths_adjustment_nv_fund",E$3,$A947))</x:f>
        <x:v>#NAME?</x:v>
      </x:c>
      <x:c r="F947" t="e">
        <x:f>IF($A947="","",[1]!thsiFinD("ths_adjustment_nv_fund",F$3,$A947))</x:f>
        <x:v>#NAME?</x:v>
      </x:c>
      <x:c r="G947" t="e">
        <x:f>IF($A947="","",[1]!thsiFinD("ths_adjustment_nv_fund",G$3,$A947))</x:f>
        <x:v>#NAME?</x:v>
      </x:c>
      <x:c r="H947" t="e">
        <x:f>IF($A947="","",[1]!thsiFinD("ths_adjustment_nv_fund",H$3,$A947))</x:f>
        <x:v>#NAME?</x:v>
      </x:c>
      <x:c r="I947" t="e">
        <x:f>IF($A947="","",[1]!thsiFinD("ths_adjustment_nv_fund",I$3,$A947))</x:f>
        <x:v>#NAME?</x:v>
      </x:c>
      <x:c r="J947" t="e">
        <x:f>IF($A947="","",[1]!thsiFinD("ths_adjustment_nv_fund",J$3,$A947))</x:f>
        <x:v>#NAME?</x:v>
      </x:c>
      <x:c r="K947" t="e">
        <x:f>IF($A947="","",[1]!thsiFinD("ths_adjustment_nv_fund",K$3,$A947))</x:f>
        <x:v>#NAME?</x:v>
      </x:c>
      <x:c r="L947" t="e">
        <x:f>IF($A947="","",[1]!thsiFinD("ths_adjustment_nv_fund",L$3,$A947))</x:f>
        <x:v>#NAME?</x:v>
      </x:c>
      <x:c r="M947" t="e">
        <x:f>IF($A947="","",[1]!thsiFinD("ths_adjustment_nv_fund",M$3,$A947))</x:f>
        <x:v>#NAME?</x:v>
      </x:c>
      <x:c r="N947" t="e">
        <x:f>IF($A947="","",[1]!thsiFinD("ths_adjustment_nv_fund",N$3,$A947))</x:f>
        <x:v>#NAME?</x:v>
      </x:c>
      <x:c r="O947" t="e">
        <x:f>IF($A947="","",[1]!thsiFinD("ths_adjustment_nv_fund",O$3,$A947))</x:f>
        <x:v>#NAME?</x:v>
      </x:c>
      <x:c r="P947" t="e">
        <x:f>IF($A947="","",[1]!thsiFinD("ths_adjustment_nv_fund",P$3,$A947))</x:f>
        <x:v>#NAME?</x:v>
      </x:c>
      <x:c r="Q947" t="e">
        <x:f>IF($A947="","",[1]!thsiFinD("ths_adjustment_nv_fund",Q$3,$A947))</x:f>
        <x:v>#NAME?</x:v>
      </x:c>
      <x:c r="R947" t="e">
        <x:f>IF($A947="","",[1]!thsiFinD("ths_adjustment_nv_fund",R$3,$A947))</x:f>
        <x:v>#NAME?</x:v>
      </x:c>
      <x:c r="S947" t="e">
        <x:f>IF($A947="","",[1]!thsiFinD("ths_adjustment_nv_fund",S$3,$A947))</x:f>
        <x:v>#NAME?</x:v>
      </x:c>
      <x:c r="T947" t="e">
        <x:f>IF($A947="","",[1]!thsiFinD("ths_adjustment_nv_fund",T$3,$A947))</x:f>
        <x:v>#NAME?</x:v>
      </x:c>
      <x:c r="U947" t="e">
        <x:f>IF($A947="","",[1]!thsiFinD("ths_adjustment_nv_fund",U$3,$A947))</x:f>
        <x:v>#NAME?</x:v>
      </x:c>
      <x:c r="V947" t="e">
        <x:f>IF($A947="","",[1]!thsiFinD("ths_adjustment_nv_fund",V$3,$A947))</x:f>
        <x:v>#NAME?</x:v>
      </x:c>
      <x:c r="W947" t="e">
        <x:f>IF($A947="","",[1]!thsiFinD("ths_adjustment_nv_fund",W$3,$A947))</x:f>
        <x:v>#NAME?</x:v>
      </x:c>
      <x:c r="X947" t="e">
        <x:f>IF($A947="","",[1]!thsiFinD("ths_adjustment_nv_fund",X$3,$A947))</x:f>
        <x:v>#NAME?</x:v>
      </x:c>
      <x:c r="Y947" t="e">
        <x:f>IF($A947="","",[1]!thsiFinD("ths_adjustment_nv_fund",Y$3,$A947))</x:f>
        <x:v>#NAME?</x:v>
      </x:c>
    </x:row>
    <x:row r="948">
      <x:c r="B948" t="e">
        <x:f>IF($A948="","",[1]!thsiFinD("ths_adjustment_nv_fund",B$3,$A948))</x:f>
        <x:v>#NAME?</x:v>
      </x:c>
      <x:c r="C948" t="e">
        <x:f>IF($A948="","",[1]!thsiFinD("ths_adjustment_nv_fund",C$3,$A948))</x:f>
        <x:v>#NAME?</x:v>
      </x:c>
      <x:c r="D948" t="e">
        <x:f>IF($A948="","",[1]!thsiFinD("ths_adjustment_nv_fund",D$3,$A948))</x:f>
        <x:v>#NAME?</x:v>
      </x:c>
      <x:c r="E948" t="e">
        <x:f>IF($A948="","",[1]!thsiFinD("ths_adjustment_nv_fund",E$3,$A948))</x:f>
        <x:v>#NAME?</x:v>
      </x:c>
      <x:c r="F948" t="e">
        <x:f>IF($A948="","",[1]!thsiFinD("ths_adjustment_nv_fund",F$3,$A948))</x:f>
        <x:v>#NAME?</x:v>
      </x:c>
      <x:c r="G948" t="e">
        <x:f>IF($A948="","",[1]!thsiFinD("ths_adjustment_nv_fund",G$3,$A948))</x:f>
        <x:v>#NAME?</x:v>
      </x:c>
      <x:c r="H948" t="e">
        <x:f>IF($A948="","",[1]!thsiFinD("ths_adjustment_nv_fund",H$3,$A948))</x:f>
        <x:v>#NAME?</x:v>
      </x:c>
      <x:c r="I948" t="e">
        <x:f>IF($A948="","",[1]!thsiFinD("ths_adjustment_nv_fund",I$3,$A948))</x:f>
        <x:v>#NAME?</x:v>
      </x:c>
      <x:c r="J948" t="e">
        <x:f>IF($A948="","",[1]!thsiFinD("ths_adjustment_nv_fund",J$3,$A948))</x:f>
        <x:v>#NAME?</x:v>
      </x:c>
      <x:c r="K948" t="e">
        <x:f>IF($A948="","",[1]!thsiFinD("ths_adjustment_nv_fund",K$3,$A948))</x:f>
        <x:v>#NAME?</x:v>
      </x:c>
      <x:c r="L948" t="e">
        <x:f>IF($A948="","",[1]!thsiFinD("ths_adjustment_nv_fund",L$3,$A948))</x:f>
        <x:v>#NAME?</x:v>
      </x:c>
      <x:c r="M948" t="e">
        <x:f>IF($A948="","",[1]!thsiFinD("ths_adjustment_nv_fund",M$3,$A948))</x:f>
        <x:v>#NAME?</x:v>
      </x:c>
      <x:c r="N948" t="e">
        <x:f>IF($A948="","",[1]!thsiFinD("ths_adjustment_nv_fund",N$3,$A948))</x:f>
        <x:v>#NAME?</x:v>
      </x:c>
      <x:c r="O948" t="e">
        <x:f>IF($A948="","",[1]!thsiFinD("ths_adjustment_nv_fund",O$3,$A948))</x:f>
        <x:v>#NAME?</x:v>
      </x:c>
      <x:c r="P948" t="e">
        <x:f>IF($A948="","",[1]!thsiFinD("ths_adjustment_nv_fund",P$3,$A948))</x:f>
        <x:v>#NAME?</x:v>
      </x:c>
      <x:c r="Q948" t="e">
        <x:f>IF($A948="","",[1]!thsiFinD("ths_adjustment_nv_fund",Q$3,$A948))</x:f>
        <x:v>#NAME?</x:v>
      </x:c>
      <x:c r="R948" t="e">
        <x:f>IF($A948="","",[1]!thsiFinD("ths_adjustment_nv_fund",R$3,$A948))</x:f>
        <x:v>#NAME?</x:v>
      </x:c>
      <x:c r="S948" t="e">
        <x:f>IF($A948="","",[1]!thsiFinD("ths_adjustment_nv_fund",S$3,$A948))</x:f>
        <x:v>#NAME?</x:v>
      </x:c>
      <x:c r="T948" t="e">
        <x:f>IF($A948="","",[1]!thsiFinD("ths_adjustment_nv_fund",T$3,$A948))</x:f>
        <x:v>#NAME?</x:v>
      </x:c>
      <x:c r="U948" t="e">
        <x:f>IF($A948="","",[1]!thsiFinD("ths_adjustment_nv_fund",U$3,$A948))</x:f>
        <x:v>#NAME?</x:v>
      </x:c>
      <x:c r="V948" t="e">
        <x:f>IF($A948="","",[1]!thsiFinD("ths_adjustment_nv_fund",V$3,$A948))</x:f>
        <x:v>#NAME?</x:v>
      </x:c>
      <x:c r="W948" t="e">
        <x:f>IF($A948="","",[1]!thsiFinD("ths_adjustment_nv_fund",W$3,$A948))</x:f>
        <x:v>#NAME?</x:v>
      </x:c>
      <x:c r="X948" t="e">
        <x:f>IF($A948="","",[1]!thsiFinD("ths_adjustment_nv_fund",X$3,$A948))</x:f>
        <x:v>#NAME?</x:v>
      </x:c>
      <x:c r="Y948" t="e">
        <x:f>IF($A948="","",[1]!thsiFinD("ths_adjustment_nv_fund",Y$3,$A948))</x:f>
        <x:v>#NAME?</x:v>
      </x:c>
    </x:row>
    <x:row r="949">
      <x:c r="B949" t="e">
        <x:f>IF($A949="","",[1]!thsiFinD("ths_adjustment_nv_fund",B$3,$A949))</x:f>
        <x:v>#NAME?</x:v>
      </x:c>
      <x:c r="C949" t="e">
        <x:f>IF($A949="","",[1]!thsiFinD("ths_adjustment_nv_fund",C$3,$A949))</x:f>
        <x:v>#NAME?</x:v>
      </x:c>
      <x:c r="D949" t="e">
        <x:f>IF($A949="","",[1]!thsiFinD("ths_adjustment_nv_fund",D$3,$A949))</x:f>
        <x:v>#NAME?</x:v>
      </x:c>
      <x:c r="E949" t="e">
        <x:f>IF($A949="","",[1]!thsiFinD("ths_adjustment_nv_fund",E$3,$A949))</x:f>
        <x:v>#NAME?</x:v>
      </x:c>
      <x:c r="F949" t="e">
        <x:f>IF($A949="","",[1]!thsiFinD("ths_adjustment_nv_fund",F$3,$A949))</x:f>
        <x:v>#NAME?</x:v>
      </x:c>
      <x:c r="G949" t="e">
        <x:f>IF($A949="","",[1]!thsiFinD("ths_adjustment_nv_fund",G$3,$A949))</x:f>
        <x:v>#NAME?</x:v>
      </x:c>
      <x:c r="H949" t="e">
        <x:f>IF($A949="","",[1]!thsiFinD("ths_adjustment_nv_fund",H$3,$A949))</x:f>
        <x:v>#NAME?</x:v>
      </x:c>
      <x:c r="I949" t="e">
        <x:f>IF($A949="","",[1]!thsiFinD("ths_adjustment_nv_fund",I$3,$A949))</x:f>
        <x:v>#NAME?</x:v>
      </x:c>
      <x:c r="J949" t="e">
        <x:f>IF($A949="","",[1]!thsiFinD("ths_adjustment_nv_fund",J$3,$A949))</x:f>
        <x:v>#NAME?</x:v>
      </x:c>
      <x:c r="K949" t="e">
        <x:f>IF($A949="","",[1]!thsiFinD("ths_adjustment_nv_fund",K$3,$A949))</x:f>
        <x:v>#NAME?</x:v>
      </x:c>
      <x:c r="L949" t="e">
        <x:f>IF($A949="","",[1]!thsiFinD("ths_adjustment_nv_fund",L$3,$A949))</x:f>
        <x:v>#NAME?</x:v>
      </x:c>
      <x:c r="M949" t="e">
        <x:f>IF($A949="","",[1]!thsiFinD("ths_adjustment_nv_fund",M$3,$A949))</x:f>
        <x:v>#NAME?</x:v>
      </x:c>
      <x:c r="N949" t="e">
        <x:f>IF($A949="","",[1]!thsiFinD("ths_adjustment_nv_fund",N$3,$A949))</x:f>
        <x:v>#NAME?</x:v>
      </x:c>
      <x:c r="O949" t="e">
        <x:f>IF($A949="","",[1]!thsiFinD("ths_adjustment_nv_fund",O$3,$A949))</x:f>
        <x:v>#NAME?</x:v>
      </x:c>
      <x:c r="P949" t="e">
        <x:f>IF($A949="","",[1]!thsiFinD("ths_adjustment_nv_fund",P$3,$A949))</x:f>
        <x:v>#NAME?</x:v>
      </x:c>
      <x:c r="Q949" t="e">
        <x:f>IF($A949="","",[1]!thsiFinD("ths_adjustment_nv_fund",Q$3,$A949))</x:f>
        <x:v>#NAME?</x:v>
      </x:c>
      <x:c r="R949" t="e">
        <x:f>IF($A949="","",[1]!thsiFinD("ths_adjustment_nv_fund",R$3,$A949))</x:f>
        <x:v>#NAME?</x:v>
      </x:c>
      <x:c r="S949" t="e">
        <x:f>IF($A949="","",[1]!thsiFinD("ths_adjustment_nv_fund",S$3,$A949))</x:f>
        <x:v>#NAME?</x:v>
      </x:c>
      <x:c r="T949" t="e">
        <x:f>IF($A949="","",[1]!thsiFinD("ths_adjustment_nv_fund",T$3,$A949))</x:f>
        <x:v>#NAME?</x:v>
      </x:c>
      <x:c r="U949" t="e">
        <x:f>IF($A949="","",[1]!thsiFinD("ths_adjustment_nv_fund",U$3,$A949))</x:f>
        <x:v>#NAME?</x:v>
      </x:c>
      <x:c r="V949" t="e">
        <x:f>IF($A949="","",[1]!thsiFinD("ths_adjustment_nv_fund",V$3,$A949))</x:f>
        <x:v>#NAME?</x:v>
      </x:c>
      <x:c r="W949" t="e">
        <x:f>IF($A949="","",[1]!thsiFinD("ths_adjustment_nv_fund",W$3,$A949))</x:f>
        <x:v>#NAME?</x:v>
      </x:c>
      <x:c r="X949" t="e">
        <x:f>IF($A949="","",[1]!thsiFinD("ths_adjustment_nv_fund",X$3,$A949))</x:f>
        <x:v>#NAME?</x:v>
      </x:c>
      <x:c r="Y949" t="e">
        <x:f>IF($A949="","",[1]!thsiFinD("ths_adjustment_nv_fund",Y$3,$A949))</x:f>
        <x:v>#NAME?</x:v>
      </x:c>
    </x:row>
    <x:row r="950">
      <x:c r="B950" t="e">
        <x:f>IF($A950="","",[1]!thsiFinD("ths_adjustment_nv_fund",B$3,$A950))</x:f>
        <x:v>#NAME?</x:v>
      </x:c>
      <x:c r="C950" t="e">
        <x:f>IF($A950="","",[1]!thsiFinD("ths_adjustment_nv_fund",C$3,$A950))</x:f>
        <x:v>#NAME?</x:v>
      </x:c>
      <x:c r="D950" t="e">
        <x:f>IF($A950="","",[1]!thsiFinD("ths_adjustment_nv_fund",D$3,$A950))</x:f>
        <x:v>#NAME?</x:v>
      </x:c>
      <x:c r="E950" t="e">
        <x:f>IF($A950="","",[1]!thsiFinD("ths_adjustment_nv_fund",E$3,$A950))</x:f>
        <x:v>#NAME?</x:v>
      </x:c>
      <x:c r="F950" t="e">
        <x:f>IF($A950="","",[1]!thsiFinD("ths_adjustment_nv_fund",F$3,$A950))</x:f>
        <x:v>#NAME?</x:v>
      </x:c>
      <x:c r="G950" t="e">
        <x:f>IF($A950="","",[1]!thsiFinD("ths_adjustment_nv_fund",G$3,$A950))</x:f>
        <x:v>#NAME?</x:v>
      </x:c>
      <x:c r="H950" t="e">
        <x:f>IF($A950="","",[1]!thsiFinD("ths_adjustment_nv_fund",H$3,$A950))</x:f>
        <x:v>#NAME?</x:v>
      </x:c>
      <x:c r="I950" t="e">
        <x:f>IF($A950="","",[1]!thsiFinD("ths_adjustment_nv_fund",I$3,$A950))</x:f>
        <x:v>#NAME?</x:v>
      </x:c>
      <x:c r="J950" t="e">
        <x:f>IF($A950="","",[1]!thsiFinD("ths_adjustment_nv_fund",J$3,$A950))</x:f>
        <x:v>#NAME?</x:v>
      </x:c>
      <x:c r="K950" t="e">
        <x:f>IF($A950="","",[1]!thsiFinD("ths_adjustment_nv_fund",K$3,$A950))</x:f>
        <x:v>#NAME?</x:v>
      </x:c>
      <x:c r="L950" t="e">
        <x:f>IF($A950="","",[1]!thsiFinD("ths_adjustment_nv_fund",L$3,$A950))</x:f>
        <x:v>#NAME?</x:v>
      </x:c>
      <x:c r="M950" t="e">
        <x:f>IF($A950="","",[1]!thsiFinD("ths_adjustment_nv_fund",M$3,$A950))</x:f>
        <x:v>#NAME?</x:v>
      </x:c>
      <x:c r="N950" t="e">
        <x:f>IF($A950="","",[1]!thsiFinD("ths_adjustment_nv_fund",N$3,$A950))</x:f>
        <x:v>#NAME?</x:v>
      </x:c>
      <x:c r="O950" t="e">
        <x:f>IF($A950="","",[1]!thsiFinD("ths_adjustment_nv_fund",O$3,$A950))</x:f>
        <x:v>#NAME?</x:v>
      </x:c>
      <x:c r="P950" t="e">
        <x:f>IF($A950="","",[1]!thsiFinD("ths_adjustment_nv_fund",P$3,$A950))</x:f>
        <x:v>#NAME?</x:v>
      </x:c>
      <x:c r="Q950" t="e">
        <x:f>IF($A950="","",[1]!thsiFinD("ths_adjustment_nv_fund",Q$3,$A950))</x:f>
        <x:v>#NAME?</x:v>
      </x:c>
      <x:c r="R950" t="e">
        <x:f>IF($A950="","",[1]!thsiFinD("ths_adjustment_nv_fund",R$3,$A950))</x:f>
        <x:v>#NAME?</x:v>
      </x:c>
      <x:c r="S950" t="e">
        <x:f>IF($A950="","",[1]!thsiFinD("ths_adjustment_nv_fund",S$3,$A950))</x:f>
        <x:v>#NAME?</x:v>
      </x:c>
      <x:c r="T950" t="e">
        <x:f>IF($A950="","",[1]!thsiFinD("ths_adjustment_nv_fund",T$3,$A950))</x:f>
        <x:v>#NAME?</x:v>
      </x:c>
      <x:c r="U950" t="e">
        <x:f>IF($A950="","",[1]!thsiFinD("ths_adjustment_nv_fund",U$3,$A950))</x:f>
        <x:v>#NAME?</x:v>
      </x:c>
      <x:c r="V950" t="e">
        <x:f>IF($A950="","",[1]!thsiFinD("ths_adjustment_nv_fund",V$3,$A950))</x:f>
        <x:v>#NAME?</x:v>
      </x:c>
      <x:c r="W950" t="e">
        <x:f>IF($A950="","",[1]!thsiFinD("ths_adjustment_nv_fund",W$3,$A950))</x:f>
        <x:v>#NAME?</x:v>
      </x:c>
      <x:c r="X950" t="e">
        <x:f>IF($A950="","",[1]!thsiFinD("ths_adjustment_nv_fund",X$3,$A950))</x:f>
        <x:v>#NAME?</x:v>
      </x:c>
      <x:c r="Y950" t="e">
        <x:f>IF($A950="","",[1]!thsiFinD("ths_adjustment_nv_fund",Y$3,$A950))</x:f>
        <x:v>#NAME?</x:v>
      </x:c>
    </x:row>
    <x:row r="951">
      <x:c r="B951" t="e">
        <x:f>IF($A951="","",[1]!thsiFinD("ths_adjustment_nv_fund",B$3,$A951))</x:f>
        <x:v>#NAME?</x:v>
      </x:c>
      <x:c r="C951" t="e">
        <x:f>IF($A951="","",[1]!thsiFinD("ths_adjustment_nv_fund",C$3,$A951))</x:f>
        <x:v>#NAME?</x:v>
      </x:c>
      <x:c r="D951" t="e">
        <x:f>IF($A951="","",[1]!thsiFinD("ths_adjustment_nv_fund",D$3,$A951))</x:f>
        <x:v>#NAME?</x:v>
      </x:c>
      <x:c r="E951" t="e">
        <x:f>IF($A951="","",[1]!thsiFinD("ths_adjustment_nv_fund",E$3,$A951))</x:f>
        <x:v>#NAME?</x:v>
      </x:c>
      <x:c r="F951" t="e">
        <x:f>IF($A951="","",[1]!thsiFinD("ths_adjustment_nv_fund",F$3,$A951))</x:f>
        <x:v>#NAME?</x:v>
      </x:c>
      <x:c r="G951" t="e">
        <x:f>IF($A951="","",[1]!thsiFinD("ths_adjustment_nv_fund",G$3,$A951))</x:f>
        <x:v>#NAME?</x:v>
      </x:c>
      <x:c r="H951" t="e">
        <x:f>IF($A951="","",[1]!thsiFinD("ths_adjustment_nv_fund",H$3,$A951))</x:f>
        <x:v>#NAME?</x:v>
      </x:c>
      <x:c r="I951" t="e">
        <x:f>IF($A951="","",[1]!thsiFinD("ths_adjustment_nv_fund",I$3,$A951))</x:f>
        <x:v>#NAME?</x:v>
      </x:c>
      <x:c r="J951" t="e">
        <x:f>IF($A951="","",[1]!thsiFinD("ths_adjustment_nv_fund",J$3,$A951))</x:f>
        <x:v>#NAME?</x:v>
      </x:c>
      <x:c r="K951" t="e">
        <x:f>IF($A951="","",[1]!thsiFinD("ths_adjustment_nv_fund",K$3,$A951))</x:f>
        <x:v>#NAME?</x:v>
      </x:c>
      <x:c r="L951" t="e">
        <x:f>IF($A951="","",[1]!thsiFinD("ths_adjustment_nv_fund",L$3,$A951))</x:f>
        <x:v>#NAME?</x:v>
      </x:c>
      <x:c r="M951" t="e">
        <x:f>IF($A951="","",[1]!thsiFinD("ths_adjustment_nv_fund",M$3,$A951))</x:f>
        <x:v>#NAME?</x:v>
      </x:c>
      <x:c r="N951" t="e">
        <x:f>IF($A951="","",[1]!thsiFinD("ths_adjustment_nv_fund",N$3,$A951))</x:f>
        <x:v>#NAME?</x:v>
      </x:c>
      <x:c r="O951" t="e">
        <x:f>IF($A951="","",[1]!thsiFinD("ths_adjustment_nv_fund",O$3,$A951))</x:f>
        <x:v>#NAME?</x:v>
      </x:c>
      <x:c r="P951" t="e">
        <x:f>IF($A951="","",[1]!thsiFinD("ths_adjustment_nv_fund",P$3,$A951))</x:f>
        <x:v>#NAME?</x:v>
      </x:c>
      <x:c r="Q951" t="e">
        <x:f>IF($A951="","",[1]!thsiFinD("ths_adjustment_nv_fund",Q$3,$A951))</x:f>
        <x:v>#NAME?</x:v>
      </x:c>
      <x:c r="R951" t="e">
        <x:f>IF($A951="","",[1]!thsiFinD("ths_adjustment_nv_fund",R$3,$A951))</x:f>
        <x:v>#NAME?</x:v>
      </x:c>
      <x:c r="S951" t="e">
        <x:f>IF($A951="","",[1]!thsiFinD("ths_adjustment_nv_fund",S$3,$A951))</x:f>
        <x:v>#NAME?</x:v>
      </x:c>
      <x:c r="T951" t="e">
        <x:f>IF($A951="","",[1]!thsiFinD("ths_adjustment_nv_fund",T$3,$A951))</x:f>
        <x:v>#NAME?</x:v>
      </x:c>
      <x:c r="U951" t="e">
        <x:f>IF($A951="","",[1]!thsiFinD("ths_adjustment_nv_fund",U$3,$A951))</x:f>
        <x:v>#NAME?</x:v>
      </x:c>
      <x:c r="V951" t="e">
        <x:f>IF($A951="","",[1]!thsiFinD("ths_adjustment_nv_fund",V$3,$A951))</x:f>
        <x:v>#NAME?</x:v>
      </x:c>
      <x:c r="W951" t="e">
        <x:f>IF($A951="","",[1]!thsiFinD("ths_adjustment_nv_fund",W$3,$A951))</x:f>
        <x:v>#NAME?</x:v>
      </x:c>
      <x:c r="X951" t="e">
        <x:f>IF($A951="","",[1]!thsiFinD("ths_adjustment_nv_fund",X$3,$A951))</x:f>
        <x:v>#NAME?</x:v>
      </x:c>
      <x:c r="Y951" t="e">
        <x:f>IF($A951="","",[1]!thsiFinD("ths_adjustment_nv_fund",Y$3,$A951))</x:f>
        <x:v>#NAME?</x:v>
      </x:c>
    </x:row>
    <x:row r="952">
      <x:c r="B952" t="e">
        <x:f>IF($A952="","",[1]!thsiFinD("ths_adjustment_nv_fund",B$3,$A952))</x:f>
        <x:v>#NAME?</x:v>
      </x:c>
      <x:c r="C952" t="e">
        <x:f>IF($A952="","",[1]!thsiFinD("ths_adjustment_nv_fund",C$3,$A952))</x:f>
        <x:v>#NAME?</x:v>
      </x:c>
      <x:c r="D952" t="e">
        <x:f>IF($A952="","",[1]!thsiFinD("ths_adjustment_nv_fund",D$3,$A952))</x:f>
        <x:v>#NAME?</x:v>
      </x:c>
      <x:c r="E952" t="e">
        <x:f>IF($A952="","",[1]!thsiFinD("ths_adjustment_nv_fund",E$3,$A952))</x:f>
        <x:v>#NAME?</x:v>
      </x:c>
      <x:c r="F952" t="e">
        <x:f>IF($A952="","",[1]!thsiFinD("ths_adjustment_nv_fund",F$3,$A952))</x:f>
        <x:v>#NAME?</x:v>
      </x:c>
      <x:c r="G952" t="e">
        <x:f>IF($A952="","",[1]!thsiFinD("ths_adjustment_nv_fund",G$3,$A952))</x:f>
        <x:v>#NAME?</x:v>
      </x:c>
      <x:c r="H952" t="e">
        <x:f>IF($A952="","",[1]!thsiFinD("ths_adjustment_nv_fund",H$3,$A952))</x:f>
        <x:v>#NAME?</x:v>
      </x:c>
      <x:c r="I952" t="e">
        <x:f>IF($A952="","",[1]!thsiFinD("ths_adjustment_nv_fund",I$3,$A952))</x:f>
        <x:v>#NAME?</x:v>
      </x:c>
      <x:c r="J952" t="e">
        <x:f>IF($A952="","",[1]!thsiFinD("ths_adjustment_nv_fund",J$3,$A952))</x:f>
        <x:v>#NAME?</x:v>
      </x:c>
      <x:c r="K952" t="e">
        <x:f>IF($A952="","",[1]!thsiFinD("ths_adjustment_nv_fund",K$3,$A952))</x:f>
        <x:v>#NAME?</x:v>
      </x:c>
      <x:c r="L952" t="e">
        <x:f>IF($A952="","",[1]!thsiFinD("ths_adjustment_nv_fund",L$3,$A952))</x:f>
        <x:v>#NAME?</x:v>
      </x:c>
      <x:c r="M952" t="e">
        <x:f>IF($A952="","",[1]!thsiFinD("ths_adjustment_nv_fund",M$3,$A952))</x:f>
        <x:v>#NAME?</x:v>
      </x:c>
      <x:c r="N952" t="e">
        <x:f>IF($A952="","",[1]!thsiFinD("ths_adjustment_nv_fund",N$3,$A952))</x:f>
        <x:v>#NAME?</x:v>
      </x:c>
      <x:c r="O952" t="e">
        <x:f>IF($A952="","",[1]!thsiFinD("ths_adjustment_nv_fund",O$3,$A952))</x:f>
        <x:v>#NAME?</x:v>
      </x:c>
      <x:c r="P952" t="e">
        <x:f>IF($A952="","",[1]!thsiFinD("ths_adjustment_nv_fund",P$3,$A952))</x:f>
        <x:v>#NAME?</x:v>
      </x:c>
      <x:c r="Q952" t="e">
        <x:f>IF($A952="","",[1]!thsiFinD("ths_adjustment_nv_fund",Q$3,$A952))</x:f>
        <x:v>#NAME?</x:v>
      </x:c>
      <x:c r="R952" t="e">
        <x:f>IF($A952="","",[1]!thsiFinD("ths_adjustment_nv_fund",R$3,$A952))</x:f>
        <x:v>#NAME?</x:v>
      </x:c>
      <x:c r="S952" t="e">
        <x:f>IF($A952="","",[1]!thsiFinD("ths_adjustment_nv_fund",S$3,$A952))</x:f>
        <x:v>#NAME?</x:v>
      </x:c>
      <x:c r="T952" t="e">
        <x:f>IF($A952="","",[1]!thsiFinD("ths_adjustment_nv_fund",T$3,$A952))</x:f>
        <x:v>#NAME?</x:v>
      </x:c>
      <x:c r="U952" t="e">
        <x:f>IF($A952="","",[1]!thsiFinD("ths_adjustment_nv_fund",U$3,$A952))</x:f>
        <x:v>#NAME?</x:v>
      </x:c>
      <x:c r="V952" t="e">
        <x:f>IF($A952="","",[1]!thsiFinD("ths_adjustment_nv_fund",V$3,$A952))</x:f>
        <x:v>#NAME?</x:v>
      </x:c>
      <x:c r="W952" t="e">
        <x:f>IF($A952="","",[1]!thsiFinD("ths_adjustment_nv_fund",W$3,$A952))</x:f>
        <x:v>#NAME?</x:v>
      </x:c>
      <x:c r="X952" t="e">
        <x:f>IF($A952="","",[1]!thsiFinD("ths_adjustment_nv_fund",X$3,$A952))</x:f>
        <x:v>#NAME?</x:v>
      </x:c>
      <x:c r="Y952" t="e">
        <x:f>IF($A952="","",[1]!thsiFinD("ths_adjustment_nv_fund",Y$3,$A952))</x:f>
        <x:v>#NAME?</x:v>
      </x:c>
    </x:row>
    <x:row r="953">
      <x:c r="B953" t="e">
        <x:f>IF($A953="","",[1]!thsiFinD("ths_adjustment_nv_fund",B$3,$A953))</x:f>
        <x:v>#NAME?</x:v>
      </x:c>
      <x:c r="C953" t="e">
        <x:f>IF($A953="","",[1]!thsiFinD("ths_adjustment_nv_fund",C$3,$A953))</x:f>
        <x:v>#NAME?</x:v>
      </x:c>
      <x:c r="D953" t="e">
        <x:f>IF($A953="","",[1]!thsiFinD("ths_adjustment_nv_fund",D$3,$A953))</x:f>
        <x:v>#NAME?</x:v>
      </x:c>
      <x:c r="E953" t="e">
        <x:f>IF($A953="","",[1]!thsiFinD("ths_adjustment_nv_fund",E$3,$A953))</x:f>
        <x:v>#NAME?</x:v>
      </x:c>
      <x:c r="F953" t="e">
        <x:f>IF($A953="","",[1]!thsiFinD("ths_adjustment_nv_fund",F$3,$A953))</x:f>
        <x:v>#NAME?</x:v>
      </x:c>
      <x:c r="G953" t="e">
        <x:f>IF($A953="","",[1]!thsiFinD("ths_adjustment_nv_fund",G$3,$A953))</x:f>
        <x:v>#NAME?</x:v>
      </x:c>
      <x:c r="H953" t="e">
        <x:f>IF($A953="","",[1]!thsiFinD("ths_adjustment_nv_fund",H$3,$A953))</x:f>
        <x:v>#NAME?</x:v>
      </x:c>
      <x:c r="I953" t="e">
        <x:f>IF($A953="","",[1]!thsiFinD("ths_adjustment_nv_fund",I$3,$A953))</x:f>
        <x:v>#NAME?</x:v>
      </x:c>
      <x:c r="J953" t="e">
        <x:f>IF($A953="","",[1]!thsiFinD("ths_adjustment_nv_fund",J$3,$A953))</x:f>
        <x:v>#NAME?</x:v>
      </x:c>
      <x:c r="K953" t="e">
        <x:f>IF($A953="","",[1]!thsiFinD("ths_adjustment_nv_fund",K$3,$A953))</x:f>
        <x:v>#NAME?</x:v>
      </x:c>
      <x:c r="L953" t="e">
        <x:f>IF($A953="","",[1]!thsiFinD("ths_adjustment_nv_fund",L$3,$A953))</x:f>
        <x:v>#NAME?</x:v>
      </x:c>
      <x:c r="M953" t="e">
        <x:f>IF($A953="","",[1]!thsiFinD("ths_adjustment_nv_fund",M$3,$A953))</x:f>
        <x:v>#NAME?</x:v>
      </x:c>
      <x:c r="N953" t="e">
        <x:f>IF($A953="","",[1]!thsiFinD("ths_adjustment_nv_fund",N$3,$A953))</x:f>
        <x:v>#NAME?</x:v>
      </x:c>
      <x:c r="O953" t="e">
        <x:f>IF($A953="","",[1]!thsiFinD("ths_adjustment_nv_fund",O$3,$A953))</x:f>
        <x:v>#NAME?</x:v>
      </x:c>
      <x:c r="P953" t="e">
        <x:f>IF($A953="","",[1]!thsiFinD("ths_adjustment_nv_fund",P$3,$A953))</x:f>
        <x:v>#NAME?</x:v>
      </x:c>
      <x:c r="Q953" t="e">
        <x:f>IF($A953="","",[1]!thsiFinD("ths_adjustment_nv_fund",Q$3,$A953))</x:f>
        <x:v>#NAME?</x:v>
      </x:c>
      <x:c r="R953" t="e">
        <x:f>IF($A953="","",[1]!thsiFinD("ths_adjustment_nv_fund",R$3,$A953))</x:f>
        <x:v>#NAME?</x:v>
      </x:c>
      <x:c r="S953" t="e">
        <x:f>IF($A953="","",[1]!thsiFinD("ths_adjustment_nv_fund",S$3,$A953))</x:f>
        <x:v>#NAME?</x:v>
      </x:c>
      <x:c r="T953" t="e">
        <x:f>IF($A953="","",[1]!thsiFinD("ths_adjustment_nv_fund",T$3,$A953))</x:f>
        <x:v>#NAME?</x:v>
      </x:c>
      <x:c r="U953" t="e">
        <x:f>IF($A953="","",[1]!thsiFinD("ths_adjustment_nv_fund",U$3,$A953))</x:f>
        <x:v>#NAME?</x:v>
      </x:c>
      <x:c r="V953" t="e">
        <x:f>IF($A953="","",[1]!thsiFinD("ths_adjustment_nv_fund",V$3,$A953))</x:f>
        <x:v>#NAME?</x:v>
      </x:c>
      <x:c r="W953" t="e">
        <x:f>IF($A953="","",[1]!thsiFinD("ths_adjustment_nv_fund",W$3,$A953))</x:f>
        <x:v>#NAME?</x:v>
      </x:c>
      <x:c r="X953" t="e">
        <x:f>IF($A953="","",[1]!thsiFinD("ths_adjustment_nv_fund",X$3,$A953))</x:f>
        <x:v>#NAME?</x:v>
      </x:c>
      <x:c r="Y953" t="e">
        <x:f>IF($A953="","",[1]!thsiFinD("ths_adjustment_nv_fund",Y$3,$A953))</x:f>
        <x:v>#NAME?</x:v>
      </x:c>
    </x:row>
    <x:row r="954">
      <x:c r="B954" t="e">
        <x:f>IF($A954="","",[1]!thsiFinD("ths_adjustment_nv_fund",B$3,$A954))</x:f>
        <x:v>#NAME?</x:v>
      </x:c>
      <x:c r="C954" t="e">
        <x:f>IF($A954="","",[1]!thsiFinD("ths_adjustment_nv_fund",C$3,$A954))</x:f>
        <x:v>#NAME?</x:v>
      </x:c>
      <x:c r="D954" t="e">
        <x:f>IF($A954="","",[1]!thsiFinD("ths_adjustment_nv_fund",D$3,$A954))</x:f>
        <x:v>#NAME?</x:v>
      </x:c>
      <x:c r="E954" t="e">
        <x:f>IF($A954="","",[1]!thsiFinD("ths_adjustment_nv_fund",E$3,$A954))</x:f>
        <x:v>#NAME?</x:v>
      </x:c>
      <x:c r="F954" t="e">
        <x:f>IF($A954="","",[1]!thsiFinD("ths_adjustment_nv_fund",F$3,$A954))</x:f>
        <x:v>#NAME?</x:v>
      </x:c>
      <x:c r="G954" t="e">
        <x:f>IF($A954="","",[1]!thsiFinD("ths_adjustment_nv_fund",G$3,$A954))</x:f>
        <x:v>#NAME?</x:v>
      </x:c>
      <x:c r="H954" t="e">
        <x:f>IF($A954="","",[1]!thsiFinD("ths_adjustment_nv_fund",H$3,$A954))</x:f>
        <x:v>#NAME?</x:v>
      </x:c>
      <x:c r="I954" t="e">
        <x:f>IF($A954="","",[1]!thsiFinD("ths_adjustment_nv_fund",I$3,$A954))</x:f>
        <x:v>#NAME?</x:v>
      </x:c>
      <x:c r="J954" t="e">
        <x:f>IF($A954="","",[1]!thsiFinD("ths_adjustment_nv_fund",J$3,$A954))</x:f>
        <x:v>#NAME?</x:v>
      </x:c>
      <x:c r="K954" t="e">
        <x:f>IF($A954="","",[1]!thsiFinD("ths_adjustment_nv_fund",K$3,$A954))</x:f>
        <x:v>#NAME?</x:v>
      </x:c>
      <x:c r="L954" t="e">
        <x:f>IF($A954="","",[1]!thsiFinD("ths_adjustment_nv_fund",L$3,$A954))</x:f>
        <x:v>#NAME?</x:v>
      </x:c>
      <x:c r="M954" t="e">
        <x:f>IF($A954="","",[1]!thsiFinD("ths_adjustment_nv_fund",M$3,$A954))</x:f>
        <x:v>#NAME?</x:v>
      </x:c>
      <x:c r="N954" t="e">
        <x:f>IF($A954="","",[1]!thsiFinD("ths_adjustment_nv_fund",N$3,$A954))</x:f>
        <x:v>#NAME?</x:v>
      </x:c>
      <x:c r="O954" t="e">
        <x:f>IF($A954="","",[1]!thsiFinD("ths_adjustment_nv_fund",O$3,$A954))</x:f>
        <x:v>#NAME?</x:v>
      </x:c>
      <x:c r="P954" t="e">
        <x:f>IF($A954="","",[1]!thsiFinD("ths_adjustment_nv_fund",P$3,$A954))</x:f>
        <x:v>#NAME?</x:v>
      </x:c>
      <x:c r="Q954" t="e">
        <x:f>IF($A954="","",[1]!thsiFinD("ths_adjustment_nv_fund",Q$3,$A954))</x:f>
        <x:v>#NAME?</x:v>
      </x:c>
      <x:c r="R954" t="e">
        <x:f>IF($A954="","",[1]!thsiFinD("ths_adjustment_nv_fund",R$3,$A954))</x:f>
        <x:v>#NAME?</x:v>
      </x:c>
      <x:c r="S954" t="e">
        <x:f>IF($A954="","",[1]!thsiFinD("ths_adjustment_nv_fund",S$3,$A954))</x:f>
        <x:v>#NAME?</x:v>
      </x:c>
      <x:c r="T954" t="e">
        <x:f>IF($A954="","",[1]!thsiFinD("ths_adjustment_nv_fund",T$3,$A954))</x:f>
        <x:v>#NAME?</x:v>
      </x:c>
      <x:c r="U954" t="e">
        <x:f>IF($A954="","",[1]!thsiFinD("ths_adjustment_nv_fund",U$3,$A954))</x:f>
        <x:v>#NAME?</x:v>
      </x:c>
      <x:c r="V954" t="e">
        <x:f>IF($A954="","",[1]!thsiFinD("ths_adjustment_nv_fund",V$3,$A954))</x:f>
        <x:v>#NAME?</x:v>
      </x:c>
      <x:c r="W954" t="e">
        <x:f>IF($A954="","",[1]!thsiFinD("ths_adjustment_nv_fund",W$3,$A954))</x:f>
        <x:v>#NAME?</x:v>
      </x:c>
      <x:c r="X954" t="e">
        <x:f>IF($A954="","",[1]!thsiFinD("ths_adjustment_nv_fund",X$3,$A954))</x:f>
        <x:v>#NAME?</x:v>
      </x:c>
      <x:c r="Y954" t="e">
        <x:f>IF($A954="","",[1]!thsiFinD("ths_adjustment_nv_fund",Y$3,$A954))</x:f>
        <x:v>#NAME?</x:v>
      </x:c>
    </x:row>
    <x:row r="955">
      <x:c r="B955" t="e">
        <x:f>IF($A955="","",[1]!thsiFinD("ths_adjustment_nv_fund",B$3,$A955))</x:f>
        <x:v>#NAME?</x:v>
      </x:c>
      <x:c r="C955" t="e">
        <x:f>IF($A955="","",[1]!thsiFinD("ths_adjustment_nv_fund",C$3,$A955))</x:f>
        <x:v>#NAME?</x:v>
      </x:c>
      <x:c r="D955" t="e">
        <x:f>IF($A955="","",[1]!thsiFinD("ths_adjustment_nv_fund",D$3,$A955))</x:f>
        <x:v>#NAME?</x:v>
      </x:c>
      <x:c r="E955" t="e">
        <x:f>IF($A955="","",[1]!thsiFinD("ths_adjustment_nv_fund",E$3,$A955))</x:f>
        <x:v>#NAME?</x:v>
      </x:c>
      <x:c r="F955" t="e">
        <x:f>IF($A955="","",[1]!thsiFinD("ths_adjustment_nv_fund",F$3,$A955))</x:f>
        <x:v>#NAME?</x:v>
      </x:c>
      <x:c r="G955" t="e">
        <x:f>IF($A955="","",[1]!thsiFinD("ths_adjustment_nv_fund",G$3,$A955))</x:f>
        <x:v>#NAME?</x:v>
      </x:c>
      <x:c r="H955" t="e">
        <x:f>IF($A955="","",[1]!thsiFinD("ths_adjustment_nv_fund",H$3,$A955))</x:f>
        <x:v>#NAME?</x:v>
      </x:c>
      <x:c r="I955" t="e">
        <x:f>IF($A955="","",[1]!thsiFinD("ths_adjustment_nv_fund",I$3,$A955))</x:f>
        <x:v>#NAME?</x:v>
      </x:c>
      <x:c r="J955" t="e">
        <x:f>IF($A955="","",[1]!thsiFinD("ths_adjustment_nv_fund",J$3,$A955))</x:f>
        <x:v>#NAME?</x:v>
      </x:c>
      <x:c r="K955" t="e">
        <x:f>IF($A955="","",[1]!thsiFinD("ths_adjustment_nv_fund",K$3,$A955))</x:f>
        <x:v>#NAME?</x:v>
      </x:c>
      <x:c r="L955" t="e">
        <x:f>IF($A955="","",[1]!thsiFinD("ths_adjustment_nv_fund",L$3,$A955))</x:f>
        <x:v>#NAME?</x:v>
      </x:c>
      <x:c r="M955" t="e">
        <x:f>IF($A955="","",[1]!thsiFinD("ths_adjustment_nv_fund",M$3,$A955))</x:f>
        <x:v>#NAME?</x:v>
      </x:c>
      <x:c r="N955" t="e">
        <x:f>IF($A955="","",[1]!thsiFinD("ths_adjustment_nv_fund",N$3,$A955))</x:f>
        <x:v>#NAME?</x:v>
      </x:c>
      <x:c r="O955" t="e">
        <x:f>IF($A955="","",[1]!thsiFinD("ths_adjustment_nv_fund",O$3,$A955))</x:f>
        <x:v>#NAME?</x:v>
      </x:c>
      <x:c r="P955" t="e">
        <x:f>IF($A955="","",[1]!thsiFinD("ths_adjustment_nv_fund",P$3,$A955))</x:f>
        <x:v>#NAME?</x:v>
      </x:c>
      <x:c r="Q955" t="e">
        <x:f>IF($A955="","",[1]!thsiFinD("ths_adjustment_nv_fund",Q$3,$A955))</x:f>
        <x:v>#NAME?</x:v>
      </x:c>
      <x:c r="R955" t="e">
        <x:f>IF($A955="","",[1]!thsiFinD("ths_adjustment_nv_fund",R$3,$A955))</x:f>
        <x:v>#NAME?</x:v>
      </x:c>
      <x:c r="S955" t="e">
        <x:f>IF($A955="","",[1]!thsiFinD("ths_adjustment_nv_fund",S$3,$A955))</x:f>
        <x:v>#NAME?</x:v>
      </x:c>
      <x:c r="T955" t="e">
        <x:f>IF($A955="","",[1]!thsiFinD("ths_adjustment_nv_fund",T$3,$A955))</x:f>
        <x:v>#NAME?</x:v>
      </x:c>
      <x:c r="U955" t="e">
        <x:f>IF($A955="","",[1]!thsiFinD("ths_adjustment_nv_fund",U$3,$A955))</x:f>
        <x:v>#NAME?</x:v>
      </x:c>
      <x:c r="V955" t="e">
        <x:f>IF($A955="","",[1]!thsiFinD("ths_adjustment_nv_fund",V$3,$A955))</x:f>
        <x:v>#NAME?</x:v>
      </x:c>
      <x:c r="W955" t="e">
        <x:f>IF($A955="","",[1]!thsiFinD("ths_adjustment_nv_fund",W$3,$A955))</x:f>
        <x:v>#NAME?</x:v>
      </x:c>
      <x:c r="X955" t="e">
        <x:f>IF($A955="","",[1]!thsiFinD("ths_adjustment_nv_fund",X$3,$A955))</x:f>
        <x:v>#NAME?</x:v>
      </x:c>
      <x:c r="Y955" t="e">
        <x:f>IF($A955="","",[1]!thsiFinD("ths_adjustment_nv_fund",Y$3,$A955))</x:f>
        <x:v>#NAME?</x:v>
      </x:c>
    </x:row>
    <x:row r="956">
      <x:c r="B956" t="e">
        <x:f>IF($A956="","",[1]!thsiFinD("ths_adjustment_nv_fund",B$3,$A956))</x:f>
        <x:v>#NAME?</x:v>
      </x:c>
      <x:c r="C956" t="e">
        <x:f>IF($A956="","",[1]!thsiFinD("ths_adjustment_nv_fund",C$3,$A956))</x:f>
        <x:v>#NAME?</x:v>
      </x:c>
      <x:c r="D956" t="e">
        <x:f>IF($A956="","",[1]!thsiFinD("ths_adjustment_nv_fund",D$3,$A956))</x:f>
        <x:v>#NAME?</x:v>
      </x:c>
      <x:c r="E956" t="e">
        <x:f>IF($A956="","",[1]!thsiFinD("ths_adjustment_nv_fund",E$3,$A956))</x:f>
        <x:v>#NAME?</x:v>
      </x:c>
      <x:c r="F956" t="e">
        <x:f>IF($A956="","",[1]!thsiFinD("ths_adjustment_nv_fund",F$3,$A956))</x:f>
        <x:v>#NAME?</x:v>
      </x:c>
      <x:c r="G956" t="e">
        <x:f>IF($A956="","",[1]!thsiFinD("ths_adjustment_nv_fund",G$3,$A956))</x:f>
        <x:v>#NAME?</x:v>
      </x:c>
      <x:c r="H956" t="e">
        <x:f>IF($A956="","",[1]!thsiFinD("ths_adjustment_nv_fund",H$3,$A956))</x:f>
        <x:v>#NAME?</x:v>
      </x:c>
      <x:c r="I956" t="e">
        <x:f>IF($A956="","",[1]!thsiFinD("ths_adjustment_nv_fund",I$3,$A956))</x:f>
        <x:v>#NAME?</x:v>
      </x:c>
      <x:c r="J956" t="e">
        <x:f>IF($A956="","",[1]!thsiFinD("ths_adjustment_nv_fund",J$3,$A956))</x:f>
        <x:v>#NAME?</x:v>
      </x:c>
      <x:c r="K956" t="e">
        <x:f>IF($A956="","",[1]!thsiFinD("ths_adjustment_nv_fund",K$3,$A956))</x:f>
        <x:v>#NAME?</x:v>
      </x:c>
      <x:c r="L956" t="e">
        <x:f>IF($A956="","",[1]!thsiFinD("ths_adjustment_nv_fund",L$3,$A956))</x:f>
        <x:v>#NAME?</x:v>
      </x:c>
      <x:c r="M956" t="e">
        <x:f>IF($A956="","",[1]!thsiFinD("ths_adjustment_nv_fund",M$3,$A956))</x:f>
        <x:v>#NAME?</x:v>
      </x:c>
      <x:c r="N956" t="e">
        <x:f>IF($A956="","",[1]!thsiFinD("ths_adjustment_nv_fund",N$3,$A956))</x:f>
        <x:v>#NAME?</x:v>
      </x:c>
      <x:c r="O956" t="e">
        <x:f>IF($A956="","",[1]!thsiFinD("ths_adjustment_nv_fund",O$3,$A956))</x:f>
        <x:v>#NAME?</x:v>
      </x:c>
      <x:c r="P956" t="e">
        <x:f>IF($A956="","",[1]!thsiFinD("ths_adjustment_nv_fund",P$3,$A956))</x:f>
        <x:v>#NAME?</x:v>
      </x:c>
      <x:c r="Q956" t="e">
        <x:f>IF($A956="","",[1]!thsiFinD("ths_adjustment_nv_fund",Q$3,$A956))</x:f>
        <x:v>#NAME?</x:v>
      </x:c>
      <x:c r="R956" t="e">
        <x:f>IF($A956="","",[1]!thsiFinD("ths_adjustment_nv_fund",R$3,$A956))</x:f>
        <x:v>#NAME?</x:v>
      </x:c>
      <x:c r="S956" t="e">
        <x:f>IF($A956="","",[1]!thsiFinD("ths_adjustment_nv_fund",S$3,$A956))</x:f>
        <x:v>#NAME?</x:v>
      </x:c>
      <x:c r="T956" t="e">
        <x:f>IF($A956="","",[1]!thsiFinD("ths_adjustment_nv_fund",T$3,$A956))</x:f>
        <x:v>#NAME?</x:v>
      </x:c>
      <x:c r="U956" t="e">
        <x:f>IF($A956="","",[1]!thsiFinD("ths_adjustment_nv_fund",U$3,$A956))</x:f>
        <x:v>#NAME?</x:v>
      </x:c>
      <x:c r="V956" t="e">
        <x:f>IF($A956="","",[1]!thsiFinD("ths_adjustment_nv_fund",V$3,$A956))</x:f>
        <x:v>#NAME?</x:v>
      </x:c>
      <x:c r="W956" t="e">
        <x:f>IF($A956="","",[1]!thsiFinD("ths_adjustment_nv_fund",W$3,$A956))</x:f>
        <x:v>#NAME?</x:v>
      </x:c>
      <x:c r="X956" t="e">
        <x:f>IF($A956="","",[1]!thsiFinD("ths_adjustment_nv_fund",X$3,$A956))</x:f>
        <x:v>#NAME?</x:v>
      </x:c>
      <x:c r="Y956" t="e">
        <x:f>IF($A956="","",[1]!thsiFinD("ths_adjustment_nv_fund",Y$3,$A956))</x:f>
        <x:v>#NAME?</x:v>
      </x:c>
    </x:row>
    <x:row r="957">
      <x:c r="B957" t="e">
        <x:f>IF($A957="","",[1]!thsiFinD("ths_adjustment_nv_fund",B$3,$A957))</x:f>
        <x:v>#NAME?</x:v>
      </x:c>
      <x:c r="C957" t="e">
        <x:f>IF($A957="","",[1]!thsiFinD("ths_adjustment_nv_fund",C$3,$A957))</x:f>
        <x:v>#NAME?</x:v>
      </x:c>
      <x:c r="D957" t="e">
        <x:f>IF($A957="","",[1]!thsiFinD("ths_adjustment_nv_fund",D$3,$A957))</x:f>
        <x:v>#NAME?</x:v>
      </x:c>
      <x:c r="E957" t="e">
        <x:f>IF($A957="","",[1]!thsiFinD("ths_adjustment_nv_fund",E$3,$A957))</x:f>
        <x:v>#NAME?</x:v>
      </x:c>
      <x:c r="F957" t="e">
        <x:f>IF($A957="","",[1]!thsiFinD("ths_adjustment_nv_fund",F$3,$A957))</x:f>
        <x:v>#NAME?</x:v>
      </x:c>
      <x:c r="G957" t="e">
        <x:f>IF($A957="","",[1]!thsiFinD("ths_adjustment_nv_fund",G$3,$A957))</x:f>
        <x:v>#NAME?</x:v>
      </x:c>
      <x:c r="H957" t="e">
        <x:f>IF($A957="","",[1]!thsiFinD("ths_adjustment_nv_fund",H$3,$A957))</x:f>
        <x:v>#NAME?</x:v>
      </x:c>
      <x:c r="I957" t="e">
        <x:f>IF($A957="","",[1]!thsiFinD("ths_adjustment_nv_fund",I$3,$A957))</x:f>
        <x:v>#NAME?</x:v>
      </x:c>
      <x:c r="J957" t="e">
        <x:f>IF($A957="","",[1]!thsiFinD("ths_adjustment_nv_fund",J$3,$A957))</x:f>
        <x:v>#NAME?</x:v>
      </x:c>
      <x:c r="K957" t="e">
        <x:f>IF($A957="","",[1]!thsiFinD("ths_adjustment_nv_fund",K$3,$A957))</x:f>
        <x:v>#NAME?</x:v>
      </x:c>
      <x:c r="L957" t="e">
        <x:f>IF($A957="","",[1]!thsiFinD("ths_adjustment_nv_fund",L$3,$A957))</x:f>
        <x:v>#NAME?</x:v>
      </x:c>
      <x:c r="M957" t="e">
        <x:f>IF($A957="","",[1]!thsiFinD("ths_adjustment_nv_fund",M$3,$A957))</x:f>
        <x:v>#NAME?</x:v>
      </x:c>
      <x:c r="N957" t="e">
        <x:f>IF($A957="","",[1]!thsiFinD("ths_adjustment_nv_fund",N$3,$A957))</x:f>
        <x:v>#NAME?</x:v>
      </x:c>
      <x:c r="O957" t="e">
        <x:f>IF($A957="","",[1]!thsiFinD("ths_adjustment_nv_fund",O$3,$A957))</x:f>
        <x:v>#NAME?</x:v>
      </x:c>
      <x:c r="P957" t="e">
        <x:f>IF($A957="","",[1]!thsiFinD("ths_adjustment_nv_fund",P$3,$A957))</x:f>
        <x:v>#NAME?</x:v>
      </x:c>
      <x:c r="Q957" t="e">
        <x:f>IF($A957="","",[1]!thsiFinD("ths_adjustment_nv_fund",Q$3,$A957))</x:f>
        <x:v>#NAME?</x:v>
      </x:c>
      <x:c r="R957" t="e">
        <x:f>IF($A957="","",[1]!thsiFinD("ths_adjustment_nv_fund",R$3,$A957))</x:f>
        <x:v>#NAME?</x:v>
      </x:c>
      <x:c r="S957" t="e">
        <x:f>IF($A957="","",[1]!thsiFinD("ths_adjustment_nv_fund",S$3,$A957))</x:f>
        <x:v>#NAME?</x:v>
      </x:c>
      <x:c r="T957" t="e">
        <x:f>IF($A957="","",[1]!thsiFinD("ths_adjustment_nv_fund",T$3,$A957))</x:f>
        <x:v>#NAME?</x:v>
      </x:c>
      <x:c r="U957" t="e">
        <x:f>IF($A957="","",[1]!thsiFinD("ths_adjustment_nv_fund",U$3,$A957))</x:f>
        <x:v>#NAME?</x:v>
      </x:c>
      <x:c r="V957" t="e">
        <x:f>IF($A957="","",[1]!thsiFinD("ths_adjustment_nv_fund",V$3,$A957))</x:f>
        <x:v>#NAME?</x:v>
      </x:c>
      <x:c r="W957" t="e">
        <x:f>IF($A957="","",[1]!thsiFinD("ths_adjustment_nv_fund",W$3,$A957))</x:f>
        <x:v>#NAME?</x:v>
      </x:c>
      <x:c r="X957" t="e">
        <x:f>IF($A957="","",[1]!thsiFinD("ths_adjustment_nv_fund",X$3,$A957))</x:f>
        <x:v>#NAME?</x:v>
      </x:c>
      <x:c r="Y957" t="e">
        <x:f>IF($A957="","",[1]!thsiFinD("ths_adjustment_nv_fund",Y$3,$A957))</x:f>
        <x:v>#NAME?</x:v>
      </x:c>
    </x:row>
    <x:row r="958">
      <x:c r="B958" t="e">
        <x:f>IF($A958="","",[1]!thsiFinD("ths_adjustment_nv_fund",B$3,$A958))</x:f>
        <x:v>#NAME?</x:v>
      </x:c>
      <x:c r="C958" t="e">
        <x:f>IF($A958="","",[1]!thsiFinD("ths_adjustment_nv_fund",C$3,$A958))</x:f>
        <x:v>#NAME?</x:v>
      </x:c>
      <x:c r="D958" t="e">
        <x:f>IF($A958="","",[1]!thsiFinD("ths_adjustment_nv_fund",D$3,$A958))</x:f>
        <x:v>#NAME?</x:v>
      </x:c>
      <x:c r="E958" t="e">
        <x:f>IF($A958="","",[1]!thsiFinD("ths_adjustment_nv_fund",E$3,$A958))</x:f>
        <x:v>#NAME?</x:v>
      </x:c>
      <x:c r="F958" t="e">
        <x:f>IF($A958="","",[1]!thsiFinD("ths_adjustment_nv_fund",F$3,$A958))</x:f>
        <x:v>#NAME?</x:v>
      </x:c>
      <x:c r="G958" t="e">
        <x:f>IF($A958="","",[1]!thsiFinD("ths_adjustment_nv_fund",G$3,$A958))</x:f>
        <x:v>#NAME?</x:v>
      </x:c>
      <x:c r="H958" t="e">
        <x:f>IF($A958="","",[1]!thsiFinD("ths_adjustment_nv_fund",H$3,$A958))</x:f>
        <x:v>#NAME?</x:v>
      </x:c>
      <x:c r="I958" t="e">
        <x:f>IF($A958="","",[1]!thsiFinD("ths_adjustment_nv_fund",I$3,$A958))</x:f>
        <x:v>#NAME?</x:v>
      </x:c>
      <x:c r="J958" t="e">
        <x:f>IF($A958="","",[1]!thsiFinD("ths_adjustment_nv_fund",J$3,$A958))</x:f>
        <x:v>#NAME?</x:v>
      </x:c>
      <x:c r="K958" t="e">
        <x:f>IF($A958="","",[1]!thsiFinD("ths_adjustment_nv_fund",K$3,$A958))</x:f>
        <x:v>#NAME?</x:v>
      </x:c>
      <x:c r="L958" t="e">
        <x:f>IF($A958="","",[1]!thsiFinD("ths_adjustment_nv_fund",L$3,$A958))</x:f>
        <x:v>#NAME?</x:v>
      </x:c>
      <x:c r="M958" t="e">
        <x:f>IF($A958="","",[1]!thsiFinD("ths_adjustment_nv_fund",M$3,$A958))</x:f>
        <x:v>#NAME?</x:v>
      </x:c>
      <x:c r="N958" t="e">
        <x:f>IF($A958="","",[1]!thsiFinD("ths_adjustment_nv_fund",N$3,$A958))</x:f>
        <x:v>#NAME?</x:v>
      </x:c>
      <x:c r="O958" t="e">
        <x:f>IF($A958="","",[1]!thsiFinD("ths_adjustment_nv_fund",O$3,$A958))</x:f>
        <x:v>#NAME?</x:v>
      </x:c>
      <x:c r="P958" t="e">
        <x:f>IF($A958="","",[1]!thsiFinD("ths_adjustment_nv_fund",P$3,$A958))</x:f>
        <x:v>#NAME?</x:v>
      </x:c>
      <x:c r="Q958" t="e">
        <x:f>IF($A958="","",[1]!thsiFinD("ths_adjustment_nv_fund",Q$3,$A958))</x:f>
        <x:v>#NAME?</x:v>
      </x:c>
      <x:c r="R958" t="e">
        <x:f>IF($A958="","",[1]!thsiFinD("ths_adjustment_nv_fund",R$3,$A958))</x:f>
        <x:v>#NAME?</x:v>
      </x:c>
      <x:c r="S958" t="e">
        <x:f>IF($A958="","",[1]!thsiFinD("ths_adjustment_nv_fund",S$3,$A958))</x:f>
        <x:v>#NAME?</x:v>
      </x:c>
      <x:c r="T958" t="e">
        <x:f>IF($A958="","",[1]!thsiFinD("ths_adjustment_nv_fund",T$3,$A958))</x:f>
        <x:v>#NAME?</x:v>
      </x:c>
      <x:c r="U958" t="e">
        <x:f>IF($A958="","",[1]!thsiFinD("ths_adjustment_nv_fund",U$3,$A958))</x:f>
        <x:v>#NAME?</x:v>
      </x:c>
      <x:c r="V958" t="e">
        <x:f>IF($A958="","",[1]!thsiFinD("ths_adjustment_nv_fund",V$3,$A958))</x:f>
        <x:v>#NAME?</x:v>
      </x:c>
      <x:c r="W958" t="e">
        <x:f>IF($A958="","",[1]!thsiFinD("ths_adjustment_nv_fund",W$3,$A958))</x:f>
        <x:v>#NAME?</x:v>
      </x:c>
      <x:c r="X958" t="e">
        <x:f>IF($A958="","",[1]!thsiFinD("ths_adjustment_nv_fund",X$3,$A958))</x:f>
        <x:v>#NAME?</x:v>
      </x:c>
      <x:c r="Y958" t="e">
        <x:f>IF($A958="","",[1]!thsiFinD("ths_adjustment_nv_fund",Y$3,$A958))</x:f>
        <x:v>#NAME?</x:v>
      </x:c>
    </x:row>
    <x:row r="959">
      <x:c r="B959" t="e">
        <x:f>IF($A959="","",[1]!thsiFinD("ths_adjustment_nv_fund",B$3,$A959))</x:f>
        <x:v>#NAME?</x:v>
      </x:c>
      <x:c r="C959" t="e">
        <x:f>IF($A959="","",[1]!thsiFinD("ths_adjustment_nv_fund",C$3,$A959))</x:f>
        <x:v>#NAME?</x:v>
      </x:c>
      <x:c r="D959" t="e">
        <x:f>IF($A959="","",[1]!thsiFinD("ths_adjustment_nv_fund",D$3,$A959))</x:f>
        <x:v>#NAME?</x:v>
      </x:c>
      <x:c r="E959" t="e">
        <x:f>IF($A959="","",[1]!thsiFinD("ths_adjustment_nv_fund",E$3,$A959))</x:f>
        <x:v>#NAME?</x:v>
      </x:c>
      <x:c r="F959" t="e">
        <x:f>IF($A959="","",[1]!thsiFinD("ths_adjustment_nv_fund",F$3,$A959))</x:f>
        <x:v>#NAME?</x:v>
      </x:c>
      <x:c r="G959" t="e">
        <x:f>IF($A959="","",[1]!thsiFinD("ths_adjustment_nv_fund",G$3,$A959))</x:f>
        <x:v>#NAME?</x:v>
      </x:c>
      <x:c r="H959" t="e">
        <x:f>IF($A959="","",[1]!thsiFinD("ths_adjustment_nv_fund",H$3,$A959))</x:f>
        <x:v>#NAME?</x:v>
      </x:c>
      <x:c r="I959" t="e">
        <x:f>IF($A959="","",[1]!thsiFinD("ths_adjustment_nv_fund",I$3,$A959))</x:f>
        <x:v>#NAME?</x:v>
      </x:c>
      <x:c r="J959" t="e">
        <x:f>IF($A959="","",[1]!thsiFinD("ths_adjustment_nv_fund",J$3,$A959))</x:f>
        <x:v>#NAME?</x:v>
      </x:c>
      <x:c r="K959" t="e">
        <x:f>IF($A959="","",[1]!thsiFinD("ths_adjustment_nv_fund",K$3,$A959))</x:f>
        <x:v>#NAME?</x:v>
      </x:c>
      <x:c r="L959" t="e">
        <x:f>IF($A959="","",[1]!thsiFinD("ths_adjustment_nv_fund",L$3,$A959))</x:f>
        <x:v>#NAME?</x:v>
      </x:c>
      <x:c r="M959" t="e">
        <x:f>IF($A959="","",[1]!thsiFinD("ths_adjustment_nv_fund",M$3,$A959))</x:f>
        <x:v>#NAME?</x:v>
      </x:c>
      <x:c r="N959" t="e">
        <x:f>IF($A959="","",[1]!thsiFinD("ths_adjustment_nv_fund",N$3,$A959))</x:f>
        <x:v>#NAME?</x:v>
      </x:c>
      <x:c r="O959" t="e">
        <x:f>IF($A959="","",[1]!thsiFinD("ths_adjustment_nv_fund",O$3,$A959))</x:f>
        <x:v>#NAME?</x:v>
      </x:c>
      <x:c r="P959" t="e">
        <x:f>IF($A959="","",[1]!thsiFinD("ths_adjustment_nv_fund",P$3,$A959))</x:f>
        <x:v>#NAME?</x:v>
      </x:c>
      <x:c r="Q959" t="e">
        <x:f>IF($A959="","",[1]!thsiFinD("ths_adjustment_nv_fund",Q$3,$A959))</x:f>
        <x:v>#NAME?</x:v>
      </x:c>
      <x:c r="R959" t="e">
        <x:f>IF($A959="","",[1]!thsiFinD("ths_adjustment_nv_fund",R$3,$A959))</x:f>
        <x:v>#NAME?</x:v>
      </x:c>
      <x:c r="S959" t="e">
        <x:f>IF($A959="","",[1]!thsiFinD("ths_adjustment_nv_fund",S$3,$A959))</x:f>
        <x:v>#NAME?</x:v>
      </x:c>
      <x:c r="T959" t="e">
        <x:f>IF($A959="","",[1]!thsiFinD("ths_adjustment_nv_fund",T$3,$A959))</x:f>
        <x:v>#NAME?</x:v>
      </x:c>
      <x:c r="U959" t="e">
        <x:f>IF($A959="","",[1]!thsiFinD("ths_adjustment_nv_fund",U$3,$A959))</x:f>
        <x:v>#NAME?</x:v>
      </x:c>
      <x:c r="V959" t="e">
        <x:f>IF($A959="","",[1]!thsiFinD("ths_adjustment_nv_fund",V$3,$A959))</x:f>
        <x:v>#NAME?</x:v>
      </x:c>
      <x:c r="W959" t="e">
        <x:f>IF($A959="","",[1]!thsiFinD("ths_adjustment_nv_fund",W$3,$A959))</x:f>
        <x:v>#NAME?</x:v>
      </x:c>
      <x:c r="X959" t="e">
        <x:f>IF($A959="","",[1]!thsiFinD("ths_adjustment_nv_fund",X$3,$A959))</x:f>
        <x:v>#NAME?</x:v>
      </x:c>
      <x:c r="Y959" t="e">
        <x:f>IF($A959="","",[1]!thsiFinD("ths_adjustment_nv_fund",Y$3,$A959))</x:f>
        <x:v>#NAME?</x:v>
      </x:c>
    </x:row>
    <x:row r="960">
      <x:c r="B960" t="e">
        <x:f>IF($A960="","",[1]!thsiFinD("ths_adjustment_nv_fund",B$3,$A960))</x:f>
        <x:v>#NAME?</x:v>
      </x:c>
      <x:c r="C960" t="e">
        <x:f>IF($A960="","",[1]!thsiFinD("ths_adjustment_nv_fund",C$3,$A960))</x:f>
        <x:v>#NAME?</x:v>
      </x:c>
      <x:c r="D960" t="e">
        <x:f>IF($A960="","",[1]!thsiFinD("ths_adjustment_nv_fund",D$3,$A960))</x:f>
        <x:v>#NAME?</x:v>
      </x:c>
      <x:c r="E960" t="e">
        <x:f>IF($A960="","",[1]!thsiFinD("ths_adjustment_nv_fund",E$3,$A960))</x:f>
        <x:v>#NAME?</x:v>
      </x:c>
      <x:c r="F960" t="e">
        <x:f>IF($A960="","",[1]!thsiFinD("ths_adjustment_nv_fund",F$3,$A960))</x:f>
        <x:v>#NAME?</x:v>
      </x:c>
      <x:c r="G960" t="e">
        <x:f>IF($A960="","",[1]!thsiFinD("ths_adjustment_nv_fund",G$3,$A960))</x:f>
        <x:v>#NAME?</x:v>
      </x:c>
      <x:c r="H960" t="e">
        <x:f>IF($A960="","",[1]!thsiFinD("ths_adjustment_nv_fund",H$3,$A960))</x:f>
        <x:v>#NAME?</x:v>
      </x:c>
      <x:c r="I960" t="e">
        <x:f>IF($A960="","",[1]!thsiFinD("ths_adjustment_nv_fund",I$3,$A960))</x:f>
        <x:v>#NAME?</x:v>
      </x:c>
      <x:c r="J960" t="e">
        <x:f>IF($A960="","",[1]!thsiFinD("ths_adjustment_nv_fund",J$3,$A960))</x:f>
        <x:v>#NAME?</x:v>
      </x:c>
      <x:c r="K960" t="e">
        <x:f>IF($A960="","",[1]!thsiFinD("ths_adjustment_nv_fund",K$3,$A960))</x:f>
        <x:v>#NAME?</x:v>
      </x:c>
      <x:c r="L960" t="e">
        <x:f>IF($A960="","",[1]!thsiFinD("ths_adjustment_nv_fund",L$3,$A960))</x:f>
        <x:v>#NAME?</x:v>
      </x:c>
      <x:c r="M960" t="e">
        <x:f>IF($A960="","",[1]!thsiFinD("ths_adjustment_nv_fund",M$3,$A960))</x:f>
        <x:v>#NAME?</x:v>
      </x:c>
      <x:c r="N960" t="e">
        <x:f>IF($A960="","",[1]!thsiFinD("ths_adjustment_nv_fund",N$3,$A960))</x:f>
        <x:v>#NAME?</x:v>
      </x:c>
      <x:c r="O960" t="e">
        <x:f>IF($A960="","",[1]!thsiFinD("ths_adjustment_nv_fund",O$3,$A960))</x:f>
        <x:v>#NAME?</x:v>
      </x:c>
      <x:c r="P960" t="e">
        <x:f>IF($A960="","",[1]!thsiFinD("ths_adjustment_nv_fund",P$3,$A960))</x:f>
        <x:v>#NAME?</x:v>
      </x:c>
      <x:c r="Q960" t="e">
        <x:f>IF($A960="","",[1]!thsiFinD("ths_adjustment_nv_fund",Q$3,$A960))</x:f>
        <x:v>#NAME?</x:v>
      </x:c>
      <x:c r="R960" t="e">
        <x:f>IF($A960="","",[1]!thsiFinD("ths_adjustment_nv_fund",R$3,$A960))</x:f>
        <x:v>#NAME?</x:v>
      </x:c>
      <x:c r="S960" t="e">
        <x:f>IF($A960="","",[1]!thsiFinD("ths_adjustment_nv_fund",S$3,$A960))</x:f>
        <x:v>#NAME?</x:v>
      </x:c>
      <x:c r="T960" t="e">
        <x:f>IF($A960="","",[1]!thsiFinD("ths_adjustment_nv_fund",T$3,$A960))</x:f>
        <x:v>#NAME?</x:v>
      </x:c>
      <x:c r="U960" t="e">
        <x:f>IF($A960="","",[1]!thsiFinD("ths_adjustment_nv_fund",U$3,$A960))</x:f>
        <x:v>#NAME?</x:v>
      </x:c>
      <x:c r="V960" t="e">
        <x:f>IF($A960="","",[1]!thsiFinD("ths_adjustment_nv_fund",V$3,$A960))</x:f>
        <x:v>#NAME?</x:v>
      </x:c>
      <x:c r="W960" t="e">
        <x:f>IF($A960="","",[1]!thsiFinD("ths_adjustment_nv_fund",W$3,$A960))</x:f>
        <x:v>#NAME?</x:v>
      </x:c>
      <x:c r="X960" t="e">
        <x:f>IF($A960="","",[1]!thsiFinD("ths_adjustment_nv_fund",X$3,$A960))</x:f>
        <x:v>#NAME?</x:v>
      </x:c>
      <x:c r="Y960" t="e">
        <x:f>IF($A960="","",[1]!thsiFinD("ths_adjustment_nv_fund",Y$3,$A960))</x:f>
        <x:v>#NAME?</x:v>
      </x:c>
    </x:row>
    <x:row r="961">
      <x:c r="B961" t="e">
        <x:f>IF($A961="","",[1]!thsiFinD("ths_adjustment_nv_fund",B$3,$A961))</x:f>
        <x:v>#NAME?</x:v>
      </x:c>
      <x:c r="C961" t="e">
        <x:f>IF($A961="","",[1]!thsiFinD("ths_adjustment_nv_fund",C$3,$A961))</x:f>
        <x:v>#NAME?</x:v>
      </x:c>
      <x:c r="D961" t="e">
        <x:f>IF($A961="","",[1]!thsiFinD("ths_adjustment_nv_fund",D$3,$A961))</x:f>
        <x:v>#NAME?</x:v>
      </x:c>
      <x:c r="E961" t="e">
        <x:f>IF($A961="","",[1]!thsiFinD("ths_adjustment_nv_fund",E$3,$A961))</x:f>
        <x:v>#NAME?</x:v>
      </x:c>
      <x:c r="F961" t="e">
        <x:f>IF($A961="","",[1]!thsiFinD("ths_adjustment_nv_fund",F$3,$A961))</x:f>
        <x:v>#NAME?</x:v>
      </x:c>
      <x:c r="G961" t="e">
        <x:f>IF($A961="","",[1]!thsiFinD("ths_adjustment_nv_fund",G$3,$A961))</x:f>
        <x:v>#NAME?</x:v>
      </x:c>
      <x:c r="H961" t="e">
        <x:f>IF($A961="","",[1]!thsiFinD("ths_adjustment_nv_fund",H$3,$A961))</x:f>
        <x:v>#NAME?</x:v>
      </x:c>
      <x:c r="I961" t="e">
        <x:f>IF($A961="","",[1]!thsiFinD("ths_adjustment_nv_fund",I$3,$A961))</x:f>
        <x:v>#NAME?</x:v>
      </x:c>
      <x:c r="J961" t="e">
        <x:f>IF($A961="","",[1]!thsiFinD("ths_adjustment_nv_fund",J$3,$A961))</x:f>
        <x:v>#NAME?</x:v>
      </x:c>
      <x:c r="K961" t="e">
        <x:f>IF($A961="","",[1]!thsiFinD("ths_adjustment_nv_fund",K$3,$A961))</x:f>
        <x:v>#NAME?</x:v>
      </x:c>
      <x:c r="L961" t="e">
        <x:f>IF($A961="","",[1]!thsiFinD("ths_adjustment_nv_fund",L$3,$A961))</x:f>
        <x:v>#NAME?</x:v>
      </x:c>
      <x:c r="M961" t="e">
        <x:f>IF($A961="","",[1]!thsiFinD("ths_adjustment_nv_fund",M$3,$A961))</x:f>
        <x:v>#NAME?</x:v>
      </x:c>
      <x:c r="N961" t="e">
        <x:f>IF($A961="","",[1]!thsiFinD("ths_adjustment_nv_fund",N$3,$A961))</x:f>
        <x:v>#NAME?</x:v>
      </x:c>
      <x:c r="O961" t="e">
        <x:f>IF($A961="","",[1]!thsiFinD("ths_adjustment_nv_fund",O$3,$A961))</x:f>
        <x:v>#NAME?</x:v>
      </x:c>
      <x:c r="P961" t="e">
        <x:f>IF($A961="","",[1]!thsiFinD("ths_adjustment_nv_fund",P$3,$A961))</x:f>
        <x:v>#NAME?</x:v>
      </x:c>
      <x:c r="Q961" t="e">
        <x:f>IF($A961="","",[1]!thsiFinD("ths_adjustment_nv_fund",Q$3,$A961))</x:f>
        <x:v>#NAME?</x:v>
      </x:c>
      <x:c r="R961" t="e">
        <x:f>IF($A961="","",[1]!thsiFinD("ths_adjustment_nv_fund",R$3,$A961))</x:f>
        <x:v>#NAME?</x:v>
      </x:c>
      <x:c r="S961" t="e">
        <x:f>IF($A961="","",[1]!thsiFinD("ths_adjustment_nv_fund",S$3,$A961))</x:f>
        <x:v>#NAME?</x:v>
      </x:c>
      <x:c r="T961" t="e">
        <x:f>IF($A961="","",[1]!thsiFinD("ths_adjustment_nv_fund",T$3,$A961))</x:f>
        <x:v>#NAME?</x:v>
      </x:c>
      <x:c r="U961" t="e">
        <x:f>IF($A961="","",[1]!thsiFinD("ths_adjustment_nv_fund",U$3,$A961))</x:f>
        <x:v>#NAME?</x:v>
      </x:c>
      <x:c r="V961" t="e">
        <x:f>IF($A961="","",[1]!thsiFinD("ths_adjustment_nv_fund",V$3,$A961))</x:f>
        <x:v>#NAME?</x:v>
      </x:c>
      <x:c r="W961" t="e">
        <x:f>IF($A961="","",[1]!thsiFinD("ths_adjustment_nv_fund",W$3,$A961))</x:f>
        <x:v>#NAME?</x:v>
      </x:c>
      <x:c r="X961" t="e">
        <x:f>IF($A961="","",[1]!thsiFinD("ths_adjustment_nv_fund",X$3,$A961))</x:f>
        <x:v>#NAME?</x:v>
      </x:c>
      <x:c r="Y961" t="e">
        <x:f>IF($A961="","",[1]!thsiFinD("ths_adjustment_nv_fund",Y$3,$A961))</x:f>
        <x:v>#NAME?</x:v>
      </x:c>
    </x:row>
    <x:row r="962">
      <x:c r="B962" t="e">
        <x:f>IF($A962="","",[1]!thsiFinD("ths_adjustment_nv_fund",B$3,$A962))</x:f>
        <x:v>#NAME?</x:v>
      </x:c>
      <x:c r="C962" t="e">
        <x:f>IF($A962="","",[1]!thsiFinD("ths_adjustment_nv_fund",C$3,$A962))</x:f>
        <x:v>#NAME?</x:v>
      </x:c>
      <x:c r="D962" t="e">
        <x:f>IF($A962="","",[1]!thsiFinD("ths_adjustment_nv_fund",D$3,$A962))</x:f>
        <x:v>#NAME?</x:v>
      </x:c>
      <x:c r="E962" t="e">
        <x:f>IF($A962="","",[1]!thsiFinD("ths_adjustment_nv_fund",E$3,$A962))</x:f>
        <x:v>#NAME?</x:v>
      </x:c>
      <x:c r="F962" t="e">
        <x:f>IF($A962="","",[1]!thsiFinD("ths_adjustment_nv_fund",F$3,$A962))</x:f>
        <x:v>#NAME?</x:v>
      </x:c>
      <x:c r="G962" t="e">
        <x:f>IF($A962="","",[1]!thsiFinD("ths_adjustment_nv_fund",G$3,$A962))</x:f>
        <x:v>#NAME?</x:v>
      </x:c>
      <x:c r="H962" t="e">
        <x:f>IF($A962="","",[1]!thsiFinD("ths_adjustment_nv_fund",H$3,$A962))</x:f>
        <x:v>#NAME?</x:v>
      </x:c>
      <x:c r="I962" t="e">
        <x:f>IF($A962="","",[1]!thsiFinD("ths_adjustment_nv_fund",I$3,$A962))</x:f>
        <x:v>#NAME?</x:v>
      </x:c>
      <x:c r="J962" t="e">
        <x:f>IF($A962="","",[1]!thsiFinD("ths_adjustment_nv_fund",J$3,$A962))</x:f>
        <x:v>#NAME?</x:v>
      </x:c>
      <x:c r="K962" t="e">
        <x:f>IF($A962="","",[1]!thsiFinD("ths_adjustment_nv_fund",K$3,$A962))</x:f>
        <x:v>#NAME?</x:v>
      </x:c>
      <x:c r="L962" t="e">
        <x:f>IF($A962="","",[1]!thsiFinD("ths_adjustment_nv_fund",L$3,$A962))</x:f>
        <x:v>#NAME?</x:v>
      </x:c>
      <x:c r="M962" t="e">
        <x:f>IF($A962="","",[1]!thsiFinD("ths_adjustment_nv_fund",M$3,$A962))</x:f>
        <x:v>#NAME?</x:v>
      </x:c>
      <x:c r="N962" t="e">
        <x:f>IF($A962="","",[1]!thsiFinD("ths_adjustment_nv_fund",N$3,$A962))</x:f>
        <x:v>#NAME?</x:v>
      </x:c>
      <x:c r="O962" t="e">
        <x:f>IF($A962="","",[1]!thsiFinD("ths_adjustment_nv_fund",O$3,$A962))</x:f>
        <x:v>#NAME?</x:v>
      </x:c>
      <x:c r="P962" t="e">
        <x:f>IF($A962="","",[1]!thsiFinD("ths_adjustment_nv_fund",P$3,$A962))</x:f>
        <x:v>#NAME?</x:v>
      </x:c>
      <x:c r="Q962" t="e">
        <x:f>IF($A962="","",[1]!thsiFinD("ths_adjustment_nv_fund",Q$3,$A962))</x:f>
        <x:v>#NAME?</x:v>
      </x:c>
      <x:c r="R962" t="e">
        <x:f>IF($A962="","",[1]!thsiFinD("ths_adjustment_nv_fund",R$3,$A962))</x:f>
        <x:v>#NAME?</x:v>
      </x:c>
      <x:c r="S962" t="e">
        <x:f>IF($A962="","",[1]!thsiFinD("ths_adjustment_nv_fund",S$3,$A962))</x:f>
        <x:v>#NAME?</x:v>
      </x:c>
      <x:c r="T962" t="e">
        <x:f>IF($A962="","",[1]!thsiFinD("ths_adjustment_nv_fund",T$3,$A962))</x:f>
        <x:v>#NAME?</x:v>
      </x:c>
      <x:c r="U962" t="e">
        <x:f>IF($A962="","",[1]!thsiFinD("ths_adjustment_nv_fund",U$3,$A962))</x:f>
        <x:v>#NAME?</x:v>
      </x:c>
      <x:c r="V962" t="e">
        <x:f>IF($A962="","",[1]!thsiFinD("ths_adjustment_nv_fund",V$3,$A962))</x:f>
        <x:v>#NAME?</x:v>
      </x:c>
      <x:c r="W962" t="e">
        <x:f>IF($A962="","",[1]!thsiFinD("ths_adjustment_nv_fund",W$3,$A962))</x:f>
        <x:v>#NAME?</x:v>
      </x:c>
      <x:c r="X962" t="e">
        <x:f>IF($A962="","",[1]!thsiFinD("ths_adjustment_nv_fund",X$3,$A962))</x:f>
        <x:v>#NAME?</x:v>
      </x:c>
      <x:c r="Y962" t="e">
        <x:f>IF($A962="","",[1]!thsiFinD("ths_adjustment_nv_fund",Y$3,$A962))</x:f>
        <x:v>#NAME?</x:v>
      </x:c>
    </x:row>
    <x:row r="963">
      <x:c r="B963" t="e">
        <x:f>IF($A963="","",[1]!thsiFinD("ths_adjustment_nv_fund",B$3,$A963))</x:f>
        <x:v>#NAME?</x:v>
      </x:c>
      <x:c r="C963" t="e">
        <x:f>IF($A963="","",[1]!thsiFinD("ths_adjustment_nv_fund",C$3,$A963))</x:f>
        <x:v>#NAME?</x:v>
      </x:c>
      <x:c r="D963" t="e">
        <x:f>IF($A963="","",[1]!thsiFinD("ths_adjustment_nv_fund",D$3,$A963))</x:f>
        <x:v>#NAME?</x:v>
      </x:c>
      <x:c r="E963" t="e">
        <x:f>IF($A963="","",[1]!thsiFinD("ths_adjustment_nv_fund",E$3,$A963))</x:f>
        <x:v>#NAME?</x:v>
      </x:c>
      <x:c r="F963" t="e">
        <x:f>IF($A963="","",[1]!thsiFinD("ths_adjustment_nv_fund",F$3,$A963))</x:f>
        <x:v>#NAME?</x:v>
      </x:c>
      <x:c r="G963" t="e">
        <x:f>IF($A963="","",[1]!thsiFinD("ths_adjustment_nv_fund",G$3,$A963))</x:f>
        <x:v>#NAME?</x:v>
      </x:c>
      <x:c r="H963" t="e">
        <x:f>IF($A963="","",[1]!thsiFinD("ths_adjustment_nv_fund",H$3,$A963))</x:f>
        <x:v>#NAME?</x:v>
      </x:c>
      <x:c r="I963" t="e">
        <x:f>IF($A963="","",[1]!thsiFinD("ths_adjustment_nv_fund",I$3,$A963))</x:f>
        <x:v>#NAME?</x:v>
      </x:c>
      <x:c r="J963" t="e">
        <x:f>IF($A963="","",[1]!thsiFinD("ths_adjustment_nv_fund",J$3,$A963))</x:f>
        <x:v>#NAME?</x:v>
      </x:c>
      <x:c r="K963" t="e">
        <x:f>IF($A963="","",[1]!thsiFinD("ths_adjustment_nv_fund",K$3,$A963))</x:f>
        <x:v>#NAME?</x:v>
      </x:c>
      <x:c r="L963" t="e">
        <x:f>IF($A963="","",[1]!thsiFinD("ths_adjustment_nv_fund",L$3,$A963))</x:f>
        <x:v>#NAME?</x:v>
      </x:c>
      <x:c r="M963" t="e">
        <x:f>IF($A963="","",[1]!thsiFinD("ths_adjustment_nv_fund",M$3,$A963))</x:f>
        <x:v>#NAME?</x:v>
      </x:c>
      <x:c r="N963" t="e">
        <x:f>IF($A963="","",[1]!thsiFinD("ths_adjustment_nv_fund",N$3,$A963))</x:f>
        <x:v>#NAME?</x:v>
      </x:c>
      <x:c r="O963" t="e">
        <x:f>IF($A963="","",[1]!thsiFinD("ths_adjustment_nv_fund",O$3,$A963))</x:f>
        <x:v>#NAME?</x:v>
      </x:c>
      <x:c r="P963" t="e">
        <x:f>IF($A963="","",[1]!thsiFinD("ths_adjustment_nv_fund",P$3,$A963))</x:f>
        <x:v>#NAME?</x:v>
      </x:c>
      <x:c r="Q963" t="e">
        <x:f>IF($A963="","",[1]!thsiFinD("ths_adjustment_nv_fund",Q$3,$A963))</x:f>
        <x:v>#NAME?</x:v>
      </x:c>
      <x:c r="R963" t="e">
        <x:f>IF($A963="","",[1]!thsiFinD("ths_adjustment_nv_fund",R$3,$A963))</x:f>
        <x:v>#NAME?</x:v>
      </x:c>
      <x:c r="S963" t="e">
        <x:f>IF($A963="","",[1]!thsiFinD("ths_adjustment_nv_fund",S$3,$A963))</x:f>
        <x:v>#NAME?</x:v>
      </x:c>
      <x:c r="T963" t="e">
        <x:f>IF($A963="","",[1]!thsiFinD("ths_adjustment_nv_fund",T$3,$A963))</x:f>
        <x:v>#NAME?</x:v>
      </x:c>
      <x:c r="U963" t="e">
        <x:f>IF($A963="","",[1]!thsiFinD("ths_adjustment_nv_fund",U$3,$A963))</x:f>
        <x:v>#NAME?</x:v>
      </x:c>
      <x:c r="V963" t="e">
        <x:f>IF($A963="","",[1]!thsiFinD("ths_adjustment_nv_fund",V$3,$A963))</x:f>
        <x:v>#NAME?</x:v>
      </x:c>
      <x:c r="W963" t="e">
        <x:f>IF($A963="","",[1]!thsiFinD("ths_adjustment_nv_fund",W$3,$A963))</x:f>
        <x:v>#NAME?</x:v>
      </x:c>
      <x:c r="X963" t="e">
        <x:f>IF($A963="","",[1]!thsiFinD("ths_adjustment_nv_fund",X$3,$A963))</x:f>
        <x:v>#NAME?</x:v>
      </x:c>
      <x:c r="Y963" t="e">
        <x:f>IF($A963="","",[1]!thsiFinD("ths_adjustment_nv_fund",Y$3,$A963))</x:f>
        <x:v>#NAME?</x:v>
      </x:c>
    </x:row>
    <x:row r="964">
      <x:c r="B964" t="e">
        <x:f>IF($A964="","",[1]!thsiFinD("ths_adjustment_nv_fund",B$3,$A964))</x:f>
        <x:v>#NAME?</x:v>
      </x:c>
      <x:c r="C964" t="e">
        <x:f>IF($A964="","",[1]!thsiFinD("ths_adjustment_nv_fund",C$3,$A964))</x:f>
        <x:v>#NAME?</x:v>
      </x:c>
      <x:c r="D964" t="e">
        <x:f>IF($A964="","",[1]!thsiFinD("ths_adjustment_nv_fund",D$3,$A964))</x:f>
        <x:v>#NAME?</x:v>
      </x:c>
      <x:c r="E964" t="e">
        <x:f>IF($A964="","",[1]!thsiFinD("ths_adjustment_nv_fund",E$3,$A964))</x:f>
        <x:v>#NAME?</x:v>
      </x:c>
      <x:c r="F964" t="e">
        <x:f>IF($A964="","",[1]!thsiFinD("ths_adjustment_nv_fund",F$3,$A964))</x:f>
        <x:v>#NAME?</x:v>
      </x:c>
      <x:c r="G964" t="e">
        <x:f>IF($A964="","",[1]!thsiFinD("ths_adjustment_nv_fund",G$3,$A964))</x:f>
        <x:v>#NAME?</x:v>
      </x:c>
      <x:c r="H964" t="e">
        <x:f>IF($A964="","",[1]!thsiFinD("ths_adjustment_nv_fund",H$3,$A964))</x:f>
        <x:v>#NAME?</x:v>
      </x:c>
      <x:c r="I964" t="e">
        <x:f>IF($A964="","",[1]!thsiFinD("ths_adjustment_nv_fund",I$3,$A964))</x:f>
        <x:v>#NAME?</x:v>
      </x:c>
      <x:c r="J964" t="e">
        <x:f>IF($A964="","",[1]!thsiFinD("ths_adjustment_nv_fund",J$3,$A964))</x:f>
        <x:v>#NAME?</x:v>
      </x:c>
      <x:c r="K964" t="e">
        <x:f>IF($A964="","",[1]!thsiFinD("ths_adjustment_nv_fund",K$3,$A964))</x:f>
        <x:v>#NAME?</x:v>
      </x:c>
      <x:c r="L964" t="e">
        <x:f>IF($A964="","",[1]!thsiFinD("ths_adjustment_nv_fund",L$3,$A964))</x:f>
        <x:v>#NAME?</x:v>
      </x:c>
      <x:c r="M964" t="e">
        <x:f>IF($A964="","",[1]!thsiFinD("ths_adjustment_nv_fund",M$3,$A964))</x:f>
        <x:v>#NAME?</x:v>
      </x:c>
      <x:c r="N964" t="e">
        <x:f>IF($A964="","",[1]!thsiFinD("ths_adjustment_nv_fund",N$3,$A964))</x:f>
        <x:v>#NAME?</x:v>
      </x:c>
      <x:c r="O964" t="e">
        <x:f>IF($A964="","",[1]!thsiFinD("ths_adjustment_nv_fund",O$3,$A964))</x:f>
        <x:v>#NAME?</x:v>
      </x:c>
      <x:c r="P964" t="e">
        <x:f>IF($A964="","",[1]!thsiFinD("ths_adjustment_nv_fund",P$3,$A964))</x:f>
        <x:v>#NAME?</x:v>
      </x:c>
      <x:c r="Q964" t="e">
        <x:f>IF($A964="","",[1]!thsiFinD("ths_adjustment_nv_fund",Q$3,$A964))</x:f>
        <x:v>#NAME?</x:v>
      </x:c>
      <x:c r="R964" t="e">
        <x:f>IF($A964="","",[1]!thsiFinD("ths_adjustment_nv_fund",R$3,$A964))</x:f>
        <x:v>#NAME?</x:v>
      </x:c>
      <x:c r="S964" t="e">
        <x:f>IF($A964="","",[1]!thsiFinD("ths_adjustment_nv_fund",S$3,$A964))</x:f>
        <x:v>#NAME?</x:v>
      </x:c>
      <x:c r="T964" t="e">
        <x:f>IF($A964="","",[1]!thsiFinD("ths_adjustment_nv_fund",T$3,$A964))</x:f>
        <x:v>#NAME?</x:v>
      </x:c>
      <x:c r="U964" t="e">
        <x:f>IF($A964="","",[1]!thsiFinD("ths_adjustment_nv_fund",U$3,$A964))</x:f>
        <x:v>#NAME?</x:v>
      </x:c>
      <x:c r="V964" t="e">
        <x:f>IF($A964="","",[1]!thsiFinD("ths_adjustment_nv_fund",V$3,$A964))</x:f>
        <x:v>#NAME?</x:v>
      </x:c>
      <x:c r="W964" t="e">
        <x:f>IF($A964="","",[1]!thsiFinD("ths_adjustment_nv_fund",W$3,$A964))</x:f>
        <x:v>#NAME?</x:v>
      </x:c>
      <x:c r="X964" t="e">
        <x:f>IF($A964="","",[1]!thsiFinD("ths_adjustment_nv_fund",X$3,$A964))</x:f>
        <x:v>#NAME?</x:v>
      </x:c>
      <x:c r="Y964" t="e">
        <x:f>IF($A964="","",[1]!thsiFinD("ths_adjustment_nv_fund",Y$3,$A964))</x:f>
        <x:v>#NAME?</x:v>
      </x:c>
    </x:row>
    <x:row r="965">
      <x:c r="B965" t="e">
        <x:f>IF($A965="","",[1]!thsiFinD("ths_adjustment_nv_fund",B$3,$A965))</x:f>
        <x:v>#NAME?</x:v>
      </x:c>
      <x:c r="C965" t="e">
        <x:f>IF($A965="","",[1]!thsiFinD("ths_adjustment_nv_fund",C$3,$A965))</x:f>
        <x:v>#NAME?</x:v>
      </x:c>
      <x:c r="D965" t="e">
        <x:f>IF($A965="","",[1]!thsiFinD("ths_adjustment_nv_fund",D$3,$A965))</x:f>
        <x:v>#NAME?</x:v>
      </x:c>
      <x:c r="E965" t="e">
        <x:f>IF($A965="","",[1]!thsiFinD("ths_adjustment_nv_fund",E$3,$A965))</x:f>
        <x:v>#NAME?</x:v>
      </x:c>
      <x:c r="F965" t="e">
        <x:f>IF($A965="","",[1]!thsiFinD("ths_adjustment_nv_fund",F$3,$A965))</x:f>
        <x:v>#NAME?</x:v>
      </x:c>
      <x:c r="G965" t="e">
        <x:f>IF($A965="","",[1]!thsiFinD("ths_adjustment_nv_fund",G$3,$A965))</x:f>
        <x:v>#NAME?</x:v>
      </x:c>
      <x:c r="H965" t="e">
        <x:f>IF($A965="","",[1]!thsiFinD("ths_adjustment_nv_fund",H$3,$A965))</x:f>
        <x:v>#NAME?</x:v>
      </x:c>
      <x:c r="I965" t="e">
        <x:f>IF($A965="","",[1]!thsiFinD("ths_adjustment_nv_fund",I$3,$A965))</x:f>
        <x:v>#NAME?</x:v>
      </x:c>
      <x:c r="J965" t="e">
        <x:f>IF($A965="","",[1]!thsiFinD("ths_adjustment_nv_fund",J$3,$A965))</x:f>
        <x:v>#NAME?</x:v>
      </x:c>
      <x:c r="K965" t="e">
        <x:f>IF($A965="","",[1]!thsiFinD("ths_adjustment_nv_fund",K$3,$A965))</x:f>
        <x:v>#NAME?</x:v>
      </x:c>
      <x:c r="L965" t="e">
        <x:f>IF($A965="","",[1]!thsiFinD("ths_adjustment_nv_fund",L$3,$A965))</x:f>
        <x:v>#NAME?</x:v>
      </x:c>
      <x:c r="M965" t="e">
        <x:f>IF($A965="","",[1]!thsiFinD("ths_adjustment_nv_fund",M$3,$A965))</x:f>
        <x:v>#NAME?</x:v>
      </x:c>
      <x:c r="N965" t="e">
        <x:f>IF($A965="","",[1]!thsiFinD("ths_adjustment_nv_fund",N$3,$A965))</x:f>
        <x:v>#NAME?</x:v>
      </x:c>
      <x:c r="O965" t="e">
        <x:f>IF($A965="","",[1]!thsiFinD("ths_adjustment_nv_fund",O$3,$A965))</x:f>
        <x:v>#NAME?</x:v>
      </x:c>
      <x:c r="P965" t="e">
        <x:f>IF($A965="","",[1]!thsiFinD("ths_adjustment_nv_fund",P$3,$A965))</x:f>
        <x:v>#NAME?</x:v>
      </x:c>
      <x:c r="Q965" t="e">
        <x:f>IF($A965="","",[1]!thsiFinD("ths_adjustment_nv_fund",Q$3,$A965))</x:f>
        <x:v>#NAME?</x:v>
      </x:c>
      <x:c r="R965" t="e">
        <x:f>IF($A965="","",[1]!thsiFinD("ths_adjustment_nv_fund",R$3,$A965))</x:f>
        <x:v>#NAME?</x:v>
      </x:c>
      <x:c r="S965" t="e">
        <x:f>IF($A965="","",[1]!thsiFinD("ths_adjustment_nv_fund",S$3,$A965))</x:f>
        <x:v>#NAME?</x:v>
      </x:c>
      <x:c r="T965" t="e">
        <x:f>IF($A965="","",[1]!thsiFinD("ths_adjustment_nv_fund",T$3,$A965))</x:f>
        <x:v>#NAME?</x:v>
      </x:c>
      <x:c r="U965" t="e">
        <x:f>IF($A965="","",[1]!thsiFinD("ths_adjustment_nv_fund",U$3,$A965))</x:f>
        <x:v>#NAME?</x:v>
      </x:c>
      <x:c r="V965" t="e">
        <x:f>IF($A965="","",[1]!thsiFinD("ths_adjustment_nv_fund",V$3,$A965))</x:f>
        <x:v>#NAME?</x:v>
      </x:c>
      <x:c r="W965" t="e">
        <x:f>IF($A965="","",[1]!thsiFinD("ths_adjustment_nv_fund",W$3,$A965))</x:f>
        <x:v>#NAME?</x:v>
      </x:c>
      <x:c r="X965" t="e">
        <x:f>IF($A965="","",[1]!thsiFinD("ths_adjustment_nv_fund",X$3,$A965))</x:f>
        <x:v>#NAME?</x:v>
      </x:c>
      <x:c r="Y965" t="e">
        <x:f>IF($A965="","",[1]!thsiFinD("ths_adjustment_nv_fund",Y$3,$A965))</x:f>
        <x:v>#NAME?</x:v>
      </x:c>
    </x:row>
    <x:row r="966">
      <x:c r="B966" t="e">
        <x:f>IF($A966="","",[1]!thsiFinD("ths_adjustment_nv_fund",B$3,$A966))</x:f>
        <x:v>#NAME?</x:v>
      </x:c>
      <x:c r="C966" t="e">
        <x:f>IF($A966="","",[1]!thsiFinD("ths_adjustment_nv_fund",C$3,$A966))</x:f>
        <x:v>#NAME?</x:v>
      </x:c>
      <x:c r="D966" t="e">
        <x:f>IF($A966="","",[1]!thsiFinD("ths_adjustment_nv_fund",D$3,$A966))</x:f>
        <x:v>#NAME?</x:v>
      </x:c>
      <x:c r="E966" t="e">
        <x:f>IF($A966="","",[1]!thsiFinD("ths_adjustment_nv_fund",E$3,$A966))</x:f>
        <x:v>#NAME?</x:v>
      </x:c>
      <x:c r="F966" t="e">
        <x:f>IF($A966="","",[1]!thsiFinD("ths_adjustment_nv_fund",F$3,$A966))</x:f>
        <x:v>#NAME?</x:v>
      </x:c>
      <x:c r="G966" t="e">
        <x:f>IF($A966="","",[1]!thsiFinD("ths_adjustment_nv_fund",G$3,$A966))</x:f>
        <x:v>#NAME?</x:v>
      </x:c>
      <x:c r="H966" t="e">
        <x:f>IF($A966="","",[1]!thsiFinD("ths_adjustment_nv_fund",H$3,$A966))</x:f>
        <x:v>#NAME?</x:v>
      </x:c>
      <x:c r="I966" t="e">
        <x:f>IF($A966="","",[1]!thsiFinD("ths_adjustment_nv_fund",I$3,$A966))</x:f>
        <x:v>#NAME?</x:v>
      </x:c>
      <x:c r="J966" t="e">
        <x:f>IF($A966="","",[1]!thsiFinD("ths_adjustment_nv_fund",J$3,$A966))</x:f>
        <x:v>#NAME?</x:v>
      </x:c>
      <x:c r="K966" t="e">
        <x:f>IF($A966="","",[1]!thsiFinD("ths_adjustment_nv_fund",K$3,$A966))</x:f>
        <x:v>#NAME?</x:v>
      </x:c>
      <x:c r="L966" t="e">
        <x:f>IF($A966="","",[1]!thsiFinD("ths_adjustment_nv_fund",L$3,$A966))</x:f>
        <x:v>#NAME?</x:v>
      </x:c>
      <x:c r="M966" t="e">
        <x:f>IF($A966="","",[1]!thsiFinD("ths_adjustment_nv_fund",M$3,$A966))</x:f>
        <x:v>#NAME?</x:v>
      </x:c>
      <x:c r="N966" t="e">
        <x:f>IF($A966="","",[1]!thsiFinD("ths_adjustment_nv_fund",N$3,$A966))</x:f>
        <x:v>#NAME?</x:v>
      </x:c>
      <x:c r="O966" t="e">
        <x:f>IF($A966="","",[1]!thsiFinD("ths_adjustment_nv_fund",O$3,$A966))</x:f>
        <x:v>#NAME?</x:v>
      </x:c>
      <x:c r="P966" t="e">
        <x:f>IF($A966="","",[1]!thsiFinD("ths_adjustment_nv_fund",P$3,$A966))</x:f>
        <x:v>#NAME?</x:v>
      </x:c>
      <x:c r="Q966" t="e">
        <x:f>IF($A966="","",[1]!thsiFinD("ths_adjustment_nv_fund",Q$3,$A966))</x:f>
        <x:v>#NAME?</x:v>
      </x:c>
      <x:c r="R966" t="e">
        <x:f>IF($A966="","",[1]!thsiFinD("ths_adjustment_nv_fund",R$3,$A966))</x:f>
        <x:v>#NAME?</x:v>
      </x:c>
      <x:c r="S966" t="e">
        <x:f>IF($A966="","",[1]!thsiFinD("ths_adjustment_nv_fund",S$3,$A966))</x:f>
        <x:v>#NAME?</x:v>
      </x:c>
      <x:c r="T966" t="e">
        <x:f>IF($A966="","",[1]!thsiFinD("ths_adjustment_nv_fund",T$3,$A966))</x:f>
        <x:v>#NAME?</x:v>
      </x:c>
      <x:c r="U966" t="e">
        <x:f>IF($A966="","",[1]!thsiFinD("ths_adjustment_nv_fund",U$3,$A966))</x:f>
        <x:v>#NAME?</x:v>
      </x:c>
      <x:c r="V966" t="e">
        <x:f>IF($A966="","",[1]!thsiFinD("ths_adjustment_nv_fund",V$3,$A966))</x:f>
        <x:v>#NAME?</x:v>
      </x:c>
      <x:c r="W966" t="e">
        <x:f>IF($A966="","",[1]!thsiFinD("ths_adjustment_nv_fund",W$3,$A966))</x:f>
        <x:v>#NAME?</x:v>
      </x:c>
      <x:c r="X966" t="e">
        <x:f>IF($A966="","",[1]!thsiFinD("ths_adjustment_nv_fund",X$3,$A966))</x:f>
        <x:v>#NAME?</x:v>
      </x:c>
      <x:c r="Y966" t="e">
        <x:f>IF($A966="","",[1]!thsiFinD("ths_adjustment_nv_fund",Y$3,$A966))</x:f>
        <x:v>#NAME?</x:v>
      </x:c>
    </x:row>
    <x:row r="967">
      <x:c r="B967" t="e">
        <x:f>IF($A967="","",[1]!thsiFinD("ths_adjustment_nv_fund",B$3,$A967))</x:f>
        <x:v>#NAME?</x:v>
      </x:c>
      <x:c r="C967" t="e">
        <x:f>IF($A967="","",[1]!thsiFinD("ths_adjustment_nv_fund",C$3,$A967))</x:f>
        <x:v>#NAME?</x:v>
      </x:c>
      <x:c r="D967" t="e">
        <x:f>IF($A967="","",[1]!thsiFinD("ths_adjustment_nv_fund",D$3,$A967))</x:f>
        <x:v>#NAME?</x:v>
      </x:c>
      <x:c r="E967" t="e">
        <x:f>IF($A967="","",[1]!thsiFinD("ths_adjustment_nv_fund",E$3,$A967))</x:f>
        <x:v>#NAME?</x:v>
      </x:c>
      <x:c r="F967" t="e">
        <x:f>IF($A967="","",[1]!thsiFinD("ths_adjustment_nv_fund",F$3,$A967))</x:f>
        <x:v>#NAME?</x:v>
      </x:c>
      <x:c r="G967" t="e">
        <x:f>IF($A967="","",[1]!thsiFinD("ths_adjustment_nv_fund",G$3,$A967))</x:f>
        <x:v>#NAME?</x:v>
      </x:c>
      <x:c r="H967" t="e">
        <x:f>IF($A967="","",[1]!thsiFinD("ths_adjustment_nv_fund",H$3,$A967))</x:f>
        <x:v>#NAME?</x:v>
      </x:c>
      <x:c r="I967" t="e">
        <x:f>IF($A967="","",[1]!thsiFinD("ths_adjustment_nv_fund",I$3,$A967))</x:f>
        <x:v>#NAME?</x:v>
      </x:c>
      <x:c r="J967" t="e">
        <x:f>IF($A967="","",[1]!thsiFinD("ths_adjustment_nv_fund",J$3,$A967))</x:f>
        <x:v>#NAME?</x:v>
      </x:c>
      <x:c r="K967" t="e">
        <x:f>IF($A967="","",[1]!thsiFinD("ths_adjustment_nv_fund",K$3,$A967))</x:f>
        <x:v>#NAME?</x:v>
      </x:c>
      <x:c r="L967" t="e">
        <x:f>IF($A967="","",[1]!thsiFinD("ths_adjustment_nv_fund",L$3,$A967))</x:f>
        <x:v>#NAME?</x:v>
      </x:c>
      <x:c r="M967" t="e">
        <x:f>IF($A967="","",[1]!thsiFinD("ths_adjustment_nv_fund",M$3,$A967))</x:f>
        <x:v>#NAME?</x:v>
      </x:c>
      <x:c r="N967" t="e">
        <x:f>IF($A967="","",[1]!thsiFinD("ths_adjustment_nv_fund",N$3,$A967))</x:f>
        <x:v>#NAME?</x:v>
      </x:c>
      <x:c r="O967" t="e">
        <x:f>IF($A967="","",[1]!thsiFinD("ths_adjustment_nv_fund",O$3,$A967))</x:f>
        <x:v>#NAME?</x:v>
      </x:c>
      <x:c r="P967" t="e">
        <x:f>IF($A967="","",[1]!thsiFinD("ths_adjustment_nv_fund",P$3,$A967))</x:f>
        <x:v>#NAME?</x:v>
      </x:c>
      <x:c r="Q967" t="e">
        <x:f>IF($A967="","",[1]!thsiFinD("ths_adjustment_nv_fund",Q$3,$A967))</x:f>
        <x:v>#NAME?</x:v>
      </x:c>
      <x:c r="R967" t="e">
        <x:f>IF($A967="","",[1]!thsiFinD("ths_adjustment_nv_fund",R$3,$A967))</x:f>
        <x:v>#NAME?</x:v>
      </x:c>
      <x:c r="S967" t="e">
        <x:f>IF($A967="","",[1]!thsiFinD("ths_adjustment_nv_fund",S$3,$A967))</x:f>
        <x:v>#NAME?</x:v>
      </x:c>
      <x:c r="T967" t="e">
        <x:f>IF($A967="","",[1]!thsiFinD("ths_adjustment_nv_fund",T$3,$A967))</x:f>
        <x:v>#NAME?</x:v>
      </x:c>
      <x:c r="U967" t="e">
        <x:f>IF($A967="","",[1]!thsiFinD("ths_adjustment_nv_fund",U$3,$A967))</x:f>
        <x:v>#NAME?</x:v>
      </x:c>
      <x:c r="V967" t="e">
        <x:f>IF($A967="","",[1]!thsiFinD("ths_adjustment_nv_fund",V$3,$A967))</x:f>
        <x:v>#NAME?</x:v>
      </x:c>
      <x:c r="W967" t="e">
        <x:f>IF($A967="","",[1]!thsiFinD("ths_adjustment_nv_fund",W$3,$A967))</x:f>
        <x:v>#NAME?</x:v>
      </x:c>
      <x:c r="X967" t="e">
        <x:f>IF($A967="","",[1]!thsiFinD("ths_adjustment_nv_fund",X$3,$A967))</x:f>
        <x:v>#NAME?</x:v>
      </x:c>
      <x:c r="Y967" t="e">
        <x:f>IF($A967="","",[1]!thsiFinD("ths_adjustment_nv_fund",Y$3,$A967))</x:f>
        <x:v>#NAME?</x:v>
      </x:c>
    </x:row>
    <x:row r="968">
      <x:c r="B968" t="e">
        <x:f>IF($A968="","",[1]!thsiFinD("ths_adjustment_nv_fund",B$3,$A968))</x:f>
        <x:v>#NAME?</x:v>
      </x:c>
      <x:c r="C968" t="e">
        <x:f>IF($A968="","",[1]!thsiFinD("ths_adjustment_nv_fund",C$3,$A968))</x:f>
        <x:v>#NAME?</x:v>
      </x:c>
      <x:c r="D968" t="e">
        <x:f>IF($A968="","",[1]!thsiFinD("ths_adjustment_nv_fund",D$3,$A968))</x:f>
        <x:v>#NAME?</x:v>
      </x:c>
      <x:c r="E968" t="e">
        <x:f>IF($A968="","",[1]!thsiFinD("ths_adjustment_nv_fund",E$3,$A968))</x:f>
        <x:v>#NAME?</x:v>
      </x:c>
      <x:c r="F968" t="e">
        <x:f>IF($A968="","",[1]!thsiFinD("ths_adjustment_nv_fund",F$3,$A968))</x:f>
        <x:v>#NAME?</x:v>
      </x:c>
      <x:c r="G968" t="e">
        <x:f>IF($A968="","",[1]!thsiFinD("ths_adjustment_nv_fund",G$3,$A968))</x:f>
        <x:v>#NAME?</x:v>
      </x:c>
      <x:c r="H968" t="e">
        <x:f>IF($A968="","",[1]!thsiFinD("ths_adjustment_nv_fund",H$3,$A968))</x:f>
        <x:v>#NAME?</x:v>
      </x:c>
      <x:c r="I968" t="e">
        <x:f>IF($A968="","",[1]!thsiFinD("ths_adjustment_nv_fund",I$3,$A968))</x:f>
        <x:v>#NAME?</x:v>
      </x:c>
      <x:c r="J968" t="e">
        <x:f>IF($A968="","",[1]!thsiFinD("ths_adjustment_nv_fund",J$3,$A968))</x:f>
        <x:v>#NAME?</x:v>
      </x:c>
      <x:c r="K968" t="e">
        <x:f>IF($A968="","",[1]!thsiFinD("ths_adjustment_nv_fund",K$3,$A968))</x:f>
        <x:v>#NAME?</x:v>
      </x:c>
      <x:c r="L968" t="e">
        <x:f>IF($A968="","",[1]!thsiFinD("ths_adjustment_nv_fund",L$3,$A968))</x:f>
        <x:v>#NAME?</x:v>
      </x:c>
      <x:c r="M968" t="e">
        <x:f>IF($A968="","",[1]!thsiFinD("ths_adjustment_nv_fund",M$3,$A968))</x:f>
        <x:v>#NAME?</x:v>
      </x:c>
      <x:c r="N968" t="e">
        <x:f>IF($A968="","",[1]!thsiFinD("ths_adjustment_nv_fund",N$3,$A968))</x:f>
        <x:v>#NAME?</x:v>
      </x:c>
      <x:c r="O968" t="e">
        <x:f>IF($A968="","",[1]!thsiFinD("ths_adjustment_nv_fund",O$3,$A968))</x:f>
        <x:v>#NAME?</x:v>
      </x:c>
      <x:c r="P968" t="e">
        <x:f>IF($A968="","",[1]!thsiFinD("ths_adjustment_nv_fund",P$3,$A968))</x:f>
        <x:v>#NAME?</x:v>
      </x:c>
      <x:c r="Q968" t="e">
        <x:f>IF($A968="","",[1]!thsiFinD("ths_adjustment_nv_fund",Q$3,$A968))</x:f>
        <x:v>#NAME?</x:v>
      </x:c>
      <x:c r="R968" t="e">
        <x:f>IF($A968="","",[1]!thsiFinD("ths_adjustment_nv_fund",R$3,$A968))</x:f>
        <x:v>#NAME?</x:v>
      </x:c>
      <x:c r="S968" t="e">
        <x:f>IF($A968="","",[1]!thsiFinD("ths_adjustment_nv_fund",S$3,$A968))</x:f>
        <x:v>#NAME?</x:v>
      </x:c>
      <x:c r="T968" t="e">
        <x:f>IF($A968="","",[1]!thsiFinD("ths_adjustment_nv_fund",T$3,$A968))</x:f>
        <x:v>#NAME?</x:v>
      </x:c>
      <x:c r="U968" t="e">
        <x:f>IF($A968="","",[1]!thsiFinD("ths_adjustment_nv_fund",U$3,$A968))</x:f>
        <x:v>#NAME?</x:v>
      </x:c>
      <x:c r="V968" t="e">
        <x:f>IF($A968="","",[1]!thsiFinD("ths_adjustment_nv_fund",V$3,$A968))</x:f>
        <x:v>#NAME?</x:v>
      </x:c>
      <x:c r="W968" t="e">
        <x:f>IF($A968="","",[1]!thsiFinD("ths_adjustment_nv_fund",W$3,$A968))</x:f>
        <x:v>#NAME?</x:v>
      </x:c>
      <x:c r="X968" t="e">
        <x:f>IF($A968="","",[1]!thsiFinD("ths_adjustment_nv_fund",X$3,$A968))</x:f>
        <x:v>#NAME?</x:v>
      </x:c>
      <x:c r="Y968" t="e">
        <x:f>IF($A968="","",[1]!thsiFinD("ths_adjustment_nv_fund",Y$3,$A968))</x:f>
        <x:v>#NAME?</x:v>
      </x:c>
    </x:row>
    <x:row r="969">
      <x:c r="B969" t="e">
        <x:f>IF($A969="","",[1]!thsiFinD("ths_adjustment_nv_fund",B$3,$A969))</x:f>
        <x:v>#NAME?</x:v>
      </x:c>
      <x:c r="C969" t="e">
        <x:f>IF($A969="","",[1]!thsiFinD("ths_adjustment_nv_fund",C$3,$A969))</x:f>
        <x:v>#NAME?</x:v>
      </x:c>
      <x:c r="D969" t="e">
        <x:f>IF($A969="","",[1]!thsiFinD("ths_adjustment_nv_fund",D$3,$A969))</x:f>
        <x:v>#NAME?</x:v>
      </x:c>
      <x:c r="E969" t="e">
        <x:f>IF($A969="","",[1]!thsiFinD("ths_adjustment_nv_fund",E$3,$A969))</x:f>
        <x:v>#NAME?</x:v>
      </x:c>
      <x:c r="F969" t="e">
        <x:f>IF($A969="","",[1]!thsiFinD("ths_adjustment_nv_fund",F$3,$A969))</x:f>
        <x:v>#NAME?</x:v>
      </x:c>
      <x:c r="G969" t="e">
        <x:f>IF($A969="","",[1]!thsiFinD("ths_adjustment_nv_fund",G$3,$A969))</x:f>
        <x:v>#NAME?</x:v>
      </x:c>
      <x:c r="H969" t="e">
        <x:f>IF($A969="","",[1]!thsiFinD("ths_adjustment_nv_fund",H$3,$A969))</x:f>
        <x:v>#NAME?</x:v>
      </x:c>
      <x:c r="I969" t="e">
        <x:f>IF($A969="","",[1]!thsiFinD("ths_adjustment_nv_fund",I$3,$A969))</x:f>
        <x:v>#NAME?</x:v>
      </x:c>
      <x:c r="J969" t="e">
        <x:f>IF($A969="","",[1]!thsiFinD("ths_adjustment_nv_fund",J$3,$A969))</x:f>
        <x:v>#NAME?</x:v>
      </x:c>
      <x:c r="K969" t="e">
        <x:f>IF($A969="","",[1]!thsiFinD("ths_adjustment_nv_fund",K$3,$A969))</x:f>
        <x:v>#NAME?</x:v>
      </x:c>
      <x:c r="L969" t="e">
        <x:f>IF($A969="","",[1]!thsiFinD("ths_adjustment_nv_fund",L$3,$A969))</x:f>
        <x:v>#NAME?</x:v>
      </x:c>
      <x:c r="M969" t="e">
        <x:f>IF($A969="","",[1]!thsiFinD("ths_adjustment_nv_fund",M$3,$A969))</x:f>
        <x:v>#NAME?</x:v>
      </x:c>
      <x:c r="N969" t="e">
        <x:f>IF($A969="","",[1]!thsiFinD("ths_adjustment_nv_fund",N$3,$A969))</x:f>
        <x:v>#NAME?</x:v>
      </x:c>
      <x:c r="O969" t="e">
        <x:f>IF($A969="","",[1]!thsiFinD("ths_adjustment_nv_fund",O$3,$A969))</x:f>
        <x:v>#NAME?</x:v>
      </x:c>
      <x:c r="P969" t="e">
        <x:f>IF($A969="","",[1]!thsiFinD("ths_adjustment_nv_fund",P$3,$A969))</x:f>
        <x:v>#NAME?</x:v>
      </x:c>
      <x:c r="Q969" t="e">
        <x:f>IF($A969="","",[1]!thsiFinD("ths_adjustment_nv_fund",Q$3,$A969))</x:f>
        <x:v>#NAME?</x:v>
      </x:c>
      <x:c r="R969" t="e">
        <x:f>IF($A969="","",[1]!thsiFinD("ths_adjustment_nv_fund",R$3,$A969))</x:f>
        <x:v>#NAME?</x:v>
      </x:c>
      <x:c r="S969" t="e">
        <x:f>IF($A969="","",[1]!thsiFinD("ths_adjustment_nv_fund",S$3,$A969))</x:f>
        <x:v>#NAME?</x:v>
      </x:c>
      <x:c r="T969" t="e">
        <x:f>IF($A969="","",[1]!thsiFinD("ths_adjustment_nv_fund",T$3,$A969))</x:f>
        <x:v>#NAME?</x:v>
      </x:c>
      <x:c r="U969" t="e">
        <x:f>IF($A969="","",[1]!thsiFinD("ths_adjustment_nv_fund",U$3,$A969))</x:f>
        <x:v>#NAME?</x:v>
      </x:c>
      <x:c r="V969" t="e">
        <x:f>IF($A969="","",[1]!thsiFinD("ths_adjustment_nv_fund",V$3,$A969))</x:f>
        <x:v>#NAME?</x:v>
      </x:c>
      <x:c r="W969" t="e">
        <x:f>IF($A969="","",[1]!thsiFinD("ths_adjustment_nv_fund",W$3,$A969))</x:f>
        <x:v>#NAME?</x:v>
      </x:c>
      <x:c r="X969" t="e">
        <x:f>IF($A969="","",[1]!thsiFinD("ths_adjustment_nv_fund",X$3,$A969))</x:f>
        <x:v>#NAME?</x:v>
      </x:c>
      <x:c r="Y969" t="e">
        <x:f>IF($A969="","",[1]!thsiFinD("ths_adjustment_nv_fund",Y$3,$A969))</x:f>
        <x:v>#NAME?</x:v>
      </x:c>
    </x:row>
    <x:row r="970">
      <x:c r="B970" t="e">
        <x:f>IF($A970="","",[1]!thsiFinD("ths_adjustment_nv_fund",B$3,$A970))</x:f>
        <x:v>#NAME?</x:v>
      </x:c>
      <x:c r="C970" t="e">
        <x:f>IF($A970="","",[1]!thsiFinD("ths_adjustment_nv_fund",C$3,$A970))</x:f>
        <x:v>#NAME?</x:v>
      </x:c>
      <x:c r="D970" t="e">
        <x:f>IF($A970="","",[1]!thsiFinD("ths_adjustment_nv_fund",D$3,$A970))</x:f>
        <x:v>#NAME?</x:v>
      </x:c>
      <x:c r="E970" t="e">
        <x:f>IF($A970="","",[1]!thsiFinD("ths_adjustment_nv_fund",E$3,$A970))</x:f>
        <x:v>#NAME?</x:v>
      </x:c>
      <x:c r="F970" t="e">
        <x:f>IF($A970="","",[1]!thsiFinD("ths_adjustment_nv_fund",F$3,$A970))</x:f>
        <x:v>#NAME?</x:v>
      </x:c>
      <x:c r="G970" t="e">
        <x:f>IF($A970="","",[1]!thsiFinD("ths_adjustment_nv_fund",G$3,$A970))</x:f>
        <x:v>#NAME?</x:v>
      </x:c>
      <x:c r="H970" t="e">
        <x:f>IF($A970="","",[1]!thsiFinD("ths_adjustment_nv_fund",H$3,$A970))</x:f>
        <x:v>#NAME?</x:v>
      </x:c>
      <x:c r="I970" t="e">
        <x:f>IF($A970="","",[1]!thsiFinD("ths_adjustment_nv_fund",I$3,$A970))</x:f>
        <x:v>#NAME?</x:v>
      </x:c>
      <x:c r="J970" t="e">
        <x:f>IF($A970="","",[1]!thsiFinD("ths_adjustment_nv_fund",J$3,$A970))</x:f>
        <x:v>#NAME?</x:v>
      </x:c>
      <x:c r="K970" t="e">
        <x:f>IF($A970="","",[1]!thsiFinD("ths_adjustment_nv_fund",K$3,$A970))</x:f>
        <x:v>#NAME?</x:v>
      </x:c>
      <x:c r="L970" t="e">
        <x:f>IF($A970="","",[1]!thsiFinD("ths_adjustment_nv_fund",L$3,$A970))</x:f>
        <x:v>#NAME?</x:v>
      </x:c>
      <x:c r="M970" t="e">
        <x:f>IF($A970="","",[1]!thsiFinD("ths_adjustment_nv_fund",M$3,$A970))</x:f>
        <x:v>#NAME?</x:v>
      </x:c>
      <x:c r="N970" t="e">
        <x:f>IF($A970="","",[1]!thsiFinD("ths_adjustment_nv_fund",N$3,$A970))</x:f>
        <x:v>#NAME?</x:v>
      </x:c>
      <x:c r="O970" t="e">
        <x:f>IF($A970="","",[1]!thsiFinD("ths_adjustment_nv_fund",O$3,$A970))</x:f>
        <x:v>#NAME?</x:v>
      </x:c>
      <x:c r="P970" t="e">
        <x:f>IF($A970="","",[1]!thsiFinD("ths_adjustment_nv_fund",P$3,$A970))</x:f>
        <x:v>#NAME?</x:v>
      </x:c>
      <x:c r="Q970" t="e">
        <x:f>IF($A970="","",[1]!thsiFinD("ths_adjustment_nv_fund",Q$3,$A970))</x:f>
        <x:v>#NAME?</x:v>
      </x:c>
      <x:c r="R970" t="e">
        <x:f>IF($A970="","",[1]!thsiFinD("ths_adjustment_nv_fund",R$3,$A970))</x:f>
        <x:v>#NAME?</x:v>
      </x:c>
      <x:c r="S970" t="e">
        <x:f>IF($A970="","",[1]!thsiFinD("ths_adjustment_nv_fund",S$3,$A970))</x:f>
        <x:v>#NAME?</x:v>
      </x:c>
      <x:c r="T970" t="e">
        <x:f>IF($A970="","",[1]!thsiFinD("ths_adjustment_nv_fund",T$3,$A970))</x:f>
        <x:v>#NAME?</x:v>
      </x:c>
      <x:c r="U970" t="e">
        <x:f>IF($A970="","",[1]!thsiFinD("ths_adjustment_nv_fund",U$3,$A970))</x:f>
        <x:v>#NAME?</x:v>
      </x:c>
      <x:c r="V970" t="e">
        <x:f>IF($A970="","",[1]!thsiFinD("ths_adjustment_nv_fund",V$3,$A970))</x:f>
        <x:v>#NAME?</x:v>
      </x:c>
      <x:c r="W970" t="e">
        <x:f>IF($A970="","",[1]!thsiFinD("ths_adjustment_nv_fund",W$3,$A970))</x:f>
        <x:v>#NAME?</x:v>
      </x:c>
      <x:c r="X970" t="e">
        <x:f>IF($A970="","",[1]!thsiFinD("ths_adjustment_nv_fund",X$3,$A970))</x:f>
        <x:v>#NAME?</x:v>
      </x:c>
      <x:c r="Y970" t="e">
        <x:f>IF($A970="","",[1]!thsiFinD("ths_adjustment_nv_fund",Y$3,$A970))</x:f>
        <x:v>#NAME?</x:v>
      </x:c>
    </x:row>
    <x:row r="971">
      <x:c r="B971" t="e">
        <x:f>IF($A971="","",[1]!thsiFinD("ths_adjustment_nv_fund",B$3,$A971))</x:f>
        <x:v>#NAME?</x:v>
      </x:c>
      <x:c r="C971" t="e">
        <x:f>IF($A971="","",[1]!thsiFinD("ths_adjustment_nv_fund",C$3,$A971))</x:f>
        <x:v>#NAME?</x:v>
      </x:c>
      <x:c r="D971" t="e">
        <x:f>IF($A971="","",[1]!thsiFinD("ths_adjustment_nv_fund",D$3,$A971))</x:f>
        <x:v>#NAME?</x:v>
      </x:c>
      <x:c r="E971" t="e">
        <x:f>IF($A971="","",[1]!thsiFinD("ths_adjustment_nv_fund",E$3,$A971))</x:f>
        <x:v>#NAME?</x:v>
      </x:c>
      <x:c r="F971" t="e">
        <x:f>IF($A971="","",[1]!thsiFinD("ths_adjustment_nv_fund",F$3,$A971))</x:f>
        <x:v>#NAME?</x:v>
      </x:c>
      <x:c r="G971" t="e">
        <x:f>IF($A971="","",[1]!thsiFinD("ths_adjustment_nv_fund",G$3,$A971))</x:f>
        <x:v>#NAME?</x:v>
      </x:c>
      <x:c r="H971" t="e">
        <x:f>IF($A971="","",[1]!thsiFinD("ths_adjustment_nv_fund",H$3,$A971))</x:f>
        <x:v>#NAME?</x:v>
      </x:c>
      <x:c r="I971" t="e">
        <x:f>IF($A971="","",[1]!thsiFinD("ths_adjustment_nv_fund",I$3,$A971))</x:f>
        <x:v>#NAME?</x:v>
      </x:c>
      <x:c r="J971" t="e">
        <x:f>IF($A971="","",[1]!thsiFinD("ths_adjustment_nv_fund",J$3,$A971))</x:f>
        <x:v>#NAME?</x:v>
      </x:c>
      <x:c r="K971" t="e">
        <x:f>IF($A971="","",[1]!thsiFinD("ths_adjustment_nv_fund",K$3,$A971))</x:f>
        <x:v>#NAME?</x:v>
      </x:c>
      <x:c r="L971" t="e">
        <x:f>IF($A971="","",[1]!thsiFinD("ths_adjustment_nv_fund",L$3,$A971))</x:f>
        <x:v>#NAME?</x:v>
      </x:c>
      <x:c r="M971" t="e">
        <x:f>IF($A971="","",[1]!thsiFinD("ths_adjustment_nv_fund",M$3,$A971))</x:f>
        <x:v>#NAME?</x:v>
      </x:c>
      <x:c r="N971" t="e">
        <x:f>IF($A971="","",[1]!thsiFinD("ths_adjustment_nv_fund",N$3,$A971))</x:f>
        <x:v>#NAME?</x:v>
      </x:c>
      <x:c r="O971" t="e">
        <x:f>IF($A971="","",[1]!thsiFinD("ths_adjustment_nv_fund",O$3,$A971))</x:f>
        <x:v>#NAME?</x:v>
      </x:c>
      <x:c r="P971" t="e">
        <x:f>IF($A971="","",[1]!thsiFinD("ths_adjustment_nv_fund",P$3,$A971))</x:f>
        <x:v>#NAME?</x:v>
      </x:c>
      <x:c r="Q971" t="e">
        <x:f>IF($A971="","",[1]!thsiFinD("ths_adjustment_nv_fund",Q$3,$A971))</x:f>
        <x:v>#NAME?</x:v>
      </x:c>
      <x:c r="R971" t="e">
        <x:f>IF($A971="","",[1]!thsiFinD("ths_adjustment_nv_fund",R$3,$A971))</x:f>
        <x:v>#NAME?</x:v>
      </x:c>
      <x:c r="S971" t="e">
        <x:f>IF($A971="","",[1]!thsiFinD("ths_adjustment_nv_fund",S$3,$A971))</x:f>
        <x:v>#NAME?</x:v>
      </x:c>
      <x:c r="T971" t="e">
        <x:f>IF($A971="","",[1]!thsiFinD("ths_adjustment_nv_fund",T$3,$A971))</x:f>
        <x:v>#NAME?</x:v>
      </x:c>
      <x:c r="U971" t="e">
        <x:f>IF($A971="","",[1]!thsiFinD("ths_adjustment_nv_fund",U$3,$A971))</x:f>
        <x:v>#NAME?</x:v>
      </x:c>
      <x:c r="V971" t="e">
        <x:f>IF($A971="","",[1]!thsiFinD("ths_adjustment_nv_fund",V$3,$A971))</x:f>
        <x:v>#NAME?</x:v>
      </x:c>
      <x:c r="W971" t="e">
        <x:f>IF($A971="","",[1]!thsiFinD("ths_adjustment_nv_fund",W$3,$A971))</x:f>
        <x:v>#NAME?</x:v>
      </x:c>
      <x:c r="X971" t="e">
        <x:f>IF($A971="","",[1]!thsiFinD("ths_adjustment_nv_fund",X$3,$A971))</x:f>
        <x:v>#NAME?</x:v>
      </x:c>
      <x:c r="Y971" t="e">
        <x:f>IF($A971="","",[1]!thsiFinD("ths_adjustment_nv_fund",Y$3,$A971))</x:f>
        <x:v>#NAME?</x:v>
      </x:c>
    </x:row>
    <x:row r="972">
      <x:c r="B972" t="e">
        <x:f>IF($A972="","",[1]!thsiFinD("ths_adjustment_nv_fund",B$3,$A972))</x:f>
        <x:v>#NAME?</x:v>
      </x:c>
      <x:c r="C972" t="e">
        <x:f>IF($A972="","",[1]!thsiFinD("ths_adjustment_nv_fund",C$3,$A972))</x:f>
        <x:v>#NAME?</x:v>
      </x:c>
      <x:c r="D972" t="e">
        <x:f>IF($A972="","",[1]!thsiFinD("ths_adjustment_nv_fund",D$3,$A972))</x:f>
        <x:v>#NAME?</x:v>
      </x:c>
      <x:c r="E972" t="e">
        <x:f>IF($A972="","",[1]!thsiFinD("ths_adjustment_nv_fund",E$3,$A972))</x:f>
        <x:v>#NAME?</x:v>
      </x:c>
      <x:c r="F972" t="e">
        <x:f>IF($A972="","",[1]!thsiFinD("ths_adjustment_nv_fund",F$3,$A972))</x:f>
        <x:v>#NAME?</x:v>
      </x:c>
      <x:c r="G972" t="e">
        <x:f>IF($A972="","",[1]!thsiFinD("ths_adjustment_nv_fund",G$3,$A972))</x:f>
        <x:v>#NAME?</x:v>
      </x:c>
      <x:c r="H972" t="e">
        <x:f>IF($A972="","",[1]!thsiFinD("ths_adjustment_nv_fund",H$3,$A972))</x:f>
        <x:v>#NAME?</x:v>
      </x:c>
      <x:c r="I972" t="e">
        <x:f>IF($A972="","",[1]!thsiFinD("ths_adjustment_nv_fund",I$3,$A972))</x:f>
        <x:v>#NAME?</x:v>
      </x:c>
      <x:c r="J972" t="e">
        <x:f>IF($A972="","",[1]!thsiFinD("ths_adjustment_nv_fund",J$3,$A972))</x:f>
        <x:v>#NAME?</x:v>
      </x:c>
      <x:c r="K972" t="e">
        <x:f>IF($A972="","",[1]!thsiFinD("ths_adjustment_nv_fund",K$3,$A972))</x:f>
        <x:v>#NAME?</x:v>
      </x:c>
      <x:c r="L972" t="e">
        <x:f>IF($A972="","",[1]!thsiFinD("ths_adjustment_nv_fund",L$3,$A972))</x:f>
        <x:v>#NAME?</x:v>
      </x:c>
      <x:c r="M972" t="e">
        <x:f>IF($A972="","",[1]!thsiFinD("ths_adjustment_nv_fund",M$3,$A972))</x:f>
        <x:v>#NAME?</x:v>
      </x:c>
      <x:c r="N972" t="e">
        <x:f>IF($A972="","",[1]!thsiFinD("ths_adjustment_nv_fund",N$3,$A972))</x:f>
        <x:v>#NAME?</x:v>
      </x:c>
      <x:c r="O972" t="e">
        <x:f>IF($A972="","",[1]!thsiFinD("ths_adjustment_nv_fund",O$3,$A972))</x:f>
        <x:v>#NAME?</x:v>
      </x:c>
      <x:c r="P972" t="e">
        <x:f>IF($A972="","",[1]!thsiFinD("ths_adjustment_nv_fund",P$3,$A972))</x:f>
        <x:v>#NAME?</x:v>
      </x:c>
      <x:c r="Q972" t="e">
        <x:f>IF($A972="","",[1]!thsiFinD("ths_adjustment_nv_fund",Q$3,$A972))</x:f>
        <x:v>#NAME?</x:v>
      </x:c>
      <x:c r="R972" t="e">
        <x:f>IF($A972="","",[1]!thsiFinD("ths_adjustment_nv_fund",R$3,$A972))</x:f>
        <x:v>#NAME?</x:v>
      </x:c>
      <x:c r="S972" t="e">
        <x:f>IF($A972="","",[1]!thsiFinD("ths_adjustment_nv_fund",S$3,$A972))</x:f>
        <x:v>#NAME?</x:v>
      </x:c>
      <x:c r="T972" t="e">
        <x:f>IF($A972="","",[1]!thsiFinD("ths_adjustment_nv_fund",T$3,$A972))</x:f>
        <x:v>#NAME?</x:v>
      </x:c>
      <x:c r="U972" t="e">
        <x:f>IF($A972="","",[1]!thsiFinD("ths_adjustment_nv_fund",U$3,$A972))</x:f>
        <x:v>#NAME?</x:v>
      </x:c>
      <x:c r="V972" t="e">
        <x:f>IF($A972="","",[1]!thsiFinD("ths_adjustment_nv_fund",V$3,$A972))</x:f>
        <x:v>#NAME?</x:v>
      </x:c>
      <x:c r="W972" t="e">
        <x:f>IF($A972="","",[1]!thsiFinD("ths_adjustment_nv_fund",W$3,$A972))</x:f>
        <x:v>#NAME?</x:v>
      </x:c>
      <x:c r="X972" t="e">
        <x:f>IF($A972="","",[1]!thsiFinD("ths_adjustment_nv_fund",X$3,$A972))</x:f>
        <x:v>#NAME?</x:v>
      </x:c>
      <x:c r="Y972" t="e">
        <x:f>IF($A972="","",[1]!thsiFinD("ths_adjustment_nv_fund",Y$3,$A972))</x:f>
        <x:v>#NAME?</x:v>
      </x:c>
    </x:row>
    <x:row r="973">
      <x:c r="B973" t="e">
        <x:f>IF($A973="","",[1]!thsiFinD("ths_adjustment_nv_fund",B$3,$A973))</x:f>
        <x:v>#NAME?</x:v>
      </x:c>
      <x:c r="C973" t="e">
        <x:f>IF($A973="","",[1]!thsiFinD("ths_adjustment_nv_fund",C$3,$A973))</x:f>
        <x:v>#NAME?</x:v>
      </x:c>
      <x:c r="D973" t="e">
        <x:f>IF($A973="","",[1]!thsiFinD("ths_adjustment_nv_fund",D$3,$A973))</x:f>
        <x:v>#NAME?</x:v>
      </x:c>
      <x:c r="E973" t="e">
        <x:f>IF($A973="","",[1]!thsiFinD("ths_adjustment_nv_fund",E$3,$A973))</x:f>
        <x:v>#NAME?</x:v>
      </x:c>
      <x:c r="F973" t="e">
        <x:f>IF($A973="","",[1]!thsiFinD("ths_adjustment_nv_fund",F$3,$A973))</x:f>
        <x:v>#NAME?</x:v>
      </x:c>
      <x:c r="G973" t="e">
        <x:f>IF($A973="","",[1]!thsiFinD("ths_adjustment_nv_fund",G$3,$A973))</x:f>
        <x:v>#NAME?</x:v>
      </x:c>
      <x:c r="H973" t="e">
        <x:f>IF($A973="","",[1]!thsiFinD("ths_adjustment_nv_fund",H$3,$A973))</x:f>
        <x:v>#NAME?</x:v>
      </x:c>
      <x:c r="I973" t="e">
        <x:f>IF($A973="","",[1]!thsiFinD("ths_adjustment_nv_fund",I$3,$A973))</x:f>
        <x:v>#NAME?</x:v>
      </x:c>
      <x:c r="J973" t="e">
        <x:f>IF($A973="","",[1]!thsiFinD("ths_adjustment_nv_fund",J$3,$A973))</x:f>
        <x:v>#NAME?</x:v>
      </x:c>
      <x:c r="K973" t="e">
        <x:f>IF($A973="","",[1]!thsiFinD("ths_adjustment_nv_fund",K$3,$A973))</x:f>
        <x:v>#NAME?</x:v>
      </x:c>
      <x:c r="L973" t="e">
        <x:f>IF($A973="","",[1]!thsiFinD("ths_adjustment_nv_fund",L$3,$A973))</x:f>
        <x:v>#NAME?</x:v>
      </x:c>
      <x:c r="M973" t="e">
        <x:f>IF($A973="","",[1]!thsiFinD("ths_adjustment_nv_fund",M$3,$A973))</x:f>
        <x:v>#NAME?</x:v>
      </x:c>
      <x:c r="N973" t="e">
        <x:f>IF($A973="","",[1]!thsiFinD("ths_adjustment_nv_fund",N$3,$A973))</x:f>
        <x:v>#NAME?</x:v>
      </x:c>
      <x:c r="O973" t="e">
        <x:f>IF($A973="","",[1]!thsiFinD("ths_adjustment_nv_fund",O$3,$A973))</x:f>
        <x:v>#NAME?</x:v>
      </x:c>
      <x:c r="P973" t="e">
        <x:f>IF($A973="","",[1]!thsiFinD("ths_adjustment_nv_fund",P$3,$A973))</x:f>
        <x:v>#NAME?</x:v>
      </x:c>
      <x:c r="Q973" t="e">
        <x:f>IF($A973="","",[1]!thsiFinD("ths_adjustment_nv_fund",Q$3,$A973))</x:f>
        <x:v>#NAME?</x:v>
      </x:c>
      <x:c r="R973" t="e">
        <x:f>IF($A973="","",[1]!thsiFinD("ths_adjustment_nv_fund",R$3,$A973))</x:f>
        <x:v>#NAME?</x:v>
      </x:c>
      <x:c r="S973" t="e">
        <x:f>IF($A973="","",[1]!thsiFinD("ths_adjustment_nv_fund",S$3,$A973))</x:f>
        <x:v>#NAME?</x:v>
      </x:c>
      <x:c r="T973" t="e">
        <x:f>IF($A973="","",[1]!thsiFinD("ths_adjustment_nv_fund",T$3,$A973))</x:f>
        <x:v>#NAME?</x:v>
      </x:c>
      <x:c r="U973" t="e">
        <x:f>IF($A973="","",[1]!thsiFinD("ths_adjustment_nv_fund",U$3,$A973))</x:f>
        <x:v>#NAME?</x:v>
      </x:c>
      <x:c r="V973" t="e">
        <x:f>IF($A973="","",[1]!thsiFinD("ths_adjustment_nv_fund",V$3,$A973))</x:f>
        <x:v>#NAME?</x:v>
      </x:c>
      <x:c r="W973" t="e">
        <x:f>IF($A973="","",[1]!thsiFinD("ths_adjustment_nv_fund",W$3,$A973))</x:f>
        <x:v>#NAME?</x:v>
      </x:c>
      <x:c r="X973" t="e">
        <x:f>IF($A973="","",[1]!thsiFinD("ths_adjustment_nv_fund",X$3,$A973))</x:f>
        <x:v>#NAME?</x:v>
      </x:c>
      <x:c r="Y973" t="e">
        <x:f>IF($A973="","",[1]!thsiFinD("ths_adjustment_nv_fund",Y$3,$A973))</x:f>
        <x:v>#NAME?</x:v>
      </x:c>
    </x:row>
    <x:row r="974">
      <x:c r="B974" t="e">
        <x:f>IF($A974="","",[1]!thsiFinD("ths_adjustment_nv_fund",B$3,$A974))</x:f>
        <x:v>#NAME?</x:v>
      </x:c>
      <x:c r="C974" t="e">
        <x:f>IF($A974="","",[1]!thsiFinD("ths_adjustment_nv_fund",C$3,$A974))</x:f>
        <x:v>#NAME?</x:v>
      </x:c>
      <x:c r="D974" t="e">
        <x:f>IF($A974="","",[1]!thsiFinD("ths_adjustment_nv_fund",D$3,$A974))</x:f>
        <x:v>#NAME?</x:v>
      </x:c>
      <x:c r="E974" t="e">
        <x:f>IF($A974="","",[1]!thsiFinD("ths_adjustment_nv_fund",E$3,$A974))</x:f>
        <x:v>#NAME?</x:v>
      </x:c>
      <x:c r="F974" t="e">
        <x:f>IF($A974="","",[1]!thsiFinD("ths_adjustment_nv_fund",F$3,$A974))</x:f>
        <x:v>#NAME?</x:v>
      </x:c>
      <x:c r="G974" t="e">
        <x:f>IF($A974="","",[1]!thsiFinD("ths_adjustment_nv_fund",G$3,$A974))</x:f>
        <x:v>#NAME?</x:v>
      </x:c>
      <x:c r="H974" t="e">
        <x:f>IF($A974="","",[1]!thsiFinD("ths_adjustment_nv_fund",H$3,$A974))</x:f>
        <x:v>#NAME?</x:v>
      </x:c>
      <x:c r="I974" t="e">
        <x:f>IF($A974="","",[1]!thsiFinD("ths_adjustment_nv_fund",I$3,$A974))</x:f>
        <x:v>#NAME?</x:v>
      </x:c>
      <x:c r="J974" t="e">
        <x:f>IF($A974="","",[1]!thsiFinD("ths_adjustment_nv_fund",J$3,$A974))</x:f>
        <x:v>#NAME?</x:v>
      </x:c>
      <x:c r="K974" t="e">
        <x:f>IF($A974="","",[1]!thsiFinD("ths_adjustment_nv_fund",K$3,$A974))</x:f>
        <x:v>#NAME?</x:v>
      </x:c>
      <x:c r="L974" t="e">
        <x:f>IF($A974="","",[1]!thsiFinD("ths_adjustment_nv_fund",L$3,$A974))</x:f>
        <x:v>#NAME?</x:v>
      </x:c>
      <x:c r="M974" t="e">
        <x:f>IF($A974="","",[1]!thsiFinD("ths_adjustment_nv_fund",M$3,$A974))</x:f>
        <x:v>#NAME?</x:v>
      </x:c>
      <x:c r="N974" t="e">
        <x:f>IF($A974="","",[1]!thsiFinD("ths_adjustment_nv_fund",N$3,$A974))</x:f>
        <x:v>#NAME?</x:v>
      </x:c>
      <x:c r="O974" t="e">
        <x:f>IF($A974="","",[1]!thsiFinD("ths_adjustment_nv_fund",O$3,$A974))</x:f>
        <x:v>#NAME?</x:v>
      </x:c>
      <x:c r="P974" t="e">
        <x:f>IF($A974="","",[1]!thsiFinD("ths_adjustment_nv_fund",P$3,$A974))</x:f>
        <x:v>#NAME?</x:v>
      </x:c>
      <x:c r="Q974" t="e">
        <x:f>IF($A974="","",[1]!thsiFinD("ths_adjustment_nv_fund",Q$3,$A974))</x:f>
        <x:v>#NAME?</x:v>
      </x:c>
      <x:c r="R974" t="e">
        <x:f>IF($A974="","",[1]!thsiFinD("ths_adjustment_nv_fund",R$3,$A974))</x:f>
        <x:v>#NAME?</x:v>
      </x:c>
      <x:c r="S974" t="e">
        <x:f>IF($A974="","",[1]!thsiFinD("ths_adjustment_nv_fund",S$3,$A974))</x:f>
        <x:v>#NAME?</x:v>
      </x:c>
      <x:c r="T974" t="e">
        <x:f>IF($A974="","",[1]!thsiFinD("ths_adjustment_nv_fund",T$3,$A974))</x:f>
        <x:v>#NAME?</x:v>
      </x:c>
      <x:c r="U974" t="e">
        <x:f>IF($A974="","",[1]!thsiFinD("ths_adjustment_nv_fund",U$3,$A974))</x:f>
        <x:v>#NAME?</x:v>
      </x:c>
      <x:c r="V974" t="e">
        <x:f>IF($A974="","",[1]!thsiFinD("ths_adjustment_nv_fund",V$3,$A974))</x:f>
        <x:v>#NAME?</x:v>
      </x:c>
      <x:c r="W974" t="e">
        <x:f>IF($A974="","",[1]!thsiFinD("ths_adjustment_nv_fund",W$3,$A974))</x:f>
        <x:v>#NAME?</x:v>
      </x:c>
      <x:c r="X974" t="e">
        <x:f>IF($A974="","",[1]!thsiFinD("ths_adjustment_nv_fund",X$3,$A974))</x:f>
        <x:v>#NAME?</x:v>
      </x:c>
      <x:c r="Y974" t="e">
        <x:f>IF($A974="","",[1]!thsiFinD("ths_adjustment_nv_fund",Y$3,$A974))</x:f>
        <x:v>#NAME?</x:v>
      </x:c>
    </x:row>
    <x:row r="975">
      <x:c r="B975" t="e">
        <x:f>IF($A975="","",[1]!thsiFinD("ths_adjustment_nv_fund",B$3,$A975))</x:f>
        <x:v>#NAME?</x:v>
      </x:c>
      <x:c r="C975" t="e">
        <x:f>IF($A975="","",[1]!thsiFinD("ths_adjustment_nv_fund",C$3,$A975))</x:f>
        <x:v>#NAME?</x:v>
      </x:c>
      <x:c r="D975" t="e">
        <x:f>IF($A975="","",[1]!thsiFinD("ths_adjustment_nv_fund",D$3,$A975))</x:f>
        <x:v>#NAME?</x:v>
      </x:c>
      <x:c r="E975" t="e">
        <x:f>IF($A975="","",[1]!thsiFinD("ths_adjustment_nv_fund",E$3,$A975))</x:f>
        <x:v>#NAME?</x:v>
      </x:c>
      <x:c r="F975" t="e">
        <x:f>IF($A975="","",[1]!thsiFinD("ths_adjustment_nv_fund",F$3,$A975))</x:f>
        <x:v>#NAME?</x:v>
      </x:c>
      <x:c r="G975" t="e">
        <x:f>IF($A975="","",[1]!thsiFinD("ths_adjustment_nv_fund",G$3,$A975))</x:f>
        <x:v>#NAME?</x:v>
      </x:c>
      <x:c r="H975" t="e">
        <x:f>IF($A975="","",[1]!thsiFinD("ths_adjustment_nv_fund",H$3,$A975))</x:f>
        <x:v>#NAME?</x:v>
      </x:c>
      <x:c r="I975" t="e">
        <x:f>IF($A975="","",[1]!thsiFinD("ths_adjustment_nv_fund",I$3,$A975))</x:f>
        <x:v>#NAME?</x:v>
      </x:c>
      <x:c r="J975" t="e">
        <x:f>IF($A975="","",[1]!thsiFinD("ths_adjustment_nv_fund",J$3,$A975))</x:f>
        <x:v>#NAME?</x:v>
      </x:c>
      <x:c r="K975" t="e">
        <x:f>IF($A975="","",[1]!thsiFinD("ths_adjustment_nv_fund",K$3,$A975))</x:f>
        <x:v>#NAME?</x:v>
      </x:c>
      <x:c r="L975" t="e">
        <x:f>IF($A975="","",[1]!thsiFinD("ths_adjustment_nv_fund",L$3,$A975))</x:f>
        <x:v>#NAME?</x:v>
      </x:c>
      <x:c r="M975" t="e">
        <x:f>IF($A975="","",[1]!thsiFinD("ths_adjustment_nv_fund",M$3,$A975))</x:f>
        <x:v>#NAME?</x:v>
      </x:c>
      <x:c r="N975" t="e">
        <x:f>IF($A975="","",[1]!thsiFinD("ths_adjustment_nv_fund",N$3,$A975))</x:f>
        <x:v>#NAME?</x:v>
      </x:c>
      <x:c r="O975" t="e">
        <x:f>IF($A975="","",[1]!thsiFinD("ths_adjustment_nv_fund",O$3,$A975))</x:f>
        <x:v>#NAME?</x:v>
      </x:c>
      <x:c r="P975" t="e">
        <x:f>IF($A975="","",[1]!thsiFinD("ths_adjustment_nv_fund",P$3,$A975))</x:f>
        <x:v>#NAME?</x:v>
      </x:c>
      <x:c r="Q975" t="e">
        <x:f>IF($A975="","",[1]!thsiFinD("ths_adjustment_nv_fund",Q$3,$A975))</x:f>
        <x:v>#NAME?</x:v>
      </x:c>
      <x:c r="R975" t="e">
        <x:f>IF($A975="","",[1]!thsiFinD("ths_adjustment_nv_fund",R$3,$A975))</x:f>
        <x:v>#NAME?</x:v>
      </x:c>
      <x:c r="S975" t="e">
        <x:f>IF($A975="","",[1]!thsiFinD("ths_adjustment_nv_fund",S$3,$A975))</x:f>
        <x:v>#NAME?</x:v>
      </x:c>
      <x:c r="T975" t="e">
        <x:f>IF($A975="","",[1]!thsiFinD("ths_adjustment_nv_fund",T$3,$A975))</x:f>
        <x:v>#NAME?</x:v>
      </x:c>
      <x:c r="U975" t="e">
        <x:f>IF($A975="","",[1]!thsiFinD("ths_adjustment_nv_fund",U$3,$A975))</x:f>
        <x:v>#NAME?</x:v>
      </x:c>
      <x:c r="V975" t="e">
        <x:f>IF($A975="","",[1]!thsiFinD("ths_adjustment_nv_fund",V$3,$A975))</x:f>
        <x:v>#NAME?</x:v>
      </x:c>
      <x:c r="W975" t="e">
        <x:f>IF($A975="","",[1]!thsiFinD("ths_adjustment_nv_fund",W$3,$A975))</x:f>
        <x:v>#NAME?</x:v>
      </x:c>
      <x:c r="X975" t="e">
        <x:f>IF($A975="","",[1]!thsiFinD("ths_adjustment_nv_fund",X$3,$A975))</x:f>
        <x:v>#NAME?</x:v>
      </x:c>
      <x:c r="Y975" t="e">
        <x:f>IF($A975="","",[1]!thsiFinD("ths_adjustment_nv_fund",Y$3,$A975))</x:f>
        <x:v>#NAME?</x:v>
      </x:c>
    </x:row>
    <x:row r="976">
      <x:c r="B976" t="e">
        <x:f>IF($A976="","",[1]!thsiFinD("ths_adjustment_nv_fund",B$3,$A976))</x:f>
        <x:v>#NAME?</x:v>
      </x:c>
      <x:c r="C976" t="e">
        <x:f>IF($A976="","",[1]!thsiFinD("ths_adjustment_nv_fund",C$3,$A976))</x:f>
        <x:v>#NAME?</x:v>
      </x:c>
      <x:c r="D976" t="e">
        <x:f>IF($A976="","",[1]!thsiFinD("ths_adjustment_nv_fund",D$3,$A976))</x:f>
        <x:v>#NAME?</x:v>
      </x:c>
      <x:c r="E976" t="e">
        <x:f>IF($A976="","",[1]!thsiFinD("ths_adjustment_nv_fund",E$3,$A976))</x:f>
        <x:v>#NAME?</x:v>
      </x:c>
      <x:c r="F976" t="e">
        <x:f>IF($A976="","",[1]!thsiFinD("ths_adjustment_nv_fund",F$3,$A976))</x:f>
        <x:v>#NAME?</x:v>
      </x:c>
      <x:c r="G976" t="e">
        <x:f>IF($A976="","",[1]!thsiFinD("ths_adjustment_nv_fund",G$3,$A976))</x:f>
        <x:v>#NAME?</x:v>
      </x:c>
      <x:c r="H976" t="e">
        <x:f>IF($A976="","",[1]!thsiFinD("ths_adjustment_nv_fund",H$3,$A976))</x:f>
        <x:v>#NAME?</x:v>
      </x:c>
      <x:c r="I976" t="e">
        <x:f>IF($A976="","",[1]!thsiFinD("ths_adjustment_nv_fund",I$3,$A976))</x:f>
        <x:v>#NAME?</x:v>
      </x:c>
      <x:c r="J976" t="e">
        <x:f>IF($A976="","",[1]!thsiFinD("ths_adjustment_nv_fund",J$3,$A976))</x:f>
        <x:v>#NAME?</x:v>
      </x:c>
      <x:c r="K976" t="e">
        <x:f>IF($A976="","",[1]!thsiFinD("ths_adjustment_nv_fund",K$3,$A976))</x:f>
        <x:v>#NAME?</x:v>
      </x:c>
      <x:c r="L976" t="e">
        <x:f>IF($A976="","",[1]!thsiFinD("ths_adjustment_nv_fund",L$3,$A976))</x:f>
        <x:v>#NAME?</x:v>
      </x:c>
      <x:c r="M976" t="e">
        <x:f>IF($A976="","",[1]!thsiFinD("ths_adjustment_nv_fund",M$3,$A976))</x:f>
        <x:v>#NAME?</x:v>
      </x:c>
      <x:c r="N976" t="e">
        <x:f>IF($A976="","",[1]!thsiFinD("ths_adjustment_nv_fund",N$3,$A976))</x:f>
        <x:v>#NAME?</x:v>
      </x:c>
      <x:c r="O976" t="e">
        <x:f>IF($A976="","",[1]!thsiFinD("ths_adjustment_nv_fund",O$3,$A976))</x:f>
        <x:v>#NAME?</x:v>
      </x:c>
      <x:c r="P976" t="e">
        <x:f>IF($A976="","",[1]!thsiFinD("ths_adjustment_nv_fund",P$3,$A976))</x:f>
        <x:v>#NAME?</x:v>
      </x:c>
      <x:c r="Q976" t="e">
        <x:f>IF($A976="","",[1]!thsiFinD("ths_adjustment_nv_fund",Q$3,$A976))</x:f>
        <x:v>#NAME?</x:v>
      </x:c>
      <x:c r="R976" t="e">
        <x:f>IF($A976="","",[1]!thsiFinD("ths_adjustment_nv_fund",R$3,$A976))</x:f>
        <x:v>#NAME?</x:v>
      </x:c>
      <x:c r="S976" t="e">
        <x:f>IF($A976="","",[1]!thsiFinD("ths_adjustment_nv_fund",S$3,$A976))</x:f>
        <x:v>#NAME?</x:v>
      </x:c>
      <x:c r="T976" t="e">
        <x:f>IF($A976="","",[1]!thsiFinD("ths_adjustment_nv_fund",T$3,$A976))</x:f>
        <x:v>#NAME?</x:v>
      </x:c>
      <x:c r="U976" t="e">
        <x:f>IF($A976="","",[1]!thsiFinD("ths_adjustment_nv_fund",U$3,$A976))</x:f>
        <x:v>#NAME?</x:v>
      </x:c>
      <x:c r="V976" t="e">
        <x:f>IF($A976="","",[1]!thsiFinD("ths_adjustment_nv_fund",V$3,$A976))</x:f>
        <x:v>#NAME?</x:v>
      </x:c>
      <x:c r="W976" t="e">
        <x:f>IF($A976="","",[1]!thsiFinD("ths_adjustment_nv_fund",W$3,$A976))</x:f>
        <x:v>#NAME?</x:v>
      </x:c>
      <x:c r="X976" t="e">
        <x:f>IF($A976="","",[1]!thsiFinD("ths_adjustment_nv_fund",X$3,$A976))</x:f>
        <x:v>#NAME?</x:v>
      </x:c>
      <x:c r="Y976" t="e">
        <x:f>IF($A976="","",[1]!thsiFinD("ths_adjustment_nv_fund",Y$3,$A976))</x:f>
        <x:v>#NAME?</x:v>
      </x:c>
    </x:row>
    <x:row r="977">
      <x:c r="B977" t="e">
        <x:f>IF($A977="","",[1]!thsiFinD("ths_adjustment_nv_fund",B$3,$A977))</x:f>
        <x:v>#NAME?</x:v>
      </x:c>
      <x:c r="C977" t="e">
        <x:f>IF($A977="","",[1]!thsiFinD("ths_adjustment_nv_fund",C$3,$A977))</x:f>
        <x:v>#NAME?</x:v>
      </x:c>
      <x:c r="D977" t="e">
        <x:f>IF($A977="","",[1]!thsiFinD("ths_adjustment_nv_fund",D$3,$A977))</x:f>
        <x:v>#NAME?</x:v>
      </x:c>
      <x:c r="E977" t="e">
        <x:f>IF($A977="","",[1]!thsiFinD("ths_adjustment_nv_fund",E$3,$A977))</x:f>
        <x:v>#NAME?</x:v>
      </x:c>
      <x:c r="F977" t="e">
        <x:f>IF($A977="","",[1]!thsiFinD("ths_adjustment_nv_fund",F$3,$A977))</x:f>
        <x:v>#NAME?</x:v>
      </x:c>
      <x:c r="G977" t="e">
        <x:f>IF($A977="","",[1]!thsiFinD("ths_adjustment_nv_fund",G$3,$A977))</x:f>
        <x:v>#NAME?</x:v>
      </x:c>
      <x:c r="H977" t="e">
        <x:f>IF($A977="","",[1]!thsiFinD("ths_adjustment_nv_fund",H$3,$A977))</x:f>
        <x:v>#NAME?</x:v>
      </x:c>
      <x:c r="I977" t="e">
        <x:f>IF($A977="","",[1]!thsiFinD("ths_adjustment_nv_fund",I$3,$A977))</x:f>
        <x:v>#NAME?</x:v>
      </x:c>
      <x:c r="J977" t="e">
        <x:f>IF($A977="","",[1]!thsiFinD("ths_adjustment_nv_fund",J$3,$A977))</x:f>
        <x:v>#NAME?</x:v>
      </x:c>
      <x:c r="K977" t="e">
        <x:f>IF($A977="","",[1]!thsiFinD("ths_adjustment_nv_fund",K$3,$A977))</x:f>
        <x:v>#NAME?</x:v>
      </x:c>
      <x:c r="L977" t="e">
        <x:f>IF($A977="","",[1]!thsiFinD("ths_adjustment_nv_fund",L$3,$A977))</x:f>
        <x:v>#NAME?</x:v>
      </x:c>
      <x:c r="M977" t="e">
        <x:f>IF($A977="","",[1]!thsiFinD("ths_adjustment_nv_fund",M$3,$A977))</x:f>
        <x:v>#NAME?</x:v>
      </x:c>
      <x:c r="N977" t="e">
        <x:f>IF($A977="","",[1]!thsiFinD("ths_adjustment_nv_fund",N$3,$A977))</x:f>
        <x:v>#NAME?</x:v>
      </x:c>
      <x:c r="O977" t="e">
        <x:f>IF($A977="","",[1]!thsiFinD("ths_adjustment_nv_fund",O$3,$A977))</x:f>
        <x:v>#NAME?</x:v>
      </x:c>
      <x:c r="P977" t="e">
        <x:f>IF($A977="","",[1]!thsiFinD("ths_adjustment_nv_fund",P$3,$A977))</x:f>
        <x:v>#NAME?</x:v>
      </x:c>
      <x:c r="Q977" t="e">
        <x:f>IF($A977="","",[1]!thsiFinD("ths_adjustment_nv_fund",Q$3,$A977))</x:f>
        <x:v>#NAME?</x:v>
      </x:c>
      <x:c r="R977" t="e">
        <x:f>IF($A977="","",[1]!thsiFinD("ths_adjustment_nv_fund",R$3,$A977))</x:f>
        <x:v>#NAME?</x:v>
      </x:c>
      <x:c r="S977" t="e">
        <x:f>IF($A977="","",[1]!thsiFinD("ths_adjustment_nv_fund",S$3,$A977))</x:f>
        <x:v>#NAME?</x:v>
      </x:c>
      <x:c r="T977" t="e">
        <x:f>IF($A977="","",[1]!thsiFinD("ths_adjustment_nv_fund",T$3,$A977))</x:f>
        <x:v>#NAME?</x:v>
      </x:c>
      <x:c r="U977" t="e">
        <x:f>IF($A977="","",[1]!thsiFinD("ths_adjustment_nv_fund",U$3,$A977))</x:f>
        <x:v>#NAME?</x:v>
      </x:c>
      <x:c r="V977" t="e">
        <x:f>IF($A977="","",[1]!thsiFinD("ths_adjustment_nv_fund",V$3,$A977))</x:f>
        <x:v>#NAME?</x:v>
      </x:c>
      <x:c r="W977" t="e">
        <x:f>IF($A977="","",[1]!thsiFinD("ths_adjustment_nv_fund",W$3,$A977))</x:f>
        <x:v>#NAME?</x:v>
      </x:c>
      <x:c r="X977" t="e">
        <x:f>IF($A977="","",[1]!thsiFinD("ths_adjustment_nv_fund",X$3,$A977))</x:f>
        <x:v>#NAME?</x:v>
      </x:c>
      <x:c r="Y977" t="e">
        <x:f>IF($A977="","",[1]!thsiFinD("ths_adjustment_nv_fund",Y$3,$A977))</x:f>
        <x:v>#NAME?</x:v>
      </x:c>
    </x:row>
    <x:row r="978">
      <x:c r="B978" t="e">
        <x:f>IF($A978="","",[1]!thsiFinD("ths_adjustment_nv_fund",B$3,$A978))</x:f>
        <x:v>#NAME?</x:v>
      </x:c>
      <x:c r="C978" t="e">
        <x:f>IF($A978="","",[1]!thsiFinD("ths_adjustment_nv_fund",C$3,$A978))</x:f>
        <x:v>#NAME?</x:v>
      </x:c>
      <x:c r="D978" t="e">
        <x:f>IF($A978="","",[1]!thsiFinD("ths_adjustment_nv_fund",D$3,$A978))</x:f>
        <x:v>#NAME?</x:v>
      </x:c>
      <x:c r="E978" t="e">
        <x:f>IF($A978="","",[1]!thsiFinD("ths_adjustment_nv_fund",E$3,$A978))</x:f>
        <x:v>#NAME?</x:v>
      </x:c>
      <x:c r="F978" t="e">
        <x:f>IF($A978="","",[1]!thsiFinD("ths_adjustment_nv_fund",F$3,$A978))</x:f>
        <x:v>#NAME?</x:v>
      </x:c>
      <x:c r="G978" t="e">
        <x:f>IF($A978="","",[1]!thsiFinD("ths_adjustment_nv_fund",G$3,$A978))</x:f>
        <x:v>#NAME?</x:v>
      </x:c>
      <x:c r="H978" t="e">
        <x:f>IF($A978="","",[1]!thsiFinD("ths_adjustment_nv_fund",H$3,$A978))</x:f>
        <x:v>#NAME?</x:v>
      </x:c>
      <x:c r="I978" t="e">
        <x:f>IF($A978="","",[1]!thsiFinD("ths_adjustment_nv_fund",I$3,$A978))</x:f>
        <x:v>#NAME?</x:v>
      </x:c>
      <x:c r="J978" t="e">
        <x:f>IF($A978="","",[1]!thsiFinD("ths_adjustment_nv_fund",J$3,$A978))</x:f>
        <x:v>#NAME?</x:v>
      </x:c>
      <x:c r="K978" t="e">
        <x:f>IF($A978="","",[1]!thsiFinD("ths_adjustment_nv_fund",K$3,$A978))</x:f>
        <x:v>#NAME?</x:v>
      </x:c>
      <x:c r="L978" t="e">
        <x:f>IF($A978="","",[1]!thsiFinD("ths_adjustment_nv_fund",L$3,$A978))</x:f>
        <x:v>#NAME?</x:v>
      </x:c>
      <x:c r="M978" t="e">
        <x:f>IF($A978="","",[1]!thsiFinD("ths_adjustment_nv_fund",M$3,$A978))</x:f>
        <x:v>#NAME?</x:v>
      </x:c>
      <x:c r="N978" t="e">
        <x:f>IF($A978="","",[1]!thsiFinD("ths_adjustment_nv_fund",N$3,$A978))</x:f>
        <x:v>#NAME?</x:v>
      </x:c>
      <x:c r="O978" t="e">
        <x:f>IF($A978="","",[1]!thsiFinD("ths_adjustment_nv_fund",O$3,$A978))</x:f>
        <x:v>#NAME?</x:v>
      </x:c>
      <x:c r="P978" t="e">
        <x:f>IF($A978="","",[1]!thsiFinD("ths_adjustment_nv_fund",P$3,$A978))</x:f>
        <x:v>#NAME?</x:v>
      </x:c>
      <x:c r="Q978" t="e">
        <x:f>IF($A978="","",[1]!thsiFinD("ths_adjustment_nv_fund",Q$3,$A978))</x:f>
        <x:v>#NAME?</x:v>
      </x:c>
      <x:c r="R978" t="e">
        <x:f>IF($A978="","",[1]!thsiFinD("ths_adjustment_nv_fund",R$3,$A978))</x:f>
        <x:v>#NAME?</x:v>
      </x:c>
      <x:c r="S978" t="e">
        <x:f>IF($A978="","",[1]!thsiFinD("ths_adjustment_nv_fund",S$3,$A978))</x:f>
        <x:v>#NAME?</x:v>
      </x:c>
      <x:c r="T978" t="e">
        <x:f>IF($A978="","",[1]!thsiFinD("ths_adjustment_nv_fund",T$3,$A978))</x:f>
        <x:v>#NAME?</x:v>
      </x:c>
      <x:c r="U978" t="e">
        <x:f>IF($A978="","",[1]!thsiFinD("ths_adjustment_nv_fund",U$3,$A978))</x:f>
        <x:v>#NAME?</x:v>
      </x:c>
      <x:c r="V978" t="e">
        <x:f>IF($A978="","",[1]!thsiFinD("ths_adjustment_nv_fund",V$3,$A978))</x:f>
        <x:v>#NAME?</x:v>
      </x:c>
      <x:c r="W978" t="e">
        <x:f>IF($A978="","",[1]!thsiFinD("ths_adjustment_nv_fund",W$3,$A978))</x:f>
        <x:v>#NAME?</x:v>
      </x:c>
      <x:c r="X978" t="e">
        <x:f>IF($A978="","",[1]!thsiFinD("ths_adjustment_nv_fund",X$3,$A978))</x:f>
        <x:v>#NAME?</x:v>
      </x:c>
      <x:c r="Y978" t="e">
        <x:f>IF($A978="","",[1]!thsiFinD("ths_adjustment_nv_fund",Y$3,$A978))</x:f>
        <x:v>#NAME?</x:v>
      </x:c>
    </x:row>
    <x:row r="979">
      <x:c r="B979" t="e">
        <x:f>IF($A979="","",[1]!thsiFinD("ths_adjustment_nv_fund",B$3,$A979))</x:f>
        <x:v>#NAME?</x:v>
      </x:c>
      <x:c r="C979" t="e">
        <x:f>IF($A979="","",[1]!thsiFinD("ths_adjustment_nv_fund",C$3,$A979))</x:f>
        <x:v>#NAME?</x:v>
      </x:c>
      <x:c r="D979" t="e">
        <x:f>IF($A979="","",[1]!thsiFinD("ths_adjustment_nv_fund",D$3,$A979))</x:f>
        <x:v>#NAME?</x:v>
      </x:c>
      <x:c r="E979" t="e">
        <x:f>IF($A979="","",[1]!thsiFinD("ths_adjustment_nv_fund",E$3,$A979))</x:f>
        <x:v>#NAME?</x:v>
      </x:c>
      <x:c r="F979" t="e">
        <x:f>IF($A979="","",[1]!thsiFinD("ths_adjustment_nv_fund",F$3,$A979))</x:f>
        <x:v>#NAME?</x:v>
      </x:c>
      <x:c r="G979" t="e">
        <x:f>IF($A979="","",[1]!thsiFinD("ths_adjustment_nv_fund",G$3,$A979))</x:f>
        <x:v>#NAME?</x:v>
      </x:c>
      <x:c r="H979" t="e">
        <x:f>IF($A979="","",[1]!thsiFinD("ths_adjustment_nv_fund",H$3,$A979))</x:f>
        <x:v>#NAME?</x:v>
      </x:c>
      <x:c r="I979" t="e">
        <x:f>IF($A979="","",[1]!thsiFinD("ths_adjustment_nv_fund",I$3,$A979))</x:f>
        <x:v>#NAME?</x:v>
      </x:c>
      <x:c r="J979" t="e">
        <x:f>IF($A979="","",[1]!thsiFinD("ths_adjustment_nv_fund",J$3,$A979))</x:f>
        <x:v>#NAME?</x:v>
      </x:c>
      <x:c r="K979" t="e">
        <x:f>IF($A979="","",[1]!thsiFinD("ths_adjustment_nv_fund",K$3,$A979))</x:f>
        <x:v>#NAME?</x:v>
      </x:c>
      <x:c r="L979" t="e">
        <x:f>IF($A979="","",[1]!thsiFinD("ths_adjustment_nv_fund",L$3,$A979))</x:f>
        <x:v>#NAME?</x:v>
      </x:c>
      <x:c r="M979" t="e">
        <x:f>IF($A979="","",[1]!thsiFinD("ths_adjustment_nv_fund",M$3,$A979))</x:f>
        <x:v>#NAME?</x:v>
      </x:c>
      <x:c r="N979" t="e">
        <x:f>IF($A979="","",[1]!thsiFinD("ths_adjustment_nv_fund",N$3,$A979))</x:f>
        <x:v>#NAME?</x:v>
      </x:c>
      <x:c r="O979" t="e">
        <x:f>IF($A979="","",[1]!thsiFinD("ths_adjustment_nv_fund",O$3,$A979))</x:f>
        <x:v>#NAME?</x:v>
      </x:c>
      <x:c r="P979" t="e">
        <x:f>IF($A979="","",[1]!thsiFinD("ths_adjustment_nv_fund",P$3,$A979))</x:f>
        <x:v>#NAME?</x:v>
      </x:c>
      <x:c r="Q979" t="e">
        <x:f>IF($A979="","",[1]!thsiFinD("ths_adjustment_nv_fund",Q$3,$A979))</x:f>
        <x:v>#NAME?</x:v>
      </x:c>
      <x:c r="R979" t="e">
        <x:f>IF($A979="","",[1]!thsiFinD("ths_adjustment_nv_fund",R$3,$A979))</x:f>
        <x:v>#NAME?</x:v>
      </x:c>
      <x:c r="S979" t="e">
        <x:f>IF($A979="","",[1]!thsiFinD("ths_adjustment_nv_fund",S$3,$A979))</x:f>
        <x:v>#NAME?</x:v>
      </x:c>
      <x:c r="T979" t="e">
        <x:f>IF($A979="","",[1]!thsiFinD("ths_adjustment_nv_fund",T$3,$A979))</x:f>
        <x:v>#NAME?</x:v>
      </x:c>
      <x:c r="U979" t="e">
        <x:f>IF($A979="","",[1]!thsiFinD("ths_adjustment_nv_fund",U$3,$A979))</x:f>
        <x:v>#NAME?</x:v>
      </x:c>
      <x:c r="V979" t="e">
        <x:f>IF($A979="","",[1]!thsiFinD("ths_adjustment_nv_fund",V$3,$A979))</x:f>
        <x:v>#NAME?</x:v>
      </x:c>
      <x:c r="W979" t="e">
        <x:f>IF($A979="","",[1]!thsiFinD("ths_adjustment_nv_fund",W$3,$A979))</x:f>
        <x:v>#NAME?</x:v>
      </x:c>
      <x:c r="X979" t="e">
        <x:f>IF($A979="","",[1]!thsiFinD("ths_adjustment_nv_fund",X$3,$A979))</x:f>
        <x:v>#NAME?</x:v>
      </x:c>
      <x:c r="Y979" t="e">
        <x:f>IF($A979="","",[1]!thsiFinD("ths_adjustment_nv_fund",Y$3,$A979))</x:f>
        <x:v>#NAME?</x:v>
      </x:c>
    </x:row>
    <x:row r="980">
      <x:c r="B980" t="e">
        <x:f>IF($A980="","",[1]!thsiFinD("ths_adjustment_nv_fund",B$3,$A980))</x:f>
        <x:v>#NAME?</x:v>
      </x:c>
      <x:c r="C980" t="e">
        <x:f>IF($A980="","",[1]!thsiFinD("ths_adjustment_nv_fund",C$3,$A980))</x:f>
        <x:v>#NAME?</x:v>
      </x:c>
      <x:c r="D980" t="e">
        <x:f>IF($A980="","",[1]!thsiFinD("ths_adjustment_nv_fund",D$3,$A980))</x:f>
        <x:v>#NAME?</x:v>
      </x:c>
      <x:c r="E980" t="e">
        <x:f>IF($A980="","",[1]!thsiFinD("ths_adjustment_nv_fund",E$3,$A980))</x:f>
        <x:v>#NAME?</x:v>
      </x:c>
      <x:c r="F980" t="e">
        <x:f>IF($A980="","",[1]!thsiFinD("ths_adjustment_nv_fund",F$3,$A980))</x:f>
        <x:v>#NAME?</x:v>
      </x:c>
      <x:c r="G980" t="e">
        <x:f>IF($A980="","",[1]!thsiFinD("ths_adjustment_nv_fund",G$3,$A980))</x:f>
        <x:v>#NAME?</x:v>
      </x:c>
      <x:c r="H980" t="e">
        <x:f>IF($A980="","",[1]!thsiFinD("ths_adjustment_nv_fund",H$3,$A980))</x:f>
        <x:v>#NAME?</x:v>
      </x:c>
      <x:c r="I980" t="e">
        <x:f>IF($A980="","",[1]!thsiFinD("ths_adjustment_nv_fund",I$3,$A980))</x:f>
        <x:v>#NAME?</x:v>
      </x:c>
      <x:c r="J980" t="e">
        <x:f>IF($A980="","",[1]!thsiFinD("ths_adjustment_nv_fund",J$3,$A980))</x:f>
        <x:v>#NAME?</x:v>
      </x:c>
      <x:c r="K980" t="e">
        <x:f>IF($A980="","",[1]!thsiFinD("ths_adjustment_nv_fund",K$3,$A980))</x:f>
        <x:v>#NAME?</x:v>
      </x:c>
      <x:c r="L980" t="e">
        <x:f>IF($A980="","",[1]!thsiFinD("ths_adjustment_nv_fund",L$3,$A980))</x:f>
        <x:v>#NAME?</x:v>
      </x:c>
      <x:c r="M980" t="e">
        <x:f>IF($A980="","",[1]!thsiFinD("ths_adjustment_nv_fund",M$3,$A980))</x:f>
        <x:v>#NAME?</x:v>
      </x:c>
      <x:c r="N980" t="e">
        <x:f>IF($A980="","",[1]!thsiFinD("ths_adjustment_nv_fund",N$3,$A980))</x:f>
        <x:v>#NAME?</x:v>
      </x:c>
      <x:c r="O980" t="e">
        <x:f>IF($A980="","",[1]!thsiFinD("ths_adjustment_nv_fund",O$3,$A980))</x:f>
        <x:v>#NAME?</x:v>
      </x:c>
      <x:c r="P980" t="e">
        <x:f>IF($A980="","",[1]!thsiFinD("ths_adjustment_nv_fund",P$3,$A980))</x:f>
        <x:v>#NAME?</x:v>
      </x:c>
      <x:c r="Q980" t="e">
        <x:f>IF($A980="","",[1]!thsiFinD("ths_adjustment_nv_fund",Q$3,$A980))</x:f>
        <x:v>#NAME?</x:v>
      </x:c>
      <x:c r="R980" t="e">
        <x:f>IF($A980="","",[1]!thsiFinD("ths_adjustment_nv_fund",R$3,$A980))</x:f>
        <x:v>#NAME?</x:v>
      </x:c>
      <x:c r="S980" t="e">
        <x:f>IF($A980="","",[1]!thsiFinD("ths_adjustment_nv_fund",S$3,$A980))</x:f>
        <x:v>#NAME?</x:v>
      </x:c>
      <x:c r="T980" t="e">
        <x:f>IF($A980="","",[1]!thsiFinD("ths_adjustment_nv_fund",T$3,$A980))</x:f>
        <x:v>#NAME?</x:v>
      </x:c>
      <x:c r="U980" t="e">
        <x:f>IF($A980="","",[1]!thsiFinD("ths_adjustment_nv_fund",U$3,$A980))</x:f>
        <x:v>#NAME?</x:v>
      </x:c>
      <x:c r="V980" t="e">
        <x:f>IF($A980="","",[1]!thsiFinD("ths_adjustment_nv_fund",V$3,$A980))</x:f>
        <x:v>#NAME?</x:v>
      </x:c>
      <x:c r="W980" t="e">
        <x:f>IF($A980="","",[1]!thsiFinD("ths_adjustment_nv_fund",W$3,$A980))</x:f>
        <x:v>#NAME?</x:v>
      </x:c>
      <x:c r="X980" t="e">
        <x:f>IF($A980="","",[1]!thsiFinD("ths_adjustment_nv_fund",X$3,$A980))</x:f>
        <x:v>#NAME?</x:v>
      </x:c>
      <x:c r="Y980" t="e">
        <x:f>IF($A980="","",[1]!thsiFinD("ths_adjustment_nv_fund",Y$3,$A980))</x:f>
        <x:v>#NAME?</x:v>
      </x:c>
    </x:row>
    <x:row r="981">
      <x:c r="B981" t="e">
        <x:f>IF($A981="","",[1]!thsiFinD("ths_adjustment_nv_fund",B$3,$A981))</x:f>
        <x:v>#NAME?</x:v>
      </x:c>
      <x:c r="C981" t="e">
        <x:f>IF($A981="","",[1]!thsiFinD("ths_adjustment_nv_fund",C$3,$A981))</x:f>
        <x:v>#NAME?</x:v>
      </x:c>
      <x:c r="D981" t="e">
        <x:f>IF($A981="","",[1]!thsiFinD("ths_adjustment_nv_fund",D$3,$A981))</x:f>
        <x:v>#NAME?</x:v>
      </x:c>
      <x:c r="E981" t="e">
        <x:f>IF($A981="","",[1]!thsiFinD("ths_adjustment_nv_fund",E$3,$A981))</x:f>
        <x:v>#NAME?</x:v>
      </x:c>
      <x:c r="F981" t="e">
        <x:f>IF($A981="","",[1]!thsiFinD("ths_adjustment_nv_fund",F$3,$A981))</x:f>
        <x:v>#NAME?</x:v>
      </x:c>
      <x:c r="G981" t="e">
        <x:f>IF($A981="","",[1]!thsiFinD("ths_adjustment_nv_fund",G$3,$A981))</x:f>
        <x:v>#NAME?</x:v>
      </x:c>
      <x:c r="H981" t="e">
        <x:f>IF($A981="","",[1]!thsiFinD("ths_adjustment_nv_fund",H$3,$A981))</x:f>
        <x:v>#NAME?</x:v>
      </x:c>
      <x:c r="I981" t="e">
        <x:f>IF($A981="","",[1]!thsiFinD("ths_adjustment_nv_fund",I$3,$A981))</x:f>
        <x:v>#NAME?</x:v>
      </x:c>
      <x:c r="J981" t="e">
        <x:f>IF($A981="","",[1]!thsiFinD("ths_adjustment_nv_fund",J$3,$A981))</x:f>
        <x:v>#NAME?</x:v>
      </x:c>
      <x:c r="K981" t="e">
        <x:f>IF($A981="","",[1]!thsiFinD("ths_adjustment_nv_fund",K$3,$A981))</x:f>
        <x:v>#NAME?</x:v>
      </x:c>
      <x:c r="L981" t="e">
        <x:f>IF($A981="","",[1]!thsiFinD("ths_adjustment_nv_fund",L$3,$A981))</x:f>
        <x:v>#NAME?</x:v>
      </x:c>
      <x:c r="M981" t="e">
        <x:f>IF($A981="","",[1]!thsiFinD("ths_adjustment_nv_fund",M$3,$A981))</x:f>
        <x:v>#NAME?</x:v>
      </x:c>
      <x:c r="N981" t="e">
        <x:f>IF($A981="","",[1]!thsiFinD("ths_adjustment_nv_fund",N$3,$A981))</x:f>
        <x:v>#NAME?</x:v>
      </x:c>
      <x:c r="O981" t="e">
        <x:f>IF($A981="","",[1]!thsiFinD("ths_adjustment_nv_fund",O$3,$A981))</x:f>
        <x:v>#NAME?</x:v>
      </x:c>
      <x:c r="P981" t="e">
        <x:f>IF($A981="","",[1]!thsiFinD("ths_adjustment_nv_fund",P$3,$A981))</x:f>
        <x:v>#NAME?</x:v>
      </x:c>
      <x:c r="Q981" t="e">
        <x:f>IF($A981="","",[1]!thsiFinD("ths_adjustment_nv_fund",Q$3,$A981))</x:f>
        <x:v>#NAME?</x:v>
      </x:c>
      <x:c r="R981" t="e">
        <x:f>IF($A981="","",[1]!thsiFinD("ths_adjustment_nv_fund",R$3,$A981))</x:f>
        <x:v>#NAME?</x:v>
      </x:c>
      <x:c r="S981" t="e">
        <x:f>IF($A981="","",[1]!thsiFinD("ths_adjustment_nv_fund",S$3,$A981))</x:f>
        <x:v>#NAME?</x:v>
      </x:c>
      <x:c r="T981" t="e">
        <x:f>IF($A981="","",[1]!thsiFinD("ths_adjustment_nv_fund",T$3,$A981))</x:f>
        <x:v>#NAME?</x:v>
      </x:c>
      <x:c r="U981" t="e">
        <x:f>IF($A981="","",[1]!thsiFinD("ths_adjustment_nv_fund",U$3,$A981))</x:f>
        <x:v>#NAME?</x:v>
      </x:c>
      <x:c r="V981" t="e">
        <x:f>IF($A981="","",[1]!thsiFinD("ths_adjustment_nv_fund",V$3,$A981))</x:f>
        <x:v>#NAME?</x:v>
      </x:c>
      <x:c r="W981" t="e">
        <x:f>IF($A981="","",[1]!thsiFinD("ths_adjustment_nv_fund",W$3,$A981))</x:f>
        <x:v>#NAME?</x:v>
      </x:c>
      <x:c r="X981" t="e">
        <x:f>IF($A981="","",[1]!thsiFinD("ths_adjustment_nv_fund",X$3,$A981))</x:f>
        <x:v>#NAME?</x:v>
      </x:c>
      <x:c r="Y981" t="e">
        <x:f>IF($A981="","",[1]!thsiFinD("ths_adjustment_nv_fund",Y$3,$A981))</x:f>
        <x:v>#NAME?</x:v>
      </x:c>
    </x:row>
    <x:row r="982">
      <x:c r="B982" t="e">
        <x:f>IF($A982="","",[1]!thsiFinD("ths_adjustment_nv_fund",B$3,$A982))</x:f>
        <x:v>#NAME?</x:v>
      </x:c>
      <x:c r="C982" t="e">
        <x:f>IF($A982="","",[1]!thsiFinD("ths_adjustment_nv_fund",C$3,$A982))</x:f>
        <x:v>#NAME?</x:v>
      </x:c>
      <x:c r="D982" t="e">
        <x:f>IF($A982="","",[1]!thsiFinD("ths_adjustment_nv_fund",D$3,$A982))</x:f>
        <x:v>#NAME?</x:v>
      </x:c>
      <x:c r="E982" t="e">
        <x:f>IF($A982="","",[1]!thsiFinD("ths_adjustment_nv_fund",E$3,$A982))</x:f>
        <x:v>#NAME?</x:v>
      </x:c>
      <x:c r="F982" t="e">
        <x:f>IF($A982="","",[1]!thsiFinD("ths_adjustment_nv_fund",F$3,$A982))</x:f>
        <x:v>#NAME?</x:v>
      </x:c>
      <x:c r="G982" t="e">
        <x:f>IF($A982="","",[1]!thsiFinD("ths_adjustment_nv_fund",G$3,$A982))</x:f>
        <x:v>#NAME?</x:v>
      </x:c>
      <x:c r="H982" t="e">
        <x:f>IF($A982="","",[1]!thsiFinD("ths_adjustment_nv_fund",H$3,$A982))</x:f>
        <x:v>#NAME?</x:v>
      </x:c>
      <x:c r="I982" t="e">
        <x:f>IF($A982="","",[1]!thsiFinD("ths_adjustment_nv_fund",I$3,$A982))</x:f>
        <x:v>#NAME?</x:v>
      </x:c>
      <x:c r="J982" t="e">
        <x:f>IF($A982="","",[1]!thsiFinD("ths_adjustment_nv_fund",J$3,$A982))</x:f>
        <x:v>#NAME?</x:v>
      </x:c>
      <x:c r="K982" t="e">
        <x:f>IF($A982="","",[1]!thsiFinD("ths_adjustment_nv_fund",K$3,$A982))</x:f>
        <x:v>#NAME?</x:v>
      </x:c>
      <x:c r="L982" t="e">
        <x:f>IF($A982="","",[1]!thsiFinD("ths_adjustment_nv_fund",L$3,$A982))</x:f>
        <x:v>#NAME?</x:v>
      </x:c>
      <x:c r="M982" t="e">
        <x:f>IF($A982="","",[1]!thsiFinD("ths_adjustment_nv_fund",M$3,$A982))</x:f>
        <x:v>#NAME?</x:v>
      </x:c>
      <x:c r="N982" t="e">
        <x:f>IF($A982="","",[1]!thsiFinD("ths_adjustment_nv_fund",N$3,$A982))</x:f>
        <x:v>#NAME?</x:v>
      </x:c>
      <x:c r="O982" t="e">
        <x:f>IF($A982="","",[1]!thsiFinD("ths_adjustment_nv_fund",O$3,$A982))</x:f>
        <x:v>#NAME?</x:v>
      </x:c>
      <x:c r="P982" t="e">
        <x:f>IF($A982="","",[1]!thsiFinD("ths_adjustment_nv_fund",P$3,$A982))</x:f>
        <x:v>#NAME?</x:v>
      </x:c>
      <x:c r="Q982" t="e">
        <x:f>IF($A982="","",[1]!thsiFinD("ths_adjustment_nv_fund",Q$3,$A982))</x:f>
        <x:v>#NAME?</x:v>
      </x:c>
      <x:c r="R982" t="e">
        <x:f>IF($A982="","",[1]!thsiFinD("ths_adjustment_nv_fund",R$3,$A982))</x:f>
        <x:v>#NAME?</x:v>
      </x:c>
      <x:c r="S982" t="e">
        <x:f>IF($A982="","",[1]!thsiFinD("ths_adjustment_nv_fund",S$3,$A982))</x:f>
        <x:v>#NAME?</x:v>
      </x:c>
      <x:c r="T982" t="e">
        <x:f>IF($A982="","",[1]!thsiFinD("ths_adjustment_nv_fund",T$3,$A982))</x:f>
        <x:v>#NAME?</x:v>
      </x:c>
      <x:c r="U982" t="e">
        <x:f>IF($A982="","",[1]!thsiFinD("ths_adjustment_nv_fund",U$3,$A982))</x:f>
        <x:v>#NAME?</x:v>
      </x:c>
      <x:c r="V982" t="e">
        <x:f>IF($A982="","",[1]!thsiFinD("ths_adjustment_nv_fund",V$3,$A982))</x:f>
        <x:v>#NAME?</x:v>
      </x:c>
      <x:c r="W982" t="e">
        <x:f>IF($A982="","",[1]!thsiFinD("ths_adjustment_nv_fund",W$3,$A982))</x:f>
        <x:v>#NAME?</x:v>
      </x:c>
      <x:c r="X982" t="e">
        <x:f>IF($A982="","",[1]!thsiFinD("ths_adjustment_nv_fund",X$3,$A982))</x:f>
        <x:v>#NAME?</x:v>
      </x:c>
      <x:c r="Y982" t="e">
        <x:f>IF($A982="","",[1]!thsiFinD("ths_adjustment_nv_fund",Y$3,$A982))</x:f>
        <x:v>#NAME?</x:v>
      </x:c>
    </x:row>
    <x:row r="983">
      <x:c r="B983" t="e">
        <x:f>IF($A983="","",[1]!thsiFinD("ths_adjustment_nv_fund",B$3,$A983))</x:f>
        <x:v>#NAME?</x:v>
      </x:c>
      <x:c r="C983" t="e">
        <x:f>IF($A983="","",[1]!thsiFinD("ths_adjustment_nv_fund",C$3,$A983))</x:f>
        <x:v>#NAME?</x:v>
      </x:c>
      <x:c r="D983" t="e">
        <x:f>IF($A983="","",[1]!thsiFinD("ths_adjustment_nv_fund",D$3,$A983))</x:f>
        <x:v>#NAME?</x:v>
      </x:c>
      <x:c r="E983" t="e">
        <x:f>IF($A983="","",[1]!thsiFinD("ths_adjustment_nv_fund",E$3,$A983))</x:f>
        <x:v>#NAME?</x:v>
      </x:c>
      <x:c r="F983" t="e">
        <x:f>IF($A983="","",[1]!thsiFinD("ths_adjustment_nv_fund",F$3,$A983))</x:f>
        <x:v>#NAME?</x:v>
      </x:c>
      <x:c r="G983" t="e">
        <x:f>IF($A983="","",[1]!thsiFinD("ths_adjustment_nv_fund",G$3,$A983))</x:f>
        <x:v>#NAME?</x:v>
      </x:c>
      <x:c r="H983" t="e">
        <x:f>IF($A983="","",[1]!thsiFinD("ths_adjustment_nv_fund",H$3,$A983))</x:f>
        <x:v>#NAME?</x:v>
      </x:c>
      <x:c r="I983" t="e">
        <x:f>IF($A983="","",[1]!thsiFinD("ths_adjustment_nv_fund",I$3,$A983))</x:f>
        <x:v>#NAME?</x:v>
      </x:c>
      <x:c r="J983" t="e">
        <x:f>IF($A983="","",[1]!thsiFinD("ths_adjustment_nv_fund",J$3,$A983))</x:f>
        <x:v>#NAME?</x:v>
      </x:c>
      <x:c r="K983" t="e">
        <x:f>IF($A983="","",[1]!thsiFinD("ths_adjustment_nv_fund",K$3,$A983))</x:f>
        <x:v>#NAME?</x:v>
      </x:c>
      <x:c r="L983" t="e">
        <x:f>IF($A983="","",[1]!thsiFinD("ths_adjustment_nv_fund",L$3,$A983))</x:f>
        <x:v>#NAME?</x:v>
      </x:c>
      <x:c r="M983" t="e">
        <x:f>IF($A983="","",[1]!thsiFinD("ths_adjustment_nv_fund",M$3,$A983))</x:f>
        <x:v>#NAME?</x:v>
      </x:c>
      <x:c r="N983" t="e">
        <x:f>IF($A983="","",[1]!thsiFinD("ths_adjustment_nv_fund",N$3,$A983))</x:f>
        <x:v>#NAME?</x:v>
      </x:c>
      <x:c r="O983" t="e">
        <x:f>IF($A983="","",[1]!thsiFinD("ths_adjustment_nv_fund",O$3,$A983))</x:f>
        <x:v>#NAME?</x:v>
      </x:c>
      <x:c r="P983" t="e">
        <x:f>IF($A983="","",[1]!thsiFinD("ths_adjustment_nv_fund",P$3,$A983))</x:f>
        <x:v>#NAME?</x:v>
      </x:c>
      <x:c r="Q983" t="e">
        <x:f>IF($A983="","",[1]!thsiFinD("ths_adjustment_nv_fund",Q$3,$A983))</x:f>
        <x:v>#NAME?</x:v>
      </x:c>
      <x:c r="R983" t="e">
        <x:f>IF($A983="","",[1]!thsiFinD("ths_adjustment_nv_fund",R$3,$A983))</x:f>
        <x:v>#NAME?</x:v>
      </x:c>
      <x:c r="S983" t="e">
        <x:f>IF($A983="","",[1]!thsiFinD("ths_adjustment_nv_fund",S$3,$A983))</x:f>
        <x:v>#NAME?</x:v>
      </x:c>
      <x:c r="T983" t="e">
        <x:f>IF($A983="","",[1]!thsiFinD("ths_adjustment_nv_fund",T$3,$A983))</x:f>
        <x:v>#NAME?</x:v>
      </x:c>
      <x:c r="U983" t="e">
        <x:f>IF($A983="","",[1]!thsiFinD("ths_adjustment_nv_fund",U$3,$A983))</x:f>
        <x:v>#NAME?</x:v>
      </x:c>
      <x:c r="V983" t="e">
        <x:f>IF($A983="","",[1]!thsiFinD("ths_adjustment_nv_fund",V$3,$A983))</x:f>
        <x:v>#NAME?</x:v>
      </x:c>
      <x:c r="W983" t="e">
        <x:f>IF($A983="","",[1]!thsiFinD("ths_adjustment_nv_fund",W$3,$A983))</x:f>
        <x:v>#NAME?</x:v>
      </x:c>
      <x:c r="X983" t="e">
        <x:f>IF($A983="","",[1]!thsiFinD("ths_adjustment_nv_fund",X$3,$A983))</x:f>
        <x:v>#NAME?</x:v>
      </x:c>
      <x:c r="Y983" t="e">
        <x:f>IF($A983="","",[1]!thsiFinD("ths_adjustment_nv_fund",Y$3,$A983))</x:f>
        <x:v>#NAME?</x:v>
      </x:c>
    </x:row>
    <x:row r="984">
      <x:c r="B984" t="e">
        <x:f>IF($A984="","",[1]!thsiFinD("ths_adjustment_nv_fund",B$3,$A984))</x:f>
        <x:v>#NAME?</x:v>
      </x:c>
      <x:c r="C984" t="e">
        <x:f>IF($A984="","",[1]!thsiFinD("ths_adjustment_nv_fund",C$3,$A984))</x:f>
        <x:v>#NAME?</x:v>
      </x:c>
      <x:c r="D984" t="e">
        <x:f>IF($A984="","",[1]!thsiFinD("ths_adjustment_nv_fund",D$3,$A984))</x:f>
        <x:v>#NAME?</x:v>
      </x:c>
      <x:c r="E984" t="e">
        <x:f>IF($A984="","",[1]!thsiFinD("ths_adjustment_nv_fund",E$3,$A984))</x:f>
        <x:v>#NAME?</x:v>
      </x:c>
      <x:c r="F984" t="e">
        <x:f>IF($A984="","",[1]!thsiFinD("ths_adjustment_nv_fund",F$3,$A984))</x:f>
        <x:v>#NAME?</x:v>
      </x:c>
      <x:c r="G984" t="e">
        <x:f>IF($A984="","",[1]!thsiFinD("ths_adjustment_nv_fund",G$3,$A984))</x:f>
        <x:v>#NAME?</x:v>
      </x:c>
      <x:c r="H984" t="e">
        <x:f>IF($A984="","",[1]!thsiFinD("ths_adjustment_nv_fund",H$3,$A984))</x:f>
        <x:v>#NAME?</x:v>
      </x:c>
      <x:c r="I984" t="e">
        <x:f>IF($A984="","",[1]!thsiFinD("ths_adjustment_nv_fund",I$3,$A984))</x:f>
        <x:v>#NAME?</x:v>
      </x:c>
      <x:c r="J984" t="e">
        <x:f>IF($A984="","",[1]!thsiFinD("ths_adjustment_nv_fund",J$3,$A984))</x:f>
        <x:v>#NAME?</x:v>
      </x:c>
      <x:c r="K984" t="e">
        <x:f>IF($A984="","",[1]!thsiFinD("ths_adjustment_nv_fund",K$3,$A984))</x:f>
        <x:v>#NAME?</x:v>
      </x:c>
      <x:c r="L984" t="e">
        <x:f>IF($A984="","",[1]!thsiFinD("ths_adjustment_nv_fund",L$3,$A984))</x:f>
        <x:v>#NAME?</x:v>
      </x:c>
      <x:c r="M984" t="e">
        <x:f>IF($A984="","",[1]!thsiFinD("ths_adjustment_nv_fund",M$3,$A984))</x:f>
        <x:v>#NAME?</x:v>
      </x:c>
      <x:c r="N984" t="e">
        <x:f>IF($A984="","",[1]!thsiFinD("ths_adjustment_nv_fund",N$3,$A984))</x:f>
        <x:v>#NAME?</x:v>
      </x:c>
      <x:c r="O984" t="e">
        <x:f>IF($A984="","",[1]!thsiFinD("ths_adjustment_nv_fund",O$3,$A984))</x:f>
        <x:v>#NAME?</x:v>
      </x:c>
      <x:c r="P984" t="e">
        <x:f>IF($A984="","",[1]!thsiFinD("ths_adjustment_nv_fund",P$3,$A984))</x:f>
        <x:v>#NAME?</x:v>
      </x:c>
      <x:c r="Q984" t="e">
        <x:f>IF($A984="","",[1]!thsiFinD("ths_adjustment_nv_fund",Q$3,$A984))</x:f>
        <x:v>#NAME?</x:v>
      </x:c>
      <x:c r="R984" t="e">
        <x:f>IF($A984="","",[1]!thsiFinD("ths_adjustment_nv_fund",R$3,$A984))</x:f>
        <x:v>#NAME?</x:v>
      </x:c>
      <x:c r="S984" t="e">
        <x:f>IF($A984="","",[1]!thsiFinD("ths_adjustment_nv_fund",S$3,$A984))</x:f>
        <x:v>#NAME?</x:v>
      </x:c>
      <x:c r="T984" t="e">
        <x:f>IF($A984="","",[1]!thsiFinD("ths_adjustment_nv_fund",T$3,$A984))</x:f>
        <x:v>#NAME?</x:v>
      </x:c>
      <x:c r="U984" t="e">
        <x:f>IF($A984="","",[1]!thsiFinD("ths_adjustment_nv_fund",U$3,$A984))</x:f>
        <x:v>#NAME?</x:v>
      </x:c>
      <x:c r="V984" t="e">
        <x:f>IF($A984="","",[1]!thsiFinD("ths_adjustment_nv_fund",V$3,$A984))</x:f>
        <x:v>#NAME?</x:v>
      </x:c>
      <x:c r="W984" t="e">
        <x:f>IF($A984="","",[1]!thsiFinD("ths_adjustment_nv_fund",W$3,$A984))</x:f>
        <x:v>#NAME?</x:v>
      </x:c>
      <x:c r="X984" t="e">
        <x:f>IF($A984="","",[1]!thsiFinD("ths_adjustment_nv_fund",X$3,$A984))</x:f>
        <x:v>#NAME?</x:v>
      </x:c>
      <x:c r="Y984" t="e">
        <x:f>IF($A984="","",[1]!thsiFinD("ths_adjustment_nv_fund",Y$3,$A984))</x:f>
        <x:v>#NAME?</x:v>
      </x:c>
    </x:row>
    <x:row r="985">
      <x:c r="B985" t="e">
        <x:f>IF($A985="","",[1]!thsiFinD("ths_adjustment_nv_fund",B$3,$A985))</x:f>
        <x:v>#NAME?</x:v>
      </x:c>
      <x:c r="C985" t="e">
        <x:f>IF($A985="","",[1]!thsiFinD("ths_adjustment_nv_fund",C$3,$A985))</x:f>
        <x:v>#NAME?</x:v>
      </x:c>
      <x:c r="D985" t="e">
        <x:f>IF($A985="","",[1]!thsiFinD("ths_adjustment_nv_fund",D$3,$A985))</x:f>
        <x:v>#NAME?</x:v>
      </x:c>
      <x:c r="E985" t="e">
        <x:f>IF($A985="","",[1]!thsiFinD("ths_adjustment_nv_fund",E$3,$A985))</x:f>
        <x:v>#NAME?</x:v>
      </x:c>
      <x:c r="F985" t="e">
        <x:f>IF($A985="","",[1]!thsiFinD("ths_adjustment_nv_fund",F$3,$A985))</x:f>
        <x:v>#NAME?</x:v>
      </x:c>
      <x:c r="G985" t="e">
        <x:f>IF($A985="","",[1]!thsiFinD("ths_adjustment_nv_fund",G$3,$A985))</x:f>
        <x:v>#NAME?</x:v>
      </x:c>
      <x:c r="H985" t="e">
        <x:f>IF($A985="","",[1]!thsiFinD("ths_adjustment_nv_fund",H$3,$A985))</x:f>
        <x:v>#NAME?</x:v>
      </x:c>
      <x:c r="I985" t="e">
        <x:f>IF($A985="","",[1]!thsiFinD("ths_adjustment_nv_fund",I$3,$A985))</x:f>
        <x:v>#NAME?</x:v>
      </x:c>
      <x:c r="J985" t="e">
        <x:f>IF($A985="","",[1]!thsiFinD("ths_adjustment_nv_fund",J$3,$A985))</x:f>
        <x:v>#NAME?</x:v>
      </x:c>
      <x:c r="K985" t="e">
        <x:f>IF($A985="","",[1]!thsiFinD("ths_adjustment_nv_fund",K$3,$A985))</x:f>
        <x:v>#NAME?</x:v>
      </x:c>
      <x:c r="L985" t="e">
        <x:f>IF($A985="","",[1]!thsiFinD("ths_adjustment_nv_fund",L$3,$A985))</x:f>
        <x:v>#NAME?</x:v>
      </x:c>
      <x:c r="M985" t="e">
        <x:f>IF($A985="","",[1]!thsiFinD("ths_adjustment_nv_fund",M$3,$A985))</x:f>
        <x:v>#NAME?</x:v>
      </x:c>
      <x:c r="N985" t="e">
        <x:f>IF($A985="","",[1]!thsiFinD("ths_adjustment_nv_fund",N$3,$A985))</x:f>
        <x:v>#NAME?</x:v>
      </x:c>
      <x:c r="O985" t="e">
        <x:f>IF($A985="","",[1]!thsiFinD("ths_adjustment_nv_fund",O$3,$A985))</x:f>
        <x:v>#NAME?</x:v>
      </x:c>
      <x:c r="P985" t="e">
        <x:f>IF($A985="","",[1]!thsiFinD("ths_adjustment_nv_fund",P$3,$A985))</x:f>
        <x:v>#NAME?</x:v>
      </x:c>
      <x:c r="Q985" t="e">
        <x:f>IF($A985="","",[1]!thsiFinD("ths_adjustment_nv_fund",Q$3,$A985))</x:f>
        <x:v>#NAME?</x:v>
      </x:c>
      <x:c r="R985" t="e">
        <x:f>IF($A985="","",[1]!thsiFinD("ths_adjustment_nv_fund",R$3,$A985))</x:f>
        <x:v>#NAME?</x:v>
      </x:c>
      <x:c r="S985" t="e">
        <x:f>IF($A985="","",[1]!thsiFinD("ths_adjustment_nv_fund",S$3,$A985))</x:f>
        <x:v>#NAME?</x:v>
      </x:c>
      <x:c r="T985" t="e">
        <x:f>IF($A985="","",[1]!thsiFinD("ths_adjustment_nv_fund",T$3,$A985))</x:f>
        <x:v>#NAME?</x:v>
      </x:c>
      <x:c r="U985" t="e">
        <x:f>IF($A985="","",[1]!thsiFinD("ths_adjustment_nv_fund",U$3,$A985))</x:f>
        <x:v>#NAME?</x:v>
      </x:c>
      <x:c r="V985" t="e">
        <x:f>IF($A985="","",[1]!thsiFinD("ths_adjustment_nv_fund",V$3,$A985))</x:f>
        <x:v>#NAME?</x:v>
      </x:c>
      <x:c r="W985" t="e">
        <x:f>IF($A985="","",[1]!thsiFinD("ths_adjustment_nv_fund",W$3,$A985))</x:f>
        <x:v>#NAME?</x:v>
      </x:c>
      <x:c r="X985" t="e">
        <x:f>IF($A985="","",[1]!thsiFinD("ths_adjustment_nv_fund",X$3,$A985))</x:f>
        <x:v>#NAME?</x:v>
      </x:c>
      <x:c r="Y985" t="e">
        <x:f>IF($A985="","",[1]!thsiFinD("ths_adjustment_nv_fund",Y$3,$A985))</x:f>
        <x:v>#NAME?</x:v>
      </x:c>
    </x:row>
    <x:row r="986">
      <x:c r="B986" t="e">
        <x:f>IF($A986="","",[1]!thsiFinD("ths_adjustment_nv_fund",B$3,$A986))</x:f>
        <x:v>#NAME?</x:v>
      </x:c>
      <x:c r="C986" t="e">
        <x:f>IF($A986="","",[1]!thsiFinD("ths_adjustment_nv_fund",C$3,$A986))</x:f>
        <x:v>#NAME?</x:v>
      </x:c>
      <x:c r="D986" t="e">
        <x:f>IF($A986="","",[1]!thsiFinD("ths_adjustment_nv_fund",D$3,$A986))</x:f>
        <x:v>#NAME?</x:v>
      </x:c>
      <x:c r="E986" t="e">
        <x:f>IF($A986="","",[1]!thsiFinD("ths_adjustment_nv_fund",E$3,$A986))</x:f>
        <x:v>#NAME?</x:v>
      </x:c>
      <x:c r="F986" t="e">
        <x:f>IF($A986="","",[1]!thsiFinD("ths_adjustment_nv_fund",F$3,$A986))</x:f>
        <x:v>#NAME?</x:v>
      </x:c>
      <x:c r="G986" t="e">
        <x:f>IF($A986="","",[1]!thsiFinD("ths_adjustment_nv_fund",G$3,$A986))</x:f>
        <x:v>#NAME?</x:v>
      </x:c>
      <x:c r="H986" t="e">
        <x:f>IF($A986="","",[1]!thsiFinD("ths_adjustment_nv_fund",H$3,$A986))</x:f>
        <x:v>#NAME?</x:v>
      </x:c>
      <x:c r="I986" t="e">
        <x:f>IF($A986="","",[1]!thsiFinD("ths_adjustment_nv_fund",I$3,$A986))</x:f>
        <x:v>#NAME?</x:v>
      </x:c>
      <x:c r="J986" t="e">
        <x:f>IF($A986="","",[1]!thsiFinD("ths_adjustment_nv_fund",J$3,$A986))</x:f>
        <x:v>#NAME?</x:v>
      </x:c>
      <x:c r="K986" t="e">
        <x:f>IF($A986="","",[1]!thsiFinD("ths_adjustment_nv_fund",K$3,$A986))</x:f>
        <x:v>#NAME?</x:v>
      </x:c>
      <x:c r="L986" t="e">
        <x:f>IF($A986="","",[1]!thsiFinD("ths_adjustment_nv_fund",L$3,$A986))</x:f>
        <x:v>#NAME?</x:v>
      </x:c>
      <x:c r="M986" t="e">
        <x:f>IF($A986="","",[1]!thsiFinD("ths_adjustment_nv_fund",M$3,$A986))</x:f>
        <x:v>#NAME?</x:v>
      </x:c>
      <x:c r="N986" t="e">
        <x:f>IF($A986="","",[1]!thsiFinD("ths_adjustment_nv_fund",N$3,$A986))</x:f>
        <x:v>#NAME?</x:v>
      </x:c>
      <x:c r="O986" t="e">
        <x:f>IF($A986="","",[1]!thsiFinD("ths_adjustment_nv_fund",O$3,$A986))</x:f>
        <x:v>#NAME?</x:v>
      </x:c>
      <x:c r="P986" t="e">
        <x:f>IF($A986="","",[1]!thsiFinD("ths_adjustment_nv_fund",P$3,$A986))</x:f>
        <x:v>#NAME?</x:v>
      </x:c>
      <x:c r="Q986" t="e">
        <x:f>IF($A986="","",[1]!thsiFinD("ths_adjustment_nv_fund",Q$3,$A986))</x:f>
        <x:v>#NAME?</x:v>
      </x:c>
      <x:c r="R986" t="e">
        <x:f>IF($A986="","",[1]!thsiFinD("ths_adjustment_nv_fund",R$3,$A986))</x:f>
        <x:v>#NAME?</x:v>
      </x:c>
      <x:c r="S986" t="e">
        <x:f>IF($A986="","",[1]!thsiFinD("ths_adjustment_nv_fund",S$3,$A986))</x:f>
        <x:v>#NAME?</x:v>
      </x:c>
      <x:c r="T986" t="e">
        <x:f>IF($A986="","",[1]!thsiFinD("ths_adjustment_nv_fund",T$3,$A986))</x:f>
        <x:v>#NAME?</x:v>
      </x:c>
      <x:c r="U986" t="e">
        <x:f>IF($A986="","",[1]!thsiFinD("ths_adjustment_nv_fund",U$3,$A986))</x:f>
        <x:v>#NAME?</x:v>
      </x:c>
      <x:c r="V986" t="e">
        <x:f>IF($A986="","",[1]!thsiFinD("ths_adjustment_nv_fund",V$3,$A986))</x:f>
        <x:v>#NAME?</x:v>
      </x:c>
      <x:c r="W986" t="e">
        <x:f>IF($A986="","",[1]!thsiFinD("ths_adjustment_nv_fund",W$3,$A986))</x:f>
        <x:v>#NAME?</x:v>
      </x:c>
      <x:c r="X986" t="e">
        <x:f>IF($A986="","",[1]!thsiFinD("ths_adjustment_nv_fund",X$3,$A986))</x:f>
        <x:v>#NAME?</x:v>
      </x:c>
      <x:c r="Y986" t="e">
        <x:f>IF($A986="","",[1]!thsiFinD("ths_adjustment_nv_fund",Y$3,$A986))</x:f>
        <x:v>#NAME?</x:v>
      </x:c>
    </x:row>
    <x:row r="987">
      <x:c r="B987" t="e">
        <x:f>IF($A987="","",[1]!thsiFinD("ths_adjustment_nv_fund",B$3,$A987))</x:f>
        <x:v>#NAME?</x:v>
      </x:c>
      <x:c r="C987" t="e">
        <x:f>IF($A987="","",[1]!thsiFinD("ths_adjustment_nv_fund",C$3,$A987))</x:f>
        <x:v>#NAME?</x:v>
      </x:c>
      <x:c r="D987" t="e">
        <x:f>IF($A987="","",[1]!thsiFinD("ths_adjustment_nv_fund",D$3,$A987))</x:f>
        <x:v>#NAME?</x:v>
      </x:c>
      <x:c r="E987" t="e">
        <x:f>IF($A987="","",[1]!thsiFinD("ths_adjustment_nv_fund",E$3,$A987))</x:f>
        <x:v>#NAME?</x:v>
      </x:c>
      <x:c r="F987" t="e">
        <x:f>IF($A987="","",[1]!thsiFinD("ths_adjustment_nv_fund",F$3,$A987))</x:f>
        <x:v>#NAME?</x:v>
      </x:c>
      <x:c r="G987" t="e">
        <x:f>IF($A987="","",[1]!thsiFinD("ths_adjustment_nv_fund",G$3,$A987))</x:f>
        <x:v>#NAME?</x:v>
      </x:c>
      <x:c r="H987" t="e">
        <x:f>IF($A987="","",[1]!thsiFinD("ths_adjustment_nv_fund",H$3,$A987))</x:f>
        <x:v>#NAME?</x:v>
      </x:c>
      <x:c r="I987" t="e">
        <x:f>IF($A987="","",[1]!thsiFinD("ths_adjustment_nv_fund",I$3,$A987))</x:f>
        <x:v>#NAME?</x:v>
      </x:c>
      <x:c r="J987" t="e">
        <x:f>IF($A987="","",[1]!thsiFinD("ths_adjustment_nv_fund",J$3,$A987))</x:f>
        <x:v>#NAME?</x:v>
      </x:c>
      <x:c r="K987" t="e">
        <x:f>IF($A987="","",[1]!thsiFinD("ths_adjustment_nv_fund",K$3,$A987))</x:f>
        <x:v>#NAME?</x:v>
      </x:c>
      <x:c r="L987" t="e">
        <x:f>IF($A987="","",[1]!thsiFinD("ths_adjustment_nv_fund",L$3,$A987))</x:f>
        <x:v>#NAME?</x:v>
      </x:c>
      <x:c r="M987" t="e">
        <x:f>IF($A987="","",[1]!thsiFinD("ths_adjustment_nv_fund",M$3,$A987))</x:f>
        <x:v>#NAME?</x:v>
      </x:c>
      <x:c r="N987" t="e">
        <x:f>IF($A987="","",[1]!thsiFinD("ths_adjustment_nv_fund",N$3,$A987))</x:f>
        <x:v>#NAME?</x:v>
      </x:c>
      <x:c r="O987" t="e">
        <x:f>IF($A987="","",[1]!thsiFinD("ths_adjustment_nv_fund",O$3,$A987))</x:f>
        <x:v>#NAME?</x:v>
      </x:c>
      <x:c r="P987" t="e">
        <x:f>IF($A987="","",[1]!thsiFinD("ths_adjustment_nv_fund",P$3,$A987))</x:f>
        <x:v>#NAME?</x:v>
      </x:c>
      <x:c r="Q987" t="e">
        <x:f>IF($A987="","",[1]!thsiFinD("ths_adjustment_nv_fund",Q$3,$A987))</x:f>
        <x:v>#NAME?</x:v>
      </x:c>
      <x:c r="R987" t="e">
        <x:f>IF($A987="","",[1]!thsiFinD("ths_adjustment_nv_fund",R$3,$A987))</x:f>
        <x:v>#NAME?</x:v>
      </x:c>
      <x:c r="S987" t="e">
        <x:f>IF($A987="","",[1]!thsiFinD("ths_adjustment_nv_fund",S$3,$A987))</x:f>
        <x:v>#NAME?</x:v>
      </x:c>
      <x:c r="T987" t="e">
        <x:f>IF($A987="","",[1]!thsiFinD("ths_adjustment_nv_fund",T$3,$A987))</x:f>
        <x:v>#NAME?</x:v>
      </x:c>
      <x:c r="U987" t="e">
        <x:f>IF($A987="","",[1]!thsiFinD("ths_adjustment_nv_fund",U$3,$A987))</x:f>
        <x:v>#NAME?</x:v>
      </x:c>
      <x:c r="V987" t="e">
        <x:f>IF($A987="","",[1]!thsiFinD("ths_adjustment_nv_fund",V$3,$A987))</x:f>
        <x:v>#NAME?</x:v>
      </x:c>
      <x:c r="W987" t="e">
        <x:f>IF($A987="","",[1]!thsiFinD("ths_adjustment_nv_fund",W$3,$A987))</x:f>
        <x:v>#NAME?</x:v>
      </x:c>
      <x:c r="X987" t="e">
        <x:f>IF($A987="","",[1]!thsiFinD("ths_adjustment_nv_fund",X$3,$A987))</x:f>
        <x:v>#NAME?</x:v>
      </x:c>
      <x:c r="Y987" t="e">
        <x:f>IF($A987="","",[1]!thsiFinD("ths_adjustment_nv_fund",Y$3,$A987))</x:f>
        <x:v>#NAME?</x:v>
      </x:c>
    </x:row>
    <x:row r="988">
      <x:c r="B988" t="e">
        <x:f>IF($A988="","",[1]!thsiFinD("ths_adjustment_nv_fund",B$3,$A988))</x:f>
        <x:v>#NAME?</x:v>
      </x:c>
      <x:c r="C988" t="e">
        <x:f>IF($A988="","",[1]!thsiFinD("ths_adjustment_nv_fund",C$3,$A988))</x:f>
        <x:v>#NAME?</x:v>
      </x:c>
      <x:c r="D988" t="e">
        <x:f>IF($A988="","",[1]!thsiFinD("ths_adjustment_nv_fund",D$3,$A988))</x:f>
        <x:v>#NAME?</x:v>
      </x:c>
      <x:c r="E988" t="e">
        <x:f>IF($A988="","",[1]!thsiFinD("ths_adjustment_nv_fund",E$3,$A988))</x:f>
        <x:v>#NAME?</x:v>
      </x:c>
      <x:c r="F988" t="e">
        <x:f>IF($A988="","",[1]!thsiFinD("ths_adjustment_nv_fund",F$3,$A988))</x:f>
        <x:v>#NAME?</x:v>
      </x:c>
      <x:c r="G988" t="e">
        <x:f>IF($A988="","",[1]!thsiFinD("ths_adjustment_nv_fund",G$3,$A988))</x:f>
        <x:v>#NAME?</x:v>
      </x:c>
      <x:c r="H988" t="e">
        <x:f>IF($A988="","",[1]!thsiFinD("ths_adjustment_nv_fund",H$3,$A988))</x:f>
        <x:v>#NAME?</x:v>
      </x:c>
      <x:c r="I988" t="e">
        <x:f>IF($A988="","",[1]!thsiFinD("ths_adjustment_nv_fund",I$3,$A988))</x:f>
        <x:v>#NAME?</x:v>
      </x:c>
      <x:c r="J988" t="e">
        <x:f>IF($A988="","",[1]!thsiFinD("ths_adjustment_nv_fund",J$3,$A988))</x:f>
        <x:v>#NAME?</x:v>
      </x:c>
      <x:c r="K988" t="e">
        <x:f>IF($A988="","",[1]!thsiFinD("ths_adjustment_nv_fund",K$3,$A988))</x:f>
        <x:v>#NAME?</x:v>
      </x:c>
      <x:c r="L988" t="e">
        <x:f>IF($A988="","",[1]!thsiFinD("ths_adjustment_nv_fund",L$3,$A988))</x:f>
        <x:v>#NAME?</x:v>
      </x:c>
      <x:c r="M988" t="e">
        <x:f>IF($A988="","",[1]!thsiFinD("ths_adjustment_nv_fund",M$3,$A988))</x:f>
        <x:v>#NAME?</x:v>
      </x:c>
      <x:c r="N988" t="e">
        <x:f>IF($A988="","",[1]!thsiFinD("ths_adjustment_nv_fund",N$3,$A988))</x:f>
        <x:v>#NAME?</x:v>
      </x:c>
      <x:c r="O988" t="e">
        <x:f>IF($A988="","",[1]!thsiFinD("ths_adjustment_nv_fund",O$3,$A988))</x:f>
        <x:v>#NAME?</x:v>
      </x:c>
      <x:c r="P988" t="e">
        <x:f>IF($A988="","",[1]!thsiFinD("ths_adjustment_nv_fund",P$3,$A988))</x:f>
        <x:v>#NAME?</x:v>
      </x:c>
      <x:c r="Q988" t="e">
        <x:f>IF($A988="","",[1]!thsiFinD("ths_adjustment_nv_fund",Q$3,$A988))</x:f>
        <x:v>#NAME?</x:v>
      </x:c>
      <x:c r="R988" t="e">
        <x:f>IF($A988="","",[1]!thsiFinD("ths_adjustment_nv_fund",R$3,$A988))</x:f>
        <x:v>#NAME?</x:v>
      </x:c>
      <x:c r="S988" t="e">
        <x:f>IF($A988="","",[1]!thsiFinD("ths_adjustment_nv_fund",S$3,$A988))</x:f>
        <x:v>#NAME?</x:v>
      </x:c>
      <x:c r="T988" t="e">
        <x:f>IF($A988="","",[1]!thsiFinD("ths_adjustment_nv_fund",T$3,$A988))</x:f>
        <x:v>#NAME?</x:v>
      </x:c>
      <x:c r="U988" t="e">
        <x:f>IF($A988="","",[1]!thsiFinD("ths_adjustment_nv_fund",U$3,$A988))</x:f>
        <x:v>#NAME?</x:v>
      </x:c>
      <x:c r="V988" t="e">
        <x:f>IF($A988="","",[1]!thsiFinD("ths_adjustment_nv_fund",V$3,$A988))</x:f>
        <x:v>#NAME?</x:v>
      </x:c>
      <x:c r="W988" t="e">
        <x:f>IF($A988="","",[1]!thsiFinD("ths_adjustment_nv_fund",W$3,$A988))</x:f>
        <x:v>#NAME?</x:v>
      </x:c>
      <x:c r="X988" t="e">
        <x:f>IF($A988="","",[1]!thsiFinD("ths_adjustment_nv_fund",X$3,$A988))</x:f>
        <x:v>#NAME?</x:v>
      </x:c>
      <x:c r="Y988" t="e">
        <x:f>IF($A988="","",[1]!thsiFinD("ths_adjustment_nv_fund",Y$3,$A988))</x:f>
        <x:v>#NAME?</x:v>
      </x:c>
    </x:row>
    <x:row r="989">
      <x:c r="B989" t="e">
        <x:f>IF($A989="","",[1]!thsiFinD("ths_adjustment_nv_fund",B$3,$A989))</x:f>
        <x:v>#NAME?</x:v>
      </x:c>
      <x:c r="C989" t="e">
        <x:f>IF($A989="","",[1]!thsiFinD("ths_adjustment_nv_fund",C$3,$A989))</x:f>
        <x:v>#NAME?</x:v>
      </x:c>
      <x:c r="D989" t="e">
        <x:f>IF($A989="","",[1]!thsiFinD("ths_adjustment_nv_fund",D$3,$A989))</x:f>
        <x:v>#NAME?</x:v>
      </x:c>
      <x:c r="E989" t="e">
        <x:f>IF($A989="","",[1]!thsiFinD("ths_adjustment_nv_fund",E$3,$A989))</x:f>
        <x:v>#NAME?</x:v>
      </x:c>
      <x:c r="F989" t="e">
        <x:f>IF($A989="","",[1]!thsiFinD("ths_adjustment_nv_fund",F$3,$A989))</x:f>
        <x:v>#NAME?</x:v>
      </x:c>
      <x:c r="G989" t="e">
        <x:f>IF($A989="","",[1]!thsiFinD("ths_adjustment_nv_fund",G$3,$A989))</x:f>
        <x:v>#NAME?</x:v>
      </x:c>
      <x:c r="H989" t="e">
        <x:f>IF($A989="","",[1]!thsiFinD("ths_adjustment_nv_fund",H$3,$A989))</x:f>
        <x:v>#NAME?</x:v>
      </x:c>
      <x:c r="I989" t="e">
        <x:f>IF($A989="","",[1]!thsiFinD("ths_adjustment_nv_fund",I$3,$A989))</x:f>
        <x:v>#NAME?</x:v>
      </x:c>
      <x:c r="J989" t="e">
        <x:f>IF($A989="","",[1]!thsiFinD("ths_adjustment_nv_fund",J$3,$A989))</x:f>
        <x:v>#NAME?</x:v>
      </x:c>
      <x:c r="K989" t="e">
        <x:f>IF($A989="","",[1]!thsiFinD("ths_adjustment_nv_fund",K$3,$A989))</x:f>
        <x:v>#NAME?</x:v>
      </x:c>
      <x:c r="L989" t="e">
        <x:f>IF($A989="","",[1]!thsiFinD("ths_adjustment_nv_fund",L$3,$A989))</x:f>
        <x:v>#NAME?</x:v>
      </x:c>
      <x:c r="M989" t="e">
        <x:f>IF($A989="","",[1]!thsiFinD("ths_adjustment_nv_fund",M$3,$A989))</x:f>
        <x:v>#NAME?</x:v>
      </x:c>
      <x:c r="N989" t="e">
        <x:f>IF($A989="","",[1]!thsiFinD("ths_adjustment_nv_fund",N$3,$A989))</x:f>
        <x:v>#NAME?</x:v>
      </x:c>
      <x:c r="O989" t="e">
        <x:f>IF($A989="","",[1]!thsiFinD("ths_adjustment_nv_fund",O$3,$A989))</x:f>
        <x:v>#NAME?</x:v>
      </x:c>
      <x:c r="P989" t="e">
        <x:f>IF($A989="","",[1]!thsiFinD("ths_adjustment_nv_fund",P$3,$A989))</x:f>
        <x:v>#NAME?</x:v>
      </x:c>
      <x:c r="Q989" t="e">
        <x:f>IF($A989="","",[1]!thsiFinD("ths_adjustment_nv_fund",Q$3,$A989))</x:f>
        <x:v>#NAME?</x:v>
      </x:c>
      <x:c r="R989" t="e">
        <x:f>IF($A989="","",[1]!thsiFinD("ths_adjustment_nv_fund",R$3,$A989))</x:f>
        <x:v>#NAME?</x:v>
      </x:c>
      <x:c r="S989" t="e">
        <x:f>IF($A989="","",[1]!thsiFinD("ths_adjustment_nv_fund",S$3,$A989))</x:f>
        <x:v>#NAME?</x:v>
      </x:c>
      <x:c r="T989" t="e">
        <x:f>IF($A989="","",[1]!thsiFinD("ths_adjustment_nv_fund",T$3,$A989))</x:f>
        <x:v>#NAME?</x:v>
      </x:c>
      <x:c r="U989" t="e">
        <x:f>IF($A989="","",[1]!thsiFinD("ths_adjustment_nv_fund",U$3,$A989))</x:f>
        <x:v>#NAME?</x:v>
      </x:c>
      <x:c r="V989" t="e">
        <x:f>IF($A989="","",[1]!thsiFinD("ths_adjustment_nv_fund",V$3,$A989))</x:f>
        <x:v>#NAME?</x:v>
      </x:c>
      <x:c r="W989" t="e">
        <x:f>IF($A989="","",[1]!thsiFinD("ths_adjustment_nv_fund",W$3,$A989))</x:f>
        <x:v>#NAME?</x:v>
      </x:c>
      <x:c r="X989" t="e">
        <x:f>IF($A989="","",[1]!thsiFinD("ths_adjustment_nv_fund",X$3,$A989))</x:f>
        <x:v>#NAME?</x:v>
      </x:c>
      <x:c r="Y989" t="e">
        <x:f>IF($A989="","",[1]!thsiFinD("ths_adjustment_nv_fund",Y$3,$A989))</x:f>
        <x:v>#NAME?</x:v>
      </x:c>
    </x:row>
    <x:row r="990">
      <x:c r="B990" t="e">
        <x:f>IF($A990="","",[1]!thsiFinD("ths_adjustment_nv_fund",B$3,$A990))</x:f>
        <x:v>#NAME?</x:v>
      </x:c>
      <x:c r="C990" t="e">
        <x:f>IF($A990="","",[1]!thsiFinD("ths_adjustment_nv_fund",C$3,$A990))</x:f>
        <x:v>#NAME?</x:v>
      </x:c>
      <x:c r="D990" t="e">
        <x:f>IF($A990="","",[1]!thsiFinD("ths_adjustment_nv_fund",D$3,$A990))</x:f>
        <x:v>#NAME?</x:v>
      </x:c>
      <x:c r="E990" t="e">
        <x:f>IF($A990="","",[1]!thsiFinD("ths_adjustment_nv_fund",E$3,$A990))</x:f>
        <x:v>#NAME?</x:v>
      </x:c>
      <x:c r="F990" t="e">
        <x:f>IF($A990="","",[1]!thsiFinD("ths_adjustment_nv_fund",F$3,$A990))</x:f>
        <x:v>#NAME?</x:v>
      </x:c>
      <x:c r="G990" t="e">
        <x:f>IF($A990="","",[1]!thsiFinD("ths_adjustment_nv_fund",G$3,$A990))</x:f>
        <x:v>#NAME?</x:v>
      </x:c>
      <x:c r="H990" t="e">
        <x:f>IF($A990="","",[1]!thsiFinD("ths_adjustment_nv_fund",H$3,$A990))</x:f>
        <x:v>#NAME?</x:v>
      </x:c>
      <x:c r="I990" t="e">
        <x:f>IF($A990="","",[1]!thsiFinD("ths_adjustment_nv_fund",I$3,$A990))</x:f>
        <x:v>#NAME?</x:v>
      </x:c>
      <x:c r="J990" t="e">
        <x:f>IF($A990="","",[1]!thsiFinD("ths_adjustment_nv_fund",J$3,$A990))</x:f>
        <x:v>#NAME?</x:v>
      </x:c>
      <x:c r="K990" t="e">
        <x:f>IF($A990="","",[1]!thsiFinD("ths_adjustment_nv_fund",K$3,$A990))</x:f>
        <x:v>#NAME?</x:v>
      </x:c>
      <x:c r="L990" t="e">
        <x:f>IF($A990="","",[1]!thsiFinD("ths_adjustment_nv_fund",L$3,$A990))</x:f>
        <x:v>#NAME?</x:v>
      </x:c>
      <x:c r="M990" t="e">
        <x:f>IF($A990="","",[1]!thsiFinD("ths_adjustment_nv_fund",M$3,$A990))</x:f>
        <x:v>#NAME?</x:v>
      </x:c>
      <x:c r="N990" t="e">
        <x:f>IF($A990="","",[1]!thsiFinD("ths_adjustment_nv_fund",N$3,$A990))</x:f>
        <x:v>#NAME?</x:v>
      </x:c>
      <x:c r="O990" t="e">
        <x:f>IF($A990="","",[1]!thsiFinD("ths_adjustment_nv_fund",O$3,$A990))</x:f>
        <x:v>#NAME?</x:v>
      </x:c>
      <x:c r="P990" t="e">
        <x:f>IF($A990="","",[1]!thsiFinD("ths_adjustment_nv_fund",P$3,$A990))</x:f>
        <x:v>#NAME?</x:v>
      </x:c>
      <x:c r="Q990" t="e">
        <x:f>IF($A990="","",[1]!thsiFinD("ths_adjustment_nv_fund",Q$3,$A990))</x:f>
        <x:v>#NAME?</x:v>
      </x:c>
      <x:c r="R990" t="e">
        <x:f>IF($A990="","",[1]!thsiFinD("ths_adjustment_nv_fund",R$3,$A990))</x:f>
        <x:v>#NAME?</x:v>
      </x:c>
      <x:c r="S990" t="e">
        <x:f>IF($A990="","",[1]!thsiFinD("ths_adjustment_nv_fund",S$3,$A990))</x:f>
        <x:v>#NAME?</x:v>
      </x:c>
      <x:c r="T990" t="e">
        <x:f>IF($A990="","",[1]!thsiFinD("ths_adjustment_nv_fund",T$3,$A990))</x:f>
        <x:v>#NAME?</x:v>
      </x:c>
      <x:c r="U990" t="e">
        <x:f>IF($A990="","",[1]!thsiFinD("ths_adjustment_nv_fund",U$3,$A990))</x:f>
        <x:v>#NAME?</x:v>
      </x:c>
      <x:c r="V990" t="e">
        <x:f>IF($A990="","",[1]!thsiFinD("ths_adjustment_nv_fund",V$3,$A990))</x:f>
        <x:v>#NAME?</x:v>
      </x:c>
      <x:c r="W990" t="e">
        <x:f>IF($A990="","",[1]!thsiFinD("ths_adjustment_nv_fund",W$3,$A990))</x:f>
        <x:v>#NAME?</x:v>
      </x:c>
      <x:c r="X990" t="e">
        <x:f>IF($A990="","",[1]!thsiFinD("ths_adjustment_nv_fund",X$3,$A990))</x:f>
        <x:v>#NAME?</x:v>
      </x:c>
      <x:c r="Y990" t="e">
        <x:f>IF($A990="","",[1]!thsiFinD("ths_adjustment_nv_fund",Y$3,$A990))</x:f>
        <x:v>#NAME?</x:v>
      </x:c>
    </x:row>
    <x:row r="991">
      <x:c r="B991" t="e">
        <x:f>IF($A991="","",[1]!thsiFinD("ths_adjustment_nv_fund",B$3,$A991))</x:f>
        <x:v>#NAME?</x:v>
      </x:c>
      <x:c r="C991" t="e">
        <x:f>IF($A991="","",[1]!thsiFinD("ths_adjustment_nv_fund",C$3,$A991))</x:f>
        <x:v>#NAME?</x:v>
      </x:c>
      <x:c r="D991" t="e">
        <x:f>IF($A991="","",[1]!thsiFinD("ths_adjustment_nv_fund",D$3,$A991))</x:f>
        <x:v>#NAME?</x:v>
      </x:c>
      <x:c r="E991" t="e">
        <x:f>IF($A991="","",[1]!thsiFinD("ths_adjustment_nv_fund",E$3,$A991))</x:f>
        <x:v>#NAME?</x:v>
      </x:c>
      <x:c r="F991" t="e">
        <x:f>IF($A991="","",[1]!thsiFinD("ths_adjustment_nv_fund",F$3,$A991))</x:f>
        <x:v>#NAME?</x:v>
      </x:c>
      <x:c r="G991" t="e">
        <x:f>IF($A991="","",[1]!thsiFinD("ths_adjustment_nv_fund",G$3,$A991))</x:f>
        <x:v>#NAME?</x:v>
      </x:c>
      <x:c r="H991" t="e">
        <x:f>IF($A991="","",[1]!thsiFinD("ths_adjustment_nv_fund",H$3,$A991))</x:f>
        <x:v>#NAME?</x:v>
      </x:c>
      <x:c r="I991" t="e">
        <x:f>IF($A991="","",[1]!thsiFinD("ths_adjustment_nv_fund",I$3,$A991))</x:f>
        <x:v>#NAME?</x:v>
      </x:c>
      <x:c r="J991" t="e">
        <x:f>IF($A991="","",[1]!thsiFinD("ths_adjustment_nv_fund",J$3,$A991))</x:f>
        <x:v>#NAME?</x:v>
      </x:c>
      <x:c r="K991" t="e">
        <x:f>IF($A991="","",[1]!thsiFinD("ths_adjustment_nv_fund",K$3,$A991))</x:f>
        <x:v>#NAME?</x:v>
      </x:c>
      <x:c r="L991" t="e">
        <x:f>IF($A991="","",[1]!thsiFinD("ths_adjustment_nv_fund",L$3,$A991))</x:f>
        <x:v>#NAME?</x:v>
      </x:c>
      <x:c r="M991" t="e">
        <x:f>IF($A991="","",[1]!thsiFinD("ths_adjustment_nv_fund",M$3,$A991))</x:f>
        <x:v>#NAME?</x:v>
      </x:c>
      <x:c r="N991" t="e">
        <x:f>IF($A991="","",[1]!thsiFinD("ths_adjustment_nv_fund",N$3,$A991))</x:f>
        <x:v>#NAME?</x:v>
      </x:c>
      <x:c r="O991" t="e">
        <x:f>IF($A991="","",[1]!thsiFinD("ths_adjustment_nv_fund",O$3,$A991))</x:f>
        <x:v>#NAME?</x:v>
      </x:c>
      <x:c r="P991" t="e">
        <x:f>IF($A991="","",[1]!thsiFinD("ths_adjustment_nv_fund",P$3,$A991))</x:f>
        <x:v>#NAME?</x:v>
      </x:c>
      <x:c r="Q991" t="e">
        <x:f>IF($A991="","",[1]!thsiFinD("ths_adjustment_nv_fund",Q$3,$A991))</x:f>
        <x:v>#NAME?</x:v>
      </x:c>
      <x:c r="R991" t="e">
        <x:f>IF($A991="","",[1]!thsiFinD("ths_adjustment_nv_fund",R$3,$A991))</x:f>
        <x:v>#NAME?</x:v>
      </x:c>
      <x:c r="S991" t="e">
        <x:f>IF($A991="","",[1]!thsiFinD("ths_adjustment_nv_fund",S$3,$A991))</x:f>
        <x:v>#NAME?</x:v>
      </x:c>
      <x:c r="T991" t="e">
        <x:f>IF($A991="","",[1]!thsiFinD("ths_adjustment_nv_fund",T$3,$A991))</x:f>
        <x:v>#NAME?</x:v>
      </x:c>
      <x:c r="U991" t="e">
        <x:f>IF($A991="","",[1]!thsiFinD("ths_adjustment_nv_fund",U$3,$A991))</x:f>
        <x:v>#NAME?</x:v>
      </x:c>
      <x:c r="V991" t="e">
        <x:f>IF($A991="","",[1]!thsiFinD("ths_adjustment_nv_fund",V$3,$A991))</x:f>
        <x:v>#NAME?</x:v>
      </x:c>
      <x:c r="W991" t="e">
        <x:f>IF($A991="","",[1]!thsiFinD("ths_adjustment_nv_fund",W$3,$A991))</x:f>
        <x:v>#NAME?</x:v>
      </x:c>
      <x:c r="X991" t="e">
        <x:f>IF($A991="","",[1]!thsiFinD("ths_adjustment_nv_fund",X$3,$A991))</x:f>
        <x:v>#NAME?</x:v>
      </x:c>
      <x:c r="Y991" t="e">
        <x:f>IF($A991="","",[1]!thsiFinD("ths_adjustment_nv_fund",Y$3,$A991))</x:f>
        <x:v>#NAME?</x:v>
      </x:c>
    </x:row>
    <x:row r="992">
      <x:c r="B992" t="e">
        <x:f>IF($A992="","",[1]!thsiFinD("ths_adjustment_nv_fund",B$3,$A992))</x:f>
        <x:v>#NAME?</x:v>
      </x:c>
      <x:c r="C992" t="e">
        <x:f>IF($A992="","",[1]!thsiFinD("ths_adjustment_nv_fund",C$3,$A992))</x:f>
        <x:v>#NAME?</x:v>
      </x:c>
      <x:c r="D992" t="e">
        <x:f>IF($A992="","",[1]!thsiFinD("ths_adjustment_nv_fund",D$3,$A992))</x:f>
        <x:v>#NAME?</x:v>
      </x:c>
      <x:c r="E992" t="e">
        <x:f>IF($A992="","",[1]!thsiFinD("ths_adjustment_nv_fund",E$3,$A992))</x:f>
        <x:v>#NAME?</x:v>
      </x:c>
      <x:c r="F992" t="e">
        <x:f>IF($A992="","",[1]!thsiFinD("ths_adjustment_nv_fund",F$3,$A992))</x:f>
        <x:v>#NAME?</x:v>
      </x:c>
      <x:c r="G992" t="e">
        <x:f>IF($A992="","",[1]!thsiFinD("ths_adjustment_nv_fund",G$3,$A992))</x:f>
        <x:v>#NAME?</x:v>
      </x:c>
      <x:c r="H992" t="e">
        <x:f>IF($A992="","",[1]!thsiFinD("ths_adjustment_nv_fund",H$3,$A992))</x:f>
        <x:v>#NAME?</x:v>
      </x:c>
      <x:c r="I992" t="e">
        <x:f>IF($A992="","",[1]!thsiFinD("ths_adjustment_nv_fund",I$3,$A992))</x:f>
        <x:v>#NAME?</x:v>
      </x:c>
      <x:c r="J992" t="e">
        <x:f>IF($A992="","",[1]!thsiFinD("ths_adjustment_nv_fund",J$3,$A992))</x:f>
        <x:v>#NAME?</x:v>
      </x:c>
      <x:c r="K992" t="e">
        <x:f>IF($A992="","",[1]!thsiFinD("ths_adjustment_nv_fund",K$3,$A992))</x:f>
        <x:v>#NAME?</x:v>
      </x:c>
      <x:c r="L992" t="e">
        <x:f>IF($A992="","",[1]!thsiFinD("ths_adjustment_nv_fund",L$3,$A992))</x:f>
        <x:v>#NAME?</x:v>
      </x:c>
      <x:c r="M992" t="e">
        <x:f>IF($A992="","",[1]!thsiFinD("ths_adjustment_nv_fund",M$3,$A992))</x:f>
        <x:v>#NAME?</x:v>
      </x:c>
      <x:c r="N992" t="e">
        <x:f>IF($A992="","",[1]!thsiFinD("ths_adjustment_nv_fund",N$3,$A992))</x:f>
        <x:v>#NAME?</x:v>
      </x:c>
      <x:c r="O992" t="e">
        <x:f>IF($A992="","",[1]!thsiFinD("ths_adjustment_nv_fund",O$3,$A992))</x:f>
        <x:v>#NAME?</x:v>
      </x:c>
      <x:c r="P992" t="e">
        <x:f>IF($A992="","",[1]!thsiFinD("ths_adjustment_nv_fund",P$3,$A992))</x:f>
        <x:v>#NAME?</x:v>
      </x:c>
      <x:c r="Q992" t="e">
        <x:f>IF($A992="","",[1]!thsiFinD("ths_adjustment_nv_fund",Q$3,$A992))</x:f>
        <x:v>#NAME?</x:v>
      </x:c>
      <x:c r="R992" t="e">
        <x:f>IF($A992="","",[1]!thsiFinD("ths_adjustment_nv_fund",R$3,$A992))</x:f>
        <x:v>#NAME?</x:v>
      </x:c>
      <x:c r="S992" t="e">
        <x:f>IF($A992="","",[1]!thsiFinD("ths_adjustment_nv_fund",S$3,$A992))</x:f>
        <x:v>#NAME?</x:v>
      </x:c>
      <x:c r="T992" t="e">
        <x:f>IF($A992="","",[1]!thsiFinD("ths_adjustment_nv_fund",T$3,$A992))</x:f>
        <x:v>#NAME?</x:v>
      </x:c>
      <x:c r="U992" t="e">
        <x:f>IF($A992="","",[1]!thsiFinD("ths_adjustment_nv_fund",U$3,$A992))</x:f>
        <x:v>#NAME?</x:v>
      </x:c>
      <x:c r="V992" t="e">
        <x:f>IF($A992="","",[1]!thsiFinD("ths_adjustment_nv_fund",V$3,$A992))</x:f>
        <x:v>#NAME?</x:v>
      </x:c>
      <x:c r="W992" t="e">
        <x:f>IF($A992="","",[1]!thsiFinD("ths_adjustment_nv_fund",W$3,$A992))</x:f>
        <x:v>#NAME?</x:v>
      </x:c>
      <x:c r="X992" t="e">
        <x:f>IF($A992="","",[1]!thsiFinD("ths_adjustment_nv_fund",X$3,$A992))</x:f>
        <x:v>#NAME?</x:v>
      </x:c>
      <x:c r="Y992" t="e">
        <x:f>IF($A992="","",[1]!thsiFinD("ths_adjustment_nv_fund",Y$3,$A992))</x:f>
        <x:v>#NAME?</x:v>
      </x:c>
    </x:row>
    <x:row r="993">
      <x:c r="B993" t="e">
        <x:f>IF($A993="","",[1]!thsiFinD("ths_adjustment_nv_fund",B$3,$A993))</x:f>
        <x:v>#NAME?</x:v>
      </x:c>
      <x:c r="C993" t="e">
        <x:f>IF($A993="","",[1]!thsiFinD("ths_adjustment_nv_fund",C$3,$A993))</x:f>
        <x:v>#NAME?</x:v>
      </x:c>
      <x:c r="D993" t="e">
        <x:f>IF($A993="","",[1]!thsiFinD("ths_adjustment_nv_fund",D$3,$A993))</x:f>
        <x:v>#NAME?</x:v>
      </x:c>
      <x:c r="E993" t="e">
        <x:f>IF($A993="","",[1]!thsiFinD("ths_adjustment_nv_fund",E$3,$A993))</x:f>
        <x:v>#NAME?</x:v>
      </x:c>
      <x:c r="F993" t="e">
        <x:f>IF($A993="","",[1]!thsiFinD("ths_adjustment_nv_fund",F$3,$A993))</x:f>
        <x:v>#NAME?</x:v>
      </x:c>
      <x:c r="G993" t="e">
        <x:f>IF($A993="","",[1]!thsiFinD("ths_adjustment_nv_fund",G$3,$A993))</x:f>
        <x:v>#NAME?</x:v>
      </x:c>
      <x:c r="H993" t="e">
        <x:f>IF($A993="","",[1]!thsiFinD("ths_adjustment_nv_fund",H$3,$A993))</x:f>
        <x:v>#NAME?</x:v>
      </x:c>
      <x:c r="I993" t="e">
        <x:f>IF($A993="","",[1]!thsiFinD("ths_adjustment_nv_fund",I$3,$A993))</x:f>
        <x:v>#NAME?</x:v>
      </x:c>
      <x:c r="J993" t="e">
        <x:f>IF($A993="","",[1]!thsiFinD("ths_adjustment_nv_fund",J$3,$A993))</x:f>
        <x:v>#NAME?</x:v>
      </x:c>
      <x:c r="K993" t="e">
        <x:f>IF($A993="","",[1]!thsiFinD("ths_adjustment_nv_fund",K$3,$A993))</x:f>
        <x:v>#NAME?</x:v>
      </x:c>
      <x:c r="L993" t="e">
        <x:f>IF($A993="","",[1]!thsiFinD("ths_adjustment_nv_fund",L$3,$A993))</x:f>
        <x:v>#NAME?</x:v>
      </x:c>
      <x:c r="M993" t="e">
        <x:f>IF($A993="","",[1]!thsiFinD("ths_adjustment_nv_fund",M$3,$A993))</x:f>
        <x:v>#NAME?</x:v>
      </x:c>
      <x:c r="N993" t="e">
        <x:f>IF($A993="","",[1]!thsiFinD("ths_adjustment_nv_fund",N$3,$A993))</x:f>
        <x:v>#NAME?</x:v>
      </x:c>
      <x:c r="O993" t="e">
        <x:f>IF($A993="","",[1]!thsiFinD("ths_adjustment_nv_fund",O$3,$A993))</x:f>
        <x:v>#NAME?</x:v>
      </x:c>
      <x:c r="P993" t="e">
        <x:f>IF($A993="","",[1]!thsiFinD("ths_adjustment_nv_fund",P$3,$A993))</x:f>
        <x:v>#NAME?</x:v>
      </x:c>
      <x:c r="Q993" t="e">
        <x:f>IF($A993="","",[1]!thsiFinD("ths_adjustment_nv_fund",Q$3,$A993))</x:f>
        <x:v>#NAME?</x:v>
      </x:c>
      <x:c r="R993" t="e">
        <x:f>IF($A993="","",[1]!thsiFinD("ths_adjustment_nv_fund",R$3,$A993))</x:f>
        <x:v>#NAME?</x:v>
      </x:c>
      <x:c r="S993" t="e">
        <x:f>IF($A993="","",[1]!thsiFinD("ths_adjustment_nv_fund",S$3,$A993))</x:f>
        <x:v>#NAME?</x:v>
      </x:c>
      <x:c r="T993" t="e">
        <x:f>IF($A993="","",[1]!thsiFinD("ths_adjustment_nv_fund",T$3,$A993))</x:f>
        <x:v>#NAME?</x:v>
      </x:c>
      <x:c r="U993" t="e">
        <x:f>IF($A993="","",[1]!thsiFinD("ths_adjustment_nv_fund",U$3,$A993))</x:f>
        <x:v>#NAME?</x:v>
      </x:c>
      <x:c r="V993" t="e">
        <x:f>IF($A993="","",[1]!thsiFinD("ths_adjustment_nv_fund",V$3,$A993))</x:f>
        <x:v>#NAME?</x:v>
      </x:c>
      <x:c r="W993" t="e">
        <x:f>IF($A993="","",[1]!thsiFinD("ths_adjustment_nv_fund",W$3,$A993))</x:f>
        <x:v>#NAME?</x:v>
      </x:c>
      <x:c r="X993" t="e">
        <x:f>IF($A993="","",[1]!thsiFinD("ths_adjustment_nv_fund",X$3,$A993))</x:f>
        <x:v>#NAME?</x:v>
      </x:c>
      <x:c r="Y993" t="e">
        <x:f>IF($A993="","",[1]!thsiFinD("ths_adjustment_nv_fund",Y$3,$A993))</x:f>
        <x:v>#NAME?</x:v>
      </x:c>
    </x:row>
    <x:row r="994">
      <x:c r="B994" t="e">
        <x:f>IF($A994="","",[1]!thsiFinD("ths_adjustment_nv_fund",B$3,$A994))</x:f>
        <x:v>#NAME?</x:v>
      </x:c>
      <x:c r="C994" t="e">
        <x:f>IF($A994="","",[1]!thsiFinD("ths_adjustment_nv_fund",C$3,$A994))</x:f>
        <x:v>#NAME?</x:v>
      </x:c>
      <x:c r="D994" t="e">
        <x:f>IF($A994="","",[1]!thsiFinD("ths_adjustment_nv_fund",D$3,$A994))</x:f>
        <x:v>#NAME?</x:v>
      </x:c>
      <x:c r="E994" t="e">
        <x:f>IF($A994="","",[1]!thsiFinD("ths_adjustment_nv_fund",E$3,$A994))</x:f>
        <x:v>#NAME?</x:v>
      </x:c>
      <x:c r="F994" t="e">
        <x:f>IF($A994="","",[1]!thsiFinD("ths_adjustment_nv_fund",F$3,$A994))</x:f>
        <x:v>#NAME?</x:v>
      </x:c>
      <x:c r="G994" t="e">
        <x:f>IF($A994="","",[1]!thsiFinD("ths_adjustment_nv_fund",G$3,$A994))</x:f>
        <x:v>#NAME?</x:v>
      </x:c>
      <x:c r="H994" t="e">
        <x:f>IF($A994="","",[1]!thsiFinD("ths_adjustment_nv_fund",H$3,$A994))</x:f>
        <x:v>#NAME?</x:v>
      </x:c>
      <x:c r="I994" t="e">
        <x:f>IF($A994="","",[1]!thsiFinD("ths_adjustment_nv_fund",I$3,$A994))</x:f>
        <x:v>#NAME?</x:v>
      </x:c>
      <x:c r="J994" t="e">
        <x:f>IF($A994="","",[1]!thsiFinD("ths_adjustment_nv_fund",J$3,$A994))</x:f>
        <x:v>#NAME?</x:v>
      </x:c>
      <x:c r="K994" t="e">
        <x:f>IF($A994="","",[1]!thsiFinD("ths_adjustment_nv_fund",K$3,$A994))</x:f>
        <x:v>#NAME?</x:v>
      </x:c>
      <x:c r="L994" t="e">
        <x:f>IF($A994="","",[1]!thsiFinD("ths_adjustment_nv_fund",L$3,$A994))</x:f>
        <x:v>#NAME?</x:v>
      </x:c>
      <x:c r="M994" t="e">
        <x:f>IF($A994="","",[1]!thsiFinD("ths_adjustment_nv_fund",M$3,$A994))</x:f>
        <x:v>#NAME?</x:v>
      </x:c>
      <x:c r="N994" t="e">
        <x:f>IF($A994="","",[1]!thsiFinD("ths_adjustment_nv_fund",N$3,$A994))</x:f>
        <x:v>#NAME?</x:v>
      </x:c>
      <x:c r="O994" t="e">
        <x:f>IF($A994="","",[1]!thsiFinD("ths_adjustment_nv_fund",O$3,$A994))</x:f>
        <x:v>#NAME?</x:v>
      </x:c>
      <x:c r="P994" t="e">
        <x:f>IF($A994="","",[1]!thsiFinD("ths_adjustment_nv_fund",P$3,$A994))</x:f>
        <x:v>#NAME?</x:v>
      </x:c>
      <x:c r="Q994" t="e">
        <x:f>IF($A994="","",[1]!thsiFinD("ths_adjustment_nv_fund",Q$3,$A994))</x:f>
        <x:v>#NAME?</x:v>
      </x:c>
      <x:c r="R994" t="e">
        <x:f>IF($A994="","",[1]!thsiFinD("ths_adjustment_nv_fund",R$3,$A994))</x:f>
        <x:v>#NAME?</x:v>
      </x:c>
      <x:c r="S994" t="e">
        <x:f>IF($A994="","",[1]!thsiFinD("ths_adjustment_nv_fund",S$3,$A994))</x:f>
        <x:v>#NAME?</x:v>
      </x:c>
      <x:c r="T994" t="e">
        <x:f>IF($A994="","",[1]!thsiFinD("ths_adjustment_nv_fund",T$3,$A994))</x:f>
        <x:v>#NAME?</x:v>
      </x:c>
      <x:c r="U994" t="e">
        <x:f>IF($A994="","",[1]!thsiFinD("ths_adjustment_nv_fund",U$3,$A994))</x:f>
        <x:v>#NAME?</x:v>
      </x:c>
      <x:c r="V994" t="e">
        <x:f>IF($A994="","",[1]!thsiFinD("ths_adjustment_nv_fund",V$3,$A994))</x:f>
        <x:v>#NAME?</x:v>
      </x:c>
      <x:c r="W994" t="e">
        <x:f>IF($A994="","",[1]!thsiFinD("ths_adjustment_nv_fund",W$3,$A994))</x:f>
        <x:v>#NAME?</x:v>
      </x:c>
      <x:c r="X994" t="e">
        <x:f>IF($A994="","",[1]!thsiFinD("ths_adjustment_nv_fund",X$3,$A994))</x:f>
        <x:v>#NAME?</x:v>
      </x:c>
      <x:c r="Y994" t="e">
        <x:f>IF($A994="","",[1]!thsiFinD("ths_adjustment_nv_fund",Y$3,$A994))</x:f>
        <x:v>#NAME?</x:v>
      </x:c>
    </x:row>
    <x:row r="995">
      <x:c r="B995" t="e">
        <x:f>IF($A995="","",[1]!thsiFinD("ths_adjustment_nv_fund",B$3,$A995))</x:f>
        <x:v>#NAME?</x:v>
      </x:c>
      <x:c r="C995" t="e">
        <x:f>IF($A995="","",[1]!thsiFinD("ths_adjustment_nv_fund",C$3,$A995))</x:f>
        <x:v>#NAME?</x:v>
      </x:c>
      <x:c r="D995" t="e">
        <x:f>IF($A995="","",[1]!thsiFinD("ths_adjustment_nv_fund",D$3,$A995))</x:f>
        <x:v>#NAME?</x:v>
      </x:c>
      <x:c r="E995" t="e">
        <x:f>IF($A995="","",[1]!thsiFinD("ths_adjustment_nv_fund",E$3,$A995))</x:f>
        <x:v>#NAME?</x:v>
      </x:c>
      <x:c r="F995" t="e">
        <x:f>IF($A995="","",[1]!thsiFinD("ths_adjustment_nv_fund",F$3,$A995))</x:f>
        <x:v>#NAME?</x:v>
      </x:c>
      <x:c r="G995" t="e">
        <x:f>IF($A995="","",[1]!thsiFinD("ths_adjustment_nv_fund",G$3,$A995))</x:f>
        <x:v>#NAME?</x:v>
      </x:c>
      <x:c r="H995" t="e">
        <x:f>IF($A995="","",[1]!thsiFinD("ths_adjustment_nv_fund",H$3,$A995))</x:f>
        <x:v>#NAME?</x:v>
      </x:c>
      <x:c r="I995" t="e">
        <x:f>IF($A995="","",[1]!thsiFinD("ths_adjustment_nv_fund",I$3,$A995))</x:f>
        <x:v>#NAME?</x:v>
      </x:c>
      <x:c r="J995" t="e">
        <x:f>IF($A995="","",[1]!thsiFinD("ths_adjustment_nv_fund",J$3,$A995))</x:f>
        <x:v>#NAME?</x:v>
      </x:c>
      <x:c r="K995" t="e">
        <x:f>IF($A995="","",[1]!thsiFinD("ths_adjustment_nv_fund",K$3,$A995))</x:f>
        <x:v>#NAME?</x:v>
      </x:c>
      <x:c r="L995" t="e">
        <x:f>IF($A995="","",[1]!thsiFinD("ths_adjustment_nv_fund",L$3,$A995))</x:f>
        <x:v>#NAME?</x:v>
      </x:c>
      <x:c r="M995" t="e">
        <x:f>IF($A995="","",[1]!thsiFinD("ths_adjustment_nv_fund",M$3,$A995))</x:f>
        <x:v>#NAME?</x:v>
      </x:c>
      <x:c r="N995" t="e">
        <x:f>IF($A995="","",[1]!thsiFinD("ths_adjustment_nv_fund",N$3,$A995))</x:f>
        <x:v>#NAME?</x:v>
      </x:c>
      <x:c r="O995" t="e">
        <x:f>IF($A995="","",[1]!thsiFinD("ths_adjustment_nv_fund",O$3,$A995))</x:f>
        <x:v>#NAME?</x:v>
      </x:c>
      <x:c r="P995" t="e">
        <x:f>IF($A995="","",[1]!thsiFinD("ths_adjustment_nv_fund",P$3,$A995))</x:f>
        <x:v>#NAME?</x:v>
      </x:c>
      <x:c r="Q995" t="e">
        <x:f>IF($A995="","",[1]!thsiFinD("ths_adjustment_nv_fund",Q$3,$A995))</x:f>
        <x:v>#NAME?</x:v>
      </x:c>
      <x:c r="R995" t="e">
        <x:f>IF($A995="","",[1]!thsiFinD("ths_adjustment_nv_fund",R$3,$A995))</x:f>
        <x:v>#NAME?</x:v>
      </x:c>
      <x:c r="S995" t="e">
        <x:f>IF($A995="","",[1]!thsiFinD("ths_adjustment_nv_fund",S$3,$A995))</x:f>
        <x:v>#NAME?</x:v>
      </x:c>
      <x:c r="T995" t="e">
        <x:f>IF($A995="","",[1]!thsiFinD("ths_adjustment_nv_fund",T$3,$A995))</x:f>
        <x:v>#NAME?</x:v>
      </x:c>
      <x:c r="U995" t="e">
        <x:f>IF($A995="","",[1]!thsiFinD("ths_adjustment_nv_fund",U$3,$A995))</x:f>
        <x:v>#NAME?</x:v>
      </x:c>
      <x:c r="V995" t="e">
        <x:f>IF($A995="","",[1]!thsiFinD("ths_adjustment_nv_fund",V$3,$A995))</x:f>
        <x:v>#NAME?</x:v>
      </x:c>
      <x:c r="W995" t="e">
        <x:f>IF($A995="","",[1]!thsiFinD("ths_adjustment_nv_fund",W$3,$A995))</x:f>
        <x:v>#NAME?</x:v>
      </x:c>
      <x:c r="X995" t="e">
        <x:f>IF($A995="","",[1]!thsiFinD("ths_adjustment_nv_fund",X$3,$A995))</x:f>
        <x:v>#NAME?</x:v>
      </x:c>
      <x:c r="Y995" t="e">
        <x:f>IF($A995="","",[1]!thsiFinD("ths_adjustment_nv_fund",Y$3,$A995))</x:f>
        <x:v>#NAME?</x:v>
      </x:c>
    </x:row>
    <x:row r="996">
      <x:c r="B996" t="e">
        <x:f>IF($A996="","",[1]!thsiFinD("ths_adjustment_nv_fund",B$3,$A996))</x:f>
        <x:v>#NAME?</x:v>
      </x:c>
      <x:c r="C996" t="e">
        <x:f>IF($A996="","",[1]!thsiFinD("ths_adjustment_nv_fund",C$3,$A996))</x:f>
        <x:v>#NAME?</x:v>
      </x:c>
      <x:c r="D996" t="e">
        <x:f>IF($A996="","",[1]!thsiFinD("ths_adjustment_nv_fund",D$3,$A996))</x:f>
        <x:v>#NAME?</x:v>
      </x:c>
      <x:c r="E996" t="e">
        <x:f>IF($A996="","",[1]!thsiFinD("ths_adjustment_nv_fund",E$3,$A996))</x:f>
        <x:v>#NAME?</x:v>
      </x:c>
      <x:c r="F996" t="e">
        <x:f>IF($A996="","",[1]!thsiFinD("ths_adjustment_nv_fund",F$3,$A996))</x:f>
        <x:v>#NAME?</x:v>
      </x:c>
      <x:c r="G996" t="e">
        <x:f>IF($A996="","",[1]!thsiFinD("ths_adjustment_nv_fund",G$3,$A996))</x:f>
        <x:v>#NAME?</x:v>
      </x:c>
      <x:c r="H996" t="e">
        <x:f>IF($A996="","",[1]!thsiFinD("ths_adjustment_nv_fund",H$3,$A996))</x:f>
        <x:v>#NAME?</x:v>
      </x:c>
      <x:c r="I996" t="e">
        <x:f>IF($A996="","",[1]!thsiFinD("ths_adjustment_nv_fund",I$3,$A996))</x:f>
        <x:v>#NAME?</x:v>
      </x:c>
      <x:c r="J996" t="e">
        <x:f>IF($A996="","",[1]!thsiFinD("ths_adjustment_nv_fund",J$3,$A996))</x:f>
        <x:v>#NAME?</x:v>
      </x:c>
      <x:c r="K996" t="e">
        <x:f>IF($A996="","",[1]!thsiFinD("ths_adjustment_nv_fund",K$3,$A996))</x:f>
        <x:v>#NAME?</x:v>
      </x:c>
      <x:c r="L996" t="e">
        <x:f>IF($A996="","",[1]!thsiFinD("ths_adjustment_nv_fund",L$3,$A996))</x:f>
        <x:v>#NAME?</x:v>
      </x:c>
      <x:c r="M996" t="e">
        <x:f>IF($A996="","",[1]!thsiFinD("ths_adjustment_nv_fund",M$3,$A996))</x:f>
        <x:v>#NAME?</x:v>
      </x:c>
      <x:c r="N996" t="e">
        <x:f>IF($A996="","",[1]!thsiFinD("ths_adjustment_nv_fund",N$3,$A996))</x:f>
        <x:v>#NAME?</x:v>
      </x:c>
      <x:c r="O996" t="e">
        <x:f>IF($A996="","",[1]!thsiFinD("ths_adjustment_nv_fund",O$3,$A996))</x:f>
        <x:v>#NAME?</x:v>
      </x:c>
      <x:c r="P996" t="e">
        <x:f>IF($A996="","",[1]!thsiFinD("ths_adjustment_nv_fund",P$3,$A996))</x:f>
        <x:v>#NAME?</x:v>
      </x:c>
      <x:c r="Q996" t="e">
        <x:f>IF($A996="","",[1]!thsiFinD("ths_adjustment_nv_fund",Q$3,$A996))</x:f>
        <x:v>#NAME?</x:v>
      </x:c>
      <x:c r="R996" t="e">
        <x:f>IF($A996="","",[1]!thsiFinD("ths_adjustment_nv_fund",R$3,$A996))</x:f>
        <x:v>#NAME?</x:v>
      </x:c>
      <x:c r="S996" t="e">
        <x:f>IF($A996="","",[1]!thsiFinD("ths_adjustment_nv_fund",S$3,$A996))</x:f>
        <x:v>#NAME?</x:v>
      </x:c>
      <x:c r="T996" t="e">
        <x:f>IF($A996="","",[1]!thsiFinD("ths_adjustment_nv_fund",T$3,$A996))</x:f>
        <x:v>#NAME?</x:v>
      </x:c>
      <x:c r="U996" t="e">
        <x:f>IF($A996="","",[1]!thsiFinD("ths_adjustment_nv_fund",U$3,$A996))</x:f>
        <x:v>#NAME?</x:v>
      </x:c>
      <x:c r="V996" t="e">
        <x:f>IF($A996="","",[1]!thsiFinD("ths_adjustment_nv_fund",V$3,$A996))</x:f>
        <x:v>#NAME?</x:v>
      </x:c>
      <x:c r="W996" t="e">
        <x:f>IF($A996="","",[1]!thsiFinD("ths_adjustment_nv_fund",W$3,$A996))</x:f>
        <x:v>#NAME?</x:v>
      </x:c>
      <x:c r="X996" t="e">
        <x:f>IF($A996="","",[1]!thsiFinD("ths_adjustment_nv_fund",X$3,$A996))</x:f>
        <x:v>#NAME?</x:v>
      </x:c>
      <x:c r="Y996" t="e">
        <x:f>IF($A996="","",[1]!thsiFinD("ths_adjustment_nv_fund",Y$3,$A996))</x:f>
        <x:v>#NAME?</x:v>
      </x:c>
    </x:row>
    <x:row r="997">
      <x:c r="B997" t="e">
        <x:f>IF($A997="","",[1]!thsiFinD("ths_adjustment_nv_fund",B$3,$A997))</x:f>
        <x:v>#NAME?</x:v>
      </x:c>
      <x:c r="C997" t="e">
        <x:f>IF($A997="","",[1]!thsiFinD("ths_adjustment_nv_fund",C$3,$A997))</x:f>
        <x:v>#NAME?</x:v>
      </x:c>
      <x:c r="D997" t="e">
        <x:f>IF($A997="","",[1]!thsiFinD("ths_adjustment_nv_fund",D$3,$A997))</x:f>
        <x:v>#NAME?</x:v>
      </x:c>
      <x:c r="E997" t="e">
        <x:f>IF($A997="","",[1]!thsiFinD("ths_adjustment_nv_fund",E$3,$A997))</x:f>
        <x:v>#NAME?</x:v>
      </x:c>
      <x:c r="F997" t="e">
        <x:f>IF($A997="","",[1]!thsiFinD("ths_adjustment_nv_fund",F$3,$A997))</x:f>
        <x:v>#NAME?</x:v>
      </x:c>
      <x:c r="G997" t="e">
        <x:f>IF($A997="","",[1]!thsiFinD("ths_adjustment_nv_fund",G$3,$A997))</x:f>
        <x:v>#NAME?</x:v>
      </x:c>
      <x:c r="H997" t="e">
        <x:f>IF($A997="","",[1]!thsiFinD("ths_adjustment_nv_fund",H$3,$A997))</x:f>
        <x:v>#NAME?</x:v>
      </x:c>
      <x:c r="I997" t="e">
        <x:f>IF($A997="","",[1]!thsiFinD("ths_adjustment_nv_fund",I$3,$A997))</x:f>
        <x:v>#NAME?</x:v>
      </x:c>
      <x:c r="J997" t="e">
        <x:f>IF($A997="","",[1]!thsiFinD("ths_adjustment_nv_fund",J$3,$A997))</x:f>
        <x:v>#NAME?</x:v>
      </x:c>
      <x:c r="K997" t="e">
        <x:f>IF($A997="","",[1]!thsiFinD("ths_adjustment_nv_fund",K$3,$A997))</x:f>
        <x:v>#NAME?</x:v>
      </x:c>
      <x:c r="L997" t="e">
        <x:f>IF($A997="","",[1]!thsiFinD("ths_adjustment_nv_fund",L$3,$A997))</x:f>
        <x:v>#NAME?</x:v>
      </x:c>
      <x:c r="M997" t="e">
        <x:f>IF($A997="","",[1]!thsiFinD("ths_adjustment_nv_fund",M$3,$A997))</x:f>
        <x:v>#NAME?</x:v>
      </x:c>
      <x:c r="N997" t="e">
        <x:f>IF($A997="","",[1]!thsiFinD("ths_adjustment_nv_fund",N$3,$A997))</x:f>
        <x:v>#NAME?</x:v>
      </x:c>
      <x:c r="O997" t="e">
        <x:f>IF($A997="","",[1]!thsiFinD("ths_adjustment_nv_fund",O$3,$A997))</x:f>
        <x:v>#NAME?</x:v>
      </x:c>
      <x:c r="P997" t="e">
        <x:f>IF($A997="","",[1]!thsiFinD("ths_adjustment_nv_fund",P$3,$A997))</x:f>
        <x:v>#NAME?</x:v>
      </x:c>
      <x:c r="Q997" t="e">
        <x:f>IF($A997="","",[1]!thsiFinD("ths_adjustment_nv_fund",Q$3,$A997))</x:f>
        <x:v>#NAME?</x:v>
      </x:c>
      <x:c r="R997" t="e">
        <x:f>IF($A997="","",[1]!thsiFinD("ths_adjustment_nv_fund",R$3,$A997))</x:f>
        <x:v>#NAME?</x:v>
      </x:c>
      <x:c r="S997" t="e">
        <x:f>IF($A997="","",[1]!thsiFinD("ths_adjustment_nv_fund",S$3,$A997))</x:f>
        <x:v>#NAME?</x:v>
      </x:c>
      <x:c r="T997" t="e">
        <x:f>IF($A997="","",[1]!thsiFinD("ths_adjustment_nv_fund",T$3,$A997))</x:f>
        <x:v>#NAME?</x:v>
      </x:c>
      <x:c r="U997" t="e">
        <x:f>IF($A997="","",[1]!thsiFinD("ths_adjustment_nv_fund",U$3,$A997))</x:f>
        <x:v>#NAME?</x:v>
      </x:c>
      <x:c r="V997" t="e">
        <x:f>IF($A997="","",[1]!thsiFinD("ths_adjustment_nv_fund",V$3,$A997))</x:f>
        <x:v>#NAME?</x:v>
      </x:c>
      <x:c r="W997" t="e">
        <x:f>IF($A997="","",[1]!thsiFinD("ths_adjustment_nv_fund",W$3,$A997))</x:f>
        <x:v>#NAME?</x:v>
      </x:c>
      <x:c r="X997" t="e">
        <x:f>IF($A997="","",[1]!thsiFinD("ths_adjustment_nv_fund",X$3,$A997))</x:f>
        <x:v>#NAME?</x:v>
      </x:c>
      <x:c r="Y997" t="e">
        <x:f>IF($A997="","",[1]!thsiFinD("ths_adjustment_nv_fund",Y$3,$A997))</x:f>
        <x:v>#NAME?</x:v>
      </x:c>
    </x:row>
    <x:row r="998">
      <x:c r="B998" t="e">
        <x:f>IF($A998="","",[1]!thsiFinD("ths_adjustment_nv_fund",B$3,$A998))</x:f>
        <x:v>#NAME?</x:v>
      </x:c>
      <x:c r="C998" t="e">
        <x:f>IF($A998="","",[1]!thsiFinD("ths_adjustment_nv_fund",C$3,$A998))</x:f>
        <x:v>#NAME?</x:v>
      </x:c>
      <x:c r="D998" t="e">
        <x:f>IF($A998="","",[1]!thsiFinD("ths_adjustment_nv_fund",D$3,$A998))</x:f>
        <x:v>#NAME?</x:v>
      </x:c>
      <x:c r="E998" t="e">
        <x:f>IF($A998="","",[1]!thsiFinD("ths_adjustment_nv_fund",E$3,$A998))</x:f>
        <x:v>#NAME?</x:v>
      </x:c>
      <x:c r="F998" t="e">
        <x:f>IF($A998="","",[1]!thsiFinD("ths_adjustment_nv_fund",F$3,$A998))</x:f>
        <x:v>#NAME?</x:v>
      </x:c>
      <x:c r="G998" t="e">
        <x:f>IF($A998="","",[1]!thsiFinD("ths_adjustment_nv_fund",G$3,$A998))</x:f>
        <x:v>#NAME?</x:v>
      </x:c>
      <x:c r="H998" t="e">
        <x:f>IF($A998="","",[1]!thsiFinD("ths_adjustment_nv_fund",H$3,$A998))</x:f>
        <x:v>#NAME?</x:v>
      </x:c>
      <x:c r="I998" t="e">
        <x:f>IF($A998="","",[1]!thsiFinD("ths_adjustment_nv_fund",I$3,$A998))</x:f>
        <x:v>#NAME?</x:v>
      </x:c>
      <x:c r="J998" t="e">
        <x:f>IF($A998="","",[1]!thsiFinD("ths_adjustment_nv_fund",J$3,$A998))</x:f>
        <x:v>#NAME?</x:v>
      </x:c>
      <x:c r="K998" t="e">
        <x:f>IF($A998="","",[1]!thsiFinD("ths_adjustment_nv_fund",K$3,$A998))</x:f>
        <x:v>#NAME?</x:v>
      </x:c>
      <x:c r="L998" t="e">
        <x:f>IF($A998="","",[1]!thsiFinD("ths_adjustment_nv_fund",L$3,$A998))</x:f>
        <x:v>#NAME?</x:v>
      </x:c>
      <x:c r="M998" t="e">
        <x:f>IF($A998="","",[1]!thsiFinD("ths_adjustment_nv_fund",M$3,$A998))</x:f>
        <x:v>#NAME?</x:v>
      </x:c>
      <x:c r="N998" t="e">
        <x:f>IF($A998="","",[1]!thsiFinD("ths_adjustment_nv_fund",N$3,$A998))</x:f>
        <x:v>#NAME?</x:v>
      </x:c>
      <x:c r="O998" t="e">
        <x:f>IF($A998="","",[1]!thsiFinD("ths_adjustment_nv_fund",O$3,$A998))</x:f>
        <x:v>#NAME?</x:v>
      </x:c>
      <x:c r="P998" t="e">
        <x:f>IF($A998="","",[1]!thsiFinD("ths_adjustment_nv_fund",P$3,$A998))</x:f>
        <x:v>#NAME?</x:v>
      </x:c>
      <x:c r="Q998" t="e">
        <x:f>IF($A998="","",[1]!thsiFinD("ths_adjustment_nv_fund",Q$3,$A998))</x:f>
        <x:v>#NAME?</x:v>
      </x:c>
      <x:c r="R998" t="e">
        <x:f>IF($A998="","",[1]!thsiFinD("ths_adjustment_nv_fund",R$3,$A998))</x:f>
        <x:v>#NAME?</x:v>
      </x:c>
      <x:c r="S998" t="e">
        <x:f>IF($A998="","",[1]!thsiFinD("ths_adjustment_nv_fund",S$3,$A998))</x:f>
        <x:v>#NAME?</x:v>
      </x:c>
      <x:c r="T998" t="e">
        <x:f>IF($A998="","",[1]!thsiFinD("ths_adjustment_nv_fund",T$3,$A998))</x:f>
        <x:v>#NAME?</x:v>
      </x:c>
      <x:c r="U998" t="e">
        <x:f>IF($A998="","",[1]!thsiFinD("ths_adjustment_nv_fund",U$3,$A998))</x:f>
        <x:v>#NAME?</x:v>
      </x:c>
      <x:c r="V998" t="e">
        <x:f>IF($A998="","",[1]!thsiFinD("ths_adjustment_nv_fund",V$3,$A998))</x:f>
        <x:v>#NAME?</x:v>
      </x:c>
      <x:c r="W998" t="e">
        <x:f>IF($A998="","",[1]!thsiFinD("ths_adjustment_nv_fund",W$3,$A998))</x:f>
        <x:v>#NAME?</x:v>
      </x:c>
      <x:c r="X998" t="e">
        <x:f>IF($A998="","",[1]!thsiFinD("ths_adjustment_nv_fund",X$3,$A998))</x:f>
        <x:v>#NAME?</x:v>
      </x:c>
      <x:c r="Y998" t="e">
        <x:f>IF($A998="","",[1]!thsiFinD("ths_adjustment_nv_fund",Y$3,$A998))</x:f>
        <x:v>#NAME?</x:v>
      </x:c>
    </x:row>
    <x:row r="999">
      <x:c r="B999" t="e">
        <x:f>IF($A999="","",[1]!thsiFinD("ths_adjustment_nv_fund",B$3,$A999))</x:f>
        <x:v>#NAME?</x:v>
      </x:c>
      <x:c r="C999" t="e">
        <x:f>IF($A999="","",[1]!thsiFinD("ths_adjustment_nv_fund",C$3,$A999))</x:f>
        <x:v>#NAME?</x:v>
      </x:c>
      <x:c r="D999" t="e">
        <x:f>IF($A999="","",[1]!thsiFinD("ths_adjustment_nv_fund",D$3,$A999))</x:f>
        <x:v>#NAME?</x:v>
      </x:c>
      <x:c r="E999" t="e">
        <x:f>IF($A999="","",[1]!thsiFinD("ths_adjustment_nv_fund",E$3,$A999))</x:f>
        <x:v>#NAME?</x:v>
      </x:c>
      <x:c r="F999" t="e">
        <x:f>IF($A999="","",[1]!thsiFinD("ths_adjustment_nv_fund",F$3,$A999))</x:f>
        <x:v>#NAME?</x:v>
      </x:c>
      <x:c r="G999" t="e">
        <x:f>IF($A999="","",[1]!thsiFinD("ths_adjustment_nv_fund",G$3,$A999))</x:f>
        <x:v>#NAME?</x:v>
      </x:c>
      <x:c r="H999" t="e">
        <x:f>IF($A999="","",[1]!thsiFinD("ths_adjustment_nv_fund",H$3,$A999))</x:f>
        <x:v>#NAME?</x:v>
      </x:c>
      <x:c r="I999" t="e">
        <x:f>IF($A999="","",[1]!thsiFinD("ths_adjustment_nv_fund",I$3,$A999))</x:f>
        <x:v>#NAME?</x:v>
      </x:c>
      <x:c r="J999" t="e">
        <x:f>IF($A999="","",[1]!thsiFinD("ths_adjustment_nv_fund",J$3,$A999))</x:f>
        <x:v>#NAME?</x:v>
      </x:c>
      <x:c r="K999" t="e">
        <x:f>IF($A999="","",[1]!thsiFinD("ths_adjustment_nv_fund",K$3,$A999))</x:f>
        <x:v>#NAME?</x:v>
      </x:c>
      <x:c r="L999" t="e">
        <x:f>IF($A999="","",[1]!thsiFinD("ths_adjustment_nv_fund",L$3,$A999))</x:f>
        <x:v>#NAME?</x:v>
      </x:c>
      <x:c r="M999" t="e">
        <x:f>IF($A999="","",[1]!thsiFinD("ths_adjustment_nv_fund",M$3,$A999))</x:f>
        <x:v>#NAME?</x:v>
      </x:c>
      <x:c r="N999" t="e">
        <x:f>IF($A999="","",[1]!thsiFinD("ths_adjustment_nv_fund",N$3,$A999))</x:f>
        <x:v>#NAME?</x:v>
      </x:c>
      <x:c r="O999" t="e">
        <x:f>IF($A999="","",[1]!thsiFinD("ths_adjustment_nv_fund",O$3,$A999))</x:f>
        <x:v>#NAME?</x:v>
      </x:c>
      <x:c r="P999" t="e">
        <x:f>IF($A999="","",[1]!thsiFinD("ths_adjustment_nv_fund",P$3,$A999))</x:f>
        <x:v>#NAME?</x:v>
      </x:c>
      <x:c r="Q999" t="e">
        <x:f>IF($A999="","",[1]!thsiFinD("ths_adjustment_nv_fund",Q$3,$A999))</x:f>
        <x:v>#NAME?</x:v>
      </x:c>
      <x:c r="R999" t="e">
        <x:f>IF($A999="","",[1]!thsiFinD("ths_adjustment_nv_fund",R$3,$A999))</x:f>
        <x:v>#NAME?</x:v>
      </x:c>
      <x:c r="S999" t="e">
        <x:f>IF($A999="","",[1]!thsiFinD("ths_adjustment_nv_fund",S$3,$A999))</x:f>
        <x:v>#NAME?</x:v>
      </x:c>
      <x:c r="T999" t="e">
        <x:f>IF($A999="","",[1]!thsiFinD("ths_adjustment_nv_fund",T$3,$A999))</x:f>
        <x:v>#NAME?</x:v>
      </x:c>
      <x:c r="U999" t="e">
        <x:f>IF($A999="","",[1]!thsiFinD("ths_adjustment_nv_fund",U$3,$A999))</x:f>
        <x:v>#NAME?</x:v>
      </x:c>
      <x:c r="V999" t="e">
        <x:f>IF($A999="","",[1]!thsiFinD("ths_adjustment_nv_fund",V$3,$A999))</x:f>
        <x:v>#NAME?</x:v>
      </x:c>
      <x:c r="W999" t="e">
        <x:f>IF($A999="","",[1]!thsiFinD("ths_adjustment_nv_fund",W$3,$A999))</x:f>
        <x:v>#NAME?</x:v>
      </x:c>
      <x:c r="X999" t="e">
        <x:f>IF($A999="","",[1]!thsiFinD("ths_adjustment_nv_fund",X$3,$A999))</x:f>
        <x:v>#NAME?</x:v>
      </x:c>
      <x:c r="Y999" t="e">
        <x:f>IF($A999="","",[1]!thsiFinD("ths_adjustment_nv_fund",Y$3,$A999))</x:f>
        <x:v>#NAME?</x:v>
      </x:c>
    </x:row>
    <x:row r="1000">
      <x:c r="B1000" t="e">
        <x:f>IF($A1000="","",[1]!thsiFinD("ths_adjustment_nv_fund",B$3,$A1000))</x:f>
        <x:v>#NAME?</x:v>
      </x:c>
      <x:c r="C1000" t="e">
        <x:f>IF($A1000="","",[1]!thsiFinD("ths_adjustment_nv_fund",C$3,$A1000))</x:f>
        <x:v>#NAME?</x:v>
      </x:c>
      <x:c r="D1000" t="e">
        <x:f>IF($A1000="","",[1]!thsiFinD("ths_adjustment_nv_fund",D$3,$A1000))</x:f>
        <x:v>#NAME?</x:v>
      </x:c>
      <x:c r="E1000" t="e">
        <x:f>IF($A1000="","",[1]!thsiFinD("ths_adjustment_nv_fund",E$3,$A1000))</x:f>
        <x:v>#NAME?</x:v>
      </x:c>
      <x:c r="F1000" t="e">
        <x:f>IF($A1000="","",[1]!thsiFinD("ths_adjustment_nv_fund",F$3,$A1000))</x:f>
        <x:v>#NAME?</x:v>
      </x:c>
      <x:c r="G1000" t="e">
        <x:f>IF($A1000="","",[1]!thsiFinD("ths_adjustment_nv_fund",G$3,$A1000))</x:f>
        <x:v>#NAME?</x:v>
      </x:c>
      <x:c r="H1000" t="e">
        <x:f>IF($A1000="","",[1]!thsiFinD("ths_adjustment_nv_fund",H$3,$A1000))</x:f>
        <x:v>#NAME?</x:v>
      </x:c>
      <x:c r="I1000" t="e">
        <x:f>IF($A1000="","",[1]!thsiFinD("ths_adjustment_nv_fund",I$3,$A1000))</x:f>
        <x:v>#NAME?</x:v>
      </x:c>
      <x:c r="J1000" t="e">
        <x:f>IF($A1000="","",[1]!thsiFinD("ths_adjustment_nv_fund",J$3,$A1000))</x:f>
        <x:v>#NAME?</x:v>
      </x:c>
      <x:c r="K1000" t="e">
        <x:f>IF($A1000="","",[1]!thsiFinD("ths_adjustment_nv_fund",K$3,$A1000))</x:f>
        <x:v>#NAME?</x:v>
      </x:c>
      <x:c r="L1000" t="e">
        <x:f>IF($A1000="","",[1]!thsiFinD("ths_adjustment_nv_fund",L$3,$A1000))</x:f>
        <x:v>#NAME?</x:v>
      </x:c>
      <x:c r="M1000" t="e">
        <x:f>IF($A1000="","",[1]!thsiFinD("ths_adjustment_nv_fund",M$3,$A1000))</x:f>
        <x:v>#NAME?</x:v>
      </x:c>
      <x:c r="N1000" t="e">
        <x:f>IF($A1000="","",[1]!thsiFinD("ths_adjustment_nv_fund",N$3,$A1000))</x:f>
        <x:v>#NAME?</x:v>
      </x:c>
      <x:c r="O1000" t="e">
        <x:f>IF($A1000="","",[1]!thsiFinD("ths_adjustment_nv_fund",O$3,$A1000))</x:f>
        <x:v>#NAME?</x:v>
      </x:c>
      <x:c r="P1000" t="e">
        <x:f>IF($A1000="","",[1]!thsiFinD("ths_adjustment_nv_fund",P$3,$A1000))</x:f>
        <x:v>#NAME?</x:v>
      </x:c>
      <x:c r="Q1000" t="e">
        <x:f>IF($A1000="","",[1]!thsiFinD("ths_adjustment_nv_fund",Q$3,$A1000))</x:f>
        <x:v>#NAME?</x:v>
      </x:c>
      <x:c r="R1000" t="e">
        <x:f>IF($A1000="","",[1]!thsiFinD("ths_adjustment_nv_fund",R$3,$A1000))</x:f>
        <x:v>#NAME?</x:v>
      </x:c>
      <x:c r="S1000" t="e">
        <x:f>IF($A1000="","",[1]!thsiFinD("ths_adjustment_nv_fund",S$3,$A1000))</x:f>
        <x:v>#NAME?</x:v>
      </x:c>
      <x:c r="T1000" t="e">
        <x:f>IF($A1000="","",[1]!thsiFinD("ths_adjustment_nv_fund",T$3,$A1000))</x:f>
        <x:v>#NAME?</x:v>
      </x:c>
      <x:c r="U1000" t="e">
        <x:f>IF($A1000="","",[1]!thsiFinD("ths_adjustment_nv_fund",U$3,$A1000))</x:f>
        <x:v>#NAME?</x:v>
      </x:c>
      <x:c r="V1000" t="e">
        <x:f>IF($A1000="","",[1]!thsiFinD("ths_adjustment_nv_fund",V$3,$A1000))</x:f>
        <x:v>#NAME?</x:v>
      </x:c>
      <x:c r="W1000" t="e">
        <x:f>IF($A1000="","",[1]!thsiFinD("ths_adjustment_nv_fund",W$3,$A1000))</x:f>
        <x:v>#NAME?</x:v>
      </x:c>
      <x:c r="X1000" t="e">
        <x:f>IF($A1000="","",[1]!thsiFinD("ths_adjustment_nv_fund",X$3,$A1000))</x:f>
        <x:v>#NAME?</x:v>
      </x:c>
      <x:c r="Y1000" t="e">
        <x:f>IF($A1000="","",[1]!thsiFinD("ths_adjustment_nv_fund",Y$3,$A1000))</x:f>
        <x:v>#NAME?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13.1796875" customWidth="1"/>
    <x:col min="22" max="22" width="14.81640625" customWidth="1"/>
  </x:cols>
  <x:sheetData>
    <x:row r="1" ht="18.75" customHeight="1">
      <x:c r="A1" s="56" t="s">
        <x:v>63</x:v>
      </x:c>
      <x:c r="B1" s="56"/>
      <x:c r="C1" s="56"/>
      <x:c r="D1" s="56"/>
      <x:c r="E1" s="56"/>
      <x:c r="F1" s="56"/>
      <x:c r="G1" s="56"/>
      <x:c r="H1" s="56"/>
      <x:c r="I1" s="56"/>
      <x:c r="J1" s="56"/>
    </x:row>
    <x:row r="2" ht="13.5" customHeight="1">
      <x:c r="A2" s="56"/>
      <x:c r="B2" s="56"/>
      <x:c r="C2" s="56"/>
      <x:c r="D2" s="56"/>
      <x:c r="E2" s="56"/>
      <x:c r="F2" s="56"/>
      <x:c r="G2" s="56"/>
      <x:c r="H2" s="56"/>
      <x:c r="I2" s="56"/>
      <x:c r="J2" s="56"/>
    </x:row>
    <x:row r="3" ht="42" customHeight="1">
      <x:c r="B3" s="14" t="s">
        <x:v>64</x:v>
      </x:c>
      <x:c r="E3" s="14" t="s">
        <x:v>65</x:v>
      </x:c>
      <x:c r="H3" s="14" t="s">
        <x:v>66</x:v>
      </x:c>
      <x:c r="K3" s="14" t="s">
        <x:v>67</x:v>
      </x:c>
      <x:c r="N3" s="14" t="s">
        <x:v>68</x:v>
      </x:c>
      <x:c r="Q3" s="14" t="s">
        <x:v>69</x:v>
      </x:c>
    </x:row>
    <x:row r="4" ht="13">
      <x:c r="A4" s="1" t="s">
        <x:v>70</x:v>
      </x:c>
      <x:c r="B4" s="1" t="s">
        <x:v>71</x:v>
      </x:c>
      <x:c r="C4" s="1" t="s">
        <x:v>72</x:v>
      </x:c>
      <x:c r="D4" s="1" t="s">
        <x:v>73</x:v>
      </x:c>
      <x:c r="E4" s="1" t="s">
        <x:v>71</x:v>
      </x:c>
      <x:c r="F4" s="1" t="s">
        <x:v>72</x:v>
      </x:c>
      <x:c r="G4" s="1" t="s">
        <x:v>73</x:v>
      </x:c>
      <x:c r="H4" s="1" t="s">
        <x:v>71</x:v>
      </x:c>
      <x:c r="I4" s="1" t="s">
        <x:v>72</x:v>
      </x:c>
      <x:c r="J4" s="1" t="s">
        <x:v>73</x:v>
      </x:c>
      <x:c r="K4" s="1" t="s">
        <x:v>71</x:v>
      </x:c>
      <x:c r="L4" s="1" t="s">
        <x:v>72</x:v>
      </x:c>
      <x:c r="M4" s="1" t="s">
        <x:v>73</x:v>
      </x:c>
      <x:c r="N4" s="1" t="s">
        <x:v>71</x:v>
      </x:c>
      <x:c r="O4" s="1" t="s">
        <x:v>72</x:v>
      </x:c>
      <x:c r="P4" s="1" t="s">
        <x:v>73</x:v>
      </x:c>
      <x:c r="Q4" s="1" t="s">
        <x:v>71</x:v>
      </x:c>
      <x:c r="R4" s="1" t="s">
        <x:v>72</x:v>
      </x:c>
      <x:c r="S4" s="1" t="s">
        <x:v>73</x:v>
      </x:c>
    </x:row>
    <x:row r="5" ht="14">
      <x:c r="A5" s="15" t="n">
        <x:f>IF('实盘净值数据(iFinD公式)'!A5="","",'实盘净值数据(iFinD公式)'!A5)</x:f>
        <x:v>46191</x:v>
      </x:c>
      <x:c r="B5" s="13" t="e">
        <x:f>IF(OR((ROW()-1)&lt;6,'实盘净值数据(iFinD公式)'!$A5="",'实盘净值数据(iFinD公式)'!$B5=""),"",SUMPRODUCT(实盘持仓配置!$B$4:$X$4,'实盘净值数据(iFinD公式)'!$B5:$X5/'实盘净值数据(iFinD公式)'!$B$6:$X$6)*(1-实盘持仓配置!$Z$4)^(('实盘净值数据(iFinD公式)'!$A5-'实盘净值数据(iFinD公式)'!$A$6)/365))</x:f>
        <x:v>#NAME?</x:v>
      </x:c>
      <x:c r="C5" s="16"/>
      <x:c r="D5" s="16" t="e">
        <x:f>IF(B5="","",B5/MAX(B$5:B5)-1)</x:f>
        <x:v>#NAME?</x:v>
      </x:c>
      <x:c r="E5" s="13">
        <x:v>1</x:v>
      </x:c>
      <x:c r="F5" s="16"/>
      <x:c r="G5" s="16" t="n">
        <x:f>IF(E5="","",E5/MAX(E$5:E5)-1)</x:f>
        <x:v>0</x:v>
      </x:c>
      <x:c r="H5" s="13" t="e">
        <x:f>IF(OR((ROW()-1)&lt;7,'实盘净值数据(iFinD公式)'!$A5="",'实盘净值数据(iFinD公式)'!$B5=""),"",SUMPRODUCT(实盘持仓配置!$B$6:$X$6,'实盘净值数据(iFinD公式)'!$B5:$X5/'实盘净值数据(iFinD公式)'!$B$7:$X$7)*(1-实盘持仓配置!$Z$6)^(('实盘净值数据(iFinD公式)'!$A5-'实盘净值数据(iFinD公式)'!$A$7)/365))</x:f>
        <x:v>#NAME?</x:v>
      </x:c>
      <x:c r="I5" s="16"/>
      <x:c r="J5" s="16" t="e">
        <x:f>IF(H5="","",H5/MAX(H$5:H5)-1)</x:f>
        <x:v>#NAME?</x:v>
      </x:c>
      <x:c r="K5" s="13" t="e">
        <x:f>IF(OR((ROW()-1)&lt;8,'实盘净值数据(iFinD公式)'!$A5="",'实盘净值数据(iFinD公式)'!$B5=""),"",SUMPRODUCT(实盘持仓配置!$B$7:$X$7,'实盘净值数据(iFinD公式)'!$B5:$X5/'实盘净值数据(iFinD公式)'!$B$8:$X$8)*(1-实盘持仓配置!$Z$7)^(('实盘净值数据(iFinD公式)'!$A5-'实盘净值数据(iFinD公式)'!$A$8)/365))</x:f>
        <x:v>#NAME?</x:v>
      </x:c>
      <x:c r="L5" s="16"/>
      <x:c r="M5" s="16" t="e">
        <x:f>IF(K5="","",K5/MAX(K$5:K5)-1)</x:f>
        <x:v>#NAME?</x:v>
      </x:c>
      <x:c r="N5" s="13">
        <x:v>1</x:v>
      </x:c>
      <x:c r="O5" s="16"/>
      <x:c r="P5" s="16" t="n">
        <x:f>IF(N5="","",N5/MAX(N$5:N5)-1)</x:f>
        <x:v>0</x:v>
      </x:c>
      <x:c r="Q5" s="13" t="e">
        <x:f>IF(OR((ROW()-1)&lt;8,'实盘净值数据(iFinD公式)'!$A5="",'实盘净值数据(iFinD公式)'!$B5=""),"",SUMPRODUCT(实盘持仓配置!$B$9:$X$9,'实盘净值数据(iFinD公式)'!$B5:$X5/'实盘净值数据(iFinD公式)'!$B$8:$X$8)*(1-实盘持仓配置!$Z$9)^(('实盘净值数据(iFinD公式)'!$A5-'实盘净值数据(iFinD公式)'!$A$8)/365))</x:f>
        <x:v>#NAME?</x:v>
      </x:c>
      <x:c r="R5" s="16"/>
      <x:c r="S5" s="16" t="e">
        <x:f>IF(Q5="","",Q5/MAX(Q$5:Q5)-1)</x:f>
        <x:v>#NAME?</x:v>
      </x:c>
      <x:c r="U5" s="17"/>
    </x:row>
    <x:row r="6" ht="14">
      <x:c r="A6" s="15" t="n">
        <x:f>IF('实盘净值数据(iFinD公式)'!A6="","",'实盘净值数据(iFinD公式)'!A6)</x:f>
        <x:v>46195</x:v>
      </x:c>
      <x:c r="B6" s="13">
        <x:v>1</x:v>
      </x:c>
      <x:c r="C6" s="16" t="e">
        <x:f>IF(OR(B5="",'实盘净值数据(iFinD公式)'!$A6="",'实盘净值数据(iFinD公式)'!$B6=""),"",(SUMPRODUCT(实盘持仓配置!$B$4:$X$4,'实盘净值数据(iFinD公式)'!$B5:$X5/'实盘净值数据(iFinD公式)'!$B$6:$X$6,'实盘净值数据(iFinD公式)'!$B6:$X6/'实盘净值数据(iFinD公式)'!$B5:$X5)/SUMPRODUCT(实盘持仓配置!$B$4:$X$4,'实盘净值数据(iFinD公式)'!$B5:$X5/'实盘净值数据(iFinD公式)'!$B$6:$X$6))*(1-实盘持仓配置!$Z$4)^(('实盘净值数据(iFinD公式)'!$A6-'实盘净值数据(iFinD公式)'!$A5)/365)-1)</x:f>
        <x:v>#NAME?</x:v>
      </x:c>
      <x:c r="D6" s="16" t="e">
        <x:f>IF(B6="","",B6/MAX(B$5:B6)-1)</x:f>
        <x:v>#NAME?</x:v>
      </x:c>
      <x:c r="E6" s="13" t="e">
        <x:f>IF(OR((ROW()-1)&lt;5,'实盘净值数据(iFinD公式)'!$A6="",'实盘净值数据(iFinD公式)'!$B6=""),"",SUMPRODUCT(实盘持仓配置!$B$5:$X$5,'实盘净值数据(iFinD公式)'!$B6:$X6/'实盘净值数据(iFinD公式)'!$B$5:$X$5)*(1-实盘持仓配置!$Z$5)^(('实盘净值数据(iFinD公式)'!$A6-'实盘净值数据(iFinD公式)'!$A$5)/365))</x:f>
        <x:v>#NAME?</x:v>
      </x:c>
      <x:c r="F6" s="16" t="e">
        <x:f>IF(OR(E5="",'实盘净值数据(iFinD公式)'!$A6="",'实盘净值数据(iFinD公式)'!$B6=""),"",(SUMPRODUCT(实盘持仓配置!$B$5:$X$5,'实盘净值数据(iFinD公式)'!$B5:$X5/'实盘净值数据(iFinD公式)'!$B$5:$X$5,'实盘净值数据(iFinD公式)'!$B6:$X6/'实盘净值数据(iFinD公式)'!$B5:$X5)/SUMPRODUCT(实盘持仓配置!$B$5:$X$5,'实盘净值数据(iFinD公式)'!$B5:$X5/'实盘净值数据(iFinD公式)'!$B$5:$X$5))*(1-实盘持仓配置!$Z$5)^(('实盘净值数据(iFinD公式)'!$A6-'实盘净值数据(iFinD公式)'!$A5)/365)-1)</x:f>
        <x:v>#NAME?</x:v>
      </x:c>
      <x:c r="G6" s="16" t="e">
        <x:f>IF(E6="","",E6/MAX(E$5:E6)-1)</x:f>
        <x:v>#NAME?</x:v>
      </x:c>
      <x:c r="H6" s="13" t="e">
        <x:f>IF(OR((ROW()-1)&lt;7,'实盘净值数据(iFinD公式)'!$A6="",'实盘净值数据(iFinD公式)'!$B6=""),"",SUMPRODUCT(实盘持仓配置!$B$6:$X$6,'实盘净值数据(iFinD公式)'!$B6:$X6/'实盘净值数据(iFinD公式)'!$B$7:$X$7)*(1-实盘持仓配置!$Z$6)^(('实盘净值数据(iFinD公式)'!$A6-'实盘净值数据(iFinD公式)'!$A$7)/365))</x:f>
        <x:v>#NAME?</x:v>
      </x:c>
      <x:c r="I6" s="16" t="e">
        <x:f>IF(OR(H5="",'实盘净值数据(iFinD公式)'!$A6="",'实盘净值数据(iFinD公式)'!$B6=""),"",(SUMPRODUCT(实盘持仓配置!$B$6:$X$6,'实盘净值数据(iFinD公式)'!$B5:$X5/'实盘净值数据(iFinD公式)'!$B$7:$X$7,'实盘净值数据(iFinD公式)'!$B6:$X6/'实盘净值数据(iFinD公式)'!$B5:$X5)/SUMPRODUCT(实盘持仓配置!$B$6:$X$6,'实盘净值数据(iFinD公式)'!$B5:$X5/'实盘净值数据(iFinD公式)'!$B$7:$X$7))*(1-实盘持仓配置!$Z$6)^(('实盘净值数据(iFinD公式)'!$A6-'实盘净值数据(iFinD公式)'!$A5)/365)-1)</x:f>
        <x:v>#NAME?</x:v>
      </x:c>
      <x:c r="J6" s="16" t="e">
        <x:f>IF(H6="","",H6/MAX(H$5:H6)-1)</x:f>
        <x:v>#NAME?</x:v>
      </x:c>
      <x:c r="K6" s="13" t="e">
        <x:f>IF(OR((ROW()-1)&lt;8,'实盘净值数据(iFinD公式)'!$A6="",'实盘净值数据(iFinD公式)'!$B6=""),"",SUMPRODUCT(实盘持仓配置!$B$7:$X$7,'实盘净值数据(iFinD公式)'!$B6:$X6/'实盘净值数据(iFinD公式)'!$B$8:$X$8)*(1-实盘持仓配置!$Z$7)^(('实盘净值数据(iFinD公式)'!$A6-'实盘净值数据(iFinD公式)'!$A$8)/365))</x:f>
        <x:v>#NAME?</x:v>
      </x:c>
      <x:c r="L6" s="16" t="e">
        <x:f>IF(OR(K5="",'实盘净值数据(iFinD公式)'!$A6="",'实盘净值数据(iFinD公式)'!$B6=""),"",(SUMPRODUCT(实盘持仓配置!$B$7:$X$7,'实盘净值数据(iFinD公式)'!$B5:$X5/'实盘净值数据(iFinD公式)'!$B$8:$X$8,'实盘净值数据(iFinD公式)'!$B6:$X6/'实盘净值数据(iFinD公式)'!$B5:$X5)/SUMPRODUCT(实盘持仓配置!$B$7:$X$7,'实盘净值数据(iFinD公式)'!$B5:$X5/'实盘净值数据(iFinD公式)'!$B$8:$X$8))*(1-实盘持仓配置!$Z$7)^(('实盘净值数据(iFinD公式)'!$A6-'实盘净值数据(iFinD公式)'!$A5)/365)-1)</x:f>
        <x:v>#NAME?</x:v>
      </x:c>
      <x:c r="M6" s="16" t="e">
        <x:f>IF(K6="","",K6/MAX(K$5:K6)-1)</x:f>
        <x:v>#NAME?</x:v>
      </x:c>
      <x:c r="N6" s="13" t="e">
        <x:f>IF(OR((ROW()-1)&lt;5,'实盘净值数据(iFinD公式)'!$A6="",'实盘净值数据(iFinD公式)'!$B6=""),"",SUMPRODUCT(实盘持仓配置!$B$8:$X$8,'实盘净值数据(iFinD公式)'!$B6:$X6/'实盘净值数据(iFinD公式)'!$B$5:$X$5)*(1-实盘持仓配置!$Z$8)^(('实盘净值数据(iFinD公式)'!$A6-'实盘净值数据(iFinD公式)'!$A$5)/365))</x:f>
        <x:v>#NAME?</x:v>
      </x:c>
      <x:c r="O6" s="16" t="e">
        <x:f>IF(OR(N5="",'实盘净值数据(iFinD公式)'!$A6="",'实盘净值数据(iFinD公式)'!$B6=""),"",(SUMPRODUCT(实盘持仓配置!$B$8:$X$8,'实盘净值数据(iFinD公式)'!$B5:$X5/'实盘净值数据(iFinD公式)'!$B$5:$X$5,'实盘净值数据(iFinD公式)'!$B6:$X6/'实盘净值数据(iFinD公式)'!$B5:$X5)/SUMPRODUCT(实盘持仓配置!$B$8:$X$8,'实盘净值数据(iFinD公式)'!$B5:$X5/'实盘净值数据(iFinD公式)'!$B$5:$X$5))*(1-实盘持仓配置!$Z$8)^(('实盘净值数据(iFinD公式)'!$A6-'实盘净值数据(iFinD公式)'!$A5)/365)-1)</x:f>
        <x:v>#NAME?</x:v>
      </x:c>
      <x:c r="P6" s="16" t="e">
        <x:f>IF(N6="","",N6/MAX(N$5:N6)-1)</x:f>
        <x:v>#NAME?</x:v>
      </x:c>
      <x:c r="Q6" s="13" t="e">
        <x:f>IF(OR((ROW()-1)&lt;8,'实盘净值数据(iFinD公式)'!$A6="",'实盘净值数据(iFinD公式)'!$B6=""),"",SUMPRODUCT(实盘持仓配置!$B$9:$X$9,'实盘净值数据(iFinD公式)'!$B6:$X6/'实盘净值数据(iFinD公式)'!$B$8:$X$8)*(1-实盘持仓配置!$Z$9)^(('实盘净值数据(iFinD公式)'!$A6-'实盘净值数据(iFinD公式)'!$A$8)/365))</x:f>
        <x:v>#NAME?</x:v>
      </x:c>
      <x:c r="R6" s="16" t="e">
        <x:f>IF(OR(Q5="",'实盘净值数据(iFinD公式)'!$A6="",'实盘净值数据(iFinD公式)'!$B6=""),"",(SUMPRODUCT(实盘持仓配置!$B$9:$X$9,'实盘净值数据(iFinD公式)'!$B5:$X5/'实盘净值数据(iFinD公式)'!$B$8:$X$8,'实盘净值数据(iFinD公式)'!$B6:$X6/'实盘净值数据(iFinD公式)'!$B5:$X5)/SUMPRODUCT(实盘持仓配置!$B$9:$X$9,'实盘净值数据(iFinD公式)'!$B5:$X5/'实盘净值数据(iFinD公式)'!$B$8:$X$8))*(1-实盘持仓配置!$Z$9)^(('实盘净值数据(iFinD公式)'!$A6-'实盘净值数据(iFinD公式)'!$A5)/365)-1)</x:f>
        <x:v>#NAME?</x:v>
      </x:c>
      <x:c r="S6" s="16" t="e">
        <x:f>IF(Q6="","",Q6/MAX(Q$5:Q6)-1)</x:f>
        <x:v>#NAME?</x:v>
      </x:c>
      <x:c r="U6" s="17"/>
      <x:c r="V6" s="18"/>
    </x:row>
    <x:row r="7" ht="14">
      <x:c r="A7" s="15" t="n">
        <x:f>IF('实盘净值数据(iFinD公式)'!A7="","",'实盘净值数据(iFinD公式)'!A7)</x:f>
        <x:v>46196</x:v>
      </x:c>
      <x:c r="B7" s="13" t="e">
        <x:f>IF(OR((ROW()-1)&lt;6,'实盘净值数据(iFinD公式)'!$A7="",'实盘净值数据(iFinD公式)'!$B7=""),"",SUMPRODUCT(实盘持仓配置!$B$4:$X$4,'实盘净值数据(iFinD公式)'!$B7:$X7/'实盘净值数据(iFinD公式)'!$B$6:$X$6)*(1-实盘持仓配置!$Z$4)^(('实盘净值数据(iFinD公式)'!$A7-'实盘净值数据(iFinD公式)'!$A$6)/365))</x:f>
        <x:v>#NAME?</x:v>
      </x:c>
      <x:c r="C7" s="16" t="e">
        <x:f>IF(OR(B6="",'实盘净值数据(iFinD公式)'!$A7="",'实盘净值数据(iFinD公式)'!$B7=""),"",(SUMPRODUCT(实盘持仓配置!$B$4:$X$4,'实盘净值数据(iFinD公式)'!$B6:$X6/'实盘净值数据(iFinD公式)'!$B$6:$X$6,'实盘净值数据(iFinD公式)'!$B7:$X7/'实盘净值数据(iFinD公式)'!$B6:$X6)/SUMPRODUCT(实盘持仓配置!$B$4:$X$4,'实盘净值数据(iFinD公式)'!$B6:$X6/'实盘净值数据(iFinD公式)'!$B$6:$X$6))*(1-实盘持仓配置!$Z$4)^(('实盘净值数据(iFinD公式)'!$A7-'实盘净值数据(iFinD公式)'!$A6)/365)-1)</x:f>
        <x:v>#NAME?</x:v>
      </x:c>
      <x:c r="D7" s="16" t="e">
        <x:f>IF(B7="","",B7/MAX(B$5:B7)-1)</x:f>
        <x:v>#NAME?</x:v>
      </x:c>
      <x:c r="E7" s="13" t="e">
        <x:f>IF(OR((ROW()-1)&lt;5,'实盘净值数据(iFinD公式)'!$A7="",'实盘净值数据(iFinD公式)'!$B7=""),"",SUMPRODUCT(实盘持仓配置!$B$5:$X$5,'实盘净值数据(iFinD公式)'!$B7:$X7/'实盘净值数据(iFinD公式)'!$B$5:$X$5)*(1-实盘持仓配置!$Z$5)^(('实盘净值数据(iFinD公式)'!$A7-'实盘净值数据(iFinD公式)'!$A$5)/365))</x:f>
        <x:v>#NAME?</x:v>
      </x:c>
      <x:c r="F7" s="16" t="e">
        <x:f>IF(OR(E6="",'实盘净值数据(iFinD公式)'!$A7="",'实盘净值数据(iFinD公式)'!$B7=""),"",(SUMPRODUCT(实盘持仓配置!$B$5:$X$5,'实盘净值数据(iFinD公式)'!$B6:$X6/'实盘净值数据(iFinD公式)'!$B$5:$X$5,'实盘净值数据(iFinD公式)'!$B7:$X7/'实盘净值数据(iFinD公式)'!$B6:$X6)/SUMPRODUCT(实盘持仓配置!$B$5:$X$5,'实盘净值数据(iFinD公式)'!$B6:$X6/'实盘净值数据(iFinD公式)'!$B$5:$X$5))*(1-实盘持仓配置!$Z$5)^(('实盘净值数据(iFinD公式)'!$A7-'实盘净值数据(iFinD公式)'!$A6)/365)-1)</x:f>
        <x:v>#NAME?</x:v>
      </x:c>
      <x:c r="G7" s="16" t="e">
        <x:f>IF(E7="","",E7/MAX(E$5:E7)-1)</x:f>
        <x:v>#NAME?</x:v>
      </x:c>
      <x:c r="H7" s="13">
        <x:v>1</x:v>
      </x:c>
      <x:c r="I7" s="16" t="e">
        <x:f>IF(OR(H6="",'实盘净值数据(iFinD公式)'!$A7="",'实盘净值数据(iFinD公式)'!$B7=""),"",(SUMPRODUCT(实盘持仓配置!$B$6:$X$6,'实盘净值数据(iFinD公式)'!$B6:$X6/'实盘净值数据(iFinD公式)'!$B$7:$X$7,'实盘净值数据(iFinD公式)'!$B7:$X7/'实盘净值数据(iFinD公式)'!$B6:$X6)/SUMPRODUCT(实盘持仓配置!$B$6:$X$6,'实盘净值数据(iFinD公式)'!$B6:$X6/'实盘净值数据(iFinD公式)'!$B$7:$X$7))*(1-实盘持仓配置!$Z$6)^(('实盘净值数据(iFinD公式)'!$A7-'实盘净值数据(iFinD公式)'!$A6)/365)-1)</x:f>
        <x:v>#NAME?</x:v>
      </x:c>
      <x:c r="J7" s="16" t="e">
        <x:f>IF(H7="","",H7/MAX(H$5:H7)-1)</x:f>
        <x:v>#NAME?</x:v>
      </x:c>
      <x:c r="K7" s="13" t="e">
        <x:f>IF(OR((ROW()-1)&lt;8,'实盘净值数据(iFinD公式)'!$A7="",'实盘净值数据(iFinD公式)'!$B7=""),"",SUMPRODUCT(实盘持仓配置!$B$7:$X$7,'实盘净值数据(iFinD公式)'!$B7:$X7/'实盘净值数据(iFinD公式)'!$B$8:$X$8)*(1-实盘持仓配置!$Z$7)^(('实盘净值数据(iFinD公式)'!$A7-'实盘净值数据(iFinD公式)'!$A$8)/365))</x:f>
        <x:v>#NAME?</x:v>
      </x:c>
      <x:c r="L7" s="16" t="e">
        <x:f>IF(OR(K6="",'实盘净值数据(iFinD公式)'!$A7="",'实盘净值数据(iFinD公式)'!$B7=""),"",(SUMPRODUCT(实盘持仓配置!$B$7:$X$7,'实盘净值数据(iFinD公式)'!$B6:$X6/'实盘净值数据(iFinD公式)'!$B$8:$X$8,'实盘净值数据(iFinD公式)'!$B7:$X7/'实盘净值数据(iFinD公式)'!$B6:$X6)/SUMPRODUCT(实盘持仓配置!$B$7:$X$7,'实盘净值数据(iFinD公式)'!$B6:$X6/'实盘净值数据(iFinD公式)'!$B$8:$X$8))*(1-实盘持仓配置!$Z$7)^(('实盘净值数据(iFinD公式)'!$A7-'实盘净值数据(iFinD公式)'!$A6)/365)-1)</x:f>
        <x:v>#NAME?</x:v>
      </x:c>
      <x:c r="M7" s="16" t="e">
        <x:f>IF(K7="","",K7/MAX(K$5:K7)-1)</x:f>
        <x:v>#NAME?</x:v>
      </x:c>
      <x:c r="N7" s="13" t="e">
        <x:f>IF(OR((ROW()-1)&lt;5,'实盘净值数据(iFinD公式)'!$A7="",'实盘净值数据(iFinD公式)'!$B7=""),"",SUMPRODUCT(实盘持仓配置!$B$8:$X$8,'实盘净值数据(iFinD公式)'!$B7:$X7/'实盘净值数据(iFinD公式)'!$B$5:$X$5)*(1-实盘持仓配置!$Z$8)^(('实盘净值数据(iFinD公式)'!$A7-'实盘净值数据(iFinD公式)'!$A$5)/365))</x:f>
        <x:v>#NAME?</x:v>
      </x:c>
      <x:c r="O7" s="16" t="e">
        <x:f>IF(OR(N6="",'实盘净值数据(iFinD公式)'!$A7="",'实盘净值数据(iFinD公式)'!$B7=""),"",(SUMPRODUCT(实盘持仓配置!$B$8:$X$8,'实盘净值数据(iFinD公式)'!$B6:$X6/'实盘净值数据(iFinD公式)'!$B$5:$X$5,'实盘净值数据(iFinD公式)'!$B7:$X7/'实盘净值数据(iFinD公式)'!$B6:$X6)/SUMPRODUCT(实盘持仓配置!$B$8:$X$8,'实盘净值数据(iFinD公式)'!$B6:$X6/'实盘净值数据(iFinD公式)'!$B$5:$X$5))*(1-实盘持仓配置!$Z$8)^(('实盘净值数据(iFinD公式)'!$A7-'实盘净值数据(iFinD公式)'!$A6)/365)-1)</x:f>
        <x:v>#NAME?</x:v>
      </x:c>
      <x:c r="P7" s="16" t="e">
        <x:f>IF(N7="","",N7/MAX(N$5:N7)-1)</x:f>
        <x:v>#NAME?</x:v>
      </x:c>
      <x:c r="Q7" s="13" t="e">
        <x:f>IF(OR((ROW()-1)&lt;8,'实盘净值数据(iFinD公式)'!$A7="",'实盘净值数据(iFinD公式)'!$B7=""),"",SUMPRODUCT(实盘持仓配置!$B$9:$X$9,'实盘净值数据(iFinD公式)'!$B7:$X7/'实盘净值数据(iFinD公式)'!$B$8:$X$8)*(1-实盘持仓配置!$Z$9)^(('实盘净值数据(iFinD公式)'!$A7-'实盘净值数据(iFinD公式)'!$A$8)/365))</x:f>
        <x:v>#NAME?</x:v>
      </x:c>
      <x:c r="R7" s="16" t="e">
        <x:f>IF(OR(Q6="",'实盘净值数据(iFinD公式)'!$A7="",'实盘净值数据(iFinD公式)'!$B7=""),"",(SUMPRODUCT(实盘持仓配置!$B$9:$X$9,'实盘净值数据(iFinD公式)'!$B6:$X6/'实盘净值数据(iFinD公式)'!$B$8:$X$8,'实盘净值数据(iFinD公式)'!$B7:$X7/'实盘净值数据(iFinD公式)'!$B6:$X6)/SUMPRODUCT(实盘持仓配置!$B$9:$X$9,'实盘净值数据(iFinD公式)'!$B6:$X6/'实盘净值数据(iFinD公式)'!$B$8:$X$8))*(1-实盘持仓配置!$Z$9)^(('实盘净值数据(iFinD公式)'!$A7-'实盘净值数据(iFinD公式)'!$A6)/365)-1)</x:f>
        <x:v>#NAME?</x:v>
      </x:c>
      <x:c r="S7" s="16" t="e">
        <x:f>IF(Q7="","",Q7/MAX(Q$5:Q7)-1)</x:f>
        <x:v>#NAME?</x:v>
      </x:c>
      <x:c r="U7" s="17"/>
      <x:c r="V7" s="18"/>
    </x:row>
    <x:row r="8" ht="14">
      <x:c r="A8" s="15" t="n">
        <x:f>IF('实盘净值数据(iFinD公式)'!A8="","",'实盘净值数据(iFinD公式)'!A8)</x:f>
        <x:v>46197</x:v>
      </x:c>
      <x:c r="B8" s="13" t="e">
        <x:f>IF(OR((ROW()-1)&lt;6,'实盘净值数据(iFinD公式)'!$A8="",'实盘净值数据(iFinD公式)'!$B8=""),"",SUMPRODUCT(实盘持仓配置!$B$4:$X$4,'实盘净值数据(iFinD公式)'!$B8:$X8/'实盘净值数据(iFinD公式)'!$B$6:$X$6)*(1-实盘持仓配置!$Z$4)^(('实盘净值数据(iFinD公式)'!$A8-'实盘净值数据(iFinD公式)'!$A$6)/365))</x:f>
        <x:v>#NAME?</x:v>
      </x:c>
      <x:c r="C8" s="16" t="e">
        <x:f>IF(OR(B7="",'实盘净值数据(iFinD公式)'!$A8="",'实盘净值数据(iFinD公式)'!$B8=""),"",(SUMPRODUCT(实盘持仓配置!$B$4:$X$4,'实盘净值数据(iFinD公式)'!$B7:$X7/'实盘净值数据(iFinD公式)'!$B$6:$X$6,'实盘净值数据(iFinD公式)'!$B8:$X8/'实盘净值数据(iFinD公式)'!$B7:$X7)/SUMPRODUCT(实盘持仓配置!$B$4:$X$4,'实盘净值数据(iFinD公式)'!$B7:$X7/'实盘净值数据(iFinD公式)'!$B$6:$X$6))*(1-实盘持仓配置!$Z$4)^(('实盘净值数据(iFinD公式)'!$A8-'实盘净值数据(iFinD公式)'!$A7)/365)-1)</x:f>
        <x:v>#NAME?</x:v>
      </x:c>
      <x:c r="D8" s="16" t="e">
        <x:f>IF(B8="","",B8/MAX(B$5:B8)-1)</x:f>
        <x:v>#NAME?</x:v>
      </x:c>
      <x:c r="E8" s="13" t="e">
        <x:f>IF(OR((ROW()-1)&lt;5,'实盘净值数据(iFinD公式)'!$A8="",'实盘净值数据(iFinD公式)'!$B8=""),"",SUMPRODUCT(实盘持仓配置!$B$5:$X$5,'实盘净值数据(iFinD公式)'!$B8:$X8/'实盘净值数据(iFinD公式)'!$B$5:$X$5)*(1-实盘持仓配置!$Z$5)^(('实盘净值数据(iFinD公式)'!$A8-'实盘净值数据(iFinD公式)'!$A$5)/365))</x:f>
        <x:v>#NAME?</x:v>
      </x:c>
      <x:c r="F8" s="16" t="e">
        <x:f>IF(OR(E7="",'实盘净值数据(iFinD公式)'!$A8="",'实盘净值数据(iFinD公式)'!$B8=""),"",(SUMPRODUCT(实盘持仓配置!$B$5:$X$5,'实盘净值数据(iFinD公式)'!$B7:$X7/'实盘净值数据(iFinD公式)'!$B$5:$X$5,'实盘净值数据(iFinD公式)'!$B8:$X8/'实盘净值数据(iFinD公式)'!$B7:$X7)/SUMPRODUCT(实盘持仓配置!$B$5:$X$5,'实盘净值数据(iFinD公式)'!$B7:$X7/'实盘净值数据(iFinD公式)'!$B$5:$X$5))*(1-实盘持仓配置!$Z$5)^(('实盘净值数据(iFinD公式)'!$A8-'实盘净值数据(iFinD公式)'!$A7)/365)-1)</x:f>
        <x:v>#NAME?</x:v>
      </x:c>
      <x:c r="G8" s="16" t="e">
        <x:f>IF(E8="","",E8/MAX(E$5:E8)-1)</x:f>
        <x:v>#NAME?</x:v>
      </x:c>
      <x:c r="H8" s="13" t="e">
        <x:f>IF(OR((ROW()-1)&lt;7,'实盘净值数据(iFinD公式)'!$A8="",'实盘净值数据(iFinD公式)'!$B8=""),"",SUMPRODUCT(实盘持仓配置!$B$6:$X$6,'实盘净值数据(iFinD公式)'!$B8:$X8/'实盘净值数据(iFinD公式)'!$B$7:$X$7)*(1-实盘持仓配置!$Z$6)^(('实盘净值数据(iFinD公式)'!$A8-'实盘净值数据(iFinD公式)'!$A$7)/365))</x:f>
        <x:v>#NAME?</x:v>
      </x:c>
      <x:c r="I8" s="16" t="e">
        <x:f>IF(OR(H7="",'实盘净值数据(iFinD公式)'!$A8="",'实盘净值数据(iFinD公式)'!$B8=""),"",(SUMPRODUCT(实盘持仓配置!$B$6:$X$6,'实盘净值数据(iFinD公式)'!$B7:$X7/'实盘净值数据(iFinD公式)'!$B$7:$X$7,'实盘净值数据(iFinD公式)'!$B8:$X8/'实盘净值数据(iFinD公式)'!$B7:$X7)/SUMPRODUCT(实盘持仓配置!$B$6:$X$6,'实盘净值数据(iFinD公式)'!$B7:$X7/'实盘净值数据(iFinD公式)'!$B$7:$X$7))*(1-实盘持仓配置!$Z$6)^(('实盘净值数据(iFinD公式)'!$A8-'实盘净值数据(iFinD公式)'!$A7)/365)-1)</x:f>
        <x:v>#NAME?</x:v>
      </x:c>
      <x:c r="J8" s="16" t="e">
        <x:f>IF(H8="","",H8/MAX(H$5:H8)-1)</x:f>
        <x:v>#NAME?</x:v>
      </x:c>
      <x:c r="K8" s="13">
        <x:v>1</x:v>
      </x:c>
      <x:c r="L8" s="16" t="e">
        <x:f>IF(OR(K7="",'实盘净值数据(iFinD公式)'!$A8="",'实盘净值数据(iFinD公式)'!$B8=""),"",(SUMPRODUCT(实盘持仓配置!$B$7:$X$7,'实盘净值数据(iFinD公式)'!$B7:$X7/'实盘净值数据(iFinD公式)'!$B$8:$X$8,'实盘净值数据(iFinD公式)'!$B8:$X8/'实盘净值数据(iFinD公式)'!$B7:$X7)/SUMPRODUCT(实盘持仓配置!$B$7:$X$7,'实盘净值数据(iFinD公式)'!$B7:$X7/'实盘净值数据(iFinD公式)'!$B$8:$X$8))*(1-实盘持仓配置!$Z$7)^(('实盘净值数据(iFinD公式)'!$A8-'实盘净值数据(iFinD公式)'!$A7)/365)-1)</x:f>
        <x:v>#NAME?</x:v>
      </x:c>
      <x:c r="M8" s="16" t="e">
        <x:f>IF(K8="","",K8/MAX(K$5:K8)-1)</x:f>
        <x:v>#NAME?</x:v>
      </x:c>
      <x:c r="N8" s="13" t="e">
        <x:f>IF(OR((ROW()-1)&lt;5,'实盘净值数据(iFinD公式)'!$A8="",'实盘净值数据(iFinD公式)'!$B8=""),"",SUMPRODUCT(实盘持仓配置!$B$8:$X$8,'实盘净值数据(iFinD公式)'!$B8:$X8/'实盘净值数据(iFinD公式)'!$B$5:$X$5)*(1-实盘持仓配置!$Z$8)^(('实盘净值数据(iFinD公式)'!$A8-'实盘净值数据(iFinD公式)'!$A$5)/365))</x:f>
        <x:v>#NAME?</x:v>
      </x:c>
      <x:c r="O8" s="16" t="e">
        <x:f>IF(OR(N7="",'实盘净值数据(iFinD公式)'!$A8="",'实盘净值数据(iFinD公式)'!$B8=""),"",(SUMPRODUCT(实盘持仓配置!$B$8:$X$8,'实盘净值数据(iFinD公式)'!$B7:$X7/'实盘净值数据(iFinD公式)'!$B$5:$X$5,'实盘净值数据(iFinD公式)'!$B8:$X8/'实盘净值数据(iFinD公式)'!$B7:$X7)/SUMPRODUCT(实盘持仓配置!$B$8:$X$8,'实盘净值数据(iFinD公式)'!$B7:$X7/'实盘净值数据(iFinD公式)'!$B$5:$X$5))*(1-实盘持仓配置!$Z$8)^(('实盘净值数据(iFinD公式)'!$A8-'实盘净值数据(iFinD公式)'!$A7)/365)-1)</x:f>
        <x:v>#NAME?</x:v>
      </x:c>
      <x:c r="P8" s="16" t="e">
        <x:f>IF(N8="","",N8/MAX(N$5:N8)-1)</x:f>
        <x:v>#NAME?</x:v>
      </x:c>
      <x:c r="Q8" s="13">
        <x:v>1</x:v>
      </x:c>
      <x:c r="R8" s="16" t="e">
        <x:f>IF(OR(Q7="",'实盘净值数据(iFinD公式)'!$A8="",'实盘净值数据(iFinD公式)'!$B8=""),"",(SUMPRODUCT(实盘持仓配置!$B$9:$X$9,'实盘净值数据(iFinD公式)'!$B7:$X7/'实盘净值数据(iFinD公式)'!$B$8:$X$8,'实盘净值数据(iFinD公式)'!$B8:$X8/'实盘净值数据(iFinD公式)'!$B7:$X7)/SUMPRODUCT(实盘持仓配置!$B$9:$X$9,'实盘净值数据(iFinD公式)'!$B7:$X7/'实盘净值数据(iFinD公式)'!$B$8:$X$8))*(1-实盘持仓配置!$Z$9)^(('实盘净值数据(iFinD公式)'!$A8-'实盘净值数据(iFinD公式)'!$A7)/365)-1)</x:f>
        <x:v>#NAME?</x:v>
      </x:c>
      <x:c r="S8" s="16" t="e">
        <x:f>IF(Q8="","",Q8/MAX(Q$5:Q8)-1)</x:f>
        <x:v>#NAME?</x:v>
      </x:c>
      <x:c r="U8" s="17"/>
      <x:c r="V8" s="18"/>
    </x:row>
    <x:row r="9" ht="14">
      <x:c r="A9" s="15" t="n">
        <x:f>IF('实盘净值数据(iFinD公式)'!A9="","",'实盘净值数据(iFinD公式)'!A9)</x:f>
        <x:v>46198</x:v>
      </x:c>
      <x:c r="B9" s="13" t="e">
        <x:f>IF(OR((ROW()-1)&lt;6,'实盘净值数据(iFinD公式)'!$A9="",'实盘净值数据(iFinD公式)'!$B9=""),"",SUMPRODUCT(实盘持仓配置!$B$4:$X$4,'实盘净值数据(iFinD公式)'!$B9:$X9/'实盘净值数据(iFinD公式)'!$B$6:$X$6)*(1-实盘持仓配置!$Z$4)^(('实盘净值数据(iFinD公式)'!$A9-'实盘净值数据(iFinD公式)'!$A$6)/365))</x:f>
        <x:v>#NAME?</x:v>
      </x:c>
      <x:c r="C9" s="16" t="e">
        <x:f>IF(OR(B8="",'实盘净值数据(iFinD公式)'!$A9="",'实盘净值数据(iFinD公式)'!$B9=""),"",(SUMPRODUCT(实盘持仓配置!$B$4:$X$4,'实盘净值数据(iFinD公式)'!$B8:$X8/'实盘净值数据(iFinD公式)'!$B$6:$X$6,'实盘净值数据(iFinD公式)'!$B9:$X9/'实盘净值数据(iFinD公式)'!$B8:$X8)/SUMPRODUCT(实盘持仓配置!$B$4:$X$4,'实盘净值数据(iFinD公式)'!$B8:$X8/'实盘净值数据(iFinD公式)'!$B$6:$X$6))*(1-实盘持仓配置!$Z$4)^(('实盘净值数据(iFinD公式)'!$A9-'实盘净值数据(iFinD公式)'!$A8)/365)-1)</x:f>
        <x:v>#NAME?</x:v>
      </x:c>
      <x:c r="D9" s="16" t="e">
        <x:f>IF(B9="","",B9/MAX(B$5:B9)-1)</x:f>
        <x:v>#NAME?</x:v>
      </x:c>
      <x:c r="E9" s="13" t="e">
        <x:f>IF(OR((ROW()-1)&lt;5,'实盘净值数据(iFinD公式)'!$A9="",'实盘净值数据(iFinD公式)'!$B9=""),"",SUMPRODUCT(实盘持仓配置!$B$5:$X$5,'实盘净值数据(iFinD公式)'!$B9:$X9/'实盘净值数据(iFinD公式)'!$B$5:$X$5)*(1-实盘持仓配置!$Z$5)^(('实盘净值数据(iFinD公式)'!$A9-'实盘净值数据(iFinD公式)'!$A$5)/365))</x:f>
        <x:v>#NAME?</x:v>
      </x:c>
      <x:c r="F9" s="16" t="e">
        <x:f>IF(OR(E8="",'实盘净值数据(iFinD公式)'!$A9="",'实盘净值数据(iFinD公式)'!$B9=""),"",(SUMPRODUCT(实盘持仓配置!$B$5:$X$5,'实盘净值数据(iFinD公式)'!$B8:$X8/'实盘净值数据(iFinD公式)'!$B$5:$X$5,'实盘净值数据(iFinD公式)'!$B9:$X9/'实盘净值数据(iFinD公式)'!$B8:$X8)/SUMPRODUCT(实盘持仓配置!$B$5:$X$5,'实盘净值数据(iFinD公式)'!$B8:$X8/'实盘净值数据(iFinD公式)'!$B$5:$X$5))*(1-实盘持仓配置!$Z$5)^(('实盘净值数据(iFinD公式)'!$A9-'实盘净值数据(iFinD公式)'!$A8)/365)-1)</x:f>
        <x:v>#NAME?</x:v>
      </x:c>
      <x:c r="G9" s="16" t="e">
        <x:f>IF(E9="","",E9/MAX(E$5:E9)-1)</x:f>
        <x:v>#NAME?</x:v>
      </x:c>
      <x:c r="H9" s="13" t="e">
        <x:f>IF(OR((ROW()-1)&lt;7,'实盘净值数据(iFinD公式)'!$A9="",'实盘净值数据(iFinD公式)'!$B9=""),"",SUMPRODUCT(实盘持仓配置!$B$6:$X$6,'实盘净值数据(iFinD公式)'!$B9:$X9/'实盘净值数据(iFinD公式)'!$B$7:$X$7)*(1-实盘持仓配置!$Z$6)^(('实盘净值数据(iFinD公式)'!$A9-'实盘净值数据(iFinD公式)'!$A$7)/365))</x:f>
        <x:v>#NAME?</x:v>
      </x:c>
      <x:c r="I9" s="16" t="e">
        <x:f>IF(OR(H8="",'实盘净值数据(iFinD公式)'!$A9="",'实盘净值数据(iFinD公式)'!$B9=""),"",(SUMPRODUCT(实盘持仓配置!$B$6:$X$6,'实盘净值数据(iFinD公式)'!$B8:$X8/'实盘净值数据(iFinD公式)'!$B$7:$X$7,'实盘净值数据(iFinD公式)'!$B9:$X9/'实盘净值数据(iFinD公式)'!$B8:$X8)/SUMPRODUCT(实盘持仓配置!$B$6:$X$6,'实盘净值数据(iFinD公式)'!$B8:$X8/'实盘净值数据(iFinD公式)'!$B$7:$X$7))*(1-实盘持仓配置!$Z$6)^(('实盘净值数据(iFinD公式)'!$A9-'实盘净值数据(iFinD公式)'!$A8)/365)-1)</x:f>
        <x:v>#NAME?</x:v>
      </x:c>
      <x:c r="J9" s="16" t="e">
        <x:f>IF(H9="","",H9/MAX(H$5:H9)-1)</x:f>
        <x:v>#NAME?</x:v>
      </x:c>
      <x:c r="K9" s="13" t="e">
        <x:f>IF(OR((ROW()-1)&lt;8,'实盘净值数据(iFinD公式)'!$A9="",'实盘净值数据(iFinD公式)'!$B9=""),"",SUMPRODUCT(实盘持仓配置!$B$7:$X$7,'实盘净值数据(iFinD公式)'!$B9:$X9/'实盘净值数据(iFinD公式)'!$B$8:$X$8)*(1-实盘持仓配置!$Z$7)^(('实盘净值数据(iFinD公式)'!$A9-'实盘净值数据(iFinD公式)'!$A$8)/365))</x:f>
        <x:v>#NAME?</x:v>
      </x:c>
      <x:c r="L9" s="16" t="e">
        <x:f>IF(OR(K8="",'实盘净值数据(iFinD公式)'!$A9="",'实盘净值数据(iFinD公式)'!$B9=""),"",(SUMPRODUCT(实盘持仓配置!$B$7:$X$7,'实盘净值数据(iFinD公式)'!$B8:$X8/'实盘净值数据(iFinD公式)'!$B$8:$X$8,'实盘净值数据(iFinD公式)'!$B9:$X9/'实盘净值数据(iFinD公式)'!$B8:$X8)/SUMPRODUCT(实盘持仓配置!$B$7:$X$7,'实盘净值数据(iFinD公式)'!$B8:$X8/'实盘净值数据(iFinD公式)'!$B$8:$X$8))*(1-实盘持仓配置!$Z$7)^(('实盘净值数据(iFinD公式)'!$A9-'实盘净值数据(iFinD公式)'!$A8)/365)-1)</x:f>
        <x:v>#NAME?</x:v>
      </x:c>
      <x:c r="M9" s="16" t="e">
        <x:f>IF(K9="","",K9/MAX(K$5:K9)-1)</x:f>
        <x:v>#NAME?</x:v>
      </x:c>
      <x:c r="N9" s="13" t="e">
        <x:f>IF(OR((ROW()-1)&lt;5,'实盘净值数据(iFinD公式)'!$A9="",'实盘净值数据(iFinD公式)'!$B9=""),"",SUMPRODUCT(实盘持仓配置!$B$8:$X$8,'实盘净值数据(iFinD公式)'!$B9:$X9/'实盘净值数据(iFinD公式)'!$B$5:$X$5)*(1-实盘持仓配置!$Z$8)^(('实盘净值数据(iFinD公式)'!$A9-'实盘净值数据(iFinD公式)'!$A$5)/365))</x:f>
        <x:v>#NAME?</x:v>
      </x:c>
      <x:c r="O9" s="16" t="e">
        <x:f>IF(OR(N8="",'实盘净值数据(iFinD公式)'!$A9="",'实盘净值数据(iFinD公式)'!$B9=""),"",(SUMPRODUCT(实盘持仓配置!$B$8:$X$8,'实盘净值数据(iFinD公式)'!$B8:$X8/'实盘净值数据(iFinD公式)'!$B$5:$X$5,'实盘净值数据(iFinD公式)'!$B9:$X9/'实盘净值数据(iFinD公式)'!$B8:$X8)/SUMPRODUCT(实盘持仓配置!$B$8:$X$8,'实盘净值数据(iFinD公式)'!$B8:$X8/'实盘净值数据(iFinD公式)'!$B$5:$X$5))*(1-实盘持仓配置!$Z$8)^(('实盘净值数据(iFinD公式)'!$A9-'实盘净值数据(iFinD公式)'!$A8)/365)-1)</x:f>
        <x:v>#NAME?</x:v>
      </x:c>
      <x:c r="P9" s="16" t="e">
        <x:f>IF(N9="","",N9/MAX(N$5:N9)-1)</x:f>
        <x:v>#NAME?</x:v>
      </x:c>
      <x:c r="Q9" s="13" t="e">
        <x:f>IF(OR((ROW()-1)&lt;8,'实盘净值数据(iFinD公式)'!$A9="",'实盘净值数据(iFinD公式)'!$B9=""),"",SUMPRODUCT(实盘持仓配置!$B$9:$X$9,'实盘净值数据(iFinD公式)'!$B9:$X9/'实盘净值数据(iFinD公式)'!$B$8:$X$8)*(1-实盘持仓配置!$Z$9)^(('实盘净值数据(iFinD公式)'!$A9-'实盘净值数据(iFinD公式)'!$A$8)/365))</x:f>
        <x:v>#NAME?</x:v>
      </x:c>
      <x:c r="R9" s="16" t="e">
        <x:f>IF(OR(Q8="",'实盘净值数据(iFinD公式)'!$A9="",'实盘净值数据(iFinD公式)'!$B9=""),"",(SUMPRODUCT(实盘持仓配置!$B$9:$X$9,'实盘净值数据(iFinD公式)'!$B8:$X8/'实盘净值数据(iFinD公式)'!$B$8:$X$8,'实盘净值数据(iFinD公式)'!$B9:$X9/'实盘净值数据(iFinD公式)'!$B8:$X8)/SUMPRODUCT(实盘持仓配置!$B$9:$X$9,'实盘净值数据(iFinD公式)'!$B8:$X8/'实盘净值数据(iFinD公式)'!$B$8:$X$8))*(1-实盘持仓配置!$Z$9)^(('实盘净值数据(iFinD公式)'!$A9-'实盘净值数据(iFinD公式)'!$A8)/365)-1)</x:f>
        <x:v>#NAME?</x:v>
      </x:c>
      <x:c r="S9" s="16" t="e">
        <x:f>IF(Q9="","",Q9/MAX(Q$5:Q9)-1)</x:f>
        <x:v>#NAME?</x:v>
      </x:c>
      <x:c r="U9" s="17"/>
      <x:c r="V9" s="18"/>
    </x:row>
    <x:row r="10" ht="14">
      <x:c r="A10" s="15" t="n">
        <x:f>IF('实盘净值数据(iFinD公式)'!A10="","",'实盘净值数据(iFinD公式)'!A10)</x:f>
        <x:v>46199</x:v>
      </x:c>
      <x:c r="B10" s="13" t="e">
        <x:f>IF(OR((ROW()-1)&lt;6,'实盘净值数据(iFinD公式)'!$A10="",'实盘净值数据(iFinD公式)'!$B10=""),"",SUMPRODUCT(实盘持仓配置!$B$4:$X$4,'实盘净值数据(iFinD公式)'!$B10:$X10/'实盘净值数据(iFinD公式)'!$B$6:$X$6)*(1-实盘持仓配置!$Z$4)^(('实盘净值数据(iFinD公式)'!$A10-'实盘净值数据(iFinD公式)'!$A$6)/365))</x:f>
        <x:v>#NAME?</x:v>
      </x:c>
      <x:c r="C10" s="16" t="e">
        <x:f>IF(OR(B9="",'实盘净值数据(iFinD公式)'!$A10="",'实盘净值数据(iFinD公式)'!$B10=""),"",(SUMPRODUCT(实盘持仓配置!$B$4:$X$4,'实盘净值数据(iFinD公式)'!$B9:$X9/'实盘净值数据(iFinD公式)'!$B$6:$X$6,'实盘净值数据(iFinD公式)'!$B10:$X10/'实盘净值数据(iFinD公式)'!$B9:$X9)/SUMPRODUCT(实盘持仓配置!$B$4:$X$4,'实盘净值数据(iFinD公式)'!$B9:$X9/'实盘净值数据(iFinD公式)'!$B$6:$X$6))*(1-实盘持仓配置!$Z$4)^(('实盘净值数据(iFinD公式)'!$A10-'实盘净值数据(iFinD公式)'!$A9)/365)-1)</x:f>
        <x:v>#NAME?</x:v>
      </x:c>
      <x:c r="D10" s="16" t="e">
        <x:f>IF(B10="","",B10/MAX(B$5:B10)-1)</x:f>
        <x:v>#NAME?</x:v>
      </x:c>
      <x:c r="E10" s="13" t="e">
        <x:f>IF(OR((ROW()-1)&lt;5,'实盘净值数据(iFinD公式)'!$A10="",'实盘净值数据(iFinD公式)'!$B10=""),"",SUMPRODUCT(实盘持仓配置!$B$5:$X$5,'实盘净值数据(iFinD公式)'!$B10:$X10/'实盘净值数据(iFinD公式)'!$B$5:$X$5)*(1-实盘持仓配置!$Z$5)^(('实盘净值数据(iFinD公式)'!$A10-'实盘净值数据(iFinD公式)'!$A$5)/365))</x:f>
        <x:v>#NAME?</x:v>
      </x:c>
      <x:c r="F10" s="16" t="e">
        <x:f>IF(OR(E9="",'实盘净值数据(iFinD公式)'!$A10="",'实盘净值数据(iFinD公式)'!$B10=""),"",(SUMPRODUCT(实盘持仓配置!$B$5:$X$5,'实盘净值数据(iFinD公式)'!$B9:$X9/'实盘净值数据(iFinD公式)'!$B$5:$X$5,'实盘净值数据(iFinD公式)'!$B10:$X10/'实盘净值数据(iFinD公式)'!$B9:$X9)/SUMPRODUCT(实盘持仓配置!$B$5:$X$5,'实盘净值数据(iFinD公式)'!$B9:$X9/'实盘净值数据(iFinD公式)'!$B$5:$X$5))*(1-实盘持仓配置!$Z$5)^(('实盘净值数据(iFinD公式)'!$A10-'实盘净值数据(iFinD公式)'!$A9)/365)-1)</x:f>
        <x:v>#NAME?</x:v>
      </x:c>
      <x:c r="G10" s="16" t="e">
        <x:f>IF(E10="","",E10/MAX(E$5:E10)-1)</x:f>
        <x:v>#NAME?</x:v>
      </x:c>
      <x:c r="H10" s="13" t="e">
        <x:f>IF(OR((ROW()-1)&lt;7,'实盘净值数据(iFinD公式)'!$A10="",'实盘净值数据(iFinD公式)'!$B10=""),"",SUMPRODUCT(实盘持仓配置!$B$6:$X$6,'实盘净值数据(iFinD公式)'!$B10:$X10/'实盘净值数据(iFinD公式)'!$B$7:$X$7)*(1-实盘持仓配置!$Z$6)^(('实盘净值数据(iFinD公式)'!$A10-'实盘净值数据(iFinD公式)'!$A$7)/365))</x:f>
        <x:v>#NAME?</x:v>
      </x:c>
      <x:c r="I10" s="16" t="e">
        <x:f>IF(OR(H9="",'实盘净值数据(iFinD公式)'!$A10="",'实盘净值数据(iFinD公式)'!$B10=""),"",(SUMPRODUCT(实盘持仓配置!$B$6:$X$6,'实盘净值数据(iFinD公式)'!$B9:$X9/'实盘净值数据(iFinD公式)'!$B$7:$X$7,'实盘净值数据(iFinD公式)'!$B10:$X10/'实盘净值数据(iFinD公式)'!$B9:$X9)/SUMPRODUCT(实盘持仓配置!$B$6:$X$6,'实盘净值数据(iFinD公式)'!$B9:$X9/'实盘净值数据(iFinD公式)'!$B$7:$X$7))*(1-实盘持仓配置!$Z$6)^(('实盘净值数据(iFinD公式)'!$A10-'实盘净值数据(iFinD公式)'!$A9)/365)-1)</x:f>
        <x:v>#NAME?</x:v>
      </x:c>
      <x:c r="J10" s="16" t="e">
        <x:f>IF(H10="","",H10/MAX(H$5:H10)-1)</x:f>
        <x:v>#NAME?</x:v>
      </x:c>
      <x:c r="K10" s="13" t="e">
        <x:f>IF(OR((ROW()-1)&lt;8,'实盘净值数据(iFinD公式)'!$A10="",'实盘净值数据(iFinD公式)'!$B10=""),"",SUMPRODUCT(实盘持仓配置!$B$7:$X$7,'实盘净值数据(iFinD公式)'!$B10:$X10/'实盘净值数据(iFinD公式)'!$B$8:$X$8)*(1-实盘持仓配置!$Z$7)^(('实盘净值数据(iFinD公式)'!$A10-'实盘净值数据(iFinD公式)'!$A$8)/365))</x:f>
        <x:v>#NAME?</x:v>
      </x:c>
      <x:c r="L10" s="16" t="e">
        <x:f>IF(OR(K9="",'实盘净值数据(iFinD公式)'!$A10="",'实盘净值数据(iFinD公式)'!$B10=""),"",(SUMPRODUCT(实盘持仓配置!$B$7:$X$7,'实盘净值数据(iFinD公式)'!$B9:$X9/'实盘净值数据(iFinD公式)'!$B$8:$X$8,'实盘净值数据(iFinD公式)'!$B10:$X10/'实盘净值数据(iFinD公式)'!$B9:$X9)/SUMPRODUCT(实盘持仓配置!$B$7:$X$7,'实盘净值数据(iFinD公式)'!$B9:$X9/'实盘净值数据(iFinD公式)'!$B$8:$X$8))*(1-实盘持仓配置!$Z$7)^(('实盘净值数据(iFinD公式)'!$A10-'实盘净值数据(iFinD公式)'!$A9)/365)-1)</x:f>
        <x:v>#NAME?</x:v>
      </x:c>
      <x:c r="M10" s="16" t="e">
        <x:f>IF(K10="","",K10/MAX(K$5:K10)-1)</x:f>
        <x:v>#NAME?</x:v>
      </x:c>
      <x:c r="N10" s="13" t="e">
        <x:f>IF(OR((ROW()-1)&lt;5,'实盘净值数据(iFinD公式)'!$A10="",'实盘净值数据(iFinD公式)'!$B10=""),"",SUMPRODUCT(实盘持仓配置!$B$8:$X$8,'实盘净值数据(iFinD公式)'!$B10:$X10/'实盘净值数据(iFinD公式)'!$B$5:$X$5)*(1-实盘持仓配置!$Z$8)^(('实盘净值数据(iFinD公式)'!$A10-'实盘净值数据(iFinD公式)'!$A$5)/365))</x:f>
        <x:v>#NAME?</x:v>
      </x:c>
      <x:c r="O10" s="16" t="e">
        <x:f>IF(OR(N9="",'实盘净值数据(iFinD公式)'!$A10="",'实盘净值数据(iFinD公式)'!$B10=""),"",(SUMPRODUCT(实盘持仓配置!$B$8:$X$8,'实盘净值数据(iFinD公式)'!$B9:$X9/'实盘净值数据(iFinD公式)'!$B$5:$X$5,'实盘净值数据(iFinD公式)'!$B10:$X10/'实盘净值数据(iFinD公式)'!$B9:$X9)/SUMPRODUCT(实盘持仓配置!$B$8:$X$8,'实盘净值数据(iFinD公式)'!$B9:$X9/'实盘净值数据(iFinD公式)'!$B$5:$X$5))*(1-实盘持仓配置!$Z$8)^(('实盘净值数据(iFinD公式)'!$A10-'实盘净值数据(iFinD公式)'!$A9)/365)-1)</x:f>
        <x:v>#NAME?</x:v>
      </x:c>
      <x:c r="P10" s="16" t="e">
        <x:f>IF(N10="","",N10/MAX(N$5:N10)-1)</x:f>
        <x:v>#NAME?</x:v>
      </x:c>
      <x:c r="Q10" s="13" t="e">
        <x:f>IF(OR((ROW()-1)&lt;8,'实盘净值数据(iFinD公式)'!$A10="",'实盘净值数据(iFinD公式)'!$B10=""),"",SUMPRODUCT(实盘持仓配置!$B$9:$X$9,'实盘净值数据(iFinD公式)'!$B10:$X10/'实盘净值数据(iFinD公式)'!$B$8:$X$8)*(1-实盘持仓配置!$Z$9)^(('实盘净值数据(iFinD公式)'!$A10-'实盘净值数据(iFinD公式)'!$A$8)/365))</x:f>
        <x:v>#NAME?</x:v>
      </x:c>
      <x:c r="R10" s="16" t="e">
        <x:f>IF(OR(Q9="",'实盘净值数据(iFinD公式)'!$A10="",'实盘净值数据(iFinD公式)'!$B10=""),"",(SUMPRODUCT(实盘持仓配置!$B$9:$X$9,'实盘净值数据(iFinD公式)'!$B9:$X9/'实盘净值数据(iFinD公式)'!$B$8:$X$8,'实盘净值数据(iFinD公式)'!$B10:$X10/'实盘净值数据(iFinD公式)'!$B9:$X9)/SUMPRODUCT(实盘持仓配置!$B$9:$X$9,'实盘净值数据(iFinD公式)'!$B9:$X9/'实盘净值数据(iFinD公式)'!$B$8:$X$8))*(1-实盘持仓配置!$Z$9)^(('实盘净值数据(iFinD公式)'!$A10-'实盘净值数据(iFinD公式)'!$A9)/365)-1)</x:f>
        <x:v>#NAME?</x:v>
      </x:c>
      <x:c r="S10" s="16" t="e">
        <x:f>IF(Q10="","",Q10/MAX(Q$5:Q10)-1)</x:f>
        <x:v>#NAME?</x:v>
      </x:c>
      <x:c r="U10" s="17"/>
      <x:c r="V10" s="18"/>
    </x:row>
    <x:row r="11" ht="14">
      <x:c r="A11" s="15" t="n">
        <x:f>IF('实盘净值数据(iFinD公式)'!A11="","",'实盘净值数据(iFinD公式)'!A11)</x:f>
        <x:v>46202</x:v>
      </x:c>
      <x:c r="B11" s="13" t="e">
        <x:f>IF(OR((ROW()-1)&lt;6,'实盘净值数据(iFinD公式)'!$A11="",'实盘净值数据(iFinD公式)'!$B11=""),"",SUMPRODUCT(实盘持仓配置!$B$4:$X$4,'实盘净值数据(iFinD公式)'!$B11:$X11/'实盘净值数据(iFinD公式)'!$B$6:$X$6)*(1-实盘持仓配置!$Z$4)^(('实盘净值数据(iFinD公式)'!$A11-'实盘净值数据(iFinD公式)'!$A$6)/365))</x:f>
        <x:v>#NAME?</x:v>
      </x:c>
      <x:c r="C11" s="16" t="e">
        <x:f>IF(OR(B10="",'实盘净值数据(iFinD公式)'!$A11="",'实盘净值数据(iFinD公式)'!$B11=""),"",(SUMPRODUCT(实盘持仓配置!$B$4:$X$4,'实盘净值数据(iFinD公式)'!$B10:$X10/'实盘净值数据(iFinD公式)'!$B$6:$X$6,'实盘净值数据(iFinD公式)'!$B11:$X11/'实盘净值数据(iFinD公式)'!$B10:$X10)/SUMPRODUCT(实盘持仓配置!$B$4:$X$4,'实盘净值数据(iFinD公式)'!$B10:$X10/'实盘净值数据(iFinD公式)'!$B$6:$X$6))*(1-实盘持仓配置!$Z$4)^(('实盘净值数据(iFinD公式)'!$A11-'实盘净值数据(iFinD公式)'!$A10)/365)-1)</x:f>
        <x:v>#NAME?</x:v>
      </x:c>
      <x:c r="D11" s="16" t="e">
        <x:f>IF(B11="","",B11/MAX(B$5:B11)-1)</x:f>
        <x:v>#NAME?</x:v>
      </x:c>
      <x:c r="E11" s="13" t="e">
        <x:f>IF(OR((ROW()-1)&lt;5,'实盘净值数据(iFinD公式)'!$A11="",'实盘净值数据(iFinD公式)'!$B11=""),"",SUMPRODUCT(实盘持仓配置!$B$5:$X$5,'实盘净值数据(iFinD公式)'!$B11:$X11/'实盘净值数据(iFinD公式)'!$B$5:$X$5)*(1-实盘持仓配置!$Z$5)^(('实盘净值数据(iFinD公式)'!$A11-'实盘净值数据(iFinD公式)'!$A$5)/365))</x:f>
        <x:v>#NAME?</x:v>
      </x:c>
      <x:c r="F11" s="16" t="e">
        <x:f>IF(OR(E10="",'实盘净值数据(iFinD公式)'!$A11="",'实盘净值数据(iFinD公式)'!$B11=""),"",(SUMPRODUCT(实盘持仓配置!$B$5:$X$5,'实盘净值数据(iFinD公式)'!$B10:$X10/'实盘净值数据(iFinD公式)'!$B$5:$X$5,'实盘净值数据(iFinD公式)'!$B11:$X11/'实盘净值数据(iFinD公式)'!$B10:$X10)/SUMPRODUCT(实盘持仓配置!$B$5:$X$5,'实盘净值数据(iFinD公式)'!$B10:$X10/'实盘净值数据(iFinD公式)'!$B$5:$X$5))*(1-实盘持仓配置!$Z$5)^(('实盘净值数据(iFinD公式)'!$A11-'实盘净值数据(iFinD公式)'!$A10)/365)-1)</x:f>
        <x:v>#NAME?</x:v>
      </x:c>
      <x:c r="G11" s="16" t="e">
        <x:f>IF(E11="","",E11/MAX(E$5:E11)-1)</x:f>
        <x:v>#NAME?</x:v>
      </x:c>
      <x:c r="H11" s="13" t="e">
        <x:f>IF(OR((ROW()-1)&lt;7,'实盘净值数据(iFinD公式)'!$A11="",'实盘净值数据(iFinD公式)'!$B11=""),"",SUMPRODUCT(实盘持仓配置!$B$6:$X$6,'实盘净值数据(iFinD公式)'!$B11:$X11/'实盘净值数据(iFinD公式)'!$B$7:$X$7)*(1-实盘持仓配置!$Z$6)^(('实盘净值数据(iFinD公式)'!$A11-'实盘净值数据(iFinD公式)'!$A$7)/365))</x:f>
        <x:v>#NAME?</x:v>
      </x:c>
      <x:c r="I11" s="16" t="e">
        <x:f>IF(OR(H10="",'实盘净值数据(iFinD公式)'!$A11="",'实盘净值数据(iFinD公式)'!$B11=""),"",(SUMPRODUCT(实盘持仓配置!$B$6:$X$6,'实盘净值数据(iFinD公式)'!$B10:$X10/'实盘净值数据(iFinD公式)'!$B$7:$X$7,'实盘净值数据(iFinD公式)'!$B11:$X11/'实盘净值数据(iFinD公式)'!$B10:$X10)/SUMPRODUCT(实盘持仓配置!$B$6:$X$6,'实盘净值数据(iFinD公式)'!$B10:$X10/'实盘净值数据(iFinD公式)'!$B$7:$X$7))*(1-实盘持仓配置!$Z$6)^(('实盘净值数据(iFinD公式)'!$A11-'实盘净值数据(iFinD公式)'!$A10)/365)-1)</x:f>
        <x:v>#NAME?</x:v>
      </x:c>
      <x:c r="J11" s="16" t="e">
        <x:f>IF(H11="","",H11/MAX(H$5:H11)-1)</x:f>
        <x:v>#NAME?</x:v>
      </x:c>
      <x:c r="K11" s="13" t="e">
        <x:f>IF(OR((ROW()-1)&lt;8,'实盘净值数据(iFinD公式)'!$A11="",'实盘净值数据(iFinD公式)'!$B11=""),"",SUMPRODUCT(实盘持仓配置!$B$7:$X$7,'实盘净值数据(iFinD公式)'!$B11:$X11/'实盘净值数据(iFinD公式)'!$B$8:$X$8)*(1-实盘持仓配置!$Z$7)^(('实盘净值数据(iFinD公式)'!$A11-'实盘净值数据(iFinD公式)'!$A$8)/365))</x:f>
        <x:v>#NAME?</x:v>
      </x:c>
      <x:c r="L11" s="16" t="e">
        <x:f>IF(OR(K10="",'实盘净值数据(iFinD公式)'!$A11="",'实盘净值数据(iFinD公式)'!$B11=""),"",(SUMPRODUCT(实盘持仓配置!$B$7:$X$7,'实盘净值数据(iFinD公式)'!$B10:$X10/'实盘净值数据(iFinD公式)'!$B$8:$X$8,'实盘净值数据(iFinD公式)'!$B11:$X11/'实盘净值数据(iFinD公式)'!$B10:$X10)/SUMPRODUCT(实盘持仓配置!$B$7:$X$7,'实盘净值数据(iFinD公式)'!$B10:$X10/'实盘净值数据(iFinD公式)'!$B$8:$X$8))*(1-实盘持仓配置!$Z$7)^(('实盘净值数据(iFinD公式)'!$A11-'实盘净值数据(iFinD公式)'!$A10)/365)-1)</x:f>
        <x:v>#NAME?</x:v>
      </x:c>
      <x:c r="M11" s="16" t="e">
        <x:f>IF(K11="","",K11/MAX(K$5:K11)-1)</x:f>
        <x:v>#NAME?</x:v>
      </x:c>
      <x:c r="N11" s="13" t="e">
        <x:f>IF(OR((ROW()-1)&lt;5,'实盘净值数据(iFinD公式)'!$A11="",'实盘净值数据(iFinD公式)'!$B11=""),"",SUMPRODUCT(实盘持仓配置!$B$8:$X$8,'实盘净值数据(iFinD公式)'!$B11:$X11/'实盘净值数据(iFinD公式)'!$B$5:$X$5)*(1-实盘持仓配置!$Z$8)^(('实盘净值数据(iFinD公式)'!$A11-'实盘净值数据(iFinD公式)'!$A$5)/365))</x:f>
        <x:v>#NAME?</x:v>
      </x:c>
      <x:c r="O11" s="16" t="e">
        <x:f>IF(OR(N10="",'实盘净值数据(iFinD公式)'!$A11="",'实盘净值数据(iFinD公式)'!$B11=""),"",(SUMPRODUCT(实盘持仓配置!$B$8:$X$8,'实盘净值数据(iFinD公式)'!$B10:$X10/'实盘净值数据(iFinD公式)'!$B$5:$X$5,'实盘净值数据(iFinD公式)'!$B11:$X11/'实盘净值数据(iFinD公式)'!$B10:$X10)/SUMPRODUCT(实盘持仓配置!$B$8:$X$8,'实盘净值数据(iFinD公式)'!$B10:$X10/'实盘净值数据(iFinD公式)'!$B$5:$X$5))*(1-实盘持仓配置!$Z$8)^(('实盘净值数据(iFinD公式)'!$A11-'实盘净值数据(iFinD公式)'!$A10)/365)-1)</x:f>
        <x:v>#NAME?</x:v>
      </x:c>
      <x:c r="P11" s="16" t="e">
        <x:f>IF(N11="","",N11/MAX(N$5:N11)-1)</x:f>
        <x:v>#NAME?</x:v>
      </x:c>
      <x:c r="Q11" s="13" t="e">
        <x:f>IF(OR((ROW()-1)&lt;8,'实盘净值数据(iFinD公式)'!$A11="",'实盘净值数据(iFinD公式)'!$B11=""),"",SUMPRODUCT(实盘持仓配置!$B$9:$X$9,'实盘净值数据(iFinD公式)'!$B11:$X11/'实盘净值数据(iFinD公式)'!$B$8:$X$8)*(1-实盘持仓配置!$Z$9)^(('实盘净值数据(iFinD公式)'!$A11-'实盘净值数据(iFinD公式)'!$A$8)/365))</x:f>
        <x:v>#NAME?</x:v>
      </x:c>
      <x:c r="R11" s="16" t="e">
        <x:f>IF(OR(Q10="",'实盘净值数据(iFinD公式)'!$A11="",'实盘净值数据(iFinD公式)'!$B11=""),"",(SUMPRODUCT(实盘持仓配置!$B$9:$X$9,'实盘净值数据(iFinD公式)'!$B10:$X10/'实盘净值数据(iFinD公式)'!$B$8:$X$8,'实盘净值数据(iFinD公式)'!$B11:$X11/'实盘净值数据(iFinD公式)'!$B10:$X10)/SUMPRODUCT(实盘持仓配置!$B$9:$X$9,'实盘净值数据(iFinD公式)'!$B10:$X10/'实盘净值数据(iFinD公式)'!$B$8:$X$8))*(1-实盘持仓配置!$Z$9)^(('实盘净值数据(iFinD公式)'!$A11-'实盘净值数据(iFinD公式)'!$A10)/365)-1)</x:f>
        <x:v>#NAME?</x:v>
      </x:c>
      <x:c r="S11" s="16" t="e">
        <x:f>IF(Q11="","",Q11/MAX(Q$5:Q11)-1)</x:f>
        <x:v>#NAME?</x:v>
      </x:c>
      <x:c r="U11" s="17"/>
      <x:c r="V11" s="18"/>
    </x:row>
    <x:row r="12">
      <x:c r="A12" s="15" t="n">
        <x:f>IF('实盘净值数据(iFinD公式)'!A12="","",'实盘净值数据(iFinD公式)'!A12)</x:f>
        <x:v>46203</x:v>
      </x:c>
      <x:c r="B12" s="13" t="e">
        <x:f>IF(OR((ROW()-1)&lt;6,'实盘净值数据(iFinD公式)'!$A12="",'实盘净值数据(iFinD公式)'!$B12=""),"",SUMPRODUCT(实盘持仓配置!$B$4:$X$4,'实盘净值数据(iFinD公式)'!$B12:$X12/'实盘净值数据(iFinD公式)'!$B$6:$X$6)*(1-实盘持仓配置!$Z$4)^(('实盘净值数据(iFinD公式)'!$A12-'实盘净值数据(iFinD公式)'!$A$6)/365))</x:f>
        <x:v>#NAME?</x:v>
      </x:c>
      <x:c r="C12" s="16" t="e">
        <x:f>IF(OR(B11="",'实盘净值数据(iFinD公式)'!$A12="",'实盘净值数据(iFinD公式)'!$B12=""),"",(SUMPRODUCT(实盘持仓配置!$B$4:$X$4,'实盘净值数据(iFinD公式)'!$B11:$X11/'实盘净值数据(iFinD公式)'!$B$6:$X$6,'实盘净值数据(iFinD公式)'!$B12:$X12/'实盘净值数据(iFinD公式)'!$B11:$X11)/SUMPRODUCT(实盘持仓配置!$B$4:$X$4,'实盘净值数据(iFinD公式)'!$B11:$X11/'实盘净值数据(iFinD公式)'!$B$6:$X$6))*(1-实盘持仓配置!$Z$4)^(('实盘净值数据(iFinD公式)'!$A12-'实盘净值数据(iFinD公式)'!$A11)/365)-1)</x:f>
        <x:v>#NAME?</x:v>
      </x:c>
      <x:c r="D12" s="16" t="e">
        <x:f>IF(B12="","",B12/MAX(B$5:B12)-1)</x:f>
        <x:v>#NAME?</x:v>
      </x:c>
      <x:c r="E12" s="13" t="e">
        <x:f>IF(OR((ROW()-1)&lt;5,'实盘净值数据(iFinD公式)'!$A12="",'实盘净值数据(iFinD公式)'!$B12=""),"",SUMPRODUCT(实盘持仓配置!$B$5:$X$5,'实盘净值数据(iFinD公式)'!$B12:$X12/'实盘净值数据(iFinD公式)'!$B$5:$X$5)*(1-实盘持仓配置!$Z$5)^(('实盘净值数据(iFinD公式)'!$A12-'实盘净值数据(iFinD公式)'!$A$5)/365))</x:f>
        <x:v>#NAME?</x:v>
      </x:c>
      <x:c r="F12" s="16" t="e">
        <x:f>IF(OR(E11="",'实盘净值数据(iFinD公式)'!$A12="",'实盘净值数据(iFinD公式)'!$B12=""),"",(SUMPRODUCT(实盘持仓配置!$B$5:$X$5,'实盘净值数据(iFinD公式)'!$B11:$X11/'实盘净值数据(iFinD公式)'!$B$5:$X$5,'实盘净值数据(iFinD公式)'!$B12:$X12/'实盘净值数据(iFinD公式)'!$B11:$X11)/SUMPRODUCT(实盘持仓配置!$B$5:$X$5,'实盘净值数据(iFinD公式)'!$B11:$X11/'实盘净值数据(iFinD公式)'!$B$5:$X$5))*(1-实盘持仓配置!$Z$5)^(('实盘净值数据(iFinD公式)'!$A12-'实盘净值数据(iFinD公式)'!$A11)/365)-1)</x:f>
        <x:v>#NAME?</x:v>
      </x:c>
      <x:c r="G12" s="16" t="e">
        <x:f>IF(E12="","",E12/MAX(E$5:E12)-1)</x:f>
        <x:v>#NAME?</x:v>
      </x:c>
      <x:c r="H12" s="13" t="e">
        <x:f>IF(OR((ROW()-1)&lt;7,'实盘净值数据(iFinD公式)'!$A12="",'实盘净值数据(iFinD公式)'!$B12=""),"",SUMPRODUCT(实盘持仓配置!$B$6:$X$6,'实盘净值数据(iFinD公式)'!$B12:$X12/'实盘净值数据(iFinD公式)'!$B$7:$X$7)*(1-实盘持仓配置!$Z$6)^(('实盘净值数据(iFinD公式)'!$A12-'实盘净值数据(iFinD公式)'!$A$7)/365))</x:f>
        <x:v>#NAME?</x:v>
      </x:c>
      <x:c r="I12" s="16" t="e">
        <x:f>IF(OR(H11="",'实盘净值数据(iFinD公式)'!$A12="",'实盘净值数据(iFinD公式)'!$B12=""),"",(SUMPRODUCT(实盘持仓配置!$B$6:$X$6,'实盘净值数据(iFinD公式)'!$B11:$X11/'实盘净值数据(iFinD公式)'!$B$7:$X$7,'实盘净值数据(iFinD公式)'!$B12:$X12/'实盘净值数据(iFinD公式)'!$B11:$X11)/SUMPRODUCT(实盘持仓配置!$B$6:$X$6,'实盘净值数据(iFinD公式)'!$B11:$X11/'实盘净值数据(iFinD公式)'!$B$7:$X$7))*(1-实盘持仓配置!$Z$6)^(('实盘净值数据(iFinD公式)'!$A12-'实盘净值数据(iFinD公式)'!$A11)/365)-1)</x:f>
        <x:v>#NAME?</x:v>
      </x:c>
      <x:c r="J12" s="16" t="e">
        <x:f>IF(H12="","",H12/MAX(H$5:H12)-1)</x:f>
        <x:v>#NAME?</x:v>
      </x:c>
      <x:c r="K12" s="13" t="e">
        <x:f>IF(OR((ROW()-1)&lt;8,'实盘净值数据(iFinD公式)'!$A12="",'实盘净值数据(iFinD公式)'!$B12=""),"",SUMPRODUCT(实盘持仓配置!$B$7:$X$7,'实盘净值数据(iFinD公式)'!$B12:$X12/'实盘净值数据(iFinD公式)'!$B$8:$X$8)*(1-实盘持仓配置!$Z$7)^(('实盘净值数据(iFinD公式)'!$A12-'实盘净值数据(iFinD公式)'!$A$8)/365))</x:f>
        <x:v>#NAME?</x:v>
      </x:c>
      <x:c r="L12" s="16" t="e">
        <x:f>IF(OR(K11="",'实盘净值数据(iFinD公式)'!$A12="",'实盘净值数据(iFinD公式)'!$B12=""),"",(SUMPRODUCT(实盘持仓配置!$B$7:$X$7,'实盘净值数据(iFinD公式)'!$B11:$X11/'实盘净值数据(iFinD公式)'!$B$8:$X$8,'实盘净值数据(iFinD公式)'!$B12:$X12/'实盘净值数据(iFinD公式)'!$B11:$X11)/SUMPRODUCT(实盘持仓配置!$B$7:$X$7,'实盘净值数据(iFinD公式)'!$B11:$X11/'实盘净值数据(iFinD公式)'!$B$8:$X$8))*(1-实盘持仓配置!$Z$7)^(('实盘净值数据(iFinD公式)'!$A12-'实盘净值数据(iFinD公式)'!$A11)/365)-1)</x:f>
        <x:v>#NAME?</x:v>
      </x:c>
      <x:c r="M12" s="16" t="e">
        <x:f>IF(K12="","",K12/MAX(K$5:K12)-1)</x:f>
        <x:v>#NAME?</x:v>
      </x:c>
      <x:c r="N12" s="13" t="e">
        <x:f>IF(OR((ROW()-1)&lt;5,'实盘净值数据(iFinD公式)'!$A12="",'实盘净值数据(iFinD公式)'!$B12=""),"",SUMPRODUCT(实盘持仓配置!$B$8:$X$8,'实盘净值数据(iFinD公式)'!$B12:$X12/'实盘净值数据(iFinD公式)'!$B$5:$X$5)*(1-实盘持仓配置!$Z$8)^(('实盘净值数据(iFinD公式)'!$A12-'实盘净值数据(iFinD公式)'!$A$5)/365))</x:f>
        <x:v>#NAME?</x:v>
      </x:c>
      <x:c r="O12" s="16" t="e">
        <x:f>IF(OR(N11="",'实盘净值数据(iFinD公式)'!$A12="",'实盘净值数据(iFinD公式)'!$B12=""),"",(SUMPRODUCT(实盘持仓配置!$B$8:$X$8,'实盘净值数据(iFinD公式)'!$B11:$X11/'实盘净值数据(iFinD公式)'!$B$5:$X$5,'实盘净值数据(iFinD公式)'!$B12:$X12/'实盘净值数据(iFinD公式)'!$B11:$X11)/SUMPRODUCT(实盘持仓配置!$B$8:$X$8,'实盘净值数据(iFinD公式)'!$B11:$X11/'实盘净值数据(iFinD公式)'!$B$5:$X$5))*(1-实盘持仓配置!$Z$8)^(('实盘净值数据(iFinD公式)'!$A12-'实盘净值数据(iFinD公式)'!$A11)/365)-1)</x:f>
        <x:v>#NAME?</x:v>
      </x:c>
      <x:c r="P12" s="16" t="e">
        <x:f>IF(N12="","",N12/MAX(N$5:N12)-1)</x:f>
        <x:v>#NAME?</x:v>
      </x:c>
      <x:c r="Q12" s="13" t="e">
        <x:f>IF(OR((ROW()-1)&lt;8,'实盘净值数据(iFinD公式)'!$A12="",'实盘净值数据(iFinD公式)'!$B12=""),"",SUMPRODUCT(实盘持仓配置!$B$9:$X$9,'实盘净值数据(iFinD公式)'!$B12:$X12/'实盘净值数据(iFinD公式)'!$B$8:$X$8)*(1-实盘持仓配置!$Z$9)^(('实盘净值数据(iFinD公式)'!$A12-'实盘净值数据(iFinD公式)'!$A$8)/365))</x:f>
        <x:v>#NAME?</x:v>
      </x:c>
      <x:c r="R12" s="16" t="e">
        <x:f>IF(OR(Q11="",'实盘净值数据(iFinD公式)'!$A12="",'实盘净值数据(iFinD公式)'!$B12=""),"",(SUMPRODUCT(实盘持仓配置!$B$9:$X$9,'实盘净值数据(iFinD公式)'!$B11:$X11/'实盘净值数据(iFinD公式)'!$B$8:$X$8,'实盘净值数据(iFinD公式)'!$B12:$X12/'实盘净值数据(iFinD公式)'!$B11:$X11)/SUMPRODUCT(实盘持仓配置!$B$9:$X$9,'实盘净值数据(iFinD公式)'!$B11:$X11/'实盘净值数据(iFinD公式)'!$B$8:$X$8))*(1-实盘持仓配置!$Z$9)^(('实盘净值数据(iFinD公式)'!$A12-'实盘净值数据(iFinD公式)'!$A11)/365)-1)</x:f>
        <x:v>#NAME?</x:v>
      </x:c>
      <x:c r="S12" s="16" t="e">
        <x:f>IF(Q12="","",Q12/MAX(Q$5:Q12)-1)</x:f>
        <x:v>#NAME?</x:v>
      </x:c>
    </x:row>
    <x:row r="13">
      <x:c r="A13" s="15" t="n">
        <x:f>IF('实盘净值数据(iFinD公式)'!A13="","",'实盘净值数据(iFinD公式)'!A13)</x:f>
        <x:v>46204</x:v>
      </x:c>
      <x:c r="B13" s="13" t="e">
        <x:f>IF(OR((ROW()-1)&lt;6,'实盘净值数据(iFinD公式)'!$A13="",'实盘净值数据(iFinD公式)'!$B13=""),"",SUMPRODUCT(实盘持仓配置!$B$4:$X$4,'实盘净值数据(iFinD公式)'!$B13:$X13/'实盘净值数据(iFinD公式)'!$B$6:$X$6)*(1-实盘持仓配置!$Z$4)^(('实盘净值数据(iFinD公式)'!$A13-'实盘净值数据(iFinD公式)'!$A$6)/365))</x:f>
        <x:v>#NAME?</x:v>
      </x:c>
      <x:c r="C13" s="16" t="e">
        <x:f>IF(OR(B12="",'实盘净值数据(iFinD公式)'!$A13="",'实盘净值数据(iFinD公式)'!$B13=""),"",(SUMPRODUCT(实盘持仓配置!$B$4:$X$4,'实盘净值数据(iFinD公式)'!$B12:$X12/'实盘净值数据(iFinD公式)'!$B$6:$X$6,'实盘净值数据(iFinD公式)'!$B13:$X13/'实盘净值数据(iFinD公式)'!$B12:$X12)/SUMPRODUCT(实盘持仓配置!$B$4:$X$4,'实盘净值数据(iFinD公式)'!$B12:$X12/'实盘净值数据(iFinD公式)'!$B$6:$X$6))*(1-实盘持仓配置!$Z$4)^(('实盘净值数据(iFinD公式)'!$A13-'实盘净值数据(iFinD公式)'!$A12)/365)-1)</x:f>
        <x:v>#NAME?</x:v>
      </x:c>
      <x:c r="D13" s="16" t="e">
        <x:f>IF(B13="","",B13/MAX(B$5:B13)-1)</x:f>
        <x:v>#NAME?</x:v>
      </x:c>
      <x:c r="E13" s="13" t="e">
        <x:f>IF(OR((ROW()-1)&lt;5,'实盘净值数据(iFinD公式)'!$A13="",'实盘净值数据(iFinD公式)'!$B13=""),"",SUMPRODUCT(实盘持仓配置!$B$5:$X$5,'实盘净值数据(iFinD公式)'!$B13:$X13/'实盘净值数据(iFinD公式)'!$B$5:$X$5)*(1-实盘持仓配置!$Z$5)^(('实盘净值数据(iFinD公式)'!$A13-'实盘净值数据(iFinD公式)'!$A$5)/365))</x:f>
        <x:v>#NAME?</x:v>
      </x:c>
      <x:c r="F13" s="16" t="e">
        <x:f>IF(OR(E12="",'实盘净值数据(iFinD公式)'!$A13="",'实盘净值数据(iFinD公式)'!$B13=""),"",(SUMPRODUCT(实盘持仓配置!$B$5:$X$5,'实盘净值数据(iFinD公式)'!$B12:$X12/'实盘净值数据(iFinD公式)'!$B$5:$X$5,'实盘净值数据(iFinD公式)'!$B13:$X13/'实盘净值数据(iFinD公式)'!$B12:$X12)/SUMPRODUCT(实盘持仓配置!$B$5:$X$5,'实盘净值数据(iFinD公式)'!$B12:$X12/'实盘净值数据(iFinD公式)'!$B$5:$X$5))*(1-实盘持仓配置!$Z$5)^(('实盘净值数据(iFinD公式)'!$A13-'实盘净值数据(iFinD公式)'!$A12)/365)-1)</x:f>
        <x:v>#NAME?</x:v>
      </x:c>
      <x:c r="G13" s="16" t="e">
        <x:f>IF(E13="","",E13/MAX(E$5:E13)-1)</x:f>
        <x:v>#NAME?</x:v>
      </x:c>
      <x:c r="H13" s="13" t="e">
        <x:f>IF(OR((ROW()-1)&lt;7,'实盘净值数据(iFinD公式)'!$A13="",'实盘净值数据(iFinD公式)'!$B13=""),"",SUMPRODUCT(实盘持仓配置!$B$6:$X$6,'实盘净值数据(iFinD公式)'!$B13:$X13/'实盘净值数据(iFinD公式)'!$B$7:$X$7)*(1-实盘持仓配置!$Z$6)^(('实盘净值数据(iFinD公式)'!$A13-'实盘净值数据(iFinD公式)'!$A$7)/365))</x:f>
        <x:v>#NAME?</x:v>
      </x:c>
      <x:c r="I13" s="16" t="e">
        <x:f>IF(OR(H12="",'实盘净值数据(iFinD公式)'!$A13="",'实盘净值数据(iFinD公式)'!$B13=""),"",(SUMPRODUCT(实盘持仓配置!$B$6:$X$6,'实盘净值数据(iFinD公式)'!$B12:$X12/'实盘净值数据(iFinD公式)'!$B$7:$X$7,'实盘净值数据(iFinD公式)'!$B13:$X13/'实盘净值数据(iFinD公式)'!$B12:$X12)/SUMPRODUCT(实盘持仓配置!$B$6:$X$6,'实盘净值数据(iFinD公式)'!$B12:$X12/'实盘净值数据(iFinD公式)'!$B$7:$X$7))*(1-实盘持仓配置!$Z$6)^(('实盘净值数据(iFinD公式)'!$A13-'实盘净值数据(iFinD公式)'!$A12)/365)-1)</x:f>
        <x:v>#NAME?</x:v>
      </x:c>
      <x:c r="J13" s="16" t="e">
        <x:f>IF(H13="","",H13/MAX(H$5:H13)-1)</x:f>
        <x:v>#NAME?</x:v>
      </x:c>
      <x:c r="K13" s="13" t="e">
        <x:f>IF(OR((ROW()-1)&lt;8,'实盘净值数据(iFinD公式)'!$A13="",'实盘净值数据(iFinD公式)'!$B13=""),"",SUMPRODUCT(实盘持仓配置!$B$7:$X$7,'实盘净值数据(iFinD公式)'!$B13:$X13/'实盘净值数据(iFinD公式)'!$B$8:$X$8)*(1-实盘持仓配置!$Z$7)^(('实盘净值数据(iFinD公式)'!$A13-'实盘净值数据(iFinD公式)'!$A$8)/365))</x:f>
        <x:v>#NAME?</x:v>
      </x:c>
      <x:c r="L13" s="16" t="e">
        <x:f>IF(OR(K12="",'实盘净值数据(iFinD公式)'!$A13="",'实盘净值数据(iFinD公式)'!$B13=""),"",(SUMPRODUCT(实盘持仓配置!$B$7:$X$7,'实盘净值数据(iFinD公式)'!$B12:$X12/'实盘净值数据(iFinD公式)'!$B$8:$X$8,'实盘净值数据(iFinD公式)'!$B13:$X13/'实盘净值数据(iFinD公式)'!$B12:$X12)/SUMPRODUCT(实盘持仓配置!$B$7:$X$7,'实盘净值数据(iFinD公式)'!$B12:$X12/'实盘净值数据(iFinD公式)'!$B$8:$X$8))*(1-实盘持仓配置!$Z$7)^(('实盘净值数据(iFinD公式)'!$A13-'实盘净值数据(iFinD公式)'!$A12)/365)-1)</x:f>
        <x:v>#NAME?</x:v>
      </x:c>
      <x:c r="M13" s="16" t="e">
        <x:f>IF(K13="","",K13/MAX(K$5:K13)-1)</x:f>
        <x:v>#NAME?</x:v>
      </x:c>
      <x:c r="N13" s="13" t="e">
        <x:f>IF(OR((ROW()-1)&lt;5,'实盘净值数据(iFinD公式)'!$A13="",'实盘净值数据(iFinD公式)'!$B13=""),"",SUMPRODUCT(实盘持仓配置!$B$8:$X$8,'实盘净值数据(iFinD公式)'!$B13:$X13/'实盘净值数据(iFinD公式)'!$B$5:$X$5)*(1-实盘持仓配置!$Z$8)^(('实盘净值数据(iFinD公式)'!$A13-'实盘净值数据(iFinD公式)'!$A$5)/365))</x:f>
        <x:v>#NAME?</x:v>
      </x:c>
      <x:c r="O13" s="16" t="e">
        <x:f>IF(OR(N12="",'实盘净值数据(iFinD公式)'!$A13="",'实盘净值数据(iFinD公式)'!$B13=""),"",(SUMPRODUCT(实盘持仓配置!$B$8:$X$8,'实盘净值数据(iFinD公式)'!$B12:$X12/'实盘净值数据(iFinD公式)'!$B$5:$X$5,'实盘净值数据(iFinD公式)'!$B13:$X13/'实盘净值数据(iFinD公式)'!$B12:$X12)/SUMPRODUCT(实盘持仓配置!$B$8:$X$8,'实盘净值数据(iFinD公式)'!$B12:$X12/'实盘净值数据(iFinD公式)'!$B$5:$X$5))*(1-实盘持仓配置!$Z$8)^(('实盘净值数据(iFinD公式)'!$A13-'实盘净值数据(iFinD公式)'!$A12)/365)-1)</x:f>
        <x:v>#NAME?</x:v>
      </x:c>
      <x:c r="P13" s="16" t="e">
        <x:f>IF(N13="","",N13/MAX(N$5:N13)-1)</x:f>
        <x:v>#NAME?</x:v>
      </x:c>
      <x:c r="Q13" s="13" t="e">
        <x:f>IF(OR((ROW()-1)&lt;8,'实盘净值数据(iFinD公式)'!$A13="",'实盘净值数据(iFinD公式)'!$B13=""),"",SUMPRODUCT(实盘持仓配置!$B$9:$X$9,'实盘净值数据(iFinD公式)'!$B13:$X13/'实盘净值数据(iFinD公式)'!$B$8:$X$8)*(1-实盘持仓配置!$Z$9)^(('实盘净值数据(iFinD公式)'!$A13-'实盘净值数据(iFinD公式)'!$A$8)/365))</x:f>
        <x:v>#NAME?</x:v>
      </x:c>
      <x:c r="R13" s="16" t="e">
        <x:f>IF(OR(Q12="",'实盘净值数据(iFinD公式)'!$A13="",'实盘净值数据(iFinD公式)'!$B13=""),"",(SUMPRODUCT(实盘持仓配置!$B$9:$X$9,'实盘净值数据(iFinD公式)'!$B12:$X12/'实盘净值数据(iFinD公式)'!$B$8:$X$8,'实盘净值数据(iFinD公式)'!$B13:$X13/'实盘净值数据(iFinD公式)'!$B12:$X12)/SUMPRODUCT(实盘持仓配置!$B$9:$X$9,'实盘净值数据(iFinD公式)'!$B12:$X12/'实盘净值数据(iFinD公式)'!$B$8:$X$8))*(1-实盘持仓配置!$Z$9)^(('实盘净值数据(iFinD公式)'!$A13-'实盘净值数据(iFinD公式)'!$A12)/365)-1)</x:f>
        <x:v>#NAME?</x:v>
      </x:c>
      <x:c r="S13" s="16" t="e">
        <x:f>IF(Q13="","",Q13/MAX(Q$5:Q13)-1)</x:f>
        <x:v>#NAME?</x:v>
      </x:c>
    </x:row>
    <x:row r="14">
      <x:c r="A14" s="15" t="n">
        <x:f>IF('实盘净值数据(iFinD公式)'!A14="","",'实盘净值数据(iFinD公式)'!A14)</x:f>
        <x:v>46205</x:v>
      </x:c>
      <x:c r="B14" s="13" t="e">
        <x:f>IF(OR((ROW()-1)&lt;6,'实盘净值数据(iFinD公式)'!$A14="",'实盘净值数据(iFinD公式)'!$B14=""),"",SUMPRODUCT(实盘持仓配置!$B$4:$X$4,'实盘净值数据(iFinD公式)'!$B14:$X14/'实盘净值数据(iFinD公式)'!$B$6:$X$6)*(1-实盘持仓配置!$Z$4)^(('实盘净值数据(iFinD公式)'!$A14-'实盘净值数据(iFinD公式)'!$A$6)/365))</x:f>
        <x:v>#NAME?</x:v>
      </x:c>
      <x:c r="C14" s="16" t="e">
        <x:f>IF(OR(B13="",'实盘净值数据(iFinD公式)'!$A14="",'实盘净值数据(iFinD公式)'!$B14=""),"",(SUMPRODUCT(实盘持仓配置!$B$4:$X$4,'实盘净值数据(iFinD公式)'!$B13:$X13/'实盘净值数据(iFinD公式)'!$B$6:$X$6,'实盘净值数据(iFinD公式)'!$B14:$X14/'实盘净值数据(iFinD公式)'!$B13:$X13)/SUMPRODUCT(实盘持仓配置!$B$4:$X$4,'实盘净值数据(iFinD公式)'!$B13:$X13/'实盘净值数据(iFinD公式)'!$B$6:$X$6))*(1-实盘持仓配置!$Z$4)^(('实盘净值数据(iFinD公式)'!$A14-'实盘净值数据(iFinD公式)'!$A13)/365)-1)</x:f>
        <x:v>#NAME?</x:v>
      </x:c>
      <x:c r="D14" s="16" t="e">
        <x:f>IF(B14="","",B14/MAX(B$5:B14)-1)</x:f>
        <x:v>#NAME?</x:v>
      </x:c>
      <x:c r="E14" s="13" t="e">
        <x:f>IF(OR((ROW()-1)&lt;5,'实盘净值数据(iFinD公式)'!$A14="",'实盘净值数据(iFinD公式)'!$B14=""),"",SUMPRODUCT(实盘持仓配置!$B$5:$X$5,'实盘净值数据(iFinD公式)'!$B14:$X14/'实盘净值数据(iFinD公式)'!$B$5:$X$5)*(1-实盘持仓配置!$Z$5)^(('实盘净值数据(iFinD公式)'!$A14-'实盘净值数据(iFinD公式)'!$A$5)/365))</x:f>
        <x:v>#NAME?</x:v>
      </x:c>
      <x:c r="F14" s="16" t="e">
        <x:f>IF(OR(E13="",'实盘净值数据(iFinD公式)'!$A14="",'实盘净值数据(iFinD公式)'!$B14=""),"",(SUMPRODUCT(实盘持仓配置!$B$5:$X$5,'实盘净值数据(iFinD公式)'!$B13:$X13/'实盘净值数据(iFinD公式)'!$B$5:$X$5,'实盘净值数据(iFinD公式)'!$B14:$X14/'实盘净值数据(iFinD公式)'!$B13:$X13)/SUMPRODUCT(实盘持仓配置!$B$5:$X$5,'实盘净值数据(iFinD公式)'!$B13:$X13/'实盘净值数据(iFinD公式)'!$B$5:$X$5))*(1-实盘持仓配置!$Z$5)^(('实盘净值数据(iFinD公式)'!$A14-'实盘净值数据(iFinD公式)'!$A13)/365)-1)</x:f>
        <x:v>#NAME?</x:v>
      </x:c>
      <x:c r="G14" s="16" t="e">
        <x:f>IF(E14="","",E14/MAX(E$5:E14)-1)</x:f>
        <x:v>#NAME?</x:v>
      </x:c>
      <x:c r="H14" s="13" t="e">
        <x:f>IF(OR((ROW()-1)&lt;7,'实盘净值数据(iFinD公式)'!$A14="",'实盘净值数据(iFinD公式)'!$B14=""),"",SUMPRODUCT(实盘持仓配置!$B$6:$X$6,'实盘净值数据(iFinD公式)'!$B14:$X14/'实盘净值数据(iFinD公式)'!$B$7:$X$7)*(1-实盘持仓配置!$Z$6)^(('实盘净值数据(iFinD公式)'!$A14-'实盘净值数据(iFinD公式)'!$A$7)/365))</x:f>
        <x:v>#NAME?</x:v>
      </x:c>
      <x:c r="I14" s="16" t="e">
        <x:f>IF(OR(H13="",'实盘净值数据(iFinD公式)'!$A14="",'实盘净值数据(iFinD公式)'!$B14=""),"",(SUMPRODUCT(实盘持仓配置!$B$6:$X$6,'实盘净值数据(iFinD公式)'!$B13:$X13/'实盘净值数据(iFinD公式)'!$B$7:$X$7,'实盘净值数据(iFinD公式)'!$B14:$X14/'实盘净值数据(iFinD公式)'!$B13:$X13)/SUMPRODUCT(实盘持仓配置!$B$6:$X$6,'实盘净值数据(iFinD公式)'!$B13:$X13/'实盘净值数据(iFinD公式)'!$B$7:$X$7))*(1-实盘持仓配置!$Z$6)^(('实盘净值数据(iFinD公式)'!$A14-'实盘净值数据(iFinD公式)'!$A13)/365)-1)</x:f>
        <x:v>#NAME?</x:v>
      </x:c>
      <x:c r="J14" s="16" t="e">
        <x:f>IF(H14="","",H14/MAX(H$5:H14)-1)</x:f>
        <x:v>#NAME?</x:v>
      </x:c>
      <x:c r="K14" s="13" t="e">
        <x:f>IF(OR('实盘净值数据(iFinD公式)'!$A14="",'实盘净值数据(iFinD公式)'!$B14=""),"",分期持仓明细!$AB$9*SUMPRODUCT(分期持仓明细!$B$9:$Y$9,'实盘净值数据(iFinD公式)'!$B14:$Y14/'实盘净值数据(iFinD公式)'!$B$13:$Y$13)*(1-实盘持仓配置!$Z$7)^(('实盘净值数据(iFinD公式)'!$A14-'实盘净值数据(iFinD公式)'!$A$8)/365))</x:f>
        <x:v>#NAME?</x:v>
      </x:c>
      <x:c r="L14" s="16" t="e">
        <x:f t="shared" ref="L14:L59" si="0">IF(OR(K13="",K14=""),"",K14/K13-1)</x:f>
        <x:v>#NAME?</x:v>
      </x:c>
      <x:c r="M14" s="16" t="e">
        <x:f>IF(K14="","",K14/MAX(K$5:K14)-1)</x:f>
        <x:v>#NAME?</x:v>
      </x:c>
      <x:c r="N14" s="13" t="e">
        <x:f>IF(OR('实盘净值数据(iFinD公式)'!$A14="",'实盘净值数据(iFinD公式)'!$B14=""),"",分期持仓明细!$AB$11*SUMPRODUCT(分期持仓明细!$B$11:$Y$11,'实盘净值数据(iFinD公式)'!$B14:$Y14/'实盘净值数据(iFinD公式)'!$B$13:$Y$13)*(1-实盘持仓配置!$Z$8)^(('实盘净值数据(iFinD公式)'!$A14-'实盘净值数据(iFinD公式)'!$A$5)/365))</x:f>
        <x:v>#NAME?</x:v>
      </x:c>
      <x:c r="O14" s="16" t="e">
        <x:f t="shared" ref="O14:O59" si="1">IF(OR(N13="",N14=""),"",N14/N13-1)</x:f>
        <x:v>#NAME?</x:v>
      </x:c>
      <x:c r="P14" s="16" t="e">
        <x:f>IF(N14="","",N14/MAX(N$5:N14)-1)</x:f>
        <x:v>#NAME?</x:v>
      </x:c>
      <x:c r="Q14" s="13" t="e">
        <x:f>IF(OR('实盘净值数据(iFinD公式)'!$A14="",'实盘净值数据(iFinD公式)'!$B14=""),"",分期持仓明细!$AB$13*SUMPRODUCT(分期持仓明细!$B$13:$Y$13,'实盘净值数据(iFinD公式)'!$B14:$Y14/'实盘净值数据(iFinD公式)'!$B$13:$Y$13)*(1-实盘持仓配置!$Z$9)^(('实盘净值数据(iFinD公式)'!$A14-'实盘净值数据(iFinD公式)'!$A$8)/365))</x:f>
        <x:v>#NAME?</x:v>
      </x:c>
      <x:c r="R14" s="16" t="e">
        <x:f t="shared" ref="R14:R59" si="2">IF(OR(Q13="",Q14=""),"",Q14/Q13-1)</x:f>
        <x:v>#NAME?</x:v>
      </x:c>
      <x:c r="S14" s="16" t="e">
        <x:f>IF(Q14="","",Q14/MAX(Q$5:Q14)-1)</x:f>
        <x:v>#NAME?</x:v>
      </x:c>
    </x:row>
    <x:row r="15">
      <x:c r="A15" s="15" t="n">
        <x:f>IF('实盘净值数据(iFinD公式)'!A15="","",'实盘净值数据(iFinD公式)'!A15)</x:f>
        <x:v>46206</x:v>
      </x:c>
      <x:c r="B15" s="13" t="e">
        <x:f>IF(OR((ROW()-1)&lt;6,'实盘净值数据(iFinD公式)'!$A15="",'实盘净值数据(iFinD公式)'!$B15=""),"",SUMPRODUCT(实盘持仓配置!$B$4:$X$4,'实盘净值数据(iFinD公式)'!$B15:$X15/'实盘净值数据(iFinD公式)'!$B$6:$X$6)*(1-实盘持仓配置!$Z$4)^(('实盘净值数据(iFinD公式)'!$A15-'实盘净值数据(iFinD公式)'!$A$6)/365))</x:f>
        <x:v>#NAME?</x:v>
      </x:c>
      <x:c r="C15" s="16" t="e">
        <x:f>IF(OR(B14="",'实盘净值数据(iFinD公式)'!$A15="",'实盘净值数据(iFinD公式)'!$B15=""),"",(SUMPRODUCT(实盘持仓配置!$B$4:$X$4,'实盘净值数据(iFinD公式)'!$B14:$X14/'实盘净值数据(iFinD公式)'!$B$6:$X$6,'实盘净值数据(iFinD公式)'!$B15:$X15/'实盘净值数据(iFinD公式)'!$B14:$X14)/SUMPRODUCT(实盘持仓配置!$B$4:$X$4,'实盘净值数据(iFinD公式)'!$B14:$X14/'实盘净值数据(iFinD公式)'!$B$6:$X$6))*(1-实盘持仓配置!$Z$4)^(('实盘净值数据(iFinD公式)'!$A15-'实盘净值数据(iFinD公式)'!$A14)/365)-1)</x:f>
        <x:v>#NAME?</x:v>
      </x:c>
      <x:c r="D15" s="16" t="e">
        <x:f>IF(B15="","",B15/MAX(B$5:B15)-1)</x:f>
        <x:v>#NAME?</x:v>
      </x:c>
      <x:c r="E15" s="13" t="e">
        <x:f>IF(OR((ROW()-1)&lt;5,'实盘净值数据(iFinD公式)'!$A15="",'实盘净值数据(iFinD公式)'!$B15=""),"",SUMPRODUCT(实盘持仓配置!$B$5:$X$5,'实盘净值数据(iFinD公式)'!$B15:$X15/'实盘净值数据(iFinD公式)'!$B$5:$X$5)*(1-实盘持仓配置!$Z$5)^(('实盘净值数据(iFinD公式)'!$A15-'实盘净值数据(iFinD公式)'!$A$5)/365))</x:f>
        <x:v>#NAME?</x:v>
      </x:c>
      <x:c r="F15" s="16" t="e">
        <x:f>IF(OR(E14="",'实盘净值数据(iFinD公式)'!$A15="",'实盘净值数据(iFinD公式)'!$B15=""),"",(SUMPRODUCT(实盘持仓配置!$B$5:$X$5,'实盘净值数据(iFinD公式)'!$B14:$X14/'实盘净值数据(iFinD公式)'!$B$5:$X$5,'实盘净值数据(iFinD公式)'!$B15:$X15/'实盘净值数据(iFinD公式)'!$B14:$X14)/SUMPRODUCT(实盘持仓配置!$B$5:$X$5,'实盘净值数据(iFinD公式)'!$B14:$X14/'实盘净值数据(iFinD公式)'!$B$5:$X$5))*(1-实盘持仓配置!$Z$5)^(('实盘净值数据(iFinD公式)'!$A15-'实盘净值数据(iFinD公式)'!$A14)/365)-1)</x:f>
        <x:v>#NAME?</x:v>
      </x:c>
      <x:c r="G15" s="16" t="e">
        <x:f>IF(E15="","",E15/MAX(E$5:E15)-1)</x:f>
        <x:v>#NAME?</x:v>
      </x:c>
      <x:c r="H15" s="13" t="e">
        <x:f>IF(OR((ROW()-1)&lt;7,'实盘净值数据(iFinD公式)'!$A15="",'实盘净值数据(iFinD公式)'!$B15=""),"",SUMPRODUCT(实盘持仓配置!$B$6:$X$6,'实盘净值数据(iFinD公式)'!$B15:$X15/'实盘净值数据(iFinD公式)'!$B$7:$X$7)*(1-实盘持仓配置!$Z$6)^(('实盘净值数据(iFinD公式)'!$A15-'实盘净值数据(iFinD公式)'!$A$7)/365))</x:f>
        <x:v>#NAME?</x:v>
      </x:c>
      <x:c r="I15" s="16" t="e">
        <x:f>IF(OR(H14="",'实盘净值数据(iFinD公式)'!$A15="",'实盘净值数据(iFinD公式)'!$B15=""),"",(SUMPRODUCT(实盘持仓配置!$B$6:$X$6,'实盘净值数据(iFinD公式)'!$B14:$X14/'实盘净值数据(iFinD公式)'!$B$7:$X$7,'实盘净值数据(iFinD公式)'!$B15:$X15/'实盘净值数据(iFinD公式)'!$B14:$X14)/SUMPRODUCT(实盘持仓配置!$B$6:$X$6,'实盘净值数据(iFinD公式)'!$B14:$X14/'实盘净值数据(iFinD公式)'!$B$7:$X$7))*(1-实盘持仓配置!$Z$6)^(('实盘净值数据(iFinD公式)'!$A15-'实盘净值数据(iFinD公式)'!$A14)/365)-1)</x:f>
        <x:v>#NAME?</x:v>
      </x:c>
      <x:c r="J15" s="16" t="e">
        <x:f>IF(H15="","",H15/MAX(H$5:H15)-1)</x:f>
        <x:v>#NAME?</x:v>
      </x:c>
      <x:c r="K15" s="13" t="e">
        <x:f>IF(OR('实盘净值数据(iFinD公式)'!$A15="",'实盘净值数据(iFinD公式)'!$B15=""),"",分期持仓明细!$AB$9*SUMPRODUCT(分期持仓明细!$B$9:$Y$9,'实盘净值数据(iFinD公式)'!$B15:$Y15/'实盘净值数据(iFinD公式)'!$B$13:$Y$13)*(1-实盘持仓配置!$Z$7)^(('实盘净值数据(iFinD公式)'!$A15-'实盘净值数据(iFinD公式)'!$A$8)/365))</x:f>
        <x:v>#NAME?</x:v>
      </x:c>
      <x:c r="L15" s="16">
        <x:f t="shared" si="0"/>
        <x:v>1.1604737502870499E-3</x:v>
      </x:c>
      <x:c r="M15" s="16" t="e">
        <x:f>IF(K15="","",K15/MAX(K$5:K15)-1)</x:f>
        <x:v>#NAME?</x:v>
      </x:c>
      <x:c r="N15" s="13" t="e">
        <x:f>IF(OR('实盘净值数据(iFinD公式)'!$A15="",'实盘净值数据(iFinD公式)'!$B15=""),"",分期持仓明细!$AB$11*SUMPRODUCT(分期持仓明细!$B$11:$Y$11,'实盘净值数据(iFinD公式)'!$B15:$Y15/'实盘净值数据(iFinD公式)'!$B$13:$Y$13)*(1-实盘持仓配置!$Z$8)^(('实盘净值数据(iFinD公式)'!$A15-'实盘净值数据(iFinD公式)'!$A$5)/365))</x:f>
        <x:v>#NAME?</x:v>
      </x:c>
      <x:c r="O15" s="16">
        <x:f t="shared" si="1"/>
        <x:v>8.7897091192234988E-4</x:v>
      </x:c>
      <x:c r="P15" s="16" t="e">
        <x:f>IF(N15="","",N15/MAX(N$5:N15)-1)</x:f>
        <x:v>#NAME?</x:v>
      </x:c>
      <x:c r="Q15" s="13" t="e">
        <x:f>IF(OR('实盘净值数据(iFinD公式)'!$A15="",'实盘净值数据(iFinD公式)'!$B15=""),"",分期持仓明细!$AB$13*SUMPRODUCT(分期持仓明细!$B$13:$Y$13,'实盘净值数据(iFinD公式)'!$B15:$Y15/'实盘净值数据(iFinD公式)'!$B$13:$Y$13)*(1-实盘持仓配置!$Z$9)^(('实盘净值数据(iFinD公式)'!$A15-'实盘净值数据(iFinD公式)'!$A$8)/365))</x:f>
        <x:v>#NAME?</x:v>
      </x:c>
      <x:c r="R15" s="16">
        <x:f t="shared" si="2"/>
        <x:v>2.8159611368421267E-3</x:v>
      </x:c>
      <x:c r="S15" s="16" t="e">
        <x:f>IF(Q15="","",Q15/MAX(Q$5:Q15)-1)</x:f>
        <x:v>#NAME?</x:v>
      </x:c>
    </x:row>
    <x:row r="16">
      <x:c r="A16" s="15" t="n">
        <x:f>IF('实盘净值数据(iFinD公式)'!A16="","",'实盘净值数据(iFinD公式)'!A16)</x:f>
        <x:v>46209</x:v>
      </x:c>
      <x:c r="B16" s="13" t="e">
        <x:f>IF(OR((ROW()-1)&lt;6,'实盘净值数据(iFinD公式)'!$A16="",'实盘净值数据(iFinD公式)'!$B16=""),"",SUMPRODUCT(实盘持仓配置!$B$4:$X$4,'实盘净值数据(iFinD公式)'!$B16:$X16/'实盘净值数据(iFinD公式)'!$B$6:$X$6)*(1-实盘持仓配置!$Z$4)^(('实盘净值数据(iFinD公式)'!$A16-'实盘净值数据(iFinD公式)'!$A$6)/365))</x:f>
        <x:v>#NAME?</x:v>
      </x:c>
      <x:c r="C16" s="16" t="e">
        <x:f>IF(OR(B15="",'实盘净值数据(iFinD公式)'!$A16="",'实盘净值数据(iFinD公式)'!$B16=""),"",(SUMPRODUCT(实盘持仓配置!$B$4:$X$4,'实盘净值数据(iFinD公式)'!$B15:$X15/'实盘净值数据(iFinD公式)'!$B$6:$X$6,'实盘净值数据(iFinD公式)'!$B16:$X16/'实盘净值数据(iFinD公式)'!$B15:$X15)/SUMPRODUCT(实盘持仓配置!$B$4:$X$4,'实盘净值数据(iFinD公式)'!$B15:$X15/'实盘净值数据(iFinD公式)'!$B$6:$X$6))*(1-实盘持仓配置!$Z$4)^(('实盘净值数据(iFinD公式)'!$A16-'实盘净值数据(iFinD公式)'!$A15)/365)-1)</x:f>
        <x:v>#NAME?</x:v>
      </x:c>
      <x:c r="D16" s="16" t="e">
        <x:f>IF(B16="","",B16/MAX(B$5:B16)-1)</x:f>
        <x:v>#NAME?</x:v>
      </x:c>
      <x:c r="E16" s="13" t="e">
        <x:f>IF(OR((ROW()-1)&lt;5,'实盘净值数据(iFinD公式)'!$A16="",'实盘净值数据(iFinD公式)'!$B16=""),"",SUMPRODUCT(实盘持仓配置!$B$5:$X$5,'实盘净值数据(iFinD公式)'!$B16:$X16/'实盘净值数据(iFinD公式)'!$B$5:$X$5)*(1-实盘持仓配置!$Z$5)^(('实盘净值数据(iFinD公式)'!$A16-'实盘净值数据(iFinD公式)'!$A$5)/365))</x:f>
        <x:v>#NAME?</x:v>
      </x:c>
      <x:c r="F16" s="16" t="e">
        <x:f>IF(OR(E15="",'实盘净值数据(iFinD公式)'!$A16="",'实盘净值数据(iFinD公式)'!$B16=""),"",(SUMPRODUCT(实盘持仓配置!$B$5:$X$5,'实盘净值数据(iFinD公式)'!$B15:$X15/'实盘净值数据(iFinD公式)'!$B$5:$X$5,'实盘净值数据(iFinD公式)'!$B16:$X16/'实盘净值数据(iFinD公式)'!$B15:$X15)/SUMPRODUCT(实盘持仓配置!$B$5:$X$5,'实盘净值数据(iFinD公式)'!$B15:$X15/'实盘净值数据(iFinD公式)'!$B$5:$X$5))*(1-实盘持仓配置!$Z$5)^(('实盘净值数据(iFinD公式)'!$A16-'实盘净值数据(iFinD公式)'!$A15)/365)-1)</x:f>
        <x:v>#NAME?</x:v>
      </x:c>
      <x:c r="G16" s="16" t="e">
        <x:f>IF(E16="","",E16/MAX(E$5:E16)-1)</x:f>
        <x:v>#NAME?</x:v>
      </x:c>
      <x:c r="H16" s="13" t="e">
        <x:f>IF(OR((ROW()-1)&lt;7,'实盘净值数据(iFinD公式)'!$A16="",'实盘净值数据(iFinD公式)'!$B16=""),"",SUMPRODUCT(实盘持仓配置!$B$6:$X$6,'实盘净值数据(iFinD公式)'!$B16:$X16/'实盘净值数据(iFinD公式)'!$B$7:$X$7)*(1-实盘持仓配置!$Z$6)^(('实盘净值数据(iFinD公式)'!$A16-'实盘净值数据(iFinD公式)'!$A$7)/365))</x:f>
        <x:v>#NAME?</x:v>
      </x:c>
      <x:c r="I16" s="16" t="e">
        <x:f>IF(OR(H15="",'实盘净值数据(iFinD公式)'!$A16="",'实盘净值数据(iFinD公式)'!$B16=""),"",(SUMPRODUCT(实盘持仓配置!$B$6:$X$6,'实盘净值数据(iFinD公式)'!$B15:$X15/'实盘净值数据(iFinD公式)'!$B$7:$X$7,'实盘净值数据(iFinD公式)'!$B16:$X16/'实盘净值数据(iFinD公式)'!$B15:$X15)/SUMPRODUCT(实盘持仓配置!$B$6:$X$6,'实盘净值数据(iFinD公式)'!$B15:$X15/'实盘净值数据(iFinD公式)'!$B$7:$X$7))*(1-实盘持仓配置!$Z$6)^(('实盘净值数据(iFinD公式)'!$A16-'实盘净值数据(iFinD公式)'!$A15)/365)-1)</x:f>
        <x:v>#NAME?</x:v>
      </x:c>
      <x:c r="J16" s="16" t="e">
        <x:f>IF(H16="","",H16/MAX(H$5:H16)-1)</x:f>
        <x:v>#NAME?</x:v>
      </x:c>
      <x:c r="K16" s="13" t="e">
        <x:f>IF(OR('实盘净值数据(iFinD公式)'!$A16="",'实盘净值数据(iFinD公式)'!$B16=""),"",分期持仓明细!$AB$9*SUMPRODUCT(分期持仓明细!$B$9:$Y$9,'实盘净值数据(iFinD公式)'!$B16:$Y16/'实盘净值数据(iFinD公式)'!$B$13:$Y$13)*(1-实盘持仓配置!$Z$7)^(('实盘净值数据(iFinD公式)'!$A16-'实盘净值数据(iFinD公式)'!$A$8)/365))</x:f>
        <x:v>#NAME?</x:v>
      </x:c>
      <x:c r="L16" s="16">
        <x:f t="shared" si="0"/>
        <x:v>-7.9494371656008145E-4</x:v>
      </x:c>
      <x:c r="M16" s="16" t="e">
        <x:f>IF(K16="","",K16/MAX(K$5:K16)-1)</x:f>
        <x:v>#NAME?</x:v>
      </x:c>
      <x:c r="N16" s="13" t="e">
        <x:f>IF(OR('实盘净值数据(iFinD公式)'!$A16="",'实盘净值数据(iFinD公式)'!$B16=""),"",分期持仓明细!$AB$11*SUMPRODUCT(分期持仓明细!$B$11:$Y$11,'实盘净值数据(iFinD公式)'!$B16:$Y16/'实盘净值数据(iFinD公式)'!$B$13:$Y$13)*(1-实盘持仓配置!$Z$8)^(('实盘净值数据(iFinD公式)'!$A16-'实盘净值数据(iFinD公式)'!$A$5)/365))</x:f>
        <x:v>#NAME?</x:v>
      </x:c>
      <x:c r="O16" s="16">
        <x:f t="shared" si="1"/>
        <x:v>-9.053772577444219E-4</x:v>
      </x:c>
      <x:c r="P16" s="16" t="e">
        <x:f>IF(N16="","",N16/MAX(N$5:N16)-1)</x:f>
        <x:v>#NAME?</x:v>
      </x:c>
      <x:c r="Q16" s="13" t="e">
        <x:f>IF(OR('实盘净值数据(iFinD公式)'!$A16="",'实盘净值数据(iFinD公式)'!$B16=""),"",分期持仓明细!$AB$13*SUMPRODUCT(分期持仓明细!$B$13:$Y$13,'实盘净值数据(iFinD公式)'!$B16:$Y16/'实盘净值数据(iFinD公式)'!$B$13:$Y$13)*(1-实盘持仓配置!$Z$9)^(('实盘净值数据(iFinD公式)'!$A16-'实盘净值数据(iFinD公式)'!$A$8)/365))</x:f>
        <x:v>#NAME?</x:v>
      </x:c>
      <x:c r="R16" s="16">
        <x:f t="shared" si="2"/>
        <x:v>-3.636802192071964E-3</x:v>
      </x:c>
      <x:c r="S16" s="16" t="e">
        <x:f>IF(Q16="","",Q16/MAX(Q$5:Q16)-1)</x:f>
        <x:v>#NAME?</x:v>
      </x:c>
    </x:row>
    <x:row r="17">
      <x:c r="A17" s="15" t="n">
        <x:f>IF('实盘净值数据(iFinD公式)'!A17="","",'实盘净值数据(iFinD公式)'!A17)</x:f>
        <x:v>46210</x:v>
      </x:c>
      <x:c r="B17" s="13" t="e">
        <x:f>IF(OR((ROW()-1)&lt;6,'实盘净值数据(iFinD公式)'!$A17="",'实盘净值数据(iFinD公式)'!$B17=""),"",SUMPRODUCT(实盘持仓配置!$B$4:$X$4,'实盘净值数据(iFinD公式)'!$B17:$X17/'实盘净值数据(iFinD公式)'!$B$6:$X$6)*(1-实盘持仓配置!$Z$4)^(('实盘净值数据(iFinD公式)'!$A17-'实盘净值数据(iFinD公式)'!$A$6)/365))</x:f>
        <x:v>#NAME?</x:v>
      </x:c>
      <x:c r="C17" s="16" t="e">
        <x:f>IF(OR(B16="",'实盘净值数据(iFinD公式)'!$A17="",'实盘净值数据(iFinD公式)'!$B17=""),"",(SUMPRODUCT(实盘持仓配置!$B$4:$X$4,'实盘净值数据(iFinD公式)'!$B16:$X16/'实盘净值数据(iFinD公式)'!$B$6:$X$6,'实盘净值数据(iFinD公式)'!$B17:$X17/'实盘净值数据(iFinD公式)'!$B16:$X16)/SUMPRODUCT(实盘持仓配置!$B$4:$X$4,'实盘净值数据(iFinD公式)'!$B16:$X16/'实盘净值数据(iFinD公式)'!$B$6:$X$6))*(1-实盘持仓配置!$Z$4)^(('实盘净值数据(iFinD公式)'!$A17-'实盘净值数据(iFinD公式)'!$A16)/365)-1)</x:f>
        <x:v>#NAME?</x:v>
      </x:c>
      <x:c r="D17" s="16" t="e">
        <x:f>IF(B17="","",B17/MAX(B$5:B17)-1)</x:f>
        <x:v>#NAME?</x:v>
      </x:c>
      <x:c r="E17" s="13" t="e">
        <x:f>IF(OR((ROW()-1)&lt;5,'实盘净值数据(iFinD公式)'!$A17="",'实盘净值数据(iFinD公式)'!$B17=""),"",SUMPRODUCT(实盘持仓配置!$B$5:$X$5,'实盘净值数据(iFinD公式)'!$B17:$X17/'实盘净值数据(iFinD公式)'!$B$5:$X$5)*(1-实盘持仓配置!$Z$5)^(('实盘净值数据(iFinD公式)'!$A17-'实盘净值数据(iFinD公式)'!$A$5)/365))</x:f>
        <x:v>#NAME?</x:v>
      </x:c>
      <x:c r="F17" s="16" t="e">
        <x:f>IF(OR(E16="",'实盘净值数据(iFinD公式)'!$A17="",'实盘净值数据(iFinD公式)'!$B17=""),"",(SUMPRODUCT(实盘持仓配置!$B$5:$X$5,'实盘净值数据(iFinD公式)'!$B16:$X16/'实盘净值数据(iFinD公式)'!$B$5:$X$5,'实盘净值数据(iFinD公式)'!$B17:$X17/'实盘净值数据(iFinD公式)'!$B16:$X16)/SUMPRODUCT(实盘持仓配置!$B$5:$X$5,'实盘净值数据(iFinD公式)'!$B16:$X16/'实盘净值数据(iFinD公式)'!$B$5:$X$5))*(1-实盘持仓配置!$Z$5)^(('实盘净值数据(iFinD公式)'!$A17-'实盘净值数据(iFinD公式)'!$A16)/365)-1)</x:f>
        <x:v>#NAME?</x:v>
      </x:c>
      <x:c r="G17" s="16" t="e">
        <x:f>IF(E17="","",E17/MAX(E$5:E17)-1)</x:f>
        <x:v>#NAME?</x:v>
      </x:c>
      <x:c r="H17" s="13" t="e">
        <x:f>IF(OR((ROW()-1)&lt;7,'实盘净值数据(iFinD公式)'!$A17="",'实盘净值数据(iFinD公式)'!$B17=""),"",SUMPRODUCT(实盘持仓配置!$B$6:$X$6,'实盘净值数据(iFinD公式)'!$B17:$X17/'实盘净值数据(iFinD公式)'!$B$7:$X$7)*(1-实盘持仓配置!$Z$6)^(('实盘净值数据(iFinD公式)'!$A17-'实盘净值数据(iFinD公式)'!$A$7)/365))</x:f>
        <x:v>#NAME?</x:v>
      </x:c>
      <x:c r="I17" s="16" t="e">
        <x:f>IF(OR(H16="",'实盘净值数据(iFinD公式)'!$A17="",'实盘净值数据(iFinD公式)'!$B17=""),"",(SUMPRODUCT(实盘持仓配置!$B$6:$X$6,'实盘净值数据(iFinD公式)'!$B16:$X16/'实盘净值数据(iFinD公式)'!$B$7:$X$7,'实盘净值数据(iFinD公式)'!$B17:$X17/'实盘净值数据(iFinD公式)'!$B16:$X16)/SUMPRODUCT(实盘持仓配置!$B$6:$X$6,'实盘净值数据(iFinD公式)'!$B16:$X16/'实盘净值数据(iFinD公式)'!$B$7:$X$7))*(1-实盘持仓配置!$Z$6)^(('实盘净值数据(iFinD公式)'!$A17-'实盘净值数据(iFinD公式)'!$A16)/365)-1)</x:f>
        <x:v>#NAME?</x:v>
      </x:c>
      <x:c r="J17" s="16" t="e">
        <x:f>IF(H17="","",H17/MAX(H$5:H17)-1)</x:f>
        <x:v>#NAME?</x:v>
      </x:c>
      <x:c r="K17" s="13" t="e">
        <x:f>IF(OR('实盘净值数据(iFinD公式)'!$A17="",'实盘净值数据(iFinD公式)'!$B17=""),"",分期持仓明细!$AB$9*SUMPRODUCT(分期持仓明细!$B$9:$Y$9,'实盘净值数据(iFinD公式)'!$B17:$Y17/'实盘净值数据(iFinD公式)'!$B$13:$Y$13)*(1-实盘持仓配置!$Z$7)^(('实盘净值数据(iFinD公式)'!$A17-'实盘净值数据(iFinD公式)'!$A$8)/365))</x:f>
        <x:v>#NAME?</x:v>
      </x:c>
      <x:c r="L17" s="16">
        <x:f t="shared" si="0"/>
        <x:v>-8.4001470322170313E-4</x:v>
      </x:c>
      <x:c r="M17" s="16" t="e">
        <x:f>IF(K17="","",K17/MAX(K$5:K17)-1)</x:f>
        <x:v>#NAME?</x:v>
      </x:c>
      <x:c r="N17" s="13" t="e">
        <x:f>IF(OR('实盘净值数据(iFinD公式)'!$A17="",'实盘净值数据(iFinD公式)'!$B17=""),"",分期持仓明细!$AB$11*SUMPRODUCT(分期持仓明细!$B$11:$Y$11,'实盘净值数据(iFinD公式)'!$B17:$Y17/'实盘净值数据(iFinD公式)'!$B$13:$Y$13)*(1-实盘持仓配置!$Z$8)^(('实盘净值数据(iFinD公式)'!$A17-'实盘净值数据(iFinD公式)'!$A$5)/365))</x:f>
        <x:v>#NAME?</x:v>
      </x:c>
      <x:c r="O17" s="16">
        <x:f t="shared" si="1"/>
        <x:v>-6.2135729851486854E-4</x:v>
      </x:c>
      <x:c r="P17" s="16" t="e">
        <x:f>IF(N17="","",N17/MAX(N$5:N17)-1)</x:f>
        <x:v>#NAME?</x:v>
      </x:c>
      <x:c r="Q17" s="13" t="e">
        <x:f>IF(OR('实盘净值数据(iFinD公式)'!$A17="",'实盘净值数据(iFinD公式)'!$B17=""),"",分期持仓明细!$AB$13*SUMPRODUCT(分期持仓明细!$B$13:$Y$13,'实盘净值数据(iFinD公式)'!$B17:$Y17/'实盘净值数据(iFinD公式)'!$B$13:$Y$13)*(1-实盘持仓配置!$Z$9)^(('实盘净值数据(iFinD公式)'!$A17-'实盘净值数据(iFinD公式)'!$A$8)/365))</x:f>
        <x:v>#NAME?</x:v>
      </x:c>
      <x:c r="R17" s="16">
        <x:f t="shared" si="2"/>
        <x:v>-2.6839096079485092E-3</x:v>
      </x:c>
      <x:c r="S17" s="16" t="e">
        <x:f>IF(Q17="","",Q17/MAX(Q$5:Q17)-1)</x:f>
        <x:v>#NAME?</x:v>
      </x:c>
    </x:row>
    <x:row r="18">
      <x:c r="A18" s="15" t="n">
        <x:f>IF('实盘净值数据(iFinD公式)'!A18="","",'实盘净值数据(iFinD公式)'!A18)</x:f>
        <x:v>46211</x:v>
      </x:c>
      <x:c r="B18" s="13" t="e">
        <x:f>IF(OR((ROW()-1)&lt;6,'实盘净值数据(iFinD公式)'!$A18="",'实盘净值数据(iFinD公式)'!$B18=""),"",SUMPRODUCT(实盘持仓配置!$B$4:$X$4,'实盘净值数据(iFinD公式)'!$B18:$X18/'实盘净值数据(iFinD公式)'!$B$6:$X$6)*(1-实盘持仓配置!$Z$4)^(('实盘净值数据(iFinD公式)'!$A18-'实盘净值数据(iFinD公式)'!$A$6)/365))</x:f>
        <x:v>#NAME?</x:v>
      </x:c>
      <x:c r="C18" s="16" t="e">
        <x:f>IF(OR(B17="",'实盘净值数据(iFinD公式)'!$A18="",'实盘净值数据(iFinD公式)'!$B18=""),"",(SUMPRODUCT(实盘持仓配置!$B$4:$X$4,'实盘净值数据(iFinD公式)'!$B17:$X17/'实盘净值数据(iFinD公式)'!$B$6:$X$6,'实盘净值数据(iFinD公式)'!$B18:$X18/'实盘净值数据(iFinD公式)'!$B17:$X17)/SUMPRODUCT(实盘持仓配置!$B$4:$X$4,'实盘净值数据(iFinD公式)'!$B17:$X17/'实盘净值数据(iFinD公式)'!$B$6:$X$6))*(1-实盘持仓配置!$Z$4)^(('实盘净值数据(iFinD公式)'!$A18-'实盘净值数据(iFinD公式)'!$A17)/365)-1)</x:f>
        <x:v>#NAME?</x:v>
      </x:c>
      <x:c r="D18" s="16" t="e">
        <x:f>IF(B18="","",B18/MAX(B$5:B18)-1)</x:f>
        <x:v>#NAME?</x:v>
      </x:c>
      <x:c r="E18" s="13" t="e">
        <x:f>IF(OR((ROW()-1)&lt;5,'实盘净值数据(iFinD公式)'!$A18="",'实盘净值数据(iFinD公式)'!$B18=""),"",SUMPRODUCT(实盘持仓配置!$B$5:$X$5,'实盘净值数据(iFinD公式)'!$B18:$X18/'实盘净值数据(iFinD公式)'!$B$5:$X$5)*(1-实盘持仓配置!$Z$5)^(('实盘净值数据(iFinD公式)'!$A18-'实盘净值数据(iFinD公式)'!$A$5)/365))</x:f>
        <x:v>#NAME?</x:v>
      </x:c>
      <x:c r="F18" s="16" t="e">
        <x:f>IF(OR(E17="",'实盘净值数据(iFinD公式)'!$A18="",'实盘净值数据(iFinD公式)'!$B18=""),"",(SUMPRODUCT(实盘持仓配置!$B$5:$X$5,'实盘净值数据(iFinD公式)'!$B17:$X17/'实盘净值数据(iFinD公式)'!$B$5:$X$5,'实盘净值数据(iFinD公式)'!$B18:$X18/'实盘净值数据(iFinD公式)'!$B17:$X17)/SUMPRODUCT(实盘持仓配置!$B$5:$X$5,'实盘净值数据(iFinD公式)'!$B17:$X17/'实盘净值数据(iFinD公式)'!$B$5:$X$5))*(1-实盘持仓配置!$Z$5)^(('实盘净值数据(iFinD公式)'!$A18-'实盘净值数据(iFinD公式)'!$A17)/365)-1)</x:f>
        <x:v>#NAME?</x:v>
      </x:c>
      <x:c r="G18" s="16" t="e">
        <x:f>IF(E18="","",E18/MAX(E$5:E18)-1)</x:f>
        <x:v>#NAME?</x:v>
      </x:c>
      <x:c r="H18" s="13" t="e">
        <x:f>IF(OR((ROW()-1)&lt;7,'实盘净值数据(iFinD公式)'!$A18="",'实盘净值数据(iFinD公式)'!$B18=""),"",SUMPRODUCT(实盘持仓配置!$B$6:$X$6,'实盘净值数据(iFinD公式)'!$B18:$X18/'实盘净值数据(iFinD公式)'!$B$7:$X$7)*(1-实盘持仓配置!$Z$6)^(('实盘净值数据(iFinD公式)'!$A18-'实盘净值数据(iFinD公式)'!$A$7)/365))</x:f>
        <x:v>#NAME?</x:v>
      </x:c>
      <x:c r="I18" s="16" t="e">
        <x:f>IF(OR(H17="",'实盘净值数据(iFinD公式)'!$A18="",'实盘净值数据(iFinD公式)'!$B18=""),"",(SUMPRODUCT(实盘持仓配置!$B$6:$X$6,'实盘净值数据(iFinD公式)'!$B17:$X17/'实盘净值数据(iFinD公式)'!$B$7:$X$7,'实盘净值数据(iFinD公式)'!$B18:$X18/'实盘净值数据(iFinD公式)'!$B17:$X17)/SUMPRODUCT(实盘持仓配置!$B$6:$X$6,'实盘净值数据(iFinD公式)'!$B17:$X17/'实盘净值数据(iFinD公式)'!$B$7:$X$7))*(1-实盘持仓配置!$Z$6)^(('实盘净值数据(iFinD公式)'!$A18-'实盘净值数据(iFinD公式)'!$A17)/365)-1)</x:f>
        <x:v>#NAME?</x:v>
      </x:c>
      <x:c r="J18" s="16" t="e">
        <x:f>IF(H18="","",H18/MAX(H$5:H18)-1)</x:f>
        <x:v>#NAME?</x:v>
      </x:c>
      <x:c r="K18" s="13" t="e">
        <x:f>IF(OR('实盘净值数据(iFinD公式)'!$A18="",'实盘净值数据(iFinD公式)'!$B18=""),"",分期持仓明细!$AB$14*SUMPRODUCT(分期持仓明细!$B$14:$Y$14,'实盘净值数据(iFinD公式)'!$B18:$Y18/'实盘净值数据(iFinD公式)'!$B$17:$Y$17)*(1-实盘持仓配置!$Z$7)^(('实盘净值数据(iFinD公式)'!$A18-'实盘净值数据(iFinD公式)'!$A$8)/365))</x:f>
        <x:v>#NAME?</x:v>
      </x:c>
      <x:c r="L18" s="16">
        <x:f t="shared" si="0"/>
        <x:v>1.0977628849095922E-4</x:v>
      </x:c>
      <x:c r="M18" s="16" t="e">
        <x:f>IF(K18="","",K18/MAX(K$5:K18)-1)</x:f>
        <x:v>#NAME?</x:v>
      </x:c>
      <x:c r="N18" s="13" t="e">
        <x:f>IF(OR('实盘净值数据(iFinD公式)'!$A18="",'实盘净值数据(iFinD公式)'!$B18=""),"",分期持仓明细!$AB$15*SUMPRODUCT(分期持仓明细!$B$15:$Y$15,'实盘净值数据(iFinD公式)'!$B18:$Y18/'实盘净值数据(iFinD公式)'!$B$17:$Y$17)*(1-实盘持仓配置!$Z$8)^(('实盘净值数据(iFinD公式)'!$A18-'实盘净值数据(iFinD公式)'!$A$5)/365))</x:f>
        <x:v>#NAME?</x:v>
      </x:c>
      <x:c r="O18" s="16">
        <x:f t="shared" si="1"/>
        <x:v>1.5120483169894783E-4</x:v>
      </x:c>
      <x:c r="P18" s="16" t="e">
        <x:f>IF(N18="","",N18/MAX(N$5:N18)-1)</x:f>
        <x:v>#NAME?</x:v>
      </x:c>
      <x:c r="Q18" s="13" t="e">
        <x:f>IF(OR('实盘净值数据(iFinD公式)'!$A18="",'实盘净值数据(iFinD公式)'!$B18=""),"",分期持仓明细!$AB$16*SUMPRODUCT(分期持仓明细!$B$16:$Y$16,'实盘净值数据(iFinD公式)'!$B18:$Y18/'实盘净值数据(iFinD公式)'!$B$17:$Y$17)*(1-实盘持仓配置!$Z$9)^(('实盘净值数据(iFinD公式)'!$A18-'实盘净值数据(iFinD公式)'!$A$8)/365))</x:f>
        <x:v>#NAME?</x:v>
      </x:c>
      <x:c r="R18" s="16">
        <x:f t="shared" si="2"/>
        <x:v>-1.1556245628689954E-3</x:v>
      </x:c>
      <x:c r="S18" s="16" t="e">
        <x:f>IF(Q18="","",Q18/MAX(Q$5:Q18)-1)</x:f>
        <x:v>#NAME?</x:v>
      </x:c>
    </x:row>
    <x:row r="19">
      <x:c r="A19" s="15" t="n">
        <x:f>IF('实盘净值数据(iFinD公式)'!A19="","",'实盘净值数据(iFinD公式)'!A19)</x:f>
        <x:v>46212</x:v>
      </x:c>
      <x:c r="B19" s="13" t="e">
        <x:f>IF(OR((ROW()-1)&lt;6,'实盘净值数据(iFinD公式)'!$A19="",'实盘净值数据(iFinD公式)'!$B19=""),"",SUMPRODUCT(实盘持仓配置!$B$4:$X$4,'实盘净值数据(iFinD公式)'!$B19:$X19/'实盘净值数据(iFinD公式)'!$B$6:$X$6)*(1-实盘持仓配置!$Z$4)^(('实盘净值数据(iFinD公式)'!$A19-'实盘净值数据(iFinD公式)'!$A$6)/365))</x:f>
        <x:v>#NAME?</x:v>
      </x:c>
      <x:c r="C19" s="16" t="e">
        <x:f>IF(OR(B18="",'实盘净值数据(iFinD公式)'!$A19="",'实盘净值数据(iFinD公式)'!$B19=""),"",(SUMPRODUCT(实盘持仓配置!$B$4:$X$4,'实盘净值数据(iFinD公式)'!$B18:$X18/'实盘净值数据(iFinD公式)'!$B$6:$X$6,'实盘净值数据(iFinD公式)'!$B19:$X19/'实盘净值数据(iFinD公式)'!$B18:$X18)/SUMPRODUCT(实盘持仓配置!$B$4:$X$4,'实盘净值数据(iFinD公式)'!$B18:$X18/'实盘净值数据(iFinD公式)'!$B$6:$X$6))*(1-实盘持仓配置!$Z$4)^(('实盘净值数据(iFinD公式)'!$A19-'实盘净值数据(iFinD公式)'!$A18)/365)-1)</x:f>
        <x:v>#NAME?</x:v>
      </x:c>
      <x:c r="D19" s="16" t="e">
        <x:f>IF(B19="","",B19/MAX(B$5:B19)-1)</x:f>
        <x:v>#NAME?</x:v>
      </x:c>
      <x:c r="E19" s="13" t="e">
        <x:f>IF(OR((ROW()-1)&lt;5,'实盘净值数据(iFinD公式)'!$A19="",'实盘净值数据(iFinD公式)'!$B19=""),"",SUMPRODUCT(实盘持仓配置!$B$5:$X$5,'实盘净值数据(iFinD公式)'!$B19:$X19/'实盘净值数据(iFinD公式)'!$B$5:$X$5)*(1-实盘持仓配置!$Z$5)^(('实盘净值数据(iFinD公式)'!$A19-'实盘净值数据(iFinD公式)'!$A$5)/365))</x:f>
        <x:v>#NAME?</x:v>
      </x:c>
      <x:c r="F19" s="16" t="e">
        <x:f>IF(OR(E18="",'实盘净值数据(iFinD公式)'!$A19="",'实盘净值数据(iFinD公式)'!$B19=""),"",(SUMPRODUCT(实盘持仓配置!$B$5:$X$5,'实盘净值数据(iFinD公式)'!$B18:$X18/'实盘净值数据(iFinD公式)'!$B$5:$X$5,'实盘净值数据(iFinD公式)'!$B19:$X19/'实盘净值数据(iFinD公式)'!$B18:$X18)/SUMPRODUCT(实盘持仓配置!$B$5:$X$5,'实盘净值数据(iFinD公式)'!$B18:$X18/'实盘净值数据(iFinD公式)'!$B$5:$X$5))*(1-实盘持仓配置!$Z$5)^(('实盘净值数据(iFinD公式)'!$A19-'实盘净值数据(iFinD公式)'!$A18)/365)-1)</x:f>
        <x:v>#NAME?</x:v>
      </x:c>
      <x:c r="G19" s="16" t="e">
        <x:f>IF(E19="","",E19/MAX(E$5:E19)-1)</x:f>
        <x:v>#NAME?</x:v>
      </x:c>
      <x:c r="H19" s="13" t="e">
        <x:f>IF(OR((ROW()-1)&lt;7,'实盘净值数据(iFinD公式)'!$A19="",'实盘净值数据(iFinD公式)'!$B19=""),"",SUMPRODUCT(实盘持仓配置!$B$6:$X$6,'实盘净值数据(iFinD公式)'!$B19:$X19/'实盘净值数据(iFinD公式)'!$B$7:$X$7)*(1-实盘持仓配置!$Z$6)^(('实盘净值数据(iFinD公式)'!$A19-'实盘净值数据(iFinD公式)'!$A$7)/365))</x:f>
        <x:v>#NAME?</x:v>
      </x:c>
      <x:c r="I19" s="16" t="e">
        <x:f>IF(OR(H18="",'实盘净值数据(iFinD公式)'!$A19="",'实盘净值数据(iFinD公式)'!$B19=""),"",(SUMPRODUCT(实盘持仓配置!$B$6:$X$6,'实盘净值数据(iFinD公式)'!$B18:$X18/'实盘净值数据(iFinD公式)'!$B$7:$X$7,'实盘净值数据(iFinD公式)'!$B19:$X19/'实盘净值数据(iFinD公式)'!$B18:$X18)/SUMPRODUCT(实盘持仓配置!$B$6:$X$6,'实盘净值数据(iFinD公式)'!$B18:$X18/'实盘净值数据(iFinD公式)'!$B$7:$X$7))*(1-实盘持仓配置!$Z$6)^(('实盘净值数据(iFinD公式)'!$A19-'实盘净值数据(iFinD公式)'!$A18)/365)-1)</x:f>
        <x:v>#NAME?</x:v>
      </x:c>
      <x:c r="J19" s="16" t="e">
        <x:f>IF(H19="","",H19/MAX(H$5:H19)-1)</x:f>
        <x:v>#NAME?</x:v>
      </x:c>
      <x:c r="K19" s="13" t="e">
        <x:f>IF(OR('实盘净值数据(iFinD公式)'!$A19="",'实盘净值数据(iFinD公式)'!$B19=""),"",分期持仓明细!$AB$14*SUMPRODUCT(分期持仓明细!$B$14:$Y$14,'实盘净值数据(iFinD公式)'!$B19:$Y19/'实盘净值数据(iFinD公式)'!$B$17:$Y$17)*(1-实盘持仓配置!$Z$7)^(('实盘净值数据(iFinD公式)'!$A19-'实盘净值数据(iFinD公式)'!$A$8)/365))</x:f>
        <x:v>#NAME?</x:v>
      </x:c>
      <x:c r="L19" s="16">
        <x:f t="shared" si="0"/>
        <x:v>5.045244954632544E-3</x:v>
      </x:c>
      <x:c r="M19" s="16" t="e">
        <x:f>IF(K19="","",K19/MAX(K$5:K19)-1)</x:f>
        <x:v>#NAME?</x:v>
      </x:c>
      <x:c r="N19" s="13" t="e">
        <x:f>IF(OR('实盘净值数据(iFinD公式)'!$A19="",'实盘净值数据(iFinD公式)'!$B19=""),"",分期持仓明细!$AB$15*SUMPRODUCT(分期持仓明细!$B$15:$Y$15,'实盘净值数据(iFinD公式)'!$B19:$Y19/'实盘净值数据(iFinD公式)'!$B$17:$Y$17)*(1-实盘持仓配置!$Z$8)^(('实盘净值数据(iFinD公式)'!$A19-'实盘净值数据(iFinD公式)'!$A$5)/365))</x:f>
        <x:v>#NAME?</x:v>
      </x:c>
      <x:c r="O19" s="16">
        <x:f t="shared" si="1"/>
        <x:v>5.1279302404989568E-3</x:v>
      </x:c>
      <x:c r="P19" s="16" t="e">
        <x:f>IF(N19="","",N19/MAX(N$5:N19)-1)</x:f>
        <x:v>#NAME?</x:v>
      </x:c>
      <x:c r="Q19" s="13" t="e">
        <x:f>IF(OR('实盘净值数据(iFinD公式)'!$A19="",'实盘净值数据(iFinD公式)'!$B19=""),"",分期持仓明细!$AB$16*SUMPRODUCT(分期持仓明细!$B$16:$Y$16,'实盘净值数据(iFinD公式)'!$B19:$Y19/'实盘净值数据(iFinD公式)'!$B$17:$Y$17)*(1-实盘持仓配置!$Z$9)^(('实盘净值数据(iFinD公式)'!$A19-'实盘净值数据(iFinD公式)'!$A$8)/365))</x:f>
        <x:v>#NAME?</x:v>
      </x:c>
      <x:c r="R19" s="16">
        <x:f t="shared" si="2"/>
        <x:v>1.4098968993180083E-2</x:v>
      </x:c>
      <x:c r="S19" s="16" t="e">
        <x:f>IF(Q19="","",Q19/MAX(Q$5:Q19)-1)</x:f>
        <x:v>#NAME?</x:v>
      </x:c>
    </x:row>
    <x:row r="20">
      <x:c r="A20" s="15" t="n">
        <x:f>IF('实盘净值数据(iFinD公式)'!A20="","",'实盘净值数据(iFinD公式)'!A20)</x:f>
        <x:v>46213</x:v>
      </x:c>
      <x:c r="B20" s="13" t="e">
        <x:f>IF(OR((ROW()-1)&lt;6,'实盘净值数据(iFinD公式)'!$A20="",'实盘净值数据(iFinD公式)'!$B20=""),"",SUMPRODUCT(实盘持仓配置!$B$4:$X$4,'实盘净值数据(iFinD公式)'!$B20:$X20/'实盘净值数据(iFinD公式)'!$B$6:$X$6)*(1-实盘持仓配置!$Z$4)^(('实盘净值数据(iFinD公式)'!$A20-'实盘净值数据(iFinD公式)'!$A$6)/365))</x:f>
        <x:v>#NAME?</x:v>
      </x:c>
      <x:c r="C20" s="16" t="e">
        <x:f>IF(OR(B19="",'实盘净值数据(iFinD公式)'!$A20="",'实盘净值数据(iFinD公式)'!$B20=""),"",(SUMPRODUCT(实盘持仓配置!$B$4:$X$4,'实盘净值数据(iFinD公式)'!$B19:$X19/'实盘净值数据(iFinD公式)'!$B$6:$X$6,'实盘净值数据(iFinD公式)'!$B20:$X20/'实盘净值数据(iFinD公式)'!$B19:$X19)/SUMPRODUCT(实盘持仓配置!$B$4:$X$4,'实盘净值数据(iFinD公式)'!$B19:$X19/'实盘净值数据(iFinD公式)'!$B$6:$X$6))*(1-实盘持仓配置!$Z$4)^(('实盘净值数据(iFinD公式)'!$A20-'实盘净值数据(iFinD公式)'!$A19)/365)-1)</x:f>
        <x:v>#NAME?</x:v>
      </x:c>
      <x:c r="D20" s="16" t="e">
        <x:f>IF(B20="","",B20/MAX(B$5:B20)-1)</x:f>
        <x:v>#NAME?</x:v>
      </x:c>
      <x:c r="E20" s="13" t="e">
        <x:f>IF(OR((ROW()-1)&lt;5,'实盘净值数据(iFinD公式)'!$A20="",'实盘净值数据(iFinD公式)'!$B20=""),"",SUMPRODUCT(实盘持仓配置!$B$5:$X$5,'实盘净值数据(iFinD公式)'!$B20:$X20/'实盘净值数据(iFinD公式)'!$B$5:$X$5)*(1-实盘持仓配置!$Z$5)^(('实盘净值数据(iFinD公式)'!$A20-'实盘净值数据(iFinD公式)'!$A$5)/365))</x:f>
        <x:v>#NAME?</x:v>
      </x:c>
      <x:c r="F20" s="16" t="e">
        <x:f>IF(OR(E19="",'实盘净值数据(iFinD公式)'!$A20="",'实盘净值数据(iFinD公式)'!$B20=""),"",(SUMPRODUCT(实盘持仓配置!$B$5:$X$5,'实盘净值数据(iFinD公式)'!$B19:$X19/'实盘净值数据(iFinD公式)'!$B$5:$X$5,'实盘净值数据(iFinD公式)'!$B20:$X20/'实盘净值数据(iFinD公式)'!$B19:$X19)/SUMPRODUCT(实盘持仓配置!$B$5:$X$5,'实盘净值数据(iFinD公式)'!$B19:$X19/'实盘净值数据(iFinD公式)'!$B$5:$X$5))*(1-实盘持仓配置!$Z$5)^(('实盘净值数据(iFinD公式)'!$A20-'实盘净值数据(iFinD公式)'!$A19)/365)-1)</x:f>
        <x:v>#NAME?</x:v>
      </x:c>
      <x:c r="G20" s="16" t="e">
        <x:f>IF(E20="","",E20/MAX(E$5:E20)-1)</x:f>
        <x:v>#NAME?</x:v>
      </x:c>
      <x:c r="H20" s="13" t="e">
        <x:f>IF(OR((ROW()-1)&lt;7,'实盘净值数据(iFinD公式)'!$A20="",'实盘净值数据(iFinD公式)'!$B20=""),"",SUMPRODUCT(实盘持仓配置!$B$6:$X$6,'实盘净值数据(iFinD公式)'!$B20:$X20/'实盘净值数据(iFinD公式)'!$B$7:$X$7)*(1-实盘持仓配置!$Z$6)^(('实盘净值数据(iFinD公式)'!$A20-'实盘净值数据(iFinD公式)'!$A$7)/365))</x:f>
        <x:v>#NAME?</x:v>
      </x:c>
      <x:c r="I20" s="16" t="e">
        <x:f>IF(OR(H19="",'实盘净值数据(iFinD公式)'!$A20="",'实盘净值数据(iFinD公式)'!$B20=""),"",(SUMPRODUCT(实盘持仓配置!$B$6:$X$6,'实盘净值数据(iFinD公式)'!$B19:$X19/'实盘净值数据(iFinD公式)'!$B$7:$X$7,'实盘净值数据(iFinD公式)'!$B20:$X20/'实盘净值数据(iFinD公式)'!$B19:$X19)/SUMPRODUCT(实盘持仓配置!$B$6:$X$6,'实盘净值数据(iFinD公式)'!$B19:$X19/'实盘净值数据(iFinD公式)'!$B$7:$X$7))*(1-实盘持仓配置!$Z$6)^(('实盘净值数据(iFinD公式)'!$A20-'实盘净值数据(iFinD公式)'!$A19)/365)-1)</x:f>
        <x:v>#NAME?</x:v>
      </x:c>
      <x:c r="J20" s="16" t="e">
        <x:f>IF(H20="","",H20/MAX(H$5:H20)-1)</x:f>
        <x:v>#NAME?</x:v>
      </x:c>
      <x:c r="K20" s="13" t="e">
        <x:f>IF(OR('实盘净值数据(iFinD公式)'!$A20="",'实盘净值数据(iFinD公式)'!$B20=""),"",分期持仓明细!$AB$14*SUMPRODUCT(分期持仓明细!$B$14:$Y$14,'实盘净值数据(iFinD公式)'!$B20:$Y20/'实盘净值数据(iFinD公式)'!$B$17:$Y$17)*(1-实盘持仓配置!$Z$7)^(('实盘净值数据(iFinD公式)'!$A20-'实盘净值数据(iFinD公式)'!$A$8)/365))</x:f>
        <x:v>#NAME?</x:v>
      </x:c>
      <x:c r="L20" s="16">
        <x:f t="shared" si="0"/>
        <x:v>-3.8455790923733746E-3</x:v>
      </x:c>
      <x:c r="M20" s="16" t="e">
        <x:f>IF(K20="","",K20/MAX(K$5:K20)-1)</x:f>
        <x:v>#NAME?</x:v>
      </x:c>
      <x:c r="N20" s="13" t="e">
        <x:f>IF(OR('实盘净值数据(iFinD公式)'!$A20="",'实盘净值数据(iFinD公式)'!$B20=""),"",分期持仓明细!$AB$15*SUMPRODUCT(分期持仓明细!$B$15:$Y$15,'实盘净值数据(iFinD公式)'!$B20:$Y20/'实盘净值数据(iFinD公式)'!$B$17:$Y$17)*(1-实盘持仓配置!$Z$8)^(('实盘净值数据(iFinD公式)'!$A20-'实盘净值数据(iFinD公式)'!$A$5)/365))</x:f>
        <x:v>#NAME?</x:v>
      </x:c>
      <x:c r="O20" s="16">
        <x:f t="shared" si="1"/>
        <x:v>-3.7303653272452442E-3</x:v>
      </x:c>
      <x:c r="P20" s="16" t="e">
        <x:f>IF(N20="","",N20/MAX(N$5:N20)-1)</x:f>
        <x:v>#NAME?</x:v>
      </x:c>
      <x:c r="Q20" s="13" t="e">
        <x:f>IF(OR('实盘净值数据(iFinD公式)'!$A20="",'实盘净值数据(iFinD公式)'!$B20=""),"",分期持仓明细!$AB$16*SUMPRODUCT(分期持仓明细!$B$16:$Y$16,'实盘净值数据(iFinD公式)'!$B20:$Y20/'实盘净值数据(iFinD公式)'!$B$17:$Y$17)*(1-实盘持仓配置!$Z$9)^(('实盘净值数据(iFinD公式)'!$A20-'实盘净值数据(iFinD公式)'!$A$8)/365))</x:f>
        <x:v>#NAME?</x:v>
      </x:c>
      <x:c r="R20" s="16">
        <x:f t="shared" si="2"/>
        <x:v>-1.0788736254276343E-2</x:v>
      </x:c>
      <x:c r="S20" s="16" t="e">
        <x:f>IF(Q20="","",Q20/MAX(Q$5:Q20)-1)</x:f>
        <x:v>#NAME?</x:v>
      </x:c>
    </x:row>
    <x:row r="21">
      <x:c r="A21" s="15" t="n">
        <x:f>IF('实盘净值数据(iFinD公式)'!A21="","",'实盘净值数据(iFinD公式)'!A21)</x:f>
        <x:v>46216</x:v>
      </x:c>
      <x:c r="B21" s="13" t="e">
        <x:f>IF(OR('实盘净值数据(iFinD公式)'!$A21="",'实盘净值数据(iFinD公式)'!$B21=""),"",分期持仓明细!$AB$17*SUMPRODUCT(分期持仓明细!$B$17:$Y$17,'实盘净值数据(iFinD公式)'!$B21:$Y21/'实盘净值数据(iFinD公式)'!$B$20:$Y$20)*(1-实盘持仓配置!$Z$4)^(('实盘净值数据(iFinD公式)'!$A21-'实盘净值数据(iFinD公式)'!$A$6)/365))</x:f>
        <x:v>#NAME?</x:v>
      </x:c>
      <x:c r="C21" s="16" t="e">
        <x:f t="shared" ref="C21:C59" si="3">IF(OR(B20="",B21=""),"",B21/B20-1)</x:f>
        <x:v>#NAME?</x:v>
      </x:c>
      <x:c r="D21" s="16" t="e">
        <x:f>IF(B21="","",B21/MAX(B$5:B21)-1)</x:f>
        <x:v>#NAME?</x:v>
      </x:c>
      <x:c r="E21" s="13" t="e">
        <x:f>IF(OR('实盘净值数据(iFinD公式)'!$A21="",'实盘净值数据(iFinD公式)'!$B21=""),"",分期持仓明细!$AB$18*SUMPRODUCT(分期持仓明细!$B$18:$Y$18,'实盘净值数据(iFinD公式)'!$B21:$Y21/'实盘净值数据(iFinD公式)'!$B$20:$Y$20)*(1-实盘持仓配置!$Z$5)^(('实盘净值数据(iFinD公式)'!$A21-'实盘净值数据(iFinD公式)'!$A$5)/365))</x:f>
        <x:v>#NAME?</x:v>
      </x:c>
      <x:c r="F21" s="16" t="e">
        <x:f t="shared" ref="F21:F59" si="4">IF(OR(E20="",E21=""),"",E21/E20-1)</x:f>
        <x:v>#NAME?</x:v>
      </x:c>
      <x:c r="G21" s="16" t="e">
        <x:f>IF(E21="","",E21/MAX(E$5:E21)-1)</x:f>
        <x:v>#NAME?</x:v>
      </x:c>
      <x:c r="H21" s="13" t="e">
        <x:f>IF(OR('实盘净值数据(iFinD公式)'!$A21="",'实盘净值数据(iFinD公式)'!$B21=""),"",分期持仓明细!$AB$19*SUMPRODUCT(分期持仓明细!$B$19:$Y$19,'实盘净值数据(iFinD公式)'!$B21:$Y21/'实盘净值数据(iFinD公式)'!$B$20:$Y$20)*(1-实盘持仓配置!$Z$6)^(('实盘净值数据(iFinD公式)'!$A21-'实盘净值数据(iFinD公式)'!$A$7)/365))</x:f>
        <x:v>#NAME?</x:v>
      </x:c>
      <x:c r="I21" s="16" t="e">
        <x:f t="shared" ref="I21:I59" si="5">IF(OR(H20="",H21=""),"",H21/H20-1)</x:f>
        <x:v>#NAME?</x:v>
      </x:c>
      <x:c r="J21" s="16" t="e">
        <x:f>IF(H21="","",H21/MAX(H$5:H21)-1)</x:f>
        <x:v>#NAME?</x:v>
      </x:c>
      <x:c r="K21" s="13" t="e">
        <x:f>IF(OR('实盘净值数据(iFinD公式)'!$A21="",'实盘净值数据(iFinD公式)'!$B21=""),"",分期持仓明细!$AB$14*SUMPRODUCT(分期持仓明细!$B$14:$Y$14,'实盘净值数据(iFinD公式)'!$B21:$Y21/'实盘净值数据(iFinD公式)'!$B$17:$Y$17)*(1-实盘持仓配置!$Z$7)^(('实盘净值数据(iFinD公式)'!$A21-'实盘净值数据(iFinD公式)'!$A$8)/365))</x:f>
        <x:v>#NAME?</x:v>
      </x:c>
      <x:c r="L21" s="16">
        <x:f t="shared" si="0"/>
        <x:v>-5.279694485343156E-3</x:v>
      </x:c>
      <x:c r="M21" s="16" t="e">
        <x:f>IF(K21="","",K21/MAX(K$5:K21)-1)</x:f>
        <x:v>#NAME?</x:v>
      </x:c>
      <x:c r="N21" s="13" t="e">
        <x:f>IF(OR('实盘净值数据(iFinD公式)'!$A21="",'实盘净值数据(iFinD公式)'!$B21=""),"",分期持仓明细!$AB$15*SUMPRODUCT(分期持仓明细!$B$15:$Y$15,'实盘净值数据(iFinD公式)'!$B21:$Y21/'实盘净值数据(iFinD公式)'!$B$17:$Y$17)*(1-实盘持仓配置!$Z$8)^(('实盘净值数据(iFinD公式)'!$A21-'实盘净值数据(iFinD公式)'!$A$5)/365))</x:f>
        <x:v>#NAME?</x:v>
      </x:c>
      <x:c r="O21" s="16">
        <x:f t="shared" si="1"/>
        <x:v>-5.2098485929698013E-3</x:v>
      </x:c>
      <x:c r="P21" s="16" t="e">
        <x:f>IF(N21="","",N21/MAX(N$5:N21)-1)</x:f>
        <x:v>#NAME?</x:v>
      </x:c>
      <x:c r="Q21" s="13" t="e">
        <x:f>IF(OR('实盘净值数据(iFinD公式)'!$A21="",'实盘净值数据(iFinD公式)'!$B21=""),"",分期持仓明细!$AB$16*SUMPRODUCT(分期持仓明细!$B$16:$Y$16,'实盘净值数据(iFinD公式)'!$B21:$Y21/'实盘净值数据(iFinD公式)'!$B$17:$Y$17)*(1-实盘持仓配置!$Z$9)^(('实盘净值数据(iFinD公式)'!$A21-'实盘净值数据(iFinD公式)'!$A$8)/365))</x:f>
        <x:v>#NAME?</x:v>
      </x:c>
      <x:c r="R21" s="16">
        <x:f t="shared" si="2"/>
        <x:v>-1.4197214055200136E-2</x:v>
      </x:c>
      <x:c r="S21" s="16" t="e">
        <x:f>IF(Q21="","",Q21/MAX(Q$5:Q21)-1)</x:f>
        <x:v>#NAME?</x:v>
      </x:c>
    </x:row>
    <x:row r="22">
      <x:c r="A22" s="15" t="n">
        <x:f>IF('实盘净值数据(iFinD公式)'!A22="","",'实盘净值数据(iFinD公式)'!A22)</x:f>
        <x:v>46217</x:v>
      </x:c>
      <x:c r="B22" s="13" t="e">
        <x:f>IF(OR('实盘净值数据(iFinD公式)'!$A22="",'实盘净值数据(iFinD公式)'!$B22=""),"",分期持仓明细!$AB$17*SUMPRODUCT(分期持仓明细!$B$17:$Y$17,'实盘净值数据(iFinD公式)'!$B22:$Y22/'实盘净值数据(iFinD公式)'!$B$20:$Y$20)*(1-实盘持仓配置!$Z$4)^(('实盘净值数据(iFinD公式)'!$A22-'实盘净值数据(iFinD公式)'!$A$6)/365))</x:f>
        <x:v>#NAME?</x:v>
      </x:c>
      <x:c r="C22" s="16">
        <x:f t="shared" si="3"/>
        <x:v>3.205871312805364E-2</x:v>
      </x:c>
      <x:c r="D22" s="16" t="e">
        <x:f>IF(B22="","",B22/MAX(B$5:B22)-1)</x:f>
        <x:v>#NAME?</x:v>
      </x:c>
      <x:c r="E22" s="13" t="e">
        <x:f>IF(OR('实盘净值数据(iFinD公式)'!$A22="",'实盘净值数据(iFinD公式)'!$B22=""),"",分期持仓明细!$AB$18*SUMPRODUCT(分期持仓明细!$B$18:$Y$18,'实盘净值数据(iFinD公式)'!$B22:$Y22/'实盘净值数据(iFinD公式)'!$B$20:$Y$20)*(1-实盘持仓配置!$Z$5)^(('实盘净值数据(iFinD公式)'!$A22-'实盘净值数据(iFinD公式)'!$A$5)/365))</x:f>
        <x:v>#NAME?</x:v>
      </x:c>
      <x:c r="F22" s="16">
        <x:f t="shared" si="4"/>
        <x:v>3.2213305406552095E-2</x:v>
      </x:c>
      <x:c r="G22" s="16" t="e">
        <x:f>IF(E22="","",E22/MAX(E$5:E22)-1)</x:f>
        <x:v>#NAME?</x:v>
      </x:c>
      <x:c r="H22" s="13" t="e">
        <x:f>IF(OR('实盘净值数据(iFinD公式)'!$A22="",'实盘净值数据(iFinD公式)'!$B22=""),"",分期持仓明细!$AB$19*SUMPRODUCT(分期持仓明细!$B$19:$Y$19,'实盘净值数据(iFinD公式)'!$B22:$Y22/'实盘净值数据(iFinD公式)'!$B$20:$Y$20)*(1-实盘持仓配置!$Z$6)^(('实盘净值数据(iFinD公式)'!$A22-'实盘净值数据(iFinD公式)'!$A$7)/365))</x:f>
        <x:v>#NAME?</x:v>
      </x:c>
      <x:c r="I22" s="16">
        <x:f t="shared" si="5"/>
        <x:v>2.6955636680072725E-2</x:v>
      </x:c>
      <x:c r="J22" s="16" t="e">
        <x:f>IF(H22="","",H22/MAX(H$5:H22)-1)</x:f>
        <x:v>#NAME?</x:v>
      </x:c>
      <x:c r="K22" s="13" t="e">
        <x:f>IF(OR('实盘净值数据(iFinD公式)'!$A22="",'实盘净值数据(iFinD公式)'!$B22=""),"",分期持仓明细!$AB$14*SUMPRODUCT(分期持仓明细!$B$14:$Y$14,'实盘净值数据(iFinD公式)'!$B22:$Y22/'实盘净值数据(iFinD公式)'!$B$17:$Y$17)*(1-实盘持仓配置!$Z$7)^(('实盘净值数据(iFinD公式)'!$A22-'实盘净值数据(iFinD公式)'!$A$8)/365))</x:f>
        <x:v>#NAME?</x:v>
      </x:c>
      <x:c r="L22" s="16">
        <x:f t="shared" si="0"/>
        <x:v>2.4497772184137734E-3</x:v>
      </x:c>
      <x:c r="M22" s="16" t="e">
        <x:f>IF(K22="","",K22/MAX(K$5:K22)-1)</x:f>
        <x:v>#NAME?</x:v>
      </x:c>
      <x:c r="N22" s="13" t="e">
        <x:f>IF(OR('实盘净值数据(iFinD公式)'!$A22="",'实盘净值数据(iFinD公式)'!$B22=""),"",分期持仓明细!$AB$15*SUMPRODUCT(分期持仓明细!$B$15:$Y$15,'实盘净值数据(iFinD公式)'!$B22:$Y22/'实盘净值数据(iFinD公式)'!$B$17:$Y$17)*(1-实盘持仓配置!$Z$8)^(('实盘净值数据(iFinD公式)'!$A22-'实盘净值数据(iFinD公式)'!$A$5)/365))</x:f>
        <x:v>#NAME?</x:v>
      </x:c>
      <x:c r="O22" s="16">
        <x:f t="shared" si="1"/>
        <x:v>2.7799402867583201E-3</x:v>
      </x:c>
      <x:c r="P22" s="16" t="e">
        <x:f>IF(N22="","",N22/MAX(N$5:N22)-1)</x:f>
        <x:v>#NAME?</x:v>
      </x:c>
      <x:c r="Q22" s="13" t="e">
        <x:f>IF(OR('实盘净值数据(iFinD公式)'!$A22="",'实盘净值数据(iFinD公式)'!$B22=""),"",分期持仓明细!$AB$16*SUMPRODUCT(分期持仓明细!$B$16:$Y$16,'实盘净值数据(iFinD公式)'!$B22:$Y22/'实盘净值数据(iFinD公式)'!$B$17:$Y$17)*(1-实盘持仓配置!$Z$9)^(('实盘净值数据(iFinD公式)'!$A22-'实盘净值数据(iFinD公式)'!$A$8)/365))</x:f>
        <x:v>#NAME?</x:v>
      </x:c>
      <x:c r="R22" s="16">
        <x:f t="shared" si="2"/>
        <x:v>7.4221660592184158E-3</x:v>
      </x:c>
      <x:c r="S22" s="16" t="e">
        <x:f>IF(Q22="","",Q22/MAX(Q$5:Q22)-1)</x:f>
        <x:v>#NAME?</x:v>
      </x:c>
    </x:row>
    <x:row r="23">
      <x:c r="A23" s="15" t="n">
        <x:f>IF('实盘净值数据(iFinD公式)'!A23="","",'实盘净值数据(iFinD公式)'!A23)</x:f>
        <x:v>46218</x:v>
      </x:c>
      <x:c r="B23" s="13" t="e">
        <x:f>IF(OR('实盘净值数据(iFinD公式)'!$A23="",'实盘净值数据(iFinD公式)'!$B23=""),"",分期持仓明细!$AB$17*SUMPRODUCT(分期持仓明细!$B$17:$Y$17,'实盘净值数据(iFinD公式)'!$B23:$Y23/'实盘净值数据(iFinD公式)'!$B$20:$Y$20)*(1-实盘持仓配置!$Z$4)^(('实盘净值数据(iFinD公式)'!$A23-'实盘净值数据(iFinD公式)'!$A$6)/365))</x:f>
        <x:v>#NAME?</x:v>
      </x:c>
      <x:c r="C23" s="16">
        <x:f t="shared" si="3"/>
        <x:v>-3.1038298775862838E-2</x:v>
      </x:c>
      <x:c r="D23" s="16" t="e">
        <x:f>IF(B23="","",B23/MAX(B$5:B23)-1)</x:f>
        <x:v>#NAME?</x:v>
      </x:c>
      <x:c r="E23" s="13" t="e">
        <x:f>IF(OR('实盘净值数据(iFinD公式)'!$A23="",'实盘净值数据(iFinD公式)'!$B23=""),"",分期持仓明细!$AB$18*SUMPRODUCT(分期持仓明细!$B$18:$Y$18,'实盘净值数据(iFinD公式)'!$B23:$Y23/'实盘净值数据(iFinD公式)'!$B$20:$Y$20)*(1-实盘持仓配置!$Z$5)^(('实盘净值数据(iFinD公式)'!$A23-'实盘净值数据(iFinD公式)'!$A$5)/365))</x:f>
        <x:v>#NAME?</x:v>
      </x:c>
      <x:c r="F23" s="16">
        <x:f t="shared" si="4"/>
        <x:v>-3.1055927375608583E-2</x:v>
      </x:c>
      <x:c r="G23" s="16" t="e">
        <x:f>IF(E23="","",E23/MAX(E$5:E23)-1)</x:f>
        <x:v>#NAME?</x:v>
      </x:c>
      <x:c r="H23" s="13" t="e">
        <x:f>IF(OR('实盘净值数据(iFinD公式)'!$A23="",'实盘净值数据(iFinD公式)'!$B23=""),"",分期持仓明细!$AB$19*SUMPRODUCT(分期持仓明细!$B$19:$Y$19,'实盘净值数据(iFinD公式)'!$B23:$Y23/'实盘净值数据(iFinD公式)'!$B$20:$Y$20)*(1-实盘持仓配置!$Z$6)^(('实盘净值数据(iFinD公式)'!$A23-'实盘净值数据(iFinD公式)'!$A$7)/365))</x:f>
        <x:v>#NAME?</x:v>
      </x:c>
      <x:c r="I23" s="16">
        <x:f t="shared" si="5"/>
        <x:v>-3.6423840502707971E-2</x:v>
      </x:c>
      <x:c r="J23" s="16" t="e">
        <x:f>IF(H23="","",H23/MAX(H$5:H23)-1)</x:f>
        <x:v>#NAME?</x:v>
      </x:c>
      <x:c r="K23" s="13" t="e">
        <x:f>IF(OR('实盘净值数据(iFinD公式)'!$A23="",'实盘净值数据(iFinD公式)'!$B23=""),"",分期持仓明细!$AB$14*SUMPRODUCT(分期持仓明细!$B$14:$Y$14,'实盘净值数据(iFinD公式)'!$B23:$Y23/'实盘净值数据(iFinD公式)'!$B$17:$Y$17)*(1-实盘持仓配置!$Z$7)^(('实盘净值数据(iFinD公式)'!$A23-'实盘净值数据(iFinD公式)'!$A$8)/365))</x:f>
        <x:v>#NAME?</x:v>
      </x:c>
      <x:c r="L23" s="16">
        <x:f t="shared" si="0"/>
        <x:v>-2.647863724444588E-3</x:v>
      </x:c>
      <x:c r="M23" s="16" t="e">
        <x:f>IF(K23="","",K23/MAX(K$5:K23)-1)</x:f>
        <x:v>#NAME?</x:v>
      </x:c>
      <x:c r="N23" s="13" t="e">
        <x:f>IF(OR('实盘净值数据(iFinD公式)'!$A23="",'实盘净值数据(iFinD公式)'!$B23=""),"",分期持仓明细!$AB$15*SUMPRODUCT(分期持仓明细!$B$15:$Y$15,'实盘净值数据(iFinD公式)'!$B23:$Y23/'实盘净值数据(iFinD公式)'!$B$17:$Y$17)*(1-实盘持仓配置!$Z$8)^(('实盘净值数据(iFinD公式)'!$A23-'实盘净值数据(iFinD公式)'!$A$5)/365))</x:f>
        <x:v>#NAME?</x:v>
      </x:c>
      <x:c r="O23" s="16">
        <x:f t="shared" si="1"/>
        <x:v>-2.4125901344644873E-3</x:v>
      </x:c>
      <x:c r="P23" s="16" t="e">
        <x:f>IF(N23="","",N23/MAX(N$5:N23)-1)</x:f>
        <x:v>#NAME?</x:v>
      </x:c>
      <x:c r="Q23" s="13" t="e">
        <x:f>IF(OR('实盘净值数据(iFinD公式)'!$A23="",'实盘净值数据(iFinD公式)'!$B23=""),"",分期持仓明细!$AB$16*SUMPRODUCT(分期持仓明细!$B$16:$Y$16,'实盘净值数据(iFinD公式)'!$B23:$Y23/'实盘净值数据(iFinD公式)'!$B$17:$Y$17)*(1-实盘持仓配置!$Z$9)^(('实盘净值数据(iFinD公式)'!$A23-'实盘净值数据(iFinD公式)'!$A$8)/365))</x:f>
        <x:v>#NAME?</x:v>
      </x:c>
      <x:c r="R23" s="16">
        <x:f t="shared" si="2"/>
        <x:v>-7.4488287993653701E-3</x:v>
      </x:c>
      <x:c r="S23" s="16" t="e">
        <x:f>IF(Q23="","",Q23/MAX(Q$5:Q23)-1)</x:f>
        <x:v>#NAME?</x:v>
      </x:c>
    </x:row>
    <x:row r="24">
      <x:c r="A24" s="15" t="n">
        <x:f>IF('实盘净值数据(iFinD公式)'!A24="","",'实盘净值数据(iFinD公式)'!A24)</x:f>
        <x:v>46219</x:v>
      </x:c>
      <x:c r="B24" s="13" t="e">
        <x:f>IF(OR('实盘净值数据(iFinD公式)'!$A24="",'实盘净值数据(iFinD公式)'!$B24=""),"",分期持仓明细!$AB$17*SUMPRODUCT(分期持仓明细!$B$17:$Y$17,'实盘净值数据(iFinD公式)'!$B24:$Y24/'实盘净值数据(iFinD公式)'!$B$20:$Y$20)*(1-实盘持仓配置!$Z$4)^(('实盘净值数据(iFinD公式)'!$A24-'实盘净值数据(iFinD公式)'!$A$6)/365))</x:f>
        <x:v>#NAME?</x:v>
      </x:c>
      <x:c r="C24" s="16">
        <x:f t="shared" si="3"/>
        <x:v>-4.5148737428089891E-2</x:v>
      </x:c>
      <x:c r="D24" s="16" t="e">
        <x:f>IF(B24="","",B24/MAX(B$5:B24)-1)</x:f>
        <x:v>#NAME?</x:v>
      </x:c>
      <x:c r="E24" s="13" t="e">
        <x:f>IF(OR('实盘净值数据(iFinD公式)'!$A24="",'实盘净值数据(iFinD公式)'!$B24=""),"",分期持仓明细!$AB$18*SUMPRODUCT(分期持仓明细!$B$18:$Y$18,'实盘净值数据(iFinD公式)'!$B24:$Y24/'实盘净值数据(iFinD公式)'!$B$20:$Y$20)*(1-实盘持仓配置!$Z$5)^(('实盘净值数据(iFinD公式)'!$A24-'实盘净值数据(iFinD公式)'!$A$5)/365))</x:f>
        <x:v>#NAME?</x:v>
      </x:c>
      <x:c r="F24" s="16">
        <x:f t="shared" si="4"/>
        <x:v>-4.5142505232970476E-2</x:v>
      </x:c>
      <x:c r="G24" s="16" t="e">
        <x:f>IF(E24="","",E24/MAX(E$5:E24)-1)</x:f>
        <x:v>#NAME?</x:v>
      </x:c>
      <x:c r="H24" s="13" t="e">
        <x:f>IF(OR('实盘净值数据(iFinD公式)'!$A24="",'实盘净值数据(iFinD公式)'!$B24=""),"",分期持仓明细!$AB$19*SUMPRODUCT(分期持仓明细!$B$19:$Y$19,'实盘净值数据(iFinD公式)'!$B24:$Y24/'实盘净值数据(iFinD公式)'!$B$20:$Y$20)*(1-实盘持仓配置!$Z$6)^(('实盘净值数据(iFinD公式)'!$A24-'实盘净值数据(iFinD公式)'!$A$7)/365))</x:f>
        <x:v>#NAME?</x:v>
      </x:c>
      <x:c r="I24" s="16">
        <x:f t="shared" si="5"/>
        <x:v>-4.4289305396206902E-2</x:v>
      </x:c>
      <x:c r="J24" s="16" t="e">
        <x:f>IF(H24="","",H24/MAX(H$5:H24)-1)</x:f>
        <x:v>#NAME?</x:v>
      </x:c>
      <x:c r="K24" s="13" t="e">
        <x:f>IF(OR('实盘净值数据(iFinD公式)'!$A24="",'实盘净值数据(iFinD公式)'!$B24=""),"",分期持仓明细!$AB$14*SUMPRODUCT(分期持仓明细!$B$14:$Y$14,'实盘净值数据(iFinD公式)'!$B24:$Y24/'实盘净值数据(iFinD公式)'!$B$17:$Y$17)*(1-实盘持仓配置!$Z$7)^(('实盘净值数据(iFinD公式)'!$A24-'实盘净值数据(iFinD公式)'!$A$8)/365))</x:f>
        <x:v>#NAME?</x:v>
      </x:c>
      <x:c r="L24" s="16">
        <x:f t="shared" si="0"/>
        <x:v>-3.9924716560048035E-3</x:v>
      </x:c>
      <x:c r="M24" s="16" t="e">
        <x:f>IF(K24="","",K24/MAX(K$5:K24)-1)</x:f>
        <x:v>#NAME?</x:v>
      </x:c>
      <x:c r="N24" s="13" t="e">
        <x:f>IF(OR('实盘净值数据(iFinD公式)'!$A24="",'实盘净值数据(iFinD公式)'!$B24=""),"",分期持仓明细!$AB$15*SUMPRODUCT(分期持仓明细!$B$15:$Y$15,'实盘净值数据(iFinD公式)'!$B24:$Y24/'实盘净值数据(iFinD公式)'!$B$17:$Y$17)*(1-实盘持仓配置!$Z$8)^(('实盘净值数据(iFinD公式)'!$A24-'实盘净值数据(iFinD公式)'!$A$5)/365))</x:f>
        <x:v>#NAME?</x:v>
      </x:c>
      <x:c r="O24" s="16">
        <x:f t="shared" si="1"/>
        <x:v>-4.1237879068124483E-3</x:v>
      </x:c>
      <x:c r="P24" s="16" t="e">
        <x:f>IF(N24="","",N24/MAX(N$5:N24)-1)</x:f>
        <x:v>#NAME?</x:v>
      </x:c>
      <x:c r="Q24" s="13" t="e">
        <x:f>IF(OR('实盘净值数据(iFinD公式)'!$A24="",'实盘净值数据(iFinD公式)'!$B24=""),"",分期持仓明细!$AB$16*SUMPRODUCT(分期持仓明细!$B$16:$Y$16,'实盘净值数据(iFinD公式)'!$B24:$Y24/'实盘净值数据(iFinD公式)'!$B$17:$Y$17)*(1-实盘持仓配置!$Z$9)^(('实盘净值数据(iFinD公式)'!$A24-'实盘净值数据(iFinD公式)'!$A$8)/365))</x:f>
        <x:v>#NAME?</x:v>
      </x:c>
      <x:c r="R24" s="16">
        <x:f t="shared" si="2"/>
        <x:v>-1.0716118754012682E-2</x:v>
      </x:c>
      <x:c r="S24" s="16" t="e">
        <x:f>IF(Q24="","",Q24/MAX(Q$5:Q24)-1)</x:f>
        <x:v>#NAME?</x:v>
      </x:c>
    </x:row>
    <x:row r="25">
      <x:c r="A25" s="15" t="n">
        <x:f>IF('实盘净值数据(iFinD公式)'!A25="","",'实盘净值数据(iFinD公式)'!A25)</x:f>
        <x:v>46220</x:v>
      </x:c>
      <x:c r="B25" s="13" t="e">
        <x:f>IF(OR('实盘净值数据(iFinD公式)'!$A25="",'实盘净值数据(iFinD公式)'!$B25=""),"",分期持仓明细!$AB$17*SUMPRODUCT(分期持仓明细!$B$17:$Y$17,'实盘净值数据(iFinD公式)'!$B25:$Y25/'实盘净值数据(iFinD公式)'!$B$20:$Y$20)*(1-实盘持仓配置!$Z$4)^(('实盘净值数据(iFinD公式)'!$A25-'实盘净值数据(iFinD公式)'!$A$6)/365))</x:f>
        <x:v>#NAME?</x:v>
      </x:c>
      <x:c r="C25" s="16">
        <x:f t="shared" si="3"/>
        <x:v>-8.1822900726685632E-2</x:v>
      </x:c>
      <x:c r="D25" s="16" t="e">
        <x:f>IF(B25="","",B25/MAX(B$5:B25)-1)</x:f>
        <x:v>#NAME?</x:v>
      </x:c>
      <x:c r="E25" s="13" t="e">
        <x:f>IF(OR('实盘净值数据(iFinD公式)'!$A25="",'实盘净值数据(iFinD公式)'!$B25=""),"",分期持仓明细!$AB$18*SUMPRODUCT(分期持仓明细!$B$18:$Y$18,'实盘净值数据(iFinD公式)'!$B25:$Y25/'实盘净值数据(iFinD公式)'!$B$20:$Y$20)*(1-实盘持仓配置!$Z$5)^(('实盘净值数据(iFinD公式)'!$A25-'实盘净值数据(iFinD公式)'!$A$5)/365))</x:f>
        <x:v>#NAME?</x:v>
      </x:c>
      <x:c r="F25" s="16">
        <x:f t="shared" si="4"/>
        <x:v>-8.1924105400768554E-2</x:v>
      </x:c>
      <x:c r="G25" s="16" t="e">
        <x:f>IF(E25="","",E25/MAX(E$5:E25)-1)</x:f>
        <x:v>#NAME?</x:v>
      </x:c>
      <x:c r="H25" s="13" t="e">
        <x:f>IF(OR('实盘净值数据(iFinD公式)'!$A25="",'实盘净值数据(iFinD公式)'!$B25=""),"",分期持仓明细!$AB$19*SUMPRODUCT(分期持仓明细!$B$19:$Y$19,'实盘净值数据(iFinD公式)'!$B25:$Y25/'实盘净值数据(iFinD公式)'!$B$20:$Y$20)*(1-实盘持仓配置!$Z$6)^(('实盘净值数据(iFinD公式)'!$A25-'实盘净值数据(iFinD公式)'!$A$7)/365))</x:f>
        <x:v>#NAME?</x:v>
      </x:c>
      <x:c r="I25" s="16">
        <x:f t="shared" si="5"/>
        <x:v>-7.347393122244894E-2</x:v>
      </x:c>
      <x:c r="J25" s="16" t="e">
        <x:f>IF(H25="","",H25/MAX(H$5:H25)-1)</x:f>
        <x:v>#NAME?</x:v>
      </x:c>
      <x:c r="K25" s="13" t="e">
        <x:f>IF(OR('实盘净值数据(iFinD公式)'!$A25="",'实盘净值数据(iFinD公式)'!$B25=""),"",分期持仓明细!$AB$20*SUMPRODUCT(分期持仓明细!$B$20:$Y$20,'实盘净值数据(iFinD公式)'!$B25:$Y25/'实盘净值数据(iFinD公式)'!$B$25:$Y$25)*(1-实盘持仓配置!$Z$7)^(('实盘净值数据(iFinD公式)'!$A25-'实盘净值数据(iFinD公式)'!$A$8)/365))</x:f>
        <x:v>#NAME?</x:v>
      </x:c>
      <x:c r="L25" s="16">
        <x:f t="shared" si="0"/>
        <x:v>-6.6705410006742127E-3</x:v>
      </x:c>
      <x:c r="M25" s="16" t="e">
        <x:f>IF(K25="","",K25/MAX(K$5:K25)-1)</x:f>
        <x:v>#NAME?</x:v>
      </x:c>
      <x:c r="N25" s="13" t="e">
        <x:f>IF(OR('实盘净值数据(iFinD公式)'!$A25="",'实盘净值数据(iFinD公式)'!$B25=""),"",分期持仓明细!$AB$21*SUMPRODUCT(分期持仓明细!$B$21:$Y$21,'实盘净值数据(iFinD公式)'!$B25:$Y25/'实盘净值数据(iFinD公式)'!$B$25:$Y$25)*(1-实盘持仓配置!$Z$8)^(('实盘净值数据(iFinD公式)'!$A25-'实盘净值数据(iFinD公式)'!$A$5)/365))</x:f>
        <x:v>#NAME?</x:v>
      </x:c>
      <x:c r="O25" s="16">
        <x:f t="shared" si="1"/>
        <x:v>-7.2129719492090016E-3</x:v>
      </x:c>
      <x:c r="P25" s="16" t="e">
        <x:f>IF(N25="","",N25/MAX(N$5:N25)-1)</x:f>
        <x:v>#NAME?</x:v>
      </x:c>
      <x:c r="Q25" s="13" t="e">
        <x:f>IF(OR('实盘净值数据(iFinD公式)'!$A25="",'实盘净值数据(iFinD公式)'!$B25=""),"",分期持仓明细!$AB$22*SUMPRODUCT(分期持仓明细!$B$22:$Y$22,'实盘净值数据(iFinD公式)'!$B25:$Y25/'实盘净值数据(iFinD公式)'!$B$25:$Y$25)*(1-实盘持仓配置!$Z$9)^(('实盘净值数据(iFinD公式)'!$A25-'实盘净值数据(iFinD公式)'!$A$8)/365))</x:f>
        <x:v>#NAME?</x:v>
      </x:c>
      <x:c r="R25" s="16">
        <x:f t="shared" si="2"/>
        <x:v>-2.020332760337562E-2</x:v>
      </x:c>
      <x:c r="S25" s="16" t="e">
        <x:f>IF(Q25="","",Q25/MAX(Q$5:Q25)-1)</x:f>
        <x:v>#NAME?</x:v>
      </x:c>
    </x:row>
    <x:row r="26">
      <x:c r="A26" s="15" t="n">
        <x:f>IF('实盘净值数据(iFinD公式)'!A26="","",'实盘净值数据(iFinD公式)'!A26)</x:f>
        <x:v>46223</x:v>
      </x:c>
      <x:c r="B26" s="13" t="e">
        <x:f>IF(OR('实盘净值数据(iFinD公式)'!$A26="",'实盘净值数据(iFinD公式)'!$B26=""),"",分期持仓明细!$AB$17*SUMPRODUCT(分期持仓明细!$B$17:$Y$17,'实盘净值数据(iFinD公式)'!$B26:$Y26/'实盘净值数据(iFinD公式)'!$B$20:$Y$20)*(1-实盘持仓配置!$Z$4)^(('实盘净值数据(iFinD公式)'!$A26-'实盘净值数据(iFinD公式)'!$A$6)/365))</x:f>
        <x:v>#NAME?</x:v>
      </x:c>
      <x:c r="C26" s="16">
        <x:f t="shared" si="3"/>
        <x:v>-3.9016319754486384E-2</x:v>
      </x:c>
      <x:c r="D26" s="16" t="e">
        <x:f>IF(B26="","",B26/MAX(B$5:B26)-1)</x:f>
        <x:v>#NAME?</x:v>
      </x:c>
      <x:c r="E26" s="13" t="e">
        <x:f>IF(OR('实盘净值数据(iFinD公式)'!$A26="",'实盘净值数据(iFinD公式)'!$B26=""),"",分期持仓明细!$AB$18*SUMPRODUCT(分期持仓明细!$B$18:$Y$18,'实盘净值数据(iFinD公式)'!$B26:$Y26/'实盘净值数据(iFinD公式)'!$B$20:$Y$20)*(1-实盘持仓配置!$Z$5)^(('实盘净值数据(iFinD公式)'!$A26-'实盘净值数据(iFinD公式)'!$A$5)/365))</x:f>
        <x:v>#NAME?</x:v>
      </x:c>
      <x:c r="F26" s="16">
        <x:f t="shared" si="4"/>
        <x:v>-3.9054015276703713E-2</x:v>
      </x:c>
      <x:c r="G26" s="16" t="e">
        <x:f>IF(E26="","",E26/MAX(E$5:E26)-1)</x:f>
        <x:v>#NAME?</x:v>
      </x:c>
      <x:c r="H26" s="13" t="e">
        <x:f>IF(OR('实盘净值数据(iFinD公式)'!$A26="",'实盘净值数据(iFinD公式)'!$B26=""),"",分期持仓明细!$AB$19*SUMPRODUCT(分期持仓明细!$B$19:$Y$19,'实盘净值数据(iFinD公式)'!$B26:$Y26/'实盘净值数据(iFinD公式)'!$B$20:$Y$20)*(1-实盘持仓配置!$Z$6)^(('实盘净值数据(iFinD公式)'!$A26-'实盘净值数据(iFinD公式)'!$A$7)/365))</x:f>
        <x:v>#NAME?</x:v>
      </x:c>
      <x:c r="I26" s="16">
        <x:f t="shared" si="5"/>
        <x:v>-3.4759083123028223E-2</x:v>
      </x:c>
      <x:c r="J26" s="16" t="e">
        <x:f>IF(H26="","",H26/MAX(H$5:H26)-1)</x:f>
        <x:v>#NAME?</x:v>
      </x:c>
      <x:c r="K26" s="13" t="e">
        <x:f>IF(OR('实盘净值数据(iFinD公式)'!$A26="",'实盘净值数据(iFinD公式)'!$B26=""),"",分期持仓明细!$AB$20*SUMPRODUCT(分期持仓明细!$B$20:$Y$20,'实盘净值数据(iFinD公式)'!$B26:$Y26/'实盘净值数据(iFinD公式)'!$B$25:$Y$25)*(1-实盘持仓配置!$Z$7)^(('实盘净值数据(iFinD公式)'!$A26-'实盘净值数据(iFinD公式)'!$A$8)/365))</x:f>
        <x:v>#NAME?</x:v>
      </x:c>
      <x:c r="L26" s="16">
        <x:f t="shared" si="0"/>
        <x:v>-3.3175365276533197E-3</x:v>
      </x:c>
      <x:c r="M26" s="16" t="e">
        <x:f>IF(K26="","",K26/MAX(K$5:K26)-1)</x:f>
        <x:v>#NAME?</x:v>
      </x:c>
      <x:c r="N26" s="13" t="e">
        <x:f>IF(OR('实盘净值数据(iFinD公式)'!$A26="",'实盘净值数据(iFinD公式)'!$B26=""),"",分期持仓明细!$AB$21*SUMPRODUCT(分期持仓明细!$B$21:$Y$21,'实盘净值数据(iFinD公式)'!$B26:$Y26/'实盘净值数据(iFinD公式)'!$B$25:$Y$25)*(1-实盘持仓配置!$Z$8)^(('实盘净值数据(iFinD公式)'!$A26-'实盘净值数据(iFinD公式)'!$A$5)/365))</x:f>
        <x:v>#NAME?</x:v>
      </x:c>
      <x:c r="O26" s="16">
        <x:f t="shared" si="1"/>
        <x:v>-3.5634979469405526E-3</x:v>
      </x:c>
      <x:c r="P26" s="16" t="e">
        <x:f>IF(N26="","",N26/MAX(N$5:N26)-1)</x:f>
        <x:v>#NAME?</x:v>
      </x:c>
      <x:c r="Q26" s="13" t="e">
        <x:f>IF(OR('实盘净值数据(iFinD公式)'!$A26="",'实盘净值数据(iFinD公式)'!$B26=""),"",分期持仓明细!$AB$22*SUMPRODUCT(分期持仓明细!$B$22:$Y$22,'实盘净值数据(iFinD公式)'!$B26:$Y26/'实盘净值数据(iFinD公式)'!$B$25:$Y$25)*(1-实盘持仓配置!$Z$9)^(('实盘净值数据(iFinD公式)'!$A26-'实盘净值数据(iFinD公式)'!$A$8)/365))</x:f>
        <x:v>#NAME?</x:v>
      </x:c>
      <x:c r="R26" s="16">
        <x:f t="shared" si="2"/>
        <x:v>-9.5634306186800355E-3</x:v>
      </x:c>
      <x:c r="S26" s="16" t="e">
        <x:f>IF(Q26="","",Q26/MAX(Q$5:Q26)-1)</x:f>
        <x:v>#NAME?</x:v>
      </x:c>
    </x:row>
    <x:row r="27">
      <x:c r="A27" s="15" t="n">
        <x:f>IF('实盘净值数据(iFinD公式)'!A27="","",'实盘净值数据(iFinD公式)'!A27)</x:f>
        <x:v>46224</x:v>
      </x:c>
      <x:c r="B27" s="13" t="e">
        <x:f>IF(OR('实盘净值数据(iFinD公式)'!$A27="",'实盘净值数据(iFinD公式)'!$B27=""),"",分期持仓明细!$AB$17*SUMPRODUCT(分期持仓明细!$B$17:$Y$17,'实盘净值数据(iFinD公式)'!$B27:$Y27/'实盘净值数据(iFinD公式)'!$B$20:$Y$20)*(1-实盘持仓配置!$Z$4)^(('实盘净值数据(iFinD公式)'!$A27-'实盘净值数据(iFinD公式)'!$A$6)/365))</x:f>
        <x:v>#NAME?</x:v>
      </x:c>
      <x:c r="C27" s="16">
        <x:f t="shared" si="3"/>
        <x:v>0.11285915049426198</x:v>
      </x:c>
      <x:c r="D27" s="16" t="e">
        <x:f>IF(B27="","",B27/MAX(B$5:B27)-1)</x:f>
        <x:v>#NAME?</x:v>
      </x:c>
      <x:c r="E27" s="13" t="e">
        <x:f>IF(OR('实盘净值数据(iFinD公式)'!$A27="",'实盘净值数据(iFinD公式)'!$B27=""),"",分期持仓明细!$AB$18*SUMPRODUCT(分期持仓明细!$B$18:$Y$18,'实盘净值数据(iFinD公式)'!$B27:$Y27/'实盘净值数据(iFinD公式)'!$B$20:$Y$20)*(1-实盘持仓配置!$Z$5)^(('实盘净值数据(iFinD公式)'!$A27-'实盘净值数据(iFinD公式)'!$A$5)/365))</x:f>
        <x:v>#NAME?</x:v>
      </x:c>
      <x:c r="F27" s="16">
        <x:f t="shared" si="4"/>
        <x:v>0.11286840337273207</x:v>
      </x:c>
      <x:c r="G27" s="16" t="e">
        <x:f>IF(E27="","",E27/MAX(E$5:E27)-1)</x:f>
        <x:v>#NAME?</x:v>
      </x:c>
      <x:c r="H27" s="13" t="e">
        <x:f>IF(OR('实盘净值数据(iFinD公式)'!$A27="",'实盘净值数据(iFinD公式)'!$B27=""),"",分期持仓明细!$AB$19*SUMPRODUCT(分期持仓明细!$B$19:$Y$19,'实盘净值数据(iFinD公式)'!$B27:$Y27/'实盘净值数据(iFinD公式)'!$B$20:$Y$20)*(1-实盘持仓配置!$Z$6)^(('实盘净值数据(iFinD公式)'!$A27-'实盘净值数据(iFinD公式)'!$A$7)/365))</x:f>
        <x:v>#NAME?</x:v>
      </x:c>
      <x:c r="I27" s="16">
        <x:f t="shared" si="5"/>
        <x:v>0.11545186538700158</x:v>
      </x:c>
      <x:c r="J27" s="16" t="e">
        <x:f>IF(H27="","",H27/MAX(H$5:H27)-1)</x:f>
        <x:v>#NAME?</x:v>
      </x:c>
      <x:c r="K27" s="13" t="e">
        <x:f>IF(OR('实盘净值数据(iFinD公式)'!$A27="",'实盘净值数据(iFinD公式)'!$B27=""),"",分期持仓明细!$AB$20*SUMPRODUCT(分期持仓明细!$B$20:$Y$20,'实盘净值数据(iFinD公式)'!$B27:$Y27/'实盘净值数据(iFinD公式)'!$B$25:$Y$25)*(1-实盘持仓配置!$Z$7)^(('实盘净值数据(iFinD公式)'!$A27-'实盘净值数据(iFinD公式)'!$A$8)/365))</x:f>
        <x:v>#NAME?</x:v>
      </x:c>
      <x:c r="L27" s="16">
        <x:f t="shared" si="0"/>
        <x:v>9.2368742999429099E-3</x:v>
      </x:c>
      <x:c r="M27" s="16" t="e">
        <x:f>IF(K27="","",K27/MAX(K$5:K27)-1)</x:f>
        <x:v>#NAME?</x:v>
      </x:c>
      <x:c r="N27" s="13" t="e">
        <x:f>IF(OR('实盘净值数据(iFinD公式)'!$A27="",'实盘净值数据(iFinD公式)'!$B27=""),"",分期持仓明细!$AB$21*SUMPRODUCT(分期持仓明细!$B$21:$Y$21,'实盘净值数据(iFinD公式)'!$B27:$Y27/'实盘净值数据(iFinD公式)'!$B$25:$Y$25)*(1-实盘持仓配置!$Z$8)^(('实盘净值数据(iFinD公式)'!$A27-'实盘净值数据(iFinD公式)'!$A$5)/365))</x:f>
        <x:v>#NAME?</x:v>
      </x:c>
      <x:c r="O27" s="16">
        <x:f t="shared" si="1"/>
        <x:v>9.2214981398199836E-3</x:v>
      </x:c>
      <x:c r="P27" s="16" t="e">
        <x:f>IF(N27="","",N27/MAX(N$5:N27)-1)</x:f>
        <x:v>#NAME?</x:v>
      </x:c>
      <x:c r="Q27" s="13" t="e">
        <x:f>IF(OR('实盘净值数据(iFinD公式)'!$A27="",'实盘净值数据(iFinD公式)'!$B27=""),"",分期持仓明细!$AB$22*SUMPRODUCT(分期持仓明细!$B$22:$Y$22,'实盘净值数据(iFinD公式)'!$B27:$Y27/'实盘净值数据(iFinD公式)'!$B$25:$Y$25)*(1-实盘持仓配置!$Z$9)^(('实盘净值数据(iFinD公式)'!$A27-'实盘净值数据(iFinD公式)'!$A$8)/365))</x:f>
        <x:v>#NAME?</x:v>
      </x:c>
      <x:c r="R27" s="16">
        <x:f t="shared" si="2"/>
        <x:v>2.7369384355575344E-2</x:v>
      </x:c>
      <x:c r="S27" s="16" t="e">
        <x:f>IF(Q27="","",Q27/MAX(Q$5:Q27)-1)</x:f>
        <x:v>#NAME?</x:v>
      </x:c>
    </x:row>
    <x:row r="28">
      <x:c r="A28" s="15" t="n">
        <x:f>IF('实盘净值数据(iFinD公式)'!A28="","",'实盘净值数据(iFinD公式)'!A28)</x:f>
        <x:v>46225</x:v>
      </x:c>
      <x:c r="B28" s="13" t="e">
        <x:f>IF(OR('实盘净值数据(iFinD公式)'!$A28="",'实盘净值数据(iFinD公式)'!$B28=""),"",分期持仓明细!$AB$17*SUMPRODUCT(分期持仓明细!$B$17:$Y$17,'实盘净值数据(iFinD公式)'!$B28:$Y28/'实盘净值数据(iFinD公式)'!$B$20:$Y$20)*(1-实盘持仓配置!$Z$4)^(('实盘净值数据(iFinD公式)'!$A28-'实盘净值数据(iFinD公式)'!$A$6)/365))</x:f>
        <x:v>#NAME?</x:v>
      </x:c>
      <x:c r="C28" s="16">
        <x:f t="shared" si="3"/>
        <x:v>-2.9909138447293815E-2</x:v>
      </x:c>
      <x:c r="D28" s="16" t="e">
        <x:f>IF(B28="","",B28/MAX(B$5:B28)-1)</x:f>
        <x:v>#NAME?</x:v>
      </x:c>
      <x:c r="E28" s="13" t="e">
        <x:f>IF(OR('实盘净值数据(iFinD公式)'!$A28="",'实盘净值数据(iFinD公式)'!$B28=""),"",分期持仓明细!$AB$18*SUMPRODUCT(分期持仓明细!$B$18:$Y$18,'实盘净值数据(iFinD公式)'!$B28:$Y28/'实盘净值数据(iFinD公式)'!$B$20:$Y$20)*(1-实盘持仓配置!$Z$5)^(('实盘净值数据(iFinD公式)'!$A28-'实盘净值数据(iFinD公式)'!$A$5)/365))</x:f>
        <x:v>#NAME?</x:v>
      </x:c>
      <x:c r="F28" s="16">
        <x:f t="shared" si="4"/>
        <x:v>-2.9962960085726298E-2</x:v>
      </x:c>
      <x:c r="G28" s="16" t="e">
        <x:f>IF(E28="","",E28/MAX(E$5:E28)-1)</x:f>
        <x:v>#NAME?</x:v>
      </x:c>
      <x:c r="H28" s="13" t="e">
        <x:f>IF(OR('实盘净值数据(iFinD公式)'!$A28="",'实盘净值数据(iFinD公式)'!$B28=""),"",分期持仓明细!$AB$19*SUMPRODUCT(分期持仓明细!$B$19:$Y$19,'实盘净值数据(iFinD公式)'!$B28:$Y28/'实盘净值数据(iFinD公式)'!$B$20:$Y$20)*(1-实盘持仓配置!$Z$6)^(('实盘净值数据(iFinD公式)'!$A28-'实盘净值数据(iFinD公式)'!$A$7)/365))</x:f>
        <x:v>#NAME?</x:v>
      </x:c>
      <x:c r="I28" s="16">
        <x:f t="shared" si="5"/>
        <x:v>-2.7165793717459641E-2</x:v>
      </x:c>
      <x:c r="J28" s="16" t="e">
        <x:f>IF(H28="","",H28/MAX(H$5:H28)-1)</x:f>
        <x:v>#NAME?</x:v>
      </x:c>
      <x:c r="K28" s="13" t="e">
        <x:f>IF(OR('实盘净值数据(iFinD公式)'!$A28="",'实盘净值数据(iFinD公式)'!$B28=""),"",分期持仓明细!$AB$20*SUMPRODUCT(分期持仓明细!$B$20:$Y$20,'实盘净值数据(iFinD公式)'!$B28:$Y28/'实盘净值数据(iFinD公式)'!$B$25:$Y$25)*(1-实盘持仓配置!$Z$7)^(('实盘净值数据(iFinD公式)'!$A28-'实盘净值数据(iFinD公式)'!$A$8)/365))</x:f>
        <x:v>#NAME?</x:v>
      </x:c>
      <x:c r="L28" s="16">
        <x:f t="shared" si="0"/>
        <x:v>-1.5528668585085281E-4</x:v>
      </x:c>
      <x:c r="M28" s="16" t="e">
        <x:f>IF(K28="","",K28/MAX(K$5:K28)-1)</x:f>
        <x:v>#NAME?</x:v>
      </x:c>
      <x:c r="N28" s="13" t="e">
        <x:f>IF(OR('实盘净值数据(iFinD公式)'!$A28="",'实盘净值数据(iFinD公式)'!$B28=""),"",分期持仓明细!$AB$21*SUMPRODUCT(分期持仓明细!$B$21:$Y$21,'实盘净值数据(iFinD公式)'!$B28:$Y28/'实盘净值数据(iFinD公式)'!$B$25:$Y$25)*(1-实盘持仓配置!$Z$8)^(('实盘净值数据(iFinD公式)'!$A28-'实盘净值数据(iFinD公式)'!$A$5)/365))</x:f>
        <x:v>#NAME?</x:v>
      </x:c>
      <x:c r="O28" s="16">
        <x:f t="shared" si="1"/>
        <x:v>-3.523810319310261E-4</x:v>
      </x:c>
      <x:c r="P28" s="16" t="e">
        <x:f>IF(N28="","",N28/MAX(N$5:N28)-1)</x:f>
        <x:v>#NAME?</x:v>
      </x:c>
      <x:c r="Q28" s="13" t="e">
        <x:f>IF(OR('实盘净值数据(iFinD公式)'!$A28="",'实盘净值数据(iFinD公式)'!$B28=""),"",分期持仓明细!$AB$22*SUMPRODUCT(分期持仓明细!$B$22:$Y$22,'实盘净值数据(iFinD公式)'!$B28:$Y28/'实盘净值数据(iFinD公式)'!$B$25:$Y$25)*(1-实盘持仓配置!$Z$9)^(('实盘净值数据(iFinD公式)'!$A28-'实盘净值数据(iFinD公式)'!$A$8)/365))</x:f>
        <x:v>#NAME?</x:v>
      </x:c>
      <x:c r="R28" s="16">
        <x:f t="shared" si="2"/>
        <x:v>-4.0613471016061053E-3</x:v>
      </x:c>
      <x:c r="S28" s="16" t="e">
        <x:f>IF(Q28="","",Q28/MAX(Q$5:Q28)-1)</x:f>
        <x:v>#NAME?</x:v>
      </x:c>
    </x:row>
    <x:row r="29">
      <x:c r="A29" s="15" t="n">
        <x:f>IF('实盘净值数据(iFinD公式)'!A29="","",'实盘净值数据(iFinD公式)'!A29)</x:f>
        <x:v>46226</x:v>
      </x:c>
      <x:c r="B29" s="13" t="e">
        <x:f>IF(OR('实盘净值数据(iFinD公式)'!$A29="",'实盘净值数据(iFinD公式)'!$B29=""),"",分期持仓明细!$AB$17*SUMPRODUCT(分期持仓明细!$B$17:$Y$17,'实盘净值数据(iFinD公式)'!$B29:$Y29/'实盘净值数据(iFinD公式)'!$B$20:$Y$20)*(1-实盘持仓配置!$Z$4)^(('实盘净值数据(iFinD公式)'!$A29-'实盘净值数据(iFinD公式)'!$A$6)/365))</x:f>
        <x:v>#NAME?</x:v>
      </x:c>
      <x:c r="C29" s="16">
        <x:f t="shared" si="3"/>
        <x:v>-2.654324255162388E-2</x:v>
      </x:c>
      <x:c r="D29" s="16" t="e">
        <x:f>IF(B29="","",B29/MAX(B$5:B29)-1)</x:f>
        <x:v>#NAME?</x:v>
      </x:c>
      <x:c r="E29" s="13" t="e">
        <x:f>IF(OR('实盘净值数据(iFinD公式)'!$A29="",'实盘净值数据(iFinD公式)'!$B29=""),"",分期持仓明细!$AB$18*SUMPRODUCT(分期持仓明细!$B$18:$Y$18,'实盘净值数据(iFinD公式)'!$B29:$Y29/'实盘净值数据(iFinD公式)'!$B$20:$Y$20)*(1-实盘持仓配置!$Z$5)^(('实盘净值数据(iFinD公式)'!$A29-'实盘净值数据(iFinD公式)'!$A$5)/365))</x:f>
        <x:v>#NAME?</x:v>
      </x:c>
      <x:c r="F29" s="16">
        <x:f t="shared" si="4"/>
        <x:v>-2.6497283794344129E-2</x:v>
      </x:c>
      <x:c r="G29" s="16" t="e">
        <x:f>IF(E29="","",E29/MAX(E$5:E29)-1)</x:f>
        <x:v>#NAME?</x:v>
      </x:c>
      <x:c r="H29" s="13" t="e">
        <x:f>IF(OR('实盘净值数据(iFinD公式)'!$A29="",'实盘净值数据(iFinD公式)'!$B29=""),"",分期持仓明细!$AB$19*SUMPRODUCT(分期持仓明细!$B$19:$Y$19,'实盘净值数据(iFinD公式)'!$B29:$Y29/'实盘净值数据(iFinD公式)'!$B$20:$Y$20)*(1-实盘持仓配置!$Z$6)^(('实盘净值数据(iFinD公式)'!$A29-'实盘净值数据(iFinD公式)'!$A$7)/365))</x:f>
        <x:v>#NAME?</x:v>
      </x:c>
      <x:c r="I29" s="16">
        <x:f t="shared" si="5"/>
        <x:v>-2.8509597128816289E-2</x:v>
      </x:c>
      <x:c r="J29" s="16" t="e">
        <x:f>IF(H29="","",H29/MAX(H$5:H29)-1)</x:f>
        <x:v>#NAME?</x:v>
      </x:c>
      <x:c r="K29" s="13" t="e">
        <x:f>IF(OR('实盘净值数据(iFinD公式)'!$A29="",'实盘净值数据(iFinD公式)'!$B29=""),"",分期持仓明细!$AB$20*SUMPRODUCT(分期持仓明细!$B$20:$Y$20,'实盘净值数据(iFinD公式)'!$B29:$Y29/'实盘净值数据(iFinD公式)'!$B$25:$Y$25)*(1-实盘持仓配置!$Z$7)^(('实盘净值数据(iFinD公式)'!$A29-'实盘净值数据(iFinD公式)'!$A$8)/365))</x:f>
        <x:v>#NAME?</x:v>
      </x:c>
      <x:c r="L29" s="16">
        <x:f t="shared" si="0"/>
        <x:v>-1.3396870575669295E-3</x:v>
      </x:c>
      <x:c r="M29" s="16" t="e">
        <x:f>IF(K29="","",K29/MAX(K$5:K29)-1)</x:f>
        <x:v>#NAME?</x:v>
      </x:c>
      <x:c r="N29" s="13" t="e">
        <x:f>IF(OR('实盘净值数据(iFinD公式)'!$A29="",'实盘净值数据(iFinD公式)'!$B29=""),"",分期持仓明细!$AB$21*SUMPRODUCT(分期持仓明细!$B$21:$Y$21,'实盘净值数据(iFinD公式)'!$B29:$Y29/'实盘净值数据(iFinD公式)'!$B$25:$Y$25)*(1-实盘持仓配置!$Z$8)^(('实盘净值数据(iFinD公式)'!$A29-'实盘净值数据(iFinD公式)'!$A$5)/365))</x:f>
        <x:v>#NAME?</x:v>
      </x:c>
      <x:c r="O29" s="16">
        <x:f t="shared" si="1"/>
        <x:v>-1.2439186816592951E-3</x:v>
      </x:c>
      <x:c r="P29" s="16" t="e">
        <x:f>IF(N29="","",N29/MAX(N$5:N29)-1)</x:f>
        <x:v>#NAME?</x:v>
      </x:c>
      <x:c r="Q29" s="13" t="e">
        <x:f>IF(OR('实盘净值数据(iFinD公式)'!$A29="",'实盘净值数据(iFinD公式)'!$B29=""),"",分期持仓明细!$AB$22*SUMPRODUCT(分期持仓明细!$B$22:$Y$22,'实盘净值数据(iFinD公式)'!$B29:$Y29/'实盘净值数据(iFinD公式)'!$B$25:$Y$25)*(1-实盘持仓配置!$Z$9)^(('实盘净值数据(iFinD公式)'!$A29-'实盘净值数据(iFinD公式)'!$A$8)/365))</x:f>
        <x:v>#NAME?</x:v>
      </x:c>
      <x:c r="R29" s="16">
        <x:f t="shared" si="2"/>
        <x:v>-4.3531745449095771E-3</x:v>
      </x:c>
      <x:c r="S29" s="16" t="e">
        <x:f>IF(Q29="","",Q29/MAX(Q$5:Q29)-1)</x:f>
        <x:v>#NAME?</x:v>
      </x:c>
    </x:row>
    <x:row r="30">
      <x:c r="A30" s="15" t="n">
        <x:f>IF('实盘净值数据(iFinD公式)'!A30="","",'实盘净值数据(iFinD公式)'!A30)</x:f>
        <x:v>46227</x:v>
      </x:c>
      <x:c r="B30" s="13" t="e">
        <x:f>IF(OR('实盘净值数据(iFinD公式)'!$A30="",'实盘净值数据(iFinD公式)'!$B30=""),"",分期持仓明细!$AB$17*SUMPRODUCT(分期持仓明细!$B$17:$Y$17,'实盘净值数据(iFinD公式)'!$B30:$Y30/'实盘净值数据(iFinD公式)'!$B$20:$Y$20)*(1-实盘持仓配置!$Z$4)^(('实盘净值数据(iFinD公式)'!$A30-'实盘净值数据(iFinD公式)'!$A$6)/365))</x:f>
        <x:v>#NAME?</x:v>
      </x:c>
      <x:c r="C30" s="16">
        <x:f t="shared" si="3"/>
        <x:v>-3.0084769645188914E-4</x:v>
      </x:c>
      <x:c r="D30" s="16" t="e">
        <x:f>IF(B30="","",B30/MAX(B$5:B30)-1)</x:f>
        <x:v>#NAME?</x:v>
      </x:c>
      <x:c r="E30" s="13" t="e">
        <x:f>IF(OR('实盘净值数据(iFinD公式)'!$A30="",'实盘净值数据(iFinD公式)'!$B30=""),"",分期持仓明细!$AB$18*SUMPRODUCT(分期持仓明细!$B$18:$Y$18,'实盘净值数据(iFinD公式)'!$B30:$Y30/'实盘净值数据(iFinD公式)'!$B$20:$Y$20)*(1-实盘持仓配置!$Z$5)^(('实盘净值数据(iFinD公式)'!$A30-'实盘净值数据(iFinD公式)'!$A$5)/365))</x:f>
        <x:v>#NAME?</x:v>
      </x:c>
      <x:c r="F30" s="16">
        <x:f t="shared" si="4"/>
        <x:v>-3.7395074188428801E-4</x:v>
      </x:c>
      <x:c r="G30" s="16" t="e">
        <x:f>IF(E30="","",E30/MAX(E$5:E30)-1)</x:f>
        <x:v>#NAME?</x:v>
      </x:c>
      <x:c r="H30" s="13" t="e">
        <x:f>IF(OR('实盘净值数据(iFinD公式)'!$A30="",'实盘净值数据(iFinD公式)'!$B30=""),"",分期持仓明细!$AB$19*SUMPRODUCT(分期持仓明细!$B$19:$Y$19,'实盘净值数据(iFinD公式)'!$B30:$Y30/'实盘净值数据(iFinD公式)'!$B$20:$Y$20)*(1-实盘持仓配置!$Z$6)^(('实盘净值数据(iFinD公式)'!$A30-'实盘净值数据(iFinD公式)'!$A$7)/365))</x:f>
        <x:v>#NAME?</x:v>
      </x:c>
      <x:c r="I30" s="16">
        <x:f t="shared" si="5"/>
        <x:v>5.1910869602169729E-3</x:v>
      </x:c>
      <x:c r="J30" s="16" t="e">
        <x:f>IF(H30="","",H30/MAX(H$5:H30)-1)</x:f>
        <x:v>#NAME?</x:v>
      </x:c>
      <x:c r="K30" s="13" t="e">
        <x:f>IF(OR('实盘净值数据(iFinD公式)'!$A30="",'实盘净值数据(iFinD公式)'!$B30=""),"",分期持仓明细!$AB$20*SUMPRODUCT(分期持仓明细!$B$20:$Y$20,'实盘净值数据(iFinD公式)'!$B30:$Y30/'实盘净值数据(iFinD公式)'!$B$25:$Y$25)*(1-实盘持仓配置!$Z$7)^(('实盘净值数据(iFinD公式)'!$A30-'实盘净值数据(iFinD公式)'!$A$8)/365))</x:f>
        <x:v>#NAME?</x:v>
      </x:c>
      <x:c r="L30" s="16">
        <x:f t="shared" si="0"/>
        <x:v>-1.0436409455134577E-3</x:v>
      </x:c>
      <x:c r="M30" s="16" t="e">
        <x:f>IF(K30="","",K30/MAX(K$5:K30)-1)</x:f>
        <x:v>#NAME?</x:v>
      </x:c>
      <x:c r="N30" s="13" t="e">
        <x:f>IF(OR('实盘净值数据(iFinD公式)'!$A30="",'实盘净值数据(iFinD公式)'!$B30=""),"",分期持仓明细!$AB$21*SUMPRODUCT(分期持仓明细!$B$21:$Y$21,'实盘净值数据(iFinD公式)'!$B30:$Y30/'实盘净值数据(iFinD公式)'!$B$25:$Y$25)*(1-实盘持仓配置!$Z$8)^(('实盘净值数据(iFinD公式)'!$A30-'实盘净值数据(iFinD公式)'!$A$5)/365))</x:f>
        <x:v>#NAME?</x:v>
      </x:c>
      <x:c r="O30" s="16">
        <x:f t="shared" si="1"/>
        <x:v>-1.2919879795562084E-3</x:v>
      </x:c>
      <x:c r="P30" s="16" t="e">
        <x:f>IF(N30="","",N30/MAX(N$5:N30)-1)</x:f>
        <x:v>#NAME?</x:v>
      </x:c>
      <x:c r="Q30" s="13" t="e">
        <x:f>IF(OR('实盘净值数据(iFinD公式)'!$A30="",'实盘净值数据(iFinD公式)'!$B30=""),"",分期持仓明细!$AB$22*SUMPRODUCT(分期持仓明细!$B$22:$Y$22,'实盘净值数据(iFinD公式)'!$B30:$Y30/'实盘净值数据(iFinD公式)'!$B$25:$Y$25)*(1-实盘持仓配置!$Z$9)^(('实盘净值数据(iFinD公式)'!$A30-'实盘净值数据(iFinD公式)'!$A$8)/365))</x:f>
        <x:v>#NAME?</x:v>
      </x:c>
      <x:c r="R30" s="16">
        <x:f t="shared" si="2"/>
        <x:v>-3.3334251195940023E-3</x:v>
      </x:c>
      <x:c r="S30" s="16" t="e">
        <x:f>IF(Q30="","",Q30/MAX(Q$5:Q30)-1)</x:f>
        <x:v>#NAME?</x:v>
      </x:c>
    </x:row>
    <x:row r="31">
      <x:c r="A31" s="15" t="n">
        <x:f>IF('实盘净值数据(iFinD公式)'!A31="","",'实盘净值数据(iFinD公式)'!A31)</x:f>
        <x:v>46230</x:v>
      </x:c>
      <x:c r="B31" s="13" t="e">
        <x:f>IF(OR('实盘净值数据(iFinD公式)'!$A31="",'实盘净值数据(iFinD公式)'!$B31=""),"",分期持仓明细!$AB$17*SUMPRODUCT(分期持仓明细!$B$17:$Y$17,'实盘净值数据(iFinD公式)'!$B31:$Y31/'实盘净值数据(iFinD公式)'!$B$20:$Y$20)*(1-实盘持仓配置!$Z$4)^(('实盘净值数据(iFinD公式)'!$A31-'实盘净值数据(iFinD公式)'!$A$6)/365))</x:f>
        <x:v>#NAME?</x:v>
      </x:c>
      <x:c r="C31" s="16">
        <x:f t="shared" si="3"/>
        <x:v>2.8350574113524374E-2</x:v>
      </x:c>
      <x:c r="D31" s="16" t="e">
        <x:f>IF(B31="","",B31/MAX(B$5:B31)-1)</x:f>
        <x:v>#NAME?</x:v>
      </x:c>
      <x:c r="E31" s="13" t="e">
        <x:f>IF(OR('实盘净值数据(iFinD公式)'!$A31="",'实盘净值数据(iFinD公式)'!$B31=""),"",分期持仓明细!$AB$18*SUMPRODUCT(分期持仓明细!$B$18:$Y$18,'实盘净值数据(iFinD公式)'!$B31:$Y31/'实盘净值数据(iFinD公式)'!$B$20:$Y$20)*(1-实盘持仓配置!$Z$5)^(('实盘净值数据(iFinD公式)'!$A31-'实盘净值数据(iFinD公式)'!$A$5)/365))</x:f>
        <x:v>#NAME?</x:v>
      </x:c>
      <x:c r="F31" s="16">
        <x:f t="shared" si="4"/>
        <x:v>2.8437165063981196E-2</x:v>
      </x:c>
      <x:c r="G31" s="16" t="e">
        <x:f>IF(E31="","",E31/MAX(E$5:E31)-1)</x:f>
        <x:v>#NAME?</x:v>
      </x:c>
      <x:c r="H31" s="13" t="e">
        <x:f>IF(OR('实盘净值数据(iFinD公式)'!$A31="",'实盘净值数据(iFinD公式)'!$B31=""),"",分期持仓明细!$AB$19*SUMPRODUCT(分期持仓明细!$B$19:$Y$19,'实盘净值数据(iFinD公式)'!$B31:$Y31/'实盘净值数据(iFinD公式)'!$B$20:$Y$20)*(1-实盘持仓配置!$Z$6)^(('实盘净值数据(iFinD公式)'!$A31-'实盘净值数据(iFinD公式)'!$A$7)/365))</x:f>
        <x:v>#NAME?</x:v>
      </x:c>
      <x:c r="I31" s="16">
        <x:f t="shared" si="5"/>
        <x:v>2.6430884369213814E-2</x:v>
      </x:c>
      <x:c r="J31" s="16" t="e">
        <x:f>IF(H31="","",H31/MAX(H$5:H31)-1)</x:f>
        <x:v>#NAME?</x:v>
      </x:c>
      <x:c r="K31" s="13" t="e">
        <x:f>IF(OR('实盘净值数据(iFinD公式)'!$A31="",'实盘净值数据(iFinD公式)'!$B31=""),"",分期持仓明细!$AB$20*SUMPRODUCT(分期持仓明细!$B$20:$Y$20,'实盘净值数据(iFinD公式)'!$B31:$Y31/'实盘净值数据(iFinD公式)'!$B$25:$Y$25)*(1-实盘持仓配置!$Z$7)^(('实盘净值数据(iFinD公式)'!$A31-'实盘净值数据(iFinD公式)'!$A$8)/365))</x:f>
        <x:v>#NAME?</x:v>
      </x:c>
      <x:c r="L31" s="16">
        <x:f t="shared" si="0"/>
        <x:v>3.5730998449985396E-3</x:v>
      </x:c>
      <x:c r="M31" s="16" t="e">
        <x:f>IF(K31="","",K31/MAX(K$5:K31)-1)</x:f>
        <x:v>#NAME?</x:v>
      </x:c>
      <x:c r="N31" s="13" t="e">
        <x:f>IF(OR('实盘净值数据(iFinD公式)'!$A31="",'实盘净值数据(iFinD公式)'!$B31=""),"",分期持仓明细!$AB$21*SUMPRODUCT(分期持仓明细!$B$21:$Y$21,'实盘净值数据(iFinD公式)'!$B31:$Y31/'实盘净值数据(iFinD公式)'!$B$25:$Y$25)*(1-实盘持仓配置!$Z$8)^(('实盘净值数据(iFinD公式)'!$A31-'实盘净值数据(iFinD公式)'!$A$5)/365))</x:f>
        <x:v>#NAME?</x:v>
      </x:c>
      <x:c r="O31" s="16">
        <x:f t="shared" si="1"/>
        <x:v>3.7028091726409862E-3</x:v>
      </x:c>
      <x:c r="P31" s="16" t="e">
        <x:f>IF(N31="","",N31/MAX(N$5:N31)-1)</x:f>
        <x:v>#NAME?</x:v>
      </x:c>
      <x:c r="Q31" s="13" t="e">
        <x:f>IF(OR('实盘净值数据(iFinD公式)'!$A31="",'实盘净值数据(iFinD公式)'!$B31=""),"",分期持仓明细!$AB$22*SUMPRODUCT(分期持仓明细!$B$22:$Y$22,'实盘净值数据(iFinD公式)'!$B31:$Y31/'实盘净值数据(iFinD公式)'!$B$25:$Y$25)*(1-实盘持仓配置!$Z$9)^(('实盘净值数据(iFinD公式)'!$A31-'实盘净值数据(iFinD公式)'!$A$8)/365))</x:f>
        <x:v>#NAME?</x:v>
      </x:c>
      <x:c r="R31" s="16">
        <x:f t="shared" si="2"/>
        <x:v>1.0207685426441904E-2</x:v>
      </x:c>
      <x:c r="S31" s="16" t="e">
        <x:f>IF(Q31="","",Q31/MAX(Q$5:Q31)-1)</x:f>
        <x:v>#NAME?</x:v>
      </x:c>
    </x:row>
    <x:row r="32">
      <x:c r="A32" s="15" t="n">
        <x:f>IF('实盘净值数据(iFinD公式)'!A32="","",'实盘净值数据(iFinD公式)'!A32)</x:f>
        <x:v>46231</x:v>
      </x:c>
      <x:c r="B32" s="13" t="e">
        <x:f>IF(OR('实盘净值数据(iFinD公式)'!$A32="",'实盘净值数据(iFinD公式)'!$B32=""),"",分期持仓明细!$AB$17*SUMPRODUCT(分期持仓明细!$B$17:$Y$17,'实盘净值数据(iFinD公式)'!$B32:$Y32/'实盘净值数据(iFinD公式)'!$B$20:$Y$20)*(1-实盘持仓配置!$Z$4)^(('实盘净值数据(iFinD公式)'!$A32-'实盘净值数据(iFinD公式)'!$A$6)/365))</x:f>
        <x:v>#NAME?</x:v>
      </x:c>
      <x:c r="C32" s="16">
        <x:f t="shared" si="3"/>
        <x:v>-7.9069227181703172E-2</x:v>
      </x:c>
      <x:c r="D32" s="16" t="e">
        <x:f>IF(B32="","",B32/MAX(B$5:B32)-1)</x:f>
        <x:v>#NAME?</x:v>
      </x:c>
      <x:c r="E32" s="13" t="e">
        <x:f>IF(OR('实盘净值数据(iFinD公式)'!$A32="",'实盘净值数据(iFinD公式)'!$B32=""),"",分期持仓明细!$AB$18*SUMPRODUCT(分期持仓明细!$B$18:$Y$18,'实盘净值数据(iFinD公式)'!$B32:$Y32/'实盘净值数据(iFinD公式)'!$B$20:$Y$20)*(1-实盘持仓配置!$Z$5)^(('实盘净值数据(iFinD公式)'!$A32-'实盘净值数据(iFinD公式)'!$A$5)/365))</x:f>
        <x:v>#NAME?</x:v>
      </x:c>
      <x:c r="F32" s="16">
        <x:f t="shared" si="4"/>
        <x:v>-7.9217270527037975E-2</x:v>
      </x:c>
      <x:c r="G32" s="16" t="e">
        <x:f>IF(E32="","",E32/MAX(E$5:E32)-1)</x:f>
        <x:v>#NAME?</x:v>
      </x:c>
      <x:c r="H32" s="13" t="e">
        <x:f>IF(OR('实盘净值数据(iFinD公式)'!$A32="",'实盘净值数据(iFinD公式)'!$B32=""),"",分期持仓明细!$AB$19*SUMPRODUCT(分期持仓明细!$B$19:$Y$19,'实盘净值数据(iFinD公式)'!$B32:$Y32/'实盘净值数据(iFinD公式)'!$B$20:$Y$20)*(1-实盘持仓配置!$Z$6)^(('实盘净值数据(iFinD公式)'!$A32-'实盘净值数据(iFinD公式)'!$A$7)/365))</x:f>
        <x:v>#NAME?</x:v>
      </x:c>
      <x:c r="I32" s="16">
        <x:f t="shared" si="5"/>
        <x:v>-7.4705884407967771E-2</x:v>
      </x:c>
      <x:c r="J32" s="16" t="e">
        <x:f>IF(H32="","",H32/MAX(H$5:H32)-1)</x:f>
        <x:v>#NAME?</x:v>
      </x:c>
      <x:c r="K32" s="13" t="e">
        <x:f>IF(OR('实盘净值数据(iFinD公式)'!$A32="",'实盘净值数据(iFinD公式)'!$B32=""),"",分期持仓明细!$AB$20*SUMPRODUCT(分期持仓明细!$B$20:$Y$20,'实盘净值数据(iFinD公式)'!$B32:$Y32/'实盘净值数据(iFinD公式)'!$B$25:$Y$25)*(1-实盘持仓配置!$Z$7)^(('实盘净值数据(iFinD公式)'!$A32-'实盘净值数据(iFinD公式)'!$A$8)/365))</x:f>
        <x:v>#NAME?</x:v>
      </x:c>
      <x:c r="L32" s="16">
        <x:f t="shared" si="0"/>
        <x:v>-6.3484980932257962E-3</x:v>
      </x:c>
      <x:c r="M32" s="16" t="e">
        <x:f>IF(K32="","",K32/MAX(K$5:K32)-1)</x:f>
        <x:v>#NAME?</x:v>
      </x:c>
      <x:c r="N32" s="13" t="e">
        <x:f>IF(OR('实盘净值数据(iFinD公式)'!$A32="",'实盘净值数据(iFinD公式)'!$B32=""),"",分期持仓明细!$AB$21*SUMPRODUCT(分期持仓明细!$B$21:$Y$21,'实盘净值数据(iFinD公式)'!$B32:$Y32/'实盘净值数据(iFinD公式)'!$B$25:$Y$25)*(1-实盘持仓配置!$Z$8)^(('实盘净值数据(iFinD公式)'!$A32-'实盘净值数据(iFinD公式)'!$A$5)/365))</x:f>
        <x:v>#NAME?</x:v>
      </x:c>
      <x:c r="O32" s="16">
        <x:f t="shared" si="1"/>
        <x:v>-6.6063188448518551E-3</x:v>
      </x:c>
      <x:c r="P32" s="16" t="e">
        <x:f>IF(N32="","",N32/MAX(N$5:N32)-1)</x:f>
        <x:v>#NAME?</x:v>
      </x:c>
      <x:c r="Q32" s="13" t="e">
        <x:f>IF(OR('实盘净值数据(iFinD公式)'!$A32="",'实盘净值数据(iFinD公式)'!$B32=""),"",分期持仓明细!$AB$22*SUMPRODUCT(分期持仓明细!$B$22:$Y$22,'实盘净值数据(iFinD公式)'!$B32:$Y32/'实盘净值数据(iFinD公式)'!$B$25:$Y$25)*(1-实盘持仓配置!$Z$9)^(('实盘净值数据(iFinD公式)'!$A32-'实盘净值数据(iFinD公式)'!$A$8)/365))</x:f>
        <x:v>#NAME?</x:v>
      </x:c>
      <x:c r="R32" s="16">
        <x:f t="shared" si="2"/>
        <x:v>-1.840436279664015E-2</x:v>
      </x:c>
      <x:c r="S32" s="16" t="e">
        <x:f>IF(Q32="","",Q32/MAX(Q$5:Q32)-1)</x:f>
        <x:v>#NAME?</x:v>
      </x:c>
    </x:row>
    <x:row r="33">
      <x:c r="A33" s="15" t="n">
        <x:f>IF('实盘净值数据(iFinD公式)'!A33="","",'实盘净值数据(iFinD公式)'!A33)</x:f>
        <x:v>46232</x:v>
      </x:c>
      <x:c r="B33" s="13" t="e">
        <x:f>IF(OR('实盘净值数据(iFinD公式)'!$A33="",'实盘净值数据(iFinD公式)'!$B33=""),"",分期持仓明细!$AB$17*SUMPRODUCT(分期持仓明细!$B$17:$Y$17,'实盘净值数据(iFinD公式)'!$B33:$Y33/'实盘净值数据(iFinD公式)'!$B$20:$Y$20)*(1-实盘持仓配置!$Z$4)^(('实盘净值数据(iFinD公式)'!$A33-'实盘净值数据(iFinD公式)'!$A$6)/365))</x:f>
        <x:v>#NAME?</x:v>
      </x:c>
      <x:c r="C33" s="16">
        <x:f t="shared" si="3"/>
        <x:v>-1.2484353636284085E-2</x:v>
      </x:c>
      <x:c r="D33" s="16" t="e">
        <x:f>IF(B33="","",B33/MAX(B$5:B33)-1)</x:f>
        <x:v>#NAME?</x:v>
      </x:c>
      <x:c r="E33" s="13" t="e">
        <x:f>IF(OR('实盘净值数据(iFinD公式)'!$A33="",'实盘净值数据(iFinD公式)'!$B33=""),"",分期持仓明细!$AB$18*SUMPRODUCT(分期持仓明细!$B$18:$Y$18,'实盘净值数据(iFinD公式)'!$B33:$Y33/'实盘净值数据(iFinD公式)'!$B$20:$Y$20)*(1-实盘持仓配置!$Z$5)^(('实盘净值数据(iFinD公式)'!$A33-'实盘净值数据(iFinD公式)'!$A$5)/365))</x:f>
        <x:v>#NAME?</x:v>
      </x:c>
      <x:c r="F33" s="16">
        <x:f t="shared" si="4"/>
        <x:v>-1.2480090250778231E-2</x:v>
      </x:c>
      <x:c r="G33" s="16" t="e">
        <x:f>IF(E33="","",E33/MAX(E$5:E33)-1)</x:f>
        <x:v>#NAME?</x:v>
      </x:c>
      <x:c r="H33" s="13" t="e">
        <x:f>IF(OR('实盘净值数据(iFinD公式)'!$A33="",'实盘净值数据(iFinD公式)'!$B33=""),"",分期持仓明细!$AB$19*SUMPRODUCT(分期持仓明细!$B$19:$Y$19,'实盘净值数据(iFinD公式)'!$B33:$Y33/'实盘净值数据(iFinD公式)'!$B$20:$Y$20)*(1-实盘持仓配置!$Z$6)^(('实盘净值数据(iFinD公式)'!$A33-'实盘净值数据(iFinD公式)'!$A$7)/365))</x:f>
        <x:v>#NAME?</x:v>
      </x:c>
      <x:c r="I33" s="16">
        <x:f t="shared" si="5"/>
        <x:v>-1.0049254317972656E-2</x:v>
      </x:c>
      <x:c r="J33" s="16" t="e">
        <x:f>IF(H33="","",H33/MAX(H$5:H33)-1)</x:f>
        <x:v>#NAME?</x:v>
      </x:c>
      <x:c r="K33" s="13" t="e">
        <x:f>IF(OR('实盘净值数据(iFinD公式)'!$A33="",'实盘净值数据(iFinD公式)'!$B33=""),"",分期持仓明细!$AB$20*SUMPRODUCT(分期持仓明细!$B$20:$Y$20,'实盘净值数据(iFinD公式)'!$B33:$Y33/'实盘净值数据(iFinD公式)'!$B$25:$Y$25)*(1-实盘持仓配置!$Z$7)^(('实盘净值数据(iFinD公式)'!$A33-'实盘净值数据(iFinD公式)'!$A$8)/365))</x:f>
        <x:v>#NAME?</x:v>
      </x:c>
      <x:c r="L33" s="16">
        <x:f t="shared" si="0"/>
        <x:v>-4.3802105607859687E-4</x:v>
      </x:c>
      <x:c r="M33" s="16" t="e">
        <x:f>IF(K33="","",K33/MAX(K$5:K33)-1)</x:f>
        <x:v>#NAME?</x:v>
      </x:c>
      <x:c r="N33" s="13" t="e">
        <x:f>IF(OR('实盘净值数据(iFinD公式)'!$A33="",'实盘净值数据(iFinD公式)'!$B33=""),"",分期持仓明细!$AB$21*SUMPRODUCT(分期持仓明细!$B$21:$Y$21,'实盘净值数据(iFinD公式)'!$B33:$Y33/'实盘净值数据(iFinD公式)'!$B$25:$Y$25)*(1-实盘持仓配置!$Z$8)^(('实盘净值数据(iFinD公式)'!$A33-'实盘净值数据(iFinD公式)'!$A$5)/365))</x:f>
        <x:v>#NAME?</x:v>
      </x:c>
      <x:c r="O33" s="16">
        <x:f t="shared" si="1"/>
        <x:v>-5.490863392684231E-4</x:v>
      </x:c>
      <x:c r="P33" s="16" t="e">
        <x:f>IF(N33="","",N33/MAX(N$5:N33)-1)</x:f>
        <x:v>#NAME?</x:v>
      </x:c>
      <x:c r="Q33" s="13" t="e">
        <x:f>IF(OR('实盘净值数据(iFinD公式)'!$A33="",'实盘净值数据(iFinD公式)'!$B33=""),"",分期持仓明细!$AB$22*SUMPRODUCT(分期持仓明细!$B$22:$Y$22,'实盘净值数据(iFinD公式)'!$B33:$Y33/'实盘净值数据(iFinD公式)'!$B$25:$Y$25)*(1-实盘持仓配置!$Z$9)^(('实盘净值数据(iFinD公式)'!$A33-'实盘净值数据(iFinD公式)'!$A$8)/365))</x:f>
        <x:v>#NAME?</x:v>
      </x:c>
      <x:c r="R33" s="16">
        <x:f t="shared" si="2"/>
        <x:v>-9.184402874475861E-4</x:v>
      </x:c>
      <x:c r="S33" s="16" t="e">
        <x:f>IF(Q33="","",Q33/MAX(Q$5:Q33)-1)</x:f>
        <x:v>#NAME?</x:v>
      </x:c>
    </x:row>
    <x:row r="34">
      <x:c r="A34" s="15" t="n">
        <x:f>IF('实盘净值数据(iFinD公式)'!A34="","",'实盘净值数据(iFinD公式)'!A34)</x:f>
        <x:v>46233</x:v>
      </x:c>
      <x:c r="B34" s="13" t="e">
        <x:f>IF(OR('实盘净值数据(iFinD公式)'!$A34="",'实盘净值数据(iFinD公式)'!$B34=""),"",分期持仓明细!$AB$17*SUMPRODUCT(分期持仓明细!$B$17:$Y$17,'实盘净值数据(iFinD公式)'!$B34:$Y34/'实盘净值数据(iFinD公式)'!$B$20:$Y$20)*(1-实盘持仓配置!$Z$4)^(('实盘净值数据(iFinD公式)'!$A34-'实盘净值数据(iFinD公式)'!$A$6)/365))</x:f>
        <x:v>#NAME?</x:v>
      </x:c>
      <x:c r="C34" s="16">
        <x:f t="shared" si="3"/>
        <x:v>-7.5253575785715565E-2</x:v>
      </x:c>
      <x:c r="D34" s="16" t="e">
        <x:f>IF(B34="","",B34/MAX(B$5:B34)-1)</x:f>
        <x:v>#NAME?</x:v>
      </x:c>
      <x:c r="E34" s="13" t="e">
        <x:f>IF(OR('实盘净值数据(iFinD公式)'!$A34="",'实盘净值数据(iFinD公式)'!$B34=""),"",分期持仓明细!$AB$18*SUMPRODUCT(分期持仓明细!$B$18:$Y$18,'实盘净值数据(iFinD公式)'!$B34:$Y34/'实盘净值数据(iFinD公式)'!$B$20:$Y$20)*(1-实盘持仓配置!$Z$5)^(('实盘净值数据(iFinD公式)'!$A34-'实盘净值数据(iFinD公式)'!$A$5)/365))</x:f>
        <x:v>#NAME?</x:v>
      </x:c>
      <x:c r="F34" s="16">
        <x:f t="shared" si="4"/>
        <x:v>-7.5359480684621838E-2</x:v>
      </x:c>
      <x:c r="G34" s="16" t="e">
        <x:f>IF(E34="","",E34/MAX(E$5:E34)-1)</x:f>
        <x:v>#NAME?</x:v>
      </x:c>
      <x:c r="H34" s="13" t="e">
        <x:f>IF(OR('实盘净值数据(iFinD公式)'!$A34="",'实盘净值数据(iFinD公式)'!$B34=""),"",分期持仓明细!$AB$19*SUMPRODUCT(分期持仓明细!$B$19:$Y$19,'实盘净值数据(iFinD公式)'!$B34:$Y34/'实盘净值数据(iFinD公式)'!$B$20:$Y$20)*(1-实盘持仓配置!$Z$6)^(('实盘净值数据(iFinD公式)'!$A34-'实盘净值数据(iFinD公式)'!$A$7)/365))</x:f>
        <x:v>#NAME?</x:v>
      </x:c>
      <x:c r="I34" s="16">
        <x:f t="shared" si="5"/>
        <x:v>-7.1127338366311355E-2</x:v>
      </x:c>
      <x:c r="J34" s="16" t="e">
        <x:f>IF(H34="","",H34/MAX(H$5:H34)-1)</x:f>
        <x:v>#NAME?</x:v>
      </x:c>
      <x:c r="K34" s="13" t="e">
        <x:f>IF(OR('实盘净值数据(iFinD公式)'!$A34="",'实盘净值数据(iFinD公式)'!$B34=""),"",分期持仓明细!$AB$20*SUMPRODUCT(分期持仓明细!$B$20:$Y$20,'实盘净值数据(iFinD公式)'!$B34:$Y34/'实盘净值数据(iFinD公式)'!$B$25:$Y$25)*(1-实盘持仓配置!$Z$7)^(('实盘净值数据(iFinD公式)'!$A34-'实盘净值数据(iFinD公式)'!$A$8)/365))</x:f>
        <x:v>#NAME?</x:v>
      </x:c>
      <x:c r="L34" s="16">
        <x:f t="shared" si="0"/>
        <x:v>-4.2310555638397362E-3</x:v>
      </x:c>
      <x:c r="M34" s="16" t="e">
        <x:f>IF(K34="","",K34/MAX(K$5:K34)-1)</x:f>
        <x:v>#NAME?</x:v>
      </x:c>
      <x:c r="N34" s="13" t="e">
        <x:f>IF(OR('实盘净值数据(iFinD公式)'!$A34="",'实盘净值数据(iFinD公式)'!$B34=""),"",分期持仓明细!$AB$21*SUMPRODUCT(分期持仓明细!$B$21:$Y$21,'实盘净值数据(iFinD公式)'!$B34:$Y34/'实盘净值数据(iFinD公式)'!$B$25:$Y$25)*(1-实盘持仓配置!$Z$8)^(('实盘净值数据(iFinD公式)'!$A34-'实盘净值数据(iFinD公式)'!$A$5)/365))</x:f>
        <x:v>#NAME?</x:v>
      </x:c>
      <x:c r="O34" s="16">
        <x:f t="shared" si="1"/>
        <x:v>-4.4525731932946178E-3</x:v>
      </x:c>
      <x:c r="P34" s="16" t="e">
        <x:f>IF(N34="","",N34/MAX(N$5:N34)-1)</x:f>
        <x:v>#NAME?</x:v>
      </x:c>
      <x:c r="Q34" s="13" t="e">
        <x:f>IF(OR('实盘净值数据(iFinD公式)'!$A34="",'实盘净值数据(iFinD公式)'!$B34=""),"",分期持仓明细!$AB$22*SUMPRODUCT(分期持仓明细!$B$22:$Y$22,'实盘净值数据(iFinD公式)'!$B34:$Y34/'实盘净值数据(iFinD公式)'!$B$25:$Y$25)*(1-实盘持仓配置!$Z$9)^(('实盘净值数据(iFinD公式)'!$A34-'实盘净值数据(iFinD公式)'!$A$8)/365))</x:f>
        <x:v>#NAME?</x:v>
      </x:c>
      <x:c r="R34" s="16">
        <x:f t="shared" si="2"/>
        <x:v>-1.507692274698258E-2</x:v>
      </x:c>
      <x:c r="S34" s="16" t="e">
        <x:f>IF(Q34="","",Q34/MAX(Q$5:Q34)-1)</x:f>
        <x:v>#NAME?</x:v>
      </x:c>
    </x:row>
    <x:row r="35">
      <x:c r="A35" s="15" t="n">
        <x:f>IF('实盘净值数据(iFinD公式)'!A35="","",'实盘净值数据(iFinD公式)'!A35)</x:f>
        <x:v>46234</x:v>
      </x:c>
      <x:c r="B35" s="13" t="e">
        <x:f>IF(OR('实盘净值数据(iFinD公式)'!$A35="",'实盘净值数据(iFinD公式)'!$B35=""),"",分期持仓明细!$AB$17*SUMPRODUCT(分期持仓明细!$B$17:$Y$17,'实盘净值数据(iFinD公式)'!$B35:$Y35/'实盘净值数据(iFinD公式)'!$B$20:$Y$20)*(1-实盘持仓配置!$Z$4)^(('实盘净值数据(iFinD公式)'!$A35-'实盘净值数据(iFinD公式)'!$A$6)/365))</x:f>
        <x:v>#NAME?</x:v>
      </x:c>
      <x:c r="C35" s="16">
        <x:f t="shared" si="3"/>
        <x:v>3.4580903531324703E-2</x:v>
      </x:c>
      <x:c r="D35" s="16" t="e">
        <x:f>IF(B35="","",B35/MAX(B$5:B35)-1)</x:f>
        <x:v>#NAME?</x:v>
      </x:c>
      <x:c r="E35" s="13" t="e">
        <x:f>IF(OR('实盘净值数据(iFinD公式)'!$A35="",'实盘净值数据(iFinD公式)'!$B35=""),"",分期持仓明细!$AB$18*SUMPRODUCT(分期持仓明细!$B$18:$Y$18,'实盘净值数据(iFinD公式)'!$B35:$Y35/'实盘净值数据(iFinD公式)'!$B$20:$Y$20)*(1-实盘持仓配置!$Z$5)^(('实盘净值数据(iFinD公式)'!$A35-'实盘净值数据(iFinD公式)'!$A$5)/365))</x:f>
        <x:v>#NAME?</x:v>
      </x:c>
      <x:c r="F35" s="16">
        <x:f t="shared" si="4"/>
        <x:v>3.4671424861200562E-2</x:v>
      </x:c>
      <x:c r="G35" s="16" t="e">
        <x:f>IF(E35="","",E35/MAX(E$5:E35)-1)</x:f>
        <x:v>#NAME?</x:v>
      </x:c>
      <x:c r="H35" s="13" t="e">
        <x:f>IF(OR('实盘净值数据(iFinD公式)'!$A35="",'实盘净值数据(iFinD公式)'!$B35=""),"",分期持仓明细!$AB$19*SUMPRODUCT(分期持仓明细!$B$19:$Y$19,'实盘净值数据(iFinD公式)'!$B35:$Y35/'实盘净值数据(iFinD公式)'!$B$20:$Y$20)*(1-实盘持仓配置!$Z$6)^(('实盘净值数据(iFinD公式)'!$A35-'实盘净值数据(iFinD公式)'!$A$7)/365))</x:f>
        <x:v>#NAME?</x:v>
      </x:c>
      <x:c r="I35" s="16">
        <x:f t="shared" si="5"/>
        <x:v>3.1366401045089587E-2</x:v>
      </x:c>
      <x:c r="J35" s="16" t="e">
        <x:f>IF(H35="","",H35/MAX(H$5:H35)-1)</x:f>
        <x:v>#NAME?</x:v>
      </x:c>
      <x:c r="K35" s="13" t="e">
        <x:f>IF(OR('实盘净值数据(iFinD公式)'!$A35="",'实盘净值数据(iFinD公式)'!$B35=""),"",分期持仓明细!$AB$20*SUMPRODUCT(分期持仓明细!$B$20:$Y$20,'实盘净值数据(iFinD公式)'!$B35:$Y35/'实盘净值数据(iFinD公式)'!$B$25:$Y$25)*(1-实盘持仓配置!$Z$7)^(('实盘净值数据(iFinD公式)'!$A35-'实盘净值数据(iFinD公式)'!$A$8)/365))</x:f>
        <x:v>#NAME?</x:v>
      </x:c>
      <x:c r="L35" s="16">
        <x:f t="shared" si="0"/>
        <x:v>3.2277315447566401E-3</x:v>
      </x:c>
      <x:c r="M35" s="16" t="e">
        <x:f>IF(K35="","",K35/MAX(K$5:K35)-1)</x:f>
        <x:v>#NAME?</x:v>
      </x:c>
      <x:c r="N35" s="13" t="e">
        <x:f>IF(OR('实盘净值数据(iFinD公式)'!$A35="",'实盘净值数据(iFinD公式)'!$B35=""),"",分期持仓明细!$AB$21*SUMPRODUCT(分期持仓明细!$B$21:$Y$21,'实盘净值数据(iFinD公式)'!$B35:$Y35/'实盘净值数据(iFinD公式)'!$B$25:$Y$25)*(1-实盘持仓配置!$Z$8)^(('实盘净值数据(iFinD公式)'!$A35-'实盘净值数据(iFinD公式)'!$A$5)/365))</x:f>
        <x:v>#NAME?</x:v>
      </x:c>
      <x:c r="O35" s="16">
        <x:f t="shared" si="1"/>
        <x:v>3.3834598601001353E-3</x:v>
      </x:c>
      <x:c r="P35" s="16" t="e">
        <x:f>IF(N35="","",N35/MAX(N$5:N35)-1)</x:f>
        <x:v>#NAME?</x:v>
      </x:c>
      <x:c r="Q35" s="13" t="e">
        <x:f>IF(OR('实盘净值数据(iFinD公式)'!$A35="",'实盘净值数据(iFinD公式)'!$B35=""),"",分期持仓明细!$AB$22*SUMPRODUCT(分期持仓明细!$B$22:$Y$22,'实盘净值数据(iFinD公式)'!$B35:$Y35/'实盘净值数据(iFinD公式)'!$B$25:$Y$25)*(1-实盘持仓配置!$Z$9)^(('实盘净值数据(iFinD公式)'!$A35-'实盘净值数据(iFinD公式)'!$A$8)/365))</x:f>
        <x:v>#NAME?</x:v>
      </x:c>
      <x:c r="R35" s="16">
        <x:f t="shared" si="2"/>
        <x:v>8.8651621893631738E-3</x:v>
      </x:c>
      <x:c r="S35" s="16" t="e">
        <x:f>IF(Q35="","",Q35/MAX(Q$5:Q35)-1)</x:f>
        <x:v>#NAME?</x:v>
      </x:c>
    </x:row>
    <x:row r="36">
      <x:c r="A36" s="15" t="n">
        <x:f>IF('实盘净值数据(iFinD公式)'!A36="","",'实盘净值数据(iFinD公式)'!A36)</x:f>
        <x:v>46237</x:v>
      </x:c>
      <x:c r="B36" s="13" t="e">
        <x:f>IF(OR('实盘净值数据(iFinD公式)'!$A36="",'实盘净值数据(iFinD公式)'!$B36=""),"",分期持仓明细!$AB$17*SUMPRODUCT(分期持仓明细!$B$17:$Y$17,'实盘净值数据(iFinD公式)'!$B36:$Y36/'实盘净值数据(iFinD公式)'!$B$20:$Y$20)*(1-实盘持仓配置!$Z$4)^(('实盘净值数据(iFinD公式)'!$A36-'实盘净值数据(iFinD公式)'!$A$6)/365))</x:f>
        <x:v>#NAME?</x:v>
      </x:c>
      <x:c r="C36" s="16">
        <x:f t="shared" si="3"/>
        <x:v>-4.1278022421061822E-2</x:v>
      </x:c>
      <x:c r="D36" s="16" t="e">
        <x:f>IF(B36="","",B36/MAX(B$5:B36)-1)</x:f>
        <x:v>#NAME?</x:v>
      </x:c>
      <x:c r="E36" s="13" t="e">
        <x:f>IF(OR('实盘净值数据(iFinD公式)'!$A36="",'实盘净值数据(iFinD公式)'!$B36=""),"",分期持仓明细!$AB$18*SUMPRODUCT(分期持仓明细!$B$18:$Y$18,'实盘净值数据(iFinD公式)'!$B36:$Y36/'实盘净值数据(iFinD公式)'!$B$20:$Y$20)*(1-实盘持仓配置!$Z$5)^(('实盘净值数据(iFinD公式)'!$A36-'实盘净值数据(iFinD公式)'!$A$5)/365))</x:f>
        <x:v>#NAME?</x:v>
      </x:c>
      <x:c r="F36" s="16">
        <x:f t="shared" si="4"/>
        <x:v>-4.1198215746331091E-2</x:v>
      </x:c>
      <x:c r="G36" s="16" t="e">
        <x:f>IF(E36="","",E36/MAX(E$5:E36)-1)</x:f>
        <x:v>#NAME?</x:v>
      </x:c>
      <x:c r="H36" s="13" t="e">
        <x:f>IF(OR('实盘净值数据(iFinD公式)'!$A36="",'实盘净值数据(iFinD公式)'!$B36=""),"",分期持仓明细!$AB$19*SUMPRODUCT(分期持仓明细!$B$19:$Y$19,'实盘净值数据(iFinD公式)'!$B36:$Y36/'实盘净值数据(iFinD公式)'!$B$20:$Y$20)*(1-实盘持仓配置!$Z$6)^(('实盘净值数据(iFinD公式)'!$A36-'实盘净值数据(iFinD公式)'!$A$7)/365))</x:f>
        <x:v>#NAME?</x:v>
      </x:c>
      <x:c r="I36" s="16">
        <x:f t="shared" si="5"/>
        <x:v>-5.0701274255910533E-2</x:v>
      </x:c>
      <x:c r="J36" s="16" t="e">
        <x:f>IF(H36="","",H36/MAX(H$5:H36)-1)</x:f>
        <x:v>#NAME?</x:v>
      </x:c>
      <x:c r="K36" s="13" t="e">
        <x:f>IF(OR('实盘净值数据(iFinD公式)'!$A36="",'实盘净值数据(iFinD公式)'!$B36=""),"",分期持仓明细!$AB$20*SUMPRODUCT(分期持仓明细!$B$20:$Y$20,'实盘净值数据(iFinD公式)'!$B36:$Y36/'实盘净值数据(iFinD公式)'!$B$25:$Y$25)*(1-实盘持仓配置!$Z$7)^(('实盘净值数据(iFinD公式)'!$A36-'实盘净值数据(iFinD公式)'!$A$8)/365))</x:f>
        <x:v>#NAME?</x:v>
      </x:c>
      <x:c r="L36" s="16">
        <x:f t="shared" si="0"/>
        <x:v>-2.8733020302247336E-3</x:v>
      </x:c>
      <x:c r="M36" s="16" t="e">
        <x:f>IF(K36="","",K36/MAX(K$5:K36)-1)</x:f>
        <x:v>#NAME?</x:v>
      </x:c>
      <x:c r="N36" s="13" t="e">
        <x:f>IF(OR('实盘净值数据(iFinD公式)'!$A36="",'实盘净值数据(iFinD公式)'!$B36=""),"",分期持仓明细!$AB$21*SUMPRODUCT(分期持仓明细!$B$21:$Y$21,'实盘净值数据(iFinD公式)'!$B36:$Y36/'实盘净值数据(iFinD公式)'!$B$25:$Y$25)*(1-实盘持仓配置!$Z$8)^(('实盘净值数据(iFinD公式)'!$A36-'实盘净值数据(iFinD公式)'!$A$5)/365))</x:f>
        <x:v>#NAME?</x:v>
      </x:c>
      <x:c r="O36" s="16">
        <x:f t="shared" si="1"/>
        <x:v>-2.4174967807000236E-3</x:v>
      </x:c>
      <x:c r="P36" s="16" t="e">
        <x:f>IF(N36="","",N36/MAX(N$5:N36)-1)</x:f>
        <x:v>#NAME?</x:v>
      </x:c>
      <x:c r="Q36" s="13" t="e">
        <x:f>IF(OR('实盘净值数据(iFinD公式)'!$A36="",'实盘净值数据(iFinD公式)'!$B36=""),"",分期持仓明细!$AB$22*SUMPRODUCT(分期持仓明细!$B$22:$Y$22,'实盘净值数据(iFinD公式)'!$B36:$Y36/'实盘净值数据(iFinD公式)'!$B$25:$Y$25)*(1-实盘持仓配置!$Z$9)^(('实盘净值数据(iFinD公式)'!$A36-'实盘净值数据(iFinD公式)'!$A$8)/365))</x:f>
        <x:v>#NAME?</x:v>
      </x:c>
      <x:c r="R36" s="16">
        <x:f t="shared" si="2"/>
        <x:v>-9.1809605754814561E-3</x:v>
      </x:c>
      <x:c r="S36" s="16" t="e">
        <x:f>IF(Q36="","",Q36/MAX(Q$5:Q36)-1)</x:f>
        <x:v>#NAME?</x:v>
      </x:c>
    </x:row>
    <x:row r="37">
      <x:c r="A37" s="15" t="n">
        <x:f>IF('实盘净值数据(iFinD公式)'!A37="","",'实盘净值数据(iFinD公式)'!A37)</x:f>
        <x:v>46238</x:v>
      </x:c>
      <x:c r="B37" s="13" t="e">
        <x:f>IF(OR('实盘净值数据(iFinD公式)'!$A37="",'实盘净值数据(iFinD公式)'!$B37=""),"",分期持仓明细!$AB$17*SUMPRODUCT(分期持仓明细!$B$17:$Y$17,'实盘净值数据(iFinD公式)'!$B37:$Y37/'实盘净值数据(iFinD公式)'!$B$20:$Y$20)*(1-实盘持仓配置!$Z$4)^(('实盘净值数据(iFinD公式)'!$A37-'实盘净值数据(iFinD公式)'!$A$6)/365))</x:f>
        <x:v>#NAME?</x:v>
      </x:c>
      <x:c r="C37" s="16">
        <x:f t="shared" si="3"/>
        <x:v>7.1633700615813867E-2</x:v>
      </x:c>
      <x:c r="D37" s="16" t="e">
        <x:f>IF(B37="","",B37/MAX(B$5:B37)-1)</x:f>
        <x:v>#NAME?</x:v>
      </x:c>
      <x:c r="E37" s="13" t="e">
        <x:f>IF(OR('实盘净值数据(iFinD公式)'!$A37="",'实盘净值数据(iFinD公式)'!$B37=""),"",分期持仓明细!$AB$18*SUMPRODUCT(分期持仓明细!$B$18:$Y$18,'实盘净值数据(iFinD公式)'!$B37:$Y37/'实盘净值数据(iFinD公式)'!$B$20:$Y$20)*(1-实盘持仓配置!$Z$5)^(('实盘净值数据(iFinD公式)'!$A37-'实盘净值数据(iFinD公式)'!$A$5)/365))</x:f>
        <x:v>#NAME?</x:v>
      </x:c>
      <x:c r="F37" s="16">
        <x:f t="shared" si="4"/>
        <x:v>7.1810783195237482E-2</x:v>
      </x:c>
      <x:c r="G37" s="16" t="e">
        <x:f>IF(E37="","",E37/MAX(E$5:E37)-1)</x:f>
        <x:v>#NAME?</x:v>
      </x:c>
      <x:c r="H37" s="13" t="e">
        <x:f>IF(OR('实盘净值数据(iFinD公式)'!$A37="",'实盘净值数据(iFinD公式)'!$B37=""),"",分期持仓明细!$AB$19*SUMPRODUCT(分期持仓明细!$B$19:$Y$19,'实盘净值数据(iFinD公式)'!$B37:$Y37/'实盘净值数据(iFinD公式)'!$B$20:$Y$20)*(1-实盘持仓配置!$Z$6)^(('实盘净值数据(iFinD公式)'!$A37-'实盘净值数据(iFinD公式)'!$A$7)/365))</x:f>
        <x:v>#NAME?</x:v>
      </x:c>
      <x:c r="I37" s="16">
        <x:f t="shared" si="5"/>
        <x:v>6.4136704728366745E-2</x:v>
      </x:c>
      <x:c r="J37" s="16" t="e">
        <x:f>IF(H37="","",H37/MAX(H$5:H37)-1)</x:f>
        <x:v>#NAME?</x:v>
      </x:c>
      <x:c r="K37" s="13" t="e">
        <x:f>IF(OR('实盘净值数据(iFinD公式)'!$A37="",'实盘净值数据(iFinD公式)'!$B37=""),"",分期持仓明细!$AB$20*SUMPRODUCT(分期持仓明细!$B$20:$Y$20,'实盘净值数据(iFinD公式)'!$B37:$Y37/'实盘净值数据(iFinD公式)'!$B$25:$Y$25)*(1-实盘持仓配置!$Z$7)^(('实盘净值数据(iFinD公式)'!$A37-'实盘净值数据(iFinD公式)'!$A$8)/365))</x:f>
        <x:v>#NAME?</x:v>
      </x:c>
      <x:c r="L37" s="16">
        <x:f t="shared" si="0"/>
        <x:v>4.5802072568565944E-3</x:v>
      </x:c>
      <x:c r="M37" s="16" t="e">
        <x:f>IF(K37="","",K37/MAX(K$5:K37)-1)</x:f>
        <x:v>#NAME?</x:v>
      </x:c>
      <x:c r="N37" s="13" t="e">
        <x:f>IF(OR('实盘净值数据(iFinD公式)'!$A37="",'实盘净值数据(iFinD公式)'!$B37=""),"",分期持仓明细!$AB$21*SUMPRODUCT(分期持仓明细!$B$21:$Y$21,'实盘净值数据(iFinD公式)'!$B37:$Y37/'实盘净值数据(iFinD公式)'!$B$25:$Y$25)*(1-实盘持仓配置!$Z$8)^(('实盘净值数据(iFinD公式)'!$A37-'实盘净值数据(iFinD公式)'!$A$5)/365))</x:f>
        <x:v>#NAME?</x:v>
      </x:c>
      <x:c r="O37" s="16">
        <x:f t="shared" si="1"/>
        <x:v>4.9747596991611687E-3</x:v>
      </x:c>
      <x:c r="P37" s="16" t="e">
        <x:f>IF(N37="","",N37/MAX(N$5:N37)-1)</x:f>
        <x:v>#NAME?</x:v>
      </x:c>
      <x:c r="Q37" s="13" t="e">
        <x:f>IF(OR('实盘净值数据(iFinD公式)'!$A37="",'实盘净值数据(iFinD公式)'!$B37=""),"",分期持仓明细!$AB$22*SUMPRODUCT(分期持仓明细!$B$22:$Y$22,'实盘净值数据(iFinD公式)'!$B37:$Y37/'实盘净值数据(iFinD公式)'!$B$25:$Y$25)*(1-实盘持仓配置!$Z$9)^(('实盘净值数据(iFinD公式)'!$A37-'实盘净值数据(iFinD公式)'!$A$8)/365))</x:f>
        <x:v>#NAME?</x:v>
      </x:c>
      <x:c r="R37" s="16">
        <x:f t="shared" si="2"/>
        <x:v>1.3460850450123019E-2</x:v>
      </x:c>
      <x:c r="S37" s="16" t="e">
        <x:f>IF(Q37="","",Q37/MAX(Q$5:Q37)-1)</x:f>
        <x:v>#NAME?</x:v>
      </x:c>
    </x:row>
    <x:row r="38">
      <x:c r="A38" s="15" t="n">
        <x:f>IF('实盘净值数据(iFinD公式)'!A38="","",'实盘净值数据(iFinD公式)'!A38)</x:f>
        <x:v>46239</x:v>
      </x:c>
      <x:c r="B38" s="13" t="e">
        <x:f>IF(OR('实盘净值数据(iFinD公式)'!$A38="",'实盘净值数据(iFinD公式)'!$B38=""),"",分期持仓明细!$AB$17*SUMPRODUCT(分期持仓明细!$B$17:$Y$17,'实盘净值数据(iFinD公式)'!$B38:$Y38/'实盘净值数据(iFinD公式)'!$B$20:$Y$20)*(1-实盘持仓配置!$Z$4)^(('实盘净值数据(iFinD公式)'!$A38-'实盘净值数据(iFinD公式)'!$A$6)/365))</x:f>
        <x:v>#NAME?</x:v>
      </x:c>
      <x:c r="C38" s="16">
        <x:f t="shared" si="3"/>
        <x:v>4.3981984923207484E-2</x:v>
      </x:c>
      <x:c r="D38" s="16" t="e">
        <x:f>IF(B38="","",B38/MAX(B$5:B38)-1)</x:f>
        <x:v>#NAME?</x:v>
      </x:c>
      <x:c r="E38" s="13" t="e">
        <x:f>IF(OR('实盘净值数据(iFinD公式)'!$A38="",'实盘净值数据(iFinD公式)'!$B38=""),"",分期持仓明细!$AB$18*SUMPRODUCT(分期持仓明细!$B$18:$Y$18,'实盘净值数据(iFinD公式)'!$B38:$Y38/'实盘净值数据(iFinD公式)'!$B$20:$Y$20)*(1-实盘持仓配置!$Z$5)^(('实盘净值数据(iFinD公式)'!$A38-'实盘净值数据(iFinD公式)'!$A$5)/365))</x:f>
        <x:v>#NAME?</x:v>
      </x:c>
      <x:c r="F38" s="16">
        <x:f t="shared" si="4"/>
        <x:v>4.3955024343236282E-2</x:v>
      </x:c>
      <x:c r="G38" s="16" t="e">
        <x:f>IF(E38="","",E38/MAX(E$5:E38)-1)</x:f>
        <x:v>#NAME?</x:v>
      </x:c>
      <x:c r="H38" s="13" t="e">
        <x:f>IF(OR('实盘净值数据(iFinD公式)'!$A38="",'实盘净值数据(iFinD公式)'!$B38=""),"",分期持仓明细!$AB$19*SUMPRODUCT(分期持仓明细!$B$19:$Y$19,'实盘净值数据(iFinD公式)'!$B38:$Y38/'实盘净值数据(iFinD公式)'!$B$20:$Y$20)*(1-实盘持仓配置!$Z$6)^(('实盘净值数据(iFinD公式)'!$A38-'实盘净值数据(iFinD公式)'!$A$7)/365))</x:f>
        <x:v>#NAME?</x:v>
      </x:c>
      <x:c r="I38" s="16">
        <x:f t="shared" si="5"/>
        <x:v>4.7599486263401936E-2</x:v>
      </x:c>
      <x:c r="J38" s="16" t="e">
        <x:f>IF(H38="","",H38/MAX(H$5:H38)-1)</x:f>
        <x:v>#NAME?</x:v>
      </x:c>
      <x:c r="K38" s="13" t="e">
        <x:f>IF(OR('实盘净值数据(iFinD公式)'!$A38="",'实盘净值数据(iFinD公式)'!$B38=""),"",分期持仓明细!$AB$20*SUMPRODUCT(分期持仓明细!$B$20:$Y$20,'实盘净值数据(iFinD公式)'!$B38:$Y38/'实盘净值数据(iFinD公式)'!$B$25:$Y$25)*(1-实盘持仓配置!$Z$7)^(('实盘净值数据(iFinD公式)'!$A38-'实盘净值数据(iFinD公式)'!$A$8)/365))</x:f>
        <x:v>#NAME?</x:v>
      </x:c>
      <x:c r="L38" s="16">
        <x:f t="shared" si="0"/>
        <x:v>4.9181099730633004E-3</x:v>
      </x:c>
      <x:c r="M38" s="16" t="e">
        <x:f>IF(K38="","",K38/MAX(K$5:K38)-1)</x:f>
        <x:v>#NAME?</x:v>
      </x:c>
      <x:c r="N38" s="13" t="e">
        <x:f>IF(OR('实盘净值数据(iFinD公式)'!$A38="",'实盘净值数据(iFinD公式)'!$B38=""),"",分期持仓明细!$AB$21*SUMPRODUCT(分期持仓明细!$B$21:$Y$21,'实盘净值数据(iFinD公式)'!$B38:$Y38/'实盘净值数据(iFinD公式)'!$B$25:$Y$25)*(1-实盘持仓配置!$Z$8)^(('实盘净值数据(iFinD公式)'!$A38-'实盘净值数据(iFinD公式)'!$A$5)/365))</x:f>
        <x:v>#NAME?</x:v>
      </x:c>
      <x:c r="O38" s="16">
        <x:f t="shared" si="1"/>
        <x:v>4.7680999368913124E-3</x:v>
      </x:c>
      <x:c r="P38" s="16" t="e">
        <x:f>IF(N38="","",N38/MAX(N$5:N38)-1)</x:f>
        <x:v>#NAME?</x:v>
      </x:c>
      <x:c r="Q38" s="13" t="e">
        <x:f>IF(OR('实盘净值数据(iFinD公式)'!$A38="",'实盘净值数据(iFinD公式)'!$B38=""),"",分期持仓明细!$AB$22*SUMPRODUCT(分期持仓明细!$B$22:$Y$22,'实盘净值数据(iFinD公式)'!$B38:$Y38/'实盘净值数据(iFinD公式)'!$B$25:$Y$25)*(1-实盘持仓配置!$Z$9)^(('实盘净值数据(iFinD公式)'!$A38-'实盘净值数据(iFinD公式)'!$A$8)/365))</x:f>
        <x:v>#NAME?</x:v>
      </x:c>
      <x:c r="R38" s="16">
        <x:f t="shared" si="2"/>
        <x:v>1.4085152964127046E-2</x:v>
      </x:c>
      <x:c r="S38" s="16" t="e">
        <x:f>IF(Q38="","",Q38/MAX(Q$5:Q38)-1)</x:f>
        <x:v>#NAME?</x:v>
      </x:c>
    </x:row>
    <x:row r="39">
      <x:c r="A39" s="15" t="n">
        <x:f>IF('实盘净值数据(iFinD公式)'!A39="","",'实盘净值数据(iFinD公式)'!A39)</x:f>
        <x:v>46240</x:v>
      </x:c>
      <x:c r="B39" s="13" t="e">
        <x:f>IF(OR('实盘净值数据(iFinD公式)'!$A39="",'实盘净值数据(iFinD公式)'!$B39=""),"",分期持仓明细!$AB$17*SUMPRODUCT(分期持仓明细!$B$17:$Y$17,'实盘净值数据(iFinD公式)'!$B39:$Y39/'实盘净值数据(iFinD公式)'!$B$20:$Y$20)*(1-实盘持仓配置!$Z$4)^(('实盘净值数据(iFinD公式)'!$A39-'实盘净值数据(iFinD公式)'!$A$6)/365))</x:f>
        <x:v>#NAME?</x:v>
      </x:c>
      <x:c r="C39" s="16">
        <x:f t="shared" si="3"/>
        <x:v>1.4186548049814673E-2</x:v>
      </x:c>
      <x:c r="D39" s="16" t="e">
        <x:f>IF(B39="","",B39/MAX(B$5:B39)-1)</x:f>
        <x:v>#NAME?</x:v>
      </x:c>
      <x:c r="E39" s="13" t="e">
        <x:f>IF(OR('实盘净值数据(iFinD公式)'!$A39="",'实盘净值数据(iFinD公式)'!$B39=""),"",分期持仓明细!$AB$18*SUMPRODUCT(分期持仓明细!$B$18:$Y$18,'实盘净值数据(iFinD公式)'!$B39:$Y39/'实盘净值数据(iFinD公式)'!$B$20:$Y$20)*(1-实盘持仓配置!$Z$5)^(('实盘净值数据(iFinD公式)'!$A39-'实盘净值数据(iFinD公式)'!$A$5)/365))</x:f>
        <x:v>#NAME?</x:v>
      </x:c>
      <x:c r="F39" s="16">
        <x:f t="shared" si="4"/>
        <x:v>1.4231869142091513E-2</x:v>
      </x:c>
      <x:c r="G39" s="16" t="e">
        <x:f>IF(E39="","",E39/MAX(E$5:E39)-1)</x:f>
        <x:v>#NAME?</x:v>
      </x:c>
      <x:c r="H39" s="13" t="e">
        <x:f>IF(OR('实盘净值数据(iFinD公式)'!$A39="",'实盘净值数据(iFinD公式)'!$B39=""),"",分期持仓明细!$AB$19*SUMPRODUCT(分期持仓明细!$B$19:$Y$19,'实盘净值数据(iFinD公式)'!$B39:$Y39/'实盘净值数据(iFinD公式)'!$B$20:$Y$20)*(1-实盘持仓配置!$Z$6)^(('实盘净值数据(iFinD公式)'!$A39-'实盘净值数据(iFinD公式)'!$A$7)/365))</x:f>
        <x:v>#NAME?</x:v>
      </x:c>
      <x:c r="I39" s="16">
        <x:f t="shared" si="5"/>
        <x:v>1.249659368672873E-2</x:v>
      </x:c>
      <x:c r="J39" s="16" t="e">
        <x:f>IF(H39="","",H39/MAX(H$5:H39)-1)</x:f>
        <x:v>#NAME?</x:v>
      </x:c>
      <x:c r="K39" s="13" t="e">
        <x:f>IF(OR('实盘净值数据(iFinD公式)'!$A39="",'实盘净值数据(iFinD公式)'!$B39=""),"",分期持仓明细!$AB$20*SUMPRODUCT(分期持仓明细!$B$20:$Y$20,'实盘净值数据(iFinD公式)'!$B39:$Y39/'实盘净值数据(iFinD公式)'!$B$25:$Y$25)*(1-实盘持仓配置!$Z$7)^(('实盘净值数据(iFinD公式)'!$A39-'实盘净值数据(iFinD公式)'!$A$8)/365))</x:f>
        <x:v>#NAME?</x:v>
      </x:c>
      <x:c r="L39" s="16">
        <x:f t="shared" si="0"/>
        <x:v>2.358398279026952E-3</x:v>
      </x:c>
      <x:c r="M39" s="16" t="e">
        <x:f>IF(K39="","",K39/MAX(K$5:K39)-1)</x:f>
        <x:v>#NAME?</x:v>
      </x:c>
      <x:c r="N39" s="13" t="e">
        <x:f>IF(OR('实盘净值数据(iFinD公式)'!$A39="",'实盘净值数据(iFinD公式)'!$B39=""),"",分期持仓明细!$AB$21*SUMPRODUCT(分期持仓明细!$B$21:$Y$21,'实盘净值数据(iFinD公式)'!$B39:$Y39/'实盘净值数据(iFinD公式)'!$B$25:$Y$25)*(1-实盘持仓配置!$Z$8)^(('实盘净值数据(iFinD公式)'!$A39-'实盘净值数据(iFinD公式)'!$A$5)/365))</x:f>
        <x:v>#NAME?</x:v>
      </x:c>
      <x:c r="O39" s="16">
        <x:f t="shared" si="1"/>
        <x:v>2.4122030732101063E-3</x:v>
      </x:c>
      <x:c r="P39" s="16" t="e">
        <x:f>IF(N39="","",N39/MAX(N$5:N39)-1)</x:f>
        <x:v>#NAME?</x:v>
      </x:c>
      <x:c r="Q39" s="13" t="e">
        <x:f>IF(OR('实盘净值数据(iFinD公式)'!$A39="",'实盘净值数据(iFinD公式)'!$B39=""),"",分期持仓明细!$AB$22*SUMPRODUCT(分期持仓明细!$B$22:$Y$22,'实盘净值数据(iFinD公式)'!$B39:$Y39/'实盘净值数据(iFinD公式)'!$B$25:$Y$25)*(1-实盘持仓配置!$Z$9)^(('实盘净值数据(iFinD公式)'!$A39-'实盘净值数据(iFinD公式)'!$A$8)/365))</x:f>
        <x:v>#NAME?</x:v>
      </x:c>
      <x:c r="R39" s="16">
        <x:f t="shared" si="2"/>
        <x:v>5.7051627453041931E-3</x:v>
      </x:c>
      <x:c r="S39" s="16" t="e">
        <x:f>IF(Q39="","",Q39/MAX(Q$5:Q39)-1)</x:f>
        <x:v>#NAME?</x:v>
      </x:c>
    </x:row>
    <x:row r="40">
      <x:c r="A40" s="15" t="n">
        <x:f>IF('实盘净值数据(iFinD公式)'!A40="","",'实盘净值数据(iFinD公式)'!A40)</x:f>
        <x:v>46241</x:v>
      </x:c>
      <x:c r="B40" s="13" t="e">
        <x:f>IF(OR('实盘净值数据(iFinD公式)'!$A40="",'实盘净值数据(iFinD公式)'!$B40=""),"",分期持仓明细!$AB$17*SUMPRODUCT(分期持仓明细!$B$17:$Y$17,'实盘净值数据(iFinD公式)'!$B40:$Y40/'实盘净值数据(iFinD公式)'!$B$20:$Y$20)*(1-实盘持仓配置!$Z$4)^(('实盘净值数据(iFinD公式)'!$A40-'实盘净值数据(iFinD公式)'!$A$6)/365))</x:f>
        <x:v>#NAME?</x:v>
      </x:c>
      <x:c r="C40" s="16">
        <x:f t="shared" si="3"/>
        <x:v>2.6963524650601478E-2</x:v>
      </x:c>
      <x:c r="D40" s="16" t="e">
        <x:f>IF(B40="","",B40/MAX(B$5:B40)-1)</x:f>
        <x:v>#NAME?</x:v>
      </x:c>
      <x:c r="E40" s="13" t="e">
        <x:f>IF(OR('实盘净值数据(iFinD公式)'!$A40="",'实盘净值数据(iFinD公式)'!$B40=""),"",分期持仓明细!$AB$18*SUMPRODUCT(分期持仓明细!$B$18:$Y$18,'实盘净值数据(iFinD公式)'!$B40:$Y40/'实盘净值数据(iFinD公式)'!$B$20:$Y$20)*(1-实盘持仓配置!$Z$5)^(('实盘净值数据(iFinD公式)'!$A40-'实盘净值数据(iFinD公式)'!$A$5)/365))</x:f>
        <x:v>#NAME?</x:v>
      </x:c>
      <x:c r="F40" s="16">
        <x:f t="shared" si="4"/>
        <x:v>2.699555665386022E-2</x:v>
      </x:c>
      <x:c r="G40" s="16" t="e">
        <x:f>IF(E40="","",E40/MAX(E$5:E40)-1)</x:f>
        <x:v>#NAME?</x:v>
      </x:c>
      <x:c r="H40" s="13" t="e">
        <x:f>IF(OR('实盘净值数据(iFinD公式)'!$A40="",'实盘净值数据(iFinD公式)'!$B40=""),"",分期持仓明细!$AB$19*SUMPRODUCT(分期持仓明细!$B$19:$Y$19,'实盘净值数据(iFinD公式)'!$B40:$Y40/'实盘净值数据(iFinD公式)'!$B$20:$Y$20)*(1-实盘持仓配置!$Z$6)^(('实盘净值数据(iFinD公式)'!$A40-'实盘净值数据(iFinD公式)'!$A$7)/365))</x:f>
        <x:v>#NAME?</x:v>
      </x:c>
      <x:c r="I40" s="16">
        <x:f t="shared" si="5"/>
        <x:v>2.5841669347935303E-2</x:v>
      </x:c>
      <x:c r="J40" s="16" t="e">
        <x:f>IF(H40="","",H40/MAX(H$5:H40)-1)</x:f>
        <x:v>#NAME?</x:v>
      </x:c>
      <x:c r="K40" s="13" t="e">
        <x:f>IF(OR('实盘净值数据(iFinD公式)'!$A40="",'实盘净值数据(iFinD公式)'!$B40=""),"",分期持仓明细!$AB$20*SUMPRODUCT(分期持仓明细!$B$20:$Y$20,'实盘净值数据(iFinD公式)'!$B40:$Y40/'实盘净值数据(iFinD公式)'!$B$25:$Y$25)*(1-实盘持仓配置!$Z$7)^(('实盘净值数据(iFinD公式)'!$A40-'实盘净值数据(iFinD公式)'!$A$8)/365))</x:f>
        <x:v>#NAME?</x:v>
      </x:c>
      <x:c r="L40" s="16">
        <x:f t="shared" si="0"/>
        <x:v>3.139945343405337E-3</x:v>
      </x:c>
      <x:c r="M40" s="16" t="e">
        <x:f>IF(K40="","",K40/MAX(K$5:K40)-1)</x:f>
        <x:v>#NAME?</x:v>
      </x:c>
      <x:c r="N40" s="13" t="e">
        <x:f>IF(OR('实盘净值数据(iFinD公式)'!$A40="",'实盘净值数据(iFinD公式)'!$B40=""),"",分期持仓明细!$AB$21*SUMPRODUCT(分期持仓明细!$B$21:$Y$21,'实盘净值数据(iFinD公式)'!$B40:$Y40/'实盘净值数据(iFinD公式)'!$B$25:$Y$25)*(1-实盘持仓配置!$Z$8)^(('实盘净值数据(iFinD公式)'!$A40-'实盘净值数据(iFinD公式)'!$A$5)/365))</x:f>
        <x:v>#NAME?</x:v>
      </x:c>
      <x:c r="O40" s="16">
        <x:f t="shared" si="1"/>
        <x:v>3.2292943108835903E-3</x:v>
      </x:c>
      <x:c r="P40" s="16" t="e">
        <x:f>IF(N40="","",N40/MAX(N$5:N40)-1)</x:f>
        <x:v>#NAME?</x:v>
      </x:c>
      <x:c r="Q40" s="13" t="e">
        <x:f>IF(OR('实盘净值数据(iFinD公式)'!$A40="",'实盘净值数据(iFinD公式)'!$B40=""),"",分期持仓明细!$AB$22*SUMPRODUCT(分期持仓明细!$B$22:$Y$22,'实盘净值数据(iFinD公式)'!$B40:$Y40/'实盘净值数据(iFinD公式)'!$B$25:$Y$25)*(1-实盘持仓配置!$Z$9)^(('实盘净值数据(iFinD公式)'!$A40-'实盘净值数据(iFinD公式)'!$A$8)/365))</x:f>
        <x:v>#NAME?</x:v>
      </x:c>
      <x:c r="R40" s="16">
        <x:f t="shared" si="2"/>
        <x:v>7.9987169833395377E-3</x:v>
      </x:c>
      <x:c r="S40" s="16" t="e">
        <x:f>IF(Q40="","",Q40/MAX(Q$5:Q40)-1)</x:f>
        <x:v>#NAME?</x:v>
      </x:c>
      <x:c r="U40" t="e">
        <x:f>E40/E35-1</x:f>
        <x:v>#NAME?</x:v>
      </x:c>
    </x:row>
    <x:row r="41">
      <x:c r="A41" s="15" t="n">
        <x:f>IF('实盘净值数据(iFinD公式)'!A41="","",'实盘净值数据(iFinD公式)'!A41)</x:f>
        <x:v>46244</x:v>
      </x:c>
      <x:c r="B41" s="13" t="e">
        <x:f>IF(OR('实盘净值数据(iFinD公式)'!$A41="",'实盘净值数据(iFinD公式)'!$B41=""),"",分期持仓明细!$AB$17*SUMPRODUCT(分期持仓明细!$B$17:$Y$17,'实盘净值数据(iFinD公式)'!$B41:$Y41/'实盘净值数据(iFinD公式)'!$B$20:$Y$20)*(1-实盘持仓配置!$Z$4)^(('实盘净值数据(iFinD公式)'!$A41-'实盘净值数据(iFinD公式)'!$A$6)/365))</x:f>
        <x:v>#NAME?</x:v>
      </x:c>
      <x:c r="C41" s="16">
        <x:f t="shared" si="3"/>
        <x:v>-1.2061063649826398E-4</x:v>
      </x:c>
      <x:c r="D41" s="16" t="e">
        <x:f>IF(B41="","",B41/MAX(B$5:B41)-1)</x:f>
        <x:v>#NAME?</x:v>
      </x:c>
      <x:c r="E41" s="13" t="e">
        <x:f>IF(OR('实盘净值数据(iFinD公式)'!$A41="",'实盘净值数据(iFinD公式)'!$B41=""),"",分期持仓明细!$AB$18*SUMPRODUCT(分期持仓明细!$B$18:$Y$18,'实盘净值数据(iFinD公式)'!$B41:$Y41/'实盘净值数据(iFinD公式)'!$B$20:$Y$20)*(1-实盘持仓配置!$Z$5)^(('实盘净值数据(iFinD公式)'!$A41-'实盘净值数据(iFinD公式)'!$A$5)/365))</x:f>
        <x:v>#NAME?</x:v>
      </x:c>
      <x:c r="F41" s="16">
        <x:f t="shared" si="4"/>
        <x:v>-9.5698282943534885E-5</x:v>
      </x:c>
      <x:c r="G41" s="16" t="e">
        <x:f>IF(E41="","",E41/MAX(E$5:E41)-1)</x:f>
        <x:v>#NAME?</x:v>
      </x:c>
      <x:c r="H41" s="13" t="e">
        <x:f>IF(OR('实盘净值数据(iFinD公式)'!$A41="",'实盘净值数据(iFinD公式)'!$B41=""),"",分期持仓明细!$AB$19*SUMPRODUCT(分期持仓明细!$B$19:$Y$19,'实盘净值数据(iFinD公式)'!$B41:$Y41/'实盘净值数据(iFinD公式)'!$B$20:$Y$20)*(1-实盘持仓配置!$Z$6)^(('实盘净值数据(iFinD公式)'!$A41-'实盘净值数据(iFinD公式)'!$A$7)/365))</x:f>
        <x:v>#NAME?</x:v>
      </x:c>
      <x:c r="I41" s="16">
        <x:f t="shared" si="5"/>
        <x:v>-1.2081343554992685E-4</x:v>
      </x:c>
      <x:c r="J41" s="16" t="e">
        <x:f>IF(H41="","",H41/MAX(H$5:H41)-1)</x:f>
        <x:v>#NAME?</x:v>
      </x:c>
      <x:c r="K41" s="13" t="e">
        <x:f>IF(OR('实盘净值数据(iFinD公式)'!$A41="",'实盘净值数据(iFinD公式)'!$B41=""),"",分期持仓明细!$AB$20*SUMPRODUCT(分期持仓明细!$B$20:$Y$20,'实盘净值数据(iFinD公式)'!$B41:$Y41/'实盘净值数据(iFinD公式)'!$B$25:$Y$25)*(1-实盘持仓配置!$Z$7)^(('实盘净值数据(iFinD公式)'!$A41-'实盘净值数据(iFinD公式)'!$A$8)/365))</x:f>
        <x:v>#NAME?</x:v>
      </x:c>
      <x:c r="L41" s="16">
        <x:f t="shared" si="0"/>
        <x:v>-6.3102781318158385E-5</x:v>
      </x:c>
      <x:c r="M41" s="16" t="e">
        <x:f>IF(K41="","",K41/MAX(K$5:K41)-1)</x:f>
        <x:v>#NAME?</x:v>
      </x:c>
      <x:c r="N41" s="13" t="e">
        <x:f>IF(OR('实盘净值数据(iFinD公式)'!$A41="",'实盘净值数据(iFinD公式)'!$B41=""),"",分期持仓明细!$AB$21*SUMPRODUCT(分期持仓明细!$B$21:$Y$21,'实盘净值数据(iFinD公式)'!$B41:$Y41/'实盘净值数据(iFinD公式)'!$B$25:$Y$25)*(1-实盘持仓配置!$Z$8)^(('实盘净值数据(iFinD公式)'!$A41-'实盘净值数据(iFinD公式)'!$A$5)/365))</x:f>
        <x:v>#NAME?</x:v>
      </x:c>
      <x:c r="O41" s="16">
        <x:f t="shared" si="1"/>
        <x:v>-3.8283185381127183E-5</x:v>
      </x:c>
      <x:c r="P41" s="16" t="e">
        <x:f>IF(N41="","",N41/MAX(N$5:N41)-1)</x:f>
        <x:v>#NAME?</x:v>
      </x:c>
      <x:c r="Q41" s="13" t="e">
        <x:f>IF(OR('实盘净值数据(iFinD公式)'!$A41="",'实盘净值数据(iFinD公式)'!$B41=""),"",分期持仓明细!$AB$22*SUMPRODUCT(分期持仓明细!$B$22:$Y$22,'实盘净值数据(iFinD公式)'!$B41:$Y41/'实盘净值数据(iFinD公式)'!$B$25:$Y$25)*(1-实盘持仓配置!$Z$9)^(('实盘净值数据(iFinD公式)'!$A41-'实盘净值数据(iFinD公式)'!$A$8)/365))</x:f>
        <x:v>#NAME?</x:v>
      </x:c>
      <x:c r="R41" s="16">
        <x:f t="shared" si="2"/>
        <x:v>-9.3564857424399683E-5</x:v>
      </x:c>
      <x:c r="S41" s="16" t="e">
        <x:f>IF(Q41="","",Q41/MAX(Q$5:Q41)-1)</x:f>
        <x:v>#NAME?</x:v>
      </x:c>
    </x:row>
    <x:row r="42">
      <x:c r="A42" s="15" t="str">
        <x:f>IF('实盘净值数据(iFinD公式)'!A42="","",'实盘净值数据(iFinD公式)'!A42)</x:f>
      </x:c>
      <x:c r="B42" s="13" t="e">
        <x:f>IF(OR('实盘净值数据(iFinD公式)'!$A42="",'实盘净值数据(iFinD公式)'!$B42=""),"",分期持仓明细!$AB$17*SUMPRODUCT(分期持仓明细!$B$17:$Y$17,'实盘净值数据(iFinD公式)'!$B42:$Y42/'实盘净值数据(iFinD公式)'!$B$20:$Y$20)*(1-实盘持仓配置!$Z$4)^(('实盘净值数据(iFinD公式)'!$A42-'实盘净值数据(iFinD公式)'!$A$6)/365))</x:f>
        <x:v>#NAME?</x:v>
      </x:c>
      <x:c r="C42" s="16" t="str">
        <x:f t="shared" si="3"/>
      </x:c>
      <x:c r="D42" s="16" t="e">
        <x:f>IF(B42="","",B42/MAX(B$5:B42)-1)</x:f>
        <x:v>#NAME?</x:v>
      </x:c>
      <x:c r="E42" s="13" t="e">
        <x:f>IF(OR('实盘净值数据(iFinD公式)'!$A42="",'实盘净值数据(iFinD公式)'!$B42=""),"",分期持仓明细!$AB$18*SUMPRODUCT(分期持仓明细!$B$18:$Y$18,'实盘净值数据(iFinD公式)'!$B42:$Y42/'实盘净值数据(iFinD公式)'!$B$20:$Y$20)*(1-实盘持仓配置!$Z$5)^(('实盘净值数据(iFinD公式)'!$A42-'实盘净值数据(iFinD公式)'!$A$5)/365))</x:f>
        <x:v>#NAME?</x:v>
      </x:c>
      <x:c r="F42" s="16" t="str">
        <x:f t="shared" si="4"/>
      </x:c>
      <x:c r="G42" s="16" t="e">
        <x:f>IF(E42="","",E42/MAX(E$5:E42)-1)</x:f>
        <x:v>#NAME?</x:v>
      </x:c>
      <x:c r="H42" s="13" t="e">
        <x:f>IF(OR('实盘净值数据(iFinD公式)'!$A42="",'实盘净值数据(iFinD公式)'!$B42=""),"",分期持仓明细!$AB$19*SUMPRODUCT(分期持仓明细!$B$19:$Y$19,'实盘净值数据(iFinD公式)'!$B42:$Y42/'实盘净值数据(iFinD公式)'!$B$20:$Y$20)*(1-实盘持仓配置!$Z$6)^(('实盘净值数据(iFinD公式)'!$A42-'实盘净值数据(iFinD公式)'!$A$7)/365))</x:f>
        <x:v>#NAME?</x:v>
      </x:c>
      <x:c r="I42" s="16" t="str">
        <x:f t="shared" si="5"/>
      </x:c>
      <x:c r="J42" s="16" t="e">
        <x:f>IF(H42="","",H42/MAX(H$5:H42)-1)</x:f>
        <x:v>#NAME?</x:v>
      </x:c>
      <x:c r="K42" s="13" t="e">
        <x:f>IF(OR('实盘净值数据(iFinD公式)'!$A42="",'实盘净值数据(iFinD公式)'!$B42=""),"",分期持仓明细!$AB$20*SUMPRODUCT(分期持仓明细!$B$20:$Y$20,'实盘净值数据(iFinD公式)'!$B42:$Y42/'实盘净值数据(iFinD公式)'!$B$25:$Y$25)*(1-实盘持仓配置!$Z$7)^(('实盘净值数据(iFinD公式)'!$A42-'实盘净值数据(iFinD公式)'!$A$8)/365))</x:f>
        <x:v>#NAME?</x:v>
      </x:c>
      <x:c r="L42" s="16" t="str">
        <x:f t="shared" si="0"/>
      </x:c>
      <x:c r="M42" s="16" t="e">
        <x:f>IF(K42="","",K42/MAX(K$5:K42)-1)</x:f>
        <x:v>#NAME?</x:v>
      </x:c>
      <x:c r="N42" s="13" t="e">
        <x:f>IF(OR('实盘净值数据(iFinD公式)'!$A42="",'实盘净值数据(iFinD公式)'!$B42=""),"",分期持仓明细!$AB$21*SUMPRODUCT(分期持仓明细!$B$21:$Y$21,'实盘净值数据(iFinD公式)'!$B42:$Y42/'实盘净值数据(iFinD公式)'!$B$25:$Y$25)*(1-实盘持仓配置!$Z$8)^(('实盘净值数据(iFinD公式)'!$A42-'实盘净值数据(iFinD公式)'!$A$5)/365))</x:f>
        <x:v>#NAME?</x:v>
      </x:c>
      <x:c r="O42" s="16" t="str">
        <x:f t="shared" si="1"/>
      </x:c>
      <x:c r="P42" s="16" t="e">
        <x:f>IF(N42="","",N42/MAX(N$5:N42)-1)</x:f>
        <x:v>#NAME?</x:v>
      </x:c>
      <x:c r="Q42" s="13" t="e">
        <x:f>IF(OR('实盘净值数据(iFinD公式)'!$A42="",'实盘净值数据(iFinD公式)'!$B42=""),"",分期持仓明细!$AB$22*SUMPRODUCT(分期持仓明细!$B$22:$Y$22,'实盘净值数据(iFinD公式)'!$B42:$Y42/'实盘净值数据(iFinD公式)'!$B$25:$Y$25)*(1-实盘持仓配置!$Z$9)^(('实盘净值数据(iFinD公式)'!$A42-'实盘净值数据(iFinD公式)'!$A$8)/365))</x:f>
        <x:v>#NAME?</x:v>
      </x:c>
      <x:c r="R42" s="16" t="str">
        <x:f t="shared" si="2"/>
      </x:c>
      <x:c r="S42" s="16" t="e">
        <x:f>IF(Q42="","",Q42/MAX(Q$5:Q42)-1)</x:f>
        <x:v>#NAME?</x:v>
      </x:c>
    </x:row>
    <x:row r="43">
      <x:c r="A43" s="15" t="str">
        <x:f>IF('实盘净值数据(iFinD公式)'!A43="","",'实盘净值数据(iFinD公式)'!A43)</x:f>
      </x:c>
      <x:c r="B43" s="13" t="e">
        <x:f>IF(OR('实盘净值数据(iFinD公式)'!$A43="",'实盘净值数据(iFinD公式)'!$B43=""),"",分期持仓明细!$AB$17*SUMPRODUCT(分期持仓明细!$B$17:$Y$17,'实盘净值数据(iFinD公式)'!$B43:$Y43/'实盘净值数据(iFinD公式)'!$B$20:$Y$20)*(1-实盘持仓配置!$Z$4)^(('实盘净值数据(iFinD公式)'!$A43-'实盘净值数据(iFinD公式)'!$A$6)/365))</x:f>
        <x:v>#NAME?</x:v>
      </x:c>
      <x:c r="C43" s="16" t="str">
        <x:f t="shared" si="3"/>
      </x:c>
      <x:c r="D43" s="16" t="e">
        <x:f>IF(B43="","",B43/MAX(B$5:B43)-1)</x:f>
        <x:v>#NAME?</x:v>
      </x:c>
      <x:c r="E43" s="13" t="e">
        <x:f>IF(OR('实盘净值数据(iFinD公式)'!$A43="",'实盘净值数据(iFinD公式)'!$B43=""),"",分期持仓明细!$AB$18*SUMPRODUCT(分期持仓明细!$B$18:$Y$18,'实盘净值数据(iFinD公式)'!$B43:$Y43/'实盘净值数据(iFinD公式)'!$B$20:$Y$20)*(1-实盘持仓配置!$Z$5)^(('实盘净值数据(iFinD公式)'!$A43-'实盘净值数据(iFinD公式)'!$A$5)/365))</x:f>
        <x:v>#NAME?</x:v>
      </x:c>
      <x:c r="F43" s="16" t="str">
        <x:f t="shared" si="4"/>
      </x:c>
      <x:c r="G43" s="16" t="e">
        <x:f>IF(E43="","",E43/MAX(E$5:E43)-1)</x:f>
        <x:v>#NAME?</x:v>
      </x:c>
      <x:c r="H43" s="13" t="e">
        <x:f>IF(OR('实盘净值数据(iFinD公式)'!$A43="",'实盘净值数据(iFinD公式)'!$B43=""),"",分期持仓明细!$AB$19*SUMPRODUCT(分期持仓明细!$B$19:$Y$19,'实盘净值数据(iFinD公式)'!$B43:$Y43/'实盘净值数据(iFinD公式)'!$B$20:$Y$20)*(1-实盘持仓配置!$Z$6)^(('实盘净值数据(iFinD公式)'!$A43-'实盘净值数据(iFinD公式)'!$A$7)/365))</x:f>
        <x:v>#NAME?</x:v>
      </x:c>
      <x:c r="I43" s="16" t="str">
        <x:f t="shared" si="5"/>
      </x:c>
      <x:c r="J43" s="16" t="e">
        <x:f>IF(H43="","",H43/MAX(H$5:H43)-1)</x:f>
        <x:v>#NAME?</x:v>
      </x:c>
      <x:c r="K43" s="13" t="e">
        <x:f>IF(OR('实盘净值数据(iFinD公式)'!$A43="",'实盘净值数据(iFinD公式)'!$B43=""),"",分期持仓明细!$AB$20*SUMPRODUCT(分期持仓明细!$B$20:$Y$20,'实盘净值数据(iFinD公式)'!$B43:$Y43/'实盘净值数据(iFinD公式)'!$B$25:$Y$25)*(1-实盘持仓配置!$Z$7)^(('实盘净值数据(iFinD公式)'!$A43-'实盘净值数据(iFinD公式)'!$A$8)/365))</x:f>
        <x:v>#NAME?</x:v>
      </x:c>
      <x:c r="L43" s="16" t="str">
        <x:f t="shared" si="0"/>
      </x:c>
      <x:c r="M43" s="16" t="e">
        <x:f>IF(K43="","",K43/MAX(K$5:K43)-1)</x:f>
        <x:v>#NAME?</x:v>
      </x:c>
      <x:c r="N43" s="13" t="e">
        <x:f>IF(OR('实盘净值数据(iFinD公式)'!$A43="",'实盘净值数据(iFinD公式)'!$B43=""),"",分期持仓明细!$AB$21*SUMPRODUCT(分期持仓明细!$B$21:$Y$21,'实盘净值数据(iFinD公式)'!$B43:$Y43/'实盘净值数据(iFinD公式)'!$B$25:$Y$25)*(1-实盘持仓配置!$Z$8)^(('实盘净值数据(iFinD公式)'!$A43-'实盘净值数据(iFinD公式)'!$A$5)/365))</x:f>
        <x:v>#NAME?</x:v>
      </x:c>
      <x:c r="O43" s="16" t="str">
        <x:f t="shared" si="1"/>
      </x:c>
      <x:c r="P43" s="16" t="e">
        <x:f>IF(N43="","",N43/MAX(N$5:N43)-1)</x:f>
        <x:v>#NAME?</x:v>
      </x:c>
      <x:c r="Q43" s="13" t="e">
        <x:f>IF(OR('实盘净值数据(iFinD公式)'!$A43="",'实盘净值数据(iFinD公式)'!$B43=""),"",分期持仓明细!$AB$22*SUMPRODUCT(分期持仓明细!$B$22:$Y$22,'实盘净值数据(iFinD公式)'!$B43:$Y43/'实盘净值数据(iFinD公式)'!$B$25:$Y$25)*(1-实盘持仓配置!$Z$9)^(('实盘净值数据(iFinD公式)'!$A43-'实盘净值数据(iFinD公式)'!$A$8)/365))</x:f>
        <x:v>#NAME?</x:v>
      </x:c>
      <x:c r="R43" s="16" t="str">
        <x:f t="shared" si="2"/>
      </x:c>
      <x:c r="S43" s="16" t="e">
        <x:f>IF(Q43="","",Q43/MAX(Q$5:Q43)-1)</x:f>
        <x:v>#NAME?</x:v>
      </x:c>
    </x:row>
    <x:row r="44">
      <x:c r="A44" s="15" t="str">
        <x:f>IF('实盘净值数据(iFinD公式)'!A44="","",'实盘净值数据(iFinD公式)'!A44)</x:f>
      </x:c>
      <x:c r="B44" s="13" t="e">
        <x:f>IF(OR('实盘净值数据(iFinD公式)'!$A44="",'实盘净值数据(iFinD公式)'!$B44=""),"",分期持仓明细!$AB$17*SUMPRODUCT(分期持仓明细!$B$17:$Y$17,'实盘净值数据(iFinD公式)'!$B44:$Y44/'实盘净值数据(iFinD公式)'!$B$20:$Y$20)*(1-实盘持仓配置!$Z$4)^(('实盘净值数据(iFinD公式)'!$A44-'实盘净值数据(iFinD公式)'!$A$6)/365))</x:f>
        <x:v>#NAME?</x:v>
      </x:c>
      <x:c r="C44" s="16" t="str">
        <x:f t="shared" si="3"/>
      </x:c>
      <x:c r="D44" s="16" t="e">
        <x:f>IF(B44="","",B44/MAX(B$5:B44)-1)</x:f>
        <x:v>#NAME?</x:v>
      </x:c>
      <x:c r="E44" s="13" t="e">
        <x:f>IF(OR('实盘净值数据(iFinD公式)'!$A44="",'实盘净值数据(iFinD公式)'!$B44=""),"",分期持仓明细!$AB$18*SUMPRODUCT(分期持仓明细!$B$18:$Y$18,'实盘净值数据(iFinD公式)'!$B44:$Y44/'实盘净值数据(iFinD公式)'!$B$20:$Y$20)*(1-实盘持仓配置!$Z$5)^(('实盘净值数据(iFinD公式)'!$A44-'实盘净值数据(iFinD公式)'!$A$5)/365))</x:f>
        <x:v>#NAME?</x:v>
      </x:c>
      <x:c r="F44" s="16" t="str">
        <x:f t="shared" si="4"/>
      </x:c>
      <x:c r="G44" s="16" t="e">
        <x:f>IF(E44="","",E44/MAX(E$5:E44)-1)</x:f>
        <x:v>#NAME?</x:v>
      </x:c>
      <x:c r="H44" s="13" t="e">
        <x:f>IF(OR('实盘净值数据(iFinD公式)'!$A44="",'实盘净值数据(iFinD公式)'!$B44=""),"",分期持仓明细!$AB$19*SUMPRODUCT(分期持仓明细!$B$19:$Y$19,'实盘净值数据(iFinD公式)'!$B44:$Y44/'实盘净值数据(iFinD公式)'!$B$20:$Y$20)*(1-实盘持仓配置!$Z$6)^(('实盘净值数据(iFinD公式)'!$A44-'实盘净值数据(iFinD公式)'!$A$7)/365))</x:f>
        <x:v>#NAME?</x:v>
      </x:c>
      <x:c r="I44" s="16" t="str">
        <x:f t="shared" si="5"/>
      </x:c>
      <x:c r="J44" s="16" t="e">
        <x:f>IF(H44="","",H44/MAX(H$5:H44)-1)</x:f>
        <x:v>#NAME?</x:v>
      </x:c>
      <x:c r="K44" s="13" t="e">
        <x:f>IF(OR('实盘净值数据(iFinD公式)'!$A44="",'实盘净值数据(iFinD公式)'!$B44=""),"",分期持仓明细!$AB$20*SUMPRODUCT(分期持仓明细!$B$20:$Y$20,'实盘净值数据(iFinD公式)'!$B44:$Y44/'实盘净值数据(iFinD公式)'!$B$25:$Y$25)*(1-实盘持仓配置!$Z$7)^(('实盘净值数据(iFinD公式)'!$A44-'实盘净值数据(iFinD公式)'!$A$8)/365))</x:f>
        <x:v>#NAME?</x:v>
      </x:c>
      <x:c r="L44" s="16" t="str">
        <x:f t="shared" si="0"/>
      </x:c>
      <x:c r="M44" s="16" t="e">
        <x:f>IF(K44="","",K44/MAX(K$5:K44)-1)</x:f>
        <x:v>#NAME?</x:v>
      </x:c>
      <x:c r="N44" s="13" t="e">
        <x:f>IF(OR('实盘净值数据(iFinD公式)'!$A44="",'实盘净值数据(iFinD公式)'!$B44=""),"",分期持仓明细!$AB$21*SUMPRODUCT(分期持仓明细!$B$21:$Y$21,'实盘净值数据(iFinD公式)'!$B44:$Y44/'实盘净值数据(iFinD公式)'!$B$25:$Y$25)*(1-实盘持仓配置!$Z$8)^(('实盘净值数据(iFinD公式)'!$A44-'实盘净值数据(iFinD公式)'!$A$5)/365))</x:f>
        <x:v>#NAME?</x:v>
      </x:c>
      <x:c r="O44" s="16" t="str">
        <x:f t="shared" si="1"/>
      </x:c>
      <x:c r="P44" s="16" t="e">
        <x:f>IF(N44="","",N44/MAX(N$5:N44)-1)</x:f>
        <x:v>#NAME?</x:v>
      </x:c>
      <x:c r="Q44" s="13" t="e">
        <x:f>IF(OR('实盘净值数据(iFinD公式)'!$A44="",'实盘净值数据(iFinD公式)'!$B44=""),"",分期持仓明细!$AB$22*SUMPRODUCT(分期持仓明细!$B$22:$Y$22,'实盘净值数据(iFinD公式)'!$B44:$Y44/'实盘净值数据(iFinD公式)'!$B$25:$Y$25)*(1-实盘持仓配置!$Z$9)^(('实盘净值数据(iFinD公式)'!$A44-'实盘净值数据(iFinD公式)'!$A$8)/365))</x:f>
        <x:v>#NAME?</x:v>
      </x:c>
      <x:c r="R44" s="16" t="str">
        <x:f t="shared" si="2"/>
      </x:c>
      <x:c r="S44" s="16" t="e">
        <x:f>IF(Q44="","",Q44/MAX(Q$5:Q44)-1)</x:f>
        <x:v>#NAME?</x:v>
      </x:c>
    </x:row>
    <x:row r="45">
      <x:c r="A45" s="15" t="str">
        <x:f>IF('实盘净值数据(iFinD公式)'!A45="","",'实盘净值数据(iFinD公式)'!A45)</x:f>
      </x:c>
      <x:c r="B45" s="13" t="e">
        <x:f>IF(OR('实盘净值数据(iFinD公式)'!$A45="",'实盘净值数据(iFinD公式)'!$B45=""),"",分期持仓明细!$AB$17*SUMPRODUCT(分期持仓明细!$B$17:$Y$17,'实盘净值数据(iFinD公式)'!$B45:$Y45/'实盘净值数据(iFinD公式)'!$B$20:$Y$20)*(1-实盘持仓配置!$Z$4)^(('实盘净值数据(iFinD公式)'!$A45-'实盘净值数据(iFinD公式)'!$A$6)/365))</x:f>
        <x:v>#NAME?</x:v>
      </x:c>
      <x:c r="C45" s="16" t="str">
        <x:f t="shared" si="3"/>
      </x:c>
      <x:c r="D45" s="16" t="e">
        <x:f>IF(B45="","",B45/MAX(B$5:B45)-1)</x:f>
        <x:v>#NAME?</x:v>
      </x:c>
      <x:c r="E45" s="13" t="e">
        <x:f>IF(OR('实盘净值数据(iFinD公式)'!$A45="",'实盘净值数据(iFinD公式)'!$B45=""),"",分期持仓明细!$AB$18*SUMPRODUCT(分期持仓明细!$B$18:$Y$18,'实盘净值数据(iFinD公式)'!$B45:$Y45/'实盘净值数据(iFinD公式)'!$B$20:$Y$20)*(1-实盘持仓配置!$Z$5)^(('实盘净值数据(iFinD公式)'!$A45-'实盘净值数据(iFinD公式)'!$A$5)/365))</x:f>
        <x:v>#NAME?</x:v>
      </x:c>
      <x:c r="F45" s="16" t="str">
        <x:f t="shared" si="4"/>
      </x:c>
      <x:c r="G45" s="16" t="e">
        <x:f>IF(E45="","",E45/MAX(E$5:E45)-1)</x:f>
        <x:v>#NAME?</x:v>
      </x:c>
      <x:c r="H45" s="13" t="e">
        <x:f>IF(OR('实盘净值数据(iFinD公式)'!$A45="",'实盘净值数据(iFinD公式)'!$B45=""),"",分期持仓明细!$AB$19*SUMPRODUCT(分期持仓明细!$B$19:$Y$19,'实盘净值数据(iFinD公式)'!$B45:$Y45/'实盘净值数据(iFinD公式)'!$B$20:$Y$20)*(1-实盘持仓配置!$Z$6)^(('实盘净值数据(iFinD公式)'!$A45-'实盘净值数据(iFinD公式)'!$A$7)/365))</x:f>
        <x:v>#NAME?</x:v>
      </x:c>
      <x:c r="I45" s="16" t="str">
        <x:f t="shared" si="5"/>
      </x:c>
      <x:c r="J45" s="16" t="e">
        <x:f>IF(H45="","",H45/MAX(H$5:H45)-1)</x:f>
        <x:v>#NAME?</x:v>
      </x:c>
      <x:c r="K45" s="13" t="e">
        <x:f>IF(OR('实盘净值数据(iFinD公式)'!$A45="",'实盘净值数据(iFinD公式)'!$B45=""),"",分期持仓明细!$AB$20*SUMPRODUCT(分期持仓明细!$B$20:$Y$20,'实盘净值数据(iFinD公式)'!$B45:$Y45/'实盘净值数据(iFinD公式)'!$B$25:$Y$25)*(1-实盘持仓配置!$Z$7)^(('实盘净值数据(iFinD公式)'!$A45-'实盘净值数据(iFinD公式)'!$A$8)/365))</x:f>
        <x:v>#NAME?</x:v>
      </x:c>
      <x:c r="L45" s="16" t="str">
        <x:f t="shared" si="0"/>
      </x:c>
      <x:c r="M45" s="16" t="e">
        <x:f>IF(K45="","",K45/MAX(K$5:K45)-1)</x:f>
        <x:v>#NAME?</x:v>
      </x:c>
      <x:c r="N45" s="13" t="e">
        <x:f>IF(OR('实盘净值数据(iFinD公式)'!$A45="",'实盘净值数据(iFinD公式)'!$B45=""),"",分期持仓明细!$AB$21*SUMPRODUCT(分期持仓明细!$B$21:$Y$21,'实盘净值数据(iFinD公式)'!$B45:$Y45/'实盘净值数据(iFinD公式)'!$B$25:$Y$25)*(1-实盘持仓配置!$Z$8)^(('实盘净值数据(iFinD公式)'!$A45-'实盘净值数据(iFinD公式)'!$A$5)/365))</x:f>
        <x:v>#NAME?</x:v>
      </x:c>
      <x:c r="O45" s="16" t="str">
        <x:f t="shared" si="1"/>
      </x:c>
      <x:c r="P45" s="16" t="e">
        <x:f>IF(N45="","",N45/MAX(N$5:N45)-1)</x:f>
        <x:v>#NAME?</x:v>
      </x:c>
      <x:c r="Q45" s="13" t="e">
        <x:f>IF(OR('实盘净值数据(iFinD公式)'!$A45="",'实盘净值数据(iFinD公式)'!$B45=""),"",分期持仓明细!$AB$22*SUMPRODUCT(分期持仓明细!$B$22:$Y$22,'实盘净值数据(iFinD公式)'!$B45:$Y45/'实盘净值数据(iFinD公式)'!$B$25:$Y$25)*(1-实盘持仓配置!$Z$9)^(('实盘净值数据(iFinD公式)'!$A45-'实盘净值数据(iFinD公式)'!$A$8)/365))</x:f>
        <x:v>#NAME?</x:v>
      </x:c>
      <x:c r="R45" s="16" t="str">
        <x:f t="shared" si="2"/>
      </x:c>
      <x:c r="S45" s="16" t="e">
        <x:f>IF(Q45="","",Q45/MAX(Q$5:Q45)-1)</x:f>
        <x:v>#NAME?</x:v>
      </x:c>
    </x:row>
    <x:row r="46">
      <x:c r="A46" s="15" t="str">
        <x:f>IF('实盘净值数据(iFinD公式)'!A46="","",'实盘净值数据(iFinD公式)'!A46)</x:f>
      </x:c>
      <x:c r="B46" s="13" t="e">
        <x:f>IF(OR('实盘净值数据(iFinD公式)'!$A46="",'实盘净值数据(iFinD公式)'!$B46=""),"",分期持仓明细!$AB$17*SUMPRODUCT(分期持仓明细!$B$17:$Y$17,'实盘净值数据(iFinD公式)'!$B46:$Y46/'实盘净值数据(iFinD公式)'!$B$20:$Y$20)*(1-实盘持仓配置!$Z$4)^(('实盘净值数据(iFinD公式)'!$A46-'实盘净值数据(iFinD公式)'!$A$6)/365))</x:f>
        <x:v>#NAME?</x:v>
      </x:c>
      <x:c r="C46" s="16" t="str">
        <x:f t="shared" si="3"/>
      </x:c>
      <x:c r="D46" s="16" t="e">
        <x:f>IF(B46="","",B46/MAX(B$5:B46)-1)</x:f>
        <x:v>#NAME?</x:v>
      </x:c>
      <x:c r="E46" s="13" t="e">
        <x:f>IF(OR('实盘净值数据(iFinD公式)'!$A46="",'实盘净值数据(iFinD公式)'!$B46=""),"",分期持仓明细!$AB$18*SUMPRODUCT(分期持仓明细!$B$18:$Y$18,'实盘净值数据(iFinD公式)'!$B46:$Y46/'实盘净值数据(iFinD公式)'!$B$20:$Y$20)*(1-实盘持仓配置!$Z$5)^(('实盘净值数据(iFinD公式)'!$A46-'实盘净值数据(iFinD公式)'!$A$5)/365))</x:f>
        <x:v>#NAME?</x:v>
      </x:c>
      <x:c r="F46" s="16" t="str">
        <x:f t="shared" si="4"/>
      </x:c>
      <x:c r="G46" s="16" t="e">
        <x:f>IF(E46="","",E46/MAX(E$5:E46)-1)</x:f>
        <x:v>#NAME?</x:v>
      </x:c>
      <x:c r="H46" s="13" t="e">
        <x:f>IF(OR('实盘净值数据(iFinD公式)'!$A46="",'实盘净值数据(iFinD公式)'!$B46=""),"",分期持仓明细!$AB$19*SUMPRODUCT(分期持仓明细!$B$19:$Y$19,'实盘净值数据(iFinD公式)'!$B46:$Y46/'实盘净值数据(iFinD公式)'!$B$20:$Y$20)*(1-实盘持仓配置!$Z$6)^(('实盘净值数据(iFinD公式)'!$A46-'实盘净值数据(iFinD公式)'!$A$7)/365))</x:f>
        <x:v>#NAME?</x:v>
      </x:c>
      <x:c r="I46" s="16" t="str">
        <x:f t="shared" si="5"/>
      </x:c>
      <x:c r="J46" s="16" t="e">
        <x:f>IF(H46="","",H46/MAX(H$5:H46)-1)</x:f>
        <x:v>#NAME?</x:v>
      </x:c>
      <x:c r="K46" s="13" t="e">
        <x:f>IF(OR('实盘净值数据(iFinD公式)'!$A46="",'实盘净值数据(iFinD公式)'!$B46=""),"",分期持仓明细!$AB$20*SUMPRODUCT(分期持仓明细!$B$20:$Y$20,'实盘净值数据(iFinD公式)'!$B46:$Y46/'实盘净值数据(iFinD公式)'!$B$25:$Y$25)*(1-实盘持仓配置!$Z$7)^(('实盘净值数据(iFinD公式)'!$A46-'实盘净值数据(iFinD公式)'!$A$8)/365))</x:f>
        <x:v>#NAME?</x:v>
      </x:c>
      <x:c r="L46" s="16" t="str">
        <x:f t="shared" si="0"/>
      </x:c>
      <x:c r="M46" s="16" t="e">
        <x:f>IF(K46="","",K46/MAX(K$5:K46)-1)</x:f>
        <x:v>#NAME?</x:v>
      </x:c>
      <x:c r="N46" s="13" t="e">
        <x:f>IF(OR('实盘净值数据(iFinD公式)'!$A46="",'实盘净值数据(iFinD公式)'!$B46=""),"",分期持仓明细!$AB$21*SUMPRODUCT(分期持仓明细!$B$21:$Y$21,'实盘净值数据(iFinD公式)'!$B46:$Y46/'实盘净值数据(iFinD公式)'!$B$25:$Y$25)*(1-实盘持仓配置!$Z$8)^(('实盘净值数据(iFinD公式)'!$A46-'实盘净值数据(iFinD公式)'!$A$5)/365))</x:f>
        <x:v>#NAME?</x:v>
      </x:c>
      <x:c r="O46" s="16" t="str">
        <x:f t="shared" si="1"/>
      </x:c>
      <x:c r="P46" s="16" t="e">
        <x:f>IF(N46="","",N46/MAX(N$5:N46)-1)</x:f>
        <x:v>#NAME?</x:v>
      </x:c>
      <x:c r="Q46" s="13" t="e">
        <x:f>IF(OR('实盘净值数据(iFinD公式)'!$A46="",'实盘净值数据(iFinD公式)'!$B46=""),"",分期持仓明细!$AB$22*SUMPRODUCT(分期持仓明细!$B$22:$Y$22,'实盘净值数据(iFinD公式)'!$B46:$Y46/'实盘净值数据(iFinD公式)'!$B$25:$Y$25)*(1-实盘持仓配置!$Z$9)^(('实盘净值数据(iFinD公式)'!$A46-'实盘净值数据(iFinD公式)'!$A$8)/365))</x:f>
        <x:v>#NAME?</x:v>
      </x:c>
      <x:c r="R46" s="16" t="str">
        <x:f t="shared" si="2"/>
      </x:c>
      <x:c r="S46" s="16" t="e">
        <x:f>IF(Q46="","",Q46/MAX(Q$5:Q46)-1)</x:f>
        <x:v>#NAME?</x:v>
      </x:c>
    </x:row>
    <x:row r="47">
      <x:c r="A47" s="15" t="str">
        <x:f>IF('实盘净值数据(iFinD公式)'!A47="","",'实盘净值数据(iFinD公式)'!A47)</x:f>
      </x:c>
      <x:c r="B47" s="13" t="e">
        <x:f>IF(OR('实盘净值数据(iFinD公式)'!$A47="",'实盘净值数据(iFinD公式)'!$B47=""),"",分期持仓明细!$AB$17*SUMPRODUCT(分期持仓明细!$B$17:$Y$17,'实盘净值数据(iFinD公式)'!$B47:$Y47/'实盘净值数据(iFinD公式)'!$B$20:$Y$20)*(1-实盘持仓配置!$Z$4)^(('实盘净值数据(iFinD公式)'!$A47-'实盘净值数据(iFinD公式)'!$A$6)/365))</x:f>
        <x:v>#NAME?</x:v>
      </x:c>
      <x:c r="C47" s="16" t="str">
        <x:f t="shared" si="3"/>
      </x:c>
      <x:c r="D47" s="16" t="e">
        <x:f>IF(B47="","",B47/MAX(B$5:B47)-1)</x:f>
        <x:v>#NAME?</x:v>
      </x:c>
      <x:c r="E47" s="13" t="e">
        <x:f>IF(OR('实盘净值数据(iFinD公式)'!$A47="",'实盘净值数据(iFinD公式)'!$B47=""),"",分期持仓明细!$AB$18*SUMPRODUCT(分期持仓明细!$B$18:$Y$18,'实盘净值数据(iFinD公式)'!$B47:$Y47/'实盘净值数据(iFinD公式)'!$B$20:$Y$20)*(1-实盘持仓配置!$Z$5)^(('实盘净值数据(iFinD公式)'!$A47-'实盘净值数据(iFinD公式)'!$A$5)/365))</x:f>
        <x:v>#NAME?</x:v>
      </x:c>
      <x:c r="F47" s="16" t="str">
        <x:f t="shared" si="4"/>
      </x:c>
      <x:c r="G47" s="16" t="e">
        <x:f>IF(E47="","",E47/MAX(E$5:E47)-1)</x:f>
        <x:v>#NAME?</x:v>
      </x:c>
      <x:c r="H47" s="13" t="e">
        <x:f>IF(OR('实盘净值数据(iFinD公式)'!$A47="",'实盘净值数据(iFinD公式)'!$B47=""),"",分期持仓明细!$AB$19*SUMPRODUCT(分期持仓明细!$B$19:$Y$19,'实盘净值数据(iFinD公式)'!$B47:$Y47/'实盘净值数据(iFinD公式)'!$B$20:$Y$20)*(1-实盘持仓配置!$Z$6)^(('实盘净值数据(iFinD公式)'!$A47-'实盘净值数据(iFinD公式)'!$A$7)/365))</x:f>
        <x:v>#NAME?</x:v>
      </x:c>
      <x:c r="I47" s="16" t="str">
        <x:f t="shared" si="5"/>
      </x:c>
      <x:c r="J47" s="16" t="e">
        <x:f>IF(H47="","",H47/MAX(H$5:H47)-1)</x:f>
        <x:v>#NAME?</x:v>
      </x:c>
      <x:c r="K47" s="13" t="e">
        <x:f>IF(OR('实盘净值数据(iFinD公式)'!$A47="",'实盘净值数据(iFinD公式)'!$B47=""),"",分期持仓明细!$AB$20*SUMPRODUCT(分期持仓明细!$B$20:$Y$20,'实盘净值数据(iFinD公式)'!$B47:$Y47/'实盘净值数据(iFinD公式)'!$B$25:$Y$25)*(1-实盘持仓配置!$Z$7)^(('实盘净值数据(iFinD公式)'!$A47-'实盘净值数据(iFinD公式)'!$A$8)/365))</x:f>
        <x:v>#NAME?</x:v>
      </x:c>
      <x:c r="L47" s="16" t="str">
        <x:f t="shared" si="0"/>
      </x:c>
      <x:c r="M47" s="16" t="e">
        <x:f>IF(K47="","",K47/MAX(K$5:K47)-1)</x:f>
        <x:v>#NAME?</x:v>
      </x:c>
      <x:c r="N47" s="13" t="e">
        <x:f>IF(OR('实盘净值数据(iFinD公式)'!$A47="",'实盘净值数据(iFinD公式)'!$B47=""),"",分期持仓明细!$AB$21*SUMPRODUCT(分期持仓明细!$B$21:$Y$21,'实盘净值数据(iFinD公式)'!$B47:$Y47/'实盘净值数据(iFinD公式)'!$B$25:$Y$25)*(1-实盘持仓配置!$Z$8)^(('实盘净值数据(iFinD公式)'!$A47-'实盘净值数据(iFinD公式)'!$A$5)/365))</x:f>
        <x:v>#NAME?</x:v>
      </x:c>
      <x:c r="O47" s="16" t="str">
        <x:f t="shared" si="1"/>
      </x:c>
      <x:c r="P47" s="16" t="e">
        <x:f>IF(N47="","",N47/MAX(N$5:N47)-1)</x:f>
        <x:v>#NAME?</x:v>
      </x:c>
      <x:c r="Q47" s="13" t="e">
        <x:f>IF(OR('实盘净值数据(iFinD公式)'!$A47="",'实盘净值数据(iFinD公式)'!$B47=""),"",分期持仓明细!$AB$22*SUMPRODUCT(分期持仓明细!$B$22:$Y$22,'实盘净值数据(iFinD公式)'!$B47:$Y47/'实盘净值数据(iFinD公式)'!$B$25:$Y$25)*(1-实盘持仓配置!$Z$9)^(('实盘净值数据(iFinD公式)'!$A47-'实盘净值数据(iFinD公式)'!$A$8)/365))</x:f>
        <x:v>#NAME?</x:v>
      </x:c>
      <x:c r="R47" s="16" t="str">
        <x:f t="shared" si="2"/>
      </x:c>
      <x:c r="S47" s="16" t="e">
        <x:f>IF(Q47="","",Q47/MAX(Q$5:Q47)-1)</x:f>
        <x:v>#NAME?</x:v>
      </x:c>
    </x:row>
    <x:row r="48">
      <x:c r="A48" s="15" t="str">
        <x:f>IF('实盘净值数据(iFinD公式)'!A48="","",'实盘净值数据(iFinD公式)'!A48)</x:f>
      </x:c>
      <x:c r="B48" s="13" t="e">
        <x:f>IF(OR('实盘净值数据(iFinD公式)'!$A48="",'实盘净值数据(iFinD公式)'!$B48=""),"",分期持仓明细!$AB$17*SUMPRODUCT(分期持仓明细!$B$17:$Y$17,'实盘净值数据(iFinD公式)'!$B48:$Y48/'实盘净值数据(iFinD公式)'!$B$20:$Y$20)*(1-实盘持仓配置!$Z$4)^(('实盘净值数据(iFinD公式)'!$A48-'实盘净值数据(iFinD公式)'!$A$6)/365))</x:f>
        <x:v>#NAME?</x:v>
      </x:c>
      <x:c r="C48" s="16" t="str">
        <x:f t="shared" si="3"/>
      </x:c>
      <x:c r="D48" s="16" t="e">
        <x:f>IF(B48="","",B48/MAX(B$5:B48)-1)</x:f>
        <x:v>#NAME?</x:v>
      </x:c>
      <x:c r="E48" s="13" t="e">
        <x:f>IF(OR('实盘净值数据(iFinD公式)'!$A48="",'实盘净值数据(iFinD公式)'!$B48=""),"",分期持仓明细!$AB$18*SUMPRODUCT(分期持仓明细!$B$18:$Y$18,'实盘净值数据(iFinD公式)'!$B48:$Y48/'实盘净值数据(iFinD公式)'!$B$20:$Y$20)*(1-实盘持仓配置!$Z$5)^(('实盘净值数据(iFinD公式)'!$A48-'实盘净值数据(iFinD公式)'!$A$5)/365))</x:f>
        <x:v>#NAME?</x:v>
      </x:c>
      <x:c r="F48" s="16" t="str">
        <x:f t="shared" si="4"/>
      </x:c>
      <x:c r="G48" s="16" t="e">
        <x:f>IF(E48="","",E48/MAX(E$5:E48)-1)</x:f>
        <x:v>#NAME?</x:v>
      </x:c>
      <x:c r="H48" s="13" t="e">
        <x:f>IF(OR('实盘净值数据(iFinD公式)'!$A48="",'实盘净值数据(iFinD公式)'!$B48=""),"",分期持仓明细!$AB$19*SUMPRODUCT(分期持仓明细!$B$19:$Y$19,'实盘净值数据(iFinD公式)'!$B48:$Y48/'实盘净值数据(iFinD公式)'!$B$20:$Y$20)*(1-实盘持仓配置!$Z$6)^(('实盘净值数据(iFinD公式)'!$A48-'实盘净值数据(iFinD公式)'!$A$7)/365))</x:f>
        <x:v>#NAME?</x:v>
      </x:c>
      <x:c r="I48" s="16" t="str">
        <x:f t="shared" si="5"/>
      </x:c>
      <x:c r="J48" s="16" t="e">
        <x:f>IF(H48="","",H48/MAX(H$5:H48)-1)</x:f>
        <x:v>#NAME?</x:v>
      </x:c>
      <x:c r="K48" s="13" t="e">
        <x:f>IF(OR('实盘净值数据(iFinD公式)'!$A48="",'实盘净值数据(iFinD公式)'!$B48=""),"",分期持仓明细!$AB$20*SUMPRODUCT(分期持仓明细!$B$20:$Y$20,'实盘净值数据(iFinD公式)'!$B48:$Y48/'实盘净值数据(iFinD公式)'!$B$25:$Y$25)*(1-实盘持仓配置!$Z$7)^(('实盘净值数据(iFinD公式)'!$A48-'实盘净值数据(iFinD公式)'!$A$8)/365))</x:f>
        <x:v>#NAME?</x:v>
      </x:c>
      <x:c r="L48" s="16" t="str">
        <x:f t="shared" si="0"/>
      </x:c>
      <x:c r="M48" s="16" t="e">
        <x:f>IF(K48="","",K48/MAX(K$5:K48)-1)</x:f>
        <x:v>#NAME?</x:v>
      </x:c>
      <x:c r="N48" s="13" t="e">
        <x:f>IF(OR('实盘净值数据(iFinD公式)'!$A48="",'实盘净值数据(iFinD公式)'!$B48=""),"",分期持仓明细!$AB$21*SUMPRODUCT(分期持仓明细!$B$21:$Y$21,'实盘净值数据(iFinD公式)'!$B48:$Y48/'实盘净值数据(iFinD公式)'!$B$25:$Y$25)*(1-实盘持仓配置!$Z$8)^(('实盘净值数据(iFinD公式)'!$A48-'实盘净值数据(iFinD公式)'!$A$5)/365))</x:f>
        <x:v>#NAME?</x:v>
      </x:c>
      <x:c r="O48" s="16" t="str">
        <x:f t="shared" si="1"/>
      </x:c>
      <x:c r="P48" s="16" t="e">
        <x:f>IF(N48="","",N48/MAX(N$5:N48)-1)</x:f>
        <x:v>#NAME?</x:v>
      </x:c>
      <x:c r="Q48" s="13" t="e">
        <x:f>IF(OR('实盘净值数据(iFinD公式)'!$A48="",'实盘净值数据(iFinD公式)'!$B48=""),"",分期持仓明细!$AB$22*SUMPRODUCT(分期持仓明细!$B$22:$Y$22,'实盘净值数据(iFinD公式)'!$B48:$Y48/'实盘净值数据(iFinD公式)'!$B$25:$Y$25)*(1-实盘持仓配置!$Z$9)^(('实盘净值数据(iFinD公式)'!$A48-'实盘净值数据(iFinD公式)'!$A$8)/365))</x:f>
        <x:v>#NAME?</x:v>
      </x:c>
      <x:c r="R48" s="16" t="str">
        <x:f t="shared" si="2"/>
      </x:c>
      <x:c r="S48" s="16" t="e">
        <x:f>IF(Q48="","",Q48/MAX(Q$5:Q48)-1)</x:f>
        <x:v>#NAME?</x:v>
      </x:c>
    </x:row>
    <x:row r="49">
      <x:c r="A49" s="15" t="str">
        <x:f>IF('实盘净值数据(iFinD公式)'!A49="","",'实盘净值数据(iFinD公式)'!A49)</x:f>
      </x:c>
      <x:c r="B49" s="13" t="e">
        <x:f>IF(OR('实盘净值数据(iFinD公式)'!$A49="",'实盘净值数据(iFinD公式)'!$B49=""),"",分期持仓明细!$AB$17*SUMPRODUCT(分期持仓明细!$B$17:$Y$17,'实盘净值数据(iFinD公式)'!$B49:$Y49/'实盘净值数据(iFinD公式)'!$B$20:$Y$20)*(1-实盘持仓配置!$Z$4)^(('实盘净值数据(iFinD公式)'!$A49-'实盘净值数据(iFinD公式)'!$A$6)/365))</x:f>
        <x:v>#NAME?</x:v>
      </x:c>
      <x:c r="C49" s="16" t="str">
        <x:f t="shared" si="3"/>
      </x:c>
      <x:c r="D49" s="16" t="e">
        <x:f>IF(B49="","",B49/MAX(B$5:B49)-1)</x:f>
        <x:v>#NAME?</x:v>
      </x:c>
      <x:c r="E49" s="13" t="e">
        <x:f>IF(OR('实盘净值数据(iFinD公式)'!$A49="",'实盘净值数据(iFinD公式)'!$B49=""),"",分期持仓明细!$AB$18*SUMPRODUCT(分期持仓明细!$B$18:$Y$18,'实盘净值数据(iFinD公式)'!$B49:$Y49/'实盘净值数据(iFinD公式)'!$B$20:$Y$20)*(1-实盘持仓配置!$Z$5)^(('实盘净值数据(iFinD公式)'!$A49-'实盘净值数据(iFinD公式)'!$A$5)/365))</x:f>
        <x:v>#NAME?</x:v>
      </x:c>
      <x:c r="F49" s="16" t="str">
        <x:f t="shared" si="4"/>
      </x:c>
      <x:c r="G49" s="16" t="e">
        <x:f>IF(E49="","",E49/MAX(E$5:E49)-1)</x:f>
        <x:v>#NAME?</x:v>
      </x:c>
      <x:c r="H49" s="13" t="e">
        <x:f>IF(OR('实盘净值数据(iFinD公式)'!$A49="",'实盘净值数据(iFinD公式)'!$B49=""),"",分期持仓明细!$AB$19*SUMPRODUCT(分期持仓明细!$B$19:$Y$19,'实盘净值数据(iFinD公式)'!$B49:$Y49/'实盘净值数据(iFinD公式)'!$B$20:$Y$20)*(1-实盘持仓配置!$Z$6)^(('实盘净值数据(iFinD公式)'!$A49-'实盘净值数据(iFinD公式)'!$A$7)/365))</x:f>
        <x:v>#NAME?</x:v>
      </x:c>
      <x:c r="I49" s="16" t="str">
        <x:f t="shared" si="5"/>
      </x:c>
      <x:c r="J49" s="16" t="e">
        <x:f>IF(H49="","",H49/MAX(H$5:H49)-1)</x:f>
        <x:v>#NAME?</x:v>
      </x:c>
      <x:c r="K49" s="13" t="e">
        <x:f>IF(OR('实盘净值数据(iFinD公式)'!$A49="",'实盘净值数据(iFinD公式)'!$B49=""),"",分期持仓明细!$AB$20*SUMPRODUCT(分期持仓明细!$B$20:$Y$20,'实盘净值数据(iFinD公式)'!$B49:$Y49/'实盘净值数据(iFinD公式)'!$B$25:$Y$25)*(1-实盘持仓配置!$Z$7)^(('实盘净值数据(iFinD公式)'!$A49-'实盘净值数据(iFinD公式)'!$A$8)/365))</x:f>
        <x:v>#NAME?</x:v>
      </x:c>
      <x:c r="L49" s="16" t="str">
        <x:f t="shared" si="0"/>
      </x:c>
      <x:c r="M49" s="16" t="e">
        <x:f>IF(K49="","",K49/MAX(K$5:K49)-1)</x:f>
        <x:v>#NAME?</x:v>
      </x:c>
      <x:c r="N49" s="13" t="e">
        <x:f>IF(OR('实盘净值数据(iFinD公式)'!$A49="",'实盘净值数据(iFinD公式)'!$B49=""),"",分期持仓明细!$AB$21*SUMPRODUCT(分期持仓明细!$B$21:$Y$21,'实盘净值数据(iFinD公式)'!$B49:$Y49/'实盘净值数据(iFinD公式)'!$B$25:$Y$25)*(1-实盘持仓配置!$Z$8)^(('实盘净值数据(iFinD公式)'!$A49-'实盘净值数据(iFinD公式)'!$A$5)/365))</x:f>
        <x:v>#NAME?</x:v>
      </x:c>
      <x:c r="O49" s="16" t="str">
        <x:f t="shared" si="1"/>
      </x:c>
      <x:c r="P49" s="16" t="e">
        <x:f>IF(N49="","",N49/MAX(N$5:N49)-1)</x:f>
        <x:v>#NAME?</x:v>
      </x:c>
      <x:c r="Q49" s="13" t="e">
        <x:f>IF(OR('实盘净值数据(iFinD公式)'!$A49="",'实盘净值数据(iFinD公式)'!$B49=""),"",分期持仓明细!$AB$22*SUMPRODUCT(分期持仓明细!$B$22:$Y$22,'实盘净值数据(iFinD公式)'!$B49:$Y49/'实盘净值数据(iFinD公式)'!$B$25:$Y$25)*(1-实盘持仓配置!$Z$9)^(('实盘净值数据(iFinD公式)'!$A49-'实盘净值数据(iFinD公式)'!$A$8)/365))</x:f>
        <x:v>#NAME?</x:v>
      </x:c>
      <x:c r="R49" s="16" t="str">
        <x:f t="shared" si="2"/>
      </x:c>
      <x:c r="S49" s="16" t="e">
        <x:f>IF(Q49="","",Q49/MAX(Q$5:Q49)-1)</x:f>
        <x:v>#NAME?</x:v>
      </x:c>
    </x:row>
    <x:row r="50">
      <x:c r="A50" s="15" t="str">
        <x:f>IF('实盘净值数据(iFinD公式)'!A50="","",'实盘净值数据(iFinD公式)'!A50)</x:f>
      </x:c>
      <x:c r="B50" s="13" t="e">
        <x:f>IF(OR('实盘净值数据(iFinD公式)'!$A50="",'实盘净值数据(iFinD公式)'!$B50=""),"",分期持仓明细!$AB$17*SUMPRODUCT(分期持仓明细!$B$17:$Y$17,'实盘净值数据(iFinD公式)'!$B50:$Y50/'实盘净值数据(iFinD公式)'!$B$20:$Y$20)*(1-实盘持仓配置!$Z$4)^(('实盘净值数据(iFinD公式)'!$A50-'实盘净值数据(iFinD公式)'!$A$6)/365))</x:f>
        <x:v>#NAME?</x:v>
      </x:c>
      <x:c r="C50" s="16" t="str">
        <x:f t="shared" si="3"/>
      </x:c>
      <x:c r="D50" s="16" t="e">
        <x:f>IF(B50="","",B50/MAX(B$5:B50)-1)</x:f>
        <x:v>#NAME?</x:v>
      </x:c>
      <x:c r="E50" s="13" t="e">
        <x:f>IF(OR('实盘净值数据(iFinD公式)'!$A50="",'实盘净值数据(iFinD公式)'!$B50=""),"",分期持仓明细!$AB$18*SUMPRODUCT(分期持仓明细!$B$18:$Y$18,'实盘净值数据(iFinD公式)'!$B50:$Y50/'实盘净值数据(iFinD公式)'!$B$20:$Y$20)*(1-实盘持仓配置!$Z$5)^(('实盘净值数据(iFinD公式)'!$A50-'实盘净值数据(iFinD公式)'!$A$5)/365))</x:f>
        <x:v>#NAME?</x:v>
      </x:c>
      <x:c r="F50" s="16" t="str">
        <x:f t="shared" si="4"/>
      </x:c>
      <x:c r="G50" s="16" t="e">
        <x:f>IF(E50="","",E50/MAX(E$5:E50)-1)</x:f>
        <x:v>#NAME?</x:v>
      </x:c>
      <x:c r="H50" s="13" t="e">
        <x:f>IF(OR('实盘净值数据(iFinD公式)'!$A50="",'实盘净值数据(iFinD公式)'!$B50=""),"",分期持仓明细!$AB$19*SUMPRODUCT(分期持仓明细!$B$19:$Y$19,'实盘净值数据(iFinD公式)'!$B50:$Y50/'实盘净值数据(iFinD公式)'!$B$20:$Y$20)*(1-实盘持仓配置!$Z$6)^(('实盘净值数据(iFinD公式)'!$A50-'实盘净值数据(iFinD公式)'!$A$7)/365))</x:f>
        <x:v>#NAME?</x:v>
      </x:c>
      <x:c r="I50" s="16" t="str">
        <x:f t="shared" si="5"/>
      </x:c>
      <x:c r="J50" s="16" t="e">
        <x:f>IF(H50="","",H50/MAX(H$5:H50)-1)</x:f>
        <x:v>#NAME?</x:v>
      </x:c>
      <x:c r="K50" s="13" t="e">
        <x:f>IF(OR('实盘净值数据(iFinD公式)'!$A50="",'实盘净值数据(iFinD公式)'!$B50=""),"",分期持仓明细!$AB$20*SUMPRODUCT(分期持仓明细!$B$20:$Y$20,'实盘净值数据(iFinD公式)'!$B50:$Y50/'实盘净值数据(iFinD公式)'!$B$25:$Y$25)*(1-实盘持仓配置!$Z$7)^(('实盘净值数据(iFinD公式)'!$A50-'实盘净值数据(iFinD公式)'!$A$8)/365))</x:f>
        <x:v>#NAME?</x:v>
      </x:c>
      <x:c r="L50" s="16" t="str">
        <x:f t="shared" si="0"/>
      </x:c>
      <x:c r="M50" s="16" t="e">
        <x:f>IF(K50="","",K50/MAX(K$5:K50)-1)</x:f>
        <x:v>#NAME?</x:v>
      </x:c>
      <x:c r="N50" s="13" t="e">
        <x:f>IF(OR('实盘净值数据(iFinD公式)'!$A50="",'实盘净值数据(iFinD公式)'!$B50=""),"",分期持仓明细!$AB$21*SUMPRODUCT(分期持仓明细!$B$21:$Y$21,'实盘净值数据(iFinD公式)'!$B50:$Y50/'实盘净值数据(iFinD公式)'!$B$25:$Y$25)*(1-实盘持仓配置!$Z$8)^(('实盘净值数据(iFinD公式)'!$A50-'实盘净值数据(iFinD公式)'!$A$5)/365))</x:f>
        <x:v>#NAME?</x:v>
      </x:c>
      <x:c r="O50" s="16" t="str">
        <x:f t="shared" si="1"/>
      </x:c>
      <x:c r="P50" s="16" t="e">
        <x:f>IF(N50="","",N50/MAX(N$5:N50)-1)</x:f>
        <x:v>#NAME?</x:v>
      </x:c>
      <x:c r="Q50" s="13" t="e">
        <x:f>IF(OR('实盘净值数据(iFinD公式)'!$A50="",'实盘净值数据(iFinD公式)'!$B50=""),"",分期持仓明细!$AB$22*SUMPRODUCT(分期持仓明细!$B$22:$Y$22,'实盘净值数据(iFinD公式)'!$B50:$Y50/'实盘净值数据(iFinD公式)'!$B$25:$Y$25)*(1-实盘持仓配置!$Z$9)^(('实盘净值数据(iFinD公式)'!$A50-'实盘净值数据(iFinD公式)'!$A$8)/365))</x:f>
        <x:v>#NAME?</x:v>
      </x:c>
      <x:c r="R50" s="16" t="str">
        <x:f t="shared" si="2"/>
      </x:c>
      <x:c r="S50" s="16" t="e">
        <x:f>IF(Q50="","",Q50/MAX(Q$5:Q50)-1)</x:f>
        <x:v>#NAME?</x:v>
      </x:c>
    </x:row>
    <x:row r="51">
      <x:c r="A51" s="15" t="str">
        <x:f>IF('实盘净值数据(iFinD公式)'!A51="","",'实盘净值数据(iFinD公式)'!A51)</x:f>
      </x:c>
      <x:c r="B51" s="13" t="e">
        <x:f>IF(OR('实盘净值数据(iFinD公式)'!$A51="",'实盘净值数据(iFinD公式)'!$B51=""),"",分期持仓明细!$AB$17*SUMPRODUCT(分期持仓明细!$B$17:$Y$17,'实盘净值数据(iFinD公式)'!$B51:$Y51/'实盘净值数据(iFinD公式)'!$B$20:$Y$20)*(1-实盘持仓配置!$Z$4)^(('实盘净值数据(iFinD公式)'!$A51-'实盘净值数据(iFinD公式)'!$A$6)/365))</x:f>
        <x:v>#NAME?</x:v>
      </x:c>
      <x:c r="C51" s="16" t="str">
        <x:f t="shared" si="3"/>
      </x:c>
      <x:c r="D51" s="16" t="e">
        <x:f>IF(B51="","",B51/MAX(B$5:B51)-1)</x:f>
        <x:v>#NAME?</x:v>
      </x:c>
      <x:c r="E51" s="13" t="e">
        <x:f>IF(OR('实盘净值数据(iFinD公式)'!$A51="",'实盘净值数据(iFinD公式)'!$B51=""),"",分期持仓明细!$AB$18*SUMPRODUCT(分期持仓明细!$B$18:$Y$18,'实盘净值数据(iFinD公式)'!$B51:$Y51/'实盘净值数据(iFinD公式)'!$B$20:$Y$20)*(1-实盘持仓配置!$Z$5)^(('实盘净值数据(iFinD公式)'!$A51-'实盘净值数据(iFinD公式)'!$A$5)/365))</x:f>
        <x:v>#NAME?</x:v>
      </x:c>
      <x:c r="F51" s="16" t="str">
        <x:f t="shared" si="4"/>
      </x:c>
      <x:c r="G51" s="16" t="e">
        <x:f>IF(E51="","",E51/MAX(E$5:E51)-1)</x:f>
        <x:v>#NAME?</x:v>
      </x:c>
      <x:c r="H51" s="13" t="e">
        <x:f>IF(OR('实盘净值数据(iFinD公式)'!$A51="",'实盘净值数据(iFinD公式)'!$B51=""),"",分期持仓明细!$AB$19*SUMPRODUCT(分期持仓明细!$B$19:$Y$19,'实盘净值数据(iFinD公式)'!$B51:$Y51/'实盘净值数据(iFinD公式)'!$B$20:$Y$20)*(1-实盘持仓配置!$Z$6)^(('实盘净值数据(iFinD公式)'!$A51-'实盘净值数据(iFinD公式)'!$A$7)/365))</x:f>
        <x:v>#NAME?</x:v>
      </x:c>
      <x:c r="I51" s="16" t="str">
        <x:f t="shared" si="5"/>
      </x:c>
      <x:c r="J51" s="16" t="e">
        <x:f>IF(H51="","",H51/MAX(H$5:H51)-1)</x:f>
        <x:v>#NAME?</x:v>
      </x:c>
      <x:c r="K51" s="13" t="e">
        <x:f>IF(OR('实盘净值数据(iFinD公式)'!$A51="",'实盘净值数据(iFinD公式)'!$B51=""),"",分期持仓明细!$AB$20*SUMPRODUCT(分期持仓明细!$B$20:$Y$20,'实盘净值数据(iFinD公式)'!$B51:$Y51/'实盘净值数据(iFinD公式)'!$B$25:$Y$25)*(1-实盘持仓配置!$Z$7)^(('实盘净值数据(iFinD公式)'!$A51-'实盘净值数据(iFinD公式)'!$A$8)/365))</x:f>
        <x:v>#NAME?</x:v>
      </x:c>
      <x:c r="L51" s="16" t="str">
        <x:f t="shared" si="0"/>
      </x:c>
      <x:c r="M51" s="16" t="e">
        <x:f>IF(K51="","",K51/MAX(K$5:K51)-1)</x:f>
        <x:v>#NAME?</x:v>
      </x:c>
      <x:c r="N51" s="13" t="e">
        <x:f>IF(OR('实盘净值数据(iFinD公式)'!$A51="",'实盘净值数据(iFinD公式)'!$B51=""),"",分期持仓明细!$AB$21*SUMPRODUCT(分期持仓明细!$B$21:$Y$21,'实盘净值数据(iFinD公式)'!$B51:$Y51/'实盘净值数据(iFinD公式)'!$B$25:$Y$25)*(1-实盘持仓配置!$Z$8)^(('实盘净值数据(iFinD公式)'!$A51-'实盘净值数据(iFinD公式)'!$A$5)/365))</x:f>
        <x:v>#NAME?</x:v>
      </x:c>
      <x:c r="O51" s="16" t="str">
        <x:f t="shared" si="1"/>
      </x:c>
      <x:c r="P51" s="16" t="e">
        <x:f>IF(N51="","",N51/MAX(N$5:N51)-1)</x:f>
        <x:v>#NAME?</x:v>
      </x:c>
      <x:c r="Q51" s="13" t="e">
        <x:f>IF(OR('实盘净值数据(iFinD公式)'!$A51="",'实盘净值数据(iFinD公式)'!$B51=""),"",分期持仓明细!$AB$22*SUMPRODUCT(分期持仓明细!$B$22:$Y$22,'实盘净值数据(iFinD公式)'!$B51:$Y51/'实盘净值数据(iFinD公式)'!$B$25:$Y$25)*(1-实盘持仓配置!$Z$9)^(('实盘净值数据(iFinD公式)'!$A51-'实盘净值数据(iFinD公式)'!$A$8)/365))</x:f>
        <x:v>#NAME?</x:v>
      </x:c>
      <x:c r="R51" s="16" t="str">
        <x:f t="shared" si="2"/>
      </x:c>
      <x:c r="S51" s="16" t="e">
        <x:f>IF(Q51="","",Q51/MAX(Q$5:Q51)-1)</x:f>
        <x:v>#NAME?</x:v>
      </x:c>
    </x:row>
    <x:row r="52">
      <x:c r="A52" s="15" t="str">
        <x:f>IF('实盘净值数据(iFinD公式)'!A52="","",'实盘净值数据(iFinD公式)'!A52)</x:f>
      </x:c>
      <x:c r="B52" s="13" t="e">
        <x:f>IF(OR('实盘净值数据(iFinD公式)'!$A52="",'实盘净值数据(iFinD公式)'!$B52=""),"",分期持仓明细!$AB$17*SUMPRODUCT(分期持仓明细!$B$17:$Y$17,'实盘净值数据(iFinD公式)'!$B52:$Y52/'实盘净值数据(iFinD公式)'!$B$20:$Y$20)*(1-实盘持仓配置!$Z$4)^(('实盘净值数据(iFinD公式)'!$A52-'实盘净值数据(iFinD公式)'!$A$6)/365))</x:f>
        <x:v>#NAME?</x:v>
      </x:c>
      <x:c r="C52" s="16" t="str">
        <x:f t="shared" si="3"/>
      </x:c>
      <x:c r="D52" s="16" t="e">
        <x:f>IF(B52="","",B52/MAX(B$5:B52)-1)</x:f>
        <x:v>#NAME?</x:v>
      </x:c>
      <x:c r="E52" s="13" t="e">
        <x:f>IF(OR('实盘净值数据(iFinD公式)'!$A52="",'实盘净值数据(iFinD公式)'!$B52=""),"",分期持仓明细!$AB$18*SUMPRODUCT(分期持仓明细!$B$18:$Y$18,'实盘净值数据(iFinD公式)'!$B52:$Y52/'实盘净值数据(iFinD公式)'!$B$20:$Y$20)*(1-实盘持仓配置!$Z$5)^(('实盘净值数据(iFinD公式)'!$A52-'实盘净值数据(iFinD公式)'!$A$5)/365))</x:f>
        <x:v>#NAME?</x:v>
      </x:c>
      <x:c r="F52" s="16" t="str">
        <x:f t="shared" si="4"/>
      </x:c>
      <x:c r="G52" s="16" t="e">
        <x:f>IF(E52="","",E52/MAX(E$5:E52)-1)</x:f>
        <x:v>#NAME?</x:v>
      </x:c>
      <x:c r="H52" s="13" t="e">
        <x:f>IF(OR('实盘净值数据(iFinD公式)'!$A52="",'实盘净值数据(iFinD公式)'!$B52=""),"",分期持仓明细!$AB$19*SUMPRODUCT(分期持仓明细!$B$19:$Y$19,'实盘净值数据(iFinD公式)'!$B52:$Y52/'实盘净值数据(iFinD公式)'!$B$20:$Y$20)*(1-实盘持仓配置!$Z$6)^(('实盘净值数据(iFinD公式)'!$A52-'实盘净值数据(iFinD公式)'!$A$7)/365))</x:f>
        <x:v>#NAME?</x:v>
      </x:c>
      <x:c r="I52" s="16" t="str">
        <x:f t="shared" si="5"/>
      </x:c>
      <x:c r="J52" s="16" t="e">
        <x:f>IF(H52="","",H52/MAX(H$5:H52)-1)</x:f>
        <x:v>#NAME?</x:v>
      </x:c>
      <x:c r="K52" s="13" t="e">
        <x:f>IF(OR('实盘净值数据(iFinD公式)'!$A52="",'实盘净值数据(iFinD公式)'!$B52=""),"",分期持仓明细!$AB$20*SUMPRODUCT(分期持仓明细!$B$20:$Y$20,'实盘净值数据(iFinD公式)'!$B52:$Y52/'实盘净值数据(iFinD公式)'!$B$25:$Y$25)*(1-实盘持仓配置!$Z$7)^(('实盘净值数据(iFinD公式)'!$A52-'实盘净值数据(iFinD公式)'!$A$8)/365))</x:f>
        <x:v>#NAME?</x:v>
      </x:c>
      <x:c r="L52" s="16" t="str">
        <x:f t="shared" si="0"/>
      </x:c>
      <x:c r="M52" s="16" t="e">
        <x:f>IF(K52="","",K52/MAX(K$5:K52)-1)</x:f>
        <x:v>#NAME?</x:v>
      </x:c>
      <x:c r="N52" s="13" t="e">
        <x:f>IF(OR('实盘净值数据(iFinD公式)'!$A52="",'实盘净值数据(iFinD公式)'!$B52=""),"",分期持仓明细!$AB$21*SUMPRODUCT(分期持仓明细!$B$21:$Y$21,'实盘净值数据(iFinD公式)'!$B52:$Y52/'实盘净值数据(iFinD公式)'!$B$25:$Y$25)*(1-实盘持仓配置!$Z$8)^(('实盘净值数据(iFinD公式)'!$A52-'实盘净值数据(iFinD公式)'!$A$5)/365))</x:f>
        <x:v>#NAME?</x:v>
      </x:c>
      <x:c r="O52" s="16" t="str">
        <x:f t="shared" si="1"/>
      </x:c>
      <x:c r="P52" s="16" t="e">
        <x:f>IF(N52="","",N52/MAX(N$5:N52)-1)</x:f>
        <x:v>#NAME?</x:v>
      </x:c>
      <x:c r="Q52" s="13" t="e">
        <x:f>IF(OR('实盘净值数据(iFinD公式)'!$A52="",'实盘净值数据(iFinD公式)'!$B52=""),"",分期持仓明细!$AB$22*SUMPRODUCT(分期持仓明细!$B$22:$Y$22,'实盘净值数据(iFinD公式)'!$B52:$Y52/'实盘净值数据(iFinD公式)'!$B$25:$Y$25)*(1-实盘持仓配置!$Z$9)^(('实盘净值数据(iFinD公式)'!$A52-'实盘净值数据(iFinD公式)'!$A$8)/365))</x:f>
        <x:v>#NAME?</x:v>
      </x:c>
      <x:c r="R52" s="16" t="str">
        <x:f t="shared" si="2"/>
      </x:c>
      <x:c r="S52" s="16" t="e">
        <x:f>IF(Q52="","",Q52/MAX(Q$5:Q52)-1)</x:f>
        <x:v>#NAME?</x:v>
      </x:c>
    </x:row>
    <x:row r="53">
      <x:c r="A53" s="15" t="str">
        <x:f>IF('实盘净值数据(iFinD公式)'!A53="","",'实盘净值数据(iFinD公式)'!A53)</x:f>
      </x:c>
      <x:c r="B53" s="13" t="e">
        <x:f>IF(OR('实盘净值数据(iFinD公式)'!$A53="",'实盘净值数据(iFinD公式)'!$B53=""),"",分期持仓明细!$AB$17*SUMPRODUCT(分期持仓明细!$B$17:$Y$17,'实盘净值数据(iFinD公式)'!$B53:$Y53/'实盘净值数据(iFinD公式)'!$B$20:$Y$20)*(1-实盘持仓配置!$Z$4)^(('实盘净值数据(iFinD公式)'!$A53-'实盘净值数据(iFinD公式)'!$A$6)/365))</x:f>
        <x:v>#NAME?</x:v>
      </x:c>
      <x:c r="C53" s="16" t="str">
        <x:f t="shared" si="3"/>
      </x:c>
      <x:c r="D53" s="16" t="e">
        <x:f>IF(B53="","",B53/MAX(B$5:B53)-1)</x:f>
        <x:v>#NAME?</x:v>
      </x:c>
      <x:c r="E53" s="13" t="e">
        <x:f>IF(OR('实盘净值数据(iFinD公式)'!$A53="",'实盘净值数据(iFinD公式)'!$B53=""),"",分期持仓明细!$AB$18*SUMPRODUCT(分期持仓明细!$B$18:$Y$18,'实盘净值数据(iFinD公式)'!$B53:$Y53/'实盘净值数据(iFinD公式)'!$B$20:$Y$20)*(1-实盘持仓配置!$Z$5)^(('实盘净值数据(iFinD公式)'!$A53-'实盘净值数据(iFinD公式)'!$A$5)/365))</x:f>
        <x:v>#NAME?</x:v>
      </x:c>
      <x:c r="F53" s="16" t="str">
        <x:f t="shared" si="4"/>
      </x:c>
      <x:c r="G53" s="16" t="e">
        <x:f>IF(E53="","",E53/MAX(E$5:E53)-1)</x:f>
        <x:v>#NAME?</x:v>
      </x:c>
      <x:c r="H53" s="13" t="e">
        <x:f>IF(OR('实盘净值数据(iFinD公式)'!$A53="",'实盘净值数据(iFinD公式)'!$B53=""),"",分期持仓明细!$AB$19*SUMPRODUCT(分期持仓明细!$B$19:$Y$19,'实盘净值数据(iFinD公式)'!$B53:$Y53/'实盘净值数据(iFinD公式)'!$B$20:$Y$20)*(1-实盘持仓配置!$Z$6)^(('实盘净值数据(iFinD公式)'!$A53-'实盘净值数据(iFinD公式)'!$A$7)/365))</x:f>
        <x:v>#NAME?</x:v>
      </x:c>
      <x:c r="I53" s="16" t="str">
        <x:f t="shared" si="5"/>
      </x:c>
      <x:c r="J53" s="16" t="e">
        <x:f>IF(H53="","",H53/MAX(H$5:H53)-1)</x:f>
        <x:v>#NAME?</x:v>
      </x:c>
      <x:c r="K53" s="13" t="e">
        <x:f>IF(OR('实盘净值数据(iFinD公式)'!$A53="",'实盘净值数据(iFinD公式)'!$B53=""),"",分期持仓明细!$AB$20*SUMPRODUCT(分期持仓明细!$B$20:$Y$20,'实盘净值数据(iFinD公式)'!$B53:$Y53/'实盘净值数据(iFinD公式)'!$B$25:$Y$25)*(1-实盘持仓配置!$Z$7)^(('实盘净值数据(iFinD公式)'!$A53-'实盘净值数据(iFinD公式)'!$A$8)/365))</x:f>
        <x:v>#NAME?</x:v>
      </x:c>
      <x:c r="L53" s="16" t="str">
        <x:f t="shared" si="0"/>
      </x:c>
      <x:c r="M53" s="16" t="e">
        <x:f>IF(K53="","",K53/MAX(K$5:K53)-1)</x:f>
        <x:v>#NAME?</x:v>
      </x:c>
      <x:c r="N53" s="13" t="e">
        <x:f>IF(OR('实盘净值数据(iFinD公式)'!$A53="",'实盘净值数据(iFinD公式)'!$B53=""),"",分期持仓明细!$AB$21*SUMPRODUCT(分期持仓明细!$B$21:$Y$21,'实盘净值数据(iFinD公式)'!$B53:$Y53/'实盘净值数据(iFinD公式)'!$B$25:$Y$25)*(1-实盘持仓配置!$Z$8)^(('实盘净值数据(iFinD公式)'!$A53-'实盘净值数据(iFinD公式)'!$A$5)/365))</x:f>
        <x:v>#NAME?</x:v>
      </x:c>
      <x:c r="O53" s="16" t="str">
        <x:f t="shared" si="1"/>
      </x:c>
      <x:c r="P53" s="16" t="e">
        <x:f>IF(N53="","",N53/MAX(N$5:N53)-1)</x:f>
        <x:v>#NAME?</x:v>
      </x:c>
      <x:c r="Q53" s="13" t="e">
        <x:f>IF(OR('实盘净值数据(iFinD公式)'!$A53="",'实盘净值数据(iFinD公式)'!$B53=""),"",分期持仓明细!$AB$22*SUMPRODUCT(分期持仓明细!$B$22:$Y$22,'实盘净值数据(iFinD公式)'!$B53:$Y53/'实盘净值数据(iFinD公式)'!$B$25:$Y$25)*(1-实盘持仓配置!$Z$9)^(('实盘净值数据(iFinD公式)'!$A53-'实盘净值数据(iFinD公式)'!$A$8)/365))</x:f>
        <x:v>#NAME?</x:v>
      </x:c>
      <x:c r="R53" s="16" t="str">
        <x:f t="shared" si="2"/>
      </x:c>
      <x:c r="S53" s="16" t="e">
        <x:f>IF(Q53="","",Q53/MAX(Q$5:Q53)-1)</x:f>
        <x:v>#NAME?</x:v>
      </x:c>
    </x:row>
    <x:row r="54">
      <x:c r="A54" s="15" t="str">
        <x:f>IF('实盘净值数据(iFinD公式)'!A54="","",'实盘净值数据(iFinD公式)'!A54)</x:f>
      </x:c>
      <x:c r="B54" s="13" t="e">
        <x:f>IF(OR('实盘净值数据(iFinD公式)'!$A54="",'实盘净值数据(iFinD公式)'!$B54=""),"",分期持仓明细!$AB$17*SUMPRODUCT(分期持仓明细!$B$17:$Y$17,'实盘净值数据(iFinD公式)'!$B54:$Y54/'实盘净值数据(iFinD公式)'!$B$20:$Y$20)*(1-实盘持仓配置!$Z$4)^(('实盘净值数据(iFinD公式)'!$A54-'实盘净值数据(iFinD公式)'!$A$6)/365))</x:f>
        <x:v>#NAME?</x:v>
      </x:c>
      <x:c r="C54" s="16" t="str">
        <x:f t="shared" si="3"/>
      </x:c>
      <x:c r="D54" s="16" t="e">
        <x:f>IF(B54="","",B54/MAX(B$5:B54)-1)</x:f>
        <x:v>#NAME?</x:v>
      </x:c>
      <x:c r="E54" s="13" t="e">
        <x:f>IF(OR('实盘净值数据(iFinD公式)'!$A54="",'实盘净值数据(iFinD公式)'!$B54=""),"",分期持仓明细!$AB$18*SUMPRODUCT(分期持仓明细!$B$18:$Y$18,'实盘净值数据(iFinD公式)'!$B54:$Y54/'实盘净值数据(iFinD公式)'!$B$20:$Y$20)*(1-实盘持仓配置!$Z$5)^(('实盘净值数据(iFinD公式)'!$A54-'实盘净值数据(iFinD公式)'!$A$5)/365))</x:f>
        <x:v>#NAME?</x:v>
      </x:c>
      <x:c r="F54" s="16" t="str">
        <x:f t="shared" si="4"/>
      </x:c>
      <x:c r="G54" s="16" t="e">
        <x:f>IF(E54="","",E54/MAX(E$5:E54)-1)</x:f>
        <x:v>#NAME?</x:v>
      </x:c>
      <x:c r="H54" s="13" t="e">
        <x:f>IF(OR('实盘净值数据(iFinD公式)'!$A54="",'实盘净值数据(iFinD公式)'!$B54=""),"",分期持仓明细!$AB$19*SUMPRODUCT(分期持仓明细!$B$19:$Y$19,'实盘净值数据(iFinD公式)'!$B54:$Y54/'实盘净值数据(iFinD公式)'!$B$20:$Y$20)*(1-实盘持仓配置!$Z$6)^(('实盘净值数据(iFinD公式)'!$A54-'实盘净值数据(iFinD公式)'!$A$7)/365))</x:f>
        <x:v>#NAME?</x:v>
      </x:c>
      <x:c r="I54" s="16" t="str">
        <x:f t="shared" si="5"/>
      </x:c>
      <x:c r="J54" s="16" t="e">
        <x:f>IF(H54="","",H54/MAX(H$5:H54)-1)</x:f>
        <x:v>#NAME?</x:v>
      </x:c>
      <x:c r="K54" s="13" t="e">
        <x:f>IF(OR('实盘净值数据(iFinD公式)'!$A54="",'实盘净值数据(iFinD公式)'!$B54=""),"",分期持仓明细!$AB$20*SUMPRODUCT(分期持仓明细!$B$20:$Y$20,'实盘净值数据(iFinD公式)'!$B54:$Y54/'实盘净值数据(iFinD公式)'!$B$25:$Y$25)*(1-实盘持仓配置!$Z$7)^(('实盘净值数据(iFinD公式)'!$A54-'实盘净值数据(iFinD公式)'!$A$8)/365))</x:f>
        <x:v>#NAME?</x:v>
      </x:c>
      <x:c r="L54" s="16" t="str">
        <x:f t="shared" si="0"/>
      </x:c>
      <x:c r="M54" s="16" t="e">
        <x:f>IF(K54="","",K54/MAX(K$5:K54)-1)</x:f>
        <x:v>#NAME?</x:v>
      </x:c>
      <x:c r="N54" s="13" t="e">
        <x:f>IF(OR('实盘净值数据(iFinD公式)'!$A54="",'实盘净值数据(iFinD公式)'!$B54=""),"",分期持仓明细!$AB$21*SUMPRODUCT(分期持仓明细!$B$21:$Y$21,'实盘净值数据(iFinD公式)'!$B54:$Y54/'实盘净值数据(iFinD公式)'!$B$25:$Y$25)*(1-实盘持仓配置!$Z$8)^(('实盘净值数据(iFinD公式)'!$A54-'实盘净值数据(iFinD公式)'!$A$5)/365))</x:f>
        <x:v>#NAME?</x:v>
      </x:c>
      <x:c r="O54" s="16" t="str">
        <x:f t="shared" si="1"/>
      </x:c>
      <x:c r="P54" s="16" t="e">
        <x:f>IF(N54="","",N54/MAX(N$5:N54)-1)</x:f>
        <x:v>#NAME?</x:v>
      </x:c>
      <x:c r="Q54" s="13" t="e">
        <x:f>IF(OR('实盘净值数据(iFinD公式)'!$A54="",'实盘净值数据(iFinD公式)'!$B54=""),"",分期持仓明细!$AB$22*SUMPRODUCT(分期持仓明细!$B$22:$Y$22,'实盘净值数据(iFinD公式)'!$B54:$Y54/'实盘净值数据(iFinD公式)'!$B$25:$Y$25)*(1-实盘持仓配置!$Z$9)^(('实盘净值数据(iFinD公式)'!$A54-'实盘净值数据(iFinD公式)'!$A$8)/365))</x:f>
        <x:v>#NAME?</x:v>
      </x:c>
      <x:c r="R54" s="16" t="str">
        <x:f t="shared" si="2"/>
      </x:c>
      <x:c r="S54" s="16" t="e">
        <x:f>IF(Q54="","",Q54/MAX(Q$5:Q54)-1)</x:f>
        <x:v>#NAME?</x:v>
      </x:c>
    </x:row>
    <x:row r="55">
      <x:c r="A55" s="15" t="str">
        <x:f>IF('实盘净值数据(iFinD公式)'!A55="","",'实盘净值数据(iFinD公式)'!A55)</x:f>
      </x:c>
      <x:c r="B55" s="13" t="e">
        <x:f>IF(OR('实盘净值数据(iFinD公式)'!$A55="",'实盘净值数据(iFinD公式)'!$B55=""),"",分期持仓明细!$AB$17*SUMPRODUCT(分期持仓明细!$B$17:$Y$17,'实盘净值数据(iFinD公式)'!$B55:$Y55/'实盘净值数据(iFinD公式)'!$B$20:$Y$20)*(1-实盘持仓配置!$Z$4)^(('实盘净值数据(iFinD公式)'!$A55-'实盘净值数据(iFinD公式)'!$A$6)/365))</x:f>
        <x:v>#NAME?</x:v>
      </x:c>
      <x:c r="C55" s="16" t="str">
        <x:f t="shared" si="3"/>
      </x:c>
      <x:c r="D55" s="16" t="e">
        <x:f>IF(B55="","",B55/MAX(B$5:B55)-1)</x:f>
        <x:v>#NAME?</x:v>
      </x:c>
      <x:c r="E55" s="13" t="e">
        <x:f>IF(OR('实盘净值数据(iFinD公式)'!$A55="",'实盘净值数据(iFinD公式)'!$B55=""),"",分期持仓明细!$AB$18*SUMPRODUCT(分期持仓明细!$B$18:$Y$18,'实盘净值数据(iFinD公式)'!$B55:$Y55/'实盘净值数据(iFinD公式)'!$B$20:$Y$20)*(1-实盘持仓配置!$Z$5)^(('实盘净值数据(iFinD公式)'!$A55-'实盘净值数据(iFinD公式)'!$A$5)/365))</x:f>
        <x:v>#NAME?</x:v>
      </x:c>
      <x:c r="F55" s="16" t="str">
        <x:f t="shared" si="4"/>
      </x:c>
      <x:c r="G55" s="16" t="e">
        <x:f>IF(E55="","",E55/MAX(E$5:E55)-1)</x:f>
        <x:v>#NAME?</x:v>
      </x:c>
      <x:c r="H55" s="13" t="e">
        <x:f>IF(OR('实盘净值数据(iFinD公式)'!$A55="",'实盘净值数据(iFinD公式)'!$B55=""),"",分期持仓明细!$AB$19*SUMPRODUCT(分期持仓明细!$B$19:$Y$19,'实盘净值数据(iFinD公式)'!$B55:$Y55/'实盘净值数据(iFinD公式)'!$B$20:$Y$20)*(1-实盘持仓配置!$Z$6)^(('实盘净值数据(iFinD公式)'!$A55-'实盘净值数据(iFinD公式)'!$A$7)/365))</x:f>
        <x:v>#NAME?</x:v>
      </x:c>
      <x:c r="I55" s="16" t="str">
        <x:f t="shared" si="5"/>
      </x:c>
      <x:c r="J55" s="16" t="e">
        <x:f>IF(H55="","",H55/MAX(H$5:H55)-1)</x:f>
        <x:v>#NAME?</x:v>
      </x:c>
      <x:c r="K55" s="13" t="e">
        <x:f>IF(OR('实盘净值数据(iFinD公式)'!$A55="",'实盘净值数据(iFinD公式)'!$B55=""),"",分期持仓明细!$AB$20*SUMPRODUCT(分期持仓明细!$B$20:$Y$20,'实盘净值数据(iFinD公式)'!$B55:$Y55/'实盘净值数据(iFinD公式)'!$B$25:$Y$25)*(1-实盘持仓配置!$Z$7)^(('实盘净值数据(iFinD公式)'!$A55-'实盘净值数据(iFinD公式)'!$A$8)/365))</x:f>
        <x:v>#NAME?</x:v>
      </x:c>
      <x:c r="L55" s="16" t="str">
        <x:f t="shared" si="0"/>
      </x:c>
      <x:c r="M55" s="16" t="e">
        <x:f>IF(K55="","",K55/MAX(K$5:K55)-1)</x:f>
        <x:v>#NAME?</x:v>
      </x:c>
      <x:c r="N55" s="13" t="e">
        <x:f>IF(OR('实盘净值数据(iFinD公式)'!$A55="",'实盘净值数据(iFinD公式)'!$B55=""),"",分期持仓明细!$AB$21*SUMPRODUCT(分期持仓明细!$B$21:$Y$21,'实盘净值数据(iFinD公式)'!$B55:$Y55/'实盘净值数据(iFinD公式)'!$B$25:$Y$25)*(1-实盘持仓配置!$Z$8)^(('实盘净值数据(iFinD公式)'!$A55-'实盘净值数据(iFinD公式)'!$A$5)/365))</x:f>
        <x:v>#NAME?</x:v>
      </x:c>
      <x:c r="O55" s="16" t="str">
        <x:f t="shared" si="1"/>
      </x:c>
      <x:c r="P55" s="16" t="e">
        <x:f>IF(N55="","",N55/MAX(N$5:N55)-1)</x:f>
        <x:v>#NAME?</x:v>
      </x:c>
      <x:c r="Q55" s="13" t="e">
        <x:f>IF(OR('实盘净值数据(iFinD公式)'!$A55="",'实盘净值数据(iFinD公式)'!$B55=""),"",分期持仓明细!$AB$22*SUMPRODUCT(分期持仓明细!$B$22:$Y$22,'实盘净值数据(iFinD公式)'!$B55:$Y55/'实盘净值数据(iFinD公式)'!$B$25:$Y$25)*(1-实盘持仓配置!$Z$9)^(('实盘净值数据(iFinD公式)'!$A55-'实盘净值数据(iFinD公式)'!$A$8)/365))</x:f>
        <x:v>#NAME?</x:v>
      </x:c>
      <x:c r="R55" s="16" t="str">
        <x:f t="shared" si="2"/>
      </x:c>
      <x:c r="S55" s="16" t="e">
        <x:f>IF(Q55="","",Q55/MAX(Q$5:Q55)-1)</x:f>
        <x:v>#NAME?</x:v>
      </x:c>
    </x:row>
    <x:row r="56">
      <x:c r="A56" s="15" t="str">
        <x:f>IF('实盘净值数据(iFinD公式)'!A56="","",'实盘净值数据(iFinD公式)'!A56)</x:f>
      </x:c>
      <x:c r="B56" s="13" t="e">
        <x:f>IF(OR('实盘净值数据(iFinD公式)'!$A56="",'实盘净值数据(iFinD公式)'!$B56=""),"",分期持仓明细!$AB$17*SUMPRODUCT(分期持仓明细!$B$17:$Y$17,'实盘净值数据(iFinD公式)'!$B56:$Y56/'实盘净值数据(iFinD公式)'!$B$20:$Y$20)*(1-实盘持仓配置!$Z$4)^(('实盘净值数据(iFinD公式)'!$A56-'实盘净值数据(iFinD公式)'!$A$6)/365))</x:f>
        <x:v>#NAME?</x:v>
      </x:c>
      <x:c r="C56" s="16" t="str">
        <x:f t="shared" si="3"/>
      </x:c>
      <x:c r="D56" s="16" t="e">
        <x:f>IF(B56="","",B56/MAX(B$5:B56)-1)</x:f>
        <x:v>#NAME?</x:v>
      </x:c>
      <x:c r="E56" s="13" t="e">
        <x:f>IF(OR('实盘净值数据(iFinD公式)'!$A56="",'实盘净值数据(iFinD公式)'!$B56=""),"",分期持仓明细!$AB$18*SUMPRODUCT(分期持仓明细!$B$18:$Y$18,'实盘净值数据(iFinD公式)'!$B56:$Y56/'实盘净值数据(iFinD公式)'!$B$20:$Y$20)*(1-实盘持仓配置!$Z$5)^(('实盘净值数据(iFinD公式)'!$A56-'实盘净值数据(iFinD公式)'!$A$5)/365))</x:f>
        <x:v>#NAME?</x:v>
      </x:c>
      <x:c r="F56" s="16" t="str">
        <x:f t="shared" si="4"/>
      </x:c>
      <x:c r="G56" s="16" t="e">
        <x:f>IF(E56="","",E56/MAX(E$5:E56)-1)</x:f>
        <x:v>#NAME?</x:v>
      </x:c>
      <x:c r="H56" s="13" t="e">
        <x:f>IF(OR('实盘净值数据(iFinD公式)'!$A56="",'实盘净值数据(iFinD公式)'!$B56=""),"",分期持仓明细!$AB$19*SUMPRODUCT(分期持仓明细!$B$19:$Y$19,'实盘净值数据(iFinD公式)'!$B56:$Y56/'实盘净值数据(iFinD公式)'!$B$20:$Y$20)*(1-实盘持仓配置!$Z$6)^(('实盘净值数据(iFinD公式)'!$A56-'实盘净值数据(iFinD公式)'!$A$7)/365))</x:f>
        <x:v>#NAME?</x:v>
      </x:c>
      <x:c r="I56" s="16" t="str">
        <x:f t="shared" si="5"/>
      </x:c>
      <x:c r="J56" s="16" t="e">
        <x:f>IF(H56="","",H56/MAX(H$5:H56)-1)</x:f>
        <x:v>#NAME?</x:v>
      </x:c>
      <x:c r="K56" s="13" t="e">
        <x:f>IF(OR('实盘净值数据(iFinD公式)'!$A56="",'实盘净值数据(iFinD公式)'!$B56=""),"",分期持仓明细!$AB$20*SUMPRODUCT(分期持仓明细!$B$20:$Y$20,'实盘净值数据(iFinD公式)'!$B56:$Y56/'实盘净值数据(iFinD公式)'!$B$25:$Y$25)*(1-实盘持仓配置!$Z$7)^(('实盘净值数据(iFinD公式)'!$A56-'实盘净值数据(iFinD公式)'!$A$8)/365))</x:f>
        <x:v>#NAME?</x:v>
      </x:c>
      <x:c r="L56" s="16" t="str">
        <x:f t="shared" si="0"/>
      </x:c>
      <x:c r="M56" s="16" t="e">
        <x:f>IF(K56="","",K56/MAX(K$5:K56)-1)</x:f>
        <x:v>#NAME?</x:v>
      </x:c>
      <x:c r="N56" s="13" t="e">
        <x:f>IF(OR('实盘净值数据(iFinD公式)'!$A56="",'实盘净值数据(iFinD公式)'!$B56=""),"",分期持仓明细!$AB$21*SUMPRODUCT(分期持仓明细!$B$21:$Y$21,'实盘净值数据(iFinD公式)'!$B56:$Y56/'实盘净值数据(iFinD公式)'!$B$25:$Y$25)*(1-实盘持仓配置!$Z$8)^(('实盘净值数据(iFinD公式)'!$A56-'实盘净值数据(iFinD公式)'!$A$5)/365))</x:f>
        <x:v>#NAME?</x:v>
      </x:c>
      <x:c r="O56" s="16" t="str">
        <x:f t="shared" si="1"/>
      </x:c>
      <x:c r="P56" s="16" t="e">
        <x:f>IF(N56="","",N56/MAX(N$5:N56)-1)</x:f>
        <x:v>#NAME?</x:v>
      </x:c>
      <x:c r="Q56" s="13" t="e">
        <x:f>IF(OR('实盘净值数据(iFinD公式)'!$A56="",'实盘净值数据(iFinD公式)'!$B56=""),"",分期持仓明细!$AB$22*SUMPRODUCT(分期持仓明细!$B$22:$Y$22,'实盘净值数据(iFinD公式)'!$B56:$Y56/'实盘净值数据(iFinD公式)'!$B$25:$Y$25)*(1-实盘持仓配置!$Z$9)^(('实盘净值数据(iFinD公式)'!$A56-'实盘净值数据(iFinD公式)'!$A$8)/365))</x:f>
        <x:v>#NAME?</x:v>
      </x:c>
      <x:c r="R56" s="16" t="str">
        <x:f t="shared" si="2"/>
      </x:c>
      <x:c r="S56" s="16" t="e">
        <x:f>IF(Q56="","",Q56/MAX(Q$5:Q56)-1)</x:f>
        <x:v>#NAME?</x:v>
      </x:c>
    </x:row>
    <x:row r="57">
      <x:c r="A57" s="15" t="str">
        <x:f>IF('实盘净值数据(iFinD公式)'!A57="","",'实盘净值数据(iFinD公式)'!A57)</x:f>
      </x:c>
      <x:c r="B57" s="13" t="e">
        <x:f>IF(OR('实盘净值数据(iFinD公式)'!$A57="",'实盘净值数据(iFinD公式)'!$B57=""),"",分期持仓明细!$AB$17*SUMPRODUCT(分期持仓明细!$B$17:$Y$17,'实盘净值数据(iFinD公式)'!$B57:$Y57/'实盘净值数据(iFinD公式)'!$B$20:$Y$20)*(1-实盘持仓配置!$Z$4)^(('实盘净值数据(iFinD公式)'!$A57-'实盘净值数据(iFinD公式)'!$A$6)/365))</x:f>
        <x:v>#NAME?</x:v>
      </x:c>
      <x:c r="C57" s="16" t="str">
        <x:f t="shared" si="3"/>
      </x:c>
      <x:c r="D57" s="16" t="e">
        <x:f>IF(B57="","",B57/MAX(B$5:B57)-1)</x:f>
        <x:v>#NAME?</x:v>
      </x:c>
      <x:c r="E57" s="13" t="e">
        <x:f>IF(OR('实盘净值数据(iFinD公式)'!$A57="",'实盘净值数据(iFinD公式)'!$B57=""),"",分期持仓明细!$AB$18*SUMPRODUCT(分期持仓明细!$B$18:$Y$18,'实盘净值数据(iFinD公式)'!$B57:$Y57/'实盘净值数据(iFinD公式)'!$B$20:$Y$20)*(1-实盘持仓配置!$Z$5)^(('实盘净值数据(iFinD公式)'!$A57-'实盘净值数据(iFinD公式)'!$A$5)/365))</x:f>
        <x:v>#NAME?</x:v>
      </x:c>
      <x:c r="F57" s="16" t="str">
        <x:f t="shared" si="4"/>
      </x:c>
      <x:c r="G57" s="16" t="e">
        <x:f>IF(E57="","",E57/MAX(E$5:E57)-1)</x:f>
        <x:v>#NAME?</x:v>
      </x:c>
      <x:c r="H57" s="13" t="e">
        <x:f>IF(OR('实盘净值数据(iFinD公式)'!$A57="",'实盘净值数据(iFinD公式)'!$B57=""),"",分期持仓明细!$AB$19*SUMPRODUCT(分期持仓明细!$B$19:$Y$19,'实盘净值数据(iFinD公式)'!$B57:$Y57/'实盘净值数据(iFinD公式)'!$B$20:$Y$20)*(1-实盘持仓配置!$Z$6)^(('实盘净值数据(iFinD公式)'!$A57-'实盘净值数据(iFinD公式)'!$A$7)/365))</x:f>
        <x:v>#NAME?</x:v>
      </x:c>
      <x:c r="I57" s="16" t="str">
        <x:f t="shared" si="5"/>
      </x:c>
      <x:c r="J57" s="16" t="e">
        <x:f>IF(H57="","",H57/MAX(H$5:H57)-1)</x:f>
        <x:v>#NAME?</x:v>
      </x:c>
      <x:c r="K57" s="13" t="e">
        <x:f>IF(OR('实盘净值数据(iFinD公式)'!$A57="",'实盘净值数据(iFinD公式)'!$B57=""),"",分期持仓明细!$AB$20*SUMPRODUCT(分期持仓明细!$B$20:$Y$20,'实盘净值数据(iFinD公式)'!$B57:$Y57/'实盘净值数据(iFinD公式)'!$B$25:$Y$25)*(1-实盘持仓配置!$Z$7)^(('实盘净值数据(iFinD公式)'!$A57-'实盘净值数据(iFinD公式)'!$A$8)/365))</x:f>
        <x:v>#NAME?</x:v>
      </x:c>
      <x:c r="L57" s="16" t="str">
        <x:f t="shared" si="0"/>
      </x:c>
      <x:c r="M57" s="16" t="e">
        <x:f>IF(K57="","",K57/MAX(K$5:K57)-1)</x:f>
        <x:v>#NAME?</x:v>
      </x:c>
      <x:c r="N57" s="13" t="e">
        <x:f>IF(OR('实盘净值数据(iFinD公式)'!$A57="",'实盘净值数据(iFinD公式)'!$B57=""),"",分期持仓明细!$AB$21*SUMPRODUCT(分期持仓明细!$B$21:$Y$21,'实盘净值数据(iFinD公式)'!$B57:$Y57/'实盘净值数据(iFinD公式)'!$B$25:$Y$25)*(1-实盘持仓配置!$Z$8)^(('实盘净值数据(iFinD公式)'!$A57-'实盘净值数据(iFinD公式)'!$A$5)/365))</x:f>
        <x:v>#NAME?</x:v>
      </x:c>
      <x:c r="O57" s="16" t="str">
        <x:f t="shared" si="1"/>
      </x:c>
      <x:c r="P57" s="16" t="e">
        <x:f>IF(N57="","",N57/MAX(N$5:N57)-1)</x:f>
        <x:v>#NAME?</x:v>
      </x:c>
      <x:c r="Q57" s="13" t="e">
        <x:f>IF(OR('实盘净值数据(iFinD公式)'!$A57="",'实盘净值数据(iFinD公式)'!$B57=""),"",分期持仓明细!$AB$22*SUMPRODUCT(分期持仓明细!$B$22:$Y$22,'实盘净值数据(iFinD公式)'!$B57:$Y57/'实盘净值数据(iFinD公式)'!$B$25:$Y$25)*(1-实盘持仓配置!$Z$9)^(('实盘净值数据(iFinD公式)'!$A57-'实盘净值数据(iFinD公式)'!$A$8)/365))</x:f>
        <x:v>#NAME?</x:v>
      </x:c>
      <x:c r="R57" s="16" t="str">
        <x:f t="shared" si="2"/>
      </x:c>
      <x:c r="S57" s="16" t="e">
        <x:f>IF(Q57="","",Q57/MAX(Q$5:Q57)-1)</x:f>
        <x:v>#NAME?</x:v>
      </x:c>
    </x:row>
    <x:row r="58">
      <x:c r="A58" s="15" t="str">
        <x:f>IF('实盘净值数据(iFinD公式)'!A58="","",'实盘净值数据(iFinD公式)'!A58)</x:f>
      </x:c>
      <x:c r="B58" s="13" t="e">
        <x:f>IF(OR('实盘净值数据(iFinD公式)'!$A58="",'实盘净值数据(iFinD公式)'!$B58=""),"",分期持仓明细!$AB$17*SUMPRODUCT(分期持仓明细!$B$17:$Y$17,'实盘净值数据(iFinD公式)'!$B58:$Y58/'实盘净值数据(iFinD公式)'!$B$20:$Y$20)*(1-实盘持仓配置!$Z$4)^(('实盘净值数据(iFinD公式)'!$A58-'实盘净值数据(iFinD公式)'!$A$6)/365))</x:f>
        <x:v>#NAME?</x:v>
      </x:c>
      <x:c r="C58" s="16" t="str">
        <x:f t="shared" si="3"/>
      </x:c>
      <x:c r="D58" s="16" t="e">
        <x:f>IF(B58="","",B58/MAX(B$5:B58)-1)</x:f>
        <x:v>#NAME?</x:v>
      </x:c>
      <x:c r="E58" s="13" t="e">
        <x:f>IF(OR('实盘净值数据(iFinD公式)'!$A58="",'实盘净值数据(iFinD公式)'!$B58=""),"",分期持仓明细!$AB$18*SUMPRODUCT(分期持仓明细!$B$18:$Y$18,'实盘净值数据(iFinD公式)'!$B58:$Y58/'实盘净值数据(iFinD公式)'!$B$20:$Y$20)*(1-实盘持仓配置!$Z$5)^(('实盘净值数据(iFinD公式)'!$A58-'实盘净值数据(iFinD公式)'!$A$5)/365))</x:f>
        <x:v>#NAME?</x:v>
      </x:c>
      <x:c r="F58" s="16" t="str">
        <x:f t="shared" si="4"/>
      </x:c>
      <x:c r="G58" s="16" t="e">
        <x:f>IF(E58="","",E58/MAX(E$5:E58)-1)</x:f>
        <x:v>#NAME?</x:v>
      </x:c>
      <x:c r="H58" s="13" t="e">
        <x:f>IF(OR('实盘净值数据(iFinD公式)'!$A58="",'实盘净值数据(iFinD公式)'!$B58=""),"",分期持仓明细!$AB$19*SUMPRODUCT(分期持仓明细!$B$19:$Y$19,'实盘净值数据(iFinD公式)'!$B58:$Y58/'实盘净值数据(iFinD公式)'!$B$20:$Y$20)*(1-实盘持仓配置!$Z$6)^(('实盘净值数据(iFinD公式)'!$A58-'实盘净值数据(iFinD公式)'!$A$7)/365))</x:f>
        <x:v>#NAME?</x:v>
      </x:c>
      <x:c r="I58" s="16" t="str">
        <x:f t="shared" si="5"/>
      </x:c>
      <x:c r="J58" s="16" t="e">
        <x:f>IF(H58="","",H58/MAX(H$5:H58)-1)</x:f>
        <x:v>#NAME?</x:v>
      </x:c>
      <x:c r="K58" s="13" t="e">
        <x:f>IF(OR('实盘净值数据(iFinD公式)'!$A58="",'实盘净值数据(iFinD公式)'!$B58=""),"",分期持仓明细!$AB$20*SUMPRODUCT(分期持仓明细!$B$20:$Y$20,'实盘净值数据(iFinD公式)'!$B58:$Y58/'实盘净值数据(iFinD公式)'!$B$25:$Y$25)*(1-实盘持仓配置!$Z$7)^(('实盘净值数据(iFinD公式)'!$A58-'实盘净值数据(iFinD公式)'!$A$8)/365))</x:f>
        <x:v>#NAME?</x:v>
      </x:c>
      <x:c r="L58" s="16" t="str">
        <x:f t="shared" si="0"/>
      </x:c>
      <x:c r="M58" s="16" t="e">
        <x:f>IF(K58="","",K58/MAX(K$5:K58)-1)</x:f>
        <x:v>#NAME?</x:v>
      </x:c>
      <x:c r="N58" s="13" t="e">
        <x:f>IF(OR('实盘净值数据(iFinD公式)'!$A58="",'实盘净值数据(iFinD公式)'!$B58=""),"",分期持仓明细!$AB$21*SUMPRODUCT(分期持仓明细!$B$21:$Y$21,'实盘净值数据(iFinD公式)'!$B58:$Y58/'实盘净值数据(iFinD公式)'!$B$25:$Y$25)*(1-实盘持仓配置!$Z$8)^(('实盘净值数据(iFinD公式)'!$A58-'实盘净值数据(iFinD公式)'!$A$5)/365))</x:f>
        <x:v>#NAME?</x:v>
      </x:c>
      <x:c r="O58" s="16" t="str">
        <x:f t="shared" si="1"/>
      </x:c>
      <x:c r="P58" s="16" t="e">
        <x:f>IF(N58="","",N58/MAX(N$5:N58)-1)</x:f>
        <x:v>#NAME?</x:v>
      </x:c>
      <x:c r="Q58" s="13" t="e">
        <x:f>IF(OR('实盘净值数据(iFinD公式)'!$A58="",'实盘净值数据(iFinD公式)'!$B58=""),"",分期持仓明细!$AB$22*SUMPRODUCT(分期持仓明细!$B$22:$Y$22,'实盘净值数据(iFinD公式)'!$B58:$Y58/'实盘净值数据(iFinD公式)'!$B$25:$Y$25)*(1-实盘持仓配置!$Z$9)^(('实盘净值数据(iFinD公式)'!$A58-'实盘净值数据(iFinD公式)'!$A$8)/365))</x:f>
        <x:v>#NAME?</x:v>
      </x:c>
      <x:c r="R58" s="16" t="str">
        <x:f t="shared" si="2"/>
      </x:c>
      <x:c r="S58" s="16" t="e">
        <x:f>IF(Q58="","",Q58/MAX(Q$5:Q58)-1)</x:f>
        <x:v>#NAME?</x:v>
      </x:c>
    </x:row>
    <x:row r="59">
      <x:c r="A59" s="15" t="str">
        <x:f>IF('实盘净值数据(iFinD公式)'!A59="","",'实盘净值数据(iFinD公式)'!A59)</x:f>
      </x:c>
      <x:c r="B59" s="13" t="e">
        <x:f>IF(OR('实盘净值数据(iFinD公式)'!$A59="",'实盘净值数据(iFinD公式)'!$B59=""),"",分期持仓明细!$AB$17*SUMPRODUCT(分期持仓明细!$B$17:$Y$17,'实盘净值数据(iFinD公式)'!$B59:$Y59/'实盘净值数据(iFinD公式)'!$B$20:$Y$20)*(1-实盘持仓配置!$Z$4)^(('实盘净值数据(iFinD公式)'!$A59-'实盘净值数据(iFinD公式)'!$A$6)/365))</x:f>
        <x:v>#NAME?</x:v>
      </x:c>
      <x:c r="C59" s="16" t="str">
        <x:f t="shared" si="3"/>
      </x:c>
      <x:c r="D59" s="16" t="e">
        <x:f>IF(B59="","",B59/MAX(B$5:B59)-1)</x:f>
        <x:v>#NAME?</x:v>
      </x:c>
      <x:c r="E59" s="13" t="e">
        <x:f>IF(OR('实盘净值数据(iFinD公式)'!$A59="",'实盘净值数据(iFinD公式)'!$B59=""),"",分期持仓明细!$AB$18*SUMPRODUCT(分期持仓明细!$B$18:$Y$18,'实盘净值数据(iFinD公式)'!$B59:$Y59/'实盘净值数据(iFinD公式)'!$B$20:$Y$20)*(1-实盘持仓配置!$Z$5)^(('实盘净值数据(iFinD公式)'!$A59-'实盘净值数据(iFinD公式)'!$A$5)/365))</x:f>
        <x:v>#NAME?</x:v>
      </x:c>
      <x:c r="F59" s="16" t="str">
        <x:f t="shared" si="4"/>
      </x:c>
      <x:c r="G59" s="16" t="e">
        <x:f>IF(E59="","",E59/MAX(E$5:E59)-1)</x:f>
        <x:v>#NAME?</x:v>
      </x:c>
      <x:c r="H59" s="13" t="e">
        <x:f>IF(OR('实盘净值数据(iFinD公式)'!$A59="",'实盘净值数据(iFinD公式)'!$B59=""),"",分期持仓明细!$AB$19*SUMPRODUCT(分期持仓明细!$B$19:$Y$19,'实盘净值数据(iFinD公式)'!$B59:$Y59/'实盘净值数据(iFinD公式)'!$B$20:$Y$20)*(1-实盘持仓配置!$Z$6)^(('实盘净值数据(iFinD公式)'!$A59-'实盘净值数据(iFinD公式)'!$A$7)/365))</x:f>
        <x:v>#NAME?</x:v>
      </x:c>
      <x:c r="I59" s="16" t="str">
        <x:f t="shared" si="5"/>
      </x:c>
      <x:c r="J59" s="16" t="e">
        <x:f>IF(H59="","",H59/MAX(H$5:H59)-1)</x:f>
        <x:v>#NAME?</x:v>
      </x:c>
      <x:c r="K59" s="13" t="e">
        <x:f>IF(OR('实盘净值数据(iFinD公式)'!$A59="",'实盘净值数据(iFinD公式)'!$B59=""),"",分期持仓明细!$AB$20*SUMPRODUCT(分期持仓明细!$B$20:$Y$20,'实盘净值数据(iFinD公式)'!$B59:$Y59/'实盘净值数据(iFinD公式)'!$B$25:$Y$25)*(1-实盘持仓配置!$Z$7)^(('实盘净值数据(iFinD公式)'!$A59-'实盘净值数据(iFinD公式)'!$A$8)/365))</x:f>
        <x:v>#NAME?</x:v>
      </x:c>
      <x:c r="L59" s="16" t="str">
        <x:f t="shared" si="0"/>
      </x:c>
      <x:c r="M59" s="16" t="e">
        <x:f>IF(K59="","",K59/MAX(K$5:K59)-1)</x:f>
        <x:v>#NAME?</x:v>
      </x:c>
      <x:c r="N59" s="13" t="e">
        <x:f>IF(OR('实盘净值数据(iFinD公式)'!$A59="",'实盘净值数据(iFinD公式)'!$B59=""),"",分期持仓明细!$AB$21*SUMPRODUCT(分期持仓明细!$B$21:$Y$21,'实盘净值数据(iFinD公式)'!$B59:$Y59/'实盘净值数据(iFinD公式)'!$B$25:$Y$25)*(1-实盘持仓配置!$Z$8)^(('实盘净值数据(iFinD公式)'!$A59-'实盘净值数据(iFinD公式)'!$A$5)/365))</x:f>
        <x:v>#NAME?</x:v>
      </x:c>
      <x:c r="O59" s="16" t="str">
        <x:f t="shared" si="1"/>
      </x:c>
      <x:c r="P59" s="16" t="e">
        <x:f>IF(N59="","",N59/MAX(N$5:N59)-1)</x:f>
        <x:v>#NAME?</x:v>
      </x:c>
      <x:c r="Q59" s="13" t="e">
        <x:f>IF(OR('实盘净值数据(iFinD公式)'!$A59="",'实盘净值数据(iFinD公式)'!$B59=""),"",分期持仓明细!$AB$22*SUMPRODUCT(分期持仓明细!$B$22:$Y$22,'实盘净值数据(iFinD公式)'!$B59:$Y59/'实盘净值数据(iFinD公式)'!$B$25:$Y$25)*(1-实盘持仓配置!$Z$9)^(('实盘净值数据(iFinD公式)'!$A59-'实盘净值数据(iFinD公式)'!$A$8)/365))</x:f>
        <x:v>#NAME?</x:v>
      </x:c>
      <x:c r="R59" s="16" t="str">
        <x:f t="shared" si="2"/>
      </x:c>
      <x:c r="S59" s="16" t="e">
        <x:f>IF(Q59="","",Q59/MAX(Q$5:Q59)-1)</x:f>
        <x:v>#NAME?</x:v>
      </x:c>
    </x:row>
    <x:row r="61" ht="14.25" customHeight="1">
      <x:c r="A61" s="10" t="s">
        <x:v>74</x:v>
      </x:c>
    </x:row>
  </x:sheetData>
  <x:mergeCells>
    <x:mergeCell ref="A1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37.453125" customWidth="1"/>
    <x:col min="2" max="6" width="9.26953125" customWidth="1"/>
    <x:col min="7" max="7" width="24.26953125" customWidth="1"/>
    <x:col min="8" max="8" width="16.26953125" customWidth="1"/>
    <x:col min="9" max="25" width="9.26953125" customWidth="1"/>
    <x:col min="27" max="27" width="21.90625" customWidth="1"/>
    <x:col min="28" max="28" width="14.26953125" customWidth="1"/>
  </x:cols>
  <x:sheetData>
    <x:row r="1">
      <x:c r="A1" t="s">
        <x:v>75</x:v>
      </x:c>
    </x:row>
    <x:row r="2" ht="14.5">
      <x:c r="A2" t="s">
        <x:v>1</x:v>
      </x:c>
      <x:c r="B2" s="19" t="s">
        <x:v>76</x:v>
      </x:c>
      <x:c r="C2" s="19" t="s">
        <x:v>77</x:v>
      </x:c>
      <x:c r="D2" s="19" t="s">
        <x:v>78</x:v>
      </x:c>
      <x:c r="E2" s="19" t="s">
        <x:v>79</x:v>
      </x:c>
      <x:c r="F2" s="19" t="s">
        <x:v>80</x:v>
      </x:c>
      <x:c r="G2" s="19" t="s">
        <x:v>81</x:v>
      </x:c>
      <x:c r="H2" s="19" t="s">
        <x:v>82</x:v>
      </x:c>
      <x:c r="I2" t="s">
        <x:v>9</x:v>
      </x:c>
      <x:c r="J2" s="19" t="s">
        <x:v>83</x:v>
      </x:c>
      <x:c r="K2" s="19" t="s">
        <x:v>84</x:v>
      </x:c>
      <x:c r="L2" s="19" t="s">
        <x:v>85</x:v>
      </x:c>
      <x:c r="M2" s="19" t="s">
        <x:v>86</x:v>
      </x:c>
      <x:c r="N2" s="19" t="s">
        <x:v>87</x:v>
      </x:c>
      <x:c r="O2" s="19" t="s">
        <x:v>88</x:v>
      </x:c>
      <x:c r="P2" s="19" t="s">
        <x:v>89</x:v>
      </x:c>
      <x:c r="Q2" s="19" t="s">
        <x:v>90</x:v>
      </x:c>
      <x:c r="R2" s="19" t="s">
        <x:v>91</x:v>
      </x:c>
      <x:c r="S2" s="19" t="s">
        <x:v>92</x:v>
      </x:c>
      <x:c r="T2" s="19" t="s">
        <x:v>93</x:v>
      </x:c>
      <x:c r="U2" s="19" t="s">
        <x:v>94</x:v>
      </x:c>
      <x:c r="V2" s="19" t="s">
        <x:v>95</x:v>
      </x:c>
      <x:c r="W2" s="19" t="s">
        <x:v>96</x:v>
      </x:c>
      <x:c r="X2" s="19" t="s">
        <x:v>97</x:v>
      </x:c>
      <x:c r="Y2" t="s">
        <x:v>62</x:v>
      </x:c>
      <x:c r="Z2" t="s">
        <x:v>25</x:v>
      </x:c>
      <x:c r="AA2" t="s">
        <x:v>98</x:v>
      </x:c>
      <x:c r="AB2" s="19" t="s">
        <x:v>99</x:v>
      </x:c>
    </x:row>
    <x:row r="3" ht="14">
      <x:c r="A3" t="s">
        <x:v>28</x:v>
      </x:c>
      <x:c r="B3" s="20" t="s">
        <x:v>100</x:v>
      </x:c>
      <x:c r="C3" s="20" t="s">
        <x:v>101</x:v>
      </x:c>
      <x:c r="D3" s="20" t="s">
        <x:v>102</x:v>
      </x:c>
      <x:c r="E3" s="20" t="s">
        <x:v>103</x:v>
      </x:c>
      <x:c r="F3" s="20" t="s">
        <x:v>104</x:v>
      </x:c>
      <x:c r="G3" s="20" t="s">
        <x:v>105</x:v>
      </x:c>
      <x:c r="H3" s="20" t="s">
        <x:v>106</x:v>
      </x:c>
      <x:c r="I3" s="20" t="s">
        <x:v>107</x:v>
      </x:c>
      <x:c r="J3" s="20" t="s">
        <x:v>108</x:v>
      </x:c>
      <x:c r="K3" s="20" t="s">
        <x:v>109</x:v>
      </x:c>
      <x:c r="L3" s="20" t="s">
        <x:v>110</x:v>
      </x:c>
      <x:c r="M3" s="20" t="s">
        <x:v>111</x:v>
      </x:c>
      <x:c r="N3" s="20" t="s">
        <x:v>112</x:v>
      </x:c>
      <x:c r="O3" s="20" t="s">
        <x:v>113</x:v>
      </x:c>
      <x:c r="P3" s="20" t="s">
        <x:v>114</x:v>
      </x:c>
      <x:c r="Q3" s="20" t="s">
        <x:v>115</x:v>
      </x:c>
      <x:c r="R3" s="20" t="s">
        <x:v>116</x:v>
      </x:c>
      <x:c r="S3" s="20" t="s">
        <x:v>117</x:v>
      </x:c>
      <x:c r="T3" s="20" t="s">
        <x:v>118</x:v>
      </x:c>
      <x:c r="U3" s="20" t="s">
        <x:v>119</x:v>
      </x:c>
      <x:c r="V3" s="20" t="s">
        <x:v>120</x:v>
      </x:c>
      <x:c r="W3" s="20" t="s">
        <x:v>121</x:v>
      </x:c>
      <x:c r="X3" s="20" t="s">
        <x:v>122</x:v>
      </x:c>
      <x:c r="Y3" s="20" t="s">
        <x:v>123</x:v>
      </x:c>
    </x:row>
    <x:row r="5" ht="14.5">
      <x:c r="A5" s="19" t="s">
        <x:v>124</x:v>
      </x:c>
      <x:c r="B5" s="21" t="e">
        <x:f>实盘持仓配置!B4</x:f>
        <x:v>#NAME?</x:v>
      </x:c>
      <x:c r="C5" s="21" t="e">
        <x:f>实盘持仓配置!C4</x:f>
        <x:v>#NAME?</x:v>
      </x:c>
      <x:c r="D5" s="21" t="e">
        <x:f>实盘持仓配置!D4</x:f>
        <x:v>#NAME?</x:v>
      </x:c>
      <x:c r="E5" s="21" t="e">
        <x:f>实盘持仓配置!E4</x:f>
        <x:v>#NAME?</x:v>
      </x:c>
      <x:c r="F5" s="21" t="e">
        <x:f>实盘持仓配置!F4</x:f>
        <x:v>#NAME?</x:v>
      </x:c>
      <x:c r="G5" s="21" t="e">
        <x:f>实盘持仓配置!G4</x:f>
        <x:v>#NAME?</x:v>
      </x:c>
      <x:c r="H5" s="21" t="e">
        <x:f>实盘持仓配置!H4</x:f>
        <x:v>#NAME?</x:v>
      </x:c>
      <x:c r="I5" s="21" t="e">
        <x:f>实盘持仓配置!I4</x:f>
        <x:v>#NAME?</x:v>
      </x:c>
      <x:c r="J5" s="21" t="e">
        <x:f>实盘持仓配置!J4</x:f>
        <x:v>#NAME?</x:v>
      </x:c>
      <x:c r="K5" s="21" t="e">
        <x:f>实盘持仓配置!K4</x:f>
        <x:v>#NAME?</x:v>
      </x:c>
      <x:c r="L5" s="21" t="e">
        <x:f>实盘持仓配置!L4</x:f>
        <x:v>#NAME?</x:v>
      </x:c>
      <x:c r="M5" s="21" t="e">
        <x:f>实盘持仓配置!M4</x:f>
        <x:v>#NAME?</x:v>
      </x:c>
      <x:c r="N5" s="21" t="e">
        <x:f>实盘持仓配置!N4</x:f>
        <x:v>#NAME?</x:v>
      </x:c>
      <x:c r="O5" s="21" t="e">
        <x:f>实盘持仓配置!O4</x:f>
        <x:v>#NAME?</x:v>
      </x:c>
      <x:c r="P5" s="21" t="e">
        <x:f>实盘持仓配置!P4</x:f>
        <x:v>#NAME?</x:v>
      </x:c>
      <x:c r="Q5" s="21" t="e">
        <x:f>实盘持仓配置!Q4</x:f>
        <x:v>#NAME?</x:v>
      </x:c>
      <x:c r="R5" s="21" t="e">
        <x:f>实盘持仓配置!R4</x:f>
        <x:v>#NAME?</x:v>
      </x:c>
      <x:c r="S5" s="21" t="e">
        <x:f>实盘持仓配置!S4</x:f>
        <x:v>#NAME?</x:v>
      </x:c>
      <x:c r="T5" s="21" t="e">
        <x:f>实盘持仓配置!T4</x:f>
        <x:v>#NAME?</x:v>
      </x:c>
      <x:c r="U5" s="21" t="e">
        <x:f>实盘持仓配置!U4</x:f>
        <x:v>#NAME?</x:v>
      </x:c>
      <x:c r="V5" s="21" t="e">
        <x:f>实盘持仓配置!V4</x:f>
        <x:v>#NAME?</x:v>
      </x:c>
      <x:c r="W5" s="21" t="e">
        <x:f>实盘持仓配置!W4</x:f>
        <x:v>#NAME?</x:v>
      </x:c>
      <x:c r="X5" s="21" t="e">
        <x:f>实盘持仓配置!X4</x:f>
        <x:v>#NAME?</x:v>
      </x:c>
      <x:c r="Y5">
        <x:v>0</x:v>
      </x:c>
      <x:c r="Z5" t="e">
        <x:f t="shared" ref="Z5:Z22" si="0">SUM(B5:Y5)</x:f>
        <x:v>#NAME?</x:v>
      </x:c>
      <x:c r="AA5" s="22">
        <x:v>46195</x:v>
      </x:c>
    </x:row>
    <x:row r="6" ht="14.5">
      <x:c r="A6" s="19" t="s">
        <x:v>125</x:v>
      </x:c>
      <x:c r="B6" s="21" t="e">
        <x:f>实盘持仓配置!B5</x:f>
        <x:v>#NAME?</x:v>
      </x:c>
      <x:c r="C6" s="21" t="e">
        <x:f>实盘持仓配置!C5</x:f>
        <x:v>#NAME?</x:v>
      </x:c>
      <x:c r="D6" s="21" t="e">
        <x:f>实盘持仓配置!D5</x:f>
        <x:v>#NAME?</x:v>
      </x:c>
      <x:c r="E6" s="21" t="e">
        <x:f>实盘持仓配置!E5</x:f>
        <x:v>#NAME?</x:v>
      </x:c>
      <x:c r="F6" s="21" t="e">
        <x:f>实盘持仓配置!F5</x:f>
        <x:v>#NAME?</x:v>
      </x:c>
      <x:c r="G6" s="21" t="e">
        <x:f>实盘持仓配置!G5</x:f>
        <x:v>#NAME?</x:v>
      </x:c>
      <x:c r="H6" s="21" t="e">
        <x:f>实盘持仓配置!H5</x:f>
        <x:v>#NAME?</x:v>
      </x:c>
      <x:c r="I6" s="21" t="e">
        <x:f>实盘持仓配置!I5</x:f>
        <x:v>#NAME?</x:v>
      </x:c>
      <x:c r="J6" s="21" t="e">
        <x:f>实盘持仓配置!J5</x:f>
        <x:v>#NAME?</x:v>
      </x:c>
      <x:c r="K6" s="21" t="e">
        <x:f>实盘持仓配置!K5</x:f>
        <x:v>#NAME?</x:v>
      </x:c>
      <x:c r="L6" s="21" t="e">
        <x:f>实盘持仓配置!L5</x:f>
        <x:v>#NAME?</x:v>
      </x:c>
      <x:c r="M6" s="21" t="e">
        <x:f>实盘持仓配置!M5</x:f>
        <x:v>#NAME?</x:v>
      </x:c>
      <x:c r="N6" s="21" t="e">
        <x:f>实盘持仓配置!N5</x:f>
        <x:v>#NAME?</x:v>
      </x:c>
      <x:c r="O6" s="21" t="e">
        <x:f>实盘持仓配置!O5</x:f>
        <x:v>#NAME?</x:v>
      </x:c>
      <x:c r="P6" s="21" t="e">
        <x:f>实盘持仓配置!P5</x:f>
        <x:v>#NAME?</x:v>
      </x:c>
      <x:c r="Q6" s="21" t="e">
        <x:f>实盘持仓配置!Q5</x:f>
        <x:v>#NAME?</x:v>
      </x:c>
      <x:c r="R6" s="21" t="e">
        <x:f>实盘持仓配置!R5</x:f>
        <x:v>#NAME?</x:v>
      </x:c>
      <x:c r="S6" s="21" t="e">
        <x:f>实盘持仓配置!S5</x:f>
        <x:v>#NAME?</x:v>
      </x:c>
      <x:c r="T6" s="21" t="e">
        <x:f>实盘持仓配置!T5</x:f>
        <x:v>#NAME?</x:v>
      </x:c>
      <x:c r="U6" s="21" t="e">
        <x:f>实盘持仓配置!U5</x:f>
        <x:v>#NAME?</x:v>
      </x:c>
      <x:c r="V6" s="21" t="e">
        <x:f>实盘持仓配置!V5</x:f>
        <x:v>#NAME?</x:v>
      </x:c>
      <x:c r="W6" s="21" t="e">
        <x:f>实盘持仓配置!W5</x:f>
        <x:v>#NAME?</x:v>
      </x:c>
      <x:c r="X6" s="21" t="e">
        <x:f>实盘持仓配置!X5</x:f>
        <x:v>#NAME?</x:v>
      </x:c>
      <x:c r="Y6">
        <x:v>0</x:v>
      </x:c>
      <x:c r="Z6">
        <x:f t="shared" si="0"/>
        <x:v>0.99999999999999989</x:v>
      </x:c>
      <x:c r="AA6" s="22">
        <x:v>46191</x:v>
      </x:c>
    </x:row>
    <x:row r="7" ht="14.5">
      <x:c r="A7" s="19" t="s">
        <x:v>126</x:v>
      </x:c>
      <x:c r="B7" s="21" t="e">
        <x:f>实盘持仓配置!B6</x:f>
        <x:v>#NAME?</x:v>
      </x:c>
      <x:c r="C7" s="21" t="e">
        <x:f>实盘持仓配置!C6</x:f>
        <x:v>#NAME?</x:v>
      </x:c>
      <x:c r="D7" s="21" t="e">
        <x:f>实盘持仓配置!D6</x:f>
        <x:v>#NAME?</x:v>
      </x:c>
      <x:c r="E7" s="21" t="e">
        <x:f>实盘持仓配置!E6</x:f>
        <x:v>#NAME?</x:v>
      </x:c>
      <x:c r="F7" s="21" t="e">
        <x:f>实盘持仓配置!F6</x:f>
        <x:v>#NAME?</x:v>
      </x:c>
      <x:c r="G7" s="21" t="e">
        <x:f>实盘持仓配置!G6</x:f>
        <x:v>#NAME?</x:v>
      </x:c>
      <x:c r="H7" s="21" t="e">
        <x:f>实盘持仓配置!H6</x:f>
        <x:v>#NAME?</x:v>
      </x:c>
      <x:c r="I7" s="21" t="e">
        <x:f>实盘持仓配置!I6</x:f>
        <x:v>#NAME?</x:v>
      </x:c>
      <x:c r="J7" s="21" t="e">
        <x:f>实盘持仓配置!J6</x:f>
        <x:v>#NAME?</x:v>
      </x:c>
      <x:c r="K7" s="21" t="e">
        <x:f>实盘持仓配置!K6</x:f>
        <x:v>#NAME?</x:v>
      </x:c>
      <x:c r="L7" s="21" t="e">
        <x:f>实盘持仓配置!L6</x:f>
        <x:v>#NAME?</x:v>
      </x:c>
      <x:c r="M7" s="21" t="e">
        <x:f>实盘持仓配置!M6</x:f>
        <x:v>#NAME?</x:v>
      </x:c>
      <x:c r="N7" s="21" t="e">
        <x:f>实盘持仓配置!N6</x:f>
        <x:v>#NAME?</x:v>
      </x:c>
      <x:c r="O7" s="21" t="e">
        <x:f>实盘持仓配置!O6</x:f>
        <x:v>#NAME?</x:v>
      </x:c>
      <x:c r="P7" s="21" t="e">
        <x:f>实盘持仓配置!P6</x:f>
        <x:v>#NAME?</x:v>
      </x:c>
      <x:c r="Q7" s="21" t="e">
        <x:f>实盘持仓配置!Q6</x:f>
        <x:v>#NAME?</x:v>
      </x:c>
      <x:c r="R7" s="21" t="e">
        <x:f>实盘持仓配置!R6</x:f>
        <x:v>#NAME?</x:v>
      </x:c>
      <x:c r="S7" s="21" t="e">
        <x:f>实盘持仓配置!S6</x:f>
        <x:v>#NAME?</x:v>
      </x:c>
      <x:c r="T7" s="21" t="e">
        <x:f>实盘持仓配置!T6</x:f>
        <x:v>#NAME?</x:v>
      </x:c>
      <x:c r="U7" s="21" t="e">
        <x:f>实盘持仓配置!U6</x:f>
        <x:v>#NAME?</x:v>
      </x:c>
      <x:c r="V7" s="21" t="e">
        <x:f>实盘持仓配置!V6</x:f>
        <x:v>#NAME?</x:v>
      </x:c>
      <x:c r="W7" s="21" t="e">
        <x:f>实盘持仓配置!W6</x:f>
        <x:v>#NAME?</x:v>
      </x:c>
      <x:c r="X7" s="21" t="e">
        <x:f>实盘持仓配置!X6</x:f>
        <x:v>#NAME?</x:v>
      </x:c>
      <x:c r="Y7">
        <x:v>0</x:v>
      </x:c>
      <x:c r="Z7">
        <x:f t="shared" si="0"/>
        <x:v>0.99999999999999989</x:v>
      </x:c>
      <x:c r="AA7" s="22">
        <x:v>46196</x:v>
      </x:c>
    </x:row>
    <x:row r="8" ht="14.5">
      <x:c r="A8" s="23" t="s">
        <x:v>127</x:v>
      </x:c>
      <x:c r="B8" s="21" t="e">
        <x:f>实盘持仓配置!B7</x:f>
        <x:v>#NAME?</x:v>
      </x:c>
      <x:c r="C8" s="21" t="e">
        <x:f>实盘持仓配置!C7</x:f>
        <x:v>#NAME?</x:v>
      </x:c>
      <x:c r="D8" s="21" t="e">
        <x:f>实盘持仓配置!D7</x:f>
        <x:v>#NAME?</x:v>
      </x:c>
      <x:c r="E8" s="21" t="e">
        <x:f>实盘持仓配置!E7</x:f>
        <x:v>#NAME?</x:v>
      </x:c>
      <x:c r="F8" s="21" t="e">
        <x:f>实盘持仓配置!F7</x:f>
        <x:v>#NAME?</x:v>
      </x:c>
      <x:c r="G8" s="21" t="e">
        <x:f>实盘持仓配置!G7</x:f>
        <x:v>#NAME?</x:v>
      </x:c>
      <x:c r="H8" s="21" t="e">
        <x:f>实盘持仓配置!H7</x:f>
        <x:v>#NAME?</x:v>
      </x:c>
      <x:c r="I8" s="21" t="e">
        <x:f>实盘持仓配置!I7</x:f>
        <x:v>#NAME?</x:v>
      </x:c>
      <x:c r="J8" s="21" t="e">
        <x:f>实盘持仓配置!J7</x:f>
        <x:v>#NAME?</x:v>
      </x:c>
      <x:c r="K8" s="21" t="e">
        <x:f>实盘持仓配置!K7</x:f>
        <x:v>#NAME?</x:v>
      </x:c>
      <x:c r="L8" s="21" t="e">
        <x:f>实盘持仓配置!L7</x:f>
        <x:v>#NAME?</x:v>
      </x:c>
      <x:c r="M8" s="21" t="e">
        <x:f>实盘持仓配置!M7</x:f>
        <x:v>#NAME?</x:v>
      </x:c>
      <x:c r="N8" s="21" t="e">
        <x:f>实盘持仓配置!N7</x:f>
        <x:v>#NAME?</x:v>
      </x:c>
      <x:c r="O8" s="21" t="e">
        <x:f>实盘持仓配置!O7</x:f>
        <x:v>#NAME?</x:v>
      </x:c>
      <x:c r="P8" s="21" t="e">
        <x:f>实盘持仓配置!P7</x:f>
        <x:v>#NAME?</x:v>
      </x:c>
      <x:c r="Q8" s="21" t="e">
        <x:f>实盘持仓配置!Q7</x:f>
        <x:v>#NAME?</x:v>
      </x:c>
      <x:c r="R8" s="21" t="e">
        <x:f>实盘持仓配置!R7</x:f>
        <x:v>#NAME?</x:v>
      </x:c>
      <x:c r="S8" s="21" t="e">
        <x:f>实盘持仓配置!S7</x:f>
        <x:v>#NAME?</x:v>
      </x:c>
      <x:c r="T8" s="21" t="e">
        <x:f>实盘持仓配置!T7</x:f>
        <x:v>#NAME?</x:v>
      </x:c>
      <x:c r="U8" s="21" t="e">
        <x:f>实盘持仓配置!U7</x:f>
        <x:v>#NAME?</x:v>
      </x:c>
      <x:c r="V8" s="21" t="e">
        <x:f>实盘持仓配置!V7</x:f>
        <x:v>#NAME?</x:v>
      </x:c>
      <x:c r="W8" s="21" t="e">
        <x:f>实盘持仓配置!W7</x:f>
        <x:v>#NAME?</x:v>
      </x:c>
      <x:c r="X8" s="21" t="e">
        <x:f>实盘持仓配置!X7</x:f>
        <x:v>#NAME?</x:v>
      </x:c>
      <x:c r="Y8">
        <x:v>0</x:v>
      </x:c>
      <x:c r="Z8">
        <x:f t="shared" si="0"/>
        <x:v>1</x:v>
      </x:c>
      <x:c r="AA8" s="22">
        <x:v>46197</x:v>
      </x:c>
    </x:row>
    <x:row r="9" ht="14.5">
      <x:c r="A9" s="23" t="s">
        <x:v>128</x:v>
      </x:c>
      <x:c r="B9" t="e">
        <x:f>B$8*'实盘净值数据(iFinD公式)'!B$13/'实盘净值数据(iFinD公式)'!B$8/$AB$9</x:f>
        <x:v>#NAME?</x:v>
      </x:c>
      <x:c r="C9" t="e">
        <x:f>C$8*'实盘净值数据(iFinD公式)'!C$13/'实盘净值数据(iFinD公式)'!C$8/$AB$9-0.01</x:f>
        <x:v>#NAME?</x:v>
      </x:c>
      <x:c r="D9" t="e">
        <x:f>D$8*'实盘净值数据(iFinD公式)'!D$13/'实盘净值数据(iFinD公式)'!D$8/$AB$9</x:f>
        <x:v>#NAME?</x:v>
      </x:c>
      <x:c r="E9" t="e">
        <x:f>E$8*'实盘净值数据(iFinD公式)'!E$13/'实盘净值数据(iFinD公式)'!E$8/$AB$9</x:f>
        <x:v>#NAME?</x:v>
      </x:c>
      <x:c r="F9" t="e">
        <x:f>F$8*'实盘净值数据(iFinD公式)'!F$13/'实盘净值数据(iFinD公式)'!F$8/$AB$9</x:f>
        <x:v>#NAME?</x:v>
      </x:c>
      <x:c r="G9" t="e">
        <x:f>G$8*'实盘净值数据(iFinD公式)'!G$13/'实盘净值数据(iFinD公式)'!G$8/$AB$9</x:f>
        <x:v>#NAME?</x:v>
      </x:c>
      <x:c r="H9" t="e">
        <x:f>H$8*'实盘净值数据(iFinD公式)'!H$13/'实盘净值数据(iFinD公式)'!H$8/$AB$9</x:f>
        <x:v>#NAME?</x:v>
      </x:c>
      <x:c r="I9" t="e">
        <x:f>I$8*'实盘净值数据(iFinD公式)'!I$13/'实盘净值数据(iFinD公式)'!I$8/$AB$9</x:f>
        <x:v>#NAME?</x:v>
      </x:c>
      <x:c r="J9" t="e">
        <x:f>J$8*'实盘净值数据(iFinD公式)'!J$13/'实盘净值数据(iFinD公式)'!J$8/$AB$9</x:f>
        <x:v>#NAME?</x:v>
      </x:c>
      <x:c r="K9" t="e">
        <x:f>K$8*'实盘净值数据(iFinD公式)'!K$13/'实盘净值数据(iFinD公式)'!K$8/$AB$9</x:f>
        <x:v>#NAME?</x:v>
      </x:c>
      <x:c r="L9" t="e">
        <x:f>L$8*'实盘净值数据(iFinD公式)'!L$13/'实盘净值数据(iFinD公式)'!L$8/$AB$9</x:f>
        <x:v>#NAME?</x:v>
      </x:c>
      <x:c r="M9" t="e">
        <x:f>M$8*'实盘净值数据(iFinD公式)'!M$13/'实盘净值数据(iFinD公式)'!M$8/$AB$9</x:f>
        <x:v>#NAME?</x:v>
      </x:c>
      <x:c r="N9" t="e">
        <x:f>N$8*'实盘净值数据(iFinD公式)'!N$13/'实盘净值数据(iFinD公式)'!N$8/$AB$9</x:f>
        <x:v>#NAME?</x:v>
      </x:c>
      <x:c r="O9" t="e">
        <x:f>O$8*'实盘净值数据(iFinD公式)'!O$13/'实盘净值数据(iFinD公式)'!O$8/$AB$9</x:f>
        <x:v>#NAME?</x:v>
      </x:c>
      <x:c r="P9" t="e">
        <x:f>P$8*'实盘净值数据(iFinD公式)'!P$13/'实盘净值数据(iFinD公式)'!P$8/$AB$9</x:f>
        <x:v>#NAME?</x:v>
      </x:c>
      <x:c r="Q9" t="e">
        <x:f>Q$8*'实盘净值数据(iFinD公式)'!Q$13/'实盘净值数据(iFinD公式)'!Q$8/$AB$9</x:f>
        <x:v>#NAME?</x:v>
      </x:c>
      <x:c r="R9" t="e">
        <x:f>R$8*'实盘净值数据(iFinD公式)'!R$13/'实盘净值数据(iFinD公式)'!R$8/$AB$9</x:f>
        <x:v>#NAME?</x:v>
      </x:c>
      <x:c r="S9" t="e">
        <x:f>S$8*'实盘净值数据(iFinD公式)'!S$13/'实盘净值数据(iFinD公式)'!S$8/$AB$9</x:f>
        <x:v>#NAME?</x:v>
      </x:c>
      <x:c r="T9" t="e">
        <x:f>T$8*'实盘净值数据(iFinD公式)'!T$13/'实盘净值数据(iFinD公式)'!T$8/$AB$9</x:f>
        <x:v>#NAME?</x:v>
      </x:c>
      <x:c r="U9" t="e">
        <x:f>U$8*'实盘净值数据(iFinD公式)'!U$13/'实盘净值数据(iFinD公式)'!U$8/$AB$9</x:f>
        <x:v>#NAME?</x:v>
      </x:c>
      <x:c r="V9" t="e">
        <x:f>V$8*'实盘净值数据(iFinD公式)'!V$13/'实盘净值数据(iFinD公式)'!V$8/$AB$9</x:f>
        <x:v>#NAME?</x:v>
      </x:c>
      <x:c r="W9" t="e">
        <x:f>W$8*'实盘净值数据(iFinD公式)'!W$13/'实盘净值数据(iFinD公式)'!W$8/$AB$9</x:f>
        <x:v>#NAME?</x:v>
      </x:c>
      <x:c r="X9" t="e">
        <x:f>X$8*'实盘净值数据(iFinD公式)'!X$13/'实盘净值数据(iFinD公式)'!X$8/$AB$9</x:f>
        <x:v>#NAME?</x:v>
      </x:c>
      <x:c r="Y9" t="e">
        <x:f>Y$8*'实盘净值数据(iFinD公式)'!Y$13/'实盘净值数据(iFinD公式)'!Y$8/$AB$9+0.01</x:f>
        <x:v>#NAME?</x:v>
      </x:c>
      <x:c r="Z9">
        <x:f t="shared" si="0"/>
        <x:v>1</x:v>
      </x:c>
      <x:c r="AA9" s="22">
        <x:v>46204</x:v>
      </x:c>
      <x:c r="AB9" t="e">
        <x:f>SUMPRODUCT($B$8:$Y$8,'实盘净值数据(iFinD公式)'!$B$13:$Y$13/'实盘净值数据(iFinD公式)'!$B$8:$Y$8)</x:f>
        <x:v>#NAME?</x:v>
      </x:c>
    </x:row>
    <x:row r="10" ht="14.5">
      <x:c r="A10" s="23" t="s">
        <x:v>129</x:v>
      </x:c>
      <x:c r="B10" s="21" t="e">
        <x:f>实盘持仓配置!B8</x:f>
        <x:v>#NAME?</x:v>
      </x:c>
      <x:c r="C10" s="21" t="e">
        <x:f>实盘持仓配置!C8</x:f>
        <x:v>#NAME?</x:v>
      </x:c>
      <x:c r="D10" s="21" t="e">
        <x:f>实盘持仓配置!D8</x:f>
        <x:v>#NAME?</x:v>
      </x:c>
      <x:c r="E10" s="21" t="e">
        <x:f>实盘持仓配置!E8</x:f>
        <x:v>#NAME?</x:v>
      </x:c>
      <x:c r="F10" s="21" t="e">
        <x:f>实盘持仓配置!F8</x:f>
        <x:v>#NAME?</x:v>
      </x:c>
      <x:c r="G10" s="21" t="e">
        <x:f>实盘持仓配置!G8</x:f>
        <x:v>#NAME?</x:v>
      </x:c>
      <x:c r="H10" s="21" t="e">
        <x:f>实盘持仓配置!H8</x:f>
        <x:v>#NAME?</x:v>
      </x:c>
      <x:c r="I10" s="21" t="e">
        <x:f>实盘持仓配置!I8</x:f>
        <x:v>#NAME?</x:v>
      </x:c>
      <x:c r="J10" s="21" t="e">
        <x:f>实盘持仓配置!J8</x:f>
        <x:v>#NAME?</x:v>
      </x:c>
      <x:c r="K10" s="21" t="e">
        <x:f>实盘持仓配置!K8</x:f>
        <x:v>#NAME?</x:v>
      </x:c>
      <x:c r="L10" s="21" t="e">
        <x:f>实盘持仓配置!L8</x:f>
        <x:v>#NAME?</x:v>
      </x:c>
      <x:c r="M10" s="21" t="e">
        <x:f>实盘持仓配置!M8</x:f>
        <x:v>#NAME?</x:v>
      </x:c>
      <x:c r="N10" s="21" t="e">
        <x:f>实盘持仓配置!N8</x:f>
        <x:v>#NAME?</x:v>
      </x:c>
      <x:c r="O10" s="21" t="e">
        <x:f>实盘持仓配置!O8</x:f>
        <x:v>#NAME?</x:v>
      </x:c>
      <x:c r="P10" s="21" t="e">
        <x:f>实盘持仓配置!P8</x:f>
        <x:v>#NAME?</x:v>
      </x:c>
      <x:c r="Q10" s="21" t="e">
        <x:f>实盘持仓配置!Q8</x:f>
        <x:v>#NAME?</x:v>
      </x:c>
      <x:c r="R10" s="21" t="e">
        <x:f>实盘持仓配置!R8</x:f>
        <x:v>#NAME?</x:v>
      </x:c>
      <x:c r="S10" s="21" t="e">
        <x:f>实盘持仓配置!S8</x:f>
        <x:v>#NAME?</x:v>
      </x:c>
      <x:c r="T10" s="21" t="e">
        <x:f>实盘持仓配置!T8</x:f>
        <x:v>#NAME?</x:v>
      </x:c>
      <x:c r="U10" s="21" t="e">
        <x:f>实盘持仓配置!U8</x:f>
        <x:v>#NAME?</x:v>
      </x:c>
      <x:c r="V10" s="21" t="e">
        <x:f>实盘持仓配置!V8</x:f>
        <x:v>#NAME?</x:v>
      </x:c>
      <x:c r="W10" s="21" t="e">
        <x:f>实盘持仓配置!W8</x:f>
        <x:v>#NAME?</x:v>
      </x:c>
      <x:c r="X10" s="21" t="e">
        <x:f>实盘持仓配置!X8</x:f>
        <x:v>#NAME?</x:v>
      </x:c>
      <x:c r="Y10">
        <x:v>0</x:v>
      </x:c>
      <x:c r="Z10">
        <x:f t="shared" si="0"/>
        <x:v>1</x:v>
      </x:c>
      <x:c r="AA10" s="22">
        <x:v>46191</x:v>
      </x:c>
    </x:row>
    <x:row r="11" ht="14.5">
      <x:c r="A11" s="23" t="s">
        <x:v>130</x:v>
      </x:c>
      <x:c r="B11" t="e">
        <x:f>B$10*'实盘净值数据(iFinD公式)'!B$13/'实盘净值数据(iFinD公式)'!B$5/$AB$11</x:f>
        <x:v>#NAME?</x:v>
      </x:c>
      <x:c r="C11" t="e">
        <x:f>C$10*'实盘净值数据(iFinD公式)'!C$13/'实盘净值数据(iFinD公式)'!C$5/$AB$11-0.01</x:f>
        <x:v>#NAME?</x:v>
      </x:c>
      <x:c r="D11" t="e">
        <x:f>D$10*'实盘净值数据(iFinD公式)'!D$13/'实盘净值数据(iFinD公式)'!D$5/$AB$11</x:f>
        <x:v>#NAME?</x:v>
      </x:c>
      <x:c r="E11" t="e">
        <x:f>E$10*'实盘净值数据(iFinD公式)'!E$13/'实盘净值数据(iFinD公式)'!E$5/$AB$11</x:f>
        <x:v>#NAME?</x:v>
      </x:c>
      <x:c r="F11" t="e">
        <x:f>F$10*'实盘净值数据(iFinD公式)'!F$13/'实盘净值数据(iFinD公式)'!F$5/$AB$11</x:f>
        <x:v>#NAME?</x:v>
      </x:c>
      <x:c r="G11" t="e">
        <x:f>G$10*'实盘净值数据(iFinD公式)'!G$13/'实盘净值数据(iFinD公式)'!G$5/$AB$11</x:f>
        <x:v>#NAME?</x:v>
      </x:c>
      <x:c r="H11" t="e">
        <x:f>H$10*'实盘净值数据(iFinD公式)'!H$13/'实盘净值数据(iFinD公式)'!H$5/$AB$11</x:f>
        <x:v>#NAME?</x:v>
      </x:c>
      <x:c r="I11" t="e">
        <x:f>I$10*'实盘净值数据(iFinD公式)'!I$13/'实盘净值数据(iFinD公式)'!I$5/$AB$11</x:f>
        <x:v>#NAME?</x:v>
      </x:c>
      <x:c r="J11" t="e">
        <x:f>J$10*'实盘净值数据(iFinD公式)'!J$13/'实盘净值数据(iFinD公式)'!J$5/$AB$11</x:f>
        <x:v>#NAME?</x:v>
      </x:c>
      <x:c r="K11" t="e">
        <x:f>K$10*'实盘净值数据(iFinD公式)'!K$13/'实盘净值数据(iFinD公式)'!K$5/$AB$11</x:f>
        <x:v>#NAME?</x:v>
      </x:c>
      <x:c r="L11" t="e">
        <x:f>L$10*'实盘净值数据(iFinD公式)'!L$13/'实盘净值数据(iFinD公式)'!L$5/$AB$11</x:f>
        <x:v>#NAME?</x:v>
      </x:c>
      <x:c r="M11" t="e">
        <x:f>M$10*'实盘净值数据(iFinD公式)'!M$13/'实盘净值数据(iFinD公式)'!M$5/$AB$11</x:f>
        <x:v>#NAME?</x:v>
      </x:c>
      <x:c r="N11" t="e">
        <x:f>N$10*'实盘净值数据(iFinD公式)'!N$13/'实盘净值数据(iFinD公式)'!N$5/$AB$11</x:f>
        <x:v>#NAME?</x:v>
      </x:c>
      <x:c r="O11" t="e">
        <x:f>O$10*'实盘净值数据(iFinD公式)'!O$13/'实盘净值数据(iFinD公式)'!O$5/$AB$11</x:f>
        <x:v>#NAME?</x:v>
      </x:c>
      <x:c r="P11" t="e">
        <x:f>P$10*'实盘净值数据(iFinD公式)'!P$13/'实盘净值数据(iFinD公式)'!P$5/$AB$11</x:f>
        <x:v>#NAME?</x:v>
      </x:c>
      <x:c r="Q11" t="e">
        <x:f>Q$10*'实盘净值数据(iFinD公式)'!Q$13/'实盘净值数据(iFinD公式)'!Q$5/$AB$11</x:f>
        <x:v>#NAME?</x:v>
      </x:c>
      <x:c r="R11" t="e">
        <x:f>R$10*'实盘净值数据(iFinD公式)'!R$13/'实盘净值数据(iFinD公式)'!R$5/$AB$11</x:f>
        <x:v>#NAME?</x:v>
      </x:c>
      <x:c r="S11" t="e">
        <x:f>S$10*'实盘净值数据(iFinD公式)'!S$13/'实盘净值数据(iFinD公式)'!S$5/$AB$11</x:f>
        <x:v>#NAME?</x:v>
      </x:c>
      <x:c r="T11" t="e">
        <x:f>T$10*'实盘净值数据(iFinD公式)'!T$13/'实盘净值数据(iFinD公式)'!T$5/$AB$11</x:f>
        <x:v>#NAME?</x:v>
      </x:c>
      <x:c r="U11" t="e">
        <x:f>U$10*'实盘净值数据(iFinD公式)'!U$13/'实盘净值数据(iFinD公式)'!U$5/$AB$11</x:f>
        <x:v>#NAME?</x:v>
      </x:c>
      <x:c r="V11" t="e">
        <x:f>V$10*'实盘净值数据(iFinD公式)'!V$13/'实盘净值数据(iFinD公式)'!V$5/$AB$11</x:f>
        <x:v>#NAME?</x:v>
      </x:c>
      <x:c r="W11" t="e">
        <x:f>W$10*'实盘净值数据(iFinD公式)'!W$13/'实盘净值数据(iFinD公式)'!W$5/$AB$11</x:f>
        <x:v>#NAME?</x:v>
      </x:c>
      <x:c r="X11" t="e">
        <x:f>X$10*'实盘净值数据(iFinD公式)'!X$13/'实盘净值数据(iFinD公式)'!X$5/$AB$11</x:f>
        <x:v>#NAME?</x:v>
      </x:c>
      <x:c r="Y11" t="e">
        <x:f>Y$10*'实盘净值数据(iFinD公式)'!Y$13/'实盘净值数据(iFinD公式)'!Y$5/$AB$11+0.01</x:f>
        <x:v>#NAME?</x:v>
      </x:c>
      <x:c r="Z11">
        <x:f t="shared" si="0"/>
        <x:v>0.99999999999999989</x:v>
      </x:c>
      <x:c r="AA11" s="22">
        <x:v>46204</x:v>
      </x:c>
      <x:c r="AB11" t="e">
        <x:f>SUMPRODUCT($B$10:$Y$10,'实盘净值数据(iFinD公式)'!$B$13:$Y$13/'实盘净值数据(iFinD公式)'!$B$5:$Y$5)</x:f>
        <x:v>#NAME?</x:v>
      </x:c>
    </x:row>
    <x:row r="12" ht="14.5">
      <x:c r="A12" s="23" t="s">
        <x:v>131</x:v>
      </x:c>
      <x:c r="B12" s="21" t="e">
        <x:f>实盘持仓配置!B9</x:f>
        <x:v>#NAME?</x:v>
      </x:c>
      <x:c r="C12" s="21" t="e">
        <x:f>实盘持仓配置!C9</x:f>
        <x:v>#NAME?</x:v>
      </x:c>
      <x:c r="D12" s="21" t="e">
        <x:f>实盘持仓配置!D9</x:f>
        <x:v>#NAME?</x:v>
      </x:c>
      <x:c r="E12" s="21" t="e">
        <x:f>实盘持仓配置!E9</x:f>
        <x:v>#NAME?</x:v>
      </x:c>
      <x:c r="F12" s="21" t="e">
        <x:f>实盘持仓配置!F9</x:f>
        <x:v>#NAME?</x:v>
      </x:c>
      <x:c r="G12" s="21" t="e">
        <x:f>实盘持仓配置!G9</x:f>
        <x:v>#NAME?</x:v>
      </x:c>
      <x:c r="H12" s="21" t="e">
        <x:f>实盘持仓配置!H9</x:f>
        <x:v>#NAME?</x:v>
      </x:c>
      <x:c r="I12" s="21" t="e">
        <x:f>实盘持仓配置!I9</x:f>
        <x:v>#NAME?</x:v>
      </x:c>
      <x:c r="J12" s="21" t="e">
        <x:f>实盘持仓配置!J9</x:f>
        <x:v>#NAME?</x:v>
      </x:c>
      <x:c r="K12" s="21" t="e">
        <x:f>实盘持仓配置!K9</x:f>
        <x:v>#NAME?</x:v>
      </x:c>
      <x:c r="L12" s="21" t="e">
        <x:f>实盘持仓配置!L9</x:f>
        <x:v>#NAME?</x:v>
      </x:c>
      <x:c r="M12" s="21" t="e">
        <x:f>实盘持仓配置!M9</x:f>
        <x:v>#NAME?</x:v>
      </x:c>
      <x:c r="N12" s="21" t="e">
        <x:f>实盘持仓配置!N9</x:f>
        <x:v>#NAME?</x:v>
      </x:c>
      <x:c r="O12" s="21" t="e">
        <x:f>实盘持仓配置!O9</x:f>
        <x:v>#NAME?</x:v>
      </x:c>
      <x:c r="P12" s="21" t="e">
        <x:f>实盘持仓配置!P9</x:f>
        <x:v>#NAME?</x:v>
      </x:c>
      <x:c r="Q12" s="21" t="e">
        <x:f>实盘持仓配置!Q9</x:f>
        <x:v>#NAME?</x:v>
      </x:c>
      <x:c r="R12" s="21" t="e">
        <x:f>实盘持仓配置!R9</x:f>
        <x:v>#NAME?</x:v>
      </x:c>
      <x:c r="S12" s="21" t="e">
        <x:f>实盘持仓配置!S9</x:f>
        <x:v>#NAME?</x:v>
      </x:c>
      <x:c r="T12" s="21" t="e">
        <x:f>实盘持仓配置!T9</x:f>
        <x:v>#NAME?</x:v>
      </x:c>
      <x:c r="U12" s="21" t="e">
        <x:f>实盘持仓配置!U9</x:f>
        <x:v>#NAME?</x:v>
      </x:c>
      <x:c r="V12" s="21" t="e">
        <x:f>实盘持仓配置!V9</x:f>
        <x:v>#NAME?</x:v>
      </x:c>
      <x:c r="W12" s="21" t="e">
        <x:f>实盘持仓配置!W9</x:f>
        <x:v>#NAME?</x:v>
      </x:c>
      <x:c r="X12" s="21" t="e">
        <x:f>实盘持仓配置!X9</x:f>
        <x:v>#NAME?</x:v>
      </x:c>
      <x:c r="Y12">
        <x:v>0</x:v>
      </x:c>
      <x:c r="Z12">
        <x:f t="shared" si="0"/>
        <x:v>0.99999999999999989</x:v>
      </x:c>
      <x:c r="AA12" s="22">
        <x:v>46197</x:v>
      </x:c>
    </x:row>
    <x:row r="13" ht="14.5">
      <x:c r="A13" s="23" t="s">
        <x:v>132</x:v>
      </x:c>
      <x:c r="B13" t="e">
        <x:f>B$12*'实盘净值数据(iFinD公式)'!B$13/'实盘净值数据(iFinD公式)'!B$8/$AB$13</x:f>
        <x:v>#NAME?</x:v>
      </x:c>
      <x:c r="C13" t="e">
        <x:f>C$12*'实盘净值数据(iFinD公式)'!C$13/'实盘净值数据(iFinD公式)'!C$8/$AB$13-0.015</x:f>
        <x:v>#NAME?</x:v>
      </x:c>
      <x:c r="D13" t="e">
        <x:f>D$12*'实盘净值数据(iFinD公式)'!D$13/'实盘净值数据(iFinD公式)'!D$8/$AB$13</x:f>
        <x:v>#NAME?</x:v>
      </x:c>
      <x:c r="E13" t="e">
        <x:f>E$12*'实盘净值数据(iFinD公式)'!E$13/'实盘净值数据(iFinD公式)'!E$8/$AB$13</x:f>
        <x:v>#NAME?</x:v>
      </x:c>
      <x:c r="F13" t="e">
        <x:f>F$12*'实盘净值数据(iFinD公式)'!F$13/'实盘净值数据(iFinD公式)'!F$8/$AB$13</x:f>
        <x:v>#NAME?</x:v>
      </x:c>
      <x:c r="G13" t="e">
        <x:f>G$12*'实盘净值数据(iFinD公式)'!G$13/'实盘净值数据(iFinD公式)'!G$8/$AB$13</x:f>
        <x:v>#NAME?</x:v>
      </x:c>
      <x:c r="H13" t="e">
        <x:f>H$12*'实盘净值数据(iFinD公式)'!H$13/'实盘净值数据(iFinD公式)'!H$8/$AB$13</x:f>
        <x:v>#NAME?</x:v>
      </x:c>
      <x:c r="I13" t="e">
        <x:f>I$12*'实盘净值数据(iFinD公式)'!I$13/'实盘净值数据(iFinD公式)'!I$8/$AB$13</x:f>
        <x:v>#NAME?</x:v>
      </x:c>
      <x:c r="J13" t="e">
        <x:f>J$12*'实盘净值数据(iFinD公式)'!J$13/'实盘净值数据(iFinD公式)'!J$8/$AB$13</x:f>
        <x:v>#NAME?</x:v>
      </x:c>
      <x:c r="K13" t="e">
        <x:f>K$12*'实盘净值数据(iFinD公式)'!K$13/'实盘净值数据(iFinD公式)'!K$8/$AB$13</x:f>
        <x:v>#NAME?</x:v>
      </x:c>
      <x:c r="L13" t="e">
        <x:f>L$12*'实盘净值数据(iFinD公式)'!L$13/'实盘净值数据(iFinD公式)'!L$8/$AB$13</x:f>
        <x:v>#NAME?</x:v>
      </x:c>
      <x:c r="M13" t="e">
        <x:f>M$12*'实盘净值数据(iFinD公式)'!M$13/'实盘净值数据(iFinD公式)'!M$8/$AB$13</x:f>
        <x:v>#NAME?</x:v>
      </x:c>
      <x:c r="N13" t="e">
        <x:f>N$12*'实盘净值数据(iFinD公式)'!N$13/'实盘净值数据(iFinD公式)'!N$8/$AB$13</x:f>
        <x:v>#NAME?</x:v>
      </x:c>
      <x:c r="O13" t="e">
        <x:f>O$12*'实盘净值数据(iFinD公式)'!O$13/'实盘净值数据(iFinD公式)'!O$8/$AB$13</x:f>
        <x:v>#NAME?</x:v>
      </x:c>
      <x:c r="P13" t="e">
        <x:f>P$12*'实盘净值数据(iFinD公式)'!P$13/'实盘净值数据(iFinD公式)'!P$8/$AB$13</x:f>
        <x:v>#NAME?</x:v>
      </x:c>
      <x:c r="Q13" t="e">
        <x:f>Q$12*'实盘净值数据(iFinD公式)'!Q$13/'实盘净值数据(iFinD公式)'!Q$8/$AB$13</x:f>
        <x:v>#NAME?</x:v>
      </x:c>
      <x:c r="R13" t="e">
        <x:f>R$12*'实盘净值数据(iFinD公式)'!R$13/'实盘净值数据(iFinD公式)'!R$8/$AB$13</x:f>
        <x:v>#NAME?</x:v>
      </x:c>
      <x:c r="S13" t="e">
        <x:f>S$12*'实盘净值数据(iFinD公式)'!S$13/'实盘净值数据(iFinD公式)'!S$8/$AB$13</x:f>
        <x:v>#NAME?</x:v>
      </x:c>
      <x:c r="T13" t="e">
        <x:f>T$12*'实盘净值数据(iFinD公式)'!T$13/'实盘净值数据(iFinD公式)'!T$8/$AB$13</x:f>
        <x:v>#NAME?</x:v>
      </x:c>
      <x:c r="U13" t="e">
        <x:f>U$12*'实盘净值数据(iFinD公式)'!U$13/'实盘净值数据(iFinD公式)'!U$8/$AB$13</x:f>
        <x:v>#NAME?</x:v>
      </x:c>
      <x:c r="V13" t="e">
        <x:f>V$12*'实盘净值数据(iFinD公式)'!V$13/'实盘净值数据(iFinD公式)'!V$8/$AB$13</x:f>
        <x:v>#NAME?</x:v>
      </x:c>
      <x:c r="W13" t="e">
        <x:f>W$12*'实盘净值数据(iFinD公式)'!W$13/'实盘净值数据(iFinD公式)'!W$8/$AB$13</x:f>
        <x:v>#NAME?</x:v>
      </x:c>
      <x:c r="X13" t="e">
        <x:f>X$12*'实盘净值数据(iFinD公式)'!X$13/'实盘净值数据(iFinD公式)'!X$8/$AB$13</x:f>
        <x:v>#NAME?</x:v>
      </x:c>
      <x:c r="Y13" t="e">
        <x:f>Y$12*'实盘净值数据(iFinD公式)'!Y$13/'实盘净值数据(iFinD公式)'!Y$8/$AB$13+0.015</x:f>
        <x:v>#NAME?</x:v>
      </x:c>
      <x:c r="Z13">
        <x:f t="shared" si="0"/>
        <x:v>1</x:v>
      </x:c>
      <x:c r="AA13" s="22">
        <x:v>46204</x:v>
      </x:c>
      <x:c r="AB13" t="e">
        <x:f>SUMPRODUCT($B$12:$Y$12,'实盘净值数据(iFinD公式)'!$B$13:$Y$13/'实盘净值数据(iFinD公式)'!$B$8:$Y$8)</x:f>
        <x:v>#NAME?</x:v>
      </x:c>
    </x:row>
    <x:row r="14" ht="14.5">
      <x:c r="A14" s="23" t="s">
        <x:v>133</x:v>
      </x:c>
      <x:c r="B14">
        <x:v>5.1392931664740599E-2</x:v>
      </x:c>
      <x:c r="C14">
        <x:v>5.0001502866869302E-2</x:v>
      </x:c>
      <x:c r="D14">
        <x:v>0</x:v>
      </x:c>
      <x:c r="E14">
        <x:v>0</x:v>
      </x:c>
      <x:c r="F14">
        <x:v>1.22700167166955E-2</x:v>
      </x:c>
      <x:c r="G14">
        <x:v>0</x:v>
      </x:c>
      <x:c r="H14">
        <x:v>4.4058931492136797E-3</x:v>
      </x:c>
      <x:c r="I14">
        <x:v>9.76043516734444E-3</x:v>
      </x:c>
      <x:c r="J14">
        <x:v>0</x:v>
      </x:c>
      <x:c r="K14">
        <x:v>1.07009175985259E-2</x:v>
      </x:c>
      <x:c r="L14">
        <x:v>0</x:v>
      </x:c>
      <x:c r="M14">
        <x:v>1.2094650535350001E-2</x:v>
      </x:c>
      <x:c r="N14">
        <x:v>0</x:v>
      </x:c>
      <x:c r="O14">
        <x:v>1.2228859161548601E-2</x:v>
      </x:c>
      <x:c r="P14">
        <x:v>0</x:v>
      </x:c>
      <x:c r="Q14">
        <x:v>0</x:v>
      </x:c>
      <x:c r="R14">
        <x:v>8.9849704896460304E-3</x:v>
      </x:c>
      <x:c r="S14">
        <x:v>8.9406347696315992E-3</x:v>
      </x:c>
      <x:c r="T14">
        <x:v>0</x:v>
      </x:c>
      <x:c r="U14">
        <x:v>5.1732171227200198E-3</x:v>
      </x:c>
      <x:c r="V14">
        <x:v>0</x:v>
      </x:c>
      <x:c r="W14">
        <x:v>1.2045088401733701E-2</x:v>
      </x:c>
      <x:c r="X14">
        <x:v>0.79287068364096702</x:v>
      </x:c>
      <x:c r="Y14">
        <x:v>9.1301987150140505E-3</x:v>
      </x:c>
      <x:c r="Z14">
        <x:f t="shared" si="0"/>
        <x:v>1.0000000000000004</x:v>
      </x:c>
      <x:c r="AA14" s="22">
        <x:v>46210</x:v>
      </x:c>
      <x:c r="AB14" t="e">
        <x:f>$AB$9*SUMPRODUCT($B$9:$Y$9,'实盘净值数据(iFinD公式)'!$B$17:$Y$17/'实盘净值数据(iFinD公式)'!$B$13:$Y$13)</x:f>
        <x:v>#NAME?</x:v>
      </x:c>
    </x:row>
    <x:row r="15" ht="14.5">
      <x:c r="A15" s="23" t="s">
        <x:v>134</x:v>
      </x:c>
      <x:c r="B15">
        <x:v>4.9150896792573798E-2</x:v>
      </x:c>
      <x:c r="C15">
        <x:v>5.0001160130108802E-2</x:v>
      </x:c>
      <x:c r="D15">
        <x:v>9.0305950887984605E-3</x:v>
      </x:c>
      <x:c r="E15">
        <x:v>1.2304437502045899E-2</x:v>
      </x:c>
      <x:c r="F15">
        <x:v>0</x:v>
      </x:c>
      <x:c r="G15">
        <x:v>4.42507895785553E-3</x:v>
      </x:c>
      <x:c r="H15">
        <x:v>0</x:v>
      </x:c>
      <x:c r="I15">
        <x:v>0</x:v>
      </x:c>
      <x:c r="J15">
        <x:v>1.1856418000136201E-2</x:v>
      </x:c>
      <x:c r="K15">
        <x:v>0</x:v>
      </x:c>
      <x:c r="L15">
        <x:v>1.2254684287608401E-2</x:v>
      </x:c>
      <x:c r="M15">
        <x:v>0</x:v>
      </x:c>
      <x:c r="N15">
        <x:v>1.25057849313139E-2</x:v>
      </x:c>
      <x:c r="O15">
        <x:v>0</x:v>
      </x:c>
      <x:c r="P15">
        <x:v>8.7603815716342098E-3</x:v>
      </x:c>
      <x:c r="Q15">
        <x:v>9.2543443784100805E-3</x:v>
      </x:c>
      <x:c r="R15">
        <x:v>0</x:v>
      </x:c>
      <x:c r="S15">
        <x:v>0</x:v>
      </x:c>
      <x:c r="T15">
        <x:v>5.5938035302751897E-3</x:v>
      </x:c>
      <x:c r="U15">
        <x:v>0</x:v>
      </x:c>
      <x:c r="V15">
        <x:v>1.2021635524279701E-2</x:v>
      </x:c>
      <x:c r="W15">
        <x:v>0</x:v>
      </x:c>
      <x:c r="X15">
        <x:v>0.79370064963292497</x:v>
      </x:c>
      <x:c r="Y15">
        <x:v>9.1401296720349801E-3</x:v>
      </x:c>
      <x:c r="Z15">
        <x:f t="shared" si="0"/>
        <x:v>1.0000000000000002</x:v>
      </x:c>
      <x:c r="AA15" s="22">
        <x:v>46210</x:v>
      </x:c>
      <x:c r="AB15" t="e">
        <x:f>$AB$11*SUMPRODUCT($B$11:$Y$11,'实盘净值数据(iFinD公式)'!$B$17:$Y$17/'实盘净值数据(iFinD公式)'!$B$13:$Y$13)</x:f>
        <x:v>#NAME?</x:v>
      </x:c>
    </x:row>
    <x:row r="16" ht="14.5">
      <x:c r="A16" s="23" t="s">
        <x:v>135</x:v>
      </x:c>
      <x:c r="B16">
        <x:v>0.103481083555403</x:v>
      </x:c>
      <x:c r="C16">
        <x:v>0.10000326780346599</x:v>
      </x:c>
      <x:c r="D16">
        <x:v>0</x:v>
      </x:c>
      <x:c r="E16">
        <x:v>0</x:v>
      </x:c>
      <x:c r="F16">
        <x:v>3.7057535822370799E-2</x:v>
      </x:c>
      <x:c r="G16">
        <x:v>0</x:v>
      </x:c>
      <x:c r="H16">
        <x:v>1.3306494935067E-2</x:v>
      </x:c>
      <x:c r="I16">
        <x:v>2.94781885716324E-2</x:v>
      </x:c>
      <x:c r="J16">
        <x:v>0</x:v>
      </x:c>
      <x:c r="K16">
        <x:v>3.2319155927703999E-2</x:v>
      </x:c>
      <x:c r="L16">
        <x:v>0</x:v>
      </x:c>
      <x:c r="M16">
        <x:v>3.6532004631774098E-2</x:v>
      </x:c>
      <x:c r="N16">
        <x:v>0</x:v>
      </x:c>
      <x:c r="O16">
        <x:v>3.6934217474570798E-2</x:v>
      </x:c>
      <x:c r="P16">
        <x:v>0</x:v>
      </x:c>
      <x:c r="Q16">
        <x:v>0</x:v>
      </x:c>
      <x:c r="R16">
        <x:v>2.7137905606625799E-2</x:v>
      </x:c>
      <x:c r="S16">
        <x:v>2.70057842412821E-2</x:v>
      </x:c>
      <x:c r="T16">
        <x:v>0</x:v>
      </x:c>
      <x:c r="U16">
        <x:v>1.5624326719431999E-2</x:v>
      </x:c>
      <x:c r="V16">
        <x:v>0</x:v>
      </x:c>
      <x:c r="W16">
        <x:v>3.6380179395524299E-2</x:v>
      </x:c>
      <x:c r="X16">
        <x:v>0.49087376717201098</x:v>
      </x:c>
      <x:c r="Y16">
        <x:v>1.38660881431366E-2</x:v>
      </x:c>
      <x:c r="Z16">
        <x:f t="shared" si="0"/>
        <x:v>0.99999999999999989</x:v>
      </x:c>
      <x:c r="AA16" s="22">
        <x:v>46210</x:v>
      </x:c>
      <x:c r="AB16" t="e">
        <x:f>$AB$13*SUMPRODUCT($B$13:$Y$13,'实盘净值数据(iFinD公式)'!$B$17:$Y$17/'实盘净值数据(iFinD公式)'!$B$13:$Y$13)</x:f>
        <x:v>#NAME?</x:v>
      </x:c>
    </x:row>
    <x:row r="17" ht="14.5">
      <x:c r="A17" s="19" t="s">
        <x:v>136</x:v>
      </x:c>
      <x:c r="B17">
        <x:v>0</x:v>
      </x:c>
      <x:c r="C17">
        <x:v>4.6328032076459101E-2</x:v>
      </x:c>
      <x:c r="D17">
        <x:v>0.16457820614969301</x:v>
      </x:c>
      <x:c r="E17">
        <x:v>0</x:v>
      </x:c>
      <x:c r="F17">
        <x:v>0</x:v>
      </x:c>
      <x:c r="G17">
        <x:v>0</x:v>
      </x:c>
      <x:c r="H17">
        <x:v>0</x:v>
      </x:c>
      <x:c r="I17">
        <x:v>0</x:v>
      </x:c>
      <x:c r="J17">
        <x:v>0.24720581393205801</x:v>
      </x:c>
      <x:c r="K17">
        <x:v>0</x:v>
      </x:c>
      <x:c r="L17">
        <x:v>0</x:v>
      </x:c>
      <x:c r="M17">
        <x:v>0</x:v>
      </x:c>
      <x:c r="N17">
        <x:v>0</x:v>
      </x:c>
      <x:c r="O17">
        <x:v>0</x:v>
      </x:c>
      <x:c r="P17">
        <x:v>0.16397772588060999</x:v>
      </x:c>
      <x:c r="Q17">
        <x:v>0.17265148062140001</x:v>
      </x:c>
      <x:c r="R17">
        <x:v>0</x:v>
      </x:c>
      <x:c r="S17">
        <x:v>0</x:v>
      </x:c>
      <x:c r="T17">
        <x:v>0.13525836599697399</x:v>
      </x:c>
      <x:c r="U17">
        <x:v>0</x:v>
      </x:c>
      <x:c r="V17">
        <x:v>0</x:v>
      </x:c>
      <x:c r="W17">
        <x:v>0</x:v>
      </x:c>
      <x:c r="X17">
        <x:v>0</x:v>
      </x:c>
      <x:c r="Y17">
        <x:v>7.0000375342806606E-2</x:v>
      </x:c>
      <x:c r="Z17">
        <x:f t="shared" si="0"/>
        <x:v>1.0000000000000009</x:v>
      </x:c>
      <x:c r="AA17" s="22">
        <x:v>46213</x:v>
      </x:c>
      <x:c r="AB17" t="e">
        <x:f>SUMPRODUCT($B$5:$Y$5,'实盘净值数据(iFinD公式)'!$B$20:$Y$20/'实盘净值数据(iFinD公式)'!$B$6:$Y$6)</x:f>
        <x:v>#NAME?</x:v>
      </x:c>
    </x:row>
    <x:row r="18" ht="14.5">
      <x:c r="A18" s="19" t="s">
        <x:v>137</x:v>
      </x:c>
      <x:c r="B18">
        <x:v>0</x:v>
      </x:c>
      <x:c r="C18">
        <x:v>4.5293229219309401E-2</x:v>
      </x:c>
      <x:c r="D18">
        <x:v>0.16609479634100499</x:v>
      </x:c>
      <x:c r="E18">
        <x:v>0</x:v>
      </x:c>
      <x:c r="F18">
        <x:v>0</x:v>
      </x:c>
      <x:c r="G18">
        <x:v>0</x:v>
      </x:c>
      <x:c r="H18">
        <x:v>0</x:v>
      </x:c>
      <x:c r="I18">
        <x:v>0</x:v>
      </x:c>
      <x:c r="J18">
        <x:v>0.245429089462296</x:v>
      </x:c>
      <x:c r="K18">
        <x:v>0</x:v>
      </x:c>
      <x:c r="L18">
        <x:v>0</x:v>
      </x:c>
      <x:c r="M18">
        <x:v>0</x:v>
      </x:c>
      <x:c r="N18">
        <x:v>0</x:v>
      </x:c>
      <x:c r="O18">
        <x:v>0</x:v>
      </x:c>
      <x:c r="P18">
        <x:v>0.16384893651891699</x:v>
      </x:c>
      <x:c r="Q18">
        <x:v>0.173430567740403</x:v>
      </x:c>
      <x:c r="R18">
        <x:v>0</x:v>
      </x:c>
      <x:c r="S18">
        <x:v>0</x:v>
      </x:c>
      <x:c r="T18">
        <x:v>0.135903553227429</x:v>
      </x:c>
      <x:c r="U18">
        <x:v>0</x:v>
      </x:c>
      <x:c r="V18">
        <x:v>0</x:v>
      </x:c>
      <x:c r="W18">
        <x:v>0</x:v>
      </x:c>
      <x:c r="X18">
        <x:v>0</x:v>
      </x:c>
      <x:c r="Y18">
        <x:v>6.9999827490640307E-2</x:v>
      </x:c>
      <x:c r="Z18">
        <x:f t="shared" si="0"/>
        <x:v>0.99999999999999956</x:v>
      </x:c>
      <x:c r="AA18" s="22">
        <x:v>46213</x:v>
      </x:c>
      <x:c r="AB18" t="e">
        <x:f>SUMPRODUCT($B$6:$Y$6,'实盘净值数据(iFinD公式)'!$B$20:$Y$20/'实盘净值数据(iFinD公式)'!$B$5:$Y$5)</x:f>
        <x:v>#NAME?</x:v>
      </x:c>
    </x:row>
    <x:row r="19" ht="14.5">
      <x:c r="A19" s="19" t="s">
        <x:v>138</x:v>
      </x:c>
      <x:c r="B19">
        <x:v>0</x:v>
      </x:c>
      <x:c r="C19">
        <x:v>4.37733816458728E-2</x:v>
      </x:c>
      <x:c r="D19">
        <x:v>0</x:v>
      </x:c>
      <x:c r="E19">
        <x:v>0</x:v>
      </x:c>
      <x:c r="F19">
        <x:v>0</x:v>
      </x:c>
      <x:c r="G19">
        <x:v>0</x:v>
      </x:c>
      <x:c r="H19">
        <x:v>0</x:v>
      </x:c>
      <x:c r="I19">
        <x:v>0.189912474874215</x:v>
      </x:c>
      <x:c r="J19">
        <x:v>0</x:v>
      </x:c>
      <x:c r="K19">
        <x:v>0.23432791874005601</x:v>
      </x:c>
      <x:c r="L19">
        <x:v>0</x:v>
      </x:c>
      <x:c r="M19">
        <x:v>0</x:v>
      </x:c>
      <x:c r="N19">
        <x:v>0</x:v>
      </x:c>
      <x:c r="O19">
        <x:v>0</x:v>
      </x:c>
      <x:c r="P19">
        <x:v>0</x:v>
      </x:c>
      <x:c r="Q19">
        <x:v>0</x:v>
      </x:c>
      <x:c r="R19">
        <x:v>0.16876427007536601</x:v>
      </x:c>
      <x:c r="S19">
        <x:v>0.16403375942840701</x:v>
      </x:c>
      <x:c r="T19">
        <x:v>0</x:v>
      </x:c>
      <x:c r="U19">
        <x:v>0.12918858878158801</x:v>
      </x:c>
      <x:c r="V19">
        <x:v>0</x:v>
      </x:c>
      <x:c r="W19">
        <x:v>0</x:v>
      </x:c>
      <x:c r="X19">
        <x:v>0</x:v>
      </x:c>
      <x:c r="Y19">
        <x:v>6.9999606454495295E-2</x:v>
      </x:c>
      <x:c r="Z19">
        <x:f t="shared" si="0"/>
        <x:v>1.0000000000000002</x:v>
      </x:c>
      <x:c r="AA19" s="22">
        <x:v>46213</x:v>
      </x:c>
      <x:c r="AB19" t="e">
        <x:f>SUMPRODUCT($B$7:$Y$7,'实盘净值数据(iFinD公式)'!$B$20:$Y$20/'实盘净值数据(iFinD公式)'!$B$7:$Y$7)</x:f>
        <x:v>#NAME?</x:v>
      </x:c>
    </x:row>
    <x:row r="20" ht="14">
      <x:c r="A20" s="24" t="s">
        <x:v>139</x:v>
      </x:c>
      <x:c r="B20">
        <x:v>5.1393000000000001E-2</x:v>
      </x:c>
      <x:c r="C20">
        <x:v>4.4406000000000001E-2</x:v>
      </x:c>
      <x:c r="D20">
        <x:v>0</x:v>
      </x:c>
      <x:c r="E20">
        <x:v>0</x:v>
      </x:c>
      <x:c r="F20">
        <x:v>1.227E-2</x:v>
      </x:c>
      <x:c r="G20">
        <x:v>0</x:v>
      </x:c>
      <x:c r="H20">
        <x:v>0</x:v>
      </x:c>
      <x:c r="I20">
        <x:v>9.7599999999999996E-3</x:v>
      </x:c>
      <x:c r="J20">
        <x:v>0</x:v>
      </x:c>
      <x:c r="K20">
        <x:v>1.0701E-2</x:v>
      </x:c>
      <x:c r="L20">
        <x:v>0</x:v>
      </x:c>
      <x:c r="M20">
        <x:v>1.2095E-2</x:v>
      </x:c>
      <x:c r="N20">
        <x:v>0</x:v>
      </x:c>
      <x:c r="O20">
        <x:v>1.2229E-2</x:v>
      </x:c>
      <x:c r="P20">
        <x:v>0</x:v>
      </x:c>
      <x:c r="Q20">
        <x:v>0</x:v>
      </x:c>
      <x:c r="R20">
        <x:v>8.9849999999999999E-3</x:v>
      </x:c>
      <x:c r="S20">
        <x:v>8.9409999999999993E-3</x:v>
      </x:c>
      <x:c r="T20">
        <x:v>0</x:v>
      </x:c>
      <x:c r="U20">
        <x:v>5.1729999999999996E-3</x:v>
      </x:c>
      <x:c r="V20">
        <x:v>0</x:v>
      </x:c>
      <x:c r="W20">
        <x:v>1.2045E-2</x:v>
      </x:c>
      <x:c r="X20">
        <x:v>0.80287200000000003</x:v>
      </x:c>
      <x:c r="Y20">
        <x:v>9.1299999999999992E-3</x:v>
      </x:c>
      <x:c r="Z20">
        <x:f t="shared" si="0"/>
        <x:v>1</x:v>
      </x:c>
      <x:c r="AA20" s="25">
        <x:v>46220</x:v>
      </x:c>
      <x:c r="AB20" t="e">
        <x:f>$AB$14*SUMPRODUCT($B$14:$Y$14,'实盘净值数据(iFinD公式)'!$B$25:$Y$25/'实盘净值数据(iFinD公式)'!$B$17:$Y$17)</x:f>
        <x:v>#NAME?</x:v>
      </x:c>
    </x:row>
    <x:row r="21" ht="14">
      <x:c r="A21" s="24" t="s">
        <x:v>140</x:v>
      </x:c>
      <x:c r="B21">
        <x:v>4.9151E-2</x:v>
      </x:c>
      <x:c r="C21">
        <x:v>4.4424999999999999E-2</x:v>
      </x:c>
      <x:c r="D21">
        <x:v>9.0310000000000008E-3</x:v>
      </x:c>
      <x:c r="E21">
        <x:v>1.2304000000000001E-2</x:v>
      </x:c>
      <x:c r="F21">
        <x:v>0</x:v>
      </x:c>
      <x:c r="G21">
        <x:v>0</x:v>
      </x:c>
      <x:c r="H21">
        <x:v>0</x:v>
      </x:c>
      <x:c r="I21">
        <x:v>0</x:v>
      </x:c>
      <x:c r="J21">
        <x:v>1.1856E-2</x:v>
      </x:c>
      <x:c r="K21">
        <x:v>0</x:v>
      </x:c>
      <x:c r="L21">
        <x:v>1.2255E-2</x:v>
      </x:c>
      <x:c r="M21">
        <x:v>0</x:v>
      </x:c>
      <x:c r="N21">
        <x:v>1.2506E-2</x:v>
      </x:c>
      <x:c r="O21">
        <x:v>0</x:v>
      </x:c>
      <x:c r="P21">
        <x:v>8.7600000000000004E-3</x:v>
      </x:c>
      <x:c r="Q21">
        <x:v>9.2540000000000001E-3</x:v>
      </x:c>
      <x:c r="R21">
        <x:v>0</x:v>
      </x:c>
      <x:c r="S21">
        <x:v>0</x:v>
      </x:c>
      <x:c r="T21">
        <x:v>5.594E-3</x:v>
      </x:c>
      <x:c r="U21">
        <x:v>0</x:v>
      </x:c>
      <x:c r="V21">
        <x:v>1.2022E-2</x:v>
      </x:c>
      <x:c r="W21">
        <x:v>0</x:v>
      </x:c>
      <x:c r="X21">
        <x:v>0.80370200000000003</x:v>
      </x:c>
      <x:c r="Y21">
        <x:v>9.1400000000000006E-3</x:v>
      </x:c>
      <x:c r="Z21">
        <x:f t="shared" si="0"/>
        <x:v>1</x:v>
      </x:c>
      <x:c r="AA21" s="25">
        <x:v>46220</x:v>
      </x:c>
      <x:c r="AB21" t="e">
        <x:f>$AB$15*SUMPRODUCT($B$15:$Y$15,'实盘净值数据(iFinD公式)'!$B$25:$Y$25/'实盘净值数据(iFinD公式)'!$B$17:$Y$17)</x:f>
        <x:v>#NAME?</x:v>
      </x:c>
    </x:row>
    <x:row r="22" ht="14">
      <x:c r="A22" s="24" t="s">
        <x:v>141</x:v>
      </x:c>
      <x:c r="B22">
        <x:v>0.103481</x:v>
      </x:c>
      <x:c r="C22">
        <x:v>8.7175000000000002E-2</x:v>
      </x:c>
      <x:c r="D22">
        <x:v>0</x:v>
      </x:c>
      <x:c r="E22">
        <x:v>0</x:v>
      </x:c>
      <x:c r="F22">
        <x:v>3.7058000000000001E-2</x:v>
      </x:c>
      <x:c r="G22">
        <x:v>0</x:v>
      </x:c>
      <x:c r="H22">
        <x:v>0</x:v>
      </x:c>
      <x:c r="I22">
        <x:v>2.9478000000000001E-2</x:v>
      </x:c>
      <x:c r="J22">
        <x:v>0</x:v>
      </x:c>
      <x:c r="K22">
        <x:v>3.2319000000000001E-2</x:v>
      </x:c>
      <x:c r="L22">
        <x:v>0</x:v>
      </x:c>
      <x:c r="M22">
        <x:v>3.6532000000000002E-2</x:v>
      </x:c>
      <x:c r="N22">
        <x:v>0</x:v>
      </x:c>
      <x:c r="O22">
        <x:v>3.6934000000000002E-2</x:v>
      </x:c>
      <x:c r="P22">
        <x:v>0</x:v>
      </x:c>
      <x:c r="Q22">
        <x:v>0</x:v>
      </x:c>
      <x:c r="R22">
        <x:v>2.7137999999999999E-2</x:v>
      </x:c>
      <x:c r="S22">
        <x:v>2.7005999999999999E-2</x:v>
      </x:c>
      <x:c r="T22">
        <x:v>0</x:v>
      </x:c>
      <x:c r="U22">
        <x:v>1.5624000000000001E-2</x:v>
      </x:c>
      <x:c r="V22">
        <x:v>0</x:v>
      </x:c>
      <x:c r="W22">
        <x:v>3.6380000000000003E-2</x:v>
      </x:c>
      <x:c r="X22">
        <x:v>0.50087499999999996</x:v>
      </x:c>
      <x:c r="Y22">
        <x:v>0.03</x:v>
      </x:c>
      <x:c r="Z22">
        <x:f t="shared" si="0"/>
        <x:v>1</x:v>
      </x:c>
      <x:c r="AA22" s="25">
        <x:v>46220</x:v>
      </x:c>
      <x:c r="AB22" t="e">
        <x:f>$AB$16*SUMPRODUCT($B$16:$Y$16,'实盘净值数据(iFinD公式)'!$B$25:$Y$25/'实盘净值数据(iFinD公式)'!$B$17:$Y$17)</x:f>
        <x:v>#NAME?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2.1796875" customWidth="1"/>
    <x:col min="2" max="2" width="15.36328125" customWidth="1"/>
    <x:col min="3" max="3" width="16.453125" customWidth="1"/>
    <x:col min="4" max="4" width="22.453125" customWidth="1"/>
    <x:col min="5" max="5" width="17.36328125" customWidth="1"/>
    <x:col min="6" max="6" width="19.26953125" customWidth="1"/>
    <x:col min="7" max="7" width="15.36328125" customWidth="1"/>
    <x:col min="8" max="8" width="2.1796875" customWidth="1"/>
  </x:cols>
  <x:sheetData>
    <x:row r="2" ht="20.25" customHeight="1">
      <x:c r="B2" s="57" t="s">
        <x:v>142</x:v>
      </x:c>
      <x:c r="C2" s="57"/>
      <x:c r="D2" s="57"/>
      <x:c r="E2" s="57"/>
      <x:c r="F2" s="57"/>
      <x:c r="G2" s="57"/>
    </x:row>
    <x:row r="3" ht="14.25" customHeight="1">
      <x:c r="B3" s="58" t="e">
        <x:f>"买入持有 · 已扣年化费率 "&amp;TEXT(实盘持仓配置!$Z$4,"0.0%")&amp;"（折每日计入净值）"</x:f>
        <x:v>#NAME?</x:v>
      </x:c>
      <x:c r="C3" s="58"/>
      <x:c r="D3" s="58"/>
      <x:c r="E3" s="59" t="e">
        <x:f>"净值日期："&amp;TEXT(LOOKUP(2,1/(实盘组合净值!$B$5:$B$59&lt;&gt;""),实盘组合净值!$A$5:$A$59),"yyyy-mm-dd")</x:f>
        <x:v>#NAME?</x:v>
      </x:c>
      <x:c r="F3" s="59"/>
      <x:c r="G3" s="59"/>
    </x:row>
    <x:row r="5" ht="14">
      <x:c r="B5" s="60" t="s">
        <x:v>143</x:v>
      </x:c>
      <x:c r="C5" s="60"/>
      <x:c r="D5" s="60"/>
      <x:c r="E5" s="60"/>
      <x:c r="F5" s="60"/>
      <x:c r="G5" s="60"/>
    </x:row>
    <x:row r="6" ht="13">
      <x:c r="B6" s="26" t="s">
        <x:v>144</x:v>
      </x:c>
      <x:c r="C6" s="26" t="s">
        <x:v>145</x:v>
      </x:c>
      <x:c r="D6" s="26" t="s">
        <x:v>146</x:v>
      </x:c>
      <x:c r="E6" s="26" t="s">
        <x:v>147</x:v>
      </x:c>
      <x:c r="F6" s="26" t="s">
        <x:v>148</x:v>
      </x:c>
      <x:c r="G6" s="26" t="s">
        <x:v>149</x:v>
      </x:c>
    </x:row>
    <x:row r="7" ht="27.75" customHeight="1">
      <x:c r="B7" s="27" t="e">
        <x:f>LOOKUP(2,1/(实盘组合净值!$B$5:$B$59&lt;&gt;""),实盘组合净值!$B$5:$B$59)</x:f>
        <x:v>#NAME?</x:v>
      </x:c>
      <x:c r="C7" s="28" t="e">
        <x:f>(LOOKUP(2,1/(实盘组合净值!$B$5:$B$59&lt;&gt;""),实盘组合净值!$B$5:$B$59))/1-1</x:f>
        <x:v>#NAME?</x:v>
      </x:c>
      <x:c r="D7" s="28" t="e">
        <x:f>(LOOKUP(2,1/(实盘组合净值!$B$5:$B$59&lt;&gt;""),实盘组合净值!$B$5:$B$59)/1)^(说明!$C$17/MAX(COUNT(实盘组合净值!$C$5:$C$59),1))-1</x:f>
        <x:v>#NAME?</x:v>
      </x:c>
      <x:c r="E7" s="29" t="e">
        <x:f>STDEV(实盘组合净值!$C$5:$C$59)*SQRT(说明!$C$17)</x:f>
        <x:v>#NAME?</x:v>
      </x:c>
      <x:c r="F7" s="28" t="e">
        <x:f>MIN(实盘组合净值!$D$5:$D$59)</x:f>
        <x:v>#NAME?</x:v>
      </x:c>
      <x:c r="G7" s="30" t="e">
        <x: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x:f>
        <x:v>#NAME?</x:v>
      </x:c>
    </x:row>
    <x:row r="9" ht="14">
      <x:c r="B9" s="60" t="s">
        <x:v>150</x:v>
      </x:c>
      <x:c r="C9" s="60"/>
      <x:c r="D9" s="60"/>
      <x:c r="E9" s="60" t="s">
        <x:v>151</x:v>
      </x:c>
      <x:c r="F9" s="60"/>
      <x:c r="G9" s="60"/>
    </x:row>
    <x:row r="10" ht="13.5" customHeight="1">
      <x:c r="B10" s="1" t="s">
        <x:v>152</x:v>
      </x:c>
      <x:c r="C10" s="1" t="s">
        <x:v>145</x:v>
      </x:c>
      <x:c r="D10" s="1" t="s">
        <x:v>146</x:v>
      </x:c>
      <x:c r="E10" s="62" t="s">
        <x:v>153</x:v>
      </x:c>
      <x:c r="F10" s="62"/>
      <x:c r="G10" s="1" t="s">
        <x:v>154</x:v>
      </x:c>
    </x:row>
    <x:row r="11" ht="22.5" customHeight="1">
      <x:c r="B11" s="31" t="s">
        <x:v>155</x:v>
      </x:c>
      <x:c r="C11" s="32" t="e">
        <x:f>IFERROR((LOOKUP(2,1/(实盘组合净值!$B$5:$B$59&lt;&gt;""),实盘组合净值!$B$5:$B$59))/(1)-1,"")</x:f>
        <x:v>#NAME?</x:v>
      </x:c>
      <x:c r="D11" s="32" t="e">
        <x:f>IFERROR((LOOKUP(2,1/(实盘组合净值!$B$5:$B$59&lt;&gt;""),实盘组合净值!$B$5:$B$59)/(1))^(说明!$C$17/COUNT(实盘组合净值!$C$5:$C$59))-1,"")</x:f>
        <x:v>#NAME?</x:v>
      </x:c>
      <x:c r="E11" s="61" t="s">
        <x:v>148</x:v>
      </x:c>
      <x:c r="F11" s="61"/>
      <x:c r="G11" s="32" t="e">
        <x:f>MIN(实盘组合净值!$D$5:$D$59)</x:f>
        <x:v>#NAME?</x:v>
      </x:c>
    </x:row>
    <x:row r="12" ht="22.5" customHeight="1">
      <x:c r="B12" s="33" t="s">
        <x:v>156</x:v>
      </x:c>
      <x:c r="C12" s="32" t="e">
        <x:f>IFERROR((LOOKUP(2,1/(实盘组合净值!$B$5:$B$59&lt;&gt;""),实盘组合净值!$B$5:$B$59))/(IFERROR(LOOKUP(DATE(2026,1,1),实盘组合净值!$A$5:$A$59,实盘组合净值!$B$5:$B$59),1))-1,"")</x:f>
        <x:v>#NAME?</x:v>
      </x:c>
      <x:c r="D12" s="32" t="e">
        <x:f>IFERROR((LOOKUP(2,1/(实盘组合净值!$B$5:$B$59&lt;&gt;""),实盘组合净值!$B$5:$B$59)/(IFERROR(LOOKUP(DATE(2026,1,1),实盘组合净值!$A$5:$A$59,实盘组合净值!$B$5:$B$59),1)))^(说明!$C$17/MAX(COUNTIF(实盘组合净值!$A$5:$A$59,"&gt;="&amp;(DATE(2026,1,1))),1))-1,"")</x:f>
        <x:v>#NAME?</x:v>
      </x:c>
      <x:c r="E12" s="61" t="s">
        <x:v>157</x:v>
      </x:c>
      <x:c r="F12" s="61"/>
      <x:c r="G12" s="34" t="e">
        <x:f>IFERROR((LOOKUP(2,1/(实盘组合净值!$B$5:$B$59&lt;&gt;""),ROW(实盘组合净值!$B$5:$B$59)))-(LOOKUP(2,1/(实盘组合净值!$D$5:$D$59=0),ROW(实盘组合净值!$D$5:$D$59))),"")</x:f>
        <x:v>#NAME?</x:v>
      </x:c>
    </x:row>
    <x:row r="13" ht="22.5" customHeight="1">
      <x:c r="B13" s="31" t="s">
        <x:v>158</x:v>
      </x:c>
      <x:c r="C13" s="32" t="e">
        <x:f>IFERROR((LOOKUP(2,1/(实盘组合净值!$B$5:$B$59&lt;&gt;""),实盘组合净值!$B$5:$B$59))/(IFERROR(LOOKUP(EDATE(LOOKUP(2,1/(实盘组合净值!$B$5:$B$59&lt;&gt;""),实盘组合净值!$A$5:$A$59),-3),实盘组合净值!$A$5:$A$59,实盘组合净值!$B$5:$B$59),1))-1,"")</x:f>
        <x:v>#NAME?</x:v>
      </x:c>
      <x:c r="D13" s="32" t="e">
        <x:f>IFERROR((LOOKUP(2,1/(实盘组合净值!$B$5:$B$59&lt;&gt;""),实盘组合净值!$B$5:$B$59)/(IFERROR(LOOKUP(EDATE(LOOKUP(2,1/(实盘组合净值!$B$5:$B$59&lt;&gt;""),实盘组合净值!$A$5:$A$59),-3),实盘组合净值!$A$5:$A$59,实盘组合净值!$B$5:$B$59),1)))^(说明!$C$17/MAX(COUNTIF(实盘组合净值!$A$5:$A$59,"&gt;="&amp;(EDATE(LOOKUP(2,1/(实盘组合净值!$B$5:$B$59&lt;&gt;""),实盘组合净值!$A$5:$A$59),-3))),1))-1,"")</x:f>
        <x:v>#NAME?</x:v>
      </x:c>
      <x:c r="E13" s="61" t="s">
        <x:v>159</x:v>
      </x:c>
      <x:c r="F13" s="61"/>
      <x:c r="G13" s="35" t="e">
        <x:f>COUNTIF(实盘组合净值!$C$5:$C$59,"&gt;0")/MAX(COUNT(实盘组合净值!$C$5:$C$59),1)</x:f>
        <x:v>#NAME?</x:v>
      </x:c>
    </x:row>
    <x:row r="14" ht="22.5" customHeight="1">
      <x:c r="B14" s="31" t="s">
        <x:v>160</x:v>
      </x:c>
      <x:c r="C14" s="32" t="e">
        <x:f>IFERROR((LOOKUP(2,1/(实盘组合净值!$B$5:$B$59&lt;&gt;""),实盘组合净值!$B$5:$B$59))/(IFERROR(LOOKUP(EDATE(LOOKUP(2,1/(实盘组合净值!$B$5:$B$59&lt;&gt;""),实盘组合净值!$A$5:$A$59),-6),实盘组合净值!$A$5:$A$59,实盘组合净值!$B$5:$B$59),1))-1,"")</x:f>
        <x:v>#NAME?</x:v>
      </x:c>
      <x:c r="D14" s="32" t="e">
        <x:f>IFERROR((LOOKUP(2,1/(实盘组合净值!$B$5:$B$59&lt;&gt;""),实盘组合净值!$B$5:$B$59)/(IFERROR(LOOKUP(EDATE(LOOKUP(2,1/(实盘组合净值!$B$5:$B$59&lt;&gt;""),实盘组合净值!$A$5:$A$59),-6),实盘组合净值!$A$5:$A$59,实盘组合净值!$B$5:$B$59),1)))^(说明!$C$17/MAX(COUNTIF(实盘组合净值!$A$5:$A$59,"&gt;="&amp;(EDATE(LOOKUP(2,1/(实盘组合净值!$B$5:$B$59&lt;&gt;""),实盘组合净值!$A$5:$A$59),-6))),1))-1,"")</x:f>
        <x:v>#NAME?</x:v>
      </x:c>
      <x:c r="E14" s="61" t="s">
        <x:v>147</x:v>
      </x:c>
      <x:c r="F14" s="61"/>
      <x:c r="G14" s="32" t="e">
        <x:f>STDEV(实盘组合净值!$C$5:$C$59)*SQRT(说明!$C$17)</x:f>
        <x:v>#NAME?</x:v>
      </x:c>
    </x:row>
    <x:row r="15" ht="22.5" customHeight="1">
      <x:c r="B15" s="31" t="s">
        <x:v>161</x:v>
      </x:c>
      <x:c r="C15" s="32" t="e">
        <x:f>IFERROR((LOOKUP(2,1/(实盘组合净值!$B$5:$B$59&lt;&gt;""),实盘组合净值!$B$5:$B$59))/(IFERROR(LOOKUP(EDATE(LOOKUP(2,1/(实盘组合净值!$B$5:$B$59&lt;&gt;""),实盘组合净值!$A$5:$A$59),-12),实盘组合净值!$A$5:$A$59,实盘组合净值!$B$5:$B$59),1))-1,"")</x:f>
        <x:v>#NAME?</x:v>
      </x:c>
      <x:c r="D15" s="32" t="e">
        <x:f>IFERROR((LOOKUP(2,1/(实盘组合净值!$B$5:$B$59&lt;&gt;""),实盘组合净值!$B$5:$B$59)/(IFERROR(LOOKUP(EDATE(LOOKUP(2,1/(实盘组合净值!$B$5:$B$59&lt;&gt;""),实盘组合净值!$A$5:$A$59),-12),实盘组合净值!$A$5:$A$59,实盘组合净值!$B$5:$B$59),1)))^(说明!$C$17/MAX(COUNTIF(实盘组合净值!$A$5:$A$59,"&gt;="&amp;(EDATE(LOOKUP(2,1/(实盘组合净值!$B$5:$B$59&lt;&gt;""),实盘组合净值!$A$5:$A$59),-12))),1))-1,"")</x:f>
        <x:v>#NAME?</x:v>
      </x:c>
      <x:c r="E15" s="61" t="s">
        <x:v>149</x:v>
      </x:c>
      <x:c r="F15" s="61"/>
      <x:c r="G15" s="36" t="e">
        <x:f>(((LOOKUP(2,1/(实盘组合净值!$B$5:$B$59&lt;&gt;""),实盘组合净值!$B$5:$B$59)/1)^(说明!$C$17/MAX(COUNT(实盘组合净值!$C$5:$C$59),1))-1)-说明!$C$16)/IF((STDEV(实盘组合净值!$C$5:$C$59)*SQRT(说明!$C$17))=0,"",(STDEV(实盘组合净值!$C$5:$C$59)*SQRT(说明!$C$17)))</x:f>
        <x:v>#NAME?</x:v>
      </x:c>
    </x:row>
    <x:row r="16" ht="22.5" customHeight="1">
      <x:c r="B16" s="37"/>
      <x:c r="C16" s="37"/>
      <x:c r="D16" s="37"/>
      <x:c r="E16" s="61" t="s">
        <x:v>162</x:v>
      </x:c>
      <x:c r="F16" s="61"/>
      <x:c r="G16" s="36" t="e">
        <x:f>IFERROR(((LOOKUP(2,1/(实盘组合净值!$B$5:$B$59&lt;&gt;""),实盘组合净值!$B$5:$B$59)/1)^(说明!$C$17/MAX(COUNT(实盘组合净值!$C$5:$C$59),1))-1)/ABS(MIN(实盘组合净值!$D$5:$D$59)),"")</x:f>
        <x:v>#NAME?</x:v>
      </x:c>
    </x:row>
    <x:row r="18" ht="14">
      <x:c r="B18" s="60" t="s">
        <x:v>163</x:v>
      </x:c>
      <x:c r="C18" s="60"/>
      <x:c r="D18" s="60"/>
      <x:c r="E18" s="60"/>
      <x:c r="F18" s="60"/>
      <x:c r="G18" s="60"/>
    </x:row>
    <x:row r="35" ht="14.25" customHeight="1">
      <x:c r="B35" s="10" t="s">
        <x:v>164</x:v>
      </x:c>
    </x:row>
  </x:sheetData>
  <x:mergeCells>
    <x:mergeCell ref="E15:F15"/>
    <x:mergeCell ref="E16:F16"/>
    <x:mergeCell ref="B18:G18"/>
    <x:mergeCell ref="E10:F10"/>
    <x:mergeCell ref="E11:F11"/>
    <x:mergeCell ref="E12:F12"/>
    <x:mergeCell ref="E13:F13"/>
    <x:mergeCell ref="E14:F14"/>
    <x:mergeCell ref="B2:G2"/>
    <x:mergeCell ref="B3:D3"/>
    <x:mergeCell ref="E3:G3"/>
    <x:mergeCell ref="B5:G5"/>
    <x:mergeCell ref="B9:D9"/>
    <x:mergeCell ref="E9:G9"/>
  </x:mergeCells>
  <x:pageMargins left="0.7" right="0.7" top="0.75" bottom="0.75" header="0.3" footer="0.3"/>
  <x:drawing xmlns:r="http://schemas.openxmlformats.org/officeDocument/2006/relationships" r:id="R893f8be616954c11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2.1796875" customWidth="1"/>
    <x:col min="2" max="2" width="15.36328125" customWidth="1"/>
    <x:col min="3" max="3" width="19.36328125" customWidth="1"/>
    <x:col min="4" max="4" width="21.453125" customWidth="1"/>
    <x:col min="5" max="5" width="17.36328125" customWidth="1"/>
    <x:col min="6" max="6" width="19.26953125" customWidth="1"/>
    <x:col min="7" max="7" width="18.26953125" customWidth="1"/>
    <x:col min="8" max="8" width="2.1796875" customWidth="1"/>
  </x:cols>
  <x:sheetData>
    <x:row r="2" ht="20.25" customHeight="1">
      <x:c r="B2" s="57" t="s">
        <x:v>165</x:v>
      </x:c>
      <x:c r="C2" s="57"/>
      <x:c r="D2" s="57"/>
      <x:c r="E2" s="57"/>
      <x:c r="F2" s="57"/>
      <x:c r="G2" s="57"/>
    </x:row>
    <x:row r="3" ht="14.25" customHeight="1">
      <x:c r="B3" s="58" t="e">
        <x:f>"买入持有 · 已扣年化费率 "&amp;TEXT(实盘持仓配置!$Z$5,"0.0%")&amp;"（折每日计入净值）"</x:f>
        <x:v>#NAME?</x:v>
      </x:c>
      <x:c r="C3" s="58"/>
      <x:c r="D3" s="58"/>
      <x:c r="E3" s="59" t="e">
        <x:f>"净值日期："&amp;TEXT(LOOKUP(2,1/(实盘组合净值!$E$5:$E$59&lt;&gt;""),实盘组合净值!$A$5:$A$59),"yyyy-mm-dd")</x:f>
        <x:v>#NAME?</x:v>
      </x:c>
      <x:c r="F3" s="59"/>
      <x:c r="G3" s="59"/>
    </x:row>
    <x:row r="5" ht="14">
      <x:c r="B5" s="60" t="s">
        <x:v>143</x:v>
      </x:c>
      <x:c r="C5" s="60"/>
      <x:c r="D5" s="60"/>
      <x:c r="E5" s="60"/>
      <x:c r="F5" s="60"/>
      <x:c r="G5" s="60"/>
    </x:row>
    <x:row r="6" ht="13">
      <x:c r="B6" s="26" t="s">
        <x:v>144</x:v>
      </x:c>
      <x:c r="C6" s="26" t="s">
        <x:v>145</x:v>
      </x:c>
      <x:c r="D6" s="26" t="s">
        <x:v>146</x:v>
      </x:c>
      <x:c r="E6" s="26" t="s">
        <x:v>147</x:v>
      </x:c>
      <x:c r="F6" s="26" t="s">
        <x:v>148</x:v>
      </x:c>
      <x:c r="G6" s="26" t="s">
        <x:v>149</x:v>
      </x:c>
    </x:row>
    <x:row r="7" ht="27.75" customHeight="1">
      <x:c r="B7" s="27" t="e">
        <x:f>LOOKUP(2,1/(实盘组合净值!$E$5:$E$59&lt;&gt;""),实盘组合净值!$E$5:$E$59)</x:f>
        <x:v>#NAME?</x:v>
      </x:c>
      <x:c r="C7" s="28" t="e">
        <x:f>(LOOKUP(2,1/(实盘组合净值!$E$5:$E$59&lt;&gt;""),实盘组合净值!$E$5:$E$59))/1-1</x:f>
        <x:v>#NAME?</x:v>
      </x:c>
      <x:c r="D7" s="28" t="e">
        <x:f>(LOOKUP(2,1/(实盘组合净值!$E$5:$E$59&lt;&gt;""),实盘组合净值!$E$5:$E$59)/1)^(说明!$C$17/MAX(COUNT(实盘组合净值!$F$5:$F$59),1))-1</x:f>
        <x:v>#NAME?</x:v>
      </x:c>
      <x:c r="E7" s="29" t="e">
        <x:f>STDEV(实盘组合净值!$F$5:$F$59)*SQRT(说明!$C$17)</x:f>
        <x:v>#NAME?</x:v>
      </x:c>
      <x:c r="F7" s="28" t="e">
        <x:f>MIN(实盘组合净值!$G$5:$G$59)</x:f>
        <x:v>#NAME?</x:v>
      </x:c>
      <x:c r="G7" s="30" t="e">
        <x: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x:f>
        <x:v>#NAME?</x:v>
      </x:c>
    </x:row>
    <x:row r="9" ht="14">
      <x:c r="B9" s="60" t="s">
        <x:v>150</x:v>
      </x:c>
      <x:c r="C9" s="60"/>
      <x:c r="D9" s="60"/>
      <x:c r="E9" s="60" t="s">
        <x:v>151</x:v>
      </x:c>
      <x:c r="F9" s="60"/>
      <x:c r="G9" s="60"/>
    </x:row>
    <x:row r="10" ht="13.5" customHeight="1">
      <x:c r="B10" s="1" t="s">
        <x:v>152</x:v>
      </x:c>
      <x:c r="C10" s="1" t="s">
        <x:v>145</x:v>
      </x:c>
      <x:c r="D10" s="1" t="s">
        <x:v>146</x:v>
      </x:c>
      <x:c r="E10" s="62" t="s">
        <x:v>153</x:v>
      </x:c>
      <x:c r="F10" s="62"/>
      <x:c r="G10" s="1" t="s">
        <x:v>154</x:v>
      </x:c>
    </x:row>
    <x:row r="11" ht="22.5" customHeight="1">
      <x:c r="B11" s="31" t="s">
        <x:v>155</x:v>
      </x:c>
      <x:c r="C11" s="32" t="e">
        <x:f>IFERROR((LOOKUP(2,1/(实盘组合净值!$E$5:$E$59&lt;&gt;""),实盘组合净值!$E$5:$E$59))/(1)-1,"")</x:f>
        <x:v>#NAME?</x:v>
      </x:c>
      <x:c r="D11" s="32" t="e">
        <x:f>IFERROR((LOOKUP(2,1/(实盘组合净值!$E$5:$E$59&lt;&gt;""),实盘组合净值!$E$5:$E$59)/(1))^(说明!$C$17/COUNT(实盘组合净值!$F$5:$F$59))-1,"")</x:f>
        <x:v>#NAME?</x:v>
      </x:c>
      <x:c r="E11" s="61" t="s">
        <x:v>148</x:v>
      </x:c>
      <x:c r="F11" s="61"/>
      <x:c r="G11" s="32" t="e">
        <x:f>MIN(实盘组合净值!$G$5:$G$59)</x:f>
        <x:v>#NAME?</x:v>
      </x:c>
    </x:row>
    <x:row r="12" ht="22.5" customHeight="1">
      <x:c r="B12" s="33" t="s">
        <x:v>156</x:v>
      </x:c>
      <x:c r="C12" s="32" t="e">
        <x:f>IFERROR((LOOKUP(2,1/(实盘组合净值!$E$5:$E$59&lt;&gt;""),实盘组合净值!$E$5:$E$59))/(IFERROR(LOOKUP(DATE(2026,1,1),实盘组合净值!$A$5:$A$59,实盘组合净值!$E$5:$E$59),1))-1,"")</x:f>
        <x:v>#NAME?</x:v>
      </x:c>
      <x:c r="D12" s="32" t="e">
        <x:f>IFERROR((LOOKUP(2,1/(实盘组合净值!$E$5:$E$59&lt;&gt;""),实盘组合净值!$E$5:$E$59)/(IFERROR(LOOKUP(DATE(2026,1,1),实盘组合净值!$A$5:$A$59,实盘组合净值!$E$5:$E$59),1)))^(说明!$C$17/MAX(COUNTIF(实盘组合净值!$A$5:$A$59,"&gt;="&amp;(DATE(2026,1,1))),1))-1,"")</x:f>
        <x:v>#NAME?</x:v>
      </x:c>
      <x:c r="E12" s="61" t="s">
        <x:v>157</x:v>
      </x:c>
      <x:c r="F12" s="61"/>
      <x:c r="G12" s="34" t="e">
        <x:f>IFERROR((LOOKUP(2,1/(实盘组合净值!$E$5:$E$59&lt;&gt;""),ROW(实盘组合净值!$E$5:$E$59)))-(LOOKUP(2,1/(实盘组合净值!$G$5:$G$59=0),ROW(实盘组合净值!$G$5:$G$59))),"")</x:f>
        <x:v>#NAME?</x:v>
      </x:c>
    </x:row>
    <x:row r="13" ht="22.5" customHeight="1">
      <x:c r="B13" s="31" t="s">
        <x:v>158</x:v>
      </x:c>
      <x:c r="C13" s="32" t="e">
        <x:f>IFERROR((LOOKUP(2,1/(实盘组合净值!$E$5:$E$59&lt;&gt;""),实盘组合净值!$E$5:$E$59))/(IFERROR(LOOKUP(EDATE(LOOKUP(2,1/(实盘组合净值!$E$5:$E$59&lt;&gt;""),实盘组合净值!$A$5:$A$59),-3),实盘组合净值!$A$5:$A$59,实盘组合净值!$E$5:$E$59),1))-1,"")</x:f>
        <x:v>#NAME?</x:v>
      </x:c>
      <x:c r="D13" s="32" t="e">
        <x:f>IFERROR((LOOKUP(2,1/(实盘组合净值!$E$5:$E$59&lt;&gt;""),实盘组合净值!$E$5:$E$59)/(IFERROR(LOOKUP(EDATE(LOOKUP(2,1/(实盘组合净值!$E$5:$E$59&lt;&gt;""),实盘组合净值!$A$5:$A$59),-3),实盘组合净值!$A$5:$A$59,实盘组合净值!$E$5:$E$59),1)))^(说明!$C$17/MAX(COUNTIF(实盘组合净值!$A$5:$A$59,"&gt;="&amp;(EDATE(LOOKUP(2,1/(实盘组合净值!$E$5:$E$59&lt;&gt;""),实盘组合净值!$A$5:$A$59),-3))),1))-1,"")</x:f>
        <x:v>#NAME?</x:v>
      </x:c>
      <x:c r="E13" s="61" t="s">
        <x:v>159</x:v>
      </x:c>
      <x:c r="F13" s="61"/>
      <x:c r="G13" s="35" t="e">
        <x:f>COUNTIF(实盘组合净值!$F$5:$F$59,"&gt;0")/MAX(COUNT(实盘组合净值!$F$5:$F$59),1)</x:f>
        <x:v>#NAME?</x:v>
      </x:c>
    </x:row>
    <x:row r="14" ht="22.5" customHeight="1">
      <x:c r="B14" s="31" t="s">
        <x:v>160</x:v>
      </x:c>
      <x:c r="C14" s="32" t="e">
        <x:f>IFERROR((LOOKUP(2,1/(实盘组合净值!$E$5:$E$59&lt;&gt;""),实盘组合净值!$E$5:$E$59))/(IFERROR(LOOKUP(EDATE(LOOKUP(2,1/(实盘组合净值!$E$5:$E$59&lt;&gt;""),实盘组合净值!$A$5:$A$59),-6),实盘组合净值!$A$5:$A$59,实盘组合净值!$E$5:$E$59),1))-1,"")</x:f>
        <x:v>#NAME?</x:v>
      </x:c>
      <x:c r="D14" s="32" t="e">
        <x:f>IFERROR((LOOKUP(2,1/(实盘组合净值!$E$5:$E$59&lt;&gt;""),实盘组合净值!$E$5:$E$59)/(IFERROR(LOOKUP(EDATE(LOOKUP(2,1/(实盘组合净值!$E$5:$E$59&lt;&gt;""),实盘组合净值!$A$5:$A$59),-6),实盘组合净值!$A$5:$A$59,实盘组合净值!$E$5:$E$59),1)))^(说明!$C$17/MAX(COUNTIF(实盘组合净值!$A$5:$A$59,"&gt;="&amp;(EDATE(LOOKUP(2,1/(实盘组合净值!$E$5:$E$59&lt;&gt;""),实盘组合净值!$A$5:$A$59),-6))),1))-1,"")</x:f>
        <x:v>#NAME?</x:v>
      </x:c>
      <x:c r="E14" s="61" t="s">
        <x:v>147</x:v>
      </x:c>
      <x:c r="F14" s="61"/>
      <x:c r="G14" s="32" t="e">
        <x:f>STDEV(实盘组合净值!$F$5:$F$59)*SQRT(说明!$C$17)</x:f>
        <x:v>#NAME?</x:v>
      </x:c>
    </x:row>
    <x:row r="15" ht="22.5" customHeight="1">
      <x:c r="B15" s="31" t="s">
        <x:v>161</x:v>
      </x:c>
      <x:c r="C15" s="32" t="e">
        <x:f>IFERROR((LOOKUP(2,1/(实盘组合净值!$E$5:$E$59&lt;&gt;""),实盘组合净值!$E$5:$E$59))/(IFERROR(LOOKUP(EDATE(LOOKUP(2,1/(实盘组合净值!$E$5:$E$59&lt;&gt;""),实盘组合净值!$A$5:$A$59),-12),实盘组合净值!$A$5:$A$59,实盘组合净值!$E$5:$E$59),1))-1,"")</x:f>
        <x:v>#NAME?</x:v>
      </x:c>
      <x:c r="D15" s="32" t="e">
        <x:f>IFERROR((LOOKUP(2,1/(实盘组合净值!$E$5:$E$59&lt;&gt;""),实盘组合净值!$E$5:$E$59)/(IFERROR(LOOKUP(EDATE(LOOKUP(2,1/(实盘组合净值!$E$5:$E$59&lt;&gt;""),实盘组合净值!$A$5:$A$59),-12),实盘组合净值!$A$5:$A$59,实盘组合净值!$E$5:$E$59),1)))^(说明!$C$17/MAX(COUNTIF(实盘组合净值!$A$5:$A$59,"&gt;="&amp;(EDATE(LOOKUP(2,1/(实盘组合净值!$E$5:$E$59&lt;&gt;""),实盘组合净值!$A$5:$A$59),-12))),1))-1,"")</x:f>
        <x:v>#NAME?</x:v>
      </x:c>
      <x:c r="E15" s="61" t="s">
        <x:v>149</x:v>
      </x:c>
      <x:c r="F15" s="61"/>
      <x:c r="G15" s="36" t="e">
        <x:f>(((LOOKUP(2,1/(实盘组合净值!$E$5:$E$59&lt;&gt;""),实盘组合净值!$E$5:$E$59)/1)^(说明!$C$17/MAX(COUNT(实盘组合净值!$F$5:$F$59),1))-1)-说明!$C$16)/IF((STDEV(实盘组合净值!$F$5:$F$59)*SQRT(说明!$C$17))=0,"",(STDEV(实盘组合净值!$F$5:$F$59)*SQRT(说明!$C$17)))</x:f>
        <x:v>#NAME?</x:v>
      </x:c>
    </x:row>
    <x:row r="16" ht="22.5" customHeight="1">
      <x:c r="B16" s="37"/>
      <x:c r="C16" s="37"/>
      <x:c r="D16" s="37"/>
      <x:c r="E16" s="61" t="s">
        <x:v>162</x:v>
      </x:c>
      <x:c r="F16" s="61"/>
      <x:c r="G16" s="36" t="e">
        <x:f>IFERROR(((LOOKUP(2,1/(实盘组合净值!$E$5:$E$59&lt;&gt;""),实盘组合净值!$E$5:$E$59)/1)^(说明!$C$17/MAX(COUNT(实盘组合净值!$F$5:$F$59),1))-1)/ABS(MIN(实盘组合净值!$G$5:$G$59)),"")</x:f>
        <x:v>#NAME?</x:v>
      </x:c>
    </x:row>
    <x:row r="18" ht="14">
      <x:c r="B18" s="60" t="s">
        <x:v>163</x:v>
      </x:c>
      <x:c r="C18" s="60"/>
      <x:c r="D18" s="60"/>
      <x:c r="E18" s="60"/>
      <x:c r="F18" s="60"/>
      <x:c r="G18" s="60"/>
    </x:row>
    <x:row r="35" ht="14.25" customHeight="1">
      <x:c r="B35" s="10" t="s">
        <x:v>164</x:v>
      </x:c>
    </x:row>
  </x:sheetData>
  <x:mergeCells>
    <x:mergeCell ref="E15:F15"/>
    <x:mergeCell ref="E16:F16"/>
    <x:mergeCell ref="B18:G18"/>
    <x:mergeCell ref="E10:F10"/>
    <x:mergeCell ref="E11:F11"/>
    <x:mergeCell ref="E12:F12"/>
    <x:mergeCell ref="E13:F13"/>
    <x:mergeCell ref="E14:F14"/>
    <x:mergeCell ref="B2:G2"/>
    <x:mergeCell ref="B3:D3"/>
    <x:mergeCell ref="E3:G3"/>
    <x:mergeCell ref="B5:G5"/>
    <x:mergeCell ref="B9:D9"/>
    <x:mergeCell ref="E9:G9"/>
  </x:mergeCells>
  <x:pageMargins left="0.7" right="0.7" top="0.75" bottom="0.75" header="0.3" footer="0.3"/>
  <x:drawing xmlns:r="http://schemas.openxmlformats.org/officeDocument/2006/relationships" r:id="Rdbffff788b9c4c70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2.1796875" customWidth="1"/>
    <x:col min="2" max="2" width="15.36328125" customWidth="1"/>
    <x:col min="3" max="3" width="16.453125" customWidth="1"/>
    <x:col min="4" max="4" width="27.26953125" customWidth="1"/>
    <x:col min="5" max="5" width="17.36328125" customWidth="1"/>
    <x:col min="6" max="6" width="19.26953125" customWidth="1"/>
    <x:col min="7" max="7" width="19.08984375" customWidth="1"/>
    <x:col min="8" max="8" width="2.1796875" customWidth="1"/>
  </x:cols>
  <x:sheetData>
    <x:row r="2" ht="20.25" customHeight="1">
      <x:c r="B2" s="57" t="s">
        <x:v>166</x:v>
      </x:c>
      <x:c r="C2" s="57"/>
      <x:c r="D2" s="57"/>
      <x:c r="E2" s="57"/>
      <x:c r="F2" s="57"/>
      <x:c r="G2" s="57"/>
    </x:row>
    <x:row r="3" ht="14.25" customHeight="1">
      <x:c r="B3" s="58" t="e">
        <x:f>"买入持有 · 已扣年化费率 "&amp;TEXT(实盘持仓配置!$Z$6,"0.0%")&amp;"（折每日计入净值）"</x:f>
        <x:v>#NAME?</x:v>
      </x:c>
      <x:c r="C3" s="58"/>
      <x:c r="D3" s="58"/>
      <x:c r="E3" s="59" t="e">
        <x:f>"净值日期："&amp;TEXT(LOOKUP(2,1/(实盘组合净值!$H$5:$H$59&lt;&gt;""),实盘组合净值!$A$5:$A$59),"yyyy-mm-dd")</x:f>
        <x:v>#NAME?</x:v>
      </x:c>
      <x:c r="F3" s="59"/>
      <x:c r="G3" s="59"/>
    </x:row>
    <x:row r="5" ht="14">
      <x:c r="B5" s="60" t="s">
        <x:v>143</x:v>
      </x:c>
      <x:c r="C5" s="60"/>
      <x:c r="D5" s="60"/>
      <x:c r="E5" s="60"/>
      <x:c r="F5" s="60"/>
      <x:c r="G5" s="60"/>
    </x:row>
    <x:row r="6" ht="13">
      <x:c r="B6" s="26" t="s">
        <x:v>144</x:v>
      </x:c>
      <x:c r="C6" s="26" t="s">
        <x:v>145</x:v>
      </x:c>
      <x:c r="D6" s="26" t="s">
        <x:v>146</x:v>
      </x:c>
      <x:c r="E6" s="26" t="s">
        <x:v>147</x:v>
      </x:c>
      <x:c r="F6" s="26" t="s">
        <x:v>148</x:v>
      </x:c>
      <x:c r="G6" s="26" t="s">
        <x:v>149</x:v>
      </x:c>
    </x:row>
    <x:row r="7" ht="27.75" customHeight="1">
      <x:c r="B7" s="27" t="e">
        <x:f>LOOKUP(2,1/(实盘组合净值!$H$5:$H$59&lt;&gt;""),实盘组合净值!$H$5:$H$59)</x:f>
        <x:v>#NAME?</x:v>
      </x:c>
      <x:c r="C7" s="28" t="e">
        <x:f>(LOOKUP(2,1/(实盘组合净值!$H$5:$H$59&lt;&gt;""),实盘组合净值!$H$5:$H$59))/1-1</x:f>
        <x:v>#NAME?</x:v>
      </x:c>
      <x:c r="D7" s="28" t="e">
        <x:f>(LOOKUP(2,1/(实盘组合净值!$H$5:$H$59&lt;&gt;""),实盘组合净值!$H$5:$H$59)/1)^(说明!$C$17/MAX(COUNT(实盘组合净值!$I$5:$I$59),1))-1</x:f>
        <x:v>#NAME?</x:v>
      </x:c>
      <x:c r="E7" s="29" t="e">
        <x:f>STDEV(实盘组合净值!$I$5:$I$59)*SQRT(说明!$C$17)</x:f>
        <x:v>#NAME?</x:v>
      </x:c>
      <x:c r="F7" s="28" t="e">
        <x:f>MIN(实盘组合净值!$J$5:$J$59)</x:f>
        <x:v>#NAME?</x:v>
      </x:c>
      <x:c r="G7" s="30" t="e">
        <x: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x:f>
        <x:v>#NAME?</x:v>
      </x:c>
    </x:row>
    <x:row r="9" ht="14">
      <x:c r="B9" s="60" t="s">
        <x:v>150</x:v>
      </x:c>
      <x:c r="C9" s="60"/>
      <x:c r="D9" s="60"/>
      <x:c r="E9" s="60" t="s">
        <x:v>151</x:v>
      </x:c>
      <x:c r="F9" s="60"/>
      <x:c r="G9" s="60"/>
    </x:row>
    <x:row r="10" ht="13.5" customHeight="1">
      <x:c r="B10" s="1" t="s">
        <x:v>152</x:v>
      </x:c>
      <x:c r="C10" s="1" t="s">
        <x:v>145</x:v>
      </x:c>
      <x:c r="D10" s="1" t="s">
        <x:v>146</x:v>
      </x:c>
      <x:c r="E10" s="62" t="s">
        <x:v>153</x:v>
      </x:c>
      <x:c r="F10" s="62"/>
      <x:c r="G10" s="1" t="s">
        <x:v>154</x:v>
      </x:c>
    </x:row>
    <x:row r="11" ht="22.5" customHeight="1">
      <x:c r="B11" s="31" t="s">
        <x:v>155</x:v>
      </x:c>
      <x:c r="C11" s="32" t="e">
        <x:f>IFERROR((LOOKUP(2,1/(实盘组合净值!$H$5:$H$59&lt;&gt;""),实盘组合净值!$H$5:$H$59))/(1)-1,"")</x:f>
        <x:v>#NAME?</x:v>
      </x:c>
      <x:c r="D11" s="32" t="e">
        <x:f>IFERROR((LOOKUP(2,1/(实盘组合净值!$H$5:$H$59&lt;&gt;""),实盘组合净值!$H$5:$H$59)/(1))^(说明!$C$17/COUNT(实盘组合净值!$I$5:$I$59))-1,"")</x:f>
        <x:v>#NAME?</x:v>
      </x:c>
      <x:c r="E11" s="61" t="s">
        <x:v>148</x:v>
      </x:c>
      <x:c r="F11" s="61"/>
      <x:c r="G11" s="32" t="e">
        <x:f>MIN(实盘组合净值!$J$5:$J$59)</x:f>
        <x:v>#NAME?</x:v>
      </x:c>
    </x:row>
    <x:row r="12" ht="22.5" customHeight="1">
      <x:c r="B12" s="33" t="s">
        <x:v>156</x:v>
      </x:c>
      <x:c r="C12" s="32" t="e">
        <x:f>IFERROR((LOOKUP(2,1/(实盘组合净值!$H$5:$H$59&lt;&gt;""),实盘组合净值!$H$5:$H$59))/(IFERROR(LOOKUP(DATE(2026,1,1),实盘组合净值!$A$5:$A$59,实盘组合净值!$H$5:$H$59),1))-1,"")</x:f>
        <x:v>#NAME?</x:v>
      </x:c>
      <x:c r="D12" s="32" t="e">
        <x:f>IFERROR((LOOKUP(2,1/(实盘组合净值!$H$5:$H$59&lt;&gt;""),实盘组合净值!$H$5:$H$59)/(IFERROR(LOOKUP(DATE(2026,1,1),实盘组合净值!$A$5:$A$59,实盘组合净值!$H$5:$H$59),1)))^(说明!$C$17/MAX(COUNTIF(实盘组合净值!$A$5:$A$59,"&gt;="&amp;(DATE(2026,1,1))),1))-1,"")</x:f>
        <x:v>#NAME?</x:v>
      </x:c>
      <x:c r="E12" s="61" t="s">
        <x:v>157</x:v>
      </x:c>
      <x:c r="F12" s="61"/>
      <x:c r="G12" s="34" t="e">
        <x:f>IFERROR((LOOKUP(2,1/(实盘组合净值!$H$5:$H$59&lt;&gt;""),ROW(实盘组合净值!$H$5:$H$59)))-(LOOKUP(2,1/(实盘组合净值!$J$5:$J$59=0),ROW(实盘组合净值!$J$5:$J$59))),"")</x:f>
        <x:v>#NAME?</x:v>
      </x:c>
    </x:row>
    <x:row r="13" ht="22.5" customHeight="1">
      <x:c r="B13" s="31" t="s">
        <x:v>158</x:v>
      </x:c>
      <x:c r="C13" s="32" t="e">
        <x:f>IFERROR((LOOKUP(2,1/(实盘组合净值!$H$5:$H$59&lt;&gt;""),实盘组合净值!$H$5:$H$59))/(IFERROR(LOOKUP(EDATE(LOOKUP(2,1/(实盘组合净值!$H$5:$H$59&lt;&gt;""),实盘组合净值!$A$5:$A$59),-3),实盘组合净值!$A$5:$A$59,实盘组合净值!$H$5:$H$59),1))-1,"")</x:f>
        <x:v>#NAME?</x:v>
      </x:c>
      <x:c r="D13" s="32" t="e">
        <x:f>IFERROR((LOOKUP(2,1/(实盘组合净值!$H$5:$H$59&lt;&gt;""),实盘组合净值!$H$5:$H$59)/(IFERROR(LOOKUP(EDATE(LOOKUP(2,1/(实盘组合净值!$H$5:$H$59&lt;&gt;""),实盘组合净值!$A$5:$A$59),-3),实盘组合净值!$A$5:$A$59,实盘组合净值!$H$5:$H$59),1)))^(说明!$C$17/MAX(COUNTIF(实盘组合净值!$A$5:$A$59,"&gt;="&amp;(EDATE(LOOKUP(2,1/(实盘组合净值!$H$5:$H$59&lt;&gt;""),实盘组合净值!$A$5:$A$59),-3))),1))-1,"")</x:f>
        <x:v>#NAME?</x:v>
      </x:c>
      <x:c r="E13" s="61" t="s">
        <x:v>159</x:v>
      </x:c>
      <x:c r="F13" s="61"/>
      <x:c r="G13" s="35" t="e">
        <x:f>COUNTIF(实盘组合净值!$I$5:$I$59,"&gt;0")/MAX(COUNT(实盘组合净值!$I$5:$I$59),1)</x:f>
        <x:v>#NAME?</x:v>
      </x:c>
    </x:row>
    <x:row r="14" ht="22.5" customHeight="1">
      <x:c r="B14" s="31" t="s">
        <x:v>160</x:v>
      </x:c>
      <x:c r="C14" s="32" t="e">
        <x:f>IFERROR((LOOKUP(2,1/(实盘组合净值!$H$5:$H$59&lt;&gt;""),实盘组合净值!$H$5:$H$59))/(IFERROR(LOOKUP(EDATE(LOOKUP(2,1/(实盘组合净值!$H$5:$H$59&lt;&gt;""),实盘组合净值!$A$5:$A$59),-6),实盘组合净值!$A$5:$A$59,实盘组合净值!$H$5:$H$59),1))-1,"")</x:f>
        <x:v>#NAME?</x:v>
      </x:c>
      <x:c r="D14" s="32" t="e">
        <x:f>IFERROR((LOOKUP(2,1/(实盘组合净值!$H$5:$H$59&lt;&gt;""),实盘组合净值!$H$5:$H$59)/(IFERROR(LOOKUP(EDATE(LOOKUP(2,1/(实盘组合净值!$H$5:$H$59&lt;&gt;""),实盘组合净值!$A$5:$A$59),-6),实盘组合净值!$A$5:$A$59,实盘组合净值!$H$5:$H$59),1)))^(说明!$C$17/MAX(COUNTIF(实盘组合净值!$A$5:$A$59,"&gt;="&amp;(EDATE(LOOKUP(2,1/(实盘组合净值!$H$5:$H$59&lt;&gt;""),实盘组合净值!$A$5:$A$59),-6))),1))-1,"")</x:f>
        <x:v>#NAME?</x:v>
      </x:c>
      <x:c r="E14" s="61" t="s">
        <x:v>147</x:v>
      </x:c>
      <x:c r="F14" s="61"/>
      <x:c r="G14" s="32" t="e">
        <x:f>STDEV(实盘组合净值!$I$5:$I$59)*SQRT(说明!$C$17)</x:f>
        <x:v>#NAME?</x:v>
      </x:c>
    </x:row>
    <x:row r="15" ht="22.5" customHeight="1">
      <x:c r="B15" s="31" t="s">
        <x:v>161</x:v>
      </x:c>
      <x:c r="C15" s="32" t="e">
        <x:f>IFERROR((LOOKUP(2,1/(实盘组合净值!$H$5:$H$59&lt;&gt;""),实盘组合净值!$H$5:$H$59))/(IFERROR(LOOKUP(EDATE(LOOKUP(2,1/(实盘组合净值!$H$5:$H$59&lt;&gt;""),实盘组合净值!$A$5:$A$59),-12),实盘组合净值!$A$5:$A$59,实盘组合净值!$H$5:$H$59),1))-1,"")</x:f>
        <x:v>#NAME?</x:v>
      </x:c>
      <x:c r="D15" s="32" t="e">
        <x:f>IFERROR((LOOKUP(2,1/(实盘组合净值!$H$5:$H$59&lt;&gt;""),实盘组合净值!$H$5:$H$59)/(IFERROR(LOOKUP(EDATE(LOOKUP(2,1/(实盘组合净值!$H$5:$H$59&lt;&gt;""),实盘组合净值!$A$5:$A$59),-12),实盘组合净值!$A$5:$A$59,实盘组合净值!$H$5:$H$59),1)))^(说明!$C$17/MAX(COUNTIF(实盘组合净值!$A$5:$A$59,"&gt;="&amp;(EDATE(LOOKUP(2,1/(实盘组合净值!$H$5:$H$59&lt;&gt;""),实盘组合净值!$A$5:$A$59),-12))),1))-1,"")</x:f>
        <x:v>#NAME?</x:v>
      </x:c>
      <x:c r="E15" s="61" t="s">
        <x:v>149</x:v>
      </x:c>
      <x:c r="F15" s="61"/>
      <x:c r="G15" s="36" t="e">
        <x:f>(((LOOKUP(2,1/(实盘组合净值!$H$5:$H$59&lt;&gt;""),实盘组合净值!$H$5:$H$59)/1)^(说明!$C$17/MAX(COUNT(实盘组合净值!$I$5:$I$59),1))-1)-说明!$C$16)/IF((STDEV(实盘组合净值!$I$5:$I$59)*SQRT(说明!$C$17))=0,"",(STDEV(实盘组合净值!$I$5:$I$59)*SQRT(说明!$C$17)))</x:f>
        <x:v>#NAME?</x:v>
      </x:c>
    </x:row>
    <x:row r="16" ht="22.5" customHeight="1">
      <x:c r="B16" s="37"/>
      <x:c r="C16" s="37"/>
      <x:c r="D16" s="37"/>
      <x:c r="E16" s="61" t="s">
        <x:v>162</x:v>
      </x:c>
      <x:c r="F16" s="61"/>
      <x:c r="G16" s="36" t="e">
        <x:f>IFERROR(((LOOKUP(2,1/(实盘组合净值!$H$5:$H$59&lt;&gt;""),实盘组合净值!$H$5:$H$59)/1)^(说明!$C$17/MAX(COUNT(实盘组合净值!$I$5:$I$59),1))-1)/ABS(MIN(实盘组合净值!$J$5:$J$59)),"")</x:f>
        <x:v>#NAME?</x:v>
      </x:c>
    </x:row>
    <x:row r="18" ht="14">
      <x:c r="B18" s="60" t="s">
        <x:v>163</x:v>
      </x:c>
      <x:c r="C18" s="60"/>
      <x:c r="D18" s="60"/>
      <x:c r="E18" s="60"/>
      <x:c r="F18" s="60"/>
      <x:c r="G18" s="60"/>
    </x:row>
    <x:row r="35" ht="14.25" customHeight="1">
      <x:c r="B35" s="10" t="s">
        <x:v>164</x:v>
      </x:c>
    </x:row>
  </x:sheetData>
  <x:mergeCells>
    <x:mergeCell ref="E15:F15"/>
    <x:mergeCell ref="E16:F16"/>
    <x:mergeCell ref="B18:G18"/>
    <x:mergeCell ref="E10:F10"/>
    <x:mergeCell ref="E11:F11"/>
    <x:mergeCell ref="E12:F12"/>
    <x:mergeCell ref="E13:F13"/>
    <x:mergeCell ref="E14:F14"/>
    <x:mergeCell ref="B2:G2"/>
    <x:mergeCell ref="B3:D3"/>
    <x:mergeCell ref="E3:G3"/>
    <x:mergeCell ref="B5:G5"/>
    <x:mergeCell ref="B9:D9"/>
    <x:mergeCell ref="E9:G9"/>
  </x:mergeCells>
  <x:pageMargins left="0.7" right="0.7" top="0.75" bottom="0.75" header="0.3" footer="0.3"/>
  <x:drawing xmlns:r="http://schemas.openxmlformats.org/officeDocument/2006/relationships" r:id="R78db2fb407174af8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2.1796875" customWidth="1"/>
    <x:col min="2" max="2" width="15.36328125" customWidth="1"/>
    <x:col min="3" max="3" width="16.453125" customWidth="1"/>
    <x:col min="4" max="4" width="18.90625" customWidth="1"/>
    <x:col min="5" max="5" width="21.26953125" customWidth="1"/>
    <x:col min="6" max="6" width="16.453125" customWidth="1"/>
    <x:col min="7" max="7" width="19.453125" customWidth="1"/>
    <x:col min="8" max="8" width="2.1796875" customWidth="1"/>
  </x:cols>
  <x:sheetData>
    <x:row r="2" ht="20.25" customHeight="1">
      <x:c r="B2" s="57" t="s">
        <x:v>167</x:v>
      </x:c>
      <x:c r="C2" s="57"/>
      <x:c r="D2" s="57"/>
      <x:c r="E2" s="57"/>
      <x:c r="F2" s="57"/>
      <x:c r="G2" s="57"/>
    </x:row>
    <x:row r="3" ht="14.25" customHeight="1">
      <x:c r="B3" s="58" t="e">
        <x:f>"买入持有 · 已扣年化费率 "&amp;TEXT(实盘持仓配置!$Z$7,"0.0%")&amp;"（折每日计入净值）"</x:f>
        <x:v>#NAME?</x:v>
      </x:c>
      <x:c r="C3" s="58"/>
      <x:c r="D3" s="58"/>
      <x:c r="E3" s="59" t="e">
        <x:f>"净值日期："&amp;TEXT(LOOKUP(2,1/(实盘组合净值!$K$5:$K$59&lt;&gt;""),实盘组合净值!$A$5:$A$59),"yyyy-mm-dd")</x:f>
        <x:v>#NAME?</x:v>
      </x:c>
      <x:c r="F3" s="59"/>
      <x:c r="G3" s="59"/>
    </x:row>
    <x:row r="5" ht="14">
      <x:c r="B5" s="60" t="s">
        <x:v>143</x:v>
      </x:c>
      <x:c r="C5" s="60"/>
      <x:c r="D5" s="60"/>
      <x:c r="E5" s="60"/>
      <x:c r="F5" s="60"/>
      <x:c r="G5" s="60"/>
    </x:row>
    <x:row r="6" ht="13">
      <x:c r="B6" s="26" t="s">
        <x:v>144</x:v>
      </x:c>
      <x:c r="C6" s="26" t="s">
        <x:v>145</x:v>
      </x:c>
      <x:c r="D6" s="26" t="s">
        <x:v>146</x:v>
      </x:c>
      <x:c r="E6" s="26" t="s">
        <x:v>147</x:v>
      </x:c>
      <x:c r="F6" s="26" t="s">
        <x:v>148</x:v>
      </x:c>
      <x:c r="G6" s="26" t="s">
        <x:v>149</x:v>
      </x:c>
    </x:row>
    <x:row r="7" ht="27.75" customHeight="1">
      <x:c r="B7" s="27" t="e">
        <x:f>LOOKUP(2,1/(实盘组合净值!$K$5:$K$59&lt;&gt;""),实盘组合净值!$K$5:$K$59)</x:f>
        <x:v>#NAME?</x:v>
      </x:c>
      <x:c r="C7" s="28" t="e">
        <x:f>(LOOKUP(2,1/(实盘组合净值!$K$5:$K$59&lt;&gt;""),实盘组合净值!$K$5:$K$59))/1-1</x:f>
        <x:v>#NAME?</x:v>
      </x:c>
      <x:c r="D7" s="28" t="e">
        <x:f>(LOOKUP(2,1/(实盘组合净值!$K$5:$K$59&lt;&gt;""),实盘组合净值!$K$5:$K$59)/1)^(说明!$C$17/MAX(COUNT(实盘组合净值!$L$5:$L$59),1))-1</x:f>
        <x:v>#NAME?</x:v>
      </x:c>
      <x:c r="E7" s="29" t="e">
        <x:f>STDEV(实盘组合净值!$L$5:$L$59)*SQRT(说明!$C$17)</x:f>
        <x:v>#NAME?</x:v>
      </x:c>
      <x:c r="F7" s="28" t="e">
        <x:f>MIN(实盘组合净值!$M$5:$M$59)</x:f>
        <x:v>#NAME?</x:v>
      </x:c>
      <x:c r="G7" s="30" t="e">
        <x: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x:f>
        <x:v>#NAME?</x:v>
      </x:c>
    </x:row>
    <x:row r="9" ht="14">
      <x:c r="B9" s="60" t="s">
        <x:v>150</x:v>
      </x:c>
      <x:c r="C9" s="60"/>
      <x:c r="D9" s="60"/>
      <x:c r="E9" s="60" t="s">
        <x:v>151</x:v>
      </x:c>
      <x:c r="F9" s="60"/>
      <x:c r="G9" s="60"/>
    </x:row>
    <x:row r="10" ht="13.5" customHeight="1">
      <x:c r="B10" s="1" t="s">
        <x:v>152</x:v>
      </x:c>
      <x:c r="C10" s="1" t="s">
        <x:v>145</x:v>
      </x:c>
      <x:c r="D10" s="1" t="s">
        <x:v>146</x:v>
      </x:c>
      <x:c r="E10" s="62" t="s">
        <x:v>153</x:v>
      </x:c>
      <x:c r="F10" s="62"/>
      <x:c r="G10" s="1" t="s">
        <x:v>154</x:v>
      </x:c>
    </x:row>
    <x:row r="11" ht="22.5" customHeight="1">
      <x:c r="B11" s="31" t="s">
        <x:v>155</x:v>
      </x:c>
      <x:c r="C11" s="32" t="e">
        <x:f>IFERROR((LOOKUP(2,1/(实盘组合净值!$K$5:$K$59&lt;&gt;""),实盘组合净值!$K$5:$K$59))/(1)-1,"")</x:f>
        <x:v>#NAME?</x:v>
      </x:c>
      <x:c r="D11" s="32" t="e">
        <x:f>IFERROR((LOOKUP(2,1/(实盘组合净值!$K$5:$K$59&lt;&gt;""),实盘组合净值!$K$5:$K$59)/(1))^(说明!$C$17/COUNT(实盘组合净值!$L$5:$L$59))-1,"")</x:f>
        <x:v>#NAME?</x:v>
      </x:c>
      <x:c r="E11" s="61" t="s">
        <x:v>148</x:v>
      </x:c>
      <x:c r="F11" s="61"/>
      <x:c r="G11" s="32" t="e">
        <x:f>MIN(实盘组合净值!$M$5:$M$59)</x:f>
        <x:v>#NAME?</x:v>
      </x:c>
    </x:row>
    <x:row r="12" ht="22.5" customHeight="1">
      <x:c r="B12" s="33" t="s">
        <x:v>156</x:v>
      </x:c>
      <x:c r="C12" s="32" t="e">
        <x:f>IFERROR((LOOKUP(2,1/(实盘组合净值!$K$5:$K$59&lt;&gt;""),实盘组合净值!$K$5:$K$59))/(IFERROR(LOOKUP(DATE(2026,1,1),实盘组合净值!$A$5:$A$59,实盘组合净值!$K$5:$K$59),1))-1,"")</x:f>
        <x:v>#NAME?</x:v>
      </x:c>
      <x:c r="D12" s="32" t="e">
        <x:f>IFERROR((LOOKUP(2,1/(实盘组合净值!$K$5:$K$59&lt;&gt;""),实盘组合净值!$K$5:$K$59)/(IFERROR(LOOKUP(DATE(2026,1,1),实盘组合净值!$A$5:$A$59,实盘组合净值!$K$5:$K$59),1)))^(说明!$C$17/MAX(COUNTIF(实盘组合净值!$A$5:$A$59,"&gt;="&amp;(DATE(2026,1,1))),1))-1,"")</x:f>
        <x:v>#NAME?</x:v>
      </x:c>
      <x:c r="E12" s="61" t="s">
        <x:v>157</x:v>
      </x:c>
      <x:c r="F12" s="61"/>
      <x:c r="G12" s="34" t="e">
        <x:f>IFERROR((LOOKUP(2,1/(实盘组合净值!$K$5:$K$59&lt;&gt;""),ROW(实盘组合净值!$K$5:$K$59)))-(LOOKUP(2,1/(实盘组合净值!$M$5:$M$59=0),ROW(实盘组合净值!$M$5:$M$59))),"")</x:f>
        <x:v>#NAME?</x:v>
      </x:c>
    </x:row>
    <x:row r="13" ht="22.5" customHeight="1">
      <x:c r="B13" s="31" t="s">
        <x:v>158</x:v>
      </x:c>
      <x:c r="C13" s="32" t="e">
        <x:f>IFERROR((LOOKUP(2,1/(实盘组合净值!$K$5:$K$59&lt;&gt;""),实盘组合净值!$K$5:$K$59))/(IFERROR(LOOKUP(EDATE(LOOKUP(2,1/(实盘组合净值!$K$5:$K$59&lt;&gt;""),实盘组合净值!$A$5:$A$59),-3),实盘组合净值!$A$5:$A$59,实盘组合净值!$K$5:$K$59),1))-1,"")</x:f>
        <x:v>#NAME?</x:v>
      </x:c>
      <x:c r="D13" s="32" t="e">
        <x:f>IFERROR((LOOKUP(2,1/(实盘组合净值!$K$5:$K$59&lt;&gt;""),实盘组合净值!$K$5:$K$59)/(IFERROR(LOOKUP(EDATE(LOOKUP(2,1/(实盘组合净值!$K$5:$K$59&lt;&gt;""),实盘组合净值!$A$5:$A$59),-3),实盘组合净值!$A$5:$A$59,实盘组合净值!$K$5:$K$59),1)))^(说明!$C$17/MAX(COUNTIF(实盘组合净值!$A$5:$A$59,"&gt;="&amp;(EDATE(LOOKUP(2,1/(实盘组合净值!$K$5:$K$59&lt;&gt;""),实盘组合净值!$A$5:$A$59),-3))),1))-1,"")</x:f>
        <x:v>#NAME?</x:v>
      </x:c>
      <x:c r="E13" s="61" t="s">
        <x:v>159</x:v>
      </x:c>
      <x:c r="F13" s="61"/>
      <x:c r="G13" s="35" t="e">
        <x:f>COUNTIF(实盘组合净值!$L$5:$L$59,"&gt;0")/MAX(COUNT(实盘组合净值!$L$5:$L$59),1)</x:f>
        <x:v>#NAME?</x:v>
      </x:c>
    </x:row>
    <x:row r="14" ht="22.5" customHeight="1">
      <x:c r="B14" s="31" t="s">
        <x:v>160</x:v>
      </x:c>
      <x:c r="C14" s="32" t="e">
        <x:f>IFERROR((LOOKUP(2,1/(实盘组合净值!$K$5:$K$59&lt;&gt;""),实盘组合净值!$K$5:$K$59))/(IFERROR(LOOKUP(EDATE(LOOKUP(2,1/(实盘组合净值!$K$5:$K$59&lt;&gt;""),实盘组合净值!$A$5:$A$59),-6),实盘组合净值!$A$5:$A$59,实盘组合净值!$K$5:$K$59),1))-1,"")</x:f>
        <x:v>#NAME?</x:v>
      </x:c>
      <x:c r="D14" s="32" t="e">
        <x:f>IFERROR((LOOKUP(2,1/(实盘组合净值!$K$5:$K$59&lt;&gt;""),实盘组合净值!$K$5:$K$59)/(IFERROR(LOOKUP(EDATE(LOOKUP(2,1/(实盘组合净值!$K$5:$K$59&lt;&gt;""),实盘组合净值!$A$5:$A$59),-6),实盘组合净值!$A$5:$A$59,实盘组合净值!$K$5:$K$59),1)))^(说明!$C$17/MAX(COUNTIF(实盘组合净值!$A$5:$A$59,"&gt;="&amp;(EDATE(LOOKUP(2,1/(实盘组合净值!$K$5:$K$59&lt;&gt;""),实盘组合净值!$A$5:$A$59),-6))),1))-1,"")</x:f>
        <x:v>#NAME?</x:v>
      </x:c>
      <x:c r="E14" s="61" t="s">
        <x:v>147</x:v>
      </x:c>
      <x:c r="F14" s="61"/>
      <x:c r="G14" s="32" t="e">
        <x:f>STDEV(实盘组合净值!$L$5:$L$59)*SQRT(说明!$C$17)</x:f>
        <x:v>#NAME?</x:v>
      </x:c>
    </x:row>
    <x:row r="15" ht="22.5" customHeight="1">
      <x:c r="B15" s="31" t="s">
        <x:v>161</x:v>
      </x:c>
      <x:c r="C15" s="32" t="e">
        <x:f>IFERROR((LOOKUP(2,1/(实盘组合净值!$K$5:$K$59&lt;&gt;""),实盘组合净值!$K$5:$K$59))/(IFERROR(LOOKUP(EDATE(LOOKUP(2,1/(实盘组合净值!$K$5:$K$59&lt;&gt;""),实盘组合净值!$A$5:$A$59),-12),实盘组合净值!$A$5:$A$59,实盘组合净值!$K$5:$K$59),1))-1,"")</x:f>
        <x:v>#NAME?</x:v>
      </x:c>
      <x:c r="D15" s="32" t="e">
        <x:f>IFERROR((LOOKUP(2,1/(实盘组合净值!$K$5:$K$59&lt;&gt;""),实盘组合净值!$K$5:$K$59)/(IFERROR(LOOKUP(EDATE(LOOKUP(2,1/(实盘组合净值!$K$5:$K$59&lt;&gt;""),实盘组合净值!$A$5:$A$59),-12),实盘组合净值!$A$5:$A$59,实盘组合净值!$K$5:$K$59),1)))^(说明!$C$17/MAX(COUNTIF(实盘组合净值!$A$5:$A$59,"&gt;="&amp;(EDATE(LOOKUP(2,1/(实盘组合净值!$K$5:$K$59&lt;&gt;""),实盘组合净值!$A$5:$A$59),-12))),1))-1,"")</x:f>
        <x:v>#NAME?</x:v>
      </x:c>
      <x:c r="E15" s="61" t="s">
        <x:v>149</x:v>
      </x:c>
      <x:c r="F15" s="61"/>
      <x:c r="G15" s="36" t="e">
        <x:f>(((LOOKUP(2,1/(实盘组合净值!$K$5:$K$59&lt;&gt;""),实盘组合净值!$K$5:$K$59)/1)^(说明!$C$17/MAX(COUNT(实盘组合净值!$L$5:$L$59),1))-1)-说明!$C$16)/IF((STDEV(实盘组合净值!$L$5:$L$59)*SQRT(说明!$C$17))=0,"",(STDEV(实盘组合净值!$L$5:$L$59)*SQRT(说明!$C$17)))</x:f>
        <x:v>#NAME?</x:v>
      </x:c>
    </x:row>
    <x:row r="16" ht="22.5" customHeight="1">
      <x:c r="B16" s="37"/>
      <x:c r="C16" s="37"/>
      <x:c r="D16" s="37"/>
      <x:c r="E16" s="61" t="s">
        <x:v>162</x:v>
      </x:c>
      <x:c r="F16" s="61"/>
      <x:c r="G16" s="36" t="e">
        <x:f>IFERROR(((LOOKUP(2,1/(实盘组合净值!$K$5:$K$59&lt;&gt;""),实盘组合净值!$K$5:$K$59)/1)^(说明!$C$17/MAX(COUNT(实盘组合净值!$L$5:$L$59),1))-1)/ABS(MIN(实盘组合净值!$M$5:$M$59)),"")</x:f>
        <x:v>#NAME?</x:v>
      </x:c>
    </x:row>
    <x:row r="18" ht="14">
      <x:c r="B18" s="60" t="s">
        <x:v>163</x:v>
      </x:c>
      <x:c r="C18" s="60"/>
      <x:c r="D18" s="60"/>
      <x:c r="E18" s="60"/>
      <x:c r="F18" s="60"/>
      <x:c r="G18" s="60"/>
    </x:row>
    <x:row r="35" ht="14.25" customHeight="1">
      <x:c r="B35" s="10" t="s">
        <x:v>164</x:v>
      </x:c>
    </x:row>
  </x:sheetData>
  <x:mergeCells>
    <x:mergeCell ref="E15:F15"/>
    <x:mergeCell ref="E16:F16"/>
    <x:mergeCell ref="B18:G18"/>
    <x:mergeCell ref="E10:F10"/>
    <x:mergeCell ref="E11:F11"/>
    <x:mergeCell ref="E12:F12"/>
    <x:mergeCell ref="E13:F13"/>
    <x:mergeCell ref="E14:F14"/>
    <x:mergeCell ref="B2:G2"/>
    <x:mergeCell ref="B3:D3"/>
    <x:mergeCell ref="E3:G3"/>
    <x:mergeCell ref="B5:G5"/>
    <x:mergeCell ref="B9:D9"/>
    <x:mergeCell ref="E9:G9"/>
  </x:mergeCells>
  <x:pageMargins left="0.7" right="0.7" top="0.75" bottom="0.75" header="0.3" footer="0.3"/>
  <x:drawing xmlns:r="http://schemas.openxmlformats.org/officeDocument/2006/relationships" r:id="R7f559ff64bf84bfb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2.1796875" customWidth="1"/>
    <x:col min="2" max="2" width="15.36328125" customWidth="1"/>
    <x:col min="3" max="3" width="16.453125" customWidth="1"/>
    <x:col min="4" max="4" width="20.08984375" customWidth="1"/>
    <x:col min="5" max="5" width="17.36328125" customWidth="1"/>
    <x:col min="6" max="6" width="16.453125" customWidth="1"/>
    <x:col min="7" max="7" width="19.08984375" customWidth="1"/>
    <x:col min="8" max="8" width="2.1796875" customWidth="1"/>
  </x:cols>
  <x:sheetData>
    <x:row r="2" ht="20.25" customHeight="1">
      <x:c r="B2" s="57" t="s">
        <x:v>168</x:v>
      </x:c>
      <x:c r="C2" s="57"/>
      <x:c r="D2" s="57"/>
      <x:c r="E2" s="57"/>
      <x:c r="F2" s="57"/>
      <x:c r="G2" s="57"/>
    </x:row>
    <x:row r="3" ht="14.25" customHeight="1">
      <x:c r="B3" s="58" t="e">
        <x:f>"买入持有 · 已扣年化费率 "&amp;TEXT(实盘持仓配置!$Z$8,"0.0%")&amp;"（折每日计入净值）"</x:f>
        <x:v>#NAME?</x:v>
      </x:c>
      <x:c r="C3" s="58"/>
      <x:c r="D3" s="58"/>
      <x:c r="E3" s="59" t="e">
        <x:f>"净值日期："&amp;TEXT(LOOKUP(2,1/(实盘组合净值!$N$5:$N$59&lt;&gt;""),实盘组合净值!$A$5:$A$59),"yyyy-mm-dd")</x:f>
        <x:v>#NAME?</x:v>
      </x:c>
      <x:c r="F3" s="59"/>
      <x:c r="G3" s="59"/>
    </x:row>
    <x:row r="5" ht="14">
      <x:c r="B5" s="60" t="s">
        <x:v>143</x:v>
      </x:c>
      <x:c r="C5" s="60"/>
      <x:c r="D5" s="60"/>
      <x:c r="E5" s="60"/>
      <x:c r="F5" s="60"/>
      <x:c r="G5" s="60"/>
    </x:row>
    <x:row r="6" ht="13">
      <x:c r="B6" s="26" t="s">
        <x:v>144</x:v>
      </x:c>
      <x:c r="C6" s="26" t="s">
        <x:v>145</x:v>
      </x:c>
      <x:c r="D6" s="26" t="s">
        <x:v>146</x:v>
      </x:c>
      <x:c r="E6" s="26" t="s">
        <x:v>147</x:v>
      </x:c>
      <x:c r="F6" s="26" t="s">
        <x:v>148</x:v>
      </x:c>
      <x:c r="G6" s="26" t="s">
        <x:v>149</x:v>
      </x:c>
    </x:row>
    <x:row r="7" ht="27.75" customHeight="1">
      <x:c r="B7" s="27" t="e">
        <x:f>LOOKUP(2,1/(实盘组合净值!$N$5:$N$59&lt;&gt;""),实盘组合净值!$N$5:$N$59)</x:f>
        <x:v>#NAME?</x:v>
      </x:c>
      <x:c r="C7" s="28" t="e">
        <x:f>(LOOKUP(2,1/(实盘组合净值!$N$5:$N$59&lt;&gt;""),实盘组合净值!$N$5:$N$59))/1-1</x:f>
        <x:v>#NAME?</x:v>
      </x:c>
      <x:c r="D7" s="28" t="e">
        <x:f>(LOOKUP(2,1/(实盘组合净值!$N$5:$N$59&lt;&gt;""),实盘组合净值!$N$5:$N$59)/1)^(说明!$C$17/MAX(COUNT(实盘组合净值!$O$5:$O$59),1))-1</x:f>
        <x:v>#NAME?</x:v>
      </x:c>
      <x:c r="E7" s="29" t="e">
        <x:f>STDEV(实盘组合净值!$O$5:$O$59)*SQRT(说明!$C$17)</x:f>
        <x:v>#NAME?</x:v>
      </x:c>
      <x:c r="F7" s="28" t="e">
        <x:f>MIN(实盘组合净值!$P$5:$P$59)</x:f>
        <x:v>#NAME?</x:v>
      </x:c>
      <x:c r="G7" s="30" t="e">
        <x: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x:f>
        <x:v>#NAME?</x:v>
      </x:c>
    </x:row>
    <x:row r="9" ht="14">
      <x:c r="B9" s="60" t="s">
        <x:v>150</x:v>
      </x:c>
      <x:c r="C9" s="60"/>
      <x:c r="D9" s="60"/>
      <x:c r="E9" s="60" t="s">
        <x:v>151</x:v>
      </x:c>
      <x:c r="F9" s="60"/>
      <x:c r="G9" s="60"/>
    </x:row>
    <x:row r="10" ht="13.5" customHeight="1">
      <x:c r="B10" s="1" t="s">
        <x:v>152</x:v>
      </x:c>
      <x:c r="C10" s="1" t="s">
        <x:v>145</x:v>
      </x:c>
      <x:c r="D10" s="1" t="s">
        <x:v>146</x:v>
      </x:c>
      <x:c r="E10" s="62" t="s">
        <x:v>153</x:v>
      </x:c>
      <x:c r="F10" s="62"/>
      <x:c r="G10" s="1" t="s">
        <x:v>154</x:v>
      </x:c>
    </x:row>
    <x:row r="11" ht="22.5" customHeight="1">
      <x:c r="B11" s="31" t="s">
        <x:v>155</x:v>
      </x:c>
      <x:c r="C11" s="32" t="e">
        <x:f>IFERROR((LOOKUP(2,1/(实盘组合净值!$N$5:$N$59&lt;&gt;""),实盘组合净值!$N$5:$N$59))/(1)-1,"")</x:f>
        <x:v>#NAME?</x:v>
      </x:c>
      <x:c r="D11" s="32" t="e">
        <x:f>IFERROR((LOOKUP(2,1/(实盘组合净值!$N$5:$N$59&lt;&gt;""),实盘组合净值!$N$5:$N$59)/(1))^(说明!$C$17/COUNT(实盘组合净值!$O$5:$O$59))-1,"")</x:f>
        <x:v>#NAME?</x:v>
      </x:c>
      <x:c r="E11" s="61" t="s">
        <x:v>148</x:v>
      </x:c>
      <x:c r="F11" s="61"/>
      <x:c r="G11" s="32" t="e">
        <x:f>MIN(实盘组合净值!$P$5:$P$59)</x:f>
        <x:v>#NAME?</x:v>
      </x:c>
    </x:row>
    <x:row r="12" ht="22.5" customHeight="1">
      <x:c r="B12" s="33" t="s">
        <x:v>156</x:v>
      </x:c>
      <x:c r="C12" s="32" t="e">
        <x:f>IFERROR((LOOKUP(2,1/(实盘组合净值!$N$5:$N$59&lt;&gt;""),实盘组合净值!$N$5:$N$59))/(IFERROR(LOOKUP(DATE(2026,1,1),实盘组合净值!$A$5:$A$59,实盘组合净值!$N$5:$N$59),1))-1,"")</x:f>
        <x:v>#NAME?</x:v>
      </x:c>
      <x:c r="D12" s="32" t="e">
        <x:f>IFERROR((LOOKUP(2,1/(实盘组合净值!$N$5:$N$59&lt;&gt;""),实盘组合净值!$N$5:$N$59)/(IFERROR(LOOKUP(DATE(2026,1,1),实盘组合净值!$A$5:$A$59,实盘组合净值!$N$5:$N$59),1)))^(说明!$C$17/MAX(COUNTIF(实盘组合净值!$A$5:$A$59,"&gt;="&amp;(DATE(2026,1,1))),1))-1,"")</x:f>
        <x:v>#NAME?</x:v>
      </x:c>
      <x:c r="E12" s="61" t="s">
        <x:v>157</x:v>
      </x:c>
      <x:c r="F12" s="61"/>
      <x:c r="G12" s="34" t="e">
        <x:f>IFERROR((LOOKUP(2,1/(实盘组合净值!$N$5:$N$59&lt;&gt;""),ROW(实盘组合净值!$N$5:$N$59)))-(LOOKUP(2,1/(实盘组合净值!$P$5:$P$59=0),ROW(实盘组合净值!$P$5:$P$59))),"")</x:f>
        <x:v>#NAME?</x:v>
      </x:c>
    </x:row>
    <x:row r="13" ht="22.5" customHeight="1">
      <x:c r="B13" s="31" t="s">
        <x:v>158</x:v>
      </x:c>
      <x:c r="C13" s="32" t="e">
        <x:f>IFERROR((LOOKUP(2,1/(实盘组合净值!$N$5:$N$59&lt;&gt;""),实盘组合净值!$N$5:$N$59))/(IFERROR(LOOKUP(EDATE(LOOKUP(2,1/(实盘组合净值!$N$5:$N$59&lt;&gt;""),实盘组合净值!$A$5:$A$59),-3),实盘组合净值!$A$5:$A$59,实盘组合净值!$N$5:$N$59),1))-1,"")</x:f>
        <x:v>#NAME?</x:v>
      </x:c>
      <x:c r="D13" s="32" t="e">
        <x:f>IFERROR((LOOKUP(2,1/(实盘组合净值!$N$5:$N$59&lt;&gt;""),实盘组合净值!$N$5:$N$59)/(IFERROR(LOOKUP(EDATE(LOOKUP(2,1/(实盘组合净值!$N$5:$N$59&lt;&gt;""),实盘组合净值!$A$5:$A$59),-3),实盘组合净值!$A$5:$A$59,实盘组合净值!$N$5:$N$59),1)))^(说明!$C$17/MAX(COUNTIF(实盘组合净值!$A$5:$A$59,"&gt;="&amp;(EDATE(LOOKUP(2,1/(实盘组合净值!$N$5:$N$59&lt;&gt;""),实盘组合净值!$A$5:$A$59),-3))),1))-1,"")</x:f>
        <x:v>#NAME?</x:v>
      </x:c>
      <x:c r="E13" s="61" t="s">
        <x:v>159</x:v>
      </x:c>
      <x:c r="F13" s="61"/>
      <x:c r="G13" s="35" t="e">
        <x:f>COUNTIF(实盘组合净值!$O$5:$O$59,"&gt;0")/MAX(COUNT(实盘组合净值!$O$5:$O$59),1)</x:f>
        <x:v>#NAME?</x:v>
      </x:c>
    </x:row>
    <x:row r="14" ht="22.5" customHeight="1">
      <x:c r="B14" s="31" t="s">
        <x:v>160</x:v>
      </x:c>
      <x:c r="C14" s="32" t="e">
        <x:f>IFERROR((LOOKUP(2,1/(实盘组合净值!$N$5:$N$59&lt;&gt;""),实盘组合净值!$N$5:$N$59))/(IFERROR(LOOKUP(EDATE(LOOKUP(2,1/(实盘组合净值!$N$5:$N$59&lt;&gt;""),实盘组合净值!$A$5:$A$59),-6),实盘组合净值!$A$5:$A$59,实盘组合净值!$N$5:$N$59),1))-1,"")</x:f>
        <x:v>#NAME?</x:v>
      </x:c>
      <x:c r="D14" s="32" t="e">
        <x:f>IFERROR((LOOKUP(2,1/(实盘组合净值!$N$5:$N$59&lt;&gt;""),实盘组合净值!$N$5:$N$59)/(IFERROR(LOOKUP(EDATE(LOOKUP(2,1/(实盘组合净值!$N$5:$N$59&lt;&gt;""),实盘组合净值!$A$5:$A$59),-6),实盘组合净值!$A$5:$A$59,实盘组合净值!$N$5:$N$59),1)))^(说明!$C$17/MAX(COUNTIF(实盘组合净值!$A$5:$A$59,"&gt;="&amp;(EDATE(LOOKUP(2,1/(实盘组合净值!$N$5:$N$59&lt;&gt;""),实盘组合净值!$A$5:$A$59),-6))),1))-1,"")</x:f>
        <x:v>#NAME?</x:v>
      </x:c>
      <x:c r="E14" s="61" t="s">
        <x:v>147</x:v>
      </x:c>
      <x:c r="F14" s="61"/>
      <x:c r="G14" s="32" t="e">
        <x:f>STDEV(实盘组合净值!$O$5:$O$59)*SQRT(说明!$C$17)</x:f>
        <x:v>#NAME?</x:v>
      </x:c>
    </x:row>
    <x:row r="15" ht="22.5" customHeight="1">
      <x:c r="B15" s="31" t="s">
        <x:v>161</x:v>
      </x:c>
      <x:c r="C15" s="32" t="e">
        <x:f>IFERROR((LOOKUP(2,1/(实盘组合净值!$N$5:$N$59&lt;&gt;""),实盘组合净值!$N$5:$N$59))/(IFERROR(LOOKUP(EDATE(LOOKUP(2,1/(实盘组合净值!$N$5:$N$59&lt;&gt;""),实盘组合净值!$A$5:$A$59),-12),实盘组合净值!$A$5:$A$59,实盘组合净值!$N$5:$N$59),1))-1,"")</x:f>
        <x:v>#NAME?</x:v>
      </x:c>
      <x:c r="D15" s="32" t="e">
        <x:f>IFERROR((LOOKUP(2,1/(实盘组合净值!$N$5:$N$59&lt;&gt;""),实盘组合净值!$N$5:$N$59)/(IFERROR(LOOKUP(EDATE(LOOKUP(2,1/(实盘组合净值!$N$5:$N$59&lt;&gt;""),实盘组合净值!$A$5:$A$59),-12),实盘组合净值!$A$5:$A$59,实盘组合净值!$N$5:$N$59),1)))^(说明!$C$17/MAX(COUNTIF(实盘组合净值!$A$5:$A$59,"&gt;="&amp;(EDATE(LOOKUP(2,1/(实盘组合净值!$N$5:$N$59&lt;&gt;""),实盘组合净值!$A$5:$A$59),-12))),1))-1,"")</x:f>
        <x:v>#NAME?</x:v>
      </x:c>
      <x:c r="E15" s="61" t="s">
        <x:v>149</x:v>
      </x:c>
      <x:c r="F15" s="61"/>
      <x:c r="G15" s="36" t="e">
        <x:f>(((LOOKUP(2,1/(实盘组合净值!$N$5:$N$59&lt;&gt;""),实盘组合净值!$N$5:$N$59)/1)^(说明!$C$17/MAX(COUNT(实盘组合净值!$O$5:$O$59),1))-1)-说明!$C$16)/IF((STDEV(实盘组合净值!$O$5:$O$59)*SQRT(说明!$C$17))=0,"",(STDEV(实盘组合净值!$O$5:$O$59)*SQRT(说明!$C$17)))</x:f>
        <x:v>#NAME?</x:v>
      </x:c>
    </x:row>
    <x:row r="16" ht="22.5" customHeight="1">
      <x:c r="B16" s="37"/>
      <x:c r="C16" s="37"/>
      <x:c r="D16" s="37"/>
      <x:c r="E16" s="61" t="s">
        <x:v>162</x:v>
      </x:c>
      <x:c r="F16" s="61"/>
      <x:c r="G16" s="36" t="e">
        <x:f>IFERROR(((LOOKUP(2,1/(实盘组合净值!$N$5:$N$59&lt;&gt;""),实盘组合净值!$N$5:$N$59)/1)^(说明!$C$17/MAX(COUNT(实盘组合净值!$O$5:$O$59),1))-1)/ABS(MIN(实盘组合净值!$P$5:$P$59)),"")</x:f>
        <x:v>#NAME?</x:v>
      </x:c>
    </x:row>
    <x:row r="18" ht="14">
      <x:c r="B18" s="60" t="s">
        <x:v>163</x:v>
      </x:c>
      <x:c r="C18" s="60"/>
      <x:c r="D18" s="60"/>
      <x:c r="E18" s="60"/>
      <x:c r="F18" s="60"/>
      <x:c r="G18" s="60"/>
    </x:row>
    <x:row r="35" ht="14.25" customHeight="1">
      <x:c r="B35" s="10" t="s">
        <x:v>164</x:v>
      </x:c>
    </x:row>
  </x:sheetData>
  <x:mergeCells>
    <x:mergeCell ref="E15:F15"/>
    <x:mergeCell ref="E16:F16"/>
    <x:mergeCell ref="B18:G18"/>
    <x:mergeCell ref="E10:F10"/>
    <x:mergeCell ref="E11:F11"/>
    <x:mergeCell ref="E12:F12"/>
    <x:mergeCell ref="E13:F13"/>
    <x:mergeCell ref="E14:F14"/>
    <x:mergeCell ref="B2:G2"/>
    <x:mergeCell ref="B3:D3"/>
    <x:mergeCell ref="E3:G3"/>
    <x:mergeCell ref="B5:G5"/>
    <x:mergeCell ref="B9:D9"/>
    <x:mergeCell ref="E9:G9"/>
  </x:mergeCells>
  <x:pageMargins left="0.7" right="0.7" top="0.75" bottom="0.75" header="0.3" footer="0.3"/>
  <x:drawing xmlns:r="http://schemas.openxmlformats.org/officeDocument/2006/relationships" r:id="R6074a333c5be4bbe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2.1796875" customWidth="1"/>
    <x:col min="2" max="2" width="15.36328125" customWidth="1"/>
    <x:col min="3" max="3" width="16.453125" customWidth="1"/>
    <x:col min="4" max="4" width="19.26953125" customWidth="1"/>
    <x:col min="5" max="5" width="20.81640625" customWidth="1"/>
    <x:col min="6" max="6" width="16.453125" customWidth="1"/>
    <x:col min="7" max="7" width="20.26953125" customWidth="1"/>
    <x:col min="8" max="8" width="2.1796875" customWidth="1"/>
  </x:cols>
  <x:sheetData>
    <x:row r="2" ht="20.25" customHeight="1">
      <x:c r="B2" s="57" t="s">
        <x:v>169</x:v>
      </x:c>
      <x:c r="C2" s="57"/>
      <x:c r="D2" s="57"/>
      <x:c r="E2" s="57"/>
      <x:c r="F2" s="57"/>
      <x:c r="G2" s="57"/>
    </x:row>
    <x:row r="3" ht="14.25" customHeight="1">
      <x:c r="B3" s="58" t="e">
        <x:f>"买入持有 · 已扣年化费率 "&amp;TEXT(实盘持仓配置!$Z$9,"0.0%")&amp;"（折每日计入净值）"</x:f>
        <x:v>#NAME?</x:v>
      </x:c>
      <x:c r="C3" s="58"/>
      <x:c r="D3" s="58"/>
      <x:c r="E3" s="59" t="e">
        <x:f>"净值日期："&amp;TEXT(LOOKUP(2,1/(实盘组合净值!$Q$5:$Q$59&lt;&gt;""),实盘组合净值!$A$5:$A$59),"yyyy-mm-dd")</x:f>
        <x:v>#NAME?</x:v>
      </x:c>
      <x:c r="F3" s="59"/>
      <x:c r="G3" s="59"/>
    </x:row>
    <x:row r="5" ht="14">
      <x:c r="B5" s="60" t="s">
        <x:v>143</x:v>
      </x:c>
      <x:c r="C5" s="60"/>
      <x:c r="D5" s="60"/>
      <x:c r="E5" s="60"/>
      <x:c r="F5" s="60"/>
      <x:c r="G5" s="60"/>
    </x:row>
    <x:row r="6" ht="13">
      <x:c r="B6" s="26" t="s">
        <x:v>144</x:v>
      </x:c>
      <x:c r="C6" s="26" t="s">
        <x:v>145</x:v>
      </x:c>
      <x:c r="D6" s="26" t="s">
        <x:v>146</x:v>
      </x:c>
      <x:c r="E6" s="26" t="s">
        <x:v>147</x:v>
      </x:c>
      <x:c r="F6" s="26" t="s">
        <x:v>148</x:v>
      </x:c>
      <x:c r="G6" s="26" t="s">
        <x:v>149</x:v>
      </x:c>
    </x:row>
    <x:row r="7" ht="27.75" customHeight="1">
      <x:c r="B7" s="27" t="e">
        <x:f>LOOKUP(2,1/(实盘组合净值!$Q$5:$Q$59&lt;&gt;""),实盘组合净值!$Q$5:$Q$59)</x:f>
        <x:v>#NAME?</x:v>
      </x:c>
      <x:c r="C7" s="28" t="e">
        <x:f>(LOOKUP(2,1/(实盘组合净值!$Q$5:$Q$59&lt;&gt;""),实盘组合净值!$Q$5:$Q$59))/1-1</x:f>
        <x:v>#NAME?</x:v>
      </x:c>
      <x:c r="D7" s="28" t="e">
        <x:f>(LOOKUP(2,1/(实盘组合净值!$Q$5:$Q$59&lt;&gt;""),实盘组合净值!$Q$5:$Q$59)/1)^(说明!$C$17/MAX(COUNT(实盘组合净值!$R$5:$R$59),1))-1</x:f>
        <x:v>#NAME?</x:v>
      </x:c>
      <x:c r="E7" s="29" t="e">
        <x:f>STDEV(实盘组合净值!$R$5:$R$59)*SQRT(说明!$C$17)</x:f>
        <x:v>#NAME?</x:v>
      </x:c>
      <x:c r="F7" s="28" t="e">
        <x:f>MIN(实盘组合净值!$S$5:$S$59)</x:f>
        <x:v>#NAME?</x:v>
      </x:c>
      <x:c r="G7" s="30" t="e">
        <x: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x:f>
        <x:v>#NAME?</x:v>
      </x:c>
    </x:row>
    <x:row r="9" ht="14">
      <x:c r="B9" s="60" t="s">
        <x:v>150</x:v>
      </x:c>
      <x:c r="C9" s="60"/>
      <x:c r="D9" s="60"/>
      <x:c r="E9" s="60" t="s">
        <x:v>151</x:v>
      </x:c>
      <x:c r="F9" s="60"/>
      <x:c r="G9" s="60"/>
    </x:row>
    <x:row r="10" ht="13.5" customHeight="1">
      <x:c r="B10" s="1" t="s">
        <x:v>152</x:v>
      </x:c>
      <x:c r="C10" s="1" t="s">
        <x:v>145</x:v>
      </x:c>
      <x:c r="D10" s="1" t="s">
        <x:v>146</x:v>
      </x:c>
      <x:c r="E10" s="62" t="s">
        <x:v>153</x:v>
      </x:c>
      <x:c r="F10" s="62"/>
      <x:c r="G10" s="1" t="s">
        <x:v>154</x:v>
      </x:c>
    </x:row>
    <x:row r="11" ht="22.5" customHeight="1">
      <x:c r="B11" s="31" t="s">
        <x:v>155</x:v>
      </x:c>
      <x:c r="C11" s="32" t="e">
        <x:f>IFERROR((LOOKUP(2,1/(实盘组合净值!$Q$5:$Q$59&lt;&gt;""),实盘组合净值!$Q$5:$Q$59))/(1)-1,"")</x:f>
        <x:v>#NAME?</x:v>
      </x:c>
      <x:c r="D11" s="32" t="e">
        <x:f>IFERROR((LOOKUP(2,1/(实盘组合净值!$Q$5:$Q$59&lt;&gt;""),实盘组合净值!$Q$5:$Q$59)/(1))^(说明!$C$17/COUNT(实盘组合净值!$R$5:$R$59))-1,"")</x:f>
        <x:v>#NAME?</x:v>
      </x:c>
      <x:c r="E11" s="61" t="s">
        <x:v>148</x:v>
      </x:c>
      <x:c r="F11" s="61"/>
      <x:c r="G11" s="32" t="e">
        <x:f>MIN(实盘组合净值!$S$5:$S$59)</x:f>
        <x:v>#NAME?</x:v>
      </x:c>
    </x:row>
    <x:row r="12" ht="22.5" customHeight="1">
      <x:c r="B12" s="33" t="s">
        <x:v>156</x:v>
      </x:c>
      <x:c r="C12" s="32" t="e">
        <x:f>IFERROR((LOOKUP(2,1/(实盘组合净值!$Q$5:$Q$59&lt;&gt;""),实盘组合净值!$Q$5:$Q$59))/(IFERROR(LOOKUP(DATE(2026,1,1),实盘组合净值!$A$5:$A$59,实盘组合净值!$Q$5:$Q$59),1))-1,"")</x:f>
        <x:v>#NAME?</x:v>
      </x:c>
      <x:c r="D12" s="32" t="e">
        <x:f>IFERROR((LOOKUP(2,1/(实盘组合净值!$Q$5:$Q$59&lt;&gt;""),实盘组合净值!$Q$5:$Q$59)/(IFERROR(LOOKUP(DATE(2026,1,1),实盘组合净值!$A$5:$A$59,实盘组合净值!$Q$5:$Q$59),1)))^(说明!$C$17/MAX(COUNTIF(实盘组合净值!$A$5:$A$59,"&gt;="&amp;(DATE(2026,1,1))),1))-1,"")</x:f>
        <x:v>#NAME?</x:v>
      </x:c>
      <x:c r="E12" s="61" t="s">
        <x:v>157</x:v>
      </x:c>
      <x:c r="F12" s="61"/>
      <x:c r="G12" s="34" t="e">
        <x:f>IFERROR((LOOKUP(2,1/(实盘组合净值!$Q$5:$Q$59&lt;&gt;""),ROW(实盘组合净值!$Q$5:$Q$59)))-(LOOKUP(2,1/(实盘组合净值!$S$5:$S$59=0),ROW(实盘组合净值!$S$5:$S$59))),"")</x:f>
        <x:v>#NAME?</x:v>
      </x:c>
    </x:row>
    <x:row r="13" ht="22.5" customHeight="1">
      <x:c r="B13" s="31" t="s">
        <x:v>158</x:v>
      </x:c>
      <x:c r="C13" s="32" t="e">
        <x:f>IFERROR((LOOKUP(2,1/(实盘组合净值!$Q$5:$Q$59&lt;&gt;""),实盘组合净值!$Q$5:$Q$59))/(IFERROR(LOOKUP(EDATE(LOOKUP(2,1/(实盘组合净值!$Q$5:$Q$59&lt;&gt;""),实盘组合净值!$A$5:$A$59),-3),实盘组合净值!$A$5:$A$59,实盘组合净值!$Q$5:$Q$59),1))-1,"")</x:f>
        <x:v>#NAME?</x:v>
      </x:c>
      <x:c r="D13" s="32" t="e">
        <x:f>IFERROR((LOOKUP(2,1/(实盘组合净值!$Q$5:$Q$59&lt;&gt;""),实盘组合净值!$Q$5:$Q$59)/(IFERROR(LOOKUP(EDATE(LOOKUP(2,1/(实盘组合净值!$Q$5:$Q$59&lt;&gt;""),实盘组合净值!$A$5:$A$59),-3),实盘组合净值!$A$5:$A$59,实盘组合净值!$Q$5:$Q$59),1)))^(说明!$C$17/MAX(COUNTIF(实盘组合净值!$A$5:$A$59,"&gt;="&amp;(EDATE(LOOKUP(2,1/(实盘组合净值!$Q$5:$Q$59&lt;&gt;""),实盘组合净值!$A$5:$A$59),-3))),1))-1,"")</x:f>
        <x:v>#NAME?</x:v>
      </x:c>
      <x:c r="E13" s="61" t="s">
        <x:v>159</x:v>
      </x:c>
      <x:c r="F13" s="61"/>
      <x:c r="G13" s="35" t="e">
        <x:f>COUNTIF(实盘组合净值!$R$5:$R$59,"&gt;0")/MAX(COUNT(实盘组合净值!$R$5:$R$59),1)</x:f>
        <x:v>#NAME?</x:v>
      </x:c>
    </x:row>
    <x:row r="14" ht="22.5" customHeight="1">
      <x:c r="B14" s="31" t="s">
        <x:v>160</x:v>
      </x:c>
      <x:c r="C14" s="32" t="e">
        <x:f>IFERROR((LOOKUP(2,1/(实盘组合净值!$Q$5:$Q$59&lt;&gt;""),实盘组合净值!$Q$5:$Q$59))/(IFERROR(LOOKUP(EDATE(LOOKUP(2,1/(实盘组合净值!$Q$5:$Q$59&lt;&gt;""),实盘组合净值!$A$5:$A$59),-6),实盘组合净值!$A$5:$A$59,实盘组合净值!$Q$5:$Q$59),1))-1,"")</x:f>
        <x:v>#NAME?</x:v>
      </x:c>
      <x:c r="D14" s="32" t="e">
        <x:f>IFERROR((LOOKUP(2,1/(实盘组合净值!$Q$5:$Q$59&lt;&gt;""),实盘组合净值!$Q$5:$Q$59)/(IFERROR(LOOKUP(EDATE(LOOKUP(2,1/(实盘组合净值!$Q$5:$Q$59&lt;&gt;""),实盘组合净值!$A$5:$A$59),-6),实盘组合净值!$A$5:$A$59,实盘组合净值!$Q$5:$Q$59),1)))^(说明!$C$17/MAX(COUNTIF(实盘组合净值!$A$5:$A$59,"&gt;="&amp;(EDATE(LOOKUP(2,1/(实盘组合净值!$Q$5:$Q$59&lt;&gt;""),实盘组合净值!$A$5:$A$59),-6))),1))-1,"")</x:f>
        <x:v>#NAME?</x:v>
      </x:c>
      <x:c r="E14" s="61" t="s">
        <x:v>147</x:v>
      </x:c>
      <x:c r="F14" s="61"/>
      <x:c r="G14" s="32" t="e">
        <x:f>STDEV(实盘组合净值!$R$5:$R$59)*SQRT(说明!$C$17)</x:f>
        <x:v>#NAME?</x:v>
      </x:c>
    </x:row>
    <x:row r="15" ht="22.5" customHeight="1">
      <x:c r="B15" s="31" t="s">
        <x:v>161</x:v>
      </x:c>
      <x:c r="C15" s="32" t="e">
        <x:f>IFERROR((LOOKUP(2,1/(实盘组合净值!$Q$5:$Q$59&lt;&gt;""),实盘组合净值!$Q$5:$Q$59))/(IFERROR(LOOKUP(EDATE(LOOKUP(2,1/(实盘组合净值!$Q$5:$Q$59&lt;&gt;""),实盘组合净值!$A$5:$A$59),-12),实盘组合净值!$A$5:$A$59,实盘组合净值!$Q$5:$Q$59),1))-1,"")</x:f>
        <x:v>#NAME?</x:v>
      </x:c>
      <x:c r="D15" s="32" t="e">
        <x:f>IFERROR((LOOKUP(2,1/(实盘组合净值!$Q$5:$Q$59&lt;&gt;""),实盘组合净值!$Q$5:$Q$59)/(IFERROR(LOOKUP(EDATE(LOOKUP(2,1/(实盘组合净值!$Q$5:$Q$59&lt;&gt;""),实盘组合净值!$A$5:$A$59),-12),实盘组合净值!$A$5:$A$59,实盘组合净值!$Q$5:$Q$59),1)))^(说明!$C$17/MAX(COUNTIF(实盘组合净值!$A$5:$A$59,"&gt;="&amp;(EDATE(LOOKUP(2,1/(实盘组合净值!$Q$5:$Q$59&lt;&gt;""),实盘组合净值!$A$5:$A$59),-12))),1))-1,"")</x:f>
        <x:v>#NAME?</x:v>
      </x:c>
      <x:c r="E15" s="61" t="s">
        <x:v>149</x:v>
      </x:c>
      <x:c r="F15" s="61"/>
      <x:c r="G15" s="36" t="e">
        <x:f>(((LOOKUP(2,1/(实盘组合净值!$Q$5:$Q$59&lt;&gt;""),实盘组合净值!$Q$5:$Q$59)/1)^(说明!$C$17/MAX(COUNT(实盘组合净值!$R$5:$R$59),1))-1)-说明!$C$16)/IF((STDEV(实盘组合净值!$R$5:$R$59)*SQRT(说明!$C$17))=0,"",(STDEV(实盘组合净值!$R$5:$R$59)*SQRT(说明!$C$17)))</x:f>
        <x:v>#NAME?</x:v>
      </x:c>
    </x:row>
    <x:row r="16" ht="22.5" customHeight="1">
      <x:c r="B16" s="37"/>
      <x:c r="C16" s="37"/>
      <x:c r="D16" s="37"/>
      <x:c r="E16" s="61" t="s">
        <x:v>162</x:v>
      </x:c>
      <x:c r="F16" s="61"/>
      <x:c r="G16" s="36" t="e">
        <x:f>IFERROR(((LOOKUP(2,1/(实盘组合净值!$Q$5:$Q$59&lt;&gt;""),实盘组合净值!$Q$5:$Q$59)/1)^(说明!$C$17/MAX(COUNT(实盘组合净值!$R$5:$R$59),1))-1)/ABS(MIN(实盘组合净值!$S$5:$S$59)),"")</x:f>
        <x:v>#NAME?</x:v>
      </x:c>
    </x:row>
    <x:row r="18" ht="14">
      <x:c r="B18" s="60" t="s">
        <x:v>163</x:v>
      </x:c>
      <x:c r="C18" s="60"/>
      <x:c r="D18" s="60"/>
      <x:c r="E18" s="60"/>
      <x:c r="F18" s="60"/>
      <x:c r="G18" s="60"/>
    </x:row>
    <x:row r="35" ht="14.25" customHeight="1">
      <x:c r="B35" s="10" t="s">
        <x:v>164</x:v>
      </x:c>
    </x:row>
  </x:sheetData>
  <x:mergeCells>
    <x:mergeCell ref="E15:F15"/>
    <x:mergeCell ref="E16:F16"/>
    <x:mergeCell ref="B18:G18"/>
    <x:mergeCell ref="E10:F10"/>
    <x:mergeCell ref="E11:F11"/>
    <x:mergeCell ref="E12:F12"/>
    <x:mergeCell ref="E13:F13"/>
    <x:mergeCell ref="E14:F14"/>
    <x:mergeCell ref="B2:G2"/>
    <x:mergeCell ref="B3:D3"/>
    <x:mergeCell ref="E3:G3"/>
    <x:mergeCell ref="B5:G5"/>
    <x:mergeCell ref="B9:D9"/>
    <x:mergeCell ref="E9:G9"/>
  </x:mergeCells>
  <x:pageMargins left="0.7" right="0.7" top="0.75" bottom="0.75" header="0.3" footer="0.3"/>
  <x:drawing xmlns:r="http://schemas.openxmlformats.org/officeDocument/2006/relationships" r:id="Rcf57bdd6e9234c2f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2.1796875" customWidth="1"/>
    <x:col min="2" max="2" width="28.453125" customWidth="1"/>
    <x:col min="3" max="8" width="16.453125" customWidth="1"/>
  </x:cols>
  <x:sheetData>
    <x:row r="2" ht="22.5" customHeight="1">
      <x:c r="B2" s="38" t="s">
        <x:v>170</x:v>
      </x:c>
    </x:row>
    <x:row r="3" ht="14.25" customHeight="1">
      <x:c r="B3" s="10" t="s">
        <x:v>171</x:v>
      </x:c>
    </x:row>
    <x:row r="5" ht="15" customHeight="1">
      <x:c r="B5" s="39" t="s">
        <x:v>172</x:v>
      </x:c>
    </x:row>
    <x:row r="6" ht="16.5" customHeight="1">
      <x:c r="B6" s="40" t="s">
        <x:v>173</x:v>
      </x:c>
      <x:c r="C6" s="63" t="s">
        <x:v>174</x:v>
      </x:c>
      <x:c r="D6" s="63"/>
      <x:c r="E6" s="63"/>
      <x:c r="F6" s="63"/>
      <x:c r="G6" s="63"/>
      <x:c r="H6" s="63"/>
    </x:row>
    <x:row r="7" ht="25.5" customHeight="1">
      <x:c r="B7" s="40" t="s">
        <x:v>175</x:v>
      </x:c>
      <x:c r="C7" s="63" t="s">
        <x:v>176</x:v>
      </x:c>
      <x:c r="D7" s="63"/>
      <x:c r="E7" s="63"/>
      <x:c r="F7" s="63"/>
      <x:c r="G7" s="63"/>
      <x:c r="H7" s="63"/>
    </x:row>
    <x:row r="8" ht="16.5" customHeight="1">
      <x:c r="B8" s="40" t="s">
        <x:v>177</x:v>
      </x:c>
      <x:c r="C8" s="63" t="s">
        <x:v>178</x:v>
      </x:c>
      <x:c r="D8" s="63"/>
      <x:c r="E8" s="63"/>
      <x:c r="F8" s="63"/>
      <x:c r="G8" s="63"/>
      <x:c r="H8" s="63"/>
    </x:row>
    <x:row r="9" ht="27.75" customHeight="1">
      <x:c r="B9" s="40" t="s">
        <x:v>179</x:v>
      </x:c>
      <x:c r="C9" s="64" t="s">
        <x:v>180</x:v>
      </x:c>
      <x:c r="D9" s="64"/>
      <x:c r="E9" s="64"/>
      <x:c r="F9" s="64"/>
      <x:c r="G9" s="64"/>
      <x:c r="H9" s="64"/>
    </x:row>
    <x:row r="10" ht="16.5" customHeight="1">
      <x:c r="B10" s="41"/>
      <x:c r="C10" s="42"/>
      <x:c r="D10" s="42"/>
      <x:c r="E10" s="42"/>
      <x:c r="F10" s="42"/>
      <x:c r="G10" s="42"/>
      <x:c r="H10" s="42"/>
    </x:row>
    <x:row r="11" ht="16.5" customHeight="1">
      <x:c r="B11" s="39" t="s">
        <x:v>181</x:v>
      </x:c>
      <x:c r="C11" s="42"/>
      <x:c r="D11" s="42"/>
      <x:c r="E11" s="42"/>
      <x:c r="F11" s="42"/>
      <x:c r="G11" s="42"/>
      <x:c r="H11" s="42"/>
    </x:row>
    <x:row r="12" ht="16.5" customHeight="1">
      <x:c r="B12" s="40" t="s">
        <x:v>182</x:v>
      </x:c>
      <x:c r="C12" s="63" t="s">
        <x:v>183</x:v>
      </x:c>
      <x:c r="D12" s="63"/>
      <x:c r="E12" s="63"/>
      <x:c r="F12" s="63"/>
      <x:c r="G12" s="63"/>
      <x:c r="H12" s="63"/>
    </x:row>
    <x:row r="13" ht="16.5" customHeight="1">
      <x:c r="B13" s="43" t="s">
        <x:v>184</x:v>
      </x:c>
      <x:c r="C13" s="63" t="s">
        <x:v>185</x:v>
      </x:c>
      <x:c r="D13" s="63"/>
      <x:c r="E13" s="63"/>
      <x:c r="F13" s="63"/>
      <x:c r="G13" s="63"/>
      <x:c r="H13" s="63"/>
    </x:row>
    <x:row r="14" ht="16.5" customHeight="1">
      <x:c r="B14" s="40" t="s">
        <x:v>186</x:v>
      </x:c>
      <x:c r="C14" s="63" t="s">
        <x:v>187</x:v>
      </x:c>
      <x:c r="D14" s="63"/>
      <x:c r="E14" s="63"/>
      <x:c r="F14" s="63"/>
      <x:c r="G14" s="63"/>
      <x:c r="H14" s="63"/>
    </x:row>
    <x:row r="15" ht="14.25" customHeight="1">
      <x:c r="B15" s="40" t="s">
        <x:v>188</x:v>
      </x:c>
      <x:c r="C15" s="41" t="s">
        <x:v>189</x:v>
      </x:c>
    </x:row>
    <x:row r="16" ht="13">
      <x:c r="B16" s="40" t="s">
        <x:v>190</x:v>
      </x:c>
      <x:c r="C16" s="44">
        <x:v>0</x:v>
      </x:c>
    </x:row>
    <x:row r="17" ht="13">
      <x:c r="B17" s="40" t="s">
        <x:v>191</x:v>
      </x:c>
      <x:c r="C17" s="45">
        <x:v>242</x:v>
      </x:c>
    </x:row>
    <x:row r="18" ht="14.25" customHeight="1">
      <x:c r="B18" s="40" t="s">
        <x:v>192</x:v>
      </x:c>
      <x:c r="C18" s="41" t="s">
        <x:v>193</x:v>
      </x:c>
    </x:row>
    <x:row r="19" ht="14.25" customHeight="1">
      <x:c r="B19" s="10" t="s">
        <x:v>194</x:v>
      </x:c>
    </x:row>
  </x:sheetData>
  <x:mergeCells>
    <x:mergeCell ref="C13:H13"/>
    <x:mergeCell ref="C14:H14"/>
    <x:mergeCell ref="C6:H6"/>
    <x:mergeCell ref="C7:H7"/>
    <x:mergeCell ref="C8:H8"/>
    <x:mergeCell ref="C9:H9"/>
    <x:mergeCell ref="C12:H1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ColWidth="9.453125" defaultRowHeight="12.5"/>
  <x:cols>
    <x:col min="1" max="1" width="24.08984375" customWidth="1"/>
    <x:col min="2" max="2" width="14.26953125" customWidth="1"/>
    <x:col min="3" max="4" width="18.6328125" customWidth="1"/>
    <x:col min="6" max="6" width="17.453125" customWidth="1"/>
    <x:col min="7" max="7" width="13.1796875" customWidth="1"/>
  </x:cols>
  <x:sheetData>
    <x:row r="1" ht="14.5">
      <x:c r="A1" s="46" t="s">
        <x:v>195</x:v>
      </x:c>
      <x:c r="F1" s="47" t="s">
        <x:v>196</x:v>
      </x:c>
      <x:c r="G1" t="n">
        <x:f>COUNT('实盘净值数据(iFinD公式)'!$B$5:$B$60)</x:f>
        <x:v>0</x:v>
      </x:c>
    </x:row>
    <x:row r="2" ht="14.5">
      <x:c r="A2" s="46" t="s">
        <x:v>197</x:v>
      </x:c>
      <x:c r="B2" s="48" t="n">
        <x:f>INDEX('实盘净值数据(iFinD公式)'!$A$5:$A$60,$G$1)</x:f>
        <x:v>46191</x:v>
      </x:c>
      <x:c r="F2" s="47" t="s">
        <x:v>198</x:v>
      </x:c>
      <x:c r="G2" t="e">
        <x:f>SUMPRODUCT(实盘持仓配置!$B$4:$X$4,INDEX('实盘净值数据(iFinD公式)'!$B$5:$X$60,$G$1,0)/'实盘净值数据(iFinD公式)'!$B$6:$X$6)</x:f>
        <x:v>#NAME?</x:v>
      </x:c>
    </x:row>
    <x:row r="3" ht="14">
      <x:c r="F3" s="47" t="s">
        <x:v>199</x:v>
      </x:c>
      <x:c r="G3" t="e">
        <x:f>SUMPRODUCT(实盘持仓配置!$B$5:$X$5,INDEX('实盘净值数据(iFinD公式)'!$B$5:$X$60,$G$1,0)/'实盘净值数据(iFinD公式)'!$B$5:$X$5)</x:f>
        <x:v>#NAME?</x:v>
      </x:c>
    </x:row>
    <x:row r="4" ht="14.5">
      <x:c r="F4" s="49" t="s">
        <x:v>200</x:v>
      </x:c>
      <x:c r="G4" t="e">
        <x:f>SUMPRODUCT(实盘持仓配置!$B$6:$X$6,INDEX('实盘净值数据(iFinD公式)'!$B$5:$X$60,$G$1,0)/'实盘净值数据(iFinD公式)'!$B$7:$X$7)</x:f>
        <x:v>#NAME?</x:v>
      </x:c>
    </x:row>
    <x:row r="5" ht="14.5">
      <x:c r="A5" s="50" t="s">
        <x:v>1</x:v>
      </x:c>
      <x:c r="B5" s="50" t="s">
        <x:v>28</x:v>
      </x:c>
      <x:c r="C5" s="50" t="s">
        <x:v>201</x:v>
      </x:c>
      <x:c r="D5" s="50" t="s">
        <x:v>202</x:v>
      </x:c>
    </x:row>
    <x:row r="6" ht="14.5">
      <x:c r="A6" s="19" t="s">
        <x:v>203</x:v>
      </x:c>
      <x:c r="B6" s="51" t="s">
        <x:v>47</x:v>
      </x:c>
      <x:c r="C6" s="52" t="e">
        <x:f>实盘持仓配置!T$4</x:f>
        <x:v>#NAME?</x:v>
      </x:c>
      <x:c r="D6" s="52" t="e">
        <x:f>实盘持仓配置!T$4*INDEX('实盘净值数据(iFinD公式)'!T$5:T$60,$G$1)/'实盘净值数据(iFinD公式)'!T$6/$G$2</x:f>
        <x:v>#NAME?</x:v>
      </x:c>
    </x:row>
    <x:row r="7" ht="14.5">
      <x:c r="A7" s="19" t="s">
        <x:v>204</x:v>
      </x:c>
      <x:c r="B7" s="51" t="s">
        <x:v>34</x:v>
      </x:c>
      <x:c r="C7" s="52" t="e">
        <x:f>实盘持仓配置!G$4</x:f>
        <x:v>#NAME?</x:v>
      </x:c>
      <x:c r="D7" s="52" t="e">
        <x:f>实盘持仓配置!G$4*INDEX('实盘净值数据(iFinD公式)'!G$5:G$60,$G$1)/'实盘净值数据(iFinD公式)'!G$6/$G$2</x:f>
        <x:v>#NAME?</x:v>
      </x:c>
    </x:row>
    <x:row r="8" ht="14.5">
      <x:c r="A8" s="19" t="s">
        <x:v>78</x:v>
      </x:c>
      <x:c r="B8" s="51" t="s">
        <x:v>31</x:v>
      </x:c>
      <x:c r="C8" s="52" t="e">
        <x:f>实盘持仓配置!D$4</x:f>
        <x:v>#NAME?</x:v>
      </x:c>
      <x:c r="D8" s="52" t="e">
        <x:f>实盘持仓配置!D$4*INDEX('实盘净值数据(iFinD公式)'!D$5:D$60,$G$1)/'实盘净值数据(iFinD公式)'!D$6/$G$2</x:f>
        <x:v>#NAME?</x:v>
      </x:c>
    </x:row>
    <x:row r="9" ht="14.5">
      <x:c r="A9" s="19" t="s">
        <x:v>90</x:v>
      </x:c>
      <x:c r="B9" s="51" t="s">
        <x:v>44</x:v>
      </x:c>
      <x:c r="C9" s="52" t="e">
        <x:f>实盘持仓配置!Q$4</x:f>
        <x:v>#NAME?</x:v>
      </x:c>
      <x:c r="D9" s="52" t="e">
        <x:f>实盘持仓配置!Q$4*INDEX('实盘净值数据(iFinD公式)'!Q$5:Q$60,$G$1)/'实盘净值数据(iFinD公式)'!Q$6/$G$2</x:f>
        <x:v>#NAME?</x:v>
      </x:c>
    </x:row>
    <x:row r="10" ht="14.5">
      <x:c r="A10" s="19" t="s">
        <x:v>89</x:v>
      </x:c>
      <x:c r="B10" s="51" t="s">
        <x:v>43</x:v>
      </x:c>
      <x:c r="C10" s="52" t="e">
        <x:f>实盘持仓配置!P$4</x:f>
        <x:v>#NAME?</x:v>
      </x:c>
      <x:c r="D10" s="52" t="e">
        <x:f>实盘持仓配置!P$4*INDEX('实盘净值数据(iFinD公式)'!P$5:P$60,$G$1)/'实盘净值数据(iFinD公式)'!P$6/$G$2</x:f>
        <x:v>#NAME?</x:v>
      </x:c>
    </x:row>
    <x:row r="11" ht="14.5">
      <x:c r="A11" s="19" t="s">
        <x:v>83</x:v>
      </x:c>
      <x:c r="B11" s="51" t="s">
        <x:v>37</x:v>
      </x:c>
      <x:c r="C11" s="52" t="e">
        <x:f>实盘持仓配置!J$4</x:f>
        <x:v>#NAME?</x:v>
      </x:c>
      <x:c r="D11" s="52" t="e">
        <x:f>实盘持仓配置!J$4*INDEX('实盘净值数据(iFinD公式)'!J$5:J$60,$G$1)/'实盘净值数据(iFinD公式)'!J$6/$G$2</x:f>
        <x:v>#NAME?</x:v>
      </x:c>
    </x:row>
    <x:row r="12" ht="14.5">
      <x:c r="A12" s="19" t="s">
        <x:v>77</x:v>
      </x:c>
      <x:c r="B12" s="51" t="s">
        <x:v>30</x:v>
      </x:c>
      <x:c r="C12" s="52" t="e">
        <x:f>实盘持仓配置!C$4</x:f>
        <x:v>#NAME?</x:v>
      </x:c>
      <x:c r="D12" s="52" t="e">
        <x:f>实盘持仓配置!C$4*INDEX('实盘净值数据(iFinD公式)'!C$5:C$60,$G$1)/'实盘净值数据(iFinD公式)'!C$6/$G$2</x:f>
        <x:v>#NAME?</x:v>
      </x:c>
    </x:row>
    <x:row r="13" ht="14.5">
      <x:c r="A13" s="46" t="s">
        <x:v>25</x:v>
      </x:c>
      <x:c r="C13" s="53" t="e">
        <x:f>SUM(C6:C12)</x:f>
        <x:v>#NAME?</x:v>
      </x:c>
      <x:c r="D13" s="53" t="e">
        <x:f>SUM(D6:D12)</x:f>
        <x:v>#NAME?</x:v>
      </x:c>
    </x:row>
    <x:row r="15" ht="14.5">
      <x:c r="A15" s="46" t="s">
        <x:v>205</x:v>
      </x:c>
    </x:row>
    <x:row r="16" ht="14.5">
      <x:c r="A16" s="50" t="s">
        <x:v>1</x:v>
      </x:c>
      <x:c r="B16" s="50" t="s">
        <x:v>28</x:v>
      </x:c>
      <x:c r="C16" s="50" t="s">
        <x:v>201</x:v>
      </x:c>
      <x:c r="D16" s="50" t="s">
        <x:v>202</x:v>
      </x:c>
    </x:row>
    <x:row r="17" ht="14.5">
      <x:c r="A17" s="19" t="s">
        <x:v>203</x:v>
      </x:c>
      <x:c r="B17" s="51" t="s">
        <x:v>47</x:v>
      </x:c>
      <x:c r="C17" s="52" t="e">
        <x:f>实盘持仓配置!T$5</x:f>
        <x:v>#NAME?</x:v>
      </x:c>
      <x:c r="D17" s="52" t="e">
        <x:f>实盘持仓配置!T$5*INDEX('实盘净值数据(iFinD公式)'!T$5:T$60,$G$1)/'实盘净值数据(iFinD公式)'!T$5/$G$3</x:f>
        <x:v>#NAME?</x:v>
      </x:c>
    </x:row>
    <x:row r="18" ht="14.5">
      <x:c r="A18" s="19" t="s">
        <x:v>204</x:v>
      </x:c>
      <x:c r="B18" s="51" t="s">
        <x:v>34</x:v>
      </x:c>
      <x:c r="C18" s="52" t="e">
        <x:f>实盘持仓配置!G$5</x:f>
        <x:v>#NAME?</x:v>
      </x:c>
      <x:c r="D18" s="52" t="e">
        <x:f>实盘持仓配置!G$5*INDEX('实盘净值数据(iFinD公式)'!G$5:G$60,$G$1)/'实盘净值数据(iFinD公式)'!G$5/$G$3</x:f>
        <x:v>#NAME?</x:v>
      </x:c>
    </x:row>
    <x:row r="19" ht="14.5">
      <x:c r="A19" s="19" t="s">
        <x:v>78</x:v>
      </x:c>
      <x:c r="B19" s="51" t="s">
        <x:v>31</x:v>
      </x:c>
      <x:c r="C19" s="52" t="e">
        <x:f>实盘持仓配置!D$5</x:f>
        <x:v>#NAME?</x:v>
      </x:c>
      <x:c r="D19" s="52" t="e">
        <x:f>实盘持仓配置!D$5*INDEX('实盘净值数据(iFinD公式)'!D$5:D$60,$G$1)/'实盘净值数据(iFinD公式)'!D$5/$G$3</x:f>
        <x:v>#NAME?</x:v>
      </x:c>
    </x:row>
    <x:row r="20" ht="14.5">
      <x:c r="A20" s="19" t="s">
        <x:v>90</x:v>
      </x:c>
      <x:c r="B20" s="51" t="s">
        <x:v>44</x:v>
      </x:c>
      <x:c r="C20" s="52" t="e">
        <x:f>实盘持仓配置!Q$5</x:f>
        <x:v>#NAME?</x:v>
      </x:c>
      <x:c r="D20" s="52" t="e">
        <x:f>实盘持仓配置!Q$5*INDEX('实盘净值数据(iFinD公式)'!Q$5:Q$60,$G$1)/'实盘净值数据(iFinD公式)'!Q$5/$G$3</x:f>
        <x:v>#NAME?</x:v>
      </x:c>
    </x:row>
    <x:row r="21" ht="14.5">
      <x:c r="A21" s="19" t="s">
        <x:v>89</x:v>
      </x:c>
      <x:c r="B21" s="51" t="s">
        <x:v>43</x:v>
      </x:c>
      <x:c r="C21" s="52" t="e">
        <x:f>实盘持仓配置!P$5</x:f>
        <x:v>#NAME?</x:v>
      </x:c>
      <x:c r="D21" s="52" t="e">
        <x:f>实盘持仓配置!P$5*INDEX('实盘净值数据(iFinD公式)'!P$5:P$60,$G$1)/'实盘净值数据(iFinD公式)'!P$5/$G$3</x:f>
        <x:v>#NAME?</x:v>
      </x:c>
    </x:row>
    <x:row r="22" ht="14.5">
      <x:c r="A22" s="19" t="s">
        <x:v>83</x:v>
      </x:c>
      <x:c r="B22" s="51" t="s">
        <x:v>37</x:v>
      </x:c>
      <x:c r="C22" s="52" t="e">
        <x:f>实盘持仓配置!J$5</x:f>
        <x:v>#NAME?</x:v>
      </x:c>
      <x:c r="D22" s="52" t="e">
        <x:f>实盘持仓配置!J$5*INDEX('实盘净值数据(iFinD公式)'!J$5:J$60,$G$1)/'实盘净值数据(iFinD公式)'!J$5/$G$3</x:f>
        <x:v>#NAME?</x:v>
      </x:c>
    </x:row>
    <x:row r="23" ht="14.5">
      <x:c r="A23" s="19" t="s">
        <x:v>77</x:v>
      </x:c>
      <x:c r="B23" s="51" t="s">
        <x:v>30</x:v>
      </x:c>
      <x:c r="C23" s="52" t="e">
        <x:f>实盘持仓配置!C$5</x:f>
        <x:v>#NAME?</x:v>
      </x:c>
      <x:c r="D23" s="52" t="e">
        <x:f>实盘持仓配置!C$5*INDEX('实盘净值数据(iFinD公式)'!C$5:C$60,$G$1)/'实盘净值数据(iFinD公式)'!C$5/$G$3</x:f>
        <x:v>#NAME?</x:v>
      </x:c>
    </x:row>
    <x:row r="24" ht="14.5">
      <x:c r="A24" s="46" t="s">
        <x:v>25</x:v>
      </x:c>
      <x:c r="C24" s="53" t="e">
        <x:f>SUM(C17:C23)</x:f>
        <x:v>#NAME?</x:v>
      </x:c>
      <x:c r="D24" s="53" t="e">
        <x:f>SUM(D17:D23)</x:f>
        <x:v>#NAME?</x:v>
      </x:c>
    </x:row>
    <x:row r="26" ht="14.5">
      <x:c r="A26" s="46" t="s">
        <x:v>206</x:v>
      </x:c>
    </x:row>
    <x:row r="27" ht="14.5">
      <x:c r="A27" s="50" t="s">
        <x:v>1</x:v>
      </x:c>
      <x:c r="B27" s="50" t="s">
        <x:v>28</x:v>
      </x:c>
      <x:c r="C27" s="50" t="s">
        <x:v>201</x:v>
      </x:c>
      <x:c r="D27" s="50" t="s">
        <x:v>202</x:v>
      </x:c>
    </x:row>
    <x:row r="28" ht="14.5">
      <x:c r="A28" s="19" t="s">
        <x:v>207</x:v>
      </x:c>
      <x:c r="B28" s="51" t="s">
        <x:v>48</x:v>
      </x:c>
      <x:c r="C28" s="52" t="e">
        <x:f>实盘持仓配置!U$6</x:f>
        <x:v>#NAME?</x:v>
      </x:c>
      <x:c r="D28" s="52" t="e">
        <x:f>实盘持仓配置!U$6*INDEX('实盘净值数据(iFinD公式)'!U$5:U$60,$G$1)/'实盘净值数据(iFinD公式)'!U$7/$G$4</x:f>
        <x:v>#NAME?</x:v>
      </x:c>
    </x:row>
    <x:row r="29" ht="14.5">
      <x:c r="A29" s="19" t="s">
        <x:v>82</x:v>
      </x:c>
      <x:c r="B29" s="51" t="s">
        <x:v>35</x:v>
      </x:c>
      <x:c r="C29" s="52" t="e">
        <x:f>实盘持仓配置!H$6</x:f>
        <x:v>#NAME?</x:v>
      </x:c>
      <x:c r="D29" s="52" t="e">
        <x:f>实盘持仓配置!H$6*INDEX('实盘净值数据(iFinD公式)'!H$5:H$60,$G$1)/'实盘净值数据(iFinD公式)'!H$7/$G$4</x:f>
        <x:v>#NAME?</x:v>
      </x:c>
    </x:row>
    <x:row r="30" ht="14.5">
      <x:c r="A30" s="19" t="s">
        <x:v>92</x:v>
      </x:c>
      <x:c r="B30" s="51" t="s">
        <x:v>46</x:v>
      </x:c>
      <x:c r="C30" s="52" t="e">
        <x:f>实盘持仓配置!S$6</x:f>
        <x:v>#NAME?</x:v>
      </x:c>
      <x:c r="D30" s="52" t="e">
        <x:f>实盘持仓配置!S$6*INDEX('实盘净值数据(iFinD公式)'!S$5:S$60,$G$1)/'实盘净值数据(iFinD公式)'!S$7/$G$4</x:f>
        <x:v>#NAME?</x:v>
      </x:c>
    </x:row>
    <x:row r="31" ht="14.5">
      <x:c r="A31" s="19" t="s">
        <x:v>91</x:v>
      </x:c>
      <x:c r="B31" s="51" t="s">
        <x:v>45</x:v>
      </x:c>
      <x:c r="C31" s="52" t="e">
        <x:f>实盘持仓配置!R$6</x:f>
        <x:v>#NAME?</x:v>
      </x:c>
      <x:c r="D31" s="52" t="e">
        <x:f>实盘持仓配置!R$6*INDEX('实盘净值数据(iFinD公式)'!R$5:R$60,$G$1)/'实盘净值数据(iFinD公式)'!R$7/$G$4</x:f>
        <x:v>#NAME?</x:v>
      </x:c>
    </x:row>
    <x:row r="32" ht="14">
      <x:c r="A32" t="s">
        <x:v>9</x:v>
      </x:c>
      <x:c r="B32" s="51" t="s">
        <x:v>36</x:v>
      </x:c>
      <x:c r="C32" s="52" t="e">
        <x:f>实盘持仓配置!I$6</x:f>
        <x:v>#NAME?</x:v>
      </x:c>
      <x:c r="D32" s="52" t="e">
        <x:f>实盘持仓配置!I$6*INDEX('实盘净值数据(iFinD公式)'!I$5:I$60,$G$1)/'实盘净值数据(iFinD公式)'!I$7/$G$4</x:f>
        <x:v>#NAME?</x:v>
      </x:c>
    </x:row>
    <x:row r="33" ht="14.5">
      <x:c r="A33" s="19" t="s">
        <x:v>84</x:v>
      </x:c>
      <x:c r="B33" s="51" t="s">
        <x:v>38</x:v>
      </x:c>
      <x:c r="C33" s="52" t="e">
        <x:f>实盘持仓配置!K$6</x:f>
        <x:v>#NAME?</x:v>
      </x:c>
      <x:c r="D33" s="52" t="e">
        <x:f>实盘持仓配置!K$6*INDEX('实盘净值数据(iFinD公式)'!K$5:K$60,$G$1)/'实盘净值数据(iFinD公式)'!K$7/$G$4</x:f>
        <x:v>#NAME?</x:v>
      </x:c>
    </x:row>
    <x:row r="34" ht="14.5">
      <x:c r="A34" s="19" t="s">
        <x:v>77</x:v>
      </x:c>
      <x:c r="B34" s="51" t="s">
        <x:v>30</x:v>
      </x:c>
      <x:c r="C34" s="52" t="e">
        <x:f>实盘持仓配置!C$6</x:f>
        <x:v>#NAME?</x:v>
      </x:c>
      <x:c r="D34" s="52" t="e">
        <x:f>实盘持仓配置!C$6*INDEX('实盘净值数据(iFinD公式)'!C$5:C$60,$G$1)/'实盘净值数据(iFinD公式)'!C$7/$G$4</x:f>
        <x:v>#NAME?</x:v>
      </x:c>
    </x:row>
    <x:row r="35" ht="14.5">
      <x:c r="A35" s="46" t="s">
        <x:v>25</x:v>
      </x:c>
      <x:c r="C35" s="53" t="e">
        <x:f>SUM(C28:C34)</x:f>
        <x:v>#NAME?</x:v>
      </x:c>
      <x:c r="D35" s="53" t="e">
        <x:f>SUM(D28:D34)</x:f>
        <x:v>#NAME?</x:v>
      </x:c>
    </x:row>
  </x:sheetData>
  <x:conditionalFormatting sqref="D6:D12 D17:D23 D28:D34">
    <x:cfRule type="cellIs" dxfId="0" priority="2" operator="greaterThan">
      <x:formula>0.2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29" hidden="0" customWidth="1"/>
    <x:col min="4" max="4" width="14" hidden="0" customWidth="1"/>
    <x:col min="5" max="5" width="14" hidden="0" customWidth="1"/>
    <x:col min="6" max="6" width="15" hidden="0" customWidth="1"/>
    <x:col min="7" max="7" width="13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</x:cols>
  <x:sheetData>
    <x:row r="1" ht="28" customHeight="1">
      <x:c r="A1" s="68" t="str">
        <x:v>样板间投顾组合 · 偏离度监控</x:v>
      </x:c>
      <x:c r="B1" s="68"/>
      <x:c r="C1" s="68"/>
      <x:c r="D1" s="68"/>
      <x:c r="E1" s="68"/>
      <x:c r="F1" s="68"/>
      <x:c r="G1" s="68"/>
      <x:c r="H1" s="68"/>
      <x:c r="I1" s="68"/>
      <x:c r="J1" s="68"/>
      <x:c r="K1" s="68"/>
      <x:c r="L1" s="68"/>
    </x:row>
    <x:row r="2" ht="24" customHeight="1">
      <x:c r="A2" s="73" t="str">
        <x:v>净值截止日</x:v>
      </x:c>
      <x:c r="B2" s="74" t="n">
        <x:f>$B$82</x:f>
        <x:v>46241</x:v>
      </x:c>
      <x:c r="C2" s="73" t="str">
        <x:v>权重口径</x:v>
      </x:c>
      <x:c r="D2" s="73" t="str">
        <x:v>上一完整交易日（避免当日净值更新不同步）</x:v>
      </x:c>
      <x:c r="E2" s="73"/>
      <x:c r="F2" s="73"/>
      <x:c r="G2" s="73"/>
      <x:c r="H2" s="73"/>
      <x:c r="I2" s="73" t="str">
        <x:v>配比预警阈值</x:v>
      </x:c>
      <x:c r="J2" s="77" t="n">
        <x:v>0.02</x:v>
      </x:c>
      <x:c r="K2" s="73" t="str">
        <x:v>主动基金上限</x:v>
      </x:c>
      <x:c r="L2" s="77" t="n">
        <x:v>0.2</x:v>
      </x:c>
    </x:row>
    <x:row r="3" ht="28" customHeight="1">
      <x:c r="A3" s="80" t="str">
        <x:v>三个产业趋势组合展示全部最新持仓；10-90（含基石）及30-70的结构偏离按目标配比监控。红色表示超过约束或预警阈值。</x:v>
      </x:c>
      <x:c r="B3" s="80"/>
      <x:c r="C3" s="80"/>
      <x:c r="D3" s="80"/>
      <x:c r="E3" s="80"/>
      <x:c r="F3" s="80"/>
      <x:c r="G3" s="80"/>
      <x:c r="H3" s="80"/>
      <x:c r="I3" s="80"/>
      <x:c r="J3" s="80"/>
      <x:c r="K3" s="80"/>
      <x:c r="L3" s="80"/>
    </x:row>
    <x:row r="5" ht="21" customHeight="1">
      <x:c r="A5" s="84" t="str">
        <x:v>1. 三个产业趋势组合详细持仓及集中度风险</x:v>
      </x:c>
      <x:c r="B5" s="84"/>
      <x:c r="C5" s="84"/>
      <x:c r="D5" s="84"/>
      <x:c r="E5" s="84"/>
      <x:c r="F5" s="84" t="str">
        <x:v>数据截止日</x:v>
      </x:c>
      <x:c r="G5" s="90" t="n">
        <x:f>$B$82</x:f>
        <x:v>46241</x:v>
      </x:c>
    </x:row>
    <x:row r="6" ht="28" customHeight="1">
      <x:c r="A6" s="96" t="str">
        <x:v>组合</x:v>
      </x:c>
      <x:c r="B6" s="96" t="str">
        <x:v>基金代码</x:v>
      </x:c>
      <x:c r="C6" s="96" t="str">
        <x:v>基金简称</x:v>
      </x:c>
      <x:c r="D6" s="96" t="str">
        <x:v>基金类型</x:v>
      </x:c>
      <x:c r="E6" s="96" t="str">
        <x:v>当前权重</x:v>
      </x:c>
      <x:c r="F6" s="96" t="str">
        <x:v>是否超限</x:v>
      </x:c>
      <x:c r="G6" s="96" t="str">
        <x:v>调仓生效日</x:v>
      </x:c>
    </x:row>
    <x:row r="7">
      <x:c r="A7" s="73" t="str">
        <x:f>IF(B7&lt;&gt;"","产业趋势","")</x:f>
        <x:v>产业趋势</x:v>
      </x:c>
      <x:c r="B7" s="104" t="str">
        <x:f>IFERROR(INDEX(_xlfn._xlws.FILTER($A$53:$A$76,G$53:G$76&gt;0),1),"")</x:f>
        <x:v>000917.OF</x:v>
      </x:c>
      <x:c r="C7" s="104" t="str">
        <x:f>IFERROR(INDEX(_xlfn._xlws.FILTER($B$53:$B$76,G$53:G$76&gt;0),1),"")</x:f>
        <x:v>嘉实快线货币A</x:v>
      </x:c>
      <x:c r="D7" s="104" t="str">
        <x:f>IFERROR(INDEX(_xlfn._xlws.FILTER($E$53:$E$76,G$53:G$76&gt;0),1),"")</x:f>
        <x:v>货币</x:v>
      </x:c>
      <x:c r="E7" s="105" t="n">
        <x:f>IFERROR(INDEX(_xlfn._xlws.FILTER(G$53:G$76,G$53:G$76&gt;0),1),"")</x:f>
        <x:v>0.054338345878986755</x:v>
      </x:c>
      <x:c r="F7" s="104" t="str">
        <x:f>IF(B7="","",IF(D7&lt;&gt;"主动","不适用",IF(E7&gt;$L$2,"超限","正常")))</x:f>
        <x:v>不适用</x:v>
      </x:c>
      <x:c r="G7" s="106" t="n">
        <x:f>IF(B7&lt;&gt;"",G$84,"")</x:f>
        <x:v>46213</x:v>
      </x:c>
    </x:row>
    <x:row r="8">
      <x:c r="A8" s="73" t="str">
        <x:f>IF(B8&lt;&gt;"","产业趋势","")</x:f>
        <x:v>产业趋势</x:v>
      </x:c>
      <x:c r="B8" s="104" t="str">
        <x:f>IFERROR(INDEX(_xlfn._xlws.FILTER($A$53:$A$76,G$53:G$76&gt;0),2),"")</x:f>
        <x:v>001170.OF</x:v>
      </x:c>
      <x:c r="C8" s="104" t="str">
        <x:f>IFERROR(INDEX(_xlfn._xlws.FILTER($B$53:$B$76,G$53:G$76&gt;0),2),"")</x:f>
        <x:v>宏利复兴混合A</x:v>
      </x:c>
      <x:c r="D8" s="104" t="str">
        <x:f>IFERROR(INDEX(_xlfn._xlws.FILTER($E$53:$E$76,G$53:G$76&gt;0),2),"")</x:f>
        <x:v>主动</x:v>
      </x:c>
      <x:c r="E8" s="105" t="n">
        <x:f>IFERROR(INDEX(_xlfn._xlws.FILTER(G$53:G$76,G$53:G$76&gt;0),2),"")</x:f>
        <x:v>0.1681479854041161</x:v>
      </x:c>
      <x:c r="F8" s="104" t="str">
        <x:f>IF(B8="","",IF(D8&lt;&gt;"主动","不适用",IF(E8&gt;$L$2,"超限","正常")))</x:f>
        <x:v>正常</x:v>
      </x:c>
      <x:c r="G8" s="106" t="n">
        <x:f>IF(B8&lt;&gt;"",G$84,"")</x:f>
        <x:v>46213</x:v>
      </x:c>
    </x:row>
    <x:row r="9">
      <x:c r="A9" s="73" t="str">
        <x:f>IF(B9&lt;&gt;"","产业趋势","")</x:f>
        <x:v>产业趋势</x:v>
      </x:c>
      <x:c r="B9" s="104" t="str">
        <x:f>IFERROR(INDEX(_xlfn._xlws.FILTER($A$53:$A$76,G$53:G$76&gt;0),3),"")</x:f>
        <x:v>013840.OF</x:v>
      </x:c>
      <x:c r="C9" s="104" t="str">
        <x:f>IFERROR(INDEX(_xlfn._xlws.FILTER($B$53:$B$76,G$53:G$76&gt;0),3),"")</x:f>
        <x:v>银华集成电路混合A</x:v>
      </x:c>
      <x:c r="D9" s="104" t="str">
        <x:f>IFERROR(INDEX(_xlfn._xlws.FILTER($E$53:$E$76,G$53:G$76&gt;0),3),"")</x:f>
        <x:v>主动</x:v>
      </x:c>
      <x:c r="E9" s="105" t="n">
        <x:f>IFERROR(INDEX(_xlfn._xlws.FILTER(G$53:G$76,G$53:G$76&gt;0),3),"")</x:f>
        <x:v>0.24648996572257403</x:v>
      </x:c>
      <x:c r="F9" s="104" t="str">
        <x:f>IF(B9="","",IF(D9&lt;&gt;"主动","不适用",IF(E9&gt;$L$2,"超限","正常")))</x:f>
        <x:v>超限</x:v>
      </x:c>
      <x:c r="G9" s="106" t="n">
        <x:f>IF(B9&lt;&gt;"",G$84,"")</x:f>
        <x:v>46213</x:v>
      </x:c>
    </x:row>
    <x:row r="10">
      <x:c r="A10" s="73" t="str">
        <x:f>IF(B10&lt;&gt;"","产业趋势","")</x:f>
        <x:v>产业趋势</x:v>
      </x:c>
      <x:c r="B10" s="104" t="str">
        <x:f>IFERROR(INDEX(_xlfn._xlws.FILTER($A$53:$A$76,G$53:G$76&gt;0),4),"")</x:f>
        <x:v>016370.OF</x:v>
      </x:c>
      <x:c r="C10" s="104" t="str">
        <x:f>IFERROR(INDEX(_xlfn._xlws.FILTER($B$53:$B$76,G$53:G$76&gt;0),4),"")</x:f>
        <x:v>信澳业绩驱动A</x:v>
      </x:c>
      <x:c r="D10" s="104" t="str">
        <x:f>IFERROR(INDEX(_xlfn._xlws.FILTER($E$53:$E$76,G$53:G$76&gt;0),4),"")</x:f>
        <x:v>主动</x:v>
      </x:c>
      <x:c r="E10" s="105" t="n">
        <x:f>IFERROR(INDEX(_xlfn._xlws.FILTER(G$53:G$76,G$53:G$76&gt;0),4),"")</x:f>
        <x:v>0.15912488007417924</x:v>
      </x:c>
      <x:c r="F10" s="104" t="str">
        <x:f>IF(B10="","",IF(D10&lt;&gt;"主动","不适用",IF(E10&gt;$L$2,"超限","正常")))</x:f>
        <x:v>正常</x:v>
      </x:c>
      <x:c r="G10" s="106" t="n">
        <x:f>IF(B10&lt;&gt;"",G$84,"")</x:f>
        <x:v>46213</x:v>
      </x:c>
    </x:row>
    <x:row r="11">
      <x:c r="A11" s="73" t="str">
        <x:f>IF(B11&lt;&gt;"","产业趋势","")</x:f>
        <x:v>产业趋势</x:v>
      </x:c>
      <x:c r="B11" s="104" t="str">
        <x:f>IFERROR(INDEX(_xlfn._xlws.FILTER($A$53:$A$76,G$53:G$76&gt;0),5),"")</x:f>
        <x:v>017488.OF</x:v>
      </x:c>
      <x:c r="C11" s="104" t="str">
        <x:f>IFERROR(INDEX(_xlfn._xlws.FILTER($B$53:$B$76,G$53:G$76&gt;0),5),"")</x:f>
        <x:v>嘉实信息产业A</x:v>
      </x:c>
      <x:c r="D11" s="104" t="str">
        <x:f>IFERROR(INDEX(_xlfn._xlws.FILTER($E$53:$E$76,G$53:G$76&gt;0),5),"")</x:f>
        <x:v>主动</x:v>
      </x:c>
      <x:c r="E11" s="105" t="n">
        <x:f>IFERROR(INDEX(_xlfn._xlws.FILTER(G$53:G$76,G$53:G$76&gt;0),5),"")</x:f>
        <x:v>0.17230499151577977</x:v>
      </x:c>
      <x:c r="F11" s="104" t="str">
        <x:f>IF(B11="","",IF(D11&lt;&gt;"主动","不适用",IF(E11&gt;$L$2,"超限","正常")))</x:f>
        <x:v>正常</x:v>
      </x:c>
      <x:c r="G11" s="106" t="n">
        <x:f>IF(B11&lt;&gt;"",G$84,"")</x:f>
        <x:v>46213</x:v>
      </x:c>
    </x:row>
    <x:row r="12">
      <x:c r="A12" s="73" t="str">
        <x:f>IF(B12&lt;&gt;"","产业趋势","")</x:f>
        <x:v>产业趋势</x:v>
      </x:c>
      <x:c r="B12" s="104" t="str">
        <x:f>IFERROR(INDEX(_xlfn._xlws.FILTER($A$53:$A$76,G$53:G$76&gt;0),6),"")</x:f>
        <x:v>019632.OF</x:v>
      </x:c>
      <x:c r="C12" s="104" t="str">
        <x:f>IFERROR(INDEX(_xlfn._xlws.FILTER($B$53:$B$76,G$53:G$76&gt;0),6),"")</x:f>
        <x:v>国泰半导体材料设备ETF联接A</x:v>
      </x:c>
      <x:c r="D12" s="104" t="str">
        <x:f>IFERROR(INDEX(_xlfn._xlws.FILTER($E$53:$E$76,G$53:G$76&gt;0),6),"")</x:f>
        <x:v>指数</x:v>
      </x:c>
      <x:c r="E12" s="105" t="n">
        <x:f>IFERROR(INDEX(_xlfn._xlws.FILTER(G$53:G$76,G$53:G$76&gt;0),6),"")</x:f>
        <x:v>0.1311286607566896</x:v>
      </x:c>
      <x:c r="F12" s="104" t="str">
        <x:f>IF(B12="","",IF(D12&lt;&gt;"主动","不适用",IF(E12&gt;$L$2,"超限","正常")))</x:f>
        <x:v>不适用</x:v>
      </x:c>
      <x:c r="G12" s="106" t="n">
        <x:f>IF(B12&lt;&gt;"",G$84,"")</x:f>
        <x:v>46213</x:v>
      </x:c>
    </x:row>
    <x:row r="13">
      <x:c r="A13" s="73" t="str">
        <x:f>IF(B13&lt;&gt;"","产业趋势","")</x:f>
        <x:v>产业趋势</x:v>
      </x:c>
      <x:c r="B13" s="104" t="str">
        <x:f>IFERROR(INDEX(_xlfn._xlws.FILTER($A$53:$A$76,G$53:G$76&gt;0),7),"")</x:f>
        <x:v>162214.OF</x:v>
      </x:c>
      <x:c r="C13" s="104" t="str">
        <x:f>IFERROR(INDEX(_xlfn._xlws.FILTER($B$53:$B$76,G$53:G$76&gt;0),7),"")</x:f>
        <x:v>宏利领先中小盘混合</x:v>
      </x:c>
      <x:c r="D13" s="104" t="str">
        <x:f>IFERROR(INDEX(_xlfn._xlws.FILTER($E$53:$E$76,G$53:G$76&gt;0),7),"")</x:f>
        <x:v>主动</x:v>
      </x:c>
      <x:c r="E13" s="105" t="n">
        <x:f>IFERROR(INDEX(_xlfn._xlws.FILTER(G$53:G$76,G$53:G$76&gt;0),7),"")</x:f>
        <x:v>0.06846517064767443</x:v>
      </x:c>
      <x:c r="F13" s="104" t="str">
        <x:f>IF(B13="","",IF(D13&lt;&gt;"主动","不适用",IF(E13&gt;$L$2,"超限","正常")))</x:f>
        <x:v>正常</x:v>
      </x:c>
      <x:c r="G13" s="106" t="n">
        <x:f>IF(B13&lt;&gt;"",G$84,"")</x:f>
        <x:v>46213</x:v>
      </x:c>
    </x:row>
    <x:row r="14">
      <x:c r="A14" s="73" t="str">
        <x:f>IF(B14&lt;&gt;"","产业趋势","")</x:f>
      </x:c>
      <x:c r="B14" s="104" t="str">
        <x:f>IFERROR(INDEX(_xlfn._xlws.FILTER($A$53:$A$76,G$53:G$76&gt;0),8),"")</x:f>
      </x:c>
      <x:c r="C14" s="104" t="str">
        <x:f>IFERROR(INDEX(_xlfn._xlws.FILTER($B$53:$B$76,G$53:G$76&gt;0),8),"")</x:f>
      </x:c>
      <x:c r="D14" s="104" t="str">
        <x:f>IFERROR(INDEX(_xlfn._xlws.FILTER($E$53:$E$76,G$53:G$76&gt;0),8),"")</x:f>
      </x:c>
      <x:c r="E14" s="105" t="str">
        <x:f>IFERROR(INDEX(_xlfn._xlws.FILTER(G$53:G$76,G$53:G$76&gt;0),8),"")</x:f>
      </x:c>
      <x:c r="F14" s="104" t="str">
        <x:f>IF(B14="","",IF(D14&lt;&gt;"主动","不适用",IF(E14&gt;$L$2,"超限","正常")))</x:f>
      </x:c>
      <x:c r="G14" s="106" t="str">
        <x:f>IF(B14&lt;&gt;"",G$84,"")</x:f>
      </x:c>
    </x:row>
    <x:row r="15">
      <x:c r="A15" s="73" t="str">
        <x:f>IF(B15&lt;&gt;"","产业趋势基石","")</x:f>
        <x:v>产业趋势基石</x:v>
      </x:c>
      <x:c r="B15" s="104" t="str">
        <x:f>IFERROR(INDEX(_xlfn._xlws.FILTER($A$53:$A$76,H$53:H$76&gt;0),1),"")</x:f>
        <x:v>000917.OF</x:v>
      </x:c>
      <x:c r="C15" s="104" t="str">
        <x:f>IFERROR(INDEX(_xlfn._xlws.FILTER($B$53:$B$76,H$53:H$76&gt;0),1),"")</x:f>
        <x:v>嘉实快线货币A</x:v>
      </x:c>
      <x:c r="D15" s="104" t="str">
        <x:f>IFERROR(INDEX(_xlfn._xlws.FILTER($E$53:$E$76,H$53:H$76&gt;0),1),"")</x:f>
        <x:v>货币</x:v>
      </x:c>
      <x:c r="E15" s="105" t="n">
        <x:f>IFERROR(INDEX(_xlfn._xlws.FILTER(H$53:H$76,H$53:H$76&gt;0),1),"")</x:f>
        <x:v>0.05313303323780936</x:v>
      </x:c>
      <x:c r="F15" s="104" t="str">
        <x:f>IF(B15="","",IF(D15&lt;&gt;"主动","不适用",IF(E15&gt;$L$2,"超限","正常")))</x:f>
        <x:v>不适用</x:v>
      </x:c>
      <x:c r="G15" s="106" t="n">
        <x:f>IF(B15&lt;&gt;"",H$84,"")</x:f>
        <x:v>46213</x:v>
      </x:c>
    </x:row>
    <x:row r="16">
      <x:c r="A16" s="73" t="str">
        <x:f>IF(B16&lt;&gt;"","产业趋势基石","")</x:f>
        <x:v>产业趋势基石</x:v>
      </x:c>
      <x:c r="B16" s="104" t="str">
        <x:f>IFERROR(INDEX(_xlfn._xlws.FILTER($A$53:$A$76,H$53:H$76&gt;0),2),"")</x:f>
        <x:v>001170.OF</x:v>
      </x:c>
      <x:c r="C16" s="104" t="str">
        <x:f>IFERROR(INDEX(_xlfn._xlws.FILTER($B$53:$B$76,H$53:H$76&gt;0),2),"")</x:f>
        <x:v>宏利复兴混合A</x:v>
      </x:c>
      <x:c r="D16" s="104" t="str">
        <x:f>IFERROR(INDEX(_xlfn._xlws.FILTER($E$53:$E$76,H$53:H$76&gt;0),2),"")</x:f>
        <x:v>主动</x:v>
      </x:c>
      <x:c r="E16" s="105" t="n">
        <x:f>IFERROR(INDEX(_xlfn._xlws.FILTER(H$53:H$76,H$53:H$76&gt;0),2),"")</x:f>
        <x:v>0.16972434194387825</x:v>
      </x:c>
      <x:c r="F16" s="104" t="str">
        <x:f>IF(B16="","",IF(D16&lt;&gt;"主动","不适用",IF(E16&gt;$L$2,"超限","正常")))</x:f>
        <x:v>正常</x:v>
      </x:c>
      <x:c r="G16" s="106" t="n">
        <x:f>IF(B16&lt;&gt;"",H$84,"")</x:f>
        <x:v>46213</x:v>
      </x:c>
    </x:row>
    <x:row r="17">
      <x:c r="A17" s="73" t="str">
        <x:f>IF(B17&lt;&gt;"","产业趋势基石","")</x:f>
        <x:v>产业趋势基石</x:v>
      </x:c>
      <x:c r="B17" s="104" t="str">
        <x:f>IFERROR(INDEX(_xlfn._xlws.FILTER($A$53:$A$76,H$53:H$76&gt;0),3),"")</x:f>
        <x:v>013840.OF</x:v>
      </x:c>
      <x:c r="C17" s="104" t="str">
        <x:f>IFERROR(INDEX(_xlfn._xlws.FILTER($B$53:$B$76,H$53:H$76&gt;0),3),"")</x:f>
        <x:v>银华集成电路混合A</x:v>
      </x:c>
      <x:c r="D17" s="104" t="str">
        <x:f>IFERROR(INDEX(_xlfn._xlws.FILTER($E$53:$E$76,H$53:H$76&gt;0),3),"")</x:f>
        <x:v>主动</x:v>
      </x:c>
      <x:c r="E17" s="105" t="n">
        <x:f>IFERROR(INDEX(_xlfn._xlws.FILTER(H$53:H$76,H$53:H$76&gt;0),3),"")</x:f>
        <x:v>0.24475713621132436</x:v>
      </x:c>
      <x:c r="F17" s="104" t="str">
        <x:f>IF(B17="","",IF(D17&lt;&gt;"主动","不适用",IF(E17&gt;$L$2,"超限","正常")))</x:f>
        <x:v>超限</x:v>
      </x:c>
      <x:c r="G17" s="106" t="n">
        <x:f>IF(B17&lt;&gt;"",H$84,"")</x:f>
        <x:v>46213</x:v>
      </x:c>
    </x:row>
    <x:row r="18">
      <x:c r="A18" s="73" t="str">
        <x:f>IF(B18&lt;&gt;"","产业趋势基石","")</x:f>
        <x:v>产业趋势基石</x:v>
      </x:c>
      <x:c r="B18" s="104" t="str">
        <x:f>IFERROR(INDEX(_xlfn._xlws.FILTER($A$53:$A$76,H$53:H$76&gt;0),4),"")</x:f>
        <x:v>016370.OF</x:v>
      </x:c>
      <x:c r="C18" s="104" t="str">
        <x:f>IFERROR(INDEX(_xlfn._xlws.FILTER($B$53:$B$76,H$53:H$76&gt;0),4),"")</x:f>
        <x:v>信澳业绩驱动A</x:v>
      </x:c>
      <x:c r="D18" s="104" t="str">
        <x:f>IFERROR(INDEX(_xlfn._xlws.FILTER($E$53:$E$76,H$53:H$76&gt;0),4),"")</x:f>
        <x:v>主动</x:v>
      </x:c>
      <x:c r="E18" s="105" t="n">
        <x:f>IFERROR(INDEX(_xlfn._xlws.FILTER(H$53:H$76,H$53:H$76&gt;0),4),"")</x:f>
        <x:v>0.15902507905426536</x:v>
      </x:c>
      <x:c r="F18" s="104" t="str">
        <x:f>IF(B18="","",IF(D18&lt;&gt;"主动","不适用",IF(E18&gt;$L$2,"超限","正常")))</x:f>
        <x:v>正常</x:v>
      </x:c>
      <x:c r="G18" s="106" t="n">
        <x:f>IF(B18&lt;&gt;"",H$84,"")</x:f>
        <x:v>46213</x:v>
      </x:c>
    </x:row>
    <x:row r="19">
      <x:c r="A19" s="73" t="str">
        <x:f>IF(B19&lt;&gt;"","产业趋势基石","")</x:f>
        <x:v>产业趋势基石</x:v>
      </x:c>
      <x:c r="B19" s="104" t="str">
        <x:f>IFERROR(INDEX(_xlfn._xlws.FILTER($A$53:$A$76,H$53:H$76&gt;0),5),"")</x:f>
        <x:v>017488.OF</x:v>
      </x:c>
      <x:c r="C19" s="104" t="str">
        <x:f>IFERROR(INDEX(_xlfn._xlws.FILTER($B$53:$B$76,H$53:H$76&gt;0),5),"")</x:f>
        <x:v>嘉实信息产业A</x:v>
      </x:c>
      <x:c r="D19" s="104" t="str">
        <x:f>IFERROR(INDEX(_xlfn._xlws.FILTER($E$53:$E$76,H$53:H$76&gt;0),5),"")</x:f>
        <x:v>主动</x:v>
      </x:c>
      <x:c r="E19" s="105" t="n">
        <x:f>IFERROR(INDEX(_xlfn._xlws.FILTER(H$53:H$76,H$53:H$76&gt;0),5),"")</x:f>
        <x:v>0.17310992190249347</x:v>
      </x:c>
      <x:c r="F19" s="104" t="str">
        <x:f>IF(B19="","",IF(D19&lt;&gt;"主动","不适用",IF(E19&gt;$L$2,"超限","正常")))</x:f>
        <x:v>正常</x:v>
      </x:c>
      <x:c r="G19" s="106" t="n">
        <x:f>IF(B19&lt;&gt;"",H$84,"")</x:f>
        <x:v>46213</x:v>
      </x:c>
    </x:row>
    <x:row r="20">
      <x:c r="A20" s="73" t="str">
        <x:f>IF(B20&lt;&gt;"","产业趋势基石","")</x:f>
        <x:v>产业趋势基石</x:v>
      </x:c>
      <x:c r="B20" s="104" t="str">
        <x:f>IFERROR(INDEX(_xlfn._xlws.FILTER($A$53:$A$76,H$53:H$76&gt;0),6),"")</x:f>
        <x:v>019632.OF</x:v>
      </x:c>
      <x:c r="C20" s="104" t="str">
        <x:f>IFERROR(INDEX(_xlfn._xlws.FILTER($B$53:$B$76,H$53:H$76&gt;0),6),"")</x:f>
        <x:v>国泰半导体材料设备ETF联接A</x:v>
      </x:c>
      <x:c r="D20" s="104" t="str">
        <x:f>IFERROR(INDEX(_xlfn._xlws.FILTER($E$53:$E$76,H$53:H$76&gt;0),6),"")</x:f>
        <x:v>指数</x:v>
      </x:c>
      <x:c r="E20" s="105" t="n">
        <x:f>IFERROR(INDEX(_xlfn._xlws.FILTER(H$53:H$76,H$53:H$76&gt;0),6),"")</x:f>
        <x:v>0.1317750117897416</x:v>
      </x:c>
      <x:c r="F20" s="104" t="str">
        <x:f>IF(B20="","",IF(D20&lt;&gt;"主动","不适用",IF(E20&gt;$L$2,"超限","正常")))</x:f>
        <x:v>不适用</x:v>
      </x:c>
      <x:c r="G20" s="106" t="n">
        <x:f>IF(B20&lt;&gt;"",H$84,"")</x:f>
        <x:v>46213</x:v>
      </x:c>
    </x:row>
    <x:row r="21">
      <x:c r="A21" s="73" t="str">
        <x:f>IF(B21&lt;&gt;"","产业趋势基石","")</x:f>
        <x:v>产业趋势基石</x:v>
      </x:c>
      <x:c r="B21" s="104" t="str">
        <x:f>IFERROR(INDEX(_xlfn._xlws.FILTER($A$53:$A$76,H$53:H$76&gt;0),7),"")</x:f>
        <x:v>162214.OF</x:v>
      </x:c>
      <x:c r="C21" s="104" t="str">
        <x:f>IFERROR(INDEX(_xlfn._xlws.FILTER($B$53:$B$76,H$53:H$76&gt;0),7),"")</x:f>
        <x:v>宏利领先中小盘混合</x:v>
      </x:c>
      <x:c r="D21" s="104" t="str">
        <x:f>IFERROR(INDEX(_xlfn._xlws.FILTER($E$53:$E$76,H$53:H$76&gt;0),7),"")</x:f>
        <x:v>主动</x:v>
      </x:c>
      <x:c r="E21" s="105" t="n">
        <x:f>IFERROR(INDEX(_xlfn._xlws.FILTER(H$53:H$76,H$53:H$76&gt;0),7),"")</x:f>
        <x:v>0.06847547586048766</x:v>
      </x:c>
      <x:c r="F21" s="104" t="str">
        <x:f>IF(B21="","",IF(D21&lt;&gt;"主动","不适用",IF(E21&gt;$L$2,"超限","正常")))</x:f>
        <x:v>正常</x:v>
      </x:c>
      <x:c r="G21" s="106" t="n">
        <x:f>IF(B21&lt;&gt;"",H$84,"")</x:f>
        <x:v>46213</x:v>
      </x:c>
    </x:row>
    <x:row r="22">
      <x:c r="A22" s="73" t="str">
        <x:f>IF(B22&lt;&gt;"","产业趋势基石","")</x:f>
      </x:c>
      <x:c r="B22" s="104" t="str">
        <x:f>IFERROR(INDEX(_xlfn._xlws.FILTER($A$53:$A$76,H$53:H$76&gt;0),8),"")</x:f>
      </x:c>
      <x:c r="C22" s="104" t="str">
        <x:f>IFERROR(INDEX(_xlfn._xlws.FILTER($B$53:$B$76,H$53:H$76&gt;0),8),"")</x:f>
      </x:c>
      <x:c r="D22" s="104" t="str">
        <x:f>IFERROR(INDEX(_xlfn._xlws.FILTER($E$53:$E$76,H$53:H$76&gt;0),8),"")</x:f>
      </x:c>
      <x:c r="E22" s="105" t="str">
        <x:f>IFERROR(INDEX(_xlfn._xlws.FILTER(H$53:H$76,H$53:H$76&gt;0),8),"")</x:f>
      </x:c>
      <x:c r="F22" s="104" t="str">
        <x:f>IF(B22="","",IF(D22&lt;&gt;"主动","不适用",IF(E22&gt;$L$2,"超限","正常")))</x:f>
      </x:c>
      <x:c r="G22" s="106" t="str">
        <x:f>IF(B22&lt;&gt;"",H$84,"")</x:f>
      </x:c>
    </x:row>
    <x:row r="23">
      <x:c r="A23" s="73" t="str">
        <x:f>IF(B23&lt;&gt;"","产业趋势2号","")</x:f>
        <x:v>产业趋势2号</x:v>
      </x:c>
      <x:c r="B23" s="104" t="str">
        <x:f>IFERROR(INDEX(_xlfn._xlws.FILTER($A$53:$A$76,I$53:I$76&gt;0),1),"")</x:f>
        <x:v>000917.OF</x:v>
      </x:c>
      <x:c r="C23" s="104" t="str">
        <x:f>IFERROR(INDEX(_xlfn._xlws.FILTER($B$53:$B$76,I$53:I$76&gt;0),1),"")</x:f>
        <x:v>嘉实快线货币A</x:v>
      </x:c>
      <x:c r="D23" s="104" t="str">
        <x:f>IFERROR(INDEX(_xlfn._xlws.FILTER($E$53:$E$76,I$53:I$76&gt;0),1),"")</x:f>
        <x:v>货币</x:v>
      </x:c>
      <x:c r="E23" s="105" t="n">
        <x:f>IFERROR(INDEX(_xlfn._xlws.FILTER(I$53:I$76,I$53:I$76&gt;0),1),"")</x:f>
        <x:v>0.05128012799377769</x:v>
      </x:c>
      <x:c r="F23" s="104" t="str">
        <x:f>IF(B23="","",IF(D23&lt;&gt;"主动","不适用",IF(E23&gt;$L$2,"超限","正常")))</x:f>
        <x:v>不适用</x:v>
      </x:c>
      <x:c r="G23" s="106" t="n">
        <x:f>IF(B23&lt;&gt;"",I$84,"")</x:f>
        <x:v>46213</x:v>
      </x:c>
    </x:row>
    <x:row r="24">
      <x:c r="A24" s="73" t="str">
        <x:f>IF(B24&lt;&gt;"","产业趋势2号","")</x:f>
        <x:v>产业趋势2号</x:v>
      </x:c>
      <x:c r="B24" s="104" t="str">
        <x:f>IFERROR(INDEX(_xlfn._xlws.FILTER($A$53:$A$76,I$53:I$76&gt;0),2),"")</x:f>
        <x:v>009993.OF</x:v>
      </x:c>
      <x:c r="C24" s="104" t="str">
        <x:f>IFERROR(INDEX(_xlfn._xlws.FILTER($B$53:$B$76,I$53:I$76&gt;0),2),"")</x:f>
        <x:v>嘉实前沿科技创新</x:v>
      </x:c>
      <x:c r="D24" s="104" t="str">
        <x:f>IFERROR(INDEX(_xlfn._xlws.FILTER($E$53:$E$76,I$53:I$76&gt;0),2),"")</x:f>
        <x:v>主动</x:v>
      </x:c>
      <x:c r="E24" s="105" t="n">
        <x:f>IFERROR(INDEX(_xlfn._xlws.FILTER(I$53:I$76,I$53:I$76&gt;0),2),"")</x:f>
        <x:v>0.18643460253095584</x:v>
      </x:c>
      <x:c r="F24" s="104" t="str">
        <x:f>IF(B24="","",IF(D24&lt;&gt;"主动","不适用",IF(E24&gt;$L$2,"超限","正常")))</x:f>
        <x:v>正常</x:v>
      </x:c>
      <x:c r="G24" s="106" t="n">
        <x:f>IF(B24&lt;&gt;"",I$84,"")</x:f>
        <x:v>46213</x:v>
      </x:c>
    </x:row>
    <x:row r="25">
      <x:c r="A25" s="73" t="str">
        <x:f>IF(B25&lt;&gt;"","产业趋势2号","")</x:f>
        <x:v>产业趋势2号</x:v>
      </x:c>
      <x:c r="B25" s="104" t="str">
        <x:f>IFERROR(INDEX(_xlfn._xlws.FILTER($A$53:$A$76,I$53:I$76&gt;0),3),"")</x:f>
        <x:v>013841.OF</x:v>
      </x:c>
      <x:c r="C25" s="104" t="str">
        <x:f>IFERROR(INDEX(_xlfn._xlws.FILTER($B$53:$B$76,I$53:I$76&gt;0),3),"")</x:f>
        <x:v>银华集成电路混合C</x:v>
      </x:c>
      <x:c r="D25" s="104" t="str">
        <x:f>IFERROR(INDEX(_xlfn._xlws.FILTER($E$53:$E$76,I$53:I$76&gt;0),3),"")</x:f>
        <x:v>主动</x:v>
      </x:c>
      <x:c r="E25" s="105" t="n">
        <x:f>IFERROR(INDEX(_xlfn._xlws.FILTER(I$53:I$76,I$53:I$76&gt;0),3),"")</x:f>
        <x:v>0.23333425378822176</x:v>
      </x:c>
      <x:c r="F25" s="104" t="str">
        <x:f>IF(B25="","",IF(D25&lt;&gt;"主动","不适用",IF(E25&gt;$L$2,"超限","正常")))</x:f>
        <x:v>超限</x:v>
      </x:c>
      <x:c r="G25" s="106" t="n">
        <x:f>IF(B25&lt;&gt;"",I$84,"")</x:f>
        <x:v>46213</x:v>
      </x:c>
    </x:row>
    <x:row r="26">
      <x:c r="A26" s="73" t="str">
        <x:f>IF(B26&lt;&gt;"","产业趋势2号","")</x:f>
        <x:v>产业趋势2号</x:v>
      </x:c>
      <x:c r="B26" s="104" t="str">
        <x:f>IFERROR(INDEX(_xlfn._xlws.FILTER($A$53:$A$76,I$53:I$76&gt;0),4),"")</x:f>
        <x:v>017489.OF</x:v>
      </x:c>
      <x:c r="C26" s="104" t="str">
        <x:f>IFERROR(INDEX(_xlfn._xlws.FILTER($B$53:$B$76,I$53:I$76&gt;0),4),"")</x:f>
        <x:v>嘉实信息产业C</x:v>
      </x:c>
      <x:c r="D26" s="104" t="str">
        <x:f>IFERROR(INDEX(_xlfn._xlws.FILTER($E$53:$E$76,I$53:I$76&gt;0),4),"")</x:f>
        <x:v>主动</x:v>
      </x:c>
      <x:c r="E26" s="105" t="n">
        <x:f>IFERROR(INDEX(_xlfn._xlws.FILTER(I$53:I$76,I$53:I$76&gt;0),4),"")</x:f>
        <x:v>0.16814227790813516</x:v>
      </x:c>
      <x:c r="F26" s="104" t="str">
        <x:f>IF(B26="","",IF(D26&lt;&gt;"主动","不适用",IF(E26&gt;$L$2,"超限","正常")))</x:f>
        <x:v>正常</x:v>
      </x:c>
      <x:c r="G26" s="106" t="n">
        <x:f>IF(B26&lt;&gt;"",I$84,"")</x:f>
        <x:v>46213</x:v>
      </x:c>
    </x:row>
    <x:row r="27">
      <x:c r="A27" s="73" t="str">
        <x:f>IF(B27&lt;&gt;"","产业趋势2号","")</x:f>
        <x:v>产业趋势2号</x:v>
      </x:c>
      <x:c r="B27" s="104" t="str">
        <x:f>IFERROR(INDEX(_xlfn._xlws.FILTER($A$53:$A$76,I$53:I$76&gt;0),5),"")</x:f>
        <x:v>017612.OF</x:v>
      </x:c>
      <x:c r="C27" s="104" t="str">
        <x:f>IFERROR(INDEX(_xlfn._xlws.FILTER($B$53:$B$76,I$53:I$76&gt;0),5),"")</x:f>
        <x:v>宏利复兴伟业C</x:v>
      </x:c>
      <x:c r="D27" s="104" t="str">
        <x:f>IFERROR(INDEX(_xlfn._xlws.FILTER($E$53:$E$76,I$53:I$76&gt;0),5),"")</x:f>
        <x:v>主动</x:v>
      </x:c>
      <x:c r="E27" s="105" t="n">
        <x:f>IFERROR(INDEX(_xlfn._xlws.FILTER(I$53:I$76,I$53:I$76&gt;0),5),"")</x:f>
        <x:v>0.16735538109816184</x:v>
      </x:c>
      <x:c r="F27" s="104" t="str">
        <x:f>IF(B27="","",IF(D27&lt;&gt;"主动","不适用",IF(E27&gt;$L$2,"超限","正常")))</x:f>
        <x:v>正常</x:v>
      </x:c>
      <x:c r="G27" s="106" t="n">
        <x:f>IF(B27&lt;&gt;"",I$84,"")</x:f>
        <x:v>46213</x:v>
      </x:c>
    </x:row>
    <x:row r="28">
      <x:c r="A28" s="73" t="str">
        <x:f>IF(B28&lt;&gt;"","产业趋势2号","")</x:f>
        <x:v>产业趋势2号</x:v>
      </x:c>
      <x:c r="B28" s="104" t="str">
        <x:f>IFERROR(INDEX(_xlfn._xlws.FILTER($A$53:$A$76,I$53:I$76&gt;0),6),"")</x:f>
        <x:v>019633.OF</x:v>
      </x:c>
      <x:c r="C28" s="104" t="str">
        <x:f>IFERROR(INDEX(_xlfn._xlws.FILTER($B$53:$B$76,I$53:I$76&gt;0),6),"")</x:f>
        <x:v>国泰半导体材料设备C</x:v>
      </x:c>
      <x:c r="D28" s="104" t="str">
        <x:f>IFERROR(INDEX(_xlfn._xlws.FILTER($E$53:$E$76,I$53:I$76&gt;0),6),"")</x:f>
        <x:v>指数</x:v>
      </x:c>
      <x:c r="E28" s="105" t="n">
        <x:f>IFERROR(INDEX(_xlfn._xlws.FILTER(I$53:I$76,I$53:I$76&gt;0),6),"")</x:f>
        <x:v>0.12507142493000778</x:v>
      </x:c>
      <x:c r="F28" s="104" t="str">
        <x:f>IF(B28="","",IF(D28&lt;&gt;"主动","不适用",IF(E28&gt;$L$2,"超限","正常")))</x:f>
        <x:v>不适用</x:v>
      </x:c>
      <x:c r="G28" s="106" t="n">
        <x:f>IF(B28&lt;&gt;"",I$84,"")</x:f>
        <x:v>46213</x:v>
      </x:c>
    </x:row>
    <x:row r="29">
      <x:c r="A29" s="73" t="str">
        <x:f>IF(B29&lt;&gt;"","产业趋势2号","")</x:f>
        <x:v>产业趋势2号</x:v>
      </x:c>
      <x:c r="B29" s="104" t="str">
        <x:f>IFERROR(INDEX(_xlfn._xlws.FILTER($A$53:$A$76,I$53:I$76&gt;0),7),"")</x:f>
        <x:v>162214.OF</x:v>
      </x:c>
      <x:c r="C29" s="104" t="str">
        <x:f>IFERROR(INDEX(_xlfn._xlws.FILTER($B$53:$B$76,I$53:I$76&gt;0),7),"")</x:f>
        <x:v>宏利领先中小盘混合</x:v>
      </x:c>
      <x:c r="D29" s="104" t="str">
        <x:f>IFERROR(INDEX(_xlfn._xlws.FILTER($E$53:$E$76,I$53:I$76&gt;0),7),"")</x:f>
        <x:v>主动</x:v>
      </x:c>
      <x:c r="E29" s="105" t="n">
        <x:f>IFERROR(INDEX(_xlfn._xlws.FILTER(I$53:I$76,I$53:I$76&gt;0),7),"")</x:f>
        <x:v>0.06838193175074</x:v>
      </x:c>
      <x:c r="F29" s="104" t="str">
        <x:f>IF(B29="","",IF(D29&lt;&gt;"主动","不适用",IF(E29&gt;$L$2,"超限","正常")))</x:f>
        <x:v>正常</x:v>
      </x:c>
      <x:c r="G29" s="106" t="n">
        <x:f>IF(B29&lt;&gt;"",I$84,"")</x:f>
        <x:v>46213</x:v>
      </x:c>
    </x:row>
    <x:row r="30">
      <x:c r="A30" s="73" t="str">
        <x:f>IF(B30&lt;&gt;"","产业趋势2号","")</x:f>
      </x:c>
      <x:c r="B30" s="104" t="str">
        <x:f>IFERROR(INDEX(_xlfn._xlws.FILTER($A$53:$A$76,I$53:I$76&gt;0),8),"")</x:f>
      </x:c>
      <x:c r="C30" s="104" t="str">
        <x:f>IFERROR(INDEX(_xlfn._xlws.FILTER($B$53:$B$76,I$53:I$76&gt;0),8),"")</x:f>
      </x:c>
      <x:c r="D30" s="104" t="str">
        <x:f>IFERROR(INDEX(_xlfn._xlws.FILTER($E$53:$E$76,I$53:I$76&gt;0),8),"")</x:f>
      </x:c>
      <x:c r="E30" s="105" t="str">
        <x:f>IFERROR(INDEX(_xlfn._xlws.FILTER(I$53:I$76,I$53:I$76&gt;0),8),"")</x:f>
      </x:c>
      <x:c r="F30" s="104" t="str">
        <x:f>IF(B30="","",IF(D30&lt;&gt;"主动","不适用",IF(E30&gt;$L$2,"超限","正常")))</x:f>
      </x:c>
      <x:c r="G30" s="106" t="str">
        <x:f>IF(B30&lt;&gt;"",I$84,"")</x:f>
      </x:c>
    </x:row>
    <x:row r="31">
      <x:c r="A31" s="108" t="str">
        <x:v>约束口径：仅“主动”基金适用单只20%上限；主题指数、指增、货币、债券及保障基金不纳入该上限。超限基金整行标红。</x:v>
      </x:c>
      <x:c r="B31" s="108"/>
      <x:c r="C31" s="108"/>
      <x:c r="D31" s="108"/>
      <x:c r="E31" s="108"/>
      <x:c r="F31" s="108"/>
      <x:c r="G31" s="108"/>
    </x:row>
    <x:row r="33" ht="21" customHeight="1">
      <x:c r="A33" s="84" t="str">
        <x:v>2. 组合内部增值 / 生息配比偏离（10-90含基石、30-70）</x:v>
      </x:c>
      <x:c r="B33" s="84"/>
      <x:c r="C33" s="84"/>
      <x:c r="D33" s="84"/>
      <x:c r="E33" s="84"/>
      <x:c r="F33" s="84"/>
      <x:c r="G33" s="84" t="str">
        <x:v>数据截止日</x:v>
      </x:c>
      <x:c r="H33" s="90" t="n">
        <x:f>$B$82</x:f>
        <x:v>46241</x:v>
      </x:c>
    </x:row>
    <x:row r="34" ht="28" customHeight="1">
      <x:c r="A34" s="96" t="str">
        <x:v>组合</x:v>
      </x:c>
      <x:c r="B34" s="96" t="str">
        <x:v>增值目标</x:v>
      </x:c>
      <x:c r="C34" s="96" t="str">
        <x:v>增值当前</x:v>
      </x:c>
      <x:c r="D34" s="96" t="str">
        <x:v>偏离度</x:v>
      </x:c>
      <x:c r="E34" s="96" t="str">
        <x:v>生息目标</x:v>
      </x:c>
      <x:c r="F34" s="96" t="str">
        <x:v>生息当前</x:v>
      </x:c>
      <x:c r="G34" s="96" t="str">
        <x:v>偏离度</x:v>
      </x:c>
      <x:c r="H34" s="96" t="str">
        <x:v>调仓生效日</x:v>
      </x:c>
    </x:row>
    <x:row r="35">
      <x:c r="A35" s="104" t="str">
        <x:v>10-90</x:v>
      </x:c>
      <x:c r="B35" s="105" t="n">
        <x:v>0.1</x:v>
      </x:c>
      <x:c r="C35" s="105" t="n">
        <x:f>SUMIF($C$53:$C$76,"增值",J$53:J$76)</x:f>
        <x:v>0.10448250119070865</x:v>
      </x:c>
      <x:c r="D35" s="110" t="n">
        <x:f>C35-B35</x:f>
        <x:v>0.004482501190708643</x:v>
      </x:c>
      <x:c r="E35" s="105" t="n">
        <x:f>1-B35</x:f>
        <x:v>0.9</x:v>
      </x:c>
      <x:c r="F35" s="105" t="n">
        <x:f>SUMIF($C$53:$C$76,"生息",J$53:J$76)</x:f>
        <x:v>0.8955174988092913</x:v>
      </x:c>
      <x:c r="G35" s="110" t="n">
        <x:f>F35-E35</x:f>
        <x:v>-0.004482501190708699</x:v>
      </x:c>
      <x:c r="H35" s="106" t="n">
        <x:f>J$84</x:f>
        <x:v>46220</x:v>
      </x:c>
    </x:row>
    <x:row r="36">
      <x:c r="A36" s="104" t="str">
        <x:v>10-90基石</x:v>
      </x:c>
      <x:c r="B36" s="105" t="n">
        <x:v>0.1</x:v>
      </x:c>
      <x:c r="C36" s="105" t="n">
        <x:f>SUMIF($C$53:$C$76,"增值",K$53:K$76)</x:f>
        <x:v>0.1057767243871365</x:v>
      </x:c>
      <x:c r="D36" s="110" t="n">
        <x:f>C36-B36</x:f>
        <x:v>0.0057767243871365</x:v>
      </x:c>
      <x:c r="E36" s="105" t="n">
        <x:f>1-B36</x:f>
        <x:v>0.9</x:v>
      </x:c>
      <x:c r="F36" s="105" t="n">
        <x:f>SUMIF($C$53:$C$76,"生息",K$53:K$76)</x:f>
        <x:v>0.8942232756128634</x:v>
      </x:c>
      <x:c r="G36" s="110" t="n">
        <x:f>F36-E36</x:f>
        <x:v>-0.005776724387136611</x:v>
      </x:c>
      <x:c r="H36" s="106" t="n">
        <x:f>K$84</x:f>
        <x:v>46220</x:v>
      </x:c>
    </x:row>
    <x:row r="37">
      <x:c r="A37" s="104" t="str">
        <x:v>30-70</x:v>
      </x:c>
      <x:c r="B37" s="105" t="n">
        <x:v>0.3</x:v>
      </x:c>
      <x:c r="C37" s="105" t="n">
        <x:f>SUMIF($C$53:$C$76,"增值",L$53:L$76)</x:f>
        <x:v>0.3146849648100295</x:v>
      </x:c>
      <x:c r="D37" s="110" t="n">
        <x:f>C37-B37</x:f>
        <x:v>0.01468496481002951</x:v>
      </x:c>
      <x:c r="E37" s="105" t="n">
        <x:f>1-B37</x:f>
        <x:v>0.7</x:v>
      </x:c>
      <x:c r="F37" s="105" t="n">
        <x:f>SUMIF($C$53:$C$76,"生息",L$53:L$76)</x:f>
        <x:v>0.6853150351899706</x:v>
      </x:c>
      <x:c r="G37" s="110" t="n">
        <x:f>F37-E37</x:f>
        <x:v>-0.014684964810029344</x:v>
      </x:c>
      <x:c r="H37" s="106" t="n">
        <x:f>L$84</x:f>
        <x:v>46220</x:v>
      </x:c>
    </x:row>
    <x:row r="38">
      <x:c r="A38" s="107" t="str">
        <x:v>生息含债券、货币及保障类基金；默认预警阈值为±2个百分点，可在J2直接修改。偏离度=当前配比−目标配比。</x:v>
      </x:c>
      <x:c r="B38" s="107"/>
      <x:c r="C38" s="107"/>
      <x:c r="D38" s="107"/>
      <x:c r="E38" s="107"/>
      <x:c r="F38" s="107"/>
      <x:c r="G38" s="107"/>
      <x:c r="H38" s="107"/>
    </x:row>
    <x:row r="40" ht="21" customHeight="1">
      <x:c r="A40" s="84" t="str">
        <x:v>3. 增值部分内部产业趋势 / 指增当前配比</x:v>
      </x:c>
      <x:c r="B40" s="84"/>
      <x:c r="C40" s="84"/>
      <x:c r="D40" s="84" t="str">
        <x:v>数据截止日</x:v>
      </x:c>
      <x:c r="E40" s="90" t="n">
        <x:f>$B$82</x:f>
        <x:v>46241</x:v>
      </x:c>
    </x:row>
    <x:row r="41" ht="28" customHeight="1">
      <x:c r="A41" s="96" t="str">
        <x:v>组合</x:v>
      </x:c>
      <x:c r="B41" s="96" t="str">
        <x:v>产业趋势当前权重</x:v>
      </x:c>
      <x:c r="C41" s="96" t="str">
        <x:v>指增部分当前权重</x:v>
      </x:c>
      <x:c r="D41" s="96" t="str">
        <x:v>增值部分总权重</x:v>
      </x:c>
      <x:c r="E41" s="96" t="str">
        <x:v>调仓生效日</x:v>
      </x:c>
    </x:row>
    <x:row r="42">
      <x:c r="A42" s="104" t="str">
        <x:v>10-90</x:v>
      </x:c>
      <x:c r="B42" s="105" t="n">
        <x:f>IFERROR(SUMIF($D$53:$D$76,"产业趋势",J$53:J$76)/SUMIF($C$53:$C$76,"增值",J$53:J$76),0)</x:f>
        <x:v>0.5070149174580264</x:v>
      </x:c>
      <x:c r="C42" s="105" t="n">
        <x:f>IFERROR(SUMIF($D$53:$D$76,"指增",J$53:J$76)/SUMIF($C$53:$C$76,"增值",J$53:J$76),0)</x:f>
        <x:v>0.4929850825419737</x:v>
      </x:c>
      <x:c r="D42" s="105" t="n">
        <x:f>SUMIF($C$53:$C$76,"增值",J$53:J$76)</x:f>
        <x:v>0.10448250119070865</x:v>
      </x:c>
      <x:c r="E42" s="106" t="n">
        <x:f>J$84</x:f>
        <x:v>46220</x:v>
      </x:c>
    </x:row>
    <x:row r="43">
      <x:c r="A43" s="104" t="str">
        <x:v>10-90基石</x:v>
      </x:c>
      <x:c r="B43" s="105" t="n">
        <x:f>IFERROR(SUMIF($D$53:$D$76,"产业趋势",K$53:K$76)/SUMIF($C$53:$C$76,"增值",K$53:K$76),0)</x:f>
        <x:v>0.5082945167673842</x:v>
      </x:c>
      <x:c r="C43" s="105" t="n">
        <x:f>IFERROR(SUMIF($D$53:$D$76,"指增",K$53:K$76)/SUMIF($C$53:$C$76,"增值",K$53:K$76),0)</x:f>
        <x:v>0.4917054832326157</x:v>
      </x:c>
      <x:c r="D43" s="105" t="n">
        <x:f>SUMIF($C$53:$C$76,"增值",K$53:K$76)</x:f>
        <x:v>0.1057767243871365</x:v>
      </x:c>
      <x:c r="E43" s="106" t="n">
        <x:f>K$84</x:f>
        <x:v>46220</x:v>
      </x:c>
    </x:row>
    <x:row r="44">
      <x:c r="A44" s="104" t="str">
        <x:v>30-70</x:v>
      </x:c>
      <x:c r="B44" s="105" t="n">
        <x:f>IFERROR(SUMIF($D$53:$D$76,"产业趋势",L$53:L$76)/SUMIF($C$53:$C$76,"增值",L$53:L$76),0)</x:f>
        <x:v>0.5109309489308617</x:v>
      </x:c>
      <x:c r="C44" s="105" t="n">
        <x:f>IFERROR(SUMIF($D$53:$D$76,"指增",L$53:L$76)/SUMIF($C$53:$C$76,"增值",L$53:L$76),0)</x:f>
        <x:v>0.48906905106913834</x:v>
      </x:c>
      <x:c r="D44" s="105" t="n">
        <x:f>SUMIF($C$53:$C$76,"增值",L$53:L$76)</x:f>
        <x:v>0.3146849648100295</x:v>
      </x:c>
      <x:c r="E44" s="106" t="n">
        <x:f>L$84</x:f>
        <x:v>46220</x:v>
      </x:c>
    </x:row>
    <x:row r="45">
      <x:c r="A45" s="107" t="str">
        <x:v>产业趋势与指增的当前权重均以“增值部分总权重”为分母。</x:v>
      </x:c>
      <x:c r="B45" s="107"/>
      <x:c r="C45" s="107"/>
      <x:c r="D45" s="107"/>
      <x:c r="E45" s="107"/>
    </x:row>
    <x:row r="47" ht="34" customHeight="1">
      <x:c r="A47" s="114" t="str">
        <x:v>核验：原模板8月10日当日行仅货币基金先更新，最大混频差为0.00044个百分点；改用2026-08-07完整净值后，与系统导出最大残差降至0.00010个百分点（约0.01bp，仅为6位小数舍入）。</x:v>
      </x:c>
      <x:c r="B47" s="114"/>
      <x:c r="C47" s="114"/>
      <x:c r="D47" s="114"/>
      <x:c r="E47" s="114"/>
      <x:c r="F47" s="114"/>
      <x:c r="G47" s="114"/>
      <x:c r="H47" s="114"/>
    </x:row>
    <x:row r="50" ht="21" customHeight="1">
      <x:c r="A50" s="84" t="str">
        <x:v>分类映射与自动计算明细（维护区）</x:v>
      </x:c>
      <x:c r="B50" s="84"/>
      <x:c r="C50" s="84"/>
      <x:c r="D50" s="84"/>
      <x:c r="E50" s="84"/>
      <x:c r="F50" s="84"/>
      <x:c r="G50" s="84"/>
      <x:c r="H50" s="84"/>
      <x:c r="I50" s="84"/>
      <x:c r="J50" s="84"/>
      <x:c r="K50" s="84"/>
      <x:c r="L50" s="84"/>
    </x:row>
    <x:row r="51" ht="24" customHeight="1">
      <x:c r="A51" s="107" t="str">
        <x:v>分类参考《增值_生息+产业趋势_指增.xlsx》；A/C份额继承同一基金分类。000917、009993及部分C份额为现持仓补充映射。</x:v>
      </x:c>
      <x:c r="B51" s="107"/>
      <x:c r="C51" s="107"/>
      <x:c r="D51" s="107"/>
      <x:c r="E51" s="107"/>
      <x:c r="F51" s="107"/>
      <x:c r="G51" s="107"/>
      <x:c r="H51" s="107"/>
      <x:c r="I51" s="107"/>
      <x:c r="J51" s="107"/>
      <x:c r="K51" s="107"/>
      <x:c r="L51" s="107"/>
    </x:row>
    <x:row r="52" ht="28" customHeight="1">
      <x:c r="A52" s="96" t="str">
        <x:v>基金代码</x:v>
      </x:c>
      <x:c r="B52" s="96" t="str">
        <x:v>基金简称</x:v>
      </x:c>
      <x:c r="C52" s="96" t="str">
        <x:v>大类</x:v>
      </x:c>
      <x:c r="D52" s="96" t="str">
        <x:v>增值细分</x:v>
      </x:c>
      <x:c r="E52" s="96" t="str">
        <x:v>管理方式</x:v>
      </x:c>
      <x:c r="F52" s="96" t="str">
        <x:v>分类依据</x:v>
      </x:c>
      <x:c r="G52" s="96" t="str">
        <x:v>产业趋势</x:v>
      </x:c>
      <x:c r="H52" s="96" t="str">
        <x:v>产业趋势基石</x:v>
      </x:c>
      <x:c r="I52" s="96" t="str">
        <x:v>产业趋势2号</x:v>
      </x:c>
      <x:c r="J52" s="96" t="str">
        <x:v>10-90</x:v>
      </x:c>
      <x:c r="K52" s="96" t="str">
        <x:v>10-90基石</x:v>
      </x:c>
      <x:c r="L52" s="96" t="str">
        <x:v>30-70</x:v>
      </x:c>
    </x:row>
    <x:row r="53">
      <x:c r="A53" s="104" t="str">
        <x:v>000216.OF</x:v>
      </x:c>
      <x:c r="B53" s="99" t="str">
        <x:v>华安黄金ETF联接A</x:v>
      </x:c>
      <x:c r="C53" s="104" t="str">
        <x:v>生息</x:v>
      </x:c>
      <x:c r="D53" s="104" t="str">
        <x:v>-</x:v>
      </x:c>
      <x:c r="E53" s="104" t="str">
        <x:v>保障</x:v>
      </x:c>
      <x:c r="F53" s="104" t="str">
        <x:v>债券&amp;保障池子（保障）</x:v>
      </x:c>
      <x:c r="G53" s="105" t="n">
        <x:f>IFERROR(INDEX('分期持仓明细'!$B$5:$Y$200,G$82-4,MATCH(LEFT($A53,6),'分期持仓明细'!$B$3:$Y$3,0))*INDEX('实盘净值数据(iFinD公式)'!$B$5:$Y$1000,$B$81,MATCH($A53,'实盘净值数据(iFinD公式)'!$B$3:$Y$3,0))/INDEX('实盘净值数据(iFinD公式)'!$B$5:$Y$1000,MATCH(G$84,'实盘净值数据(iFinD公式)'!$A$5:$A$1000,0),MATCH($A53,'实盘净值数据(iFinD公式)'!$B$3:$Y$3,0))/G$85,G89)</x:f>
        <x:v>0</x:v>
      </x:c>
      <x:c r="H53" s="105" t="n">
        <x:f>IFERROR(INDEX('分期持仓明细'!$B$5:$Y$200,H$82-4,MATCH(LEFT($A53,6),'分期持仓明细'!$B$3:$Y$3,0))*INDEX('实盘净值数据(iFinD公式)'!$B$5:$Y$1000,$B$81,MATCH($A53,'实盘净值数据(iFinD公式)'!$B$3:$Y$3,0))/INDEX('实盘净值数据(iFinD公式)'!$B$5:$Y$1000,MATCH(H$84,'实盘净值数据(iFinD公式)'!$A$5:$A$1000,0),MATCH($A53,'实盘净值数据(iFinD公式)'!$B$3:$Y$3,0))/H$85,H89)</x:f>
        <x:v>0</x:v>
      </x:c>
      <x:c r="I53" s="105" t="n">
        <x:f>IFERROR(INDEX('分期持仓明细'!$B$5:$Y$200,I$82-4,MATCH(LEFT($A53,6),'分期持仓明细'!$B$3:$Y$3,0))*INDEX('实盘净值数据(iFinD公式)'!$B$5:$Y$1000,$B$81,MATCH($A53,'实盘净值数据(iFinD公式)'!$B$3:$Y$3,0))/INDEX('实盘净值数据(iFinD公式)'!$B$5:$Y$1000,MATCH(I$84,'实盘净值数据(iFinD公式)'!$A$5:$A$1000,0),MATCH($A53,'实盘净值数据(iFinD公式)'!$B$3:$Y$3,0))/I$85,I89)</x:f>
        <x:v>0</x:v>
      </x:c>
      <x:c r="J53" s="105" t="n">
        <x:f>IFERROR(INDEX('分期持仓明细'!$B$5:$Y$200,J$82-4,MATCH(LEFT($A53,6),'分期持仓明细'!$B$3:$Y$3,0))*INDEX('实盘净值数据(iFinD公式)'!$B$5:$Y$1000,$B$81,MATCH($A53,'实盘净值数据(iFinD公式)'!$B$3:$Y$3,0))/INDEX('实盘净值数据(iFinD公式)'!$B$5:$Y$1000,MATCH(J$84,'实盘净值数据(iFinD公式)'!$A$5:$A$1000,0),MATCH($A53,'实盘净值数据(iFinD公式)'!$B$3:$Y$3,0))/J$85,J89)</x:f>
        <x:v>0.05414347447224511</x:v>
      </x:c>
      <x:c r="K53" s="105" t="n">
        <x:f>IFERROR(INDEX('分期持仓明细'!$B$5:$Y$200,K$82-4,MATCH(LEFT($A53,6),'分期持仓明细'!$B$3:$Y$3,0))*INDEX('实盘净值数据(iFinD公式)'!$B$5:$Y$1000,$B$81,MATCH($A53,'实盘净值数据(iFinD公式)'!$B$3:$Y$3,0))/INDEX('实盘净值数据(iFinD公式)'!$B$5:$Y$1000,MATCH(K$84,'实盘净值数据(iFinD公式)'!$A$5:$A$1000,0),MATCH($A53,'实盘净值数据(iFinD公式)'!$B$3:$Y$3,0))/K$85,K89)</x:f>
        <x:v>0.051794493820263125</x:v>
      </x:c>
      <x:c r="L53" s="105" t="n">
        <x:f>IFERROR(INDEX('分期持仓明细'!$B$5:$Y$200,L$82-4,MATCH(LEFT($A53,6),'分期持仓明细'!$B$3:$Y$3,0))*INDEX('实盘净值数据(iFinD公式)'!$B$5:$Y$1000,$B$81,MATCH($A53,'实盘净值数据(iFinD公式)'!$B$3:$Y$3,0))/INDEX('实盘净值数据(iFinD公式)'!$B$5:$Y$1000,MATCH(L$84,'实盘净值数据(iFinD公式)'!$A$5:$A$1000,0),MATCH($A53,'实盘净值数据(iFinD公式)'!$B$3:$Y$3,0))/L$85,L89)</x:f>
        <x:v>0.10785060309605504</x:v>
      </x:c>
    </x:row>
    <x:row r="54">
      <x:c r="A54" s="104" t="str">
        <x:v>000917.OF</x:v>
      </x:c>
      <x:c r="B54" s="99" t="str">
        <x:v>嘉实快线货币A</x:v>
      </x:c>
      <x:c r="C54" s="104" t="str">
        <x:v>生息</x:v>
      </x:c>
      <x:c r="D54" s="104" t="str">
        <x:v>-</x:v>
      </x:c>
      <x:c r="E54" s="104" t="str">
        <x:v>货币</x:v>
      </x:c>
      <x:c r="F54" s="104" t="str">
        <x:v>现持仓补充</x:v>
      </x:c>
      <x:c r="G54" s="105" t="n">
        <x:f>IFERROR(INDEX('分期持仓明细'!$B$5:$Y$200,G$82-4,MATCH(LEFT($A54,6),'分期持仓明细'!$B$3:$Y$3,0))*INDEX('实盘净值数据(iFinD公式)'!$B$5:$Y$1000,$B$81,MATCH($A54,'实盘净值数据(iFinD公式)'!$B$3:$Y$3,0))/INDEX('实盘净值数据(iFinD公式)'!$B$5:$Y$1000,MATCH(G$84,'实盘净值数据(iFinD公式)'!$A$5:$A$1000,0),MATCH($A54,'实盘净值数据(iFinD公式)'!$B$3:$Y$3,0))/G$85,G90)</x:f>
        <x:v>0.054338345878986755</x:v>
      </x:c>
      <x:c r="H54" s="105" t="n">
        <x:f>IFERROR(INDEX('分期持仓明细'!$B$5:$Y$200,H$82-4,MATCH(LEFT($A54,6),'分期持仓明细'!$B$3:$Y$3,0))*INDEX('实盘净值数据(iFinD公式)'!$B$5:$Y$1000,$B$81,MATCH($A54,'实盘净值数据(iFinD公式)'!$B$3:$Y$3,0))/INDEX('实盘净值数据(iFinD公式)'!$B$5:$Y$1000,MATCH(H$84,'实盘净值数据(iFinD公式)'!$A$5:$A$1000,0),MATCH($A54,'实盘净值数据(iFinD公式)'!$B$3:$Y$3,0))/H$85,H90)</x:f>
        <x:v>0.05313303323780936</x:v>
      </x:c>
      <x:c r="I54" s="105" t="n">
        <x:f>IFERROR(INDEX('分期持仓明细'!$B$5:$Y$200,I$82-4,MATCH(LEFT($A54,6),'分期持仓明细'!$B$3:$Y$3,0))*INDEX('实盘净值数据(iFinD公式)'!$B$5:$Y$1000,$B$81,MATCH($A54,'实盘净值数据(iFinD公式)'!$B$3:$Y$3,0))/INDEX('实盘净值数据(iFinD公式)'!$B$5:$Y$1000,MATCH(I$84,'实盘净值数据(iFinD公式)'!$A$5:$A$1000,0),MATCH($A54,'实盘净值数据(iFinD公式)'!$B$3:$Y$3,0))/I$85,I90)</x:f>
        <x:v>0.05128012799377769</x:v>
      </x:c>
      <x:c r="J54" s="105" t="n">
        <x:f>IFERROR(INDEX('分期持仓明细'!$B$5:$Y$200,J$82-4,MATCH(LEFT($A54,6),'分期持仓明细'!$B$3:$Y$3,0))*INDEX('实盘净值数据(iFinD公式)'!$B$5:$Y$1000,$B$81,MATCH($A54,'实盘净值数据(iFinD公式)'!$B$3:$Y$3,0))/INDEX('实盘净值数据(iFinD公式)'!$B$5:$Y$1000,MATCH(J$84,'实盘净值数据(iFinD公式)'!$A$5:$A$1000,0),MATCH($A54,'实盘净值数据(iFinD公式)'!$B$3:$Y$3,0))/J$85,J90)</x:f>
        <x:v>0.043923928891400975</x:v>
      </x:c>
      <x:c r="K54" s="105" t="n">
        <x:f>IFERROR(INDEX('分期持仓明细'!$B$5:$Y$200,K$82-4,MATCH(LEFT($A54,6),'分期持仓明细'!$B$3:$Y$3,0))*INDEX('实盘净值数据(iFinD公式)'!$B$5:$Y$1000,$B$81,MATCH($A54,'实盘净值数据(iFinD公式)'!$B$3:$Y$3,0))/INDEX('实盘净值数据(iFinD公式)'!$B$5:$Y$1000,MATCH(K$84,'实盘净值数据(iFinD公式)'!$A$5:$A$1000,0),MATCH($A54,'实盘净值数据(iFinD公式)'!$B$3:$Y$3,0))/K$85,K90)</x:f>
        <x:v>0.04395376124085798</x:v>
      </x:c>
      <x:c r="L54" s="105" t="n">
        <x:f>IFERROR(INDEX('分期持仓明细'!$B$5:$Y$200,L$82-4,MATCH(LEFT($A54,6),'分期持仓明细'!$B$3:$Y$3,0))*INDEX('实盘净值数据(iFinD公式)'!$B$5:$Y$1000,$B$81,MATCH($A54,'实盘净值数据(iFinD公式)'!$B$3:$Y$3,0))/INDEX('实盘净值数据(iFinD公式)'!$B$5:$Y$1000,MATCH(L$84,'实盘净值数据(iFinD公式)'!$A$5:$A$1000,0),MATCH($A54,'实盘净值数据(iFinD公式)'!$B$3:$Y$3,0))/L$85,L90)</x:f>
        <x:v>0.08530437206808822</x:v>
      </x:c>
    </x:row>
    <x:row r="55">
      <x:c r="A55" s="104" t="str">
        <x:v>001170.OF</x:v>
      </x:c>
      <x:c r="B55" s="99" t="str">
        <x:v>宏利复兴混合A</x:v>
      </x:c>
      <x:c r="C55" s="104" t="str">
        <x:v>增值</x:v>
      </x:c>
      <x:c r="D55" s="104" t="str">
        <x:v>产业趋势</x:v>
      </x:c>
      <x:c r="E55" s="104" t="str">
        <x:v>主动</x:v>
      </x:c>
      <x:c r="F55" s="104" t="str">
        <x:v>产业趋势产品池</x:v>
      </x:c>
      <x:c r="G55" s="105" t="n">
        <x:f>IFERROR(INDEX('分期持仓明细'!$B$5:$Y$200,G$82-4,MATCH(LEFT($A55,6),'分期持仓明细'!$B$3:$Y$3,0))*INDEX('实盘净值数据(iFinD公式)'!$B$5:$Y$1000,$B$81,MATCH($A55,'实盘净值数据(iFinD公式)'!$B$3:$Y$3,0))/INDEX('实盘净值数据(iFinD公式)'!$B$5:$Y$1000,MATCH(G$84,'实盘净值数据(iFinD公式)'!$A$5:$A$1000,0),MATCH($A55,'实盘净值数据(iFinD公式)'!$B$3:$Y$3,0))/G$85,G91)</x:f>
        <x:v>0.1681479854041161</x:v>
      </x:c>
      <x:c r="H55" s="105" t="n">
        <x:f>IFERROR(INDEX('分期持仓明细'!$B$5:$Y$200,H$82-4,MATCH(LEFT($A55,6),'分期持仓明细'!$B$3:$Y$3,0))*INDEX('实盘净值数据(iFinD公式)'!$B$5:$Y$1000,$B$81,MATCH($A55,'实盘净值数据(iFinD公式)'!$B$3:$Y$3,0))/INDEX('实盘净值数据(iFinD公式)'!$B$5:$Y$1000,MATCH(H$84,'实盘净值数据(iFinD公式)'!$A$5:$A$1000,0),MATCH($A55,'实盘净值数据(iFinD公式)'!$B$3:$Y$3,0))/H$85,H91)</x:f>
        <x:v>0.16972434194387825</x:v>
      </x:c>
      <x:c r="I55" s="105" t="n">
        <x:f>IFERROR(INDEX('分期持仓明细'!$B$5:$Y$200,I$82-4,MATCH(LEFT($A55,6),'分期持仓明细'!$B$3:$Y$3,0))*INDEX('实盘净值数据(iFinD公式)'!$B$5:$Y$1000,$B$81,MATCH($A55,'实盘净值数据(iFinD公式)'!$B$3:$Y$3,0))/INDEX('实盘净值数据(iFinD公式)'!$B$5:$Y$1000,MATCH(I$84,'实盘净值数据(iFinD公式)'!$A$5:$A$1000,0),MATCH($A55,'实盘净值数据(iFinD公式)'!$B$3:$Y$3,0))/I$85,I91)</x:f>
        <x:v>0</x:v>
      </x:c>
      <x:c r="J55" s="105" t="n">
        <x:f>IFERROR(INDEX('分期持仓明细'!$B$5:$Y$200,J$82-4,MATCH(LEFT($A55,6),'分期持仓明细'!$B$3:$Y$3,0))*INDEX('实盘净值数据(iFinD公式)'!$B$5:$Y$1000,$B$81,MATCH($A55,'实盘净值数据(iFinD公式)'!$B$3:$Y$3,0))/INDEX('实盘净值数据(iFinD公式)'!$B$5:$Y$1000,MATCH(J$84,'实盘净值数据(iFinD公式)'!$A$5:$A$1000,0),MATCH($A55,'实盘净值数据(iFinD公式)'!$B$3:$Y$3,0))/J$85,J91)</x:f>
        <x:v>0</x:v>
      </x:c>
      <x:c r="K55" s="105" t="n">
        <x:f>IFERROR(INDEX('分期持仓明细'!$B$5:$Y$200,K$82-4,MATCH(LEFT($A55,6),'分期持仓明细'!$B$3:$Y$3,0))*INDEX('实盘净值数据(iFinD公式)'!$B$5:$Y$1000,$B$81,MATCH($A55,'实盘净值数据(iFinD公式)'!$B$3:$Y$3,0))/INDEX('实盘净值数据(iFinD公式)'!$B$5:$Y$1000,MATCH(K$84,'实盘净值数据(iFinD公式)'!$A$5:$A$1000,0),MATCH($A55,'实盘净值数据(iFinD公式)'!$B$3:$Y$3,0))/K$85,K91)</x:f>
        <x:v>0.0087369099448945</x:v>
      </x:c>
      <x:c r="L55" s="105" t="n">
        <x:f>IFERROR(INDEX('分期持仓明细'!$B$5:$Y$200,L$82-4,MATCH(LEFT($A55,6),'分期持仓明细'!$B$3:$Y$3,0))*INDEX('实盘净值数据(iFinD公式)'!$B$5:$Y$1000,$B$81,MATCH($A55,'实盘净值数据(iFinD公式)'!$B$3:$Y$3,0))/INDEX('实盘净值数据(iFinD公式)'!$B$5:$Y$1000,MATCH(L$84,'实盘净值数据(iFinD公式)'!$A$5:$A$1000,0),MATCH($A55,'实盘净值数据(iFinD公式)'!$B$3:$Y$3,0))/L$85,L91)</x:f>
        <x:v>0</x:v>
      </x:c>
    </x:row>
    <x:row r="56">
      <x:c r="A56" s="104" t="str">
        <x:v>007044.OF</x:v>
      </x:c>
      <x:c r="B56" s="99" t="str">
        <x:v>博道沪深300增强A</x:v>
      </x:c>
      <x:c r="C56" s="104" t="str">
        <x:v>增值</x:v>
      </x:c>
      <x:c r="D56" s="104" t="str">
        <x:v>指增</x:v>
      </x:c>
      <x:c r="E56" s="104" t="str">
        <x:v>指增</x:v>
      </x:c>
      <x:c r="F56" s="104" t="str">
        <x:v>宽基&amp;指增池</x:v>
      </x:c>
      <x:c r="G56" s="105" t="n">
        <x:f>IFERROR(INDEX('分期持仓明细'!$B$5:$Y$200,G$82-4,MATCH(LEFT($A56,6),'分期持仓明细'!$B$3:$Y$3,0))*INDEX('实盘净值数据(iFinD公式)'!$B$5:$Y$1000,$B$81,MATCH($A56,'实盘净值数据(iFinD公式)'!$B$3:$Y$3,0))/INDEX('实盘净值数据(iFinD公式)'!$B$5:$Y$1000,MATCH(G$84,'实盘净值数据(iFinD公式)'!$A$5:$A$1000,0),MATCH($A56,'实盘净值数据(iFinD公式)'!$B$3:$Y$3,0))/G$85,G92)</x:f>
        <x:v>0</x:v>
      </x:c>
      <x:c r="H56" s="105" t="n">
        <x:f>IFERROR(INDEX('分期持仓明细'!$B$5:$Y$200,H$82-4,MATCH(LEFT($A56,6),'分期持仓明细'!$B$3:$Y$3,0))*INDEX('实盘净值数据(iFinD公式)'!$B$5:$Y$1000,$B$81,MATCH($A56,'实盘净值数据(iFinD公式)'!$B$3:$Y$3,0))/INDEX('实盘净值数据(iFinD公式)'!$B$5:$Y$1000,MATCH(H$84,'实盘净值数据(iFinD公式)'!$A$5:$A$1000,0),MATCH($A56,'实盘净值数据(iFinD公式)'!$B$3:$Y$3,0))/H$85,H92)</x:f>
        <x:v>0</x:v>
      </x:c>
      <x:c r="I56" s="105" t="n">
        <x:f>IFERROR(INDEX('分期持仓明细'!$B$5:$Y$200,I$82-4,MATCH(LEFT($A56,6),'分期持仓明细'!$B$3:$Y$3,0))*INDEX('实盘净值数据(iFinD公式)'!$B$5:$Y$1000,$B$81,MATCH($A56,'实盘净值数据(iFinD公式)'!$B$3:$Y$3,0))/INDEX('实盘净值数据(iFinD公式)'!$B$5:$Y$1000,MATCH(I$84,'实盘净值数据(iFinD公式)'!$A$5:$A$1000,0),MATCH($A56,'实盘净值数据(iFinD公式)'!$B$3:$Y$3,0))/I$85,I92)</x:f>
        <x:v>0</x:v>
      </x:c>
      <x:c r="J56" s="105" t="n">
        <x:f>IFERROR(INDEX('分期持仓明细'!$B$5:$Y$200,J$82-4,MATCH(LEFT($A56,6),'分期持仓明细'!$B$3:$Y$3,0))*INDEX('实盘净值数据(iFinD公式)'!$B$5:$Y$1000,$B$81,MATCH($A56,'实盘净值数据(iFinD公式)'!$B$3:$Y$3,0))/INDEX('实盘净值数据(iFinD公式)'!$B$5:$Y$1000,MATCH(J$84,'实盘净值数据(iFinD公式)'!$A$5:$A$1000,0),MATCH($A56,'实盘净值数据(iFinD公式)'!$B$3:$Y$3,0))/J$85,J92)</x:f>
        <x:v>0</x:v>
      </x:c>
      <x:c r="K56" s="105" t="n">
        <x:f>IFERROR(INDEX('分期持仓明细'!$B$5:$Y$200,K$82-4,MATCH(LEFT($A56,6),'分期持仓明细'!$B$3:$Y$3,0))*INDEX('实盘净值数据(iFinD公式)'!$B$5:$Y$1000,$B$81,MATCH($A56,'实盘净值数据(iFinD公式)'!$B$3:$Y$3,0))/INDEX('实盘净值数据(iFinD公式)'!$B$5:$Y$1000,MATCH(K$84,'实盘净值数据(iFinD公式)'!$A$5:$A$1000,0),MATCH($A56,'实盘净值数据(iFinD公式)'!$B$3:$Y$3,0))/K$85,K92)</x:f>
        <x:v>0.0128975499557758</x:v>
      </x:c>
      <x:c r="L56" s="105" t="n">
        <x:f>IFERROR(INDEX('分期持仓明细'!$B$5:$Y$200,L$82-4,MATCH(LEFT($A56,6),'分期持仓明细'!$B$3:$Y$3,0))*INDEX('实盘净值数据(iFinD公式)'!$B$5:$Y$1000,$B$81,MATCH($A56,'实盘净值数据(iFinD公式)'!$B$3:$Y$3,0))/INDEX('实盘净值数据(iFinD公式)'!$B$5:$Y$1000,MATCH(L$84,'实盘净值数据(iFinD公式)'!$A$5:$A$1000,0),MATCH($A56,'实盘净值数据(iFinD公式)'!$B$3:$Y$3,0))/L$85,L92)</x:f>
        <x:v>0</x:v>
      </x:c>
    </x:row>
    <x:row r="57">
      <x:c r="A57" s="104" t="str">
        <x:v>007045.OF</x:v>
      </x:c>
      <x:c r="B57" s="99" t="str">
        <x:v>博道沪深300指增C</x:v>
      </x:c>
      <x:c r="C57" s="104" t="str">
        <x:v>增值</x:v>
      </x:c>
      <x:c r="D57" s="104" t="str">
        <x:v>指增</x:v>
      </x:c>
      <x:c r="E57" s="104" t="str">
        <x:v>指增</x:v>
      </x:c>
      <x:c r="F57" s="104" t="str">
        <x:v>同基金A/C</x:v>
      </x:c>
      <x:c r="G57" s="105" t="n">
        <x:f>IFERROR(INDEX('分期持仓明细'!$B$5:$Y$200,G$82-4,MATCH(LEFT($A57,6),'分期持仓明细'!$B$3:$Y$3,0))*INDEX('实盘净值数据(iFinD公式)'!$B$5:$Y$1000,$B$81,MATCH($A57,'实盘净值数据(iFinD公式)'!$B$3:$Y$3,0))/INDEX('实盘净值数据(iFinD公式)'!$B$5:$Y$1000,MATCH(G$84,'实盘净值数据(iFinD公式)'!$A$5:$A$1000,0),MATCH($A57,'实盘净值数据(iFinD公式)'!$B$3:$Y$3,0))/G$85,G93)</x:f>
        <x:v>0</x:v>
      </x:c>
      <x:c r="H57" s="105" t="n">
        <x:f>IFERROR(INDEX('分期持仓明细'!$B$5:$Y$200,H$82-4,MATCH(LEFT($A57,6),'分期持仓明细'!$B$3:$Y$3,0))*INDEX('实盘净值数据(iFinD公式)'!$B$5:$Y$1000,$B$81,MATCH($A57,'实盘净值数据(iFinD公式)'!$B$3:$Y$3,0))/INDEX('实盘净值数据(iFinD公式)'!$B$5:$Y$1000,MATCH(H$84,'实盘净值数据(iFinD公式)'!$A$5:$A$1000,0),MATCH($A57,'实盘净值数据(iFinD公式)'!$B$3:$Y$3,0))/H$85,H93)</x:f>
        <x:v>0</x:v>
      </x:c>
      <x:c r="I57" s="105" t="n">
        <x:f>IFERROR(INDEX('分期持仓明细'!$B$5:$Y$200,I$82-4,MATCH(LEFT($A57,6),'分期持仓明细'!$B$3:$Y$3,0))*INDEX('实盘净值数据(iFinD公式)'!$B$5:$Y$1000,$B$81,MATCH($A57,'实盘净值数据(iFinD公式)'!$B$3:$Y$3,0))/INDEX('实盘净值数据(iFinD公式)'!$B$5:$Y$1000,MATCH(I$84,'实盘净值数据(iFinD公式)'!$A$5:$A$1000,0),MATCH($A57,'实盘净值数据(iFinD公式)'!$B$3:$Y$3,0))/I$85,I93)</x:f>
        <x:v>0</x:v>
      </x:c>
      <x:c r="J57" s="105" t="n">
        <x:f>IFERROR(INDEX('分期持仓明细'!$B$5:$Y$200,J$82-4,MATCH(LEFT($A57,6),'分期持仓明细'!$B$3:$Y$3,0))*INDEX('实盘净值数据(iFinD公式)'!$B$5:$Y$1000,$B$81,MATCH($A57,'实盘净值数据(iFinD公式)'!$B$3:$Y$3,0))/INDEX('实盘净值数据(iFinD公式)'!$B$5:$Y$1000,MATCH(J$84,'实盘净值数据(iFinD公式)'!$A$5:$A$1000,0),MATCH($A57,'实盘净值数据(iFinD公式)'!$B$3:$Y$3,0))/J$85,J93)</x:f>
        <x:v>0.012855558252454736</x:v>
      </x:c>
      <x:c r="K57" s="105" t="n">
        <x:f>IFERROR(INDEX('分期持仓明细'!$B$5:$Y$200,K$82-4,MATCH(LEFT($A57,6),'分期持仓明细'!$B$3:$Y$3,0))*INDEX('实盘净值数据(iFinD公式)'!$B$5:$Y$1000,$B$81,MATCH($A57,'实盘净值数据(iFinD公式)'!$B$3:$Y$3,0))/INDEX('实盘净值数据(iFinD公式)'!$B$5:$Y$1000,MATCH(K$84,'实盘净值数据(iFinD公式)'!$A$5:$A$1000,0),MATCH($A57,'实盘净值数据(iFinD公式)'!$B$3:$Y$3,0))/K$85,K93)</x:f>
        <x:v>0</x:v>
      </x:c>
      <x:c r="L57" s="105" t="n">
        <x:f>IFERROR(INDEX('分期持仓明细'!$B$5:$Y$200,L$82-4,MATCH(LEFT($A57,6),'分期持仓明细'!$B$3:$Y$3,0))*INDEX('实盘净值数据(iFinD公式)'!$B$5:$Y$1000,$B$81,MATCH($A57,'实盘净值数据(iFinD公式)'!$B$3:$Y$3,0))/INDEX('实盘净值数据(iFinD公式)'!$B$5:$Y$1000,MATCH(L$84,'实盘净值数据(iFinD公式)'!$A$5:$A$1000,0),MATCH($A57,'实盘净值数据(iFinD公式)'!$B$3:$Y$3,0))/L$85,L93)</x:f>
        <x:v>0.03841034111514078</x:v>
      </x:c>
    </x:row>
    <x:row r="58">
      <x:c r="A58" s="104" t="str">
        <x:v>007817.OF</x:v>
      </x:c>
      <x:c r="B58" s="99" t="str">
        <x:v>国泰通信设备ETF联接A</x:v>
      </x:c>
      <x:c r="C58" s="104" t="str">
        <x:v>增值</x:v>
      </x:c>
      <x:c r="D58" s="104" t="str">
        <x:v>产业趋势</x:v>
      </x:c>
      <x:c r="E58" s="104" t="str">
        <x:v>指数</x:v>
      </x:c>
      <x:c r="F58" s="104" t="str">
        <x:v>产业趋势产品池</x:v>
      </x:c>
      <x:c r="G58" s="105" t="n">
        <x:f>IFERROR(INDEX('分期持仓明细'!$B$5:$Y$200,G$82-4,MATCH(LEFT($A58,6),'分期持仓明细'!$B$3:$Y$3,0))*INDEX('实盘净值数据(iFinD公式)'!$B$5:$Y$1000,$B$81,MATCH($A58,'实盘净值数据(iFinD公式)'!$B$3:$Y$3,0))/INDEX('实盘净值数据(iFinD公式)'!$B$5:$Y$1000,MATCH(G$84,'实盘净值数据(iFinD公式)'!$A$5:$A$1000,0),MATCH($A58,'实盘净值数据(iFinD公式)'!$B$3:$Y$3,0))/G$85,G94)</x:f>
        <x:v>0</x:v>
      </x:c>
      <x:c r="H58" s="105" t="n">
        <x:f>IFERROR(INDEX('分期持仓明细'!$B$5:$Y$200,H$82-4,MATCH(LEFT($A58,6),'分期持仓明细'!$B$3:$Y$3,0))*INDEX('实盘净值数据(iFinD公式)'!$B$5:$Y$1000,$B$81,MATCH($A58,'实盘净值数据(iFinD公式)'!$B$3:$Y$3,0))/INDEX('实盘净值数据(iFinD公式)'!$B$5:$Y$1000,MATCH(H$84,'实盘净值数据(iFinD公式)'!$A$5:$A$1000,0),MATCH($A58,'实盘净值数据(iFinD公式)'!$B$3:$Y$3,0))/H$85,H94)</x:f>
        <x:v>0</x:v>
      </x:c>
      <x:c r="I58" s="105" t="n">
        <x:f>IFERROR(INDEX('分期持仓明细'!$B$5:$Y$200,I$82-4,MATCH(LEFT($A58,6),'分期持仓明细'!$B$3:$Y$3,0))*INDEX('实盘净值数据(iFinD公式)'!$B$5:$Y$1000,$B$81,MATCH($A58,'实盘净值数据(iFinD公式)'!$B$3:$Y$3,0))/INDEX('实盘净值数据(iFinD公式)'!$B$5:$Y$1000,MATCH(I$84,'实盘净值数据(iFinD公式)'!$A$5:$A$1000,0),MATCH($A58,'实盘净值数据(iFinD公式)'!$B$3:$Y$3,0))/I$85,I94)</x:f>
        <x:v>0</x:v>
      </x:c>
      <x:c r="J58" s="105" t="n">
        <x:f>IFERROR(INDEX('分期持仓明细'!$B$5:$Y$200,J$82-4,MATCH(LEFT($A58,6),'分期持仓明细'!$B$3:$Y$3,0))*INDEX('实盘净值数据(iFinD公式)'!$B$5:$Y$1000,$B$81,MATCH($A58,'实盘净值数据(iFinD公式)'!$B$3:$Y$3,0))/INDEX('实盘净值数据(iFinD公式)'!$B$5:$Y$1000,MATCH(J$84,'实盘净值数据(iFinD公式)'!$A$5:$A$1000,0),MATCH($A58,'实盘净值数据(iFinD公式)'!$B$3:$Y$3,0))/J$85,J94)</x:f>
        <x:v>0</x:v>
      </x:c>
      <x:c r="K58" s="105" t="n">
        <x:f>IFERROR(INDEX('分期持仓明细'!$B$5:$Y$200,K$82-4,MATCH(LEFT($A58,6),'分期持仓明细'!$B$3:$Y$3,0))*INDEX('实盘净值数据(iFinD公式)'!$B$5:$Y$1000,$B$81,MATCH($A58,'实盘净值数据(iFinD公式)'!$B$3:$Y$3,0))/INDEX('实盘净值数据(iFinD公式)'!$B$5:$Y$1000,MATCH(K$84,'实盘净值数据(iFinD公式)'!$A$5:$A$1000,0),MATCH($A58,'实盘净值数据(iFinD公式)'!$B$3:$Y$3,0))/K$85,K94)</x:f>
        <x:v>0</x:v>
      </x:c>
      <x:c r="L58" s="105" t="n">
        <x:f>IFERROR(INDEX('分期持仓明细'!$B$5:$Y$200,L$82-4,MATCH(LEFT($A58,6),'分期持仓明细'!$B$3:$Y$3,0))*INDEX('实盘净值数据(iFinD公式)'!$B$5:$Y$1000,$B$81,MATCH($A58,'实盘净值数据(iFinD公式)'!$B$3:$Y$3,0))/INDEX('实盘净值数据(iFinD公式)'!$B$5:$Y$1000,MATCH(L$84,'实盘净值数据(iFinD公式)'!$A$5:$A$1000,0),MATCH($A58,'实盘净值数据(iFinD公式)'!$B$3:$Y$3,0))/L$85,L94)</x:f>
        <x:v>0</x:v>
      </x:c>
    </x:row>
    <x:row r="59">
      <x:c r="A59" s="104" t="str">
        <x:v>007818.OF</x:v>
      </x:c>
      <x:c r="B59" s="99" t="str">
        <x:v>国泰通信设备C</x:v>
      </x:c>
      <x:c r="C59" s="104" t="str">
        <x:v>增值</x:v>
      </x:c>
      <x:c r="D59" s="104" t="str">
        <x:v>产业趋势</x:v>
      </x:c>
      <x:c r="E59" s="104" t="str">
        <x:v>指数</x:v>
      </x:c>
      <x:c r="F59" s="104" t="str">
        <x:v>同基金A/C</x:v>
      </x:c>
      <x:c r="G59" s="105" t="n">
        <x:f>IFERROR(INDEX('分期持仓明细'!$B$5:$Y$200,G$82-4,MATCH(LEFT($A59,6),'分期持仓明细'!$B$3:$Y$3,0))*INDEX('实盘净值数据(iFinD公式)'!$B$5:$Y$1000,$B$81,MATCH($A59,'实盘净值数据(iFinD公式)'!$B$3:$Y$3,0))/INDEX('实盘净值数据(iFinD公式)'!$B$5:$Y$1000,MATCH(G$84,'实盘净值数据(iFinD公式)'!$A$5:$A$1000,0),MATCH($A59,'实盘净值数据(iFinD公式)'!$B$3:$Y$3,0))/G$85,G95)</x:f>
        <x:v>0</x:v>
      </x:c>
      <x:c r="H59" s="105" t="n">
        <x:f>IFERROR(INDEX('分期持仓明细'!$B$5:$Y$200,H$82-4,MATCH(LEFT($A59,6),'分期持仓明细'!$B$3:$Y$3,0))*INDEX('实盘净值数据(iFinD公式)'!$B$5:$Y$1000,$B$81,MATCH($A59,'实盘净值数据(iFinD公式)'!$B$3:$Y$3,0))/INDEX('实盘净值数据(iFinD公式)'!$B$5:$Y$1000,MATCH(H$84,'实盘净值数据(iFinD公式)'!$A$5:$A$1000,0),MATCH($A59,'实盘净值数据(iFinD公式)'!$B$3:$Y$3,0))/H$85,H95)</x:f>
        <x:v>0</x:v>
      </x:c>
      <x:c r="I59" s="105" t="n">
        <x:f>IFERROR(INDEX('分期持仓明细'!$B$5:$Y$200,I$82-4,MATCH(LEFT($A59,6),'分期持仓明细'!$B$3:$Y$3,0))*INDEX('实盘净值数据(iFinD公式)'!$B$5:$Y$1000,$B$81,MATCH($A59,'实盘净值数据(iFinD公式)'!$B$3:$Y$3,0))/INDEX('实盘净值数据(iFinD公式)'!$B$5:$Y$1000,MATCH(I$84,'实盘净值数据(iFinD公式)'!$A$5:$A$1000,0),MATCH($A59,'实盘净值数据(iFinD公式)'!$B$3:$Y$3,0))/I$85,I95)</x:f>
        <x:v>0</x:v>
      </x:c>
      <x:c r="J59" s="105" t="n">
        <x:f>IFERROR(INDEX('分期持仓明细'!$B$5:$Y$200,J$82-4,MATCH(LEFT($A59,6),'分期持仓明细'!$B$3:$Y$3,0))*INDEX('实盘净值数据(iFinD公式)'!$B$5:$Y$1000,$B$81,MATCH($A59,'实盘净值数据(iFinD公式)'!$B$3:$Y$3,0))/INDEX('实盘净值数据(iFinD公式)'!$B$5:$Y$1000,MATCH(J$84,'实盘净值数据(iFinD公式)'!$A$5:$A$1000,0),MATCH($A59,'实盘净值数据(iFinD公式)'!$B$3:$Y$3,0))/J$85,J95)</x:f>
        <x:v>0</x:v>
      </x:c>
      <x:c r="K59" s="105" t="n">
        <x:f>IFERROR(INDEX('分期持仓明细'!$B$5:$Y$200,K$82-4,MATCH(LEFT($A59,6),'分期持仓明细'!$B$3:$Y$3,0))*INDEX('实盘净值数据(iFinD公式)'!$B$5:$Y$1000,$B$81,MATCH($A59,'实盘净值数据(iFinD公式)'!$B$3:$Y$3,0))/INDEX('实盘净值数据(iFinD公式)'!$B$5:$Y$1000,MATCH(K$84,'实盘净值数据(iFinD公式)'!$A$5:$A$1000,0),MATCH($A59,'实盘净值数据(iFinD公式)'!$B$3:$Y$3,0))/K$85,K95)</x:f>
        <x:v>0</x:v>
      </x:c>
      <x:c r="L59" s="105" t="n">
        <x:f>IFERROR(INDEX('分期持仓明细'!$B$5:$Y$200,L$82-4,MATCH(LEFT($A59,6),'分期持仓明细'!$B$3:$Y$3,0))*INDEX('实盘净值数据(iFinD公式)'!$B$5:$Y$1000,$B$81,MATCH($A59,'实盘净值数据(iFinD公式)'!$B$3:$Y$3,0))/INDEX('实盘净值数据(iFinD公式)'!$B$5:$Y$1000,MATCH(L$84,'实盘净值数据(iFinD公式)'!$A$5:$A$1000,0),MATCH($A59,'实盘净值数据(iFinD公式)'!$B$3:$Y$3,0))/L$85,L95)</x:f>
        <x:v>0</x:v>
      </x:c>
    </x:row>
    <x:row r="60">
      <x:c r="A60" s="104" t="str">
        <x:v>009993.OF</x:v>
      </x:c>
      <x:c r="B60" s="99" t="str">
        <x:v>嘉实前沿科技创新</x:v>
      </x:c>
      <x:c r="C60" s="104" t="str">
        <x:v>增值</x:v>
      </x:c>
      <x:c r="D60" s="104" t="str">
        <x:v>产业趋势</x:v>
      </x:c>
      <x:c r="E60" s="104" t="str">
        <x:v>主动</x:v>
      </x:c>
      <x:c r="F60" s="104" t="str">
        <x:v>现持仓补充</x:v>
      </x:c>
      <x:c r="G60" s="105" t="n">
        <x:f>IFERROR(INDEX('分期持仓明细'!$B$5:$Y$200,G$82-4,MATCH(LEFT($A60,6),'分期持仓明细'!$B$3:$Y$3,0))*INDEX('实盘净值数据(iFinD公式)'!$B$5:$Y$1000,$B$81,MATCH($A60,'实盘净值数据(iFinD公式)'!$B$3:$Y$3,0))/INDEX('实盘净值数据(iFinD公式)'!$B$5:$Y$1000,MATCH(G$84,'实盘净值数据(iFinD公式)'!$A$5:$A$1000,0),MATCH($A60,'实盘净值数据(iFinD公式)'!$B$3:$Y$3,0))/G$85,G96)</x:f>
        <x:v>0</x:v>
      </x:c>
      <x:c r="H60" s="105" t="n">
        <x:f>IFERROR(INDEX('分期持仓明细'!$B$5:$Y$200,H$82-4,MATCH(LEFT($A60,6),'分期持仓明细'!$B$3:$Y$3,0))*INDEX('实盘净值数据(iFinD公式)'!$B$5:$Y$1000,$B$81,MATCH($A60,'实盘净值数据(iFinD公式)'!$B$3:$Y$3,0))/INDEX('实盘净值数据(iFinD公式)'!$B$5:$Y$1000,MATCH(H$84,'实盘净值数据(iFinD公式)'!$A$5:$A$1000,0),MATCH($A60,'实盘净值数据(iFinD公式)'!$B$3:$Y$3,0))/H$85,H96)</x:f>
        <x:v>0</x:v>
      </x:c>
      <x:c r="I60" s="105" t="n">
        <x:f>IFERROR(INDEX('分期持仓明细'!$B$5:$Y$200,I$82-4,MATCH(LEFT($A60,6),'分期持仓明细'!$B$3:$Y$3,0))*INDEX('实盘净值数据(iFinD公式)'!$B$5:$Y$1000,$B$81,MATCH($A60,'实盘净值数据(iFinD公式)'!$B$3:$Y$3,0))/INDEX('实盘净值数据(iFinD公式)'!$B$5:$Y$1000,MATCH(I$84,'实盘净值数据(iFinD公式)'!$A$5:$A$1000,0),MATCH($A60,'实盘净值数据(iFinD公式)'!$B$3:$Y$3,0))/I$85,I96)</x:f>
        <x:v>0.18643460253095584</x:v>
      </x:c>
      <x:c r="J60" s="105" t="n">
        <x:f>IFERROR(INDEX('分期持仓明细'!$B$5:$Y$200,J$82-4,MATCH(LEFT($A60,6),'分期持仓明细'!$B$3:$Y$3,0))*INDEX('实盘净值数据(iFinD公式)'!$B$5:$Y$1000,$B$81,MATCH($A60,'实盘净值数据(iFinD公式)'!$B$3:$Y$3,0))/INDEX('实盘净值数据(iFinD公式)'!$B$5:$Y$1000,MATCH(J$84,'实盘净值数据(iFinD公式)'!$A$5:$A$1000,0),MATCH($A60,'实盘净值数据(iFinD公式)'!$B$3:$Y$3,0))/J$85,J96)</x:f>
        <x:v>0.009630029472442245</x:v>
      </x:c>
      <x:c r="K60" s="105" t="n">
        <x:f>IFERROR(INDEX('分期持仓明细'!$B$5:$Y$200,K$82-4,MATCH(LEFT($A60,6),'分期持仓明细'!$B$3:$Y$3,0))*INDEX('实盘净值数据(iFinD公式)'!$B$5:$Y$1000,$B$81,MATCH($A60,'实盘净值数据(iFinD公式)'!$B$3:$Y$3,0))/INDEX('实盘净值数据(iFinD公式)'!$B$5:$Y$1000,MATCH(K$84,'实盘净值数据(iFinD公式)'!$A$5:$A$1000,0),MATCH($A60,'实盘净值数据(iFinD公式)'!$B$3:$Y$3,0))/K$85,K96)</x:f>
        <x:v>0</x:v>
      </x:c>
      <x:c r="L60" s="105" t="n">
        <x:f>IFERROR(INDEX('分期持仓明细'!$B$5:$Y$200,L$82-4,MATCH(LEFT($A60,6),'分期持仓明细'!$B$3:$Y$3,0))*INDEX('实盘净值数据(iFinD公式)'!$B$5:$Y$1000,$B$81,MATCH($A60,'实盘净值数据(iFinD公式)'!$B$3:$Y$3,0))/INDEX('实盘净值数据(iFinD公式)'!$B$5:$Y$1000,MATCH(L$84,'实盘净值数据(iFinD公式)'!$A$5:$A$1000,0),MATCH($A60,'实盘净值数据(iFinD公式)'!$B$3:$Y$3,0))/L$85,L96)</x:f>
        <x:v>0.028773694107794432</x:v>
      </x:c>
    </x:row>
    <x:row r="61">
      <x:c r="A61" s="104" t="str">
        <x:v>013840.OF</x:v>
      </x:c>
      <x:c r="B61" s="99" t="str">
        <x:v>银华集成电路混合A</x:v>
      </x:c>
      <x:c r="C61" s="104" t="str">
        <x:v>增值</x:v>
      </x:c>
      <x:c r="D61" s="104" t="str">
        <x:v>产业趋势</x:v>
      </x:c>
      <x:c r="E61" s="104" t="str">
        <x:v>主动</x:v>
      </x:c>
      <x:c r="F61" s="104" t="str">
        <x:v>产业趋势产品池</x:v>
      </x:c>
      <x:c r="G61" s="105" t="n">
        <x:f>IFERROR(INDEX('分期持仓明细'!$B$5:$Y$200,G$82-4,MATCH(LEFT($A61,6),'分期持仓明细'!$B$3:$Y$3,0))*INDEX('实盘净值数据(iFinD公式)'!$B$5:$Y$1000,$B$81,MATCH($A61,'实盘净值数据(iFinD公式)'!$B$3:$Y$3,0))/INDEX('实盘净值数据(iFinD公式)'!$B$5:$Y$1000,MATCH(G$84,'实盘净值数据(iFinD公式)'!$A$5:$A$1000,0),MATCH($A61,'实盘净值数据(iFinD公式)'!$B$3:$Y$3,0))/G$85,G97)</x:f>
        <x:v>0.24648996572257403</x:v>
      </x:c>
      <x:c r="H61" s="105" t="n">
        <x:f>IFERROR(INDEX('分期持仓明细'!$B$5:$Y$200,H$82-4,MATCH(LEFT($A61,6),'分期持仓明细'!$B$3:$Y$3,0))*INDEX('实盘净值数据(iFinD公式)'!$B$5:$Y$1000,$B$81,MATCH($A61,'实盘净值数据(iFinD公式)'!$B$3:$Y$3,0))/INDEX('实盘净值数据(iFinD公式)'!$B$5:$Y$1000,MATCH(H$84,'实盘净值数据(iFinD公式)'!$A$5:$A$1000,0),MATCH($A61,'实盘净值数据(iFinD公式)'!$B$3:$Y$3,0))/H$85,H97)</x:f>
        <x:v>0.24475713621132436</x:v>
      </x:c>
      <x:c r="I61" s="105" t="n">
        <x:f>IFERROR(INDEX('分期持仓明细'!$B$5:$Y$200,I$82-4,MATCH(LEFT($A61,6),'分期持仓明细'!$B$3:$Y$3,0))*INDEX('实盘净值数据(iFinD公式)'!$B$5:$Y$1000,$B$81,MATCH($A61,'实盘净值数据(iFinD公式)'!$B$3:$Y$3,0))/INDEX('实盘净值数据(iFinD公式)'!$B$5:$Y$1000,MATCH(I$84,'实盘净值数据(iFinD公式)'!$A$5:$A$1000,0),MATCH($A61,'实盘净值数据(iFinD公式)'!$B$3:$Y$3,0))/I$85,I97)</x:f>
        <x:v>0</x:v>
      </x:c>
      <x:c r="J61" s="105" t="n">
        <x:f>IFERROR(INDEX('分期持仓明细'!$B$5:$Y$200,J$82-4,MATCH(LEFT($A61,6),'分期持仓明细'!$B$3:$Y$3,0))*INDEX('实盘净值数据(iFinD公式)'!$B$5:$Y$1000,$B$81,MATCH($A61,'实盘净值数据(iFinD公式)'!$B$3:$Y$3,0))/INDEX('实盘净值数据(iFinD公式)'!$B$5:$Y$1000,MATCH(J$84,'实盘净值数据(iFinD公式)'!$A$5:$A$1000,0),MATCH($A61,'实盘净值数据(iFinD公式)'!$B$3:$Y$3,0))/J$85,J97)</x:f>
        <x:v>0</x:v>
      </x:c>
      <x:c r="K61" s="105" t="n">
        <x:f>IFERROR(INDEX('分期持仓明细'!$B$5:$Y$200,K$82-4,MATCH(LEFT($A61,6),'分期持仓明细'!$B$3:$Y$3,0))*INDEX('实盘净值数据(iFinD公式)'!$B$5:$Y$1000,$B$81,MATCH($A61,'实盘净值数据(iFinD公式)'!$B$3:$Y$3,0))/INDEX('实盘净值数据(iFinD公式)'!$B$5:$Y$1000,MATCH(K$84,'实盘净值数据(iFinD公式)'!$A$5:$A$1000,0),MATCH($A61,'实盘净值数据(iFinD公式)'!$B$3:$Y$3,0))/K$85,K97)</x:f>
        <x:v>0.01225914007350266</x:v>
      </x:c>
      <x:c r="L61" s="105" t="n">
        <x:f>IFERROR(INDEX('分期持仓明细'!$B$5:$Y$200,L$82-4,MATCH(LEFT($A61,6),'分期持仓明细'!$B$3:$Y$3,0))*INDEX('实盘净值数据(iFinD公式)'!$B$5:$Y$1000,$B$81,MATCH($A61,'实盘净值数据(iFinD公式)'!$B$3:$Y$3,0))/INDEX('实盘净值数据(iFinD公式)'!$B$5:$Y$1000,MATCH(L$84,'实盘净值数据(iFinD公式)'!$A$5:$A$1000,0),MATCH($A61,'实盘净值数据(iFinD公式)'!$B$3:$Y$3,0))/L$85,L97)</x:f>
        <x:v>0</x:v>
      </x:c>
    </x:row>
    <x:row r="62">
      <x:c r="A62" s="104" t="str">
        <x:v>013841.OF</x:v>
      </x:c>
      <x:c r="B62" s="99" t="str">
        <x:v>银华集成电路混合C</x:v>
      </x:c>
      <x:c r="C62" s="104" t="str">
        <x:v>增值</x:v>
      </x:c>
      <x:c r="D62" s="104" t="str">
        <x:v>产业趋势</x:v>
      </x:c>
      <x:c r="E62" s="104" t="str">
        <x:v>主动</x:v>
      </x:c>
      <x:c r="F62" s="104" t="str">
        <x:v>同基金A/C</x:v>
      </x:c>
      <x:c r="G62" s="105" t="n">
        <x:f>IFERROR(INDEX('分期持仓明细'!$B$5:$Y$200,G$82-4,MATCH(LEFT($A62,6),'分期持仓明细'!$B$3:$Y$3,0))*INDEX('实盘净值数据(iFinD公式)'!$B$5:$Y$1000,$B$81,MATCH($A62,'实盘净值数据(iFinD公式)'!$B$3:$Y$3,0))/INDEX('实盘净值数据(iFinD公式)'!$B$5:$Y$1000,MATCH(G$84,'实盘净值数据(iFinD公式)'!$A$5:$A$1000,0),MATCH($A62,'实盘净值数据(iFinD公式)'!$B$3:$Y$3,0))/G$85,G98)</x:f>
        <x:v>0</x:v>
      </x:c>
      <x:c r="H62" s="105" t="n">
        <x:f>IFERROR(INDEX('分期持仓明细'!$B$5:$Y$200,H$82-4,MATCH(LEFT($A62,6),'分期持仓明细'!$B$3:$Y$3,0))*INDEX('实盘净值数据(iFinD公式)'!$B$5:$Y$1000,$B$81,MATCH($A62,'实盘净值数据(iFinD公式)'!$B$3:$Y$3,0))/INDEX('实盘净值数据(iFinD公式)'!$B$5:$Y$1000,MATCH(H$84,'实盘净值数据(iFinD公式)'!$A$5:$A$1000,0),MATCH($A62,'实盘净值数据(iFinD公式)'!$B$3:$Y$3,0))/H$85,H98)</x:f>
        <x:v>0</x:v>
      </x:c>
      <x:c r="I62" s="105" t="n">
        <x:f>IFERROR(INDEX('分期持仓明细'!$B$5:$Y$200,I$82-4,MATCH(LEFT($A62,6),'分期持仓明细'!$B$3:$Y$3,0))*INDEX('实盘净值数据(iFinD公式)'!$B$5:$Y$1000,$B$81,MATCH($A62,'实盘净值数据(iFinD公式)'!$B$3:$Y$3,0))/INDEX('实盘净值数据(iFinD公式)'!$B$5:$Y$1000,MATCH(I$84,'实盘净值数据(iFinD公式)'!$A$5:$A$1000,0),MATCH($A62,'实盘净值数据(iFinD公式)'!$B$3:$Y$3,0))/I$85,I98)</x:f>
        <x:v>0.23333425378822176</x:v>
      </x:c>
      <x:c r="J62" s="105" t="n">
        <x:f>IFERROR(INDEX('分期持仓明细'!$B$5:$Y$200,J$82-4,MATCH(LEFT($A62,6),'分期持仓明细'!$B$3:$Y$3,0))*INDEX('实盘净值数据(iFinD公式)'!$B$5:$Y$1000,$B$81,MATCH($A62,'实盘净值数据(iFinD公式)'!$B$3:$Y$3,0))/INDEX('实盘净值数据(iFinD公式)'!$B$5:$Y$1000,MATCH(J$84,'实盘净值数据(iFinD公式)'!$A$5:$A$1000,0),MATCH($A62,'实盘净值数据(iFinD公式)'!$B$3:$Y$3,0))/J$85,J98)</x:f>
        <x:v>0.011060670436649926</x:v>
      </x:c>
      <x:c r="K62" s="105" t="n">
        <x:f>IFERROR(INDEX('分期持仓明细'!$B$5:$Y$200,K$82-4,MATCH(LEFT($A62,6),'分期持仓明细'!$B$3:$Y$3,0))*INDEX('实盘净值数据(iFinD公式)'!$B$5:$Y$1000,$B$81,MATCH($A62,'实盘净值数据(iFinD公式)'!$B$3:$Y$3,0))/INDEX('实盘净值数据(iFinD公式)'!$B$5:$Y$1000,MATCH(K$84,'实盘净值数据(iFinD公式)'!$A$5:$A$1000,0),MATCH($A62,'实盘净值数据(iFinD公式)'!$B$3:$Y$3,0))/K$85,K98)</x:f>
        <x:v>0</x:v>
      </x:c>
      <x:c r="L62" s="105" t="n">
        <x:f>IFERROR(INDEX('分期持仓明细'!$B$5:$Y$200,L$82-4,MATCH(LEFT($A62,6),'分期持仓明细'!$B$3:$Y$3,0))*INDEX('实盘净值数据(iFinD公式)'!$B$5:$Y$1000,$B$81,MATCH($A62,'实盘净值数据(iFinD公式)'!$B$3:$Y$3,0))/INDEX('实盘净值数据(iFinD公式)'!$B$5:$Y$1000,MATCH(L$84,'实盘净值数据(iFinD公式)'!$A$5:$A$1000,0),MATCH($A62,'实盘净值数据(iFinD公式)'!$B$3:$Y$3,0))/L$85,L98)</x:f>
        <x:v>0.0330472108980905</x:v>
      </x:c>
    </x:row>
    <x:row r="63">
      <x:c r="A63" s="104" t="str">
        <x:v>014201.OF</x:v>
      </x:c>
      <x:c r="B63" s="99" t="str">
        <x:v>天弘中证1000指增A</x:v>
      </x:c>
      <x:c r="C63" s="104" t="str">
        <x:v>增值</x:v>
      </x:c>
      <x:c r="D63" s="104" t="str">
        <x:v>指增</x:v>
      </x:c>
      <x:c r="E63" s="104" t="str">
        <x:v>指增</x:v>
      </x:c>
      <x:c r="F63" s="104" t="str">
        <x:v>宽基&amp;指增池</x:v>
      </x:c>
      <x:c r="G63" s="105" t="n">
        <x:f>IFERROR(INDEX('分期持仓明细'!$B$5:$Y$200,G$82-4,MATCH(LEFT($A63,6),'分期持仓明细'!$B$3:$Y$3,0))*INDEX('实盘净值数据(iFinD公式)'!$B$5:$Y$1000,$B$81,MATCH($A63,'实盘净值数据(iFinD公式)'!$B$3:$Y$3,0))/INDEX('实盘净值数据(iFinD公式)'!$B$5:$Y$1000,MATCH(G$84,'实盘净值数据(iFinD公式)'!$A$5:$A$1000,0),MATCH($A63,'实盘净值数据(iFinD公式)'!$B$3:$Y$3,0))/G$85,G99)</x:f>
        <x:v>0</x:v>
      </x:c>
      <x:c r="H63" s="105" t="n">
        <x:f>IFERROR(INDEX('分期持仓明细'!$B$5:$Y$200,H$82-4,MATCH(LEFT($A63,6),'分期持仓明细'!$B$3:$Y$3,0))*INDEX('实盘净值数据(iFinD公式)'!$B$5:$Y$1000,$B$81,MATCH($A63,'实盘净值数据(iFinD公式)'!$B$3:$Y$3,0))/INDEX('实盘净值数据(iFinD公式)'!$B$5:$Y$1000,MATCH(H$84,'实盘净值数据(iFinD公式)'!$A$5:$A$1000,0),MATCH($A63,'实盘净值数据(iFinD公式)'!$B$3:$Y$3,0))/H$85,H99)</x:f>
        <x:v>0</x:v>
      </x:c>
      <x:c r="I63" s="105" t="n">
        <x:f>IFERROR(INDEX('分期持仓明细'!$B$5:$Y$200,I$82-4,MATCH(LEFT($A63,6),'分期持仓明细'!$B$3:$Y$3,0))*INDEX('实盘净值数据(iFinD公式)'!$B$5:$Y$1000,$B$81,MATCH($A63,'实盘净值数据(iFinD公式)'!$B$3:$Y$3,0))/INDEX('实盘净值数据(iFinD公式)'!$B$5:$Y$1000,MATCH(I$84,'实盘净值数据(iFinD公式)'!$A$5:$A$1000,0),MATCH($A63,'实盘净值数据(iFinD公式)'!$B$3:$Y$3,0))/I$85,I99)</x:f>
        <x:v>0</x:v>
      </x:c>
      <x:c r="J63" s="105" t="n">
        <x:f>IFERROR(INDEX('分期持仓明细'!$B$5:$Y$200,J$82-4,MATCH(LEFT($A63,6),'分期持仓明细'!$B$3:$Y$3,0))*INDEX('实盘净值数据(iFinD公式)'!$B$5:$Y$1000,$B$81,MATCH($A63,'实盘净值数据(iFinD公式)'!$B$3:$Y$3,0))/INDEX('实盘净值数据(iFinD公式)'!$B$5:$Y$1000,MATCH(J$84,'实盘净值数据(iFinD公式)'!$A$5:$A$1000,0),MATCH($A63,'实盘净值数据(iFinD公式)'!$B$3:$Y$3,0))/J$85,J99)</x:f>
        <x:v>0</x:v>
      </x:c>
      <x:c r="K63" s="105" t="n">
        <x:f>IFERROR(INDEX('分期持仓明细'!$B$5:$Y$200,K$82-4,MATCH(LEFT($A63,6),'分期持仓明细'!$B$3:$Y$3,0))*INDEX('实盘净值数据(iFinD公式)'!$B$5:$Y$1000,$B$81,MATCH($A63,'实盘净值数据(iFinD公式)'!$B$3:$Y$3,0))/INDEX('实盘净值数据(iFinD公式)'!$B$5:$Y$1000,MATCH(K$84,'实盘净值数据(iFinD公式)'!$A$5:$A$1000,0),MATCH($A63,'实盘净值数据(iFinD公式)'!$B$3:$Y$3,0))/K$85,K99)</x:f>
        <x:v>0.01305811206863005</x:v>
      </x:c>
      <x:c r="L63" s="105" t="n">
        <x:f>IFERROR(INDEX('分期持仓明细'!$B$5:$Y$200,L$82-4,MATCH(LEFT($A63,6),'分期持仓明细'!$B$3:$Y$3,0))*INDEX('实盘净值数据(iFinD公式)'!$B$5:$Y$1000,$B$81,MATCH($A63,'实盘净值数据(iFinD公式)'!$B$3:$Y$3,0))/INDEX('实盘净值数据(iFinD公式)'!$B$5:$Y$1000,MATCH(L$84,'实盘净值数据(iFinD公式)'!$A$5:$A$1000,0),MATCH($A63,'实盘净值数据(iFinD公式)'!$B$3:$Y$3,0))/L$85,L99)</x:f>
        <x:v>0</x:v>
      </x:c>
    </x:row>
    <x:row r="64">
      <x:c r="A64" s="104" t="str">
        <x:v>014202.OF</x:v>
      </x:c>
      <x:c r="B64" s="99" t="str">
        <x:v>天弘中证1000指增C</x:v>
      </x:c>
      <x:c r="C64" s="104" t="str">
        <x:v>增值</x:v>
      </x:c>
      <x:c r="D64" s="104" t="str">
        <x:v>指增</x:v>
      </x:c>
      <x:c r="E64" s="104" t="str">
        <x:v>指增</x:v>
      </x:c>
      <x:c r="F64" s="104" t="str">
        <x:v>同基金A/C</x:v>
      </x:c>
      <x:c r="G64" s="105" t="n">
        <x:f>IFERROR(INDEX('分期持仓明细'!$B$5:$Y$200,G$82-4,MATCH(LEFT($A64,6),'分期持仓明细'!$B$3:$Y$3,0))*INDEX('实盘净值数据(iFinD公式)'!$B$5:$Y$1000,$B$81,MATCH($A64,'实盘净值数据(iFinD公式)'!$B$3:$Y$3,0))/INDEX('实盘净值数据(iFinD公式)'!$B$5:$Y$1000,MATCH(G$84,'实盘净值数据(iFinD公式)'!$A$5:$A$1000,0),MATCH($A64,'实盘净值数据(iFinD公式)'!$B$3:$Y$3,0))/G$85,G100)</x:f>
        <x:v>0</x:v>
      </x:c>
      <x:c r="H64" s="105" t="n">
        <x:f>IFERROR(INDEX('分期持仓明细'!$B$5:$Y$200,H$82-4,MATCH(LEFT($A64,6),'分期持仓明细'!$B$3:$Y$3,0))*INDEX('实盘净值数据(iFinD公式)'!$B$5:$Y$1000,$B$81,MATCH($A64,'实盘净值数据(iFinD公式)'!$B$3:$Y$3,0))/INDEX('实盘净值数据(iFinD公式)'!$B$5:$Y$1000,MATCH(H$84,'实盘净值数据(iFinD公式)'!$A$5:$A$1000,0),MATCH($A64,'实盘净值数据(iFinD公式)'!$B$3:$Y$3,0))/H$85,H100)</x:f>
        <x:v>0</x:v>
      </x:c>
      <x:c r="I64" s="105" t="n">
        <x:f>IFERROR(INDEX('分期持仓明细'!$B$5:$Y$200,I$82-4,MATCH(LEFT($A64,6),'分期持仓明细'!$B$3:$Y$3,0))*INDEX('实盘净值数据(iFinD公式)'!$B$5:$Y$1000,$B$81,MATCH($A64,'实盘净值数据(iFinD公式)'!$B$3:$Y$3,0))/INDEX('实盘净值数据(iFinD公式)'!$B$5:$Y$1000,MATCH(I$84,'实盘净值数据(iFinD公式)'!$A$5:$A$1000,0),MATCH($A64,'实盘净值数据(iFinD公式)'!$B$3:$Y$3,0))/I$85,I100)</x:f>
        <x:v>0</x:v>
      </x:c>
      <x:c r="J64" s="105" t="n">
        <x:f>IFERROR(INDEX('分期持仓明细'!$B$5:$Y$200,J$82-4,MATCH(LEFT($A64,6),'分期持仓明细'!$B$3:$Y$3,0))*INDEX('实盘净值数据(iFinD公式)'!$B$5:$Y$1000,$B$81,MATCH($A64,'实盘净值数据(iFinD公式)'!$B$3:$Y$3,0))/INDEX('实盘净值数据(iFinD公式)'!$B$5:$Y$1000,MATCH(J$84,'实盘净值数据(iFinD公式)'!$A$5:$A$1000,0),MATCH($A64,'实盘净值数据(iFinD公式)'!$B$3:$Y$3,0))/J$85,J100)</x:f>
        <x:v>0.01288170822388295</x:v>
      </x:c>
      <x:c r="K64" s="105" t="n">
        <x:f>IFERROR(INDEX('分期持仓明细'!$B$5:$Y$200,K$82-4,MATCH(LEFT($A64,6),'分期持仓明细'!$B$3:$Y$3,0))*INDEX('实盘净值数据(iFinD公式)'!$B$5:$Y$1000,$B$81,MATCH($A64,'实盘净值数据(iFinD公式)'!$B$3:$Y$3,0))/INDEX('实盘净值数据(iFinD公式)'!$B$5:$Y$1000,MATCH(K$84,'实盘净值数据(iFinD公式)'!$A$5:$A$1000,0),MATCH($A64,'实盘净值数据(iFinD公式)'!$B$3:$Y$3,0))/K$85,K100)</x:f>
        <x:v>0</x:v>
      </x:c>
      <x:c r="L64" s="105" t="n">
        <x:f>IFERROR(INDEX('分期持仓明细'!$B$5:$Y$200,L$82-4,MATCH(LEFT($A64,6),'分期持仓明细'!$B$3:$Y$3,0))*INDEX('实盘净值数据(iFinD公式)'!$B$5:$Y$1000,$B$81,MATCH($A64,'实盘净值数据(iFinD公式)'!$B$3:$Y$3,0))/INDEX('实盘净值数据(iFinD公式)'!$B$5:$Y$1000,MATCH(L$84,'实盘净值数据(iFinD公式)'!$A$5:$A$1000,0),MATCH($A64,'实盘净值数据(iFinD公式)'!$B$3:$Y$3,0))/L$85,L100)</x:f>
        <x:v>0.03849114616684735</x:v>
      </x:c>
    </x:row>
    <x:row r="65">
      <x:c r="A65" s="104" t="str">
        <x:v>015453.OF</x:v>
      </x:c>
      <x:c r="B65" s="99" t="str">
        <x:v>中欧中证500指增A</x:v>
      </x:c>
      <x:c r="C65" s="104" t="str">
        <x:v>增值</x:v>
      </x:c>
      <x:c r="D65" s="104" t="str">
        <x:v>指增</x:v>
      </x:c>
      <x:c r="E65" s="104" t="str">
        <x:v>指增</x:v>
      </x:c>
      <x:c r="F65" s="104" t="str">
        <x:v>宽基&amp;指增池</x:v>
      </x:c>
      <x:c r="G65" s="105" t="n">
        <x:f>IFERROR(INDEX('分期持仓明细'!$B$5:$Y$200,G$82-4,MATCH(LEFT($A65,6),'分期持仓明细'!$B$3:$Y$3,0))*INDEX('实盘净值数据(iFinD公式)'!$B$5:$Y$1000,$B$81,MATCH($A65,'实盘净值数据(iFinD公式)'!$B$3:$Y$3,0))/INDEX('实盘净值数据(iFinD公式)'!$B$5:$Y$1000,MATCH(G$84,'实盘净值数据(iFinD公式)'!$A$5:$A$1000,0),MATCH($A65,'实盘净值数据(iFinD公式)'!$B$3:$Y$3,0))/G$85,G101)</x:f>
        <x:v>0</x:v>
      </x:c>
      <x:c r="H65" s="105" t="n">
        <x:f>IFERROR(INDEX('分期持仓明细'!$B$5:$Y$200,H$82-4,MATCH(LEFT($A65,6),'分期持仓明细'!$B$3:$Y$3,0))*INDEX('实盘净值数据(iFinD公式)'!$B$5:$Y$1000,$B$81,MATCH($A65,'实盘净值数据(iFinD公式)'!$B$3:$Y$3,0))/INDEX('实盘净值数据(iFinD公式)'!$B$5:$Y$1000,MATCH(H$84,'实盘净值数据(iFinD公式)'!$A$5:$A$1000,0),MATCH($A65,'实盘净值数据(iFinD公式)'!$B$3:$Y$3,0))/H$85,H101)</x:f>
        <x:v>0</x:v>
      </x:c>
      <x:c r="I65" s="105" t="n">
        <x:f>IFERROR(INDEX('分期持仓明细'!$B$5:$Y$200,I$82-4,MATCH(LEFT($A65,6),'分期持仓明细'!$B$3:$Y$3,0))*INDEX('实盘净值数据(iFinD公式)'!$B$5:$Y$1000,$B$81,MATCH($A65,'实盘净值数据(iFinD公式)'!$B$3:$Y$3,0))/INDEX('实盘净值数据(iFinD公式)'!$B$5:$Y$1000,MATCH(I$84,'实盘净值数据(iFinD公式)'!$A$5:$A$1000,0),MATCH($A65,'实盘净值数据(iFinD公式)'!$B$3:$Y$3,0))/I$85,I101)</x:f>
        <x:v>0</x:v>
      </x:c>
      <x:c r="J65" s="105" t="n">
        <x:f>IFERROR(INDEX('分期持仓明细'!$B$5:$Y$200,J$82-4,MATCH(LEFT($A65,6),'分期持仓明细'!$B$3:$Y$3,0))*INDEX('实盘净值数据(iFinD公式)'!$B$5:$Y$1000,$B$81,MATCH($A65,'实盘净值数据(iFinD公式)'!$B$3:$Y$3,0))/INDEX('实盘净值数据(iFinD公式)'!$B$5:$Y$1000,MATCH(J$84,'实盘净值数据(iFinD公式)'!$A$5:$A$1000,0),MATCH($A65,'实盘净值数据(iFinD公式)'!$B$3:$Y$3,0))/J$85,J101)</x:f>
        <x:v>0</x:v>
      </x:c>
      <x:c r="K65" s="105" t="n">
        <x:f>IFERROR(INDEX('分期持仓明细'!$B$5:$Y$200,K$82-4,MATCH(LEFT($A65,6),'分期持仓明细'!$B$3:$Y$3,0))*INDEX('实盘净值数据(iFinD公式)'!$B$5:$Y$1000,$B$81,MATCH($A65,'实盘净值数据(iFinD公式)'!$B$3:$Y$3,0))/INDEX('实盘净值数据(iFinD公式)'!$B$5:$Y$1000,MATCH(K$84,'实盘净值数据(iFinD公式)'!$A$5:$A$1000,0),MATCH($A65,'实盘净值数据(iFinD公式)'!$B$3:$Y$3,0))/K$85,K101)</x:f>
        <x:v>0.01331135566096293</x:v>
      </x:c>
      <x:c r="L65" s="105" t="n">
        <x:f>IFERROR(INDEX('分期持仓明细'!$B$5:$Y$200,L$82-4,MATCH(LEFT($A65,6),'分期持仓明细'!$B$3:$Y$3,0))*INDEX('实盘净值数据(iFinD公式)'!$B$5:$Y$1000,$B$81,MATCH($A65,'实盘净值数据(iFinD公式)'!$B$3:$Y$3,0))/INDEX('实盘净值数据(iFinD公式)'!$B$5:$Y$1000,MATCH(L$84,'实盘净值数据(iFinD公式)'!$A$5:$A$1000,0),MATCH($A65,'实盘净值数据(iFinD公式)'!$B$3:$Y$3,0))/L$85,L101)</x:f>
        <x:v>0</x:v>
      </x:c>
    </x:row>
    <x:row r="66">
      <x:c r="A66" s="104" t="str">
        <x:v>015454.OF</x:v>
      </x:c>
      <x:c r="B66" s="99" t="str">
        <x:v>中欧中证500指增C</x:v>
      </x:c>
      <x:c r="C66" s="104" t="str">
        <x:v>增值</x:v>
      </x:c>
      <x:c r="D66" s="104" t="str">
        <x:v>指增</x:v>
      </x:c>
      <x:c r="E66" s="104" t="str">
        <x:v>指增</x:v>
      </x:c>
      <x:c r="F66" s="104" t="str">
        <x:v>同基金A/C</x:v>
      </x:c>
      <x:c r="G66" s="105" t="n">
        <x:f>IFERROR(INDEX('分期持仓明细'!$B$5:$Y$200,G$82-4,MATCH(LEFT($A66,6),'分期持仓明细'!$B$3:$Y$3,0))*INDEX('实盘净值数据(iFinD公式)'!$B$5:$Y$1000,$B$81,MATCH($A66,'实盘净值数据(iFinD公式)'!$B$3:$Y$3,0))/INDEX('实盘净值数据(iFinD公式)'!$B$5:$Y$1000,MATCH(G$84,'实盘净值数据(iFinD公式)'!$A$5:$A$1000,0),MATCH($A66,'实盘净值数据(iFinD公式)'!$B$3:$Y$3,0))/G$85,G102)</x:f>
        <x:v>0</x:v>
      </x:c>
      <x:c r="H66" s="105" t="n">
        <x:f>IFERROR(INDEX('分期持仓明细'!$B$5:$Y$200,H$82-4,MATCH(LEFT($A66,6),'分期持仓明细'!$B$3:$Y$3,0))*INDEX('实盘净值数据(iFinD公式)'!$B$5:$Y$1000,$B$81,MATCH($A66,'实盘净值数据(iFinD公式)'!$B$3:$Y$3,0))/INDEX('实盘净值数据(iFinD公式)'!$B$5:$Y$1000,MATCH(H$84,'实盘净值数据(iFinD公式)'!$A$5:$A$1000,0),MATCH($A66,'实盘净值数据(iFinD公式)'!$B$3:$Y$3,0))/H$85,H102)</x:f>
        <x:v>0</x:v>
      </x:c>
      <x:c r="I66" s="105" t="n">
        <x:f>IFERROR(INDEX('分期持仓明细'!$B$5:$Y$200,I$82-4,MATCH(LEFT($A66,6),'分期持仓明细'!$B$3:$Y$3,0))*INDEX('实盘净值数据(iFinD公式)'!$B$5:$Y$1000,$B$81,MATCH($A66,'实盘净值数据(iFinD公式)'!$B$3:$Y$3,0))/INDEX('实盘净值数据(iFinD公式)'!$B$5:$Y$1000,MATCH(I$84,'实盘净值数据(iFinD公式)'!$A$5:$A$1000,0),MATCH($A66,'实盘净值数据(iFinD公式)'!$B$3:$Y$3,0))/I$85,I102)</x:f>
        <x:v>0</x:v>
      </x:c>
      <x:c r="J66" s="105" t="n">
        <x:f>IFERROR(INDEX('分期持仓明细'!$B$5:$Y$200,J$82-4,MATCH(LEFT($A66,6),'分期持仓明细'!$B$3:$Y$3,0))*INDEX('实盘净值数据(iFinD公式)'!$B$5:$Y$1000,$B$81,MATCH($A66,'实盘净值数据(iFinD公式)'!$B$3:$Y$3,0))/INDEX('实盘净值数据(iFinD公式)'!$B$5:$Y$1000,MATCH(J$84,'实盘净值数据(iFinD公式)'!$A$5:$A$1000,0),MATCH($A66,'实盘净值数据(iFinD公式)'!$B$3:$Y$3,0))/J$85,J102)</x:f>
        <x:v>0.01300899943471813</x:v>
      </x:c>
      <x:c r="K66" s="105" t="n">
        <x:f>IFERROR(INDEX('分期持仓明细'!$B$5:$Y$200,K$82-4,MATCH(LEFT($A66,6),'分期持仓明细'!$B$3:$Y$3,0))*INDEX('实盘净值数据(iFinD公式)'!$B$5:$Y$1000,$B$81,MATCH($A66,'实盘净值数据(iFinD公式)'!$B$3:$Y$3,0))/INDEX('实盘净值数据(iFinD公式)'!$B$5:$Y$1000,MATCH(K$84,'实盘净值数据(iFinD公式)'!$A$5:$A$1000,0),MATCH($A66,'实盘净值数据(iFinD公式)'!$B$3:$Y$3,0))/K$85,K102)</x:f>
        <x:v>0</x:v>
      </x:c>
      <x:c r="L66" s="105" t="n">
        <x:f>IFERROR(INDEX('分期持仓明细'!$B$5:$Y$200,L$82-4,MATCH(LEFT($A66,6),'分期持仓明细'!$B$3:$Y$3,0))*INDEX('实盘净值数据(iFinD公式)'!$B$5:$Y$1000,$B$81,MATCH($A66,'实盘净值数据(iFinD公式)'!$B$3:$Y$3,0))/INDEX('实盘净值数据(iFinD公式)'!$B$5:$Y$1000,MATCH(L$84,'实盘净值数据(iFinD公式)'!$A$5:$A$1000,0),MATCH($A66,'实盘净值数据(iFinD公式)'!$B$3:$Y$3,0))/L$85,L102)</x:f>
        <x:v>0.03886861841160838</x:v>
      </x:c>
    </x:row>
    <x:row r="67">
      <x:c r="A67" s="104" t="str">
        <x:v>016370.OF</x:v>
      </x:c>
      <x:c r="B67" s="99" t="str">
        <x:v>信澳业绩驱动A</x:v>
      </x:c>
      <x:c r="C67" s="104" t="str">
        <x:v>增值</x:v>
      </x:c>
      <x:c r="D67" s="104" t="str">
        <x:v>产业趋势</x:v>
      </x:c>
      <x:c r="E67" s="104" t="str">
        <x:v>主动</x:v>
      </x:c>
      <x:c r="F67" s="104" t="str">
        <x:v>产业趋势产品池</x:v>
      </x:c>
      <x:c r="G67" s="105" t="n">
        <x:f>IFERROR(INDEX('分期持仓明细'!$B$5:$Y$200,G$82-4,MATCH(LEFT($A67,6),'分期持仓明细'!$B$3:$Y$3,0))*INDEX('实盘净值数据(iFinD公式)'!$B$5:$Y$1000,$B$81,MATCH($A67,'实盘净值数据(iFinD公式)'!$B$3:$Y$3,0))/INDEX('实盘净值数据(iFinD公式)'!$B$5:$Y$1000,MATCH(G$84,'实盘净值数据(iFinD公式)'!$A$5:$A$1000,0),MATCH($A67,'实盘净值数据(iFinD公式)'!$B$3:$Y$3,0))/G$85,G103)</x:f>
        <x:v>0.15912488007417924</x:v>
      </x:c>
      <x:c r="H67" s="105" t="n">
        <x:f>IFERROR(INDEX('分期持仓明细'!$B$5:$Y$200,H$82-4,MATCH(LEFT($A67,6),'分期持仓明细'!$B$3:$Y$3,0))*INDEX('实盘净值数据(iFinD公式)'!$B$5:$Y$1000,$B$81,MATCH($A67,'实盘净值数据(iFinD公式)'!$B$3:$Y$3,0))/INDEX('实盘净值数据(iFinD公式)'!$B$5:$Y$1000,MATCH(H$84,'实盘净值数据(iFinD公式)'!$A$5:$A$1000,0),MATCH($A67,'实盘净值数据(iFinD公式)'!$B$3:$Y$3,0))/H$85,H103)</x:f>
        <x:v>0.15902507905426536</x:v>
      </x:c>
      <x:c r="I67" s="105" t="n">
        <x:f>IFERROR(INDEX('分期持仓明细'!$B$5:$Y$200,I$82-4,MATCH(LEFT($A67,6),'分期持仓明细'!$B$3:$Y$3,0))*INDEX('实盘净值数据(iFinD公式)'!$B$5:$Y$1000,$B$81,MATCH($A67,'实盘净值数据(iFinD公式)'!$B$3:$Y$3,0))/INDEX('实盘净值数据(iFinD公式)'!$B$5:$Y$1000,MATCH(I$84,'实盘净值数据(iFinD公式)'!$A$5:$A$1000,0),MATCH($A67,'实盘净值数据(iFinD公式)'!$B$3:$Y$3,0))/I$85,I103)</x:f>
        <x:v>0</x:v>
      </x:c>
      <x:c r="J67" s="105" t="n">
        <x:f>IFERROR(INDEX('分期持仓明细'!$B$5:$Y$200,J$82-4,MATCH(LEFT($A67,6),'分期持仓明细'!$B$3:$Y$3,0))*INDEX('实盘净值数据(iFinD公式)'!$B$5:$Y$1000,$B$81,MATCH($A67,'实盘净值数据(iFinD公式)'!$B$3:$Y$3,0))/INDEX('实盘净值数据(iFinD公式)'!$B$5:$Y$1000,MATCH(J$84,'实盘净值数据(iFinD公式)'!$A$5:$A$1000,0),MATCH($A67,'实盘净值数据(iFinD公式)'!$B$3:$Y$3,0))/J$85,J103)</x:f>
        <x:v>0</x:v>
      </x:c>
      <x:c r="K67" s="105" t="n">
        <x:f>IFERROR(INDEX('分期持仓明细'!$B$5:$Y$200,K$82-4,MATCH(LEFT($A67,6),'分期持仓明细'!$B$3:$Y$3,0))*INDEX('实盘净值数据(iFinD公式)'!$B$5:$Y$1000,$B$81,MATCH($A67,'实盘净值数据(iFinD公式)'!$B$3:$Y$3,0))/INDEX('实盘净值数据(iFinD公式)'!$B$5:$Y$1000,MATCH(K$84,'实盘净值数据(iFinD公式)'!$A$5:$A$1000,0),MATCH($A67,'实盘净值数据(iFinD公式)'!$B$3:$Y$3,0))/K$85,K103)</x:f>
        <x:v>0.00840985580066948</x:v>
      </x:c>
      <x:c r="L67" s="105" t="n">
        <x:f>IFERROR(INDEX('分期持仓明细'!$B$5:$Y$200,L$82-4,MATCH(LEFT($A67,6),'分期持仓明细'!$B$3:$Y$3,0))*INDEX('实盘净值数据(iFinD公式)'!$B$5:$Y$1000,$B$81,MATCH($A67,'实盘净值数据(iFinD公式)'!$B$3:$Y$3,0))/INDEX('实盘净值数据(iFinD公式)'!$B$5:$Y$1000,MATCH(L$84,'实盘净值数据(iFinD公式)'!$A$5:$A$1000,0),MATCH($A67,'实盘净值数据(iFinD公式)'!$B$3:$Y$3,0))/L$85,L103)</x:f>
        <x:v>0</x:v>
      </x:c>
    </x:row>
    <x:row r="68">
      <x:c r="A68" s="104" t="str">
        <x:v>017488.OF</x:v>
      </x:c>
      <x:c r="B68" s="99" t="str">
        <x:v>嘉实信息产业A</x:v>
      </x:c>
      <x:c r="C68" s="104" t="str">
        <x:v>增值</x:v>
      </x:c>
      <x:c r="D68" s="104" t="str">
        <x:v>产业趋势</x:v>
      </x:c>
      <x:c r="E68" s="104" t="str">
        <x:v>主动</x:v>
      </x:c>
      <x:c r="F68" s="104" t="str">
        <x:v>产业趋势产品池</x:v>
      </x:c>
      <x:c r="G68" s="105" t="n">
        <x:f>IFERROR(INDEX('分期持仓明细'!$B$5:$Y$200,G$82-4,MATCH(LEFT($A68,6),'分期持仓明细'!$B$3:$Y$3,0))*INDEX('实盘净值数据(iFinD公式)'!$B$5:$Y$1000,$B$81,MATCH($A68,'实盘净值数据(iFinD公式)'!$B$3:$Y$3,0))/INDEX('实盘净值数据(iFinD公式)'!$B$5:$Y$1000,MATCH(G$84,'实盘净值数据(iFinD公式)'!$A$5:$A$1000,0),MATCH($A68,'实盘净值数据(iFinD公式)'!$B$3:$Y$3,0))/G$85,G104)</x:f>
        <x:v>0.17230499151577977</x:v>
      </x:c>
      <x:c r="H68" s="105" t="n">
        <x:f>IFERROR(INDEX('分期持仓明细'!$B$5:$Y$200,H$82-4,MATCH(LEFT($A68,6),'分期持仓明细'!$B$3:$Y$3,0))*INDEX('实盘净值数据(iFinD公式)'!$B$5:$Y$1000,$B$81,MATCH($A68,'实盘净值数据(iFinD公式)'!$B$3:$Y$3,0))/INDEX('实盘净值数据(iFinD公式)'!$B$5:$Y$1000,MATCH(H$84,'实盘净值数据(iFinD公式)'!$A$5:$A$1000,0),MATCH($A68,'实盘净值数据(iFinD公式)'!$B$3:$Y$3,0))/H$85,H104)</x:f>
        <x:v>0.17310992190249347</x:v>
      </x:c>
      <x:c r="I68" s="105" t="n">
        <x:f>IFERROR(INDEX('分期持仓明细'!$B$5:$Y$200,I$82-4,MATCH(LEFT($A68,6),'分期持仓明细'!$B$3:$Y$3,0))*INDEX('实盘净值数据(iFinD公式)'!$B$5:$Y$1000,$B$81,MATCH($A68,'实盘净值数据(iFinD公式)'!$B$3:$Y$3,0))/INDEX('实盘净值数据(iFinD公式)'!$B$5:$Y$1000,MATCH(I$84,'实盘净值数据(iFinD公式)'!$A$5:$A$1000,0),MATCH($A68,'实盘净值数据(iFinD公式)'!$B$3:$Y$3,0))/I$85,I104)</x:f>
        <x:v>0</x:v>
      </x:c>
      <x:c r="J68" s="105" t="n">
        <x:f>IFERROR(INDEX('分期持仓明细'!$B$5:$Y$200,J$82-4,MATCH(LEFT($A68,6),'分期持仓明细'!$B$3:$Y$3,0))*INDEX('实盘净值数据(iFinD公式)'!$B$5:$Y$1000,$B$81,MATCH($A68,'实盘净值数据(iFinD公式)'!$B$3:$Y$3,0))/INDEX('实盘净值数据(iFinD公式)'!$B$5:$Y$1000,MATCH(J$84,'实盘净值数据(iFinD公式)'!$A$5:$A$1000,0),MATCH($A68,'实盘净值数据(iFinD公式)'!$B$3:$Y$3,0))/J$85,J104)</x:f>
        <x:v>0</x:v>
      </x:c>
      <x:c r="K68" s="105" t="n">
        <x:f>IFERROR(INDEX('分期持仓明细'!$B$5:$Y$200,K$82-4,MATCH(LEFT($A68,6),'分期持仓明细'!$B$3:$Y$3,0))*INDEX('实盘净值数据(iFinD公式)'!$B$5:$Y$1000,$B$81,MATCH($A68,'实盘净值数据(iFinD公式)'!$B$3:$Y$3,0))/INDEX('实盘净值数据(iFinD公式)'!$B$5:$Y$1000,MATCH(K$84,'实盘净值数据(iFinD公式)'!$A$5:$A$1000,0),MATCH($A68,'实盘净值数据(iFinD公式)'!$B$3:$Y$3,0))/K$85,K104)</x:f>
        <x:v>0.008980180698834838</x:v>
      </x:c>
      <x:c r="L68" s="105" t="n">
        <x:f>IFERROR(INDEX('分期持仓明细'!$B$5:$Y$200,L$82-4,MATCH(LEFT($A68,6),'分期持仓明细'!$B$3:$Y$3,0))*INDEX('实盘净值数据(iFinD公式)'!$B$5:$Y$1000,$B$81,MATCH($A68,'实盘净值数据(iFinD公式)'!$B$3:$Y$3,0))/INDEX('实盘净值数据(iFinD公式)'!$B$5:$Y$1000,MATCH(L$84,'实盘净值数据(iFinD公式)'!$A$5:$A$1000,0),MATCH($A68,'实盘净值数据(iFinD公式)'!$B$3:$Y$3,0))/L$85,L104)</x:f>
        <x:v>0</x:v>
      </x:c>
    </x:row>
    <x:row r="69">
      <x:c r="A69" s="104" t="str">
        <x:v>017489.OF</x:v>
      </x:c>
      <x:c r="B69" s="99" t="str">
        <x:v>嘉实信息产业C</x:v>
      </x:c>
      <x:c r="C69" s="104" t="str">
        <x:v>增值</x:v>
      </x:c>
      <x:c r="D69" s="104" t="str">
        <x:v>产业趋势</x:v>
      </x:c>
      <x:c r="E69" s="104" t="str">
        <x:v>主动</x:v>
      </x:c>
      <x:c r="F69" s="104" t="str">
        <x:v>同基金A/C</x:v>
      </x:c>
      <x:c r="G69" s="105" t="n">
        <x:f>IFERROR(INDEX('分期持仓明细'!$B$5:$Y$200,G$82-4,MATCH(LEFT($A69,6),'分期持仓明细'!$B$3:$Y$3,0))*INDEX('实盘净值数据(iFinD公式)'!$B$5:$Y$1000,$B$81,MATCH($A69,'实盘净值数据(iFinD公式)'!$B$3:$Y$3,0))/INDEX('实盘净值数据(iFinD公式)'!$B$5:$Y$1000,MATCH(G$84,'实盘净值数据(iFinD公式)'!$A$5:$A$1000,0),MATCH($A69,'实盘净值数据(iFinD公式)'!$B$3:$Y$3,0))/G$85,G105)</x:f>
        <x:v>0</x:v>
      </x:c>
      <x:c r="H69" s="105" t="n">
        <x:f>IFERROR(INDEX('分期持仓明细'!$B$5:$Y$200,H$82-4,MATCH(LEFT($A69,6),'分期持仓明细'!$B$3:$Y$3,0))*INDEX('实盘净值数据(iFinD公式)'!$B$5:$Y$1000,$B$81,MATCH($A69,'实盘净值数据(iFinD公式)'!$B$3:$Y$3,0))/INDEX('实盘净值数据(iFinD公式)'!$B$5:$Y$1000,MATCH(H$84,'实盘净值数据(iFinD公式)'!$A$5:$A$1000,0),MATCH($A69,'实盘净值数据(iFinD公式)'!$B$3:$Y$3,0))/H$85,H105)</x:f>
        <x:v>0</x:v>
      </x:c>
      <x:c r="I69" s="105" t="n">
        <x:f>IFERROR(INDEX('分期持仓明细'!$B$5:$Y$200,I$82-4,MATCH(LEFT($A69,6),'分期持仓明细'!$B$3:$Y$3,0))*INDEX('实盘净值数据(iFinD公式)'!$B$5:$Y$1000,$B$81,MATCH($A69,'实盘净值数据(iFinD公式)'!$B$3:$Y$3,0))/INDEX('实盘净值数据(iFinD公式)'!$B$5:$Y$1000,MATCH(I$84,'实盘净值数据(iFinD公式)'!$A$5:$A$1000,0),MATCH($A69,'实盘净值数据(iFinD公式)'!$B$3:$Y$3,0))/I$85,I105)</x:f>
        <x:v>0.16814227790813516</x:v>
      </x:c>
      <x:c r="J69" s="105" t="n">
        <x:f>IFERROR(INDEX('分期持仓明细'!$B$5:$Y$200,J$82-4,MATCH(LEFT($A69,6),'分期持仓明细'!$B$3:$Y$3,0))*INDEX('实盘净值数据(iFinD公式)'!$B$5:$Y$1000,$B$81,MATCH($A69,'实盘净值数据(iFinD公式)'!$B$3:$Y$3,0))/INDEX('实盘净值数据(iFinD公式)'!$B$5:$Y$1000,MATCH(J$84,'实盘净值数据(iFinD公式)'!$A$5:$A$1000,0),MATCH($A69,'实盘净值数据(iFinD公式)'!$B$3:$Y$3,0))/J$85,J105)</x:f>
        <x:v>0.008713691952627311</x:v>
      </x:c>
      <x:c r="K69" s="105" t="n">
        <x:f>IFERROR(INDEX('分期持仓明细'!$B$5:$Y$200,K$82-4,MATCH(LEFT($A69,6),'分期持仓明细'!$B$3:$Y$3,0))*INDEX('实盘净值数据(iFinD公式)'!$B$5:$Y$1000,$B$81,MATCH($A69,'实盘净值数据(iFinD公式)'!$B$3:$Y$3,0))/INDEX('实盘净值数据(iFinD公式)'!$B$5:$Y$1000,MATCH(K$84,'实盘净值数据(iFinD公式)'!$A$5:$A$1000,0),MATCH($A69,'实盘净值数据(iFinD公式)'!$B$3:$Y$3,0))/K$85,K105)</x:f>
        <x:v>0</x:v>
      </x:c>
      <x:c r="L69" s="105" t="n">
        <x:f>IFERROR(INDEX('分期持仓明细'!$B$5:$Y$200,L$82-4,MATCH(LEFT($A69,6),'分期持仓明细'!$B$3:$Y$3,0))*INDEX('实盘净值数据(iFinD公式)'!$B$5:$Y$1000,$B$81,MATCH($A69,'实盘净值数据(iFinD公式)'!$B$3:$Y$3,0))/INDEX('实盘净值数据(iFinD公式)'!$B$5:$Y$1000,MATCH(L$84,'实盘净值数据(iFinD公式)'!$A$5:$A$1000,0),MATCH($A69,'实盘净值数据(iFinD公式)'!$B$3:$Y$3,0))/L$85,L105)</x:f>
        <x:v>0.02603644996891972</x:v>
      </x:c>
    </x:row>
    <x:row r="70">
      <x:c r="A70" s="104" t="str">
        <x:v>017612.OF</x:v>
      </x:c>
      <x:c r="B70" s="99" t="str">
        <x:v>宏利复兴伟业C</x:v>
      </x:c>
      <x:c r="C70" s="104" t="str">
        <x:v>增值</x:v>
      </x:c>
      <x:c r="D70" s="104" t="str">
        <x:v>产业趋势</x:v>
      </x:c>
      <x:c r="E70" s="104" t="str">
        <x:v>主动</x:v>
      </x:c>
      <x:c r="F70" s="104" t="str">
        <x:v>同基金A/C</x:v>
      </x:c>
      <x:c r="G70" s="105" t="n">
        <x:f>IFERROR(INDEX('分期持仓明细'!$B$5:$Y$200,G$82-4,MATCH(LEFT($A70,6),'分期持仓明细'!$B$3:$Y$3,0))*INDEX('实盘净值数据(iFinD公式)'!$B$5:$Y$1000,$B$81,MATCH($A70,'实盘净值数据(iFinD公式)'!$B$3:$Y$3,0))/INDEX('实盘净值数据(iFinD公式)'!$B$5:$Y$1000,MATCH(G$84,'实盘净值数据(iFinD公式)'!$A$5:$A$1000,0),MATCH($A70,'实盘净值数据(iFinD公式)'!$B$3:$Y$3,0))/G$85,G106)</x:f>
        <x:v>0</x:v>
      </x:c>
      <x:c r="H70" s="105" t="n">
        <x:f>IFERROR(INDEX('分期持仓明细'!$B$5:$Y$200,H$82-4,MATCH(LEFT($A70,6),'分期持仓明细'!$B$3:$Y$3,0))*INDEX('实盘净值数据(iFinD公式)'!$B$5:$Y$1000,$B$81,MATCH($A70,'实盘净值数据(iFinD公式)'!$B$3:$Y$3,0))/INDEX('实盘净值数据(iFinD公式)'!$B$5:$Y$1000,MATCH(H$84,'实盘净值数据(iFinD公式)'!$A$5:$A$1000,0),MATCH($A70,'实盘净值数据(iFinD公式)'!$B$3:$Y$3,0))/H$85,H106)</x:f>
        <x:v>0</x:v>
      </x:c>
      <x:c r="I70" s="105" t="n">
        <x:f>IFERROR(INDEX('分期持仓明细'!$B$5:$Y$200,I$82-4,MATCH(LEFT($A70,6),'分期持仓明细'!$B$3:$Y$3,0))*INDEX('实盘净值数据(iFinD公式)'!$B$5:$Y$1000,$B$81,MATCH($A70,'实盘净值数据(iFinD公式)'!$B$3:$Y$3,0))/INDEX('实盘净值数据(iFinD公式)'!$B$5:$Y$1000,MATCH(I$84,'实盘净值数据(iFinD公式)'!$A$5:$A$1000,0),MATCH($A70,'实盘净值数据(iFinD公式)'!$B$3:$Y$3,0))/I$85,I106)</x:f>
        <x:v>0.16735538109816184</x:v>
      </x:c>
      <x:c r="J70" s="105" t="n">
        <x:f>IFERROR(INDEX('分期持仓明细'!$B$5:$Y$200,J$82-4,MATCH(LEFT($A70,6),'分期持仓明细'!$B$3:$Y$3,0))*INDEX('实盘净值数据(iFinD公式)'!$B$5:$Y$1000,$B$81,MATCH($A70,'实盘净值数据(iFinD公式)'!$B$3:$Y$3,0))/INDEX('实盘净值数据(iFinD公式)'!$B$5:$Y$1000,MATCH(J$84,'实盘净值数据(iFinD公式)'!$A$5:$A$1000,0),MATCH($A70,'实盘净值数据(iFinD公式)'!$B$3:$Y$3,0))/J$85,J106)</x:f>
        <x:v>0.008645667148546948</x:v>
      </x:c>
      <x:c r="K70" s="105" t="n">
        <x:f>IFERROR(INDEX('分期持仓明细'!$B$5:$Y$200,K$82-4,MATCH(LEFT($A70,6),'分期持仓明细'!$B$3:$Y$3,0))*INDEX('实盘净值数据(iFinD公式)'!$B$5:$Y$1000,$B$81,MATCH($A70,'实盘净值数据(iFinD公式)'!$B$3:$Y$3,0))/INDEX('实盘净值数据(iFinD公式)'!$B$5:$Y$1000,MATCH(K$84,'实盘净值数据(iFinD公式)'!$A$5:$A$1000,0),MATCH($A70,'实盘净值数据(iFinD公式)'!$B$3:$Y$3,0))/K$85,K106)</x:f>
        <x:v>0</x:v>
      </x:c>
      <x:c r="L70" s="105" t="n">
        <x:f>IFERROR(INDEX('分期持仓明细'!$B$5:$Y$200,L$82-4,MATCH(LEFT($A70,6),'分期持仓明细'!$B$3:$Y$3,0))*INDEX('实盘净值数据(iFinD公式)'!$B$5:$Y$1000,$B$81,MATCH($A70,'实盘净值数据(iFinD公式)'!$B$3:$Y$3,0))/INDEX('实盘净值数据(iFinD公式)'!$B$5:$Y$1000,MATCH(L$84,'实盘净值数据(iFinD公式)'!$A$5:$A$1000,0),MATCH($A70,'实盘净值数据(iFinD公式)'!$B$3:$Y$3,0))/L$85,L106)</x:f>
        <x:v>0.02583404960566663</x:v>
      </x:c>
    </x:row>
    <x:row r="71">
      <x:c r="A71" s="104" t="str">
        <x:v>019632.OF</x:v>
      </x:c>
      <x:c r="B71" s="99" t="str">
        <x:v>国泰半导体材料设备ETF联接A</x:v>
      </x:c>
      <x:c r="C71" s="104" t="str">
        <x:v>增值</x:v>
      </x:c>
      <x:c r="D71" s="104" t="str">
        <x:v>产业趋势</x:v>
      </x:c>
      <x:c r="E71" s="104" t="str">
        <x:v>指数</x:v>
      </x:c>
      <x:c r="F71" s="104" t="str">
        <x:v>产业趋势产品池</x:v>
      </x:c>
      <x:c r="G71" s="105" t="n">
        <x:f>IFERROR(INDEX('分期持仓明细'!$B$5:$Y$200,G$82-4,MATCH(LEFT($A71,6),'分期持仓明细'!$B$3:$Y$3,0))*INDEX('实盘净值数据(iFinD公式)'!$B$5:$Y$1000,$B$81,MATCH($A71,'实盘净值数据(iFinD公式)'!$B$3:$Y$3,0))/INDEX('实盘净值数据(iFinD公式)'!$B$5:$Y$1000,MATCH(G$84,'实盘净值数据(iFinD公式)'!$A$5:$A$1000,0),MATCH($A71,'实盘净值数据(iFinD公式)'!$B$3:$Y$3,0))/G$85,G107)</x:f>
        <x:v>0.1311286607566896</x:v>
      </x:c>
      <x:c r="H71" s="105" t="n">
        <x:f>IFERROR(INDEX('分期持仓明细'!$B$5:$Y$200,H$82-4,MATCH(LEFT($A71,6),'分期持仓明细'!$B$3:$Y$3,0))*INDEX('实盘净值数据(iFinD公式)'!$B$5:$Y$1000,$B$81,MATCH($A71,'实盘净值数据(iFinD公式)'!$B$3:$Y$3,0))/INDEX('实盘净值数据(iFinD公式)'!$B$5:$Y$1000,MATCH(H$84,'实盘净值数据(iFinD公式)'!$A$5:$A$1000,0),MATCH($A71,'实盘净值数据(iFinD公式)'!$B$3:$Y$3,0))/H$85,H107)</x:f>
        <x:v>0.1317750117897416</x:v>
      </x:c>
      <x:c r="I71" s="105" t="n">
        <x:f>IFERROR(INDEX('分期持仓明细'!$B$5:$Y$200,I$82-4,MATCH(LEFT($A71,6),'分期持仓明细'!$B$3:$Y$3,0))*INDEX('实盘净值数据(iFinD公式)'!$B$5:$Y$1000,$B$81,MATCH($A71,'实盘净值数据(iFinD公式)'!$B$3:$Y$3,0))/INDEX('实盘净值数据(iFinD公式)'!$B$5:$Y$1000,MATCH(I$84,'实盘净值数据(iFinD公式)'!$A$5:$A$1000,0),MATCH($A71,'实盘净值数据(iFinD公式)'!$B$3:$Y$3,0))/I$85,I107)</x:f>
        <x:v>0</x:v>
      </x:c>
      <x:c r="J71" s="105" t="n">
        <x:f>IFERROR(INDEX('分期持仓明细'!$B$5:$Y$200,J$82-4,MATCH(LEFT($A71,6),'分期持仓明细'!$B$3:$Y$3,0))*INDEX('实盘净值数据(iFinD公式)'!$B$5:$Y$1000,$B$81,MATCH($A71,'实盘净值数据(iFinD公式)'!$B$3:$Y$3,0))/INDEX('实盘净值数据(iFinD公式)'!$B$5:$Y$1000,MATCH(J$84,'实盘净值数据(iFinD公式)'!$A$5:$A$1000,0),MATCH($A71,'实盘净值数据(iFinD公式)'!$B$3:$Y$3,0))/J$85,J107)</x:f>
        <x:v>0</x:v>
      </x:c>
      <x:c r="K71" s="105" t="n">
        <x:f>IFERROR(INDEX('分期持仓明细'!$B$5:$Y$200,K$82-4,MATCH(LEFT($A71,6),'分期持仓明细'!$B$3:$Y$3,0))*INDEX('实盘净值数据(iFinD公式)'!$B$5:$Y$1000,$B$81,MATCH($A71,'实盘净值数据(iFinD公式)'!$B$3:$Y$3,0))/INDEX('实盘净值数据(iFinD公式)'!$B$5:$Y$1000,MATCH(K$84,'实盘净值数据(iFinD公式)'!$A$5:$A$1000,0),MATCH($A71,'实盘净值数据(iFinD公式)'!$B$3:$Y$3,0))/K$85,K107)</x:f>
        <x:v>0.005856096818189585</x:v>
      </x:c>
      <x:c r="L71" s="105" t="n">
        <x:f>IFERROR(INDEX('分期持仓明细'!$B$5:$Y$200,L$82-4,MATCH(LEFT($A71,6),'分期持仓明细'!$B$3:$Y$3,0))*INDEX('实盘净值数据(iFinD公式)'!$B$5:$Y$1000,$B$81,MATCH($A71,'实盘净值数据(iFinD公式)'!$B$3:$Y$3,0))/INDEX('实盘净值数据(iFinD公式)'!$B$5:$Y$1000,MATCH(L$84,'实盘净值数据(iFinD公式)'!$A$5:$A$1000,0),MATCH($A71,'实盘净值数据(iFinD公式)'!$B$3:$Y$3,0))/L$85,L107)</x:f>
        <x:v>0</x:v>
      </x:c>
    </x:row>
    <x:row r="72">
      <x:c r="A72" s="104" t="str">
        <x:v>019633.OF</x:v>
      </x:c>
      <x:c r="B72" s="99" t="str">
        <x:v>国泰半导体材料设备C</x:v>
      </x:c>
      <x:c r="C72" s="104" t="str">
        <x:v>增值</x:v>
      </x:c>
      <x:c r="D72" s="104" t="str">
        <x:v>产业趋势</x:v>
      </x:c>
      <x:c r="E72" s="104" t="str">
        <x:v>指数</x:v>
      </x:c>
      <x:c r="F72" s="104" t="str">
        <x:v>同基金A/C</x:v>
      </x:c>
      <x:c r="G72" s="105" t="n">
        <x:f>IFERROR(INDEX('分期持仓明细'!$B$5:$Y$200,G$82-4,MATCH(LEFT($A72,6),'分期持仓明细'!$B$3:$Y$3,0))*INDEX('实盘净值数据(iFinD公式)'!$B$5:$Y$1000,$B$81,MATCH($A72,'实盘净值数据(iFinD公式)'!$B$3:$Y$3,0))/INDEX('实盘净值数据(iFinD公式)'!$B$5:$Y$1000,MATCH(G$84,'实盘净值数据(iFinD公式)'!$A$5:$A$1000,0),MATCH($A72,'实盘净值数据(iFinD公式)'!$B$3:$Y$3,0))/G$85,G108)</x:f>
        <x:v>0</x:v>
      </x:c>
      <x:c r="H72" s="105" t="n">
        <x:f>IFERROR(INDEX('分期持仓明细'!$B$5:$Y$200,H$82-4,MATCH(LEFT($A72,6),'分期持仓明细'!$B$3:$Y$3,0))*INDEX('实盘净值数据(iFinD公式)'!$B$5:$Y$1000,$B$81,MATCH($A72,'实盘净值数据(iFinD公式)'!$B$3:$Y$3,0))/INDEX('实盘净值数据(iFinD公式)'!$B$5:$Y$1000,MATCH(H$84,'实盘净值数据(iFinD公式)'!$A$5:$A$1000,0),MATCH($A72,'实盘净值数据(iFinD公式)'!$B$3:$Y$3,0))/H$85,H108)</x:f>
        <x:v>0</x:v>
      </x:c>
      <x:c r="I72" s="105" t="n">
        <x:f>IFERROR(INDEX('分期持仓明细'!$B$5:$Y$200,I$82-4,MATCH(LEFT($A72,6),'分期持仓明细'!$B$3:$Y$3,0))*INDEX('实盘净值数据(iFinD公式)'!$B$5:$Y$1000,$B$81,MATCH($A72,'实盘净值数据(iFinD公式)'!$B$3:$Y$3,0))/INDEX('实盘净值数据(iFinD公式)'!$B$5:$Y$1000,MATCH(I$84,'实盘净值数据(iFinD公式)'!$A$5:$A$1000,0),MATCH($A72,'实盘净值数据(iFinD公式)'!$B$3:$Y$3,0))/I$85,I108)</x:f>
        <x:v>0.12507142493000778</x:v>
      </x:c>
      <x:c r="J72" s="105" t="n">
        <x:f>IFERROR(INDEX('分期持仓明细'!$B$5:$Y$200,J$82-4,MATCH(LEFT($A72,6),'分期持仓明细'!$B$3:$Y$3,0))*INDEX('实盘净值数据(iFinD公式)'!$B$5:$Y$1000,$B$81,MATCH($A72,'实盘净值数据(iFinD公式)'!$B$3:$Y$3,0))/INDEX('实盘净值数据(iFinD公式)'!$B$5:$Y$1000,MATCH(J$84,'实盘净值数据(iFinD公式)'!$A$5:$A$1000,0),MATCH($A72,'实盘净值数据(iFinD公式)'!$B$3:$Y$3,0))/J$85,J108)</x:f>
        <x:v>0.005413390810145085</x:v>
      </x:c>
      <x:c r="K72" s="105" t="n">
        <x:f>IFERROR(INDEX('分期持仓明细'!$B$5:$Y$200,K$82-4,MATCH(LEFT($A72,6),'分期持仓明细'!$B$3:$Y$3,0))*INDEX('实盘净值数据(iFinD公式)'!$B$5:$Y$1000,$B$81,MATCH($A72,'实盘净值数据(iFinD公式)'!$B$3:$Y$3,0))/INDEX('实盘净值数据(iFinD公式)'!$B$5:$Y$1000,MATCH(K$84,'实盘净值数据(iFinD公式)'!$A$5:$A$1000,0),MATCH($A72,'实盘净值数据(iFinD公式)'!$B$3:$Y$3,0))/K$85,K108)</x:f>
        <x:v>0</x:v>
      </x:c>
      <x:c r="L72" s="105" t="n">
        <x:f>IFERROR(INDEX('分期持仓明细'!$B$5:$Y$200,L$82-4,MATCH(LEFT($A72,6),'分期持仓明细'!$B$3:$Y$3,0))*INDEX('实盘净值数据(iFinD公式)'!$B$5:$Y$1000,$B$81,MATCH($A72,'实盘净值数据(iFinD公式)'!$B$3:$Y$3,0))/INDEX('实盘净值数据(iFinD公式)'!$B$5:$Y$1000,MATCH(L$84,'实盘净值数据(iFinD公式)'!$A$5:$A$1000,0),MATCH($A72,'实盘净值数据(iFinD公式)'!$B$3:$Y$3,0))/L$85,L108)</x:f>
        <x:v>0.01617480085850223</x:v>
      </x:c>
    </x:row>
    <x:row r="73">
      <x:c r="A73" s="104" t="str">
        <x:v>019923.OF</x:v>
      </x:c>
      <x:c r="B73" s="99" t="str">
        <x:v>华泰柏瑞中证2000指增A</x:v>
      </x:c>
      <x:c r="C73" s="104" t="str">
        <x:v>增值</x:v>
      </x:c>
      <x:c r="D73" s="104" t="str">
        <x:v>指增</x:v>
      </x:c>
      <x:c r="E73" s="104" t="str">
        <x:v>指增</x:v>
      </x:c>
      <x:c r="F73" s="104" t="str">
        <x:v>宽基&amp;指增池</x:v>
      </x:c>
      <x:c r="G73" s="105" t="n">
        <x:f>IFERROR(INDEX('分期持仓明细'!$B$5:$Y$200,G$82-4,MATCH(LEFT($A73,6),'分期持仓明细'!$B$3:$Y$3,0))*INDEX('实盘净值数据(iFinD公式)'!$B$5:$Y$1000,$B$81,MATCH($A73,'实盘净值数据(iFinD公式)'!$B$3:$Y$3,0))/INDEX('实盘净值数据(iFinD公式)'!$B$5:$Y$1000,MATCH(G$84,'实盘净值数据(iFinD公式)'!$A$5:$A$1000,0),MATCH($A73,'实盘净值数据(iFinD公式)'!$B$3:$Y$3,0))/G$85,G109)</x:f>
        <x:v>0</x:v>
      </x:c>
      <x:c r="H73" s="105" t="n">
        <x:f>IFERROR(INDEX('分期持仓明细'!$B$5:$Y$200,H$82-4,MATCH(LEFT($A73,6),'分期持仓明细'!$B$3:$Y$3,0))*INDEX('实盘净值数据(iFinD公式)'!$B$5:$Y$1000,$B$81,MATCH($A73,'实盘净值数据(iFinD公式)'!$B$3:$Y$3,0))/INDEX('实盘净值数据(iFinD公式)'!$B$5:$Y$1000,MATCH(H$84,'实盘净值数据(iFinD公式)'!$A$5:$A$1000,0),MATCH($A73,'实盘净值数据(iFinD公式)'!$B$3:$Y$3,0))/H$85,H109)</x:f>
        <x:v>0</x:v>
      </x:c>
      <x:c r="I73" s="105" t="n">
        <x:f>IFERROR(INDEX('分期持仓明细'!$B$5:$Y$200,I$82-4,MATCH(LEFT($A73,6),'分期持仓明细'!$B$3:$Y$3,0))*INDEX('实盘净值数据(iFinD公式)'!$B$5:$Y$1000,$B$81,MATCH($A73,'实盘净值数据(iFinD公式)'!$B$3:$Y$3,0))/INDEX('实盘净值数据(iFinD公式)'!$B$5:$Y$1000,MATCH(I$84,'实盘净值数据(iFinD公式)'!$A$5:$A$1000,0),MATCH($A73,'实盘净值数据(iFinD公式)'!$B$3:$Y$3,0))/I$85,I109)</x:f>
        <x:v>0</x:v>
      </x:c>
      <x:c r="J73" s="105" t="n">
        <x:f>IFERROR(INDEX('分期持仓明细'!$B$5:$Y$200,J$82-4,MATCH(LEFT($A73,6),'分期持仓明细'!$B$3:$Y$3,0))*INDEX('实盘净值数据(iFinD公式)'!$B$5:$Y$1000,$B$81,MATCH($A73,'实盘净值数据(iFinD公式)'!$B$3:$Y$3,0))/INDEX('实盘净值数据(iFinD公式)'!$B$5:$Y$1000,MATCH(J$84,'实盘净值数据(iFinD公式)'!$A$5:$A$1000,0),MATCH($A73,'实盘净值数据(iFinD公式)'!$B$3:$Y$3,0))/J$85,J109)</x:f>
        <x:v>0</x:v>
      </x:c>
      <x:c r="K73" s="105" t="n">
        <x:f>IFERROR(INDEX('分期持仓明细'!$B$5:$Y$200,K$82-4,MATCH(LEFT($A73,6),'分期持仓明细'!$B$3:$Y$3,0))*INDEX('实盘净值数据(iFinD公式)'!$B$5:$Y$1000,$B$81,MATCH($A73,'实盘净值数据(iFinD公式)'!$B$3:$Y$3,0))/INDEX('实盘净值数据(iFinD公式)'!$B$5:$Y$1000,MATCH(K$84,'实盘净值数据(iFinD公式)'!$A$5:$A$1000,0),MATCH($A73,'实盘净值数据(iFinD公式)'!$B$3:$Y$3,0))/K$85,K109)</x:f>
        <x:v>0.012743977694171382</x:v>
      </x:c>
      <x:c r="L73" s="105" t="n">
        <x:f>IFERROR(INDEX('分期持仓明细'!$B$5:$Y$200,L$82-4,MATCH(LEFT($A73,6),'分期持仓明细'!$B$3:$Y$3,0))*INDEX('实盘净值数据(iFinD公式)'!$B$5:$Y$1000,$B$81,MATCH($A73,'实盘净值数据(iFinD公式)'!$B$3:$Y$3,0))/INDEX('实盘净值数据(iFinD公式)'!$B$5:$Y$1000,MATCH(L$84,'实盘净值数据(iFinD公式)'!$A$5:$A$1000,0),MATCH($A73,'实盘净值数据(iFinD公式)'!$B$3:$Y$3,0))/L$85,L109)</x:f>
        <x:v>0</x:v>
      </x:c>
    </x:row>
    <x:row r="74">
      <x:c r="A74" s="104" t="str">
        <x:v>019924.OF</x:v>
      </x:c>
      <x:c r="B74" s="99" t="str">
        <x:v>华泰柏瑞中证2000指增C</x:v>
      </x:c>
      <x:c r="C74" s="104" t="str">
        <x:v>增值</x:v>
      </x:c>
      <x:c r="D74" s="104" t="str">
        <x:v>指增</x:v>
      </x:c>
      <x:c r="E74" s="104" t="str">
        <x:v>指增</x:v>
      </x:c>
      <x:c r="F74" s="104" t="str">
        <x:v>同基金A/C</x:v>
      </x:c>
      <x:c r="G74" s="105" t="n">
        <x:f>IFERROR(INDEX('分期持仓明细'!$B$5:$Y$200,G$82-4,MATCH(LEFT($A74,6),'分期持仓明细'!$B$3:$Y$3,0))*INDEX('实盘净值数据(iFinD公式)'!$B$5:$Y$1000,$B$81,MATCH($A74,'实盘净值数据(iFinD公式)'!$B$3:$Y$3,0))/INDEX('实盘净值数据(iFinD公式)'!$B$5:$Y$1000,MATCH(G$84,'实盘净值数据(iFinD公式)'!$A$5:$A$1000,0),MATCH($A74,'实盘净值数据(iFinD公式)'!$B$3:$Y$3,0))/G$85,G110)</x:f>
        <x:v>0</x:v>
      </x:c>
      <x:c r="H74" s="105" t="n">
        <x:f>IFERROR(INDEX('分期持仓明细'!$B$5:$Y$200,H$82-4,MATCH(LEFT($A74,6),'分期持仓明细'!$B$3:$Y$3,0))*INDEX('实盘净值数据(iFinD公式)'!$B$5:$Y$1000,$B$81,MATCH($A74,'实盘净值数据(iFinD公式)'!$B$3:$Y$3,0))/INDEX('实盘净值数据(iFinD公式)'!$B$5:$Y$1000,MATCH(H$84,'实盘净值数据(iFinD公式)'!$A$5:$A$1000,0),MATCH($A74,'实盘净值数据(iFinD公式)'!$B$3:$Y$3,0))/H$85,H110)</x:f>
        <x:v>0</x:v>
      </x:c>
      <x:c r="I74" s="105" t="n">
        <x:f>IFERROR(INDEX('分期持仓明细'!$B$5:$Y$200,I$82-4,MATCH(LEFT($A74,6),'分期持仓明细'!$B$3:$Y$3,0))*INDEX('实盘净值数据(iFinD公式)'!$B$5:$Y$1000,$B$81,MATCH($A74,'实盘净值数据(iFinD公式)'!$B$3:$Y$3,0))/INDEX('实盘净值数据(iFinD公式)'!$B$5:$Y$1000,MATCH(I$84,'实盘净值数据(iFinD公式)'!$A$5:$A$1000,0),MATCH($A74,'实盘净值数据(iFinD公式)'!$B$3:$Y$3,0))/I$85,I110)</x:f>
        <x:v>0</x:v>
      </x:c>
      <x:c r="J74" s="105" t="n">
        <x:f>IFERROR(INDEX('分期持仓明细'!$B$5:$Y$200,J$82-4,MATCH(LEFT($A74,6),'分期持仓明细'!$B$3:$Y$3,0))*INDEX('实盘净值数据(iFinD公式)'!$B$5:$Y$1000,$B$81,MATCH($A74,'实盘净值数据(iFinD公式)'!$B$3:$Y$3,0))/INDEX('实盘净值数据(iFinD公式)'!$B$5:$Y$1000,MATCH(J$84,'实盘净值数据(iFinD公式)'!$A$5:$A$1000,0),MATCH($A74,'实盘净值数据(iFinD公式)'!$B$3:$Y$3,0))/J$85,J110)</x:f>
        <x:v>0.012762048562637551</x:v>
      </x:c>
      <x:c r="K74" s="105" t="n">
        <x:f>IFERROR(INDEX('分期持仓明细'!$B$5:$Y$200,K$82-4,MATCH(LEFT($A74,6),'分期持仓明细'!$B$3:$Y$3,0))*INDEX('实盘净值数据(iFinD公式)'!$B$5:$Y$1000,$B$81,MATCH($A74,'实盘净值数据(iFinD公式)'!$B$3:$Y$3,0))/INDEX('实盘净值数据(iFinD公式)'!$B$5:$Y$1000,MATCH(K$84,'实盘净值数据(iFinD公式)'!$A$5:$A$1000,0),MATCH($A74,'实盘净值数据(iFinD公式)'!$B$3:$Y$3,0))/K$85,K110)</x:f>
        <x:v>0</x:v>
      </x:c>
      <x:c r="L74" s="105" t="n">
        <x:f>IFERROR(INDEX('分期持仓明细'!$B$5:$Y$200,L$82-4,MATCH(LEFT($A74,6),'分期持仓明细'!$B$3:$Y$3,0))*INDEX('实盘净值数据(iFinD公式)'!$B$5:$Y$1000,$B$81,MATCH($A74,'实盘净值数据(iFinD公式)'!$B$3:$Y$3,0))/INDEX('实盘净值数据(iFinD公式)'!$B$5:$Y$1000,MATCH(L$84,'实盘净值数据(iFinD公式)'!$A$5:$A$1000,0),MATCH($A74,'实盘净值数据(iFinD公式)'!$B$3:$Y$3,0))/L$85,L110)</x:f>
        <x:v>0.0381325714317698</x:v>
      </x:c>
    </x:row>
    <x:row r="75">
      <x:c r="A75" s="104" t="str">
        <x:v>161119.OF</x:v>
      </x:c>
      <x:c r="B75" s="99" t="str">
        <x:v>易方达中债新综指LOFA</x:v>
      </x:c>
      <x:c r="C75" s="104" t="str">
        <x:v>生息</x:v>
      </x:c>
      <x:c r="D75" s="104" t="str">
        <x:v>-</x:v>
      </x:c>
      <x:c r="E75" s="104" t="str">
        <x:v>债券</x:v>
      </x:c>
      <x:c r="F75" s="104" t="str">
        <x:v>债券&amp;保障池子（生息）</x:v>
      </x:c>
      <x:c r="G75" s="105" t="n">
        <x:f>IFERROR(INDEX('分期持仓明细'!$B$5:$Y$200,G$82-4,MATCH(LEFT($A75,6),'分期持仓明细'!$B$3:$Y$3,0))*INDEX('实盘净值数据(iFinD公式)'!$B$5:$Y$1000,$B$81,MATCH($A75,'实盘净值数据(iFinD公式)'!$B$3:$Y$3,0))/INDEX('实盘净值数据(iFinD公式)'!$B$5:$Y$1000,MATCH(G$84,'实盘净值数据(iFinD公式)'!$A$5:$A$1000,0),MATCH($A75,'实盘净值数据(iFinD公式)'!$B$3:$Y$3,0))/G$85,G111)</x:f>
        <x:v>0</x:v>
      </x:c>
      <x:c r="H75" s="105" t="n">
        <x:f>IFERROR(INDEX('分期持仓明细'!$B$5:$Y$200,H$82-4,MATCH(LEFT($A75,6),'分期持仓明细'!$B$3:$Y$3,0))*INDEX('实盘净值数据(iFinD公式)'!$B$5:$Y$1000,$B$81,MATCH($A75,'实盘净值数据(iFinD公式)'!$B$3:$Y$3,0))/INDEX('实盘净值数据(iFinD公式)'!$B$5:$Y$1000,MATCH(H$84,'实盘净值数据(iFinD公式)'!$A$5:$A$1000,0),MATCH($A75,'实盘净值数据(iFinD公式)'!$B$3:$Y$3,0))/H$85,H111)</x:f>
        <x:v>0</x:v>
      </x:c>
      <x:c r="I75" s="105" t="n">
        <x:f>IFERROR(INDEX('分期持仓明细'!$B$5:$Y$200,I$82-4,MATCH(LEFT($A75,6),'分期持仓明细'!$B$3:$Y$3,0))*INDEX('实盘净值数据(iFinD公式)'!$B$5:$Y$1000,$B$81,MATCH($A75,'实盘净值数据(iFinD公式)'!$B$3:$Y$3,0))/INDEX('实盘净值数据(iFinD公式)'!$B$5:$Y$1000,MATCH(I$84,'实盘净值数据(iFinD公式)'!$A$5:$A$1000,0),MATCH($A75,'实盘净值数据(iFinD公式)'!$B$3:$Y$3,0))/I$85,I111)</x:f>
        <x:v>0</x:v>
      </x:c>
      <x:c r="J75" s="105" t="n">
        <x:f>IFERROR(INDEX('分期持仓明细'!$B$5:$Y$200,J$82-4,MATCH(LEFT($A75,6),'分期持仓明细'!$B$3:$Y$3,0))*INDEX('实盘净值数据(iFinD公式)'!$B$5:$Y$1000,$B$81,MATCH($A75,'实盘净值数据(iFinD公式)'!$B$3:$Y$3,0))/INDEX('实盘净值数据(iFinD公式)'!$B$5:$Y$1000,MATCH(J$84,'实盘净值数据(iFinD公式)'!$A$5:$A$1000,0),MATCH($A75,'实盘净值数据(iFinD公式)'!$B$3:$Y$3,0))/J$85,J111)</x:f>
        <x:v>0.7974500954456453</x:v>
      </x:c>
      <x:c r="K75" s="105" t="n">
        <x:f>IFERROR(INDEX('分期持仓明细'!$B$5:$Y$200,K$82-4,MATCH(LEFT($A75,6),'分期持仓明细'!$B$3:$Y$3,0))*INDEX('实盘净值数据(iFinD公式)'!$B$5:$Y$1000,$B$81,MATCH($A75,'实盘净值数据(iFinD公式)'!$B$3:$Y$3,0))/INDEX('实盘净值数据(iFinD公式)'!$B$5:$Y$1000,MATCH(K$84,'实盘净值数据(iFinD公式)'!$A$5:$A$1000,0),MATCH($A75,'实盘净值数据(iFinD公式)'!$B$3:$Y$3,0))/K$85,K111)</x:f>
        <x:v>0.7984750205517424</x:v>
      </x:c>
      <x:c r="L75" s="105" t="n">
        <x:f>IFERROR(INDEX('分期持仓明细'!$B$5:$Y$200,L$82-4,MATCH(LEFT($A75,6),'分期持仓明细'!$B$3:$Y$3,0))*INDEX('实盘净值数据(iFinD公式)'!$B$5:$Y$1000,$B$81,MATCH($A75,'实盘净值数据(iFinD公式)'!$B$3:$Y$3,0))/INDEX('实盘净值数据(iFinD公式)'!$B$5:$Y$1000,MATCH(L$84,'实盘净值数据(iFinD公式)'!$A$5:$A$1000,0),MATCH($A75,'实盘净值数据(iFinD公式)'!$B$3:$Y$3,0))/L$85,L111)</x:f>
        <x:v>0.49216006002582735</x:v>
      </x:c>
    </x:row>
    <x:row r="76">
      <x:c r="A76" s="104" t="str">
        <x:v>162214.OF</x:v>
      </x:c>
      <x:c r="B76" s="99" t="str">
        <x:v>宏利领先中小盘混合</x:v>
      </x:c>
      <x:c r="C76" s="104" t="str">
        <x:v>增值</x:v>
      </x:c>
      <x:c r="D76" s="104" t="str">
        <x:v>产业趋势</x:v>
      </x:c>
      <x:c r="E76" s="104" t="str">
        <x:v>主动</x:v>
      </x:c>
      <x:c r="F76" s="104" t="str">
        <x:v>产业趋势产品池</x:v>
      </x:c>
      <x:c r="G76" s="105" t="n">
        <x:f>IFERROR(INDEX('分期持仓明细'!$B$5:$Y$200,G$82-4,MATCH(LEFT($A76,6),'分期持仓明细'!$B$3:$Y$3,0))*INDEX('实盘净值数据(iFinD公式)'!$B$5:$Y$1000,$B$81,MATCH($A76,'实盘净值数据(iFinD公式)'!$B$3:$Y$3,0))/INDEX('实盘净值数据(iFinD公式)'!$B$5:$Y$1000,MATCH(G$84,'实盘净值数据(iFinD公式)'!$A$5:$A$1000,0),MATCH($A76,'实盘净值数据(iFinD公式)'!$B$3:$Y$3,0))/G$85,G112)</x:f>
        <x:v>0.06846517064767443</x:v>
      </x:c>
      <x:c r="H76" s="105" t="n">
        <x:f>IFERROR(INDEX('分期持仓明细'!$B$5:$Y$200,H$82-4,MATCH(LEFT($A76,6),'分期持仓明细'!$B$3:$Y$3,0))*INDEX('实盘净值数据(iFinD公式)'!$B$5:$Y$1000,$B$81,MATCH($A76,'实盘净值数据(iFinD公式)'!$B$3:$Y$3,0))/INDEX('实盘净值数据(iFinD公式)'!$B$5:$Y$1000,MATCH(H$84,'实盘净值数据(iFinD公式)'!$A$5:$A$1000,0),MATCH($A76,'实盘净值数据(iFinD公式)'!$B$3:$Y$3,0))/H$85,H112)</x:f>
        <x:v>0.06847547586048766</x:v>
      </x:c>
      <x:c r="I76" s="105" t="n">
        <x:f>IFERROR(INDEX('分期持仓明细'!$B$5:$Y$200,I$82-4,MATCH(LEFT($A76,6),'分期持仓明细'!$B$3:$Y$3,0))*INDEX('实盘净值数据(iFinD公式)'!$B$5:$Y$1000,$B$81,MATCH($A76,'实盘净值数据(iFinD公式)'!$B$3:$Y$3,0))/INDEX('实盘净值数据(iFinD公式)'!$B$5:$Y$1000,MATCH(I$84,'实盘净值数据(iFinD公式)'!$A$5:$A$1000,0),MATCH($A76,'实盘净值数据(iFinD公式)'!$B$3:$Y$3,0))/I$85,I112)</x:f>
        <x:v>0.06838193175074</x:v>
      </x:c>
      <x:c r="J76" s="105" t="n">
        <x:f>IFERROR(INDEX('分期持仓明细'!$B$5:$Y$200,J$82-4,MATCH(LEFT($A76,6),'分期持仓明细'!$B$3:$Y$3,0))*INDEX('实盘净值数据(iFinD公式)'!$B$5:$Y$1000,$B$81,MATCH($A76,'实盘净值数据(iFinD公式)'!$B$3:$Y$3,0))/INDEX('实盘净值数据(iFinD公式)'!$B$5:$Y$1000,MATCH(J$84,'实盘净值数据(iFinD公式)'!$A$5:$A$1000,0),MATCH($A76,'实盘净值数据(iFinD公式)'!$B$3:$Y$3,0))/J$85,J112)</x:f>
        <x:v>0.009510736896603767</x:v>
      </x:c>
      <x:c r="K76" s="105" t="n">
        <x:f>IFERROR(INDEX('分期持仓明细'!$B$5:$Y$200,K$82-4,MATCH(LEFT($A76,6),'分期持仓明细'!$B$3:$Y$3,0))*INDEX('实盘净值数据(iFinD公式)'!$B$5:$Y$1000,$B$81,MATCH($A76,'实盘净值数据(iFinD公式)'!$B$3:$Y$3,0))/INDEX('实盘净值数据(iFinD公式)'!$B$5:$Y$1000,MATCH(K$84,'实盘净值数据(iFinD公式)'!$A$5:$A$1000,0),MATCH($A76,'实盘净值数据(iFinD公式)'!$B$3:$Y$3,0))/K$85,K112)</x:f>
        <x:v>0.009523545671505275</x:v>
      </x:c>
      <x:c r="L76" s="105" t="n">
        <x:f>IFERROR(INDEX('分期持仓明细'!$B$5:$Y$200,L$82-4,MATCH(LEFT($A76,6),'分期持仓明细'!$B$3:$Y$3,0))*INDEX('实盘净值数据(iFinD公式)'!$B$5:$Y$1000,$B$81,MATCH($A76,'实盘净值数据(iFinD公式)'!$B$3:$Y$3,0))/INDEX('实盘净值数据(iFinD公式)'!$B$5:$Y$1000,MATCH(L$84,'实盘净值数据(iFinD公式)'!$A$5:$A$1000,0),MATCH($A76,'实盘净值数据(iFinD公式)'!$B$3:$Y$3,0))/L$85,L112)</x:f>
        <x:v>0.03091608224568969</x:v>
      </x:c>
    </x:row>
    <x:row r="77">
      <x:c r="A77" s="116" t="str">
        <x:v>合计</x:v>
      </x:c>
      <x:c r="B77" s="116"/>
      <x:c r="C77" s="116"/>
      <x:c r="D77" s="116"/>
      <x:c r="E77" s="116"/>
      <x:c r="F77" s="116"/>
      <x:c r="G77" s="118" t="n">
        <x:f>SUM(G53:G76)</x:f>
        <x:v>0.9999999999999999</x:v>
      </x:c>
      <x:c r="H77" s="118" t="n">
        <x:f>SUM(H53:H76)</x:f>
        <x:v>1.0000000000000002</x:v>
      </x:c>
      <x:c r="I77" s="118" t="n">
        <x:f>SUM(I53:I76)</x:f>
        <x:v>1</x:v>
      </x:c>
      <x:c r="J77" s="118" t="n">
        <x:f>SUM(J53:J76)</x:f>
        <x:v>1</x:v>
      </x:c>
      <x:c r="K77" s="118" t="n">
        <x:f>SUM(K53:K76)</x:f>
        <x:v>0.9999999999999999</x:v>
      </x:c>
      <x:c r="L77" s="118" t="n">
        <x:f>SUM(L53:L76)</x:f>
        <x:v>1.0000000000000002</x:v>
      </x:c>
    </x:row>
    <x:row r="80" ht="21" customHeight="1">
      <x:c r="A80" s="84" t="str">
        <x:v>自动计算参数（公式区）</x:v>
      </x:c>
      <x:c r="B80" s="84"/>
      <x:c r="C80" s="84"/>
      <x:c r="D80" s="84"/>
      <x:c r="E80" s="84"/>
      <x:c r="F80" s="84"/>
      <x:c r="G80" s="84"/>
      <x:c r="H80" s="84"/>
      <x:c r="I80" s="84"/>
      <x:c r="J80" s="84"/>
      <x:c r="K80" s="84"/>
      <x:c r="L80" s="84"/>
    </x:row>
    <x:row r="81" ht="28" customHeight="1">
      <x:c r="A81" s="99" t="str">
        <x:v>最新完整净值行(相对A5)</x:v>
      </x:c>
      <x:c r="B81" s="123" t="n">
        <x:f>IFERROR(MATCH(TODAY()-1,'实盘净值数据(iFinD公式)'!$A$5:$A$1000,1),0)</x:f>
        <x:v>36</x:v>
      </x:c>
      <x:c r="G81" s="96" t="str">
        <x:v>产业趋势</x:v>
      </x:c>
      <x:c r="H81" s="96" t="str">
        <x:v>产业趋势基石</x:v>
      </x:c>
      <x:c r="I81" s="96" t="str">
        <x:v>产业趋势2号</x:v>
      </x:c>
      <x:c r="J81" s="96" t="str">
        <x:v>10-90</x:v>
      </x:c>
      <x:c r="K81" s="96" t="str">
        <x:v>10-90基石</x:v>
      </x:c>
      <x:c r="L81" s="96" t="str">
        <x:v>30-70</x:v>
      </x:c>
    </x:row>
    <x:row r="82">
      <x:c r="A82" s="99" t="str">
        <x:v>最新完整净值日期</x:v>
      </x:c>
      <x:c r="B82" s="103" t="n">
        <x:f>IF($B$81=0,"",INDEX('实盘净值数据(iFinD公式)'!$A$5:$A$1000,$B$81))</x:f>
        <x:v>46241</x:v>
      </x:c>
      <x:c r="F82" s="128" t="str">
        <x:v>最新阶段行</x:v>
      </x:c>
      <x:c r="G82" s="99" t="n">
        <x:f>IFERROR(XMATCH(G$81&amp;" ·*",'分期持仓明细'!$A$5:$A$200,2,-1)+4,0)</x:f>
        <x:v>17</x:v>
      </x:c>
      <x:c r="H82" s="99" t="n">
        <x:f>IFERROR(XMATCH(H$81&amp;" ·*",'分期持仓明细'!$A$5:$A$200,2,-1)+4,0)</x:f>
        <x:v>18</x:v>
      </x:c>
      <x:c r="I82" s="99" t="n">
        <x:f>IFERROR(XMATCH(I$81&amp;" ·*",'分期持仓明细'!$A$5:$A$200,2,-1)+4,0)</x:f>
        <x:v>19</x:v>
      </x:c>
      <x:c r="J82" s="99" t="n">
        <x:f>IFERROR(XMATCH(J$81&amp;" ·*",'分期持仓明细'!$A$5:$A$200,2,-1)+4,0)</x:f>
        <x:v>20</x:v>
      </x:c>
      <x:c r="K82" s="99" t="n">
        <x:f>IFERROR(XMATCH(K$81&amp;" ·*",'分期持仓明细'!$A$5:$A$200,2,-1)+4,0)</x:f>
        <x:v>21</x:v>
      </x:c>
      <x:c r="L82" s="99" t="n">
        <x:f>IFERROR(XMATCH(L$81&amp;" ·*",'分期持仓明细'!$A$5:$A$200,2,-1)+4,0)</x:f>
        <x:v>22</x:v>
      </x:c>
    </x:row>
    <x:row r="83" ht="32" customHeight="1">
      <x:c r="A83" s="99" t="str">
        <x:v>说明</x:v>
      </x:c>
      <x:c r="B83" s="99" t="str">
        <x:v>取小于TODAY()的最后一个交易日</x:v>
      </x:c>
      <x:c r="F83" s="128" t="str">
        <x:v>阶段标签</x:v>
      </x:c>
      <x:c r="G83" s="131" t="str">
        <x:f>IF(G$82=0,"",INDEX('分期持仓明细'!$A$5:$A$200,G$82-4))</x:f>
        <x:v>产业趋势 · P1(7/10调仓后)</x:v>
      </x:c>
      <x:c r="H83" s="131" t="str">
        <x:f>IF(H$82=0,"",INDEX('分期持仓明细'!$A$5:$A$200,H$82-4))</x:f>
        <x:v>产业趋势基石 · P1(7/10调仓后)</x:v>
      </x:c>
      <x:c r="I83" s="131" t="str">
        <x:f>IF(I$82=0,"",INDEX('分期持仓明细'!$A$5:$A$200,I$82-4))</x:f>
        <x:v>产业趋势2号 · P1(7/10调仓后)</x:v>
      </x:c>
      <x:c r="J83" s="131" t="str">
        <x:f>IF(J$82=0,"",INDEX('分期持仓明细'!$A$5:$A$200,J$82-4))</x:f>
        <x:v>10-90 · P3(7/17调仓后)</x:v>
      </x:c>
      <x:c r="K83" s="131" t="str">
        <x:f>IF(K$82=0,"",INDEX('分期持仓明细'!$A$5:$A$200,K$82-4))</x:f>
        <x:v>10-90基石 · P3(7/17调仓后)</x:v>
      </x:c>
      <x:c r="L83" s="131" t="str">
        <x:f>IF(L$82=0,"",INDEX('分期持仓明细'!$A$5:$A$200,L$82-4))</x:f>
        <x:v>30-70 · P3(7/17调仓后)</x:v>
      </x:c>
    </x:row>
    <x:row r="84">
      <x:c r="A84" s="99" t="str"/>
      <x:c r="B84" s="99"/>
      <x:c r="F84" s="128" t="str">
        <x:v>生效日</x:v>
      </x:c>
      <x:c r="G84" s="103" t="n">
        <x:f>IF(G$82=0,"",INDEX('分期持仓明细'!$AA$5:$AA$200,G$82-4))</x:f>
        <x:v>46213</x:v>
      </x:c>
      <x:c r="H84" s="103" t="n">
        <x:f>IF(H$82=0,"",INDEX('分期持仓明细'!$AA$5:$AA$200,H$82-4))</x:f>
        <x:v>46213</x:v>
      </x:c>
      <x:c r="I84" s="103" t="n">
        <x:f>IF(I$82=0,"",INDEX('分期持仓明细'!$AA$5:$AA$200,I$82-4))</x:f>
        <x:v>46213</x:v>
      </x:c>
      <x:c r="J84" s="103" t="n">
        <x:f>IF(J$82=0,"",INDEX('分期持仓明细'!$AA$5:$AA$200,J$82-4))</x:f>
        <x:v>46220</x:v>
      </x:c>
      <x:c r="K84" s="103" t="n">
        <x:f>IF(K$82=0,"",INDEX('分期持仓明细'!$AA$5:$AA$200,K$82-4))</x:f>
        <x:v>46220</x:v>
      </x:c>
      <x:c r="L84" s="103" t="n">
        <x:f>IF(L$82=0,"",INDEX('分期持仓明细'!$AA$5:$AA$200,L$82-4))</x:f>
        <x:v>46220</x:v>
      </x:c>
    </x:row>
    <x:row r="85">
      <x:c r="A85" s="99" t="str"/>
      <x:c r="B85" s="99"/>
      <x:c r="F85" s="128" t="str">
        <x:v>归一化因子</x:v>
      </x:c>
      <x:c r="G85" s="126" t="n">
        <x:f>IFERROR(SUMPRODUCT(INDEX('分期持仓明细'!$B$5:$Y$200,G$82-4,0),INDEX('实盘净值数据(iFinD公式)'!$B$5:$Y$1000,$B$81,0)/INDEX('实盘净值数据(iFinD公式)'!$B$5:$Y$1000,MATCH(G$84,'实盘净值数据(iFinD公式)'!$A$5:$A$1000,0),0)),0)</x:f>
        <x:v>0</x:v>
      </x:c>
      <x:c r="H85" s="126" t="n">
        <x:f>IFERROR(SUMPRODUCT(INDEX('分期持仓明细'!$B$5:$Y$200,H$82-4,0),INDEX('实盘净值数据(iFinD公式)'!$B$5:$Y$1000,$B$81,0)/INDEX('实盘净值数据(iFinD公式)'!$B$5:$Y$1000,MATCH(H$84,'实盘净值数据(iFinD公式)'!$A$5:$A$1000,0),0)),0)</x:f>
        <x:v>0</x:v>
      </x:c>
      <x:c r="I85" s="126" t="n">
        <x:f>IFERROR(SUMPRODUCT(INDEX('分期持仓明细'!$B$5:$Y$200,I$82-4,0),INDEX('实盘净值数据(iFinD公式)'!$B$5:$Y$1000,$B$81,0)/INDEX('实盘净值数据(iFinD公式)'!$B$5:$Y$1000,MATCH(I$84,'实盘净值数据(iFinD公式)'!$A$5:$A$1000,0),0)),0)</x:f>
        <x:v>0</x:v>
      </x:c>
      <x:c r="J85" s="126" t="n">
        <x:f>IFERROR(SUMPRODUCT(INDEX('分期持仓明细'!$B$5:$Y$200,J$82-4,0),INDEX('实盘净值数据(iFinD公式)'!$B$5:$Y$1000,$B$81,0)/INDEX('实盘净值数据(iFinD公式)'!$B$5:$Y$1000,MATCH(J$84,'实盘净值数据(iFinD公式)'!$A$5:$A$1000,0),0)),0)</x:f>
        <x:v>0</x:v>
      </x:c>
      <x:c r="K85" s="126" t="n">
        <x:f>IFERROR(SUMPRODUCT(INDEX('分期持仓明细'!$B$5:$Y$200,K$82-4,0),INDEX('实盘净值数据(iFinD公式)'!$B$5:$Y$1000,$B$81,0)/INDEX('实盘净值数据(iFinD公式)'!$B$5:$Y$1000,MATCH(K$84,'实盘净值数据(iFinD公式)'!$A$5:$A$1000,0),0)),0)</x:f>
        <x:v>0</x:v>
      </x:c>
      <x:c r="L85" s="126" t="n">
        <x:f>IFERROR(SUMPRODUCT(INDEX('分期持仓明细'!$B$5:$Y$200,L$82-4,0),INDEX('实盘净值数据(iFinD公式)'!$B$5:$Y$1000,$B$81,0)/INDEX('实盘净值数据(iFinD公式)'!$B$5:$Y$1000,MATCH(L$84,'实盘净值数据(iFinD公式)'!$A$5:$A$1000,0),0)),0)</x:f>
        <x:v>0</x:v>
      </x:c>
    </x:row>
    <x:row r="88">
      <x:c r="A88" s="84" t="str">
        <x:v>最近完整快照（2026-08-07，由模板净值和分期持仓重算；非系统导入）</x:v>
      </x:c>
      <x:c r="B88" s="84"/>
      <x:c r="C88" s="84"/>
      <x:c r="D88" s="84"/>
      <x:c r="E88" s="84"/>
      <x:c r="F88" s="84"/>
      <x:c r="G88" s="96" t="str">
        <x:v>产业趋势</x:v>
      </x:c>
      <x:c r="H88" s="96" t="str">
        <x:v>产业趋势基石</x:v>
      </x:c>
      <x:c r="I88" s="96" t="str">
        <x:v>产业趋势2号</x:v>
      </x:c>
      <x:c r="J88" s="96" t="str">
        <x:v>10-90</x:v>
      </x:c>
      <x:c r="K88" s="96" t="str">
        <x:v>10-90基石</x:v>
      </x:c>
      <x:c r="L88" s="96" t="str">
        <x:v>30-70</x:v>
      </x:c>
    </x:row>
    <x:row r="89">
      <x:c r="A89" s="104" t="str">
        <x:v>000216.OF</x:v>
      </x:c>
      <x:c r="B89" s="99" t="str">
        <x:v>华安黄金ETF联接A</x:v>
      </x:c>
      <x:c r="C89" s="104" t="str">
        <x:v>生息</x:v>
      </x:c>
      <x:c r="D89" s="104" t="str">
        <x:v>-</x:v>
      </x:c>
      <x:c r="E89" s="104" t="str">
        <x:v>保障</x:v>
      </x:c>
      <x:c r="F89" s="104" t="str">
        <x:v>债券&amp;保障池子（保障）</x:v>
      </x:c>
      <x:c r="G89" s="105" t="n">
        <x:v>0</x:v>
      </x:c>
      <x:c r="H89" s="105" t="n">
        <x:v>0</x:v>
      </x:c>
      <x:c r="I89" s="105" t="n">
        <x:v>0</x:v>
      </x:c>
      <x:c r="J89" s="105" t="n">
        <x:v>0.05414347447224511</x:v>
      </x:c>
      <x:c r="K89" s="105" t="n">
        <x:v>0.051794493820263125</x:v>
      </x:c>
      <x:c r="L89" s="105" t="n">
        <x:v>0.10785060309605504</x:v>
      </x:c>
    </x:row>
    <x:row r="90">
      <x:c r="A90" s="104" t="str">
        <x:v>000917.OF</x:v>
      </x:c>
      <x:c r="B90" s="99" t="str">
        <x:v>嘉实快线货币A</x:v>
      </x:c>
      <x:c r="C90" s="104" t="str">
        <x:v>生息</x:v>
      </x:c>
      <x:c r="D90" s="104" t="str">
        <x:v>-</x:v>
      </x:c>
      <x:c r="E90" s="104" t="str">
        <x:v>货币</x:v>
      </x:c>
      <x:c r="F90" s="104" t="str">
        <x:v>现持仓补充</x:v>
      </x:c>
      <x:c r="G90" s="105" t="n">
        <x:v>0.054338345878986755</x:v>
      </x:c>
      <x:c r="H90" s="105" t="n">
        <x:v>0.05313303323780936</x:v>
      </x:c>
      <x:c r="I90" s="105" t="n">
        <x:v>0.05128012799377769</x:v>
      </x:c>
      <x:c r="J90" s="105" t="n">
        <x:v>0.043923928891400975</x:v>
      </x:c>
      <x:c r="K90" s="105" t="n">
        <x:v>0.04395376124085798</x:v>
      </x:c>
      <x:c r="L90" s="105" t="n">
        <x:v>0.08530437206808822</x:v>
      </x:c>
    </x:row>
    <x:row r="91">
      <x:c r="A91" s="104" t="str">
        <x:v>001170.OF</x:v>
      </x:c>
      <x:c r="B91" s="99" t="str">
        <x:v>宏利复兴混合A</x:v>
      </x:c>
      <x:c r="C91" s="104" t="str">
        <x:v>增值</x:v>
      </x:c>
      <x:c r="D91" s="104" t="str">
        <x:v>产业趋势</x:v>
      </x:c>
      <x:c r="E91" s="104" t="str">
        <x:v>主动</x:v>
      </x:c>
      <x:c r="F91" s="104" t="str">
        <x:v>产业趋势产品池</x:v>
      </x:c>
      <x:c r="G91" s="105" t="n">
        <x:v>0.1681479854041161</x:v>
      </x:c>
      <x:c r="H91" s="105" t="n">
        <x:v>0.16972434194387825</x:v>
      </x:c>
      <x:c r="I91" s="105" t="n">
        <x:v>0</x:v>
      </x:c>
      <x:c r="J91" s="105" t="n">
        <x:v>0</x:v>
      </x:c>
      <x:c r="K91" s="105" t="n">
        <x:v>0.0087369099448945</x:v>
      </x:c>
      <x:c r="L91" s="105" t="n">
        <x:v>0</x:v>
      </x:c>
    </x:row>
    <x:row r="92">
      <x:c r="A92" s="104" t="str">
        <x:v>007044.OF</x:v>
      </x:c>
      <x:c r="B92" s="99" t="str">
        <x:v>博道沪深300增强A</x:v>
      </x:c>
      <x:c r="C92" s="104" t="str">
        <x:v>增值</x:v>
      </x:c>
      <x:c r="D92" s="104" t="str">
        <x:v>指增</x:v>
      </x:c>
      <x:c r="E92" s="104" t="str">
        <x:v>指增</x:v>
      </x:c>
      <x:c r="F92" s="104" t="str">
        <x:v>宽基&amp;指增池</x:v>
      </x:c>
      <x:c r="G92" s="105" t="n">
        <x:v>0</x:v>
      </x:c>
      <x:c r="H92" s="105" t="n">
        <x:v>0</x:v>
      </x:c>
      <x:c r="I92" s="105" t="n">
        <x:v>0</x:v>
      </x:c>
      <x:c r="J92" s="105" t="n">
        <x:v>0</x:v>
      </x:c>
      <x:c r="K92" s="105" t="n">
        <x:v>0.0128975499557758</x:v>
      </x:c>
      <x:c r="L92" s="105" t="n">
        <x:v>0</x:v>
      </x:c>
    </x:row>
    <x:row r="93">
      <x:c r="A93" s="104" t="str">
        <x:v>007045.OF</x:v>
      </x:c>
      <x:c r="B93" s="99" t="str">
        <x:v>博道沪深300指增C</x:v>
      </x:c>
      <x:c r="C93" s="104" t="str">
        <x:v>增值</x:v>
      </x:c>
      <x:c r="D93" s="104" t="str">
        <x:v>指增</x:v>
      </x:c>
      <x:c r="E93" s="104" t="str">
        <x:v>指增</x:v>
      </x:c>
      <x:c r="F93" s="104" t="str">
        <x:v>同基金A/C</x:v>
      </x:c>
      <x:c r="G93" s="105" t="n">
        <x:v>0</x:v>
      </x:c>
      <x:c r="H93" s="105" t="n">
        <x:v>0</x:v>
      </x:c>
      <x:c r="I93" s="105" t="n">
        <x:v>0</x:v>
      </x:c>
      <x:c r="J93" s="105" t="n">
        <x:v>0.012855558252454736</x:v>
      </x:c>
      <x:c r="K93" s="105" t="n">
        <x:v>0</x:v>
      </x:c>
      <x:c r="L93" s="105" t="n">
        <x:v>0.03841034111514078</x:v>
      </x:c>
    </x:row>
    <x:row r="94">
      <x:c r="A94" s="104" t="str">
        <x:v>007817.OF</x:v>
      </x:c>
      <x:c r="B94" s="99" t="str">
        <x:v>国泰通信设备ETF联接A</x:v>
      </x:c>
      <x:c r="C94" s="104" t="str">
        <x:v>增值</x:v>
      </x:c>
      <x:c r="D94" s="104" t="str">
        <x:v>产业趋势</x:v>
      </x:c>
      <x:c r="E94" s="104" t="str">
        <x:v>指数</x:v>
      </x:c>
      <x:c r="F94" s="104" t="str">
        <x:v>产业趋势产品池</x:v>
      </x:c>
      <x:c r="G94" s="105" t="n">
        <x:v>0</x:v>
      </x:c>
      <x:c r="H94" s="105" t="n">
        <x:v>0</x:v>
      </x:c>
      <x:c r="I94" s="105" t="n">
        <x:v>0</x:v>
      </x:c>
      <x:c r="J94" s="105" t="n">
        <x:v>0</x:v>
      </x:c>
      <x:c r="K94" s="105" t="n">
        <x:v>0</x:v>
      </x:c>
      <x:c r="L94" s="105" t="n">
        <x:v>0</x:v>
      </x:c>
    </x:row>
    <x:row r="95">
      <x:c r="A95" s="104" t="str">
        <x:v>007818.OF</x:v>
      </x:c>
      <x:c r="B95" s="99" t="str">
        <x:v>国泰通信设备C</x:v>
      </x:c>
      <x:c r="C95" s="104" t="str">
        <x:v>增值</x:v>
      </x:c>
      <x:c r="D95" s="104" t="str">
        <x:v>产业趋势</x:v>
      </x:c>
      <x:c r="E95" s="104" t="str">
        <x:v>指数</x:v>
      </x:c>
      <x:c r="F95" s="104" t="str">
        <x:v>同基金A/C</x:v>
      </x:c>
      <x:c r="G95" s="105" t="n">
        <x:v>0</x:v>
      </x:c>
      <x:c r="H95" s="105" t="n">
        <x:v>0</x:v>
      </x:c>
      <x:c r="I95" s="105" t="n">
        <x:v>0</x:v>
      </x:c>
      <x:c r="J95" s="105" t="n">
        <x:v>0</x:v>
      </x:c>
      <x:c r="K95" s="105" t="n">
        <x:v>0</x:v>
      </x:c>
      <x:c r="L95" s="105" t="n">
        <x:v>0</x:v>
      </x:c>
    </x:row>
    <x:row r="96">
      <x:c r="A96" s="104" t="str">
        <x:v>009993.OF</x:v>
      </x:c>
      <x:c r="B96" s="99" t="str">
        <x:v>嘉实前沿科技创新</x:v>
      </x:c>
      <x:c r="C96" s="104" t="str">
        <x:v>增值</x:v>
      </x:c>
      <x:c r="D96" s="104" t="str">
        <x:v>产业趋势</x:v>
      </x:c>
      <x:c r="E96" s="104" t="str">
        <x:v>主动</x:v>
      </x:c>
      <x:c r="F96" s="104" t="str">
        <x:v>现持仓补充</x:v>
      </x:c>
      <x:c r="G96" s="105" t="n">
        <x:v>0</x:v>
      </x:c>
      <x:c r="H96" s="105" t="n">
        <x:v>0</x:v>
      </x:c>
      <x:c r="I96" s="105" t="n">
        <x:v>0.18643460253095584</x:v>
      </x:c>
      <x:c r="J96" s="105" t="n">
        <x:v>0.009630029472442245</x:v>
      </x:c>
      <x:c r="K96" s="105" t="n">
        <x:v>0</x:v>
      </x:c>
      <x:c r="L96" s="105" t="n">
        <x:v>0.028773694107794432</x:v>
      </x:c>
    </x:row>
    <x:row r="97">
      <x:c r="A97" s="104" t="str">
        <x:v>013840.OF</x:v>
      </x:c>
      <x:c r="B97" s="99" t="str">
        <x:v>银华集成电路混合A</x:v>
      </x:c>
      <x:c r="C97" s="104" t="str">
        <x:v>增值</x:v>
      </x:c>
      <x:c r="D97" s="104" t="str">
        <x:v>产业趋势</x:v>
      </x:c>
      <x:c r="E97" s="104" t="str">
        <x:v>主动</x:v>
      </x:c>
      <x:c r="F97" s="104" t="str">
        <x:v>产业趋势产品池</x:v>
      </x:c>
      <x:c r="G97" s="105" t="n">
        <x:v>0.24648996572257403</x:v>
      </x:c>
      <x:c r="H97" s="105" t="n">
        <x:v>0.24475713621132436</x:v>
      </x:c>
      <x:c r="I97" s="105" t="n">
        <x:v>0</x:v>
      </x:c>
      <x:c r="J97" s="105" t="n">
        <x:v>0</x:v>
      </x:c>
      <x:c r="K97" s="105" t="n">
        <x:v>0.01225914007350266</x:v>
      </x:c>
      <x:c r="L97" s="105" t="n">
        <x:v>0</x:v>
      </x:c>
    </x:row>
    <x:row r="98">
      <x:c r="A98" s="104" t="str">
        <x:v>013841.OF</x:v>
      </x:c>
      <x:c r="B98" s="99" t="str">
        <x:v>银华集成电路混合C</x:v>
      </x:c>
      <x:c r="C98" s="104" t="str">
        <x:v>增值</x:v>
      </x:c>
      <x:c r="D98" s="104" t="str">
        <x:v>产业趋势</x:v>
      </x:c>
      <x:c r="E98" s="104" t="str">
        <x:v>主动</x:v>
      </x:c>
      <x:c r="F98" s="104" t="str">
        <x:v>同基金A/C</x:v>
      </x:c>
      <x:c r="G98" s="105" t="n">
        <x:v>0</x:v>
      </x:c>
      <x:c r="H98" s="105" t="n">
        <x:v>0</x:v>
      </x:c>
      <x:c r="I98" s="105" t="n">
        <x:v>0.23333425378822176</x:v>
      </x:c>
      <x:c r="J98" s="105" t="n">
        <x:v>0.011060670436649926</x:v>
      </x:c>
      <x:c r="K98" s="105" t="n">
        <x:v>0</x:v>
      </x:c>
      <x:c r="L98" s="105" t="n">
        <x:v>0.0330472108980905</x:v>
      </x:c>
    </x:row>
    <x:row r="99">
      <x:c r="A99" s="104" t="str">
        <x:v>014201.OF</x:v>
      </x:c>
      <x:c r="B99" s="99" t="str">
        <x:v>天弘中证1000指增A</x:v>
      </x:c>
      <x:c r="C99" s="104" t="str">
        <x:v>增值</x:v>
      </x:c>
      <x:c r="D99" s="104" t="str">
        <x:v>指增</x:v>
      </x:c>
      <x:c r="E99" s="104" t="str">
        <x:v>指增</x:v>
      </x:c>
      <x:c r="F99" s="104" t="str">
        <x:v>宽基&amp;指增池</x:v>
      </x:c>
      <x:c r="G99" s="105" t="n">
        <x:v>0</x:v>
      </x:c>
      <x:c r="H99" s="105" t="n">
        <x:v>0</x:v>
      </x:c>
      <x:c r="I99" s="105" t="n">
        <x:v>0</x:v>
      </x:c>
      <x:c r="J99" s="105" t="n">
        <x:v>0</x:v>
      </x:c>
      <x:c r="K99" s="105" t="n">
        <x:v>0.01305811206863005</x:v>
      </x:c>
      <x:c r="L99" s="105" t="n">
        <x:v>0</x:v>
      </x:c>
    </x:row>
    <x:row r="100">
      <x:c r="A100" s="104" t="str">
        <x:v>014202.OF</x:v>
      </x:c>
      <x:c r="B100" s="99" t="str">
        <x:v>天弘中证1000指增C</x:v>
      </x:c>
      <x:c r="C100" s="104" t="str">
        <x:v>增值</x:v>
      </x:c>
      <x:c r="D100" s="104" t="str">
        <x:v>指增</x:v>
      </x:c>
      <x:c r="E100" s="104" t="str">
        <x:v>指增</x:v>
      </x:c>
      <x:c r="F100" s="104" t="str">
        <x:v>同基金A/C</x:v>
      </x:c>
      <x:c r="G100" s="105" t="n">
        <x:v>0</x:v>
      </x:c>
      <x:c r="H100" s="105" t="n">
        <x:v>0</x:v>
      </x:c>
      <x:c r="I100" s="105" t="n">
        <x:v>0</x:v>
      </x:c>
      <x:c r="J100" s="105" t="n">
        <x:v>0.01288170822388295</x:v>
      </x:c>
      <x:c r="K100" s="105" t="n">
        <x:v>0</x:v>
      </x:c>
      <x:c r="L100" s="105" t="n">
        <x:v>0.03849114616684735</x:v>
      </x:c>
    </x:row>
    <x:row r="101">
      <x:c r="A101" s="104" t="str">
        <x:v>015453.OF</x:v>
      </x:c>
      <x:c r="B101" s="99" t="str">
        <x:v>中欧中证500指增A</x:v>
      </x:c>
      <x:c r="C101" s="104" t="str">
        <x:v>增值</x:v>
      </x:c>
      <x:c r="D101" s="104" t="str">
        <x:v>指增</x:v>
      </x:c>
      <x:c r="E101" s="104" t="str">
        <x:v>指增</x:v>
      </x:c>
      <x:c r="F101" s="104" t="str">
        <x:v>宽基&amp;指增池</x:v>
      </x:c>
      <x:c r="G101" s="105" t="n">
        <x:v>0</x:v>
      </x:c>
      <x:c r="H101" s="105" t="n">
        <x:v>0</x:v>
      </x:c>
      <x:c r="I101" s="105" t="n">
        <x:v>0</x:v>
      </x:c>
      <x:c r="J101" s="105" t="n">
        <x:v>0</x:v>
      </x:c>
      <x:c r="K101" s="105" t="n">
        <x:v>0.01331135566096293</x:v>
      </x:c>
      <x:c r="L101" s="105" t="n">
        <x:v>0</x:v>
      </x:c>
    </x:row>
    <x:row r="102">
      <x:c r="A102" s="104" t="str">
        <x:v>015454.OF</x:v>
      </x:c>
      <x:c r="B102" s="99" t="str">
        <x:v>中欧中证500指增C</x:v>
      </x:c>
      <x:c r="C102" s="104" t="str">
        <x:v>增值</x:v>
      </x:c>
      <x:c r="D102" s="104" t="str">
        <x:v>指增</x:v>
      </x:c>
      <x:c r="E102" s="104" t="str">
        <x:v>指增</x:v>
      </x:c>
      <x:c r="F102" s="104" t="str">
        <x:v>同基金A/C</x:v>
      </x:c>
      <x:c r="G102" s="105" t="n">
        <x:v>0</x:v>
      </x:c>
      <x:c r="H102" s="105" t="n">
        <x:v>0</x:v>
      </x:c>
      <x:c r="I102" s="105" t="n">
        <x:v>0</x:v>
      </x:c>
      <x:c r="J102" s="105" t="n">
        <x:v>0.01300899943471813</x:v>
      </x:c>
      <x:c r="K102" s="105" t="n">
        <x:v>0</x:v>
      </x:c>
      <x:c r="L102" s="105" t="n">
        <x:v>0.03886861841160838</x:v>
      </x:c>
    </x:row>
    <x:row r="103">
      <x:c r="A103" s="104" t="str">
        <x:v>016370.OF</x:v>
      </x:c>
      <x:c r="B103" s="99" t="str">
        <x:v>信澳业绩驱动A</x:v>
      </x:c>
      <x:c r="C103" s="104" t="str">
        <x:v>增值</x:v>
      </x:c>
      <x:c r="D103" s="104" t="str">
        <x:v>产业趋势</x:v>
      </x:c>
      <x:c r="E103" s="104" t="str">
        <x:v>主动</x:v>
      </x:c>
      <x:c r="F103" s="104" t="str">
        <x:v>产业趋势产品池</x:v>
      </x:c>
      <x:c r="G103" s="105" t="n">
        <x:v>0.15912488007417924</x:v>
      </x:c>
      <x:c r="H103" s="105" t="n">
        <x:v>0.15902507905426536</x:v>
      </x:c>
      <x:c r="I103" s="105" t="n">
        <x:v>0</x:v>
      </x:c>
      <x:c r="J103" s="105" t="n">
        <x:v>0</x:v>
      </x:c>
      <x:c r="K103" s="105" t="n">
        <x:v>0.00840985580066948</x:v>
      </x:c>
      <x:c r="L103" s="105" t="n">
        <x:v>0</x:v>
      </x:c>
    </x:row>
    <x:row r="104">
      <x:c r="A104" s="104" t="str">
        <x:v>017488.OF</x:v>
      </x:c>
      <x:c r="B104" s="99" t="str">
        <x:v>嘉实信息产业A</x:v>
      </x:c>
      <x:c r="C104" s="104" t="str">
        <x:v>增值</x:v>
      </x:c>
      <x:c r="D104" s="104" t="str">
        <x:v>产业趋势</x:v>
      </x:c>
      <x:c r="E104" s="104" t="str">
        <x:v>主动</x:v>
      </x:c>
      <x:c r="F104" s="104" t="str">
        <x:v>产业趋势产品池</x:v>
      </x:c>
      <x:c r="G104" s="105" t="n">
        <x:v>0.17230499151577977</x:v>
      </x:c>
      <x:c r="H104" s="105" t="n">
        <x:v>0.17310992190249347</x:v>
      </x:c>
      <x:c r="I104" s="105" t="n">
        <x:v>0</x:v>
      </x:c>
      <x:c r="J104" s="105" t="n">
        <x:v>0</x:v>
      </x:c>
      <x:c r="K104" s="105" t="n">
        <x:v>0.008980180698834838</x:v>
      </x:c>
      <x:c r="L104" s="105" t="n">
        <x:v>0</x:v>
      </x:c>
    </x:row>
    <x:row r="105">
      <x:c r="A105" s="104" t="str">
        <x:v>017489.OF</x:v>
      </x:c>
      <x:c r="B105" s="99" t="str">
        <x:v>嘉实信息产业C</x:v>
      </x:c>
      <x:c r="C105" s="104" t="str">
        <x:v>增值</x:v>
      </x:c>
      <x:c r="D105" s="104" t="str">
        <x:v>产业趋势</x:v>
      </x:c>
      <x:c r="E105" s="104" t="str">
        <x:v>主动</x:v>
      </x:c>
      <x:c r="F105" s="104" t="str">
        <x:v>同基金A/C</x:v>
      </x:c>
      <x:c r="G105" s="105" t="n">
        <x:v>0</x:v>
      </x:c>
      <x:c r="H105" s="105" t="n">
        <x:v>0</x:v>
      </x:c>
      <x:c r="I105" s="105" t="n">
        <x:v>0.16814227790813516</x:v>
      </x:c>
      <x:c r="J105" s="105" t="n">
        <x:v>0.008713691952627311</x:v>
      </x:c>
      <x:c r="K105" s="105" t="n">
        <x:v>0</x:v>
      </x:c>
      <x:c r="L105" s="105" t="n">
        <x:v>0.02603644996891972</x:v>
      </x:c>
    </x:row>
    <x:row r="106">
      <x:c r="A106" s="104" t="str">
        <x:v>017612.OF</x:v>
      </x:c>
      <x:c r="B106" s="99" t="str">
        <x:v>宏利复兴伟业C</x:v>
      </x:c>
      <x:c r="C106" s="104" t="str">
        <x:v>增值</x:v>
      </x:c>
      <x:c r="D106" s="104" t="str">
        <x:v>产业趋势</x:v>
      </x:c>
      <x:c r="E106" s="104" t="str">
        <x:v>主动</x:v>
      </x:c>
      <x:c r="F106" s="104" t="str">
        <x:v>同基金A/C</x:v>
      </x:c>
      <x:c r="G106" s="105" t="n">
        <x:v>0</x:v>
      </x:c>
      <x:c r="H106" s="105" t="n">
        <x:v>0</x:v>
      </x:c>
      <x:c r="I106" s="105" t="n">
        <x:v>0.16735538109816184</x:v>
      </x:c>
      <x:c r="J106" s="105" t="n">
        <x:v>0.008645667148546948</x:v>
      </x:c>
      <x:c r="K106" s="105" t="n">
        <x:v>0</x:v>
      </x:c>
      <x:c r="L106" s="105" t="n">
        <x:v>0.02583404960566663</x:v>
      </x:c>
    </x:row>
    <x:row r="107">
      <x:c r="A107" s="104" t="str">
        <x:v>019632.OF</x:v>
      </x:c>
      <x:c r="B107" s="99" t="str">
        <x:v>国泰半导体材料设备ETF联接A</x:v>
      </x:c>
      <x:c r="C107" s="104" t="str">
        <x:v>增值</x:v>
      </x:c>
      <x:c r="D107" s="104" t="str">
        <x:v>产业趋势</x:v>
      </x:c>
      <x:c r="E107" s="104" t="str">
        <x:v>指数</x:v>
      </x:c>
      <x:c r="F107" s="104" t="str">
        <x:v>产业趋势产品池</x:v>
      </x:c>
      <x:c r="G107" s="105" t="n">
        <x:v>0.1311286607566896</x:v>
      </x:c>
      <x:c r="H107" s="105" t="n">
        <x:v>0.1317750117897416</x:v>
      </x:c>
      <x:c r="I107" s="105" t="n">
        <x:v>0</x:v>
      </x:c>
      <x:c r="J107" s="105" t="n">
        <x:v>0</x:v>
      </x:c>
      <x:c r="K107" s="105" t="n">
        <x:v>0.005856096818189585</x:v>
      </x:c>
      <x:c r="L107" s="105" t="n">
        <x:v>0</x:v>
      </x:c>
    </x:row>
    <x:row r="108">
      <x:c r="A108" s="104" t="str">
        <x:v>019633.OF</x:v>
      </x:c>
      <x:c r="B108" s="99" t="str">
        <x:v>国泰半导体材料设备C</x:v>
      </x:c>
      <x:c r="C108" s="104" t="str">
        <x:v>增值</x:v>
      </x:c>
      <x:c r="D108" s="104" t="str">
        <x:v>产业趋势</x:v>
      </x:c>
      <x:c r="E108" s="104" t="str">
        <x:v>指数</x:v>
      </x:c>
      <x:c r="F108" s="104" t="str">
        <x:v>同基金A/C</x:v>
      </x:c>
      <x:c r="G108" s="105" t="n">
        <x:v>0</x:v>
      </x:c>
      <x:c r="H108" s="105" t="n">
        <x:v>0</x:v>
      </x:c>
      <x:c r="I108" s="105" t="n">
        <x:v>0.12507142493000778</x:v>
      </x:c>
      <x:c r="J108" s="105" t="n">
        <x:v>0.005413390810145085</x:v>
      </x:c>
      <x:c r="K108" s="105" t="n">
        <x:v>0</x:v>
      </x:c>
      <x:c r="L108" s="105" t="n">
        <x:v>0.01617480085850223</x:v>
      </x:c>
    </x:row>
    <x:row r="109">
      <x:c r="A109" s="104" t="str">
        <x:v>019923.OF</x:v>
      </x:c>
      <x:c r="B109" s="99" t="str">
        <x:v>华泰柏瑞中证2000指增A</x:v>
      </x:c>
      <x:c r="C109" s="104" t="str">
        <x:v>增值</x:v>
      </x:c>
      <x:c r="D109" s="104" t="str">
        <x:v>指增</x:v>
      </x:c>
      <x:c r="E109" s="104" t="str">
        <x:v>指增</x:v>
      </x:c>
      <x:c r="F109" s="104" t="str">
        <x:v>宽基&amp;指增池</x:v>
      </x:c>
      <x:c r="G109" s="105" t="n">
        <x:v>0</x:v>
      </x:c>
      <x:c r="H109" s="105" t="n">
        <x:v>0</x:v>
      </x:c>
      <x:c r="I109" s="105" t="n">
        <x:v>0</x:v>
      </x:c>
      <x:c r="J109" s="105" t="n">
        <x:v>0</x:v>
      </x:c>
      <x:c r="K109" s="105" t="n">
        <x:v>0.012743977694171382</x:v>
      </x:c>
      <x:c r="L109" s="105" t="n">
        <x:v>0</x:v>
      </x:c>
    </x:row>
    <x:row r="110">
      <x:c r="A110" s="104" t="str">
        <x:v>019924.OF</x:v>
      </x:c>
      <x:c r="B110" s="99" t="str">
        <x:v>华泰柏瑞中证2000指增C</x:v>
      </x:c>
      <x:c r="C110" s="104" t="str">
        <x:v>增值</x:v>
      </x:c>
      <x:c r="D110" s="104" t="str">
        <x:v>指增</x:v>
      </x:c>
      <x:c r="E110" s="104" t="str">
        <x:v>指增</x:v>
      </x:c>
      <x:c r="F110" s="104" t="str">
        <x:v>同基金A/C</x:v>
      </x:c>
      <x:c r="G110" s="105" t="n">
        <x:v>0</x:v>
      </x:c>
      <x:c r="H110" s="105" t="n">
        <x:v>0</x:v>
      </x:c>
      <x:c r="I110" s="105" t="n">
        <x:v>0</x:v>
      </x:c>
      <x:c r="J110" s="105" t="n">
        <x:v>0.012762048562637551</x:v>
      </x:c>
      <x:c r="K110" s="105" t="n">
        <x:v>0</x:v>
      </x:c>
      <x:c r="L110" s="105" t="n">
        <x:v>0.0381325714317698</x:v>
      </x:c>
    </x:row>
    <x:row r="111">
      <x:c r="A111" s="104" t="str">
        <x:v>161119.OF</x:v>
      </x:c>
      <x:c r="B111" s="99" t="str">
        <x:v>易方达中债新综指LOFA</x:v>
      </x:c>
      <x:c r="C111" s="104" t="str">
        <x:v>生息</x:v>
      </x:c>
      <x:c r="D111" s="104" t="str">
        <x:v>-</x:v>
      </x:c>
      <x:c r="E111" s="104" t="str">
        <x:v>债券</x:v>
      </x:c>
      <x:c r="F111" s="104" t="str">
        <x:v>债券&amp;保障池子（生息）</x:v>
      </x:c>
      <x:c r="G111" s="105" t="n">
        <x:v>0</x:v>
      </x:c>
      <x:c r="H111" s="105" t="n">
        <x:v>0</x:v>
      </x:c>
      <x:c r="I111" s="105" t="n">
        <x:v>0</x:v>
      </x:c>
      <x:c r="J111" s="105" t="n">
        <x:v>0.7974500954456453</x:v>
      </x:c>
      <x:c r="K111" s="105" t="n">
        <x:v>0.7984750205517424</x:v>
      </x:c>
      <x:c r="L111" s="105" t="n">
        <x:v>0.49216006002582735</x:v>
      </x:c>
    </x:row>
    <x:row r="112">
      <x:c r="A112" s="104" t="str">
        <x:v>162214.OF</x:v>
      </x:c>
      <x:c r="B112" s="99" t="str">
        <x:v>宏利领先中小盘混合</x:v>
      </x:c>
      <x:c r="C112" s="104" t="str">
        <x:v>增值</x:v>
      </x:c>
      <x:c r="D112" s="104" t="str">
        <x:v>产业趋势</x:v>
      </x:c>
      <x:c r="E112" s="104" t="str">
        <x:v>主动</x:v>
      </x:c>
      <x:c r="F112" s="104" t="str">
        <x:v>产业趋势产品池</x:v>
      </x:c>
      <x:c r="G112" s="105" t="n">
        <x:v>0.06846517064767443</x:v>
      </x:c>
      <x:c r="H112" s="105" t="n">
        <x:v>0.06847547586048766</x:v>
      </x:c>
      <x:c r="I112" s="105" t="n">
        <x:v>0.06838193175074</x:v>
      </x:c>
      <x:c r="J112" s="105" t="n">
        <x:v>0.009510736896603767</x:v>
      </x:c>
      <x:c r="K112" s="105" t="n">
        <x:v>0.009523545671505275</x:v>
      </x:c>
      <x:c r="L112" s="105" t="n">
        <x:v>0.03091608224568969</x:v>
      </x:c>
    </x:row>
  </x:sheetData>
  <x:mergeCells>
    <x:mergeCell ref="A1:L1"/>
    <x:mergeCell ref="D2:H2"/>
    <x:mergeCell ref="A3:L3"/>
    <x:mergeCell ref="A5:E5"/>
    <x:mergeCell ref="A31:G31"/>
    <x:mergeCell ref="A33:F33"/>
    <x:mergeCell ref="A38:H38"/>
    <x:mergeCell ref="A40:C40"/>
    <x:mergeCell ref="A45:E45"/>
    <x:mergeCell ref="A47:H47"/>
    <x:mergeCell ref="A50:L50"/>
    <x:mergeCell ref="A51:L51"/>
    <x:mergeCell ref="A80:L80"/>
    <x:mergeCell ref="A88:F88"/>
  </x:mergeCells>
  <x:conditionalFormatting sqref="A7:G30">
    <x:cfRule type="expression" dxfId="1" priority="1">
      <x:formula>AND($D7="主动",$E7&gt;$L$2)</x:formula>
    </x:cfRule>
  </x:conditionalFormatting>
  <x:conditionalFormatting sqref="F7:F30">
    <x:cfRule type="containsText" dxfId="2" priority="2" operator="containsText" text="正常"/>
  </x:conditionalFormatting>
  <x:conditionalFormatting sqref="D35:D37">
    <x:cfRule type="expression" dxfId="3" priority="3">
      <x:formula>ABS(D35)&gt;$J$2</x:formula>
    </x:cfRule>
  </x:conditionalFormatting>
  <x:conditionalFormatting sqref="G35:G37">
    <x:cfRule type="expression" dxfId="4" priority="4">
      <x:formula>ABS(G35)&gt;$J$2</x:formula>
    </x:cfRule>
  </x:conditionalFormatting>
  <x:dataValidations count="3">
    <x:dataValidation type="list" sqref="C53:C76">
      <x:formula1>"增值,生息"</x:formula1>
    </x:dataValidation>
    <x:dataValidation type="list" sqref="D53:D76">
      <x:formula1>"产业趋势,指增,-"</x:formula1>
    </x:dataValidation>
    <x:dataValidation type="list" sqref="E53:E76">
      <x:formula1>"主动,指数,指增,货币,债券,保障"</x:formula1>
    </x:dataValidation>
  </x:dataValidations>
  <x:pageMargins left="0.7" right="0.7" top="0.75" bottom="0.75" header="0.3" footer="0.3"/>
</x:worksheet>
</file>