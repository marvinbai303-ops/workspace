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in" ContentType="application/vnd.openxmlformats-officedocument.spreadsheetml.printerSettings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72bbfbf0c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s招行" sheetId="9" r:id="Re6ab1a9962a94c62"/>
    <x:sheet xmlns:r="http://schemas.openxmlformats.org/officeDocument/2006/relationships" name="vs固收+" sheetId="10" r:id="R00081c3a7ece4257"/>
    <x:sheet xmlns:r="http://schemas.openxmlformats.org/officeDocument/2006/relationships" name="1090实盘净值" sheetId="11" r:id="R6f41cb98113d4fe5"/>
    <x:sheet xmlns:r="http://schemas.openxmlformats.org/officeDocument/2006/relationships" name="固收+基金对比" sheetId="15" r:id="Rbd077efa8a97461a"/>
  </x:sheets>
</x:workbook>
</file>

<file path=xl/sharedStrings.xml><?xml version="1.0" encoding="utf-8"?>
<sst xmlns="http://schemas.openxmlformats.org/spreadsheetml/2006/main" count="453" uniqueCount="258">
  <si>
    <t>持仓配置（初始权重）</t>
  </si>
  <si>
    <t>基金简称</t>
  </si>
  <si>
    <t>宏利复兴混合A</t>
  </si>
  <si>
    <t>信澳业绩驱动A</t>
  </si>
  <si>
    <t>嘉实信息产业A</t>
  </si>
  <si>
    <t>银华集成电路混合A</t>
  </si>
  <si>
    <t>中欧中证500指增A</t>
  </si>
  <si>
    <t>天弘中证1000指增A</t>
  </si>
  <si>
    <t>华泰柏瑞中证2000指增A</t>
  </si>
  <si>
    <t>博道沪深300指增A</t>
  </si>
  <si>
    <t>易方达中债新综指LOFA</t>
  </si>
  <si>
    <t>华安黄金ETF联接A</t>
  </si>
  <si>
    <t>国泰半导体材料设备ETF联接A</t>
  </si>
  <si>
    <t>国泰通信设备ETF联接A</t>
  </si>
  <si>
    <t>嘉实快线货币A</t>
  </si>
  <si>
    <t>合计</t>
  </si>
  <si>
    <t>年化费率(年)</t>
  </si>
  <si>
    <t>基金代码</t>
  </si>
  <si>
    <t>001170.OF</t>
  </si>
  <si>
    <t>016370.OF</t>
  </si>
  <si>
    <t>017488.OF</t>
  </si>
  <si>
    <t>013840.OF</t>
  </si>
  <si>
    <t>015453.OF</t>
  </si>
  <si>
    <t>014201.OF</t>
  </si>
  <si>
    <t>019923.OF</t>
  </si>
  <si>
    <t>007044.OF</t>
  </si>
  <si>
    <t>161119.OF</t>
  </si>
  <si>
    <t>000216.OF</t>
  </si>
  <si>
    <t>019632.OF</t>
  </si>
  <si>
    <t>007817.OF</t>
  </si>
  <si>
    <t>000917.OF</t>
  </si>
  <si>
    <t>10-90 权重</t>
  </si>
  <si>
    <t>20-80 权重</t>
  </si>
  <si>
    <t>30-70 权重</t>
  </si>
  <si>
    <t>增值 权重</t>
  </si>
  <si>
    <t>基准指数(参考，不计入组合)</t>
  </si>
  <si>
    <t>科创创业50等权</t>
  </si>
  <si>
    <t>932381.CSI</t>
  </si>
  <si>
    <t>中证800</t>
  </si>
  <si>
    <t>000906.SH</t>
  </si>
  <si>
    <t>沪深300</t>
  </si>
  <si>
    <t>000300.SH</t>
  </si>
  <si>
    <t>中证500</t>
  </si>
  <si>
    <t>000905.SH</t>
  </si>
  <si>
    <t>中证1000</t>
  </si>
  <si>
    <t>000852.SH</t>
  </si>
  <si>
    <t>中证2000</t>
  </si>
  <si>
    <t>932000.CSI</t>
  </si>
  <si>
    <t>权重为蓝色输入；P列为各组合年化费率(蓝色输入，已折每日扣减)。下游净值与看板自动重算。</t>
  </si>
  <si>
    <t>净值数据 · iFinD 实时拉取（复权单位净值）</t>
  </si>
  <si>
    <t>基金代码→</t>
  </si>
  <si>
    <t>组合净值 · 买入持有逐日计算</t>
  </si>
  <si>
    <t>组合 10-90</t>
  </si>
  <si>
    <t>组合 20-80</t>
  </si>
  <si>
    <t>组合 30-70</t>
  </si>
  <si>
    <t>组合 增值</t>
  </si>
  <si>
    <t>日期</t>
  </si>
  <si>
    <t>净值</t>
  </si>
  <si>
    <t>日收益</t>
  </si>
  <si>
    <t>回撤</t>
  </si>
  <si>
    <t>组合净值起始=1.0000；买入持有，权重随涨跌漂移；净值已按年化费率折每日扣费。新增日期下拉填充。</t>
  </si>
  <si>
    <t>样板间组合走势看板（10-90 账户）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</si>
  <si>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</si>
  <si>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</si>
  <si>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</si>
  <si>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</si>
  <si>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</si>
  <si>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</si>
  <si>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夏普比率(日)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</si>
  <si>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</si>
  <si>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</si>
  <si>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</si>
  <si>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</si>
  <si>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</si>
  <si>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</si>
  <si>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</si>
  <si>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</si>
  <si>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</si>
  <si>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</si>
  <si>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</si>
  <si>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</si>
  <si>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夏普比率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</si>
  <si>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</si>
  <si>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</si>
  <si>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</si>
  <si>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样板间组合走势看板（20-80 账户）</t>
  </si>
  <si>
    <t>样板间组合走势看板（30-70 账户）</t>
  </si>
  <si>
    <t>样板间组合走势看板（增值组合）</t>
  </si>
  <si>
    <t>样板间投顾组合 · 净值监控模板</t>
  </si>
  <si>
    <t>运作起始日 2026/6/1 ｜ 净值口径：复权单位净值(iFinD) ｜ 模拟：买入持有(权重漂移)</t>
  </si>
  <si>
    <t>一、模板结构</t>
  </si>
  <si>
    <t>持仓配置</t>
  </si>
  <si>
    <t>四组合(10-90/20-80/30-70/增值)成份基金、代码与初始权重，可直接编辑。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</si>
  <si>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</si>
  <si>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</si>
  <si>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</si>
  <si>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</si>
  <si>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</si>
  <si>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业绩表现KPI＋收益表现＋风险特征＋净值曲线。增值组合为8只权益基金、无债无黄金。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</si>
  <si>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</si>
  <si>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</si>
  <si>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</si>
  <si>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</si>
  <si>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</si>
  <si>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</si>
  <si>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</si>
  <si>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</si>
  <si>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各组合年化费率见『持仓配置』M列(10-90=0.8%/20-80=1.0%/30-70=1.2%/增值=1.0%)；按 净值×(1-费率)^(已运作交易日数/年化交易日数) 折每日计入，看板均为扣费后口径。</t>
  </si>
  <si>
    <t>参数：无风险利率(年化)=一年定存基准1.5%（夏普折日按C16/365）</t>
  </si>
  <si>
    <t>参数：年化交易日数</t>
  </si>
  <si>
    <t>净值曲线</t>
  </si>
  <si>
    <t>四看板曲线已改用动态命名区域(chtDate/chtB/chtE/chtH/chtK，OFFSET+COUNT)，新增交易日后自动延伸到最新，无需手动改图表数据区。</t>
  </si>
  <si>
    <t>数据来源：同花顺 iFinD(复权单位净值)</t>
  </si>
  <si>
    <t>口径对齐说明：看板年化波动率/夏普/年化收益已与iFinD区间指标完全对齐——①年化波动率=日普通收益样本标准差×√250（C17=250）；②夏普为日口径不年化=(日均收益−C16/365)÷日收益标准差，与ths_sharp_fund一致；③年化收益=(1+累计收益)^(365/区间自然日数(含首尾))−1，卡玛=年化收益÷|最大回撤|，与ths_calmar_ratio_fund一致；区间收益均以起始日前一交易日净值为基期（组合基期5/29净值=1）。</t>
  </si>
  <si>
    <t>10-90</t>
  </si>
  <si>
    <t>权益中枢</t>
  </si>
  <si>
    <t>列2</t>
  </si>
  <si>
    <t>组合/基金</t>
  </si>
  <si>
    <t>招行长盈计划-安稳盈</t>
  </si>
  <si>
    <t>≤15%</t>
  </si>
  <si>
    <t>016768.OF</t>
  </si>
  <si>
    <t>025218.OF</t>
  </si>
  <si>
    <t>022978.OF</t>
  </si>
  <si>
    <t>017587.OF</t>
  </si>
  <si>
    <t>026682.OF</t>
  </si>
  <si>
    <t>招行长盈计划-安定盈</t>
  </si>
  <si>
    <t>≤25%</t>
  </si>
  <si>
    <t>025822.OF</t>
  </si>
  <si>
    <t>018312.OF</t>
  </si>
  <si>
    <t>权益中枢
/股票仓位</t>
  </si>
  <si>
    <t>004010.OF</t>
  </si>
  <si>
    <t>001316.OF</t>
  </si>
  <si>
    <t>009089.OF</t>
  </si>
  <si>
    <t>018595.OF</t>
  </si>
  <si>
    <t>003504.OF</t>
  </si>
  <si>
    <t>1090账户基石投顾组合</t>
  </si>
  <si>
    <t>投资组合(扣除投顾费,申赎费)</t>
  </si>
  <si>
    <t>持仓配置（实盘·初始权重）</t>
  </si>
  <si>
    <t>博道沪深300增强A</t>
  </si>
  <si>
    <t>博道沪深300指增C</t>
  </si>
  <si>
    <t>国泰通信设备C</t>
  </si>
  <si>
    <t>嘉实前沿科技创新</t>
  </si>
  <si>
    <t>银华集成电路混合C</t>
  </si>
  <si>
    <t>天弘中证1000指增C</t>
  </si>
  <si>
    <t>中欧中证500指增C</t>
  </si>
  <si>
    <t>嘉实信息产业C</t>
  </si>
  <si>
    <t>宏利复兴伟业C</t>
  </si>
  <si>
    <t>国泰半导体材料设备C</t>
  </si>
  <si>
    <t>华泰柏瑞中证2000指增C</t>
  </si>
  <si>
    <t>年化费率</t>
  </si>
  <si>
    <t>净值起始日</t>
  </si>
  <si>
    <t>007045.OF</t>
  </si>
  <si>
    <t>007818.OF</t>
  </si>
  <si>
    <t>009993.OF</t>
  </si>
  <si>
    <t>013841.OF</t>
  </si>
  <si>
    <t>014202.OF</t>
  </si>
  <si>
    <t>015454.OF</t>
  </si>
  <si>
    <t>017489.OF</t>
  </si>
  <si>
    <t>017612.OF</t>
  </si>
  <si>
    <t>019633.OF</t>
  </si>
  <si>
    <t>019924.OF</t>
  </si>
  <si>
    <t>产业趋势 权重</t>
  </si>
  <si>
    <t>产业趋势基石 权重</t>
  </si>
  <si>
    <t>产业趋势2号 权重</t>
  </si>
  <si>
    <t>10-90基石 权重</t>
  </si>
  <si>
    <t>权重蓝色输入；Z列为各组合年化费率、AA列为各组合净值起始日(当日净值=1)。新增交易日下拉填充，下游净值与看板自动重算。</t>
  </si>
  <si>
    <t>净值数据 * 实盘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</si>
  <si>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</si>
  <si>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</si>
  <si>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</si>
  <si>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</si>
  <si>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10-90基石</t>
  </si>
  <si>
    <t>各组合自其净值起始日起=1.0000；买入持有，权重随涨跌漂移；净值已按各自年化费率折每日扣费。新增日期下拉填充。</t>
  </si>
  <si>
    <t>10-90基石投顾账户</t>
    <phoneticPr fontId="13" type="noConversion"/>
  </si>
  <si>
    <t>转债仓位</t>
    <phoneticPr fontId="13" type="noConversion"/>
  </si>
  <si>
    <t>-</t>
    <phoneticPr fontId="13" type="noConversion"/>
  </si>
  <si>
    <t>10/90配置样板间</t>
  </si>
  <si>
    <t>公募固收+关注池</t>
  </si>
  <si>
    <t>产品类型</t>
    <phoneticPr fontId="13" type="noConversion"/>
  </si>
  <si>
    <t>注：1090基石投顾组合2026/06/18上线，FOF权益中枢数据取自招行银行官网。投顾数据均为扣费后数据。</t>
    <phoneticPr fontId="13" type="noConversion"/>
  </si>
  <si>
    <t>0.99351509</t>
  </si>
  <si>
    <t>最新净值日期</t>
    <phoneticPr fontId="13" type="noConversion"/>
  </si>
  <si>
    <t>0.99860982</t>
  </si>
  <si>
    <t>0.99488466</t>
  </si>
  <si>
    <t>0.98970134</t>
  </si>
  <si>
    <t>0.99245271</t>
  </si>
  <si>
    <t>0.99005834</t>
  </si>
  <si>
    <t>0.98597556</t>
  </si>
  <si>
    <t>501073.OF</t>
  </si>
  <si>
    <t>004657.OF</t>
  </si>
  <si>
    <t>014158.OF</t>
    <phoneticPr fontId="13" type="noConversion"/>
  </si>
  <si>
    <t>011351.OF</t>
    <phoneticPr fontId="13" type="noConversion"/>
  </si>
  <si>
    <t>012740.OF</t>
    <phoneticPr fontId="13" type="noConversion"/>
  </si>
  <si>
    <t>上线以来</t>
    <phoneticPr fontId="13" type="noConversion"/>
  </si>
  <si>
    <t>0.97469599</t>
  </si>
  <si>
    <t>110017.OF</t>
  </si>
  <si>
    <t>000385.OF</t>
  </si>
  <si>
    <t>162210.OF</t>
  </si>
  <si>
    <t>015931.OF</t>
  </si>
  <si>
    <t>014088.OF</t>
  </si>
  <si>
    <t>002961.OF</t>
  </si>
  <si>
    <t>002969.OF</t>
  </si>
  <si>
    <t>000143.OF</t>
  </si>
  <si>
    <t>470010.OF</t>
  </si>
  <si>
    <t>160718.OF</t>
  </si>
  <si>
    <t>日涨跌</t>
    <phoneticPr fontId="13" type="noConversion"/>
  </si>
  <si>
    <t>本周以来</t>
    <phoneticPr fontId="13" type="noConversion"/>
  </si>
  <si>
    <t>8月以来</t>
    <phoneticPr fontId="13" type="noConversion"/>
  </si>
  <si>
    <t>本周</t>
    <phoneticPr fontId="13" type="noConversion"/>
  </si>
  <si>
    <t>LTD</t>
    <phoneticPr fontId="13" type="noConversion"/>
  </si>
  <si>
    <t>0.97954497</t>
  </si>
  <si>
    <t>0.98421564</t>
  </si>
  <si>
    <t>0.98658983</t>
  </si>
  <si>
    <t>0.98977590</t>
  </si>
  <si>
    <t>0.99185254</t>
  </si>
  <si>
    <t>注：1090基石投顾组合2026/06/18上线，基金股票、转债仓位最新季报数据。投顾数据均为扣费后数据。</t>
    <phoneticPr fontId="13" type="noConversion"/>
  </si>
  <si>
    <t>8月以来</t>
    <phoneticPr fontId="13" type="noConversion"/>
  </si>
  <si>
    <t>622-731</t>
    <phoneticPr fontId="13" type="noConversion"/>
  </si>
  <si>
    <t>1.22249400</t>
  </si>
  <si>
    <t>1.22478515</t>
  </si>
  <si>
    <t>1.22020249</t>
  </si>
  <si>
    <t>1.22109262</t>
  </si>
  <si>
    <t>1.22217105</t>
  </si>
  <si>
    <t>1.21873214</t>
  </si>
  <si>
    <t>1.22107212</t>
  </si>
  <si>
    <t>1.22189376</t>
  </si>
  <si>
    <t>1.22119814</t>
  </si>
  <si>
    <t>1.21840063</t>
  </si>
  <si>
    <t>1.22049236</t>
  </si>
  <si>
    <t>1.22071445</t>
  </si>
  <si>
    <t>1.21832166</t>
  </si>
  <si>
    <t>1.21705562</t>
  </si>
  <si>
    <t>1.21999960</t>
  </si>
  <si>
    <t>1.21804670</t>
  </si>
  <si>
    <t>1.21385354</t>
  </si>
  <si>
    <t>1.21643676</t>
  </si>
  <si>
    <t>1.21602034</t>
  </si>
  <si>
    <t>1.21303342</t>
  </si>
  <si>
    <t>1.20810291</t>
  </si>
  <si>
    <t>1.20951756</t>
  </si>
  <si>
    <t>1.21420067</t>
  </si>
  <si>
    <t>1.21548727</t>
  </si>
  <si>
    <t>1.21581151</t>
  </si>
  <si>
    <t>1.21280736</t>
  </si>
  <si>
    <t>1.21537245</t>
  </si>
  <si>
    <t>1.21157522</t>
  </si>
  <si>
    <t>1.21261346</t>
  </si>
  <si>
    <t>1.21208310</t>
  </si>
  <si>
    <t>1.21389655</t>
  </si>
  <si>
    <t>1.21256812</t>
  </si>
  <si>
    <t>1.21399454</t>
  </si>
  <si>
    <t>1.21716409</t>
  </si>
  <si>
    <t>1.21858475</t>
  </si>
  <si>
    <t>1.22070196</t>
  </si>
  <si>
    <t>1.22254650</t>
  </si>
  <si>
    <t>百灵全天候</t>
    <phoneticPr fontId="13" type="noConversion"/>
  </si>
  <si>
    <t>6.22-7.31</t>
    <phoneticPr fontId="13" type="noConversion"/>
  </si>
  <si>
    <t>8.3-8.10</t>
    <phoneticPr fontId="13" type="noConversion"/>
  </si>
</sst>
</file>

<file path=xl/styles.xml><?xml version="1.0" encoding="utf-8"?>
<x:styleSheet xmlns:x="http://schemas.openxmlformats.org/spreadsheetml/2006/main">
  <x:numFmts count="8">
    <x:numFmt numFmtId="176" formatCode="0.0%"/>
    <x:numFmt numFmtId="177" formatCode="yyyy\-mm\-dd"/>
    <x:numFmt numFmtId="178" formatCode="0.0000"/>
    <x:numFmt numFmtId="179" formatCode="0.00000000%"/>
    <x:numFmt numFmtId="180" formatCode="0.000"/>
    <x:numFmt numFmtId="200" formatCode="yyyy-mm-dd"/>
    <x:numFmt numFmtId="201" formatCode="0.000000"/>
    <x:numFmt numFmtId="202" formatCode="0.00%"/>
  </x:numFmts>
  <x:fonts count="51">
    <x:font>
      <x:sz val="11"/>
      <x:color theme="1"/>
      <x:name val="宋体"/>
    </x:font>
    <x:font>
      <x:b/>
      <x:sz val="18"/>
      <x:color rgb="FF1F3864"/>
      <x:name val="Arial"/>
    </x:font>
    <x:font>
      <x:i/>
      <x:sz val="9"/>
      <x:color rgb="FF595959"/>
      <x:name val="Arial"/>
    </x:font>
    <x:font>
      <x:b/>
      <x:sz val="12"/>
      <x:color rgb="FF1F3864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0"/>
      <x:color rgb="FF1F3864"/>
      <x:name val="Arial"/>
    </x:font>
    <x:font>
      <x:sz val="10"/>
      <x:color rgb="FF006100"/>
      <x:name val="Arial"/>
    </x:font>
    <x:font>
      <x:b/>
      <x:sz val="11"/>
      <x:color rgb="FFFFFFFF"/>
      <x:name val="Arial"/>
    </x:font>
    <x:font>
      <x:b/>
      <x:sz val="17"/>
      <x:color rgb="FFFFFFFF"/>
      <x:name val="Arial"/>
    </x:font>
    <x:font>
      <x:sz val="9"/>
      <x:name val="宋体"/>
    </x:font>
    <x:font>
      <x:i/>
      <x:sz val="9"/>
      <x:color rgb="FF595959"/>
      <x:name val="Arial"/>
    </x:font>
    <x:font>
      <x:sz val="10"/>
      <x:color rgb="FF000000"/>
      <x:name val="微软雅黑"/>
    </x:font>
    <x:font>
      <x:sz val="11"/>
      <x:color theme="1"/>
      <x:name val="微软雅黑"/>
    </x:font>
    <x:font>
      <x:b/>
      <x:sz val="16"/>
      <x:color rgb="FF000000"/>
      <x:name val="微软雅黑"/>
    </x:font>
    <x:font>
      <x:sz val="16"/>
      <x:color rgb="FF000000"/>
      <x:name val="微软雅黑"/>
    </x:font>
    <x:font>
      <x:sz val="16"/>
      <x:color theme="1"/>
      <x:name val="微软雅黑"/>
    </x:font>
    <x:font>
      <x:b/>
      <x:sz val="20"/>
      <x:color rgb="FF1F3864"/>
      <x:name val="微软雅黑"/>
    </x:font>
    <x:font>
      <x:b/>
      <x:sz val="20"/>
      <x:color rgb="FFC00000"/>
      <x:name val="微软雅黑"/>
    </x:font>
    <x:font>
      <x:b/>
      <x:sz val="10"/>
      <x:color rgb="FF0000FF"/>
      <x:name val="Arial"/>
    </x:font>
    <x:font>
      <x:sz val="11"/>
      <x:color theme="1"/>
      <x:name val="宋体"/>
    </x:font>
    <x:font>
      <x:b/>
      <x:sz val="11"/>
      <x:color theme="0"/>
      <x:name val="微软雅黑"/>
    </x:font>
    <x:font>
      <x:b/>
      <x:sz val="12"/>
      <x:color theme="1"/>
      <x:name val="微软雅黑"/>
    </x:font>
    <x:font>
      <x:b/>
      <x:sz val="12"/>
      <x:color rgb="FFFF0000"/>
      <x:name val="微软雅黑"/>
    </x:font>
    <x:font>
      <x:b/>
      <x:sz val="12"/>
      <x:color rgb="FF00B050"/>
      <x:name val="微软雅黑"/>
    </x:font>
    <x:font>
      <x:sz val="11"/>
      <x:color rgb="FF00B050"/>
      <x:name val="微软雅黑"/>
    </x:font>
    <x:font>
      <x:sz val="11"/>
      <x:name val="微软雅黑"/>
    </x:font>
    <x:font>
      <x:sz val="12"/>
      <x:color theme="1"/>
      <x:name val="微软雅黑"/>
    </x:font>
    <x:font>
      <x:sz val="9"/>
      <x:color rgb="FF808080"/>
      <x:name val="微软雅黑"/>
    </x:font>
    <x:font>
      <x:b/>
      <x:sz val="10"/>
      <x:name val="微软雅黑"/>
    </x:font>
    <x:font>
      <x:sz val="10"/>
      <x:name val="微软雅黑"/>
    </x:font>
    <x:font>
      <x:b/>
      <x:sz val="11"/>
      <x:color rgb="FFFFFFFF"/>
      <x:name val="微软雅黑"/>
    </x:font>
    <x:font>
      <x:b/>
      <x:sz val="12"/>
      <x:color theme="1"/>
      <x:name val="微软雅黑"/>
    </x:font>
    <x:font>
      <x:sz val="11"/>
      <x:color theme="1"/>
      <x:name val="微软雅黑"/>
    </x:font>
    <x:font>
      <x:b/>
      <x:sz val="12"/>
      <x:color rgb="FF00B050"/>
      <x:name val="微软雅黑"/>
    </x:font>
    <x:font>
      <x:sz val="11"/>
      <x:color rgb="FF00B050"/>
      <x:name val="微软雅黑"/>
    </x:font>
    <x:font>
      <x:b/>
      <x:sz val="12"/>
      <x:color rgb="FFFFFFFF"/>
      <x:name val="微软雅黑"/>
    </x:font>
    <x:font>
      <x:sz val="12"/>
      <x:color theme="1"/>
      <x:name val="宋体"/>
    </x:font>
    <x:font>
      <x:sz val="11"/>
      <x:name val="Carlito"/>
    </x:font>
    <x:font>
      <x:b/>
      <x:sz val="12"/>
      <x:name val="微软雅黑"/>
    </x:font>
    <x:font>
      <x:b/>
      <x:sz val="11"/>
      <x:color rgb="FF1F4E78"/>
      <x:name val="微软雅黑"/>
    </x:font>
    <x:font>
      <x:b/>
      <x:sz val="11"/>
      <x:color rgb="FF404040"/>
      <x:name val="微软雅黑"/>
    </x:font>
    <x:font>
      <x:b/>
      <x:sz val="11"/>
      <x:color rgb="FF0000FF"/>
      <x:name val="微软雅黑"/>
    </x:font>
    <x:font>
      <x:sz val="11"/>
      <x:color rgb="FF666666"/>
      <x:name val="微软雅黑"/>
    </x:font>
    <x:font>
      <x:i/>
      <x:sz val="11"/>
      <x:color rgb="FF666666"/>
      <x:name val="微软雅黑"/>
    </x:font>
    <x:font>
      <x:b/>
      <x:sz val="11"/>
      <x:color rgb="FF274E13"/>
      <x:name val="微软雅黑"/>
    </x:font>
    <x:font>
      <x:sz val="11"/>
      <x:color rgb="FF008000"/>
      <x:name val="微软雅黑"/>
    </x:font>
    <x:font>
      <x:b/>
      <x:sz val="11"/>
      <x:color rgb="FF1F1F1F"/>
      <x:name val="微软雅黑"/>
    </x:font>
  </x:fonts>
  <x:fills count="2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D9E1F2"/>
      </x:patternFill>
    </x:fill>
    <x:fill>
      <x:patternFill patternType="solid">
        <x:fgColor rgb="FFF2F4F8"/>
      </x:patternFill>
    </x:fill>
    <x:fill>
      <x:patternFill patternType="solid">
        <x:fgColor rgb="FFFFF2CC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8F9FA"/>
      </x:patternFill>
    </x:fill>
    <x:fill>
      <x:patternFill patternType="solid">
        <x:fgColor rgb="FF7F8C8D"/>
      </x:patternFill>
    </x:fill>
    <x:fill>
      <x:patternFill patternType="solid">
        <x:fgColor rgb="FFD9EAD3"/>
      </x:patternFill>
    </x:fill>
    <x:fill>
      <x:patternFill patternType="solid">
        <x:fgColor rgb="FF4F81BD"/>
      </x:patternFill>
    </x:fill>
    <x:fill>
      <x:patternFill patternType="solid">
        <x:fgColor rgb="FFEAF2F8"/>
      </x:patternFill>
    </x:fill>
    <x:fill>
      <x:patternFill patternType="solid">
        <x:fgColor rgb="FFF7F7F7"/>
      </x:patternFill>
    </x:fill>
  </x:fills>
  <x:borders count="55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theme="9" tint="0.39998"/>
      </x:top>
      <x:bottom style="thin">
        <x:color theme="9" tint="0.39998"/>
      </x:bottom>
    </x:border>
    <x:border>
      <x:left style="thin">
        <x:color theme="9" tint="0.39998"/>
      </x:left>
      <x:top style="thin">
        <x:color theme="9" tint="0.39998"/>
      </x:top>
    </x:border>
    <x:border>
      <x:top style="thin">
        <x:color theme="9" tint="0.39998"/>
      </x:top>
    </x:border>
    <x:border>
      <x:left style="thin">
        <x:color theme="9" tint="0.39998"/>
      </x:left>
    </x:border>
    <x:border>
      <x:left style="thin">
        <x:color theme="9" tint="0.39998"/>
      </x:left>
      <x:bottom style="thin">
        <x:color theme="9" tint="0.39998"/>
      </x:bottom>
    </x:border>
    <x:border>
      <x:bottom style="thin">
        <x:color rgb="FFBFBFBF"/>
      </x:bottom>
    </x:border>
    <x:border>
      <x:bottom style="thin">
        <x:color theme="9" tint="0.39998"/>
      </x:bottom>
    </x:border>
    <x:border>
      <x:left style="thin">
        <x:color theme="9" tint="0.39998"/>
      </x:left>
      <x:top style="thin">
        <x:color theme="9" tint="0.39998"/>
      </x:top>
      <x:bottom style="thin">
        <x:color theme="9" tint="0.39998"/>
      </x:bottom>
    </x:border>
    <x:border>
      <x:top style="thin">
        <x:color theme="9" tint="0.39998"/>
      </x:top>
    </x:border>
    <x:border>
      <x:right style="thin">
        <x:color theme="9" tint="0.39998"/>
      </x:right>
      <x:top style="thin">
        <x:color theme="9" tint="0.39998"/>
      </x:top>
    </x:border>
    <x:border>
      <x:top style="thin">
        <x:color theme="9" tint="0.39998"/>
      </x:top>
    </x:border>
    <x:border>
      <x:top style="thin">
        <x:color theme="9" tint="0.39998"/>
      </x:top>
      <x:bottom style="thin">
        <x:color theme="9" tint="0.39998"/>
      </x:bottom>
    </x:border>
    <x:border>
      <x:right style="thin">
        <x:color theme="9" tint="0.39998"/>
      </x:right>
      <x:top style="thin">
        <x:color theme="9" tint="0.39998"/>
      </x:top>
      <x:bottom style="thin">
        <x:color theme="9" tint="0.39998"/>
      </x:bottom>
    </x:border>
    <x:border>
      <x:top style="thin">
        <x:color theme="9" tint="0.39998"/>
      </x:top>
      <x:bottom style="thin">
        <x:color theme="9" tint="0.39998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bottom style="thin">
        <x:color auto="1"/>
      </x:bottom>
    </x:border>
    <x:border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right style="thin">
        <x:color rgb="FFA6A6A6"/>
      </x:right>
      <x:top style="thin">
        <x:color rgb="FFA6A6A6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A6A6A6"/>
      </x:right>
      <x:top style="thin">
        <x:color rgb="FFD9E2F3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A6A6A6"/>
      </x:right>
      <x:top style="thin">
        <x:color rgb="FFD9E2F3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E7E6E6"/>
      </x:right>
      <x:top style="thin">
        <x:color rgb="FFA6A6A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A6A6A6"/>
      </x:top>
      <x:bottom style="thin">
        <x:color rgb="FFE7E6E6"/>
      </x:bottom>
    </x:border>
    <x:border>
      <x:left style="thin">
        <x:color rgb="FFE7E6E6"/>
      </x:left>
      <x:right style="thin">
        <x:color rgb="FFA6A6A6"/>
      </x:right>
      <x:top style="thin">
        <x:color rgb="FFA6A6A6"/>
      </x:top>
      <x:bottom style="thin">
        <x:color rgb="FFE7E6E6"/>
      </x:bottom>
    </x:border>
    <x:border>
      <x:left style="thin">
        <x:color rgb="FFA6A6A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A6A6A6"/>
      </x:right>
      <x:top style="thin">
        <x:color rgb="FFE7E6E6"/>
      </x:top>
      <x:bottom style="thin">
        <x:color rgb="FFE7E6E6"/>
      </x:bottom>
    </x:border>
    <x:border>
      <x:left style="thin">
        <x:color rgb="FFA6A6A6"/>
      </x:left>
      <x:right style="thin">
        <x:color rgb="FFE7E6E6"/>
      </x:right>
      <x:top style="thin">
        <x:color rgb="FFE7E6E6"/>
      </x:top>
      <x:bottom style="thin">
        <x:color rgb="FFA6A6A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A6A6A6"/>
      </x:bottom>
    </x:border>
    <x:border>
      <x:left style="thin">
        <x:color rgb="FFE7E6E6"/>
      </x:left>
      <x:right style="thin">
        <x:color rgb="FFA6A6A6"/>
      </x:right>
      <x:top style="thin">
        <x:color rgb="FFE7E6E6"/>
      </x:top>
      <x:bottom style="thin">
        <x:color rgb="FFA6A6A6"/>
      </x:bottom>
    </x:border>
    <x:border>
      <x:left style="thin">
        <x:color rgb="FF355E84"/>
      </x:left>
      <x:right style="thin">
        <x:color rgb="FF355E84"/>
      </x:right>
      <x:top style="thin">
        <x:color rgb="FF355E84"/>
      </x:top>
      <x:bottom style="thin">
        <x:color rgb="FF355E84"/>
      </x:bottom>
    </x:border>
    <x:border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B4C6E7"/>
      </x:bottom>
    </x:border>
    <x:border>
      <x:left style="thin">
        <x:color rgb="FFD9E2F3"/>
      </x:left>
      <x:right style="thin">
        <x:color rgb="FFA6A6A6"/>
      </x:right>
      <x:top style="thin">
        <x:color rgb="FFA6A6A6"/>
      </x:top>
      <x:bottom style="thin">
        <x:color rgb="FFB4C6E7"/>
      </x:bottom>
    </x:border>
    <x:border>
      <x:left style="thin">
        <x:color rgb="FFA6A6A6"/>
      </x:left>
      <x:right style="thin">
        <x:color rgb="FFD9E2F3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A6A6A6"/>
      </x:right>
      <x:top style="thin">
        <x:color rgb="FFB4C6E7"/>
      </x:top>
      <x:bottom style="thin">
        <x:color rgb="FFB4C6E7"/>
      </x:bottom>
    </x:border>
    <x:border>
      <x:left style="thin">
        <x:color rgb="FFA6A6A6"/>
      </x:left>
      <x:right style="thin">
        <x:color rgb="FFD9E2F3"/>
      </x:right>
      <x:top style="thin">
        <x:color rgb="FFB4C6E7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A6A6A6"/>
      </x:bottom>
    </x:border>
    <x:border>
      <x:left style="thin">
        <x:color rgb="FFD9E2F3"/>
      </x:left>
      <x:right style="thin">
        <x:color rgb="FFA6A6A6"/>
      </x:right>
      <x:top style="thin">
        <x:color rgb="FFB4C6E7"/>
      </x:top>
      <x:bottom style="thin">
        <x:color rgb="FFA6A6A6"/>
      </x:bottom>
    </x:border>
  </x:borders>
  <x:cellStyleXfs count="4">
    <x:xf numFmtId="0" fontId="0" fillId="0" borderId="0"/>
    <x:xf numFmtId="9" fontId="23" fillId="0" borderId="0">
      <x:alignment vertical="center"/>
    </x:xf>
    <x:xf numFmtId="0" fontId="40" fillId="0" borderId="0"/>
    <x:xf numFmtId="0" fontId="41" fillId="0" borderId="0"/>
  </x:cellStyleXfs>
  <x:cellXfs count="343">
    <x:xf numFmtId="0" fontId="0" fillId="0" borderId="0" xfId="0"/>
    <x:xf numFmtId="0" fontId="1" fillId="0" borderId="0" xfId="0" applyFont="1"/>
    <x:xf numFmtId="0" fontId="5" fillId="0" borderId="0" xfId="0" applyFont="1"/>
    <x:xf numFmtId="0" fontId="4" fillId="5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left" vertical="center"/>
    </x:xf>
    <x:xf numFmtId="10" fontId="6" fillId="0" borderId="1" xfId="0" applyNumberFormat="1" applyFont="1" applyBorder="1" applyAlignment="1">
      <x:alignment horizontal="center" vertical="center" wrapText="1"/>
    </x:xf>
    <x:xf numFmtId="0" fontId="9" fillId="0" borderId="0" xfId="0" applyFont="1"/>
    <x:xf numFmtId="0" fontId="10" fillId="6" borderId="1" xfId="0" applyFont="1" applyFill="1" applyBorder="1" applyAlignment="1">
      <x:alignment horizontal="center" vertical="center" wrapText="1"/>
    </x:xf>
    <x:xf numFmtId="10" fontId="5" fillId="0" borderId="1" xfId="0" applyNumberFormat="1" applyFont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center" vertical="center" wrapText="1"/>
    </x:xf>
    <x:xf numFmtId="0" fontId="14" fillId="0" borderId="0" xfId="0" applyFont="1"/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vertical="center"/>
    </x:xf>
    <x:xf numFmtId="0" fontId="16" fillId="0" borderId="0" xfId="0" applyFont="1" applyAlignment="1">
      <x:alignment vertical="center"/>
    </x:xf>
    <x:xf numFmtId="10" fontId="18" fillId="0" borderId="1" xfId="0" applyNumberFormat="1" applyFont="1" applyBorder="1" applyAlignment="1">
      <x:alignment horizontal="center" vertical="center" wrapText="1"/>
    </x:xf>
    <x:xf numFmtId="1" fontId="18" fillId="0" borderId="1" xfId="0" applyNumberFormat="1" applyFont="1" applyBorder="1" applyAlignment="1">
      <x:alignment horizontal="center" vertical="center" wrapText="1"/>
    </x:xf>
    <x:xf numFmtId="2" fontId="18" fillId="0" borderId="1" xfId="0" applyNumberFormat="1" applyFont="1" applyBorder="1" applyAlignment="1">
      <x:alignment horizontal="center" vertical="center" wrapText="1"/>
    </x:xf>
    <x:xf numFmtId="0" fontId="19" fillId="0" borderId="0" xfId="0" applyFont="1"/>
    <x:xf numFmtId="10" fontId="21" fillId="0" borderId="1" xfId="0" applyNumberFormat="1" applyFont="1" applyBorder="1" applyAlignment="1">
      <x:alignment horizontal="center" vertical="center" wrapText="1"/>
    </x:xf>
    <x:xf numFmtId="10" fontId="20" fillId="0" borderId="1" xfId="0" applyNumberFormat="1" applyFont="1" applyBorder="1" applyAlignment="1">
      <x:alignment horizontal="center" vertical="center" wrapText="1"/>
    </x:xf>
    <x:xf numFmtId="0" fontId="6" fillId="2" borderId="1" xfId="0" applyFont="1" applyFill="1" applyBorder="1"/>
    <x:xf numFmtId="0" fontId="15" fillId="0" borderId="0" xfId="0" applyFont="1" applyAlignment="1">
      <x:alignment vertical="center"/>
    </x:xf>
    <x:xf numFmtId="0" fontId="17" fillId="0" borderId="1" xfId="0" applyFont="1" applyBorder="1" applyAlignment="1">
      <x:alignment horizontal="left" vertical="center"/>
    </x:xf>
    <x:xf numFmtId="0" fontId="8" fillId="4" borderId="1" xfId="0" applyFont="1" applyFill="1" applyBorder="1" applyAlignment="1">
      <x:alignment horizontal="center" vertical="center" wrapText="1"/>
    </x:xf>
    <x:xf numFmtId="10" fontId="0" fillId="0" borderId="0" xfId="1" applyNumberFormat="1" applyFont="1" applyAlignment="1"/>
    <x:xf numFmtId="0" fontId="24" fillId="8" borderId="7" xfId="0" applyFont="1" applyFill="1" applyBorder="1"/>
    <x:xf numFmtId="0" fontId="16" fillId="9" borderId="7" xfId="0" applyFont="1" applyFill="1" applyBorder="1"/>
    <x:xf numFmtId="10" fontId="16" fillId="9" borderId="7" xfId="1" applyNumberFormat="1" applyFont="1" applyFill="1" applyBorder="1" applyAlignment="1">
      <x:alignment horizontal="center" vertical="center"/>
    </x:xf>
    <x:xf numFmtId="0" fontId="16" fillId="0" borderId="7" xfId="0" applyFont="1" applyBorder="1"/>
    <x:xf numFmtId="10" fontId="16" fillId="0" borderId="7" xfId="1" applyNumberFormat="1" applyFont="1" applyBorder="1" applyAlignment="1">
      <x:alignment horizontal="center" vertical="center"/>
    </x:xf>
    <x:xf numFmtId="0" fontId="16" fillId="0" borderId="5" xfId="0" applyFont="1" applyBorder="1"/>
    <x:xf numFmtId="10" fontId="16" fillId="0" borderId="5" xfId="1" applyNumberFormat="1" applyFont="1" applyBorder="1" applyAlignment="1">
      <x:alignment horizontal="center" vertical="center"/>
    </x:xf>
    <x:xf numFmtId="0" fontId="25" fillId="9" borderId="6" xfId="0" applyFont="1" applyFill="1" applyBorder="1" applyAlignment="1">
      <x:alignment horizontal="center" vertical="center"/>
    </x:xf>
    <x:xf numFmtId="0" fontId="25" fillId="9" borderId="7" xfId="0" applyFont="1" applyFill="1" applyBorder="1"/>
    <x:xf numFmtId="0" fontId="25" fillId="9" borderId="7" xfId="0" applyFont="1" applyFill="1" applyBorder="1" applyAlignment="1">
      <x:alignment horizontal="center" vertical="center"/>
    </x:xf>
    <x:xf numFmtId="10" fontId="26" fillId="9" borderId="7" xfId="1" applyNumberFormat="1" applyFont="1" applyFill="1" applyBorder="1" applyAlignment="1">
      <x:alignment horizontal="center" vertical="center"/>
    </x:xf>
    <x:xf numFmtId="0" fontId="24" fillId="8" borderId="7" xfId="0" applyFont="1" applyFill="1" applyBorder="1" applyAlignment="1">
      <x:alignment horizontal="center" vertical="center"/>
    </x:xf>
    <x:xf numFmtId="0" fontId="16" fillId="0" borderId="7" xfId="0" applyFont="1" applyBorder="1" applyAlignment="1">
      <x:alignment horizontal="left" vertical="center"/>
    </x:xf>
    <x:xf numFmtId="0" fontId="16" fillId="9" borderId="7" xfId="0" applyFont="1" applyFill="1" applyBorder="1" applyAlignment="1">
      <x:alignment horizontal="left" vertical="center"/>
    </x:xf>
    <x:xf numFmtId="0" fontId="16" fillId="0" borderId="5" xfId="0" applyFont="1" applyBorder="1" applyAlignment="1">
      <x:alignment horizontal="left" vertical="center"/>
    </x:xf>
    <x:xf numFmtId="10" fontId="27" fillId="9" borderId="7" xfId="1" applyNumberFormat="1" applyFont="1" applyFill="1" applyBorder="1" applyAlignment="1">
      <x:alignment horizontal="center" vertical="center"/>
    </x:xf>
    <x:xf numFmtId="10" fontId="29" fillId="0" borderId="7" xfId="1" applyNumberFormat="1" applyFont="1" applyBorder="1" applyAlignment="1">
      <x:alignment horizontal="center" vertical="center"/>
    </x:xf>
    <x:xf numFmtId="14" fontId="0" fillId="10" borderId="0" xfId="0" applyNumberFormat="1" applyFill="1"/>
    <x:xf numFmtId="0" fontId="4" fillId="5" borderId="4" xfId="0" applyFont="1" applyFill="1" applyBorder="1" applyAlignment="1">
      <x:alignment horizontal="center" vertical="center" wrapText="1"/>
    </x:xf>
    <x:xf numFmtId="0" fontId="5" fillId="6" borderId="4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left" vertical="center"/>
    </x:xf>
    <x:xf numFmtId="10" fontId="6" fillId="0" borderId="4" xfId="0" applyNumberFormat="1" applyFont="1" applyBorder="1" applyAlignment="1">
      <x:alignment horizontal="center" vertical="center" wrapText="1"/>
    </x:xf>
    <x:xf numFmtId="0" fontId="10" fillId="6" borderId="4" xfId="0" applyFont="1" applyFill="1" applyBorder="1" applyAlignment="1">
      <x:alignment horizontal="center" vertical="center" wrapText="1"/>
    </x:xf>
    <x:xf numFmtId="10" fontId="5" fillId="0" borderId="4" xfId="0" applyNumberFormat="1" applyFont="1" applyBorder="1" applyAlignment="1">
      <x:alignment horizontal="center" vertical="center" wrapText="1"/>
    </x:xf>
    <x:xf numFmtId="10" fontId="0" fillId="0" borderId="0" xfId="0" applyNumberFormat="1"/>
    <x:xf numFmtId="9" fontId="25" fillId="9" borderId="7" xfId="0" applyNumberFormat="1" applyFont="1" applyFill="1" applyBorder="1" applyAlignment="1">
      <x:alignment horizontal="center" vertical="center"/>
    </x:xf>
    <x:xf numFmtId="10" fontId="24" fillId="8" borderId="15" xfId="0" applyNumberFormat="1" applyFont="1" applyFill="1" applyBorder="1" applyAlignment="1">
      <x:alignment vertical="center"/>
    </x:xf>
    <x:xf numFmtId="0" fontId="24" fillId="8" borderId="13" xfId="0" applyFont="1" applyFill="1" applyBorder="1" applyAlignment="1">
      <x:alignment vertical="center"/>
    </x:xf>
    <x:xf numFmtId="0" fontId="24" fillId="8" borderId="14" xfId="0" applyFont="1" applyFill="1" applyBorder="1" applyAlignment="1">
      <x:alignment vertical="center"/>
    </x:xf>
    <x:xf numFmtId="10" fontId="27" fillId="9" borderId="15" xfId="0" applyNumberFormat="1" applyFont="1" applyFill="1" applyBorder="1" applyAlignment="1">
      <x:alignment horizontal="center" vertical="center"/>
    </x:xf>
    <x:xf numFmtId="10" fontId="25" fillId="9" borderId="13" xfId="0" applyNumberFormat="1" applyFont="1" applyFill="1" applyBorder="1" applyAlignment="1">
      <x:alignment horizontal="center" vertical="center"/>
    </x:xf>
    <x:xf numFmtId="2" fontId="25" fillId="9" borderId="14" xfId="0" applyNumberFormat="1" applyFont="1" applyFill="1" applyBorder="1" applyAlignment="1">
      <x:alignment horizontal="center" vertical="center"/>
    </x:xf>
    <x:xf numFmtId="10" fontId="28" fillId="0" borderId="15" xfId="1" applyNumberFormat="1" applyFont="1" applyBorder="1" applyAlignment="1">
      <x:alignment horizontal="center" vertical="center"/>
    </x:xf>
    <x:xf numFmtId="10" fontId="16" fillId="0" borderId="13" xfId="0" applyNumberFormat="1" applyFont="1" applyBorder="1" applyAlignment="1">
      <x:alignment horizontal="center" vertical="center"/>
    </x:xf>
    <x:xf numFmtId="2" fontId="16" fillId="0" borderId="14" xfId="0" applyNumberFormat="1" applyFont="1" applyBorder="1" applyAlignment="1">
      <x:alignment horizontal="center" vertical="center"/>
    </x:xf>
    <x:xf numFmtId="10" fontId="28" fillId="9" borderId="15" xfId="1" applyNumberFormat="1" applyFont="1" applyFill="1" applyBorder="1" applyAlignment="1">
      <x:alignment horizontal="center" vertical="center"/>
    </x:xf>
    <x:xf numFmtId="10" fontId="16" fillId="9" borderId="13" xfId="0" applyNumberFormat="1" applyFont="1" applyFill="1" applyBorder="1" applyAlignment="1">
      <x:alignment horizontal="center" vertical="center"/>
    </x:xf>
    <x:xf numFmtId="2" fontId="16" fillId="9" borderId="14" xfId="0" applyNumberFormat="1" applyFont="1" applyFill="1" applyBorder="1" applyAlignment="1">
      <x:alignment horizontal="center" vertical="center"/>
    </x:xf>
    <x:xf numFmtId="10" fontId="28" fillId="0" borderId="18" xfId="1" applyNumberFormat="1" applyFont="1" applyBorder="1" applyAlignment="1">
      <x:alignment horizontal="center" vertical="center"/>
    </x:xf>
    <x:xf numFmtId="10" fontId="16" fillId="0" borderId="16" xfId="0" applyNumberFormat="1" applyFont="1" applyBorder="1" applyAlignment="1">
      <x:alignment horizontal="center" vertical="center"/>
    </x:xf>
    <x:xf numFmtId="2" fontId="16" fillId="0" borderId="17" xfId="0" applyNumberFormat="1" applyFont="1" applyBorder="1" applyAlignment="1">
      <x:alignment horizontal="center" vertical="center"/>
    </x:xf>
    <x:xf numFmtId="0" fontId="31" fillId="0" borderId="0" xfId="0" applyFont="1"/>
    <x:xf numFmtId="0" fontId="32" fillId="0" borderId="0" xfId="0" applyFont="1" applyAlignment="1">
      <x:alignment horizontal="right"/>
    </x:xf>
    <x:xf numFmtId="0" fontId="34" fillId="12" borderId="19" xfId="0" applyFont="1" applyFill="1" applyBorder="1" applyAlignment="1">
      <x:alignment horizontal="center" vertical="center"/>
    </x:xf>
    <x:xf numFmtId="0" fontId="34" fillId="12" borderId="20" xfId="0" applyFont="1" applyFill="1" applyBorder="1" applyAlignment="1">
      <x:alignment horizontal="center" vertical="center"/>
    </x:xf>
    <x:xf numFmtId="0" fontId="34" fillId="12" borderId="21" xfId="0" applyFont="1" applyFill="1" applyBorder="1" applyAlignment="1">
      <x:alignment horizontal="center" vertical="center"/>
    </x:xf>
    <x:xf numFmtId="0" fontId="24" fillId="8" borderId="6" xfId="0" applyFont="1" applyFill="1" applyBorder="1" applyAlignment="1">
      <x:alignment horizontal="center" vertical="center"/>
    </x:xf>
    <x:xf numFmtId="0" fontId="34" fillId="12" borderId="20" xfId="0" applyFont="1" applyFill="1" applyBorder="1" applyAlignment="1">
      <x:alignment horizontal="center" vertical="center" wrapText="1"/>
    </x:xf>
    <x:xf numFmtId="10" fontId="35" fillId="13" borderId="22" xfId="0" applyNumberFormat="1" applyFont="1" applyFill="1" applyBorder="1" applyAlignment="1">
      <x:alignment horizontal="center" vertical="center"/>
    </x:xf>
    <x:xf numFmtId="0" fontId="36" fillId="13" borderId="22" xfId="0" applyFont="1" applyFill="1" applyBorder="1" applyAlignment="1">
      <x:alignment horizontal="center" vertical="center"/>
    </x:xf>
    <x:xf numFmtId="10" fontId="37" fillId="13" borderId="22" xfId="0" applyNumberFormat="1" applyFont="1" applyFill="1" applyBorder="1" applyAlignment="1">
      <x:alignment horizontal="center" vertical="center"/>
    </x:xf>
    <x:xf numFmtId="2" fontId="35" fillId="13" borderId="22" xfId="0" applyNumberFormat="1" applyFont="1" applyFill="1" applyBorder="1" applyAlignment="1">
      <x:alignment horizontal="center" vertical="center"/>
    </x:xf>
    <x:xf numFmtId="10" fontId="36" fillId="13" borderId="22" xfId="0" applyNumberFormat="1" applyFont="1" applyFill="1" applyBorder="1" applyAlignment="1">
      <x:alignment horizontal="center" vertical="center"/>
    </x:xf>
    <x:xf numFmtId="10" fontId="36" fillId="0" borderId="22" xfId="0" applyNumberFormat="1" applyFont="1" applyBorder="1" applyAlignment="1">
      <x:alignment horizontal="center" vertical="center"/>
    </x:xf>
    <x:xf numFmtId="0" fontId="36" fillId="0" borderId="22" xfId="0" applyFont="1" applyBorder="1" applyAlignment="1">
      <x:alignment horizontal="center" vertical="center"/>
    </x:xf>
    <x:xf numFmtId="10" fontId="38" fillId="0" borderId="22" xfId="0" applyNumberFormat="1" applyFont="1" applyBorder="1" applyAlignment="1">
      <x:alignment horizontal="center" vertical="center"/>
    </x:xf>
    <x:xf numFmtId="10" fontId="36" fillId="13" borderId="20" xfId="0" applyNumberFormat="1" applyFont="1" applyFill="1" applyBorder="1" applyAlignment="1">
      <x:alignment horizontal="center" vertical="center"/>
    </x:xf>
    <x:xf numFmtId="0" fontId="36" fillId="13" borderId="20" xfId="0" applyFont="1" applyFill="1" applyBorder="1" applyAlignment="1">
      <x:alignment horizontal="center" vertical="center"/>
    </x:xf>
    <x:xf numFmtId="10" fontId="38" fillId="13" borderId="20" xfId="0" applyNumberFormat="1" applyFont="1" applyFill="1" applyBorder="1" applyAlignment="1">
      <x:alignment horizontal="center" vertical="center"/>
    </x:xf>
    <x:xf numFmtId="10" fontId="29" fillId="13" borderId="22" xfId="0" applyNumberFormat="1" applyFont="1" applyFill="1" applyBorder="1" applyAlignment="1">
      <x:alignment horizontal="center" vertical="center"/>
    </x:xf>
    <x:xf numFmtId="2" fontId="29" fillId="13" borderId="22" xfId="0" applyNumberFormat="1" applyFont="1" applyFill="1" applyBorder="1" applyAlignment="1">
      <x:alignment horizontal="center" vertical="center"/>
    </x:xf>
    <x:xf numFmtId="10" fontId="29" fillId="0" borderId="22" xfId="0" applyNumberFormat="1" applyFont="1" applyBorder="1" applyAlignment="1">
      <x:alignment horizontal="center" vertical="center"/>
    </x:xf>
    <x:xf numFmtId="2" fontId="29" fillId="0" borderId="22" xfId="0" applyNumberFormat="1" applyFont="1" applyBorder="1" applyAlignment="1">
      <x:alignment horizontal="center" vertical="center"/>
    </x:xf>
    <x:xf numFmtId="10" fontId="29" fillId="13" borderId="20" xfId="0" applyNumberFormat="1" applyFont="1" applyFill="1" applyBorder="1" applyAlignment="1">
      <x:alignment horizontal="center" vertical="center"/>
    </x:xf>
    <x:xf numFmtId="2" fontId="29" fillId="13" borderId="20" xfId="0" applyNumberFormat="1" applyFont="1" applyFill="1" applyBorder="1" applyAlignment="1">
      <x:alignment horizontal="center" vertical="center"/>
    </x:xf>
    <x:xf numFmtId="10" fontId="27" fillId="13" borderId="22" xfId="0" applyNumberFormat="1" applyFont="1" applyFill="1" applyBorder="1" applyAlignment="1">
      <x:alignment horizontal="center" vertical="center"/>
    </x:xf>
    <x:xf numFmtId="14" fontId="0" fillId="0" borderId="0" xfId="0" applyNumberFormat="1"/>
    <x:xf numFmtId="0" fontId="16" fillId="0" borderId="22" xfId="0" applyFont="1" applyBorder="1" applyAlignment="1">
      <x:alignment horizontal="center" vertical="center"/>
    </x:xf>
    <x:xf numFmtId="0" fontId="0" fillId="0" borderId="0" xfId="0"/>
    <x:xf numFmtId="0" fontId="11" fillId="4" borderId="4" xfId="0" applyFont="1" applyFill="1" applyBorder="1" applyAlignment="1">
      <x:alignment horizontal="center" vertical="center" wrapText="1"/>
    </x:xf>
    <x:xf numFmtId="0" fontId="2" fillId="0" borderId="0" xfId="0" applyFont="1"/>
    <x:xf numFmtId="0" fontId="8" fillId="4" borderId="4" xfId="0" applyFont="1" applyFill="1" applyBorder="1" applyAlignment="1">
      <x:alignment horizontal="center" vertical="center" wrapText="1"/>
    </x:xf>
    <x:xf numFmtId="176" fontId="4" fillId="6" borderId="1" xfId="0" applyNumberFormat="1" applyFont="1" applyFill="1" applyBorder="1" applyAlignment="1">
      <x:alignment horizontal="center" vertical="center" wrapText="1"/>
    </x:xf>
    <x:xf numFmtId="176" fontId="22" fillId="7" borderId="4" xfId="0" applyNumberFormat="1" applyFont="1" applyFill="1" applyBorder="1" applyAlignment="1">
      <x:alignment horizontal="center" vertical="center"/>
    </x:xf>
    <x:xf numFmtId="177" fontId="6" fillId="6" borderId="1" xfId="0" applyNumberFormat="1" applyFont="1" applyFill="1" applyBorder="1" applyAlignment="1">
      <x:alignment horizontal="center" vertical="center" wrapText="1"/>
    </x:xf>
    <x:xf numFmtId="178" fontId="5" fillId="0" borderId="1" xfId="0" applyNumberFormat="1" applyFont="1" applyBorder="1" applyAlignment="1">
      <x:alignment horizontal="center" vertical="center" wrapText="1"/>
    </x:xf>
    <x:xf numFmtId="177" fontId="5" fillId="6" borderId="1" xfId="0" applyNumberFormat="1" applyFont="1" applyFill="1" applyBorder="1" applyAlignment="1">
      <x:alignment horizontal="center" vertical="center" wrapText="1"/>
    </x:xf>
    <x:xf numFmtId="177" fontId="0" fillId="0" borderId="0" xfId="0" applyNumberFormat="1"/>
    <x:xf numFmtId="177" fontId="2" fillId="0" borderId="0" xfId="0" applyNumberFormat="1" applyFont="1"/>
    <x:xf numFmtId="177" fontId="10" fillId="6" borderId="1" xfId="0" applyNumberFormat="1" applyFont="1" applyFill="1" applyBorder="1" applyAlignment="1">
      <x:alignment horizontal="center" vertical="center" wrapText="1"/>
    </x:xf>
    <x:xf numFmtId="178" fontId="20" fillId="0" borderId="1" xfId="0" applyNumberFormat="1" applyFont="1" applyBorder="1" applyAlignment="1">
      <x:alignment horizontal="center" vertical="center" wrapText="1"/>
    </x:xf>
    <x:xf numFmtId="176" fontId="18" fillId="0" borderId="1" xfId="0" applyNumberFormat="1" applyFont="1" applyBorder="1" applyAlignment="1">
      <x:alignment horizontal="center" vertical="center" wrapText="1"/>
    </x:xf>
    <x:xf numFmtId="176" fontId="6" fillId="2" borderId="1" xfId="0" applyNumberFormat="1" applyFont="1" applyFill="1" applyBorder="1"/>
    <x:xf numFmtId="176" fontId="4" fillId="6" borderId="4" xfId="0" applyNumberFormat="1" applyFont="1" applyFill="1" applyBorder="1" applyAlignment="1">
      <x:alignment horizontal="center" vertical="center" wrapText="1"/>
    </x:xf>
    <x:xf numFmtId="177" fontId="6" fillId="6" borderId="4" xfId="0" applyNumberFormat="1" applyFont="1" applyFill="1" applyBorder="1" applyAlignment="1">
      <x:alignment horizontal="center" vertical="center" wrapText="1"/>
    </x:xf>
    <x:xf numFmtId="178" fontId="5" fillId="0" borderId="4" xfId="0" applyNumberFormat="1" applyFont="1" applyBorder="1" applyAlignment="1">
      <x:alignment horizontal="center" vertical="center" wrapText="1"/>
    </x:xf>
    <x:xf numFmtId="177" fontId="10" fillId="6" borderId="4" xfId="0" applyNumberFormat="1" applyFont="1" applyFill="1" applyBorder="1" applyAlignment="1">
      <x:alignment horizontal="center" vertical="center" wrapText="1"/>
    </x:xf>
    <x:xf numFmtId="179" fontId="0" fillId="0" borderId="0" xfId="0" applyNumberFormat="1"/>
    <x:xf numFmtId="180" fontId="35" fillId="13" borderId="22" xfId="0" applyNumberFormat="1" applyFont="1" applyFill="1" applyBorder="1" applyAlignment="1">
      <x:alignment horizontal="center" vertical="center"/>
    </x:xf>
    <x:xf numFmtId="180" fontId="29" fillId="0" borderId="22" xfId="0" applyNumberFormat="1" applyFont="1" applyBorder="1" applyAlignment="1">
      <x:alignment horizontal="center" vertical="center"/>
    </x:xf>
    <x:xf numFmtId="180" fontId="29" fillId="13" borderId="22" xfId="0" applyNumberFormat="1" applyFont="1" applyFill="1" applyBorder="1" applyAlignment="1">
      <x:alignment horizontal="center" vertical="center"/>
    </x:xf>
    <x:xf numFmtId="180" fontId="29" fillId="13" borderId="20" xfId="0" applyNumberFormat="1" applyFont="1" applyFill="1" applyBorder="1" applyAlignment="1">
      <x:alignment horizontal="center" vertical="center"/>
    </x:xf>
    <x:xf numFmtId="0" fontId="25" fillId="13" borderId="22" xfId="0" applyFont="1" applyFill="1" applyBorder="1" applyAlignment="1">
      <x:alignment horizontal="center" vertical="center"/>
    </x:xf>
    <x:xf numFmtId="180" fontId="25" fillId="9" borderId="13" xfId="0" applyNumberFormat="1" applyFont="1" applyFill="1" applyBorder="1" applyAlignment="1">
      <x:alignment horizontal="center" vertical="center"/>
    </x:xf>
    <x:xf numFmtId="180" fontId="16" fillId="0" borderId="13" xfId="0" applyNumberFormat="1" applyFont="1" applyBorder="1" applyAlignment="1">
      <x:alignment horizontal="center" vertical="center"/>
    </x:xf>
    <x:xf numFmtId="180" fontId="16" fillId="9" borderId="13" xfId="0" applyNumberFormat="1" applyFont="1" applyFill="1" applyBorder="1" applyAlignment="1">
      <x:alignment horizontal="center" vertical="center"/>
    </x:xf>
    <x:xf numFmtId="180" fontId="16" fillId="0" borderId="16" xfId="0" applyNumberFormat="1" applyFont="1" applyBorder="1" applyAlignment="1">
      <x:alignment horizontal="center" vertical="center"/>
    </x:xf>
    <x:xf numFmtId="10" fontId="25" fillId="13" borderId="23" xfId="0" applyNumberFormat="1" applyFont="1" applyFill="1" applyBorder="1" applyAlignment="1">
      <x:alignment horizontal="center" vertical="center"/>
    </x:xf>
    <x:xf numFmtId="0" fontId="25" fillId="13" borderId="24" xfId="0" applyFont="1" applyFill="1" applyBorder="1" applyAlignment="1">
      <x:alignment horizontal="center" vertical="center"/>
    </x:xf>
    <x:xf numFmtId="0" fontId="0" fillId="0" borderId="0" xfId="0"/>
    <x:xf numFmtId="0" fontId="0" fillId="0" borderId="0" xfId="0"/>
    <x:xf numFmtId="0" fontId="0" fillId="0" borderId="0" xfId="0" applyNumberFormat="1"/>
    <x:xf numFmtId="177" fontId="0" fillId="0" borderId="0" xfId="0" applyNumberFormat="1" applyAlignment="1">
      <x:alignment horizontal="right"/>
    </x:xf>
    <x:xf numFmtId="0" fontId="24" fillId="8" borderId="0" xfId="0" applyFont="1" applyFill="1" applyBorder="1" applyAlignment="1">
      <x:alignment vertical="center"/>
    </x:xf>
    <x:xf numFmtId="0" fontId="39" fillId="12" borderId="20" xfId="0" applyFont="1" applyFill="1" applyBorder="1" applyAlignment="1">
      <x:alignment horizontal="center" vertical="center"/>
    </x:xf>
    <x:xf numFmtId="0" fontId="16" fillId="13" borderId="20" xfId="0" applyFont="1" applyFill="1" applyBorder="1" applyAlignment="1">
      <x:alignment horizontal="center" vertical="center"/>
    </x:xf>
    <x:xf numFmtId="14" fontId="34" fillId="12" borderId="20" xfId="0" applyNumberFormat="1" applyFont="1" applyFill="1" applyBorder="1" applyAlignment="1">
      <x:alignment horizontal="center" vertical="center"/>
    </x:xf>
    <x:xf numFmtId="0" fontId="23" fillId="0" borderId="0" xfId="1" applyNumberFormat="1">
      <x:alignment vertical="center"/>
    </x:xf>
    <x:xf numFmtId="14" fontId="24" fillId="8" borderId="15" xfId="0" applyNumberFormat="1" applyFont="1" applyFill="1" applyBorder="1" applyAlignment="1">
      <x:alignment horizontal="center" vertical="center"/>
    </x:xf>
    <x:xf numFmtId="0" fontId="0" fillId="0" borderId="0" xfId="0"/>
    <x:xf numFmtId="0" fontId="0" fillId="0" borderId="0" xfId="0"/>
    <x:xf numFmtId="10" fontId="42" fillId="13" borderId="22" xfId="0" applyNumberFormat="1" applyFont="1" applyFill="1" applyBorder="1" applyAlignment="1">
      <x:alignment horizontal="center" vertical="center"/>
    </x:xf>
    <x:xf numFmtId="14" fontId="33" fillId="11" borderId="0" xfId="0" applyNumberFormat="1" applyFont="1" applyFill="1"/>
    <x:xf numFmtId="0" fontId="0" fillId="0" borderId="0" xfId="0" applyAlignment="1">
      <x:alignment horizontal="left"/>
    </x:xf>
    <x:xf numFmtId="0" fontId="0" fillId="0" borderId="0" xfId="0" applyAlignment="1">
      <x:alignment horizontal="left" vertical="top"/>
    </x:xf>
    <x:xf numFmtId="14" fontId="23" fillId="0" borderId="0" xfId="1" applyNumberFormat="1">
      <x:alignment vertical="center"/>
    </x:xf>
    <x:xf numFmtId="0" fontId="0" fillId="0" borderId="0" xfId="0"/>
    <x:xf numFmtId="0" fontId="7" fillId="3" borderId="0" xfId="0" applyFont="1" applyFill="1"/>
    <x:xf numFmtId="0" fontId="0" fillId="0" borderId="0" xfId="0"/>
    <x:xf numFmtId="0" fontId="11" fillId="4" borderId="4" xfId="0" applyFont="1" applyFill="1" applyBorder="1" applyAlignment="1">
      <x:alignment horizontal="center" vertical="center" wrapText="1"/>
    </x:xf>
    <x:xf numFmtId="0" fontId="0" fillId="0" borderId="2" xfId="0" applyBorder="1"/>
    <x:xf numFmtId="0" fontId="0" fillId="0" borderId="3" xfId="0" applyBorder="1"/>
    <x:xf numFmtId="0" fontId="11" fillId="4" borderId="0" xfId="0" applyFont="1" applyFill="1" applyAlignment="1">
      <x:alignment horizontal="left" vertical="center"/>
    </x:xf>
    <x:xf numFmtId="0" fontId="4" fillId="0" borderId="0" xfId="0" applyFont="1" applyAlignment="1">
      <x:alignment horizontal="right"/>
    </x:xf>
    <x:xf numFmtId="0" fontId="17" fillId="0" borderId="4" xfId="0" applyFont="1" applyBorder="1" applyAlignment="1">
      <x:alignment horizontal="left" vertical="center"/>
    </x:xf>
    <x:xf numFmtId="0" fontId="12" fillId="3" borderId="0" xfId="0" applyFont="1" applyFill="1" applyAlignment="1">
      <x:alignment horizontal="center" vertical="center" wrapText="1"/>
    </x:xf>
    <x:xf numFmtId="0" fontId="2" fillId="0" borderId="0" xfId="0" applyFont="1"/>
    <x:xf numFmtId="0" fontId="8" fillId="4" borderId="4" xfId="0" applyFont="1" applyFill="1" applyBorder="1" applyAlignment="1">
      <x:alignment horizontal="center" vertical="center" wrapText="1"/>
    </x:xf>
    <x:xf numFmtId="0" fontId="15" fillId="0" borderId="0" xfId="0" applyFont="1" applyAlignment="1">
      <x:alignment vertical="center" wrapText="1"/>
    </x:xf>
    <x:xf numFmtId="0" fontId="16" fillId="0" borderId="8" xfId="0" applyFont="1" applyBorder="1" applyAlignment="1">
      <x:alignment horizontal="center" vertical="center" wrapText="1"/>
    </x:xf>
    <x:xf numFmtId="0" fontId="0" fillId="0" borderId="8" xfId="0" applyBorder="1"/>
    <x:xf numFmtId="0" fontId="16" fillId="0" borderId="12" xfId="0" applyFont="1" applyBorder="1" applyAlignment="1">
      <x:alignment horizontal="center" vertical="center" wrapText="1"/>
    </x:xf>
    <x:xf numFmtId="0" fontId="0" fillId="0" borderId="9" xfId="0" applyBorder="1"/>
    <x:xf numFmtId="0" fontId="16" fillId="0" borderId="15" xfId="0" applyFont="1" applyBorder="1" applyAlignment="1">
      <x:alignment horizontal="center" vertical="center" wrapText="1"/>
    </x:xf>
    <x:xf numFmtId="0" fontId="30" fillId="0" borderId="18" xfId="0" applyFont="1" applyBorder="1" applyAlignment="1">
      <x:alignment horizontal="center" vertical="center" wrapText="1"/>
    </x:xf>
    <x:xf numFmtId="0" fontId="0" fillId="0" borderId="11" xfId="0" applyBorder="1"/>
    <x:xf numFmtId="0" fontId="33" fillId="0" borderId="22" xfId="0" applyFont="1" applyBorder="1" applyAlignment="1">
      <x:alignment horizontal="left" vertical="top" wrapText="1"/>
    </x:xf>
    <x:xf numFmtId="0" fontId="0" fillId="0" borderId="22" xfId="0" applyBorder="1" applyAlignment="1">
      <x:alignment wrapText="1"/>
    </x:xf>
    <x:xf numFmtId="0" fontId="0" fillId="0" borderId="0" xfId="0" applyAlignment="1">
      <x:alignment wrapText="1"/>
    </x:xf>
    <x:xf numFmtId="0" fontId="33" fillId="0" borderId="0" xfId="0" applyFont="1" applyBorder="1" applyAlignment="1">
      <x:alignment horizontal="left" vertical="top" wrapText="1"/>
    </x:xf>
    <x:xf numFmtId="0" fontId="16" fillId="0" borderId="0" xfId="0" applyFont="1" applyBorder="1" applyAlignment="1">
      <x:alignment horizontal="center" vertical="center"/>
    </x:xf>
    <x:xf numFmtId="0" fontId="16" fillId="0" borderId="25" xfId="0" applyFont="1" applyBorder="1" applyAlignment="1">
      <x:alignment horizontal="center" vertical="center"/>
    </x:xf>
    <x:xf numFmtId="0" fontId="7" fillId="3" borderId="10" xfId="0" applyFont="1" applyFill="1" applyBorder="1" applyAlignment="1">
      <x:alignment horizontal="center"/>
    </x:xf>
    <x:xf numFmtId="0" fontId="0" fillId="0" borderId="10" xfId="0" applyBorder="1"/>
    <x:xf numFmtId="0" fontId="7" fillId="3" borderId="0" xfId="0" applyFont="1" applyFill="1" applyAlignment="1">
      <x:alignment horizontal="center"/>
    </x:xf>
    <x:xf numFmtId="0" fontId="7" fillId="3" borderId="0" xfId="0" applyFont="1" applyFill="1" applyAlignment="1">
      <x:alignment horizontal="center" vertical="center"/>
    </x:xf>
    <x:xf numFmtId="10" fontId="26" fillId="13" borderId="22" xfId="0" applyNumberFormat="1" applyFont="1" applyFill="1" applyBorder="1" applyAlignment="1">
      <x:alignment horizontal="center" vertical="center"/>
    </x:xf>
    <x:xf numFmtId="0" fontId="0" fillId="0" borderId="0" xfId="0" applyNumberFormat="1" applyAlignment="1">
      <x:alignment horizontal="left"/>
    </x:xf>
    <x:xf numFmtId="0" fontId="40" fillId="0" borderId="0" xfId="2" applyNumberFormat="1" applyAlignment="1">
      <x:alignment horizontal="left"/>
    </x:xf>
    <x:xf numFmtId="0" fontId="39" fillId="12" borderId="0" xfId="0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34" fillId="14" borderId="0" xfId="0" applyNumberFormat="1" applyFont="1" applyFill="1" applyBorder="1"/>
    <x:xf numFmtId="0" fontId="34" fillId="14" borderId="0" xfId="0" applyNumberFormat="1" applyFont="1" applyFill="1" applyBorder="1" applyAlignment="1">
      <x:alignment horizontal="center"/>
    </x:xf>
    <x:xf numFmtId="0" fontId="34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43" fillId="15" borderId="0" xfId="0" applyNumberFormat="1" applyFont="1" applyFill="1" applyBorder="1"/>
    <x:xf numFmtId="0" fontId="43" fillId="15" borderId="0" xfId="0" applyNumberFormat="1" applyFont="1" applyFill="1" applyBorder="1" applyAlignment="1">
      <x:alignment horizontal="left"/>
    </x:xf>
    <x:xf numFmtId="0" fontId="16" fillId="0" borderId="0" xfId="0" applyNumberFormat="1" applyFont="1" applyFill="1" applyBorder="1"/>
    <x:xf numFmtId="0" fontId="16" fillId="0" borderId="26" xfId="0" applyNumberFormat="1" applyFont="1" applyFill="1" applyBorder="1"/>
    <x:xf numFmtId="0" fontId="16" fillId="0" borderId="27" xfId="0" applyNumberFormat="1" applyFont="1" applyFill="1" applyBorder="1"/>
    <x:xf numFmtId="0" fontId="16" fillId="0" borderId="28" xfId="0" applyNumberFormat="1" applyFont="1" applyFill="1" applyBorder="1"/>
    <x:xf numFmtId="0" fontId="16" fillId="0" borderId="29" xfId="0" applyNumberFormat="1" applyFont="1" applyFill="1" applyBorder="1"/>
    <x:xf numFmtId="0" fontId="16" fillId="0" borderId="30" xfId="0" applyNumberFormat="1" applyFont="1" applyFill="1" applyBorder="1"/>
    <x:xf numFmtId="0" fontId="16" fillId="0" borderId="31" xfId="0" applyNumberFormat="1" applyFont="1" applyFill="1" applyBorder="1"/>
    <x:xf numFmtId="0" fontId="16" fillId="0" borderId="32" xfId="0" applyNumberFormat="1" applyFont="1" applyFill="1" applyBorder="1"/>
    <x:xf numFmtId="0" fontId="16" fillId="0" borderId="33" xfId="0" applyNumberFormat="1" applyFont="1" applyFill="1" applyBorder="1"/>
    <x:xf numFmtId="0" fontId="16" fillId="0" borderId="34" xfId="0" applyNumberFormat="1" applyFont="1" applyFill="1" applyBorder="1"/>
    <x:xf numFmtId="0" fontId="16" fillId="0" borderId="26" xfId="0" applyNumberFormat="1" applyFont="1" applyFill="1" applyBorder="1" applyAlignment="1">
      <x:alignment vertical="center"/>
    </x:xf>
    <x:xf numFmtId="0" fontId="16" fillId="0" borderId="27" xfId="0" applyNumberFormat="1" applyFont="1" applyFill="1" applyBorder="1" applyAlignment="1">
      <x:alignment vertical="center"/>
    </x:xf>
    <x:xf numFmtId="0" fontId="16" fillId="0" borderId="28" xfId="0" applyNumberFormat="1" applyFont="1" applyFill="1" applyBorder="1" applyAlignment="1">
      <x:alignment vertical="center"/>
    </x:xf>
    <x:xf numFmtId="0" fontId="16" fillId="0" borderId="29" xfId="0" applyNumberFormat="1" applyFont="1" applyFill="1" applyBorder="1" applyAlignment="1">
      <x:alignment vertical="center"/>
    </x:xf>
    <x:xf numFmtId="0" fontId="16" fillId="0" borderId="30" xfId="0" applyNumberFormat="1" applyFont="1" applyFill="1" applyBorder="1" applyAlignment="1">
      <x:alignment vertical="center"/>
    </x:xf>
    <x:xf numFmtId="0" fontId="16" fillId="0" borderId="31" xfId="0" applyNumberFormat="1" applyFont="1" applyFill="1" applyBorder="1" applyAlignment="1">
      <x:alignment vertical="center"/>
    </x:xf>
    <x:xf numFmtId="0" fontId="16" fillId="0" borderId="32" xfId="0" applyNumberFormat="1" applyFont="1" applyFill="1" applyBorder="1" applyAlignment="1">
      <x:alignment vertical="center"/>
    </x:xf>
    <x:xf numFmtId="0" fontId="16" fillId="0" borderId="33" xfId="0" applyNumberFormat="1" applyFont="1" applyFill="1" applyBorder="1" applyAlignment="1">
      <x:alignment vertical="center"/>
    </x:xf>
    <x:xf numFmtId="0" fontId="16" fillId="0" borderId="34" xfId="0" applyNumberFormat="1" applyFont="1" applyFill="1" applyBorder="1" applyAlignment="1">
      <x:alignment vertical="center"/>
    </x:xf>
    <x:xf numFmtId="0" fontId="16" fillId="16" borderId="26" xfId="0" applyNumberFormat="1" applyFont="1" applyFill="1" applyBorder="1" applyAlignment="1">
      <x:alignment vertical="center"/>
    </x:xf>
    <x:xf numFmtId="0" fontId="16" fillId="16" borderId="29" xfId="0" applyNumberFormat="1" applyFont="1" applyFill="1" applyBorder="1" applyAlignment="1">
      <x:alignment vertical="center"/>
    </x:xf>
    <x:xf numFmtId="0" fontId="16" fillId="16" borderId="32" xfId="0" applyNumberFormat="1" applyFont="1" applyFill="1" applyBorder="1" applyAlignment="1">
      <x:alignment vertical="center"/>
    </x:xf>
    <x:xf numFmtId="0" fontId="16" fillId="16" borderId="27" xfId="0" applyNumberFormat="1" applyFont="1" applyFill="1" applyBorder="1" applyAlignment="1">
      <x:alignment vertical="center"/>
    </x:xf>
    <x:xf numFmtId="0" fontId="16" fillId="16" borderId="30" xfId="0" applyNumberFormat="1" applyFont="1" applyFill="1" applyBorder="1" applyAlignment="1">
      <x:alignment vertical="center"/>
    </x:xf>
    <x:xf numFmtId="0" fontId="16" fillId="16" borderId="33" xfId="0" applyNumberFormat="1" applyFont="1" applyFill="1" applyBorder="1" applyAlignment="1">
      <x:alignment vertical="center"/>
    </x:xf>
    <x:xf numFmtId="0" fontId="44" fillId="16" borderId="26" xfId="0" applyNumberFormat="1" applyFont="1" applyFill="1" applyBorder="1" applyAlignment="1">
      <x:alignment vertical="center"/>
    </x:xf>
    <x:xf numFmtId="0" fontId="44" fillId="16" borderId="29" xfId="0" applyNumberFormat="1" applyFont="1" applyFill="1" applyBorder="1" applyAlignment="1">
      <x:alignment vertical="center"/>
    </x:xf>
    <x:xf numFmtId="0" fontId="44" fillId="16" borderId="32" xfId="0" applyNumberFormat="1" applyFont="1" applyFill="1" applyBorder="1" applyAlignment="1">
      <x:alignment vertical="center"/>
    </x:xf>
    <x:xf numFmtId="0" fontId="44" fillId="16" borderId="27" xfId="0" applyNumberFormat="1" applyFont="1" applyFill="1" applyBorder="1" applyAlignment="1">
      <x:alignment vertical="center"/>
    </x:xf>
    <x:xf numFmtId="0" fontId="44" fillId="16" borderId="30" xfId="0" applyNumberFormat="1" applyFont="1" applyFill="1" applyBorder="1" applyAlignment="1">
      <x:alignment vertical="center"/>
    </x:xf>
    <x:xf numFmtId="0" fontId="44" fillId="16" borderId="33" xfId="0" applyNumberFormat="1" applyFont="1" applyFill="1" applyBorder="1" applyAlignment="1">
      <x:alignment vertical="center"/>
    </x:xf>
    <x:xf numFmtId="0" fontId="16" fillId="17" borderId="27" xfId="0" applyNumberFormat="1" applyFont="1" applyFill="1" applyBorder="1" applyAlignment="1">
      <x:alignment vertical="center"/>
    </x:xf>
    <x:xf numFmtId="0" fontId="45" fillId="17" borderId="27" xfId="0" applyNumberFormat="1" applyFont="1" applyFill="1" applyBorder="1" applyAlignment="1">
      <x:alignment vertical="center"/>
    </x:xf>
    <x:xf numFmtId="200" fontId="45" fillId="17" borderId="27" xfId="0" applyNumberFormat="1" applyFont="1" applyFill="1" applyBorder="1" applyAlignment="1">
      <x:alignment vertical="center"/>
    </x:xf>
    <x:xf numFmtId="200" fontId="45" fillId="17" borderId="27" xfId="0" applyNumberFormat="1" applyFont="1" applyFill="1" applyBorder="1" applyAlignment="1">
      <x:alignment horizontal="center" vertical="center"/>
    </x:xf>
    <x:xf numFmtId="0" fontId="16" fillId="17" borderId="30" xfId="0" applyNumberFormat="1" applyFont="1" applyFill="1" applyBorder="1" applyAlignment="1">
      <x:alignment vertical="center"/>
    </x:xf>
    <x:xf numFmtId="0" fontId="45" fillId="17" borderId="30" xfId="0" applyNumberFormat="1" applyFont="1" applyFill="1" applyBorder="1" applyAlignment="1">
      <x:alignment vertical="center"/>
    </x:xf>
    <x:xf numFmtId="200" fontId="45" fillId="17" borderId="30" xfId="0" applyNumberFormat="1" applyFont="1" applyFill="1" applyBorder="1" applyAlignment="1">
      <x:alignment vertical="center"/>
    </x:xf>
    <x:xf numFmtId="200" fontId="45" fillId="17" borderId="30" xfId="0" applyNumberFormat="1" applyFont="1" applyFill="1" applyBorder="1" applyAlignment="1">
      <x:alignment horizontal="center" vertical="center"/>
    </x:xf>
    <x:xf numFmtId="0" fontId="16" fillId="17" borderId="33" xfId="0" applyNumberFormat="1" applyFont="1" applyFill="1" applyBorder="1" applyAlignment="1">
      <x:alignment vertical="center"/>
    </x:xf>
    <x:xf numFmtId="0" fontId="45" fillId="17" borderId="33" xfId="0" applyNumberFormat="1" applyFont="1" applyFill="1" applyBorder="1" applyAlignment="1">
      <x:alignment vertical="center"/>
    </x:xf>
    <x:xf numFmtId="200" fontId="45" fillId="17" borderId="33" xfId="0" applyNumberFormat="1" applyFont="1" applyFill="1" applyBorder="1" applyAlignment="1">
      <x:alignment vertical="center"/>
    </x:xf>
    <x:xf numFmtId="200" fontId="45" fillId="17" borderId="33" xfId="0" applyNumberFormat="1" applyFont="1" applyFill="1" applyBorder="1" applyAlignment="1">
      <x:alignment horizontal="center" vertical="center"/>
    </x:xf>
    <x:xf numFmtId="0" fontId="16" fillId="18" borderId="27" xfId="0" applyNumberFormat="1" applyFont="1" applyFill="1" applyBorder="1" applyAlignment="1">
      <x:alignment vertical="center"/>
    </x:xf>
    <x:xf numFmtId="0" fontId="16" fillId="18" borderId="28" xfId="0" applyNumberFormat="1" applyFont="1" applyFill="1" applyBorder="1" applyAlignment="1">
      <x:alignment vertical="center"/>
    </x:xf>
    <x:xf numFmtId="0" fontId="16" fillId="18" borderId="30" xfId="0" applyNumberFormat="1" applyFont="1" applyFill="1" applyBorder="1" applyAlignment="1">
      <x:alignment vertical="center"/>
    </x:xf>
    <x:xf numFmtId="0" fontId="16" fillId="18" borderId="31" xfId="0" applyNumberFormat="1" applyFont="1" applyFill="1" applyBorder="1" applyAlignment="1">
      <x:alignment vertical="center"/>
    </x:xf>
    <x:xf numFmtId="0" fontId="16" fillId="18" borderId="33" xfId="0" applyNumberFormat="1" applyFont="1" applyFill="1" applyBorder="1" applyAlignment="1">
      <x:alignment vertical="center"/>
    </x:xf>
    <x:xf numFmtId="0" fontId="16" fillId="18" borderId="34" xfId="0" applyNumberFormat="1" applyFont="1" applyFill="1" applyBorder="1" applyAlignment="1">
      <x:alignment vertical="center"/>
    </x:xf>
    <x:xf numFmtId="0" fontId="46" fillId="18" borderId="27" xfId="0" applyNumberFormat="1" applyFont="1" applyFill="1" applyBorder="1" applyAlignment="1">
      <x:alignment vertical="center"/>
    </x:xf>
    <x:xf numFmtId="0" fontId="46" fillId="18" borderId="28" xfId="0" applyNumberFormat="1" applyFont="1" applyFill="1" applyBorder="1" applyAlignment="1">
      <x:alignment vertical="center"/>
    </x:xf>
    <x:xf numFmtId="0" fontId="46" fillId="18" borderId="30" xfId="0" applyNumberFormat="1" applyFont="1" applyFill="1" applyBorder="1" applyAlignment="1">
      <x:alignment vertical="center"/>
    </x:xf>
    <x:xf numFmtId="0" fontId="46" fillId="18" borderId="31" xfId="0" applyNumberFormat="1" applyFont="1" applyFill="1" applyBorder="1" applyAlignment="1">
      <x:alignment vertical="center"/>
    </x:xf>
    <x:xf numFmtId="0" fontId="46" fillId="18" borderId="33" xfId="0" applyNumberFormat="1" applyFont="1" applyFill="1" applyBorder="1" applyAlignment="1">
      <x:alignment vertical="center"/>
    </x:xf>
    <x:xf numFmtId="0" fontId="46" fillId="18" borderId="34" xfId="0" applyNumberFormat="1" applyFont="1" applyFill="1" applyBorder="1" applyAlignment="1">
      <x:alignment vertical="center"/>
    </x:xf>
    <x:xf numFmtId="0" fontId="47" fillId="0" borderId="0" xfId="0" applyNumberFormat="1" applyFont="1" applyFill="1" applyBorder="1"/>
    <x:xf numFmtId="0" fontId="47" fillId="0" borderId="0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34" fillId="19" borderId="0" xfId="0" applyNumberFormat="1" applyFont="1" applyFill="1" applyBorder="1"/>
    <x:xf numFmtId="0" fontId="34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48" fillId="20" borderId="0" xfId="0" applyNumberFormat="1" applyFont="1" applyFill="1" applyBorder="1"/>
    <x:xf numFmtId="0" fontId="48" fillId="20" borderId="35" xfId="0" applyNumberFormat="1" applyFont="1" applyFill="1" applyBorder="1"/>
    <x:xf numFmtId="0" fontId="48" fillId="20" borderId="35" xfId="0" applyNumberFormat="1" applyFont="1" applyFill="1" applyBorder="1" applyAlignment="1">
      <x:alignment horizontal="center"/>
    </x:xf>
    <x:xf numFmtId="0" fontId="49" fillId="0" borderId="0" xfId="0" applyNumberFormat="1" applyFont="1" applyFill="1" applyBorder="1"/>
    <x:xf numFmtId="200" fontId="49" fillId="0" borderId="0" xfId="0" applyNumberFormat="1" applyFont="1" applyFill="1" applyBorder="1"/>
    <x:xf numFmtId="200" fontId="16" fillId="0" borderId="0" xfId="0" applyNumberFormat="1" applyFont="1" applyFill="1" applyBorder="1"/>
    <x:xf numFmtId="201" fontId="49" fillId="0" borderId="0" xfId="0" applyNumberFormat="1" applyFont="1" applyFill="1" applyBorder="1"/>
    <x:xf numFmtId="201" fontId="16" fillId="0" borderId="0" xfId="0" applyNumberFormat="1" applyFont="1" applyFill="1" applyBorder="1"/>
    <x:xf numFmtId="202" fontId="16" fillId="0" borderId="0" xfId="0" applyNumberFormat="1" applyFont="1" applyFill="1" applyBorder="1"/>
    <x:xf numFmtId="0" fontId="48" fillId="20" borderId="36" xfId="0" applyNumberFormat="1" applyFont="1" applyFill="1" applyBorder="1" applyAlignment="1">
      <x:alignment horizontal="center"/>
    </x:xf>
    <x:xf numFmtId="0" fontId="48" fillId="20" borderId="37" xfId="0" applyNumberFormat="1" applyFont="1" applyFill="1" applyBorder="1" applyAlignment="1">
      <x:alignment horizontal="center"/>
    </x:xf>
    <x:xf numFmtId="0" fontId="48" fillId="20" borderId="38" xfId="0" applyNumberFormat="1" applyFont="1" applyFill="1" applyBorder="1" applyAlignment="1">
      <x:alignment horizontal="center"/>
    </x:xf>
    <x:xf numFmtId="0" fontId="16" fillId="0" borderId="39" xfId="0" applyNumberFormat="1" applyFont="1" applyFill="1" applyBorder="1"/>
    <x:xf numFmtId="0" fontId="16" fillId="0" borderId="40" xfId="0" applyNumberFormat="1" applyFont="1" applyFill="1" applyBorder="1"/>
    <x:xf numFmtId="200" fontId="49" fillId="0" borderId="40" xfId="0" applyNumberFormat="1" applyFont="1" applyFill="1" applyBorder="1"/>
    <x:xf numFmtId="201" fontId="49" fillId="0" borderId="40" xfId="0" applyNumberFormat="1" applyFont="1" applyFill="1" applyBorder="1"/>
    <x:xf numFmtId="201" fontId="16" fillId="0" borderId="40" xfId="0" applyNumberFormat="1" applyFont="1" applyFill="1" applyBorder="1"/>
    <x:xf numFmtId="202" fontId="16" fillId="0" borderId="41" xfId="0" applyNumberFormat="1" applyFont="1" applyFill="1" applyBorder="1"/>
    <x:xf numFmtId="200" fontId="16" fillId="0" borderId="40" xfId="0" applyNumberFormat="1" applyFont="1" applyFill="1" applyBorder="1"/>
    <x:xf numFmtId="0" fontId="16" fillId="0" borderId="42" xfId="0" applyNumberFormat="1" applyFont="1" applyFill="1" applyBorder="1"/>
    <x:xf numFmtId="0" fontId="16" fillId="0" borderId="43" xfId="0" applyNumberFormat="1" applyFont="1" applyFill="1" applyBorder="1"/>
    <x:xf numFmtId="200" fontId="16" fillId="0" borderId="43" xfId="0" applyNumberFormat="1" applyFont="1" applyFill="1" applyBorder="1"/>
    <x:xf numFmtId="201" fontId="16" fillId="0" borderId="43" xfId="0" applyNumberFormat="1" applyFont="1" applyFill="1" applyBorder="1"/>
    <x:xf numFmtId="202" fontId="16" fillId="0" borderId="44" xfId="0" applyNumberFormat="1" applyFont="1" applyFill="1" applyBorder="1"/>
    <x:xf numFmtId="0" fontId="34" fillId="14" borderId="0" xfId="0" applyNumberFormat="1" applyFont="1" applyFill="1" applyBorder="1" applyAlignment="1">
      <x:alignment horizontal="left"/>
    </x:xf>
    <x:xf numFmtId="0" fontId="34" fillId="14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34" fillId="21" borderId="0" xfId="0" applyNumberFormat="1" applyFont="1" applyFill="1" applyBorder="1"/>
    <x:xf numFmtId="0" fontId="34" fillId="21" borderId="45" xfId="0" applyNumberFormat="1" applyFont="1" applyFill="1" applyBorder="1"/>
    <x:xf numFmtId="0" fontId="34" fillId="21" borderId="45" xfId="0" applyNumberFormat="1" applyFont="1" applyFill="1" applyBorder="1" applyAlignment="1">
      <x:alignment wrapText="1"/>
    </x:xf>
    <x:xf numFmtId="0" fontId="34" fillId="21" borderId="45" xfId="0" applyNumberFormat="1" applyFont="1" applyFill="1" applyBorder="1" applyAlignment="1">
      <x:alignment horizontal="center" wrapText="1"/>
    </x:xf>
    <x:xf numFmtId="0" fontId="34" fillId="21" borderId="4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16" fillId="0" borderId="46" xfId="0" applyNumberFormat="1" applyFont="1" applyFill="1" applyBorder="1"/>
    <x:xf numFmtId="0" fontId="16" fillId="0" borderId="47" xfId="0" applyNumberFormat="1" applyFont="1" applyFill="1" applyBorder="1"/>
    <x:xf numFmtId="202" fontId="16" fillId="0" borderId="47" xfId="0" applyNumberFormat="1" applyFont="1" applyFill="1" applyBorder="1"/>
    <x:xf numFmtId="202" fontId="16" fillId="0" borderId="48" xfId="0" applyNumberFormat="1" applyFont="1" applyFill="1" applyBorder="1"/>
    <x:xf numFmtId="0" fontId="16" fillId="0" borderId="49" xfId="0" applyNumberFormat="1" applyFont="1" applyFill="1" applyBorder="1"/>
    <x:xf numFmtId="0" fontId="16" fillId="0" borderId="50" xfId="0" applyNumberFormat="1" applyFont="1" applyFill="1" applyBorder="1"/>
    <x:xf numFmtId="202" fontId="16" fillId="0" borderId="50" xfId="0" applyNumberFormat="1" applyFont="1" applyFill="1" applyBorder="1"/>
    <x:xf numFmtId="202" fontId="16" fillId="0" borderId="51" xfId="0" applyNumberFormat="1" applyFont="1" applyFill="1" applyBorder="1"/>
    <x:xf numFmtId="0" fontId="16" fillId="0" borderId="52" xfId="0" applyNumberFormat="1" applyFont="1" applyFill="1" applyBorder="1"/>
    <x:xf numFmtId="0" fontId="16" fillId="0" borderId="53" xfId="0" applyNumberFormat="1" applyFont="1" applyFill="1" applyBorder="1"/>
    <x:xf numFmtId="202" fontId="16" fillId="0" borderId="53" xfId="0" applyNumberFormat="1" applyFont="1" applyFill="1" applyBorder="1"/>
    <x:xf numFmtId="202" fontId="16" fillId="0" borderId="54" xfId="0" applyNumberFormat="1" applyFont="1" applyFill="1" applyBorder="1"/>
    <x:xf numFmtId="0" fontId="16" fillId="0" borderId="46" xfId="0" applyNumberFormat="1" applyFont="1" applyFill="1" applyBorder="1" applyAlignment="1">
      <x:alignment vertical="center"/>
    </x:xf>
    <x:xf numFmtId="0" fontId="16" fillId="0" borderId="47" xfId="0" applyNumberFormat="1" applyFont="1" applyFill="1" applyBorder="1" applyAlignment="1">
      <x:alignment vertical="center"/>
    </x:xf>
    <x:xf numFmtId="202" fontId="16" fillId="0" borderId="47" xfId="0" applyNumberFormat="1" applyFont="1" applyFill="1" applyBorder="1" applyAlignment="1">
      <x:alignment vertical="center"/>
    </x:xf>
    <x:xf numFmtId="202" fontId="16" fillId="0" borderId="48" xfId="0" applyNumberFormat="1" applyFont="1" applyFill="1" applyBorder="1" applyAlignment="1">
      <x:alignment vertical="center"/>
    </x:xf>
    <x:xf numFmtId="0" fontId="16" fillId="0" borderId="49" xfId="0" applyNumberFormat="1" applyFont="1" applyFill="1" applyBorder="1" applyAlignment="1">
      <x:alignment vertical="center"/>
    </x:xf>
    <x:xf numFmtId="0" fontId="16" fillId="0" borderId="50" xfId="0" applyNumberFormat="1" applyFont="1" applyFill="1" applyBorder="1" applyAlignment="1">
      <x:alignment vertical="center"/>
    </x:xf>
    <x:xf numFmtId="202" fontId="16" fillId="0" borderId="50" xfId="0" applyNumberFormat="1" applyFont="1" applyFill="1" applyBorder="1" applyAlignment="1">
      <x:alignment vertical="center"/>
    </x:xf>
    <x:xf numFmtId="202" fontId="16" fillId="0" borderId="51" xfId="0" applyNumberFormat="1" applyFont="1" applyFill="1" applyBorder="1" applyAlignment="1">
      <x:alignment vertical="center"/>
    </x:xf>
    <x:xf numFmtId="0" fontId="16" fillId="0" borderId="52" xfId="0" applyNumberFormat="1" applyFont="1" applyFill="1" applyBorder="1" applyAlignment="1">
      <x:alignment vertical="center"/>
    </x:xf>
    <x:xf numFmtId="0" fontId="16" fillId="0" borderId="53" xfId="0" applyNumberFormat="1" applyFont="1" applyFill="1" applyBorder="1" applyAlignment="1">
      <x:alignment vertical="center"/>
    </x:xf>
    <x:xf numFmtId="202" fontId="16" fillId="0" borderId="53" xfId="0" applyNumberFormat="1" applyFont="1" applyFill="1" applyBorder="1" applyAlignment="1">
      <x:alignment vertical="center"/>
    </x:xf>
    <x:xf numFmtId="202" fontId="16" fillId="0" borderId="54" xfId="0" applyNumberFormat="1" applyFont="1" applyFill="1" applyBorder="1" applyAlignment="1">
      <x:alignment vertical="center"/>
    </x:xf>
    <x:xf numFmtId="0" fontId="16" fillId="15" borderId="46" xfId="0" applyNumberFormat="1" applyFont="1" applyFill="1" applyBorder="1" applyAlignment="1">
      <x:alignment vertical="center"/>
    </x:xf>
    <x:xf numFmtId="0" fontId="16" fillId="15" borderId="47" xfId="0" applyNumberFormat="1" applyFont="1" applyFill="1" applyBorder="1" applyAlignment="1">
      <x:alignment vertical="center"/>
    </x:xf>
    <x:xf numFmtId="202" fontId="16" fillId="15" borderId="47" xfId="0" applyNumberFormat="1" applyFont="1" applyFill="1" applyBorder="1" applyAlignment="1">
      <x:alignment vertical="center"/>
    </x:xf>
    <x:xf numFmtId="202" fontId="16" fillId="15" borderId="48" xfId="0" applyNumberFormat="1" applyFont="1" applyFill="1" applyBorder="1" applyAlignment="1">
      <x:alignment vertical="center"/>
    </x:xf>
    <x:xf numFmtId="0" fontId="50" fillId="15" borderId="46" xfId="0" applyNumberFormat="1" applyFont="1" applyFill="1" applyBorder="1" applyAlignment="1">
      <x:alignment vertical="center"/>
    </x:xf>
    <x:xf numFmtId="0" fontId="50" fillId="15" borderId="47" xfId="0" applyNumberFormat="1" applyFont="1" applyFill="1" applyBorder="1" applyAlignment="1">
      <x:alignment vertical="center"/>
    </x:xf>
    <x:xf numFmtId="202" fontId="50" fillId="15" borderId="47" xfId="0" applyNumberFormat="1" applyFont="1" applyFill="1" applyBorder="1" applyAlignment="1">
      <x:alignment vertical="center"/>
    </x:xf>
    <x:xf numFmtId="202" fontId="50" fillId="15" borderId="48" xfId="0" applyNumberFormat="1" applyFont="1" applyFill="1" applyBorder="1" applyAlignment="1">
      <x:alignment vertical="center"/>
    </x:xf>
    <x:xf numFmtId="0" fontId="16" fillId="22" borderId="49" xfId="0" applyNumberFormat="1" applyFont="1" applyFill="1" applyBorder="1" applyAlignment="1">
      <x:alignment vertical="center"/>
    </x:xf>
    <x:xf numFmtId="0" fontId="16" fillId="22" borderId="50" xfId="0" applyNumberFormat="1" applyFont="1" applyFill="1" applyBorder="1" applyAlignment="1">
      <x:alignment vertical="center"/>
    </x:xf>
    <x:xf numFmtId="202" fontId="16" fillId="22" borderId="50" xfId="0" applyNumberFormat="1" applyFont="1" applyFill="1" applyBorder="1" applyAlignment="1">
      <x:alignment vertical="center"/>
    </x:xf>
    <x:xf numFmtId="202" fontId="16" fillId="22" borderId="51" xfId="0" applyNumberFormat="1" applyFont="1" applyFill="1" applyBorder="1" applyAlignment="1">
      <x:alignment vertical="center"/>
    </x:xf>
    <x:xf numFmtId="0" fontId="16" fillId="22" borderId="52" xfId="0" applyNumberFormat="1" applyFont="1" applyFill="1" applyBorder="1" applyAlignment="1">
      <x:alignment vertical="center"/>
    </x:xf>
    <x:xf numFmtId="0" fontId="16" fillId="22" borderId="53" xfId="0" applyNumberFormat="1" applyFont="1" applyFill="1" applyBorder="1" applyAlignment="1">
      <x:alignment vertical="center"/>
    </x:xf>
    <x:xf numFmtId="202" fontId="16" fillId="22" borderId="53" xfId="0" applyNumberFormat="1" applyFont="1" applyFill="1" applyBorder="1" applyAlignment="1">
      <x:alignment vertical="center"/>
    </x:xf>
    <x:xf numFmtId="202" fontId="16" fillId="22" borderId="54" xfId="0" applyNumberFormat="1" applyFont="1" applyFill="1" applyBorder="1" applyAlignment="1">
      <x:alignment vertical="center"/>
    </x:xf>
    <x:xf numFmtId="0" fontId="50" fillId="15" borderId="46" xfId="0" applyNumberFormat="1" applyFont="1" applyFill="1" applyBorder="1" applyAlignment="1">
      <x:alignment horizontal="center" vertical="center"/>
    </x:xf>
    <x:xf numFmtId="0" fontId="16" fillId="0" borderId="49" xfId="0" applyNumberFormat="1" applyFont="1" applyFill="1" applyBorder="1" applyAlignment="1">
      <x:alignment horizontal="center" vertical="center"/>
    </x:xf>
    <x:xf numFmtId="0" fontId="16" fillId="22" borderId="49" xfId="0" applyNumberFormat="1" applyFont="1" applyFill="1" applyBorder="1" applyAlignment="1">
      <x:alignment horizontal="center" vertical="center"/>
    </x:xf>
    <x:xf numFmtId="0" fontId="16" fillId="22" borderId="52" xfId="0" applyNumberFormat="1" applyFont="1" applyFill="1" applyBorder="1" applyAlignment="1">
      <x:alignment horizontal="center" vertical="center"/>
    </x:xf>
    <x:xf numFmtId="0" fontId="50" fillId="15" borderId="47" xfId="0" applyNumberFormat="1" applyFont="1" applyFill="1" applyBorder="1" applyAlignment="1">
      <x:alignment horizontal="left" vertical="center"/>
    </x:xf>
    <x:xf numFmtId="0" fontId="16" fillId="0" borderId="50" xfId="0" applyNumberFormat="1" applyFont="1" applyFill="1" applyBorder="1" applyAlignment="1">
      <x:alignment horizontal="left" vertical="center"/>
    </x:xf>
    <x:xf numFmtId="0" fontId="16" fillId="22" borderId="50" xfId="0" applyNumberFormat="1" applyFont="1" applyFill="1" applyBorder="1" applyAlignment="1">
      <x:alignment horizontal="left" vertical="center"/>
    </x:xf>
    <x:xf numFmtId="0" fontId="16" fillId="22" borderId="53" xfId="0" applyNumberFormat="1" applyFont="1" applyFill="1" applyBorder="1" applyAlignment="1">
      <x:alignment horizontal="left" vertical="center"/>
    </x:xf>
    <x:xf numFmtId="0" fontId="50" fillId="15" borderId="47" xfId="0" applyNumberFormat="1" applyFont="1" applyFill="1" applyBorder="1" applyAlignment="1">
      <x:alignment horizontal="center" vertical="center"/>
    </x:xf>
    <x:xf numFmtId="0" fontId="16" fillId="0" borderId="50" xfId="0" applyNumberFormat="1" applyFont="1" applyFill="1" applyBorder="1" applyAlignment="1">
      <x:alignment horizontal="center" vertical="center"/>
    </x:xf>
    <x:xf numFmtId="0" fontId="16" fillId="22" borderId="50" xfId="0" applyNumberFormat="1" applyFont="1" applyFill="1" applyBorder="1" applyAlignment="1">
      <x:alignment horizontal="center" vertical="center"/>
    </x:xf>
    <x:xf numFmtId="0" fontId="16" fillId="22" borderId="53" xfId="0" applyNumberFormat="1" applyFont="1" applyFill="1" applyBorder="1" applyAlignment="1">
      <x:alignment horizontal="center" vertical="center"/>
    </x:xf>
    <x:xf numFmtId="202" fontId="50" fillId="15" borderId="47" xfId="0" applyNumberFormat="1" applyFont="1" applyFill="1" applyBorder="1" applyAlignment="1">
      <x:alignment horizontal="right" vertical="center"/>
    </x:xf>
    <x:xf numFmtId="202" fontId="50" fillId="15" borderId="48" xfId="0" applyNumberFormat="1" applyFont="1" applyFill="1" applyBorder="1" applyAlignment="1">
      <x:alignment horizontal="right" vertical="center"/>
    </x:xf>
    <x:xf numFmtId="202" fontId="16" fillId="0" borderId="50" xfId="0" applyNumberFormat="1" applyFont="1" applyFill="1" applyBorder="1" applyAlignment="1">
      <x:alignment horizontal="right" vertical="center"/>
    </x:xf>
    <x:xf numFmtId="202" fontId="16" fillId="0" borderId="51" xfId="0" applyNumberFormat="1" applyFont="1" applyFill="1" applyBorder="1" applyAlignment="1">
      <x:alignment horizontal="right" vertical="center"/>
    </x:xf>
    <x:xf numFmtId="202" fontId="16" fillId="22" borderId="50" xfId="0" applyNumberFormat="1" applyFont="1" applyFill="1" applyBorder="1" applyAlignment="1">
      <x:alignment horizontal="right" vertical="center"/>
    </x:xf>
    <x:xf numFmtId="202" fontId="16" fillId="22" borderId="51" xfId="0" applyNumberFormat="1" applyFont="1" applyFill="1" applyBorder="1" applyAlignment="1">
      <x:alignment horizontal="right" vertical="center"/>
    </x:xf>
    <x:xf numFmtId="202" fontId="16" fillId="22" borderId="53" xfId="0" applyNumberFormat="1" applyFont="1" applyFill="1" applyBorder="1" applyAlignment="1">
      <x:alignment horizontal="right" vertical="center"/>
    </x:xf>
    <x:xf numFmtId="202" fontId="16" fillId="22" borderId="54" xfId="0" applyNumberFormat="1" applyFont="1" applyFill="1" applyBorder="1" applyAlignment="1">
      <x:alignment horizontal="right" vertical="center"/>
    </x:xf>
    <x:xf numFmtId="0" fontId="0" fillId="23" borderId="0" xfId="0" applyNumberFormat="1" applyFont="1" applyFill="1" applyBorder="1"/>
    <x:xf numFmtId="0" fontId="46" fillId="23" borderId="0" xfId="0" applyNumberFormat="1" applyFont="1" applyFill="1" applyBorder="1"/>
    <x:xf numFmtId="0" fontId="46" fillId="23" borderId="0" xfId="0" applyNumberFormat="1" applyFont="1" applyFill="1" applyBorder="1" applyAlignment="1">
      <x:alignment wrapText="1"/>
    </x:xf>
    <x:xf numFmtId="0" fontId="46" fillId="23" borderId="0" xfId="0" applyNumberFormat="1" applyFont="1" applyFill="1" applyBorder="1" applyAlignment="1">
      <x:alignment horizontal="left" wrapText="1"/>
    </x:xf>
    <x:xf numFmtId="0" fontId="46" fillId="23" borderId="0" xfId="0" applyNumberFormat="1" applyFont="1" applyFill="1" applyBorder="1" applyAlignment="1">
      <x:alignment horizontal="left" vertical="center" wrapText="1"/>
    </x:xf>
  </x:cellXfs>
  <x:cellStyles count="4">
    <x:cellStyle name="Normal" xfId="3"/>
    <x:cellStyle name="百分比" xfId="1"/>
    <x:cellStyle name="常规" xfId="0"/>
    <x:cellStyle name="常规 2" xfId="2"/>
  </x:cellStyles>
  <x:dxfs count="68"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9C0006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</x:dxfs>
</x:styleSheet>
</file>

<file path=xl/_rels/workbook.xml.rels><?xml version="1.0" encoding="utf-8"?>
<Relationships xmlns="http://schemas.openxmlformats.org/package/2006/relationships">
  <Relationship Type="http://schemas.openxmlformats.org/officeDocument/2006/relationships/styles" Target="/xl/styles.xml" Id="R04d6f06097334c59"/>
  <Relationship Type="http://schemas.openxmlformats.org/officeDocument/2006/relationships/theme" Target="/xl/theme/theme1.xml" Id="Rdaf4ec81f0c94b2e"/>
  <Relationship Type="http://schemas.openxmlformats.org/officeDocument/2006/relationships/sharedStrings" Target="/xl/sharedStrings.xml" Id="R576a1a4848c84b88"/>
  <Relationship Type="http://schemas.openxmlformats.org/officeDocument/2006/relationships/worksheet" Target="/xl/worksheets/sheet9.xml" Id="Re6ab1a9962a94c62"/>
  <Relationship Type="http://schemas.openxmlformats.org/officeDocument/2006/relationships/worksheet" Target="/xl/worksheets/sheet10.xml" Id="R00081c3a7ece4257"/>
  <Relationship Type="http://schemas.openxmlformats.org/officeDocument/2006/relationships/worksheet" Target="/xl/worksheets/sheet11.xml" Id="R6f41cb98113d4fe5"/>
  <Relationship Type="http://schemas.openxmlformats.org/officeDocument/2006/relationships/worksheet" Target="/xl/worksheets/sheet15.xml" Id="Rbd077efa8a97461a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O19"/>
  <sheetViews>
    <sheetView workbookViewId="0">
      <selection activeCell="H11" sqref="H11"/>
    </sheetView>
  </sheetViews>
  <sheetFormatPr defaultRowHeight="14"/>
  <cols>
    <col min="2" max="2" width="21.08984375" style="95" bestFit="1" customWidth="1"/>
    <col min="3" max="3" width="10.54296875" style="95" customWidth="1"/>
    <col min="4" max="4" width="12.26953125" style="95" hidden="1" customWidth="1"/>
    <col min="5" max="5" width="37.26953125" style="95" customWidth="1"/>
    <col min="6" max="6" width="15.36328125" style="127" customWidth="1"/>
    <col min="7" max="7" width="20.81640625" style="95" customWidth="1"/>
    <col min="8" max="8" width="13.54296875" style="95" customWidth="1"/>
    <col min="9" max="9" width="10.26953125" style="95" bestFit="1" customWidth="1"/>
    <col min="10" max="12" width="11" style="95" customWidth="1"/>
    <col min="13" max="13" width="11.36328125" style="95" customWidth="1"/>
    <col min="14" max="14" width="12.453125" style="95" bestFit="1" customWidth="1"/>
    <col min="15" max="15" width="11.7265625" style="95" customWidth="1"/>
  </cols>
  <sheetData>
    <row r="1" spans="2:14">
      <c r="G1" s="93">
        <v>46191</v>
      </c>
      <c r="H1" s="44">
        <v>46234</v>
      </c>
      <c r="L1" t="s">
        <v>114</v>
      </c>
    </row>
    <row r="2" spans="2:14">
      <c r="E2" s="93">
        <v>46239</v>
      </c>
      <c r="F2" s="134" t="str">
        <v>0.98421564</v>
      </c>
      <c r="G2" s="93">
        <v>46195</v>
      </c>
      <c r="H2" s="44">
        <v>46237</v>
      </c>
      <c r="I2" s="93">
        <v>46174</v>
      </c>
      <c r="M2">
        <v>0.98602670241529955</v>
      </c>
      <c r="N2">
        <v>1</v>
      </c>
    </row>
    <row r="3" spans="2:14">
      <c r="F3" s="134" t="str">
        <v>0.98658983</v>
      </c>
      <c r="G3" s="93">
        <v>46240</v>
      </c>
      <c r="H3" s="44">
        <v>46240</v>
      </c>
      <c r="I3" s="93">
        <v>46240</v>
      </c>
      <c r="M3">
        <v>0.99521566059100264</v>
      </c>
      <c r="N3" t="str">
        <v>0.98658983</v>
      </c>
    </row>
    <row r="4" spans="2:14" ht="33.5" customHeight="1">
      <c r="B4" s="73" t="s">
        <v>178</v>
      </c>
      <c r="C4" s="38" t="s">
        <v>115</v>
      </c>
      <c r="D4" s="27" t="s">
        <v>116</v>
      </c>
      <c r="E4" s="38" t="s">
        <v>117</v>
      </c>
      <c r="F4" s="135">
        <v>46240</v>
      </c>
      <c r="G4" s="38" t="str">
        <v>上线以来（截止8.6）</v>
      </c>
      <c r="H4" s="38" t="s">
        <v>207</v>
      </c>
      <c r="I4" s="53" t="s">
        <v>67</v>
      </c>
      <c r="J4" s="54" t="s">
        <v>66</v>
      </c>
      <c r="K4" s="54" t="s">
        <v>81</v>
      </c>
      <c r="L4" s="55" t="s">
        <v>82</v>
      </c>
      <c r="N4" s="130" t="s">
        <v>181</v>
      </c>
    </row>
    <row r="5" spans="2:14" ht="21" customHeight="1">
      <c r="B5" s="34" t="s">
        <v>176</v>
      </c>
      <c r="C5" s="52">
        <v>0.1</v>
      </c>
      <c r="D5" s="35"/>
      <c r="E5" s="36" t="s">
        <v>173</v>
      </c>
      <c r="F5" s="37">
        <v>2.4122660761620729E-3</v>
      </c>
      <c r="G5" s="42">
        <v>-1.3410169999999999E-2</v>
      </c>
      <c r="H5" s="37">
        <v>9.3191778206356268E-3</v>
      </c>
      <c r="I5" s="56">
        <v>-2.8644983003091151E-2</v>
      </c>
      <c r="J5" s="57">
        <v>5.4286232152694014E-2</v>
      </c>
      <c r="K5" s="120">
        <v>-1.2125278010011198E-2</v>
      </c>
      <c r="L5" s="58">
        <v>-5.6589243499254191E-2</v>
      </c>
      <c r="N5" s="93">
        <v>46245</v>
      </c>
    </row>
    <row r="6" spans="2:14" ht="21" customHeight="1">
      <c r="B6" s="158" t="s">
        <v>118</v>
      </c>
      <c r="C6" s="161" t="s">
        <v>119</v>
      </c>
      <c r="D6" s="30" t="s">
        <v>120</v>
      </c>
      <c r="E6" s="39" t="str">
        <v>华安盈瑞稳健优选6个月持有混合(FOF)A</v>
      </c>
      <c r="F6" s="43">
        <v>0</v>
      </c>
      <c r="G6" s="43">
        <v>-6.1755261510953001E-3</v>
      </c>
      <c r="H6" s="43">
        <v>5.4995416058537005E-4</v>
      </c>
      <c r="I6" s="59">
        <v>-9.044869231455999E-3</v>
      </c>
      <c r="J6" s="60">
        <v>2.1162671452138002E-2</v>
      </c>
      <c r="K6" s="121">
        <v>-6.9308313907792005E-2</v>
      </c>
      <c r="L6" s="61">
        <v>-1.5088105616222001</v>
      </c>
      <c r="N6" s="129" t="str">
        <v>2026-08-06</v>
      </c>
    </row>
    <row r="7" spans="2:14" ht="21" customHeight="1">
      <c r="B7" s="157"/>
      <c r="C7" s="145"/>
      <c r="D7" s="28" t="s">
        <v>121</v>
      </c>
      <c r="E7" s="40" t="str">
        <v>中欧盈欣稳健6个月持有混合(FOF)A</v>
      </c>
      <c r="F7" s="29">
        <v>-2.9871552324999901E-4</v>
      </c>
      <c r="G7" s="29">
        <v>2.5963650888755001E-3</v>
      </c>
      <c r="H7" s="29">
        <v>1.7960486928756999E-3</v>
      </c>
      <c r="I7" s="62">
        <v>-8.1478537360890006E-3</v>
      </c>
      <c r="J7" s="63">
        <v>2.0977262797718003E-2</v>
      </c>
      <c r="K7" s="122">
        <v>-4.2833024187787998E-2</v>
      </c>
      <c r="L7" s="64">
        <v>-0.53139352320621003</v>
      </c>
      <c r="N7" s="129" t="str">
        <v>2026-08-06</v>
      </c>
    </row>
    <row r="8" spans="2:14" ht="21" customHeight="1">
      <c r="B8" s="157"/>
      <c r="C8" s="145"/>
      <c r="D8" s="30" t="s">
        <v>122</v>
      </c>
      <c r="E8" s="39" t="str">
        <v>博时臻选楚汇三个月持有债券(FOF)B</v>
      </c>
      <c r="F8" s="31">
        <v>4.5833710750930995E-4</v>
      </c>
      <c r="G8" s="31">
        <v>-1.7600174241063E-3</v>
      </c>
      <c r="H8" s="31">
        <v>5.0649230567918003E-3</v>
      </c>
      <c r="I8" s="59">
        <v>-1.3933642219046001E-2</v>
      </c>
      <c r="J8" s="60">
        <v>3.0912739581172001E-2</v>
      </c>
      <c r="K8" s="121">
        <v>-7.2275484948853996E-2</v>
      </c>
      <c r="L8" s="61">
        <v>-1.8905144556647</v>
      </c>
      <c r="N8" s="129" t="str">
        <v>2026-08-06</v>
      </c>
    </row>
    <row r="9" spans="2:14" ht="21" customHeight="1">
      <c r="B9" s="157"/>
      <c r="C9" s="145"/>
      <c r="D9" s="28" t="s">
        <v>123</v>
      </c>
      <c r="E9" s="40" t="str">
        <v>中欧盈选稳健6个月持有混合发起(FOF)A</v>
      </c>
      <c r="F9" s="29">
        <v>-5.6996298394085005E-4</v>
      </c>
      <c r="G9" s="29">
        <v>3.1428741579341999E-3</v>
      </c>
      <c r="H9" s="29">
        <v>1.5230842052983001E-3</v>
      </c>
      <c r="I9" s="62">
        <v>-8.0059579221745999E-3</v>
      </c>
      <c r="J9" s="63">
        <v>2.0701304185335001E-2</v>
      </c>
      <c r="K9" s="122">
        <v>-3.5805865859957001E-2</v>
      </c>
      <c r="L9" s="64">
        <v>-0.21613370919732999</v>
      </c>
      <c r="N9" s="129" t="str">
        <v>2026-08-06</v>
      </c>
    </row>
    <row r="10" spans="2:14" ht="21" customHeight="1">
      <c r="B10" s="159"/>
      <c r="C10" s="162"/>
      <c r="D10" s="32" t="s">
        <v>124</v>
      </c>
      <c r="E10" s="41" t="str">
        <v>博时盈泰臻选6个月持有期混合(FOF)A</v>
      </c>
      <c r="F10" s="33">
        <v>7.0056044835876009E-4</v>
      </c>
      <c r="G10" s="33">
        <v>-8.9928057553947005E-4</v>
      </c>
      <c r="H10" s="33">
        <v>6.3405797101449002E-3</v>
      </c>
      <c r="I10" s="65">
        <v>-1.2357982858281999E-2</v>
      </c>
      <c r="J10" s="66">
        <v>3.1887225802118002E-2</v>
      </c>
      <c r="K10" s="123">
        <v>-3.9000673711626001E-2</v>
      </c>
      <c r="L10" s="67">
        <v>-0.83255209653383</v>
      </c>
      <c r="N10" s="129" t="str">
        <v>2026-08-06</v>
      </c>
    </row>
    <row r="11" spans="2:14" ht="20" customHeight="1">
      <c r="B11" s="156" t="s">
        <v>125</v>
      </c>
      <c r="C11" s="160" t="s">
        <v>126</v>
      </c>
      <c r="D11" s="28" t="s">
        <v>127</v>
      </c>
      <c r="E11" s="40" t="str">
        <v>易方达如意盈安6个月持有混合发起式(FOF)A</v>
      </c>
      <c r="F11" s="29">
        <v>4.9402232980933001E-4</v>
      </c>
      <c r="G11" s="29">
        <v>-8.5185547831196987E-3</v>
      </c>
      <c r="H11" s="29">
        <v>6.7607874328892001E-3</v>
      </c>
      <c r="I11" s="62">
        <v>-2.2235225277940002E-2</v>
      </c>
      <c r="J11" s="63">
        <v>5.8733756206441001E-2</v>
      </c>
      <c r="K11" s="122">
        <v>-3.4110590345546997E-2</v>
      </c>
      <c r="L11" s="64">
        <v>-1.0733787528078</v>
      </c>
      <c r="N11" s="129" t="str">
        <v>2026-08-06</v>
      </c>
    </row>
    <row r="12" spans="2:14" ht="20" customHeight="1">
      <c r="B12" s="157"/>
      <c r="C12" s="145"/>
      <c r="D12" s="30" t="s">
        <v>128</v>
      </c>
      <c r="E12" s="39" t="str">
        <v>易方达如意安诚六个月持有混合(FOF)A</v>
      </c>
      <c r="F12" s="31">
        <v>3.5984162622625999E-4</v>
      </c>
      <c r="G12" s="31">
        <v>-1.0228399756246001E-2</v>
      </c>
      <c r="H12" s="31">
        <v>6.5170166649829997E-3</v>
      </c>
      <c r="I12" s="59">
        <v>-2.3234627114233998E-2</v>
      </c>
      <c r="J12" s="60">
        <v>5.7751632394049998E-2</v>
      </c>
      <c r="K12" s="121">
        <v>-5.0196078842333999E-2</v>
      </c>
      <c r="L12" s="61">
        <v>-1.6424456963513001</v>
      </c>
      <c r="N12" s="129" t="str">
        <v>2026-08-06</v>
      </c>
    </row>
    <row r="13" spans="2:14" ht="18.5" customHeight="1">
      <c r="B13" s="163" t="s">
        <v>179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N13" s="129"/>
    </row>
    <row r="14" spans="2:14"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N14" s="129"/>
    </row>
    <row r="15" spans="2:14" ht="15" customHeight="1">
      <c r="B15" s="68"/>
    </row>
    <row r="16" spans="2:14" ht="16.5" customHeight="1"/>
    <row r="17" ht="16.5" customHeight="1"/>
    <row r="18" ht="16.5" customHeight="1"/>
    <row r="19" ht="16.5" customHeight="1"/>
  </sheetData>
  <mergeCells count="5">
    <mergeCell ref="B11:B12"/>
    <mergeCell ref="B6:B10"/>
    <mergeCell ref="C11:C12"/>
    <mergeCell ref="C6:C10"/>
    <mergeCell ref="B13:L14"/>
  </mergeCells>
  <phoneticPr fontId="13" type="noConversion"/>
  <conditionalFormatting sqref="G6:H12">
    <cfRule type="cellIs" dxfId="27" priority="5" operator="greaterThan">
      <formula>0</formula>
    </cfRule>
    <cfRule type="cellIs" dxfId="26" priority="6" operator="greaterThan">
      <formula>0.0016</formula>
    </cfRule>
  </conditionalFormatting>
  <conditionalFormatting sqref="F6:F12">
    <cfRule type="cellIs" dxfId="25" priority="1" operator="greaterThan">
      <formula>0</formula>
    </cfRule>
    <cfRule type="cellIs" dxfId="24" priority="2" operator="greaterThan">
      <formula>0.0016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B1:S28"/>
  <sheetViews>
    <sheetView tabSelected="1" workbookViewId="0">
      <selection activeCell="F14" sqref="F14"/>
    </sheetView>
  </sheetViews>
  <sheetFormatPr defaultRowHeight="14"/>
  <cols>
    <col min="2" max="2" width="21.08984375" style="95" customWidth="1"/>
    <col min="3" max="3" width="14.1796875" style="95" customWidth="1"/>
    <col min="4" max="4" width="13.54296875" style="95" customWidth="1"/>
    <col min="5" max="5" width="12.26953125" style="95" hidden="1" customWidth="1"/>
    <col min="6" max="6" width="31.453125" style="95" customWidth="1"/>
    <col min="7" max="7" width="13.453125" style="126" customWidth="1"/>
    <col min="8" max="8" width="12.26953125" style="137" customWidth="1"/>
    <col min="9" max="9" width="15.36328125" style="95" customWidth="1"/>
    <col min="10" max="10" width="15.36328125" style="143" customWidth="1"/>
    <col min="11" max="11" width="12.453125" style="95" customWidth="1"/>
    <col min="12" max="12" width="11.36328125" style="95" customWidth="1"/>
    <col min="13" max="15" width="11" style="95" customWidth="1"/>
    <col min="17" max="17" width="11.6328125" customWidth="1"/>
    <col min="18" max="18" width="11.6328125" style="143" customWidth="1"/>
  </cols>
  <sheetData>
    <row r="1" spans="2:19">
      <c r="G1" s="126" t="s">
        <v>205</v>
      </c>
      <c r="H1" s="93">
        <v>46241</v>
      </c>
      <c r="I1" s="93">
        <v>46191</v>
      </c>
      <c r="J1" s="93">
        <v>46191</v>
      </c>
      <c r="K1" s="93">
        <v>46234</v>
      </c>
      <c r="P1" t="s">
        <v>208</v>
      </c>
      <c r="Q1" t="s">
        <v>209</v>
      </c>
      <c r="R1" s="143" t="s">
        <v>217</v>
      </c>
      <c r="S1" t="s">
        <v>216</v>
      </c>
    </row>
    <row r="2" spans="2:19" ht="15.5" customHeight="1">
      <c r="B2" s="68"/>
      <c r="C2" s="139">
        <v>46203</v>
      </c>
      <c r="F2" s="93">
        <v>46241</v>
      </c>
      <c r="G2" s="140" t="str">
        <v>0.98977590</v>
      </c>
      <c r="H2" s="93">
        <v>46244</v>
      </c>
      <c r="I2" s="93">
        <v>46195</v>
      </c>
      <c r="J2" s="93">
        <v>46195</v>
      </c>
      <c r="K2" s="93">
        <v>46237</v>
      </c>
      <c r="L2" s="93">
        <v>46174</v>
      </c>
      <c r="O2" s="69"/>
      <c r="P2" s="137" t="str">
        <v>0.98977590</v>
      </c>
      <c r="Q2" s="141">
        <v>1</v>
      </c>
      <c r="R2" s="141">
        <v>1</v>
      </c>
      <c r="S2" s="141">
        <v>0.97705801999999997</v>
      </c>
    </row>
    <row r="3" spans="2:19">
      <c r="G3" s="134" t="str">
        <v>0.99185254</v>
      </c>
      <c r="H3" s="142">
        <v>46244</v>
      </c>
      <c r="I3" s="93">
        <v>46244</v>
      </c>
      <c r="J3" s="93">
        <v>46234</v>
      </c>
      <c r="K3" s="44">
        <v>46244</v>
      </c>
      <c r="L3" s="93">
        <v>46244</v>
      </c>
      <c r="P3" t="str">
        <v>0.99185254</v>
      </c>
      <c r="Q3" s="141" t="str">
        <v>0.99185254</v>
      </c>
      <c r="R3" s="141">
        <v>0.97705801999999997</v>
      </c>
      <c r="S3" s="141" t="str">
        <v>0.99185254</v>
      </c>
    </row>
    <row r="4" spans="2:19" s="143" customFormat="1">
      <c r="G4" s="134"/>
      <c r="H4" s="142"/>
      <c r="I4" s="93"/>
      <c r="J4" s="93"/>
      <c r="K4" s="44"/>
      <c r="L4" s="93"/>
      <c r="Q4" s="141"/>
      <c r="R4" s="141"/>
      <c r="S4" s="141"/>
    </row>
    <row r="5" spans="2:19" ht="32" customHeight="1">
      <c r="B5" s="70" t="s">
        <v>178</v>
      </c>
      <c r="C5" s="74" t="s">
        <v>129</v>
      </c>
      <c r="D5" s="72" t="s">
        <v>174</v>
      </c>
      <c r="E5" s="71" t="s">
        <v>17</v>
      </c>
      <c r="F5" s="133">
        <v>46244</v>
      </c>
      <c r="G5" s="133" t="s">
        <v>205</v>
      </c>
      <c r="H5" s="133" t="s">
        <v>206</v>
      </c>
      <c r="I5" s="131" t="s">
        <v>193</v>
      </c>
      <c r="J5" s="131" t="s">
        <v>256</v>
      </c>
      <c r="K5" s="71" t="s">
        <v>257</v>
      </c>
      <c r="L5" s="71" t="s">
        <v>67</v>
      </c>
      <c r="M5" s="71" t="s">
        <v>66</v>
      </c>
      <c r="N5" s="71" t="s">
        <v>81</v>
      </c>
      <c r="O5" s="71" t="s">
        <v>82</v>
      </c>
      <c r="Q5" s="131" t="str">
        <v>上线以来（截止8.10）</v>
      </c>
      <c r="R5" s="176"/>
    </row>
    <row r="6" spans="2:19" ht="24" customHeight="1">
      <c r="B6" s="125" t="s">
        <v>176</v>
      </c>
      <c r="C6" s="75">
        <v>0.1</v>
      </c>
      <c r="D6" s="124" t="s">
        <v>175</v>
      </c>
      <c r="E6" s="76"/>
      <c r="F6" s="119" t="s">
        <v>173</v>
      </c>
      <c r="G6" s="138">
        <v>2.0980910931454044E-3</v>
      </c>
      <c r="H6" s="138">
        <v>2.0980910931454044E-3</v>
      </c>
      <c r="I6" s="92">
        <v>-8.1474599999999953E-3</v>
      </c>
      <c r="J6" s="92">
        <v>-2.2941980000000028E-2</v>
      </c>
      <c r="K6" s="173">
        <v>1.514190528828574E-2</v>
      </c>
      <c r="L6" s="77">
        <v>-2.8644983003091151E-2</v>
      </c>
      <c r="M6" s="75">
        <v>5.4286232152694014E-2</v>
      </c>
      <c r="N6" s="115">
        <v>-1.2125278010011198E-2</v>
      </c>
      <c r="O6" s="78">
        <v>-5.6589243499254191E-2</v>
      </c>
    </row>
    <row r="7" spans="2:19" ht="21" customHeight="1">
      <c r="B7" s="167" t="s">
        <v>177</v>
      </c>
      <c r="C7" s="80">
        <v>0.12115928146318</v>
      </c>
      <c r="D7" s="80">
        <v>4.9000000000000002E-2</v>
      </c>
      <c r="E7" s="81" t="s">
        <v>195</v>
      </c>
      <c r="F7" s="81" t="str">
        <v>易方达增强回报债券A</v>
      </c>
      <c r="G7" s="80">
        <v>2.1321961478248997E-3</v>
      </c>
      <c r="H7" s="80">
        <v>2.1321961478249999E-3</v>
      </c>
      <c r="I7" s="88">
        <v>1.5118790473748001E-2</v>
      </c>
      <c r="J7" s="88">
        <v>1.4398848073949E-2</v>
      </c>
      <c r="K7" s="88">
        <v>7.097232032217001E-4</v>
      </c>
      <c r="L7" s="88">
        <v>-1.0007147947818E-2</v>
      </c>
      <c r="M7" s="88">
        <v>2.2428952351063E-2</v>
      </c>
      <c r="N7" s="116">
        <v>0.11242864260649001</v>
      </c>
      <c r="O7" s="89">
        <v>5.2599935011327004</v>
      </c>
    </row>
    <row r="8" spans="2:19" ht="21" customHeight="1">
      <c r="B8" s="167"/>
      <c r="C8" s="79">
        <v>0.15757628310713001</v>
      </c>
      <c r="D8" s="79">
        <v>1.1000000000000001E-3</v>
      </c>
      <c r="E8" s="76" t="s">
        <v>131</v>
      </c>
      <c r="F8" s="76" t="str">
        <v>安信稳健增值混合A</v>
      </c>
      <c r="G8" s="79">
        <v>2.5815664805029E-3</v>
      </c>
      <c r="H8" s="79">
        <v>2.5815664805027999E-3</v>
      </c>
      <c r="I8" s="86">
        <v>1.4675635110484E-2</v>
      </c>
      <c r="J8" s="86">
        <v>1.3841792220353999E-2</v>
      </c>
      <c r="K8" s="86">
        <v>8.2245858922839999E-4</v>
      </c>
      <c r="L8" s="86">
        <v>-2.0400329054297003E-2</v>
      </c>
      <c r="M8" s="86">
        <v>3.4824287781284997E-2</v>
      </c>
      <c r="N8" s="117">
        <v>2.5806507866534999E-2</v>
      </c>
      <c r="O8" s="87">
        <v>1.2188880000872</v>
      </c>
    </row>
    <row r="9" spans="2:19" ht="21" customHeight="1">
      <c r="B9" s="167"/>
      <c r="C9" s="80">
        <v>0.14024614410384001</v>
      </c>
      <c r="D9" s="80">
        <v>0</v>
      </c>
      <c r="E9" s="94" t="s">
        <v>130</v>
      </c>
      <c r="F9" s="81" t="str">
        <v>华泰柏瑞鼎利混合A</v>
      </c>
      <c r="G9" s="80">
        <v>2.7137042252893999E-3</v>
      </c>
      <c r="H9" s="80">
        <v>2.7137042252895001E-3</v>
      </c>
      <c r="I9" s="88">
        <v>5.5724745726391002E-3</v>
      </c>
      <c r="J9" s="88">
        <v>-1.1663318943883E-3</v>
      </c>
      <c r="K9" s="88">
        <v>6.7466753296454999E-3</v>
      </c>
      <c r="L9" s="88">
        <v>-1.9559902219615E-2</v>
      </c>
      <c r="M9" s="88">
        <v>3.4177385692160001E-2</v>
      </c>
      <c r="N9" s="116">
        <v>-2.8082166274051999E-2</v>
      </c>
      <c r="O9" s="89">
        <v>-0.28694169080255</v>
      </c>
    </row>
    <row r="10" spans="2:19" s="136" customFormat="1" ht="21" customHeight="1">
      <c r="B10" s="167"/>
      <c r="C10" s="79">
        <v>0.17127468926608</v>
      </c>
      <c r="D10" s="79">
        <v>5.8700000000000002E-2</v>
      </c>
      <c r="E10" s="76" t="s">
        <v>132</v>
      </c>
      <c r="F10" s="76" t="str">
        <v>嘉实稳固收益债券A</v>
      </c>
      <c r="G10" s="79">
        <v>4.4584954754131999E-3</v>
      </c>
      <c r="H10" s="79">
        <v>4.4584954754131999E-3</v>
      </c>
      <c r="I10" s="86">
        <v>1.0437902605246002E-2</v>
      </c>
      <c r="J10" s="86">
        <v>-7.5837886377539002E-3</v>
      </c>
      <c r="K10" s="86">
        <v>1.8159408357772001E-2</v>
      </c>
      <c r="L10" s="86">
        <v>-2.2026787190118E-2</v>
      </c>
      <c r="M10" s="86">
        <v>5.8374513870786002E-2</v>
      </c>
      <c r="N10" s="117">
        <v>4.5168293309579999E-2</v>
      </c>
      <c r="O10" s="87">
        <v>2.4091110060131999</v>
      </c>
      <c r="R10" s="143"/>
    </row>
    <row r="11" spans="2:19" s="136" customFormat="1" ht="21" customHeight="1">
      <c r="B11" s="167"/>
      <c r="C11" s="80">
        <v>0.14695483536465001</v>
      </c>
      <c r="D11" s="80">
        <v>5.5199999999999999E-2</v>
      </c>
      <c r="E11" s="94" t="s">
        <v>196</v>
      </c>
      <c r="F11" s="81" t="str">
        <v>景顺长城景颐双利债券A类</v>
      </c>
      <c r="G11" s="80">
        <v>1.5822784583364E-3</v>
      </c>
      <c r="H11" s="80">
        <v>1.5822784583363E-3</v>
      </c>
      <c r="I11" s="88">
        <v>-4.1950707900776001E-3</v>
      </c>
      <c r="J11" s="88">
        <v>-1.2060828499619002E-2</v>
      </c>
      <c r="K11" s="88">
        <v>7.9617834138471996E-3</v>
      </c>
      <c r="L11" s="88">
        <v>-2.4530271409826998E-2</v>
      </c>
      <c r="M11" s="88">
        <v>5.5741266480998995E-2</v>
      </c>
      <c r="N11" s="116">
        <v>-6.9407524650762003E-3</v>
      </c>
      <c r="O11" s="89">
        <v>0.11053751234483</v>
      </c>
      <c r="R11" s="143"/>
    </row>
    <row r="12" spans="2:19" s="136" customFormat="1" ht="21" customHeight="1">
      <c r="B12" s="167"/>
      <c r="C12" s="79">
        <v>0.19870188131222</v>
      </c>
      <c r="D12" s="79">
        <v>1.77E-2</v>
      </c>
      <c r="E12" s="76" t="s">
        <v>197</v>
      </c>
      <c r="F12" s="76" t="str">
        <v>宏利集利债券A</v>
      </c>
      <c r="G12" s="79">
        <v>-1.0168506533582999E-3</v>
      </c>
      <c r="H12" s="79">
        <v>-1.0168506533582999E-3</v>
      </c>
      <c r="I12" s="86">
        <v>3.4289049444837E-3</v>
      </c>
      <c r="J12" s="86">
        <v>-1.5612460765186E-2</v>
      </c>
      <c r="K12" s="86">
        <v>1.9343363208833998E-2</v>
      </c>
      <c r="L12" s="86">
        <v>-3.9228341946104001E-2</v>
      </c>
      <c r="M12" s="86">
        <v>0.11131753728176</v>
      </c>
      <c r="N12" s="117">
        <v>4.7839559115683002E-2</v>
      </c>
      <c r="O12" s="87">
        <v>2.4251507914452999</v>
      </c>
      <c r="R12" s="143"/>
    </row>
    <row r="13" spans="2:19" s="136" customFormat="1" ht="21" customHeight="1">
      <c r="B13" s="167"/>
      <c r="C13" s="80">
        <v>0.15196268789490999</v>
      </c>
      <c r="D13" s="80">
        <v>0</v>
      </c>
      <c r="E13" s="94" t="s">
        <v>133</v>
      </c>
      <c r="F13" s="81" t="str">
        <v>华商利欣回报债券A</v>
      </c>
      <c r="G13" s="80">
        <v>-2.0390557603324998E-3</v>
      </c>
      <c r="H13" s="80">
        <v>-2.0390557603324998E-3</v>
      </c>
      <c r="I13" s="88">
        <v>8.3201267828842997E-3</v>
      </c>
      <c r="J13" s="88">
        <v>-1.5689381933438998E-2</v>
      </c>
      <c r="K13" s="88">
        <v>2.4392207374013999E-2</v>
      </c>
      <c r="L13" s="88">
        <v>-4.6444909668915006E-2</v>
      </c>
      <c r="M13" s="88">
        <v>9.6696155531217992E-2</v>
      </c>
      <c r="N13" s="116">
        <v>6.7739603556706995E-2</v>
      </c>
      <c r="O13" s="89">
        <v>2.5593190576690001</v>
      </c>
      <c r="R13" s="143"/>
    </row>
    <row r="14" spans="2:19" s="136" customFormat="1" ht="21" customHeight="1">
      <c r="B14" s="167"/>
      <c r="C14" s="79">
        <v>0.1798811445537</v>
      </c>
      <c r="D14" s="79">
        <v>0</v>
      </c>
      <c r="E14" s="76" t="s">
        <v>198</v>
      </c>
      <c r="F14" s="76" t="str">
        <v>金鹰恒润债券发起式A</v>
      </c>
      <c r="G14" s="79">
        <v>8.7138379410900001E-4</v>
      </c>
      <c r="H14" s="79">
        <v>8.7138379410890004E-4</v>
      </c>
      <c r="I14" s="86">
        <v>-2.7845958487495999E-2</v>
      </c>
      <c r="J14" s="86">
        <v>-3.6732966579069999E-2</v>
      </c>
      <c r="K14" s="86">
        <v>9.2259028734870997E-3</v>
      </c>
      <c r="L14" s="86">
        <v>-4.9761246558316E-2</v>
      </c>
      <c r="M14" s="86">
        <v>7.9448625610729004E-2</v>
      </c>
      <c r="N14" s="117">
        <v>-4.9135765822533997E-2</v>
      </c>
      <c r="O14" s="87">
        <v>-1.0961031934245</v>
      </c>
      <c r="R14" s="143"/>
    </row>
    <row r="15" spans="2:19" s="136" customFormat="1" ht="21" customHeight="1">
      <c r="B15" s="167"/>
      <c r="C15" s="80">
        <v>0.17522978692032001</v>
      </c>
      <c r="D15" s="80">
        <v>0</v>
      </c>
      <c r="E15" s="81" t="s">
        <v>199</v>
      </c>
      <c r="F15" s="81" t="str">
        <v>永赢稳健增强债券A</v>
      </c>
      <c r="G15" s="80">
        <v>-2.4618414574096003E-4</v>
      </c>
      <c r="H15" s="80">
        <v>-2.4618414574099001E-4</v>
      </c>
      <c r="I15" s="88">
        <v>-2.426717924075E-2</v>
      </c>
      <c r="J15" s="88">
        <v>-3.4358481499278996E-2</v>
      </c>
      <c r="K15" s="88">
        <v>1.0450360786265E-2</v>
      </c>
      <c r="L15" s="88">
        <v>-4.5758395670858001E-2</v>
      </c>
      <c r="M15" s="88">
        <v>8.8104618983615005E-2</v>
      </c>
      <c r="N15" s="116">
        <v>-5.7855499919858999E-2</v>
      </c>
      <c r="O15" s="89">
        <v>-1.6040167497038</v>
      </c>
      <c r="R15" s="143"/>
    </row>
    <row r="16" spans="2:19" s="136" customFormat="1" ht="21" customHeight="1">
      <c r="B16" s="167"/>
      <c r="C16" s="83">
        <v>0.18165670029314998</v>
      </c>
      <c r="D16" s="83">
        <v>5.4600000000000003E-2</v>
      </c>
      <c r="E16" s="84" t="s">
        <v>200</v>
      </c>
      <c r="F16" s="84" t="str">
        <v>中欧双利债券A</v>
      </c>
      <c r="G16" s="83">
        <v>-2.4114418637824998E-3</v>
      </c>
      <c r="H16" s="83">
        <v>-2.4114418637824998E-3</v>
      </c>
      <c r="I16" s="90">
        <v>-2.0333170006311997E-2</v>
      </c>
      <c r="J16" s="90">
        <v>-3.8134901192813001E-2</v>
      </c>
      <c r="K16" s="90">
        <v>1.8507513380595E-2</v>
      </c>
      <c r="L16" s="90">
        <v>-5.0748210841775998E-2</v>
      </c>
      <c r="M16" s="90">
        <v>9.1296033179978003E-2</v>
      </c>
      <c r="N16" s="118">
        <v>-6.3810974578524998E-2</v>
      </c>
      <c r="O16" s="91">
        <v>-1.66655370647</v>
      </c>
      <c r="R16" s="143"/>
    </row>
    <row r="17" spans="2:18" s="136" customFormat="1" ht="21" customHeight="1">
      <c r="B17" s="167"/>
      <c r="C17" s="80">
        <v>0.16691487926770002</v>
      </c>
      <c r="D17" s="80">
        <v>2.12E-2</v>
      </c>
      <c r="E17" s="94" t="s">
        <v>201</v>
      </c>
      <c r="F17" s="81" t="str">
        <v>易方达丰和债券A</v>
      </c>
      <c r="G17" s="80">
        <v>-4.7886986927345998E-3</v>
      </c>
      <c r="H17" s="80">
        <v>-4.7886986927345998E-3</v>
      </c>
      <c r="I17" s="88">
        <v>-2.8344339911496E-2</v>
      </c>
      <c r="J17" s="88">
        <v>-4.7922389133732007E-2</v>
      </c>
      <c r="K17" s="88">
        <v>2.0563501335171999E-2</v>
      </c>
      <c r="L17" s="88">
        <v>-7.0577399089732998E-2</v>
      </c>
      <c r="M17" s="88">
        <v>0.11837256382231001</v>
      </c>
      <c r="N17" s="116">
        <v>-1.04811087227E-2</v>
      </c>
      <c r="O17" s="89">
        <v>-0.23423711019459001</v>
      </c>
      <c r="R17" s="143"/>
    </row>
    <row r="18" spans="2:18" s="136" customFormat="1" ht="21" customHeight="1">
      <c r="B18" s="167"/>
      <c r="C18" s="83">
        <v>0.18988203005543</v>
      </c>
      <c r="D18" s="83">
        <v>6.4399999999999999E-2</v>
      </c>
      <c r="E18" s="84" t="s">
        <v>202</v>
      </c>
      <c r="F18" s="84" t="str">
        <v>鹏华双债加利债券A</v>
      </c>
      <c r="G18" s="83">
        <v>-4.0814476739004001E-4</v>
      </c>
      <c r="H18" s="83">
        <v>-4.0814476739002998E-4</v>
      </c>
      <c r="I18" s="90">
        <v>-2.6370422715104001E-2</v>
      </c>
      <c r="J18" s="90">
        <v>-4.5231679836760998E-2</v>
      </c>
      <c r="K18" s="90">
        <v>1.9754799906256001E-2</v>
      </c>
      <c r="L18" s="90">
        <v>-6.0905709922503999E-2</v>
      </c>
      <c r="M18" s="90">
        <v>0.10634192356892999</v>
      </c>
      <c r="N18" s="118">
        <v>-2.6461825581150001E-2</v>
      </c>
      <c r="O18" s="91">
        <v>-0.65775195925262997</v>
      </c>
      <c r="R18" s="143"/>
    </row>
    <row r="19" spans="2:18" ht="21" customHeight="1">
      <c r="B19" s="167"/>
      <c r="C19" s="80">
        <v>0.18120794816170999</v>
      </c>
      <c r="D19" s="80">
        <v>0</v>
      </c>
      <c r="E19" s="94" t="s">
        <v>203</v>
      </c>
      <c r="F19" s="81" t="str">
        <v>汇添富多元收益债券A</v>
      </c>
      <c r="G19" s="80">
        <v>1.0659560213844E-3</v>
      </c>
      <c r="H19" s="80">
        <v>1.0659560213844E-3</v>
      </c>
      <c r="I19" s="88">
        <v>-3.7288569969830002E-2</v>
      </c>
      <c r="J19" s="88">
        <v>-4.747565352152E-2</v>
      </c>
      <c r="K19" s="88">
        <v>1.0694827475383998E-2</v>
      </c>
      <c r="L19" s="88">
        <v>-6.6198786055969003E-2</v>
      </c>
      <c r="M19" s="88">
        <v>0.10731320450498</v>
      </c>
      <c r="N19" s="116">
        <v>-1.6423717541054001E-2</v>
      </c>
      <c r="O19" s="89">
        <v>-0.35665755670948002</v>
      </c>
    </row>
    <row r="20" spans="2:18" ht="21" customHeight="1">
      <c r="B20" s="167"/>
      <c r="C20" s="83">
        <v>0.20038170106765002</v>
      </c>
      <c r="D20" s="83">
        <v>0.1094</v>
      </c>
      <c r="E20" s="132" t="s">
        <v>204</v>
      </c>
      <c r="F20" s="84" t="str">
        <v>嘉实多利收益债券A</v>
      </c>
      <c r="G20" s="83">
        <v>-6.8688060362830994E-4</v>
      </c>
      <c r="H20" s="83">
        <v>-6.8688060362834995E-4</v>
      </c>
      <c r="I20" s="90">
        <v>-3.7974683566667999E-2</v>
      </c>
      <c r="J20" s="90">
        <v>-6.0079350128212999E-2</v>
      </c>
      <c r="K20" s="90">
        <v>2.3517587962942E-2</v>
      </c>
      <c r="L20" s="90">
        <v>-7.9686479412252001E-2</v>
      </c>
      <c r="M20" s="90">
        <v>0.15728833178358001</v>
      </c>
      <c r="N20" s="118">
        <v>-1.0672061569977E-2</v>
      </c>
      <c r="O20" s="91">
        <v>-0.36107838272595999</v>
      </c>
    </row>
    <row r="21" spans="2:18" ht="21" customHeight="1">
      <c r="B21" s="167"/>
      <c r="C21" s="80">
        <v>0.20399724241552</v>
      </c>
      <c r="D21" s="80">
        <v>7.7899999999999997E-2</v>
      </c>
      <c r="E21" s="94" t="s">
        <v>134</v>
      </c>
      <c r="F21" s="81" t="str">
        <v>景顺长城景颐丰利债券A类</v>
      </c>
      <c r="G21" s="80">
        <v>-3.4807034781174999E-3</v>
      </c>
      <c r="H21" s="80">
        <v>-3.4807034781174002E-3</v>
      </c>
      <c r="I21" s="88">
        <v>-4.7065693455773001E-2</v>
      </c>
      <c r="J21" s="88">
        <v>-6.4700729966494994E-2</v>
      </c>
      <c r="K21" s="88">
        <v>1.8854966614153E-2</v>
      </c>
      <c r="L21" s="88">
        <v>-7.8192169154790991E-2</v>
      </c>
      <c r="M21" s="88">
        <v>0.14797795317012</v>
      </c>
      <c r="N21" s="116">
        <v>-4.4117187107610999E-2</v>
      </c>
      <c r="O21" s="89">
        <v>-1.2934356880164</v>
      </c>
    </row>
    <row r="22" spans="2:18" ht="21" hidden="1" customHeight="1">
      <c r="B22" s="167"/>
      <c r="C22" s="83">
        <v>0.45369425039780997</v>
      </c>
      <c r="D22" s="83">
        <v>1E-4</v>
      </c>
      <c r="E22" s="84" t="s">
        <v>188</v>
      </c>
      <c r="F22" s="84" t="str">
        <v>华安智联混合(LOF)A</v>
      </c>
      <c r="G22" s="83">
        <v>-1.014572957019E-2</v>
      </c>
      <c r="H22" s="83"/>
      <c r="I22" s="83">
        <v>-0.12295182445961</v>
      </c>
      <c r="J22" s="83"/>
      <c r="K22" s="83">
        <v>5.8957027973752997E-2</v>
      </c>
      <c r="L22" s="85">
        <v>-0.22297993814923001</v>
      </c>
      <c r="M22" s="90">
        <v>0.37666825650980001</v>
      </c>
      <c r="N22" s="118">
        <v>-1.2128070712998E-2</v>
      </c>
      <c r="O22" s="91">
        <v>-0.56715483855662996</v>
      </c>
    </row>
    <row r="23" spans="2:18" ht="21" hidden="1" customHeight="1">
      <c r="B23" s="167"/>
      <c r="C23" s="80">
        <v>0.50088497741776994</v>
      </c>
      <c r="D23" s="80">
        <v>8.929999999999999E-2</v>
      </c>
      <c r="E23" s="94" t="s">
        <v>190</v>
      </c>
      <c r="F23" s="81" t="str">
        <v>博时浦惠一年持有期混合A</v>
      </c>
      <c r="G23" s="80">
        <v>1.3802622498276E-3</v>
      </c>
      <c r="H23" s="80"/>
      <c r="I23" s="80">
        <v>-5.4038391886997002E-2</v>
      </c>
      <c r="J23" s="80"/>
      <c r="K23" s="80">
        <v>8.8159320056661994E-2</v>
      </c>
      <c r="L23" s="82">
        <v>-0.21116341627438001</v>
      </c>
      <c r="M23" s="88">
        <v>0.33944886158087001</v>
      </c>
      <c r="N23" s="116">
        <v>-1.3304140669243E-2</v>
      </c>
      <c r="O23" s="89">
        <v>-0.53968069126259999</v>
      </c>
    </row>
    <row r="24" spans="2:18" ht="21" hidden="1" customHeight="1">
      <c r="B24" s="167"/>
      <c r="C24" s="83">
        <v>0.40001187383057002</v>
      </c>
      <c r="D24" s="83">
        <v>0.20660000000000001</v>
      </c>
      <c r="E24" s="84" t="s">
        <v>189</v>
      </c>
      <c r="F24" s="84" t="str">
        <v>金鹰民富收益混合A</v>
      </c>
      <c r="G24" s="83">
        <v>-4.1189931350114001E-3</v>
      </c>
      <c r="H24" s="83"/>
      <c r="I24" s="83">
        <v>-6.2634617041440008E-2</v>
      </c>
      <c r="J24" s="83"/>
      <c r="K24" s="83">
        <v>5.8159891071776E-2</v>
      </c>
      <c r="L24" s="85">
        <v>-0.21978798586572001</v>
      </c>
      <c r="M24" s="90">
        <v>0.42245757568259001</v>
      </c>
      <c r="N24" s="118">
        <v>2.2308391393631999E-2</v>
      </c>
      <c r="O24" s="91">
        <v>0.34830662107964999</v>
      </c>
    </row>
    <row r="25" spans="2:18" ht="21" hidden="1" customHeight="1">
      <c r="B25" s="167"/>
      <c r="C25" s="80">
        <v>0.39952504845337006</v>
      </c>
      <c r="D25" s="80">
        <v>0.2009</v>
      </c>
      <c r="E25" s="94" t="s">
        <v>191</v>
      </c>
      <c r="F25" s="81" t="str">
        <v>金鹰年年邮益一年持有混合A</v>
      </c>
      <c r="G25" s="80">
        <v>-3.8020136858437996E-3</v>
      </c>
      <c r="H25" s="80"/>
      <c r="I25" s="80">
        <v>-6.1612946049652999E-2</v>
      </c>
      <c r="J25" s="80"/>
      <c r="K25" s="80">
        <v>5.9056886219473005E-2</v>
      </c>
      <c r="L25" s="82">
        <v>-0.21886723948195003</v>
      </c>
      <c r="M25" s="88">
        <v>0.42075131075389005</v>
      </c>
      <c r="N25" s="116">
        <v>2.2046577730136001E-2</v>
      </c>
      <c r="O25" s="89">
        <v>0.34149264158106002</v>
      </c>
    </row>
    <row r="26" spans="2:18" s="126" customFormat="1" ht="21" hidden="1" customHeight="1">
      <c r="B26" s="168"/>
      <c r="C26" s="83">
        <v>0.47537298561574998</v>
      </c>
      <c r="D26" s="83">
        <v>0.19170000000000001</v>
      </c>
      <c r="E26" s="84" t="s">
        <v>192</v>
      </c>
      <c r="F26" s="84" t="str">
        <v>工银平衡回报6个月持有期债券A</v>
      </c>
      <c r="G26" s="83">
        <v>3.2229965156793999E-3</v>
      </c>
      <c r="H26" s="83"/>
      <c r="I26" s="83">
        <v>3.1527093596059E-2</v>
      </c>
      <c r="J26" s="83"/>
      <c r="K26" s="83">
        <v>-1.5135967162648001E-2</v>
      </c>
      <c r="L26" s="85">
        <v>-5.6528868559593007E-2</v>
      </c>
      <c r="M26" s="90">
        <v>9.5338523288343996E-2</v>
      </c>
      <c r="N26" s="118">
        <v>-1.5563088729879E-3</v>
      </c>
      <c r="O26" s="91">
        <v>6.3305529730489002E-2</v>
      </c>
      <c r="R26" s="143"/>
    </row>
    <row r="27" spans="2:18" ht="15" customHeight="1">
      <c r="B27" s="163" t="s">
        <v>215</v>
      </c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</row>
    <row r="28" spans="2:18" ht="15" customHeight="1"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</row>
  </sheetData>
  <mergeCells count="2">
    <mergeCell ref="B27:O28"/>
    <mergeCell ref="B7:B26"/>
  </mergeCells>
  <phoneticPr fontId="13" type="noConversion"/>
  <conditionalFormatting sqref="H7:K9">
    <cfRule type="cellIs" dxfId="23" priority="29" operator="greaterThan">
      <formula>0</formula>
    </cfRule>
    <cfRule type="cellIs" dxfId="22" priority="31" operator="greaterThan">
      <formula>0.0105</formula>
    </cfRule>
  </conditionalFormatting>
  <conditionalFormatting sqref="H10:K16">
    <cfRule type="cellIs" dxfId="21" priority="19" operator="greaterThan">
      <formula>0</formula>
    </cfRule>
    <cfRule type="cellIs" dxfId="20" priority="20" operator="greaterThan">
      <formula>0.0105</formula>
    </cfRule>
  </conditionalFormatting>
  <conditionalFormatting sqref="G17">
    <cfRule type="cellIs" dxfId="19" priority="13" operator="greaterThan">
      <formula>0</formula>
    </cfRule>
    <cfRule type="cellIs" dxfId="18" priority="14" operator="greaterThan">
      <formula>0.0105</formula>
    </cfRule>
  </conditionalFormatting>
  <conditionalFormatting sqref="G7:G9">
    <cfRule type="cellIs" dxfId="17" priority="23" operator="greaterThan">
      <formula>0</formula>
    </cfRule>
    <cfRule type="cellIs" dxfId="16" priority="24" operator="greaterThan">
      <formula>0.0105</formula>
    </cfRule>
  </conditionalFormatting>
  <conditionalFormatting sqref="G19 G21 G23:H23 G25:H25">
    <cfRule type="cellIs" dxfId="15" priority="5" operator="greaterThan">
      <formula>0</formula>
    </cfRule>
    <cfRule type="cellIs" dxfId="14" priority="6" operator="greaterThan">
      <formula>0.0105</formula>
    </cfRule>
  </conditionalFormatting>
  <conditionalFormatting sqref="G26:H26">
    <cfRule type="cellIs" dxfId="13" priority="1" operator="greaterThan">
      <formula>0</formula>
    </cfRule>
    <cfRule type="cellIs" dxfId="12" priority="2" operator="greaterThan">
      <formula>0.0105</formula>
    </cfRule>
  </conditionalFormatting>
  <conditionalFormatting sqref="G10:G16">
    <cfRule type="cellIs" dxfId="11" priority="15" operator="greaterThan">
      <formula>0</formula>
    </cfRule>
    <cfRule type="cellIs" dxfId="10" priority="16" operator="greaterThan">
      <formula>0.0105</formula>
    </cfRule>
  </conditionalFormatting>
  <conditionalFormatting sqref="H17:K17">
    <cfRule type="cellIs" dxfId="9" priority="17" operator="greaterThan">
      <formula>0</formula>
    </cfRule>
    <cfRule type="cellIs" dxfId="8" priority="18" operator="greaterThan">
      <formula>0.0105</formula>
    </cfRule>
  </conditionalFormatting>
  <conditionalFormatting sqref="I23:K23 I25:K25 H19:K19 H21:K21">
    <cfRule type="cellIs" dxfId="7" priority="9" operator="greaterThan">
      <formula>0</formula>
    </cfRule>
    <cfRule type="cellIs" dxfId="6" priority="10" operator="greaterThan">
      <formula>0.0105</formula>
    </cfRule>
  </conditionalFormatting>
  <conditionalFormatting sqref="I22:K22 I24:K24 H18:K18 H20:K20">
    <cfRule type="cellIs" dxfId="5" priority="11" operator="greaterThan">
      <formula>0</formula>
    </cfRule>
    <cfRule type="cellIs" dxfId="4" priority="12" operator="greaterThan">
      <formula>0.0105</formula>
    </cfRule>
  </conditionalFormatting>
  <conditionalFormatting sqref="G18 G20 G22:H22 G24:H24">
    <cfRule type="cellIs" dxfId="3" priority="7" operator="greaterThan">
      <formula>0</formula>
    </cfRule>
    <cfRule type="cellIs" dxfId="2" priority="8" operator="greaterThan">
      <formula>0.0105</formula>
    </cfRule>
  </conditionalFormatting>
  <conditionalFormatting sqref="I26:K26">
    <cfRule type="cellIs" dxfId="1" priority="3" operator="greaterThan">
      <formula>0</formula>
    </cfRule>
    <cfRule type="cellIs" dxfId="0" priority="4" operator="greaterThan">
      <formula>0.0105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9"/>
  <sheetViews>
    <sheetView workbookViewId="0">
      <selection activeCell="B3" sqref="B3"/>
    </sheetView>
  </sheetViews>
  <sheetFormatPr defaultRowHeight="14"/>
  <cols>
    <col min="1" max="1" width="11.36328125" style="95" bestFit="1" customWidth="1"/>
    <col min="2" max="2" width="15.453125" style="140" customWidth="1"/>
  </cols>
  <sheetData>
    <row r="1" spans="1:4">
      <c r="B1" s="140" t="s">
        <v>135</v>
      </c>
      <c r="C1" t="s">
        <v>255</v>
      </c>
      <c r="D1" s="93">
        <v>46244</v>
      </c>
    </row>
    <row r="2" spans="1:4">
      <c r="A2" t="str">
        <v>日期</v>
      </c>
      <c r="B2" s="140" t="s">
        <v>136</v>
      </c>
    </row>
    <row r="3" spans="1:4">
      <c r="A3" s="104">
        <v>46191</v>
      </c>
      <c r="B3" s="140">
        <v>1</v>
      </c>
      <c r="C3" s="128" t="s">
        <v>218</v>
      </c>
    </row>
    <row r="4" spans="1:4">
      <c r="A4" s="104">
        <v>46195</v>
      </c>
      <c r="B4" s="140">
        <v>1.00089571</v>
      </c>
      <c r="C4" s="128" t="s">
        <v>219</v>
      </c>
    </row>
    <row r="5" spans="1:4">
      <c r="A5" s="104">
        <v>46196</v>
      </c>
      <c r="B5" s="140">
        <v>0.99782280999999995</v>
      </c>
      <c r="C5" s="128" t="s">
        <v>220</v>
      </c>
    </row>
    <row r="6" spans="1:4">
      <c r="A6" s="104">
        <v>46197</v>
      </c>
      <c r="B6" s="140">
        <v>0.99977079999999996</v>
      </c>
      <c r="C6" s="128" t="s">
        <v>221</v>
      </c>
    </row>
    <row r="7" spans="1:4">
      <c r="A7" s="104">
        <v>46198</v>
      </c>
      <c r="B7" s="140">
        <v>1.00127827</v>
      </c>
      <c r="C7" s="128" t="s">
        <v>222</v>
      </c>
    </row>
    <row r="8" spans="1:4">
      <c r="A8" s="104">
        <v>46199</v>
      </c>
      <c r="B8" s="140">
        <v>0.99893008999999999</v>
      </c>
      <c r="C8" s="128" t="s">
        <v>223</v>
      </c>
    </row>
    <row r="9" spans="1:4">
      <c r="A9" s="104">
        <v>46202</v>
      </c>
      <c r="B9" s="140">
        <v>1.00052151</v>
      </c>
      <c r="C9" s="128" t="s">
        <v>224</v>
      </c>
    </row>
    <row r="10" spans="1:4">
      <c r="A10" s="104">
        <v>46203</v>
      </c>
      <c r="B10" s="140">
        <v>1.00271066</v>
      </c>
      <c r="C10" s="128" t="s">
        <v>225</v>
      </c>
    </row>
    <row r="11" spans="1:4">
      <c r="A11" s="104">
        <v>46204</v>
      </c>
      <c r="B11" s="140">
        <v>0.99998487999999996</v>
      </c>
      <c r="C11" s="128" t="s">
        <v>226</v>
      </c>
    </row>
    <row r="12" spans="1:4">
      <c r="A12" s="104">
        <v>46205</v>
      </c>
      <c r="B12" s="140">
        <v>0.99402933000000004</v>
      </c>
      <c r="C12" s="128" t="s">
        <v>227</v>
      </c>
    </row>
    <row r="13" spans="1:4">
      <c r="A13" s="104">
        <v>46206</v>
      </c>
      <c r="B13" s="140">
        <v>0.99491236999999999</v>
      </c>
      <c r="C13" s="128" t="s">
        <v>228</v>
      </c>
    </row>
    <row r="14" spans="1:4">
      <c r="A14" s="104">
        <v>46209</v>
      </c>
      <c r="B14" s="140">
        <v>0.99396983999999999</v>
      </c>
      <c r="C14" s="128" t="s">
        <v>229</v>
      </c>
    </row>
    <row r="15" spans="1:4">
      <c r="A15" s="104">
        <v>46210</v>
      </c>
      <c r="B15" s="140">
        <v>0.99336488999999994</v>
      </c>
      <c r="C15" s="128" t="s">
        <v>230</v>
      </c>
    </row>
    <row r="16" spans="1:4">
      <c r="A16" s="104">
        <v>46211</v>
      </c>
      <c r="B16" s="174" t="s">
        <v>180</v>
      </c>
      <c r="C16" s="128" t="s">
        <v>231</v>
      </c>
    </row>
    <row r="17" spans="1:3" ht="15">
      <c r="A17" s="104">
        <v>46212</v>
      </c>
      <c r="B17" s="175" t="s">
        <v>182</v>
      </c>
      <c r="C17" s="128" t="s">
        <v>232</v>
      </c>
    </row>
    <row r="18" spans="1:3">
      <c r="A18" s="104">
        <v>46213</v>
      </c>
      <c r="B18" s="174" t="s">
        <v>183</v>
      </c>
      <c r="C18" s="128" t="s">
        <v>233</v>
      </c>
    </row>
    <row r="19" spans="1:3">
      <c r="A19" s="104">
        <v>46216</v>
      </c>
      <c r="B19" s="174" t="s">
        <v>184</v>
      </c>
      <c r="C19" s="128" t="s">
        <v>234</v>
      </c>
    </row>
    <row r="20" spans="1:3">
      <c r="A20" s="104">
        <v>46217</v>
      </c>
      <c r="B20" s="140" t="s">
        <v>185</v>
      </c>
      <c r="C20" s="128" t="s">
        <v>235</v>
      </c>
    </row>
    <row r="21" spans="1:3">
      <c r="A21" s="104">
        <v>46218</v>
      </c>
      <c r="B21" s="140" t="s">
        <v>186</v>
      </c>
      <c r="C21" s="128" t="s">
        <v>236</v>
      </c>
    </row>
    <row r="22" spans="1:3">
      <c r="A22" s="104">
        <v>46219</v>
      </c>
      <c r="B22" s="140" t="s">
        <v>187</v>
      </c>
      <c r="C22" s="128" t="s">
        <v>237</v>
      </c>
    </row>
    <row r="23" spans="1:3">
      <c r="A23" s="104">
        <v>46220</v>
      </c>
      <c r="B23" s="140">
        <v>0.97886371999999999</v>
      </c>
      <c r="C23" s="128" t="s">
        <v>238</v>
      </c>
    </row>
    <row r="24" spans="1:3">
      <c r="A24" s="104">
        <v>46223</v>
      </c>
      <c r="B24" s="140">
        <v>0.97537549999999995</v>
      </c>
      <c r="C24" s="128" t="s">
        <v>239</v>
      </c>
    </row>
    <row r="25" spans="1:3">
      <c r="A25" s="104">
        <v>46224</v>
      </c>
      <c r="B25" s="140">
        <v>0.98437008000000004</v>
      </c>
      <c r="C25" s="128" t="s">
        <v>240</v>
      </c>
    </row>
    <row r="26" spans="1:3">
      <c r="A26" s="104">
        <v>46225</v>
      </c>
      <c r="B26" s="140">
        <v>0.98402323999999997</v>
      </c>
      <c r="C26" s="128" t="s">
        <v>241</v>
      </c>
    </row>
    <row r="27" spans="1:3">
      <c r="A27" s="104">
        <v>46226</v>
      </c>
      <c r="B27" s="140">
        <v>0.98279921000000003</v>
      </c>
      <c r="C27" s="128" t="s">
        <v>242</v>
      </c>
    </row>
    <row r="28" spans="1:3">
      <c r="A28" s="104">
        <v>46227</v>
      </c>
      <c r="B28" s="140">
        <v>0.98152945999999996</v>
      </c>
      <c r="C28" s="128" t="s">
        <v>243</v>
      </c>
    </row>
    <row r="29" spans="1:3">
      <c r="A29" s="104">
        <v>46230</v>
      </c>
      <c r="B29" s="140">
        <v>0.98516413000000003</v>
      </c>
      <c r="C29" s="128" t="s">
        <v>244</v>
      </c>
    </row>
    <row r="30" spans="1:3">
      <c r="A30" s="104">
        <v>46231</v>
      </c>
      <c r="B30" s="140">
        <v>0.97865577000000004</v>
      </c>
      <c r="C30" s="128" t="s">
        <v>245</v>
      </c>
    </row>
    <row r="31" spans="1:3">
      <c r="A31" s="104">
        <v>46232</v>
      </c>
      <c r="B31" s="140">
        <v>0.97811842999999998</v>
      </c>
      <c r="C31" s="128" t="s">
        <v>246</v>
      </c>
    </row>
    <row r="32" spans="1:3">
      <c r="A32" s="104">
        <v>46233</v>
      </c>
      <c r="B32" s="140">
        <v>0.97376326000000002</v>
      </c>
      <c r="C32" s="128" t="s">
        <v>247</v>
      </c>
    </row>
    <row r="33" spans="1:3">
      <c r="A33" s="104">
        <v>46234</v>
      </c>
      <c r="B33" s="140">
        <v>0.97705801999999997</v>
      </c>
      <c r="C33" s="128" t="s">
        <v>248</v>
      </c>
    </row>
    <row r="34" spans="1:3">
      <c r="A34" s="104">
        <v>46237</v>
      </c>
      <c r="B34" s="140" t="s">
        <v>194</v>
      </c>
      <c r="C34" s="128" t="s">
        <v>249</v>
      </c>
    </row>
    <row r="35" spans="1:3" ht="15">
      <c r="A35" s="104">
        <v>46238</v>
      </c>
      <c r="B35" s="175" t="s">
        <v>210</v>
      </c>
      <c r="C35" s="128" t="s">
        <v>250</v>
      </c>
    </row>
    <row r="36" spans="1:3">
      <c r="A36" s="104">
        <v>46239</v>
      </c>
      <c r="B36" s="174" t="s">
        <v>211</v>
      </c>
      <c r="C36" s="128" t="s">
        <v>251</v>
      </c>
    </row>
    <row r="37" spans="1:3">
      <c r="A37" s="104">
        <v>46240</v>
      </c>
      <c r="B37" s="174" t="s">
        <v>212</v>
      </c>
      <c r="C37" s="128" t="s">
        <v>252</v>
      </c>
    </row>
    <row r="38" spans="1:3">
      <c r="A38" s="104">
        <v>46241</v>
      </c>
      <c r="B38" s="174" t="s">
        <v>213</v>
      </c>
      <c r="C38" s="128" t="s">
        <v>253</v>
      </c>
    </row>
    <row r="39" spans="1:3">
      <c r="A39" s="104">
        <v>46244</v>
      </c>
      <c r="B39" s="174" t="s">
        <v>214</v>
      </c>
      <c r="C39" s="128" t="s">
        <v>254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4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10" max="10" width="14" hidden="0" customWidth="1"/>
    <x:col min="11" max="11" width="4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180" t="str">
        <x:v>固收+基金对比（1090基石组合）</x:v>
      </x:c>
      <x:c r="B1" s="180"/>
      <x:c r="C1" s="180"/>
      <x:c r="D1" s="180"/>
      <x:c r="E1" s="180"/>
      <x:c r="F1" s="180"/>
      <x:c r="G1" s="180"/>
      <x:c r="J1" s="243" t="str">
        <x:v>净值明细（辅助计算区）</x:v>
      </x:c>
      <x:c r="K1" s="243"/>
      <x:c r="L1" s="243"/>
      <x:c r="M1" s="243"/>
      <x:c r="N1" s="243"/>
      <x:c r="O1" s="243"/>
    </x:row>
    <x:row r="2">
      <x:c r="A2" s="183" t="str">
        <x:v>日期参数（黄色蓝字单元格可编辑；三张表和最大回撤会随之更新）</x:v>
      </x:c>
      <x:c r="B2" s="183"/>
      <x:c r="C2" s="183"/>
      <x:c r="D2" s="183"/>
      <x:c r="E2" s="183"/>
      <x:c r="F2" s="183"/>
      <x:c r="G2" s="183"/>
      <x:c r="J2" s="254" t="str">
        <x:v>代码</x:v>
      </x:c>
      <x:c r="K2" s="255" t="str">
        <x:v>产品/基金名称</x:v>
      </x:c>
      <x:c r="L2" s="255" t="str">
        <x:v>日期</x:v>
      </x:c>
      <x:c r="M2" s="255" t="str">
        <x:v>复权净值</x:v>
      </x:c>
      <x:c r="N2" s="255" t="str">
        <x:v>运行高点</x:v>
      </x:c>
      <x:c r="O2" s="256" t="str">
        <x:v>回撤</x:v>
      </x:c>
    </x:row>
    <x:row r="3" ht="22" customHeight="1">
      <x:c r="A3" s="209" t="str">
        <x:v>上线以来起始</x:v>
      </x:c>
      <x:c r="B3" s="218" t="n">
        <x:v>46191</x:v>
      </x:c>
      <x:c r="C3" s="212" t="str">
        <x:v>上线以来结束</x:v>
      </x:c>
      <x:c r="D3" s="218" t="n">
        <x:v>46244</x:v>
      </x:c>
      <x:c r="E3" s="212" t="str">
        <x:v>输入提示</x:v>
      </x:c>
      <x:c r="F3" s="233" t="str">
        <x:v>日期需存在于净值明细</x:v>
      </x:c>
      <x:c r="G3" s="234"/>
      <x:c r="J3" s="257" t="str">
        <x:v>1090</x:v>
      </x:c>
      <x:c r="K3" s="258" t="str">
        <x:v>1090基石组合</x:v>
      </x:c>
      <x:c r="L3" s="259" t="n">
        <x:f>'1090实盘净值'!A3+0</x:f>
        <x:v>46191</x:v>
      </x:c>
      <x:c r="M3" s="260" t="n">
        <x:f>'1090实盘净值'!B3+0</x:f>
        <x:v>1</x:v>
      </x:c>
      <x:c r="N3" s="261" t="n">
        <x:f>IF(OR(L3&lt;$B$3,L3&gt;$D$3),"",M3)</x:f>
        <x:v>1</x:v>
      </x:c>
      <x:c r="O3" s="262" t="n">
        <x:f>IF(N3="","",M3/N3-1)</x:f>
        <x:v>0</x:v>
      </x:c>
    </x:row>
    <x:row r="4" ht="22" customHeight="1">
      <x:c r="A4" s="210" t="str">
        <x:v>区间1起始</x:v>
      </x:c>
      <x:c r="B4" s="222" t="n">
        <x:v>46191</x:v>
      </x:c>
      <x:c r="C4" s="213" t="str">
        <x:v>区间1结束</x:v>
      </x:c>
      <x:c r="D4" s="222" t="n">
        <x:v>46234</x:v>
      </x:c>
      <x:c r="E4" s="213" t="str">
        <x:v>基金净值覆盖</x:v>
      </x:c>
      <x:c r="F4" s="235" t="str">
        <x:v>2026-06-18 至 2026-08-10</x:v>
      </x:c>
      <x:c r="G4" s="236"/>
      <x:c r="J4" s="257" t="str">
        <x:v>1090</x:v>
      </x:c>
      <x:c r="K4" s="258" t="str">
        <x:v>1090基石组合</x:v>
      </x:c>
      <x:c r="L4" s="259" t="n">
        <x:f>'1090实盘净值'!A4+0</x:f>
        <x:v>46195</x:v>
      </x:c>
      <x:c r="M4" s="260" t="n">
        <x:f>'1090实盘净值'!B4+0</x:f>
        <x:v>1.00089571</x:v>
      </x:c>
      <x:c r="N4" s="261" t="n">
        <x:f>IF(OR(L4&lt;$B$3,L4&gt;$D$3),"",IF(AND(J4=J3,N3&lt;&gt;""),MAX(M4,N3),M4))</x:f>
        <x:v>1.00089571</x:v>
      </x:c>
      <x:c r="O4" s="262" t="n">
        <x:f>IF(N4="","",M4/N4-1)</x:f>
        <x:v>0</x:v>
      </x:c>
    </x:row>
    <x:row r="5" ht="22" customHeight="1">
      <x:c r="A5" s="211" t="str">
        <x:v>区间2起始</x:v>
      </x:c>
      <x:c r="B5" s="226" t="n">
        <x:v>46237</x:v>
      </x:c>
      <x:c r="C5" s="214" t="str">
        <x:v>区间2结束</x:v>
      </x:c>
      <x:c r="D5" s="226" t="n">
        <x:v>46244</x:v>
      </x:c>
      <x:c r="E5" s="214" t="str">
        <x:v>1090净值来源</x:v>
      </x:c>
      <x:c r="F5" s="237" t="str">
        <x:v>“1090实盘净值”B列</x:v>
      </x:c>
      <x:c r="G5" s="238"/>
      <x:c r="J5" s="257" t="str">
        <x:v>1090</x:v>
      </x:c>
      <x:c r="K5" s="258" t="str">
        <x:v>1090基石组合</x:v>
      </x:c>
      <x:c r="L5" s="259" t="n">
        <x:f>'1090实盘净值'!A5+0</x:f>
        <x:v>46196</x:v>
      </x:c>
      <x:c r="M5" s="260" t="n">
        <x:f>'1090实盘净值'!B5+0</x:f>
        <x:v>0.99782281</x:v>
      </x:c>
      <x:c r="N5" s="261" t="n">
        <x:f>IF(OR(L5&lt;$B$3,L5&gt;$D$3),"",IF(AND(J5=J4,N4&lt;&gt;""),MAX(M5,N4),M5))</x:f>
        <x:v>1.00089571</x:v>
      </x:c>
      <x:c r="O5" s="262" t="n">
        <x:f>IF(N5="","",M5/N5-1)</x:f>
        <x:v>-0.0030701500359113787</x:v>
      </x:c>
    </x:row>
    <x:row r="6">
      <x:c r="A6" s="240" t="str">
        <x:v>基金代码与复权单位净值来源：同花顺 iFinD（https://www.51ifind.com）；同名基金按 A 类/主份额匹配。</x:v>
      </x:c>
      <x:c r="B6" s="240"/>
      <x:c r="C6" s="240"/>
      <x:c r="D6" s="240"/>
      <x:c r="E6" s="240"/>
      <x:c r="F6" s="240"/>
      <x:c r="G6" s="240"/>
      <x:c r="J6" s="257" t="str">
        <x:v>1090</x:v>
      </x:c>
      <x:c r="K6" s="258" t="str">
        <x:v>1090基石组合</x:v>
      </x:c>
      <x:c r="L6" s="259" t="n">
        <x:f>'1090实盘净值'!A6+0</x:f>
        <x:v>46197</x:v>
      </x:c>
      <x:c r="M6" s="260" t="n">
        <x:f>'1090实盘净值'!B6+0</x:f>
        <x:v>0.9997708</x:v>
      </x:c>
      <x:c r="N6" s="261" t="n">
        <x:f>IF(OR(L6&lt;$B$3,L6&gt;$D$3),"",IF(AND(J6=J5,N5&lt;&gt;""),MAX(M6,N5),M6))</x:f>
        <x:v>1.00089571</x:v>
      </x:c>
      <x:c r="O6" s="262" t="n">
        <x:f>IF(N6="","",M6/N6-1)</x:f>
        <x:v>-0.0011239033085674865</x:v>
      </x:c>
    </x:row>
    <x:row r="7">
      <x:c r="J7" s="257" t="str">
        <x:v>1090</x:v>
      </x:c>
      <x:c r="K7" s="258" t="str">
        <x:v>1090基石组合</x:v>
      </x:c>
      <x:c r="L7" s="259" t="n">
        <x:f>'1090实盘净值'!A7+0</x:f>
        <x:v>46198</x:v>
      </x:c>
      <x:c r="M7" s="260" t="n">
        <x:f>'1090实盘净值'!B7+0</x:f>
        <x:v>1.00127827</x:v>
      </x:c>
      <x:c r="N7" s="261" t="n">
        <x:f>IF(OR(L7&lt;$B$3,L7&gt;$D$3),"",IF(AND(J7=J6,N6&lt;&gt;""),MAX(M7,N6),M7))</x:f>
        <x:v>1.00127827</x:v>
      </x:c>
      <x:c r="O7" s="262" t="n">
        <x:f>IF(N7="","",M7/N7-1)</x:f>
        <x:v>0</x:v>
      </x:c>
    </x:row>
    <x:row r="8" ht="24" customHeight="1">
      <x:c r="A8" s="270" t="str">
        <x:v>1090基石组合与全市场固收+保有前十基金对比</x:v>
      </x:c>
      <x:c r="B8" s="270"/>
      <x:c r="C8" s="270"/>
      <x:c r="D8" s="270"/>
      <x:c r="E8" s="270"/>
      <x:c r="F8" s="270"/>
      <x:c r="G8" s="270"/>
      <x:c r="J8" s="257" t="str">
        <x:v>1090</x:v>
      </x:c>
      <x:c r="K8" s="258" t="str">
        <x:v>1090基石组合</x:v>
      </x:c>
      <x:c r="L8" s="259" t="n">
        <x:f>'1090实盘净值'!A8+0</x:f>
        <x:v>46199</x:v>
      </x:c>
      <x:c r="M8" s="260" t="n">
        <x:f>'1090实盘净值'!B8+0</x:f>
        <x:v>0.99893009</x:v>
      </x:c>
      <x:c r="N8" s="261" t="n">
        <x:f>IF(OR(L8&lt;$B$3,L8&gt;$D$3),"",IF(AND(J8=J7,N7&lt;&gt;""),MAX(M8,N7),M8))</x:f>
        <x:v>1.00127827</x:v>
      </x:c>
      <x:c r="O8" s="262" t="n">
        <x:f>IF(N8="","",M8/N8-1)</x:f>
        <x:v>-0.0023451822239186626</x:v>
      </x:c>
    </x:row>
    <x:row r="9" ht="34" customHeight="1">
      <x:c r="A9" s="276" t="str">
        <x:v>序号</x:v>
      </x:c>
      <x:c r="B9" s="276" t="str">
        <x:v>基金代码</x:v>
      </x:c>
      <x:c r="C9" s="276" t="str">
        <x:v>产品/基金名称</x:v>
      </x:c>
      <x:c r="D9" s="276" t="str">
        <x:v>上线以来收益率</x:v>
      </x:c>
      <x:c r="E9" s="276" t="str">
        <x:v>区间1收益率</x:v>
      </x:c>
      <x:c r="F9" s="276" t="str">
        <x:v>区间2收益率</x:v>
      </x:c>
      <x:c r="G9" s="276" t="str">
        <x:v>最大回撤（上线以来）</x:v>
      </x:c>
      <x:c r="J9" s="257" t="str">
        <x:v>1090</x:v>
      </x:c>
      <x:c r="K9" s="258" t="str">
        <x:v>1090基石组合</x:v>
      </x:c>
      <x:c r="L9" s="259" t="n">
        <x:f>'1090实盘净值'!A9+0</x:f>
        <x:v>46202</x:v>
      </x:c>
      <x:c r="M9" s="260" t="n">
        <x:f>'1090实盘净值'!B9+0</x:f>
        <x:v>1.00052151</x:v>
      </x:c>
      <x:c r="N9" s="261" t="n">
        <x:f>IF(OR(L9&lt;$B$3,L9&gt;$D$3),"",IF(AND(J9=J8,N8&lt;&gt;""),MAX(M9,N8),M9))</x:f>
        <x:v>1.00127827</x:v>
      </x:c>
      <x:c r="O9" s="262" t="n">
        <x:f>IF(N9="","",M9/N9-1)</x:f>
        <x:v>-0.0007557938913425044</x:v>
      </x:c>
    </x:row>
    <x:row r="10">
      <x:c r="A10" s="318" t="str">
        <x:v>组合</x:v>
      </x:c>
      <x:c r="B10" s="326" t="str">
        <x:v>1090</x:v>
      </x:c>
      <x:c r="C10" s="322" t="str">
        <x:v>1090基石组合</x:v>
      </x:c>
      <x:c r="D10" s="330" t="n">
        <x:f>IF(OR(COUNTIFS($J$3:$J$1281,$B10,$L$3:$L$1281,$B$3)=0,COUNTIFS($J$3:$J$1281,$B10,$L$3:$L$1281,$D$3)=0),"",SUMIFS($M$3:$M$1281,$J$3:$J$1281,$B10,$L$3:$L$1281,$D$3)/SUMIFS($M$3:$M$1281,$J$3:$J$1281,$B10,$L$3:$L$1281,$B$3)-1)</x:f>
        <x:v>-0.008147459999999995</x:v>
      </x:c>
      <x:c r="E10" s="330" t="n">
        <x:f>IF(OR(COUNTIFS($J$3:$J$1281,$B10,$L$3:$L$1281,$B$4)=0,COUNTIFS($J$3:$J$1281,$B10,$L$3:$L$1281,$D$4)=0),"",SUMIFS($M$3:$M$1281,$J$3:$J$1281,$B10,$L$3:$L$1281,$D$4)/SUMIFS($M$3:$M$1281,$J$3:$J$1281,$B10,$L$3:$L$1281,$B$4)-1)</x:f>
        <x:v>-0.02294198000000003</x:v>
      </x:c>
      <x:c r="F10" s="330" t="n">
        <x:f>IF(OR(COUNTIFS($J$3:$J$1281,$B10,$L$3:$L$1281,$B$5)=0,COUNTIFS($J$3:$J$1281,$B10,$L$3:$L$1281,$D$5)=0),"",SUMIFS($M$3:$M$1281,$J$3:$J$1281,$B10,$L$3:$L$1281,$D$5)/SUMIFS($M$3:$M$1281,$J$3:$J$1281,$B10,$L$3:$L$1281,$B$5)-1)</x:f>
        <x:v>0.017601949916711934</x:v>
      </x:c>
      <x:c r="G10" s="331" t="n">
        <x:f>IFERROR(MINIFS($O$3:$O$1281,$J$3:$J$1281,$B10,$L$3:$L$1281,"&gt;="&amp;$B$3,$L$3:$L$1281,"&lt;="&amp;$D$3),"")</x:f>
        <x:v>-0.02886914556189113</x:v>
      </x:c>
      <x:c r="J10" s="257" t="str">
        <x:v>1090</x:v>
      </x:c>
      <x:c r="K10" s="258" t="str">
        <x:v>1090基石组合</x:v>
      </x:c>
      <x:c r="L10" s="259" t="n">
        <x:f>'1090实盘净值'!A10+0</x:f>
        <x:v>46203</x:v>
      </x:c>
      <x:c r="M10" s="260" t="n">
        <x:f>'1090实盘净值'!B10+0</x:f>
        <x:v>1.00271066</x:v>
      </x:c>
      <x:c r="N10" s="261" t="n">
        <x:f>IF(OR(L10&lt;$B$3,L10&gt;$D$3),"",IF(AND(J10=J9,N9&lt;&gt;""),MAX(M10,N9),M10))</x:f>
        <x:v>1.00271066</x:v>
      </x:c>
      <x:c r="O10" s="262" t="n">
        <x:f>IF(N10="","",M10/N10-1)</x:f>
        <x:v>0</x:v>
      </x:c>
    </x:row>
    <x:row r="11">
      <x:c r="A11" s="319" t="n">
        <x:v>1</x:v>
      </x:c>
      <x:c r="B11" s="327" t="str">
        <x:v>003504.OF</x:v>
      </x:c>
      <x:c r="C11" s="323" t="str">
        <x:v>景顺长城景颐丰利债券A</x:v>
      </x:c>
      <x:c r="D11" s="332" t="n">
        <x:f>IF(OR(COUNTIFS($J$3:$J$1281,$B11,$L$3:$L$1281,$B$3)=0,COUNTIFS($J$3:$J$1281,$B11,$L$3:$L$1281,$D$3)=0),"",SUMIFS($M$3:$M$1281,$J$3:$J$1281,$B11,$L$3:$L$1281,$D$3)/SUMIFS($M$3:$M$1281,$J$3:$J$1281,$B11,$L$3:$L$1281,$B$3)-1)</x:f>
        <x:v>-0.0471032605676831</x:v>
      </x:c>
      <x:c r="E11" s="332" t="n">
        <x:f>IF(OR(COUNTIFS($J$3:$J$1281,$B11,$L$3:$L$1281,$B$4)=0,COUNTIFS($J$3:$J$1281,$B11,$L$3:$L$1281,$D$4)=0),"",SUMIFS($M$3:$M$1281,$J$3:$J$1281,$B11,$L$3:$L$1281,$D$4)/SUMIFS($M$3:$M$1281,$J$3:$J$1281,$B11,$L$3:$L$1281,$B$4)-1)</x:f>
        <x:v>-0.06471143698272508</x:v>
      </x:c>
      <x:c r="F11" s="332" t="n">
        <x:f>IF(OR(COUNTIFS($J$3:$J$1281,$B11,$L$3:$L$1281,$B$5)=0,COUNTIFS($J$3:$J$1281,$B11,$L$3:$L$1281,$D$5)=0),"",SUMIFS($M$3:$M$1281,$J$3:$J$1281,$B11,$L$3:$L$1281,$D$5)/SUMIFS($M$3:$M$1281,$J$3:$J$1281,$B11,$L$3:$L$1281,$B$5)-1)</x:f>
        <x:v>0.024179104477611846</x:v>
      </x:c>
      <x:c r="G11" s="333" t="n">
        <x:f>IFERROR(MINIFS($O$3:$O$1281,$J$3:$J$1281,$B11,$L$3:$L$1281,"&gt;="&amp;$B$3,$L$3:$L$1281,"&lt;="&amp;$D$3),"")</x:f>
        <x:v>-0.07819407603890371</x:v>
      </x:c>
      <x:c r="J11" s="257" t="str">
        <x:v>1090</x:v>
      </x:c>
      <x:c r="K11" s="258" t="str">
        <x:v>1090基石组合</x:v>
      </x:c>
      <x:c r="L11" s="259" t="n">
        <x:f>'1090实盘净值'!A11+0</x:f>
        <x:v>46204</x:v>
      </x:c>
      <x:c r="M11" s="260" t="n">
        <x:f>'1090实盘净值'!B11+0</x:f>
        <x:v>0.99998488</x:v>
      </x:c>
      <x:c r="N11" s="261" t="n">
        <x:f>IF(OR(L11&lt;$B$3,L11&gt;$D$3),"",IF(AND(J11=J10,N10&lt;&gt;""),MAX(M11,N10),M11))</x:f>
        <x:v>1.00271066</x:v>
      </x:c>
      <x:c r="O11" s="262" t="n">
        <x:f>IF(N11="","",M11/N11-1)</x:f>
        <x:v>-0.0027184113111952124</x:v>
      </x:c>
    </x:row>
    <x:row r="12">
      <x:c r="A12" s="320" t="n">
        <x:v>2</x:v>
      </x:c>
      <x:c r="B12" s="328" t="str">
        <x:v>000143.OF</x:v>
      </x:c>
      <x:c r="C12" s="324" t="str">
        <x:v>鹏华双债加利债券A</x:v>
      </x:c>
      <x:c r="D12" s="334" t="n">
        <x:f>IF(OR(COUNTIFS($J$3:$J$1281,$B12,$L$3:$L$1281,$B$3)=0,COUNTIFS($J$3:$J$1281,$B12,$L$3:$L$1281,$D$3)=0),"",SUMIFS($M$3:$M$1281,$J$3:$J$1281,$B12,$L$3:$L$1281,$D$3)/SUMIFS($M$3:$M$1281,$J$3:$J$1281,$B12,$L$3:$L$1281,$B$3)-1)</x:f>
        <x:v>-0.026357487922705314</x:v>
      </x:c>
      <x:c r="E12" s="334" t="n">
        <x:f>IF(OR(COUNTIFS($J$3:$J$1281,$B12,$L$3:$L$1281,$B$4)=0,COUNTIFS($J$3:$J$1281,$B12,$L$3:$L$1281,$D$4)=0),"",SUMIFS($M$3:$M$1281,$J$3:$J$1281,$B12,$L$3:$L$1281,$D$4)/SUMIFS($M$3:$M$1281,$J$3:$J$1281,$B12,$L$3:$L$1281,$B$4)-1)</x:f>
        <x:v>-0.045217391304347876</x:v>
      </x:c>
      <x:c r="F12" s="334" t="n">
        <x:f>IF(OR(COUNTIFS($J$3:$J$1281,$B12,$L$3:$L$1281,$B$5)=0,COUNTIFS($J$3:$J$1281,$B12,$L$3:$L$1281,$D$5)=0),"",SUMIFS($M$3:$M$1281,$J$3:$J$1281,$B12,$L$3:$L$1281,$D$5)/SUMIFS($M$3:$M$1281,$J$3:$J$1281,$B12,$L$3:$L$1281,$B$5)-1)</x:f>
        <x:v>0.026191446028513088</x:v>
      </x:c>
      <x:c r="G12" s="335" t="n">
        <x:f>IFERROR(MINIFS($O$3:$O$1281,$J$3:$J$1281,$B12,$L$3:$L$1281,"&gt;="&amp;$B$3,$L$3:$L$1281,"&lt;="&amp;$D$3),"")</x:f>
        <x:v>-0.060906515580736564</x:v>
      </x:c>
      <x:c r="J12" s="257" t="str">
        <x:v>1090</x:v>
      </x:c>
      <x:c r="K12" s="258" t="str">
        <x:v>1090基石组合</x:v>
      </x:c>
      <x:c r="L12" s="259" t="n">
        <x:f>'1090实盘净值'!A12+0</x:f>
        <x:v>46205</x:v>
      </x:c>
      <x:c r="M12" s="260" t="n">
        <x:f>'1090实盘净值'!B12+0</x:f>
        <x:v>0.99402933</x:v>
      </x:c>
      <x:c r="N12" s="261" t="n">
        <x:f>IF(OR(L12&lt;$B$3,L12&gt;$D$3),"",IF(AND(J12=J11,N11&lt;&gt;""),MAX(M12,N11),M12))</x:f>
        <x:v>1.00271066</x:v>
      </x:c>
      <x:c r="O12" s="262" t="n">
        <x:f>IF(N12="","",M12/N12-1)</x:f>
        <x:v>-0.008657861481197293</x:v>
      </x:c>
    </x:row>
    <x:row r="13">
      <x:c r="A13" s="319" t="n">
        <x:v>3</x:v>
      </x:c>
      <x:c r="B13" s="327" t="str">
        <x:v>000385.OF</x:v>
      </x:c>
      <x:c r="C13" s="323" t="str">
        <x:v>景顺长城景颐双利债券A</x:v>
      </x:c>
      <x:c r="D13" s="332" t="n">
        <x:f>IF(OR(COUNTIFS($J$3:$J$1281,$B13,$L$3:$L$1281,$B$3)=0,COUNTIFS($J$3:$J$1281,$B13,$L$3:$L$1281,$D$3)=0),"",SUMIFS($M$3:$M$1281,$J$3:$J$1281,$B13,$L$3:$L$1281,$D$3)/SUMIFS($M$3:$M$1281,$J$3:$J$1281,$B13,$L$3:$L$1281,$B$3)-1)</x:f>
        <x:v>-0.004195987586870009</x:v>
      </x:c>
      <x:c r="E13" s="332" t="n">
        <x:f>IF(OR(COUNTIFS($J$3:$J$1281,$B13,$L$3:$L$1281,$B$4)=0,COUNTIFS($J$3:$J$1281,$B13,$L$3:$L$1281,$D$4)=0),"",SUMIFS($M$3:$M$1281,$J$3:$J$1281,$B13,$L$3:$L$1281,$D$4)/SUMIFS($M$3:$M$1281,$J$3:$J$1281,$B13,$L$3:$L$1281,$B$4)-1)</x:f>
        <x:v>-0.01206346431225147</x:v>
      </x:c>
      <x:c r="F13" s="332" t="n">
        <x:f>IF(OR(COUNTIFS($J$3:$J$1281,$B13,$L$3:$L$1281,$B$5)=0,COUNTIFS($J$3:$J$1281,$B13,$L$3:$L$1281,$D$5)=0),"",SUMIFS($M$3:$M$1281,$J$3:$J$1281,$B13,$L$3:$L$1281,$D$5)/SUMIFS($M$3:$M$1281,$J$3:$J$1281,$B13,$L$3:$L$1281,$B$5)-1)</x:f>
        <x:v>0.010108623365107539</x:v>
      </x:c>
      <x:c r="G13" s="333" t="n">
        <x:f>IFERROR(MINIFS($O$3:$O$1281,$J$3:$J$1281,$B13,$L$3:$L$1281,"&gt;="&amp;$B$3,$L$3:$L$1281,"&lt;="&amp;$D$3),"")</x:f>
        <x:v>-0.024535607082263877</x:v>
      </x:c>
      <x:c r="J13" s="257" t="str">
        <x:v>1090</x:v>
      </x:c>
      <x:c r="K13" s="258" t="str">
        <x:v>1090基石组合</x:v>
      </x:c>
      <x:c r="L13" s="259" t="n">
        <x:f>'1090实盘净值'!A13+0</x:f>
        <x:v>46206</x:v>
      </x:c>
      <x:c r="M13" s="260" t="n">
        <x:f>'1090实盘净值'!B13+0</x:f>
        <x:v>0.99491237</x:v>
      </x:c>
      <x:c r="N13" s="261" t="n">
        <x:f>IF(OR(L13&lt;$B$3,L13&gt;$D$3),"",IF(AND(J13=J12,N12&lt;&gt;""),MAX(M13,N12),M13))</x:f>
        <x:v>1.00271066</x:v>
      </x:c>
      <x:c r="O13" s="262" t="n">
        <x:f>IF(N13="","",M13/N13-1)</x:f>
        <x:v>-0.007777208631650545</x:v>
      </x:c>
    </x:row>
    <x:row r="14">
      <x:c r="A14" s="320" t="n">
        <x:v>4</x:v>
      </x:c>
      <x:c r="B14" s="328" t="str">
        <x:v>002065.OF</x:v>
      </x:c>
      <x:c r="C14" s="324" t="str">
        <x:v>景顺长城景盛双息收益债券A</x:v>
      </x:c>
      <x:c r="D14" s="334" t="n">
        <x:f>IF(OR(COUNTIFS($J$3:$J$1281,$B14,$L$3:$L$1281,$B$3)=0,COUNTIFS($J$3:$J$1281,$B14,$L$3:$L$1281,$D$3)=0),"",SUMIFS($M$3:$M$1281,$J$3:$J$1281,$B14,$L$3:$L$1281,$D$3)/SUMIFS($M$3:$M$1281,$J$3:$J$1281,$B14,$L$3:$L$1281,$B$3)-1)</x:f>
        <x:v>0.032769848967715065</x:v>
      </x:c>
      <x:c r="E14" s="334" t="n">
        <x:f>IF(OR(COUNTIFS($J$3:$J$1281,$B14,$L$3:$L$1281,$B$4)=0,COUNTIFS($J$3:$J$1281,$B14,$L$3:$L$1281,$D$4)=0),"",SUMIFS($M$3:$M$1281,$J$3:$J$1281,$B14,$L$3:$L$1281,$D$4)/SUMIFS($M$3:$M$1281,$J$3:$J$1281,$B14,$L$3:$L$1281,$B$4)-1)</x:f>
        <x:v>0.018359429125675453</x:v>
      </x:c>
      <x:c r="F14" s="334" t="n">
        <x:f>IF(OR(COUNTIFS($J$3:$J$1281,$B14,$L$3:$L$1281,$B$5)=0,COUNTIFS($J$3:$J$1281,$B14,$L$3:$L$1281,$D$5)=0),"",SUMIFS($M$3:$M$1281,$J$3:$J$1281,$B14,$L$3:$L$1281,$D$5)/SUMIFS($M$3:$M$1281,$J$3:$J$1281,$B14,$L$3:$L$1281,$B$5)-1)</x:f>
        <x:v>0.015739983646770206</x:v>
      </x:c>
      <x:c r="G14" s="335" t="n">
        <x:f>IFERROR(MINIFS($O$3:$O$1281,$J$3:$J$1281,$B14,$L$3:$L$1281,"&gt;="&amp;$B$3,$L$3:$L$1281,"&lt;="&amp;$D$3),"")</x:f>
        <x:v>-0.019857960421981624</x:v>
      </x:c>
      <x:c r="J14" s="257" t="str">
        <x:v>1090</x:v>
      </x:c>
      <x:c r="K14" s="258" t="str">
        <x:v>1090基石组合</x:v>
      </x:c>
      <x:c r="L14" s="259" t="n">
        <x:f>'1090实盘净值'!A14+0</x:f>
        <x:v>46209</x:v>
      </x:c>
      <x:c r="M14" s="260" t="n">
        <x:f>'1090实盘净值'!B14+0</x:f>
        <x:v>0.99396984</x:v>
      </x:c>
      <x:c r="N14" s="261" t="n">
        <x:f>IF(OR(L14&lt;$B$3,L14&gt;$D$3),"",IF(AND(J14=J13,N13&lt;&gt;""),MAX(M14,N13),M14))</x:f>
        <x:v>1.00271066</x:v>
      </x:c>
      <x:c r="O14" s="262" t="n">
        <x:f>IF(N14="","",M14/N14-1)</x:f>
        <x:v>-0.008717190659965679</x:v>
      </x:c>
    </x:row>
    <x:row r="15">
      <x:c r="A15" s="319" t="n">
        <x:v>5</x:v>
      </x:c>
      <x:c r="B15" s="327" t="str">
        <x:v>002969.OF</x:v>
      </x:c>
      <x:c r="C15" s="323" t="str">
        <x:v>易方达丰和债券A</x:v>
      </x:c>
      <x:c r="D15" s="332" t="n">
        <x:f>IF(OR(COUNTIFS($J$3:$J$1281,$B15,$L$3:$L$1281,$B$3)=0,COUNTIFS($J$3:$J$1281,$B15,$L$3:$L$1281,$D$3)=0),"",SUMIFS($M$3:$M$1281,$J$3:$J$1281,$B15,$L$3:$L$1281,$D$3)/SUMIFS($M$3:$M$1281,$J$3:$J$1281,$B15,$L$3:$L$1281,$B$3)-1)</x:f>
        <x:v>-0.028330449826989623</x:v>
      </x:c>
      <x:c r="E15" s="332" t="n">
        <x:f>IF(OR(COUNTIFS($J$3:$J$1281,$B15,$L$3:$L$1281,$B$4)=0,COUNTIFS($J$3:$J$1281,$B15,$L$3:$L$1281,$D$4)=0),"",SUMIFS($M$3:$M$1281,$J$3:$J$1281,$B15,$L$3:$L$1281,$D$4)/SUMIFS($M$3:$M$1281,$J$3:$J$1281,$B15,$L$3:$L$1281,$B$4)-1)</x:f>
        <x:v>-0.047902249134948116</x:v>
      </x:c>
      <x:c r="F15" s="332" t="n">
        <x:f>IF(OR(COUNTIFS($J$3:$J$1281,$B15,$L$3:$L$1281,$B$5)=0,COUNTIFS($J$3:$J$1281,$B15,$L$3:$L$1281,$D$5)=0),"",SUMIFS($M$3:$M$1281,$J$3:$J$1281,$B15,$L$3:$L$1281,$D$5)/SUMIFS($M$3:$M$1281,$J$3:$J$1281,$B15,$L$3:$L$1281,$B$5)-1)</x:f>
        <x:v>0.02404558404558399</x:v>
      </x:c>
      <x:c r="G15" s="333" t="n">
        <x:f>IFERROR(MINIFS($O$3:$O$1281,$J$3:$J$1281,$B15,$L$3:$L$1281,"&gt;="&amp;$B$3,$L$3:$L$1281,"&lt;="&amp;$D$3),"")</x:f>
        <x:v>-0.07056505299036042</x:v>
      </x:c>
      <x:c r="J15" s="257" t="str">
        <x:v>1090</x:v>
      </x:c>
      <x:c r="K15" s="258" t="str">
        <x:v>1090基石组合</x:v>
      </x:c>
      <x:c r="L15" s="259" t="n">
        <x:f>'1090实盘净值'!A15+0</x:f>
        <x:v>46210</x:v>
      </x:c>
      <x:c r="M15" s="260" t="n">
        <x:f>'1090实盘净值'!B15+0</x:f>
        <x:v>0.99336489</x:v>
      </x:c>
      <x:c r="N15" s="261" t="n">
        <x:f>IF(OR(L15&lt;$B$3,L15&gt;$D$3),"",IF(AND(J15=J14,N14&lt;&gt;""),MAX(M15,N14),M15))</x:f>
        <x:v>1.00271066</x:v>
      </x:c>
      <x:c r="O15" s="262" t="n">
        <x:f>IF(N15="","",M15/N15-1)</x:f>
        <x:v>-0.009320505279160063</x:v>
      </x:c>
    </x:row>
    <x:row r="16">
      <x:c r="A16" s="320" t="n">
        <x:v>6</x:v>
      </x:c>
      <x:c r="B16" s="328" t="str">
        <x:v>014088.OF</x:v>
      </x:c>
      <x:c r="C16" s="324" t="str">
        <x:v>永赢稳健增强债券A</x:v>
      </x:c>
      <x:c r="D16" s="334" t="n">
        <x:f>IF(OR(COUNTIFS($J$3:$J$1281,$B16,$L$3:$L$1281,$B$3)=0,COUNTIFS($J$3:$J$1281,$B16,$L$3:$L$1281,$D$3)=0),"",SUMIFS($M$3:$M$1281,$J$3:$J$1281,$B16,$L$3:$L$1281,$D$3)/SUMIFS($M$3:$M$1281,$J$3:$J$1281,$B16,$L$3:$L$1281,$B$3)-1)</x:f>
        <x:v>-0.024267179240749615</x:v>
      </x:c>
      <x:c r="E16" s="334" t="n">
        <x:f>IF(OR(COUNTIFS($J$3:$J$1281,$B16,$L$3:$L$1281,$B$4)=0,COUNTIFS($J$3:$J$1281,$B16,$L$3:$L$1281,$D$4)=0),"",SUMIFS($M$3:$M$1281,$J$3:$J$1281,$B16,$L$3:$L$1281,$D$4)/SUMIFS($M$3:$M$1281,$J$3:$J$1281,$B16,$L$3:$L$1281,$B$4)-1)</x:f>
        <x:v>-0.034358481499279114</x:v>
      </x:c>
      <x:c r="F16" s="334" t="n">
        <x:f>IF(OR(COUNTIFS($J$3:$J$1281,$B16,$L$3:$L$1281,$B$5)=0,COUNTIFS($J$3:$J$1281,$B16,$L$3:$L$1281,$D$5)=0),"",SUMIFS($M$3:$M$1281,$J$3:$J$1281,$B16,$L$3:$L$1281,$D$5)/SUMIFS($M$3:$M$1281,$J$3:$J$1281,$B16,$L$3:$L$1281,$B$5)-1)</x:f>
        <x:v>0.016012009006755035</x:v>
      </x:c>
      <x:c r="G16" s="335" t="n">
        <x:f>IFERROR(MINIFS($O$3:$O$1281,$J$3:$J$1281,$B16,$L$3:$L$1281,"&gt;="&amp;$B$3,$L$3:$L$1281,"&lt;="&amp;$D$3),"")</x:f>
        <x:v>-0.04575839567085782</x:v>
      </x:c>
      <x:c r="J16" s="257" t="str">
        <x:v>1090</x:v>
      </x:c>
      <x:c r="K16" s="258" t="str">
        <x:v>1090基石组合</x:v>
      </x:c>
      <x:c r="L16" s="259" t="n">
        <x:f>'1090实盘净值'!A16+0</x:f>
        <x:v>46211</x:v>
      </x:c>
      <x:c r="M16" s="260" t="n">
        <x:f>'1090实盘净值'!B16+0</x:f>
        <x:v>0.99351509</x:v>
      </x:c>
      <x:c r="N16" s="261" t="n">
        <x:f>IF(OR(L16&lt;$B$3,L16&gt;$D$3),"",IF(AND(J16=J15,N15&lt;&gt;""),MAX(M16,N15),M16))</x:f>
        <x:v>1.00271066</x:v>
      </x:c>
      <x:c r="O16" s="262" t="n">
        <x:f>IF(N16="","",M16/N16-1)</x:f>
        <x:v>-0.00917071131965419</x:v>
      </x:c>
    </x:row>
    <x:row r="17">
      <x:c r="A17" s="319" t="n">
        <x:v>7</x:v>
      </x:c>
      <x:c r="B17" s="327" t="str">
        <x:v>001751.OF</x:v>
      </x:c>
      <x:c r="C17" s="323" t="str">
        <x:v>华商信用增强债券A</x:v>
      </x:c>
      <x:c r="D17" s="332" t="n">
        <x:f>IF(OR(COUNTIFS($J$3:$J$1281,$B17,$L$3:$L$1281,$B$3)=0,COUNTIFS($J$3:$J$1281,$B17,$L$3:$L$1281,$D$3)=0),"",SUMIFS($M$3:$M$1281,$J$3:$J$1281,$B17,$L$3:$L$1281,$D$3)/SUMIFS($M$3:$M$1281,$J$3:$J$1281,$B17,$L$3:$L$1281,$B$3)-1)</x:f>
        <x:v>0.004868549172346803</x:v>
      </x:c>
      <x:c r="E17" s="332" t="n">
        <x:f>IF(OR(COUNTIFS($J$3:$J$1281,$B17,$L$3:$L$1281,$B$4)=0,COUNTIFS($J$3:$J$1281,$B17,$L$3:$L$1281,$D$4)=0),"",SUMIFS($M$3:$M$1281,$J$3:$J$1281,$B17,$L$3:$L$1281,$D$4)/SUMIFS($M$3:$M$1281,$J$3:$J$1281,$B17,$L$3:$L$1281,$B$4)-1)</x:f>
        <x:v>-0.020447906523855752</x:v>
      </x:c>
      <x:c r="F17" s="332" t="n">
        <x:f>IF(OR(COUNTIFS($J$3:$J$1281,$B17,$L$3:$L$1281,$B$5)=0,COUNTIFS($J$3:$J$1281,$B17,$L$3:$L$1281,$D$5)=0),"",SUMIFS($M$3:$M$1281,$J$3:$J$1281,$B17,$L$3:$L$1281,$D$5)/SUMIFS($M$3:$M$1281,$J$3:$J$1281,$B17,$L$3:$L$1281,$B$5)-1)</x:f>
        <x:v>0.037707390648566985</x:v>
      </x:c>
      <x:c r="G17" s="333" t="n">
        <x:f>IFERROR(MINIFS($O$3:$O$1281,$J$3:$J$1281,$B17,$L$3:$L$1281,"&gt;="&amp;$B$3,$L$3:$L$1281,"&lt;="&amp;$D$3),"")</x:f>
        <x:v>-0.052405907575035826</x:v>
      </x:c>
      <x:c r="J17" s="257" t="str">
        <x:v>1090</x:v>
      </x:c>
      <x:c r="K17" s="258" t="str">
        <x:v>1090基石组合</x:v>
      </x:c>
      <x:c r="L17" s="259" t="n">
        <x:f>'1090实盘净值'!A17+0</x:f>
        <x:v>46212</x:v>
      </x:c>
      <x:c r="M17" s="260" t="n">
        <x:f>'1090实盘净值'!B17+0</x:f>
        <x:v>0.99860982</x:v>
      </x:c>
      <x:c r="N17" s="261" t="n">
        <x:f>IF(OR(L17&lt;$B$3,L17&gt;$D$3),"",IF(AND(J17=J16,N16&lt;&gt;""),MAX(M17,N16),M17))</x:f>
        <x:v>1.00271066</x:v>
      </x:c>
      <x:c r="O17" s="262" t="n">
        <x:f>IF(N17="","",M17/N17-1)</x:f>
        <x:v>-0.004089754067240103</x:v>
      </x:c>
    </x:row>
    <x:row r="18">
      <x:c r="A18" s="320" t="n">
        <x:v>8</x:v>
      </x:c>
      <x:c r="B18" s="328" t="str">
        <x:v>014846.OF</x:v>
      </x:c>
      <x:c r="C18" s="324" t="str">
        <x:v>博时恒乐债券A</x:v>
      </x:c>
      <x:c r="D18" s="334" t="n">
        <x:f>IF(OR(COUNTIFS($J$3:$J$1281,$B18,$L$3:$L$1281,$B$3)=0,COUNTIFS($J$3:$J$1281,$B18,$L$3:$L$1281,$D$3)=0),"",SUMIFS($M$3:$M$1281,$J$3:$J$1281,$B18,$L$3:$L$1281,$D$3)/SUMIFS($M$3:$M$1281,$J$3:$J$1281,$B18,$L$3:$L$1281,$B$3)-1)</x:f>
        <x:v>-0.011699604743082959</x:v>
      </x:c>
      <x:c r="E18" s="334" t="n">
        <x:f>IF(OR(COUNTIFS($J$3:$J$1281,$B18,$L$3:$L$1281,$B$4)=0,COUNTIFS($J$3:$J$1281,$B18,$L$3:$L$1281,$D$4)=0),"",SUMIFS($M$3:$M$1281,$J$3:$J$1281,$B18,$L$3:$L$1281,$D$4)/SUMIFS($M$3:$M$1281,$J$3:$J$1281,$B18,$L$3:$L$1281,$B$4)-1)</x:f>
        <x:v>-0.015573122529644157</x:v>
      </x:c>
      <x:c r="F18" s="334" t="n">
        <x:f>IF(OR(COUNTIFS($J$3:$J$1281,$B18,$L$3:$L$1281,$B$5)=0,COUNTIFS($J$3:$J$1281,$B18,$L$3:$L$1281,$D$5)=0),"",SUMIFS($M$3:$M$1281,$J$3:$J$1281,$B18,$L$3:$L$1281,$D$5)/SUMIFS($M$3:$M$1281,$J$3:$J$1281,$B18,$L$3:$L$1281,$B$5)-1)</x:f>
        <x:v>0.004660880745740892</x:v>
      </x:c>
      <x:c r="G18" s="335" t="n">
        <x:f>IFERROR(MINIFS($O$3:$O$1281,$J$3:$J$1281,$B18,$L$3:$L$1281,"&gt;="&amp;$B$3,$L$3:$L$1281,"&lt;="&amp;$D$3),"")</x:f>
        <x:v>-0.030923819909643324</x:v>
      </x:c>
      <x:c r="J18" s="257" t="str">
        <x:v>1090</x:v>
      </x:c>
      <x:c r="K18" s="258" t="str">
        <x:v>1090基石组合</x:v>
      </x:c>
      <x:c r="L18" s="259" t="n">
        <x:f>'1090实盘净值'!A18+0</x:f>
        <x:v>46213</x:v>
      </x:c>
      <x:c r="M18" s="260" t="n">
        <x:f>'1090实盘净值'!B18+0</x:f>
        <x:v>0.99488466</x:v>
      </x:c>
      <x:c r="N18" s="261" t="n">
        <x:f>IF(OR(L18&lt;$B$3,L18&gt;$D$3),"",IF(AND(J18=J17,N17&lt;&gt;""),MAX(M18,N17),M18))</x:f>
        <x:v>1.00271066</x:v>
      </x:c>
      <x:c r="O18" s="262" t="n">
        <x:f>IF(N18="","",M18/N18-1)</x:f>
        <x:v>-0.007804843722315713</x:v>
      </x:c>
    </x:row>
    <x:row r="19">
      <x:c r="A19" s="319" t="n">
        <x:v>9</x:v>
      </x:c>
      <x:c r="B19" s="327" t="str">
        <x:v>000171.OF</x:v>
      </x:c>
      <x:c r="C19" s="323" t="str">
        <x:v>易方达裕丰回报债券A</x:v>
      </x:c>
      <x:c r="D19" s="332" t="n">
        <x:f>IF(OR(COUNTIFS($J$3:$J$1281,$B19,$L$3:$L$1281,$B$3)=0,COUNTIFS($J$3:$J$1281,$B19,$L$3:$L$1281,$D$3)=0),"",SUMIFS($M$3:$M$1281,$J$3:$J$1281,$B19,$L$3:$L$1281,$D$3)/SUMIFS($M$3:$M$1281,$J$3:$J$1281,$B19,$L$3:$L$1281,$B$3)-1)</x:f>
        <x:v>-0.0357194926374107</x:v>
      </x:c>
      <x:c r="E19" s="332" t="n">
        <x:f>IF(OR(COUNTIFS($J$3:$J$1281,$B19,$L$3:$L$1281,$B$4)=0,COUNTIFS($J$3:$J$1281,$B19,$L$3:$L$1281,$D$4)=0),"",SUMIFS($M$3:$M$1281,$J$3:$J$1281,$B19,$L$3:$L$1281,$D$4)/SUMIFS($M$3:$M$1281,$J$3:$J$1281,$B19,$L$3:$L$1281,$B$4)-1)</x:f>
        <x:v>-0.04315497885989206</x:v>
      </x:c>
      <x:c r="F19" s="332" t="n">
        <x:f>IF(OR(COUNTIFS($J$3:$J$1281,$B19,$L$3:$L$1281,$B$5)=0,COUNTIFS($J$3:$J$1281,$B19,$L$3:$L$1281,$D$5)=0),"",SUMIFS($M$3:$M$1281,$J$3:$J$1281,$B19,$L$3:$L$1281,$D$5)/SUMIFS($M$3:$M$1281,$J$3:$J$1281,$B19,$L$3:$L$1281,$B$5)-1)</x:f>
        <x:v>0.012166194812150977</x:v>
      </x:c>
      <x:c r="G19" s="333" t="n">
        <x:f>IFERROR(MINIFS($O$3:$O$1281,$J$3:$J$1281,$B19,$L$3:$L$1281,"&gt;="&amp;$B$3,$L$3:$L$1281,"&lt;="&amp;$D$3),"")</x:f>
        <x:v>-0.06348181622552174</x:v>
      </x:c>
      <x:c r="J19" s="257" t="str">
        <x:v>1090</x:v>
      </x:c>
      <x:c r="K19" s="258" t="str">
        <x:v>1090基石组合</x:v>
      </x:c>
      <x:c r="L19" s="259" t="n">
        <x:f>'1090实盘净值'!A19+0</x:f>
        <x:v>46216</x:v>
      </x:c>
      <x:c r="M19" s="260" t="n">
        <x:f>'1090实盘净值'!B19+0</x:f>
        <x:v>0.98970134</x:v>
      </x:c>
      <x:c r="N19" s="261" t="n">
        <x:f>IF(OR(L19&lt;$B$3,L19&gt;$D$3),"",IF(AND(J19=J18,N18&lt;&gt;""),MAX(M19,N18),M19))</x:f>
        <x:v>1.00271066</x:v>
      </x:c>
      <x:c r="O19" s="262" t="n">
        <x:f>IF(N19="","",M19/N19-1)</x:f>
        <x:v>-0.012974151486531471</x:v>
      </x:c>
    </x:row>
    <x:row r="20">
      <x:c r="A20" s="321" t="n">
        <x:v>10</x:v>
      </x:c>
      <x:c r="B20" s="329" t="str">
        <x:v>202101.OF</x:v>
      </x:c>
      <x:c r="C20" s="325" t="str">
        <x:v>南方宝元债券A</x:v>
      </x:c>
      <x:c r="D20" s="336" t="n">
        <x:f>IF(OR(COUNTIFS($J$3:$J$1281,$B20,$L$3:$L$1281,$B$3)=0,COUNTIFS($J$3:$J$1281,$B20,$L$3:$L$1281,$D$3)=0),"",SUMIFS($M$3:$M$1281,$J$3:$J$1281,$B20,$L$3:$L$1281,$D$3)/SUMIFS($M$3:$M$1281,$J$3:$J$1281,$B20,$L$3:$L$1281,$B$3)-1)</x:f>
        <x:v>0.0049992806790388755</x:v>
      </x:c>
      <x:c r="E20" s="336" t="n">
        <x:f>IF(OR(COUNTIFS($J$3:$J$1281,$B20,$L$3:$L$1281,$B$4)=0,COUNTIFS($J$3:$J$1281,$B20,$L$3:$L$1281,$D$4)=0),"",SUMIFS($M$3:$M$1281,$J$3:$J$1281,$B20,$L$3:$L$1281,$D$4)/SUMIFS($M$3:$M$1281,$J$3:$J$1281,$B20,$L$3:$L$1281,$B$4)-1)</x:f>
        <x:v>-0.0003476717978229127</x:v>
      </x:c>
      <x:c r="F20" s="336" t="n">
        <x:f>IF(OR(COUNTIFS($J$3:$J$1281,$B20,$L$3:$L$1281,$B$5)=0,COUNTIFS($J$3:$J$1281,$B20,$L$3:$L$1281,$D$5)=0),"",SUMIFS($M$3:$M$1281,$J$3:$J$1281,$B20,$L$3:$L$1281,$D$5)/SUMIFS($M$3:$M$1281,$J$3:$J$1281,$B20,$L$3:$L$1281,$B$5)-1)</x:f>
        <x:v>0.007015436362544092</x:v>
      </x:c>
      <x:c r="G20" s="337" t="n">
        <x:f>IFERROR(MINIFS($O$3:$O$1281,$J$3:$J$1281,$B20,$L$3:$L$1281,"&gt;="&amp;$B$3,$L$3:$L$1281,"&lt;="&amp;$D$3),"")</x:f>
        <x:v>-0.026377045675874622</x:v>
      </x:c>
      <x:c r="J20" s="257" t="str">
        <x:v>1090</x:v>
      </x:c>
      <x:c r="K20" s="258" t="str">
        <x:v>1090基石组合</x:v>
      </x:c>
      <x:c r="L20" s="259" t="n">
        <x:f>'1090实盘净值'!A20+0</x:f>
        <x:v>46217</x:v>
      </x:c>
      <x:c r="M20" s="260" t="n">
        <x:f>'1090实盘净值'!B20+0</x:f>
        <x:v>0.99245271</x:v>
      </x:c>
      <x:c r="N20" s="261" t="n">
        <x:f>IF(OR(L20&lt;$B$3,L20&gt;$D$3),"",IF(AND(J20=J19,N19&lt;&gt;""),MAX(M20,N19),M20))</x:f>
        <x:v>1.00271066</x:v>
      </x:c>
      <x:c r="O20" s="262" t="n">
        <x:f>IF(N20="","",M20/N20-1)</x:f>
        <x:v>-0.010230219353606906</x:v>
      </x:c>
    </x:row>
    <x:row r="21">
      <x:c r="J21" s="257" t="str">
        <x:v>1090</x:v>
      </x:c>
      <x:c r="K21" s="258" t="str">
        <x:v>1090基石组合</x:v>
      </x:c>
      <x:c r="L21" s="259" t="n">
        <x:f>'1090实盘净值'!A21+0</x:f>
        <x:v>46218</x:v>
      </x:c>
      <x:c r="M21" s="260" t="n">
        <x:f>'1090实盘净值'!B21+0</x:f>
        <x:v>0.99005834</x:v>
      </x:c>
      <x:c r="N21" s="261" t="n">
        <x:f>IF(OR(L21&lt;$B$3,L21&gt;$D$3),"",IF(AND(J21=J20,N20&lt;&gt;""),MAX(M21,N20),M21))</x:f>
        <x:v>1.00271066</x:v>
      </x:c>
      <x:c r="O21" s="262" t="n">
        <x:f>IF(N21="","",M21/N21-1)</x:f>
        <x:v>-0.012618116576121663</x:v>
      </x:c>
    </x:row>
    <x:row r="22">
      <x:c r="J22" s="257" t="str">
        <x:v>1090</x:v>
      </x:c>
      <x:c r="K22" s="258" t="str">
        <x:v>1090基石组合</x:v>
      </x:c>
      <x:c r="L22" s="259" t="n">
        <x:f>'1090实盘净值'!A22+0</x:f>
        <x:v>46219</x:v>
      </x:c>
      <x:c r="M22" s="260" t="n">
        <x:f>'1090实盘净值'!B22+0</x:f>
        <x:v>0.98597556</x:v>
      </x:c>
      <x:c r="N22" s="261" t="n">
        <x:f>IF(OR(L22&lt;$B$3,L22&gt;$D$3),"",IF(AND(J22=J21,N21&lt;&gt;""),MAX(M22,N21),M22))</x:f>
        <x:v>1.00271066</x:v>
      </x:c>
      <x:c r="O22" s="262" t="n">
        <x:f>IF(N22="","",M22/N22-1)</x:f>
        <x:v>-0.016689859465541135</x:v>
      </x:c>
    </x:row>
    <x:row r="23" ht="24" customHeight="1">
      <x:c r="A23" s="270" t="str">
        <x:v>1090基石组合与二季度固收+增长排名前十基金对比</x:v>
      </x:c>
      <x:c r="B23" s="270"/>
      <x:c r="C23" s="270"/>
      <x:c r="D23" s="270"/>
      <x:c r="E23" s="270"/>
      <x:c r="F23" s="270"/>
      <x:c r="G23" s="270"/>
      <x:c r="J23" s="257" t="str">
        <x:v>1090</x:v>
      </x:c>
      <x:c r="K23" s="258" t="str">
        <x:v>1090基石组合</x:v>
      </x:c>
      <x:c r="L23" s="259" t="n">
        <x:f>'1090实盘净值'!A23+0</x:f>
        <x:v>46220</x:v>
      </x:c>
      <x:c r="M23" s="260" t="n">
        <x:f>'1090实盘净值'!B23+0</x:f>
        <x:v>0.97886372</x:v>
      </x:c>
      <x:c r="N23" s="261" t="n">
        <x:f>IF(OR(L23&lt;$B$3,L23&gt;$D$3),"",IF(AND(J23=J22,N22&lt;&gt;""),MAX(M23,N22),M23))</x:f>
        <x:v>1.00271066</x:v>
      </x:c>
      <x:c r="O23" s="262" t="n">
        <x:f>IF(N23="","",M23/N23-1)</x:f>
        <x:v>-0.023782473799570436</x:v>
      </x:c>
    </x:row>
    <x:row r="24" ht="34" customHeight="1">
      <x:c r="A24" s="276" t="str">
        <x:v>序号</x:v>
      </x:c>
      <x:c r="B24" s="276" t="str">
        <x:v>基金代码</x:v>
      </x:c>
      <x:c r="C24" s="276" t="str">
        <x:v>产品/基金名称</x:v>
      </x:c>
      <x:c r="D24" s="276" t="str">
        <x:v>上线以来收益率</x:v>
      </x:c>
      <x:c r="E24" s="276" t="str">
        <x:v>区间1收益率</x:v>
      </x:c>
      <x:c r="F24" s="276" t="str">
        <x:v>区间2收益率</x:v>
      </x:c>
      <x:c r="G24" s="276" t="str">
        <x:v>最大回撤（上线以来）</x:v>
      </x:c>
      <x:c r="J24" s="257" t="str">
        <x:v>1090</x:v>
      </x:c>
      <x:c r="K24" s="258" t="str">
        <x:v>1090基石组合</x:v>
      </x:c>
      <x:c r="L24" s="259" t="n">
        <x:f>'1090实盘净值'!A24+0</x:f>
        <x:v>46223</x:v>
      </x:c>
      <x:c r="M24" s="260" t="n">
        <x:f>'1090实盘净值'!B24+0</x:f>
        <x:v>0.9753755</x:v>
      </x:c>
      <x:c r="N24" s="261" t="n">
        <x:f>IF(OR(L24&lt;$B$3,L24&gt;$D$3),"",IF(AND(J24=J23,N23&lt;&gt;""),MAX(M24,N23),M24))</x:f>
        <x:v>1.00271066</x:v>
      </x:c>
      <x:c r="O24" s="262" t="n">
        <x:f>IF(N24="","",M24/N24-1)</x:f>
        <x:v>-0.0272612639821741</x:v>
      </x:c>
    </x:row>
    <x:row r="25">
      <x:c r="A25" s="318" t="str">
        <x:v>组合</x:v>
      </x:c>
      <x:c r="B25" s="326" t="str">
        <x:v>1090</x:v>
      </x:c>
      <x:c r="C25" s="322" t="str">
        <x:v>1090基石组合</x:v>
      </x:c>
      <x:c r="D25" s="330" t="n">
        <x:f>IF(OR(COUNTIFS($J$3:$J$1281,$B25,$L$3:$L$1281,$B$3)=0,COUNTIFS($J$3:$J$1281,$B25,$L$3:$L$1281,$D$3)=0),"",SUMIFS($M$3:$M$1281,$J$3:$J$1281,$B25,$L$3:$L$1281,$D$3)/SUMIFS($M$3:$M$1281,$J$3:$J$1281,$B25,$L$3:$L$1281,$B$3)-1)</x:f>
        <x:v>-0.008147459999999995</x:v>
      </x:c>
      <x:c r="E25" s="330" t="n">
        <x:f>IF(OR(COUNTIFS($J$3:$J$1281,$B25,$L$3:$L$1281,$B$4)=0,COUNTIFS($J$3:$J$1281,$B25,$L$3:$L$1281,$D$4)=0),"",SUMIFS($M$3:$M$1281,$J$3:$J$1281,$B25,$L$3:$L$1281,$D$4)/SUMIFS($M$3:$M$1281,$J$3:$J$1281,$B25,$L$3:$L$1281,$B$4)-1)</x:f>
        <x:v>-0.02294198000000003</x:v>
      </x:c>
      <x:c r="F25" s="330" t="n">
        <x:f>IF(OR(COUNTIFS($J$3:$J$1281,$B25,$L$3:$L$1281,$B$5)=0,COUNTIFS($J$3:$J$1281,$B25,$L$3:$L$1281,$D$5)=0),"",SUMIFS($M$3:$M$1281,$J$3:$J$1281,$B25,$L$3:$L$1281,$D$5)/SUMIFS($M$3:$M$1281,$J$3:$J$1281,$B25,$L$3:$L$1281,$B$5)-1)</x:f>
        <x:v>0.017601949916711934</x:v>
      </x:c>
      <x:c r="G25" s="331" t="n">
        <x:f>IFERROR(MINIFS($O$3:$O$1281,$J$3:$J$1281,$B25,$L$3:$L$1281,"&gt;="&amp;$B$3,$L$3:$L$1281,"&lt;="&amp;$D$3),"")</x:f>
        <x:v>-0.02886914556189113</x:v>
      </x:c>
      <x:c r="J25" s="257" t="str">
        <x:v>1090</x:v>
      </x:c>
      <x:c r="K25" s="258" t="str">
        <x:v>1090基石组合</x:v>
      </x:c>
      <x:c r="L25" s="259" t="n">
        <x:f>'1090实盘净值'!A25+0</x:f>
        <x:v>46224</x:v>
      </x:c>
      <x:c r="M25" s="260" t="n">
        <x:f>'1090实盘净值'!B25+0</x:f>
        <x:v>0.98437008</x:v>
      </x:c>
      <x:c r="N25" s="261" t="n">
        <x:f>IF(OR(L25&lt;$B$3,L25&gt;$D$3),"",IF(AND(J25=J24,N24&lt;&gt;""),MAX(M25,N24),M25))</x:f>
        <x:v>1.00271066</x:v>
      </x:c>
      <x:c r="O25" s="262" t="n">
        <x:f>IF(N25="","",M25/N25-1)</x:f>
        <x:v>-0.01829099931978373</x:v>
      </x:c>
    </x:row>
    <x:row r="26">
      <x:c r="A26" s="319" t="n">
        <x:v>1</x:v>
      </x:c>
      <x:c r="B26" s="327" t="str">
        <x:v>003504.OF</x:v>
      </x:c>
      <x:c r="C26" s="323" t="str">
        <x:v>景顺长城景颐丰利债券A</x:v>
      </x:c>
      <x:c r="D26" s="332" t="n">
        <x:f>IF(OR(COUNTIFS($J$3:$J$1281,$B26,$L$3:$L$1281,$B$3)=0,COUNTIFS($J$3:$J$1281,$B26,$L$3:$L$1281,$D$3)=0),"",SUMIFS($M$3:$M$1281,$J$3:$J$1281,$B26,$L$3:$L$1281,$D$3)/SUMIFS($M$3:$M$1281,$J$3:$J$1281,$B26,$L$3:$L$1281,$B$3)-1)</x:f>
        <x:v>-0.0471032605676831</x:v>
      </x:c>
      <x:c r="E26" s="332" t="n">
        <x:f>IF(OR(COUNTIFS($J$3:$J$1281,$B26,$L$3:$L$1281,$B$4)=0,COUNTIFS($J$3:$J$1281,$B26,$L$3:$L$1281,$D$4)=0),"",SUMIFS($M$3:$M$1281,$J$3:$J$1281,$B26,$L$3:$L$1281,$D$4)/SUMIFS($M$3:$M$1281,$J$3:$J$1281,$B26,$L$3:$L$1281,$B$4)-1)</x:f>
        <x:v>-0.06471143698272508</x:v>
      </x:c>
      <x:c r="F26" s="332" t="n">
        <x:f>IF(OR(COUNTIFS($J$3:$J$1281,$B26,$L$3:$L$1281,$B$5)=0,COUNTIFS($J$3:$J$1281,$B26,$L$3:$L$1281,$D$5)=0),"",SUMIFS($M$3:$M$1281,$J$3:$J$1281,$B26,$L$3:$L$1281,$D$5)/SUMIFS($M$3:$M$1281,$J$3:$J$1281,$B26,$L$3:$L$1281,$B$5)-1)</x:f>
        <x:v>0.024179104477611846</x:v>
      </x:c>
      <x:c r="G26" s="333" t="n">
        <x:f>IFERROR(MINIFS($O$3:$O$1281,$J$3:$J$1281,$B26,$L$3:$L$1281,"&gt;="&amp;$B$3,$L$3:$L$1281,"&lt;="&amp;$D$3),"")</x:f>
        <x:v>-0.07819407603890371</x:v>
      </x:c>
      <x:c r="J26" s="257" t="str">
        <x:v>1090</x:v>
      </x:c>
      <x:c r="K26" s="258" t="str">
        <x:v>1090基石组合</x:v>
      </x:c>
      <x:c r="L26" s="259" t="n">
        <x:f>'1090实盘净值'!A26+0</x:f>
        <x:v>46225</x:v>
      </x:c>
      <x:c r="M26" s="260" t="n">
        <x:f>'1090实盘净值'!B26+0</x:f>
        <x:v>0.98402324</x:v>
      </x:c>
      <x:c r="N26" s="261" t="n">
        <x:f>IF(OR(L26&lt;$B$3,L26&gt;$D$3),"",IF(AND(J26=J25,N25&lt;&gt;""),MAX(M26,N25),M26))</x:f>
        <x:v>1.00271066</x:v>
      </x:c>
      <x:c r="O26" s="262" t="n">
        <x:f>IF(N26="","",M26/N26-1)</x:f>
        <x:v>-0.01863690169604859</x:v>
      </x:c>
    </x:row>
    <x:row r="27">
      <x:c r="A27" s="320" t="n">
        <x:v>2</x:v>
      </x:c>
      <x:c r="B27" s="328" t="str">
        <x:v>002969.OF</x:v>
      </x:c>
      <x:c r="C27" s="324" t="str">
        <x:v>易方达丰和债券A</x:v>
      </x:c>
      <x:c r="D27" s="334" t="n">
        <x:f>IF(OR(COUNTIFS($J$3:$J$1281,$B27,$L$3:$L$1281,$B$3)=0,COUNTIFS($J$3:$J$1281,$B27,$L$3:$L$1281,$D$3)=0),"",SUMIFS($M$3:$M$1281,$J$3:$J$1281,$B27,$L$3:$L$1281,$D$3)/SUMIFS($M$3:$M$1281,$J$3:$J$1281,$B27,$L$3:$L$1281,$B$3)-1)</x:f>
        <x:v>-0.028330449826989623</x:v>
      </x:c>
      <x:c r="E27" s="334" t="n">
        <x:f>IF(OR(COUNTIFS($J$3:$J$1281,$B27,$L$3:$L$1281,$B$4)=0,COUNTIFS($J$3:$J$1281,$B27,$L$3:$L$1281,$D$4)=0),"",SUMIFS($M$3:$M$1281,$J$3:$J$1281,$B27,$L$3:$L$1281,$D$4)/SUMIFS($M$3:$M$1281,$J$3:$J$1281,$B27,$L$3:$L$1281,$B$4)-1)</x:f>
        <x:v>-0.047902249134948116</x:v>
      </x:c>
      <x:c r="F27" s="334" t="n">
        <x:f>IF(OR(COUNTIFS($J$3:$J$1281,$B27,$L$3:$L$1281,$B$5)=0,COUNTIFS($J$3:$J$1281,$B27,$L$3:$L$1281,$D$5)=0),"",SUMIFS($M$3:$M$1281,$J$3:$J$1281,$B27,$L$3:$L$1281,$D$5)/SUMIFS($M$3:$M$1281,$J$3:$J$1281,$B27,$L$3:$L$1281,$B$5)-1)</x:f>
        <x:v>0.02404558404558399</x:v>
      </x:c>
      <x:c r="G27" s="335" t="n">
        <x:f>IFERROR(MINIFS($O$3:$O$1281,$J$3:$J$1281,$B27,$L$3:$L$1281,"&gt;="&amp;$B$3,$L$3:$L$1281,"&lt;="&amp;$D$3),"")</x:f>
        <x:v>-0.07056505299036042</x:v>
      </x:c>
      <x:c r="J27" s="257" t="str">
        <x:v>1090</x:v>
      </x:c>
      <x:c r="K27" s="258" t="str">
        <x:v>1090基石组合</x:v>
      </x:c>
      <x:c r="L27" s="259" t="n">
        <x:f>'1090实盘净值'!A27+0</x:f>
        <x:v>46226</x:v>
      </x:c>
      <x:c r="M27" s="260" t="n">
        <x:f>'1090实盘净值'!B27+0</x:f>
        <x:v>0.98279921</x:v>
      </x:c>
      <x:c r="N27" s="261" t="n">
        <x:f>IF(OR(L27&lt;$B$3,L27&gt;$D$3),"",IF(AND(J27=J26,N26&lt;&gt;""),MAX(M27,N26),M27))</x:f>
        <x:v>1.00271066</x:v>
      </x:c>
      <x:c r="O27" s="262" t="n">
        <x:f>IF(N27="","",M27/N27-1)</x:f>
        <x:v>-0.019857622736353386</x:v>
      </x:c>
    </x:row>
    <x:row r="28">
      <x:c r="A28" s="319" t="n">
        <x:v>3</x:v>
      </x:c>
      <x:c r="B28" s="327" t="str">
        <x:v>470010.OF</x:v>
      </x:c>
      <x:c r="C28" s="323" t="str">
        <x:v>汇添富多元收益债券A</x:v>
      </x:c>
      <x:c r="D28" s="332" t="n">
        <x:f>IF(OR(COUNTIFS($J$3:$J$1281,$B28,$L$3:$L$1281,$B$3)=0,COUNTIFS($J$3:$J$1281,$B28,$L$3:$L$1281,$D$3)=0),"",SUMIFS($M$3:$M$1281,$J$3:$J$1281,$B28,$L$3:$L$1281,$D$3)/SUMIFS($M$3:$M$1281,$J$3:$J$1281,$B28,$L$3:$L$1281,$B$3)-1)</x:f>
        <x:v>-0.03730537462119887</x:v>
      </x:c>
      <x:c r="E28" s="332" t="n">
        <x:f>IF(OR(COUNTIFS($J$3:$J$1281,$B28,$L$3:$L$1281,$B$4)=0,COUNTIFS($J$3:$J$1281,$B28,$L$3:$L$1281,$D$4)=0),"",SUMIFS($M$3:$M$1281,$J$3:$J$1281,$B28,$L$3:$L$1281,$D$4)/SUMIFS($M$3:$M$1281,$J$3:$J$1281,$B28,$L$3:$L$1281,$B$4)-1)</x:f>
        <x:v>-0.04747640112856588</x:v>
      </x:c>
      <x:c r="F28" s="332" t="n">
        <x:f>IF(OR(COUNTIFS($J$3:$J$1281,$B28,$L$3:$L$1281,$B$5)=0,COUNTIFS($J$3:$J$1281,$B28,$L$3:$L$1281,$D$5)=0),"",SUMIFS($M$3:$M$1281,$J$3:$J$1281,$B28,$L$3:$L$1281,$D$5)/SUMIFS($M$3:$M$1281,$J$3:$J$1281,$B28,$L$3:$L$1281,$B$5)-1)</x:f>
        <x:v>0.016102941176470376</x:v>
      </x:c>
      <x:c r="G28" s="333" t="n">
        <x:f>IFERROR(MINIFS($O$3:$O$1281,$J$3:$J$1281,$B28,$L$3:$L$1281,"&gt;="&amp;$B$3,$L$3:$L$1281,"&lt;="&amp;$D$3),"")</x:f>
        <x:v>-0.06620604310611533</x:v>
      </x:c>
      <x:c r="J28" s="257" t="str">
        <x:v>1090</x:v>
      </x:c>
      <x:c r="K28" s="258" t="str">
        <x:v>1090基石组合</x:v>
      </x:c>
      <x:c r="L28" s="259" t="n">
        <x:f>'1090实盘净值'!A28+0</x:f>
        <x:v>46227</x:v>
      </x:c>
      <x:c r="M28" s="260" t="n">
        <x:f>'1090实盘净值'!B28+0</x:f>
        <x:v>0.98152946</x:v>
      </x:c>
      <x:c r="N28" s="261" t="n">
        <x:f>IF(OR(L28&lt;$B$3,L28&gt;$D$3),"",IF(AND(J28=J27,N27&lt;&gt;""),MAX(M28,N27),M28))</x:f>
        <x:v>1.00271066</x:v>
      </x:c>
      <x:c r="O28" s="262" t="n">
        <x:f>IF(N28="","",M28/N28-1)</x:f>
        <x:v>-0.02112394018031083</x:v>
      </x:c>
    </x:row>
    <x:row r="29">
      <x:c r="A29" s="320" t="n">
        <x:v>4</x:v>
      </x:c>
      <x:c r="B29" s="328" t="str">
        <x:v>000143.OF</x:v>
      </x:c>
      <x:c r="C29" s="324" t="str">
        <x:v>鹏华双债加利债券A</x:v>
      </x:c>
      <x:c r="D29" s="334" t="n">
        <x:f>IF(OR(COUNTIFS($J$3:$J$1281,$B29,$L$3:$L$1281,$B$3)=0,COUNTIFS($J$3:$J$1281,$B29,$L$3:$L$1281,$D$3)=0),"",SUMIFS($M$3:$M$1281,$J$3:$J$1281,$B29,$L$3:$L$1281,$D$3)/SUMIFS($M$3:$M$1281,$J$3:$J$1281,$B29,$L$3:$L$1281,$B$3)-1)</x:f>
        <x:v>-0.026357487922705314</x:v>
      </x:c>
      <x:c r="E29" s="334" t="n">
        <x:f>IF(OR(COUNTIFS($J$3:$J$1281,$B29,$L$3:$L$1281,$B$4)=0,COUNTIFS($J$3:$J$1281,$B29,$L$3:$L$1281,$D$4)=0),"",SUMIFS($M$3:$M$1281,$J$3:$J$1281,$B29,$L$3:$L$1281,$D$4)/SUMIFS($M$3:$M$1281,$J$3:$J$1281,$B29,$L$3:$L$1281,$B$4)-1)</x:f>
        <x:v>-0.045217391304347876</x:v>
      </x:c>
      <x:c r="F29" s="334" t="n">
        <x:f>IF(OR(COUNTIFS($J$3:$J$1281,$B29,$L$3:$L$1281,$B$5)=0,COUNTIFS($J$3:$J$1281,$B29,$L$3:$L$1281,$D$5)=0),"",SUMIFS($M$3:$M$1281,$J$3:$J$1281,$B29,$L$3:$L$1281,$D$5)/SUMIFS($M$3:$M$1281,$J$3:$J$1281,$B29,$L$3:$L$1281,$B$5)-1)</x:f>
        <x:v>0.026191446028513088</x:v>
      </x:c>
      <x:c r="G29" s="335" t="n">
        <x:f>IFERROR(MINIFS($O$3:$O$1281,$J$3:$J$1281,$B29,$L$3:$L$1281,"&gt;="&amp;$B$3,$L$3:$L$1281,"&lt;="&amp;$D$3),"")</x:f>
        <x:v>-0.060906515580736564</x:v>
      </x:c>
      <x:c r="J29" s="257" t="str">
        <x:v>1090</x:v>
      </x:c>
      <x:c r="K29" s="258" t="str">
        <x:v>1090基石组合</x:v>
      </x:c>
      <x:c r="L29" s="259" t="n">
        <x:f>'1090实盘净值'!A29+0</x:f>
        <x:v>46230</x:v>
      </x:c>
      <x:c r="M29" s="260" t="n">
        <x:f>'1090实盘净值'!B29+0</x:f>
        <x:v>0.98516413</x:v>
      </x:c>
      <x:c r="N29" s="261" t="n">
        <x:f>IF(OR(L29&lt;$B$3,L29&gt;$D$3),"",IF(AND(J29=J28,N28&lt;&gt;""),MAX(M29,N28),M29))</x:f>
        <x:v>1.00271066</x:v>
      </x:c>
      <x:c r="O29" s="262" t="n">
        <x:f>IF(N29="","",M29/N29-1)</x:f>
        <x:v>-0.017499095900705752</x:v>
      </x:c>
    </x:row>
    <x:row r="30">
      <x:c r="A30" s="319" t="n">
        <x:v>5</x:v>
      </x:c>
      <x:c r="B30" s="327" t="str">
        <x:v>000406.OF</x:v>
      </x:c>
      <x:c r="C30" s="323" t="str">
        <x:v>汇添富双利增强债券A</x:v>
      </x:c>
      <x:c r="D30" s="332" t="n">
        <x:f>IF(OR(COUNTIFS($J$3:$J$1281,$B30,$L$3:$L$1281,$B$3)=0,COUNTIFS($J$3:$J$1281,$B30,$L$3:$L$1281,$D$3)=0),"",SUMIFS($M$3:$M$1281,$J$3:$J$1281,$B30,$L$3:$L$1281,$D$3)/SUMIFS($M$3:$M$1281,$J$3:$J$1281,$B30,$L$3:$L$1281,$B$3)-1)</x:f>
        <x:v>-0.02326934264107039</x:v>
      </x:c>
      <x:c r="E30" s="332" t="n">
        <x:f>IF(OR(COUNTIFS($J$3:$J$1281,$B30,$L$3:$L$1281,$B$4)=0,COUNTIFS($J$3:$J$1281,$B30,$L$3:$L$1281,$D$4)=0),"",SUMIFS($M$3:$M$1281,$J$3:$J$1281,$B30,$L$3:$L$1281,$D$4)/SUMIFS($M$3:$M$1281,$J$3:$J$1281,$B30,$L$3:$L$1281,$B$4)-1)</x:f>
        <x:v>-0.0389276711266241</x:v>
      </x:c>
      <x:c r="F30" s="332" t="n">
        <x:f>IF(OR(COUNTIFS($J$3:$J$1281,$B30,$L$3:$L$1281,$B$5)=0,COUNTIFS($J$3:$J$1281,$B30,$L$3:$L$1281,$D$5)=0),"",SUMIFS($M$3:$M$1281,$J$3:$J$1281,$B30,$L$3:$L$1281,$D$5)/SUMIFS($M$3:$M$1281,$J$3:$J$1281,$B30,$L$3:$L$1281,$B$5)-1)</x:f>
        <x:v>0.015421832476564923</x:v>
      </x:c>
      <x:c r="G30" s="333" t="n">
        <x:f>IFERROR(MINIFS($O$3:$O$1281,$J$3:$J$1281,$B30,$L$3:$L$1281,"&gt;="&amp;$B$3,$L$3:$L$1281,"&lt;="&amp;$D$3),"")</x:f>
        <x:v>-0.05093239531633975</x:v>
      </x:c>
      <x:c r="J30" s="257" t="str">
        <x:v>1090</x:v>
      </x:c>
      <x:c r="K30" s="258" t="str">
        <x:v>1090基石组合</x:v>
      </x:c>
      <x:c r="L30" s="259" t="n">
        <x:f>'1090实盘净值'!A30+0</x:f>
        <x:v>46231</x:v>
      </x:c>
      <x:c r="M30" s="260" t="n">
        <x:f>'1090实盘净值'!B30+0</x:f>
        <x:v>0.97865577</x:v>
      </x:c>
      <x:c r="N30" s="261" t="n">
        <x:f>IF(OR(L30&lt;$B$3,L30&gt;$D$3),"",IF(AND(J30=J29,N29&lt;&gt;""),MAX(M30,N29),M30))</x:f>
        <x:v>1.00271066</x:v>
      </x:c>
      <x:c r="O30" s="262" t="n">
        <x:f>IF(N30="","",M30/N30-1)</x:f>
        <x:v>-0.023989861641642407</x:v>
      </x:c>
    </x:row>
    <x:row r="31">
      <x:c r="A31" s="320" t="n">
        <x:v>6</x:v>
      </x:c>
      <x:c r="B31" s="328" t="str">
        <x:v>000171.OF</x:v>
      </x:c>
      <x:c r="C31" s="324" t="str">
        <x:v>易方达裕丰回报债券A</x:v>
      </x:c>
      <x:c r="D31" s="334" t="n">
        <x:f>IF(OR(COUNTIFS($J$3:$J$1281,$B31,$L$3:$L$1281,$B$3)=0,COUNTIFS($J$3:$J$1281,$B31,$L$3:$L$1281,$D$3)=0),"",SUMIFS($M$3:$M$1281,$J$3:$J$1281,$B31,$L$3:$L$1281,$D$3)/SUMIFS($M$3:$M$1281,$J$3:$J$1281,$B31,$L$3:$L$1281,$B$3)-1)</x:f>
        <x:v>-0.0357194926374107</x:v>
      </x:c>
      <x:c r="E31" s="334" t="n">
        <x:f>IF(OR(COUNTIFS($J$3:$J$1281,$B31,$L$3:$L$1281,$B$4)=0,COUNTIFS($J$3:$J$1281,$B31,$L$3:$L$1281,$D$4)=0),"",SUMIFS($M$3:$M$1281,$J$3:$J$1281,$B31,$L$3:$L$1281,$D$4)/SUMIFS($M$3:$M$1281,$J$3:$J$1281,$B31,$L$3:$L$1281,$B$4)-1)</x:f>
        <x:v>-0.04315497885989206</x:v>
      </x:c>
      <x:c r="F31" s="334" t="n">
        <x:f>IF(OR(COUNTIFS($J$3:$J$1281,$B31,$L$3:$L$1281,$B$5)=0,COUNTIFS($J$3:$J$1281,$B31,$L$3:$L$1281,$D$5)=0),"",SUMIFS($M$3:$M$1281,$J$3:$J$1281,$B31,$L$3:$L$1281,$D$5)/SUMIFS($M$3:$M$1281,$J$3:$J$1281,$B31,$L$3:$L$1281,$B$5)-1)</x:f>
        <x:v>0.012166194812150977</x:v>
      </x:c>
      <x:c r="G31" s="335" t="n">
        <x:f>IFERROR(MINIFS($O$3:$O$1281,$J$3:$J$1281,$B31,$L$3:$L$1281,"&gt;="&amp;$B$3,$L$3:$L$1281,"&lt;="&amp;$D$3),"")</x:f>
        <x:v>-0.06348181622552174</x:v>
      </x:c>
      <x:c r="J31" s="257" t="str">
        <x:v>1090</x:v>
      </x:c>
      <x:c r="K31" s="258" t="str">
        <x:v>1090基石组合</x:v>
      </x:c>
      <x:c r="L31" s="259" t="n">
        <x:f>'1090实盘净值'!A31+0</x:f>
        <x:v>46232</x:v>
      </x:c>
      <x:c r="M31" s="260" t="n">
        <x:f>'1090实盘净值'!B31+0</x:f>
        <x:v>0.97811843</x:v>
      </x:c>
      <x:c r="N31" s="261" t="n">
        <x:f>IF(OR(L31&lt;$B$3,L31&gt;$D$3),"",IF(AND(J31=J30,N30&lt;&gt;""),MAX(M31,N30),M31))</x:f>
        <x:v>1.00271066</x:v>
      </x:c>
      <x:c r="O31" s="262" t="n">
        <x:f>IF(N31="","",M31/N31-1)</x:f>
        <x:v>-0.024525749033125877</x:v>
      </x:c>
    </x:row>
    <x:row r="32">
      <x:c r="A32" s="319" t="n">
        <x:v>7</x:v>
      </x:c>
      <x:c r="B32" s="327" t="str">
        <x:v>018595.OF</x:v>
      </x:c>
      <x:c r="C32" s="323" t="str">
        <x:v>华商利欣回报债券A</x:v>
      </x:c>
      <x:c r="D32" s="332" t="n">
        <x:f>IF(OR(COUNTIFS($J$3:$J$1281,$B32,$L$3:$L$1281,$B$3)=0,COUNTIFS($J$3:$J$1281,$B32,$L$3:$L$1281,$D$3)=0),"",SUMIFS($M$3:$M$1281,$J$3:$J$1281,$B32,$L$3:$L$1281,$D$3)/SUMIFS($M$3:$M$1281,$J$3:$J$1281,$B32,$L$3:$L$1281,$B$3)-1)</x:f>
        <x:v>0.008320126782884296</x:v>
      </x:c>
      <x:c r="E32" s="332" t="n">
        <x:f>IF(OR(COUNTIFS($J$3:$J$1281,$B32,$L$3:$L$1281,$B$4)=0,COUNTIFS($J$3:$J$1281,$B32,$L$3:$L$1281,$D$4)=0),"",SUMIFS($M$3:$M$1281,$J$3:$J$1281,$B32,$L$3:$L$1281,$D$4)/SUMIFS($M$3:$M$1281,$J$3:$J$1281,$B32,$L$3:$L$1281,$B$4)-1)</x:f>
        <x:v>-0.01568938193343905</x:v>
      </x:c>
      <x:c r="F32" s="332" t="n">
        <x:f>IF(OR(COUNTIFS($J$3:$J$1281,$B32,$L$3:$L$1281,$B$5)=0,COUNTIFS($J$3:$J$1281,$B32,$L$3:$L$1281,$D$5)=0),"",SUMIFS($M$3:$M$1281,$J$3:$J$1281,$B32,$L$3:$L$1281,$D$5)/SUMIFS($M$3:$M$1281,$J$3:$J$1281,$B32,$L$3:$L$1281,$B$5)-1)</x:f>
        <x:v>0.034721092860627634</x:v>
      </x:c>
      <x:c r="G32" s="333" t="n">
        <x:f>IFERROR(MINIFS($O$3:$O$1281,$J$3:$J$1281,$B32,$L$3:$L$1281,"&gt;="&amp;$B$3,$L$3:$L$1281,"&lt;="&amp;$D$3),"")</x:f>
        <x:v>-0.046444909668915346</x:v>
      </x:c>
      <x:c r="J32" s="257" t="str">
        <x:v>1090</x:v>
      </x:c>
      <x:c r="K32" s="258" t="str">
        <x:v>1090基石组合</x:v>
      </x:c>
      <x:c r="L32" s="259" t="n">
        <x:f>'1090实盘净值'!A32+0</x:f>
        <x:v>46233</x:v>
      </x:c>
      <x:c r="M32" s="260" t="n">
        <x:f>'1090实盘净值'!B32+0</x:f>
        <x:v>0.97376326</x:v>
      </x:c>
      <x:c r="N32" s="261" t="n">
        <x:f>IF(OR(L32&lt;$B$3,L32&gt;$D$3),"",IF(AND(J32=J31,N31&lt;&gt;""),MAX(M32,N31),M32))</x:f>
        <x:v>1.00271066</x:v>
      </x:c>
      <x:c r="O32" s="262" t="n">
        <x:f>IF(N32="","",M32/N32-1)</x:f>
        <x:v>-0.02886914556189113</x:v>
      </x:c>
    </x:row>
    <x:row r="33">
      <x:c r="A33" s="320" t="n">
        <x:v>8</x:v>
      </x:c>
      <x:c r="B33" s="328" t="str">
        <x:v>001751.OF</x:v>
      </x:c>
      <x:c r="C33" s="324" t="str">
        <x:v>华商信用增强债券A</x:v>
      </x:c>
      <x:c r="D33" s="334" t="n">
        <x:f>IF(OR(COUNTIFS($J$3:$J$1281,$B33,$L$3:$L$1281,$B$3)=0,COUNTIFS($J$3:$J$1281,$B33,$L$3:$L$1281,$D$3)=0),"",SUMIFS($M$3:$M$1281,$J$3:$J$1281,$B33,$L$3:$L$1281,$D$3)/SUMIFS($M$3:$M$1281,$J$3:$J$1281,$B33,$L$3:$L$1281,$B$3)-1)</x:f>
        <x:v>0.004868549172346803</x:v>
      </x:c>
      <x:c r="E33" s="334" t="n">
        <x:f>IF(OR(COUNTIFS($J$3:$J$1281,$B33,$L$3:$L$1281,$B$4)=0,COUNTIFS($J$3:$J$1281,$B33,$L$3:$L$1281,$D$4)=0),"",SUMIFS($M$3:$M$1281,$J$3:$J$1281,$B33,$L$3:$L$1281,$D$4)/SUMIFS($M$3:$M$1281,$J$3:$J$1281,$B33,$L$3:$L$1281,$B$4)-1)</x:f>
        <x:v>-0.020447906523855752</x:v>
      </x:c>
      <x:c r="F33" s="334" t="n">
        <x:f>IF(OR(COUNTIFS($J$3:$J$1281,$B33,$L$3:$L$1281,$B$5)=0,COUNTIFS($J$3:$J$1281,$B33,$L$3:$L$1281,$D$5)=0),"",SUMIFS($M$3:$M$1281,$J$3:$J$1281,$B33,$L$3:$L$1281,$D$5)/SUMIFS($M$3:$M$1281,$J$3:$J$1281,$B33,$L$3:$L$1281,$B$5)-1)</x:f>
        <x:v>0.037707390648566985</x:v>
      </x:c>
      <x:c r="G33" s="335" t="n">
        <x:f>IFERROR(MINIFS($O$3:$O$1281,$J$3:$J$1281,$B33,$L$3:$L$1281,"&gt;="&amp;$B$3,$L$3:$L$1281,"&lt;="&amp;$D$3),"")</x:f>
        <x:v>-0.052405907575035826</x:v>
      </x:c>
      <x:c r="J33" s="257" t="str">
        <x:v>1090</x:v>
      </x:c>
      <x:c r="K33" s="258" t="str">
        <x:v>1090基石组合</x:v>
      </x:c>
      <x:c r="L33" s="259" t="n">
        <x:f>'1090实盘净值'!A33+0</x:f>
        <x:v>46234</x:v>
      </x:c>
      <x:c r="M33" s="260" t="n">
        <x:f>'1090实盘净值'!B33+0</x:f>
        <x:v>0.97705802</x:v>
      </x:c>
      <x:c r="N33" s="261" t="n">
        <x:f>IF(OR(L33&lt;$B$3,L33&gt;$D$3),"",IF(AND(J33=J32,N32&lt;&gt;""),MAX(M33,N32),M33))</x:f>
        <x:v>1.00271066</x:v>
      </x:c>
      <x:c r="O33" s="262" t="n">
        <x:f>IF(N33="","",M33/N33-1)</x:f>
        <x:v>-0.02558329239264301</x:v>
      </x:c>
    </x:row>
    <x:row r="34">
      <x:c r="A34" s="319" t="n">
        <x:v>9</x:v>
      </x:c>
      <x:c r="B34" s="327" t="str">
        <x:v>020218.OF</x:v>
      </x:c>
      <x:c r="C34" s="323" t="str">
        <x:v>万家锦利债券发起式A</x:v>
      </x:c>
      <x:c r="D34" s="332" t="n">
        <x:f>IF(OR(COUNTIFS($J$3:$J$1281,$B34,$L$3:$L$1281,$B$3)=0,COUNTIFS($J$3:$J$1281,$B34,$L$3:$L$1281,$D$3)=0),"",SUMIFS($M$3:$M$1281,$J$3:$J$1281,$B34,$L$3:$L$1281,$D$3)/SUMIFS($M$3:$M$1281,$J$3:$J$1281,$B34,$L$3:$L$1281,$B$3)-1)</x:f>
        <x:v>-0.03222925799642806</x:v>
      </x:c>
      <x:c r="E34" s="332" t="n">
        <x:f>IF(OR(COUNTIFS($J$3:$J$1281,$B34,$L$3:$L$1281,$B$4)=0,COUNTIFS($J$3:$J$1281,$B34,$L$3:$L$1281,$D$4)=0),"",SUMIFS($M$3:$M$1281,$J$3:$J$1281,$B34,$L$3:$L$1281,$D$4)/SUMIFS($M$3:$M$1281,$J$3:$J$1281,$B34,$L$3:$L$1281,$B$4)-1)</x:f>
        <x:v>-0.04416301347621365</x:v>
      </x:c>
      <x:c r="F34" s="332" t="n">
        <x:f>IF(OR(COUNTIFS($J$3:$J$1281,$B34,$L$3:$L$1281,$B$5)=0,COUNTIFS($J$3:$J$1281,$B34,$L$3:$L$1281,$D$5)=0),"",SUMIFS($M$3:$M$1281,$J$3:$J$1281,$B34,$L$3:$L$1281,$D$5)/SUMIFS($M$3:$M$1281,$J$3:$J$1281,$B34,$L$3:$L$1281,$B$5)-1)</x:f>
        <x:v>0.018192688759822273</x:v>
      </x:c>
      <x:c r="G34" s="333" t="n">
        <x:f>IFERROR(MINIFS($O$3:$O$1281,$J$3:$J$1281,$B34,$L$3:$L$1281,"&gt;="&amp;$B$3,$L$3:$L$1281,"&lt;="&amp;$D$3),"")</x:f>
        <x:v>-0.05747866688133951</x:v>
      </x:c>
      <x:c r="J34" s="257" t="str">
        <x:v>1090</x:v>
      </x:c>
      <x:c r="K34" s="258" t="str">
        <x:v>1090基石组合</x:v>
      </x:c>
      <x:c r="L34" s="259" t="n">
        <x:f>'1090实盘净值'!A34+0</x:f>
        <x:v>46237</x:v>
      </x:c>
      <x:c r="M34" s="260" t="n">
        <x:f>'1090实盘净值'!B34+0</x:f>
        <x:v>0.97469599</x:v>
      </x:c>
      <x:c r="N34" s="261" t="n">
        <x:f>IF(OR(L34&lt;$B$3,L34&gt;$D$3),"",IF(AND(J34=J33,N33&lt;&gt;""),MAX(M34,N33),M34))</x:f>
        <x:v>1.00271066</x:v>
      </x:c>
      <x:c r="O34" s="262" t="n">
        <x:f>IF(N34="","",M34/N34-1)</x:f>
        <x:v>-0.027938937040920653</x:v>
      </x:c>
    </x:row>
    <x:row r="35">
      <x:c r="A35" s="321" t="n">
        <x:v>10</x:v>
      </x:c>
      <x:c r="B35" s="329" t="str">
        <x:v>014846.OF</x:v>
      </x:c>
      <x:c r="C35" s="325" t="str">
        <x:v>博时恒乐债券A</x:v>
      </x:c>
      <x:c r="D35" s="336" t="n">
        <x:f>IF(OR(COUNTIFS($J$3:$J$1281,$B35,$L$3:$L$1281,$B$3)=0,COUNTIFS($J$3:$J$1281,$B35,$L$3:$L$1281,$D$3)=0),"",SUMIFS($M$3:$M$1281,$J$3:$J$1281,$B35,$L$3:$L$1281,$D$3)/SUMIFS($M$3:$M$1281,$J$3:$J$1281,$B35,$L$3:$L$1281,$B$3)-1)</x:f>
        <x:v>-0.011699604743082959</x:v>
      </x:c>
      <x:c r="E35" s="336" t="n">
        <x:f>IF(OR(COUNTIFS($J$3:$J$1281,$B35,$L$3:$L$1281,$B$4)=0,COUNTIFS($J$3:$J$1281,$B35,$L$3:$L$1281,$D$4)=0),"",SUMIFS($M$3:$M$1281,$J$3:$J$1281,$B35,$L$3:$L$1281,$D$4)/SUMIFS($M$3:$M$1281,$J$3:$J$1281,$B35,$L$3:$L$1281,$B$4)-1)</x:f>
        <x:v>-0.015573122529644157</x:v>
      </x:c>
      <x:c r="F35" s="336" t="n">
        <x:f>IF(OR(COUNTIFS($J$3:$J$1281,$B35,$L$3:$L$1281,$B$5)=0,COUNTIFS($J$3:$J$1281,$B35,$L$3:$L$1281,$D$5)=0),"",SUMIFS($M$3:$M$1281,$J$3:$J$1281,$B35,$L$3:$L$1281,$D$5)/SUMIFS($M$3:$M$1281,$J$3:$J$1281,$B35,$L$3:$L$1281,$B$5)-1)</x:f>
        <x:v>0.004660880745740892</x:v>
      </x:c>
      <x:c r="G35" s="337" t="n">
        <x:f>IFERROR(MINIFS($O$3:$O$1281,$J$3:$J$1281,$B35,$L$3:$L$1281,"&gt;="&amp;$B$3,$L$3:$L$1281,"&lt;="&amp;$D$3),"")</x:f>
        <x:v>-0.030923819909643324</x:v>
      </x:c>
      <x:c r="J35" s="257" t="str">
        <x:v>1090</x:v>
      </x:c>
      <x:c r="K35" s="258" t="str">
        <x:v>1090基石组合</x:v>
      </x:c>
      <x:c r="L35" s="259" t="n">
        <x:f>'1090实盘净值'!A35+0</x:f>
        <x:v>46238</x:v>
      </x:c>
      <x:c r="M35" s="260" t="n">
        <x:f>'1090实盘净值'!B35+0</x:f>
        <x:v>0.97954497</x:v>
      </x:c>
      <x:c r="N35" s="261" t="n">
        <x:f>IF(OR(L35&lt;$B$3,L35&gt;$D$3),"",IF(AND(J35=J34,N34&lt;&gt;""),MAX(M35,N34),M35))</x:f>
        <x:v>1.00271066</x:v>
      </x:c>
      <x:c r="O35" s="262" t="n">
        <x:f>IF(N35="","",M35/N35-1)</x:f>
        <x:v>-0.02310306544462193</x:v>
      </x:c>
    </x:row>
    <x:row r="36">
      <x:c r="J36" s="257" t="str">
        <x:v>1090</x:v>
      </x:c>
      <x:c r="K36" s="258" t="str">
        <x:v>1090基石组合</x:v>
      </x:c>
      <x:c r="L36" s="259" t="n">
        <x:f>'1090实盘净值'!A36+0</x:f>
        <x:v>46239</x:v>
      </x:c>
      <x:c r="M36" s="260" t="n">
        <x:f>'1090实盘净值'!B36+0</x:f>
        <x:v>0.98421564</x:v>
      </x:c>
      <x:c r="N36" s="261" t="n">
        <x:f>IF(OR(L36&lt;$B$3,L36&gt;$D$3),"",IF(AND(J36=J35,N35&lt;&gt;""),MAX(M36,N35),M36))</x:f>
        <x:v>1.00271066</x:v>
      </x:c>
      <x:c r="O36" s="262" t="n">
        <x:f>IF(N36="","",M36/N36-1)</x:f>
        <x:v>-0.018445021817161122</x:v>
      </x:c>
    </x:row>
    <x:row r="37">
      <x:c r="J37" s="257" t="str">
        <x:v>1090</x:v>
      </x:c>
      <x:c r="K37" s="258" t="str">
        <x:v>1090基石组合</x:v>
      </x:c>
      <x:c r="L37" s="259" t="n">
        <x:f>'1090实盘净值'!A37+0</x:f>
        <x:v>46240</x:v>
      </x:c>
      <x:c r="M37" s="260" t="n">
        <x:f>'1090实盘净值'!B37+0</x:f>
        <x:v>0.98658983</x:v>
      </x:c>
      <x:c r="N37" s="261" t="n">
        <x:f>IF(OR(L37&lt;$B$3,L37&gt;$D$3),"",IF(AND(J37=J36,N36&lt;&gt;""),MAX(M37,N36),M37))</x:f>
        <x:v>1.00271066</x:v>
      </x:c>
      <x:c r="O37" s="262" t="n">
        <x:f>IF(N37="","",M37/N37-1)</x:f>
        <x:v>-0.016077250041402702</x:v>
      </x:c>
    </x:row>
    <x:row r="38" ht="24" customHeight="1">
      <x:c r="A38" s="270" t="str">
        <x:v>1090基石组合与公司固收+保有前十基金对比</x:v>
      </x:c>
      <x:c r="B38" s="270"/>
      <x:c r="C38" s="270"/>
      <x:c r="D38" s="270"/>
      <x:c r="E38" s="270"/>
      <x:c r="F38" s="270"/>
      <x:c r="G38" s="270"/>
      <x:c r="J38" s="257" t="str">
        <x:v>1090</x:v>
      </x:c>
      <x:c r="K38" s="258" t="str">
        <x:v>1090基石组合</x:v>
      </x:c>
      <x:c r="L38" s="259" t="n">
        <x:f>'1090实盘净值'!A38+0</x:f>
        <x:v>46241</x:v>
      </x:c>
      <x:c r="M38" s="260" t="n">
        <x:f>'1090实盘净值'!B38+0</x:f>
        <x:v>0.9897759</x:v>
      </x:c>
      <x:c r="N38" s="261" t="n">
        <x:f>IF(OR(L38&lt;$B$3,L38&gt;$D$3),"",IF(AND(J38=J37,N37&lt;&gt;""),MAX(M38,N37),M38))</x:f>
        <x:v>1.00271066</x:v>
      </x:c>
      <x:c r="O38" s="262" t="n">
        <x:f>IF(N38="","",M38/N38-1)</x:f>
        <x:v>-0.012899793046979191</x:v>
      </x:c>
    </x:row>
    <x:row r="39" ht="34" customHeight="1">
      <x:c r="A39" s="276" t="str">
        <x:v>序号</x:v>
      </x:c>
      <x:c r="B39" s="276" t="str">
        <x:v>基金代码</x:v>
      </x:c>
      <x:c r="C39" s="276" t="str">
        <x:v>产品/基金名称</x:v>
      </x:c>
      <x:c r="D39" s="276" t="str">
        <x:v>上线以来收益率</x:v>
      </x:c>
      <x:c r="E39" s="276" t="str">
        <x:v>区间1收益率</x:v>
      </x:c>
      <x:c r="F39" s="276" t="str">
        <x:v>区间2收益率</x:v>
      </x:c>
      <x:c r="G39" s="276" t="str">
        <x:v>最大回撤（上线以来）</x:v>
      </x:c>
      <x:c r="J39" s="257" t="str">
        <x:v>1090</x:v>
      </x:c>
      <x:c r="K39" s="258" t="str">
        <x:v>1090基石组合</x:v>
      </x:c>
      <x:c r="L39" s="259" t="n">
        <x:f>'1090实盘净值'!A39+0</x:f>
        <x:v>46244</x:v>
      </x:c>
      <x:c r="M39" s="260" t="n">
        <x:f>'1090实盘净值'!B39+0</x:f>
        <x:v>0.99185254</x:v>
      </x:c>
      <x:c r="N39" s="261" t="n">
        <x:f>IF(OR(L39&lt;$B$3,L39&gt;$D$3),"",IF(AND(J39=J38,N38&lt;&gt;""),MAX(M39,N38),M39))</x:f>
        <x:v>1.00271066</x:v>
      </x:c>
      <x:c r="O39" s="262" t="n">
        <x:f>IF(N39="","",M39/N39-1)</x:f>
        <x:v>-0.010828766894729114</x:v>
      </x:c>
    </x:row>
    <x:row r="40">
      <x:c r="A40" s="318" t="str">
        <x:v>组合</x:v>
      </x:c>
      <x:c r="B40" s="326" t="str">
        <x:v>1090</x:v>
      </x:c>
      <x:c r="C40" s="322" t="str">
        <x:v>1090基石组合</x:v>
      </x:c>
      <x:c r="D40" s="330" t="n">
        <x:f>IF(OR(COUNTIFS($J$3:$J$1281,$B40,$L$3:$L$1281,$B$3)=0,COUNTIFS($J$3:$J$1281,$B40,$L$3:$L$1281,$D$3)=0),"",SUMIFS($M$3:$M$1281,$J$3:$J$1281,$B40,$L$3:$L$1281,$D$3)/SUMIFS($M$3:$M$1281,$J$3:$J$1281,$B40,$L$3:$L$1281,$B$3)-1)</x:f>
        <x:v>-0.008147459999999995</x:v>
      </x:c>
      <x:c r="E40" s="330" t="n">
        <x:f>IF(OR(COUNTIFS($J$3:$J$1281,$B40,$L$3:$L$1281,$B$4)=0,COUNTIFS($J$3:$J$1281,$B40,$L$3:$L$1281,$D$4)=0),"",SUMIFS($M$3:$M$1281,$J$3:$J$1281,$B40,$L$3:$L$1281,$D$4)/SUMIFS($M$3:$M$1281,$J$3:$J$1281,$B40,$L$3:$L$1281,$B$4)-1)</x:f>
        <x:v>-0.02294198000000003</x:v>
      </x:c>
      <x:c r="F40" s="330" t="n">
        <x:f>IF(OR(COUNTIFS($J$3:$J$1281,$B40,$L$3:$L$1281,$B$5)=0,COUNTIFS($J$3:$J$1281,$B40,$L$3:$L$1281,$D$5)=0),"",SUMIFS($M$3:$M$1281,$J$3:$J$1281,$B40,$L$3:$L$1281,$D$5)/SUMIFS($M$3:$M$1281,$J$3:$J$1281,$B40,$L$3:$L$1281,$B$5)-1)</x:f>
        <x:v>0.017601949916711934</x:v>
      </x:c>
      <x:c r="G40" s="331" t="n">
        <x:f>IFERROR(MINIFS($O$3:$O$1281,$J$3:$J$1281,$B40,$L$3:$L$1281,"&gt;="&amp;$B$3,$L$3:$L$1281,"&lt;="&amp;$D$3),"")</x:f>
        <x:v>-0.02886914556189113</x:v>
      </x:c>
      <x:c r="J40" s="257" t="str">
        <x:v>110027.OF</x:v>
      </x:c>
      <x:c r="K40" s="258" t="str">
        <x:v>易方达安心回报债券A</x:v>
      </x:c>
      <x:c r="L40" s="263" t="n">
        <x:v>46191</x:v>
      </x:c>
      <x:c r="M40" s="261" t="n">
        <x:v>4.547</x:v>
      </x:c>
      <x:c r="N40" s="261" t="n">
        <x:f>IF(OR(L40&lt;$B$3,L40&gt;$D$3),"",IF(AND(J40=J39,N39&lt;&gt;""),MAX(M40,N39),M40))</x:f>
        <x:v>4.547</x:v>
      </x:c>
      <x:c r="O40" s="262" t="n">
        <x:f>IF(N40="","",M40/N40-1)</x:f>
        <x:v>0</x:v>
      </x:c>
    </x:row>
    <x:row r="41">
      <x:c r="A41" s="319" t="n">
        <x:v>1</x:v>
      </x:c>
      <x:c r="B41" s="327" t="str">
        <x:v>009355.OF</x:v>
      </x:c>
      <x:c r="C41" s="323" t="str">
        <x:v>宏利泰和稳健养老目标一年持有混合(FOF)A</x:v>
      </x:c>
      <x:c r="D41" s="332" t="n">
        <x:f>IF(OR(COUNTIFS($J$3:$J$1281,$B41,$L$3:$L$1281,$B$3)=0,COUNTIFS($J$3:$J$1281,$B41,$L$3:$L$1281,$D$3)=0),"",SUMIFS($M$3:$M$1281,$J$3:$J$1281,$B41,$L$3:$L$1281,$D$3)/SUMIFS($M$3:$M$1281,$J$3:$J$1281,$B41,$L$3:$L$1281,$B$3)-1)</x:f>
        <x:v>-0.009003893575600164</x:v>
      </x:c>
      <x:c r="E41" s="332" t="n">
        <x:f>IF(OR(COUNTIFS($J$3:$J$1281,$B41,$L$3:$L$1281,$B$4)=0,COUNTIFS($J$3:$J$1281,$B41,$L$3:$L$1281,$D$4)=0),"",SUMIFS($M$3:$M$1281,$J$3:$J$1281,$B41,$L$3:$L$1281,$D$4)/SUMIFS($M$3:$M$1281,$J$3:$J$1281,$B41,$L$3:$L$1281,$B$4)-1)</x:f>
        <x:v>-0.014519792342634452</x:v>
      </x:c>
      <x:c r="F41" s="332" t="n">
        <x:f>IF(OR(COUNTIFS($J$3:$J$1281,$B41,$L$3:$L$1281,$B$5)=0,COUNTIFS($J$3:$J$1281,$B41,$L$3:$L$1281,$D$5)=0),"",SUMIFS($M$3:$M$1281,$J$3:$J$1281,$B41,$L$3:$L$1281,$D$5)/SUMIFS($M$3:$M$1281,$J$3:$J$1281,$B41,$L$3:$L$1281,$B$5)-1)</x:f>
        <x:v>0.006176906605172228</x:v>
      </x:c>
      <x:c r="G41" s="333" t="n">
        <x:f>IFERROR(MINIFS($O$3:$O$1281,$J$3:$J$1281,$B41,$L$3:$L$1281,"&gt;="&amp;$B$3,$L$3:$L$1281,"&lt;="&amp;$D$3),"")</x:f>
        <x:v>-0.01888474631220627</x:v>
      </x:c>
      <x:c r="J41" s="257" t="str">
        <x:v>110027.OF</x:v>
      </x:c>
      <x:c r="K41" s="258" t="str">
        <x:v>易方达安心回报债券A</x:v>
      </x:c>
      <x:c r="L41" s="263" t="n">
        <x:v>46192</x:v>
      </x:c>
      <x:c r="M41" s="261" t="n">
        <x:v>4.547</x:v>
      </x:c>
      <x:c r="N41" s="261" t="n">
        <x:f>IF(OR(L41&lt;$B$3,L41&gt;$D$3),"",IF(AND(J41=J40,N40&lt;&gt;""),MAX(M41,N40),M41))</x:f>
        <x:v>4.547</x:v>
      </x:c>
      <x:c r="O41" s="262" t="n">
        <x:f>IF(N41="","",M41/N41-1)</x:f>
        <x:v>0</x:v>
      </x:c>
    </x:row>
    <x:row r="42">
      <x:c r="A42" s="320" t="n">
        <x:v>2</x:v>
      </x:c>
      <x:c r="B42" s="328" t="str">
        <x:v>024057.OF</x:v>
      </x:c>
      <x:c r="C42" s="324" t="str">
        <x:v>宏利鼎森稳健3个月持有混合(FOF)A</x:v>
      </x:c>
      <x:c r="D42" s="334" t="n">
        <x:f>IF(OR(COUNTIFS($J$3:$J$1281,$B42,$L$3:$L$1281,$B$3)=0,COUNTIFS($J$3:$J$1281,$B42,$L$3:$L$1281,$D$3)=0),"",SUMIFS($M$3:$M$1281,$J$3:$J$1281,$B42,$L$3:$L$1281,$D$3)/SUMIFS($M$3:$M$1281,$J$3:$J$1281,$B42,$L$3:$L$1281,$B$3)-1)</x:f>
        <x:v>-0.0031486765718784504</x:v>
      </x:c>
      <x:c r="E42" s="334" t="n">
        <x:f>IF(OR(COUNTIFS($J$3:$J$1281,$B42,$L$3:$L$1281,$B$4)=0,COUNTIFS($J$3:$J$1281,$B42,$L$3:$L$1281,$D$4)=0),"",SUMIFS($M$3:$M$1281,$J$3:$J$1281,$B42,$L$3:$L$1281,$D$4)/SUMIFS($M$3:$M$1281,$J$3:$J$1281,$B42,$L$3:$L$1281,$B$4)-1)</x:f>
        <x:v>-0.00944602971563524</x:v>
      </x:c>
      <x:c r="F42" s="334" t="n">
        <x:f>IF(OR(COUNTIFS($J$3:$J$1281,$B42,$L$3:$L$1281,$B$5)=0,COUNTIFS($J$3:$J$1281,$B42,$L$3:$L$1281,$D$5)=0),"",SUMIFS($M$3:$M$1281,$J$3:$J$1281,$B42,$L$3:$L$1281,$D$5)/SUMIFS($M$3:$M$1281,$J$3:$J$1281,$B42,$L$3:$L$1281,$B$5)-1)</x:f>
        <x:v>0.0068574836016694896</x:v>
      </x:c>
      <x:c r="G42" s="335" t="n">
        <x:f>IFERROR(MINIFS($O$3:$O$1281,$J$3:$J$1281,$B42,$L$3:$L$1281,"&gt;="&amp;$B$3,$L$3:$L$1281,"&lt;="&amp;$D$3),"")</x:f>
        <x:v>-0.013283479287611977</x:v>
      </x:c>
      <x:c r="J42" s="257" t="str">
        <x:v>110027.OF</x:v>
      </x:c>
      <x:c r="K42" s="258" t="str">
        <x:v>易方达安心回报债券A</x:v>
      </x:c>
      <x:c r="L42" s="263" t="n">
        <x:v>46193</x:v>
      </x:c>
      <x:c r="M42" s="261" t="n">
        <x:v>4.547</x:v>
      </x:c>
      <x:c r="N42" s="261" t="n">
        <x:f>IF(OR(L42&lt;$B$3,L42&gt;$D$3),"",IF(AND(J42=J41,N41&lt;&gt;""),MAX(M42,N41),M42))</x:f>
        <x:v>4.547</x:v>
      </x:c>
      <x:c r="O42" s="262" t="n">
        <x:f>IF(N42="","",M42/N42-1)</x:f>
        <x:v>0</x:v>
      </x:c>
    </x:row>
    <x:row r="43">
      <x:c r="A43" s="319" t="n">
        <x:v>3</x:v>
      </x:c>
      <x:c r="B43" s="327" t="str">
        <x:v>011168.OF</x:v>
      </x:c>
      <x:c r="C43" s="323" t="str">
        <x:v>嘉实睿享安久双利18个月持有期债券</x:v>
      </x:c>
      <x:c r="D43" s="332" t="n">
        <x:f>IF(OR(COUNTIFS($J$3:$J$1281,$B43,$L$3:$L$1281,$B$3)=0,COUNTIFS($J$3:$J$1281,$B43,$L$3:$L$1281,$D$3)=0),"",SUMIFS($M$3:$M$1281,$J$3:$J$1281,$B43,$L$3:$L$1281,$D$3)/SUMIFS($M$3:$M$1281,$J$3:$J$1281,$B43,$L$3:$L$1281,$B$3)-1)</x:f>
        <x:v>-0.016155220003247317</x:v>
      </x:c>
      <x:c r="E43" s="332" t="n">
        <x:f>IF(OR(COUNTIFS($J$3:$J$1281,$B43,$L$3:$L$1281,$B$4)=0,COUNTIFS($J$3:$J$1281,$B43,$L$3:$L$1281,$D$4)=0),"",SUMIFS($M$3:$M$1281,$J$3:$J$1281,$B43,$L$3:$L$1281,$D$4)/SUMIFS($M$3:$M$1281,$J$3:$J$1281,$B43,$L$3:$L$1281,$B$4)-1)</x:f>
        <x:v>-0.02467933106023701</x:v>
      </x:c>
      <x:c r="F43" s="332" t="n">
        <x:f>IF(OR(COUNTIFS($J$3:$J$1281,$B43,$L$3:$L$1281,$B$5)=0,COUNTIFS($J$3:$J$1281,$B43,$L$3:$L$1281,$D$5)=0),"",SUMIFS($M$3:$M$1281,$J$3:$J$1281,$B43,$L$3:$L$1281,$D$5)/SUMIFS($M$3:$M$1281,$J$3:$J$1281,$B43,$L$3:$L$1281,$B$5)-1)</x:f>
        <x:v>0.012955533266466146</x:v>
      </x:c>
      <x:c r="G43" s="333" t="n">
        <x:f>IFERROR(MINIFS($O$3:$O$1281,$J$3:$J$1281,$B43,$L$3:$L$1281,"&gt;="&amp;$B$3,$L$3:$L$1281,"&lt;="&amp;$D$3),"")</x:f>
        <x:v>-0.04941999046559675</x:v>
      </x:c>
      <x:c r="J43" s="257" t="str">
        <x:v>110027.OF</x:v>
      </x:c>
      <x:c r="K43" s="258" t="str">
        <x:v>易方达安心回报债券A</x:v>
      </x:c>
      <x:c r="L43" s="263" t="n">
        <x:v>46194</x:v>
      </x:c>
      <x:c r="M43" s="261" t="n">
        <x:v>4.547</x:v>
      </x:c>
      <x:c r="N43" s="261" t="n">
        <x:f>IF(OR(L43&lt;$B$3,L43&gt;$D$3),"",IF(AND(J43=J42,N42&lt;&gt;""),MAX(M43,N42),M43))</x:f>
        <x:v>4.547</x:v>
      </x:c>
      <x:c r="O43" s="262" t="n">
        <x:f>IF(N43="","",M43/N43-1)</x:f>
        <x:v>0</x:v>
      </x:c>
    </x:row>
    <x:row r="44">
      <x:c r="A44" s="320" t="n">
        <x:v>4</x:v>
      </x:c>
      <x:c r="B44" s="328" t="str">
        <x:v>002969.OF</x:v>
      </x:c>
      <x:c r="C44" s="324" t="str">
        <x:v>易方达丰和债券A</x:v>
      </x:c>
      <x:c r="D44" s="334" t="n">
        <x:f>IF(OR(COUNTIFS($J$3:$J$1281,$B44,$L$3:$L$1281,$B$3)=0,COUNTIFS($J$3:$J$1281,$B44,$L$3:$L$1281,$D$3)=0),"",SUMIFS($M$3:$M$1281,$J$3:$J$1281,$B44,$L$3:$L$1281,$D$3)/SUMIFS($M$3:$M$1281,$J$3:$J$1281,$B44,$L$3:$L$1281,$B$3)-1)</x:f>
        <x:v>-0.028330449826989623</x:v>
      </x:c>
      <x:c r="E44" s="334" t="n">
        <x:f>IF(OR(COUNTIFS($J$3:$J$1281,$B44,$L$3:$L$1281,$B$4)=0,COUNTIFS($J$3:$J$1281,$B44,$L$3:$L$1281,$D$4)=0),"",SUMIFS($M$3:$M$1281,$J$3:$J$1281,$B44,$L$3:$L$1281,$D$4)/SUMIFS($M$3:$M$1281,$J$3:$J$1281,$B44,$L$3:$L$1281,$B$4)-1)</x:f>
        <x:v>-0.047902249134948116</x:v>
      </x:c>
      <x:c r="F44" s="334" t="n">
        <x:f>IF(OR(COUNTIFS($J$3:$J$1281,$B44,$L$3:$L$1281,$B$5)=0,COUNTIFS($J$3:$J$1281,$B44,$L$3:$L$1281,$D$5)=0),"",SUMIFS($M$3:$M$1281,$J$3:$J$1281,$B44,$L$3:$L$1281,$D$5)/SUMIFS($M$3:$M$1281,$J$3:$J$1281,$B44,$L$3:$L$1281,$B$5)-1)</x:f>
        <x:v>0.02404558404558399</x:v>
      </x:c>
      <x:c r="G44" s="335" t="n">
        <x:f>IFERROR(MINIFS($O$3:$O$1281,$J$3:$J$1281,$B44,$L$3:$L$1281,"&gt;="&amp;$B$3,$L$3:$L$1281,"&lt;="&amp;$D$3),"")</x:f>
        <x:v>-0.07056505299036042</x:v>
      </x:c>
      <x:c r="J44" s="257" t="str">
        <x:v>110027.OF</x:v>
      </x:c>
      <x:c r="K44" s="258" t="str">
        <x:v>易方达安心回报债券A</x:v>
      </x:c>
      <x:c r="L44" s="263" t="n">
        <x:v>46195</x:v>
      </x:c>
      <x:c r="M44" s="261" t="n">
        <x:v>4.569</x:v>
      </x:c>
      <x:c r="N44" s="261" t="n">
        <x:f>IF(OR(L44&lt;$B$3,L44&gt;$D$3),"",IF(AND(J44=J43,N43&lt;&gt;""),MAX(M44,N43),M44))</x:f>
        <x:v>4.569</x:v>
      </x:c>
      <x:c r="O44" s="262" t="n">
        <x:f>IF(N44="","",M44/N44-1)</x:f>
        <x:v>0</x:v>
      </x:c>
    </x:row>
    <x:row r="45">
      <x:c r="A45" s="319" t="n">
        <x:v>5</x:v>
      </x:c>
      <x:c r="B45" s="327" t="str">
        <x:v>014738.OF</x:v>
      </x:c>
      <x:c r="C45" s="323" t="str">
        <x:v>广发恒祥债券A</x:v>
      </x:c>
      <x:c r="D45" s="332" t="n">
        <x:f>IF(OR(COUNTIFS($J$3:$J$1281,$B45,$L$3:$L$1281,$B$3)=0,COUNTIFS($J$3:$J$1281,$B45,$L$3:$L$1281,$D$3)=0),"",SUMIFS($M$3:$M$1281,$J$3:$J$1281,$B45,$L$3:$L$1281,$D$3)/SUMIFS($M$3:$M$1281,$J$3:$J$1281,$B45,$L$3:$L$1281,$B$3)-1)</x:f>
        <x:v>-0.029571047881028045</x:v>
      </x:c>
      <x:c r="E45" s="332" t="n">
        <x:f>IF(OR(COUNTIFS($J$3:$J$1281,$B45,$L$3:$L$1281,$B$4)=0,COUNTIFS($J$3:$J$1281,$B45,$L$3:$L$1281,$D$4)=0),"",SUMIFS($M$3:$M$1281,$J$3:$J$1281,$B45,$L$3:$L$1281,$D$4)/SUMIFS($M$3:$M$1281,$J$3:$J$1281,$B45,$L$3:$L$1281,$B$4)-1)</x:f>
        <x:v>-0.03137625719934667</x:v>
      </x:c>
      <x:c r="F45" s="332" t="n">
        <x:f>IF(OR(COUNTIFS($J$3:$J$1281,$B45,$L$3:$L$1281,$B$5)=0,COUNTIFS($J$3:$J$1281,$B45,$L$3:$L$1281,$D$5)=0),"",SUMIFS($M$3:$M$1281,$J$3:$J$1281,$B45,$L$3:$L$1281,$D$5)/SUMIFS($M$3:$M$1281,$J$3:$J$1281,$B45,$L$3:$L$1281,$B$5)-1)</x:f>
        <x:v>0.004270082732852787</x:v>
      </x:c>
      <x:c r="G45" s="333" t="n">
        <x:f>IFERROR(MINIFS($O$3:$O$1281,$J$3:$J$1281,$B45,$L$3:$L$1281,"&gt;="&amp;$B$3,$L$3:$L$1281,"&lt;="&amp;$D$3),"")</x:f>
        <x:v>-0.05688396677573615</x:v>
      </x:c>
      <x:c r="J45" s="257" t="str">
        <x:v>110027.OF</x:v>
      </x:c>
      <x:c r="K45" s="258" t="str">
        <x:v>易方达安心回报债券A</x:v>
      </x:c>
      <x:c r="L45" s="263" t="n">
        <x:v>46196</x:v>
      </x:c>
      <x:c r="M45" s="261" t="n">
        <x:v>4.5294</x:v>
      </x:c>
      <x:c r="N45" s="261" t="n">
        <x:f>IF(OR(L45&lt;$B$3,L45&gt;$D$3),"",IF(AND(J45=J44,N44&lt;&gt;""),MAX(M45,N44),M45))</x:f>
        <x:v>4.569</x:v>
      </x:c>
      <x:c r="O45" s="262" t="n">
        <x:f>IF(N45="","",M45/N45-1)</x:f>
        <x:v>-0.008667104399212144</x:v>
      </x:c>
    </x:row>
    <x:row r="46">
      <x:c r="A46" s="320" t="n">
        <x:v>6</x:v>
      </x:c>
      <x:c r="B46" s="328" t="str">
        <x:v>006307.OF</x:v>
      </x:c>
      <x:c r="C46" s="324" t="str">
        <x:v>嘉实养老2040混合(FOF)A</x:v>
      </x:c>
      <x:c r="D46" s="334" t="n">
        <x:f>IF(OR(COUNTIFS($J$3:$J$1281,$B46,$L$3:$L$1281,$B$3)=0,COUNTIFS($J$3:$J$1281,$B46,$L$3:$L$1281,$D$3)=0),"",SUMIFS($M$3:$M$1281,$J$3:$J$1281,$B46,$L$3:$L$1281,$D$3)/SUMIFS($M$3:$M$1281,$J$3:$J$1281,$B46,$L$3:$L$1281,$B$3)-1)</x:f>
        <x:v>-0.037585733882030126</x:v>
      </x:c>
      <x:c r="E46" s="334" t="n">
        <x:f>IF(OR(COUNTIFS($J$3:$J$1281,$B46,$L$3:$L$1281,$B$4)=0,COUNTIFS($J$3:$J$1281,$B46,$L$3:$L$1281,$D$4)=0),"",SUMIFS($M$3:$M$1281,$J$3:$J$1281,$B46,$L$3:$L$1281,$D$4)/SUMIFS($M$3:$M$1281,$J$3:$J$1281,$B46,$L$3:$L$1281,$B$4)-1)</x:f>
        <x:v>-0.082798353909465</x:v>
      </x:c>
      <x:c r="F46" s="334" t="n">
        <x:f>IF(OR(COUNTIFS($J$3:$J$1281,$B46,$L$3:$L$1281,$B$5)=0,COUNTIFS($J$3:$J$1281,$B46,$L$3:$L$1281,$D$5)=0),"",SUMIFS($M$3:$M$1281,$J$3:$J$1281,$B46,$L$3:$L$1281,$D$5)/SUMIFS($M$3:$M$1281,$J$3:$J$1281,$B46,$L$3:$L$1281,$B$5)-1)</x:f>
        <x:v>0.057135969141755005</x:v>
      </x:c>
      <x:c r="G46" s="335" t="n">
        <x:f>IFERROR(MINIFS($O$3:$O$1281,$J$3:$J$1281,$B46,$L$3:$L$1281,"&gt;="&amp;$B$3,$L$3:$L$1281,"&lt;="&amp;$D$3),"")</x:f>
        <x:v>-0.1173673807361505</x:v>
      </x:c>
      <x:c r="J46" s="257" t="str">
        <x:v>110027.OF</x:v>
      </x:c>
      <x:c r="K46" s="258" t="str">
        <x:v>易方达安心回报债券A</x:v>
      </x:c>
      <x:c r="L46" s="263" t="n">
        <x:v>46197</x:v>
      </x:c>
      <x:c r="M46" s="261" t="n">
        <x:v>4.548</x:v>
      </x:c>
      <x:c r="N46" s="261" t="n">
        <x:f>IF(OR(L46&lt;$B$3,L46&gt;$D$3),"",IF(AND(J46=J45,N45&lt;&gt;""),MAX(M46,N45),M46))</x:f>
        <x:v>4.569</x:v>
      </x:c>
      <x:c r="O46" s="262" t="n">
        <x:f>IF(N46="","",M46/N46-1)</x:f>
        <x:v>-0.004596191726854881</x:v>
      </x:c>
    </x:row>
    <x:row r="47">
      <x:c r="A47" s="319" t="n">
        <x:v>7</x:v>
      </x:c>
      <x:c r="B47" s="327" t="str">
        <x:v>003458.OF</x:v>
      </x:c>
      <x:c r="C47" s="323" t="str">
        <x:v>嘉实稳宏债券A</x:v>
      </x:c>
      <x:c r="D47" s="332" t="n">
        <x:f>IF(OR(COUNTIFS($J$3:$J$1281,$B47,$L$3:$L$1281,$B$3)=0,COUNTIFS($J$3:$J$1281,$B47,$L$3:$L$1281,$D$3)=0),"",SUMIFS($M$3:$M$1281,$J$3:$J$1281,$B47,$L$3:$L$1281,$D$3)/SUMIFS($M$3:$M$1281,$J$3:$J$1281,$B47,$L$3:$L$1281,$B$3)-1)</x:f>
        <x:v>-0.06583416583416568</x:v>
      </x:c>
      <x:c r="E47" s="332" t="n">
        <x:f>IF(OR(COUNTIFS($J$3:$J$1281,$B47,$L$3:$L$1281,$B$4)=0,COUNTIFS($J$3:$J$1281,$B47,$L$3:$L$1281,$D$4)=0),"",SUMIFS($M$3:$M$1281,$J$3:$J$1281,$B47,$L$3:$L$1281,$D$4)/SUMIFS($M$3:$M$1281,$J$3:$J$1281,$B47,$L$3:$L$1281,$B$4)-1)</x:f>
        <x:v>-0.11183816183816175</x:v>
      </x:c>
      <x:c r="F47" s="332" t="n">
        <x:f>IF(OR(COUNTIFS($J$3:$J$1281,$B47,$L$3:$L$1281,$B$5)=0,COUNTIFS($J$3:$J$1281,$B47,$L$3:$L$1281,$D$5)=0),"",SUMIFS($M$3:$M$1281,$J$3:$J$1281,$B47,$L$3:$L$1281,$D$5)/SUMIFS($M$3:$M$1281,$J$3:$J$1281,$B47,$L$3:$L$1281,$B$5)-1)</x:f>
        <x:v>0.06424628691743006</x:v>
      </x:c>
      <x:c r="G47" s="333" t="n">
        <x:f>IFERROR(MINIFS($O$3:$O$1281,$J$3:$J$1281,$B47,$L$3:$L$1281,"&gt;="&amp;$B$3,$L$3:$L$1281,"&lt;="&amp;$D$3),"")</x:f>
        <x:v>-0.14870700111590907</x:v>
      </x:c>
      <x:c r="J47" s="257" t="str">
        <x:v>110027.OF</x:v>
      </x:c>
      <x:c r="K47" s="258" t="str">
        <x:v>易方达安心回报债券A</x:v>
      </x:c>
      <x:c r="L47" s="263" t="n">
        <x:v>46198</x:v>
      </x:c>
      <x:c r="M47" s="261" t="n">
        <x:v>4.599</x:v>
      </x:c>
      <x:c r="N47" s="261" t="n">
        <x:f>IF(OR(L47&lt;$B$3,L47&gt;$D$3),"",IF(AND(J47=J46,N46&lt;&gt;""),MAX(M47,N46),M47))</x:f>
        <x:v>4.599</x:v>
      </x:c>
      <x:c r="O47" s="262" t="n">
        <x:f>IF(N47="","",M47/N47-1)</x:f>
        <x:v>0</x:v>
      </x:c>
    </x:row>
    <x:row r="48">
      <x:c r="A48" s="320" t="n">
        <x:v>8</x:v>
      </x:c>
      <x:c r="B48" s="328" t="str">
        <x:v>110027.OF</x:v>
      </x:c>
      <x:c r="C48" s="324" t="str">
        <x:v>易方达安心回报债券A</x:v>
      </x:c>
      <x:c r="D48" s="334" t="n">
        <x:f>IF(OR(COUNTIFS($J$3:$J$1281,$B48,$L$3:$L$1281,$B$3)=0,COUNTIFS($J$3:$J$1281,$B48,$L$3:$L$1281,$D$3)=0),"",SUMIFS($M$3:$M$1281,$J$3:$J$1281,$B48,$L$3:$L$1281,$D$3)/SUMIFS($M$3:$M$1281,$J$3:$J$1281,$B48,$L$3:$L$1281,$B$3)-1)</x:f>
        <x:v>-0.031075434352320075</x:v>
      </x:c>
      <x:c r="E48" s="334" t="n">
        <x:f>IF(OR(COUNTIFS($J$3:$J$1281,$B48,$L$3:$L$1281,$B$4)=0,COUNTIFS($J$3:$J$1281,$B48,$L$3:$L$1281,$D$4)=0),"",SUMIFS($M$3:$M$1281,$J$3:$J$1281,$B48,$L$3:$L$1281,$D$4)/SUMIFS($M$3:$M$1281,$J$3:$J$1281,$B48,$L$3:$L$1281,$B$4)-1)</x:f>
        <x:v>-0.039058720035188066</x:v>
      </x:c>
      <x:c r="F48" s="334" t="n">
        <x:f>IF(OR(COUNTIFS($J$3:$J$1281,$B48,$L$3:$L$1281,$B$5)=0,COUNTIFS($J$3:$J$1281,$B48,$L$3:$L$1281,$D$5)=0),"",SUMIFS($M$3:$M$1281,$J$3:$J$1281,$B48,$L$3:$L$1281,$D$5)/SUMIFS($M$3:$M$1281,$J$3:$J$1281,$B48,$L$3:$L$1281,$B$5)-1)</x:f>
        <x:v>0.013456937799043223</x:v>
      </x:c>
      <x:c r="G48" s="335" t="n">
        <x:f>IFERROR(MINIFS($O$3:$O$1281,$J$3:$J$1281,$B48,$L$3:$L$1281,"&gt;="&amp;$B$3,$L$3:$L$1281,"&lt;="&amp;$D$3),"")</x:f>
        <x:v>-0.063948220064725</x:v>
      </x:c>
      <x:c r="J48" s="257" t="str">
        <x:v>110027.OF</x:v>
      </x:c>
      <x:c r="K48" s="258" t="str">
        <x:v>易方达安心回报债券A</x:v>
      </x:c>
      <x:c r="L48" s="263" t="n">
        <x:v>46199</x:v>
      </x:c>
      <x:c r="M48" s="261" t="n">
        <x:v>4.566</x:v>
      </x:c>
      <x:c r="N48" s="261" t="n">
        <x:f>IF(OR(L48&lt;$B$3,L48&gt;$D$3),"",IF(AND(J48=J47,N47&lt;&gt;""),MAX(M48,N47),M48))</x:f>
        <x:v>4.599</x:v>
      </x:c>
      <x:c r="O48" s="262" t="n">
        <x:f>IF(N48="","",M48/N48-1)</x:f>
        <x:v>-0.0071754729288976415</x:v>
      </x:c>
    </x:row>
    <x:row r="49">
      <x:c r="A49" s="319" t="n">
        <x:v>9</x:v>
      </x:c>
      <x:c r="B49" s="327" t="str">
        <x:v>005221.OF</x:v>
      </x:c>
      <x:c r="C49" s="323" t="str">
        <x:v>宏利全能混合(FOF)A</x:v>
      </x:c>
      <x:c r="D49" s="332" t="n">
        <x:f>IF(OR(COUNTIFS($J$3:$J$1281,$B49,$L$3:$L$1281,$B$3)=0,COUNTIFS($J$3:$J$1281,$B49,$L$3:$L$1281,$D$3)=0),"",SUMIFS($M$3:$M$1281,$J$3:$J$1281,$B49,$L$3:$L$1281,$D$3)/SUMIFS($M$3:$M$1281,$J$3:$J$1281,$B49,$L$3:$L$1281,$B$3)-1)</x:f>
        <x:v>0.0012123048946808268</x:v>
      </x:c>
      <x:c r="E49" s="332" t="n">
        <x:f>IF(OR(COUNTIFS($J$3:$J$1281,$B49,$L$3:$L$1281,$B$4)=0,COUNTIFS($J$3:$J$1281,$B49,$L$3:$L$1281,$D$4)=0),"",SUMIFS($M$3:$M$1281,$J$3:$J$1281,$B49,$L$3:$L$1281,$D$4)/SUMIFS($M$3:$M$1281,$J$3:$J$1281,$B49,$L$3:$L$1281,$B$4)-1)</x:f>
        <x:v>-0.0009849977269283938</x:v>
      </x:c>
      <x:c r="F49" s="332" t="n">
        <x:f>IF(OR(COUNTIFS($J$3:$J$1281,$B49,$L$3:$L$1281,$B$5)=0,COUNTIFS($J$3:$J$1281,$B49,$L$3:$L$1281,$D$5)=0),"",SUMIFS($M$3:$M$1281,$J$3:$J$1281,$B49,$L$3:$L$1281,$D$5)/SUMIFS($M$3:$M$1281,$J$3:$J$1281,$B49,$L$3:$L$1281,$B$5)-1)</x:f>
        <x:v>0.0015158405335757852</x:v>
      </x:c>
      <x:c r="G49" s="333" t="n">
        <x:f>IFERROR(MINIFS($O$3:$O$1281,$J$3:$J$1281,$B49,$L$3:$L$1281,"&gt;="&amp;$B$3,$L$3:$L$1281,"&lt;="&amp;$D$3),"")</x:f>
        <x:v>-0.004318836187301112</x:v>
      </x:c>
      <x:c r="J49" s="257" t="str">
        <x:v>110027.OF</x:v>
      </x:c>
      <x:c r="K49" s="258" t="str">
        <x:v>易方达安心回报债券A</x:v>
      </x:c>
      <x:c r="L49" s="263" t="n">
        <x:v>46200</x:v>
      </x:c>
      <x:c r="M49" s="261" t="n">
        <x:v>4.566</x:v>
      </x:c>
      <x:c r="N49" s="261" t="n">
        <x:f>IF(OR(L49&lt;$B$3,L49&gt;$D$3),"",IF(AND(J49=J48,N48&lt;&gt;""),MAX(M49,N48),M49))</x:f>
        <x:v>4.599</x:v>
      </x:c>
      <x:c r="O49" s="262" t="n">
        <x:f>IF(N49="","",M49/N49-1)</x:f>
        <x:v>-0.0071754729288976415</x:v>
      </x:c>
    </x:row>
    <x:row r="50">
      <x:c r="A50" s="321" t="n">
        <x:v>10</x:v>
      </x:c>
      <x:c r="B50" s="329" t="str">
        <x:v>160718.OF</x:v>
      </x:c>
      <x:c r="C50" s="325" t="str">
        <x:v>嘉实多利收益债券A</x:v>
      </x:c>
      <x:c r="D50" s="336" t="n">
        <x:f>IF(OR(COUNTIFS($J$3:$J$1281,$B50,$L$3:$L$1281,$B$3)=0,COUNTIFS($J$3:$J$1281,$B50,$L$3:$L$1281,$D$3)=0),"",SUMIFS($M$3:$M$1281,$J$3:$J$1281,$B50,$L$3:$L$1281,$D$3)/SUMIFS($M$3:$M$1281,$J$3:$J$1281,$B50,$L$3:$L$1281,$B$3)-1)</x:f>
        <x:v>-0.037953147493783534</x:v>
      </x:c>
      <x:c r="E50" s="336" t="n">
        <x:f>IF(OR(COUNTIFS($J$3:$J$1281,$B50,$L$3:$L$1281,$B$4)=0,COUNTIFS($J$3:$J$1281,$B50,$L$3:$L$1281,$D$4)=0),"",SUMIFS($M$3:$M$1281,$J$3:$J$1281,$B50,$L$3:$L$1281,$D$4)/SUMIFS($M$3:$M$1281,$J$3:$J$1281,$B50,$L$3:$L$1281,$B$4)-1)</x:f>
        <x:v>-0.06007067137809197</x:v>
      </x:c>
      <x:c r="F50" s="336" t="n">
        <x:f>IF(OR(COUNTIFS($J$3:$J$1281,$B50,$L$3:$L$1281,$B$5)=0,COUNTIFS($J$3:$J$1281,$B50,$L$3:$L$1281,$D$5)=0),"",SUMIFS($M$3:$M$1281,$J$3:$J$1281,$B50,$L$3:$L$1281,$D$5)/SUMIFS($M$3:$M$1281,$J$3:$J$1281,$B50,$L$3:$L$1281,$B$5)-1)</x:f>
        <x:v>0.031574515857423435</x:v>
      </x:c>
      <x:c r="G50" s="337" t="n">
        <x:f>IFERROR(MINIFS($O$3:$O$1281,$J$3:$J$1281,$B50,$L$3:$L$1281,"&gt;="&amp;$B$3,$L$3:$L$1281,"&lt;="&amp;$D$3),"")</x:f>
        <x:v>-0.07969234746639087</x:v>
      </x:c>
      <x:c r="J50" s="257" t="str">
        <x:v>110027.OF</x:v>
      </x:c>
      <x:c r="K50" s="258" t="str">
        <x:v>易方达安心回报债券A</x:v>
      </x:c>
      <x:c r="L50" s="263" t="n">
        <x:v>46201</x:v>
      </x:c>
      <x:c r="M50" s="261" t="n">
        <x:v>4.566</x:v>
      </x:c>
      <x:c r="N50" s="261" t="n">
        <x:f>IF(OR(L50&lt;$B$3,L50&gt;$D$3),"",IF(AND(J50=J49,N49&lt;&gt;""),MAX(M50,N49),M50))</x:f>
        <x:v>4.599</x:v>
      </x:c>
      <x:c r="O50" s="262" t="n">
        <x:f>IF(N50="","",M50/N50-1)</x:f>
        <x:v>-0.0071754729288976415</x:v>
      </x:c>
    </x:row>
    <x:row r="51">
      <x:c r="J51" s="257" t="str">
        <x:v>110027.OF</x:v>
      </x:c>
      <x:c r="K51" s="258" t="str">
        <x:v>易方达安心回报债券A</x:v>
      </x:c>
      <x:c r="L51" s="263" t="n">
        <x:v>46202</x:v>
      </x:c>
      <x:c r="M51" s="261" t="n">
        <x:v>4.5897</x:v>
      </x:c>
      <x:c r="N51" s="261" t="n">
        <x:f>IF(OR(L51&lt;$B$3,L51&gt;$D$3),"",IF(AND(J51=J50,N50&lt;&gt;""),MAX(M51,N50),M51))</x:f>
        <x:v>4.599</x:v>
      </x:c>
      <x:c r="O51" s="262" t="n">
        <x:f>IF(N51="","",M51/N51-1)</x:f>
        <x:v>-0.002022178734507607</x:v>
      </x:c>
    </x:row>
    <x:row r="52" ht="22" customHeight="1">
      <x:c r="A52" s="342" t="str">
        <x:v>说明：基金收益率按复权单位净值计算；1090净值通过公式直接链接“1090实盘净值”B列。</x:v>
      </x:c>
      <x:c r="B52" s="342"/>
      <x:c r="C52" s="342"/>
      <x:c r="D52" s="342"/>
      <x:c r="E52" s="342"/>
      <x:c r="F52" s="342"/>
      <x:c r="G52" s="342"/>
      <x:c r="J52" s="257" t="str">
        <x:v>110027.OF</x:v>
      </x:c>
      <x:c r="K52" s="258" t="str">
        <x:v>易方达安心回报债券A</x:v>
      </x:c>
      <x:c r="L52" s="263" t="n">
        <x:v>46203</x:v>
      </x:c>
      <x:c r="M52" s="261" t="n">
        <x:v>4.635</x:v>
      </x:c>
      <x:c r="N52" s="261" t="n">
        <x:f>IF(OR(L52&lt;$B$3,L52&gt;$D$3),"",IF(AND(J52=J51,N51&lt;&gt;""),MAX(M52,N51),M52))</x:f>
        <x:v>4.635</x:v>
      </x:c>
      <x:c r="O52" s="262" t="n">
        <x:f>IF(N52="","",M52/N52-1)</x:f>
        <x:v>0</x:v>
      </x:c>
    </x:row>
    <x:row r="53" ht="22" customHeight="1">
      <x:c r="A53" s="342" t="str">
        <x:v>最大回撤按页首“上线以来”起止日计算；日期参数需选择净值明细中存在的日期，否则相应收益率留空。</x:v>
      </x:c>
      <x:c r="B53" s="342"/>
      <x:c r="C53" s="342"/>
      <x:c r="D53" s="342"/>
      <x:c r="E53" s="342"/>
      <x:c r="F53" s="342"/>
      <x:c r="G53" s="342"/>
      <x:c r="J53" s="257" t="str">
        <x:v>110027.OF</x:v>
      </x:c>
      <x:c r="K53" s="258" t="str">
        <x:v>易方达安心回报债券A</x:v>
      </x:c>
      <x:c r="L53" s="263" t="n">
        <x:v>46204</x:v>
      </x:c>
      <x:c r="M53" s="261" t="n">
        <x:v>4.6277</x:v>
      </x:c>
      <x:c r="N53" s="261" t="n">
        <x:f>IF(OR(L53&lt;$B$3,L53&gt;$D$3),"",IF(AND(J53=J52,N52&lt;&gt;""),MAX(M53,N52),M53))</x:f>
        <x:v>4.635</x:v>
      </x:c>
      <x:c r="O53" s="262" t="n">
        <x:f>IF(N53="","",M53/N53-1)</x:f>
        <x:v>-0.001574973031283733</x:v>
      </x:c>
    </x:row>
    <x:row r="54" ht="22" customHeight="1">
      <x:c r="A54" s="342" t="str">
        <x:v>数据源：同花顺 iFinD；基金净值明细覆盖 2026-06-18 至 2026-08-10。</x:v>
      </x:c>
      <x:c r="B54" s="342"/>
      <x:c r="C54" s="342"/>
      <x:c r="D54" s="342"/>
      <x:c r="E54" s="342"/>
      <x:c r="F54" s="342"/>
      <x:c r="G54" s="342"/>
      <x:c r="J54" s="257" t="str">
        <x:v>110027.OF</x:v>
      </x:c>
      <x:c r="K54" s="258" t="str">
        <x:v>易方达安心回报债券A</x:v>
      </x:c>
      <x:c r="L54" s="263" t="n">
        <x:v>46205</x:v>
      </x:c>
      <x:c r="M54" s="261" t="n">
        <x:v>4.5453</x:v>
      </x:c>
      <x:c r="N54" s="261" t="n">
        <x:f>IF(OR(L54&lt;$B$3,L54&gt;$D$3),"",IF(AND(J54=J53,N53&lt;&gt;""),MAX(M54,N53),M54))</x:f>
        <x:v>4.635</x:v>
      </x:c>
      <x:c r="O54" s="262" t="n">
        <x:f>IF(N54="","",M54/N54-1)</x:f>
        <x:v>-0.019352750809061403</x:v>
      </x:c>
    </x:row>
    <x:row r="55">
      <x:c r="J55" s="257" t="str">
        <x:v>110027.OF</x:v>
      </x:c>
      <x:c r="K55" s="258" t="str">
        <x:v>易方达安心回报债券A</x:v>
      </x:c>
      <x:c r="L55" s="263" t="n">
        <x:v>46206</x:v>
      </x:c>
      <x:c r="M55" s="261" t="n">
        <x:v>4.5466</x:v>
      </x:c>
      <x:c r="N55" s="261" t="n">
        <x:f>IF(OR(L55&lt;$B$3,L55&gt;$D$3),"",IF(AND(J55=J54,N54&lt;&gt;""),MAX(M55,N54),M55))</x:f>
        <x:v>4.635</x:v>
      </x:c>
      <x:c r="O55" s="262" t="n">
        <x:f>IF(N55="","",M55/N55-1)</x:f>
        <x:v>-0.01907227615965479</x:v>
      </x:c>
    </x:row>
    <x:row r="56">
      <x:c r="J56" s="257" t="str">
        <x:v>110027.OF</x:v>
      </x:c>
      <x:c r="K56" s="258" t="str">
        <x:v>易方达安心回报债券A</x:v>
      </x:c>
      <x:c r="L56" s="263" t="n">
        <x:v>46207</x:v>
      </x:c>
      <x:c r="M56" s="261" t="n">
        <x:v>4.5466</x:v>
      </x:c>
      <x:c r="N56" s="261" t="n">
        <x:f>IF(OR(L56&lt;$B$3,L56&gt;$D$3),"",IF(AND(J56=J55,N55&lt;&gt;""),MAX(M56,N55),M56))</x:f>
        <x:v>4.635</x:v>
      </x:c>
      <x:c r="O56" s="262" t="n">
        <x:f>IF(N56="","",M56/N56-1)</x:f>
        <x:v>-0.01907227615965479</x:v>
      </x:c>
    </x:row>
    <x:row r="57">
      <x:c r="J57" s="257" t="str">
        <x:v>110027.OF</x:v>
      </x:c>
      <x:c r="K57" s="258" t="str">
        <x:v>易方达安心回报债券A</x:v>
      </x:c>
      <x:c r="L57" s="263" t="n">
        <x:v>46208</x:v>
      </x:c>
      <x:c r="M57" s="261" t="n">
        <x:v>4.5466</x:v>
      </x:c>
      <x:c r="N57" s="261" t="n">
        <x:f>IF(OR(L57&lt;$B$3,L57&gt;$D$3),"",IF(AND(J57=J56,N56&lt;&gt;""),MAX(M57,N56),M57))</x:f>
        <x:v>4.635</x:v>
      </x:c>
      <x:c r="O57" s="262" t="n">
        <x:f>IF(N57="","",M57/N57-1)</x:f>
        <x:v>-0.01907227615965479</x:v>
      </x:c>
    </x:row>
    <x:row r="58">
      <x:c r="J58" s="257" t="str">
        <x:v>110027.OF</x:v>
      </x:c>
      <x:c r="K58" s="258" t="str">
        <x:v>易方达安心回报债券A</x:v>
      </x:c>
      <x:c r="L58" s="263" t="n">
        <x:v>46209</x:v>
      </x:c>
      <x:c r="M58" s="261" t="n">
        <x:v>4.5503</x:v>
      </x:c>
      <x:c r="N58" s="261" t="n">
        <x:f>IF(OR(L58&lt;$B$3,L58&gt;$D$3),"",IF(AND(J58=J57,N57&lt;&gt;""),MAX(M58,N57),M58))</x:f>
        <x:v>4.635</x:v>
      </x:c>
      <x:c r="O58" s="262" t="n">
        <x:f>IF(N58="","",M58/N58-1)</x:f>
        <x:v>-0.018274002157497304</x:v>
      </x:c>
    </x:row>
    <x:row r="59">
      <x:c r="J59" s="257" t="str">
        <x:v>110027.OF</x:v>
      </x:c>
      <x:c r="K59" s="258" t="str">
        <x:v>易方达安心回报债券A</x:v>
      </x:c>
      <x:c r="L59" s="263" t="n">
        <x:v>46210</x:v>
      </x:c>
      <x:c r="M59" s="261" t="n">
        <x:v>4.5382</x:v>
      </x:c>
      <x:c r="N59" s="261" t="n">
        <x:f>IF(OR(L59&lt;$B$3,L59&gt;$D$3),"",IF(AND(J59=J58,N58&lt;&gt;""),MAX(M59,N58),M59))</x:f>
        <x:v>4.635</x:v>
      </x:c>
      <x:c r="O59" s="262" t="n">
        <x:f>IF(N59="","",M59/N59-1)</x:f>
        <x:v>-0.020884573894282665</x:v>
      </x:c>
    </x:row>
    <x:row r="60">
      <x:c r="J60" s="257" t="str">
        <x:v>110027.OF</x:v>
      </x:c>
      <x:c r="K60" s="258" t="str">
        <x:v>易方达安心回报债券A</x:v>
      </x:c>
      <x:c r="L60" s="263" t="n">
        <x:v>46211</x:v>
      </x:c>
      <x:c r="M60" s="261" t="n">
        <x:v>4.5208</x:v>
      </x:c>
      <x:c r="N60" s="261" t="n">
        <x:f>IF(OR(L60&lt;$B$3,L60&gt;$D$3),"",IF(AND(J60=J59,N59&lt;&gt;""),MAX(M60,N59),M60))</x:f>
        <x:v>4.635</x:v>
      </x:c>
      <x:c r="O60" s="262" t="n">
        <x:f>IF(N60="","",M60/N60-1)</x:f>
        <x:v>-0.02463861920172583</x:v>
      </x:c>
    </x:row>
    <x:row r="61">
      <x:c r="J61" s="257" t="str">
        <x:v>110027.OF</x:v>
      </x:c>
      <x:c r="K61" s="258" t="str">
        <x:v>易方达安心回报债券A</x:v>
      </x:c>
      <x:c r="L61" s="263" t="n">
        <x:v>46212</x:v>
      </x:c>
      <x:c r="M61" s="261" t="n">
        <x:v>4.57</x:v>
      </x:c>
      <x:c r="N61" s="261" t="n">
        <x:f>IF(OR(L61&lt;$B$3,L61&gt;$D$3),"",IF(AND(J61=J60,N60&lt;&gt;""),MAX(M61,N60),M61))</x:f>
        <x:v>4.635</x:v>
      </x:c>
      <x:c r="O61" s="262" t="n">
        <x:f>IF(N61="","",M61/N61-1)</x:f>
        <x:v>-0.014023732470334282</x:v>
      </x:c>
    </x:row>
    <x:row r="62">
      <x:c r="J62" s="257" t="str">
        <x:v>110027.OF</x:v>
      </x:c>
      <x:c r="K62" s="258" t="str">
        <x:v>易方达安心回报债券A</x:v>
      </x:c>
      <x:c r="L62" s="263" t="n">
        <x:v>46213</x:v>
      </x:c>
      <x:c r="M62" s="261" t="n">
        <x:v>4.5143</x:v>
      </x:c>
      <x:c r="N62" s="261" t="n">
        <x:f>IF(OR(L62&lt;$B$3,L62&gt;$D$3),"",IF(AND(J62=J61,N61&lt;&gt;""),MAX(M62,N61),M62))</x:f>
        <x:v>4.635</x:v>
      </x:c>
      <x:c r="O62" s="262" t="n">
        <x:f>IF(N62="","",M62/N62-1)</x:f>
        <x:v>-0.026040992448759348</x:v>
      </x:c>
    </x:row>
    <x:row r="63">
      <x:c r="J63" s="257" t="str">
        <x:v>110027.OF</x:v>
      </x:c>
      <x:c r="K63" s="258" t="str">
        <x:v>易方达安心回报债券A</x:v>
      </x:c>
      <x:c r="L63" s="263" t="n">
        <x:v>46214</x:v>
      </x:c>
      <x:c r="M63" s="261" t="n">
        <x:v>4.5143</x:v>
      </x:c>
      <x:c r="N63" s="261" t="n">
        <x:f>IF(OR(L63&lt;$B$3,L63&gt;$D$3),"",IF(AND(J63=J62,N62&lt;&gt;""),MAX(M63,N62),M63))</x:f>
        <x:v>4.635</x:v>
      </x:c>
      <x:c r="O63" s="262" t="n">
        <x:f>IF(N63="","",M63/N63-1)</x:f>
        <x:v>-0.026040992448759348</x:v>
      </x:c>
    </x:row>
    <x:row r="64">
      <x:c r="J64" s="257" t="str">
        <x:v>110027.OF</x:v>
      </x:c>
      <x:c r="K64" s="258" t="str">
        <x:v>易方达安心回报债券A</x:v>
      </x:c>
      <x:c r="L64" s="263" t="n">
        <x:v>46215</x:v>
      </x:c>
      <x:c r="M64" s="261" t="n">
        <x:v>4.5143</x:v>
      </x:c>
      <x:c r="N64" s="261" t="n">
        <x:f>IF(OR(L64&lt;$B$3,L64&gt;$D$3),"",IF(AND(J64=J63,N63&lt;&gt;""),MAX(M64,N63),M64))</x:f>
        <x:v>4.635</x:v>
      </x:c>
      <x:c r="O64" s="262" t="n">
        <x:f>IF(N64="","",M64/N64-1)</x:f>
        <x:v>-0.026040992448759348</x:v>
      </x:c>
    </x:row>
    <x:row r="65">
      <x:c r="J65" s="257" t="str">
        <x:v>110027.OF</x:v>
      </x:c>
      <x:c r="K65" s="258" t="str">
        <x:v>易方达安心回报债券A</x:v>
      </x:c>
      <x:c r="L65" s="263" t="n">
        <x:v>46216</x:v>
      </x:c>
      <x:c r="M65" s="261" t="n">
        <x:v>4.4745</x:v>
      </x:c>
      <x:c r="N65" s="261" t="n">
        <x:f>IF(OR(L65&lt;$B$3,L65&gt;$D$3),"",IF(AND(J65=J64,N64&lt;&gt;""),MAX(M65,N64),M65))</x:f>
        <x:v>4.635</x:v>
      </x:c>
      <x:c r="O65" s="262" t="n">
        <x:f>IF(N65="","",M65/N65-1)</x:f>
        <x:v>-0.03462783171521033</x:v>
      </x:c>
    </x:row>
    <x:row r="66">
      <x:c r="J66" s="257" t="str">
        <x:v>110027.OF</x:v>
      </x:c>
      <x:c r="K66" s="258" t="str">
        <x:v>易方达安心回报债券A</x:v>
      </x:c>
      <x:c r="L66" s="263" t="n">
        <x:v>46217</x:v>
      </x:c>
      <x:c r="M66" s="261" t="n">
        <x:v>4.5094</x:v>
      </x:c>
      <x:c r="N66" s="261" t="n">
        <x:f>IF(OR(L66&lt;$B$3,L66&gt;$D$3),"",IF(AND(J66=J65,N65&lt;&gt;""),MAX(M66,N65),M66))</x:f>
        <x:v>4.635</x:v>
      </x:c>
      <x:c r="O66" s="262" t="n">
        <x:f>IF(N66="","",M66/N66-1)</x:f>
        <x:v>-0.02709816612729221</x:v>
      </x:c>
    </x:row>
    <x:row r="67">
      <x:c r="J67" s="257" t="str">
        <x:v>110027.OF</x:v>
      </x:c>
      <x:c r="K67" s="258" t="str">
        <x:v>易方达安心回报债券A</x:v>
      </x:c>
      <x:c r="L67" s="263" t="n">
        <x:v>46218</x:v>
      </x:c>
      <x:c r="M67" s="261" t="n">
        <x:v>4.4803</x:v>
      </x:c>
      <x:c r="N67" s="261" t="n">
        <x:f>IF(OR(L67&lt;$B$3,L67&gt;$D$3),"",IF(AND(J67=J66,N66&lt;&gt;""),MAX(M67,N66),M67))</x:f>
        <x:v>4.635</x:v>
      </x:c>
      <x:c r="O67" s="262" t="n">
        <x:f>IF(N67="","",M67/N67-1)</x:f>
        <x:v>-0.03337648327939591</x:v>
      </x:c>
    </x:row>
    <x:row r="68">
      <x:c r="J68" s="257" t="str">
        <x:v>110027.OF</x:v>
      </x:c>
      <x:c r="K68" s="258" t="str">
        <x:v>易方达安心回报债券A</x:v>
      </x:c>
      <x:c r="L68" s="263" t="n">
        <x:v>46219</x:v>
      </x:c>
      <x:c r="M68" s="261" t="n">
        <x:v>4.4418</x:v>
      </x:c>
      <x:c r="N68" s="261" t="n">
        <x:f>IF(OR(L68&lt;$B$3,L68&gt;$D$3),"",IF(AND(J68=J67,N67&lt;&gt;""),MAX(M68,N67),M68))</x:f>
        <x:v>4.635</x:v>
      </x:c>
      <x:c r="O68" s="262" t="n">
        <x:f>IF(N68="","",M68/N68-1)</x:f>
        <x:v>-0.04168284789644017</x:v>
      </x:c>
    </x:row>
    <x:row r="69">
      <x:c r="J69" s="257" t="str">
        <x:v>110027.OF</x:v>
      </x:c>
      <x:c r="K69" s="258" t="str">
        <x:v>易方达安心回报债券A</x:v>
      </x:c>
      <x:c r="L69" s="263" t="n">
        <x:v>46220</x:v>
      </x:c>
      <x:c r="M69" s="261" t="n">
        <x:v>4.3843</x:v>
      </x:c>
      <x:c r="N69" s="261" t="n">
        <x:f>IF(OR(L69&lt;$B$3,L69&gt;$D$3),"",IF(AND(J69=J68,N68&lt;&gt;""),MAX(M69,N68),M69))</x:f>
        <x:v>4.635</x:v>
      </x:c>
      <x:c r="O69" s="262" t="n">
        <x:f>IF(N69="","",M69/N69-1)</x:f>
        <x:v>-0.054088457389428246</x:v>
      </x:c>
    </x:row>
    <x:row r="70">
      <x:c r="J70" s="257" t="str">
        <x:v>110027.OF</x:v>
      </x:c>
      <x:c r="K70" s="258" t="str">
        <x:v>易方达安心回报债券A</x:v>
      </x:c>
      <x:c r="L70" s="263" t="n">
        <x:v>46221</x:v>
      </x:c>
      <x:c r="M70" s="261" t="n">
        <x:v>4.3843</x:v>
      </x:c>
      <x:c r="N70" s="261" t="n">
        <x:f>IF(OR(L70&lt;$B$3,L70&gt;$D$3),"",IF(AND(J70=J69,N69&lt;&gt;""),MAX(M70,N69),M70))</x:f>
        <x:v>4.635</x:v>
      </x:c>
      <x:c r="O70" s="262" t="n">
        <x:f>IF(N70="","",M70/N70-1)</x:f>
        <x:v>-0.054088457389428246</x:v>
      </x:c>
    </x:row>
    <x:row r="71">
      <x:c r="J71" s="257" t="str">
        <x:v>110027.OF</x:v>
      </x:c>
      <x:c r="K71" s="258" t="str">
        <x:v>易方达安心回报债券A</x:v>
      </x:c>
      <x:c r="L71" s="263" t="n">
        <x:v>46222</x:v>
      </x:c>
      <x:c r="M71" s="261" t="n">
        <x:v>4.3843</x:v>
      </x:c>
      <x:c r="N71" s="261" t="n">
        <x:f>IF(OR(L71&lt;$B$3,L71&gt;$D$3),"",IF(AND(J71=J70,N70&lt;&gt;""),MAX(M71,N70),M71))</x:f>
        <x:v>4.635</x:v>
      </x:c>
      <x:c r="O71" s="262" t="n">
        <x:f>IF(N71="","",M71/N71-1)</x:f>
        <x:v>-0.054088457389428246</x:v>
      </x:c>
    </x:row>
    <x:row r="72">
      <x:c r="J72" s="257" t="str">
        <x:v>110027.OF</x:v>
      </x:c>
      <x:c r="K72" s="258" t="str">
        <x:v>易方达安心回报债券A</x:v>
      </x:c>
      <x:c r="L72" s="263" t="n">
        <x:v>46223</x:v>
      </x:c>
      <x:c r="M72" s="261" t="n">
        <x:v>4.377</x:v>
      </x:c>
      <x:c r="N72" s="261" t="n">
        <x:f>IF(OR(L72&lt;$B$3,L72&gt;$D$3),"",IF(AND(J72=J71,N71&lt;&gt;""),MAX(M72,N71),M72))</x:f>
        <x:v>4.635</x:v>
      </x:c>
      <x:c r="O72" s="262" t="n">
        <x:f>IF(N72="","",M72/N72-1)</x:f>
        <x:v>-0.05566343042071198</x:v>
      </x:c>
    </x:row>
    <x:row r="73">
      <x:c r="J73" s="257" t="str">
        <x:v>110027.OF</x:v>
      </x:c>
      <x:c r="K73" s="258" t="str">
        <x:v>易方达安心回报债券A</x:v>
      </x:c>
      <x:c r="L73" s="263" t="n">
        <x:v>46224</x:v>
      </x:c>
      <x:c r="M73" s="261" t="n">
        <x:v>4.4516</x:v>
      </x:c>
      <x:c r="N73" s="261" t="n">
        <x:f>IF(OR(L73&lt;$B$3,L73&gt;$D$3),"",IF(AND(J73=J72,N72&lt;&gt;""),MAX(M73,N72),M73))</x:f>
        <x:v>4.635</x:v>
      </x:c>
      <x:c r="O73" s="262" t="n">
        <x:f>IF(N73="","",M73/N73-1)</x:f>
        <x:v>-0.03956850053937433</x:v>
      </x:c>
    </x:row>
    <x:row r="74">
      <x:c r="J74" s="257" t="str">
        <x:v>110027.OF</x:v>
      </x:c>
      <x:c r="K74" s="258" t="str">
        <x:v>易方达安心回报债券A</x:v>
      </x:c>
      <x:c r="L74" s="263" t="n">
        <x:v>46225</x:v>
      </x:c>
      <x:c r="M74" s="261" t="n">
        <x:v>4.4325</x:v>
      </x:c>
      <x:c r="N74" s="261" t="n">
        <x:f>IF(OR(L74&lt;$B$3,L74&gt;$D$3),"",IF(AND(J74=J73,N73&lt;&gt;""),MAX(M74,N73),M74))</x:f>
        <x:v>4.635</x:v>
      </x:c>
      <x:c r="O74" s="262" t="n">
        <x:f>IF(N74="","",M74/N74-1)</x:f>
        <x:v>-0.043689320388349495</x:v>
      </x:c>
    </x:row>
    <x:row r="75">
      <x:c r="J75" s="257" t="str">
        <x:v>110027.OF</x:v>
      </x:c>
      <x:c r="K75" s="258" t="str">
        <x:v>易方达安心回报债券A</x:v>
      </x:c>
      <x:c r="L75" s="263" t="n">
        <x:v>46226</x:v>
      </x:c>
      <x:c r="M75" s="261" t="n">
        <x:v>4.422</x:v>
      </x:c>
      <x:c r="N75" s="261" t="n">
        <x:f>IF(OR(L75&lt;$B$3,L75&gt;$D$3),"",IF(AND(J75=J74,N74&lt;&gt;""),MAX(M75,N74),M75))</x:f>
        <x:v>4.635</x:v>
      </x:c>
      <x:c r="O75" s="262" t="n">
        <x:f>IF(N75="","",M75/N75-1)</x:f>
        <x:v>-0.04595469255663431</x:v>
      </x:c>
    </x:row>
    <x:row r="76">
      <x:c r="J76" s="257" t="str">
        <x:v>110027.OF</x:v>
      </x:c>
      <x:c r="K76" s="258" t="str">
        <x:v>易方达安心回报债券A</x:v>
      </x:c>
      <x:c r="L76" s="263" t="n">
        <x:v>46227</x:v>
      </x:c>
      <x:c r="M76" s="261" t="n">
        <x:v>4.4084</x:v>
      </x:c>
      <x:c r="N76" s="261" t="n">
        <x:f>IF(OR(L76&lt;$B$3,L76&gt;$D$3),"",IF(AND(J76=J75,N75&lt;&gt;""),MAX(M76,N75),M76))</x:f>
        <x:v>4.635</x:v>
      </x:c>
      <x:c r="O76" s="262" t="n">
        <x:f>IF(N76="","",M76/N76-1)</x:f>
        <x:v>-0.04888888888888876</x:v>
      </x:c>
    </x:row>
    <x:row r="77">
      <x:c r="J77" s="257" t="str">
        <x:v>110027.OF</x:v>
      </x:c>
      <x:c r="K77" s="258" t="str">
        <x:v>易方达安心回报债券A</x:v>
      </x:c>
      <x:c r="L77" s="263" t="n">
        <x:v>46228</x:v>
      </x:c>
      <x:c r="M77" s="261" t="n">
        <x:v>4.4084</x:v>
      </x:c>
      <x:c r="N77" s="261" t="n">
        <x:f>IF(OR(L77&lt;$B$3,L77&gt;$D$3),"",IF(AND(J77=J76,N76&lt;&gt;""),MAX(M77,N76),M77))</x:f>
        <x:v>4.635</x:v>
      </x:c>
      <x:c r="O77" s="262" t="n">
        <x:f>IF(N77="","",M77/N77-1)</x:f>
        <x:v>-0.04888888888888876</x:v>
      </x:c>
    </x:row>
    <x:row r="78">
      <x:c r="J78" s="257" t="str">
        <x:v>110027.OF</x:v>
      </x:c>
      <x:c r="K78" s="258" t="str">
        <x:v>易方达安心回报债券A</x:v>
      </x:c>
      <x:c r="L78" s="263" t="n">
        <x:v>46229</x:v>
      </x:c>
      <x:c r="M78" s="261" t="n">
        <x:v>4.4084</x:v>
      </x:c>
      <x:c r="N78" s="261" t="n">
        <x:f>IF(OR(L78&lt;$B$3,L78&gt;$D$3),"",IF(AND(J78=J77,N77&lt;&gt;""),MAX(M78,N77),M78))</x:f>
        <x:v>4.635</x:v>
      </x:c>
      <x:c r="O78" s="262" t="n">
        <x:f>IF(N78="","",M78/N78-1)</x:f>
        <x:v>-0.04888888888888876</x:v>
      </x:c>
    </x:row>
    <x:row r="79">
      <x:c r="J79" s="257" t="str">
        <x:v>110027.OF</x:v>
      </x:c>
      <x:c r="K79" s="258" t="str">
        <x:v>易方达安心回报债券A</x:v>
      </x:c>
      <x:c r="L79" s="263" t="n">
        <x:v>46230</x:v>
      </x:c>
      <x:c r="M79" s="261" t="n">
        <x:v>4.4403</x:v>
      </x:c>
      <x:c r="N79" s="261" t="n">
        <x:f>IF(OR(L79&lt;$B$3,L79&gt;$D$3),"",IF(AND(J79=J78,N78&lt;&gt;""),MAX(M79,N78),M79))</x:f>
        <x:v>4.635</x:v>
      </x:c>
      <x:c r="O79" s="262" t="n">
        <x:f>IF(N79="","",M79/N79-1)</x:f>
        <x:v>-0.042006472491909363</x:v>
      </x:c>
    </x:row>
    <x:row r="80">
      <x:c r="J80" s="257" t="str">
        <x:v>110027.OF</x:v>
      </x:c>
      <x:c r="K80" s="258" t="str">
        <x:v>易方达安心回报债券A</x:v>
      </x:c>
      <x:c r="L80" s="263" t="n">
        <x:v>46231</x:v>
      </x:c>
      <x:c r="M80" s="261" t="n">
        <x:v>4.3757</x:v>
      </x:c>
      <x:c r="N80" s="261" t="n">
        <x:f>IF(OR(L80&lt;$B$3,L80&gt;$D$3),"",IF(AND(J80=J79,N79&lt;&gt;""),MAX(M80,N79),M80))</x:f>
        <x:v>4.635</x:v>
      </x:c>
      <x:c r="O80" s="262" t="n">
        <x:f>IF(N80="","",M80/N80-1)</x:f>
        <x:v>-0.055943905070118594</x:v>
      </x:c>
    </x:row>
    <x:row r="81">
      <x:c r="J81" s="257" t="str">
        <x:v>110027.OF</x:v>
      </x:c>
      <x:c r="K81" s="258" t="str">
        <x:v>易方达安心回报债券A</x:v>
      </x:c>
      <x:c r="L81" s="263" t="n">
        <x:v>46232</x:v>
      </x:c>
      <x:c r="M81" s="261" t="n">
        <x:v>4.3843</x:v>
      </x:c>
      <x:c r="N81" s="261" t="n">
        <x:f>IF(OR(L81&lt;$B$3,L81&gt;$D$3),"",IF(AND(J81=J80,N80&lt;&gt;""),MAX(M81,N80),M81))</x:f>
        <x:v>4.635</x:v>
      </x:c>
      <x:c r="O81" s="262" t="n">
        <x:f>IF(N81="","",M81/N81-1)</x:f>
        <x:v>-0.054088457389428246</x:v>
      </x:c>
    </x:row>
    <x:row r="82">
      <x:c r="J82" s="257" t="str">
        <x:v>110027.OF</x:v>
      </x:c>
      <x:c r="K82" s="258" t="str">
        <x:v>易方达安心回报债券A</x:v>
      </x:c>
      <x:c r="L82" s="263" t="n">
        <x:v>46233</x:v>
      </x:c>
      <x:c r="M82" s="261" t="n">
        <x:v>4.3386</x:v>
      </x:c>
      <x:c r="N82" s="261" t="n">
        <x:f>IF(OR(L82&lt;$B$3,L82&gt;$D$3),"",IF(AND(J82=J81,N81&lt;&gt;""),MAX(M82,N81),M82))</x:f>
        <x:v>4.635</x:v>
      </x:c>
      <x:c r="O82" s="262" t="n">
        <x:f>IF(N82="","",M82/N82-1)</x:f>
        <x:v>-0.063948220064725</x:v>
      </x:c>
    </x:row>
    <x:row r="83">
      <x:c r="J83" s="257" t="str">
        <x:v>110027.OF</x:v>
      </x:c>
      <x:c r="K83" s="258" t="str">
        <x:v>易方达安心回报债券A</x:v>
      </x:c>
      <x:c r="L83" s="263" t="n">
        <x:v>46234</x:v>
      </x:c>
      <x:c r="M83" s="261" t="n">
        <x:v>4.3694</x:v>
      </x:c>
      <x:c r="N83" s="261" t="n">
        <x:f>IF(OR(L83&lt;$B$3,L83&gt;$D$3),"",IF(AND(J83=J82,N82&lt;&gt;""),MAX(M83,N82),M83))</x:f>
        <x:v>4.635</x:v>
      </x:c>
      <x:c r="O83" s="262" t="n">
        <x:f>IF(N83="","",M83/N83-1)</x:f>
        <x:v>-0.05730312837108953</x:v>
      </x:c>
    </x:row>
    <x:row r="84">
      <x:c r="J84" s="257" t="str">
        <x:v>110027.OF</x:v>
      </x:c>
      <x:c r="K84" s="258" t="str">
        <x:v>易方达安心回报债券A</x:v>
      </x:c>
      <x:c r="L84" s="263" t="n">
        <x:v>46235</x:v>
      </x:c>
      <x:c r="M84" s="261" t="n">
        <x:v>4.3694</x:v>
      </x:c>
      <x:c r="N84" s="261" t="n">
        <x:f>IF(OR(L84&lt;$B$3,L84&gt;$D$3),"",IF(AND(J84=J83,N83&lt;&gt;""),MAX(M84,N83),M84))</x:f>
        <x:v>4.635</x:v>
      </x:c>
      <x:c r="O84" s="262" t="n">
        <x:f>IF(N84="","",M84/N84-1)</x:f>
        <x:v>-0.05730312837108953</x:v>
      </x:c>
    </x:row>
    <x:row r="85">
      <x:c r="J85" s="257" t="str">
        <x:v>110027.OF</x:v>
      </x:c>
      <x:c r="K85" s="258" t="str">
        <x:v>易方达安心回报债券A</x:v>
      </x:c>
      <x:c r="L85" s="263" t="n">
        <x:v>46236</x:v>
      </x:c>
      <x:c r="M85" s="261" t="n">
        <x:v>4.3694</x:v>
      </x:c>
      <x:c r="N85" s="261" t="n">
        <x:f>IF(OR(L85&lt;$B$3,L85&gt;$D$3),"",IF(AND(J85=J84,N84&lt;&gt;""),MAX(M85,N84),M85))</x:f>
        <x:v>4.635</x:v>
      </x:c>
      <x:c r="O85" s="262" t="n">
        <x:f>IF(N85="","",M85/N85-1)</x:f>
        <x:v>-0.05730312837108953</x:v>
      </x:c>
    </x:row>
    <x:row r="86">
      <x:c r="J86" s="257" t="str">
        <x:v>110027.OF</x:v>
      </x:c>
      <x:c r="K86" s="258" t="str">
        <x:v>易方达安心回报债券A</x:v>
      </x:c>
      <x:c r="L86" s="263" t="n">
        <x:v>46237</x:v>
      </x:c>
      <x:c r="M86" s="261" t="n">
        <x:v>4.3472</x:v>
      </x:c>
      <x:c r="N86" s="261" t="n">
        <x:f>IF(OR(L86&lt;$B$3,L86&gt;$D$3),"",IF(AND(J86=J85,N85&lt;&gt;""),MAX(M86,N85),M86))</x:f>
        <x:v>4.635</x:v>
      </x:c>
      <x:c r="O86" s="262" t="n">
        <x:f>IF(N86="","",M86/N86-1)</x:f>
        <x:v>-0.062092772384034434</x:v>
      </x:c>
    </x:row>
    <x:row r="87">
      <x:c r="J87" s="257" t="str">
        <x:v>110027.OF</x:v>
      </x:c>
      <x:c r="K87" s="258" t="str">
        <x:v>易方达安心回报债券A</x:v>
      </x:c>
      <x:c r="L87" s="263" t="n">
        <x:v>46238</x:v>
      </x:c>
      <x:c r="M87" s="261" t="n">
        <x:v>4.3893</x:v>
      </x:c>
      <x:c r="N87" s="261" t="n">
        <x:f>IF(OR(L87&lt;$B$3,L87&gt;$D$3),"",IF(AND(J87=J86,N86&lt;&gt;""),MAX(M87,N86),M87))</x:f>
        <x:v>4.635</x:v>
      </x:c>
      <x:c r="O87" s="262" t="n">
        <x:f>IF(N87="","",M87/N87-1)</x:f>
        <x:v>-0.053009708737863925</x:v>
      </x:c>
    </x:row>
    <x:row r="88">
      <x:c r="J88" s="257" t="str">
        <x:v>110027.OF</x:v>
      </x:c>
      <x:c r="K88" s="258" t="str">
        <x:v>易方达安心回报债券A</x:v>
      </x:c>
      <x:c r="L88" s="263" t="n">
        <x:v>46239</x:v>
      </x:c>
      <x:c r="M88" s="261" t="n">
        <x:v>4.4099</x:v>
      </x:c>
      <x:c r="N88" s="261" t="n">
        <x:f>IF(OR(L88&lt;$B$3,L88&gt;$D$3),"",IF(AND(J88=J87,N87&lt;&gt;""),MAX(M88,N87),M88))</x:f>
        <x:v>4.635</x:v>
      </x:c>
      <x:c r="O88" s="262" t="n">
        <x:f>IF(N88="","",M88/N88-1)</x:f>
        <x:v>-0.04856526429341956</x:v>
      </x:c>
    </x:row>
    <x:row r="89">
      <x:c r="J89" s="257" t="str">
        <x:v>110027.OF</x:v>
      </x:c>
      <x:c r="K89" s="258" t="str">
        <x:v>易方达安心回报债券A</x:v>
      </x:c>
      <x:c r="L89" s="263" t="n">
        <x:v>46240</x:v>
      </x:c>
      <x:c r="M89" s="261" t="n">
        <x:v>4.4109</x:v>
      </x:c>
      <x:c r="N89" s="261" t="n">
        <x:f>IF(OR(L89&lt;$B$3,L89&gt;$D$3),"",IF(AND(J89=J88,N88&lt;&gt;""),MAX(M89,N88),M89))</x:f>
        <x:v>4.635</x:v>
      </x:c>
      <x:c r="O89" s="262" t="n">
        <x:f>IF(N89="","",M89/N89-1)</x:f>
        <x:v>-0.048349514563106766</x:v>
      </x:c>
    </x:row>
    <x:row r="90">
      <x:c r="J90" s="257" t="str">
        <x:v>110027.OF</x:v>
      </x:c>
      <x:c r="K90" s="258" t="str">
        <x:v>易方达安心回报债券A</x:v>
      </x:c>
      <x:c r="L90" s="263" t="n">
        <x:v>46241</x:v>
      </x:c>
      <x:c r="M90" s="261" t="n">
        <x:v>4.42</x:v>
      </x:c>
      <x:c r="N90" s="261" t="n">
        <x:f>IF(OR(L90&lt;$B$3,L90&gt;$D$3),"",IF(AND(J90=J89,N89&lt;&gt;""),MAX(M90,N89),M90))</x:f>
        <x:v>4.635</x:v>
      </x:c>
      <x:c r="O90" s="262" t="n">
        <x:f>IF(N90="","",M90/N90-1)</x:f>
        <x:v>-0.04638619201725991</x:v>
      </x:c>
    </x:row>
    <x:row r="91">
      <x:c r="J91" s="257" t="str">
        <x:v>110027.OF</x:v>
      </x:c>
      <x:c r="K91" s="258" t="str">
        <x:v>易方达安心回报债券A</x:v>
      </x:c>
      <x:c r="L91" s="263" t="n">
        <x:v>46242</x:v>
      </x:c>
      <x:c r="M91" s="261" t="n">
        <x:v>4.42</x:v>
      </x:c>
      <x:c r="N91" s="261" t="n">
        <x:f>IF(OR(L91&lt;$B$3,L91&gt;$D$3),"",IF(AND(J91=J90,N90&lt;&gt;""),MAX(M91,N90),M91))</x:f>
        <x:v>4.635</x:v>
      </x:c>
      <x:c r="O91" s="262" t="n">
        <x:f>IF(N91="","",M91/N91-1)</x:f>
        <x:v>-0.04638619201725991</x:v>
      </x:c>
    </x:row>
    <x:row r="92">
      <x:c r="J92" s="257" t="str">
        <x:v>110027.OF</x:v>
      </x:c>
      <x:c r="K92" s="258" t="str">
        <x:v>易方达安心回报债券A</x:v>
      </x:c>
      <x:c r="L92" s="263" t="n">
        <x:v>46243</x:v>
      </x:c>
      <x:c r="M92" s="261" t="n">
        <x:v>4.42</x:v>
      </x:c>
      <x:c r="N92" s="261" t="n">
        <x:f>IF(OR(L92&lt;$B$3,L92&gt;$D$3),"",IF(AND(J92=J91,N91&lt;&gt;""),MAX(M92,N91),M92))</x:f>
        <x:v>4.635</x:v>
      </x:c>
      <x:c r="O92" s="262" t="n">
        <x:f>IF(N92="","",M92/N92-1)</x:f>
        <x:v>-0.04638619201725991</x:v>
      </x:c>
    </x:row>
    <x:row r="93">
      <x:c r="J93" s="257" t="str">
        <x:v>110027.OF</x:v>
      </x:c>
      <x:c r="K93" s="258" t="str">
        <x:v>易方达安心回报债券A</x:v>
      </x:c>
      <x:c r="L93" s="263" t="n">
        <x:v>46244</x:v>
      </x:c>
      <x:c r="M93" s="261" t="n">
        <x:v>4.4057</x:v>
      </x:c>
      <x:c r="N93" s="261" t="n">
        <x:f>IF(OR(L93&lt;$B$3,L93&gt;$D$3),"",IF(AND(J93=J92,N92&lt;&gt;""),MAX(M93,N92),M93))</x:f>
        <x:v>4.635</x:v>
      </x:c>
      <x:c r="O93" s="262" t="n">
        <x:f>IF(N93="","",M93/N93-1)</x:f>
        <x:v>-0.049471413160733446</x:v>
      </x:c>
    </x:row>
    <x:row r="94">
      <x:c r="J94" s="257" t="str">
        <x:v>160718.OF</x:v>
      </x:c>
      <x:c r="K94" s="258" t="str">
        <x:v>嘉实多利收益债券A</x:v>
      </x:c>
      <x:c r="L94" s="263" t="n">
        <x:v>46191</x:v>
      </x:c>
      <x:c r="M94" s="261" t="n">
        <x:v>1.5282</x:v>
      </x:c>
      <x:c r="N94" s="261" t="n">
        <x:f>IF(OR(L94&lt;$B$3,L94&gt;$D$3),"",IF(AND(J94=J93,N93&lt;&gt;""),MAX(M94,N93),M94))</x:f>
        <x:v>1.5282</x:v>
      </x:c>
      <x:c r="O94" s="262" t="n">
        <x:f>IF(N94="","",M94/N94-1)</x:f>
        <x:v>0</x:v>
      </x:c>
    </x:row>
    <x:row r="95">
      <x:c r="J95" s="257" t="str">
        <x:v>160718.OF</x:v>
      </x:c>
      <x:c r="K95" s="258" t="str">
        <x:v>嘉实多利收益债券A</x:v>
      </x:c>
      <x:c r="L95" s="263" t="n">
        <x:v>46192</x:v>
      </x:c>
      <x:c r="M95" s="261" t="n">
        <x:v>1.5282</x:v>
      </x:c>
      <x:c r="N95" s="261" t="n">
        <x:f>IF(OR(L95&lt;$B$3,L95&gt;$D$3),"",IF(AND(J95=J94,N94&lt;&gt;""),MAX(M95,N94),M95))</x:f>
        <x:v>1.5282</x:v>
      </x:c>
      <x:c r="O95" s="262" t="n">
        <x:f>IF(N95="","",M95/N95-1)</x:f>
        <x:v>0</x:v>
      </x:c>
    </x:row>
    <x:row r="96">
      <x:c r="J96" s="257" t="str">
        <x:v>160718.OF</x:v>
      </x:c>
      <x:c r="K96" s="258" t="str">
        <x:v>嘉实多利收益债券A</x:v>
      </x:c>
      <x:c r="L96" s="263" t="n">
        <x:v>46193</x:v>
      </x:c>
      <x:c r="M96" s="261" t="n">
        <x:v>1.5282</x:v>
      </x:c>
      <x:c r="N96" s="261" t="n">
        <x:f>IF(OR(L96&lt;$B$3,L96&gt;$D$3),"",IF(AND(J96=J95,N95&lt;&gt;""),MAX(M96,N95),M96))</x:f>
        <x:v>1.5282</x:v>
      </x:c>
      <x:c r="O96" s="262" t="n">
        <x:f>IF(N96="","",M96/N96-1)</x:f>
        <x:v>0</x:v>
      </x:c>
    </x:row>
    <x:row r="97">
      <x:c r="J97" s="257" t="str">
        <x:v>160718.OF</x:v>
      </x:c>
      <x:c r="K97" s="258" t="str">
        <x:v>嘉实多利收益债券A</x:v>
      </x:c>
      <x:c r="L97" s="263" t="n">
        <x:v>46194</x:v>
      </x:c>
      <x:c r="M97" s="261" t="n">
        <x:v>1.5282</x:v>
      </x:c>
      <x:c r="N97" s="261" t="n">
        <x:f>IF(OR(L97&lt;$B$3,L97&gt;$D$3),"",IF(AND(J97=J96,N96&lt;&gt;""),MAX(M97,N96),M97))</x:f>
        <x:v>1.5282</x:v>
      </x:c>
      <x:c r="O97" s="262" t="n">
        <x:f>IF(N97="","",M97/N97-1)</x:f>
        <x:v>0</x:v>
      </x:c>
    </x:row>
    <x:row r="98">
      <x:c r="J98" s="257" t="str">
        <x:v>160718.OF</x:v>
      </x:c>
      <x:c r="K98" s="258" t="str">
        <x:v>嘉实多利收益债券A</x:v>
      </x:c>
      <x:c r="L98" s="263" t="n">
        <x:v>46195</x:v>
      </x:c>
      <x:c r="M98" s="261" t="n">
        <x:v>1.5326</x:v>
      </x:c>
      <x:c r="N98" s="261" t="n">
        <x:f>IF(OR(L98&lt;$B$3,L98&gt;$D$3),"",IF(AND(J98=J97,N97&lt;&gt;""),MAX(M98,N97),M98))</x:f>
        <x:v>1.5326</x:v>
      </x:c>
      <x:c r="O98" s="262" t="n">
        <x:f>IF(N98="","",M98/N98-1)</x:f>
        <x:v>0</x:v>
      </x:c>
    </x:row>
    <x:row r="99">
      <x:c r="J99" s="257" t="str">
        <x:v>160718.OF</x:v>
      </x:c>
      <x:c r="K99" s="258" t="str">
        <x:v>嘉实多利收益债券A</x:v>
      </x:c>
      <x:c r="L99" s="263" t="n">
        <x:v>46196</x:v>
      </x:c>
      <x:c r="M99" s="261" t="n">
        <x:v>1.5249</x:v>
      </x:c>
      <x:c r="N99" s="261" t="n">
        <x:f>IF(OR(L99&lt;$B$3,L99&gt;$D$3),"",IF(AND(J99=J98,N98&lt;&gt;""),MAX(M99,N98),M99))</x:f>
        <x:v>1.5326</x:v>
      </x:c>
      <x:c r="O99" s="262" t="n">
        <x:f>IF(N99="","",M99/N99-1)</x:f>
        <x:v>-0.005024141980947472</x:v>
      </x:c>
    </x:row>
    <x:row r="100">
      <x:c r="J100" s="257" t="str">
        <x:v>160718.OF</x:v>
      </x:c>
      <x:c r="K100" s="258" t="str">
        <x:v>嘉实多利收益债券A</x:v>
      </x:c>
      <x:c r="L100" s="263" t="n">
        <x:v>46197</x:v>
      </x:c>
      <x:c r="M100" s="261" t="n">
        <x:v>1.5347</x:v>
      </x:c>
      <x:c r="N100" s="261" t="n">
        <x:f>IF(OR(L100&lt;$B$3,L100&gt;$D$3),"",IF(AND(J100=J99,N99&lt;&gt;""),MAX(M100,N99),M100))</x:f>
        <x:v>1.5347</x:v>
      </x:c>
      <x:c r="O100" s="262" t="n">
        <x:f>IF(N100="","",M100/N100-1)</x:f>
        <x:v>0</x:v>
      </x:c>
    </x:row>
    <x:row r="101">
      <x:c r="J101" s="257" t="str">
        <x:v>160718.OF</x:v>
      </x:c>
      <x:c r="K101" s="258" t="str">
        <x:v>嘉实多利收益债券A</x:v>
      </x:c>
      <x:c r="L101" s="263" t="n">
        <x:v>46198</x:v>
      </x:c>
      <x:c r="M101" s="261" t="n">
        <x:v>1.5463</x:v>
      </x:c>
      <x:c r="N101" s="261" t="n">
        <x:f>IF(OR(L101&lt;$B$3,L101&gt;$D$3),"",IF(AND(J101=J100,N100&lt;&gt;""),MAX(M101,N100),M101))</x:f>
        <x:v>1.5463</x:v>
      </x:c>
      <x:c r="O101" s="262" t="n">
        <x:f>IF(N101="","",M101/N101-1)</x:f>
        <x:v>0</x:v>
      </x:c>
    </x:row>
    <x:row r="102">
      <x:c r="J102" s="257" t="str">
        <x:v>160718.OF</x:v>
      </x:c>
      <x:c r="K102" s="258" t="str">
        <x:v>嘉实多利收益债券A</x:v>
      </x:c>
      <x:c r="L102" s="263" t="n">
        <x:v>46199</x:v>
      </x:c>
      <x:c r="M102" s="261" t="n">
        <x:v>1.533</x:v>
      </x:c>
      <x:c r="N102" s="261" t="n">
        <x:f>IF(OR(L102&lt;$B$3,L102&gt;$D$3),"",IF(AND(J102=J101,N101&lt;&gt;""),MAX(M102,N101),M102))</x:f>
        <x:v>1.5463</x:v>
      </x:c>
      <x:c r="O102" s="262" t="n">
        <x:f>IF(N102="","",M102/N102-1)</x:f>
        <x:v>-0.00860117700316887</x:v>
      </x:c>
    </x:row>
    <x:row r="103">
      <x:c r="J103" s="257" t="str">
        <x:v>160718.OF</x:v>
      </x:c>
      <x:c r="K103" s="258" t="str">
        <x:v>嘉实多利收益债券A</x:v>
      </x:c>
      <x:c r="L103" s="263" t="n">
        <x:v>46200</x:v>
      </x:c>
      <x:c r="M103" s="261" t="n">
        <x:v>1.533</x:v>
      </x:c>
      <x:c r="N103" s="261" t="n">
        <x:f>IF(OR(L103&lt;$B$3,L103&gt;$D$3),"",IF(AND(J103=J102,N102&lt;&gt;""),MAX(M103,N102),M103))</x:f>
        <x:v>1.5463</x:v>
      </x:c>
      <x:c r="O103" s="262" t="n">
        <x:f>IF(N103="","",M103/N103-1)</x:f>
        <x:v>-0.00860117700316887</x:v>
      </x:c>
    </x:row>
    <x:row r="104">
      <x:c r="J104" s="257" t="str">
        <x:v>160718.OF</x:v>
      </x:c>
      <x:c r="K104" s="258" t="str">
        <x:v>嘉实多利收益债券A</x:v>
      </x:c>
      <x:c r="L104" s="263" t="n">
        <x:v>46201</x:v>
      </x:c>
      <x:c r="M104" s="261" t="n">
        <x:v>1.533</x:v>
      </x:c>
      <x:c r="N104" s="261" t="n">
        <x:f>IF(OR(L104&lt;$B$3,L104&gt;$D$3),"",IF(AND(J104=J103,N103&lt;&gt;""),MAX(M104,N103),M104))</x:f>
        <x:v>1.5463</x:v>
      </x:c>
      <x:c r="O104" s="262" t="n">
        <x:f>IF(N104="","",M104/N104-1)</x:f>
        <x:v>-0.00860117700316887</x:v>
      </x:c>
    </x:row>
    <x:row r="105">
      <x:c r="J105" s="257" t="str">
        <x:v>160718.OF</x:v>
      </x:c>
      <x:c r="K105" s="258" t="str">
        <x:v>嘉实多利收益债券A</x:v>
      </x:c>
      <x:c r="L105" s="263" t="n">
        <x:v>46202</x:v>
      </x:c>
      <x:c r="M105" s="261" t="n">
        <x:v>1.5333</x:v>
      </x:c>
      <x:c r="N105" s="261" t="n">
        <x:f>IF(OR(L105&lt;$B$3,L105&gt;$D$3),"",IF(AND(J105=J104,N104&lt;&gt;""),MAX(M105,N104),M105))</x:f>
        <x:v>1.5463</x:v>
      </x:c>
      <x:c r="O105" s="262" t="n">
        <x:f>IF(N105="","",M105/N105-1)</x:f>
        <x:v>-0.00840716549181908</x:v>
      </x:c>
    </x:row>
    <x:row r="106">
      <x:c r="J106" s="257" t="str">
        <x:v>160718.OF</x:v>
      </x:c>
      <x:c r="K106" s="258" t="str">
        <x:v>嘉实多利收益债券A</x:v>
      </x:c>
      <x:c r="L106" s="263" t="n">
        <x:v>46203</x:v>
      </x:c>
      <x:c r="M106" s="261" t="n">
        <x:v>1.5472</x:v>
      </x:c>
      <x:c r="N106" s="261" t="n">
        <x:f>IF(OR(L106&lt;$B$3,L106&gt;$D$3),"",IF(AND(J106=J105,N105&lt;&gt;""),MAX(M106,N105),M106))</x:f>
        <x:v>1.5472</x:v>
      </x:c>
      <x:c r="O106" s="262" t="n">
        <x:f>IF(N106="","",M106/N106-1)</x:f>
        <x:v>0</x:v>
      </x:c>
    </x:row>
    <x:row r="107">
      <x:c r="J107" s="257" t="str">
        <x:v>160718.OF</x:v>
      </x:c>
      <x:c r="K107" s="258" t="str">
        <x:v>嘉实多利收益债券A</x:v>
      </x:c>
      <x:c r="L107" s="263" t="n">
        <x:v>46204</x:v>
      </x:c>
      <x:c r="M107" s="261" t="n">
        <x:v>1.5385</x:v>
      </x:c>
      <x:c r="N107" s="261" t="n">
        <x:f>IF(OR(L107&lt;$B$3,L107&gt;$D$3),"",IF(AND(J107=J106,N106&lt;&gt;""),MAX(M107,N106),M107))</x:f>
        <x:v>1.5472</x:v>
      </x:c>
      <x:c r="O107" s="262" t="n">
        <x:f>IF(N107="","",M107/N107-1)</x:f>
        <x:v>-0.005623061013443564</x:v>
      </x:c>
    </x:row>
    <x:row r="108">
      <x:c r="J108" s="257" t="str">
        <x:v>160718.OF</x:v>
      </x:c>
      <x:c r="K108" s="258" t="str">
        <x:v>嘉实多利收益债券A</x:v>
      </x:c>
      <x:c r="L108" s="263" t="n">
        <x:v>46205</x:v>
      </x:c>
      <x:c r="M108" s="261" t="n">
        <x:v>1.5098</x:v>
      </x:c>
      <x:c r="N108" s="261" t="n">
        <x:f>IF(OR(L108&lt;$B$3,L108&gt;$D$3),"",IF(AND(J108=J107,N107&lt;&gt;""),MAX(M108,N107),M108))</x:f>
        <x:v>1.5472</x:v>
      </x:c>
      <x:c r="O108" s="262" t="n">
        <x:f>IF(N108="","",M108/N108-1)</x:f>
        <x:v>-0.02417269906928643</x:v>
      </x:c>
    </x:row>
    <x:row r="109">
      <x:c r="J109" s="257" t="str">
        <x:v>160718.OF</x:v>
      </x:c>
      <x:c r="K109" s="258" t="str">
        <x:v>嘉实多利收益债券A</x:v>
      </x:c>
      <x:c r="L109" s="263" t="n">
        <x:v>46206</x:v>
      </x:c>
      <x:c r="M109" s="261" t="n">
        <x:v>1.5113</x:v>
      </x:c>
      <x:c r="N109" s="261" t="n">
        <x:f>IF(OR(L109&lt;$B$3,L109&gt;$D$3),"",IF(AND(J109=J108,N108&lt;&gt;""),MAX(M109,N108),M109))</x:f>
        <x:v>1.5472</x:v>
      </x:c>
      <x:c r="O109" s="262" t="n">
        <x:f>IF(N109="","",M109/N109-1)</x:f>
        <x:v>-0.02320320579110635</x:v>
      </x:c>
    </x:row>
    <x:row r="110">
      <x:c r="J110" s="257" t="str">
        <x:v>160718.OF</x:v>
      </x:c>
      <x:c r="K110" s="258" t="str">
        <x:v>嘉实多利收益债券A</x:v>
      </x:c>
      <x:c r="L110" s="263" t="n">
        <x:v>46207</x:v>
      </x:c>
      <x:c r="M110" s="261" t="n">
        <x:v>1.5113</x:v>
      </x:c>
      <x:c r="N110" s="261" t="n">
        <x:f>IF(OR(L110&lt;$B$3,L110&gt;$D$3),"",IF(AND(J110=J109,N109&lt;&gt;""),MAX(M110,N109),M110))</x:f>
        <x:v>1.5472</x:v>
      </x:c>
      <x:c r="O110" s="262" t="n">
        <x:f>IF(N110="","",M110/N110-1)</x:f>
        <x:v>-0.02320320579110635</x:v>
      </x:c>
    </x:row>
    <x:row r="111">
      <x:c r="J111" s="257" t="str">
        <x:v>160718.OF</x:v>
      </x:c>
      <x:c r="K111" s="258" t="str">
        <x:v>嘉实多利收益债券A</x:v>
      </x:c>
      <x:c r="L111" s="263" t="n">
        <x:v>46208</x:v>
      </x:c>
      <x:c r="M111" s="261" t="n">
        <x:v>1.5113</x:v>
      </x:c>
      <x:c r="N111" s="261" t="n">
        <x:f>IF(OR(L111&lt;$B$3,L111&gt;$D$3),"",IF(AND(J111=J110,N110&lt;&gt;""),MAX(M111,N110),M111))</x:f>
        <x:v>1.5472</x:v>
      </x:c>
      <x:c r="O111" s="262" t="n">
        <x:f>IF(N111="","",M111/N111-1)</x:f>
        <x:v>-0.02320320579110635</x:v>
      </x:c>
    </x:row>
    <x:row r="112">
      <x:c r="J112" s="257" t="str">
        <x:v>160718.OF</x:v>
      </x:c>
      <x:c r="K112" s="258" t="str">
        <x:v>嘉实多利收益债券A</x:v>
      </x:c>
      <x:c r="L112" s="263" t="n">
        <x:v>46209</x:v>
      </x:c>
      <x:c r="M112" s="261" t="n">
        <x:v>1.5041</x:v>
      </x:c>
      <x:c r="N112" s="261" t="n">
        <x:f>IF(OR(L112&lt;$B$3,L112&gt;$D$3),"",IF(AND(J112=J111,N111&lt;&gt;""),MAX(M112,N111),M112))</x:f>
        <x:v>1.5472</x:v>
      </x:c>
      <x:c r="O112" s="262" t="n">
        <x:f>IF(N112="","",M112/N112-1)</x:f>
        <x:v>-0.02785677352637017</x:v>
      </x:c>
    </x:row>
    <x:row r="113">
      <x:c r="J113" s="257" t="str">
        <x:v>160718.OF</x:v>
      </x:c>
      <x:c r="K113" s="258" t="str">
        <x:v>嘉实多利收益债券A</x:v>
      </x:c>
      <x:c r="L113" s="263" t="n">
        <x:v>46210</x:v>
      </x:c>
      <x:c r="M113" s="261" t="n">
        <x:v>1.5028</x:v>
      </x:c>
      <x:c r="N113" s="261" t="n">
        <x:f>IF(OR(L113&lt;$B$3,L113&gt;$D$3),"",IF(AND(J113=J112,N112&lt;&gt;""),MAX(M113,N112),M113))</x:f>
        <x:v>1.5472</x:v>
      </x:c>
      <x:c r="O113" s="262" t="n">
        <x:f>IF(N113="","",M113/N113-1)</x:f>
        <x:v>-0.0286970010341262</x:v>
      </x:c>
    </x:row>
    <x:row r="114">
      <x:c r="J114" s="257" t="str">
        <x:v>160718.OF</x:v>
      </x:c>
      <x:c r="K114" s="258" t="str">
        <x:v>嘉实多利收益债券A</x:v>
      </x:c>
      <x:c r="L114" s="263" t="n">
        <x:v>46211</x:v>
      </x:c>
      <x:c r="M114" s="261" t="n">
        <x:v>1.5066</x:v>
      </x:c>
      <x:c r="N114" s="261" t="n">
        <x:f>IF(OR(L114&lt;$B$3,L114&gt;$D$3),"",IF(AND(J114=J113,N113&lt;&gt;""),MAX(M114,N113),M114))</x:f>
        <x:v>1.5472</x:v>
      </x:c>
      <x:c r="O114" s="262" t="n">
        <x:f>IF(N114="","",M114/N114-1)</x:f>
        <x:v>-0.0262409513960703</x:v>
      </x:c>
    </x:row>
    <x:row r="115">
      <x:c r="J115" s="257" t="str">
        <x:v>160718.OF</x:v>
      </x:c>
      <x:c r="K115" s="258" t="str">
        <x:v>嘉实多利收益债券A</x:v>
      </x:c>
      <x:c r="L115" s="263" t="n">
        <x:v>46212</x:v>
      </x:c>
      <x:c r="M115" s="261" t="n">
        <x:v>1.5301</x:v>
      </x:c>
      <x:c r="N115" s="261" t="n">
        <x:f>IF(OR(L115&lt;$B$3,L115&gt;$D$3),"",IF(AND(J115=J114,N114&lt;&gt;""),MAX(M115,N114),M115))</x:f>
        <x:v>1.5472</x:v>
      </x:c>
      <x:c r="O115" s="262" t="n">
        <x:f>IF(N115="","",M115/N115-1)</x:f>
        <x:v>-0.011052223371251224</x:v>
      </x:c>
    </x:row>
    <x:row r="116">
      <x:c r="J116" s="257" t="str">
        <x:v>160718.OF</x:v>
      </x:c>
      <x:c r="K116" s="258" t="str">
        <x:v>嘉实多利收益债券A</x:v>
      </x:c>
      <x:c r="L116" s="263" t="n">
        <x:v>46213</x:v>
      </x:c>
      <x:c r="M116" s="261" t="n">
        <x:v>1.5128</x:v>
      </x:c>
      <x:c r="N116" s="261" t="n">
        <x:f>IF(OR(L116&lt;$B$3,L116&gt;$D$3),"",IF(AND(J116=J115,N115&lt;&gt;""),MAX(M116,N115),M116))</x:f>
        <x:v>1.5472</x:v>
      </x:c>
      <x:c r="O116" s="262" t="n">
        <x:f>IF(N116="","",M116/N116-1)</x:f>
        <x:v>-0.022233712512926607</x:v>
      </x:c>
    </x:row>
    <x:row r="117">
      <x:c r="J117" s="257" t="str">
        <x:v>160718.OF</x:v>
      </x:c>
      <x:c r="K117" s="258" t="str">
        <x:v>嘉实多利收益债券A</x:v>
      </x:c>
      <x:c r="L117" s="263" t="n">
        <x:v>46214</x:v>
      </x:c>
      <x:c r="M117" s="261" t="n">
        <x:v>1.5128</x:v>
      </x:c>
      <x:c r="N117" s="261" t="n">
        <x:f>IF(OR(L117&lt;$B$3,L117&gt;$D$3),"",IF(AND(J117=J116,N116&lt;&gt;""),MAX(M117,N116),M117))</x:f>
        <x:v>1.5472</x:v>
      </x:c>
      <x:c r="O117" s="262" t="n">
        <x:f>IF(N117="","",M117/N117-1)</x:f>
        <x:v>-0.022233712512926607</x:v>
      </x:c>
    </x:row>
    <x:row r="118">
      <x:c r="J118" s="257" t="str">
        <x:v>160718.OF</x:v>
      </x:c>
      <x:c r="K118" s="258" t="str">
        <x:v>嘉实多利收益债券A</x:v>
      </x:c>
      <x:c r="L118" s="263" t="n">
        <x:v>46215</x:v>
      </x:c>
      <x:c r="M118" s="261" t="n">
        <x:v>1.5128</x:v>
      </x:c>
      <x:c r="N118" s="261" t="n">
        <x:f>IF(OR(L118&lt;$B$3,L118&gt;$D$3),"",IF(AND(J118=J117,N117&lt;&gt;""),MAX(M118,N117),M118))</x:f>
        <x:v>1.5472</x:v>
      </x:c>
      <x:c r="O118" s="262" t="n">
        <x:f>IF(N118="","",M118/N118-1)</x:f>
        <x:v>-0.022233712512926607</x:v>
      </x:c>
    </x:row>
    <x:row r="119">
      <x:c r="J119" s="257" t="str">
        <x:v>160718.OF</x:v>
      </x:c>
      <x:c r="K119" s="258" t="str">
        <x:v>嘉实多利收益债券A</x:v>
      </x:c>
      <x:c r="L119" s="263" t="n">
        <x:v>46216</x:v>
      </x:c>
      <x:c r="M119" s="261" t="n">
        <x:v>1.4999</x:v>
      </x:c>
      <x:c r="N119" s="261" t="n">
        <x:f>IF(OR(L119&lt;$B$3,L119&gt;$D$3),"",IF(AND(J119=J118,N118&lt;&gt;""),MAX(M119,N118),M119))</x:f>
        <x:v>1.5472</x:v>
      </x:c>
      <x:c r="O119" s="262" t="n">
        <x:f>IF(N119="","",M119/N119-1)</x:f>
        <x:v>-0.030571354705273945</x:v>
      </x:c>
    </x:row>
    <x:row r="120">
      <x:c r="J120" s="257" t="str">
        <x:v>160718.OF</x:v>
      </x:c>
      <x:c r="K120" s="258" t="str">
        <x:v>嘉实多利收益债券A</x:v>
      </x:c>
      <x:c r="L120" s="263" t="n">
        <x:v>46217</x:v>
      </x:c>
      <x:c r="M120" s="261" t="n">
        <x:v>1.5177</x:v>
      </x:c>
      <x:c r="N120" s="261" t="n">
        <x:f>IF(OR(L120&lt;$B$3,L120&gt;$D$3),"",IF(AND(J120=J119,N119&lt;&gt;""),MAX(M120,N119),M120))</x:f>
        <x:v>1.5472</x:v>
      </x:c>
      <x:c r="O120" s="262" t="n">
        <x:f>IF(N120="","",M120/N120-1)</x:f>
        <x:v>-0.019066701137538722</x:v>
      </x:c>
    </x:row>
    <x:row r="121">
      <x:c r="J121" s="257" t="str">
        <x:v>160718.OF</x:v>
      </x:c>
      <x:c r="K121" s="258" t="str">
        <x:v>嘉实多利收益债券A</x:v>
      </x:c>
      <x:c r="L121" s="263" t="n">
        <x:v>46218</x:v>
      </x:c>
      <x:c r="M121" s="261" t="n">
        <x:v>1.5079</x:v>
      </x:c>
      <x:c r="N121" s="261" t="n">
        <x:f>IF(OR(L121&lt;$B$3,L121&gt;$D$3),"",IF(AND(J121=J120,N120&lt;&gt;""),MAX(M121,N120),M121))</x:f>
        <x:v>1.5472</x:v>
      </x:c>
      <x:c r="O121" s="262" t="n">
        <x:f>IF(N121="","",M121/N121-1)</x:f>
        <x:v>-0.02540072388831427</x:v>
      </x:c>
    </x:row>
    <x:row r="122">
      <x:c r="J122" s="257" t="str">
        <x:v>160718.OF</x:v>
      </x:c>
      <x:c r="K122" s="258" t="str">
        <x:v>嘉实多利收益债券A</x:v>
      </x:c>
      <x:c r="L122" s="263" t="n">
        <x:v>46219</x:v>
      </x:c>
      <x:c r="M122" s="261" t="n">
        <x:v>1.4942</x:v>
      </x:c>
      <x:c r="N122" s="261" t="n">
        <x:f>IF(OR(L122&lt;$B$3,L122&gt;$D$3),"",IF(AND(J122=J121,N121&lt;&gt;""),MAX(M122,N121),M122))</x:f>
        <x:v>1.5472</x:v>
      </x:c>
      <x:c r="O122" s="262" t="n">
        <x:f>IF(N122="","",M122/N122-1)</x:f>
        <x:v>-0.0342554291623578</x:v>
      </x:c>
    </x:row>
    <x:row r="123">
      <x:c r="J123" s="257" t="str">
        <x:v>160718.OF</x:v>
      </x:c>
      <x:c r="K123" s="258" t="str">
        <x:v>嘉实多利收益债券A</x:v>
      </x:c>
      <x:c r="L123" s="263" t="n">
        <x:v>46220</x:v>
      </x:c>
      <x:c r="M123" s="261" t="n">
        <x:v>1.4656</x:v>
      </x:c>
      <x:c r="N123" s="261" t="n">
        <x:f>IF(OR(L123&lt;$B$3,L123&gt;$D$3),"",IF(AND(J123=J122,N122&lt;&gt;""),MAX(M123,N122),M123))</x:f>
        <x:v>1.5472</x:v>
      </x:c>
      <x:c r="O123" s="262" t="n">
        <x:f>IF(N123="","",M123/N123-1)</x:f>
        <x:v>-0.052740434332988584</x:v>
      </x:c>
    </x:row>
    <x:row r="124">
      <x:c r="J124" s="257" t="str">
        <x:v>160718.OF</x:v>
      </x:c>
      <x:c r="K124" s="258" t="str">
        <x:v>嘉实多利收益债券A</x:v>
      </x:c>
      <x:c r="L124" s="263" t="n">
        <x:v>46221</x:v>
      </x:c>
      <x:c r="M124" s="261" t="n">
        <x:v>1.4656</x:v>
      </x:c>
      <x:c r="N124" s="261" t="n">
        <x:f>IF(OR(L124&lt;$B$3,L124&gt;$D$3),"",IF(AND(J124=J123,N123&lt;&gt;""),MAX(M124,N123),M124))</x:f>
        <x:v>1.5472</x:v>
      </x:c>
      <x:c r="O124" s="262" t="n">
        <x:f>IF(N124="","",M124/N124-1)</x:f>
        <x:v>-0.052740434332988584</x:v>
      </x:c>
    </x:row>
    <x:row r="125">
      <x:c r="J125" s="257" t="str">
        <x:v>160718.OF</x:v>
      </x:c>
      <x:c r="K125" s="258" t="str">
        <x:v>嘉实多利收益债券A</x:v>
      </x:c>
      <x:c r="L125" s="263" t="n">
        <x:v>46222</x:v>
      </x:c>
      <x:c r="M125" s="261" t="n">
        <x:v>1.4656</x:v>
      </x:c>
      <x:c r="N125" s="261" t="n">
        <x:f>IF(OR(L125&lt;$B$3,L125&gt;$D$3),"",IF(AND(J125=J124,N124&lt;&gt;""),MAX(M125,N124),M125))</x:f>
        <x:v>1.5472</x:v>
      </x:c>
      <x:c r="O125" s="262" t="n">
        <x:f>IF(N125="","",M125/N125-1)</x:f>
        <x:v>-0.052740434332988584</x:v>
      </x:c>
    </x:row>
    <x:row r="126">
      <x:c r="J126" s="257" t="str">
        <x:v>160718.OF</x:v>
      </x:c>
      <x:c r="K126" s="258" t="str">
        <x:v>嘉实多利收益债券A</x:v>
      </x:c>
      <x:c r="L126" s="263" t="n">
        <x:v>46223</x:v>
      </x:c>
      <x:c r="M126" s="261" t="n">
        <x:v>1.4578</x:v>
      </x:c>
      <x:c r="N126" s="261" t="n">
        <x:f>IF(OR(L126&lt;$B$3,L126&gt;$D$3),"",IF(AND(J126=J125,N125&lt;&gt;""),MAX(M126,N125),M126))</x:f>
        <x:v>1.5472</x:v>
      </x:c>
      <x:c r="O126" s="262" t="n">
        <x:f>IF(N126="","",M126/N126-1)</x:f>
        <x:v>-0.05778179937952421</x:v>
      </x:c>
    </x:row>
    <x:row r="127">
      <x:c r="J127" s="257" t="str">
        <x:v>160718.OF</x:v>
      </x:c>
      <x:c r="K127" s="258" t="str">
        <x:v>嘉实多利收益债券A</x:v>
      </x:c>
      <x:c r="L127" s="263" t="n">
        <x:v>46224</x:v>
      </x:c>
      <x:c r="M127" s="261" t="n">
        <x:v>1.4913</x:v>
      </x:c>
      <x:c r="N127" s="261" t="n">
        <x:f>IF(OR(L127&lt;$B$3,L127&gt;$D$3),"",IF(AND(J127=J126,N126&lt;&gt;""),MAX(M127,N126),M127))</x:f>
        <x:v>1.5472</x:v>
      </x:c>
      <x:c r="O127" s="262" t="n">
        <x:f>IF(N127="","",M127/N127-1)</x:f>
        <x:v>-0.03612978283350554</x:v>
      </x:c>
    </x:row>
    <x:row r="128">
      <x:c r="J128" s="257" t="str">
        <x:v>160718.OF</x:v>
      </x:c>
      <x:c r="K128" s="258" t="str">
        <x:v>嘉实多利收益债券A</x:v>
      </x:c>
      <x:c r="L128" s="263" t="n">
        <x:v>46225</x:v>
      </x:c>
      <x:c r="M128" s="261" t="n">
        <x:v>1.4768</x:v>
      </x:c>
      <x:c r="N128" s="261" t="n">
        <x:f>IF(OR(L128&lt;$B$3,L128&gt;$D$3),"",IF(AND(J128=J127,N127&lt;&gt;""),MAX(M128,N127),M128))</x:f>
        <x:v>1.5472</x:v>
      </x:c>
      <x:c r="O128" s="262" t="n">
        <x:f>IF(N128="","",M128/N128-1)</x:f>
        <x:v>-0.04550155118924515</x:v>
      </x:c>
    </x:row>
    <x:row r="129">
      <x:c r="J129" s="257" t="str">
        <x:v>160718.OF</x:v>
      </x:c>
      <x:c r="K129" s="258" t="str">
        <x:v>嘉实多利收益债券A</x:v>
      </x:c>
      <x:c r="L129" s="263" t="n">
        <x:v>46226</x:v>
      </x:c>
      <x:c r="M129" s="261" t="n">
        <x:v>1.4699</x:v>
      </x:c>
      <x:c r="N129" s="261" t="n">
        <x:f>IF(OR(L129&lt;$B$3,L129&gt;$D$3),"",IF(AND(J129=J128,N128&lt;&gt;""),MAX(M129,N128),M129))</x:f>
        <x:v>1.5472</x:v>
      </x:c>
      <x:c r="O129" s="262" t="n">
        <x:f>IF(N129="","",M129/N129-1)</x:f>
        <x:v>-0.04996122026887273</x:v>
      </x:c>
    </x:row>
    <x:row r="130">
      <x:c r="J130" s="257" t="str">
        <x:v>160718.OF</x:v>
      </x:c>
      <x:c r="K130" s="258" t="str">
        <x:v>嘉实多利收益债券A</x:v>
      </x:c>
      <x:c r="L130" s="263" t="n">
        <x:v>46227</x:v>
      </x:c>
      <x:c r="M130" s="261" t="n">
        <x:v>1.4669</x:v>
      </x:c>
      <x:c r="N130" s="261" t="n">
        <x:f>IF(OR(L130&lt;$B$3,L130&gt;$D$3),"",IF(AND(J130=J129,N129&lt;&gt;""),MAX(M130,N129),M130))</x:f>
        <x:v>1.5472</x:v>
      </x:c>
      <x:c r="O130" s="262" t="n">
        <x:f>IF(N130="","",M130/N130-1)</x:f>
        <x:v>-0.05190020682523255</x:v>
      </x:c>
    </x:row>
    <x:row r="131">
      <x:c r="J131" s="257" t="str">
        <x:v>160718.OF</x:v>
      </x:c>
      <x:c r="K131" s="258" t="str">
        <x:v>嘉实多利收益债券A</x:v>
      </x:c>
      <x:c r="L131" s="263" t="n">
        <x:v>46228</x:v>
      </x:c>
      <x:c r="M131" s="261" t="n">
        <x:v>1.4669</x:v>
      </x:c>
      <x:c r="N131" s="261" t="n">
        <x:f>IF(OR(L131&lt;$B$3,L131&gt;$D$3),"",IF(AND(J131=J130,N130&lt;&gt;""),MAX(M131,N130),M131))</x:f>
        <x:v>1.5472</x:v>
      </x:c>
      <x:c r="O131" s="262" t="n">
        <x:f>IF(N131="","",M131/N131-1)</x:f>
        <x:v>-0.05190020682523255</x:v>
      </x:c>
    </x:row>
    <x:row r="132">
      <x:c r="J132" s="257" t="str">
        <x:v>160718.OF</x:v>
      </x:c>
      <x:c r="K132" s="258" t="str">
        <x:v>嘉实多利收益债券A</x:v>
      </x:c>
      <x:c r="L132" s="263" t="n">
        <x:v>46229</x:v>
      </x:c>
      <x:c r="M132" s="261" t="n">
        <x:v>1.4669</x:v>
      </x:c>
      <x:c r="N132" s="261" t="n">
        <x:f>IF(OR(L132&lt;$B$3,L132&gt;$D$3),"",IF(AND(J132=J131,N131&lt;&gt;""),MAX(M132,N131),M132))</x:f>
        <x:v>1.5472</x:v>
      </x:c>
      <x:c r="O132" s="262" t="n">
        <x:f>IF(N132="","",M132/N132-1)</x:f>
        <x:v>-0.05190020682523255</x:v>
      </x:c>
    </x:row>
    <x:row r="133">
      <x:c r="J133" s="257" t="str">
        <x:v>160718.OF</x:v>
      </x:c>
      <x:c r="K133" s="258" t="str">
        <x:v>嘉实多利收益债券A</x:v>
      </x:c>
      <x:c r="L133" s="263" t="n">
        <x:v>46230</x:v>
      </x:c>
      <x:c r="M133" s="261" t="n">
        <x:v>1.4792</x:v>
      </x:c>
      <x:c r="N133" s="261" t="n">
        <x:f>IF(OR(L133&lt;$B$3,L133&gt;$D$3),"",IF(AND(J133=J132,N132&lt;&gt;""),MAX(M133,N132),M133))</x:f>
        <x:v>1.5472</x:v>
      </x:c>
      <x:c r="O133" s="262" t="n">
        <x:f>IF(N133="","",M133/N133-1)</x:f>
        <x:v>-0.043950361944157135</x:v>
      </x:c>
    </x:row>
    <x:row r="134">
      <x:c r="J134" s="257" t="str">
        <x:v>160718.OF</x:v>
      </x:c>
      <x:c r="K134" s="258" t="str">
        <x:v>嘉实多利收益债券A</x:v>
      </x:c>
      <x:c r="L134" s="263" t="n">
        <x:v>46231</x:v>
      </x:c>
      <x:c r="M134" s="261" t="n">
        <x:v>1.4455</x:v>
      </x:c>
      <x:c r="N134" s="261" t="n">
        <x:f>IF(OR(L134&lt;$B$3,L134&gt;$D$3),"",IF(AND(J134=J133,N133&lt;&gt;""),MAX(M134,N133),M134))</x:f>
        <x:v>1.5472</x:v>
      </x:c>
      <x:c r="O134" s="262" t="n">
        <x:f>IF(N134="","",M134/N134-1)</x:f>
        <x:v>-0.06573164426059974</x:v>
      </x:c>
    </x:row>
    <x:row r="135">
      <x:c r="J135" s="257" t="str">
        <x:v>160718.OF</x:v>
      </x:c>
      <x:c r="K135" s="258" t="str">
        <x:v>嘉实多利收益债券A</x:v>
      </x:c>
      <x:c r="L135" s="263" t="n">
        <x:v>46232</x:v>
      </x:c>
      <x:c r="M135" s="261" t="n">
        <x:v>1.4461</x:v>
      </x:c>
      <x:c r="N135" s="261" t="n">
        <x:f>IF(OR(L135&lt;$B$3,L135&gt;$D$3),"",IF(AND(J135=J134,N134&lt;&gt;""),MAX(M135,N134),M135))</x:f>
        <x:v>1.5472</x:v>
      </x:c>
      <x:c r="O135" s="262" t="n">
        <x:f>IF(N135="","",M135/N135-1)</x:f>
        <x:v>-0.06534384694932782</x:v>
      </x:c>
    </x:row>
    <x:row r="136">
      <x:c r="J136" s="257" t="str">
        <x:v>160718.OF</x:v>
      </x:c>
      <x:c r="K136" s="258" t="str">
        <x:v>嘉实多利收益债券A</x:v>
      </x:c>
      <x:c r="L136" s="263" t="n">
        <x:v>46233</x:v>
      </x:c>
      <x:c r="M136" s="261" t="n">
        <x:v>1.4239</x:v>
      </x:c>
      <x:c r="N136" s="261" t="n">
        <x:f>IF(OR(L136&lt;$B$3,L136&gt;$D$3),"",IF(AND(J136=J135,N135&lt;&gt;""),MAX(M136,N135),M136))</x:f>
        <x:v>1.5472</x:v>
      </x:c>
      <x:c r="O136" s="262" t="n">
        <x:f>IF(N136="","",M136/N136-1)</x:f>
        <x:v>-0.07969234746639087</x:v>
      </x:c>
    </x:row>
    <x:row r="137">
      <x:c r="J137" s="257" t="str">
        <x:v>160718.OF</x:v>
      </x:c>
      <x:c r="K137" s="258" t="str">
        <x:v>嘉实多利收益债券A</x:v>
      </x:c>
      <x:c r="L137" s="263" t="n">
        <x:v>46234</x:v>
      </x:c>
      <x:c r="M137" s="261" t="n">
        <x:v>1.4364</x:v>
      </x:c>
      <x:c r="N137" s="261" t="n">
        <x:f>IF(OR(L137&lt;$B$3,L137&gt;$D$3),"",IF(AND(J137=J136,N136&lt;&gt;""),MAX(M137,N136),M137))</x:f>
        <x:v>1.5472</x:v>
      </x:c>
      <x:c r="O137" s="262" t="n">
        <x:f>IF(N137="","",M137/N137-1)</x:f>
        <x:v>-0.0716132368148914</x:v>
      </x:c>
    </x:row>
    <x:row r="138">
      <x:c r="J138" s="257" t="str">
        <x:v>160718.OF</x:v>
      </x:c>
      <x:c r="K138" s="258" t="str">
        <x:v>嘉实多利收益债券A</x:v>
      </x:c>
      <x:c r="L138" s="263" t="n">
        <x:v>46235</x:v>
      </x:c>
      <x:c r="M138" s="261" t="n">
        <x:v>1.4364</x:v>
      </x:c>
      <x:c r="N138" s="261" t="n">
        <x:f>IF(OR(L138&lt;$B$3,L138&gt;$D$3),"",IF(AND(J138=J137,N137&lt;&gt;""),MAX(M138,N137),M138))</x:f>
        <x:v>1.5472</x:v>
      </x:c>
      <x:c r="O138" s="262" t="n">
        <x:f>IF(N138="","",M138/N138-1)</x:f>
        <x:v>-0.0716132368148914</x:v>
      </x:c>
    </x:row>
    <x:row r="139">
      <x:c r="J139" s="257" t="str">
        <x:v>160718.OF</x:v>
      </x:c>
      <x:c r="K139" s="258" t="str">
        <x:v>嘉实多利收益债券A</x:v>
      </x:c>
      <x:c r="L139" s="263" t="n">
        <x:v>46236</x:v>
      </x:c>
      <x:c r="M139" s="261" t="n">
        <x:v>1.4364</x:v>
      </x:c>
      <x:c r="N139" s="261" t="n">
        <x:f>IF(OR(L139&lt;$B$3,L139&gt;$D$3),"",IF(AND(J139=J138,N138&lt;&gt;""),MAX(M139,N138),M139))</x:f>
        <x:v>1.5472</x:v>
      </x:c>
      <x:c r="O139" s="262" t="n">
        <x:f>IF(N139="","",M139/N139-1)</x:f>
        <x:v>-0.0716132368148914</x:v>
      </x:c>
    </x:row>
    <x:row r="140">
      <x:c r="J140" s="257" t="str">
        <x:v>160718.OF</x:v>
      </x:c>
      <x:c r="K140" s="258" t="str">
        <x:v>嘉实多利收益债券A</x:v>
      </x:c>
      <x:c r="L140" s="263" t="n">
        <x:v>46237</x:v>
      </x:c>
      <x:c r="M140" s="261" t="n">
        <x:v>1.4252</x:v>
      </x:c>
      <x:c r="N140" s="261" t="n">
        <x:f>IF(OR(L140&lt;$B$3,L140&gt;$D$3),"",IF(AND(J140=J139,N139&lt;&gt;""),MAX(M140,N139),M140))</x:f>
        <x:v>1.5472</x:v>
      </x:c>
      <x:c r="O140" s="262" t="n">
        <x:f>IF(N140="","",M140/N140-1)</x:f>
        <x:v>-0.07885211995863484</x:v>
      </x:c>
    </x:row>
    <x:row r="141">
      <x:c r="J141" s="257" t="str">
        <x:v>160718.OF</x:v>
      </x:c>
      <x:c r="K141" s="258" t="str">
        <x:v>嘉实多利收益债券A</x:v>
      </x:c>
      <x:c r="L141" s="263" t="n">
        <x:v>46238</x:v>
      </x:c>
      <x:c r="M141" s="261" t="n">
        <x:v>1.4498</x:v>
      </x:c>
      <x:c r="N141" s="261" t="n">
        <x:f>IF(OR(L141&lt;$B$3,L141&gt;$D$3),"",IF(AND(J141=J140,N140&lt;&gt;""),MAX(M141,N140),M141))</x:f>
        <x:v>1.5472</x:v>
      </x:c>
      <x:c r="O141" s="262" t="n">
        <x:f>IF(N141="","",M141/N141-1)</x:f>
        <x:v>-0.06295243019648389</x:v>
      </x:c>
    </x:row>
    <x:row r="142">
      <x:c r="J142" s="257" t="str">
        <x:v>160718.OF</x:v>
      </x:c>
      <x:c r="K142" s="258" t="str">
        <x:v>嘉实多利收益债券A</x:v>
      </x:c>
      <x:c r="L142" s="263" t="n">
        <x:v>46239</x:v>
      </x:c>
      <x:c r="M142" s="261" t="n">
        <x:v>1.4589</x:v>
      </x:c>
      <x:c r="N142" s="261" t="n">
        <x:f>IF(OR(L142&lt;$B$3,L142&gt;$D$3),"",IF(AND(J142=J141,N141&lt;&gt;""),MAX(M142,N141),M142))</x:f>
        <x:v>1.5472</x:v>
      </x:c>
      <x:c r="O142" s="262" t="n">
        <x:f>IF(N142="","",M142/N142-1)</x:f>
        <x:v>-0.05707083764219223</x:v>
      </x:c>
    </x:row>
    <x:row r="143">
      <x:c r="J143" s="257" t="str">
        <x:v>160718.OF</x:v>
      </x:c>
      <x:c r="K143" s="258" t="str">
        <x:v>嘉实多利收益债券A</x:v>
      </x:c>
      <x:c r="L143" s="263" t="n">
        <x:v>46240</x:v>
      </x:c>
      <x:c r="M143" s="261" t="n">
        <x:v>1.4636</x:v>
      </x:c>
      <x:c r="N143" s="261" t="n">
        <x:f>IF(OR(L143&lt;$B$3,L143&gt;$D$3),"",IF(AND(J143=J142,N142&lt;&gt;""),MAX(M143,N142),M143))</x:f>
        <x:v>1.5472</x:v>
      </x:c>
      <x:c r="O143" s="262" t="n">
        <x:f>IF(N143="","",M143/N143-1)</x:f>
        <x:v>-0.0540330920372285</x:v>
      </x:c>
    </x:row>
    <x:row r="144">
      <x:c r="J144" s="257" t="str">
        <x:v>160718.OF</x:v>
      </x:c>
      <x:c r="K144" s="258" t="str">
        <x:v>嘉实多利收益债券A</x:v>
      </x:c>
      <x:c r="L144" s="263" t="n">
        <x:v>46241</x:v>
      </x:c>
      <x:c r="M144" s="261" t="n">
        <x:v>1.4712</x:v>
      </x:c>
      <x:c r="N144" s="261" t="n">
        <x:f>IF(OR(L144&lt;$B$3,L144&gt;$D$3),"",IF(AND(J144=J143,N143&lt;&gt;""),MAX(M144,N143),M144))</x:f>
        <x:v>1.5472</x:v>
      </x:c>
      <x:c r="O144" s="262" t="n">
        <x:f>IF(N144="","",M144/N144-1)</x:f>
        <x:v>-0.04912099276111681</x:v>
      </x:c>
    </x:row>
    <x:row r="145">
      <x:c r="J145" s="257" t="str">
        <x:v>160718.OF</x:v>
      </x:c>
      <x:c r="K145" s="258" t="str">
        <x:v>嘉实多利收益债券A</x:v>
      </x:c>
      <x:c r="L145" s="263" t="n">
        <x:v>46242</x:v>
      </x:c>
      <x:c r="M145" s="261" t="n">
        <x:v>1.4712</x:v>
      </x:c>
      <x:c r="N145" s="261" t="n">
        <x:f>IF(OR(L145&lt;$B$3,L145&gt;$D$3),"",IF(AND(J145=J144,N144&lt;&gt;""),MAX(M145,N144),M145))</x:f>
        <x:v>1.5472</x:v>
      </x:c>
      <x:c r="O145" s="262" t="n">
        <x:f>IF(N145="","",M145/N145-1)</x:f>
        <x:v>-0.04912099276111681</x:v>
      </x:c>
    </x:row>
    <x:row r="146">
      <x:c r="J146" s="257" t="str">
        <x:v>160718.OF</x:v>
      </x:c>
      <x:c r="K146" s="258" t="str">
        <x:v>嘉实多利收益债券A</x:v>
      </x:c>
      <x:c r="L146" s="263" t="n">
        <x:v>46243</x:v>
      </x:c>
      <x:c r="M146" s="261" t="n">
        <x:v>1.4712</x:v>
      </x:c>
      <x:c r="N146" s="261" t="n">
        <x:f>IF(OR(L146&lt;$B$3,L146&gt;$D$3),"",IF(AND(J146=J145,N145&lt;&gt;""),MAX(M146,N145),M146))</x:f>
        <x:v>1.5472</x:v>
      </x:c>
      <x:c r="O146" s="262" t="n">
        <x:f>IF(N146="","",M146/N146-1)</x:f>
        <x:v>-0.04912099276111681</x:v>
      </x:c>
    </x:row>
    <x:row r="147">
      <x:c r="J147" s="257" t="str">
        <x:v>160718.OF</x:v>
      </x:c>
      <x:c r="K147" s="258" t="str">
        <x:v>嘉实多利收益债券A</x:v>
      </x:c>
      <x:c r="L147" s="263" t="n">
        <x:v>46244</x:v>
      </x:c>
      <x:c r="M147" s="261" t="n">
        <x:v>1.4702</x:v>
      </x:c>
      <x:c r="N147" s="261" t="n">
        <x:f>IF(OR(L147&lt;$B$3,L147&gt;$D$3),"",IF(AND(J147=J146,N146&lt;&gt;""),MAX(M147,N146),M147))</x:f>
        <x:v>1.5472</x:v>
      </x:c>
      <x:c r="O147" s="262" t="n">
        <x:f>IF(N147="","",M147/N147-1)</x:f>
        <x:v>-0.049767321613236826</x:v>
      </x:c>
    </x:row>
    <x:row r="148">
      <x:c r="J148" s="257" t="str">
        <x:v>202101.OF</x:v>
      </x:c>
      <x:c r="K148" s="258" t="str">
        <x:v>南方宝元债券A</x:v>
      </x:c>
      <x:c r="L148" s="263" t="n">
        <x:v>46191</x:v>
      </x:c>
      <x:c r="M148" s="261" t="n">
        <x:v>8.3412</x:v>
      </x:c>
      <x:c r="N148" s="261" t="n">
        <x:f>IF(OR(L148&lt;$B$3,L148&gt;$D$3),"",IF(AND(J148=J147,N147&lt;&gt;""),MAX(M148,N147),M148))</x:f>
        <x:v>8.3412</x:v>
      </x:c>
      <x:c r="O148" s="262" t="n">
        <x:f>IF(N148="","",M148/N148-1)</x:f>
        <x:v>0</x:v>
      </x:c>
    </x:row>
    <x:row r="149">
      <x:c r="J149" s="257" t="str">
        <x:v>202101.OF</x:v>
      </x:c>
      <x:c r="K149" s="258" t="str">
        <x:v>南方宝元债券A</x:v>
      </x:c>
      <x:c r="L149" s="263" t="n">
        <x:v>46192</x:v>
      </x:c>
      <x:c r="M149" s="261" t="n">
        <x:v>8.3412</x:v>
      </x:c>
      <x:c r="N149" s="261" t="n">
        <x:f>IF(OR(L149&lt;$B$3,L149&gt;$D$3),"",IF(AND(J149=J148,N148&lt;&gt;""),MAX(M149,N148),M149))</x:f>
        <x:v>8.3412</x:v>
      </x:c>
      <x:c r="O149" s="262" t="n">
        <x:f>IF(N149="","",M149/N149-1)</x:f>
        <x:v>0</x:v>
      </x:c>
    </x:row>
    <x:row r="150">
      <x:c r="J150" s="257" t="str">
        <x:v>202101.OF</x:v>
      </x:c>
      <x:c r="K150" s="258" t="str">
        <x:v>南方宝元债券A</x:v>
      </x:c>
      <x:c r="L150" s="263" t="n">
        <x:v>46193</x:v>
      </x:c>
      <x:c r="M150" s="261" t="n">
        <x:v>8.3412</x:v>
      </x:c>
      <x:c r="N150" s="261" t="n">
        <x:f>IF(OR(L150&lt;$B$3,L150&gt;$D$3),"",IF(AND(J150=J149,N149&lt;&gt;""),MAX(M150,N149),M150))</x:f>
        <x:v>8.3412</x:v>
      </x:c>
      <x:c r="O150" s="262" t="n">
        <x:f>IF(N150="","",M150/N150-1)</x:f>
        <x:v>0</x:v>
      </x:c>
    </x:row>
    <x:row r="151">
      <x:c r="J151" s="257" t="str">
        <x:v>202101.OF</x:v>
      </x:c>
      <x:c r="K151" s="258" t="str">
        <x:v>南方宝元债券A</x:v>
      </x:c>
      <x:c r="L151" s="263" t="n">
        <x:v>46194</x:v>
      </x:c>
      <x:c r="M151" s="261" t="n">
        <x:v>8.3412</x:v>
      </x:c>
      <x:c r="N151" s="261" t="n">
        <x:f>IF(OR(L151&lt;$B$3,L151&gt;$D$3),"",IF(AND(J151=J150,N150&lt;&gt;""),MAX(M151,N150),M151))</x:f>
        <x:v>8.3412</x:v>
      </x:c>
      <x:c r="O151" s="262" t="n">
        <x:f>IF(N151="","",M151/N151-1)</x:f>
        <x:v>0</x:v>
      </x:c>
    </x:row>
    <x:row r="152">
      <x:c r="J152" s="257" t="str">
        <x:v>202101.OF</x:v>
      </x:c>
      <x:c r="K152" s="258" t="str">
        <x:v>南方宝元债券A</x:v>
      </x:c>
      <x:c r="L152" s="263" t="n">
        <x:v>46195</x:v>
      </x:c>
      <x:c r="M152" s="261" t="n">
        <x:v>8.4202</x:v>
      </x:c>
      <x:c r="N152" s="261" t="n">
        <x:f>IF(OR(L152&lt;$B$3,L152&gt;$D$3),"",IF(AND(J152=J151,N151&lt;&gt;""),MAX(M152,N151),M152))</x:f>
        <x:v>8.4202</x:v>
      </x:c>
      <x:c r="O152" s="262" t="n">
        <x:f>IF(N152="","",M152/N152-1)</x:f>
        <x:v>0</x:v>
      </x:c>
    </x:row>
    <x:row r="153">
      <x:c r="J153" s="257" t="str">
        <x:v>202101.OF</x:v>
      </x:c>
      <x:c r="K153" s="258" t="str">
        <x:v>南方宝元债券A</x:v>
      </x:c>
      <x:c r="L153" s="263" t="n">
        <x:v>46196</x:v>
      </x:c>
      <x:c r="M153" s="261" t="n">
        <x:v>8.3541</x:v>
      </x:c>
      <x:c r="N153" s="261" t="n">
        <x:f>IF(OR(L153&lt;$B$3,L153&gt;$D$3),"",IF(AND(J153=J152,N152&lt;&gt;""),MAX(M153,N152),M153))</x:f>
        <x:v>8.4202</x:v>
      </x:c>
      <x:c r="O153" s="262" t="n">
        <x:f>IF(N153="","",M153/N153-1)</x:f>
        <x:v>-0.007850169829695108</x:v>
      </x:c>
    </x:row>
    <x:row r="154">
      <x:c r="J154" s="257" t="str">
        <x:v>202101.OF</x:v>
      </x:c>
      <x:c r="K154" s="258" t="str">
        <x:v>南方宝元债券A</x:v>
      </x:c>
      <x:c r="L154" s="263" t="n">
        <x:v>46197</x:v>
      </x:c>
      <x:c r="M154" s="261" t="n">
        <x:v>8.363</x:v>
      </x:c>
      <x:c r="N154" s="261" t="n">
        <x:f>IF(OR(L154&lt;$B$3,L154&gt;$D$3),"",IF(AND(J154=J153,N153&lt;&gt;""),MAX(M154,N153),M154))</x:f>
        <x:v>8.4202</x:v>
      </x:c>
      <x:c r="O154" s="262" t="n">
        <x:f>IF(N154="","",M154/N154-1)</x:f>
        <x:v>-0.006793187810265833</x:v>
      </x:c>
    </x:row>
    <x:row r="155">
      <x:c r="J155" s="257" t="str">
        <x:v>202101.OF</x:v>
      </x:c>
      <x:c r="K155" s="258" t="str">
        <x:v>南方宝元债券A</x:v>
      </x:c>
      <x:c r="L155" s="263" t="n">
        <x:v>46198</x:v>
      </x:c>
      <x:c r="M155" s="261" t="n">
        <x:v>8.3921</x:v>
      </x:c>
      <x:c r="N155" s="261" t="n">
        <x:f>IF(OR(L155&lt;$B$3,L155&gt;$D$3),"",IF(AND(J155=J154,N154&lt;&gt;""),MAX(M155,N154),M155))</x:f>
        <x:v>8.4202</x:v>
      </x:c>
      <x:c r="O155" s="262" t="n">
        <x:f>IF(N155="","",M155/N155-1)</x:f>
        <x:v>-0.003337212892805419</x:v>
      </x:c>
    </x:row>
    <x:row r="156">
      <x:c r="J156" s="257" t="str">
        <x:v>202101.OF</x:v>
      </x:c>
      <x:c r="K156" s="258" t="str">
        <x:v>南方宝元债券A</x:v>
      </x:c>
      <x:c r="L156" s="263" t="n">
        <x:v>46199</x:v>
      </x:c>
      <x:c r="M156" s="261" t="n">
        <x:v>8.326</x:v>
      </x:c>
      <x:c r="N156" s="261" t="n">
        <x:f>IF(OR(L156&lt;$B$3,L156&gt;$D$3),"",IF(AND(J156=J155,N155&lt;&gt;""),MAX(M156,N155),M156))</x:f>
        <x:v>8.4202</x:v>
      </x:c>
      <x:c r="O156" s="262" t="n">
        <x:f>IF(N156="","",M156/N156-1)</x:f>
        <x:v>-0.011187382722500527</x:v>
      </x:c>
    </x:row>
    <x:row r="157">
      <x:c r="J157" s="257" t="str">
        <x:v>202101.OF</x:v>
      </x:c>
      <x:c r="K157" s="258" t="str">
        <x:v>南方宝元债券A</x:v>
      </x:c>
      <x:c r="L157" s="263" t="n">
        <x:v>46200</x:v>
      </x:c>
      <x:c r="M157" s="261" t="n">
        <x:v>8.326</x:v>
      </x:c>
      <x:c r="N157" s="261" t="n">
        <x:f>IF(OR(L157&lt;$B$3,L157&gt;$D$3),"",IF(AND(J157=J156,N156&lt;&gt;""),MAX(M157,N156),M157))</x:f>
        <x:v>8.4202</x:v>
      </x:c>
      <x:c r="O157" s="262" t="n">
        <x:f>IF(N157="","",M157/N157-1)</x:f>
        <x:v>-0.011187382722500527</x:v>
      </x:c>
    </x:row>
    <x:row r="158">
      <x:c r="J158" s="257" t="str">
        <x:v>202101.OF</x:v>
      </x:c>
      <x:c r="K158" s="258" t="str">
        <x:v>南方宝元债券A</x:v>
      </x:c>
      <x:c r="L158" s="263" t="n">
        <x:v>46201</x:v>
      </x:c>
      <x:c r="M158" s="261" t="n">
        <x:v>8.326</x:v>
      </x:c>
      <x:c r="N158" s="261" t="n">
        <x:f>IF(OR(L158&lt;$B$3,L158&gt;$D$3),"",IF(AND(J158=J157,N157&lt;&gt;""),MAX(M158,N157),M158))</x:f>
        <x:v>8.4202</x:v>
      </x:c>
      <x:c r="O158" s="262" t="n">
        <x:f>IF(N158="","",M158/N158-1)</x:f>
        <x:v>-0.011187382722500527</x:v>
      </x:c>
    </x:row>
    <x:row r="159">
      <x:c r="J159" s="257" t="str">
        <x:v>202101.OF</x:v>
      </x:c>
      <x:c r="K159" s="258" t="str">
        <x:v>南方宝元债券A</x:v>
      </x:c>
      <x:c r="L159" s="263" t="n">
        <x:v>46202</x:v>
      </x:c>
      <x:c r="M159" s="261" t="n">
        <x:v>8.359</x:v>
      </x:c>
      <x:c r="N159" s="261" t="n">
        <x:f>IF(OR(L159&lt;$B$3,L159&gt;$D$3),"",IF(AND(J159=J158,N158&lt;&gt;""),MAX(M159,N158),M159))</x:f>
        <x:v>8.4202</x:v>
      </x:c>
      <x:c r="O159" s="262" t="n">
        <x:f>IF(N159="","",M159/N159-1)</x:f>
        <x:v>-0.007268235908885701</x:v>
      </x:c>
    </x:row>
    <x:row r="160">
      <x:c r="J160" s="257" t="str">
        <x:v>202101.OF</x:v>
      </x:c>
      <x:c r="K160" s="258" t="str">
        <x:v>南方宝元债券A</x:v>
      </x:c>
      <x:c r="L160" s="263" t="n">
        <x:v>46203</x:v>
      </x:c>
      <x:c r="M160" s="261" t="n">
        <x:v>8.353</x:v>
      </x:c>
      <x:c r="N160" s="261" t="n">
        <x:f>IF(OR(L160&lt;$B$3,L160&gt;$D$3),"",IF(AND(J160=J159,N159&lt;&gt;""),MAX(M160,N159),M160))</x:f>
        <x:v>8.4202</x:v>
      </x:c>
      <x:c r="O160" s="262" t="n">
        <x:f>IF(N160="","",M160/N160-1)</x:f>
        <x:v>-0.00798080805681567</x:v>
      </x:c>
    </x:row>
    <x:row r="161">
      <x:c r="J161" s="257" t="str">
        <x:v>202101.OF</x:v>
      </x:c>
      <x:c r="K161" s="258" t="str">
        <x:v>南方宝元债券A</x:v>
      </x:c>
      <x:c r="L161" s="263" t="n">
        <x:v>46204</x:v>
      </x:c>
      <x:c r="M161" s="261" t="n">
        <x:v>8.3521</x:v>
      </x:c>
      <x:c r="N161" s="261" t="n">
        <x:f>IF(OR(L161&lt;$B$3,L161&gt;$D$3),"",IF(AND(J161=J160,N160&lt;&gt;""),MAX(M161,N160),M161))</x:f>
        <x:v>8.4202</x:v>
      </x:c>
      <x:c r="O161" s="262" t="n">
        <x:f>IF(N161="","",M161/N161-1)</x:f>
        <x:v>-0.008087693879005209</x:v>
      </x:c>
    </x:row>
    <x:row r="162">
      <x:c r="J162" s="257" t="str">
        <x:v>202101.OF</x:v>
      </x:c>
      <x:c r="K162" s="258" t="str">
        <x:v>南方宝元债券A</x:v>
      </x:c>
      <x:c r="L162" s="263" t="n">
        <x:v>46205</x:v>
      </x:c>
      <x:c r="M162" s="261" t="n">
        <x:v>8.3188</x:v>
      </x:c>
      <x:c r="N162" s="261" t="n">
        <x:f>IF(OR(L162&lt;$B$3,L162&gt;$D$3),"",IF(AND(J162=J161,N161&lt;&gt;""),MAX(M162,N161),M162))</x:f>
        <x:v>8.4202</x:v>
      </x:c>
      <x:c r="O162" s="262" t="n">
        <x:f>IF(N162="","",M162/N162-1)</x:f>
        <x:v>-0.012042469300016623</x:v>
      </x:c>
    </x:row>
    <x:row r="163">
      <x:c r="J163" s="257" t="str">
        <x:v>202101.OF</x:v>
      </x:c>
      <x:c r="K163" s="258" t="str">
        <x:v>南方宝元债券A</x:v>
      </x:c>
      <x:c r="L163" s="263" t="n">
        <x:v>46206</x:v>
      </x:c>
      <x:c r="M163" s="261" t="n">
        <x:v>8.347</x:v>
      </x:c>
      <x:c r="N163" s="261" t="n">
        <x:f>IF(OR(L163&lt;$B$3,L163&gt;$D$3),"",IF(AND(J163=J162,N162&lt;&gt;""),MAX(M163,N162),M163))</x:f>
        <x:v>8.4202</x:v>
      </x:c>
      <x:c r="O163" s="262" t="n">
        <x:f>IF(N163="","",M163/N163-1)</x:f>
        <x:v>-0.008693380204745749</x:v>
      </x:c>
    </x:row>
    <x:row r="164">
      <x:c r="J164" s="257" t="str">
        <x:v>202101.OF</x:v>
      </x:c>
      <x:c r="K164" s="258" t="str">
        <x:v>南方宝元债券A</x:v>
      </x:c>
      <x:c r="L164" s="263" t="n">
        <x:v>46207</x:v>
      </x:c>
      <x:c r="M164" s="261" t="n">
        <x:v>8.347</x:v>
      </x:c>
      <x:c r="N164" s="261" t="n">
        <x:f>IF(OR(L164&lt;$B$3,L164&gt;$D$3),"",IF(AND(J164=J163,N163&lt;&gt;""),MAX(M164,N163),M164))</x:f>
        <x:v>8.4202</x:v>
      </x:c>
      <x:c r="O164" s="262" t="n">
        <x:f>IF(N164="","",M164/N164-1)</x:f>
        <x:v>-0.008693380204745749</x:v>
      </x:c>
    </x:row>
    <x:row r="165">
      <x:c r="J165" s="257" t="str">
        <x:v>202101.OF</x:v>
      </x:c>
      <x:c r="K165" s="258" t="str">
        <x:v>南方宝元债券A</x:v>
      </x:c>
      <x:c r="L165" s="263" t="n">
        <x:v>46208</x:v>
      </x:c>
      <x:c r="M165" s="261" t="n">
        <x:v>8.347</x:v>
      </x:c>
      <x:c r="N165" s="261" t="n">
        <x:f>IF(OR(L165&lt;$B$3,L165&gt;$D$3),"",IF(AND(J165=J164,N164&lt;&gt;""),MAX(M165,N164),M165))</x:f>
        <x:v>8.4202</x:v>
      </x:c>
      <x:c r="O165" s="262" t="n">
        <x:f>IF(N165="","",M165/N165-1)</x:f>
        <x:v>-0.008693380204745749</x:v>
      </x:c>
    </x:row>
    <x:row r="166">
      <x:c r="J166" s="257" t="str">
        <x:v>202101.OF</x:v>
      </x:c>
      <x:c r="K166" s="258" t="str">
        <x:v>南方宝元债券A</x:v>
      </x:c>
      <x:c r="L166" s="263" t="n">
        <x:v>46209</x:v>
      </x:c>
      <x:c r="M166" s="261" t="n">
        <x:v>8.3599</x:v>
      </x:c>
      <x:c r="N166" s="261" t="n">
        <x:f>IF(OR(L166&lt;$B$3,L166&gt;$D$3),"",IF(AND(J166=J165,N165&lt;&gt;""),MAX(M166,N165),M166))</x:f>
        <x:v>8.4202</x:v>
      </x:c>
      <x:c r="O166" s="262" t="n">
        <x:f>IF(N166="","",M166/N166-1)</x:f>
        <x:v>-0.007161350086696272</x:v>
      </x:c>
    </x:row>
    <x:row r="167">
      <x:c r="J167" s="257" t="str">
        <x:v>202101.OF</x:v>
      </x:c>
      <x:c r="K167" s="258" t="str">
        <x:v>南方宝元债券A</x:v>
      </x:c>
      <x:c r="L167" s="263" t="n">
        <x:v>46210</x:v>
      </x:c>
      <x:c r="M167" s="261" t="n">
        <x:v>8.3171</x:v>
      </x:c>
      <x:c r="N167" s="261" t="n">
        <x:f>IF(OR(L167&lt;$B$3,L167&gt;$D$3),"",IF(AND(J167=J166,N166&lt;&gt;""),MAX(M167,N166),M167))</x:f>
        <x:v>8.4202</x:v>
      </x:c>
      <x:c r="O167" s="262" t="n">
        <x:f>IF(N167="","",M167/N167-1)</x:f>
        <x:v>-0.012244364741930025</x:v>
      </x:c>
    </x:row>
    <x:row r="168">
      <x:c r="J168" s="257" t="str">
        <x:v>202101.OF</x:v>
      </x:c>
      <x:c r="K168" s="258" t="str">
        <x:v>南方宝元债券A</x:v>
      </x:c>
      <x:c r="L168" s="263" t="n">
        <x:v>46211</x:v>
      </x:c>
      <x:c r="M168" s="261" t="n">
        <x:v>8.2697</x:v>
      </x:c>
      <x:c r="N168" s="261" t="n">
        <x:f>IF(OR(L168&lt;$B$3,L168&gt;$D$3),"",IF(AND(J168=J167,N167&lt;&gt;""),MAX(M168,N167),M168))</x:f>
        <x:v>8.4202</x:v>
      </x:c>
      <x:c r="O168" s="262" t="n">
        <x:f>IF(N168="","",M168/N168-1)</x:f>
        <x:v>-0.01787368471057682</x:v>
      </x:c>
    </x:row>
    <x:row r="169">
      <x:c r="J169" s="257" t="str">
        <x:v>202101.OF</x:v>
      </x:c>
      <x:c r="K169" s="258" t="str">
        <x:v>南方宝元债券A</x:v>
      </x:c>
      <x:c r="L169" s="263" t="n">
        <x:v>46212</x:v>
      </x:c>
      <x:c r="M169" s="261" t="n">
        <x:v>8.2829</x:v>
      </x:c>
      <x:c r="N169" s="261" t="n">
        <x:f>IF(OR(L169&lt;$B$3,L169&gt;$D$3),"",IF(AND(J169=J168,N168&lt;&gt;""),MAX(M169,N168),M169))</x:f>
        <x:v>8.4202</x:v>
      </x:c>
      <x:c r="O169" s="262" t="n">
        <x:f>IF(N169="","",M169/N169-1)</x:f>
        <x:v>-0.01630602598513098</x:v>
      </x:c>
    </x:row>
    <x:row r="170">
      <x:c r="J170" s="257" t="str">
        <x:v>202101.OF</x:v>
      </x:c>
      <x:c r="K170" s="258" t="str">
        <x:v>南方宝元债券A</x:v>
      </x:c>
      <x:c r="L170" s="263" t="n">
        <x:v>46213</x:v>
      </x:c>
      <x:c r="M170" s="261" t="n">
        <x:v>8.2628</x:v>
      </x:c>
      <x:c r="N170" s="261" t="n">
        <x:f>IF(OR(L170&lt;$B$3,L170&gt;$D$3),"",IF(AND(J170=J169,N169&lt;&gt;""),MAX(M170,N169),M170))</x:f>
        <x:v>8.4202</x:v>
      </x:c>
      <x:c r="O170" s="262" t="n">
        <x:f>IF(N170="","",M170/N170-1)</x:f>
        <x:v>-0.01869314268069633</x:v>
      </x:c>
    </x:row>
    <x:row r="171">
      <x:c r="J171" s="257" t="str">
        <x:v>202101.OF</x:v>
      </x:c>
      <x:c r="K171" s="258" t="str">
        <x:v>南方宝元债券A</x:v>
      </x:c>
      <x:c r="L171" s="263" t="n">
        <x:v>46214</x:v>
      </x:c>
      <x:c r="M171" s="261" t="n">
        <x:v>8.2628</x:v>
      </x:c>
      <x:c r="N171" s="261" t="n">
        <x:f>IF(OR(L171&lt;$B$3,L171&gt;$D$3),"",IF(AND(J171=J170,N170&lt;&gt;""),MAX(M171,N170),M171))</x:f>
        <x:v>8.4202</x:v>
      </x:c>
      <x:c r="O171" s="262" t="n">
        <x:f>IF(N171="","",M171/N171-1)</x:f>
        <x:v>-0.01869314268069633</x:v>
      </x:c>
    </x:row>
    <x:row r="172">
      <x:c r="J172" s="257" t="str">
        <x:v>202101.OF</x:v>
      </x:c>
      <x:c r="K172" s="258" t="str">
        <x:v>南方宝元债券A</x:v>
      </x:c>
      <x:c r="L172" s="263" t="n">
        <x:v>46215</x:v>
      </x:c>
      <x:c r="M172" s="261" t="n">
        <x:v>8.2628</x:v>
      </x:c>
      <x:c r="N172" s="261" t="n">
        <x:f>IF(OR(L172&lt;$B$3,L172&gt;$D$3),"",IF(AND(J172=J171,N171&lt;&gt;""),MAX(M172,N171),M172))</x:f>
        <x:v>8.4202</x:v>
      </x:c>
      <x:c r="O172" s="262" t="n">
        <x:f>IF(N172="","",M172/N172-1)</x:f>
        <x:v>-0.01869314268069633</x:v>
      </x:c>
    </x:row>
    <x:row r="173">
      <x:c r="J173" s="257" t="str">
        <x:v>202101.OF</x:v>
      </x:c>
      <x:c r="K173" s="258" t="str">
        <x:v>南方宝元债券A</x:v>
      </x:c>
      <x:c r="L173" s="263" t="n">
        <x:v>46216</x:v>
      </x:c>
      <x:c r="M173" s="261" t="n">
        <x:v>8.2085</x:v>
      </x:c>
      <x:c r="N173" s="261" t="n">
        <x:f>IF(OR(L173&lt;$B$3,L173&gt;$D$3),"",IF(AND(J173=J172,N172&lt;&gt;""),MAX(M173,N172),M173))</x:f>
        <x:v>8.4202</x:v>
      </x:c>
      <x:c r="O173" s="262" t="n">
        <x:f>IF(N173="","",M173/N173-1)</x:f>
        <x:v>-0.02514192061946252</x:v>
      </x:c>
    </x:row>
    <x:row r="174">
      <x:c r="J174" s="257" t="str">
        <x:v>202101.OF</x:v>
      </x:c>
      <x:c r="K174" s="258" t="str">
        <x:v>南方宝元债券A</x:v>
      </x:c>
      <x:c r="L174" s="263" t="n">
        <x:v>46217</x:v>
      </x:c>
      <x:c r="M174" s="261" t="n">
        <x:v>8.2671</x:v>
      </x:c>
      <x:c r="N174" s="261" t="n">
        <x:f>IF(OR(L174&lt;$B$3,L174&gt;$D$3),"",IF(AND(J174=J173,N173&lt;&gt;""),MAX(M174,N173),M174))</x:f>
        <x:v>8.4202</x:v>
      </x:c>
      <x:c r="O174" s="262" t="n">
        <x:f>IF(N174="","",M174/N174-1)</x:f>
        <x:v>-0.018182465974679984</x:v>
      </x:c>
    </x:row>
    <x:row r="175">
      <x:c r="J175" s="257" t="str">
        <x:v>202101.OF</x:v>
      </x:c>
      <x:c r="K175" s="258" t="str">
        <x:v>南方宝元债券A</x:v>
      </x:c>
      <x:c r="L175" s="263" t="n">
        <x:v>46218</x:v>
      </x:c>
      <x:c r="M175" s="261" t="n">
        <x:v>8.2898</x:v>
      </x:c>
      <x:c r="N175" s="261" t="n">
        <x:f>IF(OR(L175&lt;$B$3,L175&gt;$D$3),"",IF(AND(J175=J174,N174&lt;&gt;""),MAX(M175,N174),M175))</x:f>
        <x:v>8.4202</x:v>
      </x:c>
      <x:c r="O175" s="262" t="n">
        <x:f>IF(N175="","",M175/N175-1)</x:f>
        <x:v>-0.01548656801501147</x:v>
      </x:c>
    </x:row>
    <x:row r="176">
      <x:c r="J176" s="257" t="str">
        <x:v>202101.OF</x:v>
      </x:c>
      <x:c r="K176" s="258" t="str">
        <x:v>南方宝元债券A</x:v>
      </x:c>
      <x:c r="L176" s="263" t="n">
        <x:v>46219</x:v>
      </x:c>
      <x:c r="M176" s="261" t="n">
        <x:v>8.259</x:v>
      </x:c>
      <x:c r="N176" s="261" t="n">
        <x:f>IF(OR(L176&lt;$B$3,L176&gt;$D$3),"",IF(AND(J176=J175,N175&lt;&gt;""),MAX(M176,N175),M176))</x:f>
        <x:v>8.4202</x:v>
      </x:c>
      <x:c r="O176" s="262" t="n">
        <x:f>IF(N176="","",M176/N176-1)</x:f>
        <x:v>-0.019144438374385286</x:v>
      </x:c>
    </x:row>
    <x:row r="177">
      <x:c r="J177" s="257" t="str">
        <x:v>202101.OF</x:v>
      </x:c>
      <x:c r="K177" s="258" t="str">
        <x:v>南方宝元债券A</x:v>
      </x:c>
      <x:c r="L177" s="263" t="n">
        <x:v>46220</x:v>
      </x:c>
      <x:c r="M177" s="261" t="n">
        <x:v>8.1981</x:v>
      </x:c>
      <x:c r="N177" s="261" t="n">
        <x:f>IF(OR(L177&lt;$B$3,L177&gt;$D$3),"",IF(AND(J177=J176,N176&lt;&gt;""),MAX(M177,N176),M177))</x:f>
        <x:v>8.4202</x:v>
      </x:c>
      <x:c r="O177" s="262" t="n">
        <x:f>IF(N177="","",M177/N177-1)</x:f>
        <x:v>-0.026377045675874622</x:v>
      </x:c>
    </x:row>
    <x:row r="178">
      <x:c r="J178" s="257" t="str">
        <x:v>202101.OF</x:v>
      </x:c>
      <x:c r="K178" s="258" t="str">
        <x:v>南方宝元债券A</x:v>
      </x:c>
      <x:c r="L178" s="263" t="n">
        <x:v>46221</x:v>
      </x:c>
      <x:c r="M178" s="261" t="n">
        <x:v>8.1981</x:v>
      </x:c>
      <x:c r="N178" s="261" t="n">
        <x:f>IF(OR(L178&lt;$B$3,L178&gt;$D$3),"",IF(AND(J178=J177,N177&lt;&gt;""),MAX(M178,N177),M178))</x:f>
        <x:v>8.4202</x:v>
      </x:c>
      <x:c r="O178" s="262" t="n">
        <x:f>IF(N178="","",M178/N178-1)</x:f>
        <x:v>-0.026377045675874622</x:v>
      </x:c>
    </x:row>
    <x:row r="179">
      <x:c r="J179" s="257" t="str">
        <x:v>202101.OF</x:v>
      </x:c>
      <x:c r="K179" s="258" t="str">
        <x:v>南方宝元债券A</x:v>
      </x:c>
      <x:c r="L179" s="263" t="n">
        <x:v>46222</x:v>
      </x:c>
      <x:c r="M179" s="261" t="n">
        <x:v>8.1981</x:v>
      </x:c>
      <x:c r="N179" s="261" t="n">
        <x:f>IF(OR(L179&lt;$B$3,L179&gt;$D$3),"",IF(AND(J179=J178,N178&lt;&gt;""),MAX(M179,N178),M179))</x:f>
        <x:v>8.4202</x:v>
      </x:c>
      <x:c r="O179" s="262" t="n">
        <x:f>IF(N179="","",M179/N179-1)</x:f>
        <x:v>-0.026377045675874622</x:v>
      </x:c>
    </x:row>
    <x:row r="180">
      <x:c r="J180" s="257" t="str">
        <x:v>202101.OF</x:v>
      </x:c>
      <x:c r="K180" s="258" t="str">
        <x:v>南方宝元债券A</x:v>
      </x:c>
      <x:c r="L180" s="263" t="n">
        <x:v>46223</x:v>
      </x:c>
      <x:c r="M180" s="261" t="n">
        <x:v>8.2406</x:v>
      </x:c>
      <x:c r="N180" s="261" t="n">
        <x:f>IF(OR(L180&lt;$B$3,L180&gt;$D$3),"",IF(AND(J180=J179,N179&lt;&gt;""),MAX(M180,N179),M180))</x:f>
        <x:v>8.4202</x:v>
      </x:c>
      <x:c r="O180" s="262" t="n">
        <x:f>IF(N180="","",M180/N180-1)</x:f>
        <x:v>-0.021329659628037234</x:v>
      </x:c>
    </x:row>
    <x:row r="181">
      <x:c r="J181" s="257" t="str">
        <x:v>202101.OF</x:v>
      </x:c>
      <x:c r="K181" s="258" t="str">
        <x:v>南方宝元债券A</x:v>
      </x:c>
      <x:c r="L181" s="263" t="n">
        <x:v>46224</x:v>
      </x:c>
      <x:c r="M181" s="261" t="n">
        <x:v>8.2852</x:v>
      </x:c>
      <x:c r="N181" s="261" t="n">
        <x:f>IF(OR(L181&lt;$B$3,L181&gt;$D$3),"",IF(AND(J181=J180,N180&lt;&gt;""),MAX(M181,N180),M181))</x:f>
        <x:v>8.4202</x:v>
      </x:c>
      <x:c r="O181" s="262" t="n">
        <x:f>IF(N181="","",M181/N181-1)</x:f>
        <x:v>-0.016032873328424513</x:v>
      </x:c>
    </x:row>
    <x:row r="182">
      <x:c r="J182" s="257" t="str">
        <x:v>202101.OF</x:v>
      </x:c>
      <x:c r="K182" s="258" t="str">
        <x:v>南方宝元债券A</x:v>
      </x:c>
      <x:c r="L182" s="263" t="n">
        <x:v>46225</x:v>
      </x:c>
      <x:c r="M182" s="261" t="n">
        <x:v>8.3013</x:v>
      </x:c>
      <x:c r="N182" s="261" t="n">
        <x:f>IF(OR(L182&lt;$B$3,L182&gt;$D$3),"",IF(AND(J182=J181,N181&lt;&gt;""),MAX(M182,N181),M182))</x:f>
        <x:v>8.4202</x:v>
      </x:c>
      <x:c r="O182" s="262" t="n">
        <x:f>IF(N182="","",M182/N182-1)</x:f>
        <x:v>-0.01412080473147903</x:v>
      </x:c>
    </x:row>
    <x:row r="183">
      <x:c r="J183" s="257" t="str">
        <x:v>202101.OF</x:v>
      </x:c>
      <x:c r="K183" s="258" t="str">
        <x:v>南方宝元债券A</x:v>
      </x:c>
      <x:c r="L183" s="263" t="n">
        <x:v>46226</x:v>
      </x:c>
      <x:c r="M183" s="261" t="n">
        <x:v>8.3303</x:v>
      </x:c>
      <x:c r="N183" s="261" t="n">
        <x:f>IF(OR(L183&lt;$B$3,L183&gt;$D$3),"",IF(AND(J183=J182,N182&lt;&gt;""),MAX(M183,N182),M183))</x:f>
        <x:v>8.4202</x:v>
      </x:c>
      <x:c r="O183" s="262" t="n">
        <x:f>IF(N183="","",M183/N183-1)</x:f>
        <x:v>-0.010676706016484183</x:v>
      </x:c>
    </x:row>
    <x:row r="184">
      <x:c r="J184" s="257" t="str">
        <x:v>202101.OF</x:v>
      </x:c>
      <x:c r="K184" s="258" t="str">
        <x:v>南方宝元债券A</x:v>
      </x:c>
      <x:c r="L184" s="263" t="n">
        <x:v>46227</x:v>
      </x:c>
      <x:c r="M184" s="261" t="n">
        <x:v>8.2728</x:v>
      </x:c>
      <x:c r="N184" s="261" t="n">
        <x:f>IF(OR(L184&lt;$B$3,L184&gt;$D$3),"",IF(AND(J184=J183,N183&lt;&gt;""),MAX(M184,N183),M184))</x:f>
        <x:v>8.4202</x:v>
      </x:c>
      <x:c r="O184" s="262" t="n">
        <x:f>IF(N184="","",M184/N184-1)</x:f>
        <x:v>-0.01750552243414638</x:v>
      </x:c>
    </x:row>
    <x:row r="185">
      <x:c r="J185" s="257" t="str">
        <x:v>202101.OF</x:v>
      </x:c>
      <x:c r="K185" s="258" t="str">
        <x:v>南方宝元债券A</x:v>
      </x:c>
      <x:c r="L185" s="263" t="n">
        <x:v>46228</x:v>
      </x:c>
      <x:c r="M185" s="261" t="n">
        <x:v>8.2728</x:v>
      </x:c>
      <x:c r="N185" s="261" t="n">
        <x:f>IF(OR(L185&lt;$B$3,L185&gt;$D$3),"",IF(AND(J185=J184,N184&lt;&gt;""),MAX(M185,N184),M185))</x:f>
        <x:v>8.4202</x:v>
      </x:c>
      <x:c r="O185" s="262" t="n">
        <x:f>IF(N185="","",M185/N185-1)</x:f>
        <x:v>-0.01750552243414638</x:v>
      </x:c>
    </x:row>
    <x:row r="186">
      <x:c r="J186" s="257" t="str">
        <x:v>202101.OF</x:v>
      </x:c>
      <x:c r="K186" s="258" t="str">
        <x:v>南方宝元债券A</x:v>
      </x:c>
      <x:c r="L186" s="263" t="n">
        <x:v>46229</x:v>
      </x:c>
      <x:c r="M186" s="261" t="n">
        <x:v>8.2728</x:v>
      </x:c>
      <x:c r="N186" s="261" t="n">
        <x:f>IF(OR(L186&lt;$B$3,L186&gt;$D$3),"",IF(AND(J186=J185,N185&lt;&gt;""),MAX(M186,N185),M186))</x:f>
        <x:v>8.4202</x:v>
      </x:c>
      <x:c r="O186" s="262" t="n">
        <x:f>IF(N186="","",M186/N186-1)</x:f>
        <x:v>-0.01750552243414638</x:v>
      </x:c>
    </x:row>
    <x:row r="187">
      <x:c r="J187" s="257" t="str">
        <x:v>202101.OF</x:v>
      </x:c>
      <x:c r="K187" s="258" t="str">
        <x:v>南方宝元债券A</x:v>
      </x:c>
      <x:c r="L187" s="263" t="n">
        <x:v>46230</x:v>
      </x:c>
      <x:c r="M187" s="261" t="n">
        <x:v>8.3113</x:v>
      </x:c>
      <x:c r="N187" s="261" t="n">
        <x:f>IF(OR(L187&lt;$B$3,L187&gt;$D$3),"",IF(AND(J187=J186,N186&lt;&gt;""),MAX(M187,N186),M187))</x:f>
        <x:v>8.4202</x:v>
      </x:c>
      <x:c r="O187" s="262" t="n">
        <x:f>IF(N187="","",M187/N187-1)</x:f>
        <x:v>-0.012933184484929083</x:v>
      </x:c>
    </x:row>
    <x:row r="188">
      <x:c r="J188" s="257" t="str">
        <x:v>202101.OF</x:v>
      </x:c>
      <x:c r="K188" s="258" t="str">
        <x:v>南方宝元债券A</x:v>
      </x:c>
      <x:c r="L188" s="263" t="n">
        <x:v>46231</x:v>
      </x:c>
      <x:c r="M188" s="261" t="n">
        <x:v>8.286</x:v>
      </x:c>
      <x:c r="N188" s="261" t="n">
        <x:f>IF(OR(L188&lt;$B$3,L188&gt;$D$3),"",IF(AND(J188=J187,N187&lt;&gt;""),MAX(M188,N187),M188))</x:f>
        <x:v>8.4202</x:v>
      </x:c>
      <x:c r="O188" s="262" t="n">
        <x:f>IF(N188="","",M188/N188-1)</x:f>
        <x:v>-0.01593786370870054</x:v>
      </x:c>
    </x:row>
    <x:row r="189">
      <x:c r="J189" s="257" t="str">
        <x:v>202101.OF</x:v>
      </x:c>
      <x:c r="K189" s="258" t="str">
        <x:v>南方宝元债券A</x:v>
      </x:c>
      <x:c r="L189" s="263" t="n">
        <x:v>46232</x:v>
      </x:c>
      <x:c r="M189" s="261" t="n">
        <x:v>8.3317</x:v>
      </x:c>
      <x:c r="N189" s="261" t="n">
        <x:f>IF(OR(L189&lt;$B$3,L189&gt;$D$3),"",IF(AND(J189=J188,N188&lt;&gt;""),MAX(M189,N188),M189))</x:f>
        <x:v>8.4202</x:v>
      </x:c>
      <x:c r="O189" s="262" t="n">
        <x:f>IF(N189="","",M189/N189-1)</x:f>
        <x:v>-0.010510439181967146</x:v>
      </x:c>
    </x:row>
    <x:row r="190">
      <x:c r="J190" s="257" t="str">
        <x:v>202101.OF</x:v>
      </x:c>
      <x:c r="K190" s="258" t="str">
        <x:v>南方宝元债券A</x:v>
      </x:c>
      <x:c r="L190" s="263" t="n">
        <x:v>46233</x:v>
      </x:c>
      <x:c r="M190" s="261" t="n">
        <x:v>8.3352</x:v>
      </x:c>
      <x:c r="N190" s="261" t="n">
        <x:f>IF(OR(L190&lt;$B$3,L190&gt;$D$3),"",IF(AND(J190=J189,N189&lt;&gt;""),MAX(M190,N189),M190))</x:f>
        <x:v>8.4202</x:v>
      </x:c>
      <x:c r="O190" s="262" t="n">
        <x:f>IF(N190="","",M190/N190-1)</x:f>
        <x:v>-0.010094772095674553</x:v>
      </x:c>
    </x:row>
    <x:row r="191">
      <x:c r="J191" s="257" t="str">
        <x:v>202101.OF</x:v>
      </x:c>
      <x:c r="K191" s="258" t="str">
        <x:v>南方宝元债券A</x:v>
      </x:c>
      <x:c r="L191" s="263" t="n">
        <x:v>46234</x:v>
      </x:c>
      <x:c r="M191" s="261" t="n">
        <x:v>8.3383</x:v>
      </x:c>
      <x:c r="N191" s="261" t="n">
        <x:f>IF(OR(L191&lt;$B$3,L191&gt;$D$3),"",IF(AND(J191=J190,N190&lt;&gt;""),MAX(M191,N190),M191))</x:f>
        <x:v>8.4202</x:v>
      </x:c>
      <x:c r="O191" s="262" t="n">
        <x:f>IF(N191="","",M191/N191-1)</x:f>
        <x:v>-0.009726609819244114</x:v>
      </x:c>
    </x:row>
    <x:row r="192">
      <x:c r="J192" s="257" t="str">
        <x:v>202101.OF</x:v>
      </x:c>
      <x:c r="K192" s="258" t="str">
        <x:v>南方宝元债券A</x:v>
      </x:c>
      <x:c r="L192" s="263" t="n">
        <x:v>46235</x:v>
      </x:c>
      <x:c r="M192" s="261" t="n">
        <x:v>8.3383</x:v>
      </x:c>
      <x:c r="N192" s="261" t="n">
        <x:f>IF(OR(L192&lt;$B$3,L192&gt;$D$3),"",IF(AND(J192=J191,N191&lt;&gt;""),MAX(M192,N191),M192))</x:f>
        <x:v>8.4202</x:v>
      </x:c>
      <x:c r="O192" s="262" t="n">
        <x:f>IF(N192="","",M192/N192-1)</x:f>
        <x:v>-0.009726609819244114</x:v>
      </x:c>
    </x:row>
    <x:row r="193">
      <x:c r="J193" s="257" t="str">
        <x:v>202101.OF</x:v>
      </x:c>
      <x:c r="K193" s="258" t="str">
        <x:v>南方宝元债券A</x:v>
      </x:c>
      <x:c r="L193" s="263" t="n">
        <x:v>46236</x:v>
      </x:c>
      <x:c r="M193" s="261" t="n">
        <x:v>8.3383</x:v>
      </x:c>
      <x:c r="N193" s="261" t="n">
        <x:f>IF(OR(L193&lt;$B$3,L193&gt;$D$3),"",IF(AND(J193=J192,N192&lt;&gt;""),MAX(M193,N192),M193))</x:f>
        <x:v>8.4202</x:v>
      </x:c>
      <x:c r="O193" s="262" t="n">
        <x:f>IF(N193="","",M193/N193-1)</x:f>
        <x:v>-0.009726609819244114</x:v>
      </x:c>
    </x:row>
    <x:row r="194">
      <x:c r="J194" s="257" t="str">
        <x:v>202101.OF</x:v>
      </x:c>
      <x:c r="K194" s="258" t="str">
        <x:v>南方宝元债券A</x:v>
      </x:c>
      <x:c r="L194" s="263" t="n">
        <x:v>46237</x:v>
      </x:c>
      <x:c r="M194" s="261" t="n">
        <x:v>8.3245</x:v>
      </x:c>
      <x:c r="N194" s="261" t="n">
        <x:f>IF(OR(L194&lt;$B$3,L194&gt;$D$3),"",IF(AND(J194=J193,N193&lt;&gt;""),MAX(M194,N193),M194))</x:f>
        <x:v>8.4202</x:v>
      </x:c>
      <x:c r="O194" s="262" t="n">
        <x:f>IF(N194="","",M194/N194-1)</x:f>
        <x:v>-0.01136552575948302</x:v>
      </x:c>
    </x:row>
    <x:row r="195">
      <x:c r="J195" s="257" t="str">
        <x:v>202101.OF</x:v>
      </x:c>
      <x:c r="K195" s="258" t="str">
        <x:v>南方宝元债券A</x:v>
      </x:c>
      <x:c r="L195" s="263" t="n">
        <x:v>46238</x:v>
      </x:c>
      <x:c r="M195" s="261" t="n">
        <x:v>8.324</x:v>
      </x:c>
      <x:c r="N195" s="261" t="n">
        <x:f>IF(OR(L195&lt;$B$3,L195&gt;$D$3),"",IF(AND(J195=J194,N194&lt;&gt;""),MAX(M195,N194),M195))</x:f>
        <x:v>8.4202</x:v>
      </x:c>
      <x:c r="O195" s="262" t="n">
        <x:f>IF(N195="","",M195/N195-1)</x:f>
        <x:v>-0.011424906771810628</x:v>
      </x:c>
    </x:row>
    <x:row r="196">
      <x:c r="J196" s="257" t="str">
        <x:v>202101.OF</x:v>
      </x:c>
      <x:c r="K196" s="258" t="str">
        <x:v>南方宝元债券A</x:v>
      </x:c>
      <x:c r="L196" s="263" t="n">
        <x:v>46239</x:v>
      </x:c>
      <x:c r="M196" s="261" t="n">
        <x:v>8.3564</x:v>
      </x:c>
      <x:c r="N196" s="261" t="n">
        <x:f>IF(OR(L196&lt;$B$3,L196&gt;$D$3),"",IF(AND(J196=J195,N195&lt;&gt;""),MAX(M196,N195),M196))</x:f>
        <x:v>8.4202</x:v>
      </x:c>
      <x:c r="O196" s="262" t="n">
        <x:f>IF(N196="","",M196/N196-1)</x:f>
        <x:v>-0.007577017172988643</x:v>
      </x:c>
    </x:row>
    <x:row r="197">
      <x:c r="J197" s="257" t="str">
        <x:v>202101.OF</x:v>
      </x:c>
      <x:c r="K197" s="258" t="str">
        <x:v>南方宝元债券A</x:v>
      </x:c>
      <x:c r="L197" s="263" t="n">
        <x:v>46240</x:v>
      </x:c>
      <x:c r="M197" s="261" t="n">
        <x:v>8.3395</x:v>
      </x:c>
      <x:c r="N197" s="261" t="n">
        <x:f>IF(OR(L197&lt;$B$3,L197&gt;$D$3),"",IF(AND(J197=J196,N196&lt;&gt;""),MAX(M197,N196),M197))</x:f>
        <x:v>8.4202</x:v>
      </x:c>
      <x:c r="O197" s="262" t="n">
        <x:f>IF(N197="","",M197/N197-1)</x:f>
        <x:v>-0.00958409538965821</x:v>
      </x:c>
    </x:row>
    <x:row r="198">
      <x:c r="J198" s="257" t="str">
        <x:v>202101.OF</x:v>
      </x:c>
      <x:c r="K198" s="258" t="str">
        <x:v>南方宝元债券A</x:v>
      </x:c>
      <x:c r="L198" s="263" t="n">
        <x:v>46241</x:v>
      </x:c>
      <x:c r="M198" s="261" t="n">
        <x:v>8.3573</x:v>
      </x:c>
      <x:c r="N198" s="261" t="n">
        <x:f>IF(OR(L198&lt;$B$3,L198&gt;$D$3),"",IF(AND(J198=J197,N197&lt;&gt;""),MAX(M198,N197),M198))</x:f>
        <x:v>8.4202</x:v>
      </x:c>
      <x:c r="O198" s="262" t="n">
        <x:f>IF(N198="","",M198/N198-1)</x:f>
        <x:v>-0.007470131350799103</x:v>
      </x:c>
    </x:row>
    <x:row r="199">
      <x:c r="J199" s="257" t="str">
        <x:v>202101.OF</x:v>
      </x:c>
      <x:c r="K199" s="258" t="str">
        <x:v>南方宝元债券A</x:v>
      </x:c>
      <x:c r="L199" s="263" t="n">
        <x:v>46242</x:v>
      </x:c>
      <x:c r="M199" s="261" t="n">
        <x:v>8.3573</x:v>
      </x:c>
      <x:c r="N199" s="261" t="n">
        <x:f>IF(OR(L199&lt;$B$3,L199&gt;$D$3),"",IF(AND(J199=J198,N198&lt;&gt;""),MAX(M199,N198),M199))</x:f>
        <x:v>8.4202</x:v>
      </x:c>
      <x:c r="O199" s="262" t="n">
        <x:f>IF(N199="","",M199/N199-1)</x:f>
        <x:v>-0.007470131350799103</x:v>
      </x:c>
    </x:row>
    <x:row r="200">
      <x:c r="J200" s="257" t="str">
        <x:v>202101.OF</x:v>
      </x:c>
      <x:c r="K200" s="258" t="str">
        <x:v>南方宝元债券A</x:v>
      </x:c>
      <x:c r="L200" s="263" t="n">
        <x:v>46243</x:v>
      </x:c>
      <x:c r="M200" s="261" t="n">
        <x:v>8.3573</x:v>
      </x:c>
      <x:c r="N200" s="261" t="n">
        <x:f>IF(OR(L200&lt;$B$3,L200&gt;$D$3),"",IF(AND(J200=J199,N199&lt;&gt;""),MAX(M200,N199),M200))</x:f>
        <x:v>8.4202</x:v>
      </x:c>
      <x:c r="O200" s="262" t="n">
        <x:f>IF(N200="","",M200/N200-1)</x:f>
        <x:v>-0.007470131350799103</x:v>
      </x:c>
    </x:row>
    <x:row r="201">
      <x:c r="J201" s="257" t="str">
        <x:v>202101.OF</x:v>
      </x:c>
      <x:c r="K201" s="258" t="str">
        <x:v>南方宝元债券A</x:v>
      </x:c>
      <x:c r="L201" s="263" t="n">
        <x:v>46244</x:v>
      </x:c>
      <x:c r="M201" s="261" t="n">
        <x:v>8.3829</x:v>
      </x:c>
      <x:c r="N201" s="261" t="n">
        <x:f>IF(OR(L201&lt;$B$3,L201&gt;$D$3),"",IF(AND(J201=J200,N200&lt;&gt;""),MAX(M201,N200),M201))</x:f>
        <x:v>8.4202</x:v>
      </x:c>
      <x:c r="O201" s="262" t="n">
        <x:f>IF(N201="","",M201/N201-1)</x:f>
        <x:v>-0.004429823519631393</x:v>
      </x:c>
    </x:row>
    <x:row r="202">
      <x:c r="J202" s="257" t="str">
        <x:v>470010.OF</x:v>
      </x:c>
      <x:c r="K202" s="258" t="str">
        <x:v>汇添富多元收益债券A</x:v>
      </x:c>
      <x:c r="L202" s="263" t="n">
        <x:v>46191</x:v>
      </x:c>
      <x:c r="M202" s="261" t="n">
        <x:v>2.8709</x:v>
      </x:c>
      <x:c r="N202" s="261" t="n">
        <x:f>IF(OR(L202&lt;$B$3,L202&gt;$D$3),"",IF(AND(J202=J201,N201&lt;&gt;""),MAX(M202,N201),M202))</x:f>
        <x:v>2.8709</x:v>
      </x:c>
      <x:c r="O202" s="262" t="n">
        <x:f>IF(N202="","",M202/N202-1)</x:f>
        <x:v>0</x:v>
      </x:c>
    </x:row>
    <x:row r="203">
      <x:c r="J203" s="257" t="str">
        <x:v>470010.OF</x:v>
      </x:c>
      <x:c r="K203" s="258" t="str">
        <x:v>汇添富多元收益债券A</x:v>
      </x:c>
      <x:c r="L203" s="263" t="n">
        <x:v>46192</x:v>
      </x:c>
      <x:c r="M203" s="261" t="n">
        <x:v>2.8709</x:v>
      </x:c>
      <x:c r="N203" s="261" t="n">
        <x:f>IF(OR(L203&lt;$B$3,L203&gt;$D$3),"",IF(AND(J203=J202,N202&lt;&gt;""),MAX(M203,N202),M203))</x:f>
        <x:v>2.8709</x:v>
      </x:c>
      <x:c r="O203" s="262" t="n">
        <x:f>IF(N203="","",M203/N203-1)</x:f>
        <x:v>0</x:v>
      </x:c>
    </x:row>
    <x:row r="204">
      <x:c r="J204" s="257" t="str">
        <x:v>470010.OF</x:v>
      </x:c>
      <x:c r="K204" s="258" t="str">
        <x:v>汇添富多元收益债券A</x:v>
      </x:c>
      <x:c r="L204" s="263" t="n">
        <x:v>46193</x:v>
      </x:c>
      <x:c r="M204" s="261" t="n">
        <x:v>2.8709</x:v>
      </x:c>
      <x:c r="N204" s="261" t="n">
        <x:f>IF(OR(L204&lt;$B$3,L204&gt;$D$3),"",IF(AND(J204=J203,N203&lt;&gt;""),MAX(M204,N203),M204))</x:f>
        <x:v>2.8709</x:v>
      </x:c>
      <x:c r="O204" s="262" t="n">
        <x:f>IF(N204="","",M204/N204-1)</x:f>
        <x:v>0</x:v>
      </x:c>
    </x:row>
    <x:row r="205">
      <x:c r="J205" s="257" t="str">
        <x:v>470010.OF</x:v>
      </x:c>
      <x:c r="K205" s="258" t="str">
        <x:v>汇添富多元收益债券A</x:v>
      </x:c>
      <x:c r="L205" s="263" t="n">
        <x:v>46194</x:v>
      </x:c>
      <x:c r="M205" s="261" t="n">
        <x:v>2.8709</x:v>
      </x:c>
      <x:c r="N205" s="261" t="n">
        <x:f>IF(OR(L205&lt;$B$3,L205&gt;$D$3),"",IF(AND(J205=J204,N204&lt;&gt;""),MAX(M205,N204),M205))</x:f>
        <x:v>2.8709</x:v>
      </x:c>
      <x:c r="O205" s="262" t="n">
        <x:f>IF(N205="","",M205/N205-1)</x:f>
        <x:v>0</x:v>
      </x:c>
    </x:row>
    <x:row r="206">
      <x:c r="J206" s="257" t="str">
        <x:v>470010.OF</x:v>
      </x:c>
      <x:c r="K206" s="258" t="str">
        <x:v>汇添富多元收益债券A</x:v>
      </x:c>
      <x:c r="L206" s="263" t="n">
        <x:v>46195</x:v>
      </x:c>
      <x:c r="M206" s="261" t="n">
        <x:v>2.8756</x:v>
      </x:c>
      <x:c r="N206" s="261" t="n">
        <x:f>IF(OR(L206&lt;$B$3,L206&gt;$D$3),"",IF(AND(J206=J205,N205&lt;&gt;""),MAX(M206,N205),M206))</x:f>
        <x:v>2.8756</x:v>
      </x:c>
      <x:c r="O206" s="262" t="n">
        <x:f>IF(N206="","",M206/N206-1)</x:f>
        <x:v>0</x:v>
      </x:c>
    </x:row>
    <x:row r="207">
      <x:c r="J207" s="257" t="str">
        <x:v>470010.OF</x:v>
      </x:c>
      <x:c r="K207" s="258" t="str">
        <x:v>汇添富多元收益债券A</x:v>
      </x:c>
      <x:c r="L207" s="263" t="n">
        <x:v>46196</x:v>
      </x:c>
      <x:c r="M207" s="261" t="n">
        <x:v>2.8587</x:v>
      </x:c>
      <x:c r="N207" s="261" t="n">
        <x:f>IF(OR(L207&lt;$B$3,L207&gt;$D$3),"",IF(AND(J207=J206,N206&lt;&gt;""),MAX(M207,N206),M207))</x:f>
        <x:v>2.8756</x:v>
      </x:c>
      <x:c r="O207" s="262" t="n">
        <x:f>IF(N207="","",M207/N207-1)</x:f>
        <x:v>-0.005877034358047095</x:v>
      </x:c>
    </x:row>
    <x:row r="208">
      <x:c r="J208" s="257" t="str">
        <x:v>470010.OF</x:v>
      </x:c>
      <x:c r="K208" s="258" t="str">
        <x:v>汇添富多元收益债券A</x:v>
      </x:c>
      <x:c r="L208" s="263" t="n">
        <x:v>46197</x:v>
      </x:c>
      <x:c r="M208" s="261" t="n">
        <x:v>2.8777</x:v>
      </x:c>
      <x:c r="N208" s="261" t="n">
        <x:f>IF(OR(L208&lt;$B$3,L208&gt;$D$3),"",IF(AND(J208=J207,N207&lt;&gt;""),MAX(M208,N207),M208))</x:f>
        <x:v>2.8777</x:v>
      </x:c>
      <x:c r="O208" s="262" t="n">
        <x:f>IF(N208="","",M208/N208-1)</x:f>
        <x:v>0</x:v>
      </x:c>
    </x:row>
    <x:row r="209">
      <x:c r="J209" s="257" t="str">
        <x:v>470010.OF</x:v>
      </x:c>
      <x:c r="K209" s="258" t="str">
        <x:v>汇添富多元收益债券A</x:v>
      </x:c>
      <x:c r="L209" s="263" t="n">
        <x:v>46198</x:v>
      </x:c>
      <x:c r="M209" s="261" t="n">
        <x:v>2.8926</x:v>
      </x:c>
      <x:c r="N209" s="261" t="n">
        <x:f>IF(OR(L209&lt;$B$3,L209&gt;$D$3),"",IF(AND(J209=J208,N208&lt;&gt;""),MAX(M209,N208),M209))</x:f>
        <x:v>2.8926</x:v>
      </x:c>
      <x:c r="O209" s="262" t="n">
        <x:f>IF(N209="","",M209/N209-1)</x:f>
        <x:v>0</x:v>
      </x:c>
    </x:row>
    <x:row r="210">
      <x:c r="J210" s="257" t="str">
        <x:v>470010.OF</x:v>
      </x:c>
      <x:c r="K210" s="258" t="str">
        <x:v>汇添富多元收益债券A</x:v>
      </x:c>
      <x:c r="L210" s="263" t="n">
        <x:v>46199</x:v>
      </x:c>
      <x:c r="M210" s="261" t="n">
        <x:v>2.8887</x:v>
      </x:c>
      <x:c r="N210" s="261" t="n">
        <x:f>IF(OR(L210&lt;$B$3,L210&gt;$D$3),"",IF(AND(J210=J209,N209&lt;&gt;""),MAX(M210,N209),M210))</x:f>
        <x:v>2.8926</x:v>
      </x:c>
      <x:c r="O210" s="262" t="n">
        <x:f>IF(N210="","",M210/N210-1)</x:f>
        <x:v>-0.001348267994191965</x:v>
      </x:c>
    </x:row>
    <x:row r="211">
      <x:c r="J211" s="257" t="str">
        <x:v>470010.OF</x:v>
      </x:c>
      <x:c r="K211" s="258" t="str">
        <x:v>汇添富多元收益债券A</x:v>
      </x:c>
      <x:c r="L211" s="263" t="n">
        <x:v>46200</x:v>
      </x:c>
      <x:c r="M211" s="261" t="n">
        <x:v>2.8887</x:v>
      </x:c>
      <x:c r="N211" s="261" t="n">
        <x:f>IF(OR(L211&lt;$B$3,L211&gt;$D$3),"",IF(AND(J211=J210,N210&lt;&gt;""),MAX(M211,N210),M211))</x:f>
        <x:v>2.8926</x:v>
      </x:c>
      <x:c r="O211" s="262" t="n">
        <x:f>IF(N211="","",M211/N211-1)</x:f>
        <x:v>-0.001348267994191965</x:v>
      </x:c>
    </x:row>
    <x:row r="212">
      <x:c r="J212" s="257" t="str">
        <x:v>470010.OF</x:v>
      </x:c>
      <x:c r="K212" s="258" t="str">
        <x:v>汇添富多元收益债券A</x:v>
      </x:c>
      <x:c r="L212" s="263" t="n">
        <x:v>46201</x:v>
      </x:c>
      <x:c r="M212" s="261" t="n">
        <x:v>2.8887</x:v>
      </x:c>
      <x:c r="N212" s="261" t="n">
        <x:f>IF(OR(L212&lt;$B$3,L212&gt;$D$3),"",IF(AND(J212=J211,N211&lt;&gt;""),MAX(M212,N211),M212))</x:f>
        <x:v>2.8926</x:v>
      </x:c>
      <x:c r="O212" s="262" t="n">
        <x:f>IF(N212="","",M212/N212-1)</x:f>
        <x:v>-0.001348267994191965</x:v>
      </x:c>
    </x:row>
    <x:row r="213">
      <x:c r="J213" s="257" t="str">
        <x:v>470010.OF</x:v>
      </x:c>
      <x:c r="K213" s="258" t="str">
        <x:v>汇添富多元收益债券A</x:v>
      </x:c>
      <x:c r="L213" s="263" t="n">
        <x:v>46202</x:v>
      </x:c>
      <x:c r="M213" s="261" t="n">
        <x:v>2.897</x:v>
      </x:c>
      <x:c r="N213" s="261" t="n">
        <x:f>IF(OR(L213&lt;$B$3,L213&gt;$D$3),"",IF(AND(J213=J212,N212&lt;&gt;""),MAX(M213,N212),M213))</x:f>
        <x:v>2.897</x:v>
      </x:c>
      <x:c r="O213" s="262" t="n">
        <x:f>IF(N213="","",M213/N213-1)</x:f>
        <x:v>0</x:v>
      </x:c>
    </x:row>
    <x:row r="214">
      <x:c r="J214" s="257" t="str">
        <x:v>470010.OF</x:v>
      </x:c>
      <x:c r="K214" s="258" t="str">
        <x:v>汇添富多元收益债券A</x:v>
      </x:c>
      <x:c r="L214" s="263" t="n">
        <x:v>46203</x:v>
      </x:c>
      <x:c r="M214" s="261" t="n">
        <x:v>2.9091</x:v>
      </x:c>
      <x:c r="N214" s="261" t="n">
        <x:f>IF(OR(L214&lt;$B$3,L214&gt;$D$3),"",IF(AND(J214=J213,N213&lt;&gt;""),MAX(M214,N213),M214))</x:f>
        <x:v>2.9091</x:v>
      </x:c>
      <x:c r="O214" s="262" t="n">
        <x:f>IF(N214="","",M214/N214-1)</x:f>
        <x:v>0</x:v>
      </x:c>
    </x:row>
    <x:row r="215">
      <x:c r="J215" s="257" t="str">
        <x:v>470010.OF</x:v>
      </x:c>
      <x:c r="K215" s="258" t="str">
        <x:v>汇添富多元收益债券A</x:v>
      </x:c>
      <x:c r="L215" s="263" t="n">
        <x:v>46204</x:v>
      </x:c>
      <x:c r="M215" s="261" t="n">
        <x:v>2.8931</x:v>
      </x:c>
      <x:c r="N215" s="261" t="n">
        <x:f>IF(OR(L215&lt;$B$3,L215&gt;$D$3),"",IF(AND(J215=J214,N214&lt;&gt;""),MAX(M215,N214),M215))</x:f>
        <x:v>2.9091</x:v>
      </x:c>
      <x:c r="O215" s="262" t="n">
        <x:f>IF(N215="","",M215/N215-1)</x:f>
        <x:v>-0.005499982812553705</x:v>
      </x:c>
    </x:row>
    <x:row r="216">
      <x:c r="J216" s="257" t="str">
        <x:v>470010.OF</x:v>
      </x:c>
      <x:c r="K216" s="258" t="str">
        <x:v>汇添富多元收益债券A</x:v>
      </x:c>
      <x:c r="L216" s="263" t="n">
        <x:v>46205</x:v>
      </x:c>
      <x:c r="M216" s="261" t="n">
        <x:v>2.8521</x:v>
      </x:c>
      <x:c r="N216" s="261" t="n">
        <x:f>IF(OR(L216&lt;$B$3,L216&gt;$D$3),"",IF(AND(J216=J215,N215&lt;&gt;""),MAX(M216,N215),M216))</x:f>
        <x:v>2.9091</x:v>
      </x:c>
      <x:c r="O216" s="262" t="n">
        <x:f>IF(N216="","",M216/N216-1)</x:f>
        <x:v>-0.01959368876972256</x:v>
      </x:c>
    </x:row>
    <x:row r="217">
      <x:c r="J217" s="257" t="str">
        <x:v>470010.OF</x:v>
      </x:c>
      <x:c r="K217" s="258" t="str">
        <x:v>汇添富多元收益债券A</x:v>
      </x:c>
      <x:c r="L217" s="263" t="n">
        <x:v>46206</x:v>
      </x:c>
      <x:c r="M217" s="261" t="n">
        <x:v>2.8563</x:v>
      </x:c>
      <x:c r="N217" s="261" t="n">
        <x:f>IF(OR(L217&lt;$B$3,L217&gt;$D$3),"",IF(AND(J217=J216,N216&lt;&gt;""),MAX(M217,N216),M217))</x:f>
        <x:v>2.9091</x:v>
      </x:c>
      <x:c r="O217" s="262" t="n">
        <x:f>IF(N217="","",M217/N217-1)</x:f>
        <x:v>-0.018149943281427272</x:v>
      </x:c>
    </x:row>
    <x:row r="218">
      <x:c r="J218" s="257" t="str">
        <x:v>470010.OF</x:v>
      </x:c>
      <x:c r="K218" s="258" t="str">
        <x:v>汇添富多元收益债券A</x:v>
      </x:c>
      <x:c r="L218" s="263" t="n">
        <x:v>46207</x:v>
      </x:c>
      <x:c r="M218" s="261" t="n">
        <x:v>2.8563</x:v>
      </x:c>
      <x:c r="N218" s="261" t="n">
        <x:f>IF(OR(L218&lt;$B$3,L218&gt;$D$3),"",IF(AND(J218=J217,N217&lt;&gt;""),MAX(M218,N217),M218))</x:f>
        <x:v>2.9091</x:v>
      </x:c>
      <x:c r="O218" s="262" t="n">
        <x:f>IF(N218="","",M218/N218-1)</x:f>
        <x:v>-0.018149943281427272</x:v>
      </x:c>
    </x:row>
    <x:row r="219">
      <x:c r="J219" s="257" t="str">
        <x:v>470010.OF</x:v>
      </x:c>
      <x:c r="K219" s="258" t="str">
        <x:v>汇添富多元收益债券A</x:v>
      </x:c>
      <x:c r="L219" s="263" t="n">
        <x:v>46208</x:v>
      </x:c>
      <x:c r="M219" s="261" t="n">
        <x:v>2.8563</x:v>
      </x:c>
      <x:c r="N219" s="261" t="n">
        <x:f>IF(OR(L219&lt;$B$3,L219&gt;$D$3),"",IF(AND(J219=J218,N218&lt;&gt;""),MAX(M219,N218),M219))</x:f>
        <x:v>2.9091</x:v>
      </x:c>
      <x:c r="O219" s="262" t="n">
        <x:f>IF(N219="","",M219/N219-1)</x:f>
        <x:v>-0.018149943281427272</x:v>
      </x:c>
    </x:row>
    <x:row r="220">
      <x:c r="J220" s="257" t="str">
        <x:v>470010.OF</x:v>
      </x:c>
      <x:c r="K220" s="258" t="str">
        <x:v>汇添富多元收益债券A</x:v>
      </x:c>
      <x:c r="L220" s="263" t="n">
        <x:v>46209</x:v>
      </x:c>
      <x:c r="M220" s="261" t="n">
        <x:v>2.8455</x:v>
      </x:c>
      <x:c r="N220" s="261" t="n">
        <x:f>IF(OR(L220&lt;$B$3,L220&gt;$D$3),"",IF(AND(J220=J219,N219&lt;&gt;""),MAX(M220,N219),M220))</x:f>
        <x:v>2.9091</x:v>
      </x:c>
      <x:c r="O220" s="262" t="n">
        <x:f>IF(N220="","",M220/N220-1)</x:f>
        <x:v>-0.021862431679900984</x:v>
      </x:c>
    </x:row>
    <x:row r="221">
      <x:c r="J221" s="257" t="str">
        <x:v>470010.OF</x:v>
      </x:c>
      <x:c r="K221" s="258" t="str">
        <x:v>汇添富多元收益债券A</x:v>
      </x:c>
      <x:c r="L221" s="263" t="n">
        <x:v>46210</x:v>
      </x:c>
      <x:c r="M221" s="261" t="n">
        <x:v>2.8433</x:v>
      </x:c>
      <x:c r="N221" s="261" t="n">
        <x:f>IF(OR(L221&lt;$B$3,L221&gt;$D$3),"",IF(AND(J221=J220,N220&lt;&gt;""),MAX(M221,N220),M221))</x:f>
        <x:v>2.9091</x:v>
      </x:c>
      <x:c r="O221" s="262" t="n">
        <x:f>IF(N221="","",M221/N221-1)</x:f>
        <x:v>-0.02261867931662709</x:v>
      </x:c>
    </x:row>
    <x:row r="222">
      <x:c r="J222" s="257" t="str">
        <x:v>470010.OF</x:v>
      </x:c>
      <x:c r="K222" s="258" t="str">
        <x:v>汇添富多元收益债券A</x:v>
      </x:c>
      <x:c r="L222" s="263" t="n">
        <x:v>46211</x:v>
      </x:c>
      <x:c r="M222" s="261" t="n">
        <x:v>2.8416</x:v>
      </x:c>
      <x:c r="N222" s="261" t="n">
        <x:f>IF(OR(L222&lt;$B$3,L222&gt;$D$3),"",IF(AND(J222=J221,N221&lt;&gt;""),MAX(M222,N221),M222))</x:f>
        <x:v>2.9091</x:v>
      </x:c>
      <x:c r="O222" s="262" t="n">
        <x:f>IF(N222="","",M222/N222-1)</x:f>
        <x:v>-0.02320305249046095</x:v>
      </x:c>
    </x:row>
    <x:row r="223">
      <x:c r="J223" s="257" t="str">
        <x:v>470010.OF</x:v>
      </x:c>
      <x:c r="K223" s="258" t="str">
        <x:v>汇添富多元收益债券A</x:v>
      </x:c>
      <x:c r="L223" s="263" t="n">
        <x:v>46212</x:v>
      </x:c>
      <x:c r="M223" s="261" t="n">
        <x:v>2.8683</x:v>
      </x:c>
      <x:c r="N223" s="261" t="n">
        <x:f>IF(OR(L223&lt;$B$3,L223&gt;$D$3),"",IF(AND(J223=J222,N222&lt;&gt;""),MAX(M223,N222),M223))</x:f>
        <x:v>2.9091</x:v>
      </x:c>
      <x:c r="O223" s="262" t="n">
        <x:f>IF(N223="","",M223/N223-1)</x:f>
        <x:v>-0.014024956172011938</x:v>
      </x:c>
    </x:row>
    <x:row r="224">
      <x:c r="J224" s="257" t="str">
        <x:v>470010.OF</x:v>
      </x:c>
      <x:c r="K224" s="258" t="str">
        <x:v>汇添富多元收益债券A</x:v>
      </x:c>
      <x:c r="L224" s="263" t="n">
        <x:v>46213</x:v>
      </x:c>
      <x:c r="M224" s="261" t="n">
        <x:v>2.8412</x:v>
      </x:c>
      <x:c r="N224" s="261" t="n">
        <x:f>IF(OR(L224&lt;$B$3,L224&gt;$D$3),"",IF(AND(J224=J223,N223&lt;&gt;""),MAX(M224,N223),M224))</x:f>
        <x:v>2.9091</x:v>
      </x:c>
      <x:c r="O224" s="262" t="n">
        <x:f>IF(N224="","",M224/N224-1)</x:f>
        <x:v>-0.02334055206077479</x:v>
      </x:c>
    </x:row>
    <x:row r="225">
      <x:c r="J225" s="257" t="str">
        <x:v>470010.OF</x:v>
      </x:c>
      <x:c r="K225" s="258" t="str">
        <x:v>汇添富多元收益债券A</x:v>
      </x:c>
      <x:c r="L225" s="263" t="n">
        <x:v>46214</x:v>
      </x:c>
      <x:c r="M225" s="261" t="n">
        <x:v>2.8412</x:v>
      </x:c>
      <x:c r="N225" s="261" t="n">
        <x:f>IF(OR(L225&lt;$B$3,L225&gt;$D$3),"",IF(AND(J225=J224,N224&lt;&gt;""),MAX(M225,N224),M225))</x:f>
        <x:v>2.9091</x:v>
      </x:c>
      <x:c r="O225" s="262" t="n">
        <x:f>IF(N225="","",M225/N225-1)</x:f>
        <x:v>-0.02334055206077479</x:v>
      </x:c>
    </x:row>
    <x:row r="226">
      <x:c r="J226" s="257" t="str">
        <x:v>470010.OF</x:v>
      </x:c>
      <x:c r="K226" s="258" t="str">
        <x:v>汇添富多元收益债券A</x:v>
      </x:c>
      <x:c r="L226" s="263" t="n">
        <x:v>46215</x:v>
      </x:c>
      <x:c r="M226" s="261" t="n">
        <x:v>2.8412</x:v>
      </x:c>
      <x:c r="N226" s="261" t="n">
        <x:f>IF(OR(L226&lt;$B$3,L226&gt;$D$3),"",IF(AND(J226=J225,N225&lt;&gt;""),MAX(M226,N225),M226))</x:f>
        <x:v>2.9091</x:v>
      </x:c>
      <x:c r="O226" s="262" t="n">
        <x:f>IF(N226="","",M226/N226-1)</x:f>
        <x:v>-0.02334055206077479</x:v>
      </x:c>
    </x:row>
    <x:row r="227">
      <x:c r="J227" s="257" t="str">
        <x:v>470010.OF</x:v>
      </x:c>
      <x:c r="K227" s="258" t="str">
        <x:v>汇添富多元收益债券A</x:v>
      </x:c>
      <x:c r="L227" s="263" t="n">
        <x:v>46216</x:v>
      </x:c>
      <x:c r="M227" s="261" t="n">
        <x:v>2.8203</x:v>
      </x:c>
      <x:c r="N227" s="261" t="n">
        <x:f>IF(OR(L227&lt;$B$3,L227&gt;$D$3),"",IF(AND(J227=J226,N226&lt;&gt;""),MAX(M227,N226),M227))</x:f>
        <x:v>2.9091</x:v>
      </x:c>
      <x:c r="O227" s="262" t="n">
        <x:f>IF(N227="","",M227/N227-1)</x:f>
        <x:v>-0.030524904609673054</x:v>
      </x:c>
    </x:row>
    <x:row r="228">
      <x:c r="J228" s="257" t="str">
        <x:v>470010.OF</x:v>
      </x:c>
      <x:c r="K228" s="258" t="str">
        <x:v>汇添富多元收益债券A</x:v>
      </x:c>
      <x:c r="L228" s="263" t="n">
        <x:v>46217</x:v>
      </x:c>
      <x:c r="M228" s="261" t="n">
        <x:v>2.8348</x:v>
      </x:c>
      <x:c r="N228" s="261" t="n">
        <x:f>IF(OR(L228&lt;$B$3,L228&gt;$D$3),"",IF(AND(J228=J227,N227&lt;&gt;""),MAX(M228,N227),M228))</x:f>
        <x:v>2.9091</x:v>
      </x:c>
      <x:c r="O228" s="262" t="n">
        <x:f>IF(N228="","",M228/N228-1)</x:f>
        <x:v>-0.025540545185796293</x:v>
      </x:c>
    </x:row>
    <x:row r="229">
      <x:c r="J229" s="257" t="str">
        <x:v>470010.OF</x:v>
      </x:c>
      <x:c r="K229" s="258" t="str">
        <x:v>汇添富多元收益债券A</x:v>
      </x:c>
      <x:c r="L229" s="263" t="n">
        <x:v>46218</x:v>
      </x:c>
      <x:c r="M229" s="261" t="n">
        <x:v>2.8206</x:v>
      </x:c>
      <x:c r="N229" s="261" t="n">
        <x:f>IF(OR(L229&lt;$B$3,L229&gt;$D$3),"",IF(AND(J229=J228,N228&lt;&gt;""),MAX(M229,N228),M229))</x:f>
        <x:v>2.9091</x:v>
      </x:c>
      <x:c r="O229" s="262" t="n">
        <x:f>IF(N229="","",M229/N229-1)</x:f>
        <x:v>-0.03042177993193762</x:v>
      </x:c>
    </x:row>
    <x:row r="230">
      <x:c r="J230" s="257" t="str">
        <x:v>470010.OF</x:v>
      </x:c>
      <x:c r="K230" s="258" t="str">
        <x:v>汇添富多元收益债券A</x:v>
      </x:c>
      <x:c r="L230" s="263" t="n">
        <x:v>46219</x:v>
      </x:c>
      <x:c r="M230" s="261" t="n">
        <x:v>2.808</x:v>
      </x:c>
      <x:c r="N230" s="261" t="n">
        <x:f>IF(OR(L230&lt;$B$3,L230&gt;$D$3),"",IF(AND(J230=J229,N229&lt;&gt;""),MAX(M230,N229),M230))</x:f>
        <x:v>2.9091</x:v>
      </x:c>
      <x:c r="O230" s="262" t="n">
        <x:f>IF(N230="","",M230/N230-1)</x:f>
        <x:v>-0.03475301639682382</x:v>
      </x:c>
    </x:row>
    <x:row r="231">
      <x:c r="J231" s="257" t="str">
        <x:v>470010.OF</x:v>
      </x:c>
      <x:c r="K231" s="258" t="str">
        <x:v>汇添富多元收益债券A</x:v>
      </x:c>
      <x:c r="L231" s="263" t="n">
        <x:v>46220</x:v>
      </x:c>
      <x:c r="M231" s="261" t="n">
        <x:v>2.7726</x:v>
      </x:c>
      <x:c r="N231" s="261" t="n">
        <x:f>IF(OR(L231&lt;$B$3,L231&gt;$D$3),"",IF(AND(J231=J230,N230&lt;&gt;""),MAX(M231,N230),M231))</x:f>
        <x:v>2.9091</x:v>
      </x:c>
      <x:c r="O231" s="262" t="n">
        <x:f>IF(N231="","",M231/N231-1)</x:f>
        <x:v>-0.046921728369598736</x:v>
      </x:c>
    </x:row>
    <x:row r="232">
      <x:c r="J232" s="257" t="str">
        <x:v>470010.OF</x:v>
      </x:c>
      <x:c r="K232" s="258" t="str">
        <x:v>汇添富多元收益债券A</x:v>
      </x:c>
      <x:c r="L232" s="263" t="n">
        <x:v>46221</x:v>
      </x:c>
      <x:c r="M232" s="261" t="n">
        <x:v>2.7726</x:v>
      </x:c>
      <x:c r="N232" s="261" t="n">
        <x:f>IF(OR(L232&lt;$B$3,L232&gt;$D$3),"",IF(AND(J232=J231,N231&lt;&gt;""),MAX(M232,N231),M232))</x:f>
        <x:v>2.9091</x:v>
      </x:c>
      <x:c r="O232" s="262" t="n">
        <x:f>IF(N232="","",M232/N232-1)</x:f>
        <x:v>-0.046921728369598736</x:v>
      </x:c>
    </x:row>
    <x:row r="233">
      <x:c r="J233" s="257" t="str">
        <x:v>470010.OF</x:v>
      </x:c>
      <x:c r="K233" s="258" t="str">
        <x:v>汇添富多元收益债券A</x:v>
      </x:c>
      <x:c r="L233" s="263" t="n">
        <x:v>46222</x:v>
      </x:c>
      <x:c r="M233" s="261" t="n">
        <x:v>2.7726</x:v>
      </x:c>
      <x:c r="N233" s="261" t="n">
        <x:f>IF(OR(L233&lt;$B$3,L233&gt;$D$3),"",IF(AND(J233=J232,N232&lt;&gt;""),MAX(M233,N232),M233))</x:f>
        <x:v>2.9091</x:v>
      </x:c>
      <x:c r="O233" s="262" t="n">
        <x:f>IF(N233="","",M233/N233-1)</x:f>
        <x:v>-0.046921728369598736</x:v>
      </x:c>
    </x:row>
    <x:row r="234">
      <x:c r="J234" s="257" t="str">
        <x:v>470010.OF</x:v>
      </x:c>
      <x:c r="K234" s="258" t="str">
        <x:v>汇添富多元收益债券A</x:v>
      </x:c>
      <x:c r="L234" s="263" t="n">
        <x:v>46223</x:v>
      </x:c>
      <x:c r="M234" s="261" t="n">
        <x:v>2.7664</x:v>
      </x:c>
      <x:c r="N234" s="261" t="n">
        <x:f>IF(OR(L234&lt;$B$3,L234&gt;$D$3),"",IF(AND(J234=J233,N233&lt;&gt;""),MAX(M234,N233),M234))</x:f>
        <x:v>2.9091</x:v>
      </x:c>
      <x:c r="O234" s="262" t="n">
        <x:f>IF(N234="","",M234/N234-1)</x:f>
        <x:v>-0.04905297170946343</x:v>
      </x:c>
    </x:row>
    <x:row r="235">
      <x:c r="J235" s="257" t="str">
        <x:v>470010.OF</x:v>
      </x:c>
      <x:c r="K235" s="258" t="str">
        <x:v>汇添富多元收益债券A</x:v>
      </x:c>
      <x:c r="L235" s="263" t="n">
        <x:v>46224</x:v>
      </x:c>
      <x:c r="M235" s="261" t="n">
        <x:v>2.8098</x:v>
      </x:c>
      <x:c r="N235" s="261" t="n">
        <x:f>IF(OR(L235&lt;$B$3,L235&gt;$D$3),"",IF(AND(J235=J234,N234&lt;&gt;""),MAX(M235,N234),M235))</x:f>
        <x:v>2.9091</x:v>
      </x:c>
      <x:c r="O235" s="262" t="n">
        <x:f>IF(N235="","",M235/N235-1)</x:f>
        <x:v>-0.034134268330411444</x:v>
      </x:c>
    </x:row>
    <x:row r="236">
      <x:c r="J236" s="257" t="str">
        <x:v>470010.OF</x:v>
      </x:c>
      <x:c r="K236" s="258" t="str">
        <x:v>汇添富多元收益债券A</x:v>
      </x:c>
      <x:c r="L236" s="263" t="n">
        <x:v>46225</x:v>
      </x:c>
      <x:c r="M236" s="261" t="n">
        <x:v>2.7978</x:v>
      </x:c>
      <x:c r="N236" s="261" t="n">
        <x:f>IF(OR(L236&lt;$B$3,L236&gt;$D$3),"",IF(AND(J236=J235,N235&lt;&gt;""),MAX(M236,N235),M236))</x:f>
        <x:v>2.9091</x:v>
      </x:c>
      <x:c r="O236" s="262" t="n">
        <x:f>IF(N236="","",M236/N236-1)</x:f>
        <x:v>-0.03825925543982678</x:v>
      </x:c>
    </x:row>
    <x:row r="237">
      <x:c r="J237" s="257" t="str">
        <x:v>470010.OF</x:v>
      </x:c>
      <x:c r="K237" s="258" t="str">
        <x:v>汇添富多元收益债券A</x:v>
      </x:c>
      <x:c r="L237" s="263" t="n">
        <x:v>46226</x:v>
      </x:c>
      <x:c r="M237" s="261" t="n">
        <x:v>2.7804</x:v>
      </x:c>
      <x:c r="N237" s="261" t="n">
        <x:f>IF(OR(L237&lt;$B$3,L237&gt;$D$3),"",IF(AND(J237=J236,N236&lt;&gt;""),MAX(M237,N236),M237))</x:f>
        <x:v>2.9091</x:v>
      </x:c>
      <x:c r="O237" s="262" t="n">
        <x:f>IF(N237="","",M237/N237-1)</x:f>
        <x:v>-0.0442404867484788</x:v>
      </x:c>
    </x:row>
    <x:row r="238">
      <x:c r="J238" s="257" t="str">
        <x:v>470010.OF</x:v>
      </x:c>
      <x:c r="K238" s="258" t="str">
        <x:v>汇添富多元收益债券A</x:v>
      </x:c>
      <x:c r="L238" s="263" t="n">
        <x:v>46227</x:v>
      </x:c>
      <x:c r="M238" s="261" t="n">
        <x:v>2.7772</x:v>
      </x:c>
      <x:c r="N238" s="261" t="n">
        <x:f>IF(OR(L238&lt;$B$3,L238&gt;$D$3),"",IF(AND(J238=J237,N237&lt;&gt;""),MAX(M238,N237),M238))</x:f>
        <x:v>2.9091</x:v>
      </x:c>
      <x:c r="O238" s="262" t="n">
        <x:f>IF(N238="","",M238/N238-1)</x:f>
        <x:v>-0.04534048331098961</x:v>
      </x:c>
    </x:row>
    <x:row r="239">
      <x:c r="J239" s="257" t="str">
        <x:v>470010.OF</x:v>
      </x:c>
      <x:c r="K239" s="258" t="str">
        <x:v>汇添富多元收益债券A</x:v>
      </x:c>
      <x:c r="L239" s="263" t="n">
        <x:v>46228</x:v>
      </x:c>
      <x:c r="M239" s="261" t="n">
        <x:v>2.7772</x:v>
      </x:c>
      <x:c r="N239" s="261" t="n">
        <x:f>IF(OR(L239&lt;$B$3,L239&gt;$D$3),"",IF(AND(J239=J238,N238&lt;&gt;""),MAX(M239,N238),M239))</x:f>
        <x:v>2.9091</x:v>
      </x:c>
      <x:c r="O239" s="262" t="n">
        <x:f>IF(N239="","",M239/N239-1)</x:f>
        <x:v>-0.04534048331098961</x:v>
      </x:c>
    </x:row>
    <x:row r="240">
      <x:c r="J240" s="257" t="str">
        <x:v>470010.OF</x:v>
      </x:c>
      <x:c r="K240" s="258" t="str">
        <x:v>汇添富多元收益债券A</x:v>
      </x:c>
      <x:c r="L240" s="263" t="n">
        <x:v>46229</x:v>
      </x:c>
      <x:c r="M240" s="261" t="n">
        <x:v>2.7772</x:v>
      </x:c>
      <x:c r="N240" s="261" t="n">
        <x:f>IF(OR(L240&lt;$B$3,L240&gt;$D$3),"",IF(AND(J240=J239,N239&lt;&gt;""),MAX(M240,N239),M240))</x:f>
        <x:v>2.9091</x:v>
      </x:c>
      <x:c r="O240" s="262" t="n">
        <x:f>IF(N240="","",M240/N240-1)</x:f>
        <x:v>-0.04534048331098961</x:v>
      </x:c>
    </x:row>
    <x:row r="241">
      <x:c r="J241" s="257" t="str">
        <x:v>470010.OF</x:v>
      </x:c>
      <x:c r="K241" s="258" t="str">
        <x:v>汇添富多元收益债券A</x:v>
      </x:c>
      <x:c r="L241" s="263" t="n">
        <x:v>46230</x:v>
      </x:c>
      <x:c r="M241" s="261" t="n">
        <x:v>2.7862</x:v>
      </x:c>
      <x:c r="N241" s="261" t="n">
        <x:f>IF(OR(L241&lt;$B$3,L241&gt;$D$3),"",IF(AND(J241=J240,N240&lt;&gt;""),MAX(M241,N240),M241))</x:f>
        <x:v>2.9091</x:v>
      </x:c>
      <x:c r="O241" s="262" t="n">
        <x:f>IF(N241="","",M241/N241-1)</x:f>
        <x:v>-0.042246742978928165</x:v>
      </x:c>
    </x:row>
    <x:row r="242">
      <x:c r="J242" s="257" t="str">
        <x:v>470010.OF</x:v>
      </x:c>
      <x:c r="K242" s="258" t="str">
        <x:v>汇添富多元收益债券A</x:v>
      </x:c>
      <x:c r="L242" s="263" t="n">
        <x:v>46231</x:v>
      </x:c>
      <x:c r="M242" s="261" t="n">
        <x:v>2.7452</x:v>
      </x:c>
      <x:c r="N242" s="261" t="n">
        <x:f>IF(OR(L242&lt;$B$3,L242&gt;$D$3),"",IF(AND(J242=J241,N241&lt;&gt;""),MAX(M242,N241),M242))</x:f>
        <x:v>2.9091</x:v>
      </x:c>
      <x:c r="O242" s="262" t="n">
        <x:f>IF(N242="","",M242/N242-1)</x:f>
        <x:v>-0.05634044893609702</x:v>
      </x:c>
    </x:row>
    <x:row r="243">
      <x:c r="J243" s="257" t="str">
        <x:v>470010.OF</x:v>
      </x:c>
      <x:c r="K243" s="258" t="str">
        <x:v>汇添富多元收益债券A</x:v>
      </x:c>
      <x:c r="L243" s="263" t="n">
        <x:v>46232</x:v>
      </x:c>
      <x:c r="M243" s="261" t="n">
        <x:v>2.7408</x:v>
      </x:c>
      <x:c r="N243" s="261" t="n">
        <x:f>IF(OR(L243&lt;$B$3,L243&gt;$D$3),"",IF(AND(J243=J242,N242&lt;&gt;""),MAX(M243,N242),M243))</x:f>
        <x:v>2.9091</x:v>
      </x:c>
      <x:c r="O243" s="262" t="n">
        <x:f>IF(N243="","",M243/N243-1)</x:f>
        <x:v>-0.05785294420954934</x:v>
      </x:c>
    </x:row>
    <x:row r="244">
      <x:c r="J244" s="257" t="str">
        <x:v>470010.OF</x:v>
      </x:c>
      <x:c r="K244" s="258" t="str">
        <x:v>汇添富多元收益债券A</x:v>
      </x:c>
      <x:c r="L244" s="263" t="n">
        <x:v>46233</x:v>
      </x:c>
      <x:c r="M244" s="261" t="n">
        <x:v>2.7165</x:v>
      </x:c>
      <x:c r="N244" s="261" t="n">
        <x:f>IF(OR(L244&lt;$B$3,L244&gt;$D$3),"",IF(AND(J244=J243,N243&lt;&gt;""),MAX(M244,N243),M244))</x:f>
        <x:v>2.9091</x:v>
      </x:c>
      <x:c r="O244" s="262" t="n">
        <x:f>IF(N244="","",M244/N244-1)</x:f>
        <x:v>-0.06620604310611533</x:v>
      </x:c>
    </x:row>
    <x:row r="245">
      <x:c r="J245" s="257" t="str">
        <x:v>470010.OF</x:v>
      </x:c>
      <x:c r="K245" s="258" t="str">
        <x:v>汇添富多元收益债券A</x:v>
      </x:c>
      <x:c r="L245" s="263" t="n">
        <x:v>46234</x:v>
      </x:c>
      <x:c r="M245" s="261" t="n">
        <x:v>2.7346</x:v>
      </x:c>
      <x:c r="N245" s="261" t="n">
        <x:f>IF(OR(L245&lt;$B$3,L245&gt;$D$3),"",IF(AND(J245=J244,N244&lt;&gt;""),MAX(M245,N244),M245))</x:f>
        <x:v>2.9091</x:v>
      </x:c>
      <x:c r="O245" s="262" t="n">
        <x:f>IF(N245="","",M245/N245-1)</x:f>
        <x:v>-0.059984187549413925</x:v>
      </x:c>
    </x:row>
    <x:row r="246">
      <x:c r="J246" s="257" t="str">
        <x:v>470010.OF</x:v>
      </x:c>
      <x:c r="K246" s="258" t="str">
        <x:v>汇添富多元收益债券A</x:v>
      </x:c>
      <x:c r="L246" s="263" t="n">
        <x:v>46235</x:v>
      </x:c>
      <x:c r="M246" s="261" t="n">
        <x:v>2.7346</x:v>
      </x:c>
      <x:c r="N246" s="261" t="n">
        <x:f>IF(OR(L246&lt;$B$3,L246&gt;$D$3),"",IF(AND(J246=J245,N245&lt;&gt;""),MAX(M246,N245),M246))</x:f>
        <x:v>2.9091</x:v>
      </x:c>
      <x:c r="O246" s="262" t="n">
        <x:f>IF(N246="","",M246/N246-1)</x:f>
        <x:v>-0.059984187549413925</x:v>
      </x:c>
    </x:row>
    <x:row r="247">
      <x:c r="J247" s="257" t="str">
        <x:v>470010.OF</x:v>
      </x:c>
      <x:c r="K247" s="258" t="str">
        <x:v>汇添富多元收益债券A</x:v>
      </x:c>
      <x:c r="L247" s="263" t="n">
        <x:v>46236</x:v>
      </x:c>
      <x:c r="M247" s="261" t="n">
        <x:v>2.7346</x:v>
      </x:c>
      <x:c r="N247" s="261" t="n">
        <x:f>IF(OR(L247&lt;$B$3,L247&gt;$D$3),"",IF(AND(J247=J246,N246&lt;&gt;""),MAX(M247,N246),M247))</x:f>
        <x:v>2.9091</x:v>
      </x:c>
      <x:c r="O247" s="262" t="n">
        <x:f>IF(N247="","",M247/N247-1)</x:f>
        <x:v>-0.059984187549413925</x:v>
      </x:c>
    </x:row>
    <x:row r="248">
      <x:c r="J248" s="257" t="str">
        <x:v>470010.OF</x:v>
      </x:c>
      <x:c r="K248" s="258" t="str">
        <x:v>汇添富多元收益债券A</x:v>
      </x:c>
      <x:c r="L248" s="263" t="n">
        <x:v>46237</x:v>
      </x:c>
      <x:c r="M248" s="261" t="n">
        <x:v>2.72</x:v>
      </x:c>
      <x:c r="N248" s="261" t="n">
        <x:f>IF(OR(L248&lt;$B$3,L248&gt;$D$3),"",IF(AND(J248=J247,N247&lt;&gt;""),MAX(M248,N247),M248))</x:f>
        <x:v>2.9091</x:v>
      </x:c>
      <x:c r="O248" s="262" t="n">
        <x:f>IF(N248="","",M248/N248-1)</x:f>
        <x:v>-0.06500292186586909</x:v>
      </x:c>
    </x:row>
    <x:row r="249">
      <x:c r="J249" s="257" t="str">
        <x:v>470010.OF</x:v>
      </x:c>
      <x:c r="K249" s="258" t="str">
        <x:v>汇添富多元收益债券A</x:v>
      </x:c>
      <x:c r="L249" s="263" t="n">
        <x:v>46238</x:v>
      </x:c>
      <x:c r="M249" s="261" t="n">
        <x:v>2.7458</x:v>
      </x:c>
      <x:c r="N249" s="261" t="n">
        <x:f>IF(OR(L249&lt;$B$3,L249&gt;$D$3),"",IF(AND(J249=J248,N248&lt;&gt;""),MAX(M249,N248),M249))</x:f>
        <x:v>2.9091</x:v>
      </x:c>
      <x:c r="O249" s="262" t="n">
        <x:f>IF(N249="","",M249/N249-1)</x:f>
        <x:v>-0.056134199580626265</x:v>
      </x:c>
    </x:row>
    <x:row r="250">
      <x:c r="J250" s="257" t="str">
        <x:v>470010.OF</x:v>
      </x:c>
      <x:c r="K250" s="258" t="str">
        <x:v>汇添富多元收益债券A</x:v>
      </x:c>
      <x:c r="L250" s="263" t="n">
        <x:v>46239</x:v>
      </x:c>
      <x:c r="M250" s="261" t="n">
        <x:v>2.7553</x:v>
      </x:c>
      <x:c r="N250" s="261" t="n">
        <x:f>IF(OR(L250&lt;$B$3,L250&gt;$D$3),"",IF(AND(J250=J249,N249&lt;&gt;""),MAX(M250,N249),M250))</x:f>
        <x:v>2.9091</x:v>
      </x:c>
      <x:c r="O250" s="262" t="n">
        <x:f>IF(N250="","",M250/N250-1)</x:f>
        <x:v>-0.05286858478567247</x:v>
      </x:c>
    </x:row>
    <x:row r="251">
      <x:c r="J251" s="257" t="str">
        <x:v>470010.OF</x:v>
      </x:c>
      <x:c r="K251" s="258" t="str">
        <x:v>汇添富多元收益债券A</x:v>
      </x:c>
      <x:c r="L251" s="263" t="n">
        <x:v>46240</x:v>
      </x:c>
      <x:c r="M251" s="261" t="n">
        <x:v>2.7553</x:v>
      </x:c>
      <x:c r="N251" s="261" t="n">
        <x:f>IF(OR(L251&lt;$B$3,L251&gt;$D$3),"",IF(AND(J251=J250,N250&lt;&gt;""),MAX(M251,N250),M251))</x:f>
        <x:v>2.9091</x:v>
      </x:c>
      <x:c r="O251" s="262" t="n">
        <x:f>IF(N251="","",M251/N251-1)</x:f>
        <x:v>-0.05286858478567247</x:v>
      </x:c>
    </x:row>
    <x:row r="252">
      <x:c r="J252" s="257" t="str">
        <x:v>470010.OF</x:v>
      </x:c>
      <x:c r="K252" s="258" t="str">
        <x:v>汇添富多元收益债券A</x:v>
      </x:c>
      <x:c r="L252" s="263" t="n">
        <x:v>46241</x:v>
      </x:c>
      <x:c r="M252" s="261" t="n">
        <x:v>2.7609</x:v>
      </x:c>
      <x:c r="N252" s="261" t="n">
        <x:f>IF(OR(L252&lt;$B$3,L252&gt;$D$3),"",IF(AND(J252=J251,N251&lt;&gt;""),MAX(M252,N251),M252))</x:f>
        <x:v>2.9091</x:v>
      </x:c>
      <x:c r="O252" s="262" t="n">
        <x:f>IF(N252="","",M252/N252-1)</x:f>
        <x:v>-0.05094359080127875</x:v>
      </x:c>
    </x:row>
    <x:row r="253">
      <x:c r="J253" s="257" t="str">
        <x:v>470010.OF</x:v>
      </x:c>
      <x:c r="K253" s="258" t="str">
        <x:v>汇添富多元收益债券A</x:v>
      </x:c>
      <x:c r="L253" s="263" t="n">
        <x:v>46242</x:v>
      </x:c>
      <x:c r="M253" s="261" t="n">
        <x:v>2.7609</x:v>
      </x:c>
      <x:c r="N253" s="261" t="n">
        <x:f>IF(OR(L253&lt;$B$3,L253&gt;$D$3),"",IF(AND(J253=J252,N252&lt;&gt;""),MAX(M253,N252),M253))</x:f>
        <x:v>2.9091</x:v>
      </x:c>
      <x:c r="O253" s="262" t="n">
        <x:f>IF(N253="","",M253/N253-1)</x:f>
        <x:v>-0.05094359080127875</x:v>
      </x:c>
    </x:row>
    <x:row r="254">
      <x:c r="J254" s="257" t="str">
        <x:v>470010.OF</x:v>
      </x:c>
      <x:c r="K254" s="258" t="str">
        <x:v>汇添富多元收益债券A</x:v>
      </x:c>
      <x:c r="L254" s="263" t="n">
        <x:v>46243</x:v>
      </x:c>
      <x:c r="M254" s="261" t="n">
        <x:v>2.7609</x:v>
      </x:c>
      <x:c r="N254" s="261" t="n">
        <x:f>IF(OR(L254&lt;$B$3,L254&gt;$D$3),"",IF(AND(J254=J253,N253&lt;&gt;""),MAX(M254,N253),M254))</x:f>
        <x:v>2.9091</x:v>
      </x:c>
      <x:c r="O254" s="262" t="n">
        <x:f>IF(N254="","",M254/N254-1)</x:f>
        <x:v>-0.05094359080127875</x:v>
      </x:c>
    </x:row>
    <x:row r="255">
      <x:c r="J255" s="257" t="str">
        <x:v>470010.OF</x:v>
      </x:c>
      <x:c r="K255" s="258" t="str">
        <x:v>汇添富多元收益债券A</x:v>
      </x:c>
      <x:c r="L255" s="263" t="n">
        <x:v>46244</x:v>
      </x:c>
      <x:c r="M255" s="261" t="n">
        <x:v>2.7638</x:v>
      </x:c>
      <x:c r="N255" s="261" t="n">
        <x:f>IF(OR(L255&lt;$B$3,L255&gt;$D$3),"",IF(AND(J255=J254,N254&lt;&gt;""),MAX(M255,N254),M255))</x:f>
        <x:v>2.9091</x:v>
      </x:c>
      <x:c r="O255" s="262" t="n">
        <x:f>IF(N255="","",M255/N255-1)</x:f>
        <x:v>-0.049946718916503485</x:v>
      </x:c>
    </x:row>
    <x:row r="256">
      <x:c r="J256" s="257" t="str">
        <x:v>003504.OF</x:v>
      </x:c>
      <x:c r="K256" s="258" t="str">
        <x:v>景顺长城景颐丰利债券A</x:v>
      </x:c>
      <x:c r="L256" s="263" t="n">
        <x:v>46191</x:v>
      </x:c>
      <x:c r="M256" s="261" t="n">
        <x:v>1.8003</x:v>
      </x:c>
      <x:c r="N256" s="261" t="n">
        <x:f>IF(OR(L256&lt;$B$3,L256&gt;$D$3),"",IF(AND(J256=J255,N255&lt;&gt;""),MAX(M256,N255),M256))</x:f>
        <x:v>1.8003</x:v>
      </x:c>
      <x:c r="O256" s="262" t="n">
        <x:f>IF(N256="","",M256/N256-1)</x:f>
        <x:v>0</x:v>
      </x:c>
    </x:row>
    <x:row r="257">
      <x:c r="J257" s="257" t="str">
        <x:v>003504.OF</x:v>
      </x:c>
      <x:c r="K257" s="258" t="str">
        <x:v>景顺长城景颐丰利债券A</x:v>
      </x:c>
      <x:c r="L257" s="263" t="n">
        <x:v>46192</x:v>
      </x:c>
      <x:c r="M257" s="261" t="n">
        <x:v>1.8003</x:v>
      </x:c>
      <x:c r="N257" s="261" t="n">
        <x:f>IF(OR(L257&lt;$B$3,L257&gt;$D$3),"",IF(AND(J257=J256,N256&lt;&gt;""),MAX(M257,N256),M257))</x:f>
        <x:v>1.8003</x:v>
      </x:c>
      <x:c r="O257" s="262" t="n">
        <x:f>IF(N257="","",M257/N257-1)</x:f>
        <x:v>0</x:v>
      </x:c>
    </x:row>
    <x:row r="258">
      <x:c r="J258" s="257" t="str">
        <x:v>003504.OF</x:v>
      </x:c>
      <x:c r="K258" s="258" t="str">
        <x:v>景顺长城景颐丰利债券A</x:v>
      </x:c>
      <x:c r="L258" s="263" t="n">
        <x:v>46193</x:v>
      </x:c>
      <x:c r="M258" s="261" t="n">
        <x:v>1.8003</x:v>
      </x:c>
      <x:c r="N258" s="261" t="n">
        <x:f>IF(OR(L258&lt;$B$3,L258&gt;$D$3),"",IF(AND(J258=J257,N257&lt;&gt;""),MAX(M258,N257),M258))</x:f>
        <x:v>1.8003</x:v>
      </x:c>
      <x:c r="O258" s="262" t="n">
        <x:f>IF(N258="","",M258/N258-1)</x:f>
        <x:v>0</x:v>
      </x:c>
    </x:row>
    <x:row r="259">
      <x:c r="J259" s="257" t="str">
        <x:v>003504.OF</x:v>
      </x:c>
      <x:c r="K259" s="258" t="str">
        <x:v>景顺长城景颐丰利债券A</x:v>
      </x:c>
      <x:c r="L259" s="263" t="n">
        <x:v>46194</x:v>
      </x:c>
      <x:c r="M259" s="261" t="n">
        <x:v>1.8003</x:v>
      </x:c>
      <x:c r="N259" s="261" t="n">
        <x:f>IF(OR(L259&lt;$B$3,L259&gt;$D$3),"",IF(AND(J259=J258,N258&lt;&gt;""),MAX(M259,N258),M259))</x:f>
        <x:v>1.8003</x:v>
      </x:c>
      <x:c r="O259" s="262" t="n">
        <x:f>IF(N259="","",M259/N259-1)</x:f>
        <x:v>0</x:v>
      </x:c>
    </x:row>
    <x:row r="260">
      <x:c r="J260" s="257" t="str">
        <x:v>003504.OF</x:v>
      </x:c>
      <x:c r="K260" s="258" t="str">
        <x:v>景顺长城景颐丰利债券A</x:v>
      </x:c>
      <x:c r="L260" s="263" t="n">
        <x:v>46195</x:v>
      </x:c>
      <x:c r="M260" s="261" t="n">
        <x:v>1.8053</x:v>
      </x:c>
      <x:c r="N260" s="261" t="n">
        <x:f>IF(OR(L260&lt;$B$3,L260&gt;$D$3),"",IF(AND(J260=J259,N259&lt;&gt;""),MAX(M260,N259),M260))</x:f>
        <x:v>1.8053</x:v>
      </x:c>
      <x:c r="O260" s="262" t="n">
        <x:f>IF(N260="","",M260/N260-1)</x:f>
        <x:v>0</x:v>
      </x:c>
    </x:row>
    <x:row r="261">
      <x:c r="J261" s="257" t="str">
        <x:v>003504.OF</x:v>
      </x:c>
      <x:c r="K261" s="258" t="str">
        <x:v>景顺长城景颐丰利债券A</x:v>
      </x:c>
      <x:c r="L261" s="263" t="n">
        <x:v>46196</x:v>
      </x:c>
      <x:c r="M261" s="261" t="n">
        <x:v>1.7885</x:v>
      </x:c>
      <x:c r="N261" s="261" t="n">
        <x:f>IF(OR(L261&lt;$B$3,L261&gt;$D$3),"",IF(AND(J261=J260,N260&lt;&gt;""),MAX(M261,N260),M261))</x:f>
        <x:v>1.8053</x:v>
      </x:c>
      <x:c r="O261" s="262" t="n">
        <x:f>IF(N261="","",M261/N261-1)</x:f>
        <x:v>-0.00930593253198908</x:v>
      </x:c>
    </x:row>
    <x:row r="262">
      <x:c r="J262" s="257" t="str">
        <x:v>003504.OF</x:v>
      </x:c>
      <x:c r="K262" s="258" t="str">
        <x:v>景顺长城景颐丰利债券A</x:v>
      </x:c>
      <x:c r="L262" s="263" t="n">
        <x:v>46197</x:v>
      </x:c>
      <x:c r="M262" s="261" t="n">
        <x:v>1.7972</x:v>
      </x:c>
      <x:c r="N262" s="261" t="n">
        <x:f>IF(OR(L262&lt;$B$3,L262&gt;$D$3),"",IF(AND(J262=J261,N261&lt;&gt;""),MAX(M262,N261),M262))</x:f>
        <x:v>1.8053</x:v>
      </x:c>
      <x:c r="O262" s="262" t="n">
        <x:f>IF(N262="","",M262/N262-1)</x:f>
        <x:v>-0.004486788899351946</x:v>
      </x:c>
    </x:row>
    <x:row r="263">
      <x:c r="J263" s="257" t="str">
        <x:v>003504.OF</x:v>
      </x:c>
      <x:c r="K263" s="258" t="str">
        <x:v>景顺长城景颐丰利债券A</x:v>
      </x:c>
      <x:c r="L263" s="263" t="n">
        <x:v>46198</x:v>
      </x:c>
      <x:c r="M263" s="261" t="n">
        <x:v>1.8096</x:v>
      </x:c>
      <x:c r="N263" s="261" t="n">
        <x:f>IF(OR(L263&lt;$B$3,L263&gt;$D$3),"",IF(AND(J263=J262,N262&lt;&gt;""),MAX(M263,N262),M263))</x:f>
        <x:v>1.8096</x:v>
      </x:c>
      <x:c r="O263" s="262" t="n">
        <x:f>IF(N263="","",M263/N263-1)</x:f>
        <x:v>0</x:v>
      </x:c>
    </x:row>
    <x:row r="264">
      <x:c r="J264" s="257" t="str">
        <x:v>003504.OF</x:v>
      </x:c>
      <x:c r="K264" s="258" t="str">
        <x:v>景顺长城景颐丰利债券A</x:v>
      </x:c>
      <x:c r="L264" s="263" t="n">
        <x:v>46199</x:v>
      </x:c>
      <x:c r="M264" s="261" t="n">
        <x:v>1.7934</x:v>
      </x:c>
      <x:c r="N264" s="261" t="n">
        <x:f>IF(OR(L264&lt;$B$3,L264&gt;$D$3),"",IF(AND(J264=J263,N263&lt;&gt;""),MAX(M264,N263),M264))</x:f>
        <x:v>1.8096</x:v>
      </x:c>
      <x:c r="O264" s="262" t="n">
        <x:f>IF(N264="","",M264/N264-1)</x:f>
        <x:v>-0.008952254641909851</x:v>
      </x:c>
    </x:row>
    <x:row r="265">
      <x:c r="J265" s="257" t="str">
        <x:v>003504.OF</x:v>
      </x:c>
      <x:c r="K265" s="258" t="str">
        <x:v>景顺长城景颐丰利债券A</x:v>
      </x:c>
      <x:c r="L265" s="263" t="n">
        <x:v>46200</x:v>
      </x:c>
      <x:c r="M265" s="261" t="n">
        <x:v>1.7934</x:v>
      </x:c>
      <x:c r="N265" s="261" t="n">
        <x:f>IF(OR(L265&lt;$B$3,L265&gt;$D$3),"",IF(AND(J265=J264,N264&lt;&gt;""),MAX(M265,N264),M265))</x:f>
        <x:v>1.8096</x:v>
      </x:c>
      <x:c r="O265" s="262" t="n">
        <x:f>IF(N265="","",M265/N265-1)</x:f>
        <x:v>-0.008952254641909851</x:v>
      </x:c>
    </x:row>
    <x:row r="266">
      <x:c r="J266" s="257" t="str">
        <x:v>003504.OF</x:v>
      </x:c>
      <x:c r="K266" s="258" t="str">
        <x:v>景顺长城景颐丰利债券A</x:v>
      </x:c>
      <x:c r="L266" s="263" t="n">
        <x:v>46201</x:v>
      </x:c>
      <x:c r="M266" s="261" t="n">
        <x:v>1.7934</x:v>
      </x:c>
      <x:c r="N266" s="261" t="n">
        <x:f>IF(OR(L266&lt;$B$3,L266&gt;$D$3),"",IF(AND(J266=J265,N265&lt;&gt;""),MAX(M266,N265),M266))</x:f>
        <x:v>1.8096</x:v>
      </x:c>
      <x:c r="O266" s="262" t="n">
        <x:f>IF(N266="","",M266/N266-1)</x:f>
        <x:v>-0.008952254641909851</x:v>
      </x:c>
    </x:row>
    <x:row r="267">
      <x:c r="J267" s="257" t="str">
        <x:v>003504.OF</x:v>
      </x:c>
      <x:c r="K267" s="258" t="str">
        <x:v>景顺长城景颐丰利债券A</x:v>
      </x:c>
      <x:c r="L267" s="263" t="n">
        <x:v>46202</x:v>
      </x:c>
      <x:c r="M267" s="261" t="n">
        <x:v>1.7897</x:v>
      </x:c>
      <x:c r="N267" s="261" t="n">
        <x:f>IF(OR(L267&lt;$B$3,L267&gt;$D$3),"",IF(AND(J267=J266,N266&lt;&gt;""),MAX(M267,N266),M267))</x:f>
        <x:v>1.8096</x:v>
      </x:c>
      <x:c r="O267" s="262" t="n">
        <x:f>IF(N267="","",M267/N267-1)</x:f>
        <x:v>-0.010996905393457101</x:v>
      </x:c>
    </x:row>
    <x:row r="268">
      <x:c r="J268" s="257" t="str">
        <x:v>003504.OF</x:v>
      </x:c>
      <x:c r="K268" s="258" t="str">
        <x:v>景顺长城景颐丰利债券A</x:v>
      </x:c>
      <x:c r="L268" s="263" t="n">
        <x:v>46203</x:v>
      </x:c>
      <x:c r="M268" s="261" t="n">
        <x:v>1.8056</x:v>
      </x:c>
      <x:c r="N268" s="261" t="n">
        <x:f>IF(OR(L268&lt;$B$3,L268&gt;$D$3),"",IF(AND(J268=J267,N267&lt;&gt;""),MAX(M268,N267),M268))</x:f>
        <x:v>1.8096</x:v>
      </x:c>
      <x:c r="O268" s="262" t="n">
        <x:f>IF(N268="","",M268/N268-1)</x:f>
        <x:v>-0.002210433244915988</x:v>
      </x:c>
    </x:row>
    <x:row r="269">
      <x:c r="J269" s="257" t="str">
        <x:v>003504.OF</x:v>
      </x:c>
      <x:c r="K269" s="258" t="str">
        <x:v>景顺长城景颐丰利债券A</x:v>
      </x:c>
      <x:c r="L269" s="263" t="n">
        <x:v>46204</x:v>
      </x:c>
      <x:c r="M269" s="261" t="n">
        <x:v>1.7887</x:v>
      </x:c>
      <x:c r="N269" s="261" t="n">
        <x:f>IF(OR(L269&lt;$B$3,L269&gt;$D$3),"",IF(AND(J269=J268,N268&lt;&gt;""),MAX(M269,N268),M269))</x:f>
        <x:v>1.8096</x:v>
      </x:c>
      <x:c r="O269" s="262" t="n">
        <x:f>IF(N269="","",M269/N269-1)</x:f>
        <x:v>-0.011549513704686154</x:v>
      </x:c>
    </x:row>
    <x:row r="270">
      <x:c r="J270" s="257" t="str">
        <x:v>003504.OF</x:v>
      </x:c>
      <x:c r="K270" s="258" t="str">
        <x:v>景顺长城景颐丰利债券A</x:v>
      </x:c>
      <x:c r="L270" s="263" t="n">
        <x:v>46205</x:v>
      </x:c>
      <x:c r="M270" s="261" t="n">
        <x:v>1.7636</x:v>
      </x:c>
      <x:c r="N270" s="261" t="n">
        <x:f>IF(OR(L270&lt;$B$3,L270&gt;$D$3),"",IF(AND(J270=J269,N269&lt;&gt;""),MAX(M270,N269),M270))</x:f>
        <x:v>1.8096</x:v>
      </x:c>
      <x:c r="O270" s="262" t="n">
        <x:f>IF(N270="","",M270/N270-1)</x:f>
        <x:v>-0.025419982316534084</x:v>
      </x:c>
    </x:row>
    <x:row r="271">
      <x:c r="J271" s="257" t="str">
        <x:v>003504.OF</x:v>
      </x:c>
      <x:c r="K271" s="258" t="str">
        <x:v>景顺长城景颐丰利债券A</x:v>
      </x:c>
      <x:c r="L271" s="263" t="n">
        <x:v>46206</x:v>
      </x:c>
      <x:c r="M271" s="261" t="n">
        <x:v>1.7666</x:v>
      </x:c>
      <x:c r="N271" s="261" t="n">
        <x:f>IF(OR(L271&lt;$B$3,L271&gt;$D$3),"",IF(AND(J271=J270,N270&lt;&gt;""),MAX(M271,N270),M271))</x:f>
        <x:v>1.8096</x:v>
      </x:c>
      <x:c r="O271" s="262" t="n">
        <x:f>IF(N271="","",M271/N271-1)</x:f>
        <x:v>-0.02376215738284715</x:v>
      </x:c>
    </x:row>
    <x:row r="272">
      <x:c r="J272" s="257" t="str">
        <x:v>003504.OF</x:v>
      </x:c>
      <x:c r="K272" s="258" t="str">
        <x:v>景顺长城景颐丰利债券A</x:v>
      </x:c>
      <x:c r="L272" s="263" t="n">
        <x:v>46207</x:v>
      </x:c>
      <x:c r="M272" s="261" t="n">
        <x:v>1.7666</x:v>
      </x:c>
      <x:c r="N272" s="261" t="n">
        <x:f>IF(OR(L272&lt;$B$3,L272&gt;$D$3),"",IF(AND(J272=J271,N271&lt;&gt;""),MAX(M272,N271),M272))</x:f>
        <x:v>1.8096</x:v>
      </x:c>
      <x:c r="O272" s="262" t="n">
        <x:f>IF(N272="","",M272/N272-1)</x:f>
        <x:v>-0.02376215738284715</x:v>
      </x:c>
    </x:row>
    <x:row r="273">
      <x:c r="J273" s="257" t="str">
        <x:v>003504.OF</x:v>
      </x:c>
      <x:c r="K273" s="258" t="str">
        <x:v>景顺长城景颐丰利债券A</x:v>
      </x:c>
      <x:c r="L273" s="263" t="n">
        <x:v>46208</x:v>
      </x:c>
      <x:c r="M273" s="261" t="n">
        <x:v>1.7666</x:v>
      </x:c>
      <x:c r="N273" s="261" t="n">
        <x:f>IF(OR(L273&lt;$B$3,L273&gt;$D$3),"",IF(AND(J273=J272,N272&lt;&gt;""),MAX(M273,N272),M273))</x:f>
        <x:v>1.8096</x:v>
      </x:c>
      <x:c r="O273" s="262" t="n">
        <x:f>IF(N273="","",M273/N273-1)</x:f>
        <x:v>-0.02376215738284715</x:v>
      </x:c>
    </x:row>
    <x:row r="274">
      <x:c r="J274" s="257" t="str">
        <x:v>003504.OF</x:v>
      </x:c>
      <x:c r="K274" s="258" t="str">
        <x:v>景顺长城景颐丰利债券A</x:v>
      </x:c>
      <x:c r="L274" s="263" t="n">
        <x:v>46209</x:v>
      </x:c>
      <x:c r="M274" s="261" t="n">
        <x:v>1.7648</x:v>
      </x:c>
      <x:c r="N274" s="261" t="n">
        <x:f>IF(OR(L274&lt;$B$3,L274&gt;$D$3),"",IF(AND(J274=J273,N273&lt;&gt;""),MAX(M274,N273),M274))</x:f>
        <x:v>1.8096</x:v>
      </x:c>
      <x:c r="O274" s="262" t="n">
        <x:f>IF(N274="","",M274/N274-1)</x:f>
        <x:v>-0.024756852343059355</x:v>
      </x:c>
    </x:row>
    <x:row r="275">
      <x:c r="J275" s="257" t="str">
        <x:v>003504.OF</x:v>
      </x:c>
      <x:c r="K275" s="258" t="str">
        <x:v>景顺长城景颐丰利债券A</x:v>
      </x:c>
      <x:c r="L275" s="263" t="n">
        <x:v>46210</x:v>
      </x:c>
      <x:c r="M275" s="261" t="n">
        <x:v>1.766</x:v>
      </x:c>
      <x:c r="N275" s="261" t="n">
        <x:f>IF(OR(L275&lt;$B$3,L275&gt;$D$3),"",IF(AND(J275=J274,N274&lt;&gt;""),MAX(M275,N274),M275))</x:f>
        <x:v>1.8096</x:v>
      </x:c>
      <x:c r="O275" s="262" t="n">
        <x:f>IF(N275="","",M275/N275-1)</x:f>
        <x:v>-0.024093722369584514</x:v>
      </x:c>
    </x:row>
    <x:row r="276">
      <x:c r="J276" s="257" t="str">
        <x:v>003504.OF</x:v>
      </x:c>
      <x:c r="K276" s="258" t="str">
        <x:v>景顺长城景颐丰利债券A</x:v>
      </x:c>
      <x:c r="L276" s="263" t="n">
        <x:v>46211</x:v>
      </x:c>
      <x:c r="M276" s="261" t="n">
        <x:v>1.7677</x:v>
      </x:c>
      <x:c r="N276" s="261" t="n">
        <x:f>IF(OR(L276&lt;$B$3,L276&gt;$D$3),"",IF(AND(J276=J275,N275&lt;&gt;""),MAX(M276,N275),M276))</x:f>
        <x:v>1.8096</x:v>
      </x:c>
      <x:c r="O276" s="262" t="n">
        <x:f>IF(N276="","",M276/N276-1)</x:f>
        <x:v>-0.023154288240495147</x:v>
      </x:c>
    </x:row>
    <x:row r="277">
      <x:c r="J277" s="257" t="str">
        <x:v>003504.OF</x:v>
      </x:c>
      <x:c r="K277" s="258" t="str">
        <x:v>景顺长城景颐丰利债券A</x:v>
      </x:c>
      <x:c r="L277" s="263" t="n">
        <x:v>46212</x:v>
      </x:c>
      <x:c r="M277" s="261" t="n">
        <x:v>1.7923</x:v>
      </x:c>
      <x:c r="N277" s="261" t="n">
        <x:f>IF(OR(L277&lt;$B$3,L277&gt;$D$3),"",IF(AND(J277=J276,N276&lt;&gt;""),MAX(M277,N276),M277))</x:f>
        <x:v>1.8096</x:v>
      </x:c>
      <x:c r="O277" s="262" t="n">
        <x:f>IF(N277="","",M277/N277-1)</x:f>
        <x:v>-0.009560123784261743</x:v>
      </x:c>
    </x:row>
    <x:row r="278">
      <x:c r="J278" s="257" t="str">
        <x:v>003504.OF</x:v>
      </x:c>
      <x:c r="K278" s="258" t="str">
        <x:v>景顺长城景颐丰利债券A</x:v>
      </x:c>
      <x:c r="L278" s="263" t="n">
        <x:v>46213</x:v>
      </x:c>
      <x:c r="M278" s="261" t="n">
        <x:v>1.7679</x:v>
      </x:c>
      <x:c r="N278" s="261" t="n">
        <x:f>IF(OR(L278&lt;$B$3,L278&gt;$D$3),"",IF(AND(J278=J277,N277&lt;&gt;""),MAX(M278,N277),M278))</x:f>
        <x:v>1.8096</x:v>
      </x:c>
      <x:c r="O278" s="262" t="n">
        <x:f>IF(N278="","",M278/N278-1)</x:f>
        <x:v>-0.02304376657824936</x:v>
      </x:c>
    </x:row>
    <x:row r="279">
      <x:c r="J279" s="257" t="str">
        <x:v>003504.OF</x:v>
      </x:c>
      <x:c r="K279" s="258" t="str">
        <x:v>景顺长城景颐丰利债券A</x:v>
      </x:c>
      <x:c r="L279" s="263" t="n">
        <x:v>46214</x:v>
      </x:c>
      <x:c r="M279" s="261" t="n">
        <x:v>1.7679</x:v>
      </x:c>
      <x:c r="N279" s="261" t="n">
        <x:f>IF(OR(L279&lt;$B$3,L279&gt;$D$3),"",IF(AND(J279=J278,N278&lt;&gt;""),MAX(M279,N278),M279))</x:f>
        <x:v>1.8096</x:v>
      </x:c>
      <x:c r="O279" s="262" t="n">
        <x:f>IF(N279="","",M279/N279-1)</x:f>
        <x:v>-0.02304376657824936</x:v>
      </x:c>
    </x:row>
    <x:row r="280">
      <x:c r="J280" s="257" t="str">
        <x:v>003504.OF</x:v>
      </x:c>
      <x:c r="K280" s="258" t="str">
        <x:v>景顺长城景颐丰利债券A</x:v>
      </x:c>
      <x:c r="L280" s="263" t="n">
        <x:v>46215</x:v>
      </x:c>
      <x:c r="M280" s="261" t="n">
        <x:v>1.7679</x:v>
      </x:c>
      <x:c r="N280" s="261" t="n">
        <x:f>IF(OR(L280&lt;$B$3,L280&gt;$D$3),"",IF(AND(J280=J279,N279&lt;&gt;""),MAX(M280,N279),M280))</x:f>
        <x:v>1.8096</x:v>
      </x:c>
      <x:c r="O280" s="262" t="n">
        <x:f>IF(N280="","",M280/N280-1)</x:f>
        <x:v>-0.02304376657824936</x:v>
      </x:c>
    </x:row>
    <x:row r="281">
      <x:c r="J281" s="257" t="str">
        <x:v>003504.OF</x:v>
      </x:c>
      <x:c r="K281" s="258" t="str">
        <x:v>景顺长城景颐丰利债券A</x:v>
      </x:c>
      <x:c r="L281" s="263" t="n">
        <x:v>46216</x:v>
      </x:c>
      <x:c r="M281" s="261" t="n">
        <x:v>1.7548</x:v>
      </x:c>
      <x:c r="N281" s="261" t="n">
        <x:f>IF(OR(L281&lt;$B$3,L281&gt;$D$3),"",IF(AND(J281=J280,N280&lt;&gt;""),MAX(M281,N280),M281))</x:f>
        <x:v>1.8096</x:v>
      </x:c>
      <x:c r="O281" s="262" t="n">
        <x:f>IF(N281="","",M281/N281-1)</x:f>
        <x:v>-0.030282935455349325</x:v>
      </x:c>
    </x:row>
    <x:row r="282">
      <x:c r="J282" s="257" t="str">
        <x:v>003504.OF</x:v>
      </x:c>
      <x:c r="K282" s="258" t="str">
        <x:v>景顺长城景颐丰利债券A</x:v>
      </x:c>
      <x:c r="L282" s="263" t="n">
        <x:v>46217</x:v>
      </x:c>
      <x:c r="M282" s="261" t="n">
        <x:v>1.775</x:v>
      </x:c>
      <x:c r="N282" s="261" t="n">
        <x:f>IF(OR(L282&lt;$B$3,L282&gt;$D$3),"",IF(AND(J282=J281,N281&lt;&gt;""),MAX(M282,N281),M282))</x:f>
        <x:v>1.8096</x:v>
      </x:c>
      <x:c r="O282" s="262" t="n">
        <x:f>IF(N282="","",M282/N282-1)</x:f>
        <x:v>-0.019120247568523485</x:v>
      </x:c>
    </x:row>
    <x:row r="283">
      <x:c r="J283" s="257" t="str">
        <x:v>003504.OF</x:v>
      </x:c>
      <x:c r="K283" s="258" t="str">
        <x:v>景顺长城景颐丰利债券A</x:v>
      </x:c>
      <x:c r="L283" s="263" t="n">
        <x:v>46218</x:v>
      </x:c>
      <x:c r="M283" s="261" t="n">
        <x:v>1.7646</x:v>
      </x:c>
      <x:c r="N283" s="261" t="n">
        <x:f>IF(OR(L283&lt;$B$3,L283&gt;$D$3),"",IF(AND(J283=J282,N282&lt;&gt;""),MAX(M283,N282),M283))</x:f>
        <x:v>1.8096</x:v>
      </x:c>
      <x:c r="O283" s="262" t="n">
        <x:f>IF(N283="","",M283/N283-1)</x:f>
        <x:v>-0.024867374005305143</x:v>
      </x:c>
    </x:row>
    <x:row r="284">
      <x:c r="J284" s="257" t="str">
        <x:v>003504.OF</x:v>
      </x:c>
      <x:c r="K284" s="258" t="str">
        <x:v>景顺长城景颐丰利债券A</x:v>
      </x:c>
      <x:c r="L284" s="263" t="n">
        <x:v>46219</x:v>
      </x:c>
      <x:c r="M284" s="261" t="n">
        <x:v>1.7537</x:v>
      </x:c>
      <x:c r="N284" s="261" t="n">
        <x:f>IF(OR(L284&lt;$B$3,L284&gt;$D$3),"",IF(AND(J284=J283,N283&lt;&gt;""),MAX(M284,N283),M284))</x:f>
        <x:v>1.8096</x:v>
      </x:c>
      <x:c r="O284" s="262" t="n">
        <x:f>IF(N284="","",M284/N284-1)</x:f>
        <x:v>-0.030890804597701216</x:v>
      </x:c>
    </x:row>
    <x:row r="285">
      <x:c r="J285" s="257" t="str">
        <x:v>003504.OF</x:v>
      </x:c>
      <x:c r="K285" s="258" t="str">
        <x:v>景顺长城景颐丰利债券A</x:v>
      </x:c>
      <x:c r="L285" s="263" t="n">
        <x:v>46220</x:v>
      </x:c>
      <x:c r="M285" s="261" t="n">
        <x:v>1.7232</x:v>
      </x:c>
      <x:c r="N285" s="261" t="n">
        <x:f>IF(OR(L285&lt;$B$3,L285&gt;$D$3),"",IF(AND(J285=J284,N284&lt;&gt;""),MAX(M285,N284),M285))</x:f>
        <x:v>1.8096</x:v>
      </x:c>
      <x:c r="O285" s="262" t="n">
        <x:f>IF(N285="","",M285/N285-1)</x:f>
        <x:v>-0.04774535809018565</x:v>
      </x:c>
    </x:row>
    <x:row r="286">
      <x:c r="J286" s="257" t="str">
        <x:v>003504.OF</x:v>
      </x:c>
      <x:c r="K286" s="258" t="str">
        <x:v>景顺长城景颐丰利债券A</x:v>
      </x:c>
      <x:c r="L286" s="263" t="n">
        <x:v>46221</x:v>
      </x:c>
      <x:c r="M286" s="261" t="n">
        <x:v>1.7232</x:v>
      </x:c>
      <x:c r="N286" s="261" t="n">
        <x:f>IF(OR(L286&lt;$B$3,L286&gt;$D$3),"",IF(AND(J286=J285,N285&lt;&gt;""),MAX(M286,N285),M286))</x:f>
        <x:v>1.8096</x:v>
      </x:c>
      <x:c r="O286" s="262" t="n">
        <x:f>IF(N286="","",M286/N286-1)</x:f>
        <x:v>-0.04774535809018565</x:v>
      </x:c>
    </x:row>
    <x:row r="287">
      <x:c r="J287" s="257" t="str">
        <x:v>003504.OF</x:v>
      </x:c>
      <x:c r="K287" s="258" t="str">
        <x:v>景顺长城景颐丰利债券A</x:v>
      </x:c>
      <x:c r="L287" s="263" t="n">
        <x:v>46222</x:v>
      </x:c>
      <x:c r="M287" s="261" t="n">
        <x:v>1.7232</x:v>
      </x:c>
      <x:c r="N287" s="261" t="n">
        <x:f>IF(OR(L287&lt;$B$3,L287&gt;$D$3),"",IF(AND(J287=J286,N286&lt;&gt;""),MAX(M287,N286),M287))</x:f>
        <x:v>1.8096</x:v>
      </x:c>
      <x:c r="O287" s="262" t="n">
        <x:f>IF(N287="","",M287/N287-1)</x:f>
        <x:v>-0.04774535809018565</x:v>
      </x:c>
    </x:row>
    <x:row r="288">
      <x:c r="J288" s="257" t="str">
        <x:v>003504.OF</x:v>
      </x:c>
      <x:c r="K288" s="258" t="str">
        <x:v>景顺长城景颐丰利债券A</x:v>
      </x:c>
      <x:c r="L288" s="263" t="n">
        <x:v>46223</x:v>
      </x:c>
      <x:c r="M288" s="261" t="n">
        <x:v>1.7182</x:v>
      </x:c>
      <x:c r="N288" s="261" t="n">
        <x:f>IF(OR(L288&lt;$B$3,L288&gt;$D$3),"",IF(AND(J288=J287,N287&lt;&gt;""),MAX(M288,N287),M288))</x:f>
        <x:v>1.8096</x:v>
      </x:c>
      <x:c r="O288" s="262" t="n">
        <x:f>IF(N288="","",M288/N288-1)</x:f>
        <x:v>-0.050508399646330804</x:v>
      </x:c>
    </x:row>
    <x:row r="289">
      <x:c r="J289" s="257" t="str">
        <x:v>003504.OF</x:v>
      </x:c>
      <x:c r="K289" s="258" t="str">
        <x:v>景顺长城景颐丰利债券A</x:v>
      </x:c>
      <x:c r="L289" s="263" t="n">
        <x:v>46224</x:v>
      </x:c>
      <x:c r="M289" s="261" t="n">
        <x:v>1.7572</x:v>
      </x:c>
      <x:c r="N289" s="261" t="n">
        <x:f>IF(OR(L289&lt;$B$3,L289&gt;$D$3),"",IF(AND(J289=J288,N288&lt;&gt;""),MAX(M289,N288),M289))</x:f>
        <x:v>1.8096</x:v>
      </x:c>
      <x:c r="O289" s="262" t="n">
        <x:f>IF(N289="","",M289/N289-1)</x:f>
        <x:v>-0.028956675508399643</x:v>
      </x:c>
    </x:row>
    <x:row r="290">
      <x:c r="J290" s="257" t="str">
        <x:v>003504.OF</x:v>
      </x:c>
      <x:c r="K290" s="258" t="str">
        <x:v>景顺长城景颐丰利债券A</x:v>
      </x:c>
      <x:c r="L290" s="263" t="n">
        <x:v>46225</x:v>
      </x:c>
      <x:c r="M290" s="261" t="n">
        <x:v>1.744</x:v>
      </x:c>
      <x:c r="N290" s="261" t="n">
        <x:f>IF(OR(L290&lt;$B$3,L290&gt;$D$3),"",IF(AND(J290=J289,N289&lt;&gt;""),MAX(M290,N289),M290))</x:f>
        <x:v>1.8096</x:v>
      </x:c>
      <x:c r="O290" s="262" t="n">
        <x:f>IF(N290="","",M290/N290-1)</x:f>
        <x:v>-0.03625110521662256</x:v>
      </x:c>
    </x:row>
    <x:row r="291">
      <x:c r="J291" s="257" t="str">
        <x:v>003504.OF</x:v>
      </x:c>
      <x:c r="K291" s="258" t="str">
        <x:v>景顺长城景颐丰利债券A</x:v>
      </x:c>
      <x:c r="L291" s="263" t="n">
        <x:v>46226</x:v>
      </x:c>
      <x:c r="M291" s="261" t="n">
        <x:v>1.7352</x:v>
      </x:c>
      <x:c r="N291" s="261" t="n">
        <x:f>IF(OR(L291&lt;$B$3,L291&gt;$D$3),"",IF(AND(J291=J290,N290&lt;&gt;""),MAX(M291,N290),M291))</x:f>
        <x:v>1.8096</x:v>
      </x:c>
      <x:c r="O291" s="262" t="n">
        <x:f>IF(N291="","",M291/N291-1)</x:f>
        <x:v>-0.04111405835543769</x:v>
      </x:c>
    </x:row>
    <x:row r="292">
      <x:c r="J292" s="257" t="str">
        <x:v>003504.OF</x:v>
      </x:c>
      <x:c r="K292" s="258" t="str">
        <x:v>景顺长城景颐丰利债券A</x:v>
      </x:c>
      <x:c r="L292" s="263" t="n">
        <x:v>46227</x:v>
      </x:c>
      <x:c r="M292" s="261" t="n">
        <x:v>1.7258</x:v>
      </x:c>
      <x:c r="N292" s="261" t="n">
        <x:f>IF(OR(L292&lt;$B$3,L292&gt;$D$3),"",IF(AND(J292=J291,N291&lt;&gt;""),MAX(M292,N291),M292))</x:f>
        <x:v>1.8096</x:v>
      </x:c>
      <x:c r="O292" s="262" t="n">
        <x:f>IF(N292="","",M292/N292-1)</x:f>
        <x:v>-0.04630857648099029</x:v>
      </x:c>
    </x:row>
    <x:row r="293">
      <x:c r="J293" s="257" t="str">
        <x:v>003504.OF</x:v>
      </x:c>
      <x:c r="K293" s="258" t="str">
        <x:v>景顺长城景颐丰利债券A</x:v>
      </x:c>
      <x:c r="L293" s="263" t="n">
        <x:v>46228</x:v>
      </x:c>
      <x:c r="M293" s="261" t="n">
        <x:v>1.7258</x:v>
      </x:c>
      <x:c r="N293" s="261" t="n">
        <x:f>IF(OR(L293&lt;$B$3,L293&gt;$D$3),"",IF(AND(J293=J292,N292&lt;&gt;""),MAX(M293,N292),M293))</x:f>
        <x:v>1.8096</x:v>
      </x:c>
      <x:c r="O293" s="262" t="n">
        <x:f>IF(N293="","",M293/N293-1)</x:f>
        <x:v>-0.04630857648099029</x:v>
      </x:c>
    </x:row>
    <x:row r="294">
      <x:c r="J294" s="257" t="str">
        <x:v>003504.OF</x:v>
      </x:c>
      <x:c r="K294" s="258" t="str">
        <x:v>景顺长城景颐丰利债券A</x:v>
      </x:c>
      <x:c r="L294" s="263" t="n">
        <x:v>46229</x:v>
      </x:c>
      <x:c r="M294" s="261" t="n">
        <x:v>1.7258</x:v>
      </x:c>
      <x:c r="N294" s="261" t="n">
        <x:f>IF(OR(L294&lt;$B$3,L294&gt;$D$3),"",IF(AND(J294=J293,N293&lt;&gt;""),MAX(M294,N293),M294))</x:f>
        <x:v>1.8096</x:v>
      </x:c>
      <x:c r="O294" s="262" t="n">
        <x:f>IF(N294="","",M294/N294-1)</x:f>
        <x:v>-0.04630857648099029</x:v>
      </x:c>
    </x:row>
    <x:row r="295">
      <x:c r="J295" s="257" t="str">
        <x:v>003504.OF</x:v>
      </x:c>
      <x:c r="K295" s="258" t="str">
        <x:v>景顺长城景颐丰利债券A</x:v>
      </x:c>
      <x:c r="L295" s="263" t="n">
        <x:v>46230</x:v>
      </x:c>
      <x:c r="M295" s="261" t="n">
        <x:v>1.7348</x:v>
      </x:c>
      <x:c r="N295" s="261" t="n">
        <x:f>IF(OR(L295&lt;$B$3,L295&gt;$D$3),"",IF(AND(J295=J294,N294&lt;&gt;""),MAX(M295,N294),M295))</x:f>
        <x:v>1.8096</x:v>
      </x:c>
      <x:c r="O295" s="262" t="n">
        <x:f>IF(N295="","",M295/N295-1)</x:f>
        <x:v>-0.041335101679929376</x:v>
      </x:c>
    </x:row>
    <x:row r="296">
      <x:c r="J296" s="257" t="str">
        <x:v>003504.OF</x:v>
      </x:c>
      <x:c r="K296" s="258" t="str">
        <x:v>景顺长城景颐丰利债券A</x:v>
      </x:c>
      <x:c r="L296" s="263" t="n">
        <x:v>46231</x:v>
      </x:c>
      <x:c r="M296" s="261" t="n">
        <x:v>1.6957</x:v>
      </x:c>
      <x:c r="N296" s="261" t="n">
        <x:f>IF(OR(L296&lt;$B$3,L296&gt;$D$3),"",IF(AND(J296=J295,N295&lt;&gt;""),MAX(M296,N295),M296))</x:f>
        <x:v>1.8096</x:v>
      </x:c>
      <x:c r="O296" s="262" t="n">
        <x:f>IF(N296="","",M296/N296-1)</x:f>
        <x:v>-0.06294208664898326</x:v>
      </x:c>
    </x:row>
    <x:row r="297">
      <x:c r="J297" s="257" t="str">
        <x:v>003504.OF</x:v>
      </x:c>
      <x:c r="K297" s="258" t="str">
        <x:v>景顺长城景颐丰利债券A</x:v>
      </x:c>
      <x:c r="L297" s="263" t="n">
        <x:v>46232</x:v>
      </x:c>
      <x:c r="M297" s="261" t="n">
        <x:v>1.6978</x:v>
      </x:c>
      <x:c r="N297" s="261" t="n">
        <x:f>IF(OR(L297&lt;$B$3,L297&gt;$D$3),"",IF(AND(J297=J296,N296&lt;&gt;""),MAX(M297,N296),M297))</x:f>
        <x:v>1.8096</x:v>
      </x:c>
      <x:c r="O297" s="262" t="n">
        <x:f>IF(N297="","",M297/N297-1)</x:f>
        <x:v>-0.06178160919540232</x:v>
      </x:c>
    </x:row>
    <x:row r="298">
      <x:c r="J298" s="257" t="str">
        <x:v>003504.OF</x:v>
      </x:c>
      <x:c r="K298" s="258" t="str">
        <x:v>景顺长城景颐丰利债券A</x:v>
      </x:c>
      <x:c r="L298" s="263" t="n">
        <x:v>46233</x:v>
      </x:c>
      <x:c r="M298" s="261" t="n">
        <x:v>1.6681</x:v>
      </x:c>
      <x:c r="N298" s="261" t="n">
        <x:f>IF(OR(L298&lt;$B$3,L298&gt;$D$3),"",IF(AND(J298=J297,N297&lt;&gt;""),MAX(M298,N297),M298))</x:f>
        <x:v>1.8096</x:v>
      </x:c>
      <x:c r="O298" s="262" t="n">
        <x:f>IF(N298="","",M298/N298-1)</x:f>
        <x:v>-0.07819407603890371</x:v>
      </x:c>
    </x:row>
    <x:row r="299">
      <x:c r="J299" s="257" t="str">
        <x:v>003504.OF</x:v>
      </x:c>
      <x:c r="K299" s="258" t="str">
        <x:v>景顺长城景颐丰利债券A</x:v>
      </x:c>
      <x:c r="L299" s="263" t="n">
        <x:v>46234</x:v>
      </x:c>
      <x:c r="M299" s="261" t="n">
        <x:v>1.6838</x:v>
      </x:c>
      <x:c r="N299" s="261" t="n">
        <x:f>IF(OR(L299&lt;$B$3,L299&gt;$D$3),"",IF(AND(J299=J298,N298&lt;&gt;""),MAX(M299,N298),M299))</x:f>
        <x:v>1.8096</x:v>
      </x:c>
      <x:c r="O299" s="262" t="n">
        <x:f>IF(N299="","",M299/N299-1)</x:f>
        <x:v>-0.06951812555260839</x:v>
      </x:c>
    </x:row>
    <x:row r="300">
      <x:c r="J300" s="257" t="str">
        <x:v>003504.OF</x:v>
      </x:c>
      <x:c r="K300" s="258" t="str">
        <x:v>景顺长城景颐丰利债券A</x:v>
      </x:c>
      <x:c r="L300" s="263" t="n">
        <x:v>46235</x:v>
      </x:c>
      <x:c r="M300" s="261" t="n">
        <x:v>1.6838</x:v>
      </x:c>
      <x:c r="N300" s="261" t="n">
        <x:f>IF(OR(L300&lt;$B$3,L300&gt;$D$3),"",IF(AND(J300=J299,N299&lt;&gt;""),MAX(M300,N299),M300))</x:f>
        <x:v>1.8096</x:v>
      </x:c>
      <x:c r="O300" s="262" t="n">
        <x:f>IF(N300="","",M300/N300-1)</x:f>
        <x:v>-0.06951812555260839</x:v>
      </x:c>
    </x:row>
    <x:row r="301">
      <x:c r="J301" s="257" t="str">
        <x:v>003504.OF</x:v>
      </x:c>
      <x:c r="K301" s="258" t="str">
        <x:v>景顺长城景颐丰利债券A</x:v>
      </x:c>
      <x:c r="L301" s="263" t="n">
        <x:v>46236</x:v>
      </x:c>
      <x:c r="M301" s="261" t="n">
        <x:v>1.6838</x:v>
      </x:c>
      <x:c r="N301" s="261" t="n">
        <x:f>IF(OR(L301&lt;$B$3,L301&gt;$D$3),"",IF(AND(J301=J300,N300&lt;&gt;""),MAX(M301,N300),M301))</x:f>
        <x:v>1.8096</x:v>
      </x:c>
      <x:c r="O301" s="262" t="n">
        <x:f>IF(N301="","",M301/N301-1)</x:f>
        <x:v>-0.06951812555260839</x:v>
      </x:c>
    </x:row>
    <x:row r="302">
      <x:c r="J302" s="257" t="str">
        <x:v>003504.OF</x:v>
      </x:c>
      <x:c r="K302" s="258" t="str">
        <x:v>景顺长城景颐丰利债券A</x:v>
      </x:c>
      <x:c r="L302" s="263" t="n">
        <x:v>46237</x:v>
      </x:c>
      <x:c r="M302" s="261" t="n">
        <x:v>1.675</x:v>
      </x:c>
      <x:c r="N302" s="261" t="n">
        <x:f>IF(OR(L302&lt;$B$3,L302&gt;$D$3),"",IF(AND(J302=J301,N301&lt;&gt;""),MAX(M302,N301),M302))</x:f>
        <x:v>1.8096</x:v>
      </x:c>
      <x:c r="O302" s="262" t="n">
        <x:f>IF(N302="","",M302/N302-1)</x:f>
        <x:v>-0.07438107869142352</x:v>
      </x:c>
    </x:row>
    <x:row r="303">
      <x:c r="J303" s="257" t="str">
        <x:v>003504.OF</x:v>
      </x:c>
      <x:c r="K303" s="258" t="str">
        <x:v>景顺长城景颐丰利债券A</x:v>
      </x:c>
      <x:c r="L303" s="263" t="n">
        <x:v>46238</x:v>
      </x:c>
      <x:c r="M303" s="261" t="n">
        <x:v>1.7048</x:v>
      </x:c>
      <x:c r="N303" s="261" t="n">
        <x:f>IF(OR(L303&lt;$B$3,L303&gt;$D$3),"",IF(AND(J303=J302,N302&lt;&gt;""),MAX(M303,N302),M303))</x:f>
        <x:v>1.8096</x:v>
      </x:c>
      <x:c r="O303" s="262" t="n">
        <x:f>IF(N303="","",M303/N303-1)</x:f>
        <x:v>-0.057913351016799286</x:v>
      </x:c>
    </x:row>
    <x:row r="304">
      <x:c r="J304" s="257" t="str">
        <x:v>003504.OF</x:v>
      </x:c>
      <x:c r="K304" s="258" t="str">
        <x:v>景顺长城景颐丰利债券A</x:v>
      </x:c>
      <x:c r="L304" s="263" t="n">
        <x:v>46239</x:v>
      </x:c>
      <x:c r="M304" s="261" t="n">
        <x:v>1.711</x:v>
      </x:c>
      <x:c r="N304" s="261" t="n">
        <x:f>IF(OR(L304&lt;$B$3,L304&gt;$D$3),"",IF(AND(J304=J303,N303&lt;&gt;""),MAX(M304,N303),M304))</x:f>
        <x:v>1.8096</x:v>
      </x:c>
      <x:c r="O304" s="262" t="n">
        <x:f>IF(N304="","",M304/N304-1)</x:f>
        <x:v>-0.054487179487179516</x:v>
      </x:c>
    </x:row>
    <x:row r="305">
      <x:c r="J305" s="257" t="str">
        <x:v>003504.OF</x:v>
      </x:c>
      <x:c r="K305" s="258" t="str">
        <x:v>景顺长城景颐丰利债券A</x:v>
      </x:c>
      <x:c r="L305" s="263" t="n">
        <x:v>46240</x:v>
      </x:c>
      <x:c r="M305" s="261" t="n">
        <x:v>1.7154</x:v>
      </x:c>
      <x:c r="N305" s="261" t="n">
        <x:f>IF(OR(L305&lt;$B$3,L305&gt;$D$3),"",IF(AND(J305=J304,N304&lt;&gt;""),MAX(M305,N304),M305))</x:f>
        <x:v>1.8096</x:v>
      </x:c>
      <x:c r="O305" s="262" t="n">
        <x:f>IF(N305="","",M305/N305-1)</x:f>
        <x:v>-0.05205570291777195</x:v>
      </x:c>
    </x:row>
    <x:row r="306">
      <x:c r="J306" s="257" t="str">
        <x:v>003504.OF</x:v>
      </x:c>
      <x:c r="K306" s="258" t="str">
        <x:v>景顺长城景颐丰利债券A</x:v>
      </x:c>
      <x:c r="L306" s="263" t="n">
        <x:v>46241</x:v>
      </x:c>
      <x:c r="M306" s="261" t="n">
        <x:v>1.7215</x:v>
      </x:c>
      <x:c r="N306" s="261" t="n">
        <x:f>IF(OR(L306&lt;$B$3,L306&gt;$D$3),"",IF(AND(J306=J305,N305&lt;&gt;""),MAX(M306,N305),M306))</x:f>
        <x:v>1.8096</x:v>
      </x:c>
      <x:c r="O306" s="262" t="n">
        <x:f>IF(N306="","",M306/N306-1)</x:f>
        <x:v>-0.04868479221927502</x:v>
      </x:c>
    </x:row>
    <x:row r="307">
      <x:c r="J307" s="257" t="str">
        <x:v>003504.OF</x:v>
      </x:c>
      <x:c r="K307" s="258" t="str">
        <x:v>景顺长城景颐丰利债券A</x:v>
      </x:c>
      <x:c r="L307" s="263" t="n">
        <x:v>46242</x:v>
      </x:c>
      <x:c r="M307" s="261" t="n">
        <x:v>1.7215</x:v>
      </x:c>
      <x:c r="N307" s="261" t="n">
        <x:f>IF(OR(L307&lt;$B$3,L307&gt;$D$3),"",IF(AND(J307=J306,N306&lt;&gt;""),MAX(M307,N306),M307))</x:f>
        <x:v>1.8096</x:v>
      </x:c>
      <x:c r="O307" s="262" t="n">
        <x:f>IF(N307="","",M307/N307-1)</x:f>
        <x:v>-0.04868479221927502</x:v>
      </x:c>
    </x:row>
    <x:row r="308">
      <x:c r="J308" s="257" t="str">
        <x:v>003504.OF</x:v>
      </x:c>
      <x:c r="K308" s="258" t="str">
        <x:v>景顺长城景颐丰利债券A</x:v>
      </x:c>
      <x:c r="L308" s="263" t="n">
        <x:v>46243</x:v>
      </x:c>
      <x:c r="M308" s="261" t="n">
        <x:v>1.7215</x:v>
      </x:c>
      <x:c r="N308" s="261" t="n">
        <x:f>IF(OR(L308&lt;$B$3,L308&gt;$D$3),"",IF(AND(J308=J307,N307&lt;&gt;""),MAX(M308,N307),M308))</x:f>
        <x:v>1.8096</x:v>
      </x:c>
      <x:c r="O308" s="262" t="n">
        <x:f>IF(N308="","",M308/N308-1)</x:f>
        <x:v>-0.04868479221927502</x:v>
      </x:c>
    </x:row>
    <x:row r="309">
      <x:c r="J309" s="257" t="str">
        <x:v>003504.OF</x:v>
      </x:c>
      <x:c r="K309" s="258" t="str">
        <x:v>景顺长城景颐丰利债券A</x:v>
      </x:c>
      <x:c r="L309" s="263" t="n">
        <x:v>46244</x:v>
      </x:c>
      <x:c r="M309" s="261" t="n">
        <x:v>1.7155</x:v>
      </x:c>
      <x:c r="N309" s="261" t="n">
        <x:f>IF(OR(L309&lt;$B$3,L309&gt;$D$3),"",IF(AND(J309=J308,N308&lt;&gt;""),MAX(M309,N308),M309))</x:f>
        <x:v>1.8096</x:v>
      </x:c>
      <x:c r="O309" s="262" t="n">
        <x:f>IF(N309="","",M309/N309-1)</x:f>
        <x:v>-0.052000442086649</x:v>
      </x:c>
    </x:row>
    <x:row r="310">
      <x:c r="J310" s="257" t="str">
        <x:v>000143.OF</x:v>
      </x:c>
      <x:c r="K310" s="258" t="str">
        <x:v>鹏华双债加利债券A</x:v>
      </x:c>
      <x:c r="L310" s="263" t="n">
        <x:v>46191</x:v>
      </x:c>
      <x:c r="M310" s="261" t="n">
        <x:v>2.5875</x:v>
      </x:c>
      <x:c r="N310" s="261" t="n">
        <x:f>IF(OR(L310&lt;$B$3,L310&gt;$D$3),"",IF(AND(J310=J309,N309&lt;&gt;""),MAX(M310,N309),M310))</x:f>
        <x:v>2.5875</x:v>
      </x:c>
      <x:c r="O310" s="262" t="n">
        <x:f>IF(N310="","",M310/N310-1)</x:f>
        <x:v>0</x:v>
      </x:c>
    </x:row>
    <x:row r="311">
      <x:c r="J311" s="257" t="str">
        <x:v>000143.OF</x:v>
      </x:c>
      <x:c r="K311" s="258" t="str">
        <x:v>鹏华双债加利债券A</x:v>
      </x:c>
      <x:c r="L311" s="263" t="n">
        <x:v>46192</x:v>
      </x:c>
      <x:c r="M311" s="261" t="n">
        <x:v>2.5875</x:v>
      </x:c>
      <x:c r="N311" s="261" t="n">
        <x:f>IF(OR(L311&lt;$B$3,L311&gt;$D$3),"",IF(AND(J311=J310,N310&lt;&gt;""),MAX(M311,N310),M311))</x:f>
        <x:v>2.5875</x:v>
      </x:c>
      <x:c r="O311" s="262" t="n">
        <x:f>IF(N311="","",M311/N311-1)</x:f>
        <x:v>0</x:v>
      </x:c>
    </x:row>
    <x:row r="312">
      <x:c r="J312" s="257" t="str">
        <x:v>000143.OF</x:v>
      </x:c>
      <x:c r="K312" s="258" t="str">
        <x:v>鹏华双债加利债券A</x:v>
      </x:c>
      <x:c r="L312" s="263" t="n">
        <x:v>46193</x:v>
      </x:c>
      <x:c r="M312" s="261" t="n">
        <x:v>2.5875</x:v>
      </x:c>
      <x:c r="N312" s="261" t="n">
        <x:f>IF(OR(L312&lt;$B$3,L312&gt;$D$3),"",IF(AND(J312=J311,N311&lt;&gt;""),MAX(M312,N311),M312))</x:f>
        <x:v>2.5875</x:v>
      </x:c>
      <x:c r="O312" s="262" t="n">
        <x:f>IF(N312="","",M312/N312-1)</x:f>
        <x:v>0</x:v>
      </x:c>
    </x:row>
    <x:row r="313">
      <x:c r="J313" s="257" t="str">
        <x:v>000143.OF</x:v>
      </x:c>
      <x:c r="K313" s="258" t="str">
        <x:v>鹏华双债加利债券A</x:v>
      </x:c>
      <x:c r="L313" s="263" t="n">
        <x:v>46194</x:v>
      </x:c>
      <x:c r="M313" s="261" t="n">
        <x:v>2.5875</x:v>
      </x:c>
      <x:c r="N313" s="261" t="n">
        <x:f>IF(OR(L313&lt;$B$3,L313&gt;$D$3),"",IF(AND(J313=J312,N312&lt;&gt;""),MAX(M313,N312),M313))</x:f>
        <x:v>2.5875</x:v>
      </x:c>
      <x:c r="O313" s="262" t="n">
        <x:f>IF(N313="","",M313/N313-1)</x:f>
        <x:v>0</x:v>
      </x:c>
    </x:row>
    <x:row r="314">
      <x:c r="J314" s="257" t="str">
        <x:v>000143.OF</x:v>
      </x:c>
      <x:c r="K314" s="258" t="str">
        <x:v>鹏华双债加利债券A</x:v>
      </x:c>
      <x:c r="L314" s="263" t="n">
        <x:v>46195</x:v>
      </x:c>
      <x:c r="M314" s="261" t="n">
        <x:v>2.5995</x:v>
      </x:c>
      <x:c r="N314" s="261" t="n">
        <x:f>IF(OR(L314&lt;$B$3,L314&gt;$D$3),"",IF(AND(J314=J313,N313&lt;&gt;""),MAX(M314,N313),M314))</x:f>
        <x:v>2.5995</x:v>
      </x:c>
      <x:c r="O314" s="262" t="n">
        <x:f>IF(N314="","",M314/N314-1)</x:f>
        <x:v>0</x:v>
      </x:c>
    </x:row>
    <x:row r="315">
      <x:c r="J315" s="257" t="str">
        <x:v>000143.OF</x:v>
      </x:c>
      <x:c r="K315" s="258" t="str">
        <x:v>鹏华双债加利债券A</x:v>
      </x:c>
      <x:c r="L315" s="263" t="n">
        <x:v>46196</x:v>
      </x:c>
      <x:c r="M315" s="261" t="n">
        <x:v>2.583</x:v>
      </x:c>
      <x:c r="N315" s="261" t="n">
        <x:f>IF(OR(L315&lt;$B$3,L315&gt;$D$3),"",IF(AND(J315=J314,N314&lt;&gt;""),MAX(M315,N314),M315))</x:f>
        <x:v>2.5995</x:v>
      </x:c>
      <x:c r="O315" s="262" t="n">
        <x:f>IF(N315="","",M315/N315-1)</x:f>
        <x:v>-0.006347374495095148</x:v>
      </x:c>
    </x:row>
    <x:row r="316">
      <x:c r="J316" s="257" t="str">
        <x:v>000143.OF</x:v>
      </x:c>
      <x:c r="K316" s="258" t="str">
        <x:v>鹏华双债加利债券A</x:v>
      </x:c>
      <x:c r="L316" s="263" t="n">
        <x:v>46197</x:v>
      </x:c>
      <x:c r="M316" s="261" t="n">
        <x:v>2.5994</x:v>
      </x:c>
      <x:c r="N316" s="261" t="n">
        <x:f>IF(OR(L316&lt;$B$3,L316&gt;$D$3),"",IF(AND(J316=J315,N315&lt;&gt;""),MAX(M316,N315),M316))</x:f>
        <x:v>2.5995</x:v>
      </x:c>
      <x:c r="O316" s="262" t="n">
        <x:f>IF(N316="","",M316/N316-1)</x:f>
        <x:v>-0.000038468936333857506</x:v>
      </x:c>
    </x:row>
    <x:row r="317">
      <x:c r="J317" s="257" t="str">
        <x:v>000143.OF</x:v>
      </x:c>
      <x:c r="K317" s="258" t="str">
        <x:v>鹏华双债加利债券A</x:v>
      </x:c>
      <x:c r="L317" s="263" t="n">
        <x:v>46198</x:v>
      </x:c>
      <x:c r="M317" s="261" t="n">
        <x:v>2.6122</x:v>
      </x:c>
      <x:c r="N317" s="261" t="n">
        <x:f>IF(OR(L317&lt;$B$3,L317&gt;$D$3),"",IF(AND(J317=J316,N316&lt;&gt;""),MAX(M317,N316),M317))</x:f>
        <x:v>2.6122</x:v>
      </x:c>
      <x:c r="O317" s="262" t="n">
        <x:f>IF(N317="","",M317/N317-1)</x:f>
        <x:v>0</x:v>
      </x:c>
    </x:row>
    <x:row r="318">
      <x:c r="J318" s="257" t="str">
        <x:v>000143.OF</x:v>
      </x:c>
      <x:c r="K318" s="258" t="str">
        <x:v>鹏华双债加利债券A</x:v>
      </x:c>
      <x:c r="L318" s="263" t="n">
        <x:v>46199</x:v>
      </x:c>
      <x:c r="M318" s="261" t="n">
        <x:v>2.5898</x:v>
      </x:c>
      <x:c r="N318" s="261" t="n">
        <x:f>IF(OR(L318&lt;$B$3,L318&gt;$D$3),"",IF(AND(J318=J317,N317&lt;&gt;""),MAX(M318,N317),M318))</x:f>
        <x:v>2.6122</x:v>
      </x:c>
      <x:c r="O318" s="262" t="n">
        <x:f>IF(N318="","",M318/N318-1)</x:f>
        <x:v>-0.008575147385345816</x:v>
      </x:c>
    </x:row>
    <x:row r="319">
      <x:c r="J319" s="257" t="str">
        <x:v>000143.OF</x:v>
      </x:c>
      <x:c r="K319" s="258" t="str">
        <x:v>鹏华双债加利债券A</x:v>
      </x:c>
      <x:c r="L319" s="263" t="n">
        <x:v>46200</x:v>
      </x:c>
      <x:c r="M319" s="261" t="n">
        <x:v>2.5898</x:v>
      </x:c>
      <x:c r="N319" s="261" t="n">
        <x:f>IF(OR(L319&lt;$B$3,L319&gt;$D$3),"",IF(AND(J319=J318,N318&lt;&gt;""),MAX(M319,N318),M319))</x:f>
        <x:v>2.6122</x:v>
      </x:c>
      <x:c r="O319" s="262" t="n">
        <x:f>IF(N319="","",M319/N319-1)</x:f>
        <x:v>-0.008575147385345816</x:v>
      </x:c>
    </x:row>
    <x:row r="320">
      <x:c r="J320" s="257" t="str">
        <x:v>000143.OF</x:v>
      </x:c>
      <x:c r="K320" s="258" t="str">
        <x:v>鹏华双债加利债券A</x:v>
      </x:c>
      <x:c r="L320" s="263" t="n">
        <x:v>46201</x:v>
      </x:c>
      <x:c r="M320" s="261" t="n">
        <x:v>2.5898</x:v>
      </x:c>
      <x:c r="N320" s="261" t="n">
        <x:f>IF(OR(L320&lt;$B$3,L320&gt;$D$3),"",IF(AND(J320=J319,N319&lt;&gt;""),MAX(M320,N319),M320))</x:f>
        <x:v>2.6122</x:v>
      </x:c>
      <x:c r="O320" s="262" t="n">
        <x:f>IF(N320="","",M320/N320-1)</x:f>
        <x:v>-0.008575147385345816</x:v>
      </x:c>
    </x:row>
    <x:row r="321">
      <x:c r="J321" s="257" t="str">
        <x:v>000143.OF</x:v>
      </x:c>
      <x:c r="K321" s="258" t="str">
        <x:v>鹏华双债加利债券A</x:v>
      </x:c>
      <x:c r="L321" s="263" t="n">
        <x:v>46202</x:v>
      </x:c>
      <x:c r="M321" s="261" t="n">
        <x:v>2.5914</x:v>
      </x:c>
      <x:c r="N321" s="261" t="n">
        <x:f>IF(OR(L321&lt;$B$3,L321&gt;$D$3),"",IF(AND(J321=J320,N320&lt;&gt;""),MAX(M321,N320),M321))</x:f>
        <x:v>2.6122</x:v>
      </x:c>
      <x:c r="O321" s="262" t="n">
        <x:f>IF(N321="","",M321/N321-1)</x:f>
        <x:v>-0.007962636857820948</x:v>
      </x:c>
    </x:row>
    <x:row r="322">
      <x:c r="J322" s="257" t="str">
        <x:v>000143.OF</x:v>
      </x:c>
      <x:c r="K322" s="258" t="str">
        <x:v>鹏华双债加利债券A</x:v>
      </x:c>
      <x:c r="L322" s="263" t="n">
        <x:v>46203</x:v>
      </x:c>
      <x:c r="M322" s="261" t="n">
        <x:v>2.6064</x:v>
      </x:c>
      <x:c r="N322" s="261" t="n">
        <x:f>IF(OR(L322&lt;$B$3,L322&gt;$D$3),"",IF(AND(J322=J321,N321&lt;&gt;""),MAX(M322,N321),M322))</x:f>
        <x:v>2.6122</x:v>
      </x:c>
      <x:c r="O322" s="262" t="n">
        <x:f>IF(N322="","",M322/N322-1)</x:f>
        <x:v>-0.002220350662277104</x:v>
      </x:c>
    </x:row>
    <x:row r="323">
      <x:c r="J323" s="257" t="str">
        <x:v>000143.OF</x:v>
      </x:c>
      <x:c r="K323" s="258" t="str">
        <x:v>鹏华双债加利债券A</x:v>
      </x:c>
      <x:c r="L323" s="263" t="n">
        <x:v>46204</x:v>
      </x:c>
      <x:c r="M323" s="261" t="n">
        <x:v>2.5975</x:v>
      </x:c>
      <x:c r="N323" s="261" t="n">
        <x:f>IF(OR(L323&lt;$B$3,L323&gt;$D$3),"",IF(AND(J323=J322,N322&lt;&gt;""),MAX(M323,N322),M323))</x:f>
        <x:v>2.6122</x:v>
      </x:c>
      <x:c r="O323" s="262" t="n">
        <x:f>IF(N323="","",M323/N323-1)</x:f>
        <x:v>-0.005627440471633105</x:v>
      </x:c>
    </x:row>
    <x:row r="324">
      <x:c r="J324" s="257" t="str">
        <x:v>000143.OF</x:v>
      </x:c>
      <x:c r="K324" s="258" t="str">
        <x:v>鹏华双债加利债券A</x:v>
      </x:c>
      <x:c r="L324" s="263" t="n">
        <x:v>46205</x:v>
      </x:c>
      <x:c r="M324" s="261" t="n">
        <x:v>2.5682</x:v>
      </x:c>
      <x:c r="N324" s="261" t="n">
        <x:f>IF(OR(L324&lt;$B$3,L324&gt;$D$3),"",IF(AND(J324=J323,N323&lt;&gt;""),MAX(M324,N323),M324))</x:f>
        <x:v>2.6122</x:v>
      </x:c>
      <x:c r="O324" s="262" t="n">
        <x:f>IF(N324="","",M324/N324-1)</x:f>
        <x:v>-0.01684403950692903</x:v>
      </x:c>
    </x:row>
    <x:row r="325">
      <x:c r="J325" s="257" t="str">
        <x:v>000143.OF</x:v>
      </x:c>
      <x:c r="K325" s="258" t="str">
        <x:v>鹏华双债加利债券A</x:v>
      </x:c>
      <x:c r="L325" s="263" t="n">
        <x:v>46206</x:v>
      </x:c>
      <x:c r="M325" s="261" t="n">
        <x:v>2.5695</x:v>
      </x:c>
      <x:c r="N325" s="261" t="n">
        <x:f>IF(OR(L325&lt;$B$3,L325&gt;$D$3),"",IF(AND(J325=J324,N324&lt;&gt;""),MAX(M325,N324),M325))</x:f>
        <x:v>2.6122</x:v>
      </x:c>
      <x:c r="O325" s="262" t="n">
        <x:f>IF(N325="","",M325/N325-1)</x:f>
        <x:v>-0.016346374703315236</x:v>
      </x:c>
    </x:row>
    <x:row r="326">
      <x:c r="J326" s="257" t="str">
        <x:v>000143.OF</x:v>
      </x:c>
      <x:c r="K326" s="258" t="str">
        <x:v>鹏华双债加利债券A</x:v>
      </x:c>
      <x:c r="L326" s="263" t="n">
        <x:v>46207</x:v>
      </x:c>
      <x:c r="M326" s="261" t="n">
        <x:v>2.5695</x:v>
      </x:c>
      <x:c r="N326" s="261" t="n">
        <x:f>IF(OR(L326&lt;$B$3,L326&gt;$D$3),"",IF(AND(J326=J325,N325&lt;&gt;""),MAX(M326,N325),M326))</x:f>
        <x:v>2.6122</x:v>
      </x:c>
      <x:c r="O326" s="262" t="n">
        <x:f>IF(N326="","",M326/N326-1)</x:f>
        <x:v>-0.016346374703315236</x:v>
      </x:c>
    </x:row>
    <x:row r="327">
      <x:c r="J327" s="257" t="str">
        <x:v>000143.OF</x:v>
      </x:c>
      <x:c r="K327" s="258" t="str">
        <x:v>鹏华双债加利债券A</x:v>
      </x:c>
      <x:c r="L327" s="263" t="n">
        <x:v>46208</x:v>
      </x:c>
      <x:c r="M327" s="261" t="n">
        <x:v>2.5695</x:v>
      </x:c>
      <x:c r="N327" s="261" t="n">
        <x:f>IF(OR(L327&lt;$B$3,L327&gt;$D$3),"",IF(AND(J327=J326,N326&lt;&gt;""),MAX(M327,N326),M327))</x:f>
        <x:v>2.6122</x:v>
      </x:c>
      <x:c r="O327" s="262" t="n">
        <x:f>IF(N327="","",M327/N327-1)</x:f>
        <x:v>-0.016346374703315236</x:v>
      </x:c>
    </x:row>
    <x:row r="328">
      <x:c r="J328" s="257" t="str">
        <x:v>000143.OF</x:v>
      </x:c>
      <x:c r="K328" s="258" t="str">
        <x:v>鹏华双债加利债券A</x:v>
      </x:c>
      <x:c r="L328" s="263" t="n">
        <x:v>46209</x:v>
      </x:c>
      <x:c r="M328" s="261" t="n">
        <x:v>2.5751</x:v>
      </x:c>
      <x:c r="N328" s="261" t="n">
        <x:f>IF(OR(L328&lt;$B$3,L328&gt;$D$3),"",IF(AND(J328=J327,N327&lt;&gt;""),MAX(M328,N327),M328))</x:f>
        <x:v>2.6122</x:v>
      </x:c>
      <x:c r="O328" s="262" t="n">
        <x:f>IF(N328="","",M328/N328-1)</x:f>
        <x:v>-0.01420258785697881</x:v>
      </x:c>
    </x:row>
    <x:row r="329">
      <x:c r="J329" s="257" t="str">
        <x:v>000143.OF</x:v>
      </x:c>
      <x:c r="K329" s="258" t="str">
        <x:v>鹏华双债加利债券A</x:v>
      </x:c>
      <x:c r="L329" s="263" t="n">
        <x:v>46210</x:v>
      </x:c>
      <x:c r="M329" s="261" t="n">
        <x:v>2.5671</x:v>
      </x:c>
      <x:c r="N329" s="261" t="n">
        <x:f>IF(OR(L329&lt;$B$3,L329&gt;$D$3),"",IF(AND(J329=J328,N328&lt;&gt;""),MAX(M329,N328),M329))</x:f>
        <x:v>2.6122</x:v>
      </x:c>
      <x:c r="O329" s="262" t="n">
        <x:f>IF(N329="","",M329/N329-1)</x:f>
        <x:v>-0.01726514049460226</x:v>
      </x:c>
    </x:row>
    <x:row r="330">
      <x:c r="J330" s="257" t="str">
        <x:v>000143.OF</x:v>
      </x:c>
      <x:c r="K330" s="258" t="str">
        <x:v>鹏华双债加利债券A</x:v>
      </x:c>
      <x:c r="L330" s="263" t="n">
        <x:v>46211</x:v>
      </x:c>
      <x:c r="M330" s="261" t="n">
        <x:v>2.5615</x:v>
      </x:c>
      <x:c r="N330" s="261" t="n">
        <x:f>IF(OR(L330&lt;$B$3,L330&gt;$D$3),"",IF(AND(J330=J329,N329&lt;&gt;""),MAX(M330,N329),M330))</x:f>
        <x:v>2.6122</x:v>
      </x:c>
      <x:c r="O330" s="262" t="n">
        <x:f>IF(N330="","",M330/N330-1)</x:f>
        <x:v>-0.019408927340938686</x:v>
      </x:c>
    </x:row>
    <x:row r="331">
      <x:c r="J331" s="257" t="str">
        <x:v>000143.OF</x:v>
      </x:c>
      <x:c r="K331" s="258" t="str">
        <x:v>鹏华双债加利债券A</x:v>
      </x:c>
      <x:c r="L331" s="263" t="n">
        <x:v>46212</x:v>
      </x:c>
      <x:c r="M331" s="261" t="n">
        <x:v>2.5854</x:v>
      </x:c>
      <x:c r="N331" s="261" t="n">
        <x:f>IF(OR(L331&lt;$B$3,L331&gt;$D$3),"",IF(AND(J331=J330,N330&lt;&gt;""),MAX(M331,N330),M331))</x:f>
        <x:v>2.6122</x:v>
      </x:c>
      <x:c r="O331" s="262" t="n">
        <x:f>IF(N331="","",M331/N331-1)</x:f>
        <x:v>-0.01025955133603862</x:v>
      </x:c>
    </x:row>
    <x:row r="332">
      <x:c r="J332" s="257" t="str">
        <x:v>000143.OF</x:v>
      </x:c>
      <x:c r="K332" s="258" t="str">
        <x:v>鹏华双债加利债券A</x:v>
      </x:c>
      <x:c r="L332" s="263" t="n">
        <x:v>46213</x:v>
      </x:c>
      <x:c r="M332" s="261" t="n">
        <x:v>2.5608</x:v>
      </x:c>
      <x:c r="N332" s="261" t="n">
        <x:f>IF(OR(L332&lt;$B$3,L332&gt;$D$3),"",IF(AND(J332=J331,N331&lt;&gt;""),MAX(M332,N331),M332))</x:f>
        <x:v>2.6122</x:v>
      </x:c>
      <x:c r="O332" s="262" t="n">
        <x:f>IF(N332="","",M332/N332-1)</x:f>
        <x:v>-0.01967690069673078</x:v>
      </x:c>
    </x:row>
    <x:row r="333">
      <x:c r="J333" s="257" t="str">
        <x:v>000143.OF</x:v>
      </x:c>
      <x:c r="K333" s="258" t="str">
        <x:v>鹏华双债加利债券A</x:v>
      </x:c>
      <x:c r="L333" s="263" t="n">
        <x:v>46214</x:v>
      </x:c>
      <x:c r="M333" s="261" t="n">
        <x:v>2.5608</x:v>
      </x:c>
      <x:c r="N333" s="261" t="n">
        <x:f>IF(OR(L333&lt;$B$3,L333&gt;$D$3),"",IF(AND(J333=J332,N332&lt;&gt;""),MAX(M333,N332),M333))</x:f>
        <x:v>2.6122</x:v>
      </x:c>
      <x:c r="O333" s="262" t="n">
        <x:f>IF(N333="","",M333/N333-1)</x:f>
        <x:v>-0.01967690069673078</x:v>
      </x:c>
    </x:row>
    <x:row r="334">
      <x:c r="J334" s="257" t="str">
        <x:v>000143.OF</x:v>
      </x:c>
      <x:c r="K334" s="258" t="str">
        <x:v>鹏华双债加利债券A</x:v>
      </x:c>
      <x:c r="L334" s="263" t="n">
        <x:v>46215</x:v>
      </x:c>
      <x:c r="M334" s="261" t="n">
        <x:v>2.5608</x:v>
      </x:c>
      <x:c r="N334" s="261" t="n">
        <x:f>IF(OR(L334&lt;$B$3,L334&gt;$D$3),"",IF(AND(J334=J333,N333&lt;&gt;""),MAX(M334,N333),M334))</x:f>
        <x:v>2.6122</x:v>
      </x:c>
      <x:c r="O334" s="262" t="n">
        <x:f>IF(N334="","",M334/N334-1)</x:f>
        <x:v>-0.01967690069673078</x:v>
      </x:c>
    </x:row>
    <x:row r="335">
      <x:c r="J335" s="257" t="str">
        <x:v>000143.OF</x:v>
      </x:c>
      <x:c r="K335" s="258" t="str">
        <x:v>鹏华双债加利债券A</x:v>
      </x:c>
      <x:c r="L335" s="263" t="n">
        <x:v>46216</x:v>
      </x:c>
      <x:c r="M335" s="261" t="n">
        <x:v>2.5435</x:v>
      </x:c>
      <x:c r="N335" s="261" t="n">
        <x:f>IF(OR(L335&lt;$B$3,L335&gt;$D$3),"",IF(AND(J335=J334,N334&lt;&gt;""),MAX(M335,N334),M335))</x:f>
        <x:v>2.6122</x:v>
      </x:c>
      <x:c r="O335" s="262" t="n">
        <x:f>IF(N335="","",M335/N335-1)</x:f>
        <x:v>-0.026299670775591588</x:v>
      </x:c>
    </x:row>
    <x:row r="336">
      <x:c r="J336" s="257" t="str">
        <x:v>000143.OF</x:v>
      </x:c>
      <x:c r="K336" s="258" t="str">
        <x:v>鹏华双债加利债券A</x:v>
      </x:c>
      <x:c r="L336" s="263" t="n">
        <x:v>46217</x:v>
      </x:c>
      <x:c r="M336" s="261" t="n">
        <x:v>2.5563</x:v>
      </x:c>
      <x:c r="N336" s="261" t="n">
        <x:f>IF(OR(L336&lt;$B$3,L336&gt;$D$3),"",IF(AND(J336=J335,N335&lt;&gt;""),MAX(M336,N335),M336))</x:f>
        <x:v>2.6122</x:v>
      </x:c>
      <x:c r="O336" s="262" t="n">
        <x:f>IF(N336="","",M336/N336-1)</x:f>
        <x:v>-0.02139958655539398</x:v>
      </x:c>
    </x:row>
    <x:row r="337">
      <x:c r="J337" s="257" t="str">
        <x:v>000143.OF</x:v>
      </x:c>
      <x:c r="K337" s="258" t="str">
        <x:v>鹏华双债加利债券A</x:v>
      </x:c>
      <x:c r="L337" s="263" t="n">
        <x:v>46218</x:v>
      </x:c>
      <x:c r="M337" s="261" t="n">
        <x:v>2.5471</x:v>
      </x:c>
      <x:c r="N337" s="261" t="n">
        <x:f>IF(OR(L337&lt;$B$3,L337&gt;$D$3),"",IF(AND(J337=J336,N336&lt;&gt;""),MAX(M337,N336),M337))</x:f>
        <x:v>2.6122</x:v>
      </x:c>
      <x:c r="O337" s="262" t="n">
        <x:f>IF(N337="","",M337/N337-1)</x:f>
        <x:v>-0.02492152208866094</x:v>
      </x:c>
    </x:row>
    <x:row r="338">
      <x:c r="J338" s="257" t="str">
        <x:v>000143.OF</x:v>
      </x:c>
      <x:c r="K338" s="258" t="str">
        <x:v>鹏华双债加利债券A</x:v>
      </x:c>
      <x:c r="L338" s="263" t="n">
        <x:v>46219</x:v>
      </x:c>
      <x:c r="M338" s="261" t="n">
        <x:v>2.5296</x:v>
      </x:c>
      <x:c r="N338" s="261" t="n">
        <x:f>IF(OR(L338&lt;$B$3,L338&gt;$D$3),"",IF(AND(J338=J337,N337&lt;&gt;""),MAX(M338,N337),M338))</x:f>
        <x:v>2.6122</x:v>
      </x:c>
      <x:c r="O338" s="262" t="n">
        <x:f>IF(N338="","",M338/N338-1)</x:f>
        <x:v>-0.031620855983462315</x:v>
      </x:c>
    </x:row>
    <x:row r="339">
      <x:c r="J339" s="257" t="str">
        <x:v>000143.OF</x:v>
      </x:c>
      <x:c r="K339" s="258" t="str">
        <x:v>鹏华双债加利债券A</x:v>
      </x:c>
      <x:c r="L339" s="263" t="n">
        <x:v>46220</x:v>
      </x:c>
      <x:c r="M339" s="261" t="n">
        <x:v>2.4943</x:v>
      </x:c>
      <x:c r="N339" s="261" t="n">
        <x:f>IF(OR(L339&lt;$B$3,L339&gt;$D$3),"",IF(AND(J339=J338,N338&lt;&gt;""),MAX(M339,N338),M339))</x:f>
        <x:v>2.6122</x:v>
      </x:c>
      <x:c r="O339" s="262" t="n">
        <x:f>IF(N339="","",M339/N339-1)</x:f>
        <x:v>-0.0451343694969758</x:v>
      </x:c>
    </x:row>
    <x:row r="340">
      <x:c r="J340" s="257" t="str">
        <x:v>000143.OF</x:v>
      </x:c>
      <x:c r="K340" s="258" t="str">
        <x:v>鹏华双债加利债券A</x:v>
      </x:c>
      <x:c r="L340" s="263" t="n">
        <x:v>46221</x:v>
      </x:c>
      <x:c r="M340" s="261" t="n">
        <x:v>2.4943</x:v>
      </x:c>
      <x:c r="N340" s="261" t="n">
        <x:f>IF(OR(L340&lt;$B$3,L340&gt;$D$3),"",IF(AND(J340=J339,N339&lt;&gt;""),MAX(M340,N339),M340))</x:f>
        <x:v>2.6122</x:v>
      </x:c>
      <x:c r="O340" s="262" t="n">
        <x:f>IF(N340="","",M340/N340-1)</x:f>
        <x:v>-0.0451343694969758</x:v>
      </x:c>
    </x:row>
    <x:row r="341">
      <x:c r="J341" s="257" t="str">
        <x:v>000143.OF</x:v>
      </x:c>
      <x:c r="K341" s="258" t="str">
        <x:v>鹏华双债加利债券A</x:v>
      </x:c>
      <x:c r="L341" s="263" t="n">
        <x:v>46222</x:v>
      </x:c>
      <x:c r="M341" s="261" t="n">
        <x:v>2.4943</x:v>
      </x:c>
      <x:c r="N341" s="261" t="n">
        <x:f>IF(OR(L341&lt;$B$3,L341&gt;$D$3),"",IF(AND(J341=J340,N340&lt;&gt;""),MAX(M341,N340),M341))</x:f>
        <x:v>2.6122</x:v>
      </x:c>
      <x:c r="O341" s="262" t="n">
        <x:f>IF(N341="","",M341/N341-1)</x:f>
        <x:v>-0.0451343694969758</x:v>
      </x:c>
    </x:row>
    <x:row r="342">
      <x:c r="J342" s="257" t="str">
        <x:v>000143.OF</x:v>
      </x:c>
      <x:c r="K342" s="258" t="str">
        <x:v>鹏华双债加利债券A</x:v>
      </x:c>
      <x:c r="L342" s="263" t="n">
        <x:v>46223</x:v>
      </x:c>
      <x:c r="M342" s="261" t="n">
        <x:v>2.4918</x:v>
      </x:c>
      <x:c r="N342" s="261" t="n">
        <x:f>IF(OR(L342&lt;$B$3,L342&gt;$D$3),"",IF(AND(J342=J341,N341&lt;&gt;""),MAX(M342,N341),M342))</x:f>
        <x:v>2.6122</x:v>
      </x:c>
      <x:c r="O342" s="262" t="n">
        <x:f>IF(N342="","",M342/N342-1)</x:f>
        <x:v>-0.04609141719623311</x:v>
      </x:c>
    </x:row>
    <x:row r="343">
      <x:c r="J343" s="257" t="str">
        <x:v>000143.OF</x:v>
      </x:c>
      <x:c r="K343" s="258" t="str">
        <x:v>鹏华双债加利债券A</x:v>
      </x:c>
      <x:c r="L343" s="263" t="n">
        <x:v>46224</x:v>
      </x:c>
      <x:c r="M343" s="261" t="n">
        <x:v>2.5282</x:v>
      </x:c>
      <x:c r="N343" s="261" t="n">
        <x:f>IF(OR(L343&lt;$B$3,L343&gt;$D$3),"",IF(AND(J343=J342,N342&lt;&gt;""),MAX(M343,N342),M343))</x:f>
        <x:v>2.6122</x:v>
      </x:c>
      <x:c r="O343" s="262" t="n">
        <x:f>IF(N343="","",M343/N343-1)</x:f>
        <x:v>-0.032156802695046394</x:v>
      </x:c>
    </x:row>
    <x:row r="344">
      <x:c r="J344" s="257" t="str">
        <x:v>000143.OF</x:v>
      </x:c>
      <x:c r="K344" s="258" t="str">
        <x:v>鹏华双债加利债券A</x:v>
      </x:c>
      <x:c r="L344" s="263" t="n">
        <x:v>46225</x:v>
      </x:c>
      <x:c r="M344" s="261" t="n">
        <x:v>2.5233</x:v>
      </x:c>
      <x:c r="N344" s="261" t="n">
        <x:f>IF(OR(L344&lt;$B$3,L344&gt;$D$3),"",IF(AND(J344=J343,N343&lt;&gt;""),MAX(M344,N343),M344))</x:f>
        <x:v>2.6122</x:v>
      </x:c>
      <x:c r="O344" s="262" t="n">
        <x:f>IF(N344="","",M344/N344-1)</x:f>
        <x:v>-0.034032616185590725</x:v>
      </x:c>
    </x:row>
    <x:row r="345">
      <x:c r="J345" s="257" t="str">
        <x:v>000143.OF</x:v>
      </x:c>
      <x:c r="K345" s="258" t="str">
        <x:v>鹏华双债加利债券A</x:v>
      </x:c>
      <x:c r="L345" s="263" t="n">
        <x:v>46226</x:v>
      </x:c>
      <x:c r="M345" s="261" t="n">
        <x:v>2.5129</x:v>
      </x:c>
      <x:c r="N345" s="261" t="n">
        <x:f>IF(OR(L345&lt;$B$3,L345&gt;$D$3),"",IF(AND(J345=J344,N344&lt;&gt;""),MAX(M345,N344),M345))</x:f>
        <x:v>2.6122</x:v>
      </x:c>
      <x:c r="O345" s="262" t="n">
        <x:f>IF(N345="","",M345/N345-1)</x:f>
        <x:v>-0.0380139346145012</x:v>
      </x:c>
    </x:row>
    <x:row r="346">
      <x:c r="J346" s="257" t="str">
        <x:v>000143.OF</x:v>
      </x:c>
      <x:c r="K346" s="258" t="str">
        <x:v>鹏华双债加利债券A</x:v>
      </x:c>
      <x:c r="L346" s="263" t="n">
        <x:v>46227</x:v>
      </x:c>
      <x:c r="M346" s="261" t="n">
        <x:v>2.5046</x:v>
      </x:c>
      <x:c r="N346" s="261" t="n">
        <x:f>IF(OR(L346&lt;$B$3,L346&gt;$D$3),"",IF(AND(J346=J345,N345&lt;&gt;""),MAX(M346,N345),M346))</x:f>
        <x:v>2.6122</x:v>
      </x:c>
      <x:c r="O346" s="262" t="n">
        <x:f>IF(N346="","",M346/N346-1)</x:f>
        <x:v>-0.04119133297603561</x:v>
      </x:c>
    </x:row>
    <x:row r="347">
      <x:c r="J347" s="257" t="str">
        <x:v>000143.OF</x:v>
      </x:c>
      <x:c r="K347" s="258" t="str">
        <x:v>鹏华双债加利债券A</x:v>
      </x:c>
      <x:c r="L347" s="263" t="n">
        <x:v>46228</x:v>
      </x:c>
      <x:c r="M347" s="261" t="n">
        <x:v>2.5046</x:v>
      </x:c>
      <x:c r="N347" s="261" t="n">
        <x:f>IF(OR(L347&lt;$B$3,L347&gt;$D$3),"",IF(AND(J347=J346,N346&lt;&gt;""),MAX(M347,N346),M347))</x:f>
        <x:v>2.6122</x:v>
      </x:c>
      <x:c r="O347" s="262" t="n">
        <x:f>IF(N347="","",M347/N347-1)</x:f>
        <x:v>-0.04119133297603561</x:v>
      </x:c>
    </x:row>
    <x:row r="348">
      <x:c r="J348" s="257" t="str">
        <x:v>000143.OF</x:v>
      </x:c>
      <x:c r="K348" s="258" t="str">
        <x:v>鹏华双债加利债券A</x:v>
      </x:c>
      <x:c r="L348" s="263" t="n">
        <x:v>46229</x:v>
      </x:c>
      <x:c r="M348" s="261" t="n">
        <x:v>2.5046</x:v>
      </x:c>
      <x:c r="N348" s="261" t="n">
        <x:f>IF(OR(L348&lt;$B$3,L348&gt;$D$3),"",IF(AND(J348=J347,N347&lt;&gt;""),MAX(M348,N347),M348))</x:f>
        <x:v>2.6122</x:v>
      </x:c>
      <x:c r="O348" s="262" t="n">
        <x:f>IF(N348="","",M348/N348-1)</x:f>
        <x:v>-0.04119133297603561</x:v>
      </x:c>
    </x:row>
    <x:row r="349">
      <x:c r="J349" s="257" t="str">
        <x:v>000143.OF</x:v>
      </x:c>
      <x:c r="K349" s="258" t="str">
        <x:v>鹏华双债加利债券A</x:v>
      </x:c>
      <x:c r="L349" s="263" t="n">
        <x:v>46230</x:v>
      </x:c>
      <x:c r="M349" s="261" t="n">
        <x:v>2.5169</x:v>
      </x:c>
      <x:c r="N349" s="261" t="n">
        <x:f>IF(OR(L349&lt;$B$3,L349&gt;$D$3),"",IF(AND(J349=J348,N348&lt;&gt;""),MAX(M349,N348),M349))</x:f>
        <x:v>2.6122</x:v>
      </x:c>
      <x:c r="O349" s="262" t="n">
        <x:f>IF(N349="","",M349/N349-1)</x:f>
        <x:v>-0.03648265829568942</x:v>
      </x:c>
    </x:row>
    <x:row r="350">
      <x:c r="J350" s="257" t="str">
        <x:v>000143.OF</x:v>
      </x:c>
      <x:c r="K350" s="258" t="str">
        <x:v>鹏华双债加利债券A</x:v>
      </x:c>
      <x:c r="L350" s="263" t="n">
        <x:v>46231</x:v>
      </x:c>
      <x:c r="M350" s="261" t="n">
        <x:v>2.4833</x:v>
      </x:c>
      <x:c r="N350" s="261" t="n">
        <x:f>IF(OR(L350&lt;$B$3,L350&gt;$D$3),"",IF(AND(J350=J349,N349&lt;&gt;""),MAX(M350,N349),M350))</x:f>
        <x:v>2.6122</x:v>
      </x:c>
      <x:c r="O350" s="262" t="n">
        <x:f>IF(N350="","",M350/N350-1)</x:f>
        <x:v>-0.04934537937370809</x:v>
      </x:c>
    </x:row>
    <x:row r="351">
      <x:c r="J351" s="257" t="str">
        <x:v>000143.OF</x:v>
      </x:c>
      <x:c r="K351" s="258" t="str">
        <x:v>鹏华双债加利债券A</x:v>
      </x:c>
      <x:c r="L351" s="263" t="n">
        <x:v>46232</x:v>
      </x:c>
      <x:c r="M351" s="261" t="n">
        <x:v>2.4806</x:v>
      </x:c>
      <x:c r="N351" s="261" t="n">
        <x:f>IF(OR(L351&lt;$B$3,L351&gt;$D$3),"",IF(AND(J351=J350,N350&lt;&gt;""),MAX(M351,N350),M351))</x:f>
        <x:v>2.6122</x:v>
      </x:c>
      <x:c r="O351" s="262" t="n">
        <x:f>IF(N351="","",M351/N351-1)</x:f>
        <x:v>-0.05037899088890596</x:v>
      </x:c>
    </x:row>
    <x:row r="352">
      <x:c r="J352" s="257" t="str">
        <x:v>000143.OF</x:v>
      </x:c>
      <x:c r="K352" s="258" t="str">
        <x:v>鹏华双债加利债券A</x:v>
      </x:c>
      <x:c r="L352" s="263" t="n">
        <x:v>46233</x:v>
      </x:c>
      <x:c r="M352" s="261" t="n">
        <x:v>2.4531</x:v>
      </x:c>
      <x:c r="N352" s="261" t="n">
        <x:f>IF(OR(L352&lt;$B$3,L352&gt;$D$3),"",IF(AND(J352=J351,N351&lt;&gt;""),MAX(M352,N351),M352))</x:f>
        <x:v>2.6122</x:v>
      </x:c>
      <x:c r="O352" s="262" t="n">
        <x:f>IF(N352="","",M352/N352-1)</x:f>
        <x:v>-0.060906515580736564</x:v>
      </x:c>
    </x:row>
    <x:row r="353">
      <x:c r="J353" s="257" t="str">
        <x:v>000143.OF</x:v>
      </x:c>
      <x:c r="K353" s="258" t="str">
        <x:v>鹏华双债加利债券A</x:v>
      </x:c>
      <x:c r="L353" s="263" t="n">
        <x:v>46234</x:v>
      </x:c>
      <x:c r="M353" s="261" t="n">
        <x:v>2.4705</x:v>
      </x:c>
      <x:c r="N353" s="261" t="n">
        <x:f>IF(OR(L353&lt;$B$3,L353&gt;$D$3),"",IF(AND(J353=J352,N352&lt;&gt;""),MAX(M353,N352),M353))</x:f>
        <x:v>2.6122</x:v>
      </x:c>
      <x:c r="O353" s="262" t="n">
        <x:f>IF(N353="","",M353/N353-1)</x:f>
        <x:v>-0.054245463593905585</x:v>
      </x:c>
    </x:row>
    <x:row r="354">
      <x:c r="J354" s="257" t="str">
        <x:v>000143.OF</x:v>
      </x:c>
      <x:c r="K354" s="258" t="str">
        <x:v>鹏华双债加利债券A</x:v>
      </x:c>
      <x:c r="L354" s="263" t="n">
        <x:v>46235</x:v>
      </x:c>
      <x:c r="M354" s="261" t="n">
        <x:v>2.4705</x:v>
      </x:c>
      <x:c r="N354" s="261" t="n">
        <x:f>IF(OR(L354&lt;$B$3,L354&gt;$D$3),"",IF(AND(J354=J353,N353&lt;&gt;""),MAX(M354,N353),M354))</x:f>
        <x:v>2.6122</x:v>
      </x:c>
      <x:c r="O354" s="262" t="n">
        <x:f>IF(N354="","",M354/N354-1)</x:f>
        <x:v>-0.054245463593905585</x:v>
      </x:c>
    </x:row>
    <x:row r="355">
      <x:c r="J355" s="257" t="str">
        <x:v>000143.OF</x:v>
      </x:c>
      <x:c r="K355" s="258" t="str">
        <x:v>鹏华双债加利债券A</x:v>
      </x:c>
      <x:c r="L355" s="263" t="n">
        <x:v>46236</x:v>
      </x:c>
      <x:c r="M355" s="261" t="n">
        <x:v>2.4705</x:v>
      </x:c>
      <x:c r="N355" s="261" t="n">
        <x:f>IF(OR(L355&lt;$B$3,L355&gt;$D$3),"",IF(AND(J355=J354,N354&lt;&gt;""),MAX(M355,N354),M355))</x:f>
        <x:v>2.6122</x:v>
      </x:c>
      <x:c r="O355" s="262" t="n">
        <x:f>IF(N355="","",M355/N355-1)</x:f>
        <x:v>-0.054245463593905585</x:v>
      </x:c>
    </x:row>
    <x:row r="356">
      <x:c r="J356" s="257" t="str">
        <x:v>000143.OF</x:v>
      </x:c>
      <x:c r="K356" s="258" t="str">
        <x:v>鹏华双债加利债券A</x:v>
      </x:c>
      <x:c r="L356" s="263" t="n">
        <x:v>46237</x:v>
      </x:c>
      <x:c r="M356" s="261" t="n">
        <x:v>2.455</x:v>
      </x:c>
      <x:c r="N356" s="261" t="n">
        <x:f>IF(OR(L356&lt;$B$3,L356&gt;$D$3),"",IF(AND(J356=J355,N355&lt;&gt;""),MAX(M356,N355),M356))</x:f>
        <x:v>2.6122</x:v>
      </x:c>
      <x:c r="O356" s="262" t="n">
        <x:f>IF(N356="","",M356/N356-1)</x:f>
        <x:v>-0.06017915932930096</x:v>
      </x:c>
    </x:row>
    <x:row r="357">
      <x:c r="J357" s="257" t="str">
        <x:v>000143.OF</x:v>
      </x:c>
      <x:c r="K357" s="258" t="str">
        <x:v>鹏华双债加利债券A</x:v>
      </x:c>
      <x:c r="L357" s="263" t="n">
        <x:v>46238</x:v>
      </x:c>
      <x:c r="M357" s="261" t="n">
        <x:v>2.4826</x:v>
      </x:c>
      <x:c r="N357" s="261" t="n">
        <x:f>IF(OR(L357&lt;$B$3,L357&gt;$D$3),"",IF(AND(J357=J356,N356&lt;&gt;""),MAX(M357,N356),M357))</x:f>
        <x:v>2.6122</x:v>
      </x:c>
      <x:c r="O357" s="262" t="n">
        <x:f>IF(N357="","",M357/N357-1)</x:f>
        <x:v>-0.04961335272949996</x:v>
      </x:c>
    </x:row>
    <x:row r="358">
      <x:c r="J358" s="257" t="str">
        <x:v>000143.OF</x:v>
      </x:c>
      <x:c r="K358" s="258" t="str">
        <x:v>鹏华双债加利债券A</x:v>
      </x:c>
      <x:c r="L358" s="263" t="n">
        <x:v>46239</x:v>
      </x:c>
      <x:c r="M358" s="261" t="n">
        <x:v>2.5034</x:v>
      </x:c>
      <x:c r="N358" s="261" t="n">
        <x:f>IF(OR(L358&lt;$B$3,L358&gt;$D$3),"",IF(AND(J358=J357,N357&lt;&gt;""),MAX(M358,N357),M358))</x:f>
        <x:v>2.6122</x:v>
      </x:c>
      <x:c r="O358" s="262" t="n">
        <x:f>IF(N358="","",M358/N358-1)</x:f>
        <x:v>-0.04165071587167901</x:v>
      </x:c>
    </x:row>
    <x:row r="359">
      <x:c r="J359" s="257" t="str">
        <x:v>000143.OF</x:v>
      </x:c>
      <x:c r="K359" s="258" t="str">
        <x:v>鹏华双债加利债券A</x:v>
      </x:c>
      <x:c r="L359" s="263" t="n">
        <x:v>46240</x:v>
      </x:c>
      <x:c r="M359" s="261" t="n">
        <x:v>2.507</x:v>
      </x:c>
      <x:c r="N359" s="261" t="n">
        <x:f>IF(OR(L359&lt;$B$3,L359&gt;$D$3),"",IF(AND(J359=J358,N358&lt;&gt;""),MAX(M359,N358),M359))</x:f>
        <x:v>2.6122</x:v>
      </x:c>
      <x:c r="O359" s="262" t="n">
        <x:f>IF(N359="","",M359/N359-1)</x:f>
        <x:v>-0.040272567184748476</x:v>
      </x:c>
    </x:row>
    <x:row r="360">
      <x:c r="J360" s="257" t="str">
        <x:v>000143.OF</x:v>
      </x:c>
      <x:c r="K360" s="258" t="str">
        <x:v>鹏华双债加利债券A</x:v>
      </x:c>
      <x:c r="L360" s="263" t="n">
        <x:v>46241</x:v>
      </x:c>
      <x:c r="M360" s="261" t="n">
        <x:v>2.5203</x:v>
      </x:c>
      <x:c r="N360" s="261" t="n">
        <x:f>IF(OR(L360&lt;$B$3,L360&gt;$D$3),"",IF(AND(J360=J359,N359&lt;&gt;""),MAX(M360,N359),M360))</x:f>
        <x:v>2.6122</x:v>
      </x:c>
      <x:c r="O360" s="262" t="n">
        <x:f>IF(N360="","",M360/N360-1)</x:f>
        <x:v>-0.03518107342469945</x:v>
      </x:c>
    </x:row>
    <x:row r="361">
      <x:c r="J361" s="257" t="str">
        <x:v>000143.OF</x:v>
      </x:c>
      <x:c r="K361" s="258" t="str">
        <x:v>鹏华双债加利债券A</x:v>
      </x:c>
      <x:c r="L361" s="263" t="n">
        <x:v>46242</x:v>
      </x:c>
      <x:c r="M361" s="261" t="n">
        <x:v>2.5203</x:v>
      </x:c>
      <x:c r="N361" s="261" t="n">
        <x:f>IF(OR(L361&lt;$B$3,L361&gt;$D$3),"",IF(AND(J361=J360,N360&lt;&gt;""),MAX(M361,N360),M361))</x:f>
        <x:v>2.6122</x:v>
      </x:c>
      <x:c r="O361" s="262" t="n">
        <x:f>IF(N361="","",M361/N361-1)</x:f>
        <x:v>-0.03518107342469945</x:v>
      </x:c>
    </x:row>
    <x:row r="362">
      <x:c r="J362" s="257" t="str">
        <x:v>000143.OF</x:v>
      </x:c>
      <x:c r="K362" s="258" t="str">
        <x:v>鹏华双债加利债券A</x:v>
      </x:c>
      <x:c r="L362" s="263" t="n">
        <x:v>46243</x:v>
      </x:c>
      <x:c r="M362" s="261" t="n">
        <x:v>2.5203</x:v>
      </x:c>
      <x:c r="N362" s="261" t="n">
        <x:f>IF(OR(L362&lt;$B$3,L362&gt;$D$3),"",IF(AND(J362=J361,N361&lt;&gt;""),MAX(M362,N361),M362))</x:f>
        <x:v>2.6122</x:v>
      </x:c>
      <x:c r="O362" s="262" t="n">
        <x:f>IF(N362="","",M362/N362-1)</x:f>
        <x:v>-0.03518107342469945</x:v>
      </x:c>
    </x:row>
    <x:row r="363">
      <x:c r="J363" s="257" t="str">
        <x:v>000143.OF</x:v>
      </x:c>
      <x:c r="K363" s="258" t="str">
        <x:v>鹏华双债加利债券A</x:v>
      </x:c>
      <x:c r="L363" s="263" t="n">
        <x:v>46244</x:v>
      </x:c>
      <x:c r="M363" s="261" t="n">
        <x:v>2.5193</x:v>
      </x:c>
      <x:c r="N363" s="261" t="n">
        <x:f>IF(OR(L363&lt;$B$3,L363&gt;$D$3),"",IF(AND(J363=J362,N362&lt;&gt;""),MAX(M363,N362),M363))</x:f>
        <x:v>2.6122</x:v>
      </x:c>
      <x:c r="O363" s="262" t="n">
        <x:f>IF(N363="","",M363/N363-1)</x:f>
        <x:v>-0.035563892504402506</x:v>
      </x:c>
    </x:row>
    <x:row r="364">
      <x:c r="J364" s="257" t="str">
        <x:v>000385.OF</x:v>
      </x:c>
      <x:c r="K364" s="258" t="str">
        <x:v>景顺长城景颐双利债券A</x:v>
      </x:c>
      <x:c r="L364" s="263" t="n">
        <x:v>46191</x:v>
      </x:c>
      <x:c r="M364" s="261" t="n">
        <x:v>2.2879</x:v>
      </x:c>
      <x:c r="N364" s="261" t="n">
        <x:f>IF(OR(L364&lt;$B$3,L364&gt;$D$3),"",IF(AND(J364=J363,N363&lt;&gt;""),MAX(M364,N363),M364))</x:f>
        <x:v>2.2879</x:v>
      </x:c>
      <x:c r="O364" s="262" t="n">
        <x:f>IF(N364="","",M364/N364-1)</x:f>
        <x:v>0</x:v>
      </x:c>
    </x:row>
    <x:row r="365">
      <x:c r="J365" s="257" t="str">
        <x:v>000385.OF</x:v>
      </x:c>
      <x:c r="K365" s="258" t="str">
        <x:v>景顺长城景颐双利债券A</x:v>
      </x:c>
      <x:c r="L365" s="263" t="n">
        <x:v>46192</x:v>
      </x:c>
      <x:c r="M365" s="261" t="n">
        <x:v>2.2879</x:v>
      </x:c>
      <x:c r="N365" s="261" t="n">
        <x:f>IF(OR(L365&lt;$B$3,L365&gt;$D$3),"",IF(AND(J365=J364,N364&lt;&gt;""),MAX(M365,N364),M365))</x:f>
        <x:v>2.2879</x:v>
      </x:c>
      <x:c r="O365" s="262" t="n">
        <x:f>IF(N365="","",M365/N365-1)</x:f>
        <x:v>0</x:v>
      </x:c>
    </x:row>
    <x:row r="366">
      <x:c r="J366" s="257" t="str">
        <x:v>000385.OF</x:v>
      </x:c>
      <x:c r="K366" s="258" t="str">
        <x:v>景顺长城景颐双利债券A</x:v>
      </x:c>
      <x:c r="L366" s="263" t="n">
        <x:v>46193</x:v>
      </x:c>
      <x:c r="M366" s="261" t="n">
        <x:v>2.2879</x:v>
      </x:c>
      <x:c r="N366" s="261" t="n">
        <x:f>IF(OR(L366&lt;$B$3,L366&gt;$D$3),"",IF(AND(J366=J365,N365&lt;&gt;""),MAX(M366,N365),M366))</x:f>
        <x:v>2.2879</x:v>
      </x:c>
      <x:c r="O366" s="262" t="n">
        <x:f>IF(N366="","",M366/N366-1)</x:f>
        <x:v>0</x:v>
      </x:c>
    </x:row>
    <x:row r="367">
      <x:c r="J367" s="257" t="str">
        <x:v>000385.OF</x:v>
      </x:c>
      <x:c r="K367" s="258" t="str">
        <x:v>景顺长城景颐双利债券A</x:v>
      </x:c>
      <x:c r="L367" s="263" t="n">
        <x:v>46194</x:v>
      </x:c>
      <x:c r="M367" s="261" t="n">
        <x:v>2.2879</x:v>
      </x:c>
      <x:c r="N367" s="261" t="n">
        <x:f>IF(OR(L367&lt;$B$3,L367&gt;$D$3),"",IF(AND(J367=J366,N366&lt;&gt;""),MAX(M367,N366),M367))</x:f>
        <x:v>2.2879</x:v>
      </x:c>
      <x:c r="O367" s="262" t="n">
        <x:f>IF(N367="","",M367/N367-1)</x:f>
        <x:v>0</x:v>
      </x:c>
    </x:row>
    <x:row r="368">
      <x:c r="J368" s="257" t="str">
        <x:v>000385.OF</x:v>
      </x:c>
      <x:c r="K368" s="258" t="str">
        <x:v>景顺长城景颐双利债券A</x:v>
      </x:c>
      <x:c r="L368" s="263" t="n">
        <x:v>46195</x:v>
      </x:c>
      <x:c r="M368" s="261" t="n">
        <x:v>2.2963</x:v>
      </x:c>
      <x:c r="N368" s="261" t="n">
        <x:f>IF(OR(L368&lt;$B$3,L368&gt;$D$3),"",IF(AND(J368=J367,N367&lt;&gt;""),MAX(M368,N367),M368))</x:f>
        <x:v>2.2963</x:v>
      </x:c>
      <x:c r="O368" s="262" t="n">
        <x:f>IF(N368="","",M368/N368-1)</x:f>
        <x:v>0</x:v>
      </x:c>
    </x:row>
    <x:row r="369">
      <x:c r="J369" s="257" t="str">
        <x:v>000385.OF</x:v>
      </x:c>
      <x:c r="K369" s="258" t="str">
        <x:v>景顺长城景颐双利债券A</x:v>
      </x:c>
      <x:c r="L369" s="263" t="n">
        <x:v>46196</x:v>
      </x:c>
      <x:c r="M369" s="261" t="n">
        <x:v>2.2807</x:v>
      </x:c>
      <x:c r="N369" s="261" t="n">
        <x:f>IF(OR(L369&lt;$B$3,L369&gt;$D$3),"",IF(AND(J369=J368,N368&lt;&gt;""),MAX(M369,N368),M369))</x:f>
        <x:v>2.2963</x:v>
      </x:c>
      <x:c r="O369" s="262" t="n">
        <x:f>IF(N369="","",M369/N369-1)</x:f>
        <x:v>-0.006793537429778396</x:v>
      </x:c>
    </x:row>
    <x:row r="370">
      <x:c r="J370" s="257" t="str">
        <x:v>000385.OF</x:v>
      </x:c>
      <x:c r="K370" s="258" t="str">
        <x:v>景顺长城景颐双利债券A</x:v>
      </x:c>
      <x:c r="L370" s="263" t="n">
        <x:v>46197</x:v>
      </x:c>
      <x:c r="M370" s="261" t="n">
        <x:v>2.2879</x:v>
      </x:c>
      <x:c r="N370" s="261" t="n">
        <x:f>IF(OR(L370&lt;$B$3,L370&gt;$D$3),"",IF(AND(J370=J369,N369&lt;&gt;""),MAX(M370,N369),M370))</x:f>
        <x:v>2.2963</x:v>
      </x:c>
      <x:c r="O370" s="262" t="n">
        <x:f>IF(N370="","",M370/N370-1)</x:f>
        <x:v>-0.0036580586160345208</x:v>
      </x:c>
    </x:row>
    <x:row r="371">
      <x:c r="J371" s="257" t="str">
        <x:v>000385.OF</x:v>
      </x:c>
      <x:c r="K371" s="258" t="str">
        <x:v>景顺长城景颐双利债券A</x:v>
      </x:c>
      <x:c r="L371" s="263" t="n">
        <x:v>46198</x:v>
      </x:c>
      <x:c r="M371" s="261" t="n">
        <x:v>2.2939</x:v>
      </x:c>
      <x:c r="N371" s="261" t="n">
        <x:f>IF(OR(L371&lt;$B$3,L371&gt;$D$3),"",IF(AND(J371=J370,N370&lt;&gt;""),MAX(M371,N370),M371))</x:f>
        <x:v>2.2963</x:v>
      </x:c>
      <x:c r="O371" s="262" t="n">
        <x:f>IF(N371="","",M371/N371-1)</x:f>
        <x:v>-0.0010451596045814027</x:v>
      </x:c>
    </x:row>
    <x:row r="372">
      <x:c r="J372" s="257" t="str">
        <x:v>000385.OF</x:v>
      </x:c>
      <x:c r="K372" s="258" t="str">
        <x:v>景顺长城景颐双利债券A</x:v>
      </x:c>
      <x:c r="L372" s="263" t="n">
        <x:v>46199</x:v>
      </x:c>
      <x:c r="M372" s="261" t="n">
        <x:v>2.2879</x:v>
      </x:c>
      <x:c r="N372" s="261" t="n">
        <x:f>IF(OR(L372&lt;$B$3,L372&gt;$D$3),"",IF(AND(J372=J371,N371&lt;&gt;""),MAX(M372,N371),M372))</x:f>
        <x:v>2.2963</x:v>
      </x:c>
      <x:c r="O372" s="262" t="n">
        <x:f>IF(N372="","",M372/N372-1)</x:f>
        <x:v>-0.0036580586160345208</x:v>
      </x:c>
    </x:row>
    <x:row r="373">
      <x:c r="J373" s="257" t="str">
        <x:v>000385.OF</x:v>
      </x:c>
      <x:c r="K373" s="258" t="str">
        <x:v>景顺长城景颐双利债券A</x:v>
      </x:c>
      <x:c r="L373" s="263" t="n">
        <x:v>46200</x:v>
      </x:c>
      <x:c r="M373" s="261" t="n">
        <x:v>2.2879</x:v>
      </x:c>
      <x:c r="N373" s="261" t="n">
        <x:f>IF(OR(L373&lt;$B$3,L373&gt;$D$3),"",IF(AND(J373=J372,N372&lt;&gt;""),MAX(M373,N372),M373))</x:f>
        <x:v>2.2963</x:v>
      </x:c>
      <x:c r="O373" s="262" t="n">
        <x:f>IF(N373="","",M373/N373-1)</x:f>
        <x:v>-0.0036580586160345208</x:v>
      </x:c>
    </x:row>
    <x:row r="374">
      <x:c r="J374" s="257" t="str">
        <x:v>000385.OF</x:v>
      </x:c>
      <x:c r="K374" s="258" t="str">
        <x:v>景顺长城景颐双利债券A</x:v>
      </x:c>
      <x:c r="L374" s="263" t="n">
        <x:v>46201</x:v>
      </x:c>
      <x:c r="M374" s="261" t="n">
        <x:v>2.2879</x:v>
      </x:c>
      <x:c r="N374" s="261" t="n">
        <x:f>IF(OR(L374&lt;$B$3,L374&gt;$D$3),"",IF(AND(J374=J373,N373&lt;&gt;""),MAX(M374,N373),M374))</x:f>
        <x:v>2.2963</x:v>
      </x:c>
      <x:c r="O374" s="262" t="n">
        <x:f>IF(N374="","",M374/N374-1)</x:f>
        <x:v>-0.0036580586160345208</x:v>
      </x:c>
    </x:row>
    <x:row r="375">
      <x:c r="J375" s="257" t="str">
        <x:v>000385.OF</x:v>
      </x:c>
      <x:c r="K375" s="258" t="str">
        <x:v>景顺长城景颐双利债券A</x:v>
      </x:c>
      <x:c r="L375" s="263" t="n">
        <x:v>46202</x:v>
      </x:c>
      <x:c r="M375" s="261" t="n">
        <x:v>2.2927</x:v>
      </x:c>
      <x:c r="N375" s="261" t="n">
        <x:f>IF(OR(L375&lt;$B$3,L375&gt;$D$3),"",IF(AND(J375=J374,N374&lt;&gt;""),MAX(M375,N374),M375))</x:f>
        <x:v>2.2963</x:v>
      </x:c>
      <x:c r="O375" s="262" t="n">
        <x:f>IF(N375="","",M375/N375-1)</x:f>
        <x:v>-0.0015677394068719375</x:v>
      </x:c>
    </x:row>
    <x:row r="376">
      <x:c r="J376" s="257" t="str">
        <x:v>000385.OF</x:v>
      </x:c>
      <x:c r="K376" s="258" t="str">
        <x:v>景顺长城景颐双利债券A</x:v>
      </x:c>
      <x:c r="L376" s="263" t="n">
        <x:v>46203</x:v>
      </x:c>
      <x:c r="M376" s="261" t="n">
        <x:v>2.2987</x:v>
      </x:c>
      <x:c r="N376" s="261" t="n">
        <x:f>IF(OR(L376&lt;$B$3,L376&gt;$D$3),"",IF(AND(J376=J375,N375&lt;&gt;""),MAX(M376,N375),M376))</x:f>
        <x:v>2.2987</x:v>
      </x:c>
      <x:c r="O376" s="262" t="n">
        <x:f>IF(N376="","",M376/N376-1)</x:f>
        <x:v>0</x:v>
      </x:c>
    </x:row>
    <x:row r="377">
      <x:c r="J377" s="257" t="str">
        <x:v>000385.OF</x:v>
      </x:c>
      <x:c r="K377" s="258" t="str">
        <x:v>景顺长城景颐双利债券A</x:v>
      </x:c>
      <x:c r="L377" s="263" t="n">
        <x:v>46204</x:v>
      </x:c>
      <x:c r="M377" s="261" t="n">
        <x:v>2.2939</x:v>
      </x:c>
      <x:c r="N377" s="261" t="n">
        <x:f>IF(OR(L377&lt;$B$3,L377&gt;$D$3),"",IF(AND(J377=J376,N376&lt;&gt;""),MAX(M377,N376),M377))</x:f>
        <x:v>2.2987</x:v>
      </x:c>
      <x:c r="O377" s="262" t="n">
        <x:f>IF(N377="","",M377/N377-1)</x:f>
        <x:v>-0.0020881367729588263</x:v>
      </x:c>
    </x:row>
    <x:row r="378">
      <x:c r="J378" s="257" t="str">
        <x:v>000385.OF</x:v>
      </x:c>
      <x:c r="K378" s="258" t="str">
        <x:v>景顺长城景颐双利债券A</x:v>
      </x:c>
      <x:c r="L378" s="263" t="n">
        <x:v>46205</x:v>
      </x:c>
      <x:c r="M378" s="261" t="n">
        <x:v>2.2819</x:v>
      </x:c>
      <x:c r="N378" s="261" t="n">
        <x:f>IF(OR(L378&lt;$B$3,L378&gt;$D$3),"",IF(AND(J378=J377,N377&lt;&gt;""),MAX(M378,N377),M378))</x:f>
        <x:v>2.2987</x:v>
      </x:c>
      <x:c r="O378" s="262" t="n">
        <x:f>IF(N378="","",M378/N378-1)</x:f>
        <x:v>-0.007308478705355337</x:v>
      </x:c>
    </x:row>
    <x:row r="379">
      <x:c r="J379" s="257" t="str">
        <x:v>000385.OF</x:v>
      </x:c>
      <x:c r="K379" s="258" t="str">
        <x:v>景顺长城景颐双利债券A</x:v>
      </x:c>
      <x:c r="L379" s="263" t="n">
        <x:v>46206</x:v>
      </x:c>
      <x:c r="M379" s="261" t="n">
        <x:v>2.2807</x:v>
      </x:c>
      <x:c r="N379" s="261" t="n">
        <x:f>IF(OR(L379&lt;$B$3,L379&gt;$D$3),"",IF(AND(J379=J378,N378&lt;&gt;""),MAX(M379,N378),M379))</x:f>
        <x:v>2.2987</x:v>
      </x:c>
      <x:c r="O379" s="262" t="n">
        <x:f>IF(N379="","",M379/N379-1)</x:f>
        <x:v>-0.007830512898594932</x:v>
      </x:c>
    </x:row>
    <x:row r="380">
      <x:c r="J380" s="257" t="str">
        <x:v>000385.OF</x:v>
      </x:c>
      <x:c r="K380" s="258" t="str">
        <x:v>景顺长城景颐双利债券A</x:v>
      </x:c>
      <x:c r="L380" s="263" t="n">
        <x:v>46207</x:v>
      </x:c>
      <x:c r="M380" s="261" t="n">
        <x:v>2.2807</x:v>
      </x:c>
      <x:c r="N380" s="261" t="n">
        <x:f>IF(OR(L380&lt;$B$3,L380&gt;$D$3),"",IF(AND(J380=J379,N379&lt;&gt;""),MAX(M380,N379),M380))</x:f>
        <x:v>2.2987</x:v>
      </x:c>
      <x:c r="O380" s="262" t="n">
        <x:f>IF(N380="","",M380/N380-1)</x:f>
        <x:v>-0.007830512898594932</x:v>
      </x:c>
    </x:row>
    <x:row r="381">
      <x:c r="J381" s="257" t="str">
        <x:v>000385.OF</x:v>
      </x:c>
      <x:c r="K381" s="258" t="str">
        <x:v>景顺长城景颐双利债券A</x:v>
      </x:c>
      <x:c r="L381" s="263" t="n">
        <x:v>46208</x:v>
      </x:c>
      <x:c r="M381" s="261" t="n">
        <x:v>2.2807</x:v>
      </x:c>
      <x:c r="N381" s="261" t="n">
        <x:f>IF(OR(L381&lt;$B$3,L381&gt;$D$3),"",IF(AND(J381=J380,N380&lt;&gt;""),MAX(M381,N380),M381))</x:f>
        <x:v>2.2987</x:v>
      </x:c>
      <x:c r="O381" s="262" t="n">
        <x:f>IF(N381="","",M381/N381-1)</x:f>
        <x:v>-0.007830512898594932</x:v>
      </x:c>
    </x:row>
    <x:row r="382">
      <x:c r="J382" s="257" t="str">
        <x:v>000385.OF</x:v>
      </x:c>
      <x:c r="K382" s="258" t="str">
        <x:v>景顺长城景颐双利债券A</x:v>
      </x:c>
      <x:c r="L382" s="263" t="n">
        <x:v>46209</x:v>
      </x:c>
      <x:c r="M382" s="261" t="n">
        <x:v>2.2855</x:v>
      </x:c>
      <x:c r="N382" s="261" t="n">
        <x:f>IF(OR(L382&lt;$B$3,L382&gt;$D$3),"",IF(AND(J382=J381,N381&lt;&gt;""),MAX(M382,N381),M382))</x:f>
        <x:v>2.2987</x:v>
      </x:c>
      <x:c r="O382" s="262" t="n">
        <x:f>IF(N382="","",M382/N382-1)</x:f>
        <x:v>-0.005742376125636328</x:v>
      </x:c>
    </x:row>
    <x:row r="383">
      <x:c r="J383" s="257" t="str">
        <x:v>000385.OF</x:v>
      </x:c>
      <x:c r="K383" s="258" t="str">
        <x:v>景顺长城景颐双利债券A</x:v>
      </x:c>
      <x:c r="L383" s="263" t="n">
        <x:v>46210</x:v>
      </x:c>
      <x:c r="M383" s="261" t="n">
        <x:v>2.2807</x:v>
      </x:c>
      <x:c r="N383" s="261" t="n">
        <x:f>IF(OR(L383&lt;$B$3,L383&gt;$D$3),"",IF(AND(J383=J382,N382&lt;&gt;""),MAX(M383,N382),M383))</x:f>
        <x:v>2.2987</x:v>
      </x:c>
      <x:c r="O383" s="262" t="n">
        <x:f>IF(N383="","",M383/N383-1)</x:f>
        <x:v>-0.007830512898594932</x:v>
      </x:c>
    </x:row>
    <x:row r="384">
      <x:c r="J384" s="257" t="str">
        <x:v>000385.OF</x:v>
      </x:c>
      <x:c r="K384" s="258" t="str">
        <x:v>景顺长城景颐双利债券A</x:v>
      </x:c>
      <x:c r="L384" s="263" t="n">
        <x:v>46211</x:v>
      </x:c>
      <x:c r="M384" s="261" t="n">
        <x:v>2.2783</x:v>
      </x:c>
      <x:c r="N384" s="261" t="n">
        <x:f>IF(OR(L384&lt;$B$3,L384&gt;$D$3),"",IF(AND(J384=J383,N383&lt;&gt;""),MAX(M384,N383),M384))</x:f>
        <x:v>2.2987</x:v>
      </x:c>
      <x:c r="O384" s="262" t="n">
        <x:f>IF(N384="","",M384/N384-1)</x:f>
        <x:v>-0.008874581285074123</x:v>
      </x:c>
    </x:row>
    <x:row r="385">
      <x:c r="J385" s="257" t="str">
        <x:v>000385.OF</x:v>
      </x:c>
      <x:c r="K385" s="258" t="str">
        <x:v>景顺长城景颐双利债券A</x:v>
      </x:c>
      <x:c r="L385" s="263" t="n">
        <x:v>46212</x:v>
      </x:c>
      <x:c r="M385" s="261" t="n">
        <x:v>2.2939</x:v>
      </x:c>
      <x:c r="N385" s="261" t="n">
        <x:f>IF(OR(L385&lt;$B$3,L385&gt;$D$3),"",IF(AND(J385=J384,N384&lt;&gt;""),MAX(M385,N384),M385))</x:f>
        <x:v>2.2987</x:v>
      </x:c>
      <x:c r="O385" s="262" t="n">
        <x:f>IF(N385="","",M385/N385-1)</x:f>
        <x:v>-0.0020881367729588263</x:v>
      </x:c>
    </x:row>
    <x:row r="386">
      <x:c r="J386" s="257" t="str">
        <x:v>000385.OF</x:v>
      </x:c>
      <x:c r="K386" s="258" t="str">
        <x:v>景顺长城景颐双利债券A</x:v>
      </x:c>
      <x:c r="L386" s="263" t="n">
        <x:v>46213</x:v>
      </x:c>
      <x:c r="M386" s="261" t="n">
        <x:v>2.2795</x:v>
      </x:c>
      <x:c r="N386" s="261" t="n">
        <x:f>IF(OR(L386&lt;$B$3,L386&gt;$D$3),"",IF(AND(J386=J385,N385&lt;&gt;""),MAX(M386,N385),M386))</x:f>
        <x:v>2.2987</x:v>
      </x:c>
      <x:c r="O386" s="262" t="n">
        <x:f>IF(N386="","",M386/N386-1)</x:f>
        <x:v>-0.008352547091834528</x:v>
      </x:c>
    </x:row>
    <x:row r="387">
      <x:c r="J387" s="257" t="str">
        <x:v>000385.OF</x:v>
      </x:c>
      <x:c r="K387" s="258" t="str">
        <x:v>景顺长城景颐双利债券A</x:v>
      </x:c>
      <x:c r="L387" s="263" t="n">
        <x:v>46214</x:v>
      </x:c>
      <x:c r="M387" s="261" t="n">
        <x:v>2.2795</x:v>
      </x:c>
      <x:c r="N387" s="261" t="n">
        <x:f>IF(OR(L387&lt;$B$3,L387&gt;$D$3),"",IF(AND(J387=J386,N386&lt;&gt;""),MAX(M387,N386),M387))</x:f>
        <x:v>2.2987</x:v>
      </x:c>
      <x:c r="O387" s="262" t="n">
        <x:f>IF(N387="","",M387/N387-1)</x:f>
        <x:v>-0.008352547091834528</x:v>
      </x:c>
    </x:row>
    <x:row r="388">
      <x:c r="J388" s="257" t="str">
        <x:v>000385.OF</x:v>
      </x:c>
      <x:c r="K388" s="258" t="str">
        <x:v>景顺长城景颐双利债券A</x:v>
      </x:c>
      <x:c r="L388" s="263" t="n">
        <x:v>46215</x:v>
      </x:c>
      <x:c r="M388" s="261" t="n">
        <x:v>2.2795</x:v>
      </x:c>
      <x:c r="N388" s="261" t="n">
        <x:f>IF(OR(L388&lt;$B$3,L388&gt;$D$3),"",IF(AND(J388=J387,N387&lt;&gt;""),MAX(M388,N387),M388))</x:f>
        <x:v>2.2987</x:v>
      </x:c>
      <x:c r="O388" s="262" t="n">
        <x:f>IF(N388="","",M388/N388-1)</x:f>
        <x:v>-0.008352547091834528</x:v>
      </x:c>
    </x:row>
    <x:row r="389">
      <x:c r="J389" s="257" t="str">
        <x:v>000385.OF</x:v>
      </x:c>
      <x:c r="K389" s="258" t="str">
        <x:v>景顺长城景颐双利债券A</x:v>
      </x:c>
      <x:c r="L389" s="263" t="n">
        <x:v>46216</x:v>
      </x:c>
      <x:c r="M389" s="261" t="n">
        <x:v>2.2675</x:v>
      </x:c>
      <x:c r="N389" s="261" t="n">
        <x:f>IF(OR(L389&lt;$B$3,L389&gt;$D$3),"",IF(AND(J389=J388,N388&lt;&gt;""),MAX(M389,N388),M389))</x:f>
        <x:v>2.2987</x:v>
      </x:c>
      <x:c r="O389" s="262" t="n">
        <x:f>IF(N389="","",M389/N389-1)</x:f>
        <x:v>-0.01357288902423115</x:v>
      </x:c>
    </x:row>
    <x:row r="390">
      <x:c r="J390" s="257" t="str">
        <x:v>000385.OF</x:v>
      </x:c>
      <x:c r="K390" s="258" t="str">
        <x:v>景顺长城景颐双利债券A</x:v>
      </x:c>
      <x:c r="L390" s="263" t="n">
        <x:v>46217</x:v>
      </x:c>
      <x:c r="M390" s="261" t="n">
        <x:v>2.2735</x:v>
      </x:c>
      <x:c r="N390" s="261" t="n">
        <x:f>IF(OR(L390&lt;$B$3,L390&gt;$D$3),"",IF(AND(J390=J389,N389&lt;&gt;""),MAX(M390,N389),M390))</x:f>
        <x:v>2.2987</x:v>
      </x:c>
      <x:c r="O390" s="262" t="n">
        <x:f>IF(N390="","",M390/N390-1)</x:f>
        <x:v>-0.01096271805803295</x:v>
      </x:c>
    </x:row>
    <x:row r="391">
      <x:c r="J391" s="257" t="str">
        <x:v>000385.OF</x:v>
      </x:c>
      <x:c r="K391" s="258" t="str">
        <x:v>景顺长城景颐双利债券A</x:v>
      </x:c>
      <x:c r="L391" s="263" t="n">
        <x:v>46218</x:v>
      </x:c>
      <x:c r="M391" s="261" t="n">
        <x:v>2.2663</x:v>
      </x:c>
      <x:c r="N391" s="261" t="n">
        <x:f>IF(OR(L391&lt;$B$3,L391&gt;$D$3),"",IF(AND(J391=J390,N390&lt;&gt;""),MAX(M391,N390),M391))</x:f>
        <x:v>2.2987</x:v>
      </x:c>
      <x:c r="O391" s="262" t="n">
        <x:f>IF(N391="","",M391/N391-1)</x:f>
        <x:v>-0.014094923217470745</x:v>
      </x:c>
    </x:row>
    <x:row r="392">
      <x:c r="J392" s="257" t="str">
        <x:v>000385.OF</x:v>
      </x:c>
      <x:c r="K392" s="258" t="str">
        <x:v>景顺长城景颐双利债券A</x:v>
      </x:c>
      <x:c r="L392" s="263" t="n">
        <x:v>46219</x:v>
      </x:c>
      <x:c r="M392" s="261" t="n">
        <x:v>2.2567</x:v>
      </x:c>
      <x:c r="N392" s="261" t="n">
        <x:f>IF(OR(L392&lt;$B$3,L392&gt;$D$3),"",IF(AND(J392=J391,N391&lt;&gt;""),MAX(M392,N391),M392))</x:f>
        <x:v>2.2987</x:v>
      </x:c>
      <x:c r="O392" s="262" t="n">
        <x:f>IF(N392="","",M392/N392-1)</x:f>
        <x:v>-0.018271196763388065</x:v>
      </x:c>
    </x:row>
    <x:row r="393">
      <x:c r="J393" s="257" t="str">
        <x:v>000385.OF</x:v>
      </x:c>
      <x:c r="K393" s="258" t="str">
        <x:v>景顺长城景颐双利债券A</x:v>
      </x:c>
      <x:c r="L393" s="263" t="n">
        <x:v>46220</x:v>
      </x:c>
      <x:c r="M393" s="261" t="n">
        <x:v>2.2423</x:v>
      </x:c>
      <x:c r="N393" s="261" t="n">
        <x:f>IF(OR(L393&lt;$B$3,L393&gt;$D$3),"",IF(AND(J393=J392,N392&lt;&gt;""),MAX(M393,N392),M393))</x:f>
        <x:v>2.2987</x:v>
      </x:c>
      <x:c r="O393" s="262" t="n">
        <x:f>IF(N393="","",M393/N393-1)</x:f>
        <x:v>-0.024535607082263877</x:v>
      </x:c>
    </x:row>
    <x:row r="394">
      <x:c r="J394" s="257" t="str">
        <x:v>000385.OF</x:v>
      </x:c>
      <x:c r="K394" s="258" t="str">
        <x:v>景顺长城景颐双利债券A</x:v>
      </x:c>
      <x:c r="L394" s="263" t="n">
        <x:v>46221</x:v>
      </x:c>
      <x:c r="M394" s="261" t="n">
        <x:v>2.2423</x:v>
      </x:c>
      <x:c r="N394" s="261" t="n">
        <x:f>IF(OR(L394&lt;$B$3,L394&gt;$D$3),"",IF(AND(J394=J393,N393&lt;&gt;""),MAX(M394,N393),M394))</x:f>
        <x:v>2.2987</x:v>
      </x:c>
      <x:c r="O394" s="262" t="n">
        <x:f>IF(N394="","",M394/N394-1)</x:f>
        <x:v>-0.024535607082263877</x:v>
      </x:c>
    </x:row>
    <x:row r="395">
      <x:c r="J395" s="257" t="str">
        <x:v>000385.OF</x:v>
      </x:c>
      <x:c r="K395" s="258" t="str">
        <x:v>景顺长城景颐双利债券A</x:v>
      </x:c>
      <x:c r="L395" s="263" t="n">
        <x:v>46222</x:v>
      </x:c>
      <x:c r="M395" s="261" t="n">
        <x:v>2.2423</x:v>
      </x:c>
      <x:c r="N395" s="261" t="n">
        <x:f>IF(OR(L395&lt;$B$3,L395&gt;$D$3),"",IF(AND(J395=J394,N394&lt;&gt;""),MAX(M395,N394),M395))</x:f>
        <x:v>2.2987</x:v>
      </x:c>
      <x:c r="O395" s="262" t="n">
        <x:f>IF(N395="","",M395/N395-1)</x:f>
        <x:v>-0.024535607082263877</x:v>
      </x:c>
    </x:row>
    <x:row r="396">
      <x:c r="J396" s="257" t="str">
        <x:v>000385.OF</x:v>
      </x:c>
      <x:c r="K396" s="258" t="str">
        <x:v>景顺长城景颐双利债券A</x:v>
      </x:c>
      <x:c r="L396" s="263" t="n">
        <x:v>46223</x:v>
      </x:c>
      <x:c r="M396" s="261" t="n">
        <x:v>2.2471</x:v>
      </x:c>
      <x:c r="N396" s="261" t="n">
        <x:f>IF(OR(L396&lt;$B$3,L396&gt;$D$3),"",IF(AND(J396=J395,N395&lt;&gt;""),MAX(M396,N395),M396))</x:f>
        <x:v>2.2987</x:v>
      </x:c>
      <x:c r="O396" s="262" t="n">
        <x:f>IF(N396="","",M396/N396-1)</x:f>
        <x:v>-0.022447470309305273</x:v>
      </x:c>
    </x:row>
    <x:row r="397">
      <x:c r="J397" s="257" t="str">
        <x:v>000385.OF</x:v>
      </x:c>
      <x:c r="K397" s="258" t="str">
        <x:v>景顺长城景颐双利债券A</x:v>
      </x:c>
      <x:c r="L397" s="263" t="n">
        <x:v>46224</x:v>
      </x:c>
      <x:c r="M397" s="261" t="n">
        <x:v>2.2639</x:v>
      </x:c>
      <x:c r="N397" s="261" t="n">
        <x:f>IF(OR(L397&lt;$B$3,L397&gt;$D$3),"",IF(AND(J397=J396,N396&lt;&gt;""),MAX(M397,N396),M397))</x:f>
        <x:v>2.2987</x:v>
      </x:c>
      <x:c r="O397" s="262" t="n">
        <x:f>IF(N397="","",M397/N397-1)</x:f>
        <x:v>-0.015138991603950158</x:v>
      </x:c>
    </x:row>
    <x:row r="398">
      <x:c r="J398" s="257" t="str">
        <x:v>000385.OF</x:v>
      </x:c>
      <x:c r="K398" s="258" t="str">
        <x:v>景顺长城景颐双利债券A</x:v>
      </x:c>
      <x:c r="L398" s="263" t="n">
        <x:v>46225</x:v>
      </x:c>
      <x:c r="M398" s="261" t="n">
        <x:v>2.2723</x:v>
      </x:c>
      <x:c r="N398" s="261" t="n">
        <x:f>IF(OR(L398&lt;$B$3,L398&gt;$D$3),"",IF(AND(J398=J397,N397&lt;&gt;""),MAX(M398,N397),M398))</x:f>
        <x:v>2.2987</x:v>
      </x:c>
      <x:c r="O398" s="262" t="n">
        <x:f>IF(N398="","",M398/N398-1)</x:f>
        <x:v>-0.011484752251272545</x:v>
      </x:c>
    </x:row>
    <x:row r="399">
      <x:c r="J399" s="257" t="str">
        <x:v>000385.OF</x:v>
      </x:c>
      <x:c r="K399" s="258" t="str">
        <x:v>景顺长城景颐双利债券A</x:v>
      </x:c>
      <x:c r="L399" s="263" t="n">
        <x:v>46226</x:v>
      </x:c>
      <x:c r="M399" s="261" t="n">
        <x:v>2.2687</x:v>
      </x:c>
      <x:c r="N399" s="261" t="n">
        <x:f>IF(OR(L399&lt;$B$3,L399&gt;$D$3),"",IF(AND(J399=J398,N398&lt;&gt;""),MAX(M399,N398),M399))</x:f>
        <x:v>2.2987</x:v>
      </x:c>
      <x:c r="O399" s="262" t="n">
        <x:f>IF(N399="","",M399/N399-1)</x:f>
        <x:v>-0.013050854830991554</x:v>
      </x:c>
    </x:row>
    <x:row r="400">
      <x:c r="J400" s="257" t="str">
        <x:v>000385.OF</x:v>
      </x:c>
      <x:c r="K400" s="258" t="str">
        <x:v>景顺长城景颐双利债券A</x:v>
      </x:c>
      <x:c r="L400" s="263" t="n">
        <x:v>46227</x:v>
      </x:c>
      <x:c r="M400" s="261" t="n">
        <x:v>2.2639</x:v>
      </x:c>
      <x:c r="N400" s="261" t="n">
        <x:f>IF(OR(L400&lt;$B$3,L400&gt;$D$3),"",IF(AND(J400=J399,N399&lt;&gt;""),MAX(M400,N399),M400))</x:f>
        <x:v>2.2987</x:v>
      </x:c>
      <x:c r="O400" s="262" t="n">
        <x:f>IF(N400="","",M400/N400-1)</x:f>
        <x:v>-0.015138991603950158</x:v>
      </x:c>
    </x:row>
    <x:row r="401">
      <x:c r="J401" s="257" t="str">
        <x:v>000385.OF</x:v>
      </x:c>
      <x:c r="K401" s="258" t="str">
        <x:v>景顺长城景颐双利债券A</x:v>
      </x:c>
      <x:c r="L401" s="263" t="n">
        <x:v>46228</x:v>
      </x:c>
      <x:c r="M401" s="261" t="n">
        <x:v>2.2639</x:v>
      </x:c>
      <x:c r="N401" s="261" t="n">
        <x:f>IF(OR(L401&lt;$B$3,L401&gt;$D$3),"",IF(AND(J401=J400,N400&lt;&gt;""),MAX(M401,N400),M401))</x:f>
        <x:v>2.2987</x:v>
      </x:c>
      <x:c r="O401" s="262" t="n">
        <x:f>IF(N401="","",M401/N401-1)</x:f>
        <x:v>-0.015138991603950158</x:v>
      </x:c>
    </x:row>
    <x:row r="402">
      <x:c r="J402" s="257" t="str">
        <x:v>000385.OF</x:v>
      </x:c>
      <x:c r="K402" s="258" t="str">
        <x:v>景顺长城景颐双利债券A</x:v>
      </x:c>
      <x:c r="L402" s="263" t="n">
        <x:v>46229</x:v>
      </x:c>
      <x:c r="M402" s="261" t="n">
        <x:v>2.2639</x:v>
      </x:c>
      <x:c r="N402" s="261" t="n">
        <x:f>IF(OR(L402&lt;$B$3,L402&gt;$D$3),"",IF(AND(J402=J401,N401&lt;&gt;""),MAX(M402,N401),M402))</x:f>
        <x:v>2.2987</x:v>
      </x:c>
      <x:c r="O402" s="262" t="n">
        <x:f>IF(N402="","",M402/N402-1)</x:f>
        <x:v>-0.015138991603950158</x:v>
      </x:c>
    </x:row>
    <x:row r="403">
      <x:c r="J403" s="257" t="str">
        <x:v>000385.OF</x:v>
      </x:c>
      <x:c r="K403" s="258" t="str">
        <x:v>景顺长城景颐双利债券A</x:v>
      </x:c>
      <x:c r="L403" s="263" t="n">
        <x:v>46230</x:v>
      </x:c>
      <x:c r="M403" s="261" t="n">
        <x:v>2.2687</x:v>
      </x:c>
      <x:c r="N403" s="261" t="n">
        <x:f>IF(OR(L403&lt;$B$3,L403&gt;$D$3),"",IF(AND(J403=J402,N402&lt;&gt;""),MAX(M403,N402),M403))</x:f>
        <x:v>2.2987</x:v>
      </x:c>
      <x:c r="O403" s="262" t="n">
        <x:f>IF(N403="","",M403/N403-1)</x:f>
        <x:v>-0.013050854830991554</x:v>
      </x:c>
    </x:row>
    <x:row r="404">
      <x:c r="J404" s="257" t="str">
        <x:v>000385.OF</x:v>
      </x:c>
      <x:c r="K404" s="258" t="str">
        <x:v>景顺长城景颐双利债券A</x:v>
      </x:c>
      <x:c r="L404" s="263" t="n">
        <x:v>46231</x:v>
      </x:c>
      <x:c r="M404" s="261" t="n">
        <x:v>2.2579</x:v>
      </x:c>
      <x:c r="N404" s="261" t="n">
        <x:f>IF(OR(L404&lt;$B$3,L404&gt;$D$3),"",IF(AND(J404=J403,N403&lt;&gt;""),MAX(M404,N403),M404))</x:f>
        <x:v>2.2987</x:v>
      </x:c>
      <x:c r="O404" s="262" t="n">
        <x:f>IF(N404="","",M404/N404-1)</x:f>
        <x:v>-0.01774916257014847</x:v>
      </x:c>
    </x:row>
    <x:row r="405">
      <x:c r="J405" s="257" t="str">
        <x:v>000385.OF</x:v>
      </x:c>
      <x:c r="K405" s="258" t="str">
        <x:v>景顺长城景颐双利债券A</x:v>
      </x:c>
      <x:c r="L405" s="263" t="n">
        <x:v>46232</x:v>
      </x:c>
      <x:c r="M405" s="261" t="n">
        <x:v>2.2603</x:v>
      </x:c>
      <x:c r="N405" s="261" t="n">
        <x:f>IF(OR(L405&lt;$B$3,L405&gt;$D$3),"",IF(AND(J405=J404,N404&lt;&gt;""),MAX(M405,N404),M405))</x:f>
        <x:v>2.2987</x:v>
      </x:c>
      <x:c r="O405" s="262" t="n">
        <x:f>IF(N405="","",M405/N405-1)</x:f>
        <x:v>-0.016705094183669167</x:v>
      </x:c>
    </x:row>
    <x:row r="406">
      <x:c r="J406" s="257" t="str">
        <x:v>000385.OF</x:v>
      </x:c>
      <x:c r="K406" s="258" t="str">
        <x:v>景顺长城景颐双利债券A</x:v>
      </x:c>
      <x:c r="L406" s="263" t="n">
        <x:v>46233</x:v>
      </x:c>
      <x:c r="M406" s="261" t="n">
        <x:v>2.2567</x:v>
      </x:c>
      <x:c r="N406" s="261" t="n">
        <x:f>IF(OR(L406&lt;$B$3,L406&gt;$D$3),"",IF(AND(J406=J405,N405&lt;&gt;""),MAX(M406,N405),M406))</x:f>
        <x:v>2.2987</x:v>
      </x:c>
      <x:c r="O406" s="262" t="n">
        <x:f>IF(N406="","",M406/N406-1)</x:f>
        <x:v>-0.018271196763388065</x:v>
      </x:c>
    </x:row>
    <x:row r="407">
      <x:c r="J407" s="257" t="str">
        <x:v>000385.OF</x:v>
      </x:c>
      <x:c r="K407" s="258" t="str">
        <x:v>景顺长城景颐双利债券A</x:v>
      </x:c>
      <x:c r="L407" s="263" t="n">
        <x:v>46234</x:v>
      </x:c>
      <x:c r="M407" s="261" t="n">
        <x:v>2.2603</x:v>
      </x:c>
      <x:c r="N407" s="261" t="n">
        <x:f>IF(OR(L407&lt;$B$3,L407&gt;$D$3),"",IF(AND(J407=J406,N406&lt;&gt;""),MAX(M407,N406),M407))</x:f>
        <x:v>2.2987</x:v>
      </x:c>
      <x:c r="O407" s="262" t="n">
        <x:f>IF(N407="","",M407/N407-1)</x:f>
        <x:v>-0.016705094183669167</x:v>
      </x:c>
    </x:row>
    <x:row r="408">
      <x:c r="J408" s="257" t="str">
        <x:v>000385.OF</x:v>
      </x:c>
      <x:c r="K408" s="258" t="str">
        <x:v>景顺长城景颐双利债券A</x:v>
      </x:c>
      <x:c r="L408" s="263" t="n">
        <x:v>46235</x:v>
      </x:c>
      <x:c r="M408" s="261" t="n">
        <x:v>2.2603</x:v>
      </x:c>
      <x:c r="N408" s="261" t="n">
        <x:f>IF(OR(L408&lt;$B$3,L408&gt;$D$3),"",IF(AND(J408=J407,N407&lt;&gt;""),MAX(M408,N407),M408))</x:f>
        <x:v>2.2987</x:v>
      </x:c>
      <x:c r="O408" s="262" t="n">
        <x:f>IF(N408="","",M408/N408-1)</x:f>
        <x:v>-0.016705094183669167</x:v>
      </x:c>
    </x:row>
    <x:row r="409">
      <x:c r="J409" s="257" t="str">
        <x:v>000385.OF</x:v>
      </x:c>
      <x:c r="K409" s="258" t="str">
        <x:v>景顺长城景颐双利债券A</x:v>
      </x:c>
      <x:c r="L409" s="263" t="n">
        <x:v>46236</x:v>
      </x:c>
      <x:c r="M409" s="261" t="n">
        <x:v>2.2603</x:v>
      </x:c>
      <x:c r="N409" s="261" t="n">
        <x:f>IF(OR(L409&lt;$B$3,L409&gt;$D$3),"",IF(AND(J409=J408,N408&lt;&gt;""),MAX(M409,N408),M409))</x:f>
        <x:v>2.2987</x:v>
      </x:c>
      <x:c r="O409" s="262" t="n">
        <x:f>IF(N409="","",M409/N409-1)</x:f>
        <x:v>-0.016705094183669167</x:v>
      </x:c>
    </x:row>
    <x:row r="410">
      <x:c r="J410" s="257" t="str">
        <x:v>000385.OF</x:v>
      </x:c>
      <x:c r="K410" s="258" t="str">
        <x:v>景顺长城景颐双利债券A</x:v>
      </x:c>
      <x:c r="L410" s="263" t="n">
        <x:v>46237</x:v>
      </x:c>
      <x:c r="M410" s="261" t="n">
        <x:v>2.2555</x:v>
      </x:c>
      <x:c r="N410" s="261" t="n">
        <x:f>IF(OR(L410&lt;$B$3,L410&gt;$D$3),"",IF(AND(J410=J409,N409&lt;&gt;""),MAX(M410,N409),M410))</x:f>
        <x:v>2.2987</x:v>
      </x:c>
      <x:c r="O410" s="262" t="n">
        <x:f>IF(N410="","",M410/N410-1)</x:f>
        <x:v>-0.01879323095662766</x:v>
      </x:c>
    </x:row>
    <x:row r="411">
      <x:c r="J411" s="257" t="str">
        <x:v>000385.OF</x:v>
      </x:c>
      <x:c r="K411" s="258" t="str">
        <x:v>景顺长城景颐双利债券A</x:v>
      </x:c>
      <x:c r="L411" s="263" t="n">
        <x:v>46238</x:v>
      </x:c>
      <x:c r="M411" s="261" t="n">
        <x:v>2.2591</x:v>
      </x:c>
      <x:c r="N411" s="261" t="n">
        <x:f>IF(OR(L411&lt;$B$3,L411&gt;$D$3),"",IF(AND(J411=J410,N410&lt;&gt;""),MAX(M411,N410),M411))</x:f>
        <x:v>2.2987</x:v>
      </x:c>
      <x:c r="O411" s="262" t="n">
        <x:f>IF(N411="","",M411/N411-1)</x:f>
        <x:v>-0.017227128376908762</x:v>
      </x:c>
    </x:row>
    <x:row r="412">
      <x:c r="J412" s="257" t="str">
        <x:v>000385.OF</x:v>
      </x:c>
      <x:c r="K412" s="258" t="str">
        <x:v>景顺长城景颐双利债券A</x:v>
      </x:c>
      <x:c r="L412" s="263" t="n">
        <x:v>46239</x:v>
      </x:c>
      <x:c r="M412" s="261" t="n">
        <x:v>2.2639</x:v>
      </x:c>
      <x:c r="N412" s="261" t="n">
        <x:f>IF(OR(L412&lt;$B$3,L412&gt;$D$3),"",IF(AND(J412=J411,N411&lt;&gt;""),MAX(M412,N411),M412))</x:f>
        <x:v>2.2987</x:v>
      </x:c>
      <x:c r="O412" s="262" t="n">
        <x:f>IF(N412="","",M412/N412-1)</x:f>
        <x:v>-0.015138991603950158</x:v>
      </x:c>
    </x:row>
    <x:row r="413">
      <x:c r="J413" s="257" t="str">
        <x:v>000385.OF</x:v>
      </x:c>
      <x:c r="K413" s="258" t="str">
        <x:v>景顺长城景颐双利债券A</x:v>
      </x:c>
      <x:c r="L413" s="263" t="n">
        <x:v>46240</x:v>
      </x:c>
      <x:c r="M413" s="261" t="n">
        <x:v>2.2675</x:v>
      </x:c>
      <x:c r="N413" s="261" t="n">
        <x:f>IF(OR(L413&lt;$B$3,L413&gt;$D$3),"",IF(AND(J413=J412,N412&lt;&gt;""),MAX(M413,N412),M413))</x:f>
        <x:v>2.2987</x:v>
      </x:c>
      <x:c r="O413" s="262" t="n">
        <x:f>IF(N413="","",M413/N413-1)</x:f>
        <x:v>-0.01357288902423115</x:v>
      </x:c>
    </x:row>
    <x:row r="414">
      <x:c r="J414" s="257" t="str">
        <x:v>000385.OF</x:v>
      </x:c>
      <x:c r="K414" s="258" t="str">
        <x:v>景顺长城景颐双利债券A</x:v>
      </x:c>
      <x:c r="L414" s="263" t="n">
        <x:v>46241</x:v>
      </x:c>
      <x:c r="M414" s="261" t="n">
        <x:v>2.2747</x:v>
      </x:c>
      <x:c r="N414" s="261" t="n">
        <x:f>IF(OR(L414&lt;$B$3,L414&gt;$D$3),"",IF(AND(J414=J413,N413&lt;&gt;""),MAX(M414,N413),M414))</x:f>
        <x:v>2.2987</x:v>
      </x:c>
      <x:c r="O414" s="262" t="n">
        <x:f>IF(N414="","",M414/N414-1)</x:f>
        <x:v>-0.010440683864793132</x:v>
      </x:c>
    </x:row>
    <x:row r="415">
      <x:c r="J415" s="257" t="str">
        <x:v>000385.OF</x:v>
      </x:c>
      <x:c r="K415" s="258" t="str">
        <x:v>景顺长城景颐双利债券A</x:v>
      </x:c>
      <x:c r="L415" s="263" t="n">
        <x:v>46242</x:v>
      </x:c>
      <x:c r="M415" s="261" t="n">
        <x:v>2.2747</x:v>
      </x:c>
      <x:c r="N415" s="261" t="n">
        <x:f>IF(OR(L415&lt;$B$3,L415&gt;$D$3),"",IF(AND(J415=J414,N414&lt;&gt;""),MAX(M415,N414),M415))</x:f>
        <x:v>2.2987</x:v>
      </x:c>
      <x:c r="O415" s="262" t="n">
        <x:f>IF(N415="","",M415/N415-1)</x:f>
        <x:v>-0.010440683864793132</x:v>
      </x:c>
    </x:row>
    <x:row r="416">
      <x:c r="J416" s="257" t="str">
        <x:v>000385.OF</x:v>
      </x:c>
      <x:c r="K416" s="258" t="str">
        <x:v>景顺长城景颐双利债券A</x:v>
      </x:c>
      <x:c r="L416" s="263" t="n">
        <x:v>46243</x:v>
      </x:c>
      <x:c r="M416" s="261" t="n">
        <x:v>2.2747</x:v>
      </x:c>
      <x:c r="N416" s="261" t="n">
        <x:f>IF(OR(L416&lt;$B$3,L416&gt;$D$3),"",IF(AND(J416=J415,N415&lt;&gt;""),MAX(M416,N415),M416))</x:f>
        <x:v>2.2987</x:v>
      </x:c>
      <x:c r="O416" s="262" t="n">
        <x:f>IF(N416="","",M416/N416-1)</x:f>
        <x:v>-0.010440683864793132</x:v>
      </x:c>
    </x:row>
    <x:row r="417">
      <x:c r="J417" s="257" t="str">
        <x:v>000385.OF</x:v>
      </x:c>
      <x:c r="K417" s="258" t="str">
        <x:v>景顺长城景颐双利债券A</x:v>
      </x:c>
      <x:c r="L417" s="263" t="n">
        <x:v>46244</x:v>
      </x:c>
      <x:c r="M417" s="261" t="n">
        <x:v>2.2783</x:v>
      </x:c>
      <x:c r="N417" s="261" t="n">
        <x:f>IF(OR(L417&lt;$B$3,L417&gt;$D$3),"",IF(AND(J417=J416,N416&lt;&gt;""),MAX(M417,N416),M417))</x:f>
        <x:v>2.2987</x:v>
      </x:c>
      <x:c r="O417" s="262" t="n">
        <x:f>IF(N417="","",M417/N417-1)</x:f>
        <x:v>-0.008874581285074123</x:v>
      </x:c>
    </x:row>
    <x:row r="418">
      <x:c r="J418" s="257" t="str">
        <x:v>002065.OF</x:v>
      </x:c>
      <x:c r="K418" s="258" t="str">
        <x:v>景顺长城景盛双息收益债券A</x:v>
      </x:c>
      <x:c r="L418" s="263" t="n">
        <x:v>46191</x:v>
      </x:c>
      <x:c r="M418" s="261" t="n">
        <x:v>1.4434</x:v>
      </x:c>
      <x:c r="N418" s="261" t="n">
        <x:f>IF(OR(L418&lt;$B$3,L418&gt;$D$3),"",IF(AND(J418=J417,N417&lt;&gt;""),MAX(M418,N417),M418))</x:f>
        <x:v>1.4434</x:v>
      </x:c>
      <x:c r="O418" s="262" t="n">
        <x:f>IF(N418="","",M418/N418-1)</x:f>
        <x:v>0</x:v>
      </x:c>
    </x:row>
    <x:row r="419">
      <x:c r="J419" s="257" t="str">
        <x:v>002065.OF</x:v>
      </x:c>
      <x:c r="K419" s="258" t="str">
        <x:v>景顺长城景盛双息收益债券A</x:v>
      </x:c>
      <x:c r="L419" s="263" t="n">
        <x:v>46192</x:v>
      </x:c>
      <x:c r="M419" s="261" t="n">
        <x:v>1.4434</x:v>
      </x:c>
      <x:c r="N419" s="261" t="n">
        <x:f>IF(OR(L419&lt;$B$3,L419&gt;$D$3),"",IF(AND(J419=J418,N418&lt;&gt;""),MAX(M419,N418),M419))</x:f>
        <x:v>1.4434</x:v>
      </x:c>
      <x:c r="O419" s="262" t="n">
        <x:f>IF(N419="","",M419/N419-1)</x:f>
        <x:v>0</x:v>
      </x:c>
    </x:row>
    <x:row r="420">
      <x:c r="J420" s="257" t="str">
        <x:v>002065.OF</x:v>
      </x:c>
      <x:c r="K420" s="258" t="str">
        <x:v>景顺长城景盛双息收益债券A</x:v>
      </x:c>
      <x:c r="L420" s="263" t="n">
        <x:v>46193</x:v>
      </x:c>
      <x:c r="M420" s="261" t="n">
        <x:v>1.4434</x:v>
      </x:c>
      <x:c r="N420" s="261" t="n">
        <x:f>IF(OR(L420&lt;$B$3,L420&gt;$D$3),"",IF(AND(J420=J419,N419&lt;&gt;""),MAX(M420,N419),M420))</x:f>
        <x:v>1.4434</x:v>
      </x:c>
      <x:c r="O420" s="262" t="n">
        <x:f>IF(N420="","",M420/N420-1)</x:f>
        <x:v>0</x:v>
      </x:c>
    </x:row>
    <x:row r="421">
      <x:c r="J421" s="257" t="str">
        <x:v>002065.OF</x:v>
      </x:c>
      <x:c r="K421" s="258" t="str">
        <x:v>景顺长城景盛双息收益债券A</x:v>
      </x:c>
      <x:c r="L421" s="263" t="n">
        <x:v>46194</x:v>
      </x:c>
      <x:c r="M421" s="261" t="n">
        <x:v>1.4434</x:v>
      </x:c>
      <x:c r="N421" s="261" t="n">
        <x:f>IF(OR(L421&lt;$B$3,L421&gt;$D$3),"",IF(AND(J421=J420,N420&lt;&gt;""),MAX(M421,N420),M421))</x:f>
        <x:v>1.4434</x:v>
      </x:c>
      <x:c r="O421" s="262" t="n">
        <x:f>IF(N421="","",M421/N421-1)</x:f>
        <x:v>0</x:v>
      </x:c>
    </x:row>
    <x:row r="422">
      <x:c r="J422" s="257" t="str">
        <x:v>002065.OF</x:v>
      </x:c>
      <x:c r="K422" s="258" t="str">
        <x:v>景顺长城景盛双息收益债券A</x:v>
      </x:c>
      <x:c r="L422" s="263" t="n">
        <x:v>46195</x:v>
      </x:c>
      <x:c r="M422" s="261" t="n">
        <x:v>1.4503</x:v>
      </x:c>
      <x:c r="N422" s="261" t="n">
        <x:f>IF(OR(L422&lt;$B$3,L422&gt;$D$3),"",IF(AND(J422=J421,N421&lt;&gt;""),MAX(M422,N421),M422))</x:f>
        <x:v>1.4503</x:v>
      </x:c>
      <x:c r="O422" s="262" t="n">
        <x:f>IF(N422="","",M422/N422-1)</x:f>
        <x:v>0</x:v>
      </x:c>
    </x:row>
    <x:row r="423">
      <x:c r="J423" s="257" t="str">
        <x:v>002065.OF</x:v>
      </x:c>
      <x:c r="K423" s="258" t="str">
        <x:v>景顺长城景盛双息收益债券A</x:v>
      </x:c>
      <x:c r="L423" s="263" t="n">
        <x:v>46196</x:v>
      </x:c>
      <x:c r="M423" s="261" t="n">
        <x:v>1.4354</x:v>
      </x:c>
      <x:c r="N423" s="261" t="n">
        <x:f>IF(OR(L423&lt;$B$3,L423&gt;$D$3),"",IF(AND(J423=J422,N422&lt;&gt;""),MAX(M423,N422),M423))</x:f>
        <x:v>1.4503</x:v>
      </x:c>
      <x:c r="O423" s="262" t="n">
        <x:f>IF(N423="","",M423/N423-1)</x:f>
        <x:v>-0.010273736468316863</x:v>
      </x:c>
    </x:row>
    <x:row r="424">
      <x:c r="J424" s="257" t="str">
        <x:v>002065.OF</x:v>
      </x:c>
      <x:c r="K424" s="258" t="str">
        <x:v>景顺长城景盛双息收益债券A</x:v>
      </x:c>
      <x:c r="L424" s="263" t="n">
        <x:v>46197</x:v>
      </x:c>
      <x:c r="M424" s="261" t="n">
        <x:v>1.4342</x:v>
      </x:c>
      <x:c r="N424" s="261" t="n">
        <x:f>IF(OR(L424&lt;$B$3,L424&gt;$D$3),"",IF(AND(J424=J423,N423&lt;&gt;""),MAX(M424,N423),M424))</x:f>
        <x:v>1.4503</x:v>
      </x:c>
      <x:c r="O424" s="262" t="n">
        <x:f>IF(N424="","",M424/N424-1)</x:f>
        <x:v>-0.011101151485899519</x:v>
      </x:c>
    </x:row>
    <x:row r="425">
      <x:c r="J425" s="257" t="str">
        <x:v>002065.OF</x:v>
      </x:c>
      <x:c r="K425" s="258" t="str">
        <x:v>景顺长城景盛双息收益债券A</x:v>
      </x:c>
      <x:c r="L425" s="263" t="n">
        <x:v>46198</x:v>
      </x:c>
      <x:c r="M425" s="261" t="n">
        <x:v>1.4273</x:v>
      </x:c>
      <x:c r="N425" s="261" t="n">
        <x:f>IF(OR(L425&lt;$B$3,L425&gt;$D$3),"",IF(AND(J425=J424,N424&lt;&gt;""),MAX(M425,N424),M425))</x:f>
        <x:v>1.4503</x:v>
      </x:c>
      <x:c r="O425" s="262" t="n">
        <x:f>IF(N425="","",M425/N425-1)</x:f>
        <x:v>-0.015858787836999233</x:v>
      </x:c>
    </x:row>
    <x:row r="426">
      <x:c r="J426" s="257" t="str">
        <x:v>002065.OF</x:v>
      </x:c>
      <x:c r="K426" s="258" t="str">
        <x:v>景顺长城景盛双息收益债券A</x:v>
      </x:c>
      <x:c r="L426" s="263" t="n">
        <x:v>46199</x:v>
      </x:c>
      <x:c r="M426" s="261" t="n">
        <x:v>1.4215</x:v>
      </x:c>
      <x:c r="N426" s="261" t="n">
        <x:f>IF(OR(L426&lt;$B$3,L426&gt;$D$3),"",IF(AND(J426=J425,N425&lt;&gt;""),MAX(M426,N425),M426))</x:f>
        <x:v>1.4503</x:v>
      </x:c>
      <x:c r="O426" s="262" t="n">
        <x:f>IF(N426="","",M426/N426-1)</x:f>
        <x:v>-0.019857960421981624</x:v>
      </x:c>
    </x:row>
    <x:row r="427">
      <x:c r="J427" s="257" t="str">
        <x:v>002065.OF</x:v>
      </x:c>
      <x:c r="K427" s="258" t="str">
        <x:v>景顺长城景盛双息收益债券A</x:v>
      </x:c>
      <x:c r="L427" s="263" t="n">
        <x:v>46200</x:v>
      </x:c>
      <x:c r="M427" s="261" t="n">
        <x:v>1.4215</x:v>
      </x:c>
      <x:c r="N427" s="261" t="n">
        <x:f>IF(OR(L427&lt;$B$3,L427&gt;$D$3),"",IF(AND(J427=J426,N426&lt;&gt;""),MAX(M427,N426),M427))</x:f>
        <x:v>1.4503</x:v>
      </x:c>
      <x:c r="O427" s="262" t="n">
        <x:f>IF(N427="","",M427/N427-1)</x:f>
        <x:v>-0.019857960421981624</x:v>
      </x:c>
    </x:row>
    <x:row r="428">
      <x:c r="J428" s="257" t="str">
        <x:v>002065.OF</x:v>
      </x:c>
      <x:c r="K428" s="258" t="str">
        <x:v>景顺长城景盛双息收益债券A</x:v>
      </x:c>
      <x:c r="L428" s="263" t="n">
        <x:v>46201</x:v>
      </x:c>
      <x:c r="M428" s="261" t="n">
        <x:v>1.4215</x:v>
      </x:c>
      <x:c r="N428" s="261" t="n">
        <x:f>IF(OR(L428&lt;$B$3,L428&gt;$D$3),"",IF(AND(J428=J427,N427&lt;&gt;""),MAX(M428,N427),M428))</x:f>
        <x:v>1.4503</x:v>
      </x:c>
      <x:c r="O428" s="262" t="n">
        <x:f>IF(N428="","",M428/N428-1)</x:f>
        <x:v>-0.019857960421981624</x:v>
      </x:c>
    </x:row>
    <x:row r="429">
      <x:c r="J429" s="257" t="str">
        <x:v>002065.OF</x:v>
      </x:c>
      <x:c r="K429" s="258" t="str">
        <x:v>景顺长城景盛双息收益债券A</x:v>
      </x:c>
      <x:c r="L429" s="263" t="n">
        <x:v>46202</x:v>
      </x:c>
      <x:c r="M429" s="261" t="n">
        <x:v>1.4261</x:v>
      </x:c>
      <x:c r="N429" s="261" t="n">
        <x:f>IF(OR(L429&lt;$B$3,L429&gt;$D$3),"",IF(AND(J429=J428,N428&lt;&gt;""),MAX(M429,N428),M429))</x:f>
        <x:v>1.4503</x:v>
      </x:c>
      <x:c r="O429" s="262" t="n">
        <x:f>IF(N429="","",M429/N429-1)</x:f>
        <x:v>-0.016686202854581778</x:v>
      </x:c>
    </x:row>
    <x:row r="430">
      <x:c r="J430" s="257" t="str">
        <x:v>002065.OF</x:v>
      </x:c>
      <x:c r="K430" s="258" t="str">
        <x:v>景顺长城景盛双息收益债券A</x:v>
      </x:c>
      <x:c r="L430" s="263" t="n">
        <x:v>46203</x:v>
      </x:c>
      <x:c r="M430" s="261" t="n">
        <x:v>1.4215</x:v>
      </x:c>
      <x:c r="N430" s="261" t="n">
        <x:f>IF(OR(L430&lt;$B$3,L430&gt;$D$3),"",IF(AND(J430=J429,N429&lt;&gt;""),MAX(M430,N429),M430))</x:f>
        <x:v>1.4503</x:v>
      </x:c>
      <x:c r="O430" s="262" t="n">
        <x:f>IF(N430="","",M430/N430-1)</x:f>
        <x:v>-0.019857960421981624</x:v>
      </x:c>
    </x:row>
    <x:row r="431">
      <x:c r="J431" s="257" t="str">
        <x:v>002065.OF</x:v>
      </x:c>
      <x:c r="K431" s="258" t="str">
        <x:v>景顺长城景盛双息收益债券A</x:v>
      </x:c>
      <x:c r="L431" s="263" t="n">
        <x:v>46204</x:v>
      </x:c>
      <x:c r="M431" s="261" t="n">
        <x:v>1.4227</x:v>
      </x:c>
      <x:c r="N431" s="261" t="n">
        <x:f>IF(OR(L431&lt;$B$3,L431&gt;$D$3),"",IF(AND(J431=J430,N430&lt;&gt;""),MAX(M431,N430),M431))</x:f>
        <x:v>1.4503</x:v>
      </x:c>
      <x:c r="O431" s="262" t="n">
        <x:f>IF(N431="","",M431/N431-1)</x:f>
        <x:v>-0.01903054540439897</x:v>
      </x:c>
    </x:row>
    <x:row r="432">
      <x:c r="J432" s="257" t="str">
        <x:v>002065.OF</x:v>
      </x:c>
      <x:c r="K432" s="258" t="str">
        <x:v>景顺长城景盛双息收益债券A</x:v>
      </x:c>
      <x:c r="L432" s="263" t="n">
        <x:v>46205</x:v>
      </x:c>
      <x:c r="M432" s="261" t="n">
        <x:v>1.4273</x:v>
      </x:c>
      <x:c r="N432" s="261" t="n">
        <x:f>IF(OR(L432&lt;$B$3,L432&gt;$D$3),"",IF(AND(J432=J431,N431&lt;&gt;""),MAX(M432,N431),M432))</x:f>
        <x:v>1.4503</x:v>
      </x:c>
      <x:c r="O432" s="262" t="n">
        <x:f>IF(N432="","",M432/N432-1)</x:f>
        <x:v>-0.015858787836999233</x:v>
      </x:c>
    </x:row>
    <x:row r="433">
      <x:c r="J433" s="257" t="str">
        <x:v>002065.OF</x:v>
      </x:c>
      <x:c r="K433" s="258" t="str">
        <x:v>景顺长城景盛双息收益债券A</x:v>
      </x:c>
      <x:c r="L433" s="263" t="n">
        <x:v>46206</x:v>
      </x:c>
      <x:c r="M433" s="261" t="n">
        <x:v>1.4342</x:v>
      </x:c>
      <x:c r="N433" s="261" t="n">
        <x:f>IF(OR(L433&lt;$B$3,L433&gt;$D$3),"",IF(AND(J433=J432,N432&lt;&gt;""),MAX(M433,N432),M433))</x:f>
        <x:v>1.4503</x:v>
      </x:c>
      <x:c r="O433" s="262" t="n">
        <x:f>IF(N433="","",M433/N433-1)</x:f>
        <x:v>-0.011101151485899519</x:v>
      </x:c>
    </x:row>
    <x:row r="434">
      <x:c r="J434" s="257" t="str">
        <x:v>002065.OF</x:v>
      </x:c>
      <x:c r="K434" s="258" t="str">
        <x:v>景顺长城景盛双息收益债券A</x:v>
      </x:c>
      <x:c r="L434" s="263" t="n">
        <x:v>46207</x:v>
      </x:c>
      <x:c r="M434" s="261" t="n">
        <x:v>1.4342</x:v>
      </x:c>
      <x:c r="N434" s="261" t="n">
        <x:f>IF(OR(L434&lt;$B$3,L434&gt;$D$3),"",IF(AND(J434=J433,N433&lt;&gt;""),MAX(M434,N433),M434))</x:f>
        <x:v>1.4503</x:v>
      </x:c>
      <x:c r="O434" s="262" t="n">
        <x:f>IF(N434="","",M434/N434-1)</x:f>
        <x:v>-0.011101151485899519</x:v>
      </x:c>
    </x:row>
    <x:row r="435">
      <x:c r="J435" s="257" t="str">
        <x:v>002065.OF</x:v>
      </x:c>
      <x:c r="K435" s="258" t="str">
        <x:v>景顺长城景盛双息收益债券A</x:v>
      </x:c>
      <x:c r="L435" s="263" t="n">
        <x:v>46208</x:v>
      </x:c>
      <x:c r="M435" s="261" t="n">
        <x:v>1.4342</x:v>
      </x:c>
      <x:c r="N435" s="261" t="n">
        <x:f>IF(OR(L435&lt;$B$3,L435&gt;$D$3),"",IF(AND(J435=J434,N434&lt;&gt;""),MAX(M435,N434),M435))</x:f>
        <x:v>1.4503</x:v>
      </x:c>
      <x:c r="O435" s="262" t="n">
        <x:f>IF(N435="","",M435/N435-1)</x:f>
        <x:v>-0.011101151485899519</x:v>
      </x:c>
    </x:row>
    <x:row r="436">
      <x:c r="J436" s="257" t="str">
        <x:v>002065.OF</x:v>
      </x:c>
      <x:c r="K436" s="258" t="str">
        <x:v>景顺长城景盛双息收益债券A</x:v>
      </x:c>
      <x:c r="L436" s="263" t="n">
        <x:v>46209</x:v>
      </x:c>
      <x:c r="M436" s="261" t="n">
        <x:v>1.4388</x:v>
      </x:c>
      <x:c r="N436" s="261" t="n">
        <x:f>IF(OR(L436&lt;$B$3,L436&gt;$D$3),"",IF(AND(J436=J435,N435&lt;&gt;""),MAX(M436,N435),M436))</x:f>
        <x:v>1.4503</x:v>
      </x:c>
      <x:c r="O436" s="262" t="n">
        <x:f>IF(N436="","",M436/N436-1)</x:f>
        <x:v>-0.007929393918499561</x:v>
      </x:c>
    </x:row>
    <x:row r="437">
      <x:c r="J437" s="257" t="str">
        <x:v>002065.OF</x:v>
      </x:c>
      <x:c r="K437" s="258" t="str">
        <x:v>景顺长城景盛双息收益债券A</x:v>
      </x:c>
      <x:c r="L437" s="263" t="n">
        <x:v>46210</x:v>
      </x:c>
      <x:c r="M437" s="261" t="n">
        <x:v>1.4331</x:v>
      </x:c>
      <x:c r="N437" s="261" t="n">
        <x:f>IF(OR(L437&lt;$B$3,L437&gt;$D$3),"",IF(AND(J437=J436,N436&lt;&gt;""),MAX(M437,N436),M437))</x:f>
        <x:v>1.4503</x:v>
      </x:c>
      <x:c r="O437" s="262" t="n">
        <x:f>IF(N437="","",M437/N437-1)</x:f>
        <x:v>-0.01185961525201673</x:v>
      </x:c>
    </x:row>
    <x:row r="438">
      <x:c r="J438" s="257" t="str">
        <x:v>002065.OF</x:v>
      </x:c>
      <x:c r="K438" s="258" t="str">
        <x:v>景顺长城景盛双息收益债券A</x:v>
      </x:c>
      <x:c r="L438" s="263" t="n">
        <x:v>46211</x:v>
      </x:c>
      <x:c r="M438" s="261" t="n">
        <x:v>1.4319</x:v>
      </x:c>
      <x:c r="N438" s="261" t="n">
        <x:f>IF(OR(L438&lt;$B$3,L438&gt;$D$3),"",IF(AND(J438=J437,N437&lt;&gt;""),MAX(M438,N437),M438))</x:f>
        <x:v>1.4503</x:v>
      </x:c>
      <x:c r="O438" s="262" t="n">
        <x:f>IF(N438="","",M438/N438-1)</x:f>
        <x:v>-0.012687030269599386</x:v>
      </x:c>
    </x:row>
    <x:row r="439">
      <x:c r="J439" s="257" t="str">
        <x:v>002065.OF</x:v>
      </x:c>
      <x:c r="K439" s="258" t="str">
        <x:v>景顺长城景盛双息收益债券A</x:v>
      </x:c>
      <x:c r="L439" s="263" t="n">
        <x:v>46212</x:v>
      </x:c>
      <x:c r="M439" s="261" t="n">
        <x:v>1.4308</x:v>
      </x:c>
      <x:c r="N439" s="261" t="n">
        <x:f>IF(OR(L439&lt;$B$3,L439&gt;$D$3),"",IF(AND(J439=J438,N438&lt;&gt;""),MAX(M439,N438),M439))</x:f>
        <x:v>1.4503</x:v>
      </x:c>
      <x:c r="O439" s="262" t="n">
        <x:f>IF(N439="","",M439/N439-1)</x:f>
        <x:v>-0.013445494035716599</x:v>
      </x:c>
    </x:row>
    <x:row r="440">
      <x:c r="J440" s="257" t="str">
        <x:v>002065.OF</x:v>
      </x:c>
      <x:c r="K440" s="258" t="str">
        <x:v>景顺长城景盛双息收益债券A</x:v>
      </x:c>
      <x:c r="L440" s="263" t="n">
        <x:v>46213</x:v>
      </x:c>
      <x:c r="M440" s="261" t="n">
        <x:v>1.4342</x:v>
      </x:c>
      <x:c r="N440" s="261" t="n">
        <x:f>IF(OR(L440&lt;$B$3,L440&gt;$D$3),"",IF(AND(J440=J439,N439&lt;&gt;""),MAX(M440,N439),M440))</x:f>
        <x:v>1.4503</x:v>
      </x:c>
      <x:c r="O440" s="262" t="n">
        <x:f>IF(N440="","",M440/N440-1)</x:f>
        <x:v>-0.011101151485899519</x:v>
      </x:c>
    </x:row>
    <x:row r="441">
      <x:c r="J441" s="257" t="str">
        <x:v>002065.OF</x:v>
      </x:c>
      <x:c r="K441" s="258" t="str">
        <x:v>景顺长城景盛双息收益债券A</x:v>
      </x:c>
      <x:c r="L441" s="263" t="n">
        <x:v>46214</x:v>
      </x:c>
      <x:c r="M441" s="261" t="n">
        <x:v>1.4342</x:v>
      </x:c>
      <x:c r="N441" s="261" t="n">
        <x:f>IF(OR(L441&lt;$B$3,L441&gt;$D$3),"",IF(AND(J441=J440,N440&lt;&gt;""),MAX(M441,N440),M441))</x:f>
        <x:v>1.4503</x:v>
      </x:c>
      <x:c r="O441" s="262" t="n">
        <x:f>IF(N441="","",M441/N441-1)</x:f>
        <x:v>-0.011101151485899519</x:v>
      </x:c>
    </x:row>
    <x:row r="442">
      <x:c r="J442" s="257" t="str">
        <x:v>002065.OF</x:v>
      </x:c>
      <x:c r="K442" s="258" t="str">
        <x:v>景顺长城景盛双息收益债券A</x:v>
      </x:c>
      <x:c r="L442" s="263" t="n">
        <x:v>46215</x:v>
      </x:c>
      <x:c r="M442" s="261" t="n">
        <x:v>1.4342</x:v>
      </x:c>
      <x:c r="N442" s="261" t="n">
        <x:f>IF(OR(L442&lt;$B$3,L442&gt;$D$3),"",IF(AND(J442=J441,N441&lt;&gt;""),MAX(M442,N441),M442))</x:f>
        <x:v>1.4503</x:v>
      </x:c>
      <x:c r="O442" s="262" t="n">
        <x:f>IF(N442="","",M442/N442-1)</x:f>
        <x:v>-0.011101151485899519</x:v>
      </x:c>
    </x:row>
    <x:row r="443">
      <x:c r="J443" s="257" t="str">
        <x:v>002065.OF</x:v>
      </x:c>
      <x:c r="K443" s="258" t="str">
        <x:v>景顺长城景盛双息收益债券A</x:v>
      </x:c>
      <x:c r="L443" s="263" t="n">
        <x:v>46216</x:v>
      </x:c>
      <x:c r="M443" s="261" t="n">
        <x:v>1.4296</x:v>
      </x:c>
      <x:c r="N443" s="261" t="n">
        <x:f>IF(OR(L443&lt;$B$3,L443&gt;$D$3),"",IF(AND(J443=J442,N442&lt;&gt;""),MAX(M443,N442),M443))</x:f>
        <x:v>1.4503</x:v>
      </x:c>
      <x:c r="O443" s="262" t="n">
        <x:f>IF(N443="","",M443/N443-1)</x:f>
        <x:v>-0.014272909053299254</x:v>
      </x:c>
    </x:row>
    <x:row r="444">
      <x:c r="J444" s="257" t="str">
        <x:v>002065.OF</x:v>
      </x:c>
      <x:c r="K444" s="258" t="str">
        <x:v>景顺长城景盛双息收益债券A</x:v>
      </x:c>
      <x:c r="L444" s="263" t="n">
        <x:v>46217</x:v>
      </x:c>
      <x:c r="M444" s="261" t="n">
        <x:v>1.4446</x:v>
      </x:c>
      <x:c r="N444" s="261" t="n">
        <x:f>IF(OR(L444&lt;$B$3,L444&gt;$D$3),"",IF(AND(J444=J443,N443&lt;&gt;""),MAX(M444,N443),M444))</x:f>
        <x:v>1.4503</x:v>
      </x:c>
      <x:c r="O444" s="262" t="n">
        <x:f>IF(N444="","",M444/N444-1)</x:f>
        <x:v>-0.003930221333517059</x:v>
      </x:c>
    </x:row>
    <x:row r="445">
      <x:c r="J445" s="257" t="str">
        <x:v>002065.OF</x:v>
      </x:c>
      <x:c r="K445" s="258" t="str">
        <x:v>景顺长城景盛双息收益债券A</x:v>
      </x:c>
      <x:c r="L445" s="263" t="n">
        <x:v>46218</x:v>
      </x:c>
      <x:c r="M445" s="261" t="n">
        <x:v>1.4446</x:v>
      </x:c>
      <x:c r="N445" s="261" t="n">
        <x:f>IF(OR(L445&lt;$B$3,L445&gt;$D$3),"",IF(AND(J445=J444,N444&lt;&gt;""),MAX(M445,N444),M445))</x:f>
        <x:v>1.4503</x:v>
      </x:c>
      <x:c r="O445" s="262" t="n">
        <x:f>IF(N445="","",M445/N445-1)</x:f>
        <x:v>-0.003930221333517059</x:v>
      </x:c>
    </x:row>
    <x:row r="446">
      <x:c r="J446" s="257" t="str">
        <x:v>002065.OF</x:v>
      </x:c>
      <x:c r="K446" s="258" t="str">
        <x:v>景顺长城景盛双息收益债券A</x:v>
      </x:c>
      <x:c r="L446" s="263" t="n">
        <x:v>46219</x:v>
      </x:c>
      <x:c r="M446" s="261" t="n">
        <x:v>1.4423</x:v>
      </x:c>
      <x:c r="N446" s="261" t="n">
        <x:f>IF(OR(L446&lt;$B$3,L446&gt;$D$3),"",IF(AND(J446=J445,N445&lt;&gt;""),MAX(M446,N445),M446))</x:f>
        <x:v>1.4503</x:v>
      </x:c>
      <x:c r="O446" s="262" t="n">
        <x:f>IF(N446="","",M446/N446-1)</x:f>
        <x:v>-0.005516100117217149</x:v>
      </x:c>
    </x:row>
    <x:row r="447">
      <x:c r="J447" s="257" t="str">
        <x:v>002065.OF</x:v>
      </x:c>
      <x:c r="K447" s="258" t="str">
        <x:v>景顺长城景盛双息收益债券A</x:v>
      </x:c>
      <x:c r="L447" s="263" t="n">
        <x:v>46220</x:v>
      </x:c>
      <x:c r="M447" s="261" t="n">
        <x:v>1.4331</x:v>
      </x:c>
      <x:c r="N447" s="261" t="n">
        <x:f>IF(OR(L447&lt;$B$3,L447&gt;$D$3),"",IF(AND(J447=J446,N446&lt;&gt;""),MAX(M447,N446),M447))</x:f>
        <x:v>1.4503</x:v>
      </x:c>
      <x:c r="O447" s="262" t="n">
        <x:f>IF(N447="","",M447/N447-1)</x:f>
        <x:v>-0.01185961525201673</x:v>
      </x:c>
    </x:row>
    <x:row r="448">
      <x:c r="J448" s="257" t="str">
        <x:v>002065.OF</x:v>
      </x:c>
      <x:c r="K448" s="258" t="str">
        <x:v>景顺长城景盛双息收益债券A</x:v>
      </x:c>
      <x:c r="L448" s="263" t="n">
        <x:v>46221</x:v>
      </x:c>
      <x:c r="M448" s="261" t="n">
        <x:v>1.4331</x:v>
      </x:c>
      <x:c r="N448" s="261" t="n">
        <x:f>IF(OR(L448&lt;$B$3,L448&gt;$D$3),"",IF(AND(J448=J447,N447&lt;&gt;""),MAX(M448,N447),M448))</x:f>
        <x:v>1.4503</x:v>
      </x:c>
      <x:c r="O448" s="262" t="n">
        <x:f>IF(N448="","",M448/N448-1)</x:f>
        <x:v>-0.01185961525201673</x:v>
      </x:c>
    </x:row>
    <x:row r="449">
      <x:c r="J449" s="257" t="str">
        <x:v>002065.OF</x:v>
      </x:c>
      <x:c r="K449" s="258" t="str">
        <x:v>景顺长城景盛双息收益债券A</x:v>
      </x:c>
      <x:c r="L449" s="263" t="n">
        <x:v>46222</x:v>
      </x:c>
      <x:c r="M449" s="261" t="n">
        <x:v>1.4331</x:v>
      </x:c>
      <x:c r="N449" s="261" t="n">
        <x:f>IF(OR(L449&lt;$B$3,L449&gt;$D$3),"",IF(AND(J449=J448,N448&lt;&gt;""),MAX(M449,N448),M449))</x:f>
        <x:v>1.4503</x:v>
      </x:c>
      <x:c r="O449" s="262" t="n">
        <x:f>IF(N449="","",M449/N449-1)</x:f>
        <x:v>-0.01185961525201673</x:v>
      </x:c>
    </x:row>
    <x:row r="450">
      <x:c r="J450" s="257" t="str">
        <x:v>002065.OF</x:v>
      </x:c>
      <x:c r="K450" s="258" t="str">
        <x:v>景顺长城景盛双息收益债券A</x:v>
      </x:c>
      <x:c r="L450" s="263" t="n">
        <x:v>46223</x:v>
      </x:c>
      <x:c r="M450" s="261" t="n">
        <x:v>1.4423</x:v>
      </x:c>
      <x:c r="N450" s="261" t="n">
        <x:f>IF(OR(L450&lt;$B$3,L450&gt;$D$3),"",IF(AND(J450=J449,N449&lt;&gt;""),MAX(M450,N449),M450))</x:f>
        <x:v>1.4503</x:v>
      </x:c>
      <x:c r="O450" s="262" t="n">
        <x:f>IF(N450="","",M450/N450-1)</x:f>
        <x:v>-0.005516100117217149</x:v>
      </x:c>
    </x:row>
    <x:row r="451">
      <x:c r="J451" s="257" t="str">
        <x:v>002065.OF</x:v>
      </x:c>
      <x:c r="K451" s="258" t="str">
        <x:v>景顺长城景盛双息收益债券A</x:v>
      </x:c>
      <x:c r="L451" s="263" t="n">
        <x:v>46224</x:v>
      </x:c>
      <x:c r="M451" s="261" t="n">
        <x:v>1.4492</x:v>
      </x:c>
      <x:c r="N451" s="261" t="n">
        <x:f>IF(OR(L451&lt;$B$3,L451&gt;$D$3),"",IF(AND(J451=J450,N450&lt;&gt;""),MAX(M451,N450),M451))</x:f>
        <x:v>1.4503</x:v>
      </x:c>
      <x:c r="O451" s="262" t="n">
        <x:f>IF(N451="","",M451/N451-1)</x:f>
        <x:v>-0.0007584637661173232</x:v>
      </x:c>
    </x:row>
    <x:row r="452">
      <x:c r="J452" s="257" t="str">
        <x:v>002065.OF</x:v>
      </x:c>
      <x:c r="K452" s="258" t="str">
        <x:v>景顺长城景盛双息收益债券A</x:v>
      </x:c>
      <x:c r="L452" s="263" t="n">
        <x:v>46225</x:v>
      </x:c>
      <x:c r="M452" s="261" t="n">
        <x:v>1.4642</x:v>
      </x:c>
      <x:c r="N452" s="261" t="n">
        <x:f>IF(OR(L452&lt;$B$3,L452&gt;$D$3),"",IF(AND(J452=J451,N451&lt;&gt;""),MAX(M452,N451),M452))</x:f>
        <x:v>1.4642</x:v>
      </x:c>
      <x:c r="O452" s="262" t="n">
        <x:f>IF(N452="","",M452/N452-1)</x:f>
        <x:v>0</x:v>
      </x:c>
    </x:row>
    <x:row r="453">
      <x:c r="J453" s="257" t="str">
        <x:v>002065.OF</x:v>
      </x:c>
      <x:c r="K453" s="258" t="str">
        <x:v>景顺长城景盛双息收益债券A</x:v>
      </x:c>
      <x:c r="L453" s="263" t="n">
        <x:v>46226</x:v>
      </x:c>
      <x:c r="M453" s="261" t="n">
        <x:v>1.4711</x:v>
      </x:c>
      <x:c r="N453" s="261" t="n">
        <x:f>IF(OR(L453&lt;$B$3,L453&gt;$D$3),"",IF(AND(J453=J452,N452&lt;&gt;""),MAX(M453,N452),M453))</x:f>
        <x:v>1.4711</x:v>
      </x:c>
      <x:c r="O453" s="262" t="n">
        <x:f>IF(N453="","",M453/N453-1)</x:f>
        <x:v>0</x:v>
      </x:c>
    </x:row>
    <x:row r="454">
      <x:c r="J454" s="257" t="str">
        <x:v>002065.OF</x:v>
      </x:c>
      <x:c r="K454" s="258" t="str">
        <x:v>景顺长城景盛双息收益债券A</x:v>
      </x:c>
      <x:c r="L454" s="263" t="n">
        <x:v>46227</x:v>
      </x:c>
      <x:c r="M454" s="261" t="n">
        <x:v>1.4607</x:v>
      </x:c>
      <x:c r="N454" s="261" t="n">
        <x:f>IF(OR(L454&lt;$B$3,L454&gt;$D$3),"",IF(AND(J454=J453,N453&lt;&gt;""),MAX(M454,N453),M454))</x:f>
        <x:v>1.4711</x:v>
      </x:c>
      <x:c r="O454" s="262" t="n">
        <x:f>IF(N454="","",M454/N454-1)</x:f>
        <x:v>-0.007069539800149571</x:v>
      </x:c>
    </x:row>
    <x:row r="455">
      <x:c r="J455" s="257" t="str">
        <x:v>002065.OF</x:v>
      </x:c>
      <x:c r="K455" s="258" t="str">
        <x:v>景顺长城景盛双息收益债券A</x:v>
      </x:c>
      <x:c r="L455" s="263" t="n">
        <x:v>46228</x:v>
      </x:c>
      <x:c r="M455" s="261" t="n">
        <x:v>1.4607</x:v>
      </x:c>
      <x:c r="N455" s="261" t="n">
        <x:f>IF(OR(L455&lt;$B$3,L455&gt;$D$3),"",IF(AND(J455=J454,N454&lt;&gt;""),MAX(M455,N454),M455))</x:f>
        <x:v>1.4711</x:v>
      </x:c>
      <x:c r="O455" s="262" t="n">
        <x:f>IF(N455="","",M455/N455-1)</x:f>
        <x:v>-0.007069539800149571</x:v>
      </x:c>
    </x:row>
    <x:row r="456">
      <x:c r="J456" s="257" t="str">
        <x:v>002065.OF</x:v>
      </x:c>
      <x:c r="K456" s="258" t="str">
        <x:v>景顺长城景盛双息收益债券A</x:v>
      </x:c>
      <x:c r="L456" s="263" t="n">
        <x:v>46229</x:v>
      </x:c>
      <x:c r="M456" s="261" t="n">
        <x:v>1.4607</x:v>
      </x:c>
      <x:c r="N456" s="261" t="n">
        <x:f>IF(OR(L456&lt;$B$3,L456&gt;$D$3),"",IF(AND(J456=J455,N455&lt;&gt;""),MAX(M456,N455),M456))</x:f>
        <x:v>1.4711</x:v>
      </x:c>
      <x:c r="O456" s="262" t="n">
        <x:f>IF(N456="","",M456/N456-1)</x:f>
        <x:v>-0.007069539800149571</x:v>
      </x:c>
    </x:row>
    <x:row r="457">
      <x:c r="J457" s="257" t="str">
        <x:v>002065.OF</x:v>
      </x:c>
      <x:c r="K457" s="258" t="str">
        <x:v>景顺长城景盛双息收益债券A</x:v>
      </x:c>
      <x:c r="L457" s="263" t="n">
        <x:v>46230</x:v>
      </x:c>
      <x:c r="M457" s="261" t="n">
        <x:v>1.4642</x:v>
      </x:c>
      <x:c r="N457" s="261" t="n">
        <x:f>IF(OR(L457&lt;$B$3,L457&gt;$D$3),"",IF(AND(J457=J456,N456&lt;&gt;""),MAX(M457,N456),M457))</x:f>
        <x:v>1.4711</x:v>
      </x:c>
      <x:c r="O457" s="262" t="n">
        <x:f>IF(N457="","",M457/N457-1)</x:f>
        <x:v>-0.004690367752022362</x:v>
      </x:c>
    </x:row>
    <x:row r="458">
      <x:c r="J458" s="257" t="str">
        <x:v>002065.OF</x:v>
      </x:c>
      <x:c r="K458" s="258" t="str">
        <x:v>景顺长城景盛双息收益债券A</x:v>
      </x:c>
      <x:c r="L458" s="263" t="n">
        <x:v>46231</x:v>
      </x:c>
      <x:c r="M458" s="261" t="n">
        <x:v>1.4607</x:v>
      </x:c>
      <x:c r="N458" s="261" t="n">
        <x:f>IF(OR(L458&lt;$B$3,L458&gt;$D$3),"",IF(AND(J458=J457,N457&lt;&gt;""),MAX(M458,N457),M458))</x:f>
        <x:v>1.4711</x:v>
      </x:c>
      <x:c r="O458" s="262" t="n">
        <x:f>IF(N458="","",M458/N458-1)</x:f>
        <x:v>-0.007069539800149571</x:v>
      </x:c>
    </x:row>
    <x:row r="459">
      <x:c r="J459" s="257" t="str">
        <x:v>002065.OF</x:v>
      </x:c>
      <x:c r="K459" s="258" t="str">
        <x:v>景顺长城景盛双息收益债券A</x:v>
      </x:c>
      <x:c r="L459" s="263" t="n">
        <x:v>46232</x:v>
      </x:c>
      <x:c r="M459" s="261" t="n">
        <x:v>1.4665</x:v>
      </x:c>
      <x:c r="N459" s="261" t="n">
        <x:f>IF(OR(L459&lt;$B$3,L459&gt;$D$3),"",IF(AND(J459=J458,N458&lt;&gt;""),MAX(M459,N458),M459))</x:f>
        <x:v>1.4711</x:v>
      </x:c>
      <x:c r="O459" s="262" t="n">
        <x:f>IF(N459="","",M459/N459-1)</x:f>
        <x:v>-0.0031269118346816116</x:v>
      </x:c>
    </x:row>
    <x:row r="460">
      <x:c r="J460" s="257" t="str">
        <x:v>002065.OF</x:v>
      </x:c>
      <x:c r="K460" s="258" t="str">
        <x:v>景顺长城景盛双息收益债券A</x:v>
      </x:c>
      <x:c r="L460" s="263" t="n">
        <x:v>46233</x:v>
      </x:c>
      <x:c r="M460" s="261" t="n">
        <x:v>1.4665</x:v>
      </x:c>
      <x:c r="N460" s="261" t="n">
        <x:f>IF(OR(L460&lt;$B$3,L460&gt;$D$3),"",IF(AND(J460=J459,N459&lt;&gt;""),MAX(M460,N459),M460))</x:f>
        <x:v>1.4711</x:v>
      </x:c>
      <x:c r="O460" s="262" t="n">
        <x:f>IF(N460="","",M460/N460-1)</x:f>
        <x:v>-0.0031269118346816116</x:v>
      </x:c>
    </x:row>
    <x:row r="461">
      <x:c r="J461" s="257" t="str">
        <x:v>002065.OF</x:v>
      </x:c>
      <x:c r="K461" s="258" t="str">
        <x:v>景顺长城景盛双息收益债券A</x:v>
      </x:c>
      <x:c r="L461" s="263" t="n">
        <x:v>46234</x:v>
      </x:c>
      <x:c r="M461" s="261" t="n">
        <x:v>1.4699</x:v>
      </x:c>
      <x:c r="N461" s="261" t="n">
        <x:f>IF(OR(L461&lt;$B$3,L461&gt;$D$3),"",IF(AND(J461=J460,N460&lt;&gt;""),MAX(M461,N460),M461))</x:f>
        <x:v>1.4711</x:v>
      </x:c>
      <x:c r="O461" s="262" t="n">
        <x:f>IF(N461="","",M461/N461-1)</x:f>
        <x:v>-0.0008157161307865701</x:v>
      </x:c>
    </x:row>
    <x:row r="462">
      <x:c r="J462" s="257" t="str">
        <x:v>002065.OF</x:v>
      </x:c>
      <x:c r="K462" s="258" t="str">
        <x:v>景顺长城景盛双息收益债券A</x:v>
      </x:c>
      <x:c r="L462" s="263" t="n">
        <x:v>46235</x:v>
      </x:c>
      <x:c r="M462" s="261" t="n">
        <x:v>1.4699</x:v>
      </x:c>
      <x:c r="N462" s="261" t="n">
        <x:f>IF(OR(L462&lt;$B$3,L462&gt;$D$3),"",IF(AND(J462=J461,N461&lt;&gt;""),MAX(M462,N461),M462))</x:f>
        <x:v>1.4711</x:v>
      </x:c>
      <x:c r="O462" s="262" t="n">
        <x:f>IF(N462="","",M462/N462-1)</x:f>
        <x:v>-0.0008157161307865701</x:v>
      </x:c>
    </x:row>
    <x:row r="463">
      <x:c r="J463" s="257" t="str">
        <x:v>002065.OF</x:v>
      </x:c>
      <x:c r="K463" s="258" t="str">
        <x:v>景顺长城景盛双息收益债券A</x:v>
      </x:c>
      <x:c r="L463" s="263" t="n">
        <x:v>46236</x:v>
      </x:c>
      <x:c r="M463" s="261" t="n">
        <x:v>1.4699</x:v>
      </x:c>
      <x:c r="N463" s="261" t="n">
        <x:f>IF(OR(L463&lt;$B$3,L463&gt;$D$3),"",IF(AND(J463=J462,N462&lt;&gt;""),MAX(M463,N462),M463))</x:f>
        <x:v>1.4711</x:v>
      </x:c>
      <x:c r="O463" s="262" t="n">
        <x:f>IF(N463="","",M463/N463-1)</x:f>
        <x:v>-0.0008157161307865701</x:v>
      </x:c>
    </x:row>
    <x:row r="464">
      <x:c r="J464" s="257" t="str">
        <x:v>002065.OF</x:v>
      </x:c>
      <x:c r="K464" s="258" t="str">
        <x:v>景顺长城景盛双息收益债券A</x:v>
      </x:c>
      <x:c r="L464" s="263" t="n">
        <x:v>46237</x:v>
      </x:c>
      <x:c r="M464" s="261" t="n">
        <x:v>1.4676</x:v>
      </x:c>
      <x:c r="N464" s="261" t="n">
        <x:f>IF(OR(L464&lt;$B$3,L464&gt;$D$3),"",IF(AND(J464=J463,N463&lt;&gt;""),MAX(M464,N463),M464))</x:f>
        <x:v>1.4711</x:v>
      </x:c>
      <x:c r="O464" s="262" t="n">
        <x:f>IF(N464="","",M464/N464-1)</x:f>
        <x:v>-0.0023791720481273204</x:v>
      </x:c>
    </x:row>
    <x:row r="465">
      <x:c r="J465" s="257" t="str">
        <x:v>002065.OF</x:v>
      </x:c>
      <x:c r="K465" s="258" t="str">
        <x:v>景顺长城景盛双息收益债券A</x:v>
      </x:c>
      <x:c r="L465" s="263" t="n">
        <x:v>46238</x:v>
      </x:c>
      <x:c r="M465" s="261" t="n">
        <x:v>1.4688</x:v>
      </x:c>
      <x:c r="N465" s="261" t="n">
        <x:f>IF(OR(L465&lt;$B$3,L465&gt;$D$3),"",IF(AND(J465=J464,N464&lt;&gt;""),MAX(M465,N464),M465))</x:f>
        <x:v>1.4711</x:v>
      </x:c>
      <x:c r="O465" s="262" t="n">
        <x:f>IF(N465="","",M465/N465-1)</x:f>
        <x:v>-0.0015634559173407503</x:v>
      </x:c>
    </x:row>
    <x:row r="466">
      <x:c r="J466" s="257" t="str">
        <x:v>002065.OF</x:v>
      </x:c>
      <x:c r="K466" s="258" t="str">
        <x:v>景顺长城景盛双息收益债券A</x:v>
      </x:c>
      <x:c r="L466" s="263" t="n">
        <x:v>46239</x:v>
      </x:c>
      <x:c r="M466" s="261" t="n">
        <x:v>1.478</x:v>
      </x:c>
      <x:c r="N466" s="261" t="n">
        <x:f>IF(OR(L466&lt;$B$3,L466&gt;$D$3),"",IF(AND(J466=J465,N465&lt;&gt;""),MAX(M466,N465),M466))</x:f>
        <x:v>1.478</x:v>
      </x:c>
      <x:c r="O466" s="262" t="n">
        <x:f>IF(N466="","",M466/N466-1)</x:f>
        <x:v>0</x:v>
      </x:c>
    </x:row>
    <x:row r="467">
      <x:c r="J467" s="257" t="str">
        <x:v>002065.OF</x:v>
      </x:c>
      <x:c r="K467" s="258" t="str">
        <x:v>景顺长城景盛双息收益债券A</x:v>
      </x:c>
      <x:c r="L467" s="263" t="n">
        <x:v>46240</x:v>
      </x:c>
      <x:c r="M467" s="261" t="n">
        <x:v>1.4826</x:v>
      </x:c>
      <x:c r="N467" s="261" t="n">
        <x:f>IF(OR(L467&lt;$B$3,L467&gt;$D$3),"",IF(AND(J467=J466,N466&lt;&gt;""),MAX(M467,N466),M467))</x:f>
        <x:v>1.4826</x:v>
      </x:c>
      <x:c r="O467" s="262" t="n">
        <x:f>IF(N467="","",M467/N467-1)</x:f>
        <x:v>0</x:v>
      </x:c>
    </x:row>
    <x:row r="468">
      <x:c r="J468" s="257" t="str">
        <x:v>002065.OF</x:v>
      </x:c>
      <x:c r="K468" s="258" t="str">
        <x:v>景顺长城景盛双息收益债券A</x:v>
      </x:c>
      <x:c r="L468" s="263" t="n">
        <x:v>46241</x:v>
      </x:c>
      <x:c r="M468" s="261" t="n">
        <x:v>1.4861</x:v>
      </x:c>
      <x:c r="N468" s="261" t="n">
        <x:f>IF(OR(L468&lt;$B$3,L468&gt;$D$3),"",IF(AND(J468=J467,N467&lt;&gt;""),MAX(M468,N467),M468))</x:f>
        <x:v>1.4861</x:v>
      </x:c>
      <x:c r="O468" s="262" t="n">
        <x:f>IF(N468="","",M468/N468-1)</x:f>
        <x:v>0</x:v>
      </x:c>
    </x:row>
    <x:row r="469">
      <x:c r="J469" s="257" t="str">
        <x:v>002065.OF</x:v>
      </x:c>
      <x:c r="K469" s="258" t="str">
        <x:v>景顺长城景盛双息收益债券A</x:v>
      </x:c>
      <x:c r="L469" s="263" t="n">
        <x:v>46242</x:v>
      </x:c>
      <x:c r="M469" s="261" t="n">
        <x:v>1.4861</x:v>
      </x:c>
      <x:c r="N469" s="261" t="n">
        <x:f>IF(OR(L469&lt;$B$3,L469&gt;$D$3),"",IF(AND(J469=J468,N468&lt;&gt;""),MAX(M469,N468),M469))</x:f>
        <x:v>1.4861</x:v>
      </x:c>
      <x:c r="O469" s="262" t="n">
        <x:f>IF(N469="","",M469/N469-1)</x:f>
        <x:v>0</x:v>
      </x:c>
    </x:row>
    <x:row r="470">
      <x:c r="J470" s="257" t="str">
        <x:v>002065.OF</x:v>
      </x:c>
      <x:c r="K470" s="258" t="str">
        <x:v>景顺长城景盛双息收益债券A</x:v>
      </x:c>
      <x:c r="L470" s="263" t="n">
        <x:v>46243</x:v>
      </x:c>
      <x:c r="M470" s="261" t="n">
        <x:v>1.4861</x:v>
      </x:c>
      <x:c r="N470" s="261" t="n">
        <x:f>IF(OR(L470&lt;$B$3,L470&gt;$D$3),"",IF(AND(J470=J469,N469&lt;&gt;""),MAX(M470,N469),M470))</x:f>
        <x:v>1.4861</x:v>
      </x:c>
      <x:c r="O470" s="262" t="n">
        <x:f>IF(N470="","",M470/N470-1)</x:f>
        <x:v>0</x:v>
      </x:c>
    </x:row>
    <x:row r="471">
      <x:c r="J471" s="257" t="str">
        <x:v>002065.OF</x:v>
      </x:c>
      <x:c r="K471" s="258" t="str">
        <x:v>景顺长城景盛双息收益债券A</x:v>
      </x:c>
      <x:c r="L471" s="263" t="n">
        <x:v>46244</x:v>
      </x:c>
      <x:c r="M471" s="261" t="n">
        <x:v>1.4907</x:v>
      </x:c>
      <x:c r="N471" s="261" t="n">
        <x:f>IF(OR(L471&lt;$B$3,L471&gt;$D$3),"",IF(AND(J471=J470,N470&lt;&gt;""),MAX(M471,N470),M471))</x:f>
        <x:v>1.4907</x:v>
      </x:c>
      <x:c r="O471" s="262" t="n">
        <x:f>IF(N471="","",M471/N471-1)</x:f>
        <x:v>0</x:v>
      </x:c>
    </x:row>
    <x:row r="472">
      <x:c r="J472" s="257" t="str">
        <x:v>002969.OF</x:v>
      </x:c>
      <x:c r="K472" s="258" t="str">
        <x:v>易方达丰和债券A</x:v>
      </x:c>
      <x:c r="L472" s="263" t="n">
        <x:v>46191</x:v>
      </x:c>
      <x:c r="M472" s="261" t="n">
        <x:v>1.8496</x:v>
      </x:c>
      <x:c r="N472" s="261" t="n">
        <x:f>IF(OR(L472&lt;$B$3,L472&gt;$D$3),"",IF(AND(J472=J471,N471&lt;&gt;""),MAX(M472,N471),M472))</x:f>
        <x:v>1.8496</x:v>
      </x:c>
      <x:c r="O472" s="262" t="n">
        <x:f>IF(N472="","",M472/N472-1)</x:f>
        <x:v>0</x:v>
      </x:c>
    </x:row>
    <x:row r="473">
      <x:c r="J473" s="257" t="str">
        <x:v>002969.OF</x:v>
      </x:c>
      <x:c r="K473" s="258" t="str">
        <x:v>易方达丰和债券A</x:v>
      </x:c>
      <x:c r="L473" s="263" t="n">
        <x:v>46192</x:v>
      </x:c>
      <x:c r="M473" s="261" t="n">
        <x:v>1.8496</x:v>
      </x:c>
      <x:c r="N473" s="261" t="n">
        <x:f>IF(OR(L473&lt;$B$3,L473&gt;$D$3),"",IF(AND(J473=J472,N472&lt;&gt;""),MAX(M473,N472),M473))</x:f>
        <x:v>1.8496</x:v>
      </x:c>
      <x:c r="O473" s="262" t="n">
        <x:f>IF(N473="","",M473/N473-1)</x:f>
        <x:v>0</x:v>
      </x:c>
    </x:row>
    <x:row r="474">
      <x:c r="J474" s="257" t="str">
        <x:v>002969.OF</x:v>
      </x:c>
      <x:c r="K474" s="258" t="str">
        <x:v>易方达丰和债券A</x:v>
      </x:c>
      <x:c r="L474" s="263" t="n">
        <x:v>46193</x:v>
      </x:c>
      <x:c r="M474" s="261" t="n">
        <x:v>1.8496</x:v>
      </x:c>
      <x:c r="N474" s="261" t="n">
        <x:f>IF(OR(L474&lt;$B$3,L474&gt;$D$3),"",IF(AND(J474=J473,N473&lt;&gt;""),MAX(M474,N473),M474))</x:f>
        <x:v>1.8496</x:v>
      </x:c>
      <x:c r="O474" s="262" t="n">
        <x:f>IF(N474="","",M474/N474-1)</x:f>
        <x:v>0</x:v>
      </x:c>
    </x:row>
    <x:row r="475">
      <x:c r="J475" s="257" t="str">
        <x:v>002969.OF</x:v>
      </x:c>
      <x:c r="K475" s="258" t="str">
        <x:v>易方达丰和债券A</x:v>
      </x:c>
      <x:c r="L475" s="263" t="n">
        <x:v>46194</x:v>
      </x:c>
      <x:c r="M475" s="261" t="n">
        <x:v>1.8496</x:v>
      </x:c>
      <x:c r="N475" s="261" t="n">
        <x:f>IF(OR(L475&lt;$B$3,L475&gt;$D$3),"",IF(AND(J475=J474,N474&lt;&gt;""),MAX(M475,N474),M475))</x:f>
        <x:v>1.8496</x:v>
      </x:c>
      <x:c r="O475" s="262" t="n">
        <x:f>IF(N475="","",M475/N475-1)</x:f>
        <x:v>0</x:v>
      </x:c>
    </x:row>
    <x:row r="476">
      <x:c r="J476" s="257" t="str">
        <x:v>002969.OF</x:v>
      </x:c>
      <x:c r="K476" s="258" t="str">
        <x:v>易方达丰和债券A</x:v>
      </x:c>
      <x:c r="L476" s="263" t="n">
        <x:v>46195</x:v>
      </x:c>
      <x:c r="M476" s="261" t="n">
        <x:v>1.8515</x:v>
      </x:c>
      <x:c r="N476" s="261" t="n">
        <x:f>IF(OR(L476&lt;$B$3,L476&gt;$D$3),"",IF(AND(J476=J475,N475&lt;&gt;""),MAX(M476,N475),M476))</x:f>
        <x:v>1.8515</x:v>
      </x:c>
      <x:c r="O476" s="262" t="n">
        <x:f>IF(N476="","",M476/N476-1)</x:f>
        <x:v>0</x:v>
      </x:c>
    </x:row>
    <x:row r="477">
      <x:c r="J477" s="257" t="str">
        <x:v>002969.OF</x:v>
      </x:c>
      <x:c r="K477" s="258" t="str">
        <x:v>易方达丰和债券A</x:v>
      </x:c>
      <x:c r="L477" s="263" t="n">
        <x:v>46196</x:v>
      </x:c>
      <x:c r="M477" s="261" t="n">
        <x:v>1.8401</x:v>
      </x:c>
      <x:c r="N477" s="261" t="n">
        <x:f>IF(OR(L477&lt;$B$3,L477&gt;$D$3),"",IF(AND(J477=J476,N476&lt;&gt;""),MAX(M477,N476),M477))</x:f>
        <x:v>1.8515</x:v>
      </x:c>
      <x:c r="O477" s="262" t="n">
        <x:f>IF(N477="","",M477/N477-1)</x:f>
        <x:v>-0.00615716986227377</x:v>
      </x:c>
    </x:row>
    <x:row r="478">
      <x:c r="J478" s="257" t="str">
        <x:v>002969.OF</x:v>
      </x:c>
      <x:c r="K478" s="258" t="str">
        <x:v>易方达丰和债券A</x:v>
      </x:c>
      <x:c r="L478" s="263" t="n">
        <x:v>46197</x:v>
      </x:c>
      <x:c r="M478" s="261" t="n">
        <x:v>1.8509</x:v>
      </x:c>
      <x:c r="N478" s="261" t="n">
        <x:f>IF(OR(L478&lt;$B$3,L478&gt;$D$3),"",IF(AND(J478=J477,N477&lt;&gt;""),MAX(M478,N477),M478))</x:f>
        <x:v>1.8515</x:v>
      </x:c>
      <x:c r="O478" s="262" t="n">
        <x:f>IF(N478="","",M478/N478-1)</x:f>
        <x:v>-0.0003240615716986195</x:v>
      </x:c>
    </x:row>
    <x:row r="479">
      <x:c r="J479" s="257" t="str">
        <x:v>002969.OF</x:v>
      </x:c>
      <x:c r="K479" s="258" t="str">
        <x:v>易方达丰和债券A</x:v>
      </x:c>
      <x:c r="L479" s="263" t="n">
        <x:v>46198</x:v>
      </x:c>
      <x:c r="M479" s="261" t="n">
        <x:v>1.8668</x:v>
      </x:c>
      <x:c r="N479" s="261" t="n">
        <x:f>IF(OR(L479&lt;$B$3,L479&gt;$D$3),"",IF(AND(J479=J478,N478&lt;&gt;""),MAX(M479,N478),M479))</x:f>
        <x:v>1.8668</x:v>
      </x:c>
      <x:c r="O479" s="262" t="n">
        <x:f>IF(N479="","",M479/N479-1)</x:f>
        <x:v>0</x:v>
      </x:c>
    </x:row>
    <x:row r="480">
      <x:c r="J480" s="257" t="str">
        <x:v>002969.OF</x:v>
      </x:c>
      <x:c r="K480" s="258" t="str">
        <x:v>易方达丰和债券A</x:v>
      </x:c>
      <x:c r="L480" s="263" t="n">
        <x:v>46199</x:v>
      </x:c>
      <x:c r="M480" s="261" t="n">
        <x:v>1.8602</x:v>
      </x:c>
      <x:c r="N480" s="261" t="n">
        <x:f>IF(OR(L480&lt;$B$3,L480&gt;$D$3),"",IF(AND(J480=J479,N479&lt;&gt;""),MAX(M480,N479),M480))</x:f>
        <x:v>1.8668</x:v>
      </x:c>
      <x:c r="O480" s="262" t="n">
        <x:f>IF(N480="","",M480/N480-1)</x:f>
        <x:v>-0.0035354617527318943</x:v>
      </x:c>
    </x:row>
    <x:row r="481">
      <x:c r="J481" s="257" t="str">
        <x:v>002969.OF</x:v>
      </x:c>
      <x:c r="K481" s="258" t="str">
        <x:v>易方达丰和债券A</x:v>
      </x:c>
      <x:c r="L481" s="263" t="n">
        <x:v>46200</x:v>
      </x:c>
      <x:c r="M481" s="261" t="n">
        <x:v>1.8602</x:v>
      </x:c>
      <x:c r="N481" s="261" t="n">
        <x:f>IF(OR(L481&lt;$B$3,L481&gt;$D$3),"",IF(AND(J481=J480,N480&lt;&gt;""),MAX(M481,N480),M481))</x:f>
        <x:v>1.8668</x:v>
      </x:c>
      <x:c r="O481" s="262" t="n">
        <x:f>IF(N481="","",M481/N481-1)</x:f>
        <x:v>-0.0035354617527318943</x:v>
      </x:c>
    </x:row>
    <x:row r="482">
      <x:c r="J482" s="257" t="str">
        <x:v>002969.OF</x:v>
      </x:c>
      <x:c r="K482" s="258" t="str">
        <x:v>易方达丰和债券A</x:v>
      </x:c>
      <x:c r="L482" s="263" t="n">
        <x:v>46201</x:v>
      </x:c>
      <x:c r="M482" s="261" t="n">
        <x:v>1.8602</x:v>
      </x:c>
      <x:c r="N482" s="261" t="n">
        <x:f>IF(OR(L482&lt;$B$3,L482&gt;$D$3),"",IF(AND(J482=J481,N481&lt;&gt;""),MAX(M482,N481),M482))</x:f>
        <x:v>1.8668</x:v>
      </x:c>
      <x:c r="O482" s="262" t="n">
        <x:f>IF(N482="","",M482/N482-1)</x:f>
        <x:v>-0.0035354617527318943</x:v>
      </x:c>
    </x:row>
    <x:row r="483">
      <x:c r="J483" s="257" t="str">
        <x:v>002969.OF</x:v>
      </x:c>
      <x:c r="K483" s="258" t="str">
        <x:v>易方达丰和债券A</x:v>
      </x:c>
      <x:c r="L483" s="263" t="n">
        <x:v>46202</x:v>
      </x:c>
      <x:c r="M483" s="261" t="n">
        <x:v>1.864</x:v>
      </x:c>
      <x:c r="N483" s="261" t="n">
        <x:f>IF(OR(L483&lt;$B$3,L483&gt;$D$3),"",IF(AND(J483=J482,N482&lt;&gt;""),MAX(M483,N482),M483))</x:f>
        <x:v>1.8668</x:v>
      </x:c>
      <x:c r="O483" s="262" t="n">
        <x:f>IF(N483="","",M483/N483-1)</x:f>
        <x:v>-0.0014998928647953491</x:v>
      </x:c>
    </x:row>
    <x:row r="484">
      <x:c r="J484" s="257" t="str">
        <x:v>002969.OF</x:v>
      </x:c>
      <x:c r="K484" s="258" t="str">
        <x:v>易方达丰和债券A</x:v>
      </x:c>
      <x:c r="L484" s="263" t="n">
        <x:v>46203</x:v>
      </x:c>
      <x:c r="M484" s="261" t="n">
        <x:v>1.8777</x:v>
      </x:c>
      <x:c r="N484" s="261" t="n">
        <x:f>IF(OR(L484&lt;$B$3,L484&gt;$D$3),"",IF(AND(J484=J483,N483&lt;&gt;""),MAX(M484,N483),M484))</x:f>
        <x:v>1.8777</x:v>
      </x:c>
      <x:c r="O484" s="262" t="n">
        <x:f>IF(N484="","",M484/N484-1)</x:f>
        <x:v>0</x:v>
      </x:c>
    </x:row>
    <x:row r="485">
      <x:c r="J485" s="257" t="str">
        <x:v>002969.OF</x:v>
      </x:c>
      <x:c r="K485" s="258" t="str">
        <x:v>易方达丰和债券A</x:v>
      </x:c>
      <x:c r="L485" s="263" t="n">
        <x:v>46204</x:v>
      </x:c>
      <x:c r="M485" s="261" t="n">
        <x:v>1.8716</x:v>
      </x:c>
      <x:c r="N485" s="261" t="n">
        <x:f>IF(OR(L485&lt;$B$3,L485&gt;$D$3),"",IF(AND(J485=J484,N484&lt;&gt;""),MAX(M485,N484),M485))</x:f>
        <x:v>1.8777</x:v>
      </x:c>
      <x:c r="O485" s="262" t="n">
        <x:f>IF(N485="","",M485/N485-1)</x:f>
        <x:v>-0.003248655269744938</x:v>
      </x:c>
    </x:row>
    <x:row r="486">
      <x:c r="J486" s="257" t="str">
        <x:v>002969.OF</x:v>
      </x:c>
      <x:c r="K486" s="258" t="str">
        <x:v>易方达丰和债券A</x:v>
      </x:c>
      <x:c r="L486" s="263" t="n">
        <x:v>46205</x:v>
      </x:c>
      <x:c r="M486" s="261" t="n">
        <x:v>1.8454</x:v>
      </x:c>
      <x:c r="N486" s="261" t="n">
        <x:f>IF(OR(L486&lt;$B$3,L486&gt;$D$3),"",IF(AND(J486=J485,N485&lt;&gt;""),MAX(M486,N485),M486))</x:f>
        <x:v>1.8777</x:v>
      </x:c>
      <x:c r="O486" s="262" t="n">
        <x:f>IF(N486="","",M486/N486-1)</x:f>
        <x:v>-0.017201895936518108</x:v>
      </x:c>
    </x:row>
    <x:row r="487">
      <x:c r="J487" s="257" t="str">
        <x:v>002969.OF</x:v>
      </x:c>
      <x:c r="K487" s="258" t="str">
        <x:v>易方达丰和债券A</x:v>
      </x:c>
      <x:c r="L487" s="263" t="n">
        <x:v>46206</x:v>
      </x:c>
      <x:c r="M487" s="261" t="n">
        <x:v>1.8452</x:v>
      </x:c>
      <x:c r="N487" s="261" t="n">
        <x:f>IF(OR(L487&lt;$B$3,L487&gt;$D$3),"",IF(AND(J487=J486,N486&lt;&gt;""),MAX(M487,N486),M487))</x:f>
        <x:v>1.8777</x:v>
      </x:c>
      <x:c r="O487" s="262" t="n">
        <x:f>IF(N487="","",M487/N487-1)</x:f>
        <x:v>-0.017308409224050636</x:v>
      </x:c>
    </x:row>
    <x:row r="488">
      <x:c r="J488" s="257" t="str">
        <x:v>002969.OF</x:v>
      </x:c>
      <x:c r="K488" s="258" t="str">
        <x:v>易方达丰和债券A</x:v>
      </x:c>
      <x:c r="L488" s="263" t="n">
        <x:v>46207</x:v>
      </x:c>
      <x:c r="M488" s="261" t="n">
        <x:v>1.8452</x:v>
      </x:c>
      <x:c r="N488" s="261" t="n">
        <x:f>IF(OR(L488&lt;$B$3,L488&gt;$D$3),"",IF(AND(J488=J487,N487&lt;&gt;""),MAX(M488,N487),M488))</x:f>
        <x:v>1.8777</x:v>
      </x:c>
      <x:c r="O488" s="262" t="n">
        <x:f>IF(N488="","",M488/N488-1)</x:f>
        <x:v>-0.017308409224050636</x:v>
      </x:c>
    </x:row>
    <x:row r="489">
      <x:c r="J489" s="257" t="str">
        <x:v>002969.OF</x:v>
      </x:c>
      <x:c r="K489" s="258" t="str">
        <x:v>易方达丰和债券A</x:v>
      </x:c>
      <x:c r="L489" s="263" t="n">
        <x:v>46208</x:v>
      </x:c>
      <x:c r="M489" s="261" t="n">
        <x:v>1.8452</x:v>
      </x:c>
      <x:c r="N489" s="261" t="n">
        <x:f>IF(OR(L489&lt;$B$3,L489&gt;$D$3),"",IF(AND(J489=J488,N488&lt;&gt;""),MAX(M489,N488),M489))</x:f>
        <x:v>1.8777</x:v>
      </x:c>
      <x:c r="O489" s="262" t="n">
        <x:f>IF(N489="","",M489/N489-1)</x:f>
        <x:v>-0.017308409224050636</x:v>
      </x:c>
    </x:row>
    <x:row r="490">
      <x:c r="J490" s="257" t="str">
        <x:v>002969.OF</x:v>
      </x:c>
      <x:c r="K490" s="258" t="str">
        <x:v>易方达丰和债券A</x:v>
      </x:c>
      <x:c r="L490" s="263" t="n">
        <x:v>46209</x:v>
      </x:c>
      <x:c r="M490" s="261" t="n">
        <x:v>1.841</x:v>
      </x:c>
      <x:c r="N490" s="261" t="n">
        <x:f>IF(OR(L490&lt;$B$3,L490&gt;$D$3),"",IF(AND(J490=J489,N489&lt;&gt;""),MAX(M490,N489),M490))</x:f>
        <x:v>1.8777</x:v>
      </x:c>
      <x:c r="O490" s="262" t="n">
        <x:f>IF(N490="","",M490/N490-1)</x:f>
        <x:v>-0.019545188262235724</x:v>
      </x:c>
    </x:row>
    <x:row r="491">
      <x:c r="J491" s="257" t="str">
        <x:v>002969.OF</x:v>
      </x:c>
      <x:c r="K491" s="258" t="str">
        <x:v>易方达丰和债券A</x:v>
      </x:c>
      <x:c r="L491" s="263" t="n">
        <x:v>46210</x:v>
      </x:c>
      <x:c r="M491" s="261" t="n">
        <x:v>1.8421</x:v>
      </x:c>
      <x:c r="N491" s="261" t="n">
        <x:f>IF(OR(L491&lt;$B$3,L491&gt;$D$3),"",IF(AND(J491=J490,N490&lt;&gt;""),MAX(M491,N490),M491))</x:f>
        <x:v>1.8777</x:v>
      </x:c>
      <x:c r="O491" s="262" t="n">
        <x:f>IF(N491="","",M491/N491-1)</x:f>
        <x:v>-0.01895936518080621</x:v>
      </x:c>
    </x:row>
    <x:row r="492">
      <x:c r="J492" s="257" t="str">
        <x:v>002969.OF</x:v>
      </x:c>
      <x:c r="K492" s="258" t="str">
        <x:v>易方达丰和债券A</x:v>
      </x:c>
      <x:c r="L492" s="263" t="n">
        <x:v>46211</x:v>
      </x:c>
      <x:c r="M492" s="261" t="n">
        <x:v>1.839</x:v>
      </x:c>
      <x:c r="N492" s="261" t="n">
        <x:f>IF(OR(L492&lt;$B$3,L492&gt;$D$3),"",IF(AND(J492=J491,N491&lt;&gt;""),MAX(M492,N491),M492))</x:f>
        <x:v>1.8777</x:v>
      </x:c>
      <x:c r="O492" s="262" t="n">
        <x:f>IF(N492="","",M492/N492-1)</x:f>
        <x:v>-0.020610321137561893</x:v>
      </x:c>
    </x:row>
    <x:row r="493">
      <x:c r="J493" s="257" t="str">
        <x:v>002969.OF</x:v>
      </x:c>
      <x:c r="K493" s="258" t="str">
        <x:v>易方达丰和债券A</x:v>
      </x:c>
      <x:c r="L493" s="263" t="n">
        <x:v>46212</x:v>
      </x:c>
      <x:c r="M493" s="261" t="n">
        <x:v>1.8591</x:v>
      </x:c>
      <x:c r="N493" s="261" t="n">
        <x:f>IF(OR(L493&lt;$B$3,L493&gt;$D$3),"",IF(AND(J493=J492,N492&lt;&gt;""),MAX(M493,N492),M493))</x:f>
        <x:v>1.8777</x:v>
      </x:c>
      <x:c r="O493" s="262" t="n">
        <x:f>IF(N493="","",M493/N493-1)</x:f>
        <x:v>-0.00990573574053355</x:v>
      </x:c>
    </x:row>
    <x:row r="494">
      <x:c r="J494" s="257" t="str">
        <x:v>002969.OF</x:v>
      </x:c>
      <x:c r="K494" s="258" t="str">
        <x:v>易方达丰和债券A</x:v>
      </x:c>
      <x:c r="L494" s="263" t="n">
        <x:v>46213</x:v>
      </x:c>
      <x:c r="M494" s="261" t="n">
        <x:v>1.8415</x:v>
      </x:c>
      <x:c r="N494" s="261" t="n">
        <x:f>IF(OR(L494&lt;$B$3,L494&gt;$D$3),"",IF(AND(J494=J493,N493&lt;&gt;""),MAX(M494,N493),M494))</x:f>
        <x:v>1.8777</x:v>
      </x:c>
      <x:c r="O494" s="262" t="n">
        <x:f>IF(N494="","",M494/N494-1)</x:f>
        <x:v>-0.019278905043404126</x:v>
      </x:c>
    </x:row>
    <x:row r="495">
      <x:c r="J495" s="257" t="str">
        <x:v>002969.OF</x:v>
      </x:c>
      <x:c r="K495" s="258" t="str">
        <x:v>易方达丰和债券A</x:v>
      </x:c>
      <x:c r="L495" s="263" t="n">
        <x:v>46214</x:v>
      </x:c>
      <x:c r="M495" s="261" t="n">
        <x:v>1.8415</x:v>
      </x:c>
      <x:c r="N495" s="261" t="n">
        <x:f>IF(OR(L495&lt;$B$3,L495&gt;$D$3),"",IF(AND(J495=J494,N494&lt;&gt;""),MAX(M495,N494),M495))</x:f>
        <x:v>1.8777</x:v>
      </x:c>
      <x:c r="O495" s="262" t="n">
        <x:f>IF(N495="","",M495/N495-1)</x:f>
        <x:v>-0.019278905043404126</x:v>
      </x:c>
    </x:row>
    <x:row r="496">
      <x:c r="J496" s="257" t="str">
        <x:v>002969.OF</x:v>
      </x:c>
      <x:c r="K496" s="258" t="str">
        <x:v>易方达丰和债券A</x:v>
      </x:c>
      <x:c r="L496" s="263" t="n">
        <x:v>46215</x:v>
      </x:c>
      <x:c r="M496" s="261" t="n">
        <x:v>1.8415</x:v>
      </x:c>
      <x:c r="N496" s="261" t="n">
        <x:f>IF(OR(L496&lt;$B$3,L496&gt;$D$3),"",IF(AND(J496=J495,N495&lt;&gt;""),MAX(M496,N495),M496))</x:f>
        <x:v>1.8777</x:v>
      </x:c>
      <x:c r="O496" s="262" t="n">
        <x:f>IF(N496="","",M496/N496-1)</x:f>
        <x:v>-0.019278905043404126</x:v>
      </x:c>
    </x:row>
    <x:row r="497">
      <x:c r="J497" s="257" t="str">
        <x:v>002969.OF</x:v>
      </x:c>
      <x:c r="K497" s="258" t="str">
        <x:v>易方达丰和债券A</x:v>
      </x:c>
      <x:c r="L497" s="263" t="n">
        <x:v>46216</x:v>
      </x:c>
      <x:c r="M497" s="261" t="n">
        <x:v>1.8253</x:v>
      </x:c>
      <x:c r="N497" s="261" t="n">
        <x:f>IF(OR(L497&lt;$B$3,L497&gt;$D$3),"",IF(AND(J497=J496,N496&lt;&gt;""),MAX(M497,N496),M497))</x:f>
        <x:v>1.8777</x:v>
      </x:c>
      <x:c r="O497" s="262" t="n">
        <x:f>IF(N497="","",M497/N497-1)</x:f>
        <x:v>-0.02790648133354634</x:v>
      </x:c>
    </x:row>
    <x:row r="498">
      <x:c r="J498" s="257" t="str">
        <x:v>002969.OF</x:v>
      </x:c>
      <x:c r="K498" s="258" t="str">
        <x:v>易方达丰和债券A</x:v>
      </x:c>
      <x:c r="L498" s="263" t="n">
        <x:v>46217</x:v>
      </x:c>
      <x:c r="M498" s="261" t="n">
        <x:v>1.8399</x:v>
      </x:c>
      <x:c r="N498" s="261" t="n">
        <x:f>IF(OR(L498&lt;$B$3,L498&gt;$D$3),"",IF(AND(J498=J497,N497&lt;&gt;""),MAX(M498,N497),M498))</x:f>
        <x:v>1.8777</x:v>
      </x:c>
      <x:c r="O498" s="262" t="n">
        <x:f>IF(N498="","",M498/N498-1)</x:f>
        <x:v>-0.020131011343665017</x:v>
      </x:c>
    </x:row>
    <x:row r="499">
      <x:c r="J499" s="257" t="str">
        <x:v>002969.OF</x:v>
      </x:c>
      <x:c r="K499" s="258" t="str">
        <x:v>易方达丰和债券A</x:v>
      </x:c>
      <x:c r="L499" s="263" t="n">
        <x:v>46218</x:v>
      </x:c>
      <x:c r="M499" s="261" t="n">
        <x:v>1.8316</x:v>
      </x:c>
      <x:c r="N499" s="261" t="n">
        <x:f>IF(OR(L499&lt;$B$3,L499&gt;$D$3),"",IF(AND(J499=J498,N498&lt;&gt;""),MAX(M499,N498),M499))</x:f>
        <x:v>1.8777</x:v>
      </x:c>
      <x:c r="O499" s="262" t="n">
        <x:f>IF(N499="","",M499/N499-1)</x:f>
        <x:v>-0.024551312776268874</x:v>
      </x:c>
    </x:row>
    <x:row r="500">
      <x:c r="J500" s="257" t="str">
        <x:v>002969.OF</x:v>
      </x:c>
      <x:c r="K500" s="258" t="str">
        <x:v>易方达丰和债券A</x:v>
      </x:c>
      <x:c r="L500" s="263" t="n">
        <x:v>46219</x:v>
      </x:c>
      <x:c r="M500" s="261" t="n">
        <x:v>1.8226</x:v>
      </x:c>
      <x:c r="N500" s="261" t="n">
        <x:f>IF(OR(L500&lt;$B$3,L500&gt;$D$3),"",IF(AND(J500=J499,N499&lt;&gt;""),MAX(M500,N499),M500))</x:f>
        <x:v>1.8777</x:v>
      </x:c>
      <x:c r="O500" s="262" t="n">
        <x:f>IF(N500="","",M500/N500-1)</x:f>
        <x:v>-0.029344410715236635</x:v>
      </x:c>
    </x:row>
    <x:row r="501">
      <x:c r="J501" s="257" t="str">
        <x:v>002969.OF</x:v>
      </x:c>
      <x:c r="K501" s="258" t="str">
        <x:v>易方达丰和债券A</x:v>
      </x:c>
      <x:c r="L501" s="263" t="n">
        <x:v>46220</x:v>
      </x:c>
      <x:c r="M501" s="261" t="n">
        <x:v>1.7971</x:v>
      </x:c>
      <x:c r="N501" s="261" t="n">
        <x:f>IF(OR(L501&lt;$B$3,L501&gt;$D$3),"",IF(AND(J501=J500,N500&lt;&gt;""),MAX(M501,N500),M501))</x:f>
        <x:v>1.8777</x:v>
      </x:c>
      <x:c r="O501" s="262" t="n">
        <x:f>IF(N501="","",M501/N501-1)</x:f>
        <x:v>-0.04292485487564579</x:v>
      </x:c>
    </x:row>
    <x:row r="502">
      <x:c r="J502" s="257" t="str">
        <x:v>002969.OF</x:v>
      </x:c>
      <x:c r="K502" s="258" t="str">
        <x:v>易方达丰和债券A</x:v>
      </x:c>
      <x:c r="L502" s="263" t="n">
        <x:v>46221</x:v>
      </x:c>
      <x:c r="M502" s="261" t="n">
        <x:v>1.7971</x:v>
      </x:c>
      <x:c r="N502" s="261" t="n">
        <x:f>IF(OR(L502&lt;$B$3,L502&gt;$D$3),"",IF(AND(J502=J501,N501&lt;&gt;""),MAX(M502,N501),M502))</x:f>
        <x:v>1.8777</x:v>
      </x:c>
      <x:c r="O502" s="262" t="n">
        <x:f>IF(N502="","",M502/N502-1)</x:f>
        <x:v>-0.04292485487564579</x:v>
      </x:c>
    </x:row>
    <x:row r="503">
      <x:c r="J503" s="257" t="str">
        <x:v>002969.OF</x:v>
      </x:c>
      <x:c r="K503" s="258" t="str">
        <x:v>易方达丰和债券A</x:v>
      </x:c>
      <x:c r="L503" s="263" t="n">
        <x:v>46222</x:v>
      </x:c>
      <x:c r="M503" s="261" t="n">
        <x:v>1.7971</x:v>
      </x:c>
      <x:c r="N503" s="261" t="n">
        <x:f>IF(OR(L503&lt;$B$3,L503&gt;$D$3),"",IF(AND(J503=J502,N502&lt;&gt;""),MAX(M503,N502),M503))</x:f>
        <x:v>1.8777</x:v>
      </x:c>
      <x:c r="O503" s="262" t="n">
        <x:f>IF(N503="","",M503/N503-1)</x:f>
        <x:v>-0.04292485487564579</x:v>
      </x:c>
    </x:row>
    <x:row r="504">
      <x:c r="J504" s="257" t="str">
        <x:v>002969.OF</x:v>
      </x:c>
      <x:c r="K504" s="258" t="str">
        <x:v>易方达丰和债券A</x:v>
      </x:c>
      <x:c r="L504" s="263" t="n">
        <x:v>46223</x:v>
      </x:c>
      <x:c r="M504" s="261" t="n">
        <x:v>1.789</x:v>
      </x:c>
      <x:c r="N504" s="261" t="n">
        <x:f>IF(OR(L504&lt;$B$3,L504&gt;$D$3),"",IF(AND(J504=J503,N503&lt;&gt;""),MAX(M504,N503),M504))</x:f>
        <x:v>1.8777</x:v>
      </x:c>
      <x:c r="O504" s="262" t="n">
        <x:f>IF(N504="","",M504/N504-1)</x:f>
        <x:v>-0.047238643020716786</x:v>
      </x:c>
    </x:row>
    <x:row r="505">
      <x:c r="J505" s="257" t="str">
        <x:v>002969.OF</x:v>
      </x:c>
      <x:c r="K505" s="258" t="str">
        <x:v>易方达丰和债券A</x:v>
      </x:c>
      <x:c r="L505" s="263" t="n">
        <x:v>46224</x:v>
      </x:c>
      <x:c r="M505" s="261" t="n">
        <x:v>1.8128</x:v>
      </x:c>
      <x:c r="N505" s="261" t="n">
        <x:f>IF(OR(L505&lt;$B$3,L505&gt;$D$3),"",IF(AND(J505=J504,N504&lt;&gt;""),MAX(M505,N504),M505))</x:f>
        <x:v>1.8777</x:v>
      </x:c>
      <x:c r="O505" s="262" t="n">
        <x:f>IF(N505="","",M505/N505-1)</x:f>
        <x:v>-0.03456356180433506</x:v>
      </x:c>
    </x:row>
    <x:row r="506">
      <x:c r="J506" s="257" t="str">
        <x:v>002969.OF</x:v>
      </x:c>
      <x:c r="K506" s="258" t="str">
        <x:v>易方达丰和债券A</x:v>
      </x:c>
      <x:c r="L506" s="263" t="n">
        <x:v>46225</x:v>
      </x:c>
      <x:c r="M506" s="261" t="n">
        <x:v>1.8011</x:v>
      </x:c>
      <x:c r="N506" s="261" t="n">
        <x:f>IF(OR(L506&lt;$B$3,L506&gt;$D$3),"",IF(AND(J506=J505,N505&lt;&gt;""),MAX(M506,N505),M506))</x:f>
        <x:v>1.8777</x:v>
      </x:c>
      <x:c r="O506" s="262" t="n">
        <x:f>IF(N506="","",M506/N506-1)</x:f>
        <x:v>-0.04079458912499334</x:v>
      </x:c>
    </x:row>
    <x:row r="507">
      <x:c r="J507" s="257" t="str">
        <x:v>002969.OF</x:v>
      </x:c>
      <x:c r="K507" s="258" t="str">
        <x:v>易方达丰和债券A</x:v>
      </x:c>
      <x:c r="L507" s="263" t="n">
        <x:v>46226</x:v>
      </x:c>
      <x:c r="M507" s="261" t="n">
        <x:v>1.798</x:v>
      </x:c>
      <x:c r="N507" s="261" t="n">
        <x:f>IF(OR(L507&lt;$B$3,L507&gt;$D$3),"",IF(AND(J507=J506,N506&lt;&gt;""),MAX(M507,N506),M507))</x:f>
        <x:v>1.8777</x:v>
      </x:c>
      <x:c r="O507" s="262" t="n">
        <x:f>IF(N507="","",M507/N507-1)</x:f>
        <x:v>-0.042445545081748914</x:v>
      </x:c>
    </x:row>
    <x:row r="508">
      <x:c r="J508" s="257" t="str">
        <x:v>002969.OF</x:v>
      </x:c>
      <x:c r="K508" s="258" t="str">
        <x:v>易方达丰和债券A</x:v>
      </x:c>
      <x:c r="L508" s="263" t="n">
        <x:v>46227</x:v>
      </x:c>
      <x:c r="M508" s="261" t="n">
        <x:v>1.7916</x:v>
      </x:c>
      <x:c r="N508" s="261" t="n">
        <x:f>IF(OR(L508&lt;$B$3,L508&gt;$D$3),"",IF(AND(J508=J507,N507&lt;&gt;""),MAX(M508,N507),M508))</x:f>
        <x:v>1.8777</x:v>
      </x:c>
      <x:c r="O508" s="262" t="n">
        <x:f>IF(N508="","",M508/N508-1)</x:f>
        <x:v>-0.0458539702827927</x:v>
      </x:c>
    </x:row>
    <x:row r="509">
      <x:c r="J509" s="257" t="str">
        <x:v>002969.OF</x:v>
      </x:c>
      <x:c r="K509" s="258" t="str">
        <x:v>易方达丰和债券A</x:v>
      </x:c>
      <x:c r="L509" s="263" t="n">
        <x:v>46228</x:v>
      </x:c>
      <x:c r="M509" s="261" t="n">
        <x:v>1.7916</x:v>
      </x:c>
      <x:c r="N509" s="261" t="n">
        <x:f>IF(OR(L509&lt;$B$3,L509&gt;$D$3),"",IF(AND(J509=J508,N508&lt;&gt;""),MAX(M509,N508),M509))</x:f>
        <x:v>1.8777</x:v>
      </x:c>
      <x:c r="O509" s="262" t="n">
        <x:f>IF(N509="","",M509/N509-1)</x:f>
        <x:v>-0.0458539702827927</x:v>
      </x:c>
    </x:row>
    <x:row r="510">
      <x:c r="J510" s="257" t="str">
        <x:v>002969.OF</x:v>
      </x:c>
      <x:c r="K510" s="258" t="str">
        <x:v>易方达丰和债券A</x:v>
      </x:c>
      <x:c r="L510" s="263" t="n">
        <x:v>46229</x:v>
      </x:c>
      <x:c r="M510" s="261" t="n">
        <x:v>1.7916</x:v>
      </x:c>
      <x:c r="N510" s="261" t="n">
        <x:f>IF(OR(L510&lt;$B$3,L510&gt;$D$3),"",IF(AND(J510=J509,N509&lt;&gt;""),MAX(M510,N509),M510))</x:f>
        <x:v>1.8777</x:v>
      </x:c>
      <x:c r="O510" s="262" t="n">
        <x:f>IF(N510="","",M510/N510-1)</x:f>
        <x:v>-0.0458539702827927</x:v>
      </x:c>
    </x:row>
    <x:row r="511">
      <x:c r="J511" s="257" t="str">
        <x:v>002969.OF</x:v>
      </x:c>
      <x:c r="K511" s="258" t="str">
        <x:v>易方达丰和债券A</x:v>
      </x:c>
      <x:c r="L511" s="263" t="n">
        <x:v>46230</x:v>
      </x:c>
      <x:c r="M511" s="261" t="n">
        <x:v>1.8013</x:v>
      </x:c>
      <x:c r="N511" s="261" t="n">
        <x:f>IF(OR(L511&lt;$B$3,L511&gt;$D$3),"",IF(AND(J511=J510,N510&lt;&gt;""),MAX(M511,N510),M511))</x:f>
        <x:v>1.8777</x:v>
      </x:c>
      <x:c r="O511" s="262" t="n">
        <x:f>IF(N511="","",M511/N511-1)</x:f>
        <x:v>-0.0406880758374607</x:v>
      </x:c>
    </x:row>
    <x:row r="512">
      <x:c r="J512" s="257" t="str">
        <x:v>002969.OF</x:v>
      </x:c>
      <x:c r="K512" s="258" t="str">
        <x:v>易方达丰和债券A</x:v>
      </x:c>
      <x:c r="L512" s="263" t="n">
        <x:v>46231</x:v>
      </x:c>
      <x:c r="M512" s="261" t="n">
        <x:v>1.7704</x:v>
      </x:c>
      <x:c r="N512" s="261" t="n">
        <x:f>IF(OR(L512&lt;$B$3,L512&gt;$D$3),"",IF(AND(J512=J511,N511&lt;&gt;""),MAX(M512,N511),M512))</x:f>
        <x:v>1.8777</x:v>
      </x:c>
      <x:c r="O512" s="262" t="n">
        <x:f>IF(N512="","",M512/N512-1)</x:f>
        <x:v>-0.05714437876125045</x:v>
      </x:c>
    </x:row>
    <x:row r="513">
      <x:c r="J513" s="257" t="str">
        <x:v>002969.OF</x:v>
      </x:c>
      <x:c r="K513" s="258" t="str">
        <x:v>易方达丰和债券A</x:v>
      </x:c>
      <x:c r="L513" s="263" t="n">
        <x:v>46232</x:v>
      </x:c>
      <x:c r="M513" s="261" t="n">
        <x:v>1.7701</x:v>
      </x:c>
      <x:c r="N513" s="261" t="n">
        <x:f>IF(OR(L513&lt;$B$3,L513&gt;$D$3),"",IF(AND(J513=J512,N512&lt;&gt;""),MAX(M513,N512),M513))</x:f>
        <x:v>1.8777</x:v>
      </x:c>
      <x:c r="O513" s="262" t="n">
        <x:f>IF(N513="","",M513/N513-1)</x:f>
        <x:v>-0.057304148692549406</x:v>
      </x:c>
    </x:row>
    <x:row r="514">
      <x:c r="J514" s="257" t="str">
        <x:v>002969.OF</x:v>
      </x:c>
      <x:c r="K514" s="258" t="str">
        <x:v>易方达丰和债券A</x:v>
      </x:c>
      <x:c r="L514" s="263" t="n">
        <x:v>46233</x:v>
      </x:c>
      <x:c r="M514" s="261" t="n">
        <x:v>1.7452</x:v>
      </x:c>
      <x:c r="N514" s="261" t="n">
        <x:f>IF(OR(L514&lt;$B$3,L514&gt;$D$3),"",IF(AND(J514=J513,N513&lt;&gt;""),MAX(M514,N513),M514))</x:f>
        <x:v>1.8777</x:v>
      </x:c>
      <x:c r="O514" s="262" t="n">
        <x:f>IF(N514="","",M514/N514-1)</x:f>
        <x:v>-0.07056505299036042</x:v>
      </x:c>
    </x:row>
    <x:row r="515">
      <x:c r="J515" s="257" t="str">
        <x:v>002969.OF</x:v>
      </x:c>
      <x:c r="K515" s="258" t="str">
        <x:v>易方达丰和债券A</x:v>
      </x:c>
      <x:c r="L515" s="263" t="n">
        <x:v>46234</x:v>
      </x:c>
      <x:c r="M515" s="261" t="n">
        <x:v>1.761</x:v>
      </x:c>
      <x:c r="N515" s="261" t="n">
        <x:f>IF(OR(L515&lt;$B$3,L515&gt;$D$3),"",IF(AND(J515=J514,N514&lt;&gt;""),MAX(M515,N514),M515))</x:f>
        <x:v>1.8777</x:v>
      </x:c>
      <x:c r="O515" s="262" t="n">
        <x:f>IF(N515="","",M515/N515-1)</x:f>
        <x:v>-0.0621505032752836</x:v>
      </x:c>
    </x:row>
    <x:row r="516">
      <x:c r="J516" s="257" t="str">
        <x:v>002969.OF</x:v>
      </x:c>
      <x:c r="K516" s="258" t="str">
        <x:v>易方达丰和债券A</x:v>
      </x:c>
      <x:c r="L516" s="263" t="n">
        <x:v>46235</x:v>
      </x:c>
      <x:c r="M516" s="261" t="n">
        <x:v>1.761</x:v>
      </x:c>
      <x:c r="N516" s="261" t="n">
        <x:f>IF(OR(L516&lt;$B$3,L516&gt;$D$3),"",IF(AND(J516=J515,N515&lt;&gt;""),MAX(M516,N515),M516))</x:f>
        <x:v>1.8777</x:v>
      </x:c>
      <x:c r="O516" s="262" t="n">
        <x:f>IF(N516="","",M516/N516-1)</x:f>
        <x:v>-0.0621505032752836</x:v>
      </x:c>
    </x:row>
    <x:row r="517">
      <x:c r="J517" s="257" t="str">
        <x:v>002969.OF</x:v>
      </x:c>
      <x:c r="K517" s="258" t="str">
        <x:v>易方达丰和债券A</x:v>
      </x:c>
      <x:c r="L517" s="263" t="n">
        <x:v>46236</x:v>
      </x:c>
      <x:c r="M517" s="261" t="n">
        <x:v>1.761</x:v>
      </x:c>
      <x:c r="N517" s="261" t="n">
        <x:f>IF(OR(L517&lt;$B$3,L517&gt;$D$3),"",IF(AND(J517=J516,N516&lt;&gt;""),MAX(M517,N516),M517))</x:f>
        <x:v>1.8777</x:v>
      </x:c>
      <x:c r="O517" s="262" t="n">
        <x:f>IF(N517="","",M517/N517-1)</x:f>
        <x:v>-0.0621505032752836</x:v>
      </x:c>
    </x:row>
    <x:row r="518">
      <x:c r="J518" s="257" t="str">
        <x:v>002969.OF</x:v>
      </x:c>
      <x:c r="K518" s="258" t="str">
        <x:v>易方达丰和债券A</x:v>
      </x:c>
      <x:c r="L518" s="263" t="n">
        <x:v>46237</x:v>
      </x:c>
      <x:c r="M518" s="261" t="n">
        <x:v>1.755</x:v>
      </x:c>
      <x:c r="N518" s="261" t="n">
        <x:f>IF(OR(L518&lt;$B$3,L518&gt;$D$3),"",IF(AND(J518=J517,N517&lt;&gt;""),MAX(M518,N517),M518))</x:f>
        <x:v>1.8777</x:v>
      </x:c>
      <x:c r="O518" s="262" t="n">
        <x:f>IF(N518="","",M518/N518-1)</x:f>
        <x:v>-0.06534590190126222</x:v>
      </x:c>
    </x:row>
    <x:row r="519">
      <x:c r="J519" s="257" t="str">
        <x:v>002969.OF</x:v>
      </x:c>
      <x:c r="K519" s="258" t="str">
        <x:v>易方达丰和债券A</x:v>
      </x:c>
      <x:c r="L519" s="263" t="n">
        <x:v>46238</x:v>
      </x:c>
      <x:c r="M519" s="261" t="n">
        <x:v>1.7837</x:v>
      </x:c>
      <x:c r="N519" s="261" t="n">
        <x:f>IF(OR(L519&lt;$B$3,L519&gt;$D$3),"",IF(AND(J519=J518,N518&lt;&gt;""),MAX(M519,N518),M519))</x:f>
        <x:v>1.8777</x:v>
      </x:c>
      <x:c r="O519" s="262" t="n">
        <x:f>IF(N519="","",M519/N519-1)</x:f>
        <x:v>-0.05006124514033117</x:v>
      </x:c>
    </x:row>
    <x:row r="520">
      <x:c r="J520" s="257" t="str">
        <x:v>002969.OF</x:v>
      </x:c>
      <x:c r="K520" s="258" t="str">
        <x:v>易方达丰和债券A</x:v>
      </x:c>
      <x:c r="L520" s="263" t="n">
        <x:v>46239</x:v>
      </x:c>
      <x:c r="M520" s="261" t="n">
        <x:v>1.7908</x:v>
      </x:c>
      <x:c r="N520" s="261" t="n">
        <x:f>IF(OR(L520&lt;$B$3,L520&gt;$D$3),"",IF(AND(J520=J519,N519&lt;&gt;""),MAX(M520,N519),M520))</x:f>
        <x:v>1.8777</x:v>
      </x:c>
      <x:c r="O520" s="262" t="n">
        <x:f>IF(N520="","",M520/N520-1)</x:f>
        <x:v>-0.046280023432923256</x:v>
      </x:c>
    </x:row>
    <x:row r="521">
      <x:c r="J521" s="257" t="str">
        <x:v>002969.OF</x:v>
      </x:c>
      <x:c r="K521" s="258" t="str">
        <x:v>易方达丰和债券A</x:v>
      </x:c>
      <x:c r="L521" s="263" t="n">
        <x:v>46240</x:v>
      </x:c>
      <x:c r="M521" s="261" t="n">
        <x:v>1.7939</x:v>
      </x:c>
      <x:c r="N521" s="261" t="n">
        <x:f>IF(OR(L521&lt;$B$3,L521&gt;$D$3),"",IF(AND(J521=J520,N520&lt;&gt;""),MAX(M521,N520),M521))</x:f>
        <x:v>1.8777</x:v>
      </x:c>
      <x:c r="O521" s="262" t="n">
        <x:f>IF(N521="","",M521/N521-1)</x:f>
        <x:v>-0.04462906747616757</x:v>
      </x:c>
    </x:row>
    <x:row r="522">
      <x:c r="J522" s="257" t="str">
        <x:v>002969.OF</x:v>
      </x:c>
      <x:c r="K522" s="258" t="str">
        <x:v>易方达丰和债券A</x:v>
      </x:c>
      <x:c r="L522" s="263" t="n">
        <x:v>46241</x:v>
      </x:c>
      <x:c r="M522" s="261" t="n">
        <x:v>1.8059</x:v>
      </x:c>
      <x:c r="N522" s="261" t="n">
        <x:f>IF(OR(L522&lt;$B$3,L522&gt;$D$3),"",IF(AND(J522=J521,N521&lt;&gt;""),MAX(M522,N521),M522))</x:f>
        <x:v>1.8777</x:v>
      </x:c>
      <x:c r="O522" s="262" t="n">
        <x:f>IF(N522="","",M522/N522-1)</x:f>
        <x:v>-0.03823827022421045</x:v>
      </x:c>
    </x:row>
    <x:row r="523">
      <x:c r="J523" s="257" t="str">
        <x:v>002969.OF</x:v>
      </x:c>
      <x:c r="K523" s="258" t="str">
        <x:v>易方达丰和债券A</x:v>
      </x:c>
      <x:c r="L523" s="263" t="n">
        <x:v>46242</x:v>
      </x:c>
      <x:c r="M523" s="261" t="n">
        <x:v>1.8059</x:v>
      </x:c>
      <x:c r="N523" s="261" t="n">
        <x:f>IF(OR(L523&lt;$B$3,L523&gt;$D$3),"",IF(AND(J523=J522,N522&lt;&gt;""),MAX(M523,N522),M523))</x:f>
        <x:v>1.8777</x:v>
      </x:c>
      <x:c r="O523" s="262" t="n">
        <x:f>IF(N523="","",M523/N523-1)</x:f>
        <x:v>-0.03823827022421045</x:v>
      </x:c>
    </x:row>
    <x:row r="524">
      <x:c r="J524" s="257" t="str">
        <x:v>002969.OF</x:v>
      </x:c>
      <x:c r="K524" s="258" t="str">
        <x:v>易方达丰和债券A</x:v>
      </x:c>
      <x:c r="L524" s="263" t="n">
        <x:v>46243</x:v>
      </x:c>
      <x:c r="M524" s="261" t="n">
        <x:v>1.8059</x:v>
      </x:c>
      <x:c r="N524" s="261" t="n">
        <x:f>IF(OR(L524&lt;$B$3,L524&gt;$D$3),"",IF(AND(J524=J523,N523&lt;&gt;""),MAX(M524,N523),M524))</x:f>
        <x:v>1.8777</x:v>
      </x:c>
      <x:c r="O524" s="262" t="n">
        <x:f>IF(N524="","",M524/N524-1)</x:f>
        <x:v>-0.03823827022421045</x:v>
      </x:c>
    </x:row>
    <x:row r="525">
      <x:c r="J525" s="257" t="str">
        <x:v>002969.OF</x:v>
      </x:c>
      <x:c r="K525" s="258" t="str">
        <x:v>易方达丰和债券A</x:v>
      </x:c>
      <x:c r="L525" s="263" t="n">
        <x:v>46244</x:v>
      </x:c>
      <x:c r="M525" s="261" t="n">
        <x:v>1.7972</x:v>
      </x:c>
      <x:c r="N525" s="261" t="n">
        <x:f>IF(OR(L525&lt;$B$3,L525&gt;$D$3),"",IF(AND(J525=J524,N524&lt;&gt;""),MAX(M525,N524),M525))</x:f>
        <x:v>1.8777</x:v>
      </x:c>
      <x:c r="O525" s="262" t="n">
        <x:f>IF(N525="","",M525/N525-1)</x:f>
        <x:v>-0.04287159823187947</x:v>
      </x:c>
    </x:row>
    <x:row r="526">
      <x:c r="J526" s="257" t="str">
        <x:v>014088.OF</x:v>
      </x:c>
      <x:c r="K526" s="258" t="str">
        <x:v>永赢稳健增强债券A</x:v>
      </x:c>
      <x:c r="L526" s="263" t="n">
        <x:v>46191</x:v>
      </x:c>
      <x:c r="M526" s="261" t="n">
        <x:v>1.2486</x:v>
      </x:c>
      <x:c r="N526" s="261" t="n">
        <x:f>IF(OR(L526&lt;$B$3,L526&gt;$D$3),"",IF(AND(J526=J525,N525&lt;&gt;""),MAX(M526,N525),M526))</x:f>
        <x:v>1.2486</x:v>
      </x:c>
      <x:c r="O526" s="262" t="n">
        <x:f>IF(N526="","",M526/N526-1)</x:f>
        <x:v>0</x:v>
      </x:c>
    </x:row>
    <x:row r="527">
      <x:c r="J527" s="257" t="str">
        <x:v>014088.OF</x:v>
      </x:c>
      <x:c r="K527" s="258" t="str">
        <x:v>永赢稳健增强债券A</x:v>
      </x:c>
      <x:c r="L527" s="263" t="n">
        <x:v>46192</x:v>
      </x:c>
      <x:c r="M527" s="261" t="n">
        <x:v>1.2486</x:v>
      </x:c>
      <x:c r="N527" s="261" t="n">
        <x:f>IF(OR(L527&lt;$B$3,L527&gt;$D$3),"",IF(AND(J527=J526,N526&lt;&gt;""),MAX(M527,N526),M527))</x:f>
        <x:v>1.2486</x:v>
      </x:c>
      <x:c r="O527" s="262" t="n">
        <x:f>IF(N527="","",M527/N527-1)</x:f>
        <x:v>0</x:v>
      </x:c>
    </x:row>
    <x:row r="528">
      <x:c r="J528" s="257" t="str">
        <x:v>014088.OF</x:v>
      </x:c>
      <x:c r="K528" s="258" t="str">
        <x:v>永赢稳健增强债券A</x:v>
      </x:c>
      <x:c r="L528" s="263" t="n">
        <x:v>46193</x:v>
      </x:c>
      <x:c r="M528" s="261" t="n">
        <x:v>1.2486</x:v>
      </x:c>
      <x:c r="N528" s="261" t="n">
        <x:f>IF(OR(L528&lt;$B$3,L528&gt;$D$3),"",IF(AND(J528=J527,N527&lt;&gt;""),MAX(M528,N527),M528))</x:f>
        <x:v>1.2486</x:v>
      </x:c>
      <x:c r="O528" s="262" t="n">
        <x:f>IF(N528="","",M528/N528-1)</x:f>
        <x:v>0</x:v>
      </x:c>
    </x:row>
    <x:row r="529">
      <x:c r="J529" s="257" t="str">
        <x:v>014088.OF</x:v>
      </x:c>
      <x:c r="K529" s="258" t="str">
        <x:v>永赢稳健增强债券A</x:v>
      </x:c>
      <x:c r="L529" s="263" t="n">
        <x:v>46194</x:v>
      </x:c>
      <x:c r="M529" s="261" t="n">
        <x:v>1.2486</x:v>
      </x:c>
      <x:c r="N529" s="261" t="n">
        <x:f>IF(OR(L529&lt;$B$3,L529&gt;$D$3),"",IF(AND(J529=J528,N528&lt;&gt;""),MAX(M529,N528),M529))</x:f>
        <x:v>1.2486</x:v>
      </x:c>
      <x:c r="O529" s="262" t="n">
        <x:f>IF(N529="","",M529/N529-1)</x:f>
        <x:v>0</x:v>
      </x:c>
    </x:row>
    <x:row r="530">
      <x:c r="J530" s="257" t="str">
        <x:v>014088.OF</x:v>
      </x:c>
      <x:c r="K530" s="258" t="str">
        <x:v>永赢稳健增强债券A</x:v>
      </x:c>
      <x:c r="L530" s="263" t="n">
        <x:v>46195</x:v>
      </x:c>
      <x:c r="M530" s="261" t="n">
        <x:v>1.2566</x:v>
      </x:c>
      <x:c r="N530" s="261" t="n">
        <x:f>IF(OR(L530&lt;$B$3,L530&gt;$D$3),"",IF(AND(J530=J529,N529&lt;&gt;""),MAX(M530,N529),M530))</x:f>
        <x:v>1.2566</x:v>
      </x:c>
      <x:c r="O530" s="262" t="n">
        <x:f>IF(N530="","",M530/N530-1)</x:f>
        <x:v>0</x:v>
      </x:c>
    </x:row>
    <x:row r="531">
      <x:c r="J531" s="257" t="str">
        <x:v>014088.OF</x:v>
      </x:c>
      <x:c r="K531" s="258" t="str">
        <x:v>永赢稳健增强债券A</x:v>
      </x:c>
      <x:c r="L531" s="263" t="n">
        <x:v>46196</x:v>
      </x:c>
      <x:c r="M531" s="261" t="n">
        <x:v>1.2461</x:v>
      </x:c>
      <x:c r="N531" s="261" t="n">
        <x:f>IF(OR(L531&lt;$B$3,L531&gt;$D$3),"",IF(AND(J531=J530,N530&lt;&gt;""),MAX(M531,N530),M531))</x:f>
        <x:v>1.2566</x:v>
      </x:c>
      <x:c r="O531" s="262" t="n">
        <x:f>IF(N531="","",M531/N531-1)</x:f>
        <x:v>-0.00835588094859141</x:v>
      </x:c>
    </x:row>
    <x:row r="532">
      <x:c r="J532" s="257" t="str">
        <x:v>014088.OF</x:v>
      </x:c>
      <x:c r="K532" s="258" t="str">
        <x:v>永赢稳健增强债券A</x:v>
      </x:c>
      <x:c r="L532" s="263" t="n">
        <x:v>46197</x:v>
      </x:c>
      <x:c r="M532" s="261" t="n">
        <x:v>1.2504</x:v>
      </x:c>
      <x:c r="N532" s="261" t="n">
        <x:f>IF(OR(L532&lt;$B$3,L532&gt;$D$3),"",IF(AND(J532=J531,N531&lt;&gt;""),MAX(M532,N531),M532))</x:f>
        <x:v>1.2566</x:v>
      </x:c>
      <x:c r="O532" s="262" t="n">
        <x:f>IF(N532="","",M532/N532-1)</x:f>
        <x:v>-0.004933948750596828</x:v>
      </x:c>
    </x:row>
    <x:row r="533">
      <x:c r="J533" s="257" t="str">
        <x:v>014088.OF</x:v>
      </x:c>
      <x:c r="K533" s="258" t="str">
        <x:v>永赢稳健增强债券A</x:v>
      </x:c>
      <x:c r="L533" s="263" t="n">
        <x:v>46198</x:v>
      </x:c>
      <x:c r="M533" s="261" t="n">
        <x:v>1.2532</x:v>
      </x:c>
      <x:c r="N533" s="261" t="n">
        <x:f>IF(OR(L533&lt;$B$3,L533&gt;$D$3),"",IF(AND(J533=J532,N532&lt;&gt;""),MAX(M533,N532),M533))</x:f>
        <x:v>1.2566</x:v>
      </x:c>
      <x:c r="O533" s="262" t="n">
        <x:f>IF(N533="","",M533/N533-1)</x:f>
        <x:v>-0.0027057138309722895</x:v>
      </x:c>
    </x:row>
    <x:row r="534">
      <x:c r="J534" s="257" t="str">
        <x:v>014088.OF</x:v>
      </x:c>
      <x:c r="K534" s="258" t="str">
        <x:v>永赢稳健增强债券A</x:v>
      </x:c>
      <x:c r="L534" s="263" t="n">
        <x:v>46199</x:v>
      </x:c>
      <x:c r="M534" s="261" t="n">
        <x:v>1.2465</x:v>
      </x:c>
      <x:c r="N534" s="261" t="n">
        <x:f>IF(OR(L534&lt;$B$3,L534&gt;$D$3),"",IF(AND(J534=J533,N533&lt;&gt;""),MAX(M534,N533),M534))</x:f>
        <x:v>1.2566</x:v>
      </x:c>
      <x:c r="O534" s="262" t="n">
        <x:f>IF(N534="","",M534/N534-1)</x:f>
        <x:v>-0.008037561674359428</x:v>
      </x:c>
    </x:row>
    <x:row r="535">
      <x:c r="J535" s="257" t="str">
        <x:v>014088.OF</x:v>
      </x:c>
      <x:c r="K535" s="258" t="str">
        <x:v>永赢稳健增强债券A</x:v>
      </x:c>
      <x:c r="L535" s="263" t="n">
        <x:v>46200</x:v>
      </x:c>
      <x:c r="M535" s="261" t="n">
        <x:v>1.2465</x:v>
      </x:c>
      <x:c r="N535" s="261" t="n">
        <x:f>IF(OR(L535&lt;$B$3,L535&gt;$D$3),"",IF(AND(J535=J534,N534&lt;&gt;""),MAX(M535,N534),M535))</x:f>
        <x:v>1.2566</x:v>
      </x:c>
      <x:c r="O535" s="262" t="n">
        <x:f>IF(N535="","",M535/N535-1)</x:f>
        <x:v>-0.008037561674359428</x:v>
      </x:c>
    </x:row>
    <x:row r="536">
      <x:c r="J536" s="257" t="str">
        <x:v>014088.OF</x:v>
      </x:c>
      <x:c r="K536" s="258" t="str">
        <x:v>永赢稳健增强债券A</x:v>
      </x:c>
      <x:c r="L536" s="263" t="n">
        <x:v>46201</x:v>
      </x:c>
      <x:c r="M536" s="261" t="n">
        <x:v>1.2465</x:v>
      </x:c>
      <x:c r="N536" s="261" t="n">
        <x:f>IF(OR(L536&lt;$B$3,L536&gt;$D$3),"",IF(AND(J536=J535,N535&lt;&gt;""),MAX(M536,N535),M536))</x:f>
        <x:v>1.2566</x:v>
      </x:c>
      <x:c r="O536" s="262" t="n">
        <x:f>IF(N536="","",M536/N536-1)</x:f>
        <x:v>-0.008037561674359428</x:v>
      </x:c>
    </x:row>
    <x:row r="537">
      <x:c r="J537" s="257" t="str">
        <x:v>014088.OF</x:v>
      </x:c>
      <x:c r="K537" s="258" t="str">
        <x:v>永赢稳健增强债券A</x:v>
      </x:c>
      <x:c r="L537" s="263" t="n">
        <x:v>46202</x:v>
      </x:c>
      <x:c r="M537" s="261" t="n">
        <x:v>1.2512</x:v>
      </x:c>
      <x:c r="N537" s="261" t="n">
        <x:f>IF(OR(L537&lt;$B$3,L537&gt;$D$3),"",IF(AND(J537=J536,N536&lt;&gt;""),MAX(M537,N536),M537))</x:f>
        <x:v>1.2566</x:v>
      </x:c>
      <x:c r="O537" s="262" t="n">
        <x:f>IF(N537="","",M537/N537-1)</x:f>
        <x:v>-0.004297310202132643</x:v>
      </x:c>
    </x:row>
    <x:row r="538">
      <x:c r="J538" s="257" t="str">
        <x:v>014088.OF</x:v>
      </x:c>
      <x:c r="K538" s="258" t="str">
        <x:v>永赢稳健增强债券A</x:v>
      </x:c>
      <x:c r="L538" s="263" t="n">
        <x:v>46203</x:v>
      </x:c>
      <x:c r="M538" s="261" t="n">
        <x:v>1.2537</x:v>
      </x:c>
      <x:c r="N538" s="261" t="n">
        <x:f>IF(OR(L538&lt;$B$3,L538&gt;$D$3),"",IF(AND(J538=J537,N537&lt;&gt;""),MAX(M538,N537),M538))</x:f>
        <x:v>1.2566</x:v>
      </x:c>
      <x:c r="O538" s="262" t="n">
        <x:f>IF(N538="","",M538/N538-1)</x:f>
        <x:v>-0.002307814738182312</x:v>
      </x:c>
    </x:row>
    <x:row r="539">
      <x:c r="J539" s="257" t="str">
        <x:v>014088.OF</x:v>
      </x:c>
      <x:c r="K539" s="258" t="str">
        <x:v>永赢稳健增强债券A</x:v>
      </x:c>
      <x:c r="L539" s="263" t="n">
        <x:v>46204</x:v>
      </x:c>
      <x:c r="M539" s="261" t="n">
        <x:v>1.2525</x:v>
      </x:c>
      <x:c r="N539" s="261" t="n">
        <x:f>IF(OR(L539&lt;$B$3,L539&gt;$D$3),"",IF(AND(J539=J538,N538&lt;&gt;""),MAX(M539,N538),M539))</x:f>
        <x:v>1.2566</x:v>
      </x:c>
      <x:c r="O539" s="262" t="n">
        <x:f>IF(N539="","",M539/N539-1)</x:f>
        <x:v>-0.0032627725608785907</x:v>
      </x:c>
    </x:row>
    <x:row r="540">
      <x:c r="J540" s="257" t="str">
        <x:v>014088.OF</x:v>
      </x:c>
      <x:c r="K540" s="258" t="str">
        <x:v>永赢稳健增强债券A</x:v>
      </x:c>
      <x:c r="L540" s="263" t="n">
        <x:v>46205</x:v>
      </x:c>
      <x:c r="M540" s="261" t="n">
        <x:v>1.2399</x:v>
      </x:c>
      <x:c r="N540" s="261" t="n">
        <x:f>IF(OR(L540&lt;$B$3,L540&gt;$D$3),"",IF(AND(J540=J539,N539&lt;&gt;""),MAX(M540,N539),M540))</x:f>
        <x:v>1.2566</x:v>
      </x:c>
      <x:c r="O540" s="262" t="n">
        <x:f>IF(N540="","",M540/N540-1)</x:f>
        <x:v>-0.013289829699188238</x:v>
      </x:c>
    </x:row>
    <x:row r="541">
      <x:c r="J541" s="257" t="str">
        <x:v>014088.OF</x:v>
      </x:c>
      <x:c r="K541" s="258" t="str">
        <x:v>永赢稳健增强债券A</x:v>
      </x:c>
      <x:c r="L541" s="263" t="n">
        <x:v>46206</x:v>
      </x:c>
      <x:c r="M541" s="261" t="n">
        <x:v>1.2437</x:v>
      </x:c>
      <x:c r="N541" s="261" t="n">
        <x:f>IF(OR(L541&lt;$B$3,L541&gt;$D$3),"",IF(AND(J541=J540,N540&lt;&gt;""),MAX(M541,N540),M541))</x:f>
        <x:v>1.2566</x:v>
      </x:c>
      <x:c r="O541" s="262" t="n">
        <x:f>IF(N541="","",M541/N541-1)</x:f>
        <x:v>-0.010265796593983745</x:v>
      </x:c>
    </x:row>
    <x:row r="542">
      <x:c r="J542" s="257" t="str">
        <x:v>014088.OF</x:v>
      </x:c>
      <x:c r="K542" s="258" t="str">
        <x:v>永赢稳健增强债券A</x:v>
      </x:c>
      <x:c r="L542" s="263" t="n">
        <x:v>46207</x:v>
      </x:c>
      <x:c r="M542" s="261" t="n">
        <x:v>1.2437</x:v>
      </x:c>
      <x:c r="N542" s="261" t="n">
        <x:f>IF(OR(L542&lt;$B$3,L542&gt;$D$3),"",IF(AND(J542=J541,N541&lt;&gt;""),MAX(M542,N541),M542))</x:f>
        <x:v>1.2566</x:v>
      </x:c>
      <x:c r="O542" s="262" t="n">
        <x:f>IF(N542="","",M542/N542-1)</x:f>
        <x:v>-0.010265796593983745</x:v>
      </x:c>
    </x:row>
    <x:row r="543">
      <x:c r="J543" s="257" t="str">
        <x:v>014088.OF</x:v>
      </x:c>
      <x:c r="K543" s="258" t="str">
        <x:v>永赢稳健增强债券A</x:v>
      </x:c>
      <x:c r="L543" s="263" t="n">
        <x:v>46208</x:v>
      </x:c>
      <x:c r="M543" s="261" t="n">
        <x:v>1.2437</x:v>
      </x:c>
      <x:c r="N543" s="261" t="n">
        <x:f>IF(OR(L543&lt;$B$3,L543&gt;$D$3),"",IF(AND(J543=J542,N542&lt;&gt;""),MAX(M543,N542),M543))</x:f>
        <x:v>1.2566</x:v>
      </x:c>
      <x:c r="O543" s="262" t="n">
        <x:f>IF(N543="","",M543/N543-1)</x:f>
        <x:v>-0.010265796593983745</x:v>
      </x:c>
    </x:row>
    <x:row r="544">
      <x:c r="J544" s="257" t="str">
        <x:v>014088.OF</x:v>
      </x:c>
      <x:c r="K544" s="258" t="str">
        <x:v>永赢稳健增强债券A</x:v>
      </x:c>
      <x:c r="L544" s="263" t="n">
        <x:v>46209</x:v>
      </x:c>
      <x:c r="M544" s="261" t="n">
        <x:v>1.2403</x:v>
      </x:c>
      <x:c r="N544" s="261" t="n">
        <x:f>IF(OR(L544&lt;$B$3,L544&gt;$D$3),"",IF(AND(J544=J543,N543&lt;&gt;""),MAX(M544,N543),M544))</x:f>
        <x:v>1.2566</x:v>
      </x:c>
      <x:c r="O544" s="262" t="n">
        <x:f>IF(N544="","",M544/N544-1)</x:f>
        <x:v>-0.012971510424956256</x:v>
      </x:c>
    </x:row>
    <x:row r="545">
      <x:c r="J545" s="257" t="str">
        <x:v>014088.OF</x:v>
      </x:c>
      <x:c r="K545" s="258" t="str">
        <x:v>永赢稳健增强债券A</x:v>
      </x:c>
      <x:c r="L545" s="263" t="n">
        <x:v>46210</x:v>
      </x:c>
      <x:c r="M545" s="261" t="n">
        <x:v>1.2344</x:v>
      </x:c>
      <x:c r="N545" s="261" t="n">
        <x:f>IF(OR(L545&lt;$B$3,L545&gt;$D$3),"",IF(AND(J545=J544,N544&lt;&gt;""),MAX(M545,N544),M545))</x:f>
        <x:v>1.2566</x:v>
      </x:c>
      <x:c r="O545" s="262" t="n">
        <x:f>IF(N545="","",M545/N545-1)</x:f>
        <x:v>-0.017666719719878987</x:v>
      </x:c>
    </x:row>
    <x:row r="546">
      <x:c r="J546" s="257" t="str">
        <x:v>014088.OF</x:v>
      </x:c>
      <x:c r="K546" s="258" t="str">
        <x:v>永赢稳健增强债券A</x:v>
      </x:c>
      <x:c r="L546" s="263" t="n">
        <x:v>46211</x:v>
      </x:c>
      <x:c r="M546" s="261" t="n">
        <x:v>1.2326</x:v>
      </x:c>
      <x:c r="N546" s="261" t="n">
        <x:f>IF(OR(L546&lt;$B$3,L546&gt;$D$3),"",IF(AND(J546=J545,N545&lt;&gt;""),MAX(M546,N545),M546))</x:f>
        <x:v>1.2566</x:v>
      </x:c>
      <x:c r="O546" s="262" t="n">
        <x:f>IF(N546="","",M546/N546-1)</x:f>
        <x:v>-0.01909915645392335</x:v>
      </x:c>
    </x:row>
    <x:row r="547">
      <x:c r="J547" s="257" t="str">
        <x:v>014088.OF</x:v>
      </x:c>
      <x:c r="K547" s="258" t="str">
        <x:v>永赢稳健增强债券A</x:v>
      </x:c>
      <x:c r="L547" s="263" t="n">
        <x:v>46212</x:v>
      </x:c>
      <x:c r="M547" s="261" t="n">
        <x:v>1.2421</x:v>
      </x:c>
      <x:c r="N547" s="261" t="n">
        <x:f>IF(OR(L547&lt;$B$3,L547&gt;$D$3),"",IF(AND(J547=J546,N546&lt;&gt;""),MAX(M547,N546),M547))</x:f>
        <x:v>1.2566</x:v>
      </x:c>
      <x:c r="O547" s="262" t="n">
        <x:f>IF(N547="","",M547/N547-1)</x:f>
        <x:v>-0.011539073690912005</x:v>
      </x:c>
    </x:row>
    <x:row r="548">
      <x:c r="J548" s="257" t="str">
        <x:v>014088.OF</x:v>
      </x:c>
      <x:c r="K548" s="258" t="str">
        <x:v>永赢稳健增强债券A</x:v>
      </x:c>
      <x:c r="L548" s="263" t="n">
        <x:v>46213</x:v>
      </x:c>
      <x:c r="M548" s="261" t="n">
        <x:v>1.2317</x:v>
      </x:c>
      <x:c r="N548" s="261" t="n">
        <x:f>IF(OR(L548&lt;$B$3,L548&gt;$D$3),"",IF(AND(J548=J547,N547&lt;&gt;""),MAX(M548,N547),M548))</x:f>
        <x:v>1.2566</x:v>
      </x:c>
      <x:c r="O548" s="262" t="n">
        <x:f>IF(N548="","",M548/N548-1)</x:f>
        <x:v>-0.01981537482094531</x:v>
      </x:c>
    </x:row>
    <x:row r="549">
      <x:c r="J549" s="257" t="str">
        <x:v>014088.OF</x:v>
      </x:c>
      <x:c r="K549" s="258" t="str">
        <x:v>永赢稳健增强债券A</x:v>
      </x:c>
      <x:c r="L549" s="263" t="n">
        <x:v>46214</x:v>
      </x:c>
      <x:c r="M549" s="261" t="n">
        <x:v>1.2317</x:v>
      </x:c>
      <x:c r="N549" s="261" t="n">
        <x:f>IF(OR(L549&lt;$B$3,L549&gt;$D$3),"",IF(AND(J549=J548,N548&lt;&gt;""),MAX(M549,N548),M549))</x:f>
        <x:v>1.2566</x:v>
      </x:c>
      <x:c r="O549" s="262" t="n">
        <x:f>IF(N549="","",M549/N549-1)</x:f>
        <x:v>-0.01981537482094531</x:v>
      </x:c>
    </x:row>
    <x:row r="550">
      <x:c r="J550" s="257" t="str">
        <x:v>014088.OF</x:v>
      </x:c>
      <x:c r="K550" s="258" t="str">
        <x:v>永赢稳健增强债券A</x:v>
      </x:c>
      <x:c r="L550" s="263" t="n">
        <x:v>46215</x:v>
      </x:c>
      <x:c r="M550" s="261" t="n">
        <x:v>1.2317</x:v>
      </x:c>
      <x:c r="N550" s="261" t="n">
        <x:f>IF(OR(L550&lt;$B$3,L550&gt;$D$3),"",IF(AND(J550=J549,N549&lt;&gt;""),MAX(M550,N549),M550))</x:f>
        <x:v>1.2566</x:v>
      </x:c>
      <x:c r="O550" s="262" t="n">
        <x:f>IF(N550="","",M550/N550-1)</x:f>
        <x:v>-0.01981537482094531</x:v>
      </x:c>
    </x:row>
    <x:row r="551">
      <x:c r="J551" s="257" t="str">
        <x:v>014088.OF</x:v>
      </x:c>
      <x:c r="K551" s="258" t="str">
        <x:v>永赢稳健增强债券A</x:v>
      </x:c>
      <x:c r="L551" s="263" t="n">
        <x:v>46216</x:v>
      </x:c>
      <x:c r="M551" s="261" t="n">
        <x:v>1.2232</x:v>
      </x:c>
      <x:c r="N551" s="261" t="n">
        <x:f>IF(OR(L551&lt;$B$3,L551&gt;$D$3),"",IF(AND(J551=J550,N550&lt;&gt;""),MAX(M551,N550),M551))</x:f>
        <x:v>1.2566</x:v>
      </x:c>
      <x:c r="O551" s="262" t="n">
        <x:f>IF(N551="","",M551/N551-1)</x:f>
        <x:v>-0.026579659398376476</x:v>
      </x:c>
    </x:row>
    <x:row r="552">
      <x:c r="J552" s="257" t="str">
        <x:v>014088.OF</x:v>
      </x:c>
      <x:c r="K552" s="258" t="str">
        <x:v>永赢稳健增强债券A</x:v>
      </x:c>
      <x:c r="L552" s="263" t="n">
        <x:v>46217</x:v>
      </x:c>
      <x:c r="M552" s="261" t="n">
        <x:v>1.2316</x:v>
      </x:c>
      <x:c r="N552" s="261" t="n">
        <x:f>IF(OR(L552&lt;$B$3,L552&gt;$D$3),"",IF(AND(J552=J551,N551&lt;&gt;""),MAX(M552,N551),M552))</x:f>
        <x:v>1.2566</x:v>
      </x:c>
      <x:c r="O552" s="262" t="n">
        <x:f>IF(N552="","",M552/N552-1)</x:f>
        <x:v>-0.019894954639503304</x:v>
      </x:c>
    </x:row>
    <x:row r="553">
      <x:c r="J553" s="257" t="str">
        <x:v>014088.OF</x:v>
      </x:c>
      <x:c r="K553" s="258" t="str">
        <x:v>永赢稳健增强债券A</x:v>
      </x:c>
      <x:c r="L553" s="263" t="n">
        <x:v>46218</x:v>
      </x:c>
      <x:c r="M553" s="261" t="n">
        <x:v>1.2279</x:v>
      </x:c>
      <x:c r="N553" s="261" t="n">
        <x:f>IF(OR(L553&lt;$B$3,L553&gt;$D$3),"",IF(AND(J553=J552,N552&lt;&gt;""),MAX(M553,N552),M553))</x:f>
        <x:v>1.2566</x:v>
      </x:c>
      <x:c r="O553" s="262" t="n">
        <x:f>IF(N553="","",M553/N553-1)</x:f>
        <x:v>-0.022839407926149913</x:v>
      </x:c>
    </x:row>
    <x:row r="554">
      <x:c r="J554" s="257" t="str">
        <x:v>014088.OF</x:v>
      </x:c>
      <x:c r="K554" s="258" t="str">
        <x:v>永赢稳健增强债券A</x:v>
      </x:c>
      <x:c r="L554" s="263" t="n">
        <x:v>46219</x:v>
      </x:c>
      <x:c r="M554" s="261" t="n">
        <x:v>1.22</x:v>
      </x:c>
      <x:c r="N554" s="261" t="n">
        <x:f>IF(OR(L554&lt;$B$3,L554&gt;$D$3),"",IF(AND(J554=J553,N553&lt;&gt;""),MAX(M554,N553),M554))</x:f>
        <x:v>1.2566</x:v>
      </x:c>
      <x:c r="O554" s="262" t="n">
        <x:f>IF(N554="","",M554/N554-1)</x:f>
        <x:v>-0.029126213592232997</x:v>
      </x:c>
    </x:row>
    <x:row r="555">
      <x:c r="J555" s="257" t="str">
        <x:v>014088.OF</x:v>
      </x:c>
      <x:c r="K555" s="258" t="str">
        <x:v>永赢稳健增强债券A</x:v>
      </x:c>
      <x:c r="L555" s="263" t="n">
        <x:v>46220</x:v>
      </x:c>
      <x:c r="M555" s="261" t="n">
        <x:v>1.2038</x:v>
      </x:c>
      <x:c r="N555" s="261" t="n">
        <x:f>IF(OR(L555&lt;$B$3,L555&gt;$D$3),"",IF(AND(J555=J554,N554&lt;&gt;""),MAX(M555,N554),M555))</x:f>
        <x:v>1.2566</x:v>
      </x:c>
      <x:c r="O555" s="262" t="n">
        <x:f>IF(N555="","",M555/N555-1)</x:f>
        <x:v>-0.04201814419863115</x:v>
      </x:c>
    </x:row>
    <x:row r="556">
      <x:c r="J556" s="257" t="str">
        <x:v>014088.OF</x:v>
      </x:c>
      <x:c r="K556" s="258" t="str">
        <x:v>永赢稳健增强债券A</x:v>
      </x:c>
      <x:c r="L556" s="263" t="n">
        <x:v>46221</x:v>
      </x:c>
      <x:c r="M556" s="261" t="n">
        <x:v>1.2038</x:v>
      </x:c>
      <x:c r="N556" s="261" t="n">
        <x:f>IF(OR(L556&lt;$B$3,L556&gt;$D$3),"",IF(AND(J556=J555,N555&lt;&gt;""),MAX(M556,N555),M556))</x:f>
        <x:v>1.2566</x:v>
      </x:c>
      <x:c r="O556" s="262" t="n">
        <x:f>IF(N556="","",M556/N556-1)</x:f>
        <x:v>-0.04201814419863115</x:v>
      </x:c>
    </x:row>
    <x:row r="557">
      <x:c r="J557" s="257" t="str">
        <x:v>014088.OF</x:v>
      </x:c>
      <x:c r="K557" s="258" t="str">
        <x:v>永赢稳健增强债券A</x:v>
      </x:c>
      <x:c r="L557" s="263" t="n">
        <x:v>46222</x:v>
      </x:c>
      <x:c r="M557" s="261" t="n">
        <x:v>1.2038</x:v>
      </x:c>
      <x:c r="N557" s="261" t="n">
        <x:f>IF(OR(L557&lt;$B$3,L557&gt;$D$3),"",IF(AND(J557=J556,N556&lt;&gt;""),MAX(M557,N556),M557))</x:f>
        <x:v>1.2566</x:v>
      </x:c>
      <x:c r="O557" s="262" t="n">
        <x:f>IF(N557="","",M557/N557-1)</x:f>
        <x:v>-0.04201814419863115</x:v>
      </x:c>
    </x:row>
    <x:row r="558">
      <x:c r="J558" s="257" t="str">
        <x:v>014088.OF</x:v>
      </x:c>
      <x:c r="K558" s="258" t="str">
        <x:v>永赢稳健增强债券A</x:v>
      </x:c>
      <x:c r="L558" s="263" t="n">
        <x:v>46223</x:v>
      </x:c>
      <x:c r="M558" s="261" t="n">
        <x:v>1.2035</x:v>
      </x:c>
      <x:c r="N558" s="261" t="n">
        <x:f>IF(OR(L558&lt;$B$3,L558&gt;$D$3),"",IF(AND(J558=J557,N557&lt;&gt;""),MAX(M558,N557),M558))</x:f>
        <x:v>1.2566</x:v>
      </x:c>
      <x:c r="O558" s="262" t="n">
        <x:f>IF(N558="","",M558/N558-1)</x:f>
        <x:v>-0.042256883654305244</x:v>
      </x:c>
    </x:row>
    <x:row r="559">
      <x:c r="J559" s="257" t="str">
        <x:v>014088.OF</x:v>
      </x:c>
      <x:c r="K559" s="258" t="str">
        <x:v>永赢稳健增强债券A</x:v>
      </x:c>
      <x:c r="L559" s="263" t="n">
        <x:v>46224</x:v>
      </x:c>
      <x:c r="M559" s="261" t="n">
        <x:v>1.2165</x:v>
      </x:c>
      <x:c r="N559" s="261" t="n">
        <x:f>IF(OR(L559&lt;$B$3,L559&gt;$D$3),"",IF(AND(J559=J558,N558&lt;&gt;""),MAX(M559,N558),M559))</x:f>
        <x:v>1.2566</x:v>
      </x:c>
      <x:c r="O559" s="262" t="n">
        <x:f>IF(N559="","",M559/N559-1)</x:f>
        <x:v>-0.031911507241763504</x:v>
      </x:c>
    </x:row>
    <x:row r="560">
      <x:c r="J560" s="257" t="str">
        <x:v>014088.OF</x:v>
      </x:c>
      <x:c r="K560" s="258" t="str">
        <x:v>永赢稳健增强债券A</x:v>
      </x:c>
      <x:c r="L560" s="263" t="n">
        <x:v>46225</x:v>
      </x:c>
      <x:c r="M560" s="261" t="n">
        <x:v>1.2181</x:v>
      </x:c>
      <x:c r="N560" s="261" t="n">
        <x:f>IF(OR(L560&lt;$B$3,L560&gt;$D$3),"",IF(AND(J560=J559,N559&lt;&gt;""),MAX(M560,N559),M560))</x:f>
        <x:v>1.2566</x:v>
      </x:c>
      <x:c r="O560" s="262" t="n">
        <x:f>IF(N560="","",M560/N560-1)</x:f>
        <x:v>-0.030638230144835243</x:v>
      </x:c>
    </x:row>
    <x:row r="561">
      <x:c r="J561" s="257" t="str">
        <x:v>014088.OF</x:v>
      </x:c>
      <x:c r="K561" s="258" t="str">
        <x:v>永赢稳健增强债券A</x:v>
      </x:c>
      <x:c r="L561" s="263" t="n">
        <x:v>46226</x:v>
      </x:c>
      <x:c r="M561" s="261" t="n">
        <x:v>1.2183</x:v>
      </x:c>
      <x:c r="N561" s="261" t="n">
        <x:f>IF(OR(L561&lt;$B$3,L561&gt;$D$3),"",IF(AND(J561=J560,N560&lt;&gt;""),MAX(M561,N560),M561))</x:f>
        <x:v>1.2566</x:v>
      </x:c>
      <x:c r="O561" s="262" t="n">
        <x:f>IF(N561="","",M561/N561-1)</x:f>
        <x:v>-0.030479070507719253</x:v>
      </x:c>
    </x:row>
    <x:row r="562">
      <x:c r="J562" s="257" t="str">
        <x:v>014088.OF</x:v>
      </x:c>
      <x:c r="K562" s="258" t="str">
        <x:v>永赢稳健增强债券A</x:v>
      </x:c>
      <x:c r="L562" s="263" t="n">
        <x:v>46227</x:v>
      </x:c>
      <x:c r="M562" s="261" t="n">
        <x:v>1.214</x:v>
      </x:c>
      <x:c r="N562" s="261" t="n">
        <x:f>IF(OR(L562&lt;$B$3,L562&gt;$D$3),"",IF(AND(J562=J561,N561&lt;&gt;""),MAX(M562,N561),M562))</x:f>
        <x:v>1.2566</x:v>
      </x:c>
      <x:c r="O562" s="262" t="n">
        <x:f>IF(N562="","",M562/N562-1)</x:f>
        <x:v>-0.033901002705713834</x:v>
      </x:c>
    </x:row>
    <x:row r="563">
      <x:c r="J563" s="257" t="str">
        <x:v>014088.OF</x:v>
      </x:c>
      <x:c r="K563" s="258" t="str">
        <x:v>永赢稳健增强债券A</x:v>
      </x:c>
      <x:c r="L563" s="263" t="n">
        <x:v>46228</x:v>
      </x:c>
      <x:c r="M563" s="261" t="n">
        <x:v>1.214</x:v>
      </x:c>
      <x:c r="N563" s="261" t="n">
        <x:f>IF(OR(L563&lt;$B$3,L563&gt;$D$3),"",IF(AND(J563=J562,N562&lt;&gt;""),MAX(M563,N562),M563))</x:f>
        <x:v>1.2566</x:v>
      </x:c>
      <x:c r="O563" s="262" t="n">
        <x:f>IF(N563="","",M563/N563-1)</x:f>
        <x:v>-0.033901002705713834</x:v>
      </x:c>
    </x:row>
    <x:row r="564">
      <x:c r="J564" s="257" t="str">
        <x:v>014088.OF</x:v>
      </x:c>
      <x:c r="K564" s="258" t="str">
        <x:v>永赢稳健增强债券A</x:v>
      </x:c>
      <x:c r="L564" s="263" t="n">
        <x:v>46229</x:v>
      </x:c>
      <x:c r="M564" s="261" t="n">
        <x:v>1.214</x:v>
      </x:c>
      <x:c r="N564" s="261" t="n">
        <x:f>IF(OR(L564&lt;$B$3,L564&gt;$D$3),"",IF(AND(J564=J563,N563&lt;&gt;""),MAX(M564,N563),M564))</x:f>
        <x:v>1.2566</x:v>
      </x:c>
      <x:c r="O564" s="262" t="n">
        <x:f>IF(N564="","",M564/N564-1)</x:f>
        <x:v>-0.033901002705713834</x:v>
      </x:c>
    </x:row>
    <x:row r="565">
      <x:c r="J565" s="257" t="str">
        <x:v>014088.OF</x:v>
      </x:c>
      <x:c r="K565" s="258" t="str">
        <x:v>永赢稳健增强债券A</x:v>
      </x:c>
      <x:c r="L565" s="263" t="n">
        <x:v>46230</x:v>
      </x:c>
      <x:c r="M565" s="261" t="n">
        <x:v>1.2152</x:v>
      </x:c>
      <x:c r="N565" s="261" t="n">
        <x:f>IF(OR(L565&lt;$B$3,L565&gt;$D$3),"",IF(AND(J565=J564,N564&lt;&gt;""),MAX(M565,N564),M565))</x:f>
        <x:v>1.2566</x:v>
      </x:c>
      <x:c r="O565" s="262" t="n">
        <x:f>IF(N565="","",M565/N565-1)</x:f>
        <x:v>-0.032946044883017556</x:v>
      </x:c>
    </x:row>
    <x:row r="566">
      <x:c r="J566" s="257" t="str">
        <x:v>014088.OF</x:v>
      </x:c>
      <x:c r="K566" s="258" t="str">
        <x:v>永赢稳健增强债券A</x:v>
      </x:c>
      <x:c r="L566" s="263" t="n">
        <x:v>46231</x:v>
      </x:c>
      <x:c r="M566" s="261" t="n">
        <x:v>1.2039</x:v>
      </x:c>
      <x:c r="N566" s="261" t="n">
        <x:f>IF(OR(L566&lt;$B$3,L566&gt;$D$3),"",IF(AND(J566=J565,N565&lt;&gt;""),MAX(M566,N565),M566))</x:f>
        <x:v>1.2566</x:v>
      </x:c>
      <x:c r="O566" s="262" t="n">
        <x:f>IF(N566="","",M566/N566-1)</x:f>
        <x:v>-0.04193856438007315</x:v>
      </x:c>
    </x:row>
    <x:row r="567">
      <x:c r="J567" s="257" t="str">
        <x:v>014088.OF</x:v>
      </x:c>
      <x:c r="K567" s="258" t="str">
        <x:v>永赢稳健增强债券A</x:v>
      </x:c>
      <x:c r="L567" s="263" t="n">
        <x:v>46232</x:v>
      </x:c>
      <x:c r="M567" s="261" t="n">
        <x:v>1.2048</x:v>
      </x:c>
      <x:c r="N567" s="261" t="n">
        <x:f>IF(OR(L567&lt;$B$3,L567&gt;$D$3),"",IF(AND(J567=J566,N566&lt;&gt;""),MAX(M567,N566),M567))</x:f>
        <x:v>1.2566</x:v>
      </x:c>
      <x:c r="O567" s="262" t="n">
        <x:f>IF(N567="","",M567/N567-1)</x:f>
        <x:v>-0.04122234601305097</x:v>
      </x:c>
    </x:row>
    <x:row r="568">
      <x:c r="J568" s="257" t="str">
        <x:v>014088.OF</x:v>
      </x:c>
      <x:c r="K568" s="258" t="str">
        <x:v>永赢稳健增强债券A</x:v>
      </x:c>
      <x:c r="L568" s="263" t="n">
        <x:v>46233</x:v>
      </x:c>
      <x:c r="M568" s="261" t="n">
        <x:v>1.1993</x:v>
      </x:c>
      <x:c r="N568" s="261" t="n">
        <x:f>IF(OR(L568&lt;$B$3,L568&gt;$D$3),"",IF(AND(J568=J567,N567&lt;&gt;""),MAX(M568,N567),M568))</x:f>
        <x:v>1.2566</x:v>
      </x:c>
      <x:c r="O568" s="262" t="n">
        <x:f>IF(N568="","",M568/N568-1)</x:f>
        <x:v>-0.04559923603374172</x:v>
      </x:c>
    </x:row>
    <x:row r="569">
      <x:c r="J569" s="257" t="str">
        <x:v>014088.OF</x:v>
      </x:c>
      <x:c r="K569" s="258" t="str">
        <x:v>永赢稳健增强债券A</x:v>
      </x:c>
      <x:c r="L569" s="263" t="n">
        <x:v>46234</x:v>
      </x:c>
      <x:c r="M569" s="261" t="n">
        <x:v>1.2057</x:v>
      </x:c>
      <x:c r="N569" s="261" t="n">
        <x:f>IF(OR(L569&lt;$B$3,L569&gt;$D$3),"",IF(AND(J569=J568,N568&lt;&gt;""),MAX(M569,N568),M569))</x:f>
        <x:v>1.2566</x:v>
      </x:c>
      <x:c r="O569" s="262" t="n">
        <x:f>IF(N569="","",M569/N569-1)</x:f>
        <x:v>-0.0405061276460289</x:v>
      </x:c>
    </x:row>
    <x:row r="570">
      <x:c r="J570" s="257" t="str">
        <x:v>014088.OF</x:v>
      </x:c>
      <x:c r="K570" s="258" t="str">
        <x:v>永赢稳健增强债券A</x:v>
      </x:c>
      <x:c r="L570" s="263" t="n">
        <x:v>46235</x:v>
      </x:c>
      <x:c r="M570" s="261" t="n">
        <x:v>1.2057</x:v>
      </x:c>
      <x:c r="N570" s="261" t="n">
        <x:f>IF(OR(L570&lt;$B$3,L570&gt;$D$3),"",IF(AND(J570=J569,N569&lt;&gt;""),MAX(M570,N569),M570))</x:f>
        <x:v>1.2566</x:v>
      </x:c>
      <x:c r="O570" s="262" t="n">
        <x:f>IF(N570="","",M570/N570-1)</x:f>
        <x:v>-0.0405061276460289</x:v>
      </x:c>
    </x:row>
    <x:row r="571">
      <x:c r="J571" s="257" t="str">
        <x:v>014088.OF</x:v>
      </x:c>
      <x:c r="K571" s="258" t="str">
        <x:v>永赢稳健增强债券A</x:v>
      </x:c>
      <x:c r="L571" s="263" t="n">
        <x:v>46236</x:v>
      </x:c>
      <x:c r="M571" s="261" t="n">
        <x:v>1.2057</x:v>
      </x:c>
      <x:c r="N571" s="261" t="n">
        <x:f>IF(OR(L571&lt;$B$3,L571&gt;$D$3),"",IF(AND(J571=J570,N570&lt;&gt;""),MAX(M571,N570),M571))</x:f>
        <x:v>1.2566</x:v>
      </x:c>
      <x:c r="O571" s="262" t="n">
        <x:f>IF(N571="","",M571/N571-1)</x:f>
        <x:v>-0.0405061276460289</x:v>
      </x:c>
    </x:row>
    <x:row r="572">
      <x:c r="J572" s="257" t="str">
        <x:v>014088.OF</x:v>
      </x:c>
      <x:c r="K572" s="258" t="str">
        <x:v>永赢稳健增强债券A</x:v>
      </x:c>
      <x:c r="L572" s="263" t="n">
        <x:v>46237</x:v>
      </x:c>
      <x:c r="M572" s="261" t="n">
        <x:v>1.1991</x:v>
      </x:c>
      <x:c r="N572" s="261" t="n">
        <x:f>IF(OR(L572&lt;$B$3,L572&gt;$D$3),"",IF(AND(J572=J571,N571&lt;&gt;""),MAX(M572,N571),M572))</x:f>
        <x:v>1.2566</x:v>
      </x:c>
      <x:c r="O572" s="262" t="n">
        <x:f>IF(N572="","",M572/N572-1)</x:f>
        <x:v>-0.04575839567085782</x:v>
      </x:c>
    </x:row>
    <x:row r="573">
      <x:c r="J573" s="257" t="str">
        <x:v>014088.OF</x:v>
      </x:c>
      <x:c r="K573" s="258" t="str">
        <x:v>永赢稳健增强债券A</x:v>
      </x:c>
      <x:c r="L573" s="263" t="n">
        <x:v>46238</x:v>
      </x:c>
      <x:c r="M573" s="261" t="n">
        <x:v>1.2066</x:v>
      </x:c>
      <x:c r="N573" s="261" t="n">
        <x:f>IF(OR(L573&lt;$B$3,L573&gt;$D$3),"",IF(AND(J573=J572,N572&lt;&gt;""),MAX(M573,N572),M573))</x:f>
        <x:v>1.2566</x:v>
      </x:c>
      <x:c r="O573" s="262" t="n">
        <x:f>IF(N573="","",M573/N573-1)</x:f>
        <x:v>-0.03978990927900683</x:v>
      </x:c>
    </x:row>
    <x:row r="574">
      <x:c r="J574" s="257" t="str">
        <x:v>014088.OF</x:v>
      </x:c>
      <x:c r="K574" s="258" t="str">
        <x:v>永赢稳健增强债券A</x:v>
      </x:c>
      <x:c r="L574" s="263" t="n">
        <x:v>46239</x:v>
      </x:c>
      <x:c r="M574" s="261" t="n">
        <x:v>1.2122</x:v>
      </x:c>
      <x:c r="N574" s="261" t="n">
        <x:f>IF(OR(L574&lt;$B$3,L574&gt;$D$3),"",IF(AND(J574=J573,N573&lt;&gt;""),MAX(M574,N573),M574))</x:f>
        <x:v>1.2566</x:v>
      </x:c>
      <x:c r="O574" s="262" t="n">
        <x:f>IF(N574="","",M574/N574-1)</x:f>
        <x:v>-0.035333439439758085</x:v>
      </x:c>
    </x:row>
    <x:row r="575">
      <x:c r="J575" s="257" t="str">
        <x:v>014088.OF</x:v>
      </x:c>
      <x:c r="K575" s="258" t="str">
        <x:v>永赢稳健增强债券A</x:v>
      </x:c>
      <x:c r="L575" s="263" t="n">
        <x:v>46240</x:v>
      </x:c>
      <x:c r="M575" s="261" t="n">
        <x:v>1.215</x:v>
      </x:c>
      <x:c r="N575" s="261" t="n">
        <x:f>IF(OR(L575&lt;$B$3,L575&gt;$D$3),"",IF(AND(J575=J574,N574&lt;&gt;""),MAX(M575,N574),M575))</x:f>
        <x:v>1.2566</x:v>
      </x:c>
      <x:c r="O575" s="262" t="n">
        <x:f>IF(N575="","",M575/N575-1)</x:f>
        <x:v>-0.03310520452013355</x:v>
      </x:c>
    </x:row>
    <x:row r="576">
      <x:c r="J576" s="257" t="str">
        <x:v>014088.OF</x:v>
      </x:c>
      <x:c r="K576" s="258" t="str">
        <x:v>永赢稳健增强债券A</x:v>
      </x:c>
      <x:c r="L576" s="263" t="n">
        <x:v>46241</x:v>
      </x:c>
      <x:c r="M576" s="261" t="n">
        <x:v>1.2186</x:v>
      </x:c>
      <x:c r="N576" s="261" t="n">
        <x:f>IF(OR(L576&lt;$B$3,L576&gt;$D$3),"",IF(AND(J576=J575,N575&lt;&gt;""),MAX(M576,N575),M576))</x:f>
        <x:v>1.2566</x:v>
      </x:c>
      <x:c r="O576" s="262" t="n">
        <x:f>IF(N576="","",M576/N576-1)</x:f>
        <x:v>-0.030240331052045266</x:v>
      </x:c>
    </x:row>
    <x:row r="577">
      <x:c r="J577" s="257" t="str">
        <x:v>014088.OF</x:v>
      </x:c>
      <x:c r="K577" s="258" t="str">
        <x:v>永赢稳健增强债券A</x:v>
      </x:c>
      <x:c r="L577" s="263" t="n">
        <x:v>46242</x:v>
      </x:c>
      <x:c r="M577" s="261" t="n">
        <x:v>1.2186</x:v>
      </x:c>
      <x:c r="N577" s="261" t="n">
        <x:f>IF(OR(L577&lt;$B$3,L577&gt;$D$3),"",IF(AND(J577=J576,N576&lt;&gt;""),MAX(M577,N576),M577))</x:f>
        <x:v>1.2566</x:v>
      </x:c>
      <x:c r="O577" s="262" t="n">
        <x:f>IF(N577="","",M577/N577-1)</x:f>
        <x:v>-0.030240331052045266</x:v>
      </x:c>
    </x:row>
    <x:row r="578">
      <x:c r="J578" s="257" t="str">
        <x:v>014088.OF</x:v>
      </x:c>
      <x:c r="K578" s="258" t="str">
        <x:v>永赢稳健增强债券A</x:v>
      </x:c>
      <x:c r="L578" s="263" t="n">
        <x:v>46243</x:v>
      </x:c>
      <x:c r="M578" s="261" t="n">
        <x:v>1.2186</x:v>
      </x:c>
      <x:c r="N578" s="261" t="n">
        <x:f>IF(OR(L578&lt;$B$3,L578&gt;$D$3),"",IF(AND(J578=J577,N577&lt;&gt;""),MAX(M578,N577),M578))</x:f>
        <x:v>1.2566</x:v>
      </x:c>
      <x:c r="O578" s="262" t="n">
        <x:f>IF(N578="","",M578/N578-1)</x:f>
        <x:v>-0.030240331052045266</x:v>
      </x:c>
    </x:row>
    <x:row r="579">
      <x:c r="J579" s="257" t="str">
        <x:v>014088.OF</x:v>
      </x:c>
      <x:c r="K579" s="258" t="str">
        <x:v>永赢稳健增强债券A</x:v>
      </x:c>
      <x:c r="L579" s="263" t="n">
        <x:v>46244</x:v>
      </x:c>
      <x:c r="M579" s="261" t="n">
        <x:v>1.2183</x:v>
      </x:c>
      <x:c r="N579" s="261" t="n">
        <x:f>IF(OR(L579&lt;$B$3,L579&gt;$D$3),"",IF(AND(J579=J578,N578&lt;&gt;""),MAX(M579,N578),M579))</x:f>
        <x:v>1.2566</x:v>
      </x:c>
      <x:c r="O579" s="262" t="n">
        <x:f>IF(N579="","",M579/N579-1)</x:f>
        <x:v>-0.030479070507719253</x:v>
      </x:c>
    </x:row>
    <x:row r="580">
      <x:c r="J580" s="257" t="str">
        <x:v>001751.OF</x:v>
      </x:c>
      <x:c r="K580" s="258" t="str">
        <x:v>华商信用增强债券A</x:v>
      </x:c>
      <x:c r="L580" s="263" t="n">
        <x:v>46191</x:v>
      </x:c>
      <x:c r="M580" s="261" t="n">
        <x:v>2.054</x:v>
      </x:c>
      <x:c r="N580" s="261" t="n">
        <x:f>IF(OR(L580&lt;$B$3,L580&gt;$D$3),"",IF(AND(J580=J579,N579&lt;&gt;""),MAX(M580,N579),M580))</x:f>
        <x:v>2.054</x:v>
      </x:c>
      <x:c r="O580" s="262" t="n">
        <x:f>IF(N580="","",M580/N580-1)</x:f>
        <x:v>0</x:v>
      </x:c>
    </x:row>
    <x:row r="581">
      <x:c r="J581" s="257" t="str">
        <x:v>001751.OF</x:v>
      </x:c>
      <x:c r="K581" s="258" t="str">
        <x:v>华商信用增强债券A</x:v>
      </x:c>
      <x:c r="L581" s="263" t="n">
        <x:v>46192</x:v>
      </x:c>
      <x:c r="M581" s="261" t="n">
        <x:v>2.054</x:v>
      </x:c>
      <x:c r="N581" s="261" t="n">
        <x:f>IF(OR(L581&lt;$B$3,L581&gt;$D$3),"",IF(AND(J581=J580,N580&lt;&gt;""),MAX(M581,N580),M581))</x:f>
        <x:v>2.054</x:v>
      </x:c>
      <x:c r="O581" s="262" t="n">
        <x:f>IF(N581="","",M581/N581-1)</x:f>
        <x:v>0</x:v>
      </x:c>
    </x:row>
    <x:row r="582">
      <x:c r="J582" s="257" t="str">
        <x:v>001751.OF</x:v>
      </x:c>
      <x:c r="K582" s="258" t="str">
        <x:v>华商信用增强债券A</x:v>
      </x:c>
      <x:c r="L582" s="263" t="n">
        <x:v>46193</x:v>
      </x:c>
      <x:c r="M582" s="261" t="n">
        <x:v>2.054</x:v>
      </x:c>
      <x:c r="N582" s="261" t="n">
        <x:f>IF(OR(L582&lt;$B$3,L582&gt;$D$3),"",IF(AND(J582=J581,N581&lt;&gt;""),MAX(M582,N581),M582))</x:f>
        <x:v>2.054</x:v>
      </x:c>
      <x:c r="O582" s="262" t="n">
        <x:f>IF(N582="","",M582/N582-1)</x:f>
        <x:v>0</x:v>
      </x:c>
    </x:row>
    <x:row r="583">
      <x:c r="J583" s="257" t="str">
        <x:v>001751.OF</x:v>
      </x:c>
      <x:c r="K583" s="258" t="str">
        <x:v>华商信用增强债券A</x:v>
      </x:c>
      <x:c r="L583" s="263" t="n">
        <x:v>46194</x:v>
      </x:c>
      <x:c r="M583" s="261" t="n">
        <x:v>2.054</x:v>
      </x:c>
      <x:c r="N583" s="261" t="n">
        <x:f>IF(OR(L583&lt;$B$3,L583&gt;$D$3),"",IF(AND(J583=J582,N582&lt;&gt;""),MAX(M583,N582),M583))</x:f>
        <x:v>2.054</x:v>
      </x:c>
      <x:c r="O583" s="262" t="n">
        <x:f>IF(N583="","",M583/N583-1)</x:f>
        <x:v>0</x:v>
      </x:c>
    </x:row>
    <x:row r="584">
      <x:c r="J584" s="257" t="str">
        <x:v>001751.OF</x:v>
      </x:c>
      <x:c r="K584" s="258" t="str">
        <x:v>华商信用增强债券A</x:v>
      </x:c>
      <x:c r="L584" s="263" t="n">
        <x:v>46195</x:v>
      </x:c>
      <x:c r="M584" s="261" t="n">
        <x:v>2.058</x:v>
      </x:c>
      <x:c r="N584" s="261" t="n">
        <x:f>IF(OR(L584&lt;$B$3,L584&gt;$D$3),"",IF(AND(J584=J583,N583&lt;&gt;""),MAX(M584,N583),M584))</x:f>
        <x:v>2.058</x:v>
      </x:c>
      <x:c r="O584" s="262" t="n">
        <x:f>IF(N584="","",M584/N584-1)</x:f>
        <x:v>0</x:v>
      </x:c>
    </x:row>
    <x:row r="585">
      <x:c r="J585" s="257" t="str">
        <x:v>001751.OF</x:v>
      </x:c>
      <x:c r="K585" s="258" t="str">
        <x:v>华商信用增强债券A</x:v>
      </x:c>
      <x:c r="L585" s="263" t="n">
        <x:v>46196</x:v>
      </x:c>
      <x:c r="M585" s="261" t="n">
        <x:v>2.051</x:v>
      </x:c>
      <x:c r="N585" s="261" t="n">
        <x:f>IF(OR(L585&lt;$B$3,L585&gt;$D$3),"",IF(AND(J585=J584,N584&lt;&gt;""),MAX(M585,N584),M585))</x:f>
        <x:v>2.058</x:v>
      </x:c>
      <x:c r="O585" s="262" t="n">
        <x:f>IF(N585="","",M585/N585-1)</x:f>
        <x:v>-0.00340136054421758</x:v>
      </x:c>
    </x:row>
    <x:row r="586">
      <x:c r="J586" s="257" t="str">
        <x:v>001751.OF</x:v>
      </x:c>
      <x:c r="K586" s="258" t="str">
        <x:v>华商信用增强债券A</x:v>
      </x:c>
      <x:c r="L586" s="263" t="n">
        <x:v>46197</x:v>
      </x:c>
      <x:c r="M586" s="261" t="n">
        <x:v>2.068</x:v>
      </x:c>
      <x:c r="N586" s="261" t="n">
        <x:f>IF(OR(L586&lt;$B$3,L586&gt;$D$3),"",IF(AND(J586=J585,N585&lt;&gt;""),MAX(M586,N585),M586))</x:f>
        <x:v>2.068</x:v>
      </x:c>
      <x:c r="O586" s="262" t="n">
        <x:f>IF(N586="","",M586/N586-1)</x:f>
        <x:v>0</x:v>
      </x:c>
    </x:row>
    <x:row r="587">
      <x:c r="J587" s="257" t="str">
        <x:v>001751.OF</x:v>
      </x:c>
      <x:c r="K587" s="258" t="str">
        <x:v>华商信用增强债券A</x:v>
      </x:c>
      <x:c r="L587" s="263" t="n">
        <x:v>46198</x:v>
      </x:c>
      <x:c r="M587" s="261" t="n">
        <x:v>2.079</x:v>
      </x:c>
      <x:c r="N587" s="261" t="n">
        <x:f>IF(OR(L587&lt;$B$3,L587&gt;$D$3),"",IF(AND(J587=J586,N586&lt;&gt;""),MAX(M587,N586),M587))</x:f>
        <x:v>2.079</x:v>
      </x:c>
      <x:c r="O587" s="262" t="n">
        <x:f>IF(N587="","",M587/N587-1)</x:f>
        <x:v>0</x:v>
      </x:c>
    </x:row>
    <x:row r="588">
      <x:c r="J588" s="257" t="str">
        <x:v>001751.OF</x:v>
      </x:c>
      <x:c r="K588" s="258" t="str">
        <x:v>华商信用增强债券A</x:v>
      </x:c>
      <x:c r="L588" s="263" t="n">
        <x:v>46199</x:v>
      </x:c>
      <x:c r="M588" s="261" t="n">
        <x:v>2.068</x:v>
      </x:c>
      <x:c r="N588" s="261" t="n">
        <x:f>IF(OR(L588&lt;$B$3,L588&gt;$D$3),"",IF(AND(J588=J587,N587&lt;&gt;""),MAX(M588,N587),M588))</x:f>
        <x:v>2.079</x:v>
      </x:c>
      <x:c r="O588" s="262" t="n">
        <x:f>IF(N588="","",M588/N588-1)</x:f>
        <x:v>-0.005291005291005346</x:v>
      </x:c>
    </x:row>
    <x:row r="589">
      <x:c r="J589" s="257" t="str">
        <x:v>001751.OF</x:v>
      </x:c>
      <x:c r="K589" s="258" t="str">
        <x:v>华商信用增强债券A</x:v>
      </x:c>
      <x:c r="L589" s="263" t="n">
        <x:v>46200</x:v>
      </x:c>
      <x:c r="M589" s="261" t="n">
        <x:v>2.068</x:v>
      </x:c>
      <x:c r="N589" s="261" t="n">
        <x:f>IF(OR(L589&lt;$B$3,L589&gt;$D$3),"",IF(AND(J589=J588,N588&lt;&gt;""),MAX(M589,N588),M589))</x:f>
        <x:v>2.079</x:v>
      </x:c>
      <x:c r="O589" s="262" t="n">
        <x:f>IF(N589="","",M589/N589-1)</x:f>
        <x:v>-0.005291005291005346</x:v>
      </x:c>
    </x:row>
    <x:row r="590">
      <x:c r="J590" s="257" t="str">
        <x:v>001751.OF</x:v>
      </x:c>
      <x:c r="K590" s="258" t="str">
        <x:v>华商信用增强债券A</x:v>
      </x:c>
      <x:c r="L590" s="263" t="n">
        <x:v>46201</x:v>
      </x:c>
      <x:c r="M590" s="261" t="n">
        <x:v>2.068</x:v>
      </x:c>
      <x:c r="N590" s="261" t="n">
        <x:f>IF(OR(L590&lt;$B$3,L590&gt;$D$3),"",IF(AND(J590=J589,N589&lt;&gt;""),MAX(M590,N589),M590))</x:f>
        <x:v>2.079</x:v>
      </x:c>
      <x:c r="O590" s="262" t="n">
        <x:f>IF(N590="","",M590/N590-1)</x:f>
        <x:v>-0.005291005291005346</x:v>
      </x:c>
    </x:row>
    <x:row r="591">
      <x:c r="J591" s="257" t="str">
        <x:v>001751.OF</x:v>
      </x:c>
      <x:c r="K591" s="258" t="str">
        <x:v>华商信用增强债券A</x:v>
      </x:c>
      <x:c r="L591" s="263" t="n">
        <x:v>46202</x:v>
      </x:c>
      <x:c r="M591" s="261" t="n">
        <x:v>2.078</x:v>
      </x:c>
      <x:c r="N591" s="261" t="n">
        <x:f>IF(OR(L591&lt;$B$3,L591&gt;$D$3),"",IF(AND(J591=J590,N590&lt;&gt;""),MAX(M591,N590),M591))</x:f>
        <x:v>2.079</x:v>
      </x:c>
      <x:c r="O591" s="262" t="n">
        <x:f>IF(N591="","",M591/N591-1)</x:f>
        <x:v>-0.0004810004810006374</x:v>
      </x:c>
    </x:row>
    <x:row r="592">
      <x:c r="J592" s="257" t="str">
        <x:v>001751.OF</x:v>
      </x:c>
      <x:c r="K592" s="258" t="str">
        <x:v>华商信用增强债券A</x:v>
      </x:c>
      <x:c r="L592" s="263" t="n">
        <x:v>46203</x:v>
      </x:c>
      <x:c r="M592" s="261" t="n">
        <x:v>2.089</x:v>
      </x:c>
      <x:c r="N592" s="261" t="n">
        <x:f>IF(OR(L592&lt;$B$3,L592&gt;$D$3),"",IF(AND(J592=J591,N591&lt;&gt;""),MAX(M592,N591),M592))</x:f>
        <x:v>2.089</x:v>
      </x:c>
      <x:c r="O592" s="262" t="n">
        <x:f>IF(N592="","",M592/N592-1)</x:f>
        <x:v>0</x:v>
      </x:c>
    </x:row>
    <x:row r="593">
      <x:c r="J593" s="257" t="str">
        <x:v>001751.OF</x:v>
      </x:c>
      <x:c r="K593" s="258" t="str">
        <x:v>华商信用增强债券A</x:v>
      </x:c>
      <x:c r="L593" s="263" t="n">
        <x:v>46204</x:v>
      </x:c>
      <x:c r="M593" s="261" t="n">
        <x:v>2.082</x:v>
      </x:c>
      <x:c r="N593" s="261" t="n">
        <x:f>IF(OR(L593&lt;$B$3,L593&gt;$D$3),"",IF(AND(J593=J592,N592&lt;&gt;""),MAX(M593,N592),M593))</x:f>
        <x:v>2.089</x:v>
      </x:c>
      <x:c r="O593" s="262" t="n">
        <x:f>IF(N593="","",M593/N593-1)</x:f>
        <x:v>-0.00335088559119201</x:v>
      </x:c>
    </x:row>
    <x:row r="594">
      <x:c r="J594" s="257" t="str">
        <x:v>001751.OF</x:v>
      </x:c>
      <x:c r="K594" s="258" t="str">
        <x:v>华商信用增强债券A</x:v>
      </x:c>
      <x:c r="L594" s="263" t="n">
        <x:v>46205</x:v>
      </x:c>
      <x:c r="M594" s="261" t="n">
        <x:v>2.063</x:v>
      </x:c>
      <x:c r="N594" s="261" t="n">
        <x:f>IF(OR(L594&lt;$B$3,L594&gt;$D$3),"",IF(AND(J594=J593,N593&lt;&gt;""),MAX(M594,N593),M594))</x:f>
        <x:v>2.089</x:v>
      </x:c>
      <x:c r="O594" s="262" t="n">
        <x:f>IF(N594="","",M594/N594-1)</x:f>
        <x:v>-0.012446146481570053</x:v>
      </x:c>
    </x:row>
    <x:row r="595">
      <x:c r="J595" s="257" t="str">
        <x:v>001751.OF</x:v>
      </x:c>
      <x:c r="K595" s="258" t="str">
        <x:v>华商信用增强债券A</x:v>
      </x:c>
      <x:c r="L595" s="263" t="n">
        <x:v>46206</x:v>
      </x:c>
      <x:c r="M595" s="261" t="n">
        <x:v>2.063</x:v>
      </x:c>
      <x:c r="N595" s="261" t="n">
        <x:f>IF(OR(L595&lt;$B$3,L595&gt;$D$3),"",IF(AND(J595=J594,N594&lt;&gt;""),MAX(M595,N594),M595))</x:f>
        <x:v>2.089</x:v>
      </x:c>
      <x:c r="O595" s="262" t="n">
        <x:f>IF(N595="","",M595/N595-1)</x:f>
        <x:v>-0.012446146481570053</x:v>
      </x:c>
    </x:row>
    <x:row r="596">
      <x:c r="J596" s="257" t="str">
        <x:v>001751.OF</x:v>
      </x:c>
      <x:c r="K596" s="258" t="str">
        <x:v>华商信用增强债券A</x:v>
      </x:c>
      <x:c r="L596" s="263" t="n">
        <x:v>46207</x:v>
      </x:c>
      <x:c r="M596" s="261" t="n">
        <x:v>2.063</x:v>
      </x:c>
      <x:c r="N596" s="261" t="n">
        <x:f>IF(OR(L596&lt;$B$3,L596&gt;$D$3),"",IF(AND(J596=J595,N595&lt;&gt;""),MAX(M596,N595),M596))</x:f>
        <x:v>2.089</x:v>
      </x:c>
      <x:c r="O596" s="262" t="n">
        <x:f>IF(N596="","",M596/N596-1)</x:f>
        <x:v>-0.012446146481570053</x:v>
      </x:c>
    </x:row>
    <x:row r="597">
      <x:c r="J597" s="257" t="str">
        <x:v>001751.OF</x:v>
      </x:c>
      <x:c r="K597" s="258" t="str">
        <x:v>华商信用增强债券A</x:v>
      </x:c>
      <x:c r="L597" s="263" t="n">
        <x:v>46208</x:v>
      </x:c>
      <x:c r="M597" s="261" t="n">
        <x:v>2.063</x:v>
      </x:c>
      <x:c r="N597" s="261" t="n">
        <x:f>IF(OR(L597&lt;$B$3,L597&gt;$D$3),"",IF(AND(J597=J596,N596&lt;&gt;""),MAX(M597,N596),M597))</x:f>
        <x:v>2.089</x:v>
      </x:c>
      <x:c r="O597" s="262" t="n">
        <x:f>IF(N597="","",M597/N597-1)</x:f>
        <x:v>-0.012446146481570053</x:v>
      </x:c>
    </x:row>
    <x:row r="598">
      <x:c r="J598" s="257" t="str">
        <x:v>001751.OF</x:v>
      </x:c>
      <x:c r="K598" s="258" t="str">
        <x:v>华商信用增强债券A</x:v>
      </x:c>
      <x:c r="L598" s="263" t="n">
        <x:v>46209</x:v>
      </x:c>
      <x:c r="M598" s="261" t="n">
        <x:v>2.071</x:v>
      </x:c>
      <x:c r="N598" s="261" t="n">
        <x:f>IF(OR(L598&lt;$B$3,L598&gt;$D$3),"",IF(AND(J598=J597,N597&lt;&gt;""),MAX(M598,N597),M598))</x:f>
        <x:v>2.089</x:v>
      </x:c>
      <x:c r="O598" s="262" t="n">
        <x:f>IF(N598="","",M598/N598-1)</x:f>
        <x:v>-0.008616562948779216</x:v>
      </x:c>
    </x:row>
    <x:row r="599">
      <x:c r="J599" s="257" t="str">
        <x:v>001751.OF</x:v>
      </x:c>
      <x:c r="K599" s="258" t="str">
        <x:v>华商信用增强债券A</x:v>
      </x:c>
      <x:c r="L599" s="263" t="n">
        <x:v>46210</x:v>
      </x:c>
      <x:c r="M599" s="261" t="n">
        <x:v>2.069</x:v>
      </x:c>
      <x:c r="N599" s="261" t="n">
        <x:f>IF(OR(L599&lt;$B$3,L599&gt;$D$3),"",IF(AND(J599=J598,N598&lt;&gt;""),MAX(M599,N598),M599))</x:f>
        <x:v>2.089</x:v>
      </x:c>
      <x:c r="O599" s="262" t="n">
        <x:f>IF(N599="","",M599/N599-1)</x:f>
        <x:v>-0.00957395883197698</x:v>
      </x:c>
    </x:row>
    <x:row r="600">
      <x:c r="J600" s="257" t="str">
        <x:v>001751.OF</x:v>
      </x:c>
      <x:c r="K600" s="258" t="str">
        <x:v>华商信用增强债券A</x:v>
      </x:c>
      <x:c r="L600" s="263" t="n">
        <x:v>46211</x:v>
      </x:c>
      <x:c r="M600" s="261" t="n">
        <x:v>2.074</x:v>
      </x:c>
      <x:c r="N600" s="261" t="n">
        <x:f>IF(OR(L600&lt;$B$3,L600&gt;$D$3),"",IF(AND(J600=J599,N599&lt;&gt;""),MAX(M600,N599),M600))</x:f>
        <x:v>2.089</x:v>
      </x:c>
      <x:c r="O600" s="262" t="n">
        <x:f>IF(N600="","",M600/N600-1)</x:f>
        <x:v>-0.007180469123982847</x:v>
      </x:c>
    </x:row>
    <x:row r="601">
      <x:c r="J601" s="257" t="str">
        <x:v>001751.OF</x:v>
      </x:c>
      <x:c r="K601" s="258" t="str">
        <x:v>华商信用增强债券A</x:v>
      </x:c>
      <x:c r="L601" s="263" t="n">
        <x:v>46212</x:v>
      </x:c>
      <x:c r="M601" s="261" t="n">
        <x:v>2.099</x:v>
      </x:c>
      <x:c r="N601" s="261" t="n">
        <x:f>IF(OR(L601&lt;$B$3,L601&gt;$D$3),"",IF(AND(J601=J600,N600&lt;&gt;""),MAX(M601,N600),M601))</x:f>
        <x:v>2.099</x:v>
      </x:c>
      <x:c r="O601" s="262" t="n">
        <x:f>IF(N601="","",M601/N601-1)</x:f>
        <x:v>0</x:v>
      </x:c>
    </x:row>
    <x:row r="602">
      <x:c r="J602" s="257" t="str">
        <x:v>001751.OF</x:v>
      </x:c>
      <x:c r="K602" s="258" t="str">
        <x:v>华商信用增强债券A</x:v>
      </x:c>
      <x:c r="L602" s="263" t="n">
        <x:v>46213</x:v>
      </x:c>
      <x:c r="M602" s="261" t="n">
        <x:v>2.085</x:v>
      </x:c>
      <x:c r="N602" s="261" t="n">
        <x:f>IF(OR(L602&lt;$B$3,L602&gt;$D$3),"",IF(AND(J602=J601,N601&lt;&gt;""),MAX(M602,N601),M602))</x:f>
        <x:v>2.099</x:v>
      </x:c>
      <x:c r="O602" s="262" t="n">
        <x:f>IF(N602="","",M602/N602-1)</x:f>
        <x:v>-0.006669842782277335</x:v>
      </x:c>
    </x:row>
    <x:row r="603">
      <x:c r="J603" s="257" t="str">
        <x:v>001751.OF</x:v>
      </x:c>
      <x:c r="K603" s="258" t="str">
        <x:v>华商信用增强债券A</x:v>
      </x:c>
      <x:c r="L603" s="263" t="n">
        <x:v>46214</x:v>
      </x:c>
      <x:c r="M603" s="261" t="n">
        <x:v>2.085</x:v>
      </x:c>
      <x:c r="N603" s="261" t="n">
        <x:f>IF(OR(L603&lt;$B$3,L603&gt;$D$3),"",IF(AND(J603=J602,N602&lt;&gt;""),MAX(M603,N602),M603))</x:f>
        <x:v>2.099</x:v>
      </x:c>
      <x:c r="O603" s="262" t="n">
        <x:f>IF(N603="","",M603/N603-1)</x:f>
        <x:v>-0.006669842782277335</x:v>
      </x:c>
    </x:row>
    <x:row r="604">
      <x:c r="J604" s="257" t="str">
        <x:v>001751.OF</x:v>
      </x:c>
      <x:c r="K604" s="258" t="str">
        <x:v>华商信用增强债券A</x:v>
      </x:c>
      <x:c r="L604" s="263" t="n">
        <x:v>46215</x:v>
      </x:c>
      <x:c r="M604" s="261" t="n">
        <x:v>2.085</x:v>
      </x:c>
      <x:c r="N604" s="261" t="n">
        <x:f>IF(OR(L604&lt;$B$3,L604&gt;$D$3),"",IF(AND(J604=J603,N603&lt;&gt;""),MAX(M604,N603),M604))</x:f>
        <x:v>2.099</x:v>
      </x:c>
      <x:c r="O604" s="262" t="n">
        <x:f>IF(N604="","",M604/N604-1)</x:f>
        <x:v>-0.006669842782277335</x:v>
      </x:c>
    </x:row>
    <x:row r="605">
      <x:c r="J605" s="257" t="str">
        <x:v>001751.OF</x:v>
      </x:c>
      <x:c r="K605" s="258" t="str">
        <x:v>华商信用增强债券A</x:v>
      </x:c>
      <x:c r="L605" s="263" t="n">
        <x:v>46216</x:v>
      </x:c>
      <x:c r="M605" s="261" t="n">
        <x:v>2.069</x:v>
      </x:c>
      <x:c r="N605" s="261" t="n">
        <x:f>IF(OR(L605&lt;$B$3,L605&gt;$D$3),"",IF(AND(J605=J604,N604&lt;&gt;""),MAX(M605,N604),M605))</x:f>
        <x:v>2.099</x:v>
      </x:c>
      <x:c r="O605" s="262" t="n">
        <x:f>IF(N605="","",M605/N605-1)</x:f>
        <x:v>-0.014292520247737084</x:v>
      </x:c>
    </x:row>
    <x:row r="606">
      <x:c r="J606" s="257" t="str">
        <x:v>001751.OF</x:v>
      </x:c>
      <x:c r="K606" s="258" t="str">
        <x:v>华商信用增强债券A</x:v>
      </x:c>
      <x:c r="L606" s="263" t="n">
        <x:v>46217</x:v>
      </x:c>
      <x:c r="M606" s="261" t="n">
        <x:v>2.077</x:v>
      </x:c>
      <x:c r="N606" s="261" t="n">
        <x:f>IF(OR(L606&lt;$B$3,L606&gt;$D$3),"",IF(AND(J606=J605,N605&lt;&gt;""),MAX(M606,N605),M606))</x:f>
        <x:v>2.099</x:v>
      </x:c>
      <x:c r="O606" s="262" t="n">
        <x:f>IF(N606="","",M606/N606-1)</x:f>
        <x:v>-0.01048118151500721</x:v>
      </x:c>
    </x:row>
    <x:row r="607">
      <x:c r="J607" s="257" t="str">
        <x:v>001751.OF</x:v>
      </x:c>
      <x:c r="K607" s="258" t="str">
        <x:v>华商信用增强债券A</x:v>
      </x:c>
      <x:c r="L607" s="263" t="n">
        <x:v>46218</x:v>
      </x:c>
      <x:c r="M607" s="261" t="n">
        <x:v>2.068</x:v>
      </x:c>
      <x:c r="N607" s="261" t="n">
        <x:f>IF(OR(L607&lt;$B$3,L607&gt;$D$3),"",IF(AND(J607=J606,N606&lt;&gt;""),MAX(M607,N606),M607))</x:f>
        <x:v>2.099</x:v>
      </x:c>
      <x:c r="O607" s="262" t="n">
        <x:f>IF(N607="","",M607/N607-1)</x:f>
        <x:v>-0.01476893758932829</x:v>
      </x:c>
    </x:row>
    <x:row r="608">
      <x:c r="J608" s="257" t="str">
        <x:v>001751.OF</x:v>
      </x:c>
      <x:c r="K608" s="258" t="str">
        <x:v>华商信用增强债券A</x:v>
      </x:c>
      <x:c r="L608" s="263" t="n">
        <x:v>46219</x:v>
      </x:c>
      <x:c r="M608" s="261" t="n">
        <x:v>2.06</x:v>
      </x:c>
      <x:c r="N608" s="261" t="n">
        <x:f>IF(OR(L608&lt;$B$3,L608&gt;$D$3),"",IF(AND(J608=J607,N607&lt;&gt;""),MAX(M608,N607),M608))</x:f>
        <x:v>2.099</x:v>
      </x:c>
      <x:c r="O608" s="262" t="n">
        <x:f>IF(N608="","",M608/N608-1)</x:f>
        <x:v>-0.018580276322058165</x:v>
      </x:c>
    </x:row>
    <x:row r="609">
      <x:c r="J609" s="257" t="str">
        <x:v>001751.OF</x:v>
      </x:c>
      <x:c r="K609" s="258" t="str">
        <x:v>华商信用增强债券A</x:v>
      </x:c>
      <x:c r="L609" s="263" t="n">
        <x:v>46220</x:v>
      </x:c>
      <x:c r="M609" s="261" t="n">
        <x:v>2.035</x:v>
      </x:c>
      <x:c r="N609" s="261" t="n">
        <x:f>IF(OR(L609&lt;$B$3,L609&gt;$D$3),"",IF(AND(J609=J608,N608&lt;&gt;""),MAX(M609,N608),M609))</x:f>
        <x:v>2.099</x:v>
      </x:c>
      <x:c r="O609" s="262" t="n">
        <x:f>IF(N609="","",M609/N609-1)</x:f>
        <x:v>-0.030490709861838994</x:v>
      </x:c>
    </x:row>
    <x:row r="610">
      <x:c r="J610" s="257" t="str">
        <x:v>001751.OF</x:v>
      </x:c>
      <x:c r="K610" s="258" t="str">
        <x:v>华商信用增强债券A</x:v>
      </x:c>
      <x:c r="L610" s="263" t="n">
        <x:v>46221</x:v>
      </x:c>
      <x:c r="M610" s="261" t="n">
        <x:v>2.035</x:v>
      </x:c>
      <x:c r="N610" s="261" t="n">
        <x:f>IF(OR(L610&lt;$B$3,L610&gt;$D$3),"",IF(AND(J610=J609,N609&lt;&gt;""),MAX(M610,N609),M610))</x:f>
        <x:v>2.099</x:v>
      </x:c>
      <x:c r="O610" s="262" t="n">
        <x:f>IF(N610="","",M610/N610-1)</x:f>
        <x:v>-0.030490709861838994</x:v>
      </x:c>
    </x:row>
    <x:row r="611">
      <x:c r="J611" s="257" t="str">
        <x:v>001751.OF</x:v>
      </x:c>
      <x:c r="K611" s="258" t="str">
        <x:v>华商信用增强债券A</x:v>
      </x:c>
      <x:c r="L611" s="263" t="n">
        <x:v>46222</x:v>
      </x:c>
      <x:c r="M611" s="261" t="n">
        <x:v>2.035</x:v>
      </x:c>
      <x:c r="N611" s="261" t="n">
        <x:f>IF(OR(L611&lt;$B$3,L611&gt;$D$3),"",IF(AND(J611=J610,N610&lt;&gt;""),MAX(M611,N610),M611))</x:f>
        <x:v>2.099</x:v>
      </x:c>
      <x:c r="O611" s="262" t="n">
        <x:f>IF(N611="","",M611/N611-1)</x:f>
        <x:v>-0.030490709861838994</x:v>
      </x:c>
    </x:row>
    <x:row r="612">
      <x:c r="J612" s="257" t="str">
        <x:v>001751.OF</x:v>
      </x:c>
      <x:c r="K612" s="258" t="str">
        <x:v>华商信用增强债券A</x:v>
      </x:c>
      <x:c r="L612" s="263" t="n">
        <x:v>46223</x:v>
      </x:c>
      <x:c r="M612" s="261" t="n">
        <x:v>2.035</x:v>
      </x:c>
      <x:c r="N612" s="261" t="n">
        <x:f>IF(OR(L612&lt;$B$3,L612&gt;$D$3),"",IF(AND(J612=J611,N611&lt;&gt;""),MAX(M612,N611),M612))</x:f>
        <x:v>2.099</x:v>
      </x:c>
      <x:c r="O612" s="262" t="n">
        <x:f>IF(N612="","",M612/N612-1)</x:f>
        <x:v>-0.030490709861838994</x:v>
      </x:c>
    </x:row>
    <x:row r="613">
      <x:c r="J613" s="257" t="str">
        <x:v>001751.OF</x:v>
      </x:c>
      <x:c r="K613" s="258" t="str">
        <x:v>华商信用增强债券A</x:v>
      </x:c>
      <x:c r="L613" s="263" t="n">
        <x:v>46224</x:v>
      </x:c>
      <x:c r="M613" s="261" t="n">
        <x:v>2.07</x:v>
      </x:c>
      <x:c r="N613" s="261" t="n">
        <x:f>IF(OR(L613&lt;$B$3,L613&gt;$D$3),"",IF(AND(J613=J612,N612&lt;&gt;""),MAX(M613,N612),M613))</x:f>
        <x:v>2.099</x:v>
      </x:c>
      <x:c r="O613" s="262" t="n">
        <x:f>IF(N613="","",M613/N613-1)</x:f>
        <x:v>-0.013816102906145988</x:v>
      </x:c>
    </x:row>
    <x:row r="614">
      <x:c r="J614" s="257" t="str">
        <x:v>001751.OF</x:v>
      </x:c>
      <x:c r="K614" s="258" t="str">
        <x:v>华商信用增强债券A</x:v>
      </x:c>
      <x:c r="L614" s="263" t="n">
        <x:v>46225</x:v>
      </x:c>
      <x:c r="M614" s="261" t="n">
        <x:v>2.067</x:v>
      </x:c>
      <x:c r="N614" s="261" t="n">
        <x:f>IF(OR(L614&lt;$B$3,L614&gt;$D$3),"",IF(AND(J614=J613,N613&lt;&gt;""),MAX(M614,N613),M614))</x:f>
        <x:v>2.099</x:v>
      </x:c>
      <x:c r="O614" s="262" t="n">
        <x:f>IF(N614="","",M614/N614-1)</x:f>
        <x:v>-0.015245354930919497</x:v>
      </x:c>
    </x:row>
    <x:row r="615">
      <x:c r="J615" s="257" t="str">
        <x:v>001751.OF</x:v>
      </x:c>
      <x:c r="K615" s="258" t="str">
        <x:v>华商信用增强债券A</x:v>
      </x:c>
      <x:c r="L615" s="263" t="n">
        <x:v>46226</x:v>
      </x:c>
      <x:c r="M615" s="261" t="n">
        <x:v>2.056</x:v>
      </x:c>
      <x:c r="N615" s="261" t="n">
        <x:f>IF(OR(L615&lt;$B$3,L615&gt;$D$3),"",IF(AND(J615=J614,N614&lt;&gt;""),MAX(M615,N614),M615))</x:f>
        <x:v>2.099</x:v>
      </x:c>
      <x:c r="O615" s="262" t="n">
        <x:f>IF(N615="","",M615/N615-1)</x:f>
        <x:v>-0.0204859456884231</x:v>
      </x:c>
    </x:row>
    <x:row r="616">
      <x:c r="J616" s="257" t="str">
        <x:v>001751.OF</x:v>
      </x:c>
      <x:c r="K616" s="258" t="str">
        <x:v>华商信用增强债券A</x:v>
      </x:c>
      <x:c r="L616" s="263" t="n">
        <x:v>46227</x:v>
      </x:c>
      <x:c r="M616" s="261" t="n">
        <x:v>2.045</x:v>
      </x:c>
      <x:c r="N616" s="261" t="n">
        <x:f>IF(OR(L616&lt;$B$3,L616&gt;$D$3),"",IF(AND(J616=J615,N615&lt;&gt;""),MAX(M616,N615),M616))</x:f>
        <x:v>2.099</x:v>
      </x:c>
      <x:c r="O616" s="262" t="n">
        <x:f>IF(N616="","",M616/N616-1)</x:f>
        <x:v>-0.025726536445926707</x:v>
      </x:c>
    </x:row>
    <x:row r="617">
      <x:c r="J617" s="257" t="str">
        <x:v>001751.OF</x:v>
      </x:c>
      <x:c r="K617" s="258" t="str">
        <x:v>华商信用增强债券A</x:v>
      </x:c>
      <x:c r="L617" s="263" t="n">
        <x:v>46228</x:v>
      </x:c>
      <x:c r="M617" s="261" t="n">
        <x:v>2.045</x:v>
      </x:c>
      <x:c r="N617" s="261" t="n">
        <x:f>IF(OR(L617&lt;$B$3,L617&gt;$D$3),"",IF(AND(J617=J616,N616&lt;&gt;""),MAX(M617,N616),M617))</x:f>
        <x:v>2.099</x:v>
      </x:c>
      <x:c r="O617" s="262" t="n">
        <x:f>IF(N617="","",M617/N617-1)</x:f>
        <x:v>-0.025726536445926707</x:v>
      </x:c>
    </x:row>
    <x:row r="618">
      <x:c r="J618" s="257" t="str">
        <x:v>001751.OF</x:v>
      </x:c>
      <x:c r="K618" s="258" t="str">
        <x:v>华商信用增强债券A</x:v>
      </x:c>
      <x:c r="L618" s="263" t="n">
        <x:v>46229</x:v>
      </x:c>
      <x:c r="M618" s="261" t="n">
        <x:v>2.045</x:v>
      </x:c>
      <x:c r="N618" s="261" t="n">
        <x:f>IF(OR(L618&lt;$B$3,L618&gt;$D$3),"",IF(AND(J618=J617,N617&lt;&gt;""),MAX(M618,N617),M618))</x:f>
        <x:v>2.099</x:v>
      </x:c>
      <x:c r="O618" s="262" t="n">
        <x:f>IF(N618="","",M618/N618-1)</x:f>
        <x:v>-0.025726536445926707</x:v>
      </x:c>
    </x:row>
    <x:row r="619">
      <x:c r="J619" s="257" t="str">
        <x:v>001751.OF</x:v>
      </x:c>
      <x:c r="K619" s="258" t="str">
        <x:v>华商信用增强债券A</x:v>
      </x:c>
      <x:c r="L619" s="263" t="n">
        <x:v>46230</x:v>
      </x:c>
      <x:c r="M619" s="261" t="n">
        <x:v>2.056</x:v>
      </x:c>
      <x:c r="N619" s="261" t="n">
        <x:f>IF(OR(L619&lt;$B$3,L619&gt;$D$3),"",IF(AND(J619=J618,N618&lt;&gt;""),MAX(M619,N618),M619))</x:f>
        <x:v>2.099</x:v>
      </x:c>
      <x:c r="O619" s="262" t="n">
        <x:f>IF(N619="","",M619/N619-1)</x:f>
        <x:v>-0.0204859456884231</x:v>
      </x:c>
    </x:row>
    <x:row r="620">
      <x:c r="J620" s="257" t="str">
        <x:v>001751.OF</x:v>
      </x:c>
      <x:c r="K620" s="258" t="str">
        <x:v>华商信用增强债券A</x:v>
      </x:c>
      <x:c r="L620" s="263" t="n">
        <x:v>46231</x:v>
      </x:c>
      <x:c r="M620" s="261" t="n">
        <x:v>2.028</x:v>
      </x:c>
      <x:c r="N620" s="261" t="n">
        <x:f>IF(OR(L620&lt;$B$3,L620&gt;$D$3),"",IF(AND(J620=J619,N619&lt;&gt;""),MAX(M620,N619),M620))</x:f>
        <x:v>2.099</x:v>
      </x:c>
      <x:c r="O620" s="262" t="n">
        <x:f>IF(N620="","",M620/N620-1)</x:f>
        <x:v>-0.03382563125297766</x:v>
      </x:c>
    </x:row>
    <x:row r="621">
      <x:c r="J621" s="257" t="str">
        <x:v>001751.OF</x:v>
      </x:c>
      <x:c r="K621" s="258" t="str">
        <x:v>华商信用增强债券A</x:v>
      </x:c>
      <x:c r="L621" s="263" t="n">
        <x:v>46232</x:v>
      </x:c>
      <x:c r="M621" s="261" t="n">
        <x:v>2.024</x:v>
      </x:c>
      <x:c r="N621" s="261" t="n">
        <x:f>IF(OR(L621&lt;$B$3,L621&gt;$D$3),"",IF(AND(J621=J620,N620&lt;&gt;""),MAX(M621,N620),M621))</x:f>
        <x:v>2.099</x:v>
      </x:c>
      <x:c r="O621" s="262" t="n">
        <x:f>IF(N621="","",M621/N621-1)</x:f>
        <x:v>-0.0357313006193426</x:v>
      </x:c>
    </x:row>
    <x:row r="622">
      <x:c r="J622" s="257" t="str">
        <x:v>001751.OF</x:v>
      </x:c>
      <x:c r="K622" s="258" t="str">
        <x:v>华商信用增强债券A</x:v>
      </x:c>
      <x:c r="L622" s="263" t="n">
        <x:v>46233</x:v>
      </x:c>
      <x:c r="M622" s="261" t="n">
        <x:v>1.995</x:v>
      </x:c>
      <x:c r="N622" s="261" t="n">
        <x:f>IF(OR(L622&lt;$B$3,L622&gt;$D$3),"",IF(AND(J622=J621,N621&lt;&gt;""),MAX(M622,N621),M622))</x:f>
        <x:v>2.099</x:v>
      </x:c>
      <x:c r="O622" s="262" t="n">
        <x:f>IF(N622="","",M622/N622-1)</x:f>
        <x:v>-0.049547403525488365</x:v>
      </x:c>
    </x:row>
    <x:row r="623">
      <x:c r="J623" s="257" t="str">
        <x:v>001751.OF</x:v>
      </x:c>
      <x:c r="K623" s="258" t="str">
        <x:v>华商信用增强债券A</x:v>
      </x:c>
      <x:c r="L623" s="263" t="n">
        <x:v>46234</x:v>
      </x:c>
      <x:c r="M623" s="261" t="n">
        <x:v>2.012</x:v>
      </x:c>
      <x:c r="N623" s="261" t="n">
        <x:f>IF(OR(L623&lt;$B$3,L623&gt;$D$3),"",IF(AND(J623=J622,N622&lt;&gt;""),MAX(M623,N622),M623))</x:f>
        <x:v>2.099</x:v>
      </x:c>
      <x:c r="O623" s="262" t="n">
        <x:f>IF(N623="","",M623/N623-1)</x:f>
        <x:v>-0.04144830871843741</x:v>
      </x:c>
    </x:row>
    <x:row r="624">
      <x:c r="J624" s="257" t="str">
        <x:v>001751.OF</x:v>
      </x:c>
      <x:c r="K624" s="258" t="str">
        <x:v>华商信用增强债券A</x:v>
      </x:c>
      <x:c r="L624" s="263" t="n">
        <x:v>46235</x:v>
      </x:c>
      <x:c r="M624" s="261" t="n">
        <x:v>2.012</x:v>
      </x:c>
      <x:c r="N624" s="261" t="n">
        <x:f>IF(OR(L624&lt;$B$3,L624&gt;$D$3),"",IF(AND(J624=J623,N623&lt;&gt;""),MAX(M624,N623),M624))</x:f>
        <x:v>2.099</x:v>
      </x:c>
      <x:c r="O624" s="262" t="n">
        <x:f>IF(N624="","",M624/N624-1)</x:f>
        <x:v>-0.04144830871843741</x:v>
      </x:c>
    </x:row>
    <x:row r="625">
      <x:c r="J625" s="257" t="str">
        <x:v>001751.OF</x:v>
      </x:c>
      <x:c r="K625" s="258" t="str">
        <x:v>华商信用增强债券A</x:v>
      </x:c>
      <x:c r="L625" s="263" t="n">
        <x:v>46236</x:v>
      </x:c>
      <x:c r="M625" s="261" t="n">
        <x:v>2.012</x:v>
      </x:c>
      <x:c r="N625" s="261" t="n">
        <x:f>IF(OR(L625&lt;$B$3,L625&gt;$D$3),"",IF(AND(J625=J624,N624&lt;&gt;""),MAX(M625,N624),M625))</x:f>
        <x:v>2.099</x:v>
      </x:c>
      <x:c r="O625" s="262" t="n">
        <x:f>IF(N625="","",M625/N625-1)</x:f>
        <x:v>-0.04144830871843741</x:v>
      </x:c>
    </x:row>
    <x:row r="626">
      <x:c r="J626" s="257" t="str">
        <x:v>001751.OF</x:v>
      </x:c>
      <x:c r="K626" s="258" t="str">
        <x:v>华商信用增强债券A</x:v>
      </x:c>
      <x:c r="L626" s="263" t="n">
        <x:v>46237</x:v>
      </x:c>
      <x:c r="M626" s="261" t="n">
        <x:v>1.989</x:v>
      </x:c>
      <x:c r="N626" s="261" t="n">
        <x:f>IF(OR(L626&lt;$B$3,L626&gt;$D$3),"",IF(AND(J626=J625,N625&lt;&gt;""),MAX(M626,N625),M626))</x:f>
        <x:v>2.099</x:v>
      </x:c>
      <x:c r="O626" s="262" t="n">
        <x:f>IF(N626="","",M626/N626-1)</x:f>
        <x:v>-0.052405907575035826</x:v>
      </x:c>
    </x:row>
    <x:row r="627">
      <x:c r="J627" s="257" t="str">
        <x:v>001751.OF</x:v>
      </x:c>
      <x:c r="K627" s="258" t="str">
        <x:v>华商信用增强债券A</x:v>
      </x:c>
      <x:c r="L627" s="263" t="n">
        <x:v>46238</x:v>
      </x:c>
      <x:c r="M627" s="261" t="n">
        <x:v>2.02</x:v>
      </x:c>
      <x:c r="N627" s="261" t="n">
        <x:f>IF(OR(L627&lt;$B$3,L627&gt;$D$3),"",IF(AND(J627=J626,N626&lt;&gt;""),MAX(M627,N626),M627))</x:f>
        <x:v>2.099</x:v>
      </x:c>
      <x:c r="O627" s="262" t="n">
        <x:f>IF(N627="","",M627/N627-1)</x:f>
        <x:v>-0.037636969985707536</x:v>
      </x:c>
    </x:row>
    <x:row r="628">
      <x:c r="J628" s="257" t="str">
        <x:v>001751.OF</x:v>
      </x:c>
      <x:c r="K628" s="258" t="str">
        <x:v>华商信用增强债券A</x:v>
      </x:c>
      <x:c r="L628" s="263" t="n">
        <x:v>46239</x:v>
      </x:c>
      <x:c r="M628" s="261" t="n">
        <x:v>2.046</x:v>
      </x:c>
      <x:c r="N628" s="261" t="n">
        <x:f>IF(OR(L628&lt;$B$3,L628&gt;$D$3),"",IF(AND(J628=J627,N627&lt;&gt;""),MAX(M628,N627),M628))</x:f>
        <x:v>2.099</x:v>
      </x:c>
      <x:c r="O628" s="262" t="n">
        <x:f>IF(N628="","",M628/N628-1)</x:f>
        <x:v>-0.02525011910433561</x:v>
      </x:c>
    </x:row>
    <x:row r="629">
      <x:c r="J629" s="257" t="str">
        <x:v>001751.OF</x:v>
      </x:c>
      <x:c r="K629" s="258" t="str">
        <x:v>华商信用增强债券A</x:v>
      </x:c>
      <x:c r="L629" s="263" t="n">
        <x:v>46240</x:v>
      </x:c>
      <x:c r="M629" s="261" t="n">
        <x:v>2.054</x:v>
      </x:c>
      <x:c r="N629" s="261" t="n">
        <x:f>IF(OR(L629&lt;$B$3,L629&gt;$D$3),"",IF(AND(J629=J628,N628&lt;&gt;""),MAX(M629,N628),M629))</x:f>
        <x:v>2.099</x:v>
      </x:c>
      <x:c r="O629" s="262" t="n">
        <x:f>IF(N629="","",M629/N629-1)</x:f>
        <x:v>-0.021438780371605737</x:v>
      </x:c>
    </x:row>
    <x:row r="630">
      <x:c r="J630" s="257" t="str">
        <x:v>001751.OF</x:v>
      </x:c>
      <x:c r="K630" s="258" t="str">
        <x:v>华商信用增强债券A</x:v>
      </x:c>
      <x:c r="L630" s="263" t="n">
        <x:v>46241</x:v>
      </x:c>
      <x:c r="M630" s="261" t="n">
        <x:v>2.071</x:v>
      </x:c>
      <x:c r="N630" s="261" t="n">
        <x:f>IF(OR(L630&lt;$B$3,L630&gt;$D$3),"",IF(AND(J630=J629,N629&lt;&gt;""),MAX(M630,N629),M630))</x:f>
        <x:v>2.099</x:v>
      </x:c>
      <x:c r="O630" s="262" t="n">
        <x:f>IF(N630="","",M630/N630-1)</x:f>
        <x:v>-0.01333968556455456</x:v>
      </x:c>
    </x:row>
    <x:row r="631">
      <x:c r="J631" s="257" t="str">
        <x:v>001751.OF</x:v>
      </x:c>
      <x:c r="K631" s="258" t="str">
        <x:v>华商信用增强债券A</x:v>
      </x:c>
      <x:c r="L631" s="263" t="n">
        <x:v>46242</x:v>
      </x:c>
      <x:c r="M631" s="261" t="n">
        <x:v>2.071</x:v>
      </x:c>
      <x:c r="N631" s="261" t="n">
        <x:f>IF(OR(L631&lt;$B$3,L631&gt;$D$3),"",IF(AND(J631=J630,N630&lt;&gt;""),MAX(M631,N630),M631))</x:f>
        <x:v>2.099</x:v>
      </x:c>
      <x:c r="O631" s="262" t="n">
        <x:f>IF(N631="","",M631/N631-1)</x:f>
        <x:v>-0.01333968556455456</x:v>
      </x:c>
    </x:row>
    <x:row r="632">
      <x:c r="J632" s="257" t="str">
        <x:v>001751.OF</x:v>
      </x:c>
      <x:c r="K632" s="258" t="str">
        <x:v>华商信用增强债券A</x:v>
      </x:c>
      <x:c r="L632" s="263" t="n">
        <x:v>46243</x:v>
      </x:c>
      <x:c r="M632" s="261" t="n">
        <x:v>2.071</x:v>
      </x:c>
      <x:c r="N632" s="261" t="n">
        <x:f>IF(OR(L632&lt;$B$3,L632&gt;$D$3),"",IF(AND(J632=J631,N631&lt;&gt;""),MAX(M632,N631),M632))</x:f>
        <x:v>2.099</x:v>
      </x:c>
      <x:c r="O632" s="262" t="n">
        <x:f>IF(N632="","",M632/N632-1)</x:f>
        <x:v>-0.01333968556455456</x:v>
      </x:c>
    </x:row>
    <x:row r="633">
      <x:c r="J633" s="257" t="str">
        <x:v>001751.OF</x:v>
      </x:c>
      <x:c r="K633" s="258" t="str">
        <x:v>华商信用增强债券A</x:v>
      </x:c>
      <x:c r="L633" s="263" t="n">
        <x:v>46244</x:v>
      </x:c>
      <x:c r="M633" s="261" t="n">
        <x:v>2.064</x:v>
      </x:c>
      <x:c r="N633" s="261" t="n">
        <x:f>IF(OR(L633&lt;$B$3,L633&gt;$D$3),"",IF(AND(J633=J632,N632&lt;&gt;""),MAX(M633,N632),M633))</x:f>
        <x:v>2.099</x:v>
      </x:c>
      <x:c r="O633" s="262" t="n">
        <x:f>IF(N633="","",M633/N633-1)</x:f>
        <x:v>-0.016674606955693227</x:v>
      </x:c>
    </x:row>
    <x:row r="634">
      <x:c r="J634" s="257" t="str">
        <x:v>014846.OF</x:v>
      </x:c>
      <x:c r="K634" s="258" t="str">
        <x:v>博时恒乐债券A</x:v>
      </x:c>
      <x:c r="L634" s="263" t="n">
        <x:v>46191</x:v>
      </x:c>
      <x:c r="M634" s="261" t="n">
        <x:v>1.265</x:v>
      </x:c>
      <x:c r="N634" s="261" t="n">
        <x:f>IF(OR(L634&lt;$B$3,L634&gt;$D$3),"",IF(AND(J634=J633,N633&lt;&gt;""),MAX(M634,N633),M634))</x:f>
        <x:v>1.265</x:v>
      </x:c>
      <x:c r="O634" s="262" t="n">
        <x:f>IF(N634="","",M634/N634-1)</x:f>
        <x:v>0</x:v>
      </x:c>
    </x:row>
    <x:row r="635">
      <x:c r="J635" s="257" t="str">
        <x:v>014846.OF</x:v>
      </x:c>
      <x:c r="K635" s="258" t="str">
        <x:v>博时恒乐债券A</x:v>
      </x:c>
      <x:c r="L635" s="263" t="n">
        <x:v>46192</x:v>
      </x:c>
      <x:c r="M635" s="261" t="n">
        <x:v>1.265</x:v>
      </x:c>
      <x:c r="N635" s="261" t="n">
        <x:f>IF(OR(L635&lt;$B$3,L635&gt;$D$3),"",IF(AND(J635=J634,N634&lt;&gt;""),MAX(M635,N634),M635))</x:f>
        <x:v>1.265</x:v>
      </x:c>
      <x:c r="O635" s="262" t="n">
        <x:f>IF(N635="","",M635/N635-1)</x:f>
        <x:v>0</x:v>
      </x:c>
    </x:row>
    <x:row r="636">
      <x:c r="J636" s="257" t="str">
        <x:v>014846.OF</x:v>
      </x:c>
      <x:c r="K636" s="258" t="str">
        <x:v>博时恒乐债券A</x:v>
      </x:c>
      <x:c r="L636" s="263" t="n">
        <x:v>46193</x:v>
      </x:c>
      <x:c r="M636" s="261" t="n">
        <x:v>1.265</x:v>
      </x:c>
      <x:c r="N636" s="261" t="n">
        <x:f>IF(OR(L636&lt;$B$3,L636&gt;$D$3),"",IF(AND(J636=J635,N635&lt;&gt;""),MAX(M636,N635),M636))</x:f>
        <x:v>1.265</x:v>
      </x:c>
      <x:c r="O636" s="262" t="n">
        <x:f>IF(N636="","",M636/N636-1)</x:f>
        <x:v>0</x:v>
      </x:c>
    </x:row>
    <x:row r="637">
      <x:c r="J637" s="257" t="str">
        <x:v>014846.OF</x:v>
      </x:c>
      <x:c r="K637" s="258" t="str">
        <x:v>博时恒乐债券A</x:v>
      </x:c>
      <x:c r="L637" s="263" t="n">
        <x:v>46194</x:v>
      </x:c>
      <x:c r="M637" s="261" t="n">
        <x:v>1.265</x:v>
      </x:c>
      <x:c r="N637" s="261" t="n">
        <x:f>IF(OR(L637&lt;$B$3,L637&gt;$D$3),"",IF(AND(J637=J636,N636&lt;&gt;""),MAX(M637,N636),M637))</x:f>
        <x:v>1.265</x:v>
      </x:c>
      <x:c r="O637" s="262" t="n">
        <x:f>IF(N637="","",M637/N637-1)</x:f>
        <x:v>0</x:v>
      </x:c>
    </x:row>
    <x:row r="638">
      <x:c r="J638" s="257" t="str">
        <x:v>014846.OF</x:v>
      </x:c>
      <x:c r="K638" s="258" t="str">
        <x:v>博时恒乐债券A</x:v>
      </x:c>
      <x:c r="L638" s="263" t="n">
        <x:v>46195</x:v>
      </x:c>
      <x:c r="M638" s="261" t="n">
        <x:v>1.2666</x:v>
      </x:c>
      <x:c r="N638" s="261" t="n">
        <x:f>IF(OR(L638&lt;$B$3,L638&gt;$D$3),"",IF(AND(J638=J637,N637&lt;&gt;""),MAX(M638,N637),M638))</x:f>
        <x:v>1.2666</x:v>
      </x:c>
      <x:c r="O638" s="262" t="n">
        <x:f>IF(N638="","",M638/N638-1)</x:f>
        <x:v>0</x:v>
      </x:c>
    </x:row>
    <x:row r="639">
      <x:c r="J639" s="257" t="str">
        <x:v>014846.OF</x:v>
      </x:c>
      <x:c r="K639" s="258" t="str">
        <x:v>博时恒乐债券A</x:v>
      </x:c>
      <x:c r="L639" s="263" t="n">
        <x:v>46196</x:v>
      </x:c>
      <x:c r="M639" s="261" t="n">
        <x:v>1.258</x:v>
      </x:c>
      <x:c r="N639" s="261" t="n">
        <x:f>IF(OR(L639&lt;$B$3,L639&gt;$D$3),"",IF(AND(J639=J638,N638&lt;&gt;""),MAX(M639,N638),M639))</x:f>
        <x:v>1.2666</x:v>
      </x:c>
      <x:c r="O639" s="262" t="n">
        <x:f>IF(N639="","",M639/N639-1)</x:f>
        <x:v>-0.006789831043739092</x:v>
      </x:c>
    </x:row>
    <x:row r="640">
      <x:c r="J640" s="257" t="str">
        <x:v>014846.OF</x:v>
      </x:c>
      <x:c r="K640" s="258" t="str">
        <x:v>博时恒乐债券A</x:v>
      </x:c>
      <x:c r="L640" s="263" t="n">
        <x:v>46197</x:v>
      </x:c>
      <x:c r="M640" s="261" t="n">
        <x:v>1.265</x:v>
      </x:c>
      <x:c r="N640" s="261" t="n">
        <x:f>IF(OR(L640&lt;$B$3,L640&gt;$D$3),"",IF(AND(J640=J639,N639&lt;&gt;""),MAX(M640,N639),M640))</x:f>
        <x:v>1.2666</x:v>
      </x:c>
      <x:c r="O640" s="262" t="n">
        <x:f>IF(N640="","",M640/N640-1)</x:f>
        <x:v>-0.001263224380230521</x:v>
      </x:c>
    </x:row>
    <x:row r="641">
      <x:c r="J641" s="257" t="str">
        <x:v>014846.OF</x:v>
      </x:c>
      <x:c r="K641" s="258" t="str">
        <x:v>博时恒乐债券A</x:v>
      </x:c>
      <x:c r="L641" s="263" t="n">
        <x:v>46198</x:v>
      </x:c>
      <x:c r="M641" s="261" t="n">
        <x:v>1.2739</x:v>
      </x:c>
      <x:c r="N641" s="261" t="n">
        <x:f>IF(OR(L641&lt;$B$3,L641&gt;$D$3),"",IF(AND(J641=J640,N640&lt;&gt;""),MAX(M641,N640),M641))</x:f>
        <x:v>1.2739</x:v>
      </x:c>
      <x:c r="O641" s="262" t="n">
        <x:f>IF(N641="","",M641/N641-1)</x:f>
        <x:v>0</x:v>
      </x:c>
    </x:row>
    <x:row r="642">
      <x:c r="J642" s="257" t="str">
        <x:v>014846.OF</x:v>
      </x:c>
      <x:c r="K642" s="258" t="str">
        <x:v>博时恒乐债券A</x:v>
      </x:c>
      <x:c r="L642" s="263" t="n">
        <x:v>46199</x:v>
      </x:c>
      <x:c r="M642" s="261" t="n">
        <x:v>1.2691</x:v>
      </x:c>
      <x:c r="N642" s="261" t="n">
        <x:f>IF(OR(L642&lt;$B$3,L642&gt;$D$3),"",IF(AND(J642=J641,N641&lt;&gt;""),MAX(M642,N641),M642))</x:f>
        <x:v>1.2739</x:v>
      </x:c>
      <x:c r="O642" s="262" t="n">
        <x:f>IF(N642="","",M642/N642-1)</x:f>
        <x:v>-0.0037679566684983845</x:v>
      </x:c>
    </x:row>
    <x:row r="643">
      <x:c r="J643" s="257" t="str">
        <x:v>014846.OF</x:v>
      </x:c>
      <x:c r="K643" s="258" t="str">
        <x:v>博时恒乐债券A</x:v>
      </x:c>
      <x:c r="L643" s="263" t="n">
        <x:v>46200</x:v>
      </x:c>
      <x:c r="M643" s="261" t="n">
        <x:v>1.2691</x:v>
      </x:c>
      <x:c r="N643" s="261" t="n">
        <x:f>IF(OR(L643&lt;$B$3,L643&gt;$D$3),"",IF(AND(J643=J642,N642&lt;&gt;""),MAX(M643,N642),M643))</x:f>
        <x:v>1.2739</x:v>
      </x:c>
      <x:c r="O643" s="262" t="n">
        <x:f>IF(N643="","",M643/N643-1)</x:f>
        <x:v>-0.0037679566684983845</x:v>
      </x:c>
    </x:row>
    <x:row r="644">
      <x:c r="J644" s="257" t="str">
        <x:v>014846.OF</x:v>
      </x:c>
      <x:c r="K644" s="258" t="str">
        <x:v>博时恒乐债券A</x:v>
      </x:c>
      <x:c r="L644" s="263" t="n">
        <x:v>46201</x:v>
      </x:c>
      <x:c r="M644" s="261" t="n">
        <x:v>1.2691</x:v>
      </x:c>
      <x:c r="N644" s="261" t="n">
        <x:f>IF(OR(L644&lt;$B$3,L644&gt;$D$3),"",IF(AND(J644=J643,N643&lt;&gt;""),MAX(M644,N643),M644))</x:f>
        <x:v>1.2739</x:v>
      </x:c>
      <x:c r="O644" s="262" t="n">
        <x:f>IF(N644="","",M644/N644-1)</x:f>
        <x:v>-0.0037679566684983845</x:v>
      </x:c>
    </x:row>
    <x:row r="645">
      <x:c r="J645" s="257" t="str">
        <x:v>014846.OF</x:v>
      </x:c>
      <x:c r="K645" s="258" t="str">
        <x:v>博时恒乐债券A</x:v>
      </x:c>
      <x:c r="L645" s="263" t="n">
        <x:v>46202</x:v>
      </x:c>
      <x:c r="M645" s="261" t="n">
        <x:v>1.2776</x:v>
      </x:c>
      <x:c r="N645" s="261" t="n">
        <x:f>IF(OR(L645&lt;$B$3,L645&gt;$D$3),"",IF(AND(J645=J644,N644&lt;&gt;""),MAX(M645,N644),M645))</x:f>
        <x:v>1.2776</x:v>
      </x:c>
      <x:c r="O645" s="262" t="n">
        <x:f>IF(N645="","",M645/N645-1)</x:f>
        <x:v>0</x:v>
      </x:c>
    </x:row>
    <x:row r="646">
      <x:c r="J646" s="257" t="str">
        <x:v>014846.OF</x:v>
      </x:c>
      <x:c r="K646" s="258" t="str">
        <x:v>博时恒乐债券A</x:v>
      </x:c>
      <x:c r="L646" s="263" t="n">
        <x:v>46203</x:v>
      </x:c>
      <x:c r="M646" s="261" t="n">
        <x:v>1.2838</x:v>
      </x:c>
      <x:c r="N646" s="261" t="n">
        <x:f>IF(OR(L646&lt;$B$3,L646&gt;$D$3),"",IF(AND(J646=J645,N645&lt;&gt;""),MAX(M646,N645),M646))</x:f>
        <x:v>1.2838</x:v>
      </x:c>
      <x:c r="O646" s="262" t="n">
        <x:f>IF(N646="","",M646/N646-1)</x:f>
        <x:v>0</x:v>
      </x:c>
    </x:row>
    <x:row r="647">
      <x:c r="J647" s="257" t="str">
        <x:v>014846.OF</x:v>
      </x:c>
      <x:c r="K647" s="258" t="str">
        <x:v>博时恒乐债券A</x:v>
      </x:c>
      <x:c r="L647" s="263" t="n">
        <x:v>46204</x:v>
      </x:c>
      <x:c r="M647" s="261" t="n">
        <x:v>1.2784</x:v>
      </x:c>
      <x:c r="N647" s="261" t="n">
        <x:f>IF(OR(L647&lt;$B$3,L647&gt;$D$3),"",IF(AND(J647=J646,N646&lt;&gt;""),MAX(M647,N646),M647))</x:f>
        <x:v>1.2838</x:v>
      </x:c>
      <x:c r="O647" s="262" t="n">
        <x:f>IF(N647="","",M647/N647-1)</x:f>
        <x:v>-0.004206262657734938</x:v>
      </x:c>
    </x:row>
    <x:row r="648">
      <x:c r="J648" s="257" t="str">
        <x:v>014846.OF</x:v>
      </x:c>
      <x:c r="K648" s="258" t="str">
        <x:v>博时恒乐债券A</x:v>
      </x:c>
      <x:c r="L648" s="263" t="n">
        <x:v>46205</x:v>
      </x:c>
      <x:c r="M648" s="261" t="n">
        <x:v>1.2651</x:v>
      </x:c>
      <x:c r="N648" s="261" t="n">
        <x:f>IF(OR(L648&lt;$B$3,L648&gt;$D$3),"",IF(AND(J648=J647,N647&lt;&gt;""),MAX(M648,N647),M648))</x:f>
        <x:v>1.2838</x:v>
      </x:c>
      <x:c r="O648" s="262" t="n">
        <x:f>IF(N648="","",M648/N648-1)</x:f>
        <x:v>-0.01456613179623012</x:v>
      </x:c>
    </x:row>
    <x:row r="649">
      <x:c r="J649" s="257" t="str">
        <x:v>014846.OF</x:v>
      </x:c>
      <x:c r="K649" s="258" t="str">
        <x:v>博时恒乐债券A</x:v>
      </x:c>
      <x:c r="L649" s="263" t="n">
        <x:v>46206</x:v>
      </x:c>
      <x:c r="M649" s="261" t="n">
        <x:v>1.2631</x:v>
      </x:c>
      <x:c r="N649" s="261" t="n">
        <x:f>IF(OR(L649&lt;$B$3,L649&gt;$D$3),"",IF(AND(J649=J648,N648&lt;&gt;""),MAX(M649,N648),M649))</x:f>
        <x:v>1.2838</x:v>
      </x:c>
      <x:c r="O649" s="262" t="n">
        <x:f>IF(N649="","",M649/N649-1)</x:f>
        <x:v>-0.01612400685465043</x:v>
      </x:c>
    </x:row>
    <x:row r="650">
      <x:c r="J650" s="257" t="str">
        <x:v>014846.OF</x:v>
      </x:c>
      <x:c r="K650" s="258" t="str">
        <x:v>博时恒乐债券A</x:v>
      </x:c>
      <x:c r="L650" s="263" t="n">
        <x:v>46207</x:v>
      </x:c>
      <x:c r="M650" s="261" t="n">
        <x:v>1.2631</x:v>
      </x:c>
      <x:c r="N650" s="261" t="n">
        <x:f>IF(OR(L650&lt;$B$3,L650&gt;$D$3),"",IF(AND(J650=J649,N649&lt;&gt;""),MAX(M650,N649),M650))</x:f>
        <x:v>1.2838</x:v>
      </x:c>
      <x:c r="O650" s="262" t="n">
        <x:f>IF(N650="","",M650/N650-1)</x:f>
        <x:v>-0.01612400685465043</x:v>
      </x:c>
    </x:row>
    <x:row r="651">
      <x:c r="J651" s="257" t="str">
        <x:v>014846.OF</x:v>
      </x:c>
      <x:c r="K651" s="258" t="str">
        <x:v>博时恒乐债券A</x:v>
      </x:c>
      <x:c r="L651" s="263" t="n">
        <x:v>46208</x:v>
      </x:c>
      <x:c r="M651" s="261" t="n">
        <x:v>1.2631</x:v>
      </x:c>
      <x:c r="N651" s="261" t="n">
        <x:f>IF(OR(L651&lt;$B$3,L651&gt;$D$3),"",IF(AND(J651=J650,N650&lt;&gt;""),MAX(M651,N650),M651))</x:f>
        <x:v>1.2838</x:v>
      </x:c>
      <x:c r="O651" s="262" t="n">
        <x:f>IF(N651="","",M651/N651-1)</x:f>
        <x:v>-0.01612400685465043</x:v>
      </x:c>
    </x:row>
    <x:row r="652">
      <x:c r="J652" s="257" t="str">
        <x:v>014846.OF</x:v>
      </x:c>
      <x:c r="K652" s="258" t="str">
        <x:v>博时恒乐债券A</x:v>
      </x:c>
      <x:c r="L652" s="263" t="n">
        <x:v>46209</x:v>
      </x:c>
      <x:c r="M652" s="261" t="n">
        <x:v>1.2612</x:v>
      </x:c>
      <x:c r="N652" s="261" t="n">
        <x:f>IF(OR(L652&lt;$B$3,L652&gt;$D$3),"",IF(AND(J652=J651,N651&lt;&gt;""),MAX(M652,N651),M652))</x:f>
        <x:v>1.2838</x:v>
      </x:c>
      <x:c r="O652" s="262" t="n">
        <x:f>IF(N652="","",M652/N652-1)</x:f>
        <x:v>-0.01760398816014952</x:v>
      </x:c>
    </x:row>
    <x:row r="653">
      <x:c r="J653" s="257" t="str">
        <x:v>014846.OF</x:v>
      </x:c>
      <x:c r="K653" s="258" t="str">
        <x:v>博时恒乐债券A</x:v>
      </x:c>
      <x:c r="L653" s="263" t="n">
        <x:v>46210</x:v>
      </x:c>
      <x:c r="M653" s="261" t="n">
        <x:v>1.2611</x:v>
      </x:c>
      <x:c r="N653" s="261" t="n">
        <x:f>IF(OR(L653&lt;$B$3,L653&gt;$D$3),"",IF(AND(J653=J652,N652&lt;&gt;""),MAX(M653,N652),M653))</x:f>
        <x:v>1.2838</x:v>
      </x:c>
      <x:c r="O653" s="262" t="n">
        <x:f>IF(N653="","",M653/N653-1)</x:f>
        <x:v>-0.01768188191307052</x:v>
      </x:c>
    </x:row>
    <x:row r="654">
      <x:c r="J654" s="257" t="str">
        <x:v>014846.OF</x:v>
      </x:c>
      <x:c r="K654" s="258" t="str">
        <x:v>博时恒乐债券A</x:v>
      </x:c>
      <x:c r="L654" s="263" t="n">
        <x:v>46211</x:v>
      </x:c>
      <x:c r="M654" s="261" t="n">
        <x:v>1.2619</x:v>
      </x:c>
      <x:c r="N654" s="261" t="n">
        <x:f>IF(OR(L654&lt;$B$3,L654&gt;$D$3),"",IF(AND(J654=J653,N653&lt;&gt;""),MAX(M654,N653),M654))</x:f>
        <x:v>1.2838</x:v>
      </x:c>
      <x:c r="O654" s="262" t="n">
        <x:f>IF(N654="","",M654/N654-1)</x:f>
        <x:v>-0.017058731889702416</x:v>
      </x:c>
    </x:row>
    <x:row r="655">
      <x:c r="J655" s="257" t="str">
        <x:v>014846.OF</x:v>
      </x:c>
      <x:c r="K655" s="258" t="str">
        <x:v>博时恒乐债券A</x:v>
      </x:c>
      <x:c r="L655" s="263" t="n">
        <x:v>46212</x:v>
      </x:c>
      <x:c r="M655" s="261" t="n">
        <x:v>1.2707</x:v>
      </x:c>
      <x:c r="N655" s="261" t="n">
        <x:f>IF(OR(L655&lt;$B$3,L655&gt;$D$3),"",IF(AND(J655=J654,N654&lt;&gt;""),MAX(M655,N654),M655))</x:f>
        <x:v>1.2838</x:v>
      </x:c>
      <x:c r="O655" s="262" t="n">
        <x:f>IF(N655="","",M655/N655-1)</x:f>
        <x:v>-0.010204081632653184</x:v>
      </x:c>
    </x:row>
    <x:row r="656">
      <x:c r="J656" s="257" t="str">
        <x:v>014846.OF</x:v>
      </x:c>
      <x:c r="K656" s="258" t="str">
        <x:v>博时恒乐债券A</x:v>
      </x:c>
      <x:c r="L656" s="263" t="n">
        <x:v>46213</x:v>
      </x:c>
      <x:c r="M656" s="261" t="n">
        <x:v>1.2614</x:v>
      </x:c>
      <x:c r="N656" s="261" t="n">
        <x:f>IF(OR(L656&lt;$B$3,L656&gt;$D$3),"",IF(AND(J656=J655,N655&lt;&gt;""),MAX(M656,N655),M656))</x:f>
        <x:v>1.2838</x:v>
      </x:c>
      <x:c r="O656" s="262" t="n">
        <x:f>IF(N656="","",M656/N656-1)</x:f>
        <x:v>-0.017448200654307522</x:v>
      </x:c>
    </x:row>
    <x:row r="657">
      <x:c r="J657" s="257" t="str">
        <x:v>014846.OF</x:v>
      </x:c>
      <x:c r="K657" s="258" t="str">
        <x:v>博时恒乐债券A</x:v>
      </x:c>
      <x:c r="L657" s="263" t="n">
        <x:v>46214</x:v>
      </x:c>
      <x:c r="M657" s="261" t="n">
        <x:v>1.2614</x:v>
      </x:c>
      <x:c r="N657" s="261" t="n">
        <x:f>IF(OR(L657&lt;$B$3,L657&gt;$D$3),"",IF(AND(J657=J656,N656&lt;&gt;""),MAX(M657,N656),M657))</x:f>
        <x:v>1.2838</x:v>
      </x:c>
      <x:c r="O657" s="262" t="n">
        <x:f>IF(N657="","",M657/N657-1)</x:f>
        <x:v>-0.017448200654307522</x:v>
      </x:c>
    </x:row>
    <x:row r="658">
      <x:c r="J658" s="257" t="str">
        <x:v>014846.OF</x:v>
      </x:c>
      <x:c r="K658" s="258" t="str">
        <x:v>博时恒乐债券A</x:v>
      </x:c>
      <x:c r="L658" s="263" t="n">
        <x:v>46215</x:v>
      </x:c>
      <x:c r="M658" s="261" t="n">
        <x:v>1.2614</x:v>
      </x:c>
      <x:c r="N658" s="261" t="n">
        <x:f>IF(OR(L658&lt;$B$3,L658&gt;$D$3),"",IF(AND(J658=J657,N657&lt;&gt;""),MAX(M658,N657),M658))</x:f>
        <x:v>1.2838</x:v>
      </x:c>
      <x:c r="O658" s="262" t="n">
        <x:f>IF(N658="","",M658/N658-1)</x:f>
        <x:v>-0.017448200654307522</x:v>
      </x:c>
    </x:row>
    <x:row r="659">
      <x:c r="J659" s="257" t="str">
        <x:v>014846.OF</x:v>
      </x:c>
      <x:c r="K659" s="258" t="str">
        <x:v>博时恒乐债券A</x:v>
      </x:c>
      <x:c r="L659" s="263" t="n">
        <x:v>46216</x:v>
      </x:c>
      <x:c r="M659" s="261" t="n">
        <x:v>1.2573</x:v>
      </x:c>
      <x:c r="N659" s="261" t="n">
        <x:f>IF(OR(L659&lt;$B$3,L659&gt;$D$3),"",IF(AND(J659=J658,N658&lt;&gt;""),MAX(M659,N658),M659))</x:f>
        <x:v>1.2838</x:v>
      </x:c>
      <x:c r="O659" s="262" t="n">
        <x:f>IF(N659="","",M659/N659-1)</x:f>
        <x:v>-0.02064184452406914</x:v>
      </x:c>
    </x:row>
    <x:row r="660">
      <x:c r="J660" s="257" t="str">
        <x:v>014846.OF</x:v>
      </x:c>
      <x:c r="K660" s="258" t="str">
        <x:v>博时恒乐债券A</x:v>
      </x:c>
      <x:c r="L660" s="263" t="n">
        <x:v>46217</x:v>
      </x:c>
      <x:c r="M660" s="261" t="n">
        <x:v>1.2625</x:v>
      </x:c>
      <x:c r="N660" s="261" t="n">
        <x:f>IF(OR(L660&lt;$B$3,L660&gt;$D$3),"",IF(AND(J660=J659,N659&lt;&gt;""),MAX(M660,N659),M660))</x:f>
        <x:v>1.2838</x:v>
      </x:c>
      <x:c r="O660" s="262" t="n">
        <x:f>IF(N660="","",M660/N660-1)</x:f>
        <x:v>-0.016591369372176423</x:v>
      </x:c>
    </x:row>
    <x:row r="661">
      <x:c r="J661" s="257" t="str">
        <x:v>014846.OF</x:v>
      </x:c>
      <x:c r="K661" s="258" t="str">
        <x:v>博时恒乐债券A</x:v>
      </x:c>
      <x:c r="L661" s="263" t="n">
        <x:v>46218</x:v>
      </x:c>
      <x:c r="M661" s="261" t="n">
        <x:v>1.2595</x:v>
      </x:c>
      <x:c r="N661" s="261" t="n">
        <x:f>IF(OR(L661&lt;$B$3,L661&gt;$D$3),"",IF(AND(J661=J660,N660&lt;&gt;""),MAX(M661,N660),M661))</x:f>
        <x:v>1.2838</x:v>
      </x:c>
      <x:c r="O661" s="262" t="n">
        <x:f>IF(N661="","",M661/N661-1)</x:f>
        <x:v>-0.018928181959806833</x:v>
      </x:c>
    </x:row>
    <x:row r="662">
      <x:c r="J662" s="257" t="str">
        <x:v>014846.OF</x:v>
      </x:c>
      <x:c r="K662" s="258" t="str">
        <x:v>博时恒乐债券A</x:v>
      </x:c>
      <x:c r="L662" s="263" t="n">
        <x:v>46219</x:v>
      </x:c>
      <x:c r="M662" s="261" t="n">
        <x:v>1.254</x:v>
      </x:c>
      <x:c r="N662" s="261" t="n">
        <x:f>IF(OR(L662&lt;$B$3,L662&gt;$D$3),"",IF(AND(J662=J661,N661&lt;&gt;""),MAX(M662,N661),M662))</x:f>
        <x:v>1.2838</x:v>
      </x:c>
      <x:c r="O662" s="262" t="n">
        <x:f>IF(N662="","",M662/N662-1)</x:f>
        <x:v>-0.02321233837046277</x:v>
      </x:c>
    </x:row>
    <x:row r="663">
      <x:c r="J663" s="257" t="str">
        <x:v>014846.OF</x:v>
      </x:c>
      <x:c r="K663" s="258" t="str">
        <x:v>博时恒乐债券A</x:v>
      </x:c>
      <x:c r="L663" s="263" t="n">
        <x:v>46220</x:v>
      </x:c>
      <x:c r="M663" s="261" t="n">
        <x:v>1.2462</x:v>
      </x:c>
      <x:c r="N663" s="261" t="n">
        <x:f>IF(OR(L663&lt;$B$3,L663&gt;$D$3),"",IF(AND(J663=J662,N662&lt;&gt;""),MAX(M663,N662),M663))</x:f>
        <x:v>1.2838</x:v>
      </x:c>
      <x:c r="O663" s="262" t="n">
        <x:f>IF(N663="","",M663/N663-1)</x:f>
        <x:v>-0.029288051098302015</x:v>
      </x:c>
    </x:row>
    <x:row r="664">
      <x:c r="J664" s="257" t="str">
        <x:v>014846.OF</x:v>
      </x:c>
      <x:c r="K664" s="258" t="str">
        <x:v>博时恒乐债券A</x:v>
      </x:c>
      <x:c r="L664" s="263" t="n">
        <x:v>46221</x:v>
      </x:c>
      <x:c r="M664" s="261" t="n">
        <x:v>1.2462</x:v>
      </x:c>
      <x:c r="N664" s="261" t="n">
        <x:f>IF(OR(L664&lt;$B$3,L664&gt;$D$3),"",IF(AND(J664=J663,N663&lt;&gt;""),MAX(M664,N663),M664))</x:f>
        <x:v>1.2838</x:v>
      </x:c>
      <x:c r="O664" s="262" t="n">
        <x:f>IF(N664="","",M664/N664-1)</x:f>
        <x:v>-0.029288051098302015</x:v>
      </x:c>
    </x:row>
    <x:row r="665">
      <x:c r="J665" s="257" t="str">
        <x:v>014846.OF</x:v>
      </x:c>
      <x:c r="K665" s="258" t="str">
        <x:v>博时恒乐债券A</x:v>
      </x:c>
      <x:c r="L665" s="263" t="n">
        <x:v>46222</x:v>
      </x:c>
      <x:c r="M665" s="261" t="n">
        <x:v>1.2462</x:v>
      </x:c>
      <x:c r="N665" s="261" t="n">
        <x:f>IF(OR(L665&lt;$B$3,L665&gt;$D$3),"",IF(AND(J665=J664,N664&lt;&gt;""),MAX(M665,N664),M665))</x:f>
        <x:v>1.2838</x:v>
      </x:c>
      <x:c r="O665" s="262" t="n">
        <x:f>IF(N665="","",M665/N665-1)</x:f>
        <x:v>-0.029288051098302015</x:v>
      </x:c>
    </x:row>
    <x:row r="666">
      <x:c r="J666" s="257" t="str">
        <x:v>014846.OF</x:v>
      </x:c>
      <x:c r="K666" s="258" t="str">
        <x:v>博时恒乐债券A</x:v>
      </x:c>
      <x:c r="L666" s="263" t="n">
        <x:v>46223</x:v>
      </x:c>
      <x:c r="M666" s="261" t="n">
        <x:v>1.2461</x:v>
      </x:c>
      <x:c r="N666" s="261" t="n">
        <x:f>IF(OR(L666&lt;$B$3,L666&gt;$D$3),"",IF(AND(J666=J665,N665&lt;&gt;""),MAX(M666,N665),M666))</x:f>
        <x:v>1.2838</x:v>
      </x:c>
      <x:c r="O666" s="262" t="n">
        <x:f>IF(N666="","",M666/N666-1)</x:f>
        <x:v>-0.029365944851223014</x:v>
      </x:c>
    </x:row>
    <x:row r="667">
      <x:c r="J667" s="257" t="str">
        <x:v>014846.OF</x:v>
      </x:c>
      <x:c r="K667" s="258" t="str">
        <x:v>博时恒乐债券A</x:v>
      </x:c>
      <x:c r="L667" s="263" t="n">
        <x:v>46224</x:v>
      </x:c>
      <x:c r="M667" s="261" t="n">
        <x:v>1.2557</x:v>
      </x:c>
      <x:c r="N667" s="261" t="n">
        <x:f>IF(OR(L667&lt;$B$3,L667&gt;$D$3),"",IF(AND(J667=J666,N666&lt;&gt;""),MAX(M667,N666),M667))</x:f>
        <x:v>1.2838</x:v>
      </x:c>
      <x:c r="O667" s="262" t="n">
        <x:f>IF(N667="","",M667/N667-1)</x:f>
        <x:v>-0.021888144570805457</x:v>
      </x:c>
    </x:row>
    <x:row r="668">
      <x:c r="J668" s="257" t="str">
        <x:v>014846.OF</x:v>
      </x:c>
      <x:c r="K668" s="258" t="str">
        <x:v>博时恒乐债券A</x:v>
      </x:c>
      <x:c r="L668" s="263" t="n">
        <x:v>46225</x:v>
      </x:c>
      <x:c r="M668" s="261" t="n">
        <x:v>1.2541</x:v>
      </x:c>
      <x:c r="N668" s="261" t="n">
        <x:f>IF(OR(L668&lt;$B$3,L668&gt;$D$3),"",IF(AND(J668=J667,N667&lt;&gt;""),MAX(M668,N667),M668))</x:f>
        <x:v>1.2838</x:v>
      </x:c>
      <x:c r="O668" s="262" t="n">
        <x:f>IF(N668="","",M668/N668-1)</x:f>
        <x:v>-0.02313444461754177</x:v>
      </x:c>
    </x:row>
    <x:row r="669">
      <x:c r="J669" s="257" t="str">
        <x:v>014846.OF</x:v>
      </x:c>
      <x:c r="K669" s="258" t="str">
        <x:v>博时恒乐债券A</x:v>
      </x:c>
      <x:c r="L669" s="263" t="n">
        <x:v>46226</x:v>
      </x:c>
      <x:c r="M669" s="261" t="n">
        <x:v>1.252</x:v>
      </x:c>
      <x:c r="N669" s="261" t="n">
        <x:f>IF(OR(L669&lt;$B$3,L669&gt;$D$3),"",IF(AND(J669=J668,N668&lt;&gt;""),MAX(M669,N668),M669))</x:f>
        <x:v>1.2838</x:v>
      </x:c>
      <x:c r="O669" s="262" t="n">
        <x:f>IF(N669="","",M669/N669-1)</x:f>
        <x:v>-0.02477021342888308</x:v>
      </x:c>
    </x:row>
    <x:row r="670">
      <x:c r="J670" s="257" t="str">
        <x:v>014846.OF</x:v>
      </x:c>
      <x:c r="K670" s="258" t="str">
        <x:v>博时恒乐债券A</x:v>
      </x:c>
      <x:c r="L670" s="263" t="n">
        <x:v>46227</x:v>
      </x:c>
      <x:c r="M670" s="261" t="n">
        <x:v>1.2514</x:v>
      </x:c>
      <x:c r="N670" s="261" t="n">
        <x:f>IF(OR(L670&lt;$B$3,L670&gt;$D$3),"",IF(AND(J670=J669,N669&lt;&gt;""),MAX(M670,N669),M670))</x:f>
        <x:v>1.2838</x:v>
      </x:c>
      <x:c r="O670" s="262" t="n">
        <x:f>IF(N670="","",M670/N670-1)</x:f>
        <x:v>-0.025237575946409074</x:v>
      </x:c>
    </x:row>
    <x:row r="671">
      <x:c r="J671" s="257" t="str">
        <x:v>014846.OF</x:v>
      </x:c>
      <x:c r="K671" s="258" t="str">
        <x:v>博时恒乐债券A</x:v>
      </x:c>
      <x:c r="L671" s="263" t="n">
        <x:v>46228</x:v>
      </x:c>
      <x:c r="M671" s="261" t="n">
        <x:v>1.2514</x:v>
      </x:c>
      <x:c r="N671" s="261" t="n">
        <x:f>IF(OR(L671&lt;$B$3,L671&gt;$D$3),"",IF(AND(J671=J670,N670&lt;&gt;""),MAX(M671,N670),M671))</x:f>
        <x:v>1.2838</x:v>
      </x:c>
      <x:c r="O671" s="262" t="n">
        <x:f>IF(N671="","",M671/N671-1)</x:f>
        <x:v>-0.025237575946409074</x:v>
      </x:c>
    </x:row>
    <x:row r="672">
      <x:c r="J672" s="257" t="str">
        <x:v>014846.OF</x:v>
      </x:c>
      <x:c r="K672" s="258" t="str">
        <x:v>博时恒乐债券A</x:v>
      </x:c>
      <x:c r="L672" s="263" t="n">
        <x:v>46229</x:v>
      </x:c>
      <x:c r="M672" s="261" t="n">
        <x:v>1.2514</x:v>
      </x:c>
      <x:c r="N672" s="261" t="n">
        <x:f>IF(OR(L672&lt;$B$3,L672&gt;$D$3),"",IF(AND(J672=J671,N671&lt;&gt;""),MAX(M672,N671),M672))</x:f>
        <x:v>1.2838</x:v>
      </x:c>
      <x:c r="O672" s="262" t="n">
        <x:f>IF(N672="","",M672/N672-1)</x:f>
        <x:v>-0.025237575946409074</x:v>
      </x:c>
    </x:row>
    <x:row r="673">
      <x:c r="J673" s="257" t="str">
        <x:v>014846.OF</x:v>
      </x:c>
      <x:c r="K673" s="258" t="str">
        <x:v>博时恒乐债券A</x:v>
      </x:c>
      <x:c r="L673" s="263" t="n">
        <x:v>46230</x:v>
      </x:c>
      <x:c r="M673" s="261" t="n">
        <x:v>1.2536</x:v>
      </x:c>
      <x:c r="N673" s="261" t="n">
        <x:f>IF(OR(L673&lt;$B$3,L673&gt;$D$3),"",IF(AND(J673=J672,N672&lt;&gt;""),MAX(M673,N672),M673))</x:f>
        <x:v>1.2838</x:v>
      </x:c>
      <x:c r="O673" s="262" t="n">
        <x:f>IF(N673="","",M673/N673-1)</x:f>
        <x:v>-0.023523913382146766</x:v>
      </x:c>
    </x:row>
    <x:row r="674">
      <x:c r="J674" s="257" t="str">
        <x:v>014846.OF</x:v>
      </x:c>
      <x:c r="K674" s="258" t="str">
        <x:v>博时恒乐债券A</x:v>
      </x:c>
      <x:c r="L674" s="263" t="n">
        <x:v>46231</x:v>
      </x:c>
      <x:c r="M674" s="261" t="n">
        <x:v>1.2459</x:v>
      </x:c>
      <x:c r="N674" s="261" t="n">
        <x:f>IF(OR(L674&lt;$B$3,L674&gt;$D$3),"",IF(AND(J674=J673,N673&lt;&gt;""),MAX(M674,N673),M674))</x:f>
        <x:v>1.2838</x:v>
      </x:c>
      <x:c r="O674" s="262" t="n">
        <x:f>IF(N674="","",M674/N674-1)</x:f>
        <x:v>-0.02952173235706501</x:v>
      </x:c>
    </x:row>
    <x:row r="675">
      <x:c r="J675" s="257" t="str">
        <x:v>014846.OF</x:v>
      </x:c>
      <x:c r="K675" s="258" t="str">
        <x:v>博时恒乐债券A</x:v>
      </x:c>
      <x:c r="L675" s="263" t="n">
        <x:v>46232</x:v>
      </x:c>
      <x:c r="M675" s="261" t="n">
        <x:v>1.245</x:v>
      </x:c>
      <x:c r="N675" s="261" t="n">
        <x:f>IF(OR(L675&lt;$B$3,L675&gt;$D$3),"",IF(AND(J675=J674,N674&lt;&gt;""),MAX(M675,N674),M675))</x:f>
        <x:v>1.2838</x:v>
      </x:c>
      <x:c r="O675" s="262" t="n">
        <x:f>IF(N675="","",M675/N675-1)</x:f>
        <x:v>-0.030222776133354112</x:v>
      </x:c>
    </x:row>
    <x:row r="676">
      <x:c r="J676" s="257" t="str">
        <x:v>014846.OF</x:v>
      </x:c>
      <x:c r="K676" s="258" t="str">
        <x:v>博时恒乐债券A</x:v>
      </x:c>
      <x:c r="L676" s="263" t="n">
        <x:v>46233</x:v>
      </x:c>
      <x:c r="M676" s="261" t="n">
        <x:v>1.2441</x:v>
      </x:c>
      <x:c r="N676" s="261" t="n">
        <x:f>IF(OR(L676&lt;$B$3,L676&gt;$D$3),"",IF(AND(J676=J675,N675&lt;&gt;""),MAX(M676,N675),M676))</x:f>
        <x:v>1.2838</x:v>
      </x:c>
      <x:c r="O676" s="262" t="n">
        <x:f>IF(N676="","",M676/N676-1)</x:f>
        <x:v>-0.030923819909643324</x:v>
      </x:c>
    </x:row>
    <x:row r="677">
      <x:c r="J677" s="257" t="str">
        <x:v>014846.OF</x:v>
      </x:c>
      <x:c r="K677" s="258" t="str">
        <x:v>博时恒乐债券A</x:v>
      </x:c>
      <x:c r="L677" s="263" t="n">
        <x:v>46234</x:v>
      </x:c>
      <x:c r="M677" s="261" t="n">
        <x:v>1.2453</x:v>
      </x:c>
      <x:c r="N677" s="261" t="n">
        <x:f>IF(OR(L677&lt;$B$3,L677&gt;$D$3),"",IF(AND(J677=J676,N676&lt;&gt;""),MAX(M677,N676),M677))</x:f>
        <x:v>1.2838</x:v>
      </x:c>
      <x:c r="O677" s="262" t="n">
        <x:f>IF(N677="","",M677/N677-1)</x:f>
        <x:v>-0.029989094874591005</x:v>
      </x:c>
    </x:row>
    <x:row r="678">
      <x:c r="J678" s="257" t="str">
        <x:v>014846.OF</x:v>
      </x:c>
      <x:c r="K678" s="258" t="str">
        <x:v>博时恒乐债券A</x:v>
      </x:c>
      <x:c r="L678" s="263" t="n">
        <x:v>46235</x:v>
      </x:c>
      <x:c r="M678" s="261" t="n">
        <x:v>1.2453</x:v>
      </x:c>
      <x:c r="N678" s="261" t="n">
        <x:f>IF(OR(L678&lt;$B$3,L678&gt;$D$3),"",IF(AND(J678=J677,N677&lt;&gt;""),MAX(M678,N677),M678))</x:f>
        <x:v>1.2838</x:v>
      </x:c>
      <x:c r="O678" s="262" t="n">
        <x:f>IF(N678="","",M678/N678-1)</x:f>
        <x:v>-0.029989094874591005</x:v>
      </x:c>
    </x:row>
    <x:row r="679">
      <x:c r="J679" s="257" t="str">
        <x:v>014846.OF</x:v>
      </x:c>
      <x:c r="K679" s="258" t="str">
        <x:v>博时恒乐债券A</x:v>
      </x:c>
      <x:c r="L679" s="263" t="n">
        <x:v>46236</x:v>
      </x:c>
      <x:c r="M679" s="261" t="n">
        <x:v>1.2453</x:v>
      </x:c>
      <x:c r="N679" s="261" t="n">
        <x:f>IF(OR(L679&lt;$B$3,L679&gt;$D$3),"",IF(AND(J679=J678,N678&lt;&gt;""),MAX(M679,N678),M679))</x:f>
        <x:v>1.2838</x:v>
      </x:c>
      <x:c r="O679" s="262" t="n">
        <x:f>IF(N679="","",M679/N679-1)</x:f>
        <x:v>-0.029989094874591005</x:v>
      </x:c>
    </x:row>
    <x:row r="680">
      <x:c r="J680" s="257" t="str">
        <x:v>014846.OF</x:v>
      </x:c>
      <x:c r="K680" s="258" t="str">
        <x:v>博时恒乐债券A</x:v>
      </x:c>
      <x:c r="L680" s="263" t="n">
        <x:v>46237</x:v>
      </x:c>
      <x:c r="M680" s="261" t="n">
        <x:v>1.2444</x:v>
      </x:c>
      <x:c r="N680" s="261" t="n">
        <x:f>IF(OR(L680&lt;$B$3,L680&gt;$D$3),"",IF(AND(J680=J679,N679&lt;&gt;""),MAX(M680,N679),M680))</x:f>
        <x:v>1.2838</x:v>
      </x:c>
      <x:c r="O680" s="262" t="n">
        <x:f>IF(N680="","",M680/N680-1)</x:f>
        <x:v>-0.030690138650880328</x:v>
      </x:c>
    </x:row>
    <x:row r="681">
      <x:c r="J681" s="257" t="str">
        <x:v>014846.OF</x:v>
      </x:c>
      <x:c r="K681" s="258" t="str">
        <x:v>博时恒乐债券A</x:v>
      </x:c>
      <x:c r="L681" s="263" t="n">
        <x:v>46238</x:v>
      </x:c>
      <x:c r="M681" s="261" t="n">
        <x:v>1.2463</x:v>
      </x:c>
      <x:c r="N681" s="261" t="n">
        <x:f>IF(OR(L681&lt;$B$3,L681&gt;$D$3),"",IF(AND(J681=J680,N680&lt;&gt;""),MAX(M681,N680),M681))</x:f>
        <x:v>1.2838</x:v>
      </x:c>
      <x:c r="O681" s="262" t="n">
        <x:f>IF(N681="","",M681/N681-1)</x:f>
        <x:v>-0.029210157345381016</x:v>
      </x:c>
    </x:row>
    <x:row r="682">
      <x:c r="J682" s="257" t="str">
        <x:v>014846.OF</x:v>
      </x:c>
      <x:c r="K682" s="258" t="str">
        <x:v>博时恒乐债券A</x:v>
      </x:c>
      <x:c r="L682" s="263" t="n">
        <x:v>46239</x:v>
      </x:c>
      <x:c r="M682" s="261" t="n">
        <x:v>1.2466</x:v>
      </x:c>
      <x:c r="N682" s="261" t="n">
        <x:f>IF(OR(L682&lt;$B$3,L682&gt;$D$3),"",IF(AND(J682=J681,N681&lt;&gt;""),MAX(M682,N681),M682))</x:f>
        <x:v>1.2838</x:v>
      </x:c>
      <x:c r="O682" s="262" t="n">
        <x:f>IF(N682="","",M682/N682-1)</x:f>
        <x:v>-0.02897647608661791</x:v>
      </x:c>
    </x:row>
    <x:row r="683">
      <x:c r="J683" s="257" t="str">
        <x:v>014846.OF</x:v>
      </x:c>
      <x:c r="K683" s="258" t="str">
        <x:v>博时恒乐债券A</x:v>
      </x:c>
      <x:c r="L683" s="263" t="n">
        <x:v>46240</x:v>
      </x:c>
      <x:c r="M683" s="261" t="n">
        <x:v>1.2475</x:v>
      </x:c>
      <x:c r="N683" s="261" t="n">
        <x:f>IF(OR(L683&lt;$B$3,L683&gt;$D$3),"",IF(AND(J683=J682,N682&lt;&gt;""),MAX(M683,N682),M683))</x:f>
        <x:v>1.2838</x:v>
      </x:c>
      <x:c r="O683" s="262" t="n">
        <x:f>IF(N683="","",M683/N683-1)</x:f>
        <x:v>-0.028275432310328696</x:v>
      </x:c>
    </x:row>
    <x:row r="684">
      <x:c r="J684" s="257" t="str">
        <x:v>014846.OF</x:v>
      </x:c>
      <x:c r="K684" s="258" t="str">
        <x:v>博时恒乐债券A</x:v>
      </x:c>
      <x:c r="L684" s="263" t="n">
        <x:v>46241</x:v>
      </x:c>
      <x:c r="M684" s="261" t="n">
        <x:v>1.2494</x:v>
      </x:c>
      <x:c r="N684" s="261" t="n">
        <x:f>IF(OR(L684&lt;$B$3,L684&gt;$D$3),"",IF(AND(J684=J683,N683&lt;&gt;""),MAX(M684,N683),M684))</x:f>
        <x:v>1.2838</x:v>
      </x:c>
      <x:c r="O684" s="262" t="n">
        <x:f>IF(N684="","",M684/N684-1)</x:f>
        <x:v>-0.026795451004829385</x:v>
      </x:c>
    </x:row>
    <x:row r="685">
      <x:c r="J685" s="257" t="str">
        <x:v>014846.OF</x:v>
      </x:c>
      <x:c r="K685" s="258" t="str">
        <x:v>博时恒乐债券A</x:v>
      </x:c>
      <x:c r="L685" s="263" t="n">
        <x:v>46242</x:v>
      </x:c>
      <x:c r="M685" s="261" t="n">
        <x:v>1.2494</x:v>
      </x:c>
      <x:c r="N685" s="261" t="n">
        <x:f>IF(OR(L685&lt;$B$3,L685&gt;$D$3),"",IF(AND(J685=J684,N684&lt;&gt;""),MAX(M685,N684),M685))</x:f>
        <x:v>1.2838</x:v>
      </x:c>
      <x:c r="O685" s="262" t="n">
        <x:f>IF(N685="","",M685/N685-1)</x:f>
        <x:v>-0.026795451004829385</x:v>
      </x:c>
    </x:row>
    <x:row r="686">
      <x:c r="J686" s="257" t="str">
        <x:v>014846.OF</x:v>
      </x:c>
      <x:c r="K686" s="258" t="str">
        <x:v>博时恒乐债券A</x:v>
      </x:c>
      <x:c r="L686" s="263" t="n">
        <x:v>46243</x:v>
      </x:c>
      <x:c r="M686" s="261" t="n">
        <x:v>1.2494</x:v>
      </x:c>
      <x:c r="N686" s="261" t="n">
        <x:f>IF(OR(L686&lt;$B$3,L686&gt;$D$3),"",IF(AND(J686=J685,N685&lt;&gt;""),MAX(M686,N685),M686))</x:f>
        <x:v>1.2838</x:v>
      </x:c>
      <x:c r="O686" s="262" t="n">
        <x:f>IF(N686="","",M686/N686-1)</x:f>
        <x:v>-0.026795451004829385</x:v>
      </x:c>
    </x:row>
    <x:row r="687">
      <x:c r="J687" s="257" t="str">
        <x:v>014846.OF</x:v>
      </x:c>
      <x:c r="K687" s="258" t="str">
        <x:v>博时恒乐债券A</x:v>
      </x:c>
      <x:c r="L687" s="263" t="n">
        <x:v>46244</x:v>
      </x:c>
      <x:c r="M687" s="261" t="n">
        <x:v>1.2502</x:v>
      </x:c>
      <x:c r="N687" s="261" t="n">
        <x:f>IF(OR(L687&lt;$B$3,L687&gt;$D$3),"",IF(AND(J687=J686,N686&lt;&gt;""),MAX(M687,N686),M687))</x:f>
        <x:v>1.2838</x:v>
      </x:c>
      <x:c r="O687" s="262" t="n">
        <x:f>IF(N687="","",M687/N687-1)</x:f>
        <x:v>-0.026172300981461394</x:v>
      </x:c>
    </x:row>
    <x:row r="688">
      <x:c r="J688" s="257" t="str">
        <x:v>000171.OF</x:v>
      </x:c>
      <x:c r="K688" s="258" t="str">
        <x:v>易方达裕丰回报债券A</x:v>
      </x:c>
      <x:c r="L688" s="263" t="n">
        <x:v>46191</x:v>
      </x:c>
      <x:c r="M688" s="261" t="n">
        <x:v>2.7436</x:v>
      </x:c>
      <x:c r="N688" s="261" t="n">
        <x:f>IF(OR(L688&lt;$B$3,L688&gt;$D$3),"",IF(AND(J688=J687,N687&lt;&gt;""),MAX(M688,N687),M688))</x:f>
        <x:v>2.7436</x:v>
      </x:c>
      <x:c r="O688" s="262" t="n">
        <x:f>IF(N688="","",M688/N688-1)</x:f>
        <x:v>0</x:v>
      </x:c>
    </x:row>
    <x:row r="689">
      <x:c r="J689" s="257" t="str">
        <x:v>000171.OF</x:v>
      </x:c>
      <x:c r="K689" s="258" t="str">
        <x:v>易方达裕丰回报债券A</x:v>
      </x:c>
      <x:c r="L689" s="263" t="n">
        <x:v>46192</x:v>
      </x:c>
      <x:c r="M689" s="261" t="n">
        <x:v>2.7436</x:v>
      </x:c>
      <x:c r="N689" s="261" t="n">
        <x:f>IF(OR(L689&lt;$B$3,L689&gt;$D$3),"",IF(AND(J689=J688,N688&lt;&gt;""),MAX(M689,N688),M689))</x:f>
        <x:v>2.7436</x:v>
      </x:c>
      <x:c r="O689" s="262" t="n">
        <x:f>IF(N689="","",M689/N689-1)</x:f>
        <x:v>0</x:v>
      </x:c>
    </x:row>
    <x:row r="690">
      <x:c r="J690" s="257" t="str">
        <x:v>000171.OF</x:v>
      </x:c>
      <x:c r="K690" s="258" t="str">
        <x:v>易方达裕丰回报债券A</x:v>
      </x:c>
      <x:c r="L690" s="263" t="n">
        <x:v>46193</x:v>
      </x:c>
      <x:c r="M690" s="261" t="n">
        <x:v>2.7436</x:v>
      </x:c>
      <x:c r="N690" s="261" t="n">
        <x:f>IF(OR(L690&lt;$B$3,L690&gt;$D$3),"",IF(AND(J690=J689,N689&lt;&gt;""),MAX(M690,N689),M690))</x:f>
        <x:v>2.7436</x:v>
      </x:c>
      <x:c r="O690" s="262" t="n">
        <x:f>IF(N690="","",M690/N690-1)</x:f>
        <x:v>0</x:v>
      </x:c>
    </x:row>
    <x:row r="691">
      <x:c r="J691" s="257" t="str">
        <x:v>000171.OF</x:v>
      </x:c>
      <x:c r="K691" s="258" t="str">
        <x:v>易方达裕丰回报债券A</x:v>
      </x:c>
      <x:c r="L691" s="263" t="n">
        <x:v>46194</x:v>
      </x:c>
      <x:c r="M691" s="261" t="n">
        <x:v>2.7436</x:v>
      </x:c>
      <x:c r="N691" s="261" t="n">
        <x:f>IF(OR(L691&lt;$B$3,L691&gt;$D$3),"",IF(AND(J691=J690,N690&lt;&gt;""),MAX(M691,N690),M691))</x:f>
        <x:v>2.7436</x:v>
      </x:c>
      <x:c r="O691" s="262" t="n">
        <x:f>IF(N691="","",M691/N691-1)</x:f>
        <x:v>0</x:v>
      </x:c>
    </x:row>
    <x:row r="692">
      <x:c r="J692" s="257" t="str">
        <x:v>000171.OF</x:v>
      </x:c>
      <x:c r="K692" s="258" t="str">
        <x:v>易方达裕丰回报债券A</x:v>
      </x:c>
      <x:c r="L692" s="263" t="n">
        <x:v>46195</x:v>
      </x:c>
      <x:c r="M692" s="261" t="n">
        <x:v>2.7551</x:v>
      </x:c>
      <x:c r="N692" s="261" t="n">
        <x:f>IF(OR(L692&lt;$B$3,L692&gt;$D$3),"",IF(AND(J692=J691,N691&lt;&gt;""),MAX(M692,N691),M692))</x:f>
        <x:v>2.7551</x:v>
      </x:c>
      <x:c r="O692" s="262" t="n">
        <x:f>IF(N692="","",M692/N692-1)</x:f>
        <x:v>0</x:v>
      </x:c>
    </x:row>
    <x:row r="693">
      <x:c r="J693" s="257" t="str">
        <x:v>000171.OF</x:v>
      </x:c>
      <x:c r="K693" s="258" t="str">
        <x:v>易方达裕丰回报债券A</x:v>
      </x:c>
      <x:c r="L693" s="263" t="n">
        <x:v>46196</x:v>
      </x:c>
      <x:c r="M693" s="261" t="n">
        <x:v>2.7347</x:v>
      </x:c>
      <x:c r="N693" s="261" t="n">
        <x:f>IF(OR(L693&lt;$B$3,L693&gt;$D$3),"",IF(AND(J693=J692,N692&lt;&gt;""),MAX(M693,N692),M693))</x:f>
        <x:v>2.7551</x:v>
      </x:c>
      <x:c r="O693" s="262" t="n">
        <x:f>IF(N693="","",M693/N693-1)</x:f>
        <x:v>-0.007404449929222179</x:v>
      </x:c>
    </x:row>
    <x:row r="694">
      <x:c r="J694" s="257" t="str">
        <x:v>000171.OF</x:v>
      </x:c>
      <x:c r="K694" s="258" t="str">
        <x:v>易方达裕丰回报债券A</x:v>
      </x:c>
      <x:c r="L694" s="263" t="n">
        <x:v>46197</x:v>
      </x:c>
      <x:c r="M694" s="261" t="n">
        <x:v>2.7487</x:v>
      </x:c>
      <x:c r="N694" s="261" t="n">
        <x:f>IF(OR(L694&lt;$B$3,L694&gt;$D$3),"",IF(AND(J694=J693,N693&lt;&gt;""),MAX(M694,N693),M694))</x:f>
        <x:v>2.7551</x:v>
      </x:c>
      <x:c r="O694" s="262" t="n">
        <x:f>IF(N694="","",M694/N694-1)</x:f>
        <x:v>-0.002322964683677653</x:v>
      </x:c>
    </x:row>
    <x:row r="695">
      <x:c r="J695" s="257" t="str">
        <x:v>000171.OF</x:v>
      </x:c>
      <x:c r="K695" s="258" t="str">
        <x:v>易方达裕丰回报债券A</x:v>
      </x:c>
      <x:c r="L695" s="263" t="n">
        <x:v>46198</x:v>
      </x:c>
      <x:c r="M695" s="261" t="n">
        <x:v>2.7806</x:v>
      </x:c>
      <x:c r="N695" s="261" t="n">
        <x:f>IF(OR(L695&lt;$B$3,L695&gt;$D$3),"",IF(AND(J695=J694,N694&lt;&gt;""),MAX(M695,N694),M695))</x:f>
        <x:v>2.7806</x:v>
      </x:c>
      <x:c r="O695" s="262" t="n">
        <x:f>IF(N695="","",M695/N695-1)</x:f>
        <x:v>0</x:v>
      </x:c>
    </x:row>
    <x:row r="696">
      <x:c r="J696" s="257" t="str">
        <x:v>000171.OF</x:v>
      </x:c>
      <x:c r="K696" s="258" t="str">
        <x:v>易方达裕丰回报债券A</x:v>
      </x:c>
      <x:c r="L696" s="263" t="n">
        <x:v>46199</x:v>
      </x:c>
      <x:c r="M696" s="261" t="n">
        <x:v>2.764</x:v>
      </x:c>
      <x:c r="N696" s="261" t="n">
        <x:f>IF(OR(L696&lt;$B$3,L696&gt;$D$3),"",IF(AND(J696=J695,N695&lt;&gt;""),MAX(M696,N695),M696))</x:f>
        <x:v>2.7806</x:v>
      </x:c>
      <x:c r="O696" s="262" t="n">
        <x:f>IF(N696="","",M696/N696-1)</x:f>
        <x:v>-0.005969934546500855</x:v>
      </x:c>
    </x:row>
    <x:row r="697">
      <x:c r="J697" s="257" t="str">
        <x:v>000171.OF</x:v>
      </x:c>
      <x:c r="K697" s="258" t="str">
        <x:v>易方达裕丰回报债券A</x:v>
      </x:c>
      <x:c r="L697" s="263" t="n">
        <x:v>46200</x:v>
      </x:c>
      <x:c r="M697" s="261" t="n">
        <x:v>2.764</x:v>
      </x:c>
      <x:c r="N697" s="261" t="n">
        <x:f>IF(OR(L697&lt;$B$3,L697&gt;$D$3),"",IF(AND(J697=J696,N696&lt;&gt;""),MAX(M697,N696),M697))</x:f>
        <x:v>2.7806</x:v>
      </x:c>
      <x:c r="O697" s="262" t="n">
        <x:f>IF(N697="","",M697/N697-1)</x:f>
        <x:v>-0.005969934546500855</x:v>
      </x:c>
    </x:row>
    <x:row r="698">
      <x:c r="J698" s="257" t="str">
        <x:v>000171.OF</x:v>
      </x:c>
      <x:c r="K698" s="258" t="str">
        <x:v>易方达裕丰回报债券A</x:v>
      </x:c>
      <x:c r="L698" s="263" t="n">
        <x:v>46201</x:v>
      </x:c>
      <x:c r="M698" s="261" t="n">
        <x:v>2.764</x:v>
      </x:c>
      <x:c r="N698" s="261" t="n">
        <x:f>IF(OR(L698&lt;$B$3,L698&gt;$D$3),"",IF(AND(J698=J697,N697&lt;&gt;""),MAX(M698,N697),M698))</x:f>
        <x:v>2.7806</x:v>
      </x:c>
      <x:c r="O698" s="262" t="n">
        <x:f>IF(N698="","",M698/N698-1)</x:f>
        <x:v>-0.005969934546500855</x:v>
      </x:c>
    </x:row>
    <x:row r="699">
      <x:c r="J699" s="257" t="str">
        <x:v>000171.OF</x:v>
      </x:c>
      <x:c r="K699" s="258" t="str">
        <x:v>易方达裕丰回报债券A</x:v>
      </x:c>
      <x:c r="L699" s="263" t="n">
        <x:v>46202</x:v>
      </x:c>
      <x:c r="M699" s="261" t="n">
        <x:v>2.7716</x:v>
      </x:c>
      <x:c r="N699" s="261" t="n">
        <x:f>IF(OR(L699&lt;$B$3,L699&gt;$D$3),"",IF(AND(J699=J698,N698&lt;&gt;""),MAX(M699,N698),M699))</x:f>
        <x:v>2.7806</x:v>
      </x:c>
      <x:c r="O699" s="262" t="n">
        <x:f>IF(N699="","",M699/N699-1)</x:f>
        <x:v>-0.0032367115011150416</x:v>
      </x:c>
    </x:row>
    <x:row r="700">
      <x:c r="J700" s="257" t="str">
        <x:v>000171.OF</x:v>
      </x:c>
      <x:c r="K700" s="258" t="str">
        <x:v>易方达裕丰回报债券A</x:v>
      </x:c>
      <x:c r="L700" s="263" t="n">
        <x:v>46203</x:v>
      </x:c>
      <x:c r="M700" s="261" t="n">
        <x:v>2.7882</x:v>
      </x:c>
      <x:c r="N700" s="261" t="n">
        <x:f>IF(OR(L700&lt;$B$3,L700&gt;$D$3),"",IF(AND(J700=J699,N699&lt;&gt;""),MAX(M700,N699),M700))</x:f>
        <x:v>2.7882</x:v>
      </x:c>
      <x:c r="O700" s="262" t="n">
        <x:f>IF(N700="","",M700/N700-1)</x:f>
        <x:v>0</x:v>
      </x:c>
    </x:row>
    <x:row r="701">
      <x:c r="J701" s="257" t="str">
        <x:v>000171.OF</x:v>
      </x:c>
      <x:c r="K701" s="258" t="str">
        <x:v>易方达裕丰回报债券A</x:v>
      </x:c>
      <x:c r="L701" s="263" t="n">
        <x:v>46204</x:v>
      </x:c>
      <x:c r="M701" s="261" t="n">
        <x:v>2.7793</x:v>
      </x:c>
      <x:c r="N701" s="261" t="n">
        <x:f>IF(OR(L701&lt;$B$3,L701&gt;$D$3),"",IF(AND(J701=J700,N700&lt;&gt;""),MAX(M701,N700),M701))</x:f>
        <x:v>2.7882</x:v>
      </x:c>
      <x:c r="O701" s="262" t="n">
        <x:f>IF(N701="","",M701/N701-1)</x:f>
        <x:v>-0.003192023527723853</x:v>
      </x:c>
    </x:row>
    <x:row r="702">
      <x:c r="J702" s="257" t="str">
        <x:v>000171.OF</x:v>
      </x:c>
      <x:c r="K702" s="258" t="str">
        <x:v>易方达裕丰回报债券A</x:v>
      </x:c>
      <x:c r="L702" s="263" t="n">
        <x:v>46205</x:v>
      </x:c>
      <x:c r="M702" s="261" t="n">
        <x:v>2.7335</x:v>
      </x:c>
      <x:c r="N702" s="261" t="n">
        <x:f>IF(OR(L702&lt;$B$3,L702&gt;$D$3),"",IF(AND(J702=J701,N701&lt;&gt;""),MAX(M702,N701),M702))</x:f>
        <x:v>2.7882</x:v>
      </x:c>
      <x:c r="O702" s="262" t="n">
        <x:f>IF(N702="","",M702/N702-1)</x:f>
        <x:v>-0.019618391793988943</x:v>
      </x:c>
    </x:row>
    <x:row r="703">
      <x:c r="J703" s="257" t="str">
        <x:v>000171.OF</x:v>
      </x:c>
      <x:c r="K703" s="258" t="str">
        <x:v>易方达裕丰回报债券A</x:v>
      </x:c>
      <x:c r="L703" s="263" t="n">
        <x:v>46206</x:v>
      </x:c>
      <x:c r="M703" s="261" t="n">
        <x:v>2.7322</x:v>
      </x:c>
      <x:c r="N703" s="261" t="n">
        <x:f>IF(OR(L703&lt;$B$3,L703&gt;$D$3),"",IF(AND(J703=J702,N702&lt;&gt;""),MAX(M703,N702),M703))</x:f>
        <x:v>2.7882</x:v>
      </x:c>
      <x:c r="O703" s="262" t="n">
        <x:f>IF(N703="","",M703/N703-1)</x:f>
        <x:v>-0.02008464242163388</x:v>
      </x:c>
    </x:row>
    <x:row r="704">
      <x:c r="J704" s="257" t="str">
        <x:v>000171.OF</x:v>
      </x:c>
      <x:c r="K704" s="258" t="str">
        <x:v>易方达裕丰回报债券A</x:v>
      </x:c>
      <x:c r="L704" s="263" t="n">
        <x:v>46207</x:v>
      </x:c>
      <x:c r="M704" s="261" t="n">
        <x:v>2.7322</x:v>
      </x:c>
      <x:c r="N704" s="261" t="n">
        <x:f>IF(OR(L704&lt;$B$3,L704&gt;$D$3),"",IF(AND(J704=J703,N703&lt;&gt;""),MAX(M704,N703),M704))</x:f>
        <x:v>2.7882</x:v>
      </x:c>
      <x:c r="O704" s="262" t="n">
        <x:f>IF(N704="","",M704/N704-1)</x:f>
        <x:v>-0.02008464242163388</x:v>
      </x:c>
    </x:row>
    <x:row r="705">
      <x:c r="J705" s="257" t="str">
        <x:v>000171.OF</x:v>
      </x:c>
      <x:c r="K705" s="258" t="str">
        <x:v>易方达裕丰回报债券A</x:v>
      </x:c>
      <x:c r="L705" s="263" t="n">
        <x:v>46208</x:v>
      </x:c>
      <x:c r="M705" s="261" t="n">
        <x:v>2.7322</x:v>
      </x:c>
      <x:c r="N705" s="261" t="n">
        <x:f>IF(OR(L705&lt;$B$3,L705&gt;$D$3),"",IF(AND(J705=J704,N704&lt;&gt;""),MAX(M705,N704),M705))</x:f>
        <x:v>2.7882</x:v>
      </x:c>
      <x:c r="O705" s="262" t="n">
        <x:f>IF(N705="","",M705/N705-1)</x:f>
        <x:v>-0.02008464242163388</x:v>
      </x:c>
    </x:row>
    <x:row r="706">
      <x:c r="J706" s="257" t="str">
        <x:v>000171.OF</x:v>
      </x:c>
      <x:c r="K706" s="258" t="str">
        <x:v>易方达裕丰回报债券A</x:v>
      </x:c>
      <x:c r="L706" s="263" t="n">
        <x:v>46209</x:v>
      </x:c>
      <x:c r="M706" s="261" t="n">
        <x:v>2.7335</x:v>
      </x:c>
      <x:c r="N706" s="261" t="n">
        <x:f>IF(OR(L706&lt;$B$3,L706&gt;$D$3),"",IF(AND(J706=J705,N705&lt;&gt;""),MAX(M706,N705),M706))</x:f>
        <x:v>2.7882</x:v>
      </x:c>
      <x:c r="O706" s="262" t="n">
        <x:f>IF(N706="","",M706/N706-1)</x:f>
        <x:v>-0.019618391793988943</x:v>
      </x:c>
    </x:row>
    <x:row r="707">
      <x:c r="J707" s="257" t="str">
        <x:v>000171.OF</x:v>
      </x:c>
      <x:c r="K707" s="258" t="str">
        <x:v>易方达裕丰回报债券A</x:v>
      </x:c>
      <x:c r="L707" s="263" t="n">
        <x:v>46210</x:v>
      </x:c>
      <x:c r="M707" s="261" t="n">
        <x:v>2.7309</x:v>
      </x:c>
      <x:c r="N707" s="261" t="n">
        <x:f>IF(OR(L707&lt;$B$3,L707&gt;$D$3),"",IF(AND(J707=J706,N706&lt;&gt;""),MAX(M707,N706),M707))</x:f>
        <x:v>2.7882</x:v>
      </x:c>
      <x:c r="O707" s="262" t="n">
        <x:f>IF(N707="","",M707/N707-1)</x:f>
        <x:v>-0.02055089304927904</x:v>
      </x:c>
    </x:row>
    <x:row r="708">
      <x:c r="J708" s="257" t="str">
        <x:v>000171.OF</x:v>
      </x:c>
      <x:c r="K708" s="258" t="str">
        <x:v>易方达裕丰回报债券A</x:v>
      </x:c>
      <x:c r="L708" s="263" t="n">
        <x:v>46211</x:v>
      </x:c>
      <x:c r="M708" s="261" t="n">
        <x:v>2.7207</x:v>
      </x:c>
      <x:c r="N708" s="261" t="n">
        <x:f>IF(OR(L708&lt;$B$3,L708&gt;$D$3),"",IF(AND(J708=J707,N707&lt;&gt;""),MAX(M708,N707),M708))</x:f>
        <x:v>2.7882</x:v>
      </x:c>
      <x:c r="O708" s="262" t="n">
        <x:f>IF(N708="","",M708/N708-1)</x:f>
        <x:v>-0.024209167204648163</x:v>
      </x:c>
    </x:row>
    <x:row r="709">
      <x:c r="J709" s="257" t="str">
        <x:v>000171.OF</x:v>
      </x:c>
      <x:c r="K709" s="258" t="str">
        <x:v>易方达裕丰回报债券A</x:v>
      </x:c>
      <x:c r="L709" s="263" t="n">
        <x:v>46212</x:v>
      </x:c>
      <x:c r="M709" s="261" t="n">
        <x:v>2.7462</x:v>
      </x:c>
      <x:c r="N709" s="261" t="n">
        <x:f>IF(OR(L709&lt;$B$3,L709&gt;$D$3),"",IF(AND(J709=J708,N708&lt;&gt;""),MAX(M709,N708),M709))</x:f>
        <x:v>2.7882</x:v>
      </x:c>
      <x:c r="O709" s="262" t="n">
        <x:f>IF(N709="","",M709/N709-1)</x:f>
        <x:v>-0.01506348181622541</x:v>
      </x:c>
    </x:row>
    <x:row r="710">
      <x:c r="J710" s="257" t="str">
        <x:v>000171.OF</x:v>
      </x:c>
      <x:c r="K710" s="258" t="str">
        <x:v>易方达裕丰回报债券A</x:v>
      </x:c>
      <x:c r="L710" s="263" t="n">
        <x:v>46213</x:v>
      </x:c>
      <x:c r="M710" s="261" t="n">
        <x:v>2.7182</x:v>
      </x:c>
      <x:c r="N710" s="261" t="n">
        <x:f>IF(OR(L710&lt;$B$3,L710&gt;$D$3),"",IF(AND(J710=J709,N709&lt;&gt;""),MAX(M710,N709),M710))</x:f>
        <x:v>2.7882</x:v>
      </x:c>
      <x:c r="O710" s="262" t="n">
        <x:f>IF(N710="","",M710/N710-1)</x:f>
        <x:v>-0.02510580302704246</x:v>
      </x:c>
    </x:row>
    <x:row r="711">
      <x:c r="J711" s="257" t="str">
        <x:v>000171.OF</x:v>
      </x:c>
      <x:c r="K711" s="258" t="str">
        <x:v>易方达裕丰回报债券A</x:v>
      </x:c>
      <x:c r="L711" s="263" t="n">
        <x:v>46214</x:v>
      </x:c>
      <x:c r="M711" s="261" t="n">
        <x:v>2.7182</x:v>
      </x:c>
      <x:c r="N711" s="261" t="n">
        <x:f>IF(OR(L711&lt;$B$3,L711&gt;$D$3),"",IF(AND(J711=J710,N710&lt;&gt;""),MAX(M711,N710),M711))</x:f>
        <x:v>2.7882</x:v>
      </x:c>
      <x:c r="O711" s="262" t="n">
        <x:f>IF(N711="","",M711/N711-1)</x:f>
        <x:v>-0.02510580302704246</x:v>
      </x:c>
    </x:row>
    <x:row r="712">
      <x:c r="J712" s="257" t="str">
        <x:v>000171.OF</x:v>
      </x:c>
      <x:c r="K712" s="258" t="str">
        <x:v>易方达裕丰回报债券A</x:v>
      </x:c>
      <x:c r="L712" s="263" t="n">
        <x:v>46215</x:v>
      </x:c>
      <x:c r="M712" s="261" t="n">
        <x:v>2.7182</x:v>
      </x:c>
      <x:c r="N712" s="261" t="n">
        <x:f>IF(OR(L712&lt;$B$3,L712&gt;$D$3),"",IF(AND(J712=J711,N711&lt;&gt;""),MAX(M712,N711),M712))</x:f>
        <x:v>2.7882</x:v>
      </x:c>
      <x:c r="O712" s="262" t="n">
        <x:f>IF(N712="","",M712/N712-1)</x:f>
        <x:v>-0.02510580302704246</x:v>
      </x:c>
    </x:row>
    <x:row r="713">
      <x:c r="J713" s="257" t="str">
        <x:v>000171.OF</x:v>
      </x:c>
      <x:c r="K713" s="258" t="str">
        <x:v>易方达裕丰回报债券A</x:v>
      </x:c>
      <x:c r="L713" s="263" t="n">
        <x:v>46216</x:v>
      </x:c>
      <x:c r="M713" s="261" t="n">
        <x:v>2.7004</x:v>
      </x:c>
      <x:c r="N713" s="261" t="n">
        <x:f>IF(OR(L713&lt;$B$3,L713&gt;$D$3),"",IF(AND(J713=J712,N712&lt;&gt;""),MAX(M713,N712),M713))</x:f>
        <x:v>2.7882</x:v>
      </x:c>
      <x:c r="O713" s="262" t="n">
        <x:f>IF(N713="","",M713/N713-1)</x:f>
        <x:v>-0.03148985008249039</x:v>
      </x:c>
    </x:row>
    <x:row r="714">
      <x:c r="J714" s="257" t="str">
        <x:v>000171.OF</x:v>
      </x:c>
      <x:c r="K714" s="258" t="str">
        <x:v>易方达裕丰回报债券A</x:v>
      </x:c>
      <x:c r="L714" s="263" t="n">
        <x:v>46217</x:v>
      </x:c>
      <x:c r="M714" s="261" t="n">
        <x:v>2.7156</x:v>
      </x:c>
      <x:c r="N714" s="261" t="n">
        <x:f>IF(OR(L714&lt;$B$3,L714&gt;$D$3),"",IF(AND(J714=J713,N713&lt;&gt;""),MAX(M714,N713),M714))</x:f>
        <x:v>2.7882</x:v>
      </x:c>
      <x:c r="O714" s="262" t="n">
        <x:f>IF(N714="","",M714/N714-1)</x:f>
        <x:v>-0.02603830428233267</x:v>
      </x:c>
    </x:row>
    <x:row r="715">
      <x:c r="J715" s="257" t="str">
        <x:v>000171.OF</x:v>
      </x:c>
      <x:c r="K715" s="258" t="str">
        <x:v>易方达裕丰回报债券A</x:v>
      </x:c>
      <x:c r="L715" s="263" t="n">
        <x:v>46218</x:v>
      </x:c>
      <x:c r="M715" s="261" t="n">
        <x:v>2.6991</x:v>
      </x:c>
      <x:c r="N715" s="261" t="n">
        <x:f>IF(OR(L715&lt;$B$3,L715&gt;$D$3),"",IF(AND(J715=J714,N714&lt;&gt;""),MAX(M715,N714),M715))</x:f>
        <x:v>2.7882</x:v>
      </x:c>
      <x:c r="O715" s="262" t="n">
        <x:f>IF(N715="","",M715/N715-1)</x:f>
        <x:v>-0.03195610071013544</x:v>
      </x:c>
    </x:row>
    <x:row r="716">
      <x:c r="J716" s="257" t="str">
        <x:v>000171.OF</x:v>
      </x:c>
      <x:c r="K716" s="258" t="str">
        <x:v>易方达裕丰回报债券A</x:v>
      </x:c>
      <x:c r="L716" s="263" t="n">
        <x:v>46219</x:v>
      </x:c>
      <x:c r="M716" s="261" t="n">
        <x:v>2.6787</x:v>
      </x:c>
      <x:c r="N716" s="261" t="n">
        <x:f>IF(OR(L716&lt;$B$3,L716&gt;$D$3),"",IF(AND(J716=J715,N715&lt;&gt;""),MAX(M716,N715),M716))</x:f>
        <x:v>2.7882</x:v>
      </x:c>
      <x:c r="O716" s="262" t="n">
        <x:f>IF(N716="","",M716/N716-1)</x:f>
        <x:v>-0.03927264902087357</x:v>
      </x:c>
    </x:row>
    <x:row r="717">
      <x:c r="J717" s="257" t="str">
        <x:v>000171.OF</x:v>
      </x:c>
      <x:c r="K717" s="258" t="str">
        <x:v>易方达裕丰回报债券A</x:v>
      </x:c>
      <x:c r="L717" s="263" t="n">
        <x:v>46220</x:v>
      </x:c>
      <x:c r="M717" s="261" t="n">
        <x:v>2.6494</x:v>
      </x:c>
      <x:c r="N717" s="261" t="n">
        <x:f>IF(OR(L717&lt;$B$3,L717&gt;$D$3),"",IF(AND(J717=J716,N716&lt;&gt;""),MAX(M717,N716),M717))</x:f>
        <x:v>2.7882</x:v>
      </x:c>
      <x:c r="O717" s="262" t="n">
        <x:f>IF(N717="","",M717/N717-1)</x:f>
        <x:v>-0.04978122085933567</x:v>
      </x:c>
    </x:row>
    <x:row r="718">
      <x:c r="J718" s="257" t="str">
        <x:v>000171.OF</x:v>
      </x:c>
      <x:c r="K718" s="258" t="str">
        <x:v>易方达裕丰回报债券A</x:v>
      </x:c>
      <x:c r="L718" s="263" t="n">
        <x:v>46221</x:v>
      </x:c>
      <x:c r="M718" s="261" t="n">
        <x:v>2.6494</x:v>
      </x:c>
      <x:c r="N718" s="261" t="n">
        <x:f>IF(OR(L718&lt;$B$3,L718&gt;$D$3),"",IF(AND(J718=J717,N717&lt;&gt;""),MAX(M718,N717),M718))</x:f>
        <x:v>2.7882</x:v>
      </x:c>
      <x:c r="O718" s="262" t="n">
        <x:f>IF(N718="","",M718/N718-1)</x:f>
        <x:v>-0.04978122085933567</x:v>
      </x:c>
    </x:row>
    <x:row r="719">
      <x:c r="J719" s="257" t="str">
        <x:v>000171.OF</x:v>
      </x:c>
      <x:c r="K719" s="258" t="str">
        <x:v>易方达裕丰回报债券A</x:v>
      </x:c>
      <x:c r="L719" s="263" t="n">
        <x:v>46222</x:v>
      </x:c>
      <x:c r="M719" s="261" t="n">
        <x:v>2.6494</x:v>
      </x:c>
      <x:c r="N719" s="261" t="n">
        <x:f>IF(OR(L719&lt;$B$3,L719&gt;$D$3),"",IF(AND(J719=J718,N718&lt;&gt;""),MAX(M719,N718),M719))</x:f>
        <x:v>2.7882</x:v>
      </x:c>
      <x:c r="O719" s="262" t="n">
        <x:f>IF(N719="","",M719/N719-1)</x:f>
        <x:v>-0.04978122085933567</x:v>
      </x:c>
    </x:row>
    <x:row r="720">
      <x:c r="J720" s="257" t="str">
        <x:v>000171.OF</x:v>
      </x:c>
      <x:c r="K720" s="258" t="str">
        <x:v>易方达裕丰回报债券A</x:v>
      </x:c>
      <x:c r="L720" s="263" t="n">
        <x:v>46223</x:v>
      </x:c>
      <x:c r="M720" s="261" t="n">
        <x:v>2.6418</x:v>
      </x:c>
      <x:c r="N720" s="261" t="n">
        <x:f>IF(OR(L720&lt;$B$3,L720&gt;$D$3),"",IF(AND(J720=J719,N719&lt;&gt;""),MAX(M720,N719),M720))</x:f>
        <x:v>2.7882</x:v>
      </x:c>
      <x:c r="O720" s="262" t="n">
        <x:f>IF(N720="","",M720/N720-1)</x:f>
        <x:v>-0.05250699375941459</x:v>
      </x:c>
    </x:row>
    <x:row r="721">
      <x:c r="J721" s="257" t="str">
        <x:v>000171.OF</x:v>
      </x:c>
      <x:c r="K721" s="258" t="str">
        <x:v>易方达裕丰回报债券A</x:v>
      </x:c>
      <x:c r="L721" s="263" t="n">
        <x:v>46224</x:v>
      </x:c>
      <x:c r="M721" s="261" t="n">
        <x:v>2.6787</x:v>
      </x:c>
      <x:c r="N721" s="261" t="n">
        <x:f>IF(OR(L721&lt;$B$3,L721&gt;$D$3),"",IF(AND(J721=J720,N720&lt;&gt;""),MAX(M721,N720),M721))</x:f>
        <x:v>2.7882</x:v>
      </x:c>
      <x:c r="O721" s="262" t="n">
        <x:f>IF(N721="","",M721/N721-1)</x:f>
        <x:v>-0.03927264902087357</x:v>
      </x:c>
    </x:row>
    <x:row r="722">
      <x:c r="J722" s="257" t="str">
        <x:v>000171.OF</x:v>
      </x:c>
      <x:c r="K722" s="258" t="str">
        <x:v>易方达裕丰回报债券A</x:v>
      </x:c>
      <x:c r="L722" s="263" t="n">
        <x:v>46225</x:v>
      </x:c>
      <x:c r="M722" s="261" t="n">
        <x:v>2.6672</x:v>
      </x:c>
      <x:c r="N722" s="261" t="n">
        <x:f>IF(OR(L722&lt;$B$3,L722&gt;$D$3),"",IF(AND(J722=J721,N721&lt;&gt;""),MAX(M722,N721),M722))</x:f>
        <x:v>2.7882</x:v>
      </x:c>
      <x:c r="O722" s="262" t="n">
        <x:f>IF(N722="","",M722/N722-1)</x:f>
        <x:v>-0.043397173803887856</x:v>
      </x:c>
    </x:row>
    <x:row r="723">
      <x:c r="J723" s="257" t="str">
        <x:v>000171.OF</x:v>
      </x:c>
      <x:c r="K723" s="258" t="str">
        <x:v>易方达裕丰回报债券A</x:v>
      </x:c>
      <x:c r="L723" s="263" t="n">
        <x:v>46226</x:v>
      </x:c>
      <x:c r="M723" s="261" t="n">
        <x:v>2.6596</x:v>
      </x:c>
      <x:c r="N723" s="261" t="n">
        <x:f>IF(OR(L723&lt;$B$3,L723&gt;$D$3),"",IF(AND(J723=J722,N722&lt;&gt;""),MAX(M723,N722),M723))</x:f>
        <x:v>2.7882</x:v>
      </x:c>
      <x:c r="O723" s="262" t="n">
        <x:f>IF(N723="","",M723/N723-1)</x:f>
        <x:v>-0.04612294670396655</x:v>
      </x:c>
    </x:row>
    <x:row r="724">
      <x:c r="J724" s="257" t="str">
        <x:v>000171.OF</x:v>
      </x:c>
      <x:c r="K724" s="258" t="str">
        <x:v>易方达裕丰回报债券A</x:v>
      </x:c>
      <x:c r="L724" s="263" t="n">
        <x:v>46227</x:v>
      </x:c>
      <x:c r="M724" s="261" t="n">
        <x:v>2.6558</x:v>
      </x:c>
      <x:c r="N724" s="261" t="n">
        <x:f>IF(OR(L724&lt;$B$3,L724&gt;$D$3),"",IF(AND(J724=J723,N723&lt;&gt;""),MAX(M724,N723),M724))</x:f>
        <x:v>2.7882</x:v>
      </x:c>
      <x:c r="O724" s="262" t="n">
        <x:f>IF(N724="","",M724/N724-1)</x:f>
        <x:v>-0.04748583315400601</x:v>
      </x:c>
    </x:row>
    <x:row r="725">
      <x:c r="J725" s="257" t="str">
        <x:v>000171.OF</x:v>
      </x:c>
      <x:c r="K725" s="258" t="str">
        <x:v>易方达裕丰回报债券A</x:v>
      </x:c>
      <x:c r="L725" s="263" t="n">
        <x:v>46228</x:v>
      </x:c>
      <x:c r="M725" s="261" t="n">
        <x:v>2.6558</x:v>
      </x:c>
      <x:c r="N725" s="261" t="n">
        <x:f>IF(OR(L725&lt;$B$3,L725&gt;$D$3),"",IF(AND(J725=J724,N724&lt;&gt;""),MAX(M725,N724),M725))</x:f>
        <x:v>2.7882</x:v>
      </x:c>
      <x:c r="O725" s="262" t="n">
        <x:f>IF(N725="","",M725/N725-1)</x:f>
        <x:v>-0.04748583315400601</x:v>
      </x:c>
    </x:row>
    <x:row r="726">
      <x:c r="J726" s="257" t="str">
        <x:v>000171.OF</x:v>
      </x:c>
      <x:c r="K726" s="258" t="str">
        <x:v>易方达裕丰回报债券A</x:v>
      </x:c>
      <x:c r="L726" s="263" t="n">
        <x:v>46229</x:v>
      </x:c>
      <x:c r="M726" s="261" t="n">
        <x:v>2.6558</x:v>
      </x:c>
      <x:c r="N726" s="261" t="n">
        <x:f>IF(OR(L726&lt;$B$3,L726&gt;$D$3),"",IF(AND(J726=J725,N725&lt;&gt;""),MAX(M726,N725),M726))</x:f>
        <x:v>2.7882</x:v>
      </x:c>
      <x:c r="O726" s="262" t="n">
        <x:f>IF(N726="","",M726/N726-1)</x:f>
        <x:v>-0.04748583315400601</x:v>
      </x:c>
    </x:row>
    <x:row r="727">
      <x:c r="J727" s="257" t="str">
        <x:v>000171.OF</x:v>
      </x:c>
      <x:c r="K727" s="258" t="str">
        <x:v>易方达裕丰回报债券A</x:v>
      </x:c>
      <x:c r="L727" s="263" t="n">
        <x:v>46230</x:v>
      </x:c>
      <x:c r="M727" s="261" t="n">
        <x:v>2.6685</x:v>
      </x:c>
      <x:c r="N727" s="261" t="n">
        <x:f>IF(OR(L727&lt;$B$3,L727&gt;$D$3),"",IF(AND(J727=J726,N726&lt;&gt;""),MAX(M727,N726),M727))</x:f>
        <x:v>2.7882</x:v>
      </x:c>
      <x:c r="O727" s="262" t="n">
        <x:f>IF(N727="","",M727/N727-1)</x:f>
        <x:v>-0.0429309231762427</x:v>
      </x:c>
    </x:row>
    <x:row r="728">
      <x:c r="J728" s="257" t="str">
        <x:v>000171.OF</x:v>
      </x:c>
      <x:c r="K728" s="258" t="str">
        <x:v>易方达裕丰回报债券A</x:v>
      </x:c>
      <x:c r="L728" s="263" t="n">
        <x:v>46231</x:v>
      </x:c>
      <x:c r="M728" s="261" t="n">
        <x:v>2.6367</x:v>
      </x:c>
      <x:c r="N728" s="261" t="n">
        <x:f>IF(OR(L728&lt;$B$3,L728&gt;$D$3),"",IF(AND(J728=J727,N727&lt;&gt;""),MAX(M728,N727),M728))</x:f>
        <x:v>2.7882</x:v>
      </x:c>
      <x:c r="O728" s="262" t="n">
        <x:f>IF(N728="","",M728/N728-1)</x:f>
        <x:v>-0.054336130837099206</x:v>
      </x:c>
    </x:row>
    <x:row r="729">
      <x:c r="J729" s="257" t="str">
        <x:v>000171.OF</x:v>
      </x:c>
      <x:c r="K729" s="258" t="str">
        <x:v>易方达裕丰回报债券A</x:v>
      </x:c>
      <x:c r="L729" s="263" t="n">
        <x:v>46232</x:v>
      </x:c>
      <x:c r="M729" s="261" t="n">
        <x:v>2.6367</x:v>
      </x:c>
      <x:c r="N729" s="261" t="n">
        <x:f>IF(OR(L729&lt;$B$3,L729&gt;$D$3),"",IF(AND(J729=J728,N728&lt;&gt;""),MAX(M729,N728),M729))</x:f>
        <x:v>2.7882</x:v>
      </x:c>
      <x:c r="O729" s="262" t="n">
        <x:f>IF(N729="","",M729/N729-1)</x:f>
        <x:v>-0.054336130837099206</x:v>
      </x:c>
    </x:row>
    <x:row r="730">
      <x:c r="J730" s="257" t="str">
        <x:v>000171.OF</x:v>
      </x:c>
      <x:c r="K730" s="258" t="str">
        <x:v>易方达裕丰回报债券A</x:v>
      </x:c>
      <x:c r="L730" s="263" t="n">
        <x:v>46233</x:v>
      </x:c>
      <x:c r="M730" s="261" t="n">
        <x:v>2.6112</x:v>
      </x:c>
      <x:c r="N730" s="261" t="n">
        <x:f>IF(OR(L730&lt;$B$3,L730&gt;$D$3),"",IF(AND(J730=J729,N729&lt;&gt;""),MAX(M730,N729),M730))</x:f>
        <x:v>2.7882</x:v>
      </x:c>
      <x:c r="O730" s="262" t="n">
        <x:f>IF(N730="","",M730/N730-1)</x:f>
        <x:v>-0.06348181622552174</x:v>
      </x:c>
    </x:row>
    <x:row r="731">
      <x:c r="J731" s="257" t="str">
        <x:v>000171.OF</x:v>
      </x:c>
      <x:c r="K731" s="258" t="str">
        <x:v>易方达裕丰回报债券A</x:v>
      </x:c>
      <x:c r="L731" s="263" t="n">
        <x:v>46234</x:v>
      </x:c>
      <x:c r="M731" s="261" t="n">
        <x:v>2.6252</x:v>
      </x:c>
      <x:c r="N731" s="261" t="n">
        <x:f>IF(OR(L731&lt;$B$3,L731&gt;$D$3),"",IF(AND(J731=J730,N730&lt;&gt;""),MAX(M731,N730),M731))</x:f>
        <x:v>2.7882</x:v>
      </x:c>
      <x:c r="O731" s="262" t="n">
        <x:f>IF(N731="","",M731/N731-1)</x:f>
        <x:v>-0.05846065562011327</x:v>
      </x:c>
    </x:row>
    <x:row r="732">
      <x:c r="J732" s="257" t="str">
        <x:v>000171.OF</x:v>
      </x:c>
      <x:c r="K732" s="258" t="str">
        <x:v>易方达裕丰回报债券A</x:v>
      </x:c>
      <x:c r="L732" s="263" t="n">
        <x:v>46235</x:v>
      </x:c>
      <x:c r="M732" s="261" t="n">
        <x:v>2.6252</x:v>
      </x:c>
      <x:c r="N732" s="261" t="n">
        <x:f>IF(OR(L732&lt;$B$3,L732&gt;$D$3),"",IF(AND(J732=J731,N731&lt;&gt;""),MAX(M732,N731),M732))</x:f>
        <x:v>2.7882</x:v>
      </x:c>
      <x:c r="O732" s="262" t="n">
        <x:f>IF(N732="","",M732/N732-1)</x:f>
        <x:v>-0.05846065562011327</x:v>
      </x:c>
    </x:row>
    <x:row r="733">
      <x:c r="J733" s="257" t="str">
        <x:v>000171.OF</x:v>
      </x:c>
      <x:c r="K733" s="258" t="str">
        <x:v>易方达裕丰回报债券A</x:v>
      </x:c>
      <x:c r="L733" s="263" t="n">
        <x:v>46236</x:v>
      </x:c>
      <x:c r="M733" s="261" t="n">
        <x:v>2.6252</x:v>
      </x:c>
      <x:c r="N733" s="261" t="n">
        <x:f>IF(OR(L733&lt;$B$3,L733&gt;$D$3),"",IF(AND(J733=J732,N732&lt;&gt;""),MAX(M733,N732),M733))</x:f>
        <x:v>2.7882</x:v>
      </x:c>
      <x:c r="O733" s="262" t="n">
        <x:f>IF(N733="","",M733/N733-1)</x:f>
        <x:v>-0.05846065562011327</x:v>
      </x:c>
    </x:row>
    <x:row r="734">
      <x:c r="J734" s="257" t="str">
        <x:v>000171.OF</x:v>
      </x:c>
      <x:c r="K734" s="258" t="str">
        <x:v>易方达裕丰回报债券A</x:v>
      </x:c>
      <x:c r="L734" s="263" t="n">
        <x:v>46237</x:v>
      </x:c>
      <x:c r="M734" s="261" t="n">
        <x:v>2.6138</x:v>
      </x:c>
      <x:c r="N734" s="261" t="n">
        <x:f>IF(OR(L734&lt;$B$3,L734&gt;$D$3),"",IF(AND(J734=J733,N733&lt;&gt;""),MAX(M734,N733),M734))</x:f>
        <x:v>2.7882</x:v>
      </x:c>
      <x:c r="O734" s="262" t="n">
        <x:f>IF(N734="","",M734/N734-1)</x:f>
        <x:v>-0.06254931497023164</x:v>
      </x:c>
    </x:row>
    <x:row r="735">
      <x:c r="J735" s="257" t="str">
        <x:v>000171.OF</x:v>
      </x:c>
      <x:c r="K735" s="258" t="str">
        <x:v>易方达裕丰回报债券A</x:v>
      </x:c>
      <x:c r="L735" s="263" t="n">
        <x:v>46238</x:v>
      </x:c>
      <x:c r="M735" s="261" t="n">
        <x:v>2.6367</x:v>
      </x:c>
      <x:c r="N735" s="261" t="n">
        <x:f>IF(OR(L735&lt;$B$3,L735&gt;$D$3),"",IF(AND(J735=J734,N734&lt;&gt;""),MAX(M735,N734),M735))</x:f>
        <x:v>2.7882</x:v>
      </x:c>
      <x:c r="O735" s="262" t="n">
        <x:f>IF(N735="","",M735/N735-1)</x:f>
        <x:v>-0.054336130837099206</x:v>
      </x:c>
    </x:row>
    <x:row r="736">
      <x:c r="J736" s="257" t="str">
        <x:v>000171.OF</x:v>
      </x:c>
      <x:c r="K736" s="258" t="str">
        <x:v>易方达裕丰回报债券A</x:v>
      </x:c>
      <x:c r="L736" s="263" t="n">
        <x:v>46239</x:v>
      </x:c>
      <x:c r="M736" s="261" t="n">
        <x:v>2.6443</x:v>
      </x:c>
      <x:c r="N736" s="261" t="n">
        <x:f>IF(OR(L736&lt;$B$3,L736&gt;$D$3),"",IF(AND(J736=J735,N735&lt;&gt;""),MAX(M736,N735),M736))</x:f>
        <x:v>2.7882</x:v>
      </x:c>
      <x:c r="O736" s="262" t="n">
        <x:f>IF(N736="","",M736/N736-1)</x:f>
        <x:v>-0.05161035793702029</x:v>
      </x:c>
    </x:row>
    <x:row r="737">
      <x:c r="J737" s="257" t="str">
        <x:v>000171.OF</x:v>
      </x:c>
      <x:c r="K737" s="258" t="str">
        <x:v>易方达裕丰回报债券A</x:v>
      </x:c>
      <x:c r="L737" s="263" t="n">
        <x:v>46240</x:v>
      </x:c>
      <x:c r="M737" s="261" t="n">
        <x:v>2.6494</x:v>
      </x:c>
      <x:c r="N737" s="261" t="n">
        <x:f>IF(OR(L737&lt;$B$3,L737&gt;$D$3),"",IF(AND(J737=J736,N736&lt;&gt;""),MAX(M737,N736),M737))</x:f>
        <x:v>2.7882</x:v>
      </x:c>
      <x:c r="O737" s="262" t="n">
        <x:f>IF(N737="","",M737/N737-1)</x:f>
        <x:v>-0.04978122085933567</x:v>
      </x:c>
    </x:row>
    <x:row r="738">
      <x:c r="J738" s="257" t="str">
        <x:v>000171.OF</x:v>
      </x:c>
      <x:c r="K738" s="258" t="str">
        <x:v>易方达裕丰回报债券A</x:v>
      </x:c>
      <x:c r="L738" s="263" t="n">
        <x:v>46241</x:v>
      </x:c>
      <x:c r="M738" s="261" t="n">
        <x:v>2.6545</x:v>
      </x:c>
      <x:c r="N738" s="261" t="n">
        <x:f>IF(OR(L738&lt;$B$3,L738&gt;$D$3),"",IF(AND(J738=J737,N737&lt;&gt;""),MAX(M738,N737),M738))</x:f>
        <x:v>2.7882</x:v>
      </x:c>
      <x:c r="O738" s="262" t="n">
        <x:f>IF(N738="","",M738/N738-1)</x:f>
        <x:v>-0.04795208378165117</x:v>
      </x:c>
    </x:row>
    <x:row r="739">
      <x:c r="J739" s="257" t="str">
        <x:v>000171.OF</x:v>
      </x:c>
      <x:c r="K739" s="258" t="str">
        <x:v>易方达裕丰回报债券A</x:v>
      </x:c>
      <x:c r="L739" s="263" t="n">
        <x:v>46242</x:v>
      </x:c>
      <x:c r="M739" s="261" t="n">
        <x:v>2.6545</x:v>
      </x:c>
      <x:c r="N739" s="261" t="n">
        <x:f>IF(OR(L739&lt;$B$3,L739&gt;$D$3),"",IF(AND(J739=J738,N738&lt;&gt;""),MAX(M739,N738),M739))</x:f>
        <x:v>2.7882</x:v>
      </x:c>
      <x:c r="O739" s="262" t="n">
        <x:f>IF(N739="","",M739/N739-1)</x:f>
        <x:v>-0.04795208378165117</x:v>
      </x:c>
    </x:row>
    <x:row r="740">
      <x:c r="J740" s="257" t="str">
        <x:v>000171.OF</x:v>
      </x:c>
      <x:c r="K740" s="258" t="str">
        <x:v>易方达裕丰回报债券A</x:v>
      </x:c>
      <x:c r="L740" s="263" t="n">
        <x:v>46243</x:v>
      </x:c>
      <x:c r="M740" s="261" t="n">
        <x:v>2.6545</x:v>
      </x:c>
      <x:c r="N740" s="261" t="n">
        <x:f>IF(OR(L740&lt;$B$3,L740&gt;$D$3),"",IF(AND(J740=J739,N739&lt;&gt;""),MAX(M740,N739),M740))</x:f>
        <x:v>2.7882</x:v>
      </x:c>
      <x:c r="O740" s="262" t="n">
        <x:f>IF(N740="","",M740/N740-1)</x:f>
        <x:v>-0.04795208378165117</x:v>
      </x:c>
    </x:row>
    <x:row r="741">
      <x:c r="J741" s="257" t="str">
        <x:v>000171.OF</x:v>
      </x:c>
      <x:c r="K741" s="258" t="str">
        <x:v>易方达裕丰回报债券A</x:v>
      </x:c>
      <x:c r="L741" s="263" t="n">
        <x:v>46244</x:v>
      </x:c>
      <x:c r="M741" s="261" t="n">
        <x:v>2.6456</x:v>
      </x:c>
      <x:c r="N741" s="261" t="n">
        <x:f>IF(OR(L741&lt;$B$3,L741&gt;$D$3),"",IF(AND(J741=J740,N740&lt;&gt;""),MAX(M741,N740),M741))</x:f>
        <x:v>2.7882</x:v>
      </x:c>
      <x:c r="O741" s="262" t="n">
        <x:f>IF(N741="","",M741/N741-1)</x:f>
        <x:v>-0.05114410730937513</x:v>
      </x:c>
    </x:row>
    <x:row r="742">
      <x:c r="J742" s="257" t="str">
        <x:v>000406.OF</x:v>
      </x:c>
      <x:c r="K742" s="258" t="str">
        <x:v>汇添富双利增强债券A</x:v>
      </x:c>
      <x:c r="L742" s="263" t="n">
        <x:v>46191</x:v>
      </x:c>
      <x:c r="M742" s="261" t="n">
        <x:v>2.0628</x:v>
      </x:c>
      <x:c r="N742" s="261" t="n">
        <x:f>IF(OR(L742&lt;$B$3,L742&gt;$D$3),"",IF(AND(J742=J741,N741&lt;&gt;""),MAX(M742,N741),M742))</x:f>
        <x:v>2.0628</x:v>
      </x:c>
      <x:c r="O742" s="262" t="n">
        <x:f>IF(N742="","",M742/N742-1)</x:f>
        <x:v>0</x:v>
      </x:c>
    </x:row>
    <x:row r="743">
      <x:c r="J743" s="257" t="str">
        <x:v>000406.OF</x:v>
      </x:c>
      <x:c r="K743" s="258" t="str">
        <x:v>汇添富双利增强债券A</x:v>
      </x:c>
      <x:c r="L743" s="263" t="n">
        <x:v>46192</x:v>
      </x:c>
      <x:c r="M743" s="261" t="n">
        <x:v>2.0628</x:v>
      </x:c>
      <x:c r="N743" s="261" t="n">
        <x:f>IF(OR(L743&lt;$B$3,L743&gt;$D$3),"",IF(AND(J743=J742,N742&lt;&gt;""),MAX(M743,N742),M743))</x:f>
        <x:v>2.0628</x:v>
      </x:c>
      <x:c r="O743" s="262" t="n">
        <x:f>IF(N743="","",M743/N743-1)</x:f>
        <x:v>0</x:v>
      </x:c>
    </x:row>
    <x:row r="744">
      <x:c r="J744" s="257" t="str">
        <x:v>000406.OF</x:v>
      </x:c>
      <x:c r="K744" s="258" t="str">
        <x:v>汇添富双利增强债券A</x:v>
      </x:c>
      <x:c r="L744" s="263" t="n">
        <x:v>46193</x:v>
      </x:c>
      <x:c r="M744" s="261" t="n">
        <x:v>2.0628</x:v>
      </x:c>
      <x:c r="N744" s="261" t="n">
        <x:f>IF(OR(L744&lt;$B$3,L744&gt;$D$3),"",IF(AND(J744=J743,N743&lt;&gt;""),MAX(M744,N743),M744))</x:f>
        <x:v>2.0628</x:v>
      </x:c>
      <x:c r="O744" s="262" t="n">
        <x:f>IF(N744="","",M744/N744-1)</x:f>
        <x:v>0</x:v>
      </x:c>
    </x:row>
    <x:row r="745">
      <x:c r="J745" s="257" t="str">
        <x:v>000406.OF</x:v>
      </x:c>
      <x:c r="K745" s="258" t="str">
        <x:v>汇添富双利增强债券A</x:v>
      </x:c>
      <x:c r="L745" s="263" t="n">
        <x:v>46194</x:v>
      </x:c>
      <x:c r="M745" s="261" t="n">
        <x:v>2.0628</x:v>
      </x:c>
      <x:c r="N745" s="261" t="n">
        <x:f>IF(OR(L745&lt;$B$3,L745&gt;$D$3),"",IF(AND(J745=J744,N744&lt;&gt;""),MAX(M745,N744),M745))</x:f>
        <x:v>2.0628</x:v>
      </x:c>
      <x:c r="O745" s="262" t="n">
        <x:f>IF(N745="","",M745/N745-1)</x:f>
        <x:v>0</x:v>
      </x:c>
    </x:row>
    <x:row r="746">
      <x:c r="J746" s="257" t="str">
        <x:v>000406.OF</x:v>
      </x:c>
      <x:c r="K746" s="258" t="str">
        <x:v>汇添富双利增强债券A</x:v>
      </x:c>
      <x:c r="L746" s="263" t="n">
        <x:v>46195</x:v>
      </x:c>
      <x:c r="M746" s="261" t="n">
        <x:v>2.0687</x:v>
      </x:c>
      <x:c r="N746" s="261" t="n">
        <x:f>IF(OR(L746&lt;$B$3,L746&gt;$D$3),"",IF(AND(J746=J745,N745&lt;&gt;""),MAX(M746,N745),M746))</x:f>
        <x:v>2.0687</x:v>
      </x:c>
      <x:c r="O746" s="262" t="n">
        <x:f>IF(N746="","",M746/N746-1)</x:f>
        <x:v>0</x:v>
      </x:c>
    </x:row>
    <x:row r="747">
      <x:c r="J747" s="257" t="str">
        <x:v>000406.OF</x:v>
      </x:c>
      <x:c r="K747" s="258" t="str">
        <x:v>汇添富双利增强债券A</x:v>
      </x:c>
      <x:c r="L747" s="263" t="n">
        <x:v>46196</x:v>
      </x:c>
      <x:c r="M747" s="261" t="n">
        <x:v>2.0534</x:v>
      </x:c>
      <x:c r="N747" s="261" t="n">
        <x:f>IF(OR(L747&lt;$B$3,L747&gt;$D$3),"",IF(AND(J747=J746,N746&lt;&gt;""),MAX(M747,N746),M747))</x:f>
        <x:v>2.0687</x:v>
      </x:c>
      <x:c r="O747" s="262" t="n">
        <x:f>IF(N747="","",M747/N747-1)</x:f>
        <x:v>-0.007395949146807301</x:v>
      </x:c>
    </x:row>
    <x:row r="748">
      <x:c r="J748" s="257" t="str">
        <x:v>000406.OF</x:v>
      </x:c>
      <x:c r="K748" s="258" t="str">
        <x:v>汇添富双利增强债券A</x:v>
      </x:c>
      <x:c r="L748" s="263" t="n">
        <x:v>46197</x:v>
      </x:c>
      <x:c r="M748" s="261" t="n">
        <x:v>2.0617</x:v>
      </x:c>
      <x:c r="N748" s="261" t="n">
        <x:f>IF(OR(L748&lt;$B$3,L748&gt;$D$3),"",IF(AND(J748=J747,N747&lt;&gt;""),MAX(M748,N747),M748))</x:f>
        <x:v>2.0687</x:v>
      </x:c>
      <x:c r="O748" s="262" t="n">
        <x:f>IF(N748="","",M748/N748-1)</x:f>
        <x:v>-0.0033837675835065584</x:v>
      </x:c>
    </x:row>
    <x:row r="749">
      <x:c r="J749" s="257" t="str">
        <x:v>000406.OF</x:v>
      </x:c>
      <x:c r="K749" s="258" t="str">
        <x:v>汇添富双利增强债券A</x:v>
      </x:c>
      <x:c r="L749" s="263" t="n">
        <x:v>46198</x:v>
      </x:c>
      <x:c r="M749" s="261" t="n">
        <x:v>2.0753</x:v>
      </x:c>
      <x:c r="N749" s="261" t="n">
        <x:f>IF(OR(L749&lt;$B$3,L749&gt;$D$3),"",IF(AND(J749=J748,N748&lt;&gt;""),MAX(M749,N748),M749))</x:f>
        <x:v>2.0753</x:v>
      </x:c>
      <x:c r="O749" s="262" t="n">
        <x:f>IF(N749="","",M749/N749-1)</x:f>
        <x:v>0</x:v>
      </x:c>
    </x:row>
    <x:row r="750">
      <x:c r="J750" s="257" t="str">
        <x:v>000406.OF</x:v>
      </x:c>
      <x:c r="K750" s="258" t="str">
        <x:v>汇添富双利增强债券A</x:v>
      </x:c>
      <x:c r="L750" s="263" t="n">
        <x:v>46199</x:v>
      </x:c>
      <x:c r="M750" s="261" t="n">
        <x:v>2.0681</x:v>
      </x:c>
      <x:c r="N750" s="261" t="n">
        <x:f>IF(OR(L750&lt;$B$3,L750&gt;$D$3),"",IF(AND(J750=J749,N749&lt;&gt;""),MAX(M750,N749),M750))</x:f>
        <x:v>2.0753</x:v>
      </x:c>
      <x:c r="O750" s="262" t="n">
        <x:f>IF(N750="","",M750/N750-1)</x:f>
        <x:v>-0.0034693779212644493</x:v>
      </x:c>
    </x:row>
    <x:row r="751">
      <x:c r="J751" s="257" t="str">
        <x:v>000406.OF</x:v>
      </x:c>
      <x:c r="K751" s="258" t="str">
        <x:v>汇添富双利增强债券A</x:v>
      </x:c>
      <x:c r="L751" s="263" t="n">
        <x:v>46200</x:v>
      </x:c>
      <x:c r="M751" s="261" t="n">
        <x:v>2.0681</x:v>
      </x:c>
      <x:c r="N751" s="261" t="n">
        <x:f>IF(OR(L751&lt;$B$3,L751&gt;$D$3),"",IF(AND(J751=J750,N750&lt;&gt;""),MAX(M751,N750),M751))</x:f>
        <x:v>2.0753</x:v>
      </x:c>
      <x:c r="O751" s="262" t="n">
        <x:f>IF(N751="","",M751/N751-1)</x:f>
        <x:v>-0.0034693779212644493</x:v>
      </x:c>
    </x:row>
    <x:row r="752">
      <x:c r="J752" s="257" t="str">
        <x:v>000406.OF</x:v>
      </x:c>
      <x:c r="K752" s="258" t="str">
        <x:v>汇添富双利增强债券A</x:v>
      </x:c>
      <x:c r="L752" s="263" t="n">
        <x:v>46201</x:v>
      </x:c>
      <x:c r="M752" s="261" t="n">
        <x:v>2.0681</x:v>
      </x:c>
      <x:c r="N752" s="261" t="n">
        <x:f>IF(OR(L752&lt;$B$3,L752&gt;$D$3),"",IF(AND(J752=J751,N751&lt;&gt;""),MAX(M752,N751),M752))</x:f>
        <x:v>2.0753</x:v>
      </x:c>
      <x:c r="O752" s="262" t="n">
        <x:f>IF(N752="","",M752/N752-1)</x:f>
        <x:v>-0.0034693779212644493</x:v>
      </x:c>
    </x:row>
    <x:row r="753">
      <x:c r="J753" s="257" t="str">
        <x:v>000406.OF</x:v>
      </x:c>
      <x:c r="K753" s="258" t="str">
        <x:v>汇添富双利增强债券A</x:v>
      </x:c>
      <x:c r="L753" s="263" t="n">
        <x:v>46202</x:v>
      </x:c>
      <x:c r="M753" s="261" t="n">
        <x:v>2.0672</x:v>
      </x:c>
      <x:c r="N753" s="261" t="n">
        <x:f>IF(OR(L753&lt;$B$3,L753&gt;$D$3),"",IF(AND(J753=J752,N752&lt;&gt;""),MAX(M753,N752),M753))</x:f>
        <x:v>2.0753</x:v>
      </x:c>
      <x:c r="O753" s="262" t="n">
        <x:f>IF(N753="","",M753/N753-1)</x:f>
        <x:v>-0.003903050161422339</x:v>
      </x:c>
    </x:row>
    <x:row r="754">
      <x:c r="J754" s="257" t="str">
        <x:v>000406.OF</x:v>
      </x:c>
      <x:c r="K754" s="258" t="str">
        <x:v>汇添富双利增强债券A</x:v>
      </x:c>
      <x:c r="L754" s="263" t="n">
        <x:v>46203</x:v>
      </x:c>
      <x:c r="M754" s="261" t="n">
        <x:v>2.0695</x:v>
      </x:c>
      <x:c r="N754" s="261" t="n">
        <x:f>IF(OR(L754&lt;$B$3,L754&gt;$D$3),"",IF(AND(J754=J753,N753&lt;&gt;""),MAX(M754,N753),M754))</x:f>
        <x:v>2.0753</x:v>
      </x:c>
      <x:c r="O754" s="262" t="n">
        <x:f>IF(N754="","",M754/N754-1)</x:f>
        <x:v>-0.0027947766587962386</x:v>
      </x:c>
    </x:row>
    <x:row r="755">
      <x:c r="J755" s="257" t="str">
        <x:v>000406.OF</x:v>
      </x:c>
      <x:c r="K755" s="258" t="str">
        <x:v>汇添富双利增强债券A</x:v>
      </x:c>
      <x:c r="L755" s="263" t="n">
        <x:v>46204</x:v>
      </x:c>
      <x:c r="M755" s="261" t="n">
        <x:v>2.0668</x:v>
      </x:c>
      <x:c r="N755" s="261" t="n">
        <x:f>IF(OR(L755&lt;$B$3,L755&gt;$D$3),"",IF(AND(J755=J754,N754&lt;&gt;""),MAX(M755,N754),M755))</x:f>
        <x:v>2.0753</x:v>
      </x:c>
      <x:c r="O755" s="262" t="n">
        <x:f>IF(N755="","",M755/N755-1)</x:f>
        <x:v>-0.004095793379270352</x:v>
      </x:c>
    </x:row>
    <x:row r="756">
      <x:c r="J756" s="257" t="str">
        <x:v>000406.OF</x:v>
      </x:c>
      <x:c r="K756" s="258" t="str">
        <x:v>汇添富双利增强债券A</x:v>
      </x:c>
      <x:c r="L756" s="263" t="n">
        <x:v>46205</x:v>
      </x:c>
      <x:c r="M756" s="261" t="n">
        <x:v>2.0534</x:v>
      </x:c>
      <x:c r="N756" s="261" t="n">
        <x:f>IF(OR(L756&lt;$B$3,L756&gt;$D$3),"",IF(AND(J756=J755,N755&lt;&gt;""),MAX(M756,N755),M756))</x:f>
        <x:v>2.0753</x:v>
      </x:c>
      <x:c r="O756" s="262" t="n">
        <x:f>IF(N756="","",M756/N756-1)</x:f>
        <x:v>-0.010552691177179163</x:v>
      </x:c>
    </x:row>
    <x:row r="757">
      <x:c r="J757" s="257" t="str">
        <x:v>000406.OF</x:v>
      </x:c>
      <x:c r="K757" s="258" t="str">
        <x:v>汇添富双利增强债券A</x:v>
      </x:c>
      <x:c r="L757" s="263" t="n">
        <x:v>46206</x:v>
      </x:c>
      <x:c r="M757" s="261" t="n">
        <x:v>2.0522</x:v>
      </x:c>
      <x:c r="N757" s="261" t="n">
        <x:f>IF(OR(L757&lt;$B$3,L757&gt;$D$3),"",IF(AND(J757=J756,N756&lt;&gt;""),MAX(M757,N756),M757))</x:f>
        <x:v>2.0753</x:v>
      </x:c>
      <x:c r="O757" s="262" t="n">
        <x:f>IF(N757="","",M757/N757-1)</x:f>
        <x:v>-0.011130920830723201</x:v>
      </x:c>
    </x:row>
    <x:row r="758">
      <x:c r="J758" s="257" t="str">
        <x:v>000406.OF</x:v>
      </x:c>
      <x:c r="K758" s="258" t="str">
        <x:v>汇添富双利增强债券A</x:v>
      </x:c>
      <x:c r="L758" s="263" t="n">
        <x:v>46207</x:v>
      </x:c>
      <x:c r="M758" s="261" t="n">
        <x:v>2.0522</x:v>
      </x:c>
      <x:c r="N758" s="261" t="n">
        <x:f>IF(OR(L758&lt;$B$3,L758&gt;$D$3),"",IF(AND(J758=J757,N757&lt;&gt;""),MAX(M758,N757),M758))</x:f>
        <x:v>2.0753</x:v>
      </x:c>
      <x:c r="O758" s="262" t="n">
        <x:f>IF(N758="","",M758/N758-1)</x:f>
        <x:v>-0.011130920830723201</x:v>
      </x:c>
    </x:row>
    <x:row r="759">
      <x:c r="J759" s="257" t="str">
        <x:v>000406.OF</x:v>
      </x:c>
      <x:c r="K759" s="258" t="str">
        <x:v>汇添富双利增强债券A</x:v>
      </x:c>
      <x:c r="L759" s="263" t="n">
        <x:v>46208</x:v>
      </x:c>
      <x:c r="M759" s="261" t="n">
        <x:v>2.0522</x:v>
      </x:c>
      <x:c r="N759" s="261" t="n">
        <x:f>IF(OR(L759&lt;$B$3,L759&gt;$D$3),"",IF(AND(J759=J758,N758&lt;&gt;""),MAX(M759,N758),M759))</x:f>
        <x:v>2.0753</x:v>
      </x:c>
      <x:c r="O759" s="262" t="n">
        <x:f>IF(N759="","",M759/N759-1)</x:f>
        <x:v>-0.011130920830723201</x:v>
      </x:c>
    </x:row>
    <x:row r="760">
      <x:c r="J760" s="257" t="str">
        <x:v>000406.OF</x:v>
      </x:c>
      <x:c r="K760" s="258" t="str">
        <x:v>汇添富双利增强债券A</x:v>
      </x:c>
      <x:c r="L760" s="263" t="n">
        <x:v>46209</x:v>
      </x:c>
      <x:c r="M760" s="261" t="n">
        <x:v>2.0468</x:v>
      </x:c>
      <x:c r="N760" s="261" t="n">
        <x:f>IF(OR(L760&lt;$B$3,L760&gt;$D$3),"",IF(AND(J760=J759,N759&lt;&gt;""),MAX(M760,N759),M760))</x:f>
        <x:v>2.0753</x:v>
      </x:c>
      <x:c r="O760" s="262" t="n">
        <x:f>IF(N760="","",M760/N760-1)</x:f>
        <x:v>-0.013732954271671427</x:v>
      </x:c>
    </x:row>
    <x:row r="761">
      <x:c r="J761" s="257" t="str">
        <x:v>000406.OF</x:v>
      </x:c>
      <x:c r="K761" s="258" t="str">
        <x:v>汇添富双利增强债券A</x:v>
      </x:c>
      <x:c r="L761" s="263" t="n">
        <x:v>46210</x:v>
      </x:c>
      <x:c r="M761" s="261" t="n">
        <x:v>2.0417</x:v>
      </x:c>
      <x:c r="N761" s="261" t="n">
        <x:f>IF(OR(L761&lt;$B$3,L761&gt;$D$3),"",IF(AND(J761=J760,N760&lt;&gt;""),MAX(M761,N760),M761))</x:f>
        <x:v>2.0753</x:v>
      </x:c>
      <x:c r="O761" s="262" t="n">
        <x:f>IF(N761="","",M761/N761-1)</x:f>
        <x:v>-0.016190430299233727</x:v>
      </x:c>
    </x:row>
    <x:row r="762">
      <x:c r="J762" s="257" t="str">
        <x:v>000406.OF</x:v>
      </x:c>
      <x:c r="K762" s="258" t="str">
        <x:v>汇添富双利增强债券A</x:v>
      </x:c>
      <x:c r="L762" s="263" t="n">
        <x:v>46211</x:v>
      </x:c>
      <x:c r="M762" s="261" t="n">
        <x:v>2.03</x:v>
      </x:c>
      <x:c r="N762" s="261" t="n">
        <x:f>IF(OR(L762&lt;$B$3,L762&gt;$D$3),"",IF(AND(J762=J761,N761&lt;&gt;""),MAX(M762,N761),M762))</x:f>
        <x:v>2.0753</x:v>
      </x:c>
      <x:c r="O762" s="262" t="n">
        <x:f>IF(N762="","",M762/N762-1)</x:f>
        <x:v>-0.021828169421288512</x:v>
      </x:c>
    </x:row>
    <x:row r="763">
      <x:c r="J763" s="257" t="str">
        <x:v>000406.OF</x:v>
      </x:c>
      <x:c r="K763" s="258" t="str">
        <x:v>汇添富双利增强债券A</x:v>
      </x:c>
      <x:c r="L763" s="263" t="n">
        <x:v>46212</x:v>
      </x:c>
      <x:c r="M763" s="261" t="n">
        <x:v>2.0347</x:v>
      </x:c>
      <x:c r="N763" s="261" t="n">
        <x:f>IF(OR(L763&lt;$B$3,L763&gt;$D$3),"",IF(AND(J763=J762,N762&lt;&gt;""),MAX(M763,N762),M763))</x:f>
        <x:v>2.0753</x:v>
      </x:c>
      <x:c r="O763" s="262" t="n">
        <x:f>IF(N763="","",M763/N763-1)</x:f>
        <x:v>-0.019563436611574225</x:v>
      </x:c>
    </x:row>
    <x:row r="764">
      <x:c r="J764" s="257" t="str">
        <x:v>000406.OF</x:v>
      </x:c>
      <x:c r="K764" s="258" t="str">
        <x:v>汇添富双利增强债券A</x:v>
      </x:c>
      <x:c r="L764" s="263" t="n">
        <x:v>46213</x:v>
      </x:c>
      <x:c r="M764" s="261" t="n">
        <x:v>2.0239</x:v>
      </x:c>
      <x:c r="N764" s="261" t="n">
        <x:f>IF(OR(L764&lt;$B$3,L764&gt;$D$3),"",IF(AND(J764=J763,N763&lt;&gt;""),MAX(M764,N763),M764))</x:f>
        <x:v>2.0753</x:v>
      </x:c>
      <x:c r="O764" s="262" t="n">
        <x:f>IF(N764="","",M764/N764-1)</x:f>
        <x:v>-0.0247675034934709</x:v>
      </x:c>
    </x:row>
    <x:row r="765">
      <x:c r="J765" s="257" t="str">
        <x:v>000406.OF</x:v>
      </x:c>
      <x:c r="K765" s="258" t="str">
        <x:v>汇添富双利增强债券A</x:v>
      </x:c>
      <x:c r="L765" s="263" t="n">
        <x:v>46214</x:v>
      </x:c>
      <x:c r="M765" s="261" t="n">
        <x:v>2.0239</x:v>
      </x:c>
      <x:c r="N765" s="261" t="n">
        <x:f>IF(OR(L765&lt;$B$3,L765&gt;$D$3),"",IF(AND(J765=J764,N764&lt;&gt;""),MAX(M765,N764),M765))</x:f>
        <x:v>2.0753</x:v>
      </x:c>
      <x:c r="O765" s="262" t="n">
        <x:f>IF(N765="","",M765/N765-1)</x:f>
        <x:v>-0.0247675034934709</x:v>
      </x:c>
    </x:row>
    <x:row r="766">
      <x:c r="J766" s="257" t="str">
        <x:v>000406.OF</x:v>
      </x:c>
      <x:c r="K766" s="258" t="str">
        <x:v>汇添富双利增强债券A</x:v>
      </x:c>
      <x:c r="L766" s="263" t="n">
        <x:v>46215</x:v>
      </x:c>
      <x:c r="M766" s="261" t="n">
        <x:v>2.0239</x:v>
      </x:c>
      <x:c r="N766" s="261" t="n">
        <x:f>IF(OR(L766&lt;$B$3,L766&gt;$D$3),"",IF(AND(J766=J765,N765&lt;&gt;""),MAX(M766,N765),M766))</x:f>
        <x:v>2.0753</x:v>
      </x:c>
      <x:c r="O766" s="262" t="n">
        <x:f>IF(N766="","",M766/N766-1)</x:f>
        <x:v>-0.0247675034934709</x:v>
      </x:c>
    </x:row>
    <x:row r="767">
      <x:c r="J767" s="257" t="str">
        <x:v>000406.OF</x:v>
      </x:c>
      <x:c r="K767" s="258" t="str">
        <x:v>汇添富双利增强债券A</x:v>
      </x:c>
      <x:c r="L767" s="263" t="n">
        <x:v>46216</x:v>
      </x:c>
      <x:c r="M767" s="261" t="n">
        <x:v>2.003</x:v>
      </x:c>
      <x:c r="N767" s="261" t="n">
        <x:f>IF(OR(L767&lt;$B$3,L767&gt;$D$3),"",IF(AND(J767=J766,N766&lt;&gt;""),MAX(M767,N766),M767))</x:f>
        <x:v>2.0753</x:v>
      </x:c>
      <x:c r="O767" s="262" t="n">
        <x:f>IF(N767="","",M767/N767-1)</x:f>
        <x:v>-0.034838336626029864</x:v>
      </x:c>
    </x:row>
    <x:row r="768">
      <x:c r="J768" s="257" t="str">
        <x:v>000406.OF</x:v>
      </x:c>
      <x:c r="K768" s="258" t="str">
        <x:v>汇添富双利增强债券A</x:v>
      </x:c>
      <x:c r="L768" s="263" t="n">
        <x:v>46217</x:v>
      </x:c>
      <x:c r="M768" s="261" t="n">
        <x:v>2.013</x:v>
      </x:c>
      <x:c r="N768" s="261" t="n">
        <x:f>IF(OR(L768&lt;$B$3,L768&gt;$D$3),"",IF(AND(J768=J767,N767&lt;&gt;""),MAX(M768,N767),M768))</x:f>
        <x:v>2.0753</x:v>
      </x:c>
      <x:c r="O768" s="262" t="n">
        <x:f>IF(N768="","",M768/N768-1)</x:f>
        <x:v>-0.030019756179829438</x:v>
      </x:c>
    </x:row>
    <x:row r="769">
      <x:c r="J769" s="257" t="str">
        <x:v>000406.OF</x:v>
      </x:c>
      <x:c r="K769" s="258" t="str">
        <x:v>汇添富双利增强债券A</x:v>
      </x:c>
      <x:c r="L769" s="263" t="n">
        <x:v>46218</x:v>
      </x:c>
      <x:c r="M769" s="261" t="n">
        <x:v>2.0044</x:v>
      </x:c>
      <x:c r="N769" s="261" t="n">
        <x:f>IF(OR(L769&lt;$B$3,L769&gt;$D$3),"",IF(AND(J769=J768,N768&lt;&gt;""),MAX(M769,N768),M769))</x:f>
        <x:v>2.0753</x:v>
      </x:c>
      <x:c r="O769" s="262" t="n">
        <x:f>IF(N769="","",M769/N769-1)</x:f>
        <x:v>-0.034163735363561876</x:v>
      </x:c>
    </x:row>
    <x:row r="770">
      <x:c r="J770" s="257" t="str">
        <x:v>000406.OF</x:v>
      </x:c>
      <x:c r="K770" s="258" t="str">
        <x:v>汇添富双利增强债券A</x:v>
      </x:c>
      <x:c r="L770" s="263" t="n">
        <x:v>46219</x:v>
      </x:c>
      <x:c r="M770" s="261" t="n">
        <x:v>1.995</x:v>
      </x:c>
      <x:c r="N770" s="261" t="n">
        <x:f>IF(OR(L770&lt;$B$3,L770&gt;$D$3),"",IF(AND(J770=J769,N769&lt;&gt;""),MAX(M770,N769),M770))</x:f>
        <x:v>2.0753</x:v>
      </x:c>
      <x:c r="O770" s="262" t="n">
        <x:f>IF(N770="","",M770/N770-1)</x:f>
        <x:v>-0.03869320098299034</x:v>
      </x:c>
    </x:row>
    <x:row r="771">
      <x:c r="J771" s="257" t="str">
        <x:v>000406.OF</x:v>
      </x:c>
      <x:c r="K771" s="258" t="str">
        <x:v>汇添富双利增强债券A</x:v>
      </x:c>
      <x:c r="L771" s="263" t="n">
        <x:v>46220</x:v>
      </x:c>
      <x:c r="M771" s="261" t="n">
        <x:v>1.978</x:v>
      </x:c>
      <x:c r="N771" s="261" t="n">
        <x:f>IF(OR(L771&lt;$B$3,L771&gt;$D$3),"",IF(AND(J771=J770,N770&lt;&gt;""),MAX(M771,N770),M771))</x:f>
        <x:v>2.0753</x:v>
      </x:c>
      <x:c r="O771" s="262" t="n">
        <x:f>IF(N771="","",M771/N771-1)</x:f>
        <x:v>-0.046884787741531264</x:v>
      </x:c>
    </x:row>
    <x:row r="772">
      <x:c r="J772" s="257" t="str">
        <x:v>000406.OF</x:v>
      </x:c>
      <x:c r="K772" s="258" t="str">
        <x:v>汇添富双利增强债券A</x:v>
      </x:c>
      <x:c r="L772" s="263" t="n">
        <x:v>46221</x:v>
      </x:c>
      <x:c r="M772" s="261" t="n">
        <x:v>1.978</x:v>
      </x:c>
      <x:c r="N772" s="261" t="n">
        <x:f>IF(OR(L772&lt;$B$3,L772&gt;$D$3),"",IF(AND(J772=J771,N771&lt;&gt;""),MAX(M772,N771),M772))</x:f>
        <x:v>2.0753</x:v>
      </x:c>
      <x:c r="O772" s="262" t="n">
        <x:f>IF(N772="","",M772/N772-1)</x:f>
        <x:v>-0.046884787741531264</x:v>
      </x:c>
    </x:row>
    <x:row r="773">
      <x:c r="J773" s="257" t="str">
        <x:v>000406.OF</x:v>
      </x:c>
      <x:c r="K773" s="258" t="str">
        <x:v>汇添富双利增强债券A</x:v>
      </x:c>
      <x:c r="L773" s="263" t="n">
        <x:v>46222</x:v>
      </x:c>
      <x:c r="M773" s="261" t="n">
        <x:v>1.978</x:v>
      </x:c>
      <x:c r="N773" s="261" t="n">
        <x:f>IF(OR(L773&lt;$B$3,L773&gt;$D$3),"",IF(AND(J773=J772,N772&lt;&gt;""),MAX(M773,N772),M773))</x:f>
        <x:v>2.0753</x:v>
      </x:c>
      <x:c r="O773" s="262" t="n">
        <x:f>IF(N773="","",M773/N773-1)</x:f>
        <x:v>-0.046884787741531264</x:v>
      </x:c>
    </x:row>
    <x:row r="774">
      <x:c r="J774" s="257" t="str">
        <x:v>000406.OF</x:v>
      </x:c>
      <x:c r="K774" s="258" t="str">
        <x:v>汇添富双利增强债券A</x:v>
      </x:c>
      <x:c r="L774" s="263" t="n">
        <x:v>46223</x:v>
      </x:c>
      <x:c r="M774" s="261" t="n">
        <x:v>1.9696</x:v>
      </x:c>
      <x:c r="N774" s="261" t="n">
        <x:f>IF(OR(L774&lt;$B$3,L774&gt;$D$3),"",IF(AND(J774=J773,N773&lt;&gt;""),MAX(M774,N773),M774))</x:f>
        <x:v>2.0753</x:v>
      </x:c>
      <x:c r="O774" s="262" t="n">
        <x:f>IF(N774="","",M774/N774-1)</x:f>
        <x:v>-0.05093239531633975</x:v>
      </x:c>
    </x:row>
    <x:row r="775">
      <x:c r="J775" s="257" t="str">
        <x:v>000406.OF</x:v>
      </x:c>
      <x:c r="K775" s="258" t="str">
        <x:v>汇添富双利增强债券A</x:v>
      </x:c>
      <x:c r="L775" s="263" t="n">
        <x:v>46224</x:v>
      </x:c>
      <x:c r="M775" s="261" t="n">
        <x:v>1.9863</x:v>
      </x:c>
      <x:c r="N775" s="261" t="n">
        <x:f>IF(OR(L775&lt;$B$3,L775&gt;$D$3),"",IF(AND(J775=J774,N774&lt;&gt;""),MAX(M775,N774),M775))</x:f>
        <x:v>2.0753</x:v>
      </x:c>
      <x:c r="O775" s="262" t="n">
        <x:f>IF(N775="","",M775/N775-1)</x:f>
        <x:v>-0.04288536597118486</x:v>
      </x:c>
    </x:row>
    <x:row r="776">
      <x:c r="J776" s="257" t="str">
        <x:v>000406.OF</x:v>
      </x:c>
      <x:c r="K776" s="258" t="str">
        <x:v>汇添富双利增强债券A</x:v>
      </x:c>
      <x:c r="L776" s="263" t="n">
        <x:v>46225</x:v>
      </x:c>
      <x:c r="M776" s="261" t="n">
        <x:v>1.9822</x:v>
      </x:c>
      <x:c r="N776" s="261" t="n">
        <x:f>IF(OR(L776&lt;$B$3,L776&gt;$D$3),"",IF(AND(J776=J775,N775&lt;&gt;""),MAX(M776,N775),M776))</x:f>
        <x:v>2.0753</x:v>
      </x:c>
      <x:c r="O776" s="262" t="n">
        <x:f>IF(N776="","",M776/N776-1)</x:f>
        <x:v>-0.044860983954127076</x:v>
      </x:c>
    </x:row>
    <x:row r="777">
      <x:c r="J777" s="257" t="str">
        <x:v>000406.OF</x:v>
      </x:c>
      <x:c r="K777" s="258" t="str">
        <x:v>汇添富双利增强债券A</x:v>
      </x:c>
      <x:c r="L777" s="263" t="n">
        <x:v>46226</x:v>
      </x:c>
      <x:c r="M777" s="261" t="n">
        <x:v>1.9874</x:v>
      </x:c>
      <x:c r="N777" s="261" t="n">
        <x:f>IF(OR(L777&lt;$B$3,L777&gt;$D$3),"",IF(AND(J777=J776,N776&lt;&gt;""),MAX(M777,N776),M777))</x:f>
        <x:v>2.0753</x:v>
      </x:c>
      <x:c r="O777" s="262" t="n">
        <x:f>IF(N777="","",M777/N777-1)</x:f>
        <x:v>-0.0423553221221028</x:v>
      </x:c>
    </x:row>
    <x:row r="778">
      <x:c r="J778" s="257" t="str">
        <x:v>000406.OF</x:v>
      </x:c>
      <x:c r="K778" s="258" t="str">
        <x:v>汇添富双利增强债券A</x:v>
      </x:c>
      <x:c r="L778" s="263" t="n">
        <x:v>46227</x:v>
      </x:c>
      <x:c r="M778" s="261" t="n">
        <x:v>1.975</x:v>
      </x:c>
      <x:c r="N778" s="261" t="n">
        <x:f>IF(OR(L778&lt;$B$3,L778&gt;$D$3),"",IF(AND(J778=J777,N777&lt;&gt;""),MAX(M778,N777),M778))</x:f>
        <x:v>2.0753</x:v>
      </x:c>
      <x:c r="O778" s="262" t="n">
        <x:f>IF(N778="","",M778/N778-1)</x:f>
        <x:v>-0.048330361875391414</x:v>
      </x:c>
    </x:row>
    <x:row r="779">
      <x:c r="J779" s="257" t="str">
        <x:v>000406.OF</x:v>
      </x:c>
      <x:c r="K779" s="258" t="str">
        <x:v>汇添富双利增强债券A</x:v>
      </x:c>
      <x:c r="L779" s="263" t="n">
        <x:v>46228</x:v>
      </x:c>
      <x:c r="M779" s="261" t="n">
        <x:v>1.975</x:v>
      </x:c>
      <x:c r="N779" s="261" t="n">
        <x:f>IF(OR(L779&lt;$B$3,L779&gt;$D$3),"",IF(AND(J779=J778,N778&lt;&gt;""),MAX(M779,N778),M779))</x:f>
        <x:v>2.0753</x:v>
      </x:c>
      <x:c r="O779" s="262" t="n">
        <x:f>IF(N779="","",M779/N779-1)</x:f>
        <x:v>-0.048330361875391414</x:v>
      </x:c>
    </x:row>
    <x:row r="780">
      <x:c r="J780" s="257" t="str">
        <x:v>000406.OF</x:v>
      </x:c>
      <x:c r="K780" s="258" t="str">
        <x:v>汇添富双利增强债券A</x:v>
      </x:c>
      <x:c r="L780" s="263" t="n">
        <x:v>46229</x:v>
      </x:c>
      <x:c r="M780" s="261" t="n">
        <x:v>1.975</x:v>
      </x:c>
      <x:c r="N780" s="261" t="n">
        <x:f>IF(OR(L780&lt;$B$3,L780&gt;$D$3),"",IF(AND(J780=J779,N779&lt;&gt;""),MAX(M780,N779),M780))</x:f>
        <x:v>2.0753</x:v>
      </x:c>
      <x:c r="O780" s="262" t="n">
        <x:f>IF(N780="","",M780/N780-1)</x:f>
        <x:v>-0.048330361875391414</x:v>
      </x:c>
    </x:row>
    <x:row r="781">
      <x:c r="J781" s="257" t="str">
        <x:v>000406.OF</x:v>
      </x:c>
      <x:c r="K781" s="258" t="str">
        <x:v>汇添富双利增强债券A</x:v>
      </x:c>
      <x:c r="L781" s="263" t="n">
        <x:v>46230</x:v>
      </x:c>
      <x:c r="M781" s="261" t="n">
        <x:v>1.989</x:v>
      </x:c>
      <x:c r="N781" s="261" t="n">
        <x:f>IF(OR(L781&lt;$B$3,L781&gt;$D$3),"",IF(AND(J781=J780,N780&lt;&gt;""),MAX(M781,N780),M781))</x:f>
        <x:v>2.0753</x:v>
      </x:c>
      <x:c r="O781" s="262" t="n">
        <x:f>IF(N781="","",M781/N781-1)</x:f>
        <x:v>-0.04158434925071064</x:v>
      </x:c>
    </x:row>
    <x:row r="782">
      <x:c r="J782" s="257" t="str">
        <x:v>000406.OF</x:v>
      </x:c>
      <x:c r="K782" s="258" t="str">
        <x:v>汇添富双利增强债券A</x:v>
      </x:c>
      <x:c r="L782" s="263" t="n">
        <x:v>46231</x:v>
      </x:c>
      <x:c r="M782" s="261" t="n">
        <x:v>1.9757</x:v>
      </x:c>
      <x:c r="N782" s="261" t="n">
        <x:f>IF(OR(L782&lt;$B$3,L782&gt;$D$3),"",IF(AND(J782=J781,N781&lt;&gt;""),MAX(M782,N781),M782))</x:f>
        <x:v>2.0753</x:v>
      </x:c>
      <x:c r="O782" s="262" t="n">
        <x:f>IF(N782="","",M782/N782-1)</x:f>
        <x:v>-0.047993061244157476</x:v>
      </x:c>
    </x:row>
    <x:row r="783">
      <x:c r="J783" s="257" t="str">
        <x:v>000406.OF</x:v>
      </x:c>
      <x:c r="K783" s="258" t="str">
        <x:v>汇添富双利增强债券A</x:v>
      </x:c>
      <x:c r="L783" s="263" t="n">
        <x:v>46232</x:v>
      </x:c>
      <x:c r="M783" s="261" t="n">
        <x:v>1.9811</x:v>
      </x:c>
      <x:c r="N783" s="261" t="n">
        <x:f>IF(OR(L783&lt;$B$3,L783&gt;$D$3),"",IF(AND(J783=J782,N782&lt;&gt;""),MAX(M783,N782),M783))</x:f>
        <x:v>2.0753</x:v>
      </x:c>
      <x:c r="O783" s="262" t="n">
        <x:f>IF(N783="","",M783/N783-1)</x:f>
        <x:v>-0.04539102780320914</x:v>
      </x:c>
    </x:row>
    <x:row r="784">
      <x:c r="J784" s="257" t="str">
        <x:v>000406.OF</x:v>
      </x:c>
      <x:c r="K784" s="258" t="str">
        <x:v>汇添富双利增强债券A</x:v>
      </x:c>
      <x:c r="L784" s="263" t="n">
        <x:v>46233</x:v>
      </x:c>
      <x:c r="M784" s="261" t="n">
        <x:v>1.979</x:v>
      </x:c>
      <x:c r="N784" s="261" t="n">
        <x:f>IF(OR(L784&lt;$B$3,L784&gt;$D$3),"",IF(AND(J784=J783,N783&lt;&gt;""),MAX(M784,N783),M784))</x:f>
        <x:v>2.0753</x:v>
      </x:c>
      <x:c r="O784" s="262" t="n">
        <x:f>IF(N784="","",M784/N784-1)</x:f>
        <x:v>-0.04640292969691118</x:v>
      </x:c>
    </x:row>
    <x:row r="785">
      <x:c r="J785" s="257" t="str">
        <x:v>000406.OF</x:v>
      </x:c>
      <x:c r="K785" s="258" t="str">
        <x:v>汇添富双利增强债券A</x:v>
      </x:c>
      <x:c r="L785" s="263" t="n">
        <x:v>46234</x:v>
      </x:c>
      <x:c r="M785" s="261" t="n">
        <x:v>1.9825</x:v>
      </x:c>
      <x:c r="N785" s="261" t="n">
        <x:f>IF(OR(L785&lt;$B$3,L785&gt;$D$3),"",IF(AND(J785=J784,N784&lt;&gt;""),MAX(M785,N784),M785))</x:f>
        <x:v>2.0753</x:v>
      </x:c>
      <x:c r="O785" s="262" t="n">
        <x:f>IF(N785="","",M785/N785-1)</x:f>
        <x:v>-0.04471642654074115</x:v>
      </x:c>
    </x:row>
    <x:row r="786">
      <x:c r="J786" s="257" t="str">
        <x:v>000406.OF</x:v>
      </x:c>
      <x:c r="K786" s="258" t="str">
        <x:v>汇添富双利增强债券A</x:v>
      </x:c>
      <x:c r="L786" s="263" t="n">
        <x:v>46235</x:v>
      </x:c>
      <x:c r="M786" s="261" t="n">
        <x:v>1.9825</x:v>
      </x:c>
      <x:c r="N786" s="261" t="n">
        <x:f>IF(OR(L786&lt;$B$3,L786&gt;$D$3),"",IF(AND(J786=J785,N785&lt;&gt;""),MAX(M786,N785),M786))</x:f>
        <x:v>2.0753</x:v>
      </x:c>
      <x:c r="O786" s="262" t="n">
        <x:f>IF(N786="","",M786/N786-1)</x:f>
        <x:v>-0.04471642654074115</x:v>
      </x:c>
    </x:row>
    <x:row r="787">
      <x:c r="J787" s="257" t="str">
        <x:v>000406.OF</x:v>
      </x:c>
      <x:c r="K787" s="258" t="str">
        <x:v>汇添富双利增强债券A</x:v>
      </x:c>
      <x:c r="L787" s="263" t="n">
        <x:v>46236</x:v>
      </x:c>
      <x:c r="M787" s="261" t="n">
        <x:v>1.9825</x:v>
      </x:c>
      <x:c r="N787" s="261" t="n">
        <x:f>IF(OR(L787&lt;$B$3,L787&gt;$D$3),"",IF(AND(J787=J786,N786&lt;&gt;""),MAX(M787,N786),M787))</x:f>
        <x:v>2.0753</x:v>
      </x:c>
      <x:c r="O787" s="262" t="n">
        <x:f>IF(N787="","",M787/N787-1)</x:f>
        <x:v>-0.04471642654074115</x:v>
      </x:c>
    </x:row>
    <x:row r="788">
      <x:c r="J788" s="257" t="str">
        <x:v>000406.OF</x:v>
      </x:c>
      <x:c r="K788" s="258" t="str">
        <x:v>汇添富双利增强债券A</x:v>
      </x:c>
      <x:c r="L788" s="263" t="n">
        <x:v>46237</x:v>
      </x:c>
      <x:c r="M788" s="261" t="n">
        <x:v>1.9842</x:v>
      </x:c>
      <x:c r="N788" s="261" t="n">
        <x:f>IF(OR(L788&lt;$B$3,L788&gt;$D$3),"",IF(AND(J788=J787,N787&lt;&gt;""),MAX(M788,N787),M788))</x:f>
        <x:v>2.0753</x:v>
      </x:c>
      <x:c r="O788" s="262" t="n">
        <x:f>IF(N788="","",M788/N788-1)</x:f>
        <x:v>-0.04389726786488701</x:v>
      </x:c>
    </x:row>
    <x:row r="789">
      <x:c r="J789" s="257" t="str">
        <x:v>000406.OF</x:v>
      </x:c>
      <x:c r="K789" s="258" t="str">
        <x:v>汇添富双利增强债券A</x:v>
      </x:c>
      <x:c r="L789" s="263" t="n">
        <x:v>46238</x:v>
      </x:c>
      <x:c r="M789" s="261" t="n">
        <x:v>1.9926</x:v>
      </x:c>
      <x:c r="N789" s="261" t="n">
        <x:f>IF(OR(L789&lt;$B$3,L789&gt;$D$3),"",IF(AND(J789=J788,N788&lt;&gt;""),MAX(M789,N788),M789))</x:f>
        <x:v>2.0753</x:v>
      </x:c>
      <x:c r="O789" s="262" t="n">
        <x:f>IF(N789="","",M789/N789-1)</x:f>
        <x:v>-0.039849660290078526</x:v>
      </x:c>
    </x:row>
    <x:row r="790">
      <x:c r="J790" s="257" t="str">
        <x:v>000406.OF</x:v>
      </x:c>
      <x:c r="K790" s="258" t="str">
        <x:v>汇添富双利增强债券A</x:v>
      </x:c>
      <x:c r="L790" s="263" t="n">
        <x:v>46239</x:v>
      </x:c>
      <x:c r="M790" s="261" t="n">
        <x:v>2.0048</x:v>
      </x:c>
      <x:c r="N790" s="261" t="n">
        <x:f>IF(OR(L790&lt;$B$3,L790&gt;$D$3),"",IF(AND(J790=J789,N789&lt;&gt;""),MAX(M790,N789),M790))</x:f>
        <x:v>2.0753</x:v>
      </x:c>
      <x:c r="O790" s="262" t="n">
        <x:f>IF(N790="","",M790/N790-1)</x:f>
        <x:v>-0.03397099214571386</x:v>
      </x:c>
    </x:row>
    <x:row r="791">
      <x:c r="J791" s="257" t="str">
        <x:v>000406.OF</x:v>
      </x:c>
      <x:c r="K791" s="258" t="str">
        <x:v>汇添富双利增强债券A</x:v>
      </x:c>
      <x:c r="L791" s="263" t="n">
        <x:v>46240</x:v>
      </x:c>
      <x:c r="M791" s="261" t="n">
        <x:v>2.0045</x:v>
      </x:c>
      <x:c r="N791" s="261" t="n">
        <x:f>IF(OR(L791&lt;$B$3,L791&gt;$D$3),"",IF(AND(J791=J790,N790&lt;&gt;""),MAX(M791,N790),M791))</x:f>
        <x:v>2.0753</x:v>
      </x:c>
      <x:c r="O791" s="262" t="n">
        <x:f>IF(N791="","",M791/N791-1)</x:f>
        <x:v>-0.03411554955909979</x:v>
      </x:c>
    </x:row>
    <x:row r="792">
      <x:c r="J792" s="257" t="str">
        <x:v>000406.OF</x:v>
      </x:c>
      <x:c r="K792" s="258" t="str">
        <x:v>汇添富双利增强债券A</x:v>
      </x:c>
      <x:c r="L792" s="263" t="n">
        <x:v>46241</x:v>
      </x:c>
      <x:c r="M792" s="261" t="n">
        <x:v>2.0112</x:v>
      </x:c>
      <x:c r="N792" s="261" t="n">
        <x:f>IF(OR(L792&lt;$B$3,L792&gt;$D$3),"",IF(AND(J792=J791,N791&lt;&gt;""),MAX(M792,N791),M792))</x:f>
        <x:v>2.0753</x:v>
      </x:c>
      <x:c r="O792" s="262" t="n">
        <x:f>IF(N792="","",M792/N792-1)</x:f>
        <x:v>-0.03088710066014544</x:v>
      </x:c>
    </x:row>
    <x:row r="793">
      <x:c r="J793" s="257" t="str">
        <x:v>000406.OF</x:v>
      </x:c>
      <x:c r="K793" s="258" t="str">
        <x:v>汇添富双利增强债券A</x:v>
      </x:c>
      <x:c r="L793" s="263" t="n">
        <x:v>46242</x:v>
      </x:c>
      <x:c r="M793" s="261" t="n">
        <x:v>2.0112</x:v>
      </x:c>
      <x:c r="N793" s="261" t="n">
        <x:f>IF(OR(L793&lt;$B$3,L793&gt;$D$3),"",IF(AND(J793=J792,N792&lt;&gt;""),MAX(M793,N792),M793))</x:f>
        <x:v>2.0753</x:v>
      </x:c>
      <x:c r="O793" s="262" t="n">
        <x:f>IF(N793="","",M793/N793-1)</x:f>
        <x:v>-0.03088710066014544</x:v>
      </x:c>
    </x:row>
    <x:row r="794">
      <x:c r="J794" s="257" t="str">
        <x:v>000406.OF</x:v>
      </x:c>
      <x:c r="K794" s="258" t="str">
        <x:v>汇添富双利增强债券A</x:v>
      </x:c>
      <x:c r="L794" s="263" t="n">
        <x:v>46243</x:v>
      </x:c>
      <x:c r="M794" s="261" t="n">
        <x:v>2.0112</x:v>
      </x:c>
      <x:c r="N794" s="261" t="n">
        <x:f>IF(OR(L794&lt;$B$3,L794&gt;$D$3),"",IF(AND(J794=J793,N793&lt;&gt;""),MAX(M794,N793),M794))</x:f>
        <x:v>2.0753</x:v>
      </x:c>
      <x:c r="O794" s="262" t="n">
        <x:f>IF(N794="","",M794/N794-1)</x:f>
        <x:v>-0.03088710066014544</x:v>
      </x:c>
    </x:row>
    <x:row r="795">
      <x:c r="J795" s="257" t="str">
        <x:v>000406.OF</x:v>
      </x:c>
      <x:c r="K795" s="258" t="str">
        <x:v>汇添富双利增强债券A</x:v>
      </x:c>
      <x:c r="L795" s="263" t="n">
        <x:v>46244</x:v>
      </x:c>
      <x:c r="M795" s="261" t="n">
        <x:v>2.0148</x:v>
      </x:c>
      <x:c r="N795" s="261" t="n">
        <x:f>IF(OR(L795&lt;$B$3,L795&gt;$D$3),"",IF(AND(J795=J794,N794&lt;&gt;""),MAX(M795,N794),M795))</x:f>
        <x:v>2.0753</x:v>
      </x:c>
      <x:c r="O795" s="262" t="n">
        <x:f>IF(N795="","",M795/N795-1)</x:f>
        <x:v>-0.029152411699513214</x:v>
      </x:c>
    </x:row>
    <x:row r="796">
      <x:c r="J796" s="257" t="str">
        <x:v>018595.OF</x:v>
      </x:c>
      <x:c r="K796" s="258" t="str">
        <x:v>华商利欣回报债券A</x:v>
      </x:c>
      <x:c r="L796" s="263" t="n">
        <x:v>46191</x:v>
      </x:c>
      <x:c r="M796" s="261" t="n">
        <x:v>1.262</x:v>
      </x:c>
      <x:c r="N796" s="261" t="n">
        <x:f>IF(OR(L796&lt;$B$3,L796&gt;$D$3),"",IF(AND(J796=J795,N795&lt;&gt;""),MAX(M796,N795),M796))</x:f>
        <x:v>1.262</x:v>
      </x:c>
      <x:c r="O796" s="262" t="n">
        <x:f>IF(N796="","",M796/N796-1)</x:f>
        <x:v>0</x:v>
      </x:c>
    </x:row>
    <x:row r="797">
      <x:c r="J797" s="257" t="str">
        <x:v>018595.OF</x:v>
      </x:c>
      <x:c r="K797" s="258" t="str">
        <x:v>华商利欣回报债券A</x:v>
      </x:c>
      <x:c r="L797" s="263" t="n">
        <x:v>46192</x:v>
      </x:c>
      <x:c r="M797" s="261" t="n">
        <x:v>1.262</x:v>
      </x:c>
      <x:c r="N797" s="261" t="n">
        <x:f>IF(OR(L797&lt;$B$3,L797&gt;$D$3),"",IF(AND(J797=J796,N796&lt;&gt;""),MAX(M797,N796),M797))</x:f>
        <x:v>1.262</x:v>
      </x:c>
      <x:c r="O797" s="262" t="n">
        <x:f>IF(N797="","",M797/N797-1)</x:f>
        <x:v>0</x:v>
      </x:c>
    </x:row>
    <x:row r="798">
      <x:c r="J798" s="257" t="str">
        <x:v>018595.OF</x:v>
      </x:c>
      <x:c r="K798" s="258" t="str">
        <x:v>华商利欣回报债券A</x:v>
      </x:c>
      <x:c r="L798" s="263" t="n">
        <x:v>46193</x:v>
      </x:c>
      <x:c r="M798" s="261" t="n">
        <x:v>1.262</x:v>
      </x:c>
      <x:c r="N798" s="261" t="n">
        <x:f>IF(OR(L798&lt;$B$3,L798&gt;$D$3),"",IF(AND(J798=J797,N797&lt;&gt;""),MAX(M798,N797),M798))</x:f>
        <x:v>1.262</x:v>
      </x:c>
      <x:c r="O798" s="262" t="n">
        <x:f>IF(N798="","",M798/N798-1)</x:f>
        <x:v>0</x:v>
      </x:c>
    </x:row>
    <x:row r="799">
      <x:c r="J799" s="257" t="str">
        <x:v>018595.OF</x:v>
      </x:c>
      <x:c r="K799" s="258" t="str">
        <x:v>华商利欣回报债券A</x:v>
      </x:c>
      <x:c r="L799" s="263" t="n">
        <x:v>46194</x:v>
      </x:c>
      <x:c r="M799" s="261" t="n">
        <x:v>1.262</x:v>
      </x:c>
      <x:c r="N799" s="261" t="n">
        <x:f>IF(OR(L799&lt;$B$3,L799&gt;$D$3),"",IF(AND(J799=J798,N798&lt;&gt;""),MAX(M799,N798),M799))</x:f>
        <x:v>1.262</x:v>
      </x:c>
      <x:c r="O799" s="262" t="n">
        <x:f>IF(N799="","",M799/N799-1)</x:f>
        <x:v>0</x:v>
      </x:c>
    </x:row>
    <x:row r="800">
      <x:c r="J800" s="257" t="str">
        <x:v>018595.OF</x:v>
      </x:c>
      <x:c r="K800" s="258" t="str">
        <x:v>华商利欣回报债券A</x:v>
      </x:c>
      <x:c r="L800" s="263" t="n">
        <x:v>46195</x:v>
      </x:c>
      <x:c r="M800" s="261" t="n">
        <x:v>1.2643</x:v>
      </x:c>
      <x:c r="N800" s="261" t="n">
        <x:f>IF(OR(L800&lt;$B$3,L800&gt;$D$3),"",IF(AND(J800=J799,N799&lt;&gt;""),MAX(M800,N799),M800))</x:f>
        <x:v>1.2643</x:v>
      </x:c>
      <x:c r="O800" s="262" t="n">
        <x:f>IF(N800="","",M800/N800-1)</x:f>
        <x:v>0</x:v>
      </x:c>
    </x:row>
    <x:row r="801">
      <x:c r="J801" s="257" t="str">
        <x:v>018595.OF</x:v>
      </x:c>
      <x:c r="K801" s="258" t="str">
        <x:v>华商利欣回报债券A</x:v>
      </x:c>
      <x:c r="L801" s="263" t="n">
        <x:v>46196</x:v>
      </x:c>
      <x:c r="M801" s="261" t="n">
        <x:v>1.2618</x:v>
      </x:c>
      <x:c r="N801" s="261" t="n">
        <x:f>IF(OR(L801&lt;$B$3,L801&gt;$D$3),"",IF(AND(J801=J800,N800&lt;&gt;""),MAX(M801,N800),M801))</x:f>
        <x:v>1.2643</x:v>
      </x:c>
      <x:c r="O801" s="262" t="n">
        <x:f>IF(N801="","",M801/N801-1)</x:f>
        <x:v>-0.0019773787866803616</x:v>
      </x:c>
    </x:row>
    <x:row r="802">
      <x:c r="J802" s="257" t="str">
        <x:v>018595.OF</x:v>
      </x:c>
      <x:c r="K802" s="258" t="str">
        <x:v>华商利欣回报债券A</x:v>
      </x:c>
      <x:c r="L802" s="263" t="n">
        <x:v>46197</x:v>
      </x:c>
      <x:c r="M802" s="261" t="n">
        <x:v>1.2711</x:v>
      </x:c>
      <x:c r="N802" s="261" t="n">
        <x:f>IF(OR(L802&lt;$B$3,L802&gt;$D$3),"",IF(AND(J802=J801,N801&lt;&gt;""),MAX(M802,N801),M802))</x:f>
        <x:v>1.2711</x:v>
      </x:c>
      <x:c r="O802" s="262" t="n">
        <x:f>IF(N802="","",M802/N802-1)</x:f>
        <x:v>0</x:v>
      </x:c>
    </x:row>
    <x:row r="803">
      <x:c r="J803" s="257" t="str">
        <x:v>018595.OF</x:v>
      </x:c>
      <x:c r="K803" s="258" t="str">
        <x:v>华商利欣回报债券A</x:v>
      </x:c>
      <x:c r="L803" s="263" t="n">
        <x:v>46198</x:v>
      </x:c>
      <x:c r="M803" s="261" t="n">
        <x:v>1.2786</x:v>
      </x:c>
      <x:c r="N803" s="261" t="n">
        <x:f>IF(OR(L803&lt;$B$3,L803&gt;$D$3),"",IF(AND(J803=J802,N802&lt;&gt;""),MAX(M803,N802),M803))</x:f>
        <x:v>1.2786</x:v>
      </x:c>
      <x:c r="O803" s="262" t="n">
        <x:f>IF(N803="","",M803/N803-1)</x:f>
        <x:v>0</x:v>
      </x:c>
    </x:row>
    <x:row r="804">
      <x:c r="J804" s="257" t="str">
        <x:v>018595.OF</x:v>
      </x:c>
      <x:c r="K804" s="258" t="str">
        <x:v>华商利欣回报债券A</x:v>
      </x:c>
      <x:c r="L804" s="263" t="n">
        <x:v>46199</x:v>
      </x:c>
      <x:c r="M804" s="261" t="n">
        <x:v>1.2742</x:v>
      </x:c>
      <x:c r="N804" s="261" t="n">
        <x:f>IF(OR(L804&lt;$B$3,L804&gt;$D$3),"",IF(AND(J804=J803,N803&lt;&gt;""),MAX(M804,N803),M804))</x:f>
        <x:v>1.2786</x:v>
      </x:c>
      <x:c r="O804" s="262" t="n">
        <x:f>IF(N804="","",M804/N804-1)</x:f>
        <x:v>-0.003441263882371315</x:v>
      </x:c>
    </x:row>
    <x:row r="805">
      <x:c r="J805" s="257" t="str">
        <x:v>018595.OF</x:v>
      </x:c>
      <x:c r="K805" s="258" t="str">
        <x:v>华商利欣回报债券A</x:v>
      </x:c>
      <x:c r="L805" s="263" t="n">
        <x:v>46200</x:v>
      </x:c>
      <x:c r="M805" s="261" t="n">
        <x:v>1.2742</x:v>
      </x:c>
      <x:c r="N805" s="261" t="n">
        <x:f>IF(OR(L805&lt;$B$3,L805&gt;$D$3),"",IF(AND(J805=J804,N804&lt;&gt;""),MAX(M805,N804),M805))</x:f>
        <x:v>1.2786</x:v>
      </x:c>
      <x:c r="O805" s="262" t="n">
        <x:f>IF(N805="","",M805/N805-1)</x:f>
        <x:v>-0.003441263882371315</x:v>
      </x:c>
    </x:row>
    <x:row r="806">
      <x:c r="J806" s="257" t="str">
        <x:v>018595.OF</x:v>
      </x:c>
      <x:c r="K806" s="258" t="str">
        <x:v>华商利欣回报债券A</x:v>
      </x:c>
      <x:c r="L806" s="263" t="n">
        <x:v>46201</x:v>
      </x:c>
      <x:c r="M806" s="261" t="n">
        <x:v>1.2742</x:v>
      </x:c>
      <x:c r="N806" s="261" t="n">
        <x:f>IF(OR(L806&lt;$B$3,L806&gt;$D$3),"",IF(AND(J806=J805,N805&lt;&gt;""),MAX(M806,N805),M806))</x:f>
        <x:v>1.2786</x:v>
      </x:c>
      <x:c r="O806" s="262" t="n">
        <x:f>IF(N806="","",M806/N806-1)</x:f>
        <x:v>-0.003441263882371315</x:v>
      </x:c>
    </x:row>
    <x:row r="807">
      <x:c r="J807" s="257" t="str">
        <x:v>018595.OF</x:v>
      </x:c>
      <x:c r="K807" s="258" t="str">
        <x:v>华商利欣回报债券A</x:v>
      </x:c>
      <x:c r="L807" s="263" t="n">
        <x:v>46202</x:v>
      </x:c>
      <x:c r="M807" s="261" t="n">
        <x:v>1.2805</x:v>
      </x:c>
      <x:c r="N807" s="261" t="n">
        <x:f>IF(OR(L807&lt;$B$3,L807&gt;$D$3),"",IF(AND(J807=J806,N806&lt;&gt;""),MAX(M807,N806),M807))</x:f>
        <x:v>1.2805</x:v>
      </x:c>
      <x:c r="O807" s="262" t="n">
        <x:f>IF(N807="","",M807/N807-1)</x:f>
        <x:v>0</x:v>
      </x:c>
    </x:row>
    <x:row r="808">
      <x:c r="J808" s="257" t="str">
        <x:v>018595.OF</x:v>
      </x:c>
      <x:c r="K808" s="258" t="str">
        <x:v>华商利欣回报债券A</x:v>
      </x:c>
      <x:c r="L808" s="263" t="n">
        <x:v>46203</x:v>
      </x:c>
      <x:c r="M808" s="261" t="n">
        <x:v>1.2846</x:v>
      </x:c>
      <x:c r="N808" s="261" t="n">
        <x:f>IF(OR(L808&lt;$B$3,L808&gt;$D$3),"",IF(AND(J808=J807,N807&lt;&gt;""),MAX(M808,N807),M808))</x:f>
        <x:v>1.2846</x:v>
      </x:c>
      <x:c r="O808" s="262" t="n">
        <x:f>IF(N808="","",M808/N808-1)</x:f>
        <x:v>0</x:v>
      </x:c>
    </x:row>
    <x:row r="809">
      <x:c r="J809" s="257" t="str">
        <x:v>018595.OF</x:v>
      </x:c>
      <x:c r="K809" s="258" t="str">
        <x:v>华商利欣回报债券A</x:v>
      </x:c>
      <x:c r="L809" s="263" t="n">
        <x:v>46204</x:v>
      </x:c>
      <x:c r="M809" s="261" t="n">
        <x:v>1.2801</x:v>
      </x:c>
      <x:c r="N809" s="261" t="n">
        <x:f>IF(OR(L809&lt;$B$3,L809&gt;$D$3),"",IF(AND(J809=J808,N808&lt;&gt;""),MAX(M809,N808),M809))</x:f>
        <x:v>1.2846</x:v>
      </x:c>
      <x:c r="O809" s="262" t="n">
        <x:f>IF(N809="","",M809/N809-1)</x:f>
        <x:v>-0.003503035964502521</x:v>
      </x:c>
    </x:row>
    <x:row r="810">
      <x:c r="J810" s="257" t="str">
        <x:v>018595.OF</x:v>
      </x:c>
      <x:c r="K810" s="258" t="str">
        <x:v>华商利欣回报债券A</x:v>
      </x:c>
      <x:c r="L810" s="263" t="n">
        <x:v>46205</x:v>
      </x:c>
      <x:c r="M810" s="261" t="n">
        <x:v>1.2704</x:v>
      </x:c>
      <x:c r="N810" s="261" t="n">
        <x:f>IF(OR(L810&lt;$B$3,L810&gt;$D$3),"",IF(AND(J810=J809,N809&lt;&gt;""),MAX(M810,N809),M810))</x:f>
        <x:v>1.2846</x:v>
      </x:c>
      <x:c r="O810" s="262" t="n">
        <x:f>IF(N810="","",M810/N810-1)</x:f>
        <x:v>-0.01105402459909699</x:v>
      </x:c>
    </x:row>
    <x:row r="811">
      <x:c r="J811" s="257" t="str">
        <x:v>018595.OF</x:v>
      </x:c>
      <x:c r="K811" s="258" t="str">
        <x:v>华商利欣回报债券A</x:v>
      </x:c>
      <x:c r="L811" s="263" t="n">
        <x:v>46206</x:v>
      </x:c>
      <x:c r="M811" s="261" t="n">
        <x:v>1.2695</x:v>
      </x:c>
      <x:c r="N811" s="261" t="n">
        <x:f>IF(OR(L811&lt;$B$3,L811&gt;$D$3),"",IF(AND(J811=J810,N810&lt;&gt;""),MAX(M811,N810),M811))</x:f>
        <x:v>1.2846</x:v>
      </x:c>
      <x:c r="O811" s="262" t="n">
        <x:f>IF(N811="","",M811/N811-1)</x:f>
        <x:v>-0.011754631791997427</x:v>
      </x:c>
    </x:row>
    <x:row r="812">
      <x:c r="J812" s="257" t="str">
        <x:v>018595.OF</x:v>
      </x:c>
      <x:c r="K812" s="258" t="str">
        <x:v>华商利欣回报债券A</x:v>
      </x:c>
      <x:c r="L812" s="263" t="n">
        <x:v>46207</x:v>
      </x:c>
      <x:c r="M812" s="261" t="n">
        <x:v>1.2695</x:v>
      </x:c>
      <x:c r="N812" s="261" t="n">
        <x:f>IF(OR(L812&lt;$B$3,L812&gt;$D$3),"",IF(AND(J812=J811,N811&lt;&gt;""),MAX(M812,N811),M812))</x:f>
        <x:v>1.2846</x:v>
      </x:c>
      <x:c r="O812" s="262" t="n">
        <x:f>IF(N812="","",M812/N812-1)</x:f>
        <x:v>-0.011754631791997427</x:v>
      </x:c>
    </x:row>
    <x:row r="813">
      <x:c r="J813" s="257" t="str">
        <x:v>018595.OF</x:v>
      </x:c>
      <x:c r="K813" s="258" t="str">
        <x:v>华商利欣回报债券A</x:v>
      </x:c>
      <x:c r="L813" s="263" t="n">
        <x:v>46208</x:v>
      </x:c>
      <x:c r="M813" s="261" t="n">
        <x:v>1.2695</x:v>
      </x:c>
      <x:c r="N813" s="261" t="n">
        <x:f>IF(OR(L813&lt;$B$3,L813&gt;$D$3),"",IF(AND(J813=J812,N812&lt;&gt;""),MAX(M813,N812),M813))</x:f>
        <x:v>1.2846</x:v>
      </x:c>
      <x:c r="O813" s="262" t="n">
        <x:f>IF(N813="","",M813/N813-1)</x:f>
        <x:v>-0.011754631791997427</x:v>
      </x:c>
    </x:row>
    <x:row r="814">
      <x:c r="J814" s="257" t="str">
        <x:v>018595.OF</x:v>
      </x:c>
      <x:c r="K814" s="258" t="str">
        <x:v>华商利欣回报债券A</x:v>
      </x:c>
      <x:c r="L814" s="263" t="n">
        <x:v>46209</x:v>
      </x:c>
      <x:c r="M814" s="261" t="n">
        <x:v>1.2737</x:v>
      </x:c>
      <x:c r="N814" s="261" t="n">
        <x:f>IF(OR(L814&lt;$B$3,L814&gt;$D$3),"",IF(AND(J814=J813,N813&lt;&gt;""),MAX(M814,N813),M814))</x:f>
        <x:v>1.2846</x:v>
      </x:c>
      <x:c r="O814" s="262" t="n">
        <x:f>IF(N814="","",M814/N814-1)</x:f>
        <x:v>-0.008485131558461756</x:v>
      </x:c>
    </x:row>
    <x:row r="815">
      <x:c r="J815" s="257" t="str">
        <x:v>018595.OF</x:v>
      </x:c>
      <x:c r="K815" s="258" t="str">
        <x:v>华商利欣回报债券A</x:v>
      </x:c>
      <x:c r="L815" s="263" t="n">
        <x:v>46210</x:v>
      </x:c>
      <x:c r="M815" s="261" t="n">
        <x:v>1.2738</x:v>
      </x:c>
      <x:c r="N815" s="261" t="n">
        <x:f>IF(OR(L815&lt;$B$3,L815&gt;$D$3),"",IF(AND(J815=J814,N814&lt;&gt;""),MAX(M815,N814),M815))</x:f>
        <x:v>1.2846</x:v>
      </x:c>
      <x:c r="O815" s="262" t="n">
        <x:f>IF(N815="","",M815/N815-1)</x:f>
        <x:v>-0.00840728631480614</x:v>
      </x:c>
    </x:row>
    <x:row r="816">
      <x:c r="J816" s="257" t="str">
        <x:v>018595.OF</x:v>
      </x:c>
      <x:c r="K816" s="258" t="str">
        <x:v>华商利欣回报债券A</x:v>
      </x:c>
      <x:c r="L816" s="263" t="n">
        <x:v>46211</x:v>
      </x:c>
      <x:c r="M816" s="261" t="n">
        <x:v>1.2775</x:v>
      </x:c>
      <x:c r="N816" s="261" t="n">
        <x:f>IF(OR(L816&lt;$B$3,L816&gt;$D$3),"",IF(AND(J816=J815,N815&lt;&gt;""),MAX(M816,N815),M816))</x:f>
        <x:v>1.2846</x:v>
      </x:c>
      <x:c r="O816" s="262" t="n">
        <x:f>IF(N816="","",M816/N816-1)</x:f>
        <x:v>-0.005527012299548439</x:v>
      </x:c>
    </x:row>
    <x:row r="817">
      <x:c r="J817" s="257" t="str">
        <x:v>018595.OF</x:v>
      </x:c>
      <x:c r="K817" s="258" t="str">
        <x:v>华商利欣回报债券A</x:v>
      </x:c>
      <x:c r="L817" s="263" t="n">
        <x:v>46212</x:v>
      </x:c>
      <x:c r="M817" s="261" t="n">
        <x:v>1.2897</x:v>
      </x:c>
      <x:c r="N817" s="261" t="n">
        <x:f>IF(OR(L817&lt;$B$3,L817&gt;$D$3),"",IF(AND(J817=J816,N816&lt;&gt;""),MAX(M817,N816),M817))</x:f>
        <x:v>1.2897</x:v>
      </x:c>
      <x:c r="O817" s="262" t="n">
        <x:f>IF(N817="","",M817/N817-1)</x:f>
        <x:v>0</x:v>
      </x:c>
    </x:row>
    <x:row r="818">
      <x:c r="J818" s="257" t="str">
        <x:v>018595.OF</x:v>
      </x:c>
      <x:c r="K818" s="258" t="str">
        <x:v>华商利欣回报债券A</x:v>
      </x:c>
      <x:c r="L818" s="263" t="n">
        <x:v>46213</x:v>
      </x:c>
      <x:c r="M818" s="261" t="n">
        <x:v>1.2832</x:v>
      </x:c>
      <x:c r="N818" s="261" t="n">
        <x:f>IF(OR(L818&lt;$B$3,L818&gt;$D$3),"",IF(AND(J818=J817,N817&lt;&gt;""),MAX(M818,N817),M818))</x:f>
        <x:v>1.2897</x:v>
      </x:c>
      <x:c r="O818" s="262" t="n">
        <x:f>IF(N818="","",M818/N818-1)</x:f>
        <x:v>-0.005039931767077732</x:v>
      </x:c>
    </x:row>
    <x:row r="819">
      <x:c r="J819" s="257" t="str">
        <x:v>018595.OF</x:v>
      </x:c>
      <x:c r="K819" s="258" t="str">
        <x:v>华商利欣回报债券A</x:v>
      </x:c>
      <x:c r="L819" s="263" t="n">
        <x:v>46214</x:v>
      </x:c>
      <x:c r="M819" s="261" t="n">
        <x:v>1.2832</x:v>
      </x:c>
      <x:c r="N819" s="261" t="n">
        <x:f>IF(OR(L819&lt;$B$3,L819&gt;$D$3),"",IF(AND(J819=J818,N818&lt;&gt;""),MAX(M819,N818),M819))</x:f>
        <x:v>1.2897</x:v>
      </x:c>
      <x:c r="O819" s="262" t="n">
        <x:f>IF(N819="","",M819/N819-1)</x:f>
        <x:v>-0.005039931767077732</x:v>
      </x:c>
    </x:row>
    <x:row r="820">
      <x:c r="J820" s="257" t="str">
        <x:v>018595.OF</x:v>
      </x:c>
      <x:c r="K820" s="258" t="str">
        <x:v>华商利欣回报债券A</x:v>
      </x:c>
      <x:c r="L820" s="263" t="n">
        <x:v>46215</x:v>
      </x:c>
      <x:c r="M820" s="261" t="n">
        <x:v>1.2832</x:v>
      </x:c>
      <x:c r="N820" s="261" t="n">
        <x:f>IF(OR(L820&lt;$B$3,L820&gt;$D$3),"",IF(AND(J820=J819,N819&lt;&gt;""),MAX(M820,N819),M820))</x:f>
        <x:v>1.2897</x:v>
      </x:c>
      <x:c r="O820" s="262" t="n">
        <x:f>IF(N820="","",M820/N820-1)</x:f>
        <x:v>-0.005039931767077732</x:v>
      </x:c>
    </x:row>
    <x:row r="821">
      <x:c r="J821" s="257" t="str">
        <x:v>018595.OF</x:v>
      </x:c>
      <x:c r="K821" s="258" t="str">
        <x:v>华商利欣回报债券A</x:v>
      </x:c>
      <x:c r="L821" s="263" t="n">
        <x:v>46216</x:v>
      </x:c>
      <x:c r="M821" s="261" t="n">
        <x:v>1.2764</x:v>
      </x:c>
      <x:c r="N821" s="261" t="n">
        <x:f>IF(OR(L821&lt;$B$3,L821&gt;$D$3),"",IF(AND(J821=J820,N820&lt;&gt;""),MAX(M821,N820),M821))</x:f>
        <x:v>1.2897</x:v>
      </x:c>
      <x:c r="O821" s="262" t="n">
        <x:f>IF(N821="","",M821/N821-1)</x:f>
        <x:v>-0.010312475769558849</x:v>
      </x:c>
    </x:row>
    <x:row r="822">
      <x:c r="J822" s="257" t="str">
        <x:v>018595.OF</x:v>
      </x:c>
      <x:c r="K822" s="258" t="str">
        <x:v>华商利欣回报债券A</x:v>
      </x:c>
      <x:c r="L822" s="263" t="n">
        <x:v>46217</x:v>
      </x:c>
      <x:c r="M822" s="261" t="n">
        <x:v>1.279</x:v>
      </x:c>
      <x:c r="N822" s="261" t="n">
        <x:f>IF(OR(L822&lt;$B$3,L822&gt;$D$3),"",IF(AND(J822=J821,N821&lt;&gt;""),MAX(M822,N821),M822))</x:f>
        <x:v>1.2897</x:v>
      </x:c>
      <x:c r="O822" s="262" t="n">
        <x:f>IF(N822="","",M822/N822-1)</x:f>
        <x:v>-0.008296503062727889</x:v>
      </x:c>
    </x:row>
    <x:row r="823">
      <x:c r="J823" s="257" t="str">
        <x:v>018595.OF</x:v>
      </x:c>
      <x:c r="K823" s="258" t="str">
        <x:v>华商利欣回报债券A</x:v>
      </x:c>
      <x:c r="L823" s="263" t="n">
        <x:v>46218</x:v>
      </x:c>
      <x:c r="M823" s="261" t="n">
        <x:v>1.2747</x:v>
      </x:c>
      <x:c r="N823" s="261" t="n">
        <x:f>IF(OR(L823&lt;$B$3,L823&gt;$D$3),"",IF(AND(J823=J822,N822&lt;&gt;""),MAX(M823,N822),M823))</x:f>
        <x:v>1.2897</x:v>
      </x:c>
      <x:c r="O823" s="262" t="n">
        <x:f>IF(N823="","",M823/N823-1)</x:f>
        <x:v>-0.011630611770179211</x:v>
      </x:c>
    </x:row>
    <x:row r="824">
      <x:c r="J824" s="257" t="str">
        <x:v>018595.OF</x:v>
      </x:c>
      <x:c r="K824" s="258" t="str">
        <x:v>华商利欣回报债券A</x:v>
      </x:c>
      <x:c r="L824" s="263" t="n">
        <x:v>46219</x:v>
      </x:c>
      <x:c r="M824" s="261" t="n">
        <x:v>1.2707</x:v>
      </x:c>
      <x:c r="N824" s="261" t="n">
        <x:f>IF(OR(L824&lt;$B$3,L824&gt;$D$3),"",IF(AND(J824=J823,N823&lt;&gt;""),MAX(M824,N823),M824))</x:f>
        <x:v>1.2897</x:v>
      </x:c>
      <x:c r="O824" s="262" t="n">
        <x:f>IF(N824="","",M824/N824-1)</x:f>
        <x:v>-0.014732108242226927</x:v>
      </x:c>
    </x:row>
    <x:row r="825">
      <x:c r="J825" s="257" t="str">
        <x:v>018595.OF</x:v>
      </x:c>
      <x:c r="K825" s="258" t="str">
        <x:v>华商利欣回报债券A</x:v>
      </x:c>
      <x:c r="L825" s="263" t="n">
        <x:v>46220</x:v>
      </x:c>
      <x:c r="M825" s="261" t="n">
        <x:v>1.2578</x:v>
      </x:c>
      <x:c r="N825" s="261" t="n">
        <x:f>IF(OR(L825&lt;$B$3,L825&gt;$D$3),"",IF(AND(J825=J824,N824&lt;&gt;""),MAX(M825,N824),M825))</x:f>
        <x:v>1.2897</x:v>
      </x:c>
      <x:c r="O825" s="262" t="n">
        <x:f>IF(N825="","",M825/N825-1)</x:f>
        <x:v>-0.024734434364580893</x:v>
      </x:c>
    </x:row>
    <x:row r="826">
      <x:c r="J826" s="257" t="str">
        <x:v>018595.OF</x:v>
      </x:c>
      <x:c r="K826" s="258" t="str">
        <x:v>华商利欣回报债券A</x:v>
      </x:c>
      <x:c r="L826" s="263" t="n">
        <x:v>46221</x:v>
      </x:c>
      <x:c r="M826" s="261" t="n">
        <x:v>1.2578</x:v>
      </x:c>
      <x:c r="N826" s="261" t="n">
        <x:f>IF(OR(L826&lt;$B$3,L826&gt;$D$3),"",IF(AND(J826=J825,N825&lt;&gt;""),MAX(M826,N825),M826))</x:f>
        <x:v>1.2897</x:v>
      </x:c>
      <x:c r="O826" s="262" t="n">
        <x:f>IF(N826="","",M826/N826-1)</x:f>
        <x:v>-0.024734434364580893</x:v>
      </x:c>
    </x:row>
    <x:row r="827">
      <x:c r="J827" s="257" t="str">
        <x:v>018595.OF</x:v>
      </x:c>
      <x:c r="K827" s="258" t="str">
        <x:v>华商利欣回报债券A</x:v>
      </x:c>
      <x:c r="L827" s="263" t="n">
        <x:v>46222</x:v>
      </x:c>
      <x:c r="M827" s="261" t="n">
        <x:v>1.2578</x:v>
      </x:c>
      <x:c r="N827" s="261" t="n">
        <x:f>IF(OR(L827&lt;$B$3,L827&gt;$D$3),"",IF(AND(J827=J826,N826&lt;&gt;""),MAX(M827,N826),M827))</x:f>
        <x:v>1.2897</x:v>
      </x:c>
      <x:c r="O827" s="262" t="n">
        <x:f>IF(N827="","",M827/N827-1)</x:f>
        <x:v>-0.024734434364580893</x:v>
      </x:c>
    </x:row>
    <x:row r="828">
      <x:c r="J828" s="257" t="str">
        <x:v>018595.OF</x:v>
      </x:c>
      <x:c r="K828" s="258" t="str">
        <x:v>华商利欣回报债券A</x:v>
      </x:c>
      <x:c r="L828" s="263" t="n">
        <x:v>46223</x:v>
      </x:c>
      <x:c r="M828" s="261" t="n">
        <x:v>1.2566</x:v>
      </x:c>
      <x:c r="N828" s="261" t="n">
        <x:f>IF(OR(L828&lt;$B$3,L828&gt;$D$3),"",IF(AND(J828=J827,N827&lt;&gt;""),MAX(M828,N827),M828))</x:f>
        <x:v>1.2897</x:v>
      </x:c>
      <x:c r="O828" s="262" t="n">
        <x:f>IF(N828="","",M828/N828-1)</x:f>
        <x:v>-0.02566488330619532</x:v>
      </x:c>
    </x:row>
    <x:row r="829">
      <x:c r="J829" s="257" t="str">
        <x:v>018595.OF</x:v>
      </x:c>
      <x:c r="K829" s="258" t="str">
        <x:v>华商利欣回报债券A</x:v>
      </x:c>
      <x:c r="L829" s="263" t="n">
        <x:v>46224</x:v>
      </x:c>
      <x:c r="M829" s="261" t="n">
        <x:v>1.2747</x:v>
      </x:c>
      <x:c r="N829" s="261" t="n">
        <x:f>IF(OR(L829&lt;$B$3,L829&gt;$D$3),"",IF(AND(J829=J828,N828&lt;&gt;""),MAX(M829,N828),M829))</x:f>
        <x:v>1.2897</x:v>
      </x:c>
      <x:c r="O829" s="262" t="n">
        <x:f>IF(N829="","",M829/N829-1)</x:f>
        <x:v>-0.011630611770179211</x:v>
      </x:c>
    </x:row>
    <x:row r="830">
      <x:c r="J830" s="257" t="str">
        <x:v>018595.OF</x:v>
      </x:c>
      <x:c r="K830" s="258" t="str">
        <x:v>华商利欣回报债券A</x:v>
      </x:c>
      <x:c r="L830" s="263" t="n">
        <x:v>46225</x:v>
      </x:c>
      <x:c r="M830" s="261" t="n">
        <x:v>1.2733</x:v>
      </x:c>
      <x:c r="N830" s="261" t="n">
        <x:f>IF(OR(L830&lt;$B$3,L830&gt;$D$3),"",IF(AND(J830=J829,N829&lt;&gt;""),MAX(M830,N829),M830))</x:f>
        <x:v>1.2897</x:v>
      </x:c>
      <x:c r="O830" s="262" t="n">
        <x:f>IF(N830="","",M830/N830-1)</x:f>
        <x:v>-0.012716135535395856</x:v>
      </x:c>
    </x:row>
    <x:row r="831">
      <x:c r="J831" s="257" t="str">
        <x:v>018595.OF</x:v>
      </x:c>
      <x:c r="K831" s="258" t="str">
        <x:v>华商利欣回报债券A</x:v>
      </x:c>
      <x:c r="L831" s="263" t="n">
        <x:v>46226</x:v>
      </x:c>
      <x:c r="M831" s="261" t="n">
        <x:v>1.2668</x:v>
      </x:c>
      <x:c r="N831" s="261" t="n">
        <x:f>IF(OR(L831&lt;$B$3,L831&gt;$D$3),"",IF(AND(J831=J830,N830&lt;&gt;""),MAX(M831,N830),M831))</x:f>
        <x:v>1.2897</x:v>
      </x:c>
      <x:c r="O831" s="262" t="n">
        <x:f>IF(N831="","",M831/N831-1)</x:f>
        <x:v>-0.017756067302473588</x:v>
      </x:c>
    </x:row>
    <x:row r="832">
      <x:c r="J832" s="257" t="str">
        <x:v>018595.OF</x:v>
      </x:c>
      <x:c r="K832" s="258" t="str">
        <x:v>华商利欣回报债券A</x:v>
      </x:c>
      <x:c r="L832" s="263" t="n">
        <x:v>46227</x:v>
      </x:c>
      <x:c r="M832" s="261" t="n">
        <x:v>1.2617</x:v>
      </x:c>
      <x:c r="N832" s="261" t="n">
        <x:f>IF(OR(L832&lt;$B$3,L832&gt;$D$3),"",IF(AND(J832=J831,N831&lt;&gt;""),MAX(M832,N831),M832))</x:f>
        <x:v>1.2897</x:v>
      </x:c>
      <x:c r="O832" s="262" t="n">
        <x:f>IF(N832="","",M832/N832-1)</x:f>
        <x:v>-0.021710475304334342</x:v>
      </x:c>
    </x:row>
    <x:row r="833">
      <x:c r="J833" s="257" t="str">
        <x:v>018595.OF</x:v>
      </x:c>
      <x:c r="K833" s="258" t="str">
        <x:v>华商利欣回报债券A</x:v>
      </x:c>
      <x:c r="L833" s="263" t="n">
        <x:v>46228</x:v>
      </x:c>
      <x:c r="M833" s="261" t="n">
        <x:v>1.2617</x:v>
      </x:c>
      <x:c r="N833" s="261" t="n">
        <x:f>IF(OR(L833&lt;$B$3,L833&gt;$D$3),"",IF(AND(J833=J832,N832&lt;&gt;""),MAX(M833,N832),M833))</x:f>
        <x:v>1.2897</x:v>
      </x:c>
      <x:c r="O833" s="262" t="n">
        <x:f>IF(N833="","",M833/N833-1)</x:f>
        <x:v>-0.021710475304334342</x:v>
      </x:c>
    </x:row>
    <x:row r="834">
      <x:c r="J834" s="257" t="str">
        <x:v>018595.OF</x:v>
      </x:c>
      <x:c r="K834" s="258" t="str">
        <x:v>华商利欣回报债券A</x:v>
      </x:c>
      <x:c r="L834" s="263" t="n">
        <x:v>46229</x:v>
      </x:c>
      <x:c r="M834" s="261" t="n">
        <x:v>1.2617</x:v>
      </x:c>
      <x:c r="N834" s="261" t="n">
        <x:f>IF(OR(L834&lt;$B$3,L834&gt;$D$3),"",IF(AND(J834=J833,N833&lt;&gt;""),MAX(M834,N833),M834))</x:f>
        <x:v>1.2897</x:v>
      </x:c>
      <x:c r="O834" s="262" t="n">
        <x:f>IF(N834="","",M834/N834-1)</x:f>
        <x:v>-0.021710475304334342</x:v>
      </x:c>
    </x:row>
    <x:row r="835">
      <x:c r="J835" s="257" t="str">
        <x:v>018595.OF</x:v>
      </x:c>
      <x:c r="K835" s="258" t="str">
        <x:v>华商利欣回报债券A</x:v>
      </x:c>
      <x:c r="L835" s="263" t="n">
        <x:v>46230</x:v>
      </x:c>
      <x:c r="M835" s="261" t="n">
        <x:v>1.2664</x:v>
      </x:c>
      <x:c r="N835" s="261" t="n">
        <x:f>IF(OR(L835&lt;$B$3,L835&gt;$D$3),"",IF(AND(J835=J834,N834&lt;&gt;""),MAX(M835,N834),M835))</x:f>
        <x:v>1.2897</x:v>
      </x:c>
      <x:c r="O835" s="262" t="n">
        <x:f>IF(N835="","",M835/N835-1)</x:f>
        <x:v>-0.01806621694967825</x:v>
      </x:c>
    </x:row>
    <x:row r="836">
      <x:c r="J836" s="257" t="str">
        <x:v>018595.OF</x:v>
      </x:c>
      <x:c r="K836" s="258" t="str">
        <x:v>华商利欣回报债券A</x:v>
      </x:c>
      <x:c r="L836" s="263" t="n">
        <x:v>46231</x:v>
      </x:c>
      <x:c r="M836" s="261" t="n">
        <x:v>1.2527</x:v>
      </x:c>
      <x:c r="N836" s="261" t="n">
        <x:f>IF(OR(L836&lt;$B$3,L836&gt;$D$3),"",IF(AND(J836=J835,N835&lt;&gt;""),MAX(M836,N835),M836))</x:f>
        <x:v>1.2897</x:v>
      </x:c>
      <x:c r="O836" s="262" t="n">
        <x:f>IF(N836="","",M836/N836-1)</x:f>
        <x:v>-0.02868884236644187</x:v>
      </x:c>
    </x:row>
    <x:row r="837">
      <x:c r="J837" s="257" t="str">
        <x:v>018595.OF</x:v>
      </x:c>
      <x:c r="K837" s="258" t="str">
        <x:v>华商利欣回报债券A</x:v>
      </x:c>
      <x:c r="L837" s="263" t="n">
        <x:v>46232</x:v>
      </x:c>
      <x:c r="M837" s="261" t="n">
        <x:v>1.2489</x:v>
      </x:c>
      <x:c r="N837" s="261" t="n">
        <x:f>IF(OR(L837&lt;$B$3,L837&gt;$D$3),"",IF(AND(J837=J836,N836&lt;&gt;""),MAX(M837,N836),M837))</x:f>
        <x:v>1.2897</x:v>
      </x:c>
      <x:c r="O837" s="262" t="n">
        <x:f>IF(N837="","",M837/N837-1)</x:f>
        <x:v>-0.031635264014887365</x:v>
      </x:c>
    </x:row>
    <x:row r="838">
      <x:c r="J838" s="257" t="str">
        <x:v>018595.OF</x:v>
      </x:c>
      <x:c r="K838" s="258" t="str">
        <x:v>华商利欣回报债券A</x:v>
      </x:c>
      <x:c r="L838" s="263" t="n">
        <x:v>46233</x:v>
      </x:c>
      <x:c r="M838" s="261" t="n">
        <x:v>1.2342</x:v>
      </x:c>
      <x:c r="N838" s="261" t="n">
        <x:f>IF(OR(L838&lt;$B$3,L838&gt;$D$3),"",IF(AND(J838=J837,N837&lt;&gt;""),MAX(M838,N837),M838))</x:f>
        <x:v>1.2897</x:v>
      </x:c>
      <x:c r="O838" s="262" t="n">
        <x:f>IF(N838="","",M838/N838-1)</x:f>
        <x:v>-0.04303326354966275</x:v>
      </x:c>
    </x:row>
    <x:row r="839">
      <x:c r="J839" s="257" t="str">
        <x:v>018595.OF</x:v>
      </x:c>
      <x:c r="K839" s="258" t="str">
        <x:v>华商利欣回报债券A</x:v>
      </x:c>
      <x:c r="L839" s="263" t="n">
        <x:v>46234</x:v>
      </x:c>
      <x:c r="M839" s="261" t="n">
        <x:v>1.2422</x:v>
      </x:c>
      <x:c r="N839" s="261" t="n">
        <x:f>IF(OR(L839&lt;$B$3,L839&gt;$D$3),"",IF(AND(J839=J838,N838&lt;&gt;""),MAX(M839,N838),M839))</x:f>
        <x:v>1.2897</x:v>
      </x:c>
      <x:c r="O839" s="262" t="n">
        <x:f>IF(N839="","",M839/N839-1)</x:f>
        <x:v>-0.036830270605567206</x:v>
      </x:c>
    </x:row>
    <x:row r="840">
      <x:c r="J840" s="257" t="str">
        <x:v>018595.OF</x:v>
      </x:c>
      <x:c r="K840" s="258" t="str">
        <x:v>华商利欣回报债券A</x:v>
      </x:c>
      <x:c r="L840" s="263" t="n">
        <x:v>46235</x:v>
      </x:c>
      <x:c r="M840" s="261" t="n">
        <x:v>1.2422</x:v>
      </x:c>
      <x:c r="N840" s="261" t="n">
        <x:f>IF(OR(L840&lt;$B$3,L840&gt;$D$3),"",IF(AND(J840=J839,N839&lt;&gt;""),MAX(M840,N839),M840))</x:f>
        <x:v>1.2897</x:v>
      </x:c>
      <x:c r="O840" s="262" t="n">
        <x:f>IF(N840="","",M840/N840-1)</x:f>
        <x:v>-0.036830270605567206</x:v>
      </x:c>
    </x:row>
    <x:row r="841">
      <x:c r="J841" s="257" t="str">
        <x:v>018595.OF</x:v>
      </x:c>
      <x:c r="K841" s="258" t="str">
        <x:v>华商利欣回报债券A</x:v>
      </x:c>
      <x:c r="L841" s="263" t="n">
        <x:v>46236</x:v>
      </x:c>
      <x:c r="M841" s="261" t="n">
        <x:v>1.2422</x:v>
      </x:c>
      <x:c r="N841" s="261" t="n">
        <x:f>IF(OR(L841&lt;$B$3,L841&gt;$D$3),"",IF(AND(J841=J840,N840&lt;&gt;""),MAX(M841,N840),M841))</x:f>
        <x:v>1.2897</x:v>
      </x:c>
      <x:c r="O841" s="262" t="n">
        <x:f>IF(N841="","",M841/N841-1)</x:f>
        <x:v>-0.036830270605567206</x:v>
      </x:c>
    </x:row>
    <x:row r="842">
      <x:c r="J842" s="257" t="str">
        <x:v>018595.OF</x:v>
      </x:c>
      <x:c r="K842" s="258" t="str">
        <x:v>华商利欣回报债券A</x:v>
      </x:c>
      <x:c r="L842" s="263" t="n">
        <x:v>46237</x:v>
      </x:c>
      <x:c r="M842" s="261" t="n">
        <x:v>1.2298</x:v>
      </x:c>
      <x:c r="N842" s="261" t="n">
        <x:f>IF(OR(L842&lt;$B$3,L842&gt;$D$3),"",IF(AND(J842=J841,N841&lt;&gt;""),MAX(M842,N841),M842))</x:f>
        <x:v>1.2897</x:v>
      </x:c>
      <x:c r="O842" s="262" t="n">
        <x:f>IF(N842="","",M842/N842-1)</x:f>
        <x:v>-0.046444909668915346</x:v>
      </x:c>
    </x:row>
    <x:row r="843">
      <x:c r="J843" s="257" t="str">
        <x:v>018595.OF</x:v>
      </x:c>
      <x:c r="K843" s="258" t="str">
        <x:v>华商利欣回报债券A</x:v>
      </x:c>
      <x:c r="L843" s="263" t="n">
        <x:v>46238</x:v>
      </x:c>
      <x:c r="M843" s="261" t="n">
        <x:v>1.2454</x:v>
      </x:c>
      <x:c r="N843" s="261" t="n">
        <x:f>IF(OR(L843&lt;$B$3,L843&gt;$D$3),"",IF(AND(J843=J842,N842&lt;&gt;""),MAX(M843,N842),M843))</x:f>
        <x:v>1.2897</x:v>
      </x:c>
      <x:c r="O843" s="262" t="n">
        <x:f>IF(N843="","",M843/N843-1)</x:f>
        <x:v>-0.03434907342792903</x:v>
      </x:c>
    </x:row>
    <x:row r="844">
      <x:c r="J844" s="257" t="str">
        <x:v>018595.OF</x:v>
      </x:c>
      <x:c r="K844" s="258" t="str">
        <x:v>华商利欣回报债券A</x:v>
      </x:c>
      <x:c r="L844" s="263" t="n">
        <x:v>46239</x:v>
      </x:c>
      <x:c r="M844" s="261" t="n">
        <x:v>1.2591</x:v>
      </x:c>
      <x:c r="N844" s="261" t="n">
        <x:f>IF(OR(L844&lt;$B$3,L844&gt;$D$3),"",IF(AND(J844=J843,N843&lt;&gt;""),MAX(M844,N843),M844))</x:f>
        <x:v>1.2897</x:v>
      </x:c>
      <x:c r="O844" s="262" t="n">
        <x:f>IF(N844="","",M844/N844-1)</x:f>
        <x:v>-0.023726448011165302</x:v>
      </x:c>
    </x:row>
    <x:row r="845">
      <x:c r="J845" s="257" t="str">
        <x:v>018595.OF</x:v>
      </x:c>
      <x:c r="K845" s="258" t="str">
        <x:v>华商利欣回报债券A</x:v>
      </x:c>
      <x:c r="L845" s="263" t="n">
        <x:v>46240</x:v>
      </x:c>
      <x:c r="M845" s="261" t="n">
        <x:v>1.2645</x:v>
      </x:c>
      <x:c r="N845" s="261" t="n">
        <x:f>IF(OR(L845&lt;$B$3,L845&gt;$D$3),"",IF(AND(J845=J844,N844&lt;&gt;""),MAX(M845,N844),M845))</x:f>
        <x:v>1.2897</x:v>
      </x:c>
      <x:c r="O845" s="262" t="n">
        <x:f>IF(N845="","",M845/N845-1)</x:f>
        <x:v>-0.01953942777390094</x:v>
      </x:c>
    </x:row>
    <x:row r="846">
      <x:c r="J846" s="257" t="str">
        <x:v>018595.OF</x:v>
      </x:c>
      <x:c r="K846" s="258" t="str">
        <x:v>华商利欣回报债券A</x:v>
      </x:c>
      <x:c r="L846" s="263" t="n">
        <x:v>46241</x:v>
      </x:c>
      <x:c r="M846" s="261" t="n">
        <x:v>1.2751</x:v>
      </x:c>
      <x:c r="N846" s="261" t="n">
        <x:f>IF(OR(L846&lt;$B$3,L846&gt;$D$3),"",IF(AND(J846=J845,N845&lt;&gt;""),MAX(M846,N845),M846))</x:f>
        <x:v>1.2897</x:v>
      </x:c>
      <x:c r="O846" s="262" t="n">
        <x:f>IF(N846="","",M846/N846-1)</x:f>
        <x:v>-0.01132046212297444</x:v>
      </x:c>
    </x:row>
    <x:row r="847">
      <x:c r="J847" s="257" t="str">
        <x:v>018595.OF</x:v>
      </x:c>
      <x:c r="K847" s="258" t="str">
        <x:v>华商利欣回报债券A</x:v>
      </x:c>
      <x:c r="L847" s="263" t="n">
        <x:v>46242</x:v>
      </x:c>
      <x:c r="M847" s="261" t="n">
        <x:v>1.2751</x:v>
      </x:c>
      <x:c r="N847" s="261" t="n">
        <x:f>IF(OR(L847&lt;$B$3,L847&gt;$D$3),"",IF(AND(J847=J846,N846&lt;&gt;""),MAX(M847,N846),M847))</x:f>
        <x:v>1.2897</x:v>
      </x:c>
      <x:c r="O847" s="262" t="n">
        <x:f>IF(N847="","",M847/N847-1)</x:f>
        <x:v>-0.01132046212297444</x:v>
      </x:c>
    </x:row>
    <x:row r="848">
      <x:c r="J848" s="257" t="str">
        <x:v>018595.OF</x:v>
      </x:c>
      <x:c r="K848" s="258" t="str">
        <x:v>华商利欣回报债券A</x:v>
      </x:c>
      <x:c r="L848" s="263" t="n">
        <x:v>46243</x:v>
      </x:c>
      <x:c r="M848" s="261" t="n">
        <x:v>1.2751</x:v>
      </x:c>
      <x:c r="N848" s="261" t="n">
        <x:f>IF(OR(L848&lt;$B$3,L848&gt;$D$3),"",IF(AND(J848=J847,N847&lt;&gt;""),MAX(M848,N847),M848))</x:f>
        <x:v>1.2897</x:v>
      </x:c>
      <x:c r="O848" s="262" t="n">
        <x:f>IF(N848="","",M848/N848-1)</x:f>
        <x:v>-0.01132046212297444</x:v>
      </x:c>
    </x:row>
    <x:row r="849">
      <x:c r="J849" s="257" t="str">
        <x:v>018595.OF</x:v>
      </x:c>
      <x:c r="K849" s="258" t="str">
        <x:v>华商利欣回报债券A</x:v>
      </x:c>
      <x:c r="L849" s="263" t="n">
        <x:v>46244</x:v>
      </x:c>
      <x:c r="M849" s="261" t="n">
        <x:v>1.2725</x:v>
      </x:c>
      <x:c r="N849" s="261" t="n">
        <x:f>IF(OR(L849&lt;$B$3,L849&gt;$D$3),"",IF(AND(J849=J848,N848&lt;&gt;""),MAX(M849,N848),M849))</x:f>
        <x:v>1.2897</x:v>
      </x:c>
      <x:c r="O849" s="262" t="n">
        <x:f>IF(N849="","",M849/N849-1)</x:f>
        <x:v>-0.01333643482980551</x:v>
      </x:c>
    </x:row>
    <x:row r="850">
      <x:c r="J850" s="257" t="str">
        <x:v>020218.OF</x:v>
      </x:c>
      <x:c r="K850" s="258" t="str">
        <x:v>万家锦利债券发起式A</x:v>
      </x:c>
      <x:c r="L850" s="263" t="n">
        <x:v>46191</x:v>
      </x:c>
      <x:c r="M850" s="261" t="n">
        <x:v>1.2318</x:v>
      </x:c>
      <x:c r="N850" s="261" t="n">
        <x:f>IF(OR(L850&lt;$B$3,L850&gt;$D$3),"",IF(AND(J850=J849,N849&lt;&gt;""),MAX(M850,N849),M850))</x:f>
        <x:v>1.2318</x:v>
      </x:c>
      <x:c r="O850" s="262" t="n">
        <x:f>IF(N850="","",M850/N850-1)</x:f>
        <x:v>0</x:v>
      </x:c>
    </x:row>
    <x:row r="851">
      <x:c r="J851" s="257" t="str">
        <x:v>020218.OF</x:v>
      </x:c>
      <x:c r="K851" s="258" t="str">
        <x:v>万家锦利债券发起式A</x:v>
      </x:c>
      <x:c r="L851" s="263" t="n">
        <x:v>46192</x:v>
      </x:c>
      <x:c r="M851" s="261" t="n">
        <x:v>1.2318</x:v>
      </x:c>
      <x:c r="N851" s="261" t="n">
        <x:f>IF(OR(L851&lt;$B$3,L851&gt;$D$3),"",IF(AND(J851=J850,N850&lt;&gt;""),MAX(M851,N850),M851))</x:f>
        <x:v>1.2318</x:v>
      </x:c>
      <x:c r="O851" s="262" t="n">
        <x:f>IF(N851="","",M851/N851-1)</x:f>
        <x:v>0</x:v>
      </x:c>
    </x:row>
    <x:row r="852">
      <x:c r="J852" s="257" t="str">
        <x:v>020218.OF</x:v>
      </x:c>
      <x:c r="K852" s="258" t="str">
        <x:v>万家锦利债券发起式A</x:v>
      </x:c>
      <x:c r="L852" s="263" t="n">
        <x:v>46193</x:v>
      </x:c>
      <x:c r="M852" s="261" t="n">
        <x:v>1.2318</x:v>
      </x:c>
      <x:c r="N852" s="261" t="n">
        <x:f>IF(OR(L852&lt;$B$3,L852&gt;$D$3),"",IF(AND(J852=J851,N851&lt;&gt;""),MAX(M852,N851),M852))</x:f>
        <x:v>1.2318</x:v>
      </x:c>
      <x:c r="O852" s="262" t="n">
        <x:f>IF(N852="","",M852/N852-1)</x:f>
        <x:v>0</x:v>
      </x:c>
    </x:row>
    <x:row r="853">
      <x:c r="J853" s="257" t="str">
        <x:v>020218.OF</x:v>
      </x:c>
      <x:c r="K853" s="258" t="str">
        <x:v>万家锦利债券发起式A</x:v>
      </x:c>
      <x:c r="L853" s="263" t="n">
        <x:v>46194</x:v>
      </x:c>
      <x:c r="M853" s="261" t="n">
        <x:v>1.2318</x:v>
      </x:c>
      <x:c r="N853" s="261" t="n">
        <x:f>IF(OR(L853&lt;$B$3,L853&gt;$D$3),"",IF(AND(J853=J852,N852&lt;&gt;""),MAX(M853,N852),M853))</x:f>
        <x:v>1.2318</x:v>
      </x:c>
      <x:c r="O853" s="262" t="n">
        <x:f>IF(N853="","",M853/N853-1)</x:f>
        <x:v>0</x:v>
      </x:c>
    </x:row>
    <x:row r="854">
      <x:c r="J854" s="257" t="str">
        <x:v>020218.OF</x:v>
      </x:c>
      <x:c r="K854" s="258" t="str">
        <x:v>万家锦利债券发起式A</x:v>
      </x:c>
      <x:c r="L854" s="263" t="n">
        <x:v>46195</x:v>
      </x:c>
      <x:c r="M854" s="261" t="n">
        <x:v>1.2354</x:v>
      </x:c>
      <x:c r="N854" s="261" t="n">
        <x:f>IF(OR(L854&lt;$B$3,L854&gt;$D$3),"",IF(AND(J854=J853,N853&lt;&gt;""),MAX(M854,N853),M854))</x:f>
        <x:v>1.2354</x:v>
      </x:c>
      <x:c r="O854" s="262" t="n">
        <x:f>IF(N854="","",M854/N854-1)</x:f>
        <x:v>0</x:v>
      </x:c>
    </x:row>
    <x:row r="855">
      <x:c r="J855" s="257" t="str">
        <x:v>020218.OF</x:v>
      </x:c>
      <x:c r="K855" s="258" t="str">
        <x:v>万家锦利债券发起式A</x:v>
      </x:c>
      <x:c r="L855" s="263" t="n">
        <x:v>46196</x:v>
      </x:c>
      <x:c r="M855" s="261" t="n">
        <x:v>1.2254</x:v>
      </x:c>
      <x:c r="N855" s="261" t="n">
        <x:f>IF(OR(L855&lt;$B$3,L855&gt;$D$3),"",IF(AND(J855=J854,N854&lt;&gt;""),MAX(M855,N854),M855))</x:f>
        <x:v>1.2354</x:v>
      </x:c>
      <x:c r="O855" s="262" t="n">
        <x:f>IF(N855="","",M855/N855-1)</x:f>
        <x:v>-0.008094544277157167</x:v>
      </x:c>
    </x:row>
    <x:row r="856">
      <x:c r="J856" s="257" t="str">
        <x:v>020218.OF</x:v>
      </x:c>
      <x:c r="K856" s="258" t="str">
        <x:v>万家锦利债券发起式A</x:v>
      </x:c>
      <x:c r="L856" s="263" t="n">
        <x:v>46197</x:v>
      </x:c>
      <x:c r="M856" s="261" t="n">
        <x:v>1.2336</x:v>
      </x:c>
      <x:c r="N856" s="261" t="n">
        <x:f>IF(OR(L856&lt;$B$3,L856&gt;$D$3),"",IF(AND(J856=J855,N855&lt;&gt;""),MAX(M856,N855),M856))</x:f>
        <x:v>1.2354</x:v>
      </x:c>
      <x:c r="O856" s="262" t="n">
        <x:f>IF(N856="","",M856/N856-1)</x:f>
        <x:v>-0.0014570179698882857</x:v>
      </x:c>
    </x:row>
    <x:row r="857">
      <x:c r="J857" s="257" t="str">
        <x:v>020218.OF</x:v>
      </x:c>
      <x:c r="K857" s="258" t="str">
        <x:v>万家锦利债券发起式A</x:v>
      </x:c>
      <x:c r="L857" s="263" t="n">
        <x:v>46198</x:v>
      </x:c>
      <x:c r="M857" s="261" t="n">
        <x:v>1.2411</x:v>
      </x:c>
      <x:c r="N857" s="261" t="n">
        <x:f>IF(OR(L857&lt;$B$3,L857&gt;$D$3),"",IF(AND(J857=J856,N856&lt;&gt;""),MAX(M857,N856),M857))</x:f>
        <x:v>1.2411</x:v>
      </x:c>
      <x:c r="O857" s="262" t="n">
        <x:f>IF(N857="","",M857/N857-1)</x:f>
        <x:v>0</x:v>
      </x:c>
    </x:row>
    <x:row r="858">
      <x:c r="J858" s="257" t="str">
        <x:v>020218.OF</x:v>
      </x:c>
      <x:c r="K858" s="258" t="str">
        <x:v>万家锦利债券发起式A</x:v>
      </x:c>
      <x:c r="L858" s="263" t="n">
        <x:v>46199</x:v>
      </x:c>
      <x:c r="M858" s="261" t="n">
        <x:v>1.2346</x:v>
      </x:c>
      <x:c r="N858" s="261" t="n">
        <x:f>IF(OR(L858&lt;$B$3,L858&gt;$D$3),"",IF(AND(J858=J857,N857&lt;&gt;""),MAX(M858,N857),M858))</x:f>
        <x:v>1.2411</x:v>
      </x:c>
      <x:c r="O858" s="262" t="n">
        <x:f>IF(N858="","",M858/N858-1)</x:f>
        <x:v>-0.005237289501249021</x:v>
      </x:c>
    </x:row>
    <x:row r="859">
      <x:c r="J859" s="257" t="str">
        <x:v>020218.OF</x:v>
      </x:c>
      <x:c r="K859" s="258" t="str">
        <x:v>万家锦利债券发起式A</x:v>
      </x:c>
      <x:c r="L859" s="263" t="n">
        <x:v>46200</x:v>
      </x:c>
      <x:c r="M859" s="261" t="n">
        <x:v>1.2346</x:v>
      </x:c>
      <x:c r="N859" s="261" t="n">
        <x:f>IF(OR(L859&lt;$B$3,L859&gt;$D$3),"",IF(AND(J859=J858,N858&lt;&gt;""),MAX(M859,N858),M859))</x:f>
        <x:v>1.2411</x:v>
      </x:c>
      <x:c r="O859" s="262" t="n">
        <x:f>IF(N859="","",M859/N859-1)</x:f>
        <x:v>-0.005237289501249021</x:v>
      </x:c>
    </x:row>
    <x:row r="860">
      <x:c r="J860" s="257" t="str">
        <x:v>020218.OF</x:v>
      </x:c>
      <x:c r="K860" s="258" t="str">
        <x:v>万家锦利债券发起式A</x:v>
      </x:c>
      <x:c r="L860" s="263" t="n">
        <x:v>46201</x:v>
      </x:c>
      <x:c r="M860" s="261" t="n">
        <x:v>1.2346</x:v>
      </x:c>
      <x:c r="N860" s="261" t="n">
        <x:f>IF(OR(L860&lt;$B$3,L860&gt;$D$3),"",IF(AND(J860=J859,N859&lt;&gt;""),MAX(M860,N859),M860))</x:f>
        <x:v>1.2411</x:v>
      </x:c>
      <x:c r="O860" s="262" t="n">
        <x:f>IF(N860="","",M860/N860-1)</x:f>
        <x:v>-0.005237289501249021</x:v>
      </x:c>
    </x:row>
    <x:row r="861">
      <x:c r="J861" s="257" t="str">
        <x:v>020218.OF</x:v>
      </x:c>
      <x:c r="K861" s="258" t="str">
        <x:v>万家锦利债券发起式A</x:v>
      </x:c>
      <x:c r="L861" s="263" t="n">
        <x:v>46202</x:v>
      </x:c>
      <x:c r="M861" s="261" t="n">
        <x:v>1.2365</x:v>
      </x:c>
      <x:c r="N861" s="261" t="n">
        <x:f>IF(OR(L861&lt;$B$3,L861&gt;$D$3),"",IF(AND(J861=J860,N860&lt;&gt;""),MAX(M861,N860),M861))</x:f>
        <x:v>1.2411</x:v>
      </x:c>
      <x:c r="O861" s="262" t="n">
        <x:f>IF(N861="","",M861/N861-1)</x:f>
        <x:v>-0.0037063894931916863</x:v>
      </x:c>
    </x:row>
    <x:row r="862">
      <x:c r="J862" s="257" t="str">
        <x:v>020218.OF</x:v>
      </x:c>
      <x:c r="K862" s="258" t="str">
        <x:v>万家锦利债券发起式A</x:v>
      </x:c>
      <x:c r="L862" s="263" t="n">
        <x:v>46203</x:v>
      </x:c>
      <x:c r="M862" s="261" t="n">
        <x:v>1.2422</x:v>
      </x:c>
      <x:c r="N862" s="261" t="n">
        <x:f>IF(OR(L862&lt;$B$3,L862&gt;$D$3),"",IF(AND(J862=J861,N861&lt;&gt;""),MAX(M862,N861),M862))</x:f>
        <x:v>1.2422</x:v>
      </x:c>
      <x:c r="O862" s="262" t="n">
        <x:f>IF(N862="","",M862/N862-1)</x:f>
        <x:v>0</x:v>
      </x:c>
    </x:row>
    <x:row r="863">
      <x:c r="J863" s="257" t="str">
        <x:v>020218.OF</x:v>
      </x:c>
      <x:c r="K863" s="258" t="str">
        <x:v>万家锦利债券发起式A</x:v>
      </x:c>
      <x:c r="L863" s="263" t="n">
        <x:v>46204</x:v>
      </x:c>
      <x:c r="M863" s="261" t="n">
        <x:v>1.235</x:v>
      </x:c>
      <x:c r="N863" s="261" t="n">
        <x:f>IF(OR(L863&lt;$B$3,L863&gt;$D$3),"",IF(AND(J863=J862,N862&lt;&gt;""),MAX(M863,N862),M863))</x:f>
        <x:v>1.2422</x:v>
      </x:c>
      <x:c r="O863" s="262" t="n">
        <x:f>IF(N863="","",M863/N863-1)</x:f>
        <x:v>-0.005796168088874509</x:v>
      </x:c>
    </x:row>
    <x:row r="864">
      <x:c r="J864" s="257" t="str">
        <x:v>020218.OF</x:v>
      </x:c>
      <x:c r="K864" s="258" t="str">
        <x:v>万家锦利债券发起式A</x:v>
      </x:c>
      <x:c r="L864" s="263" t="n">
        <x:v>46205</x:v>
      </x:c>
      <x:c r="M864" s="261" t="n">
        <x:v>1.2194</x:v>
      </x:c>
      <x:c r="N864" s="261" t="n">
        <x:f>IF(OR(L864&lt;$B$3,L864&gt;$D$3),"",IF(AND(J864=J863,N863&lt;&gt;""),MAX(M864,N863),M864))</x:f>
        <x:v>1.2422</x:v>
      </x:c>
      <x:c r="O864" s="262" t="n">
        <x:f>IF(N864="","",M864/N864-1)</x:f>
        <x:v>-0.01835453228143613</x:v>
      </x:c>
    </x:row>
    <x:row r="865">
      <x:c r="J865" s="257" t="str">
        <x:v>020218.OF</x:v>
      </x:c>
      <x:c r="K865" s="258" t="str">
        <x:v>万家锦利债券发起式A</x:v>
      </x:c>
      <x:c r="L865" s="263" t="n">
        <x:v>46206</x:v>
      </x:c>
      <x:c r="M865" s="261" t="n">
        <x:v>1.2188</x:v>
      </x:c>
      <x:c r="N865" s="261" t="n">
        <x:f>IF(OR(L865&lt;$B$3,L865&gt;$D$3),"",IF(AND(J865=J864,N864&lt;&gt;""),MAX(M865,N864),M865))</x:f>
        <x:v>1.2422</x:v>
      </x:c>
      <x:c r="O865" s="262" t="n">
        <x:f>IF(N865="","",M865/N865-1)</x:f>
        <x:v>-0.018837546288842266</x:v>
      </x:c>
    </x:row>
    <x:row r="866">
      <x:c r="J866" s="257" t="str">
        <x:v>020218.OF</x:v>
      </x:c>
      <x:c r="K866" s="258" t="str">
        <x:v>万家锦利债券发起式A</x:v>
      </x:c>
      <x:c r="L866" s="263" t="n">
        <x:v>46207</x:v>
      </x:c>
      <x:c r="M866" s="261" t="n">
        <x:v>1.2188</x:v>
      </x:c>
      <x:c r="N866" s="261" t="n">
        <x:f>IF(OR(L866&lt;$B$3,L866&gt;$D$3),"",IF(AND(J866=J865,N865&lt;&gt;""),MAX(M866,N865),M866))</x:f>
        <x:v>1.2422</x:v>
      </x:c>
      <x:c r="O866" s="262" t="n">
        <x:f>IF(N866="","",M866/N866-1)</x:f>
        <x:v>-0.018837546288842266</x:v>
      </x:c>
    </x:row>
    <x:row r="867">
      <x:c r="J867" s="257" t="str">
        <x:v>020218.OF</x:v>
      </x:c>
      <x:c r="K867" s="258" t="str">
        <x:v>万家锦利债券发起式A</x:v>
      </x:c>
      <x:c r="L867" s="263" t="n">
        <x:v>46208</x:v>
      </x:c>
      <x:c r="M867" s="261" t="n">
        <x:v>1.2188</x:v>
      </x:c>
      <x:c r="N867" s="261" t="n">
        <x:f>IF(OR(L867&lt;$B$3,L867&gt;$D$3),"",IF(AND(J867=J866,N866&lt;&gt;""),MAX(M867,N866),M867))</x:f>
        <x:v>1.2422</x:v>
      </x:c>
      <x:c r="O867" s="262" t="n">
        <x:f>IF(N867="","",M867/N867-1)</x:f>
        <x:v>-0.018837546288842266</x:v>
      </x:c>
    </x:row>
    <x:row r="868">
      <x:c r="J868" s="257" t="str">
        <x:v>020218.OF</x:v>
      </x:c>
      <x:c r="K868" s="258" t="str">
        <x:v>万家锦利债券发起式A</x:v>
      </x:c>
      <x:c r="L868" s="263" t="n">
        <x:v>46209</x:v>
      </x:c>
      <x:c r="M868" s="261" t="n">
        <x:v>1.2153</x:v>
      </x:c>
      <x:c r="N868" s="261" t="n">
        <x:f>IF(OR(L868&lt;$B$3,L868&gt;$D$3),"",IF(AND(J868=J867,N867&lt;&gt;""),MAX(M868,N867),M868))</x:f>
        <x:v>1.2422</x:v>
      </x:c>
      <x:c r="O868" s="262" t="n">
        <x:f>IF(N868="","",M868/N868-1)</x:f>
        <x:v>-0.021655127998711943</x:v>
      </x:c>
    </x:row>
    <x:row r="869">
      <x:c r="J869" s="257" t="str">
        <x:v>020218.OF</x:v>
      </x:c>
      <x:c r="K869" s="258" t="str">
        <x:v>万家锦利债券发起式A</x:v>
      </x:c>
      <x:c r="L869" s="263" t="n">
        <x:v>46210</x:v>
      </x:c>
      <x:c r="M869" s="261" t="n">
        <x:v>1.2132</x:v>
      </x:c>
      <x:c r="N869" s="261" t="n">
        <x:f>IF(OR(L869&lt;$B$3,L869&gt;$D$3),"",IF(AND(J869=J868,N868&lt;&gt;""),MAX(M869,N868),M869))</x:f>
        <x:v>1.2422</x:v>
      </x:c>
      <x:c r="O869" s="262" t="n">
        <x:f>IF(N869="","",M869/N869-1)</x:f>
        <x:v>-0.023345677024633638</x:v>
      </x:c>
    </x:row>
    <x:row r="870">
      <x:c r="J870" s="257" t="str">
        <x:v>020218.OF</x:v>
      </x:c>
      <x:c r="K870" s="258" t="str">
        <x:v>万家锦利债券发起式A</x:v>
      </x:c>
      <x:c r="L870" s="263" t="n">
        <x:v>46211</x:v>
      </x:c>
      <x:c r="M870" s="261" t="n">
        <x:v>1.2121</x:v>
      </x:c>
      <x:c r="N870" s="261" t="n">
        <x:f>IF(OR(L870&lt;$B$3,L870&gt;$D$3),"",IF(AND(J870=J869,N869&lt;&gt;""),MAX(M870,N869),M870))</x:f>
        <x:v>1.2422</x:v>
      </x:c>
      <x:c r="O870" s="262" t="n">
        <x:f>IF(N870="","",M870/N870-1)</x:f>
        <x:v>-0.02423120270487844</x:v>
      </x:c>
    </x:row>
    <x:row r="871">
      <x:c r="J871" s="257" t="str">
        <x:v>020218.OF</x:v>
      </x:c>
      <x:c r="K871" s="258" t="str">
        <x:v>万家锦利债券发起式A</x:v>
      </x:c>
      <x:c r="L871" s="263" t="n">
        <x:v>46212</x:v>
      </x:c>
      <x:c r="M871" s="261" t="n">
        <x:v>1.223</x:v>
      </x:c>
      <x:c r="N871" s="261" t="n">
        <x:f>IF(OR(L871&lt;$B$3,L871&gt;$D$3),"",IF(AND(J871=J870,N870&lt;&gt;""),MAX(M871,N870),M871))</x:f>
        <x:v>1.2422</x:v>
      </x:c>
      <x:c r="O871" s="262" t="n">
        <x:f>IF(N871="","",M871/N871-1)</x:f>
        <x:v>-0.015456448236998765</x:v>
      </x:c>
    </x:row>
    <x:row r="872">
      <x:c r="J872" s="257" t="str">
        <x:v>020218.OF</x:v>
      </x:c>
      <x:c r="K872" s="258" t="str">
        <x:v>万家锦利债券发起式A</x:v>
      </x:c>
      <x:c r="L872" s="263" t="n">
        <x:v>46213</x:v>
      </x:c>
      <x:c r="M872" s="261" t="n">
        <x:v>1.2114</x:v>
      </x:c>
      <x:c r="N872" s="261" t="n">
        <x:f>IF(OR(L872&lt;$B$3,L872&gt;$D$3),"",IF(AND(J872=J871,N871&lt;&gt;""),MAX(M872,N871),M872))</x:f>
        <x:v>1.2422</x:v>
      </x:c>
      <x:c r="O872" s="262" t="n">
        <x:f>IF(N872="","",M872/N872-1)</x:f>
        <x:v>-0.024794719046852265</x:v>
      </x:c>
    </x:row>
    <x:row r="873">
      <x:c r="J873" s="257" t="str">
        <x:v>020218.OF</x:v>
      </x:c>
      <x:c r="K873" s="258" t="str">
        <x:v>万家锦利债券发起式A</x:v>
      </x:c>
      <x:c r="L873" s="263" t="n">
        <x:v>46214</x:v>
      </x:c>
      <x:c r="M873" s="261" t="n">
        <x:v>1.2114</x:v>
      </x:c>
      <x:c r="N873" s="261" t="n">
        <x:f>IF(OR(L873&lt;$B$3,L873&gt;$D$3),"",IF(AND(J873=J872,N872&lt;&gt;""),MAX(M873,N872),M873))</x:f>
        <x:v>1.2422</x:v>
      </x:c>
      <x:c r="O873" s="262" t="n">
        <x:f>IF(N873="","",M873/N873-1)</x:f>
        <x:v>-0.024794719046852265</x:v>
      </x:c>
    </x:row>
    <x:row r="874">
      <x:c r="J874" s="257" t="str">
        <x:v>020218.OF</x:v>
      </x:c>
      <x:c r="K874" s="258" t="str">
        <x:v>万家锦利债券发起式A</x:v>
      </x:c>
      <x:c r="L874" s="263" t="n">
        <x:v>46215</x:v>
      </x:c>
      <x:c r="M874" s="261" t="n">
        <x:v>1.2114</x:v>
      </x:c>
      <x:c r="N874" s="261" t="n">
        <x:f>IF(OR(L874&lt;$B$3,L874&gt;$D$3),"",IF(AND(J874=J873,N873&lt;&gt;""),MAX(M874,N873),M874))</x:f>
        <x:v>1.2422</x:v>
      </x:c>
      <x:c r="O874" s="262" t="n">
        <x:f>IF(N874="","",M874/N874-1)</x:f>
        <x:v>-0.024794719046852265</x:v>
      </x:c>
    </x:row>
    <x:row r="875">
      <x:c r="J875" s="257" t="str">
        <x:v>020218.OF</x:v>
      </x:c>
      <x:c r="K875" s="258" t="str">
        <x:v>万家锦利债券发起式A</x:v>
      </x:c>
      <x:c r="L875" s="263" t="n">
        <x:v>46216</x:v>
      </x:c>
      <x:c r="M875" s="261" t="n">
        <x:v>1.2022</x:v>
      </x:c>
      <x:c r="N875" s="261" t="n">
        <x:f>IF(OR(L875&lt;$B$3,L875&gt;$D$3),"",IF(AND(J875=J874,N874&lt;&gt;""),MAX(M875,N874),M875))</x:f>
        <x:v>1.2422</x:v>
      </x:c>
      <x:c r="O875" s="262" t="n">
        <x:f>IF(N875="","",M875/N875-1)</x:f>
        <x:v>-0.032200933827081</x:v>
      </x:c>
    </x:row>
    <x:row r="876">
      <x:c r="J876" s="257" t="str">
        <x:v>020218.OF</x:v>
      </x:c>
      <x:c r="K876" s="258" t="str">
        <x:v>万家锦利债券发起式A</x:v>
      </x:c>
      <x:c r="L876" s="263" t="n">
        <x:v>46217</x:v>
      </x:c>
      <x:c r="M876" s="261" t="n">
        <x:v>1.2093</x:v>
      </x:c>
      <x:c r="N876" s="261" t="n">
        <x:f>IF(OR(L876&lt;$B$3,L876&gt;$D$3),"",IF(AND(J876=J875,N875&lt;&gt;""),MAX(M876,N875),M876))</x:f>
        <x:v>1.2422</x:v>
      </x:c>
      <x:c r="O876" s="262" t="n">
        <x:f>IF(N876="","",M876/N876-1)</x:f>
        <x:v>-0.02648526807277407</x:v>
      </x:c>
    </x:row>
    <x:row r="877">
      <x:c r="J877" s="257" t="str">
        <x:v>020218.OF</x:v>
      </x:c>
      <x:c r="K877" s="258" t="str">
        <x:v>万家锦利债券发起式A</x:v>
      </x:c>
      <x:c r="L877" s="263" t="n">
        <x:v>46218</x:v>
      </x:c>
      <x:c r="M877" s="261" t="n">
        <x:v>1.2034</x:v>
      </x:c>
      <x:c r="N877" s="261" t="n">
        <x:f>IF(OR(L877&lt;$B$3,L877&gt;$D$3),"",IF(AND(J877=J876,N876&lt;&gt;""),MAX(M877,N876),M877))</x:f>
        <x:v>1.2422</x:v>
      </x:c>
      <x:c r="O877" s="262" t="n">
        <x:f>IF(N877="","",M877/N877-1)</x:f>
        <x:v>-0.03123490581226851</x:v>
      </x:c>
    </x:row>
    <x:row r="878">
      <x:c r="J878" s="257" t="str">
        <x:v>020218.OF</x:v>
      </x:c>
      <x:c r="K878" s="258" t="str">
        <x:v>万家锦利债券发起式A</x:v>
      </x:c>
      <x:c r="L878" s="263" t="n">
        <x:v>46219</x:v>
      </x:c>
      <x:c r="M878" s="261" t="n">
        <x:v>1.1964</x:v>
      </x:c>
      <x:c r="N878" s="261" t="n">
        <x:f>IF(OR(L878&lt;$B$3,L878&gt;$D$3),"",IF(AND(J878=J877,N877&lt;&gt;""),MAX(M878,N877),M878))</x:f>
        <x:v>1.2422</x:v>
      </x:c>
      <x:c r="O878" s="262" t="n">
        <x:f>IF(N878="","",M878/N878-1)</x:f>
        <x:v>-0.03687006923200775</x:v>
      </x:c>
    </x:row>
    <x:row r="879">
      <x:c r="J879" s="257" t="str">
        <x:v>020218.OF</x:v>
      </x:c>
      <x:c r="K879" s="258" t="str">
        <x:v>万家锦利债券发起式A</x:v>
      </x:c>
      <x:c r="L879" s="263" t="n">
        <x:v>46220</x:v>
      </x:c>
      <x:c r="M879" s="261" t="n">
        <x:v>1.1834</x:v>
      </x:c>
      <x:c r="N879" s="261" t="n">
        <x:f>IF(OR(L879&lt;$B$3,L879&gt;$D$3),"",IF(AND(J879=J878,N878&lt;&gt;""),MAX(M879,N878),M879))</x:f>
        <x:v>1.2422</x:v>
      </x:c>
      <x:c r="O879" s="262" t="n">
        <x:f>IF(N879="","",M879/N879-1)</x:f>
        <x:v>-0.04733537272580901</x:v>
      </x:c>
    </x:row>
    <x:row r="880">
      <x:c r="J880" s="257" t="str">
        <x:v>020218.OF</x:v>
      </x:c>
      <x:c r="K880" s="258" t="str">
        <x:v>万家锦利债券发起式A</x:v>
      </x:c>
      <x:c r="L880" s="263" t="n">
        <x:v>46221</x:v>
      </x:c>
      <x:c r="M880" s="261" t="n">
        <x:v>1.1834</x:v>
      </x:c>
      <x:c r="N880" s="261" t="n">
        <x:f>IF(OR(L880&lt;$B$3,L880&gt;$D$3),"",IF(AND(J880=J879,N879&lt;&gt;""),MAX(M880,N879),M880))</x:f>
        <x:v>1.2422</x:v>
      </x:c>
      <x:c r="O880" s="262" t="n">
        <x:f>IF(N880="","",M880/N880-1)</x:f>
        <x:v>-0.04733537272580901</x:v>
      </x:c>
    </x:row>
    <x:row r="881">
      <x:c r="J881" s="257" t="str">
        <x:v>020218.OF</x:v>
      </x:c>
      <x:c r="K881" s="258" t="str">
        <x:v>万家锦利债券发起式A</x:v>
      </x:c>
      <x:c r="L881" s="263" t="n">
        <x:v>46222</x:v>
      </x:c>
      <x:c r="M881" s="261" t="n">
        <x:v>1.1834</x:v>
      </x:c>
      <x:c r="N881" s="261" t="n">
        <x:f>IF(OR(L881&lt;$B$3,L881&gt;$D$3),"",IF(AND(J881=J880,N880&lt;&gt;""),MAX(M881,N880),M881))</x:f>
        <x:v>1.2422</x:v>
      </x:c>
      <x:c r="O881" s="262" t="n">
        <x:f>IF(N881="","",M881/N881-1)</x:f>
        <x:v>-0.04733537272580901</x:v>
      </x:c>
    </x:row>
    <x:row r="882">
      <x:c r="J882" s="257" t="str">
        <x:v>020218.OF</x:v>
      </x:c>
      <x:c r="K882" s="258" t="str">
        <x:v>万家锦利债券发起式A</x:v>
      </x:c>
      <x:c r="L882" s="263" t="n">
        <x:v>46223</x:v>
      </x:c>
      <x:c r="M882" s="261" t="n">
        <x:v>1.1812</x:v>
      </x:c>
      <x:c r="N882" s="261" t="n">
        <x:f>IF(OR(L882&lt;$B$3,L882&gt;$D$3),"",IF(AND(J882=J881,N881&lt;&gt;""),MAX(M882,N881),M882))</x:f>
        <x:v>1.2422</x:v>
      </x:c>
      <x:c r="O882" s="262" t="n">
        <x:f>IF(N882="","",M882/N882-1)</x:f>
        <x:v>-0.049106424086298506</x:v>
      </x:c>
    </x:row>
    <x:row r="883">
      <x:c r="J883" s="257" t="str">
        <x:v>020218.OF</x:v>
      </x:c>
      <x:c r="K883" s="258" t="str">
        <x:v>万家锦利债券发起式A</x:v>
      </x:c>
      <x:c r="L883" s="263" t="n">
        <x:v>46224</x:v>
      </x:c>
      <x:c r="M883" s="261" t="n">
        <x:v>1.1968</x:v>
      </x:c>
      <x:c r="N883" s="261" t="n">
        <x:f>IF(OR(L883&lt;$B$3,L883&gt;$D$3),"",IF(AND(J883=J882,N882&lt;&gt;""),MAX(M883,N882),M883))</x:f>
        <x:v>1.2422</x:v>
      </x:c>
      <x:c r="O883" s="262" t="n">
        <x:f>IF(N883="","",M883/N883-1)</x:f>
        <x:v>-0.03654805989373677</x:v>
      </x:c>
    </x:row>
    <x:row r="884">
      <x:c r="J884" s="257" t="str">
        <x:v>020218.OF</x:v>
      </x:c>
      <x:c r="K884" s="258" t="str">
        <x:v>万家锦利债券发起式A</x:v>
      </x:c>
      <x:c r="L884" s="263" t="n">
        <x:v>46225</x:v>
      </x:c>
      <x:c r="M884" s="261" t="n">
        <x:v>1.1955</x:v>
      </x:c>
      <x:c r="N884" s="261" t="n">
        <x:f>IF(OR(L884&lt;$B$3,L884&gt;$D$3),"",IF(AND(J884=J883,N883&lt;&gt;""),MAX(M884,N883),M884))</x:f>
        <x:v>1.2422</x:v>
      </x:c>
      <x:c r="O884" s="262" t="n">
        <x:f>IF(N884="","",M884/N884-1)</x:f>
        <x:v>-0.037594590243117065</x:v>
      </x:c>
    </x:row>
    <x:row r="885">
      <x:c r="J885" s="257" t="str">
        <x:v>020218.OF</x:v>
      </x:c>
      <x:c r="K885" s="258" t="str">
        <x:v>万家锦利债券发起式A</x:v>
      </x:c>
      <x:c r="L885" s="263" t="n">
        <x:v>46226</x:v>
      </x:c>
      <x:c r="M885" s="261" t="n">
        <x:v>1.1923</x:v>
      </x:c>
      <x:c r="N885" s="261" t="n">
        <x:f>IF(OR(L885&lt;$B$3,L885&gt;$D$3),"",IF(AND(J885=J884,N884&lt;&gt;""),MAX(M885,N884),M885))</x:f>
        <x:v>1.2422</x:v>
      </x:c>
      <x:c r="O885" s="262" t="n">
        <x:f>IF(N885="","",M885/N885-1)</x:f>
        <x:v>-0.04017066494928356</x:v>
      </x:c>
    </x:row>
    <x:row r="886">
      <x:c r="J886" s="257" t="str">
        <x:v>020218.OF</x:v>
      </x:c>
      <x:c r="K886" s="258" t="str">
        <x:v>万家锦利债券发起式A</x:v>
      </x:c>
      <x:c r="L886" s="263" t="n">
        <x:v>46227</x:v>
      </x:c>
      <x:c r="M886" s="261" t="n">
        <x:v>1.1898</x:v>
      </x:c>
      <x:c r="N886" s="261" t="n">
        <x:f>IF(OR(L886&lt;$B$3,L886&gt;$D$3),"",IF(AND(J886=J885,N885&lt;&gt;""),MAX(M886,N885),M886))</x:f>
        <x:v>1.2422</x:v>
      </x:c>
      <x:c r="O886" s="262" t="n">
        <x:f>IF(N886="","",M886/N886-1)</x:f>
        <x:v>-0.042183223313476126</x:v>
      </x:c>
    </x:row>
    <x:row r="887">
      <x:c r="J887" s="257" t="str">
        <x:v>020218.OF</x:v>
      </x:c>
      <x:c r="K887" s="258" t="str">
        <x:v>万家锦利债券发起式A</x:v>
      </x:c>
      <x:c r="L887" s="263" t="n">
        <x:v>46228</x:v>
      </x:c>
      <x:c r="M887" s="261" t="n">
        <x:v>1.1898</x:v>
      </x:c>
      <x:c r="N887" s="261" t="n">
        <x:f>IF(OR(L887&lt;$B$3,L887&gt;$D$3),"",IF(AND(J887=J886,N886&lt;&gt;""),MAX(M887,N886),M887))</x:f>
        <x:v>1.2422</x:v>
      </x:c>
      <x:c r="O887" s="262" t="n">
        <x:f>IF(N887="","",M887/N887-1)</x:f>
        <x:v>-0.042183223313476126</x:v>
      </x:c>
    </x:row>
    <x:row r="888">
      <x:c r="J888" s="257" t="str">
        <x:v>020218.OF</x:v>
      </x:c>
      <x:c r="K888" s="258" t="str">
        <x:v>万家锦利债券发起式A</x:v>
      </x:c>
      <x:c r="L888" s="263" t="n">
        <x:v>46229</x:v>
      </x:c>
      <x:c r="M888" s="261" t="n">
        <x:v>1.1898</x:v>
      </x:c>
      <x:c r="N888" s="261" t="n">
        <x:f>IF(OR(L888&lt;$B$3,L888&gt;$D$3),"",IF(AND(J888=J887,N887&lt;&gt;""),MAX(M888,N887),M888))</x:f>
        <x:v>1.2422</x:v>
      </x:c>
      <x:c r="O888" s="262" t="n">
        <x:f>IF(N888="","",M888/N888-1)</x:f>
        <x:v>-0.042183223313476126</x:v>
      </x:c>
    </x:row>
    <x:row r="889">
      <x:c r="J889" s="257" t="str">
        <x:v>020218.OF</x:v>
      </x:c>
      <x:c r="K889" s="258" t="str">
        <x:v>万家锦利债券发起式A</x:v>
      </x:c>
      <x:c r="L889" s="263" t="n">
        <x:v>46230</x:v>
      </x:c>
      <x:c r="M889" s="261" t="n">
        <x:v>1.1936</x:v>
      </x:c>
      <x:c r="N889" s="261" t="n">
        <x:f>IF(OR(L889&lt;$B$3,L889&gt;$D$3),"",IF(AND(J889=J888,N888&lt;&gt;""),MAX(M889,N888),M889))</x:f>
        <x:v>1.2422</x:v>
      </x:c>
      <x:c r="O889" s="262" t="n">
        <x:f>IF(N889="","",M889/N889-1)</x:f>
        <x:v>-0.03912413459990338</x:v>
      </x:c>
    </x:row>
    <x:row r="890">
      <x:c r="J890" s="257" t="str">
        <x:v>020218.OF</x:v>
      </x:c>
      <x:c r="K890" s="258" t="str">
        <x:v>万家锦利债券发起式A</x:v>
      </x:c>
      <x:c r="L890" s="263" t="n">
        <x:v>46231</x:v>
      </x:c>
      <x:c r="M890" s="261" t="n">
        <x:v>1.1818</x:v>
      </x:c>
      <x:c r="N890" s="261" t="n">
        <x:f>IF(OR(L890&lt;$B$3,L890&gt;$D$3),"",IF(AND(J890=J889,N889&lt;&gt;""),MAX(M890,N889),M890))</x:f>
        <x:v>1.2422</x:v>
      </x:c>
      <x:c r="O890" s="262" t="n">
        <x:f>IF(N890="","",M890/N890-1)</x:f>
        <x:v>-0.04862341007889226</x:v>
      </x:c>
    </x:row>
    <x:row r="891">
      <x:c r="J891" s="257" t="str">
        <x:v>020218.OF</x:v>
      </x:c>
      <x:c r="K891" s="258" t="str">
        <x:v>万家锦利债券发起式A</x:v>
      </x:c>
      <x:c r="L891" s="263" t="n">
        <x:v>46232</x:v>
      </x:c>
      <x:c r="M891" s="261" t="n">
        <x:v>1.1808</x:v>
      </x:c>
      <x:c r="N891" s="261" t="n">
        <x:f>IF(OR(L891&lt;$B$3,L891&gt;$D$3),"",IF(AND(J891=J890,N890&lt;&gt;""),MAX(M891,N890),M891))</x:f>
        <x:v>1.2422</x:v>
      </x:c>
      <x:c r="O891" s="262" t="n">
        <x:f>IF(N891="","",M891/N891-1)</x:f>
        <x:v>-0.04942843342456926</x:v>
      </x:c>
    </x:row>
    <x:row r="892">
      <x:c r="J892" s="257" t="str">
        <x:v>020218.OF</x:v>
      </x:c>
      <x:c r="K892" s="258" t="str">
        <x:v>万家锦利债券发起式A</x:v>
      </x:c>
      <x:c r="L892" s="263" t="n">
        <x:v>46233</x:v>
      </x:c>
      <x:c r="M892" s="261" t="n">
        <x:v>1.1727</x:v>
      </x:c>
      <x:c r="N892" s="261" t="n">
        <x:f>IF(OR(L892&lt;$B$3,L892&gt;$D$3),"",IF(AND(J892=J891,N891&lt;&gt;""),MAX(M892,N891),M892))</x:f>
        <x:v>1.2422</x:v>
      </x:c>
      <x:c r="O892" s="262" t="n">
        <x:f>IF(N892="","",M892/N892-1)</x:f>
        <x:v>-0.055949122524553085</x:v>
      </x:c>
    </x:row>
    <x:row r="893">
      <x:c r="J893" s="257" t="str">
        <x:v>020218.OF</x:v>
      </x:c>
      <x:c r="K893" s="258" t="str">
        <x:v>万家锦利债券发起式A</x:v>
      </x:c>
      <x:c r="L893" s="263" t="n">
        <x:v>46234</x:v>
      </x:c>
      <x:c r="M893" s="261" t="n">
        <x:v>1.1774</x:v>
      </x:c>
      <x:c r="N893" s="261" t="n">
        <x:f>IF(OR(L893&lt;$B$3,L893&gt;$D$3),"",IF(AND(J893=J892,N892&lt;&gt;""),MAX(M893,N892),M893))</x:f>
        <x:v>1.2422</x:v>
      </x:c>
      <x:c r="O893" s="262" t="n">
        <x:f>IF(N893="","",M893/N893-1)</x:f>
        <x:v>-0.05216551279987114</x:v>
      </x:c>
    </x:row>
    <x:row r="894">
      <x:c r="J894" s="257" t="str">
        <x:v>020218.OF</x:v>
      </x:c>
      <x:c r="K894" s="258" t="str">
        <x:v>万家锦利债券发起式A</x:v>
      </x:c>
      <x:c r="L894" s="263" t="n">
        <x:v>46235</x:v>
      </x:c>
      <x:c r="M894" s="261" t="n">
        <x:v>1.1774</x:v>
      </x:c>
      <x:c r="N894" s="261" t="n">
        <x:f>IF(OR(L894&lt;$B$3,L894&gt;$D$3),"",IF(AND(J894=J893,N893&lt;&gt;""),MAX(M894,N893),M894))</x:f>
        <x:v>1.2422</x:v>
      </x:c>
      <x:c r="O894" s="262" t="n">
        <x:f>IF(N894="","",M894/N894-1)</x:f>
        <x:v>-0.05216551279987114</x:v>
      </x:c>
    </x:row>
    <x:row r="895">
      <x:c r="J895" s="257" t="str">
        <x:v>020218.OF</x:v>
      </x:c>
      <x:c r="K895" s="258" t="str">
        <x:v>万家锦利债券发起式A</x:v>
      </x:c>
      <x:c r="L895" s="263" t="n">
        <x:v>46236</x:v>
      </x:c>
      <x:c r="M895" s="261" t="n">
        <x:v>1.1774</x:v>
      </x:c>
      <x:c r="N895" s="261" t="n">
        <x:f>IF(OR(L895&lt;$B$3,L895&gt;$D$3),"",IF(AND(J895=J894,N894&lt;&gt;""),MAX(M895,N894),M895))</x:f>
        <x:v>1.2422</x:v>
      </x:c>
      <x:c r="O895" s="262" t="n">
        <x:f>IF(N895="","",M895/N895-1)</x:f>
        <x:v>-0.05216551279987114</x:v>
      </x:c>
    </x:row>
    <x:row r="896">
      <x:c r="J896" s="257" t="str">
        <x:v>020218.OF</x:v>
      </x:c>
      <x:c r="K896" s="258" t="str">
        <x:v>万家锦利债券发起式A</x:v>
      </x:c>
      <x:c r="L896" s="263" t="n">
        <x:v>46237</x:v>
      </x:c>
      <x:c r="M896" s="261" t="n">
        <x:v>1.1708</x:v>
      </x:c>
      <x:c r="N896" s="261" t="n">
        <x:f>IF(OR(L896&lt;$B$3,L896&gt;$D$3),"",IF(AND(J896=J895,N895&lt;&gt;""),MAX(M896,N895),M896))</x:f>
        <x:v>1.2422</x:v>
      </x:c>
      <x:c r="O896" s="262" t="n">
        <x:f>IF(N896="","",M896/N896-1)</x:f>
        <x:v>-0.05747866688133951</x:v>
      </x:c>
    </x:row>
    <x:row r="897">
      <x:c r="J897" s="257" t="str">
        <x:v>020218.OF</x:v>
      </x:c>
      <x:c r="K897" s="258" t="str">
        <x:v>万家锦利债券发起式A</x:v>
      </x:c>
      <x:c r="L897" s="263" t="n">
        <x:v>46238</x:v>
      </x:c>
      <x:c r="M897" s="261" t="n">
        <x:v>1.1785</x:v>
      </x:c>
      <x:c r="N897" s="261" t="n">
        <x:f>IF(OR(L897&lt;$B$3,L897&gt;$D$3),"",IF(AND(J897=J896,N896&lt;&gt;""),MAX(M897,N896),M897))</x:f>
        <x:v>1.2422</x:v>
      </x:c>
      <x:c r="O897" s="262" t="n">
        <x:f>IF(N897="","",M897/N897-1)</x:f>
        <x:v>-0.051279987119626336</x:v>
      </x:c>
    </x:row>
    <x:row r="898">
      <x:c r="J898" s="257" t="str">
        <x:v>020218.OF</x:v>
      </x:c>
      <x:c r="K898" s="258" t="str">
        <x:v>万家锦利债券发起式A</x:v>
      </x:c>
      <x:c r="L898" s="263" t="n">
        <x:v>46239</x:v>
      </x:c>
      <x:c r="M898" s="261" t="n">
        <x:v>1.1859</x:v>
      </x:c>
      <x:c r="N898" s="261" t="n">
        <x:f>IF(OR(L898&lt;$B$3,L898&gt;$D$3),"",IF(AND(J898=J897,N897&lt;&gt;""),MAX(M898,N897),M898))</x:f>
        <x:v>1.2422</x:v>
      </x:c>
      <x:c r="O898" s="262" t="n">
        <x:f>IF(N898="","",M898/N898-1)</x:f>
        <x:v>-0.04532281436161645</x:v>
      </x:c>
    </x:row>
    <x:row r="899">
      <x:c r="J899" s="257" t="str">
        <x:v>020218.OF</x:v>
      </x:c>
      <x:c r="K899" s="258" t="str">
        <x:v>万家锦利债券发起式A</x:v>
      </x:c>
      <x:c r="L899" s="263" t="n">
        <x:v>46240</x:v>
      </x:c>
      <x:c r="M899" s="261" t="n">
        <x:v>1.1867</x:v>
      </x:c>
      <x:c r="N899" s="261" t="n">
        <x:f>IF(OR(L899&lt;$B$3,L899&gt;$D$3),"",IF(AND(J899=J898,N898&lt;&gt;""),MAX(M899,N898),M899))</x:f>
        <x:v>1.2422</x:v>
      </x:c>
      <x:c r="O899" s="262" t="n">
        <x:f>IF(N899="","",M899/N899-1)</x:f>
        <x:v>-0.044678795685074824</x:v>
      </x:c>
    </x:row>
    <x:row r="900">
      <x:c r="J900" s="257" t="str">
        <x:v>020218.OF</x:v>
      </x:c>
      <x:c r="K900" s="258" t="str">
        <x:v>万家锦利债券发起式A</x:v>
      </x:c>
      <x:c r="L900" s="263" t="n">
        <x:v>46241</x:v>
      </x:c>
      <x:c r="M900" s="261" t="n">
        <x:v>1.1921</x:v>
      </x:c>
      <x:c r="N900" s="261" t="n">
        <x:f>IF(OR(L900&lt;$B$3,L900&gt;$D$3),"",IF(AND(J900=J899,N899&lt;&gt;""),MAX(M900,N899),M900))</x:f>
        <x:v>1.2422</x:v>
      </x:c>
      <x:c r="O900" s="262" t="n">
        <x:f>IF(N900="","",M900/N900-1)</x:f>
        <x:v>-0.04033166961841894</x:v>
      </x:c>
    </x:row>
    <x:row r="901">
      <x:c r="J901" s="257" t="str">
        <x:v>020218.OF</x:v>
      </x:c>
      <x:c r="K901" s="258" t="str">
        <x:v>万家锦利债券发起式A</x:v>
      </x:c>
      <x:c r="L901" s="263" t="n">
        <x:v>46242</x:v>
      </x:c>
      <x:c r="M901" s="261" t="n">
        <x:v>1.1921</x:v>
      </x:c>
      <x:c r="N901" s="261" t="n">
        <x:f>IF(OR(L901&lt;$B$3,L901&gt;$D$3),"",IF(AND(J901=J900,N900&lt;&gt;""),MAX(M901,N900),M901))</x:f>
        <x:v>1.2422</x:v>
      </x:c>
      <x:c r="O901" s="262" t="n">
        <x:f>IF(N901="","",M901/N901-1)</x:f>
        <x:v>-0.04033166961841894</x:v>
      </x:c>
    </x:row>
    <x:row r="902">
      <x:c r="J902" s="257" t="str">
        <x:v>020218.OF</x:v>
      </x:c>
      <x:c r="K902" s="258" t="str">
        <x:v>万家锦利债券发起式A</x:v>
      </x:c>
      <x:c r="L902" s="263" t="n">
        <x:v>46243</x:v>
      </x:c>
      <x:c r="M902" s="261" t="n">
        <x:v>1.1921</x:v>
      </x:c>
      <x:c r="N902" s="261" t="n">
        <x:f>IF(OR(L902&lt;$B$3,L902&gt;$D$3),"",IF(AND(J902=J901,N901&lt;&gt;""),MAX(M902,N901),M902))</x:f>
        <x:v>1.2422</x:v>
      </x:c>
      <x:c r="O902" s="262" t="n">
        <x:f>IF(N902="","",M902/N902-1)</x:f>
        <x:v>-0.04033166961841894</x:v>
      </x:c>
    </x:row>
    <x:row r="903">
      <x:c r="J903" s="257" t="str">
        <x:v>020218.OF</x:v>
      </x:c>
      <x:c r="K903" s="258" t="str">
        <x:v>万家锦利债券发起式A</x:v>
      </x:c>
      <x:c r="L903" s="263" t="n">
        <x:v>46244</x:v>
      </x:c>
      <x:c r="M903" s="261" t="n">
        <x:v>1.1921</x:v>
      </x:c>
      <x:c r="N903" s="261" t="n">
        <x:f>IF(OR(L903&lt;$B$3,L903&gt;$D$3),"",IF(AND(J903=J902,N902&lt;&gt;""),MAX(M903,N902),M903))</x:f>
        <x:v>1.2422</x:v>
      </x:c>
      <x:c r="O903" s="262" t="n">
        <x:f>IF(N903="","",M903/N903-1)</x:f>
        <x:v>-0.04033166961841894</x:v>
      </x:c>
    </x:row>
    <x:row r="904">
      <x:c r="J904" s="257" t="str">
        <x:v>009355.OF</x:v>
      </x:c>
      <x:c r="K904" s="258" t="str">
        <x:v>宏利泰和稳健养老目标一年持有混合(FOF)A</x:v>
      </x:c>
      <x:c r="L904" s="263" t="n">
        <x:v>46191</x:v>
      </x:c>
      <x:c r="M904" s="261" t="n">
        <x:v>1.2328</x:v>
      </x:c>
      <x:c r="N904" s="261" t="n">
        <x:f>IF(OR(L904&lt;$B$3,L904&gt;$D$3),"",IF(AND(J904=J903,N903&lt;&gt;""),MAX(M904,N903),M904))</x:f>
        <x:v>1.2328</x:v>
      </x:c>
      <x:c r="O904" s="262" t="n">
        <x:f>IF(N904="","",M904/N904-1)</x:f>
        <x:v>0</x:v>
      </x:c>
    </x:row>
    <x:row r="905">
      <x:c r="J905" s="257" t="str">
        <x:v>009355.OF</x:v>
      </x:c>
      <x:c r="K905" s="258" t="str">
        <x:v>宏利泰和稳健养老目标一年持有混合(FOF)A</x:v>
      </x:c>
      <x:c r="L905" s="263" t="n">
        <x:v>46192</x:v>
      </x:c>
      <x:c r="M905" s="261" t="n">
        <x:v>1.2328</x:v>
      </x:c>
      <x:c r="N905" s="261" t="n">
        <x:f>IF(OR(L905&lt;$B$3,L905&gt;$D$3),"",IF(AND(J905=J904,N904&lt;&gt;""),MAX(M905,N904),M905))</x:f>
        <x:v>1.2328</x:v>
      </x:c>
      <x:c r="O905" s="262" t="n">
        <x:f>IF(N905="","",M905/N905-1)</x:f>
        <x:v>0</x:v>
      </x:c>
    </x:row>
    <x:row r="906">
      <x:c r="J906" s="257" t="str">
        <x:v>009355.OF</x:v>
      </x:c>
      <x:c r="K906" s="258" t="str">
        <x:v>宏利泰和稳健养老目标一年持有混合(FOF)A</x:v>
      </x:c>
      <x:c r="L906" s="263" t="n">
        <x:v>46193</x:v>
      </x:c>
      <x:c r="M906" s="261" t="n">
        <x:v>1.2328</x:v>
      </x:c>
      <x:c r="N906" s="261" t="n">
        <x:f>IF(OR(L906&lt;$B$3,L906&gt;$D$3),"",IF(AND(J906=J905,N905&lt;&gt;""),MAX(M906,N905),M906))</x:f>
        <x:v>1.2328</x:v>
      </x:c>
      <x:c r="O906" s="262" t="n">
        <x:f>IF(N906="","",M906/N906-1)</x:f>
        <x:v>0</x:v>
      </x:c>
    </x:row>
    <x:row r="907">
      <x:c r="J907" s="257" t="str">
        <x:v>009355.OF</x:v>
      </x:c>
      <x:c r="K907" s="258" t="str">
        <x:v>宏利泰和稳健养老目标一年持有混合(FOF)A</x:v>
      </x:c>
      <x:c r="L907" s="263" t="n">
        <x:v>46194</x:v>
      </x:c>
      <x:c r="M907" s="261" t="n">
        <x:v>1.2328</x:v>
      </x:c>
      <x:c r="N907" s="261" t="n">
        <x:f>IF(OR(L907&lt;$B$3,L907&gt;$D$3),"",IF(AND(J907=J906,N906&lt;&gt;""),MAX(M907,N906),M907))</x:f>
        <x:v>1.2328</x:v>
      </x:c>
      <x:c r="O907" s="262" t="n">
        <x:f>IF(N907="","",M907/N907-1)</x:f>
        <x:v>0</x:v>
      </x:c>
    </x:row>
    <x:row r="908">
      <x:c r="J908" s="257" t="str">
        <x:v>009355.OF</x:v>
      </x:c>
      <x:c r="K908" s="258" t="str">
        <x:v>宏利泰和稳健养老目标一年持有混合(FOF)A</x:v>
      </x:c>
      <x:c r="L908" s="263" t="n">
        <x:v>46195</x:v>
      </x:c>
      <x:c r="M908" s="261" t="n">
        <x:v>1.2338</x:v>
      </x:c>
      <x:c r="N908" s="261" t="n">
        <x:f>IF(OR(L908&lt;$B$3,L908&gt;$D$3),"",IF(AND(J908=J907,N907&lt;&gt;""),MAX(M908,N907),M908))</x:f>
        <x:v>1.2338</x:v>
      </x:c>
      <x:c r="O908" s="262" t="n">
        <x:f>IF(N908="","",M908/N908-1)</x:f>
        <x:v>0</x:v>
      </x:c>
    </x:row>
    <x:row r="909">
      <x:c r="J909" s="257" t="str">
        <x:v>009355.OF</x:v>
      </x:c>
      <x:c r="K909" s="258" t="str">
        <x:v>宏利泰和稳健养老目标一年持有混合(FOF)A</x:v>
      </x:c>
      <x:c r="L909" s="263" t="n">
        <x:v>46196</x:v>
      </x:c>
      <x:c r="M909" s="261" t="n">
        <x:v>1.2284</x:v>
      </x:c>
      <x:c r="N909" s="261" t="n">
        <x:f>IF(OR(L909&lt;$B$3,L909&gt;$D$3),"",IF(AND(J909=J908,N908&lt;&gt;""),MAX(M909,N908),M909))</x:f>
        <x:v>1.2338</x:v>
      </x:c>
      <x:c r="O909" s="262" t="n">
        <x:f>IF(N909="","",M909/N909-1)</x:f>
        <x:v>-0.0043767223212839435</x:v>
      </x:c>
    </x:row>
    <x:row r="910">
      <x:c r="J910" s="257" t="str">
        <x:v>009355.OF</x:v>
      </x:c>
      <x:c r="K910" s="258" t="str">
        <x:v>宏利泰和稳健养老目标一年持有混合(FOF)A</x:v>
      </x:c>
      <x:c r="L910" s="263" t="n">
        <x:v>46197</x:v>
      </x:c>
      <x:c r="M910" s="261" t="n">
        <x:v>1.2297</x:v>
      </x:c>
      <x:c r="N910" s="261" t="n">
        <x:f>IF(OR(L910&lt;$B$3,L910&gt;$D$3),"",IF(AND(J910=J909,N909&lt;&gt;""),MAX(M910,N909),M910))</x:f>
        <x:v>1.2338</x:v>
      </x:c>
      <x:c r="O910" s="262" t="n">
        <x:f>IF(N910="","",M910/N910-1)</x:f>
        <x:v>-0.0033230669476413954</x:v>
      </x:c>
    </x:row>
    <x:row r="911">
      <x:c r="J911" s="257" t="str">
        <x:v>009355.OF</x:v>
      </x:c>
      <x:c r="K911" s="258" t="str">
        <x:v>宏利泰和稳健养老目标一年持有混合(FOF)A</x:v>
      </x:c>
      <x:c r="L911" s="263" t="n">
        <x:v>46198</x:v>
      </x:c>
      <x:c r="M911" s="261" t="n">
        <x:v>1.2307</x:v>
      </x:c>
      <x:c r="N911" s="261" t="n">
        <x:f>IF(OR(L911&lt;$B$3,L911&gt;$D$3),"",IF(AND(J911=J910,N910&lt;&gt;""),MAX(M911,N910),M911))</x:f>
        <x:v>1.2338</x:v>
      </x:c>
      <x:c r="O911" s="262" t="n">
        <x:f>IF(N911="","",M911/N911-1)</x:f>
        <x:v>-0.002512562814070418</x:v>
      </x:c>
    </x:row>
    <x:row r="912">
      <x:c r="J912" s="257" t="str">
        <x:v>009355.OF</x:v>
      </x:c>
      <x:c r="K912" s="258" t="str">
        <x:v>宏利泰和稳健养老目标一年持有混合(FOF)A</x:v>
      </x:c>
      <x:c r="L912" s="263" t="n">
        <x:v>46199</x:v>
      </x:c>
      <x:c r="M912" s="261" t="n">
        <x:v>1.2273</x:v>
      </x:c>
      <x:c r="N912" s="261" t="n">
        <x:f>IF(OR(L912&lt;$B$3,L912&gt;$D$3),"",IF(AND(J912=J911,N911&lt;&gt;""),MAX(M912,N911),M912))</x:f>
        <x:v>1.2338</x:v>
      </x:c>
      <x:c r="O912" s="262" t="n">
        <x:f>IF(N912="","",M912/N912-1)</x:f>
        <x:v>-0.005268276868211963</x:v>
      </x:c>
    </x:row>
    <x:row r="913">
      <x:c r="J913" s="257" t="str">
        <x:v>009355.OF</x:v>
      </x:c>
      <x:c r="K913" s="258" t="str">
        <x:v>宏利泰和稳健养老目标一年持有混合(FOF)A</x:v>
      </x:c>
      <x:c r="L913" s="263" t="n">
        <x:v>46200</x:v>
      </x:c>
      <x:c r="M913" s="261" t="n">
        <x:v>1.2273</x:v>
      </x:c>
      <x:c r="N913" s="261" t="n">
        <x:f>IF(OR(L913&lt;$B$3,L913&gt;$D$3),"",IF(AND(J913=J912,N912&lt;&gt;""),MAX(M913,N912),M913))</x:f>
        <x:v>1.2338</x:v>
      </x:c>
      <x:c r="O913" s="262" t="n">
        <x:f>IF(N913="","",M913/N913-1)</x:f>
        <x:v>-0.005268276868211963</x:v>
      </x:c>
    </x:row>
    <x:row r="914">
      <x:c r="J914" s="257" t="str">
        <x:v>009355.OF</x:v>
      </x:c>
      <x:c r="K914" s="258" t="str">
        <x:v>宏利泰和稳健养老目标一年持有混合(FOF)A</x:v>
      </x:c>
      <x:c r="L914" s="263" t="n">
        <x:v>46201</x:v>
      </x:c>
      <x:c r="M914" s="261" t="n">
        <x:v>1.2273</x:v>
      </x:c>
      <x:c r="N914" s="261" t="n">
        <x:f>IF(OR(L914&lt;$B$3,L914&gt;$D$3),"",IF(AND(J914=J913,N913&lt;&gt;""),MAX(M914,N913),M914))</x:f>
        <x:v>1.2338</x:v>
      </x:c>
      <x:c r="O914" s="262" t="n">
        <x:f>IF(N914="","",M914/N914-1)</x:f>
        <x:v>-0.005268276868211963</x:v>
      </x:c>
    </x:row>
    <x:row r="915">
      <x:c r="J915" s="257" t="str">
        <x:v>009355.OF</x:v>
      </x:c>
      <x:c r="K915" s="258" t="str">
        <x:v>宏利泰和稳健养老目标一年持有混合(FOF)A</x:v>
      </x:c>
      <x:c r="L915" s="263" t="n">
        <x:v>46202</x:v>
      </x:c>
      <x:c r="M915" s="261" t="n">
        <x:v>1.2282</x:v>
      </x:c>
      <x:c r="N915" s="261" t="n">
        <x:f>IF(OR(L915&lt;$B$3,L915&gt;$D$3),"",IF(AND(J915=J914,N914&lt;&gt;""),MAX(M915,N914),M915))</x:f>
        <x:v>1.2338</x:v>
      </x:c>
      <x:c r="O915" s="262" t="n">
        <x:f>IF(N915="","",M915/N915-1)</x:f>
        <x:v>-0.004538823147998139</x:v>
      </x:c>
    </x:row>
    <x:row r="916">
      <x:c r="J916" s="257" t="str">
        <x:v>009355.OF</x:v>
      </x:c>
      <x:c r="K916" s="258" t="str">
        <x:v>宏利泰和稳健养老目标一年持有混合(FOF)A</x:v>
      </x:c>
      <x:c r="L916" s="263" t="n">
        <x:v>46203</x:v>
      </x:c>
      <x:c r="M916" s="261" t="n">
        <x:v>1.23</x:v>
      </x:c>
      <x:c r="N916" s="261" t="n">
        <x:f>IF(OR(L916&lt;$B$3,L916&gt;$D$3),"",IF(AND(J916=J915,N915&lt;&gt;""),MAX(M916,N915),M916))</x:f>
        <x:v>1.2338</x:v>
      </x:c>
      <x:c r="O916" s="262" t="n">
        <x:f>IF(N916="","",M916/N916-1)</x:f>
        <x:v>-0.0030799157075701578</x:v>
      </x:c>
    </x:row>
    <x:row r="917">
      <x:c r="J917" s="257" t="str">
        <x:v>009355.OF</x:v>
      </x:c>
      <x:c r="K917" s="258" t="str">
        <x:v>宏利泰和稳健养老目标一年持有混合(FOF)A</x:v>
      </x:c>
      <x:c r="L917" s="263" t="n">
        <x:v>46204</x:v>
      </x:c>
      <x:c r="M917" s="261" t="n">
        <x:v>1.2284</x:v>
      </x:c>
      <x:c r="N917" s="261" t="n">
        <x:f>IF(OR(L917&lt;$B$3,L917&gt;$D$3),"",IF(AND(J917=J916,N916&lt;&gt;""),MAX(M917,N916),M917))</x:f>
        <x:v>1.2338</x:v>
      </x:c>
      <x:c r="O917" s="262" t="n">
        <x:f>IF(N917="","",M917/N917-1)</x:f>
        <x:v>-0.0043767223212839435</x:v>
      </x:c>
    </x:row>
    <x:row r="918">
      <x:c r="J918" s="257" t="str">
        <x:v>009355.OF</x:v>
      </x:c>
      <x:c r="K918" s="258" t="str">
        <x:v>宏利泰和稳健养老目标一年持有混合(FOF)A</x:v>
      </x:c>
      <x:c r="L918" s="263" t="n">
        <x:v>46205</x:v>
      </x:c>
      <x:c r="M918" s="261" t="n">
        <x:v>1.2258</x:v>
      </x:c>
      <x:c r="N918" s="261" t="n">
        <x:f>IF(OR(L918&lt;$B$3,L918&gt;$D$3),"",IF(AND(J918=J917,N917&lt;&gt;""),MAX(M918,N917),M918))</x:f>
        <x:v>1.2338</x:v>
      </x:c>
      <x:c r="O918" s="262" t="n">
        <x:f>IF(N918="","",M918/N918-1)</x:f>
        <x:v>-0.006484033068568706</x:v>
      </x:c>
    </x:row>
    <x:row r="919">
      <x:c r="J919" s="257" t="str">
        <x:v>009355.OF</x:v>
      </x:c>
      <x:c r="K919" s="258" t="str">
        <x:v>宏利泰和稳健养老目标一年持有混合(FOF)A</x:v>
      </x:c>
      <x:c r="L919" s="263" t="n">
        <x:v>46206</x:v>
      </x:c>
      <x:c r="M919" s="261" t="n">
        <x:v>1.2274</x:v>
      </x:c>
      <x:c r="N919" s="261" t="n">
        <x:f>IF(OR(L919&lt;$B$3,L919&gt;$D$3),"",IF(AND(J919=J918,N918&lt;&gt;""),MAX(M919,N918),M919))</x:f>
        <x:v>1.2338</x:v>
      </x:c>
      <x:c r="O919" s="262" t="n">
        <x:f>IF(N919="","",M919/N919-1)</x:f>
        <x:v>-0.005187226454854921</x:v>
      </x:c>
    </x:row>
    <x:row r="920">
      <x:c r="J920" s="257" t="str">
        <x:v>009355.OF</x:v>
      </x:c>
      <x:c r="K920" s="258" t="str">
        <x:v>宏利泰和稳健养老目标一年持有混合(FOF)A</x:v>
      </x:c>
      <x:c r="L920" s="263" t="n">
        <x:v>46207</x:v>
      </x:c>
      <x:c r="M920" s="261" t="n">
        <x:v>1.2274</x:v>
      </x:c>
      <x:c r="N920" s="261" t="n">
        <x:f>IF(OR(L920&lt;$B$3,L920&gt;$D$3),"",IF(AND(J920=J919,N919&lt;&gt;""),MAX(M920,N919),M920))</x:f>
        <x:v>1.2338</x:v>
      </x:c>
      <x:c r="O920" s="262" t="n">
        <x:f>IF(N920="","",M920/N920-1)</x:f>
        <x:v>-0.005187226454854921</x:v>
      </x:c>
    </x:row>
    <x:row r="921">
      <x:c r="J921" s="257" t="str">
        <x:v>009355.OF</x:v>
      </x:c>
      <x:c r="K921" s="258" t="str">
        <x:v>宏利泰和稳健养老目标一年持有混合(FOF)A</x:v>
      </x:c>
      <x:c r="L921" s="263" t="n">
        <x:v>46208</x:v>
      </x:c>
      <x:c r="M921" s="261" t="n">
        <x:v>1.2274</x:v>
      </x:c>
      <x:c r="N921" s="261" t="n">
        <x:f>IF(OR(L921&lt;$B$3,L921&gt;$D$3),"",IF(AND(J921=J920,N920&lt;&gt;""),MAX(M921,N920),M921))</x:f>
        <x:v>1.2338</x:v>
      </x:c>
      <x:c r="O921" s="262" t="n">
        <x:f>IF(N921="","",M921/N921-1)</x:f>
        <x:v>-0.005187226454854921</x:v>
      </x:c>
    </x:row>
    <x:row r="922">
      <x:c r="J922" s="257" t="str">
        <x:v>009355.OF</x:v>
      </x:c>
      <x:c r="K922" s="258" t="str">
        <x:v>宏利泰和稳健养老目标一年持有混合(FOF)A</x:v>
      </x:c>
      <x:c r="L922" s="263" t="n">
        <x:v>46209</x:v>
      </x:c>
      <x:c r="M922" s="261" t="n">
        <x:v>1.2281</x:v>
      </x:c>
      <x:c r="N922" s="261" t="n">
        <x:f>IF(OR(L922&lt;$B$3,L922&gt;$D$3),"",IF(AND(J922=J921,N921&lt;&gt;""),MAX(M922,N921),M922))</x:f>
        <x:v>1.2338</x:v>
      </x:c>
      <x:c r="O922" s="262" t="n">
        <x:f>IF(N922="","",M922/N922-1)</x:f>
        <x:v>-0.004619873561355181</x:v>
      </x:c>
    </x:row>
    <x:row r="923">
      <x:c r="J923" s="257" t="str">
        <x:v>009355.OF</x:v>
      </x:c>
      <x:c r="K923" s="258" t="str">
        <x:v>宏利泰和稳健养老目标一年持有混合(FOF)A</x:v>
      </x:c>
      <x:c r="L923" s="263" t="n">
        <x:v>46210</x:v>
      </x:c>
      <x:c r="M923" s="261" t="n">
        <x:v>1.2258</x:v>
      </x:c>
      <x:c r="N923" s="261" t="n">
        <x:f>IF(OR(L923&lt;$B$3,L923&gt;$D$3),"",IF(AND(J923=J922,N922&lt;&gt;""),MAX(M923,N922),M923))</x:f>
        <x:v>1.2338</x:v>
      </x:c>
      <x:c r="O923" s="262" t="n">
        <x:f>IF(N923="","",M923/N923-1)</x:f>
        <x:v>-0.006484033068568706</x:v>
      </x:c>
    </x:row>
    <x:row r="924">
      <x:c r="J924" s="257" t="str">
        <x:v>009355.OF</x:v>
      </x:c>
      <x:c r="K924" s="258" t="str">
        <x:v>宏利泰和稳健养老目标一年持有混合(FOF)A</x:v>
      </x:c>
      <x:c r="L924" s="263" t="n">
        <x:v>46211</x:v>
      </x:c>
      <x:c r="M924" s="261" t="n">
        <x:v>1.2245</x:v>
      </x:c>
      <x:c r="N924" s="261" t="n">
        <x:f>IF(OR(L924&lt;$B$3,L924&gt;$D$3),"",IF(AND(J924=J923,N923&lt;&gt;""),MAX(M924,N923),M924))</x:f>
        <x:v>1.2338</x:v>
      </x:c>
      <x:c r="O924" s="262" t="n">
        <x:f>IF(N924="","",M924/N924-1)</x:f>
        <x:v>-0.007537688442211143</x:v>
      </x:c>
    </x:row>
    <x:row r="925">
      <x:c r="J925" s="257" t="str">
        <x:v>009355.OF</x:v>
      </x:c>
      <x:c r="K925" s="258" t="str">
        <x:v>宏利泰和稳健养老目标一年持有混合(FOF)A</x:v>
      </x:c>
      <x:c r="L925" s="263" t="n">
        <x:v>46212</x:v>
      </x:c>
      <x:c r="M925" s="261" t="n">
        <x:v>1.2267</x:v>
      </x:c>
      <x:c r="N925" s="261" t="n">
        <x:f>IF(OR(L925&lt;$B$3,L925&gt;$D$3),"",IF(AND(J925=J924,N924&lt;&gt;""),MAX(M925,N924),M925))</x:f>
        <x:v>1.2338</x:v>
      </x:c>
      <x:c r="O925" s="262" t="n">
        <x:f>IF(N925="","",M925/N925-1)</x:f>
        <x:v>-0.005754579348354771</x:v>
      </x:c>
    </x:row>
    <x:row r="926">
      <x:c r="J926" s="257" t="str">
        <x:v>009355.OF</x:v>
      </x:c>
      <x:c r="K926" s="258" t="str">
        <x:v>宏利泰和稳健养老目标一年持有混合(FOF)A</x:v>
      </x:c>
      <x:c r="L926" s="263" t="n">
        <x:v>46213</x:v>
      </x:c>
      <x:c r="M926" s="261" t="n">
        <x:v>1.224</x:v>
      </x:c>
      <x:c r="N926" s="261" t="n">
        <x:f>IF(OR(L926&lt;$B$3,L926&gt;$D$3),"",IF(AND(J926=J925,N925&lt;&gt;""),MAX(M926,N925),M926))</x:f>
        <x:v>1.2338</x:v>
      </x:c>
      <x:c r="O926" s="262" t="n">
        <x:f>IF(N926="","",M926/N926-1)</x:f>
        <x:v>-0.007942940508996577</x:v>
      </x:c>
    </x:row>
    <x:row r="927">
      <x:c r="J927" s="257" t="str">
        <x:v>009355.OF</x:v>
      </x:c>
      <x:c r="K927" s="258" t="str">
        <x:v>宏利泰和稳健养老目标一年持有混合(FOF)A</x:v>
      </x:c>
      <x:c r="L927" s="263" t="n">
        <x:v>46214</x:v>
      </x:c>
      <x:c r="M927" s="261" t="n">
        <x:v>1.224</x:v>
      </x:c>
      <x:c r="N927" s="261" t="n">
        <x:f>IF(OR(L927&lt;$B$3,L927&gt;$D$3),"",IF(AND(J927=J926,N926&lt;&gt;""),MAX(M927,N926),M927))</x:f>
        <x:v>1.2338</x:v>
      </x:c>
      <x:c r="O927" s="262" t="n">
        <x:f>IF(N927="","",M927/N927-1)</x:f>
        <x:v>-0.007942940508996577</x:v>
      </x:c>
    </x:row>
    <x:row r="928">
      <x:c r="J928" s="257" t="str">
        <x:v>009355.OF</x:v>
      </x:c>
      <x:c r="K928" s="258" t="str">
        <x:v>宏利泰和稳健养老目标一年持有混合(FOF)A</x:v>
      </x:c>
      <x:c r="L928" s="263" t="n">
        <x:v>46215</x:v>
      </x:c>
      <x:c r="M928" s="261" t="n">
        <x:v>1.224</x:v>
      </x:c>
      <x:c r="N928" s="261" t="n">
        <x:f>IF(OR(L928&lt;$B$3,L928&gt;$D$3),"",IF(AND(J928=J927,N927&lt;&gt;""),MAX(M928,N927),M928))</x:f>
        <x:v>1.2338</x:v>
      </x:c>
      <x:c r="O928" s="262" t="n">
        <x:f>IF(N928="","",M928/N928-1)</x:f>
        <x:v>-0.007942940508996577</x:v>
      </x:c>
    </x:row>
    <x:row r="929">
      <x:c r="J929" s="257" t="str">
        <x:v>009355.OF</x:v>
      </x:c>
      <x:c r="K929" s="258" t="str">
        <x:v>宏利泰和稳健养老目标一年持有混合(FOF)A</x:v>
      </x:c>
      <x:c r="L929" s="263" t="n">
        <x:v>46216</x:v>
      </x:c>
      <x:c r="M929" s="261" t="n">
        <x:v>1.2195</x:v>
      </x:c>
      <x:c r="N929" s="261" t="n">
        <x:f>IF(OR(L929&lt;$B$3,L929&gt;$D$3),"",IF(AND(J929=J928,N928&lt;&gt;""),MAX(M929,N928),M929))</x:f>
        <x:v>1.2338</x:v>
      </x:c>
      <x:c r="O929" s="262" t="n">
        <x:f>IF(N929="","",M929/N929-1)</x:f>
        <x:v>-0.011590209110066474</x:v>
      </x:c>
    </x:row>
    <x:row r="930">
      <x:c r="J930" s="257" t="str">
        <x:v>009355.OF</x:v>
      </x:c>
      <x:c r="K930" s="258" t="str">
        <x:v>宏利泰和稳健养老目标一年持有混合(FOF)A</x:v>
      </x:c>
      <x:c r="L930" s="263" t="n">
        <x:v>46217</x:v>
      </x:c>
      <x:c r="M930" s="261" t="n">
        <x:v>1.2227</x:v>
      </x:c>
      <x:c r="N930" s="261" t="n">
        <x:f>IF(OR(L930&lt;$B$3,L930&gt;$D$3),"",IF(AND(J930=J929,N929&lt;&gt;""),MAX(M930,N929),M930))</x:f>
        <x:v>1.2338</x:v>
      </x:c>
      <x:c r="O930" s="262" t="n">
        <x:f>IF(N930="","",M930/N930-1)</x:f>
        <x:v>-0.008996595882639125</x:v>
      </x:c>
    </x:row>
    <x:row r="931">
      <x:c r="J931" s="257" t="str">
        <x:v>009355.OF</x:v>
      </x:c>
      <x:c r="K931" s="258" t="str">
        <x:v>宏利泰和稳健养老目标一年持有混合(FOF)A</x:v>
      </x:c>
      <x:c r="L931" s="263" t="n">
        <x:v>46218</x:v>
      </x:c>
      <x:c r="M931" s="261" t="n">
        <x:v>1.2228</x:v>
      </x:c>
      <x:c r="N931" s="261" t="n">
        <x:f>IF(OR(L931&lt;$B$3,L931&gt;$D$3),"",IF(AND(J931=J930,N930&lt;&gt;""),MAX(M931,N930),M931))</x:f>
        <x:v>1.2338</x:v>
      </x:c>
      <x:c r="O931" s="262" t="n">
        <x:f>IF(N931="","",M931/N931-1)</x:f>
        <x:v>-0.00891554546928186</x:v>
      </x:c>
    </x:row>
    <x:row r="932">
      <x:c r="J932" s="257" t="str">
        <x:v>009355.OF</x:v>
      </x:c>
      <x:c r="K932" s="258" t="str">
        <x:v>宏利泰和稳健养老目标一年持有混合(FOF)A</x:v>
      </x:c>
      <x:c r="L932" s="263" t="n">
        <x:v>46219</x:v>
      </x:c>
      <x:c r="M932" s="261" t="n">
        <x:v>1.2192</x:v>
      </x:c>
      <x:c r="N932" s="261" t="n">
        <x:f>IF(OR(L932&lt;$B$3,L932&gt;$D$3),"",IF(AND(J932=J931,N931&lt;&gt;""),MAX(M932,N931),M932))</x:f>
        <x:v>1.2338</x:v>
      </x:c>
      <x:c r="O932" s="262" t="n">
        <x:f>IF(N932="","",M932/N932-1)</x:f>
        <x:v>-0.011833360350137712</x:v>
      </x:c>
    </x:row>
    <x:row r="933">
      <x:c r="J933" s="257" t="str">
        <x:v>009355.OF</x:v>
      </x:c>
      <x:c r="K933" s="258" t="str">
        <x:v>宏利泰和稳健养老目标一年持有混合(FOF)A</x:v>
      </x:c>
      <x:c r="L933" s="263" t="n">
        <x:v>46220</x:v>
      </x:c>
      <x:c r="M933" s="261" t="n">
        <x:v>1.2126</x:v>
      </x:c>
      <x:c r="N933" s="261" t="n">
        <x:f>IF(OR(L933&lt;$B$3,L933&gt;$D$3),"",IF(AND(J933=J932,N932&lt;&gt;""),MAX(M933,N932),M933))</x:f>
        <x:v>1.2338</x:v>
      </x:c>
      <x:c r="O933" s="262" t="n">
        <x:f>IF(N933="","",M933/N933-1)</x:f>
        <x:v>-0.01718268763170705</x:v>
      </x:c>
    </x:row>
    <x:row r="934">
      <x:c r="J934" s="257" t="str">
        <x:v>009355.OF</x:v>
      </x:c>
      <x:c r="K934" s="258" t="str">
        <x:v>宏利泰和稳健养老目标一年持有混合(FOF)A</x:v>
      </x:c>
      <x:c r="L934" s="263" t="n">
        <x:v>46221</x:v>
      </x:c>
      <x:c r="M934" s="261" t="n">
        <x:v>1.2126</x:v>
      </x:c>
      <x:c r="N934" s="261" t="n">
        <x:f>IF(OR(L934&lt;$B$3,L934&gt;$D$3),"",IF(AND(J934=J933,N933&lt;&gt;""),MAX(M934,N933),M934))</x:f>
        <x:v>1.2338</x:v>
      </x:c>
      <x:c r="O934" s="262" t="n">
        <x:f>IF(N934="","",M934/N934-1)</x:f>
        <x:v>-0.01718268763170705</x:v>
      </x:c>
    </x:row>
    <x:row r="935">
      <x:c r="J935" s="257" t="str">
        <x:v>009355.OF</x:v>
      </x:c>
      <x:c r="K935" s="258" t="str">
        <x:v>宏利泰和稳健养老目标一年持有混合(FOF)A</x:v>
      </x:c>
      <x:c r="L935" s="263" t="n">
        <x:v>46222</x:v>
      </x:c>
      <x:c r="M935" s="261" t="n">
        <x:v>1.2126</x:v>
      </x:c>
      <x:c r="N935" s="261" t="n">
        <x:f>IF(OR(L935&lt;$B$3,L935&gt;$D$3),"",IF(AND(J935=J934,N934&lt;&gt;""),MAX(M935,N934),M935))</x:f>
        <x:v>1.2338</x:v>
      </x:c>
      <x:c r="O935" s="262" t="n">
        <x:f>IF(N935="","",M935/N935-1)</x:f>
        <x:v>-0.01718268763170705</x:v>
      </x:c>
    </x:row>
    <x:row r="936">
      <x:c r="J936" s="257" t="str">
        <x:v>009355.OF</x:v>
      </x:c>
      <x:c r="K936" s="258" t="str">
        <x:v>宏利泰和稳健养老目标一年持有混合(FOF)A</x:v>
      </x:c>
      <x:c r="L936" s="263" t="n">
        <x:v>46223</x:v>
      </x:c>
      <x:c r="M936" s="261" t="n">
        <x:v>1.2122</x:v>
      </x:c>
      <x:c r="N936" s="261" t="n">
        <x:f>IF(OR(L936&lt;$B$3,L936&gt;$D$3),"",IF(AND(J936=J935,N935&lt;&gt;""),MAX(M936,N935),M936))</x:f>
        <x:v>1.2338</x:v>
      </x:c>
      <x:c r="O936" s="262" t="n">
        <x:f>IF(N936="","",M936/N936-1)</x:f>
        <x:v>-0.01750688928513544</x:v>
      </x:c>
    </x:row>
    <x:row r="937">
      <x:c r="J937" s="257" t="str">
        <x:v>009355.OF</x:v>
      </x:c>
      <x:c r="K937" s="258" t="str">
        <x:v>宏利泰和稳健养老目标一年持有混合(FOF)A</x:v>
      </x:c>
      <x:c r="L937" s="263" t="n">
        <x:v>46224</x:v>
      </x:c>
      <x:c r="M937" s="261" t="n">
        <x:v>1.2178</x:v>
      </x:c>
      <x:c r="N937" s="261" t="n">
        <x:f>IF(OR(L937&lt;$B$3,L937&gt;$D$3),"",IF(AND(J937=J936,N936&lt;&gt;""),MAX(M937,N936),M937))</x:f>
        <x:v>1.2338</x:v>
      </x:c>
      <x:c r="O937" s="262" t="n">
        <x:f>IF(N937="","",M937/N937-1)</x:f>
        <x:v>-0.012968066137137302</x:v>
      </x:c>
    </x:row>
    <x:row r="938">
      <x:c r="J938" s="257" t="str">
        <x:v>009355.OF</x:v>
      </x:c>
      <x:c r="K938" s="258" t="str">
        <x:v>宏利泰和稳健养老目标一年持有混合(FOF)A</x:v>
      </x:c>
      <x:c r="L938" s="263" t="n">
        <x:v>46225</x:v>
      </x:c>
      <x:c r="M938" s="261" t="n">
        <x:v>1.2179</x:v>
      </x:c>
      <x:c r="N938" s="261" t="n">
        <x:f>IF(OR(L938&lt;$B$3,L938&gt;$D$3),"",IF(AND(J938=J937,N937&lt;&gt;""),MAX(M938,N937),M938))</x:f>
        <x:v>1.2338</x:v>
      </x:c>
      <x:c r="O938" s="262" t="n">
        <x:f>IF(N938="","",M938/N938-1)</x:f>
        <x:v>-0.01288701572378026</x:v>
      </x:c>
    </x:row>
    <x:row r="939">
      <x:c r="J939" s="257" t="str">
        <x:v>009355.OF</x:v>
      </x:c>
      <x:c r="K939" s="258" t="str">
        <x:v>宏利泰和稳健养老目标一年持有混合(FOF)A</x:v>
      </x:c>
      <x:c r="L939" s="263" t="n">
        <x:v>46226</x:v>
      </x:c>
      <x:c r="M939" s="261" t="n">
        <x:v>1.2184</x:v>
      </x:c>
      <x:c r="N939" s="261" t="n">
        <x:f>IF(OR(L939&lt;$B$3,L939&gt;$D$3),"",IF(AND(J939=J938,N938&lt;&gt;""),MAX(M939,N938),M939))</x:f>
        <x:v>1.2338</x:v>
      </x:c>
      <x:c r="O939" s="262" t="n">
        <x:f>IF(N939="","",M939/N939-1)</x:f>
        <x:v>-0.012481763656994715</x:v>
      </x:c>
    </x:row>
    <x:row r="940">
      <x:c r="J940" s="257" t="str">
        <x:v>009355.OF</x:v>
      </x:c>
      <x:c r="K940" s="258" t="str">
        <x:v>宏利泰和稳健养老目标一年持有混合(FOF)A</x:v>
      </x:c>
      <x:c r="L940" s="263" t="n">
        <x:v>46227</x:v>
      </x:c>
      <x:c r="M940" s="261" t="n">
        <x:v>1.2149</x:v>
      </x:c>
      <x:c r="N940" s="261" t="n">
        <x:f>IF(OR(L940&lt;$B$3,L940&gt;$D$3),"",IF(AND(J940=J939,N939&lt;&gt;""),MAX(M940,N939),M940))</x:f>
        <x:v>1.2338</x:v>
      </x:c>
      <x:c r="O940" s="262" t="n">
        <x:f>IF(N940="","",M940/N940-1)</x:f>
        <x:v>-0.015318528124493414</x:v>
      </x:c>
    </x:row>
    <x:row r="941">
      <x:c r="J941" s="257" t="str">
        <x:v>009355.OF</x:v>
      </x:c>
      <x:c r="K941" s="258" t="str">
        <x:v>宏利泰和稳健养老目标一年持有混合(FOF)A</x:v>
      </x:c>
      <x:c r="L941" s="263" t="n">
        <x:v>46228</x:v>
      </x:c>
      <x:c r="M941" s="261" t="n">
        <x:v>1.2149</x:v>
      </x:c>
      <x:c r="N941" s="261" t="n">
        <x:f>IF(OR(L941&lt;$B$3,L941&gt;$D$3),"",IF(AND(J941=J940,N940&lt;&gt;""),MAX(M941,N940),M941))</x:f>
        <x:v>1.2338</x:v>
      </x:c>
      <x:c r="O941" s="262" t="n">
        <x:f>IF(N941="","",M941/N941-1)</x:f>
        <x:v>-0.015318528124493414</x:v>
      </x:c>
    </x:row>
    <x:row r="942">
      <x:c r="J942" s="257" t="str">
        <x:v>009355.OF</x:v>
      </x:c>
      <x:c r="K942" s="258" t="str">
        <x:v>宏利泰和稳健养老目标一年持有混合(FOF)A</x:v>
      </x:c>
      <x:c r="L942" s="263" t="n">
        <x:v>46229</x:v>
      </x:c>
      <x:c r="M942" s="261" t="n">
        <x:v>1.2149</x:v>
      </x:c>
      <x:c r="N942" s="261" t="n">
        <x:f>IF(OR(L942&lt;$B$3,L942&gt;$D$3),"",IF(AND(J942=J941,N941&lt;&gt;""),MAX(M942,N941),M942))</x:f>
        <x:v>1.2338</x:v>
      </x:c>
      <x:c r="O942" s="262" t="n">
        <x:f>IF(N942="","",M942/N942-1)</x:f>
        <x:v>-0.015318528124493414</x:v>
      </x:c>
    </x:row>
    <x:row r="943">
      <x:c r="J943" s="257" t="str">
        <x:v>009355.OF</x:v>
      </x:c>
      <x:c r="K943" s="258" t="str">
        <x:v>宏利泰和稳健养老目标一年持有混合(FOF)A</x:v>
      </x:c>
      <x:c r="L943" s="263" t="n">
        <x:v>46230</x:v>
      </x:c>
      <x:c r="M943" s="261" t="n">
        <x:v>1.218</x:v>
      </x:c>
      <x:c r="N943" s="261" t="n">
        <x:f>IF(OR(L943&lt;$B$3,L943&gt;$D$3),"",IF(AND(J943=J942,N942&lt;&gt;""),MAX(M943,N942),M943))</x:f>
        <x:v>1.2338</x:v>
      </x:c>
      <x:c r="O943" s="262" t="n">
        <x:f>IF(N943="","",M943/N943-1)</x:f>
        <x:v>-0.012805965310423106</x:v>
      </x:c>
    </x:row>
    <x:row r="944">
      <x:c r="J944" s="257" t="str">
        <x:v>009355.OF</x:v>
      </x:c>
      <x:c r="K944" s="258" t="str">
        <x:v>宏利泰和稳健养老目标一年持有混合(FOF)A</x:v>
      </x:c>
      <x:c r="L944" s="263" t="n">
        <x:v>46231</x:v>
      </x:c>
      <x:c r="M944" s="261" t="n">
        <x:v>1.2122</x:v>
      </x:c>
      <x:c r="N944" s="261" t="n">
        <x:f>IF(OR(L944&lt;$B$3,L944&gt;$D$3),"",IF(AND(J944=J943,N943&lt;&gt;""),MAX(M944,N943),M944))</x:f>
        <x:v>1.2338</x:v>
      </x:c>
      <x:c r="O944" s="262" t="n">
        <x:f>IF(N944="","",M944/N944-1)</x:f>
        <x:v>-0.01750688928513544</x:v>
      </x:c>
    </x:row>
    <x:row r="945">
      <x:c r="J945" s="257" t="str">
        <x:v>009355.OF</x:v>
      </x:c>
      <x:c r="K945" s="258" t="str">
        <x:v>宏利泰和稳健养老目标一年持有混合(FOF)A</x:v>
      </x:c>
      <x:c r="L945" s="263" t="n">
        <x:v>46232</x:v>
      </x:c>
      <x:c r="M945" s="261" t="n">
        <x:v>1.2129</x:v>
      </x:c>
      <x:c r="N945" s="261" t="n">
        <x:f>IF(OR(L945&lt;$B$3,L945&gt;$D$3),"",IF(AND(J945=J944,N944&lt;&gt;""),MAX(M945,N944),M945))</x:f>
        <x:v>1.2338</x:v>
      </x:c>
      <x:c r="O945" s="262" t="n">
        <x:f>IF(N945="","",M945/N945-1)</x:f>
        <x:v>-0.01693953639163548</x:v>
      </x:c>
    </x:row>
    <x:row r="946">
      <x:c r="J946" s="257" t="str">
        <x:v>009355.OF</x:v>
      </x:c>
      <x:c r="K946" s="258" t="str">
        <x:v>宏利泰和稳健养老目标一年持有混合(FOF)A</x:v>
      </x:c>
      <x:c r="L946" s="263" t="n">
        <x:v>46233</x:v>
      </x:c>
      <x:c r="M946" s="261" t="n">
        <x:v>1.2105</x:v>
      </x:c>
      <x:c r="N946" s="261" t="n">
        <x:f>IF(OR(L946&lt;$B$3,L946&gt;$D$3),"",IF(AND(J946=J945,N945&lt;&gt;""),MAX(M946,N945),M946))</x:f>
        <x:v>1.2338</x:v>
      </x:c>
      <x:c r="O946" s="262" t="n">
        <x:f>IF(N946="","",M946/N946-1)</x:f>
        <x:v>-0.01888474631220627</x:v>
      </x:c>
    </x:row>
    <x:row r="947">
      <x:c r="J947" s="257" t="str">
        <x:v>009355.OF</x:v>
      </x:c>
      <x:c r="K947" s="258" t="str">
        <x:v>宏利泰和稳健养老目标一年持有混合(FOF)A</x:v>
      </x:c>
      <x:c r="L947" s="263" t="n">
        <x:v>46234</x:v>
      </x:c>
      <x:c r="M947" s="261" t="n">
        <x:v>1.2149</x:v>
      </x:c>
      <x:c r="N947" s="261" t="n">
        <x:f>IF(OR(L947&lt;$B$3,L947&gt;$D$3),"",IF(AND(J947=J946,N946&lt;&gt;""),MAX(M947,N946),M947))</x:f>
        <x:v>1.2338</x:v>
      </x:c>
      <x:c r="O947" s="262" t="n">
        <x:f>IF(N947="","",M947/N947-1)</x:f>
        <x:v>-0.015318528124493414</x:v>
      </x:c>
    </x:row>
    <x:row r="948">
      <x:c r="J948" s="257" t="str">
        <x:v>009355.OF</x:v>
      </x:c>
      <x:c r="K948" s="258" t="str">
        <x:v>宏利泰和稳健养老目标一年持有混合(FOF)A</x:v>
      </x:c>
      <x:c r="L948" s="263" t="n">
        <x:v>46235</x:v>
      </x:c>
      <x:c r="M948" s="261" t="n">
        <x:v>1.2149</x:v>
      </x:c>
      <x:c r="N948" s="261" t="n">
        <x:f>IF(OR(L948&lt;$B$3,L948&gt;$D$3),"",IF(AND(J948=J947,N947&lt;&gt;""),MAX(M948,N947),M948))</x:f>
        <x:v>1.2338</x:v>
      </x:c>
      <x:c r="O948" s="262" t="n">
        <x:f>IF(N948="","",M948/N948-1)</x:f>
        <x:v>-0.015318528124493414</x:v>
      </x:c>
    </x:row>
    <x:row r="949">
      <x:c r="J949" s="257" t="str">
        <x:v>009355.OF</x:v>
      </x:c>
      <x:c r="K949" s="258" t="str">
        <x:v>宏利泰和稳健养老目标一年持有混合(FOF)A</x:v>
      </x:c>
      <x:c r="L949" s="263" t="n">
        <x:v>46236</x:v>
      </x:c>
      <x:c r="M949" s="261" t="n">
        <x:v>1.2149</x:v>
      </x:c>
      <x:c r="N949" s="261" t="n">
        <x:f>IF(OR(L949&lt;$B$3,L949&gt;$D$3),"",IF(AND(J949=J948,N948&lt;&gt;""),MAX(M949,N948),M949))</x:f>
        <x:v>1.2338</x:v>
      </x:c>
      <x:c r="O949" s="262" t="n">
        <x:f>IF(N949="","",M949/N949-1)</x:f>
        <x:v>-0.015318528124493414</x:v>
      </x:c>
    </x:row>
    <x:row r="950">
      <x:c r="J950" s="257" t="str">
        <x:v>009355.OF</x:v>
      </x:c>
      <x:c r="K950" s="258" t="str">
        <x:v>宏利泰和稳健养老目标一年持有混合(FOF)A</x:v>
      </x:c>
      <x:c r="L950" s="263" t="n">
        <x:v>46237</x:v>
      </x:c>
      <x:c r="M950" s="261" t="n">
        <x:v>1.2142</x:v>
      </x:c>
      <x:c r="N950" s="261" t="n">
        <x:f>IF(OR(L950&lt;$B$3,L950&gt;$D$3),"",IF(AND(J950=J949,N949&lt;&gt;""),MAX(M950,N949),M950))</x:f>
        <x:v>1.2338</x:v>
      </x:c>
      <x:c r="O950" s="262" t="n">
        <x:f>IF(N950="","",M950/N950-1)</x:f>
        <x:v>-0.015885881017993264</x:v>
      </x:c>
    </x:row>
    <x:row r="951">
      <x:c r="J951" s="257" t="str">
        <x:v>009355.OF</x:v>
      </x:c>
      <x:c r="K951" s="258" t="str">
        <x:v>宏利泰和稳健养老目标一年持有混合(FOF)A</x:v>
      </x:c>
      <x:c r="L951" s="263" t="n">
        <x:v>46238</x:v>
      </x:c>
      <x:c r="M951" s="261" t="n">
        <x:v>1.2177</x:v>
      </x:c>
      <x:c r="N951" s="261" t="n">
        <x:f>IF(OR(L951&lt;$B$3,L951&gt;$D$3),"",IF(AND(J951=J950,N950&lt;&gt;""),MAX(M951,N950),M951))</x:f>
        <x:v>1.2338</x:v>
      </x:c>
      <x:c r="O951" s="262" t="n">
        <x:f>IF(N951="","",M951/N951-1)</x:f>
        <x:v>-0.013049116550494455</x:v>
      </x:c>
    </x:row>
    <x:row r="952">
      <x:c r="J952" s="257" t="str">
        <x:v>009355.OF</x:v>
      </x:c>
      <x:c r="K952" s="258" t="str">
        <x:v>宏利泰和稳健养老目标一年持有混合(FOF)A</x:v>
      </x:c>
      <x:c r="L952" s="263" t="n">
        <x:v>46239</x:v>
      </x:c>
      <x:c r="M952" s="261" t="n">
        <x:v>1.2219</x:v>
      </x:c>
      <x:c r="N952" s="261" t="n">
        <x:f>IF(OR(L952&lt;$B$3,L952&gt;$D$3),"",IF(AND(J952=J951,N951&lt;&gt;""),MAX(M952,N951),M952))</x:f>
        <x:v>1.2338</x:v>
      </x:c>
      <x:c r="O952" s="262" t="n">
        <x:f>IF(N952="","",M952/N952-1)</x:f>
        <x:v>-0.009644999189495906</x:v>
      </x:c>
    </x:row>
    <x:row r="953">
      <x:c r="J953" s="257" t="str">
        <x:v>009355.OF</x:v>
      </x:c>
      <x:c r="K953" s="258" t="str">
        <x:v>宏利泰和稳健养老目标一年持有混合(FOF)A</x:v>
      </x:c>
      <x:c r="L953" s="263" t="n">
        <x:v>46240</x:v>
      </x:c>
      <x:c r="M953" s="261" t="n">
        <x:v>1.2217</x:v>
      </x:c>
      <x:c r="N953" s="261" t="n">
        <x:f>IF(OR(L953&lt;$B$3,L953&gt;$D$3),"",IF(AND(J953=J952,N952&lt;&gt;""),MAX(M953,N952),M953))</x:f>
        <x:v>1.2338</x:v>
      </x:c>
      <x:c r="O953" s="262" t="n">
        <x:f>IF(N953="","",M953/N953-1)</x:f>
        <x:v>-0.009807100016210102</x:v>
      </x:c>
    </x:row>
    <x:row r="954">
      <x:c r="J954" s="257" t="str">
        <x:v>009355.OF</x:v>
      </x:c>
      <x:c r="K954" s="258" t="str">
        <x:v>宏利泰和稳健养老目标一年持有混合(FOF)A</x:v>
      </x:c>
      <x:c r="L954" s="263" t="n">
        <x:v>46241</x:v>
      </x:c>
      <x:c r="M954" s="261" t="n">
        <x:v>1.2217</x:v>
      </x:c>
      <x:c r="N954" s="261" t="n">
        <x:f>IF(OR(L954&lt;$B$3,L954&gt;$D$3),"",IF(AND(J954=J953,N953&lt;&gt;""),MAX(M954,N953),M954))</x:f>
        <x:v>1.2338</x:v>
      </x:c>
      <x:c r="O954" s="262" t="n">
        <x:f>IF(N954="","",M954/N954-1)</x:f>
        <x:v>-0.009807100016210102</x:v>
      </x:c>
    </x:row>
    <x:row r="955">
      <x:c r="J955" s="257" t="str">
        <x:v>009355.OF</x:v>
      </x:c>
      <x:c r="K955" s="258" t="str">
        <x:v>宏利泰和稳健养老目标一年持有混合(FOF)A</x:v>
      </x:c>
      <x:c r="L955" s="263" t="n">
        <x:v>46242</x:v>
      </x:c>
      <x:c r="M955" s="261" t="n">
        <x:v>1.2217</x:v>
      </x:c>
      <x:c r="N955" s="261" t="n">
        <x:f>IF(OR(L955&lt;$B$3,L955&gt;$D$3),"",IF(AND(J955=J954,N954&lt;&gt;""),MAX(M955,N954),M955))</x:f>
        <x:v>1.2338</x:v>
      </x:c>
      <x:c r="O955" s="262" t="n">
        <x:f>IF(N955="","",M955/N955-1)</x:f>
        <x:v>-0.009807100016210102</x:v>
      </x:c>
    </x:row>
    <x:row r="956">
      <x:c r="J956" s="257" t="str">
        <x:v>009355.OF</x:v>
      </x:c>
      <x:c r="K956" s="258" t="str">
        <x:v>宏利泰和稳健养老目标一年持有混合(FOF)A</x:v>
      </x:c>
      <x:c r="L956" s="263" t="n">
        <x:v>46243</x:v>
      </x:c>
      <x:c r="M956" s="261" t="n">
        <x:v>1.2217</x:v>
      </x:c>
      <x:c r="N956" s="261" t="n">
        <x:f>IF(OR(L956&lt;$B$3,L956&gt;$D$3),"",IF(AND(J956=J955,N955&lt;&gt;""),MAX(M956,N955),M956))</x:f>
        <x:v>1.2338</x:v>
      </x:c>
      <x:c r="O956" s="262" t="n">
        <x:f>IF(N956="","",M956/N956-1)</x:f>
        <x:v>-0.009807100016210102</x:v>
      </x:c>
    </x:row>
    <x:row r="957">
      <x:c r="J957" s="257" t="str">
        <x:v>009355.OF</x:v>
      </x:c>
      <x:c r="K957" s="258" t="str">
        <x:v>宏利泰和稳健养老目标一年持有混合(FOF)A</x:v>
      </x:c>
      <x:c r="L957" s="263" t="n">
        <x:v>46244</x:v>
      </x:c>
      <x:c r="M957" s="261" t="n">
        <x:v>1.2217</x:v>
      </x:c>
      <x:c r="N957" s="261" t="n">
        <x:f>IF(OR(L957&lt;$B$3,L957&gt;$D$3),"",IF(AND(J957=J956,N956&lt;&gt;""),MAX(M957,N956),M957))</x:f>
        <x:v>1.2338</x:v>
      </x:c>
      <x:c r="O957" s="262" t="n">
        <x:f>IF(N957="","",M957/N957-1)</x:f>
        <x:v>-0.009807100016210102</x:v>
      </x:c>
    </x:row>
    <x:row r="958">
      <x:c r="J958" s="257" t="str">
        <x:v>024057.OF</x:v>
      </x:c>
      <x:c r="K958" s="258" t="str">
        <x:v>宏利鼎森稳健3个月持有混合(FOF)A</x:v>
      </x:c>
      <x:c r="L958" s="263" t="n">
        <x:v>46191</x:v>
      </x:c>
      <x:c r="M958" s="261" t="n">
        <x:v>1.0163</x:v>
      </x:c>
      <x:c r="N958" s="261" t="n">
        <x:f>IF(OR(L958&lt;$B$3,L958&gt;$D$3),"",IF(AND(J958=J957,N957&lt;&gt;""),MAX(M958,N957),M958))</x:f>
        <x:v>1.0163</x:v>
      </x:c>
      <x:c r="O958" s="262" t="n">
        <x:f>IF(N958="","",M958/N958-1)</x:f>
        <x:v>0</x:v>
      </x:c>
    </x:row>
    <x:row r="959">
      <x:c r="J959" s="257" t="str">
        <x:v>024057.OF</x:v>
      </x:c>
      <x:c r="K959" s="258" t="str">
        <x:v>宏利鼎森稳健3个月持有混合(FOF)A</x:v>
      </x:c>
      <x:c r="L959" s="263" t="n">
        <x:v>46192</x:v>
      </x:c>
      <x:c r="M959" s="261" t="n">
        <x:v>1.0163</x:v>
      </x:c>
      <x:c r="N959" s="261" t="n">
        <x:f>IF(OR(L959&lt;$B$3,L959&gt;$D$3),"",IF(AND(J959=J958,N958&lt;&gt;""),MAX(M959,N958),M959))</x:f>
        <x:v>1.0163</x:v>
      </x:c>
      <x:c r="O959" s="262" t="n">
        <x:f>IF(N959="","",M959/N959-1)</x:f>
        <x:v>0</x:v>
      </x:c>
    </x:row>
    <x:row r="960">
      <x:c r="J960" s="257" t="str">
        <x:v>024057.OF</x:v>
      </x:c>
      <x:c r="K960" s="258" t="str">
        <x:v>宏利鼎森稳健3个月持有混合(FOF)A</x:v>
      </x:c>
      <x:c r="L960" s="263" t="n">
        <x:v>46193</x:v>
      </x:c>
      <x:c r="M960" s="261" t="n">
        <x:v>1.0163</x:v>
      </x:c>
      <x:c r="N960" s="261" t="n">
        <x:f>IF(OR(L960&lt;$B$3,L960&gt;$D$3),"",IF(AND(J960=J959,N959&lt;&gt;""),MAX(M960,N959),M960))</x:f>
        <x:v>1.0163</x:v>
      </x:c>
      <x:c r="O960" s="262" t="n">
        <x:f>IF(N960="","",M960/N960-1)</x:f>
        <x:v>0</x:v>
      </x:c>
    </x:row>
    <x:row r="961">
      <x:c r="J961" s="257" t="str">
        <x:v>024057.OF</x:v>
      </x:c>
      <x:c r="K961" s="258" t="str">
        <x:v>宏利鼎森稳健3个月持有混合(FOF)A</x:v>
      </x:c>
      <x:c r="L961" s="263" t="n">
        <x:v>46194</x:v>
      </x:c>
      <x:c r="M961" s="261" t="n">
        <x:v>1.0163</x:v>
      </x:c>
      <x:c r="N961" s="261" t="n">
        <x:f>IF(OR(L961&lt;$B$3,L961&gt;$D$3),"",IF(AND(J961=J960,N960&lt;&gt;""),MAX(M961,N960),M961))</x:f>
        <x:v>1.0163</x:v>
      </x:c>
      <x:c r="O961" s="262" t="n">
        <x:f>IF(N961="","",M961/N961-1)</x:f>
        <x:v>0</x:v>
      </x:c>
    </x:row>
    <x:row r="962">
      <x:c r="J962" s="257" t="str">
        <x:v>024057.OF</x:v>
      </x:c>
      <x:c r="K962" s="258" t="str">
        <x:v>宏利鼎森稳健3个月持有混合(FOF)A</x:v>
      </x:c>
      <x:c r="L962" s="263" t="n">
        <x:v>46195</x:v>
      </x:c>
      <x:c r="M962" s="261" t="n">
        <x:v>1.0159</x:v>
      </x:c>
      <x:c r="N962" s="261" t="n">
        <x:f>IF(OR(L962&lt;$B$3,L962&gt;$D$3),"",IF(AND(J962=J961,N961&lt;&gt;""),MAX(M962,N961),M962))</x:f>
        <x:v>1.0163</x:v>
      </x:c>
      <x:c r="O962" s="262" t="n">
        <x:f>IF(N962="","",M962/N962-1)</x:f>
        <x:v>-0.0003935845714847508</x:v>
      </x:c>
    </x:row>
    <x:row r="963">
      <x:c r="J963" s="257" t="str">
        <x:v>024057.OF</x:v>
      </x:c>
      <x:c r="K963" s="258" t="str">
        <x:v>宏利鼎森稳健3个月持有混合(FOF)A</x:v>
      </x:c>
      <x:c r="L963" s="263" t="n">
        <x:v>46196</x:v>
      </x:c>
      <x:c r="M963" s="261" t="n">
        <x:v>1.0121</x:v>
      </x:c>
      <x:c r="N963" s="261" t="n">
        <x:f>IF(OR(L963&lt;$B$3,L963&gt;$D$3),"",IF(AND(J963=J962,N962&lt;&gt;""),MAX(M963,N962),M963))</x:f>
        <x:v>1.0163</x:v>
      </x:c>
      <x:c r="O963" s="262" t="n">
        <x:f>IF(N963="","",M963/N963-1)</x:f>
        <x:v>-0.004132638000590383</x:v>
      </x:c>
    </x:row>
    <x:row r="964">
      <x:c r="J964" s="257" t="str">
        <x:v>024057.OF</x:v>
      </x:c>
      <x:c r="K964" s="258" t="str">
        <x:v>宏利鼎森稳健3个月持有混合(FOF)A</x:v>
      </x:c>
      <x:c r="L964" s="263" t="n">
        <x:v>46197</x:v>
      </x:c>
      <x:c r="M964" s="261" t="n">
        <x:v>1.0121</x:v>
      </x:c>
      <x:c r="N964" s="261" t="n">
        <x:f>IF(OR(L964&lt;$B$3,L964&gt;$D$3),"",IF(AND(J964=J963,N963&lt;&gt;""),MAX(M964,N963),M964))</x:f>
        <x:v>1.0163</x:v>
      </x:c>
      <x:c r="O964" s="262" t="n">
        <x:f>IF(N964="","",M964/N964-1)</x:f>
        <x:v>-0.004132638000590383</x:v>
      </x:c>
    </x:row>
    <x:row r="965">
      <x:c r="J965" s="257" t="str">
        <x:v>024057.OF</x:v>
      </x:c>
      <x:c r="K965" s="258" t="str">
        <x:v>宏利鼎森稳健3个月持有混合(FOF)A</x:v>
      </x:c>
      <x:c r="L965" s="263" t="n">
        <x:v>46198</x:v>
      </x:c>
      <x:c r="M965" s="261" t="n">
        <x:v>1.0118</x:v>
      </x:c>
      <x:c r="N965" s="261" t="n">
        <x:f>IF(OR(L965&lt;$B$3,L965&gt;$D$3),"",IF(AND(J965=J964,N964&lt;&gt;""),MAX(M965,N964),M965))</x:f>
        <x:v>1.0163</x:v>
      </x:c>
      <x:c r="O965" s="262" t="n">
        <x:f>IF(N965="","",M965/N965-1)</x:f>
        <x:v>-0.004427826429203918</x:v>
      </x:c>
    </x:row>
    <x:row r="966">
      <x:c r="J966" s="257" t="str">
        <x:v>024057.OF</x:v>
      </x:c>
      <x:c r="K966" s="258" t="str">
        <x:v>宏利鼎森稳健3个月持有混合(FOF)A</x:v>
      </x:c>
      <x:c r="L966" s="263" t="n">
        <x:v>46199</x:v>
      </x:c>
      <x:c r="M966" s="261" t="n">
        <x:v>1.0098</x:v>
      </x:c>
      <x:c r="N966" s="261" t="n">
        <x:f>IF(OR(L966&lt;$B$3,L966&gt;$D$3),"",IF(AND(J966=J965,N965&lt;&gt;""),MAX(M966,N965),M966))</x:f>
        <x:v>1.0163</x:v>
      </x:c>
      <x:c r="O966" s="262" t="n">
        <x:f>IF(N966="","",M966/N966-1)</x:f>
        <x:v>-0.006395749286627894</x:v>
      </x:c>
    </x:row>
    <x:row r="967">
      <x:c r="J967" s="257" t="str">
        <x:v>024057.OF</x:v>
      </x:c>
      <x:c r="K967" s="258" t="str">
        <x:v>宏利鼎森稳健3个月持有混合(FOF)A</x:v>
      </x:c>
      <x:c r="L967" s="263" t="n">
        <x:v>46200</x:v>
      </x:c>
      <x:c r="M967" s="261" t="n">
        <x:v>1.0098</x:v>
      </x:c>
      <x:c r="N967" s="261" t="n">
        <x:f>IF(OR(L967&lt;$B$3,L967&gt;$D$3),"",IF(AND(J967=J966,N966&lt;&gt;""),MAX(M967,N966),M967))</x:f>
        <x:v>1.0163</x:v>
      </x:c>
      <x:c r="O967" s="262" t="n">
        <x:f>IF(N967="","",M967/N967-1)</x:f>
        <x:v>-0.006395749286627894</x:v>
      </x:c>
    </x:row>
    <x:row r="968">
      <x:c r="J968" s="257" t="str">
        <x:v>024057.OF</x:v>
      </x:c>
      <x:c r="K968" s="258" t="str">
        <x:v>宏利鼎森稳健3个月持有混合(FOF)A</x:v>
      </x:c>
      <x:c r="L968" s="263" t="n">
        <x:v>46201</x:v>
      </x:c>
      <x:c r="M968" s="261" t="n">
        <x:v>1.0098</x:v>
      </x:c>
      <x:c r="N968" s="261" t="n">
        <x:f>IF(OR(L968&lt;$B$3,L968&gt;$D$3),"",IF(AND(J968=J967,N967&lt;&gt;""),MAX(M968,N967),M968))</x:f>
        <x:v>1.0163</x:v>
      </x:c>
      <x:c r="O968" s="262" t="n">
        <x:f>IF(N968="","",M968/N968-1)</x:f>
        <x:v>-0.006395749286627894</x:v>
      </x:c>
    </x:row>
    <x:row r="969">
      <x:c r="J969" s="257" t="str">
        <x:v>024057.OF</x:v>
      </x:c>
      <x:c r="K969" s="258" t="str">
        <x:v>宏利鼎森稳健3个月持有混合(FOF)A</x:v>
      </x:c>
      <x:c r="L969" s="263" t="n">
        <x:v>46202</x:v>
      </x:c>
      <x:c r="M969" s="261" t="n">
        <x:v>1.0112</x:v>
      </x:c>
      <x:c r="N969" s="261" t="n">
        <x:f>IF(OR(L969&lt;$B$3,L969&gt;$D$3),"",IF(AND(J969=J968,N968&lt;&gt;""),MAX(M969,N968),M969))</x:f>
        <x:v>1.0163</x:v>
      </x:c>
      <x:c r="O969" s="262" t="n">
        <x:f>IF(N969="","",M969/N969-1)</x:f>
        <x:v>-0.0050182032864311</x:v>
      </x:c>
    </x:row>
    <x:row r="970">
      <x:c r="J970" s="257" t="str">
        <x:v>024057.OF</x:v>
      </x:c>
      <x:c r="K970" s="258" t="str">
        <x:v>宏利鼎森稳健3个月持有混合(FOF)A</x:v>
      </x:c>
      <x:c r="L970" s="263" t="n">
        <x:v>46203</x:v>
      </x:c>
      <x:c r="M970" s="261" t="n">
        <x:v>1.0122</x:v>
      </x:c>
      <x:c r="N970" s="261" t="n">
        <x:f>IF(OR(L970&lt;$B$3,L970&gt;$D$3),"",IF(AND(J970=J969,N969&lt;&gt;""),MAX(M970,N969),M970))</x:f>
        <x:v>1.0163</x:v>
      </x:c>
      <x:c r="O970" s="262" t="n">
        <x:f>IF(N970="","",M970/N970-1)</x:f>
        <x:v>-0.0040342418577191674</x:v>
      </x:c>
    </x:row>
    <x:row r="971">
      <x:c r="J971" s="257" t="str">
        <x:v>024057.OF</x:v>
      </x:c>
      <x:c r="K971" s="258" t="str">
        <x:v>宏利鼎森稳健3个月持有混合(FOF)A</x:v>
      </x:c>
      <x:c r="L971" s="263" t="n">
        <x:v>46204</x:v>
      </x:c>
      <x:c r="M971" s="261" t="n">
        <x:v>1.0114</x:v>
      </x:c>
      <x:c r="N971" s="261" t="n">
        <x:f>IF(OR(L971&lt;$B$3,L971&gt;$D$3),"",IF(AND(J971=J970,N970&lt;&gt;""),MAX(M971,N970),M971))</x:f>
        <x:v>1.0163</x:v>
      </x:c>
      <x:c r="O971" s="262" t="n">
        <x:f>IF(N971="","",M971/N971-1)</x:f>
        <x:v>-0.004821411000688669</x:v>
      </x:c>
    </x:row>
    <x:row r="972">
      <x:c r="J972" s="257" t="str">
        <x:v>024057.OF</x:v>
      </x:c>
      <x:c r="K972" s="258" t="str">
        <x:v>宏利鼎森稳健3个月持有混合(FOF)A</x:v>
      </x:c>
      <x:c r="L972" s="263" t="n">
        <x:v>46205</x:v>
      </x:c>
      <x:c r="M972" s="261" t="n">
        <x:v>1.0102</x:v>
      </x:c>
      <x:c r="N972" s="261" t="n">
        <x:f>IF(OR(L972&lt;$B$3,L972&gt;$D$3),"",IF(AND(J972=J971,N971&lt;&gt;""),MAX(M972,N971),M972))</x:f>
        <x:v>1.0163</x:v>
      </x:c>
      <x:c r="O972" s="262" t="n">
        <x:f>IF(N972="","",M972/N972-1)</x:f>
        <x:v>-0.006002164715143143</x:v>
      </x:c>
    </x:row>
    <x:row r="973">
      <x:c r="J973" s="257" t="str">
        <x:v>024057.OF</x:v>
      </x:c>
      <x:c r="K973" s="258" t="str">
        <x:v>宏利鼎森稳健3个月持有混合(FOF)A</x:v>
      </x:c>
      <x:c r="L973" s="263" t="n">
        <x:v>46206</x:v>
      </x:c>
      <x:c r="M973" s="261" t="n">
        <x:v>1.0118</x:v>
      </x:c>
      <x:c r="N973" s="261" t="n">
        <x:f>IF(OR(L973&lt;$B$3,L973&gt;$D$3),"",IF(AND(J973=J972,N972&lt;&gt;""),MAX(M973,N972),M973))</x:f>
        <x:v>1.0163</x:v>
      </x:c>
      <x:c r="O973" s="262" t="n">
        <x:f>IF(N973="","",M973/N973-1)</x:f>
        <x:v>-0.004427826429203918</x:v>
      </x:c>
    </x:row>
    <x:row r="974">
      <x:c r="J974" s="257" t="str">
        <x:v>024057.OF</x:v>
      </x:c>
      <x:c r="K974" s="258" t="str">
        <x:v>宏利鼎森稳健3个月持有混合(FOF)A</x:v>
      </x:c>
      <x:c r="L974" s="263" t="n">
        <x:v>46207</x:v>
      </x:c>
      <x:c r="M974" s="261" t="n">
        <x:v>1.0118</x:v>
      </x:c>
      <x:c r="N974" s="261" t="n">
        <x:f>IF(OR(L974&lt;$B$3,L974&gt;$D$3),"",IF(AND(J974=J973,N973&lt;&gt;""),MAX(M974,N973),M974))</x:f>
        <x:v>1.0163</x:v>
      </x:c>
      <x:c r="O974" s="262" t="n">
        <x:f>IF(N974="","",M974/N974-1)</x:f>
        <x:v>-0.004427826429203918</x:v>
      </x:c>
    </x:row>
    <x:row r="975">
      <x:c r="J975" s="257" t="str">
        <x:v>024057.OF</x:v>
      </x:c>
      <x:c r="K975" s="258" t="str">
        <x:v>宏利鼎森稳健3个月持有混合(FOF)A</x:v>
      </x:c>
      <x:c r="L975" s="263" t="n">
        <x:v>46208</x:v>
      </x:c>
      <x:c r="M975" s="261" t="n">
        <x:v>1.0118</x:v>
      </x:c>
      <x:c r="N975" s="261" t="n">
        <x:f>IF(OR(L975&lt;$B$3,L975&gt;$D$3),"",IF(AND(J975=J974,N974&lt;&gt;""),MAX(M975,N974),M975))</x:f>
        <x:v>1.0163</x:v>
      </x:c>
      <x:c r="O975" s="262" t="n">
        <x:f>IF(N975="","",M975/N975-1)</x:f>
        <x:v>-0.004427826429203918</x:v>
      </x:c>
    </x:row>
    <x:row r="976">
      <x:c r="J976" s="257" t="str">
        <x:v>024057.OF</x:v>
      </x:c>
      <x:c r="K976" s="258" t="str">
        <x:v>宏利鼎森稳健3个月持有混合(FOF)A</x:v>
      </x:c>
      <x:c r="L976" s="263" t="n">
        <x:v>46209</x:v>
      </x:c>
      <x:c r="M976" s="261" t="n">
        <x:v>1.0134</x:v>
      </x:c>
      <x:c r="N976" s="261" t="n">
        <x:f>IF(OR(L976&lt;$B$3,L976&gt;$D$3),"",IF(AND(J976=J975,N975&lt;&gt;""),MAX(M976,N975),M976))</x:f>
        <x:v>1.0163</x:v>
      </x:c>
      <x:c r="O976" s="262" t="n">
        <x:f>IF(N976="","",M976/N976-1)</x:f>
        <x:v>-0.002853488143264693</x:v>
      </x:c>
    </x:row>
    <x:row r="977">
      <x:c r="J977" s="257" t="str">
        <x:v>024057.OF</x:v>
      </x:c>
      <x:c r="K977" s="258" t="str">
        <x:v>宏利鼎森稳健3个月持有混合(FOF)A</x:v>
      </x:c>
      <x:c r="L977" s="263" t="n">
        <x:v>46210</x:v>
      </x:c>
      <x:c r="M977" s="261" t="n">
        <x:v>1.0112</x:v>
      </x:c>
      <x:c r="N977" s="261" t="n">
        <x:f>IF(OR(L977&lt;$B$3,L977&gt;$D$3),"",IF(AND(J977=J976,N976&lt;&gt;""),MAX(M977,N976),M977))</x:f>
        <x:v>1.0163</x:v>
      </x:c>
      <x:c r="O977" s="262" t="n">
        <x:f>IF(N977="","",M977/N977-1)</x:f>
        <x:v>-0.0050182032864311</x:v>
      </x:c>
    </x:row>
    <x:row r="978">
      <x:c r="J978" s="257" t="str">
        <x:v>024057.OF</x:v>
      </x:c>
      <x:c r="K978" s="258" t="str">
        <x:v>宏利鼎森稳健3个月持有混合(FOF)A</x:v>
      </x:c>
      <x:c r="L978" s="263" t="n">
        <x:v>46211</x:v>
      </x:c>
      <x:c r="M978" s="261" t="n">
        <x:v>1.0098</x:v>
      </x:c>
      <x:c r="N978" s="261" t="n">
        <x:f>IF(OR(L978&lt;$B$3,L978&gt;$D$3),"",IF(AND(J978=J977,N977&lt;&gt;""),MAX(M978,N977),M978))</x:f>
        <x:v>1.0163</x:v>
      </x:c>
      <x:c r="O978" s="262" t="n">
        <x:f>IF(N978="","",M978/N978-1)</x:f>
        <x:v>-0.006395749286627894</x:v>
      </x:c>
    </x:row>
    <x:row r="979">
      <x:c r="J979" s="257" t="str">
        <x:v>024057.OF</x:v>
      </x:c>
      <x:c r="K979" s="258" t="str">
        <x:v>宏利鼎森稳健3个月持有混合(FOF)A</x:v>
      </x:c>
      <x:c r="L979" s="263" t="n">
        <x:v>46212</x:v>
      </x:c>
      <x:c r="M979" s="261" t="n">
        <x:v>1.0112</x:v>
      </x:c>
      <x:c r="N979" s="261" t="n">
        <x:f>IF(OR(L979&lt;$B$3,L979&gt;$D$3),"",IF(AND(J979=J978,N978&lt;&gt;""),MAX(M979,N978),M979))</x:f>
        <x:v>1.0163</x:v>
      </x:c>
      <x:c r="O979" s="262" t="n">
        <x:f>IF(N979="","",M979/N979-1)</x:f>
        <x:v>-0.0050182032864311</x:v>
      </x:c>
    </x:row>
    <x:row r="980">
      <x:c r="J980" s="257" t="str">
        <x:v>024057.OF</x:v>
      </x:c>
      <x:c r="K980" s="258" t="str">
        <x:v>宏利鼎森稳健3个月持有混合(FOF)A</x:v>
      </x:c>
      <x:c r="L980" s="263" t="n">
        <x:v>46213</x:v>
      </x:c>
      <x:c r="M980" s="261" t="n">
        <x:v>1.0103</x:v>
      </x:c>
      <x:c r="N980" s="261" t="n">
        <x:f>IF(OR(L980&lt;$B$3,L980&gt;$D$3),"",IF(AND(J980=J979,N979&lt;&gt;""),MAX(M980,N979),M980))</x:f>
        <x:v>1.0163</x:v>
      </x:c>
      <x:c r="O980" s="262" t="n">
        <x:f>IF(N980="","",M980/N980-1)</x:f>
        <x:v>-0.005903768572271928</x:v>
      </x:c>
    </x:row>
    <x:row r="981">
      <x:c r="J981" s="257" t="str">
        <x:v>024057.OF</x:v>
      </x:c>
      <x:c r="K981" s="258" t="str">
        <x:v>宏利鼎森稳健3个月持有混合(FOF)A</x:v>
      </x:c>
      <x:c r="L981" s="263" t="n">
        <x:v>46214</x:v>
      </x:c>
      <x:c r="M981" s="261" t="n">
        <x:v>1.0103</x:v>
      </x:c>
      <x:c r="N981" s="261" t="n">
        <x:f>IF(OR(L981&lt;$B$3,L981&gt;$D$3),"",IF(AND(J981=J980,N980&lt;&gt;""),MAX(M981,N980),M981))</x:f>
        <x:v>1.0163</x:v>
      </x:c>
      <x:c r="O981" s="262" t="n">
        <x:f>IF(N981="","",M981/N981-1)</x:f>
        <x:v>-0.005903768572271928</x:v>
      </x:c>
    </x:row>
    <x:row r="982">
      <x:c r="J982" s="257" t="str">
        <x:v>024057.OF</x:v>
      </x:c>
      <x:c r="K982" s="258" t="str">
        <x:v>宏利鼎森稳健3个月持有混合(FOF)A</x:v>
      </x:c>
      <x:c r="L982" s="263" t="n">
        <x:v>46215</x:v>
      </x:c>
      <x:c r="M982" s="261" t="n">
        <x:v>1.0103</x:v>
      </x:c>
      <x:c r="N982" s="261" t="n">
        <x:f>IF(OR(L982&lt;$B$3,L982&gt;$D$3),"",IF(AND(J982=J981,N981&lt;&gt;""),MAX(M982,N981),M982))</x:f>
        <x:v>1.0163</x:v>
      </x:c>
      <x:c r="O982" s="262" t="n">
        <x:f>IF(N982="","",M982/N982-1)</x:f>
        <x:v>-0.005903768572271928</x:v>
      </x:c>
    </x:row>
    <x:row r="983">
      <x:c r="J983" s="257" t="str">
        <x:v>024057.OF</x:v>
      </x:c>
      <x:c r="K983" s="258" t="str">
        <x:v>宏利鼎森稳健3个月持有混合(FOF)A</x:v>
      </x:c>
      <x:c r="L983" s="263" t="n">
        <x:v>46216</x:v>
      </x:c>
      <x:c r="M983" s="261" t="n">
        <x:v>1.0055</x:v>
      </x:c>
      <x:c r="N983" s="261" t="n">
        <x:f>IF(OR(L983&lt;$B$3,L983&gt;$D$3),"",IF(AND(J983=J982,N982&lt;&gt;""),MAX(M983,N982),M983))</x:f>
        <x:v>1.0163</x:v>
      </x:c>
      <x:c r="O983" s="262" t="n">
        <x:f>IF(N983="","",M983/N983-1)</x:f>
        <x:v>-0.010626783430089493</x:v>
      </x:c>
    </x:row>
    <x:row r="984">
      <x:c r="J984" s="257" t="str">
        <x:v>024057.OF</x:v>
      </x:c>
      <x:c r="K984" s="258" t="str">
        <x:v>宏利鼎森稳健3个月持有混合(FOF)A</x:v>
      </x:c>
      <x:c r="L984" s="263" t="n">
        <x:v>46217</x:v>
      </x:c>
      <x:c r="M984" s="261" t="n">
        <x:v>1.0069</x:v>
      </x:c>
      <x:c r="N984" s="261" t="n">
        <x:f>IF(OR(L984&lt;$B$3,L984&gt;$D$3),"",IF(AND(J984=J983,N983&lt;&gt;""),MAX(M984,N983),M984))</x:f>
        <x:v>1.0163</x:v>
      </x:c>
      <x:c r="O984" s="262" t="n">
        <x:f>IF(N984="","",M984/N984-1)</x:f>
        <x:v>-0.00924923742989281</x:v>
      </x:c>
    </x:row>
    <x:row r="985">
      <x:c r="J985" s="257" t="str">
        <x:v>024057.OF</x:v>
      </x:c>
      <x:c r="K985" s="258" t="str">
        <x:v>宏利鼎森稳健3个月持有混合(FOF)A</x:v>
      </x:c>
      <x:c r="L985" s="263" t="n">
        <x:v>46218</x:v>
      </x:c>
      <x:c r="M985" s="261" t="n">
        <x:v>1.007</x:v>
      </x:c>
      <x:c r="N985" s="261" t="n">
        <x:f>IF(OR(L985&lt;$B$3,L985&gt;$D$3),"",IF(AND(J985=J984,N984&lt;&gt;""),MAX(M985,N984),M985))</x:f>
        <x:v>1.0163</x:v>
      </x:c>
      <x:c r="O985" s="262" t="n">
        <x:f>IF(N985="","",M985/N985-1)</x:f>
        <x:v>-0.009150841287021594</x:v>
      </x:c>
    </x:row>
    <x:row r="986">
      <x:c r="J986" s="257" t="str">
        <x:v>024057.OF</x:v>
      </x:c>
      <x:c r="K986" s="258" t="str">
        <x:v>宏利鼎森稳健3个月持有混合(FOF)A</x:v>
      </x:c>
      <x:c r="L986" s="263" t="n">
        <x:v>46219</x:v>
      </x:c>
      <x:c r="M986" s="261" t="n">
        <x:v>1.0054</x:v>
      </x:c>
      <x:c r="N986" s="261" t="n">
        <x:f>IF(OR(L986&lt;$B$3,L986&gt;$D$3),"",IF(AND(J986=J985,N985&lt;&gt;""),MAX(M986,N985),M986))</x:f>
        <x:v>1.0163</x:v>
      </x:c>
      <x:c r="O986" s="262" t="n">
        <x:f>IF(N986="","",M986/N986-1)</x:f>
        <x:v>-0.010725179572960597</x:v>
      </x:c>
    </x:row>
    <x:row r="987">
      <x:c r="J987" s="257" t="str">
        <x:v>024057.OF</x:v>
      </x:c>
      <x:c r="K987" s="258" t="str">
        <x:v>宏利鼎森稳健3个月持有混合(FOF)A</x:v>
      </x:c>
      <x:c r="L987" s="263" t="n">
        <x:v>46220</x:v>
      </x:c>
      <x:c r="M987" s="261" t="n">
        <x:v>1.0031</x:v>
      </x:c>
      <x:c r="N987" s="261" t="n">
        <x:f>IF(OR(L987&lt;$B$3,L987&gt;$D$3),"",IF(AND(J987=J986,N986&lt;&gt;""),MAX(M987,N986),M987))</x:f>
        <x:v>1.0163</x:v>
      </x:c>
      <x:c r="O987" s="262" t="n">
        <x:f>IF(N987="","",M987/N987-1)</x:f>
        <x:v>-0.01298829085899822</x:v>
      </x:c>
    </x:row>
    <x:row r="988">
      <x:c r="J988" s="257" t="str">
        <x:v>024057.OF</x:v>
      </x:c>
      <x:c r="K988" s="258" t="str">
        <x:v>宏利鼎森稳健3个月持有混合(FOF)A</x:v>
      </x:c>
      <x:c r="L988" s="263" t="n">
        <x:v>46221</x:v>
      </x:c>
      <x:c r="M988" s="261" t="n">
        <x:v>1.0031</x:v>
      </x:c>
      <x:c r="N988" s="261" t="n">
        <x:f>IF(OR(L988&lt;$B$3,L988&gt;$D$3),"",IF(AND(J988=J987,N987&lt;&gt;""),MAX(M988,N987),M988))</x:f>
        <x:v>1.0163</x:v>
      </x:c>
      <x:c r="O988" s="262" t="n">
        <x:f>IF(N988="","",M988/N988-1)</x:f>
        <x:v>-0.01298829085899822</x:v>
      </x:c>
    </x:row>
    <x:row r="989">
      <x:c r="J989" s="257" t="str">
        <x:v>024057.OF</x:v>
      </x:c>
      <x:c r="K989" s="258" t="str">
        <x:v>宏利鼎森稳健3个月持有混合(FOF)A</x:v>
      </x:c>
      <x:c r="L989" s="263" t="n">
        <x:v>46222</x:v>
      </x:c>
      <x:c r="M989" s="261" t="n">
        <x:v>1.0031</x:v>
      </x:c>
      <x:c r="N989" s="261" t="n">
        <x:f>IF(OR(L989&lt;$B$3,L989&gt;$D$3),"",IF(AND(J989=J988,N988&lt;&gt;""),MAX(M989,N988),M989))</x:f>
        <x:v>1.0163</x:v>
      </x:c>
      <x:c r="O989" s="262" t="n">
        <x:f>IF(N989="","",M989/N989-1)</x:f>
        <x:v>-0.01298829085899822</x:v>
      </x:c>
    </x:row>
    <x:row r="990">
      <x:c r="J990" s="257" t="str">
        <x:v>024057.OF</x:v>
      </x:c>
      <x:c r="K990" s="258" t="str">
        <x:v>宏利鼎森稳健3个月持有混合(FOF)A</x:v>
      </x:c>
      <x:c r="L990" s="263" t="n">
        <x:v>46223</x:v>
      </x:c>
      <x:c r="M990" s="261" t="n">
        <x:v>1.0028</x:v>
      </x:c>
      <x:c r="N990" s="261" t="n">
        <x:f>IF(OR(L990&lt;$B$3,L990&gt;$D$3),"",IF(AND(J990=J989,N989&lt;&gt;""),MAX(M990,N989),M990))</x:f>
        <x:v>1.0163</x:v>
      </x:c>
      <x:c r="O990" s="262" t="n">
        <x:f>IF(N990="","",M990/N990-1)</x:f>
        <x:v>-0.013283479287611977</x:v>
      </x:c>
    </x:row>
    <x:row r="991">
      <x:c r="J991" s="257" t="str">
        <x:v>024057.OF</x:v>
      </x:c>
      <x:c r="K991" s="258" t="str">
        <x:v>宏利鼎森稳健3个月持有混合(FOF)A</x:v>
      </x:c>
      <x:c r="L991" s="263" t="n">
        <x:v>46224</x:v>
      </x:c>
      <x:c r="M991" s="261" t="n">
        <x:v>1.0052</x:v>
      </x:c>
      <x:c r="N991" s="261" t="n">
        <x:f>IF(OR(L991&lt;$B$3,L991&gt;$D$3),"",IF(AND(J991=J990,N990&lt;&gt;""),MAX(M991,N990),M991))</x:f>
        <x:v>1.0163</x:v>
      </x:c>
      <x:c r="O991" s="262" t="n">
        <x:f>IF(N991="","",M991/N991-1)</x:f>
        <x:v>-0.010921971858703028</x:v>
      </x:c>
    </x:row>
    <x:row r="992">
      <x:c r="J992" s="257" t="str">
        <x:v>024057.OF</x:v>
      </x:c>
      <x:c r="K992" s="258" t="str">
        <x:v>宏利鼎森稳健3个月持有混合(FOF)A</x:v>
      </x:c>
      <x:c r="L992" s="263" t="n">
        <x:v>46225</x:v>
      </x:c>
      <x:c r="M992" s="261" t="n">
        <x:v>1.0059</x:v>
      </x:c>
      <x:c r="N992" s="261" t="n">
        <x:f>IF(OR(L992&lt;$B$3,L992&gt;$D$3),"",IF(AND(J992=J991,N991&lt;&gt;""),MAX(M992,N991),M992))</x:f>
        <x:v>1.0163</x:v>
      </x:c>
      <x:c r="O992" s="262" t="n">
        <x:f>IF(N992="","",M992/N992-1)</x:f>
        <x:v>-0.010233198858604742</x:v>
      </x:c>
    </x:row>
    <x:row r="993">
      <x:c r="J993" s="257" t="str">
        <x:v>024057.OF</x:v>
      </x:c>
      <x:c r="K993" s="258" t="str">
        <x:v>宏利鼎森稳健3个月持有混合(FOF)A</x:v>
      </x:c>
      <x:c r="L993" s="263" t="n">
        <x:v>46226</x:v>
      </x:c>
      <x:c r="M993" s="261" t="n">
        <x:v>1.0072</x:v>
      </x:c>
      <x:c r="N993" s="261" t="n">
        <x:f>IF(OR(L993&lt;$B$3,L993&gt;$D$3),"",IF(AND(J993=J992,N992&lt;&gt;""),MAX(M993,N992),M993))</x:f>
        <x:v>1.0163</x:v>
      </x:c>
      <x:c r="O993" s="262" t="n">
        <x:f>IF(N993="","",M993/N993-1)</x:f>
        <x:v>-0.008954049001279052</x:v>
      </x:c>
    </x:row>
    <x:row r="994">
      <x:c r="J994" s="257" t="str">
        <x:v>024057.OF</x:v>
      </x:c>
      <x:c r="K994" s="258" t="str">
        <x:v>宏利鼎森稳健3个月持有混合(FOF)A</x:v>
      </x:c>
      <x:c r="L994" s="263" t="n">
        <x:v>46227</x:v>
      </x:c>
      <x:c r="M994" s="261" t="n">
        <x:v>1.0043</x:v>
      </x:c>
      <x:c r="N994" s="261" t="n">
        <x:f>IF(OR(L994&lt;$B$3,L994&gt;$D$3),"",IF(AND(J994=J993,N993&lt;&gt;""),MAX(M994,N993),M994))</x:f>
        <x:v>1.0163</x:v>
      </x:c>
      <x:c r="O994" s="262" t="n">
        <x:f>IF(N994="","",M994/N994-1)</x:f>
        <x:v>-0.011807537144543967</x:v>
      </x:c>
    </x:row>
    <x:row r="995">
      <x:c r="J995" s="257" t="str">
        <x:v>024057.OF</x:v>
      </x:c>
      <x:c r="K995" s="258" t="str">
        <x:v>宏利鼎森稳健3个月持有混合(FOF)A</x:v>
      </x:c>
      <x:c r="L995" s="263" t="n">
        <x:v>46228</x:v>
      </x:c>
      <x:c r="M995" s="261" t="n">
        <x:v>1.0043</x:v>
      </x:c>
      <x:c r="N995" s="261" t="n">
        <x:f>IF(OR(L995&lt;$B$3,L995&gt;$D$3),"",IF(AND(J995=J994,N994&lt;&gt;""),MAX(M995,N994),M995))</x:f>
        <x:v>1.0163</x:v>
      </x:c>
      <x:c r="O995" s="262" t="n">
        <x:f>IF(N995="","",M995/N995-1)</x:f>
        <x:v>-0.011807537144543967</x:v>
      </x:c>
    </x:row>
    <x:row r="996">
      <x:c r="J996" s="257" t="str">
        <x:v>024057.OF</x:v>
      </x:c>
      <x:c r="K996" s="258" t="str">
        <x:v>宏利鼎森稳健3个月持有混合(FOF)A</x:v>
      </x:c>
      <x:c r="L996" s="263" t="n">
        <x:v>46229</x:v>
      </x:c>
      <x:c r="M996" s="261" t="n">
        <x:v>1.0043</x:v>
      </x:c>
      <x:c r="N996" s="261" t="n">
        <x:f>IF(OR(L996&lt;$B$3,L996&gt;$D$3),"",IF(AND(J996=J995,N995&lt;&gt;""),MAX(M996,N995),M996))</x:f>
        <x:v>1.0163</x:v>
      </x:c>
      <x:c r="O996" s="262" t="n">
        <x:f>IF(N996="","",M996/N996-1)</x:f>
        <x:v>-0.011807537144543967</x:v>
      </x:c>
    </x:row>
    <x:row r="997">
      <x:c r="J997" s="257" t="str">
        <x:v>024057.OF</x:v>
      </x:c>
      <x:c r="K997" s="258" t="str">
        <x:v>宏利鼎森稳健3个月持有混合(FOF)A</x:v>
      </x:c>
      <x:c r="L997" s="263" t="n">
        <x:v>46230</x:v>
      </x:c>
      <x:c r="M997" s="261" t="n">
        <x:v>1.0075</x:v>
      </x:c>
      <x:c r="N997" s="261" t="n">
        <x:f>IF(OR(L997&lt;$B$3,L997&gt;$D$3),"",IF(AND(J997=J996,N996&lt;&gt;""),MAX(M997,N996),M997))</x:f>
        <x:v>1.0163</x:v>
      </x:c>
      <x:c r="O997" s="262" t="n">
        <x:f>IF(N997="","",M997/N997-1)</x:f>
        <x:v>-0.008658860572665517</x:v>
      </x:c>
    </x:row>
    <x:row r="998">
      <x:c r="J998" s="257" t="str">
        <x:v>024057.OF</x:v>
      </x:c>
      <x:c r="K998" s="258" t="str">
        <x:v>宏利鼎森稳健3个月持有混合(FOF)A</x:v>
      </x:c>
      <x:c r="L998" s="263" t="n">
        <x:v>46231</x:v>
      </x:c>
      <x:c r="M998" s="261" t="n">
        <x:v>1.0045</x:v>
      </x:c>
      <x:c r="N998" s="261" t="n">
        <x:f>IF(OR(L998&lt;$B$3,L998&gt;$D$3),"",IF(AND(J998=J997,N997&lt;&gt;""),MAX(M998,N997),M998))</x:f>
        <x:v>1.0163</x:v>
      </x:c>
      <x:c r="O998" s="262" t="n">
        <x:f>IF(N998="","",M998/N998-1)</x:f>
        <x:v>-0.011610744858801536</x:v>
      </x:c>
    </x:row>
    <x:row r="999">
      <x:c r="J999" s="257" t="str">
        <x:v>024057.OF</x:v>
      </x:c>
      <x:c r="K999" s="258" t="str">
        <x:v>宏利鼎森稳健3个月持有混合(FOF)A</x:v>
      </x:c>
      <x:c r="L999" s="263" t="n">
        <x:v>46232</x:v>
      </x:c>
      <x:c r="M999" s="261" t="n">
        <x:v>1.0051</x:v>
      </x:c>
      <x:c r="N999" s="261" t="n">
        <x:f>IF(OR(L999&lt;$B$3,L999&gt;$D$3),"",IF(AND(J999=J998,N998&lt;&gt;""),MAX(M999,N998),M999))</x:f>
        <x:v>1.0163</x:v>
      </x:c>
      <x:c r="O999" s="262" t="n">
        <x:f>IF(N999="","",M999/N999-1)</x:f>
        <x:v>-0.011020368001574243</x:v>
      </x:c>
    </x:row>
    <x:row r="1000">
      <x:c r="J1000" s="257" t="str">
        <x:v>024057.OF</x:v>
      </x:c>
      <x:c r="K1000" s="258" t="str">
        <x:v>宏利鼎森稳健3个月持有混合(FOF)A</x:v>
      </x:c>
      <x:c r="L1000" s="263" t="n">
        <x:v>46233</x:v>
      </x:c>
      <x:c r="M1000" s="261" t="n">
        <x:v>1.0037</x:v>
      </x:c>
      <x:c r="N1000" s="261" t="n">
        <x:f>IF(OR(L1000&lt;$B$3,L1000&gt;$D$3),"",IF(AND(J1000=J999,N999&lt;&gt;""),MAX(M1000,N999),M1000))</x:f>
        <x:v>1.0163</x:v>
      </x:c>
      <x:c r="O1000" s="262" t="n">
        <x:f>IF(N1000="","",M1000/N1000-1)</x:f>
        <x:v>-0.012397914001771038</x:v>
      </x:c>
    </x:row>
    <x:row r="1001">
      <x:c r="J1001" s="257" t="str">
        <x:v>024057.OF</x:v>
      </x:c>
      <x:c r="K1001" s="258" t="str">
        <x:v>宏利鼎森稳健3个月持有混合(FOF)A</x:v>
      </x:c>
      <x:c r="L1001" s="263" t="n">
        <x:v>46234</x:v>
      </x:c>
      <x:c r="M1001" s="261" t="n">
        <x:v>1.0067</x:v>
      </x:c>
      <x:c r="N1001" s="261" t="n">
        <x:f>IF(OR(L1001&lt;$B$3,L1001&gt;$D$3),"",IF(AND(J1001=J1000,N1000&lt;&gt;""),MAX(M1001,N1000),M1001))</x:f>
        <x:v>1.0163</x:v>
      </x:c>
      <x:c r="O1001" s="262" t="n">
        <x:f>IF(N1001="","",M1001/N1001-1)</x:f>
        <x:v>-0.00944602971563524</x:v>
      </x:c>
    </x:row>
    <x:row r="1002">
      <x:c r="J1002" s="257" t="str">
        <x:v>024057.OF</x:v>
      </x:c>
      <x:c r="K1002" s="258" t="str">
        <x:v>宏利鼎森稳健3个月持有混合(FOF)A</x:v>
      </x:c>
      <x:c r="L1002" s="263" t="n">
        <x:v>46235</x:v>
      </x:c>
      <x:c r="M1002" s="261" t="n">
        <x:v>1.0067</x:v>
      </x:c>
      <x:c r="N1002" s="261" t="n">
        <x:f>IF(OR(L1002&lt;$B$3,L1002&gt;$D$3),"",IF(AND(J1002=J1001,N1001&lt;&gt;""),MAX(M1002,N1001),M1002))</x:f>
        <x:v>1.0163</x:v>
      </x:c>
      <x:c r="O1002" s="262" t="n">
        <x:f>IF(N1002="","",M1002/N1002-1)</x:f>
        <x:v>-0.00944602971563524</x:v>
      </x:c>
    </x:row>
    <x:row r="1003">
      <x:c r="J1003" s="257" t="str">
        <x:v>024057.OF</x:v>
      </x:c>
      <x:c r="K1003" s="258" t="str">
        <x:v>宏利鼎森稳健3个月持有混合(FOF)A</x:v>
      </x:c>
      <x:c r="L1003" s="263" t="n">
        <x:v>46236</x:v>
      </x:c>
      <x:c r="M1003" s="261" t="n">
        <x:v>1.0067</x:v>
      </x:c>
      <x:c r="N1003" s="261" t="n">
        <x:f>IF(OR(L1003&lt;$B$3,L1003&gt;$D$3),"",IF(AND(J1003=J1002,N1002&lt;&gt;""),MAX(M1003,N1002),M1003))</x:f>
        <x:v>1.0163</x:v>
      </x:c>
      <x:c r="O1003" s="262" t="n">
        <x:f>IF(N1003="","",M1003/N1003-1)</x:f>
        <x:v>-0.00944602971563524</x:v>
      </x:c>
    </x:row>
    <x:row r="1004">
      <x:c r="J1004" s="257" t="str">
        <x:v>024057.OF</x:v>
      </x:c>
      <x:c r="K1004" s="258" t="str">
        <x:v>宏利鼎森稳健3个月持有混合(FOF)A</x:v>
      </x:c>
      <x:c r="L1004" s="263" t="n">
        <x:v>46237</x:v>
      </x:c>
      <x:c r="M1004" s="261" t="n">
        <x:v>1.0062</x:v>
      </x:c>
      <x:c r="N1004" s="261" t="n">
        <x:f>IF(OR(L1004&lt;$B$3,L1004&gt;$D$3),"",IF(AND(J1004=J1003,N1003&lt;&gt;""),MAX(M1004,N1003),M1004))</x:f>
        <x:v>1.0163</x:v>
      </x:c>
      <x:c r="O1004" s="262" t="n">
        <x:f>IF(N1004="","",M1004/N1004-1)</x:f>
        <x:v>-0.009938010429991095</x:v>
      </x:c>
    </x:row>
    <x:row r="1005">
      <x:c r="J1005" s="257" t="str">
        <x:v>024057.OF</x:v>
      </x:c>
      <x:c r="K1005" s="258" t="str">
        <x:v>宏利鼎森稳健3个月持有混合(FOF)A</x:v>
      </x:c>
      <x:c r="L1005" s="263" t="n">
        <x:v>46238</x:v>
      </x:c>
      <x:c r="M1005" s="261" t="n">
        <x:v>1.0086</x:v>
      </x:c>
      <x:c r="N1005" s="261" t="n">
        <x:f>IF(OR(L1005&lt;$B$3,L1005&gt;$D$3),"",IF(AND(J1005=J1004,N1004&lt;&gt;""),MAX(M1005,N1004),M1005))</x:f>
        <x:v>1.0163</x:v>
      </x:c>
      <x:c r="O1005" s="262" t="n">
        <x:f>IF(N1005="","",M1005/N1005-1)</x:f>
        <x:v>-0.007576503001082369</x:v>
      </x:c>
    </x:row>
    <x:row r="1006">
      <x:c r="J1006" s="257" t="str">
        <x:v>024057.OF</x:v>
      </x:c>
      <x:c r="K1006" s="258" t="str">
        <x:v>宏利鼎森稳健3个月持有混合(FOF)A</x:v>
      </x:c>
      <x:c r="L1006" s="263" t="n">
        <x:v>46239</x:v>
      </x:c>
      <x:c r="M1006" s="261" t="n">
        <x:v>1.0121</x:v>
      </x:c>
      <x:c r="N1006" s="261" t="n">
        <x:f>IF(OR(L1006&lt;$B$3,L1006&gt;$D$3),"",IF(AND(J1006=J1005,N1005&lt;&gt;""),MAX(M1006,N1005),M1006))</x:f>
        <x:v>1.0163</x:v>
      </x:c>
      <x:c r="O1006" s="262" t="n">
        <x:f>IF(N1006="","",M1006/N1006-1)</x:f>
        <x:v>-0.004132638000590383</x:v>
      </x:c>
    </x:row>
    <x:row r="1007">
      <x:c r="J1007" s="257" t="str">
        <x:v>024057.OF</x:v>
      </x:c>
      <x:c r="K1007" s="258" t="str">
        <x:v>宏利鼎森稳健3个月持有混合(FOF)A</x:v>
      </x:c>
      <x:c r="L1007" s="263" t="n">
        <x:v>46240</x:v>
      </x:c>
      <x:c r="M1007" s="261" t="n">
        <x:v>1.0131</x:v>
      </x:c>
      <x:c r="N1007" s="261" t="n">
        <x:f>IF(OR(L1007&lt;$B$3,L1007&gt;$D$3),"",IF(AND(J1007=J1006,N1006&lt;&gt;""),MAX(M1007,N1006),M1007))</x:f>
        <x:v>1.0163</x:v>
      </x:c>
      <x:c r="O1007" s="262" t="n">
        <x:f>IF(N1007="","",M1007/N1007-1)</x:f>
        <x:v>-0.0031486765718784504</x:v>
      </x:c>
    </x:row>
    <x:row r="1008">
      <x:c r="J1008" s="257" t="str">
        <x:v>024057.OF</x:v>
      </x:c>
      <x:c r="K1008" s="258" t="str">
        <x:v>宏利鼎森稳健3个月持有混合(FOF)A</x:v>
      </x:c>
      <x:c r="L1008" s="263" t="n">
        <x:v>46241</x:v>
      </x:c>
      <x:c r="M1008" s="261" t="n">
        <x:v>1.0131</x:v>
      </x:c>
      <x:c r="N1008" s="261" t="n">
        <x:f>IF(OR(L1008&lt;$B$3,L1008&gt;$D$3),"",IF(AND(J1008=J1007,N1007&lt;&gt;""),MAX(M1008,N1007),M1008))</x:f>
        <x:v>1.0163</x:v>
      </x:c>
      <x:c r="O1008" s="262" t="n">
        <x:f>IF(N1008="","",M1008/N1008-1)</x:f>
        <x:v>-0.0031486765718784504</x:v>
      </x:c>
    </x:row>
    <x:row r="1009">
      <x:c r="J1009" s="257" t="str">
        <x:v>024057.OF</x:v>
      </x:c>
      <x:c r="K1009" s="258" t="str">
        <x:v>宏利鼎森稳健3个月持有混合(FOF)A</x:v>
      </x:c>
      <x:c r="L1009" s="263" t="n">
        <x:v>46242</x:v>
      </x:c>
      <x:c r="M1009" s="261" t="n">
        <x:v>1.0131</x:v>
      </x:c>
      <x:c r="N1009" s="261" t="n">
        <x:f>IF(OR(L1009&lt;$B$3,L1009&gt;$D$3),"",IF(AND(J1009=J1008,N1008&lt;&gt;""),MAX(M1009,N1008),M1009))</x:f>
        <x:v>1.0163</x:v>
      </x:c>
      <x:c r="O1009" s="262" t="n">
        <x:f>IF(N1009="","",M1009/N1009-1)</x:f>
        <x:v>-0.0031486765718784504</x:v>
      </x:c>
    </x:row>
    <x:row r="1010">
      <x:c r="J1010" s="257" t="str">
        <x:v>024057.OF</x:v>
      </x:c>
      <x:c r="K1010" s="258" t="str">
        <x:v>宏利鼎森稳健3个月持有混合(FOF)A</x:v>
      </x:c>
      <x:c r="L1010" s="263" t="n">
        <x:v>46243</x:v>
      </x:c>
      <x:c r="M1010" s="261" t="n">
        <x:v>1.0131</x:v>
      </x:c>
      <x:c r="N1010" s="261" t="n">
        <x:f>IF(OR(L1010&lt;$B$3,L1010&gt;$D$3),"",IF(AND(J1010=J1009,N1009&lt;&gt;""),MAX(M1010,N1009),M1010))</x:f>
        <x:v>1.0163</x:v>
      </x:c>
      <x:c r="O1010" s="262" t="n">
        <x:f>IF(N1010="","",M1010/N1010-1)</x:f>
        <x:v>-0.0031486765718784504</x:v>
      </x:c>
    </x:row>
    <x:row r="1011">
      <x:c r="J1011" s="257" t="str">
        <x:v>024057.OF</x:v>
      </x:c>
      <x:c r="K1011" s="258" t="str">
        <x:v>宏利鼎森稳健3个月持有混合(FOF)A</x:v>
      </x:c>
      <x:c r="L1011" s="263" t="n">
        <x:v>46244</x:v>
      </x:c>
      <x:c r="M1011" s="261" t="n">
        <x:v>1.0131</x:v>
      </x:c>
      <x:c r="N1011" s="261" t="n">
        <x:f>IF(OR(L1011&lt;$B$3,L1011&gt;$D$3),"",IF(AND(J1011=J1010,N1010&lt;&gt;""),MAX(M1011,N1010),M1011))</x:f>
        <x:v>1.0163</x:v>
      </x:c>
      <x:c r="O1011" s="262" t="n">
        <x:f>IF(N1011="","",M1011/N1011-1)</x:f>
        <x:v>-0.0031486765718784504</x:v>
      </x:c>
    </x:row>
    <x:row r="1012">
      <x:c r="J1012" s="257" t="str">
        <x:v>011168.OF</x:v>
      </x:c>
      <x:c r="K1012" s="258" t="str">
        <x:v>嘉实睿享安久双利18个月持有期债券</x:v>
      </x:c>
      <x:c r="L1012" s="263" t="n">
        <x:v>46191</x:v>
      </x:c>
      <x:c r="M1012" s="261" t="n">
        <x:v>1.2318</x:v>
      </x:c>
      <x:c r="N1012" s="261" t="n">
        <x:f>IF(OR(L1012&lt;$B$3,L1012&gt;$D$3),"",IF(AND(J1012=J1011,N1011&lt;&gt;""),MAX(M1012,N1011),M1012))</x:f>
        <x:v>1.2318</x:v>
      </x:c>
      <x:c r="O1012" s="262" t="n">
        <x:f>IF(N1012="","",M1012/N1012-1)</x:f>
        <x:v>0</x:v>
      </x:c>
    </x:row>
    <x:row r="1013">
      <x:c r="J1013" s="257" t="str">
        <x:v>011168.OF</x:v>
      </x:c>
      <x:c r="K1013" s="258" t="str">
        <x:v>嘉实睿享安久双利18个月持有期债券</x:v>
      </x:c>
      <x:c r="L1013" s="263" t="n">
        <x:v>46192</x:v>
      </x:c>
      <x:c r="M1013" s="261" t="n">
        <x:v>1.2318</x:v>
      </x:c>
      <x:c r="N1013" s="261" t="n">
        <x:f>IF(OR(L1013&lt;$B$3,L1013&gt;$D$3),"",IF(AND(J1013=J1012,N1012&lt;&gt;""),MAX(M1013,N1012),M1013))</x:f>
        <x:v>1.2318</x:v>
      </x:c>
      <x:c r="O1013" s="262" t="n">
        <x:f>IF(N1013="","",M1013/N1013-1)</x:f>
        <x:v>0</x:v>
      </x:c>
    </x:row>
    <x:row r="1014">
      <x:c r="J1014" s="257" t="str">
        <x:v>011168.OF</x:v>
      </x:c>
      <x:c r="K1014" s="258" t="str">
        <x:v>嘉实睿享安久双利18个月持有期债券</x:v>
      </x:c>
      <x:c r="L1014" s="263" t="n">
        <x:v>46193</x:v>
      </x:c>
      <x:c r="M1014" s="261" t="n">
        <x:v>1.2318</x:v>
      </x:c>
      <x:c r="N1014" s="261" t="n">
        <x:f>IF(OR(L1014&lt;$B$3,L1014&gt;$D$3),"",IF(AND(J1014=J1013,N1013&lt;&gt;""),MAX(M1014,N1013),M1014))</x:f>
        <x:v>1.2318</x:v>
      </x:c>
      <x:c r="O1014" s="262" t="n">
        <x:f>IF(N1014="","",M1014/N1014-1)</x:f>
        <x:v>0</x:v>
      </x:c>
    </x:row>
    <x:row r="1015">
      <x:c r="J1015" s="257" t="str">
        <x:v>011168.OF</x:v>
      </x:c>
      <x:c r="K1015" s="258" t="str">
        <x:v>嘉实睿享安久双利18个月持有期债券</x:v>
      </x:c>
      <x:c r="L1015" s="263" t="n">
        <x:v>46194</x:v>
      </x:c>
      <x:c r="M1015" s="261" t="n">
        <x:v>1.2318</x:v>
      </x:c>
      <x:c r="N1015" s="261" t="n">
        <x:f>IF(OR(L1015&lt;$B$3,L1015&gt;$D$3),"",IF(AND(J1015=J1014,N1014&lt;&gt;""),MAX(M1015,N1014),M1015))</x:f>
        <x:v>1.2318</x:v>
      </x:c>
      <x:c r="O1015" s="262" t="n">
        <x:f>IF(N1015="","",M1015/N1015-1)</x:f>
        <x:v>0</x:v>
      </x:c>
    </x:row>
    <x:row r="1016">
      <x:c r="J1016" s="257" t="str">
        <x:v>011168.OF</x:v>
      </x:c>
      <x:c r="K1016" s="258" t="str">
        <x:v>嘉实睿享安久双利18个月持有期债券</x:v>
      </x:c>
      <x:c r="L1016" s="263" t="n">
        <x:v>46195</x:v>
      </x:c>
      <x:c r="M1016" s="261" t="n">
        <x:v>1.2367</x:v>
      </x:c>
      <x:c r="N1016" s="261" t="n">
        <x:f>IF(OR(L1016&lt;$B$3,L1016&gt;$D$3),"",IF(AND(J1016=J1015,N1015&lt;&gt;""),MAX(M1016,N1015),M1016))</x:f>
        <x:v>1.2367</x:v>
      </x:c>
      <x:c r="O1016" s="262" t="n">
        <x:f>IF(N1016="","",M1016/N1016-1)</x:f>
        <x:v>0</x:v>
      </x:c>
    </x:row>
    <x:row r="1017">
      <x:c r="J1017" s="257" t="str">
        <x:v>011168.OF</x:v>
      </x:c>
      <x:c r="K1017" s="258" t="str">
        <x:v>嘉实睿享安久双利18个月持有期债券</x:v>
      </x:c>
      <x:c r="L1017" s="263" t="n">
        <x:v>46196</x:v>
      </x:c>
      <x:c r="M1017" s="261" t="n">
        <x:v>1.2334</x:v>
      </x:c>
      <x:c r="N1017" s="261" t="n">
        <x:f>IF(OR(L1017&lt;$B$3,L1017&gt;$D$3),"",IF(AND(J1017=J1016,N1016&lt;&gt;""),MAX(M1017,N1016),M1017))</x:f>
        <x:v>1.2367</x:v>
      </x:c>
      <x:c r="O1017" s="262" t="n">
        <x:f>IF(N1017="","",M1017/N1017-1)</x:f>
        <x:v>-0.0026683916875555047</x:v>
      </x:c>
    </x:row>
    <x:row r="1018">
      <x:c r="J1018" s="257" t="str">
        <x:v>011168.OF</x:v>
      </x:c>
      <x:c r="K1018" s="258" t="str">
        <x:v>嘉实睿享安久双利18个月持有期债券</x:v>
      </x:c>
      <x:c r="L1018" s="263" t="n">
        <x:v>46197</x:v>
      </x:c>
      <x:c r="M1018" s="261" t="n">
        <x:v>1.2416</x:v>
      </x:c>
      <x:c r="N1018" s="261" t="n">
        <x:f>IF(OR(L1018&lt;$B$3,L1018&gt;$D$3),"",IF(AND(J1018=J1017,N1017&lt;&gt;""),MAX(M1018,N1017),M1018))</x:f>
        <x:v>1.2416</x:v>
      </x:c>
      <x:c r="O1018" s="262" t="n">
        <x:f>IF(N1018="","",M1018/N1018-1)</x:f>
        <x:v>0</x:v>
      </x:c>
    </x:row>
    <x:row r="1019">
      <x:c r="J1019" s="257" t="str">
        <x:v>011168.OF</x:v>
      </x:c>
      <x:c r="K1019" s="258" t="str">
        <x:v>嘉实睿享安久双利18个月持有期债券</x:v>
      </x:c>
      <x:c r="L1019" s="263" t="n">
        <x:v>46198</x:v>
      </x:c>
      <x:c r="M1019" s="261" t="n">
        <x:v>1.2487</x:v>
      </x:c>
      <x:c r="N1019" s="261" t="n">
        <x:f>IF(OR(L1019&lt;$B$3,L1019&gt;$D$3),"",IF(AND(J1019=J1018,N1018&lt;&gt;""),MAX(M1019,N1018),M1019))</x:f>
        <x:v>1.2487</x:v>
      </x:c>
      <x:c r="O1019" s="262" t="n">
        <x:f>IF(N1019="","",M1019/N1019-1)</x:f>
        <x:v>0</x:v>
      </x:c>
    </x:row>
    <x:row r="1020">
      <x:c r="J1020" s="257" t="str">
        <x:v>011168.OF</x:v>
      </x:c>
      <x:c r="K1020" s="258" t="str">
        <x:v>嘉实睿享安久双利18个月持有期债券</x:v>
      </x:c>
      <x:c r="L1020" s="263" t="n">
        <x:v>46199</x:v>
      </x:c>
      <x:c r="M1020" s="261" t="n">
        <x:v>1.2434</x:v>
      </x:c>
      <x:c r="N1020" s="261" t="n">
        <x:f>IF(OR(L1020&lt;$B$3,L1020&gt;$D$3),"",IF(AND(J1020=J1019,N1019&lt;&gt;""),MAX(M1020,N1019),M1020))</x:f>
        <x:v>1.2487</x:v>
      </x:c>
      <x:c r="O1020" s="262" t="n">
        <x:f>IF(N1020="","",M1020/N1020-1)</x:f>
        <x:v>-0.004244414190758272</x:v>
      </x:c>
    </x:row>
    <x:row r="1021">
      <x:c r="J1021" s="257" t="str">
        <x:v>011168.OF</x:v>
      </x:c>
      <x:c r="K1021" s="258" t="str">
        <x:v>嘉实睿享安久双利18个月持有期债券</x:v>
      </x:c>
      <x:c r="L1021" s="263" t="n">
        <x:v>46200</x:v>
      </x:c>
      <x:c r="M1021" s="261" t="n">
        <x:v>1.2434</x:v>
      </x:c>
      <x:c r="N1021" s="261" t="n">
        <x:f>IF(OR(L1021&lt;$B$3,L1021&gt;$D$3),"",IF(AND(J1021=J1020,N1020&lt;&gt;""),MAX(M1021,N1020),M1021))</x:f>
        <x:v>1.2487</x:v>
      </x:c>
      <x:c r="O1021" s="262" t="n">
        <x:f>IF(N1021="","",M1021/N1021-1)</x:f>
        <x:v>-0.004244414190758272</x:v>
      </x:c>
    </x:row>
    <x:row r="1022">
      <x:c r="J1022" s="257" t="str">
        <x:v>011168.OF</x:v>
      </x:c>
      <x:c r="K1022" s="258" t="str">
        <x:v>嘉实睿享安久双利18个月持有期债券</x:v>
      </x:c>
      <x:c r="L1022" s="263" t="n">
        <x:v>46201</x:v>
      </x:c>
      <x:c r="M1022" s="261" t="n">
        <x:v>1.2434</x:v>
      </x:c>
      <x:c r="N1022" s="261" t="n">
        <x:f>IF(OR(L1022&lt;$B$3,L1022&gt;$D$3),"",IF(AND(J1022=J1021,N1021&lt;&gt;""),MAX(M1022,N1021),M1022))</x:f>
        <x:v>1.2487</x:v>
      </x:c>
      <x:c r="O1022" s="262" t="n">
        <x:f>IF(N1022="","",M1022/N1022-1)</x:f>
        <x:v>-0.004244414190758272</x:v>
      </x:c>
    </x:row>
    <x:row r="1023">
      <x:c r="J1023" s="257" t="str">
        <x:v>011168.OF</x:v>
      </x:c>
      <x:c r="K1023" s="258" t="str">
        <x:v>嘉实睿享安久双利18个月持有期债券</x:v>
      </x:c>
      <x:c r="L1023" s="263" t="n">
        <x:v>46202</x:v>
      </x:c>
      <x:c r="M1023" s="261" t="n">
        <x:v>1.2484</x:v>
      </x:c>
      <x:c r="N1023" s="261" t="n">
        <x:f>IF(OR(L1023&lt;$B$3,L1023&gt;$D$3),"",IF(AND(J1023=J1022,N1022&lt;&gt;""),MAX(M1023,N1022),M1023))</x:f>
        <x:v>1.2487</x:v>
      </x:c>
      <x:c r="O1023" s="262" t="n">
        <x:f>IF(N1023="","",M1023/N1023-1)</x:f>
        <x:v>-0.00024024985985426905</x:v>
      </x:c>
    </x:row>
    <x:row r="1024">
      <x:c r="J1024" s="257" t="str">
        <x:v>011168.OF</x:v>
      </x:c>
      <x:c r="K1024" s="258" t="str">
        <x:v>嘉实睿享安久双利18个月持有期债券</x:v>
      </x:c>
      <x:c r="L1024" s="263" t="n">
        <x:v>46203</x:v>
      </x:c>
      <x:c r="M1024" s="261" t="n">
        <x:v>1.2586</x:v>
      </x:c>
      <x:c r="N1024" s="261" t="n">
        <x:f>IF(OR(L1024&lt;$B$3,L1024&gt;$D$3),"",IF(AND(J1024=J1023,N1023&lt;&gt;""),MAX(M1024,N1023),M1024))</x:f>
        <x:v>1.2586</x:v>
      </x:c>
      <x:c r="O1024" s="262" t="n">
        <x:f>IF(N1024="","",M1024/N1024-1)</x:f>
        <x:v>0</x:v>
      </x:c>
    </x:row>
    <x:row r="1025">
      <x:c r="J1025" s="257" t="str">
        <x:v>011168.OF</x:v>
      </x:c>
      <x:c r="K1025" s="258" t="str">
        <x:v>嘉实睿享安久双利18个月持有期债券</x:v>
      </x:c>
      <x:c r="L1025" s="263" t="n">
        <x:v>46204</x:v>
      </x:c>
      <x:c r="M1025" s="261" t="n">
        <x:v>1.254</x:v>
      </x:c>
      <x:c r="N1025" s="261" t="n">
        <x:f>IF(OR(L1025&lt;$B$3,L1025&gt;$D$3),"",IF(AND(J1025=J1024,N1024&lt;&gt;""),MAX(M1025,N1024),M1025))</x:f>
        <x:v>1.2586</x:v>
      </x:c>
      <x:c r="O1025" s="262" t="n">
        <x:f>IF(N1025="","",M1025/N1025-1)</x:f>
        <x:v>-0.003654854600349533</x:v>
      </x:c>
    </x:row>
    <x:row r="1026">
      <x:c r="J1026" s="257" t="str">
        <x:v>011168.OF</x:v>
      </x:c>
      <x:c r="K1026" s="258" t="str">
        <x:v>嘉实睿享安久双利18个月持有期债券</x:v>
      </x:c>
      <x:c r="L1026" s="263" t="n">
        <x:v>46205</x:v>
      </x:c>
      <x:c r="M1026" s="261" t="n">
        <x:v>1.2368</x:v>
      </x:c>
      <x:c r="N1026" s="261" t="n">
        <x:f>IF(OR(L1026&lt;$B$3,L1026&gt;$D$3),"",IF(AND(J1026=J1025,N1025&lt;&gt;""),MAX(M1026,N1025),M1026))</x:f>
        <x:v>1.2586</x:v>
      </x:c>
      <x:c r="O1026" s="262" t="n">
        <x:f>IF(N1026="","",M1026/N1026-1)</x:f>
        <x:v>-0.017320832671221975</x:v>
      </x:c>
    </x:row>
    <x:row r="1027">
      <x:c r="J1027" s="257" t="str">
        <x:v>011168.OF</x:v>
      </x:c>
      <x:c r="K1027" s="258" t="str">
        <x:v>嘉实睿享安久双利18个月持有期债券</x:v>
      </x:c>
      <x:c r="L1027" s="263" t="n">
        <x:v>46206</x:v>
      </x:c>
      <x:c r="M1027" s="261" t="n">
        <x:v>1.2366</x:v>
      </x:c>
      <x:c r="N1027" s="261" t="n">
        <x:f>IF(OR(L1027&lt;$B$3,L1027&gt;$D$3),"",IF(AND(J1027=J1026,N1026&lt;&gt;""),MAX(M1027,N1026),M1027))</x:f>
        <x:v>1.2586</x:v>
      </x:c>
      <x:c r="O1027" s="262" t="n">
        <x:f>IF(N1027="","",M1027/N1027-1)</x:f>
        <x:v>-0.017479739392976312</x:v>
      </x:c>
    </x:row>
    <x:row r="1028">
      <x:c r="J1028" s="257" t="str">
        <x:v>011168.OF</x:v>
      </x:c>
      <x:c r="K1028" s="258" t="str">
        <x:v>嘉实睿享安久双利18个月持有期债券</x:v>
      </x:c>
      <x:c r="L1028" s="263" t="n">
        <x:v>46207</x:v>
      </x:c>
      <x:c r="M1028" s="261" t="n">
        <x:v>1.2366</x:v>
      </x:c>
      <x:c r="N1028" s="261" t="n">
        <x:f>IF(OR(L1028&lt;$B$3,L1028&gt;$D$3),"",IF(AND(J1028=J1027,N1027&lt;&gt;""),MAX(M1028,N1027),M1028))</x:f>
        <x:v>1.2586</x:v>
      </x:c>
      <x:c r="O1028" s="262" t="n">
        <x:f>IF(N1028="","",M1028/N1028-1)</x:f>
        <x:v>-0.017479739392976312</x:v>
      </x:c>
    </x:row>
    <x:row r="1029">
      <x:c r="J1029" s="257" t="str">
        <x:v>011168.OF</x:v>
      </x:c>
      <x:c r="K1029" s="258" t="str">
        <x:v>嘉实睿享安久双利18个月持有期债券</x:v>
      </x:c>
      <x:c r="L1029" s="263" t="n">
        <x:v>46208</x:v>
      </x:c>
      <x:c r="M1029" s="261" t="n">
        <x:v>1.2366</x:v>
      </x:c>
      <x:c r="N1029" s="261" t="n">
        <x:f>IF(OR(L1029&lt;$B$3,L1029&gt;$D$3),"",IF(AND(J1029=J1028,N1028&lt;&gt;""),MAX(M1029,N1028),M1029))</x:f>
        <x:v>1.2586</x:v>
      </x:c>
      <x:c r="O1029" s="262" t="n">
        <x:f>IF(N1029="","",M1029/N1029-1)</x:f>
        <x:v>-0.017479739392976312</x:v>
      </x:c>
    </x:row>
    <x:row r="1030">
      <x:c r="J1030" s="257" t="str">
        <x:v>011168.OF</x:v>
      </x:c>
      <x:c r="K1030" s="258" t="str">
        <x:v>嘉实睿享安久双利18个月持有期债券</x:v>
      </x:c>
      <x:c r="L1030" s="263" t="n">
        <x:v>46209</x:v>
      </x:c>
      <x:c r="M1030" s="261" t="n">
        <x:v>1.2349</x:v>
      </x:c>
      <x:c r="N1030" s="261" t="n">
        <x:f>IF(OR(L1030&lt;$B$3,L1030&gt;$D$3),"",IF(AND(J1030=J1029,N1029&lt;&gt;""),MAX(M1030,N1029),M1030))</x:f>
        <x:v>1.2586</x:v>
      </x:c>
      <x:c r="O1030" s="262" t="n">
        <x:f>IF(N1030="","",M1030/N1030-1)</x:f>
        <x:v>-0.018830446527888012</x:v>
      </x:c>
    </x:row>
    <x:row r="1031">
      <x:c r="J1031" s="257" t="str">
        <x:v>011168.OF</x:v>
      </x:c>
      <x:c r="K1031" s="258" t="str">
        <x:v>嘉实睿享安久双利18个月持有期债券</x:v>
      </x:c>
      <x:c r="L1031" s="263" t="n">
        <x:v>46210</x:v>
      </x:c>
      <x:c r="M1031" s="261" t="n">
        <x:v>1.2318</x:v>
      </x:c>
      <x:c r="N1031" s="261" t="n">
        <x:f>IF(OR(L1031&lt;$B$3,L1031&gt;$D$3),"",IF(AND(J1031=J1030,N1030&lt;&gt;""),MAX(M1031,N1030),M1031))</x:f>
        <x:v>1.2586</x:v>
      </x:c>
      <x:c r="O1031" s="262" t="n">
        <x:f>IF(N1031="","",M1031/N1031-1)</x:f>
        <x:v>-0.021293500715080182</x:v>
      </x:c>
    </x:row>
    <x:row r="1032">
      <x:c r="J1032" s="257" t="str">
        <x:v>011168.OF</x:v>
      </x:c>
      <x:c r="K1032" s="258" t="str">
        <x:v>嘉实睿享安久双利18个月持有期债券</x:v>
      </x:c>
      <x:c r="L1032" s="263" t="n">
        <x:v>46211</x:v>
      </x:c>
      <x:c r="M1032" s="261" t="n">
        <x:v>1.2316</x:v>
      </x:c>
      <x:c r="N1032" s="261" t="n">
        <x:f>IF(OR(L1032&lt;$B$3,L1032&gt;$D$3),"",IF(AND(J1032=J1031,N1031&lt;&gt;""),MAX(M1032,N1031),M1032))</x:f>
        <x:v>1.2586</x:v>
      </x:c>
      <x:c r="O1032" s="262" t="n">
        <x:f>IF(N1032="","",M1032/N1032-1)</x:f>
        <x:v>-0.02145240743683452</x:v>
      </x:c>
    </x:row>
    <x:row r="1033">
      <x:c r="J1033" s="257" t="str">
        <x:v>011168.OF</x:v>
      </x:c>
      <x:c r="K1033" s="258" t="str">
        <x:v>嘉实睿享安久双利18个月持有期债券</x:v>
      </x:c>
      <x:c r="L1033" s="263" t="n">
        <x:v>46212</x:v>
      </x:c>
      <x:c r="M1033" s="261" t="n">
        <x:v>1.2453</x:v>
      </x:c>
      <x:c r="N1033" s="261" t="n">
        <x:f>IF(OR(L1033&lt;$B$3,L1033&gt;$D$3),"",IF(AND(J1033=J1032,N1032&lt;&gt;""),MAX(M1033,N1032),M1033))</x:f>
        <x:v>1.2586</x:v>
      </x:c>
      <x:c r="O1033" s="262" t="n">
        <x:f>IF(N1033="","",M1033/N1033-1)</x:f>
        <x:v>-0.010567296996662812</x:v>
      </x:c>
    </x:row>
    <x:row r="1034">
      <x:c r="J1034" s="257" t="str">
        <x:v>011168.OF</x:v>
      </x:c>
      <x:c r="K1034" s="258" t="str">
        <x:v>嘉实睿享安久双利18个月持有期债券</x:v>
      </x:c>
      <x:c r="L1034" s="263" t="n">
        <x:v>46213</x:v>
      </x:c>
      <x:c r="M1034" s="261" t="n">
        <x:v>1.2348</x:v>
      </x:c>
      <x:c r="N1034" s="261" t="n">
        <x:f>IF(OR(L1034&lt;$B$3,L1034&gt;$D$3),"",IF(AND(J1034=J1033,N1033&lt;&gt;""),MAX(M1034,N1033),M1034))</x:f>
        <x:v>1.2586</x:v>
      </x:c>
      <x:c r="O1034" s="262" t="n">
        <x:f>IF(N1034="","",M1034/N1034-1)</x:f>
        <x:v>-0.018909899888765347</x:v>
      </x:c>
    </x:row>
    <x:row r="1035">
      <x:c r="J1035" s="257" t="str">
        <x:v>011168.OF</x:v>
      </x:c>
      <x:c r="K1035" s="258" t="str">
        <x:v>嘉实睿享安久双利18个月持有期债券</x:v>
      </x:c>
      <x:c r="L1035" s="263" t="n">
        <x:v>46214</x:v>
      </x:c>
      <x:c r="M1035" s="261" t="n">
        <x:v>1.2348</x:v>
      </x:c>
      <x:c r="N1035" s="261" t="n">
        <x:f>IF(OR(L1035&lt;$B$3,L1035&gt;$D$3),"",IF(AND(J1035=J1034,N1034&lt;&gt;""),MAX(M1035,N1034),M1035))</x:f>
        <x:v>1.2586</x:v>
      </x:c>
      <x:c r="O1035" s="262" t="n">
        <x:f>IF(N1035="","",M1035/N1035-1)</x:f>
        <x:v>-0.018909899888765347</x:v>
      </x:c>
    </x:row>
    <x:row r="1036">
      <x:c r="J1036" s="257" t="str">
        <x:v>011168.OF</x:v>
      </x:c>
      <x:c r="K1036" s="258" t="str">
        <x:v>嘉实睿享安久双利18个月持有期债券</x:v>
      </x:c>
      <x:c r="L1036" s="263" t="n">
        <x:v>46215</x:v>
      </x:c>
      <x:c r="M1036" s="261" t="n">
        <x:v>1.2348</x:v>
      </x:c>
      <x:c r="N1036" s="261" t="n">
        <x:f>IF(OR(L1036&lt;$B$3,L1036&gt;$D$3),"",IF(AND(J1036=J1035,N1035&lt;&gt;""),MAX(M1036,N1035),M1036))</x:f>
        <x:v>1.2586</x:v>
      </x:c>
      <x:c r="O1036" s="262" t="n">
        <x:f>IF(N1036="","",M1036/N1036-1)</x:f>
        <x:v>-0.018909899888765347</x:v>
      </x:c>
    </x:row>
    <x:row r="1037">
      <x:c r="J1037" s="257" t="str">
        <x:v>011168.OF</x:v>
      </x:c>
      <x:c r="K1037" s="258" t="str">
        <x:v>嘉实睿享安久双利18个月持有期债券</x:v>
      </x:c>
      <x:c r="L1037" s="263" t="n">
        <x:v>46216</x:v>
      </x:c>
      <x:c r="M1037" s="261" t="n">
        <x:v>1.2234</x:v>
      </x:c>
      <x:c r="N1037" s="261" t="n">
        <x:f>IF(OR(L1037&lt;$B$3,L1037&gt;$D$3),"",IF(AND(J1037=J1036,N1036&lt;&gt;""),MAX(M1037,N1036),M1037))</x:f>
        <x:v>1.2586</x:v>
      </x:c>
      <x:c r="O1037" s="262" t="n">
        <x:f>IF(N1037="","",M1037/N1037-1)</x:f>
        <x:v>-0.02796758302876201</x:v>
      </x:c>
    </x:row>
    <x:row r="1038">
      <x:c r="J1038" s="257" t="str">
        <x:v>011168.OF</x:v>
      </x:c>
      <x:c r="K1038" s="258" t="str">
        <x:v>嘉实睿享安久双利18个月持有期债券</x:v>
      </x:c>
      <x:c r="L1038" s="263" t="n">
        <x:v>46217</x:v>
      </x:c>
      <x:c r="M1038" s="261" t="n">
        <x:v>1.2308</x:v>
      </x:c>
      <x:c r="N1038" s="261" t="n">
        <x:f>IF(OR(L1038&lt;$B$3,L1038&gt;$D$3),"",IF(AND(J1038=J1037,N1037&lt;&gt;""),MAX(M1038,N1037),M1038))</x:f>
        <x:v>1.2586</x:v>
      </x:c>
      <x:c r="O1038" s="262" t="n">
        <x:f>IF(N1038="","",M1038/N1038-1)</x:f>
        <x:v>-0.02208803432385198</x:v>
      </x:c>
    </x:row>
    <x:row r="1039">
      <x:c r="J1039" s="257" t="str">
        <x:v>011168.OF</x:v>
      </x:c>
      <x:c r="K1039" s="258" t="str">
        <x:v>嘉实睿享安久双利18个月持有期债券</x:v>
      </x:c>
      <x:c r="L1039" s="263" t="n">
        <x:v>46218</x:v>
      </x:c>
      <x:c r="M1039" s="261" t="n">
        <x:v>1.2239</x:v>
      </x:c>
      <x:c r="N1039" s="261" t="n">
        <x:f>IF(OR(L1039&lt;$B$3,L1039&gt;$D$3),"",IF(AND(J1039=J1038,N1038&lt;&gt;""),MAX(M1039,N1038),M1039))</x:f>
        <x:v>1.2586</x:v>
      </x:c>
      <x:c r="O1039" s="262" t="n">
        <x:f>IF(N1039="","",M1039/N1039-1)</x:f>
        <x:v>-0.027570316224376223</x:v>
      </x:c>
    </x:row>
    <x:row r="1040">
      <x:c r="J1040" s="257" t="str">
        <x:v>011168.OF</x:v>
      </x:c>
      <x:c r="K1040" s="258" t="str">
        <x:v>嘉实睿享安久双利18个月持有期债券</x:v>
      </x:c>
      <x:c r="L1040" s="263" t="n">
        <x:v>46219</x:v>
      </x:c>
      <x:c r="M1040" s="261" t="n">
        <x:v>1.2166</x:v>
      </x:c>
      <x:c r="N1040" s="261" t="n">
        <x:f>IF(OR(L1040&lt;$B$3,L1040&gt;$D$3),"",IF(AND(J1040=J1039,N1039&lt;&gt;""),MAX(M1040,N1039),M1040))</x:f>
        <x:v>1.2586</x:v>
      </x:c>
      <x:c r="O1040" s="262" t="n">
        <x:f>IF(N1040="","",M1040/N1040-1)</x:f>
        <x:v>-0.033370411568409364</x:v>
      </x:c>
    </x:row>
    <x:row r="1041">
      <x:c r="J1041" s="257" t="str">
        <x:v>011168.OF</x:v>
      </x:c>
      <x:c r="K1041" s="258" t="str">
        <x:v>嘉实睿享安久双利18个月持有期债券</x:v>
      </x:c>
      <x:c r="L1041" s="263" t="n">
        <x:v>46220</x:v>
      </x:c>
      <x:c r="M1041" s="261" t="n">
        <x:v>1.2048</x:v>
      </x:c>
      <x:c r="N1041" s="261" t="n">
        <x:f>IF(OR(L1041&lt;$B$3,L1041&gt;$D$3),"",IF(AND(J1041=J1040,N1040&lt;&gt;""),MAX(M1041,N1040),M1041))</x:f>
        <x:v>1.2586</x:v>
      </x:c>
      <x:c r="O1041" s="262" t="n">
        <x:f>IF(N1041="","",M1041/N1041-1)</x:f>
        <x:v>-0.0427459081519147</x:v>
      </x:c>
    </x:row>
    <x:row r="1042">
      <x:c r="J1042" s="257" t="str">
        <x:v>011168.OF</x:v>
      </x:c>
      <x:c r="K1042" s="258" t="str">
        <x:v>嘉实睿享安久双利18个月持有期债券</x:v>
      </x:c>
      <x:c r="L1042" s="263" t="n">
        <x:v>46221</x:v>
      </x:c>
      <x:c r="M1042" s="261" t="n">
        <x:v>1.2048</x:v>
      </x:c>
      <x:c r="N1042" s="261" t="n">
        <x:f>IF(OR(L1042&lt;$B$3,L1042&gt;$D$3),"",IF(AND(J1042=J1041,N1041&lt;&gt;""),MAX(M1042,N1041),M1042))</x:f>
        <x:v>1.2586</x:v>
      </x:c>
      <x:c r="O1042" s="262" t="n">
        <x:f>IF(N1042="","",M1042/N1042-1)</x:f>
        <x:v>-0.0427459081519147</x:v>
      </x:c>
    </x:row>
    <x:row r="1043">
      <x:c r="J1043" s="257" t="str">
        <x:v>011168.OF</x:v>
      </x:c>
      <x:c r="K1043" s="258" t="str">
        <x:v>嘉实睿享安久双利18个月持有期债券</x:v>
      </x:c>
      <x:c r="L1043" s="263" t="n">
        <x:v>46222</x:v>
      </x:c>
      <x:c r="M1043" s="261" t="n">
        <x:v>1.2048</x:v>
      </x:c>
      <x:c r="N1043" s="261" t="n">
        <x:f>IF(OR(L1043&lt;$B$3,L1043&gt;$D$3),"",IF(AND(J1043=J1042,N1042&lt;&gt;""),MAX(M1043,N1042),M1043))</x:f>
        <x:v>1.2586</x:v>
      </x:c>
      <x:c r="O1043" s="262" t="n">
        <x:f>IF(N1043="","",M1043/N1043-1)</x:f>
        <x:v>-0.0427459081519147</x:v>
      </x:c>
    </x:row>
    <x:row r="1044">
      <x:c r="J1044" s="257" t="str">
        <x:v>011168.OF</x:v>
      </x:c>
      <x:c r="K1044" s="258" t="str">
        <x:v>嘉实睿享安久双利18个月持有期债券</x:v>
      </x:c>
      <x:c r="L1044" s="263" t="n">
        <x:v>46223</x:v>
      </x:c>
      <x:c r="M1044" s="261" t="n">
        <x:v>1.2013</x:v>
      </x:c>
      <x:c r="N1044" s="261" t="n">
        <x:f>IF(OR(L1044&lt;$B$3,L1044&gt;$D$3),"",IF(AND(J1044=J1043,N1043&lt;&gt;""),MAX(M1044,N1043),M1044))</x:f>
        <x:v>1.2586</x:v>
      </x:c>
      <x:c r="O1044" s="262" t="n">
        <x:f>IF(N1044="","",M1044/N1044-1)</x:f>
        <x:v>-0.04552677578261555</x:v>
      </x:c>
    </x:row>
    <x:row r="1045">
      <x:c r="J1045" s="257" t="str">
        <x:v>011168.OF</x:v>
      </x:c>
      <x:c r="K1045" s="258" t="str">
        <x:v>嘉实睿享安久双利18个月持有期债券</x:v>
      </x:c>
      <x:c r="L1045" s="263" t="n">
        <x:v>46224</x:v>
      </x:c>
      <x:c r="M1045" s="261" t="n">
        <x:v>1.2144</x:v>
      </x:c>
      <x:c r="N1045" s="261" t="n">
        <x:f>IF(OR(L1045&lt;$B$3,L1045&gt;$D$3),"",IF(AND(J1045=J1044,N1044&lt;&gt;""),MAX(M1045,N1044),M1045))</x:f>
        <x:v>1.2586</x:v>
      </x:c>
      <x:c r="O1045" s="262" t="n">
        <x:f>IF(N1045="","",M1045/N1045-1)</x:f>
        <x:v>-0.03511838550770696</x:v>
      </x:c>
    </x:row>
    <x:row r="1046">
      <x:c r="J1046" s="257" t="str">
        <x:v>011168.OF</x:v>
      </x:c>
      <x:c r="K1046" s="258" t="str">
        <x:v>嘉实睿享安久双利18个月持有期债券</x:v>
      </x:c>
      <x:c r="L1046" s="263" t="n">
        <x:v>46225</x:v>
      </x:c>
      <x:c r="M1046" s="261" t="n">
        <x:v>1.2115</x:v>
      </x:c>
      <x:c r="N1046" s="261" t="n">
        <x:f>IF(OR(L1046&lt;$B$3,L1046&gt;$D$3),"",IF(AND(J1046=J1045,N1045&lt;&gt;""),MAX(M1046,N1045),M1046))</x:f>
        <x:v>1.2586</x:v>
      </x:c>
      <x:c r="O1046" s="262" t="n">
        <x:f>IF(N1046="","",M1046/N1046-1)</x:f>
        <x:v>-0.037422532973144684</x:v>
      </x:c>
    </x:row>
    <x:row r="1047">
      <x:c r="J1047" s="257" t="str">
        <x:v>011168.OF</x:v>
      </x:c>
      <x:c r="K1047" s="258" t="str">
        <x:v>嘉实睿享安久双利18个月持有期债券</x:v>
      </x:c>
      <x:c r="L1047" s="263" t="n">
        <x:v>46226</x:v>
      </x:c>
      <x:c r="M1047" s="261" t="n">
        <x:v>1.2111</x:v>
      </x:c>
      <x:c r="N1047" s="261" t="n">
        <x:f>IF(OR(L1047&lt;$B$3,L1047&gt;$D$3),"",IF(AND(J1047=J1046,N1046&lt;&gt;""),MAX(M1047,N1046),M1047))</x:f>
        <x:v>1.2586</x:v>
      </x:c>
      <x:c r="O1047" s="262" t="n">
        <x:f>IF(N1047="","",M1047/N1047-1)</x:f>
        <x:v>-0.03774034641665336</x:v>
      </x:c>
    </x:row>
    <x:row r="1048">
      <x:c r="J1048" s="257" t="str">
        <x:v>011168.OF</x:v>
      </x:c>
      <x:c r="K1048" s="258" t="str">
        <x:v>嘉实睿享安久双利18个月持有期债券</x:v>
      </x:c>
      <x:c r="L1048" s="263" t="n">
        <x:v>46227</x:v>
      </x:c>
      <x:c r="M1048" s="261" t="n">
        <x:v>1.2105</x:v>
      </x:c>
      <x:c r="N1048" s="261" t="n">
        <x:f>IF(OR(L1048&lt;$B$3,L1048&gt;$D$3),"",IF(AND(J1048=J1047,N1047&lt;&gt;""),MAX(M1048,N1047),M1048))</x:f>
        <x:v>1.2586</x:v>
      </x:c>
      <x:c r="O1048" s="262" t="n">
        <x:f>IF(N1048="","",M1048/N1048-1)</x:f>
        <x:v>-0.03821706658191648</x:v>
      </x:c>
    </x:row>
    <x:row r="1049">
      <x:c r="J1049" s="257" t="str">
        <x:v>011168.OF</x:v>
      </x:c>
      <x:c r="K1049" s="258" t="str">
        <x:v>嘉实睿享安久双利18个月持有期债券</x:v>
      </x:c>
      <x:c r="L1049" s="263" t="n">
        <x:v>46228</x:v>
      </x:c>
      <x:c r="M1049" s="261" t="n">
        <x:v>1.2105</x:v>
      </x:c>
      <x:c r="N1049" s="261" t="n">
        <x:f>IF(OR(L1049&lt;$B$3,L1049&gt;$D$3),"",IF(AND(J1049=J1048,N1048&lt;&gt;""),MAX(M1049,N1048),M1049))</x:f>
        <x:v>1.2586</x:v>
      </x:c>
      <x:c r="O1049" s="262" t="n">
        <x:f>IF(N1049="","",M1049/N1049-1)</x:f>
        <x:v>-0.03821706658191648</x:v>
      </x:c>
    </x:row>
    <x:row r="1050">
      <x:c r="J1050" s="257" t="str">
        <x:v>011168.OF</x:v>
      </x:c>
      <x:c r="K1050" s="258" t="str">
        <x:v>嘉实睿享安久双利18个月持有期债券</x:v>
      </x:c>
      <x:c r="L1050" s="263" t="n">
        <x:v>46229</x:v>
      </x:c>
      <x:c r="M1050" s="261" t="n">
        <x:v>1.2105</x:v>
      </x:c>
      <x:c r="N1050" s="261" t="n">
        <x:f>IF(OR(L1050&lt;$B$3,L1050&gt;$D$3),"",IF(AND(J1050=J1049,N1049&lt;&gt;""),MAX(M1050,N1049),M1050))</x:f>
        <x:v>1.2586</x:v>
      </x:c>
      <x:c r="O1050" s="262" t="n">
        <x:f>IF(N1050="","",M1050/N1050-1)</x:f>
        <x:v>-0.03821706658191648</x:v>
      </x:c>
    </x:row>
    <x:row r="1051">
      <x:c r="J1051" s="257" t="str">
        <x:v>011168.OF</x:v>
      </x:c>
      <x:c r="K1051" s="258" t="str">
        <x:v>嘉实睿享安久双利18个月持有期债券</x:v>
      </x:c>
      <x:c r="L1051" s="263" t="n">
        <x:v>46230</x:v>
      </x:c>
      <x:c r="M1051" s="261" t="n">
        <x:v>1.2161</x:v>
      </x:c>
      <x:c r="N1051" s="261" t="n">
        <x:f>IF(OR(L1051&lt;$B$3,L1051&gt;$D$3),"",IF(AND(J1051=J1050,N1050&lt;&gt;""),MAX(M1051,N1050),M1051))</x:f>
        <x:v>1.2586</x:v>
      </x:c>
      <x:c r="O1051" s="262" t="n">
        <x:f>IF(N1051="","",M1051/N1051-1)</x:f>
        <x:v>-0.03376767837279515</x:v>
      </x:c>
    </x:row>
    <x:row r="1052">
      <x:c r="J1052" s="257" t="str">
        <x:v>011168.OF</x:v>
      </x:c>
      <x:c r="K1052" s="258" t="str">
        <x:v>嘉实睿享安久双利18个月持有期债券</x:v>
      </x:c>
      <x:c r="L1052" s="263" t="n">
        <x:v>46231</x:v>
      </x:c>
      <x:c r="M1052" s="261" t="n">
        <x:v>1.2058</x:v>
      </x:c>
      <x:c r="N1052" s="261" t="n">
        <x:f>IF(OR(L1052&lt;$B$3,L1052&gt;$D$3),"",IF(AND(J1052=J1051,N1051&lt;&gt;""),MAX(M1052,N1051),M1052))</x:f>
        <x:v>1.2586</x:v>
      </x:c>
      <x:c r="O1052" s="262" t="n">
        <x:f>IF(N1052="","",M1052/N1052-1)</x:f>
        <x:v>-0.04195137454314313</x:v>
      </x:c>
    </x:row>
    <x:row r="1053">
      <x:c r="J1053" s="257" t="str">
        <x:v>011168.OF</x:v>
      </x:c>
      <x:c r="K1053" s="258" t="str">
        <x:v>嘉实睿享安久双利18个月持有期债券</x:v>
      </x:c>
      <x:c r="L1053" s="263" t="n">
        <x:v>46232</x:v>
      </x:c>
      <x:c r="M1053" s="261" t="n">
        <x:v>1.205</x:v>
      </x:c>
      <x:c r="N1053" s="261" t="n">
        <x:f>IF(OR(L1053&lt;$B$3,L1053&gt;$D$3),"",IF(AND(J1053=J1052,N1052&lt;&gt;""),MAX(M1053,N1052),M1053))</x:f>
        <x:v>1.2586</x:v>
      </x:c>
      <x:c r="O1053" s="262" t="n">
        <x:f>IF(N1053="","",M1053/N1053-1)</x:f>
        <x:v>-0.042587001430160365</x:v>
      </x:c>
    </x:row>
    <x:row r="1054">
      <x:c r="J1054" s="257" t="str">
        <x:v>011168.OF</x:v>
      </x:c>
      <x:c r="K1054" s="258" t="str">
        <x:v>嘉实睿享安久双利18个月持有期债券</x:v>
      </x:c>
      <x:c r="L1054" s="263" t="n">
        <x:v>46233</x:v>
      </x:c>
      <x:c r="M1054" s="261" t="n">
        <x:v>1.199</x:v>
      </x:c>
      <x:c r="N1054" s="261" t="n">
        <x:f>IF(OR(L1054&lt;$B$3,L1054&gt;$D$3),"",IF(AND(J1054=J1053,N1053&lt;&gt;""),MAX(M1054,N1053),M1054))</x:f>
        <x:v>1.2586</x:v>
      </x:c>
      <x:c r="O1054" s="262" t="n">
        <x:f>IF(N1054="","",M1054/N1054-1)</x:f>
        <x:v>-0.04735420308279026</x:v>
      </x:c>
    </x:row>
    <x:row r="1055">
      <x:c r="J1055" s="257" t="str">
        <x:v>011168.OF</x:v>
      </x:c>
      <x:c r="K1055" s="258" t="str">
        <x:v>嘉实睿享安久双利18个月持有期债券</x:v>
      </x:c>
      <x:c r="L1055" s="263" t="n">
        <x:v>46234</x:v>
      </x:c>
      <x:c r="M1055" s="261" t="n">
        <x:v>1.2014</x:v>
      </x:c>
      <x:c r="N1055" s="261" t="n">
        <x:f>IF(OR(L1055&lt;$B$3,L1055&gt;$D$3),"",IF(AND(J1055=J1054,N1054&lt;&gt;""),MAX(M1055,N1054),M1055))</x:f>
        <x:v>1.2586</x:v>
      </x:c>
      <x:c r="O1055" s="262" t="n">
        <x:f>IF(N1055="","",M1055/N1055-1)</x:f>
        <x:v>-0.04544732242173832</x:v>
      </x:c>
    </x:row>
    <x:row r="1056">
      <x:c r="J1056" s="257" t="str">
        <x:v>011168.OF</x:v>
      </x:c>
      <x:c r="K1056" s="258" t="str">
        <x:v>嘉实睿享安久双利18个月持有期债券</x:v>
      </x:c>
      <x:c r="L1056" s="263" t="n">
        <x:v>46235</x:v>
      </x:c>
      <x:c r="M1056" s="261" t="n">
        <x:v>1.2014</x:v>
      </x:c>
      <x:c r="N1056" s="261" t="n">
        <x:f>IF(OR(L1056&lt;$B$3,L1056&gt;$D$3),"",IF(AND(J1056=J1055,N1055&lt;&gt;""),MAX(M1056,N1055),M1056))</x:f>
        <x:v>1.2586</x:v>
      </x:c>
      <x:c r="O1056" s="262" t="n">
        <x:f>IF(N1056="","",M1056/N1056-1)</x:f>
        <x:v>-0.04544732242173832</x:v>
      </x:c>
    </x:row>
    <x:row r="1057">
      <x:c r="J1057" s="257" t="str">
        <x:v>011168.OF</x:v>
      </x:c>
      <x:c r="K1057" s="258" t="str">
        <x:v>嘉实睿享安久双利18个月持有期债券</x:v>
      </x:c>
      <x:c r="L1057" s="263" t="n">
        <x:v>46236</x:v>
      </x:c>
      <x:c r="M1057" s="261" t="n">
        <x:v>1.2014</x:v>
      </x:c>
      <x:c r="N1057" s="261" t="n">
        <x:f>IF(OR(L1057&lt;$B$3,L1057&gt;$D$3),"",IF(AND(J1057=J1056,N1056&lt;&gt;""),MAX(M1057,N1056),M1057))</x:f>
        <x:v>1.2586</x:v>
      </x:c>
      <x:c r="O1057" s="262" t="n">
        <x:f>IF(N1057="","",M1057/N1057-1)</x:f>
        <x:v>-0.04544732242173832</x:v>
      </x:c>
    </x:row>
    <x:row r="1058">
      <x:c r="J1058" s="257" t="str">
        <x:v>011168.OF</x:v>
      </x:c>
      <x:c r="K1058" s="258" t="str">
        <x:v>嘉实睿享安久双利18个月持有期债券</x:v>
      </x:c>
      <x:c r="L1058" s="263" t="n">
        <x:v>46237</x:v>
      </x:c>
      <x:c r="M1058" s="261" t="n">
        <x:v>1.1964</x:v>
      </x:c>
      <x:c r="N1058" s="261" t="n">
        <x:f>IF(OR(L1058&lt;$B$3,L1058&gt;$D$3),"",IF(AND(J1058=J1057,N1057&lt;&gt;""),MAX(M1058,N1057),M1058))</x:f>
        <x:v>1.2586</x:v>
      </x:c>
      <x:c r="O1058" s="262" t="n">
        <x:f>IF(N1058="","",M1058/N1058-1)</x:f>
        <x:v>-0.04941999046559675</x:v>
      </x:c>
    </x:row>
    <x:row r="1059">
      <x:c r="J1059" s="257" t="str">
        <x:v>011168.OF</x:v>
      </x:c>
      <x:c r="K1059" s="258" t="str">
        <x:v>嘉实睿享安久双利18个月持有期债券</x:v>
      </x:c>
      <x:c r="L1059" s="263" t="n">
        <x:v>46238</x:v>
      </x:c>
      <x:c r="M1059" s="261" t="n">
        <x:v>1.2024</x:v>
      </x:c>
      <x:c r="N1059" s="261" t="n">
        <x:f>IF(OR(L1059&lt;$B$3,L1059&gt;$D$3),"",IF(AND(J1059=J1058,N1058&lt;&gt;""),MAX(M1059,N1058),M1059))</x:f>
        <x:v>1.2586</x:v>
      </x:c>
      <x:c r="O1059" s="262" t="n">
        <x:f>IF(N1059="","",M1059/N1059-1)</x:f>
        <x:v>-0.04465278881296686</x:v>
      </x:c>
    </x:row>
    <x:row r="1060">
      <x:c r="J1060" s="257" t="str">
        <x:v>011168.OF</x:v>
      </x:c>
      <x:c r="K1060" s="258" t="str">
        <x:v>嘉实睿享安久双利18个月持有期债券</x:v>
      </x:c>
      <x:c r="L1060" s="263" t="n">
        <x:v>46239</x:v>
      </x:c>
      <x:c r="M1060" s="261" t="n">
        <x:v>1.208</x:v>
      </x:c>
      <x:c r="N1060" s="261" t="n">
        <x:f>IF(OR(L1060&lt;$B$3,L1060&gt;$D$3),"",IF(AND(J1060=J1059,N1059&lt;&gt;""),MAX(M1060,N1059),M1060))</x:f>
        <x:v>1.2586</x:v>
      </x:c>
      <x:c r="O1060" s="262" t="n">
        <x:f>IF(N1060="","",M1060/N1060-1)</x:f>
        <x:v>-0.04020340060384553</x:v>
      </x:c>
    </x:row>
    <x:row r="1061">
      <x:c r="J1061" s="257" t="str">
        <x:v>011168.OF</x:v>
      </x:c>
      <x:c r="K1061" s="258" t="str">
        <x:v>嘉实睿享安久双利18个月持有期债券</x:v>
      </x:c>
      <x:c r="L1061" s="263" t="n">
        <x:v>46240</x:v>
      </x:c>
      <x:c r="M1061" s="261" t="n">
        <x:v>1.2089</x:v>
      </x:c>
      <x:c r="N1061" s="261" t="n">
        <x:f>IF(OR(L1061&lt;$B$3,L1061&gt;$D$3),"",IF(AND(J1061=J1060,N1060&lt;&gt;""),MAX(M1061,N1060),M1061))</x:f>
        <x:v>1.2586</x:v>
      </x:c>
      <x:c r="O1061" s="262" t="n">
        <x:f>IF(N1061="","",M1061/N1061-1)</x:f>
        <x:v>-0.03948832035595096</x:v>
      </x:c>
    </x:row>
    <x:row r="1062">
      <x:c r="J1062" s="257" t="str">
        <x:v>011168.OF</x:v>
      </x:c>
      <x:c r="K1062" s="258" t="str">
        <x:v>嘉实睿享安久双利18个月持有期债券</x:v>
      </x:c>
      <x:c r="L1062" s="263" t="n">
        <x:v>46241</x:v>
      </x:c>
      <x:c r="M1062" s="261" t="n">
        <x:v>1.2122</x:v>
      </x:c>
      <x:c r="N1062" s="261" t="n">
        <x:f>IF(OR(L1062&lt;$B$3,L1062&gt;$D$3),"",IF(AND(J1062=J1061,N1061&lt;&gt;""),MAX(M1062,N1061),M1062))</x:f>
        <x:v>1.2586</x:v>
      </x:c>
      <x:c r="O1062" s="262" t="n">
        <x:f>IF(N1062="","",M1062/N1062-1)</x:f>
        <x:v>-0.03686635944700456</x:v>
      </x:c>
    </x:row>
    <x:row r="1063">
      <x:c r="J1063" s="257" t="str">
        <x:v>011168.OF</x:v>
      </x:c>
      <x:c r="K1063" s="258" t="str">
        <x:v>嘉实睿享安久双利18个月持有期债券</x:v>
      </x:c>
      <x:c r="L1063" s="263" t="n">
        <x:v>46242</x:v>
      </x:c>
      <x:c r="M1063" s="261" t="n">
        <x:v>1.2122</x:v>
      </x:c>
      <x:c r="N1063" s="261" t="n">
        <x:f>IF(OR(L1063&lt;$B$3,L1063&gt;$D$3),"",IF(AND(J1063=J1062,N1062&lt;&gt;""),MAX(M1063,N1062),M1063))</x:f>
        <x:v>1.2586</x:v>
      </x:c>
      <x:c r="O1063" s="262" t="n">
        <x:f>IF(N1063="","",M1063/N1063-1)</x:f>
        <x:v>-0.03686635944700456</x:v>
      </x:c>
    </x:row>
    <x:row r="1064">
      <x:c r="J1064" s="257" t="str">
        <x:v>011168.OF</x:v>
      </x:c>
      <x:c r="K1064" s="258" t="str">
        <x:v>嘉实睿享安久双利18个月持有期债券</x:v>
      </x:c>
      <x:c r="L1064" s="263" t="n">
        <x:v>46243</x:v>
      </x:c>
      <x:c r="M1064" s="261" t="n">
        <x:v>1.2122</x:v>
      </x:c>
      <x:c r="N1064" s="261" t="n">
        <x:f>IF(OR(L1064&lt;$B$3,L1064&gt;$D$3),"",IF(AND(J1064=J1063,N1063&lt;&gt;""),MAX(M1064,N1063),M1064))</x:f>
        <x:v>1.2586</x:v>
      </x:c>
      <x:c r="O1064" s="262" t="n">
        <x:f>IF(N1064="","",M1064/N1064-1)</x:f>
        <x:v>-0.03686635944700456</x:v>
      </x:c>
    </x:row>
    <x:row r="1065">
      <x:c r="J1065" s="257" t="str">
        <x:v>011168.OF</x:v>
      </x:c>
      <x:c r="K1065" s="258" t="str">
        <x:v>嘉实睿享安久双利18个月持有期债券</x:v>
      </x:c>
      <x:c r="L1065" s="263" t="n">
        <x:v>46244</x:v>
      </x:c>
      <x:c r="M1065" s="261" t="n">
        <x:v>1.2119</x:v>
      </x:c>
      <x:c r="N1065" s="261" t="n">
        <x:f>IF(OR(L1065&lt;$B$3,L1065&gt;$D$3),"",IF(AND(J1065=J1064,N1064&lt;&gt;""),MAX(M1065,N1064),M1065))</x:f>
        <x:v>1.2586</x:v>
      </x:c>
      <x:c r="O1065" s="262" t="n">
        <x:f>IF(N1065="","",M1065/N1065-1)</x:f>
        <x:v>-0.03710471952963612</x:v>
      </x:c>
    </x:row>
    <x:row r="1066">
      <x:c r="J1066" s="257" t="str">
        <x:v>014738.OF</x:v>
      </x:c>
      <x:c r="K1066" s="258" t="str">
        <x:v>广发恒祥债券A</x:v>
      </x:c>
      <x:c r="L1066" s="263" t="n">
        <x:v>46191</x:v>
      </x:c>
      <x:c r="M1066" s="261" t="n">
        <x:v>1.1633</x:v>
      </x:c>
      <x:c r="N1066" s="261" t="n">
        <x:f>IF(OR(L1066&lt;$B$3,L1066&gt;$D$3),"",IF(AND(J1066=J1065,N1065&lt;&gt;""),MAX(M1066,N1065),M1066))</x:f>
        <x:v>1.1633</x:v>
      </x:c>
      <x:c r="O1066" s="262" t="n">
        <x:f>IF(N1066="","",M1066/N1066-1)</x:f>
        <x:v>0</x:v>
      </x:c>
    </x:row>
    <x:row r="1067">
      <x:c r="J1067" s="257" t="str">
        <x:v>014738.OF</x:v>
      </x:c>
      <x:c r="K1067" s="258" t="str">
        <x:v>广发恒祥债券A</x:v>
      </x:c>
      <x:c r="L1067" s="263" t="n">
        <x:v>46192</x:v>
      </x:c>
      <x:c r="M1067" s="261" t="n">
        <x:v>1.1633</x:v>
      </x:c>
      <x:c r="N1067" s="261" t="n">
        <x:f>IF(OR(L1067&lt;$B$3,L1067&gt;$D$3),"",IF(AND(J1067=J1066,N1066&lt;&gt;""),MAX(M1067,N1066),M1067))</x:f>
        <x:v>1.1633</x:v>
      </x:c>
      <x:c r="O1067" s="262" t="n">
        <x:f>IF(N1067="","",M1067/N1067-1)</x:f>
        <x:v>0</x:v>
      </x:c>
    </x:row>
    <x:row r="1068">
      <x:c r="J1068" s="257" t="str">
        <x:v>014738.OF</x:v>
      </x:c>
      <x:c r="K1068" s="258" t="str">
        <x:v>广发恒祥债券A</x:v>
      </x:c>
      <x:c r="L1068" s="263" t="n">
        <x:v>46193</x:v>
      </x:c>
      <x:c r="M1068" s="261" t="n">
        <x:v>1.1633</x:v>
      </x:c>
      <x:c r="N1068" s="261" t="n">
        <x:f>IF(OR(L1068&lt;$B$3,L1068&gt;$D$3),"",IF(AND(J1068=J1067,N1067&lt;&gt;""),MAX(M1068,N1067),M1068))</x:f>
        <x:v>1.1633</x:v>
      </x:c>
      <x:c r="O1068" s="262" t="n">
        <x:f>IF(N1068="","",M1068/N1068-1)</x:f>
        <x:v>0</x:v>
      </x:c>
    </x:row>
    <x:row r="1069">
      <x:c r="J1069" s="257" t="str">
        <x:v>014738.OF</x:v>
      </x:c>
      <x:c r="K1069" s="258" t="str">
        <x:v>广发恒祥债券A</x:v>
      </x:c>
      <x:c r="L1069" s="263" t="n">
        <x:v>46194</x:v>
      </x:c>
      <x:c r="M1069" s="261" t="n">
        <x:v>1.1633</x:v>
      </x:c>
      <x:c r="N1069" s="261" t="n">
        <x:f>IF(OR(L1069&lt;$B$3,L1069&gt;$D$3),"",IF(AND(J1069=J1068,N1068&lt;&gt;""),MAX(M1069,N1068),M1069))</x:f>
        <x:v>1.1633</x:v>
      </x:c>
      <x:c r="O1069" s="262" t="n">
        <x:f>IF(N1069="","",M1069/N1069-1)</x:f>
        <x:v>0</x:v>
      </x:c>
    </x:row>
    <x:row r="1070">
      <x:c r="J1070" s="257" t="str">
        <x:v>014738.OF</x:v>
      </x:c>
      <x:c r="K1070" s="258" t="str">
        <x:v>广发恒祥债券A</x:v>
      </x:c>
      <x:c r="L1070" s="263" t="n">
        <x:v>46195</x:v>
      </x:c>
      <x:c r="M1070" s="261" t="n">
        <x:v>1.1658</x:v>
      </x:c>
      <x:c r="N1070" s="261" t="n">
        <x:f>IF(OR(L1070&lt;$B$3,L1070&gt;$D$3),"",IF(AND(J1070=J1069,N1069&lt;&gt;""),MAX(M1070,N1069),M1070))</x:f>
        <x:v>1.1658</x:v>
      </x:c>
      <x:c r="O1070" s="262" t="n">
        <x:f>IF(N1070="","",M1070/N1070-1)</x:f>
        <x:v>0</x:v>
      </x:c>
    </x:row>
    <x:row r="1071">
      <x:c r="J1071" s="257" t="str">
        <x:v>014738.OF</x:v>
      </x:c>
      <x:c r="K1071" s="258" t="str">
        <x:v>广发恒祥债券A</x:v>
      </x:c>
      <x:c r="L1071" s="263" t="n">
        <x:v>46196</x:v>
      </x:c>
      <x:c r="M1071" s="261" t="n">
        <x:v>1.1646</x:v>
      </x:c>
      <x:c r="N1071" s="261" t="n">
        <x:f>IF(OR(L1071&lt;$B$3,L1071&gt;$D$3),"",IF(AND(J1071=J1070,N1070&lt;&gt;""),MAX(M1071,N1070),M1071))</x:f>
        <x:v>1.1658</x:v>
      </x:c>
      <x:c r="O1071" s="262" t="n">
        <x:f>IF(N1071="","",M1071/N1071-1)</x:f>
        <x:v>-0.0010293360782294148</x:v>
      </x:c>
    </x:row>
    <x:row r="1072">
      <x:c r="J1072" s="257" t="str">
        <x:v>014738.OF</x:v>
      </x:c>
      <x:c r="K1072" s="258" t="str">
        <x:v>广发恒祥债券A</x:v>
      </x:c>
      <x:c r="L1072" s="263" t="n">
        <x:v>46197</x:v>
      </x:c>
      <x:c r="M1072" s="261" t="n">
        <x:v>1.1737</x:v>
      </x:c>
      <x:c r="N1072" s="261" t="n">
        <x:f>IF(OR(L1072&lt;$B$3,L1072&gt;$D$3),"",IF(AND(J1072=J1071,N1071&lt;&gt;""),MAX(M1072,N1071),M1072))</x:f>
        <x:v>1.1737</x:v>
      </x:c>
      <x:c r="O1072" s="262" t="n">
        <x:f>IF(N1072="","",M1072/N1072-1)</x:f>
        <x:v>0</x:v>
      </x:c>
    </x:row>
    <x:row r="1073">
      <x:c r="J1073" s="257" t="str">
        <x:v>014738.OF</x:v>
      </x:c>
      <x:c r="K1073" s="258" t="str">
        <x:v>广发恒祥债券A</x:v>
      </x:c>
      <x:c r="L1073" s="263" t="n">
        <x:v>46198</x:v>
      </x:c>
      <x:c r="M1073" s="261" t="n">
        <x:v>1.1818</x:v>
      </x:c>
      <x:c r="N1073" s="261" t="n">
        <x:f>IF(OR(L1073&lt;$B$3,L1073&gt;$D$3),"",IF(AND(J1073=J1072,N1072&lt;&gt;""),MAX(M1073,N1072),M1073))</x:f>
        <x:v>1.1818</x:v>
      </x:c>
      <x:c r="O1073" s="262" t="n">
        <x:f>IF(N1073="","",M1073/N1073-1)</x:f>
        <x:v>0</x:v>
      </x:c>
    </x:row>
    <x:row r="1074">
      <x:c r="J1074" s="257" t="str">
        <x:v>014738.OF</x:v>
      </x:c>
      <x:c r="K1074" s="258" t="str">
        <x:v>广发恒祥债券A</x:v>
      </x:c>
      <x:c r="L1074" s="263" t="n">
        <x:v>46199</x:v>
      </x:c>
      <x:c r="M1074" s="261" t="n">
        <x:v>1.178</x:v>
      </x:c>
      <x:c r="N1074" s="261" t="n">
        <x:f>IF(OR(L1074&lt;$B$3,L1074&gt;$D$3),"",IF(AND(J1074=J1073,N1073&lt;&gt;""),MAX(M1074,N1073),M1074))</x:f>
        <x:v>1.1818</x:v>
      </x:c>
      <x:c r="O1074" s="262" t="n">
        <x:f>IF(N1074="","",M1074/N1074-1)</x:f>
        <x:v>-0.003215434083601254</x:v>
      </x:c>
    </x:row>
    <x:row r="1075">
      <x:c r="J1075" s="257" t="str">
        <x:v>014738.OF</x:v>
      </x:c>
      <x:c r="K1075" s="258" t="str">
        <x:v>广发恒祥债券A</x:v>
      </x:c>
      <x:c r="L1075" s="263" t="n">
        <x:v>46200</x:v>
      </x:c>
      <x:c r="M1075" s="261" t="n">
        <x:v>1.178</x:v>
      </x:c>
      <x:c r="N1075" s="261" t="n">
        <x:f>IF(OR(L1075&lt;$B$3,L1075&gt;$D$3),"",IF(AND(J1075=J1074,N1074&lt;&gt;""),MAX(M1075,N1074),M1075))</x:f>
        <x:v>1.1818</x:v>
      </x:c>
      <x:c r="O1075" s="262" t="n">
        <x:f>IF(N1075="","",M1075/N1075-1)</x:f>
        <x:v>-0.003215434083601254</x:v>
      </x:c>
    </x:row>
    <x:row r="1076">
      <x:c r="J1076" s="257" t="str">
        <x:v>014738.OF</x:v>
      </x:c>
      <x:c r="K1076" s="258" t="str">
        <x:v>广发恒祥债券A</x:v>
      </x:c>
      <x:c r="L1076" s="263" t="n">
        <x:v>46201</x:v>
      </x:c>
      <x:c r="M1076" s="261" t="n">
        <x:v>1.178</x:v>
      </x:c>
      <x:c r="N1076" s="261" t="n">
        <x:f>IF(OR(L1076&lt;$B$3,L1076&gt;$D$3),"",IF(AND(J1076=J1075,N1075&lt;&gt;""),MAX(M1076,N1075),M1076))</x:f>
        <x:v>1.1818</x:v>
      </x:c>
      <x:c r="O1076" s="262" t="n">
        <x:f>IF(N1076="","",M1076/N1076-1)</x:f>
        <x:v>-0.003215434083601254</x:v>
      </x:c>
    </x:row>
    <x:row r="1077">
      <x:c r="J1077" s="257" t="str">
        <x:v>014738.OF</x:v>
      </x:c>
      <x:c r="K1077" s="258" t="str">
        <x:v>广发恒祥债券A</x:v>
      </x:c>
      <x:c r="L1077" s="263" t="n">
        <x:v>46202</x:v>
      </x:c>
      <x:c r="M1077" s="261" t="n">
        <x:v>1.185</x:v>
      </x:c>
      <x:c r="N1077" s="261" t="n">
        <x:f>IF(OR(L1077&lt;$B$3,L1077&gt;$D$3),"",IF(AND(J1077=J1076,N1076&lt;&gt;""),MAX(M1077,N1076),M1077))</x:f>
        <x:v>1.185</x:v>
      </x:c>
      <x:c r="O1077" s="262" t="n">
        <x:f>IF(N1077="","",M1077/N1077-1)</x:f>
        <x:v>0</x:v>
      </x:c>
    </x:row>
    <x:row r="1078">
      <x:c r="J1078" s="257" t="str">
        <x:v>014738.OF</x:v>
      </x:c>
      <x:c r="K1078" s="258" t="str">
        <x:v>广发恒祥债券A</x:v>
      </x:c>
      <x:c r="L1078" s="263" t="n">
        <x:v>46203</x:v>
      </x:c>
      <x:c r="M1078" s="261" t="n">
        <x:v>1.1911</x:v>
      </x:c>
      <x:c r="N1078" s="261" t="n">
        <x:f>IF(OR(L1078&lt;$B$3,L1078&gt;$D$3),"",IF(AND(J1078=J1077,N1077&lt;&gt;""),MAX(M1078,N1077),M1078))</x:f>
        <x:v>1.1911</x:v>
      </x:c>
      <x:c r="O1078" s="262" t="n">
        <x:f>IF(N1078="","",M1078/N1078-1)</x:f>
        <x:v>0</x:v>
      </x:c>
    </x:row>
    <x:row r="1079">
      <x:c r="J1079" s="257" t="str">
        <x:v>014738.OF</x:v>
      </x:c>
      <x:c r="K1079" s="258" t="str">
        <x:v>广发恒祥债券A</x:v>
      </x:c>
      <x:c r="L1079" s="263" t="n">
        <x:v>46204</x:v>
      </x:c>
      <x:c r="M1079" s="261" t="n">
        <x:v>1.1919</x:v>
      </x:c>
      <x:c r="N1079" s="261" t="n">
        <x:f>IF(OR(L1079&lt;$B$3,L1079&gt;$D$3),"",IF(AND(J1079=J1078,N1078&lt;&gt;""),MAX(M1079,N1078),M1079))</x:f>
        <x:v>1.1919</x:v>
      </x:c>
      <x:c r="O1079" s="262" t="n">
        <x:f>IF(N1079="","",M1079/N1079-1)</x:f>
        <x:v>0</x:v>
      </x:c>
    </x:row>
    <x:row r="1080">
      <x:c r="J1080" s="257" t="str">
        <x:v>014738.OF</x:v>
      </x:c>
      <x:c r="K1080" s="258" t="str">
        <x:v>广发恒祥债券A</x:v>
      </x:c>
      <x:c r="L1080" s="263" t="n">
        <x:v>46205</x:v>
      </x:c>
      <x:c r="M1080" s="261" t="n">
        <x:v>1.1754</x:v>
      </x:c>
      <x:c r="N1080" s="261" t="n">
        <x:f>IF(OR(L1080&lt;$B$3,L1080&gt;$D$3),"",IF(AND(J1080=J1079,N1079&lt;&gt;""),MAX(M1080,N1079),M1080))</x:f>
        <x:v>1.1919</x:v>
      </x:c>
      <x:c r="O1080" s="262" t="n">
        <x:f>IF(N1080="","",M1080/N1080-1)</x:f>
        <x:v>-0.013843443241882691</x:v>
      </x:c>
    </x:row>
    <x:row r="1081">
      <x:c r="J1081" s="257" t="str">
        <x:v>014738.OF</x:v>
      </x:c>
      <x:c r="K1081" s="258" t="str">
        <x:v>广发恒祥债券A</x:v>
      </x:c>
      <x:c r="L1081" s="263" t="n">
        <x:v>46206</x:v>
      </x:c>
      <x:c r="M1081" s="261" t="n">
        <x:v>1.1741</x:v>
      </x:c>
      <x:c r="N1081" s="261" t="n">
        <x:f>IF(OR(L1081&lt;$B$3,L1081&gt;$D$3),"",IF(AND(J1081=J1080,N1080&lt;&gt;""),MAX(M1081,N1080),M1081))</x:f>
        <x:v>1.1919</x:v>
      </x:c>
      <x:c r="O1081" s="262" t="n">
        <x:f>IF(N1081="","",M1081/N1081-1)</x:f>
        <x:v>-0.014934138770031025</x:v>
      </x:c>
    </x:row>
    <x:row r="1082">
      <x:c r="J1082" s="257" t="str">
        <x:v>014738.OF</x:v>
      </x:c>
      <x:c r="K1082" s="258" t="str">
        <x:v>广发恒祥债券A</x:v>
      </x:c>
      <x:c r="L1082" s="263" t="n">
        <x:v>46207</x:v>
      </x:c>
      <x:c r="M1082" s="261" t="n">
        <x:v>1.1741</x:v>
      </x:c>
      <x:c r="N1082" s="261" t="n">
        <x:f>IF(OR(L1082&lt;$B$3,L1082&gt;$D$3),"",IF(AND(J1082=J1081,N1081&lt;&gt;""),MAX(M1082,N1081),M1082))</x:f>
        <x:v>1.1919</x:v>
      </x:c>
      <x:c r="O1082" s="262" t="n">
        <x:f>IF(N1082="","",M1082/N1082-1)</x:f>
        <x:v>-0.014934138770031025</x:v>
      </x:c>
    </x:row>
    <x:row r="1083">
      <x:c r="J1083" s="257" t="str">
        <x:v>014738.OF</x:v>
      </x:c>
      <x:c r="K1083" s="258" t="str">
        <x:v>广发恒祥债券A</x:v>
      </x:c>
      <x:c r="L1083" s="263" t="n">
        <x:v>46208</x:v>
      </x:c>
      <x:c r="M1083" s="261" t="n">
        <x:v>1.1741</x:v>
      </x:c>
      <x:c r="N1083" s="261" t="n">
        <x:f>IF(OR(L1083&lt;$B$3,L1083&gt;$D$3),"",IF(AND(J1083=J1082,N1082&lt;&gt;""),MAX(M1083,N1082),M1083))</x:f>
        <x:v>1.1919</x:v>
      </x:c>
      <x:c r="O1083" s="262" t="n">
        <x:f>IF(N1083="","",M1083/N1083-1)</x:f>
        <x:v>-0.014934138770031025</x:v>
      </x:c>
    </x:row>
    <x:row r="1084">
      <x:c r="J1084" s="257" t="str">
        <x:v>014738.OF</x:v>
      </x:c>
      <x:c r="K1084" s="258" t="str">
        <x:v>广发恒祥债券A</x:v>
      </x:c>
      <x:c r="L1084" s="263" t="n">
        <x:v>46209</x:v>
      </x:c>
      <x:c r="M1084" s="261" t="n">
        <x:v>1.1734</x:v>
      </x:c>
      <x:c r="N1084" s="261" t="n">
        <x:f>IF(OR(L1084&lt;$B$3,L1084&gt;$D$3),"",IF(AND(J1084=J1083,N1083&lt;&gt;""),MAX(M1084,N1083),M1084))</x:f>
        <x:v>1.1919</x:v>
      </x:c>
      <x:c r="O1084" s="262" t="n">
        <x:f>IF(N1084="","",M1084/N1084-1)</x:f>
        <x:v>-0.015521436362110896</x:v>
      </x:c>
    </x:row>
    <x:row r="1085">
      <x:c r="J1085" s="257" t="str">
        <x:v>014738.OF</x:v>
      </x:c>
      <x:c r="K1085" s="258" t="str">
        <x:v>广发恒祥债券A</x:v>
      </x:c>
      <x:c r="L1085" s="263" t="n">
        <x:v>46210</x:v>
      </x:c>
      <x:c r="M1085" s="261" t="n">
        <x:v>1.1724</x:v>
      </x:c>
      <x:c r="N1085" s="261" t="n">
        <x:f>IF(OR(L1085&lt;$B$3,L1085&gt;$D$3),"",IF(AND(J1085=J1084,N1084&lt;&gt;""),MAX(M1085,N1084),M1085))</x:f>
        <x:v>1.1919</x:v>
      </x:c>
      <x:c r="O1085" s="262" t="n">
        <x:f>IF(N1085="","",M1085/N1085-1)</x:f>
        <x:v>-0.016360432922224888</x:v>
      </x:c>
    </x:row>
    <x:row r="1086">
      <x:c r="J1086" s="257" t="str">
        <x:v>014738.OF</x:v>
      </x:c>
      <x:c r="K1086" s="258" t="str">
        <x:v>广发恒祥债券A</x:v>
      </x:c>
      <x:c r="L1086" s="263" t="n">
        <x:v>46211</x:v>
      </x:c>
      <x:c r="M1086" s="261" t="n">
        <x:v>1.171</x:v>
      </x:c>
      <x:c r="N1086" s="261" t="n">
        <x:f>IF(OR(L1086&lt;$B$3,L1086&gt;$D$3),"",IF(AND(J1086=J1085,N1085&lt;&gt;""),MAX(M1086,N1085),M1086))</x:f>
        <x:v>1.1919</x:v>
      </x:c>
      <x:c r="O1086" s="262" t="n">
        <x:f>IF(N1086="","",M1086/N1086-1)</x:f>
        <x:v>-0.017535028106384742</x:v>
      </x:c>
    </x:row>
    <x:row r="1087">
      <x:c r="J1087" s="257" t="str">
        <x:v>014738.OF</x:v>
      </x:c>
      <x:c r="K1087" s="258" t="str">
        <x:v>广发恒祥债券A</x:v>
      </x:c>
      <x:c r="L1087" s="263" t="n">
        <x:v>46212</x:v>
      </x:c>
      <x:c r="M1087" s="261" t="n">
        <x:v>1.1885</x:v>
      </x:c>
      <x:c r="N1087" s="261" t="n">
        <x:f>IF(OR(L1087&lt;$B$3,L1087&gt;$D$3),"",IF(AND(J1087=J1086,N1086&lt;&gt;""),MAX(M1087,N1086),M1087))</x:f>
        <x:v>1.1919</x:v>
      </x:c>
      <x:c r="O1087" s="262" t="n">
        <x:f>IF(N1087="","",M1087/N1087-1)</x:f>
        <x:v>-0.0028525883043880595</x:v>
      </x:c>
    </x:row>
    <x:row r="1088">
      <x:c r="J1088" s="257" t="str">
        <x:v>014738.OF</x:v>
      </x:c>
      <x:c r="K1088" s="258" t="str">
        <x:v>广发恒祥债券A</x:v>
      </x:c>
      <x:c r="L1088" s="263" t="n">
        <x:v>46213</x:v>
      </x:c>
      <x:c r="M1088" s="261" t="n">
        <x:v>1.1696</x:v>
      </x:c>
      <x:c r="N1088" s="261" t="n">
        <x:f>IF(OR(L1088&lt;$B$3,L1088&gt;$D$3),"",IF(AND(J1088=J1087,N1087&lt;&gt;""),MAX(M1088,N1087),M1088))</x:f>
        <x:v>1.1919</x:v>
      </x:c>
      <x:c r="O1088" s="262" t="n">
        <x:f>IF(N1088="","",M1088/N1088-1)</x:f>
        <x:v>-0.018709623290544486</x:v>
      </x:c>
    </x:row>
    <x:row r="1089">
      <x:c r="J1089" s="257" t="str">
        <x:v>014738.OF</x:v>
      </x:c>
      <x:c r="K1089" s="258" t="str">
        <x:v>广发恒祥债券A</x:v>
      </x:c>
      <x:c r="L1089" s="263" t="n">
        <x:v>46214</x:v>
      </x:c>
      <x:c r="M1089" s="261" t="n">
        <x:v>1.1696</x:v>
      </x:c>
      <x:c r="N1089" s="261" t="n">
        <x:f>IF(OR(L1089&lt;$B$3,L1089&gt;$D$3),"",IF(AND(J1089=J1088,N1088&lt;&gt;""),MAX(M1089,N1088),M1089))</x:f>
        <x:v>1.1919</x:v>
      </x:c>
      <x:c r="O1089" s="262" t="n">
        <x:f>IF(N1089="","",M1089/N1089-1)</x:f>
        <x:v>-0.018709623290544486</x:v>
      </x:c>
    </x:row>
    <x:row r="1090">
      <x:c r="J1090" s="257" t="str">
        <x:v>014738.OF</x:v>
      </x:c>
      <x:c r="K1090" s="258" t="str">
        <x:v>广发恒祥债券A</x:v>
      </x:c>
      <x:c r="L1090" s="263" t="n">
        <x:v>46215</x:v>
      </x:c>
      <x:c r="M1090" s="261" t="n">
        <x:v>1.1696</x:v>
      </x:c>
      <x:c r="N1090" s="261" t="n">
        <x:f>IF(OR(L1090&lt;$B$3,L1090&gt;$D$3),"",IF(AND(J1090=J1089,N1089&lt;&gt;""),MAX(M1090,N1089),M1090))</x:f>
        <x:v>1.1919</x:v>
      </x:c>
      <x:c r="O1090" s="262" t="n">
        <x:f>IF(N1090="","",M1090/N1090-1)</x:f>
        <x:v>-0.018709623290544486</x:v>
      </x:c>
    </x:row>
    <x:row r="1091">
      <x:c r="J1091" s="257" t="str">
        <x:v>014738.OF</x:v>
      </x:c>
      <x:c r="K1091" s="258" t="str">
        <x:v>广发恒祥债券A</x:v>
      </x:c>
      <x:c r="L1091" s="263" t="n">
        <x:v>46216</x:v>
      </x:c>
      <x:c r="M1091" s="261" t="n">
        <x:v>1.16</x:v>
      </x:c>
      <x:c r="N1091" s="261" t="n">
        <x:f>IF(OR(L1091&lt;$B$3,L1091&gt;$D$3),"",IF(AND(J1091=J1090,N1090&lt;&gt;""),MAX(M1091,N1090),M1091))</x:f>
        <x:v>1.1919</x:v>
      </x:c>
      <x:c r="O1091" s="262" t="n">
        <x:f>IF(N1091="","",M1091/N1091-1)</x:f>
        <x:v>-0.02676399026763998</x:v>
      </x:c>
    </x:row>
    <x:row r="1092">
      <x:c r="J1092" s="257" t="str">
        <x:v>014738.OF</x:v>
      </x:c>
      <x:c r="K1092" s="258" t="str">
        <x:v>广发恒祥债券A</x:v>
      </x:c>
      <x:c r="L1092" s="263" t="n">
        <x:v>46217</x:v>
      </x:c>
      <x:c r="M1092" s="261" t="n">
        <x:v>1.1628</x:v>
      </x:c>
      <x:c r="N1092" s="261" t="n">
        <x:f>IF(OR(L1092&lt;$B$3,L1092&gt;$D$3),"",IF(AND(J1092=J1091,N1091&lt;&gt;""),MAX(M1092,N1091),M1092))</x:f>
        <x:v>1.1919</x:v>
      </x:c>
      <x:c r="O1092" s="262" t="n">
        <x:f>IF(N1092="","",M1092/N1092-1)</x:f>
        <x:v>-0.024414799899320383</x:v>
      </x:c>
    </x:row>
    <x:row r="1093">
      <x:c r="J1093" s="257" t="str">
        <x:v>014738.OF</x:v>
      </x:c>
      <x:c r="K1093" s="258" t="str">
        <x:v>广发恒祥债券A</x:v>
      </x:c>
      <x:c r="L1093" s="263" t="n">
        <x:v>46218</x:v>
      </x:c>
      <x:c r="M1093" s="261" t="n">
        <x:v>1.1539</x:v>
      </x:c>
      <x:c r="N1093" s="261" t="n">
        <x:f>IF(OR(L1093&lt;$B$3,L1093&gt;$D$3),"",IF(AND(J1093=J1092,N1092&lt;&gt;""),MAX(M1093,N1092),M1093))</x:f>
        <x:v>1.1919</x:v>
      </x:c>
      <x:c r="O1093" s="262" t="n">
        <x:f>IF(N1093="","",M1093/N1093-1)</x:f>
        <x:v>-0.031881869284336006</x:v>
      </x:c>
    </x:row>
    <x:row r="1094">
      <x:c r="J1094" s="257" t="str">
        <x:v>014738.OF</x:v>
      </x:c>
      <x:c r="K1094" s="258" t="str">
        <x:v>广发恒祥债券A</x:v>
      </x:c>
      <x:c r="L1094" s="263" t="n">
        <x:v>46219</x:v>
      </x:c>
      <x:c r="M1094" s="261" t="n">
        <x:v>1.144</x:v>
      </x:c>
      <x:c r="N1094" s="261" t="n">
        <x:f>IF(OR(L1094&lt;$B$3,L1094&gt;$D$3),"",IF(AND(J1094=J1093,N1093&lt;&gt;""),MAX(M1094,N1093),M1094))</x:f>
        <x:v>1.1919</x:v>
      </x:c>
      <x:c r="O1094" s="262" t="n">
        <x:f>IF(N1094="","",M1094/N1094-1)</x:f>
        <x:v>-0.04018793522946562</x:v>
      </x:c>
    </x:row>
    <x:row r="1095">
      <x:c r="J1095" s="257" t="str">
        <x:v>014738.OF</x:v>
      </x:c>
      <x:c r="K1095" s="258" t="str">
        <x:v>广发恒祥债券A</x:v>
      </x:c>
      <x:c r="L1095" s="263" t="n">
        <x:v>46220</x:v>
      </x:c>
      <x:c r="M1095" s="261" t="n">
        <x:v>1.139</x:v>
      </x:c>
      <x:c r="N1095" s="261" t="n">
        <x:f>IF(OR(L1095&lt;$B$3,L1095&gt;$D$3),"",IF(AND(J1095=J1094,N1094&lt;&gt;""),MAX(M1095,N1094),M1095))</x:f>
        <x:v>1.1919</x:v>
      </x:c>
      <x:c r="O1095" s="262" t="n">
        <x:f>IF(N1095="","",M1095/N1095-1)</x:f>
        <x:v>-0.04438291803003602</x:v>
      </x:c>
    </x:row>
    <x:row r="1096">
      <x:c r="J1096" s="257" t="str">
        <x:v>014738.OF</x:v>
      </x:c>
      <x:c r="K1096" s="258" t="str">
        <x:v>广发恒祥债券A</x:v>
      </x:c>
      <x:c r="L1096" s="263" t="n">
        <x:v>46221</x:v>
      </x:c>
      <x:c r="M1096" s="261" t="n">
        <x:v>1.139</x:v>
      </x:c>
      <x:c r="N1096" s="261" t="n">
        <x:f>IF(OR(L1096&lt;$B$3,L1096&gt;$D$3),"",IF(AND(J1096=J1095,N1095&lt;&gt;""),MAX(M1096,N1095),M1096))</x:f>
        <x:v>1.1919</x:v>
      </x:c>
      <x:c r="O1096" s="262" t="n">
        <x:f>IF(N1096="","",M1096/N1096-1)</x:f>
        <x:v>-0.04438291803003602</x:v>
      </x:c>
    </x:row>
    <x:row r="1097">
      <x:c r="J1097" s="257" t="str">
        <x:v>014738.OF</x:v>
      </x:c>
      <x:c r="K1097" s="258" t="str">
        <x:v>广发恒祥债券A</x:v>
      </x:c>
      <x:c r="L1097" s="263" t="n">
        <x:v>46222</x:v>
      </x:c>
      <x:c r="M1097" s="261" t="n">
        <x:v>1.139</x:v>
      </x:c>
      <x:c r="N1097" s="261" t="n">
        <x:f>IF(OR(L1097&lt;$B$3,L1097&gt;$D$3),"",IF(AND(J1097=J1096,N1096&lt;&gt;""),MAX(M1097,N1096),M1097))</x:f>
        <x:v>1.1919</x:v>
      </x:c>
      <x:c r="O1097" s="262" t="n">
        <x:f>IF(N1097="","",M1097/N1097-1)</x:f>
        <x:v>-0.04438291803003602</x:v>
      </x:c>
    </x:row>
    <x:row r="1098">
      <x:c r="J1098" s="257" t="str">
        <x:v>014738.OF</x:v>
      </x:c>
      <x:c r="K1098" s="258" t="str">
        <x:v>广发恒祥债券A</x:v>
      </x:c>
      <x:c r="L1098" s="263" t="n">
        <x:v>46223</x:v>
      </x:c>
      <x:c r="M1098" s="261" t="n">
        <x:v>1.137</x:v>
      </x:c>
      <x:c r="N1098" s="261" t="n">
        <x:f>IF(OR(L1098&lt;$B$3,L1098&gt;$D$3),"",IF(AND(J1098=J1097,N1097&lt;&gt;""),MAX(M1098,N1097),M1098))</x:f>
        <x:v>1.1919</x:v>
      </x:c>
      <x:c r="O1098" s="262" t="n">
        <x:f>IF(N1098="","",M1098/N1098-1)</x:f>
        <x:v>-0.04606091115026423</x:v>
      </x:c>
    </x:row>
    <x:row r="1099">
      <x:c r="J1099" s="257" t="str">
        <x:v>014738.OF</x:v>
      </x:c>
      <x:c r="K1099" s="258" t="str">
        <x:v>广发恒祥债券A</x:v>
      </x:c>
      <x:c r="L1099" s="263" t="n">
        <x:v>46224</x:v>
      </x:c>
      <x:c r="M1099" s="261" t="n">
        <x:v>1.1473</x:v>
      </x:c>
      <x:c r="N1099" s="261" t="n">
        <x:f>IF(OR(L1099&lt;$B$3,L1099&gt;$D$3),"",IF(AND(J1099=J1098,N1098&lt;&gt;""),MAX(M1099,N1098),M1099))</x:f>
        <x:v>1.1919</x:v>
      </x:c>
      <x:c r="O1099" s="262" t="n">
        <x:f>IF(N1099="","",M1099/N1099-1)</x:f>
        <x:v>-0.03741924658108897</x:v>
      </x:c>
    </x:row>
    <x:row r="1100">
      <x:c r="J1100" s="257" t="str">
        <x:v>014738.OF</x:v>
      </x:c>
      <x:c r="K1100" s="258" t="str">
        <x:v>广发恒祥债券A</x:v>
      </x:c>
      <x:c r="L1100" s="263" t="n">
        <x:v>46225</x:v>
      </x:c>
      <x:c r="M1100" s="261" t="n">
        <x:v>1.1421</x:v>
      </x:c>
      <x:c r="N1100" s="261" t="n">
        <x:f>IF(OR(L1100&lt;$B$3,L1100&gt;$D$3),"",IF(AND(J1100=J1099,N1099&lt;&gt;""),MAX(M1100,N1099),M1100))</x:f>
        <x:v>1.1919</x:v>
      </x:c>
      <x:c r="O1100" s="262" t="n">
        <x:f>IF(N1100="","",M1100/N1100-1)</x:f>
        <x:v>-0.041782028693682416</x:v>
      </x:c>
    </x:row>
    <x:row r="1101">
      <x:c r="J1101" s="257" t="str">
        <x:v>014738.OF</x:v>
      </x:c>
      <x:c r="K1101" s="258" t="str">
        <x:v>广发恒祥债券A</x:v>
      </x:c>
      <x:c r="L1101" s="263" t="n">
        <x:v>46226</x:v>
      </x:c>
      <x:c r="M1101" s="261" t="n">
        <x:v>1.1358</x:v>
      </x:c>
      <x:c r="N1101" s="261" t="n">
        <x:f>IF(OR(L1101&lt;$B$3,L1101&gt;$D$3),"",IF(AND(J1101=J1100,N1100&lt;&gt;""),MAX(M1101,N1100),M1101))</x:f>
        <x:v>1.1919</x:v>
      </x:c>
      <x:c r="O1101" s="262" t="n">
        <x:f>IF(N1101="","",M1101/N1101-1)</x:f>
        <x:v>-0.04706770702240126</x:v>
      </x:c>
    </x:row>
    <x:row r="1102">
      <x:c r="J1102" s="257" t="str">
        <x:v>014738.OF</x:v>
      </x:c>
      <x:c r="K1102" s="258" t="str">
        <x:v>广发恒祥债券A</x:v>
      </x:c>
      <x:c r="L1102" s="263" t="n">
        <x:v>46227</x:v>
      </x:c>
      <x:c r="M1102" s="261" t="n">
        <x:v>1.1372</x:v>
      </x:c>
      <x:c r="N1102" s="261" t="n">
        <x:f>IF(OR(L1102&lt;$B$3,L1102&gt;$D$3),"",IF(AND(J1102=J1101,N1101&lt;&gt;""),MAX(M1102,N1101),M1102))</x:f>
        <x:v>1.1919</x:v>
      </x:c>
      <x:c r="O1102" s="262" t="n">
        <x:f>IF(N1102="","",M1102/N1102-1)</x:f>
        <x:v>-0.04589311183824141</x:v>
      </x:c>
    </x:row>
    <x:row r="1103">
      <x:c r="J1103" s="257" t="str">
        <x:v>014738.OF</x:v>
      </x:c>
      <x:c r="K1103" s="258" t="str">
        <x:v>广发恒祥债券A</x:v>
      </x:c>
      <x:c r="L1103" s="263" t="n">
        <x:v>46228</x:v>
      </x:c>
      <x:c r="M1103" s="261" t="n">
        <x:v>1.1372</x:v>
      </x:c>
      <x:c r="N1103" s="261" t="n">
        <x:f>IF(OR(L1103&lt;$B$3,L1103&gt;$D$3),"",IF(AND(J1103=J1102,N1102&lt;&gt;""),MAX(M1103,N1102),M1103))</x:f>
        <x:v>1.1919</x:v>
      </x:c>
      <x:c r="O1103" s="262" t="n">
        <x:f>IF(N1103="","",M1103/N1103-1)</x:f>
        <x:v>-0.04589311183824141</x:v>
      </x:c>
    </x:row>
    <x:row r="1104">
      <x:c r="J1104" s="257" t="str">
        <x:v>014738.OF</x:v>
      </x:c>
      <x:c r="K1104" s="258" t="str">
        <x:v>广发恒祥债券A</x:v>
      </x:c>
      <x:c r="L1104" s="263" t="n">
        <x:v>46229</x:v>
      </x:c>
      <x:c r="M1104" s="261" t="n">
        <x:v>1.1372</x:v>
      </x:c>
      <x:c r="N1104" s="261" t="n">
        <x:f>IF(OR(L1104&lt;$B$3,L1104&gt;$D$3),"",IF(AND(J1104=J1103,N1103&lt;&gt;""),MAX(M1104,N1103),M1104))</x:f>
        <x:v>1.1919</x:v>
      </x:c>
      <x:c r="O1104" s="262" t="n">
        <x:f>IF(N1104="","",M1104/N1104-1)</x:f>
        <x:v>-0.04589311183824141</x:v>
      </x:c>
    </x:row>
    <x:row r="1105">
      <x:c r="J1105" s="257" t="str">
        <x:v>014738.OF</x:v>
      </x:c>
      <x:c r="K1105" s="258" t="str">
        <x:v>广发恒祥债券A</x:v>
      </x:c>
      <x:c r="L1105" s="263" t="n">
        <x:v>46230</x:v>
      </x:c>
      <x:c r="M1105" s="261" t="n">
        <x:v>1.1381</x:v>
      </x:c>
      <x:c r="N1105" s="261" t="n">
        <x:f>IF(OR(L1105&lt;$B$3,L1105&gt;$D$3),"",IF(AND(J1105=J1104,N1104&lt;&gt;""),MAX(M1105,N1104),M1105))</x:f>
        <x:v>1.1919</x:v>
      </x:c>
      <x:c r="O1105" s="262" t="n">
        <x:f>IF(N1105="","",M1105/N1105-1)</x:f>
        <x:v>-0.045138014934138826</x:v>
      </x:c>
    </x:row>
    <x:row r="1106">
      <x:c r="J1106" s="257" t="str">
        <x:v>014738.OF</x:v>
      </x:c>
      <x:c r="K1106" s="258" t="str">
        <x:v>广发恒祥债券A</x:v>
      </x:c>
      <x:c r="L1106" s="263" t="n">
        <x:v>46231</x:v>
      </x:c>
      <x:c r="M1106" s="261" t="n">
        <x:v>1.1303</x:v>
      </x:c>
      <x:c r="N1106" s="261" t="n">
        <x:f>IF(OR(L1106&lt;$B$3,L1106&gt;$D$3),"",IF(AND(J1106=J1105,N1105&lt;&gt;""),MAX(M1106,N1105),M1106))</x:f>
        <x:v>1.1919</x:v>
      </x:c>
      <x:c r="O1106" s="262" t="n">
        <x:f>IF(N1106="","",M1106/N1106-1)</x:f>
        <x:v>-0.051682188103028714</x:v>
      </x:c>
    </x:row>
    <x:row r="1107">
      <x:c r="J1107" s="257" t="str">
        <x:v>014738.OF</x:v>
      </x:c>
      <x:c r="K1107" s="258" t="str">
        <x:v>广发恒祥债券A</x:v>
      </x:c>
      <x:c r="L1107" s="263" t="n">
        <x:v>46232</x:v>
      </x:c>
      <x:c r="M1107" s="261" t="n">
        <x:v>1.1304</x:v>
      </x:c>
      <x:c r="N1107" s="261" t="n">
        <x:f>IF(OR(L1107&lt;$B$3,L1107&gt;$D$3),"",IF(AND(J1107=J1106,N1106&lt;&gt;""),MAX(M1107,N1106),M1107))</x:f>
        <x:v>1.1919</x:v>
      </x:c>
      <x:c r="O1107" s="262" t="n">
        <x:f>IF(N1107="","",M1107/N1107-1)</x:f>
        <x:v>-0.051598288447017304</x:v>
      </x:c>
    </x:row>
    <x:row r="1108">
      <x:c r="J1108" s="257" t="str">
        <x:v>014738.OF</x:v>
      </x:c>
      <x:c r="K1108" s="258" t="str">
        <x:v>广发恒祥债券A</x:v>
      </x:c>
      <x:c r="L1108" s="263" t="n">
        <x:v>46233</x:v>
      </x:c>
      <x:c r="M1108" s="261" t="n">
        <x:v>1.1292</x:v>
      </x:c>
      <x:c r="N1108" s="261" t="n">
        <x:f>IF(OR(L1108&lt;$B$3,L1108&gt;$D$3),"",IF(AND(J1108=J1107,N1107&lt;&gt;""),MAX(M1108,N1107),M1108))</x:f>
        <x:v>1.1919</x:v>
      </x:c>
      <x:c r="O1108" s="262" t="n">
        <x:f>IF(N1108="","",M1108/N1108-1)</x:f>
        <x:v>-0.05260508431915423</x:v>
      </x:c>
    </x:row>
    <x:row r="1109">
      <x:c r="J1109" s="257" t="str">
        <x:v>014738.OF</x:v>
      </x:c>
      <x:c r="K1109" s="258" t="str">
        <x:v>广发恒祥债券A</x:v>
      </x:c>
      <x:c r="L1109" s="263" t="n">
        <x:v>46234</x:v>
      </x:c>
      <x:c r="M1109" s="261" t="n">
        <x:v>1.1268</x:v>
      </x:c>
      <x:c r="N1109" s="261" t="n">
        <x:f>IF(OR(L1109&lt;$B$3,L1109&gt;$D$3),"",IF(AND(J1109=J1108,N1108&lt;&gt;""),MAX(M1109,N1108),M1109))</x:f>
        <x:v>1.1919</x:v>
      </x:c>
      <x:c r="O1109" s="262" t="n">
        <x:f>IF(N1109="","",M1109/N1109-1)</x:f>
        <x:v>-0.05461867606342807</x:v>
      </x:c>
    </x:row>
    <x:row r="1110">
      <x:c r="J1110" s="257" t="str">
        <x:v>014738.OF</x:v>
      </x:c>
      <x:c r="K1110" s="258" t="str">
        <x:v>广发恒祥债券A</x:v>
      </x:c>
      <x:c r="L1110" s="263" t="n">
        <x:v>46235</x:v>
      </x:c>
      <x:c r="M1110" s="261" t="n">
        <x:v>1.1268</x:v>
      </x:c>
      <x:c r="N1110" s="261" t="n">
        <x:f>IF(OR(L1110&lt;$B$3,L1110&gt;$D$3),"",IF(AND(J1110=J1109,N1109&lt;&gt;""),MAX(M1110,N1109),M1110))</x:f>
        <x:v>1.1919</x:v>
      </x:c>
      <x:c r="O1110" s="262" t="n">
        <x:f>IF(N1110="","",M1110/N1110-1)</x:f>
        <x:v>-0.05461867606342807</x:v>
      </x:c>
    </x:row>
    <x:row r="1111">
      <x:c r="J1111" s="257" t="str">
        <x:v>014738.OF</x:v>
      </x:c>
      <x:c r="K1111" s="258" t="str">
        <x:v>广发恒祥债券A</x:v>
      </x:c>
      <x:c r="L1111" s="263" t="n">
        <x:v>46236</x:v>
      </x:c>
      <x:c r="M1111" s="261" t="n">
        <x:v>1.1268</x:v>
      </x:c>
      <x:c r="N1111" s="261" t="n">
        <x:f>IF(OR(L1111&lt;$B$3,L1111&gt;$D$3),"",IF(AND(J1111=J1110,N1110&lt;&gt;""),MAX(M1111,N1110),M1111))</x:f>
        <x:v>1.1919</x:v>
      </x:c>
      <x:c r="O1111" s="262" t="n">
        <x:f>IF(N1111="","",M1111/N1111-1)</x:f>
        <x:v>-0.05461867606342807</x:v>
      </x:c>
    </x:row>
    <x:row r="1112">
      <x:c r="J1112" s="257" t="str">
        <x:v>014738.OF</x:v>
      </x:c>
      <x:c r="K1112" s="258" t="str">
        <x:v>广发恒祥债券A</x:v>
      </x:c>
      <x:c r="L1112" s="263" t="n">
        <x:v>46237</x:v>
      </x:c>
      <x:c r="M1112" s="261" t="n">
        <x:v>1.1241</x:v>
      </x:c>
      <x:c r="N1112" s="261" t="n">
        <x:f>IF(OR(L1112&lt;$B$3,L1112&gt;$D$3),"",IF(AND(J1112=J1111,N1111&lt;&gt;""),MAX(M1112,N1111),M1112))</x:f>
        <x:v>1.1919</x:v>
      </x:c>
      <x:c r="O1112" s="262" t="n">
        <x:f>IF(N1112="","",M1112/N1112-1)</x:f>
        <x:v>-0.05688396677573615</x:v>
      </x:c>
    </x:row>
    <x:row r="1113">
      <x:c r="J1113" s="257" t="str">
        <x:v>014738.OF</x:v>
      </x:c>
      <x:c r="K1113" s="258" t="str">
        <x:v>广发恒祥债券A</x:v>
      </x:c>
      <x:c r="L1113" s="263" t="n">
        <x:v>46238</x:v>
      </x:c>
      <x:c r="M1113" s="261" t="n">
        <x:v>1.1245</x:v>
      </x:c>
      <x:c r="N1113" s="261" t="n">
        <x:f>IF(OR(L1113&lt;$B$3,L1113&gt;$D$3),"",IF(AND(J1113=J1112,N1112&lt;&gt;""),MAX(M1113,N1112),M1113))</x:f>
        <x:v>1.1919</x:v>
      </x:c>
      <x:c r="O1113" s="262" t="n">
        <x:f>IF(N1113="","",M1113/N1113-1)</x:f>
        <x:v>-0.05654836815169051</x:v>
      </x:c>
    </x:row>
    <x:row r="1114">
      <x:c r="J1114" s="257" t="str">
        <x:v>014738.OF</x:v>
      </x:c>
      <x:c r="K1114" s="258" t="str">
        <x:v>广发恒祥债券A</x:v>
      </x:c>
      <x:c r="L1114" s="263" t="n">
        <x:v>46239</x:v>
      </x:c>
      <x:c r="M1114" s="261" t="n">
        <x:v>1.1272</x:v>
      </x:c>
      <x:c r="N1114" s="261" t="n">
        <x:f>IF(OR(L1114&lt;$B$3,L1114&gt;$D$3),"",IF(AND(J1114=J1113,N1113&lt;&gt;""),MAX(M1114,N1113),M1114))</x:f>
        <x:v>1.1919</x:v>
      </x:c>
      <x:c r="O1114" s="262" t="n">
        <x:f>IF(N1114="","",M1114/N1114-1)</x:f>
        <x:v>-0.05428307743938243</x:v>
      </x:c>
    </x:row>
    <x:row r="1115">
      <x:c r="J1115" s="257" t="str">
        <x:v>014738.OF</x:v>
      </x:c>
      <x:c r="K1115" s="258" t="str">
        <x:v>广发恒祥债券A</x:v>
      </x:c>
      <x:c r="L1115" s="263" t="n">
        <x:v>46240</x:v>
      </x:c>
      <x:c r="M1115" s="261" t="n">
        <x:v>1.1257</x:v>
      </x:c>
      <x:c r="N1115" s="261" t="n">
        <x:f>IF(OR(L1115&lt;$B$3,L1115&gt;$D$3),"",IF(AND(J1115=J1114,N1114&lt;&gt;""),MAX(M1115,N1114),M1115))</x:f>
        <x:v>1.1919</x:v>
      </x:c>
      <x:c r="O1115" s="262" t="n">
        <x:f>IF(N1115="","",M1115/N1115-1)</x:f>
        <x:v>-0.0555415722795537</x:v>
      </x:c>
    </x:row>
    <x:row r="1116">
      <x:c r="J1116" s="257" t="str">
        <x:v>014738.OF</x:v>
      </x:c>
      <x:c r="K1116" s="258" t="str">
        <x:v>广发恒祥债券A</x:v>
      </x:c>
      <x:c r="L1116" s="263" t="n">
        <x:v>46241</x:v>
      </x:c>
      <x:c r="M1116" s="261" t="n">
        <x:v>1.1277</x:v>
      </x:c>
      <x:c r="N1116" s="261" t="n">
        <x:f>IF(OR(L1116&lt;$B$3,L1116&gt;$D$3),"",IF(AND(J1116=J1115,N1115&lt;&gt;""),MAX(M1116,N1115),M1116))</x:f>
        <x:v>1.1919</x:v>
      </x:c>
      <x:c r="O1116" s="262" t="n">
        <x:f>IF(N1116="","",M1116/N1116-1)</x:f>
        <x:v>-0.05386357915932549</x:v>
      </x:c>
    </x:row>
    <x:row r="1117">
      <x:c r="J1117" s="257" t="str">
        <x:v>014738.OF</x:v>
      </x:c>
      <x:c r="K1117" s="258" t="str">
        <x:v>广发恒祥债券A</x:v>
      </x:c>
      <x:c r="L1117" s="263" t="n">
        <x:v>46242</x:v>
      </x:c>
      <x:c r="M1117" s="261" t="n">
        <x:v>1.1277</x:v>
      </x:c>
      <x:c r="N1117" s="261" t="n">
        <x:f>IF(OR(L1117&lt;$B$3,L1117&gt;$D$3),"",IF(AND(J1117=J1116,N1116&lt;&gt;""),MAX(M1117,N1116),M1117))</x:f>
        <x:v>1.1919</x:v>
      </x:c>
      <x:c r="O1117" s="262" t="n">
        <x:f>IF(N1117="","",M1117/N1117-1)</x:f>
        <x:v>-0.05386357915932549</x:v>
      </x:c>
    </x:row>
    <x:row r="1118">
      <x:c r="J1118" s="257" t="str">
        <x:v>014738.OF</x:v>
      </x:c>
      <x:c r="K1118" s="258" t="str">
        <x:v>广发恒祥债券A</x:v>
      </x:c>
      <x:c r="L1118" s="263" t="n">
        <x:v>46243</x:v>
      </x:c>
      <x:c r="M1118" s="261" t="n">
        <x:v>1.1277</x:v>
      </x:c>
      <x:c r="N1118" s="261" t="n">
        <x:f>IF(OR(L1118&lt;$B$3,L1118&gt;$D$3),"",IF(AND(J1118=J1117,N1117&lt;&gt;""),MAX(M1118,N1117),M1118))</x:f>
        <x:v>1.1919</x:v>
      </x:c>
      <x:c r="O1118" s="262" t="n">
        <x:f>IF(N1118="","",M1118/N1118-1)</x:f>
        <x:v>-0.05386357915932549</x:v>
      </x:c>
    </x:row>
    <x:row r="1119">
      <x:c r="J1119" s="257" t="str">
        <x:v>014738.OF</x:v>
      </x:c>
      <x:c r="K1119" s="258" t="str">
        <x:v>广发恒祥债券A</x:v>
      </x:c>
      <x:c r="L1119" s="263" t="n">
        <x:v>46244</x:v>
      </x:c>
      <x:c r="M1119" s="261" t="n">
        <x:v>1.1289</x:v>
      </x:c>
      <x:c r="N1119" s="261" t="n">
        <x:f>IF(OR(L1119&lt;$B$3,L1119&gt;$D$3),"",IF(AND(J1119=J1118,N1118&lt;&gt;""),MAX(M1119,N1118),M1119))</x:f>
        <x:v>1.1919</x:v>
      </x:c>
      <x:c r="O1119" s="262" t="n">
        <x:f>IF(N1119="","",M1119/N1119-1)</x:f>
        <x:v>-0.05285678328718846</x:v>
      </x:c>
    </x:row>
    <x:row r="1120">
      <x:c r="J1120" s="257" t="str">
        <x:v>006307.OF</x:v>
      </x:c>
      <x:c r="K1120" s="258" t="str">
        <x:v>嘉实养老2040混合(FOF)A</x:v>
      </x:c>
      <x:c r="L1120" s="263" t="n">
        <x:v>46191</x:v>
      </x:c>
      <x:c r="M1120" s="261" t="n">
        <x:v>1.8225</x:v>
      </x:c>
      <x:c r="N1120" s="261" t="n">
        <x:f>IF(OR(L1120&lt;$B$3,L1120&gt;$D$3),"",IF(AND(J1120=J1119,N1119&lt;&gt;""),MAX(M1120,N1119),M1120))</x:f>
        <x:v>1.8225</x:v>
      </x:c>
      <x:c r="O1120" s="262" t="n">
        <x:f>IF(N1120="","",M1120/N1120-1)</x:f>
        <x:v>0</x:v>
      </x:c>
    </x:row>
    <x:row r="1121">
      <x:c r="J1121" s="257" t="str">
        <x:v>006307.OF</x:v>
      </x:c>
      <x:c r="K1121" s="258" t="str">
        <x:v>嘉实养老2040混合(FOF)A</x:v>
      </x:c>
      <x:c r="L1121" s="263" t="n">
        <x:v>46192</x:v>
      </x:c>
      <x:c r="M1121" s="261" t="n">
        <x:v>1.8225</x:v>
      </x:c>
      <x:c r="N1121" s="261" t="n">
        <x:f>IF(OR(L1121&lt;$B$3,L1121&gt;$D$3),"",IF(AND(J1121=J1120,N1120&lt;&gt;""),MAX(M1121,N1120),M1121))</x:f>
        <x:v>1.8225</x:v>
      </x:c>
      <x:c r="O1121" s="262" t="n">
        <x:f>IF(N1121="","",M1121/N1121-1)</x:f>
        <x:v>0</x:v>
      </x:c>
    </x:row>
    <x:row r="1122">
      <x:c r="J1122" s="257" t="str">
        <x:v>006307.OF</x:v>
      </x:c>
      <x:c r="K1122" s="258" t="str">
        <x:v>嘉实养老2040混合(FOF)A</x:v>
      </x:c>
      <x:c r="L1122" s="263" t="n">
        <x:v>46193</x:v>
      </x:c>
      <x:c r="M1122" s="261" t="n">
        <x:v>1.8225</x:v>
      </x:c>
      <x:c r="N1122" s="261" t="n">
        <x:f>IF(OR(L1122&lt;$B$3,L1122&gt;$D$3),"",IF(AND(J1122=J1121,N1121&lt;&gt;""),MAX(M1122,N1121),M1122))</x:f>
        <x:v>1.8225</x:v>
      </x:c>
      <x:c r="O1122" s="262" t="n">
        <x:f>IF(N1122="","",M1122/N1122-1)</x:f>
        <x:v>0</x:v>
      </x:c>
    </x:row>
    <x:row r="1123">
      <x:c r="J1123" s="257" t="str">
        <x:v>006307.OF</x:v>
      </x:c>
      <x:c r="K1123" s="258" t="str">
        <x:v>嘉实养老2040混合(FOF)A</x:v>
      </x:c>
      <x:c r="L1123" s="263" t="n">
        <x:v>46194</x:v>
      </x:c>
      <x:c r="M1123" s="261" t="n">
        <x:v>1.8225</x:v>
      </x:c>
      <x:c r="N1123" s="261" t="n">
        <x:f>IF(OR(L1123&lt;$B$3,L1123&gt;$D$3),"",IF(AND(J1123=J1122,N1122&lt;&gt;""),MAX(M1123,N1122),M1123))</x:f>
        <x:v>1.8225</x:v>
      </x:c>
      <x:c r="O1123" s="262" t="n">
        <x:f>IF(N1123="","",M1123/N1123-1)</x:f>
        <x:v>0</x:v>
      </x:c>
    </x:row>
    <x:row r="1124">
      <x:c r="J1124" s="257" t="str">
        <x:v>006307.OF</x:v>
      </x:c>
      <x:c r="K1124" s="258" t="str">
        <x:v>嘉实养老2040混合(FOF)A</x:v>
      </x:c>
      <x:c r="L1124" s="263" t="n">
        <x:v>46195</x:v>
      </x:c>
      <x:c r="M1124" s="261" t="n">
        <x:v>1.8439</x:v>
      </x:c>
      <x:c r="N1124" s="261" t="n">
        <x:f>IF(OR(L1124&lt;$B$3,L1124&gt;$D$3),"",IF(AND(J1124=J1123,N1123&lt;&gt;""),MAX(M1124,N1123),M1124))</x:f>
        <x:v>1.8439</x:v>
      </x:c>
      <x:c r="O1124" s="262" t="n">
        <x:f>IF(N1124="","",M1124/N1124-1)</x:f>
        <x:v>0</x:v>
      </x:c>
    </x:row>
    <x:row r="1125">
      <x:c r="J1125" s="257" t="str">
        <x:v>006307.OF</x:v>
      </x:c>
      <x:c r="K1125" s="258" t="str">
        <x:v>嘉实养老2040混合(FOF)A</x:v>
      </x:c>
      <x:c r="L1125" s="263" t="n">
        <x:v>46196</x:v>
      </x:c>
      <x:c r="M1125" s="261" t="n">
        <x:v>1.8168</x:v>
      </x:c>
      <x:c r="N1125" s="261" t="n">
        <x:f>IF(OR(L1125&lt;$B$3,L1125&gt;$D$3),"",IF(AND(J1125=J1124,N1124&lt;&gt;""),MAX(M1125,N1124),M1125))</x:f>
        <x:v>1.8439</x:v>
      </x:c>
      <x:c r="O1125" s="262" t="n">
        <x:f>IF(N1125="","",M1125/N1125-1)</x:f>
        <x:v>-0.01469710938771085</x:v>
      </x:c>
    </x:row>
    <x:row r="1126">
      <x:c r="J1126" s="257" t="str">
        <x:v>006307.OF</x:v>
      </x:c>
      <x:c r="K1126" s="258" t="str">
        <x:v>嘉实养老2040混合(FOF)A</x:v>
      </x:c>
      <x:c r="L1126" s="263" t="n">
        <x:v>46197</x:v>
      </x:c>
      <x:c r="M1126" s="261" t="n">
        <x:v>1.8391</x:v>
      </x:c>
      <x:c r="N1126" s="261" t="n">
        <x:f>IF(OR(L1126&lt;$B$3,L1126&gt;$D$3),"",IF(AND(J1126=J1125,N1125&lt;&gt;""),MAX(M1126,N1125),M1126))</x:f>
        <x:v>1.8439</x:v>
      </x:c>
      <x:c r="O1126" s="262" t="n">
        <x:f>IF(N1126="","",M1126/N1126-1)</x:f>
        <x:v>-0.0026031780465318732</x:v>
      </x:c>
    </x:row>
    <x:row r="1127">
      <x:c r="J1127" s="257" t="str">
        <x:v>006307.OF</x:v>
      </x:c>
      <x:c r="K1127" s="258" t="str">
        <x:v>嘉实养老2040混合(FOF)A</x:v>
      </x:c>
      <x:c r="L1127" s="263" t="n">
        <x:v>46198</x:v>
      </x:c>
      <x:c r="M1127" s="261" t="n">
        <x:v>1.8575</x:v>
      </x:c>
      <x:c r="N1127" s="261" t="n">
        <x:f>IF(OR(L1127&lt;$B$3,L1127&gt;$D$3),"",IF(AND(J1127=J1126,N1126&lt;&gt;""),MAX(M1127,N1126),M1127))</x:f>
        <x:v>1.8575</x:v>
      </x:c>
      <x:c r="O1127" s="262" t="n">
        <x:f>IF(N1127="","",M1127/N1127-1)</x:f>
        <x:v>0</x:v>
      </x:c>
    </x:row>
    <x:row r="1128">
      <x:c r="J1128" s="257" t="str">
        <x:v>006307.OF</x:v>
      </x:c>
      <x:c r="K1128" s="258" t="str">
        <x:v>嘉实养老2040混合(FOF)A</x:v>
      </x:c>
      <x:c r="L1128" s="263" t="n">
        <x:v>46199</x:v>
      </x:c>
      <x:c r="M1128" s="261" t="n">
        <x:v>1.8339</x:v>
      </x:c>
      <x:c r="N1128" s="261" t="n">
        <x:f>IF(OR(L1128&lt;$B$3,L1128&gt;$D$3),"",IF(AND(J1128=J1127,N1127&lt;&gt;""),MAX(M1128,N1127),M1128))</x:f>
        <x:v>1.8575</x:v>
      </x:c>
      <x:c r="O1128" s="262" t="n">
        <x:f>IF(N1128="","",M1128/N1128-1)</x:f>
        <x:v>-0.012705248990578677</x:v>
      </x:c>
    </x:row>
    <x:row r="1129">
      <x:c r="J1129" s="257" t="str">
        <x:v>006307.OF</x:v>
      </x:c>
      <x:c r="K1129" s="258" t="str">
        <x:v>嘉实养老2040混合(FOF)A</x:v>
      </x:c>
      <x:c r="L1129" s="263" t="n">
        <x:v>46200</x:v>
      </x:c>
      <x:c r="M1129" s="261" t="n">
        <x:v>1.8339</x:v>
      </x:c>
      <x:c r="N1129" s="261" t="n">
        <x:f>IF(OR(L1129&lt;$B$3,L1129&gt;$D$3),"",IF(AND(J1129=J1128,N1128&lt;&gt;""),MAX(M1129,N1128),M1129))</x:f>
        <x:v>1.8575</x:v>
      </x:c>
      <x:c r="O1129" s="262" t="n">
        <x:f>IF(N1129="","",M1129/N1129-1)</x:f>
        <x:v>-0.012705248990578677</x:v>
      </x:c>
    </x:row>
    <x:row r="1130">
      <x:c r="J1130" s="257" t="str">
        <x:v>006307.OF</x:v>
      </x:c>
      <x:c r="K1130" s="258" t="str">
        <x:v>嘉实养老2040混合(FOF)A</x:v>
      </x:c>
      <x:c r="L1130" s="263" t="n">
        <x:v>46201</x:v>
      </x:c>
      <x:c r="M1130" s="261" t="n">
        <x:v>1.8339</x:v>
      </x:c>
      <x:c r="N1130" s="261" t="n">
        <x:f>IF(OR(L1130&lt;$B$3,L1130&gt;$D$3),"",IF(AND(J1130=J1129,N1129&lt;&gt;""),MAX(M1130,N1129),M1130))</x:f>
        <x:v>1.8575</x:v>
      </x:c>
      <x:c r="O1130" s="262" t="n">
        <x:f>IF(N1130="","",M1130/N1130-1)</x:f>
        <x:v>-0.012705248990578677</x:v>
      </x:c>
    </x:row>
    <x:row r="1131">
      <x:c r="J1131" s="257" t="str">
        <x:v>006307.OF</x:v>
      </x:c>
      <x:c r="K1131" s="258" t="str">
        <x:v>嘉实养老2040混合(FOF)A</x:v>
      </x:c>
      <x:c r="L1131" s="263" t="n">
        <x:v>46202</x:v>
      </x:c>
      <x:c r="M1131" s="261" t="n">
        <x:v>1.851</x:v>
      </x:c>
      <x:c r="N1131" s="261" t="n">
        <x:f>IF(OR(L1131&lt;$B$3,L1131&gt;$D$3),"",IF(AND(J1131=J1130,N1130&lt;&gt;""),MAX(M1131,N1130),M1131))</x:f>
        <x:v>1.8575</x:v>
      </x:c>
      <x:c r="O1131" s="262" t="n">
        <x:f>IF(N1131="","",M1131/N1131-1)</x:f>
        <x:v>-0.003499327052489898</x:v>
      </x:c>
    </x:row>
    <x:row r="1132">
      <x:c r="J1132" s="257" t="str">
        <x:v>006307.OF</x:v>
      </x:c>
      <x:c r="K1132" s="258" t="str">
        <x:v>嘉实养老2040混合(FOF)A</x:v>
      </x:c>
      <x:c r="L1132" s="263" t="n">
        <x:v>46203</x:v>
      </x:c>
      <x:c r="M1132" s="261" t="n">
        <x:v>1.8719</x:v>
      </x:c>
      <x:c r="N1132" s="261" t="n">
        <x:f>IF(OR(L1132&lt;$B$3,L1132&gt;$D$3),"",IF(AND(J1132=J1131,N1131&lt;&gt;""),MAX(M1132,N1131),M1132))</x:f>
        <x:v>1.8719</x:v>
      </x:c>
      <x:c r="O1132" s="262" t="n">
        <x:f>IF(N1132="","",M1132/N1132-1)</x:f>
        <x:v>0</x:v>
      </x:c>
    </x:row>
    <x:row r="1133">
      <x:c r="J1133" s="257" t="str">
        <x:v>006307.OF</x:v>
      </x:c>
      <x:c r="K1133" s="258" t="str">
        <x:v>嘉实养老2040混合(FOF)A</x:v>
      </x:c>
      <x:c r="L1133" s="263" t="n">
        <x:v>46204</x:v>
      </x:c>
      <x:c r="M1133" s="261" t="n">
        <x:v>1.8666</x:v>
      </x:c>
      <x:c r="N1133" s="261" t="n">
        <x:f>IF(OR(L1133&lt;$B$3,L1133&gt;$D$3),"",IF(AND(J1133=J1132,N1132&lt;&gt;""),MAX(M1133,N1132),M1133))</x:f>
        <x:v>1.8719</x:v>
      </x:c>
      <x:c r="O1133" s="262" t="n">
        <x:f>IF(N1133="","",M1133/N1133-1)</x:f>
        <x:v>-0.0028313478284095472</x:v>
      </x:c>
    </x:row>
    <x:row r="1134">
      <x:c r="J1134" s="257" t="str">
        <x:v>006307.OF</x:v>
      </x:c>
      <x:c r="K1134" s="258" t="str">
        <x:v>嘉实养老2040混合(FOF)A</x:v>
      </x:c>
      <x:c r="L1134" s="263" t="n">
        <x:v>46205</x:v>
      </x:c>
      <x:c r="M1134" s="261" t="n">
        <x:v>1.8247</x:v>
      </x:c>
      <x:c r="N1134" s="261" t="n">
        <x:f>IF(OR(L1134&lt;$B$3,L1134&gt;$D$3),"",IF(AND(J1134=J1133,N1133&lt;&gt;""),MAX(M1134,N1133),M1134))</x:f>
        <x:v>1.8719</x:v>
      </x:c>
      <x:c r="O1134" s="262" t="n">
        <x:f>IF(N1134="","",M1134/N1134-1)</x:f>
        <x:v>-0.02521502216998761</x:v>
      </x:c>
    </x:row>
    <x:row r="1135">
      <x:c r="J1135" s="257" t="str">
        <x:v>006307.OF</x:v>
      </x:c>
      <x:c r="K1135" s="258" t="str">
        <x:v>嘉实养老2040混合(FOF)A</x:v>
      </x:c>
      <x:c r="L1135" s="263" t="n">
        <x:v>46206</x:v>
      </x:c>
      <x:c r="M1135" s="261" t="n">
        <x:v>1.84</x:v>
      </x:c>
      <x:c r="N1135" s="261" t="n">
        <x:f>IF(OR(L1135&lt;$B$3,L1135&gt;$D$3),"",IF(AND(J1135=J1134,N1134&lt;&gt;""),MAX(M1135,N1134),M1135))</x:f>
        <x:v>1.8719</x:v>
      </x:c>
      <x:c r="O1135" s="262" t="n">
        <x:f>IF(N1135="","",M1135/N1135-1)</x:f>
        <x:v>-0.017041508627597568</x:v>
      </x:c>
    </x:row>
    <x:row r="1136">
      <x:c r="J1136" s="257" t="str">
        <x:v>006307.OF</x:v>
      </x:c>
      <x:c r="K1136" s="258" t="str">
        <x:v>嘉实养老2040混合(FOF)A</x:v>
      </x:c>
      <x:c r="L1136" s="263" t="n">
        <x:v>46207</x:v>
      </x:c>
      <x:c r="M1136" s="261" t="n">
        <x:v>1.84</x:v>
      </x:c>
      <x:c r="N1136" s="261" t="n">
        <x:f>IF(OR(L1136&lt;$B$3,L1136&gt;$D$3),"",IF(AND(J1136=J1135,N1135&lt;&gt;""),MAX(M1136,N1135),M1136))</x:f>
        <x:v>1.8719</x:v>
      </x:c>
      <x:c r="O1136" s="262" t="n">
        <x:f>IF(N1136="","",M1136/N1136-1)</x:f>
        <x:v>-0.017041508627597568</x:v>
      </x:c>
    </x:row>
    <x:row r="1137">
      <x:c r="J1137" s="257" t="str">
        <x:v>006307.OF</x:v>
      </x:c>
      <x:c r="K1137" s="258" t="str">
        <x:v>嘉实养老2040混合(FOF)A</x:v>
      </x:c>
      <x:c r="L1137" s="263" t="n">
        <x:v>46208</x:v>
      </x:c>
      <x:c r="M1137" s="261" t="n">
        <x:v>1.84</x:v>
      </x:c>
      <x:c r="N1137" s="261" t="n">
        <x:f>IF(OR(L1137&lt;$B$3,L1137&gt;$D$3),"",IF(AND(J1137=J1136,N1136&lt;&gt;""),MAX(M1137,N1136),M1137))</x:f>
        <x:v>1.8719</x:v>
      </x:c>
      <x:c r="O1137" s="262" t="n">
        <x:f>IF(N1137="","",M1137/N1137-1)</x:f>
        <x:v>-0.017041508627597568</x:v>
      </x:c>
    </x:row>
    <x:row r="1138">
      <x:c r="J1138" s="257" t="str">
        <x:v>006307.OF</x:v>
      </x:c>
      <x:c r="K1138" s="258" t="str">
        <x:v>嘉实养老2040混合(FOF)A</x:v>
      </x:c>
      <x:c r="L1138" s="263" t="n">
        <x:v>46209</x:v>
      </x:c>
      <x:c r="M1138" s="261" t="n">
        <x:v>1.8305</x:v>
      </x:c>
      <x:c r="N1138" s="261" t="n">
        <x:f>IF(OR(L1138&lt;$B$3,L1138&gt;$D$3),"",IF(AND(J1138=J1137,N1137&lt;&gt;""),MAX(M1138,N1137),M1138))</x:f>
        <x:v>1.8719</x:v>
      </x:c>
      <x:c r="O1138" s="262" t="n">
        <x:f>IF(N1138="","",M1138/N1138-1)</x:f>
        <x:v>-0.022116566055878972</x:v>
      </x:c>
    </x:row>
    <x:row r="1139">
      <x:c r="J1139" s="257" t="str">
        <x:v>006307.OF</x:v>
      </x:c>
      <x:c r="K1139" s="258" t="str">
        <x:v>嘉实养老2040混合(FOF)A</x:v>
      </x:c>
      <x:c r="L1139" s="263" t="n">
        <x:v>46210</x:v>
      </x:c>
      <x:c r="M1139" s="261" t="n">
        <x:v>1.8083</x:v>
      </x:c>
      <x:c r="N1139" s="261" t="n">
        <x:f>IF(OR(L1139&lt;$B$3,L1139&gt;$D$3),"",IF(AND(J1139=J1138,N1138&lt;&gt;""),MAX(M1139,N1138),M1139))</x:f>
        <x:v>1.8719</x:v>
      </x:c>
      <x:c r="O1139" s="262" t="n">
        <x:f>IF(N1139="","",M1139/N1139-1)</x:f>
        <x:v>-0.033976173940915566</x:v>
      </x:c>
    </x:row>
    <x:row r="1140">
      <x:c r="J1140" s="257" t="str">
        <x:v>006307.OF</x:v>
      </x:c>
      <x:c r="K1140" s="258" t="str">
        <x:v>嘉实养老2040混合(FOF)A</x:v>
      </x:c>
      <x:c r="L1140" s="263" t="n">
        <x:v>46211</x:v>
      </x:c>
      <x:c r="M1140" s="261" t="n">
        <x:v>1.7959</x:v>
      </x:c>
      <x:c r="N1140" s="261" t="n">
        <x:f>IF(OR(L1140&lt;$B$3,L1140&gt;$D$3),"",IF(AND(J1140=J1139,N1139&lt;&gt;""),MAX(M1140,N1139),M1140))</x:f>
        <x:v>1.8719</x:v>
      </x:c>
      <x:c r="O1140" s="262" t="n">
        <x:f>IF(N1140="","",M1140/N1140-1)</x:f>
        <x:v>-0.040600459426251345</x:v>
      </x:c>
    </x:row>
    <x:row r="1141">
      <x:c r="J1141" s="257" t="str">
        <x:v>006307.OF</x:v>
      </x:c>
      <x:c r="K1141" s="258" t="str">
        <x:v>嘉实养老2040混合(FOF)A</x:v>
      </x:c>
      <x:c r="L1141" s="263" t="n">
        <x:v>46212</x:v>
      </x:c>
      <x:c r="M1141" s="261" t="n">
        <x:v>1.8255</x:v>
      </x:c>
      <x:c r="N1141" s="261" t="n">
        <x:f>IF(OR(L1141&lt;$B$3,L1141&gt;$D$3),"",IF(AND(J1141=J1140,N1140&lt;&gt;""),MAX(M1141,N1140),M1141))</x:f>
        <x:v>1.8719</x:v>
      </x:c>
      <x:c r="O1141" s="262" t="n">
        <x:f>IF(N1141="","",M1141/N1141-1)</x:f>
        <x:v>-0.02478764891286933</x:v>
      </x:c>
    </x:row>
    <x:row r="1142">
      <x:c r="J1142" s="257" t="str">
        <x:v>006307.OF</x:v>
      </x:c>
      <x:c r="K1142" s="258" t="str">
        <x:v>嘉实养老2040混合(FOF)A</x:v>
      </x:c>
      <x:c r="L1142" s="263" t="n">
        <x:v>46213</x:v>
      </x:c>
      <x:c r="M1142" s="261" t="n">
        <x:v>1.7994</x:v>
      </x:c>
      <x:c r="N1142" s="261" t="n">
        <x:f>IF(OR(L1142&lt;$B$3,L1142&gt;$D$3),"",IF(AND(J1142=J1141,N1141&lt;&gt;""),MAX(M1142,N1141),M1142))</x:f>
        <x:v>1.8719</x:v>
      </x:c>
      <x:c r="O1142" s="262" t="n">
        <x:f>IF(N1142="","",M1142/N1142-1)</x:f>
        <x:v>-0.03873070142635815</x:v>
      </x:c>
    </x:row>
    <x:row r="1143">
      <x:c r="J1143" s="257" t="str">
        <x:v>006307.OF</x:v>
      </x:c>
      <x:c r="K1143" s="258" t="str">
        <x:v>嘉实养老2040混合(FOF)A</x:v>
      </x:c>
      <x:c r="L1143" s="263" t="n">
        <x:v>46214</x:v>
      </x:c>
      <x:c r="M1143" s="261" t="n">
        <x:v>1.7994</x:v>
      </x:c>
      <x:c r="N1143" s="261" t="n">
        <x:f>IF(OR(L1143&lt;$B$3,L1143&gt;$D$3),"",IF(AND(J1143=J1142,N1142&lt;&gt;""),MAX(M1143,N1142),M1143))</x:f>
        <x:v>1.8719</x:v>
      </x:c>
      <x:c r="O1143" s="262" t="n">
        <x:f>IF(N1143="","",M1143/N1143-1)</x:f>
        <x:v>-0.03873070142635815</x:v>
      </x:c>
    </x:row>
    <x:row r="1144">
      <x:c r="J1144" s="257" t="str">
        <x:v>006307.OF</x:v>
      </x:c>
      <x:c r="K1144" s="258" t="str">
        <x:v>嘉实养老2040混合(FOF)A</x:v>
      </x:c>
      <x:c r="L1144" s="263" t="n">
        <x:v>46215</x:v>
      </x:c>
      <x:c r="M1144" s="261" t="n">
        <x:v>1.7994</x:v>
      </x:c>
      <x:c r="N1144" s="261" t="n">
        <x:f>IF(OR(L1144&lt;$B$3,L1144&gt;$D$3),"",IF(AND(J1144=J1143,N1143&lt;&gt;""),MAX(M1144,N1143),M1144))</x:f>
        <x:v>1.8719</x:v>
      </x:c>
      <x:c r="O1144" s="262" t="n">
        <x:f>IF(N1144="","",M1144/N1144-1)</x:f>
        <x:v>-0.03873070142635815</x:v>
      </x:c>
    </x:row>
    <x:row r="1145">
      <x:c r="J1145" s="257" t="str">
        <x:v>006307.OF</x:v>
      </x:c>
      <x:c r="K1145" s="258" t="str">
        <x:v>嘉实养老2040混合(FOF)A</x:v>
      </x:c>
      <x:c r="L1145" s="263" t="n">
        <x:v>46216</x:v>
      </x:c>
      <x:c r="M1145" s="261" t="n">
        <x:v>1.7544</x:v>
      </x:c>
      <x:c r="N1145" s="261" t="n">
        <x:f>IF(OR(L1145&lt;$B$3,L1145&gt;$D$3),"",IF(AND(J1145=J1144,N1144&lt;&gt;""),MAX(M1145,N1144),M1145))</x:f>
        <x:v>1.8719</x:v>
      </x:c>
      <x:c r="O1145" s="262" t="n">
        <x:f>IF(N1145="","",M1145/N1145-1)</x:f>
        <x:v>-0.06277044713927027</x:v>
      </x:c>
    </x:row>
    <x:row r="1146">
      <x:c r="J1146" s="257" t="str">
        <x:v>006307.OF</x:v>
      </x:c>
      <x:c r="K1146" s="258" t="str">
        <x:v>嘉实养老2040混合(FOF)A</x:v>
      </x:c>
      <x:c r="L1146" s="263" t="n">
        <x:v>46217</x:v>
      </x:c>
      <x:c r="M1146" s="261" t="n">
        <x:v>1.7896</x:v>
      </x:c>
      <x:c r="N1146" s="261" t="n">
        <x:f>IF(OR(L1146&lt;$B$3,L1146&gt;$D$3),"",IF(AND(J1146=J1145,N1145&lt;&gt;""),MAX(M1146,N1145),M1146))</x:f>
        <x:v>1.8719</x:v>
      </x:c>
      <x:c r="O1146" s="262" t="n">
        <x:f>IF(N1146="","",M1146/N1146-1)</x:f>
        <x:v>-0.043966023826058964</x:v>
      </x:c>
    </x:row>
    <x:row r="1147">
      <x:c r="J1147" s="257" t="str">
        <x:v>006307.OF</x:v>
      </x:c>
      <x:c r="K1147" s="258" t="str">
        <x:v>嘉实养老2040混合(FOF)A</x:v>
      </x:c>
      <x:c r="L1147" s="263" t="n">
        <x:v>46218</x:v>
      </x:c>
      <x:c r="M1147" s="261" t="n">
        <x:v>1.7794</x:v>
      </x:c>
      <x:c r="N1147" s="261" t="n">
        <x:f>IF(OR(L1147&lt;$B$3,L1147&gt;$D$3),"",IF(AND(J1147=J1146,N1146&lt;&gt;""),MAX(M1147,N1146),M1147))</x:f>
        <x:v>1.8719</x:v>
      </x:c>
      <x:c r="O1147" s="262" t="n">
        <x:f>IF(N1147="","",M1147/N1147-1)</x:f>
        <x:v>-0.04941503285431903</x:v>
      </x:c>
    </x:row>
    <x:row r="1148">
      <x:c r="J1148" s="257" t="str">
        <x:v>006307.OF</x:v>
      </x:c>
      <x:c r="K1148" s="258" t="str">
        <x:v>嘉实养老2040混合(FOF)A</x:v>
      </x:c>
      <x:c r="L1148" s="263" t="n">
        <x:v>46219</x:v>
      </x:c>
      <x:c r="M1148" s="261" t="n">
        <x:v>1.752</x:v>
      </x:c>
      <x:c r="N1148" s="261" t="n">
        <x:f>IF(OR(L1148&lt;$B$3,L1148&gt;$D$3),"",IF(AND(J1148=J1147,N1147&lt;&gt;""),MAX(M1148,N1147),M1148))</x:f>
        <x:v>1.8719</x:v>
      </x:c>
      <x:c r="O1148" s="262" t="n">
        <x:f>IF(N1148="","",M1148/N1148-1)</x:f>
        <x:v>-0.06405256691062555</x:v>
      </x:c>
    </x:row>
    <x:row r="1149">
      <x:c r="J1149" s="257" t="str">
        <x:v>006307.OF</x:v>
      </x:c>
      <x:c r="K1149" s="258" t="str">
        <x:v>嘉实养老2040混合(FOF)A</x:v>
      </x:c>
      <x:c r="L1149" s="263" t="n">
        <x:v>46220</x:v>
      </x:c>
      <x:c r="M1149" s="261" t="n">
        <x:v>1.6858</x:v>
      </x:c>
      <x:c r="N1149" s="261" t="n">
        <x:f>IF(OR(L1149&lt;$B$3,L1149&gt;$D$3),"",IF(AND(J1149=J1148,N1148&lt;&gt;""),MAX(M1149,N1148),M1149))</x:f>
        <x:v>1.8719</x:v>
      </x:c>
      <x:c r="O1149" s="262" t="n">
        <x:f>IF(N1149="","",M1149/N1149-1)</x:f>
        <x:v>-0.09941770393717608</x:v>
      </x:c>
    </x:row>
    <x:row r="1150">
      <x:c r="J1150" s="257" t="str">
        <x:v>006307.OF</x:v>
      </x:c>
      <x:c r="K1150" s="258" t="str">
        <x:v>嘉实养老2040混合(FOF)A</x:v>
      </x:c>
      <x:c r="L1150" s="263" t="n">
        <x:v>46221</x:v>
      </x:c>
      <x:c r="M1150" s="261" t="n">
        <x:v>1.6858</x:v>
      </x:c>
      <x:c r="N1150" s="261" t="n">
        <x:f>IF(OR(L1150&lt;$B$3,L1150&gt;$D$3),"",IF(AND(J1150=J1149,N1149&lt;&gt;""),MAX(M1150,N1149),M1150))</x:f>
        <x:v>1.8719</x:v>
      </x:c>
      <x:c r="O1150" s="262" t="n">
        <x:f>IF(N1150="","",M1150/N1150-1)</x:f>
        <x:v>-0.09941770393717608</x:v>
      </x:c>
    </x:row>
    <x:row r="1151">
      <x:c r="J1151" s="257" t="str">
        <x:v>006307.OF</x:v>
      </x:c>
      <x:c r="K1151" s="258" t="str">
        <x:v>嘉实养老2040混合(FOF)A</x:v>
      </x:c>
      <x:c r="L1151" s="263" t="n">
        <x:v>46222</x:v>
      </x:c>
      <x:c r="M1151" s="261" t="n">
        <x:v>1.6858</x:v>
      </x:c>
      <x:c r="N1151" s="261" t="n">
        <x:f>IF(OR(L1151&lt;$B$3,L1151&gt;$D$3),"",IF(AND(J1151=J1150,N1150&lt;&gt;""),MAX(M1151,N1150),M1151))</x:f>
        <x:v>1.8719</x:v>
      </x:c>
      <x:c r="O1151" s="262" t="n">
        <x:f>IF(N1151="","",M1151/N1151-1)</x:f>
        <x:v>-0.09941770393717608</x:v>
      </x:c>
    </x:row>
    <x:row r="1152">
      <x:c r="J1152" s="257" t="str">
        <x:v>006307.OF</x:v>
      </x:c>
      <x:c r="K1152" s="258" t="str">
        <x:v>嘉实养老2040混合(FOF)A</x:v>
      </x:c>
      <x:c r="L1152" s="263" t="n">
        <x:v>46223</x:v>
      </x:c>
      <x:c r="M1152" s="261" t="n">
        <x:v>1.6784</x:v>
      </x:c>
      <x:c r="N1152" s="261" t="n">
        <x:f>IF(OR(L1152&lt;$B$3,L1152&gt;$D$3),"",IF(AND(J1152=J1151,N1151&lt;&gt;""),MAX(M1152,N1151),M1152))</x:f>
        <x:v>1.8719</x:v>
      </x:c>
      <x:c r="O1152" s="262" t="n">
        <x:f>IF(N1152="","",M1152/N1152-1)</x:f>
        <x:v>-0.10337090656552173</x:v>
      </x:c>
    </x:row>
    <x:row r="1153">
      <x:c r="J1153" s="257" t="str">
        <x:v>006307.OF</x:v>
      </x:c>
      <x:c r="K1153" s="258" t="str">
        <x:v>嘉实养老2040混合(FOF)A</x:v>
      </x:c>
      <x:c r="L1153" s="263" t="n">
        <x:v>46224</x:v>
      </x:c>
      <x:c r="M1153" s="261" t="n">
        <x:v>1.7179</x:v>
      </x:c>
      <x:c r="N1153" s="261" t="n">
        <x:f>IF(OR(L1153&lt;$B$3,L1153&gt;$D$3),"",IF(AND(J1153=J1152,N1152&lt;&gt;""),MAX(M1153,N1152),M1153))</x:f>
        <x:v>1.8719</x:v>
      </x:c>
      <x:c r="O1153" s="262" t="n">
        <x:f>IF(N1153="","",M1153/N1153-1)</x:f>
        <x:v>-0.08226935199529883</x:v>
      </x:c>
    </x:row>
    <x:row r="1154">
      <x:c r="J1154" s="257" t="str">
        <x:v>006307.OF</x:v>
      </x:c>
      <x:c r="K1154" s="258" t="str">
        <x:v>嘉实养老2040混合(FOF)A</x:v>
      </x:c>
      <x:c r="L1154" s="263" t="n">
        <x:v>46225</x:v>
      </x:c>
      <x:c r="M1154" s="261" t="n">
        <x:v>1.7117</x:v>
      </x:c>
      <x:c r="N1154" s="261" t="n">
        <x:f>IF(OR(L1154&lt;$B$3,L1154&gt;$D$3),"",IF(AND(J1154=J1153,N1153&lt;&gt;""),MAX(M1154,N1153),M1154))</x:f>
        <x:v>1.8719</x:v>
      </x:c>
      <x:c r="O1154" s="262" t="n">
        <x:f>IF(N1154="","",M1154/N1154-1)</x:f>
        <x:v>-0.08558149473796672</x:v>
      </x:c>
    </x:row>
    <x:row r="1155">
      <x:c r="J1155" s="257" t="str">
        <x:v>006307.OF</x:v>
      </x:c>
      <x:c r="K1155" s="258" t="str">
        <x:v>嘉实养老2040混合(FOF)A</x:v>
      </x:c>
      <x:c r="L1155" s="263" t="n">
        <x:v>46226</x:v>
      </x:c>
      <x:c r="M1155" s="261" t="n">
        <x:v>1.7162</x:v>
      </x:c>
      <x:c r="N1155" s="261" t="n">
        <x:f>IF(OR(L1155&lt;$B$3,L1155&gt;$D$3),"",IF(AND(J1155=J1154,N1154&lt;&gt;""),MAX(M1155,N1154),M1155))</x:f>
        <x:v>1.8719</x:v>
      </x:c>
      <x:c r="O1155" s="262" t="n">
        <x:f>IF(N1155="","",M1155/N1155-1)</x:f>
        <x:v>-0.08317752016667557</x:v>
      </x:c>
    </x:row>
    <x:row r="1156">
      <x:c r="J1156" s="257" t="str">
        <x:v>006307.OF</x:v>
      </x:c>
      <x:c r="K1156" s="258" t="str">
        <x:v>嘉实养老2040混合(FOF)A</x:v>
      </x:c>
      <x:c r="L1156" s="263" t="n">
        <x:v>46227</x:v>
      </x:c>
      <x:c r="M1156" s="261" t="n">
        <x:v>1.6883</x:v>
      </x:c>
      <x:c r="N1156" s="261" t="n">
        <x:f>IF(OR(L1156&lt;$B$3,L1156&gt;$D$3),"",IF(AND(J1156=J1155,N1155&lt;&gt;""),MAX(M1156,N1155),M1156))</x:f>
        <x:v>1.8719</x:v>
      </x:c>
      <x:c r="O1156" s="262" t="n">
        <x:f>IF(N1156="","",M1156/N1156-1)</x:f>
        <x:v>-0.09808216250868107</x:v>
      </x:c>
    </x:row>
    <x:row r="1157">
      <x:c r="J1157" s="257" t="str">
        <x:v>006307.OF</x:v>
      </x:c>
      <x:c r="K1157" s="258" t="str">
        <x:v>嘉实养老2040混合(FOF)A</x:v>
      </x:c>
      <x:c r="L1157" s="263" t="n">
        <x:v>46228</x:v>
      </x:c>
      <x:c r="M1157" s="261" t="n">
        <x:v>1.6883</x:v>
      </x:c>
      <x:c r="N1157" s="261" t="n">
        <x:f>IF(OR(L1157&lt;$B$3,L1157&gt;$D$3),"",IF(AND(J1157=J1156,N1156&lt;&gt;""),MAX(M1157,N1156),M1157))</x:f>
        <x:v>1.8719</x:v>
      </x:c>
      <x:c r="O1157" s="262" t="n">
        <x:f>IF(N1157="","",M1157/N1157-1)</x:f>
        <x:v>-0.09808216250868107</x:v>
      </x:c>
    </x:row>
    <x:row r="1158">
      <x:c r="J1158" s="257" t="str">
        <x:v>006307.OF</x:v>
      </x:c>
      <x:c r="K1158" s="258" t="str">
        <x:v>嘉实养老2040混合(FOF)A</x:v>
      </x:c>
      <x:c r="L1158" s="263" t="n">
        <x:v>46229</x:v>
      </x:c>
      <x:c r="M1158" s="261" t="n">
        <x:v>1.6883</x:v>
      </x:c>
      <x:c r="N1158" s="261" t="n">
        <x:f>IF(OR(L1158&lt;$B$3,L1158&gt;$D$3),"",IF(AND(J1158=J1157,N1157&lt;&gt;""),MAX(M1158,N1157),M1158))</x:f>
        <x:v>1.8719</x:v>
      </x:c>
      <x:c r="O1158" s="262" t="n">
        <x:f>IF(N1158="","",M1158/N1158-1)</x:f>
        <x:v>-0.09808216250868107</x:v>
      </x:c>
    </x:row>
    <x:row r="1159">
      <x:c r="J1159" s="257" t="str">
        <x:v>006307.OF</x:v>
      </x:c>
      <x:c r="K1159" s="258" t="str">
        <x:v>嘉实养老2040混合(FOF)A</x:v>
      </x:c>
      <x:c r="L1159" s="263" t="n">
        <x:v>46230</x:v>
      </x:c>
      <x:c r="M1159" s="261" t="n">
        <x:v>1.7151</x:v>
      </x:c>
      <x:c r="N1159" s="261" t="n">
        <x:f>IF(OR(L1159&lt;$B$3,L1159&gt;$D$3),"",IF(AND(J1159=J1158,N1158&lt;&gt;""),MAX(M1159,N1158),M1159))</x:f>
        <x:v>1.8719</x:v>
      </x:c>
      <x:c r="O1159" s="262" t="n">
        <x:f>IF(N1159="","",M1159/N1159-1)</x:f>
        <x:v>-0.08376515839521337</x:v>
      </x:c>
    </x:row>
    <x:row r="1160">
      <x:c r="J1160" s="257" t="str">
        <x:v>006307.OF</x:v>
      </x:c>
      <x:c r="K1160" s="258" t="str">
        <x:v>嘉实养老2040混合(FOF)A</x:v>
      </x:c>
      <x:c r="L1160" s="263" t="n">
        <x:v>46231</x:v>
      </x:c>
      <x:c r="M1160" s="261" t="n">
        <x:v>1.671</x:v>
      </x:c>
      <x:c r="N1160" s="261" t="n">
        <x:f>IF(OR(L1160&lt;$B$3,L1160&gt;$D$3),"",IF(AND(J1160=J1159,N1159&lt;&gt;""),MAX(M1160,N1159),M1160))</x:f>
        <x:v>1.8719</x:v>
      </x:c>
      <x:c r="O1160" s="262" t="n">
        <x:f>IF(N1160="","",M1160/N1160-1)</x:f>
        <x:v>-0.10732410919386715</x:v>
      </x:c>
    </x:row>
    <x:row r="1161">
      <x:c r="J1161" s="257" t="str">
        <x:v>006307.OF</x:v>
      </x:c>
      <x:c r="K1161" s="258" t="str">
        <x:v>嘉实养老2040混合(FOF)A</x:v>
      </x:c>
      <x:c r="L1161" s="263" t="n">
        <x:v>46232</x:v>
      </x:c>
      <x:c r="M1161" s="261" t="n">
        <x:v>1.6819</x:v>
      </x:c>
      <x:c r="N1161" s="261" t="n">
        <x:f>IF(OR(L1161&lt;$B$3,L1161&gt;$D$3),"",IF(AND(J1161=J1160,N1160&lt;&gt;""),MAX(M1161,N1160),M1161))</x:f>
        <x:v>1.8719</x:v>
      </x:c>
      <x:c r="O1161" s="262" t="n">
        <x:f>IF(N1161="","",M1161/N1161-1)</x:f>
        <x:v>-0.10150114856562853</x:v>
      </x:c>
    </x:row>
    <x:row r="1162">
      <x:c r="J1162" s="257" t="str">
        <x:v>006307.OF</x:v>
      </x:c>
      <x:c r="K1162" s="258" t="str">
        <x:v>嘉实养老2040混合(FOF)A</x:v>
      </x:c>
      <x:c r="L1162" s="263" t="n">
        <x:v>46233</x:v>
      </x:c>
      <x:c r="M1162" s="261" t="n">
        <x:v>1.6522</x:v>
      </x:c>
      <x:c r="N1162" s="261" t="n">
        <x:f>IF(OR(L1162&lt;$B$3,L1162&gt;$D$3),"",IF(AND(J1162=J1161,N1161&lt;&gt;""),MAX(M1162,N1161),M1162))</x:f>
        <x:v>1.8719</x:v>
      </x:c>
      <x:c r="O1162" s="262" t="n">
        <x:f>IF(N1162="","",M1162/N1162-1)</x:f>
        <x:v>-0.1173673807361505</x:v>
      </x:c>
    </x:row>
    <x:row r="1163">
      <x:c r="J1163" s="257" t="str">
        <x:v>006307.OF</x:v>
      </x:c>
      <x:c r="K1163" s="258" t="str">
        <x:v>嘉实养老2040混合(FOF)A</x:v>
      </x:c>
      <x:c r="L1163" s="263" t="n">
        <x:v>46234</x:v>
      </x:c>
      <x:c r="M1163" s="261" t="n">
        <x:v>1.6716</x:v>
      </x:c>
      <x:c r="N1163" s="261" t="n">
        <x:f>IF(OR(L1163&lt;$B$3,L1163&gt;$D$3),"",IF(AND(J1163=J1162,N1162&lt;&gt;""),MAX(M1163,N1162),M1163))</x:f>
        <x:v>1.8719</x:v>
      </x:c>
      <x:c r="O1163" s="262" t="n">
        <x:f>IF(N1163="","",M1163/N1163-1)</x:f>
        <x:v>-0.10700357925102832</x:v>
      </x:c>
    </x:row>
    <x:row r="1164">
      <x:c r="J1164" s="257" t="str">
        <x:v>006307.OF</x:v>
      </x:c>
      <x:c r="K1164" s="258" t="str">
        <x:v>嘉实养老2040混合(FOF)A</x:v>
      </x:c>
      <x:c r="L1164" s="263" t="n">
        <x:v>46235</x:v>
      </x:c>
      <x:c r="M1164" s="261" t="n">
        <x:v>1.6716</x:v>
      </x:c>
      <x:c r="N1164" s="261" t="n">
        <x:f>IF(OR(L1164&lt;$B$3,L1164&gt;$D$3),"",IF(AND(J1164=J1163,N1163&lt;&gt;""),MAX(M1164,N1163),M1164))</x:f>
        <x:v>1.8719</x:v>
      </x:c>
      <x:c r="O1164" s="262" t="n">
        <x:f>IF(N1164="","",M1164/N1164-1)</x:f>
        <x:v>-0.10700357925102832</x:v>
      </x:c>
    </x:row>
    <x:row r="1165">
      <x:c r="J1165" s="257" t="str">
        <x:v>006307.OF</x:v>
      </x:c>
      <x:c r="K1165" s="258" t="str">
        <x:v>嘉实养老2040混合(FOF)A</x:v>
      </x:c>
      <x:c r="L1165" s="263" t="n">
        <x:v>46236</x:v>
      </x:c>
      <x:c r="M1165" s="261" t="n">
        <x:v>1.6716</x:v>
      </x:c>
      <x:c r="N1165" s="261" t="n">
        <x:f>IF(OR(L1165&lt;$B$3,L1165&gt;$D$3),"",IF(AND(J1165=J1164,N1164&lt;&gt;""),MAX(M1165,N1164),M1165))</x:f>
        <x:v>1.8719</x:v>
      </x:c>
      <x:c r="O1165" s="262" t="n">
        <x:f>IF(N1165="","",M1165/N1165-1)</x:f>
        <x:v>-0.10700357925102832</x:v>
      </x:c>
    </x:row>
    <x:row r="1166">
      <x:c r="J1166" s="257" t="str">
        <x:v>006307.OF</x:v>
      </x:c>
      <x:c r="K1166" s="258" t="str">
        <x:v>嘉实养老2040混合(FOF)A</x:v>
      </x:c>
      <x:c r="L1166" s="263" t="n">
        <x:v>46237</x:v>
      </x:c>
      <x:c r="M1166" s="261" t="n">
        <x:v>1.6592</x:v>
      </x:c>
      <x:c r="N1166" s="261" t="n">
        <x:f>IF(OR(L1166&lt;$B$3,L1166&gt;$D$3),"",IF(AND(J1166=J1165,N1165&lt;&gt;""),MAX(M1166,N1165),M1166))</x:f>
        <x:v>1.8719</x:v>
      </x:c>
      <x:c r="O1166" s="262" t="n">
        <x:f>IF(N1166="","",M1166/N1166-1)</x:f>
        <x:v>-0.1136278647363641</x:v>
      </x:c>
    </x:row>
    <x:row r="1167">
      <x:c r="J1167" s="257" t="str">
        <x:v>006307.OF</x:v>
      </x:c>
      <x:c r="K1167" s="258" t="str">
        <x:v>嘉实养老2040混合(FOF)A</x:v>
      </x:c>
      <x:c r="L1167" s="263" t="n">
        <x:v>46238</x:v>
      </x:c>
      <x:c r="M1167" s="261" t="n">
        <x:v>1.6911</x:v>
      </x:c>
      <x:c r="N1167" s="261" t="n">
        <x:f>IF(OR(L1167&lt;$B$3,L1167&gt;$D$3),"",IF(AND(J1167=J1166,N1166&lt;&gt;""),MAX(M1167,N1166),M1167))</x:f>
        <x:v>1.8719</x:v>
      </x:c>
      <x:c r="O1167" s="262" t="n">
        <x:f>IF(N1167="","",M1167/N1167-1)</x:f>
        <x:v>-0.09658635610876642</x:v>
      </x:c>
    </x:row>
    <x:row r="1168">
      <x:c r="J1168" s="257" t="str">
        <x:v>006307.OF</x:v>
      </x:c>
      <x:c r="K1168" s="258" t="str">
        <x:v>嘉实养老2040混合(FOF)A</x:v>
      </x:c>
      <x:c r="L1168" s="263" t="n">
        <x:v>46239</x:v>
      </x:c>
      <x:c r="M1168" s="261" t="n">
        <x:v>1.7217</x:v>
      </x:c>
      <x:c r="N1168" s="261" t="n">
        <x:f>IF(OR(L1168&lt;$B$3,L1168&gt;$D$3),"",IF(AND(J1168=J1167,N1167&lt;&gt;""),MAX(M1168,N1167),M1168))</x:f>
        <x:v>1.8719</x:v>
      </x:c>
      <x:c r="O1168" s="262" t="n">
        <x:f>IF(N1168="","",M1168/N1168-1)</x:f>
        <x:v>-0.08023932902398623</x:v>
      </x:c>
    </x:row>
    <x:row r="1169">
      <x:c r="J1169" s="257" t="str">
        <x:v>006307.OF</x:v>
      </x:c>
      <x:c r="K1169" s="258" t="str">
        <x:v>嘉实养老2040混合(FOF)A</x:v>
      </x:c>
      <x:c r="L1169" s="263" t="n">
        <x:v>46240</x:v>
      </x:c>
      <x:c r="M1169" s="261" t="n">
        <x:v>1.7306</x:v>
      </x:c>
      <x:c r="N1169" s="261" t="n">
        <x:f>IF(OR(L1169&lt;$B$3,L1169&gt;$D$3),"",IF(AND(J1169=J1168,N1168&lt;&gt;""),MAX(M1169,N1168),M1169))</x:f>
        <x:v>1.8719</x:v>
      </x:c>
      <x:c r="O1169" s="262" t="n">
        <x:f>IF(N1169="","",M1169/N1169-1)</x:f>
        <x:v>-0.07548480153854376</x:v>
      </x:c>
    </x:row>
    <x:row r="1170">
      <x:c r="J1170" s="257" t="str">
        <x:v>006307.OF</x:v>
      </x:c>
      <x:c r="K1170" s="258" t="str">
        <x:v>嘉实养老2040混合(FOF)A</x:v>
      </x:c>
      <x:c r="L1170" s="263" t="n">
        <x:v>46241</x:v>
      </x:c>
      <x:c r="M1170" s="261" t="n">
        <x:v>1.754</x:v>
      </x:c>
      <x:c r="N1170" s="261" t="n">
        <x:f>IF(OR(L1170&lt;$B$3,L1170&gt;$D$3),"",IF(AND(J1170=J1169,N1169&lt;&gt;""),MAX(M1170,N1169),M1170))</x:f>
        <x:v>1.8719</x:v>
      </x:c>
      <x:c r="O1170" s="262" t="n">
        <x:f>IF(N1170="","",M1170/N1170-1)</x:f>
        <x:v>-0.06298413376782941</x:v>
      </x:c>
    </x:row>
    <x:row r="1171">
      <x:c r="J1171" s="257" t="str">
        <x:v>006307.OF</x:v>
      </x:c>
      <x:c r="K1171" s="258" t="str">
        <x:v>嘉实养老2040混合(FOF)A</x:v>
      </x:c>
      <x:c r="L1171" s="263" t="n">
        <x:v>46242</x:v>
      </x:c>
      <x:c r="M1171" s="261" t="n">
        <x:v>1.754</x:v>
      </x:c>
      <x:c r="N1171" s="261" t="n">
        <x:f>IF(OR(L1171&lt;$B$3,L1171&gt;$D$3),"",IF(AND(J1171=J1170,N1170&lt;&gt;""),MAX(M1171,N1170),M1171))</x:f>
        <x:v>1.8719</x:v>
      </x:c>
      <x:c r="O1171" s="262" t="n">
        <x:f>IF(N1171="","",M1171/N1171-1)</x:f>
        <x:v>-0.06298413376782941</x:v>
      </x:c>
    </x:row>
    <x:row r="1172">
      <x:c r="J1172" s="257" t="str">
        <x:v>006307.OF</x:v>
      </x:c>
      <x:c r="K1172" s="258" t="str">
        <x:v>嘉实养老2040混合(FOF)A</x:v>
      </x:c>
      <x:c r="L1172" s="263" t="n">
        <x:v>46243</x:v>
      </x:c>
      <x:c r="M1172" s="261" t="n">
        <x:v>1.754</x:v>
      </x:c>
      <x:c r="N1172" s="261" t="n">
        <x:f>IF(OR(L1172&lt;$B$3,L1172&gt;$D$3),"",IF(AND(J1172=J1171,N1171&lt;&gt;""),MAX(M1172,N1171),M1172))</x:f>
        <x:v>1.8719</x:v>
      </x:c>
      <x:c r="O1172" s="262" t="n">
        <x:f>IF(N1172="","",M1172/N1172-1)</x:f>
        <x:v>-0.06298413376782941</x:v>
      </x:c>
    </x:row>
    <x:row r="1173">
      <x:c r="J1173" s="257" t="str">
        <x:v>006307.OF</x:v>
      </x:c>
      <x:c r="K1173" s="258" t="str">
        <x:v>嘉实养老2040混合(FOF)A</x:v>
      </x:c>
      <x:c r="L1173" s="263" t="n">
        <x:v>46244</x:v>
      </x:c>
      <x:c r="M1173" s="261" t="n">
        <x:v>1.754</x:v>
      </x:c>
      <x:c r="N1173" s="261" t="n">
        <x:f>IF(OR(L1173&lt;$B$3,L1173&gt;$D$3),"",IF(AND(J1173=J1172,N1172&lt;&gt;""),MAX(M1173,N1172),M1173))</x:f>
        <x:v>1.8719</x:v>
      </x:c>
      <x:c r="O1173" s="262" t="n">
        <x:f>IF(N1173="","",M1173/N1173-1)</x:f>
        <x:v>-0.06298413376782941</x:v>
      </x:c>
    </x:row>
    <x:row r="1174">
      <x:c r="J1174" s="257" t="str">
        <x:v>003458.OF</x:v>
      </x:c>
      <x:c r="K1174" s="258" t="str">
        <x:v>嘉实稳宏债券A</x:v>
      </x:c>
      <x:c r="L1174" s="263" t="n">
        <x:v>46191</x:v>
      </x:c>
      <x:c r="M1174" s="261" t="n">
        <x:v>2.002</x:v>
      </x:c>
      <x:c r="N1174" s="261" t="n">
        <x:f>IF(OR(L1174&lt;$B$3,L1174&gt;$D$3),"",IF(AND(J1174=J1173,N1173&lt;&gt;""),MAX(M1174,N1173),M1174))</x:f>
        <x:v>2.002</x:v>
      </x:c>
      <x:c r="O1174" s="262" t="n">
        <x:f>IF(N1174="","",M1174/N1174-1)</x:f>
        <x:v>0</x:v>
      </x:c>
    </x:row>
    <x:row r="1175">
      <x:c r="J1175" s="257" t="str">
        <x:v>003458.OF</x:v>
      </x:c>
      <x:c r="K1175" s="258" t="str">
        <x:v>嘉实稳宏债券A</x:v>
      </x:c>
      <x:c r="L1175" s="263" t="n">
        <x:v>46192</x:v>
      </x:c>
      <x:c r="M1175" s="261" t="n">
        <x:v>2.002</x:v>
      </x:c>
      <x:c r="N1175" s="261" t="n">
        <x:f>IF(OR(L1175&lt;$B$3,L1175&gt;$D$3),"",IF(AND(J1175=J1174,N1174&lt;&gt;""),MAX(M1175,N1174),M1175))</x:f>
        <x:v>2.002</x:v>
      </x:c>
      <x:c r="O1175" s="262" t="n">
        <x:f>IF(N1175="","",M1175/N1175-1)</x:f>
        <x:v>0</x:v>
      </x:c>
    </x:row>
    <x:row r="1176">
      <x:c r="J1176" s="257" t="str">
        <x:v>003458.OF</x:v>
      </x:c>
      <x:c r="K1176" s="258" t="str">
        <x:v>嘉实稳宏债券A</x:v>
      </x:c>
      <x:c r="L1176" s="263" t="n">
        <x:v>46193</x:v>
      </x:c>
      <x:c r="M1176" s="261" t="n">
        <x:v>2.002</x:v>
      </x:c>
      <x:c r="N1176" s="261" t="n">
        <x:f>IF(OR(L1176&lt;$B$3,L1176&gt;$D$3),"",IF(AND(J1176=J1175,N1175&lt;&gt;""),MAX(M1176,N1175),M1176))</x:f>
        <x:v>2.002</x:v>
      </x:c>
      <x:c r="O1176" s="262" t="n">
        <x:f>IF(N1176="","",M1176/N1176-1)</x:f>
        <x:v>0</x:v>
      </x:c>
    </x:row>
    <x:row r="1177">
      <x:c r="J1177" s="257" t="str">
        <x:v>003458.OF</x:v>
      </x:c>
      <x:c r="K1177" s="258" t="str">
        <x:v>嘉实稳宏债券A</x:v>
      </x:c>
      <x:c r="L1177" s="263" t="n">
        <x:v>46194</x:v>
      </x:c>
      <x:c r="M1177" s="261" t="n">
        <x:v>2.002</x:v>
      </x:c>
      <x:c r="N1177" s="261" t="n">
        <x:f>IF(OR(L1177&lt;$B$3,L1177&gt;$D$3),"",IF(AND(J1177=J1176,N1176&lt;&gt;""),MAX(M1177,N1176),M1177))</x:f>
        <x:v>2.002</x:v>
      </x:c>
      <x:c r="O1177" s="262" t="n">
        <x:f>IF(N1177="","",M1177/N1177-1)</x:f>
        <x:v>0</x:v>
      </x:c>
    </x:row>
    <x:row r="1178">
      <x:c r="J1178" s="257" t="str">
        <x:v>003458.OF</x:v>
      </x:c>
      <x:c r="K1178" s="258" t="str">
        <x:v>嘉实稳宏债券A</x:v>
      </x:c>
      <x:c r="L1178" s="263" t="n">
        <x:v>46195</x:v>
      </x:c>
      <x:c r="M1178" s="261" t="n">
        <x:v>2.0277</x:v>
      </x:c>
      <x:c r="N1178" s="261" t="n">
        <x:f>IF(OR(L1178&lt;$B$3,L1178&gt;$D$3),"",IF(AND(J1178=J1177,N1177&lt;&gt;""),MAX(M1178,N1177),M1178))</x:f>
        <x:v>2.0277</x:v>
      </x:c>
      <x:c r="O1178" s="262" t="n">
        <x:f>IF(N1178="","",M1178/N1178-1)</x:f>
        <x:v>0</x:v>
      </x:c>
    </x:row>
    <x:row r="1179">
      <x:c r="J1179" s="257" t="str">
        <x:v>003458.OF</x:v>
      </x:c>
      <x:c r="K1179" s="258" t="str">
        <x:v>嘉实稳宏债券A</x:v>
      </x:c>
      <x:c r="L1179" s="263" t="n">
        <x:v>46196</x:v>
      </x:c>
      <x:c r="M1179" s="261" t="n">
        <x:v>1.9895</x:v>
      </x:c>
      <x:c r="N1179" s="261" t="n">
        <x:f>IF(OR(L1179&lt;$B$3,L1179&gt;$D$3),"",IF(AND(J1179=J1178,N1178&lt;&gt;""),MAX(M1179,N1178),M1179))</x:f>
        <x:v>2.0277</x:v>
      </x:c>
      <x:c r="O1179" s="262" t="n">
        <x:f>IF(N1179="","",M1179/N1179-1)</x:f>
        <x:v>-0.018839078759185224</x:v>
      </x:c>
    </x:row>
    <x:row r="1180">
      <x:c r="J1180" s="257" t="str">
        <x:v>003458.OF</x:v>
      </x:c>
      <x:c r="K1180" s="258" t="str">
        <x:v>嘉实稳宏债券A</x:v>
      </x:c>
      <x:c r="L1180" s="263" t="n">
        <x:v>46197</x:v>
      </x:c>
      <x:c r="M1180" s="261" t="n">
        <x:v>2.0242</x:v>
      </x:c>
      <x:c r="N1180" s="261" t="n">
        <x:f>IF(OR(L1180&lt;$B$3,L1180&gt;$D$3),"",IF(AND(J1180=J1179,N1179&lt;&gt;""),MAX(M1180,N1179),M1180))</x:f>
        <x:v>2.0277</x:v>
      </x:c>
      <x:c r="O1180" s="262" t="n">
        <x:f>IF(N1180="","",M1180/N1180-1)</x:f>
        <x:v>-0.0017260936035902175</x:v>
      </x:c>
    </x:row>
    <x:row r="1181">
      <x:c r="J1181" s="257" t="str">
        <x:v>003458.OF</x:v>
      </x:c>
      <x:c r="K1181" s="258" t="str">
        <x:v>嘉实稳宏债券A</x:v>
      </x:c>
      <x:c r="L1181" s="263" t="n">
        <x:v>46198</x:v>
      </x:c>
      <x:c r="M1181" s="261" t="n">
        <x:v>2.0298</x:v>
      </x:c>
      <x:c r="N1181" s="261" t="n">
        <x:f>IF(OR(L1181&lt;$B$3,L1181&gt;$D$3),"",IF(AND(J1181=J1180,N1180&lt;&gt;""),MAX(M1181,N1180),M1181))</x:f>
        <x:v>2.0298</x:v>
      </x:c>
      <x:c r="O1181" s="262" t="n">
        <x:f>IF(N1181="","",M1181/N1181-1)</x:f>
        <x:v>0</x:v>
      </x:c>
    </x:row>
    <x:row r="1182">
      <x:c r="J1182" s="257" t="str">
        <x:v>003458.OF</x:v>
      </x:c>
      <x:c r="K1182" s="258" t="str">
        <x:v>嘉实稳宏债券A</x:v>
      </x:c>
      <x:c r="L1182" s="263" t="n">
        <x:v>46199</x:v>
      </x:c>
      <x:c r="M1182" s="261" t="n">
        <x:v>2.0048</x:v>
      </x:c>
      <x:c r="N1182" s="261" t="n">
        <x:f>IF(OR(L1182&lt;$B$3,L1182&gt;$D$3),"",IF(AND(J1182=J1181,N1181&lt;&gt;""),MAX(M1182,N1181),M1182))</x:f>
        <x:v>2.0298</x:v>
      </x:c>
      <x:c r="O1182" s="262" t="n">
        <x:f>IF(N1182="","",M1182/N1182-1)</x:f>
        <x:v>-0.012316484382697723</x:v>
      </x:c>
    </x:row>
    <x:row r="1183">
      <x:c r="J1183" s="257" t="str">
        <x:v>003458.OF</x:v>
      </x:c>
      <x:c r="K1183" s="258" t="str">
        <x:v>嘉实稳宏债券A</x:v>
      </x:c>
      <x:c r="L1183" s="263" t="n">
        <x:v>46200</x:v>
      </x:c>
      <x:c r="M1183" s="261" t="n">
        <x:v>2.0048</x:v>
      </x:c>
      <x:c r="N1183" s="261" t="n">
        <x:f>IF(OR(L1183&lt;$B$3,L1183&gt;$D$3),"",IF(AND(J1183=J1182,N1182&lt;&gt;""),MAX(M1183,N1182),M1183))</x:f>
        <x:v>2.0298</x:v>
      </x:c>
      <x:c r="O1183" s="262" t="n">
        <x:f>IF(N1183="","",M1183/N1183-1)</x:f>
        <x:v>-0.012316484382697723</x:v>
      </x:c>
    </x:row>
    <x:row r="1184">
      <x:c r="J1184" s="257" t="str">
        <x:v>003458.OF</x:v>
      </x:c>
      <x:c r="K1184" s="258" t="str">
        <x:v>嘉实稳宏债券A</x:v>
      </x:c>
      <x:c r="L1184" s="263" t="n">
        <x:v>46201</x:v>
      </x:c>
      <x:c r="M1184" s="261" t="n">
        <x:v>2.0048</x:v>
      </x:c>
      <x:c r="N1184" s="261" t="n">
        <x:f>IF(OR(L1184&lt;$B$3,L1184&gt;$D$3),"",IF(AND(J1184=J1183,N1183&lt;&gt;""),MAX(M1184,N1183),M1184))</x:f>
        <x:v>2.0298</x:v>
      </x:c>
      <x:c r="O1184" s="262" t="n">
        <x:f>IF(N1184="","",M1184/N1184-1)</x:f>
        <x:v>-0.012316484382697723</x:v>
      </x:c>
    </x:row>
    <x:row r="1185">
      <x:c r="J1185" s="257" t="str">
        <x:v>003458.OF</x:v>
      </x:c>
      <x:c r="K1185" s="258" t="str">
        <x:v>嘉实稳宏债券A</x:v>
      </x:c>
      <x:c r="L1185" s="263" t="n">
        <x:v>46202</x:v>
      </x:c>
      <x:c r="M1185" s="261" t="n">
        <x:v>2.0159</x:v>
      </x:c>
      <x:c r="N1185" s="261" t="n">
        <x:f>IF(OR(L1185&lt;$B$3,L1185&gt;$D$3),"",IF(AND(J1185=J1184,N1184&lt;&gt;""),MAX(M1185,N1184),M1185))</x:f>
        <x:v>2.0298</x:v>
      </x:c>
      <x:c r="O1185" s="262" t="n">
        <x:f>IF(N1185="","",M1185/N1185-1)</x:f>
        <x:v>-0.0068479653167800025</x:v>
      </x:c>
    </x:row>
    <x:row r="1186">
      <x:c r="J1186" s="257" t="str">
        <x:v>003458.OF</x:v>
      </x:c>
      <x:c r="K1186" s="258" t="str">
        <x:v>嘉实稳宏债券A</x:v>
      </x:c>
      <x:c r="L1186" s="263" t="n">
        <x:v>46203</x:v>
      </x:c>
      <x:c r="M1186" s="261" t="n">
        <x:v>2.0611</x:v>
      </x:c>
      <x:c r="N1186" s="261" t="n">
        <x:f>IF(OR(L1186&lt;$B$3,L1186&gt;$D$3),"",IF(AND(J1186=J1185,N1185&lt;&gt;""),MAX(M1186,N1185),M1186))</x:f>
        <x:v>2.0611</x:v>
      </x:c>
      <x:c r="O1186" s="262" t="n">
        <x:f>IF(N1186="","",M1186/N1186-1)</x:f>
        <x:v>0</x:v>
      </x:c>
    </x:row>
    <x:row r="1187">
      <x:c r="J1187" s="257" t="str">
        <x:v>003458.OF</x:v>
      </x:c>
      <x:c r="K1187" s="258" t="str">
        <x:v>嘉实稳宏债券A</x:v>
      </x:c>
      <x:c r="L1187" s="263" t="n">
        <x:v>46204</x:v>
      </x:c>
      <x:c r="M1187" s="261" t="n">
        <x:v>2.0424</x:v>
      </x:c>
      <x:c r="N1187" s="261" t="n">
        <x:f>IF(OR(L1187&lt;$B$3,L1187&gt;$D$3),"",IF(AND(J1187=J1186,N1186&lt;&gt;""),MAX(M1187,N1186),M1187))</x:f>
        <x:v>2.0611</x:v>
      </x:c>
      <x:c r="O1187" s="262" t="n">
        <x:f>IF(N1187="","",M1187/N1187-1)</x:f>
        <x:v>-0.009072825190432288</x:v>
      </x:c>
    </x:row>
    <x:row r="1188">
      <x:c r="J1188" s="257" t="str">
        <x:v>003458.OF</x:v>
      </x:c>
      <x:c r="K1188" s="258" t="str">
        <x:v>嘉实稳宏债券A</x:v>
      </x:c>
      <x:c r="L1188" s="263" t="n">
        <x:v>46205</x:v>
      </x:c>
      <x:c r="M1188" s="261" t="n">
        <x:v>1.9739</x:v>
      </x:c>
      <x:c r="N1188" s="261" t="n">
        <x:f>IF(OR(L1188&lt;$B$3,L1188&gt;$D$3),"",IF(AND(J1188=J1187,N1187&lt;&gt;""),MAX(M1188,N1187),M1188))</x:f>
        <x:v>2.0611</x:v>
      </x:c>
      <x:c r="O1188" s="262" t="n">
        <x:f>IF(N1188="","",M1188/N1188-1)</x:f>
        <x:v>-0.04230750570083941</x:v>
      </x:c>
    </x:row>
    <x:row r="1189">
      <x:c r="J1189" s="257" t="str">
        <x:v>003458.OF</x:v>
      </x:c>
      <x:c r="K1189" s="258" t="str">
        <x:v>嘉实稳宏债券A</x:v>
      </x:c>
      <x:c r="L1189" s="263" t="n">
        <x:v>46206</x:v>
      </x:c>
      <x:c r="M1189" s="261" t="n">
        <x:v>1.9808</x:v>
      </x:c>
      <x:c r="N1189" s="261" t="n">
        <x:f>IF(OR(L1189&lt;$B$3,L1189&gt;$D$3),"",IF(AND(J1189=J1188,N1188&lt;&gt;""),MAX(M1189,N1188),M1189))</x:f>
        <x:v>2.0611</x:v>
      </x:c>
      <x:c r="O1189" s="262" t="n">
        <x:f>IF(N1189="","",M1189/N1189-1)</x:f>
        <x:v>-0.03895977875891532</x:v>
      </x:c>
    </x:row>
    <x:row r="1190">
      <x:c r="J1190" s="257" t="str">
        <x:v>003458.OF</x:v>
      </x:c>
      <x:c r="K1190" s="258" t="str">
        <x:v>嘉实稳宏债券A</x:v>
      </x:c>
      <x:c r="L1190" s="263" t="n">
        <x:v>46207</x:v>
      </x:c>
      <x:c r="M1190" s="261" t="n">
        <x:v>1.9808</x:v>
      </x:c>
      <x:c r="N1190" s="261" t="n">
        <x:f>IF(OR(L1190&lt;$B$3,L1190&gt;$D$3),"",IF(AND(J1190=J1189,N1189&lt;&gt;""),MAX(M1190,N1189),M1190))</x:f>
        <x:v>2.0611</x:v>
      </x:c>
      <x:c r="O1190" s="262" t="n">
        <x:f>IF(N1190="","",M1190/N1190-1)</x:f>
        <x:v>-0.03895977875891532</x:v>
      </x:c>
    </x:row>
    <x:row r="1191">
      <x:c r="J1191" s="257" t="str">
        <x:v>003458.OF</x:v>
      </x:c>
      <x:c r="K1191" s="258" t="str">
        <x:v>嘉实稳宏债券A</x:v>
      </x:c>
      <x:c r="L1191" s="263" t="n">
        <x:v>46208</x:v>
      </x:c>
      <x:c r="M1191" s="261" t="n">
        <x:v>1.9808</x:v>
      </x:c>
      <x:c r="N1191" s="261" t="n">
        <x:f>IF(OR(L1191&lt;$B$3,L1191&gt;$D$3),"",IF(AND(J1191=J1190,N1190&lt;&gt;""),MAX(M1191,N1190),M1191))</x:f>
        <x:v>2.0611</x:v>
      </x:c>
      <x:c r="O1191" s="262" t="n">
        <x:f>IF(N1191="","",M1191/N1191-1)</x:f>
        <x:v>-0.03895977875891532</x:v>
      </x:c>
    </x:row>
    <x:row r="1192">
      <x:c r="J1192" s="257" t="str">
        <x:v>003458.OF</x:v>
      </x:c>
      <x:c r="K1192" s="258" t="str">
        <x:v>嘉实稳宏债券A</x:v>
      </x:c>
      <x:c r="L1192" s="263" t="n">
        <x:v>46209</x:v>
      </x:c>
      <x:c r="M1192" s="261" t="n">
        <x:v>1.9709</x:v>
      </x:c>
      <x:c r="N1192" s="261" t="n">
        <x:f>IF(OR(L1192&lt;$B$3,L1192&gt;$D$3),"",IF(AND(J1192=J1191,N1191&lt;&gt;""),MAX(M1192,N1191),M1192))</x:f>
        <x:v>2.0611</x:v>
      </x:c>
      <x:c r="O1192" s="262" t="n">
        <x:f>IF(N1192="","",M1192/N1192-1)</x:f>
        <x:v>-0.043763039153849936</x:v>
      </x:c>
    </x:row>
    <x:row r="1193">
      <x:c r="J1193" s="257" t="str">
        <x:v>003458.OF</x:v>
      </x:c>
      <x:c r="K1193" s="258" t="str">
        <x:v>嘉实稳宏债券A</x:v>
      </x:c>
      <x:c r="L1193" s="263" t="n">
        <x:v>46210</x:v>
      </x:c>
      <x:c r="M1193" s="261" t="n">
        <x:v>1.9461</x:v>
      </x:c>
      <x:c r="N1193" s="261" t="n">
        <x:f>IF(OR(L1193&lt;$B$3,L1193&gt;$D$3),"",IF(AND(J1193=J1192,N1192&lt;&gt;""),MAX(M1193,N1192),M1193))</x:f>
        <x:v>2.0611</x:v>
      </x:c>
      <x:c r="O1193" s="262" t="n">
        <x:f>IF(N1193="","",M1193/N1193-1)</x:f>
        <x:v>-0.05579544903207034</x:v>
      </x:c>
    </x:row>
    <x:row r="1194">
      <x:c r="J1194" s="257" t="str">
        <x:v>003458.OF</x:v>
      </x:c>
      <x:c r="K1194" s="258" t="str">
        <x:v>嘉实稳宏债券A</x:v>
      </x:c>
      <x:c r="L1194" s="263" t="n">
        <x:v>46211</x:v>
      </x:c>
      <x:c r="M1194" s="261" t="n">
        <x:v>1.9206</x:v>
      </x:c>
      <x:c r="N1194" s="261" t="n">
        <x:f>IF(OR(L1194&lt;$B$3,L1194&gt;$D$3),"",IF(AND(J1194=J1193,N1193&lt;&gt;""),MAX(M1194,N1193),M1194))</x:f>
        <x:v>2.0611</x:v>
      </x:c>
      <x:c r="O1194" s="262" t="n">
        <x:f>IF(N1194="","",M1194/N1194-1)</x:f>
        <x:v>-0.06816748338265977</x:v>
      </x:c>
    </x:row>
    <x:row r="1195">
      <x:c r="J1195" s="257" t="str">
        <x:v>003458.OF</x:v>
      </x:c>
      <x:c r="K1195" s="258" t="str">
        <x:v>嘉实稳宏债券A</x:v>
      </x:c>
      <x:c r="L1195" s="263" t="n">
        <x:v>46212</x:v>
      </x:c>
      <x:c r="M1195" s="261" t="n">
        <x:v>1.9578</x:v>
      </x:c>
      <x:c r="N1195" s="261" t="n">
        <x:f>IF(OR(L1195&lt;$B$3,L1195&gt;$D$3),"",IF(AND(J1195=J1194,N1194&lt;&gt;""),MAX(M1195,N1194),M1195))</x:f>
        <x:v>2.0611</x:v>
      </x:c>
      <x:c r="O1195" s="262" t="n">
        <x:f>IF(N1195="","",M1195/N1195-1)</x:f>
        <x:v>-0.05011886856532932</x:v>
      </x:c>
    </x:row>
    <x:row r="1196">
      <x:c r="J1196" s="257" t="str">
        <x:v>003458.OF</x:v>
      </x:c>
      <x:c r="K1196" s="258" t="str">
        <x:v>嘉实稳宏债券A</x:v>
      </x:c>
      <x:c r="L1196" s="263" t="n">
        <x:v>46213</x:v>
      </x:c>
      <x:c r="M1196" s="261" t="n">
        <x:v>1.9215</x:v>
      </x:c>
      <x:c r="N1196" s="261" t="n">
        <x:f>IF(OR(L1196&lt;$B$3,L1196&gt;$D$3),"",IF(AND(J1196=J1195,N1195&lt;&gt;""),MAX(M1196,N1195),M1196))</x:f>
        <x:v>2.0611</x:v>
      </x:c>
      <x:c r="O1196" s="262" t="n">
        <x:f>IF(N1196="","",M1196/N1196-1)</x:f>
        <x:v>-0.06773082334675662</x:v>
      </x:c>
    </x:row>
    <x:row r="1197">
      <x:c r="J1197" s="257" t="str">
        <x:v>003458.OF</x:v>
      </x:c>
      <x:c r="K1197" s="258" t="str">
        <x:v>嘉实稳宏债券A</x:v>
      </x:c>
      <x:c r="L1197" s="263" t="n">
        <x:v>46214</x:v>
      </x:c>
      <x:c r="M1197" s="261" t="n">
        <x:v>1.9215</x:v>
      </x:c>
      <x:c r="N1197" s="261" t="n">
        <x:f>IF(OR(L1197&lt;$B$3,L1197&gt;$D$3),"",IF(AND(J1197=J1196,N1196&lt;&gt;""),MAX(M1197,N1196),M1197))</x:f>
        <x:v>2.0611</x:v>
      </x:c>
      <x:c r="O1197" s="262" t="n">
        <x:f>IF(N1197="","",M1197/N1197-1)</x:f>
        <x:v>-0.06773082334675662</x:v>
      </x:c>
    </x:row>
    <x:row r="1198">
      <x:c r="J1198" s="257" t="str">
        <x:v>003458.OF</x:v>
      </x:c>
      <x:c r="K1198" s="258" t="str">
        <x:v>嘉实稳宏债券A</x:v>
      </x:c>
      <x:c r="L1198" s="263" t="n">
        <x:v>46215</x:v>
      </x:c>
      <x:c r="M1198" s="261" t="n">
        <x:v>1.9215</x:v>
      </x:c>
      <x:c r="N1198" s="261" t="n">
        <x:f>IF(OR(L1198&lt;$B$3,L1198&gt;$D$3),"",IF(AND(J1198=J1197,N1197&lt;&gt;""),MAX(M1198,N1197),M1198))</x:f>
        <x:v>2.0611</x:v>
      </x:c>
      <x:c r="O1198" s="262" t="n">
        <x:f>IF(N1198="","",M1198/N1198-1)</x:f>
        <x:v>-0.06773082334675662</x:v>
      </x:c>
    </x:row>
    <x:row r="1199">
      <x:c r="J1199" s="257" t="str">
        <x:v>003458.OF</x:v>
      </x:c>
      <x:c r="K1199" s="258" t="str">
        <x:v>嘉实稳宏债券A</x:v>
      </x:c>
      <x:c r="L1199" s="263" t="n">
        <x:v>46216</x:v>
      </x:c>
      <x:c r="M1199" s="261" t="n">
        <x:v>1.8642</x:v>
      </x:c>
      <x:c r="N1199" s="261" t="n">
        <x:f>IF(OR(L1199&lt;$B$3,L1199&gt;$D$3),"",IF(AND(J1199=J1198,N1198&lt;&gt;""),MAX(M1199,N1198),M1199))</x:f>
        <x:v>2.0611</x:v>
      </x:c>
      <x:c r="O1199" s="262" t="n">
        <x:f>IF(N1199="","",M1199/N1199-1)</x:f>
        <x:v>-0.09553151229925771</x:v>
      </x:c>
    </x:row>
    <x:row r="1200">
      <x:c r="J1200" s="257" t="str">
        <x:v>003458.OF</x:v>
      </x:c>
      <x:c r="K1200" s="258" t="str">
        <x:v>嘉实稳宏债券A</x:v>
      </x:c>
      <x:c r="L1200" s="263" t="n">
        <x:v>46217</x:v>
      </x:c>
      <x:c r="M1200" s="261" t="n">
        <x:v>1.8896</x:v>
      </x:c>
      <x:c r="N1200" s="261" t="n">
        <x:f>IF(OR(L1200&lt;$B$3,L1200&gt;$D$3),"",IF(AND(J1200=J1199,N1199&lt;&gt;""),MAX(M1200,N1199),M1200))</x:f>
        <x:v>2.0611</x:v>
      </x:c>
      <x:c r="O1200" s="262" t="n">
        <x:f>IF(N1200="","",M1200/N1200-1)</x:f>
        <x:v>-0.08320799573043525</x:v>
      </x:c>
    </x:row>
    <x:row r="1201">
      <x:c r="J1201" s="257" t="str">
        <x:v>003458.OF</x:v>
      </x:c>
      <x:c r="K1201" s="258" t="str">
        <x:v>嘉实稳宏债券A</x:v>
      </x:c>
      <x:c r="L1201" s="263" t="n">
        <x:v>46218</x:v>
      </x:c>
      <x:c r="M1201" s="261" t="n">
        <x:v>1.8607</x:v>
      </x:c>
      <x:c r="N1201" s="261" t="n">
        <x:f>IF(OR(L1201&lt;$B$3,L1201&gt;$D$3),"",IF(AND(J1201=J1200,N1200&lt;&gt;""),MAX(M1201,N1200),M1201))</x:f>
        <x:v>2.0611</x:v>
      </x:c>
      <x:c r="O1201" s="262" t="n">
        <x:f>IF(N1201="","",M1201/N1201-1)</x:f>
        <x:v>-0.09722963466110335</x:v>
      </x:c>
    </x:row>
    <x:row r="1202">
      <x:c r="J1202" s="257" t="str">
        <x:v>003458.OF</x:v>
      </x:c>
      <x:c r="K1202" s="258" t="str">
        <x:v>嘉实稳宏债券A</x:v>
      </x:c>
      <x:c r="L1202" s="263" t="n">
        <x:v>46219</x:v>
      </x:c>
      <x:c r="M1202" s="261" t="n">
        <x:v>1.8234</x:v>
      </x:c>
      <x:c r="N1202" s="261" t="n">
        <x:f>IF(OR(L1202&lt;$B$3,L1202&gt;$D$3),"",IF(AND(J1202=J1201,N1201&lt;&gt;""),MAX(M1202,N1201),M1202))</x:f>
        <x:v>2.0611</x:v>
      </x:c>
      <x:c r="O1202" s="262" t="n">
        <x:f>IF(N1202="","",M1202/N1202-1)</x:f>
        <x:v>-0.11532676726020097</x:v>
      </x:c>
    </x:row>
    <x:row r="1203">
      <x:c r="J1203" s="257" t="str">
        <x:v>003458.OF</x:v>
      </x:c>
      <x:c r="K1203" s="258" t="str">
        <x:v>嘉实稳宏债券A</x:v>
      </x:c>
      <x:c r="L1203" s="263" t="n">
        <x:v>46220</x:v>
      </x:c>
      <x:c r="M1203" s="261" t="n">
        <x:v>1.7764</x:v>
      </x:c>
      <x:c r="N1203" s="261" t="n">
        <x:f>IF(OR(L1203&lt;$B$3,L1203&gt;$D$3),"",IF(AND(J1203=J1202,N1202&lt;&gt;""),MAX(M1203,N1202),M1203))</x:f>
        <x:v>2.0611</x:v>
      </x:c>
      <x:c r="O1203" s="262" t="n">
        <x:f>IF(N1203="","",M1203/N1203-1)</x:f>
        <x:v>-0.13813012469069919</x:v>
      </x:c>
    </x:row>
    <x:row r="1204">
      <x:c r="J1204" s="257" t="str">
        <x:v>003458.OF</x:v>
      </x:c>
      <x:c r="K1204" s="258" t="str">
        <x:v>嘉实稳宏债券A</x:v>
      </x:c>
      <x:c r="L1204" s="263" t="n">
        <x:v>46221</x:v>
      </x:c>
      <x:c r="M1204" s="261" t="n">
        <x:v>1.7764</x:v>
      </x:c>
      <x:c r="N1204" s="261" t="n">
        <x:f>IF(OR(L1204&lt;$B$3,L1204&gt;$D$3),"",IF(AND(J1204=J1203,N1203&lt;&gt;""),MAX(M1204,N1203),M1204))</x:f>
        <x:v>2.0611</x:v>
      </x:c>
      <x:c r="O1204" s="262" t="n">
        <x:f>IF(N1204="","",M1204/N1204-1)</x:f>
        <x:v>-0.13813012469069919</x:v>
      </x:c>
    </x:row>
    <x:row r="1205">
      <x:c r="J1205" s="257" t="str">
        <x:v>003458.OF</x:v>
      </x:c>
      <x:c r="K1205" s="258" t="str">
        <x:v>嘉实稳宏债券A</x:v>
      </x:c>
      <x:c r="L1205" s="263" t="n">
        <x:v>46222</x:v>
      </x:c>
      <x:c r="M1205" s="261" t="n">
        <x:v>1.7764</x:v>
      </x:c>
      <x:c r="N1205" s="261" t="n">
        <x:f>IF(OR(L1205&lt;$B$3,L1205&gt;$D$3),"",IF(AND(J1205=J1204,N1204&lt;&gt;""),MAX(M1205,N1204),M1205))</x:f>
        <x:v>2.0611</x:v>
      </x:c>
      <x:c r="O1205" s="262" t="n">
        <x:f>IF(N1205="","",M1205/N1205-1)</x:f>
        <x:v>-0.13813012469069919</x:v>
      </x:c>
    </x:row>
    <x:row r="1206">
      <x:c r="J1206" s="257" t="str">
        <x:v>003458.OF</x:v>
      </x:c>
      <x:c r="K1206" s="258" t="str">
        <x:v>嘉实稳宏债券A</x:v>
      </x:c>
      <x:c r="L1206" s="263" t="n">
        <x:v>46223</x:v>
      </x:c>
      <x:c r="M1206" s="261" t="n">
        <x:v>1.7546</x:v>
      </x:c>
      <x:c r="N1206" s="261" t="n">
        <x:f>IF(OR(L1206&lt;$B$3,L1206&gt;$D$3),"",IF(AND(J1206=J1205,N1205&lt;&gt;""),MAX(M1206,N1205),M1206))</x:f>
        <x:v>2.0611</x:v>
      </x:c>
      <x:c r="O1206" s="262" t="n">
        <x:f>IF(N1206="","",M1206/N1206-1)</x:f>
        <x:v>-0.14870700111590907</x:v>
      </x:c>
    </x:row>
    <x:row r="1207">
      <x:c r="J1207" s="257" t="str">
        <x:v>003458.OF</x:v>
      </x:c>
      <x:c r="K1207" s="258" t="str">
        <x:v>嘉实稳宏债券A</x:v>
      </x:c>
      <x:c r="L1207" s="263" t="n">
        <x:v>46224</x:v>
      </x:c>
      <x:c r="M1207" s="261" t="n">
        <x:v>1.8103</x:v>
      </x:c>
      <x:c r="N1207" s="261" t="n">
        <x:f>IF(OR(L1207&lt;$B$3,L1207&gt;$D$3),"",IF(AND(J1207=J1206,N1206&lt;&gt;""),MAX(M1207,N1206),M1207))</x:f>
        <x:v>2.0611</x:v>
      </x:c>
      <x:c r="O1207" s="262" t="n">
        <x:f>IF(N1207="","",M1207/N1207-1)</x:f>
        <x:v>-0.12168259667168024</x:v>
      </x:c>
    </x:row>
    <x:row r="1208">
      <x:c r="J1208" s="257" t="str">
        <x:v>003458.OF</x:v>
      </x:c>
      <x:c r="K1208" s="258" t="str">
        <x:v>嘉实稳宏债券A</x:v>
      </x:c>
      <x:c r="L1208" s="263" t="n">
        <x:v>46225</x:v>
      </x:c>
      <x:c r="M1208" s="261" t="n">
        <x:v>1.8046</x:v>
      </x:c>
      <x:c r="N1208" s="261" t="n">
        <x:f>IF(OR(L1208&lt;$B$3,L1208&gt;$D$3),"",IF(AND(J1208=J1207,N1207&lt;&gt;""),MAX(M1208,N1207),M1208))</x:f>
        <x:v>2.0611</x:v>
      </x:c>
      <x:c r="O1208" s="262" t="n">
        <x:f>IF(N1208="","",M1208/N1208-1)</x:f>
        <x:v>-0.12444811023240021</x:v>
      </x:c>
    </x:row>
    <x:row r="1209">
      <x:c r="J1209" s="257" t="str">
        <x:v>003458.OF</x:v>
      </x:c>
      <x:c r="K1209" s="258" t="str">
        <x:v>嘉实稳宏债券A</x:v>
      </x:c>
      <x:c r="L1209" s="263" t="n">
        <x:v>46226</x:v>
      </x:c>
      <x:c r="M1209" s="261" t="n">
        <x:v>1.8115</x:v>
      </x:c>
      <x:c r="N1209" s="261" t="n">
        <x:f>IF(OR(L1209&lt;$B$3,L1209&gt;$D$3),"",IF(AND(J1209=J1208,N1208&lt;&gt;""),MAX(M1209,N1208),M1209))</x:f>
        <x:v>2.0611</x:v>
      </x:c>
      <x:c r="O1209" s="262" t="n">
        <x:f>IF(N1209="","",M1209/N1209-1)</x:f>
        <x:v>-0.12110038329047601</x:v>
      </x:c>
    </x:row>
    <x:row r="1210">
      <x:c r="J1210" s="257" t="str">
        <x:v>003458.OF</x:v>
      </x:c>
      <x:c r="K1210" s="258" t="str">
        <x:v>嘉实稳宏债券A</x:v>
      </x:c>
      <x:c r="L1210" s="263" t="n">
        <x:v>46227</x:v>
      </x:c>
      <x:c r="M1210" s="261" t="n">
        <x:v>1.7971</x:v>
      </x:c>
      <x:c r="N1210" s="261" t="n">
        <x:f>IF(OR(L1210&lt;$B$3,L1210&gt;$D$3),"",IF(AND(J1210=J1209,N1209&lt;&gt;""),MAX(M1210,N1209),M1210))</x:f>
        <x:v>2.0611</x:v>
      </x:c>
      <x:c r="O1210" s="262" t="n">
        <x:f>IF(N1210="","",M1210/N1210-1)</x:f>
        <x:v>-0.12808694386492658</x:v>
      </x:c>
    </x:row>
    <x:row r="1211">
      <x:c r="J1211" s="257" t="str">
        <x:v>003458.OF</x:v>
      </x:c>
      <x:c r="K1211" s="258" t="str">
        <x:v>嘉实稳宏债券A</x:v>
      </x:c>
      <x:c r="L1211" s="263" t="n">
        <x:v>46228</x:v>
      </x:c>
      <x:c r="M1211" s="261" t="n">
        <x:v>1.7971</x:v>
      </x:c>
      <x:c r="N1211" s="261" t="n">
        <x:f>IF(OR(L1211&lt;$B$3,L1211&gt;$D$3),"",IF(AND(J1211=J1210,N1210&lt;&gt;""),MAX(M1211,N1210),M1211))</x:f>
        <x:v>2.0611</x:v>
      </x:c>
      <x:c r="O1211" s="262" t="n">
        <x:f>IF(N1211="","",M1211/N1211-1)</x:f>
        <x:v>-0.12808694386492658</x:v>
      </x:c>
    </x:row>
    <x:row r="1212">
      <x:c r="J1212" s="257" t="str">
        <x:v>003458.OF</x:v>
      </x:c>
      <x:c r="K1212" s="258" t="str">
        <x:v>嘉实稳宏债券A</x:v>
      </x:c>
      <x:c r="L1212" s="263" t="n">
        <x:v>46229</x:v>
      </x:c>
      <x:c r="M1212" s="261" t="n">
        <x:v>1.7971</x:v>
      </x:c>
      <x:c r="N1212" s="261" t="n">
        <x:f>IF(OR(L1212&lt;$B$3,L1212&gt;$D$3),"",IF(AND(J1212=J1211,N1211&lt;&gt;""),MAX(M1212,N1211),M1212))</x:f>
        <x:v>2.0611</x:v>
      </x:c>
      <x:c r="O1212" s="262" t="n">
        <x:f>IF(N1212="","",M1212/N1212-1)</x:f>
        <x:v>-0.12808694386492658</x:v>
      </x:c>
    </x:row>
    <x:row r="1213">
      <x:c r="J1213" s="257" t="str">
        <x:v>003458.OF</x:v>
      </x:c>
      <x:c r="K1213" s="258" t="str">
        <x:v>嘉实稳宏债券A</x:v>
      </x:c>
      <x:c r="L1213" s="263" t="n">
        <x:v>46230</x:v>
      </x:c>
      <x:c r="M1213" s="261" t="n">
        <x:v>1.8173</x:v>
      </x:c>
      <x:c r="N1213" s="261" t="n">
        <x:f>IF(OR(L1213&lt;$B$3,L1213&gt;$D$3),"",IF(AND(J1213=J1212,N1212&lt;&gt;""),MAX(M1213,N1212),M1213))</x:f>
        <x:v>2.0611</x:v>
      </x:c>
      <x:c r="O1213" s="262" t="n">
        <x:f>IF(N1213="","",M1213/N1213-1)</x:f>
        <x:v>-0.11828635194798909</x:v>
      </x:c>
    </x:row>
    <x:row r="1214">
      <x:c r="J1214" s="257" t="str">
        <x:v>003458.OF</x:v>
      </x:c>
      <x:c r="K1214" s="258" t="str">
        <x:v>嘉实稳宏债券A</x:v>
      </x:c>
      <x:c r="L1214" s="263" t="n">
        <x:v>46231</x:v>
      </x:c>
      <x:c r="M1214" s="261" t="n">
        <x:v>1.7723</x:v>
      </x:c>
      <x:c r="N1214" s="261" t="n">
        <x:f>IF(OR(L1214&lt;$B$3,L1214&gt;$D$3),"",IF(AND(J1214=J1213,N1213&lt;&gt;""),MAX(M1214,N1213),M1214))</x:f>
        <x:v>2.0611</x:v>
      </x:c>
      <x:c r="O1214" s="262" t="n">
        <x:f>IF(N1214="","",M1214/N1214-1)</x:f>
        <x:v>-0.14011935374314688</x:v>
      </x:c>
    </x:row>
    <x:row r="1215">
      <x:c r="J1215" s="257" t="str">
        <x:v>003458.OF</x:v>
      </x:c>
      <x:c r="K1215" s="258" t="str">
        <x:v>嘉实稳宏债券A</x:v>
      </x:c>
      <x:c r="L1215" s="263" t="n">
        <x:v>46232</x:v>
      </x:c>
      <x:c r="M1215" s="261" t="n">
        <x:v>1.7763</x:v>
      </x:c>
      <x:c r="N1215" s="261" t="n">
        <x:f>IF(OR(L1215&lt;$B$3,L1215&gt;$D$3),"",IF(AND(J1215=J1214,N1214&lt;&gt;""),MAX(M1215,N1214),M1215))</x:f>
        <x:v>2.0611</x:v>
      </x:c>
      <x:c r="O1215" s="262" t="n">
        <x:f>IF(N1215="","",M1215/N1215-1)</x:f>
        <x:v>-0.13817864247246625</x:v>
      </x:c>
    </x:row>
    <x:row r="1216">
      <x:c r="J1216" s="257" t="str">
        <x:v>003458.OF</x:v>
      </x:c>
      <x:c r="K1216" s="258" t="str">
        <x:v>嘉实稳宏债券A</x:v>
      </x:c>
      <x:c r="L1216" s="263" t="n">
        <x:v>46233</x:v>
      </x:c>
      <x:c r="M1216" s="261" t="n">
        <x:v>1.7576</x:v>
      </x:c>
      <x:c r="N1216" s="261" t="n">
        <x:f>IF(OR(L1216&lt;$B$3,L1216&gt;$D$3),"",IF(AND(J1216=J1215,N1215&lt;&gt;""),MAX(M1216,N1215),M1216))</x:f>
        <x:v>2.0611</x:v>
      </x:c>
      <x:c r="O1216" s="262" t="n">
        <x:f>IF(N1216="","",M1216/N1216-1)</x:f>
        <x:v>-0.14725146766289854</x:v>
      </x:c>
    </x:row>
    <x:row r="1217">
      <x:c r="J1217" s="257" t="str">
        <x:v>003458.OF</x:v>
      </x:c>
      <x:c r="K1217" s="258" t="str">
        <x:v>嘉实稳宏债券A</x:v>
      </x:c>
      <x:c r="L1217" s="263" t="n">
        <x:v>46234</x:v>
      </x:c>
      <x:c r="M1217" s="261" t="n">
        <x:v>1.7781</x:v>
      </x:c>
      <x:c r="N1217" s="261" t="n">
        <x:f>IF(OR(L1217&lt;$B$3,L1217&gt;$D$3),"",IF(AND(J1217=J1216,N1216&lt;&gt;""),MAX(M1217,N1216),M1217))</x:f>
        <x:v>2.0611</x:v>
      </x:c>
      <x:c r="O1217" s="262" t="n">
        <x:f>IF(N1217="","",M1217/N1217-1)</x:f>
        <x:v>-0.13730532240065985</x:v>
      </x:c>
    </x:row>
    <x:row r="1218">
      <x:c r="J1218" s="257" t="str">
        <x:v>003458.OF</x:v>
      </x:c>
      <x:c r="K1218" s="258" t="str">
        <x:v>嘉实稳宏债券A</x:v>
      </x:c>
      <x:c r="L1218" s="263" t="n">
        <x:v>46235</x:v>
      </x:c>
      <x:c r="M1218" s="261" t="n">
        <x:v>1.7781</x:v>
      </x:c>
      <x:c r="N1218" s="261" t="n">
        <x:f>IF(OR(L1218&lt;$B$3,L1218&gt;$D$3),"",IF(AND(J1218=J1217,N1217&lt;&gt;""),MAX(M1218,N1217),M1218))</x:f>
        <x:v>2.0611</x:v>
      </x:c>
      <x:c r="O1218" s="262" t="n">
        <x:f>IF(N1218="","",M1218/N1218-1)</x:f>
        <x:v>-0.13730532240065985</x:v>
      </x:c>
    </x:row>
    <x:row r="1219">
      <x:c r="J1219" s="257" t="str">
        <x:v>003458.OF</x:v>
      </x:c>
      <x:c r="K1219" s="258" t="str">
        <x:v>嘉实稳宏债券A</x:v>
      </x:c>
      <x:c r="L1219" s="263" t="n">
        <x:v>46236</x:v>
      </x:c>
      <x:c r="M1219" s="261" t="n">
        <x:v>1.7781</x:v>
      </x:c>
      <x:c r="N1219" s="261" t="n">
        <x:f>IF(OR(L1219&lt;$B$3,L1219&gt;$D$3),"",IF(AND(J1219=J1218,N1218&lt;&gt;""),MAX(M1219,N1218),M1219))</x:f>
        <x:v>2.0611</x:v>
      </x:c>
      <x:c r="O1219" s="262" t="n">
        <x:f>IF(N1219="","",M1219/N1219-1)</x:f>
        <x:v>-0.13730532240065985</x:v>
      </x:c>
    </x:row>
    <x:row r="1220">
      <x:c r="J1220" s="257" t="str">
        <x:v>003458.OF</x:v>
      </x:c>
      <x:c r="K1220" s="258" t="str">
        <x:v>嘉实稳宏债券A</x:v>
      </x:c>
      <x:c r="L1220" s="263" t="n">
        <x:v>46237</x:v>
      </x:c>
      <x:c r="M1220" s="261" t="n">
        <x:v>1.7573</x:v>
      </x:c>
      <x:c r="N1220" s="261" t="n">
        <x:f>IF(OR(L1220&lt;$B$3,L1220&gt;$D$3),"",IF(AND(J1220=J1219,N1219&lt;&gt;""),MAX(M1220,N1219),M1220))</x:f>
        <x:v>2.0611</x:v>
      </x:c>
      <x:c r="O1220" s="262" t="n">
        <x:f>IF(N1220="","",M1220/N1220-1)</x:f>
        <x:v>-0.1473970210081995</x:v>
      </x:c>
    </x:row>
    <x:row r="1221">
      <x:c r="J1221" s="257" t="str">
        <x:v>003458.OF</x:v>
      </x:c>
      <x:c r="K1221" s="258" t="str">
        <x:v>嘉实稳宏债券A</x:v>
      </x:c>
      <x:c r="L1221" s="263" t="n">
        <x:v>46238</x:v>
      </x:c>
      <x:c r="M1221" s="261" t="n">
        <x:v>1.7843</x:v>
      </x:c>
      <x:c r="N1221" s="261" t="n">
        <x:f>IF(OR(L1221&lt;$B$3,L1221&gt;$D$3),"",IF(AND(J1221=J1220,N1220&lt;&gt;""),MAX(M1221,N1220),M1221))</x:f>
        <x:v>2.0611</x:v>
      </x:c>
      <x:c r="O1221" s="262" t="n">
        <x:f>IF(N1221="","",M1221/N1221-1)</x:f>
        <x:v>-0.13429721993110477</x:v>
      </x:c>
    </x:row>
    <x:row r="1222">
      <x:c r="J1222" s="257" t="str">
        <x:v>003458.OF</x:v>
      </x:c>
      <x:c r="K1222" s="258" t="str">
        <x:v>嘉实稳宏债券A</x:v>
      </x:c>
      <x:c r="L1222" s="263" t="n">
        <x:v>46239</x:v>
      </x:c>
      <x:c r="M1222" s="261" t="n">
        <x:v>1.8287</x:v>
      </x:c>
      <x:c r="N1222" s="261" t="n">
        <x:f>IF(OR(L1222&lt;$B$3,L1222&gt;$D$3),"",IF(AND(J1222=J1221,N1221&lt;&gt;""),MAX(M1222,N1221),M1222))</x:f>
        <x:v>2.0611</x:v>
      </x:c>
      <x:c r="O1222" s="262" t="n">
        <x:f>IF(N1222="","",M1222/N1222-1)</x:f>
        <x:v>-0.11275532482654904</x:v>
      </x:c>
    </x:row>
    <x:row r="1223">
      <x:c r="J1223" s="257" t="str">
        <x:v>003458.OF</x:v>
      </x:c>
      <x:c r="K1223" s="258" t="str">
        <x:v>嘉实稳宏债券A</x:v>
      </x:c>
      <x:c r="L1223" s="263" t="n">
        <x:v>46240</x:v>
      </x:c>
      <x:c r="M1223" s="261" t="n">
        <x:v>1.8415</x:v>
      </x:c>
      <x:c r="N1223" s="261" t="n">
        <x:f>IF(OR(L1223&lt;$B$3,L1223&gt;$D$3),"",IF(AND(J1223=J1222,N1222&lt;&gt;""),MAX(M1223,N1222),M1223))</x:f>
        <x:v>2.0611</x:v>
      </x:c>
      <x:c r="O1223" s="262" t="n">
        <x:f>IF(N1223="","",M1223/N1223-1)</x:f>
        <x:v>-0.10654504876037074</x:v>
      </x:c>
    </x:row>
    <x:row r="1224">
      <x:c r="J1224" s="257" t="str">
        <x:v>003458.OF</x:v>
      </x:c>
      <x:c r="K1224" s="258" t="str">
        <x:v>嘉实稳宏债券A</x:v>
      </x:c>
      <x:c r="L1224" s="263" t="n">
        <x:v>46241</x:v>
      </x:c>
      <x:c r="M1224" s="261" t="n">
        <x:v>1.8629</x:v>
      </x:c>
      <x:c r="N1224" s="261" t="n">
        <x:f>IF(OR(L1224&lt;$B$3,L1224&gt;$D$3),"",IF(AND(J1224=J1223,N1223&lt;&gt;""),MAX(M1224,N1223),M1224))</x:f>
        <x:v>2.0611</x:v>
      </x:c>
      <x:c r="O1224" s="262" t="n">
        <x:f>IF(N1224="","",M1224/N1224-1)</x:f>
        <x:v>-0.09616224346222901</x:v>
      </x:c>
    </x:row>
    <x:row r="1225">
      <x:c r="J1225" s="257" t="str">
        <x:v>003458.OF</x:v>
      </x:c>
      <x:c r="K1225" s="258" t="str">
        <x:v>嘉实稳宏债券A</x:v>
      </x:c>
      <x:c r="L1225" s="263" t="n">
        <x:v>46242</x:v>
      </x:c>
      <x:c r="M1225" s="261" t="n">
        <x:v>1.8629</x:v>
      </x:c>
      <x:c r="N1225" s="261" t="n">
        <x:f>IF(OR(L1225&lt;$B$3,L1225&gt;$D$3),"",IF(AND(J1225=J1224,N1224&lt;&gt;""),MAX(M1225,N1224),M1225))</x:f>
        <x:v>2.0611</x:v>
      </x:c>
      <x:c r="O1225" s="262" t="n">
        <x:f>IF(N1225="","",M1225/N1225-1)</x:f>
        <x:v>-0.09616224346222901</x:v>
      </x:c>
    </x:row>
    <x:row r="1226">
      <x:c r="J1226" s="257" t="str">
        <x:v>003458.OF</x:v>
      </x:c>
      <x:c r="K1226" s="258" t="str">
        <x:v>嘉实稳宏债券A</x:v>
      </x:c>
      <x:c r="L1226" s="263" t="n">
        <x:v>46243</x:v>
      </x:c>
      <x:c r="M1226" s="261" t="n">
        <x:v>1.8629</x:v>
      </x:c>
      <x:c r="N1226" s="261" t="n">
        <x:f>IF(OR(L1226&lt;$B$3,L1226&gt;$D$3),"",IF(AND(J1226=J1225,N1225&lt;&gt;""),MAX(M1226,N1225),M1226))</x:f>
        <x:v>2.0611</x:v>
      </x:c>
      <x:c r="O1226" s="262" t="n">
        <x:f>IF(N1226="","",M1226/N1226-1)</x:f>
        <x:v>-0.09616224346222901</x:v>
      </x:c>
    </x:row>
    <x:row r="1227">
      <x:c r="J1227" s="257" t="str">
        <x:v>003458.OF</x:v>
      </x:c>
      <x:c r="K1227" s="258" t="str">
        <x:v>嘉实稳宏债券A</x:v>
      </x:c>
      <x:c r="L1227" s="263" t="n">
        <x:v>46244</x:v>
      </x:c>
      <x:c r="M1227" s="261" t="n">
        <x:v>1.8702</x:v>
      </x:c>
      <x:c r="N1227" s="261" t="n">
        <x:f>IF(OR(L1227&lt;$B$3,L1227&gt;$D$3),"",IF(AND(J1227=J1226,N1226&lt;&gt;""),MAX(M1227,N1226),M1227))</x:f>
        <x:v>2.0611</x:v>
      </x:c>
      <x:c r="O1227" s="262" t="n">
        <x:f>IF(N1227="","",M1227/N1227-1)</x:f>
        <x:v>-0.09262044539323666</x:v>
      </x:c>
    </x:row>
    <x:row r="1228">
      <x:c r="J1228" s="257" t="str">
        <x:v>005221.OF</x:v>
      </x:c>
      <x:c r="K1228" s="258" t="str">
        <x:v>宏利全能混合(FOF)A</x:v>
      </x:c>
      <x:c r="L1228" s="263" t="n">
        <x:v>46191</x:v>
      </x:c>
      <x:c r="M1228" s="261" t="n">
        <x:v>1.3198</x:v>
      </x:c>
      <x:c r="N1228" s="261" t="n">
        <x:f>IF(OR(L1228&lt;$B$3,L1228&gt;$D$3),"",IF(AND(J1228=J1227,N1227&lt;&gt;""),MAX(M1228,N1227),M1228))</x:f>
        <x:v>1.3198</x:v>
      </x:c>
      <x:c r="O1228" s="262" t="n">
        <x:f>IF(N1228="","",M1228/N1228-1)</x:f>
        <x:v>0</x:v>
      </x:c>
    </x:row>
    <x:row r="1229">
      <x:c r="J1229" s="257" t="str">
        <x:v>005221.OF</x:v>
      </x:c>
      <x:c r="K1229" s="258" t="str">
        <x:v>宏利全能混合(FOF)A</x:v>
      </x:c>
      <x:c r="L1229" s="263" t="n">
        <x:v>46192</x:v>
      </x:c>
      <x:c r="M1229" s="261" t="n">
        <x:v>1.3198</x:v>
      </x:c>
      <x:c r="N1229" s="261" t="n">
        <x:f>IF(OR(L1229&lt;$B$3,L1229&gt;$D$3),"",IF(AND(J1229=J1228,N1228&lt;&gt;""),MAX(M1229,N1228),M1229))</x:f>
        <x:v>1.3198</x:v>
      </x:c>
      <x:c r="O1229" s="262" t="n">
        <x:f>IF(N1229="","",M1229/N1229-1)</x:f>
        <x:v>0</x:v>
      </x:c>
    </x:row>
    <x:row r="1230">
      <x:c r="J1230" s="257" t="str">
        <x:v>005221.OF</x:v>
      </x:c>
      <x:c r="K1230" s="258" t="str">
        <x:v>宏利全能混合(FOF)A</x:v>
      </x:c>
      <x:c r="L1230" s="263" t="n">
        <x:v>46193</x:v>
      </x:c>
      <x:c r="M1230" s="261" t="n">
        <x:v>1.3198</x:v>
      </x:c>
      <x:c r="N1230" s="261" t="n">
        <x:f>IF(OR(L1230&lt;$B$3,L1230&gt;$D$3),"",IF(AND(J1230=J1229,N1229&lt;&gt;""),MAX(M1230,N1229),M1230))</x:f>
        <x:v>1.3198</x:v>
      </x:c>
      <x:c r="O1230" s="262" t="n">
        <x:f>IF(N1230="","",M1230/N1230-1)</x:f>
        <x:v>0</x:v>
      </x:c>
    </x:row>
    <x:row r="1231">
      <x:c r="J1231" s="257" t="str">
        <x:v>005221.OF</x:v>
      </x:c>
      <x:c r="K1231" s="258" t="str">
        <x:v>宏利全能混合(FOF)A</x:v>
      </x:c>
      <x:c r="L1231" s="263" t="n">
        <x:v>46194</x:v>
      </x:c>
      <x:c r="M1231" s="261" t="n">
        <x:v>1.3198</x:v>
      </x:c>
      <x:c r="N1231" s="261" t="n">
        <x:f>IF(OR(L1231&lt;$B$3,L1231&gt;$D$3),"",IF(AND(J1231=J1230,N1230&lt;&gt;""),MAX(M1231,N1230),M1231))</x:f>
        <x:v>1.3198</x:v>
      </x:c>
      <x:c r="O1231" s="262" t="n">
        <x:f>IF(N1231="","",M1231/N1231-1)</x:f>
        <x:v>0</x:v>
      </x:c>
    </x:row>
    <x:row r="1232">
      <x:c r="J1232" s="257" t="str">
        <x:v>005221.OF</x:v>
      </x:c>
      <x:c r="K1232" s="258" t="str">
        <x:v>宏利全能混合(FOF)A</x:v>
      </x:c>
      <x:c r="L1232" s="263" t="n">
        <x:v>46195</x:v>
      </x:c>
      <x:c r="M1232" s="261" t="n">
        <x:v>1.3192</x:v>
      </x:c>
      <x:c r="N1232" s="261" t="n">
        <x:f>IF(OR(L1232&lt;$B$3,L1232&gt;$D$3),"",IF(AND(J1232=J1231,N1231&lt;&gt;""),MAX(M1232,N1231),M1232))</x:f>
        <x:v>1.3198</x:v>
      </x:c>
      <x:c r="O1232" s="262" t="n">
        <x:f>IF(N1232="","",M1232/N1232-1)</x:f>
        <x:v>-0.0004546143355055321</x:v>
      </x:c>
    </x:row>
    <x:row r="1233">
      <x:c r="J1233" s="257" t="str">
        <x:v>005221.OF</x:v>
      </x:c>
      <x:c r="K1233" s="258" t="str">
        <x:v>宏利全能混合(FOF)A</x:v>
      </x:c>
      <x:c r="L1233" s="263" t="n">
        <x:v>46196</x:v>
      </x:c>
      <x:c r="M1233" s="261" t="n">
        <x:v>1.3174</x:v>
      </x:c>
      <x:c r="N1233" s="261" t="n">
        <x:f>IF(OR(L1233&lt;$B$3,L1233&gt;$D$3),"",IF(AND(J1233=J1232,N1232&lt;&gt;""),MAX(M1233,N1232),M1233))</x:f>
        <x:v>1.3198</x:v>
      </x:c>
      <x:c r="O1233" s="262" t="n">
        <x:f>IF(N1233="","",M1233/N1233-1)</x:f>
        <x:v>-0.0018184573420216843</x:v>
      </x:c>
    </x:row>
    <x:row r="1234">
      <x:c r="J1234" s="257" t="str">
        <x:v>005221.OF</x:v>
      </x:c>
      <x:c r="K1234" s="258" t="str">
        <x:v>宏利全能混合(FOF)A</x:v>
      </x:c>
      <x:c r="L1234" s="263" t="n">
        <x:v>46197</x:v>
      </x:c>
      <x:c r="M1234" s="261" t="n">
        <x:v>1.3172</x:v>
      </x:c>
      <x:c r="N1234" s="261" t="n">
        <x:f>IF(OR(L1234&lt;$B$3,L1234&gt;$D$3),"",IF(AND(J1234=J1233,N1233&lt;&gt;""),MAX(M1234,N1233),M1234))</x:f>
        <x:v>1.3198</x:v>
      </x:c>
      <x:c r="O1234" s="262" t="n">
        <x:f>IF(N1234="","",M1234/N1234-1)</x:f>
        <x:v>-0.0019699954538567876</x:v>
      </x:c>
    </x:row>
    <x:row r="1235">
      <x:c r="J1235" s="257" t="str">
        <x:v>005221.OF</x:v>
      </x:c>
      <x:c r="K1235" s="258" t="str">
        <x:v>宏利全能混合(FOF)A</x:v>
      </x:c>
      <x:c r="L1235" s="263" t="n">
        <x:v>46198</x:v>
      </x:c>
      <x:c r="M1235" s="261" t="n">
        <x:v>1.3175</x:v>
      </x:c>
      <x:c r="N1235" s="261" t="n">
        <x:f>IF(OR(L1235&lt;$B$3,L1235&gt;$D$3),"",IF(AND(J1235=J1234,N1234&lt;&gt;""),MAX(M1235,N1234),M1235))</x:f>
        <x:v>1.3198</x:v>
      </x:c>
      <x:c r="O1235" s="262" t="n">
        <x:f>IF(N1235="","",M1235/N1235-1)</x:f>
        <x:v>-0.0017426882861041326</x:v>
      </x:c>
    </x:row>
    <x:row r="1236">
      <x:c r="J1236" s="257" t="str">
        <x:v>005221.OF</x:v>
      </x:c>
      <x:c r="K1236" s="258" t="str">
        <x:v>宏利全能混合(FOF)A</x:v>
      </x:c>
      <x:c r="L1236" s="263" t="n">
        <x:v>46199</x:v>
      </x:c>
      <x:c r="M1236" s="261" t="n">
        <x:v>1.317</x:v>
      </x:c>
      <x:c r="N1236" s="261" t="n">
        <x:f>IF(OR(L1236&lt;$B$3,L1236&gt;$D$3),"",IF(AND(J1236=J1235,N1235&lt;&gt;""),MAX(M1236,N1235),M1236))</x:f>
        <x:v>1.3198</x:v>
      </x:c>
      <x:c r="O1236" s="262" t="n">
        <x:f>IF(N1236="","",M1236/N1236-1)</x:f>
        <x:v>-0.002121533565691891</x:v>
      </x:c>
    </x:row>
    <x:row r="1237">
      <x:c r="J1237" s="257" t="str">
        <x:v>005221.OF</x:v>
      </x:c>
      <x:c r="K1237" s="258" t="str">
        <x:v>宏利全能混合(FOF)A</x:v>
      </x:c>
      <x:c r="L1237" s="263" t="n">
        <x:v>46200</x:v>
      </x:c>
      <x:c r="M1237" s="261" t="n">
        <x:v>1.317</x:v>
      </x:c>
      <x:c r="N1237" s="261" t="n">
        <x:f>IF(OR(L1237&lt;$B$3,L1237&gt;$D$3),"",IF(AND(J1237=J1236,N1236&lt;&gt;""),MAX(M1237,N1236),M1237))</x:f>
        <x:v>1.3198</x:v>
      </x:c>
      <x:c r="O1237" s="262" t="n">
        <x:f>IF(N1237="","",M1237/N1237-1)</x:f>
        <x:v>-0.002121533565691891</x:v>
      </x:c>
    </x:row>
    <x:row r="1238">
      <x:c r="J1238" s="257" t="str">
        <x:v>005221.OF</x:v>
      </x:c>
      <x:c r="K1238" s="258" t="str">
        <x:v>宏利全能混合(FOF)A</x:v>
      </x:c>
      <x:c r="L1238" s="263" t="n">
        <x:v>46201</x:v>
      </x:c>
      <x:c r="M1238" s="261" t="n">
        <x:v>1.317</x:v>
      </x:c>
      <x:c r="N1238" s="261" t="n">
        <x:f>IF(OR(L1238&lt;$B$3,L1238&gt;$D$3),"",IF(AND(J1238=J1237,N1237&lt;&gt;""),MAX(M1238,N1237),M1238))</x:f>
        <x:v>1.3198</x:v>
      </x:c>
      <x:c r="O1238" s="262" t="n">
        <x:f>IF(N1238="","",M1238/N1238-1)</x:f>
        <x:v>-0.002121533565691891</x:v>
      </x:c>
    </x:row>
    <x:row r="1239">
      <x:c r="J1239" s="257" t="str">
        <x:v>005221.OF</x:v>
      </x:c>
      <x:c r="K1239" s="258" t="str">
        <x:v>宏利全能混合(FOF)A</x:v>
      </x:c>
      <x:c r="L1239" s="263" t="n">
        <x:v>46202</x:v>
      </x:c>
      <x:c r="M1239" s="261" t="n">
        <x:v>1.3181</x:v>
      </x:c>
      <x:c r="N1239" s="261" t="n">
        <x:f>IF(OR(L1239&lt;$B$3,L1239&gt;$D$3),"",IF(AND(J1239=J1238,N1238&lt;&gt;""),MAX(M1239,N1238),M1239))</x:f>
        <x:v>1.3198</x:v>
      </x:c>
      <x:c r="O1239" s="262" t="n">
        <x:f>IF(N1239="","",M1239/N1239-1)</x:f>
        <x:v>-0.0012880739505986005</x:v>
      </x:c>
    </x:row>
    <x:row r="1240">
      <x:c r="J1240" s="257" t="str">
        <x:v>005221.OF</x:v>
      </x:c>
      <x:c r="K1240" s="258" t="str">
        <x:v>宏利全能混合(FOF)A</x:v>
      </x:c>
      <x:c r="L1240" s="263" t="n">
        <x:v>46203</x:v>
      </x:c>
      <x:c r="M1240" s="261" t="n">
        <x:v>1.317</x:v>
      </x:c>
      <x:c r="N1240" s="261" t="n">
        <x:f>IF(OR(L1240&lt;$B$3,L1240&gt;$D$3),"",IF(AND(J1240=J1239,N1239&lt;&gt;""),MAX(M1240,N1239),M1240))</x:f>
        <x:v>1.3198</x:v>
      </x:c>
      <x:c r="O1240" s="262" t="n">
        <x:f>IF(N1240="","",M1240/N1240-1)</x:f>
        <x:v>-0.002121533565691891</x:v>
      </x:c>
    </x:row>
    <x:row r="1241">
      <x:c r="J1241" s="257" t="str">
        <x:v>005221.OF</x:v>
      </x:c>
      <x:c r="K1241" s="258" t="str">
        <x:v>宏利全能混合(FOF)A</x:v>
      </x:c>
      <x:c r="L1241" s="263" t="n">
        <x:v>46204</x:v>
      </x:c>
      <x:c r="M1241" s="261" t="n">
        <x:v>1.3157</x:v>
      </x:c>
      <x:c r="N1241" s="261" t="n">
        <x:f>IF(OR(L1241&lt;$B$3,L1241&gt;$D$3),"",IF(AND(J1241=J1240,N1240&lt;&gt;""),MAX(M1241,N1240),M1241))</x:f>
        <x:v>1.3198</x:v>
      </x:c>
      <x:c r="O1241" s="262" t="n">
        <x:f>IF(N1241="","",M1241/N1241-1)</x:f>
        <x:v>-0.0031065312926200628</x:v>
      </x:c>
    </x:row>
    <x:row r="1242">
      <x:c r="J1242" s="257" t="str">
        <x:v>005221.OF</x:v>
      </x:c>
      <x:c r="K1242" s="258" t="str">
        <x:v>宏利全能混合(FOF)A</x:v>
      </x:c>
      <x:c r="L1242" s="263" t="n">
        <x:v>46205</x:v>
      </x:c>
      <x:c r="M1242" s="261" t="n">
        <x:v>1.3166</x:v>
      </x:c>
      <x:c r="N1242" s="261" t="n">
        <x:f>IF(OR(L1242&lt;$B$3,L1242&gt;$D$3),"",IF(AND(J1242=J1241,N1241&lt;&gt;""),MAX(M1242,N1241),M1242))</x:f>
        <x:v>1.3198</x:v>
      </x:c>
      <x:c r="O1242" s="262" t="n">
        <x:f>IF(N1242="","",M1242/N1242-1)</x:f>
        <x:v>-0.0024246097893620977</x:v>
      </x:c>
    </x:row>
    <x:row r="1243">
      <x:c r="J1243" s="257" t="str">
        <x:v>005221.OF</x:v>
      </x:c>
      <x:c r="K1243" s="258" t="str">
        <x:v>宏利全能混合(FOF)A</x:v>
      </x:c>
      <x:c r="L1243" s="263" t="n">
        <x:v>46206</x:v>
      </x:c>
      <x:c r="M1243" s="261" t="n">
        <x:v>1.3168</x:v>
      </x:c>
      <x:c r="N1243" s="261" t="n">
        <x:f>IF(OR(L1243&lt;$B$3,L1243&gt;$D$3),"",IF(AND(J1243=J1242,N1242&lt;&gt;""),MAX(M1243,N1242),M1243))</x:f>
        <x:v>1.3198</x:v>
      </x:c>
      <x:c r="O1243" s="262" t="n">
        <x:f>IF(N1243="","",M1243/N1243-1)</x:f>
        <x:v>-0.0022730716775269943</x:v>
      </x:c>
    </x:row>
    <x:row r="1244">
      <x:c r="J1244" s="257" t="str">
        <x:v>005221.OF</x:v>
      </x:c>
      <x:c r="K1244" s="258" t="str">
        <x:v>宏利全能混合(FOF)A</x:v>
      </x:c>
      <x:c r="L1244" s="263" t="n">
        <x:v>46207</x:v>
      </x:c>
      <x:c r="M1244" s="261" t="n">
        <x:v>1.3168</x:v>
      </x:c>
      <x:c r="N1244" s="261" t="n">
        <x:f>IF(OR(L1244&lt;$B$3,L1244&gt;$D$3),"",IF(AND(J1244=J1243,N1243&lt;&gt;""),MAX(M1244,N1243),M1244))</x:f>
        <x:v>1.3198</x:v>
      </x:c>
      <x:c r="O1244" s="262" t="n">
        <x:f>IF(N1244="","",M1244/N1244-1)</x:f>
        <x:v>-0.0022730716775269943</x:v>
      </x:c>
    </x:row>
    <x:row r="1245">
      <x:c r="J1245" s="257" t="str">
        <x:v>005221.OF</x:v>
      </x:c>
      <x:c r="K1245" s="258" t="str">
        <x:v>宏利全能混合(FOF)A</x:v>
      </x:c>
      <x:c r="L1245" s="263" t="n">
        <x:v>46208</x:v>
      </x:c>
      <x:c r="M1245" s="261" t="n">
        <x:v>1.3168</x:v>
      </x:c>
      <x:c r="N1245" s="261" t="n">
        <x:f>IF(OR(L1245&lt;$B$3,L1245&gt;$D$3),"",IF(AND(J1245=J1244,N1244&lt;&gt;""),MAX(M1245,N1244),M1245))</x:f>
        <x:v>1.3198</x:v>
      </x:c>
      <x:c r="O1245" s="262" t="n">
        <x:f>IF(N1245="","",M1245/N1245-1)</x:f>
        <x:v>-0.0022730716775269943</x:v>
      </x:c>
    </x:row>
    <x:row r="1246">
      <x:c r="J1246" s="257" t="str">
        <x:v>005221.OF</x:v>
      </x:c>
      <x:c r="K1246" s="258" t="str">
        <x:v>宏利全能混合(FOF)A</x:v>
      </x:c>
      <x:c r="L1246" s="263" t="n">
        <x:v>46209</x:v>
      </x:c>
      <x:c r="M1246" s="261" t="n">
        <x:v>1.3178</x:v>
      </x:c>
      <x:c r="N1246" s="261" t="n">
        <x:f>IF(OR(L1246&lt;$B$3,L1246&gt;$D$3),"",IF(AND(J1246=J1245,N1245&lt;&gt;""),MAX(M1246,N1245),M1246))</x:f>
        <x:v>1.3198</x:v>
      </x:c>
      <x:c r="O1246" s="262" t="n">
        <x:f>IF(N1246="","",M1246/N1246-1)</x:f>
        <x:v>-0.0015153811183512556</x:v>
      </x:c>
    </x:row>
    <x:row r="1247">
      <x:c r="J1247" s="257" t="str">
        <x:v>005221.OF</x:v>
      </x:c>
      <x:c r="K1247" s="258" t="str">
        <x:v>宏利全能混合(FOF)A</x:v>
      </x:c>
      <x:c r="L1247" s="263" t="n">
        <x:v>46210</x:v>
      </x:c>
      <x:c r="M1247" s="261" t="n">
        <x:v>1.3166</x:v>
      </x:c>
      <x:c r="N1247" s="261" t="n">
        <x:f>IF(OR(L1247&lt;$B$3,L1247&gt;$D$3),"",IF(AND(J1247=J1246,N1246&lt;&gt;""),MAX(M1247,N1246),M1247))</x:f>
        <x:v>1.3198</x:v>
      </x:c>
      <x:c r="O1247" s="262" t="n">
        <x:f>IF(N1247="","",M1247/N1247-1)</x:f>
        <x:v>-0.0024246097893620977</x:v>
      </x:c>
    </x:row>
    <x:row r="1248">
      <x:c r="J1248" s="257" t="str">
        <x:v>005221.OF</x:v>
      </x:c>
      <x:c r="K1248" s="258" t="str">
        <x:v>宏利全能混合(FOF)A</x:v>
      </x:c>
      <x:c r="L1248" s="263" t="n">
        <x:v>46211</x:v>
      </x:c>
      <x:c r="M1248" s="261" t="n">
        <x:v>1.3167</x:v>
      </x:c>
      <x:c r="N1248" s="261" t="n">
        <x:f>IF(OR(L1248&lt;$B$3,L1248&gt;$D$3),"",IF(AND(J1248=J1247,N1247&lt;&gt;""),MAX(M1248,N1247),M1248))</x:f>
        <x:v>1.3198</x:v>
      </x:c>
      <x:c r="O1248" s="262" t="n">
        <x:f>IF(N1248="","",M1248/N1248-1)</x:f>
        <x:v>-0.002348840733444546</x:v>
      </x:c>
    </x:row>
    <x:row r="1249">
      <x:c r="J1249" s="257" t="str">
        <x:v>005221.OF</x:v>
      </x:c>
      <x:c r="K1249" s="258" t="str">
        <x:v>宏利全能混合(FOF)A</x:v>
      </x:c>
      <x:c r="L1249" s="263" t="n">
        <x:v>46212</x:v>
      </x:c>
      <x:c r="M1249" s="261" t="n">
        <x:v>1.3168</x:v>
      </x:c>
      <x:c r="N1249" s="261" t="n">
        <x:f>IF(OR(L1249&lt;$B$3,L1249&gt;$D$3),"",IF(AND(J1249=J1248,N1248&lt;&gt;""),MAX(M1249,N1248),M1249))</x:f>
        <x:v>1.3198</x:v>
      </x:c>
      <x:c r="O1249" s="262" t="n">
        <x:f>IF(N1249="","",M1249/N1249-1)</x:f>
        <x:v>-0.0022730716775269943</x:v>
      </x:c>
    </x:row>
    <x:row r="1250">
      <x:c r="J1250" s="257" t="str">
        <x:v>005221.OF</x:v>
      </x:c>
      <x:c r="K1250" s="258" t="str">
        <x:v>宏利全能混合(FOF)A</x:v>
      </x:c>
      <x:c r="L1250" s="263" t="n">
        <x:v>46213</x:v>
      </x:c>
      <x:c r="M1250" s="261" t="n">
        <x:v>1.3169</x:v>
      </x:c>
      <x:c r="N1250" s="261" t="n">
        <x:f>IF(OR(L1250&lt;$B$3,L1250&gt;$D$3),"",IF(AND(J1250=J1249,N1249&lt;&gt;""),MAX(M1250,N1249),M1250))</x:f>
        <x:v>1.3198</x:v>
      </x:c>
      <x:c r="O1250" s="262" t="n">
        <x:f>IF(N1250="","",M1250/N1250-1)</x:f>
        <x:v>-0.0021973026216094427</x:v>
      </x:c>
    </x:row>
    <x:row r="1251">
      <x:c r="J1251" s="257" t="str">
        <x:v>005221.OF</x:v>
      </x:c>
      <x:c r="K1251" s="258" t="str">
        <x:v>宏利全能混合(FOF)A</x:v>
      </x:c>
      <x:c r="L1251" s="263" t="n">
        <x:v>46214</x:v>
      </x:c>
      <x:c r="M1251" s="261" t="n">
        <x:v>1.3169</x:v>
      </x:c>
      <x:c r="N1251" s="261" t="n">
        <x:f>IF(OR(L1251&lt;$B$3,L1251&gt;$D$3),"",IF(AND(J1251=J1250,N1250&lt;&gt;""),MAX(M1251,N1250),M1251))</x:f>
        <x:v>1.3198</x:v>
      </x:c>
      <x:c r="O1251" s="262" t="n">
        <x:f>IF(N1251="","",M1251/N1251-1)</x:f>
        <x:v>-0.0021973026216094427</x:v>
      </x:c>
    </x:row>
    <x:row r="1252">
      <x:c r="J1252" s="257" t="str">
        <x:v>005221.OF</x:v>
      </x:c>
      <x:c r="K1252" s="258" t="str">
        <x:v>宏利全能混合(FOF)A</x:v>
      </x:c>
      <x:c r="L1252" s="263" t="n">
        <x:v>46215</x:v>
      </x:c>
      <x:c r="M1252" s="261" t="n">
        <x:v>1.3169</x:v>
      </x:c>
      <x:c r="N1252" s="261" t="n">
        <x:f>IF(OR(L1252&lt;$B$3,L1252&gt;$D$3),"",IF(AND(J1252=J1251,N1251&lt;&gt;""),MAX(M1252,N1251),M1252))</x:f>
        <x:v>1.3198</x:v>
      </x:c>
      <x:c r="O1252" s="262" t="n">
        <x:f>IF(N1252="","",M1252/N1252-1)</x:f>
        <x:v>-0.0021973026216094427</x:v>
      </x:c>
    </x:row>
    <x:row r="1253">
      <x:c r="J1253" s="257" t="str">
        <x:v>005221.OF</x:v>
      </x:c>
      <x:c r="K1253" s="258" t="str">
        <x:v>宏利全能混合(FOF)A</x:v>
      </x:c>
      <x:c r="L1253" s="263" t="n">
        <x:v>46216</x:v>
      </x:c>
      <x:c r="M1253" s="261" t="n">
        <x:v>1.3152</x:v>
      </x:c>
      <x:c r="N1253" s="261" t="n">
        <x:f>IF(OR(L1253&lt;$B$3,L1253&gt;$D$3),"",IF(AND(J1253=J1252,N1252&lt;&gt;""),MAX(M1253,N1252),M1253))</x:f>
        <x:v>1.3198</x:v>
      </x:c>
      <x:c r="O1253" s="262" t="n">
        <x:f>IF(N1253="","",M1253/N1253-1)</x:f>
        <x:v>-0.003485376572208043</x:v>
      </x:c>
    </x:row>
    <x:row r="1254">
      <x:c r="J1254" s="257" t="str">
        <x:v>005221.OF</x:v>
      </x:c>
      <x:c r="K1254" s="258" t="str">
        <x:v>宏利全能混合(FOF)A</x:v>
      </x:c>
      <x:c r="L1254" s="263" t="n">
        <x:v>46217</x:v>
      </x:c>
      <x:c r="M1254" s="261" t="n">
        <x:v>1.3159</x:v>
      </x:c>
      <x:c r="N1254" s="261" t="n">
        <x:f>IF(OR(L1254&lt;$B$3,L1254&gt;$D$3),"",IF(AND(J1254=J1253,N1253&lt;&gt;""),MAX(M1254,N1253),M1254))</x:f>
        <x:v>1.3198</x:v>
      </x:c>
      <x:c r="O1254" s="262" t="n">
        <x:f>IF(N1254="","",M1254/N1254-1)</x:f>
        <x:v>-0.0029549931807849594</x:v>
      </x:c>
    </x:row>
    <x:row r="1255">
      <x:c r="J1255" s="257" t="str">
        <x:v>005221.OF</x:v>
      </x:c>
      <x:c r="K1255" s="258" t="str">
        <x:v>宏利全能混合(FOF)A</x:v>
      </x:c>
      <x:c r="L1255" s="263" t="n">
        <x:v>46218</x:v>
      </x:c>
      <x:c r="M1255" s="261" t="n">
        <x:v>1.3169</x:v>
      </x:c>
      <x:c r="N1255" s="261" t="n">
        <x:f>IF(OR(L1255&lt;$B$3,L1255&gt;$D$3),"",IF(AND(J1255=J1254,N1254&lt;&gt;""),MAX(M1255,N1254),M1255))</x:f>
        <x:v>1.3198</x:v>
      </x:c>
      <x:c r="O1255" s="262" t="n">
        <x:f>IF(N1255="","",M1255/N1255-1)</x:f>
        <x:v>-0.0021973026216094427</x:v>
      </x:c>
    </x:row>
    <x:row r="1256">
      <x:c r="J1256" s="257" t="str">
        <x:v>005221.OF</x:v>
      </x:c>
      <x:c r="K1256" s="258" t="str">
        <x:v>宏利全能混合(FOF)A</x:v>
      </x:c>
      <x:c r="L1256" s="263" t="n">
        <x:v>46219</x:v>
      </x:c>
      <x:c r="M1256" s="261" t="n">
        <x:v>1.316</x:v>
      </x:c>
      <x:c r="N1256" s="261" t="n">
        <x:f>IF(OR(L1256&lt;$B$3,L1256&gt;$D$3),"",IF(AND(J1256=J1255,N1255&lt;&gt;""),MAX(M1256,N1255),M1256))</x:f>
        <x:v>1.3198</x:v>
      </x:c>
      <x:c r="O1256" s="262" t="n">
        <x:f>IF(N1256="","",M1256/N1256-1)</x:f>
        <x:v>-0.0028792241248674078</x:v>
      </x:c>
    </x:row>
    <x:row r="1257">
      <x:c r="J1257" s="257" t="str">
        <x:v>005221.OF</x:v>
      </x:c>
      <x:c r="K1257" s="258" t="str">
        <x:v>宏利全能混合(FOF)A</x:v>
      </x:c>
      <x:c r="L1257" s="263" t="n">
        <x:v>46220</x:v>
      </x:c>
      <x:c r="M1257" s="261" t="n">
        <x:v>1.3145</x:v>
      </x:c>
      <x:c r="N1257" s="261" t="n">
        <x:f>IF(OR(L1257&lt;$B$3,L1257&gt;$D$3),"",IF(AND(J1257=J1256,N1256&lt;&gt;""),MAX(M1257,N1256),M1257))</x:f>
        <x:v>1.3198</x:v>
      </x:c>
      <x:c r="O1257" s="262" t="n">
        <x:f>IF(N1257="","",M1257/N1257-1)</x:f>
        <x:v>-0.004015759963630905</x:v>
      </x:c>
    </x:row>
    <x:row r="1258">
      <x:c r="J1258" s="257" t="str">
        <x:v>005221.OF</x:v>
      </x:c>
      <x:c r="K1258" s="258" t="str">
        <x:v>宏利全能混合(FOF)A</x:v>
      </x:c>
      <x:c r="L1258" s="263" t="n">
        <x:v>46221</x:v>
      </x:c>
      <x:c r="M1258" s="261" t="n">
        <x:v>1.3145</x:v>
      </x:c>
      <x:c r="N1258" s="261" t="n">
        <x:f>IF(OR(L1258&lt;$B$3,L1258&gt;$D$3),"",IF(AND(J1258=J1257,N1257&lt;&gt;""),MAX(M1258,N1257),M1258))</x:f>
        <x:v>1.3198</x:v>
      </x:c>
      <x:c r="O1258" s="262" t="n">
        <x:f>IF(N1258="","",M1258/N1258-1)</x:f>
        <x:v>-0.004015759963630905</x:v>
      </x:c>
    </x:row>
    <x:row r="1259">
      <x:c r="J1259" s="257" t="str">
        <x:v>005221.OF</x:v>
      </x:c>
      <x:c r="K1259" s="258" t="str">
        <x:v>宏利全能混合(FOF)A</x:v>
      </x:c>
      <x:c r="L1259" s="263" t="n">
        <x:v>46222</x:v>
      </x:c>
      <x:c r="M1259" s="261" t="n">
        <x:v>1.3145</x:v>
      </x:c>
      <x:c r="N1259" s="261" t="n">
        <x:f>IF(OR(L1259&lt;$B$3,L1259&gt;$D$3),"",IF(AND(J1259=J1258,N1258&lt;&gt;""),MAX(M1259,N1258),M1259))</x:f>
        <x:v>1.3198</x:v>
      </x:c>
      <x:c r="O1259" s="262" t="n">
        <x:f>IF(N1259="","",M1259/N1259-1)</x:f>
        <x:v>-0.004015759963630905</x:v>
      </x:c>
    </x:row>
    <x:row r="1260">
      <x:c r="J1260" s="257" t="str">
        <x:v>005221.OF</x:v>
      </x:c>
      <x:c r="K1260" s="258" t="str">
        <x:v>宏利全能混合(FOF)A</x:v>
      </x:c>
      <x:c r="L1260" s="263" t="n">
        <x:v>46223</x:v>
      </x:c>
      <x:c r="M1260" s="261" t="n">
        <x:v>1.3141</x:v>
      </x:c>
      <x:c r="N1260" s="261" t="n">
        <x:f>IF(OR(L1260&lt;$B$3,L1260&gt;$D$3),"",IF(AND(J1260=J1259,N1259&lt;&gt;""),MAX(M1260,N1259),M1260))</x:f>
        <x:v>1.3198</x:v>
      </x:c>
      <x:c r="O1260" s="262" t="n">
        <x:f>IF(N1260="","",M1260/N1260-1)</x:f>
        <x:v>-0.004318836187301112</x:v>
      </x:c>
    </x:row>
    <x:row r="1261">
      <x:c r="J1261" s="257" t="str">
        <x:v>005221.OF</x:v>
      </x:c>
      <x:c r="K1261" s="258" t="str">
        <x:v>宏利全能混合(FOF)A</x:v>
      </x:c>
      <x:c r="L1261" s="263" t="n">
        <x:v>46224</x:v>
      </x:c>
      <x:c r="M1261" s="261" t="n">
        <x:v>1.3149</x:v>
      </x:c>
      <x:c r="N1261" s="261" t="n">
        <x:f>IF(OR(L1261&lt;$B$3,L1261&gt;$D$3),"",IF(AND(J1261=J1260,N1260&lt;&gt;""),MAX(M1261,N1260),M1261))</x:f>
        <x:v>1.3198</x:v>
      </x:c>
      <x:c r="O1261" s="262" t="n">
        <x:f>IF(N1261="","",M1261/N1261-1)</x:f>
        <x:v>-0.0037126837399606982</x:v>
      </x:c>
    </x:row>
    <x:row r="1262">
      <x:c r="J1262" s="257" t="str">
        <x:v>005221.OF</x:v>
      </x:c>
      <x:c r="K1262" s="258" t="str">
        <x:v>宏利全能混合(FOF)A</x:v>
      </x:c>
      <x:c r="L1262" s="263" t="n">
        <x:v>46225</x:v>
      </x:c>
      <x:c r="M1262" s="261" t="n">
        <x:v>1.3154</x:v>
      </x:c>
      <x:c r="N1262" s="261" t="n">
        <x:f>IF(OR(L1262&lt;$B$3,L1262&gt;$D$3),"",IF(AND(J1262=J1261,N1261&lt;&gt;""),MAX(M1262,N1261),M1262))</x:f>
        <x:v>1.3198</x:v>
      </x:c>
      <x:c r="O1262" s="262" t="n">
        <x:f>IF(N1262="","",M1262/N1262-1)</x:f>
        <x:v>-0.00333383846037294</x:v>
      </x:c>
    </x:row>
    <x:row r="1263">
      <x:c r="J1263" s="257" t="str">
        <x:v>005221.OF</x:v>
      </x:c>
      <x:c r="K1263" s="258" t="str">
        <x:v>宏利全能混合(FOF)A</x:v>
      </x:c>
      <x:c r="L1263" s="263" t="n">
        <x:v>46226</x:v>
      </x:c>
      <x:c r="M1263" s="261" t="n">
        <x:v>1.3162</x:v>
      </x:c>
      <x:c r="N1263" s="261" t="n">
        <x:f>IF(OR(L1263&lt;$B$3,L1263&gt;$D$3),"",IF(AND(J1263=J1262,N1262&lt;&gt;""),MAX(M1263,N1262),M1263))</x:f>
        <x:v>1.3198</x:v>
      </x:c>
      <x:c r="O1263" s="262" t="n">
        <x:f>IF(N1263="","",M1263/N1263-1)</x:f>
        <x:v>-0.0027276860130323044</x:v>
      </x:c>
    </x:row>
    <x:row r="1264">
      <x:c r="J1264" s="257" t="str">
        <x:v>005221.OF</x:v>
      </x:c>
      <x:c r="K1264" s="258" t="str">
        <x:v>宏利全能混合(FOF)A</x:v>
      </x:c>
      <x:c r="L1264" s="263" t="n">
        <x:v>46227</x:v>
      </x:c>
      <x:c r="M1264" s="261" t="n">
        <x:v>1.315</x:v>
      </x:c>
      <x:c r="N1264" s="261" t="n">
        <x:f>IF(OR(L1264&lt;$B$3,L1264&gt;$D$3),"",IF(AND(J1264=J1263,N1263&lt;&gt;""),MAX(M1264,N1263),M1264))</x:f>
        <x:v>1.3198</x:v>
      </x:c>
      <x:c r="O1264" s="262" t="n">
        <x:f>IF(N1264="","",M1264/N1264-1)</x:f>
        <x:v>-0.0036369146840431466</x:v>
      </x:c>
    </x:row>
    <x:row r="1265">
      <x:c r="J1265" s="257" t="str">
        <x:v>005221.OF</x:v>
      </x:c>
      <x:c r="K1265" s="258" t="str">
        <x:v>宏利全能混合(FOF)A</x:v>
      </x:c>
      <x:c r="L1265" s="263" t="n">
        <x:v>46228</x:v>
      </x:c>
      <x:c r="M1265" s="261" t="n">
        <x:v>1.315</x:v>
      </x:c>
      <x:c r="N1265" s="261" t="n">
        <x:f>IF(OR(L1265&lt;$B$3,L1265&gt;$D$3),"",IF(AND(J1265=J1264,N1264&lt;&gt;""),MAX(M1265,N1264),M1265))</x:f>
        <x:v>1.3198</x:v>
      </x:c>
      <x:c r="O1265" s="262" t="n">
        <x:f>IF(N1265="","",M1265/N1265-1)</x:f>
        <x:v>-0.0036369146840431466</x:v>
      </x:c>
    </x:row>
    <x:row r="1266">
      <x:c r="J1266" s="257" t="str">
        <x:v>005221.OF</x:v>
      </x:c>
      <x:c r="K1266" s="258" t="str">
        <x:v>宏利全能混合(FOF)A</x:v>
      </x:c>
      <x:c r="L1266" s="263" t="n">
        <x:v>46229</x:v>
      </x:c>
      <x:c r="M1266" s="261" t="n">
        <x:v>1.315</x:v>
      </x:c>
      <x:c r="N1266" s="261" t="n">
        <x:f>IF(OR(L1266&lt;$B$3,L1266&gt;$D$3),"",IF(AND(J1266=J1265,N1265&lt;&gt;""),MAX(M1266,N1265),M1266))</x:f>
        <x:v>1.3198</x:v>
      </x:c>
      <x:c r="O1266" s="262" t="n">
        <x:f>IF(N1266="","",M1266/N1266-1)</x:f>
        <x:v>-0.0036369146840431466</x:v>
      </x:c>
    </x:row>
    <x:row r="1267">
      <x:c r="J1267" s="257" t="str">
        <x:v>005221.OF</x:v>
      </x:c>
      <x:c r="K1267" s="258" t="str">
        <x:v>宏利全能混合(FOF)A</x:v>
      </x:c>
      <x:c r="L1267" s="263" t="n">
        <x:v>46230</x:v>
      </x:c>
      <x:c r="M1267" s="261" t="n">
        <x:v>1.317</x:v>
      </x:c>
      <x:c r="N1267" s="261" t="n">
        <x:f>IF(OR(L1267&lt;$B$3,L1267&gt;$D$3),"",IF(AND(J1267=J1266,N1266&lt;&gt;""),MAX(M1267,N1266),M1267))</x:f>
        <x:v>1.3198</x:v>
      </x:c>
      <x:c r="O1267" s="262" t="n">
        <x:f>IF(N1267="","",M1267/N1267-1)</x:f>
        <x:v>-0.002121533565691891</x:v>
      </x:c>
    </x:row>
    <x:row r="1268">
      <x:c r="J1268" s="257" t="str">
        <x:v>005221.OF</x:v>
      </x:c>
      <x:c r="K1268" s="258" t="str">
        <x:v>宏利全能混合(FOF)A</x:v>
      </x:c>
      <x:c r="L1268" s="263" t="n">
        <x:v>46231</x:v>
      </x:c>
      <x:c r="M1268" s="261" t="n">
        <x:v>1.3162</x:v>
      </x:c>
      <x:c r="N1268" s="261" t="n">
        <x:f>IF(OR(L1268&lt;$B$3,L1268&gt;$D$3),"",IF(AND(J1268=J1267,N1267&lt;&gt;""),MAX(M1268,N1267),M1268))</x:f>
        <x:v>1.3198</x:v>
      </x:c>
      <x:c r="O1268" s="262" t="n">
        <x:f>IF(N1268="","",M1268/N1268-1)</x:f>
        <x:v>-0.0027276860130323044</x:v>
      </x:c>
    </x:row>
    <x:row r="1269">
      <x:c r="J1269" s="257" t="str">
        <x:v>005221.OF</x:v>
      </x:c>
      <x:c r="K1269" s="258" t="str">
        <x:v>宏利全能混合(FOF)A</x:v>
      </x:c>
      <x:c r="L1269" s="263" t="n">
        <x:v>46232</x:v>
      </x:c>
      <x:c r="M1269" s="261" t="n">
        <x:v>1.3163</x:v>
      </x:c>
      <x:c r="N1269" s="261" t="n">
        <x:f>IF(OR(L1269&lt;$B$3,L1269&gt;$D$3),"",IF(AND(J1269=J1268,N1268&lt;&gt;""),MAX(M1269,N1268),M1269))</x:f>
        <x:v>1.3198</x:v>
      </x:c>
      <x:c r="O1269" s="262" t="n">
        <x:f>IF(N1269="","",M1269/N1269-1)</x:f>
        <x:v>-0.0026519169571147527</x:v>
      </x:c>
    </x:row>
    <x:row r="1270">
      <x:c r="J1270" s="257" t="str">
        <x:v>005221.OF</x:v>
      </x:c>
      <x:c r="K1270" s="258" t="str">
        <x:v>宏利全能混合(FOF)A</x:v>
      </x:c>
      <x:c r="L1270" s="263" t="n">
        <x:v>46233</x:v>
      </x:c>
      <x:c r="M1270" s="261" t="n">
        <x:v>1.3166</x:v>
      </x:c>
      <x:c r="N1270" s="261" t="n">
        <x:f>IF(OR(L1270&lt;$B$3,L1270&gt;$D$3),"",IF(AND(J1270=J1269,N1269&lt;&gt;""),MAX(M1270,N1269),M1270))</x:f>
        <x:v>1.3198</x:v>
      </x:c>
      <x:c r="O1270" s="262" t="n">
        <x:f>IF(N1270="","",M1270/N1270-1)</x:f>
        <x:v>-0.0024246097893620977</x:v>
      </x:c>
    </x:row>
    <x:row r="1271">
      <x:c r="J1271" s="257" t="str">
        <x:v>005221.OF</x:v>
      </x:c>
      <x:c r="K1271" s="258" t="str">
        <x:v>宏利全能混合(FOF)A</x:v>
      </x:c>
      <x:c r="L1271" s="263" t="n">
        <x:v>46234</x:v>
      </x:c>
      <x:c r="M1271" s="261" t="n">
        <x:v>1.3185</x:v>
      </x:c>
      <x:c r="N1271" s="261" t="n">
        <x:f>IF(OR(L1271&lt;$B$3,L1271&gt;$D$3),"",IF(AND(J1271=J1270,N1270&lt;&gt;""),MAX(M1271,N1270),M1271))</x:f>
        <x:v>1.3198</x:v>
      </x:c>
      <x:c r="O1271" s="262" t="n">
        <x:f>IF(N1271="","",M1271/N1271-1)</x:f>
        <x:v>-0.0009849977269283938</x:v>
      </x:c>
    </x:row>
    <x:row r="1272">
      <x:c r="J1272" s="257" t="str">
        <x:v>005221.OF</x:v>
      </x:c>
      <x:c r="K1272" s="258" t="str">
        <x:v>宏利全能混合(FOF)A</x:v>
      </x:c>
      <x:c r="L1272" s="263" t="n">
        <x:v>46235</x:v>
      </x:c>
      <x:c r="M1272" s="261" t="n">
        <x:v>1.3185</x:v>
      </x:c>
      <x:c r="N1272" s="261" t="n">
        <x:f>IF(OR(L1272&lt;$B$3,L1272&gt;$D$3),"",IF(AND(J1272=J1271,N1271&lt;&gt;""),MAX(M1272,N1271),M1272))</x:f>
        <x:v>1.3198</x:v>
      </x:c>
      <x:c r="O1272" s="262" t="n">
        <x:f>IF(N1272="","",M1272/N1272-1)</x:f>
        <x:v>-0.0009849977269283938</x:v>
      </x:c>
    </x:row>
    <x:row r="1273">
      <x:c r="J1273" s="257" t="str">
        <x:v>005221.OF</x:v>
      </x:c>
      <x:c r="K1273" s="258" t="str">
        <x:v>宏利全能混合(FOF)A</x:v>
      </x:c>
      <x:c r="L1273" s="263" t="n">
        <x:v>46236</x:v>
      </x:c>
      <x:c r="M1273" s="261" t="n">
        <x:v>1.3185</x:v>
      </x:c>
      <x:c r="N1273" s="261" t="n">
        <x:f>IF(OR(L1273&lt;$B$3,L1273&gt;$D$3),"",IF(AND(J1273=J1272,N1272&lt;&gt;""),MAX(M1273,N1272),M1273))</x:f>
        <x:v>1.3198</x:v>
      </x:c>
      <x:c r="O1273" s="262" t="n">
        <x:f>IF(N1273="","",M1273/N1273-1)</x:f>
        <x:v>-0.0009849977269283938</x:v>
      </x:c>
    </x:row>
    <x:row r="1274">
      <x:c r="J1274" s="257" t="str">
        <x:v>005221.OF</x:v>
      </x:c>
      <x:c r="K1274" s="258" t="str">
        <x:v>宏利全能混合(FOF)A</x:v>
      </x:c>
      <x:c r="L1274" s="263" t="n">
        <x:v>46237</x:v>
      </x:c>
      <x:c r="M1274" s="261" t="n">
        <x:v>1.3194</x:v>
      </x:c>
      <x:c r="N1274" s="261" t="n">
        <x:f>IF(OR(L1274&lt;$B$3,L1274&gt;$D$3),"",IF(AND(J1274=J1273,N1273&lt;&gt;""),MAX(M1274,N1273),M1274))</x:f>
        <x:v>1.3198</x:v>
      </x:c>
      <x:c r="O1274" s="262" t="n">
        <x:f>IF(N1274="","",M1274/N1274-1)</x:f>
        <x:v>-0.00030307622367042875</x:v>
      </x:c>
    </x:row>
    <x:row r="1275">
      <x:c r="J1275" s="257" t="str">
        <x:v>005221.OF</x:v>
      </x:c>
      <x:c r="K1275" s="258" t="str">
        <x:v>宏利全能混合(FOF)A</x:v>
      </x:c>
      <x:c r="L1275" s="263" t="n">
        <x:v>46238</x:v>
      </x:c>
      <x:c r="M1275" s="261" t="n">
        <x:v>1.3204</x:v>
      </x:c>
      <x:c r="N1275" s="261" t="n">
        <x:f>IF(OR(L1275&lt;$B$3,L1275&gt;$D$3),"",IF(AND(J1275=J1274,N1274&lt;&gt;""),MAX(M1275,N1274),M1275))</x:f>
        <x:v>1.3204</x:v>
      </x:c>
      <x:c r="O1275" s="262" t="n">
        <x:f>IF(N1275="","",M1275/N1275-1)</x:f>
        <x:v>0</x:v>
      </x:c>
    </x:row>
    <x:row r="1276">
      <x:c r="J1276" s="257" t="str">
        <x:v>005221.OF</x:v>
      </x:c>
      <x:c r="K1276" s="258" t="str">
        <x:v>宏利全能混合(FOF)A</x:v>
      </x:c>
      <x:c r="L1276" s="263" t="n">
        <x:v>46239</x:v>
      </x:c>
      <x:c r="M1276" s="261" t="n">
        <x:v>1.3218</x:v>
      </x:c>
      <x:c r="N1276" s="261" t="n">
        <x:f>IF(OR(L1276&lt;$B$3,L1276&gt;$D$3),"",IF(AND(J1276=J1275,N1275&lt;&gt;""),MAX(M1276,N1275),M1276))</x:f>
        <x:v>1.3218</x:v>
      </x:c>
      <x:c r="O1276" s="262" t="n">
        <x:f>IF(N1276="","",M1276/N1276-1)</x:f>
        <x:v>0</x:v>
      </x:c>
    </x:row>
    <x:row r="1277">
      <x:c r="J1277" s="257" t="str">
        <x:v>005221.OF</x:v>
      </x:c>
      <x:c r="K1277" s="258" t="str">
        <x:v>宏利全能混合(FOF)A</x:v>
      </x:c>
      <x:c r="L1277" s="263" t="n">
        <x:v>46240</x:v>
      </x:c>
      <x:c r="M1277" s="261" t="n">
        <x:v>1.3214</x:v>
      </x:c>
      <x:c r="N1277" s="261" t="n">
        <x:f>IF(OR(L1277&lt;$B$3,L1277&gt;$D$3),"",IF(AND(J1277=J1276,N1276&lt;&gt;""),MAX(M1277,N1276),M1277))</x:f>
        <x:v>1.3218</x:v>
      </x:c>
      <x:c r="O1277" s="262" t="n">
        <x:f>IF(N1277="","",M1277/N1277-1)</x:f>
        <x:v>-0.000302617642608749</x:v>
      </x:c>
    </x:row>
    <x:row r="1278">
      <x:c r="J1278" s="257" t="str">
        <x:v>005221.OF</x:v>
      </x:c>
      <x:c r="K1278" s="258" t="str">
        <x:v>宏利全能混合(FOF)A</x:v>
      </x:c>
      <x:c r="L1278" s="263" t="n">
        <x:v>46241</x:v>
      </x:c>
      <x:c r="M1278" s="261" t="n">
        <x:v>1.3214</x:v>
      </x:c>
      <x:c r="N1278" s="261" t="n">
        <x:f>IF(OR(L1278&lt;$B$3,L1278&gt;$D$3),"",IF(AND(J1278=J1277,N1277&lt;&gt;""),MAX(M1278,N1277),M1278))</x:f>
        <x:v>1.3218</x:v>
      </x:c>
      <x:c r="O1278" s="262" t="n">
        <x:f>IF(N1278="","",M1278/N1278-1)</x:f>
        <x:v>-0.000302617642608749</x:v>
      </x:c>
    </x:row>
    <x:row r="1279">
      <x:c r="J1279" s="257" t="str">
        <x:v>005221.OF</x:v>
      </x:c>
      <x:c r="K1279" s="258" t="str">
        <x:v>宏利全能混合(FOF)A</x:v>
      </x:c>
      <x:c r="L1279" s="263" t="n">
        <x:v>46242</x:v>
      </x:c>
      <x:c r="M1279" s="261" t="n">
        <x:v>1.3214</x:v>
      </x:c>
      <x:c r="N1279" s="261" t="n">
        <x:f>IF(OR(L1279&lt;$B$3,L1279&gt;$D$3),"",IF(AND(J1279=J1278,N1278&lt;&gt;""),MAX(M1279,N1278),M1279))</x:f>
        <x:v>1.3218</x:v>
      </x:c>
      <x:c r="O1279" s="262" t="n">
        <x:f>IF(N1279="","",M1279/N1279-1)</x:f>
        <x:v>-0.000302617642608749</x:v>
      </x:c>
    </x:row>
    <x:row r="1280">
      <x:c r="J1280" s="257" t="str">
        <x:v>005221.OF</x:v>
      </x:c>
      <x:c r="K1280" s="258" t="str">
        <x:v>宏利全能混合(FOF)A</x:v>
      </x:c>
      <x:c r="L1280" s="263" t="n">
        <x:v>46243</x:v>
      </x:c>
      <x:c r="M1280" s="261" t="n">
        <x:v>1.3214</x:v>
      </x:c>
      <x:c r="N1280" s="261" t="n">
        <x:f>IF(OR(L1280&lt;$B$3,L1280&gt;$D$3),"",IF(AND(J1280=J1279,N1279&lt;&gt;""),MAX(M1280,N1279),M1280))</x:f>
        <x:v>1.3218</x:v>
      </x:c>
      <x:c r="O1280" s="262" t="n">
        <x:f>IF(N1280="","",M1280/N1280-1)</x:f>
        <x:v>-0.000302617642608749</x:v>
      </x:c>
    </x:row>
    <x:row r="1281">
      <x:c r="J1281" s="264" t="str">
        <x:v>005221.OF</x:v>
      </x:c>
      <x:c r="K1281" s="265" t="str">
        <x:v>宏利全能混合(FOF)A</x:v>
      </x:c>
      <x:c r="L1281" s="266" t="n">
        <x:v>46244</x:v>
      </x:c>
      <x:c r="M1281" s="267" t="n">
        <x:v>1.3214</x:v>
      </x:c>
      <x:c r="N1281" s="267" t="n">
        <x:f>IF(OR(L1281&lt;$B$3,L1281&gt;$D$3),"",IF(AND(J1281=J1280,N1280&lt;&gt;""),MAX(M1281,N1280),M1281))</x:f>
        <x:v>1.3218</x:v>
      </x:c>
      <x:c r="O1281" s="268" t="n">
        <x:f>IF(N1281="","",M1281/N1281-1)</x:f>
        <x:v>-0.000302617642608749</x:v>
      </x:c>
    </x:row>
  </x:sheetData>
  <x:mergeCells>
    <x:mergeCell ref="A1:G1"/>
    <x:mergeCell ref="A2:G2"/>
    <x:mergeCell ref="F3:G3"/>
    <x:mergeCell ref="F4:G4"/>
    <x:mergeCell ref="F5:G5"/>
    <x:mergeCell ref="A6:G6"/>
    <x:mergeCell ref="J1:O1"/>
    <x:mergeCell ref="A8:G8"/>
    <x:mergeCell ref="A23:G23"/>
    <x:mergeCell ref="A38:G38"/>
    <x:mergeCell ref="A52:G52"/>
    <x:mergeCell ref="A53:G53"/>
    <x:mergeCell ref="A54:G54"/>
  </x:mergeCells>
  <x:conditionalFormatting sqref="D10:G20">
    <x:cfRule type="cellIs" dxfId="62" priority="1" operator="greaterThan">
      <x:formula>0</x:formula>
    </x:cfRule>
    <x:cfRule type="cellIs" dxfId="63" priority="2" operator="lessThan">
      <x:formula>0</x:formula>
    </x:cfRule>
  </x:conditionalFormatting>
  <x:conditionalFormatting sqref="D25:G35">
    <x:cfRule type="cellIs" dxfId="64" priority="3" operator="greaterThan">
      <x:formula>0</x:formula>
    </x:cfRule>
    <x:cfRule type="cellIs" dxfId="65" priority="4" operator="lessThan">
      <x:formula>0</x:formula>
    </x:cfRule>
  </x:conditionalFormatting>
  <x:conditionalFormatting sqref="D40:G50">
    <x:cfRule type="cellIs" dxfId="66" priority="5" operator="greaterThan">
      <x:formula>0</x:formula>
    </x:cfRule>
    <x:cfRule type="cellIs" dxfId="67" priority="6" operator="lessThan">
      <x:formula>0</x:formula>
    </x:cfRule>
  </x:conditionalFormatting>
  <x:pageMargins left="0.7" right="0.7" top="0.75" bottom="0.75" header="0.3" footer="0.3"/>
</x:worksheet>
</file>